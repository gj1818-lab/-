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판정" sheetId="2" state="visible" r:id="rId2"/>
    <sheet name="EDW_RAW" sheetId="3" state="visible" r:id="rId3"/>
    <sheet name="소재DB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2C5F2D"/>
      <sz val="12"/>
    </font>
    <font>
      <b val="1"/>
      <color rgb="00FFFFFF"/>
    </font>
    <font>
      <b val="1"/>
      <color rgb="002C5F2D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2C5F2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27SS 판정 백데이터 시트 — 운영 시트(27SS_생진테+소재DB)가 끌어다 쓰는 계산 전용 시트입니다.</t>
        </is>
      </c>
    </row>
    <row r="2">
      <c r="A2" t="inlineStr"/>
    </row>
    <row r="3">
      <c r="A3" t="inlineStr">
        <is>
          <t>■ 이 시트가 하는 일</t>
        </is>
      </c>
    </row>
    <row r="4">
      <c r="A4" t="inlineStr">
        <is>
          <t xml:space="preserve">  · 작지발행(일매·디자인담당 결재, EDW R열) / 사양확정(EDW U열) 판정을 SUMPRODUCT+LEN 방식으로 계산</t>
        </is>
      </c>
    </row>
    <row r="5">
      <c r="A5" t="inlineStr">
        <is>
          <t xml:space="preserve">    (IMPORTRANGE 빈 셀을 O로 오집계하던 COUNTIFS 버그 수정판)</t>
        </is>
      </c>
    </row>
    <row r="6">
      <c r="A6" t="inlineStr">
        <is>
          <t xml:space="preserve">  · LAB DIP CFM: 소재DB Merged Data AK열, Drop 제외 최근 컨펌일</t>
        </is>
      </c>
    </row>
    <row r="7">
      <c r="A7" t="inlineStr">
        <is>
          <t xml:space="preserve">  · EDW·소재DB가 갱신되면 이 시트도, 이 시트를 참조하는 운영 시트도 자동 갱신됩니다.</t>
        </is>
      </c>
    </row>
    <row r="8">
      <c r="A8" t="inlineStr"/>
    </row>
    <row r="9">
      <c r="A9" t="inlineStr">
        <is>
          <t>■ 최초 1회 설정 (액세스 허용 2번)</t>
        </is>
      </c>
    </row>
    <row r="10">
      <c r="A10" t="inlineStr">
        <is>
          <t xml:space="preserve">  1) EDW_RAW 탭 A2 셀 선택 → '액세스 허용' 클릭</t>
        </is>
      </c>
    </row>
    <row r="11">
      <c r="A11" t="inlineStr">
        <is>
          <t xml:space="preserve">  2) 소재DB_RAW 탭 A3 셀 선택 → '액세스 허용' 클릭</t>
        </is>
      </c>
    </row>
    <row r="12">
      <c r="A12" t="inlineStr"/>
    </row>
    <row r="13">
      <c r="A13" t="inlineStr">
        <is>
          <t>■ 운영 시트 연결 (Q5·AA5에 수식 1개씩 — 별도 안내 참조)</t>
        </is>
      </c>
    </row>
    <row r="14">
      <c r="A14" t="inlineStr">
        <is>
          <t xml:space="preserve">  · 운영 시트에서 최초 1회 이 시트에 대한 '액세스 허용' 필요</t>
        </is>
      </c>
    </row>
    <row r="15">
      <c r="A15" t="inlineStr"/>
    </row>
    <row r="16">
      <c r="A16" t="inlineStr">
        <is>
          <t>■ 주의: 판정 탭의 수식·품번은 수정하지 마세요. 품번 목록은 0808 원본 424 스타일 기준입니다.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7" max="7"/>
  </cols>
  <sheetData>
    <row r="1">
      <c r="A1" s="2" t="inlineStr">
        <is>
          <t>품번</t>
        </is>
      </c>
      <c r="B1" s="2" t="inlineStr">
        <is>
          <t>작지발행(일매)</t>
        </is>
      </c>
      <c r="C1" s="2" t="inlineStr">
        <is>
          <t>사양확정</t>
        </is>
      </c>
      <c r="D1" s="2" t="inlineStr">
        <is>
          <t>LAB DIP CFM</t>
        </is>
      </c>
      <c r="E1" s="2" t="inlineStr">
        <is>
          <t>LAB DIP(텍스트)</t>
        </is>
      </c>
      <c r="G1" s="3" t="inlineStr">
        <is>
          <t>검증 카운터 (자동)</t>
        </is>
      </c>
    </row>
    <row r="2">
      <c r="A2" s="4" t="inlineStr">
        <is>
          <t>8UJGX27101</t>
        </is>
      </c>
      <c r="B2" s="4">
        <f>IF(COUNTIF(EDW_RAW!$A$2:$A$1500,$A2)=0,"",IF(SUMPRODUCT((EDW_RAW!$A$2:$A$1500=$A2)*(LEN(EDW_RAW!$R$2:$R$1500)&gt;0))=COUNTIF(EDW_RAW!$A$2:$A$1500,$A2),"O",IF(SUMPRODUCT((EDW_RAW!$A$2:$A$1500=$A2)*(LEN(EDW_RAW!$R$2:$R$1500)&gt;0))&gt;0,"부분","X")))</f>
        <v/>
      </c>
      <c r="C2" s="4">
        <f>IF(COUNTIF(EDW_RAW!$A$2:$A$1500,$A2)=0,"",IF(SUMPRODUCT((EDW_RAW!$A$2:$A$1500=$A2)*(LEN(EDW_RAW!$U$2:$U$1500)&gt;0))=COUNTIF(EDW_RAW!$A$2:$A$1500,$A2),"O",IF(SUMPRODUCT((EDW_RAW!$A$2:$A$1500=$A2)*(LEN(EDW_RAW!$U$2:$U$1500)&gt;0))&gt;0,"부분","X")))</f>
        <v/>
      </c>
      <c r="D2" s="5">
        <f>IFERROR(MAX(FILTER(소재DB_RAW!$AK$3:$AK$2000,(소재DB_RAW!$G$3:$G$2000=$A2)*ISERROR(SEARCH("drop",소재DB_RAW!$C$3:$C$2000))*(소재DB_RAW!$AK$3:$AK$2000&lt;&gt;""))),"")</f>
        <v/>
      </c>
      <c r="E2" s="4">
        <f>IF($D2="","",TEXT($D2,"yyyy-mm-dd"))</f>
        <v/>
      </c>
      <c r="G2" t="inlineStr">
        <is>
          <t>작지 O</t>
        </is>
      </c>
      <c r="H2">
        <f>COUNTIF($B$2:$B$425,"O")</f>
        <v/>
      </c>
    </row>
    <row r="3">
      <c r="A3" s="4" t="inlineStr">
        <is>
          <t>8UPNX27101</t>
        </is>
      </c>
      <c r="B3" s="4">
        <f>IF(COUNTIF(EDW_RAW!$A$2:$A$1500,$A3)=0,"",IF(SUMPRODUCT((EDW_RAW!$A$2:$A$1500=$A3)*(LEN(EDW_RAW!$R$2:$R$1500)&gt;0))=COUNTIF(EDW_RAW!$A$2:$A$1500,$A3),"O",IF(SUMPRODUCT((EDW_RAW!$A$2:$A$1500=$A3)*(LEN(EDW_RAW!$R$2:$R$1500)&gt;0))&gt;0,"부분","X")))</f>
        <v/>
      </c>
      <c r="C3" s="4">
        <f>IF(COUNTIF(EDW_RAW!$A$2:$A$1500,$A3)=0,"",IF(SUMPRODUCT((EDW_RAW!$A$2:$A$1500=$A3)*(LEN(EDW_RAW!$U$2:$U$1500)&gt;0))=COUNTIF(EDW_RAW!$A$2:$A$1500,$A3),"O",IF(SUMPRODUCT((EDW_RAW!$A$2:$A$1500=$A3)*(LEN(EDW_RAW!$U$2:$U$1500)&gt;0))&gt;0,"부분","X")))</f>
        <v/>
      </c>
      <c r="D3" s="5">
        <f>IFERROR(MAX(FILTER(소재DB_RAW!$AK$3:$AK$2000,(소재DB_RAW!$G$3:$G$2000=$A3)*ISERROR(SEARCH("drop",소재DB_RAW!$C$3:$C$2000))*(소재DB_RAW!$AK$3:$AK$2000&lt;&gt;""))),"")</f>
        <v/>
      </c>
      <c r="E3" s="4">
        <f>IF($D3="","",TEXT($D3,"yyyy-mm-dd"))</f>
        <v/>
      </c>
      <c r="G3" t="inlineStr">
        <is>
          <t>작지 부분</t>
        </is>
      </c>
      <c r="H3">
        <f>COUNTIF($B$2:$B$425,"부분")</f>
        <v/>
      </c>
    </row>
    <row r="4">
      <c r="A4" s="4" t="inlineStr">
        <is>
          <t>8UJJX27102</t>
        </is>
      </c>
      <c r="B4" s="4">
        <f>IF(COUNTIF(EDW_RAW!$A$2:$A$1500,$A4)=0,"",IF(SUMPRODUCT((EDW_RAW!$A$2:$A$1500=$A4)*(LEN(EDW_RAW!$R$2:$R$1500)&gt;0))=COUNTIF(EDW_RAW!$A$2:$A$1500,$A4),"O",IF(SUMPRODUCT((EDW_RAW!$A$2:$A$1500=$A4)*(LEN(EDW_RAW!$R$2:$R$1500)&gt;0))&gt;0,"부분","X")))</f>
        <v/>
      </c>
      <c r="C4" s="4">
        <f>IF(COUNTIF(EDW_RAW!$A$2:$A$1500,$A4)=0,"",IF(SUMPRODUCT((EDW_RAW!$A$2:$A$1500=$A4)*(LEN(EDW_RAW!$U$2:$U$1500)&gt;0))=COUNTIF(EDW_RAW!$A$2:$A$1500,$A4),"O",IF(SUMPRODUCT((EDW_RAW!$A$2:$A$1500=$A4)*(LEN(EDW_RAW!$U$2:$U$1500)&gt;0))&gt;0,"부분","X")))</f>
        <v/>
      </c>
      <c r="D4" s="5">
        <f>IFERROR(MAX(FILTER(소재DB_RAW!$AK$3:$AK$2000,(소재DB_RAW!$G$3:$G$2000=$A4)*ISERROR(SEARCH("drop",소재DB_RAW!$C$3:$C$2000))*(소재DB_RAW!$AK$3:$AK$2000&lt;&gt;""))),"")</f>
        <v/>
      </c>
      <c r="E4" s="4">
        <f>IF($D4="","",TEXT($D4,"yyyy-mm-dd"))</f>
        <v/>
      </c>
      <c r="G4" t="inlineStr">
        <is>
          <t>작지 X</t>
        </is>
      </c>
      <c r="H4">
        <f>COUNTIF($B$2:$B$425,"X")</f>
        <v/>
      </c>
    </row>
    <row r="5">
      <c r="A5" s="4" t="inlineStr">
        <is>
          <t>8UJJX27101</t>
        </is>
      </c>
      <c r="B5" s="4">
        <f>IF(COUNTIF(EDW_RAW!$A$2:$A$1500,$A5)=0,"",IF(SUMPRODUCT((EDW_RAW!$A$2:$A$1500=$A5)*(LEN(EDW_RAW!$R$2:$R$1500)&gt;0))=COUNTIF(EDW_RAW!$A$2:$A$1500,$A5),"O",IF(SUMPRODUCT((EDW_RAW!$A$2:$A$1500=$A5)*(LEN(EDW_RAW!$R$2:$R$1500)&gt;0))&gt;0,"부분","X")))</f>
        <v/>
      </c>
      <c r="C5" s="4">
        <f>IF(COUNTIF(EDW_RAW!$A$2:$A$1500,$A5)=0,"",IF(SUMPRODUCT((EDW_RAW!$A$2:$A$1500=$A5)*(LEN(EDW_RAW!$U$2:$U$1500)&gt;0))=COUNTIF(EDW_RAW!$A$2:$A$1500,$A5),"O",IF(SUMPRODUCT((EDW_RAW!$A$2:$A$1500=$A5)*(LEN(EDW_RAW!$U$2:$U$1500)&gt;0))&gt;0,"부분","X")))</f>
        <v/>
      </c>
      <c r="D5" s="5">
        <f>IFERROR(MAX(FILTER(소재DB_RAW!$AK$3:$AK$2000,(소재DB_RAW!$G$3:$G$2000=$A5)*ISERROR(SEARCH("drop",소재DB_RAW!$C$3:$C$2000))*(소재DB_RAW!$AK$3:$AK$2000&lt;&gt;""))),"")</f>
        <v/>
      </c>
      <c r="E5" s="4">
        <f>IF($D5="","",TEXT($D5,"yyyy-mm-dd"))</f>
        <v/>
      </c>
      <c r="G5" t="inlineStr">
        <is>
          <t>작지 공란(EDW없음)</t>
        </is>
      </c>
      <c r="H5">
        <f>SUMPRODUCT(--(LEN($B$2:$B$425)=0))</f>
        <v/>
      </c>
    </row>
    <row r="6">
      <c r="A6" s="4" t="inlineStr">
        <is>
          <t>8UPNX27102</t>
        </is>
      </c>
      <c r="B6" s="4">
        <f>IF(COUNTIF(EDW_RAW!$A$2:$A$1500,$A6)=0,"",IF(SUMPRODUCT((EDW_RAW!$A$2:$A$1500=$A6)*(LEN(EDW_RAW!$R$2:$R$1500)&gt;0))=COUNTIF(EDW_RAW!$A$2:$A$1500,$A6),"O",IF(SUMPRODUCT((EDW_RAW!$A$2:$A$1500=$A6)*(LEN(EDW_RAW!$R$2:$R$1500)&gt;0))&gt;0,"부분","X")))</f>
        <v/>
      </c>
      <c r="C6" s="4">
        <f>IF(COUNTIF(EDW_RAW!$A$2:$A$1500,$A6)=0,"",IF(SUMPRODUCT((EDW_RAW!$A$2:$A$1500=$A6)*(LEN(EDW_RAW!$U$2:$U$1500)&gt;0))=COUNTIF(EDW_RAW!$A$2:$A$1500,$A6),"O",IF(SUMPRODUCT((EDW_RAW!$A$2:$A$1500=$A6)*(LEN(EDW_RAW!$U$2:$U$1500)&gt;0))&gt;0,"부분","X")))</f>
        <v/>
      </c>
      <c r="D6" s="5">
        <f>IFERROR(MAX(FILTER(소재DB_RAW!$AK$3:$AK$2000,(소재DB_RAW!$G$3:$G$2000=$A6)*ISERROR(SEARCH("drop",소재DB_RAW!$C$3:$C$2000))*(소재DB_RAW!$AK$3:$AK$2000&lt;&gt;""))),"")</f>
        <v/>
      </c>
      <c r="E6" s="4">
        <f>IF($D6="","",TEXT($D6,"yyyy-mm-dd"))</f>
        <v/>
      </c>
      <c r="G6" t="inlineStr">
        <is>
          <t>사양 O</t>
        </is>
      </c>
      <c r="H6">
        <f>COUNTIF($C$2:$C$425,"O")</f>
        <v/>
      </c>
    </row>
    <row r="7">
      <c r="A7" s="4" t="inlineStr">
        <is>
          <t>8UJJS27105</t>
        </is>
      </c>
      <c r="B7" s="4">
        <f>IF(COUNTIF(EDW_RAW!$A$2:$A$1500,$A7)=0,"",IF(SUMPRODUCT((EDW_RAW!$A$2:$A$1500=$A7)*(LEN(EDW_RAW!$R$2:$R$1500)&gt;0))=COUNTIF(EDW_RAW!$A$2:$A$1500,$A7),"O",IF(SUMPRODUCT((EDW_RAW!$A$2:$A$1500=$A7)*(LEN(EDW_RAW!$R$2:$R$1500)&gt;0))&gt;0,"부분","X")))</f>
        <v/>
      </c>
      <c r="C7" s="4">
        <f>IF(COUNTIF(EDW_RAW!$A$2:$A$1500,$A7)=0,"",IF(SUMPRODUCT((EDW_RAW!$A$2:$A$1500=$A7)*(LEN(EDW_RAW!$U$2:$U$1500)&gt;0))=COUNTIF(EDW_RAW!$A$2:$A$1500,$A7),"O",IF(SUMPRODUCT((EDW_RAW!$A$2:$A$1500=$A7)*(LEN(EDW_RAW!$U$2:$U$1500)&gt;0))&gt;0,"부분","X")))</f>
        <v/>
      </c>
      <c r="D7" s="5">
        <f>IFERROR(MAX(FILTER(소재DB_RAW!$AK$3:$AK$2000,(소재DB_RAW!$G$3:$G$2000=$A7)*ISERROR(SEARCH("drop",소재DB_RAW!$C$3:$C$2000))*(소재DB_RAW!$AK$3:$AK$2000&lt;&gt;""))),"")</f>
        <v/>
      </c>
      <c r="E7" s="4">
        <f>IF($D7="","",TEXT($D7,"yyyy-mm-dd"))</f>
        <v/>
      </c>
      <c r="G7" t="inlineStr">
        <is>
          <t>사양 부분</t>
        </is>
      </c>
      <c r="H7">
        <f>COUNTIF($C$2:$C$425,"부분")</f>
        <v/>
      </c>
    </row>
    <row r="8">
      <c r="A8" s="4" t="inlineStr">
        <is>
          <t>8UPNS27105</t>
        </is>
      </c>
      <c r="B8" s="4">
        <f>IF(COUNTIF(EDW_RAW!$A$2:$A$1500,$A8)=0,"",IF(SUMPRODUCT((EDW_RAW!$A$2:$A$1500=$A8)*(LEN(EDW_RAW!$R$2:$R$1500)&gt;0))=COUNTIF(EDW_RAW!$A$2:$A$1500,$A8),"O",IF(SUMPRODUCT((EDW_RAW!$A$2:$A$1500=$A8)*(LEN(EDW_RAW!$R$2:$R$1500)&gt;0))&gt;0,"부분","X")))</f>
        <v/>
      </c>
      <c r="C8" s="4">
        <f>IF(COUNTIF(EDW_RAW!$A$2:$A$1500,$A8)=0,"",IF(SUMPRODUCT((EDW_RAW!$A$2:$A$1500=$A8)*(LEN(EDW_RAW!$U$2:$U$1500)&gt;0))=COUNTIF(EDW_RAW!$A$2:$A$1500,$A8),"O",IF(SUMPRODUCT((EDW_RAW!$A$2:$A$1500=$A8)*(LEN(EDW_RAW!$U$2:$U$1500)&gt;0))&gt;0,"부분","X")))</f>
        <v/>
      </c>
      <c r="D8" s="5">
        <f>IFERROR(MAX(FILTER(소재DB_RAW!$AK$3:$AK$2000,(소재DB_RAW!$G$3:$G$2000=$A8)*ISERROR(SEARCH("drop",소재DB_RAW!$C$3:$C$2000))*(소재DB_RAW!$AK$3:$AK$2000&lt;&gt;""))),"")</f>
        <v/>
      </c>
      <c r="E8" s="4">
        <f>IF($D8="","",TEXT($D8,"yyyy-mm-dd"))</f>
        <v/>
      </c>
      <c r="G8" t="inlineStr">
        <is>
          <t>사양 X</t>
        </is>
      </c>
      <c r="H8">
        <f>COUNTIF($C$2:$C$425,"X")</f>
        <v/>
      </c>
    </row>
    <row r="9">
      <c r="A9" s="4" t="inlineStr">
        <is>
          <t>8UJJS27101</t>
        </is>
      </c>
      <c r="B9" s="4">
        <f>IF(COUNTIF(EDW_RAW!$A$2:$A$1500,$A9)=0,"",IF(SUMPRODUCT((EDW_RAW!$A$2:$A$1500=$A9)*(LEN(EDW_RAW!$R$2:$R$1500)&gt;0))=COUNTIF(EDW_RAW!$A$2:$A$1500,$A9),"O",IF(SUMPRODUCT((EDW_RAW!$A$2:$A$1500=$A9)*(LEN(EDW_RAW!$R$2:$R$1500)&gt;0))&gt;0,"부분","X")))</f>
        <v/>
      </c>
      <c r="C9" s="4">
        <f>IF(COUNTIF(EDW_RAW!$A$2:$A$1500,$A9)=0,"",IF(SUMPRODUCT((EDW_RAW!$A$2:$A$1500=$A9)*(LEN(EDW_RAW!$U$2:$U$1500)&gt;0))=COUNTIF(EDW_RAW!$A$2:$A$1500,$A9),"O",IF(SUMPRODUCT((EDW_RAW!$A$2:$A$1500=$A9)*(LEN(EDW_RAW!$U$2:$U$1500)&gt;0))&gt;0,"부분","X")))</f>
        <v/>
      </c>
      <c r="D9" s="5">
        <f>IFERROR(MAX(FILTER(소재DB_RAW!$AK$3:$AK$2000,(소재DB_RAW!$G$3:$G$2000=$A9)*ISERROR(SEARCH("drop",소재DB_RAW!$C$3:$C$2000))*(소재DB_RAW!$AK$3:$AK$2000&lt;&gt;""))),"")</f>
        <v/>
      </c>
      <c r="E9" s="4">
        <f>IF($D9="","",TEXT($D9,"yyyy-mm-dd"))</f>
        <v/>
      </c>
      <c r="G9" t="inlineStr">
        <is>
          <t>사양 공란(EDW없음)</t>
        </is>
      </c>
      <c r="H9">
        <f>SUMPRODUCT(--(LEN($C$2:$C$425)=0))</f>
        <v/>
      </c>
    </row>
    <row r="10">
      <c r="A10" s="4" t="inlineStr">
        <is>
          <t>8UPNS27102</t>
        </is>
      </c>
      <c r="B10" s="4">
        <f>IF(COUNTIF(EDW_RAW!$A$2:$A$1500,$A10)=0,"",IF(SUMPRODUCT((EDW_RAW!$A$2:$A$1500=$A10)*(LEN(EDW_RAW!$R$2:$R$1500)&gt;0))=COUNTIF(EDW_RAW!$A$2:$A$1500,$A10),"O",IF(SUMPRODUCT((EDW_RAW!$A$2:$A$1500=$A10)*(LEN(EDW_RAW!$R$2:$R$1500)&gt;0))&gt;0,"부분","X")))</f>
        <v/>
      </c>
      <c r="C10" s="4">
        <f>IF(COUNTIF(EDW_RAW!$A$2:$A$1500,$A10)=0,"",IF(SUMPRODUCT((EDW_RAW!$A$2:$A$1500=$A10)*(LEN(EDW_RAW!$U$2:$U$1500)&gt;0))=COUNTIF(EDW_RAW!$A$2:$A$1500,$A10),"O",IF(SUMPRODUCT((EDW_RAW!$A$2:$A$1500=$A10)*(LEN(EDW_RAW!$U$2:$U$1500)&gt;0))&gt;0,"부분","X")))</f>
        <v/>
      </c>
      <c r="D10" s="5">
        <f>IFERROR(MAX(FILTER(소재DB_RAW!$AK$3:$AK$2000,(소재DB_RAW!$G$3:$G$2000=$A10)*ISERROR(SEARCH("drop",소재DB_RAW!$C$3:$C$2000))*(소재DB_RAW!$AK$3:$AK$2000&lt;&gt;""))),"")</f>
        <v/>
      </c>
      <c r="E10" s="4">
        <f>IF($D10="","",TEXT($D10,"yyyy-mm-dd"))</f>
        <v/>
      </c>
      <c r="G10" t="inlineStr">
        <is>
          <t>LAB DIP 보유</t>
        </is>
      </c>
      <c r="H10">
        <f>COUNTIF($E$2:$E$425,"?*")</f>
        <v/>
      </c>
    </row>
    <row r="11">
      <c r="A11" s="4" t="inlineStr">
        <is>
          <t>8UTBS27101</t>
        </is>
      </c>
      <c r="B11" s="4">
        <f>IF(COUNTIF(EDW_RAW!$A$2:$A$1500,$A11)=0,"",IF(SUMPRODUCT((EDW_RAW!$A$2:$A$1500=$A11)*(LEN(EDW_RAW!$R$2:$R$1500)&gt;0))=COUNTIF(EDW_RAW!$A$2:$A$1500,$A11),"O",IF(SUMPRODUCT((EDW_RAW!$A$2:$A$1500=$A11)*(LEN(EDW_RAW!$R$2:$R$1500)&gt;0))&gt;0,"부분","X")))</f>
        <v/>
      </c>
      <c r="C11" s="4">
        <f>IF(COUNTIF(EDW_RAW!$A$2:$A$1500,$A11)=0,"",IF(SUMPRODUCT((EDW_RAW!$A$2:$A$1500=$A11)*(LEN(EDW_RAW!$U$2:$U$1500)&gt;0))=COUNTIF(EDW_RAW!$A$2:$A$1500,$A11),"O",IF(SUMPRODUCT((EDW_RAW!$A$2:$A$1500=$A11)*(LEN(EDW_RAW!$U$2:$U$1500)&gt;0))&gt;0,"부분","X")))</f>
        <v/>
      </c>
      <c r="D11" s="5">
        <f>IFERROR(MAX(FILTER(소재DB_RAW!$AK$3:$AK$2000,(소재DB_RAW!$G$3:$G$2000=$A11)*ISERROR(SEARCH("drop",소재DB_RAW!$C$3:$C$2000))*(소재DB_RAW!$AK$3:$AK$2000&lt;&gt;""))),"")</f>
        <v/>
      </c>
      <c r="E11" s="4">
        <f>IF($D11="","",TEXT($D11,"yyyy-mm-dd"))</f>
        <v/>
      </c>
      <c r="G11" t="inlineStr">
        <is>
          <t>품번 수</t>
        </is>
      </c>
      <c r="H11">
        <f>COUNTA($A$2:$A$425)</f>
        <v/>
      </c>
    </row>
    <row r="12">
      <c r="A12" s="4" t="inlineStr">
        <is>
          <t>8UTBM27111</t>
        </is>
      </c>
      <c r="B12" s="4">
        <f>IF(COUNTIF(EDW_RAW!$A$2:$A$1500,$A12)=0,"",IF(SUMPRODUCT((EDW_RAW!$A$2:$A$1500=$A12)*(LEN(EDW_RAW!$R$2:$R$1500)&gt;0))=COUNTIF(EDW_RAW!$A$2:$A$1500,$A12),"O",IF(SUMPRODUCT((EDW_RAW!$A$2:$A$1500=$A12)*(LEN(EDW_RAW!$R$2:$R$1500)&gt;0))&gt;0,"부분","X")))</f>
        <v/>
      </c>
      <c r="C12" s="4">
        <f>IF(COUNTIF(EDW_RAW!$A$2:$A$1500,$A12)=0,"",IF(SUMPRODUCT((EDW_RAW!$A$2:$A$1500=$A12)*(LEN(EDW_RAW!$U$2:$U$1500)&gt;0))=COUNTIF(EDW_RAW!$A$2:$A$1500,$A12),"O",IF(SUMPRODUCT((EDW_RAW!$A$2:$A$1500=$A12)*(LEN(EDW_RAW!$U$2:$U$1500)&gt;0))&gt;0,"부분","X")))</f>
        <v/>
      </c>
      <c r="D12" s="5">
        <f>IFERROR(MAX(FILTER(소재DB_RAW!$AK$3:$AK$2000,(소재DB_RAW!$G$3:$G$2000=$A12)*ISERROR(SEARCH("drop",소재DB_RAW!$C$3:$C$2000))*(소재DB_RAW!$AK$3:$AK$2000&lt;&gt;""))),"")</f>
        <v/>
      </c>
      <c r="E12" s="4">
        <f>IF($D12="","",TEXT($D12,"yyyy-mm-dd"))</f>
        <v/>
      </c>
    </row>
    <row r="13">
      <c r="A13" s="4" t="inlineStr">
        <is>
          <t>8UJJM27101</t>
        </is>
      </c>
      <c r="B13" s="4">
        <f>IF(COUNTIF(EDW_RAW!$A$2:$A$1500,$A13)=0,"",IF(SUMPRODUCT((EDW_RAW!$A$2:$A$1500=$A13)*(LEN(EDW_RAW!$R$2:$R$1500)&gt;0))=COUNTIF(EDW_RAW!$A$2:$A$1500,$A13),"O",IF(SUMPRODUCT((EDW_RAW!$A$2:$A$1500=$A13)*(LEN(EDW_RAW!$R$2:$R$1500)&gt;0))&gt;0,"부분","X")))</f>
        <v/>
      </c>
      <c r="C13" s="4">
        <f>IF(COUNTIF(EDW_RAW!$A$2:$A$1500,$A13)=0,"",IF(SUMPRODUCT((EDW_RAW!$A$2:$A$1500=$A13)*(LEN(EDW_RAW!$U$2:$U$1500)&gt;0))=COUNTIF(EDW_RAW!$A$2:$A$1500,$A13),"O",IF(SUMPRODUCT((EDW_RAW!$A$2:$A$1500=$A13)*(LEN(EDW_RAW!$U$2:$U$1500)&gt;0))&gt;0,"부분","X")))</f>
        <v/>
      </c>
      <c r="D13" s="5">
        <f>IFERROR(MAX(FILTER(소재DB_RAW!$AK$3:$AK$2000,(소재DB_RAW!$G$3:$G$2000=$A13)*ISERROR(SEARCH("drop",소재DB_RAW!$C$3:$C$2000))*(소재DB_RAW!$AK$3:$AK$2000&lt;&gt;""))),"")</f>
        <v/>
      </c>
      <c r="E13" s="4">
        <f>IF($D13="","",TEXT($D13,"yyyy-mm-dd"))</f>
        <v/>
      </c>
    </row>
    <row r="14">
      <c r="A14" s="4" t="inlineStr">
        <is>
          <t>8UTCM27111</t>
        </is>
      </c>
      <c r="B14" s="4">
        <f>IF(COUNTIF(EDW_RAW!$A$2:$A$1500,$A14)=0,"",IF(SUMPRODUCT((EDW_RAW!$A$2:$A$1500=$A14)*(LEN(EDW_RAW!$R$2:$R$1500)&gt;0))=COUNTIF(EDW_RAW!$A$2:$A$1500,$A14),"O",IF(SUMPRODUCT((EDW_RAW!$A$2:$A$1500=$A14)*(LEN(EDW_RAW!$R$2:$R$1500)&gt;0))&gt;0,"부분","X")))</f>
        <v/>
      </c>
      <c r="C14" s="4">
        <f>IF(COUNTIF(EDW_RAW!$A$2:$A$1500,$A14)=0,"",IF(SUMPRODUCT((EDW_RAW!$A$2:$A$1500=$A14)*(LEN(EDW_RAW!$U$2:$U$1500)&gt;0))=COUNTIF(EDW_RAW!$A$2:$A$1500,$A14),"O",IF(SUMPRODUCT((EDW_RAW!$A$2:$A$1500=$A14)*(LEN(EDW_RAW!$U$2:$U$1500)&gt;0))&gt;0,"부분","X")))</f>
        <v/>
      </c>
      <c r="D14" s="5">
        <f>IFERROR(MAX(FILTER(소재DB_RAW!$AK$3:$AK$2000,(소재DB_RAW!$G$3:$G$2000=$A14)*ISERROR(SEARCH("drop",소재DB_RAW!$C$3:$C$2000))*(소재DB_RAW!$AK$3:$AK$2000&lt;&gt;""))),"")</f>
        <v/>
      </c>
      <c r="E14" s="4">
        <f>IF($D14="","",TEXT($D14,"yyyy-mm-dd"))</f>
        <v/>
      </c>
    </row>
    <row r="15">
      <c r="A15" s="4" t="inlineStr">
        <is>
          <t>8UPOM27101</t>
        </is>
      </c>
      <c r="B15" s="4">
        <f>IF(COUNTIF(EDW_RAW!$A$2:$A$1500,$A15)=0,"",IF(SUMPRODUCT((EDW_RAW!$A$2:$A$1500=$A15)*(LEN(EDW_RAW!$R$2:$R$1500)&gt;0))=COUNTIF(EDW_RAW!$A$2:$A$1500,$A15),"O",IF(SUMPRODUCT((EDW_RAW!$A$2:$A$1500=$A15)*(LEN(EDW_RAW!$R$2:$R$1500)&gt;0))&gt;0,"부분","X")))</f>
        <v/>
      </c>
      <c r="C15" s="4">
        <f>IF(COUNTIF(EDW_RAW!$A$2:$A$1500,$A15)=0,"",IF(SUMPRODUCT((EDW_RAW!$A$2:$A$1500=$A15)*(LEN(EDW_RAW!$U$2:$U$1500)&gt;0))=COUNTIF(EDW_RAW!$A$2:$A$1500,$A15),"O",IF(SUMPRODUCT((EDW_RAW!$A$2:$A$1500=$A15)*(LEN(EDW_RAW!$U$2:$U$1500)&gt;0))&gt;0,"부분","X")))</f>
        <v/>
      </c>
      <c r="D15" s="5">
        <f>IFERROR(MAX(FILTER(소재DB_RAW!$AK$3:$AK$2000,(소재DB_RAW!$G$3:$G$2000=$A15)*ISERROR(SEARCH("drop",소재DB_RAW!$C$3:$C$2000))*(소재DB_RAW!$AK$3:$AK$2000&lt;&gt;""))),"")</f>
        <v/>
      </c>
      <c r="E15" s="4">
        <f>IF($D15="","",TEXT($D15,"yyyy-mm-dd"))</f>
        <v/>
      </c>
    </row>
    <row r="16">
      <c r="A16" s="4" t="inlineStr">
        <is>
          <t>8GPFM27101</t>
        </is>
      </c>
      <c r="B16" s="4">
        <f>IF(COUNTIF(EDW_RAW!$A$2:$A$1500,$A16)=0,"",IF(SUMPRODUCT((EDW_RAW!$A$2:$A$1500=$A16)*(LEN(EDW_RAW!$R$2:$R$1500)&gt;0))=COUNTIF(EDW_RAW!$A$2:$A$1500,$A16),"O",IF(SUMPRODUCT((EDW_RAW!$A$2:$A$1500=$A16)*(LEN(EDW_RAW!$R$2:$R$1500)&gt;0))&gt;0,"부분","X")))</f>
        <v/>
      </c>
      <c r="C16" s="4">
        <f>IF(COUNTIF(EDW_RAW!$A$2:$A$1500,$A16)=0,"",IF(SUMPRODUCT((EDW_RAW!$A$2:$A$1500=$A16)*(LEN(EDW_RAW!$U$2:$U$1500)&gt;0))=COUNTIF(EDW_RAW!$A$2:$A$1500,$A16),"O",IF(SUMPRODUCT((EDW_RAW!$A$2:$A$1500=$A16)*(LEN(EDW_RAW!$U$2:$U$1500)&gt;0))&gt;0,"부분","X")))</f>
        <v/>
      </c>
      <c r="D16" s="5">
        <f>IFERROR(MAX(FILTER(소재DB_RAW!$AK$3:$AK$2000,(소재DB_RAW!$G$3:$G$2000=$A16)*ISERROR(SEARCH("drop",소재DB_RAW!$C$3:$C$2000))*(소재DB_RAW!$AK$3:$AK$2000&lt;&gt;""))),"")</f>
        <v/>
      </c>
      <c r="E16" s="4">
        <f>IF($D16="","",TEXT($D16,"yyyy-mm-dd"))</f>
        <v/>
      </c>
    </row>
    <row r="17">
      <c r="A17" s="4" t="inlineStr">
        <is>
          <t>8GJJS27101</t>
        </is>
      </c>
      <c r="B17" s="4">
        <f>IF(COUNTIF(EDW_RAW!$A$2:$A$1500,$A17)=0,"",IF(SUMPRODUCT((EDW_RAW!$A$2:$A$1500=$A17)*(LEN(EDW_RAW!$R$2:$R$1500)&gt;0))=COUNTIF(EDW_RAW!$A$2:$A$1500,$A17),"O",IF(SUMPRODUCT((EDW_RAW!$A$2:$A$1500=$A17)*(LEN(EDW_RAW!$R$2:$R$1500)&gt;0))&gt;0,"부분","X")))</f>
        <v/>
      </c>
      <c r="C17" s="4">
        <f>IF(COUNTIF(EDW_RAW!$A$2:$A$1500,$A17)=0,"",IF(SUMPRODUCT((EDW_RAW!$A$2:$A$1500=$A17)*(LEN(EDW_RAW!$U$2:$U$1500)&gt;0))=COUNTIF(EDW_RAW!$A$2:$A$1500,$A17),"O",IF(SUMPRODUCT((EDW_RAW!$A$2:$A$1500=$A17)*(LEN(EDW_RAW!$U$2:$U$1500)&gt;0))&gt;0,"부분","X")))</f>
        <v/>
      </c>
      <c r="D17" s="5">
        <f>IFERROR(MAX(FILTER(소재DB_RAW!$AK$3:$AK$2000,(소재DB_RAW!$G$3:$G$2000=$A17)*ISERROR(SEARCH("drop",소재DB_RAW!$C$3:$C$2000))*(소재DB_RAW!$AK$3:$AK$2000&lt;&gt;""))),"")</f>
        <v/>
      </c>
      <c r="E17" s="4">
        <f>IF($D17="","",TEXT($D17,"yyyy-mm-dd"))</f>
        <v/>
      </c>
    </row>
    <row r="18">
      <c r="A18" s="4" t="inlineStr">
        <is>
          <t>8GPNS27101</t>
        </is>
      </c>
      <c r="B18" s="4">
        <f>IF(COUNTIF(EDW_RAW!$A$2:$A$1500,$A18)=0,"",IF(SUMPRODUCT((EDW_RAW!$A$2:$A$1500=$A18)*(LEN(EDW_RAW!$R$2:$R$1500)&gt;0))=COUNTIF(EDW_RAW!$A$2:$A$1500,$A18),"O",IF(SUMPRODUCT((EDW_RAW!$A$2:$A$1500=$A18)*(LEN(EDW_RAW!$R$2:$R$1500)&gt;0))&gt;0,"부분","X")))</f>
        <v/>
      </c>
      <c r="C18" s="4">
        <f>IF(COUNTIF(EDW_RAW!$A$2:$A$1500,$A18)=0,"",IF(SUMPRODUCT((EDW_RAW!$A$2:$A$1500=$A18)*(LEN(EDW_RAW!$U$2:$U$1500)&gt;0))=COUNTIF(EDW_RAW!$A$2:$A$1500,$A18),"O",IF(SUMPRODUCT((EDW_RAW!$A$2:$A$1500=$A18)*(LEN(EDW_RAW!$U$2:$U$1500)&gt;0))&gt;0,"부분","X")))</f>
        <v/>
      </c>
      <c r="D18" s="5">
        <f>IFERROR(MAX(FILTER(소재DB_RAW!$AK$3:$AK$2000,(소재DB_RAW!$G$3:$G$2000=$A18)*ISERROR(SEARCH("drop",소재DB_RAW!$C$3:$C$2000))*(소재DB_RAW!$AK$3:$AK$2000&lt;&gt;""))),"")</f>
        <v/>
      </c>
      <c r="E18" s="4">
        <f>IF($D18="","",TEXT($D18,"yyyy-mm-dd"))</f>
        <v/>
      </c>
    </row>
    <row r="19">
      <c r="A19" s="4" t="inlineStr">
        <is>
          <t>8HJJS27102</t>
        </is>
      </c>
      <c r="B19" s="4">
        <f>IF(COUNTIF(EDW_RAW!$A$2:$A$1500,$A19)=0,"",IF(SUMPRODUCT((EDW_RAW!$A$2:$A$1500=$A19)*(LEN(EDW_RAW!$R$2:$R$1500)&gt;0))=COUNTIF(EDW_RAW!$A$2:$A$1500,$A19),"O",IF(SUMPRODUCT((EDW_RAW!$A$2:$A$1500=$A19)*(LEN(EDW_RAW!$R$2:$R$1500)&gt;0))&gt;0,"부분","X")))</f>
        <v/>
      </c>
      <c r="C19" s="4">
        <f>IF(COUNTIF(EDW_RAW!$A$2:$A$1500,$A19)=0,"",IF(SUMPRODUCT((EDW_RAW!$A$2:$A$1500=$A19)*(LEN(EDW_RAW!$U$2:$U$1500)&gt;0))=COUNTIF(EDW_RAW!$A$2:$A$1500,$A19),"O",IF(SUMPRODUCT((EDW_RAW!$A$2:$A$1500=$A19)*(LEN(EDW_RAW!$U$2:$U$1500)&gt;0))&gt;0,"부분","X")))</f>
        <v/>
      </c>
      <c r="D19" s="5">
        <f>IFERROR(MAX(FILTER(소재DB_RAW!$AK$3:$AK$2000,(소재DB_RAW!$G$3:$G$2000=$A19)*ISERROR(SEARCH("drop",소재DB_RAW!$C$3:$C$2000))*(소재DB_RAW!$AK$3:$AK$2000&lt;&gt;""))),"")</f>
        <v/>
      </c>
      <c r="E19" s="4">
        <f>IF($D19="","",TEXT($D19,"yyyy-mm-dd"))</f>
        <v/>
      </c>
    </row>
    <row r="20">
      <c r="A20" s="4" t="inlineStr">
        <is>
          <t>8HPNS27102</t>
        </is>
      </c>
      <c r="B20" s="4">
        <f>IF(COUNTIF(EDW_RAW!$A$2:$A$1500,$A20)=0,"",IF(SUMPRODUCT((EDW_RAW!$A$2:$A$1500=$A20)*(LEN(EDW_RAW!$R$2:$R$1500)&gt;0))=COUNTIF(EDW_RAW!$A$2:$A$1500,$A20),"O",IF(SUMPRODUCT((EDW_RAW!$A$2:$A$1500=$A20)*(LEN(EDW_RAW!$R$2:$R$1500)&gt;0))&gt;0,"부분","X")))</f>
        <v/>
      </c>
      <c r="C20" s="4">
        <f>IF(COUNTIF(EDW_RAW!$A$2:$A$1500,$A20)=0,"",IF(SUMPRODUCT((EDW_RAW!$A$2:$A$1500=$A20)*(LEN(EDW_RAW!$U$2:$U$1500)&gt;0))=COUNTIF(EDW_RAW!$A$2:$A$1500,$A20),"O",IF(SUMPRODUCT((EDW_RAW!$A$2:$A$1500=$A20)*(LEN(EDW_RAW!$U$2:$U$1500)&gt;0))&gt;0,"부분","X")))</f>
        <v/>
      </c>
      <c r="D20" s="5">
        <f>IFERROR(MAX(FILTER(소재DB_RAW!$AK$3:$AK$2000,(소재DB_RAW!$G$3:$G$2000=$A20)*ISERROR(SEARCH("drop",소재DB_RAW!$C$3:$C$2000))*(소재DB_RAW!$AK$3:$AK$2000&lt;&gt;""))),"")</f>
        <v/>
      </c>
      <c r="E20" s="4">
        <f>IF($D20="","",TEXT($D20,"yyyy-mm-dd"))</f>
        <v/>
      </c>
    </row>
    <row r="21">
      <c r="A21" s="4" t="inlineStr">
        <is>
          <t>8UTBS27102</t>
        </is>
      </c>
      <c r="B21" s="4">
        <f>IF(COUNTIF(EDW_RAW!$A$2:$A$1500,$A21)=0,"",IF(SUMPRODUCT((EDW_RAW!$A$2:$A$1500=$A21)*(LEN(EDW_RAW!$R$2:$R$1500)&gt;0))=COUNTIF(EDW_RAW!$A$2:$A$1500,$A21),"O",IF(SUMPRODUCT((EDW_RAW!$A$2:$A$1500=$A21)*(LEN(EDW_RAW!$R$2:$R$1500)&gt;0))&gt;0,"부분","X")))</f>
        <v/>
      </c>
      <c r="C21" s="4">
        <f>IF(COUNTIF(EDW_RAW!$A$2:$A$1500,$A21)=0,"",IF(SUMPRODUCT((EDW_RAW!$A$2:$A$1500=$A21)*(LEN(EDW_RAW!$U$2:$U$1500)&gt;0))=COUNTIF(EDW_RAW!$A$2:$A$1500,$A21),"O",IF(SUMPRODUCT((EDW_RAW!$A$2:$A$1500=$A21)*(LEN(EDW_RAW!$U$2:$U$1500)&gt;0))&gt;0,"부분","X")))</f>
        <v/>
      </c>
      <c r="D21" s="5">
        <f>IFERROR(MAX(FILTER(소재DB_RAW!$AK$3:$AK$2000,(소재DB_RAW!$G$3:$G$2000=$A21)*ISERROR(SEARCH("drop",소재DB_RAW!$C$3:$C$2000))*(소재DB_RAW!$AK$3:$AK$2000&lt;&gt;""))),"")</f>
        <v/>
      </c>
      <c r="E21" s="4">
        <f>IF($D21="","",TEXT($D21,"yyyy-mm-dd"))</f>
        <v/>
      </c>
    </row>
    <row r="22">
      <c r="A22" s="4" t="inlineStr">
        <is>
          <t>8UJJS27102</t>
        </is>
      </c>
      <c r="B22" s="4">
        <f>IF(COUNTIF(EDW_RAW!$A$2:$A$1500,$A22)=0,"",IF(SUMPRODUCT((EDW_RAW!$A$2:$A$1500=$A22)*(LEN(EDW_RAW!$R$2:$R$1500)&gt;0))=COUNTIF(EDW_RAW!$A$2:$A$1500,$A22),"O",IF(SUMPRODUCT((EDW_RAW!$A$2:$A$1500=$A22)*(LEN(EDW_RAW!$R$2:$R$1500)&gt;0))&gt;0,"부분","X")))</f>
        <v/>
      </c>
      <c r="C22" s="4">
        <f>IF(COUNTIF(EDW_RAW!$A$2:$A$1500,$A22)=0,"",IF(SUMPRODUCT((EDW_RAW!$A$2:$A$1500=$A22)*(LEN(EDW_RAW!$U$2:$U$1500)&gt;0))=COUNTIF(EDW_RAW!$A$2:$A$1500,$A22),"O",IF(SUMPRODUCT((EDW_RAW!$A$2:$A$1500=$A22)*(LEN(EDW_RAW!$U$2:$U$1500)&gt;0))&gt;0,"부분","X")))</f>
        <v/>
      </c>
      <c r="D22" s="5">
        <f>IFERROR(MAX(FILTER(소재DB_RAW!$AK$3:$AK$2000,(소재DB_RAW!$G$3:$G$2000=$A22)*ISERROR(SEARCH("drop",소재DB_RAW!$C$3:$C$2000))*(소재DB_RAW!$AK$3:$AK$2000&lt;&gt;""))),"")</f>
        <v/>
      </c>
      <c r="E22" s="4">
        <f>IF($D22="","",TEXT($D22,"yyyy-mm-dd"))</f>
        <v/>
      </c>
    </row>
    <row r="23">
      <c r="A23" s="4" t="inlineStr">
        <is>
          <t>8UTCM27101</t>
        </is>
      </c>
      <c r="B23" s="4">
        <f>IF(COUNTIF(EDW_RAW!$A$2:$A$1500,$A23)=0,"",IF(SUMPRODUCT((EDW_RAW!$A$2:$A$1500=$A23)*(LEN(EDW_RAW!$R$2:$R$1500)&gt;0))=COUNTIF(EDW_RAW!$A$2:$A$1500,$A23),"O",IF(SUMPRODUCT((EDW_RAW!$A$2:$A$1500=$A23)*(LEN(EDW_RAW!$R$2:$R$1500)&gt;0))&gt;0,"부분","X")))</f>
        <v/>
      </c>
      <c r="C23" s="4">
        <f>IF(COUNTIF(EDW_RAW!$A$2:$A$1500,$A23)=0,"",IF(SUMPRODUCT((EDW_RAW!$A$2:$A$1500=$A23)*(LEN(EDW_RAW!$U$2:$U$1500)&gt;0))=COUNTIF(EDW_RAW!$A$2:$A$1500,$A23),"O",IF(SUMPRODUCT((EDW_RAW!$A$2:$A$1500=$A23)*(LEN(EDW_RAW!$U$2:$U$1500)&gt;0))&gt;0,"부분","X")))</f>
        <v/>
      </c>
      <c r="D23" s="5">
        <f>IFERROR(MAX(FILTER(소재DB_RAW!$AK$3:$AK$2000,(소재DB_RAW!$G$3:$G$2000=$A23)*ISERROR(SEARCH("drop",소재DB_RAW!$C$3:$C$2000))*(소재DB_RAW!$AK$3:$AK$2000&lt;&gt;""))),"")</f>
        <v/>
      </c>
      <c r="E23" s="4">
        <f>IF($D23="","",TEXT($D23,"yyyy-mm-dd"))</f>
        <v/>
      </c>
    </row>
    <row r="24">
      <c r="A24" s="4" t="inlineStr">
        <is>
          <t>8UPNM27101</t>
        </is>
      </c>
      <c r="B24" s="4">
        <f>IF(COUNTIF(EDW_RAW!$A$2:$A$1500,$A24)=0,"",IF(SUMPRODUCT((EDW_RAW!$A$2:$A$1500=$A24)*(LEN(EDW_RAW!$R$2:$R$1500)&gt;0))=COUNTIF(EDW_RAW!$A$2:$A$1500,$A24),"O",IF(SUMPRODUCT((EDW_RAW!$A$2:$A$1500=$A24)*(LEN(EDW_RAW!$R$2:$R$1500)&gt;0))&gt;0,"부분","X")))</f>
        <v/>
      </c>
      <c r="C24" s="4">
        <f>IF(COUNTIF(EDW_RAW!$A$2:$A$1500,$A24)=0,"",IF(SUMPRODUCT((EDW_RAW!$A$2:$A$1500=$A24)*(LEN(EDW_RAW!$U$2:$U$1500)&gt;0))=COUNTIF(EDW_RAW!$A$2:$A$1500,$A24),"O",IF(SUMPRODUCT((EDW_RAW!$A$2:$A$1500=$A24)*(LEN(EDW_RAW!$U$2:$U$1500)&gt;0))&gt;0,"부분","X")))</f>
        <v/>
      </c>
      <c r="D24" s="5">
        <f>IFERROR(MAX(FILTER(소재DB_RAW!$AK$3:$AK$2000,(소재DB_RAW!$G$3:$G$2000=$A24)*ISERROR(SEARCH("drop",소재DB_RAW!$C$3:$C$2000))*(소재DB_RAW!$AK$3:$AK$2000&lt;&gt;""))),"")</f>
        <v/>
      </c>
      <c r="E24" s="4">
        <f>IF($D24="","",TEXT($D24,"yyyy-mm-dd"))</f>
        <v/>
      </c>
    </row>
    <row r="25">
      <c r="A25" s="4" t="inlineStr">
        <is>
          <t>8UTBM27101</t>
        </is>
      </c>
      <c r="B25" s="4">
        <f>IF(COUNTIF(EDW_RAW!$A$2:$A$1500,$A25)=0,"",IF(SUMPRODUCT((EDW_RAW!$A$2:$A$1500=$A25)*(LEN(EDW_RAW!$R$2:$R$1500)&gt;0))=COUNTIF(EDW_RAW!$A$2:$A$1500,$A25),"O",IF(SUMPRODUCT((EDW_RAW!$A$2:$A$1500=$A25)*(LEN(EDW_RAW!$R$2:$R$1500)&gt;0))&gt;0,"부분","X")))</f>
        <v/>
      </c>
      <c r="C25" s="4">
        <f>IF(COUNTIF(EDW_RAW!$A$2:$A$1500,$A25)=0,"",IF(SUMPRODUCT((EDW_RAW!$A$2:$A$1500=$A25)*(LEN(EDW_RAW!$U$2:$U$1500)&gt;0))=COUNTIF(EDW_RAW!$A$2:$A$1500,$A25),"O",IF(SUMPRODUCT((EDW_RAW!$A$2:$A$1500=$A25)*(LEN(EDW_RAW!$U$2:$U$1500)&gt;0))&gt;0,"부분","X")))</f>
        <v/>
      </c>
      <c r="D25" s="5">
        <f>IFERROR(MAX(FILTER(소재DB_RAW!$AK$3:$AK$2000,(소재DB_RAW!$G$3:$G$2000=$A25)*ISERROR(SEARCH("drop",소재DB_RAW!$C$3:$C$2000))*(소재DB_RAW!$AK$3:$AK$2000&lt;&gt;""))),"")</f>
        <v/>
      </c>
      <c r="E25" s="4">
        <f>IF($D25="","",TEXT($D25,"yyyy-mm-dd"))</f>
        <v/>
      </c>
    </row>
    <row r="26">
      <c r="A26" s="4" t="inlineStr">
        <is>
          <t>8UPOM27102</t>
        </is>
      </c>
      <c r="B26" s="4">
        <f>IF(COUNTIF(EDW_RAW!$A$2:$A$1500,$A26)=0,"",IF(SUMPRODUCT((EDW_RAW!$A$2:$A$1500=$A26)*(LEN(EDW_RAW!$R$2:$R$1500)&gt;0))=COUNTIF(EDW_RAW!$A$2:$A$1500,$A26),"O",IF(SUMPRODUCT((EDW_RAW!$A$2:$A$1500=$A26)*(LEN(EDW_RAW!$R$2:$R$1500)&gt;0))&gt;0,"부분","X")))</f>
        <v/>
      </c>
      <c r="C26" s="4">
        <f>IF(COUNTIF(EDW_RAW!$A$2:$A$1500,$A26)=0,"",IF(SUMPRODUCT((EDW_RAW!$A$2:$A$1500=$A26)*(LEN(EDW_RAW!$U$2:$U$1500)&gt;0))=COUNTIF(EDW_RAW!$A$2:$A$1500,$A26),"O",IF(SUMPRODUCT((EDW_RAW!$A$2:$A$1500=$A26)*(LEN(EDW_RAW!$U$2:$U$1500)&gt;0))&gt;0,"부분","X")))</f>
        <v/>
      </c>
      <c r="D26" s="5">
        <f>IFERROR(MAX(FILTER(소재DB_RAW!$AK$3:$AK$2000,(소재DB_RAW!$G$3:$G$2000=$A26)*ISERROR(SEARCH("drop",소재DB_RAW!$C$3:$C$2000))*(소재DB_RAW!$AK$3:$AK$2000&lt;&gt;""))),"")</f>
        <v/>
      </c>
      <c r="E26" s="4">
        <f>IF($D26="","",TEXT($D26,"yyyy-mm-dd"))</f>
        <v/>
      </c>
    </row>
    <row r="27">
      <c r="A27" s="4" t="inlineStr">
        <is>
          <t>8USCM27101</t>
        </is>
      </c>
      <c r="B27" s="4">
        <f>IF(COUNTIF(EDW_RAW!$A$2:$A$1500,$A27)=0,"",IF(SUMPRODUCT((EDW_RAW!$A$2:$A$1500=$A27)*(LEN(EDW_RAW!$R$2:$R$1500)&gt;0))=COUNTIF(EDW_RAW!$A$2:$A$1500,$A27),"O",IF(SUMPRODUCT((EDW_RAW!$A$2:$A$1500=$A27)*(LEN(EDW_RAW!$R$2:$R$1500)&gt;0))&gt;0,"부분","X")))</f>
        <v/>
      </c>
      <c r="C27" s="4">
        <f>IF(COUNTIF(EDW_RAW!$A$2:$A$1500,$A27)=0,"",IF(SUMPRODUCT((EDW_RAW!$A$2:$A$1500=$A27)*(LEN(EDW_RAW!$U$2:$U$1500)&gt;0))=COUNTIF(EDW_RAW!$A$2:$A$1500,$A27),"O",IF(SUMPRODUCT((EDW_RAW!$A$2:$A$1500=$A27)*(LEN(EDW_RAW!$U$2:$U$1500)&gt;0))&gt;0,"부분","X")))</f>
        <v/>
      </c>
      <c r="D27" s="5">
        <f>IFERROR(MAX(FILTER(소재DB_RAW!$AK$3:$AK$2000,(소재DB_RAW!$G$3:$G$2000=$A27)*ISERROR(SEARCH("drop",소재DB_RAW!$C$3:$C$2000))*(소재DB_RAW!$AK$3:$AK$2000&lt;&gt;""))),"")</f>
        <v/>
      </c>
      <c r="E27" s="4">
        <f>IF($D27="","",TEXT($D27,"yyyy-mm-dd"))</f>
        <v/>
      </c>
    </row>
    <row r="28">
      <c r="A28" s="4" t="inlineStr">
        <is>
          <t>8GPOM27103</t>
        </is>
      </c>
      <c r="B28" s="4">
        <f>IF(COUNTIF(EDW_RAW!$A$2:$A$1500,$A28)=0,"",IF(SUMPRODUCT((EDW_RAW!$A$2:$A$1500=$A28)*(LEN(EDW_RAW!$R$2:$R$1500)&gt;0))=COUNTIF(EDW_RAW!$A$2:$A$1500,$A28),"O",IF(SUMPRODUCT((EDW_RAW!$A$2:$A$1500=$A28)*(LEN(EDW_RAW!$R$2:$R$1500)&gt;0))&gt;0,"부분","X")))</f>
        <v/>
      </c>
      <c r="C28" s="4">
        <f>IF(COUNTIF(EDW_RAW!$A$2:$A$1500,$A28)=0,"",IF(SUMPRODUCT((EDW_RAW!$A$2:$A$1500=$A28)*(LEN(EDW_RAW!$U$2:$U$1500)&gt;0))=COUNTIF(EDW_RAW!$A$2:$A$1500,$A28),"O",IF(SUMPRODUCT((EDW_RAW!$A$2:$A$1500=$A28)*(LEN(EDW_RAW!$U$2:$U$1500)&gt;0))&gt;0,"부분","X")))</f>
        <v/>
      </c>
      <c r="D28" s="5">
        <f>IFERROR(MAX(FILTER(소재DB_RAW!$AK$3:$AK$2000,(소재DB_RAW!$G$3:$G$2000=$A28)*ISERROR(SEARCH("drop",소재DB_RAW!$C$3:$C$2000))*(소재DB_RAW!$AK$3:$AK$2000&lt;&gt;""))),"")</f>
        <v/>
      </c>
      <c r="E28" s="4">
        <f>IF($D28="","",TEXT($D28,"yyyy-mm-dd"))</f>
        <v/>
      </c>
    </row>
    <row r="29">
      <c r="A29" s="4" t="inlineStr">
        <is>
          <t>8HPOM27102</t>
        </is>
      </c>
      <c r="B29" s="4">
        <f>IF(COUNTIF(EDW_RAW!$A$2:$A$1500,$A29)=0,"",IF(SUMPRODUCT((EDW_RAW!$A$2:$A$1500=$A29)*(LEN(EDW_RAW!$R$2:$R$1500)&gt;0))=COUNTIF(EDW_RAW!$A$2:$A$1500,$A29),"O",IF(SUMPRODUCT((EDW_RAW!$A$2:$A$1500=$A29)*(LEN(EDW_RAW!$R$2:$R$1500)&gt;0))&gt;0,"부분","X")))</f>
        <v/>
      </c>
      <c r="C29" s="4">
        <f>IF(COUNTIF(EDW_RAW!$A$2:$A$1500,$A29)=0,"",IF(SUMPRODUCT((EDW_RAW!$A$2:$A$1500=$A29)*(LEN(EDW_RAW!$U$2:$U$1500)&gt;0))=COUNTIF(EDW_RAW!$A$2:$A$1500,$A29),"O",IF(SUMPRODUCT((EDW_RAW!$A$2:$A$1500=$A29)*(LEN(EDW_RAW!$U$2:$U$1500)&gt;0))&gt;0,"부분","X")))</f>
        <v/>
      </c>
      <c r="D29" s="5">
        <f>IFERROR(MAX(FILTER(소재DB_RAW!$AK$3:$AK$2000,(소재DB_RAW!$G$3:$G$2000=$A29)*ISERROR(SEARCH("drop",소재DB_RAW!$C$3:$C$2000))*(소재DB_RAW!$AK$3:$AK$2000&lt;&gt;""))),"")</f>
        <v/>
      </c>
      <c r="E29" s="4">
        <f>IF($D29="","",TEXT($D29,"yyyy-mm-dd"))</f>
        <v/>
      </c>
    </row>
    <row r="30">
      <c r="A30" s="4" t="inlineStr">
        <is>
          <t>8HJJM27102</t>
        </is>
      </c>
      <c r="B30" s="4">
        <f>IF(COUNTIF(EDW_RAW!$A$2:$A$1500,$A30)=0,"",IF(SUMPRODUCT((EDW_RAW!$A$2:$A$1500=$A30)*(LEN(EDW_RAW!$R$2:$R$1500)&gt;0))=COUNTIF(EDW_RAW!$A$2:$A$1500,$A30),"O",IF(SUMPRODUCT((EDW_RAW!$A$2:$A$1500=$A30)*(LEN(EDW_RAW!$R$2:$R$1500)&gt;0))&gt;0,"부분","X")))</f>
        <v/>
      </c>
      <c r="C30" s="4">
        <f>IF(COUNTIF(EDW_RAW!$A$2:$A$1500,$A30)=0,"",IF(SUMPRODUCT((EDW_RAW!$A$2:$A$1500=$A30)*(LEN(EDW_RAW!$U$2:$U$1500)&gt;0))=COUNTIF(EDW_RAW!$A$2:$A$1500,$A30),"O",IF(SUMPRODUCT((EDW_RAW!$A$2:$A$1500=$A30)*(LEN(EDW_RAW!$U$2:$U$1500)&gt;0))&gt;0,"부분","X")))</f>
        <v/>
      </c>
      <c r="D30" s="5">
        <f>IFERROR(MAX(FILTER(소재DB_RAW!$AK$3:$AK$2000,(소재DB_RAW!$G$3:$G$2000=$A30)*ISERROR(SEARCH("drop",소재DB_RAW!$C$3:$C$2000))*(소재DB_RAW!$AK$3:$AK$2000&lt;&gt;""))),"")</f>
        <v/>
      </c>
      <c r="E30" s="4">
        <f>IF($D30="","",TEXT($D30,"yyyy-mm-dd"))</f>
        <v/>
      </c>
    </row>
    <row r="31">
      <c r="A31" s="4" t="inlineStr">
        <is>
          <t>8UTCM27105</t>
        </is>
      </c>
      <c r="B31" s="4">
        <f>IF(COUNTIF(EDW_RAW!$A$2:$A$1500,$A31)=0,"",IF(SUMPRODUCT((EDW_RAW!$A$2:$A$1500=$A31)*(LEN(EDW_RAW!$R$2:$R$1500)&gt;0))=COUNTIF(EDW_RAW!$A$2:$A$1500,$A31),"O",IF(SUMPRODUCT((EDW_RAW!$A$2:$A$1500=$A31)*(LEN(EDW_RAW!$R$2:$R$1500)&gt;0))&gt;0,"부분","X")))</f>
        <v/>
      </c>
      <c r="C31" s="4">
        <f>IF(COUNTIF(EDW_RAW!$A$2:$A$1500,$A31)=0,"",IF(SUMPRODUCT((EDW_RAW!$A$2:$A$1500=$A31)*(LEN(EDW_RAW!$U$2:$U$1500)&gt;0))=COUNTIF(EDW_RAW!$A$2:$A$1500,$A31),"O",IF(SUMPRODUCT((EDW_RAW!$A$2:$A$1500=$A31)*(LEN(EDW_RAW!$U$2:$U$1500)&gt;0))&gt;0,"부분","X")))</f>
        <v/>
      </c>
      <c r="D31" s="5">
        <f>IFERROR(MAX(FILTER(소재DB_RAW!$AK$3:$AK$2000,(소재DB_RAW!$G$3:$G$2000=$A31)*ISERROR(SEARCH("drop",소재DB_RAW!$C$3:$C$2000))*(소재DB_RAW!$AK$3:$AK$2000&lt;&gt;""))),"")</f>
        <v/>
      </c>
      <c r="E31" s="4">
        <f>IF($D31="","",TEXT($D31,"yyyy-mm-dd"))</f>
        <v/>
      </c>
    </row>
    <row r="32">
      <c r="A32" s="4" t="inlineStr">
        <is>
          <t>8HTCM27102</t>
        </is>
      </c>
      <c r="B32" s="4">
        <f>IF(COUNTIF(EDW_RAW!$A$2:$A$1500,$A32)=0,"",IF(SUMPRODUCT((EDW_RAW!$A$2:$A$1500=$A32)*(LEN(EDW_RAW!$R$2:$R$1500)&gt;0))=COUNTIF(EDW_RAW!$A$2:$A$1500,$A32),"O",IF(SUMPRODUCT((EDW_RAW!$A$2:$A$1500=$A32)*(LEN(EDW_RAW!$R$2:$R$1500)&gt;0))&gt;0,"부분","X")))</f>
        <v/>
      </c>
      <c r="C32" s="4">
        <f>IF(COUNTIF(EDW_RAW!$A$2:$A$1500,$A32)=0,"",IF(SUMPRODUCT((EDW_RAW!$A$2:$A$1500=$A32)*(LEN(EDW_RAW!$U$2:$U$1500)&gt;0))=COUNTIF(EDW_RAW!$A$2:$A$1500,$A32),"O",IF(SUMPRODUCT((EDW_RAW!$A$2:$A$1500=$A32)*(LEN(EDW_RAW!$U$2:$U$1500)&gt;0))&gt;0,"부분","X")))</f>
        <v/>
      </c>
      <c r="D32" s="5">
        <f>IFERROR(MAX(FILTER(소재DB_RAW!$AK$3:$AK$2000,(소재DB_RAW!$G$3:$G$2000=$A32)*ISERROR(SEARCH("drop",소재DB_RAW!$C$3:$C$2000))*(소재DB_RAW!$AK$3:$AK$2000&lt;&gt;""))),"")</f>
        <v/>
      </c>
      <c r="E32" s="4">
        <f>IF($D32="","",TEXT($D32,"yyyy-mm-dd"))</f>
        <v/>
      </c>
    </row>
    <row r="33">
      <c r="A33" s="4" t="inlineStr">
        <is>
          <t>8UPOM27103</t>
        </is>
      </c>
      <c r="B33" s="4">
        <f>IF(COUNTIF(EDW_RAW!$A$2:$A$1500,$A33)=0,"",IF(SUMPRODUCT((EDW_RAW!$A$2:$A$1500=$A33)*(LEN(EDW_RAW!$R$2:$R$1500)&gt;0))=COUNTIF(EDW_RAW!$A$2:$A$1500,$A33),"O",IF(SUMPRODUCT((EDW_RAW!$A$2:$A$1500=$A33)*(LEN(EDW_RAW!$R$2:$R$1500)&gt;0))&gt;0,"부분","X")))</f>
        <v/>
      </c>
      <c r="C33" s="4">
        <f>IF(COUNTIF(EDW_RAW!$A$2:$A$1500,$A33)=0,"",IF(SUMPRODUCT((EDW_RAW!$A$2:$A$1500=$A33)*(LEN(EDW_RAW!$U$2:$U$1500)&gt;0))=COUNTIF(EDW_RAW!$A$2:$A$1500,$A33),"O",IF(SUMPRODUCT((EDW_RAW!$A$2:$A$1500=$A33)*(LEN(EDW_RAW!$U$2:$U$1500)&gt;0))&gt;0,"부분","X")))</f>
        <v/>
      </c>
      <c r="D33" s="5">
        <f>IFERROR(MAX(FILTER(소재DB_RAW!$AK$3:$AK$2000,(소재DB_RAW!$G$3:$G$2000=$A33)*ISERROR(SEARCH("drop",소재DB_RAW!$C$3:$C$2000))*(소재DB_RAW!$AK$3:$AK$2000&lt;&gt;""))),"")</f>
        <v/>
      </c>
      <c r="E33" s="4">
        <f>IF($D33="","",TEXT($D33,"yyyy-mm-dd"))</f>
        <v/>
      </c>
    </row>
    <row r="34">
      <c r="A34" s="4" t="inlineStr">
        <is>
          <t>8NREX27101</t>
        </is>
      </c>
      <c r="B34" s="4">
        <f>IF(COUNTIF(EDW_RAW!$A$2:$A$1500,$A34)=0,"",IF(SUMPRODUCT((EDW_RAW!$A$2:$A$1500=$A34)*(LEN(EDW_RAW!$R$2:$R$1500)&gt;0))=COUNTIF(EDW_RAW!$A$2:$A$1500,$A34),"O",IF(SUMPRODUCT((EDW_RAW!$A$2:$A$1500=$A34)*(LEN(EDW_RAW!$R$2:$R$1500)&gt;0))&gt;0,"부분","X")))</f>
        <v/>
      </c>
      <c r="C34" s="4">
        <f>IF(COUNTIF(EDW_RAW!$A$2:$A$1500,$A34)=0,"",IF(SUMPRODUCT((EDW_RAW!$A$2:$A$1500=$A34)*(LEN(EDW_RAW!$U$2:$U$1500)&gt;0))=COUNTIF(EDW_RAW!$A$2:$A$1500,$A34),"O",IF(SUMPRODUCT((EDW_RAW!$A$2:$A$1500=$A34)*(LEN(EDW_RAW!$U$2:$U$1500)&gt;0))&gt;0,"부분","X")))</f>
        <v/>
      </c>
      <c r="D34" s="5">
        <f>IFERROR(MAX(FILTER(소재DB_RAW!$AK$3:$AK$2000,(소재DB_RAW!$G$3:$G$2000=$A34)*ISERROR(SEARCH("drop",소재DB_RAW!$C$3:$C$2000))*(소재DB_RAW!$AK$3:$AK$2000&lt;&gt;""))),"")</f>
        <v/>
      </c>
      <c r="E34" s="4">
        <f>IF($D34="","",TEXT($D34,"yyyy-mm-dd"))</f>
        <v/>
      </c>
    </row>
    <row r="35">
      <c r="A35" s="4" t="inlineStr">
        <is>
          <t>8NREM27102</t>
        </is>
      </c>
      <c r="B35" s="4">
        <f>IF(COUNTIF(EDW_RAW!$A$2:$A$1500,$A35)=0,"",IF(SUMPRODUCT((EDW_RAW!$A$2:$A$1500=$A35)*(LEN(EDW_RAW!$R$2:$R$1500)&gt;0))=COUNTIF(EDW_RAW!$A$2:$A$1500,$A35),"O",IF(SUMPRODUCT((EDW_RAW!$A$2:$A$1500=$A35)*(LEN(EDW_RAW!$R$2:$R$1500)&gt;0))&gt;0,"부분","X")))</f>
        <v/>
      </c>
      <c r="C35" s="4">
        <f>IF(COUNTIF(EDW_RAW!$A$2:$A$1500,$A35)=0,"",IF(SUMPRODUCT((EDW_RAW!$A$2:$A$1500=$A35)*(LEN(EDW_RAW!$U$2:$U$1500)&gt;0))=COUNTIF(EDW_RAW!$A$2:$A$1500,$A35),"O",IF(SUMPRODUCT((EDW_RAW!$A$2:$A$1500=$A35)*(LEN(EDW_RAW!$U$2:$U$1500)&gt;0))&gt;0,"부분","X")))</f>
        <v/>
      </c>
      <c r="D35" s="5">
        <f>IFERROR(MAX(FILTER(소재DB_RAW!$AK$3:$AK$2000,(소재DB_RAW!$G$3:$G$2000=$A35)*ISERROR(SEARCH("drop",소재DB_RAW!$C$3:$C$2000))*(소재DB_RAW!$AK$3:$AK$2000&lt;&gt;""))),"")</f>
        <v/>
      </c>
      <c r="E35" s="4">
        <f>IF($D35="","",TEXT($D35,"yyyy-mm-dd"))</f>
        <v/>
      </c>
    </row>
    <row r="36">
      <c r="A36" s="4" t="inlineStr">
        <is>
          <t>8NREX27103</t>
        </is>
      </c>
      <c r="B36" s="4">
        <f>IF(COUNTIF(EDW_RAW!$A$2:$A$1500,$A36)=0,"",IF(SUMPRODUCT((EDW_RAW!$A$2:$A$1500=$A36)*(LEN(EDW_RAW!$R$2:$R$1500)&gt;0))=COUNTIF(EDW_RAW!$A$2:$A$1500,$A36),"O",IF(SUMPRODUCT((EDW_RAW!$A$2:$A$1500=$A36)*(LEN(EDW_RAW!$R$2:$R$1500)&gt;0))&gt;0,"부분","X")))</f>
        <v/>
      </c>
      <c r="C36" s="4">
        <f>IF(COUNTIF(EDW_RAW!$A$2:$A$1500,$A36)=0,"",IF(SUMPRODUCT((EDW_RAW!$A$2:$A$1500=$A36)*(LEN(EDW_RAW!$U$2:$U$1500)&gt;0))=COUNTIF(EDW_RAW!$A$2:$A$1500,$A36),"O",IF(SUMPRODUCT((EDW_RAW!$A$2:$A$1500=$A36)*(LEN(EDW_RAW!$U$2:$U$1500)&gt;0))&gt;0,"부분","X")))</f>
        <v/>
      </c>
      <c r="D36" s="5">
        <f>IFERROR(MAX(FILTER(소재DB_RAW!$AK$3:$AK$2000,(소재DB_RAW!$G$3:$G$2000=$A36)*ISERROR(SEARCH("drop",소재DB_RAW!$C$3:$C$2000))*(소재DB_RAW!$AK$3:$AK$2000&lt;&gt;""))),"")</f>
        <v/>
      </c>
      <c r="E36" s="4">
        <f>IF($D36="","",TEXT($D36,"yyyy-mm-dd"))</f>
        <v/>
      </c>
    </row>
    <row r="37">
      <c r="A37" s="4" t="inlineStr">
        <is>
          <t>8NRES27104</t>
        </is>
      </c>
      <c r="B37" s="4">
        <f>IF(COUNTIF(EDW_RAW!$A$2:$A$1500,$A37)=0,"",IF(SUMPRODUCT((EDW_RAW!$A$2:$A$1500=$A37)*(LEN(EDW_RAW!$R$2:$R$1500)&gt;0))=COUNTIF(EDW_RAW!$A$2:$A$1500,$A37),"O",IF(SUMPRODUCT((EDW_RAW!$A$2:$A$1500=$A37)*(LEN(EDW_RAW!$R$2:$R$1500)&gt;0))&gt;0,"부분","X")))</f>
        <v/>
      </c>
      <c r="C37" s="4">
        <f>IF(COUNTIF(EDW_RAW!$A$2:$A$1500,$A37)=0,"",IF(SUMPRODUCT((EDW_RAW!$A$2:$A$1500=$A37)*(LEN(EDW_RAW!$U$2:$U$1500)&gt;0))=COUNTIF(EDW_RAW!$A$2:$A$1500,$A37),"O",IF(SUMPRODUCT((EDW_RAW!$A$2:$A$1500=$A37)*(LEN(EDW_RAW!$U$2:$U$1500)&gt;0))&gt;0,"부분","X")))</f>
        <v/>
      </c>
      <c r="D37" s="5">
        <f>IFERROR(MAX(FILTER(소재DB_RAW!$AK$3:$AK$2000,(소재DB_RAW!$G$3:$G$2000=$A37)*ISERROR(SEARCH("drop",소재DB_RAW!$C$3:$C$2000))*(소재DB_RAW!$AK$3:$AK$2000&lt;&gt;""))),"")</f>
        <v/>
      </c>
      <c r="E37" s="4">
        <f>IF($D37="","",TEXT($D37,"yyyy-mm-dd"))</f>
        <v/>
      </c>
    </row>
    <row r="38">
      <c r="A38" s="4" t="inlineStr">
        <is>
          <t>8NREM27105</t>
        </is>
      </c>
      <c r="B38" s="4">
        <f>IF(COUNTIF(EDW_RAW!$A$2:$A$1500,$A38)=0,"",IF(SUMPRODUCT((EDW_RAW!$A$2:$A$1500=$A38)*(LEN(EDW_RAW!$R$2:$R$1500)&gt;0))=COUNTIF(EDW_RAW!$A$2:$A$1500,$A38),"O",IF(SUMPRODUCT((EDW_RAW!$A$2:$A$1500=$A38)*(LEN(EDW_RAW!$R$2:$R$1500)&gt;0))&gt;0,"부분","X")))</f>
        <v/>
      </c>
      <c r="C38" s="4">
        <f>IF(COUNTIF(EDW_RAW!$A$2:$A$1500,$A38)=0,"",IF(SUMPRODUCT((EDW_RAW!$A$2:$A$1500=$A38)*(LEN(EDW_RAW!$U$2:$U$1500)&gt;0))=COUNTIF(EDW_RAW!$A$2:$A$1500,$A38),"O",IF(SUMPRODUCT((EDW_RAW!$A$2:$A$1500=$A38)*(LEN(EDW_RAW!$U$2:$U$1500)&gt;0))&gt;0,"부분","X")))</f>
        <v/>
      </c>
      <c r="D38" s="5">
        <f>IFERROR(MAX(FILTER(소재DB_RAW!$AK$3:$AK$2000,(소재DB_RAW!$G$3:$G$2000=$A38)*ISERROR(SEARCH("drop",소재DB_RAW!$C$3:$C$2000))*(소재DB_RAW!$AK$3:$AK$2000&lt;&gt;""))),"")</f>
        <v/>
      </c>
      <c r="E38" s="4">
        <f>IF($D38="","",TEXT($D38,"yyyy-mm-dd"))</f>
        <v/>
      </c>
    </row>
    <row r="39">
      <c r="A39" s="4" t="inlineStr">
        <is>
          <t>8NRFS27101</t>
        </is>
      </c>
      <c r="B39" s="4">
        <f>IF(COUNTIF(EDW_RAW!$A$2:$A$1500,$A39)=0,"",IF(SUMPRODUCT((EDW_RAW!$A$2:$A$1500=$A39)*(LEN(EDW_RAW!$R$2:$R$1500)&gt;0))=COUNTIF(EDW_RAW!$A$2:$A$1500,$A39),"O",IF(SUMPRODUCT((EDW_RAW!$A$2:$A$1500=$A39)*(LEN(EDW_RAW!$R$2:$R$1500)&gt;0))&gt;0,"부분","X")))</f>
        <v/>
      </c>
      <c r="C39" s="4">
        <f>IF(COUNTIF(EDW_RAW!$A$2:$A$1500,$A39)=0,"",IF(SUMPRODUCT((EDW_RAW!$A$2:$A$1500=$A39)*(LEN(EDW_RAW!$U$2:$U$1500)&gt;0))=COUNTIF(EDW_RAW!$A$2:$A$1500,$A39),"O",IF(SUMPRODUCT((EDW_RAW!$A$2:$A$1500=$A39)*(LEN(EDW_RAW!$U$2:$U$1500)&gt;0))&gt;0,"부분","X")))</f>
        <v/>
      </c>
      <c r="D39" s="5">
        <f>IFERROR(MAX(FILTER(소재DB_RAW!$AK$3:$AK$2000,(소재DB_RAW!$G$3:$G$2000=$A39)*ISERROR(SEARCH("drop",소재DB_RAW!$C$3:$C$2000))*(소재DB_RAW!$AK$3:$AK$2000&lt;&gt;""))),"")</f>
        <v/>
      </c>
      <c r="E39" s="4">
        <f>IF($D39="","",TEXT($D39,"yyyy-mm-dd"))</f>
        <v/>
      </c>
    </row>
    <row r="40">
      <c r="A40" s="4" t="inlineStr">
        <is>
          <t>8NRFS27102</t>
        </is>
      </c>
      <c r="B40" s="4">
        <f>IF(COUNTIF(EDW_RAW!$A$2:$A$1500,$A40)=0,"",IF(SUMPRODUCT((EDW_RAW!$A$2:$A$1500=$A40)*(LEN(EDW_RAW!$R$2:$R$1500)&gt;0))=COUNTIF(EDW_RAW!$A$2:$A$1500,$A40),"O",IF(SUMPRODUCT((EDW_RAW!$A$2:$A$1500=$A40)*(LEN(EDW_RAW!$R$2:$R$1500)&gt;0))&gt;0,"부분","X")))</f>
        <v/>
      </c>
      <c r="C40" s="4">
        <f>IF(COUNTIF(EDW_RAW!$A$2:$A$1500,$A40)=0,"",IF(SUMPRODUCT((EDW_RAW!$A$2:$A$1500=$A40)*(LEN(EDW_RAW!$U$2:$U$1500)&gt;0))=COUNTIF(EDW_RAW!$A$2:$A$1500,$A40),"O",IF(SUMPRODUCT((EDW_RAW!$A$2:$A$1500=$A40)*(LEN(EDW_RAW!$U$2:$U$1500)&gt;0))&gt;0,"부분","X")))</f>
        <v/>
      </c>
      <c r="D40" s="5">
        <f>IFERROR(MAX(FILTER(소재DB_RAW!$AK$3:$AK$2000,(소재DB_RAW!$G$3:$G$2000=$A40)*ISERROR(SEARCH("drop",소재DB_RAW!$C$3:$C$2000))*(소재DB_RAW!$AK$3:$AK$2000&lt;&gt;""))),"")</f>
        <v/>
      </c>
      <c r="E40" s="4">
        <f>IF($D40="","",TEXT($D40,"yyyy-mm-dd"))</f>
        <v/>
      </c>
    </row>
    <row r="41">
      <c r="A41" s="4" t="inlineStr">
        <is>
          <t>8NRFS27103</t>
        </is>
      </c>
      <c r="B41" s="4">
        <f>IF(COUNTIF(EDW_RAW!$A$2:$A$1500,$A41)=0,"",IF(SUMPRODUCT((EDW_RAW!$A$2:$A$1500=$A41)*(LEN(EDW_RAW!$R$2:$R$1500)&gt;0))=COUNTIF(EDW_RAW!$A$2:$A$1500,$A41),"O",IF(SUMPRODUCT((EDW_RAW!$A$2:$A$1500=$A41)*(LEN(EDW_RAW!$R$2:$R$1500)&gt;0))&gt;0,"부분","X")))</f>
        <v/>
      </c>
      <c r="C41" s="4">
        <f>IF(COUNTIF(EDW_RAW!$A$2:$A$1500,$A41)=0,"",IF(SUMPRODUCT((EDW_RAW!$A$2:$A$1500=$A41)*(LEN(EDW_RAW!$U$2:$U$1500)&gt;0))=COUNTIF(EDW_RAW!$A$2:$A$1500,$A41),"O",IF(SUMPRODUCT((EDW_RAW!$A$2:$A$1500=$A41)*(LEN(EDW_RAW!$U$2:$U$1500)&gt;0))&gt;0,"부분","X")))</f>
        <v/>
      </c>
      <c r="D41" s="5">
        <f>IFERROR(MAX(FILTER(소재DB_RAW!$AK$3:$AK$2000,(소재DB_RAW!$G$3:$G$2000=$A41)*ISERROR(SEARCH("drop",소재DB_RAW!$C$3:$C$2000))*(소재DB_RAW!$AK$3:$AK$2000&lt;&gt;""))),"")</f>
        <v/>
      </c>
      <c r="E41" s="4">
        <f>IF($D41="","",TEXT($D41,"yyyy-mm-dd"))</f>
        <v/>
      </c>
    </row>
    <row r="42">
      <c r="A42" s="4" t="inlineStr">
        <is>
          <t>8NBDX26301</t>
        </is>
      </c>
      <c r="B42" s="4">
        <f>IF(COUNTIF(EDW_RAW!$A$2:$A$1500,$A42)=0,"",IF(SUMPRODUCT((EDW_RAW!$A$2:$A$1500=$A42)*(LEN(EDW_RAW!$R$2:$R$1500)&gt;0))=COUNTIF(EDW_RAW!$A$2:$A$1500,$A42),"O",IF(SUMPRODUCT((EDW_RAW!$A$2:$A$1500=$A42)*(LEN(EDW_RAW!$R$2:$R$1500)&gt;0))&gt;0,"부분","X")))</f>
        <v/>
      </c>
      <c r="C42" s="4">
        <f>IF(COUNTIF(EDW_RAW!$A$2:$A$1500,$A42)=0,"",IF(SUMPRODUCT((EDW_RAW!$A$2:$A$1500=$A42)*(LEN(EDW_RAW!$U$2:$U$1500)&gt;0))=COUNTIF(EDW_RAW!$A$2:$A$1500,$A42),"O",IF(SUMPRODUCT((EDW_RAW!$A$2:$A$1500=$A42)*(LEN(EDW_RAW!$U$2:$U$1500)&gt;0))&gt;0,"부분","X")))</f>
        <v/>
      </c>
      <c r="D42" s="5">
        <f>IFERROR(MAX(FILTER(소재DB_RAW!$AK$3:$AK$2000,(소재DB_RAW!$G$3:$G$2000=$A42)*ISERROR(SEARCH("drop",소재DB_RAW!$C$3:$C$2000))*(소재DB_RAW!$AK$3:$AK$2000&lt;&gt;""))),"")</f>
        <v/>
      </c>
      <c r="E42" s="4">
        <f>IF($D42="","",TEXT($D42,"yyyy-mm-dd"))</f>
        <v/>
      </c>
    </row>
    <row r="43">
      <c r="A43" s="4" t="inlineStr">
        <is>
          <t>8NBDX27101</t>
        </is>
      </c>
      <c r="B43" s="4">
        <f>IF(COUNTIF(EDW_RAW!$A$2:$A$1500,$A43)=0,"",IF(SUMPRODUCT((EDW_RAW!$A$2:$A$1500=$A43)*(LEN(EDW_RAW!$R$2:$R$1500)&gt;0))=COUNTIF(EDW_RAW!$A$2:$A$1500,$A43),"O",IF(SUMPRODUCT((EDW_RAW!$A$2:$A$1500=$A43)*(LEN(EDW_RAW!$R$2:$R$1500)&gt;0))&gt;0,"부분","X")))</f>
        <v/>
      </c>
      <c r="C43" s="4">
        <f>IF(COUNTIF(EDW_RAW!$A$2:$A$1500,$A43)=0,"",IF(SUMPRODUCT((EDW_RAW!$A$2:$A$1500=$A43)*(LEN(EDW_RAW!$U$2:$U$1500)&gt;0))=COUNTIF(EDW_RAW!$A$2:$A$1500,$A43),"O",IF(SUMPRODUCT((EDW_RAW!$A$2:$A$1500=$A43)*(LEN(EDW_RAW!$U$2:$U$1500)&gt;0))&gt;0,"부분","X")))</f>
        <v/>
      </c>
      <c r="D43" s="5">
        <f>IFERROR(MAX(FILTER(소재DB_RAW!$AK$3:$AK$2000,(소재DB_RAW!$G$3:$G$2000=$A43)*ISERROR(SEARCH("drop",소재DB_RAW!$C$3:$C$2000))*(소재DB_RAW!$AK$3:$AK$2000&lt;&gt;""))),"")</f>
        <v/>
      </c>
      <c r="E43" s="4">
        <f>IF($D43="","",TEXT($D43,"yyyy-mm-dd"))</f>
        <v/>
      </c>
    </row>
    <row r="44">
      <c r="A44" s="4" t="inlineStr">
        <is>
          <t>8NLAS27101</t>
        </is>
      </c>
      <c r="B44" s="4">
        <f>IF(COUNTIF(EDW_RAW!$A$2:$A$1500,$A44)=0,"",IF(SUMPRODUCT((EDW_RAW!$A$2:$A$1500=$A44)*(LEN(EDW_RAW!$R$2:$R$1500)&gt;0))=COUNTIF(EDW_RAW!$A$2:$A$1500,$A44),"O",IF(SUMPRODUCT((EDW_RAW!$A$2:$A$1500=$A44)*(LEN(EDW_RAW!$R$2:$R$1500)&gt;0))&gt;0,"부분","X")))</f>
        <v/>
      </c>
      <c r="C44" s="4">
        <f>IF(COUNTIF(EDW_RAW!$A$2:$A$1500,$A44)=0,"",IF(SUMPRODUCT((EDW_RAW!$A$2:$A$1500=$A44)*(LEN(EDW_RAW!$U$2:$U$1500)&gt;0))=COUNTIF(EDW_RAW!$A$2:$A$1500,$A44),"O",IF(SUMPRODUCT((EDW_RAW!$A$2:$A$1500=$A44)*(LEN(EDW_RAW!$U$2:$U$1500)&gt;0))&gt;0,"부분","X")))</f>
        <v/>
      </c>
      <c r="D44" s="5">
        <f>IFERROR(MAX(FILTER(소재DB_RAW!$AK$3:$AK$2000,(소재DB_RAW!$G$3:$G$2000=$A44)*ISERROR(SEARCH("drop",소재DB_RAW!$C$3:$C$2000))*(소재DB_RAW!$AK$3:$AK$2000&lt;&gt;""))),"")</f>
        <v/>
      </c>
      <c r="E44" s="4">
        <f>IF($D44="","",TEXT($D44,"yyyy-mm-dd"))</f>
        <v/>
      </c>
    </row>
    <row r="45">
      <c r="A45" s="4" t="inlineStr">
        <is>
          <t>8NHAS27101</t>
        </is>
      </c>
      <c r="B45" s="4">
        <f>IF(COUNTIF(EDW_RAW!$A$2:$A$1500,$A45)=0,"",IF(SUMPRODUCT((EDW_RAW!$A$2:$A$1500=$A45)*(LEN(EDW_RAW!$R$2:$R$1500)&gt;0))=COUNTIF(EDW_RAW!$A$2:$A$1500,$A45),"O",IF(SUMPRODUCT((EDW_RAW!$A$2:$A$1500=$A45)*(LEN(EDW_RAW!$R$2:$R$1500)&gt;0))&gt;0,"부분","X")))</f>
        <v/>
      </c>
      <c r="C45" s="4">
        <f>IF(COUNTIF(EDW_RAW!$A$2:$A$1500,$A45)=0,"",IF(SUMPRODUCT((EDW_RAW!$A$2:$A$1500=$A45)*(LEN(EDW_RAW!$U$2:$U$1500)&gt;0))=COUNTIF(EDW_RAW!$A$2:$A$1500,$A45),"O",IF(SUMPRODUCT((EDW_RAW!$A$2:$A$1500=$A45)*(LEN(EDW_RAW!$U$2:$U$1500)&gt;0))&gt;0,"부분","X")))</f>
        <v/>
      </c>
      <c r="D45" s="5">
        <f>IFERROR(MAX(FILTER(소재DB_RAW!$AK$3:$AK$2000,(소재DB_RAW!$G$3:$G$2000=$A45)*ISERROR(SEARCH("drop",소재DB_RAW!$C$3:$C$2000))*(소재DB_RAW!$AK$3:$AK$2000&lt;&gt;""))),"")</f>
        <v/>
      </c>
      <c r="E45" s="4">
        <f>IF($D45="","",TEXT($D45,"yyyy-mm-dd"))</f>
        <v/>
      </c>
    </row>
    <row r="46">
      <c r="A46" s="4" t="inlineStr">
        <is>
          <t>8NHAM27102</t>
        </is>
      </c>
      <c r="B46" s="4">
        <f>IF(COUNTIF(EDW_RAW!$A$2:$A$1500,$A46)=0,"",IF(SUMPRODUCT((EDW_RAW!$A$2:$A$1500=$A46)*(LEN(EDW_RAW!$R$2:$R$1500)&gt;0))=COUNTIF(EDW_RAW!$A$2:$A$1500,$A46),"O",IF(SUMPRODUCT((EDW_RAW!$A$2:$A$1500=$A46)*(LEN(EDW_RAW!$R$2:$R$1500)&gt;0))&gt;0,"부분","X")))</f>
        <v/>
      </c>
      <c r="C46" s="4">
        <f>IF(COUNTIF(EDW_RAW!$A$2:$A$1500,$A46)=0,"",IF(SUMPRODUCT((EDW_RAW!$A$2:$A$1500=$A46)*(LEN(EDW_RAW!$U$2:$U$1500)&gt;0))=COUNTIF(EDW_RAW!$A$2:$A$1500,$A46),"O",IF(SUMPRODUCT((EDW_RAW!$A$2:$A$1500=$A46)*(LEN(EDW_RAW!$U$2:$U$1500)&gt;0))&gt;0,"부분","X")))</f>
        <v/>
      </c>
      <c r="D46" s="5">
        <f>IFERROR(MAX(FILTER(소재DB_RAW!$AK$3:$AK$2000,(소재DB_RAW!$G$3:$G$2000=$A46)*ISERROR(SEARCH("drop",소재DB_RAW!$C$3:$C$2000))*(소재DB_RAW!$AK$3:$AK$2000&lt;&gt;""))),"")</f>
        <v/>
      </c>
      <c r="E46" s="4">
        <f>IF($D46="","",TEXT($D46,"yyyy-mm-dd"))</f>
        <v/>
      </c>
    </row>
    <row r="47">
      <c r="A47" s="4" t="inlineStr">
        <is>
          <t>8NAAM27101</t>
        </is>
      </c>
      <c r="B47" s="4">
        <f>IF(COUNTIF(EDW_RAW!$A$2:$A$1500,$A47)=0,"",IF(SUMPRODUCT((EDW_RAW!$A$2:$A$1500=$A47)*(LEN(EDW_RAW!$R$2:$R$1500)&gt;0))=COUNTIF(EDW_RAW!$A$2:$A$1500,$A47),"O",IF(SUMPRODUCT((EDW_RAW!$A$2:$A$1500=$A47)*(LEN(EDW_RAW!$R$2:$R$1500)&gt;0))&gt;0,"부분","X")))</f>
        <v/>
      </c>
      <c r="C47" s="4">
        <f>IF(COUNTIF(EDW_RAW!$A$2:$A$1500,$A47)=0,"",IF(SUMPRODUCT((EDW_RAW!$A$2:$A$1500=$A47)*(LEN(EDW_RAW!$U$2:$U$1500)&gt;0))=COUNTIF(EDW_RAW!$A$2:$A$1500,$A47),"O",IF(SUMPRODUCT((EDW_RAW!$A$2:$A$1500=$A47)*(LEN(EDW_RAW!$U$2:$U$1500)&gt;0))&gt;0,"부분","X")))</f>
        <v/>
      </c>
      <c r="D47" s="5">
        <f>IFERROR(MAX(FILTER(소재DB_RAW!$AK$3:$AK$2000,(소재DB_RAW!$G$3:$G$2000=$A47)*ISERROR(SEARCH("drop",소재DB_RAW!$C$3:$C$2000))*(소재DB_RAW!$AK$3:$AK$2000&lt;&gt;""))),"")</f>
        <v/>
      </c>
      <c r="E47" s="4">
        <f>IF($D47="","",TEXT($D47,"yyyy-mm-dd"))</f>
        <v/>
      </c>
    </row>
    <row r="48">
      <c r="A48" s="4" t="inlineStr">
        <is>
          <t>8NAAX27101</t>
        </is>
      </c>
      <c r="B48" s="4">
        <f>IF(COUNTIF(EDW_RAW!$A$2:$A$1500,$A48)=0,"",IF(SUMPRODUCT((EDW_RAW!$A$2:$A$1500=$A48)*(LEN(EDW_RAW!$R$2:$R$1500)&gt;0))=COUNTIF(EDW_RAW!$A$2:$A$1500,$A48),"O",IF(SUMPRODUCT((EDW_RAW!$A$2:$A$1500=$A48)*(LEN(EDW_RAW!$R$2:$R$1500)&gt;0))&gt;0,"부분","X")))</f>
        <v/>
      </c>
      <c r="C48" s="4">
        <f>IF(COUNTIF(EDW_RAW!$A$2:$A$1500,$A48)=0,"",IF(SUMPRODUCT((EDW_RAW!$A$2:$A$1500=$A48)*(LEN(EDW_RAW!$U$2:$U$1500)&gt;0))=COUNTIF(EDW_RAW!$A$2:$A$1500,$A48),"O",IF(SUMPRODUCT((EDW_RAW!$A$2:$A$1500=$A48)*(LEN(EDW_RAW!$U$2:$U$1500)&gt;0))&gt;0,"부분","X")))</f>
        <v/>
      </c>
      <c r="D48" s="5">
        <f>IFERROR(MAX(FILTER(소재DB_RAW!$AK$3:$AK$2000,(소재DB_RAW!$G$3:$G$2000=$A48)*ISERROR(SEARCH("drop",소재DB_RAW!$C$3:$C$2000))*(소재DB_RAW!$AK$3:$AK$2000&lt;&gt;""))),"")</f>
        <v/>
      </c>
      <c r="E48" s="4">
        <f>IF($D48="","",TEXT($D48,"yyyy-mm-dd"))</f>
        <v/>
      </c>
    </row>
    <row r="49">
      <c r="A49" s="4" t="inlineStr">
        <is>
          <t>8NHEM27101</t>
        </is>
      </c>
      <c r="B49" s="4">
        <f>IF(COUNTIF(EDW_RAW!$A$2:$A$1500,$A49)=0,"",IF(SUMPRODUCT((EDW_RAW!$A$2:$A$1500=$A49)*(LEN(EDW_RAW!$R$2:$R$1500)&gt;0))=COUNTIF(EDW_RAW!$A$2:$A$1500,$A49),"O",IF(SUMPRODUCT((EDW_RAW!$A$2:$A$1500=$A49)*(LEN(EDW_RAW!$R$2:$R$1500)&gt;0))&gt;0,"부분","X")))</f>
        <v/>
      </c>
      <c r="C49" s="4">
        <f>IF(COUNTIF(EDW_RAW!$A$2:$A$1500,$A49)=0,"",IF(SUMPRODUCT((EDW_RAW!$A$2:$A$1500=$A49)*(LEN(EDW_RAW!$U$2:$U$1500)&gt;0))=COUNTIF(EDW_RAW!$A$2:$A$1500,$A49),"O",IF(SUMPRODUCT((EDW_RAW!$A$2:$A$1500=$A49)*(LEN(EDW_RAW!$U$2:$U$1500)&gt;0))&gt;0,"부분","X")))</f>
        <v/>
      </c>
      <c r="D49" s="5">
        <f>IFERROR(MAX(FILTER(소재DB_RAW!$AK$3:$AK$2000,(소재DB_RAW!$G$3:$G$2000=$A49)*ISERROR(SEARCH("drop",소재DB_RAW!$C$3:$C$2000))*(소재DB_RAW!$AK$3:$AK$2000&lt;&gt;""))),"")</f>
        <v/>
      </c>
      <c r="E49" s="4">
        <f>IF($D49="","",TEXT($D49,"yyyy-mm-dd"))</f>
        <v/>
      </c>
    </row>
    <row r="50">
      <c r="A50" s="4" t="inlineStr">
        <is>
          <t>8UTCM27115</t>
        </is>
      </c>
      <c r="B50" s="4">
        <f>IF(COUNTIF(EDW_RAW!$A$2:$A$1500,$A50)=0,"",IF(SUMPRODUCT((EDW_RAW!$A$2:$A$1500=$A50)*(LEN(EDW_RAW!$R$2:$R$1500)&gt;0))=COUNTIF(EDW_RAW!$A$2:$A$1500,$A50),"O",IF(SUMPRODUCT((EDW_RAW!$A$2:$A$1500=$A50)*(LEN(EDW_RAW!$R$2:$R$1500)&gt;0))&gt;0,"부분","X")))</f>
        <v/>
      </c>
      <c r="C50" s="4">
        <f>IF(COUNTIF(EDW_RAW!$A$2:$A$1500,$A50)=0,"",IF(SUMPRODUCT((EDW_RAW!$A$2:$A$1500=$A50)*(LEN(EDW_RAW!$U$2:$U$1500)&gt;0))=COUNTIF(EDW_RAW!$A$2:$A$1500,$A50),"O",IF(SUMPRODUCT((EDW_RAW!$A$2:$A$1500=$A50)*(LEN(EDW_RAW!$U$2:$U$1500)&gt;0))&gt;0,"부분","X")))</f>
        <v/>
      </c>
      <c r="D50" s="5">
        <f>IFERROR(MAX(FILTER(소재DB_RAW!$AK$3:$AK$2000,(소재DB_RAW!$G$3:$G$2000=$A50)*ISERROR(SEARCH("drop",소재DB_RAW!$C$3:$C$2000))*(소재DB_RAW!$AK$3:$AK$2000&lt;&gt;""))),"")</f>
        <v/>
      </c>
      <c r="E50" s="4">
        <f>IF($D50="","",TEXT($D50,"yyyy-mm-dd"))</f>
        <v/>
      </c>
    </row>
    <row r="51">
      <c r="A51" s="4" t="inlineStr">
        <is>
          <t>8UTCM27113</t>
        </is>
      </c>
      <c r="B51" s="4">
        <f>IF(COUNTIF(EDW_RAW!$A$2:$A$1500,$A51)=0,"",IF(SUMPRODUCT((EDW_RAW!$A$2:$A$1500=$A51)*(LEN(EDW_RAW!$R$2:$R$1500)&gt;0))=COUNTIF(EDW_RAW!$A$2:$A$1500,$A51),"O",IF(SUMPRODUCT((EDW_RAW!$A$2:$A$1500=$A51)*(LEN(EDW_RAW!$R$2:$R$1500)&gt;0))&gt;0,"부분","X")))</f>
        <v/>
      </c>
      <c r="C51" s="4">
        <f>IF(COUNTIF(EDW_RAW!$A$2:$A$1500,$A51)=0,"",IF(SUMPRODUCT((EDW_RAW!$A$2:$A$1500=$A51)*(LEN(EDW_RAW!$U$2:$U$1500)&gt;0))=COUNTIF(EDW_RAW!$A$2:$A$1500,$A51),"O",IF(SUMPRODUCT((EDW_RAW!$A$2:$A$1500=$A51)*(LEN(EDW_RAW!$U$2:$U$1500)&gt;0))&gt;0,"부분","X")))</f>
        <v/>
      </c>
      <c r="D51" s="5">
        <f>IFERROR(MAX(FILTER(소재DB_RAW!$AK$3:$AK$2000,(소재DB_RAW!$G$3:$G$2000=$A51)*ISERROR(SEARCH("drop",소재DB_RAW!$C$3:$C$2000))*(소재DB_RAW!$AK$3:$AK$2000&lt;&gt;""))),"")</f>
        <v/>
      </c>
      <c r="E51" s="4">
        <f>IF($D51="","",TEXT($D51,"yyyy-mm-dd"))</f>
        <v/>
      </c>
    </row>
    <row r="52">
      <c r="A52" s="4" t="inlineStr">
        <is>
          <t>8UTCM27117</t>
        </is>
      </c>
      <c r="B52" s="4">
        <f>IF(COUNTIF(EDW_RAW!$A$2:$A$1500,$A52)=0,"",IF(SUMPRODUCT((EDW_RAW!$A$2:$A$1500=$A52)*(LEN(EDW_RAW!$R$2:$R$1500)&gt;0))=COUNTIF(EDW_RAW!$A$2:$A$1500,$A52),"O",IF(SUMPRODUCT((EDW_RAW!$A$2:$A$1500=$A52)*(LEN(EDW_RAW!$R$2:$R$1500)&gt;0))&gt;0,"부분","X")))</f>
        <v/>
      </c>
      <c r="C52" s="4">
        <f>IF(COUNTIF(EDW_RAW!$A$2:$A$1500,$A52)=0,"",IF(SUMPRODUCT((EDW_RAW!$A$2:$A$1500=$A52)*(LEN(EDW_RAW!$U$2:$U$1500)&gt;0))=COUNTIF(EDW_RAW!$A$2:$A$1500,$A52),"O",IF(SUMPRODUCT((EDW_RAW!$A$2:$A$1500=$A52)*(LEN(EDW_RAW!$U$2:$U$1500)&gt;0))&gt;0,"부분","X")))</f>
        <v/>
      </c>
      <c r="D52" s="5">
        <f>IFERROR(MAX(FILTER(소재DB_RAW!$AK$3:$AK$2000,(소재DB_RAW!$G$3:$G$2000=$A52)*ISERROR(SEARCH("drop",소재DB_RAW!$C$3:$C$2000))*(소재DB_RAW!$AK$3:$AK$2000&lt;&gt;""))),"")</f>
        <v/>
      </c>
      <c r="E52" s="4">
        <f>IF($D52="","",TEXT($D52,"yyyy-mm-dd"))</f>
        <v/>
      </c>
    </row>
    <row r="53">
      <c r="A53" s="4" t="inlineStr">
        <is>
          <t>8UTCM27119</t>
        </is>
      </c>
      <c r="B53" s="4">
        <f>IF(COUNTIF(EDW_RAW!$A$2:$A$1500,$A53)=0,"",IF(SUMPRODUCT((EDW_RAW!$A$2:$A$1500=$A53)*(LEN(EDW_RAW!$R$2:$R$1500)&gt;0))=COUNTIF(EDW_RAW!$A$2:$A$1500,$A53),"O",IF(SUMPRODUCT((EDW_RAW!$A$2:$A$1500=$A53)*(LEN(EDW_RAW!$R$2:$R$1500)&gt;0))&gt;0,"부분","X")))</f>
        <v/>
      </c>
      <c r="C53" s="4">
        <f>IF(COUNTIF(EDW_RAW!$A$2:$A$1500,$A53)=0,"",IF(SUMPRODUCT((EDW_RAW!$A$2:$A$1500=$A53)*(LEN(EDW_RAW!$U$2:$U$1500)&gt;0))=COUNTIF(EDW_RAW!$A$2:$A$1500,$A53),"O",IF(SUMPRODUCT((EDW_RAW!$A$2:$A$1500=$A53)*(LEN(EDW_RAW!$U$2:$U$1500)&gt;0))&gt;0,"부분","X")))</f>
        <v/>
      </c>
      <c r="D53" s="5">
        <f>IFERROR(MAX(FILTER(소재DB_RAW!$AK$3:$AK$2000,(소재DB_RAW!$G$3:$G$2000=$A53)*ISERROR(SEARCH("drop",소재DB_RAW!$C$3:$C$2000))*(소재DB_RAW!$AK$3:$AK$2000&lt;&gt;""))),"")</f>
        <v/>
      </c>
      <c r="E53" s="4">
        <f>IF($D53="","",TEXT($D53,"yyyy-mm-dd"))</f>
        <v/>
      </c>
    </row>
    <row r="54">
      <c r="A54" s="4" t="inlineStr">
        <is>
          <t>8UTCM27121</t>
        </is>
      </c>
      <c r="B54" s="4">
        <f>IF(COUNTIF(EDW_RAW!$A$2:$A$1500,$A54)=0,"",IF(SUMPRODUCT((EDW_RAW!$A$2:$A$1500=$A54)*(LEN(EDW_RAW!$R$2:$R$1500)&gt;0))=COUNTIF(EDW_RAW!$A$2:$A$1500,$A54),"O",IF(SUMPRODUCT((EDW_RAW!$A$2:$A$1500=$A54)*(LEN(EDW_RAW!$R$2:$R$1500)&gt;0))&gt;0,"부분","X")))</f>
        <v/>
      </c>
      <c r="C54" s="4">
        <f>IF(COUNTIF(EDW_RAW!$A$2:$A$1500,$A54)=0,"",IF(SUMPRODUCT((EDW_RAW!$A$2:$A$1500=$A54)*(LEN(EDW_RAW!$U$2:$U$1500)&gt;0))=COUNTIF(EDW_RAW!$A$2:$A$1500,$A54),"O",IF(SUMPRODUCT((EDW_RAW!$A$2:$A$1500=$A54)*(LEN(EDW_RAW!$U$2:$U$1500)&gt;0))&gt;0,"부분","X")))</f>
        <v/>
      </c>
      <c r="D54" s="5">
        <f>IFERROR(MAX(FILTER(소재DB_RAW!$AK$3:$AK$2000,(소재DB_RAW!$G$3:$G$2000=$A54)*ISERROR(SEARCH("drop",소재DB_RAW!$C$3:$C$2000))*(소재DB_RAW!$AK$3:$AK$2000&lt;&gt;""))),"")</f>
        <v/>
      </c>
      <c r="E54" s="4">
        <f>IF($D54="","",TEXT($D54,"yyyy-mm-dd"))</f>
        <v/>
      </c>
    </row>
    <row r="55">
      <c r="A55" s="4" t="inlineStr">
        <is>
          <t>QEREX27711</t>
        </is>
      </c>
      <c r="B55" s="4">
        <f>IF(COUNTIF(EDW_RAW!$A$2:$A$1500,$A55)=0,"",IF(SUMPRODUCT((EDW_RAW!$A$2:$A$1500=$A55)*(LEN(EDW_RAW!$R$2:$R$1500)&gt;0))=COUNTIF(EDW_RAW!$A$2:$A$1500,$A55),"O",IF(SUMPRODUCT((EDW_RAW!$A$2:$A$1500=$A55)*(LEN(EDW_RAW!$R$2:$R$1500)&gt;0))&gt;0,"부분","X")))</f>
        <v/>
      </c>
      <c r="C55" s="4">
        <f>IF(COUNTIF(EDW_RAW!$A$2:$A$1500,$A55)=0,"",IF(SUMPRODUCT((EDW_RAW!$A$2:$A$1500=$A55)*(LEN(EDW_RAW!$U$2:$U$1500)&gt;0))=COUNTIF(EDW_RAW!$A$2:$A$1500,$A55),"O",IF(SUMPRODUCT((EDW_RAW!$A$2:$A$1500=$A55)*(LEN(EDW_RAW!$U$2:$U$1500)&gt;0))&gt;0,"부분","X")))</f>
        <v/>
      </c>
      <c r="D55" s="5">
        <f>IFERROR(MAX(FILTER(소재DB_RAW!$AK$3:$AK$2000,(소재DB_RAW!$G$3:$G$2000=$A55)*ISERROR(SEARCH("drop",소재DB_RAW!$C$3:$C$2000))*(소재DB_RAW!$AK$3:$AK$2000&lt;&gt;""))),"")</f>
        <v/>
      </c>
      <c r="E55" s="4">
        <f>IF($D55="","",TEXT($D55,"yyyy-mm-dd"))</f>
        <v/>
      </c>
    </row>
    <row r="56">
      <c r="A56" s="4" t="inlineStr">
        <is>
          <t>QEREX27721</t>
        </is>
      </c>
      <c r="B56" s="4">
        <f>IF(COUNTIF(EDW_RAW!$A$2:$A$1500,$A56)=0,"",IF(SUMPRODUCT((EDW_RAW!$A$2:$A$1500=$A56)*(LEN(EDW_RAW!$R$2:$R$1500)&gt;0))=COUNTIF(EDW_RAW!$A$2:$A$1500,$A56),"O",IF(SUMPRODUCT((EDW_RAW!$A$2:$A$1500=$A56)*(LEN(EDW_RAW!$R$2:$R$1500)&gt;0))&gt;0,"부분","X")))</f>
        <v/>
      </c>
      <c r="C56" s="4">
        <f>IF(COUNTIF(EDW_RAW!$A$2:$A$1500,$A56)=0,"",IF(SUMPRODUCT((EDW_RAW!$A$2:$A$1500=$A56)*(LEN(EDW_RAW!$U$2:$U$1500)&gt;0))=COUNTIF(EDW_RAW!$A$2:$A$1500,$A56),"O",IF(SUMPRODUCT((EDW_RAW!$A$2:$A$1500=$A56)*(LEN(EDW_RAW!$U$2:$U$1500)&gt;0))&gt;0,"부분","X")))</f>
        <v/>
      </c>
      <c r="D56" s="5">
        <f>IFERROR(MAX(FILTER(소재DB_RAW!$AK$3:$AK$2000,(소재DB_RAW!$G$3:$G$2000=$A56)*ISERROR(SEARCH("drop",소재DB_RAW!$C$3:$C$2000))*(소재DB_RAW!$AK$3:$AK$2000&lt;&gt;""))),"")</f>
        <v/>
      </c>
      <c r="E56" s="4">
        <f>IF($D56="","",TEXT($D56,"yyyy-mm-dd"))</f>
        <v/>
      </c>
    </row>
    <row r="57">
      <c r="A57" s="4" t="inlineStr">
        <is>
          <t>QEBXX27711</t>
        </is>
      </c>
      <c r="B57" s="4">
        <f>IF(COUNTIF(EDW_RAW!$A$2:$A$1500,$A57)=0,"",IF(SUMPRODUCT((EDW_RAW!$A$2:$A$1500=$A57)*(LEN(EDW_RAW!$R$2:$R$1500)&gt;0))=COUNTIF(EDW_RAW!$A$2:$A$1500,$A57),"O",IF(SUMPRODUCT((EDW_RAW!$A$2:$A$1500=$A57)*(LEN(EDW_RAW!$R$2:$R$1500)&gt;0))&gt;0,"부분","X")))</f>
        <v/>
      </c>
      <c r="C57" s="4">
        <f>IF(COUNTIF(EDW_RAW!$A$2:$A$1500,$A57)=0,"",IF(SUMPRODUCT((EDW_RAW!$A$2:$A$1500=$A57)*(LEN(EDW_RAW!$U$2:$U$1500)&gt;0))=COUNTIF(EDW_RAW!$A$2:$A$1500,$A57),"O",IF(SUMPRODUCT((EDW_RAW!$A$2:$A$1500=$A57)*(LEN(EDW_RAW!$U$2:$U$1500)&gt;0))&gt;0,"부분","X")))</f>
        <v/>
      </c>
      <c r="D57" s="5">
        <f>IFERROR(MAX(FILTER(소재DB_RAW!$AK$3:$AK$2000,(소재DB_RAW!$G$3:$G$2000=$A57)*ISERROR(SEARCH("drop",소재DB_RAW!$C$3:$C$2000))*(소재DB_RAW!$AK$3:$AK$2000&lt;&gt;""))),"")</f>
        <v/>
      </c>
      <c r="E57" s="4">
        <f>IF($D57="","",TEXT($D57,"yyyy-mm-dd"))</f>
        <v/>
      </c>
    </row>
    <row r="58">
      <c r="A58" s="4" t="inlineStr">
        <is>
          <t>QEBXX27701</t>
        </is>
      </c>
      <c r="B58" s="4">
        <f>IF(COUNTIF(EDW_RAW!$A$2:$A$1500,$A58)=0,"",IF(SUMPRODUCT((EDW_RAW!$A$2:$A$1500=$A58)*(LEN(EDW_RAW!$R$2:$R$1500)&gt;0))=COUNTIF(EDW_RAW!$A$2:$A$1500,$A58),"O",IF(SUMPRODUCT((EDW_RAW!$A$2:$A$1500=$A58)*(LEN(EDW_RAW!$R$2:$R$1500)&gt;0))&gt;0,"부분","X")))</f>
        <v/>
      </c>
      <c r="C58" s="4">
        <f>IF(COUNTIF(EDW_RAW!$A$2:$A$1500,$A58)=0,"",IF(SUMPRODUCT((EDW_RAW!$A$2:$A$1500=$A58)*(LEN(EDW_RAW!$U$2:$U$1500)&gt;0))=COUNTIF(EDW_RAW!$A$2:$A$1500,$A58),"O",IF(SUMPRODUCT((EDW_RAW!$A$2:$A$1500=$A58)*(LEN(EDW_RAW!$U$2:$U$1500)&gt;0))&gt;0,"부분","X")))</f>
        <v/>
      </c>
      <c r="D58" s="5">
        <f>IFERROR(MAX(FILTER(소재DB_RAW!$AK$3:$AK$2000,(소재DB_RAW!$G$3:$G$2000=$A58)*ISERROR(SEARCH("drop",소재DB_RAW!$C$3:$C$2000))*(소재DB_RAW!$AK$3:$AK$2000&lt;&gt;""))),"")</f>
        <v/>
      </c>
      <c r="E58" s="4">
        <f>IF($D58="","",TEXT($D58,"yyyy-mm-dd"))</f>
        <v/>
      </c>
    </row>
    <row r="59">
      <c r="A59" s="4" t="inlineStr">
        <is>
          <t>QEBDX27731</t>
        </is>
      </c>
      <c r="B59" s="4">
        <f>IF(COUNTIF(EDW_RAW!$A$2:$A$1500,$A59)=0,"",IF(SUMPRODUCT((EDW_RAW!$A$2:$A$1500=$A59)*(LEN(EDW_RAW!$R$2:$R$1500)&gt;0))=COUNTIF(EDW_RAW!$A$2:$A$1500,$A59),"O",IF(SUMPRODUCT((EDW_RAW!$A$2:$A$1500=$A59)*(LEN(EDW_RAW!$R$2:$R$1500)&gt;0))&gt;0,"부분","X")))</f>
        <v/>
      </c>
      <c r="C59" s="4">
        <f>IF(COUNTIF(EDW_RAW!$A$2:$A$1500,$A59)=0,"",IF(SUMPRODUCT((EDW_RAW!$A$2:$A$1500=$A59)*(LEN(EDW_RAW!$U$2:$U$1500)&gt;0))=COUNTIF(EDW_RAW!$A$2:$A$1500,$A59),"O",IF(SUMPRODUCT((EDW_RAW!$A$2:$A$1500=$A59)*(LEN(EDW_RAW!$U$2:$U$1500)&gt;0))&gt;0,"부분","X")))</f>
        <v/>
      </c>
      <c r="D59" s="5">
        <f>IFERROR(MAX(FILTER(소재DB_RAW!$AK$3:$AK$2000,(소재DB_RAW!$G$3:$G$2000=$A59)*ISERROR(SEARCH("drop",소재DB_RAW!$C$3:$C$2000))*(소재DB_RAW!$AK$3:$AK$2000&lt;&gt;""))),"")</f>
        <v/>
      </c>
      <c r="E59" s="4">
        <f>IF($D59="","",TEXT($D59,"yyyy-mm-dd"))</f>
        <v/>
      </c>
    </row>
    <row r="60">
      <c r="A60" s="4" t="inlineStr">
        <is>
          <t>QEBDX27733</t>
        </is>
      </c>
      <c r="B60" s="4">
        <f>IF(COUNTIF(EDW_RAW!$A$2:$A$1500,$A60)=0,"",IF(SUMPRODUCT((EDW_RAW!$A$2:$A$1500=$A60)*(LEN(EDW_RAW!$R$2:$R$1500)&gt;0))=COUNTIF(EDW_RAW!$A$2:$A$1500,$A60),"O",IF(SUMPRODUCT((EDW_RAW!$A$2:$A$1500=$A60)*(LEN(EDW_RAW!$R$2:$R$1500)&gt;0))&gt;0,"부분","X")))</f>
        <v/>
      </c>
      <c r="C60" s="4">
        <f>IF(COUNTIF(EDW_RAW!$A$2:$A$1500,$A60)=0,"",IF(SUMPRODUCT((EDW_RAW!$A$2:$A$1500=$A60)*(LEN(EDW_RAW!$U$2:$U$1500)&gt;0))=COUNTIF(EDW_RAW!$A$2:$A$1500,$A60),"O",IF(SUMPRODUCT((EDW_RAW!$A$2:$A$1500=$A60)*(LEN(EDW_RAW!$U$2:$U$1500)&gt;0))&gt;0,"부분","X")))</f>
        <v/>
      </c>
      <c r="D60" s="5">
        <f>IFERROR(MAX(FILTER(소재DB_RAW!$AK$3:$AK$2000,(소재DB_RAW!$G$3:$G$2000=$A60)*ISERROR(SEARCH("drop",소재DB_RAW!$C$3:$C$2000))*(소재DB_RAW!$AK$3:$AK$2000&lt;&gt;""))),"")</f>
        <v/>
      </c>
      <c r="E60" s="4">
        <f>IF($D60="","",TEXT($D60,"yyyy-mm-dd"))</f>
        <v/>
      </c>
    </row>
    <row r="61">
      <c r="A61" s="4" t="inlineStr">
        <is>
          <t>QEAAX27741</t>
        </is>
      </c>
      <c r="B61" s="4">
        <f>IF(COUNTIF(EDW_RAW!$A$2:$A$1500,$A61)=0,"",IF(SUMPRODUCT((EDW_RAW!$A$2:$A$1500=$A61)*(LEN(EDW_RAW!$R$2:$R$1500)&gt;0))=COUNTIF(EDW_RAW!$A$2:$A$1500,$A61),"O",IF(SUMPRODUCT((EDW_RAW!$A$2:$A$1500=$A61)*(LEN(EDW_RAW!$R$2:$R$1500)&gt;0))&gt;0,"부분","X")))</f>
        <v/>
      </c>
      <c r="C61" s="4">
        <f>IF(COUNTIF(EDW_RAW!$A$2:$A$1500,$A61)=0,"",IF(SUMPRODUCT((EDW_RAW!$A$2:$A$1500=$A61)*(LEN(EDW_RAW!$U$2:$U$1500)&gt;0))=COUNTIF(EDW_RAW!$A$2:$A$1500,$A61),"O",IF(SUMPRODUCT((EDW_RAW!$A$2:$A$1500=$A61)*(LEN(EDW_RAW!$U$2:$U$1500)&gt;0))&gt;0,"부분","X")))</f>
        <v/>
      </c>
      <c r="D61" s="5">
        <f>IFERROR(MAX(FILTER(소재DB_RAW!$AK$3:$AK$2000,(소재DB_RAW!$G$3:$G$2000=$A61)*ISERROR(SEARCH("drop",소재DB_RAW!$C$3:$C$2000))*(소재DB_RAW!$AK$3:$AK$2000&lt;&gt;""))),"")</f>
        <v/>
      </c>
      <c r="E61" s="4">
        <f>IF($D61="","",TEXT($D61,"yyyy-mm-dd"))</f>
        <v/>
      </c>
    </row>
    <row r="62">
      <c r="A62" s="4" t="inlineStr">
        <is>
          <t>QELAX27701</t>
        </is>
      </c>
      <c r="B62" s="4">
        <f>IF(COUNTIF(EDW_RAW!$A$2:$A$1500,$A62)=0,"",IF(SUMPRODUCT((EDW_RAW!$A$2:$A$1500=$A62)*(LEN(EDW_RAW!$R$2:$R$1500)&gt;0))=COUNTIF(EDW_RAW!$A$2:$A$1500,$A62),"O",IF(SUMPRODUCT((EDW_RAW!$A$2:$A$1500=$A62)*(LEN(EDW_RAW!$R$2:$R$1500)&gt;0))&gt;0,"부분","X")))</f>
        <v/>
      </c>
      <c r="C62" s="4">
        <f>IF(COUNTIF(EDW_RAW!$A$2:$A$1500,$A62)=0,"",IF(SUMPRODUCT((EDW_RAW!$A$2:$A$1500=$A62)*(LEN(EDW_RAW!$U$2:$U$1500)&gt;0))=COUNTIF(EDW_RAW!$A$2:$A$1500,$A62),"O",IF(SUMPRODUCT((EDW_RAW!$A$2:$A$1500=$A62)*(LEN(EDW_RAW!$U$2:$U$1500)&gt;0))&gt;0,"부분","X")))</f>
        <v/>
      </c>
      <c r="D62" s="5">
        <f>IFERROR(MAX(FILTER(소재DB_RAW!$AK$3:$AK$2000,(소재DB_RAW!$G$3:$G$2000=$A62)*ISERROR(SEARCH("drop",소재DB_RAW!$C$3:$C$2000))*(소재DB_RAW!$AK$3:$AK$2000&lt;&gt;""))),"")</f>
        <v/>
      </c>
      <c r="E62" s="4">
        <f>IF($D62="","",TEXT($D62,"yyyy-mm-dd"))</f>
        <v/>
      </c>
    </row>
    <row r="63">
      <c r="A63" s="4" t="inlineStr">
        <is>
          <t>QEBXX27111</t>
        </is>
      </c>
      <c r="B63" s="4">
        <f>IF(COUNTIF(EDW_RAW!$A$2:$A$1500,$A63)=0,"",IF(SUMPRODUCT((EDW_RAW!$A$2:$A$1500=$A63)*(LEN(EDW_RAW!$R$2:$R$1500)&gt;0))=COUNTIF(EDW_RAW!$A$2:$A$1500,$A63),"O",IF(SUMPRODUCT((EDW_RAW!$A$2:$A$1500=$A63)*(LEN(EDW_RAW!$R$2:$R$1500)&gt;0))&gt;0,"부분","X")))</f>
        <v/>
      </c>
      <c r="C63" s="4">
        <f>IF(COUNTIF(EDW_RAW!$A$2:$A$1500,$A63)=0,"",IF(SUMPRODUCT((EDW_RAW!$A$2:$A$1500=$A63)*(LEN(EDW_RAW!$U$2:$U$1500)&gt;0))=COUNTIF(EDW_RAW!$A$2:$A$1500,$A63),"O",IF(SUMPRODUCT((EDW_RAW!$A$2:$A$1500=$A63)*(LEN(EDW_RAW!$U$2:$U$1500)&gt;0))&gt;0,"부분","X")))</f>
        <v/>
      </c>
      <c r="D63" s="5">
        <f>IFERROR(MAX(FILTER(소재DB_RAW!$AK$3:$AK$2000,(소재DB_RAW!$G$3:$G$2000=$A63)*ISERROR(SEARCH("drop",소재DB_RAW!$C$3:$C$2000))*(소재DB_RAW!$AK$3:$AK$2000&lt;&gt;""))),"")</f>
        <v/>
      </c>
      <c r="E63" s="4">
        <f>IF($D63="","",TEXT($D63,"yyyy-mm-dd"))</f>
        <v/>
      </c>
    </row>
    <row r="64">
      <c r="A64" s="4" t="inlineStr">
        <is>
          <t>QEBXX27121</t>
        </is>
      </c>
      <c r="B64" s="4">
        <f>IF(COUNTIF(EDW_RAW!$A$2:$A$1500,$A64)=0,"",IF(SUMPRODUCT((EDW_RAW!$A$2:$A$1500=$A64)*(LEN(EDW_RAW!$R$2:$R$1500)&gt;0))=COUNTIF(EDW_RAW!$A$2:$A$1500,$A64),"O",IF(SUMPRODUCT((EDW_RAW!$A$2:$A$1500=$A64)*(LEN(EDW_RAW!$R$2:$R$1500)&gt;0))&gt;0,"부분","X")))</f>
        <v/>
      </c>
      <c r="C64" s="4">
        <f>IF(COUNTIF(EDW_RAW!$A$2:$A$1500,$A64)=0,"",IF(SUMPRODUCT((EDW_RAW!$A$2:$A$1500=$A64)*(LEN(EDW_RAW!$U$2:$U$1500)&gt;0))=COUNTIF(EDW_RAW!$A$2:$A$1500,$A64),"O",IF(SUMPRODUCT((EDW_RAW!$A$2:$A$1500=$A64)*(LEN(EDW_RAW!$U$2:$U$1500)&gt;0))&gt;0,"부분","X")))</f>
        <v/>
      </c>
      <c r="D64" s="5">
        <f>IFERROR(MAX(FILTER(소재DB_RAW!$AK$3:$AK$2000,(소재DB_RAW!$G$3:$G$2000=$A64)*ISERROR(SEARCH("drop",소재DB_RAW!$C$3:$C$2000))*(소재DB_RAW!$AK$3:$AK$2000&lt;&gt;""))),"")</f>
        <v/>
      </c>
      <c r="E64" s="4">
        <f>IF($D64="","",TEXT($D64,"yyyy-mm-dd"))</f>
        <v/>
      </c>
    </row>
    <row r="65">
      <c r="A65" s="4" t="inlineStr">
        <is>
          <t>QEBXX27123</t>
        </is>
      </c>
      <c r="B65" s="4">
        <f>IF(COUNTIF(EDW_RAW!$A$2:$A$1500,$A65)=0,"",IF(SUMPRODUCT((EDW_RAW!$A$2:$A$1500=$A65)*(LEN(EDW_RAW!$R$2:$R$1500)&gt;0))=COUNTIF(EDW_RAW!$A$2:$A$1500,$A65),"O",IF(SUMPRODUCT((EDW_RAW!$A$2:$A$1500=$A65)*(LEN(EDW_RAW!$R$2:$R$1500)&gt;0))&gt;0,"부분","X")))</f>
        <v/>
      </c>
      <c r="C65" s="4">
        <f>IF(COUNTIF(EDW_RAW!$A$2:$A$1500,$A65)=0,"",IF(SUMPRODUCT((EDW_RAW!$A$2:$A$1500=$A65)*(LEN(EDW_RAW!$U$2:$U$1500)&gt;0))=COUNTIF(EDW_RAW!$A$2:$A$1500,$A65),"O",IF(SUMPRODUCT((EDW_RAW!$A$2:$A$1500=$A65)*(LEN(EDW_RAW!$U$2:$U$1500)&gt;0))&gt;0,"부분","X")))</f>
        <v/>
      </c>
      <c r="D65" s="5">
        <f>IFERROR(MAX(FILTER(소재DB_RAW!$AK$3:$AK$2000,(소재DB_RAW!$G$3:$G$2000=$A65)*ISERROR(SEARCH("drop",소재DB_RAW!$C$3:$C$2000))*(소재DB_RAW!$AK$3:$AK$2000&lt;&gt;""))),"")</f>
        <v/>
      </c>
      <c r="E65" s="4">
        <f>IF($D65="","",TEXT($D65,"yyyy-mm-dd"))</f>
        <v/>
      </c>
    </row>
    <row r="66">
      <c r="A66" s="4" t="inlineStr">
        <is>
          <t>QEBXX27131</t>
        </is>
      </c>
      <c r="B66" s="4">
        <f>IF(COUNTIF(EDW_RAW!$A$2:$A$1500,$A66)=0,"",IF(SUMPRODUCT((EDW_RAW!$A$2:$A$1500=$A66)*(LEN(EDW_RAW!$R$2:$R$1500)&gt;0))=COUNTIF(EDW_RAW!$A$2:$A$1500,$A66),"O",IF(SUMPRODUCT((EDW_RAW!$A$2:$A$1500=$A66)*(LEN(EDW_RAW!$R$2:$R$1500)&gt;0))&gt;0,"부분","X")))</f>
        <v/>
      </c>
      <c r="C66" s="4">
        <f>IF(COUNTIF(EDW_RAW!$A$2:$A$1500,$A66)=0,"",IF(SUMPRODUCT((EDW_RAW!$A$2:$A$1500=$A66)*(LEN(EDW_RAW!$U$2:$U$1500)&gt;0))=COUNTIF(EDW_RAW!$A$2:$A$1500,$A66),"O",IF(SUMPRODUCT((EDW_RAW!$A$2:$A$1500=$A66)*(LEN(EDW_RAW!$U$2:$U$1500)&gt;0))&gt;0,"부분","X")))</f>
        <v/>
      </c>
      <c r="D66" s="5">
        <f>IFERROR(MAX(FILTER(소재DB_RAW!$AK$3:$AK$2000,(소재DB_RAW!$G$3:$G$2000=$A66)*ISERROR(SEARCH("drop",소재DB_RAW!$C$3:$C$2000))*(소재DB_RAW!$AK$3:$AK$2000&lt;&gt;""))),"")</f>
        <v/>
      </c>
      <c r="E66" s="4">
        <f>IF($D66="","",TEXT($D66,"yyyy-mm-dd"))</f>
        <v/>
      </c>
    </row>
    <row r="67">
      <c r="A67" s="4" t="inlineStr">
        <is>
          <t>QEBXX27141</t>
        </is>
      </c>
      <c r="B67" s="4">
        <f>IF(COUNTIF(EDW_RAW!$A$2:$A$1500,$A67)=0,"",IF(SUMPRODUCT((EDW_RAW!$A$2:$A$1500=$A67)*(LEN(EDW_RAW!$R$2:$R$1500)&gt;0))=COUNTIF(EDW_RAW!$A$2:$A$1500,$A67),"O",IF(SUMPRODUCT((EDW_RAW!$A$2:$A$1500=$A67)*(LEN(EDW_RAW!$R$2:$R$1500)&gt;0))&gt;0,"부분","X")))</f>
        <v/>
      </c>
      <c r="C67" s="4">
        <f>IF(COUNTIF(EDW_RAW!$A$2:$A$1500,$A67)=0,"",IF(SUMPRODUCT((EDW_RAW!$A$2:$A$1500=$A67)*(LEN(EDW_RAW!$U$2:$U$1500)&gt;0))=COUNTIF(EDW_RAW!$A$2:$A$1500,$A67),"O",IF(SUMPRODUCT((EDW_RAW!$A$2:$A$1500=$A67)*(LEN(EDW_RAW!$U$2:$U$1500)&gt;0))&gt;0,"부분","X")))</f>
        <v/>
      </c>
      <c r="D67" s="5">
        <f>IFERROR(MAX(FILTER(소재DB_RAW!$AK$3:$AK$2000,(소재DB_RAW!$G$3:$G$2000=$A67)*ISERROR(SEARCH("drop",소재DB_RAW!$C$3:$C$2000))*(소재DB_RAW!$AK$3:$AK$2000&lt;&gt;""))),"")</f>
        <v/>
      </c>
      <c r="E67" s="4">
        <f>IF($D67="","",TEXT($D67,"yyyy-mm-dd"))</f>
        <v/>
      </c>
    </row>
    <row r="68">
      <c r="A68" s="4" t="inlineStr">
        <is>
          <t>QEBXX27511</t>
        </is>
      </c>
      <c r="B68" s="4">
        <f>IF(COUNTIF(EDW_RAW!$A$2:$A$1500,$A68)=0,"",IF(SUMPRODUCT((EDW_RAW!$A$2:$A$1500=$A68)*(LEN(EDW_RAW!$R$2:$R$1500)&gt;0))=COUNTIF(EDW_RAW!$A$2:$A$1500,$A68),"O",IF(SUMPRODUCT((EDW_RAW!$A$2:$A$1500=$A68)*(LEN(EDW_RAW!$R$2:$R$1500)&gt;0))&gt;0,"부분","X")))</f>
        <v/>
      </c>
      <c r="C68" s="4">
        <f>IF(COUNTIF(EDW_RAW!$A$2:$A$1500,$A68)=0,"",IF(SUMPRODUCT((EDW_RAW!$A$2:$A$1500=$A68)*(LEN(EDW_RAW!$U$2:$U$1500)&gt;0))=COUNTIF(EDW_RAW!$A$2:$A$1500,$A68),"O",IF(SUMPRODUCT((EDW_RAW!$A$2:$A$1500=$A68)*(LEN(EDW_RAW!$U$2:$U$1500)&gt;0))&gt;0,"부분","X")))</f>
        <v/>
      </c>
      <c r="D68" s="5">
        <f>IFERROR(MAX(FILTER(소재DB_RAW!$AK$3:$AK$2000,(소재DB_RAW!$G$3:$G$2000=$A68)*ISERROR(SEARCH("drop",소재DB_RAW!$C$3:$C$2000))*(소재DB_RAW!$AK$3:$AK$2000&lt;&gt;""))),"")</f>
        <v/>
      </c>
      <c r="E68" s="4">
        <f>IF($D68="","",TEXT($D68,"yyyy-mm-dd"))</f>
        <v/>
      </c>
    </row>
    <row r="69">
      <c r="A69" s="4" t="inlineStr">
        <is>
          <t>QEBXX27513</t>
        </is>
      </c>
      <c r="B69" s="4">
        <f>IF(COUNTIF(EDW_RAW!$A$2:$A$1500,$A69)=0,"",IF(SUMPRODUCT((EDW_RAW!$A$2:$A$1500=$A69)*(LEN(EDW_RAW!$R$2:$R$1500)&gt;0))=COUNTIF(EDW_RAW!$A$2:$A$1500,$A69),"O",IF(SUMPRODUCT((EDW_RAW!$A$2:$A$1500=$A69)*(LEN(EDW_RAW!$R$2:$R$1500)&gt;0))&gt;0,"부분","X")))</f>
        <v/>
      </c>
      <c r="C69" s="4">
        <f>IF(COUNTIF(EDW_RAW!$A$2:$A$1500,$A69)=0,"",IF(SUMPRODUCT((EDW_RAW!$A$2:$A$1500=$A69)*(LEN(EDW_RAW!$U$2:$U$1500)&gt;0))=COUNTIF(EDW_RAW!$A$2:$A$1500,$A69),"O",IF(SUMPRODUCT((EDW_RAW!$A$2:$A$1500=$A69)*(LEN(EDW_RAW!$U$2:$U$1500)&gt;0))&gt;0,"부분","X")))</f>
        <v/>
      </c>
      <c r="D69" s="5">
        <f>IFERROR(MAX(FILTER(소재DB_RAW!$AK$3:$AK$2000,(소재DB_RAW!$G$3:$G$2000=$A69)*ISERROR(SEARCH("drop",소재DB_RAW!$C$3:$C$2000))*(소재DB_RAW!$AK$3:$AK$2000&lt;&gt;""))),"")</f>
        <v/>
      </c>
      <c r="E69" s="4">
        <f>IF($D69="","",TEXT($D69,"yyyy-mm-dd"))</f>
        <v/>
      </c>
    </row>
    <row r="70">
      <c r="A70" s="4" t="inlineStr">
        <is>
          <t>QEBDX27111</t>
        </is>
      </c>
      <c r="B70" s="4">
        <f>IF(COUNTIF(EDW_RAW!$A$2:$A$1500,$A70)=0,"",IF(SUMPRODUCT((EDW_RAW!$A$2:$A$1500=$A70)*(LEN(EDW_RAW!$R$2:$R$1500)&gt;0))=COUNTIF(EDW_RAW!$A$2:$A$1500,$A70),"O",IF(SUMPRODUCT((EDW_RAW!$A$2:$A$1500=$A70)*(LEN(EDW_RAW!$R$2:$R$1500)&gt;0))&gt;0,"부분","X")))</f>
        <v/>
      </c>
      <c r="C70" s="4">
        <f>IF(COUNTIF(EDW_RAW!$A$2:$A$1500,$A70)=0,"",IF(SUMPRODUCT((EDW_RAW!$A$2:$A$1500=$A70)*(LEN(EDW_RAW!$U$2:$U$1500)&gt;0))=COUNTIF(EDW_RAW!$A$2:$A$1500,$A70),"O",IF(SUMPRODUCT((EDW_RAW!$A$2:$A$1500=$A70)*(LEN(EDW_RAW!$U$2:$U$1500)&gt;0))&gt;0,"부분","X")))</f>
        <v/>
      </c>
      <c r="D70" s="5">
        <f>IFERROR(MAX(FILTER(소재DB_RAW!$AK$3:$AK$2000,(소재DB_RAW!$G$3:$G$2000=$A70)*ISERROR(SEARCH("drop",소재DB_RAW!$C$3:$C$2000))*(소재DB_RAW!$AK$3:$AK$2000&lt;&gt;""))),"")</f>
        <v/>
      </c>
      <c r="E70" s="4">
        <f>IF($D70="","",TEXT($D70,"yyyy-mm-dd"))</f>
        <v/>
      </c>
    </row>
    <row r="71">
      <c r="A71" s="4" t="inlineStr">
        <is>
          <t>QEBDX27133</t>
        </is>
      </c>
      <c r="B71" s="4">
        <f>IF(COUNTIF(EDW_RAW!$A$2:$A$1500,$A71)=0,"",IF(SUMPRODUCT((EDW_RAW!$A$2:$A$1500=$A71)*(LEN(EDW_RAW!$R$2:$R$1500)&gt;0))=COUNTIF(EDW_RAW!$A$2:$A$1500,$A71),"O",IF(SUMPRODUCT((EDW_RAW!$A$2:$A$1500=$A71)*(LEN(EDW_RAW!$R$2:$R$1500)&gt;0))&gt;0,"부분","X")))</f>
        <v/>
      </c>
      <c r="C71" s="4">
        <f>IF(COUNTIF(EDW_RAW!$A$2:$A$1500,$A71)=0,"",IF(SUMPRODUCT((EDW_RAW!$A$2:$A$1500=$A71)*(LEN(EDW_RAW!$U$2:$U$1500)&gt;0))=COUNTIF(EDW_RAW!$A$2:$A$1500,$A71),"O",IF(SUMPRODUCT((EDW_RAW!$A$2:$A$1500=$A71)*(LEN(EDW_RAW!$U$2:$U$1500)&gt;0))&gt;0,"부분","X")))</f>
        <v/>
      </c>
      <c r="D71" s="5">
        <f>IFERROR(MAX(FILTER(소재DB_RAW!$AK$3:$AK$2000,(소재DB_RAW!$G$3:$G$2000=$A71)*ISERROR(SEARCH("drop",소재DB_RAW!$C$3:$C$2000))*(소재DB_RAW!$AK$3:$AK$2000&lt;&gt;""))),"")</f>
        <v/>
      </c>
      <c r="E71" s="4">
        <f>IF($D71="","",TEXT($D71,"yyyy-mm-dd"))</f>
        <v/>
      </c>
    </row>
    <row r="72">
      <c r="A72" s="4" t="inlineStr">
        <is>
          <t>QEBDX27123</t>
        </is>
      </c>
      <c r="B72" s="4">
        <f>IF(COUNTIF(EDW_RAW!$A$2:$A$1500,$A72)=0,"",IF(SUMPRODUCT((EDW_RAW!$A$2:$A$1500=$A72)*(LEN(EDW_RAW!$R$2:$R$1500)&gt;0))=COUNTIF(EDW_RAW!$A$2:$A$1500,$A72),"O",IF(SUMPRODUCT((EDW_RAW!$A$2:$A$1500=$A72)*(LEN(EDW_RAW!$R$2:$R$1500)&gt;0))&gt;0,"부분","X")))</f>
        <v/>
      </c>
      <c r="C72" s="4">
        <f>IF(COUNTIF(EDW_RAW!$A$2:$A$1500,$A72)=0,"",IF(SUMPRODUCT((EDW_RAW!$A$2:$A$1500=$A72)*(LEN(EDW_RAW!$U$2:$U$1500)&gt;0))=COUNTIF(EDW_RAW!$A$2:$A$1500,$A72),"O",IF(SUMPRODUCT((EDW_RAW!$A$2:$A$1500=$A72)*(LEN(EDW_RAW!$U$2:$U$1500)&gt;0))&gt;0,"부분","X")))</f>
        <v/>
      </c>
      <c r="D72" s="5">
        <f>IFERROR(MAX(FILTER(소재DB_RAW!$AK$3:$AK$2000,(소재DB_RAW!$G$3:$G$2000=$A72)*ISERROR(SEARCH("drop",소재DB_RAW!$C$3:$C$2000))*(소재DB_RAW!$AK$3:$AK$2000&lt;&gt;""))),"")</f>
        <v/>
      </c>
      <c r="E72" s="4">
        <f>IF($D72="","",TEXT($D72,"yyyy-mm-dd"))</f>
        <v/>
      </c>
    </row>
    <row r="73">
      <c r="A73" s="4" t="inlineStr">
        <is>
          <t>QEBDX27137</t>
        </is>
      </c>
      <c r="B73" s="4">
        <f>IF(COUNTIF(EDW_RAW!$A$2:$A$1500,$A73)=0,"",IF(SUMPRODUCT((EDW_RAW!$A$2:$A$1500=$A73)*(LEN(EDW_RAW!$R$2:$R$1500)&gt;0))=COUNTIF(EDW_RAW!$A$2:$A$1500,$A73),"O",IF(SUMPRODUCT((EDW_RAW!$A$2:$A$1500=$A73)*(LEN(EDW_RAW!$R$2:$R$1500)&gt;0))&gt;0,"부분","X")))</f>
        <v/>
      </c>
      <c r="C73" s="4">
        <f>IF(COUNTIF(EDW_RAW!$A$2:$A$1500,$A73)=0,"",IF(SUMPRODUCT((EDW_RAW!$A$2:$A$1500=$A73)*(LEN(EDW_RAW!$U$2:$U$1500)&gt;0))=COUNTIF(EDW_RAW!$A$2:$A$1500,$A73),"O",IF(SUMPRODUCT((EDW_RAW!$A$2:$A$1500=$A73)*(LEN(EDW_RAW!$U$2:$U$1500)&gt;0))&gt;0,"부분","X")))</f>
        <v/>
      </c>
      <c r="D73" s="5">
        <f>IFERROR(MAX(FILTER(소재DB_RAW!$AK$3:$AK$2000,(소재DB_RAW!$G$3:$G$2000=$A73)*ISERROR(SEARCH("drop",소재DB_RAW!$C$3:$C$2000))*(소재DB_RAW!$AK$3:$AK$2000&lt;&gt;""))),"")</f>
        <v/>
      </c>
      <c r="E73" s="4">
        <f>IF($D73="","",TEXT($D73,"yyyy-mm-dd"))</f>
        <v/>
      </c>
    </row>
    <row r="74">
      <c r="A74" s="4" t="inlineStr">
        <is>
          <t>QEBDX27135</t>
        </is>
      </c>
      <c r="B74" s="4">
        <f>IF(COUNTIF(EDW_RAW!$A$2:$A$1500,$A74)=0,"",IF(SUMPRODUCT((EDW_RAW!$A$2:$A$1500=$A74)*(LEN(EDW_RAW!$R$2:$R$1500)&gt;0))=COUNTIF(EDW_RAW!$A$2:$A$1500,$A74),"O",IF(SUMPRODUCT((EDW_RAW!$A$2:$A$1500=$A74)*(LEN(EDW_RAW!$R$2:$R$1500)&gt;0))&gt;0,"부분","X")))</f>
        <v/>
      </c>
      <c r="C74" s="4">
        <f>IF(COUNTIF(EDW_RAW!$A$2:$A$1500,$A74)=0,"",IF(SUMPRODUCT((EDW_RAW!$A$2:$A$1500=$A74)*(LEN(EDW_RAW!$U$2:$U$1500)&gt;0))=COUNTIF(EDW_RAW!$A$2:$A$1500,$A74),"O",IF(SUMPRODUCT((EDW_RAW!$A$2:$A$1500=$A74)*(LEN(EDW_RAW!$U$2:$U$1500)&gt;0))&gt;0,"부분","X")))</f>
        <v/>
      </c>
      <c r="D74" s="5">
        <f>IFERROR(MAX(FILTER(소재DB_RAW!$AK$3:$AK$2000,(소재DB_RAW!$G$3:$G$2000=$A74)*ISERROR(SEARCH("drop",소재DB_RAW!$C$3:$C$2000))*(소재DB_RAW!$AK$3:$AK$2000&lt;&gt;""))),"")</f>
        <v/>
      </c>
      <c r="E74" s="4">
        <f>IF($D74="","",TEXT($D74,"yyyy-mm-dd"))</f>
        <v/>
      </c>
    </row>
    <row r="75">
      <c r="A75" s="4" t="inlineStr">
        <is>
          <t>QEBDX27041</t>
        </is>
      </c>
      <c r="B75" s="4">
        <f>IF(COUNTIF(EDW_RAW!$A$2:$A$1500,$A75)=0,"",IF(SUMPRODUCT((EDW_RAW!$A$2:$A$1500=$A75)*(LEN(EDW_RAW!$R$2:$R$1500)&gt;0))=COUNTIF(EDW_RAW!$A$2:$A$1500,$A75),"O",IF(SUMPRODUCT((EDW_RAW!$A$2:$A$1500=$A75)*(LEN(EDW_RAW!$R$2:$R$1500)&gt;0))&gt;0,"부분","X")))</f>
        <v/>
      </c>
      <c r="C75" s="4">
        <f>IF(COUNTIF(EDW_RAW!$A$2:$A$1500,$A75)=0,"",IF(SUMPRODUCT((EDW_RAW!$A$2:$A$1500=$A75)*(LEN(EDW_RAW!$U$2:$U$1500)&gt;0))=COUNTIF(EDW_RAW!$A$2:$A$1500,$A75),"O",IF(SUMPRODUCT((EDW_RAW!$A$2:$A$1500=$A75)*(LEN(EDW_RAW!$U$2:$U$1500)&gt;0))&gt;0,"부분","X")))</f>
        <v/>
      </c>
      <c r="D75" s="5">
        <f>IFERROR(MAX(FILTER(소재DB_RAW!$AK$3:$AK$2000,(소재DB_RAW!$G$3:$G$2000=$A75)*ISERROR(SEARCH("drop",소재DB_RAW!$C$3:$C$2000))*(소재DB_RAW!$AK$3:$AK$2000&lt;&gt;""))),"")</f>
        <v/>
      </c>
      <c r="E75" s="4">
        <f>IF($D75="","",TEXT($D75,"yyyy-mm-dd"))</f>
        <v/>
      </c>
    </row>
    <row r="76">
      <c r="A76" s="4" t="inlineStr">
        <is>
          <t>QEBDX27091</t>
        </is>
      </c>
      <c r="B76" s="4">
        <f>IF(COUNTIF(EDW_RAW!$A$2:$A$1500,$A76)=0,"",IF(SUMPRODUCT((EDW_RAW!$A$2:$A$1500=$A76)*(LEN(EDW_RAW!$R$2:$R$1500)&gt;0))=COUNTIF(EDW_RAW!$A$2:$A$1500,$A76),"O",IF(SUMPRODUCT((EDW_RAW!$A$2:$A$1500=$A76)*(LEN(EDW_RAW!$R$2:$R$1500)&gt;0))&gt;0,"부분","X")))</f>
        <v/>
      </c>
      <c r="C76" s="4">
        <f>IF(COUNTIF(EDW_RAW!$A$2:$A$1500,$A76)=0,"",IF(SUMPRODUCT((EDW_RAW!$A$2:$A$1500=$A76)*(LEN(EDW_RAW!$U$2:$U$1500)&gt;0))=COUNTIF(EDW_RAW!$A$2:$A$1500,$A76),"O",IF(SUMPRODUCT((EDW_RAW!$A$2:$A$1500=$A76)*(LEN(EDW_RAW!$U$2:$U$1500)&gt;0))&gt;0,"부분","X")))</f>
        <v/>
      </c>
      <c r="D76" s="5">
        <f>IFERROR(MAX(FILTER(소재DB_RAW!$AK$3:$AK$2000,(소재DB_RAW!$G$3:$G$2000=$A76)*ISERROR(SEARCH("drop",소재DB_RAW!$C$3:$C$2000))*(소재DB_RAW!$AK$3:$AK$2000&lt;&gt;""))),"")</f>
        <v/>
      </c>
      <c r="E76" s="4">
        <f>IF($D76="","",TEXT($D76,"yyyy-mm-dd"))</f>
        <v/>
      </c>
    </row>
    <row r="77">
      <c r="A77" s="4" t="inlineStr">
        <is>
          <t>QEHFX27101</t>
        </is>
      </c>
      <c r="B77" s="4">
        <f>IF(COUNTIF(EDW_RAW!$A$2:$A$1500,$A77)=0,"",IF(SUMPRODUCT((EDW_RAW!$A$2:$A$1500=$A77)*(LEN(EDW_RAW!$R$2:$R$1500)&gt;0))=COUNTIF(EDW_RAW!$A$2:$A$1500,$A77),"O",IF(SUMPRODUCT((EDW_RAW!$A$2:$A$1500=$A77)*(LEN(EDW_RAW!$R$2:$R$1500)&gt;0))&gt;0,"부분","X")))</f>
        <v/>
      </c>
      <c r="C77" s="4">
        <f>IF(COUNTIF(EDW_RAW!$A$2:$A$1500,$A77)=0,"",IF(SUMPRODUCT((EDW_RAW!$A$2:$A$1500=$A77)*(LEN(EDW_RAW!$U$2:$U$1500)&gt;0))=COUNTIF(EDW_RAW!$A$2:$A$1500,$A77),"O",IF(SUMPRODUCT((EDW_RAW!$A$2:$A$1500=$A77)*(LEN(EDW_RAW!$U$2:$U$1500)&gt;0))&gt;0,"부분","X")))</f>
        <v/>
      </c>
      <c r="D77" s="5">
        <f>IFERROR(MAX(FILTER(소재DB_RAW!$AK$3:$AK$2000,(소재DB_RAW!$G$3:$G$2000=$A77)*ISERROR(SEARCH("drop",소재DB_RAW!$C$3:$C$2000))*(소재DB_RAW!$AK$3:$AK$2000&lt;&gt;""))),"")</f>
        <v/>
      </c>
      <c r="E77" s="4">
        <f>IF($D77="","",TEXT($D77,"yyyy-mm-dd"))</f>
        <v/>
      </c>
    </row>
    <row r="78">
      <c r="A78" s="4" t="inlineStr">
        <is>
          <t>QEHFM27301</t>
        </is>
      </c>
      <c r="B78" s="4">
        <f>IF(COUNTIF(EDW_RAW!$A$2:$A$1500,$A78)=0,"",IF(SUMPRODUCT((EDW_RAW!$A$2:$A$1500=$A78)*(LEN(EDW_RAW!$R$2:$R$1500)&gt;0))=COUNTIF(EDW_RAW!$A$2:$A$1500,$A78),"O",IF(SUMPRODUCT((EDW_RAW!$A$2:$A$1500=$A78)*(LEN(EDW_RAW!$R$2:$R$1500)&gt;0))&gt;0,"부분","X")))</f>
        <v/>
      </c>
      <c r="C78" s="4">
        <f>IF(COUNTIF(EDW_RAW!$A$2:$A$1500,$A78)=0,"",IF(SUMPRODUCT((EDW_RAW!$A$2:$A$1500=$A78)*(LEN(EDW_RAW!$U$2:$U$1500)&gt;0))=COUNTIF(EDW_RAW!$A$2:$A$1500,$A78),"O",IF(SUMPRODUCT((EDW_RAW!$A$2:$A$1500=$A78)*(LEN(EDW_RAW!$U$2:$U$1500)&gt;0))&gt;0,"부분","X")))</f>
        <v/>
      </c>
      <c r="D78" s="5">
        <f>IFERROR(MAX(FILTER(소재DB_RAW!$AK$3:$AK$2000,(소재DB_RAW!$G$3:$G$2000=$A78)*ISERROR(SEARCH("drop",소재DB_RAW!$C$3:$C$2000))*(소재DB_RAW!$AK$3:$AK$2000&lt;&gt;""))),"")</f>
        <v/>
      </c>
      <c r="E78" s="4">
        <f>IF($D78="","",TEXT($D78,"yyyy-mm-dd"))</f>
        <v/>
      </c>
    </row>
    <row r="79">
      <c r="A79" s="4" t="inlineStr">
        <is>
          <t>QEHFM27305</t>
        </is>
      </c>
      <c r="B79" s="4">
        <f>IF(COUNTIF(EDW_RAW!$A$2:$A$1500,$A79)=0,"",IF(SUMPRODUCT((EDW_RAW!$A$2:$A$1500=$A79)*(LEN(EDW_RAW!$R$2:$R$1500)&gt;0))=COUNTIF(EDW_RAW!$A$2:$A$1500,$A79),"O",IF(SUMPRODUCT((EDW_RAW!$A$2:$A$1500=$A79)*(LEN(EDW_RAW!$R$2:$R$1500)&gt;0))&gt;0,"부분","X")))</f>
        <v/>
      </c>
      <c r="C79" s="4">
        <f>IF(COUNTIF(EDW_RAW!$A$2:$A$1500,$A79)=0,"",IF(SUMPRODUCT((EDW_RAW!$A$2:$A$1500=$A79)*(LEN(EDW_RAW!$U$2:$U$1500)&gt;0))=COUNTIF(EDW_RAW!$A$2:$A$1500,$A79),"O",IF(SUMPRODUCT((EDW_RAW!$A$2:$A$1500=$A79)*(LEN(EDW_RAW!$U$2:$U$1500)&gt;0))&gt;0,"부분","X")))</f>
        <v/>
      </c>
      <c r="D79" s="5">
        <f>IFERROR(MAX(FILTER(소재DB_RAW!$AK$3:$AK$2000,(소재DB_RAW!$G$3:$G$2000=$A79)*ISERROR(SEARCH("drop",소재DB_RAW!$C$3:$C$2000))*(소재DB_RAW!$AK$3:$AK$2000&lt;&gt;""))),"")</f>
        <v/>
      </c>
      <c r="E79" s="4">
        <f>IF($D79="","",TEXT($D79,"yyyy-mm-dd"))</f>
        <v/>
      </c>
    </row>
    <row r="80">
      <c r="A80" s="4" t="inlineStr">
        <is>
          <t>QEHFX27103</t>
        </is>
      </c>
      <c r="B80" s="4">
        <f>IF(COUNTIF(EDW_RAW!$A$2:$A$1500,$A80)=0,"",IF(SUMPRODUCT((EDW_RAW!$A$2:$A$1500=$A80)*(LEN(EDW_RAW!$R$2:$R$1500)&gt;0))=COUNTIF(EDW_RAW!$A$2:$A$1500,$A80),"O",IF(SUMPRODUCT((EDW_RAW!$A$2:$A$1500=$A80)*(LEN(EDW_RAW!$R$2:$R$1500)&gt;0))&gt;0,"부분","X")))</f>
        <v/>
      </c>
      <c r="C80" s="4">
        <f>IF(COUNTIF(EDW_RAW!$A$2:$A$1500,$A80)=0,"",IF(SUMPRODUCT((EDW_RAW!$A$2:$A$1500=$A80)*(LEN(EDW_RAW!$U$2:$U$1500)&gt;0))=COUNTIF(EDW_RAW!$A$2:$A$1500,$A80),"O",IF(SUMPRODUCT((EDW_RAW!$A$2:$A$1500=$A80)*(LEN(EDW_RAW!$U$2:$U$1500)&gt;0))&gt;0,"부분","X")))</f>
        <v/>
      </c>
      <c r="D80" s="5">
        <f>IFERROR(MAX(FILTER(소재DB_RAW!$AK$3:$AK$2000,(소재DB_RAW!$G$3:$G$2000=$A80)*ISERROR(SEARCH("drop",소재DB_RAW!$C$3:$C$2000))*(소재DB_RAW!$AK$3:$AK$2000&lt;&gt;""))),"")</f>
        <v/>
      </c>
      <c r="E80" s="4">
        <f>IF($D80="","",TEXT($D80,"yyyy-mm-dd"))</f>
        <v/>
      </c>
    </row>
    <row r="81">
      <c r="A81" s="4" t="inlineStr">
        <is>
          <t>QEHFX27105</t>
        </is>
      </c>
      <c r="B81" s="4">
        <f>IF(COUNTIF(EDW_RAW!$A$2:$A$1500,$A81)=0,"",IF(SUMPRODUCT((EDW_RAW!$A$2:$A$1500=$A81)*(LEN(EDW_RAW!$R$2:$R$1500)&gt;0))=COUNTIF(EDW_RAW!$A$2:$A$1500,$A81),"O",IF(SUMPRODUCT((EDW_RAW!$A$2:$A$1500=$A81)*(LEN(EDW_RAW!$R$2:$R$1500)&gt;0))&gt;0,"부분","X")))</f>
        <v/>
      </c>
      <c r="C81" s="4">
        <f>IF(COUNTIF(EDW_RAW!$A$2:$A$1500,$A81)=0,"",IF(SUMPRODUCT((EDW_RAW!$A$2:$A$1500=$A81)*(LEN(EDW_RAW!$U$2:$U$1500)&gt;0))=COUNTIF(EDW_RAW!$A$2:$A$1500,$A81),"O",IF(SUMPRODUCT((EDW_RAW!$A$2:$A$1500=$A81)*(LEN(EDW_RAW!$U$2:$U$1500)&gt;0))&gt;0,"부분","X")))</f>
        <v/>
      </c>
      <c r="D81" s="5">
        <f>IFERROR(MAX(FILTER(소재DB_RAW!$AK$3:$AK$2000,(소재DB_RAW!$G$3:$G$2000=$A81)*ISERROR(SEARCH("drop",소재DB_RAW!$C$3:$C$2000))*(소재DB_RAW!$AK$3:$AK$2000&lt;&gt;""))),"")</f>
        <v/>
      </c>
      <c r="E81" s="4">
        <f>IF($D81="","",TEXT($D81,"yyyy-mm-dd"))</f>
        <v/>
      </c>
    </row>
    <row r="82">
      <c r="A82" s="4" t="inlineStr">
        <is>
          <t>QEREX27101</t>
        </is>
      </c>
      <c r="B82" s="4">
        <f>IF(COUNTIF(EDW_RAW!$A$2:$A$1500,$A82)=0,"",IF(SUMPRODUCT((EDW_RAW!$A$2:$A$1500=$A82)*(LEN(EDW_RAW!$R$2:$R$1500)&gt;0))=COUNTIF(EDW_RAW!$A$2:$A$1500,$A82),"O",IF(SUMPRODUCT((EDW_RAW!$A$2:$A$1500=$A82)*(LEN(EDW_RAW!$R$2:$R$1500)&gt;0))&gt;0,"부분","X")))</f>
        <v/>
      </c>
      <c r="C82" s="4">
        <f>IF(COUNTIF(EDW_RAW!$A$2:$A$1500,$A82)=0,"",IF(SUMPRODUCT((EDW_RAW!$A$2:$A$1500=$A82)*(LEN(EDW_RAW!$U$2:$U$1500)&gt;0))=COUNTIF(EDW_RAW!$A$2:$A$1500,$A82),"O",IF(SUMPRODUCT((EDW_RAW!$A$2:$A$1500=$A82)*(LEN(EDW_RAW!$U$2:$U$1500)&gt;0))&gt;0,"부분","X")))</f>
        <v/>
      </c>
      <c r="D82" s="5">
        <f>IFERROR(MAX(FILTER(소재DB_RAW!$AK$3:$AK$2000,(소재DB_RAW!$G$3:$G$2000=$A82)*ISERROR(SEARCH("drop",소재DB_RAW!$C$3:$C$2000))*(소재DB_RAW!$AK$3:$AK$2000&lt;&gt;""))),"")</f>
        <v/>
      </c>
      <c r="E82" s="4">
        <f>IF($D82="","",TEXT($D82,"yyyy-mm-dd"))</f>
        <v/>
      </c>
    </row>
    <row r="83">
      <c r="A83" s="4" t="inlineStr">
        <is>
          <t>QEREX27111</t>
        </is>
      </c>
      <c r="B83" s="4">
        <f>IF(COUNTIF(EDW_RAW!$A$2:$A$1500,$A83)=0,"",IF(SUMPRODUCT((EDW_RAW!$A$2:$A$1500=$A83)*(LEN(EDW_RAW!$R$2:$R$1500)&gt;0))=COUNTIF(EDW_RAW!$A$2:$A$1500,$A83),"O",IF(SUMPRODUCT((EDW_RAW!$A$2:$A$1500=$A83)*(LEN(EDW_RAW!$R$2:$R$1500)&gt;0))&gt;0,"부분","X")))</f>
        <v/>
      </c>
      <c r="C83" s="4">
        <f>IF(COUNTIF(EDW_RAW!$A$2:$A$1500,$A83)=0,"",IF(SUMPRODUCT((EDW_RAW!$A$2:$A$1500=$A83)*(LEN(EDW_RAW!$U$2:$U$1500)&gt;0))=COUNTIF(EDW_RAW!$A$2:$A$1500,$A83),"O",IF(SUMPRODUCT((EDW_RAW!$A$2:$A$1500=$A83)*(LEN(EDW_RAW!$U$2:$U$1500)&gt;0))&gt;0,"부분","X")))</f>
        <v/>
      </c>
      <c r="D83" s="5">
        <f>IFERROR(MAX(FILTER(소재DB_RAW!$AK$3:$AK$2000,(소재DB_RAW!$G$3:$G$2000=$A83)*ISERROR(SEARCH("drop",소재DB_RAW!$C$3:$C$2000))*(소재DB_RAW!$AK$3:$AK$2000&lt;&gt;""))),"")</f>
        <v/>
      </c>
      <c r="E83" s="4">
        <f>IF($D83="","",TEXT($D83,"yyyy-mm-dd"))</f>
        <v/>
      </c>
    </row>
    <row r="84">
      <c r="A84" s="4" t="inlineStr">
        <is>
          <t>QERFX27101</t>
        </is>
      </c>
      <c r="B84" s="4">
        <f>IF(COUNTIF(EDW_RAW!$A$2:$A$1500,$A84)=0,"",IF(SUMPRODUCT((EDW_RAW!$A$2:$A$1500=$A84)*(LEN(EDW_RAW!$R$2:$R$1500)&gt;0))=COUNTIF(EDW_RAW!$A$2:$A$1500,$A84),"O",IF(SUMPRODUCT((EDW_RAW!$A$2:$A$1500=$A84)*(LEN(EDW_RAW!$R$2:$R$1500)&gt;0))&gt;0,"부분","X")))</f>
        <v/>
      </c>
      <c r="C84" s="4">
        <f>IF(COUNTIF(EDW_RAW!$A$2:$A$1500,$A84)=0,"",IF(SUMPRODUCT((EDW_RAW!$A$2:$A$1500=$A84)*(LEN(EDW_RAW!$U$2:$U$1500)&gt;0))=COUNTIF(EDW_RAW!$A$2:$A$1500,$A84),"O",IF(SUMPRODUCT((EDW_RAW!$A$2:$A$1500=$A84)*(LEN(EDW_RAW!$U$2:$U$1500)&gt;0))&gt;0,"부분","X")))</f>
        <v/>
      </c>
      <c r="D84" s="5">
        <f>IFERROR(MAX(FILTER(소재DB_RAW!$AK$3:$AK$2000,(소재DB_RAW!$G$3:$G$2000=$A84)*ISERROR(SEARCH("drop",소재DB_RAW!$C$3:$C$2000))*(소재DB_RAW!$AK$3:$AK$2000&lt;&gt;""))),"")</f>
        <v/>
      </c>
      <c r="E84" s="4">
        <f>IF($D84="","",TEXT($D84,"yyyy-mm-dd"))</f>
        <v/>
      </c>
    </row>
    <row r="85">
      <c r="A85" s="4" t="inlineStr">
        <is>
          <t>QERFX27111</t>
        </is>
      </c>
      <c r="B85" s="4">
        <f>IF(COUNTIF(EDW_RAW!$A$2:$A$1500,$A85)=0,"",IF(SUMPRODUCT((EDW_RAW!$A$2:$A$1500=$A85)*(LEN(EDW_RAW!$R$2:$R$1500)&gt;0))=COUNTIF(EDW_RAW!$A$2:$A$1500,$A85),"O",IF(SUMPRODUCT((EDW_RAW!$A$2:$A$1500=$A85)*(LEN(EDW_RAW!$R$2:$R$1500)&gt;0))&gt;0,"부분","X")))</f>
        <v/>
      </c>
      <c r="C85" s="4">
        <f>IF(COUNTIF(EDW_RAW!$A$2:$A$1500,$A85)=0,"",IF(SUMPRODUCT((EDW_RAW!$A$2:$A$1500=$A85)*(LEN(EDW_RAW!$U$2:$U$1500)&gt;0))=COUNTIF(EDW_RAW!$A$2:$A$1500,$A85),"O",IF(SUMPRODUCT((EDW_RAW!$A$2:$A$1500=$A85)*(LEN(EDW_RAW!$U$2:$U$1500)&gt;0))&gt;0,"부분","X")))</f>
        <v/>
      </c>
      <c r="D85" s="5">
        <f>IFERROR(MAX(FILTER(소재DB_RAW!$AK$3:$AK$2000,(소재DB_RAW!$G$3:$G$2000=$A85)*ISERROR(SEARCH("drop",소재DB_RAW!$C$3:$C$2000))*(소재DB_RAW!$AK$3:$AK$2000&lt;&gt;""))),"")</f>
        <v/>
      </c>
      <c r="E85" s="4">
        <f>IF($D85="","",TEXT($D85,"yyyy-mm-dd"))</f>
        <v/>
      </c>
    </row>
    <row r="86">
      <c r="A86" s="4" t="inlineStr">
        <is>
          <t>QEREM27151</t>
        </is>
      </c>
      <c r="B86" s="4">
        <f>IF(COUNTIF(EDW_RAW!$A$2:$A$1500,$A86)=0,"",IF(SUMPRODUCT((EDW_RAW!$A$2:$A$1500=$A86)*(LEN(EDW_RAW!$R$2:$R$1500)&gt;0))=COUNTIF(EDW_RAW!$A$2:$A$1500,$A86),"O",IF(SUMPRODUCT((EDW_RAW!$A$2:$A$1500=$A86)*(LEN(EDW_RAW!$R$2:$R$1500)&gt;0))&gt;0,"부분","X")))</f>
        <v/>
      </c>
      <c r="C86" s="4">
        <f>IF(COUNTIF(EDW_RAW!$A$2:$A$1500,$A86)=0,"",IF(SUMPRODUCT((EDW_RAW!$A$2:$A$1500=$A86)*(LEN(EDW_RAW!$U$2:$U$1500)&gt;0))=COUNTIF(EDW_RAW!$A$2:$A$1500,$A86),"O",IF(SUMPRODUCT((EDW_RAW!$A$2:$A$1500=$A86)*(LEN(EDW_RAW!$U$2:$U$1500)&gt;0))&gt;0,"부분","X")))</f>
        <v/>
      </c>
      <c r="D86" s="5">
        <f>IFERROR(MAX(FILTER(소재DB_RAW!$AK$3:$AK$2000,(소재DB_RAW!$G$3:$G$2000=$A86)*ISERROR(SEARCH("drop",소재DB_RAW!$C$3:$C$2000))*(소재DB_RAW!$AK$3:$AK$2000&lt;&gt;""))),"")</f>
        <v/>
      </c>
      <c r="E86" s="4">
        <f>IF($D86="","",TEXT($D86,"yyyy-mm-dd"))</f>
        <v/>
      </c>
    </row>
    <row r="87">
      <c r="A87" s="4" t="inlineStr">
        <is>
          <t>QEREM27131</t>
        </is>
      </c>
      <c r="B87" s="4">
        <f>IF(COUNTIF(EDW_RAW!$A$2:$A$1500,$A87)=0,"",IF(SUMPRODUCT((EDW_RAW!$A$2:$A$1500=$A87)*(LEN(EDW_RAW!$R$2:$R$1500)&gt;0))=COUNTIF(EDW_RAW!$A$2:$A$1500,$A87),"O",IF(SUMPRODUCT((EDW_RAW!$A$2:$A$1500=$A87)*(LEN(EDW_RAW!$R$2:$R$1500)&gt;0))&gt;0,"부분","X")))</f>
        <v/>
      </c>
      <c r="C87" s="4">
        <f>IF(COUNTIF(EDW_RAW!$A$2:$A$1500,$A87)=0,"",IF(SUMPRODUCT((EDW_RAW!$A$2:$A$1500=$A87)*(LEN(EDW_RAW!$U$2:$U$1500)&gt;0))=COUNTIF(EDW_RAW!$A$2:$A$1500,$A87),"O",IF(SUMPRODUCT((EDW_RAW!$A$2:$A$1500=$A87)*(LEN(EDW_RAW!$U$2:$U$1500)&gt;0))&gt;0,"부분","X")))</f>
        <v/>
      </c>
      <c r="D87" s="5">
        <f>IFERROR(MAX(FILTER(소재DB_RAW!$AK$3:$AK$2000,(소재DB_RAW!$G$3:$G$2000=$A87)*ISERROR(SEARCH("drop",소재DB_RAW!$C$3:$C$2000))*(소재DB_RAW!$AK$3:$AK$2000&lt;&gt;""))),"")</f>
        <v/>
      </c>
      <c r="E87" s="4">
        <f>IF($D87="","",TEXT($D87,"yyyy-mm-dd"))</f>
        <v/>
      </c>
    </row>
    <row r="88">
      <c r="A88" s="4" t="inlineStr">
        <is>
          <t>QEREM27311</t>
        </is>
      </c>
      <c r="B88" s="4">
        <f>IF(COUNTIF(EDW_RAW!$A$2:$A$1500,$A88)=0,"",IF(SUMPRODUCT((EDW_RAW!$A$2:$A$1500=$A88)*(LEN(EDW_RAW!$R$2:$R$1500)&gt;0))=COUNTIF(EDW_RAW!$A$2:$A$1500,$A88),"O",IF(SUMPRODUCT((EDW_RAW!$A$2:$A$1500=$A88)*(LEN(EDW_RAW!$R$2:$R$1500)&gt;0))&gt;0,"부분","X")))</f>
        <v/>
      </c>
      <c r="C88" s="4">
        <f>IF(COUNTIF(EDW_RAW!$A$2:$A$1500,$A88)=0,"",IF(SUMPRODUCT((EDW_RAW!$A$2:$A$1500=$A88)*(LEN(EDW_RAW!$U$2:$U$1500)&gt;0))=COUNTIF(EDW_RAW!$A$2:$A$1500,$A88),"O",IF(SUMPRODUCT((EDW_RAW!$A$2:$A$1500=$A88)*(LEN(EDW_RAW!$U$2:$U$1500)&gt;0))&gt;0,"부분","X")))</f>
        <v/>
      </c>
      <c r="D88" s="5">
        <f>IFERROR(MAX(FILTER(소재DB_RAW!$AK$3:$AK$2000,(소재DB_RAW!$G$3:$G$2000=$A88)*ISERROR(SEARCH("drop",소재DB_RAW!$C$3:$C$2000))*(소재DB_RAW!$AK$3:$AK$2000&lt;&gt;""))),"")</f>
        <v/>
      </c>
      <c r="E88" s="4">
        <f>IF($D88="","",TEXT($D88,"yyyy-mm-dd"))</f>
        <v/>
      </c>
    </row>
    <row r="89">
      <c r="A89" s="4" t="inlineStr">
        <is>
          <t>QEREM27301</t>
        </is>
      </c>
      <c r="B89" s="4">
        <f>IF(COUNTIF(EDW_RAW!$A$2:$A$1500,$A89)=0,"",IF(SUMPRODUCT((EDW_RAW!$A$2:$A$1500=$A89)*(LEN(EDW_RAW!$R$2:$R$1500)&gt;0))=COUNTIF(EDW_RAW!$A$2:$A$1500,$A89),"O",IF(SUMPRODUCT((EDW_RAW!$A$2:$A$1500=$A89)*(LEN(EDW_RAW!$R$2:$R$1500)&gt;0))&gt;0,"부분","X")))</f>
        <v/>
      </c>
      <c r="C89" s="4">
        <f>IF(COUNTIF(EDW_RAW!$A$2:$A$1500,$A89)=0,"",IF(SUMPRODUCT((EDW_RAW!$A$2:$A$1500=$A89)*(LEN(EDW_RAW!$U$2:$U$1500)&gt;0))=COUNTIF(EDW_RAW!$A$2:$A$1500,$A89),"O",IF(SUMPRODUCT((EDW_RAW!$A$2:$A$1500=$A89)*(LEN(EDW_RAW!$U$2:$U$1500)&gt;0))&gt;0,"부분","X")))</f>
        <v/>
      </c>
      <c r="D89" s="5">
        <f>IFERROR(MAX(FILTER(소재DB_RAW!$AK$3:$AK$2000,(소재DB_RAW!$G$3:$G$2000=$A89)*ISERROR(SEARCH("drop",소재DB_RAW!$C$3:$C$2000))*(소재DB_RAW!$AK$3:$AK$2000&lt;&gt;""))),"")</f>
        <v/>
      </c>
      <c r="E89" s="4">
        <f>IF($D89="","",TEXT($D89,"yyyy-mm-dd"))</f>
        <v/>
      </c>
    </row>
    <row r="90">
      <c r="A90" s="4" t="inlineStr">
        <is>
          <t>QEREX27401</t>
        </is>
      </c>
      <c r="B90" s="4">
        <f>IF(COUNTIF(EDW_RAW!$A$2:$A$1500,$A90)=0,"",IF(SUMPRODUCT((EDW_RAW!$A$2:$A$1500=$A90)*(LEN(EDW_RAW!$R$2:$R$1500)&gt;0))=COUNTIF(EDW_RAW!$A$2:$A$1500,$A90),"O",IF(SUMPRODUCT((EDW_RAW!$A$2:$A$1500=$A90)*(LEN(EDW_RAW!$R$2:$R$1500)&gt;0))&gt;0,"부분","X")))</f>
        <v/>
      </c>
      <c r="C90" s="4">
        <f>IF(COUNTIF(EDW_RAW!$A$2:$A$1500,$A90)=0,"",IF(SUMPRODUCT((EDW_RAW!$A$2:$A$1500=$A90)*(LEN(EDW_RAW!$U$2:$U$1500)&gt;0))=COUNTIF(EDW_RAW!$A$2:$A$1500,$A90),"O",IF(SUMPRODUCT((EDW_RAW!$A$2:$A$1500=$A90)*(LEN(EDW_RAW!$U$2:$U$1500)&gt;0))&gt;0,"부분","X")))</f>
        <v/>
      </c>
      <c r="D90" s="5">
        <f>IFERROR(MAX(FILTER(소재DB_RAW!$AK$3:$AK$2000,(소재DB_RAW!$G$3:$G$2000=$A90)*ISERROR(SEARCH("drop",소재DB_RAW!$C$3:$C$2000))*(소재DB_RAW!$AK$3:$AK$2000&lt;&gt;""))),"")</f>
        <v/>
      </c>
      <c r="E90" s="4">
        <f>IF($D90="","",TEXT($D90,"yyyy-mm-dd"))</f>
        <v/>
      </c>
    </row>
    <row r="91">
      <c r="A91" s="4" t="inlineStr">
        <is>
          <t>QEREM27171</t>
        </is>
      </c>
      <c r="B91" s="4">
        <f>IF(COUNTIF(EDW_RAW!$A$2:$A$1500,$A91)=0,"",IF(SUMPRODUCT((EDW_RAW!$A$2:$A$1500=$A91)*(LEN(EDW_RAW!$R$2:$R$1500)&gt;0))=COUNTIF(EDW_RAW!$A$2:$A$1500,$A91),"O",IF(SUMPRODUCT((EDW_RAW!$A$2:$A$1500=$A91)*(LEN(EDW_RAW!$R$2:$R$1500)&gt;0))&gt;0,"부분","X")))</f>
        <v/>
      </c>
      <c r="C91" s="4">
        <f>IF(COUNTIF(EDW_RAW!$A$2:$A$1500,$A91)=0,"",IF(SUMPRODUCT((EDW_RAW!$A$2:$A$1500=$A91)*(LEN(EDW_RAW!$U$2:$U$1500)&gt;0))=COUNTIF(EDW_RAW!$A$2:$A$1500,$A91),"O",IF(SUMPRODUCT((EDW_RAW!$A$2:$A$1500=$A91)*(LEN(EDW_RAW!$U$2:$U$1500)&gt;0))&gt;0,"부분","X")))</f>
        <v/>
      </c>
      <c r="D91" s="5">
        <f>IFERROR(MAX(FILTER(소재DB_RAW!$AK$3:$AK$2000,(소재DB_RAW!$G$3:$G$2000=$A91)*ISERROR(SEARCH("drop",소재DB_RAW!$C$3:$C$2000))*(소재DB_RAW!$AK$3:$AK$2000&lt;&gt;""))),"")</f>
        <v/>
      </c>
      <c r="E91" s="4">
        <f>IF($D91="","",TEXT($D91,"yyyy-mm-dd"))</f>
        <v/>
      </c>
    </row>
    <row r="92">
      <c r="A92" s="4" t="inlineStr">
        <is>
          <t>QERHM27902</t>
        </is>
      </c>
      <c r="B92" s="4">
        <f>IF(COUNTIF(EDW_RAW!$A$2:$A$1500,$A92)=0,"",IF(SUMPRODUCT((EDW_RAW!$A$2:$A$1500=$A92)*(LEN(EDW_RAW!$R$2:$R$1500)&gt;0))=COUNTIF(EDW_RAW!$A$2:$A$1500,$A92),"O",IF(SUMPRODUCT((EDW_RAW!$A$2:$A$1500=$A92)*(LEN(EDW_RAW!$R$2:$R$1500)&gt;0))&gt;0,"부분","X")))</f>
        <v/>
      </c>
      <c r="C92" s="4">
        <f>IF(COUNTIF(EDW_RAW!$A$2:$A$1500,$A92)=0,"",IF(SUMPRODUCT((EDW_RAW!$A$2:$A$1500=$A92)*(LEN(EDW_RAW!$U$2:$U$1500)&gt;0))=COUNTIF(EDW_RAW!$A$2:$A$1500,$A92),"O",IF(SUMPRODUCT((EDW_RAW!$A$2:$A$1500=$A92)*(LEN(EDW_RAW!$U$2:$U$1500)&gt;0))&gt;0,"부분","X")))</f>
        <v/>
      </c>
      <c r="D92" s="5">
        <f>IFERROR(MAX(FILTER(소재DB_RAW!$AK$3:$AK$2000,(소재DB_RAW!$G$3:$G$2000=$A92)*ISERROR(SEARCH("drop",소재DB_RAW!$C$3:$C$2000))*(소재DB_RAW!$AK$3:$AK$2000&lt;&gt;""))),"")</f>
        <v/>
      </c>
      <c r="E92" s="4">
        <f>IF($D92="","",TEXT($D92,"yyyy-mm-dd"))</f>
        <v/>
      </c>
    </row>
    <row r="93">
      <c r="A93" s="4" t="inlineStr">
        <is>
          <t>QERFX27141</t>
        </is>
      </c>
      <c r="B93" s="4">
        <f>IF(COUNTIF(EDW_RAW!$A$2:$A$1500,$A93)=0,"",IF(SUMPRODUCT((EDW_RAW!$A$2:$A$1500=$A93)*(LEN(EDW_RAW!$R$2:$R$1500)&gt;0))=COUNTIF(EDW_RAW!$A$2:$A$1500,$A93),"O",IF(SUMPRODUCT((EDW_RAW!$A$2:$A$1500=$A93)*(LEN(EDW_RAW!$R$2:$R$1500)&gt;0))&gt;0,"부분","X")))</f>
        <v/>
      </c>
      <c r="C93" s="4">
        <f>IF(COUNTIF(EDW_RAW!$A$2:$A$1500,$A93)=0,"",IF(SUMPRODUCT((EDW_RAW!$A$2:$A$1500=$A93)*(LEN(EDW_RAW!$U$2:$U$1500)&gt;0))=COUNTIF(EDW_RAW!$A$2:$A$1500,$A93),"O",IF(SUMPRODUCT((EDW_RAW!$A$2:$A$1500=$A93)*(LEN(EDW_RAW!$U$2:$U$1500)&gt;0))&gt;0,"부분","X")))</f>
        <v/>
      </c>
      <c r="D93" s="5">
        <f>IFERROR(MAX(FILTER(소재DB_RAW!$AK$3:$AK$2000,(소재DB_RAW!$G$3:$G$2000=$A93)*ISERROR(SEARCH("drop",소재DB_RAW!$C$3:$C$2000))*(소재DB_RAW!$AK$3:$AK$2000&lt;&gt;""))),"")</f>
        <v/>
      </c>
      <c r="E93" s="4">
        <f>IF($D93="","",TEXT($D93,"yyyy-mm-dd"))</f>
        <v/>
      </c>
    </row>
    <row r="94">
      <c r="A94" s="4" t="inlineStr">
        <is>
          <t>QERFM27151</t>
        </is>
      </c>
      <c r="B94" s="4">
        <f>IF(COUNTIF(EDW_RAW!$A$2:$A$1500,$A94)=0,"",IF(SUMPRODUCT((EDW_RAW!$A$2:$A$1500=$A94)*(LEN(EDW_RAW!$R$2:$R$1500)&gt;0))=COUNTIF(EDW_RAW!$A$2:$A$1500,$A94),"O",IF(SUMPRODUCT((EDW_RAW!$A$2:$A$1500=$A94)*(LEN(EDW_RAW!$R$2:$R$1500)&gt;0))&gt;0,"부분","X")))</f>
        <v/>
      </c>
      <c r="C94" s="4">
        <f>IF(COUNTIF(EDW_RAW!$A$2:$A$1500,$A94)=0,"",IF(SUMPRODUCT((EDW_RAW!$A$2:$A$1500=$A94)*(LEN(EDW_RAW!$U$2:$U$1500)&gt;0))=COUNTIF(EDW_RAW!$A$2:$A$1500,$A94),"O",IF(SUMPRODUCT((EDW_RAW!$A$2:$A$1500=$A94)*(LEN(EDW_RAW!$U$2:$U$1500)&gt;0))&gt;0,"부분","X")))</f>
        <v/>
      </c>
      <c r="D94" s="5">
        <f>IFERROR(MAX(FILTER(소재DB_RAW!$AK$3:$AK$2000,(소재DB_RAW!$G$3:$G$2000=$A94)*ISERROR(SEARCH("drop",소재DB_RAW!$C$3:$C$2000))*(소재DB_RAW!$AK$3:$AK$2000&lt;&gt;""))),"")</f>
        <v/>
      </c>
      <c r="E94" s="4">
        <f>IF($D94="","",TEXT($D94,"yyyy-mm-dd"))</f>
        <v/>
      </c>
    </row>
    <row r="95">
      <c r="A95" s="4" t="inlineStr">
        <is>
          <t>QERFM27121</t>
        </is>
      </c>
      <c r="B95" s="4">
        <f>IF(COUNTIF(EDW_RAW!$A$2:$A$1500,$A95)=0,"",IF(SUMPRODUCT((EDW_RAW!$A$2:$A$1500=$A95)*(LEN(EDW_RAW!$R$2:$R$1500)&gt;0))=COUNTIF(EDW_RAW!$A$2:$A$1500,$A95),"O",IF(SUMPRODUCT((EDW_RAW!$A$2:$A$1500=$A95)*(LEN(EDW_RAW!$R$2:$R$1500)&gt;0))&gt;0,"부분","X")))</f>
        <v/>
      </c>
      <c r="C95" s="4">
        <f>IF(COUNTIF(EDW_RAW!$A$2:$A$1500,$A95)=0,"",IF(SUMPRODUCT((EDW_RAW!$A$2:$A$1500=$A95)*(LEN(EDW_RAW!$U$2:$U$1500)&gt;0))=COUNTIF(EDW_RAW!$A$2:$A$1500,$A95),"O",IF(SUMPRODUCT((EDW_RAW!$A$2:$A$1500=$A95)*(LEN(EDW_RAW!$U$2:$U$1500)&gt;0))&gt;0,"부분","X")))</f>
        <v/>
      </c>
      <c r="D95" s="5">
        <f>IFERROR(MAX(FILTER(소재DB_RAW!$AK$3:$AK$2000,(소재DB_RAW!$G$3:$G$2000=$A95)*ISERROR(SEARCH("drop",소재DB_RAW!$C$3:$C$2000))*(소재DB_RAW!$AK$3:$AK$2000&lt;&gt;""))),"")</f>
        <v/>
      </c>
      <c r="E95" s="4">
        <f>IF($D95="","",TEXT($D95,"yyyy-mm-dd"))</f>
        <v/>
      </c>
    </row>
    <row r="96">
      <c r="A96" s="4" t="inlineStr">
        <is>
          <t>QERFM27501</t>
        </is>
      </c>
      <c r="B96" s="4">
        <f>IF(COUNTIF(EDW_RAW!$A$2:$A$1500,$A96)=0,"",IF(SUMPRODUCT((EDW_RAW!$A$2:$A$1500=$A96)*(LEN(EDW_RAW!$R$2:$R$1500)&gt;0))=COUNTIF(EDW_RAW!$A$2:$A$1500,$A96),"O",IF(SUMPRODUCT((EDW_RAW!$A$2:$A$1500=$A96)*(LEN(EDW_RAW!$R$2:$R$1500)&gt;0))&gt;0,"부분","X")))</f>
        <v/>
      </c>
      <c r="C96" s="4">
        <f>IF(COUNTIF(EDW_RAW!$A$2:$A$1500,$A96)=0,"",IF(SUMPRODUCT((EDW_RAW!$A$2:$A$1500=$A96)*(LEN(EDW_RAW!$U$2:$U$1500)&gt;0))=COUNTIF(EDW_RAW!$A$2:$A$1500,$A96),"O",IF(SUMPRODUCT((EDW_RAW!$A$2:$A$1500=$A96)*(LEN(EDW_RAW!$U$2:$U$1500)&gt;0))&gt;0,"부분","X")))</f>
        <v/>
      </c>
      <c r="D96" s="5">
        <f>IFERROR(MAX(FILTER(소재DB_RAW!$AK$3:$AK$2000,(소재DB_RAW!$G$3:$G$2000=$A96)*ISERROR(SEARCH("drop",소재DB_RAW!$C$3:$C$2000))*(소재DB_RAW!$AK$3:$AK$2000&lt;&gt;""))),"")</f>
        <v/>
      </c>
      <c r="E96" s="4">
        <f>IF($D96="","",TEXT($D96,"yyyy-mm-dd"))</f>
        <v/>
      </c>
    </row>
    <row r="97">
      <c r="A97" s="4" t="inlineStr">
        <is>
          <t>QERFM27402</t>
        </is>
      </c>
      <c r="B97" s="4">
        <f>IF(COUNTIF(EDW_RAW!$A$2:$A$1500,$A97)=0,"",IF(SUMPRODUCT((EDW_RAW!$A$2:$A$1500=$A97)*(LEN(EDW_RAW!$R$2:$R$1500)&gt;0))=COUNTIF(EDW_RAW!$A$2:$A$1500,$A97),"O",IF(SUMPRODUCT((EDW_RAW!$A$2:$A$1500=$A97)*(LEN(EDW_RAW!$R$2:$R$1500)&gt;0))&gt;0,"부분","X")))</f>
        <v/>
      </c>
      <c r="C97" s="4">
        <f>IF(COUNTIF(EDW_RAW!$A$2:$A$1500,$A97)=0,"",IF(SUMPRODUCT((EDW_RAW!$A$2:$A$1500=$A97)*(LEN(EDW_RAW!$U$2:$U$1500)&gt;0))=COUNTIF(EDW_RAW!$A$2:$A$1500,$A97),"O",IF(SUMPRODUCT((EDW_RAW!$A$2:$A$1500=$A97)*(LEN(EDW_RAW!$U$2:$U$1500)&gt;0))&gt;0,"부분","X")))</f>
        <v/>
      </c>
      <c r="D97" s="5">
        <f>IFERROR(MAX(FILTER(소재DB_RAW!$AK$3:$AK$2000,(소재DB_RAW!$G$3:$G$2000=$A97)*ISERROR(SEARCH("drop",소재DB_RAW!$C$3:$C$2000))*(소재DB_RAW!$AK$3:$AK$2000&lt;&gt;""))),"")</f>
        <v/>
      </c>
      <c r="E97" s="4">
        <f>IF($D97="","",TEXT($D97,"yyyy-mm-dd"))</f>
        <v/>
      </c>
    </row>
    <row r="98">
      <c r="A98" s="4" t="inlineStr">
        <is>
          <t>QERFM27401</t>
        </is>
      </c>
      <c r="B98" s="4">
        <f>IF(COUNTIF(EDW_RAW!$A$2:$A$1500,$A98)=0,"",IF(SUMPRODUCT((EDW_RAW!$A$2:$A$1500=$A98)*(LEN(EDW_RAW!$R$2:$R$1500)&gt;0))=COUNTIF(EDW_RAW!$A$2:$A$1500,$A98),"O",IF(SUMPRODUCT((EDW_RAW!$A$2:$A$1500=$A98)*(LEN(EDW_RAW!$R$2:$R$1500)&gt;0))&gt;0,"부분","X")))</f>
        <v/>
      </c>
      <c r="C98" s="4">
        <f>IF(COUNTIF(EDW_RAW!$A$2:$A$1500,$A98)=0,"",IF(SUMPRODUCT((EDW_RAW!$A$2:$A$1500=$A98)*(LEN(EDW_RAW!$U$2:$U$1500)&gt;0))=COUNTIF(EDW_RAW!$A$2:$A$1500,$A98),"O",IF(SUMPRODUCT((EDW_RAW!$A$2:$A$1500=$A98)*(LEN(EDW_RAW!$U$2:$U$1500)&gt;0))&gt;0,"부분","X")))</f>
        <v/>
      </c>
      <c r="D98" s="5">
        <f>IFERROR(MAX(FILTER(소재DB_RAW!$AK$3:$AK$2000,(소재DB_RAW!$G$3:$G$2000=$A98)*ISERROR(SEARCH("drop",소재DB_RAW!$C$3:$C$2000))*(소재DB_RAW!$AK$3:$AK$2000&lt;&gt;""))),"")</f>
        <v/>
      </c>
      <c r="E98" s="4">
        <f>IF($D98="","",TEXT($D98,"yyyy-mm-dd"))</f>
        <v/>
      </c>
    </row>
    <row r="99">
      <c r="A99" s="4" t="inlineStr">
        <is>
          <t>QERFM27171</t>
        </is>
      </c>
      <c r="B99" s="4">
        <f>IF(COUNTIF(EDW_RAW!$A$2:$A$1500,$A99)=0,"",IF(SUMPRODUCT((EDW_RAW!$A$2:$A$1500=$A99)*(LEN(EDW_RAW!$R$2:$R$1500)&gt;0))=COUNTIF(EDW_RAW!$A$2:$A$1500,$A99),"O",IF(SUMPRODUCT((EDW_RAW!$A$2:$A$1500=$A99)*(LEN(EDW_RAW!$R$2:$R$1500)&gt;0))&gt;0,"부분","X")))</f>
        <v/>
      </c>
      <c r="C99" s="4">
        <f>IF(COUNTIF(EDW_RAW!$A$2:$A$1500,$A99)=0,"",IF(SUMPRODUCT((EDW_RAW!$A$2:$A$1500=$A99)*(LEN(EDW_RAW!$U$2:$U$1500)&gt;0))=COUNTIF(EDW_RAW!$A$2:$A$1500,$A99),"O",IF(SUMPRODUCT((EDW_RAW!$A$2:$A$1500=$A99)*(LEN(EDW_RAW!$U$2:$U$1500)&gt;0))&gt;0,"부분","X")))</f>
        <v/>
      </c>
      <c r="D99" s="5">
        <f>IFERROR(MAX(FILTER(소재DB_RAW!$AK$3:$AK$2000,(소재DB_RAW!$G$3:$G$2000=$A99)*ISERROR(SEARCH("drop",소재DB_RAW!$C$3:$C$2000))*(소재DB_RAW!$AK$3:$AK$2000&lt;&gt;""))),"")</f>
        <v/>
      </c>
      <c r="E99" s="4">
        <f>IF($D99="","",TEXT($D99,"yyyy-mm-dd"))</f>
        <v/>
      </c>
    </row>
    <row r="100">
      <c r="A100" s="4" t="inlineStr">
        <is>
          <t>QEBDX27691</t>
        </is>
      </c>
      <c r="B100" s="4">
        <f>IF(COUNTIF(EDW_RAW!$A$2:$A$1500,$A100)=0,"",IF(SUMPRODUCT((EDW_RAW!$A$2:$A$1500=$A100)*(LEN(EDW_RAW!$R$2:$R$1500)&gt;0))=COUNTIF(EDW_RAW!$A$2:$A$1500,$A100),"O",IF(SUMPRODUCT((EDW_RAW!$A$2:$A$1500=$A100)*(LEN(EDW_RAW!$R$2:$R$1500)&gt;0))&gt;0,"부분","X")))</f>
        <v/>
      </c>
      <c r="C100" s="4">
        <f>IF(COUNTIF(EDW_RAW!$A$2:$A$1500,$A100)=0,"",IF(SUMPRODUCT((EDW_RAW!$A$2:$A$1500=$A100)*(LEN(EDW_RAW!$U$2:$U$1500)&gt;0))=COUNTIF(EDW_RAW!$A$2:$A$1500,$A100),"O",IF(SUMPRODUCT((EDW_RAW!$A$2:$A$1500=$A100)*(LEN(EDW_RAW!$U$2:$U$1500)&gt;0))&gt;0,"부분","X")))</f>
        <v/>
      </c>
      <c r="D100" s="5">
        <f>IFERROR(MAX(FILTER(소재DB_RAW!$AK$3:$AK$2000,(소재DB_RAW!$G$3:$G$2000=$A100)*ISERROR(SEARCH("drop",소재DB_RAW!$C$3:$C$2000))*(소재DB_RAW!$AK$3:$AK$2000&lt;&gt;""))),"")</f>
        <v/>
      </c>
      <c r="E100" s="4">
        <f>IF($D100="","",TEXT($D100,"yyyy-mm-dd"))</f>
        <v/>
      </c>
    </row>
    <row r="101">
      <c r="A101" s="4" t="inlineStr">
        <is>
          <t>QEBXX27691</t>
        </is>
      </c>
      <c r="B101" s="4">
        <f>IF(COUNTIF(EDW_RAW!$A$2:$A$1500,$A101)=0,"",IF(SUMPRODUCT((EDW_RAW!$A$2:$A$1500=$A101)*(LEN(EDW_RAW!$R$2:$R$1500)&gt;0))=COUNTIF(EDW_RAW!$A$2:$A$1500,$A101),"O",IF(SUMPRODUCT((EDW_RAW!$A$2:$A$1500=$A101)*(LEN(EDW_RAW!$R$2:$R$1500)&gt;0))&gt;0,"부분","X")))</f>
        <v/>
      </c>
      <c r="C101" s="4">
        <f>IF(COUNTIF(EDW_RAW!$A$2:$A$1500,$A101)=0,"",IF(SUMPRODUCT((EDW_RAW!$A$2:$A$1500=$A101)*(LEN(EDW_RAW!$U$2:$U$1500)&gt;0))=COUNTIF(EDW_RAW!$A$2:$A$1500,$A101),"O",IF(SUMPRODUCT((EDW_RAW!$A$2:$A$1500=$A101)*(LEN(EDW_RAW!$U$2:$U$1500)&gt;0))&gt;0,"부분","X")))</f>
        <v/>
      </c>
      <c r="D101" s="5">
        <f>IFERROR(MAX(FILTER(소재DB_RAW!$AK$3:$AK$2000,(소재DB_RAW!$G$3:$G$2000=$A101)*ISERROR(SEARCH("drop",소재DB_RAW!$C$3:$C$2000))*(소재DB_RAW!$AK$3:$AK$2000&lt;&gt;""))),"")</f>
        <v/>
      </c>
      <c r="E101" s="4">
        <f>IF($D101="","",TEXT($D101,"yyyy-mm-dd"))</f>
        <v/>
      </c>
    </row>
    <row r="102">
      <c r="A102" s="4" t="inlineStr">
        <is>
          <t>QEBDX27501</t>
        </is>
      </c>
      <c r="B102" s="4">
        <f>IF(COUNTIF(EDW_RAW!$A$2:$A$1500,$A102)=0,"",IF(SUMPRODUCT((EDW_RAW!$A$2:$A$1500=$A102)*(LEN(EDW_RAW!$R$2:$R$1500)&gt;0))=COUNTIF(EDW_RAW!$A$2:$A$1500,$A102),"O",IF(SUMPRODUCT((EDW_RAW!$A$2:$A$1500=$A102)*(LEN(EDW_RAW!$R$2:$R$1500)&gt;0))&gt;0,"부분","X")))</f>
        <v/>
      </c>
      <c r="C102" s="4">
        <f>IF(COUNTIF(EDW_RAW!$A$2:$A$1500,$A102)=0,"",IF(SUMPRODUCT((EDW_RAW!$A$2:$A$1500=$A102)*(LEN(EDW_RAW!$U$2:$U$1500)&gt;0))=COUNTIF(EDW_RAW!$A$2:$A$1500,$A102),"O",IF(SUMPRODUCT((EDW_RAW!$A$2:$A$1500=$A102)*(LEN(EDW_RAW!$U$2:$U$1500)&gt;0))&gt;0,"부분","X")))</f>
        <v/>
      </c>
      <c r="D102" s="5">
        <f>IFERROR(MAX(FILTER(소재DB_RAW!$AK$3:$AK$2000,(소재DB_RAW!$G$3:$G$2000=$A102)*ISERROR(SEARCH("drop",소재DB_RAW!$C$3:$C$2000))*(소재DB_RAW!$AK$3:$AK$2000&lt;&gt;""))),"")</f>
        <v/>
      </c>
      <c r="E102" s="4">
        <f>IF($D102="","",TEXT($D102,"yyyy-mm-dd"))</f>
        <v/>
      </c>
    </row>
    <row r="103">
      <c r="A103" s="4" t="inlineStr">
        <is>
          <t>QEBXX27501</t>
        </is>
      </c>
      <c r="B103" s="4">
        <f>IF(COUNTIF(EDW_RAW!$A$2:$A$1500,$A103)=0,"",IF(SUMPRODUCT((EDW_RAW!$A$2:$A$1500=$A103)*(LEN(EDW_RAW!$R$2:$R$1500)&gt;0))=COUNTIF(EDW_RAW!$A$2:$A$1500,$A103),"O",IF(SUMPRODUCT((EDW_RAW!$A$2:$A$1500=$A103)*(LEN(EDW_RAW!$R$2:$R$1500)&gt;0))&gt;0,"부분","X")))</f>
        <v/>
      </c>
      <c r="C103" s="4">
        <f>IF(COUNTIF(EDW_RAW!$A$2:$A$1500,$A103)=0,"",IF(SUMPRODUCT((EDW_RAW!$A$2:$A$1500=$A103)*(LEN(EDW_RAW!$U$2:$U$1500)&gt;0))=COUNTIF(EDW_RAW!$A$2:$A$1500,$A103),"O",IF(SUMPRODUCT((EDW_RAW!$A$2:$A$1500=$A103)*(LEN(EDW_RAW!$U$2:$U$1500)&gt;0))&gt;0,"부분","X")))</f>
        <v/>
      </c>
      <c r="D103" s="5">
        <f>IFERROR(MAX(FILTER(소재DB_RAW!$AK$3:$AK$2000,(소재DB_RAW!$G$3:$G$2000=$A103)*ISERROR(SEARCH("drop",소재DB_RAW!$C$3:$C$2000))*(소재DB_RAW!$AK$3:$AK$2000&lt;&gt;""))),"")</f>
        <v/>
      </c>
      <c r="E103" s="4">
        <f>IF($D103="","",TEXT($D103,"yyyy-mm-dd"))</f>
        <v/>
      </c>
    </row>
    <row r="104">
      <c r="A104" s="4" t="inlineStr">
        <is>
          <t>QEBDX27511</t>
        </is>
      </c>
      <c r="B104" s="4">
        <f>IF(COUNTIF(EDW_RAW!$A$2:$A$1500,$A104)=0,"",IF(SUMPRODUCT((EDW_RAW!$A$2:$A$1500=$A104)*(LEN(EDW_RAW!$R$2:$R$1500)&gt;0))=COUNTIF(EDW_RAW!$A$2:$A$1500,$A104),"O",IF(SUMPRODUCT((EDW_RAW!$A$2:$A$1500=$A104)*(LEN(EDW_RAW!$R$2:$R$1500)&gt;0))&gt;0,"부분","X")))</f>
        <v/>
      </c>
      <c r="C104" s="4">
        <f>IF(COUNTIF(EDW_RAW!$A$2:$A$1500,$A104)=0,"",IF(SUMPRODUCT((EDW_RAW!$A$2:$A$1500=$A104)*(LEN(EDW_RAW!$U$2:$U$1500)&gt;0))=COUNTIF(EDW_RAW!$A$2:$A$1500,$A104),"O",IF(SUMPRODUCT((EDW_RAW!$A$2:$A$1500=$A104)*(LEN(EDW_RAW!$U$2:$U$1500)&gt;0))&gt;0,"부분","X")))</f>
        <v/>
      </c>
      <c r="D104" s="5">
        <f>IFERROR(MAX(FILTER(소재DB_RAW!$AK$3:$AK$2000,(소재DB_RAW!$G$3:$G$2000=$A104)*ISERROR(SEARCH("drop",소재DB_RAW!$C$3:$C$2000))*(소재DB_RAW!$AK$3:$AK$2000&lt;&gt;""))),"")</f>
        <v/>
      </c>
      <c r="E104" s="4">
        <f>IF($D104="","",TEXT($D104,"yyyy-mm-dd"))</f>
        <v/>
      </c>
    </row>
    <row r="105">
      <c r="A105" s="4" t="inlineStr">
        <is>
          <t>QEBDX27513</t>
        </is>
      </c>
      <c r="B105" s="4">
        <f>IF(COUNTIF(EDW_RAW!$A$2:$A$1500,$A105)=0,"",IF(SUMPRODUCT((EDW_RAW!$A$2:$A$1500=$A105)*(LEN(EDW_RAW!$R$2:$R$1500)&gt;0))=COUNTIF(EDW_RAW!$A$2:$A$1500,$A105),"O",IF(SUMPRODUCT((EDW_RAW!$A$2:$A$1500=$A105)*(LEN(EDW_RAW!$R$2:$R$1500)&gt;0))&gt;0,"부분","X")))</f>
        <v/>
      </c>
      <c r="C105" s="4">
        <f>IF(COUNTIF(EDW_RAW!$A$2:$A$1500,$A105)=0,"",IF(SUMPRODUCT((EDW_RAW!$A$2:$A$1500=$A105)*(LEN(EDW_RAW!$U$2:$U$1500)&gt;0))=COUNTIF(EDW_RAW!$A$2:$A$1500,$A105),"O",IF(SUMPRODUCT((EDW_RAW!$A$2:$A$1500=$A105)*(LEN(EDW_RAW!$U$2:$U$1500)&gt;0))&gt;0,"부분","X")))</f>
        <v/>
      </c>
      <c r="D105" s="5">
        <f>IFERROR(MAX(FILTER(소재DB_RAW!$AK$3:$AK$2000,(소재DB_RAW!$G$3:$G$2000=$A105)*ISERROR(SEARCH("drop",소재DB_RAW!$C$3:$C$2000))*(소재DB_RAW!$AK$3:$AK$2000&lt;&gt;""))),"")</f>
        <v/>
      </c>
      <c r="E105" s="4">
        <f>IF($D105="","",TEXT($D105,"yyyy-mm-dd"))</f>
        <v/>
      </c>
    </row>
    <row r="106">
      <c r="A106" s="4" t="inlineStr">
        <is>
          <t>QELAX27111</t>
        </is>
      </c>
      <c r="B106" s="4">
        <f>IF(COUNTIF(EDW_RAW!$A$2:$A$1500,$A106)=0,"",IF(SUMPRODUCT((EDW_RAW!$A$2:$A$1500=$A106)*(LEN(EDW_RAW!$R$2:$R$1500)&gt;0))=COUNTIF(EDW_RAW!$A$2:$A$1500,$A106),"O",IF(SUMPRODUCT((EDW_RAW!$A$2:$A$1500=$A106)*(LEN(EDW_RAW!$R$2:$R$1500)&gt;0))&gt;0,"부분","X")))</f>
        <v/>
      </c>
      <c r="C106" s="4">
        <f>IF(COUNTIF(EDW_RAW!$A$2:$A$1500,$A106)=0,"",IF(SUMPRODUCT((EDW_RAW!$A$2:$A$1500=$A106)*(LEN(EDW_RAW!$U$2:$U$1500)&gt;0))=COUNTIF(EDW_RAW!$A$2:$A$1500,$A106),"O",IF(SUMPRODUCT((EDW_RAW!$A$2:$A$1500=$A106)*(LEN(EDW_RAW!$U$2:$U$1500)&gt;0))&gt;0,"부분","X")))</f>
        <v/>
      </c>
      <c r="D106" s="5">
        <f>IFERROR(MAX(FILTER(소재DB_RAW!$AK$3:$AK$2000,(소재DB_RAW!$G$3:$G$2000=$A106)*ISERROR(SEARCH("drop",소재DB_RAW!$C$3:$C$2000))*(소재DB_RAW!$AK$3:$AK$2000&lt;&gt;""))),"")</f>
        <v/>
      </c>
      <c r="E106" s="4">
        <f>IF($D106="","",TEXT($D106,"yyyy-mm-dd"))</f>
        <v/>
      </c>
    </row>
    <row r="107">
      <c r="A107" s="4" t="inlineStr">
        <is>
          <t>QELAX27121</t>
        </is>
      </c>
      <c r="B107" s="4">
        <f>IF(COUNTIF(EDW_RAW!$A$2:$A$1500,$A107)=0,"",IF(SUMPRODUCT((EDW_RAW!$A$2:$A$1500=$A107)*(LEN(EDW_RAW!$R$2:$R$1500)&gt;0))=COUNTIF(EDW_RAW!$A$2:$A$1500,$A107),"O",IF(SUMPRODUCT((EDW_RAW!$A$2:$A$1500=$A107)*(LEN(EDW_RAW!$R$2:$R$1500)&gt;0))&gt;0,"부분","X")))</f>
        <v/>
      </c>
      <c r="C107" s="4">
        <f>IF(COUNTIF(EDW_RAW!$A$2:$A$1500,$A107)=0,"",IF(SUMPRODUCT((EDW_RAW!$A$2:$A$1500=$A107)*(LEN(EDW_RAW!$U$2:$U$1500)&gt;0))=COUNTIF(EDW_RAW!$A$2:$A$1500,$A107),"O",IF(SUMPRODUCT((EDW_RAW!$A$2:$A$1500=$A107)*(LEN(EDW_RAW!$U$2:$U$1500)&gt;0))&gt;0,"부분","X")))</f>
        <v/>
      </c>
      <c r="D107" s="5">
        <f>IFERROR(MAX(FILTER(소재DB_RAW!$AK$3:$AK$2000,(소재DB_RAW!$G$3:$G$2000=$A107)*ISERROR(SEARCH("drop",소재DB_RAW!$C$3:$C$2000))*(소재DB_RAW!$AK$3:$AK$2000&lt;&gt;""))),"")</f>
        <v/>
      </c>
      <c r="E107" s="4">
        <f>IF($D107="","",TEXT($D107,"yyyy-mm-dd"))</f>
        <v/>
      </c>
    </row>
    <row r="108">
      <c r="A108" s="4" t="inlineStr">
        <is>
          <t>QELAX27141</t>
        </is>
      </c>
      <c r="B108" s="4">
        <f>IF(COUNTIF(EDW_RAW!$A$2:$A$1500,$A108)=0,"",IF(SUMPRODUCT((EDW_RAW!$A$2:$A$1500=$A108)*(LEN(EDW_RAW!$R$2:$R$1500)&gt;0))=COUNTIF(EDW_RAW!$A$2:$A$1500,$A108),"O",IF(SUMPRODUCT((EDW_RAW!$A$2:$A$1500=$A108)*(LEN(EDW_RAW!$R$2:$R$1500)&gt;0))&gt;0,"부분","X")))</f>
        <v/>
      </c>
      <c r="C108" s="4">
        <f>IF(COUNTIF(EDW_RAW!$A$2:$A$1500,$A108)=0,"",IF(SUMPRODUCT((EDW_RAW!$A$2:$A$1500=$A108)*(LEN(EDW_RAW!$U$2:$U$1500)&gt;0))=COUNTIF(EDW_RAW!$A$2:$A$1500,$A108),"O",IF(SUMPRODUCT((EDW_RAW!$A$2:$A$1500=$A108)*(LEN(EDW_RAW!$U$2:$U$1500)&gt;0))&gt;0,"부분","X")))</f>
        <v/>
      </c>
      <c r="D108" s="5">
        <f>IFERROR(MAX(FILTER(소재DB_RAW!$AK$3:$AK$2000,(소재DB_RAW!$G$3:$G$2000=$A108)*ISERROR(SEARCH("drop",소재DB_RAW!$C$3:$C$2000))*(소재DB_RAW!$AK$3:$AK$2000&lt;&gt;""))),"")</f>
        <v/>
      </c>
      <c r="E108" s="4">
        <f>IF($D108="","",TEXT($D108,"yyyy-mm-dd"))</f>
        <v/>
      </c>
    </row>
    <row r="109">
      <c r="A109" s="4" t="inlineStr">
        <is>
          <t>QELAX27131</t>
        </is>
      </c>
      <c r="B109" s="4">
        <f>IF(COUNTIF(EDW_RAW!$A$2:$A$1500,$A109)=0,"",IF(SUMPRODUCT((EDW_RAW!$A$2:$A$1500=$A109)*(LEN(EDW_RAW!$R$2:$R$1500)&gt;0))=COUNTIF(EDW_RAW!$A$2:$A$1500,$A109),"O",IF(SUMPRODUCT((EDW_RAW!$A$2:$A$1500=$A109)*(LEN(EDW_RAW!$R$2:$R$1500)&gt;0))&gt;0,"부분","X")))</f>
        <v/>
      </c>
      <c r="C109" s="4">
        <f>IF(COUNTIF(EDW_RAW!$A$2:$A$1500,$A109)=0,"",IF(SUMPRODUCT((EDW_RAW!$A$2:$A$1500=$A109)*(LEN(EDW_RAW!$U$2:$U$1500)&gt;0))=COUNTIF(EDW_RAW!$A$2:$A$1500,$A109),"O",IF(SUMPRODUCT((EDW_RAW!$A$2:$A$1500=$A109)*(LEN(EDW_RAW!$U$2:$U$1500)&gt;0))&gt;0,"부분","X")))</f>
        <v/>
      </c>
      <c r="D109" s="5">
        <f>IFERROR(MAX(FILTER(소재DB_RAW!$AK$3:$AK$2000,(소재DB_RAW!$G$3:$G$2000=$A109)*ISERROR(SEARCH("drop",소재DB_RAW!$C$3:$C$2000))*(소재DB_RAW!$AK$3:$AK$2000&lt;&gt;""))),"")</f>
        <v/>
      </c>
      <c r="E109" s="4">
        <f>IF($D109="","",TEXT($D109,"yyyy-mm-dd"))</f>
        <v/>
      </c>
    </row>
    <row r="110">
      <c r="A110" s="4" t="inlineStr">
        <is>
          <t>QELAX27501</t>
        </is>
      </c>
      <c r="B110" s="4">
        <f>IF(COUNTIF(EDW_RAW!$A$2:$A$1500,$A110)=0,"",IF(SUMPRODUCT((EDW_RAW!$A$2:$A$1500=$A110)*(LEN(EDW_RAW!$R$2:$R$1500)&gt;0))=COUNTIF(EDW_RAW!$A$2:$A$1500,$A110),"O",IF(SUMPRODUCT((EDW_RAW!$A$2:$A$1500=$A110)*(LEN(EDW_RAW!$R$2:$R$1500)&gt;0))&gt;0,"부분","X")))</f>
        <v/>
      </c>
      <c r="C110" s="4">
        <f>IF(COUNTIF(EDW_RAW!$A$2:$A$1500,$A110)=0,"",IF(SUMPRODUCT((EDW_RAW!$A$2:$A$1500=$A110)*(LEN(EDW_RAW!$U$2:$U$1500)&gt;0))=COUNTIF(EDW_RAW!$A$2:$A$1500,$A110),"O",IF(SUMPRODUCT((EDW_RAW!$A$2:$A$1500=$A110)*(LEN(EDW_RAW!$U$2:$U$1500)&gt;0))&gt;0,"부분","X")))</f>
        <v/>
      </c>
      <c r="D110" s="5">
        <f>IFERROR(MAX(FILTER(소재DB_RAW!$AK$3:$AK$2000,(소재DB_RAW!$G$3:$G$2000=$A110)*ISERROR(SEARCH("drop",소재DB_RAW!$C$3:$C$2000))*(소재DB_RAW!$AK$3:$AK$2000&lt;&gt;""))),"")</f>
        <v/>
      </c>
      <c r="E110" s="4">
        <f>IF($D110="","",TEXT($D110,"yyyy-mm-dd"))</f>
        <v/>
      </c>
    </row>
    <row r="111">
      <c r="A111" s="4" t="inlineStr">
        <is>
          <t>QELAX27511</t>
        </is>
      </c>
      <c r="B111" s="4">
        <f>IF(COUNTIF(EDW_RAW!$A$2:$A$1500,$A111)=0,"",IF(SUMPRODUCT((EDW_RAW!$A$2:$A$1500=$A111)*(LEN(EDW_RAW!$R$2:$R$1500)&gt;0))=COUNTIF(EDW_RAW!$A$2:$A$1500,$A111),"O",IF(SUMPRODUCT((EDW_RAW!$A$2:$A$1500=$A111)*(LEN(EDW_RAW!$R$2:$R$1500)&gt;0))&gt;0,"부분","X")))</f>
        <v/>
      </c>
      <c r="C111" s="4">
        <f>IF(COUNTIF(EDW_RAW!$A$2:$A$1500,$A111)=0,"",IF(SUMPRODUCT((EDW_RAW!$A$2:$A$1500=$A111)*(LEN(EDW_RAW!$U$2:$U$1500)&gt;0))=COUNTIF(EDW_RAW!$A$2:$A$1500,$A111),"O",IF(SUMPRODUCT((EDW_RAW!$A$2:$A$1500=$A111)*(LEN(EDW_RAW!$U$2:$U$1500)&gt;0))&gt;0,"부분","X")))</f>
        <v/>
      </c>
      <c r="D111" s="5">
        <f>IFERROR(MAX(FILTER(소재DB_RAW!$AK$3:$AK$2000,(소재DB_RAW!$G$3:$G$2000=$A111)*ISERROR(SEARCH("drop",소재DB_RAW!$C$3:$C$2000))*(소재DB_RAW!$AK$3:$AK$2000&lt;&gt;""))),"")</f>
        <v/>
      </c>
      <c r="E111" s="4">
        <f>IF($D111="","",TEXT($D111,"yyyy-mm-dd"))</f>
        <v/>
      </c>
    </row>
    <row r="112">
      <c r="A112" s="4" t="inlineStr">
        <is>
          <t>QELAX27521</t>
        </is>
      </c>
      <c r="B112" s="4">
        <f>IF(COUNTIF(EDW_RAW!$A$2:$A$1500,$A112)=0,"",IF(SUMPRODUCT((EDW_RAW!$A$2:$A$1500=$A112)*(LEN(EDW_RAW!$R$2:$R$1500)&gt;0))=COUNTIF(EDW_RAW!$A$2:$A$1500,$A112),"O",IF(SUMPRODUCT((EDW_RAW!$A$2:$A$1500=$A112)*(LEN(EDW_RAW!$R$2:$R$1500)&gt;0))&gt;0,"부분","X")))</f>
        <v/>
      </c>
      <c r="C112" s="4">
        <f>IF(COUNTIF(EDW_RAW!$A$2:$A$1500,$A112)=0,"",IF(SUMPRODUCT((EDW_RAW!$A$2:$A$1500=$A112)*(LEN(EDW_RAW!$U$2:$U$1500)&gt;0))=COUNTIF(EDW_RAW!$A$2:$A$1500,$A112),"O",IF(SUMPRODUCT((EDW_RAW!$A$2:$A$1500=$A112)*(LEN(EDW_RAW!$U$2:$U$1500)&gt;0))&gt;0,"부분","X")))</f>
        <v/>
      </c>
      <c r="D112" s="5">
        <f>IFERROR(MAX(FILTER(소재DB_RAW!$AK$3:$AK$2000,(소재DB_RAW!$G$3:$G$2000=$A112)*ISERROR(SEARCH("drop",소재DB_RAW!$C$3:$C$2000))*(소재DB_RAW!$AK$3:$AK$2000&lt;&gt;""))),"")</f>
        <v/>
      </c>
      <c r="E112" s="4">
        <f>IF($D112="","",TEXT($D112,"yyyy-mm-dd"))</f>
        <v/>
      </c>
    </row>
    <row r="113">
      <c r="A113" s="4" t="inlineStr">
        <is>
          <t>QELAX27571</t>
        </is>
      </c>
      <c r="B113" s="4">
        <f>IF(COUNTIF(EDW_RAW!$A$2:$A$1500,$A113)=0,"",IF(SUMPRODUCT((EDW_RAW!$A$2:$A$1500=$A113)*(LEN(EDW_RAW!$R$2:$R$1500)&gt;0))=COUNTIF(EDW_RAW!$A$2:$A$1500,$A113),"O",IF(SUMPRODUCT((EDW_RAW!$A$2:$A$1500=$A113)*(LEN(EDW_RAW!$R$2:$R$1500)&gt;0))&gt;0,"부분","X")))</f>
        <v/>
      </c>
      <c r="C113" s="4">
        <f>IF(COUNTIF(EDW_RAW!$A$2:$A$1500,$A113)=0,"",IF(SUMPRODUCT((EDW_RAW!$A$2:$A$1500=$A113)*(LEN(EDW_RAW!$U$2:$U$1500)&gt;0))=COUNTIF(EDW_RAW!$A$2:$A$1500,$A113),"O",IF(SUMPRODUCT((EDW_RAW!$A$2:$A$1500=$A113)*(LEN(EDW_RAW!$U$2:$U$1500)&gt;0))&gt;0,"부분","X")))</f>
        <v/>
      </c>
      <c r="D113" s="5">
        <f>IFERROR(MAX(FILTER(소재DB_RAW!$AK$3:$AK$2000,(소재DB_RAW!$G$3:$G$2000=$A113)*ISERROR(SEARCH("drop",소재DB_RAW!$C$3:$C$2000))*(소재DB_RAW!$AK$3:$AK$2000&lt;&gt;""))),"")</f>
        <v/>
      </c>
      <c r="E113" s="4">
        <f>IF($D113="","",TEXT($D113,"yyyy-mm-dd"))</f>
        <v/>
      </c>
    </row>
    <row r="114">
      <c r="A114" s="4" t="inlineStr">
        <is>
          <t>QELAX27531</t>
        </is>
      </c>
      <c r="B114" s="4">
        <f>IF(COUNTIF(EDW_RAW!$A$2:$A$1500,$A114)=0,"",IF(SUMPRODUCT((EDW_RAW!$A$2:$A$1500=$A114)*(LEN(EDW_RAW!$R$2:$R$1500)&gt;0))=COUNTIF(EDW_RAW!$A$2:$A$1500,$A114),"O",IF(SUMPRODUCT((EDW_RAW!$A$2:$A$1500=$A114)*(LEN(EDW_RAW!$R$2:$R$1500)&gt;0))&gt;0,"부분","X")))</f>
        <v/>
      </c>
      <c r="C114" s="4">
        <f>IF(COUNTIF(EDW_RAW!$A$2:$A$1500,$A114)=0,"",IF(SUMPRODUCT((EDW_RAW!$A$2:$A$1500=$A114)*(LEN(EDW_RAW!$U$2:$U$1500)&gt;0))=COUNTIF(EDW_RAW!$A$2:$A$1500,$A114),"O",IF(SUMPRODUCT((EDW_RAW!$A$2:$A$1500=$A114)*(LEN(EDW_RAW!$U$2:$U$1500)&gt;0))&gt;0,"부분","X")))</f>
        <v/>
      </c>
      <c r="D114" s="5">
        <f>IFERROR(MAX(FILTER(소재DB_RAW!$AK$3:$AK$2000,(소재DB_RAW!$G$3:$G$2000=$A114)*ISERROR(SEARCH("drop",소재DB_RAW!$C$3:$C$2000))*(소재DB_RAW!$AK$3:$AK$2000&lt;&gt;""))),"")</f>
        <v/>
      </c>
      <c r="E114" s="4">
        <f>IF($D114="","",TEXT($D114,"yyyy-mm-dd"))</f>
        <v/>
      </c>
    </row>
    <row r="115">
      <c r="A115" s="4" t="inlineStr">
        <is>
          <t>QELAX27561</t>
        </is>
      </c>
      <c r="B115" s="4">
        <f>IF(COUNTIF(EDW_RAW!$A$2:$A$1500,$A115)=0,"",IF(SUMPRODUCT((EDW_RAW!$A$2:$A$1500=$A115)*(LEN(EDW_RAW!$R$2:$R$1500)&gt;0))=COUNTIF(EDW_RAW!$A$2:$A$1500,$A115),"O",IF(SUMPRODUCT((EDW_RAW!$A$2:$A$1500=$A115)*(LEN(EDW_RAW!$R$2:$R$1500)&gt;0))&gt;0,"부분","X")))</f>
        <v/>
      </c>
      <c r="C115" s="4">
        <f>IF(COUNTIF(EDW_RAW!$A$2:$A$1500,$A115)=0,"",IF(SUMPRODUCT((EDW_RAW!$A$2:$A$1500=$A115)*(LEN(EDW_RAW!$U$2:$U$1500)&gt;0))=COUNTIF(EDW_RAW!$A$2:$A$1500,$A115),"O",IF(SUMPRODUCT((EDW_RAW!$A$2:$A$1500=$A115)*(LEN(EDW_RAW!$U$2:$U$1500)&gt;0))&gt;0,"부분","X")))</f>
        <v/>
      </c>
      <c r="D115" s="5">
        <f>IFERROR(MAX(FILTER(소재DB_RAW!$AK$3:$AK$2000,(소재DB_RAW!$G$3:$G$2000=$A115)*ISERROR(SEARCH("drop",소재DB_RAW!$C$3:$C$2000))*(소재DB_RAW!$AK$3:$AK$2000&lt;&gt;""))),"")</f>
        <v/>
      </c>
      <c r="E115" s="4">
        <f>IF($D115="","",TEXT($D115,"yyyy-mm-dd"))</f>
        <v/>
      </c>
    </row>
    <row r="116">
      <c r="A116" s="4" t="inlineStr">
        <is>
          <t>QELAX27541</t>
        </is>
      </c>
      <c r="B116" s="4">
        <f>IF(COUNTIF(EDW_RAW!$A$2:$A$1500,$A116)=0,"",IF(SUMPRODUCT((EDW_RAW!$A$2:$A$1500=$A116)*(LEN(EDW_RAW!$R$2:$R$1500)&gt;0))=COUNTIF(EDW_RAW!$A$2:$A$1500,$A116),"O",IF(SUMPRODUCT((EDW_RAW!$A$2:$A$1500=$A116)*(LEN(EDW_RAW!$R$2:$R$1500)&gt;0))&gt;0,"부분","X")))</f>
        <v/>
      </c>
      <c r="C116" s="4">
        <f>IF(COUNTIF(EDW_RAW!$A$2:$A$1500,$A116)=0,"",IF(SUMPRODUCT((EDW_RAW!$A$2:$A$1500=$A116)*(LEN(EDW_RAW!$U$2:$U$1500)&gt;0))=COUNTIF(EDW_RAW!$A$2:$A$1500,$A116),"O",IF(SUMPRODUCT((EDW_RAW!$A$2:$A$1500=$A116)*(LEN(EDW_RAW!$U$2:$U$1500)&gt;0))&gt;0,"부분","X")))</f>
        <v/>
      </c>
      <c r="D116" s="5">
        <f>IFERROR(MAX(FILTER(소재DB_RAW!$AK$3:$AK$2000,(소재DB_RAW!$G$3:$G$2000=$A116)*ISERROR(SEARCH("drop",소재DB_RAW!$C$3:$C$2000))*(소재DB_RAW!$AK$3:$AK$2000&lt;&gt;""))),"")</f>
        <v/>
      </c>
      <c r="E116" s="4">
        <f>IF($D116="","",TEXT($D116,"yyyy-mm-dd"))</f>
        <v/>
      </c>
    </row>
    <row r="117">
      <c r="A117" s="4" t="inlineStr">
        <is>
          <t>QELAX27551</t>
        </is>
      </c>
      <c r="B117" s="4">
        <f>IF(COUNTIF(EDW_RAW!$A$2:$A$1500,$A117)=0,"",IF(SUMPRODUCT((EDW_RAW!$A$2:$A$1500=$A117)*(LEN(EDW_RAW!$R$2:$R$1500)&gt;0))=COUNTIF(EDW_RAW!$A$2:$A$1500,$A117),"O",IF(SUMPRODUCT((EDW_RAW!$A$2:$A$1500=$A117)*(LEN(EDW_RAW!$R$2:$R$1500)&gt;0))&gt;0,"부분","X")))</f>
        <v/>
      </c>
      <c r="C117" s="4">
        <f>IF(COUNTIF(EDW_RAW!$A$2:$A$1500,$A117)=0,"",IF(SUMPRODUCT((EDW_RAW!$A$2:$A$1500=$A117)*(LEN(EDW_RAW!$U$2:$U$1500)&gt;0))=COUNTIF(EDW_RAW!$A$2:$A$1500,$A117),"O",IF(SUMPRODUCT((EDW_RAW!$A$2:$A$1500=$A117)*(LEN(EDW_RAW!$U$2:$U$1500)&gt;0))&gt;0,"부분","X")))</f>
        <v/>
      </c>
      <c r="D117" s="5">
        <f>IFERROR(MAX(FILTER(소재DB_RAW!$AK$3:$AK$2000,(소재DB_RAW!$G$3:$G$2000=$A117)*ISERROR(SEARCH("drop",소재DB_RAW!$C$3:$C$2000))*(소재DB_RAW!$AK$3:$AK$2000&lt;&gt;""))),"")</f>
        <v/>
      </c>
      <c r="E117" s="4">
        <f>IF($D117="","",TEXT($D117,"yyyy-mm-dd"))</f>
        <v/>
      </c>
    </row>
    <row r="118">
      <c r="A118" s="4" t="inlineStr">
        <is>
          <t>QEAAM27301</t>
        </is>
      </c>
      <c r="B118" s="4">
        <f>IF(COUNTIF(EDW_RAW!$A$2:$A$1500,$A118)=0,"",IF(SUMPRODUCT((EDW_RAW!$A$2:$A$1500=$A118)*(LEN(EDW_RAW!$R$2:$R$1500)&gt;0))=COUNTIF(EDW_RAW!$A$2:$A$1500,$A118),"O",IF(SUMPRODUCT((EDW_RAW!$A$2:$A$1500=$A118)*(LEN(EDW_RAW!$R$2:$R$1500)&gt;0))&gt;0,"부분","X")))</f>
        <v/>
      </c>
      <c r="C118" s="4">
        <f>IF(COUNTIF(EDW_RAW!$A$2:$A$1500,$A118)=0,"",IF(SUMPRODUCT((EDW_RAW!$A$2:$A$1500=$A118)*(LEN(EDW_RAW!$U$2:$U$1500)&gt;0))=COUNTIF(EDW_RAW!$A$2:$A$1500,$A118),"O",IF(SUMPRODUCT((EDW_RAW!$A$2:$A$1500=$A118)*(LEN(EDW_RAW!$U$2:$U$1500)&gt;0))&gt;0,"부분","X")))</f>
        <v/>
      </c>
      <c r="D118" s="5">
        <f>IFERROR(MAX(FILTER(소재DB_RAW!$AK$3:$AK$2000,(소재DB_RAW!$G$3:$G$2000=$A118)*ISERROR(SEARCH("drop",소재DB_RAW!$C$3:$C$2000))*(소재DB_RAW!$AK$3:$AK$2000&lt;&gt;""))),"")</f>
        <v/>
      </c>
      <c r="E118" s="4">
        <f>IF($D118="","",TEXT($D118,"yyyy-mm-dd"))</f>
        <v/>
      </c>
    </row>
    <row r="119">
      <c r="A119" s="4" t="inlineStr">
        <is>
          <t>QEAAM27303</t>
        </is>
      </c>
      <c r="B119" s="4">
        <f>IF(COUNTIF(EDW_RAW!$A$2:$A$1500,$A119)=0,"",IF(SUMPRODUCT((EDW_RAW!$A$2:$A$1500=$A119)*(LEN(EDW_RAW!$R$2:$R$1500)&gt;0))=COUNTIF(EDW_RAW!$A$2:$A$1500,$A119),"O",IF(SUMPRODUCT((EDW_RAW!$A$2:$A$1500=$A119)*(LEN(EDW_RAW!$R$2:$R$1500)&gt;0))&gt;0,"부분","X")))</f>
        <v/>
      </c>
      <c r="C119" s="4">
        <f>IF(COUNTIF(EDW_RAW!$A$2:$A$1500,$A119)=0,"",IF(SUMPRODUCT((EDW_RAW!$A$2:$A$1500=$A119)*(LEN(EDW_RAW!$U$2:$U$1500)&gt;0))=COUNTIF(EDW_RAW!$A$2:$A$1500,$A119),"O",IF(SUMPRODUCT((EDW_RAW!$A$2:$A$1500=$A119)*(LEN(EDW_RAW!$U$2:$U$1500)&gt;0))&gt;0,"부분","X")))</f>
        <v/>
      </c>
      <c r="D119" s="5">
        <f>IFERROR(MAX(FILTER(소재DB_RAW!$AK$3:$AK$2000,(소재DB_RAW!$G$3:$G$2000=$A119)*ISERROR(SEARCH("drop",소재DB_RAW!$C$3:$C$2000))*(소재DB_RAW!$AK$3:$AK$2000&lt;&gt;""))),"")</f>
        <v/>
      </c>
      <c r="E119" s="4">
        <f>IF($D119="","",TEXT($D119,"yyyy-mm-dd"))</f>
        <v/>
      </c>
    </row>
    <row r="120">
      <c r="A120" s="4" t="inlineStr">
        <is>
          <t>QEAKX27101</t>
        </is>
      </c>
      <c r="B120" s="4">
        <f>IF(COUNTIF(EDW_RAW!$A$2:$A$1500,$A120)=0,"",IF(SUMPRODUCT((EDW_RAW!$A$2:$A$1500=$A120)*(LEN(EDW_RAW!$R$2:$R$1500)&gt;0))=COUNTIF(EDW_RAW!$A$2:$A$1500,$A120),"O",IF(SUMPRODUCT((EDW_RAW!$A$2:$A$1500=$A120)*(LEN(EDW_RAW!$R$2:$R$1500)&gt;0))&gt;0,"부분","X")))</f>
        <v/>
      </c>
      <c r="C120" s="4">
        <f>IF(COUNTIF(EDW_RAW!$A$2:$A$1500,$A120)=0,"",IF(SUMPRODUCT((EDW_RAW!$A$2:$A$1500=$A120)*(LEN(EDW_RAW!$U$2:$U$1500)&gt;0))=COUNTIF(EDW_RAW!$A$2:$A$1500,$A120),"O",IF(SUMPRODUCT((EDW_RAW!$A$2:$A$1500=$A120)*(LEN(EDW_RAW!$U$2:$U$1500)&gt;0))&gt;0,"부분","X")))</f>
        <v/>
      </c>
      <c r="D120" s="5">
        <f>IFERROR(MAX(FILTER(소재DB_RAW!$AK$3:$AK$2000,(소재DB_RAW!$G$3:$G$2000=$A120)*ISERROR(SEARCH("drop",소재DB_RAW!$C$3:$C$2000))*(소재DB_RAW!$AK$3:$AK$2000&lt;&gt;""))),"")</f>
        <v/>
      </c>
      <c r="E120" s="4">
        <f>IF($D120="","",TEXT($D120,"yyyy-mm-dd"))</f>
        <v/>
      </c>
    </row>
    <row r="121">
      <c r="A121" s="4" t="inlineStr">
        <is>
          <t>QEAKX27111</t>
        </is>
      </c>
      <c r="B121" s="4">
        <f>IF(COUNTIF(EDW_RAW!$A$2:$A$1500,$A121)=0,"",IF(SUMPRODUCT((EDW_RAW!$A$2:$A$1500=$A121)*(LEN(EDW_RAW!$R$2:$R$1500)&gt;0))=COUNTIF(EDW_RAW!$A$2:$A$1500,$A121),"O",IF(SUMPRODUCT((EDW_RAW!$A$2:$A$1500=$A121)*(LEN(EDW_RAW!$R$2:$R$1500)&gt;0))&gt;0,"부분","X")))</f>
        <v/>
      </c>
      <c r="C121" s="4">
        <f>IF(COUNTIF(EDW_RAW!$A$2:$A$1500,$A121)=0,"",IF(SUMPRODUCT((EDW_RAW!$A$2:$A$1500=$A121)*(LEN(EDW_RAW!$U$2:$U$1500)&gt;0))=COUNTIF(EDW_RAW!$A$2:$A$1500,$A121),"O",IF(SUMPRODUCT((EDW_RAW!$A$2:$A$1500=$A121)*(LEN(EDW_RAW!$U$2:$U$1500)&gt;0))&gt;0,"부분","X")))</f>
        <v/>
      </c>
      <c r="D121" s="5">
        <f>IFERROR(MAX(FILTER(소재DB_RAW!$AK$3:$AK$2000,(소재DB_RAW!$G$3:$G$2000=$A121)*ISERROR(SEARCH("drop",소재DB_RAW!$C$3:$C$2000))*(소재DB_RAW!$AK$3:$AK$2000&lt;&gt;""))),"")</f>
        <v/>
      </c>
      <c r="E121" s="4">
        <f>IF($D121="","",TEXT($D121,"yyyy-mm-dd"))</f>
        <v/>
      </c>
    </row>
    <row r="122">
      <c r="A122" s="4" t="inlineStr">
        <is>
          <t>QEAKM27103</t>
        </is>
      </c>
      <c r="B122" s="4">
        <f>IF(COUNTIF(EDW_RAW!$A$2:$A$1500,$A122)=0,"",IF(SUMPRODUCT((EDW_RAW!$A$2:$A$1500=$A122)*(LEN(EDW_RAW!$R$2:$R$1500)&gt;0))=COUNTIF(EDW_RAW!$A$2:$A$1500,$A122),"O",IF(SUMPRODUCT((EDW_RAW!$A$2:$A$1500=$A122)*(LEN(EDW_RAW!$R$2:$R$1500)&gt;0))&gt;0,"부분","X")))</f>
        <v/>
      </c>
      <c r="C122" s="4">
        <f>IF(COUNTIF(EDW_RAW!$A$2:$A$1500,$A122)=0,"",IF(SUMPRODUCT((EDW_RAW!$A$2:$A$1500=$A122)*(LEN(EDW_RAW!$U$2:$U$1500)&gt;0))=COUNTIF(EDW_RAW!$A$2:$A$1500,$A122),"O",IF(SUMPRODUCT((EDW_RAW!$A$2:$A$1500=$A122)*(LEN(EDW_RAW!$U$2:$U$1500)&gt;0))&gt;0,"부분","X")))</f>
        <v/>
      </c>
      <c r="D122" s="5">
        <f>IFERROR(MAX(FILTER(소재DB_RAW!$AK$3:$AK$2000,(소재DB_RAW!$G$3:$G$2000=$A122)*ISERROR(SEARCH("drop",소재DB_RAW!$C$3:$C$2000))*(소재DB_RAW!$AK$3:$AK$2000&lt;&gt;""))),"")</f>
        <v/>
      </c>
      <c r="E122" s="4">
        <f>IF($D122="","",TEXT($D122,"yyyy-mm-dd"))</f>
        <v/>
      </c>
    </row>
    <row r="123">
      <c r="A123" s="4" t="inlineStr">
        <is>
          <t>QEAAX27111</t>
        </is>
      </c>
      <c r="B123" s="4">
        <f>IF(COUNTIF(EDW_RAW!$A$2:$A$1500,$A123)=0,"",IF(SUMPRODUCT((EDW_RAW!$A$2:$A$1500=$A123)*(LEN(EDW_RAW!$R$2:$R$1500)&gt;0))=COUNTIF(EDW_RAW!$A$2:$A$1500,$A123),"O",IF(SUMPRODUCT((EDW_RAW!$A$2:$A$1500=$A123)*(LEN(EDW_RAW!$R$2:$R$1500)&gt;0))&gt;0,"부분","X")))</f>
        <v/>
      </c>
      <c r="C123" s="4">
        <f>IF(COUNTIF(EDW_RAW!$A$2:$A$1500,$A123)=0,"",IF(SUMPRODUCT((EDW_RAW!$A$2:$A$1500=$A123)*(LEN(EDW_RAW!$U$2:$U$1500)&gt;0))=COUNTIF(EDW_RAW!$A$2:$A$1500,$A123),"O",IF(SUMPRODUCT((EDW_RAW!$A$2:$A$1500=$A123)*(LEN(EDW_RAW!$U$2:$U$1500)&gt;0))&gt;0,"부분","X")))</f>
        <v/>
      </c>
      <c r="D123" s="5">
        <f>IFERROR(MAX(FILTER(소재DB_RAW!$AK$3:$AK$2000,(소재DB_RAW!$G$3:$G$2000=$A123)*ISERROR(SEARCH("drop",소재DB_RAW!$C$3:$C$2000))*(소재DB_RAW!$AK$3:$AK$2000&lt;&gt;""))),"")</f>
        <v/>
      </c>
      <c r="E123" s="4">
        <f>IF($D123="","",TEXT($D123,"yyyy-mm-dd"))</f>
        <v/>
      </c>
    </row>
    <row r="124">
      <c r="A124" s="4" t="inlineStr">
        <is>
          <t>QEHEM27103</t>
        </is>
      </c>
      <c r="B124" s="4">
        <f>IF(COUNTIF(EDW_RAW!$A$2:$A$1500,$A124)=0,"",IF(SUMPRODUCT((EDW_RAW!$A$2:$A$1500=$A124)*(LEN(EDW_RAW!$R$2:$R$1500)&gt;0))=COUNTIF(EDW_RAW!$A$2:$A$1500,$A124),"O",IF(SUMPRODUCT((EDW_RAW!$A$2:$A$1500=$A124)*(LEN(EDW_RAW!$R$2:$R$1500)&gt;0))&gt;0,"부분","X")))</f>
        <v/>
      </c>
      <c r="C124" s="4">
        <f>IF(COUNTIF(EDW_RAW!$A$2:$A$1500,$A124)=0,"",IF(SUMPRODUCT((EDW_RAW!$A$2:$A$1500=$A124)*(LEN(EDW_RAW!$U$2:$U$1500)&gt;0))=COUNTIF(EDW_RAW!$A$2:$A$1500,$A124),"O",IF(SUMPRODUCT((EDW_RAW!$A$2:$A$1500=$A124)*(LEN(EDW_RAW!$U$2:$U$1500)&gt;0))&gt;0,"부분","X")))</f>
        <v/>
      </c>
      <c r="D124" s="5">
        <f>IFERROR(MAX(FILTER(소재DB_RAW!$AK$3:$AK$2000,(소재DB_RAW!$G$3:$G$2000=$A124)*ISERROR(SEARCH("drop",소재DB_RAW!$C$3:$C$2000))*(소재DB_RAW!$AK$3:$AK$2000&lt;&gt;""))),"")</f>
        <v/>
      </c>
      <c r="E124" s="4">
        <f>IF($D124="","",TEXT($D124,"yyyy-mm-dd"))</f>
        <v/>
      </c>
    </row>
    <row r="125">
      <c r="A125" s="4" t="inlineStr">
        <is>
          <t>QEHEM27105</t>
        </is>
      </c>
      <c r="B125" s="4">
        <f>IF(COUNTIF(EDW_RAW!$A$2:$A$1500,$A125)=0,"",IF(SUMPRODUCT((EDW_RAW!$A$2:$A$1500=$A125)*(LEN(EDW_RAW!$R$2:$R$1500)&gt;0))=COUNTIF(EDW_RAW!$A$2:$A$1500,$A125),"O",IF(SUMPRODUCT((EDW_RAW!$A$2:$A$1500=$A125)*(LEN(EDW_RAW!$R$2:$R$1500)&gt;0))&gt;0,"부분","X")))</f>
        <v/>
      </c>
      <c r="C125" s="4">
        <f>IF(COUNTIF(EDW_RAW!$A$2:$A$1500,$A125)=0,"",IF(SUMPRODUCT((EDW_RAW!$A$2:$A$1500=$A125)*(LEN(EDW_RAW!$U$2:$U$1500)&gt;0))=COUNTIF(EDW_RAW!$A$2:$A$1500,$A125),"O",IF(SUMPRODUCT((EDW_RAW!$A$2:$A$1500=$A125)*(LEN(EDW_RAW!$U$2:$U$1500)&gt;0))&gt;0,"부분","X")))</f>
        <v/>
      </c>
      <c r="D125" s="5">
        <f>IFERROR(MAX(FILTER(소재DB_RAW!$AK$3:$AK$2000,(소재DB_RAW!$G$3:$G$2000=$A125)*ISERROR(SEARCH("drop",소재DB_RAW!$C$3:$C$2000))*(소재DB_RAW!$AK$3:$AK$2000&lt;&gt;""))),"")</f>
        <v/>
      </c>
      <c r="E125" s="4">
        <f>IF($D125="","",TEXT($D125,"yyyy-mm-dd"))</f>
        <v/>
      </c>
    </row>
    <row r="126">
      <c r="A126" s="4" t="inlineStr">
        <is>
          <t>JKICX27902</t>
        </is>
      </c>
      <c r="B126" s="4">
        <f>IF(COUNTIF(EDW_RAW!$A$2:$A$1500,$A126)=0,"",IF(SUMPRODUCT((EDW_RAW!$A$2:$A$1500=$A126)*(LEN(EDW_RAW!$R$2:$R$1500)&gt;0))=COUNTIF(EDW_RAW!$A$2:$A$1500,$A126),"O",IF(SUMPRODUCT((EDW_RAW!$A$2:$A$1500=$A126)*(LEN(EDW_RAW!$R$2:$R$1500)&gt;0))&gt;0,"부분","X")))</f>
        <v/>
      </c>
      <c r="C126" s="4">
        <f>IF(COUNTIF(EDW_RAW!$A$2:$A$1500,$A126)=0,"",IF(SUMPRODUCT((EDW_RAW!$A$2:$A$1500=$A126)*(LEN(EDW_RAW!$U$2:$U$1500)&gt;0))=COUNTIF(EDW_RAW!$A$2:$A$1500,$A126),"O",IF(SUMPRODUCT((EDW_RAW!$A$2:$A$1500=$A126)*(LEN(EDW_RAW!$U$2:$U$1500)&gt;0))&gt;0,"부분","X")))</f>
        <v/>
      </c>
      <c r="D126" s="5">
        <f>IFERROR(MAX(FILTER(소재DB_RAW!$AK$3:$AK$2000,(소재DB_RAW!$G$3:$G$2000=$A126)*ISERROR(SEARCH("drop",소재DB_RAW!$C$3:$C$2000))*(소재DB_RAW!$AK$3:$AK$2000&lt;&gt;""))),"")</f>
        <v/>
      </c>
      <c r="E126" s="4">
        <f>IF($D126="","",TEXT($D126,"yyyy-mm-dd"))</f>
        <v/>
      </c>
    </row>
    <row r="127">
      <c r="A127" s="4" t="inlineStr">
        <is>
          <t>JKIBX27902</t>
        </is>
      </c>
      <c r="B127" s="4">
        <f>IF(COUNTIF(EDW_RAW!$A$2:$A$1500,$A127)=0,"",IF(SUMPRODUCT((EDW_RAW!$A$2:$A$1500=$A127)*(LEN(EDW_RAW!$R$2:$R$1500)&gt;0))=COUNTIF(EDW_RAW!$A$2:$A$1500,$A127),"O",IF(SUMPRODUCT((EDW_RAW!$A$2:$A$1500=$A127)*(LEN(EDW_RAW!$R$2:$R$1500)&gt;0))&gt;0,"부분","X")))</f>
        <v/>
      </c>
      <c r="C127" s="4">
        <f>IF(COUNTIF(EDW_RAW!$A$2:$A$1500,$A127)=0,"",IF(SUMPRODUCT((EDW_RAW!$A$2:$A$1500=$A127)*(LEN(EDW_RAW!$U$2:$U$1500)&gt;0))=COUNTIF(EDW_RAW!$A$2:$A$1500,$A127),"O",IF(SUMPRODUCT((EDW_RAW!$A$2:$A$1500=$A127)*(LEN(EDW_RAW!$U$2:$U$1500)&gt;0))&gt;0,"부분","X")))</f>
        <v/>
      </c>
      <c r="D127" s="5">
        <f>IFERROR(MAX(FILTER(소재DB_RAW!$AK$3:$AK$2000,(소재DB_RAW!$G$3:$G$2000=$A127)*ISERROR(SEARCH("drop",소재DB_RAW!$C$3:$C$2000))*(소재DB_RAW!$AK$3:$AK$2000&lt;&gt;""))),"")</f>
        <v/>
      </c>
      <c r="E127" s="4">
        <f>IF($D127="","",TEXT($D127,"yyyy-mm-dd"))</f>
        <v/>
      </c>
    </row>
    <row r="128">
      <c r="A128" s="4" t="inlineStr">
        <is>
          <t>JKICX27102</t>
        </is>
      </c>
      <c r="B128" s="4">
        <f>IF(COUNTIF(EDW_RAW!$A$2:$A$1500,$A128)=0,"",IF(SUMPRODUCT((EDW_RAW!$A$2:$A$1500=$A128)*(LEN(EDW_RAW!$R$2:$R$1500)&gt;0))=COUNTIF(EDW_RAW!$A$2:$A$1500,$A128),"O",IF(SUMPRODUCT((EDW_RAW!$A$2:$A$1500=$A128)*(LEN(EDW_RAW!$R$2:$R$1500)&gt;0))&gt;0,"부분","X")))</f>
        <v/>
      </c>
      <c r="C128" s="4">
        <f>IF(COUNTIF(EDW_RAW!$A$2:$A$1500,$A128)=0,"",IF(SUMPRODUCT((EDW_RAW!$A$2:$A$1500=$A128)*(LEN(EDW_RAW!$U$2:$U$1500)&gt;0))=COUNTIF(EDW_RAW!$A$2:$A$1500,$A128),"O",IF(SUMPRODUCT((EDW_RAW!$A$2:$A$1500=$A128)*(LEN(EDW_RAW!$U$2:$U$1500)&gt;0))&gt;0,"부분","X")))</f>
        <v/>
      </c>
      <c r="D128" s="5">
        <f>IFERROR(MAX(FILTER(소재DB_RAW!$AK$3:$AK$2000,(소재DB_RAW!$G$3:$G$2000=$A128)*ISERROR(SEARCH("drop",소재DB_RAW!$C$3:$C$2000))*(소재DB_RAW!$AK$3:$AK$2000&lt;&gt;""))),"")</f>
        <v/>
      </c>
      <c r="E128" s="4">
        <f>IF($D128="","",TEXT($D128,"yyyy-mm-dd"))</f>
        <v/>
      </c>
    </row>
    <row r="129">
      <c r="A129" s="4" t="inlineStr">
        <is>
          <t>JKICX27112</t>
        </is>
      </c>
      <c r="B129" s="4">
        <f>IF(COUNTIF(EDW_RAW!$A$2:$A$1500,$A129)=0,"",IF(SUMPRODUCT((EDW_RAW!$A$2:$A$1500=$A129)*(LEN(EDW_RAW!$R$2:$R$1500)&gt;0))=COUNTIF(EDW_RAW!$A$2:$A$1500,$A129),"O",IF(SUMPRODUCT((EDW_RAW!$A$2:$A$1500=$A129)*(LEN(EDW_RAW!$R$2:$R$1500)&gt;0))&gt;0,"부분","X")))</f>
        <v/>
      </c>
      <c r="C129" s="4">
        <f>IF(COUNTIF(EDW_RAW!$A$2:$A$1500,$A129)=0,"",IF(SUMPRODUCT((EDW_RAW!$A$2:$A$1500=$A129)*(LEN(EDW_RAW!$U$2:$U$1500)&gt;0))=COUNTIF(EDW_RAW!$A$2:$A$1500,$A129),"O",IF(SUMPRODUCT((EDW_RAW!$A$2:$A$1500=$A129)*(LEN(EDW_RAW!$U$2:$U$1500)&gt;0))&gt;0,"부분","X")))</f>
        <v/>
      </c>
      <c r="D129" s="5">
        <f>IFERROR(MAX(FILTER(소재DB_RAW!$AK$3:$AK$2000,(소재DB_RAW!$G$3:$G$2000=$A129)*ISERROR(SEARCH("drop",소재DB_RAW!$C$3:$C$2000))*(소재DB_RAW!$AK$3:$AK$2000&lt;&gt;""))),"")</f>
        <v/>
      </c>
      <c r="E129" s="4">
        <f>IF($D129="","",TEXT($D129,"yyyy-mm-dd"))</f>
        <v/>
      </c>
    </row>
    <row r="130">
      <c r="A130" s="4" t="inlineStr">
        <is>
          <t>JKICX27122</t>
        </is>
      </c>
      <c r="B130" s="4">
        <f>IF(COUNTIF(EDW_RAW!$A$2:$A$1500,$A130)=0,"",IF(SUMPRODUCT((EDW_RAW!$A$2:$A$1500=$A130)*(LEN(EDW_RAW!$R$2:$R$1500)&gt;0))=COUNTIF(EDW_RAW!$A$2:$A$1500,$A130),"O",IF(SUMPRODUCT((EDW_RAW!$A$2:$A$1500=$A130)*(LEN(EDW_RAW!$R$2:$R$1500)&gt;0))&gt;0,"부분","X")))</f>
        <v/>
      </c>
      <c r="C130" s="4">
        <f>IF(COUNTIF(EDW_RAW!$A$2:$A$1500,$A130)=0,"",IF(SUMPRODUCT((EDW_RAW!$A$2:$A$1500=$A130)*(LEN(EDW_RAW!$U$2:$U$1500)&gt;0))=COUNTIF(EDW_RAW!$A$2:$A$1500,$A130),"O",IF(SUMPRODUCT((EDW_RAW!$A$2:$A$1500=$A130)*(LEN(EDW_RAW!$U$2:$U$1500)&gt;0))&gt;0,"부분","X")))</f>
        <v/>
      </c>
      <c r="D130" s="5">
        <f>IFERROR(MAX(FILTER(소재DB_RAW!$AK$3:$AK$2000,(소재DB_RAW!$G$3:$G$2000=$A130)*ISERROR(SEARCH("drop",소재DB_RAW!$C$3:$C$2000))*(소재DB_RAW!$AK$3:$AK$2000&lt;&gt;""))),"")</f>
        <v/>
      </c>
      <c r="E130" s="4">
        <f>IF($D130="","",TEXT($D130,"yyyy-mm-dd"))</f>
        <v/>
      </c>
    </row>
    <row r="131">
      <c r="A131" s="4" t="inlineStr">
        <is>
          <t>JWICX27101</t>
        </is>
      </c>
      <c r="B131" s="4">
        <f>IF(COUNTIF(EDW_RAW!$A$2:$A$1500,$A131)=0,"",IF(SUMPRODUCT((EDW_RAW!$A$2:$A$1500=$A131)*(LEN(EDW_RAW!$R$2:$R$1500)&gt;0))=COUNTIF(EDW_RAW!$A$2:$A$1500,$A131),"O",IF(SUMPRODUCT((EDW_RAW!$A$2:$A$1500=$A131)*(LEN(EDW_RAW!$R$2:$R$1500)&gt;0))&gt;0,"부분","X")))</f>
        <v/>
      </c>
      <c r="C131" s="4">
        <f>IF(COUNTIF(EDW_RAW!$A$2:$A$1500,$A131)=0,"",IF(SUMPRODUCT((EDW_RAW!$A$2:$A$1500=$A131)*(LEN(EDW_RAW!$U$2:$U$1500)&gt;0))=COUNTIF(EDW_RAW!$A$2:$A$1500,$A131),"O",IF(SUMPRODUCT((EDW_RAW!$A$2:$A$1500=$A131)*(LEN(EDW_RAW!$U$2:$U$1500)&gt;0))&gt;0,"부분","X")))</f>
        <v/>
      </c>
      <c r="D131" s="5">
        <f>IFERROR(MAX(FILTER(소재DB_RAW!$AK$3:$AK$2000,(소재DB_RAW!$G$3:$G$2000=$A131)*ISERROR(SEARCH("drop",소재DB_RAW!$C$3:$C$2000))*(소재DB_RAW!$AK$3:$AK$2000&lt;&gt;""))),"")</f>
        <v/>
      </c>
      <c r="E131" s="4">
        <f>IF($D131="","",TEXT($D131,"yyyy-mm-dd"))</f>
        <v/>
      </c>
    </row>
    <row r="132">
      <c r="A132" s="4" t="inlineStr">
        <is>
          <t>JWICX27111</t>
        </is>
      </c>
      <c r="B132" s="4">
        <f>IF(COUNTIF(EDW_RAW!$A$2:$A$1500,$A132)=0,"",IF(SUMPRODUCT((EDW_RAW!$A$2:$A$1500=$A132)*(LEN(EDW_RAW!$R$2:$R$1500)&gt;0))=COUNTIF(EDW_RAW!$A$2:$A$1500,$A132),"O",IF(SUMPRODUCT((EDW_RAW!$A$2:$A$1500=$A132)*(LEN(EDW_RAW!$R$2:$R$1500)&gt;0))&gt;0,"부분","X")))</f>
        <v/>
      </c>
      <c r="C132" s="4">
        <f>IF(COUNTIF(EDW_RAW!$A$2:$A$1500,$A132)=0,"",IF(SUMPRODUCT((EDW_RAW!$A$2:$A$1500=$A132)*(LEN(EDW_RAW!$U$2:$U$1500)&gt;0))=COUNTIF(EDW_RAW!$A$2:$A$1500,$A132),"O",IF(SUMPRODUCT((EDW_RAW!$A$2:$A$1500=$A132)*(LEN(EDW_RAW!$U$2:$U$1500)&gt;0))&gt;0,"부분","X")))</f>
        <v/>
      </c>
      <c r="D132" s="5">
        <f>IFERROR(MAX(FILTER(소재DB_RAW!$AK$3:$AK$2000,(소재DB_RAW!$G$3:$G$2000=$A132)*ISERROR(SEARCH("drop",소재DB_RAW!$C$3:$C$2000))*(소재DB_RAW!$AK$3:$AK$2000&lt;&gt;""))),"")</f>
        <v/>
      </c>
      <c r="E132" s="4">
        <f>IF($D132="","",TEXT($D132,"yyyy-mm-dd"))</f>
        <v/>
      </c>
    </row>
    <row r="133">
      <c r="A133" s="4" t="inlineStr">
        <is>
          <t>JWIBX27111</t>
        </is>
      </c>
      <c r="B133" s="4">
        <f>IF(COUNTIF(EDW_RAW!$A$2:$A$1500,$A133)=0,"",IF(SUMPRODUCT((EDW_RAW!$A$2:$A$1500=$A133)*(LEN(EDW_RAW!$R$2:$R$1500)&gt;0))=COUNTIF(EDW_RAW!$A$2:$A$1500,$A133),"O",IF(SUMPRODUCT((EDW_RAW!$A$2:$A$1500=$A133)*(LEN(EDW_RAW!$R$2:$R$1500)&gt;0))&gt;0,"부분","X")))</f>
        <v/>
      </c>
      <c r="C133" s="4">
        <f>IF(COUNTIF(EDW_RAW!$A$2:$A$1500,$A133)=0,"",IF(SUMPRODUCT((EDW_RAW!$A$2:$A$1500=$A133)*(LEN(EDW_RAW!$U$2:$U$1500)&gt;0))=COUNTIF(EDW_RAW!$A$2:$A$1500,$A133),"O",IF(SUMPRODUCT((EDW_RAW!$A$2:$A$1500=$A133)*(LEN(EDW_RAW!$U$2:$U$1500)&gt;0))&gt;0,"부분","X")))</f>
        <v/>
      </c>
      <c r="D133" s="5">
        <f>IFERROR(MAX(FILTER(소재DB_RAW!$AK$3:$AK$2000,(소재DB_RAW!$G$3:$G$2000=$A133)*ISERROR(SEARCH("drop",소재DB_RAW!$C$3:$C$2000))*(소재DB_RAW!$AK$3:$AK$2000&lt;&gt;""))),"")</f>
        <v/>
      </c>
      <c r="E133" s="4">
        <f>IF($D133="","",TEXT($D133,"yyyy-mm-dd"))</f>
        <v/>
      </c>
    </row>
    <row r="134">
      <c r="A134" s="4" t="inlineStr">
        <is>
          <t>JWIBX27101</t>
        </is>
      </c>
      <c r="B134" s="4">
        <f>IF(COUNTIF(EDW_RAW!$A$2:$A$1500,$A134)=0,"",IF(SUMPRODUCT((EDW_RAW!$A$2:$A$1500=$A134)*(LEN(EDW_RAW!$R$2:$R$1500)&gt;0))=COUNTIF(EDW_RAW!$A$2:$A$1500,$A134),"O",IF(SUMPRODUCT((EDW_RAW!$A$2:$A$1500=$A134)*(LEN(EDW_RAW!$R$2:$R$1500)&gt;0))&gt;0,"부분","X")))</f>
        <v/>
      </c>
      <c r="C134" s="4">
        <f>IF(COUNTIF(EDW_RAW!$A$2:$A$1500,$A134)=0,"",IF(SUMPRODUCT((EDW_RAW!$A$2:$A$1500=$A134)*(LEN(EDW_RAW!$U$2:$U$1500)&gt;0))=COUNTIF(EDW_RAW!$A$2:$A$1500,$A134),"O",IF(SUMPRODUCT((EDW_RAW!$A$2:$A$1500=$A134)*(LEN(EDW_RAW!$U$2:$U$1500)&gt;0))&gt;0,"부분","X")))</f>
        <v/>
      </c>
      <c r="D134" s="5">
        <f>IFERROR(MAX(FILTER(소재DB_RAW!$AK$3:$AK$2000,(소재DB_RAW!$G$3:$G$2000=$A134)*ISERROR(SEARCH("drop",소재DB_RAW!$C$3:$C$2000))*(소재DB_RAW!$AK$3:$AK$2000&lt;&gt;""))),"")</f>
        <v/>
      </c>
      <c r="E134" s="4">
        <f>IF($D134="","",TEXT($D134,"yyyy-mm-dd"))</f>
        <v/>
      </c>
    </row>
    <row r="135">
      <c r="A135" s="4" t="inlineStr">
        <is>
          <t>JWIBX27131</t>
        </is>
      </c>
      <c r="B135" s="4">
        <f>IF(COUNTIF(EDW_RAW!$A$2:$A$1500,$A135)=0,"",IF(SUMPRODUCT((EDW_RAW!$A$2:$A$1500=$A135)*(LEN(EDW_RAW!$R$2:$R$1500)&gt;0))=COUNTIF(EDW_RAW!$A$2:$A$1500,$A135),"O",IF(SUMPRODUCT((EDW_RAW!$A$2:$A$1500=$A135)*(LEN(EDW_RAW!$R$2:$R$1500)&gt;0))&gt;0,"부분","X")))</f>
        <v/>
      </c>
      <c r="C135" s="4">
        <f>IF(COUNTIF(EDW_RAW!$A$2:$A$1500,$A135)=0,"",IF(SUMPRODUCT((EDW_RAW!$A$2:$A$1500=$A135)*(LEN(EDW_RAW!$U$2:$U$1500)&gt;0))=COUNTIF(EDW_RAW!$A$2:$A$1500,$A135),"O",IF(SUMPRODUCT((EDW_RAW!$A$2:$A$1500=$A135)*(LEN(EDW_RAW!$U$2:$U$1500)&gt;0))&gt;0,"부분","X")))</f>
        <v/>
      </c>
      <c r="D135" s="5">
        <f>IFERROR(MAX(FILTER(소재DB_RAW!$AK$3:$AK$2000,(소재DB_RAW!$G$3:$G$2000=$A135)*ISERROR(SEARCH("drop",소재DB_RAW!$C$3:$C$2000))*(소재DB_RAW!$AK$3:$AK$2000&lt;&gt;""))),"")</f>
        <v/>
      </c>
      <c r="E135" s="4">
        <f>IF($D135="","",TEXT($D135,"yyyy-mm-dd"))</f>
        <v/>
      </c>
    </row>
    <row r="136">
      <c r="A136" s="4" t="inlineStr">
        <is>
          <t>JWJJS27131</t>
        </is>
      </c>
      <c r="B136" s="4">
        <f>IF(COUNTIF(EDW_RAW!$A$2:$A$1500,$A136)=0,"",IF(SUMPRODUCT((EDW_RAW!$A$2:$A$1500=$A136)*(LEN(EDW_RAW!$R$2:$R$1500)&gt;0))=COUNTIF(EDW_RAW!$A$2:$A$1500,$A136),"O",IF(SUMPRODUCT((EDW_RAW!$A$2:$A$1500=$A136)*(LEN(EDW_RAW!$R$2:$R$1500)&gt;0))&gt;0,"부분","X")))</f>
        <v/>
      </c>
      <c r="C136" s="4">
        <f>IF(COUNTIF(EDW_RAW!$A$2:$A$1500,$A136)=0,"",IF(SUMPRODUCT((EDW_RAW!$A$2:$A$1500=$A136)*(LEN(EDW_RAW!$U$2:$U$1500)&gt;0))=COUNTIF(EDW_RAW!$A$2:$A$1500,$A136),"O",IF(SUMPRODUCT((EDW_RAW!$A$2:$A$1500=$A136)*(LEN(EDW_RAW!$U$2:$U$1500)&gt;0))&gt;0,"부분","X")))</f>
        <v/>
      </c>
      <c r="D136" s="5">
        <f>IFERROR(MAX(FILTER(소재DB_RAW!$AK$3:$AK$2000,(소재DB_RAW!$G$3:$G$2000=$A136)*ISERROR(SEARCH("drop",소재DB_RAW!$C$3:$C$2000))*(소재DB_RAW!$AK$3:$AK$2000&lt;&gt;""))),"")</f>
        <v/>
      </c>
      <c r="E136" s="4">
        <f>IF($D136="","",TEXT($D136,"yyyy-mm-dd"))</f>
        <v/>
      </c>
    </row>
    <row r="137">
      <c r="A137" s="4" t="inlineStr">
        <is>
          <t>JWJJS27135</t>
        </is>
      </c>
      <c r="B137" s="4">
        <f>IF(COUNTIF(EDW_RAW!$A$2:$A$1500,$A137)=0,"",IF(SUMPRODUCT((EDW_RAW!$A$2:$A$1500=$A137)*(LEN(EDW_RAW!$R$2:$R$1500)&gt;0))=COUNTIF(EDW_RAW!$A$2:$A$1500,$A137),"O",IF(SUMPRODUCT((EDW_RAW!$A$2:$A$1500=$A137)*(LEN(EDW_RAW!$R$2:$R$1500)&gt;0))&gt;0,"부분","X")))</f>
        <v/>
      </c>
      <c r="C137" s="4">
        <f>IF(COUNTIF(EDW_RAW!$A$2:$A$1500,$A137)=0,"",IF(SUMPRODUCT((EDW_RAW!$A$2:$A$1500=$A137)*(LEN(EDW_RAW!$U$2:$U$1500)&gt;0))=COUNTIF(EDW_RAW!$A$2:$A$1500,$A137),"O",IF(SUMPRODUCT((EDW_RAW!$A$2:$A$1500=$A137)*(LEN(EDW_RAW!$U$2:$U$1500)&gt;0))&gt;0,"부분","X")))</f>
        <v/>
      </c>
      <c r="D137" s="5">
        <f>IFERROR(MAX(FILTER(소재DB_RAW!$AK$3:$AK$2000,(소재DB_RAW!$G$3:$G$2000=$A137)*ISERROR(SEARCH("drop",소재DB_RAW!$C$3:$C$2000))*(소재DB_RAW!$AK$3:$AK$2000&lt;&gt;""))),"")</f>
        <v/>
      </c>
      <c r="E137" s="4">
        <f>IF($D137="","",TEXT($D137,"yyyy-mm-dd"))</f>
        <v/>
      </c>
    </row>
    <row r="138">
      <c r="A138" s="4" t="inlineStr">
        <is>
          <t>JWJGS27101</t>
        </is>
      </c>
      <c r="B138" s="4">
        <f>IF(COUNTIF(EDW_RAW!$A$2:$A$1500,$A138)=0,"",IF(SUMPRODUCT((EDW_RAW!$A$2:$A$1500=$A138)*(LEN(EDW_RAW!$R$2:$R$1500)&gt;0))=COUNTIF(EDW_RAW!$A$2:$A$1500,$A138),"O",IF(SUMPRODUCT((EDW_RAW!$A$2:$A$1500=$A138)*(LEN(EDW_RAW!$R$2:$R$1500)&gt;0))&gt;0,"부분","X")))</f>
        <v/>
      </c>
      <c r="C138" s="4">
        <f>IF(COUNTIF(EDW_RAW!$A$2:$A$1500,$A138)=0,"",IF(SUMPRODUCT((EDW_RAW!$A$2:$A$1500=$A138)*(LEN(EDW_RAW!$U$2:$U$1500)&gt;0))=COUNTIF(EDW_RAW!$A$2:$A$1500,$A138),"O",IF(SUMPRODUCT((EDW_RAW!$A$2:$A$1500=$A138)*(LEN(EDW_RAW!$U$2:$U$1500)&gt;0))&gt;0,"부분","X")))</f>
        <v/>
      </c>
      <c r="D138" s="5">
        <f>IFERROR(MAX(FILTER(소재DB_RAW!$AK$3:$AK$2000,(소재DB_RAW!$G$3:$G$2000=$A138)*ISERROR(SEARCH("drop",소재DB_RAW!$C$3:$C$2000))*(소재DB_RAW!$AK$3:$AK$2000&lt;&gt;""))),"")</f>
        <v/>
      </c>
      <c r="E138" s="4">
        <f>IF($D138="","",TEXT($D138,"yyyy-mm-dd"))</f>
        <v/>
      </c>
    </row>
    <row r="139">
      <c r="A139" s="4" t="inlineStr">
        <is>
          <t>JWJGS27103</t>
        </is>
      </c>
      <c r="B139" s="4">
        <f>IF(COUNTIF(EDW_RAW!$A$2:$A$1500,$A139)=0,"",IF(SUMPRODUCT((EDW_RAW!$A$2:$A$1500=$A139)*(LEN(EDW_RAW!$R$2:$R$1500)&gt;0))=COUNTIF(EDW_RAW!$A$2:$A$1500,$A139),"O",IF(SUMPRODUCT((EDW_RAW!$A$2:$A$1500=$A139)*(LEN(EDW_RAW!$R$2:$R$1500)&gt;0))&gt;0,"부분","X")))</f>
        <v/>
      </c>
      <c r="C139" s="4">
        <f>IF(COUNTIF(EDW_RAW!$A$2:$A$1500,$A139)=0,"",IF(SUMPRODUCT((EDW_RAW!$A$2:$A$1500=$A139)*(LEN(EDW_RAW!$U$2:$U$1500)&gt;0))=COUNTIF(EDW_RAW!$A$2:$A$1500,$A139),"O",IF(SUMPRODUCT((EDW_RAW!$A$2:$A$1500=$A139)*(LEN(EDW_RAW!$U$2:$U$1500)&gt;0))&gt;0,"부분","X")))</f>
        <v/>
      </c>
      <c r="D139" s="5">
        <f>IFERROR(MAX(FILTER(소재DB_RAW!$AK$3:$AK$2000,(소재DB_RAW!$G$3:$G$2000=$A139)*ISERROR(SEARCH("drop",소재DB_RAW!$C$3:$C$2000))*(소재DB_RAW!$AK$3:$AK$2000&lt;&gt;""))),"")</f>
        <v/>
      </c>
      <c r="E139" s="4">
        <f>IF($D139="","",TEXT($D139,"yyyy-mm-dd"))</f>
        <v/>
      </c>
    </row>
    <row r="140">
      <c r="A140" s="4" t="inlineStr">
        <is>
          <t>JWJWS27105</t>
        </is>
      </c>
      <c r="B140" s="4">
        <f>IF(COUNTIF(EDW_RAW!$A$2:$A$1500,$A140)=0,"",IF(SUMPRODUCT((EDW_RAW!$A$2:$A$1500=$A140)*(LEN(EDW_RAW!$R$2:$R$1500)&gt;0))=COUNTIF(EDW_RAW!$A$2:$A$1500,$A140),"O",IF(SUMPRODUCT((EDW_RAW!$A$2:$A$1500=$A140)*(LEN(EDW_RAW!$R$2:$R$1500)&gt;0))&gt;0,"부분","X")))</f>
        <v/>
      </c>
      <c r="C140" s="4">
        <f>IF(COUNTIF(EDW_RAW!$A$2:$A$1500,$A140)=0,"",IF(SUMPRODUCT((EDW_RAW!$A$2:$A$1500=$A140)*(LEN(EDW_RAW!$U$2:$U$1500)&gt;0))=COUNTIF(EDW_RAW!$A$2:$A$1500,$A140),"O",IF(SUMPRODUCT((EDW_RAW!$A$2:$A$1500=$A140)*(LEN(EDW_RAW!$U$2:$U$1500)&gt;0))&gt;0,"부분","X")))</f>
        <v/>
      </c>
      <c r="D140" s="5">
        <f>IFERROR(MAX(FILTER(소재DB_RAW!$AK$3:$AK$2000,(소재DB_RAW!$G$3:$G$2000=$A140)*ISERROR(SEARCH("drop",소재DB_RAW!$C$3:$C$2000))*(소재DB_RAW!$AK$3:$AK$2000&lt;&gt;""))),"")</f>
        <v/>
      </c>
      <c r="E140" s="4">
        <f>IF($D140="","",TEXT($D140,"yyyy-mm-dd"))</f>
        <v/>
      </c>
    </row>
    <row r="141">
      <c r="A141" s="4" t="inlineStr">
        <is>
          <t>JKJGS27102</t>
        </is>
      </c>
      <c r="B141" s="4">
        <f>IF(COUNTIF(EDW_RAW!$A$2:$A$1500,$A141)=0,"",IF(SUMPRODUCT((EDW_RAW!$A$2:$A$1500=$A141)*(LEN(EDW_RAW!$R$2:$R$1500)&gt;0))=COUNTIF(EDW_RAW!$A$2:$A$1500,$A141),"O",IF(SUMPRODUCT((EDW_RAW!$A$2:$A$1500=$A141)*(LEN(EDW_RAW!$R$2:$R$1500)&gt;0))&gt;0,"부분","X")))</f>
        <v/>
      </c>
      <c r="C141" s="4">
        <f>IF(COUNTIF(EDW_RAW!$A$2:$A$1500,$A141)=0,"",IF(SUMPRODUCT((EDW_RAW!$A$2:$A$1500=$A141)*(LEN(EDW_RAW!$U$2:$U$1500)&gt;0))=COUNTIF(EDW_RAW!$A$2:$A$1500,$A141),"O",IF(SUMPRODUCT((EDW_RAW!$A$2:$A$1500=$A141)*(LEN(EDW_RAW!$U$2:$U$1500)&gt;0))&gt;0,"부분","X")))</f>
        <v/>
      </c>
      <c r="D141" s="5">
        <f>IFERROR(MAX(FILTER(소재DB_RAW!$AK$3:$AK$2000,(소재DB_RAW!$G$3:$G$2000=$A141)*ISERROR(SEARCH("drop",소재DB_RAW!$C$3:$C$2000))*(소재DB_RAW!$AK$3:$AK$2000&lt;&gt;""))),"")</f>
        <v/>
      </c>
      <c r="E141" s="4">
        <f>IF($D141="","",TEXT($D141,"yyyy-mm-dd"))</f>
        <v/>
      </c>
    </row>
    <row r="142">
      <c r="A142" s="4" t="inlineStr">
        <is>
          <t>JKJGS27104</t>
        </is>
      </c>
      <c r="B142" s="4">
        <f>IF(COUNTIF(EDW_RAW!$A$2:$A$1500,$A142)=0,"",IF(SUMPRODUCT((EDW_RAW!$A$2:$A$1500=$A142)*(LEN(EDW_RAW!$R$2:$R$1500)&gt;0))=COUNTIF(EDW_RAW!$A$2:$A$1500,$A142),"O",IF(SUMPRODUCT((EDW_RAW!$A$2:$A$1500=$A142)*(LEN(EDW_RAW!$R$2:$R$1500)&gt;0))&gt;0,"부분","X")))</f>
        <v/>
      </c>
      <c r="C142" s="4">
        <f>IF(COUNTIF(EDW_RAW!$A$2:$A$1500,$A142)=0,"",IF(SUMPRODUCT((EDW_RAW!$A$2:$A$1500=$A142)*(LEN(EDW_RAW!$U$2:$U$1500)&gt;0))=COUNTIF(EDW_RAW!$A$2:$A$1500,$A142),"O",IF(SUMPRODUCT((EDW_RAW!$A$2:$A$1500=$A142)*(LEN(EDW_RAW!$U$2:$U$1500)&gt;0))&gt;0,"부분","X")))</f>
        <v/>
      </c>
      <c r="D142" s="5">
        <f>IFERROR(MAX(FILTER(소재DB_RAW!$AK$3:$AK$2000,(소재DB_RAW!$G$3:$G$2000=$A142)*ISERROR(SEARCH("drop",소재DB_RAW!$C$3:$C$2000))*(소재DB_RAW!$AK$3:$AK$2000&lt;&gt;""))),"")</f>
        <v/>
      </c>
      <c r="E142" s="4">
        <f>IF($D142="","",TEXT($D142,"yyyy-mm-dd"))</f>
        <v/>
      </c>
    </row>
    <row r="143">
      <c r="A143" s="4" t="inlineStr">
        <is>
          <t>JKJWS27106</t>
        </is>
      </c>
      <c r="B143" s="4">
        <f>IF(COUNTIF(EDW_RAW!$A$2:$A$1500,$A143)=0,"",IF(SUMPRODUCT((EDW_RAW!$A$2:$A$1500=$A143)*(LEN(EDW_RAW!$R$2:$R$1500)&gt;0))=COUNTIF(EDW_RAW!$A$2:$A$1500,$A143),"O",IF(SUMPRODUCT((EDW_RAW!$A$2:$A$1500=$A143)*(LEN(EDW_RAW!$R$2:$R$1500)&gt;0))&gt;0,"부분","X")))</f>
        <v/>
      </c>
      <c r="C143" s="4">
        <f>IF(COUNTIF(EDW_RAW!$A$2:$A$1500,$A143)=0,"",IF(SUMPRODUCT((EDW_RAW!$A$2:$A$1500=$A143)*(LEN(EDW_RAW!$U$2:$U$1500)&gt;0))=COUNTIF(EDW_RAW!$A$2:$A$1500,$A143),"O",IF(SUMPRODUCT((EDW_RAW!$A$2:$A$1500=$A143)*(LEN(EDW_RAW!$U$2:$U$1500)&gt;0))&gt;0,"부분","X")))</f>
        <v/>
      </c>
      <c r="D143" s="5">
        <f>IFERROR(MAX(FILTER(소재DB_RAW!$AK$3:$AK$2000,(소재DB_RAW!$G$3:$G$2000=$A143)*ISERROR(SEARCH("drop",소재DB_RAW!$C$3:$C$2000))*(소재DB_RAW!$AK$3:$AK$2000&lt;&gt;""))),"")</f>
        <v/>
      </c>
      <c r="E143" s="4">
        <f>IF($D143="","",TEXT($D143,"yyyy-mm-dd"))</f>
        <v/>
      </c>
    </row>
    <row r="144">
      <c r="A144" s="4" t="inlineStr">
        <is>
          <t>JWJJS27109</t>
        </is>
      </c>
      <c r="B144" s="4">
        <f>IF(COUNTIF(EDW_RAW!$A$2:$A$1500,$A144)=0,"",IF(SUMPRODUCT((EDW_RAW!$A$2:$A$1500=$A144)*(LEN(EDW_RAW!$R$2:$R$1500)&gt;0))=COUNTIF(EDW_RAW!$A$2:$A$1500,$A144),"O",IF(SUMPRODUCT((EDW_RAW!$A$2:$A$1500=$A144)*(LEN(EDW_RAW!$R$2:$R$1500)&gt;0))&gt;0,"부분","X")))</f>
        <v/>
      </c>
      <c r="C144" s="4">
        <f>IF(COUNTIF(EDW_RAW!$A$2:$A$1500,$A144)=0,"",IF(SUMPRODUCT((EDW_RAW!$A$2:$A$1500=$A144)*(LEN(EDW_RAW!$U$2:$U$1500)&gt;0))=COUNTIF(EDW_RAW!$A$2:$A$1500,$A144),"O",IF(SUMPRODUCT((EDW_RAW!$A$2:$A$1500=$A144)*(LEN(EDW_RAW!$U$2:$U$1500)&gt;0))&gt;0,"부분","X")))</f>
        <v/>
      </c>
      <c r="D144" s="5">
        <f>IFERROR(MAX(FILTER(소재DB_RAW!$AK$3:$AK$2000,(소재DB_RAW!$G$3:$G$2000=$A144)*ISERROR(SEARCH("drop",소재DB_RAW!$C$3:$C$2000))*(소재DB_RAW!$AK$3:$AK$2000&lt;&gt;""))),"")</f>
        <v/>
      </c>
      <c r="E144" s="4">
        <f>IF($D144="","",TEXT($D144,"yyyy-mm-dd"))</f>
        <v/>
      </c>
    </row>
    <row r="145">
      <c r="A145" s="4" t="inlineStr">
        <is>
          <t>JWJJM27141</t>
        </is>
      </c>
      <c r="B145" s="4">
        <f>IF(COUNTIF(EDW_RAW!$A$2:$A$1500,$A145)=0,"",IF(SUMPRODUCT((EDW_RAW!$A$2:$A$1500=$A145)*(LEN(EDW_RAW!$R$2:$R$1500)&gt;0))=COUNTIF(EDW_RAW!$A$2:$A$1500,$A145),"O",IF(SUMPRODUCT((EDW_RAW!$A$2:$A$1500=$A145)*(LEN(EDW_RAW!$R$2:$R$1500)&gt;0))&gt;0,"부분","X")))</f>
        <v/>
      </c>
      <c r="C145" s="4">
        <f>IF(COUNTIF(EDW_RAW!$A$2:$A$1500,$A145)=0,"",IF(SUMPRODUCT((EDW_RAW!$A$2:$A$1500=$A145)*(LEN(EDW_RAW!$U$2:$U$1500)&gt;0))=COUNTIF(EDW_RAW!$A$2:$A$1500,$A145),"O",IF(SUMPRODUCT((EDW_RAW!$A$2:$A$1500=$A145)*(LEN(EDW_RAW!$U$2:$U$1500)&gt;0))&gt;0,"부분","X")))</f>
        <v/>
      </c>
      <c r="D145" s="5">
        <f>IFERROR(MAX(FILTER(소재DB_RAW!$AK$3:$AK$2000,(소재DB_RAW!$G$3:$G$2000=$A145)*ISERROR(SEARCH("drop",소재DB_RAW!$C$3:$C$2000))*(소재DB_RAW!$AK$3:$AK$2000&lt;&gt;""))),"")</f>
        <v/>
      </c>
      <c r="E145" s="4">
        <f>IF($D145="","",TEXT($D145,"yyyy-mm-dd"))</f>
        <v/>
      </c>
    </row>
    <row r="146">
      <c r="A146" s="4" t="inlineStr">
        <is>
          <t>JWJJM27151</t>
        </is>
      </c>
      <c r="B146" s="4">
        <f>IF(COUNTIF(EDW_RAW!$A$2:$A$1500,$A146)=0,"",IF(SUMPRODUCT((EDW_RAW!$A$2:$A$1500=$A146)*(LEN(EDW_RAW!$R$2:$R$1500)&gt;0))=COUNTIF(EDW_RAW!$A$2:$A$1500,$A146),"O",IF(SUMPRODUCT((EDW_RAW!$A$2:$A$1500=$A146)*(LEN(EDW_RAW!$R$2:$R$1500)&gt;0))&gt;0,"부분","X")))</f>
        <v/>
      </c>
      <c r="C146" s="4">
        <f>IF(COUNTIF(EDW_RAW!$A$2:$A$1500,$A146)=0,"",IF(SUMPRODUCT((EDW_RAW!$A$2:$A$1500=$A146)*(LEN(EDW_RAW!$U$2:$U$1500)&gt;0))=COUNTIF(EDW_RAW!$A$2:$A$1500,$A146),"O",IF(SUMPRODUCT((EDW_RAW!$A$2:$A$1500=$A146)*(LEN(EDW_RAW!$U$2:$U$1500)&gt;0))&gt;0,"부분","X")))</f>
        <v/>
      </c>
      <c r="D146" s="5">
        <f>IFERROR(MAX(FILTER(소재DB_RAW!$AK$3:$AK$2000,(소재DB_RAW!$G$3:$G$2000=$A146)*ISERROR(SEARCH("drop",소재DB_RAW!$C$3:$C$2000))*(소재DB_RAW!$AK$3:$AK$2000&lt;&gt;""))),"")</f>
        <v/>
      </c>
      <c r="E146" s="4">
        <f>IF($D146="","",TEXT($D146,"yyyy-mm-dd"))</f>
        <v/>
      </c>
    </row>
    <row r="147">
      <c r="A147" s="4" t="inlineStr">
        <is>
          <t>JWJJM27155</t>
        </is>
      </c>
      <c r="B147" s="4">
        <f>IF(COUNTIF(EDW_RAW!$A$2:$A$1500,$A147)=0,"",IF(SUMPRODUCT((EDW_RAW!$A$2:$A$1500=$A147)*(LEN(EDW_RAW!$R$2:$R$1500)&gt;0))=COUNTIF(EDW_RAW!$A$2:$A$1500,$A147),"O",IF(SUMPRODUCT((EDW_RAW!$A$2:$A$1500=$A147)*(LEN(EDW_RAW!$R$2:$R$1500)&gt;0))&gt;0,"부분","X")))</f>
        <v/>
      </c>
      <c r="C147" s="4">
        <f>IF(COUNTIF(EDW_RAW!$A$2:$A$1500,$A147)=0,"",IF(SUMPRODUCT((EDW_RAW!$A$2:$A$1500=$A147)*(LEN(EDW_RAW!$U$2:$U$1500)&gt;0))=COUNTIF(EDW_RAW!$A$2:$A$1500,$A147),"O",IF(SUMPRODUCT((EDW_RAW!$A$2:$A$1500=$A147)*(LEN(EDW_RAW!$U$2:$U$1500)&gt;0))&gt;0,"부분","X")))</f>
        <v/>
      </c>
      <c r="D147" s="5">
        <f>IFERROR(MAX(FILTER(소재DB_RAW!$AK$3:$AK$2000,(소재DB_RAW!$G$3:$G$2000=$A147)*ISERROR(SEARCH("drop",소재DB_RAW!$C$3:$C$2000))*(소재DB_RAW!$AK$3:$AK$2000&lt;&gt;""))),"")</f>
        <v/>
      </c>
      <c r="E147" s="4">
        <f>IF($D147="","",TEXT($D147,"yyyy-mm-dd"))</f>
        <v/>
      </c>
    </row>
    <row r="148">
      <c r="A148" s="4" t="inlineStr">
        <is>
          <t>JWJJM27171</t>
        </is>
      </c>
      <c r="B148" s="4">
        <f>IF(COUNTIF(EDW_RAW!$A$2:$A$1500,$A148)=0,"",IF(SUMPRODUCT((EDW_RAW!$A$2:$A$1500=$A148)*(LEN(EDW_RAW!$R$2:$R$1500)&gt;0))=COUNTIF(EDW_RAW!$A$2:$A$1500,$A148),"O",IF(SUMPRODUCT((EDW_RAW!$A$2:$A$1500=$A148)*(LEN(EDW_RAW!$R$2:$R$1500)&gt;0))&gt;0,"부분","X")))</f>
        <v/>
      </c>
      <c r="C148" s="4">
        <f>IF(COUNTIF(EDW_RAW!$A$2:$A$1500,$A148)=0,"",IF(SUMPRODUCT((EDW_RAW!$A$2:$A$1500=$A148)*(LEN(EDW_RAW!$U$2:$U$1500)&gt;0))=COUNTIF(EDW_RAW!$A$2:$A$1500,$A148),"O",IF(SUMPRODUCT((EDW_RAW!$A$2:$A$1500=$A148)*(LEN(EDW_RAW!$U$2:$U$1500)&gt;0))&gt;0,"부분","X")))</f>
        <v/>
      </c>
      <c r="D148" s="5">
        <f>IFERROR(MAX(FILTER(소재DB_RAW!$AK$3:$AK$2000,(소재DB_RAW!$G$3:$G$2000=$A148)*ISERROR(SEARCH("drop",소재DB_RAW!$C$3:$C$2000))*(소재DB_RAW!$AK$3:$AK$2000&lt;&gt;""))),"")</f>
        <v/>
      </c>
      <c r="E148" s="4">
        <f>IF($D148="","",TEXT($D148,"yyyy-mm-dd"))</f>
        <v/>
      </c>
    </row>
    <row r="149">
      <c r="A149" s="4" t="inlineStr">
        <is>
          <t>JWJJM27165</t>
        </is>
      </c>
      <c r="B149" s="4">
        <f>IF(COUNTIF(EDW_RAW!$A$2:$A$1500,$A149)=0,"",IF(SUMPRODUCT((EDW_RAW!$A$2:$A$1500=$A149)*(LEN(EDW_RAW!$R$2:$R$1500)&gt;0))=COUNTIF(EDW_RAW!$A$2:$A$1500,$A149),"O",IF(SUMPRODUCT((EDW_RAW!$A$2:$A$1500=$A149)*(LEN(EDW_RAW!$R$2:$R$1500)&gt;0))&gt;0,"부분","X")))</f>
        <v/>
      </c>
      <c r="C149" s="4">
        <f>IF(COUNTIF(EDW_RAW!$A$2:$A$1500,$A149)=0,"",IF(SUMPRODUCT((EDW_RAW!$A$2:$A$1500=$A149)*(LEN(EDW_RAW!$U$2:$U$1500)&gt;0))=COUNTIF(EDW_RAW!$A$2:$A$1500,$A149),"O",IF(SUMPRODUCT((EDW_RAW!$A$2:$A$1500=$A149)*(LEN(EDW_RAW!$U$2:$U$1500)&gt;0))&gt;0,"부분","X")))</f>
        <v/>
      </c>
      <c r="D149" s="5">
        <f>IFERROR(MAX(FILTER(소재DB_RAW!$AK$3:$AK$2000,(소재DB_RAW!$G$3:$G$2000=$A149)*ISERROR(SEARCH("drop",소재DB_RAW!$C$3:$C$2000))*(소재DB_RAW!$AK$3:$AK$2000&lt;&gt;""))),"")</f>
        <v/>
      </c>
      <c r="E149" s="4">
        <f>IF($D149="","",TEXT($D149,"yyyy-mm-dd"))</f>
        <v/>
      </c>
    </row>
    <row r="150">
      <c r="A150" s="4" t="inlineStr">
        <is>
          <t>JWVAS27131</t>
        </is>
      </c>
      <c r="B150" s="4">
        <f>IF(COUNTIF(EDW_RAW!$A$2:$A$1500,$A150)=0,"",IF(SUMPRODUCT((EDW_RAW!$A$2:$A$1500=$A150)*(LEN(EDW_RAW!$R$2:$R$1500)&gt;0))=COUNTIF(EDW_RAW!$A$2:$A$1500,$A150),"O",IF(SUMPRODUCT((EDW_RAW!$A$2:$A$1500=$A150)*(LEN(EDW_RAW!$R$2:$R$1500)&gt;0))&gt;0,"부분","X")))</f>
        <v/>
      </c>
      <c r="C150" s="4">
        <f>IF(COUNTIF(EDW_RAW!$A$2:$A$1500,$A150)=0,"",IF(SUMPRODUCT((EDW_RAW!$A$2:$A$1500=$A150)*(LEN(EDW_RAW!$U$2:$U$1500)&gt;0))=COUNTIF(EDW_RAW!$A$2:$A$1500,$A150),"O",IF(SUMPRODUCT((EDW_RAW!$A$2:$A$1500=$A150)*(LEN(EDW_RAW!$U$2:$U$1500)&gt;0))&gt;0,"부분","X")))</f>
        <v/>
      </c>
      <c r="D150" s="5">
        <f>IFERROR(MAX(FILTER(소재DB_RAW!$AK$3:$AK$2000,(소재DB_RAW!$G$3:$G$2000=$A150)*ISERROR(SEARCH("drop",소재DB_RAW!$C$3:$C$2000))*(소재DB_RAW!$AK$3:$AK$2000&lt;&gt;""))),"")</f>
        <v/>
      </c>
      <c r="E150" s="4">
        <f>IF($D150="","",TEXT($D150,"yyyy-mm-dd"))</f>
        <v/>
      </c>
    </row>
    <row r="151">
      <c r="A151" s="4" t="inlineStr">
        <is>
          <t>JWVAS27109</t>
        </is>
      </c>
      <c r="B151" s="4">
        <f>IF(COUNTIF(EDW_RAW!$A$2:$A$1500,$A151)=0,"",IF(SUMPRODUCT((EDW_RAW!$A$2:$A$1500=$A151)*(LEN(EDW_RAW!$R$2:$R$1500)&gt;0))=COUNTIF(EDW_RAW!$A$2:$A$1500,$A151),"O",IF(SUMPRODUCT((EDW_RAW!$A$2:$A$1500=$A151)*(LEN(EDW_RAW!$R$2:$R$1500)&gt;0))&gt;0,"부분","X")))</f>
        <v/>
      </c>
      <c r="C151" s="4">
        <f>IF(COUNTIF(EDW_RAW!$A$2:$A$1500,$A151)=0,"",IF(SUMPRODUCT((EDW_RAW!$A$2:$A$1500=$A151)*(LEN(EDW_RAW!$U$2:$U$1500)&gt;0))=COUNTIF(EDW_RAW!$A$2:$A$1500,$A151),"O",IF(SUMPRODUCT((EDW_RAW!$A$2:$A$1500=$A151)*(LEN(EDW_RAW!$U$2:$U$1500)&gt;0))&gt;0,"부분","X")))</f>
        <v/>
      </c>
      <c r="D151" s="5">
        <f>IFERROR(MAX(FILTER(소재DB_RAW!$AK$3:$AK$2000,(소재DB_RAW!$G$3:$G$2000=$A151)*ISERROR(SEARCH("drop",소재DB_RAW!$C$3:$C$2000))*(소재DB_RAW!$AK$3:$AK$2000&lt;&gt;""))),"")</f>
        <v/>
      </c>
      <c r="E151" s="4">
        <f>IF($D151="","",TEXT($D151,"yyyy-mm-dd"))</f>
        <v/>
      </c>
    </row>
    <row r="152">
      <c r="A152" s="4" t="inlineStr">
        <is>
          <t>JWVAS27907</t>
        </is>
      </c>
      <c r="B152" s="4">
        <f>IF(COUNTIF(EDW_RAW!$A$2:$A$1500,$A152)=0,"",IF(SUMPRODUCT((EDW_RAW!$A$2:$A$1500=$A152)*(LEN(EDW_RAW!$R$2:$R$1500)&gt;0))=COUNTIF(EDW_RAW!$A$2:$A$1500,$A152),"O",IF(SUMPRODUCT((EDW_RAW!$A$2:$A$1500=$A152)*(LEN(EDW_RAW!$R$2:$R$1500)&gt;0))&gt;0,"부분","X")))</f>
        <v/>
      </c>
      <c r="C152" s="4">
        <f>IF(COUNTIF(EDW_RAW!$A$2:$A$1500,$A152)=0,"",IF(SUMPRODUCT((EDW_RAW!$A$2:$A$1500=$A152)*(LEN(EDW_RAW!$U$2:$U$1500)&gt;0))=COUNTIF(EDW_RAW!$A$2:$A$1500,$A152),"O",IF(SUMPRODUCT((EDW_RAW!$A$2:$A$1500=$A152)*(LEN(EDW_RAW!$U$2:$U$1500)&gt;0))&gt;0,"부분","X")))</f>
        <v/>
      </c>
      <c r="D152" s="5">
        <f>IFERROR(MAX(FILTER(소재DB_RAW!$AK$3:$AK$2000,(소재DB_RAW!$G$3:$G$2000=$A152)*ISERROR(SEARCH("drop",소재DB_RAW!$C$3:$C$2000))*(소재DB_RAW!$AK$3:$AK$2000&lt;&gt;""))),"")</f>
        <v/>
      </c>
      <c r="E152" s="4">
        <f>IF($D152="","",TEXT($D152,"yyyy-mm-dd"))</f>
        <v/>
      </c>
    </row>
    <row r="153">
      <c r="A153" s="4" t="inlineStr">
        <is>
          <t>JWVAM27101</t>
        </is>
      </c>
      <c r="B153" s="4">
        <f>IF(COUNTIF(EDW_RAW!$A$2:$A$1500,$A153)=0,"",IF(SUMPRODUCT((EDW_RAW!$A$2:$A$1500=$A153)*(LEN(EDW_RAW!$R$2:$R$1500)&gt;0))=COUNTIF(EDW_RAW!$A$2:$A$1500,$A153),"O",IF(SUMPRODUCT((EDW_RAW!$A$2:$A$1500=$A153)*(LEN(EDW_RAW!$R$2:$R$1500)&gt;0))&gt;0,"부분","X")))</f>
        <v/>
      </c>
      <c r="C153" s="4">
        <f>IF(COUNTIF(EDW_RAW!$A$2:$A$1500,$A153)=0,"",IF(SUMPRODUCT((EDW_RAW!$A$2:$A$1500=$A153)*(LEN(EDW_RAW!$U$2:$U$1500)&gt;0))=COUNTIF(EDW_RAW!$A$2:$A$1500,$A153),"O",IF(SUMPRODUCT((EDW_RAW!$A$2:$A$1500=$A153)*(LEN(EDW_RAW!$U$2:$U$1500)&gt;0))&gt;0,"부분","X")))</f>
        <v/>
      </c>
      <c r="D153" s="5">
        <f>IFERROR(MAX(FILTER(소재DB_RAW!$AK$3:$AK$2000,(소재DB_RAW!$G$3:$G$2000=$A153)*ISERROR(SEARCH("drop",소재DB_RAW!$C$3:$C$2000))*(소재DB_RAW!$AK$3:$AK$2000&lt;&gt;""))),"")</f>
        <v/>
      </c>
      <c r="E153" s="4">
        <f>IF($D153="","",TEXT($D153,"yyyy-mm-dd"))</f>
        <v/>
      </c>
    </row>
    <row r="154">
      <c r="A154" s="4" t="inlineStr">
        <is>
          <t>JWTBS27111</t>
        </is>
      </c>
      <c r="B154" s="4">
        <f>IF(COUNTIF(EDW_RAW!$A$2:$A$1500,$A154)=0,"",IF(SUMPRODUCT((EDW_RAW!$A$2:$A$1500=$A154)*(LEN(EDW_RAW!$R$2:$R$1500)&gt;0))=COUNTIF(EDW_RAW!$A$2:$A$1500,$A154),"O",IF(SUMPRODUCT((EDW_RAW!$A$2:$A$1500=$A154)*(LEN(EDW_RAW!$R$2:$R$1500)&gt;0))&gt;0,"부분","X")))</f>
        <v/>
      </c>
      <c r="C154" s="4">
        <f>IF(COUNTIF(EDW_RAW!$A$2:$A$1500,$A154)=0,"",IF(SUMPRODUCT((EDW_RAW!$A$2:$A$1500=$A154)*(LEN(EDW_RAW!$U$2:$U$1500)&gt;0))=COUNTIF(EDW_RAW!$A$2:$A$1500,$A154),"O",IF(SUMPRODUCT((EDW_RAW!$A$2:$A$1500=$A154)*(LEN(EDW_RAW!$U$2:$U$1500)&gt;0))&gt;0,"부분","X")))</f>
        <v/>
      </c>
      <c r="D154" s="5">
        <f>IFERROR(MAX(FILTER(소재DB_RAW!$AK$3:$AK$2000,(소재DB_RAW!$G$3:$G$2000=$A154)*ISERROR(SEARCH("drop",소재DB_RAW!$C$3:$C$2000))*(소재DB_RAW!$AK$3:$AK$2000&lt;&gt;""))),"")</f>
        <v/>
      </c>
      <c r="E154" s="4">
        <f>IF($D154="","",TEXT($D154,"yyyy-mm-dd"))</f>
        <v/>
      </c>
    </row>
    <row r="155">
      <c r="A155" s="4" t="inlineStr">
        <is>
          <t>JWTBS27113</t>
        </is>
      </c>
      <c r="B155" s="4">
        <f>IF(COUNTIF(EDW_RAW!$A$2:$A$1500,$A155)=0,"",IF(SUMPRODUCT((EDW_RAW!$A$2:$A$1500=$A155)*(LEN(EDW_RAW!$R$2:$R$1500)&gt;0))=COUNTIF(EDW_RAW!$A$2:$A$1500,$A155),"O",IF(SUMPRODUCT((EDW_RAW!$A$2:$A$1500=$A155)*(LEN(EDW_RAW!$R$2:$R$1500)&gt;0))&gt;0,"부분","X")))</f>
        <v/>
      </c>
      <c r="C155" s="4">
        <f>IF(COUNTIF(EDW_RAW!$A$2:$A$1500,$A155)=0,"",IF(SUMPRODUCT((EDW_RAW!$A$2:$A$1500=$A155)*(LEN(EDW_RAW!$U$2:$U$1500)&gt;0))=COUNTIF(EDW_RAW!$A$2:$A$1500,$A155),"O",IF(SUMPRODUCT((EDW_RAW!$A$2:$A$1500=$A155)*(LEN(EDW_RAW!$U$2:$U$1500)&gt;0))&gt;0,"부분","X")))</f>
        <v/>
      </c>
      <c r="D155" s="5">
        <f>IFERROR(MAX(FILTER(소재DB_RAW!$AK$3:$AK$2000,(소재DB_RAW!$G$3:$G$2000=$A155)*ISERROR(SEARCH("drop",소재DB_RAW!$C$3:$C$2000))*(소재DB_RAW!$AK$3:$AK$2000&lt;&gt;""))),"")</f>
        <v/>
      </c>
      <c r="E155" s="4">
        <f>IF($D155="","",TEXT($D155,"yyyy-mm-dd"))</f>
        <v/>
      </c>
    </row>
    <row r="156">
      <c r="A156" s="4" t="inlineStr">
        <is>
          <t>JWTBS27115</t>
        </is>
      </c>
      <c r="B156" s="4">
        <f>IF(COUNTIF(EDW_RAW!$A$2:$A$1500,$A156)=0,"",IF(SUMPRODUCT((EDW_RAW!$A$2:$A$1500=$A156)*(LEN(EDW_RAW!$R$2:$R$1500)&gt;0))=COUNTIF(EDW_RAW!$A$2:$A$1500,$A156),"O",IF(SUMPRODUCT((EDW_RAW!$A$2:$A$1500=$A156)*(LEN(EDW_RAW!$R$2:$R$1500)&gt;0))&gt;0,"부분","X")))</f>
        <v/>
      </c>
      <c r="C156" s="4">
        <f>IF(COUNTIF(EDW_RAW!$A$2:$A$1500,$A156)=0,"",IF(SUMPRODUCT((EDW_RAW!$A$2:$A$1500=$A156)*(LEN(EDW_RAW!$U$2:$U$1500)&gt;0))=COUNTIF(EDW_RAW!$A$2:$A$1500,$A156),"O",IF(SUMPRODUCT((EDW_RAW!$A$2:$A$1500=$A156)*(LEN(EDW_RAW!$U$2:$U$1500)&gt;0))&gt;0,"부분","X")))</f>
        <v/>
      </c>
      <c r="D156" s="5">
        <f>IFERROR(MAX(FILTER(소재DB_RAW!$AK$3:$AK$2000,(소재DB_RAW!$G$3:$G$2000=$A156)*ISERROR(SEARCH("drop",소재DB_RAW!$C$3:$C$2000))*(소재DB_RAW!$AK$3:$AK$2000&lt;&gt;""))),"")</f>
        <v/>
      </c>
      <c r="E156" s="4">
        <f>IF($D156="","",TEXT($D156,"yyyy-mm-dd"))</f>
        <v/>
      </c>
    </row>
    <row r="157">
      <c r="A157" s="4" t="inlineStr">
        <is>
          <t>JWTBS27117</t>
        </is>
      </c>
      <c r="B157" s="4">
        <f>IF(COUNTIF(EDW_RAW!$A$2:$A$1500,$A157)=0,"",IF(SUMPRODUCT((EDW_RAW!$A$2:$A$1500=$A157)*(LEN(EDW_RAW!$R$2:$R$1500)&gt;0))=COUNTIF(EDW_RAW!$A$2:$A$1500,$A157),"O",IF(SUMPRODUCT((EDW_RAW!$A$2:$A$1500=$A157)*(LEN(EDW_RAW!$R$2:$R$1500)&gt;0))&gt;0,"부분","X")))</f>
        <v/>
      </c>
      <c r="C157" s="4">
        <f>IF(COUNTIF(EDW_RAW!$A$2:$A$1500,$A157)=0,"",IF(SUMPRODUCT((EDW_RAW!$A$2:$A$1500=$A157)*(LEN(EDW_RAW!$U$2:$U$1500)&gt;0))=COUNTIF(EDW_RAW!$A$2:$A$1500,$A157),"O",IF(SUMPRODUCT((EDW_RAW!$A$2:$A$1500=$A157)*(LEN(EDW_RAW!$U$2:$U$1500)&gt;0))&gt;0,"부분","X")))</f>
        <v/>
      </c>
      <c r="D157" s="5">
        <f>IFERROR(MAX(FILTER(소재DB_RAW!$AK$3:$AK$2000,(소재DB_RAW!$G$3:$G$2000=$A157)*ISERROR(SEARCH("drop",소재DB_RAW!$C$3:$C$2000))*(소재DB_RAW!$AK$3:$AK$2000&lt;&gt;""))),"")</f>
        <v/>
      </c>
      <c r="E157" s="4">
        <f>IF($D157="","",TEXT($D157,"yyyy-mm-dd"))</f>
        <v/>
      </c>
    </row>
    <row r="158">
      <c r="A158" s="4" t="inlineStr">
        <is>
          <t>JWTBS27119</t>
        </is>
      </c>
      <c r="B158" s="4">
        <f>IF(COUNTIF(EDW_RAW!$A$2:$A$1500,$A158)=0,"",IF(SUMPRODUCT((EDW_RAW!$A$2:$A$1500=$A158)*(LEN(EDW_RAW!$R$2:$R$1500)&gt;0))=COUNTIF(EDW_RAW!$A$2:$A$1500,$A158),"O",IF(SUMPRODUCT((EDW_RAW!$A$2:$A$1500=$A158)*(LEN(EDW_RAW!$R$2:$R$1500)&gt;0))&gt;0,"부분","X")))</f>
        <v/>
      </c>
      <c r="C158" s="4">
        <f>IF(COUNTIF(EDW_RAW!$A$2:$A$1500,$A158)=0,"",IF(SUMPRODUCT((EDW_RAW!$A$2:$A$1500=$A158)*(LEN(EDW_RAW!$U$2:$U$1500)&gt;0))=COUNTIF(EDW_RAW!$A$2:$A$1500,$A158),"O",IF(SUMPRODUCT((EDW_RAW!$A$2:$A$1500=$A158)*(LEN(EDW_RAW!$U$2:$U$1500)&gt;0))&gt;0,"부분","X")))</f>
        <v/>
      </c>
      <c r="D158" s="5">
        <f>IFERROR(MAX(FILTER(소재DB_RAW!$AK$3:$AK$2000,(소재DB_RAW!$G$3:$G$2000=$A158)*ISERROR(SEARCH("drop",소재DB_RAW!$C$3:$C$2000))*(소재DB_RAW!$AK$3:$AK$2000&lt;&gt;""))),"")</f>
        <v/>
      </c>
      <c r="E158" s="4">
        <f>IF($D158="","",TEXT($D158,"yyyy-mm-dd"))</f>
        <v/>
      </c>
    </row>
    <row r="159">
      <c r="A159" s="4" t="inlineStr">
        <is>
          <t>JWTBS27101</t>
        </is>
      </c>
      <c r="B159" s="4">
        <f>IF(COUNTIF(EDW_RAW!$A$2:$A$1500,$A159)=0,"",IF(SUMPRODUCT((EDW_RAW!$A$2:$A$1500=$A159)*(LEN(EDW_RAW!$R$2:$R$1500)&gt;0))=COUNTIF(EDW_RAW!$A$2:$A$1500,$A159),"O",IF(SUMPRODUCT((EDW_RAW!$A$2:$A$1500=$A159)*(LEN(EDW_RAW!$R$2:$R$1500)&gt;0))&gt;0,"부분","X")))</f>
        <v/>
      </c>
      <c r="C159" s="4">
        <f>IF(COUNTIF(EDW_RAW!$A$2:$A$1500,$A159)=0,"",IF(SUMPRODUCT((EDW_RAW!$A$2:$A$1500=$A159)*(LEN(EDW_RAW!$U$2:$U$1500)&gt;0))=COUNTIF(EDW_RAW!$A$2:$A$1500,$A159),"O",IF(SUMPRODUCT((EDW_RAW!$A$2:$A$1500=$A159)*(LEN(EDW_RAW!$U$2:$U$1500)&gt;0))&gt;0,"부분","X")))</f>
        <v/>
      </c>
      <c r="D159" s="5">
        <f>IFERROR(MAX(FILTER(소재DB_RAW!$AK$3:$AK$2000,(소재DB_RAW!$G$3:$G$2000=$A159)*ISERROR(SEARCH("drop",소재DB_RAW!$C$3:$C$2000))*(소재DB_RAW!$AK$3:$AK$2000&lt;&gt;""))),"")</f>
        <v/>
      </c>
      <c r="E159" s="4">
        <f>IF($D159="","",TEXT($D159,"yyyy-mm-dd"))</f>
        <v/>
      </c>
    </row>
    <row r="160">
      <c r="A160" s="4" t="inlineStr">
        <is>
          <t>JWTBS27103</t>
        </is>
      </c>
      <c r="B160" s="4">
        <f>IF(COUNTIF(EDW_RAW!$A$2:$A$1500,$A160)=0,"",IF(SUMPRODUCT((EDW_RAW!$A$2:$A$1500=$A160)*(LEN(EDW_RAW!$R$2:$R$1500)&gt;0))=COUNTIF(EDW_RAW!$A$2:$A$1500,$A160),"O",IF(SUMPRODUCT((EDW_RAW!$A$2:$A$1500=$A160)*(LEN(EDW_RAW!$R$2:$R$1500)&gt;0))&gt;0,"부분","X")))</f>
        <v/>
      </c>
      <c r="C160" s="4">
        <f>IF(COUNTIF(EDW_RAW!$A$2:$A$1500,$A160)=0,"",IF(SUMPRODUCT((EDW_RAW!$A$2:$A$1500=$A160)*(LEN(EDW_RAW!$U$2:$U$1500)&gt;0))=COUNTIF(EDW_RAW!$A$2:$A$1500,$A160),"O",IF(SUMPRODUCT((EDW_RAW!$A$2:$A$1500=$A160)*(LEN(EDW_RAW!$U$2:$U$1500)&gt;0))&gt;0,"부분","X")))</f>
        <v/>
      </c>
      <c r="D160" s="5">
        <f>IFERROR(MAX(FILTER(소재DB_RAW!$AK$3:$AK$2000,(소재DB_RAW!$G$3:$G$2000=$A160)*ISERROR(SEARCH("drop",소재DB_RAW!$C$3:$C$2000))*(소재DB_RAW!$AK$3:$AK$2000&lt;&gt;""))),"")</f>
        <v/>
      </c>
      <c r="E160" s="4">
        <f>IF($D160="","",TEXT($D160,"yyyy-mm-dd"))</f>
        <v/>
      </c>
    </row>
    <row r="161">
      <c r="A161" s="4" t="inlineStr">
        <is>
          <t>JWTBM27127</t>
        </is>
      </c>
      <c r="B161" s="4">
        <f>IF(COUNTIF(EDW_RAW!$A$2:$A$1500,$A161)=0,"",IF(SUMPRODUCT((EDW_RAW!$A$2:$A$1500=$A161)*(LEN(EDW_RAW!$R$2:$R$1500)&gt;0))=COUNTIF(EDW_RAW!$A$2:$A$1500,$A161),"O",IF(SUMPRODUCT((EDW_RAW!$A$2:$A$1500=$A161)*(LEN(EDW_RAW!$R$2:$R$1500)&gt;0))&gt;0,"부분","X")))</f>
        <v/>
      </c>
      <c r="C161" s="4">
        <f>IF(COUNTIF(EDW_RAW!$A$2:$A$1500,$A161)=0,"",IF(SUMPRODUCT((EDW_RAW!$A$2:$A$1500=$A161)*(LEN(EDW_RAW!$U$2:$U$1500)&gt;0))=COUNTIF(EDW_RAW!$A$2:$A$1500,$A161),"O",IF(SUMPRODUCT((EDW_RAW!$A$2:$A$1500=$A161)*(LEN(EDW_RAW!$U$2:$U$1500)&gt;0))&gt;0,"부분","X")))</f>
        <v/>
      </c>
      <c r="D161" s="5">
        <f>IFERROR(MAX(FILTER(소재DB_RAW!$AK$3:$AK$2000,(소재DB_RAW!$G$3:$G$2000=$A161)*ISERROR(SEARCH("drop",소재DB_RAW!$C$3:$C$2000))*(소재DB_RAW!$AK$3:$AK$2000&lt;&gt;""))),"")</f>
        <v/>
      </c>
      <c r="E161" s="4">
        <f>IF($D161="","",TEXT($D161,"yyyy-mm-dd"))</f>
        <v/>
      </c>
    </row>
    <row r="162">
      <c r="A162" s="4" t="inlineStr">
        <is>
          <t>JWTBM27125</t>
        </is>
      </c>
      <c r="B162" s="4">
        <f>IF(COUNTIF(EDW_RAW!$A$2:$A$1500,$A162)=0,"",IF(SUMPRODUCT((EDW_RAW!$A$2:$A$1500=$A162)*(LEN(EDW_RAW!$R$2:$R$1500)&gt;0))=COUNTIF(EDW_RAW!$A$2:$A$1500,$A162),"O",IF(SUMPRODUCT((EDW_RAW!$A$2:$A$1500=$A162)*(LEN(EDW_RAW!$R$2:$R$1500)&gt;0))&gt;0,"부분","X")))</f>
        <v/>
      </c>
      <c r="C162" s="4">
        <f>IF(COUNTIF(EDW_RAW!$A$2:$A$1500,$A162)=0,"",IF(SUMPRODUCT((EDW_RAW!$A$2:$A$1500=$A162)*(LEN(EDW_RAW!$U$2:$U$1500)&gt;0))=COUNTIF(EDW_RAW!$A$2:$A$1500,$A162),"O",IF(SUMPRODUCT((EDW_RAW!$A$2:$A$1500=$A162)*(LEN(EDW_RAW!$U$2:$U$1500)&gt;0))&gt;0,"부분","X")))</f>
        <v/>
      </c>
      <c r="D162" s="5">
        <f>IFERROR(MAX(FILTER(소재DB_RAW!$AK$3:$AK$2000,(소재DB_RAW!$G$3:$G$2000=$A162)*ISERROR(SEARCH("drop",소재DB_RAW!$C$3:$C$2000))*(소재DB_RAW!$AK$3:$AK$2000&lt;&gt;""))),"")</f>
        <v/>
      </c>
      <c r="E162" s="4">
        <f>IF($D162="","",TEXT($D162,"yyyy-mm-dd"))</f>
        <v/>
      </c>
    </row>
    <row r="163">
      <c r="A163" s="4" t="inlineStr">
        <is>
          <t>JWTCM27151</t>
        </is>
      </c>
      <c r="B163" s="4">
        <f>IF(COUNTIF(EDW_RAW!$A$2:$A$1500,$A163)=0,"",IF(SUMPRODUCT((EDW_RAW!$A$2:$A$1500=$A163)*(LEN(EDW_RAW!$R$2:$R$1500)&gt;0))=COUNTIF(EDW_RAW!$A$2:$A$1500,$A163),"O",IF(SUMPRODUCT((EDW_RAW!$A$2:$A$1500=$A163)*(LEN(EDW_RAW!$R$2:$R$1500)&gt;0))&gt;0,"부분","X")))</f>
        <v/>
      </c>
      <c r="C163" s="4">
        <f>IF(COUNTIF(EDW_RAW!$A$2:$A$1500,$A163)=0,"",IF(SUMPRODUCT((EDW_RAW!$A$2:$A$1500=$A163)*(LEN(EDW_RAW!$U$2:$U$1500)&gt;0))=COUNTIF(EDW_RAW!$A$2:$A$1500,$A163),"O",IF(SUMPRODUCT((EDW_RAW!$A$2:$A$1500=$A163)*(LEN(EDW_RAW!$U$2:$U$1500)&gt;0))&gt;0,"부분","X")))</f>
        <v/>
      </c>
      <c r="D163" s="5">
        <f>IFERROR(MAX(FILTER(소재DB_RAW!$AK$3:$AK$2000,(소재DB_RAW!$G$3:$G$2000=$A163)*ISERROR(SEARCH("drop",소재DB_RAW!$C$3:$C$2000))*(소재DB_RAW!$AK$3:$AK$2000&lt;&gt;""))),"")</f>
        <v/>
      </c>
      <c r="E163" s="4">
        <f>IF($D163="","",TEXT($D163,"yyyy-mm-dd"))</f>
        <v/>
      </c>
    </row>
    <row r="164">
      <c r="A164" s="4" t="inlineStr">
        <is>
          <t>JWTCM27153</t>
        </is>
      </c>
      <c r="B164" s="4">
        <f>IF(COUNTIF(EDW_RAW!$A$2:$A$1500,$A164)=0,"",IF(SUMPRODUCT((EDW_RAW!$A$2:$A$1500=$A164)*(LEN(EDW_RAW!$R$2:$R$1500)&gt;0))=COUNTIF(EDW_RAW!$A$2:$A$1500,$A164),"O",IF(SUMPRODUCT((EDW_RAW!$A$2:$A$1500=$A164)*(LEN(EDW_RAW!$R$2:$R$1500)&gt;0))&gt;0,"부분","X")))</f>
        <v/>
      </c>
      <c r="C164" s="4">
        <f>IF(COUNTIF(EDW_RAW!$A$2:$A$1500,$A164)=0,"",IF(SUMPRODUCT((EDW_RAW!$A$2:$A$1500=$A164)*(LEN(EDW_RAW!$U$2:$U$1500)&gt;0))=COUNTIF(EDW_RAW!$A$2:$A$1500,$A164),"O",IF(SUMPRODUCT((EDW_RAW!$A$2:$A$1500=$A164)*(LEN(EDW_RAW!$U$2:$U$1500)&gt;0))&gt;0,"부분","X")))</f>
        <v/>
      </c>
      <c r="D164" s="5">
        <f>IFERROR(MAX(FILTER(소재DB_RAW!$AK$3:$AK$2000,(소재DB_RAW!$G$3:$G$2000=$A164)*ISERROR(SEARCH("drop",소재DB_RAW!$C$3:$C$2000))*(소재DB_RAW!$AK$3:$AK$2000&lt;&gt;""))),"")</f>
        <v/>
      </c>
      <c r="E164" s="4">
        <f>IF($D164="","",TEXT($D164,"yyyy-mm-dd"))</f>
        <v/>
      </c>
    </row>
    <row r="165">
      <c r="A165" s="4" t="inlineStr">
        <is>
          <t>JWTCM27157</t>
        </is>
      </c>
      <c r="B165" s="4">
        <f>IF(COUNTIF(EDW_RAW!$A$2:$A$1500,$A165)=0,"",IF(SUMPRODUCT((EDW_RAW!$A$2:$A$1500=$A165)*(LEN(EDW_RAW!$R$2:$R$1500)&gt;0))=COUNTIF(EDW_RAW!$A$2:$A$1500,$A165),"O",IF(SUMPRODUCT((EDW_RAW!$A$2:$A$1500=$A165)*(LEN(EDW_RAW!$R$2:$R$1500)&gt;0))&gt;0,"부분","X")))</f>
        <v/>
      </c>
      <c r="C165" s="4">
        <f>IF(COUNTIF(EDW_RAW!$A$2:$A$1500,$A165)=0,"",IF(SUMPRODUCT((EDW_RAW!$A$2:$A$1500=$A165)*(LEN(EDW_RAW!$U$2:$U$1500)&gt;0))=COUNTIF(EDW_RAW!$A$2:$A$1500,$A165),"O",IF(SUMPRODUCT((EDW_RAW!$A$2:$A$1500=$A165)*(LEN(EDW_RAW!$U$2:$U$1500)&gt;0))&gt;0,"부분","X")))</f>
        <v/>
      </c>
      <c r="D165" s="5">
        <f>IFERROR(MAX(FILTER(소재DB_RAW!$AK$3:$AK$2000,(소재DB_RAW!$G$3:$G$2000=$A165)*ISERROR(SEARCH("drop",소재DB_RAW!$C$3:$C$2000))*(소재DB_RAW!$AK$3:$AK$2000&lt;&gt;""))),"")</f>
        <v/>
      </c>
      <c r="E165" s="4">
        <f>IF($D165="","",TEXT($D165,"yyyy-mm-dd"))</f>
        <v/>
      </c>
    </row>
    <row r="166">
      <c r="A166" s="4" t="inlineStr">
        <is>
          <t>JWTCM27159</t>
        </is>
      </c>
      <c r="B166" s="4">
        <f>IF(COUNTIF(EDW_RAW!$A$2:$A$1500,$A166)=0,"",IF(SUMPRODUCT((EDW_RAW!$A$2:$A$1500=$A166)*(LEN(EDW_RAW!$R$2:$R$1500)&gt;0))=COUNTIF(EDW_RAW!$A$2:$A$1500,$A166),"O",IF(SUMPRODUCT((EDW_RAW!$A$2:$A$1500=$A166)*(LEN(EDW_RAW!$R$2:$R$1500)&gt;0))&gt;0,"부분","X")))</f>
        <v/>
      </c>
      <c r="C166" s="4">
        <f>IF(COUNTIF(EDW_RAW!$A$2:$A$1500,$A166)=0,"",IF(SUMPRODUCT((EDW_RAW!$A$2:$A$1500=$A166)*(LEN(EDW_RAW!$U$2:$U$1500)&gt;0))=COUNTIF(EDW_RAW!$A$2:$A$1500,$A166),"O",IF(SUMPRODUCT((EDW_RAW!$A$2:$A$1500=$A166)*(LEN(EDW_RAW!$U$2:$U$1500)&gt;0))&gt;0,"부분","X")))</f>
        <v/>
      </c>
      <c r="D166" s="5">
        <f>IFERROR(MAX(FILTER(소재DB_RAW!$AK$3:$AK$2000,(소재DB_RAW!$G$3:$G$2000=$A166)*ISERROR(SEARCH("drop",소재DB_RAW!$C$3:$C$2000))*(소재DB_RAW!$AK$3:$AK$2000&lt;&gt;""))),"")</f>
        <v/>
      </c>
      <c r="E166" s="4">
        <f>IF($D166="","",TEXT($D166,"yyyy-mm-dd"))</f>
        <v/>
      </c>
    </row>
    <row r="167">
      <c r="A167" s="4" t="inlineStr">
        <is>
          <t>JWTBM27167</t>
        </is>
      </c>
      <c r="B167" s="4">
        <f>IF(COUNTIF(EDW_RAW!$A$2:$A$1500,$A167)=0,"",IF(SUMPRODUCT((EDW_RAW!$A$2:$A$1500=$A167)*(LEN(EDW_RAW!$R$2:$R$1500)&gt;0))=COUNTIF(EDW_RAW!$A$2:$A$1500,$A167),"O",IF(SUMPRODUCT((EDW_RAW!$A$2:$A$1500=$A167)*(LEN(EDW_RAW!$R$2:$R$1500)&gt;0))&gt;0,"부분","X")))</f>
        <v/>
      </c>
      <c r="C167" s="4">
        <f>IF(COUNTIF(EDW_RAW!$A$2:$A$1500,$A167)=0,"",IF(SUMPRODUCT((EDW_RAW!$A$2:$A$1500=$A167)*(LEN(EDW_RAW!$U$2:$U$1500)&gt;0))=COUNTIF(EDW_RAW!$A$2:$A$1500,$A167),"O",IF(SUMPRODUCT((EDW_RAW!$A$2:$A$1500=$A167)*(LEN(EDW_RAW!$U$2:$U$1500)&gt;0))&gt;0,"부분","X")))</f>
        <v/>
      </c>
      <c r="D167" s="5">
        <f>IFERROR(MAX(FILTER(소재DB_RAW!$AK$3:$AK$2000,(소재DB_RAW!$G$3:$G$2000=$A167)*ISERROR(SEARCH("drop",소재DB_RAW!$C$3:$C$2000))*(소재DB_RAW!$AK$3:$AK$2000&lt;&gt;""))),"")</f>
        <v/>
      </c>
      <c r="E167" s="4">
        <f>IF($D167="","",TEXT($D167,"yyyy-mm-dd"))</f>
        <v/>
      </c>
    </row>
    <row r="168">
      <c r="A168" s="4" t="inlineStr">
        <is>
          <t>JWTBM27181</t>
        </is>
      </c>
      <c r="B168" s="4">
        <f>IF(COUNTIF(EDW_RAW!$A$2:$A$1500,$A168)=0,"",IF(SUMPRODUCT((EDW_RAW!$A$2:$A$1500=$A168)*(LEN(EDW_RAW!$R$2:$R$1500)&gt;0))=COUNTIF(EDW_RAW!$A$2:$A$1500,$A168),"O",IF(SUMPRODUCT((EDW_RAW!$A$2:$A$1500=$A168)*(LEN(EDW_RAW!$R$2:$R$1500)&gt;0))&gt;0,"부분","X")))</f>
        <v/>
      </c>
      <c r="C168" s="4">
        <f>IF(COUNTIF(EDW_RAW!$A$2:$A$1500,$A168)=0,"",IF(SUMPRODUCT((EDW_RAW!$A$2:$A$1500=$A168)*(LEN(EDW_RAW!$U$2:$U$1500)&gt;0))=COUNTIF(EDW_RAW!$A$2:$A$1500,$A168),"O",IF(SUMPRODUCT((EDW_RAW!$A$2:$A$1500=$A168)*(LEN(EDW_RAW!$U$2:$U$1500)&gt;0))&gt;0,"부분","X")))</f>
        <v/>
      </c>
      <c r="D168" s="5">
        <f>IFERROR(MAX(FILTER(소재DB_RAW!$AK$3:$AK$2000,(소재DB_RAW!$G$3:$G$2000=$A168)*ISERROR(SEARCH("drop",소재DB_RAW!$C$3:$C$2000))*(소재DB_RAW!$AK$3:$AK$2000&lt;&gt;""))),"")</f>
        <v/>
      </c>
      <c r="E168" s="4">
        <f>IF($D168="","",TEXT($D168,"yyyy-mm-dd"))</f>
        <v/>
      </c>
    </row>
    <row r="169">
      <c r="A169" s="4" t="inlineStr">
        <is>
          <t>JWTCM27183</t>
        </is>
      </c>
      <c r="B169" s="4">
        <f>IF(COUNTIF(EDW_RAW!$A$2:$A$1500,$A169)=0,"",IF(SUMPRODUCT((EDW_RAW!$A$2:$A$1500=$A169)*(LEN(EDW_RAW!$R$2:$R$1500)&gt;0))=COUNTIF(EDW_RAW!$A$2:$A$1500,$A169),"O",IF(SUMPRODUCT((EDW_RAW!$A$2:$A$1500=$A169)*(LEN(EDW_RAW!$R$2:$R$1500)&gt;0))&gt;0,"부분","X")))</f>
        <v/>
      </c>
      <c r="C169" s="4">
        <f>IF(COUNTIF(EDW_RAW!$A$2:$A$1500,$A169)=0,"",IF(SUMPRODUCT((EDW_RAW!$A$2:$A$1500=$A169)*(LEN(EDW_RAW!$U$2:$U$1500)&gt;0))=COUNTIF(EDW_RAW!$A$2:$A$1500,$A169),"O",IF(SUMPRODUCT((EDW_RAW!$A$2:$A$1500=$A169)*(LEN(EDW_RAW!$U$2:$U$1500)&gt;0))&gt;0,"부분","X")))</f>
        <v/>
      </c>
      <c r="D169" s="5">
        <f>IFERROR(MAX(FILTER(소재DB_RAW!$AK$3:$AK$2000,(소재DB_RAW!$G$3:$G$2000=$A169)*ISERROR(SEARCH("drop",소재DB_RAW!$C$3:$C$2000))*(소재DB_RAW!$AK$3:$AK$2000&lt;&gt;""))),"")</f>
        <v/>
      </c>
      <c r="E169" s="4">
        <f>IF($D169="","",TEXT($D169,"yyyy-mm-dd"))</f>
        <v/>
      </c>
    </row>
    <row r="170">
      <c r="A170" s="4" t="inlineStr">
        <is>
          <t>JWTCM27185</t>
        </is>
      </c>
      <c r="B170" s="4">
        <f>IF(COUNTIF(EDW_RAW!$A$2:$A$1500,$A170)=0,"",IF(SUMPRODUCT((EDW_RAW!$A$2:$A$1500=$A170)*(LEN(EDW_RAW!$R$2:$R$1500)&gt;0))=COUNTIF(EDW_RAW!$A$2:$A$1500,$A170),"O",IF(SUMPRODUCT((EDW_RAW!$A$2:$A$1500=$A170)*(LEN(EDW_RAW!$R$2:$R$1500)&gt;0))&gt;0,"부분","X")))</f>
        <v/>
      </c>
      <c r="C170" s="4">
        <f>IF(COUNTIF(EDW_RAW!$A$2:$A$1500,$A170)=0,"",IF(SUMPRODUCT((EDW_RAW!$A$2:$A$1500=$A170)*(LEN(EDW_RAW!$U$2:$U$1500)&gt;0))=COUNTIF(EDW_RAW!$A$2:$A$1500,$A170),"O",IF(SUMPRODUCT((EDW_RAW!$A$2:$A$1500=$A170)*(LEN(EDW_RAW!$U$2:$U$1500)&gt;0))&gt;0,"부분","X")))</f>
        <v/>
      </c>
      <c r="D170" s="5">
        <f>IFERROR(MAX(FILTER(소재DB_RAW!$AK$3:$AK$2000,(소재DB_RAW!$G$3:$G$2000=$A170)*ISERROR(SEARCH("drop",소재DB_RAW!$C$3:$C$2000))*(소재DB_RAW!$AK$3:$AK$2000&lt;&gt;""))),"")</f>
        <v/>
      </c>
      <c r="E170" s="4">
        <f>IF($D170="","",TEXT($D170,"yyyy-mm-dd"))</f>
        <v/>
      </c>
    </row>
    <row r="171">
      <c r="A171" s="4" t="inlineStr">
        <is>
          <t>JWTCM27187</t>
        </is>
      </c>
      <c r="B171" s="4">
        <f>IF(COUNTIF(EDW_RAW!$A$2:$A$1500,$A171)=0,"",IF(SUMPRODUCT((EDW_RAW!$A$2:$A$1500=$A171)*(LEN(EDW_RAW!$R$2:$R$1500)&gt;0))=COUNTIF(EDW_RAW!$A$2:$A$1500,$A171),"O",IF(SUMPRODUCT((EDW_RAW!$A$2:$A$1500=$A171)*(LEN(EDW_RAW!$R$2:$R$1500)&gt;0))&gt;0,"부분","X")))</f>
        <v/>
      </c>
      <c r="C171" s="4">
        <f>IF(COUNTIF(EDW_RAW!$A$2:$A$1500,$A171)=0,"",IF(SUMPRODUCT((EDW_RAW!$A$2:$A$1500=$A171)*(LEN(EDW_RAW!$U$2:$U$1500)&gt;0))=COUNTIF(EDW_RAW!$A$2:$A$1500,$A171),"O",IF(SUMPRODUCT((EDW_RAW!$A$2:$A$1500=$A171)*(LEN(EDW_RAW!$U$2:$U$1500)&gt;0))&gt;0,"부분","X")))</f>
        <v/>
      </c>
      <c r="D171" s="5">
        <f>IFERROR(MAX(FILTER(소재DB_RAW!$AK$3:$AK$2000,(소재DB_RAW!$G$3:$G$2000=$A171)*ISERROR(SEARCH("drop",소재DB_RAW!$C$3:$C$2000))*(소재DB_RAW!$AK$3:$AK$2000&lt;&gt;""))),"")</f>
        <v/>
      </c>
      <c r="E171" s="4">
        <f>IF($D171="","",TEXT($D171,"yyyy-mm-dd"))</f>
        <v/>
      </c>
    </row>
    <row r="172">
      <c r="A172" s="4" t="inlineStr">
        <is>
          <t>JWTCM27191</t>
        </is>
      </c>
      <c r="B172" s="4">
        <f>IF(COUNTIF(EDW_RAW!$A$2:$A$1500,$A172)=0,"",IF(SUMPRODUCT((EDW_RAW!$A$2:$A$1500=$A172)*(LEN(EDW_RAW!$R$2:$R$1500)&gt;0))=COUNTIF(EDW_RAW!$A$2:$A$1500,$A172),"O",IF(SUMPRODUCT((EDW_RAW!$A$2:$A$1500=$A172)*(LEN(EDW_RAW!$R$2:$R$1500)&gt;0))&gt;0,"부분","X")))</f>
        <v/>
      </c>
      <c r="C172" s="4">
        <f>IF(COUNTIF(EDW_RAW!$A$2:$A$1500,$A172)=0,"",IF(SUMPRODUCT((EDW_RAW!$A$2:$A$1500=$A172)*(LEN(EDW_RAW!$U$2:$U$1500)&gt;0))=COUNTIF(EDW_RAW!$A$2:$A$1500,$A172),"O",IF(SUMPRODUCT((EDW_RAW!$A$2:$A$1500=$A172)*(LEN(EDW_RAW!$U$2:$U$1500)&gt;0))&gt;0,"부분","X")))</f>
        <v/>
      </c>
      <c r="D172" s="5">
        <f>IFERROR(MAX(FILTER(소재DB_RAW!$AK$3:$AK$2000,(소재DB_RAW!$G$3:$G$2000=$A172)*ISERROR(SEARCH("drop",소재DB_RAW!$C$3:$C$2000))*(소재DB_RAW!$AK$3:$AK$2000&lt;&gt;""))),"")</f>
        <v/>
      </c>
      <c r="E172" s="4">
        <f>IF($D172="","",TEXT($D172,"yyyy-mm-dd"))</f>
        <v/>
      </c>
    </row>
    <row r="173">
      <c r="A173" s="4" t="inlineStr">
        <is>
          <t>JWTCM27131</t>
        </is>
      </c>
      <c r="B173" s="4">
        <f>IF(COUNTIF(EDW_RAW!$A$2:$A$1500,$A173)=0,"",IF(SUMPRODUCT((EDW_RAW!$A$2:$A$1500=$A173)*(LEN(EDW_RAW!$R$2:$R$1500)&gt;0))=COUNTIF(EDW_RAW!$A$2:$A$1500,$A173),"O",IF(SUMPRODUCT((EDW_RAW!$A$2:$A$1500=$A173)*(LEN(EDW_RAW!$R$2:$R$1500)&gt;0))&gt;0,"부분","X")))</f>
        <v/>
      </c>
      <c r="C173" s="4">
        <f>IF(COUNTIF(EDW_RAW!$A$2:$A$1500,$A173)=0,"",IF(SUMPRODUCT((EDW_RAW!$A$2:$A$1500=$A173)*(LEN(EDW_RAW!$U$2:$U$1500)&gt;0))=COUNTIF(EDW_RAW!$A$2:$A$1500,$A173),"O",IF(SUMPRODUCT((EDW_RAW!$A$2:$A$1500=$A173)*(LEN(EDW_RAW!$U$2:$U$1500)&gt;0))&gt;0,"부분","X")))</f>
        <v/>
      </c>
      <c r="D173" s="5">
        <f>IFERROR(MAX(FILTER(소재DB_RAW!$AK$3:$AK$2000,(소재DB_RAW!$G$3:$G$2000=$A173)*ISERROR(SEARCH("drop",소재DB_RAW!$C$3:$C$2000))*(소재DB_RAW!$AK$3:$AK$2000&lt;&gt;""))),"")</f>
        <v/>
      </c>
      <c r="E173" s="4">
        <f>IF($D173="","",TEXT($D173,"yyyy-mm-dd"))</f>
        <v/>
      </c>
    </row>
    <row r="174">
      <c r="A174" s="4" t="inlineStr">
        <is>
          <t>JWTCM27133</t>
        </is>
      </c>
      <c r="B174" s="4">
        <f>IF(COUNTIF(EDW_RAW!$A$2:$A$1500,$A174)=0,"",IF(SUMPRODUCT((EDW_RAW!$A$2:$A$1500=$A174)*(LEN(EDW_RAW!$R$2:$R$1500)&gt;0))=COUNTIF(EDW_RAW!$A$2:$A$1500,$A174),"O",IF(SUMPRODUCT((EDW_RAW!$A$2:$A$1500=$A174)*(LEN(EDW_RAW!$R$2:$R$1500)&gt;0))&gt;0,"부분","X")))</f>
        <v/>
      </c>
      <c r="C174" s="4">
        <f>IF(COUNTIF(EDW_RAW!$A$2:$A$1500,$A174)=0,"",IF(SUMPRODUCT((EDW_RAW!$A$2:$A$1500=$A174)*(LEN(EDW_RAW!$U$2:$U$1500)&gt;0))=COUNTIF(EDW_RAW!$A$2:$A$1500,$A174),"O",IF(SUMPRODUCT((EDW_RAW!$A$2:$A$1500=$A174)*(LEN(EDW_RAW!$U$2:$U$1500)&gt;0))&gt;0,"부분","X")))</f>
        <v/>
      </c>
      <c r="D174" s="5">
        <f>IFERROR(MAX(FILTER(소재DB_RAW!$AK$3:$AK$2000,(소재DB_RAW!$G$3:$G$2000=$A174)*ISERROR(SEARCH("drop",소재DB_RAW!$C$3:$C$2000))*(소재DB_RAW!$AK$3:$AK$2000&lt;&gt;""))),"")</f>
        <v/>
      </c>
      <c r="E174" s="4">
        <f>IF($D174="","",TEXT($D174,"yyyy-mm-dd"))</f>
        <v/>
      </c>
    </row>
    <row r="175">
      <c r="A175" s="4" t="inlineStr">
        <is>
          <t>JWTCM27135</t>
        </is>
      </c>
      <c r="B175" s="4">
        <f>IF(COUNTIF(EDW_RAW!$A$2:$A$1500,$A175)=0,"",IF(SUMPRODUCT((EDW_RAW!$A$2:$A$1500=$A175)*(LEN(EDW_RAW!$R$2:$R$1500)&gt;0))=COUNTIF(EDW_RAW!$A$2:$A$1500,$A175),"O",IF(SUMPRODUCT((EDW_RAW!$A$2:$A$1500=$A175)*(LEN(EDW_RAW!$R$2:$R$1500)&gt;0))&gt;0,"부분","X")))</f>
        <v/>
      </c>
      <c r="C175" s="4">
        <f>IF(COUNTIF(EDW_RAW!$A$2:$A$1500,$A175)=0,"",IF(SUMPRODUCT((EDW_RAW!$A$2:$A$1500=$A175)*(LEN(EDW_RAW!$U$2:$U$1500)&gt;0))=COUNTIF(EDW_RAW!$A$2:$A$1500,$A175),"O",IF(SUMPRODUCT((EDW_RAW!$A$2:$A$1500=$A175)*(LEN(EDW_RAW!$U$2:$U$1500)&gt;0))&gt;0,"부분","X")))</f>
        <v/>
      </c>
      <c r="D175" s="5">
        <f>IFERROR(MAX(FILTER(소재DB_RAW!$AK$3:$AK$2000,(소재DB_RAW!$G$3:$G$2000=$A175)*ISERROR(SEARCH("drop",소재DB_RAW!$C$3:$C$2000))*(소재DB_RAW!$AK$3:$AK$2000&lt;&gt;""))),"")</f>
        <v/>
      </c>
      <c r="E175" s="4">
        <f>IF($D175="","",TEXT($D175,"yyyy-mm-dd"))</f>
        <v/>
      </c>
    </row>
    <row r="176">
      <c r="A176" s="4" t="inlineStr">
        <is>
          <t>JWTCM27137</t>
        </is>
      </c>
      <c r="B176" s="4">
        <f>IF(COUNTIF(EDW_RAW!$A$2:$A$1500,$A176)=0,"",IF(SUMPRODUCT((EDW_RAW!$A$2:$A$1500=$A176)*(LEN(EDW_RAW!$R$2:$R$1500)&gt;0))=COUNTIF(EDW_RAW!$A$2:$A$1500,$A176),"O",IF(SUMPRODUCT((EDW_RAW!$A$2:$A$1500=$A176)*(LEN(EDW_RAW!$R$2:$R$1500)&gt;0))&gt;0,"부분","X")))</f>
        <v/>
      </c>
      <c r="C176" s="4">
        <f>IF(COUNTIF(EDW_RAW!$A$2:$A$1500,$A176)=0,"",IF(SUMPRODUCT((EDW_RAW!$A$2:$A$1500=$A176)*(LEN(EDW_RAW!$U$2:$U$1500)&gt;0))=COUNTIF(EDW_RAW!$A$2:$A$1500,$A176),"O",IF(SUMPRODUCT((EDW_RAW!$A$2:$A$1500=$A176)*(LEN(EDW_RAW!$U$2:$U$1500)&gt;0))&gt;0,"부분","X")))</f>
        <v/>
      </c>
      <c r="D176" s="5">
        <f>IFERROR(MAX(FILTER(소재DB_RAW!$AK$3:$AK$2000,(소재DB_RAW!$G$3:$G$2000=$A176)*ISERROR(SEARCH("drop",소재DB_RAW!$C$3:$C$2000))*(소재DB_RAW!$AK$3:$AK$2000&lt;&gt;""))),"")</f>
        <v/>
      </c>
      <c r="E176" s="4">
        <f>IF($D176="","",TEXT($D176,"yyyy-mm-dd"))</f>
        <v/>
      </c>
    </row>
    <row r="177">
      <c r="A177" s="4" t="inlineStr">
        <is>
          <t>JWJJM27301</t>
        </is>
      </c>
      <c r="B177" s="4">
        <f>IF(COUNTIF(EDW_RAW!$A$2:$A$1500,$A177)=0,"",IF(SUMPRODUCT((EDW_RAW!$A$2:$A$1500=$A177)*(LEN(EDW_RAW!$R$2:$R$1500)&gt;0))=COUNTIF(EDW_RAW!$A$2:$A$1500,$A177),"O",IF(SUMPRODUCT((EDW_RAW!$A$2:$A$1500=$A177)*(LEN(EDW_RAW!$R$2:$R$1500)&gt;0))&gt;0,"부분","X")))</f>
        <v/>
      </c>
      <c r="C177" s="4">
        <f>IF(COUNTIF(EDW_RAW!$A$2:$A$1500,$A177)=0,"",IF(SUMPRODUCT((EDW_RAW!$A$2:$A$1500=$A177)*(LEN(EDW_RAW!$U$2:$U$1500)&gt;0))=COUNTIF(EDW_RAW!$A$2:$A$1500,$A177),"O",IF(SUMPRODUCT((EDW_RAW!$A$2:$A$1500=$A177)*(LEN(EDW_RAW!$U$2:$U$1500)&gt;0))&gt;0,"부분","X")))</f>
        <v/>
      </c>
      <c r="D177" s="5">
        <f>IFERROR(MAX(FILTER(소재DB_RAW!$AK$3:$AK$2000,(소재DB_RAW!$G$3:$G$2000=$A177)*ISERROR(SEARCH("drop",소재DB_RAW!$C$3:$C$2000))*(소재DB_RAW!$AK$3:$AK$2000&lt;&gt;""))),"")</f>
        <v/>
      </c>
      <c r="E177" s="4">
        <f>IF($D177="","",TEXT($D177,"yyyy-mm-dd"))</f>
        <v/>
      </c>
    </row>
    <row r="178">
      <c r="A178" s="4" t="inlineStr">
        <is>
          <t>JWJJM27373</t>
        </is>
      </c>
      <c r="B178" s="4">
        <f>IF(COUNTIF(EDW_RAW!$A$2:$A$1500,$A178)=0,"",IF(SUMPRODUCT((EDW_RAW!$A$2:$A$1500=$A178)*(LEN(EDW_RAW!$R$2:$R$1500)&gt;0))=COUNTIF(EDW_RAW!$A$2:$A$1500,$A178),"O",IF(SUMPRODUCT((EDW_RAW!$A$2:$A$1500=$A178)*(LEN(EDW_RAW!$R$2:$R$1500)&gt;0))&gt;0,"부분","X")))</f>
        <v/>
      </c>
      <c r="C178" s="4">
        <f>IF(COUNTIF(EDW_RAW!$A$2:$A$1500,$A178)=0,"",IF(SUMPRODUCT((EDW_RAW!$A$2:$A$1500=$A178)*(LEN(EDW_RAW!$U$2:$U$1500)&gt;0))=COUNTIF(EDW_RAW!$A$2:$A$1500,$A178),"O",IF(SUMPRODUCT((EDW_RAW!$A$2:$A$1500=$A178)*(LEN(EDW_RAW!$U$2:$U$1500)&gt;0))&gt;0,"부분","X")))</f>
        <v/>
      </c>
      <c r="D178" s="5">
        <f>IFERROR(MAX(FILTER(소재DB_RAW!$AK$3:$AK$2000,(소재DB_RAW!$G$3:$G$2000=$A178)*ISERROR(SEARCH("drop",소재DB_RAW!$C$3:$C$2000))*(소재DB_RAW!$AK$3:$AK$2000&lt;&gt;""))),"")</f>
        <v/>
      </c>
      <c r="E178" s="4">
        <f>IF($D178="","",TEXT($D178,"yyyy-mm-dd"))</f>
        <v/>
      </c>
    </row>
    <row r="179">
      <c r="A179" s="4" t="inlineStr">
        <is>
          <t>JWJJM27371</t>
        </is>
      </c>
      <c r="B179" s="4">
        <f>IF(COUNTIF(EDW_RAW!$A$2:$A$1500,$A179)=0,"",IF(SUMPRODUCT((EDW_RAW!$A$2:$A$1500=$A179)*(LEN(EDW_RAW!$R$2:$R$1500)&gt;0))=COUNTIF(EDW_RAW!$A$2:$A$1500,$A179),"O",IF(SUMPRODUCT((EDW_RAW!$A$2:$A$1500=$A179)*(LEN(EDW_RAW!$R$2:$R$1500)&gt;0))&gt;0,"부분","X")))</f>
        <v/>
      </c>
      <c r="C179" s="4">
        <f>IF(COUNTIF(EDW_RAW!$A$2:$A$1500,$A179)=0,"",IF(SUMPRODUCT((EDW_RAW!$A$2:$A$1500=$A179)*(LEN(EDW_RAW!$U$2:$U$1500)&gt;0))=COUNTIF(EDW_RAW!$A$2:$A$1500,$A179),"O",IF(SUMPRODUCT((EDW_RAW!$A$2:$A$1500=$A179)*(LEN(EDW_RAW!$U$2:$U$1500)&gt;0))&gt;0,"부분","X")))</f>
        <v/>
      </c>
      <c r="D179" s="5">
        <f>IFERROR(MAX(FILTER(소재DB_RAW!$AK$3:$AK$2000,(소재DB_RAW!$G$3:$G$2000=$A179)*ISERROR(SEARCH("drop",소재DB_RAW!$C$3:$C$2000))*(소재DB_RAW!$AK$3:$AK$2000&lt;&gt;""))),"")</f>
        <v/>
      </c>
      <c r="E179" s="4">
        <f>IF($D179="","",TEXT($D179,"yyyy-mm-dd"))</f>
        <v/>
      </c>
    </row>
    <row r="180">
      <c r="A180" s="4" t="inlineStr">
        <is>
          <t>JWJJM27375</t>
        </is>
      </c>
      <c r="B180" s="4">
        <f>IF(COUNTIF(EDW_RAW!$A$2:$A$1500,$A180)=0,"",IF(SUMPRODUCT((EDW_RAW!$A$2:$A$1500=$A180)*(LEN(EDW_RAW!$R$2:$R$1500)&gt;0))=COUNTIF(EDW_RAW!$A$2:$A$1500,$A180),"O",IF(SUMPRODUCT((EDW_RAW!$A$2:$A$1500=$A180)*(LEN(EDW_RAW!$R$2:$R$1500)&gt;0))&gt;0,"부분","X")))</f>
        <v/>
      </c>
      <c r="C180" s="4">
        <f>IF(COUNTIF(EDW_RAW!$A$2:$A$1500,$A180)=0,"",IF(SUMPRODUCT((EDW_RAW!$A$2:$A$1500=$A180)*(LEN(EDW_RAW!$U$2:$U$1500)&gt;0))=COUNTIF(EDW_RAW!$A$2:$A$1500,$A180),"O",IF(SUMPRODUCT((EDW_RAW!$A$2:$A$1500=$A180)*(LEN(EDW_RAW!$U$2:$U$1500)&gt;0))&gt;0,"부분","X")))</f>
        <v/>
      </c>
      <c r="D180" s="5">
        <f>IFERROR(MAX(FILTER(소재DB_RAW!$AK$3:$AK$2000,(소재DB_RAW!$G$3:$G$2000=$A180)*ISERROR(SEARCH("drop",소재DB_RAW!$C$3:$C$2000))*(소재DB_RAW!$AK$3:$AK$2000&lt;&gt;""))),"")</f>
        <v/>
      </c>
      <c r="E180" s="4">
        <f>IF($D180="","",TEXT($D180,"yyyy-mm-dd"))</f>
        <v/>
      </c>
    </row>
    <row r="181">
      <c r="A181" s="4" t="inlineStr">
        <is>
          <t>JWVAM27371</t>
        </is>
      </c>
      <c r="B181" s="4">
        <f>IF(COUNTIF(EDW_RAW!$A$2:$A$1500,$A181)=0,"",IF(SUMPRODUCT((EDW_RAW!$A$2:$A$1500=$A181)*(LEN(EDW_RAW!$R$2:$R$1500)&gt;0))=COUNTIF(EDW_RAW!$A$2:$A$1500,$A181),"O",IF(SUMPRODUCT((EDW_RAW!$A$2:$A$1500=$A181)*(LEN(EDW_RAW!$R$2:$R$1500)&gt;0))&gt;0,"부분","X")))</f>
        <v/>
      </c>
      <c r="C181" s="4">
        <f>IF(COUNTIF(EDW_RAW!$A$2:$A$1500,$A181)=0,"",IF(SUMPRODUCT((EDW_RAW!$A$2:$A$1500=$A181)*(LEN(EDW_RAW!$U$2:$U$1500)&gt;0))=COUNTIF(EDW_RAW!$A$2:$A$1500,$A181),"O",IF(SUMPRODUCT((EDW_RAW!$A$2:$A$1500=$A181)*(LEN(EDW_RAW!$U$2:$U$1500)&gt;0))&gt;0,"부분","X")))</f>
        <v/>
      </c>
      <c r="D181" s="5">
        <f>IFERROR(MAX(FILTER(소재DB_RAW!$AK$3:$AK$2000,(소재DB_RAW!$G$3:$G$2000=$A181)*ISERROR(SEARCH("drop",소재DB_RAW!$C$3:$C$2000))*(소재DB_RAW!$AK$3:$AK$2000&lt;&gt;""))),"")</f>
        <v/>
      </c>
      <c r="E181" s="4">
        <f>IF($D181="","",TEXT($D181,"yyyy-mm-dd"))</f>
        <v/>
      </c>
    </row>
    <row r="182">
      <c r="A182" s="4" t="inlineStr">
        <is>
          <t>JWTBM27301</t>
        </is>
      </c>
      <c r="B182" s="4">
        <f>IF(COUNTIF(EDW_RAW!$A$2:$A$1500,$A182)=0,"",IF(SUMPRODUCT((EDW_RAW!$A$2:$A$1500=$A182)*(LEN(EDW_RAW!$R$2:$R$1500)&gt;0))=COUNTIF(EDW_RAW!$A$2:$A$1500,$A182),"O",IF(SUMPRODUCT((EDW_RAW!$A$2:$A$1500=$A182)*(LEN(EDW_RAW!$R$2:$R$1500)&gt;0))&gt;0,"부분","X")))</f>
        <v/>
      </c>
      <c r="C182" s="4">
        <f>IF(COUNTIF(EDW_RAW!$A$2:$A$1500,$A182)=0,"",IF(SUMPRODUCT((EDW_RAW!$A$2:$A$1500=$A182)*(LEN(EDW_RAW!$U$2:$U$1500)&gt;0))=COUNTIF(EDW_RAW!$A$2:$A$1500,$A182),"O",IF(SUMPRODUCT((EDW_RAW!$A$2:$A$1500=$A182)*(LEN(EDW_RAW!$U$2:$U$1500)&gt;0))&gt;0,"부분","X")))</f>
        <v/>
      </c>
      <c r="D182" s="5">
        <f>IFERROR(MAX(FILTER(소재DB_RAW!$AK$3:$AK$2000,(소재DB_RAW!$G$3:$G$2000=$A182)*ISERROR(SEARCH("drop",소재DB_RAW!$C$3:$C$2000))*(소재DB_RAW!$AK$3:$AK$2000&lt;&gt;""))),"")</f>
        <v/>
      </c>
      <c r="E182" s="4">
        <f>IF($D182="","",TEXT($D182,"yyyy-mm-dd"))</f>
        <v/>
      </c>
    </row>
    <row r="183">
      <c r="A183" s="4" t="inlineStr">
        <is>
          <t>JWTBM27311</t>
        </is>
      </c>
      <c r="B183" s="4">
        <f>IF(COUNTIF(EDW_RAW!$A$2:$A$1500,$A183)=0,"",IF(SUMPRODUCT((EDW_RAW!$A$2:$A$1500=$A183)*(LEN(EDW_RAW!$R$2:$R$1500)&gt;0))=COUNTIF(EDW_RAW!$A$2:$A$1500,$A183),"O",IF(SUMPRODUCT((EDW_RAW!$A$2:$A$1500=$A183)*(LEN(EDW_RAW!$R$2:$R$1500)&gt;0))&gt;0,"부분","X")))</f>
        <v/>
      </c>
      <c r="C183" s="4">
        <f>IF(COUNTIF(EDW_RAW!$A$2:$A$1500,$A183)=0,"",IF(SUMPRODUCT((EDW_RAW!$A$2:$A$1500=$A183)*(LEN(EDW_RAW!$U$2:$U$1500)&gt;0))=COUNTIF(EDW_RAW!$A$2:$A$1500,$A183),"O",IF(SUMPRODUCT((EDW_RAW!$A$2:$A$1500=$A183)*(LEN(EDW_RAW!$U$2:$U$1500)&gt;0))&gt;0,"부분","X")))</f>
        <v/>
      </c>
      <c r="D183" s="5">
        <f>IFERROR(MAX(FILTER(소재DB_RAW!$AK$3:$AK$2000,(소재DB_RAW!$G$3:$G$2000=$A183)*ISERROR(SEARCH("drop",소재DB_RAW!$C$3:$C$2000))*(소재DB_RAW!$AK$3:$AK$2000&lt;&gt;""))),"")</f>
        <v/>
      </c>
      <c r="E183" s="4">
        <f>IF($D183="","",TEXT($D183,"yyyy-mm-dd"))</f>
        <v/>
      </c>
    </row>
    <row r="184">
      <c r="A184" s="4" t="inlineStr">
        <is>
          <t>JWTCM27321</t>
        </is>
      </c>
      <c r="B184" s="4">
        <f>IF(COUNTIF(EDW_RAW!$A$2:$A$1500,$A184)=0,"",IF(SUMPRODUCT((EDW_RAW!$A$2:$A$1500=$A184)*(LEN(EDW_RAW!$R$2:$R$1500)&gt;0))=COUNTIF(EDW_RAW!$A$2:$A$1500,$A184),"O",IF(SUMPRODUCT((EDW_RAW!$A$2:$A$1500=$A184)*(LEN(EDW_RAW!$R$2:$R$1500)&gt;0))&gt;0,"부분","X")))</f>
        <v/>
      </c>
      <c r="C184" s="4">
        <f>IF(COUNTIF(EDW_RAW!$A$2:$A$1500,$A184)=0,"",IF(SUMPRODUCT((EDW_RAW!$A$2:$A$1500=$A184)*(LEN(EDW_RAW!$U$2:$U$1500)&gt;0))=COUNTIF(EDW_RAW!$A$2:$A$1500,$A184),"O",IF(SUMPRODUCT((EDW_RAW!$A$2:$A$1500=$A184)*(LEN(EDW_RAW!$U$2:$U$1500)&gt;0))&gt;0,"부분","X")))</f>
        <v/>
      </c>
      <c r="D184" s="5">
        <f>IFERROR(MAX(FILTER(소재DB_RAW!$AK$3:$AK$2000,(소재DB_RAW!$G$3:$G$2000=$A184)*ISERROR(SEARCH("drop",소재DB_RAW!$C$3:$C$2000))*(소재DB_RAW!$AK$3:$AK$2000&lt;&gt;""))),"")</f>
        <v/>
      </c>
      <c r="E184" s="4">
        <f>IF($D184="","",TEXT($D184,"yyyy-mm-dd"))</f>
        <v/>
      </c>
    </row>
    <row r="185">
      <c r="A185" s="4" t="inlineStr">
        <is>
          <t>JWVAM27301</t>
        </is>
      </c>
      <c r="B185" s="4">
        <f>IF(COUNTIF(EDW_RAW!$A$2:$A$1500,$A185)=0,"",IF(SUMPRODUCT((EDW_RAW!$A$2:$A$1500=$A185)*(LEN(EDW_RAW!$R$2:$R$1500)&gt;0))=COUNTIF(EDW_RAW!$A$2:$A$1500,$A185),"O",IF(SUMPRODUCT((EDW_RAW!$A$2:$A$1500=$A185)*(LEN(EDW_RAW!$R$2:$R$1500)&gt;0))&gt;0,"부분","X")))</f>
        <v/>
      </c>
      <c r="C185" s="4">
        <f>IF(COUNTIF(EDW_RAW!$A$2:$A$1500,$A185)=0,"",IF(SUMPRODUCT((EDW_RAW!$A$2:$A$1500=$A185)*(LEN(EDW_RAW!$U$2:$U$1500)&gt;0))=COUNTIF(EDW_RAW!$A$2:$A$1500,$A185),"O",IF(SUMPRODUCT((EDW_RAW!$A$2:$A$1500=$A185)*(LEN(EDW_RAW!$U$2:$U$1500)&gt;0))&gt;0,"부분","X")))</f>
        <v/>
      </c>
      <c r="D185" s="5">
        <f>IFERROR(MAX(FILTER(소재DB_RAW!$AK$3:$AK$2000,(소재DB_RAW!$G$3:$G$2000=$A185)*ISERROR(SEARCH("drop",소재DB_RAW!$C$3:$C$2000))*(소재DB_RAW!$AK$3:$AK$2000&lt;&gt;""))),"")</f>
        <v/>
      </c>
      <c r="E185" s="4">
        <f>IF($D185="","",TEXT($D185,"yyyy-mm-dd"))</f>
        <v/>
      </c>
    </row>
    <row r="186">
      <c r="A186" s="4" t="inlineStr">
        <is>
          <t>JWJJM27351</t>
        </is>
      </c>
      <c r="B186" s="4">
        <f>IF(COUNTIF(EDW_RAW!$A$2:$A$1500,$A186)=0,"",IF(SUMPRODUCT((EDW_RAW!$A$2:$A$1500=$A186)*(LEN(EDW_RAW!$R$2:$R$1500)&gt;0))=COUNTIF(EDW_RAW!$A$2:$A$1500,$A186),"O",IF(SUMPRODUCT((EDW_RAW!$A$2:$A$1500=$A186)*(LEN(EDW_RAW!$R$2:$R$1500)&gt;0))&gt;0,"부분","X")))</f>
        <v/>
      </c>
      <c r="C186" s="4">
        <f>IF(COUNTIF(EDW_RAW!$A$2:$A$1500,$A186)=0,"",IF(SUMPRODUCT((EDW_RAW!$A$2:$A$1500=$A186)*(LEN(EDW_RAW!$U$2:$U$1500)&gt;0))=COUNTIF(EDW_RAW!$A$2:$A$1500,$A186),"O",IF(SUMPRODUCT((EDW_RAW!$A$2:$A$1500=$A186)*(LEN(EDW_RAW!$U$2:$U$1500)&gt;0))&gt;0,"부분","X")))</f>
        <v/>
      </c>
      <c r="D186" s="5">
        <f>IFERROR(MAX(FILTER(소재DB_RAW!$AK$3:$AK$2000,(소재DB_RAW!$G$3:$G$2000=$A186)*ISERROR(SEARCH("drop",소재DB_RAW!$C$3:$C$2000))*(소재DB_RAW!$AK$3:$AK$2000&lt;&gt;""))),"")</f>
        <v/>
      </c>
      <c r="E186" s="4">
        <f>IF($D186="","",TEXT($D186,"yyyy-mm-dd"))</f>
        <v/>
      </c>
    </row>
    <row r="187">
      <c r="A187" s="4" t="inlineStr">
        <is>
          <t>JWTBM27351</t>
        </is>
      </c>
      <c r="B187" s="4">
        <f>IF(COUNTIF(EDW_RAW!$A$2:$A$1500,$A187)=0,"",IF(SUMPRODUCT((EDW_RAW!$A$2:$A$1500=$A187)*(LEN(EDW_RAW!$R$2:$R$1500)&gt;0))=COUNTIF(EDW_RAW!$A$2:$A$1500,$A187),"O",IF(SUMPRODUCT((EDW_RAW!$A$2:$A$1500=$A187)*(LEN(EDW_RAW!$R$2:$R$1500)&gt;0))&gt;0,"부분","X")))</f>
        <v/>
      </c>
      <c r="C187" s="4">
        <f>IF(COUNTIF(EDW_RAW!$A$2:$A$1500,$A187)=0,"",IF(SUMPRODUCT((EDW_RAW!$A$2:$A$1500=$A187)*(LEN(EDW_RAW!$U$2:$U$1500)&gt;0))=COUNTIF(EDW_RAW!$A$2:$A$1500,$A187),"O",IF(SUMPRODUCT((EDW_RAW!$A$2:$A$1500=$A187)*(LEN(EDW_RAW!$U$2:$U$1500)&gt;0))&gt;0,"부분","X")))</f>
        <v/>
      </c>
      <c r="D187" s="5">
        <f>IFERROR(MAX(FILTER(소재DB_RAW!$AK$3:$AK$2000,(소재DB_RAW!$G$3:$G$2000=$A187)*ISERROR(SEARCH("drop",소재DB_RAW!$C$3:$C$2000))*(소재DB_RAW!$AK$3:$AK$2000&lt;&gt;""))),"")</f>
        <v/>
      </c>
      <c r="E187" s="4">
        <f>IF($D187="","",TEXT($D187,"yyyy-mm-dd"))</f>
        <v/>
      </c>
    </row>
    <row r="188">
      <c r="A188" s="4" t="inlineStr">
        <is>
          <t>JWPNM27351</t>
        </is>
      </c>
      <c r="B188" s="4">
        <f>IF(COUNTIF(EDW_RAW!$A$2:$A$1500,$A188)=0,"",IF(SUMPRODUCT((EDW_RAW!$A$2:$A$1500=$A188)*(LEN(EDW_RAW!$R$2:$R$1500)&gt;0))=COUNTIF(EDW_RAW!$A$2:$A$1500,$A188),"O",IF(SUMPRODUCT((EDW_RAW!$A$2:$A$1500=$A188)*(LEN(EDW_RAW!$R$2:$R$1500)&gt;0))&gt;0,"부분","X")))</f>
        <v/>
      </c>
      <c r="C188" s="4">
        <f>IF(COUNTIF(EDW_RAW!$A$2:$A$1500,$A188)=0,"",IF(SUMPRODUCT((EDW_RAW!$A$2:$A$1500=$A188)*(LEN(EDW_RAW!$U$2:$U$1500)&gt;0))=COUNTIF(EDW_RAW!$A$2:$A$1500,$A188),"O",IF(SUMPRODUCT((EDW_RAW!$A$2:$A$1500=$A188)*(LEN(EDW_RAW!$U$2:$U$1500)&gt;0))&gt;0,"부분","X")))</f>
        <v/>
      </c>
      <c r="D188" s="5">
        <f>IFERROR(MAX(FILTER(소재DB_RAW!$AK$3:$AK$2000,(소재DB_RAW!$G$3:$G$2000=$A188)*ISERROR(SEARCH("drop",소재DB_RAW!$C$3:$C$2000))*(소재DB_RAW!$AK$3:$AK$2000&lt;&gt;""))),"")</f>
        <v/>
      </c>
      <c r="E188" s="4">
        <f>IF($D188="","",TEXT($D188,"yyyy-mm-dd"))</f>
        <v/>
      </c>
    </row>
    <row r="189">
      <c r="A189" s="4" t="inlineStr">
        <is>
          <t>JKJJM27374</t>
        </is>
      </c>
      <c r="B189" s="4">
        <f>IF(COUNTIF(EDW_RAW!$A$2:$A$1500,$A189)=0,"",IF(SUMPRODUCT((EDW_RAW!$A$2:$A$1500=$A189)*(LEN(EDW_RAW!$R$2:$R$1500)&gt;0))=COUNTIF(EDW_RAW!$A$2:$A$1500,$A189),"O",IF(SUMPRODUCT((EDW_RAW!$A$2:$A$1500=$A189)*(LEN(EDW_RAW!$R$2:$R$1500)&gt;0))&gt;0,"부분","X")))</f>
        <v/>
      </c>
      <c r="C189" s="4">
        <f>IF(COUNTIF(EDW_RAW!$A$2:$A$1500,$A189)=0,"",IF(SUMPRODUCT((EDW_RAW!$A$2:$A$1500=$A189)*(LEN(EDW_RAW!$U$2:$U$1500)&gt;0))=COUNTIF(EDW_RAW!$A$2:$A$1500,$A189),"O",IF(SUMPRODUCT((EDW_RAW!$A$2:$A$1500=$A189)*(LEN(EDW_RAW!$U$2:$U$1500)&gt;0))&gt;0,"부분","X")))</f>
        <v/>
      </c>
      <c r="D189" s="5">
        <f>IFERROR(MAX(FILTER(소재DB_RAW!$AK$3:$AK$2000,(소재DB_RAW!$G$3:$G$2000=$A189)*ISERROR(SEARCH("drop",소재DB_RAW!$C$3:$C$2000))*(소재DB_RAW!$AK$3:$AK$2000&lt;&gt;""))),"")</f>
        <v/>
      </c>
      <c r="E189" s="4">
        <f>IF($D189="","",TEXT($D189,"yyyy-mm-dd"))</f>
        <v/>
      </c>
    </row>
    <row r="190">
      <c r="A190" s="4" t="inlineStr">
        <is>
          <t>JKJJM27372</t>
        </is>
      </c>
      <c r="B190" s="4">
        <f>IF(COUNTIF(EDW_RAW!$A$2:$A$1500,$A190)=0,"",IF(SUMPRODUCT((EDW_RAW!$A$2:$A$1500=$A190)*(LEN(EDW_RAW!$R$2:$R$1500)&gt;0))=COUNTIF(EDW_RAW!$A$2:$A$1500,$A190),"O",IF(SUMPRODUCT((EDW_RAW!$A$2:$A$1500=$A190)*(LEN(EDW_RAW!$R$2:$R$1500)&gt;0))&gt;0,"부분","X")))</f>
        <v/>
      </c>
      <c r="C190" s="4">
        <f>IF(COUNTIF(EDW_RAW!$A$2:$A$1500,$A190)=0,"",IF(SUMPRODUCT((EDW_RAW!$A$2:$A$1500=$A190)*(LEN(EDW_RAW!$U$2:$U$1500)&gt;0))=COUNTIF(EDW_RAW!$A$2:$A$1500,$A190),"O",IF(SUMPRODUCT((EDW_RAW!$A$2:$A$1500=$A190)*(LEN(EDW_RAW!$U$2:$U$1500)&gt;0))&gt;0,"부분","X")))</f>
        <v/>
      </c>
      <c r="D190" s="5">
        <f>IFERROR(MAX(FILTER(소재DB_RAW!$AK$3:$AK$2000,(소재DB_RAW!$G$3:$G$2000=$A190)*ISERROR(SEARCH("drop",소재DB_RAW!$C$3:$C$2000))*(소재DB_RAW!$AK$3:$AK$2000&lt;&gt;""))),"")</f>
        <v/>
      </c>
      <c r="E190" s="4">
        <f>IF($D190="","",TEXT($D190,"yyyy-mm-dd"))</f>
        <v/>
      </c>
    </row>
    <row r="191">
      <c r="A191" s="4" t="inlineStr">
        <is>
          <t>JKJJM27376</t>
        </is>
      </c>
      <c r="B191" s="4">
        <f>IF(COUNTIF(EDW_RAW!$A$2:$A$1500,$A191)=0,"",IF(SUMPRODUCT((EDW_RAW!$A$2:$A$1500=$A191)*(LEN(EDW_RAW!$R$2:$R$1500)&gt;0))=COUNTIF(EDW_RAW!$A$2:$A$1500,$A191),"O",IF(SUMPRODUCT((EDW_RAW!$A$2:$A$1500=$A191)*(LEN(EDW_RAW!$R$2:$R$1500)&gt;0))&gt;0,"부분","X")))</f>
        <v/>
      </c>
      <c r="C191" s="4">
        <f>IF(COUNTIF(EDW_RAW!$A$2:$A$1500,$A191)=0,"",IF(SUMPRODUCT((EDW_RAW!$A$2:$A$1500=$A191)*(LEN(EDW_RAW!$U$2:$U$1500)&gt;0))=COUNTIF(EDW_RAW!$A$2:$A$1500,$A191),"O",IF(SUMPRODUCT((EDW_RAW!$A$2:$A$1500=$A191)*(LEN(EDW_RAW!$U$2:$U$1500)&gt;0))&gt;0,"부분","X")))</f>
        <v/>
      </c>
      <c r="D191" s="5">
        <f>IFERROR(MAX(FILTER(소재DB_RAW!$AK$3:$AK$2000,(소재DB_RAW!$G$3:$G$2000=$A191)*ISERROR(SEARCH("drop",소재DB_RAW!$C$3:$C$2000))*(소재DB_RAW!$AK$3:$AK$2000&lt;&gt;""))),"")</f>
        <v/>
      </c>
      <c r="E191" s="4">
        <f>IF($D191="","",TEXT($D191,"yyyy-mm-dd"))</f>
        <v/>
      </c>
    </row>
    <row r="192">
      <c r="A192" s="4" t="inlineStr">
        <is>
          <t>JKVAM27372</t>
        </is>
      </c>
      <c r="B192" s="4">
        <f>IF(COUNTIF(EDW_RAW!$A$2:$A$1500,$A192)=0,"",IF(SUMPRODUCT((EDW_RAW!$A$2:$A$1500=$A192)*(LEN(EDW_RAW!$R$2:$R$1500)&gt;0))=COUNTIF(EDW_RAW!$A$2:$A$1500,$A192),"O",IF(SUMPRODUCT((EDW_RAW!$A$2:$A$1500=$A192)*(LEN(EDW_RAW!$R$2:$R$1500)&gt;0))&gt;0,"부분","X")))</f>
        <v/>
      </c>
      <c r="C192" s="4">
        <f>IF(COUNTIF(EDW_RAW!$A$2:$A$1500,$A192)=0,"",IF(SUMPRODUCT((EDW_RAW!$A$2:$A$1500=$A192)*(LEN(EDW_RAW!$U$2:$U$1500)&gt;0))=COUNTIF(EDW_RAW!$A$2:$A$1500,$A192),"O",IF(SUMPRODUCT((EDW_RAW!$A$2:$A$1500=$A192)*(LEN(EDW_RAW!$U$2:$U$1500)&gt;0))&gt;0,"부분","X")))</f>
        <v/>
      </c>
      <c r="D192" s="5">
        <f>IFERROR(MAX(FILTER(소재DB_RAW!$AK$3:$AK$2000,(소재DB_RAW!$G$3:$G$2000=$A192)*ISERROR(SEARCH("drop",소재DB_RAW!$C$3:$C$2000))*(소재DB_RAW!$AK$3:$AK$2000&lt;&gt;""))),"")</f>
        <v/>
      </c>
      <c r="E192" s="4">
        <f>IF($D192="","",TEXT($D192,"yyyy-mm-dd"))</f>
        <v/>
      </c>
    </row>
    <row r="193">
      <c r="A193" s="4" t="inlineStr">
        <is>
          <t>JKTBM27302</t>
        </is>
      </c>
      <c r="B193" s="4">
        <f>IF(COUNTIF(EDW_RAW!$A$2:$A$1500,$A193)=0,"",IF(SUMPRODUCT((EDW_RAW!$A$2:$A$1500=$A193)*(LEN(EDW_RAW!$R$2:$R$1500)&gt;0))=COUNTIF(EDW_RAW!$A$2:$A$1500,$A193),"O",IF(SUMPRODUCT((EDW_RAW!$A$2:$A$1500=$A193)*(LEN(EDW_RAW!$R$2:$R$1500)&gt;0))&gt;0,"부분","X")))</f>
        <v/>
      </c>
      <c r="C193" s="4">
        <f>IF(COUNTIF(EDW_RAW!$A$2:$A$1500,$A193)=0,"",IF(SUMPRODUCT((EDW_RAW!$A$2:$A$1500=$A193)*(LEN(EDW_RAW!$U$2:$U$1500)&gt;0))=COUNTIF(EDW_RAW!$A$2:$A$1500,$A193),"O",IF(SUMPRODUCT((EDW_RAW!$A$2:$A$1500=$A193)*(LEN(EDW_RAW!$U$2:$U$1500)&gt;0))&gt;0,"부분","X")))</f>
        <v/>
      </c>
      <c r="D193" s="5">
        <f>IFERROR(MAX(FILTER(소재DB_RAW!$AK$3:$AK$2000,(소재DB_RAW!$G$3:$G$2000=$A193)*ISERROR(SEARCH("drop",소재DB_RAW!$C$3:$C$2000))*(소재DB_RAW!$AK$3:$AK$2000&lt;&gt;""))),"")</f>
        <v/>
      </c>
      <c r="E193" s="4">
        <f>IF($D193="","",TEXT($D193,"yyyy-mm-dd"))</f>
        <v/>
      </c>
    </row>
    <row r="194">
      <c r="A194" s="4" t="inlineStr">
        <is>
          <t>JKTBM27312</t>
        </is>
      </c>
      <c r="B194" s="4">
        <f>IF(COUNTIF(EDW_RAW!$A$2:$A$1500,$A194)=0,"",IF(SUMPRODUCT((EDW_RAW!$A$2:$A$1500=$A194)*(LEN(EDW_RAW!$R$2:$R$1500)&gt;0))=COUNTIF(EDW_RAW!$A$2:$A$1500,$A194),"O",IF(SUMPRODUCT((EDW_RAW!$A$2:$A$1500=$A194)*(LEN(EDW_RAW!$R$2:$R$1500)&gt;0))&gt;0,"부분","X")))</f>
        <v/>
      </c>
      <c r="C194" s="4">
        <f>IF(COUNTIF(EDW_RAW!$A$2:$A$1500,$A194)=0,"",IF(SUMPRODUCT((EDW_RAW!$A$2:$A$1500=$A194)*(LEN(EDW_RAW!$U$2:$U$1500)&gt;0))=COUNTIF(EDW_RAW!$A$2:$A$1500,$A194),"O",IF(SUMPRODUCT((EDW_RAW!$A$2:$A$1500=$A194)*(LEN(EDW_RAW!$U$2:$U$1500)&gt;0))&gt;0,"부분","X")))</f>
        <v/>
      </c>
      <c r="D194" s="5">
        <f>IFERROR(MAX(FILTER(소재DB_RAW!$AK$3:$AK$2000,(소재DB_RAW!$G$3:$G$2000=$A194)*ISERROR(SEARCH("drop",소재DB_RAW!$C$3:$C$2000))*(소재DB_RAW!$AK$3:$AK$2000&lt;&gt;""))),"")</f>
        <v/>
      </c>
      <c r="E194" s="4">
        <f>IF($D194="","",TEXT($D194,"yyyy-mm-dd"))</f>
        <v/>
      </c>
    </row>
    <row r="195">
      <c r="A195" s="4" t="inlineStr">
        <is>
          <t>JKTCM27312</t>
        </is>
      </c>
      <c r="B195" s="4">
        <f>IF(COUNTIF(EDW_RAW!$A$2:$A$1500,$A195)=0,"",IF(SUMPRODUCT((EDW_RAW!$A$2:$A$1500=$A195)*(LEN(EDW_RAW!$R$2:$R$1500)&gt;0))=COUNTIF(EDW_RAW!$A$2:$A$1500,$A195),"O",IF(SUMPRODUCT((EDW_RAW!$A$2:$A$1500=$A195)*(LEN(EDW_RAW!$R$2:$R$1500)&gt;0))&gt;0,"부분","X")))</f>
        <v/>
      </c>
      <c r="C195" s="4">
        <f>IF(COUNTIF(EDW_RAW!$A$2:$A$1500,$A195)=0,"",IF(SUMPRODUCT((EDW_RAW!$A$2:$A$1500=$A195)*(LEN(EDW_RAW!$U$2:$U$1500)&gt;0))=COUNTIF(EDW_RAW!$A$2:$A$1500,$A195),"O",IF(SUMPRODUCT((EDW_RAW!$A$2:$A$1500=$A195)*(LEN(EDW_RAW!$U$2:$U$1500)&gt;0))&gt;0,"부분","X")))</f>
        <v/>
      </c>
      <c r="D195" s="5">
        <f>IFERROR(MAX(FILTER(소재DB_RAW!$AK$3:$AK$2000,(소재DB_RAW!$G$3:$G$2000=$A195)*ISERROR(SEARCH("drop",소재DB_RAW!$C$3:$C$2000))*(소재DB_RAW!$AK$3:$AK$2000&lt;&gt;""))),"")</f>
        <v/>
      </c>
      <c r="E195" s="4">
        <f>IF($D195="","",TEXT($D195,"yyyy-mm-dd"))</f>
        <v/>
      </c>
    </row>
    <row r="196">
      <c r="A196" s="4" t="inlineStr">
        <is>
          <t>JKPOM27312</t>
        </is>
      </c>
      <c r="B196" s="4">
        <f>IF(COUNTIF(EDW_RAW!$A$2:$A$1500,$A196)=0,"",IF(SUMPRODUCT((EDW_RAW!$A$2:$A$1500=$A196)*(LEN(EDW_RAW!$R$2:$R$1500)&gt;0))=COUNTIF(EDW_RAW!$A$2:$A$1500,$A196),"O",IF(SUMPRODUCT((EDW_RAW!$A$2:$A$1500=$A196)*(LEN(EDW_RAW!$R$2:$R$1500)&gt;0))&gt;0,"부분","X")))</f>
        <v/>
      </c>
      <c r="C196" s="4">
        <f>IF(COUNTIF(EDW_RAW!$A$2:$A$1500,$A196)=0,"",IF(SUMPRODUCT((EDW_RAW!$A$2:$A$1500=$A196)*(LEN(EDW_RAW!$U$2:$U$1500)&gt;0))=COUNTIF(EDW_RAW!$A$2:$A$1500,$A196),"O",IF(SUMPRODUCT((EDW_RAW!$A$2:$A$1500=$A196)*(LEN(EDW_RAW!$U$2:$U$1500)&gt;0))&gt;0,"부분","X")))</f>
        <v/>
      </c>
      <c r="D196" s="5">
        <f>IFERROR(MAX(FILTER(소재DB_RAW!$AK$3:$AK$2000,(소재DB_RAW!$G$3:$G$2000=$A196)*ISERROR(SEARCH("drop",소재DB_RAW!$C$3:$C$2000))*(소재DB_RAW!$AK$3:$AK$2000&lt;&gt;""))),"")</f>
        <v/>
      </c>
      <c r="E196" s="4">
        <f>IF($D196="","",TEXT($D196,"yyyy-mm-dd"))</f>
        <v/>
      </c>
    </row>
    <row r="197">
      <c r="A197" s="4" t="inlineStr">
        <is>
          <t>JKJJS27132</t>
        </is>
      </c>
      <c r="B197" s="4">
        <f>IF(COUNTIF(EDW_RAW!$A$2:$A$1500,$A197)=0,"",IF(SUMPRODUCT((EDW_RAW!$A$2:$A$1500=$A197)*(LEN(EDW_RAW!$R$2:$R$1500)&gt;0))=COUNTIF(EDW_RAW!$A$2:$A$1500,$A197),"O",IF(SUMPRODUCT((EDW_RAW!$A$2:$A$1500=$A197)*(LEN(EDW_RAW!$R$2:$R$1500)&gt;0))&gt;0,"부분","X")))</f>
        <v/>
      </c>
      <c r="C197" s="4">
        <f>IF(COUNTIF(EDW_RAW!$A$2:$A$1500,$A197)=0,"",IF(SUMPRODUCT((EDW_RAW!$A$2:$A$1500=$A197)*(LEN(EDW_RAW!$U$2:$U$1500)&gt;0))=COUNTIF(EDW_RAW!$A$2:$A$1500,$A197),"O",IF(SUMPRODUCT((EDW_RAW!$A$2:$A$1500=$A197)*(LEN(EDW_RAW!$U$2:$U$1500)&gt;0))&gt;0,"부분","X")))</f>
        <v/>
      </c>
      <c r="D197" s="5">
        <f>IFERROR(MAX(FILTER(소재DB_RAW!$AK$3:$AK$2000,(소재DB_RAW!$G$3:$G$2000=$A197)*ISERROR(SEARCH("drop",소재DB_RAW!$C$3:$C$2000))*(소재DB_RAW!$AK$3:$AK$2000&lt;&gt;""))),"")</f>
        <v/>
      </c>
      <c r="E197" s="4">
        <f>IF($D197="","",TEXT($D197,"yyyy-mm-dd"))</f>
        <v/>
      </c>
    </row>
    <row r="198">
      <c r="A198" s="4" t="inlineStr">
        <is>
          <t>JKJJS27136</t>
        </is>
      </c>
      <c r="B198" s="4">
        <f>IF(COUNTIF(EDW_RAW!$A$2:$A$1500,$A198)=0,"",IF(SUMPRODUCT((EDW_RAW!$A$2:$A$1500=$A198)*(LEN(EDW_RAW!$R$2:$R$1500)&gt;0))=COUNTIF(EDW_RAW!$A$2:$A$1500,$A198),"O",IF(SUMPRODUCT((EDW_RAW!$A$2:$A$1500=$A198)*(LEN(EDW_RAW!$R$2:$R$1500)&gt;0))&gt;0,"부분","X")))</f>
        <v/>
      </c>
      <c r="C198" s="4">
        <f>IF(COUNTIF(EDW_RAW!$A$2:$A$1500,$A198)=0,"",IF(SUMPRODUCT((EDW_RAW!$A$2:$A$1500=$A198)*(LEN(EDW_RAW!$U$2:$U$1500)&gt;0))=COUNTIF(EDW_RAW!$A$2:$A$1500,$A198),"O",IF(SUMPRODUCT((EDW_RAW!$A$2:$A$1500=$A198)*(LEN(EDW_RAW!$U$2:$U$1500)&gt;0))&gt;0,"부분","X")))</f>
        <v/>
      </c>
      <c r="D198" s="5">
        <f>IFERROR(MAX(FILTER(소재DB_RAW!$AK$3:$AK$2000,(소재DB_RAW!$G$3:$G$2000=$A198)*ISERROR(SEARCH("drop",소재DB_RAW!$C$3:$C$2000))*(소재DB_RAW!$AK$3:$AK$2000&lt;&gt;""))),"")</f>
        <v/>
      </c>
      <c r="E198" s="4">
        <f>IF($D198="","",TEXT($D198,"yyyy-mm-dd"))</f>
        <v/>
      </c>
    </row>
    <row r="199">
      <c r="A199" s="4" t="inlineStr">
        <is>
          <t>TVJJS27512</t>
        </is>
      </c>
      <c r="B199" s="4">
        <f>IF(COUNTIF(EDW_RAW!$A$2:$A$1500,$A199)=0,"",IF(SUMPRODUCT((EDW_RAW!$A$2:$A$1500=$A199)*(LEN(EDW_RAW!$R$2:$R$1500)&gt;0))=COUNTIF(EDW_RAW!$A$2:$A$1500,$A199),"O",IF(SUMPRODUCT((EDW_RAW!$A$2:$A$1500=$A199)*(LEN(EDW_RAW!$R$2:$R$1500)&gt;0))&gt;0,"부분","X")))</f>
        <v/>
      </c>
      <c r="C199" s="4">
        <f>IF(COUNTIF(EDW_RAW!$A$2:$A$1500,$A199)=0,"",IF(SUMPRODUCT((EDW_RAW!$A$2:$A$1500=$A199)*(LEN(EDW_RAW!$U$2:$U$1500)&gt;0))=COUNTIF(EDW_RAW!$A$2:$A$1500,$A199),"O",IF(SUMPRODUCT((EDW_RAW!$A$2:$A$1500=$A199)*(LEN(EDW_RAW!$U$2:$U$1500)&gt;0))&gt;0,"부분","X")))</f>
        <v/>
      </c>
      <c r="D199" s="5">
        <f>IFERROR(MAX(FILTER(소재DB_RAW!$AK$3:$AK$2000,(소재DB_RAW!$G$3:$G$2000=$A199)*ISERROR(SEARCH("drop",소재DB_RAW!$C$3:$C$2000))*(소재DB_RAW!$AK$3:$AK$2000&lt;&gt;""))),"")</f>
        <v/>
      </c>
      <c r="E199" s="4">
        <f>IF($D199="","",TEXT($D199,"yyyy-mm-dd"))</f>
        <v/>
      </c>
    </row>
    <row r="200">
      <c r="A200" s="4" t="inlineStr">
        <is>
          <t>TVJJM27542</t>
        </is>
      </c>
      <c r="B200" s="4">
        <f>IF(COUNTIF(EDW_RAW!$A$2:$A$1500,$A200)=0,"",IF(SUMPRODUCT((EDW_RAW!$A$2:$A$1500=$A200)*(LEN(EDW_RAW!$R$2:$R$1500)&gt;0))=COUNTIF(EDW_RAW!$A$2:$A$1500,$A200),"O",IF(SUMPRODUCT((EDW_RAW!$A$2:$A$1500=$A200)*(LEN(EDW_RAW!$R$2:$R$1500)&gt;0))&gt;0,"부분","X")))</f>
        <v/>
      </c>
      <c r="C200" s="4">
        <f>IF(COUNTIF(EDW_RAW!$A$2:$A$1500,$A200)=0,"",IF(SUMPRODUCT((EDW_RAW!$A$2:$A$1500=$A200)*(LEN(EDW_RAW!$U$2:$U$1500)&gt;0))=COUNTIF(EDW_RAW!$A$2:$A$1500,$A200),"O",IF(SUMPRODUCT((EDW_RAW!$A$2:$A$1500=$A200)*(LEN(EDW_RAW!$U$2:$U$1500)&gt;0))&gt;0,"부분","X")))</f>
        <v/>
      </c>
      <c r="D200" s="5">
        <f>IFERROR(MAX(FILTER(소재DB_RAW!$AK$3:$AK$2000,(소재DB_RAW!$G$3:$G$2000=$A200)*ISERROR(SEARCH("drop",소재DB_RAW!$C$3:$C$2000))*(소재DB_RAW!$AK$3:$AK$2000&lt;&gt;""))),"")</f>
        <v/>
      </c>
      <c r="E200" s="4">
        <f>IF($D200="","",TEXT($D200,"yyyy-mm-dd"))</f>
        <v/>
      </c>
    </row>
    <row r="201">
      <c r="A201" s="4" t="inlineStr">
        <is>
          <t>JKJJM27124</t>
        </is>
      </c>
      <c r="B201" s="4">
        <f>IF(COUNTIF(EDW_RAW!$A$2:$A$1500,$A201)=0,"",IF(SUMPRODUCT((EDW_RAW!$A$2:$A$1500=$A201)*(LEN(EDW_RAW!$R$2:$R$1500)&gt;0))=COUNTIF(EDW_RAW!$A$2:$A$1500,$A201),"O",IF(SUMPRODUCT((EDW_RAW!$A$2:$A$1500=$A201)*(LEN(EDW_RAW!$R$2:$R$1500)&gt;0))&gt;0,"부분","X")))</f>
        <v/>
      </c>
      <c r="C201" s="4">
        <f>IF(COUNTIF(EDW_RAW!$A$2:$A$1500,$A201)=0,"",IF(SUMPRODUCT((EDW_RAW!$A$2:$A$1500=$A201)*(LEN(EDW_RAW!$U$2:$U$1500)&gt;0))=COUNTIF(EDW_RAW!$A$2:$A$1500,$A201),"O",IF(SUMPRODUCT((EDW_RAW!$A$2:$A$1500=$A201)*(LEN(EDW_RAW!$U$2:$U$1500)&gt;0))&gt;0,"부분","X")))</f>
        <v/>
      </c>
      <c r="D201" s="5">
        <f>IFERROR(MAX(FILTER(소재DB_RAW!$AK$3:$AK$2000,(소재DB_RAW!$G$3:$G$2000=$A201)*ISERROR(SEARCH("drop",소재DB_RAW!$C$3:$C$2000))*(소재DB_RAW!$AK$3:$AK$2000&lt;&gt;""))),"")</f>
        <v/>
      </c>
      <c r="E201" s="4">
        <f>IF($D201="","",TEXT($D201,"yyyy-mm-dd"))</f>
        <v/>
      </c>
    </row>
    <row r="202">
      <c r="A202" s="4" t="inlineStr">
        <is>
          <t>JKJJM27142</t>
        </is>
      </c>
      <c r="B202" s="4">
        <f>IF(COUNTIF(EDW_RAW!$A$2:$A$1500,$A202)=0,"",IF(SUMPRODUCT((EDW_RAW!$A$2:$A$1500=$A202)*(LEN(EDW_RAW!$R$2:$R$1500)&gt;0))=COUNTIF(EDW_RAW!$A$2:$A$1500,$A202),"O",IF(SUMPRODUCT((EDW_RAW!$A$2:$A$1500=$A202)*(LEN(EDW_RAW!$R$2:$R$1500)&gt;0))&gt;0,"부분","X")))</f>
        <v/>
      </c>
      <c r="C202" s="4">
        <f>IF(COUNTIF(EDW_RAW!$A$2:$A$1500,$A202)=0,"",IF(SUMPRODUCT((EDW_RAW!$A$2:$A$1500=$A202)*(LEN(EDW_RAW!$U$2:$U$1500)&gt;0))=COUNTIF(EDW_RAW!$A$2:$A$1500,$A202),"O",IF(SUMPRODUCT((EDW_RAW!$A$2:$A$1500=$A202)*(LEN(EDW_RAW!$U$2:$U$1500)&gt;0))&gt;0,"부분","X")))</f>
        <v/>
      </c>
      <c r="D202" s="5">
        <f>IFERROR(MAX(FILTER(소재DB_RAW!$AK$3:$AK$2000,(소재DB_RAW!$G$3:$G$2000=$A202)*ISERROR(SEARCH("drop",소재DB_RAW!$C$3:$C$2000))*(소재DB_RAW!$AK$3:$AK$2000&lt;&gt;""))),"")</f>
        <v/>
      </c>
      <c r="E202" s="4">
        <f>IF($D202="","",TEXT($D202,"yyyy-mm-dd"))</f>
        <v/>
      </c>
    </row>
    <row r="203">
      <c r="A203" s="4" t="inlineStr">
        <is>
          <t>JKJJM27172</t>
        </is>
      </c>
      <c r="B203" s="4">
        <f>IF(COUNTIF(EDW_RAW!$A$2:$A$1500,$A203)=0,"",IF(SUMPRODUCT((EDW_RAW!$A$2:$A$1500=$A203)*(LEN(EDW_RAW!$R$2:$R$1500)&gt;0))=COUNTIF(EDW_RAW!$A$2:$A$1500,$A203),"O",IF(SUMPRODUCT((EDW_RAW!$A$2:$A$1500=$A203)*(LEN(EDW_RAW!$R$2:$R$1500)&gt;0))&gt;0,"부분","X")))</f>
        <v/>
      </c>
      <c r="C203" s="4">
        <f>IF(COUNTIF(EDW_RAW!$A$2:$A$1500,$A203)=0,"",IF(SUMPRODUCT((EDW_RAW!$A$2:$A$1500=$A203)*(LEN(EDW_RAW!$U$2:$U$1500)&gt;0))=COUNTIF(EDW_RAW!$A$2:$A$1500,$A203),"O",IF(SUMPRODUCT((EDW_RAW!$A$2:$A$1500=$A203)*(LEN(EDW_RAW!$U$2:$U$1500)&gt;0))&gt;0,"부분","X")))</f>
        <v/>
      </c>
      <c r="D203" s="5">
        <f>IFERROR(MAX(FILTER(소재DB_RAW!$AK$3:$AK$2000,(소재DB_RAW!$G$3:$G$2000=$A203)*ISERROR(SEARCH("drop",소재DB_RAW!$C$3:$C$2000))*(소재DB_RAW!$AK$3:$AK$2000&lt;&gt;""))),"")</f>
        <v/>
      </c>
      <c r="E203" s="4">
        <f>IF($D203="","",TEXT($D203,"yyyy-mm-dd"))</f>
        <v/>
      </c>
    </row>
    <row r="204">
      <c r="A204" s="4" t="inlineStr">
        <is>
          <t>JKJJM27182</t>
        </is>
      </c>
      <c r="B204" s="4">
        <f>IF(COUNTIF(EDW_RAW!$A$2:$A$1500,$A204)=0,"",IF(SUMPRODUCT((EDW_RAW!$A$2:$A$1500=$A204)*(LEN(EDW_RAW!$R$2:$R$1500)&gt;0))=COUNTIF(EDW_RAW!$A$2:$A$1500,$A204),"O",IF(SUMPRODUCT((EDW_RAW!$A$2:$A$1500=$A204)*(LEN(EDW_RAW!$R$2:$R$1500)&gt;0))&gt;0,"부분","X")))</f>
        <v/>
      </c>
      <c r="C204" s="4">
        <f>IF(COUNTIF(EDW_RAW!$A$2:$A$1500,$A204)=0,"",IF(SUMPRODUCT((EDW_RAW!$A$2:$A$1500=$A204)*(LEN(EDW_RAW!$U$2:$U$1500)&gt;0))=COUNTIF(EDW_RAW!$A$2:$A$1500,$A204),"O",IF(SUMPRODUCT((EDW_RAW!$A$2:$A$1500=$A204)*(LEN(EDW_RAW!$U$2:$U$1500)&gt;0))&gt;0,"부분","X")))</f>
        <v/>
      </c>
      <c r="D204" s="5">
        <f>IFERROR(MAX(FILTER(소재DB_RAW!$AK$3:$AK$2000,(소재DB_RAW!$G$3:$G$2000=$A204)*ISERROR(SEARCH("drop",소재DB_RAW!$C$3:$C$2000))*(소재DB_RAW!$AK$3:$AK$2000&lt;&gt;""))),"")</f>
        <v/>
      </c>
      <c r="E204" s="4">
        <f>IF($D204="","",TEXT($D204,"yyyy-mm-dd"))</f>
        <v/>
      </c>
    </row>
    <row r="205">
      <c r="A205" s="4" t="inlineStr">
        <is>
          <t>JKJJM27152</t>
        </is>
      </c>
      <c r="B205" s="4">
        <f>IF(COUNTIF(EDW_RAW!$A$2:$A$1500,$A205)=0,"",IF(SUMPRODUCT((EDW_RAW!$A$2:$A$1500=$A205)*(LEN(EDW_RAW!$R$2:$R$1500)&gt;0))=COUNTIF(EDW_RAW!$A$2:$A$1500,$A205),"O",IF(SUMPRODUCT((EDW_RAW!$A$2:$A$1500=$A205)*(LEN(EDW_RAW!$R$2:$R$1500)&gt;0))&gt;0,"부분","X")))</f>
        <v/>
      </c>
      <c r="C205" s="4">
        <f>IF(COUNTIF(EDW_RAW!$A$2:$A$1500,$A205)=0,"",IF(SUMPRODUCT((EDW_RAW!$A$2:$A$1500=$A205)*(LEN(EDW_RAW!$U$2:$U$1500)&gt;0))=COUNTIF(EDW_RAW!$A$2:$A$1500,$A205),"O",IF(SUMPRODUCT((EDW_RAW!$A$2:$A$1500=$A205)*(LEN(EDW_RAW!$U$2:$U$1500)&gt;0))&gt;0,"부분","X")))</f>
        <v/>
      </c>
      <c r="D205" s="5">
        <f>IFERROR(MAX(FILTER(소재DB_RAW!$AK$3:$AK$2000,(소재DB_RAW!$G$3:$G$2000=$A205)*ISERROR(SEARCH("drop",소재DB_RAW!$C$3:$C$2000))*(소재DB_RAW!$AK$3:$AK$2000&lt;&gt;""))),"")</f>
        <v/>
      </c>
      <c r="E205" s="4">
        <f>IF($D205="","",TEXT($D205,"yyyy-mm-dd"))</f>
        <v/>
      </c>
    </row>
    <row r="206">
      <c r="A206" s="4" t="inlineStr">
        <is>
          <t>JKJJM27156</t>
        </is>
      </c>
      <c r="B206" s="4">
        <f>IF(COUNTIF(EDW_RAW!$A$2:$A$1500,$A206)=0,"",IF(SUMPRODUCT((EDW_RAW!$A$2:$A$1500=$A206)*(LEN(EDW_RAW!$R$2:$R$1500)&gt;0))=COUNTIF(EDW_RAW!$A$2:$A$1500,$A206),"O",IF(SUMPRODUCT((EDW_RAW!$A$2:$A$1500=$A206)*(LEN(EDW_RAW!$R$2:$R$1500)&gt;0))&gt;0,"부분","X")))</f>
        <v/>
      </c>
      <c r="C206" s="4">
        <f>IF(COUNTIF(EDW_RAW!$A$2:$A$1500,$A206)=0,"",IF(SUMPRODUCT((EDW_RAW!$A$2:$A$1500=$A206)*(LEN(EDW_RAW!$U$2:$U$1500)&gt;0))=COUNTIF(EDW_RAW!$A$2:$A$1500,$A206),"O",IF(SUMPRODUCT((EDW_RAW!$A$2:$A$1500=$A206)*(LEN(EDW_RAW!$U$2:$U$1500)&gt;0))&gt;0,"부분","X")))</f>
        <v/>
      </c>
      <c r="D206" s="5">
        <f>IFERROR(MAX(FILTER(소재DB_RAW!$AK$3:$AK$2000,(소재DB_RAW!$G$3:$G$2000=$A206)*ISERROR(SEARCH("drop",소재DB_RAW!$C$3:$C$2000))*(소재DB_RAW!$AK$3:$AK$2000&lt;&gt;""))),"")</f>
        <v/>
      </c>
      <c r="E206" s="4">
        <f>IF($D206="","",TEXT($D206,"yyyy-mm-dd"))</f>
        <v/>
      </c>
    </row>
    <row r="207">
      <c r="A207" s="4" t="inlineStr">
        <is>
          <t>JKJJM27162</t>
        </is>
      </c>
      <c r="B207" s="4">
        <f>IF(COUNTIF(EDW_RAW!$A$2:$A$1500,$A207)=0,"",IF(SUMPRODUCT((EDW_RAW!$A$2:$A$1500=$A207)*(LEN(EDW_RAW!$R$2:$R$1500)&gt;0))=COUNTIF(EDW_RAW!$A$2:$A$1500,$A207),"O",IF(SUMPRODUCT((EDW_RAW!$A$2:$A$1500=$A207)*(LEN(EDW_RAW!$R$2:$R$1500)&gt;0))&gt;0,"부분","X")))</f>
        <v/>
      </c>
      <c r="C207" s="4">
        <f>IF(COUNTIF(EDW_RAW!$A$2:$A$1500,$A207)=0,"",IF(SUMPRODUCT((EDW_RAW!$A$2:$A$1500=$A207)*(LEN(EDW_RAW!$U$2:$U$1500)&gt;0))=COUNTIF(EDW_RAW!$A$2:$A$1500,$A207),"O",IF(SUMPRODUCT((EDW_RAW!$A$2:$A$1500=$A207)*(LEN(EDW_RAW!$U$2:$U$1500)&gt;0))&gt;0,"부분","X")))</f>
        <v/>
      </c>
      <c r="D207" s="5">
        <f>IFERROR(MAX(FILTER(소재DB_RAW!$AK$3:$AK$2000,(소재DB_RAW!$G$3:$G$2000=$A207)*ISERROR(SEARCH("drop",소재DB_RAW!$C$3:$C$2000))*(소재DB_RAW!$AK$3:$AK$2000&lt;&gt;""))),"")</f>
        <v/>
      </c>
      <c r="E207" s="4">
        <f>IF($D207="","",TEXT($D207,"yyyy-mm-dd"))</f>
        <v/>
      </c>
    </row>
    <row r="208">
      <c r="A208" s="4" t="inlineStr">
        <is>
          <t>JKVAS27132</t>
        </is>
      </c>
      <c r="B208" s="4">
        <f>IF(COUNTIF(EDW_RAW!$A$2:$A$1500,$A208)=0,"",IF(SUMPRODUCT((EDW_RAW!$A$2:$A$1500=$A208)*(LEN(EDW_RAW!$R$2:$R$1500)&gt;0))=COUNTIF(EDW_RAW!$A$2:$A$1500,$A208),"O",IF(SUMPRODUCT((EDW_RAW!$A$2:$A$1500=$A208)*(LEN(EDW_RAW!$R$2:$R$1500)&gt;0))&gt;0,"부분","X")))</f>
        <v/>
      </c>
      <c r="C208" s="4">
        <f>IF(COUNTIF(EDW_RAW!$A$2:$A$1500,$A208)=0,"",IF(SUMPRODUCT((EDW_RAW!$A$2:$A$1500=$A208)*(LEN(EDW_RAW!$U$2:$U$1500)&gt;0))=COUNTIF(EDW_RAW!$A$2:$A$1500,$A208),"O",IF(SUMPRODUCT((EDW_RAW!$A$2:$A$1500=$A208)*(LEN(EDW_RAW!$U$2:$U$1500)&gt;0))&gt;0,"부분","X")))</f>
        <v/>
      </c>
      <c r="D208" s="5">
        <f>IFERROR(MAX(FILTER(소재DB_RAW!$AK$3:$AK$2000,(소재DB_RAW!$G$3:$G$2000=$A208)*ISERROR(SEARCH("drop",소재DB_RAW!$C$3:$C$2000))*(소재DB_RAW!$AK$3:$AK$2000&lt;&gt;""))),"")</f>
        <v/>
      </c>
      <c r="E208" s="4">
        <f>IF($D208="","",TEXT($D208,"yyyy-mm-dd"))</f>
        <v/>
      </c>
    </row>
    <row r="209">
      <c r="A209" s="4" t="inlineStr">
        <is>
          <t>JKVAM27102</t>
        </is>
      </c>
      <c r="B209" s="4">
        <f>IF(COUNTIF(EDW_RAW!$A$2:$A$1500,$A209)=0,"",IF(SUMPRODUCT((EDW_RAW!$A$2:$A$1500=$A209)*(LEN(EDW_RAW!$R$2:$R$1500)&gt;0))=COUNTIF(EDW_RAW!$A$2:$A$1500,$A209),"O",IF(SUMPRODUCT((EDW_RAW!$A$2:$A$1500=$A209)*(LEN(EDW_RAW!$R$2:$R$1500)&gt;0))&gt;0,"부분","X")))</f>
        <v/>
      </c>
      <c r="C209" s="4">
        <f>IF(COUNTIF(EDW_RAW!$A$2:$A$1500,$A209)=0,"",IF(SUMPRODUCT((EDW_RAW!$A$2:$A$1500=$A209)*(LEN(EDW_RAW!$U$2:$U$1500)&gt;0))=COUNTIF(EDW_RAW!$A$2:$A$1500,$A209),"O",IF(SUMPRODUCT((EDW_RAW!$A$2:$A$1500=$A209)*(LEN(EDW_RAW!$U$2:$U$1500)&gt;0))&gt;0,"부분","X")))</f>
        <v/>
      </c>
      <c r="D209" s="5">
        <f>IFERROR(MAX(FILTER(소재DB_RAW!$AK$3:$AK$2000,(소재DB_RAW!$G$3:$G$2000=$A209)*ISERROR(SEARCH("drop",소재DB_RAW!$C$3:$C$2000))*(소재DB_RAW!$AK$3:$AK$2000&lt;&gt;""))),"")</f>
        <v/>
      </c>
      <c r="E209" s="4">
        <f>IF($D209="","",TEXT($D209,"yyyy-mm-dd"))</f>
        <v/>
      </c>
    </row>
    <row r="210">
      <c r="A210" s="4" t="inlineStr">
        <is>
          <t>JWJGS27001</t>
        </is>
      </c>
      <c r="B210" s="4">
        <f>IF(COUNTIF(EDW_RAW!$A$2:$A$1500,$A210)=0,"",IF(SUMPRODUCT((EDW_RAW!$A$2:$A$1500=$A210)*(LEN(EDW_RAW!$R$2:$R$1500)&gt;0))=COUNTIF(EDW_RAW!$A$2:$A$1500,$A210),"O",IF(SUMPRODUCT((EDW_RAW!$A$2:$A$1500=$A210)*(LEN(EDW_RAW!$R$2:$R$1500)&gt;0))&gt;0,"부분","X")))</f>
        <v/>
      </c>
      <c r="C210" s="4">
        <f>IF(COUNTIF(EDW_RAW!$A$2:$A$1500,$A210)=0,"",IF(SUMPRODUCT((EDW_RAW!$A$2:$A$1500=$A210)*(LEN(EDW_RAW!$U$2:$U$1500)&gt;0))=COUNTIF(EDW_RAW!$A$2:$A$1500,$A210),"O",IF(SUMPRODUCT((EDW_RAW!$A$2:$A$1500=$A210)*(LEN(EDW_RAW!$U$2:$U$1500)&gt;0))&gt;0,"부분","X")))</f>
        <v/>
      </c>
      <c r="D210" s="5">
        <f>IFERROR(MAX(FILTER(소재DB_RAW!$AK$3:$AK$2000,(소재DB_RAW!$G$3:$G$2000=$A210)*ISERROR(SEARCH("drop",소재DB_RAW!$C$3:$C$2000))*(소재DB_RAW!$AK$3:$AK$2000&lt;&gt;""))),"")</f>
        <v/>
      </c>
      <c r="E210" s="4">
        <f>IF($D210="","",TEXT($D210,"yyyy-mm-dd"))</f>
        <v/>
      </c>
    </row>
    <row r="211">
      <c r="A211" s="4" t="inlineStr">
        <is>
          <t>JWJJS27011</t>
        </is>
      </c>
      <c r="B211" s="4">
        <f>IF(COUNTIF(EDW_RAW!$A$2:$A$1500,$A211)=0,"",IF(SUMPRODUCT((EDW_RAW!$A$2:$A$1500=$A211)*(LEN(EDW_RAW!$R$2:$R$1500)&gt;0))=COUNTIF(EDW_RAW!$A$2:$A$1500,$A211),"O",IF(SUMPRODUCT((EDW_RAW!$A$2:$A$1500=$A211)*(LEN(EDW_RAW!$R$2:$R$1500)&gt;0))&gt;0,"부분","X")))</f>
        <v/>
      </c>
      <c r="C211" s="4">
        <f>IF(COUNTIF(EDW_RAW!$A$2:$A$1500,$A211)=0,"",IF(SUMPRODUCT((EDW_RAW!$A$2:$A$1500=$A211)*(LEN(EDW_RAW!$U$2:$U$1500)&gt;0))=COUNTIF(EDW_RAW!$A$2:$A$1500,$A211),"O",IF(SUMPRODUCT((EDW_RAW!$A$2:$A$1500=$A211)*(LEN(EDW_RAW!$U$2:$U$1500)&gt;0))&gt;0,"부분","X")))</f>
        <v/>
      </c>
      <c r="D211" s="5">
        <f>IFERROR(MAX(FILTER(소재DB_RAW!$AK$3:$AK$2000,(소재DB_RAW!$G$3:$G$2000=$A211)*ISERROR(SEARCH("drop",소재DB_RAW!$C$3:$C$2000))*(소재DB_RAW!$AK$3:$AK$2000&lt;&gt;""))),"")</f>
        <v/>
      </c>
      <c r="E211" s="4">
        <f>IF($D211="","",TEXT($D211,"yyyy-mm-dd"))</f>
        <v/>
      </c>
    </row>
    <row r="212">
      <c r="A212" s="4" t="inlineStr">
        <is>
          <t>JWJJS27015</t>
        </is>
      </c>
      <c r="B212" s="4">
        <f>IF(COUNTIF(EDW_RAW!$A$2:$A$1500,$A212)=0,"",IF(SUMPRODUCT((EDW_RAW!$A$2:$A$1500=$A212)*(LEN(EDW_RAW!$R$2:$R$1500)&gt;0))=COUNTIF(EDW_RAW!$A$2:$A$1500,$A212),"O",IF(SUMPRODUCT((EDW_RAW!$A$2:$A$1500=$A212)*(LEN(EDW_RAW!$R$2:$R$1500)&gt;0))&gt;0,"부분","X")))</f>
        <v/>
      </c>
      <c r="C212" s="4">
        <f>IF(COUNTIF(EDW_RAW!$A$2:$A$1500,$A212)=0,"",IF(SUMPRODUCT((EDW_RAW!$A$2:$A$1500=$A212)*(LEN(EDW_RAW!$U$2:$U$1500)&gt;0))=COUNTIF(EDW_RAW!$A$2:$A$1500,$A212),"O",IF(SUMPRODUCT((EDW_RAW!$A$2:$A$1500=$A212)*(LEN(EDW_RAW!$U$2:$U$1500)&gt;0))&gt;0,"부분","X")))</f>
        <v/>
      </c>
      <c r="D212" s="5">
        <f>IFERROR(MAX(FILTER(소재DB_RAW!$AK$3:$AK$2000,(소재DB_RAW!$G$3:$G$2000=$A212)*ISERROR(SEARCH("drop",소재DB_RAW!$C$3:$C$2000))*(소재DB_RAW!$AK$3:$AK$2000&lt;&gt;""))),"")</f>
        <v/>
      </c>
      <c r="E212" s="4">
        <f>IF($D212="","",TEXT($D212,"yyyy-mm-dd"))</f>
        <v/>
      </c>
    </row>
    <row r="213">
      <c r="A213" s="4" t="inlineStr">
        <is>
          <t>JWJJS27021</t>
        </is>
      </c>
      <c r="B213" s="4">
        <f>IF(COUNTIF(EDW_RAW!$A$2:$A$1500,$A213)=0,"",IF(SUMPRODUCT((EDW_RAW!$A$2:$A$1500=$A213)*(LEN(EDW_RAW!$R$2:$R$1500)&gt;0))=COUNTIF(EDW_RAW!$A$2:$A$1500,$A213),"O",IF(SUMPRODUCT((EDW_RAW!$A$2:$A$1500=$A213)*(LEN(EDW_RAW!$R$2:$R$1500)&gt;0))&gt;0,"부분","X")))</f>
        <v/>
      </c>
      <c r="C213" s="4">
        <f>IF(COUNTIF(EDW_RAW!$A$2:$A$1500,$A213)=0,"",IF(SUMPRODUCT((EDW_RAW!$A$2:$A$1500=$A213)*(LEN(EDW_RAW!$U$2:$U$1500)&gt;0))=COUNTIF(EDW_RAW!$A$2:$A$1500,$A213),"O",IF(SUMPRODUCT((EDW_RAW!$A$2:$A$1500=$A213)*(LEN(EDW_RAW!$U$2:$U$1500)&gt;0))&gt;0,"부분","X")))</f>
        <v/>
      </c>
      <c r="D213" s="5">
        <f>IFERROR(MAX(FILTER(소재DB_RAW!$AK$3:$AK$2000,(소재DB_RAW!$G$3:$G$2000=$A213)*ISERROR(SEARCH("drop",소재DB_RAW!$C$3:$C$2000))*(소재DB_RAW!$AK$3:$AK$2000&lt;&gt;""))),"")</f>
        <v/>
      </c>
      <c r="E213" s="4">
        <f>IF($D213="","",TEXT($D213,"yyyy-mm-dd"))</f>
        <v/>
      </c>
    </row>
    <row r="214">
      <c r="A214" s="4" t="inlineStr">
        <is>
          <t>JWJJS27031</t>
        </is>
      </c>
      <c r="B214" s="4">
        <f>IF(COUNTIF(EDW_RAW!$A$2:$A$1500,$A214)=0,"",IF(SUMPRODUCT((EDW_RAW!$A$2:$A$1500=$A214)*(LEN(EDW_RAW!$R$2:$R$1500)&gt;0))=COUNTIF(EDW_RAW!$A$2:$A$1500,$A214),"O",IF(SUMPRODUCT((EDW_RAW!$A$2:$A$1500=$A214)*(LEN(EDW_RAW!$R$2:$R$1500)&gt;0))&gt;0,"부분","X")))</f>
        <v/>
      </c>
      <c r="C214" s="4">
        <f>IF(COUNTIF(EDW_RAW!$A$2:$A$1500,$A214)=0,"",IF(SUMPRODUCT((EDW_RAW!$A$2:$A$1500=$A214)*(LEN(EDW_RAW!$U$2:$U$1500)&gt;0))=COUNTIF(EDW_RAW!$A$2:$A$1500,$A214),"O",IF(SUMPRODUCT((EDW_RAW!$A$2:$A$1500=$A214)*(LEN(EDW_RAW!$U$2:$U$1500)&gt;0))&gt;0,"부분","X")))</f>
        <v/>
      </c>
      <c r="D214" s="5">
        <f>IFERROR(MAX(FILTER(소재DB_RAW!$AK$3:$AK$2000,(소재DB_RAW!$G$3:$G$2000=$A214)*ISERROR(SEARCH("drop",소재DB_RAW!$C$3:$C$2000))*(소재DB_RAW!$AK$3:$AK$2000&lt;&gt;""))),"")</f>
        <v/>
      </c>
      <c r="E214" s="4">
        <f>IF($D214="","",TEXT($D214,"yyyy-mm-dd"))</f>
        <v/>
      </c>
    </row>
    <row r="215">
      <c r="A215" s="4" t="inlineStr">
        <is>
          <t>JWVAS27017</t>
        </is>
      </c>
      <c r="B215" s="4">
        <f>IF(COUNTIF(EDW_RAW!$A$2:$A$1500,$A215)=0,"",IF(SUMPRODUCT((EDW_RAW!$A$2:$A$1500=$A215)*(LEN(EDW_RAW!$R$2:$R$1500)&gt;0))=COUNTIF(EDW_RAW!$A$2:$A$1500,$A215),"O",IF(SUMPRODUCT((EDW_RAW!$A$2:$A$1500=$A215)*(LEN(EDW_RAW!$R$2:$R$1500)&gt;0))&gt;0,"부분","X")))</f>
        <v/>
      </c>
      <c r="C215" s="4">
        <f>IF(COUNTIF(EDW_RAW!$A$2:$A$1500,$A215)=0,"",IF(SUMPRODUCT((EDW_RAW!$A$2:$A$1500=$A215)*(LEN(EDW_RAW!$U$2:$U$1500)&gt;0))=COUNTIF(EDW_RAW!$A$2:$A$1500,$A215),"O",IF(SUMPRODUCT((EDW_RAW!$A$2:$A$1500=$A215)*(LEN(EDW_RAW!$U$2:$U$1500)&gt;0))&gt;0,"부분","X")))</f>
        <v/>
      </c>
      <c r="D215" s="5">
        <f>IFERROR(MAX(FILTER(소재DB_RAW!$AK$3:$AK$2000,(소재DB_RAW!$G$3:$G$2000=$A215)*ISERROR(SEARCH("drop",소재DB_RAW!$C$3:$C$2000))*(소재DB_RAW!$AK$3:$AK$2000&lt;&gt;""))),"")</f>
        <v/>
      </c>
      <c r="E215" s="4">
        <f>IF($D215="","",TEXT($D215,"yyyy-mm-dd"))</f>
        <v/>
      </c>
    </row>
    <row r="216">
      <c r="A216" s="4" t="inlineStr">
        <is>
          <t>JWTBS27057</t>
        </is>
      </c>
      <c r="B216" s="4">
        <f>IF(COUNTIF(EDW_RAW!$A$2:$A$1500,$A216)=0,"",IF(SUMPRODUCT((EDW_RAW!$A$2:$A$1500=$A216)*(LEN(EDW_RAW!$R$2:$R$1500)&gt;0))=COUNTIF(EDW_RAW!$A$2:$A$1500,$A216),"O",IF(SUMPRODUCT((EDW_RAW!$A$2:$A$1500=$A216)*(LEN(EDW_RAW!$R$2:$R$1500)&gt;0))&gt;0,"부분","X")))</f>
        <v/>
      </c>
      <c r="C216" s="4">
        <f>IF(COUNTIF(EDW_RAW!$A$2:$A$1500,$A216)=0,"",IF(SUMPRODUCT((EDW_RAW!$A$2:$A$1500=$A216)*(LEN(EDW_RAW!$U$2:$U$1500)&gt;0))=COUNTIF(EDW_RAW!$A$2:$A$1500,$A216),"O",IF(SUMPRODUCT((EDW_RAW!$A$2:$A$1500=$A216)*(LEN(EDW_RAW!$U$2:$U$1500)&gt;0))&gt;0,"부분","X")))</f>
        <v/>
      </c>
      <c r="D216" s="5">
        <f>IFERROR(MAX(FILTER(소재DB_RAW!$AK$3:$AK$2000,(소재DB_RAW!$G$3:$G$2000=$A216)*ISERROR(SEARCH("drop",소재DB_RAW!$C$3:$C$2000))*(소재DB_RAW!$AK$3:$AK$2000&lt;&gt;""))),"")</f>
        <v/>
      </c>
      <c r="E216" s="4">
        <f>IF($D216="","",TEXT($D216,"yyyy-mm-dd"))</f>
        <v/>
      </c>
    </row>
    <row r="217">
      <c r="A217" s="4" t="inlineStr">
        <is>
          <t>JWTCS27055</t>
        </is>
      </c>
      <c r="B217" s="4">
        <f>IF(COUNTIF(EDW_RAW!$A$2:$A$1500,$A217)=0,"",IF(SUMPRODUCT((EDW_RAW!$A$2:$A$1500=$A217)*(LEN(EDW_RAW!$R$2:$R$1500)&gt;0))=COUNTIF(EDW_RAW!$A$2:$A$1500,$A217),"O",IF(SUMPRODUCT((EDW_RAW!$A$2:$A$1500=$A217)*(LEN(EDW_RAW!$R$2:$R$1500)&gt;0))&gt;0,"부분","X")))</f>
        <v/>
      </c>
      <c r="C217" s="4">
        <f>IF(COUNTIF(EDW_RAW!$A$2:$A$1500,$A217)=0,"",IF(SUMPRODUCT((EDW_RAW!$A$2:$A$1500=$A217)*(LEN(EDW_RAW!$U$2:$U$1500)&gt;0))=COUNTIF(EDW_RAW!$A$2:$A$1500,$A217),"O",IF(SUMPRODUCT((EDW_RAW!$A$2:$A$1500=$A217)*(LEN(EDW_RAW!$U$2:$U$1500)&gt;0))&gt;0,"부분","X")))</f>
        <v/>
      </c>
      <c r="D217" s="5">
        <f>IFERROR(MAX(FILTER(소재DB_RAW!$AK$3:$AK$2000,(소재DB_RAW!$G$3:$G$2000=$A217)*ISERROR(SEARCH("drop",소재DB_RAW!$C$3:$C$2000))*(소재DB_RAW!$AK$3:$AK$2000&lt;&gt;""))),"")</f>
        <v/>
      </c>
      <c r="E217" s="4">
        <f>IF($D217="","",TEXT($D217,"yyyy-mm-dd"))</f>
        <v/>
      </c>
    </row>
    <row r="218">
      <c r="A218" s="4" t="inlineStr">
        <is>
          <t>JWPNS27061</t>
        </is>
      </c>
      <c r="B218" s="4">
        <f>IF(COUNTIF(EDW_RAW!$A$2:$A$1500,$A218)=0,"",IF(SUMPRODUCT((EDW_RAW!$A$2:$A$1500=$A218)*(LEN(EDW_RAW!$R$2:$R$1500)&gt;0))=COUNTIF(EDW_RAW!$A$2:$A$1500,$A218),"O",IF(SUMPRODUCT((EDW_RAW!$A$2:$A$1500=$A218)*(LEN(EDW_RAW!$R$2:$R$1500)&gt;0))&gt;0,"부분","X")))</f>
        <v/>
      </c>
      <c r="C218" s="4">
        <f>IF(COUNTIF(EDW_RAW!$A$2:$A$1500,$A218)=0,"",IF(SUMPRODUCT((EDW_RAW!$A$2:$A$1500=$A218)*(LEN(EDW_RAW!$U$2:$U$1500)&gt;0))=COUNTIF(EDW_RAW!$A$2:$A$1500,$A218),"O",IF(SUMPRODUCT((EDW_RAW!$A$2:$A$1500=$A218)*(LEN(EDW_RAW!$U$2:$U$1500)&gt;0))&gt;0,"부분","X")))</f>
        <v/>
      </c>
      <c r="D218" s="5">
        <f>IFERROR(MAX(FILTER(소재DB_RAW!$AK$3:$AK$2000,(소재DB_RAW!$G$3:$G$2000=$A218)*ISERROR(SEARCH("drop",소재DB_RAW!$C$3:$C$2000))*(소재DB_RAW!$AK$3:$AK$2000&lt;&gt;""))),"")</f>
        <v/>
      </c>
      <c r="E218" s="4">
        <f>IF($D218="","",TEXT($D218,"yyyy-mm-dd"))</f>
        <v/>
      </c>
    </row>
    <row r="219">
      <c r="A219" s="4" t="inlineStr">
        <is>
          <t>JWPNS27071</t>
        </is>
      </c>
      <c r="B219" s="4">
        <f>IF(COUNTIF(EDW_RAW!$A$2:$A$1500,$A219)=0,"",IF(SUMPRODUCT((EDW_RAW!$A$2:$A$1500=$A219)*(LEN(EDW_RAW!$R$2:$R$1500)&gt;0))=COUNTIF(EDW_RAW!$A$2:$A$1500,$A219),"O",IF(SUMPRODUCT((EDW_RAW!$A$2:$A$1500=$A219)*(LEN(EDW_RAW!$R$2:$R$1500)&gt;0))&gt;0,"부분","X")))</f>
        <v/>
      </c>
      <c r="C219" s="4">
        <f>IF(COUNTIF(EDW_RAW!$A$2:$A$1500,$A219)=0,"",IF(SUMPRODUCT((EDW_RAW!$A$2:$A$1500=$A219)*(LEN(EDW_RAW!$U$2:$U$1500)&gt;0))=COUNTIF(EDW_RAW!$A$2:$A$1500,$A219),"O",IF(SUMPRODUCT((EDW_RAW!$A$2:$A$1500=$A219)*(LEN(EDW_RAW!$U$2:$U$1500)&gt;0))&gt;0,"부분","X")))</f>
        <v/>
      </c>
      <c r="D219" s="5">
        <f>IFERROR(MAX(FILTER(소재DB_RAW!$AK$3:$AK$2000,(소재DB_RAW!$G$3:$G$2000=$A219)*ISERROR(SEARCH("drop",소재DB_RAW!$C$3:$C$2000))*(소재DB_RAW!$AK$3:$AK$2000&lt;&gt;""))),"")</f>
        <v/>
      </c>
      <c r="E219" s="4">
        <f>IF($D219="","",TEXT($D219,"yyyy-mm-dd"))</f>
        <v/>
      </c>
    </row>
    <row r="220">
      <c r="A220" s="4" t="inlineStr">
        <is>
          <t>JKJGS27002</t>
        </is>
      </c>
      <c r="B220" s="4">
        <f>IF(COUNTIF(EDW_RAW!$A$2:$A$1500,$A220)=0,"",IF(SUMPRODUCT((EDW_RAW!$A$2:$A$1500=$A220)*(LEN(EDW_RAW!$R$2:$R$1500)&gt;0))=COUNTIF(EDW_RAW!$A$2:$A$1500,$A220),"O",IF(SUMPRODUCT((EDW_RAW!$A$2:$A$1500=$A220)*(LEN(EDW_RAW!$R$2:$R$1500)&gt;0))&gt;0,"부분","X")))</f>
        <v/>
      </c>
      <c r="C220" s="4">
        <f>IF(COUNTIF(EDW_RAW!$A$2:$A$1500,$A220)=0,"",IF(SUMPRODUCT((EDW_RAW!$A$2:$A$1500=$A220)*(LEN(EDW_RAW!$U$2:$U$1500)&gt;0))=COUNTIF(EDW_RAW!$A$2:$A$1500,$A220),"O",IF(SUMPRODUCT((EDW_RAW!$A$2:$A$1500=$A220)*(LEN(EDW_RAW!$U$2:$U$1500)&gt;0))&gt;0,"부분","X")))</f>
        <v/>
      </c>
      <c r="D220" s="5">
        <f>IFERROR(MAX(FILTER(소재DB_RAW!$AK$3:$AK$2000,(소재DB_RAW!$G$3:$G$2000=$A220)*ISERROR(SEARCH("drop",소재DB_RAW!$C$3:$C$2000))*(소재DB_RAW!$AK$3:$AK$2000&lt;&gt;""))),"")</f>
        <v/>
      </c>
      <c r="E220" s="4">
        <f>IF($D220="","",TEXT($D220,"yyyy-mm-dd"))</f>
        <v/>
      </c>
    </row>
    <row r="221">
      <c r="A221" s="4" t="inlineStr">
        <is>
          <t>JKJJS27012</t>
        </is>
      </c>
      <c r="B221" s="4">
        <f>IF(COUNTIF(EDW_RAW!$A$2:$A$1500,$A221)=0,"",IF(SUMPRODUCT((EDW_RAW!$A$2:$A$1500=$A221)*(LEN(EDW_RAW!$R$2:$R$1500)&gt;0))=COUNTIF(EDW_RAW!$A$2:$A$1500,$A221),"O",IF(SUMPRODUCT((EDW_RAW!$A$2:$A$1500=$A221)*(LEN(EDW_RAW!$R$2:$R$1500)&gt;0))&gt;0,"부분","X")))</f>
        <v/>
      </c>
      <c r="C221" s="4">
        <f>IF(COUNTIF(EDW_RAW!$A$2:$A$1500,$A221)=0,"",IF(SUMPRODUCT((EDW_RAW!$A$2:$A$1500=$A221)*(LEN(EDW_RAW!$U$2:$U$1500)&gt;0))=COUNTIF(EDW_RAW!$A$2:$A$1500,$A221),"O",IF(SUMPRODUCT((EDW_RAW!$A$2:$A$1500=$A221)*(LEN(EDW_RAW!$U$2:$U$1500)&gt;0))&gt;0,"부분","X")))</f>
        <v/>
      </c>
      <c r="D221" s="5">
        <f>IFERROR(MAX(FILTER(소재DB_RAW!$AK$3:$AK$2000,(소재DB_RAW!$G$3:$G$2000=$A221)*ISERROR(SEARCH("drop",소재DB_RAW!$C$3:$C$2000))*(소재DB_RAW!$AK$3:$AK$2000&lt;&gt;""))),"")</f>
        <v/>
      </c>
      <c r="E221" s="4">
        <f>IF($D221="","",TEXT($D221,"yyyy-mm-dd"))</f>
        <v/>
      </c>
    </row>
    <row r="222">
      <c r="A222" s="4" t="inlineStr">
        <is>
          <t>JKJJS27016</t>
        </is>
      </c>
      <c r="B222" s="4">
        <f>IF(COUNTIF(EDW_RAW!$A$2:$A$1500,$A222)=0,"",IF(SUMPRODUCT((EDW_RAW!$A$2:$A$1500=$A222)*(LEN(EDW_RAW!$R$2:$R$1500)&gt;0))=COUNTIF(EDW_RAW!$A$2:$A$1500,$A222),"O",IF(SUMPRODUCT((EDW_RAW!$A$2:$A$1500=$A222)*(LEN(EDW_RAW!$R$2:$R$1500)&gt;0))&gt;0,"부분","X")))</f>
        <v/>
      </c>
      <c r="C222" s="4">
        <f>IF(COUNTIF(EDW_RAW!$A$2:$A$1500,$A222)=0,"",IF(SUMPRODUCT((EDW_RAW!$A$2:$A$1500=$A222)*(LEN(EDW_RAW!$U$2:$U$1500)&gt;0))=COUNTIF(EDW_RAW!$A$2:$A$1500,$A222),"O",IF(SUMPRODUCT((EDW_RAW!$A$2:$A$1500=$A222)*(LEN(EDW_RAW!$U$2:$U$1500)&gt;0))&gt;0,"부분","X")))</f>
        <v/>
      </c>
      <c r="D222" s="5">
        <f>IFERROR(MAX(FILTER(소재DB_RAW!$AK$3:$AK$2000,(소재DB_RAW!$G$3:$G$2000=$A222)*ISERROR(SEARCH("drop",소재DB_RAW!$C$3:$C$2000))*(소재DB_RAW!$AK$3:$AK$2000&lt;&gt;""))),"")</f>
        <v/>
      </c>
      <c r="E222" s="4">
        <f>IF($D222="","",TEXT($D222,"yyyy-mm-dd"))</f>
        <v/>
      </c>
    </row>
    <row r="223">
      <c r="A223" s="4" t="inlineStr">
        <is>
          <t>JKJJS27022</t>
        </is>
      </c>
      <c r="B223" s="4">
        <f>IF(COUNTIF(EDW_RAW!$A$2:$A$1500,$A223)=0,"",IF(SUMPRODUCT((EDW_RAW!$A$2:$A$1500=$A223)*(LEN(EDW_RAW!$R$2:$R$1500)&gt;0))=COUNTIF(EDW_RAW!$A$2:$A$1500,$A223),"O",IF(SUMPRODUCT((EDW_RAW!$A$2:$A$1500=$A223)*(LEN(EDW_RAW!$R$2:$R$1500)&gt;0))&gt;0,"부분","X")))</f>
        <v/>
      </c>
      <c r="C223" s="4">
        <f>IF(COUNTIF(EDW_RAW!$A$2:$A$1500,$A223)=0,"",IF(SUMPRODUCT((EDW_RAW!$A$2:$A$1500=$A223)*(LEN(EDW_RAW!$U$2:$U$1500)&gt;0))=COUNTIF(EDW_RAW!$A$2:$A$1500,$A223),"O",IF(SUMPRODUCT((EDW_RAW!$A$2:$A$1500=$A223)*(LEN(EDW_RAW!$U$2:$U$1500)&gt;0))&gt;0,"부분","X")))</f>
        <v/>
      </c>
      <c r="D223" s="5">
        <f>IFERROR(MAX(FILTER(소재DB_RAW!$AK$3:$AK$2000,(소재DB_RAW!$G$3:$G$2000=$A223)*ISERROR(SEARCH("drop",소재DB_RAW!$C$3:$C$2000))*(소재DB_RAW!$AK$3:$AK$2000&lt;&gt;""))),"")</f>
        <v/>
      </c>
      <c r="E223" s="4">
        <f>IF($D223="","",TEXT($D223,"yyyy-mm-dd"))</f>
        <v/>
      </c>
    </row>
    <row r="224">
      <c r="A224" s="4" t="inlineStr">
        <is>
          <t>JKJJS27032</t>
        </is>
      </c>
      <c r="B224" s="4">
        <f>IF(COUNTIF(EDW_RAW!$A$2:$A$1500,$A224)=0,"",IF(SUMPRODUCT((EDW_RAW!$A$2:$A$1500=$A224)*(LEN(EDW_RAW!$R$2:$R$1500)&gt;0))=COUNTIF(EDW_RAW!$A$2:$A$1500,$A224),"O",IF(SUMPRODUCT((EDW_RAW!$A$2:$A$1500=$A224)*(LEN(EDW_RAW!$R$2:$R$1500)&gt;0))&gt;0,"부분","X")))</f>
        <v/>
      </c>
      <c r="C224" s="4">
        <f>IF(COUNTIF(EDW_RAW!$A$2:$A$1500,$A224)=0,"",IF(SUMPRODUCT((EDW_RAW!$A$2:$A$1500=$A224)*(LEN(EDW_RAW!$U$2:$U$1500)&gt;0))=COUNTIF(EDW_RAW!$A$2:$A$1500,$A224),"O",IF(SUMPRODUCT((EDW_RAW!$A$2:$A$1500=$A224)*(LEN(EDW_RAW!$U$2:$U$1500)&gt;0))&gt;0,"부분","X")))</f>
        <v/>
      </c>
      <c r="D224" s="5">
        <f>IFERROR(MAX(FILTER(소재DB_RAW!$AK$3:$AK$2000,(소재DB_RAW!$G$3:$G$2000=$A224)*ISERROR(SEARCH("drop",소재DB_RAW!$C$3:$C$2000))*(소재DB_RAW!$AK$3:$AK$2000&lt;&gt;""))),"")</f>
        <v/>
      </c>
      <c r="E224" s="4">
        <f>IF($D224="","",TEXT($D224,"yyyy-mm-dd"))</f>
        <v/>
      </c>
    </row>
    <row r="225">
      <c r="A225" s="4" t="inlineStr">
        <is>
          <t>JKVAS27018</t>
        </is>
      </c>
      <c r="B225" s="4">
        <f>IF(COUNTIF(EDW_RAW!$A$2:$A$1500,$A225)=0,"",IF(SUMPRODUCT((EDW_RAW!$A$2:$A$1500=$A225)*(LEN(EDW_RAW!$R$2:$R$1500)&gt;0))=COUNTIF(EDW_RAW!$A$2:$A$1500,$A225),"O",IF(SUMPRODUCT((EDW_RAW!$A$2:$A$1500=$A225)*(LEN(EDW_RAW!$R$2:$R$1500)&gt;0))&gt;0,"부분","X")))</f>
        <v/>
      </c>
      <c r="C225" s="4">
        <f>IF(COUNTIF(EDW_RAW!$A$2:$A$1500,$A225)=0,"",IF(SUMPRODUCT((EDW_RAW!$A$2:$A$1500=$A225)*(LEN(EDW_RAW!$U$2:$U$1500)&gt;0))=COUNTIF(EDW_RAW!$A$2:$A$1500,$A225),"O",IF(SUMPRODUCT((EDW_RAW!$A$2:$A$1500=$A225)*(LEN(EDW_RAW!$U$2:$U$1500)&gt;0))&gt;0,"부분","X")))</f>
        <v/>
      </c>
      <c r="D225" s="5">
        <f>IFERROR(MAX(FILTER(소재DB_RAW!$AK$3:$AK$2000,(소재DB_RAW!$G$3:$G$2000=$A225)*ISERROR(SEARCH("drop",소재DB_RAW!$C$3:$C$2000))*(소재DB_RAW!$AK$3:$AK$2000&lt;&gt;""))),"")</f>
        <v/>
      </c>
      <c r="E225" s="4">
        <f>IF($D225="","",TEXT($D225,"yyyy-mm-dd"))</f>
        <v/>
      </c>
    </row>
    <row r="226">
      <c r="A226" s="4" t="inlineStr">
        <is>
          <t>JKTBS27058</t>
        </is>
      </c>
      <c r="B226" s="4">
        <f>IF(COUNTIF(EDW_RAW!$A$2:$A$1500,$A226)=0,"",IF(SUMPRODUCT((EDW_RAW!$A$2:$A$1500=$A226)*(LEN(EDW_RAW!$R$2:$R$1500)&gt;0))=COUNTIF(EDW_RAW!$A$2:$A$1500,$A226),"O",IF(SUMPRODUCT((EDW_RAW!$A$2:$A$1500=$A226)*(LEN(EDW_RAW!$R$2:$R$1500)&gt;0))&gt;0,"부분","X")))</f>
        <v/>
      </c>
      <c r="C226" s="4">
        <f>IF(COUNTIF(EDW_RAW!$A$2:$A$1500,$A226)=0,"",IF(SUMPRODUCT((EDW_RAW!$A$2:$A$1500=$A226)*(LEN(EDW_RAW!$U$2:$U$1500)&gt;0))=COUNTIF(EDW_RAW!$A$2:$A$1500,$A226),"O",IF(SUMPRODUCT((EDW_RAW!$A$2:$A$1500=$A226)*(LEN(EDW_RAW!$U$2:$U$1500)&gt;0))&gt;0,"부분","X")))</f>
        <v/>
      </c>
      <c r="D226" s="5">
        <f>IFERROR(MAX(FILTER(소재DB_RAW!$AK$3:$AK$2000,(소재DB_RAW!$G$3:$G$2000=$A226)*ISERROR(SEARCH("drop",소재DB_RAW!$C$3:$C$2000))*(소재DB_RAW!$AK$3:$AK$2000&lt;&gt;""))),"")</f>
        <v/>
      </c>
      <c r="E226" s="4">
        <f>IF($D226="","",TEXT($D226,"yyyy-mm-dd"))</f>
        <v/>
      </c>
    </row>
    <row r="227">
      <c r="A227" s="4" t="inlineStr">
        <is>
          <t>JKTCS27056</t>
        </is>
      </c>
      <c r="B227" s="4">
        <f>IF(COUNTIF(EDW_RAW!$A$2:$A$1500,$A227)=0,"",IF(SUMPRODUCT((EDW_RAW!$A$2:$A$1500=$A227)*(LEN(EDW_RAW!$R$2:$R$1500)&gt;0))=COUNTIF(EDW_RAW!$A$2:$A$1500,$A227),"O",IF(SUMPRODUCT((EDW_RAW!$A$2:$A$1500=$A227)*(LEN(EDW_RAW!$R$2:$R$1500)&gt;0))&gt;0,"부분","X")))</f>
        <v/>
      </c>
      <c r="C227" s="4">
        <f>IF(COUNTIF(EDW_RAW!$A$2:$A$1500,$A227)=0,"",IF(SUMPRODUCT((EDW_RAW!$A$2:$A$1500=$A227)*(LEN(EDW_RAW!$U$2:$U$1500)&gt;0))=COUNTIF(EDW_RAW!$A$2:$A$1500,$A227),"O",IF(SUMPRODUCT((EDW_RAW!$A$2:$A$1500=$A227)*(LEN(EDW_RAW!$U$2:$U$1500)&gt;0))&gt;0,"부분","X")))</f>
        <v/>
      </c>
      <c r="D227" s="5">
        <f>IFERROR(MAX(FILTER(소재DB_RAW!$AK$3:$AK$2000,(소재DB_RAW!$G$3:$G$2000=$A227)*ISERROR(SEARCH("drop",소재DB_RAW!$C$3:$C$2000))*(소재DB_RAW!$AK$3:$AK$2000&lt;&gt;""))),"")</f>
        <v/>
      </c>
      <c r="E227" s="4">
        <f>IF($D227="","",TEXT($D227,"yyyy-mm-dd"))</f>
        <v/>
      </c>
    </row>
    <row r="228">
      <c r="A228" s="4" t="inlineStr">
        <is>
          <t>JKPNS27062</t>
        </is>
      </c>
      <c r="B228" s="4">
        <f>IF(COUNTIF(EDW_RAW!$A$2:$A$1500,$A228)=0,"",IF(SUMPRODUCT((EDW_RAW!$A$2:$A$1500=$A228)*(LEN(EDW_RAW!$R$2:$R$1500)&gt;0))=COUNTIF(EDW_RAW!$A$2:$A$1500,$A228),"O",IF(SUMPRODUCT((EDW_RAW!$A$2:$A$1500=$A228)*(LEN(EDW_RAW!$R$2:$R$1500)&gt;0))&gt;0,"부분","X")))</f>
        <v/>
      </c>
      <c r="C228" s="4">
        <f>IF(COUNTIF(EDW_RAW!$A$2:$A$1500,$A228)=0,"",IF(SUMPRODUCT((EDW_RAW!$A$2:$A$1500=$A228)*(LEN(EDW_RAW!$U$2:$U$1500)&gt;0))=COUNTIF(EDW_RAW!$A$2:$A$1500,$A228),"O",IF(SUMPRODUCT((EDW_RAW!$A$2:$A$1500=$A228)*(LEN(EDW_RAW!$U$2:$U$1500)&gt;0))&gt;0,"부분","X")))</f>
        <v/>
      </c>
      <c r="D228" s="5">
        <f>IFERROR(MAX(FILTER(소재DB_RAW!$AK$3:$AK$2000,(소재DB_RAW!$G$3:$G$2000=$A228)*ISERROR(SEARCH("drop",소재DB_RAW!$C$3:$C$2000))*(소재DB_RAW!$AK$3:$AK$2000&lt;&gt;""))),"")</f>
        <v/>
      </c>
      <c r="E228" s="4">
        <f>IF($D228="","",TEXT($D228,"yyyy-mm-dd"))</f>
        <v/>
      </c>
    </row>
    <row r="229">
      <c r="A229" s="4" t="inlineStr">
        <is>
          <t>JKPNS27072</t>
        </is>
      </c>
      <c r="B229" s="4">
        <f>IF(COUNTIF(EDW_RAW!$A$2:$A$1500,$A229)=0,"",IF(SUMPRODUCT((EDW_RAW!$A$2:$A$1500=$A229)*(LEN(EDW_RAW!$R$2:$R$1500)&gt;0))=COUNTIF(EDW_RAW!$A$2:$A$1500,$A229),"O",IF(SUMPRODUCT((EDW_RAW!$A$2:$A$1500=$A229)*(LEN(EDW_RAW!$R$2:$R$1500)&gt;0))&gt;0,"부분","X")))</f>
        <v/>
      </c>
      <c r="C229" s="4">
        <f>IF(COUNTIF(EDW_RAW!$A$2:$A$1500,$A229)=0,"",IF(SUMPRODUCT((EDW_RAW!$A$2:$A$1500=$A229)*(LEN(EDW_RAW!$U$2:$U$1500)&gt;0))=COUNTIF(EDW_RAW!$A$2:$A$1500,$A229),"O",IF(SUMPRODUCT((EDW_RAW!$A$2:$A$1500=$A229)*(LEN(EDW_RAW!$U$2:$U$1500)&gt;0))&gt;0,"부분","X")))</f>
        <v/>
      </c>
      <c r="D229" s="5">
        <f>IFERROR(MAX(FILTER(소재DB_RAW!$AK$3:$AK$2000,(소재DB_RAW!$G$3:$G$2000=$A229)*ISERROR(SEARCH("drop",소재DB_RAW!$C$3:$C$2000))*(소재DB_RAW!$AK$3:$AK$2000&lt;&gt;""))),"")</f>
        <v/>
      </c>
      <c r="E229" s="4">
        <f>IF($D229="","",TEXT($D229,"yyyy-mm-dd"))</f>
        <v/>
      </c>
    </row>
    <row r="230">
      <c r="A230" s="4" t="inlineStr">
        <is>
          <t>TLTCM27551</t>
        </is>
      </c>
      <c r="B230" s="4">
        <f>IF(COUNTIF(EDW_RAW!$A$2:$A$1500,$A230)=0,"",IF(SUMPRODUCT((EDW_RAW!$A$2:$A$1500=$A230)*(LEN(EDW_RAW!$R$2:$R$1500)&gt;0))=COUNTIF(EDW_RAW!$A$2:$A$1500,$A230),"O",IF(SUMPRODUCT((EDW_RAW!$A$2:$A$1500=$A230)*(LEN(EDW_RAW!$R$2:$R$1500)&gt;0))&gt;0,"부분","X")))</f>
        <v/>
      </c>
      <c r="C230" s="4">
        <f>IF(COUNTIF(EDW_RAW!$A$2:$A$1500,$A230)=0,"",IF(SUMPRODUCT((EDW_RAW!$A$2:$A$1500=$A230)*(LEN(EDW_RAW!$U$2:$U$1500)&gt;0))=COUNTIF(EDW_RAW!$A$2:$A$1500,$A230),"O",IF(SUMPRODUCT((EDW_RAW!$A$2:$A$1500=$A230)*(LEN(EDW_RAW!$U$2:$U$1500)&gt;0))&gt;0,"부분","X")))</f>
        <v/>
      </c>
      <c r="D230" s="5">
        <f>IFERROR(MAX(FILTER(소재DB_RAW!$AK$3:$AK$2000,(소재DB_RAW!$G$3:$G$2000=$A230)*ISERROR(SEARCH("drop",소재DB_RAW!$C$3:$C$2000))*(소재DB_RAW!$AK$3:$AK$2000&lt;&gt;""))),"")</f>
        <v/>
      </c>
      <c r="E230" s="4">
        <f>IF($D230="","",TEXT($D230,"yyyy-mm-dd"))</f>
        <v/>
      </c>
    </row>
    <row r="231">
      <c r="A231" s="4" t="inlineStr">
        <is>
          <t>TLTCM27553</t>
        </is>
      </c>
      <c r="B231" s="4">
        <f>IF(COUNTIF(EDW_RAW!$A$2:$A$1500,$A231)=0,"",IF(SUMPRODUCT((EDW_RAW!$A$2:$A$1500=$A231)*(LEN(EDW_RAW!$R$2:$R$1500)&gt;0))=COUNTIF(EDW_RAW!$A$2:$A$1500,$A231),"O",IF(SUMPRODUCT((EDW_RAW!$A$2:$A$1500=$A231)*(LEN(EDW_RAW!$R$2:$R$1500)&gt;0))&gt;0,"부분","X")))</f>
        <v/>
      </c>
      <c r="C231" s="4">
        <f>IF(COUNTIF(EDW_RAW!$A$2:$A$1500,$A231)=0,"",IF(SUMPRODUCT((EDW_RAW!$A$2:$A$1500=$A231)*(LEN(EDW_RAW!$U$2:$U$1500)&gt;0))=COUNTIF(EDW_RAW!$A$2:$A$1500,$A231),"O",IF(SUMPRODUCT((EDW_RAW!$A$2:$A$1500=$A231)*(LEN(EDW_RAW!$U$2:$U$1500)&gt;0))&gt;0,"부분","X")))</f>
        <v/>
      </c>
      <c r="D231" s="5">
        <f>IFERROR(MAX(FILTER(소재DB_RAW!$AK$3:$AK$2000,(소재DB_RAW!$G$3:$G$2000=$A231)*ISERROR(SEARCH("drop",소재DB_RAW!$C$3:$C$2000))*(소재DB_RAW!$AK$3:$AK$2000&lt;&gt;""))),"")</f>
        <v/>
      </c>
      <c r="E231" s="4">
        <f>IF($D231="","",TEXT($D231,"yyyy-mm-dd"))</f>
        <v/>
      </c>
    </row>
    <row r="232">
      <c r="A232" s="4" t="inlineStr">
        <is>
          <t>TLSCM27551</t>
        </is>
      </c>
      <c r="B232" s="4">
        <f>IF(COUNTIF(EDW_RAW!$A$2:$A$1500,$A232)=0,"",IF(SUMPRODUCT((EDW_RAW!$A$2:$A$1500=$A232)*(LEN(EDW_RAW!$R$2:$R$1500)&gt;0))=COUNTIF(EDW_RAW!$A$2:$A$1500,$A232),"O",IF(SUMPRODUCT((EDW_RAW!$A$2:$A$1500=$A232)*(LEN(EDW_RAW!$R$2:$R$1500)&gt;0))&gt;0,"부분","X")))</f>
        <v/>
      </c>
      <c r="C232" s="4">
        <f>IF(COUNTIF(EDW_RAW!$A$2:$A$1500,$A232)=0,"",IF(SUMPRODUCT((EDW_RAW!$A$2:$A$1500=$A232)*(LEN(EDW_RAW!$U$2:$U$1500)&gt;0))=COUNTIF(EDW_RAW!$A$2:$A$1500,$A232),"O",IF(SUMPRODUCT((EDW_RAW!$A$2:$A$1500=$A232)*(LEN(EDW_RAW!$U$2:$U$1500)&gt;0))&gt;0,"부분","X")))</f>
        <v/>
      </c>
      <c r="D232" s="5">
        <f>IFERROR(MAX(FILTER(소재DB_RAW!$AK$3:$AK$2000,(소재DB_RAW!$G$3:$G$2000=$A232)*ISERROR(SEARCH("drop",소재DB_RAW!$C$3:$C$2000))*(소재DB_RAW!$AK$3:$AK$2000&lt;&gt;""))),"")</f>
        <v/>
      </c>
      <c r="E232" s="4">
        <f>IF($D232="","",TEXT($D232,"yyyy-mm-dd"))</f>
        <v/>
      </c>
    </row>
    <row r="233">
      <c r="A233" s="4" t="inlineStr">
        <is>
          <t>TVTCM27552</t>
        </is>
      </c>
      <c r="B233" s="4">
        <f>IF(COUNTIF(EDW_RAW!$A$2:$A$1500,$A233)=0,"",IF(SUMPRODUCT((EDW_RAW!$A$2:$A$1500=$A233)*(LEN(EDW_RAW!$R$2:$R$1500)&gt;0))=COUNTIF(EDW_RAW!$A$2:$A$1500,$A233),"O",IF(SUMPRODUCT((EDW_RAW!$A$2:$A$1500=$A233)*(LEN(EDW_RAW!$R$2:$R$1500)&gt;0))&gt;0,"부분","X")))</f>
        <v/>
      </c>
      <c r="C233" s="4">
        <f>IF(COUNTIF(EDW_RAW!$A$2:$A$1500,$A233)=0,"",IF(SUMPRODUCT((EDW_RAW!$A$2:$A$1500=$A233)*(LEN(EDW_RAW!$U$2:$U$1500)&gt;0))=COUNTIF(EDW_RAW!$A$2:$A$1500,$A233),"O",IF(SUMPRODUCT((EDW_RAW!$A$2:$A$1500=$A233)*(LEN(EDW_RAW!$U$2:$U$1500)&gt;0))&gt;0,"부분","X")))</f>
        <v/>
      </c>
      <c r="D233" s="5">
        <f>IFERROR(MAX(FILTER(소재DB_RAW!$AK$3:$AK$2000,(소재DB_RAW!$G$3:$G$2000=$A233)*ISERROR(SEARCH("drop",소재DB_RAW!$C$3:$C$2000))*(소재DB_RAW!$AK$3:$AK$2000&lt;&gt;""))),"")</f>
        <v/>
      </c>
      <c r="E233" s="4">
        <f>IF($D233="","",TEXT($D233,"yyyy-mm-dd"))</f>
        <v/>
      </c>
    </row>
    <row r="234">
      <c r="A234" s="4" t="inlineStr">
        <is>
          <t>TVTCM27554</t>
        </is>
      </c>
      <c r="B234" s="4">
        <f>IF(COUNTIF(EDW_RAW!$A$2:$A$1500,$A234)=0,"",IF(SUMPRODUCT((EDW_RAW!$A$2:$A$1500=$A234)*(LEN(EDW_RAW!$R$2:$R$1500)&gt;0))=COUNTIF(EDW_RAW!$A$2:$A$1500,$A234),"O",IF(SUMPRODUCT((EDW_RAW!$A$2:$A$1500=$A234)*(LEN(EDW_RAW!$R$2:$R$1500)&gt;0))&gt;0,"부분","X")))</f>
        <v/>
      </c>
      <c r="C234" s="4">
        <f>IF(COUNTIF(EDW_RAW!$A$2:$A$1500,$A234)=0,"",IF(SUMPRODUCT((EDW_RAW!$A$2:$A$1500=$A234)*(LEN(EDW_RAW!$U$2:$U$1500)&gt;0))=COUNTIF(EDW_RAW!$A$2:$A$1500,$A234),"O",IF(SUMPRODUCT((EDW_RAW!$A$2:$A$1500=$A234)*(LEN(EDW_RAW!$U$2:$U$1500)&gt;0))&gt;0,"부분","X")))</f>
        <v/>
      </c>
      <c r="D234" s="5">
        <f>IFERROR(MAX(FILTER(소재DB_RAW!$AK$3:$AK$2000,(소재DB_RAW!$G$3:$G$2000=$A234)*ISERROR(SEARCH("drop",소재DB_RAW!$C$3:$C$2000))*(소재DB_RAW!$AK$3:$AK$2000&lt;&gt;""))),"")</f>
        <v/>
      </c>
      <c r="E234" s="4">
        <f>IF($D234="","",TEXT($D234,"yyyy-mm-dd"))</f>
        <v/>
      </c>
    </row>
    <row r="235">
      <c r="A235" s="4" t="inlineStr">
        <is>
          <t>TLJJS27521</t>
        </is>
      </c>
      <c r="B235" s="4">
        <f>IF(COUNTIF(EDW_RAW!$A$2:$A$1500,$A235)=0,"",IF(SUMPRODUCT((EDW_RAW!$A$2:$A$1500=$A235)*(LEN(EDW_RAW!$R$2:$R$1500)&gt;0))=COUNTIF(EDW_RAW!$A$2:$A$1500,$A235),"O",IF(SUMPRODUCT((EDW_RAW!$A$2:$A$1500=$A235)*(LEN(EDW_RAW!$R$2:$R$1500)&gt;0))&gt;0,"부분","X")))</f>
        <v/>
      </c>
      <c r="C235" s="4">
        <f>IF(COUNTIF(EDW_RAW!$A$2:$A$1500,$A235)=0,"",IF(SUMPRODUCT((EDW_RAW!$A$2:$A$1500=$A235)*(LEN(EDW_RAW!$U$2:$U$1500)&gt;0))=COUNTIF(EDW_RAW!$A$2:$A$1500,$A235),"O",IF(SUMPRODUCT((EDW_RAW!$A$2:$A$1500=$A235)*(LEN(EDW_RAW!$U$2:$U$1500)&gt;0))&gt;0,"부분","X")))</f>
        <v/>
      </c>
      <c r="D235" s="5">
        <f>IFERROR(MAX(FILTER(소재DB_RAW!$AK$3:$AK$2000,(소재DB_RAW!$G$3:$G$2000=$A235)*ISERROR(SEARCH("drop",소재DB_RAW!$C$3:$C$2000))*(소재DB_RAW!$AK$3:$AK$2000&lt;&gt;""))),"")</f>
        <v/>
      </c>
      <c r="E235" s="4">
        <f>IF($D235="","",TEXT($D235,"yyyy-mm-dd"))</f>
        <v/>
      </c>
    </row>
    <row r="236">
      <c r="A236" s="4" t="inlineStr">
        <is>
          <t>TLJJS27501</t>
        </is>
      </c>
      <c r="B236" s="4">
        <f>IF(COUNTIF(EDW_RAW!$A$2:$A$1500,$A236)=0,"",IF(SUMPRODUCT((EDW_RAW!$A$2:$A$1500=$A236)*(LEN(EDW_RAW!$R$2:$R$1500)&gt;0))=COUNTIF(EDW_RAW!$A$2:$A$1500,$A236),"O",IF(SUMPRODUCT((EDW_RAW!$A$2:$A$1500=$A236)*(LEN(EDW_RAW!$R$2:$R$1500)&gt;0))&gt;0,"부분","X")))</f>
        <v/>
      </c>
      <c r="C236" s="4">
        <f>IF(COUNTIF(EDW_RAW!$A$2:$A$1500,$A236)=0,"",IF(SUMPRODUCT((EDW_RAW!$A$2:$A$1500=$A236)*(LEN(EDW_RAW!$U$2:$U$1500)&gt;0))=COUNTIF(EDW_RAW!$A$2:$A$1500,$A236),"O",IF(SUMPRODUCT((EDW_RAW!$A$2:$A$1500=$A236)*(LEN(EDW_RAW!$U$2:$U$1500)&gt;0))&gt;0,"부분","X")))</f>
        <v/>
      </c>
      <c r="D236" s="5">
        <f>IFERROR(MAX(FILTER(소재DB_RAW!$AK$3:$AK$2000,(소재DB_RAW!$G$3:$G$2000=$A236)*ISERROR(SEARCH("drop",소재DB_RAW!$C$3:$C$2000))*(소재DB_RAW!$AK$3:$AK$2000&lt;&gt;""))),"")</f>
        <v/>
      </c>
      <c r="E236" s="4">
        <f>IF($D236="","",TEXT($D236,"yyyy-mm-dd"))</f>
        <v/>
      </c>
    </row>
    <row r="237">
      <c r="A237" s="4" t="inlineStr">
        <is>
          <t>TLJJS27503</t>
        </is>
      </c>
      <c r="B237" s="4">
        <f>IF(COUNTIF(EDW_RAW!$A$2:$A$1500,$A237)=0,"",IF(SUMPRODUCT((EDW_RAW!$A$2:$A$1500=$A237)*(LEN(EDW_RAW!$R$2:$R$1500)&gt;0))=COUNTIF(EDW_RAW!$A$2:$A$1500,$A237),"O",IF(SUMPRODUCT((EDW_RAW!$A$2:$A$1500=$A237)*(LEN(EDW_RAW!$R$2:$R$1500)&gt;0))&gt;0,"부분","X")))</f>
        <v/>
      </c>
      <c r="C237" s="4">
        <f>IF(COUNTIF(EDW_RAW!$A$2:$A$1500,$A237)=0,"",IF(SUMPRODUCT((EDW_RAW!$A$2:$A$1500=$A237)*(LEN(EDW_RAW!$U$2:$U$1500)&gt;0))=COUNTIF(EDW_RAW!$A$2:$A$1500,$A237),"O",IF(SUMPRODUCT((EDW_RAW!$A$2:$A$1500=$A237)*(LEN(EDW_RAW!$U$2:$U$1500)&gt;0))&gt;0,"부분","X")))</f>
        <v/>
      </c>
      <c r="D237" s="5">
        <f>IFERROR(MAX(FILTER(소재DB_RAW!$AK$3:$AK$2000,(소재DB_RAW!$G$3:$G$2000=$A237)*ISERROR(SEARCH("drop",소재DB_RAW!$C$3:$C$2000))*(소재DB_RAW!$AK$3:$AK$2000&lt;&gt;""))),"")</f>
        <v/>
      </c>
      <c r="E237" s="4">
        <f>IF($D237="","",TEXT($D237,"yyyy-mm-dd"))</f>
        <v/>
      </c>
    </row>
    <row r="238">
      <c r="A238" s="4" t="inlineStr">
        <is>
          <t>TLJJS27511</t>
        </is>
      </c>
      <c r="B238" s="4">
        <f>IF(COUNTIF(EDW_RAW!$A$2:$A$1500,$A238)=0,"",IF(SUMPRODUCT((EDW_RAW!$A$2:$A$1500=$A238)*(LEN(EDW_RAW!$R$2:$R$1500)&gt;0))=COUNTIF(EDW_RAW!$A$2:$A$1500,$A238),"O",IF(SUMPRODUCT((EDW_RAW!$A$2:$A$1500=$A238)*(LEN(EDW_RAW!$R$2:$R$1500)&gt;0))&gt;0,"부분","X")))</f>
        <v/>
      </c>
      <c r="C238" s="4">
        <f>IF(COUNTIF(EDW_RAW!$A$2:$A$1500,$A238)=0,"",IF(SUMPRODUCT((EDW_RAW!$A$2:$A$1500=$A238)*(LEN(EDW_RAW!$U$2:$U$1500)&gt;0))=COUNTIF(EDW_RAW!$A$2:$A$1500,$A238),"O",IF(SUMPRODUCT((EDW_RAW!$A$2:$A$1500=$A238)*(LEN(EDW_RAW!$U$2:$U$1500)&gt;0))&gt;0,"부분","X")))</f>
        <v/>
      </c>
      <c r="D238" s="5">
        <f>IFERROR(MAX(FILTER(소재DB_RAW!$AK$3:$AK$2000,(소재DB_RAW!$G$3:$G$2000=$A238)*ISERROR(SEARCH("drop",소재DB_RAW!$C$3:$C$2000))*(소재DB_RAW!$AK$3:$AK$2000&lt;&gt;""))),"")</f>
        <v/>
      </c>
      <c r="E238" s="4">
        <f>IF($D238="","",TEXT($D238,"yyyy-mm-dd"))</f>
        <v/>
      </c>
    </row>
    <row r="239">
      <c r="A239" s="4" t="inlineStr">
        <is>
          <t>TLJJS27531</t>
        </is>
      </c>
      <c r="B239" s="4">
        <f>IF(COUNTIF(EDW_RAW!$A$2:$A$1500,$A239)=0,"",IF(SUMPRODUCT((EDW_RAW!$A$2:$A$1500=$A239)*(LEN(EDW_RAW!$R$2:$R$1500)&gt;0))=COUNTIF(EDW_RAW!$A$2:$A$1500,$A239),"O",IF(SUMPRODUCT((EDW_RAW!$A$2:$A$1500=$A239)*(LEN(EDW_RAW!$R$2:$R$1500)&gt;0))&gt;0,"부분","X")))</f>
        <v/>
      </c>
      <c r="C239" s="4">
        <f>IF(COUNTIF(EDW_RAW!$A$2:$A$1500,$A239)=0,"",IF(SUMPRODUCT((EDW_RAW!$A$2:$A$1500=$A239)*(LEN(EDW_RAW!$U$2:$U$1500)&gt;0))=COUNTIF(EDW_RAW!$A$2:$A$1500,$A239),"O",IF(SUMPRODUCT((EDW_RAW!$A$2:$A$1500=$A239)*(LEN(EDW_RAW!$U$2:$U$1500)&gt;0))&gt;0,"부분","X")))</f>
        <v/>
      </c>
      <c r="D239" s="5">
        <f>IFERROR(MAX(FILTER(소재DB_RAW!$AK$3:$AK$2000,(소재DB_RAW!$G$3:$G$2000=$A239)*ISERROR(SEARCH("drop",소재DB_RAW!$C$3:$C$2000))*(소재DB_RAW!$AK$3:$AK$2000&lt;&gt;""))),"")</f>
        <v/>
      </c>
      <c r="E239" s="4">
        <f>IF($D239="","",TEXT($D239,"yyyy-mm-dd"))</f>
        <v/>
      </c>
    </row>
    <row r="240">
      <c r="A240" s="4" t="inlineStr">
        <is>
          <t>TLJJS27541</t>
        </is>
      </c>
      <c r="B240" s="4">
        <f>IF(COUNTIF(EDW_RAW!$A$2:$A$1500,$A240)=0,"",IF(SUMPRODUCT((EDW_RAW!$A$2:$A$1500=$A240)*(LEN(EDW_RAW!$R$2:$R$1500)&gt;0))=COUNTIF(EDW_RAW!$A$2:$A$1500,$A240),"O",IF(SUMPRODUCT((EDW_RAW!$A$2:$A$1500=$A240)*(LEN(EDW_RAW!$R$2:$R$1500)&gt;0))&gt;0,"부분","X")))</f>
        <v/>
      </c>
      <c r="C240" s="4">
        <f>IF(COUNTIF(EDW_RAW!$A$2:$A$1500,$A240)=0,"",IF(SUMPRODUCT((EDW_RAW!$A$2:$A$1500=$A240)*(LEN(EDW_RAW!$U$2:$U$1500)&gt;0))=COUNTIF(EDW_RAW!$A$2:$A$1500,$A240),"O",IF(SUMPRODUCT((EDW_RAW!$A$2:$A$1500=$A240)*(LEN(EDW_RAW!$U$2:$U$1500)&gt;0))&gt;0,"부분","X")))</f>
        <v/>
      </c>
      <c r="D240" s="5">
        <f>IFERROR(MAX(FILTER(소재DB_RAW!$AK$3:$AK$2000,(소재DB_RAW!$G$3:$G$2000=$A240)*ISERROR(SEARCH("drop",소재DB_RAW!$C$3:$C$2000))*(소재DB_RAW!$AK$3:$AK$2000&lt;&gt;""))),"")</f>
        <v/>
      </c>
      <c r="E240" s="4">
        <f>IF($D240="","",TEXT($D240,"yyyy-mm-dd"))</f>
        <v/>
      </c>
    </row>
    <row r="241">
      <c r="A241" s="4" t="inlineStr">
        <is>
          <t>TLJJS27551</t>
        </is>
      </c>
      <c r="B241" s="4">
        <f>IF(COUNTIF(EDW_RAW!$A$2:$A$1500,$A241)=0,"",IF(SUMPRODUCT((EDW_RAW!$A$2:$A$1500=$A241)*(LEN(EDW_RAW!$R$2:$R$1500)&gt;0))=COUNTIF(EDW_RAW!$A$2:$A$1500,$A241),"O",IF(SUMPRODUCT((EDW_RAW!$A$2:$A$1500=$A241)*(LEN(EDW_RAW!$R$2:$R$1500)&gt;0))&gt;0,"부분","X")))</f>
        <v/>
      </c>
      <c r="C241" s="4">
        <f>IF(COUNTIF(EDW_RAW!$A$2:$A$1500,$A241)=0,"",IF(SUMPRODUCT((EDW_RAW!$A$2:$A$1500=$A241)*(LEN(EDW_RAW!$U$2:$U$1500)&gt;0))=COUNTIF(EDW_RAW!$A$2:$A$1500,$A241),"O",IF(SUMPRODUCT((EDW_RAW!$A$2:$A$1500=$A241)*(LEN(EDW_RAW!$U$2:$U$1500)&gt;0))&gt;0,"부분","X")))</f>
        <v/>
      </c>
      <c r="D241" s="5">
        <f>IFERROR(MAX(FILTER(소재DB_RAW!$AK$3:$AK$2000,(소재DB_RAW!$G$3:$G$2000=$A241)*ISERROR(SEARCH("drop",소재DB_RAW!$C$3:$C$2000))*(소재DB_RAW!$AK$3:$AK$2000&lt;&gt;""))),"")</f>
        <v/>
      </c>
      <c r="E241" s="4">
        <f>IF($D241="","",TEXT($D241,"yyyy-mm-dd"))</f>
        <v/>
      </c>
    </row>
    <row r="242">
      <c r="A242" s="4" t="inlineStr">
        <is>
          <t>TLJJS27561</t>
        </is>
      </c>
      <c r="B242" s="4">
        <f>IF(COUNTIF(EDW_RAW!$A$2:$A$1500,$A242)=0,"",IF(SUMPRODUCT((EDW_RAW!$A$2:$A$1500=$A242)*(LEN(EDW_RAW!$R$2:$R$1500)&gt;0))=COUNTIF(EDW_RAW!$A$2:$A$1500,$A242),"O",IF(SUMPRODUCT((EDW_RAW!$A$2:$A$1500=$A242)*(LEN(EDW_RAW!$R$2:$R$1500)&gt;0))&gt;0,"부분","X")))</f>
        <v/>
      </c>
      <c r="C242" s="4">
        <f>IF(COUNTIF(EDW_RAW!$A$2:$A$1500,$A242)=0,"",IF(SUMPRODUCT((EDW_RAW!$A$2:$A$1500=$A242)*(LEN(EDW_RAW!$U$2:$U$1500)&gt;0))=COUNTIF(EDW_RAW!$A$2:$A$1500,$A242),"O",IF(SUMPRODUCT((EDW_RAW!$A$2:$A$1500=$A242)*(LEN(EDW_RAW!$U$2:$U$1500)&gt;0))&gt;0,"부분","X")))</f>
        <v/>
      </c>
      <c r="D242" s="5">
        <f>IFERROR(MAX(FILTER(소재DB_RAW!$AK$3:$AK$2000,(소재DB_RAW!$G$3:$G$2000=$A242)*ISERROR(SEARCH("drop",소재DB_RAW!$C$3:$C$2000))*(소재DB_RAW!$AK$3:$AK$2000&lt;&gt;""))),"")</f>
        <v/>
      </c>
      <c r="E242" s="4">
        <f>IF($D242="","",TEXT($D242,"yyyy-mm-dd"))</f>
        <v/>
      </c>
    </row>
    <row r="243">
      <c r="A243" s="4" t="inlineStr">
        <is>
          <t>TLJJM27501</t>
        </is>
      </c>
      <c r="B243" s="4">
        <f>IF(COUNTIF(EDW_RAW!$A$2:$A$1500,$A243)=0,"",IF(SUMPRODUCT((EDW_RAW!$A$2:$A$1500=$A243)*(LEN(EDW_RAW!$R$2:$R$1500)&gt;0))=COUNTIF(EDW_RAW!$A$2:$A$1500,$A243),"O",IF(SUMPRODUCT((EDW_RAW!$A$2:$A$1500=$A243)*(LEN(EDW_RAW!$R$2:$R$1500)&gt;0))&gt;0,"부분","X")))</f>
        <v/>
      </c>
      <c r="C243" s="4">
        <f>IF(COUNTIF(EDW_RAW!$A$2:$A$1500,$A243)=0,"",IF(SUMPRODUCT((EDW_RAW!$A$2:$A$1500=$A243)*(LEN(EDW_RAW!$U$2:$U$1500)&gt;0))=COUNTIF(EDW_RAW!$A$2:$A$1500,$A243),"O",IF(SUMPRODUCT((EDW_RAW!$A$2:$A$1500=$A243)*(LEN(EDW_RAW!$U$2:$U$1500)&gt;0))&gt;0,"부분","X")))</f>
        <v/>
      </c>
      <c r="D243" s="5">
        <f>IFERROR(MAX(FILTER(소재DB_RAW!$AK$3:$AK$2000,(소재DB_RAW!$G$3:$G$2000=$A243)*ISERROR(SEARCH("drop",소재DB_RAW!$C$3:$C$2000))*(소재DB_RAW!$AK$3:$AK$2000&lt;&gt;""))),"")</f>
        <v/>
      </c>
      <c r="E243" s="4">
        <f>IF($D243="","",TEXT($D243,"yyyy-mm-dd"))</f>
        <v/>
      </c>
    </row>
    <row r="244">
      <c r="A244" s="4" t="inlineStr">
        <is>
          <t>TLJJM27511</t>
        </is>
      </c>
      <c r="B244" s="4">
        <f>IF(COUNTIF(EDW_RAW!$A$2:$A$1500,$A244)=0,"",IF(SUMPRODUCT((EDW_RAW!$A$2:$A$1500=$A244)*(LEN(EDW_RAW!$R$2:$R$1500)&gt;0))=COUNTIF(EDW_RAW!$A$2:$A$1500,$A244),"O",IF(SUMPRODUCT((EDW_RAW!$A$2:$A$1500=$A244)*(LEN(EDW_RAW!$R$2:$R$1500)&gt;0))&gt;0,"부분","X")))</f>
        <v/>
      </c>
      <c r="C244" s="4">
        <f>IF(COUNTIF(EDW_RAW!$A$2:$A$1500,$A244)=0,"",IF(SUMPRODUCT((EDW_RAW!$A$2:$A$1500=$A244)*(LEN(EDW_RAW!$U$2:$U$1500)&gt;0))=COUNTIF(EDW_RAW!$A$2:$A$1500,$A244),"O",IF(SUMPRODUCT((EDW_RAW!$A$2:$A$1500=$A244)*(LEN(EDW_RAW!$U$2:$U$1500)&gt;0))&gt;0,"부분","X")))</f>
        <v/>
      </c>
      <c r="D244" s="5">
        <f>IFERROR(MAX(FILTER(소재DB_RAW!$AK$3:$AK$2000,(소재DB_RAW!$G$3:$G$2000=$A244)*ISERROR(SEARCH("drop",소재DB_RAW!$C$3:$C$2000))*(소재DB_RAW!$AK$3:$AK$2000&lt;&gt;""))),"")</f>
        <v/>
      </c>
      <c r="E244" s="4">
        <f>IF($D244="","",TEXT($D244,"yyyy-mm-dd"))</f>
        <v/>
      </c>
    </row>
    <row r="245">
      <c r="A245" s="4" t="inlineStr">
        <is>
          <t>TVPNS27512</t>
        </is>
      </c>
      <c r="B245" s="4">
        <f>IF(COUNTIF(EDW_RAW!$A$2:$A$1500,$A245)=0,"",IF(SUMPRODUCT((EDW_RAW!$A$2:$A$1500=$A245)*(LEN(EDW_RAW!$R$2:$R$1500)&gt;0))=COUNTIF(EDW_RAW!$A$2:$A$1500,$A245),"O",IF(SUMPRODUCT((EDW_RAW!$A$2:$A$1500=$A245)*(LEN(EDW_RAW!$R$2:$R$1500)&gt;0))&gt;0,"부분","X")))</f>
        <v/>
      </c>
      <c r="C245" s="4">
        <f>IF(COUNTIF(EDW_RAW!$A$2:$A$1500,$A245)=0,"",IF(SUMPRODUCT((EDW_RAW!$A$2:$A$1500=$A245)*(LEN(EDW_RAW!$U$2:$U$1500)&gt;0))=COUNTIF(EDW_RAW!$A$2:$A$1500,$A245),"O",IF(SUMPRODUCT((EDW_RAW!$A$2:$A$1500=$A245)*(LEN(EDW_RAW!$U$2:$U$1500)&gt;0))&gt;0,"부분","X")))</f>
        <v/>
      </c>
      <c r="D245" s="5">
        <f>IFERROR(MAX(FILTER(소재DB_RAW!$AK$3:$AK$2000,(소재DB_RAW!$G$3:$G$2000=$A245)*ISERROR(SEARCH("drop",소재DB_RAW!$C$3:$C$2000))*(소재DB_RAW!$AK$3:$AK$2000&lt;&gt;""))),"")</f>
        <v/>
      </c>
      <c r="E245" s="4">
        <f>IF($D245="","",TEXT($D245,"yyyy-mm-dd"))</f>
        <v/>
      </c>
    </row>
    <row r="246">
      <c r="A246" s="4" t="inlineStr">
        <is>
          <t>TVPNS27522</t>
        </is>
      </c>
      <c r="B246" s="4">
        <f>IF(COUNTIF(EDW_RAW!$A$2:$A$1500,$A246)=0,"",IF(SUMPRODUCT((EDW_RAW!$A$2:$A$1500=$A246)*(LEN(EDW_RAW!$R$2:$R$1500)&gt;0))=COUNTIF(EDW_RAW!$A$2:$A$1500,$A246),"O",IF(SUMPRODUCT((EDW_RAW!$A$2:$A$1500=$A246)*(LEN(EDW_RAW!$R$2:$R$1500)&gt;0))&gt;0,"부분","X")))</f>
        <v/>
      </c>
      <c r="C246" s="4">
        <f>IF(COUNTIF(EDW_RAW!$A$2:$A$1500,$A246)=0,"",IF(SUMPRODUCT((EDW_RAW!$A$2:$A$1500=$A246)*(LEN(EDW_RAW!$U$2:$U$1500)&gt;0))=COUNTIF(EDW_RAW!$A$2:$A$1500,$A246),"O",IF(SUMPRODUCT((EDW_RAW!$A$2:$A$1500=$A246)*(LEN(EDW_RAW!$U$2:$U$1500)&gt;0))&gt;0,"부분","X")))</f>
        <v/>
      </c>
      <c r="D246" s="5">
        <f>IFERROR(MAX(FILTER(소재DB_RAW!$AK$3:$AK$2000,(소재DB_RAW!$G$3:$G$2000=$A246)*ISERROR(SEARCH("drop",소재DB_RAW!$C$3:$C$2000))*(소재DB_RAW!$AK$3:$AK$2000&lt;&gt;""))),"")</f>
        <v/>
      </c>
      <c r="E246" s="4">
        <f>IF($D246="","",TEXT($D246,"yyyy-mm-dd"))</f>
        <v/>
      </c>
    </row>
    <row r="247">
      <c r="A247" s="4" t="inlineStr">
        <is>
          <t>TVPNS27532</t>
        </is>
      </c>
      <c r="B247" s="4">
        <f>IF(COUNTIF(EDW_RAW!$A$2:$A$1500,$A247)=0,"",IF(SUMPRODUCT((EDW_RAW!$A$2:$A$1500=$A247)*(LEN(EDW_RAW!$R$2:$R$1500)&gt;0))=COUNTIF(EDW_RAW!$A$2:$A$1500,$A247),"O",IF(SUMPRODUCT((EDW_RAW!$A$2:$A$1500=$A247)*(LEN(EDW_RAW!$R$2:$R$1500)&gt;0))&gt;0,"부분","X")))</f>
        <v/>
      </c>
      <c r="C247" s="4">
        <f>IF(COUNTIF(EDW_RAW!$A$2:$A$1500,$A247)=0,"",IF(SUMPRODUCT((EDW_RAW!$A$2:$A$1500=$A247)*(LEN(EDW_RAW!$U$2:$U$1500)&gt;0))=COUNTIF(EDW_RAW!$A$2:$A$1500,$A247),"O",IF(SUMPRODUCT((EDW_RAW!$A$2:$A$1500=$A247)*(LEN(EDW_RAW!$U$2:$U$1500)&gt;0))&gt;0,"부분","X")))</f>
        <v/>
      </c>
      <c r="D247" s="5">
        <f>IFERROR(MAX(FILTER(소재DB_RAW!$AK$3:$AK$2000,(소재DB_RAW!$G$3:$G$2000=$A247)*ISERROR(SEARCH("drop",소재DB_RAW!$C$3:$C$2000))*(소재DB_RAW!$AK$3:$AK$2000&lt;&gt;""))),"")</f>
        <v/>
      </c>
      <c r="E247" s="4">
        <f>IF($D247="","",TEXT($D247,"yyyy-mm-dd"))</f>
        <v/>
      </c>
    </row>
    <row r="248">
      <c r="A248" s="4" t="inlineStr">
        <is>
          <t>TVPNS27542</t>
        </is>
      </c>
      <c r="B248" s="4">
        <f>IF(COUNTIF(EDW_RAW!$A$2:$A$1500,$A248)=0,"",IF(SUMPRODUCT((EDW_RAW!$A$2:$A$1500=$A248)*(LEN(EDW_RAW!$R$2:$R$1500)&gt;0))=COUNTIF(EDW_RAW!$A$2:$A$1500,$A248),"O",IF(SUMPRODUCT((EDW_RAW!$A$2:$A$1500=$A248)*(LEN(EDW_RAW!$R$2:$R$1500)&gt;0))&gt;0,"부분","X")))</f>
        <v/>
      </c>
      <c r="C248" s="4">
        <f>IF(COUNTIF(EDW_RAW!$A$2:$A$1500,$A248)=0,"",IF(SUMPRODUCT((EDW_RAW!$A$2:$A$1500=$A248)*(LEN(EDW_RAW!$U$2:$U$1500)&gt;0))=COUNTIF(EDW_RAW!$A$2:$A$1500,$A248),"O",IF(SUMPRODUCT((EDW_RAW!$A$2:$A$1500=$A248)*(LEN(EDW_RAW!$U$2:$U$1500)&gt;0))&gt;0,"부분","X")))</f>
        <v/>
      </c>
      <c r="D248" s="5">
        <f>IFERROR(MAX(FILTER(소재DB_RAW!$AK$3:$AK$2000,(소재DB_RAW!$G$3:$G$2000=$A248)*ISERROR(SEARCH("drop",소재DB_RAW!$C$3:$C$2000))*(소재DB_RAW!$AK$3:$AK$2000&lt;&gt;""))),"")</f>
        <v/>
      </c>
      <c r="E248" s="4">
        <f>IF($D248="","",TEXT($D248,"yyyy-mm-dd"))</f>
        <v/>
      </c>
    </row>
    <row r="249">
      <c r="A249" s="4" t="inlineStr">
        <is>
          <t>TVPNS27552</t>
        </is>
      </c>
      <c r="B249" s="4">
        <f>IF(COUNTIF(EDW_RAW!$A$2:$A$1500,$A249)=0,"",IF(SUMPRODUCT((EDW_RAW!$A$2:$A$1500=$A249)*(LEN(EDW_RAW!$R$2:$R$1500)&gt;0))=COUNTIF(EDW_RAW!$A$2:$A$1500,$A249),"O",IF(SUMPRODUCT((EDW_RAW!$A$2:$A$1500=$A249)*(LEN(EDW_RAW!$R$2:$R$1500)&gt;0))&gt;0,"부분","X")))</f>
        <v/>
      </c>
      <c r="C249" s="4">
        <f>IF(COUNTIF(EDW_RAW!$A$2:$A$1500,$A249)=0,"",IF(SUMPRODUCT((EDW_RAW!$A$2:$A$1500=$A249)*(LEN(EDW_RAW!$U$2:$U$1500)&gt;0))=COUNTIF(EDW_RAW!$A$2:$A$1500,$A249),"O",IF(SUMPRODUCT((EDW_RAW!$A$2:$A$1500=$A249)*(LEN(EDW_RAW!$U$2:$U$1500)&gt;0))&gt;0,"부분","X")))</f>
        <v/>
      </c>
      <c r="D249" s="5">
        <f>IFERROR(MAX(FILTER(소재DB_RAW!$AK$3:$AK$2000,(소재DB_RAW!$G$3:$G$2000=$A249)*ISERROR(SEARCH("drop",소재DB_RAW!$C$3:$C$2000))*(소재DB_RAW!$AK$3:$AK$2000&lt;&gt;""))),"")</f>
        <v/>
      </c>
      <c r="E249" s="4">
        <f>IF($D249="","",TEXT($D249,"yyyy-mm-dd"))</f>
        <v/>
      </c>
    </row>
    <row r="250">
      <c r="A250" s="4" t="inlineStr">
        <is>
          <t>TVPOS27502</t>
        </is>
      </c>
      <c r="B250" s="4">
        <f>IF(COUNTIF(EDW_RAW!$A$2:$A$1500,$A250)=0,"",IF(SUMPRODUCT((EDW_RAW!$A$2:$A$1500=$A250)*(LEN(EDW_RAW!$R$2:$R$1500)&gt;0))=COUNTIF(EDW_RAW!$A$2:$A$1500,$A250),"O",IF(SUMPRODUCT((EDW_RAW!$A$2:$A$1500=$A250)*(LEN(EDW_RAW!$R$2:$R$1500)&gt;0))&gt;0,"부분","X")))</f>
        <v/>
      </c>
      <c r="C250" s="4">
        <f>IF(COUNTIF(EDW_RAW!$A$2:$A$1500,$A250)=0,"",IF(SUMPRODUCT((EDW_RAW!$A$2:$A$1500=$A250)*(LEN(EDW_RAW!$U$2:$U$1500)&gt;0))=COUNTIF(EDW_RAW!$A$2:$A$1500,$A250),"O",IF(SUMPRODUCT((EDW_RAW!$A$2:$A$1500=$A250)*(LEN(EDW_RAW!$U$2:$U$1500)&gt;0))&gt;0,"부분","X")))</f>
        <v/>
      </c>
      <c r="D250" s="5">
        <f>IFERROR(MAX(FILTER(소재DB_RAW!$AK$3:$AK$2000,(소재DB_RAW!$G$3:$G$2000=$A250)*ISERROR(SEARCH("drop",소재DB_RAW!$C$3:$C$2000))*(소재DB_RAW!$AK$3:$AK$2000&lt;&gt;""))),"")</f>
        <v/>
      </c>
      <c r="E250" s="4">
        <f>IF($D250="","",TEXT($D250,"yyyy-mm-dd"))</f>
        <v/>
      </c>
    </row>
    <row r="251">
      <c r="A251" s="4" t="inlineStr">
        <is>
          <t>TVPNS27902</t>
        </is>
      </c>
      <c r="B251" s="4">
        <f>IF(COUNTIF(EDW_RAW!$A$2:$A$1500,$A251)=0,"",IF(SUMPRODUCT((EDW_RAW!$A$2:$A$1500=$A251)*(LEN(EDW_RAW!$R$2:$R$1500)&gt;0))=COUNTIF(EDW_RAW!$A$2:$A$1500,$A251),"O",IF(SUMPRODUCT((EDW_RAW!$A$2:$A$1500=$A251)*(LEN(EDW_RAW!$R$2:$R$1500)&gt;0))&gt;0,"부분","X")))</f>
        <v/>
      </c>
      <c r="C251" s="4">
        <f>IF(COUNTIF(EDW_RAW!$A$2:$A$1500,$A251)=0,"",IF(SUMPRODUCT((EDW_RAW!$A$2:$A$1500=$A251)*(LEN(EDW_RAW!$U$2:$U$1500)&gt;0))=COUNTIF(EDW_RAW!$A$2:$A$1500,$A251),"O",IF(SUMPRODUCT((EDW_RAW!$A$2:$A$1500=$A251)*(LEN(EDW_RAW!$U$2:$U$1500)&gt;0))&gt;0,"부분","X")))</f>
        <v/>
      </c>
      <c r="D251" s="5">
        <f>IFERROR(MAX(FILTER(소재DB_RAW!$AK$3:$AK$2000,(소재DB_RAW!$G$3:$G$2000=$A251)*ISERROR(SEARCH("drop",소재DB_RAW!$C$3:$C$2000))*(소재DB_RAW!$AK$3:$AK$2000&lt;&gt;""))),"")</f>
        <v/>
      </c>
      <c r="E251" s="4">
        <f>IF($D251="","",TEXT($D251,"yyyy-mm-dd"))</f>
        <v/>
      </c>
    </row>
    <row r="252">
      <c r="A252" s="4" t="inlineStr">
        <is>
          <t>TVPNM27502</t>
        </is>
      </c>
      <c r="B252" s="4">
        <f>IF(COUNTIF(EDW_RAW!$A$2:$A$1500,$A252)=0,"",IF(SUMPRODUCT((EDW_RAW!$A$2:$A$1500=$A252)*(LEN(EDW_RAW!$R$2:$R$1500)&gt;0))=COUNTIF(EDW_RAW!$A$2:$A$1500,$A252),"O",IF(SUMPRODUCT((EDW_RAW!$A$2:$A$1500=$A252)*(LEN(EDW_RAW!$R$2:$R$1500)&gt;0))&gt;0,"부분","X")))</f>
        <v/>
      </c>
      <c r="C252" s="4">
        <f>IF(COUNTIF(EDW_RAW!$A$2:$A$1500,$A252)=0,"",IF(SUMPRODUCT((EDW_RAW!$A$2:$A$1500=$A252)*(LEN(EDW_RAW!$U$2:$U$1500)&gt;0))=COUNTIF(EDW_RAW!$A$2:$A$1500,$A252),"O",IF(SUMPRODUCT((EDW_RAW!$A$2:$A$1500=$A252)*(LEN(EDW_RAW!$U$2:$U$1500)&gt;0))&gt;0,"부분","X")))</f>
        <v/>
      </c>
      <c r="D252" s="5">
        <f>IFERROR(MAX(FILTER(소재DB_RAW!$AK$3:$AK$2000,(소재DB_RAW!$G$3:$G$2000=$A252)*ISERROR(SEARCH("drop",소재DB_RAW!$C$3:$C$2000))*(소재DB_RAW!$AK$3:$AK$2000&lt;&gt;""))),"")</f>
        <v/>
      </c>
      <c r="E252" s="4">
        <f>IF($D252="","",TEXT($D252,"yyyy-mm-dd"))</f>
        <v/>
      </c>
    </row>
    <row r="253">
      <c r="A253" s="4" t="inlineStr">
        <is>
          <t>TVPNM27522</t>
        </is>
      </c>
      <c r="B253" s="4">
        <f>IF(COUNTIF(EDW_RAW!$A$2:$A$1500,$A253)=0,"",IF(SUMPRODUCT((EDW_RAW!$A$2:$A$1500=$A253)*(LEN(EDW_RAW!$R$2:$R$1500)&gt;0))=COUNTIF(EDW_RAW!$A$2:$A$1500,$A253),"O",IF(SUMPRODUCT((EDW_RAW!$A$2:$A$1500=$A253)*(LEN(EDW_RAW!$R$2:$R$1500)&gt;0))&gt;0,"부분","X")))</f>
        <v/>
      </c>
      <c r="C253" s="4">
        <f>IF(COUNTIF(EDW_RAW!$A$2:$A$1500,$A253)=0,"",IF(SUMPRODUCT((EDW_RAW!$A$2:$A$1500=$A253)*(LEN(EDW_RAW!$U$2:$U$1500)&gt;0))=COUNTIF(EDW_RAW!$A$2:$A$1500,$A253),"O",IF(SUMPRODUCT((EDW_RAW!$A$2:$A$1500=$A253)*(LEN(EDW_RAW!$U$2:$U$1500)&gt;0))&gt;0,"부분","X")))</f>
        <v/>
      </c>
      <c r="D253" s="5">
        <f>IFERROR(MAX(FILTER(소재DB_RAW!$AK$3:$AK$2000,(소재DB_RAW!$G$3:$G$2000=$A253)*ISERROR(SEARCH("drop",소재DB_RAW!$C$3:$C$2000))*(소재DB_RAW!$AK$3:$AK$2000&lt;&gt;""))),"")</f>
        <v/>
      </c>
      <c r="E253" s="4">
        <f>IF($D253="","",TEXT($D253,"yyyy-mm-dd"))</f>
        <v/>
      </c>
    </row>
    <row r="254">
      <c r="A254" s="4" t="inlineStr">
        <is>
          <t>TVPNM27532</t>
        </is>
      </c>
      <c r="B254" s="4">
        <f>IF(COUNTIF(EDW_RAW!$A$2:$A$1500,$A254)=0,"",IF(SUMPRODUCT((EDW_RAW!$A$2:$A$1500=$A254)*(LEN(EDW_RAW!$R$2:$R$1500)&gt;0))=COUNTIF(EDW_RAW!$A$2:$A$1500,$A254),"O",IF(SUMPRODUCT((EDW_RAW!$A$2:$A$1500=$A254)*(LEN(EDW_RAW!$R$2:$R$1500)&gt;0))&gt;0,"부분","X")))</f>
        <v/>
      </c>
      <c r="C254" s="4">
        <f>IF(COUNTIF(EDW_RAW!$A$2:$A$1500,$A254)=0,"",IF(SUMPRODUCT((EDW_RAW!$A$2:$A$1500=$A254)*(LEN(EDW_RAW!$U$2:$U$1500)&gt;0))=COUNTIF(EDW_RAW!$A$2:$A$1500,$A254),"O",IF(SUMPRODUCT((EDW_RAW!$A$2:$A$1500=$A254)*(LEN(EDW_RAW!$U$2:$U$1500)&gt;0))&gt;0,"부분","X")))</f>
        <v/>
      </c>
      <c r="D254" s="5">
        <f>IFERROR(MAX(FILTER(소재DB_RAW!$AK$3:$AK$2000,(소재DB_RAW!$G$3:$G$2000=$A254)*ISERROR(SEARCH("drop",소재DB_RAW!$C$3:$C$2000))*(소재DB_RAW!$AK$3:$AK$2000&lt;&gt;""))),"")</f>
        <v/>
      </c>
      <c r="E254" s="4">
        <f>IF($D254="","",TEXT($D254,"yyyy-mm-dd"))</f>
        <v/>
      </c>
    </row>
    <row r="255">
      <c r="A255" s="4" t="inlineStr">
        <is>
          <t>TVPNM27542</t>
        </is>
      </c>
      <c r="B255" s="4">
        <f>IF(COUNTIF(EDW_RAW!$A$2:$A$1500,$A255)=0,"",IF(SUMPRODUCT((EDW_RAW!$A$2:$A$1500=$A255)*(LEN(EDW_RAW!$R$2:$R$1500)&gt;0))=COUNTIF(EDW_RAW!$A$2:$A$1500,$A255),"O",IF(SUMPRODUCT((EDW_RAW!$A$2:$A$1500=$A255)*(LEN(EDW_RAW!$R$2:$R$1500)&gt;0))&gt;0,"부분","X")))</f>
        <v/>
      </c>
      <c r="C255" s="4">
        <f>IF(COUNTIF(EDW_RAW!$A$2:$A$1500,$A255)=0,"",IF(SUMPRODUCT((EDW_RAW!$A$2:$A$1500=$A255)*(LEN(EDW_RAW!$U$2:$U$1500)&gt;0))=COUNTIF(EDW_RAW!$A$2:$A$1500,$A255),"O",IF(SUMPRODUCT((EDW_RAW!$A$2:$A$1500=$A255)*(LEN(EDW_RAW!$U$2:$U$1500)&gt;0))&gt;0,"부분","X")))</f>
        <v/>
      </c>
      <c r="D255" s="5">
        <f>IFERROR(MAX(FILTER(소재DB_RAW!$AK$3:$AK$2000,(소재DB_RAW!$G$3:$G$2000=$A255)*ISERROR(SEARCH("drop",소재DB_RAW!$C$3:$C$2000))*(소재DB_RAW!$AK$3:$AK$2000&lt;&gt;""))),"")</f>
        <v/>
      </c>
      <c r="E255" s="4">
        <f>IF($D255="","",TEXT($D255,"yyyy-mm-dd"))</f>
        <v/>
      </c>
    </row>
    <row r="256">
      <c r="A256" s="4" t="inlineStr">
        <is>
          <t>TVPOM27502</t>
        </is>
      </c>
      <c r="B256" s="4">
        <f>IF(COUNTIF(EDW_RAW!$A$2:$A$1500,$A256)=0,"",IF(SUMPRODUCT((EDW_RAW!$A$2:$A$1500=$A256)*(LEN(EDW_RAW!$R$2:$R$1500)&gt;0))=COUNTIF(EDW_RAW!$A$2:$A$1500,$A256),"O",IF(SUMPRODUCT((EDW_RAW!$A$2:$A$1500=$A256)*(LEN(EDW_RAW!$R$2:$R$1500)&gt;0))&gt;0,"부분","X")))</f>
        <v/>
      </c>
      <c r="C256" s="4">
        <f>IF(COUNTIF(EDW_RAW!$A$2:$A$1500,$A256)=0,"",IF(SUMPRODUCT((EDW_RAW!$A$2:$A$1500=$A256)*(LEN(EDW_RAW!$U$2:$U$1500)&gt;0))=COUNTIF(EDW_RAW!$A$2:$A$1500,$A256),"O",IF(SUMPRODUCT((EDW_RAW!$A$2:$A$1500=$A256)*(LEN(EDW_RAW!$U$2:$U$1500)&gt;0))&gt;0,"부분","X")))</f>
        <v/>
      </c>
      <c r="D256" s="5">
        <f>IFERROR(MAX(FILTER(소재DB_RAW!$AK$3:$AK$2000,(소재DB_RAW!$G$3:$G$2000=$A256)*ISERROR(SEARCH("drop",소재DB_RAW!$C$3:$C$2000))*(소재DB_RAW!$AK$3:$AK$2000&lt;&gt;""))),"")</f>
        <v/>
      </c>
      <c r="E256" s="4">
        <f>IF($D256="","",TEXT($D256,"yyyy-mm-dd"))</f>
        <v/>
      </c>
    </row>
    <row r="257">
      <c r="A257" s="4" t="inlineStr">
        <is>
          <t>TVPOM27512</t>
        </is>
      </c>
      <c r="B257" s="4">
        <f>IF(COUNTIF(EDW_RAW!$A$2:$A$1500,$A257)=0,"",IF(SUMPRODUCT((EDW_RAW!$A$2:$A$1500=$A257)*(LEN(EDW_RAW!$R$2:$R$1500)&gt;0))=COUNTIF(EDW_RAW!$A$2:$A$1500,$A257),"O",IF(SUMPRODUCT((EDW_RAW!$A$2:$A$1500=$A257)*(LEN(EDW_RAW!$R$2:$R$1500)&gt;0))&gt;0,"부분","X")))</f>
        <v/>
      </c>
      <c r="C257" s="4">
        <f>IF(COUNTIF(EDW_RAW!$A$2:$A$1500,$A257)=0,"",IF(SUMPRODUCT((EDW_RAW!$A$2:$A$1500=$A257)*(LEN(EDW_RAW!$U$2:$U$1500)&gt;0))=COUNTIF(EDW_RAW!$A$2:$A$1500,$A257),"O",IF(SUMPRODUCT((EDW_RAW!$A$2:$A$1500=$A257)*(LEN(EDW_RAW!$U$2:$U$1500)&gt;0))&gt;0,"부분","X")))</f>
        <v/>
      </c>
      <c r="D257" s="5">
        <f>IFERROR(MAX(FILTER(소재DB_RAW!$AK$3:$AK$2000,(소재DB_RAW!$G$3:$G$2000=$A257)*ISERROR(SEARCH("drop",소재DB_RAW!$C$3:$C$2000))*(소재DB_RAW!$AK$3:$AK$2000&lt;&gt;""))),"")</f>
        <v/>
      </c>
      <c r="E257" s="4">
        <f>IF($D257="","",TEXT($D257,"yyyy-mm-dd"))</f>
        <v/>
      </c>
    </row>
    <row r="258">
      <c r="A258" s="4" t="inlineStr">
        <is>
          <t>TVPNM27904</t>
        </is>
      </c>
      <c r="B258" s="4">
        <f>IF(COUNTIF(EDW_RAW!$A$2:$A$1500,$A258)=0,"",IF(SUMPRODUCT((EDW_RAW!$A$2:$A$1500=$A258)*(LEN(EDW_RAW!$R$2:$R$1500)&gt;0))=COUNTIF(EDW_RAW!$A$2:$A$1500,$A258),"O",IF(SUMPRODUCT((EDW_RAW!$A$2:$A$1500=$A258)*(LEN(EDW_RAW!$R$2:$R$1500)&gt;0))&gt;0,"부분","X")))</f>
        <v/>
      </c>
      <c r="C258" s="4">
        <f>IF(COUNTIF(EDW_RAW!$A$2:$A$1500,$A258)=0,"",IF(SUMPRODUCT((EDW_RAW!$A$2:$A$1500=$A258)*(LEN(EDW_RAW!$U$2:$U$1500)&gt;0))=COUNTIF(EDW_RAW!$A$2:$A$1500,$A258),"O",IF(SUMPRODUCT((EDW_RAW!$A$2:$A$1500=$A258)*(LEN(EDW_RAW!$U$2:$U$1500)&gt;0))&gt;0,"부분","X")))</f>
        <v/>
      </c>
      <c r="D258" s="5">
        <f>IFERROR(MAX(FILTER(소재DB_RAW!$AK$3:$AK$2000,(소재DB_RAW!$G$3:$G$2000=$A258)*ISERROR(SEARCH("drop",소재DB_RAW!$C$3:$C$2000))*(소재DB_RAW!$AK$3:$AK$2000&lt;&gt;""))),"")</f>
        <v/>
      </c>
      <c r="E258" s="4">
        <f>IF($D258="","",TEXT($D258,"yyyy-mm-dd"))</f>
        <v/>
      </c>
    </row>
    <row r="259">
      <c r="A259" s="4" t="inlineStr">
        <is>
          <t>TVSCM27692</t>
        </is>
      </c>
      <c r="B259" s="4">
        <f>IF(COUNTIF(EDW_RAW!$A$2:$A$1500,$A259)=0,"",IF(SUMPRODUCT((EDW_RAW!$A$2:$A$1500=$A259)*(LEN(EDW_RAW!$R$2:$R$1500)&gt;0))=COUNTIF(EDW_RAW!$A$2:$A$1500,$A259),"O",IF(SUMPRODUCT((EDW_RAW!$A$2:$A$1500=$A259)*(LEN(EDW_RAW!$R$2:$R$1500)&gt;0))&gt;0,"부분","X")))</f>
        <v/>
      </c>
      <c r="C259" s="4">
        <f>IF(COUNTIF(EDW_RAW!$A$2:$A$1500,$A259)=0,"",IF(SUMPRODUCT((EDW_RAW!$A$2:$A$1500=$A259)*(LEN(EDW_RAW!$U$2:$U$1500)&gt;0))=COUNTIF(EDW_RAW!$A$2:$A$1500,$A259),"O",IF(SUMPRODUCT((EDW_RAW!$A$2:$A$1500=$A259)*(LEN(EDW_RAW!$U$2:$U$1500)&gt;0))&gt;0,"부분","X")))</f>
        <v/>
      </c>
      <c r="D259" s="5">
        <f>IFERROR(MAX(FILTER(소재DB_RAW!$AK$3:$AK$2000,(소재DB_RAW!$G$3:$G$2000=$A259)*ISERROR(SEARCH("drop",소재DB_RAW!$C$3:$C$2000))*(소재DB_RAW!$AK$3:$AK$2000&lt;&gt;""))),"")</f>
        <v/>
      </c>
      <c r="E259" s="4">
        <f>IF($D259="","",TEXT($D259,"yyyy-mm-dd"))</f>
        <v/>
      </c>
    </row>
    <row r="260">
      <c r="A260" s="4" t="inlineStr">
        <is>
          <t>TVTCM27692</t>
        </is>
      </c>
      <c r="B260" s="4">
        <f>IF(COUNTIF(EDW_RAW!$A$2:$A$1500,$A260)=0,"",IF(SUMPRODUCT((EDW_RAW!$A$2:$A$1500=$A260)*(LEN(EDW_RAW!$R$2:$R$1500)&gt;0))=COUNTIF(EDW_RAW!$A$2:$A$1500,$A260),"O",IF(SUMPRODUCT((EDW_RAW!$A$2:$A$1500=$A260)*(LEN(EDW_RAW!$R$2:$R$1500)&gt;0))&gt;0,"부분","X")))</f>
        <v/>
      </c>
      <c r="C260" s="4">
        <f>IF(COUNTIF(EDW_RAW!$A$2:$A$1500,$A260)=0,"",IF(SUMPRODUCT((EDW_RAW!$A$2:$A$1500=$A260)*(LEN(EDW_RAW!$U$2:$U$1500)&gt;0))=COUNTIF(EDW_RAW!$A$2:$A$1500,$A260),"O",IF(SUMPRODUCT((EDW_RAW!$A$2:$A$1500=$A260)*(LEN(EDW_RAW!$U$2:$U$1500)&gt;0))&gt;0,"부분","X")))</f>
        <v/>
      </c>
      <c r="D260" s="5">
        <f>IFERROR(MAX(FILTER(소재DB_RAW!$AK$3:$AK$2000,(소재DB_RAW!$G$3:$G$2000=$A260)*ISERROR(SEARCH("drop",소재DB_RAW!$C$3:$C$2000))*(소재DB_RAW!$AK$3:$AK$2000&lt;&gt;""))),"")</f>
        <v/>
      </c>
      <c r="E260" s="4">
        <f>IF($D260="","",TEXT($D260,"yyyy-mm-dd"))</f>
        <v/>
      </c>
    </row>
    <row r="261">
      <c r="A261" s="4" t="inlineStr">
        <is>
          <t>TVTCM27694</t>
        </is>
      </c>
      <c r="B261" s="4">
        <f>IF(COUNTIF(EDW_RAW!$A$2:$A$1500,$A261)=0,"",IF(SUMPRODUCT((EDW_RAW!$A$2:$A$1500=$A261)*(LEN(EDW_RAW!$R$2:$R$1500)&gt;0))=COUNTIF(EDW_RAW!$A$2:$A$1500,$A261),"O",IF(SUMPRODUCT((EDW_RAW!$A$2:$A$1500=$A261)*(LEN(EDW_RAW!$R$2:$R$1500)&gt;0))&gt;0,"부분","X")))</f>
        <v/>
      </c>
      <c r="C261" s="4">
        <f>IF(COUNTIF(EDW_RAW!$A$2:$A$1500,$A261)=0,"",IF(SUMPRODUCT((EDW_RAW!$A$2:$A$1500=$A261)*(LEN(EDW_RAW!$U$2:$U$1500)&gt;0))=COUNTIF(EDW_RAW!$A$2:$A$1500,$A261),"O",IF(SUMPRODUCT((EDW_RAW!$A$2:$A$1500=$A261)*(LEN(EDW_RAW!$U$2:$U$1500)&gt;0))&gt;0,"부분","X")))</f>
        <v/>
      </c>
      <c r="D261" s="5">
        <f>IFERROR(MAX(FILTER(소재DB_RAW!$AK$3:$AK$2000,(소재DB_RAW!$G$3:$G$2000=$A261)*ISERROR(SEARCH("drop",소재DB_RAW!$C$3:$C$2000))*(소재DB_RAW!$AK$3:$AK$2000&lt;&gt;""))),"")</f>
        <v/>
      </c>
      <c r="E261" s="4">
        <f>IF($D261="","",TEXT($D261,"yyyy-mm-dd"))</f>
        <v/>
      </c>
    </row>
    <row r="262">
      <c r="A262" s="4" t="inlineStr">
        <is>
          <t>TVTCM27696</t>
        </is>
      </c>
      <c r="B262" s="4">
        <f>IF(COUNTIF(EDW_RAW!$A$2:$A$1500,$A262)=0,"",IF(SUMPRODUCT((EDW_RAW!$A$2:$A$1500=$A262)*(LEN(EDW_RAW!$R$2:$R$1500)&gt;0))=COUNTIF(EDW_RAW!$A$2:$A$1500,$A262),"O",IF(SUMPRODUCT((EDW_RAW!$A$2:$A$1500=$A262)*(LEN(EDW_RAW!$R$2:$R$1500)&gt;0))&gt;0,"부분","X")))</f>
        <v/>
      </c>
      <c r="C262" s="4">
        <f>IF(COUNTIF(EDW_RAW!$A$2:$A$1500,$A262)=0,"",IF(SUMPRODUCT((EDW_RAW!$A$2:$A$1500=$A262)*(LEN(EDW_RAW!$U$2:$U$1500)&gt;0))=COUNTIF(EDW_RAW!$A$2:$A$1500,$A262),"O",IF(SUMPRODUCT((EDW_RAW!$A$2:$A$1500=$A262)*(LEN(EDW_RAW!$U$2:$U$1500)&gt;0))&gt;0,"부분","X")))</f>
        <v/>
      </c>
      <c r="D262" s="5">
        <f>IFERROR(MAX(FILTER(소재DB_RAW!$AK$3:$AK$2000,(소재DB_RAW!$G$3:$G$2000=$A262)*ISERROR(SEARCH("drop",소재DB_RAW!$C$3:$C$2000))*(소재DB_RAW!$AK$3:$AK$2000&lt;&gt;""))),"")</f>
        <v/>
      </c>
      <c r="E262" s="4">
        <f>IF($D262="","",TEXT($D262,"yyyy-mm-dd"))</f>
        <v/>
      </c>
    </row>
    <row r="263">
      <c r="A263" s="4" t="inlineStr">
        <is>
          <t>TVTCM27698</t>
        </is>
      </c>
      <c r="B263" s="4">
        <f>IF(COUNTIF(EDW_RAW!$A$2:$A$1500,$A263)=0,"",IF(SUMPRODUCT((EDW_RAW!$A$2:$A$1500=$A263)*(LEN(EDW_RAW!$R$2:$R$1500)&gt;0))=COUNTIF(EDW_RAW!$A$2:$A$1500,$A263),"O",IF(SUMPRODUCT((EDW_RAW!$A$2:$A$1500=$A263)*(LEN(EDW_RAW!$R$2:$R$1500)&gt;0))&gt;0,"부분","X")))</f>
        <v/>
      </c>
      <c r="C263" s="4">
        <f>IF(COUNTIF(EDW_RAW!$A$2:$A$1500,$A263)=0,"",IF(SUMPRODUCT((EDW_RAW!$A$2:$A$1500=$A263)*(LEN(EDW_RAW!$U$2:$U$1500)&gt;0))=COUNTIF(EDW_RAW!$A$2:$A$1500,$A263),"O",IF(SUMPRODUCT((EDW_RAW!$A$2:$A$1500=$A263)*(LEN(EDW_RAW!$U$2:$U$1500)&gt;0))&gt;0,"부분","X")))</f>
        <v/>
      </c>
      <c r="D263" s="5">
        <f>IFERROR(MAX(FILTER(소재DB_RAW!$AK$3:$AK$2000,(소재DB_RAW!$G$3:$G$2000=$A263)*ISERROR(SEARCH("drop",소재DB_RAW!$C$3:$C$2000))*(소재DB_RAW!$AK$3:$AK$2000&lt;&gt;""))),"")</f>
        <v/>
      </c>
      <c r="E263" s="4">
        <f>IF($D263="","",TEXT($D263,"yyyy-mm-dd"))</f>
        <v/>
      </c>
    </row>
    <row r="264">
      <c r="A264" s="4" t="inlineStr">
        <is>
          <t>TVPNM27694</t>
        </is>
      </c>
      <c r="B264" s="4">
        <f>IF(COUNTIF(EDW_RAW!$A$2:$A$1500,$A264)=0,"",IF(SUMPRODUCT((EDW_RAW!$A$2:$A$1500=$A264)*(LEN(EDW_RAW!$R$2:$R$1500)&gt;0))=COUNTIF(EDW_RAW!$A$2:$A$1500,$A264),"O",IF(SUMPRODUCT((EDW_RAW!$A$2:$A$1500=$A264)*(LEN(EDW_RAW!$R$2:$R$1500)&gt;0))&gt;0,"부분","X")))</f>
        <v/>
      </c>
      <c r="C264" s="4">
        <f>IF(COUNTIF(EDW_RAW!$A$2:$A$1500,$A264)=0,"",IF(SUMPRODUCT((EDW_RAW!$A$2:$A$1500=$A264)*(LEN(EDW_RAW!$U$2:$U$1500)&gt;0))=COUNTIF(EDW_RAW!$A$2:$A$1500,$A264),"O",IF(SUMPRODUCT((EDW_RAW!$A$2:$A$1500=$A264)*(LEN(EDW_RAW!$U$2:$U$1500)&gt;0))&gt;0,"부분","X")))</f>
        <v/>
      </c>
      <c r="D264" s="5">
        <f>IFERROR(MAX(FILTER(소재DB_RAW!$AK$3:$AK$2000,(소재DB_RAW!$G$3:$G$2000=$A264)*ISERROR(SEARCH("drop",소재DB_RAW!$C$3:$C$2000))*(소재DB_RAW!$AK$3:$AK$2000&lt;&gt;""))),"")</f>
        <v/>
      </c>
      <c r="E264" s="4">
        <f>IF($D264="","",TEXT($D264,"yyyy-mm-dd"))</f>
        <v/>
      </c>
    </row>
    <row r="265">
      <c r="A265" s="4" t="inlineStr">
        <is>
          <t>TVPOM27692</t>
        </is>
      </c>
      <c r="B265" s="4">
        <f>IF(COUNTIF(EDW_RAW!$A$2:$A$1500,$A265)=0,"",IF(SUMPRODUCT((EDW_RAW!$A$2:$A$1500=$A265)*(LEN(EDW_RAW!$R$2:$R$1500)&gt;0))=COUNTIF(EDW_RAW!$A$2:$A$1500,$A265),"O",IF(SUMPRODUCT((EDW_RAW!$A$2:$A$1500=$A265)*(LEN(EDW_RAW!$R$2:$R$1500)&gt;0))&gt;0,"부분","X")))</f>
        <v/>
      </c>
      <c r="C265" s="4">
        <f>IF(COUNTIF(EDW_RAW!$A$2:$A$1500,$A265)=0,"",IF(SUMPRODUCT((EDW_RAW!$A$2:$A$1500=$A265)*(LEN(EDW_RAW!$U$2:$U$1500)&gt;0))=COUNTIF(EDW_RAW!$A$2:$A$1500,$A265),"O",IF(SUMPRODUCT((EDW_RAW!$A$2:$A$1500=$A265)*(LEN(EDW_RAW!$U$2:$U$1500)&gt;0))&gt;0,"부분","X")))</f>
        <v/>
      </c>
      <c r="D265" s="5">
        <f>IFERROR(MAX(FILTER(소재DB_RAW!$AK$3:$AK$2000,(소재DB_RAW!$G$3:$G$2000=$A265)*ISERROR(SEARCH("drop",소재DB_RAW!$C$3:$C$2000))*(소재DB_RAW!$AK$3:$AK$2000&lt;&gt;""))),"")</f>
        <v/>
      </c>
      <c r="E265" s="4">
        <f>IF($D265="","",TEXT($D265,"yyyy-mm-dd"))</f>
        <v/>
      </c>
    </row>
    <row r="266">
      <c r="A266" s="4" t="inlineStr">
        <is>
          <t>TVPOM27694</t>
        </is>
      </c>
      <c r="B266" s="4">
        <f>IF(COUNTIF(EDW_RAW!$A$2:$A$1500,$A266)=0,"",IF(SUMPRODUCT((EDW_RAW!$A$2:$A$1500=$A266)*(LEN(EDW_RAW!$R$2:$R$1500)&gt;0))=COUNTIF(EDW_RAW!$A$2:$A$1500,$A266),"O",IF(SUMPRODUCT((EDW_RAW!$A$2:$A$1500=$A266)*(LEN(EDW_RAW!$R$2:$R$1500)&gt;0))&gt;0,"부분","X")))</f>
        <v/>
      </c>
      <c r="C266" s="4">
        <f>IF(COUNTIF(EDW_RAW!$A$2:$A$1500,$A266)=0,"",IF(SUMPRODUCT((EDW_RAW!$A$2:$A$1500=$A266)*(LEN(EDW_RAW!$U$2:$U$1500)&gt;0))=COUNTIF(EDW_RAW!$A$2:$A$1500,$A266),"O",IF(SUMPRODUCT((EDW_RAW!$A$2:$A$1500=$A266)*(LEN(EDW_RAW!$U$2:$U$1500)&gt;0))&gt;0,"부분","X")))</f>
        <v/>
      </c>
      <c r="D266" s="5">
        <f>IFERROR(MAX(FILTER(소재DB_RAW!$AK$3:$AK$2000,(소재DB_RAW!$G$3:$G$2000=$A266)*ISERROR(SEARCH("drop",소재DB_RAW!$C$3:$C$2000))*(소재DB_RAW!$AK$3:$AK$2000&lt;&gt;""))),"")</f>
        <v/>
      </c>
      <c r="E266" s="4">
        <f>IF($D266="","",TEXT($D266,"yyyy-mm-dd"))</f>
        <v/>
      </c>
    </row>
    <row r="267">
      <c r="A267" s="4" t="inlineStr">
        <is>
          <t>TVPOM27696</t>
        </is>
      </c>
      <c r="B267" s="4">
        <f>IF(COUNTIF(EDW_RAW!$A$2:$A$1500,$A267)=0,"",IF(SUMPRODUCT((EDW_RAW!$A$2:$A$1500=$A267)*(LEN(EDW_RAW!$R$2:$R$1500)&gt;0))=COUNTIF(EDW_RAW!$A$2:$A$1500,$A267),"O",IF(SUMPRODUCT((EDW_RAW!$A$2:$A$1500=$A267)*(LEN(EDW_RAW!$R$2:$R$1500)&gt;0))&gt;0,"부분","X")))</f>
        <v/>
      </c>
      <c r="C267" s="4">
        <f>IF(COUNTIF(EDW_RAW!$A$2:$A$1500,$A267)=0,"",IF(SUMPRODUCT((EDW_RAW!$A$2:$A$1500=$A267)*(LEN(EDW_RAW!$U$2:$U$1500)&gt;0))=COUNTIF(EDW_RAW!$A$2:$A$1500,$A267),"O",IF(SUMPRODUCT((EDW_RAW!$A$2:$A$1500=$A267)*(LEN(EDW_RAW!$U$2:$U$1500)&gt;0))&gt;0,"부분","X")))</f>
        <v/>
      </c>
      <c r="D267" s="5">
        <f>IFERROR(MAX(FILTER(소재DB_RAW!$AK$3:$AK$2000,(소재DB_RAW!$G$3:$G$2000=$A267)*ISERROR(SEARCH("drop",소재DB_RAW!$C$3:$C$2000))*(소재DB_RAW!$AK$3:$AK$2000&lt;&gt;""))),"")</f>
        <v/>
      </c>
      <c r="E267" s="4">
        <f>IF($D267="","",TEXT($D267,"yyyy-mm-dd"))</f>
        <v/>
      </c>
    </row>
    <row r="268">
      <c r="A268" s="4" t="inlineStr">
        <is>
          <t>TVPOM27698</t>
        </is>
      </c>
      <c r="B268" s="4">
        <f>IF(COUNTIF(EDW_RAW!$A$2:$A$1500,$A268)=0,"",IF(SUMPRODUCT((EDW_RAW!$A$2:$A$1500=$A268)*(LEN(EDW_RAW!$R$2:$R$1500)&gt;0))=COUNTIF(EDW_RAW!$A$2:$A$1500,$A268),"O",IF(SUMPRODUCT((EDW_RAW!$A$2:$A$1500=$A268)*(LEN(EDW_RAW!$R$2:$R$1500)&gt;0))&gt;0,"부분","X")))</f>
        <v/>
      </c>
      <c r="C268" s="4">
        <f>IF(COUNTIF(EDW_RAW!$A$2:$A$1500,$A268)=0,"",IF(SUMPRODUCT((EDW_RAW!$A$2:$A$1500=$A268)*(LEN(EDW_RAW!$U$2:$U$1500)&gt;0))=COUNTIF(EDW_RAW!$A$2:$A$1500,$A268),"O",IF(SUMPRODUCT((EDW_RAW!$A$2:$A$1500=$A268)*(LEN(EDW_RAW!$U$2:$U$1500)&gt;0))&gt;0,"부분","X")))</f>
        <v/>
      </c>
      <c r="D268" s="5">
        <f>IFERROR(MAX(FILTER(소재DB_RAW!$AK$3:$AK$2000,(소재DB_RAW!$G$3:$G$2000=$A268)*ISERROR(SEARCH("drop",소재DB_RAW!$C$3:$C$2000))*(소재DB_RAW!$AK$3:$AK$2000&lt;&gt;""))),"")</f>
        <v/>
      </c>
      <c r="E268" s="4">
        <f>IF($D268="","",TEXT($D268,"yyyy-mm-dd"))</f>
        <v/>
      </c>
    </row>
    <row r="269">
      <c r="A269" s="4" t="inlineStr">
        <is>
          <t>TVJJS27542</t>
        </is>
      </c>
      <c r="B269" s="4">
        <f>IF(COUNTIF(EDW_RAW!$A$2:$A$1500,$A269)=0,"",IF(SUMPRODUCT((EDW_RAW!$A$2:$A$1500=$A269)*(LEN(EDW_RAW!$R$2:$R$1500)&gt;0))=COUNTIF(EDW_RAW!$A$2:$A$1500,$A269),"O",IF(SUMPRODUCT((EDW_RAW!$A$2:$A$1500=$A269)*(LEN(EDW_RAW!$R$2:$R$1500)&gt;0))&gt;0,"부분","X")))</f>
        <v/>
      </c>
      <c r="C269" s="4">
        <f>IF(COUNTIF(EDW_RAW!$A$2:$A$1500,$A269)=0,"",IF(SUMPRODUCT((EDW_RAW!$A$2:$A$1500=$A269)*(LEN(EDW_RAW!$U$2:$U$1500)&gt;0))=COUNTIF(EDW_RAW!$A$2:$A$1500,$A269),"O",IF(SUMPRODUCT((EDW_RAW!$A$2:$A$1500=$A269)*(LEN(EDW_RAW!$U$2:$U$1500)&gt;0))&gt;0,"부분","X")))</f>
        <v/>
      </c>
      <c r="D269" s="5">
        <f>IFERROR(MAX(FILTER(소재DB_RAW!$AK$3:$AK$2000,(소재DB_RAW!$G$3:$G$2000=$A269)*ISERROR(SEARCH("drop",소재DB_RAW!$C$3:$C$2000))*(소재DB_RAW!$AK$3:$AK$2000&lt;&gt;""))),"")</f>
        <v/>
      </c>
      <c r="E269" s="4">
        <f>IF($D269="","",TEXT($D269,"yyyy-mm-dd"))</f>
        <v/>
      </c>
    </row>
    <row r="270">
      <c r="A270" s="4" t="inlineStr">
        <is>
          <t>TVJJS27532</t>
        </is>
      </c>
      <c r="B270" s="4">
        <f>IF(COUNTIF(EDW_RAW!$A$2:$A$1500,$A270)=0,"",IF(SUMPRODUCT((EDW_RAW!$A$2:$A$1500=$A270)*(LEN(EDW_RAW!$R$2:$R$1500)&gt;0))=COUNTIF(EDW_RAW!$A$2:$A$1500,$A270),"O",IF(SUMPRODUCT((EDW_RAW!$A$2:$A$1500=$A270)*(LEN(EDW_RAW!$R$2:$R$1500)&gt;0))&gt;0,"부분","X")))</f>
        <v/>
      </c>
      <c r="C270" s="4">
        <f>IF(COUNTIF(EDW_RAW!$A$2:$A$1500,$A270)=0,"",IF(SUMPRODUCT((EDW_RAW!$A$2:$A$1500=$A270)*(LEN(EDW_RAW!$U$2:$U$1500)&gt;0))=COUNTIF(EDW_RAW!$A$2:$A$1500,$A270),"O",IF(SUMPRODUCT((EDW_RAW!$A$2:$A$1500=$A270)*(LEN(EDW_RAW!$U$2:$U$1500)&gt;0))&gt;0,"부분","X")))</f>
        <v/>
      </c>
      <c r="D270" s="5">
        <f>IFERROR(MAX(FILTER(소재DB_RAW!$AK$3:$AK$2000,(소재DB_RAW!$G$3:$G$2000=$A270)*ISERROR(SEARCH("drop",소재DB_RAW!$C$3:$C$2000))*(소재DB_RAW!$AK$3:$AK$2000&lt;&gt;""))),"")</f>
        <v/>
      </c>
      <c r="E270" s="4">
        <f>IF($D270="","",TEXT($D270,"yyyy-mm-dd"))</f>
        <v/>
      </c>
    </row>
    <row r="271">
      <c r="A271" s="4" t="inlineStr">
        <is>
          <t>TVJJS27552</t>
        </is>
      </c>
      <c r="B271" s="4">
        <f>IF(COUNTIF(EDW_RAW!$A$2:$A$1500,$A271)=0,"",IF(SUMPRODUCT((EDW_RAW!$A$2:$A$1500=$A271)*(LEN(EDW_RAW!$R$2:$R$1500)&gt;0))=COUNTIF(EDW_RAW!$A$2:$A$1500,$A271),"O",IF(SUMPRODUCT((EDW_RAW!$A$2:$A$1500=$A271)*(LEN(EDW_RAW!$R$2:$R$1500)&gt;0))&gt;0,"부분","X")))</f>
        <v/>
      </c>
      <c r="C271" s="4">
        <f>IF(COUNTIF(EDW_RAW!$A$2:$A$1500,$A271)=0,"",IF(SUMPRODUCT((EDW_RAW!$A$2:$A$1500=$A271)*(LEN(EDW_RAW!$U$2:$U$1500)&gt;0))=COUNTIF(EDW_RAW!$A$2:$A$1500,$A271),"O",IF(SUMPRODUCT((EDW_RAW!$A$2:$A$1500=$A271)*(LEN(EDW_RAW!$U$2:$U$1500)&gt;0))&gt;0,"부분","X")))</f>
        <v/>
      </c>
      <c r="D271" s="5">
        <f>IFERROR(MAX(FILTER(소재DB_RAW!$AK$3:$AK$2000,(소재DB_RAW!$G$3:$G$2000=$A271)*ISERROR(SEARCH("drop",소재DB_RAW!$C$3:$C$2000))*(소재DB_RAW!$AK$3:$AK$2000&lt;&gt;""))),"")</f>
        <v/>
      </c>
      <c r="E271" s="4">
        <f>IF($D271="","",TEXT($D271,"yyyy-mm-dd"))</f>
        <v/>
      </c>
    </row>
    <row r="272">
      <c r="A272" s="4" t="inlineStr">
        <is>
          <t>TVJJS27562</t>
        </is>
      </c>
      <c r="B272" s="4">
        <f>IF(COUNTIF(EDW_RAW!$A$2:$A$1500,$A272)=0,"",IF(SUMPRODUCT((EDW_RAW!$A$2:$A$1500=$A272)*(LEN(EDW_RAW!$R$2:$R$1500)&gt;0))=COUNTIF(EDW_RAW!$A$2:$A$1500,$A272),"O",IF(SUMPRODUCT((EDW_RAW!$A$2:$A$1500=$A272)*(LEN(EDW_RAW!$R$2:$R$1500)&gt;0))&gt;0,"부분","X")))</f>
        <v/>
      </c>
      <c r="C272" s="4">
        <f>IF(COUNTIF(EDW_RAW!$A$2:$A$1500,$A272)=0,"",IF(SUMPRODUCT((EDW_RAW!$A$2:$A$1500=$A272)*(LEN(EDW_RAW!$U$2:$U$1500)&gt;0))=COUNTIF(EDW_RAW!$A$2:$A$1500,$A272),"O",IF(SUMPRODUCT((EDW_RAW!$A$2:$A$1500=$A272)*(LEN(EDW_RAW!$U$2:$U$1500)&gt;0))&gt;0,"부분","X")))</f>
        <v/>
      </c>
      <c r="D272" s="5">
        <f>IFERROR(MAX(FILTER(소재DB_RAW!$AK$3:$AK$2000,(소재DB_RAW!$G$3:$G$2000=$A272)*ISERROR(SEARCH("drop",소재DB_RAW!$C$3:$C$2000))*(소재DB_RAW!$AK$3:$AK$2000&lt;&gt;""))),"")</f>
        <v/>
      </c>
      <c r="E272" s="4">
        <f>IF($D272="","",TEXT($D272,"yyyy-mm-dd"))</f>
        <v/>
      </c>
    </row>
    <row r="273">
      <c r="A273" s="4" t="inlineStr">
        <is>
          <t>TVJJS27522</t>
        </is>
      </c>
      <c r="B273" s="4">
        <f>IF(COUNTIF(EDW_RAW!$A$2:$A$1500,$A273)=0,"",IF(SUMPRODUCT((EDW_RAW!$A$2:$A$1500=$A273)*(LEN(EDW_RAW!$R$2:$R$1500)&gt;0))=COUNTIF(EDW_RAW!$A$2:$A$1500,$A273),"O",IF(SUMPRODUCT((EDW_RAW!$A$2:$A$1500=$A273)*(LEN(EDW_RAW!$R$2:$R$1500)&gt;0))&gt;0,"부분","X")))</f>
        <v/>
      </c>
      <c r="C273" s="4">
        <f>IF(COUNTIF(EDW_RAW!$A$2:$A$1500,$A273)=0,"",IF(SUMPRODUCT((EDW_RAW!$A$2:$A$1500=$A273)*(LEN(EDW_RAW!$U$2:$U$1500)&gt;0))=COUNTIF(EDW_RAW!$A$2:$A$1500,$A273),"O",IF(SUMPRODUCT((EDW_RAW!$A$2:$A$1500=$A273)*(LEN(EDW_RAW!$U$2:$U$1500)&gt;0))&gt;0,"부분","X")))</f>
        <v/>
      </c>
      <c r="D273" s="5">
        <f>IFERROR(MAX(FILTER(소재DB_RAW!$AK$3:$AK$2000,(소재DB_RAW!$G$3:$G$2000=$A273)*ISERROR(SEARCH("drop",소재DB_RAW!$C$3:$C$2000))*(소재DB_RAW!$AK$3:$AK$2000&lt;&gt;""))),"")</f>
        <v/>
      </c>
      <c r="E273" s="4">
        <f>IF($D273="","",TEXT($D273,"yyyy-mm-dd"))</f>
        <v/>
      </c>
    </row>
    <row r="274">
      <c r="A274" s="4" t="inlineStr">
        <is>
          <t>TVJJS27502</t>
        </is>
      </c>
      <c r="B274" s="4">
        <f>IF(COUNTIF(EDW_RAW!$A$2:$A$1500,$A274)=0,"",IF(SUMPRODUCT((EDW_RAW!$A$2:$A$1500=$A274)*(LEN(EDW_RAW!$R$2:$R$1500)&gt;0))=COUNTIF(EDW_RAW!$A$2:$A$1500,$A274),"O",IF(SUMPRODUCT((EDW_RAW!$A$2:$A$1500=$A274)*(LEN(EDW_RAW!$R$2:$R$1500)&gt;0))&gt;0,"부분","X")))</f>
        <v/>
      </c>
      <c r="C274" s="4">
        <f>IF(COUNTIF(EDW_RAW!$A$2:$A$1500,$A274)=0,"",IF(SUMPRODUCT((EDW_RAW!$A$2:$A$1500=$A274)*(LEN(EDW_RAW!$U$2:$U$1500)&gt;0))=COUNTIF(EDW_RAW!$A$2:$A$1500,$A274),"O",IF(SUMPRODUCT((EDW_RAW!$A$2:$A$1500=$A274)*(LEN(EDW_RAW!$U$2:$U$1500)&gt;0))&gt;0,"부분","X")))</f>
        <v/>
      </c>
      <c r="D274" s="5">
        <f>IFERROR(MAX(FILTER(소재DB_RAW!$AK$3:$AK$2000,(소재DB_RAW!$G$3:$G$2000=$A274)*ISERROR(SEARCH("drop",소재DB_RAW!$C$3:$C$2000))*(소재DB_RAW!$AK$3:$AK$2000&lt;&gt;""))),"")</f>
        <v/>
      </c>
      <c r="E274" s="4">
        <f>IF($D274="","",TEXT($D274,"yyyy-mm-dd"))</f>
        <v/>
      </c>
    </row>
    <row r="275">
      <c r="A275" s="4" t="inlineStr">
        <is>
          <t>TVJJM27502</t>
        </is>
      </c>
      <c r="B275" s="4">
        <f>IF(COUNTIF(EDW_RAW!$A$2:$A$1500,$A275)=0,"",IF(SUMPRODUCT((EDW_RAW!$A$2:$A$1500=$A275)*(LEN(EDW_RAW!$R$2:$R$1500)&gt;0))=COUNTIF(EDW_RAW!$A$2:$A$1500,$A275),"O",IF(SUMPRODUCT((EDW_RAW!$A$2:$A$1500=$A275)*(LEN(EDW_RAW!$R$2:$R$1500)&gt;0))&gt;0,"부분","X")))</f>
        <v/>
      </c>
      <c r="C275" s="4">
        <f>IF(COUNTIF(EDW_RAW!$A$2:$A$1500,$A275)=0,"",IF(SUMPRODUCT((EDW_RAW!$A$2:$A$1500=$A275)*(LEN(EDW_RAW!$U$2:$U$1500)&gt;0))=COUNTIF(EDW_RAW!$A$2:$A$1500,$A275),"O",IF(SUMPRODUCT((EDW_RAW!$A$2:$A$1500=$A275)*(LEN(EDW_RAW!$U$2:$U$1500)&gt;0))&gt;0,"부분","X")))</f>
        <v/>
      </c>
      <c r="D275" s="5">
        <f>IFERROR(MAX(FILTER(소재DB_RAW!$AK$3:$AK$2000,(소재DB_RAW!$G$3:$G$2000=$A275)*ISERROR(SEARCH("drop",소재DB_RAW!$C$3:$C$2000))*(소재DB_RAW!$AK$3:$AK$2000&lt;&gt;""))),"")</f>
        <v/>
      </c>
      <c r="E275" s="4">
        <f>IF($D275="","",TEXT($D275,"yyyy-mm-dd"))</f>
        <v/>
      </c>
    </row>
    <row r="276">
      <c r="A276" s="4" t="inlineStr">
        <is>
          <t>TVJJM27512</t>
        </is>
      </c>
      <c r="B276" s="4">
        <f>IF(COUNTIF(EDW_RAW!$A$2:$A$1500,$A276)=0,"",IF(SUMPRODUCT((EDW_RAW!$A$2:$A$1500=$A276)*(LEN(EDW_RAW!$R$2:$R$1500)&gt;0))=COUNTIF(EDW_RAW!$A$2:$A$1500,$A276),"O",IF(SUMPRODUCT((EDW_RAW!$A$2:$A$1500=$A276)*(LEN(EDW_RAW!$R$2:$R$1500)&gt;0))&gt;0,"부분","X")))</f>
        <v/>
      </c>
      <c r="C276" s="4">
        <f>IF(COUNTIF(EDW_RAW!$A$2:$A$1500,$A276)=0,"",IF(SUMPRODUCT((EDW_RAW!$A$2:$A$1500=$A276)*(LEN(EDW_RAW!$U$2:$U$1500)&gt;0))=COUNTIF(EDW_RAW!$A$2:$A$1500,$A276),"O",IF(SUMPRODUCT((EDW_RAW!$A$2:$A$1500=$A276)*(LEN(EDW_RAW!$U$2:$U$1500)&gt;0))&gt;0,"부분","X")))</f>
        <v/>
      </c>
      <c r="D276" s="5">
        <f>IFERROR(MAX(FILTER(소재DB_RAW!$AK$3:$AK$2000,(소재DB_RAW!$G$3:$G$2000=$A276)*ISERROR(SEARCH("drop",소재DB_RAW!$C$3:$C$2000))*(소재DB_RAW!$AK$3:$AK$2000&lt;&gt;""))),"")</f>
        <v/>
      </c>
      <c r="E276" s="4">
        <f>IF($D276="","",TEXT($D276,"yyyy-mm-dd"))</f>
        <v/>
      </c>
    </row>
    <row r="277">
      <c r="A277" s="4" t="inlineStr">
        <is>
          <t>TVJJM27552</t>
        </is>
      </c>
      <c r="B277" s="4">
        <f>IF(COUNTIF(EDW_RAW!$A$2:$A$1500,$A277)=0,"",IF(SUMPRODUCT((EDW_RAW!$A$2:$A$1500=$A277)*(LEN(EDW_RAW!$R$2:$R$1500)&gt;0))=COUNTIF(EDW_RAW!$A$2:$A$1500,$A277),"O",IF(SUMPRODUCT((EDW_RAW!$A$2:$A$1500=$A277)*(LEN(EDW_RAW!$R$2:$R$1500)&gt;0))&gt;0,"부분","X")))</f>
        <v/>
      </c>
      <c r="C277" s="4">
        <f>IF(COUNTIF(EDW_RAW!$A$2:$A$1500,$A277)=0,"",IF(SUMPRODUCT((EDW_RAW!$A$2:$A$1500=$A277)*(LEN(EDW_RAW!$U$2:$U$1500)&gt;0))=COUNTIF(EDW_RAW!$A$2:$A$1500,$A277),"O",IF(SUMPRODUCT((EDW_RAW!$A$2:$A$1500=$A277)*(LEN(EDW_RAW!$U$2:$U$1500)&gt;0))&gt;0,"부분","X")))</f>
        <v/>
      </c>
      <c r="D277" s="5">
        <f>IFERROR(MAX(FILTER(소재DB_RAW!$AK$3:$AK$2000,(소재DB_RAW!$G$3:$G$2000=$A277)*ISERROR(SEARCH("drop",소재DB_RAW!$C$3:$C$2000))*(소재DB_RAW!$AK$3:$AK$2000&lt;&gt;""))),"")</f>
        <v/>
      </c>
      <c r="E277" s="4">
        <f>IF($D277="","",TEXT($D277,"yyyy-mm-dd"))</f>
        <v/>
      </c>
    </row>
    <row r="278">
      <c r="A278" s="4" t="inlineStr">
        <is>
          <t>TVJJM27522</t>
        </is>
      </c>
      <c r="B278" s="4">
        <f>IF(COUNTIF(EDW_RAW!$A$2:$A$1500,$A278)=0,"",IF(SUMPRODUCT((EDW_RAW!$A$2:$A$1500=$A278)*(LEN(EDW_RAW!$R$2:$R$1500)&gt;0))=COUNTIF(EDW_RAW!$A$2:$A$1500,$A278),"O",IF(SUMPRODUCT((EDW_RAW!$A$2:$A$1500=$A278)*(LEN(EDW_RAW!$R$2:$R$1500)&gt;0))&gt;0,"부분","X")))</f>
        <v/>
      </c>
      <c r="C278" s="4">
        <f>IF(COUNTIF(EDW_RAW!$A$2:$A$1500,$A278)=0,"",IF(SUMPRODUCT((EDW_RAW!$A$2:$A$1500=$A278)*(LEN(EDW_RAW!$U$2:$U$1500)&gt;0))=COUNTIF(EDW_RAW!$A$2:$A$1500,$A278),"O",IF(SUMPRODUCT((EDW_RAW!$A$2:$A$1500=$A278)*(LEN(EDW_RAW!$U$2:$U$1500)&gt;0))&gt;0,"부분","X")))</f>
        <v/>
      </c>
      <c r="D278" s="5">
        <f>IFERROR(MAX(FILTER(소재DB_RAW!$AK$3:$AK$2000,(소재DB_RAW!$G$3:$G$2000=$A278)*ISERROR(SEARCH("drop",소재DB_RAW!$C$3:$C$2000))*(소재DB_RAW!$AK$3:$AK$2000&lt;&gt;""))),"")</f>
        <v/>
      </c>
      <c r="E278" s="4">
        <f>IF($D278="","",TEXT($D278,"yyyy-mm-dd"))</f>
        <v/>
      </c>
    </row>
    <row r="279">
      <c r="A279" s="4" t="inlineStr">
        <is>
          <t>TVJJM27532</t>
        </is>
      </c>
      <c r="B279" s="4">
        <f>IF(COUNTIF(EDW_RAW!$A$2:$A$1500,$A279)=0,"",IF(SUMPRODUCT((EDW_RAW!$A$2:$A$1500=$A279)*(LEN(EDW_RAW!$R$2:$R$1500)&gt;0))=COUNTIF(EDW_RAW!$A$2:$A$1500,$A279),"O",IF(SUMPRODUCT((EDW_RAW!$A$2:$A$1500=$A279)*(LEN(EDW_RAW!$R$2:$R$1500)&gt;0))&gt;0,"부분","X")))</f>
        <v/>
      </c>
      <c r="C279" s="4">
        <f>IF(COUNTIF(EDW_RAW!$A$2:$A$1500,$A279)=0,"",IF(SUMPRODUCT((EDW_RAW!$A$2:$A$1500=$A279)*(LEN(EDW_RAW!$U$2:$U$1500)&gt;0))=COUNTIF(EDW_RAW!$A$2:$A$1500,$A279),"O",IF(SUMPRODUCT((EDW_RAW!$A$2:$A$1500=$A279)*(LEN(EDW_RAW!$U$2:$U$1500)&gt;0))&gt;0,"부분","X")))</f>
        <v/>
      </c>
      <c r="D279" s="5">
        <f>IFERROR(MAX(FILTER(소재DB_RAW!$AK$3:$AK$2000,(소재DB_RAW!$G$3:$G$2000=$A279)*ISERROR(SEARCH("drop",소재DB_RAW!$C$3:$C$2000))*(소재DB_RAW!$AK$3:$AK$2000&lt;&gt;""))),"")</f>
        <v/>
      </c>
      <c r="E279" s="4">
        <f>IF($D279="","",TEXT($D279,"yyyy-mm-dd"))</f>
        <v/>
      </c>
    </row>
    <row r="280">
      <c r="A280" s="4" t="inlineStr">
        <is>
          <t>TVVAM27552</t>
        </is>
      </c>
      <c r="B280" s="4">
        <f>IF(COUNTIF(EDW_RAW!$A$2:$A$1500,$A280)=0,"",IF(SUMPRODUCT((EDW_RAW!$A$2:$A$1500=$A280)*(LEN(EDW_RAW!$R$2:$R$1500)&gt;0))=COUNTIF(EDW_RAW!$A$2:$A$1500,$A280),"O",IF(SUMPRODUCT((EDW_RAW!$A$2:$A$1500=$A280)*(LEN(EDW_RAW!$R$2:$R$1500)&gt;0))&gt;0,"부분","X")))</f>
        <v/>
      </c>
      <c r="C280" s="4">
        <f>IF(COUNTIF(EDW_RAW!$A$2:$A$1500,$A280)=0,"",IF(SUMPRODUCT((EDW_RAW!$A$2:$A$1500=$A280)*(LEN(EDW_RAW!$U$2:$U$1500)&gt;0))=COUNTIF(EDW_RAW!$A$2:$A$1500,$A280),"O",IF(SUMPRODUCT((EDW_RAW!$A$2:$A$1500=$A280)*(LEN(EDW_RAW!$U$2:$U$1500)&gt;0))&gt;0,"부분","X")))</f>
        <v/>
      </c>
      <c r="D280" s="5">
        <f>IFERROR(MAX(FILTER(소재DB_RAW!$AK$3:$AK$2000,(소재DB_RAW!$G$3:$G$2000=$A280)*ISERROR(SEARCH("drop",소재DB_RAW!$C$3:$C$2000))*(소재DB_RAW!$AK$3:$AK$2000&lt;&gt;""))),"")</f>
        <v/>
      </c>
      <c r="E280" s="4">
        <f>IF($D280="","",TEXT($D280,"yyyy-mm-dd"))</f>
        <v/>
      </c>
    </row>
    <row r="281">
      <c r="A281" s="4" t="inlineStr">
        <is>
          <t>TVVAM27562</t>
        </is>
      </c>
      <c r="B281" s="4">
        <f>IF(COUNTIF(EDW_RAW!$A$2:$A$1500,$A281)=0,"",IF(SUMPRODUCT((EDW_RAW!$A$2:$A$1500=$A281)*(LEN(EDW_RAW!$R$2:$R$1500)&gt;0))=COUNTIF(EDW_RAW!$A$2:$A$1500,$A281),"O",IF(SUMPRODUCT((EDW_RAW!$A$2:$A$1500=$A281)*(LEN(EDW_RAW!$R$2:$R$1500)&gt;0))&gt;0,"부분","X")))</f>
        <v/>
      </c>
      <c r="C281" s="4">
        <f>IF(COUNTIF(EDW_RAW!$A$2:$A$1500,$A281)=0,"",IF(SUMPRODUCT((EDW_RAW!$A$2:$A$1500=$A281)*(LEN(EDW_RAW!$U$2:$U$1500)&gt;0))=COUNTIF(EDW_RAW!$A$2:$A$1500,$A281),"O",IF(SUMPRODUCT((EDW_RAW!$A$2:$A$1500=$A281)*(LEN(EDW_RAW!$U$2:$U$1500)&gt;0))&gt;0,"부분","X")))</f>
        <v/>
      </c>
      <c r="D281" s="5">
        <f>IFERROR(MAX(FILTER(소재DB_RAW!$AK$3:$AK$2000,(소재DB_RAW!$G$3:$G$2000=$A281)*ISERROR(SEARCH("drop",소재DB_RAW!$C$3:$C$2000))*(소재DB_RAW!$AK$3:$AK$2000&lt;&gt;""))),"")</f>
        <v/>
      </c>
      <c r="E281" s="4">
        <f>IF($D281="","",TEXT($D281,"yyyy-mm-dd"))</f>
        <v/>
      </c>
    </row>
    <row r="282">
      <c r="A282" s="4" t="inlineStr">
        <is>
          <t>TLPNS27531</t>
        </is>
      </c>
      <c r="B282" s="4">
        <f>IF(COUNTIF(EDW_RAW!$A$2:$A$1500,$A282)=0,"",IF(SUMPRODUCT((EDW_RAW!$A$2:$A$1500=$A282)*(LEN(EDW_RAW!$R$2:$R$1500)&gt;0))=COUNTIF(EDW_RAW!$A$2:$A$1500,$A282),"O",IF(SUMPRODUCT((EDW_RAW!$A$2:$A$1500=$A282)*(LEN(EDW_RAW!$R$2:$R$1500)&gt;0))&gt;0,"부분","X")))</f>
        <v/>
      </c>
      <c r="C282" s="4">
        <f>IF(COUNTIF(EDW_RAW!$A$2:$A$1500,$A282)=0,"",IF(SUMPRODUCT((EDW_RAW!$A$2:$A$1500=$A282)*(LEN(EDW_RAW!$U$2:$U$1500)&gt;0))=COUNTIF(EDW_RAW!$A$2:$A$1500,$A282),"O",IF(SUMPRODUCT((EDW_RAW!$A$2:$A$1500=$A282)*(LEN(EDW_RAW!$U$2:$U$1500)&gt;0))&gt;0,"부분","X")))</f>
        <v/>
      </c>
      <c r="D282" s="5">
        <f>IFERROR(MAX(FILTER(소재DB_RAW!$AK$3:$AK$2000,(소재DB_RAW!$G$3:$G$2000=$A282)*ISERROR(SEARCH("drop",소재DB_RAW!$C$3:$C$2000))*(소재DB_RAW!$AK$3:$AK$2000&lt;&gt;""))),"")</f>
        <v/>
      </c>
      <c r="E282" s="4">
        <f>IF($D282="","",TEXT($D282,"yyyy-mm-dd"))</f>
        <v/>
      </c>
    </row>
    <row r="283">
      <c r="A283" s="4" t="inlineStr">
        <is>
          <t>TLPNS27521</t>
        </is>
      </c>
      <c r="B283" s="4">
        <f>IF(COUNTIF(EDW_RAW!$A$2:$A$1500,$A283)=0,"",IF(SUMPRODUCT((EDW_RAW!$A$2:$A$1500=$A283)*(LEN(EDW_RAW!$R$2:$R$1500)&gt;0))=COUNTIF(EDW_RAW!$A$2:$A$1500,$A283),"O",IF(SUMPRODUCT((EDW_RAW!$A$2:$A$1500=$A283)*(LEN(EDW_RAW!$R$2:$R$1500)&gt;0))&gt;0,"부분","X")))</f>
        <v/>
      </c>
      <c r="C283" s="4">
        <f>IF(COUNTIF(EDW_RAW!$A$2:$A$1500,$A283)=0,"",IF(SUMPRODUCT((EDW_RAW!$A$2:$A$1500=$A283)*(LEN(EDW_RAW!$U$2:$U$1500)&gt;0))=COUNTIF(EDW_RAW!$A$2:$A$1500,$A283),"O",IF(SUMPRODUCT((EDW_RAW!$A$2:$A$1500=$A283)*(LEN(EDW_RAW!$U$2:$U$1500)&gt;0))&gt;0,"부분","X")))</f>
        <v/>
      </c>
      <c r="D283" s="5">
        <f>IFERROR(MAX(FILTER(소재DB_RAW!$AK$3:$AK$2000,(소재DB_RAW!$G$3:$G$2000=$A283)*ISERROR(SEARCH("drop",소재DB_RAW!$C$3:$C$2000))*(소재DB_RAW!$AK$3:$AK$2000&lt;&gt;""))),"")</f>
        <v/>
      </c>
      <c r="E283" s="4">
        <f>IF($D283="","",TEXT($D283,"yyyy-mm-dd"))</f>
        <v/>
      </c>
    </row>
    <row r="284">
      <c r="A284" s="4" t="inlineStr">
        <is>
          <t>TLPNS27901</t>
        </is>
      </c>
      <c r="B284" s="4">
        <f>IF(COUNTIF(EDW_RAW!$A$2:$A$1500,$A284)=0,"",IF(SUMPRODUCT((EDW_RAW!$A$2:$A$1500=$A284)*(LEN(EDW_RAW!$R$2:$R$1500)&gt;0))=COUNTIF(EDW_RAW!$A$2:$A$1500,$A284),"O",IF(SUMPRODUCT((EDW_RAW!$A$2:$A$1500=$A284)*(LEN(EDW_RAW!$R$2:$R$1500)&gt;0))&gt;0,"부분","X")))</f>
        <v/>
      </c>
      <c r="C284" s="4">
        <f>IF(COUNTIF(EDW_RAW!$A$2:$A$1500,$A284)=0,"",IF(SUMPRODUCT((EDW_RAW!$A$2:$A$1500=$A284)*(LEN(EDW_RAW!$U$2:$U$1500)&gt;0))=COUNTIF(EDW_RAW!$A$2:$A$1500,$A284),"O",IF(SUMPRODUCT((EDW_RAW!$A$2:$A$1500=$A284)*(LEN(EDW_RAW!$U$2:$U$1500)&gt;0))&gt;0,"부분","X")))</f>
        <v/>
      </c>
      <c r="D284" s="5">
        <f>IFERROR(MAX(FILTER(소재DB_RAW!$AK$3:$AK$2000,(소재DB_RAW!$G$3:$G$2000=$A284)*ISERROR(SEARCH("drop",소재DB_RAW!$C$3:$C$2000))*(소재DB_RAW!$AK$3:$AK$2000&lt;&gt;""))),"")</f>
        <v/>
      </c>
      <c r="E284" s="4">
        <f>IF($D284="","",TEXT($D284,"yyyy-mm-dd"))</f>
        <v/>
      </c>
    </row>
    <row r="285">
      <c r="A285" s="4" t="inlineStr">
        <is>
          <t>TLPNS27501</t>
        </is>
      </c>
      <c r="B285" s="4">
        <f>IF(COUNTIF(EDW_RAW!$A$2:$A$1500,$A285)=0,"",IF(SUMPRODUCT((EDW_RAW!$A$2:$A$1500=$A285)*(LEN(EDW_RAW!$R$2:$R$1500)&gt;0))=COUNTIF(EDW_RAW!$A$2:$A$1500,$A285),"O",IF(SUMPRODUCT((EDW_RAW!$A$2:$A$1500=$A285)*(LEN(EDW_RAW!$R$2:$R$1500)&gt;0))&gt;0,"부분","X")))</f>
        <v/>
      </c>
      <c r="C285" s="4">
        <f>IF(COUNTIF(EDW_RAW!$A$2:$A$1500,$A285)=0,"",IF(SUMPRODUCT((EDW_RAW!$A$2:$A$1500=$A285)*(LEN(EDW_RAW!$U$2:$U$1500)&gt;0))=COUNTIF(EDW_RAW!$A$2:$A$1500,$A285),"O",IF(SUMPRODUCT((EDW_RAW!$A$2:$A$1500=$A285)*(LEN(EDW_RAW!$U$2:$U$1500)&gt;0))&gt;0,"부분","X")))</f>
        <v/>
      </c>
      <c r="D285" s="5">
        <f>IFERROR(MAX(FILTER(소재DB_RAW!$AK$3:$AK$2000,(소재DB_RAW!$G$3:$G$2000=$A285)*ISERROR(SEARCH("drop",소재DB_RAW!$C$3:$C$2000))*(소재DB_RAW!$AK$3:$AK$2000&lt;&gt;""))),"")</f>
        <v/>
      </c>
      <c r="E285" s="4">
        <f>IF($D285="","",TEXT($D285,"yyyy-mm-dd"))</f>
        <v/>
      </c>
    </row>
    <row r="286">
      <c r="A286" s="4" t="inlineStr">
        <is>
          <t>TLPNS27411</t>
        </is>
      </c>
      <c r="B286" s="4">
        <f>IF(COUNTIF(EDW_RAW!$A$2:$A$1500,$A286)=0,"",IF(SUMPRODUCT((EDW_RAW!$A$2:$A$1500=$A286)*(LEN(EDW_RAW!$R$2:$R$1500)&gt;0))=COUNTIF(EDW_RAW!$A$2:$A$1500,$A286),"O",IF(SUMPRODUCT((EDW_RAW!$A$2:$A$1500=$A286)*(LEN(EDW_RAW!$R$2:$R$1500)&gt;0))&gt;0,"부분","X")))</f>
        <v/>
      </c>
      <c r="C286" s="4">
        <f>IF(COUNTIF(EDW_RAW!$A$2:$A$1500,$A286)=0,"",IF(SUMPRODUCT((EDW_RAW!$A$2:$A$1500=$A286)*(LEN(EDW_RAW!$U$2:$U$1500)&gt;0))=COUNTIF(EDW_RAW!$A$2:$A$1500,$A286),"O",IF(SUMPRODUCT((EDW_RAW!$A$2:$A$1500=$A286)*(LEN(EDW_RAW!$U$2:$U$1500)&gt;0))&gt;0,"부분","X")))</f>
        <v/>
      </c>
      <c r="D286" s="5">
        <f>IFERROR(MAX(FILTER(소재DB_RAW!$AK$3:$AK$2000,(소재DB_RAW!$G$3:$G$2000=$A286)*ISERROR(SEARCH("drop",소재DB_RAW!$C$3:$C$2000))*(소재DB_RAW!$AK$3:$AK$2000&lt;&gt;""))),"")</f>
        <v/>
      </c>
      <c r="E286" s="4">
        <f>IF($D286="","",TEXT($D286,"yyyy-mm-dd"))</f>
        <v/>
      </c>
    </row>
    <row r="287">
      <c r="A287" s="4" t="inlineStr">
        <is>
          <t>TLPNM27501</t>
        </is>
      </c>
      <c r="B287" s="4">
        <f>IF(COUNTIF(EDW_RAW!$A$2:$A$1500,$A287)=0,"",IF(SUMPRODUCT((EDW_RAW!$A$2:$A$1500=$A287)*(LEN(EDW_RAW!$R$2:$R$1500)&gt;0))=COUNTIF(EDW_RAW!$A$2:$A$1500,$A287),"O",IF(SUMPRODUCT((EDW_RAW!$A$2:$A$1500=$A287)*(LEN(EDW_RAW!$R$2:$R$1500)&gt;0))&gt;0,"부분","X")))</f>
        <v/>
      </c>
      <c r="C287" s="4">
        <f>IF(COUNTIF(EDW_RAW!$A$2:$A$1500,$A287)=0,"",IF(SUMPRODUCT((EDW_RAW!$A$2:$A$1500=$A287)*(LEN(EDW_RAW!$U$2:$U$1500)&gt;0))=COUNTIF(EDW_RAW!$A$2:$A$1500,$A287),"O",IF(SUMPRODUCT((EDW_RAW!$A$2:$A$1500=$A287)*(LEN(EDW_RAW!$U$2:$U$1500)&gt;0))&gt;0,"부분","X")))</f>
        <v/>
      </c>
      <c r="D287" s="5">
        <f>IFERROR(MAX(FILTER(소재DB_RAW!$AK$3:$AK$2000,(소재DB_RAW!$G$3:$G$2000=$A287)*ISERROR(SEARCH("drop",소재DB_RAW!$C$3:$C$2000))*(소재DB_RAW!$AK$3:$AK$2000&lt;&gt;""))),"")</f>
        <v/>
      </c>
      <c r="E287" s="4">
        <f>IF($D287="","",TEXT($D287,"yyyy-mm-dd"))</f>
        <v/>
      </c>
    </row>
    <row r="288">
      <c r="A288" s="4" t="inlineStr">
        <is>
          <t>TLPNM27511</t>
        </is>
      </c>
      <c r="B288" s="4">
        <f>IF(COUNTIF(EDW_RAW!$A$2:$A$1500,$A288)=0,"",IF(SUMPRODUCT((EDW_RAW!$A$2:$A$1500=$A288)*(LEN(EDW_RAW!$R$2:$R$1500)&gt;0))=COUNTIF(EDW_RAW!$A$2:$A$1500,$A288),"O",IF(SUMPRODUCT((EDW_RAW!$A$2:$A$1500=$A288)*(LEN(EDW_RAW!$R$2:$R$1500)&gt;0))&gt;0,"부분","X")))</f>
        <v/>
      </c>
      <c r="C288" s="4">
        <f>IF(COUNTIF(EDW_RAW!$A$2:$A$1500,$A288)=0,"",IF(SUMPRODUCT((EDW_RAW!$A$2:$A$1500=$A288)*(LEN(EDW_RAW!$U$2:$U$1500)&gt;0))=COUNTIF(EDW_RAW!$A$2:$A$1500,$A288),"O",IF(SUMPRODUCT((EDW_RAW!$A$2:$A$1500=$A288)*(LEN(EDW_RAW!$U$2:$U$1500)&gt;0))&gt;0,"부분","X")))</f>
        <v/>
      </c>
      <c r="D288" s="5">
        <f>IFERROR(MAX(FILTER(소재DB_RAW!$AK$3:$AK$2000,(소재DB_RAW!$G$3:$G$2000=$A288)*ISERROR(SEARCH("drop",소재DB_RAW!$C$3:$C$2000))*(소재DB_RAW!$AK$3:$AK$2000&lt;&gt;""))),"")</f>
        <v/>
      </c>
      <c r="E288" s="4">
        <f>IF($D288="","",TEXT($D288,"yyyy-mm-dd"))</f>
        <v/>
      </c>
    </row>
    <row r="289">
      <c r="A289" s="4" t="inlineStr">
        <is>
          <t>TLPNM27541</t>
        </is>
      </c>
      <c r="B289" s="4">
        <f>IF(COUNTIF(EDW_RAW!$A$2:$A$1500,$A289)=0,"",IF(SUMPRODUCT((EDW_RAW!$A$2:$A$1500=$A289)*(LEN(EDW_RAW!$R$2:$R$1500)&gt;0))=COUNTIF(EDW_RAW!$A$2:$A$1500,$A289),"O",IF(SUMPRODUCT((EDW_RAW!$A$2:$A$1500=$A289)*(LEN(EDW_RAW!$R$2:$R$1500)&gt;0))&gt;0,"부분","X")))</f>
        <v/>
      </c>
      <c r="C289" s="4">
        <f>IF(COUNTIF(EDW_RAW!$A$2:$A$1500,$A289)=0,"",IF(SUMPRODUCT((EDW_RAW!$A$2:$A$1500=$A289)*(LEN(EDW_RAW!$U$2:$U$1500)&gt;0))=COUNTIF(EDW_RAW!$A$2:$A$1500,$A289),"O",IF(SUMPRODUCT((EDW_RAW!$A$2:$A$1500=$A289)*(LEN(EDW_RAW!$U$2:$U$1500)&gt;0))&gt;0,"부분","X")))</f>
        <v/>
      </c>
      <c r="D289" s="5">
        <f>IFERROR(MAX(FILTER(소재DB_RAW!$AK$3:$AK$2000,(소재DB_RAW!$G$3:$G$2000=$A289)*ISERROR(SEARCH("drop",소재DB_RAW!$C$3:$C$2000))*(소재DB_RAW!$AK$3:$AK$2000&lt;&gt;""))),"")</f>
        <v/>
      </c>
      <c r="E289" s="4">
        <f>IF($D289="","",TEXT($D289,"yyyy-mm-dd"))</f>
        <v/>
      </c>
    </row>
    <row r="290">
      <c r="A290" s="4" t="inlineStr">
        <is>
          <t>TLPOM27531</t>
        </is>
      </c>
      <c r="B290" s="4">
        <f>IF(COUNTIF(EDW_RAW!$A$2:$A$1500,$A290)=0,"",IF(SUMPRODUCT((EDW_RAW!$A$2:$A$1500=$A290)*(LEN(EDW_RAW!$R$2:$R$1500)&gt;0))=COUNTIF(EDW_RAW!$A$2:$A$1500,$A290),"O",IF(SUMPRODUCT((EDW_RAW!$A$2:$A$1500=$A290)*(LEN(EDW_RAW!$R$2:$R$1500)&gt;0))&gt;0,"부분","X")))</f>
        <v/>
      </c>
      <c r="C290" s="4">
        <f>IF(COUNTIF(EDW_RAW!$A$2:$A$1500,$A290)=0,"",IF(SUMPRODUCT((EDW_RAW!$A$2:$A$1500=$A290)*(LEN(EDW_RAW!$U$2:$U$1500)&gt;0))=COUNTIF(EDW_RAW!$A$2:$A$1500,$A290),"O",IF(SUMPRODUCT((EDW_RAW!$A$2:$A$1500=$A290)*(LEN(EDW_RAW!$U$2:$U$1500)&gt;0))&gt;0,"부분","X")))</f>
        <v/>
      </c>
      <c r="D290" s="5">
        <f>IFERROR(MAX(FILTER(소재DB_RAW!$AK$3:$AK$2000,(소재DB_RAW!$G$3:$G$2000=$A290)*ISERROR(SEARCH("drop",소재DB_RAW!$C$3:$C$2000))*(소재DB_RAW!$AK$3:$AK$2000&lt;&gt;""))),"")</f>
        <v/>
      </c>
      <c r="E290" s="4">
        <f>IF($D290="","",TEXT($D290,"yyyy-mm-dd"))</f>
        <v/>
      </c>
    </row>
    <row r="291">
      <c r="A291" s="4" t="inlineStr">
        <is>
          <t>TLPOM27521</t>
        </is>
      </c>
      <c r="B291" s="4">
        <f>IF(COUNTIF(EDW_RAW!$A$2:$A$1500,$A291)=0,"",IF(SUMPRODUCT((EDW_RAW!$A$2:$A$1500=$A291)*(LEN(EDW_RAW!$R$2:$R$1500)&gt;0))=COUNTIF(EDW_RAW!$A$2:$A$1500,$A291),"O",IF(SUMPRODUCT((EDW_RAW!$A$2:$A$1500=$A291)*(LEN(EDW_RAW!$R$2:$R$1500)&gt;0))&gt;0,"부분","X")))</f>
        <v/>
      </c>
      <c r="C291" s="4">
        <f>IF(COUNTIF(EDW_RAW!$A$2:$A$1500,$A291)=0,"",IF(SUMPRODUCT((EDW_RAW!$A$2:$A$1500=$A291)*(LEN(EDW_RAW!$U$2:$U$1500)&gt;0))=COUNTIF(EDW_RAW!$A$2:$A$1500,$A291),"O",IF(SUMPRODUCT((EDW_RAW!$A$2:$A$1500=$A291)*(LEN(EDW_RAW!$U$2:$U$1500)&gt;0))&gt;0,"부분","X")))</f>
        <v/>
      </c>
      <c r="D291" s="5">
        <f>IFERROR(MAX(FILTER(소재DB_RAW!$AK$3:$AK$2000,(소재DB_RAW!$G$3:$G$2000=$A291)*ISERROR(SEARCH("drop",소재DB_RAW!$C$3:$C$2000))*(소재DB_RAW!$AK$3:$AK$2000&lt;&gt;""))),"")</f>
        <v/>
      </c>
      <c r="E291" s="4">
        <f>IF($D291="","",TEXT($D291,"yyyy-mm-dd"))</f>
        <v/>
      </c>
    </row>
    <row r="292">
      <c r="A292" s="4" t="inlineStr">
        <is>
          <t>TLPOM27501</t>
        </is>
      </c>
      <c r="B292" s="4">
        <f>IF(COUNTIF(EDW_RAW!$A$2:$A$1500,$A292)=0,"",IF(SUMPRODUCT((EDW_RAW!$A$2:$A$1500=$A292)*(LEN(EDW_RAW!$R$2:$R$1500)&gt;0))=COUNTIF(EDW_RAW!$A$2:$A$1500,$A292),"O",IF(SUMPRODUCT((EDW_RAW!$A$2:$A$1500=$A292)*(LEN(EDW_RAW!$R$2:$R$1500)&gt;0))&gt;0,"부분","X")))</f>
        <v/>
      </c>
      <c r="C292" s="4">
        <f>IF(COUNTIF(EDW_RAW!$A$2:$A$1500,$A292)=0,"",IF(SUMPRODUCT((EDW_RAW!$A$2:$A$1500=$A292)*(LEN(EDW_RAW!$U$2:$U$1500)&gt;0))=COUNTIF(EDW_RAW!$A$2:$A$1500,$A292),"O",IF(SUMPRODUCT((EDW_RAW!$A$2:$A$1500=$A292)*(LEN(EDW_RAW!$U$2:$U$1500)&gt;0))&gt;0,"부분","X")))</f>
        <v/>
      </c>
      <c r="D292" s="5">
        <f>IFERROR(MAX(FILTER(소재DB_RAW!$AK$3:$AK$2000,(소재DB_RAW!$G$3:$G$2000=$A292)*ISERROR(SEARCH("drop",소재DB_RAW!$C$3:$C$2000))*(소재DB_RAW!$AK$3:$AK$2000&lt;&gt;""))),"")</f>
        <v/>
      </c>
      <c r="E292" s="4">
        <f>IF($D292="","",TEXT($D292,"yyyy-mm-dd"))</f>
        <v/>
      </c>
    </row>
    <row r="293">
      <c r="A293" s="4" t="inlineStr">
        <is>
          <t>TLPNM27911</t>
        </is>
      </c>
      <c r="B293" s="4">
        <f>IF(COUNTIF(EDW_RAW!$A$2:$A$1500,$A293)=0,"",IF(SUMPRODUCT((EDW_RAW!$A$2:$A$1500=$A293)*(LEN(EDW_RAW!$R$2:$R$1500)&gt;0))=COUNTIF(EDW_RAW!$A$2:$A$1500,$A293),"O",IF(SUMPRODUCT((EDW_RAW!$A$2:$A$1500=$A293)*(LEN(EDW_RAW!$R$2:$R$1500)&gt;0))&gt;0,"부분","X")))</f>
        <v/>
      </c>
      <c r="C293" s="4">
        <f>IF(COUNTIF(EDW_RAW!$A$2:$A$1500,$A293)=0,"",IF(SUMPRODUCT((EDW_RAW!$A$2:$A$1500=$A293)*(LEN(EDW_RAW!$U$2:$U$1500)&gt;0))=COUNTIF(EDW_RAW!$A$2:$A$1500,$A293),"O",IF(SUMPRODUCT((EDW_RAW!$A$2:$A$1500=$A293)*(LEN(EDW_RAW!$U$2:$U$1500)&gt;0))&gt;0,"부분","X")))</f>
        <v/>
      </c>
      <c r="D293" s="5">
        <f>IFERROR(MAX(FILTER(소재DB_RAW!$AK$3:$AK$2000,(소재DB_RAW!$G$3:$G$2000=$A293)*ISERROR(SEARCH("drop",소재DB_RAW!$C$3:$C$2000))*(소재DB_RAW!$AK$3:$AK$2000&lt;&gt;""))),"")</f>
        <v/>
      </c>
      <c r="E293" s="4">
        <f>IF($D293="","",TEXT($D293,"yyyy-mm-dd"))</f>
        <v/>
      </c>
    </row>
    <row r="294">
      <c r="A294" s="4" t="inlineStr">
        <is>
          <t>TLTCM27691</t>
        </is>
      </c>
      <c r="B294" s="4">
        <f>IF(COUNTIF(EDW_RAW!$A$2:$A$1500,$A294)=0,"",IF(SUMPRODUCT((EDW_RAW!$A$2:$A$1500=$A294)*(LEN(EDW_RAW!$R$2:$R$1500)&gt;0))=COUNTIF(EDW_RAW!$A$2:$A$1500,$A294),"O",IF(SUMPRODUCT((EDW_RAW!$A$2:$A$1500=$A294)*(LEN(EDW_RAW!$R$2:$R$1500)&gt;0))&gt;0,"부분","X")))</f>
        <v/>
      </c>
      <c r="C294" s="4">
        <f>IF(COUNTIF(EDW_RAW!$A$2:$A$1500,$A294)=0,"",IF(SUMPRODUCT((EDW_RAW!$A$2:$A$1500=$A294)*(LEN(EDW_RAW!$U$2:$U$1500)&gt;0))=COUNTIF(EDW_RAW!$A$2:$A$1500,$A294),"O",IF(SUMPRODUCT((EDW_RAW!$A$2:$A$1500=$A294)*(LEN(EDW_RAW!$U$2:$U$1500)&gt;0))&gt;0,"부분","X")))</f>
        <v/>
      </c>
      <c r="D294" s="5">
        <f>IFERROR(MAX(FILTER(소재DB_RAW!$AK$3:$AK$2000,(소재DB_RAW!$G$3:$G$2000=$A294)*ISERROR(SEARCH("drop",소재DB_RAW!$C$3:$C$2000))*(소재DB_RAW!$AK$3:$AK$2000&lt;&gt;""))),"")</f>
        <v/>
      </c>
      <c r="E294" s="4">
        <f>IF($D294="","",TEXT($D294,"yyyy-mm-dd"))</f>
        <v/>
      </c>
    </row>
    <row r="295">
      <c r="A295" s="4" t="inlineStr">
        <is>
          <t>TLSCM27693</t>
        </is>
      </c>
      <c r="B295" s="4">
        <f>IF(COUNTIF(EDW_RAW!$A$2:$A$1500,$A295)=0,"",IF(SUMPRODUCT((EDW_RAW!$A$2:$A$1500=$A295)*(LEN(EDW_RAW!$R$2:$R$1500)&gt;0))=COUNTIF(EDW_RAW!$A$2:$A$1500,$A295),"O",IF(SUMPRODUCT((EDW_RAW!$A$2:$A$1500=$A295)*(LEN(EDW_RAW!$R$2:$R$1500)&gt;0))&gt;0,"부분","X")))</f>
        <v/>
      </c>
      <c r="C295" s="4">
        <f>IF(COUNTIF(EDW_RAW!$A$2:$A$1500,$A295)=0,"",IF(SUMPRODUCT((EDW_RAW!$A$2:$A$1500=$A295)*(LEN(EDW_RAW!$U$2:$U$1500)&gt;0))=COUNTIF(EDW_RAW!$A$2:$A$1500,$A295),"O",IF(SUMPRODUCT((EDW_RAW!$A$2:$A$1500=$A295)*(LEN(EDW_RAW!$U$2:$U$1500)&gt;0))&gt;0,"부분","X")))</f>
        <v/>
      </c>
      <c r="D295" s="5">
        <f>IFERROR(MAX(FILTER(소재DB_RAW!$AK$3:$AK$2000,(소재DB_RAW!$G$3:$G$2000=$A295)*ISERROR(SEARCH("drop",소재DB_RAW!$C$3:$C$2000))*(소재DB_RAW!$AK$3:$AK$2000&lt;&gt;""))),"")</f>
        <v/>
      </c>
      <c r="E295" s="4">
        <f>IF($D295="","",TEXT($D295,"yyyy-mm-dd"))</f>
        <v/>
      </c>
    </row>
    <row r="296">
      <c r="A296" s="4" t="inlineStr">
        <is>
          <t>TLPNM27691</t>
        </is>
      </c>
      <c r="B296" s="4">
        <f>IF(COUNTIF(EDW_RAW!$A$2:$A$1500,$A296)=0,"",IF(SUMPRODUCT((EDW_RAW!$A$2:$A$1500=$A296)*(LEN(EDW_RAW!$R$2:$R$1500)&gt;0))=COUNTIF(EDW_RAW!$A$2:$A$1500,$A296),"O",IF(SUMPRODUCT((EDW_RAW!$A$2:$A$1500=$A296)*(LEN(EDW_RAW!$R$2:$R$1500)&gt;0))&gt;0,"부분","X")))</f>
        <v/>
      </c>
      <c r="C296" s="4">
        <f>IF(COUNTIF(EDW_RAW!$A$2:$A$1500,$A296)=0,"",IF(SUMPRODUCT((EDW_RAW!$A$2:$A$1500=$A296)*(LEN(EDW_RAW!$U$2:$U$1500)&gt;0))=COUNTIF(EDW_RAW!$A$2:$A$1500,$A296),"O",IF(SUMPRODUCT((EDW_RAW!$A$2:$A$1500=$A296)*(LEN(EDW_RAW!$U$2:$U$1500)&gt;0))&gt;0,"부분","X")))</f>
        <v/>
      </c>
      <c r="D296" s="5">
        <f>IFERROR(MAX(FILTER(소재DB_RAW!$AK$3:$AK$2000,(소재DB_RAW!$G$3:$G$2000=$A296)*ISERROR(SEARCH("drop",소재DB_RAW!$C$3:$C$2000))*(소재DB_RAW!$AK$3:$AK$2000&lt;&gt;""))),"")</f>
        <v/>
      </c>
      <c r="E296" s="4">
        <f>IF($D296="","",TEXT($D296,"yyyy-mm-dd"))</f>
        <v/>
      </c>
    </row>
    <row r="297">
      <c r="A297" s="4" t="inlineStr">
        <is>
          <t>TLPOM27697</t>
        </is>
      </c>
      <c r="B297" s="4">
        <f>IF(COUNTIF(EDW_RAW!$A$2:$A$1500,$A297)=0,"",IF(SUMPRODUCT((EDW_RAW!$A$2:$A$1500=$A297)*(LEN(EDW_RAW!$R$2:$R$1500)&gt;0))=COUNTIF(EDW_RAW!$A$2:$A$1500,$A297),"O",IF(SUMPRODUCT((EDW_RAW!$A$2:$A$1500=$A297)*(LEN(EDW_RAW!$R$2:$R$1500)&gt;0))&gt;0,"부분","X")))</f>
        <v/>
      </c>
      <c r="C297" s="4">
        <f>IF(COUNTIF(EDW_RAW!$A$2:$A$1500,$A297)=0,"",IF(SUMPRODUCT((EDW_RAW!$A$2:$A$1500=$A297)*(LEN(EDW_RAW!$U$2:$U$1500)&gt;0))=COUNTIF(EDW_RAW!$A$2:$A$1500,$A297),"O",IF(SUMPRODUCT((EDW_RAW!$A$2:$A$1500=$A297)*(LEN(EDW_RAW!$U$2:$U$1500)&gt;0))&gt;0,"부분","X")))</f>
        <v/>
      </c>
      <c r="D297" s="5">
        <f>IFERROR(MAX(FILTER(소재DB_RAW!$AK$3:$AK$2000,(소재DB_RAW!$G$3:$G$2000=$A297)*ISERROR(SEARCH("drop",소재DB_RAW!$C$3:$C$2000))*(소재DB_RAW!$AK$3:$AK$2000&lt;&gt;""))),"")</f>
        <v/>
      </c>
      <c r="E297" s="4">
        <f>IF($D297="","",TEXT($D297,"yyyy-mm-dd"))</f>
        <v/>
      </c>
    </row>
    <row r="298">
      <c r="A298" s="4" t="inlineStr">
        <is>
          <t>TLPOM27699</t>
        </is>
      </c>
      <c r="B298" s="4">
        <f>IF(COUNTIF(EDW_RAW!$A$2:$A$1500,$A298)=0,"",IF(SUMPRODUCT((EDW_RAW!$A$2:$A$1500=$A298)*(LEN(EDW_RAW!$R$2:$R$1500)&gt;0))=COUNTIF(EDW_RAW!$A$2:$A$1500,$A298),"O",IF(SUMPRODUCT((EDW_RAW!$A$2:$A$1500=$A298)*(LEN(EDW_RAW!$R$2:$R$1500)&gt;0))&gt;0,"부분","X")))</f>
        <v/>
      </c>
      <c r="C298" s="4">
        <f>IF(COUNTIF(EDW_RAW!$A$2:$A$1500,$A298)=0,"",IF(SUMPRODUCT((EDW_RAW!$A$2:$A$1500=$A298)*(LEN(EDW_RAW!$U$2:$U$1500)&gt;0))=COUNTIF(EDW_RAW!$A$2:$A$1500,$A298),"O",IF(SUMPRODUCT((EDW_RAW!$A$2:$A$1500=$A298)*(LEN(EDW_RAW!$U$2:$U$1500)&gt;0))&gt;0,"부분","X")))</f>
        <v/>
      </c>
      <c r="D298" s="5">
        <f>IFERROR(MAX(FILTER(소재DB_RAW!$AK$3:$AK$2000,(소재DB_RAW!$G$3:$G$2000=$A298)*ISERROR(SEARCH("drop",소재DB_RAW!$C$3:$C$2000))*(소재DB_RAW!$AK$3:$AK$2000&lt;&gt;""))),"")</f>
        <v/>
      </c>
      <c r="E298" s="4">
        <f>IF($D298="","",TEXT($D298,"yyyy-mm-dd"))</f>
        <v/>
      </c>
    </row>
    <row r="299">
      <c r="A299" s="4" t="inlineStr">
        <is>
          <t>TLTCM27695</t>
        </is>
      </c>
      <c r="B299" s="4">
        <f>IF(COUNTIF(EDW_RAW!$A$2:$A$1500,$A299)=0,"",IF(SUMPRODUCT((EDW_RAW!$A$2:$A$1500=$A299)*(LEN(EDW_RAW!$R$2:$R$1500)&gt;0))=COUNTIF(EDW_RAW!$A$2:$A$1500,$A299),"O",IF(SUMPRODUCT((EDW_RAW!$A$2:$A$1500=$A299)*(LEN(EDW_RAW!$R$2:$R$1500)&gt;0))&gt;0,"부분","X")))</f>
        <v/>
      </c>
      <c r="C299" s="4">
        <f>IF(COUNTIF(EDW_RAW!$A$2:$A$1500,$A299)=0,"",IF(SUMPRODUCT((EDW_RAW!$A$2:$A$1500=$A299)*(LEN(EDW_RAW!$U$2:$U$1500)&gt;0))=COUNTIF(EDW_RAW!$A$2:$A$1500,$A299),"O",IF(SUMPRODUCT((EDW_RAW!$A$2:$A$1500=$A299)*(LEN(EDW_RAW!$U$2:$U$1500)&gt;0))&gt;0,"부분","X")))</f>
        <v/>
      </c>
      <c r="D299" s="5">
        <f>IFERROR(MAX(FILTER(소재DB_RAW!$AK$3:$AK$2000,(소재DB_RAW!$G$3:$G$2000=$A299)*ISERROR(SEARCH("drop",소재DB_RAW!$C$3:$C$2000))*(소재DB_RAW!$AK$3:$AK$2000&lt;&gt;""))),"")</f>
        <v/>
      </c>
      <c r="E299" s="4">
        <f>IF($D299="","",TEXT($D299,"yyyy-mm-dd"))</f>
        <v/>
      </c>
    </row>
    <row r="300">
      <c r="A300" s="4" t="inlineStr">
        <is>
          <t>TLPNM27693</t>
        </is>
      </c>
      <c r="B300" s="4">
        <f>IF(COUNTIF(EDW_RAW!$A$2:$A$1500,$A300)=0,"",IF(SUMPRODUCT((EDW_RAW!$A$2:$A$1500=$A300)*(LEN(EDW_RAW!$R$2:$R$1500)&gt;0))=COUNTIF(EDW_RAW!$A$2:$A$1500,$A300),"O",IF(SUMPRODUCT((EDW_RAW!$A$2:$A$1500=$A300)*(LEN(EDW_RAW!$R$2:$R$1500)&gt;0))&gt;0,"부분","X")))</f>
        <v/>
      </c>
      <c r="C300" s="4">
        <f>IF(COUNTIF(EDW_RAW!$A$2:$A$1500,$A300)=0,"",IF(SUMPRODUCT((EDW_RAW!$A$2:$A$1500=$A300)*(LEN(EDW_RAW!$U$2:$U$1500)&gt;0))=COUNTIF(EDW_RAW!$A$2:$A$1500,$A300),"O",IF(SUMPRODUCT((EDW_RAW!$A$2:$A$1500=$A300)*(LEN(EDW_RAW!$U$2:$U$1500)&gt;0))&gt;0,"부분","X")))</f>
        <v/>
      </c>
      <c r="D300" s="5">
        <f>IFERROR(MAX(FILTER(소재DB_RAW!$AK$3:$AK$2000,(소재DB_RAW!$G$3:$G$2000=$A300)*ISERROR(SEARCH("drop",소재DB_RAW!$C$3:$C$2000))*(소재DB_RAW!$AK$3:$AK$2000&lt;&gt;""))),"")</f>
        <v/>
      </c>
      <c r="E300" s="4">
        <f>IF($D300="","",TEXT($D300,"yyyy-mm-dd"))</f>
        <v/>
      </c>
    </row>
    <row r="301">
      <c r="A301" s="4" t="inlineStr">
        <is>
          <t>TLTCM27507</t>
        </is>
      </c>
      <c r="B301" s="4">
        <f>IF(COUNTIF(EDW_RAW!$A$2:$A$1500,$A301)=0,"",IF(SUMPRODUCT((EDW_RAW!$A$2:$A$1500=$A301)*(LEN(EDW_RAW!$R$2:$R$1500)&gt;0))=COUNTIF(EDW_RAW!$A$2:$A$1500,$A301),"O",IF(SUMPRODUCT((EDW_RAW!$A$2:$A$1500=$A301)*(LEN(EDW_RAW!$R$2:$R$1500)&gt;0))&gt;0,"부분","X")))</f>
        <v/>
      </c>
      <c r="C301" s="4">
        <f>IF(COUNTIF(EDW_RAW!$A$2:$A$1500,$A301)=0,"",IF(SUMPRODUCT((EDW_RAW!$A$2:$A$1500=$A301)*(LEN(EDW_RAW!$U$2:$U$1500)&gt;0))=COUNTIF(EDW_RAW!$A$2:$A$1500,$A301),"O",IF(SUMPRODUCT((EDW_RAW!$A$2:$A$1500=$A301)*(LEN(EDW_RAW!$U$2:$U$1500)&gt;0))&gt;0,"부분","X")))</f>
        <v/>
      </c>
      <c r="D301" s="5">
        <f>IFERROR(MAX(FILTER(소재DB_RAW!$AK$3:$AK$2000,(소재DB_RAW!$G$3:$G$2000=$A301)*ISERROR(SEARCH("drop",소재DB_RAW!$C$3:$C$2000))*(소재DB_RAW!$AK$3:$AK$2000&lt;&gt;""))),"")</f>
        <v/>
      </c>
      <c r="E301" s="4">
        <f>IF($D301="","",TEXT($D301,"yyyy-mm-dd"))</f>
        <v/>
      </c>
    </row>
    <row r="302">
      <c r="A302" s="4" t="inlineStr">
        <is>
          <t>TVTCM27512</t>
        </is>
      </c>
      <c r="B302" s="4">
        <f>IF(COUNTIF(EDW_RAW!$A$2:$A$1500,$A302)=0,"",IF(SUMPRODUCT((EDW_RAW!$A$2:$A$1500=$A302)*(LEN(EDW_RAW!$R$2:$R$1500)&gt;0))=COUNTIF(EDW_RAW!$A$2:$A$1500,$A302),"O",IF(SUMPRODUCT((EDW_RAW!$A$2:$A$1500=$A302)*(LEN(EDW_RAW!$R$2:$R$1500)&gt;0))&gt;0,"부분","X")))</f>
        <v/>
      </c>
      <c r="C302" s="4">
        <f>IF(COUNTIF(EDW_RAW!$A$2:$A$1500,$A302)=0,"",IF(SUMPRODUCT((EDW_RAW!$A$2:$A$1500=$A302)*(LEN(EDW_RAW!$U$2:$U$1500)&gt;0))=COUNTIF(EDW_RAW!$A$2:$A$1500,$A302),"O",IF(SUMPRODUCT((EDW_RAW!$A$2:$A$1500=$A302)*(LEN(EDW_RAW!$U$2:$U$1500)&gt;0))&gt;0,"부분","X")))</f>
        <v/>
      </c>
      <c r="D302" s="5">
        <f>IFERROR(MAX(FILTER(소재DB_RAW!$AK$3:$AK$2000,(소재DB_RAW!$G$3:$G$2000=$A302)*ISERROR(SEARCH("drop",소재DB_RAW!$C$3:$C$2000))*(소재DB_RAW!$AK$3:$AK$2000&lt;&gt;""))),"")</f>
        <v/>
      </c>
      <c r="E302" s="4">
        <f>IF($D302="","",TEXT($D302,"yyyy-mm-dd"))</f>
        <v/>
      </c>
    </row>
    <row r="303">
      <c r="A303" s="4" t="inlineStr">
        <is>
          <t>TLSXM27521</t>
        </is>
      </c>
      <c r="B303" s="4">
        <f>IF(COUNTIF(EDW_RAW!$A$2:$A$1500,$A303)=0,"",IF(SUMPRODUCT((EDW_RAW!$A$2:$A$1500=$A303)*(LEN(EDW_RAW!$R$2:$R$1500)&gt;0))=COUNTIF(EDW_RAW!$A$2:$A$1500,$A303),"O",IF(SUMPRODUCT((EDW_RAW!$A$2:$A$1500=$A303)*(LEN(EDW_RAW!$R$2:$R$1500)&gt;0))&gt;0,"부분","X")))</f>
        <v/>
      </c>
      <c r="C303" s="4">
        <f>IF(COUNTIF(EDW_RAW!$A$2:$A$1500,$A303)=0,"",IF(SUMPRODUCT((EDW_RAW!$A$2:$A$1500=$A303)*(LEN(EDW_RAW!$U$2:$U$1500)&gt;0))=COUNTIF(EDW_RAW!$A$2:$A$1500,$A303),"O",IF(SUMPRODUCT((EDW_RAW!$A$2:$A$1500=$A303)*(LEN(EDW_RAW!$U$2:$U$1500)&gt;0))&gt;0,"부분","X")))</f>
        <v/>
      </c>
      <c r="D303" s="5">
        <f>IFERROR(MAX(FILTER(소재DB_RAW!$AK$3:$AK$2000,(소재DB_RAW!$G$3:$G$2000=$A303)*ISERROR(SEARCH("drop",소재DB_RAW!$C$3:$C$2000))*(소재DB_RAW!$AK$3:$AK$2000&lt;&gt;""))),"")</f>
        <v/>
      </c>
      <c r="E303" s="4">
        <f>IF($D303="","",TEXT($D303,"yyyy-mm-dd"))</f>
        <v/>
      </c>
    </row>
    <row r="304">
      <c r="A304" s="4" t="inlineStr">
        <is>
          <t>TLSXM27551</t>
        </is>
      </c>
      <c r="B304" s="4">
        <f>IF(COUNTIF(EDW_RAW!$A$2:$A$1500,$A304)=0,"",IF(SUMPRODUCT((EDW_RAW!$A$2:$A$1500=$A304)*(LEN(EDW_RAW!$R$2:$R$1500)&gt;0))=COUNTIF(EDW_RAW!$A$2:$A$1500,$A304),"O",IF(SUMPRODUCT((EDW_RAW!$A$2:$A$1500=$A304)*(LEN(EDW_RAW!$R$2:$R$1500)&gt;0))&gt;0,"부분","X")))</f>
        <v/>
      </c>
      <c r="C304" s="4">
        <f>IF(COUNTIF(EDW_RAW!$A$2:$A$1500,$A304)=0,"",IF(SUMPRODUCT((EDW_RAW!$A$2:$A$1500=$A304)*(LEN(EDW_RAW!$U$2:$U$1500)&gt;0))=COUNTIF(EDW_RAW!$A$2:$A$1500,$A304),"O",IF(SUMPRODUCT((EDW_RAW!$A$2:$A$1500=$A304)*(LEN(EDW_RAW!$U$2:$U$1500)&gt;0))&gt;0,"부분","X")))</f>
        <v/>
      </c>
      <c r="D304" s="5">
        <f>IFERROR(MAX(FILTER(소재DB_RAW!$AK$3:$AK$2000,(소재DB_RAW!$G$3:$G$2000=$A304)*ISERROR(SEARCH("drop",소재DB_RAW!$C$3:$C$2000))*(소재DB_RAW!$AK$3:$AK$2000&lt;&gt;""))),"")</f>
        <v/>
      </c>
      <c r="E304" s="4">
        <f>IF($D304="","",TEXT($D304,"yyyy-mm-dd"))</f>
        <v/>
      </c>
    </row>
    <row r="305">
      <c r="A305" s="4" t="inlineStr">
        <is>
          <t>TLSCM27501</t>
        </is>
      </c>
      <c r="B305" s="4">
        <f>IF(COUNTIF(EDW_RAW!$A$2:$A$1500,$A305)=0,"",IF(SUMPRODUCT((EDW_RAW!$A$2:$A$1500=$A305)*(LEN(EDW_RAW!$R$2:$R$1500)&gt;0))=COUNTIF(EDW_RAW!$A$2:$A$1500,$A305),"O",IF(SUMPRODUCT((EDW_RAW!$A$2:$A$1500=$A305)*(LEN(EDW_RAW!$R$2:$R$1500)&gt;0))&gt;0,"부분","X")))</f>
        <v/>
      </c>
      <c r="C305" s="4">
        <f>IF(COUNTIF(EDW_RAW!$A$2:$A$1500,$A305)=0,"",IF(SUMPRODUCT((EDW_RAW!$A$2:$A$1500=$A305)*(LEN(EDW_RAW!$U$2:$U$1500)&gt;0))=COUNTIF(EDW_RAW!$A$2:$A$1500,$A305),"O",IF(SUMPRODUCT((EDW_RAW!$A$2:$A$1500=$A305)*(LEN(EDW_RAW!$U$2:$U$1500)&gt;0))&gt;0,"부분","X")))</f>
        <v/>
      </c>
      <c r="D305" s="5">
        <f>IFERROR(MAX(FILTER(소재DB_RAW!$AK$3:$AK$2000,(소재DB_RAW!$G$3:$G$2000=$A305)*ISERROR(SEARCH("drop",소재DB_RAW!$C$3:$C$2000))*(소재DB_RAW!$AK$3:$AK$2000&lt;&gt;""))),"")</f>
        <v/>
      </c>
      <c r="E305" s="4">
        <f>IF($D305="","",TEXT($D305,"yyyy-mm-dd"))</f>
        <v/>
      </c>
    </row>
    <row r="306">
      <c r="A306" s="4" t="inlineStr">
        <is>
          <t>TLSCM27921</t>
        </is>
      </c>
      <c r="B306" s="4">
        <f>IF(COUNTIF(EDW_RAW!$A$2:$A$1500,$A306)=0,"",IF(SUMPRODUCT((EDW_RAW!$A$2:$A$1500=$A306)*(LEN(EDW_RAW!$R$2:$R$1500)&gt;0))=COUNTIF(EDW_RAW!$A$2:$A$1500,$A306),"O",IF(SUMPRODUCT((EDW_RAW!$A$2:$A$1500=$A306)*(LEN(EDW_RAW!$R$2:$R$1500)&gt;0))&gt;0,"부분","X")))</f>
        <v/>
      </c>
      <c r="C306" s="4">
        <f>IF(COUNTIF(EDW_RAW!$A$2:$A$1500,$A306)=0,"",IF(SUMPRODUCT((EDW_RAW!$A$2:$A$1500=$A306)*(LEN(EDW_RAW!$U$2:$U$1500)&gt;0))=COUNTIF(EDW_RAW!$A$2:$A$1500,$A306),"O",IF(SUMPRODUCT((EDW_RAW!$A$2:$A$1500=$A306)*(LEN(EDW_RAW!$U$2:$U$1500)&gt;0))&gt;0,"부분","X")))</f>
        <v/>
      </c>
      <c r="D306" s="5">
        <f>IFERROR(MAX(FILTER(소재DB_RAW!$AK$3:$AK$2000,(소재DB_RAW!$G$3:$G$2000=$A306)*ISERROR(SEARCH("drop",소재DB_RAW!$C$3:$C$2000))*(소재DB_RAW!$AK$3:$AK$2000&lt;&gt;""))),"")</f>
        <v/>
      </c>
      <c r="E306" s="4">
        <f>IF($D306="","",TEXT($D306,"yyyy-mm-dd"))</f>
        <v/>
      </c>
    </row>
    <row r="307">
      <c r="A307" s="4" t="inlineStr">
        <is>
          <t>TLSCM27511</t>
        </is>
      </c>
      <c r="B307" s="4">
        <f>IF(COUNTIF(EDW_RAW!$A$2:$A$1500,$A307)=0,"",IF(SUMPRODUCT((EDW_RAW!$A$2:$A$1500=$A307)*(LEN(EDW_RAW!$R$2:$R$1500)&gt;0))=COUNTIF(EDW_RAW!$A$2:$A$1500,$A307),"O",IF(SUMPRODUCT((EDW_RAW!$A$2:$A$1500=$A307)*(LEN(EDW_RAW!$R$2:$R$1500)&gt;0))&gt;0,"부분","X")))</f>
        <v/>
      </c>
      <c r="C307" s="4">
        <f>IF(COUNTIF(EDW_RAW!$A$2:$A$1500,$A307)=0,"",IF(SUMPRODUCT((EDW_RAW!$A$2:$A$1500=$A307)*(LEN(EDW_RAW!$U$2:$U$1500)&gt;0))=COUNTIF(EDW_RAW!$A$2:$A$1500,$A307),"O",IF(SUMPRODUCT((EDW_RAW!$A$2:$A$1500=$A307)*(LEN(EDW_RAW!$U$2:$U$1500)&gt;0))&gt;0,"부분","X")))</f>
        <v/>
      </c>
      <c r="D307" s="5">
        <f>IFERROR(MAX(FILTER(소재DB_RAW!$AK$3:$AK$2000,(소재DB_RAW!$G$3:$G$2000=$A307)*ISERROR(SEARCH("drop",소재DB_RAW!$C$3:$C$2000))*(소재DB_RAW!$AK$3:$AK$2000&lt;&gt;""))),"")</f>
        <v/>
      </c>
      <c r="E307" s="4">
        <f>IF($D307="","",TEXT($D307,"yyyy-mm-dd"))</f>
        <v/>
      </c>
    </row>
    <row r="308">
      <c r="A308" s="4" t="inlineStr">
        <is>
          <t>TLSXS27511</t>
        </is>
      </c>
      <c r="B308" s="4">
        <f>IF(COUNTIF(EDW_RAW!$A$2:$A$1500,$A308)=0,"",IF(SUMPRODUCT((EDW_RAW!$A$2:$A$1500=$A308)*(LEN(EDW_RAW!$R$2:$R$1500)&gt;0))=COUNTIF(EDW_RAW!$A$2:$A$1500,$A308),"O",IF(SUMPRODUCT((EDW_RAW!$A$2:$A$1500=$A308)*(LEN(EDW_RAW!$R$2:$R$1500)&gt;0))&gt;0,"부분","X")))</f>
        <v/>
      </c>
      <c r="C308" s="4">
        <f>IF(COUNTIF(EDW_RAW!$A$2:$A$1500,$A308)=0,"",IF(SUMPRODUCT((EDW_RAW!$A$2:$A$1500=$A308)*(LEN(EDW_RAW!$U$2:$U$1500)&gt;0))=COUNTIF(EDW_RAW!$A$2:$A$1500,$A308),"O",IF(SUMPRODUCT((EDW_RAW!$A$2:$A$1500=$A308)*(LEN(EDW_RAW!$U$2:$U$1500)&gt;0))&gt;0,"부분","X")))</f>
        <v/>
      </c>
      <c r="D308" s="5">
        <f>IFERROR(MAX(FILTER(소재DB_RAW!$AK$3:$AK$2000,(소재DB_RAW!$G$3:$G$2000=$A308)*ISERROR(SEARCH("drop",소재DB_RAW!$C$3:$C$2000))*(소재DB_RAW!$AK$3:$AK$2000&lt;&gt;""))),"")</f>
        <v/>
      </c>
      <c r="E308" s="4">
        <f>IF($D308="","",TEXT($D308,"yyyy-mm-dd"))</f>
        <v/>
      </c>
    </row>
    <row r="309">
      <c r="A309" s="4" t="inlineStr">
        <is>
          <t>TLSXS27501</t>
        </is>
      </c>
      <c r="B309" s="4">
        <f>IF(COUNTIF(EDW_RAW!$A$2:$A$1500,$A309)=0,"",IF(SUMPRODUCT((EDW_RAW!$A$2:$A$1500=$A309)*(LEN(EDW_RAW!$R$2:$R$1500)&gt;0))=COUNTIF(EDW_RAW!$A$2:$A$1500,$A309),"O",IF(SUMPRODUCT((EDW_RAW!$A$2:$A$1500=$A309)*(LEN(EDW_RAW!$R$2:$R$1500)&gt;0))&gt;0,"부분","X")))</f>
        <v/>
      </c>
      <c r="C309" s="4">
        <f>IF(COUNTIF(EDW_RAW!$A$2:$A$1500,$A309)=0,"",IF(SUMPRODUCT((EDW_RAW!$A$2:$A$1500=$A309)*(LEN(EDW_RAW!$U$2:$U$1500)&gt;0))=COUNTIF(EDW_RAW!$A$2:$A$1500,$A309),"O",IF(SUMPRODUCT((EDW_RAW!$A$2:$A$1500=$A309)*(LEN(EDW_RAW!$U$2:$U$1500)&gt;0))&gt;0,"부분","X")))</f>
        <v/>
      </c>
      <c r="D309" s="5">
        <f>IFERROR(MAX(FILTER(소재DB_RAW!$AK$3:$AK$2000,(소재DB_RAW!$G$3:$G$2000=$A309)*ISERROR(SEARCH("drop",소재DB_RAW!$C$3:$C$2000))*(소재DB_RAW!$AK$3:$AK$2000&lt;&gt;""))),"")</f>
        <v/>
      </c>
      <c r="E309" s="4">
        <f>IF($D309="","",TEXT($D309,"yyyy-mm-dd"))</f>
        <v/>
      </c>
    </row>
    <row r="310">
      <c r="A310" s="4" t="inlineStr">
        <is>
          <t>TLSXM27901</t>
        </is>
      </c>
      <c r="B310" s="4">
        <f>IF(COUNTIF(EDW_RAW!$A$2:$A$1500,$A310)=0,"",IF(SUMPRODUCT((EDW_RAW!$A$2:$A$1500=$A310)*(LEN(EDW_RAW!$R$2:$R$1500)&gt;0))=COUNTIF(EDW_RAW!$A$2:$A$1500,$A310),"O",IF(SUMPRODUCT((EDW_RAW!$A$2:$A$1500=$A310)*(LEN(EDW_RAW!$R$2:$R$1500)&gt;0))&gt;0,"부분","X")))</f>
        <v/>
      </c>
      <c r="C310" s="4">
        <f>IF(COUNTIF(EDW_RAW!$A$2:$A$1500,$A310)=0,"",IF(SUMPRODUCT((EDW_RAW!$A$2:$A$1500=$A310)*(LEN(EDW_RAW!$U$2:$U$1500)&gt;0))=COUNTIF(EDW_RAW!$A$2:$A$1500,$A310),"O",IF(SUMPRODUCT((EDW_RAW!$A$2:$A$1500=$A310)*(LEN(EDW_RAW!$U$2:$U$1500)&gt;0))&gt;0,"부분","X")))</f>
        <v/>
      </c>
      <c r="D310" s="5">
        <f>IFERROR(MAX(FILTER(소재DB_RAW!$AK$3:$AK$2000,(소재DB_RAW!$G$3:$G$2000=$A310)*ISERROR(SEARCH("drop",소재DB_RAW!$C$3:$C$2000))*(소재DB_RAW!$AK$3:$AK$2000&lt;&gt;""))),"")</f>
        <v/>
      </c>
      <c r="E310" s="4">
        <f>IF($D310="","",TEXT($D310,"yyyy-mm-dd"))</f>
        <v/>
      </c>
    </row>
    <row r="311">
      <c r="A311" s="4" t="inlineStr">
        <is>
          <t>TLTCM27591</t>
        </is>
      </c>
      <c r="B311" s="4">
        <f>IF(COUNTIF(EDW_RAW!$A$2:$A$1500,$A311)=0,"",IF(SUMPRODUCT((EDW_RAW!$A$2:$A$1500=$A311)*(LEN(EDW_RAW!$R$2:$R$1500)&gt;0))=COUNTIF(EDW_RAW!$A$2:$A$1500,$A311),"O",IF(SUMPRODUCT((EDW_RAW!$A$2:$A$1500=$A311)*(LEN(EDW_RAW!$R$2:$R$1500)&gt;0))&gt;0,"부분","X")))</f>
        <v/>
      </c>
      <c r="C311" s="4">
        <f>IF(COUNTIF(EDW_RAW!$A$2:$A$1500,$A311)=0,"",IF(SUMPRODUCT((EDW_RAW!$A$2:$A$1500=$A311)*(LEN(EDW_RAW!$U$2:$U$1500)&gt;0))=COUNTIF(EDW_RAW!$A$2:$A$1500,$A311),"O",IF(SUMPRODUCT((EDW_RAW!$A$2:$A$1500=$A311)*(LEN(EDW_RAW!$U$2:$U$1500)&gt;0))&gt;0,"부분","X")))</f>
        <v/>
      </c>
      <c r="D311" s="5">
        <f>IFERROR(MAX(FILTER(소재DB_RAW!$AK$3:$AK$2000,(소재DB_RAW!$G$3:$G$2000=$A311)*ISERROR(SEARCH("drop",소재DB_RAW!$C$3:$C$2000))*(소재DB_RAW!$AK$3:$AK$2000&lt;&gt;""))),"")</f>
        <v/>
      </c>
      <c r="E311" s="4">
        <f>IF($D311="","",TEXT($D311,"yyyy-mm-dd"))</f>
        <v/>
      </c>
    </row>
    <row r="312">
      <c r="A312" s="4" t="inlineStr">
        <is>
          <t>TLTBS27571</t>
        </is>
      </c>
      <c r="B312" s="4">
        <f>IF(COUNTIF(EDW_RAW!$A$2:$A$1500,$A312)=0,"",IF(SUMPRODUCT((EDW_RAW!$A$2:$A$1500=$A312)*(LEN(EDW_RAW!$R$2:$R$1500)&gt;0))=COUNTIF(EDW_RAW!$A$2:$A$1500,$A312),"O",IF(SUMPRODUCT((EDW_RAW!$A$2:$A$1500=$A312)*(LEN(EDW_RAW!$R$2:$R$1500)&gt;0))&gt;0,"부분","X")))</f>
        <v/>
      </c>
      <c r="C312" s="4">
        <f>IF(COUNTIF(EDW_RAW!$A$2:$A$1500,$A312)=0,"",IF(SUMPRODUCT((EDW_RAW!$A$2:$A$1500=$A312)*(LEN(EDW_RAW!$U$2:$U$1500)&gt;0))=COUNTIF(EDW_RAW!$A$2:$A$1500,$A312),"O",IF(SUMPRODUCT((EDW_RAW!$A$2:$A$1500=$A312)*(LEN(EDW_RAW!$U$2:$U$1500)&gt;0))&gt;0,"부분","X")))</f>
        <v/>
      </c>
      <c r="D312" s="5">
        <f>IFERROR(MAX(FILTER(소재DB_RAW!$AK$3:$AK$2000,(소재DB_RAW!$G$3:$G$2000=$A312)*ISERROR(SEARCH("drop",소재DB_RAW!$C$3:$C$2000))*(소재DB_RAW!$AK$3:$AK$2000&lt;&gt;""))),"")</f>
        <v/>
      </c>
      <c r="E312" s="4">
        <f>IF($D312="","",TEXT($D312,"yyyy-mm-dd"))</f>
        <v/>
      </c>
    </row>
    <row r="313">
      <c r="A313" s="4" t="inlineStr">
        <is>
          <t>TLTCM27501</t>
        </is>
      </c>
      <c r="B313" s="4">
        <f>IF(COUNTIF(EDW_RAW!$A$2:$A$1500,$A313)=0,"",IF(SUMPRODUCT((EDW_RAW!$A$2:$A$1500=$A313)*(LEN(EDW_RAW!$R$2:$R$1500)&gt;0))=COUNTIF(EDW_RAW!$A$2:$A$1500,$A313),"O",IF(SUMPRODUCT((EDW_RAW!$A$2:$A$1500=$A313)*(LEN(EDW_RAW!$R$2:$R$1500)&gt;0))&gt;0,"부분","X")))</f>
        <v/>
      </c>
      <c r="C313" s="4">
        <f>IF(COUNTIF(EDW_RAW!$A$2:$A$1500,$A313)=0,"",IF(SUMPRODUCT((EDW_RAW!$A$2:$A$1500=$A313)*(LEN(EDW_RAW!$U$2:$U$1500)&gt;0))=COUNTIF(EDW_RAW!$A$2:$A$1500,$A313),"O",IF(SUMPRODUCT((EDW_RAW!$A$2:$A$1500=$A313)*(LEN(EDW_RAW!$U$2:$U$1500)&gt;0))&gt;0,"부분","X")))</f>
        <v/>
      </c>
      <c r="D313" s="5">
        <f>IFERROR(MAX(FILTER(소재DB_RAW!$AK$3:$AK$2000,(소재DB_RAW!$G$3:$G$2000=$A313)*ISERROR(SEARCH("drop",소재DB_RAW!$C$3:$C$2000))*(소재DB_RAW!$AK$3:$AK$2000&lt;&gt;""))),"")</f>
        <v/>
      </c>
      <c r="E313" s="4">
        <f>IF($D313="","",TEXT($D313,"yyyy-mm-dd"))</f>
        <v/>
      </c>
    </row>
    <row r="314">
      <c r="A314" s="4" t="inlineStr">
        <is>
          <t>TLTCM27503</t>
        </is>
      </c>
      <c r="B314" s="4">
        <f>IF(COUNTIF(EDW_RAW!$A$2:$A$1500,$A314)=0,"",IF(SUMPRODUCT((EDW_RAW!$A$2:$A$1500=$A314)*(LEN(EDW_RAW!$R$2:$R$1500)&gt;0))=COUNTIF(EDW_RAW!$A$2:$A$1500,$A314),"O",IF(SUMPRODUCT((EDW_RAW!$A$2:$A$1500=$A314)*(LEN(EDW_RAW!$R$2:$R$1500)&gt;0))&gt;0,"부분","X")))</f>
        <v/>
      </c>
      <c r="C314" s="4">
        <f>IF(COUNTIF(EDW_RAW!$A$2:$A$1500,$A314)=0,"",IF(SUMPRODUCT((EDW_RAW!$A$2:$A$1500=$A314)*(LEN(EDW_RAW!$U$2:$U$1500)&gt;0))=COUNTIF(EDW_RAW!$A$2:$A$1500,$A314),"O",IF(SUMPRODUCT((EDW_RAW!$A$2:$A$1500=$A314)*(LEN(EDW_RAW!$U$2:$U$1500)&gt;0))&gt;0,"부분","X")))</f>
        <v/>
      </c>
      <c r="D314" s="5">
        <f>IFERROR(MAX(FILTER(소재DB_RAW!$AK$3:$AK$2000,(소재DB_RAW!$G$3:$G$2000=$A314)*ISERROR(SEARCH("drop",소재DB_RAW!$C$3:$C$2000))*(소재DB_RAW!$AK$3:$AK$2000&lt;&gt;""))),"")</f>
        <v/>
      </c>
      <c r="E314" s="4">
        <f>IF($D314="","",TEXT($D314,"yyyy-mm-dd"))</f>
        <v/>
      </c>
    </row>
    <row r="315">
      <c r="A315" s="4" t="inlineStr">
        <is>
          <t>TLTCM27505</t>
        </is>
      </c>
      <c r="B315" s="4">
        <f>IF(COUNTIF(EDW_RAW!$A$2:$A$1500,$A315)=0,"",IF(SUMPRODUCT((EDW_RAW!$A$2:$A$1500=$A315)*(LEN(EDW_RAW!$R$2:$R$1500)&gt;0))=COUNTIF(EDW_RAW!$A$2:$A$1500,$A315),"O",IF(SUMPRODUCT((EDW_RAW!$A$2:$A$1500=$A315)*(LEN(EDW_RAW!$R$2:$R$1500)&gt;0))&gt;0,"부분","X")))</f>
        <v/>
      </c>
      <c r="C315" s="4">
        <f>IF(COUNTIF(EDW_RAW!$A$2:$A$1500,$A315)=0,"",IF(SUMPRODUCT((EDW_RAW!$A$2:$A$1500=$A315)*(LEN(EDW_RAW!$U$2:$U$1500)&gt;0))=COUNTIF(EDW_RAW!$A$2:$A$1500,$A315),"O",IF(SUMPRODUCT((EDW_RAW!$A$2:$A$1500=$A315)*(LEN(EDW_RAW!$U$2:$U$1500)&gt;0))&gt;0,"부분","X")))</f>
        <v/>
      </c>
      <c r="D315" s="5">
        <f>IFERROR(MAX(FILTER(소재DB_RAW!$AK$3:$AK$2000,(소재DB_RAW!$G$3:$G$2000=$A315)*ISERROR(SEARCH("drop",소재DB_RAW!$C$3:$C$2000))*(소재DB_RAW!$AK$3:$AK$2000&lt;&gt;""))),"")</f>
        <v/>
      </c>
      <c r="E315" s="4">
        <f>IF($D315="","",TEXT($D315,"yyyy-mm-dd"))</f>
        <v/>
      </c>
    </row>
    <row r="316">
      <c r="A316" s="4" t="inlineStr">
        <is>
          <t>TLTCM27509</t>
        </is>
      </c>
      <c r="B316" s="4">
        <f>IF(COUNTIF(EDW_RAW!$A$2:$A$1500,$A316)=0,"",IF(SUMPRODUCT((EDW_RAW!$A$2:$A$1500=$A316)*(LEN(EDW_RAW!$R$2:$R$1500)&gt;0))=COUNTIF(EDW_RAW!$A$2:$A$1500,$A316),"O",IF(SUMPRODUCT((EDW_RAW!$A$2:$A$1500=$A316)*(LEN(EDW_RAW!$R$2:$R$1500)&gt;0))&gt;0,"부분","X")))</f>
        <v/>
      </c>
      <c r="C316" s="4">
        <f>IF(COUNTIF(EDW_RAW!$A$2:$A$1500,$A316)=0,"",IF(SUMPRODUCT((EDW_RAW!$A$2:$A$1500=$A316)*(LEN(EDW_RAW!$U$2:$U$1500)&gt;0))=COUNTIF(EDW_RAW!$A$2:$A$1500,$A316),"O",IF(SUMPRODUCT((EDW_RAW!$A$2:$A$1500=$A316)*(LEN(EDW_RAW!$U$2:$U$1500)&gt;0))&gt;0,"부분","X")))</f>
        <v/>
      </c>
      <c r="D316" s="5">
        <f>IFERROR(MAX(FILTER(소재DB_RAW!$AK$3:$AK$2000,(소재DB_RAW!$G$3:$G$2000=$A316)*ISERROR(SEARCH("drop",소재DB_RAW!$C$3:$C$2000))*(소재DB_RAW!$AK$3:$AK$2000&lt;&gt;""))),"")</f>
        <v/>
      </c>
      <c r="E316" s="4">
        <f>IF($D316="","",TEXT($D316,"yyyy-mm-dd"))</f>
        <v/>
      </c>
    </row>
    <row r="317">
      <c r="A317" s="4" t="inlineStr">
        <is>
          <t>TLTCM27511</t>
        </is>
      </c>
      <c r="B317" s="4">
        <f>IF(COUNTIF(EDW_RAW!$A$2:$A$1500,$A317)=0,"",IF(SUMPRODUCT((EDW_RAW!$A$2:$A$1500=$A317)*(LEN(EDW_RAW!$R$2:$R$1500)&gt;0))=COUNTIF(EDW_RAW!$A$2:$A$1500,$A317),"O",IF(SUMPRODUCT((EDW_RAW!$A$2:$A$1500=$A317)*(LEN(EDW_RAW!$R$2:$R$1500)&gt;0))&gt;0,"부분","X")))</f>
        <v/>
      </c>
      <c r="C317" s="4">
        <f>IF(COUNTIF(EDW_RAW!$A$2:$A$1500,$A317)=0,"",IF(SUMPRODUCT((EDW_RAW!$A$2:$A$1500=$A317)*(LEN(EDW_RAW!$U$2:$U$1500)&gt;0))=COUNTIF(EDW_RAW!$A$2:$A$1500,$A317),"O",IF(SUMPRODUCT((EDW_RAW!$A$2:$A$1500=$A317)*(LEN(EDW_RAW!$U$2:$U$1500)&gt;0))&gt;0,"부분","X")))</f>
        <v/>
      </c>
      <c r="D317" s="5">
        <f>IFERROR(MAX(FILTER(소재DB_RAW!$AK$3:$AK$2000,(소재DB_RAW!$G$3:$G$2000=$A317)*ISERROR(SEARCH("drop",소재DB_RAW!$C$3:$C$2000))*(소재DB_RAW!$AK$3:$AK$2000&lt;&gt;""))),"")</f>
        <v/>
      </c>
      <c r="E317" s="4">
        <f>IF($D317="","",TEXT($D317,"yyyy-mm-dd"))</f>
        <v/>
      </c>
    </row>
    <row r="318">
      <c r="A318" s="4" t="inlineStr">
        <is>
          <t>TLTCM27517</t>
        </is>
      </c>
      <c r="B318" s="4">
        <f>IF(COUNTIF(EDW_RAW!$A$2:$A$1500,$A318)=0,"",IF(SUMPRODUCT((EDW_RAW!$A$2:$A$1500=$A318)*(LEN(EDW_RAW!$R$2:$R$1500)&gt;0))=COUNTIF(EDW_RAW!$A$2:$A$1500,$A318),"O",IF(SUMPRODUCT((EDW_RAW!$A$2:$A$1500=$A318)*(LEN(EDW_RAW!$R$2:$R$1500)&gt;0))&gt;0,"부분","X")))</f>
        <v/>
      </c>
      <c r="C318" s="4">
        <f>IF(COUNTIF(EDW_RAW!$A$2:$A$1500,$A318)=0,"",IF(SUMPRODUCT((EDW_RAW!$A$2:$A$1500=$A318)*(LEN(EDW_RAW!$U$2:$U$1500)&gt;0))=COUNTIF(EDW_RAW!$A$2:$A$1500,$A318),"O",IF(SUMPRODUCT((EDW_RAW!$A$2:$A$1500=$A318)*(LEN(EDW_RAW!$U$2:$U$1500)&gt;0))&gt;0,"부분","X")))</f>
        <v/>
      </c>
      <c r="D318" s="5">
        <f>IFERROR(MAX(FILTER(소재DB_RAW!$AK$3:$AK$2000,(소재DB_RAW!$G$3:$G$2000=$A318)*ISERROR(SEARCH("drop",소재DB_RAW!$C$3:$C$2000))*(소재DB_RAW!$AK$3:$AK$2000&lt;&gt;""))),"")</f>
        <v/>
      </c>
      <c r="E318" s="4">
        <f>IF($D318="","",TEXT($D318,"yyyy-mm-dd"))</f>
        <v/>
      </c>
    </row>
    <row r="319">
      <c r="A319" s="4" t="inlineStr">
        <is>
          <t>TLTCM27519</t>
        </is>
      </c>
      <c r="B319" s="4">
        <f>IF(COUNTIF(EDW_RAW!$A$2:$A$1500,$A319)=0,"",IF(SUMPRODUCT((EDW_RAW!$A$2:$A$1500=$A319)*(LEN(EDW_RAW!$R$2:$R$1500)&gt;0))=COUNTIF(EDW_RAW!$A$2:$A$1500,$A319),"O",IF(SUMPRODUCT((EDW_RAW!$A$2:$A$1500=$A319)*(LEN(EDW_RAW!$R$2:$R$1500)&gt;0))&gt;0,"부분","X")))</f>
        <v/>
      </c>
      <c r="C319" s="4">
        <f>IF(COUNTIF(EDW_RAW!$A$2:$A$1500,$A319)=0,"",IF(SUMPRODUCT((EDW_RAW!$A$2:$A$1500=$A319)*(LEN(EDW_RAW!$U$2:$U$1500)&gt;0))=COUNTIF(EDW_RAW!$A$2:$A$1500,$A319),"O",IF(SUMPRODUCT((EDW_RAW!$A$2:$A$1500=$A319)*(LEN(EDW_RAW!$U$2:$U$1500)&gt;0))&gt;0,"부분","X")))</f>
        <v/>
      </c>
      <c r="D319" s="5">
        <f>IFERROR(MAX(FILTER(소재DB_RAW!$AK$3:$AK$2000,(소재DB_RAW!$G$3:$G$2000=$A319)*ISERROR(SEARCH("drop",소재DB_RAW!$C$3:$C$2000))*(소재DB_RAW!$AK$3:$AK$2000&lt;&gt;""))),"")</f>
        <v/>
      </c>
      <c r="E319" s="4">
        <f>IF($D319="","",TEXT($D319,"yyyy-mm-dd"))</f>
        <v/>
      </c>
    </row>
    <row r="320">
      <c r="A320" s="4" t="inlineStr">
        <is>
          <t>TLTCM27561</t>
        </is>
      </c>
      <c r="B320" s="4">
        <f>IF(COUNTIF(EDW_RAW!$A$2:$A$1500,$A320)=0,"",IF(SUMPRODUCT((EDW_RAW!$A$2:$A$1500=$A320)*(LEN(EDW_RAW!$R$2:$R$1500)&gt;0))=COUNTIF(EDW_RAW!$A$2:$A$1500,$A320),"O",IF(SUMPRODUCT((EDW_RAW!$A$2:$A$1500=$A320)*(LEN(EDW_RAW!$R$2:$R$1500)&gt;0))&gt;0,"부분","X")))</f>
        <v/>
      </c>
      <c r="C320" s="4">
        <f>IF(COUNTIF(EDW_RAW!$A$2:$A$1500,$A320)=0,"",IF(SUMPRODUCT((EDW_RAW!$A$2:$A$1500=$A320)*(LEN(EDW_RAW!$U$2:$U$1500)&gt;0))=COUNTIF(EDW_RAW!$A$2:$A$1500,$A320),"O",IF(SUMPRODUCT((EDW_RAW!$A$2:$A$1500=$A320)*(LEN(EDW_RAW!$U$2:$U$1500)&gt;0))&gt;0,"부분","X")))</f>
        <v/>
      </c>
      <c r="D320" s="5">
        <f>IFERROR(MAX(FILTER(소재DB_RAW!$AK$3:$AK$2000,(소재DB_RAW!$G$3:$G$2000=$A320)*ISERROR(SEARCH("drop",소재DB_RAW!$C$3:$C$2000))*(소재DB_RAW!$AK$3:$AK$2000&lt;&gt;""))),"")</f>
        <v/>
      </c>
      <c r="E320" s="4">
        <f>IF($D320="","",TEXT($D320,"yyyy-mm-dd"))</f>
        <v/>
      </c>
    </row>
    <row r="321">
      <c r="A321" s="4" t="inlineStr">
        <is>
          <t>TLTCM27529</t>
        </is>
      </c>
      <c r="B321" s="4">
        <f>IF(COUNTIF(EDW_RAW!$A$2:$A$1500,$A321)=0,"",IF(SUMPRODUCT((EDW_RAW!$A$2:$A$1500=$A321)*(LEN(EDW_RAW!$R$2:$R$1500)&gt;0))=COUNTIF(EDW_RAW!$A$2:$A$1500,$A321),"O",IF(SUMPRODUCT((EDW_RAW!$A$2:$A$1500=$A321)*(LEN(EDW_RAW!$R$2:$R$1500)&gt;0))&gt;0,"부분","X")))</f>
        <v/>
      </c>
      <c r="C321" s="4">
        <f>IF(COUNTIF(EDW_RAW!$A$2:$A$1500,$A321)=0,"",IF(SUMPRODUCT((EDW_RAW!$A$2:$A$1500=$A321)*(LEN(EDW_RAW!$U$2:$U$1500)&gt;0))=COUNTIF(EDW_RAW!$A$2:$A$1500,$A321),"O",IF(SUMPRODUCT((EDW_RAW!$A$2:$A$1500=$A321)*(LEN(EDW_RAW!$U$2:$U$1500)&gt;0))&gt;0,"부분","X")))</f>
        <v/>
      </c>
      <c r="D321" s="5">
        <f>IFERROR(MAX(FILTER(소재DB_RAW!$AK$3:$AK$2000,(소재DB_RAW!$G$3:$G$2000=$A321)*ISERROR(SEARCH("drop",소재DB_RAW!$C$3:$C$2000))*(소재DB_RAW!$AK$3:$AK$2000&lt;&gt;""))),"")</f>
        <v/>
      </c>
      <c r="E321" s="4">
        <f>IF($D321="","",TEXT($D321,"yyyy-mm-dd"))</f>
        <v/>
      </c>
    </row>
    <row r="322">
      <c r="A322" s="4" t="inlineStr">
        <is>
          <t>TLTBS27511</t>
        </is>
      </c>
      <c r="B322" s="4">
        <f>IF(COUNTIF(EDW_RAW!$A$2:$A$1500,$A322)=0,"",IF(SUMPRODUCT((EDW_RAW!$A$2:$A$1500=$A322)*(LEN(EDW_RAW!$R$2:$R$1500)&gt;0))=COUNTIF(EDW_RAW!$A$2:$A$1500,$A322),"O",IF(SUMPRODUCT((EDW_RAW!$A$2:$A$1500=$A322)*(LEN(EDW_RAW!$R$2:$R$1500)&gt;0))&gt;0,"부분","X")))</f>
        <v/>
      </c>
      <c r="C322" s="4">
        <f>IF(COUNTIF(EDW_RAW!$A$2:$A$1500,$A322)=0,"",IF(SUMPRODUCT((EDW_RAW!$A$2:$A$1500=$A322)*(LEN(EDW_RAW!$U$2:$U$1500)&gt;0))=COUNTIF(EDW_RAW!$A$2:$A$1500,$A322),"O",IF(SUMPRODUCT((EDW_RAW!$A$2:$A$1500=$A322)*(LEN(EDW_RAW!$U$2:$U$1500)&gt;0))&gt;0,"부분","X")))</f>
        <v/>
      </c>
      <c r="D322" s="5">
        <f>IFERROR(MAX(FILTER(소재DB_RAW!$AK$3:$AK$2000,(소재DB_RAW!$G$3:$G$2000=$A322)*ISERROR(SEARCH("drop",소재DB_RAW!$C$3:$C$2000))*(소재DB_RAW!$AK$3:$AK$2000&lt;&gt;""))),"")</f>
        <v/>
      </c>
      <c r="E322" s="4">
        <f>IF($D322="","",TEXT($D322,"yyyy-mm-dd"))</f>
        <v/>
      </c>
    </row>
    <row r="323">
      <c r="A323" s="4" t="inlineStr">
        <is>
          <t>TLTBM27501</t>
        </is>
      </c>
      <c r="B323" s="4">
        <f>IF(COUNTIF(EDW_RAW!$A$2:$A$1500,$A323)=0,"",IF(SUMPRODUCT((EDW_RAW!$A$2:$A$1500=$A323)*(LEN(EDW_RAW!$R$2:$R$1500)&gt;0))=COUNTIF(EDW_RAW!$A$2:$A$1500,$A323),"O",IF(SUMPRODUCT((EDW_RAW!$A$2:$A$1500=$A323)*(LEN(EDW_RAW!$R$2:$R$1500)&gt;0))&gt;0,"부분","X")))</f>
        <v/>
      </c>
      <c r="C323" s="4">
        <f>IF(COUNTIF(EDW_RAW!$A$2:$A$1500,$A323)=0,"",IF(SUMPRODUCT((EDW_RAW!$A$2:$A$1500=$A323)*(LEN(EDW_RAW!$U$2:$U$1500)&gt;0))=COUNTIF(EDW_RAW!$A$2:$A$1500,$A323),"O",IF(SUMPRODUCT((EDW_RAW!$A$2:$A$1500=$A323)*(LEN(EDW_RAW!$U$2:$U$1500)&gt;0))&gt;0,"부분","X")))</f>
        <v/>
      </c>
      <c r="D323" s="5">
        <f>IFERROR(MAX(FILTER(소재DB_RAW!$AK$3:$AK$2000,(소재DB_RAW!$G$3:$G$2000=$A323)*ISERROR(SEARCH("drop",소재DB_RAW!$C$3:$C$2000))*(소재DB_RAW!$AK$3:$AK$2000&lt;&gt;""))),"")</f>
        <v/>
      </c>
      <c r="E323" s="4">
        <f>IF($D323="","",TEXT($D323,"yyyy-mm-dd"))</f>
        <v/>
      </c>
    </row>
    <row r="324">
      <c r="A324" s="4" t="inlineStr">
        <is>
          <t>TLTCM27521</t>
        </is>
      </c>
      <c r="B324" s="4">
        <f>IF(COUNTIF(EDW_RAW!$A$2:$A$1500,$A324)=0,"",IF(SUMPRODUCT((EDW_RAW!$A$2:$A$1500=$A324)*(LEN(EDW_RAW!$R$2:$R$1500)&gt;0))=COUNTIF(EDW_RAW!$A$2:$A$1500,$A324),"O",IF(SUMPRODUCT((EDW_RAW!$A$2:$A$1500=$A324)*(LEN(EDW_RAW!$R$2:$R$1500)&gt;0))&gt;0,"부분","X")))</f>
        <v/>
      </c>
      <c r="C324" s="4">
        <f>IF(COUNTIF(EDW_RAW!$A$2:$A$1500,$A324)=0,"",IF(SUMPRODUCT((EDW_RAW!$A$2:$A$1500=$A324)*(LEN(EDW_RAW!$U$2:$U$1500)&gt;0))=COUNTIF(EDW_RAW!$A$2:$A$1500,$A324),"O",IF(SUMPRODUCT((EDW_RAW!$A$2:$A$1500=$A324)*(LEN(EDW_RAW!$U$2:$U$1500)&gt;0))&gt;0,"부분","X")))</f>
        <v/>
      </c>
      <c r="D324" s="5">
        <f>IFERROR(MAX(FILTER(소재DB_RAW!$AK$3:$AK$2000,(소재DB_RAW!$G$3:$G$2000=$A324)*ISERROR(SEARCH("drop",소재DB_RAW!$C$3:$C$2000))*(소재DB_RAW!$AK$3:$AK$2000&lt;&gt;""))),"")</f>
        <v/>
      </c>
      <c r="E324" s="4">
        <f>IF($D324="","",TEXT($D324,"yyyy-mm-dd"))</f>
        <v/>
      </c>
    </row>
    <row r="325">
      <c r="A325" s="4" t="inlineStr">
        <is>
          <t>TLTCM27523</t>
        </is>
      </c>
      <c r="B325" s="4">
        <f>IF(COUNTIF(EDW_RAW!$A$2:$A$1500,$A325)=0,"",IF(SUMPRODUCT((EDW_RAW!$A$2:$A$1500=$A325)*(LEN(EDW_RAW!$R$2:$R$1500)&gt;0))=COUNTIF(EDW_RAW!$A$2:$A$1500,$A325),"O",IF(SUMPRODUCT((EDW_RAW!$A$2:$A$1500=$A325)*(LEN(EDW_RAW!$R$2:$R$1500)&gt;0))&gt;0,"부분","X")))</f>
        <v/>
      </c>
      <c r="C325" s="4">
        <f>IF(COUNTIF(EDW_RAW!$A$2:$A$1500,$A325)=0,"",IF(SUMPRODUCT((EDW_RAW!$A$2:$A$1500=$A325)*(LEN(EDW_RAW!$U$2:$U$1500)&gt;0))=COUNTIF(EDW_RAW!$A$2:$A$1500,$A325),"O",IF(SUMPRODUCT((EDW_RAW!$A$2:$A$1500=$A325)*(LEN(EDW_RAW!$U$2:$U$1500)&gt;0))&gt;0,"부분","X")))</f>
        <v/>
      </c>
      <c r="D325" s="5">
        <f>IFERROR(MAX(FILTER(소재DB_RAW!$AK$3:$AK$2000,(소재DB_RAW!$G$3:$G$2000=$A325)*ISERROR(SEARCH("drop",소재DB_RAW!$C$3:$C$2000))*(소재DB_RAW!$AK$3:$AK$2000&lt;&gt;""))),"")</f>
        <v/>
      </c>
      <c r="E325" s="4">
        <f>IF($D325="","",TEXT($D325,"yyyy-mm-dd"))</f>
        <v/>
      </c>
    </row>
    <row r="326">
      <c r="A326" s="4" t="inlineStr">
        <is>
          <t>TVSXM27592</t>
        </is>
      </c>
      <c r="B326" s="4">
        <f>IF(COUNTIF(EDW_RAW!$A$2:$A$1500,$A326)=0,"",IF(SUMPRODUCT((EDW_RAW!$A$2:$A$1500=$A326)*(LEN(EDW_RAW!$R$2:$R$1500)&gt;0))=COUNTIF(EDW_RAW!$A$2:$A$1500,$A326),"O",IF(SUMPRODUCT((EDW_RAW!$A$2:$A$1500=$A326)*(LEN(EDW_RAW!$R$2:$R$1500)&gt;0))&gt;0,"부분","X")))</f>
        <v/>
      </c>
      <c r="C326" s="4">
        <f>IF(COUNTIF(EDW_RAW!$A$2:$A$1500,$A326)=0,"",IF(SUMPRODUCT((EDW_RAW!$A$2:$A$1500=$A326)*(LEN(EDW_RAW!$U$2:$U$1500)&gt;0))=COUNTIF(EDW_RAW!$A$2:$A$1500,$A326),"O",IF(SUMPRODUCT((EDW_RAW!$A$2:$A$1500=$A326)*(LEN(EDW_RAW!$U$2:$U$1500)&gt;0))&gt;0,"부분","X")))</f>
        <v/>
      </c>
      <c r="D326" s="5">
        <f>IFERROR(MAX(FILTER(소재DB_RAW!$AK$3:$AK$2000,(소재DB_RAW!$G$3:$G$2000=$A326)*ISERROR(SEARCH("drop",소재DB_RAW!$C$3:$C$2000))*(소재DB_RAW!$AK$3:$AK$2000&lt;&gt;""))),"")</f>
        <v/>
      </c>
      <c r="E326" s="4">
        <f>IF($D326="","",TEXT($D326,"yyyy-mm-dd"))</f>
        <v/>
      </c>
    </row>
    <row r="327">
      <c r="A327" s="4" t="inlineStr">
        <is>
          <t>TVSXM27582</t>
        </is>
      </c>
      <c r="B327" s="4">
        <f>IF(COUNTIF(EDW_RAW!$A$2:$A$1500,$A327)=0,"",IF(SUMPRODUCT((EDW_RAW!$A$2:$A$1500=$A327)*(LEN(EDW_RAW!$R$2:$R$1500)&gt;0))=COUNTIF(EDW_RAW!$A$2:$A$1500,$A327),"O",IF(SUMPRODUCT((EDW_RAW!$A$2:$A$1500=$A327)*(LEN(EDW_RAW!$R$2:$R$1500)&gt;0))&gt;0,"부분","X")))</f>
        <v/>
      </c>
      <c r="C327" s="4">
        <f>IF(COUNTIF(EDW_RAW!$A$2:$A$1500,$A327)=0,"",IF(SUMPRODUCT((EDW_RAW!$A$2:$A$1500=$A327)*(LEN(EDW_RAW!$U$2:$U$1500)&gt;0))=COUNTIF(EDW_RAW!$A$2:$A$1500,$A327),"O",IF(SUMPRODUCT((EDW_RAW!$A$2:$A$1500=$A327)*(LEN(EDW_RAW!$U$2:$U$1500)&gt;0))&gt;0,"부분","X")))</f>
        <v/>
      </c>
      <c r="D327" s="5">
        <f>IFERROR(MAX(FILTER(소재DB_RAW!$AK$3:$AK$2000,(소재DB_RAW!$G$3:$G$2000=$A327)*ISERROR(SEARCH("drop",소재DB_RAW!$C$3:$C$2000))*(소재DB_RAW!$AK$3:$AK$2000&lt;&gt;""))),"")</f>
        <v/>
      </c>
      <c r="E327" s="4">
        <f>IF($D327="","",TEXT($D327,"yyyy-mm-dd"))</f>
        <v/>
      </c>
    </row>
    <row r="328">
      <c r="A328" s="4" t="inlineStr">
        <is>
          <t>TVSCM27512</t>
        </is>
      </c>
      <c r="B328" s="4">
        <f>IF(COUNTIF(EDW_RAW!$A$2:$A$1500,$A328)=0,"",IF(SUMPRODUCT((EDW_RAW!$A$2:$A$1500=$A328)*(LEN(EDW_RAW!$R$2:$R$1500)&gt;0))=COUNTIF(EDW_RAW!$A$2:$A$1500,$A328),"O",IF(SUMPRODUCT((EDW_RAW!$A$2:$A$1500=$A328)*(LEN(EDW_RAW!$R$2:$R$1500)&gt;0))&gt;0,"부분","X")))</f>
        <v/>
      </c>
      <c r="C328" s="4">
        <f>IF(COUNTIF(EDW_RAW!$A$2:$A$1500,$A328)=0,"",IF(SUMPRODUCT((EDW_RAW!$A$2:$A$1500=$A328)*(LEN(EDW_RAW!$U$2:$U$1500)&gt;0))=COUNTIF(EDW_RAW!$A$2:$A$1500,$A328),"O",IF(SUMPRODUCT((EDW_RAW!$A$2:$A$1500=$A328)*(LEN(EDW_RAW!$U$2:$U$1500)&gt;0))&gt;0,"부분","X")))</f>
        <v/>
      </c>
      <c r="D328" s="5">
        <f>IFERROR(MAX(FILTER(소재DB_RAW!$AK$3:$AK$2000,(소재DB_RAW!$G$3:$G$2000=$A328)*ISERROR(SEARCH("drop",소재DB_RAW!$C$3:$C$2000))*(소재DB_RAW!$AK$3:$AK$2000&lt;&gt;""))),"")</f>
        <v/>
      </c>
      <c r="E328" s="4">
        <f>IF($D328="","",TEXT($D328,"yyyy-mm-dd"))</f>
        <v/>
      </c>
    </row>
    <row r="329">
      <c r="A329" s="4" t="inlineStr">
        <is>
          <t>TVSXS27522</t>
        </is>
      </c>
      <c r="B329" s="4">
        <f>IF(COUNTIF(EDW_RAW!$A$2:$A$1500,$A329)=0,"",IF(SUMPRODUCT((EDW_RAW!$A$2:$A$1500=$A329)*(LEN(EDW_RAW!$R$2:$R$1500)&gt;0))=COUNTIF(EDW_RAW!$A$2:$A$1500,$A329),"O",IF(SUMPRODUCT((EDW_RAW!$A$2:$A$1500=$A329)*(LEN(EDW_RAW!$R$2:$R$1500)&gt;0))&gt;0,"부분","X")))</f>
        <v/>
      </c>
      <c r="C329" s="4">
        <f>IF(COUNTIF(EDW_RAW!$A$2:$A$1500,$A329)=0,"",IF(SUMPRODUCT((EDW_RAW!$A$2:$A$1500=$A329)*(LEN(EDW_RAW!$U$2:$U$1500)&gt;0))=COUNTIF(EDW_RAW!$A$2:$A$1500,$A329),"O",IF(SUMPRODUCT((EDW_RAW!$A$2:$A$1500=$A329)*(LEN(EDW_RAW!$U$2:$U$1500)&gt;0))&gt;0,"부분","X")))</f>
        <v/>
      </c>
      <c r="D329" s="5">
        <f>IFERROR(MAX(FILTER(소재DB_RAW!$AK$3:$AK$2000,(소재DB_RAW!$G$3:$G$2000=$A329)*ISERROR(SEARCH("drop",소재DB_RAW!$C$3:$C$2000))*(소재DB_RAW!$AK$3:$AK$2000&lt;&gt;""))),"")</f>
        <v/>
      </c>
      <c r="E329" s="4">
        <f>IF($D329="","",TEXT($D329,"yyyy-mm-dd"))</f>
        <v/>
      </c>
    </row>
    <row r="330">
      <c r="A330" s="4" t="inlineStr">
        <is>
          <t>TVSXS27502</t>
        </is>
      </c>
      <c r="B330" s="4">
        <f>IF(COUNTIF(EDW_RAW!$A$2:$A$1500,$A330)=0,"",IF(SUMPRODUCT((EDW_RAW!$A$2:$A$1500=$A330)*(LEN(EDW_RAW!$R$2:$R$1500)&gt;0))=COUNTIF(EDW_RAW!$A$2:$A$1500,$A330),"O",IF(SUMPRODUCT((EDW_RAW!$A$2:$A$1500=$A330)*(LEN(EDW_RAW!$R$2:$R$1500)&gt;0))&gt;0,"부분","X")))</f>
        <v/>
      </c>
      <c r="C330" s="4">
        <f>IF(COUNTIF(EDW_RAW!$A$2:$A$1500,$A330)=0,"",IF(SUMPRODUCT((EDW_RAW!$A$2:$A$1500=$A330)*(LEN(EDW_RAW!$U$2:$U$1500)&gt;0))=COUNTIF(EDW_RAW!$A$2:$A$1500,$A330),"O",IF(SUMPRODUCT((EDW_RAW!$A$2:$A$1500=$A330)*(LEN(EDW_RAW!$U$2:$U$1500)&gt;0))&gt;0,"부분","X")))</f>
        <v/>
      </c>
      <c r="D330" s="5">
        <f>IFERROR(MAX(FILTER(소재DB_RAW!$AK$3:$AK$2000,(소재DB_RAW!$G$3:$G$2000=$A330)*ISERROR(SEARCH("drop",소재DB_RAW!$C$3:$C$2000))*(소재DB_RAW!$AK$3:$AK$2000&lt;&gt;""))),"")</f>
        <v/>
      </c>
      <c r="E330" s="4">
        <f>IF($D330="","",TEXT($D330,"yyyy-mm-dd"))</f>
        <v/>
      </c>
    </row>
    <row r="331">
      <c r="A331" s="4" t="inlineStr">
        <is>
          <t>TVSXM27902</t>
        </is>
      </c>
      <c r="B331" s="4">
        <f>IF(COUNTIF(EDW_RAW!$A$2:$A$1500,$A331)=0,"",IF(SUMPRODUCT((EDW_RAW!$A$2:$A$1500=$A331)*(LEN(EDW_RAW!$R$2:$R$1500)&gt;0))=COUNTIF(EDW_RAW!$A$2:$A$1500,$A331),"O",IF(SUMPRODUCT((EDW_RAW!$A$2:$A$1500=$A331)*(LEN(EDW_RAW!$R$2:$R$1500)&gt;0))&gt;0,"부분","X")))</f>
        <v/>
      </c>
      <c r="C331" s="4">
        <f>IF(COUNTIF(EDW_RAW!$A$2:$A$1500,$A331)=0,"",IF(SUMPRODUCT((EDW_RAW!$A$2:$A$1500=$A331)*(LEN(EDW_RAW!$U$2:$U$1500)&gt;0))=COUNTIF(EDW_RAW!$A$2:$A$1500,$A331),"O",IF(SUMPRODUCT((EDW_RAW!$A$2:$A$1500=$A331)*(LEN(EDW_RAW!$U$2:$U$1500)&gt;0))&gt;0,"부분","X")))</f>
        <v/>
      </c>
      <c r="D331" s="5">
        <f>IFERROR(MAX(FILTER(소재DB_RAW!$AK$3:$AK$2000,(소재DB_RAW!$G$3:$G$2000=$A331)*ISERROR(SEARCH("drop",소재DB_RAW!$C$3:$C$2000))*(소재DB_RAW!$AK$3:$AK$2000&lt;&gt;""))),"")</f>
        <v/>
      </c>
      <c r="E331" s="4">
        <f>IF($D331="","",TEXT($D331,"yyyy-mm-dd"))</f>
        <v/>
      </c>
    </row>
    <row r="332">
      <c r="A332" s="4" t="inlineStr">
        <is>
          <t>TVTBS27592</t>
        </is>
      </c>
      <c r="B332" s="4">
        <f>IF(COUNTIF(EDW_RAW!$A$2:$A$1500,$A332)=0,"",IF(SUMPRODUCT((EDW_RAW!$A$2:$A$1500=$A332)*(LEN(EDW_RAW!$R$2:$R$1500)&gt;0))=COUNTIF(EDW_RAW!$A$2:$A$1500,$A332),"O",IF(SUMPRODUCT((EDW_RAW!$A$2:$A$1500=$A332)*(LEN(EDW_RAW!$R$2:$R$1500)&gt;0))&gt;0,"부분","X")))</f>
        <v/>
      </c>
      <c r="C332" s="4">
        <f>IF(COUNTIF(EDW_RAW!$A$2:$A$1500,$A332)=0,"",IF(SUMPRODUCT((EDW_RAW!$A$2:$A$1500=$A332)*(LEN(EDW_RAW!$U$2:$U$1500)&gt;0))=COUNTIF(EDW_RAW!$A$2:$A$1500,$A332),"O",IF(SUMPRODUCT((EDW_RAW!$A$2:$A$1500=$A332)*(LEN(EDW_RAW!$U$2:$U$1500)&gt;0))&gt;0,"부분","X")))</f>
        <v/>
      </c>
      <c r="D332" s="5">
        <f>IFERROR(MAX(FILTER(소재DB_RAW!$AK$3:$AK$2000,(소재DB_RAW!$G$3:$G$2000=$A332)*ISERROR(SEARCH("drop",소재DB_RAW!$C$3:$C$2000))*(소재DB_RAW!$AK$3:$AK$2000&lt;&gt;""))),"")</f>
        <v/>
      </c>
      <c r="E332" s="4">
        <f>IF($D332="","",TEXT($D332,"yyyy-mm-dd"))</f>
        <v/>
      </c>
    </row>
    <row r="333">
      <c r="A333" s="4" t="inlineStr">
        <is>
          <t>TVTBS27552</t>
        </is>
      </c>
      <c r="B333" s="4">
        <f>IF(COUNTIF(EDW_RAW!$A$2:$A$1500,$A333)=0,"",IF(SUMPRODUCT((EDW_RAW!$A$2:$A$1500=$A333)*(LEN(EDW_RAW!$R$2:$R$1500)&gt;0))=COUNTIF(EDW_RAW!$A$2:$A$1500,$A333),"O",IF(SUMPRODUCT((EDW_RAW!$A$2:$A$1500=$A333)*(LEN(EDW_RAW!$R$2:$R$1500)&gt;0))&gt;0,"부분","X")))</f>
        <v/>
      </c>
      <c r="C333" s="4">
        <f>IF(COUNTIF(EDW_RAW!$A$2:$A$1500,$A333)=0,"",IF(SUMPRODUCT((EDW_RAW!$A$2:$A$1500=$A333)*(LEN(EDW_RAW!$U$2:$U$1500)&gt;0))=COUNTIF(EDW_RAW!$A$2:$A$1500,$A333),"O",IF(SUMPRODUCT((EDW_RAW!$A$2:$A$1500=$A333)*(LEN(EDW_RAW!$U$2:$U$1500)&gt;0))&gt;0,"부분","X")))</f>
        <v/>
      </c>
      <c r="D333" s="5">
        <f>IFERROR(MAX(FILTER(소재DB_RAW!$AK$3:$AK$2000,(소재DB_RAW!$G$3:$G$2000=$A333)*ISERROR(SEARCH("drop",소재DB_RAW!$C$3:$C$2000))*(소재DB_RAW!$AK$3:$AK$2000&lt;&gt;""))),"")</f>
        <v/>
      </c>
      <c r="E333" s="4">
        <f>IF($D333="","",TEXT($D333,"yyyy-mm-dd"))</f>
        <v/>
      </c>
    </row>
    <row r="334">
      <c r="A334" s="4" t="inlineStr">
        <is>
          <t>TVTCM27502</t>
        </is>
      </c>
      <c r="B334" s="4">
        <f>IF(COUNTIF(EDW_RAW!$A$2:$A$1500,$A334)=0,"",IF(SUMPRODUCT((EDW_RAW!$A$2:$A$1500=$A334)*(LEN(EDW_RAW!$R$2:$R$1500)&gt;0))=COUNTIF(EDW_RAW!$A$2:$A$1500,$A334),"O",IF(SUMPRODUCT((EDW_RAW!$A$2:$A$1500=$A334)*(LEN(EDW_RAW!$R$2:$R$1500)&gt;0))&gt;0,"부분","X")))</f>
        <v/>
      </c>
      <c r="C334" s="4">
        <f>IF(COUNTIF(EDW_RAW!$A$2:$A$1500,$A334)=0,"",IF(SUMPRODUCT((EDW_RAW!$A$2:$A$1500=$A334)*(LEN(EDW_RAW!$U$2:$U$1500)&gt;0))=COUNTIF(EDW_RAW!$A$2:$A$1500,$A334),"O",IF(SUMPRODUCT((EDW_RAW!$A$2:$A$1500=$A334)*(LEN(EDW_RAW!$U$2:$U$1500)&gt;0))&gt;0,"부분","X")))</f>
        <v/>
      </c>
      <c r="D334" s="5">
        <f>IFERROR(MAX(FILTER(소재DB_RAW!$AK$3:$AK$2000,(소재DB_RAW!$G$3:$G$2000=$A334)*ISERROR(SEARCH("drop",소재DB_RAW!$C$3:$C$2000))*(소재DB_RAW!$AK$3:$AK$2000&lt;&gt;""))),"")</f>
        <v/>
      </c>
      <c r="E334" s="4">
        <f>IF($D334="","",TEXT($D334,"yyyy-mm-dd"))</f>
        <v/>
      </c>
    </row>
    <row r="335">
      <c r="A335" s="4" t="inlineStr">
        <is>
          <t>TVTCM27504</t>
        </is>
      </c>
      <c r="B335" s="4">
        <f>IF(COUNTIF(EDW_RAW!$A$2:$A$1500,$A335)=0,"",IF(SUMPRODUCT((EDW_RAW!$A$2:$A$1500=$A335)*(LEN(EDW_RAW!$R$2:$R$1500)&gt;0))=COUNTIF(EDW_RAW!$A$2:$A$1500,$A335),"O",IF(SUMPRODUCT((EDW_RAW!$A$2:$A$1500=$A335)*(LEN(EDW_RAW!$R$2:$R$1500)&gt;0))&gt;0,"부분","X")))</f>
        <v/>
      </c>
      <c r="C335" s="4">
        <f>IF(COUNTIF(EDW_RAW!$A$2:$A$1500,$A335)=0,"",IF(SUMPRODUCT((EDW_RAW!$A$2:$A$1500=$A335)*(LEN(EDW_RAW!$U$2:$U$1500)&gt;0))=COUNTIF(EDW_RAW!$A$2:$A$1500,$A335),"O",IF(SUMPRODUCT((EDW_RAW!$A$2:$A$1500=$A335)*(LEN(EDW_RAW!$U$2:$U$1500)&gt;0))&gt;0,"부분","X")))</f>
        <v/>
      </c>
      <c r="D335" s="5">
        <f>IFERROR(MAX(FILTER(소재DB_RAW!$AK$3:$AK$2000,(소재DB_RAW!$G$3:$G$2000=$A335)*ISERROR(SEARCH("drop",소재DB_RAW!$C$3:$C$2000))*(소재DB_RAW!$AK$3:$AK$2000&lt;&gt;""))),"")</f>
        <v/>
      </c>
      <c r="E335" s="4">
        <f>IF($D335="","",TEXT($D335,"yyyy-mm-dd"))</f>
        <v/>
      </c>
    </row>
    <row r="336">
      <c r="A336" s="4" t="inlineStr">
        <is>
          <t>TVTCM27542</t>
        </is>
      </c>
      <c r="B336" s="4">
        <f>IF(COUNTIF(EDW_RAW!$A$2:$A$1500,$A336)=0,"",IF(SUMPRODUCT((EDW_RAW!$A$2:$A$1500=$A336)*(LEN(EDW_RAW!$R$2:$R$1500)&gt;0))=COUNTIF(EDW_RAW!$A$2:$A$1500,$A336),"O",IF(SUMPRODUCT((EDW_RAW!$A$2:$A$1500=$A336)*(LEN(EDW_RAW!$R$2:$R$1500)&gt;0))&gt;0,"부분","X")))</f>
        <v/>
      </c>
      <c r="C336" s="4">
        <f>IF(COUNTIF(EDW_RAW!$A$2:$A$1500,$A336)=0,"",IF(SUMPRODUCT((EDW_RAW!$A$2:$A$1500=$A336)*(LEN(EDW_RAW!$U$2:$U$1500)&gt;0))=COUNTIF(EDW_RAW!$A$2:$A$1500,$A336),"O",IF(SUMPRODUCT((EDW_RAW!$A$2:$A$1500=$A336)*(LEN(EDW_RAW!$U$2:$U$1500)&gt;0))&gt;0,"부분","X")))</f>
        <v/>
      </c>
      <c r="D336" s="5">
        <f>IFERROR(MAX(FILTER(소재DB_RAW!$AK$3:$AK$2000,(소재DB_RAW!$G$3:$G$2000=$A336)*ISERROR(SEARCH("drop",소재DB_RAW!$C$3:$C$2000))*(소재DB_RAW!$AK$3:$AK$2000&lt;&gt;""))),"")</f>
        <v/>
      </c>
      <c r="E336" s="4">
        <f>IF($D336="","",TEXT($D336,"yyyy-mm-dd"))</f>
        <v/>
      </c>
    </row>
    <row r="337">
      <c r="A337" s="4" t="inlineStr">
        <is>
          <t>TVTCM27562</t>
        </is>
      </c>
      <c r="B337" s="4">
        <f>IF(COUNTIF(EDW_RAW!$A$2:$A$1500,$A337)=0,"",IF(SUMPRODUCT((EDW_RAW!$A$2:$A$1500=$A337)*(LEN(EDW_RAW!$R$2:$R$1500)&gt;0))=COUNTIF(EDW_RAW!$A$2:$A$1500,$A337),"O",IF(SUMPRODUCT((EDW_RAW!$A$2:$A$1500=$A337)*(LEN(EDW_RAW!$R$2:$R$1500)&gt;0))&gt;0,"부분","X")))</f>
        <v/>
      </c>
      <c r="C337" s="4">
        <f>IF(COUNTIF(EDW_RAW!$A$2:$A$1500,$A337)=0,"",IF(SUMPRODUCT((EDW_RAW!$A$2:$A$1500=$A337)*(LEN(EDW_RAW!$U$2:$U$1500)&gt;0))=COUNTIF(EDW_RAW!$A$2:$A$1500,$A337),"O",IF(SUMPRODUCT((EDW_RAW!$A$2:$A$1500=$A337)*(LEN(EDW_RAW!$U$2:$U$1500)&gt;0))&gt;0,"부분","X")))</f>
        <v/>
      </c>
      <c r="D337" s="5">
        <f>IFERROR(MAX(FILTER(소재DB_RAW!$AK$3:$AK$2000,(소재DB_RAW!$G$3:$G$2000=$A337)*ISERROR(SEARCH("drop",소재DB_RAW!$C$3:$C$2000))*(소재DB_RAW!$AK$3:$AK$2000&lt;&gt;""))),"")</f>
        <v/>
      </c>
      <c r="E337" s="4">
        <f>IF($D337="","",TEXT($D337,"yyyy-mm-dd"))</f>
        <v/>
      </c>
    </row>
    <row r="338">
      <c r="A338" s="4" t="inlineStr">
        <is>
          <t>TVTCM27564</t>
        </is>
      </c>
      <c r="B338" s="4">
        <f>IF(COUNTIF(EDW_RAW!$A$2:$A$1500,$A338)=0,"",IF(SUMPRODUCT((EDW_RAW!$A$2:$A$1500=$A338)*(LEN(EDW_RAW!$R$2:$R$1500)&gt;0))=COUNTIF(EDW_RAW!$A$2:$A$1500,$A338),"O",IF(SUMPRODUCT((EDW_RAW!$A$2:$A$1500=$A338)*(LEN(EDW_RAW!$R$2:$R$1500)&gt;0))&gt;0,"부분","X")))</f>
        <v/>
      </c>
      <c r="C338" s="4">
        <f>IF(COUNTIF(EDW_RAW!$A$2:$A$1500,$A338)=0,"",IF(SUMPRODUCT((EDW_RAW!$A$2:$A$1500=$A338)*(LEN(EDW_RAW!$U$2:$U$1500)&gt;0))=COUNTIF(EDW_RAW!$A$2:$A$1500,$A338),"O",IF(SUMPRODUCT((EDW_RAW!$A$2:$A$1500=$A338)*(LEN(EDW_RAW!$U$2:$U$1500)&gt;0))&gt;0,"부분","X")))</f>
        <v/>
      </c>
      <c r="D338" s="5">
        <f>IFERROR(MAX(FILTER(소재DB_RAW!$AK$3:$AK$2000,(소재DB_RAW!$G$3:$G$2000=$A338)*ISERROR(SEARCH("drop",소재DB_RAW!$C$3:$C$2000))*(소재DB_RAW!$AK$3:$AK$2000&lt;&gt;""))),"")</f>
        <v/>
      </c>
      <c r="E338" s="4">
        <f>IF($D338="","",TEXT($D338,"yyyy-mm-dd"))</f>
        <v/>
      </c>
    </row>
    <row r="339">
      <c r="A339" s="4" t="inlineStr">
        <is>
          <t>TVTCM27514</t>
        </is>
      </c>
      <c r="B339" s="4">
        <f>IF(COUNTIF(EDW_RAW!$A$2:$A$1500,$A339)=0,"",IF(SUMPRODUCT((EDW_RAW!$A$2:$A$1500=$A339)*(LEN(EDW_RAW!$R$2:$R$1500)&gt;0))=COUNTIF(EDW_RAW!$A$2:$A$1500,$A339),"O",IF(SUMPRODUCT((EDW_RAW!$A$2:$A$1500=$A339)*(LEN(EDW_RAW!$R$2:$R$1500)&gt;0))&gt;0,"부분","X")))</f>
        <v/>
      </c>
      <c r="C339" s="4">
        <f>IF(COUNTIF(EDW_RAW!$A$2:$A$1500,$A339)=0,"",IF(SUMPRODUCT((EDW_RAW!$A$2:$A$1500=$A339)*(LEN(EDW_RAW!$U$2:$U$1500)&gt;0))=COUNTIF(EDW_RAW!$A$2:$A$1500,$A339),"O",IF(SUMPRODUCT((EDW_RAW!$A$2:$A$1500=$A339)*(LEN(EDW_RAW!$U$2:$U$1500)&gt;0))&gt;0,"부분","X")))</f>
        <v/>
      </c>
      <c r="D339" s="5">
        <f>IFERROR(MAX(FILTER(소재DB_RAW!$AK$3:$AK$2000,(소재DB_RAW!$G$3:$G$2000=$A339)*ISERROR(SEARCH("drop",소재DB_RAW!$C$3:$C$2000))*(소재DB_RAW!$AK$3:$AK$2000&lt;&gt;""))),"")</f>
        <v/>
      </c>
      <c r="E339" s="4">
        <f>IF($D339="","",TEXT($D339,"yyyy-mm-dd"))</f>
        <v/>
      </c>
    </row>
    <row r="340">
      <c r="A340" s="4" t="inlineStr">
        <is>
          <t>TVTCM27528</t>
        </is>
      </c>
      <c r="B340" s="4">
        <f>IF(COUNTIF(EDW_RAW!$A$2:$A$1500,$A340)=0,"",IF(SUMPRODUCT((EDW_RAW!$A$2:$A$1500=$A340)*(LEN(EDW_RAW!$R$2:$R$1500)&gt;0))=COUNTIF(EDW_RAW!$A$2:$A$1500,$A340),"O",IF(SUMPRODUCT((EDW_RAW!$A$2:$A$1500=$A340)*(LEN(EDW_RAW!$R$2:$R$1500)&gt;0))&gt;0,"부분","X")))</f>
        <v/>
      </c>
      <c r="C340" s="4">
        <f>IF(COUNTIF(EDW_RAW!$A$2:$A$1500,$A340)=0,"",IF(SUMPRODUCT((EDW_RAW!$A$2:$A$1500=$A340)*(LEN(EDW_RAW!$U$2:$U$1500)&gt;0))=COUNTIF(EDW_RAW!$A$2:$A$1500,$A340),"O",IF(SUMPRODUCT((EDW_RAW!$A$2:$A$1500=$A340)*(LEN(EDW_RAW!$U$2:$U$1500)&gt;0))&gt;0,"부분","X")))</f>
        <v/>
      </c>
      <c r="D340" s="5">
        <f>IFERROR(MAX(FILTER(소재DB_RAW!$AK$3:$AK$2000,(소재DB_RAW!$G$3:$G$2000=$A340)*ISERROR(SEARCH("drop",소재DB_RAW!$C$3:$C$2000))*(소재DB_RAW!$AK$3:$AK$2000&lt;&gt;""))),"")</f>
        <v/>
      </c>
      <c r="E340" s="4">
        <f>IF($D340="","",TEXT($D340,"yyyy-mm-dd"))</f>
        <v/>
      </c>
    </row>
    <row r="341">
      <c r="A341" s="4" t="inlineStr">
        <is>
          <t>TVTCM27538</t>
        </is>
      </c>
      <c r="B341" s="4">
        <f>IF(COUNTIF(EDW_RAW!$A$2:$A$1500,$A341)=0,"",IF(SUMPRODUCT((EDW_RAW!$A$2:$A$1500=$A341)*(LEN(EDW_RAW!$R$2:$R$1500)&gt;0))=COUNTIF(EDW_RAW!$A$2:$A$1500,$A341),"O",IF(SUMPRODUCT((EDW_RAW!$A$2:$A$1500=$A341)*(LEN(EDW_RAW!$R$2:$R$1500)&gt;0))&gt;0,"부분","X")))</f>
        <v/>
      </c>
      <c r="C341" s="4">
        <f>IF(COUNTIF(EDW_RAW!$A$2:$A$1500,$A341)=0,"",IF(SUMPRODUCT((EDW_RAW!$A$2:$A$1500=$A341)*(LEN(EDW_RAW!$U$2:$U$1500)&gt;0))=COUNTIF(EDW_RAW!$A$2:$A$1500,$A341),"O",IF(SUMPRODUCT((EDW_RAW!$A$2:$A$1500=$A341)*(LEN(EDW_RAW!$U$2:$U$1500)&gt;0))&gt;0,"부분","X")))</f>
        <v/>
      </c>
      <c r="D341" s="5">
        <f>IFERROR(MAX(FILTER(소재DB_RAW!$AK$3:$AK$2000,(소재DB_RAW!$G$3:$G$2000=$A341)*ISERROR(SEARCH("drop",소재DB_RAW!$C$3:$C$2000))*(소재DB_RAW!$AK$3:$AK$2000&lt;&gt;""))),"")</f>
        <v/>
      </c>
      <c r="E341" s="4">
        <f>IF($D341="","",TEXT($D341,"yyyy-mm-dd"))</f>
        <v/>
      </c>
    </row>
    <row r="342">
      <c r="A342" s="4" t="inlineStr">
        <is>
          <t>TVTCM27506</t>
        </is>
      </c>
      <c r="B342" s="4">
        <f>IF(COUNTIF(EDW_RAW!$A$2:$A$1500,$A342)=0,"",IF(SUMPRODUCT((EDW_RAW!$A$2:$A$1500=$A342)*(LEN(EDW_RAW!$R$2:$R$1500)&gt;0))=COUNTIF(EDW_RAW!$A$2:$A$1500,$A342),"O",IF(SUMPRODUCT((EDW_RAW!$A$2:$A$1500=$A342)*(LEN(EDW_RAW!$R$2:$R$1500)&gt;0))&gt;0,"부분","X")))</f>
        <v/>
      </c>
      <c r="C342" s="4">
        <f>IF(COUNTIF(EDW_RAW!$A$2:$A$1500,$A342)=0,"",IF(SUMPRODUCT((EDW_RAW!$A$2:$A$1500=$A342)*(LEN(EDW_RAW!$U$2:$U$1500)&gt;0))=COUNTIF(EDW_RAW!$A$2:$A$1500,$A342),"O",IF(SUMPRODUCT((EDW_RAW!$A$2:$A$1500=$A342)*(LEN(EDW_RAW!$U$2:$U$1500)&gt;0))&gt;0,"부분","X")))</f>
        <v/>
      </c>
      <c r="D342" s="5">
        <f>IFERROR(MAX(FILTER(소재DB_RAW!$AK$3:$AK$2000,(소재DB_RAW!$G$3:$G$2000=$A342)*ISERROR(SEARCH("drop",소재DB_RAW!$C$3:$C$2000))*(소재DB_RAW!$AK$3:$AK$2000&lt;&gt;""))),"")</f>
        <v/>
      </c>
      <c r="E342" s="4">
        <f>IF($D342="","",TEXT($D342,"yyyy-mm-dd"))</f>
        <v/>
      </c>
    </row>
    <row r="343">
      <c r="A343" s="4" t="inlineStr">
        <is>
          <t>TVTCM27508</t>
        </is>
      </c>
      <c r="B343" s="4">
        <f>IF(COUNTIF(EDW_RAW!$A$2:$A$1500,$A343)=0,"",IF(SUMPRODUCT((EDW_RAW!$A$2:$A$1500=$A343)*(LEN(EDW_RAW!$R$2:$R$1500)&gt;0))=COUNTIF(EDW_RAW!$A$2:$A$1500,$A343),"O",IF(SUMPRODUCT((EDW_RAW!$A$2:$A$1500=$A343)*(LEN(EDW_RAW!$R$2:$R$1500)&gt;0))&gt;0,"부분","X")))</f>
        <v/>
      </c>
      <c r="C343" s="4">
        <f>IF(COUNTIF(EDW_RAW!$A$2:$A$1500,$A343)=0,"",IF(SUMPRODUCT((EDW_RAW!$A$2:$A$1500=$A343)*(LEN(EDW_RAW!$U$2:$U$1500)&gt;0))=COUNTIF(EDW_RAW!$A$2:$A$1500,$A343),"O",IF(SUMPRODUCT((EDW_RAW!$A$2:$A$1500=$A343)*(LEN(EDW_RAW!$U$2:$U$1500)&gt;0))&gt;0,"부분","X")))</f>
        <v/>
      </c>
      <c r="D343" s="5">
        <f>IFERROR(MAX(FILTER(소재DB_RAW!$AK$3:$AK$2000,(소재DB_RAW!$G$3:$G$2000=$A343)*ISERROR(SEARCH("drop",소재DB_RAW!$C$3:$C$2000))*(소재DB_RAW!$AK$3:$AK$2000&lt;&gt;""))),"")</f>
        <v/>
      </c>
      <c r="E343" s="4">
        <f>IF($D343="","",TEXT($D343,"yyyy-mm-dd"))</f>
        <v/>
      </c>
    </row>
    <row r="344">
      <c r="A344" s="4" t="inlineStr">
        <is>
          <t>TVTBS27548</t>
        </is>
      </c>
      <c r="B344" s="4">
        <f>IF(COUNTIF(EDW_RAW!$A$2:$A$1500,$A344)=0,"",IF(SUMPRODUCT((EDW_RAW!$A$2:$A$1500=$A344)*(LEN(EDW_RAW!$R$2:$R$1500)&gt;0))=COUNTIF(EDW_RAW!$A$2:$A$1500,$A344),"O",IF(SUMPRODUCT((EDW_RAW!$A$2:$A$1500=$A344)*(LEN(EDW_RAW!$R$2:$R$1500)&gt;0))&gt;0,"부분","X")))</f>
        <v/>
      </c>
      <c r="C344" s="4">
        <f>IF(COUNTIF(EDW_RAW!$A$2:$A$1500,$A344)=0,"",IF(SUMPRODUCT((EDW_RAW!$A$2:$A$1500=$A344)*(LEN(EDW_RAW!$U$2:$U$1500)&gt;0))=COUNTIF(EDW_RAW!$A$2:$A$1500,$A344),"O",IF(SUMPRODUCT((EDW_RAW!$A$2:$A$1500=$A344)*(LEN(EDW_RAW!$U$2:$U$1500)&gt;0))&gt;0,"부분","X")))</f>
        <v/>
      </c>
      <c r="D344" s="5">
        <f>IFERROR(MAX(FILTER(소재DB_RAW!$AK$3:$AK$2000,(소재DB_RAW!$G$3:$G$2000=$A344)*ISERROR(SEARCH("drop",소재DB_RAW!$C$3:$C$2000))*(소재DB_RAW!$AK$3:$AK$2000&lt;&gt;""))),"")</f>
        <v/>
      </c>
      <c r="E344" s="4">
        <f>IF($D344="","",TEXT($D344,"yyyy-mm-dd"))</f>
        <v/>
      </c>
    </row>
    <row r="345">
      <c r="A345" s="4" t="inlineStr">
        <is>
          <t>JKTBS27102</t>
        </is>
      </c>
      <c r="B345" s="4">
        <f>IF(COUNTIF(EDW_RAW!$A$2:$A$1500,$A345)=0,"",IF(SUMPRODUCT((EDW_RAW!$A$2:$A$1500=$A345)*(LEN(EDW_RAW!$R$2:$R$1500)&gt;0))=COUNTIF(EDW_RAW!$A$2:$A$1500,$A345),"O",IF(SUMPRODUCT((EDW_RAW!$A$2:$A$1500=$A345)*(LEN(EDW_RAW!$R$2:$R$1500)&gt;0))&gt;0,"부분","X")))</f>
        <v/>
      </c>
      <c r="C345" s="4">
        <f>IF(COUNTIF(EDW_RAW!$A$2:$A$1500,$A345)=0,"",IF(SUMPRODUCT((EDW_RAW!$A$2:$A$1500=$A345)*(LEN(EDW_RAW!$U$2:$U$1500)&gt;0))=COUNTIF(EDW_RAW!$A$2:$A$1500,$A345),"O",IF(SUMPRODUCT((EDW_RAW!$A$2:$A$1500=$A345)*(LEN(EDW_RAW!$U$2:$U$1500)&gt;0))&gt;0,"부분","X")))</f>
        <v/>
      </c>
      <c r="D345" s="5">
        <f>IFERROR(MAX(FILTER(소재DB_RAW!$AK$3:$AK$2000,(소재DB_RAW!$G$3:$G$2000=$A345)*ISERROR(SEARCH("drop",소재DB_RAW!$C$3:$C$2000))*(소재DB_RAW!$AK$3:$AK$2000&lt;&gt;""))),"")</f>
        <v/>
      </c>
      <c r="E345" s="4">
        <f>IF($D345="","",TEXT($D345,"yyyy-mm-dd"))</f>
        <v/>
      </c>
    </row>
    <row r="346">
      <c r="A346" s="4" t="inlineStr">
        <is>
          <t>JKTBS27104</t>
        </is>
      </c>
      <c r="B346" s="4">
        <f>IF(COUNTIF(EDW_RAW!$A$2:$A$1500,$A346)=0,"",IF(SUMPRODUCT((EDW_RAW!$A$2:$A$1500=$A346)*(LEN(EDW_RAW!$R$2:$R$1500)&gt;0))=COUNTIF(EDW_RAW!$A$2:$A$1500,$A346),"O",IF(SUMPRODUCT((EDW_RAW!$A$2:$A$1500=$A346)*(LEN(EDW_RAW!$R$2:$R$1500)&gt;0))&gt;0,"부분","X")))</f>
        <v/>
      </c>
      <c r="C346" s="4">
        <f>IF(COUNTIF(EDW_RAW!$A$2:$A$1500,$A346)=0,"",IF(SUMPRODUCT((EDW_RAW!$A$2:$A$1500=$A346)*(LEN(EDW_RAW!$U$2:$U$1500)&gt;0))=COUNTIF(EDW_RAW!$A$2:$A$1500,$A346),"O",IF(SUMPRODUCT((EDW_RAW!$A$2:$A$1500=$A346)*(LEN(EDW_RAW!$U$2:$U$1500)&gt;0))&gt;0,"부분","X")))</f>
        <v/>
      </c>
      <c r="D346" s="5">
        <f>IFERROR(MAX(FILTER(소재DB_RAW!$AK$3:$AK$2000,(소재DB_RAW!$G$3:$G$2000=$A346)*ISERROR(SEARCH("drop",소재DB_RAW!$C$3:$C$2000))*(소재DB_RAW!$AK$3:$AK$2000&lt;&gt;""))),"")</f>
        <v/>
      </c>
      <c r="E346" s="4">
        <f>IF($D346="","",TEXT($D346,"yyyy-mm-dd"))</f>
        <v/>
      </c>
    </row>
    <row r="347">
      <c r="A347" s="4" t="inlineStr">
        <is>
          <t>JKTBS27112</t>
        </is>
      </c>
      <c r="B347" s="4">
        <f>IF(COUNTIF(EDW_RAW!$A$2:$A$1500,$A347)=0,"",IF(SUMPRODUCT((EDW_RAW!$A$2:$A$1500=$A347)*(LEN(EDW_RAW!$R$2:$R$1500)&gt;0))=COUNTIF(EDW_RAW!$A$2:$A$1500,$A347),"O",IF(SUMPRODUCT((EDW_RAW!$A$2:$A$1500=$A347)*(LEN(EDW_RAW!$R$2:$R$1500)&gt;0))&gt;0,"부분","X")))</f>
        <v/>
      </c>
      <c r="C347" s="4">
        <f>IF(COUNTIF(EDW_RAW!$A$2:$A$1500,$A347)=0,"",IF(SUMPRODUCT((EDW_RAW!$A$2:$A$1500=$A347)*(LEN(EDW_RAW!$U$2:$U$1500)&gt;0))=COUNTIF(EDW_RAW!$A$2:$A$1500,$A347),"O",IF(SUMPRODUCT((EDW_RAW!$A$2:$A$1500=$A347)*(LEN(EDW_RAW!$U$2:$U$1500)&gt;0))&gt;0,"부분","X")))</f>
        <v/>
      </c>
      <c r="D347" s="5">
        <f>IFERROR(MAX(FILTER(소재DB_RAW!$AK$3:$AK$2000,(소재DB_RAW!$G$3:$G$2000=$A347)*ISERROR(SEARCH("drop",소재DB_RAW!$C$3:$C$2000))*(소재DB_RAW!$AK$3:$AK$2000&lt;&gt;""))),"")</f>
        <v/>
      </c>
      <c r="E347" s="4">
        <f>IF($D347="","",TEXT($D347,"yyyy-mm-dd"))</f>
        <v/>
      </c>
    </row>
    <row r="348">
      <c r="A348" s="4" t="inlineStr">
        <is>
          <t>JKTBS27114</t>
        </is>
      </c>
      <c r="B348" s="4">
        <f>IF(COUNTIF(EDW_RAW!$A$2:$A$1500,$A348)=0,"",IF(SUMPRODUCT((EDW_RAW!$A$2:$A$1500=$A348)*(LEN(EDW_RAW!$R$2:$R$1500)&gt;0))=COUNTIF(EDW_RAW!$A$2:$A$1500,$A348),"O",IF(SUMPRODUCT((EDW_RAW!$A$2:$A$1500=$A348)*(LEN(EDW_RAW!$R$2:$R$1500)&gt;0))&gt;0,"부분","X")))</f>
        <v/>
      </c>
      <c r="C348" s="4">
        <f>IF(COUNTIF(EDW_RAW!$A$2:$A$1500,$A348)=0,"",IF(SUMPRODUCT((EDW_RAW!$A$2:$A$1500=$A348)*(LEN(EDW_RAW!$U$2:$U$1500)&gt;0))=COUNTIF(EDW_RAW!$A$2:$A$1500,$A348),"O",IF(SUMPRODUCT((EDW_RAW!$A$2:$A$1500=$A348)*(LEN(EDW_RAW!$U$2:$U$1500)&gt;0))&gt;0,"부분","X")))</f>
        <v/>
      </c>
      <c r="D348" s="5">
        <f>IFERROR(MAX(FILTER(소재DB_RAW!$AK$3:$AK$2000,(소재DB_RAW!$G$3:$G$2000=$A348)*ISERROR(SEARCH("drop",소재DB_RAW!$C$3:$C$2000))*(소재DB_RAW!$AK$3:$AK$2000&lt;&gt;""))),"")</f>
        <v/>
      </c>
      <c r="E348" s="4">
        <f>IF($D348="","",TEXT($D348,"yyyy-mm-dd"))</f>
        <v/>
      </c>
    </row>
    <row r="349">
      <c r="A349" s="4" t="inlineStr">
        <is>
          <t>JKTBS27116</t>
        </is>
      </c>
      <c r="B349" s="4">
        <f>IF(COUNTIF(EDW_RAW!$A$2:$A$1500,$A349)=0,"",IF(SUMPRODUCT((EDW_RAW!$A$2:$A$1500=$A349)*(LEN(EDW_RAW!$R$2:$R$1500)&gt;0))=COUNTIF(EDW_RAW!$A$2:$A$1500,$A349),"O",IF(SUMPRODUCT((EDW_RAW!$A$2:$A$1500=$A349)*(LEN(EDW_RAW!$R$2:$R$1500)&gt;0))&gt;0,"부분","X")))</f>
        <v/>
      </c>
      <c r="C349" s="4">
        <f>IF(COUNTIF(EDW_RAW!$A$2:$A$1500,$A349)=0,"",IF(SUMPRODUCT((EDW_RAW!$A$2:$A$1500=$A349)*(LEN(EDW_RAW!$U$2:$U$1500)&gt;0))=COUNTIF(EDW_RAW!$A$2:$A$1500,$A349),"O",IF(SUMPRODUCT((EDW_RAW!$A$2:$A$1500=$A349)*(LEN(EDW_RAW!$U$2:$U$1500)&gt;0))&gt;0,"부분","X")))</f>
        <v/>
      </c>
      <c r="D349" s="5">
        <f>IFERROR(MAX(FILTER(소재DB_RAW!$AK$3:$AK$2000,(소재DB_RAW!$G$3:$G$2000=$A349)*ISERROR(SEARCH("drop",소재DB_RAW!$C$3:$C$2000))*(소재DB_RAW!$AK$3:$AK$2000&lt;&gt;""))),"")</f>
        <v/>
      </c>
      <c r="E349" s="4">
        <f>IF($D349="","",TEXT($D349,"yyyy-mm-dd"))</f>
        <v/>
      </c>
    </row>
    <row r="350">
      <c r="A350" s="4" t="inlineStr">
        <is>
          <t>JKTBS27118</t>
        </is>
      </c>
      <c r="B350" s="4">
        <f>IF(COUNTIF(EDW_RAW!$A$2:$A$1500,$A350)=0,"",IF(SUMPRODUCT((EDW_RAW!$A$2:$A$1500=$A350)*(LEN(EDW_RAW!$R$2:$R$1500)&gt;0))=COUNTIF(EDW_RAW!$A$2:$A$1500,$A350),"O",IF(SUMPRODUCT((EDW_RAW!$A$2:$A$1500=$A350)*(LEN(EDW_RAW!$R$2:$R$1500)&gt;0))&gt;0,"부분","X")))</f>
        <v/>
      </c>
      <c r="C350" s="4">
        <f>IF(COUNTIF(EDW_RAW!$A$2:$A$1500,$A350)=0,"",IF(SUMPRODUCT((EDW_RAW!$A$2:$A$1500=$A350)*(LEN(EDW_RAW!$U$2:$U$1500)&gt;0))=COUNTIF(EDW_RAW!$A$2:$A$1500,$A350),"O",IF(SUMPRODUCT((EDW_RAW!$A$2:$A$1500=$A350)*(LEN(EDW_RAW!$U$2:$U$1500)&gt;0))&gt;0,"부분","X")))</f>
        <v/>
      </c>
      <c r="D350" s="5">
        <f>IFERROR(MAX(FILTER(소재DB_RAW!$AK$3:$AK$2000,(소재DB_RAW!$G$3:$G$2000=$A350)*ISERROR(SEARCH("drop",소재DB_RAW!$C$3:$C$2000))*(소재DB_RAW!$AK$3:$AK$2000&lt;&gt;""))),"")</f>
        <v/>
      </c>
      <c r="E350" s="4">
        <f>IF($D350="","",TEXT($D350,"yyyy-mm-dd"))</f>
        <v/>
      </c>
    </row>
    <row r="351">
      <c r="A351" s="4" t="inlineStr">
        <is>
          <t>JKTBS27120</t>
        </is>
      </c>
      <c r="B351" s="4">
        <f>IF(COUNTIF(EDW_RAW!$A$2:$A$1500,$A351)=0,"",IF(SUMPRODUCT((EDW_RAW!$A$2:$A$1500=$A351)*(LEN(EDW_RAW!$R$2:$R$1500)&gt;0))=COUNTIF(EDW_RAW!$A$2:$A$1500,$A351),"O",IF(SUMPRODUCT((EDW_RAW!$A$2:$A$1500=$A351)*(LEN(EDW_RAW!$R$2:$R$1500)&gt;0))&gt;0,"부분","X")))</f>
        <v/>
      </c>
      <c r="C351" s="4">
        <f>IF(COUNTIF(EDW_RAW!$A$2:$A$1500,$A351)=0,"",IF(SUMPRODUCT((EDW_RAW!$A$2:$A$1500=$A351)*(LEN(EDW_RAW!$U$2:$U$1500)&gt;0))=COUNTIF(EDW_RAW!$A$2:$A$1500,$A351),"O",IF(SUMPRODUCT((EDW_RAW!$A$2:$A$1500=$A351)*(LEN(EDW_RAW!$U$2:$U$1500)&gt;0))&gt;0,"부분","X")))</f>
        <v/>
      </c>
      <c r="D351" s="5">
        <f>IFERROR(MAX(FILTER(소재DB_RAW!$AK$3:$AK$2000,(소재DB_RAW!$G$3:$G$2000=$A351)*ISERROR(SEARCH("drop",소재DB_RAW!$C$3:$C$2000))*(소재DB_RAW!$AK$3:$AK$2000&lt;&gt;""))),"")</f>
        <v/>
      </c>
      <c r="E351" s="4">
        <f>IF($D351="","",TEXT($D351,"yyyy-mm-dd"))</f>
        <v/>
      </c>
    </row>
    <row r="352">
      <c r="A352" s="4" t="inlineStr">
        <is>
          <t>JKPNS27114</t>
        </is>
      </c>
      <c r="B352" s="4">
        <f>IF(COUNTIF(EDW_RAW!$A$2:$A$1500,$A352)=0,"",IF(SUMPRODUCT((EDW_RAW!$A$2:$A$1500=$A352)*(LEN(EDW_RAW!$R$2:$R$1500)&gt;0))=COUNTIF(EDW_RAW!$A$2:$A$1500,$A352),"O",IF(SUMPRODUCT((EDW_RAW!$A$2:$A$1500=$A352)*(LEN(EDW_RAW!$R$2:$R$1500)&gt;0))&gt;0,"부분","X")))</f>
        <v/>
      </c>
      <c r="C352" s="4">
        <f>IF(COUNTIF(EDW_RAW!$A$2:$A$1500,$A352)=0,"",IF(SUMPRODUCT((EDW_RAW!$A$2:$A$1500=$A352)*(LEN(EDW_RAW!$U$2:$U$1500)&gt;0))=COUNTIF(EDW_RAW!$A$2:$A$1500,$A352),"O",IF(SUMPRODUCT((EDW_RAW!$A$2:$A$1500=$A352)*(LEN(EDW_RAW!$U$2:$U$1500)&gt;0))&gt;0,"부분","X")))</f>
        <v/>
      </c>
      <c r="D352" s="5">
        <f>IFERROR(MAX(FILTER(소재DB_RAW!$AK$3:$AK$2000,(소재DB_RAW!$G$3:$G$2000=$A352)*ISERROR(SEARCH("drop",소재DB_RAW!$C$3:$C$2000))*(소재DB_RAW!$AK$3:$AK$2000&lt;&gt;""))),"")</f>
        <v/>
      </c>
      <c r="E352" s="4">
        <f>IF($D352="","",TEXT($D352,"yyyy-mm-dd"))</f>
        <v/>
      </c>
    </row>
    <row r="353">
      <c r="A353" s="4" t="inlineStr">
        <is>
          <t>JKPNS27102</t>
        </is>
      </c>
      <c r="B353" s="4">
        <f>IF(COUNTIF(EDW_RAW!$A$2:$A$1500,$A353)=0,"",IF(SUMPRODUCT((EDW_RAW!$A$2:$A$1500=$A353)*(LEN(EDW_RAW!$R$2:$R$1500)&gt;0))=COUNTIF(EDW_RAW!$A$2:$A$1500,$A353),"O",IF(SUMPRODUCT((EDW_RAW!$A$2:$A$1500=$A353)*(LEN(EDW_RAW!$R$2:$R$1500)&gt;0))&gt;0,"부분","X")))</f>
        <v/>
      </c>
      <c r="C353" s="4">
        <f>IF(COUNTIF(EDW_RAW!$A$2:$A$1500,$A353)=0,"",IF(SUMPRODUCT((EDW_RAW!$A$2:$A$1500=$A353)*(LEN(EDW_RAW!$U$2:$U$1500)&gt;0))=COUNTIF(EDW_RAW!$A$2:$A$1500,$A353),"O",IF(SUMPRODUCT((EDW_RAW!$A$2:$A$1500=$A353)*(LEN(EDW_RAW!$U$2:$U$1500)&gt;0))&gt;0,"부분","X")))</f>
        <v/>
      </c>
      <c r="D353" s="5">
        <f>IFERROR(MAX(FILTER(소재DB_RAW!$AK$3:$AK$2000,(소재DB_RAW!$G$3:$G$2000=$A353)*ISERROR(SEARCH("drop",소재DB_RAW!$C$3:$C$2000))*(소재DB_RAW!$AK$3:$AK$2000&lt;&gt;""))),"")</f>
        <v/>
      </c>
      <c r="E353" s="4">
        <f>IF($D353="","",TEXT($D353,"yyyy-mm-dd"))</f>
        <v/>
      </c>
    </row>
    <row r="354">
      <c r="A354" s="4" t="inlineStr">
        <is>
          <t>JKSCM27142</t>
        </is>
      </c>
      <c r="B354" s="4">
        <f>IF(COUNTIF(EDW_RAW!$A$2:$A$1500,$A354)=0,"",IF(SUMPRODUCT((EDW_RAW!$A$2:$A$1500=$A354)*(LEN(EDW_RAW!$R$2:$R$1500)&gt;0))=COUNTIF(EDW_RAW!$A$2:$A$1500,$A354),"O",IF(SUMPRODUCT((EDW_RAW!$A$2:$A$1500=$A354)*(LEN(EDW_RAW!$R$2:$R$1500)&gt;0))&gt;0,"부분","X")))</f>
        <v/>
      </c>
      <c r="C354" s="4">
        <f>IF(COUNTIF(EDW_RAW!$A$2:$A$1500,$A354)=0,"",IF(SUMPRODUCT((EDW_RAW!$A$2:$A$1500=$A354)*(LEN(EDW_RAW!$U$2:$U$1500)&gt;0))=COUNTIF(EDW_RAW!$A$2:$A$1500,$A354),"O",IF(SUMPRODUCT((EDW_RAW!$A$2:$A$1500=$A354)*(LEN(EDW_RAW!$U$2:$U$1500)&gt;0))&gt;0,"부분","X")))</f>
        <v/>
      </c>
      <c r="D354" s="5">
        <f>IFERROR(MAX(FILTER(소재DB_RAW!$AK$3:$AK$2000,(소재DB_RAW!$G$3:$G$2000=$A354)*ISERROR(SEARCH("drop",소재DB_RAW!$C$3:$C$2000))*(소재DB_RAW!$AK$3:$AK$2000&lt;&gt;""))),"")</f>
        <v/>
      </c>
      <c r="E354" s="4">
        <f>IF($D354="","",TEXT($D354,"yyyy-mm-dd"))</f>
        <v/>
      </c>
    </row>
    <row r="355">
      <c r="A355" s="4" t="inlineStr">
        <is>
          <t>JKSXM27182</t>
        </is>
      </c>
      <c r="B355" s="4">
        <f>IF(COUNTIF(EDW_RAW!$A$2:$A$1500,$A355)=0,"",IF(SUMPRODUCT((EDW_RAW!$A$2:$A$1500=$A355)*(LEN(EDW_RAW!$R$2:$R$1500)&gt;0))=COUNTIF(EDW_RAW!$A$2:$A$1500,$A355),"O",IF(SUMPRODUCT((EDW_RAW!$A$2:$A$1500=$A355)*(LEN(EDW_RAW!$R$2:$R$1500)&gt;0))&gt;0,"부분","X")))</f>
        <v/>
      </c>
      <c r="C355" s="4">
        <f>IF(COUNTIF(EDW_RAW!$A$2:$A$1500,$A355)=0,"",IF(SUMPRODUCT((EDW_RAW!$A$2:$A$1500=$A355)*(LEN(EDW_RAW!$U$2:$U$1500)&gt;0))=COUNTIF(EDW_RAW!$A$2:$A$1500,$A355),"O",IF(SUMPRODUCT((EDW_RAW!$A$2:$A$1500=$A355)*(LEN(EDW_RAW!$U$2:$U$1500)&gt;0))&gt;0,"부분","X")))</f>
        <v/>
      </c>
      <c r="D355" s="5">
        <f>IFERROR(MAX(FILTER(소재DB_RAW!$AK$3:$AK$2000,(소재DB_RAW!$G$3:$G$2000=$A355)*ISERROR(SEARCH("drop",소재DB_RAW!$C$3:$C$2000))*(소재DB_RAW!$AK$3:$AK$2000&lt;&gt;""))),"")</f>
        <v/>
      </c>
      <c r="E355" s="4">
        <f>IF($D355="","",TEXT($D355,"yyyy-mm-dd"))</f>
        <v/>
      </c>
    </row>
    <row r="356">
      <c r="A356" s="4" t="inlineStr">
        <is>
          <t>JKSCM27184</t>
        </is>
      </c>
      <c r="B356" s="4">
        <f>IF(COUNTIF(EDW_RAW!$A$2:$A$1500,$A356)=0,"",IF(SUMPRODUCT((EDW_RAW!$A$2:$A$1500=$A356)*(LEN(EDW_RAW!$R$2:$R$1500)&gt;0))=COUNTIF(EDW_RAW!$A$2:$A$1500,$A356),"O",IF(SUMPRODUCT((EDW_RAW!$A$2:$A$1500=$A356)*(LEN(EDW_RAW!$R$2:$R$1500)&gt;0))&gt;0,"부분","X")))</f>
        <v/>
      </c>
      <c r="C356" s="4">
        <f>IF(COUNTIF(EDW_RAW!$A$2:$A$1500,$A356)=0,"",IF(SUMPRODUCT((EDW_RAW!$A$2:$A$1500=$A356)*(LEN(EDW_RAW!$U$2:$U$1500)&gt;0))=COUNTIF(EDW_RAW!$A$2:$A$1500,$A356),"O",IF(SUMPRODUCT((EDW_RAW!$A$2:$A$1500=$A356)*(LEN(EDW_RAW!$U$2:$U$1500)&gt;0))&gt;0,"부분","X")))</f>
        <v/>
      </c>
      <c r="D356" s="5">
        <f>IFERROR(MAX(FILTER(소재DB_RAW!$AK$3:$AK$2000,(소재DB_RAW!$G$3:$G$2000=$A356)*ISERROR(SEARCH("drop",소재DB_RAW!$C$3:$C$2000))*(소재DB_RAW!$AK$3:$AK$2000&lt;&gt;""))),"")</f>
        <v/>
      </c>
      <c r="E356" s="4">
        <f>IF($D356="","",TEXT($D356,"yyyy-mm-dd"))</f>
        <v/>
      </c>
    </row>
    <row r="357">
      <c r="A357" s="4" t="inlineStr">
        <is>
          <t>JKTBM27128</t>
        </is>
      </c>
      <c r="B357" s="4">
        <f>IF(COUNTIF(EDW_RAW!$A$2:$A$1500,$A357)=0,"",IF(SUMPRODUCT((EDW_RAW!$A$2:$A$1500=$A357)*(LEN(EDW_RAW!$R$2:$R$1500)&gt;0))=COUNTIF(EDW_RAW!$A$2:$A$1500,$A357),"O",IF(SUMPRODUCT((EDW_RAW!$A$2:$A$1500=$A357)*(LEN(EDW_RAW!$R$2:$R$1500)&gt;0))&gt;0,"부분","X")))</f>
        <v/>
      </c>
      <c r="C357" s="4">
        <f>IF(COUNTIF(EDW_RAW!$A$2:$A$1500,$A357)=0,"",IF(SUMPRODUCT((EDW_RAW!$A$2:$A$1500=$A357)*(LEN(EDW_RAW!$U$2:$U$1500)&gt;0))=COUNTIF(EDW_RAW!$A$2:$A$1500,$A357),"O",IF(SUMPRODUCT((EDW_RAW!$A$2:$A$1500=$A357)*(LEN(EDW_RAW!$U$2:$U$1500)&gt;0))&gt;0,"부분","X")))</f>
        <v/>
      </c>
      <c r="D357" s="5">
        <f>IFERROR(MAX(FILTER(소재DB_RAW!$AK$3:$AK$2000,(소재DB_RAW!$G$3:$G$2000=$A357)*ISERROR(SEARCH("drop",소재DB_RAW!$C$3:$C$2000))*(소재DB_RAW!$AK$3:$AK$2000&lt;&gt;""))),"")</f>
        <v/>
      </c>
      <c r="E357" s="4">
        <f>IF($D357="","",TEXT($D357,"yyyy-mm-dd"))</f>
        <v/>
      </c>
    </row>
    <row r="358">
      <c r="A358" s="4" t="inlineStr">
        <is>
          <t>JKTBM27124</t>
        </is>
      </c>
      <c r="B358" s="4">
        <f>IF(COUNTIF(EDW_RAW!$A$2:$A$1500,$A358)=0,"",IF(SUMPRODUCT((EDW_RAW!$A$2:$A$1500=$A358)*(LEN(EDW_RAW!$R$2:$R$1500)&gt;0))=COUNTIF(EDW_RAW!$A$2:$A$1500,$A358),"O",IF(SUMPRODUCT((EDW_RAW!$A$2:$A$1500=$A358)*(LEN(EDW_RAW!$R$2:$R$1500)&gt;0))&gt;0,"부분","X")))</f>
        <v/>
      </c>
      <c r="C358" s="4">
        <f>IF(COUNTIF(EDW_RAW!$A$2:$A$1500,$A358)=0,"",IF(SUMPRODUCT((EDW_RAW!$A$2:$A$1500=$A358)*(LEN(EDW_RAW!$U$2:$U$1500)&gt;0))=COUNTIF(EDW_RAW!$A$2:$A$1500,$A358),"O",IF(SUMPRODUCT((EDW_RAW!$A$2:$A$1500=$A358)*(LEN(EDW_RAW!$U$2:$U$1500)&gt;0))&gt;0,"부분","X")))</f>
        <v/>
      </c>
      <c r="D358" s="5">
        <f>IFERROR(MAX(FILTER(소재DB_RAW!$AK$3:$AK$2000,(소재DB_RAW!$G$3:$G$2000=$A358)*ISERROR(SEARCH("drop",소재DB_RAW!$C$3:$C$2000))*(소재DB_RAW!$AK$3:$AK$2000&lt;&gt;""))),"")</f>
        <v/>
      </c>
      <c r="E358" s="4">
        <f>IF($D358="","",TEXT($D358,"yyyy-mm-dd"))</f>
        <v/>
      </c>
    </row>
    <row r="359">
      <c r="A359" s="4" t="inlineStr">
        <is>
          <t>JKTBM27282</t>
        </is>
      </c>
      <c r="B359" s="4">
        <f>IF(COUNTIF(EDW_RAW!$A$2:$A$1500,$A359)=0,"",IF(SUMPRODUCT((EDW_RAW!$A$2:$A$1500=$A359)*(LEN(EDW_RAW!$R$2:$R$1500)&gt;0))=COUNTIF(EDW_RAW!$A$2:$A$1500,$A359),"O",IF(SUMPRODUCT((EDW_RAW!$A$2:$A$1500=$A359)*(LEN(EDW_RAW!$R$2:$R$1500)&gt;0))&gt;0,"부분","X")))</f>
        <v/>
      </c>
      <c r="C359" s="4">
        <f>IF(COUNTIF(EDW_RAW!$A$2:$A$1500,$A359)=0,"",IF(SUMPRODUCT((EDW_RAW!$A$2:$A$1500=$A359)*(LEN(EDW_RAW!$U$2:$U$1500)&gt;0))=COUNTIF(EDW_RAW!$A$2:$A$1500,$A359),"O",IF(SUMPRODUCT((EDW_RAW!$A$2:$A$1500=$A359)*(LEN(EDW_RAW!$U$2:$U$1500)&gt;0))&gt;0,"부분","X")))</f>
        <v/>
      </c>
      <c r="D359" s="5">
        <f>IFERROR(MAX(FILTER(소재DB_RAW!$AK$3:$AK$2000,(소재DB_RAW!$G$3:$G$2000=$A359)*ISERROR(SEARCH("drop",소재DB_RAW!$C$3:$C$2000))*(소재DB_RAW!$AK$3:$AK$2000&lt;&gt;""))),"")</f>
        <v/>
      </c>
      <c r="E359" s="4">
        <f>IF($D359="","",TEXT($D359,"yyyy-mm-dd"))</f>
        <v/>
      </c>
    </row>
    <row r="360">
      <c r="A360" s="4" t="inlineStr">
        <is>
          <t>JKTBM27166</t>
        </is>
      </c>
      <c r="B360" s="4">
        <f>IF(COUNTIF(EDW_RAW!$A$2:$A$1500,$A360)=0,"",IF(SUMPRODUCT((EDW_RAW!$A$2:$A$1500=$A360)*(LEN(EDW_RAW!$R$2:$R$1500)&gt;0))=COUNTIF(EDW_RAW!$A$2:$A$1500,$A360),"O",IF(SUMPRODUCT((EDW_RAW!$A$2:$A$1500=$A360)*(LEN(EDW_RAW!$R$2:$R$1500)&gt;0))&gt;0,"부분","X")))</f>
        <v/>
      </c>
      <c r="C360" s="4">
        <f>IF(COUNTIF(EDW_RAW!$A$2:$A$1500,$A360)=0,"",IF(SUMPRODUCT((EDW_RAW!$A$2:$A$1500=$A360)*(LEN(EDW_RAW!$U$2:$U$1500)&gt;0))=COUNTIF(EDW_RAW!$A$2:$A$1500,$A360),"O",IF(SUMPRODUCT((EDW_RAW!$A$2:$A$1500=$A360)*(LEN(EDW_RAW!$U$2:$U$1500)&gt;0))&gt;0,"부분","X")))</f>
        <v/>
      </c>
      <c r="D360" s="5">
        <f>IFERROR(MAX(FILTER(소재DB_RAW!$AK$3:$AK$2000,(소재DB_RAW!$G$3:$G$2000=$A360)*ISERROR(SEARCH("drop",소재DB_RAW!$C$3:$C$2000))*(소재DB_RAW!$AK$3:$AK$2000&lt;&gt;""))),"")</f>
        <v/>
      </c>
      <c r="E360" s="4">
        <f>IF($D360="","",TEXT($D360,"yyyy-mm-dd"))</f>
        <v/>
      </c>
    </row>
    <row r="361">
      <c r="A361" s="4" t="inlineStr">
        <is>
          <t>JKTBM27168</t>
        </is>
      </c>
      <c r="B361" s="4">
        <f>IF(COUNTIF(EDW_RAW!$A$2:$A$1500,$A361)=0,"",IF(SUMPRODUCT((EDW_RAW!$A$2:$A$1500=$A361)*(LEN(EDW_RAW!$R$2:$R$1500)&gt;0))=COUNTIF(EDW_RAW!$A$2:$A$1500,$A361),"O",IF(SUMPRODUCT((EDW_RAW!$A$2:$A$1500=$A361)*(LEN(EDW_RAW!$R$2:$R$1500)&gt;0))&gt;0,"부분","X")))</f>
        <v/>
      </c>
      <c r="C361" s="4">
        <f>IF(COUNTIF(EDW_RAW!$A$2:$A$1500,$A361)=0,"",IF(SUMPRODUCT((EDW_RAW!$A$2:$A$1500=$A361)*(LEN(EDW_RAW!$U$2:$U$1500)&gt;0))=COUNTIF(EDW_RAW!$A$2:$A$1500,$A361),"O",IF(SUMPRODUCT((EDW_RAW!$A$2:$A$1500=$A361)*(LEN(EDW_RAW!$U$2:$U$1500)&gt;0))&gt;0,"부분","X")))</f>
        <v/>
      </c>
      <c r="D361" s="5">
        <f>IFERROR(MAX(FILTER(소재DB_RAW!$AK$3:$AK$2000,(소재DB_RAW!$G$3:$G$2000=$A361)*ISERROR(SEARCH("drop",소재DB_RAW!$C$3:$C$2000))*(소재DB_RAW!$AK$3:$AK$2000&lt;&gt;""))),"")</f>
        <v/>
      </c>
      <c r="E361" s="4">
        <f>IF($D361="","",TEXT($D361,"yyyy-mm-dd"))</f>
        <v/>
      </c>
    </row>
    <row r="362">
      <c r="A362" s="4" t="inlineStr">
        <is>
          <t>JKTCM27158</t>
        </is>
      </c>
      <c r="B362" s="4">
        <f>IF(COUNTIF(EDW_RAW!$A$2:$A$1500,$A362)=0,"",IF(SUMPRODUCT((EDW_RAW!$A$2:$A$1500=$A362)*(LEN(EDW_RAW!$R$2:$R$1500)&gt;0))=COUNTIF(EDW_RAW!$A$2:$A$1500,$A362),"O",IF(SUMPRODUCT((EDW_RAW!$A$2:$A$1500=$A362)*(LEN(EDW_RAW!$R$2:$R$1500)&gt;0))&gt;0,"부분","X")))</f>
        <v/>
      </c>
      <c r="C362" s="4">
        <f>IF(COUNTIF(EDW_RAW!$A$2:$A$1500,$A362)=0,"",IF(SUMPRODUCT((EDW_RAW!$A$2:$A$1500=$A362)*(LEN(EDW_RAW!$U$2:$U$1500)&gt;0))=COUNTIF(EDW_RAW!$A$2:$A$1500,$A362),"O",IF(SUMPRODUCT((EDW_RAW!$A$2:$A$1500=$A362)*(LEN(EDW_RAW!$U$2:$U$1500)&gt;0))&gt;0,"부분","X")))</f>
        <v/>
      </c>
      <c r="D362" s="5">
        <f>IFERROR(MAX(FILTER(소재DB_RAW!$AK$3:$AK$2000,(소재DB_RAW!$G$3:$G$2000=$A362)*ISERROR(SEARCH("drop",소재DB_RAW!$C$3:$C$2000))*(소재DB_RAW!$AK$3:$AK$2000&lt;&gt;""))),"")</f>
        <v/>
      </c>
      <c r="E362" s="4">
        <f>IF($D362="","",TEXT($D362,"yyyy-mm-dd"))</f>
        <v/>
      </c>
    </row>
    <row r="363">
      <c r="A363" s="4" t="inlineStr">
        <is>
          <t>JKTCM27160</t>
        </is>
      </c>
      <c r="B363" s="4">
        <f>IF(COUNTIF(EDW_RAW!$A$2:$A$1500,$A363)=0,"",IF(SUMPRODUCT((EDW_RAW!$A$2:$A$1500=$A363)*(LEN(EDW_RAW!$R$2:$R$1500)&gt;0))=COUNTIF(EDW_RAW!$A$2:$A$1500,$A363),"O",IF(SUMPRODUCT((EDW_RAW!$A$2:$A$1500=$A363)*(LEN(EDW_RAW!$R$2:$R$1500)&gt;0))&gt;0,"부분","X")))</f>
        <v/>
      </c>
      <c r="C363" s="4">
        <f>IF(COUNTIF(EDW_RAW!$A$2:$A$1500,$A363)=0,"",IF(SUMPRODUCT((EDW_RAW!$A$2:$A$1500=$A363)*(LEN(EDW_RAW!$U$2:$U$1500)&gt;0))=COUNTIF(EDW_RAW!$A$2:$A$1500,$A363),"O",IF(SUMPRODUCT((EDW_RAW!$A$2:$A$1500=$A363)*(LEN(EDW_RAW!$U$2:$U$1500)&gt;0))&gt;0,"부분","X")))</f>
        <v/>
      </c>
      <c r="D363" s="5">
        <f>IFERROR(MAX(FILTER(소재DB_RAW!$AK$3:$AK$2000,(소재DB_RAW!$G$3:$G$2000=$A363)*ISERROR(SEARCH("drop",소재DB_RAW!$C$3:$C$2000))*(소재DB_RAW!$AK$3:$AK$2000&lt;&gt;""))),"")</f>
        <v/>
      </c>
      <c r="E363" s="4">
        <f>IF($D363="","",TEXT($D363,"yyyy-mm-dd"))</f>
        <v/>
      </c>
    </row>
    <row r="364">
      <c r="A364" s="4" t="inlineStr">
        <is>
          <t>JKTCM27166</t>
        </is>
      </c>
      <c r="B364" s="4">
        <f>IF(COUNTIF(EDW_RAW!$A$2:$A$1500,$A364)=0,"",IF(SUMPRODUCT((EDW_RAW!$A$2:$A$1500=$A364)*(LEN(EDW_RAW!$R$2:$R$1500)&gt;0))=COUNTIF(EDW_RAW!$A$2:$A$1500,$A364),"O",IF(SUMPRODUCT((EDW_RAW!$A$2:$A$1500=$A364)*(LEN(EDW_RAW!$R$2:$R$1500)&gt;0))&gt;0,"부분","X")))</f>
        <v/>
      </c>
      <c r="C364" s="4">
        <f>IF(COUNTIF(EDW_RAW!$A$2:$A$1500,$A364)=0,"",IF(SUMPRODUCT((EDW_RAW!$A$2:$A$1500=$A364)*(LEN(EDW_RAW!$U$2:$U$1500)&gt;0))=COUNTIF(EDW_RAW!$A$2:$A$1500,$A364),"O",IF(SUMPRODUCT((EDW_RAW!$A$2:$A$1500=$A364)*(LEN(EDW_RAW!$U$2:$U$1500)&gt;0))&gt;0,"부분","X")))</f>
        <v/>
      </c>
      <c r="D364" s="5">
        <f>IFERROR(MAX(FILTER(소재DB_RAW!$AK$3:$AK$2000,(소재DB_RAW!$G$3:$G$2000=$A364)*ISERROR(SEARCH("drop",소재DB_RAW!$C$3:$C$2000))*(소재DB_RAW!$AK$3:$AK$2000&lt;&gt;""))),"")</f>
        <v/>
      </c>
      <c r="E364" s="4">
        <f>IF($D364="","",TEXT($D364,"yyyy-mm-dd"))</f>
        <v/>
      </c>
    </row>
    <row r="365">
      <c r="A365" s="4" t="inlineStr">
        <is>
          <t>JKTCM27908</t>
        </is>
      </c>
      <c r="B365" s="4">
        <f>IF(COUNTIF(EDW_RAW!$A$2:$A$1500,$A365)=0,"",IF(SUMPRODUCT((EDW_RAW!$A$2:$A$1500=$A365)*(LEN(EDW_RAW!$R$2:$R$1500)&gt;0))=COUNTIF(EDW_RAW!$A$2:$A$1500,$A365),"O",IF(SUMPRODUCT((EDW_RAW!$A$2:$A$1500=$A365)*(LEN(EDW_RAW!$R$2:$R$1500)&gt;0))&gt;0,"부분","X")))</f>
        <v/>
      </c>
      <c r="C365" s="4">
        <f>IF(COUNTIF(EDW_RAW!$A$2:$A$1500,$A365)=0,"",IF(SUMPRODUCT((EDW_RAW!$A$2:$A$1500=$A365)*(LEN(EDW_RAW!$U$2:$U$1500)&gt;0))=COUNTIF(EDW_RAW!$A$2:$A$1500,$A365),"O",IF(SUMPRODUCT((EDW_RAW!$A$2:$A$1500=$A365)*(LEN(EDW_RAW!$U$2:$U$1500)&gt;0))&gt;0,"부분","X")))</f>
        <v/>
      </c>
      <c r="D365" s="5">
        <f>IFERROR(MAX(FILTER(소재DB_RAW!$AK$3:$AK$2000,(소재DB_RAW!$G$3:$G$2000=$A365)*ISERROR(SEARCH("drop",소재DB_RAW!$C$3:$C$2000))*(소재DB_RAW!$AK$3:$AK$2000&lt;&gt;""))),"")</f>
        <v/>
      </c>
      <c r="E365" s="4">
        <f>IF($D365="","",TEXT($D365,"yyyy-mm-dd"))</f>
        <v/>
      </c>
    </row>
    <row r="366">
      <c r="A366" s="4" t="inlineStr">
        <is>
          <t>JKTBM27182</t>
        </is>
      </c>
      <c r="B366" s="4">
        <f>IF(COUNTIF(EDW_RAW!$A$2:$A$1500,$A366)=0,"",IF(SUMPRODUCT((EDW_RAW!$A$2:$A$1500=$A366)*(LEN(EDW_RAW!$R$2:$R$1500)&gt;0))=COUNTIF(EDW_RAW!$A$2:$A$1500,$A366),"O",IF(SUMPRODUCT((EDW_RAW!$A$2:$A$1500=$A366)*(LEN(EDW_RAW!$R$2:$R$1500)&gt;0))&gt;0,"부분","X")))</f>
        <v/>
      </c>
      <c r="C366" s="4">
        <f>IF(COUNTIF(EDW_RAW!$A$2:$A$1500,$A366)=0,"",IF(SUMPRODUCT((EDW_RAW!$A$2:$A$1500=$A366)*(LEN(EDW_RAW!$U$2:$U$1500)&gt;0))=COUNTIF(EDW_RAW!$A$2:$A$1500,$A366),"O",IF(SUMPRODUCT((EDW_RAW!$A$2:$A$1500=$A366)*(LEN(EDW_RAW!$U$2:$U$1500)&gt;0))&gt;0,"부분","X")))</f>
        <v/>
      </c>
      <c r="D366" s="5">
        <f>IFERROR(MAX(FILTER(소재DB_RAW!$AK$3:$AK$2000,(소재DB_RAW!$G$3:$G$2000=$A366)*ISERROR(SEARCH("drop",소재DB_RAW!$C$3:$C$2000))*(소재DB_RAW!$AK$3:$AK$2000&lt;&gt;""))),"")</f>
        <v/>
      </c>
      <c r="E366" s="4">
        <f>IF($D366="","",TEXT($D366,"yyyy-mm-dd"))</f>
        <v/>
      </c>
    </row>
    <row r="367">
      <c r="A367" s="4" t="inlineStr">
        <is>
          <t>JKTCM27186</t>
        </is>
      </c>
      <c r="B367" s="4">
        <f>IF(COUNTIF(EDW_RAW!$A$2:$A$1500,$A367)=0,"",IF(SUMPRODUCT((EDW_RAW!$A$2:$A$1500=$A367)*(LEN(EDW_RAW!$R$2:$R$1500)&gt;0))=COUNTIF(EDW_RAW!$A$2:$A$1500,$A367),"O",IF(SUMPRODUCT((EDW_RAW!$A$2:$A$1500=$A367)*(LEN(EDW_RAW!$R$2:$R$1500)&gt;0))&gt;0,"부분","X")))</f>
        <v/>
      </c>
      <c r="C367" s="4">
        <f>IF(COUNTIF(EDW_RAW!$A$2:$A$1500,$A367)=0,"",IF(SUMPRODUCT((EDW_RAW!$A$2:$A$1500=$A367)*(LEN(EDW_RAW!$U$2:$U$1500)&gt;0))=COUNTIF(EDW_RAW!$A$2:$A$1500,$A367),"O",IF(SUMPRODUCT((EDW_RAW!$A$2:$A$1500=$A367)*(LEN(EDW_RAW!$U$2:$U$1500)&gt;0))&gt;0,"부분","X")))</f>
        <v/>
      </c>
      <c r="D367" s="5">
        <f>IFERROR(MAX(FILTER(소재DB_RAW!$AK$3:$AK$2000,(소재DB_RAW!$G$3:$G$2000=$A367)*ISERROR(SEARCH("drop",소재DB_RAW!$C$3:$C$2000))*(소재DB_RAW!$AK$3:$AK$2000&lt;&gt;""))),"")</f>
        <v/>
      </c>
      <c r="E367" s="4">
        <f>IF($D367="","",TEXT($D367,"yyyy-mm-dd"))</f>
        <v/>
      </c>
    </row>
    <row r="368">
      <c r="A368" s="4" t="inlineStr">
        <is>
          <t>JKTCM27184</t>
        </is>
      </c>
      <c r="B368" s="4">
        <f>IF(COUNTIF(EDW_RAW!$A$2:$A$1500,$A368)=0,"",IF(SUMPRODUCT((EDW_RAW!$A$2:$A$1500=$A368)*(LEN(EDW_RAW!$R$2:$R$1500)&gt;0))=COUNTIF(EDW_RAW!$A$2:$A$1500,$A368),"O",IF(SUMPRODUCT((EDW_RAW!$A$2:$A$1500=$A368)*(LEN(EDW_RAW!$R$2:$R$1500)&gt;0))&gt;0,"부분","X")))</f>
        <v/>
      </c>
      <c r="C368" s="4">
        <f>IF(COUNTIF(EDW_RAW!$A$2:$A$1500,$A368)=0,"",IF(SUMPRODUCT((EDW_RAW!$A$2:$A$1500=$A368)*(LEN(EDW_RAW!$U$2:$U$1500)&gt;0))=COUNTIF(EDW_RAW!$A$2:$A$1500,$A368),"O",IF(SUMPRODUCT((EDW_RAW!$A$2:$A$1500=$A368)*(LEN(EDW_RAW!$U$2:$U$1500)&gt;0))&gt;0,"부분","X")))</f>
        <v/>
      </c>
      <c r="D368" s="5">
        <f>IFERROR(MAX(FILTER(소재DB_RAW!$AK$3:$AK$2000,(소재DB_RAW!$G$3:$G$2000=$A368)*ISERROR(SEARCH("drop",소재DB_RAW!$C$3:$C$2000))*(소재DB_RAW!$AK$3:$AK$2000&lt;&gt;""))),"")</f>
        <v/>
      </c>
      <c r="E368" s="4">
        <f>IF($D368="","",TEXT($D368,"yyyy-mm-dd"))</f>
        <v/>
      </c>
    </row>
    <row r="369">
      <c r="A369" s="4" t="inlineStr">
        <is>
          <t>JKTCM27182</t>
        </is>
      </c>
      <c r="B369" s="4">
        <f>IF(COUNTIF(EDW_RAW!$A$2:$A$1500,$A369)=0,"",IF(SUMPRODUCT((EDW_RAW!$A$2:$A$1500=$A369)*(LEN(EDW_RAW!$R$2:$R$1500)&gt;0))=COUNTIF(EDW_RAW!$A$2:$A$1500,$A369),"O",IF(SUMPRODUCT((EDW_RAW!$A$2:$A$1500=$A369)*(LEN(EDW_RAW!$R$2:$R$1500)&gt;0))&gt;0,"부분","X")))</f>
        <v/>
      </c>
      <c r="C369" s="4">
        <f>IF(COUNTIF(EDW_RAW!$A$2:$A$1500,$A369)=0,"",IF(SUMPRODUCT((EDW_RAW!$A$2:$A$1500=$A369)*(LEN(EDW_RAW!$U$2:$U$1500)&gt;0))=COUNTIF(EDW_RAW!$A$2:$A$1500,$A369),"O",IF(SUMPRODUCT((EDW_RAW!$A$2:$A$1500=$A369)*(LEN(EDW_RAW!$U$2:$U$1500)&gt;0))&gt;0,"부분","X")))</f>
        <v/>
      </c>
      <c r="D369" s="5">
        <f>IFERROR(MAX(FILTER(소재DB_RAW!$AK$3:$AK$2000,(소재DB_RAW!$G$3:$G$2000=$A369)*ISERROR(SEARCH("drop",소재DB_RAW!$C$3:$C$2000))*(소재DB_RAW!$AK$3:$AK$2000&lt;&gt;""))),"")</f>
        <v/>
      </c>
      <c r="E369" s="4">
        <f>IF($D369="","",TEXT($D369,"yyyy-mm-dd"))</f>
        <v/>
      </c>
    </row>
    <row r="370">
      <c r="A370" s="4" t="inlineStr">
        <is>
          <t>JKTCM27148</t>
        </is>
      </c>
      <c r="B370" s="4">
        <f>IF(COUNTIF(EDW_RAW!$A$2:$A$1500,$A370)=0,"",IF(SUMPRODUCT((EDW_RAW!$A$2:$A$1500=$A370)*(LEN(EDW_RAW!$R$2:$R$1500)&gt;0))=COUNTIF(EDW_RAW!$A$2:$A$1500,$A370),"O",IF(SUMPRODUCT((EDW_RAW!$A$2:$A$1500=$A370)*(LEN(EDW_RAW!$R$2:$R$1500)&gt;0))&gt;0,"부분","X")))</f>
        <v/>
      </c>
      <c r="C370" s="4">
        <f>IF(COUNTIF(EDW_RAW!$A$2:$A$1500,$A370)=0,"",IF(SUMPRODUCT((EDW_RAW!$A$2:$A$1500=$A370)*(LEN(EDW_RAW!$U$2:$U$1500)&gt;0))=COUNTIF(EDW_RAW!$A$2:$A$1500,$A370),"O",IF(SUMPRODUCT((EDW_RAW!$A$2:$A$1500=$A370)*(LEN(EDW_RAW!$U$2:$U$1500)&gt;0))&gt;0,"부분","X")))</f>
        <v/>
      </c>
      <c r="D370" s="5">
        <f>IFERROR(MAX(FILTER(소재DB_RAW!$AK$3:$AK$2000,(소재DB_RAW!$G$3:$G$2000=$A370)*ISERROR(SEARCH("drop",소재DB_RAW!$C$3:$C$2000))*(소재DB_RAW!$AK$3:$AK$2000&lt;&gt;""))),"")</f>
        <v/>
      </c>
      <c r="E370" s="4">
        <f>IF($D370="","",TEXT($D370,"yyyy-mm-dd"))</f>
        <v/>
      </c>
    </row>
    <row r="371">
      <c r="A371" s="4" t="inlineStr">
        <is>
          <t>JWTCM27139</t>
        </is>
      </c>
      <c r="B371" s="4">
        <f>IF(COUNTIF(EDW_RAW!$A$2:$A$1500,$A371)=0,"",IF(SUMPRODUCT((EDW_RAW!$A$2:$A$1500=$A371)*(LEN(EDW_RAW!$R$2:$R$1500)&gt;0))=COUNTIF(EDW_RAW!$A$2:$A$1500,$A371),"O",IF(SUMPRODUCT((EDW_RAW!$A$2:$A$1500=$A371)*(LEN(EDW_RAW!$R$2:$R$1500)&gt;0))&gt;0,"부분","X")))</f>
        <v/>
      </c>
      <c r="C371" s="4">
        <f>IF(COUNTIF(EDW_RAW!$A$2:$A$1500,$A371)=0,"",IF(SUMPRODUCT((EDW_RAW!$A$2:$A$1500=$A371)*(LEN(EDW_RAW!$U$2:$U$1500)&gt;0))=COUNTIF(EDW_RAW!$A$2:$A$1500,$A371),"O",IF(SUMPRODUCT((EDW_RAW!$A$2:$A$1500=$A371)*(LEN(EDW_RAW!$U$2:$U$1500)&gt;0))&gt;0,"부분","X")))</f>
        <v/>
      </c>
      <c r="D371" s="5">
        <f>IFERROR(MAX(FILTER(소재DB_RAW!$AK$3:$AK$2000,(소재DB_RAW!$G$3:$G$2000=$A371)*ISERROR(SEARCH("drop",소재DB_RAW!$C$3:$C$2000))*(소재DB_RAW!$AK$3:$AK$2000&lt;&gt;""))),"")</f>
        <v/>
      </c>
      <c r="E371" s="4">
        <f>IF($D371="","",TEXT($D371,"yyyy-mm-dd"))</f>
        <v/>
      </c>
    </row>
    <row r="372">
      <c r="A372" s="4" t="inlineStr">
        <is>
          <t>JWTCM27141</t>
        </is>
      </c>
      <c r="B372" s="4">
        <f>IF(COUNTIF(EDW_RAW!$A$2:$A$1500,$A372)=0,"",IF(SUMPRODUCT((EDW_RAW!$A$2:$A$1500=$A372)*(LEN(EDW_RAW!$R$2:$R$1500)&gt;0))=COUNTIF(EDW_RAW!$A$2:$A$1500,$A372),"O",IF(SUMPRODUCT((EDW_RAW!$A$2:$A$1500=$A372)*(LEN(EDW_RAW!$R$2:$R$1500)&gt;0))&gt;0,"부분","X")))</f>
        <v/>
      </c>
      <c r="C372" s="4">
        <f>IF(COUNTIF(EDW_RAW!$A$2:$A$1500,$A372)=0,"",IF(SUMPRODUCT((EDW_RAW!$A$2:$A$1500=$A372)*(LEN(EDW_RAW!$U$2:$U$1500)&gt;0))=COUNTIF(EDW_RAW!$A$2:$A$1500,$A372),"O",IF(SUMPRODUCT((EDW_RAW!$A$2:$A$1500=$A372)*(LEN(EDW_RAW!$U$2:$U$1500)&gt;0))&gt;0,"부분","X")))</f>
        <v/>
      </c>
      <c r="D372" s="5">
        <f>IFERROR(MAX(FILTER(소재DB_RAW!$AK$3:$AK$2000,(소재DB_RAW!$G$3:$G$2000=$A372)*ISERROR(SEARCH("drop",소재DB_RAW!$C$3:$C$2000))*(소재DB_RAW!$AK$3:$AK$2000&lt;&gt;""))),"")</f>
        <v/>
      </c>
      <c r="E372" s="4">
        <f>IF($D372="","",TEXT($D372,"yyyy-mm-dd"))</f>
        <v/>
      </c>
    </row>
    <row r="373">
      <c r="A373" s="4" t="inlineStr">
        <is>
          <t>JWTCM27143</t>
        </is>
      </c>
      <c r="B373" s="4">
        <f>IF(COUNTIF(EDW_RAW!$A$2:$A$1500,$A373)=0,"",IF(SUMPRODUCT((EDW_RAW!$A$2:$A$1500=$A373)*(LEN(EDW_RAW!$R$2:$R$1500)&gt;0))=COUNTIF(EDW_RAW!$A$2:$A$1500,$A373),"O",IF(SUMPRODUCT((EDW_RAW!$A$2:$A$1500=$A373)*(LEN(EDW_RAW!$R$2:$R$1500)&gt;0))&gt;0,"부분","X")))</f>
        <v/>
      </c>
      <c r="C373" s="4">
        <f>IF(COUNTIF(EDW_RAW!$A$2:$A$1500,$A373)=0,"",IF(SUMPRODUCT((EDW_RAW!$A$2:$A$1500=$A373)*(LEN(EDW_RAW!$U$2:$U$1500)&gt;0))=COUNTIF(EDW_RAW!$A$2:$A$1500,$A373),"O",IF(SUMPRODUCT((EDW_RAW!$A$2:$A$1500=$A373)*(LEN(EDW_RAW!$U$2:$U$1500)&gt;0))&gt;0,"부분","X")))</f>
        <v/>
      </c>
      <c r="D373" s="5">
        <f>IFERROR(MAX(FILTER(소재DB_RAW!$AK$3:$AK$2000,(소재DB_RAW!$G$3:$G$2000=$A373)*ISERROR(SEARCH("drop",소재DB_RAW!$C$3:$C$2000))*(소재DB_RAW!$AK$3:$AK$2000&lt;&gt;""))),"")</f>
        <v/>
      </c>
      <c r="E373" s="4">
        <f>IF($D373="","",TEXT($D373,"yyyy-mm-dd"))</f>
        <v/>
      </c>
    </row>
    <row r="374">
      <c r="A374" s="4" t="inlineStr">
        <is>
          <t>JWTCM27145</t>
        </is>
      </c>
      <c r="B374" s="4">
        <f>IF(COUNTIF(EDW_RAW!$A$2:$A$1500,$A374)=0,"",IF(SUMPRODUCT((EDW_RAW!$A$2:$A$1500=$A374)*(LEN(EDW_RAW!$R$2:$R$1500)&gt;0))=COUNTIF(EDW_RAW!$A$2:$A$1500,$A374),"O",IF(SUMPRODUCT((EDW_RAW!$A$2:$A$1500=$A374)*(LEN(EDW_RAW!$R$2:$R$1500)&gt;0))&gt;0,"부분","X")))</f>
        <v/>
      </c>
      <c r="C374" s="4">
        <f>IF(COUNTIF(EDW_RAW!$A$2:$A$1500,$A374)=0,"",IF(SUMPRODUCT((EDW_RAW!$A$2:$A$1500=$A374)*(LEN(EDW_RAW!$U$2:$U$1500)&gt;0))=COUNTIF(EDW_RAW!$A$2:$A$1500,$A374),"O",IF(SUMPRODUCT((EDW_RAW!$A$2:$A$1500=$A374)*(LEN(EDW_RAW!$U$2:$U$1500)&gt;0))&gt;0,"부분","X")))</f>
        <v/>
      </c>
      <c r="D374" s="5">
        <f>IFERROR(MAX(FILTER(소재DB_RAW!$AK$3:$AK$2000,(소재DB_RAW!$G$3:$G$2000=$A374)*ISERROR(SEARCH("drop",소재DB_RAW!$C$3:$C$2000))*(소재DB_RAW!$AK$3:$AK$2000&lt;&gt;""))),"")</f>
        <v/>
      </c>
      <c r="E374" s="4">
        <f>IF($D374="","",TEXT($D374,"yyyy-mm-dd"))</f>
        <v/>
      </c>
    </row>
    <row r="375">
      <c r="A375" s="4" t="inlineStr">
        <is>
          <t>JWTCM27147</t>
        </is>
      </c>
      <c r="B375" s="4">
        <f>IF(COUNTIF(EDW_RAW!$A$2:$A$1500,$A375)=0,"",IF(SUMPRODUCT((EDW_RAW!$A$2:$A$1500=$A375)*(LEN(EDW_RAW!$R$2:$R$1500)&gt;0))=COUNTIF(EDW_RAW!$A$2:$A$1500,$A375),"O",IF(SUMPRODUCT((EDW_RAW!$A$2:$A$1500=$A375)*(LEN(EDW_RAW!$R$2:$R$1500)&gt;0))&gt;0,"부분","X")))</f>
        <v/>
      </c>
      <c r="C375" s="4">
        <f>IF(COUNTIF(EDW_RAW!$A$2:$A$1500,$A375)=0,"",IF(SUMPRODUCT((EDW_RAW!$A$2:$A$1500=$A375)*(LEN(EDW_RAW!$U$2:$U$1500)&gt;0))=COUNTIF(EDW_RAW!$A$2:$A$1500,$A375),"O",IF(SUMPRODUCT((EDW_RAW!$A$2:$A$1500=$A375)*(LEN(EDW_RAW!$U$2:$U$1500)&gt;0))&gt;0,"부분","X")))</f>
        <v/>
      </c>
      <c r="D375" s="5">
        <f>IFERROR(MAX(FILTER(소재DB_RAW!$AK$3:$AK$2000,(소재DB_RAW!$G$3:$G$2000=$A375)*ISERROR(SEARCH("drop",소재DB_RAW!$C$3:$C$2000))*(소재DB_RAW!$AK$3:$AK$2000&lt;&gt;""))),"")</f>
        <v/>
      </c>
      <c r="E375" s="4">
        <f>IF($D375="","",TEXT($D375,"yyyy-mm-dd"))</f>
        <v/>
      </c>
    </row>
    <row r="376">
      <c r="A376" s="4" t="inlineStr">
        <is>
          <t>JWTCM27149</t>
        </is>
      </c>
      <c r="B376" s="4">
        <f>IF(COUNTIF(EDW_RAW!$A$2:$A$1500,$A376)=0,"",IF(SUMPRODUCT((EDW_RAW!$A$2:$A$1500=$A376)*(LEN(EDW_RAW!$R$2:$R$1500)&gt;0))=COUNTIF(EDW_RAW!$A$2:$A$1500,$A376),"O",IF(SUMPRODUCT((EDW_RAW!$A$2:$A$1500=$A376)*(LEN(EDW_RAW!$R$2:$R$1500)&gt;0))&gt;0,"부분","X")))</f>
        <v/>
      </c>
      <c r="C376" s="4">
        <f>IF(COUNTIF(EDW_RAW!$A$2:$A$1500,$A376)=0,"",IF(SUMPRODUCT((EDW_RAW!$A$2:$A$1500=$A376)*(LEN(EDW_RAW!$U$2:$U$1500)&gt;0))=COUNTIF(EDW_RAW!$A$2:$A$1500,$A376),"O",IF(SUMPRODUCT((EDW_RAW!$A$2:$A$1500=$A376)*(LEN(EDW_RAW!$U$2:$U$1500)&gt;0))&gt;0,"부분","X")))</f>
        <v/>
      </c>
      <c r="D376" s="5">
        <f>IFERROR(MAX(FILTER(소재DB_RAW!$AK$3:$AK$2000,(소재DB_RAW!$G$3:$G$2000=$A376)*ISERROR(SEARCH("drop",소재DB_RAW!$C$3:$C$2000))*(소재DB_RAW!$AK$3:$AK$2000&lt;&gt;""))),"")</f>
        <v/>
      </c>
      <c r="E376" s="4">
        <f>IF($D376="","",TEXT($D376,"yyyy-mm-dd"))</f>
        <v/>
      </c>
    </row>
    <row r="377">
      <c r="A377" s="4" t="inlineStr">
        <is>
          <t>JWTCM27127</t>
        </is>
      </c>
      <c r="B377" s="4">
        <f>IF(COUNTIF(EDW_RAW!$A$2:$A$1500,$A377)=0,"",IF(SUMPRODUCT((EDW_RAW!$A$2:$A$1500=$A377)*(LEN(EDW_RAW!$R$2:$R$1500)&gt;0))=COUNTIF(EDW_RAW!$A$2:$A$1500,$A377),"O",IF(SUMPRODUCT((EDW_RAW!$A$2:$A$1500=$A377)*(LEN(EDW_RAW!$R$2:$R$1500)&gt;0))&gt;0,"부분","X")))</f>
        <v/>
      </c>
      <c r="C377" s="4">
        <f>IF(COUNTIF(EDW_RAW!$A$2:$A$1500,$A377)=0,"",IF(SUMPRODUCT((EDW_RAW!$A$2:$A$1500=$A377)*(LEN(EDW_RAW!$U$2:$U$1500)&gt;0))=COUNTIF(EDW_RAW!$A$2:$A$1500,$A377),"O",IF(SUMPRODUCT((EDW_RAW!$A$2:$A$1500=$A377)*(LEN(EDW_RAW!$U$2:$U$1500)&gt;0))&gt;0,"부분","X")))</f>
        <v/>
      </c>
      <c r="D377" s="5">
        <f>IFERROR(MAX(FILTER(소재DB_RAW!$AK$3:$AK$2000,(소재DB_RAW!$G$3:$G$2000=$A377)*ISERROR(SEARCH("drop",소재DB_RAW!$C$3:$C$2000))*(소재DB_RAW!$AK$3:$AK$2000&lt;&gt;""))),"")</f>
        <v/>
      </c>
      <c r="E377" s="4">
        <f>IF($D377="","",TEXT($D377,"yyyy-mm-dd"))</f>
        <v/>
      </c>
    </row>
    <row r="378">
      <c r="A378" s="4" t="inlineStr">
        <is>
          <t>JKPNM27138</t>
        </is>
      </c>
      <c r="B378" s="4">
        <f>IF(COUNTIF(EDW_RAW!$A$2:$A$1500,$A378)=0,"",IF(SUMPRODUCT((EDW_RAW!$A$2:$A$1500=$A378)*(LEN(EDW_RAW!$R$2:$R$1500)&gt;0))=COUNTIF(EDW_RAW!$A$2:$A$1500,$A378),"O",IF(SUMPRODUCT((EDW_RAW!$A$2:$A$1500=$A378)*(LEN(EDW_RAW!$R$2:$R$1500)&gt;0))&gt;0,"부분","X")))</f>
        <v/>
      </c>
      <c r="C378" s="4">
        <f>IF(COUNTIF(EDW_RAW!$A$2:$A$1500,$A378)=0,"",IF(SUMPRODUCT((EDW_RAW!$A$2:$A$1500=$A378)*(LEN(EDW_RAW!$U$2:$U$1500)&gt;0))=COUNTIF(EDW_RAW!$A$2:$A$1500,$A378),"O",IF(SUMPRODUCT((EDW_RAW!$A$2:$A$1500=$A378)*(LEN(EDW_RAW!$U$2:$U$1500)&gt;0))&gt;0,"부분","X")))</f>
        <v/>
      </c>
      <c r="D378" s="5">
        <f>IFERROR(MAX(FILTER(소재DB_RAW!$AK$3:$AK$2000,(소재DB_RAW!$G$3:$G$2000=$A378)*ISERROR(SEARCH("drop",소재DB_RAW!$C$3:$C$2000))*(소재DB_RAW!$AK$3:$AK$2000&lt;&gt;""))),"")</f>
        <v/>
      </c>
      <c r="E378" s="4">
        <f>IF($D378="","",TEXT($D378,"yyyy-mm-dd"))</f>
        <v/>
      </c>
    </row>
    <row r="379">
      <c r="A379" s="4" t="inlineStr">
        <is>
          <t>JKPNM27162</t>
        </is>
      </c>
      <c r="B379" s="4">
        <f>IF(COUNTIF(EDW_RAW!$A$2:$A$1500,$A379)=0,"",IF(SUMPRODUCT((EDW_RAW!$A$2:$A$1500=$A379)*(LEN(EDW_RAW!$R$2:$R$1500)&gt;0))=COUNTIF(EDW_RAW!$A$2:$A$1500,$A379),"O",IF(SUMPRODUCT((EDW_RAW!$A$2:$A$1500=$A379)*(LEN(EDW_RAW!$R$2:$R$1500)&gt;0))&gt;0,"부분","X")))</f>
        <v/>
      </c>
      <c r="C379" s="4">
        <f>IF(COUNTIF(EDW_RAW!$A$2:$A$1500,$A379)=0,"",IF(SUMPRODUCT((EDW_RAW!$A$2:$A$1500=$A379)*(LEN(EDW_RAW!$U$2:$U$1500)&gt;0))=COUNTIF(EDW_RAW!$A$2:$A$1500,$A379),"O",IF(SUMPRODUCT((EDW_RAW!$A$2:$A$1500=$A379)*(LEN(EDW_RAW!$U$2:$U$1500)&gt;0))&gt;0,"부분","X")))</f>
        <v/>
      </c>
      <c r="D379" s="5">
        <f>IFERROR(MAX(FILTER(소재DB_RAW!$AK$3:$AK$2000,(소재DB_RAW!$G$3:$G$2000=$A379)*ISERROR(SEARCH("drop",소재DB_RAW!$C$3:$C$2000))*(소재DB_RAW!$AK$3:$AK$2000&lt;&gt;""))),"")</f>
        <v/>
      </c>
      <c r="E379" s="4">
        <f>IF($D379="","",TEXT($D379,"yyyy-mm-dd"))</f>
        <v/>
      </c>
    </row>
    <row r="380">
      <c r="A380" s="4" t="inlineStr">
        <is>
          <t>JKPNM27192</t>
        </is>
      </c>
      <c r="B380" s="4">
        <f>IF(COUNTIF(EDW_RAW!$A$2:$A$1500,$A380)=0,"",IF(SUMPRODUCT((EDW_RAW!$A$2:$A$1500=$A380)*(LEN(EDW_RAW!$R$2:$R$1500)&gt;0))=COUNTIF(EDW_RAW!$A$2:$A$1500,$A380),"O",IF(SUMPRODUCT((EDW_RAW!$A$2:$A$1500=$A380)*(LEN(EDW_RAW!$R$2:$R$1500)&gt;0))&gt;0,"부분","X")))</f>
        <v/>
      </c>
      <c r="C380" s="4">
        <f>IF(COUNTIF(EDW_RAW!$A$2:$A$1500,$A380)=0,"",IF(SUMPRODUCT((EDW_RAW!$A$2:$A$1500=$A380)*(LEN(EDW_RAW!$U$2:$U$1500)&gt;0))=COUNTIF(EDW_RAW!$A$2:$A$1500,$A380),"O",IF(SUMPRODUCT((EDW_RAW!$A$2:$A$1500=$A380)*(LEN(EDW_RAW!$U$2:$U$1500)&gt;0))&gt;0,"부분","X")))</f>
        <v/>
      </c>
      <c r="D380" s="5">
        <f>IFERROR(MAX(FILTER(소재DB_RAW!$AK$3:$AK$2000,(소재DB_RAW!$G$3:$G$2000=$A380)*ISERROR(SEARCH("drop",소재DB_RAW!$C$3:$C$2000))*(소재DB_RAW!$AK$3:$AK$2000&lt;&gt;""))),"")</f>
        <v/>
      </c>
      <c r="E380" s="4">
        <f>IF($D380="","",TEXT($D380,"yyyy-mm-dd"))</f>
        <v/>
      </c>
    </row>
    <row r="381">
      <c r="A381" s="4" t="inlineStr">
        <is>
          <t>JKPNM27172</t>
        </is>
      </c>
      <c r="B381" s="4">
        <f>IF(COUNTIF(EDW_RAW!$A$2:$A$1500,$A381)=0,"",IF(SUMPRODUCT((EDW_RAW!$A$2:$A$1500=$A381)*(LEN(EDW_RAW!$R$2:$R$1500)&gt;0))=COUNTIF(EDW_RAW!$A$2:$A$1500,$A381),"O",IF(SUMPRODUCT((EDW_RAW!$A$2:$A$1500=$A381)*(LEN(EDW_RAW!$R$2:$R$1500)&gt;0))&gt;0,"부분","X")))</f>
        <v/>
      </c>
      <c r="C381" s="4">
        <f>IF(COUNTIF(EDW_RAW!$A$2:$A$1500,$A381)=0,"",IF(SUMPRODUCT((EDW_RAW!$A$2:$A$1500=$A381)*(LEN(EDW_RAW!$U$2:$U$1500)&gt;0))=COUNTIF(EDW_RAW!$A$2:$A$1500,$A381),"O",IF(SUMPRODUCT((EDW_RAW!$A$2:$A$1500=$A381)*(LEN(EDW_RAW!$U$2:$U$1500)&gt;0))&gt;0,"부분","X")))</f>
        <v/>
      </c>
      <c r="D381" s="5">
        <f>IFERROR(MAX(FILTER(소재DB_RAW!$AK$3:$AK$2000,(소재DB_RAW!$G$3:$G$2000=$A381)*ISERROR(SEARCH("drop",소재DB_RAW!$C$3:$C$2000))*(소재DB_RAW!$AK$3:$AK$2000&lt;&gt;""))),"")</f>
        <v/>
      </c>
      <c r="E381" s="4">
        <f>IF($D381="","",TEXT($D381,"yyyy-mm-dd"))</f>
        <v/>
      </c>
    </row>
    <row r="382">
      <c r="A382" s="4" t="inlineStr">
        <is>
          <t>JKPNM27158</t>
        </is>
      </c>
      <c r="B382" s="4">
        <f>IF(COUNTIF(EDW_RAW!$A$2:$A$1500,$A382)=0,"",IF(SUMPRODUCT((EDW_RAW!$A$2:$A$1500=$A382)*(LEN(EDW_RAW!$R$2:$R$1500)&gt;0))=COUNTIF(EDW_RAW!$A$2:$A$1500,$A382),"O",IF(SUMPRODUCT((EDW_RAW!$A$2:$A$1500=$A382)*(LEN(EDW_RAW!$R$2:$R$1500)&gt;0))&gt;0,"부분","X")))</f>
        <v/>
      </c>
      <c r="C382" s="4">
        <f>IF(COUNTIF(EDW_RAW!$A$2:$A$1500,$A382)=0,"",IF(SUMPRODUCT((EDW_RAW!$A$2:$A$1500=$A382)*(LEN(EDW_RAW!$U$2:$U$1500)&gt;0))=COUNTIF(EDW_RAW!$A$2:$A$1500,$A382),"O",IF(SUMPRODUCT((EDW_RAW!$A$2:$A$1500=$A382)*(LEN(EDW_RAW!$U$2:$U$1500)&gt;0))&gt;0,"부분","X")))</f>
        <v/>
      </c>
      <c r="D382" s="5">
        <f>IFERROR(MAX(FILTER(소재DB_RAW!$AK$3:$AK$2000,(소재DB_RAW!$G$3:$G$2000=$A382)*ISERROR(SEARCH("drop",소재DB_RAW!$C$3:$C$2000))*(소재DB_RAW!$AK$3:$AK$2000&lt;&gt;""))),"")</f>
        <v/>
      </c>
      <c r="E382" s="4">
        <f>IF($D382="","",TEXT($D382,"yyyy-mm-dd"))</f>
        <v/>
      </c>
    </row>
    <row r="383">
      <c r="A383" s="4" t="inlineStr">
        <is>
          <t>JKPNM27182</t>
        </is>
      </c>
      <c r="B383" s="4">
        <f>IF(COUNTIF(EDW_RAW!$A$2:$A$1500,$A383)=0,"",IF(SUMPRODUCT((EDW_RAW!$A$2:$A$1500=$A383)*(LEN(EDW_RAW!$R$2:$R$1500)&gt;0))=COUNTIF(EDW_RAW!$A$2:$A$1500,$A383),"O",IF(SUMPRODUCT((EDW_RAW!$A$2:$A$1500=$A383)*(LEN(EDW_RAW!$R$2:$R$1500)&gt;0))&gt;0,"부분","X")))</f>
        <v/>
      </c>
      <c r="C383" s="4">
        <f>IF(COUNTIF(EDW_RAW!$A$2:$A$1500,$A383)=0,"",IF(SUMPRODUCT((EDW_RAW!$A$2:$A$1500=$A383)*(LEN(EDW_RAW!$U$2:$U$1500)&gt;0))=COUNTIF(EDW_RAW!$A$2:$A$1500,$A383),"O",IF(SUMPRODUCT((EDW_RAW!$A$2:$A$1500=$A383)*(LEN(EDW_RAW!$U$2:$U$1500)&gt;0))&gt;0,"부분","X")))</f>
        <v/>
      </c>
      <c r="D383" s="5">
        <f>IFERROR(MAX(FILTER(소재DB_RAW!$AK$3:$AK$2000,(소재DB_RAW!$G$3:$G$2000=$A383)*ISERROR(SEARCH("drop",소재DB_RAW!$C$3:$C$2000))*(소재DB_RAW!$AK$3:$AK$2000&lt;&gt;""))),"")</f>
        <v/>
      </c>
      <c r="E383" s="4">
        <f>IF($D383="","",TEXT($D383,"yyyy-mm-dd"))</f>
        <v/>
      </c>
    </row>
    <row r="384">
      <c r="A384" s="4" t="inlineStr">
        <is>
          <t>JKPNM27184</t>
        </is>
      </c>
      <c r="B384" s="4">
        <f>IF(COUNTIF(EDW_RAW!$A$2:$A$1500,$A384)=0,"",IF(SUMPRODUCT((EDW_RAW!$A$2:$A$1500=$A384)*(LEN(EDW_RAW!$R$2:$R$1500)&gt;0))=COUNTIF(EDW_RAW!$A$2:$A$1500,$A384),"O",IF(SUMPRODUCT((EDW_RAW!$A$2:$A$1500=$A384)*(LEN(EDW_RAW!$R$2:$R$1500)&gt;0))&gt;0,"부분","X")))</f>
        <v/>
      </c>
      <c r="C384" s="4">
        <f>IF(COUNTIF(EDW_RAW!$A$2:$A$1500,$A384)=0,"",IF(SUMPRODUCT((EDW_RAW!$A$2:$A$1500=$A384)*(LEN(EDW_RAW!$U$2:$U$1500)&gt;0))=COUNTIF(EDW_RAW!$A$2:$A$1500,$A384),"O",IF(SUMPRODUCT((EDW_RAW!$A$2:$A$1500=$A384)*(LEN(EDW_RAW!$U$2:$U$1500)&gt;0))&gt;0,"부분","X")))</f>
        <v/>
      </c>
      <c r="D384" s="5">
        <f>IFERROR(MAX(FILTER(소재DB_RAW!$AK$3:$AK$2000,(소재DB_RAW!$G$3:$G$2000=$A384)*ISERROR(SEARCH("drop",소재DB_RAW!$C$3:$C$2000))*(소재DB_RAW!$AK$3:$AK$2000&lt;&gt;""))),"")</f>
        <v/>
      </c>
      <c r="E384" s="4">
        <f>IF($D384="","",TEXT($D384,"yyyy-mm-dd"))</f>
        <v/>
      </c>
    </row>
    <row r="385">
      <c r="A385" s="4" t="inlineStr">
        <is>
          <t>JKPOM27142</t>
        </is>
      </c>
      <c r="B385" s="4">
        <f>IF(COUNTIF(EDW_RAW!$A$2:$A$1500,$A385)=0,"",IF(SUMPRODUCT((EDW_RAW!$A$2:$A$1500=$A385)*(LEN(EDW_RAW!$R$2:$R$1500)&gt;0))=COUNTIF(EDW_RAW!$A$2:$A$1500,$A385),"O",IF(SUMPRODUCT((EDW_RAW!$A$2:$A$1500=$A385)*(LEN(EDW_RAW!$R$2:$R$1500)&gt;0))&gt;0,"부분","X")))</f>
        <v/>
      </c>
      <c r="C385" s="4">
        <f>IF(COUNTIF(EDW_RAW!$A$2:$A$1500,$A385)=0,"",IF(SUMPRODUCT((EDW_RAW!$A$2:$A$1500=$A385)*(LEN(EDW_RAW!$U$2:$U$1500)&gt;0))=COUNTIF(EDW_RAW!$A$2:$A$1500,$A385),"O",IF(SUMPRODUCT((EDW_RAW!$A$2:$A$1500=$A385)*(LEN(EDW_RAW!$U$2:$U$1500)&gt;0))&gt;0,"부분","X")))</f>
        <v/>
      </c>
      <c r="D385" s="5">
        <f>IFERROR(MAX(FILTER(소재DB_RAW!$AK$3:$AK$2000,(소재DB_RAW!$G$3:$G$2000=$A385)*ISERROR(SEARCH("drop",소재DB_RAW!$C$3:$C$2000))*(소재DB_RAW!$AK$3:$AK$2000&lt;&gt;""))),"")</f>
        <v/>
      </c>
      <c r="E385" s="4">
        <f>IF($D385="","",TEXT($D385,"yyyy-mm-dd"))</f>
        <v/>
      </c>
    </row>
    <row r="386">
      <c r="A386" s="4" t="inlineStr">
        <is>
          <t>JKPOM27172</t>
        </is>
      </c>
      <c r="B386" s="4">
        <f>IF(COUNTIF(EDW_RAW!$A$2:$A$1500,$A386)=0,"",IF(SUMPRODUCT((EDW_RAW!$A$2:$A$1500=$A386)*(LEN(EDW_RAW!$R$2:$R$1500)&gt;0))=COUNTIF(EDW_RAW!$A$2:$A$1500,$A386),"O",IF(SUMPRODUCT((EDW_RAW!$A$2:$A$1500=$A386)*(LEN(EDW_RAW!$R$2:$R$1500)&gt;0))&gt;0,"부분","X")))</f>
        <v/>
      </c>
      <c r="C386" s="4">
        <f>IF(COUNTIF(EDW_RAW!$A$2:$A$1500,$A386)=0,"",IF(SUMPRODUCT((EDW_RAW!$A$2:$A$1500=$A386)*(LEN(EDW_RAW!$U$2:$U$1500)&gt;0))=COUNTIF(EDW_RAW!$A$2:$A$1500,$A386),"O",IF(SUMPRODUCT((EDW_RAW!$A$2:$A$1500=$A386)*(LEN(EDW_RAW!$U$2:$U$1500)&gt;0))&gt;0,"부분","X")))</f>
        <v/>
      </c>
      <c r="D386" s="5">
        <f>IFERROR(MAX(FILTER(소재DB_RAW!$AK$3:$AK$2000,(소재DB_RAW!$G$3:$G$2000=$A386)*ISERROR(SEARCH("drop",소재DB_RAW!$C$3:$C$2000))*(소재DB_RAW!$AK$3:$AK$2000&lt;&gt;""))),"")</f>
        <v/>
      </c>
      <c r="E386" s="4">
        <f>IF($D386="","",TEXT($D386,"yyyy-mm-dd"))</f>
        <v/>
      </c>
    </row>
    <row r="387">
      <c r="A387" s="4" t="inlineStr">
        <is>
          <t>JKPOM27176</t>
        </is>
      </c>
      <c r="B387" s="4">
        <f>IF(COUNTIF(EDW_RAW!$A$2:$A$1500,$A387)=0,"",IF(SUMPRODUCT((EDW_RAW!$A$2:$A$1500=$A387)*(LEN(EDW_RAW!$R$2:$R$1500)&gt;0))=COUNTIF(EDW_RAW!$A$2:$A$1500,$A387),"O",IF(SUMPRODUCT((EDW_RAW!$A$2:$A$1500=$A387)*(LEN(EDW_RAW!$R$2:$R$1500)&gt;0))&gt;0,"부분","X")))</f>
        <v/>
      </c>
      <c r="C387" s="4">
        <f>IF(COUNTIF(EDW_RAW!$A$2:$A$1500,$A387)=0,"",IF(SUMPRODUCT((EDW_RAW!$A$2:$A$1500=$A387)*(LEN(EDW_RAW!$U$2:$U$1500)&gt;0))=COUNTIF(EDW_RAW!$A$2:$A$1500,$A387),"O",IF(SUMPRODUCT((EDW_RAW!$A$2:$A$1500=$A387)*(LEN(EDW_RAW!$U$2:$U$1500)&gt;0))&gt;0,"부분","X")))</f>
        <v/>
      </c>
      <c r="D387" s="5">
        <f>IFERROR(MAX(FILTER(소재DB_RAW!$AK$3:$AK$2000,(소재DB_RAW!$G$3:$G$2000=$A387)*ISERROR(SEARCH("drop",소재DB_RAW!$C$3:$C$2000))*(소재DB_RAW!$AK$3:$AK$2000&lt;&gt;""))),"")</f>
        <v/>
      </c>
      <c r="E387" s="4">
        <f>IF($D387="","",TEXT($D387,"yyyy-mm-dd"))</f>
        <v/>
      </c>
    </row>
    <row r="388">
      <c r="A388" s="4" t="inlineStr">
        <is>
          <t>JKPOM27174</t>
        </is>
      </c>
      <c r="B388" s="4">
        <f>IF(COUNTIF(EDW_RAW!$A$2:$A$1500,$A388)=0,"",IF(SUMPRODUCT((EDW_RAW!$A$2:$A$1500=$A388)*(LEN(EDW_RAW!$R$2:$R$1500)&gt;0))=COUNTIF(EDW_RAW!$A$2:$A$1500,$A388),"O",IF(SUMPRODUCT((EDW_RAW!$A$2:$A$1500=$A388)*(LEN(EDW_RAW!$R$2:$R$1500)&gt;0))&gt;0,"부분","X")))</f>
        <v/>
      </c>
      <c r="C388" s="4">
        <f>IF(COUNTIF(EDW_RAW!$A$2:$A$1500,$A388)=0,"",IF(SUMPRODUCT((EDW_RAW!$A$2:$A$1500=$A388)*(LEN(EDW_RAW!$U$2:$U$1500)&gt;0))=COUNTIF(EDW_RAW!$A$2:$A$1500,$A388),"O",IF(SUMPRODUCT((EDW_RAW!$A$2:$A$1500=$A388)*(LEN(EDW_RAW!$U$2:$U$1500)&gt;0))&gt;0,"부분","X")))</f>
        <v/>
      </c>
      <c r="D388" s="5">
        <f>IFERROR(MAX(FILTER(소재DB_RAW!$AK$3:$AK$2000,(소재DB_RAW!$G$3:$G$2000=$A388)*ISERROR(SEARCH("drop",소재DB_RAW!$C$3:$C$2000))*(소재DB_RAW!$AK$3:$AK$2000&lt;&gt;""))),"")</f>
        <v/>
      </c>
      <c r="E388" s="4">
        <f>IF($D388="","",TEXT($D388,"yyyy-mm-dd"))</f>
        <v/>
      </c>
    </row>
    <row r="389">
      <c r="A389" s="4" t="inlineStr">
        <is>
          <t>TLJJM27701</t>
        </is>
      </c>
      <c r="B389" s="4">
        <f>IF(COUNTIF(EDW_RAW!$A$2:$A$1500,$A389)=0,"",IF(SUMPRODUCT((EDW_RAW!$A$2:$A$1500=$A389)*(LEN(EDW_RAW!$R$2:$R$1500)&gt;0))=COUNTIF(EDW_RAW!$A$2:$A$1500,$A389),"O",IF(SUMPRODUCT((EDW_RAW!$A$2:$A$1500=$A389)*(LEN(EDW_RAW!$R$2:$R$1500)&gt;0))&gt;0,"부분","X")))</f>
        <v/>
      </c>
      <c r="C389" s="4">
        <f>IF(COUNTIF(EDW_RAW!$A$2:$A$1500,$A389)=0,"",IF(SUMPRODUCT((EDW_RAW!$A$2:$A$1500=$A389)*(LEN(EDW_RAW!$U$2:$U$1500)&gt;0))=COUNTIF(EDW_RAW!$A$2:$A$1500,$A389),"O",IF(SUMPRODUCT((EDW_RAW!$A$2:$A$1500=$A389)*(LEN(EDW_RAW!$U$2:$U$1500)&gt;0))&gt;0,"부분","X")))</f>
        <v/>
      </c>
      <c r="D389" s="5">
        <f>IFERROR(MAX(FILTER(소재DB_RAW!$AK$3:$AK$2000,(소재DB_RAW!$G$3:$G$2000=$A389)*ISERROR(SEARCH("drop",소재DB_RAW!$C$3:$C$2000))*(소재DB_RAW!$AK$3:$AK$2000&lt;&gt;""))),"")</f>
        <v/>
      </c>
      <c r="E389" s="4">
        <f>IF($D389="","",TEXT($D389,"yyyy-mm-dd"))</f>
        <v/>
      </c>
    </row>
    <row r="390">
      <c r="A390" s="4" t="inlineStr">
        <is>
          <t>TLJJM27703</t>
        </is>
      </c>
      <c r="B390" s="4">
        <f>IF(COUNTIF(EDW_RAW!$A$2:$A$1500,$A390)=0,"",IF(SUMPRODUCT((EDW_RAW!$A$2:$A$1500=$A390)*(LEN(EDW_RAW!$R$2:$R$1500)&gt;0))=COUNTIF(EDW_RAW!$A$2:$A$1500,$A390),"O",IF(SUMPRODUCT((EDW_RAW!$A$2:$A$1500=$A390)*(LEN(EDW_RAW!$R$2:$R$1500)&gt;0))&gt;0,"부분","X")))</f>
        <v/>
      </c>
      <c r="C390" s="4">
        <f>IF(COUNTIF(EDW_RAW!$A$2:$A$1500,$A390)=0,"",IF(SUMPRODUCT((EDW_RAW!$A$2:$A$1500=$A390)*(LEN(EDW_RAW!$U$2:$U$1500)&gt;0))=COUNTIF(EDW_RAW!$A$2:$A$1500,$A390),"O",IF(SUMPRODUCT((EDW_RAW!$A$2:$A$1500=$A390)*(LEN(EDW_RAW!$U$2:$U$1500)&gt;0))&gt;0,"부분","X")))</f>
        <v/>
      </c>
      <c r="D390" s="5">
        <f>IFERROR(MAX(FILTER(소재DB_RAW!$AK$3:$AK$2000,(소재DB_RAW!$G$3:$G$2000=$A390)*ISERROR(SEARCH("drop",소재DB_RAW!$C$3:$C$2000))*(소재DB_RAW!$AK$3:$AK$2000&lt;&gt;""))),"")</f>
        <v/>
      </c>
      <c r="E390" s="4">
        <f>IF($D390="","",TEXT($D390,"yyyy-mm-dd"))</f>
        <v/>
      </c>
    </row>
    <row r="391">
      <c r="A391" s="4" t="inlineStr">
        <is>
          <t>TLTCM27711</t>
        </is>
      </c>
      <c r="B391" s="4">
        <f>IF(COUNTIF(EDW_RAW!$A$2:$A$1500,$A391)=0,"",IF(SUMPRODUCT((EDW_RAW!$A$2:$A$1500=$A391)*(LEN(EDW_RAW!$R$2:$R$1500)&gt;0))=COUNTIF(EDW_RAW!$A$2:$A$1500,$A391),"O",IF(SUMPRODUCT((EDW_RAW!$A$2:$A$1500=$A391)*(LEN(EDW_RAW!$R$2:$R$1500)&gt;0))&gt;0,"부분","X")))</f>
        <v/>
      </c>
      <c r="C391" s="4">
        <f>IF(COUNTIF(EDW_RAW!$A$2:$A$1500,$A391)=0,"",IF(SUMPRODUCT((EDW_RAW!$A$2:$A$1500=$A391)*(LEN(EDW_RAW!$U$2:$U$1500)&gt;0))=COUNTIF(EDW_RAW!$A$2:$A$1500,$A391),"O",IF(SUMPRODUCT((EDW_RAW!$A$2:$A$1500=$A391)*(LEN(EDW_RAW!$U$2:$U$1500)&gt;0))&gt;0,"부분","X")))</f>
        <v/>
      </c>
      <c r="D391" s="5">
        <f>IFERROR(MAX(FILTER(소재DB_RAW!$AK$3:$AK$2000,(소재DB_RAW!$G$3:$G$2000=$A391)*ISERROR(SEARCH("drop",소재DB_RAW!$C$3:$C$2000))*(소재DB_RAW!$AK$3:$AK$2000&lt;&gt;""))),"")</f>
        <v/>
      </c>
      <c r="E391" s="4">
        <f>IF($D391="","",TEXT($D391,"yyyy-mm-dd"))</f>
        <v/>
      </c>
    </row>
    <row r="392">
      <c r="A392" s="4" t="inlineStr">
        <is>
          <t>TLTCM27721</t>
        </is>
      </c>
      <c r="B392" s="4">
        <f>IF(COUNTIF(EDW_RAW!$A$2:$A$1500,$A392)=0,"",IF(SUMPRODUCT((EDW_RAW!$A$2:$A$1500=$A392)*(LEN(EDW_RAW!$R$2:$R$1500)&gt;0))=COUNTIF(EDW_RAW!$A$2:$A$1500,$A392),"O",IF(SUMPRODUCT((EDW_RAW!$A$2:$A$1500=$A392)*(LEN(EDW_RAW!$R$2:$R$1500)&gt;0))&gt;0,"부분","X")))</f>
        <v/>
      </c>
      <c r="C392" s="4">
        <f>IF(COUNTIF(EDW_RAW!$A$2:$A$1500,$A392)=0,"",IF(SUMPRODUCT((EDW_RAW!$A$2:$A$1500=$A392)*(LEN(EDW_RAW!$U$2:$U$1500)&gt;0))=COUNTIF(EDW_RAW!$A$2:$A$1500,$A392),"O",IF(SUMPRODUCT((EDW_RAW!$A$2:$A$1500=$A392)*(LEN(EDW_RAW!$U$2:$U$1500)&gt;0))&gt;0,"부분","X")))</f>
        <v/>
      </c>
      <c r="D392" s="5">
        <f>IFERROR(MAX(FILTER(소재DB_RAW!$AK$3:$AK$2000,(소재DB_RAW!$G$3:$G$2000=$A392)*ISERROR(SEARCH("drop",소재DB_RAW!$C$3:$C$2000))*(소재DB_RAW!$AK$3:$AK$2000&lt;&gt;""))),"")</f>
        <v/>
      </c>
      <c r="E392" s="4">
        <f>IF($D392="","",TEXT($D392,"yyyy-mm-dd"))</f>
        <v/>
      </c>
    </row>
    <row r="393">
      <c r="A393" s="4" t="inlineStr">
        <is>
          <t>TLTCM27723</t>
        </is>
      </c>
      <c r="B393" s="4">
        <f>IF(COUNTIF(EDW_RAW!$A$2:$A$1500,$A393)=0,"",IF(SUMPRODUCT((EDW_RAW!$A$2:$A$1500=$A393)*(LEN(EDW_RAW!$R$2:$R$1500)&gt;0))=COUNTIF(EDW_RAW!$A$2:$A$1500,$A393),"O",IF(SUMPRODUCT((EDW_RAW!$A$2:$A$1500=$A393)*(LEN(EDW_RAW!$R$2:$R$1500)&gt;0))&gt;0,"부분","X")))</f>
        <v/>
      </c>
      <c r="C393" s="4">
        <f>IF(COUNTIF(EDW_RAW!$A$2:$A$1500,$A393)=0,"",IF(SUMPRODUCT((EDW_RAW!$A$2:$A$1500=$A393)*(LEN(EDW_RAW!$U$2:$U$1500)&gt;0))=COUNTIF(EDW_RAW!$A$2:$A$1500,$A393),"O",IF(SUMPRODUCT((EDW_RAW!$A$2:$A$1500=$A393)*(LEN(EDW_RAW!$U$2:$U$1500)&gt;0))&gt;0,"부분","X")))</f>
        <v/>
      </c>
      <c r="D393" s="5">
        <f>IFERROR(MAX(FILTER(소재DB_RAW!$AK$3:$AK$2000,(소재DB_RAW!$G$3:$G$2000=$A393)*ISERROR(SEARCH("drop",소재DB_RAW!$C$3:$C$2000))*(소재DB_RAW!$AK$3:$AK$2000&lt;&gt;""))),"")</f>
        <v/>
      </c>
      <c r="E393" s="4">
        <f>IF($D393="","",TEXT($D393,"yyyy-mm-dd"))</f>
        <v/>
      </c>
    </row>
    <row r="394">
      <c r="A394" s="4" t="inlineStr">
        <is>
          <t>TLPOM27731</t>
        </is>
      </c>
      <c r="B394" s="4">
        <f>IF(COUNTIF(EDW_RAW!$A$2:$A$1500,$A394)=0,"",IF(SUMPRODUCT((EDW_RAW!$A$2:$A$1500=$A394)*(LEN(EDW_RAW!$R$2:$R$1500)&gt;0))=COUNTIF(EDW_RAW!$A$2:$A$1500,$A394),"O",IF(SUMPRODUCT((EDW_RAW!$A$2:$A$1500=$A394)*(LEN(EDW_RAW!$R$2:$R$1500)&gt;0))&gt;0,"부분","X")))</f>
        <v/>
      </c>
      <c r="C394" s="4">
        <f>IF(COUNTIF(EDW_RAW!$A$2:$A$1500,$A394)=0,"",IF(SUMPRODUCT((EDW_RAW!$A$2:$A$1500=$A394)*(LEN(EDW_RAW!$U$2:$U$1500)&gt;0))=COUNTIF(EDW_RAW!$A$2:$A$1500,$A394),"O",IF(SUMPRODUCT((EDW_RAW!$A$2:$A$1500=$A394)*(LEN(EDW_RAW!$U$2:$U$1500)&gt;0))&gt;0,"부분","X")))</f>
        <v/>
      </c>
      <c r="D394" s="5">
        <f>IFERROR(MAX(FILTER(소재DB_RAW!$AK$3:$AK$2000,(소재DB_RAW!$G$3:$G$2000=$A394)*ISERROR(SEARCH("drop",소재DB_RAW!$C$3:$C$2000))*(소재DB_RAW!$AK$3:$AK$2000&lt;&gt;""))),"")</f>
        <v/>
      </c>
      <c r="E394" s="4">
        <f>IF($D394="","",TEXT($D394,"yyyy-mm-dd"))</f>
        <v/>
      </c>
    </row>
    <row r="395">
      <c r="A395" s="4" t="inlineStr">
        <is>
          <t>TLPOM27733</t>
        </is>
      </c>
      <c r="B395" s="4">
        <f>IF(COUNTIF(EDW_RAW!$A$2:$A$1500,$A395)=0,"",IF(SUMPRODUCT((EDW_RAW!$A$2:$A$1500=$A395)*(LEN(EDW_RAW!$R$2:$R$1500)&gt;0))=COUNTIF(EDW_RAW!$A$2:$A$1500,$A395),"O",IF(SUMPRODUCT((EDW_RAW!$A$2:$A$1500=$A395)*(LEN(EDW_RAW!$R$2:$R$1500)&gt;0))&gt;0,"부분","X")))</f>
        <v/>
      </c>
      <c r="C395" s="4">
        <f>IF(COUNTIF(EDW_RAW!$A$2:$A$1500,$A395)=0,"",IF(SUMPRODUCT((EDW_RAW!$A$2:$A$1500=$A395)*(LEN(EDW_RAW!$U$2:$U$1500)&gt;0))=COUNTIF(EDW_RAW!$A$2:$A$1500,$A395),"O",IF(SUMPRODUCT((EDW_RAW!$A$2:$A$1500=$A395)*(LEN(EDW_RAW!$U$2:$U$1500)&gt;0))&gt;0,"부분","X")))</f>
        <v/>
      </c>
      <c r="D395" s="5">
        <f>IFERROR(MAX(FILTER(소재DB_RAW!$AK$3:$AK$2000,(소재DB_RAW!$G$3:$G$2000=$A395)*ISERROR(SEARCH("drop",소재DB_RAW!$C$3:$C$2000))*(소재DB_RAW!$AK$3:$AK$2000&lt;&gt;""))),"")</f>
        <v/>
      </c>
      <c r="E395" s="4">
        <f>IF($D395="","",TEXT($D395,"yyyy-mm-dd"))</f>
        <v/>
      </c>
    </row>
    <row r="396">
      <c r="A396" s="4" t="inlineStr">
        <is>
          <t>TLPOM27735</t>
        </is>
      </c>
      <c r="B396" s="4">
        <f>IF(COUNTIF(EDW_RAW!$A$2:$A$1500,$A396)=0,"",IF(SUMPRODUCT((EDW_RAW!$A$2:$A$1500=$A396)*(LEN(EDW_RAW!$R$2:$R$1500)&gt;0))=COUNTIF(EDW_RAW!$A$2:$A$1500,$A396),"O",IF(SUMPRODUCT((EDW_RAW!$A$2:$A$1500=$A396)*(LEN(EDW_RAW!$R$2:$R$1500)&gt;0))&gt;0,"부분","X")))</f>
        <v/>
      </c>
      <c r="C396" s="4">
        <f>IF(COUNTIF(EDW_RAW!$A$2:$A$1500,$A396)=0,"",IF(SUMPRODUCT((EDW_RAW!$A$2:$A$1500=$A396)*(LEN(EDW_RAW!$U$2:$U$1500)&gt;0))=COUNTIF(EDW_RAW!$A$2:$A$1500,$A396),"O",IF(SUMPRODUCT((EDW_RAW!$A$2:$A$1500=$A396)*(LEN(EDW_RAW!$U$2:$U$1500)&gt;0))&gt;0,"부분","X")))</f>
        <v/>
      </c>
      <c r="D396" s="5">
        <f>IFERROR(MAX(FILTER(소재DB_RAW!$AK$3:$AK$2000,(소재DB_RAW!$G$3:$G$2000=$A396)*ISERROR(SEARCH("drop",소재DB_RAW!$C$3:$C$2000))*(소재DB_RAW!$AK$3:$AK$2000&lt;&gt;""))),"")</f>
        <v/>
      </c>
      <c r="E396" s="4">
        <f>IF($D396="","",TEXT($D396,"yyyy-mm-dd"))</f>
        <v/>
      </c>
    </row>
    <row r="397">
      <c r="A397" s="4" t="inlineStr">
        <is>
          <t>TVJJM27702</t>
        </is>
      </c>
      <c r="B397" s="4">
        <f>IF(COUNTIF(EDW_RAW!$A$2:$A$1500,$A397)=0,"",IF(SUMPRODUCT((EDW_RAW!$A$2:$A$1500=$A397)*(LEN(EDW_RAW!$R$2:$R$1500)&gt;0))=COUNTIF(EDW_RAW!$A$2:$A$1500,$A397),"O",IF(SUMPRODUCT((EDW_RAW!$A$2:$A$1500=$A397)*(LEN(EDW_RAW!$R$2:$R$1500)&gt;0))&gt;0,"부분","X")))</f>
        <v/>
      </c>
      <c r="C397" s="4">
        <f>IF(COUNTIF(EDW_RAW!$A$2:$A$1500,$A397)=0,"",IF(SUMPRODUCT((EDW_RAW!$A$2:$A$1500=$A397)*(LEN(EDW_RAW!$U$2:$U$1500)&gt;0))=COUNTIF(EDW_RAW!$A$2:$A$1500,$A397),"O",IF(SUMPRODUCT((EDW_RAW!$A$2:$A$1500=$A397)*(LEN(EDW_RAW!$U$2:$U$1500)&gt;0))&gt;0,"부분","X")))</f>
        <v/>
      </c>
      <c r="D397" s="5">
        <f>IFERROR(MAX(FILTER(소재DB_RAW!$AK$3:$AK$2000,(소재DB_RAW!$G$3:$G$2000=$A397)*ISERROR(SEARCH("drop",소재DB_RAW!$C$3:$C$2000))*(소재DB_RAW!$AK$3:$AK$2000&lt;&gt;""))),"")</f>
        <v/>
      </c>
      <c r="E397" s="4">
        <f>IF($D397="","",TEXT($D397,"yyyy-mm-dd"))</f>
        <v/>
      </c>
    </row>
    <row r="398">
      <c r="A398" s="4" t="inlineStr">
        <is>
          <t>TVJJM27704</t>
        </is>
      </c>
      <c r="B398" s="4">
        <f>IF(COUNTIF(EDW_RAW!$A$2:$A$1500,$A398)=0,"",IF(SUMPRODUCT((EDW_RAW!$A$2:$A$1500=$A398)*(LEN(EDW_RAW!$R$2:$R$1500)&gt;0))=COUNTIF(EDW_RAW!$A$2:$A$1500,$A398),"O",IF(SUMPRODUCT((EDW_RAW!$A$2:$A$1500=$A398)*(LEN(EDW_RAW!$R$2:$R$1500)&gt;0))&gt;0,"부분","X")))</f>
        <v/>
      </c>
      <c r="C398" s="4">
        <f>IF(COUNTIF(EDW_RAW!$A$2:$A$1500,$A398)=0,"",IF(SUMPRODUCT((EDW_RAW!$A$2:$A$1500=$A398)*(LEN(EDW_RAW!$U$2:$U$1500)&gt;0))=COUNTIF(EDW_RAW!$A$2:$A$1500,$A398),"O",IF(SUMPRODUCT((EDW_RAW!$A$2:$A$1500=$A398)*(LEN(EDW_RAW!$U$2:$U$1500)&gt;0))&gt;0,"부분","X")))</f>
        <v/>
      </c>
      <c r="D398" s="5">
        <f>IFERROR(MAX(FILTER(소재DB_RAW!$AK$3:$AK$2000,(소재DB_RAW!$G$3:$G$2000=$A398)*ISERROR(SEARCH("drop",소재DB_RAW!$C$3:$C$2000))*(소재DB_RAW!$AK$3:$AK$2000&lt;&gt;""))),"")</f>
        <v/>
      </c>
      <c r="E398" s="4">
        <f>IF($D398="","",TEXT($D398,"yyyy-mm-dd"))</f>
        <v/>
      </c>
    </row>
    <row r="399">
      <c r="A399" s="4" t="inlineStr">
        <is>
          <t>TVTCM27712</t>
        </is>
      </c>
      <c r="B399" s="4">
        <f>IF(COUNTIF(EDW_RAW!$A$2:$A$1500,$A399)=0,"",IF(SUMPRODUCT((EDW_RAW!$A$2:$A$1500=$A399)*(LEN(EDW_RAW!$R$2:$R$1500)&gt;0))=COUNTIF(EDW_RAW!$A$2:$A$1500,$A399),"O",IF(SUMPRODUCT((EDW_RAW!$A$2:$A$1500=$A399)*(LEN(EDW_RAW!$R$2:$R$1500)&gt;0))&gt;0,"부분","X")))</f>
        <v/>
      </c>
      <c r="C399" s="4">
        <f>IF(COUNTIF(EDW_RAW!$A$2:$A$1500,$A399)=0,"",IF(SUMPRODUCT((EDW_RAW!$A$2:$A$1500=$A399)*(LEN(EDW_RAW!$U$2:$U$1500)&gt;0))=COUNTIF(EDW_RAW!$A$2:$A$1500,$A399),"O",IF(SUMPRODUCT((EDW_RAW!$A$2:$A$1500=$A399)*(LEN(EDW_RAW!$U$2:$U$1500)&gt;0))&gt;0,"부분","X")))</f>
        <v/>
      </c>
      <c r="D399" s="5">
        <f>IFERROR(MAX(FILTER(소재DB_RAW!$AK$3:$AK$2000,(소재DB_RAW!$G$3:$G$2000=$A399)*ISERROR(SEARCH("drop",소재DB_RAW!$C$3:$C$2000))*(소재DB_RAW!$AK$3:$AK$2000&lt;&gt;""))),"")</f>
        <v/>
      </c>
      <c r="E399" s="4">
        <f>IF($D399="","",TEXT($D399,"yyyy-mm-dd"))</f>
        <v/>
      </c>
    </row>
    <row r="400">
      <c r="A400" s="4" t="inlineStr">
        <is>
          <t>TVTCM27714</t>
        </is>
      </c>
      <c r="B400" s="4">
        <f>IF(COUNTIF(EDW_RAW!$A$2:$A$1500,$A400)=0,"",IF(SUMPRODUCT((EDW_RAW!$A$2:$A$1500=$A400)*(LEN(EDW_RAW!$R$2:$R$1500)&gt;0))=COUNTIF(EDW_RAW!$A$2:$A$1500,$A400),"O",IF(SUMPRODUCT((EDW_RAW!$A$2:$A$1500=$A400)*(LEN(EDW_RAW!$R$2:$R$1500)&gt;0))&gt;0,"부분","X")))</f>
        <v/>
      </c>
      <c r="C400" s="4">
        <f>IF(COUNTIF(EDW_RAW!$A$2:$A$1500,$A400)=0,"",IF(SUMPRODUCT((EDW_RAW!$A$2:$A$1500=$A400)*(LEN(EDW_RAW!$U$2:$U$1500)&gt;0))=COUNTIF(EDW_RAW!$A$2:$A$1500,$A400),"O",IF(SUMPRODUCT((EDW_RAW!$A$2:$A$1500=$A400)*(LEN(EDW_RAW!$U$2:$U$1500)&gt;0))&gt;0,"부분","X")))</f>
        <v/>
      </c>
      <c r="D400" s="5">
        <f>IFERROR(MAX(FILTER(소재DB_RAW!$AK$3:$AK$2000,(소재DB_RAW!$G$3:$G$2000=$A400)*ISERROR(SEARCH("drop",소재DB_RAW!$C$3:$C$2000))*(소재DB_RAW!$AK$3:$AK$2000&lt;&gt;""))),"")</f>
        <v/>
      </c>
      <c r="E400" s="4">
        <f>IF($D400="","",TEXT($D400,"yyyy-mm-dd"))</f>
        <v/>
      </c>
    </row>
    <row r="401">
      <c r="A401" s="4" t="inlineStr">
        <is>
          <t>TVTCM27722</t>
        </is>
      </c>
      <c r="B401" s="4">
        <f>IF(COUNTIF(EDW_RAW!$A$2:$A$1500,$A401)=0,"",IF(SUMPRODUCT((EDW_RAW!$A$2:$A$1500=$A401)*(LEN(EDW_RAW!$R$2:$R$1500)&gt;0))=COUNTIF(EDW_RAW!$A$2:$A$1500,$A401),"O",IF(SUMPRODUCT((EDW_RAW!$A$2:$A$1500=$A401)*(LEN(EDW_RAW!$R$2:$R$1500)&gt;0))&gt;0,"부분","X")))</f>
        <v/>
      </c>
      <c r="C401" s="4">
        <f>IF(COUNTIF(EDW_RAW!$A$2:$A$1500,$A401)=0,"",IF(SUMPRODUCT((EDW_RAW!$A$2:$A$1500=$A401)*(LEN(EDW_RAW!$U$2:$U$1500)&gt;0))=COUNTIF(EDW_RAW!$A$2:$A$1500,$A401),"O",IF(SUMPRODUCT((EDW_RAW!$A$2:$A$1500=$A401)*(LEN(EDW_RAW!$U$2:$U$1500)&gt;0))&gt;0,"부분","X")))</f>
        <v/>
      </c>
      <c r="D401" s="5">
        <f>IFERROR(MAX(FILTER(소재DB_RAW!$AK$3:$AK$2000,(소재DB_RAW!$G$3:$G$2000=$A401)*ISERROR(SEARCH("drop",소재DB_RAW!$C$3:$C$2000))*(소재DB_RAW!$AK$3:$AK$2000&lt;&gt;""))),"")</f>
        <v/>
      </c>
      <c r="E401" s="4">
        <f>IF($D401="","",TEXT($D401,"yyyy-mm-dd"))</f>
        <v/>
      </c>
    </row>
    <row r="402">
      <c r="A402" s="4" t="inlineStr">
        <is>
          <t>TVTCM27724</t>
        </is>
      </c>
      <c r="B402" s="4">
        <f>IF(COUNTIF(EDW_RAW!$A$2:$A$1500,$A402)=0,"",IF(SUMPRODUCT((EDW_RAW!$A$2:$A$1500=$A402)*(LEN(EDW_RAW!$R$2:$R$1500)&gt;0))=COUNTIF(EDW_RAW!$A$2:$A$1500,$A402),"O",IF(SUMPRODUCT((EDW_RAW!$A$2:$A$1500=$A402)*(LEN(EDW_RAW!$R$2:$R$1500)&gt;0))&gt;0,"부분","X")))</f>
        <v/>
      </c>
      <c r="C402" s="4">
        <f>IF(COUNTIF(EDW_RAW!$A$2:$A$1500,$A402)=0,"",IF(SUMPRODUCT((EDW_RAW!$A$2:$A$1500=$A402)*(LEN(EDW_RAW!$U$2:$U$1500)&gt;0))=COUNTIF(EDW_RAW!$A$2:$A$1500,$A402),"O",IF(SUMPRODUCT((EDW_RAW!$A$2:$A$1500=$A402)*(LEN(EDW_RAW!$U$2:$U$1500)&gt;0))&gt;0,"부분","X")))</f>
        <v/>
      </c>
      <c r="D402" s="5">
        <f>IFERROR(MAX(FILTER(소재DB_RAW!$AK$3:$AK$2000,(소재DB_RAW!$G$3:$G$2000=$A402)*ISERROR(SEARCH("drop",소재DB_RAW!$C$3:$C$2000))*(소재DB_RAW!$AK$3:$AK$2000&lt;&gt;""))),"")</f>
        <v/>
      </c>
      <c r="E402" s="4">
        <f>IF($D402="","",TEXT($D402,"yyyy-mm-dd"))</f>
        <v/>
      </c>
    </row>
    <row r="403">
      <c r="A403" s="4" t="inlineStr">
        <is>
          <t>TVPOM27732</t>
        </is>
      </c>
      <c r="B403" s="4">
        <f>IF(COUNTIF(EDW_RAW!$A$2:$A$1500,$A403)=0,"",IF(SUMPRODUCT((EDW_RAW!$A$2:$A$1500=$A403)*(LEN(EDW_RAW!$R$2:$R$1500)&gt;0))=COUNTIF(EDW_RAW!$A$2:$A$1500,$A403),"O",IF(SUMPRODUCT((EDW_RAW!$A$2:$A$1500=$A403)*(LEN(EDW_RAW!$R$2:$R$1500)&gt;0))&gt;0,"부분","X")))</f>
        <v/>
      </c>
      <c r="C403" s="4">
        <f>IF(COUNTIF(EDW_RAW!$A$2:$A$1500,$A403)=0,"",IF(SUMPRODUCT((EDW_RAW!$A$2:$A$1500=$A403)*(LEN(EDW_RAW!$U$2:$U$1500)&gt;0))=COUNTIF(EDW_RAW!$A$2:$A$1500,$A403),"O",IF(SUMPRODUCT((EDW_RAW!$A$2:$A$1500=$A403)*(LEN(EDW_RAW!$U$2:$U$1500)&gt;0))&gt;0,"부분","X")))</f>
        <v/>
      </c>
      <c r="D403" s="5">
        <f>IFERROR(MAX(FILTER(소재DB_RAW!$AK$3:$AK$2000,(소재DB_RAW!$G$3:$G$2000=$A403)*ISERROR(SEARCH("drop",소재DB_RAW!$C$3:$C$2000))*(소재DB_RAW!$AK$3:$AK$2000&lt;&gt;""))),"")</f>
        <v/>
      </c>
      <c r="E403" s="4">
        <f>IF($D403="","",TEXT($D403,"yyyy-mm-dd"))</f>
        <v/>
      </c>
    </row>
    <row r="404">
      <c r="A404" s="4" t="inlineStr">
        <is>
          <t>TVPOM27734</t>
        </is>
      </c>
      <c r="B404" s="4">
        <f>IF(COUNTIF(EDW_RAW!$A$2:$A$1500,$A404)=0,"",IF(SUMPRODUCT((EDW_RAW!$A$2:$A$1500=$A404)*(LEN(EDW_RAW!$R$2:$R$1500)&gt;0))=COUNTIF(EDW_RAW!$A$2:$A$1500,$A404),"O",IF(SUMPRODUCT((EDW_RAW!$A$2:$A$1500=$A404)*(LEN(EDW_RAW!$R$2:$R$1500)&gt;0))&gt;0,"부분","X")))</f>
        <v/>
      </c>
      <c r="C404" s="4">
        <f>IF(COUNTIF(EDW_RAW!$A$2:$A$1500,$A404)=0,"",IF(SUMPRODUCT((EDW_RAW!$A$2:$A$1500=$A404)*(LEN(EDW_RAW!$U$2:$U$1500)&gt;0))=COUNTIF(EDW_RAW!$A$2:$A$1500,$A404),"O",IF(SUMPRODUCT((EDW_RAW!$A$2:$A$1500=$A404)*(LEN(EDW_RAW!$U$2:$U$1500)&gt;0))&gt;0,"부분","X")))</f>
        <v/>
      </c>
      <c r="D404" s="5">
        <f>IFERROR(MAX(FILTER(소재DB_RAW!$AK$3:$AK$2000,(소재DB_RAW!$G$3:$G$2000=$A404)*ISERROR(SEARCH("drop",소재DB_RAW!$C$3:$C$2000))*(소재DB_RAW!$AK$3:$AK$2000&lt;&gt;""))),"")</f>
        <v/>
      </c>
      <c r="E404" s="4">
        <f>IF($D404="","",TEXT($D404,"yyyy-mm-dd"))</f>
        <v/>
      </c>
    </row>
    <row r="405">
      <c r="A405" s="4" t="inlineStr">
        <is>
          <t>TVPOM27736</t>
        </is>
      </c>
      <c r="B405" s="4">
        <f>IF(COUNTIF(EDW_RAW!$A$2:$A$1500,$A405)=0,"",IF(SUMPRODUCT((EDW_RAW!$A$2:$A$1500=$A405)*(LEN(EDW_RAW!$R$2:$R$1500)&gt;0))=COUNTIF(EDW_RAW!$A$2:$A$1500,$A405),"O",IF(SUMPRODUCT((EDW_RAW!$A$2:$A$1500=$A405)*(LEN(EDW_RAW!$R$2:$R$1500)&gt;0))&gt;0,"부분","X")))</f>
        <v/>
      </c>
      <c r="C405" s="4">
        <f>IF(COUNTIF(EDW_RAW!$A$2:$A$1500,$A405)=0,"",IF(SUMPRODUCT((EDW_RAW!$A$2:$A$1500=$A405)*(LEN(EDW_RAW!$U$2:$U$1500)&gt;0))=COUNTIF(EDW_RAW!$A$2:$A$1500,$A405),"O",IF(SUMPRODUCT((EDW_RAW!$A$2:$A$1500=$A405)*(LEN(EDW_RAW!$U$2:$U$1500)&gt;0))&gt;0,"부분","X")))</f>
        <v/>
      </c>
      <c r="D405" s="5">
        <f>IFERROR(MAX(FILTER(소재DB_RAW!$AK$3:$AK$2000,(소재DB_RAW!$G$3:$G$2000=$A405)*ISERROR(SEARCH("drop",소재DB_RAW!$C$3:$C$2000))*(소재DB_RAW!$AK$3:$AK$2000&lt;&gt;""))),"")</f>
        <v/>
      </c>
      <c r="E405" s="4">
        <f>IF($D405="","",TEXT($D405,"yyyy-mm-dd"))</f>
        <v/>
      </c>
    </row>
    <row r="406">
      <c r="A406" s="4" t="inlineStr">
        <is>
          <t>JWPNS27101</t>
        </is>
      </c>
      <c r="B406" s="4">
        <f>IF(COUNTIF(EDW_RAW!$A$2:$A$1500,$A406)=0,"",IF(SUMPRODUCT((EDW_RAW!$A$2:$A$1500=$A406)*(LEN(EDW_RAW!$R$2:$R$1500)&gt;0))=COUNTIF(EDW_RAW!$A$2:$A$1500,$A406),"O",IF(SUMPRODUCT((EDW_RAW!$A$2:$A$1500=$A406)*(LEN(EDW_RAW!$R$2:$R$1500)&gt;0))&gt;0,"부분","X")))</f>
        <v/>
      </c>
      <c r="C406" s="4">
        <f>IF(COUNTIF(EDW_RAW!$A$2:$A$1500,$A406)=0,"",IF(SUMPRODUCT((EDW_RAW!$A$2:$A$1500=$A406)*(LEN(EDW_RAW!$U$2:$U$1500)&gt;0))=COUNTIF(EDW_RAW!$A$2:$A$1500,$A406),"O",IF(SUMPRODUCT((EDW_RAW!$A$2:$A$1500=$A406)*(LEN(EDW_RAW!$U$2:$U$1500)&gt;0))&gt;0,"부분","X")))</f>
        <v/>
      </c>
      <c r="D406" s="5">
        <f>IFERROR(MAX(FILTER(소재DB_RAW!$AK$3:$AK$2000,(소재DB_RAW!$G$3:$G$2000=$A406)*ISERROR(SEARCH("drop",소재DB_RAW!$C$3:$C$2000))*(소재DB_RAW!$AK$3:$AK$2000&lt;&gt;""))),"")</f>
        <v/>
      </c>
      <c r="E406" s="4">
        <f>IF($D406="","",TEXT($D406,"yyyy-mm-dd"))</f>
        <v/>
      </c>
    </row>
    <row r="407">
      <c r="A407" s="4" t="inlineStr">
        <is>
          <t>JWPNS27103</t>
        </is>
      </c>
      <c r="B407" s="4">
        <f>IF(COUNTIF(EDW_RAW!$A$2:$A$1500,$A407)=0,"",IF(SUMPRODUCT((EDW_RAW!$A$2:$A$1500=$A407)*(LEN(EDW_RAW!$R$2:$R$1500)&gt;0))=COUNTIF(EDW_RAW!$A$2:$A$1500,$A407),"O",IF(SUMPRODUCT((EDW_RAW!$A$2:$A$1500=$A407)*(LEN(EDW_RAW!$R$2:$R$1500)&gt;0))&gt;0,"부분","X")))</f>
        <v/>
      </c>
      <c r="C407" s="4">
        <f>IF(COUNTIF(EDW_RAW!$A$2:$A$1500,$A407)=0,"",IF(SUMPRODUCT((EDW_RAW!$A$2:$A$1500=$A407)*(LEN(EDW_RAW!$U$2:$U$1500)&gt;0))=COUNTIF(EDW_RAW!$A$2:$A$1500,$A407),"O",IF(SUMPRODUCT((EDW_RAW!$A$2:$A$1500=$A407)*(LEN(EDW_RAW!$U$2:$U$1500)&gt;0))&gt;0,"부분","X")))</f>
        <v/>
      </c>
      <c r="D407" s="5">
        <f>IFERROR(MAX(FILTER(소재DB_RAW!$AK$3:$AK$2000,(소재DB_RAW!$G$3:$G$2000=$A407)*ISERROR(SEARCH("drop",소재DB_RAW!$C$3:$C$2000))*(소재DB_RAW!$AK$3:$AK$2000&lt;&gt;""))),"")</f>
        <v/>
      </c>
      <c r="E407" s="4">
        <f>IF($D407="","",TEXT($D407,"yyyy-mm-dd"))</f>
        <v/>
      </c>
    </row>
    <row r="408">
      <c r="A408" s="4" t="inlineStr">
        <is>
          <t>JWPNS27113</t>
        </is>
      </c>
      <c r="B408" s="4">
        <f>IF(COUNTIF(EDW_RAW!$A$2:$A$1500,$A408)=0,"",IF(SUMPRODUCT((EDW_RAW!$A$2:$A$1500=$A408)*(LEN(EDW_RAW!$R$2:$R$1500)&gt;0))=COUNTIF(EDW_RAW!$A$2:$A$1500,$A408),"O",IF(SUMPRODUCT((EDW_RAW!$A$2:$A$1500=$A408)*(LEN(EDW_RAW!$R$2:$R$1500)&gt;0))&gt;0,"부분","X")))</f>
        <v/>
      </c>
      <c r="C408" s="4">
        <f>IF(COUNTIF(EDW_RAW!$A$2:$A$1500,$A408)=0,"",IF(SUMPRODUCT((EDW_RAW!$A$2:$A$1500=$A408)*(LEN(EDW_RAW!$U$2:$U$1500)&gt;0))=COUNTIF(EDW_RAW!$A$2:$A$1500,$A408),"O",IF(SUMPRODUCT((EDW_RAW!$A$2:$A$1500=$A408)*(LEN(EDW_RAW!$U$2:$U$1500)&gt;0))&gt;0,"부분","X")))</f>
        <v/>
      </c>
      <c r="D408" s="5">
        <f>IFERROR(MAX(FILTER(소재DB_RAW!$AK$3:$AK$2000,(소재DB_RAW!$G$3:$G$2000=$A408)*ISERROR(SEARCH("drop",소재DB_RAW!$C$3:$C$2000))*(소재DB_RAW!$AK$3:$AK$2000&lt;&gt;""))),"")</f>
        <v/>
      </c>
      <c r="E408" s="4">
        <f>IF($D408="","",TEXT($D408,"yyyy-mm-dd"))</f>
        <v/>
      </c>
    </row>
    <row r="409">
      <c r="A409" s="4" t="inlineStr">
        <is>
          <t>JWSXS27135</t>
        </is>
      </c>
      <c r="B409" s="4">
        <f>IF(COUNTIF(EDW_RAW!$A$2:$A$1500,$A409)=0,"",IF(SUMPRODUCT((EDW_RAW!$A$2:$A$1500=$A409)*(LEN(EDW_RAW!$R$2:$R$1500)&gt;0))=COUNTIF(EDW_RAW!$A$2:$A$1500,$A409),"O",IF(SUMPRODUCT((EDW_RAW!$A$2:$A$1500=$A409)*(LEN(EDW_RAW!$R$2:$R$1500)&gt;0))&gt;0,"부분","X")))</f>
        <v/>
      </c>
      <c r="C409" s="4">
        <f>IF(COUNTIF(EDW_RAW!$A$2:$A$1500,$A409)=0,"",IF(SUMPRODUCT((EDW_RAW!$A$2:$A$1500=$A409)*(LEN(EDW_RAW!$U$2:$U$1500)&gt;0))=COUNTIF(EDW_RAW!$A$2:$A$1500,$A409),"O",IF(SUMPRODUCT((EDW_RAW!$A$2:$A$1500=$A409)*(LEN(EDW_RAW!$U$2:$U$1500)&gt;0))&gt;0,"부분","X")))</f>
        <v/>
      </c>
      <c r="D409" s="5">
        <f>IFERROR(MAX(FILTER(소재DB_RAW!$AK$3:$AK$2000,(소재DB_RAW!$G$3:$G$2000=$A409)*ISERROR(SEARCH("drop",소재DB_RAW!$C$3:$C$2000))*(소재DB_RAW!$AK$3:$AK$2000&lt;&gt;""))),"")</f>
        <v/>
      </c>
      <c r="E409" s="4">
        <f>IF($D409="","",TEXT($D409,"yyyy-mm-dd"))</f>
        <v/>
      </c>
    </row>
    <row r="410">
      <c r="A410" s="4" t="inlineStr">
        <is>
          <t>JWSXM27181</t>
        </is>
      </c>
      <c r="B410" s="4">
        <f>IF(COUNTIF(EDW_RAW!$A$2:$A$1500,$A410)=0,"",IF(SUMPRODUCT((EDW_RAW!$A$2:$A$1500=$A410)*(LEN(EDW_RAW!$R$2:$R$1500)&gt;0))=COUNTIF(EDW_RAW!$A$2:$A$1500,$A410),"O",IF(SUMPRODUCT((EDW_RAW!$A$2:$A$1500=$A410)*(LEN(EDW_RAW!$R$2:$R$1500)&gt;0))&gt;0,"부분","X")))</f>
        <v/>
      </c>
      <c r="C410" s="4">
        <f>IF(COUNTIF(EDW_RAW!$A$2:$A$1500,$A410)=0,"",IF(SUMPRODUCT((EDW_RAW!$A$2:$A$1500=$A410)*(LEN(EDW_RAW!$U$2:$U$1500)&gt;0))=COUNTIF(EDW_RAW!$A$2:$A$1500,$A410),"O",IF(SUMPRODUCT((EDW_RAW!$A$2:$A$1500=$A410)*(LEN(EDW_RAW!$U$2:$U$1500)&gt;0))&gt;0,"부분","X")))</f>
        <v/>
      </c>
      <c r="D410" s="5">
        <f>IFERROR(MAX(FILTER(소재DB_RAW!$AK$3:$AK$2000,(소재DB_RAW!$G$3:$G$2000=$A410)*ISERROR(SEARCH("drop",소재DB_RAW!$C$3:$C$2000))*(소재DB_RAW!$AK$3:$AK$2000&lt;&gt;""))),"")</f>
        <v/>
      </c>
      <c r="E410" s="4">
        <f>IF($D410="","",TEXT($D410,"yyyy-mm-dd"))</f>
        <v/>
      </c>
    </row>
    <row r="411">
      <c r="A411" s="4" t="inlineStr">
        <is>
          <t>JWSCM27183</t>
        </is>
      </c>
      <c r="B411" s="4">
        <f>IF(COUNTIF(EDW_RAW!$A$2:$A$1500,$A411)=0,"",IF(SUMPRODUCT((EDW_RAW!$A$2:$A$1500=$A411)*(LEN(EDW_RAW!$R$2:$R$1500)&gt;0))=COUNTIF(EDW_RAW!$A$2:$A$1500,$A411),"O",IF(SUMPRODUCT((EDW_RAW!$A$2:$A$1500=$A411)*(LEN(EDW_RAW!$R$2:$R$1500)&gt;0))&gt;0,"부분","X")))</f>
        <v/>
      </c>
      <c r="C411" s="4">
        <f>IF(COUNTIF(EDW_RAW!$A$2:$A$1500,$A411)=0,"",IF(SUMPRODUCT((EDW_RAW!$A$2:$A$1500=$A411)*(LEN(EDW_RAW!$U$2:$U$1500)&gt;0))=COUNTIF(EDW_RAW!$A$2:$A$1500,$A411),"O",IF(SUMPRODUCT((EDW_RAW!$A$2:$A$1500=$A411)*(LEN(EDW_RAW!$U$2:$U$1500)&gt;0))&gt;0,"부분","X")))</f>
        <v/>
      </c>
      <c r="D411" s="5">
        <f>IFERROR(MAX(FILTER(소재DB_RAW!$AK$3:$AK$2000,(소재DB_RAW!$G$3:$G$2000=$A411)*ISERROR(SEARCH("drop",소재DB_RAW!$C$3:$C$2000))*(소재DB_RAW!$AK$3:$AK$2000&lt;&gt;""))),"")</f>
        <v/>
      </c>
      <c r="E411" s="4">
        <f>IF($D411="","",TEXT($D411,"yyyy-mm-dd"))</f>
        <v/>
      </c>
    </row>
    <row r="412">
      <c r="A412" s="4" t="inlineStr">
        <is>
          <t>JWPNM27137</t>
        </is>
      </c>
      <c r="B412" s="4">
        <f>IF(COUNTIF(EDW_RAW!$A$2:$A$1500,$A412)=0,"",IF(SUMPRODUCT((EDW_RAW!$A$2:$A$1500=$A412)*(LEN(EDW_RAW!$R$2:$R$1500)&gt;0))=COUNTIF(EDW_RAW!$A$2:$A$1500,$A412),"O",IF(SUMPRODUCT((EDW_RAW!$A$2:$A$1500=$A412)*(LEN(EDW_RAW!$R$2:$R$1500)&gt;0))&gt;0,"부분","X")))</f>
        <v/>
      </c>
      <c r="C412" s="4">
        <f>IF(COUNTIF(EDW_RAW!$A$2:$A$1500,$A412)=0,"",IF(SUMPRODUCT((EDW_RAW!$A$2:$A$1500=$A412)*(LEN(EDW_RAW!$U$2:$U$1500)&gt;0))=COUNTIF(EDW_RAW!$A$2:$A$1500,$A412),"O",IF(SUMPRODUCT((EDW_RAW!$A$2:$A$1500=$A412)*(LEN(EDW_RAW!$U$2:$U$1500)&gt;0))&gt;0,"부분","X")))</f>
        <v/>
      </c>
      <c r="D412" s="5">
        <f>IFERROR(MAX(FILTER(소재DB_RAW!$AK$3:$AK$2000,(소재DB_RAW!$G$3:$G$2000=$A412)*ISERROR(SEARCH("drop",소재DB_RAW!$C$3:$C$2000))*(소재DB_RAW!$AK$3:$AK$2000&lt;&gt;""))),"")</f>
        <v/>
      </c>
      <c r="E412" s="4">
        <f>IF($D412="","",TEXT($D412,"yyyy-mm-dd"))</f>
        <v/>
      </c>
    </row>
    <row r="413">
      <c r="A413" s="4" t="inlineStr">
        <is>
          <t>JWPNM27141</t>
        </is>
      </c>
      <c r="B413" s="4">
        <f>IF(COUNTIF(EDW_RAW!$A$2:$A$1500,$A413)=0,"",IF(SUMPRODUCT((EDW_RAW!$A$2:$A$1500=$A413)*(LEN(EDW_RAW!$R$2:$R$1500)&gt;0))=COUNTIF(EDW_RAW!$A$2:$A$1500,$A413),"O",IF(SUMPRODUCT((EDW_RAW!$A$2:$A$1500=$A413)*(LEN(EDW_RAW!$R$2:$R$1500)&gt;0))&gt;0,"부분","X")))</f>
        <v/>
      </c>
      <c r="C413" s="4">
        <f>IF(COUNTIF(EDW_RAW!$A$2:$A$1500,$A413)=0,"",IF(SUMPRODUCT((EDW_RAW!$A$2:$A$1500=$A413)*(LEN(EDW_RAW!$U$2:$U$1500)&gt;0))=COUNTIF(EDW_RAW!$A$2:$A$1500,$A413),"O",IF(SUMPRODUCT((EDW_RAW!$A$2:$A$1500=$A413)*(LEN(EDW_RAW!$U$2:$U$1500)&gt;0))&gt;0,"부분","X")))</f>
        <v/>
      </c>
      <c r="D413" s="5">
        <f>IFERROR(MAX(FILTER(소재DB_RAW!$AK$3:$AK$2000,(소재DB_RAW!$G$3:$G$2000=$A413)*ISERROR(SEARCH("drop",소재DB_RAW!$C$3:$C$2000))*(소재DB_RAW!$AK$3:$AK$2000&lt;&gt;""))),"")</f>
        <v/>
      </c>
      <c r="E413" s="4">
        <f>IF($D413="","",TEXT($D413,"yyyy-mm-dd"))</f>
        <v/>
      </c>
    </row>
    <row r="414">
      <c r="A414" s="4" t="inlineStr">
        <is>
          <t>JWPNM27151</t>
        </is>
      </c>
      <c r="B414" s="4">
        <f>IF(COUNTIF(EDW_RAW!$A$2:$A$1500,$A414)=0,"",IF(SUMPRODUCT((EDW_RAW!$A$2:$A$1500=$A414)*(LEN(EDW_RAW!$R$2:$R$1500)&gt;0))=COUNTIF(EDW_RAW!$A$2:$A$1500,$A414),"O",IF(SUMPRODUCT((EDW_RAW!$A$2:$A$1500=$A414)*(LEN(EDW_RAW!$R$2:$R$1500)&gt;0))&gt;0,"부분","X")))</f>
        <v/>
      </c>
      <c r="C414" s="4">
        <f>IF(COUNTIF(EDW_RAW!$A$2:$A$1500,$A414)=0,"",IF(SUMPRODUCT((EDW_RAW!$A$2:$A$1500=$A414)*(LEN(EDW_RAW!$U$2:$U$1500)&gt;0))=COUNTIF(EDW_RAW!$A$2:$A$1500,$A414),"O",IF(SUMPRODUCT((EDW_RAW!$A$2:$A$1500=$A414)*(LEN(EDW_RAW!$U$2:$U$1500)&gt;0))&gt;0,"부분","X")))</f>
        <v/>
      </c>
      <c r="D414" s="5">
        <f>IFERROR(MAX(FILTER(소재DB_RAW!$AK$3:$AK$2000,(소재DB_RAW!$G$3:$G$2000=$A414)*ISERROR(SEARCH("drop",소재DB_RAW!$C$3:$C$2000))*(소재DB_RAW!$AK$3:$AK$2000&lt;&gt;""))),"")</f>
        <v/>
      </c>
      <c r="E414" s="4">
        <f>IF($D414="","",TEXT($D414,"yyyy-mm-dd"))</f>
        <v/>
      </c>
    </row>
    <row r="415">
      <c r="A415" s="4" t="inlineStr">
        <is>
          <t>JWPNM27161</t>
        </is>
      </c>
      <c r="B415" s="4">
        <f>IF(COUNTIF(EDW_RAW!$A$2:$A$1500,$A415)=0,"",IF(SUMPRODUCT((EDW_RAW!$A$2:$A$1500=$A415)*(LEN(EDW_RAW!$R$2:$R$1500)&gt;0))=COUNTIF(EDW_RAW!$A$2:$A$1500,$A415),"O",IF(SUMPRODUCT((EDW_RAW!$A$2:$A$1500=$A415)*(LEN(EDW_RAW!$R$2:$R$1500)&gt;0))&gt;0,"부분","X")))</f>
        <v/>
      </c>
      <c r="C415" s="4">
        <f>IF(COUNTIF(EDW_RAW!$A$2:$A$1500,$A415)=0,"",IF(SUMPRODUCT((EDW_RAW!$A$2:$A$1500=$A415)*(LEN(EDW_RAW!$U$2:$U$1500)&gt;0))=COUNTIF(EDW_RAW!$A$2:$A$1500,$A415),"O",IF(SUMPRODUCT((EDW_RAW!$A$2:$A$1500=$A415)*(LEN(EDW_RAW!$U$2:$U$1500)&gt;0))&gt;0,"부분","X")))</f>
        <v/>
      </c>
      <c r="D415" s="5">
        <f>IFERROR(MAX(FILTER(소재DB_RAW!$AK$3:$AK$2000,(소재DB_RAW!$G$3:$G$2000=$A415)*ISERROR(SEARCH("drop",소재DB_RAW!$C$3:$C$2000))*(소재DB_RAW!$AK$3:$AK$2000&lt;&gt;""))),"")</f>
        <v/>
      </c>
      <c r="E415" s="4">
        <f>IF($D415="","",TEXT($D415,"yyyy-mm-dd"))</f>
        <v/>
      </c>
    </row>
    <row r="416">
      <c r="A416" s="4" t="inlineStr">
        <is>
          <t>JWPNM27171</t>
        </is>
      </c>
      <c r="B416" s="4">
        <f>IF(COUNTIF(EDW_RAW!$A$2:$A$1500,$A416)=0,"",IF(SUMPRODUCT((EDW_RAW!$A$2:$A$1500=$A416)*(LEN(EDW_RAW!$R$2:$R$1500)&gt;0))=COUNTIF(EDW_RAW!$A$2:$A$1500,$A416),"O",IF(SUMPRODUCT((EDW_RAW!$A$2:$A$1500=$A416)*(LEN(EDW_RAW!$R$2:$R$1500)&gt;0))&gt;0,"부분","X")))</f>
        <v/>
      </c>
      <c r="C416" s="4">
        <f>IF(COUNTIF(EDW_RAW!$A$2:$A$1500,$A416)=0,"",IF(SUMPRODUCT((EDW_RAW!$A$2:$A$1500=$A416)*(LEN(EDW_RAW!$U$2:$U$1500)&gt;0))=COUNTIF(EDW_RAW!$A$2:$A$1500,$A416),"O",IF(SUMPRODUCT((EDW_RAW!$A$2:$A$1500=$A416)*(LEN(EDW_RAW!$U$2:$U$1500)&gt;0))&gt;0,"부분","X")))</f>
        <v/>
      </c>
      <c r="D416" s="5">
        <f>IFERROR(MAX(FILTER(소재DB_RAW!$AK$3:$AK$2000,(소재DB_RAW!$G$3:$G$2000=$A416)*ISERROR(SEARCH("drop",소재DB_RAW!$C$3:$C$2000))*(소재DB_RAW!$AK$3:$AK$2000&lt;&gt;""))),"")</f>
        <v/>
      </c>
      <c r="E416" s="4">
        <f>IF($D416="","",TEXT($D416,"yyyy-mm-dd"))</f>
        <v/>
      </c>
    </row>
    <row r="417">
      <c r="A417" s="4" t="inlineStr">
        <is>
          <t>JWPNM27181</t>
        </is>
      </c>
      <c r="B417" s="4">
        <f>IF(COUNTIF(EDW_RAW!$A$2:$A$1500,$A417)=0,"",IF(SUMPRODUCT((EDW_RAW!$A$2:$A$1500=$A417)*(LEN(EDW_RAW!$R$2:$R$1500)&gt;0))=COUNTIF(EDW_RAW!$A$2:$A$1500,$A417),"O",IF(SUMPRODUCT((EDW_RAW!$A$2:$A$1500=$A417)*(LEN(EDW_RAW!$R$2:$R$1500)&gt;0))&gt;0,"부분","X")))</f>
        <v/>
      </c>
      <c r="C417" s="4">
        <f>IF(COUNTIF(EDW_RAW!$A$2:$A$1500,$A417)=0,"",IF(SUMPRODUCT((EDW_RAW!$A$2:$A$1500=$A417)*(LEN(EDW_RAW!$U$2:$U$1500)&gt;0))=COUNTIF(EDW_RAW!$A$2:$A$1500,$A417),"O",IF(SUMPRODUCT((EDW_RAW!$A$2:$A$1500=$A417)*(LEN(EDW_RAW!$U$2:$U$1500)&gt;0))&gt;0,"부분","X")))</f>
        <v/>
      </c>
      <c r="D417" s="5">
        <f>IFERROR(MAX(FILTER(소재DB_RAW!$AK$3:$AK$2000,(소재DB_RAW!$G$3:$G$2000=$A417)*ISERROR(SEARCH("drop",소재DB_RAW!$C$3:$C$2000))*(소재DB_RAW!$AK$3:$AK$2000&lt;&gt;""))),"")</f>
        <v/>
      </c>
      <c r="E417" s="4">
        <f>IF($D417="","",TEXT($D417,"yyyy-mm-dd"))</f>
        <v/>
      </c>
    </row>
    <row r="418">
      <c r="A418" s="4" t="inlineStr">
        <is>
          <t>JWPNM27191</t>
        </is>
      </c>
      <c r="B418" s="4">
        <f>IF(COUNTIF(EDW_RAW!$A$2:$A$1500,$A418)=0,"",IF(SUMPRODUCT((EDW_RAW!$A$2:$A$1500=$A418)*(LEN(EDW_RAW!$R$2:$R$1500)&gt;0))=COUNTIF(EDW_RAW!$A$2:$A$1500,$A418),"O",IF(SUMPRODUCT((EDW_RAW!$A$2:$A$1500=$A418)*(LEN(EDW_RAW!$R$2:$R$1500)&gt;0))&gt;0,"부분","X")))</f>
        <v/>
      </c>
      <c r="C418" s="4">
        <f>IF(COUNTIF(EDW_RAW!$A$2:$A$1500,$A418)=0,"",IF(SUMPRODUCT((EDW_RAW!$A$2:$A$1500=$A418)*(LEN(EDW_RAW!$U$2:$U$1500)&gt;0))=COUNTIF(EDW_RAW!$A$2:$A$1500,$A418),"O",IF(SUMPRODUCT((EDW_RAW!$A$2:$A$1500=$A418)*(LEN(EDW_RAW!$U$2:$U$1500)&gt;0))&gt;0,"부분","X")))</f>
        <v/>
      </c>
      <c r="D418" s="5">
        <f>IFERROR(MAX(FILTER(소재DB_RAW!$AK$3:$AK$2000,(소재DB_RAW!$G$3:$G$2000=$A418)*ISERROR(SEARCH("drop",소재DB_RAW!$C$3:$C$2000))*(소재DB_RAW!$AK$3:$AK$2000&lt;&gt;""))),"")</f>
        <v/>
      </c>
      <c r="E418" s="4">
        <f>IF($D418="","",TEXT($D418,"yyyy-mm-dd"))</f>
        <v/>
      </c>
    </row>
    <row r="419">
      <c r="A419" s="4" t="inlineStr">
        <is>
          <t>JWPNM27183</t>
        </is>
      </c>
      <c r="B419" s="4">
        <f>IF(COUNTIF(EDW_RAW!$A$2:$A$1500,$A419)=0,"",IF(SUMPRODUCT((EDW_RAW!$A$2:$A$1500=$A419)*(LEN(EDW_RAW!$R$2:$R$1500)&gt;0))=COUNTIF(EDW_RAW!$A$2:$A$1500,$A419),"O",IF(SUMPRODUCT((EDW_RAW!$A$2:$A$1500=$A419)*(LEN(EDW_RAW!$R$2:$R$1500)&gt;0))&gt;0,"부분","X")))</f>
        <v/>
      </c>
      <c r="C419" s="4">
        <f>IF(COUNTIF(EDW_RAW!$A$2:$A$1500,$A419)=0,"",IF(SUMPRODUCT((EDW_RAW!$A$2:$A$1500=$A419)*(LEN(EDW_RAW!$U$2:$U$1500)&gt;0))=COUNTIF(EDW_RAW!$A$2:$A$1500,$A419),"O",IF(SUMPRODUCT((EDW_RAW!$A$2:$A$1500=$A419)*(LEN(EDW_RAW!$U$2:$U$1500)&gt;0))&gt;0,"부분","X")))</f>
        <v/>
      </c>
      <c r="D419" s="5">
        <f>IFERROR(MAX(FILTER(소재DB_RAW!$AK$3:$AK$2000,(소재DB_RAW!$G$3:$G$2000=$A419)*ISERROR(SEARCH("drop",소재DB_RAW!$C$3:$C$2000))*(소재DB_RAW!$AK$3:$AK$2000&lt;&gt;""))),"")</f>
        <v/>
      </c>
      <c r="E419" s="4">
        <f>IF($D419="","",TEXT($D419,"yyyy-mm-dd"))</f>
        <v/>
      </c>
    </row>
    <row r="420">
      <c r="A420" s="4" t="inlineStr">
        <is>
          <t>JWPOM27141</t>
        </is>
      </c>
      <c r="B420" s="4">
        <f>IF(COUNTIF(EDW_RAW!$A$2:$A$1500,$A420)=0,"",IF(SUMPRODUCT((EDW_RAW!$A$2:$A$1500=$A420)*(LEN(EDW_RAW!$R$2:$R$1500)&gt;0))=COUNTIF(EDW_RAW!$A$2:$A$1500,$A420),"O",IF(SUMPRODUCT((EDW_RAW!$A$2:$A$1500=$A420)*(LEN(EDW_RAW!$R$2:$R$1500)&gt;0))&gt;0,"부분","X")))</f>
        <v/>
      </c>
      <c r="C420" s="4">
        <f>IF(COUNTIF(EDW_RAW!$A$2:$A$1500,$A420)=0,"",IF(SUMPRODUCT((EDW_RAW!$A$2:$A$1500=$A420)*(LEN(EDW_RAW!$U$2:$U$1500)&gt;0))=COUNTIF(EDW_RAW!$A$2:$A$1500,$A420),"O",IF(SUMPRODUCT((EDW_RAW!$A$2:$A$1500=$A420)*(LEN(EDW_RAW!$U$2:$U$1500)&gt;0))&gt;0,"부분","X")))</f>
        <v/>
      </c>
      <c r="D420" s="5">
        <f>IFERROR(MAX(FILTER(소재DB_RAW!$AK$3:$AK$2000,(소재DB_RAW!$G$3:$G$2000=$A420)*ISERROR(SEARCH("drop",소재DB_RAW!$C$3:$C$2000))*(소재DB_RAW!$AK$3:$AK$2000&lt;&gt;""))),"")</f>
        <v/>
      </c>
      <c r="E420" s="4">
        <f>IF($D420="","",TEXT($D420,"yyyy-mm-dd"))</f>
        <v/>
      </c>
    </row>
    <row r="421">
      <c r="A421" s="4" t="inlineStr">
        <is>
          <t>JWPOM27191</t>
        </is>
      </c>
      <c r="B421" s="4">
        <f>IF(COUNTIF(EDW_RAW!$A$2:$A$1500,$A421)=0,"",IF(SUMPRODUCT((EDW_RAW!$A$2:$A$1500=$A421)*(LEN(EDW_RAW!$R$2:$R$1500)&gt;0))=COUNTIF(EDW_RAW!$A$2:$A$1500,$A421),"O",IF(SUMPRODUCT((EDW_RAW!$A$2:$A$1500=$A421)*(LEN(EDW_RAW!$R$2:$R$1500)&gt;0))&gt;0,"부분","X")))</f>
        <v/>
      </c>
      <c r="C421" s="4">
        <f>IF(COUNTIF(EDW_RAW!$A$2:$A$1500,$A421)=0,"",IF(SUMPRODUCT((EDW_RAW!$A$2:$A$1500=$A421)*(LEN(EDW_RAW!$U$2:$U$1500)&gt;0))=COUNTIF(EDW_RAW!$A$2:$A$1500,$A421),"O",IF(SUMPRODUCT((EDW_RAW!$A$2:$A$1500=$A421)*(LEN(EDW_RAW!$U$2:$U$1500)&gt;0))&gt;0,"부분","X")))</f>
        <v/>
      </c>
      <c r="D421" s="5">
        <f>IFERROR(MAX(FILTER(소재DB_RAW!$AK$3:$AK$2000,(소재DB_RAW!$G$3:$G$2000=$A421)*ISERROR(SEARCH("drop",소재DB_RAW!$C$3:$C$2000))*(소재DB_RAW!$AK$3:$AK$2000&lt;&gt;""))),"")</f>
        <v/>
      </c>
      <c r="E421" s="4">
        <f>IF($D421="","",TEXT($D421,"yyyy-mm-dd"))</f>
        <v/>
      </c>
    </row>
    <row r="422">
      <c r="A422" s="4" t="inlineStr">
        <is>
          <t>JWPOM27181</t>
        </is>
      </c>
      <c r="B422" s="4">
        <f>IF(COUNTIF(EDW_RAW!$A$2:$A$1500,$A422)=0,"",IF(SUMPRODUCT((EDW_RAW!$A$2:$A$1500=$A422)*(LEN(EDW_RAW!$R$2:$R$1500)&gt;0))=COUNTIF(EDW_RAW!$A$2:$A$1500,$A422),"O",IF(SUMPRODUCT((EDW_RAW!$A$2:$A$1500=$A422)*(LEN(EDW_RAW!$R$2:$R$1500)&gt;0))&gt;0,"부분","X")))</f>
        <v/>
      </c>
      <c r="C422" s="4">
        <f>IF(COUNTIF(EDW_RAW!$A$2:$A$1500,$A422)=0,"",IF(SUMPRODUCT((EDW_RAW!$A$2:$A$1500=$A422)*(LEN(EDW_RAW!$U$2:$U$1500)&gt;0))=COUNTIF(EDW_RAW!$A$2:$A$1500,$A422),"O",IF(SUMPRODUCT((EDW_RAW!$A$2:$A$1500=$A422)*(LEN(EDW_RAW!$U$2:$U$1500)&gt;0))&gt;0,"부분","X")))</f>
        <v/>
      </c>
      <c r="D422" s="5">
        <f>IFERROR(MAX(FILTER(소재DB_RAW!$AK$3:$AK$2000,(소재DB_RAW!$G$3:$G$2000=$A422)*ISERROR(SEARCH("drop",소재DB_RAW!$C$3:$C$2000))*(소재DB_RAW!$AK$3:$AK$2000&lt;&gt;""))),"")</f>
        <v/>
      </c>
      <c r="E422" s="4">
        <f>IF($D422="","",TEXT($D422,"yyyy-mm-dd"))</f>
        <v/>
      </c>
    </row>
    <row r="423">
      <c r="A423" s="4" t="inlineStr">
        <is>
          <t>JWPNM27165</t>
        </is>
      </c>
      <c r="B423" s="4">
        <f>IF(COUNTIF(EDW_RAW!$A$2:$A$1500,$A423)=0,"",IF(SUMPRODUCT((EDW_RAW!$A$2:$A$1500=$A423)*(LEN(EDW_RAW!$R$2:$R$1500)&gt;0))=COUNTIF(EDW_RAW!$A$2:$A$1500,$A423),"O",IF(SUMPRODUCT((EDW_RAW!$A$2:$A$1500=$A423)*(LEN(EDW_RAW!$R$2:$R$1500)&gt;0))&gt;0,"부분","X")))</f>
        <v/>
      </c>
      <c r="C423" s="4">
        <f>IF(COUNTIF(EDW_RAW!$A$2:$A$1500,$A423)=0,"",IF(SUMPRODUCT((EDW_RAW!$A$2:$A$1500=$A423)*(LEN(EDW_RAW!$U$2:$U$1500)&gt;0))=COUNTIF(EDW_RAW!$A$2:$A$1500,$A423),"O",IF(SUMPRODUCT((EDW_RAW!$A$2:$A$1500=$A423)*(LEN(EDW_RAW!$U$2:$U$1500)&gt;0))&gt;0,"부분","X")))</f>
        <v/>
      </c>
      <c r="D423" s="5">
        <f>IFERROR(MAX(FILTER(소재DB_RAW!$AK$3:$AK$2000,(소재DB_RAW!$G$3:$G$2000=$A423)*ISERROR(SEARCH("drop",소재DB_RAW!$C$3:$C$2000))*(소재DB_RAW!$AK$3:$AK$2000&lt;&gt;""))),"")</f>
        <v/>
      </c>
      <c r="E423" s="4">
        <f>IF($D423="","",TEXT($D423,"yyyy-mm-dd"))</f>
        <v/>
      </c>
    </row>
    <row r="424">
      <c r="A424" s="4" t="inlineStr">
        <is>
          <t>JWPOM27161</t>
        </is>
      </c>
      <c r="B424" s="4">
        <f>IF(COUNTIF(EDW_RAW!$A$2:$A$1500,$A424)=0,"",IF(SUMPRODUCT((EDW_RAW!$A$2:$A$1500=$A424)*(LEN(EDW_RAW!$R$2:$R$1500)&gt;0))=COUNTIF(EDW_RAW!$A$2:$A$1500,$A424),"O",IF(SUMPRODUCT((EDW_RAW!$A$2:$A$1500=$A424)*(LEN(EDW_RAW!$R$2:$R$1500)&gt;0))&gt;0,"부분","X")))</f>
        <v/>
      </c>
      <c r="C424" s="4">
        <f>IF(COUNTIF(EDW_RAW!$A$2:$A$1500,$A424)=0,"",IF(SUMPRODUCT((EDW_RAW!$A$2:$A$1500=$A424)*(LEN(EDW_RAW!$U$2:$U$1500)&gt;0))=COUNTIF(EDW_RAW!$A$2:$A$1500,$A424),"O",IF(SUMPRODUCT((EDW_RAW!$A$2:$A$1500=$A424)*(LEN(EDW_RAW!$U$2:$U$1500)&gt;0))&gt;0,"부분","X")))</f>
        <v/>
      </c>
      <c r="D424" s="5">
        <f>IFERROR(MAX(FILTER(소재DB_RAW!$AK$3:$AK$2000,(소재DB_RAW!$G$3:$G$2000=$A424)*ISERROR(SEARCH("drop",소재DB_RAW!$C$3:$C$2000))*(소재DB_RAW!$AK$3:$AK$2000&lt;&gt;""))),"")</f>
        <v/>
      </c>
      <c r="E424" s="4">
        <f>IF($D424="","",TEXT($D424,"yyyy-mm-dd"))</f>
        <v/>
      </c>
    </row>
    <row r="425">
      <c r="A425" s="4" t="inlineStr">
        <is>
          <t>JWPOM27171</t>
        </is>
      </c>
      <c r="B425" s="4">
        <f>IF(COUNTIF(EDW_RAW!$A$2:$A$1500,$A425)=0,"",IF(SUMPRODUCT((EDW_RAW!$A$2:$A$1500=$A425)*(LEN(EDW_RAW!$R$2:$R$1500)&gt;0))=COUNTIF(EDW_RAW!$A$2:$A$1500,$A425),"O",IF(SUMPRODUCT((EDW_RAW!$A$2:$A$1500=$A425)*(LEN(EDW_RAW!$R$2:$R$1500)&gt;0))&gt;0,"부분","X")))</f>
        <v/>
      </c>
      <c r="C425" s="4">
        <f>IF(COUNTIF(EDW_RAW!$A$2:$A$1500,$A425)=0,"",IF(SUMPRODUCT((EDW_RAW!$A$2:$A$1500=$A425)*(LEN(EDW_RAW!$U$2:$U$1500)&gt;0))=COUNTIF(EDW_RAW!$A$2:$A$1500,$A425),"O",IF(SUMPRODUCT((EDW_RAW!$A$2:$A$1500=$A425)*(LEN(EDW_RAW!$U$2:$U$1500)&gt;0))&gt;0,"부분","X")))</f>
        <v/>
      </c>
      <c r="D425" s="5">
        <f>IFERROR(MAX(FILTER(소재DB_RAW!$AK$3:$AK$2000,(소재DB_RAW!$G$3:$G$2000=$A425)*ISERROR(SEARCH("drop",소재DB_RAW!$C$3:$C$2000))*(소재DB_RAW!$AK$3:$AK$2000&lt;&gt;""))),"")</f>
        <v/>
      </c>
      <c r="E425" s="4">
        <f>IF($D425="","",TEXT($D425,"yyyy-mm-dd"))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27SS 생산 프로세스 진척현황(자동화) &gt; EDW_RAW 실시간 연동. 최초 1회 A2 셀에서 '액세스 허용' 클릭. 이 탭 수정 금지.</t>
        </is>
      </c>
    </row>
    <row r="2">
      <c r="A2">
        <f>IMPORTRANGE("https://docs.google.com/spreadsheets/d/1iSDzZFUv3855k9Zh-tNZALH8z3gY7dTw9j8RlHpJETg","EDW_RAW!A2:U1500")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27SS_소재DB &gt; Merged Data 실시간 연동. 최초 1회 A3 셀에서 '액세스 허용' 클릭. 이 탭 수정 금지.</t>
        </is>
      </c>
    </row>
    <row r="3">
      <c r="A3">
        <f>IMPORTRANGE("https://docs.google.com/spreadsheets/d/1_LNPz9XGRmRAJ9Y4cqtFF8NtZTLSIld4vtzLJlOcka0","Merged Data!A3:AN2000")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2026-08-19T13:59:16Z</dcterms:created>
  <dcterms:modified xsi:type="dcterms:W3CDTF">2026-08-19T13:59:16Z</dcterms:modified>
</cp:coreProperties>
</file>