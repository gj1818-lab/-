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금액 요약" sheetId="5" state="visible" r:id="rId5"/>
    <sheet name="리스크 요약" sheetId="6" state="visible" r:id="rId6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9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탭과 IMPORTRANGE 실시간 연동 (숨김 탭 '소재DB_RAW')</t>
        </is>
      </c>
    </row>
    <row r="36">
      <c r="B36" s="5" t="inlineStr">
        <is>
          <t>· 최초 1회: 시트를 열고 '소재DB_RAW' 탭(숨김 해제)에서 A3 셀의 '액세스 허용' 클릭 필요 — 이후 자동 갱신</t>
        </is>
      </c>
    </row>
    <row r="37">
      <c r="B37" s="5" t="inlineStr">
        <is>
          <t>· 생산처(소재DB) 열은 크로스체크용 — 0808 생산처와 다르면 빨간색 표시 (픽스처/픽스쳐 같은 표기 차이도 포함되니 확인 필요)</t>
        </is>
      </c>
    </row>
    <row r="38">
      <c r="B38" s="5" t="inlineStr">
        <is>
          <t>· WM/피싱(8로 시작)은 0808 원본에 기획수량 0으로 입력되어 수량 합계 공란 — 금액은 원본 총원가/총공급가 기준</t>
        </is>
      </c>
    </row>
    <row r="39">
      <c r="B39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8/6)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21" t="inlineStr">
        <is>
          <t>X</t>
        </is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",TRUE,UNIQUE(FILTER(소재DB_RAW!$K$3:$K,소재DB_RAW!$G$3:$G=$D5))),"")</f>
        <v/>
      </c>
      <c r="W5" s="20" t="inlineStr">
        <is>
          <t>베트남</t>
        </is>
      </c>
      <c r="X5" s="20">
        <f>IFERROR(TEXTJOIN(" / ",TRUE,UNIQUE(FILTER(소재DB_RAW!$N$3:$N,소재DB_RAW!$G$3:$G=$D5))),"")</f>
        <v/>
      </c>
      <c r="Y5" s="26">
        <f>IFERROR(TEXTJOIN(CHAR(10),TRUE,UNIQUE(FILTER(소재DB_RAW!$N$3:$N&amp;") "&amp;소재DB_RAW!$O$3:$O,(소재DB_RAW!$G$3:$G=$D5)*ISNUMBER(SEARCH("겉감",소재DB_RAW!$M$3:$M))))),"")</f>
        <v/>
      </c>
      <c r="Z5" s="26">
        <f>IFERROR(TEXTJOIN(CHAR(10),TRUE,UNIQUE(FILTER(소재DB_RAW!$N$3:$N&amp;") "&amp;소재DB_RAW!$O$3:$O,(소재DB_RAW!$G$3:$G=$D5)*ISNUMBER(SEARCH("안감",소재DB_RAW!$M$3:$M))))),"")</f>
        <v/>
      </c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21" t="inlineStr">
        <is>
          <t>X</t>
        </is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",TRUE,UNIQUE(FILTER(소재DB_RAW!$K$3:$K,소재DB_RAW!$G$3:$G=$D6))),"")</f>
        <v/>
      </c>
      <c r="W6" s="20" t="inlineStr">
        <is>
          <t>인도네시아</t>
        </is>
      </c>
      <c r="X6" s="20">
        <f>IFERROR(TEXTJOIN(" / ",TRUE,UNIQUE(FILTER(소재DB_RAW!$N$3:$N,소재DB_RAW!$G$3:$G=$D6))),"")</f>
        <v/>
      </c>
      <c r="Y6" s="26">
        <f>IFERROR(TEXTJOIN(CHAR(10),TRUE,UNIQUE(FILTER(소재DB_RAW!$N$3:$N&amp;") "&amp;소재DB_RAW!$O$3:$O,(소재DB_RAW!$G$3:$G=$D6)*ISNUMBER(SEARCH("겉감",소재DB_RAW!$M$3:$M))))),"")</f>
        <v/>
      </c>
      <c r="Z6" s="26">
        <f>IFERROR(TEXTJOIN(CHAR(10),TRUE,UNIQUE(FILTER(소재DB_RAW!$N$3:$N&amp;") "&amp;소재DB_RAW!$O$3:$O,(소재DB_RAW!$G$3:$G=$D6)*ISNUMBER(SEARCH("안감",소재DB_RAW!$M$3:$M))))),"")</f>
        <v/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21" t="inlineStr">
        <is>
          <t>X</t>
        </is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",TRUE,UNIQUE(FILTER(소재DB_RAW!$K$3:$K,소재DB_RAW!$G$3:$G=$D7))),"")</f>
        <v/>
      </c>
      <c r="W7" s="20" t="inlineStr">
        <is>
          <t>인도네시아</t>
        </is>
      </c>
      <c r="X7" s="20">
        <f>IFERROR(TEXTJOIN(" / ",TRUE,UNIQUE(FILTER(소재DB_RAW!$N$3:$N,소재DB_RAW!$G$3:$G=$D7))),"")</f>
        <v/>
      </c>
      <c r="Y7" s="26">
        <f>IFERROR(TEXTJOIN(CHAR(10),TRUE,UNIQUE(FILTER(소재DB_RAW!$N$3:$N&amp;") "&amp;소재DB_RAW!$O$3:$O,(소재DB_RAW!$G$3:$G=$D7)*ISNUMBER(SEARCH("겉감",소재DB_RAW!$M$3:$M))))),"")</f>
        <v/>
      </c>
      <c r="Z7" s="26">
        <f>IFERROR(TEXTJOIN(CHAR(10),TRUE,UNIQUE(FILTER(소재DB_RAW!$N$3:$N&amp;") "&amp;소재DB_RAW!$O$3:$O,(소재DB_RAW!$G$3:$G=$D7)*ISNUMBER(SEARCH("안감",소재DB_RAW!$M$3:$M))))),"")</f>
        <v/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21" t="inlineStr">
        <is>
          <t>O</t>
        </is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",TRUE,UNIQUE(FILTER(소재DB_RAW!$K$3:$K,소재DB_RAW!$G$3:$G=$D8))),"")</f>
        <v/>
      </c>
      <c r="W8" s="20" t="inlineStr">
        <is>
          <t>인도네시아</t>
        </is>
      </c>
      <c r="X8" s="20">
        <f>IFERROR(TEXTJOIN(" / ",TRUE,UNIQUE(FILTER(소재DB_RAW!$N$3:$N,소재DB_RAW!$G$3:$G=$D8))),"")</f>
        <v/>
      </c>
      <c r="Y8" s="26">
        <f>IFERROR(TEXTJOIN(CHAR(10),TRUE,UNIQUE(FILTER(소재DB_RAW!$N$3:$N&amp;") "&amp;소재DB_RAW!$O$3:$O,(소재DB_RAW!$G$3:$G=$D8)*ISNUMBER(SEARCH("겉감",소재DB_RAW!$M$3:$M))))),"")</f>
        <v/>
      </c>
      <c r="Z8" s="26">
        <f>IFERROR(TEXTJOIN(CHAR(10),TRUE,UNIQUE(FILTER(소재DB_RAW!$N$3:$N&amp;") "&amp;소재DB_RAW!$O$3:$O,(소재DB_RAW!$G$3:$G=$D8)*ISNUMBER(SEARCH("안감",소재DB_RAW!$M$3:$M))))),"")</f>
        <v/>
      </c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21" t="inlineStr">
        <is>
          <t>X</t>
        </is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",TRUE,UNIQUE(FILTER(소재DB_RAW!$K$3:$K,소재DB_RAW!$G$3:$G=$D9))),"")</f>
        <v/>
      </c>
      <c r="W9" s="20" t="inlineStr">
        <is>
          <t>베트남</t>
        </is>
      </c>
      <c r="X9" s="20">
        <f>IFERROR(TEXTJOIN(" / ",TRUE,UNIQUE(FILTER(소재DB_RAW!$N$3:$N,소재DB_RAW!$G$3:$G=$D9))),"")</f>
        <v/>
      </c>
      <c r="Y9" s="26">
        <f>IFERROR(TEXTJOIN(CHAR(10),TRUE,UNIQUE(FILTER(소재DB_RAW!$N$3:$N&amp;") "&amp;소재DB_RAW!$O$3:$O,(소재DB_RAW!$G$3:$G=$D9)*ISNUMBER(SEARCH("겉감",소재DB_RAW!$M$3:$M))))),"")</f>
        <v/>
      </c>
      <c r="Z9" s="26">
        <f>IFERROR(TEXTJOIN(CHAR(10),TRUE,UNIQUE(FILTER(소재DB_RAW!$N$3:$N&amp;") "&amp;소재DB_RAW!$O$3:$O,(소재DB_RAW!$G$3:$G=$D9)*ISNUMBER(SEARCH("안감",소재DB_RAW!$M$3:$M))))),"")</f>
        <v/>
      </c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21" t="inlineStr">
        <is>
          <t>X</t>
        </is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",TRUE,UNIQUE(FILTER(소재DB_RAW!$K$3:$K,소재DB_RAW!$G$3:$G=$D10))),"")</f>
        <v/>
      </c>
      <c r="W10" s="20" t="inlineStr">
        <is>
          <t>베트남</t>
        </is>
      </c>
      <c r="X10" s="20">
        <f>IFERROR(TEXTJOIN(" / ",TRUE,UNIQUE(FILTER(소재DB_RAW!$N$3:$N,소재DB_RAW!$G$3:$G=$D10))),"")</f>
        <v/>
      </c>
      <c r="Y10" s="26">
        <f>IFERROR(TEXTJOIN(CHAR(10),TRUE,UNIQUE(FILTER(소재DB_RAW!$N$3:$N&amp;") "&amp;소재DB_RAW!$O$3:$O,(소재DB_RAW!$G$3:$G=$D10)*ISNUMBER(SEARCH("겉감",소재DB_RAW!$M$3:$M))))),"")</f>
        <v/>
      </c>
      <c r="Z10" s="26">
        <f>IFERROR(TEXTJOIN(CHAR(10),TRUE,UNIQUE(FILTER(소재DB_RAW!$N$3:$N&amp;") "&amp;소재DB_RAW!$O$3:$O,(소재DB_RAW!$G$3:$G=$D10)*ISNUMBER(SEARCH("안감",소재DB_RAW!$M$3:$M))))),"")</f>
        <v/>
      </c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21" t="inlineStr">
        <is>
          <t>X</t>
        </is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",TRUE,UNIQUE(FILTER(소재DB_RAW!$K$3:$K,소재DB_RAW!$G$3:$G=$D11))),"")</f>
        <v/>
      </c>
      <c r="W11" s="20" t="inlineStr">
        <is>
          <t>베트남</t>
        </is>
      </c>
      <c r="X11" s="20">
        <f>IFERROR(TEXTJOIN(" / ",TRUE,UNIQUE(FILTER(소재DB_RAW!$N$3:$N,소재DB_RAW!$G$3:$G=$D11))),"")</f>
        <v/>
      </c>
      <c r="Y11" s="26">
        <f>IFERROR(TEXTJOIN(CHAR(10),TRUE,UNIQUE(FILTER(소재DB_RAW!$N$3:$N&amp;") "&amp;소재DB_RAW!$O$3:$O,(소재DB_RAW!$G$3:$G=$D11)*ISNUMBER(SEARCH("겉감",소재DB_RAW!$M$3:$M))))),"")</f>
        <v/>
      </c>
      <c r="Z11" s="26">
        <f>IFERROR(TEXTJOIN(CHAR(10),TRUE,UNIQUE(FILTER(소재DB_RAW!$N$3:$N&amp;") "&amp;소재DB_RAW!$O$3:$O,(소재DB_RAW!$G$3:$G=$D11)*ISNUMBER(SEARCH("안감",소재DB_RAW!$M$3:$M))))),"")</f>
        <v/>
      </c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21" t="inlineStr">
        <is>
          <t>X</t>
        </is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",TRUE,UNIQUE(FILTER(소재DB_RAW!$K$3:$K,소재DB_RAW!$G$3:$G=$D12))),"")</f>
        <v/>
      </c>
      <c r="W12" s="20" t="inlineStr">
        <is>
          <t>베트남</t>
        </is>
      </c>
      <c r="X12" s="20">
        <f>IFERROR(TEXTJOIN(" / ",TRUE,UNIQUE(FILTER(소재DB_RAW!$N$3:$N,소재DB_RAW!$G$3:$G=$D12))),"")</f>
        <v/>
      </c>
      <c r="Y12" s="26">
        <f>IFERROR(TEXTJOIN(CHAR(10),TRUE,UNIQUE(FILTER(소재DB_RAW!$N$3:$N&amp;") "&amp;소재DB_RAW!$O$3:$O,(소재DB_RAW!$G$3:$G=$D12)*ISNUMBER(SEARCH("겉감",소재DB_RAW!$M$3:$M))))),"")</f>
        <v/>
      </c>
      <c r="Z12" s="26">
        <f>IFERROR(TEXTJOIN(CHAR(10),TRUE,UNIQUE(FILTER(소재DB_RAW!$N$3:$N&amp;") "&amp;소재DB_RAW!$O$3:$O,(소재DB_RAW!$G$3:$G=$D12)*ISNUMBER(SEARCH("안감",소재DB_RAW!$M$3:$M))))),"")</f>
        <v/>
      </c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21" t="inlineStr">
        <is>
          <t>X</t>
        </is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",TRUE,UNIQUE(FILTER(소재DB_RAW!$K$3:$K,소재DB_RAW!$G$3:$G=$D13))),"")</f>
        <v/>
      </c>
      <c r="W13" s="20" t="inlineStr">
        <is>
          <t>인도네시아</t>
        </is>
      </c>
      <c r="X13" s="20">
        <f>IFERROR(TEXTJOIN(" / ",TRUE,UNIQUE(FILTER(소재DB_RAW!$N$3:$N,소재DB_RAW!$G$3:$G=$D13))),"")</f>
        <v/>
      </c>
      <c r="Y13" s="26">
        <f>IFERROR(TEXTJOIN(CHAR(10),TRUE,UNIQUE(FILTER(소재DB_RAW!$N$3:$N&amp;") "&amp;소재DB_RAW!$O$3:$O,(소재DB_RAW!$G$3:$G=$D13)*ISNUMBER(SEARCH("겉감",소재DB_RAW!$M$3:$M))))),"")</f>
        <v/>
      </c>
      <c r="Z13" s="26">
        <f>IFERROR(TEXTJOIN(CHAR(10),TRUE,UNIQUE(FILTER(소재DB_RAW!$N$3:$N&amp;") "&amp;소재DB_RAW!$O$3:$O,(소재DB_RAW!$G$3:$G=$D13)*ISNUMBER(SEARCH("안감",소재DB_RAW!$M$3:$M))))),"")</f>
        <v/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21" t="inlineStr">
        <is>
          <t>X</t>
        </is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",TRUE,UNIQUE(FILTER(소재DB_RAW!$K$3:$K,소재DB_RAW!$G$3:$G=$D14))),"")</f>
        <v/>
      </c>
      <c r="W14" s="20" t="inlineStr">
        <is>
          <t>인도네시아</t>
        </is>
      </c>
      <c r="X14" s="20">
        <f>IFERROR(TEXTJOIN(" / ",TRUE,UNIQUE(FILTER(소재DB_RAW!$N$3:$N,소재DB_RAW!$G$3:$G=$D14))),"")</f>
        <v/>
      </c>
      <c r="Y14" s="26">
        <f>IFERROR(TEXTJOIN(CHAR(10),TRUE,UNIQUE(FILTER(소재DB_RAW!$N$3:$N&amp;") "&amp;소재DB_RAW!$O$3:$O,(소재DB_RAW!$G$3:$G=$D14)*ISNUMBER(SEARCH("겉감",소재DB_RAW!$M$3:$M))))),"")</f>
        <v/>
      </c>
      <c r="Z14" s="26">
        <f>IFERROR(TEXTJOIN(CHAR(10),TRUE,UNIQUE(FILTER(소재DB_RAW!$N$3:$N&amp;") "&amp;소재DB_RAW!$O$3:$O,(소재DB_RAW!$G$3:$G=$D14)*ISNUMBER(SEARCH("안감",소재DB_RAW!$M$3:$M))))),"")</f>
        <v/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21" t="inlineStr">
        <is>
          <t>X</t>
        </is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",TRUE,UNIQUE(FILTER(소재DB_RAW!$K$3:$K,소재DB_RAW!$G$3:$G=$D15))),"")</f>
        <v/>
      </c>
      <c r="W15" s="20" t="inlineStr">
        <is>
          <t>인도네시아</t>
        </is>
      </c>
      <c r="X15" s="20">
        <f>IFERROR(TEXTJOIN(" / ",TRUE,UNIQUE(FILTER(소재DB_RAW!$N$3:$N,소재DB_RAW!$G$3:$G=$D15))),"")</f>
        <v/>
      </c>
      <c r="Y15" s="26">
        <f>IFERROR(TEXTJOIN(CHAR(10),TRUE,UNIQUE(FILTER(소재DB_RAW!$N$3:$N&amp;") "&amp;소재DB_RAW!$O$3:$O,(소재DB_RAW!$G$3:$G=$D15)*ISNUMBER(SEARCH("겉감",소재DB_RAW!$M$3:$M))))),"")</f>
        <v/>
      </c>
      <c r="Z15" s="26">
        <f>IFERROR(TEXTJOIN(CHAR(10),TRUE,UNIQUE(FILTER(소재DB_RAW!$N$3:$N&amp;") "&amp;소재DB_RAW!$O$3:$O,(소재DB_RAW!$G$3:$G=$D15)*ISNUMBER(SEARCH("안감",소재DB_RAW!$M$3:$M))))),"")</f>
        <v/>
      </c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21" t="inlineStr">
        <is>
          <t>X</t>
        </is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",TRUE,UNIQUE(FILTER(소재DB_RAW!$K$3:$K,소재DB_RAW!$G$3:$G=$D16))),"")</f>
        <v/>
      </c>
      <c r="W16" s="20" t="inlineStr">
        <is>
          <t>베트남</t>
        </is>
      </c>
      <c r="X16" s="20">
        <f>IFERROR(TEXTJOIN(" / ",TRUE,UNIQUE(FILTER(소재DB_RAW!$N$3:$N,소재DB_RAW!$G$3:$G=$D16))),"")</f>
        <v/>
      </c>
      <c r="Y16" s="26">
        <f>IFERROR(TEXTJOIN(CHAR(10),TRUE,UNIQUE(FILTER(소재DB_RAW!$N$3:$N&amp;") "&amp;소재DB_RAW!$O$3:$O,(소재DB_RAW!$G$3:$G=$D16)*ISNUMBER(SEARCH("겉감",소재DB_RAW!$M$3:$M))))),"")</f>
        <v/>
      </c>
      <c r="Z16" s="26">
        <f>IFERROR(TEXTJOIN(CHAR(10),TRUE,UNIQUE(FILTER(소재DB_RAW!$N$3:$N&amp;") "&amp;소재DB_RAW!$O$3:$O,(소재DB_RAW!$G$3:$G=$D16)*ISNUMBER(SEARCH("안감",소재DB_RAW!$M$3:$M))))),"")</f>
        <v/>
      </c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21" t="inlineStr">
        <is>
          <t>X</t>
        </is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",TRUE,UNIQUE(FILTER(소재DB_RAW!$K$3:$K,소재DB_RAW!$G$3:$G=$D17))),"")</f>
        <v/>
      </c>
      <c r="W17" s="20" t="inlineStr">
        <is>
          <t>베트남</t>
        </is>
      </c>
      <c r="X17" s="20">
        <f>IFERROR(TEXTJOIN(" / ",TRUE,UNIQUE(FILTER(소재DB_RAW!$N$3:$N,소재DB_RAW!$G$3:$G=$D17))),"")</f>
        <v/>
      </c>
      <c r="Y17" s="26">
        <f>IFERROR(TEXTJOIN(CHAR(10),TRUE,UNIQUE(FILTER(소재DB_RAW!$N$3:$N&amp;") "&amp;소재DB_RAW!$O$3:$O,(소재DB_RAW!$G$3:$G=$D17)*ISNUMBER(SEARCH("겉감",소재DB_RAW!$M$3:$M))))),"")</f>
        <v/>
      </c>
      <c r="Z17" s="26">
        <f>IFERROR(TEXTJOIN(CHAR(10),TRUE,UNIQUE(FILTER(소재DB_RAW!$N$3:$N&amp;") "&amp;소재DB_RAW!$O$3:$O,(소재DB_RAW!$G$3:$G=$D17)*ISNUMBER(SEARCH("안감",소재DB_RAW!$M$3:$M))))),"")</f>
        <v/>
      </c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21" t="inlineStr">
        <is>
          <t>X</t>
        </is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",TRUE,UNIQUE(FILTER(소재DB_RAW!$K$3:$K,소재DB_RAW!$G$3:$G=$D18))),"")</f>
        <v/>
      </c>
      <c r="W18" s="20" t="inlineStr">
        <is>
          <t>베트남</t>
        </is>
      </c>
      <c r="X18" s="20">
        <f>IFERROR(TEXTJOIN(" / ",TRUE,UNIQUE(FILTER(소재DB_RAW!$N$3:$N,소재DB_RAW!$G$3:$G=$D18))),"")</f>
        <v/>
      </c>
      <c r="Y18" s="26">
        <f>IFERROR(TEXTJOIN(CHAR(10),TRUE,UNIQUE(FILTER(소재DB_RAW!$N$3:$N&amp;") "&amp;소재DB_RAW!$O$3:$O,(소재DB_RAW!$G$3:$G=$D18)*ISNUMBER(SEARCH("겉감",소재DB_RAW!$M$3:$M))))),"")</f>
        <v/>
      </c>
      <c r="Z18" s="26">
        <f>IFERROR(TEXTJOIN(CHAR(10),TRUE,UNIQUE(FILTER(소재DB_RAW!$N$3:$N&amp;") "&amp;소재DB_RAW!$O$3:$O,(소재DB_RAW!$G$3:$G=$D18)*ISNUMBER(SEARCH("안감",소재DB_RAW!$M$3:$M))))),"")</f>
        <v/>
      </c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21" t="inlineStr">
        <is>
          <t>X</t>
        </is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",TRUE,UNIQUE(FILTER(소재DB_RAW!$K$3:$K,소재DB_RAW!$G$3:$G=$D19))),"")</f>
        <v/>
      </c>
      <c r="W19" s="20" t="inlineStr">
        <is>
          <t>중국</t>
        </is>
      </c>
      <c r="X19" s="20">
        <f>IFERROR(TEXTJOIN(" / ",TRUE,UNIQUE(FILTER(소재DB_RAW!$N$3:$N,소재DB_RAW!$G$3:$G=$D19))),"")</f>
        <v/>
      </c>
      <c r="Y19" s="26">
        <f>IFERROR(TEXTJOIN(CHAR(10),TRUE,UNIQUE(FILTER(소재DB_RAW!$N$3:$N&amp;") "&amp;소재DB_RAW!$O$3:$O,(소재DB_RAW!$G$3:$G=$D19)*ISNUMBER(SEARCH("겉감",소재DB_RAW!$M$3:$M))))),"")</f>
        <v/>
      </c>
      <c r="Z19" s="26">
        <f>IFERROR(TEXTJOIN(CHAR(10),TRUE,UNIQUE(FILTER(소재DB_RAW!$N$3:$N&amp;") "&amp;소재DB_RAW!$O$3:$O,(소재DB_RAW!$G$3:$G=$D19)*ISNUMBER(SEARCH("안감",소재DB_RAW!$M$3:$M))))),"")</f>
        <v/>
      </c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21" t="inlineStr">
        <is>
          <t>X</t>
        </is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",TRUE,UNIQUE(FILTER(소재DB_RAW!$K$3:$K,소재DB_RAW!$G$3:$G=$D20))),"")</f>
        <v/>
      </c>
      <c r="W20" s="20" t="inlineStr">
        <is>
          <t>베트남</t>
        </is>
      </c>
      <c r="X20" s="20">
        <f>IFERROR(TEXTJOIN(" / ",TRUE,UNIQUE(FILTER(소재DB_RAW!$N$3:$N,소재DB_RAW!$G$3:$G=$D20))),"")</f>
        <v/>
      </c>
      <c r="Y20" s="26">
        <f>IFERROR(TEXTJOIN(CHAR(10),TRUE,UNIQUE(FILTER(소재DB_RAW!$N$3:$N&amp;") "&amp;소재DB_RAW!$O$3:$O,(소재DB_RAW!$G$3:$G=$D20)*ISNUMBER(SEARCH("겉감",소재DB_RAW!$M$3:$M))))),"")</f>
        <v/>
      </c>
      <c r="Z20" s="26">
        <f>IFERROR(TEXTJOIN(CHAR(10),TRUE,UNIQUE(FILTER(소재DB_RAW!$N$3:$N&amp;") "&amp;소재DB_RAW!$O$3:$O,(소재DB_RAW!$G$3:$G=$D20)*ISNUMBER(SEARCH("안감",소재DB_RAW!$M$3:$M))))),"")</f>
        <v/>
      </c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21" t="inlineStr">
        <is>
          <t>X</t>
        </is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",TRUE,UNIQUE(FILTER(소재DB_RAW!$K$3:$K,소재DB_RAW!$G$3:$G=$D21))),"")</f>
        <v/>
      </c>
      <c r="W21" s="20" t="inlineStr">
        <is>
          <t>베트남</t>
        </is>
      </c>
      <c r="X21" s="20">
        <f>IFERROR(TEXTJOIN(" / ",TRUE,UNIQUE(FILTER(소재DB_RAW!$N$3:$N,소재DB_RAW!$G$3:$G=$D21))),"")</f>
        <v/>
      </c>
      <c r="Y21" s="26">
        <f>IFERROR(TEXTJOIN(CHAR(10),TRUE,UNIQUE(FILTER(소재DB_RAW!$N$3:$N&amp;") "&amp;소재DB_RAW!$O$3:$O,(소재DB_RAW!$G$3:$G=$D21)*ISNUMBER(SEARCH("겉감",소재DB_RAW!$M$3:$M))))),"")</f>
        <v/>
      </c>
      <c r="Z21" s="26">
        <f>IFERROR(TEXTJOIN(CHAR(10),TRUE,UNIQUE(FILTER(소재DB_RAW!$N$3:$N&amp;") "&amp;소재DB_RAW!$O$3:$O,(소재DB_RAW!$G$3:$G=$D21)*ISNUMBER(SEARCH("안감",소재DB_RAW!$M$3:$M))))),"")</f>
        <v/>
      </c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21" t="inlineStr">
        <is>
          <t>X</t>
        </is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",TRUE,UNIQUE(FILTER(소재DB_RAW!$K$3:$K,소재DB_RAW!$G$3:$G=$D22))),"")</f>
        <v/>
      </c>
      <c r="W22" s="20" t="inlineStr">
        <is>
          <t>베트남</t>
        </is>
      </c>
      <c r="X22" s="20">
        <f>IFERROR(TEXTJOIN(" / ",TRUE,UNIQUE(FILTER(소재DB_RAW!$N$3:$N,소재DB_RAW!$G$3:$G=$D22))),"")</f>
        <v/>
      </c>
      <c r="Y22" s="26">
        <f>IFERROR(TEXTJOIN(CHAR(10),TRUE,UNIQUE(FILTER(소재DB_RAW!$N$3:$N&amp;") "&amp;소재DB_RAW!$O$3:$O,(소재DB_RAW!$G$3:$G=$D22)*ISNUMBER(SEARCH("겉감",소재DB_RAW!$M$3:$M))))),"")</f>
        <v/>
      </c>
      <c r="Z22" s="26">
        <f>IFERROR(TEXTJOIN(CHAR(10),TRUE,UNIQUE(FILTER(소재DB_RAW!$N$3:$N&amp;") "&amp;소재DB_RAW!$O$3:$O,(소재DB_RAW!$G$3:$G=$D22)*ISNUMBER(SEARCH("안감",소재DB_RAW!$M$3:$M))))),"")</f>
        <v/>
      </c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21" t="inlineStr">
        <is>
          <t>X</t>
        </is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",TRUE,UNIQUE(FILTER(소재DB_RAW!$K$3:$K,소재DB_RAW!$G$3:$G=$D23))),"")</f>
        <v/>
      </c>
      <c r="W23" s="20" t="inlineStr">
        <is>
          <t>베트남</t>
        </is>
      </c>
      <c r="X23" s="20">
        <f>IFERROR(TEXTJOIN(" / ",TRUE,UNIQUE(FILTER(소재DB_RAW!$N$3:$N,소재DB_RAW!$G$3:$G=$D23))),"")</f>
        <v/>
      </c>
      <c r="Y23" s="26">
        <f>IFERROR(TEXTJOIN(CHAR(10),TRUE,UNIQUE(FILTER(소재DB_RAW!$N$3:$N&amp;") "&amp;소재DB_RAW!$O$3:$O,(소재DB_RAW!$G$3:$G=$D23)*ISNUMBER(SEARCH("겉감",소재DB_RAW!$M$3:$M))))),"")</f>
        <v/>
      </c>
      <c r="Z23" s="26">
        <f>IFERROR(TEXTJOIN(CHAR(10),TRUE,UNIQUE(FILTER(소재DB_RAW!$N$3:$N&amp;") "&amp;소재DB_RAW!$O$3:$O,(소재DB_RAW!$G$3:$G=$D23)*ISNUMBER(SEARCH("안감",소재DB_RAW!$M$3:$M))))),"")</f>
        <v/>
      </c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21" t="inlineStr">
        <is>
          <t>X</t>
        </is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",TRUE,UNIQUE(FILTER(소재DB_RAW!$K$3:$K,소재DB_RAW!$G$3:$G=$D24))),"")</f>
        <v/>
      </c>
      <c r="W24" s="20" t="inlineStr">
        <is>
          <t>베트남</t>
        </is>
      </c>
      <c r="X24" s="20">
        <f>IFERROR(TEXTJOIN(" / ",TRUE,UNIQUE(FILTER(소재DB_RAW!$N$3:$N,소재DB_RAW!$G$3:$G=$D24))),"")</f>
        <v/>
      </c>
      <c r="Y24" s="26">
        <f>IFERROR(TEXTJOIN(CHAR(10),TRUE,UNIQUE(FILTER(소재DB_RAW!$N$3:$N&amp;") "&amp;소재DB_RAW!$O$3:$O,(소재DB_RAW!$G$3:$G=$D24)*ISNUMBER(SEARCH("겉감",소재DB_RAW!$M$3:$M))))),"")</f>
        <v/>
      </c>
      <c r="Z24" s="26">
        <f>IFERROR(TEXTJOIN(CHAR(10),TRUE,UNIQUE(FILTER(소재DB_RAW!$N$3:$N&amp;") "&amp;소재DB_RAW!$O$3:$O,(소재DB_RAW!$G$3:$G=$D24)*ISNUMBER(SEARCH("안감",소재DB_RAW!$M$3:$M))))),"")</f>
        <v/>
      </c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21" t="inlineStr">
        <is>
          <t>X</t>
        </is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",TRUE,UNIQUE(FILTER(소재DB_RAW!$K$3:$K,소재DB_RAW!$G$3:$G=$D25))),"")</f>
        <v/>
      </c>
      <c r="W25" s="20" t="inlineStr">
        <is>
          <t>베트남</t>
        </is>
      </c>
      <c r="X25" s="20">
        <f>IFERROR(TEXTJOIN(" / ",TRUE,UNIQUE(FILTER(소재DB_RAW!$N$3:$N,소재DB_RAW!$G$3:$G=$D25))),"")</f>
        <v/>
      </c>
      <c r="Y25" s="26">
        <f>IFERROR(TEXTJOIN(CHAR(10),TRUE,UNIQUE(FILTER(소재DB_RAW!$N$3:$N&amp;") "&amp;소재DB_RAW!$O$3:$O,(소재DB_RAW!$G$3:$G=$D25)*ISNUMBER(SEARCH("겉감",소재DB_RAW!$M$3:$M))))),"")</f>
        <v/>
      </c>
      <c r="Z25" s="26">
        <f>IFERROR(TEXTJOIN(CHAR(10),TRUE,UNIQUE(FILTER(소재DB_RAW!$N$3:$N&amp;") "&amp;소재DB_RAW!$O$3:$O,(소재DB_RAW!$G$3:$G=$D25)*ISNUMBER(SEARCH("안감",소재DB_RAW!$M$3:$M))))),"")</f>
        <v/>
      </c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21" t="inlineStr">
        <is>
          <t>X</t>
        </is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",TRUE,UNIQUE(FILTER(소재DB_RAW!$K$3:$K,소재DB_RAW!$G$3:$G=$D26))),"")</f>
        <v/>
      </c>
      <c r="W26" s="20" t="inlineStr">
        <is>
          <t>베트남</t>
        </is>
      </c>
      <c r="X26" s="20">
        <f>IFERROR(TEXTJOIN(" / ",TRUE,UNIQUE(FILTER(소재DB_RAW!$N$3:$N,소재DB_RAW!$G$3:$G=$D26))),"")</f>
        <v/>
      </c>
      <c r="Y26" s="26">
        <f>IFERROR(TEXTJOIN(CHAR(10),TRUE,UNIQUE(FILTER(소재DB_RAW!$N$3:$N&amp;") "&amp;소재DB_RAW!$O$3:$O,(소재DB_RAW!$G$3:$G=$D26)*ISNUMBER(SEARCH("겉감",소재DB_RAW!$M$3:$M))))),"")</f>
        <v/>
      </c>
      <c r="Z26" s="26">
        <f>IFERROR(TEXTJOIN(CHAR(10),TRUE,UNIQUE(FILTER(소재DB_RAW!$N$3:$N&amp;") "&amp;소재DB_RAW!$O$3:$O,(소재DB_RAW!$G$3:$G=$D26)*ISNUMBER(SEARCH("안감",소재DB_RAW!$M$3:$M))))),"")</f>
        <v/>
      </c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21" t="inlineStr">
        <is>
          <t>X</t>
        </is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",TRUE,UNIQUE(FILTER(소재DB_RAW!$K$3:$K,소재DB_RAW!$G$3:$G=$D27))),"")</f>
        <v/>
      </c>
      <c r="W27" s="20" t="inlineStr">
        <is>
          <t>베트남</t>
        </is>
      </c>
      <c r="X27" s="20">
        <f>IFERROR(TEXTJOIN(" / ",TRUE,UNIQUE(FILTER(소재DB_RAW!$N$3:$N,소재DB_RAW!$G$3:$G=$D27))),"")</f>
        <v/>
      </c>
      <c r="Y27" s="26">
        <f>IFERROR(TEXTJOIN(CHAR(10),TRUE,UNIQUE(FILTER(소재DB_RAW!$N$3:$N&amp;") "&amp;소재DB_RAW!$O$3:$O,(소재DB_RAW!$G$3:$G=$D27)*ISNUMBER(SEARCH("겉감",소재DB_RAW!$M$3:$M))))),"")</f>
        <v/>
      </c>
      <c r="Z27" s="26">
        <f>IFERROR(TEXTJOIN(CHAR(10),TRUE,UNIQUE(FILTER(소재DB_RAW!$N$3:$N&amp;") "&amp;소재DB_RAW!$O$3:$O,(소재DB_RAW!$G$3:$G=$D27)*ISNUMBER(SEARCH("안감",소재DB_RAW!$M$3:$M))))),"")</f>
        <v/>
      </c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21" t="inlineStr">
        <is>
          <t>X</t>
        </is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",TRUE,UNIQUE(FILTER(소재DB_RAW!$K$3:$K,소재DB_RAW!$G$3:$G=$D28))),"")</f>
        <v/>
      </c>
      <c r="W28" s="20" t="inlineStr">
        <is>
          <t>국내</t>
        </is>
      </c>
      <c r="X28" s="20">
        <f>IFERROR(TEXTJOIN(" / ",TRUE,UNIQUE(FILTER(소재DB_RAW!$N$3:$N,소재DB_RAW!$G$3:$G=$D28))),"")</f>
        <v/>
      </c>
      <c r="Y28" s="26">
        <f>IFERROR(TEXTJOIN(CHAR(10),TRUE,UNIQUE(FILTER(소재DB_RAW!$N$3:$N&amp;") "&amp;소재DB_RAW!$O$3:$O,(소재DB_RAW!$G$3:$G=$D28)*ISNUMBER(SEARCH("겉감",소재DB_RAW!$M$3:$M))))),"")</f>
        <v/>
      </c>
      <c r="Z28" s="26">
        <f>IFERROR(TEXTJOIN(CHAR(10),TRUE,UNIQUE(FILTER(소재DB_RAW!$N$3:$N&amp;") "&amp;소재DB_RAW!$O$3:$O,(소재DB_RAW!$G$3:$G=$D28)*ISNUMBER(SEARCH("안감",소재DB_RAW!$M$3:$M))))),"")</f>
        <v/>
      </c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21" t="inlineStr">
        <is>
          <t>X</t>
        </is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",TRUE,UNIQUE(FILTER(소재DB_RAW!$K$3:$K,소재DB_RAW!$G$3:$G=$D29))),"")</f>
        <v/>
      </c>
      <c r="W29" s="20" t="inlineStr">
        <is>
          <t>베트남</t>
        </is>
      </c>
      <c r="X29" s="20">
        <f>IFERROR(TEXTJOIN(" / ",TRUE,UNIQUE(FILTER(소재DB_RAW!$N$3:$N,소재DB_RAW!$G$3:$G=$D29))),"")</f>
        <v/>
      </c>
      <c r="Y29" s="26">
        <f>IFERROR(TEXTJOIN(CHAR(10),TRUE,UNIQUE(FILTER(소재DB_RAW!$N$3:$N&amp;") "&amp;소재DB_RAW!$O$3:$O,(소재DB_RAW!$G$3:$G=$D29)*ISNUMBER(SEARCH("겉감",소재DB_RAW!$M$3:$M))))),"")</f>
        <v/>
      </c>
      <c r="Z29" s="26">
        <f>IFERROR(TEXTJOIN(CHAR(10),TRUE,UNIQUE(FILTER(소재DB_RAW!$N$3:$N&amp;") "&amp;소재DB_RAW!$O$3:$O,(소재DB_RAW!$G$3:$G=$D29)*ISNUMBER(SEARCH("안감",소재DB_RAW!$M$3:$M))))),"")</f>
        <v/>
      </c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21" t="inlineStr">
        <is>
          <t>X</t>
        </is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",TRUE,UNIQUE(FILTER(소재DB_RAW!$K$3:$K,소재DB_RAW!$G$3:$G=$D30))),"")</f>
        <v/>
      </c>
      <c r="W30" s="20" t="inlineStr">
        <is>
          <t>베트남</t>
        </is>
      </c>
      <c r="X30" s="20">
        <f>IFERROR(TEXTJOIN(" / ",TRUE,UNIQUE(FILTER(소재DB_RAW!$N$3:$N,소재DB_RAW!$G$3:$G=$D30))),"")</f>
        <v/>
      </c>
      <c r="Y30" s="26">
        <f>IFERROR(TEXTJOIN(CHAR(10),TRUE,UNIQUE(FILTER(소재DB_RAW!$N$3:$N&amp;") "&amp;소재DB_RAW!$O$3:$O,(소재DB_RAW!$G$3:$G=$D30)*ISNUMBER(SEARCH("겉감",소재DB_RAW!$M$3:$M))))),"")</f>
        <v/>
      </c>
      <c r="Z30" s="26">
        <f>IFERROR(TEXTJOIN(CHAR(10),TRUE,UNIQUE(FILTER(소재DB_RAW!$N$3:$N&amp;") "&amp;소재DB_RAW!$O$3:$O,(소재DB_RAW!$G$3:$G=$D30)*ISNUMBER(SEARCH("안감",소재DB_RAW!$M$3:$M))))),"")</f>
        <v/>
      </c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21" t="inlineStr">
        <is>
          <t>X</t>
        </is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",TRUE,UNIQUE(FILTER(소재DB_RAW!$K$3:$K,소재DB_RAW!$G$3:$G=$D31))),"")</f>
        <v/>
      </c>
      <c r="W31" s="20" t="inlineStr">
        <is>
          <t>베트남</t>
        </is>
      </c>
      <c r="X31" s="20">
        <f>IFERROR(TEXTJOIN(" / ",TRUE,UNIQUE(FILTER(소재DB_RAW!$N$3:$N,소재DB_RAW!$G$3:$G=$D31))),"")</f>
        <v/>
      </c>
      <c r="Y31" s="26">
        <f>IFERROR(TEXTJOIN(CHAR(10),TRUE,UNIQUE(FILTER(소재DB_RAW!$N$3:$N&amp;") "&amp;소재DB_RAW!$O$3:$O,(소재DB_RAW!$G$3:$G=$D31)*ISNUMBER(SEARCH("겉감",소재DB_RAW!$M$3:$M))))),"")</f>
        <v/>
      </c>
      <c r="Z31" s="26">
        <f>IFERROR(TEXTJOIN(CHAR(10),TRUE,UNIQUE(FILTER(소재DB_RAW!$N$3:$N&amp;") "&amp;소재DB_RAW!$O$3:$O,(소재DB_RAW!$G$3:$G=$D31)*ISNUMBER(SEARCH("안감",소재DB_RAW!$M$3:$M))))),"")</f>
        <v/>
      </c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21" t="inlineStr">
        <is>
          <t>X</t>
        </is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",TRUE,UNIQUE(FILTER(소재DB_RAW!$K$3:$K,소재DB_RAW!$G$3:$G=$D32))),"")</f>
        <v/>
      </c>
      <c r="W32" s="20" t="inlineStr">
        <is>
          <t>베트남</t>
        </is>
      </c>
      <c r="X32" s="20">
        <f>IFERROR(TEXTJOIN(" / ",TRUE,UNIQUE(FILTER(소재DB_RAW!$N$3:$N,소재DB_RAW!$G$3:$G=$D32))),"")</f>
        <v/>
      </c>
      <c r="Y32" s="26">
        <f>IFERROR(TEXTJOIN(CHAR(10),TRUE,UNIQUE(FILTER(소재DB_RAW!$N$3:$N&amp;") "&amp;소재DB_RAW!$O$3:$O,(소재DB_RAW!$G$3:$G=$D32)*ISNUMBER(SEARCH("겉감",소재DB_RAW!$M$3:$M))))),"")</f>
        <v/>
      </c>
      <c r="Z32" s="26">
        <f>IFERROR(TEXTJOIN(CHAR(10),TRUE,UNIQUE(FILTER(소재DB_RAW!$N$3:$N&amp;") "&amp;소재DB_RAW!$O$3:$O,(소재DB_RAW!$G$3:$G=$D32)*ISNUMBER(SEARCH("안감",소재DB_RAW!$M$3:$M))))),"")</f>
        <v/>
      </c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21" t="n"/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",TRUE,UNIQUE(FILTER(소재DB_RAW!$K$3:$K,소재DB_RAW!$G$3:$G=$D33))),"")</f>
        <v/>
      </c>
      <c r="W33" s="20" t="inlineStr">
        <is>
          <t>베트남</t>
        </is>
      </c>
      <c r="X33" s="20">
        <f>IFERROR(TEXTJOIN(" / ",TRUE,UNIQUE(FILTER(소재DB_RAW!$N$3:$N,소재DB_RAW!$G$3:$G=$D33))),"")</f>
        <v/>
      </c>
      <c r="Y33" s="26">
        <f>IFERROR(TEXTJOIN(CHAR(10),TRUE,UNIQUE(FILTER(소재DB_RAW!$N$3:$N&amp;") "&amp;소재DB_RAW!$O$3:$O,(소재DB_RAW!$G$3:$G=$D33)*ISNUMBER(SEARCH("겉감",소재DB_RAW!$M$3:$M))))),"")</f>
        <v/>
      </c>
      <c r="Z33" s="26">
        <f>IFERROR(TEXTJOIN(CHAR(10),TRUE,UNIQUE(FILTER(소재DB_RAW!$N$3:$N&amp;") "&amp;소재DB_RAW!$O$3:$O,(소재DB_RAW!$G$3:$G=$D33)*ISNUMBER(SEARCH("안감",소재DB_RAW!$M$3:$M))))),"")</f>
        <v/>
      </c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21" t="inlineStr">
        <is>
          <t>X</t>
        </is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",TRUE,UNIQUE(FILTER(소재DB_RAW!$K$3:$K,소재DB_RAW!$G$3:$G=$D34))),"")</f>
        <v/>
      </c>
      <c r="W34" s="20" t="inlineStr">
        <is>
          <t>베트남</t>
        </is>
      </c>
      <c r="X34" s="20">
        <f>IFERROR(TEXTJOIN(" / ",TRUE,UNIQUE(FILTER(소재DB_RAW!$N$3:$N,소재DB_RAW!$G$3:$G=$D34))),"")</f>
        <v/>
      </c>
      <c r="Y34" s="26">
        <f>IFERROR(TEXTJOIN(CHAR(10),TRUE,UNIQUE(FILTER(소재DB_RAW!$N$3:$N&amp;") "&amp;소재DB_RAW!$O$3:$O,(소재DB_RAW!$G$3:$G=$D34)*ISNUMBER(SEARCH("겉감",소재DB_RAW!$M$3:$M))))),"")</f>
        <v/>
      </c>
      <c r="Z34" s="26">
        <f>IFERROR(TEXTJOIN(CHAR(10),TRUE,UNIQUE(FILTER(소재DB_RAW!$N$3:$N&amp;") "&amp;소재DB_RAW!$O$3:$O,(소재DB_RAW!$G$3:$G=$D34)*ISNUMBER(SEARCH("안감",소재DB_RAW!$M$3:$M))))),"")</f>
        <v/>
      </c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21" t="inlineStr">
        <is>
          <t>X</t>
        </is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",TRUE,UNIQUE(FILTER(소재DB_RAW!$K$3:$K,소재DB_RAW!$G$3:$G=$D35))),"")</f>
        <v/>
      </c>
      <c r="W35" s="20" t="inlineStr">
        <is>
          <t>베트남</t>
        </is>
      </c>
      <c r="X35" s="20">
        <f>IFERROR(TEXTJOIN(" / ",TRUE,UNIQUE(FILTER(소재DB_RAW!$N$3:$N,소재DB_RAW!$G$3:$G=$D35))),"")</f>
        <v/>
      </c>
      <c r="Y35" s="26">
        <f>IFERROR(TEXTJOIN(CHAR(10),TRUE,UNIQUE(FILTER(소재DB_RAW!$N$3:$N&amp;") "&amp;소재DB_RAW!$O$3:$O,(소재DB_RAW!$G$3:$G=$D35)*ISNUMBER(SEARCH("겉감",소재DB_RAW!$M$3:$M))))),"")</f>
        <v/>
      </c>
      <c r="Z35" s="26">
        <f>IFERROR(TEXTJOIN(CHAR(10),TRUE,UNIQUE(FILTER(소재DB_RAW!$N$3:$N&amp;") "&amp;소재DB_RAW!$O$3:$O,(소재DB_RAW!$G$3:$G=$D35)*ISNUMBER(SEARCH("안감",소재DB_RAW!$M$3:$M))))),"")</f>
        <v/>
      </c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21" t="n"/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",TRUE,UNIQUE(FILTER(소재DB_RAW!$K$3:$K,소재DB_RAW!$G$3:$G=$D36))),"")</f>
        <v/>
      </c>
      <c r="W36" s="20" t="inlineStr">
        <is>
          <t>베트남</t>
        </is>
      </c>
      <c r="X36" s="20">
        <f>IFERROR(TEXTJOIN(" / ",TRUE,UNIQUE(FILTER(소재DB_RAW!$N$3:$N,소재DB_RAW!$G$3:$G=$D36))),"")</f>
        <v/>
      </c>
      <c r="Y36" s="26">
        <f>IFERROR(TEXTJOIN(CHAR(10),TRUE,UNIQUE(FILTER(소재DB_RAW!$N$3:$N&amp;") "&amp;소재DB_RAW!$O$3:$O,(소재DB_RAW!$G$3:$G=$D36)*ISNUMBER(SEARCH("겉감",소재DB_RAW!$M$3:$M))))),"")</f>
        <v/>
      </c>
      <c r="Z36" s="26">
        <f>IFERROR(TEXTJOIN(CHAR(10),TRUE,UNIQUE(FILTER(소재DB_RAW!$N$3:$N&amp;") "&amp;소재DB_RAW!$O$3:$O,(소재DB_RAW!$G$3:$G=$D36)*ISNUMBER(SEARCH("안감",소재DB_RAW!$M$3:$M))))),"")</f>
        <v/>
      </c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21" t="inlineStr">
        <is>
          <t>X</t>
        </is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",TRUE,UNIQUE(FILTER(소재DB_RAW!$K$3:$K,소재DB_RAW!$G$3:$G=$D37))),"")</f>
        <v/>
      </c>
      <c r="W37" s="20" t="inlineStr">
        <is>
          <t>베트남</t>
        </is>
      </c>
      <c r="X37" s="20">
        <f>IFERROR(TEXTJOIN(" / ",TRUE,UNIQUE(FILTER(소재DB_RAW!$N$3:$N,소재DB_RAW!$G$3:$G=$D37))),"")</f>
        <v/>
      </c>
      <c r="Y37" s="26">
        <f>IFERROR(TEXTJOIN(CHAR(10),TRUE,UNIQUE(FILTER(소재DB_RAW!$N$3:$N&amp;") "&amp;소재DB_RAW!$O$3:$O,(소재DB_RAW!$G$3:$G=$D37)*ISNUMBER(SEARCH("겉감",소재DB_RAW!$M$3:$M))))),"")</f>
        <v/>
      </c>
      <c r="Z37" s="26">
        <f>IFERROR(TEXTJOIN(CHAR(10),TRUE,UNIQUE(FILTER(소재DB_RAW!$N$3:$N&amp;") "&amp;소재DB_RAW!$O$3:$O,(소재DB_RAW!$G$3:$G=$D37)*ISNUMBER(SEARCH("안감",소재DB_RAW!$M$3:$M))))),"")</f>
        <v/>
      </c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21" t="inlineStr">
        <is>
          <t>X</t>
        </is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",TRUE,UNIQUE(FILTER(소재DB_RAW!$K$3:$K,소재DB_RAW!$G$3:$G=$D38))),"")</f>
        <v/>
      </c>
      <c r="W38" s="20" t="inlineStr">
        <is>
          <t>베트남</t>
        </is>
      </c>
      <c r="X38" s="20">
        <f>IFERROR(TEXTJOIN(" / ",TRUE,UNIQUE(FILTER(소재DB_RAW!$N$3:$N,소재DB_RAW!$G$3:$G=$D38))),"")</f>
        <v/>
      </c>
      <c r="Y38" s="26">
        <f>IFERROR(TEXTJOIN(CHAR(10),TRUE,UNIQUE(FILTER(소재DB_RAW!$N$3:$N&amp;") "&amp;소재DB_RAW!$O$3:$O,(소재DB_RAW!$G$3:$G=$D38)*ISNUMBER(SEARCH("겉감",소재DB_RAW!$M$3:$M))))),"")</f>
        <v/>
      </c>
      <c r="Z38" s="26">
        <f>IFERROR(TEXTJOIN(CHAR(10),TRUE,UNIQUE(FILTER(소재DB_RAW!$N$3:$N&amp;") "&amp;소재DB_RAW!$O$3:$O,(소재DB_RAW!$G$3:$G=$D38)*ISNUMBER(SEARCH("안감",소재DB_RAW!$M$3:$M))))),"")</f>
        <v/>
      </c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21" t="inlineStr">
        <is>
          <t>X</t>
        </is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",TRUE,UNIQUE(FILTER(소재DB_RAW!$K$3:$K,소재DB_RAW!$G$3:$G=$D39))),"")</f>
        <v/>
      </c>
      <c r="W39" s="20" t="inlineStr">
        <is>
          <t>중국</t>
        </is>
      </c>
      <c r="X39" s="20">
        <f>IFERROR(TEXTJOIN(" / ",TRUE,UNIQUE(FILTER(소재DB_RAW!$N$3:$N,소재DB_RAW!$G$3:$G=$D39))),"")</f>
        <v/>
      </c>
      <c r="Y39" s="26">
        <f>IFERROR(TEXTJOIN(CHAR(10),TRUE,UNIQUE(FILTER(소재DB_RAW!$N$3:$N&amp;") "&amp;소재DB_RAW!$O$3:$O,(소재DB_RAW!$G$3:$G=$D39)*ISNUMBER(SEARCH("겉감",소재DB_RAW!$M$3:$M))))),"")</f>
        <v/>
      </c>
      <c r="Z39" s="26">
        <f>IFERROR(TEXTJOIN(CHAR(10),TRUE,UNIQUE(FILTER(소재DB_RAW!$N$3:$N&amp;") "&amp;소재DB_RAW!$O$3:$O,(소재DB_RAW!$G$3:$G=$D39)*ISNUMBER(SEARCH("안감",소재DB_RAW!$M$3:$M))))),"")</f>
        <v/>
      </c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21" t="inlineStr">
        <is>
          <t>X</t>
        </is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",TRUE,UNIQUE(FILTER(소재DB_RAW!$K$3:$K,소재DB_RAW!$G$3:$G=$D40))),"")</f>
        <v/>
      </c>
      <c r="W40" s="20" t="inlineStr"/>
      <c r="X40" s="20">
        <f>IFERROR(TEXTJOIN(" / ",TRUE,UNIQUE(FILTER(소재DB_RAW!$N$3:$N,소재DB_RAW!$G$3:$G=$D40))),"")</f>
        <v/>
      </c>
      <c r="Y40" s="26">
        <f>IFERROR(TEXTJOIN(CHAR(10),TRUE,UNIQUE(FILTER(소재DB_RAW!$N$3:$N&amp;") "&amp;소재DB_RAW!$O$3:$O,(소재DB_RAW!$G$3:$G=$D40)*ISNUMBER(SEARCH("겉감",소재DB_RAW!$M$3:$M))))),"")</f>
        <v/>
      </c>
      <c r="Z40" s="26">
        <f>IFERROR(TEXTJOIN(CHAR(10),TRUE,UNIQUE(FILTER(소재DB_RAW!$N$3:$N&amp;") "&amp;소재DB_RAW!$O$3:$O,(소재DB_RAW!$G$3:$G=$D40)*ISNUMBER(SEARCH("안감",소재DB_RAW!$M$3:$M))))),"")</f>
        <v/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21" t="inlineStr">
        <is>
          <t>X</t>
        </is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",TRUE,UNIQUE(FILTER(소재DB_RAW!$K$3:$K,소재DB_RAW!$G$3:$G=$D41))),"")</f>
        <v/>
      </c>
      <c r="W41" s="20" t="inlineStr">
        <is>
          <t>베트남</t>
        </is>
      </c>
      <c r="X41" s="20">
        <f>IFERROR(TEXTJOIN(" / ",TRUE,UNIQUE(FILTER(소재DB_RAW!$N$3:$N,소재DB_RAW!$G$3:$G=$D41))),"")</f>
        <v/>
      </c>
      <c r="Y41" s="26">
        <f>IFERROR(TEXTJOIN(CHAR(10),TRUE,UNIQUE(FILTER(소재DB_RAW!$N$3:$N&amp;") "&amp;소재DB_RAW!$O$3:$O,(소재DB_RAW!$G$3:$G=$D41)*ISNUMBER(SEARCH("겉감",소재DB_RAW!$M$3:$M))))),"")</f>
        <v/>
      </c>
      <c r="Z41" s="26">
        <f>IFERROR(TEXTJOIN(CHAR(10),TRUE,UNIQUE(FILTER(소재DB_RAW!$N$3:$N&amp;") "&amp;소재DB_RAW!$O$3:$O,(소재DB_RAW!$G$3:$G=$D41)*ISNUMBER(SEARCH("안감",소재DB_RAW!$M$3:$M))))),"")</f>
        <v/>
      </c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21" t="inlineStr">
        <is>
          <t>X</t>
        </is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",TRUE,UNIQUE(FILTER(소재DB_RAW!$K$3:$K,소재DB_RAW!$G$3:$G=$D42))),"")</f>
        <v/>
      </c>
      <c r="W42" s="20" t="inlineStr">
        <is>
          <t>베트남</t>
        </is>
      </c>
      <c r="X42" s="20">
        <f>IFERROR(TEXTJOIN(" / ",TRUE,UNIQUE(FILTER(소재DB_RAW!$N$3:$N,소재DB_RAW!$G$3:$G=$D42))),"")</f>
        <v/>
      </c>
      <c r="Y42" s="26">
        <f>IFERROR(TEXTJOIN(CHAR(10),TRUE,UNIQUE(FILTER(소재DB_RAW!$N$3:$N&amp;") "&amp;소재DB_RAW!$O$3:$O,(소재DB_RAW!$G$3:$G=$D42)*ISNUMBER(SEARCH("겉감",소재DB_RAW!$M$3:$M))))),"")</f>
        <v/>
      </c>
      <c r="Z42" s="26">
        <f>IFERROR(TEXTJOIN(CHAR(10),TRUE,UNIQUE(FILTER(소재DB_RAW!$N$3:$N&amp;") "&amp;소재DB_RAW!$O$3:$O,(소재DB_RAW!$G$3:$G=$D42)*ISNUMBER(SEARCH("안감",소재DB_RAW!$M$3:$M))))),"")</f>
        <v/>
      </c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21" t="inlineStr">
        <is>
          <t>X</t>
        </is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",TRUE,UNIQUE(FILTER(소재DB_RAW!$K$3:$K,소재DB_RAW!$G$3:$G=$D43))),"")</f>
        <v/>
      </c>
      <c r="W43" s="20" t="inlineStr">
        <is>
          <t>베트남</t>
        </is>
      </c>
      <c r="X43" s="20">
        <f>IFERROR(TEXTJOIN(" / ",TRUE,UNIQUE(FILTER(소재DB_RAW!$N$3:$N,소재DB_RAW!$G$3:$G=$D43))),"")</f>
        <v/>
      </c>
      <c r="Y43" s="26">
        <f>IFERROR(TEXTJOIN(CHAR(10),TRUE,UNIQUE(FILTER(소재DB_RAW!$N$3:$N&amp;") "&amp;소재DB_RAW!$O$3:$O,(소재DB_RAW!$G$3:$G=$D43)*ISNUMBER(SEARCH("겉감",소재DB_RAW!$M$3:$M))))),"")</f>
        <v/>
      </c>
      <c r="Z43" s="26">
        <f>IFERROR(TEXTJOIN(CHAR(10),TRUE,UNIQUE(FILTER(소재DB_RAW!$N$3:$N&amp;") "&amp;소재DB_RAW!$O$3:$O,(소재DB_RAW!$G$3:$G=$D43)*ISNUMBER(SEARCH("안감",소재DB_RAW!$M$3:$M))))),"")</f>
        <v/>
      </c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21" t="inlineStr">
        <is>
          <t>X</t>
        </is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",TRUE,UNIQUE(FILTER(소재DB_RAW!$K$3:$K,소재DB_RAW!$G$3:$G=$D44))),"")</f>
        <v/>
      </c>
      <c r="W44" s="20" t="inlineStr"/>
      <c r="X44" s="20">
        <f>IFERROR(TEXTJOIN(" / ",TRUE,UNIQUE(FILTER(소재DB_RAW!$N$3:$N,소재DB_RAW!$G$3:$G=$D44))),"")</f>
        <v/>
      </c>
      <c r="Y44" s="26">
        <f>IFERROR(TEXTJOIN(CHAR(10),TRUE,UNIQUE(FILTER(소재DB_RAW!$N$3:$N&amp;") "&amp;소재DB_RAW!$O$3:$O,(소재DB_RAW!$G$3:$G=$D44)*ISNUMBER(SEARCH("겉감",소재DB_RAW!$M$3:$M))))),"")</f>
        <v/>
      </c>
      <c r="Z44" s="26">
        <f>IFERROR(TEXTJOIN(CHAR(10),TRUE,UNIQUE(FILTER(소재DB_RAW!$N$3:$N&amp;") "&amp;소재DB_RAW!$O$3:$O,(소재DB_RAW!$G$3:$G=$D44)*ISNUMBER(SEARCH("안감",소재DB_RAW!$M$3:$M))))),"")</f>
        <v/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21" t="inlineStr">
        <is>
          <t>X</t>
        </is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",TRUE,UNIQUE(FILTER(소재DB_RAW!$K$3:$K,소재DB_RAW!$G$3:$G=$D45))),"")</f>
        <v/>
      </c>
      <c r="W45" s="20" t="inlineStr">
        <is>
          <t>인도네시아</t>
        </is>
      </c>
      <c r="X45" s="20">
        <f>IFERROR(TEXTJOIN(" / ",TRUE,UNIQUE(FILTER(소재DB_RAW!$N$3:$N,소재DB_RAW!$G$3:$G=$D45))),"")</f>
        <v/>
      </c>
      <c r="Y45" s="26">
        <f>IFERROR(TEXTJOIN(CHAR(10),TRUE,UNIQUE(FILTER(소재DB_RAW!$N$3:$N&amp;") "&amp;소재DB_RAW!$O$3:$O,(소재DB_RAW!$G$3:$G=$D45)*ISNUMBER(SEARCH("겉감",소재DB_RAW!$M$3:$M))))),"")</f>
        <v/>
      </c>
      <c r="Z45" s="26">
        <f>IFERROR(TEXTJOIN(CHAR(10),TRUE,UNIQUE(FILTER(소재DB_RAW!$N$3:$N&amp;") "&amp;소재DB_RAW!$O$3:$O,(소재DB_RAW!$G$3:$G=$D45)*ISNUMBER(SEARCH("안감",소재DB_RAW!$M$3:$M))))),"")</f>
        <v/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21" t="inlineStr">
        <is>
          <t>X</t>
        </is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",TRUE,UNIQUE(FILTER(소재DB_RAW!$K$3:$K,소재DB_RAW!$G$3:$G=$D46))),"")</f>
        <v/>
      </c>
      <c r="W46" s="20" t="inlineStr">
        <is>
          <t>베트남</t>
        </is>
      </c>
      <c r="X46" s="20">
        <f>IFERROR(TEXTJOIN(" / ",TRUE,UNIQUE(FILTER(소재DB_RAW!$N$3:$N,소재DB_RAW!$G$3:$G=$D46))),"")</f>
        <v/>
      </c>
      <c r="Y46" s="26">
        <f>IFERROR(TEXTJOIN(CHAR(10),TRUE,UNIQUE(FILTER(소재DB_RAW!$N$3:$N&amp;") "&amp;소재DB_RAW!$O$3:$O,(소재DB_RAW!$G$3:$G=$D46)*ISNUMBER(SEARCH("겉감",소재DB_RAW!$M$3:$M))))),"")</f>
        <v/>
      </c>
      <c r="Z46" s="26">
        <f>IFERROR(TEXTJOIN(CHAR(10),TRUE,UNIQUE(FILTER(소재DB_RAW!$N$3:$N&amp;") "&amp;소재DB_RAW!$O$3:$O,(소재DB_RAW!$G$3:$G=$D46)*ISNUMBER(SEARCH("안감",소재DB_RAW!$M$3:$M))))),"")</f>
        <v/>
      </c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21" t="inlineStr">
        <is>
          <t>X</t>
        </is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",TRUE,UNIQUE(FILTER(소재DB_RAW!$K$3:$K,소재DB_RAW!$G$3:$G=$D47))),"")</f>
        <v/>
      </c>
      <c r="W47" s="20" t="inlineStr">
        <is>
          <t>베트남</t>
        </is>
      </c>
      <c r="X47" s="20">
        <f>IFERROR(TEXTJOIN(" / ",TRUE,UNIQUE(FILTER(소재DB_RAW!$N$3:$N,소재DB_RAW!$G$3:$G=$D47))),"")</f>
        <v/>
      </c>
      <c r="Y47" s="26">
        <f>IFERROR(TEXTJOIN(CHAR(10),TRUE,UNIQUE(FILTER(소재DB_RAW!$N$3:$N&amp;") "&amp;소재DB_RAW!$O$3:$O,(소재DB_RAW!$G$3:$G=$D47)*ISNUMBER(SEARCH("겉감",소재DB_RAW!$M$3:$M))))),"")</f>
        <v/>
      </c>
      <c r="Z47" s="26">
        <f>IFERROR(TEXTJOIN(CHAR(10),TRUE,UNIQUE(FILTER(소재DB_RAW!$N$3:$N&amp;") "&amp;소재DB_RAW!$O$3:$O,(소재DB_RAW!$G$3:$G=$D47)*ISNUMBER(SEARCH("안감",소재DB_RAW!$M$3:$M))))),"")</f>
        <v/>
      </c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21" t="inlineStr">
        <is>
          <t>X</t>
        </is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",TRUE,UNIQUE(FILTER(소재DB_RAW!$K$3:$K,소재DB_RAW!$G$3:$G=$D48))),"")</f>
        <v/>
      </c>
      <c r="W48" s="20" t="inlineStr">
        <is>
          <t>베트남</t>
        </is>
      </c>
      <c r="X48" s="20">
        <f>IFERROR(TEXTJOIN(" / ",TRUE,UNIQUE(FILTER(소재DB_RAW!$N$3:$N,소재DB_RAW!$G$3:$G=$D48))),"")</f>
        <v/>
      </c>
      <c r="Y48" s="26">
        <f>IFERROR(TEXTJOIN(CHAR(10),TRUE,UNIQUE(FILTER(소재DB_RAW!$N$3:$N&amp;") "&amp;소재DB_RAW!$O$3:$O,(소재DB_RAW!$G$3:$G=$D48)*ISNUMBER(SEARCH("겉감",소재DB_RAW!$M$3:$M))))),"")</f>
        <v/>
      </c>
      <c r="Z48" s="26">
        <f>IFERROR(TEXTJOIN(CHAR(10),TRUE,UNIQUE(FILTER(소재DB_RAW!$N$3:$N&amp;") "&amp;소재DB_RAW!$O$3:$O,(소재DB_RAW!$G$3:$G=$D48)*ISNUMBER(SEARCH("안감",소재DB_RAW!$M$3:$M))))),"")</f>
        <v/>
      </c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21" t="inlineStr">
        <is>
          <t>X</t>
        </is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",TRUE,UNIQUE(FILTER(소재DB_RAW!$K$3:$K,소재DB_RAW!$G$3:$G=$D49))),"")</f>
        <v/>
      </c>
      <c r="W49" s="20" t="inlineStr">
        <is>
          <t>베트남</t>
        </is>
      </c>
      <c r="X49" s="20">
        <f>IFERROR(TEXTJOIN(" / ",TRUE,UNIQUE(FILTER(소재DB_RAW!$N$3:$N,소재DB_RAW!$G$3:$G=$D49))),"")</f>
        <v/>
      </c>
      <c r="Y49" s="26">
        <f>IFERROR(TEXTJOIN(CHAR(10),TRUE,UNIQUE(FILTER(소재DB_RAW!$N$3:$N&amp;") "&amp;소재DB_RAW!$O$3:$O,(소재DB_RAW!$G$3:$G=$D49)*ISNUMBER(SEARCH("겉감",소재DB_RAW!$M$3:$M))))),"")</f>
        <v/>
      </c>
      <c r="Z49" s="26">
        <f>IFERROR(TEXTJOIN(CHAR(10),TRUE,UNIQUE(FILTER(소재DB_RAW!$N$3:$N&amp;") "&amp;소재DB_RAW!$O$3:$O,(소재DB_RAW!$G$3:$G=$D49)*ISNUMBER(SEARCH("안감",소재DB_RAW!$M$3:$M))))),"")</f>
        <v/>
      </c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21" t="inlineStr">
        <is>
          <t>X</t>
        </is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",TRUE,UNIQUE(FILTER(소재DB_RAW!$K$3:$K,소재DB_RAW!$G$3:$G=$D50))),"")</f>
        <v/>
      </c>
      <c r="W50" s="20" t="inlineStr">
        <is>
          <t>인도네시아</t>
        </is>
      </c>
      <c r="X50" s="20">
        <f>IFERROR(TEXTJOIN(" / ",TRUE,UNIQUE(FILTER(소재DB_RAW!$N$3:$N,소재DB_RAW!$G$3:$G=$D50))),"")</f>
        <v/>
      </c>
      <c r="Y50" s="26">
        <f>IFERROR(TEXTJOIN(CHAR(10),TRUE,UNIQUE(FILTER(소재DB_RAW!$N$3:$N&amp;") "&amp;소재DB_RAW!$O$3:$O,(소재DB_RAW!$G$3:$G=$D50)*ISNUMBER(SEARCH("겉감",소재DB_RAW!$M$3:$M))))),"")</f>
        <v/>
      </c>
      <c r="Z50" s="26">
        <f>IFERROR(TEXTJOIN(CHAR(10),TRUE,UNIQUE(FILTER(소재DB_RAW!$N$3:$N&amp;") "&amp;소재DB_RAW!$O$3:$O,(소재DB_RAW!$G$3:$G=$D50)*ISNUMBER(SEARCH("안감",소재DB_RAW!$M$3:$M))))),"")</f>
        <v/>
      </c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21" t="inlineStr">
        <is>
          <t>X</t>
        </is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",TRUE,UNIQUE(FILTER(소재DB_RAW!$K$3:$K,소재DB_RAW!$G$3:$G=$D51))),"")</f>
        <v/>
      </c>
      <c r="W51" s="20" t="inlineStr">
        <is>
          <t>인도네시아</t>
        </is>
      </c>
      <c r="X51" s="20">
        <f>IFERROR(TEXTJOIN(" / ",TRUE,UNIQUE(FILTER(소재DB_RAW!$N$3:$N,소재DB_RAW!$G$3:$G=$D51))),"")</f>
        <v/>
      </c>
      <c r="Y51" s="26">
        <f>IFERROR(TEXTJOIN(CHAR(10),TRUE,UNIQUE(FILTER(소재DB_RAW!$N$3:$N&amp;") "&amp;소재DB_RAW!$O$3:$O,(소재DB_RAW!$G$3:$G=$D51)*ISNUMBER(SEARCH("겉감",소재DB_RAW!$M$3:$M))))),"")</f>
        <v/>
      </c>
      <c r="Z51" s="26">
        <f>IFERROR(TEXTJOIN(CHAR(10),TRUE,UNIQUE(FILTER(소재DB_RAW!$N$3:$N&amp;") "&amp;소재DB_RAW!$O$3:$O,(소재DB_RAW!$G$3:$G=$D51)*ISNUMBER(SEARCH("안감",소재DB_RAW!$M$3:$M))))),"")</f>
        <v/>
      </c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21" t="inlineStr">
        <is>
          <t>X</t>
        </is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",TRUE,UNIQUE(FILTER(소재DB_RAW!$K$3:$K,소재DB_RAW!$G$3:$G=$D52))),"")</f>
        <v/>
      </c>
      <c r="W52" s="20" t="inlineStr">
        <is>
          <t>인도네시아</t>
        </is>
      </c>
      <c r="X52" s="20">
        <f>IFERROR(TEXTJOIN(" / ",TRUE,UNIQUE(FILTER(소재DB_RAW!$N$3:$N,소재DB_RAW!$G$3:$G=$D52))),"")</f>
        <v/>
      </c>
      <c r="Y52" s="26">
        <f>IFERROR(TEXTJOIN(CHAR(10),TRUE,UNIQUE(FILTER(소재DB_RAW!$N$3:$N&amp;") "&amp;소재DB_RAW!$O$3:$O,(소재DB_RAW!$G$3:$G=$D52)*ISNUMBER(SEARCH("겉감",소재DB_RAW!$M$3:$M))))),"")</f>
        <v/>
      </c>
      <c r="Z52" s="26">
        <f>IFERROR(TEXTJOIN(CHAR(10),TRUE,UNIQUE(FILTER(소재DB_RAW!$N$3:$N&amp;") "&amp;소재DB_RAW!$O$3:$O,(소재DB_RAW!$G$3:$G=$D52)*ISNUMBER(SEARCH("안감",소재DB_RAW!$M$3:$M))))),"")</f>
        <v/>
      </c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21" t="inlineStr">
        <is>
          <t>X</t>
        </is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",TRUE,UNIQUE(FILTER(소재DB_RAW!$K$3:$K,소재DB_RAW!$G$3:$G=$D53))),"")</f>
        <v/>
      </c>
      <c r="W53" s="20" t="inlineStr">
        <is>
          <t>인도네시아</t>
        </is>
      </c>
      <c r="X53" s="20">
        <f>IFERROR(TEXTJOIN(" / ",TRUE,UNIQUE(FILTER(소재DB_RAW!$N$3:$N,소재DB_RAW!$G$3:$G=$D53))),"")</f>
        <v/>
      </c>
      <c r="Y53" s="26">
        <f>IFERROR(TEXTJOIN(CHAR(10),TRUE,UNIQUE(FILTER(소재DB_RAW!$N$3:$N&amp;") "&amp;소재DB_RAW!$O$3:$O,(소재DB_RAW!$G$3:$G=$D53)*ISNUMBER(SEARCH("겉감",소재DB_RAW!$M$3:$M))))),"")</f>
        <v/>
      </c>
      <c r="Z53" s="26">
        <f>IFERROR(TEXTJOIN(CHAR(10),TRUE,UNIQUE(FILTER(소재DB_RAW!$N$3:$N&amp;") "&amp;소재DB_RAW!$O$3:$O,(소재DB_RAW!$G$3:$G=$D53)*ISNUMBER(SEARCH("안감",소재DB_RAW!$M$3:$M))))),"")</f>
        <v/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21" t="inlineStr">
        <is>
          <t>X</t>
        </is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",TRUE,UNIQUE(FILTER(소재DB_RAW!$K$3:$K,소재DB_RAW!$G$3:$G=$D54))),"")</f>
        <v/>
      </c>
      <c r="W54" s="20" t="inlineStr">
        <is>
          <t>베트남</t>
        </is>
      </c>
      <c r="X54" s="20">
        <f>IFERROR(TEXTJOIN(" / ",TRUE,UNIQUE(FILTER(소재DB_RAW!$N$3:$N,소재DB_RAW!$G$3:$G=$D54))),"")</f>
        <v/>
      </c>
      <c r="Y54" s="26">
        <f>IFERROR(TEXTJOIN(CHAR(10),TRUE,UNIQUE(FILTER(소재DB_RAW!$N$3:$N&amp;") "&amp;소재DB_RAW!$O$3:$O,(소재DB_RAW!$G$3:$G=$D54)*ISNUMBER(SEARCH("겉감",소재DB_RAW!$M$3:$M))))),"")</f>
        <v/>
      </c>
      <c r="Z54" s="26">
        <f>IFERROR(TEXTJOIN(CHAR(10),TRUE,UNIQUE(FILTER(소재DB_RAW!$N$3:$N&amp;") "&amp;소재DB_RAW!$O$3:$O,(소재DB_RAW!$G$3:$G=$D54)*ISNUMBER(SEARCH("안감",소재DB_RAW!$M$3:$M))))),"")</f>
        <v/>
      </c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21" t="inlineStr">
        <is>
          <t>X</t>
        </is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",TRUE,UNIQUE(FILTER(소재DB_RAW!$K$3:$K,소재DB_RAW!$G$3:$G=$D55))),"")</f>
        <v/>
      </c>
      <c r="W55" s="20" t="inlineStr">
        <is>
          <t>베트남</t>
        </is>
      </c>
      <c r="X55" s="20">
        <f>IFERROR(TEXTJOIN(" / ",TRUE,UNIQUE(FILTER(소재DB_RAW!$N$3:$N,소재DB_RAW!$G$3:$G=$D55))),"")</f>
        <v/>
      </c>
      <c r="Y55" s="26">
        <f>IFERROR(TEXTJOIN(CHAR(10),TRUE,UNIQUE(FILTER(소재DB_RAW!$N$3:$N&amp;") "&amp;소재DB_RAW!$O$3:$O,(소재DB_RAW!$G$3:$G=$D55)*ISNUMBER(SEARCH("겉감",소재DB_RAW!$M$3:$M))))),"")</f>
        <v/>
      </c>
      <c r="Z55" s="26">
        <f>IFERROR(TEXTJOIN(CHAR(10),TRUE,UNIQUE(FILTER(소재DB_RAW!$N$3:$N&amp;") "&amp;소재DB_RAW!$O$3:$O,(소재DB_RAW!$G$3:$G=$D55)*ISNUMBER(SEARCH("안감",소재DB_RAW!$M$3:$M))))),"")</f>
        <v/>
      </c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21" t="inlineStr">
        <is>
          <t>X</t>
        </is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",TRUE,UNIQUE(FILTER(소재DB_RAW!$K$3:$K,소재DB_RAW!$G$3:$G=$D56))),"")</f>
        <v/>
      </c>
      <c r="W56" s="20" t="inlineStr">
        <is>
          <t>베트남</t>
        </is>
      </c>
      <c r="X56" s="20">
        <f>IFERROR(TEXTJOIN(" / ",TRUE,UNIQUE(FILTER(소재DB_RAW!$N$3:$N,소재DB_RAW!$G$3:$G=$D56))),"")</f>
        <v/>
      </c>
      <c r="Y56" s="26">
        <f>IFERROR(TEXTJOIN(CHAR(10),TRUE,UNIQUE(FILTER(소재DB_RAW!$N$3:$N&amp;") "&amp;소재DB_RAW!$O$3:$O,(소재DB_RAW!$G$3:$G=$D56)*ISNUMBER(SEARCH("겉감",소재DB_RAW!$M$3:$M))))),"")</f>
        <v/>
      </c>
      <c r="Z56" s="26">
        <f>IFERROR(TEXTJOIN(CHAR(10),TRUE,UNIQUE(FILTER(소재DB_RAW!$N$3:$N&amp;") "&amp;소재DB_RAW!$O$3:$O,(소재DB_RAW!$G$3:$G=$D56)*ISNUMBER(SEARCH("안감",소재DB_RAW!$M$3:$M))))),"")</f>
        <v/>
      </c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21" t="inlineStr">
        <is>
          <t>X</t>
        </is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",TRUE,UNIQUE(FILTER(소재DB_RAW!$K$3:$K,소재DB_RAW!$G$3:$G=$D57))),"")</f>
        <v/>
      </c>
      <c r="W57" s="20" t="inlineStr">
        <is>
          <t>베트남</t>
        </is>
      </c>
      <c r="X57" s="20">
        <f>IFERROR(TEXTJOIN(" / ",TRUE,UNIQUE(FILTER(소재DB_RAW!$N$3:$N,소재DB_RAW!$G$3:$G=$D57))),"")</f>
        <v/>
      </c>
      <c r="Y57" s="26">
        <f>IFERROR(TEXTJOIN(CHAR(10),TRUE,UNIQUE(FILTER(소재DB_RAW!$N$3:$N&amp;") "&amp;소재DB_RAW!$O$3:$O,(소재DB_RAW!$G$3:$G=$D57)*ISNUMBER(SEARCH("겉감",소재DB_RAW!$M$3:$M))))),"")</f>
        <v/>
      </c>
      <c r="Z57" s="26">
        <f>IFERROR(TEXTJOIN(CHAR(10),TRUE,UNIQUE(FILTER(소재DB_RAW!$N$3:$N&amp;") "&amp;소재DB_RAW!$O$3:$O,(소재DB_RAW!$G$3:$G=$D57)*ISNUMBER(SEARCH("안감",소재DB_RAW!$M$3:$M))))),"")</f>
        <v/>
      </c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21" t="inlineStr">
        <is>
          <t>X</t>
        </is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",TRUE,UNIQUE(FILTER(소재DB_RAW!$K$3:$K,소재DB_RAW!$G$3:$G=$D58))),"")</f>
        <v/>
      </c>
      <c r="W58" s="20" t="inlineStr">
        <is>
          <t>베트남</t>
        </is>
      </c>
      <c r="X58" s="20">
        <f>IFERROR(TEXTJOIN(" / ",TRUE,UNIQUE(FILTER(소재DB_RAW!$N$3:$N,소재DB_RAW!$G$3:$G=$D58))),"")</f>
        <v/>
      </c>
      <c r="Y58" s="26">
        <f>IFERROR(TEXTJOIN(CHAR(10),TRUE,UNIQUE(FILTER(소재DB_RAW!$N$3:$N&amp;") "&amp;소재DB_RAW!$O$3:$O,(소재DB_RAW!$G$3:$G=$D58)*ISNUMBER(SEARCH("겉감",소재DB_RAW!$M$3:$M))))),"")</f>
        <v/>
      </c>
      <c r="Z58" s="26">
        <f>IFERROR(TEXTJOIN(CHAR(10),TRUE,UNIQUE(FILTER(소재DB_RAW!$N$3:$N&amp;") "&amp;소재DB_RAW!$O$3:$O,(소재DB_RAW!$G$3:$G=$D58)*ISNUMBER(SEARCH("안감",소재DB_RAW!$M$3:$M))))),"")</f>
        <v/>
      </c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21" t="inlineStr">
        <is>
          <t>X</t>
        </is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",TRUE,UNIQUE(FILTER(소재DB_RAW!$K$3:$K,소재DB_RAW!$G$3:$G=$D59))),"")</f>
        <v/>
      </c>
      <c r="W59" s="20" t="inlineStr">
        <is>
          <t>베트남</t>
        </is>
      </c>
      <c r="X59" s="20">
        <f>IFERROR(TEXTJOIN(" / ",TRUE,UNIQUE(FILTER(소재DB_RAW!$N$3:$N,소재DB_RAW!$G$3:$G=$D59))),"")</f>
        <v/>
      </c>
      <c r="Y59" s="26">
        <f>IFERROR(TEXTJOIN(CHAR(10),TRUE,UNIQUE(FILTER(소재DB_RAW!$N$3:$N&amp;") "&amp;소재DB_RAW!$O$3:$O,(소재DB_RAW!$G$3:$G=$D59)*ISNUMBER(SEARCH("겉감",소재DB_RAW!$M$3:$M))))),"")</f>
        <v/>
      </c>
      <c r="Z59" s="26">
        <f>IFERROR(TEXTJOIN(CHAR(10),TRUE,UNIQUE(FILTER(소재DB_RAW!$N$3:$N&amp;") "&amp;소재DB_RAW!$O$3:$O,(소재DB_RAW!$G$3:$G=$D59)*ISNUMBER(SEARCH("안감",소재DB_RAW!$M$3:$M))))),"")</f>
        <v/>
      </c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21" t="n"/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",TRUE,UNIQUE(FILTER(소재DB_RAW!$K$3:$K,소재DB_RAW!$G$3:$G=$D60))),"")</f>
        <v/>
      </c>
      <c r="W60" s="20" t="inlineStr"/>
      <c r="X60" s="20">
        <f>IFERROR(TEXTJOIN(" / ",TRUE,UNIQUE(FILTER(소재DB_RAW!$N$3:$N,소재DB_RAW!$G$3:$G=$D60))),"")</f>
        <v/>
      </c>
      <c r="Y60" s="26">
        <f>IFERROR(TEXTJOIN(CHAR(10),TRUE,UNIQUE(FILTER(소재DB_RAW!$N$3:$N&amp;") "&amp;소재DB_RAW!$O$3:$O,(소재DB_RAW!$G$3:$G=$D60)*ISNUMBER(SEARCH("겉감",소재DB_RAW!$M$3:$M))))),"")</f>
        <v/>
      </c>
      <c r="Z60" s="26">
        <f>IFERROR(TEXTJOIN(CHAR(10),TRUE,UNIQUE(FILTER(소재DB_RAW!$N$3:$N&amp;") "&amp;소재DB_RAW!$O$3:$O,(소재DB_RAW!$G$3:$G=$D60)*ISNUMBER(SEARCH("안감",소재DB_RAW!$M$3:$M))))),"")</f>
        <v/>
      </c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21" t="inlineStr">
        <is>
          <t>X</t>
        </is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",TRUE,UNIQUE(FILTER(소재DB_RAW!$K$3:$K,소재DB_RAW!$G$3:$G=$D61))),"")</f>
        <v/>
      </c>
      <c r="W61" s="20" t="inlineStr">
        <is>
          <t>베트남</t>
        </is>
      </c>
      <c r="X61" s="20">
        <f>IFERROR(TEXTJOIN(" / ",TRUE,UNIQUE(FILTER(소재DB_RAW!$N$3:$N,소재DB_RAW!$G$3:$G=$D61))),"")</f>
        <v/>
      </c>
      <c r="Y61" s="26">
        <f>IFERROR(TEXTJOIN(CHAR(10),TRUE,UNIQUE(FILTER(소재DB_RAW!$N$3:$N&amp;") "&amp;소재DB_RAW!$O$3:$O,(소재DB_RAW!$G$3:$G=$D61)*ISNUMBER(SEARCH("겉감",소재DB_RAW!$M$3:$M))))),"")</f>
        <v/>
      </c>
      <c r="Z61" s="26">
        <f>IFERROR(TEXTJOIN(CHAR(10),TRUE,UNIQUE(FILTER(소재DB_RAW!$N$3:$N&amp;") "&amp;소재DB_RAW!$O$3:$O,(소재DB_RAW!$G$3:$G=$D61)*ISNUMBER(SEARCH("안감",소재DB_RAW!$M$3:$M))))),"")</f>
        <v/>
      </c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21" t="inlineStr">
        <is>
          <t>X</t>
        </is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",TRUE,UNIQUE(FILTER(소재DB_RAW!$K$3:$K,소재DB_RAW!$G$3:$G=$D62))),"")</f>
        <v/>
      </c>
      <c r="W62" s="20" t="inlineStr">
        <is>
          <t>베트남</t>
        </is>
      </c>
      <c r="X62" s="20">
        <f>IFERROR(TEXTJOIN(" / ",TRUE,UNIQUE(FILTER(소재DB_RAW!$N$3:$N,소재DB_RAW!$G$3:$G=$D62))),"")</f>
        <v/>
      </c>
      <c r="Y62" s="26">
        <f>IFERROR(TEXTJOIN(CHAR(10),TRUE,UNIQUE(FILTER(소재DB_RAW!$N$3:$N&amp;") "&amp;소재DB_RAW!$O$3:$O,(소재DB_RAW!$G$3:$G=$D62)*ISNUMBER(SEARCH("겉감",소재DB_RAW!$M$3:$M))))),"")</f>
        <v/>
      </c>
      <c r="Z62" s="26">
        <f>IFERROR(TEXTJOIN(CHAR(10),TRUE,UNIQUE(FILTER(소재DB_RAW!$N$3:$N&amp;") "&amp;소재DB_RAW!$O$3:$O,(소재DB_RAW!$G$3:$G=$D62)*ISNUMBER(SEARCH("안감",소재DB_RAW!$M$3:$M))))),"")</f>
        <v/>
      </c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21" t="inlineStr">
        <is>
          <t>X</t>
        </is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",TRUE,UNIQUE(FILTER(소재DB_RAW!$K$3:$K,소재DB_RAW!$G$3:$G=$D63))),"")</f>
        <v/>
      </c>
      <c r="W63" s="20" t="inlineStr">
        <is>
          <t>베트남</t>
        </is>
      </c>
      <c r="X63" s="20">
        <f>IFERROR(TEXTJOIN(" / ",TRUE,UNIQUE(FILTER(소재DB_RAW!$N$3:$N,소재DB_RAW!$G$3:$G=$D63))),"")</f>
        <v/>
      </c>
      <c r="Y63" s="26">
        <f>IFERROR(TEXTJOIN(CHAR(10),TRUE,UNIQUE(FILTER(소재DB_RAW!$N$3:$N&amp;") "&amp;소재DB_RAW!$O$3:$O,(소재DB_RAW!$G$3:$G=$D63)*ISNUMBER(SEARCH("겉감",소재DB_RAW!$M$3:$M))))),"")</f>
        <v/>
      </c>
      <c r="Z63" s="26">
        <f>IFERROR(TEXTJOIN(CHAR(10),TRUE,UNIQUE(FILTER(소재DB_RAW!$N$3:$N&amp;") "&amp;소재DB_RAW!$O$3:$O,(소재DB_RAW!$G$3:$G=$D63)*ISNUMBER(SEARCH("안감",소재DB_RAW!$M$3:$M))))),"")</f>
        <v/>
      </c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21" t="inlineStr">
        <is>
          <t>X</t>
        </is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",TRUE,UNIQUE(FILTER(소재DB_RAW!$K$3:$K,소재DB_RAW!$G$3:$G=$D64))),"")</f>
        <v/>
      </c>
      <c r="W64" s="20" t="inlineStr">
        <is>
          <t>베트남</t>
        </is>
      </c>
      <c r="X64" s="20">
        <f>IFERROR(TEXTJOIN(" / ",TRUE,UNIQUE(FILTER(소재DB_RAW!$N$3:$N,소재DB_RAW!$G$3:$G=$D64))),"")</f>
        <v/>
      </c>
      <c r="Y64" s="26">
        <f>IFERROR(TEXTJOIN(CHAR(10),TRUE,UNIQUE(FILTER(소재DB_RAW!$N$3:$N&amp;") "&amp;소재DB_RAW!$O$3:$O,(소재DB_RAW!$G$3:$G=$D64)*ISNUMBER(SEARCH("겉감",소재DB_RAW!$M$3:$M))))),"")</f>
        <v/>
      </c>
      <c r="Z64" s="26">
        <f>IFERROR(TEXTJOIN(CHAR(10),TRUE,UNIQUE(FILTER(소재DB_RAW!$N$3:$N&amp;") "&amp;소재DB_RAW!$O$3:$O,(소재DB_RAW!$G$3:$G=$D64)*ISNUMBER(SEARCH("안감",소재DB_RAW!$M$3:$M))))),"")</f>
        <v/>
      </c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21" t="inlineStr">
        <is>
          <t>X</t>
        </is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",TRUE,UNIQUE(FILTER(소재DB_RAW!$K$3:$K,소재DB_RAW!$G$3:$G=$D65))),"")</f>
        <v/>
      </c>
      <c r="W65" s="20" t="inlineStr">
        <is>
          <t>베트남</t>
        </is>
      </c>
      <c r="X65" s="20">
        <f>IFERROR(TEXTJOIN(" / ",TRUE,UNIQUE(FILTER(소재DB_RAW!$N$3:$N,소재DB_RAW!$G$3:$G=$D65))),"")</f>
        <v/>
      </c>
      <c r="Y65" s="26">
        <f>IFERROR(TEXTJOIN(CHAR(10),TRUE,UNIQUE(FILTER(소재DB_RAW!$N$3:$N&amp;") "&amp;소재DB_RAW!$O$3:$O,(소재DB_RAW!$G$3:$G=$D65)*ISNUMBER(SEARCH("겉감",소재DB_RAW!$M$3:$M))))),"")</f>
        <v/>
      </c>
      <c r="Z65" s="26">
        <f>IFERROR(TEXTJOIN(CHAR(10),TRUE,UNIQUE(FILTER(소재DB_RAW!$N$3:$N&amp;") "&amp;소재DB_RAW!$O$3:$O,(소재DB_RAW!$G$3:$G=$D65)*ISNUMBER(SEARCH("안감",소재DB_RAW!$M$3:$M))))),"")</f>
        <v/>
      </c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21" t="inlineStr">
        <is>
          <t>X</t>
        </is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",TRUE,UNIQUE(FILTER(소재DB_RAW!$K$3:$K,소재DB_RAW!$G$3:$G=$D66))),"")</f>
        <v/>
      </c>
      <c r="W66" s="20" t="inlineStr">
        <is>
          <t>베트남</t>
        </is>
      </c>
      <c r="X66" s="20">
        <f>IFERROR(TEXTJOIN(" / ",TRUE,UNIQUE(FILTER(소재DB_RAW!$N$3:$N,소재DB_RAW!$G$3:$G=$D66))),"")</f>
        <v/>
      </c>
      <c r="Y66" s="26">
        <f>IFERROR(TEXTJOIN(CHAR(10),TRUE,UNIQUE(FILTER(소재DB_RAW!$N$3:$N&amp;") "&amp;소재DB_RAW!$O$3:$O,(소재DB_RAW!$G$3:$G=$D66)*ISNUMBER(SEARCH("겉감",소재DB_RAW!$M$3:$M))))),"")</f>
        <v/>
      </c>
      <c r="Z66" s="26">
        <f>IFERROR(TEXTJOIN(CHAR(10),TRUE,UNIQUE(FILTER(소재DB_RAW!$N$3:$N&amp;") "&amp;소재DB_RAW!$O$3:$O,(소재DB_RAW!$G$3:$G=$D66)*ISNUMBER(SEARCH("안감",소재DB_RAW!$M$3:$M))))),"")</f>
        <v/>
      </c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21" t="inlineStr">
        <is>
          <t>X</t>
        </is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",TRUE,UNIQUE(FILTER(소재DB_RAW!$K$3:$K,소재DB_RAW!$G$3:$G=$D67))),"")</f>
        <v/>
      </c>
      <c r="W67" s="20" t="inlineStr">
        <is>
          <t>베트남</t>
        </is>
      </c>
      <c r="X67" s="20">
        <f>IFERROR(TEXTJOIN(" / ",TRUE,UNIQUE(FILTER(소재DB_RAW!$N$3:$N,소재DB_RAW!$G$3:$G=$D67))),"")</f>
        <v/>
      </c>
      <c r="Y67" s="26">
        <f>IFERROR(TEXTJOIN(CHAR(10),TRUE,UNIQUE(FILTER(소재DB_RAW!$N$3:$N&amp;") "&amp;소재DB_RAW!$O$3:$O,(소재DB_RAW!$G$3:$G=$D67)*ISNUMBER(SEARCH("겉감",소재DB_RAW!$M$3:$M))))),"")</f>
        <v/>
      </c>
      <c r="Z67" s="26">
        <f>IFERROR(TEXTJOIN(CHAR(10),TRUE,UNIQUE(FILTER(소재DB_RAW!$N$3:$N&amp;") "&amp;소재DB_RAW!$O$3:$O,(소재DB_RAW!$G$3:$G=$D67)*ISNUMBER(SEARCH("안감",소재DB_RAW!$M$3:$M))))),"")</f>
        <v/>
      </c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21" t="inlineStr">
        <is>
          <t>X</t>
        </is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",TRUE,UNIQUE(FILTER(소재DB_RAW!$K$3:$K,소재DB_RAW!$G$3:$G=$D68))),"")</f>
        <v/>
      </c>
      <c r="W68" s="20" t="inlineStr">
        <is>
          <t>베트남</t>
        </is>
      </c>
      <c r="X68" s="20">
        <f>IFERROR(TEXTJOIN(" / ",TRUE,UNIQUE(FILTER(소재DB_RAW!$N$3:$N,소재DB_RAW!$G$3:$G=$D68))),"")</f>
        <v/>
      </c>
      <c r="Y68" s="26">
        <f>IFERROR(TEXTJOIN(CHAR(10),TRUE,UNIQUE(FILTER(소재DB_RAW!$N$3:$N&amp;") "&amp;소재DB_RAW!$O$3:$O,(소재DB_RAW!$G$3:$G=$D68)*ISNUMBER(SEARCH("겉감",소재DB_RAW!$M$3:$M))))),"")</f>
        <v/>
      </c>
      <c r="Z68" s="26">
        <f>IFERROR(TEXTJOIN(CHAR(10),TRUE,UNIQUE(FILTER(소재DB_RAW!$N$3:$N&amp;") "&amp;소재DB_RAW!$O$3:$O,(소재DB_RAW!$G$3:$G=$D68)*ISNUMBER(SEARCH("안감",소재DB_RAW!$M$3:$M))))),"")</f>
        <v/>
      </c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21" t="inlineStr">
        <is>
          <t>X</t>
        </is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",TRUE,UNIQUE(FILTER(소재DB_RAW!$K$3:$K,소재DB_RAW!$G$3:$G=$D69))),"")</f>
        <v/>
      </c>
      <c r="W69" s="20" t="inlineStr">
        <is>
          <t>인도네시아</t>
        </is>
      </c>
      <c r="X69" s="20">
        <f>IFERROR(TEXTJOIN(" / ",TRUE,UNIQUE(FILTER(소재DB_RAW!$N$3:$N,소재DB_RAW!$G$3:$G=$D69))),"")</f>
        <v/>
      </c>
      <c r="Y69" s="26">
        <f>IFERROR(TEXTJOIN(CHAR(10),TRUE,UNIQUE(FILTER(소재DB_RAW!$N$3:$N&amp;") "&amp;소재DB_RAW!$O$3:$O,(소재DB_RAW!$G$3:$G=$D69)*ISNUMBER(SEARCH("겉감",소재DB_RAW!$M$3:$M))))),"")</f>
        <v/>
      </c>
      <c r="Z69" s="26">
        <f>IFERROR(TEXTJOIN(CHAR(10),TRUE,UNIQUE(FILTER(소재DB_RAW!$N$3:$N&amp;") "&amp;소재DB_RAW!$O$3:$O,(소재DB_RAW!$G$3:$G=$D69)*ISNUMBER(SEARCH("안감",소재DB_RAW!$M$3:$M))))),"")</f>
        <v/>
      </c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21" t="inlineStr">
        <is>
          <t>X</t>
        </is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",TRUE,UNIQUE(FILTER(소재DB_RAW!$K$3:$K,소재DB_RAW!$G$3:$G=$D70))),"")</f>
        <v/>
      </c>
      <c r="W70" s="20" t="inlineStr">
        <is>
          <t>베트남</t>
        </is>
      </c>
      <c r="X70" s="20">
        <f>IFERROR(TEXTJOIN(" / ",TRUE,UNIQUE(FILTER(소재DB_RAW!$N$3:$N,소재DB_RAW!$G$3:$G=$D70))),"")</f>
        <v/>
      </c>
      <c r="Y70" s="26">
        <f>IFERROR(TEXTJOIN(CHAR(10),TRUE,UNIQUE(FILTER(소재DB_RAW!$N$3:$N&amp;") "&amp;소재DB_RAW!$O$3:$O,(소재DB_RAW!$G$3:$G=$D70)*ISNUMBER(SEARCH("겉감",소재DB_RAW!$M$3:$M))))),"")</f>
        <v/>
      </c>
      <c r="Z70" s="26">
        <f>IFERROR(TEXTJOIN(CHAR(10),TRUE,UNIQUE(FILTER(소재DB_RAW!$N$3:$N&amp;") "&amp;소재DB_RAW!$O$3:$O,(소재DB_RAW!$G$3:$G=$D70)*ISNUMBER(SEARCH("안감",소재DB_RAW!$M$3:$M))))),"")</f>
        <v/>
      </c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21" t="inlineStr">
        <is>
          <t>X</t>
        </is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",TRUE,UNIQUE(FILTER(소재DB_RAW!$K$3:$K,소재DB_RAW!$G$3:$G=$D71))),"")</f>
        <v/>
      </c>
      <c r="W71" s="20" t="inlineStr">
        <is>
          <t>베트남</t>
        </is>
      </c>
      <c r="X71" s="20">
        <f>IFERROR(TEXTJOIN(" / ",TRUE,UNIQUE(FILTER(소재DB_RAW!$N$3:$N,소재DB_RAW!$G$3:$G=$D71))),"")</f>
        <v/>
      </c>
      <c r="Y71" s="26">
        <f>IFERROR(TEXTJOIN(CHAR(10),TRUE,UNIQUE(FILTER(소재DB_RAW!$N$3:$N&amp;") "&amp;소재DB_RAW!$O$3:$O,(소재DB_RAW!$G$3:$G=$D71)*ISNUMBER(SEARCH("겉감",소재DB_RAW!$M$3:$M))))),"")</f>
        <v/>
      </c>
      <c r="Z71" s="26">
        <f>IFERROR(TEXTJOIN(CHAR(10),TRUE,UNIQUE(FILTER(소재DB_RAW!$N$3:$N&amp;") "&amp;소재DB_RAW!$O$3:$O,(소재DB_RAW!$G$3:$G=$D71)*ISNUMBER(SEARCH("안감",소재DB_RAW!$M$3:$M))))),"")</f>
        <v/>
      </c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21" t="inlineStr">
        <is>
          <t>X</t>
        </is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",TRUE,UNIQUE(FILTER(소재DB_RAW!$K$3:$K,소재DB_RAW!$G$3:$G=$D72))),"")</f>
        <v/>
      </c>
      <c r="W72" s="20" t="inlineStr">
        <is>
          <t>인도네시아</t>
        </is>
      </c>
      <c r="X72" s="20">
        <f>IFERROR(TEXTJOIN(" / ",TRUE,UNIQUE(FILTER(소재DB_RAW!$N$3:$N,소재DB_RAW!$G$3:$G=$D72))),"")</f>
        <v/>
      </c>
      <c r="Y72" s="26">
        <f>IFERROR(TEXTJOIN(CHAR(10),TRUE,UNIQUE(FILTER(소재DB_RAW!$N$3:$N&amp;") "&amp;소재DB_RAW!$O$3:$O,(소재DB_RAW!$G$3:$G=$D72)*ISNUMBER(SEARCH("겉감",소재DB_RAW!$M$3:$M))))),"")</f>
        <v/>
      </c>
      <c r="Z72" s="26">
        <f>IFERROR(TEXTJOIN(CHAR(10),TRUE,UNIQUE(FILTER(소재DB_RAW!$N$3:$N&amp;") "&amp;소재DB_RAW!$O$3:$O,(소재DB_RAW!$G$3:$G=$D72)*ISNUMBER(SEARCH("안감",소재DB_RAW!$M$3:$M))))),"")</f>
        <v/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21" t="inlineStr">
        <is>
          <t>X</t>
        </is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",TRUE,UNIQUE(FILTER(소재DB_RAW!$K$3:$K,소재DB_RAW!$G$3:$G=$D73))),"")</f>
        <v/>
      </c>
      <c r="W73" s="20" t="inlineStr">
        <is>
          <t>베트남</t>
        </is>
      </c>
      <c r="X73" s="20">
        <f>IFERROR(TEXTJOIN(" / ",TRUE,UNIQUE(FILTER(소재DB_RAW!$N$3:$N,소재DB_RAW!$G$3:$G=$D73))),"")</f>
        <v/>
      </c>
      <c r="Y73" s="26">
        <f>IFERROR(TEXTJOIN(CHAR(10),TRUE,UNIQUE(FILTER(소재DB_RAW!$N$3:$N&amp;") "&amp;소재DB_RAW!$O$3:$O,(소재DB_RAW!$G$3:$G=$D73)*ISNUMBER(SEARCH("겉감",소재DB_RAW!$M$3:$M))))),"")</f>
        <v/>
      </c>
      <c r="Z73" s="26">
        <f>IFERROR(TEXTJOIN(CHAR(10),TRUE,UNIQUE(FILTER(소재DB_RAW!$N$3:$N&amp;") "&amp;소재DB_RAW!$O$3:$O,(소재DB_RAW!$G$3:$G=$D73)*ISNUMBER(SEARCH("안감",소재DB_RAW!$M$3:$M))))),"")</f>
        <v/>
      </c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21" t="inlineStr">
        <is>
          <t>X</t>
        </is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",TRUE,UNIQUE(FILTER(소재DB_RAW!$K$3:$K,소재DB_RAW!$G$3:$G=$D74))),"")</f>
        <v/>
      </c>
      <c r="W74" s="20" t="inlineStr">
        <is>
          <t>인도네시아</t>
        </is>
      </c>
      <c r="X74" s="20">
        <f>IFERROR(TEXTJOIN(" / ",TRUE,UNIQUE(FILTER(소재DB_RAW!$N$3:$N,소재DB_RAW!$G$3:$G=$D74))),"")</f>
        <v/>
      </c>
      <c r="Y74" s="26">
        <f>IFERROR(TEXTJOIN(CHAR(10),TRUE,UNIQUE(FILTER(소재DB_RAW!$N$3:$N&amp;") "&amp;소재DB_RAW!$O$3:$O,(소재DB_RAW!$G$3:$G=$D74)*ISNUMBER(SEARCH("겉감",소재DB_RAW!$M$3:$M))))),"")</f>
        <v/>
      </c>
      <c r="Z74" s="26">
        <f>IFERROR(TEXTJOIN(CHAR(10),TRUE,UNIQUE(FILTER(소재DB_RAW!$N$3:$N&amp;") "&amp;소재DB_RAW!$O$3:$O,(소재DB_RAW!$G$3:$G=$D74)*ISNUMBER(SEARCH("안감",소재DB_RAW!$M$3:$M))))),"")</f>
        <v/>
      </c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21" t="inlineStr">
        <is>
          <t>X</t>
        </is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",TRUE,UNIQUE(FILTER(소재DB_RAW!$K$3:$K,소재DB_RAW!$G$3:$G=$D75))),"")</f>
        <v/>
      </c>
      <c r="W75" s="20" t="inlineStr">
        <is>
          <t>베트남</t>
        </is>
      </c>
      <c r="X75" s="20">
        <f>IFERROR(TEXTJOIN(" / ",TRUE,UNIQUE(FILTER(소재DB_RAW!$N$3:$N,소재DB_RAW!$G$3:$G=$D75))),"")</f>
        <v/>
      </c>
      <c r="Y75" s="26">
        <f>IFERROR(TEXTJOIN(CHAR(10),TRUE,UNIQUE(FILTER(소재DB_RAW!$N$3:$N&amp;") "&amp;소재DB_RAW!$O$3:$O,(소재DB_RAW!$G$3:$G=$D75)*ISNUMBER(SEARCH("겉감",소재DB_RAW!$M$3:$M))))),"")</f>
        <v/>
      </c>
      <c r="Z75" s="26">
        <f>IFERROR(TEXTJOIN(CHAR(10),TRUE,UNIQUE(FILTER(소재DB_RAW!$N$3:$N&amp;") "&amp;소재DB_RAW!$O$3:$O,(소재DB_RAW!$G$3:$G=$D75)*ISNUMBER(SEARCH("안감",소재DB_RAW!$M$3:$M))))),"")</f>
        <v/>
      </c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21" t="inlineStr">
        <is>
          <t>X</t>
        </is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",TRUE,UNIQUE(FILTER(소재DB_RAW!$K$3:$K,소재DB_RAW!$G$3:$G=$D76))),"")</f>
        <v/>
      </c>
      <c r="W76" s="20" t="inlineStr">
        <is>
          <t>베트남</t>
        </is>
      </c>
      <c r="X76" s="20">
        <f>IFERROR(TEXTJOIN(" / ",TRUE,UNIQUE(FILTER(소재DB_RAW!$N$3:$N,소재DB_RAW!$G$3:$G=$D76))),"")</f>
        <v/>
      </c>
      <c r="Y76" s="26">
        <f>IFERROR(TEXTJOIN(CHAR(10),TRUE,UNIQUE(FILTER(소재DB_RAW!$N$3:$N&amp;") "&amp;소재DB_RAW!$O$3:$O,(소재DB_RAW!$G$3:$G=$D76)*ISNUMBER(SEARCH("겉감",소재DB_RAW!$M$3:$M))))),"")</f>
        <v/>
      </c>
      <c r="Z76" s="26">
        <f>IFERROR(TEXTJOIN(CHAR(10),TRUE,UNIQUE(FILTER(소재DB_RAW!$N$3:$N&amp;") "&amp;소재DB_RAW!$O$3:$O,(소재DB_RAW!$G$3:$G=$D76)*ISNUMBER(SEARCH("안감",소재DB_RAW!$M$3:$M))))),"")</f>
        <v/>
      </c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21" t="inlineStr">
        <is>
          <t>X</t>
        </is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",TRUE,UNIQUE(FILTER(소재DB_RAW!$K$3:$K,소재DB_RAW!$G$3:$G=$D77))),"")</f>
        <v/>
      </c>
      <c r="W77" s="20" t="inlineStr">
        <is>
          <t>인도네시아</t>
        </is>
      </c>
      <c r="X77" s="20">
        <f>IFERROR(TEXTJOIN(" / ",TRUE,UNIQUE(FILTER(소재DB_RAW!$N$3:$N,소재DB_RAW!$G$3:$G=$D77))),"")</f>
        <v/>
      </c>
      <c r="Y77" s="26">
        <f>IFERROR(TEXTJOIN(CHAR(10),TRUE,UNIQUE(FILTER(소재DB_RAW!$N$3:$N&amp;") "&amp;소재DB_RAW!$O$3:$O,(소재DB_RAW!$G$3:$G=$D77)*ISNUMBER(SEARCH("겉감",소재DB_RAW!$M$3:$M))))),"")</f>
        <v/>
      </c>
      <c r="Z77" s="26">
        <f>IFERROR(TEXTJOIN(CHAR(10),TRUE,UNIQUE(FILTER(소재DB_RAW!$N$3:$N&amp;") "&amp;소재DB_RAW!$O$3:$O,(소재DB_RAW!$G$3:$G=$D77)*ISNUMBER(SEARCH("안감",소재DB_RAW!$M$3:$M))))),"")</f>
        <v/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21" t="inlineStr">
        <is>
          <t>X</t>
        </is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",TRUE,UNIQUE(FILTER(소재DB_RAW!$K$3:$K,소재DB_RAW!$G$3:$G=$D78))),"")</f>
        <v/>
      </c>
      <c r="W78" s="20" t="inlineStr">
        <is>
          <t>베트남</t>
        </is>
      </c>
      <c r="X78" s="20">
        <f>IFERROR(TEXTJOIN(" / ",TRUE,UNIQUE(FILTER(소재DB_RAW!$N$3:$N,소재DB_RAW!$G$3:$G=$D78))),"")</f>
        <v/>
      </c>
      <c r="Y78" s="26">
        <f>IFERROR(TEXTJOIN(CHAR(10),TRUE,UNIQUE(FILTER(소재DB_RAW!$N$3:$N&amp;") "&amp;소재DB_RAW!$O$3:$O,(소재DB_RAW!$G$3:$G=$D78)*ISNUMBER(SEARCH("겉감",소재DB_RAW!$M$3:$M))))),"")</f>
        <v/>
      </c>
      <c r="Z78" s="26">
        <f>IFERROR(TEXTJOIN(CHAR(10),TRUE,UNIQUE(FILTER(소재DB_RAW!$N$3:$N&amp;") "&amp;소재DB_RAW!$O$3:$O,(소재DB_RAW!$G$3:$G=$D78)*ISNUMBER(SEARCH("안감",소재DB_RAW!$M$3:$M))))),"")</f>
        <v/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21" t="inlineStr">
        <is>
          <t>X</t>
        </is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",TRUE,UNIQUE(FILTER(소재DB_RAW!$K$3:$K,소재DB_RAW!$G$3:$G=$D79))),"")</f>
        <v/>
      </c>
      <c r="W79" s="20" t="inlineStr">
        <is>
          <t>미얀마</t>
        </is>
      </c>
      <c r="X79" s="20">
        <f>IFERROR(TEXTJOIN(" / ",TRUE,UNIQUE(FILTER(소재DB_RAW!$N$3:$N,소재DB_RAW!$G$3:$G=$D79))),"")</f>
        <v/>
      </c>
      <c r="Y79" s="26">
        <f>IFERROR(TEXTJOIN(CHAR(10),TRUE,UNIQUE(FILTER(소재DB_RAW!$N$3:$N&amp;") "&amp;소재DB_RAW!$O$3:$O,(소재DB_RAW!$G$3:$G=$D79)*ISNUMBER(SEARCH("겉감",소재DB_RAW!$M$3:$M))))),"")</f>
        <v/>
      </c>
      <c r="Z79" s="26">
        <f>IFERROR(TEXTJOIN(CHAR(10),TRUE,UNIQUE(FILTER(소재DB_RAW!$N$3:$N&amp;") "&amp;소재DB_RAW!$O$3:$O,(소재DB_RAW!$G$3:$G=$D79)*ISNUMBER(SEARCH("안감",소재DB_RAW!$M$3:$M))))),"")</f>
        <v/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21" t="inlineStr">
        <is>
          <t>X</t>
        </is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",TRUE,UNIQUE(FILTER(소재DB_RAW!$K$3:$K,소재DB_RAW!$G$3:$G=$D80))),"")</f>
        <v/>
      </c>
      <c r="W80" s="20" t="inlineStr"/>
      <c r="X80" s="20">
        <f>IFERROR(TEXTJOIN(" / ",TRUE,UNIQUE(FILTER(소재DB_RAW!$N$3:$N,소재DB_RAW!$G$3:$G=$D80))),"")</f>
        <v/>
      </c>
      <c r="Y80" s="26">
        <f>IFERROR(TEXTJOIN(CHAR(10),TRUE,UNIQUE(FILTER(소재DB_RAW!$N$3:$N&amp;") "&amp;소재DB_RAW!$O$3:$O,(소재DB_RAW!$G$3:$G=$D80)*ISNUMBER(SEARCH("겉감",소재DB_RAW!$M$3:$M))))),"")</f>
        <v/>
      </c>
      <c r="Z80" s="26">
        <f>IFERROR(TEXTJOIN(CHAR(10),TRUE,UNIQUE(FILTER(소재DB_RAW!$N$3:$N&amp;") "&amp;소재DB_RAW!$O$3:$O,(소재DB_RAW!$G$3:$G=$D80)*ISNUMBER(SEARCH("안감",소재DB_RAW!$M$3:$M))))),"")</f>
        <v/>
      </c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21" t="inlineStr">
        <is>
          <t>X</t>
        </is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",TRUE,UNIQUE(FILTER(소재DB_RAW!$K$3:$K,소재DB_RAW!$G$3:$G=$D81))),"")</f>
        <v/>
      </c>
      <c r="W81" s="20" t="inlineStr">
        <is>
          <t>인도네시아</t>
        </is>
      </c>
      <c r="X81" s="20">
        <f>IFERROR(TEXTJOIN(" / ",TRUE,UNIQUE(FILTER(소재DB_RAW!$N$3:$N,소재DB_RAW!$G$3:$G=$D81))),"")</f>
        <v/>
      </c>
      <c r="Y81" s="26">
        <f>IFERROR(TEXTJOIN(CHAR(10),TRUE,UNIQUE(FILTER(소재DB_RAW!$N$3:$N&amp;") "&amp;소재DB_RAW!$O$3:$O,(소재DB_RAW!$G$3:$G=$D81)*ISNUMBER(SEARCH("겉감",소재DB_RAW!$M$3:$M))))),"")</f>
        <v/>
      </c>
      <c r="Z81" s="26">
        <f>IFERROR(TEXTJOIN(CHAR(10),TRUE,UNIQUE(FILTER(소재DB_RAW!$N$3:$N&amp;") "&amp;소재DB_RAW!$O$3:$O,(소재DB_RAW!$G$3:$G=$D81)*ISNUMBER(SEARCH("안감",소재DB_RAW!$M$3:$M))))),"")</f>
        <v/>
      </c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21" t="inlineStr">
        <is>
          <t>X</t>
        </is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",TRUE,UNIQUE(FILTER(소재DB_RAW!$K$3:$K,소재DB_RAW!$G$3:$G=$D82))),"")</f>
        <v/>
      </c>
      <c r="W82" s="20" t="inlineStr">
        <is>
          <t>베트남</t>
        </is>
      </c>
      <c r="X82" s="20">
        <f>IFERROR(TEXTJOIN(" / ",TRUE,UNIQUE(FILTER(소재DB_RAW!$N$3:$N,소재DB_RAW!$G$3:$G=$D82))),"")</f>
        <v/>
      </c>
      <c r="Y82" s="26">
        <f>IFERROR(TEXTJOIN(CHAR(10),TRUE,UNIQUE(FILTER(소재DB_RAW!$N$3:$N&amp;") "&amp;소재DB_RAW!$O$3:$O,(소재DB_RAW!$G$3:$G=$D82)*ISNUMBER(SEARCH("겉감",소재DB_RAW!$M$3:$M))))),"")</f>
        <v/>
      </c>
      <c r="Z82" s="26">
        <f>IFERROR(TEXTJOIN(CHAR(10),TRUE,UNIQUE(FILTER(소재DB_RAW!$N$3:$N&amp;") "&amp;소재DB_RAW!$O$3:$O,(소재DB_RAW!$G$3:$G=$D82)*ISNUMBER(SEARCH("안감",소재DB_RAW!$M$3:$M))))),"")</f>
        <v/>
      </c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21" t="inlineStr">
        <is>
          <t>X</t>
        </is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",TRUE,UNIQUE(FILTER(소재DB_RAW!$K$3:$K,소재DB_RAW!$G$3:$G=$D83))),"")</f>
        <v/>
      </c>
      <c r="W83" s="20" t="inlineStr">
        <is>
          <t>인도네시아</t>
        </is>
      </c>
      <c r="X83" s="20">
        <f>IFERROR(TEXTJOIN(" / ",TRUE,UNIQUE(FILTER(소재DB_RAW!$N$3:$N,소재DB_RAW!$G$3:$G=$D83))),"")</f>
        <v/>
      </c>
      <c r="Y83" s="26">
        <f>IFERROR(TEXTJOIN(CHAR(10),TRUE,UNIQUE(FILTER(소재DB_RAW!$N$3:$N&amp;") "&amp;소재DB_RAW!$O$3:$O,(소재DB_RAW!$G$3:$G=$D83)*ISNUMBER(SEARCH("겉감",소재DB_RAW!$M$3:$M))))),"")</f>
        <v/>
      </c>
      <c r="Z83" s="26">
        <f>IFERROR(TEXTJOIN(CHAR(10),TRUE,UNIQUE(FILTER(소재DB_RAW!$N$3:$N&amp;") "&amp;소재DB_RAW!$O$3:$O,(소재DB_RAW!$G$3:$G=$D83)*ISNUMBER(SEARCH("안감",소재DB_RAW!$M$3:$M))))),"")</f>
        <v/>
      </c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21" t="inlineStr">
        <is>
          <t>X</t>
        </is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",TRUE,UNIQUE(FILTER(소재DB_RAW!$K$3:$K,소재DB_RAW!$G$3:$G=$D84))),"")</f>
        <v/>
      </c>
      <c r="W84" s="20" t="inlineStr">
        <is>
          <t>인도네시아</t>
        </is>
      </c>
      <c r="X84" s="20">
        <f>IFERROR(TEXTJOIN(" / ",TRUE,UNIQUE(FILTER(소재DB_RAW!$N$3:$N,소재DB_RAW!$G$3:$G=$D84))),"")</f>
        <v/>
      </c>
      <c r="Y84" s="26">
        <f>IFERROR(TEXTJOIN(CHAR(10),TRUE,UNIQUE(FILTER(소재DB_RAW!$N$3:$N&amp;") "&amp;소재DB_RAW!$O$3:$O,(소재DB_RAW!$G$3:$G=$D84)*ISNUMBER(SEARCH("겉감",소재DB_RAW!$M$3:$M))))),"")</f>
        <v/>
      </c>
      <c r="Z84" s="26">
        <f>IFERROR(TEXTJOIN(CHAR(10),TRUE,UNIQUE(FILTER(소재DB_RAW!$N$3:$N&amp;") "&amp;소재DB_RAW!$O$3:$O,(소재DB_RAW!$G$3:$G=$D84)*ISNUMBER(SEARCH("안감",소재DB_RAW!$M$3:$M))))),"")</f>
        <v/>
      </c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21" t="inlineStr">
        <is>
          <t>X</t>
        </is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",TRUE,UNIQUE(FILTER(소재DB_RAW!$K$3:$K,소재DB_RAW!$G$3:$G=$D85))),"")</f>
        <v/>
      </c>
      <c r="W85" s="20" t="inlineStr">
        <is>
          <t>인도네시아</t>
        </is>
      </c>
      <c r="X85" s="20">
        <f>IFERROR(TEXTJOIN(" / ",TRUE,UNIQUE(FILTER(소재DB_RAW!$N$3:$N,소재DB_RAW!$G$3:$G=$D85))),"")</f>
        <v/>
      </c>
      <c r="Y85" s="26">
        <f>IFERROR(TEXTJOIN(CHAR(10),TRUE,UNIQUE(FILTER(소재DB_RAW!$N$3:$N&amp;") "&amp;소재DB_RAW!$O$3:$O,(소재DB_RAW!$G$3:$G=$D85)*ISNUMBER(SEARCH("겉감",소재DB_RAW!$M$3:$M))))),"")</f>
        <v/>
      </c>
      <c r="Z85" s="26">
        <f>IFERROR(TEXTJOIN(CHAR(10),TRUE,UNIQUE(FILTER(소재DB_RAW!$N$3:$N&amp;") "&amp;소재DB_RAW!$O$3:$O,(소재DB_RAW!$G$3:$G=$D85)*ISNUMBER(SEARCH("안감",소재DB_RAW!$M$3:$M))))),"")</f>
        <v/>
      </c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21" t="inlineStr">
        <is>
          <t>X</t>
        </is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",TRUE,UNIQUE(FILTER(소재DB_RAW!$K$3:$K,소재DB_RAW!$G$3:$G=$D86))),"")</f>
        <v/>
      </c>
      <c r="W86" s="20" t="inlineStr">
        <is>
          <t>인도네시아</t>
        </is>
      </c>
      <c r="X86" s="20">
        <f>IFERROR(TEXTJOIN(" / ",TRUE,UNIQUE(FILTER(소재DB_RAW!$N$3:$N,소재DB_RAW!$G$3:$G=$D86))),"")</f>
        <v/>
      </c>
      <c r="Y86" s="26">
        <f>IFERROR(TEXTJOIN(CHAR(10),TRUE,UNIQUE(FILTER(소재DB_RAW!$N$3:$N&amp;") "&amp;소재DB_RAW!$O$3:$O,(소재DB_RAW!$G$3:$G=$D86)*ISNUMBER(SEARCH("겉감",소재DB_RAW!$M$3:$M))))),"")</f>
        <v/>
      </c>
      <c r="Z86" s="26">
        <f>IFERROR(TEXTJOIN(CHAR(10),TRUE,UNIQUE(FILTER(소재DB_RAW!$N$3:$N&amp;") "&amp;소재DB_RAW!$O$3:$O,(소재DB_RAW!$G$3:$G=$D86)*ISNUMBER(SEARCH("안감",소재DB_RAW!$M$3:$M))))),"")</f>
        <v/>
      </c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21" t="inlineStr">
        <is>
          <t>X</t>
        </is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",TRUE,UNIQUE(FILTER(소재DB_RAW!$K$3:$K,소재DB_RAW!$G$3:$G=$D87))),"")</f>
        <v/>
      </c>
      <c r="W87" s="20" t="inlineStr">
        <is>
          <t>인도네시아</t>
        </is>
      </c>
      <c r="X87" s="20">
        <f>IFERROR(TEXTJOIN(" / ",TRUE,UNIQUE(FILTER(소재DB_RAW!$N$3:$N,소재DB_RAW!$G$3:$G=$D87))),"")</f>
        <v/>
      </c>
      <c r="Y87" s="26">
        <f>IFERROR(TEXTJOIN(CHAR(10),TRUE,UNIQUE(FILTER(소재DB_RAW!$N$3:$N&amp;") "&amp;소재DB_RAW!$O$3:$O,(소재DB_RAW!$G$3:$G=$D87)*ISNUMBER(SEARCH("겉감",소재DB_RAW!$M$3:$M))))),"")</f>
        <v/>
      </c>
      <c r="Z87" s="26">
        <f>IFERROR(TEXTJOIN(CHAR(10),TRUE,UNIQUE(FILTER(소재DB_RAW!$N$3:$N&amp;") "&amp;소재DB_RAW!$O$3:$O,(소재DB_RAW!$G$3:$G=$D87)*ISNUMBER(SEARCH("안감",소재DB_RAW!$M$3:$M))))),"")</f>
        <v/>
      </c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21" t="inlineStr">
        <is>
          <t>X</t>
        </is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",TRUE,UNIQUE(FILTER(소재DB_RAW!$K$3:$K,소재DB_RAW!$G$3:$G=$D88))),"")</f>
        <v/>
      </c>
      <c r="W88" s="20" t="inlineStr">
        <is>
          <t>베트남</t>
        </is>
      </c>
      <c r="X88" s="20">
        <f>IFERROR(TEXTJOIN(" / ",TRUE,UNIQUE(FILTER(소재DB_RAW!$N$3:$N,소재DB_RAW!$G$3:$G=$D88))),"")</f>
        <v/>
      </c>
      <c r="Y88" s="26">
        <f>IFERROR(TEXTJOIN(CHAR(10),TRUE,UNIQUE(FILTER(소재DB_RAW!$N$3:$N&amp;") "&amp;소재DB_RAW!$O$3:$O,(소재DB_RAW!$G$3:$G=$D88)*ISNUMBER(SEARCH("겉감",소재DB_RAW!$M$3:$M))))),"")</f>
        <v/>
      </c>
      <c r="Z88" s="26">
        <f>IFERROR(TEXTJOIN(CHAR(10),TRUE,UNIQUE(FILTER(소재DB_RAW!$N$3:$N&amp;") "&amp;소재DB_RAW!$O$3:$O,(소재DB_RAW!$G$3:$G=$D88)*ISNUMBER(SEARCH("안감",소재DB_RAW!$M$3:$M))))),"")</f>
        <v/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21" t="inlineStr">
        <is>
          <t>X</t>
        </is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",TRUE,UNIQUE(FILTER(소재DB_RAW!$K$3:$K,소재DB_RAW!$G$3:$G=$D89))),"")</f>
        <v/>
      </c>
      <c r="W89" s="20" t="inlineStr">
        <is>
          <t>미얀마</t>
        </is>
      </c>
      <c r="X89" s="20">
        <f>IFERROR(TEXTJOIN(" / ",TRUE,UNIQUE(FILTER(소재DB_RAW!$N$3:$N,소재DB_RAW!$G$3:$G=$D89))),"")</f>
        <v/>
      </c>
      <c r="Y89" s="26">
        <f>IFERROR(TEXTJOIN(CHAR(10),TRUE,UNIQUE(FILTER(소재DB_RAW!$N$3:$N&amp;") "&amp;소재DB_RAW!$O$3:$O,(소재DB_RAW!$G$3:$G=$D89)*ISNUMBER(SEARCH("겉감",소재DB_RAW!$M$3:$M))))),"")</f>
        <v/>
      </c>
      <c r="Z89" s="26">
        <f>IFERROR(TEXTJOIN(CHAR(10),TRUE,UNIQUE(FILTER(소재DB_RAW!$N$3:$N&amp;") "&amp;소재DB_RAW!$O$3:$O,(소재DB_RAW!$G$3:$G=$D89)*ISNUMBER(SEARCH("안감",소재DB_RAW!$M$3:$M))))),"")</f>
        <v/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21" t="inlineStr">
        <is>
          <t>X</t>
        </is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",TRUE,UNIQUE(FILTER(소재DB_RAW!$K$3:$K,소재DB_RAW!$G$3:$G=$D90))),"")</f>
        <v/>
      </c>
      <c r="W90" s="20" t="inlineStr">
        <is>
          <t>인도네시아</t>
        </is>
      </c>
      <c r="X90" s="20">
        <f>IFERROR(TEXTJOIN(" / ",TRUE,UNIQUE(FILTER(소재DB_RAW!$N$3:$N,소재DB_RAW!$G$3:$G=$D90))),"")</f>
        <v/>
      </c>
      <c r="Y90" s="26">
        <f>IFERROR(TEXTJOIN(CHAR(10),TRUE,UNIQUE(FILTER(소재DB_RAW!$N$3:$N&amp;") "&amp;소재DB_RAW!$O$3:$O,(소재DB_RAW!$G$3:$G=$D90)*ISNUMBER(SEARCH("겉감",소재DB_RAW!$M$3:$M))))),"")</f>
        <v/>
      </c>
      <c r="Z90" s="26">
        <f>IFERROR(TEXTJOIN(CHAR(10),TRUE,UNIQUE(FILTER(소재DB_RAW!$N$3:$N&amp;") "&amp;소재DB_RAW!$O$3:$O,(소재DB_RAW!$G$3:$G=$D90)*ISNUMBER(SEARCH("안감",소재DB_RAW!$M$3:$M))))),"")</f>
        <v/>
      </c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21" t="inlineStr">
        <is>
          <t>X</t>
        </is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",TRUE,UNIQUE(FILTER(소재DB_RAW!$K$3:$K,소재DB_RAW!$G$3:$G=$D91))),"")</f>
        <v/>
      </c>
      <c r="W91" s="20" t="inlineStr">
        <is>
          <t>인도네시아</t>
        </is>
      </c>
      <c r="X91" s="20">
        <f>IFERROR(TEXTJOIN(" / ",TRUE,UNIQUE(FILTER(소재DB_RAW!$N$3:$N,소재DB_RAW!$G$3:$G=$D91))),"")</f>
        <v/>
      </c>
      <c r="Y91" s="26">
        <f>IFERROR(TEXTJOIN(CHAR(10),TRUE,UNIQUE(FILTER(소재DB_RAW!$N$3:$N&amp;") "&amp;소재DB_RAW!$O$3:$O,(소재DB_RAW!$G$3:$G=$D91)*ISNUMBER(SEARCH("겉감",소재DB_RAW!$M$3:$M))))),"")</f>
        <v/>
      </c>
      <c r="Z91" s="26">
        <f>IFERROR(TEXTJOIN(CHAR(10),TRUE,UNIQUE(FILTER(소재DB_RAW!$N$3:$N&amp;") "&amp;소재DB_RAW!$O$3:$O,(소재DB_RAW!$G$3:$G=$D91)*ISNUMBER(SEARCH("안감",소재DB_RAW!$M$3:$M))))),"")</f>
        <v/>
      </c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21" t="inlineStr">
        <is>
          <t>X</t>
        </is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",TRUE,UNIQUE(FILTER(소재DB_RAW!$K$3:$K,소재DB_RAW!$G$3:$G=$D92))),"")</f>
        <v/>
      </c>
      <c r="W92" s="20" t="inlineStr">
        <is>
          <t>베트남</t>
        </is>
      </c>
      <c r="X92" s="20">
        <f>IFERROR(TEXTJOIN(" / ",TRUE,UNIQUE(FILTER(소재DB_RAW!$N$3:$N,소재DB_RAW!$G$3:$G=$D92))),"")</f>
        <v/>
      </c>
      <c r="Y92" s="26">
        <f>IFERROR(TEXTJOIN(CHAR(10),TRUE,UNIQUE(FILTER(소재DB_RAW!$N$3:$N&amp;") "&amp;소재DB_RAW!$O$3:$O,(소재DB_RAW!$G$3:$G=$D92)*ISNUMBER(SEARCH("겉감",소재DB_RAW!$M$3:$M))))),"")</f>
        <v/>
      </c>
      <c r="Z92" s="26">
        <f>IFERROR(TEXTJOIN(CHAR(10),TRUE,UNIQUE(FILTER(소재DB_RAW!$N$3:$N&amp;") "&amp;소재DB_RAW!$O$3:$O,(소재DB_RAW!$G$3:$G=$D92)*ISNUMBER(SEARCH("안감",소재DB_RAW!$M$3:$M))))),"")</f>
        <v/>
      </c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21" t="inlineStr">
        <is>
          <t>X</t>
        </is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",TRUE,UNIQUE(FILTER(소재DB_RAW!$K$3:$K,소재DB_RAW!$G$3:$G=$D93))),"")</f>
        <v/>
      </c>
      <c r="W93" s="20" t="inlineStr">
        <is>
          <t>베트남</t>
        </is>
      </c>
      <c r="X93" s="20">
        <f>IFERROR(TEXTJOIN(" / ",TRUE,UNIQUE(FILTER(소재DB_RAW!$N$3:$N,소재DB_RAW!$G$3:$G=$D93))),"")</f>
        <v/>
      </c>
      <c r="Y93" s="26">
        <f>IFERROR(TEXTJOIN(CHAR(10),TRUE,UNIQUE(FILTER(소재DB_RAW!$N$3:$N&amp;") "&amp;소재DB_RAW!$O$3:$O,(소재DB_RAW!$G$3:$G=$D93)*ISNUMBER(SEARCH("겉감",소재DB_RAW!$M$3:$M))))),"")</f>
        <v/>
      </c>
      <c r="Z93" s="26">
        <f>IFERROR(TEXTJOIN(CHAR(10),TRUE,UNIQUE(FILTER(소재DB_RAW!$N$3:$N&amp;") "&amp;소재DB_RAW!$O$3:$O,(소재DB_RAW!$G$3:$G=$D93)*ISNUMBER(SEARCH("안감",소재DB_RAW!$M$3:$M))))),"")</f>
        <v/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21" t="inlineStr">
        <is>
          <t>X</t>
        </is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",TRUE,UNIQUE(FILTER(소재DB_RAW!$K$3:$K,소재DB_RAW!$G$3:$G=$D94))),"")</f>
        <v/>
      </c>
      <c r="W94" s="20" t="inlineStr">
        <is>
          <t>인도네시아</t>
        </is>
      </c>
      <c r="X94" s="20">
        <f>IFERROR(TEXTJOIN(" / ",TRUE,UNIQUE(FILTER(소재DB_RAW!$N$3:$N,소재DB_RAW!$G$3:$G=$D94))),"")</f>
        <v/>
      </c>
      <c r="Y94" s="26">
        <f>IFERROR(TEXTJOIN(CHAR(10),TRUE,UNIQUE(FILTER(소재DB_RAW!$N$3:$N&amp;") "&amp;소재DB_RAW!$O$3:$O,(소재DB_RAW!$G$3:$G=$D94)*ISNUMBER(SEARCH("겉감",소재DB_RAW!$M$3:$M))))),"")</f>
        <v/>
      </c>
      <c r="Z94" s="26">
        <f>IFERROR(TEXTJOIN(CHAR(10),TRUE,UNIQUE(FILTER(소재DB_RAW!$N$3:$N&amp;") "&amp;소재DB_RAW!$O$3:$O,(소재DB_RAW!$G$3:$G=$D94)*ISNUMBER(SEARCH("안감",소재DB_RAW!$M$3:$M))))),"")</f>
        <v/>
      </c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21" t="inlineStr">
        <is>
          <t>X</t>
        </is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",TRUE,UNIQUE(FILTER(소재DB_RAW!$K$3:$K,소재DB_RAW!$G$3:$G=$D95))),"")</f>
        <v/>
      </c>
      <c r="W95" s="20" t="inlineStr">
        <is>
          <t>베트남</t>
        </is>
      </c>
      <c r="X95" s="20">
        <f>IFERROR(TEXTJOIN(" / ",TRUE,UNIQUE(FILTER(소재DB_RAW!$N$3:$N,소재DB_RAW!$G$3:$G=$D95))),"")</f>
        <v/>
      </c>
      <c r="Y95" s="26">
        <f>IFERROR(TEXTJOIN(CHAR(10),TRUE,UNIQUE(FILTER(소재DB_RAW!$N$3:$N&amp;") "&amp;소재DB_RAW!$O$3:$O,(소재DB_RAW!$G$3:$G=$D95)*ISNUMBER(SEARCH("겉감",소재DB_RAW!$M$3:$M))))),"")</f>
        <v/>
      </c>
      <c r="Z95" s="26">
        <f>IFERROR(TEXTJOIN(CHAR(10),TRUE,UNIQUE(FILTER(소재DB_RAW!$N$3:$N&amp;") "&amp;소재DB_RAW!$O$3:$O,(소재DB_RAW!$G$3:$G=$D95)*ISNUMBER(SEARCH("안감",소재DB_RAW!$M$3:$M))))),"")</f>
        <v/>
      </c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21" t="inlineStr">
        <is>
          <t>X</t>
        </is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",TRUE,UNIQUE(FILTER(소재DB_RAW!$K$3:$K,소재DB_RAW!$G$3:$G=$D96))),"")</f>
        <v/>
      </c>
      <c r="W96" s="20" t="inlineStr">
        <is>
          <t>미얀마</t>
        </is>
      </c>
      <c r="X96" s="20">
        <f>IFERROR(TEXTJOIN(" / ",TRUE,UNIQUE(FILTER(소재DB_RAW!$N$3:$N,소재DB_RAW!$G$3:$G=$D96))),"")</f>
        <v/>
      </c>
      <c r="Y96" s="26">
        <f>IFERROR(TEXTJOIN(CHAR(10),TRUE,UNIQUE(FILTER(소재DB_RAW!$N$3:$N&amp;") "&amp;소재DB_RAW!$O$3:$O,(소재DB_RAW!$G$3:$G=$D96)*ISNUMBER(SEARCH("겉감",소재DB_RAW!$M$3:$M))))),"")</f>
        <v/>
      </c>
      <c r="Z96" s="26">
        <f>IFERROR(TEXTJOIN(CHAR(10),TRUE,UNIQUE(FILTER(소재DB_RAW!$N$3:$N&amp;") "&amp;소재DB_RAW!$O$3:$O,(소재DB_RAW!$G$3:$G=$D96)*ISNUMBER(SEARCH("안감",소재DB_RAW!$M$3:$M))))),"")</f>
        <v/>
      </c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21" t="inlineStr">
        <is>
          <t>X</t>
        </is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",TRUE,UNIQUE(FILTER(소재DB_RAW!$K$3:$K,소재DB_RAW!$G$3:$G=$D97))),"")</f>
        <v/>
      </c>
      <c r="W97" s="20" t="inlineStr">
        <is>
          <t>베트남</t>
        </is>
      </c>
      <c r="X97" s="20">
        <f>IFERROR(TEXTJOIN(" / ",TRUE,UNIQUE(FILTER(소재DB_RAW!$N$3:$N,소재DB_RAW!$G$3:$G=$D97))),"")</f>
        <v/>
      </c>
      <c r="Y97" s="26">
        <f>IFERROR(TEXTJOIN(CHAR(10),TRUE,UNIQUE(FILTER(소재DB_RAW!$N$3:$N&amp;") "&amp;소재DB_RAW!$O$3:$O,(소재DB_RAW!$G$3:$G=$D97)*ISNUMBER(SEARCH("겉감",소재DB_RAW!$M$3:$M))))),"")</f>
        <v/>
      </c>
      <c r="Z97" s="26">
        <f>IFERROR(TEXTJOIN(CHAR(10),TRUE,UNIQUE(FILTER(소재DB_RAW!$N$3:$N&amp;") "&amp;소재DB_RAW!$O$3:$O,(소재DB_RAW!$G$3:$G=$D97)*ISNUMBER(SEARCH("안감",소재DB_RAW!$M$3:$M))))),"")</f>
        <v/>
      </c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21" t="inlineStr">
        <is>
          <t>X</t>
        </is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",TRUE,UNIQUE(FILTER(소재DB_RAW!$K$3:$K,소재DB_RAW!$G$3:$G=$D98))),"")</f>
        <v/>
      </c>
      <c r="W98" s="20" t="inlineStr">
        <is>
          <t>베트남</t>
        </is>
      </c>
      <c r="X98" s="20">
        <f>IFERROR(TEXTJOIN(" / ",TRUE,UNIQUE(FILTER(소재DB_RAW!$N$3:$N,소재DB_RAW!$G$3:$G=$D98))),"")</f>
        <v/>
      </c>
      <c r="Y98" s="26">
        <f>IFERROR(TEXTJOIN(CHAR(10),TRUE,UNIQUE(FILTER(소재DB_RAW!$N$3:$N&amp;") "&amp;소재DB_RAW!$O$3:$O,(소재DB_RAW!$G$3:$G=$D98)*ISNUMBER(SEARCH("겉감",소재DB_RAW!$M$3:$M))))),"")</f>
        <v/>
      </c>
      <c r="Z98" s="26">
        <f>IFERROR(TEXTJOIN(CHAR(10),TRUE,UNIQUE(FILTER(소재DB_RAW!$N$3:$N&amp;") "&amp;소재DB_RAW!$O$3:$O,(소재DB_RAW!$G$3:$G=$D98)*ISNUMBER(SEARCH("안감",소재DB_RAW!$M$3:$M))))),"")</f>
        <v/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21" t="inlineStr">
        <is>
          <t>X</t>
        </is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",TRUE,UNIQUE(FILTER(소재DB_RAW!$K$3:$K,소재DB_RAW!$G$3:$G=$D99))),"")</f>
        <v/>
      </c>
      <c r="W99" s="20" t="inlineStr">
        <is>
          <t>인도네시아</t>
        </is>
      </c>
      <c r="X99" s="20">
        <f>IFERROR(TEXTJOIN(" / ",TRUE,UNIQUE(FILTER(소재DB_RAW!$N$3:$N,소재DB_RAW!$G$3:$G=$D99))),"")</f>
        <v/>
      </c>
      <c r="Y99" s="26">
        <f>IFERROR(TEXTJOIN(CHAR(10),TRUE,UNIQUE(FILTER(소재DB_RAW!$N$3:$N&amp;") "&amp;소재DB_RAW!$O$3:$O,(소재DB_RAW!$G$3:$G=$D99)*ISNUMBER(SEARCH("겉감",소재DB_RAW!$M$3:$M))))),"")</f>
        <v/>
      </c>
      <c r="Z99" s="26">
        <f>IFERROR(TEXTJOIN(CHAR(10),TRUE,UNIQUE(FILTER(소재DB_RAW!$N$3:$N&amp;") "&amp;소재DB_RAW!$O$3:$O,(소재DB_RAW!$G$3:$G=$D99)*ISNUMBER(SEARCH("안감",소재DB_RAW!$M$3:$M))))),"")</f>
        <v/>
      </c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21" t="inlineStr">
        <is>
          <t>X</t>
        </is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",TRUE,UNIQUE(FILTER(소재DB_RAW!$K$3:$K,소재DB_RAW!$G$3:$G=$D100))),"")</f>
        <v/>
      </c>
      <c r="W100" s="20" t="inlineStr">
        <is>
          <t>베트남</t>
        </is>
      </c>
      <c r="X100" s="20">
        <f>IFERROR(TEXTJOIN(" / ",TRUE,UNIQUE(FILTER(소재DB_RAW!$N$3:$N,소재DB_RAW!$G$3:$G=$D100))),"")</f>
        <v/>
      </c>
      <c r="Y100" s="26">
        <f>IFERROR(TEXTJOIN(CHAR(10),TRUE,UNIQUE(FILTER(소재DB_RAW!$N$3:$N&amp;") "&amp;소재DB_RAW!$O$3:$O,(소재DB_RAW!$G$3:$G=$D100)*ISNUMBER(SEARCH("겉감",소재DB_RAW!$M$3:$M))))),"")</f>
        <v/>
      </c>
      <c r="Z100" s="26">
        <f>IFERROR(TEXTJOIN(CHAR(10),TRUE,UNIQUE(FILTER(소재DB_RAW!$N$3:$N&amp;") "&amp;소재DB_RAW!$O$3:$O,(소재DB_RAW!$G$3:$G=$D100)*ISNUMBER(SEARCH("안감",소재DB_RAW!$M$3:$M))))),"")</f>
        <v/>
      </c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21" t="inlineStr">
        <is>
          <t>X</t>
        </is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",TRUE,UNIQUE(FILTER(소재DB_RAW!$K$3:$K,소재DB_RAW!$G$3:$G=$D101))),"")</f>
        <v/>
      </c>
      <c r="W101" s="20" t="inlineStr">
        <is>
          <t>베트남</t>
        </is>
      </c>
      <c r="X101" s="20">
        <f>IFERROR(TEXTJOIN(" / ",TRUE,UNIQUE(FILTER(소재DB_RAW!$N$3:$N,소재DB_RAW!$G$3:$G=$D101))),"")</f>
        <v/>
      </c>
      <c r="Y101" s="26">
        <f>IFERROR(TEXTJOIN(CHAR(10),TRUE,UNIQUE(FILTER(소재DB_RAW!$N$3:$N&amp;") "&amp;소재DB_RAW!$O$3:$O,(소재DB_RAW!$G$3:$G=$D101)*ISNUMBER(SEARCH("겉감",소재DB_RAW!$M$3:$M))))),"")</f>
        <v/>
      </c>
      <c r="Z101" s="26">
        <f>IFERROR(TEXTJOIN(CHAR(10),TRUE,UNIQUE(FILTER(소재DB_RAW!$N$3:$N&amp;") "&amp;소재DB_RAW!$O$3:$O,(소재DB_RAW!$G$3:$G=$D101)*ISNUMBER(SEARCH("안감",소재DB_RAW!$M$3:$M))))),"")</f>
        <v/>
      </c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21" t="inlineStr">
        <is>
          <t>X</t>
        </is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",TRUE,UNIQUE(FILTER(소재DB_RAW!$K$3:$K,소재DB_RAW!$G$3:$G=$D102))),"")</f>
        <v/>
      </c>
      <c r="W102" s="20" t="inlineStr">
        <is>
          <t>베트남</t>
        </is>
      </c>
      <c r="X102" s="20">
        <f>IFERROR(TEXTJOIN(" / ",TRUE,UNIQUE(FILTER(소재DB_RAW!$N$3:$N,소재DB_RAW!$G$3:$G=$D102))),"")</f>
        <v/>
      </c>
      <c r="Y102" s="26">
        <f>IFERROR(TEXTJOIN(CHAR(10),TRUE,UNIQUE(FILTER(소재DB_RAW!$N$3:$N&amp;") "&amp;소재DB_RAW!$O$3:$O,(소재DB_RAW!$G$3:$G=$D102)*ISNUMBER(SEARCH("겉감",소재DB_RAW!$M$3:$M))))),"")</f>
        <v/>
      </c>
      <c r="Z102" s="26">
        <f>IFERROR(TEXTJOIN(CHAR(10),TRUE,UNIQUE(FILTER(소재DB_RAW!$N$3:$N&amp;") "&amp;소재DB_RAW!$O$3:$O,(소재DB_RAW!$G$3:$G=$D102)*ISNUMBER(SEARCH("안감",소재DB_RAW!$M$3:$M))))),"")</f>
        <v/>
      </c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21" t="inlineStr">
        <is>
          <t>X</t>
        </is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",TRUE,UNIQUE(FILTER(소재DB_RAW!$K$3:$K,소재DB_RAW!$G$3:$G=$D103))),"")</f>
        <v/>
      </c>
      <c r="W103" s="20" t="inlineStr">
        <is>
          <t>베트남</t>
        </is>
      </c>
      <c r="X103" s="20">
        <f>IFERROR(TEXTJOIN(" / ",TRUE,UNIQUE(FILTER(소재DB_RAW!$N$3:$N,소재DB_RAW!$G$3:$G=$D103))),"")</f>
        <v/>
      </c>
      <c r="Y103" s="26">
        <f>IFERROR(TEXTJOIN(CHAR(10),TRUE,UNIQUE(FILTER(소재DB_RAW!$N$3:$N&amp;") "&amp;소재DB_RAW!$O$3:$O,(소재DB_RAW!$G$3:$G=$D103)*ISNUMBER(SEARCH("겉감",소재DB_RAW!$M$3:$M))))),"")</f>
        <v/>
      </c>
      <c r="Z103" s="26">
        <f>IFERROR(TEXTJOIN(CHAR(10),TRUE,UNIQUE(FILTER(소재DB_RAW!$N$3:$N&amp;") "&amp;소재DB_RAW!$O$3:$O,(소재DB_RAW!$G$3:$G=$D103)*ISNUMBER(SEARCH("안감",소재DB_RAW!$M$3:$M))))),"")</f>
        <v/>
      </c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21" t="inlineStr">
        <is>
          <t>X</t>
        </is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",TRUE,UNIQUE(FILTER(소재DB_RAW!$K$3:$K,소재DB_RAW!$G$3:$G=$D104))),"")</f>
        <v/>
      </c>
      <c r="W104" s="20" t="inlineStr"/>
      <c r="X104" s="20">
        <f>IFERROR(TEXTJOIN(" / ",TRUE,UNIQUE(FILTER(소재DB_RAW!$N$3:$N,소재DB_RAW!$G$3:$G=$D104))),"")</f>
        <v/>
      </c>
      <c r="Y104" s="26">
        <f>IFERROR(TEXTJOIN(CHAR(10),TRUE,UNIQUE(FILTER(소재DB_RAW!$N$3:$N&amp;") "&amp;소재DB_RAW!$O$3:$O,(소재DB_RAW!$G$3:$G=$D104)*ISNUMBER(SEARCH("겉감",소재DB_RAW!$M$3:$M))))),"")</f>
        <v/>
      </c>
      <c r="Z104" s="26">
        <f>IFERROR(TEXTJOIN(CHAR(10),TRUE,UNIQUE(FILTER(소재DB_RAW!$N$3:$N&amp;") "&amp;소재DB_RAW!$O$3:$O,(소재DB_RAW!$G$3:$G=$D104)*ISNUMBER(SEARCH("안감",소재DB_RAW!$M$3:$M))))),"")</f>
        <v/>
      </c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21" t="inlineStr">
        <is>
          <t>O</t>
        </is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",TRUE,UNIQUE(FILTER(소재DB_RAW!$K$3:$K,소재DB_RAW!$G$3:$G=$D105))),"")</f>
        <v/>
      </c>
      <c r="W105" s="20" t="inlineStr"/>
      <c r="X105" s="20">
        <f>IFERROR(TEXTJOIN(" / ",TRUE,UNIQUE(FILTER(소재DB_RAW!$N$3:$N,소재DB_RAW!$G$3:$G=$D105))),"")</f>
        <v/>
      </c>
      <c r="Y105" s="26">
        <f>IFERROR(TEXTJOIN(CHAR(10),TRUE,UNIQUE(FILTER(소재DB_RAW!$N$3:$N&amp;") "&amp;소재DB_RAW!$O$3:$O,(소재DB_RAW!$G$3:$G=$D105)*ISNUMBER(SEARCH("겉감",소재DB_RAW!$M$3:$M))))),"")</f>
        <v/>
      </c>
      <c r="Z105" s="26">
        <f>IFERROR(TEXTJOIN(CHAR(10),TRUE,UNIQUE(FILTER(소재DB_RAW!$N$3:$N&amp;") "&amp;소재DB_RAW!$O$3:$O,(소재DB_RAW!$G$3:$G=$D105)*ISNUMBER(SEARCH("안감",소재DB_RAW!$M$3:$M))))),"")</f>
        <v/>
      </c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21" t="inlineStr">
        <is>
          <t>X</t>
        </is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",TRUE,UNIQUE(FILTER(소재DB_RAW!$K$3:$K,소재DB_RAW!$G$3:$G=$D106))),"")</f>
        <v/>
      </c>
      <c r="W106" s="20" t="inlineStr">
        <is>
          <t>베트남</t>
        </is>
      </c>
      <c r="X106" s="20">
        <f>IFERROR(TEXTJOIN(" / ",TRUE,UNIQUE(FILTER(소재DB_RAW!$N$3:$N,소재DB_RAW!$G$3:$G=$D106))),"")</f>
        <v/>
      </c>
      <c r="Y106" s="26">
        <f>IFERROR(TEXTJOIN(CHAR(10),TRUE,UNIQUE(FILTER(소재DB_RAW!$N$3:$N&amp;") "&amp;소재DB_RAW!$O$3:$O,(소재DB_RAW!$G$3:$G=$D106)*ISNUMBER(SEARCH("겉감",소재DB_RAW!$M$3:$M))))),"")</f>
        <v/>
      </c>
      <c r="Z106" s="26">
        <f>IFERROR(TEXTJOIN(CHAR(10),TRUE,UNIQUE(FILTER(소재DB_RAW!$N$3:$N&amp;") "&amp;소재DB_RAW!$O$3:$O,(소재DB_RAW!$G$3:$G=$D106)*ISNUMBER(SEARCH("안감",소재DB_RAW!$M$3:$M))))),"")</f>
        <v/>
      </c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21" t="inlineStr">
        <is>
          <t>X</t>
        </is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",TRUE,UNIQUE(FILTER(소재DB_RAW!$K$3:$K,소재DB_RAW!$G$3:$G=$D107))),"")</f>
        <v/>
      </c>
      <c r="W107" s="20" t="inlineStr">
        <is>
          <t>베트남</t>
        </is>
      </c>
      <c r="X107" s="20">
        <f>IFERROR(TEXTJOIN(" / ",TRUE,UNIQUE(FILTER(소재DB_RAW!$N$3:$N,소재DB_RAW!$G$3:$G=$D107))),"")</f>
        <v/>
      </c>
      <c r="Y107" s="26">
        <f>IFERROR(TEXTJOIN(CHAR(10),TRUE,UNIQUE(FILTER(소재DB_RAW!$N$3:$N&amp;") "&amp;소재DB_RAW!$O$3:$O,(소재DB_RAW!$G$3:$G=$D107)*ISNUMBER(SEARCH("겉감",소재DB_RAW!$M$3:$M))))),"")</f>
        <v/>
      </c>
      <c r="Z107" s="26">
        <f>IFERROR(TEXTJOIN(CHAR(10),TRUE,UNIQUE(FILTER(소재DB_RAW!$N$3:$N&amp;") "&amp;소재DB_RAW!$O$3:$O,(소재DB_RAW!$G$3:$G=$D107)*ISNUMBER(SEARCH("안감",소재DB_RAW!$M$3:$M))))),"")</f>
        <v/>
      </c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21" t="inlineStr">
        <is>
          <t>X</t>
        </is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",TRUE,UNIQUE(FILTER(소재DB_RAW!$K$3:$K,소재DB_RAW!$G$3:$G=$D108))),"")</f>
        <v/>
      </c>
      <c r="W108" s="20" t="inlineStr">
        <is>
          <t>베트남</t>
        </is>
      </c>
      <c r="X108" s="20">
        <f>IFERROR(TEXTJOIN(" / ",TRUE,UNIQUE(FILTER(소재DB_RAW!$N$3:$N,소재DB_RAW!$G$3:$G=$D108))),"")</f>
        <v/>
      </c>
      <c r="Y108" s="26">
        <f>IFERROR(TEXTJOIN(CHAR(10),TRUE,UNIQUE(FILTER(소재DB_RAW!$N$3:$N&amp;") "&amp;소재DB_RAW!$O$3:$O,(소재DB_RAW!$G$3:$G=$D108)*ISNUMBER(SEARCH("겉감",소재DB_RAW!$M$3:$M))))),"")</f>
        <v/>
      </c>
      <c r="Z108" s="26">
        <f>IFERROR(TEXTJOIN(CHAR(10),TRUE,UNIQUE(FILTER(소재DB_RAW!$N$3:$N&amp;") "&amp;소재DB_RAW!$O$3:$O,(소재DB_RAW!$G$3:$G=$D108)*ISNUMBER(SEARCH("안감",소재DB_RAW!$M$3:$M))))),"")</f>
        <v/>
      </c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21" t="inlineStr">
        <is>
          <t>X</t>
        </is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",TRUE,UNIQUE(FILTER(소재DB_RAW!$K$3:$K,소재DB_RAW!$G$3:$G=$D109))),"")</f>
        <v/>
      </c>
      <c r="W109" s="20" t="inlineStr">
        <is>
          <t>베트남</t>
        </is>
      </c>
      <c r="X109" s="20">
        <f>IFERROR(TEXTJOIN(" / ",TRUE,UNIQUE(FILTER(소재DB_RAW!$N$3:$N,소재DB_RAW!$G$3:$G=$D109))),"")</f>
        <v/>
      </c>
      <c r="Y109" s="26">
        <f>IFERROR(TEXTJOIN(CHAR(10),TRUE,UNIQUE(FILTER(소재DB_RAW!$N$3:$N&amp;") "&amp;소재DB_RAW!$O$3:$O,(소재DB_RAW!$G$3:$G=$D109)*ISNUMBER(SEARCH("겉감",소재DB_RAW!$M$3:$M))))),"")</f>
        <v/>
      </c>
      <c r="Z109" s="26">
        <f>IFERROR(TEXTJOIN(CHAR(10),TRUE,UNIQUE(FILTER(소재DB_RAW!$N$3:$N&amp;") "&amp;소재DB_RAW!$O$3:$O,(소재DB_RAW!$G$3:$G=$D109)*ISNUMBER(SEARCH("안감",소재DB_RAW!$M$3:$M))))),"")</f>
        <v/>
      </c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21" t="inlineStr">
        <is>
          <t>X</t>
        </is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",TRUE,UNIQUE(FILTER(소재DB_RAW!$K$3:$K,소재DB_RAW!$G$3:$G=$D110))),"")</f>
        <v/>
      </c>
      <c r="W110" s="20" t="inlineStr">
        <is>
          <t>인도네시아</t>
        </is>
      </c>
      <c r="X110" s="20">
        <f>IFERROR(TEXTJOIN(" / ",TRUE,UNIQUE(FILTER(소재DB_RAW!$N$3:$N,소재DB_RAW!$G$3:$G=$D110))),"")</f>
        <v/>
      </c>
      <c r="Y110" s="26">
        <f>IFERROR(TEXTJOIN(CHAR(10),TRUE,UNIQUE(FILTER(소재DB_RAW!$N$3:$N&amp;") "&amp;소재DB_RAW!$O$3:$O,(소재DB_RAW!$G$3:$G=$D110)*ISNUMBER(SEARCH("겉감",소재DB_RAW!$M$3:$M))))),"")</f>
        <v/>
      </c>
      <c r="Z110" s="26">
        <f>IFERROR(TEXTJOIN(CHAR(10),TRUE,UNIQUE(FILTER(소재DB_RAW!$N$3:$N&amp;") "&amp;소재DB_RAW!$O$3:$O,(소재DB_RAW!$G$3:$G=$D110)*ISNUMBER(SEARCH("안감",소재DB_RAW!$M$3:$M))))),"")</f>
        <v/>
      </c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21" t="inlineStr">
        <is>
          <t>X</t>
        </is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",TRUE,UNIQUE(FILTER(소재DB_RAW!$K$3:$K,소재DB_RAW!$G$3:$G=$D111))),"")</f>
        <v/>
      </c>
      <c r="W111" s="20" t="inlineStr">
        <is>
          <t>베트남</t>
        </is>
      </c>
      <c r="X111" s="20">
        <f>IFERROR(TEXTJOIN(" / ",TRUE,UNIQUE(FILTER(소재DB_RAW!$N$3:$N,소재DB_RAW!$G$3:$G=$D111))),"")</f>
        <v/>
      </c>
      <c r="Y111" s="26">
        <f>IFERROR(TEXTJOIN(CHAR(10),TRUE,UNIQUE(FILTER(소재DB_RAW!$N$3:$N&amp;") "&amp;소재DB_RAW!$O$3:$O,(소재DB_RAW!$G$3:$G=$D111)*ISNUMBER(SEARCH("겉감",소재DB_RAW!$M$3:$M))))),"")</f>
        <v/>
      </c>
      <c r="Z111" s="26">
        <f>IFERROR(TEXTJOIN(CHAR(10),TRUE,UNIQUE(FILTER(소재DB_RAW!$N$3:$N&amp;") "&amp;소재DB_RAW!$O$3:$O,(소재DB_RAW!$G$3:$G=$D111)*ISNUMBER(SEARCH("안감",소재DB_RAW!$M$3:$M))))),"")</f>
        <v/>
      </c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21" t="inlineStr">
        <is>
          <t>X</t>
        </is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",TRUE,UNIQUE(FILTER(소재DB_RAW!$K$3:$K,소재DB_RAW!$G$3:$G=$D112))),"")</f>
        <v/>
      </c>
      <c r="W112" s="20" t="inlineStr">
        <is>
          <t>베트남</t>
        </is>
      </c>
      <c r="X112" s="20">
        <f>IFERROR(TEXTJOIN(" / ",TRUE,UNIQUE(FILTER(소재DB_RAW!$N$3:$N,소재DB_RAW!$G$3:$G=$D112))),"")</f>
        <v/>
      </c>
      <c r="Y112" s="26">
        <f>IFERROR(TEXTJOIN(CHAR(10),TRUE,UNIQUE(FILTER(소재DB_RAW!$N$3:$N&amp;") "&amp;소재DB_RAW!$O$3:$O,(소재DB_RAW!$G$3:$G=$D112)*ISNUMBER(SEARCH("겉감",소재DB_RAW!$M$3:$M))))),"")</f>
        <v/>
      </c>
      <c r="Z112" s="26">
        <f>IFERROR(TEXTJOIN(CHAR(10),TRUE,UNIQUE(FILTER(소재DB_RAW!$N$3:$N&amp;") "&amp;소재DB_RAW!$O$3:$O,(소재DB_RAW!$G$3:$G=$D112)*ISNUMBER(SEARCH("안감",소재DB_RAW!$M$3:$M))))),"")</f>
        <v/>
      </c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21" t="inlineStr">
        <is>
          <t>X</t>
        </is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",TRUE,UNIQUE(FILTER(소재DB_RAW!$K$3:$K,소재DB_RAW!$G$3:$G=$D113))),"")</f>
        <v/>
      </c>
      <c r="W113" s="20" t="inlineStr">
        <is>
          <t>베트남</t>
        </is>
      </c>
      <c r="X113" s="20">
        <f>IFERROR(TEXTJOIN(" / ",TRUE,UNIQUE(FILTER(소재DB_RAW!$N$3:$N,소재DB_RAW!$G$3:$G=$D113))),"")</f>
        <v/>
      </c>
      <c r="Y113" s="26">
        <f>IFERROR(TEXTJOIN(CHAR(10),TRUE,UNIQUE(FILTER(소재DB_RAW!$N$3:$N&amp;") "&amp;소재DB_RAW!$O$3:$O,(소재DB_RAW!$G$3:$G=$D113)*ISNUMBER(SEARCH("겉감",소재DB_RAW!$M$3:$M))))),"")</f>
        <v/>
      </c>
      <c r="Z113" s="26">
        <f>IFERROR(TEXTJOIN(CHAR(10),TRUE,UNIQUE(FILTER(소재DB_RAW!$N$3:$N&amp;") "&amp;소재DB_RAW!$O$3:$O,(소재DB_RAW!$G$3:$G=$D113)*ISNUMBER(SEARCH("안감",소재DB_RAW!$M$3:$M))))),"")</f>
        <v/>
      </c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21" t="inlineStr">
        <is>
          <t>X</t>
        </is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",TRUE,UNIQUE(FILTER(소재DB_RAW!$K$3:$K,소재DB_RAW!$G$3:$G=$D114))),"")</f>
        <v/>
      </c>
      <c r="W114" s="20" t="inlineStr">
        <is>
          <t>베트남</t>
        </is>
      </c>
      <c r="X114" s="20">
        <f>IFERROR(TEXTJOIN(" / ",TRUE,UNIQUE(FILTER(소재DB_RAW!$N$3:$N,소재DB_RAW!$G$3:$G=$D114))),"")</f>
        <v/>
      </c>
      <c r="Y114" s="26">
        <f>IFERROR(TEXTJOIN(CHAR(10),TRUE,UNIQUE(FILTER(소재DB_RAW!$N$3:$N&amp;") "&amp;소재DB_RAW!$O$3:$O,(소재DB_RAW!$G$3:$G=$D114)*ISNUMBER(SEARCH("겉감",소재DB_RAW!$M$3:$M))))),"")</f>
        <v/>
      </c>
      <c r="Z114" s="26">
        <f>IFERROR(TEXTJOIN(CHAR(10),TRUE,UNIQUE(FILTER(소재DB_RAW!$N$3:$N&amp;") "&amp;소재DB_RAW!$O$3:$O,(소재DB_RAW!$G$3:$G=$D114)*ISNUMBER(SEARCH("안감",소재DB_RAW!$M$3:$M))))),"")</f>
        <v/>
      </c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21" t="inlineStr">
        <is>
          <t>X</t>
        </is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",TRUE,UNIQUE(FILTER(소재DB_RAW!$K$3:$K,소재DB_RAW!$G$3:$G=$D115))),"")</f>
        <v/>
      </c>
      <c r="W115" s="20" t="inlineStr">
        <is>
          <t>베트남</t>
        </is>
      </c>
      <c r="X115" s="20">
        <f>IFERROR(TEXTJOIN(" / ",TRUE,UNIQUE(FILTER(소재DB_RAW!$N$3:$N,소재DB_RAW!$G$3:$G=$D115))),"")</f>
        <v/>
      </c>
      <c r="Y115" s="26">
        <f>IFERROR(TEXTJOIN(CHAR(10),TRUE,UNIQUE(FILTER(소재DB_RAW!$N$3:$N&amp;") "&amp;소재DB_RAW!$O$3:$O,(소재DB_RAW!$G$3:$G=$D115)*ISNUMBER(SEARCH("겉감",소재DB_RAW!$M$3:$M))))),"")</f>
        <v/>
      </c>
      <c r="Z115" s="26">
        <f>IFERROR(TEXTJOIN(CHAR(10),TRUE,UNIQUE(FILTER(소재DB_RAW!$N$3:$N&amp;") "&amp;소재DB_RAW!$O$3:$O,(소재DB_RAW!$G$3:$G=$D115)*ISNUMBER(SEARCH("안감",소재DB_RAW!$M$3:$M))))),"")</f>
        <v/>
      </c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21" t="inlineStr">
        <is>
          <t>X</t>
        </is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",TRUE,UNIQUE(FILTER(소재DB_RAW!$K$3:$K,소재DB_RAW!$G$3:$G=$D116))),"")</f>
        <v/>
      </c>
      <c r="W116" s="20" t="inlineStr">
        <is>
          <t>베트남</t>
        </is>
      </c>
      <c r="X116" s="20">
        <f>IFERROR(TEXTJOIN(" / ",TRUE,UNIQUE(FILTER(소재DB_RAW!$N$3:$N,소재DB_RAW!$G$3:$G=$D116))),"")</f>
        <v/>
      </c>
      <c r="Y116" s="26">
        <f>IFERROR(TEXTJOIN(CHAR(10),TRUE,UNIQUE(FILTER(소재DB_RAW!$N$3:$N&amp;") "&amp;소재DB_RAW!$O$3:$O,(소재DB_RAW!$G$3:$G=$D116)*ISNUMBER(SEARCH("겉감",소재DB_RAW!$M$3:$M))))),"")</f>
        <v/>
      </c>
      <c r="Z116" s="26">
        <f>IFERROR(TEXTJOIN(CHAR(10),TRUE,UNIQUE(FILTER(소재DB_RAW!$N$3:$N&amp;") "&amp;소재DB_RAW!$O$3:$O,(소재DB_RAW!$G$3:$G=$D116)*ISNUMBER(SEARCH("안감",소재DB_RAW!$M$3:$M))))),"")</f>
        <v/>
      </c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21" t="inlineStr">
        <is>
          <t>X</t>
        </is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",TRUE,UNIQUE(FILTER(소재DB_RAW!$K$3:$K,소재DB_RAW!$G$3:$G=$D117))),"")</f>
        <v/>
      </c>
      <c r="W117" s="20" t="inlineStr">
        <is>
          <t>베트남</t>
        </is>
      </c>
      <c r="X117" s="20">
        <f>IFERROR(TEXTJOIN(" / ",TRUE,UNIQUE(FILTER(소재DB_RAW!$N$3:$N,소재DB_RAW!$G$3:$G=$D117))),"")</f>
        <v/>
      </c>
      <c r="Y117" s="26">
        <f>IFERROR(TEXTJOIN(CHAR(10),TRUE,UNIQUE(FILTER(소재DB_RAW!$N$3:$N&amp;") "&amp;소재DB_RAW!$O$3:$O,(소재DB_RAW!$G$3:$G=$D117)*ISNUMBER(SEARCH("겉감",소재DB_RAW!$M$3:$M))))),"")</f>
        <v/>
      </c>
      <c r="Z117" s="26">
        <f>IFERROR(TEXTJOIN(CHAR(10),TRUE,UNIQUE(FILTER(소재DB_RAW!$N$3:$N&amp;") "&amp;소재DB_RAW!$O$3:$O,(소재DB_RAW!$G$3:$G=$D117)*ISNUMBER(SEARCH("안감",소재DB_RAW!$M$3:$M))))),"")</f>
        <v/>
      </c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21" t="inlineStr">
        <is>
          <t>X</t>
        </is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",TRUE,UNIQUE(FILTER(소재DB_RAW!$K$3:$K,소재DB_RAW!$G$3:$G=$D118))),"")</f>
        <v/>
      </c>
      <c r="W118" s="20" t="inlineStr">
        <is>
          <t>인도네시아</t>
        </is>
      </c>
      <c r="X118" s="20">
        <f>IFERROR(TEXTJOIN(" / ",TRUE,UNIQUE(FILTER(소재DB_RAW!$N$3:$N,소재DB_RAW!$G$3:$G=$D118))),"")</f>
        <v/>
      </c>
      <c r="Y118" s="26">
        <f>IFERROR(TEXTJOIN(CHAR(10),TRUE,UNIQUE(FILTER(소재DB_RAW!$N$3:$N&amp;") "&amp;소재DB_RAW!$O$3:$O,(소재DB_RAW!$G$3:$G=$D118)*ISNUMBER(SEARCH("겉감",소재DB_RAW!$M$3:$M))))),"")</f>
        <v/>
      </c>
      <c r="Z118" s="26">
        <f>IFERROR(TEXTJOIN(CHAR(10),TRUE,UNIQUE(FILTER(소재DB_RAW!$N$3:$N&amp;") "&amp;소재DB_RAW!$O$3:$O,(소재DB_RAW!$G$3:$G=$D118)*ISNUMBER(SEARCH("안감",소재DB_RAW!$M$3:$M))))),"")</f>
        <v/>
      </c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21" t="inlineStr">
        <is>
          <t>X</t>
        </is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",TRUE,UNIQUE(FILTER(소재DB_RAW!$K$3:$K,소재DB_RAW!$G$3:$G=$D119))),"")</f>
        <v/>
      </c>
      <c r="W119" s="20" t="inlineStr">
        <is>
          <t>베트남</t>
        </is>
      </c>
      <c r="X119" s="20">
        <f>IFERROR(TEXTJOIN(" / ",TRUE,UNIQUE(FILTER(소재DB_RAW!$N$3:$N,소재DB_RAW!$G$3:$G=$D119))),"")</f>
        <v/>
      </c>
      <c r="Y119" s="26">
        <f>IFERROR(TEXTJOIN(CHAR(10),TRUE,UNIQUE(FILTER(소재DB_RAW!$N$3:$N&amp;") "&amp;소재DB_RAW!$O$3:$O,(소재DB_RAW!$G$3:$G=$D119)*ISNUMBER(SEARCH("겉감",소재DB_RAW!$M$3:$M))))),"")</f>
        <v/>
      </c>
      <c r="Z119" s="26">
        <f>IFERROR(TEXTJOIN(CHAR(10),TRUE,UNIQUE(FILTER(소재DB_RAW!$N$3:$N&amp;") "&amp;소재DB_RAW!$O$3:$O,(소재DB_RAW!$G$3:$G=$D119)*ISNUMBER(SEARCH("안감",소재DB_RAW!$M$3:$M))))),"")</f>
        <v/>
      </c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21" t="inlineStr">
        <is>
          <t>X</t>
        </is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",TRUE,UNIQUE(FILTER(소재DB_RAW!$K$3:$K,소재DB_RAW!$G$3:$G=$D120))),"")</f>
        <v/>
      </c>
      <c r="W120" s="20" t="inlineStr">
        <is>
          <t>베트남</t>
        </is>
      </c>
      <c r="X120" s="20">
        <f>IFERROR(TEXTJOIN(" / ",TRUE,UNIQUE(FILTER(소재DB_RAW!$N$3:$N,소재DB_RAW!$G$3:$G=$D120))),"")</f>
        <v/>
      </c>
      <c r="Y120" s="26">
        <f>IFERROR(TEXTJOIN(CHAR(10),TRUE,UNIQUE(FILTER(소재DB_RAW!$N$3:$N&amp;") "&amp;소재DB_RAW!$O$3:$O,(소재DB_RAW!$G$3:$G=$D120)*ISNUMBER(SEARCH("겉감",소재DB_RAW!$M$3:$M))))),"")</f>
        <v/>
      </c>
      <c r="Z120" s="26">
        <f>IFERROR(TEXTJOIN(CHAR(10),TRUE,UNIQUE(FILTER(소재DB_RAW!$N$3:$N&amp;") "&amp;소재DB_RAW!$O$3:$O,(소재DB_RAW!$G$3:$G=$D120)*ISNUMBER(SEARCH("안감",소재DB_RAW!$M$3:$M))))),"")</f>
        <v/>
      </c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21" t="inlineStr">
        <is>
          <t>X</t>
        </is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",TRUE,UNIQUE(FILTER(소재DB_RAW!$K$3:$K,소재DB_RAW!$G$3:$G=$D121))),"")</f>
        <v/>
      </c>
      <c r="W121" s="20" t="inlineStr"/>
      <c r="X121" s="20">
        <f>IFERROR(TEXTJOIN(" / ",TRUE,UNIQUE(FILTER(소재DB_RAW!$N$3:$N,소재DB_RAW!$G$3:$G=$D121))),"")</f>
        <v/>
      </c>
      <c r="Y121" s="26">
        <f>IFERROR(TEXTJOIN(CHAR(10),TRUE,UNIQUE(FILTER(소재DB_RAW!$N$3:$N&amp;") "&amp;소재DB_RAW!$O$3:$O,(소재DB_RAW!$G$3:$G=$D121)*ISNUMBER(SEARCH("겉감",소재DB_RAW!$M$3:$M))))),"")</f>
        <v/>
      </c>
      <c r="Z121" s="26">
        <f>IFERROR(TEXTJOIN(CHAR(10),TRUE,UNIQUE(FILTER(소재DB_RAW!$N$3:$N&amp;") "&amp;소재DB_RAW!$O$3:$O,(소재DB_RAW!$G$3:$G=$D121)*ISNUMBER(SEARCH("안감",소재DB_RAW!$M$3:$M))))),"")</f>
        <v/>
      </c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21" t="inlineStr">
        <is>
          <t>X</t>
        </is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",TRUE,UNIQUE(FILTER(소재DB_RAW!$K$3:$K,소재DB_RAW!$G$3:$G=$D122))),"")</f>
        <v/>
      </c>
      <c r="W122" s="20" t="inlineStr">
        <is>
          <t>인도네시아</t>
        </is>
      </c>
      <c r="X122" s="20">
        <f>IFERROR(TEXTJOIN(" / ",TRUE,UNIQUE(FILTER(소재DB_RAW!$N$3:$N,소재DB_RAW!$G$3:$G=$D122))),"")</f>
        <v/>
      </c>
      <c r="Y122" s="26">
        <f>IFERROR(TEXTJOIN(CHAR(10),TRUE,UNIQUE(FILTER(소재DB_RAW!$N$3:$N&amp;") "&amp;소재DB_RAW!$O$3:$O,(소재DB_RAW!$G$3:$G=$D122)*ISNUMBER(SEARCH("겉감",소재DB_RAW!$M$3:$M))))),"")</f>
        <v/>
      </c>
      <c r="Z122" s="26">
        <f>IFERROR(TEXTJOIN(CHAR(10),TRUE,UNIQUE(FILTER(소재DB_RAW!$N$3:$N&amp;") "&amp;소재DB_RAW!$O$3:$O,(소재DB_RAW!$G$3:$G=$D122)*ISNUMBER(SEARCH("안감",소재DB_RAW!$M$3:$M))))),"")</f>
        <v/>
      </c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21" t="inlineStr">
        <is>
          <t>X</t>
        </is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",TRUE,UNIQUE(FILTER(소재DB_RAW!$K$3:$K,소재DB_RAW!$G$3:$G=$D123))),"")</f>
        <v/>
      </c>
      <c r="W123" s="20" t="inlineStr">
        <is>
          <t>베트남</t>
        </is>
      </c>
      <c r="X123" s="20">
        <f>IFERROR(TEXTJOIN(" / ",TRUE,UNIQUE(FILTER(소재DB_RAW!$N$3:$N,소재DB_RAW!$G$3:$G=$D123))),"")</f>
        <v/>
      </c>
      <c r="Y123" s="26">
        <f>IFERROR(TEXTJOIN(CHAR(10),TRUE,UNIQUE(FILTER(소재DB_RAW!$N$3:$N&amp;") "&amp;소재DB_RAW!$O$3:$O,(소재DB_RAW!$G$3:$G=$D123)*ISNUMBER(SEARCH("겉감",소재DB_RAW!$M$3:$M))))),"")</f>
        <v/>
      </c>
      <c r="Z123" s="26">
        <f>IFERROR(TEXTJOIN(CHAR(10),TRUE,UNIQUE(FILTER(소재DB_RAW!$N$3:$N&amp;") "&amp;소재DB_RAW!$O$3:$O,(소재DB_RAW!$G$3:$G=$D123)*ISNUMBER(SEARCH("안감",소재DB_RAW!$M$3:$M))))),"")</f>
        <v/>
      </c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21" t="inlineStr">
        <is>
          <t>X</t>
        </is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",TRUE,UNIQUE(FILTER(소재DB_RAW!$K$3:$K,소재DB_RAW!$G$3:$G=$D124))),"")</f>
        <v/>
      </c>
      <c r="W124" s="20" t="inlineStr"/>
      <c r="X124" s="20">
        <f>IFERROR(TEXTJOIN(" / ",TRUE,UNIQUE(FILTER(소재DB_RAW!$N$3:$N,소재DB_RAW!$G$3:$G=$D124))),"")</f>
        <v/>
      </c>
      <c r="Y124" s="26">
        <f>IFERROR(TEXTJOIN(CHAR(10),TRUE,UNIQUE(FILTER(소재DB_RAW!$N$3:$N&amp;") "&amp;소재DB_RAW!$O$3:$O,(소재DB_RAW!$G$3:$G=$D124)*ISNUMBER(SEARCH("겉감",소재DB_RAW!$M$3:$M))))),"")</f>
        <v/>
      </c>
      <c r="Z124" s="26">
        <f>IFERROR(TEXTJOIN(CHAR(10),TRUE,UNIQUE(FILTER(소재DB_RAW!$N$3:$N&amp;") "&amp;소재DB_RAW!$O$3:$O,(소재DB_RAW!$G$3:$G=$D124)*ISNUMBER(SEARCH("안감",소재DB_RAW!$M$3:$M))))),"")</f>
        <v/>
      </c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21" t="inlineStr">
        <is>
          <t>X</t>
        </is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",TRUE,UNIQUE(FILTER(소재DB_RAW!$K$3:$K,소재DB_RAW!$G$3:$G=$D125))),"")</f>
        <v/>
      </c>
      <c r="W125" s="20" t="inlineStr">
        <is>
          <t>베트남</t>
        </is>
      </c>
      <c r="X125" s="20">
        <f>IFERROR(TEXTJOIN(" / ",TRUE,UNIQUE(FILTER(소재DB_RAW!$N$3:$N,소재DB_RAW!$G$3:$G=$D125))),"")</f>
        <v/>
      </c>
      <c r="Y125" s="26">
        <f>IFERROR(TEXTJOIN(CHAR(10),TRUE,UNIQUE(FILTER(소재DB_RAW!$N$3:$N&amp;") "&amp;소재DB_RAW!$O$3:$O,(소재DB_RAW!$G$3:$G=$D125)*ISNUMBER(SEARCH("겉감",소재DB_RAW!$M$3:$M))))),"")</f>
        <v/>
      </c>
      <c r="Z125" s="26">
        <f>IFERROR(TEXTJOIN(CHAR(10),TRUE,UNIQUE(FILTER(소재DB_RAW!$N$3:$N&amp;") "&amp;소재DB_RAW!$O$3:$O,(소재DB_RAW!$G$3:$G=$D125)*ISNUMBER(SEARCH("안감",소재DB_RAW!$M$3:$M))))),"")</f>
        <v/>
      </c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21" t="inlineStr">
        <is>
          <t>X</t>
        </is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",TRUE,UNIQUE(FILTER(소재DB_RAW!$K$3:$K,소재DB_RAW!$G$3:$G=$D126))),"")</f>
        <v/>
      </c>
      <c r="W126" s="20" t="inlineStr">
        <is>
          <t>인도네시아</t>
        </is>
      </c>
      <c r="X126" s="20">
        <f>IFERROR(TEXTJOIN(" / ",TRUE,UNIQUE(FILTER(소재DB_RAW!$N$3:$N,소재DB_RAW!$G$3:$G=$D126))),"")</f>
        <v/>
      </c>
      <c r="Y126" s="26">
        <f>IFERROR(TEXTJOIN(CHAR(10),TRUE,UNIQUE(FILTER(소재DB_RAW!$N$3:$N&amp;") "&amp;소재DB_RAW!$O$3:$O,(소재DB_RAW!$G$3:$G=$D126)*ISNUMBER(SEARCH("겉감",소재DB_RAW!$M$3:$M))))),"")</f>
        <v/>
      </c>
      <c r="Z126" s="26">
        <f>IFERROR(TEXTJOIN(CHAR(10),TRUE,UNIQUE(FILTER(소재DB_RAW!$N$3:$N&amp;") "&amp;소재DB_RAW!$O$3:$O,(소재DB_RAW!$G$3:$G=$D126)*ISNUMBER(SEARCH("안감",소재DB_RAW!$M$3:$M))))),"")</f>
        <v/>
      </c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21" t="inlineStr">
        <is>
          <t>X</t>
        </is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",TRUE,UNIQUE(FILTER(소재DB_RAW!$K$3:$K,소재DB_RAW!$G$3:$G=$D127))),"")</f>
        <v/>
      </c>
      <c r="W127" s="20" t="inlineStr"/>
      <c r="X127" s="20">
        <f>IFERROR(TEXTJOIN(" / ",TRUE,UNIQUE(FILTER(소재DB_RAW!$N$3:$N,소재DB_RAW!$G$3:$G=$D127))),"")</f>
        <v/>
      </c>
      <c r="Y127" s="26">
        <f>IFERROR(TEXTJOIN(CHAR(10),TRUE,UNIQUE(FILTER(소재DB_RAW!$N$3:$N&amp;") "&amp;소재DB_RAW!$O$3:$O,(소재DB_RAW!$G$3:$G=$D127)*ISNUMBER(SEARCH("겉감",소재DB_RAW!$M$3:$M))))),"")</f>
        <v/>
      </c>
      <c r="Z127" s="26">
        <f>IFERROR(TEXTJOIN(CHAR(10),TRUE,UNIQUE(FILTER(소재DB_RAW!$N$3:$N&amp;") "&amp;소재DB_RAW!$O$3:$O,(소재DB_RAW!$G$3:$G=$D127)*ISNUMBER(SEARCH("안감",소재DB_RAW!$M$3:$M))))),"")</f>
        <v/>
      </c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21" t="inlineStr">
        <is>
          <t>X</t>
        </is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",TRUE,UNIQUE(FILTER(소재DB_RAW!$K$3:$K,소재DB_RAW!$G$3:$G=$D128))),"")</f>
        <v/>
      </c>
      <c r="W128" s="20" t="inlineStr">
        <is>
          <t>베트남</t>
        </is>
      </c>
      <c r="X128" s="20">
        <f>IFERROR(TEXTJOIN(" / ",TRUE,UNIQUE(FILTER(소재DB_RAW!$N$3:$N,소재DB_RAW!$G$3:$G=$D128))),"")</f>
        <v/>
      </c>
      <c r="Y128" s="26">
        <f>IFERROR(TEXTJOIN(CHAR(10),TRUE,UNIQUE(FILTER(소재DB_RAW!$N$3:$N&amp;") "&amp;소재DB_RAW!$O$3:$O,(소재DB_RAW!$G$3:$G=$D128)*ISNUMBER(SEARCH("겉감",소재DB_RAW!$M$3:$M))))),"")</f>
        <v/>
      </c>
      <c r="Z128" s="26">
        <f>IFERROR(TEXTJOIN(CHAR(10),TRUE,UNIQUE(FILTER(소재DB_RAW!$N$3:$N&amp;") "&amp;소재DB_RAW!$O$3:$O,(소재DB_RAW!$G$3:$G=$D128)*ISNUMBER(SEARCH("안감",소재DB_RAW!$M$3:$M))))),"")</f>
        <v/>
      </c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21" t="inlineStr">
        <is>
          <t>X</t>
        </is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",TRUE,UNIQUE(FILTER(소재DB_RAW!$K$3:$K,소재DB_RAW!$G$3:$G=$D129))),"")</f>
        <v/>
      </c>
      <c r="W129" s="20" t="inlineStr">
        <is>
          <t>베트남</t>
        </is>
      </c>
      <c r="X129" s="20">
        <f>IFERROR(TEXTJOIN(" / ",TRUE,UNIQUE(FILTER(소재DB_RAW!$N$3:$N,소재DB_RAW!$G$3:$G=$D129))),"")</f>
        <v/>
      </c>
      <c r="Y129" s="26">
        <f>IFERROR(TEXTJOIN(CHAR(10),TRUE,UNIQUE(FILTER(소재DB_RAW!$N$3:$N&amp;") "&amp;소재DB_RAW!$O$3:$O,(소재DB_RAW!$G$3:$G=$D129)*ISNUMBER(SEARCH("겉감",소재DB_RAW!$M$3:$M))))),"")</f>
        <v/>
      </c>
      <c r="Z129" s="26">
        <f>IFERROR(TEXTJOIN(CHAR(10),TRUE,UNIQUE(FILTER(소재DB_RAW!$N$3:$N&amp;") "&amp;소재DB_RAW!$O$3:$O,(소재DB_RAW!$G$3:$G=$D129)*ISNUMBER(SEARCH("안감",소재DB_RAW!$M$3:$M))))),"")</f>
        <v/>
      </c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21" t="inlineStr">
        <is>
          <t>X</t>
        </is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",TRUE,UNIQUE(FILTER(소재DB_RAW!$K$3:$K,소재DB_RAW!$G$3:$G=$D130))),"")</f>
        <v/>
      </c>
      <c r="W130" s="20" t="inlineStr">
        <is>
          <t>베트남</t>
        </is>
      </c>
      <c r="X130" s="20">
        <f>IFERROR(TEXTJOIN(" / ",TRUE,UNIQUE(FILTER(소재DB_RAW!$N$3:$N,소재DB_RAW!$G$3:$G=$D130))),"")</f>
        <v/>
      </c>
      <c r="Y130" s="26">
        <f>IFERROR(TEXTJOIN(CHAR(10),TRUE,UNIQUE(FILTER(소재DB_RAW!$N$3:$N&amp;") "&amp;소재DB_RAW!$O$3:$O,(소재DB_RAW!$G$3:$G=$D130)*ISNUMBER(SEARCH("겉감",소재DB_RAW!$M$3:$M))))),"")</f>
        <v/>
      </c>
      <c r="Z130" s="26">
        <f>IFERROR(TEXTJOIN(CHAR(10),TRUE,UNIQUE(FILTER(소재DB_RAW!$N$3:$N&amp;") "&amp;소재DB_RAW!$O$3:$O,(소재DB_RAW!$G$3:$G=$D130)*ISNUMBER(SEARCH("안감",소재DB_RAW!$M$3:$M))))),"")</f>
        <v/>
      </c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21" t="inlineStr">
        <is>
          <t>X</t>
        </is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",TRUE,UNIQUE(FILTER(소재DB_RAW!$K$3:$K,소재DB_RAW!$G$3:$G=$D131))),"")</f>
        <v/>
      </c>
      <c r="W131" s="20" t="inlineStr">
        <is>
          <t>베트남</t>
        </is>
      </c>
      <c r="X131" s="20">
        <f>IFERROR(TEXTJOIN(" / ",TRUE,UNIQUE(FILTER(소재DB_RAW!$N$3:$N,소재DB_RAW!$G$3:$G=$D131))),"")</f>
        <v/>
      </c>
      <c r="Y131" s="26">
        <f>IFERROR(TEXTJOIN(CHAR(10),TRUE,UNIQUE(FILTER(소재DB_RAW!$N$3:$N&amp;") "&amp;소재DB_RAW!$O$3:$O,(소재DB_RAW!$G$3:$G=$D131)*ISNUMBER(SEARCH("겉감",소재DB_RAW!$M$3:$M))))),"")</f>
        <v/>
      </c>
      <c r="Z131" s="26">
        <f>IFERROR(TEXTJOIN(CHAR(10),TRUE,UNIQUE(FILTER(소재DB_RAW!$N$3:$N&amp;") "&amp;소재DB_RAW!$O$3:$O,(소재DB_RAW!$G$3:$G=$D131)*ISNUMBER(SEARCH("안감",소재DB_RAW!$M$3:$M))))),"")</f>
        <v/>
      </c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21" t="inlineStr">
        <is>
          <t>X</t>
        </is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",TRUE,UNIQUE(FILTER(소재DB_RAW!$K$3:$K,소재DB_RAW!$G$3:$G=$D132))),"")</f>
        <v/>
      </c>
      <c r="W132" s="20" t="inlineStr">
        <is>
          <t>베트남</t>
        </is>
      </c>
      <c r="X132" s="20">
        <f>IFERROR(TEXTJOIN(" / ",TRUE,UNIQUE(FILTER(소재DB_RAW!$N$3:$N,소재DB_RAW!$G$3:$G=$D132))),"")</f>
        <v/>
      </c>
      <c r="Y132" s="26">
        <f>IFERROR(TEXTJOIN(CHAR(10),TRUE,UNIQUE(FILTER(소재DB_RAW!$N$3:$N&amp;") "&amp;소재DB_RAW!$O$3:$O,(소재DB_RAW!$G$3:$G=$D132)*ISNUMBER(SEARCH("겉감",소재DB_RAW!$M$3:$M))))),"")</f>
        <v/>
      </c>
      <c r="Z132" s="26">
        <f>IFERROR(TEXTJOIN(CHAR(10),TRUE,UNIQUE(FILTER(소재DB_RAW!$N$3:$N&amp;") "&amp;소재DB_RAW!$O$3:$O,(소재DB_RAW!$G$3:$G=$D132)*ISNUMBER(SEARCH("안감",소재DB_RAW!$M$3:$M))))),"")</f>
        <v/>
      </c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21" t="inlineStr">
        <is>
          <t>X</t>
        </is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",TRUE,UNIQUE(FILTER(소재DB_RAW!$K$3:$K,소재DB_RAW!$G$3:$G=$D133))),"")</f>
        <v/>
      </c>
      <c r="W133" s="20" t="inlineStr">
        <is>
          <t>베트남</t>
        </is>
      </c>
      <c r="X133" s="20">
        <f>IFERROR(TEXTJOIN(" / ",TRUE,UNIQUE(FILTER(소재DB_RAW!$N$3:$N,소재DB_RAW!$G$3:$G=$D133))),"")</f>
        <v/>
      </c>
      <c r="Y133" s="26">
        <f>IFERROR(TEXTJOIN(CHAR(10),TRUE,UNIQUE(FILTER(소재DB_RAW!$N$3:$N&amp;") "&amp;소재DB_RAW!$O$3:$O,(소재DB_RAW!$G$3:$G=$D133)*ISNUMBER(SEARCH("겉감",소재DB_RAW!$M$3:$M))))),"")</f>
        <v/>
      </c>
      <c r="Z133" s="26">
        <f>IFERROR(TEXTJOIN(CHAR(10),TRUE,UNIQUE(FILTER(소재DB_RAW!$N$3:$N&amp;") "&amp;소재DB_RAW!$O$3:$O,(소재DB_RAW!$G$3:$G=$D133)*ISNUMBER(SEARCH("안감",소재DB_RAW!$M$3:$M))))),"")</f>
        <v/>
      </c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21" t="inlineStr">
        <is>
          <t>X</t>
        </is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",TRUE,UNIQUE(FILTER(소재DB_RAW!$K$3:$K,소재DB_RAW!$G$3:$G=$D134))),"")</f>
        <v/>
      </c>
      <c r="W134" s="20" t="inlineStr">
        <is>
          <t>베트남</t>
        </is>
      </c>
      <c r="X134" s="20">
        <f>IFERROR(TEXTJOIN(" / ",TRUE,UNIQUE(FILTER(소재DB_RAW!$N$3:$N,소재DB_RAW!$G$3:$G=$D134))),"")</f>
        <v/>
      </c>
      <c r="Y134" s="26">
        <f>IFERROR(TEXTJOIN(CHAR(10),TRUE,UNIQUE(FILTER(소재DB_RAW!$N$3:$N&amp;") "&amp;소재DB_RAW!$O$3:$O,(소재DB_RAW!$G$3:$G=$D134)*ISNUMBER(SEARCH("겉감",소재DB_RAW!$M$3:$M))))),"")</f>
        <v/>
      </c>
      <c r="Z134" s="26">
        <f>IFERROR(TEXTJOIN(CHAR(10),TRUE,UNIQUE(FILTER(소재DB_RAW!$N$3:$N&amp;") "&amp;소재DB_RAW!$O$3:$O,(소재DB_RAW!$G$3:$G=$D134)*ISNUMBER(SEARCH("안감",소재DB_RAW!$M$3:$M))))),"")</f>
        <v/>
      </c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21" t="inlineStr">
        <is>
          <t>X</t>
        </is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",TRUE,UNIQUE(FILTER(소재DB_RAW!$K$3:$K,소재DB_RAW!$G$3:$G=$D135))),"")</f>
        <v/>
      </c>
      <c r="W135" s="20" t="inlineStr">
        <is>
          <t>베트남</t>
        </is>
      </c>
      <c r="X135" s="20">
        <f>IFERROR(TEXTJOIN(" / ",TRUE,UNIQUE(FILTER(소재DB_RAW!$N$3:$N,소재DB_RAW!$G$3:$G=$D135))),"")</f>
        <v/>
      </c>
      <c r="Y135" s="26">
        <f>IFERROR(TEXTJOIN(CHAR(10),TRUE,UNIQUE(FILTER(소재DB_RAW!$N$3:$N&amp;") "&amp;소재DB_RAW!$O$3:$O,(소재DB_RAW!$G$3:$G=$D135)*ISNUMBER(SEARCH("겉감",소재DB_RAW!$M$3:$M))))),"")</f>
        <v/>
      </c>
      <c r="Z135" s="26">
        <f>IFERROR(TEXTJOIN(CHAR(10),TRUE,UNIQUE(FILTER(소재DB_RAW!$N$3:$N&amp;") "&amp;소재DB_RAW!$O$3:$O,(소재DB_RAW!$G$3:$G=$D135)*ISNUMBER(SEARCH("안감",소재DB_RAW!$M$3:$M))))),"")</f>
        <v/>
      </c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21" t="inlineStr">
        <is>
          <t>X</t>
        </is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",TRUE,UNIQUE(FILTER(소재DB_RAW!$K$3:$K,소재DB_RAW!$G$3:$G=$D136))),"")</f>
        <v/>
      </c>
      <c r="W136" s="20" t="inlineStr">
        <is>
          <t>베트남</t>
        </is>
      </c>
      <c r="X136" s="20">
        <f>IFERROR(TEXTJOIN(" / ",TRUE,UNIQUE(FILTER(소재DB_RAW!$N$3:$N,소재DB_RAW!$G$3:$G=$D136))),"")</f>
        <v/>
      </c>
      <c r="Y136" s="26">
        <f>IFERROR(TEXTJOIN(CHAR(10),TRUE,UNIQUE(FILTER(소재DB_RAW!$N$3:$N&amp;") "&amp;소재DB_RAW!$O$3:$O,(소재DB_RAW!$G$3:$G=$D136)*ISNUMBER(SEARCH("겉감",소재DB_RAW!$M$3:$M))))),"")</f>
        <v/>
      </c>
      <c r="Z136" s="26">
        <f>IFERROR(TEXTJOIN(CHAR(10),TRUE,UNIQUE(FILTER(소재DB_RAW!$N$3:$N&amp;") "&amp;소재DB_RAW!$O$3:$O,(소재DB_RAW!$G$3:$G=$D136)*ISNUMBER(SEARCH("안감",소재DB_RAW!$M$3:$M))))),"")</f>
        <v/>
      </c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21" t="inlineStr">
        <is>
          <t>X</t>
        </is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",TRUE,UNIQUE(FILTER(소재DB_RAW!$K$3:$K,소재DB_RAW!$G$3:$G=$D137))),"")</f>
        <v/>
      </c>
      <c r="W137" s="20" t="inlineStr">
        <is>
          <t>베트남</t>
        </is>
      </c>
      <c r="X137" s="20">
        <f>IFERROR(TEXTJOIN(" / ",TRUE,UNIQUE(FILTER(소재DB_RAW!$N$3:$N,소재DB_RAW!$G$3:$G=$D137))),"")</f>
        <v/>
      </c>
      <c r="Y137" s="26">
        <f>IFERROR(TEXTJOIN(CHAR(10),TRUE,UNIQUE(FILTER(소재DB_RAW!$N$3:$N&amp;") "&amp;소재DB_RAW!$O$3:$O,(소재DB_RAW!$G$3:$G=$D137)*ISNUMBER(SEARCH("겉감",소재DB_RAW!$M$3:$M))))),"")</f>
        <v/>
      </c>
      <c r="Z137" s="26">
        <f>IFERROR(TEXTJOIN(CHAR(10),TRUE,UNIQUE(FILTER(소재DB_RAW!$N$3:$N&amp;") "&amp;소재DB_RAW!$O$3:$O,(소재DB_RAW!$G$3:$G=$D137)*ISNUMBER(SEARCH("안감",소재DB_RAW!$M$3:$M))))),"")</f>
        <v/>
      </c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21" t="inlineStr">
        <is>
          <t>X</t>
        </is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",TRUE,UNIQUE(FILTER(소재DB_RAW!$K$3:$K,소재DB_RAW!$G$3:$G=$D138))),"")</f>
        <v/>
      </c>
      <c r="W138" s="20" t="inlineStr">
        <is>
          <t>베트남</t>
        </is>
      </c>
      <c r="X138" s="20">
        <f>IFERROR(TEXTJOIN(" / ",TRUE,UNIQUE(FILTER(소재DB_RAW!$N$3:$N,소재DB_RAW!$G$3:$G=$D138))),"")</f>
        <v/>
      </c>
      <c r="Y138" s="26">
        <f>IFERROR(TEXTJOIN(CHAR(10),TRUE,UNIQUE(FILTER(소재DB_RAW!$N$3:$N&amp;") "&amp;소재DB_RAW!$O$3:$O,(소재DB_RAW!$G$3:$G=$D138)*ISNUMBER(SEARCH("겉감",소재DB_RAW!$M$3:$M))))),"")</f>
        <v/>
      </c>
      <c r="Z138" s="26">
        <f>IFERROR(TEXTJOIN(CHAR(10),TRUE,UNIQUE(FILTER(소재DB_RAW!$N$3:$N&amp;") "&amp;소재DB_RAW!$O$3:$O,(소재DB_RAW!$G$3:$G=$D138)*ISNUMBER(SEARCH("안감",소재DB_RAW!$M$3:$M))))),"")</f>
        <v/>
      </c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21" t="inlineStr">
        <is>
          <t>X</t>
        </is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",TRUE,UNIQUE(FILTER(소재DB_RAW!$K$3:$K,소재DB_RAW!$G$3:$G=$D139))),"")</f>
        <v/>
      </c>
      <c r="W139" s="20" t="inlineStr">
        <is>
          <t>베트남</t>
        </is>
      </c>
      <c r="X139" s="20">
        <f>IFERROR(TEXTJOIN(" / ",TRUE,UNIQUE(FILTER(소재DB_RAW!$N$3:$N,소재DB_RAW!$G$3:$G=$D139))),"")</f>
        <v/>
      </c>
      <c r="Y139" s="26">
        <f>IFERROR(TEXTJOIN(CHAR(10),TRUE,UNIQUE(FILTER(소재DB_RAW!$N$3:$N&amp;") "&amp;소재DB_RAW!$O$3:$O,(소재DB_RAW!$G$3:$G=$D139)*ISNUMBER(SEARCH("겉감",소재DB_RAW!$M$3:$M))))),"")</f>
        <v/>
      </c>
      <c r="Z139" s="26">
        <f>IFERROR(TEXTJOIN(CHAR(10),TRUE,UNIQUE(FILTER(소재DB_RAW!$N$3:$N&amp;") "&amp;소재DB_RAW!$O$3:$O,(소재DB_RAW!$G$3:$G=$D139)*ISNUMBER(SEARCH("안감",소재DB_RAW!$M$3:$M))))),"")</f>
        <v/>
      </c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21" t="inlineStr">
        <is>
          <t>X</t>
        </is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",TRUE,UNIQUE(FILTER(소재DB_RAW!$K$3:$K,소재DB_RAW!$G$3:$G=$D140))),"")</f>
        <v/>
      </c>
      <c r="W140" s="20" t="inlineStr">
        <is>
          <t>베트남</t>
        </is>
      </c>
      <c r="X140" s="20">
        <f>IFERROR(TEXTJOIN(" / ",TRUE,UNIQUE(FILTER(소재DB_RAW!$N$3:$N,소재DB_RAW!$G$3:$G=$D140))),"")</f>
        <v/>
      </c>
      <c r="Y140" s="26">
        <f>IFERROR(TEXTJOIN(CHAR(10),TRUE,UNIQUE(FILTER(소재DB_RAW!$N$3:$N&amp;") "&amp;소재DB_RAW!$O$3:$O,(소재DB_RAW!$G$3:$G=$D140)*ISNUMBER(SEARCH("겉감",소재DB_RAW!$M$3:$M))))),"")</f>
        <v/>
      </c>
      <c r="Z140" s="26">
        <f>IFERROR(TEXTJOIN(CHAR(10),TRUE,UNIQUE(FILTER(소재DB_RAW!$N$3:$N&amp;") "&amp;소재DB_RAW!$O$3:$O,(소재DB_RAW!$G$3:$G=$D140)*ISNUMBER(SEARCH("안감",소재DB_RAW!$M$3:$M))))),"")</f>
        <v/>
      </c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21" t="inlineStr">
        <is>
          <t>X</t>
        </is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",TRUE,UNIQUE(FILTER(소재DB_RAW!$K$3:$K,소재DB_RAW!$G$3:$G=$D141))),"")</f>
        <v/>
      </c>
      <c r="W141" s="20" t="inlineStr">
        <is>
          <t>베트남</t>
        </is>
      </c>
      <c r="X141" s="20">
        <f>IFERROR(TEXTJOIN(" / ",TRUE,UNIQUE(FILTER(소재DB_RAW!$N$3:$N,소재DB_RAW!$G$3:$G=$D141))),"")</f>
        <v/>
      </c>
      <c r="Y141" s="26">
        <f>IFERROR(TEXTJOIN(CHAR(10),TRUE,UNIQUE(FILTER(소재DB_RAW!$N$3:$N&amp;") "&amp;소재DB_RAW!$O$3:$O,(소재DB_RAW!$G$3:$G=$D141)*ISNUMBER(SEARCH("겉감",소재DB_RAW!$M$3:$M))))),"")</f>
        <v/>
      </c>
      <c r="Z141" s="26">
        <f>IFERROR(TEXTJOIN(CHAR(10),TRUE,UNIQUE(FILTER(소재DB_RAW!$N$3:$N&amp;") "&amp;소재DB_RAW!$O$3:$O,(소재DB_RAW!$G$3:$G=$D141)*ISNUMBER(SEARCH("안감",소재DB_RAW!$M$3:$M))))),"")</f>
        <v/>
      </c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21" t="inlineStr">
        <is>
          <t>X</t>
        </is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",TRUE,UNIQUE(FILTER(소재DB_RAW!$K$3:$K,소재DB_RAW!$G$3:$G=$D142))),"")</f>
        <v/>
      </c>
      <c r="W142" s="20" t="inlineStr">
        <is>
          <t>베트남</t>
        </is>
      </c>
      <c r="X142" s="20">
        <f>IFERROR(TEXTJOIN(" / ",TRUE,UNIQUE(FILTER(소재DB_RAW!$N$3:$N,소재DB_RAW!$G$3:$G=$D142))),"")</f>
        <v/>
      </c>
      <c r="Y142" s="26">
        <f>IFERROR(TEXTJOIN(CHAR(10),TRUE,UNIQUE(FILTER(소재DB_RAW!$N$3:$N&amp;") "&amp;소재DB_RAW!$O$3:$O,(소재DB_RAW!$G$3:$G=$D142)*ISNUMBER(SEARCH("겉감",소재DB_RAW!$M$3:$M))))),"")</f>
        <v/>
      </c>
      <c r="Z142" s="26">
        <f>IFERROR(TEXTJOIN(CHAR(10),TRUE,UNIQUE(FILTER(소재DB_RAW!$N$3:$N&amp;") "&amp;소재DB_RAW!$O$3:$O,(소재DB_RAW!$G$3:$G=$D142)*ISNUMBER(SEARCH("안감",소재DB_RAW!$M$3:$M))))),"")</f>
        <v/>
      </c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21" t="inlineStr">
        <is>
          <t>X</t>
        </is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",TRUE,UNIQUE(FILTER(소재DB_RAW!$K$3:$K,소재DB_RAW!$G$3:$G=$D143))),"")</f>
        <v/>
      </c>
      <c r="W143" s="20" t="inlineStr">
        <is>
          <t>베트남</t>
        </is>
      </c>
      <c r="X143" s="20">
        <f>IFERROR(TEXTJOIN(" / ",TRUE,UNIQUE(FILTER(소재DB_RAW!$N$3:$N,소재DB_RAW!$G$3:$G=$D143))),"")</f>
        <v/>
      </c>
      <c r="Y143" s="26">
        <f>IFERROR(TEXTJOIN(CHAR(10),TRUE,UNIQUE(FILTER(소재DB_RAW!$N$3:$N&amp;") "&amp;소재DB_RAW!$O$3:$O,(소재DB_RAW!$G$3:$G=$D143)*ISNUMBER(SEARCH("겉감",소재DB_RAW!$M$3:$M))))),"")</f>
        <v/>
      </c>
      <c r="Z143" s="26">
        <f>IFERROR(TEXTJOIN(CHAR(10),TRUE,UNIQUE(FILTER(소재DB_RAW!$N$3:$N&amp;") "&amp;소재DB_RAW!$O$3:$O,(소재DB_RAW!$G$3:$G=$D143)*ISNUMBER(SEARCH("안감",소재DB_RAW!$M$3:$M))))),"")</f>
        <v/>
      </c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21" t="inlineStr">
        <is>
          <t>X</t>
        </is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",TRUE,UNIQUE(FILTER(소재DB_RAW!$K$3:$K,소재DB_RAW!$G$3:$G=$D144))),"")</f>
        <v/>
      </c>
      <c r="W144" s="20" t="inlineStr">
        <is>
          <t>베트남</t>
        </is>
      </c>
      <c r="X144" s="20">
        <f>IFERROR(TEXTJOIN(" / ",TRUE,UNIQUE(FILTER(소재DB_RAW!$N$3:$N,소재DB_RAW!$G$3:$G=$D144))),"")</f>
        <v/>
      </c>
      <c r="Y144" s="26">
        <f>IFERROR(TEXTJOIN(CHAR(10),TRUE,UNIQUE(FILTER(소재DB_RAW!$N$3:$N&amp;") "&amp;소재DB_RAW!$O$3:$O,(소재DB_RAW!$G$3:$G=$D144)*ISNUMBER(SEARCH("겉감",소재DB_RAW!$M$3:$M))))),"")</f>
        <v/>
      </c>
      <c r="Z144" s="26">
        <f>IFERROR(TEXTJOIN(CHAR(10),TRUE,UNIQUE(FILTER(소재DB_RAW!$N$3:$N&amp;") "&amp;소재DB_RAW!$O$3:$O,(소재DB_RAW!$G$3:$G=$D144)*ISNUMBER(SEARCH("안감",소재DB_RAW!$M$3:$M))))),"")</f>
        <v/>
      </c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21" t="inlineStr">
        <is>
          <t>X</t>
        </is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",TRUE,UNIQUE(FILTER(소재DB_RAW!$K$3:$K,소재DB_RAW!$G$3:$G=$D145))),"")</f>
        <v/>
      </c>
      <c r="W145" s="20" t="inlineStr">
        <is>
          <t>베트남</t>
        </is>
      </c>
      <c r="X145" s="20">
        <f>IFERROR(TEXTJOIN(" / ",TRUE,UNIQUE(FILTER(소재DB_RAW!$N$3:$N,소재DB_RAW!$G$3:$G=$D145))),"")</f>
        <v/>
      </c>
      <c r="Y145" s="26">
        <f>IFERROR(TEXTJOIN(CHAR(10),TRUE,UNIQUE(FILTER(소재DB_RAW!$N$3:$N&amp;") "&amp;소재DB_RAW!$O$3:$O,(소재DB_RAW!$G$3:$G=$D145)*ISNUMBER(SEARCH("겉감",소재DB_RAW!$M$3:$M))))),"")</f>
        <v/>
      </c>
      <c r="Z145" s="26">
        <f>IFERROR(TEXTJOIN(CHAR(10),TRUE,UNIQUE(FILTER(소재DB_RAW!$N$3:$N&amp;") "&amp;소재DB_RAW!$O$3:$O,(소재DB_RAW!$G$3:$G=$D145)*ISNUMBER(SEARCH("안감",소재DB_RAW!$M$3:$M))))),"")</f>
        <v/>
      </c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21" t="inlineStr">
        <is>
          <t>X</t>
        </is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",TRUE,UNIQUE(FILTER(소재DB_RAW!$K$3:$K,소재DB_RAW!$G$3:$G=$D146))),"")</f>
        <v/>
      </c>
      <c r="W146" s="20" t="inlineStr">
        <is>
          <t>베트남</t>
        </is>
      </c>
      <c r="X146" s="20">
        <f>IFERROR(TEXTJOIN(" / ",TRUE,UNIQUE(FILTER(소재DB_RAW!$N$3:$N,소재DB_RAW!$G$3:$G=$D146))),"")</f>
        <v/>
      </c>
      <c r="Y146" s="26">
        <f>IFERROR(TEXTJOIN(CHAR(10),TRUE,UNIQUE(FILTER(소재DB_RAW!$N$3:$N&amp;") "&amp;소재DB_RAW!$O$3:$O,(소재DB_RAW!$G$3:$G=$D146)*ISNUMBER(SEARCH("겉감",소재DB_RAW!$M$3:$M))))),"")</f>
        <v/>
      </c>
      <c r="Z146" s="26">
        <f>IFERROR(TEXTJOIN(CHAR(10),TRUE,UNIQUE(FILTER(소재DB_RAW!$N$3:$N&amp;") "&amp;소재DB_RAW!$O$3:$O,(소재DB_RAW!$G$3:$G=$D146)*ISNUMBER(SEARCH("안감",소재DB_RAW!$M$3:$M))))),"")</f>
        <v/>
      </c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21" t="inlineStr">
        <is>
          <t>X</t>
        </is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",TRUE,UNIQUE(FILTER(소재DB_RAW!$K$3:$K,소재DB_RAW!$G$3:$G=$D147))),"")</f>
        <v/>
      </c>
      <c r="W147" s="20" t="inlineStr">
        <is>
          <t>베트남</t>
        </is>
      </c>
      <c r="X147" s="20">
        <f>IFERROR(TEXTJOIN(" / ",TRUE,UNIQUE(FILTER(소재DB_RAW!$N$3:$N,소재DB_RAW!$G$3:$G=$D147))),"")</f>
        <v/>
      </c>
      <c r="Y147" s="26">
        <f>IFERROR(TEXTJOIN(CHAR(10),TRUE,UNIQUE(FILTER(소재DB_RAW!$N$3:$N&amp;") "&amp;소재DB_RAW!$O$3:$O,(소재DB_RAW!$G$3:$G=$D147)*ISNUMBER(SEARCH("겉감",소재DB_RAW!$M$3:$M))))),"")</f>
        <v/>
      </c>
      <c r="Z147" s="26">
        <f>IFERROR(TEXTJOIN(CHAR(10),TRUE,UNIQUE(FILTER(소재DB_RAW!$N$3:$N&amp;") "&amp;소재DB_RAW!$O$3:$O,(소재DB_RAW!$G$3:$G=$D147)*ISNUMBER(SEARCH("안감",소재DB_RAW!$M$3:$M))))),"")</f>
        <v/>
      </c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21" t="inlineStr">
        <is>
          <t>X</t>
        </is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",TRUE,UNIQUE(FILTER(소재DB_RAW!$K$3:$K,소재DB_RAW!$G$3:$G=$D148))),"")</f>
        <v/>
      </c>
      <c r="W148" s="20" t="inlineStr">
        <is>
          <t>베트남</t>
        </is>
      </c>
      <c r="X148" s="20">
        <f>IFERROR(TEXTJOIN(" / ",TRUE,UNIQUE(FILTER(소재DB_RAW!$N$3:$N,소재DB_RAW!$G$3:$G=$D148))),"")</f>
        <v/>
      </c>
      <c r="Y148" s="26">
        <f>IFERROR(TEXTJOIN(CHAR(10),TRUE,UNIQUE(FILTER(소재DB_RAW!$N$3:$N&amp;") "&amp;소재DB_RAW!$O$3:$O,(소재DB_RAW!$G$3:$G=$D148)*ISNUMBER(SEARCH("겉감",소재DB_RAW!$M$3:$M))))),"")</f>
        <v/>
      </c>
      <c r="Z148" s="26">
        <f>IFERROR(TEXTJOIN(CHAR(10),TRUE,UNIQUE(FILTER(소재DB_RAW!$N$3:$N&amp;") "&amp;소재DB_RAW!$O$3:$O,(소재DB_RAW!$G$3:$G=$D148)*ISNUMBER(SEARCH("안감",소재DB_RAW!$M$3:$M))))),"")</f>
        <v/>
      </c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21" t="inlineStr">
        <is>
          <t>X</t>
        </is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",TRUE,UNIQUE(FILTER(소재DB_RAW!$K$3:$K,소재DB_RAW!$G$3:$G=$D149))),"")</f>
        <v/>
      </c>
      <c r="W149" s="20" t="inlineStr">
        <is>
          <t>베트남</t>
        </is>
      </c>
      <c r="X149" s="20">
        <f>IFERROR(TEXTJOIN(" / ",TRUE,UNIQUE(FILTER(소재DB_RAW!$N$3:$N,소재DB_RAW!$G$3:$G=$D149))),"")</f>
        <v/>
      </c>
      <c r="Y149" s="26">
        <f>IFERROR(TEXTJOIN(CHAR(10),TRUE,UNIQUE(FILTER(소재DB_RAW!$N$3:$N&amp;") "&amp;소재DB_RAW!$O$3:$O,(소재DB_RAW!$G$3:$G=$D149)*ISNUMBER(SEARCH("겉감",소재DB_RAW!$M$3:$M))))),"")</f>
        <v/>
      </c>
      <c r="Z149" s="26">
        <f>IFERROR(TEXTJOIN(CHAR(10),TRUE,UNIQUE(FILTER(소재DB_RAW!$N$3:$N&amp;") "&amp;소재DB_RAW!$O$3:$O,(소재DB_RAW!$G$3:$G=$D149)*ISNUMBER(SEARCH("안감",소재DB_RAW!$M$3:$M))))),"")</f>
        <v/>
      </c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21" t="inlineStr">
        <is>
          <t>X</t>
        </is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",TRUE,UNIQUE(FILTER(소재DB_RAW!$K$3:$K,소재DB_RAW!$G$3:$G=$D150))),"")</f>
        <v/>
      </c>
      <c r="W150" s="20" t="inlineStr">
        <is>
          <t>베트남</t>
        </is>
      </c>
      <c r="X150" s="20">
        <f>IFERROR(TEXTJOIN(" / ",TRUE,UNIQUE(FILTER(소재DB_RAW!$N$3:$N,소재DB_RAW!$G$3:$G=$D150))),"")</f>
        <v/>
      </c>
      <c r="Y150" s="26">
        <f>IFERROR(TEXTJOIN(CHAR(10),TRUE,UNIQUE(FILTER(소재DB_RAW!$N$3:$N&amp;") "&amp;소재DB_RAW!$O$3:$O,(소재DB_RAW!$G$3:$G=$D150)*ISNUMBER(SEARCH("겉감",소재DB_RAW!$M$3:$M))))),"")</f>
        <v/>
      </c>
      <c r="Z150" s="26">
        <f>IFERROR(TEXTJOIN(CHAR(10),TRUE,UNIQUE(FILTER(소재DB_RAW!$N$3:$N&amp;") "&amp;소재DB_RAW!$O$3:$O,(소재DB_RAW!$G$3:$G=$D150)*ISNUMBER(SEARCH("안감",소재DB_RAW!$M$3:$M))))),"")</f>
        <v/>
      </c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21" t="inlineStr">
        <is>
          <t>X</t>
        </is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",TRUE,UNIQUE(FILTER(소재DB_RAW!$K$3:$K,소재DB_RAW!$G$3:$G=$D151))),"")</f>
        <v/>
      </c>
      <c r="W151" s="20" t="inlineStr">
        <is>
          <t>베트남</t>
        </is>
      </c>
      <c r="X151" s="20">
        <f>IFERROR(TEXTJOIN(" / ",TRUE,UNIQUE(FILTER(소재DB_RAW!$N$3:$N,소재DB_RAW!$G$3:$G=$D151))),"")</f>
        <v/>
      </c>
      <c r="Y151" s="26">
        <f>IFERROR(TEXTJOIN(CHAR(10),TRUE,UNIQUE(FILTER(소재DB_RAW!$N$3:$N&amp;") "&amp;소재DB_RAW!$O$3:$O,(소재DB_RAW!$G$3:$G=$D151)*ISNUMBER(SEARCH("겉감",소재DB_RAW!$M$3:$M))))),"")</f>
        <v/>
      </c>
      <c r="Z151" s="26">
        <f>IFERROR(TEXTJOIN(CHAR(10),TRUE,UNIQUE(FILTER(소재DB_RAW!$N$3:$N&amp;") "&amp;소재DB_RAW!$O$3:$O,(소재DB_RAW!$G$3:$G=$D151)*ISNUMBER(SEARCH("안감",소재DB_RAW!$M$3:$M))))),"")</f>
        <v/>
      </c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21" t="inlineStr">
        <is>
          <t>X</t>
        </is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",TRUE,UNIQUE(FILTER(소재DB_RAW!$K$3:$K,소재DB_RAW!$G$3:$G=$D152))),"")</f>
        <v/>
      </c>
      <c r="W152" s="20" t="inlineStr">
        <is>
          <t>베트남</t>
        </is>
      </c>
      <c r="X152" s="20">
        <f>IFERROR(TEXTJOIN(" / ",TRUE,UNIQUE(FILTER(소재DB_RAW!$N$3:$N,소재DB_RAW!$G$3:$G=$D152))),"")</f>
        <v/>
      </c>
      <c r="Y152" s="26">
        <f>IFERROR(TEXTJOIN(CHAR(10),TRUE,UNIQUE(FILTER(소재DB_RAW!$N$3:$N&amp;") "&amp;소재DB_RAW!$O$3:$O,(소재DB_RAW!$G$3:$G=$D152)*ISNUMBER(SEARCH("겉감",소재DB_RAW!$M$3:$M))))),"")</f>
        <v/>
      </c>
      <c r="Z152" s="26">
        <f>IFERROR(TEXTJOIN(CHAR(10),TRUE,UNIQUE(FILTER(소재DB_RAW!$N$3:$N&amp;") "&amp;소재DB_RAW!$O$3:$O,(소재DB_RAW!$G$3:$G=$D152)*ISNUMBER(SEARCH("안감",소재DB_RAW!$M$3:$M))))),"")</f>
        <v/>
      </c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21" t="inlineStr">
        <is>
          <t>X</t>
        </is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",TRUE,UNIQUE(FILTER(소재DB_RAW!$K$3:$K,소재DB_RAW!$G$3:$G=$D153))),"")</f>
        <v/>
      </c>
      <c r="W153" s="20" t="inlineStr">
        <is>
          <t>베트남</t>
        </is>
      </c>
      <c r="X153" s="20">
        <f>IFERROR(TEXTJOIN(" / ",TRUE,UNIQUE(FILTER(소재DB_RAW!$N$3:$N,소재DB_RAW!$G$3:$G=$D153))),"")</f>
        <v/>
      </c>
      <c r="Y153" s="26">
        <f>IFERROR(TEXTJOIN(CHAR(10),TRUE,UNIQUE(FILTER(소재DB_RAW!$N$3:$N&amp;") "&amp;소재DB_RAW!$O$3:$O,(소재DB_RAW!$G$3:$G=$D153)*ISNUMBER(SEARCH("겉감",소재DB_RAW!$M$3:$M))))),"")</f>
        <v/>
      </c>
      <c r="Z153" s="26">
        <f>IFERROR(TEXTJOIN(CHAR(10),TRUE,UNIQUE(FILTER(소재DB_RAW!$N$3:$N&amp;") "&amp;소재DB_RAW!$O$3:$O,(소재DB_RAW!$G$3:$G=$D153)*ISNUMBER(SEARCH("안감",소재DB_RAW!$M$3:$M))))),"")</f>
        <v/>
      </c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21" t="inlineStr">
        <is>
          <t>X</t>
        </is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",TRUE,UNIQUE(FILTER(소재DB_RAW!$K$3:$K,소재DB_RAW!$G$3:$G=$D154))),"")</f>
        <v/>
      </c>
      <c r="W154" s="20" t="inlineStr">
        <is>
          <t>베트남</t>
        </is>
      </c>
      <c r="X154" s="20">
        <f>IFERROR(TEXTJOIN(" / ",TRUE,UNIQUE(FILTER(소재DB_RAW!$N$3:$N,소재DB_RAW!$G$3:$G=$D154))),"")</f>
        <v/>
      </c>
      <c r="Y154" s="26">
        <f>IFERROR(TEXTJOIN(CHAR(10),TRUE,UNIQUE(FILTER(소재DB_RAW!$N$3:$N&amp;") "&amp;소재DB_RAW!$O$3:$O,(소재DB_RAW!$G$3:$G=$D154)*ISNUMBER(SEARCH("겉감",소재DB_RAW!$M$3:$M))))),"")</f>
        <v/>
      </c>
      <c r="Z154" s="26">
        <f>IFERROR(TEXTJOIN(CHAR(10),TRUE,UNIQUE(FILTER(소재DB_RAW!$N$3:$N&amp;") "&amp;소재DB_RAW!$O$3:$O,(소재DB_RAW!$G$3:$G=$D154)*ISNUMBER(SEARCH("안감",소재DB_RAW!$M$3:$M))))),"")</f>
        <v/>
      </c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21" t="inlineStr">
        <is>
          <t>X</t>
        </is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",TRUE,UNIQUE(FILTER(소재DB_RAW!$K$3:$K,소재DB_RAW!$G$3:$G=$D155))),"")</f>
        <v/>
      </c>
      <c r="W155" s="20" t="inlineStr">
        <is>
          <t>베트남</t>
        </is>
      </c>
      <c r="X155" s="20">
        <f>IFERROR(TEXTJOIN(" / ",TRUE,UNIQUE(FILTER(소재DB_RAW!$N$3:$N,소재DB_RAW!$G$3:$G=$D155))),"")</f>
        <v/>
      </c>
      <c r="Y155" s="26">
        <f>IFERROR(TEXTJOIN(CHAR(10),TRUE,UNIQUE(FILTER(소재DB_RAW!$N$3:$N&amp;") "&amp;소재DB_RAW!$O$3:$O,(소재DB_RAW!$G$3:$G=$D155)*ISNUMBER(SEARCH("겉감",소재DB_RAW!$M$3:$M))))),"")</f>
        <v/>
      </c>
      <c r="Z155" s="26">
        <f>IFERROR(TEXTJOIN(CHAR(10),TRUE,UNIQUE(FILTER(소재DB_RAW!$N$3:$N&amp;") "&amp;소재DB_RAW!$O$3:$O,(소재DB_RAW!$G$3:$G=$D155)*ISNUMBER(SEARCH("안감",소재DB_RAW!$M$3:$M))))),"")</f>
        <v/>
      </c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21" t="inlineStr">
        <is>
          <t>X</t>
        </is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",TRUE,UNIQUE(FILTER(소재DB_RAW!$K$3:$K,소재DB_RAW!$G$3:$G=$D156))),"")</f>
        <v/>
      </c>
      <c r="W156" s="20" t="inlineStr">
        <is>
          <t>베트남</t>
        </is>
      </c>
      <c r="X156" s="20">
        <f>IFERROR(TEXTJOIN(" / ",TRUE,UNIQUE(FILTER(소재DB_RAW!$N$3:$N,소재DB_RAW!$G$3:$G=$D156))),"")</f>
        <v/>
      </c>
      <c r="Y156" s="26">
        <f>IFERROR(TEXTJOIN(CHAR(10),TRUE,UNIQUE(FILTER(소재DB_RAW!$N$3:$N&amp;") "&amp;소재DB_RAW!$O$3:$O,(소재DB_RAW!$G$3:$G=$D156)*ISNUMBER(SEARCH("겉감",소재DB_RAW!$M$3:$M))))),"")</f>
        <v/>
      </c>
      <c r="Z156" s="26">
        <f>IFERROR(TEXTJOIN(CHAR(10),TRUE,UNIQUE(FILTER(소재DB_RAW!$N$3:$N&amp;") "&amp;소재DB_RAW!$O$3:$O,(소재DB_RAW!$G$3:$G=$D156)*ISNUMBER(SEARCH("안감",소재DB_RAW!$M$3:$M))))),"")</f>
        <v/>
      </c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21" t="inlineStr">
        <is>
          <t>X</t>
        </is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",TRUE,UNIQUE(FILTER(소재DB_RAW!$K$3:$K,소재DB_RAW!$G$3:$G=$D157))),"")</f>
        <v/>
      </c>
      <c r="W157" s="20" t="inlineStr">
        <is>
          <t>인도네시아</t>
        </is>
      </c>
      <c r="X157" s="20">
        <f>IFERROR(TEXTJOIN(" / ",TRUE,UNIQUE(FILTER(소재DB_RAW!$N$3:$N,소재DB_RAW!$G$3:$G=$D157))),"")</f>
        <v/>
      </c>
      <c r="Y157" s="26">
        <f>IFERROR(TEXTJOIN(CHAR(10),TRUE,UNIQUE(FILTER(소재DB_RAW!$N$3:$N&amp;") "&amp;소재DB_RAW!$O$3:$O,(소재DB_RAW!$G$3:$G=$D157)*ISNUMBER(SEARCH("겉감",소재DB_RAW!$M$3:$M))))),"")</f>
        <v/>
      </c>
      <c r="Z157" s="26">
        <f>IFERROR(TEXTJOIN(CHAR(10),TRUE,UNIQUE(FILTER(소재DB_RAW!$N$3:$N&amp;") "&amp;소재DB_RAW!$O$3:$O,(소재DB_RAW!$G$3:$G=$D157)*ISNUMBER(SEARCH("안감",소재DB_RAW!$M$3:$M))))),"")</f>
        <v/>
      </c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21" t="inlineStr">
        <is>
          <t>X</t>
        </is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",TRUE,UNIQUE(FILTER(소재DB_RAW!$K$3:$K,소재DB_RAW!$G$3:$G=$D158))),"")</f>
        <v/>
      </c>
      <c r="W158" s="20" t="inlineStr">
        <is>
          <t>베트남</t>
        </is>
      </c>
      <c r="X158" s="20">
        <f>IFERROR(TEXTJOIN(" / ",TRUE,UNIQUE(FILTER(소재DB_RAW!$N$3:$N,소재DB_RAW!$G$3:$G=$D158))),"")</f>
        <v/>
      </c>
      <c r="Y158" s="26">
        <f>IFERROR(TEXTJOIN(CHAR(10),TRUE,UNIQUE(FILTER(소재DB_RAW!$N$3:$N&amp;") "&amp;소재DB_RAW!$O$3:$O,(소재DB_RAW!$G$3:$G=$D158)*ISNUMBER(SEARCH("겉감",소재DB_RAW!$M$3:$M))))),"")</f>
        <v/>
      </c>
      <c r="Z158" s="26">
        <f>IFERROR(TEXTJOIN(CHAR(10),TRUE,UNIQUE(FILTER(소재DB_RAW!$N$3:$N&amp;") "&amp;소재DB_RAW!$O$3:$O,(소재DB_RAW!$G$3:$G=$D158)*ISNUMBER(SEARCH("안감",소재DB_RAW!$M$3:$M))))),"")</f>
        <v/>
      </c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21" t="inlineStr">
        <is>
          <t>X</t>
        </is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",TRUE,UNIQUE(FILTER(소재DB_RAW!$K$3:$K,소재DB_RAW!$G$3:$G=$D159))),"")</f>
        <v/>
      </c>
      <c r="W159" s="20" t="inlineStr">
        <is>
          <t>베트남</t>
        </is>
      </c>
      <c r="X159" s="20">
        <f>IFERROR(TEXTJOIN(" / ",TRUE,UNIQUE(FILTER(소재DB_RAW!$N$3:$N,소재DB_RAW!$G$3:$G=$D159))),"")</f>
        <v/>
      </c>
      <c r="Y159" s="26">
        <f>IFERROR(TEXTJOIN(CHAR(10),TRUE,UNIQUE(FILTER(소재DB_RAW!$N$3:$N&amp;") "&amp;소재DB_RAW!$O$3:$O,(소재DB_RAW!$G$3:$G=$D159)*ISNUMBER(SEARCH("겉감",소재DB_RAW!$M$3:$M))))),"")</f>
        <v/>
      </c>
      <c r="Z159" s="26">
        <f>IFERROR(TEXTJOIN(CHAR(10),TRUE,UNIQUE(FILTER(소재DB_RAW!$N$3:$N&amp;") "&amp;소재DB_RAW!$O$3:$O,(소재DB_RAW!$G$3:$G=$D159)*ISNUMBER(SEARCH("안감",소재DB_RAW!$M$3:$M))))),"")</f>
        <v/>
      </c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21" t="inlineStr">
        <is>
          <t>X</t>
        </is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",TRUE,UNIQUE(FILTER(소재DB_RAW!$K$3:$K,소재DB_RAW!$G$3:$G=$D160))),"")</f>
        <v/>
      </c>
      <c r="W160" s="20" t="inlineStr">
        <is>
          <t>베트남</t>
        </is>
      </c>
      <c r="X160" s="20">
        <f>IFERROR(TEXTJOIN(" / ",TRUE,UNIQUE(FILTER(소재DB_RAW!$N$3:$N,소재DB_RAW!$G$3:$G=$D160))),"")</f>
        <v/>
      </c>
      <c r="Y160" s="26">
        <f>IFERROR(TEXTJOIN(CHAR(10),TRUE,UNIQUE(FILTER(소재DB_RAW!$N$3:$N&amp;") "&amp;소재DB_RAW!$O$3:$O,(소재DB_RAW!$G$3:$G=$D160)*ISNUMBER(SEARCH("겉감",소재DB_RAW!$M$3:$M))))),"")</f>
        <v/>
      </c>
      <c r="Z160" s="26">
        <f>IFERROR(TEXTJOIN(CHAR(10),TRUE,UNIQUE(FILTER(소재DB_RAW!$N$3:$N&amp;") "&amp;소재DB_RAW!$O$3:$O,(소재DB_RAW!$G$3:$G=$D160)*ISNUMBER(SEARCH("안감",소재DB_RAW!$M$3:$M))))),"")</f>
        <v/>
      </c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21" t="inlineStr">
        <is>
          <t>X</t>
        </is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",TRUE,UNIQUE(FILTER(소재DB_RAW!$K$3:$K,소재DB_RAW!$G$3:$G=$D161))),"")</f>
        <v/>
      </c>
      <c r="W161" s="20" t="inlineStr">
        <is>
          <t>베트남</t>
        </is>
      </c>
      <c r="X161" s="20">
        <f>IFERROR(TEXTJOIN(" / ",TRUE,UNIQUE(FILTER(소재DB_RAW!$N$3:$N,소재DB_RAW!$G$3:$G=$D161))),"")</f>
        <v/>
      </c>
      <c r="Y161" s="26">
        <f>IFERROR(TEXTJOIN(CHAR(10),TRUE,UNIQUE(FILTER(소재DB_RAW!$N$3:$N&amp;") "&amp;소재DB_RAW!$O$3:$O,(소재DB_RAW!$G$3:$G=$D161)*ISNUMBER(SEARCH("겉감",소재DB_RAW!$M$3:$M))))),"")</f>
        <v/>
      </c>
      <c r="Z161" s="26">
        <f>IFERROR(TEXTJOIN(CHAR(10),TRUE,UNIQUE(FILTER(소재DB_RAW!$N$3:$N&amp;") "&amp;소재DB_RAW!$O$3:$O,(소재DB_RAW!$G$3:$G=$D161)*ISNUMBER(SEARCH("안감",소재DB_RAW!$M$3:$M))))),"")</f>
        <v/>
      </c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21" t="inlineStr">
        <is>
          <t>X</t>
        </is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",TRUE,UNIQUE(FILTER(소재DB_RAW!$K$3:$K,소재DB_RAW!$G$3:$G=$D162))),"")</f>
        <v/>
      </c>
      <c r="W162" s="20" t="inlineStr">
        <is>
          <t>인도네시아</t>
        </is>
      </c>
      <c r="X162" s="20">
        <f>IFERROR(TEXTJOIN(" / ",TRUE,UNIQUE(FILTER(소재DB_RAW!$N$3:$N,소재DB_RAW!$G$3:$G=$D162))),"")</f>
        <v/>
      </c>
      <c r="Y162" s="26">
        <f>IFERROR(TEXTJOIN(CHAR(10),TRUE,UNIQUE(FILTER(소재DB_RAW!$N$3:$N&amp;") "&amp;소재DB_RAW!$O$3:$O,(소재DB_RAW!$G$3:$G=$D162)*ISNUMBER(SEARCH("겉감",소재DB_RAW!$M$3:$M))))),"")</f>
        <v/>
      </c>
      <c r="Z162" s="26">
        <f>IFERROR(TEXTJOIN(CHAR(10),TRUE,UNIQUE(FILTER(소재DB_RAW!$N$3:$N&amp;") "&amp;소재DB_RAW!$O$3:$O,(소재DB_RAW!$G$3:$G=$D162)*ISNUMBER(SEARCH("안감",소재DB_RAW!$M$3:$M))))),"")</f>
        <v/>
      </c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21" t="inlineStr">
        <is>
          <t>X</t>
        </is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",TRUE,UNIQUE(FILTER(소재DB_RAW!$K$3:$K,소재DB_RAW!$G$3:$G=$D163))),"")</f>
        <v/>
      </c>
      <c r="W163" s="20" t="inlineStr">
        <is>
          <t>인도네시아</t>
        </is>
      </c>
      <c r="X163" s="20">
        <f>IFERROR(TEXTJOIN(" / ",TRUE,UNIQUE(FILTER(소재DB_RAW!$N$3:$N,소재DB_RAW!$G$3:$G=$D163))),"")</f>
        <v/>
      </c>
      <c r="Y163" s="26">
        <f>IFERROR(TEXTJOIN(CHAR(10),TRUE,UNIQUE(FILTER(소재DB_RAW!$N$3:$N&amp;") "&amp;소재DB_RAW!$O$3:$O,(소재DB_RAW!$G$3:$G=$D163)*ISNUMBER(SEARCH("겉감",소재DB_RAW!$M$3:$M))))),"")</f>
        <v/>
      </c>
      <c r="Z163" s="26">
        <f>IFERROR(TEXTJOIN(CHAR(10),TRUE,UNIQUE(FILTER(소재DB_RAW!$N$3:$N&amp;") "&amp;소재DB_RAW!$O$3:$O,(소재DB_RAW!$G$3:$G=$D163)*ISNUMBER(SEARCH("안감",소재DB_RAW!$M$3:$M))))),"")</f>
        <v/>
      </c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21" t="inlineStr">
        <is>
          <t>X</t>
        </is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",TRUE,UNIQUE(FILTER(소재DB_RAW!$K$3:$K,소재DB_RAW!$G$3:$G=$D164))),"")</f>
        <v/>
      </c>
      <c r="W164" s="20" t="inlineStr">
        <is>
          <t>인도네시아</t>
        </is>
      </c>
      <c r="X164" s="20">
        <f>IFERROR(TEXTJOIN(" / ",TRUE,UNIQUE(FILTER(소재DB_RAW!$N$3:$N,소재DB_RAW!$G$3:$G=$D164))),"")</f>
        <v/>
      </c>
      <c r="Y164" s="26">
        <f>IFERROR(TEXTJOIN(CHAR(10),TRUE,UNIQUE(FILTER(소재DB_RAW!$N$3:$N&amp;") "&amp;소재DB_RAW!$O$3:$O,(소재DB_RAW!$G$3:$G=$D164)*ISNUMBER(SEARCH("겉감",소재DB_RAW!$M$3:$M))))),"")</f>
        <v/>
      </c>
      <c r="Z164" s="26">
        <f>IFERROR(TEXTJOIN(CHAR(10),TRUE,UNIQUE(FILTER(소재DB_RAW!$N$3:$N&amp;") "&amp;소재DB_RAW!$O$3:$O,(소재DB_RAW!$G$3:$G=$D164)*ISNUMBER(SEARCH("안감",소재DB_RAW!$M$3:$M))))),"")</f>
        <v/>
      </c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21" t="inlineStr">
        <is>
          <t>X</t>
        </is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",TRUE,UNIQUE(FILTER(소재DB_RAW!$K$3:$K,소재DB_RAW!$G$3:$G=$D165))),"")</f>
        <v/>
      </c>
      <c r="W165" s="20" t="inlineStr">
        <is>
          <t>베트남</t>
        </is>
      </c>
      <c r="X165" s="20">
        <f>IFERROR(TEXTJOIN(" / ",TRUE,UNIQUE(FILTER(소재DB_RAW!$N$3:$N,소재DB_RAW!$G$3:$G=$D165))),"")</f>
        <v/>
      </c>
      <c r="Y165" s="26">
        <f>IFERROR(TEXTJOIN(CHAR(10),TRUE,UNIQUE(FILTER(소재DB_RAW!$N$3:$N&amp;") "&amp;소재DB_RAW!$O$3:$O,(소재DB_RAW!$G$3:$G=$D165)*ISNUMBER(SEARCH("겉감",소재DB_RAW!$M$3:$M))))),"")</f>
        <v/>
      </c>
      <c r="Z165" s="26">
        <f>IFERROR(TEXTJOIN(CHAR(10),TRUE,UNIQUE(FILTER(소재DB_RAW!$N$3:$N&amp;") "&amp;소재DB_RAW!$O$3:$O,(소재DB_RAW!$G$3:$G=$D165)*ISNUMBER(SEARCH("안감",소재DB_RAW!$M$3:$M))))),"")</f>
        <v/>
      </c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21" t="inlineStr">
        <is>
          <t>X</t>
        </is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",TRUE,UNIQUE(FILTER(소재DB_RAW!$K$3:$K,소재DB_RAW!$G$3:$G=$D166))),"")</f>
        <v/>
      </c>
      <c r="W166" s="20" t="inlineStr">
        <is>
          <t>베트남</t>
        </is>
      </c>
      <c r="X166" s="20">
        <f>IFERROR(TEXTJOIN(" / ",TRUE,UNIQUE(FILTER(소재DB_RAW!$N$3:$N,소재DB_RAW!$G$3:$G=$D166))),"")</f>
        <v/>
      </c>
      <c r="Y166" s="26">
        <f>IFERROR(TEXTJOIN(CHAR(10),TRUE,UNIQUE(FILTER(소재DB_RAW!$N$3:$N&amp;") "&amp;소재DB_RAW!$O$3:$O,(소재DB_RAW!$G$3:$G=$D166)*ISNUMBER(SEARCH("겉감",소재DB_RAW!$M$3:$M))))),"")</f>
        <v/>
      </c>
      <c r="Z166" s="26">
        <f>IFERROR(TEXTJOIN(CHAR(10),TRUE,UNIQUE(FILTER(소재DB_RAW!$N$3:$N&amp;") "&amp;소재DB_RAW!$O$3:$O,(소재DB_RAW!$G$3:$G=$D166)*ISNUMBER(SEARCH("안감",소재DB_RAW!$M$3:$M))))),"")</f>
        <v/>
      </c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21" t="inlineStr">
        <is>
          <t>X</t>
        </is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",TRUE,UNIQUE(FILTER(소재DB_RAW!$K$3:$K,소재DB_RAW!$G$3:$G=$D167))),"")</f>
        <v/>
      </c>
      <c r="W167" s="20" t="inlineStr">
        <is>
          <t>인도네시아</t>
        </is>
      </c>
      <c r="X167" s="20">
        <f>IFERROR(TEXTJOIN(" / ",TRUE,UNIQUE(FILTER(소재DB_RAW!$N$3:$N,소재DB_RAW!$G$3:$G=$D167))),"")</f>
        <v/>
      </c>
      <c r="Y167" s="26">
        <f>IFERROR(TEXTJOIN(CHAR(10),TRUE,UNIQUE(FILTER(소재DB_RAW!$N$3:$N&amp;") "&amp;소재DB_RAW!$O$3:$O,(소재DB_RAW!$G$3:$G=$D167)*ISNUMBER(SEARCH("겉감",소재DB_RAW!$M$3:$M))))),"")</f>
        <v/>
      </c>
      <c r="Z167" s="26">
        <f>IFERROR(TEXTJOIN(CHAR(10),TRUE,UNIQUE(FILTER(소재DB_RAW!$N$3:$N&amp;") "&amp;소재DB_RAW!$O$3:$O,(소재DB_RAW!$G$3:$G=$D167)*ISNUMBER(SEARCH("안감",소재DB_RAW!$M$3:$M))))),"")</f>
        <v/>
      </c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21" t="inlineStr">
        <is>
          <t>X</t>
        </is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",TRUE,UNIQUE(FILTER(소재DB_RAW!$K$3:$K,소재DB_RAW!$G$3:$G=$D168))),"")</f>
        <v/>
      </c>
      <c r="W168" s="20" t="inlineStr">
        <is>
          <t>베트남</t>
        </is>
      </c>
      <c r="X168" s="20">
        <f>IFERROR(TEXTJOIN(" / ",TRUE,UNIQUE(FILTER(소재DB_RAW!$N$3:$N,소재DB_RAW!$G$3:$G=$D168))),"")</f>
        <v/>
      </c>
      <c r="Y168" s="26">
        <f>IFERROR(TEXTJOIN(CHAR(10),TRUE,UNIQUE(FILTER(소재DB_RAW!$N$3:$N&amp;") "&amp;소재DB_RAW!$O$3:$O,(소재DB_RAW!$G$3:$G=$D168)*ISNUMBER(SEARCH("겉감",소재DB_RAW!$M$3:$M))))),"")</f>
        <v/>
      </c>
      <c r="Z168" s="26">
        <f>IFERROR(TEXTJOIN(CHAR(10),TRUE,UNIQUE(FILTER(소재DB_RAW!$N$3:$N&amp;") "&amp;소재DB_RAW!$O$3:$O,(소재DB_RAW!$G$3:$G=$D168)*ISNUMBER(SEARCH("안감",소재DB_RAW!$M$3:$M))))),"")</f>
        <v/>
      </c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21" t="inlineStr">
        <is>
          <t>X</t>
        </is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",TRUE,UNIQUE(FILTER(소재DB_RAW!$K$3:$K,소재DB_RAW!$G$3:$G=$D169))),"")</f>
        <v/>
      </c>
      <c r="W169" s="20" t="inlineStr">
        <is>
          <t>인도네시아</t>
        </is>
      </c>
      <c r="X169" s="20">
        <f>IFERROR(TEXTJOIN(" / ",TRUE,UNIQUE(FILTER(소재DB_RAW!$N$3:$N,소재DB_RAW!$G$3:$G=$D169))),"")</f>
        <v/>
      </c>
      <c r="Y169" s="26">
        <f>IFERROR(TEXTJOIN(CHAR(10),TRUE,UNIQUE(FILTER(소재DB_RAW!$N$3:$N&amp;") "&amp;소재DB_RAW!$O$3:$O,(소재DB_RAW!$G$3:$G=$D169)*ISNUMBER(SEARCH("겉감",소재DB_RAW!$M$3:$M))))),"")</f>
        <v/>
      </c>
      <c r="Z169" s="26">
        <f>IFERROR(TEXTJOIN(CHAR(10),TRUE,UNIQUE(FILTER(소재DB_RAW!$N$3:$N&amp;") "&amp;소재DB_RAW!$O$3:$O,(소재DB_RAW!$G$3:$G=$D169)*ISNUMBER(SEARCH("안감",소재DB_RAW!$M$3:$M))))),"")</f>
        <v/>
      </c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21" t="inlineStr">
        <is>
          <t>X</t>
        </is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",TRUE,UNIQUE(FILTER(소재DB_RAW!$K$3:$K,소재DB_RAW!$G$3:$G=$D170))),"")</f>
        <v/>
      </c>
      <c r="W170" s="20" t="inlineStr">
        <is>
          <t>베트남</t>
        </is>
      </c>
      <c r="X170" s="20">
        <f>IFERROR(TEXTJOIN(" / ",TRUE,UNIQUE(FILTER(소재DB_RAW!$N$3:$N,소재DB_RAW!$G$3:$G=$D170))),"")</f>
        <v/>
      </c>
      <c r="Y170" s="26">
        <f>IFERROR(TEXTJOIN(CHAR(10),TRUE,UNIQUE(FILTER(소재DB_RAW!$N$3:$N&amp;") "&amp;소재DB_RAW!$O$3:$O,(소재DB_RAW!$G$3:$G=$D170)*ISNUMBER(SEARCH("겉감",소재DB_RAW!$M$3:$M))))),"")</f>
        <v/>
      </c>
      <c r="Z170" s="26">
        <f>IFERROR(TEXTJOIN(CHAR(10),TRUE,UNIQUE(FILTER(소재DB_RAW!$N$3:$N&amp;") "&amp;소재DB_RAW!$O$3:$O,(소재DB_RAW!$G$3:$G=$D170)*ISNUMBER(SEARCH("안감",소재DB_RAW!$M$3:$M))))),"")</f>
        <v/>
      </c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21" t="inlineStr">
        <is>
          <t>X</t>
        </is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",TRUE,UNIQUE(FILTER(소재DB_RAW!$K$3:$K,소재DB_RAW!$G$3:$G=$D171))),"")</f>
        <v/>
      </c>
      <c r="W171" s="20" t="inlineStr">
        <is>
          <t>베트남</t>
        </is>
      </c>
      <c r="X171" s="20">
        <f>IFERROR(TEXTJOIN(" / ",TRUE,UNIQUE(FILTER(소재DB_RAW!$N$3:$N,소재DB_RAW!$G$3:$G=$D171))),"")</f>
        <v/>
      </c>
      <c r="Y171" s="26">
        <f>IFERROR(TEXTJOIN(CHAR(10),TRUE,UNIQUE(FILTER(소재DB_RAW!$N$3:$N&amp;") "&amp;소재DB_RAW!$O$3:$O,(소재DB_RAW!$G$3:$G=$D171)*ISNUMBER(SEARCH("겉감",소재DB_RAW!$M$3:$M))))),"")</f>
        <v/>
      </c>
      <c r="Z171" s="26">
        <f>IFERROR(TEXTJOIN(CHAR(10),TRUE,UNIQUE(FILTER(소재DB_RAW!$N$3:$N&amp;") "&amp;소재DB_RAW!$O$3:$O,(소재DB_RAW!$G$3:$G=$D171)*ISNUMBER(SEARCH("안감",소재DB_RAW!$M$3:$M))))),"")</f>
        <v/>
      </c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21" t="inlineStr">
        <is>
          <t>X</t>
        </is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",TRUE,UNIQUE(FILTER(소재DB_RAW!$K$3:$K,소재DB_RAW!$G$3:$G=$D172))),"")</f>
        <v/>
      </c>
      <c r="W172" s="20" t="inlineStr">
        <is>
          <t>베트남</t>
        </is>
      </c>
      <c r="X172" s="20">
        <f>IFERROR(TEXTJOIN(" / ",TRUE,UNIQUE(FILTER(소재DB_RAW!$N$3:$N,소재DB_RAW!$G$3:$G=$D172))),"")</f>
        <v/>
      </c>
      <c r="Y172" s="26">
        <f>IFERROR(TEXTJOIN(CHAR(10),TRUE,UNIQUE(FILTER(소재DB_RAW!$N$3:$N&amp;") "&amp;소재DB_RAW!$O$3:$O,(소재DB_RAW!$G$3:$G=$D172)*ISNUMBER(SEARCH("겉감",소재DB_RAW!$M$3:$M))))),"")</f>
        <v/>
      </c>
      <c r="Z172" s="26">
        <f>IFERROR(TEXTJOIN(CHAR(10),TRUE,UNIQUE(FILTER(소재DB_RAW!$N$3:$N&amp;") "&amp;소재DB_RAW!$O$3:$O,(소재DB_RAW!$G$3:$G=$D172)*ISNUMBER(SEARCH("안감",소재DB_RAW!$M$3:$M))))),"")</f>
        <v/>
      </c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21" t="inlineStr">
        <is>
          <t>X</t>
        </is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",TRUE,UNIQUE(FILTER(소재DB_RAW!$K$3:$K,소재DB_RAW!$G$3:$G=$D173))),"")</f>
        <v/>
      </c>
      <c r="W173" s="20" t="inlineStr">
        <is>
          <t>베트남</t>
        </is>
      </c>
      <c r="X173" s="20">
        <f>IFERROR(TEXTJOIN(" / ",TRUE,UNIQUE(FILTER(소재DB_RAW!$N$3:$N,소재DB_RAW!$G$3:$G=$D173))),"")</f>
        <v/>
      </c>
      <c r="Y173" s="26">
        <f>IFERROR(TEXTJOIN(CHAR(10),TRUE,UNIQUE(FILTER(소재DB_RAW!$N$3:$N&amp;") "&amp;소재DB_RAW!$O$3:$O,(소재DB_RAW!$G$3:$G=$D173)*ISNUMBER(SEARCH("겉감",소재DB_RAW!$M$3:$M))))),"")</f>
        <v/>
      </c>
      <c r="Z173" s="26">
        <f>IFERROR(TEXTJOIN(CHAR(10),TRUE,UNIQUE(FILTER(소재DB_RAW!$N$3:$N&amp;") "&amp;소재DB_RAW!$O$3:$O,(소재DB_RAW!$G$3:$G=$D173)*ISNUMBER(SEARCH("안감",소재DB_RAW!$M$3:$M))))),"")</f>
        <v/>
      </c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21" t="inlineStr">
        <is>
          <t>X</t>
        </is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",TRUE,UNIQUE(FILTER(소재DB_RAW!$K$3:$K,소재DB_RAW!$G$3:$G=$D174))),"")</f>
        <v/>
      </c>
      <c r="W174" s="20" t="inlineStr">
        <is>
          <t>베트남</t>
        </is>
      </c>
      <c r="X174" s="20">
        <f>IFERROR(TEXTJOIN(" / ",TRUE,UNIQUE(FILTER(소재DB_RAW!$N$3:$N,소재DB_RAW!$G$3:$G=$D174))),"")</f>
        <v/>
      </c>
      <c r="Y174" s="26">
        <f>IFERROR(TEXTJOIN(CHAR(10),TRUE,UNIQUE(FILTER(소재DB_RAW!$N$3:$N&amp;") "&amp;소재DB_RAW!$O$3:$O,(소재DB_RAW!$G$3:$G=$D174)*ISNUMBER(SEARCH("겉감",소재DB_RAW!$M$3:$M))))),"")</f>
        <v/>
      </c>
      <c r="Z174" s="26">
        <f>IFERROR(TEXTJOIN(CHAR(10),TRUE,UNIQUE(FILTER(소재DB_RAW!$N$3:$N&amp;") "&amp;소재DB_RAW!$O$3:$O,(소재DB_RAW!$G$3:$G=$D174)*ISNUMBER(SEARCH("안감",소재DB_RAW!$M$3:$M))))),"")</f>
        <v/>
      </c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21" t="inlineStr">
        <is>
          <t>X</t>
        </is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",TRUE,UNIQUE(FILTER(소재DB_RAW!$K$3:$K,소재DB_RAW!$G$3:$G=$D175))),"")</f>
        <v/>
      </c>
      <c r="W175" s="20" t="inlineStr">
        <is>
          <t>베트남</t>
        </is>
      </c>
      <c r="X175" s="20">
        <f>IFERROR(TEXTJOIN(" / ",TRUE,UNIQUE(FILTER(소재DB_RAW!$N$3:$N,소재DB_RAW!$G$3:$G=$D175))),"")</f>
        <v/>
      </c>
      <c r="Y175" s="26">
        <f>IFERROR(TEXTJOIN(CHAR(10),TRUE,UNIQUE(FILTER(소재DB_RAW!$N$3:$N&amp;") "&amp;소재DB_RAW!$O$3:$O,(소재DB_RAW!$G$3:$G=$D175)*ISNUMBER(SEARCH("겉감",소재DB_RAW!$M$3:$M))))),"")</f>
        <v/>
      </c>
      <c r="Z175" s="26">
        <f>IFERROR(TEXTJOIN(CHAR(10),TRUE,UNIQUE(FILTER(소재DB_RAW!$N$3:$N&amp;") "&amp;소재DB_RAW!$O$3:$O,(소재DB_RAW!$G$3:$G=$D175)*ISNUMBER(SEARCH("안감",소재DB_RAW!$M$3:$M))))),"")</f>
        <v/>
      </c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21" t="inlineStr">
        <is>
          <t>X</t>
        </is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",TRUE,UNIQUE(FILTER(소재DB_RAW!$K$3:$K,소재DB_RAW!$G$3:$G=$D176))),"")</f>
        <v/>
      </c>
      <c r="W176" s="20" t="inlineStr">
        <is>
          <t>인도네시아</t>
        </is>
      </c>
      <c r="X176" s="20">
        <f>IFERROR(TEXTJOIN(" / ",TRUE,UNIQUE(FILTER(소재DB_RAW!$N$3:$N,소재DB_RAW!$G$3:$G=$D176))),"")</f>
        <v/>
      </c>
      <c r="Y176" s="26">
        <f>IFERROR(TEXTJOIN(CHAR(10),TRUE,UNIQUE(FILTER(소재DB_RAW!$N$3:$N&amp;") "&amp;소재DB_RAW!$O$3:$O,(소재DB_RAW!$G$3:$G=$D176)*ISNUMBER(SEARCH("겉감",소재DB_RAW!$M$3:$M))))),"")</f>
        <v/>
      </c>
      <c r="Z176" s="26">
        <f>IFERROR(TEXTJOIN(CHAR(10),TRUE,UNIQUE(FILTER(소재DB_RAW!$N$3:$N&amp;") "&amp;소재DB_RAW!$O$3:$O,(소재DB_RAW!$G$3:$G=$D176)*ISNUMBER(SEARCH("안감",소재DB_RAW!$M$3:$M))))),"")</f>
        <v/>
      </c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21" t="inlineStr">
        <is>
          <t>X</t>
        </is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",TRUE,UNIQUE(FILTER(소재DB_RAW!$K$3:$K,소재DB_RAW!$G$3:$G=$D177))),"")</f>
        <v/>
      </c>
      <c r="W177" s="20" t="inlineStr">
        <is>
          <t>베트남</t>
        </is>
      </c>
      <c r="X177" s="20">
        <f>IFERROR(TEXTJOIN(" / ",TRUE,UNIQUE(FILTER(소재DB_RAW!$N$3:$N,소재DB_RAW!$G$3:$G=$D177))),"")</f>
        <v/>
      </c>
      <c r="Y177" s="26">
        <f>IFERROR(TEXTJOIN(CHAR(10),TRUE,UNIQUE(FILTER(소재DB_RAW!$N$3:$N&amp;") "&amp;소재DB_RAW!$O$3:$O,(소재DB_RAW!$G$3:$G=$D177)*ISNUMBER(SEARCH("겉감",소재DB_RAW!$M$3:$M))))),"")</f>
        <v/>
      </c>
      <c r="Z177" s="26">
        <f>IFERROR(TEXTJOIN(CHAR(10),TRUE,UNIQUE(FILTER(소재DB_RAW!$N$3:$N&amp;") "&amp;소재DB_RAW!$O$3:$O,(소재DB_RAW!$G$3:$G=$D177)*ISNUMBER(SEARCH("안감",소재DB_RAW!$M$3:$M))))),"")</f>
        <v/>
      </c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21" t="inlineStr">
        <is>
          <t>X</t>
        </is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",TRUE,UNIQUE(FILTER(소재DB_RAW!$K$3:$K,소재DB_RAW!$G$3:$G=$D178))),"")</f>
        <v/>
      </c>
      <c r="W178" s="20" t="inlineStr">
        <is>
          <t>베트남</t>
        </is>
      </c>
      <c r="X178" s="20">
        <f>IFERROR(TEXTJOIN(" / ",TRUE,UNIQUE(FILTER(소재DB_RAW!$N$3:$N,소재DB_RAW!$G$3:$G=$D178))),"")</f>
        <v/>
      </c>
      <c r="Y178" s="26">
        <f>IFERROR(TEXTJOIN(CHAR(10),TRUE,UNIQUE(FILTER(소재DB_RAW!$N$3:$N&amp;") "&amp;소재DB_RAW!$O$3:$O,(소재DB_RAW!$G$3:$G=$D178)*ISNUMBER(SEARCH("겉감",소재DB_RAW!$M$3:$M))))),"")</f>
        <v/>
      </c>
      <c r="Z178" s="26">
        <f>IFERROR(TEXTJOIN(CHAR(10),TRUE,UNIQUE(FILTER(소재DB_RAW!$N$3:$N&amp;") "&amp;소재DB_RAW!$O$3:$O,(소재DB_RAW!$G$3:$G=$D178)*ISNUMBER(SEARCH("안감",소재DB_RAW!$M$3:$M))))),"")</f>
        <v/>
      </c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21" t="inlineStr">
        <is>
          <t>X</t>
        </is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",TRUE,UNIQUE(FILTER(소재DB_RAW!$K$3:$K,소재DB_RAW!$G$3:$G=$D179))),"")</f>
        <v/>
      </c>
      <c r="W179" s="20" t="inlineStr">
        <is>
          <t>베트남</t>
        </is>
      </c>
      <c r="X179" s="20">
        <f>IFERROR(TEXTJOIN(" / ",TRUE,UNIQUE(FILTER(소재DB_RAW!$N$3:$N,소재DB_RAW!$G$3:$G=$D179))),"")</f>
        <v/>
      </c>
      <c r="Y179" s="26">
        <f>IFERROR(TEXTJOIN(CHAR(10),TRUE,UNIQUE(FILTER(소재DB_RAW!$N$3:$N&amp;") "&amp;소재DB_RAW!$O$3:$O,(소재DB_RAW!$G$3:$G=$D179)*ISNUMBER(SEARCH("겉감",소재DB_RAW!$M$3:$M))))),"")</f>
        <v/>
      </c>
      <c r="Z179" s="26">
        <f>IFERROR(TEXTJOIN(CHAR(10),TRUE,UNIQUE(FILTER(소재DB_RAW!$N$3:$N&amp;") "&amp;소재DB_RAW!$O$3:$O,(소재DB_RAW!$G$3:$G=$D179)*ISNUMBER(SEARCH("안감",소재DB_RAW!$M$3:$M))))),"")</f>
        <v/>
      </c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21" t="inlineStr">
        <is>
          <t>X</t>
        </is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",TRUE,UNIQUE(FILTER(소재DB_RAW!$K$3:$K,소재DB_RAW!$G$3:$G=$D180))),"")</f>
        <v/>
      </c>
      <c r="W180" s="20" t="inlineStr">
        <is>
          <t>베트남</t>
        </is>
      </c>
      <c r="X180" s="20">
        <f>IFERROR(TEXTJOIN(" / ",TRUE,UNIQUE(FILTER(소재DB_RAW!$N$3:$N,소재DB_RAW!$G$3:$G=$D180))),"")</f>
        <v/>
      </c>
      <c r="Y180" s="26">
        <f>IFERROR(TEXTJOIN(CHAR(10),TRUE,UNIQUE(FILTER(소재DB_RAW!$N$3:$N&amp;") "&amp;소재DB_RAW!$O$3:$O,(소재DB_RAW!$G$3:$G=$D180)*ISNUMBER(SEARCH("겉감",소재DB_RAW!$M$3:$M))))),"")</f>
        <v/>
      </c>
      <c r="Z180" s="26">
        <f>IFERROR(TEXTJOIN(CHAR(10),TRUE,UNIQUE(FILTER(소재DB_RAW!$N$3:$N&amp;") "&amp;소재DB_RAW!$O$3:$O,(소재DB_RAW!$G$3:$G=$D180)*ISNUMBER(SEARCH("안감",소재DB_RAW!$M$3:$M))))),"")</f>
        <v/>
      </c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21" t="inlineStr">
        <is>
          <t>X</t>
        </is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",TRUE,UNIQUE(FILTER(소재DB_RAW!$K$3:$K,소재DB_RAW!$G$3:$G=$D181))),"")</f>
        <v/>
      </c>
      <c r="W181" s="20" t="inlineStr">
        <is>
          <t>베트남</t>
        </is>
      </c>
      <c r="X181" s="20">
        <f>IFERROR(TEXTJOIN(" / ",TRUE,UNIQUE(FILTER(소재DB_RAW!$N$3:$N,소재DB_RAW!$G$3:$G=$D181))),"")</f>
        <v/>
      </c>
      <c r="Y181" s="26">
        <f>IFERROR(TEXTJOIN(CHAR(10),TRUE,UNIQUE(FILTER(소재DB_RAW!$N$3:$N&amp;") "&amp;소재DB_RAW!$O$3:$O,(소재DB_RAW!$G$3:$G=$D181)*ISNUMBER(SEARCH("겉감",소재DB_RAW!$M$3:$M))))),"")</f>
        <v/>
      </c>
      <c r="Z181" s="26">
        <f>IFERROR(TEXTJOIN(CHAR(10),TRUE,UNIQUE(FILTER(소재DB_RAW!$N$3:$N&amp;") "&amp;소재DB_RAW!$O$3:$O,(소재DB_RAW!$G$3:$G=$D181)*ISNUMBER(SEARCH("안감",소재DB_RAW!$M$3:$M))))),"")</f>
        <v/>
      </c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21" t="inlineStr">
        <is>
          <t>X</t>
        </is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",TRUE,UNIQUE(FILTER(소재DB_RAW!$K$3:$K,소재DB_RAW!$G$3:$G=$D182))),"")</f>
        <v/>
      </c>
      <c r="W182" s="20" t="inlineStr">
        <is>
          <t>베트남</t>
        </is>
      </c>
      <c r="X182" s="20">
        <f>IFERROR(TEXTJOIN(" / ",TRUE,UNIQUE(FILTER(소재DB_RAW!$N$3:$N,소재DB_RAW!$G$3:$G=$D182))),"")</f>
        <v/>
      </c>
      <c r="Y182" s="26">
        <f>IFERROR(TEXTJOIN(CHAR(10),TRUE,UNIQUE(FILTER(소재DB_RAW!$N$3:$N&amp;") "&amp;소재DB_RAW!$O$3:$O,(소재DB_RAW!$G$3:$G=$D182)*ISNUMBER(SEARCH("겉감",소재DB_RAW!$M$3:$M))))),"")</f>
        <v/>
      </c>
      <c r="Z182" s="26">
        <f>IFERROR(TEXTJOIN(CHAR(10),TRUE,UNIQUE(FILTER(소재DB_RAW!$N$3:$N&amp;") "&amp;소재DB_RAW!$O$3:$O,(소재DB_RAW!$G$3:$G=$D182)*ISNUMBER(SEARCH("안감",소재DB_RAW!$M$3:$M))))),"")</f>
        <v/>
      </c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21" t="inlineStr">
        <is>
          <t>X</t>
        </is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",TRUE,UNIQUE(FILTER(소재DB_RAW!$K$3:$K,소재DB_RAW!$G$3:$G=$D183))),"")</f>
        <v/>
      </c>
      <c r="W183" s="20" t="inlineStr">
        <is>
          <t>인도네시아</t>
        </is>
      </c>
      <c r="X183" s="20">
        <f>IFERROR(TEXTJOIN(" / ",TRUE,UNIQUE(FILTER(소재DB_RAW!$N$3:$N,소재DB_RAW!$G$3:$G=$D183))),"")</f>
        <v/>
      </c>
      <c r="Y183" s="26">
        <f>IFERROR(TEXTJOIN(CHAR(10),TRUE,UNIQUE(FILTER(소재DB_RAW!$N$3:$N&amp;") "&amp;소재DB_RAW!$O$3:$O,(소재DB_RAW!$G$3:$G=$D183)*ISNUMBER(SEARCH("겉감",소재DB_RAW!$M$3:$M))))),"")</f>
        <v/>
      </c>
      <c r="Z183" s="26">
        <f>IFERROR(TEXTJOIN(CHAR(10),TRUE,UNIQUE(FILTER(소재DB_RAW!$N$3:$N&amp;") "&amp;소재DB_RAW!$O$3:$O,(소재DB_RAW!$G$3:$G=$D183)*ISNUMBER(SEARCH("안감",소재DB_RAW!$M$3:$M))))),"")</f>
        <v/>
      </c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21" t="inlineStr">
        <is>
          <t>X</t>
        </is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",TRUE,UNIQUE(FILTER(소재DB_RAW!$K$3:$K,소재DB_RAW!$G$3:$G=$D184))),"")</f>
        <v/>
      </c>
      <c r="W184" s="20" t="inlineStr">
        <is>
          <t>베트남</t>
        </is>
      </c>
      <c r="X184" s="20">
        <f>IFERROR(TEXTJOIN(" / ",TRUE,UNIQUE(FILTER(소재DB_RAW!$N$3:$N,소재DB_RAW!$G$3:$G=$D184))),"")</f>
        <v/>
      </c>
      <c r="Y184" s="26">
        <f>IFERROR(TEXTJOIN(CHAR(10),TRUE,UNIQUE(FILTER(소재DB_RAW!$N$3:$N&amp;") "&amp;소재DB_RAW!$O$3:$O,(소재DB_RAW!$G$3:$G=$D184)*ISNUMBER(SEARCH("겉감",소재DB_RAW!$M$3:$M))))),"")</f>
        <v/>
      </c>
      <c r="Z184" s="26">
        <f>IFERROR(TEXTJOIN(CHAR(10),TRUE,UNIQUE(FILTER(소재DB_RAW!$N$3:$N&amp;") "&amp;소재DB_RAW!$O$3:$O,(소재DB_RAW!$G$3:$G=$D184)*ISNUMBER(SEARCH("안감",소재DB_RAW!$M$3:$M))))),"")</f>
        <v/>
      </c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21" t="n"/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",TRUE,UNIQUE(FILTER(소재DB_RAW!$K$3:$K,소재DB_RAW!$G$3:$G=$D185))),"")</f>
        <v/>
      </c>
      <c r="W185" s="20" t="inlineStr"/>
      <c r="X185" s="20">
        <f>IFERROR(TEXTJOIN(" / ",TRUE,UNIQUE(FILTER(소재DB_RAW!$N$3:$N,소재DB_RAW!$G$3:$G=$D185))),"")</f>
        <v/>
      </c>
      <c r="Y185" s="26">
        <f>IFERROR(TEXTJOIN(CHAR(10),TRUE,UNIQUE(FILTER(소재DB_RAW!$N$3:$N&amp;") "&amp;소재DB_RAW!$O$3:$O,(소재DB_RAW!$G$3:$G=$D185)*ISNUMBER(SEARCH("겉감",소재DB_RAW!$M$3:$M))))),"")</f>
        <v/>
      </c>
      <c r="Z185" s="26">
        <f>IFERROR(TEXTJOIN(CHAR(10),TRUE,UNIQUE(FILTER(소재DB_RAW!$N$3:$N&amp;") "&amp;소재DB_RAW!$O$3:$O,(소재DB_RAW!$G$3:$G=$D185)*ISNUMBER(SEARCH("안감",소재DB_RAW!$M$3:$M))))),"")</f>
        <v/>
      </c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21" t="inlineStr">
        <is>
          <t>X</t>
        </is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",TRUE,UNIQUE(FILTER(소재DB_RAW!$K$3:$K,소재DB_RAW!$G$3:$G=$D186))),"")</f>
        <v/>
      </c>
      <c r="W186" s="20" t="inlineStr">
        <is>
          <t>중국</t>
        </is>
      </c>
      <c r="X186" s="20">
        <f>IFERROR(TEXTJOIN(" / ",TRUE,UNIQUE(FILTER(소재DB_RAW!$N$3:$N,소재DB_RAW!$G$3:$G=$D186))),"")</f>
        <v/>
      </c>
      <c r="Y186" s="26">
        <f>IFERROR(TEXTJOIN(CHAR(10),TRUE,UNIQUE(FILTER(소재DB_RAW!$N$3:$N&amp;") "&amp;소재DB_RAW!$O$3:$O,(소재DB_RAW!$G$3:$G=$D186)*ISNUMBER(SEARCH("겉감",소재DB_RAW!$M$3:$M))))),"")</f>
        <v/>
      </c>
      <c r="Z186" s="26">
        <f>IFERROR(TEXTJOIN(CHAR(10),TRUE,UNIQUE(FILTER(소재DB_RAW!$N$3:$N&amp;") "&amp;소재DB_RAW!$O$3:$O,(소재DB_RAW!$G$3:$G=$D186)*ISNUMBER(SEARCH("안감",소재DB_RAW!$M$3:$M))))),"")</f>
        <v/>
      </c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21" t="inlineStr">
        <is>
          <t>X</t>
        </is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",TRUE,UNIQUE(FILTER(소재DB_RAW!$K$3:$K,소재DB_RAW!$G$3:$G=$D187))),"")</f>
        <v/>
      </c>
      <c r="W187" s="20" t="inlineStr"/>
      <c r="X187" s="20">
        <f>IFERROR(TEXTJOIN(" / ",TRUE,UNIQUE(FILTER(소재DB_RAW!$N$3:$N,소재DB_RAW!$G$3:$G=$D187))),"")</f>
        <v/>
      </c>
      <c r="Y187" s="26">
        <f>IFERROR(TEXTJOIN(CHAR(10),TRUE,UNIQUE(FILTER(소재DB_RAW!$N$3:$N&amp;") "&amp;소재DB_RAW!$O$3:$O,(소재DB_RAW!$G$3:$G=$D187)*ISNUMBER(SEARCH("겉감",소재DB_RAW!$M$3:$M))))),"")</f>
        <v/>
      </c>
      <c r="Z187" s="26">
        <f>IFERROR(TEXTJOIN(CHAR(10),TRUE,UNIQUE(FILTER(소재DB_RAW!$N$3:$N&amp;") "&amp;소재DB_RAW!$O$3:$O,(소재DB_RAW!$G$3:$G=$D187)*ISNUMBER(SEARCH("안감",소재DB_RAW!$M$3:$M))))),"")</f>
        <v/>
      </c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21" t="inlineStr">
        <is>
          <t>X</t>
        </is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",TRUE,UNIQUE(FILTER(소재DB_RAW!$K$3:$K,소재DB_RAW!$G$3:$G=$D188))),"")</f>
        <v/>
      </c>
      <c r="W188" s="20" t="inlineStr"/>
      <c r="X188" s="20">
        <f>IFERROR(TEXTJOIN(" / ",TRUE,UNIQUE(FILTER(소재DB_RAW!$N$3:$N,소재DB_RAW!$G$3:$G=$D188))),"")</f>
        <v/>
      </c>
      <c r="Y188" s="26">
        <f>IFERROR(TEXTJOIN(CHAR(10),TRUE,UNIQUE(FILTER(소재DB_RAW!$N$3:$N&amp;") "&amp;소재DB_RAW!$O$3:$O,(소재DB_RAW!$G$3:$G=$D188)*ISNUMBER(SEARCH("겉감",소재DB_RAW!$M$3:$M))))),"")</f>
        <v/>
      </c>
      <c r="Z188" s="26">
        <f>IFERROR(TEXTJOIN(CHAR(10),TRUE,UNIQUE(FILTER(소재DB_RAW!$N$3:$N&amp;") "&amp;소재DB_RAW!$O$3:$O,(소재DB_RAW!$G$3:$G=$D188)*ISNUMBER(SEARCH("안감",소재DB_RAW!$M$3:$M))))),"")</f>
        <v/>
      </c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21" t="inlineStr">
        <is>
          <t>X</t>
        </is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",TRUE,UNIQUE(FILTER(소재DB_RAW!$K$3:$K,소재DB_RAW!$G$3:$G=$D189))),"")</f>
        <v/>
      </c>
      <c r="W189" s="20" t="inlineStr">
        <is>
          <t>인도네시아</t>
        </is>
      </c>
      <c r="X189" s="20">
        <f>IFERROR(TEXTJOIN(" / ",TRUE,UNIQUE(FILTER(소재DB_RAW!$N$3:$N,소재DB_RAW!$G$3:$G=$D189))),"")</f>
        <v/>
      </c>
      <c r="Y189" s="26">
        <f>IFERROR(TEXTJOIN(CHAR(10),TRUE,UNIQUE(FILTER(소재DB_RAW!$N$3:$N&amp;") "&amp;소재DB_RAW!$O$3:$O,(소재DB_RAW!$G$3:$G=$D189)*ISNUMBER(SEARCH("겉감",소재DB_RAW!$M$3:$M))))),"")</f>
        <v/>
      </c>
      <c r="Z189" s="26">
        <f>IFERROR(TEXTJOIN(CHAR(10),TRUE,UNIQUE(FILTER(소재DB_RAW!$N$3:$N&amp;") "&amp;소재DB_RAW!$O$3:$O,(소재DB_RAW!$G$3:$G=$D189)*ISNUMBER(SEARCH("안감",소재DB_RAW!$M$3:$M))))),"")</f>
        <v/>
      </c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21" t="inlineStr">
        <is>
          <t>X</t>
        </is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",TRUE,UNIQUE(FILTER(소재DB_RAW!$K$3:$K,소재DB_RAW!$G$3:$G=$D190))),"")</f>
        <v/>
      </c>
      <c r="W190" s="20" t="inlineStr">
        <is>
          <t>인도네시아</t>
        </is>
      </c>
      <c r="X190" s="20">
        <f>IFERROR(TEXTJOIN(" / ",TRUE,UNIQUE(FILTER(소재DB_RAW!$N$3:$N,소재DB_RAW!$G$3:$G=$D190))),"")</f>
        <v/>
      </c>
      <c r="Y190" s="26">
        <f>IFERROR(TEXTJOIN(CHAR(10),TRUE,UNIQUE(FILTER(소재DB_RAW!$N$3:$N&amp;") "&amp;소재DB_RAW!$O$3:$O,(소재DB_RAW!$G$3:$G=$D190)*ISNUMBER(SEARCH("겉감",소재DB_RAW!$M$3:$M))))),"")</f>
        <v/>
      </c>
      <c r="Z190" s="26">
        <f>IFERROR(TEXTJOIN(CHAR(10),TRUE,UNIQUE(FILTER(소재DB_RAW!$N$3:$N&amp;") "&amp;소재DB_RAW!$O$3:$O,(소재DB_RAW!$G$3:$G=$D190)*ISNUMBER(SEARCH("안감",소재DB_RAW!$M$3:$M))))),"")</f>
        <v/>
      </c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21" t="inlineStr">
        <is>
          <t>X</t>
        </is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",TRUE,UNIQUE(FILTER(소재DB_RAW!$K$3:$K,소재DB_RAW!$G$3:$G=$D191))),"")</f>
        <v/>
      </c>
      <c r="W191" s="20" t="inlineStr">
        <is>
          <t>인도네시아</t>
        </is>
      </c>
      <c r="X191" s="20">
        <f>IFERROR(TEXTJOIN(" / ",TRUE,UNIQUE(FILTER(소재DB_RAW!$N$3:$N,소재DB_RAW!$G$3:$G=$D191))),"")</f>
        <v/>
      </c>
      <c r="Y191" s="26">
        <f>IFERROR(TEXTJOIN(CHAR(10),TRUE,UNIQUE(FILTER(소재DB_RAW!$N$3:$N&amp;") "&amp;소재DB_RAW!$O$3:$O,(소재DB_RAW!$G$3:$G=$D191)*ISNUMBER(SEARCH("겉감",소재DB_RAW!$M$3:$M))))),"")</f>
        <v/>
      </c>
      <c r="Z191" s="26">
        <f>IFERROR(TEXTJOIN(CHAR(10),TRUE,UNIQUE(FILTER(소재DB_RAW!$N$3:$N&amp;") "&amp;소재DB_RAW!$O$3:$O,(소재DB_RAW!$G$3:$G=$D191)*ISNUMBER(SEARCH("안감",소재DB_RAW!$M$3:$M))))),"")</f>
        <v/>
      </c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21" t="inlineStr">
        <is>
          <t>X</t>
        </is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",TRUE,UNIQUE(FILTER(소재DB_RAW!$K$3:$K,소재DB_RAW!$G$3:$G=$D192))),"")</f>
        <v/>
      </c>
      <c r="W192" s="20" t="inlineStr">
        <is>
          <t>베트남</t>
        </is>
      </c>
      <c r="X192" s="20">
        <f>IFERROR(TEXTJOIN(" / ",TRUE,UNIQUE(FILTER(소재DB_RAW!$N$3:$N,소재DB_RAW!$G$3:$G=$D192))),"")</f>
        <v/>
      </c>
      <c r="Y192" s="26">
        <f>IFERROR(TEXTJOIN(CHAR(10),TRUE,UNIQUE(FILTER(소재DB_RAW!$N$3:$N&amp;") "&amp;소재DB_RAW!$O$3:$O,(소재DB_RAW!$G$3:$G=$D192)*ISNUMBER(SEARCH("겉감",소재DB_RAW!$M$3:$M))))),"")</f>
        <v/>
      </c>
      <c r="Z192" s="26">
        <f>IFERROR(TEXTJOIN(CHAR(10),TRUE,UNIQUE(FILTER(소재DB_RAW!$N$3:$N&amp;") "&amp;소재DB_RAW!$O$3:$O,(소재DB_RAW!$G$3:$G=$D192)*ISNUMBER(SEARCH("안감",소재DB_RAW!$M$3:$M))))),"")</f>
        <v/>
      </c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21" t="inlineStr">
        <is>
          <t>X</t>
        </is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",TRUE,UNIQUE(FILTER(소재DB_RAW!$K$3:$K,소재DB_RAW!$G$3:$G=$D193))),"")</f>
        <v/>
      </c>
      <c r="W193" s="20" t="inlineStr">
        <is>
          <t>미얀마</t>
        </is>
      </c>
      <c r="X193" s="20">
        <f>IFERROR(TEXTJOIN(" / ",TRUE,UNIQUE(FILTER(소재DB_RAW!$N$3:$N,소재DB_RAW!$G$3:$G=$D193))),"")</f>
        <v/>
      </c>
      <c r="Y193" s="26">
        <f>IFERROR(TEXTJOIN(CHAR(10),TRUE,UNIQUE(FILTER(소재DB_RAW!$N$3:$N&amp;") "&amp;소재DB_RAW!$O$3:$O,(소재DB_RAW!$G$3:$G=$D193)*ISNUMBER(SEARCH("겉감",소재DB_RAW!$M$3:$M))))),"")</f>
        <v/>
      </c>
      <c r="Z193" s="26">
        <f>IFERROR(TEXTJOIN(CHAR(10),TRUE,UNIQUE(FILTER(소재DB_RAW!$N$3:$N&amp;") "&amp;소재DB_RAW!$O$3:$O,(소재DB_RAW!$G$3:$G=$D193)*ISNUMBER(SEARCH("안감",소재DB_RAW!$M$3:$M))))),"")</f>
        <v/>
      </c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21" t="inlineStr">
        <is>
          <t>X</t>
        </is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",TRUE,UNIQUE(FILTER(소재DB_RAW!$K$3:$K,소재DB_RAW!$G$3:$G=$D194))),"")</f>
        <v/>
      </c>
      <c r="W194" s="20" t="inlineStr">
        <is>
          <t>베트남</t>
        </is>
      </c>
      <c r="X194" s="20">
        <f>IFERROR(TEXTJOIN(" / ",TRUE,UNIQUE(FILTER(소재DB_RAW!$N$3:$N,소재DB_RAW!$G$3:$G=$D194))),"")</f>
        <v/>
      </c>
      <c r="Y194" s="26">
        <f>IFERROR(TEXTJOIN(CHAR(10),TRUE,UNIQUE(FILTER(소재DB_RAW!$N$3:$N&amp;") "&amp;소재DB_RAW!$O$3:$O,(소재DB_RAW!$G$3:$G=$D194)*ISNUMBER(SEARCH("겉감",소재DB_RAW!$M$3:$M))))),"")</f>
        <v/>
      </c>
      <c r="Z194" s="26">
        <f>IFERROR(TEXTJOIN(CHAR(10),TRUE,UNIQUE(FILTER(소재DB_RAW!$N$3:$N&amp;") "&amp;소재DB_RAW!$O$3:$O,(소재DB_RAW!$G$3:$G=$D194)*ISNUMBER(SEARCH("안감",소재DB_RAW!$M$3:$M))))),"")</f>
        <v/>
      </c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21" t="inlineStr">
        <is>
          <t>X</t>
        </is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",TRUE,UNIQUE(FILTER(소재DB_RAW!$K$3:$K,소재DB_RAW!$G$3:$G=$D195))),"")</f>
        <v/>
      </c>
      <c r="W195" s="20" t="inlineStr">
        <is>
          <t>베트남</t>
        </is>
      </c>
      <c r="X195" s="20">
        <f>IFERROR(TEXTJOIN(" / ",TRUE,UNIQUE(FILTER(소재DB_RAW!$N$3:$N,소재DB_RAW!$G$3:$G=$D195))),"")</f>
        <v/>
      </c>
      <c r="Y195" s="26">
        <f>IFERROR(TEXTJOIN(CHAR(10),TRUE,UNIQUE(FILTER(소재DB_RAW!$N$3:$N&amp;") "&amp;소재DB_RAW!$O$3:$O,(소재DB_RAW!$G$3:$G=$D195)*ISNUMBER(SEARCH("겉감",소재DB_RAW!$M$3:$M))))),"")</f>
        <v/>
      </c>
      <c r="Z195" s="26">
        <f>IFERROR(TEXTJOIN(CHAR(10),TRUE,UNIQUE(FILTER(소재DB_RAW!$N$3:$N&amp;") "&amp;소재DB_RAW!$O$3:$O,(소재DB_RAW!$G$3:$G=$D195)*ISNUMBER(SEARCH("안감",소재DB_RAW!$M$3:$M))))),"")</f>
        <v/>
      </c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21" t="inlineStr">
        <is>
          <t>X</t>
        </is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",TRUE,UNIQUE(FILTER(소재DB_RAW!$K$3:$K,소재DB_RAW!$G$3:$G=$D196))),"")</f>
        <v/>
      </c>
      <c r="W196" s="20" t="inlineStr">
        <is>
          <t>베트남</t>
        </is>
      </c>
      <c r="X196" s="20">
        <f>IFERROR(TEXTJOIN(" / ",TRUE,UNIQUE(FILTER(소재DB_RAW!$N$3:$N,소재DB_RAW!$G$3:$G=$D196))),"")</f>
        <v/>
      </c>
      <c r="Y196" s="26">
        <f>IFERROR(TEXTJOIN(CHAR(10),TRUE,UNIQUE(FILTER(소재DB_RAW!$N$3:$N&amp;") "&amp;소재DB_RAW!$O$3:$O,(소재DB_RAW!$G$3:$G=$D196)*ISNUMBER(SEARCH("겉감",소재DB_RAW!$M$3:$M))))),"")</f>
        <v/>
      </c>
      <c r="Z196" s="26">
        <f>IFERROR(TEXTJOIN(CHAR(10),TRUE,UNIQUE(FILTER(소재DB_RAW!$N$3:$N&amp;") "&amp;소재DB_RAW!$O$3:$O,(소재DB_RAW!$G$3:$G=$D196)*ISNUMBER(SEARCH("안감",소재DB_RAW!$M$3:$M))))),"")</f>
        <v/>
      </c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21" t="inlineStr">
        <is>
          <t>X</t>
        </is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",TRUE,UNIQUE(FILTER(소재DB_RAW!$K$3:$K,소재DB_RAW!$G$3:$G=$D197))),"")</f>
        <v/>
      </c>
      <c r="W197" s="20" t="inlineStr">
        <is>
          <t>베트남</t>
        </is>
      </c>
      <c r="X197" s="20">
        <f>IFERROR(TEXTJOIN(" / ",TRUE,UNIQUE(FILTER(소재DB_RAW!$N$3:$N,소재DB_RAW!$G$3:$G=$D197))),"")</f>
        <v/>
      </c>
      <c r="Y197" s="26">
        <f>IFERROR(TEXTJOIN(CHAR(10),TRUE,UNIQUE(FILTER(소재DB_RAW!$N$3:$N&amp;") "&amp;소재DB_RAW!$O$3:$O,(소재DB_RAW!$G$3:$G=$D197)*ISNUMBER(SEARCH("겉감",소재DB_RAW!$M$3:$M))))),"")</f>
        <v/>
      </c>
      <c r="Z197" s="26">
        <f>IFERROR(TEXTJOIN(CHAR(10),TRUE,UNIQUE(FILTER(소재DB_RAW!$N$3:$N&amp;") "&amp;소재DB_RAW!$O$3:$O,(소재DB_RAW!$G$3:$G=$D197)*ISNUMBER(SEARCH("안감",소재DB_RAW!$M$3:$M))))),"")</f>
        <v/>
      </c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21" t="inlineStr">
        <is>
          <t>X</t>
        </is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",TRUE,UNIQUE(FILTER(소재DB_RAW!$K$3:$K,소재DB_RAW!$G$3:$G=$D198))),"")</f>
        <v/>
      </c>
      <c r="W198" s="20" t="inlineStr">
        <is>
          <t>베트남</t>
        </is>
      </c>
      <c r="X198" s="20">
        <f>IFERROR(TEXTJOIN(" / ",TRUE,UNIQUE(FILTER(소재DB_RAW!$N$3:$N,소재DB_RAW!$G$3:$G=$D198))),"")</f>
        <v/>
      </c>
      <c r="Y198" s="26">
        <f>IFERROR(TEXTJOIN(CHAR(10),TRUE,UNIQUE(FILTER(소재DB_RAW!$N$3:$N&amp;") "&amp;소재DB_RAW!$O$3:$O,(소재DB_RAW!$G$3:$G=$D198)*ISNUMBER(SEARCH("겉감",소재DB_RAW!$M$3:$M))))),"")</f>
        <v/>
      </c>
      <c r="Z198" s="26">
        <f>IFERROR(TEXTJOIN(CHAR(10),TRUE,UNIQUE(FILTER(소재DB_RAW!$N$3:$N&amp;") "&amp;소재DB_RAW!$O$3:$O,(소재DB_RAW!$G$3:$G=$D198)*ISNUMBER(SEARCH("안감",소재DB_RAW!$M$3:$M))))),"")</f>
        <v/>
      </c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21" t="inlineStr">
        <is>
          <t>X</t>
        </is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",TRUE,UNIQUE(FILTER(소재DB_RAW!$K$3:$K,소재DB_RAW!$G$3:$G=$D199))),"")</f>
        <v/>
      </c>
      <c r="W199" s="20" t="inlineStr">
        <is>
          <t>베트남</t>
        </is>
      </c>
      <c r="X199" s="20">
        <f>IFERROR(TEXTJOIN(" / ",TRUE,UNIQUE(FILTER(소재DB_RAW!$N$3:$N,소재DB_RAW!$G$3:$G=$D199))),"")</f>
        <v/>
      </c>
      <c r="Y199" s="26">
        <f>IFERROR(TEXTJOIN(CHAR(10),TRUE,UNIQUE(FILTER(소재DB_RAW!$N$3:$N&amp;") "&amp;소재DB_RAW!$O$3:$O,(소재DB_RAW!$G$3:$G=$D199)*ISNUMBER(SEARCH("겉감",소재DB_RAW!$M$3:$M))))),"")</f>
        <v/>
      </c>
      <c r="Z199" s="26">
        <f>IFERROR(TEXTJOIN(CHAR(10),TRUE,UNIQUE(FILTER(소재DB_RAW!$N$3:$N&amp;") "&amp;소재DB_RAW!$O$3:$O,(소재DB_RAW!$G$3:$G=$D199)*ISNUMBER(SEARCH("안감",소재DB_RAW!$M$3:$M))))),"")</f>
        <v/>
      </c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21" t="inlineStr">
        <is>
          <t>X</t>
        </is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",TRUE,UNIQUE(FILTER(소재DB_RAW!$K$3:$K,소재DB_RAW!$G$3:$G=$D200))),"")</f>
        <v/>
      </c>
      <c r="W200" s="20" t="inlineStr">
        <is>
          <t>베트남</t>
        </is>
      </c>
      <c r="X200" s="20">
        <f>IFERROR(TEXTJOIN(" / ",TRUE,UNIQUE(FILTER(소재DB_RAW!$N$3:$N,소재DB_RAW!$G$3:$G=$D200))),"")</f>
        <v/>
      </c>
      <c r="Y200" s="26">
        <f>IFERROR(TEXTJOIN(CHAR(10),TRUE,UNIQUE(FILTER(소재DB_RAW!$N$3:$N&amp;") "&amp;소재DB_RAW!$O$3:$O,(소재DB_RAW!$G$3:$G=$D200)*ISNUMBER(SEARCH("겉감",소재DB_RAW!$M$3:$M))))),"")</f>
        <v/>
      </c>
      <c r="Z200" s="26">
        <f>IFERROR(TEXTJOIN(CHAR(10),TRUE,UNIQUE(FILTER(소재DB_RAW!$N$3:$N&amp;") "&amp;소재DB_RAW!$O$3:$O,(소재DB_RAW!$G$3:$G=$D200)*ISNUMBER(SEARCH("안감",소재DB_RAW!$M$3:$M))))),"")</f>
        <v/>
      </c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21" t="inlineStr">
        <is>
          <t>X</t>
        </is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",TRUE,UNIQUE(FILTER(소재DB_RAW!$K$3:$K,소재DB_RAW!$G$3:$G=$D201))),"")</f>
        <v/>
      </c>
      <c r="W201" s="20" t="inlineStr">
        <is>
          <t>베트남</t>
        </is>
      </c>
      <c r="X201" s="20">
        <f>IFERROR(TEXTJOIN(" / ",TRUE,UNIQUE(FILTER(소재DB_RAW!$N$3:$N,소재DB_RAW!$G$3:$G=$D201))),"")</f>
        <v/>
      </c>
      <c r="Y201" s="26">
        <f>IFERROR(TEXTJOIN(CHAR(10),TRUE,UNIQUE(FILTER(소재DB_RAW!$N$3:$N&amp;") "&amp;소재DB_RAW!$O$3:$O,(소재DB_RAW!$G$3:$G=$D201)*ISNUMBER(SEARCH("겉감",소재DB_RAW!$M$3:$M))))),"")</f>
        <v/>
      </c>
      <c r="Z201" s="26">
        <f>IFERROR(TEXTJOIN(CHAR(10),TRUE,UNIQUE(FILTER(소재DB_RAW!$N$3:$N&amp;") "&amp;소재DB_RAW!$O$3:$O,(소재DB_RAW!$G$3:$G=$D201)*ISNUMBER(SEARCH("안감",소재DB_RAW!$M$3:$M))))),"")</f>
        <v/>
      </c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21" t="inlineStr">
        <is>
          <t>X</t>
        </is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",TRUE,UNIQUE(FILTER(소재DB_RAW!$K$3:$K,소재DB_RAW!$G$3:$G=$D202))),"")</f>
        <v/>
      </c>
      <c r="W202" s="20" t="inlineStr">
        <is>
          <t>베트남</t>
        </is>
      </c>
      <c r="X202" s="20">
        <f>IFERROR(TEXTJOIN(" / ",TRUE,UNIQUE(FILTER(소재DB_RAW!$N$3:$N,소재DB_RAW!$G$3:$G=$D202))),"")</f>
        <v/>
      </c>
      <c r="Y202" s="26">
        <f>IFERROR(TEXTJOIN(CHAR(10),TRUE,UNIQUE(FILTER(소재DB_RAW!$N$3:$N&amp;") "&amp;소재DB_RAW!$O$3:$O,(소재DB_RAW!$G$3:$G=$D202)*ISNUMBER(SEARCH("겉감",소재DB_RAW!$M$3:$M))))),"")</f>
        <v/>
      </c>
      <c r="Z202" s="26">
        <f>IFERROR(TEXTJOIN(CHAR(10),TRUE,UNIQUE(FILTER(소재DB_RAW!$N$3:$N&amp;") "&amp;소재DB_RAW!$O$3:$O,(소재DB_RAW!$G$3:$G=$D202)*ISNUMBER(SEARCH("안감",소재DB_RAW!$M$3:$M))))),"")</f>
        <v/>
      </c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21" t="inlineStr">
        <is>
          <t>X</t>
        </is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",TRUE,UNIQUE(FILTER(소재DB_RAW!$K$3:$K,소재DB_RAW!$G$3:$G=$D203))),"")</f>
        <v/>
      </c>
      <c r="W203" s="20" t="inlineStr">
        <is>
          <t>베트남</t>
        </is>
      </c>
      <c r="X203" s="20">
        <f>IFERROR(TEXTJOIN(" / ",TRUE,UNIQUE(FILTER(소재DB_RAW!$N$3:$N,소재DB_RAW!$G$3:$G=$D203))),"")</f>
        <v/>
      </c>
      <c r="Y203" s="26">
        <f>IFERROR(TEXTJOIN(CHAR(10),TRUE,UNIQUE(FILTER(소재DB_RAW!$N$3:$N&amp;") "&amp;소재DB_RAW!$O$3:$O,(소재DB_RAW!$G$3:$G=$D203)*ISNUMBER(SEARCH("겉감",소재DB_RAW!$M$3:$M))))),"")</f>
        <v/>
      </c>
      <c r="Z203" s="26">
        <f>IFERROR(TEXTJOIN(CHAR(10),TRUE,UNIQUE(FILTER(소재DB_RAW!$N$3:$N&amp;") "&amp;소재DB_RAW!$O$3:$O,(소재DB_RAW!$G$3:$G=$D203)*ISNUMBER(SEARCH("안감",소재DB_RAW!$M$3:$M))))),"")</f>
        <v/>
      </c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21" t="inlineStr">
        <is>
          <t>X</t>
        </is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",TRUE,UNIQUE(FILTER(소재DB_RAW!$K$3:$K,소재DB_RAW!$G$3:$G=$D204))),"")</f>
        <v/>
      </c>
      <c r="W204" s="20" t="inlineStr">
        <is>
          <t>베트남</t>
        </is>
      </c>
      <c r="X204" s="20">
        <f>IFERROR(TEXTJOIN(" / ",TRUE,UNIQUE(FILTER(소재DB_RAW!$N$3:$N,소재DB_RAW!$G$3:$G=$D204))),"")</f>
        <v/>
      </c>
      <c r="Y204" s="26">
        <f>IFERROR(TEXTJOIN(CHAR(10),TRUE,UNIQUE(FILTER(소재DB_RAW!$N$3:$N&amp;") "&amp;소재DB_RAW!$O$3:$O,(소재DB_RAW!$G$3:$G=$D204)*ISNUMBER(SEARCH("겉감",소재DB_RAW!$M$3:$M))))),"")</f>
        <v/>
      </c>
      <c r="Z204" s="26">
        <f>IFERROR(TEXTJOIN(CHAR(10),TRUE,UNIQUE(FILTER(소재DB_RAW!$N$3:$N&amp;") "&amp;소재DB_RAW!$O$3:$O,(소재DB_RAW!$G$3:$G=$D204)*ISNUMBER(SEARCH("안감",소재DB_RAW!$M$3:$M))))),"")</f>
        <v/>
      </c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21" t="inlineStr">
        <is>
          <t>X</t>
        </is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",TRUE,UNIQUE(FILTER(소재DB_RAW!$K$3:$K,소재DB_RAW!$G$3:$G=$D205))),"")</f>
        <v/>
      </c>
      <c r="W205" s="20" t="inlineStr">
        <is>
          <t>베트남</t>
        </is>
      </c>
      <c r="X205" s="20">
        <f>IFERROR(TEXTJOIN(" / ",TRUE,UNIQUE(FILTER(소재DB_RAW!$N$3:$N,소재DB_RAW!$G$3:$G=$D205))),"")</f>
        <v/>
      </c>
      <c r="Y205" s="26">
        <f>IFERROR(TEXTJOIN(CHAR(10),TRUE,UNIQUE(FILTER(소재DB_RAW!$N$3:$N&amp;") "&amp;소재DB_RAW!$O$3:$O,(소재DB_RAW!$G$3:$G=$D205)*ISNUMBER(SEARCH("겉감",소재DB_RAW!$M$3:$M))))),"")</f>
        <v/>
      </c>
      <c r="Z205" s="26">
        <f>IFERROR(TEXTJOIN(CHAR(10),TRUE,UNIQUE(FILTER(소재DB_RAW!$N$3:$N&amp;") "&amp;소재DB_RAW!$O$3:$O,(소재DB_RAW!$G$3:$G=$D205)*ISNUMBER(SEARCH("안감",소재DB_RAW!$M$3:$M))))),"")</f>
        <v/>
      </c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21" t="inlineStr">
        <is>
          <t>X</t>
        </is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",TRUE,UNIQUE(FILTER(소재DB_RAW!$K$3:$K,소재DB_RAW!$G$3:$G=$D206))),"")</f>
        <v/>
      </c>
      <c r="W206" s="20" t="inlineStr">
        <is>
          <t>베트남</t>
        </is>
      </c>
      <c r="X206" s="20">
        <f>IFERROR(TEXTJOIN(" / ",TRUE,UNIQUE(FILTER(소재DB_RAW!$N$3:$N,소재DB_RAW!$G$3:$G=$D206))),"")</f>
        <v/>
      </c>
      <c r="Y206" s="26">
        <f>IFERROR(TEXTJOIN(CHAR(10),TRUE,UNIQUE(FILTER(소재DB_RAW!$N$3:$N&amp;") "&amp;소재DB_RAW!$O$3:$O,(소재DB_RAW!$G$3:$G=$D206)*ISNUMBER(SEARCH("겉감",소재DB_RAW!$M$3:$M))))),"")</f>
        <v/>
      </c>
      <c r="Z206" s="26">
        <f>IFERROR(TEXTJOIN(CHAR(10),TRUE,UNIQUE(FILTER(소재DB_RAW!$N$3:$N&amp;") "&amp;소재DB_RAW!$O$3:$O,(소재DB_RAW!$G$3:$G=$D206)*ISNUMBER(SEARCH("안감",소재DB_RAW!$M$3:$M))))),"")</f>
        <v/>
      </c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21" t="inlineStr">
        <is>
          <t>X</t>
        </is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",TRUE,UNIQUE(FILTER(소재DB_RAW!$K$3:$K,소재DB_RAW!$G$3:$G=$D207))),"")</f>
        <v/>
      </c>
      <c r="W207" s="20" t="inlineStr">
        <is>
          <t>베트남</t>
        </is>
      </c>
      <c r="X207" s="20">
        <f>IFERROR(TEXTJOIN(" / ",TRUE,UNIQUE(FILTER(소재DB_RAW!$N$3:$N,소재DB_RAW!$G$3:$G=$D207))),"")</f>
        <v/>
      </c>
      <c r="Y207" s="26">
        <f>IFERROR(TEXTJOIN(CHAR(10),TRUE,UNIQUE(FILTER(소재DB_RAW!$N$3:$N&amp;") "&amp;소재DB_RAW!$O$3:$O,(소재DB_RAW!$G$3:$G=$D207)*ISNUMBER(SEARCH("겉감",소재DB_RAW!$M$3:$M))))),"")</f>
        <v/>
      </c>
      <c r="Z207" s="26">
        <f>IFERROR(TEXTJOIN(CHAR(10),TRUE,UNIQUE(FILTER(소재DB_RAW!$N$3:$N&amp;") "&amp;소재DB_RAW!$O$3:$O,(소재DB_RAW!$G$3:$G=$D207)*ISNUMBER(SEARCH("안감",소재DB_RAW!$M$3:$M))))),"")</f>
        <v/>
      </c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21" t="inlineStr">
        <is>
          <t>X</t>
        </is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",TRUE,UNIQUE(FILTER(소재DB_RAW!$K$3:$K,소재DB_RAW!$G$3:$G=$D208))),"")</f>
        <v/>
      </c>
      <c r="W208" s="20" t="inlineStr">
        <is>
          <t>베트남</t>
        </is>
      </c>
      <c r="X208" s="20">
        <f>IFERROR(TEXTJOIN(" / ",TRUE,UNIQUE(FILTER(소재DB_RAW!$N$3:$N,소재DB_RAW!$G$3:$G=$D208))),"")</f>
        <v/>
      </c>
      <c r="Y208" s="26">
        <f>IFERROR(TEXTJOIN(CHAR(10),TRUE,UNIQUE(FILTER(소재DB_RAW!$N$3:$N&amp;") "&amp;소재DB_RAW!$O$3:$O,(소재DB_RAW!$G$3:$G=$D208)*ISNUMBER(SEARCH("겉감",소재DB_RAW!$M$3:$M))))),"")</f>
        <v/>
      </c>
      <c r="Z208" s="26">
        <f>IFERROR(TEXTJOIN(CHAR(10),TRUE,UNIQUE(FILTER(소재DB_RAW!$N$3:$N&amp;") "&amp;소재DB_RAW!$O$3:$O,(소재DB_RAW!$G$3:$G=$D208)*ISNUMBER(SEARCH("안감",소재DB_RAW!$M$3:$M))))),"")</f>
        <v/>
      </c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21" t="inlineStr">
        <is>
          <t>X</t>
        </is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",TRUE,UNIQUE(FILTER(소재DB_RAW!$K$3:$K,소재DB_RAW!$G$3:$G=$D209))),"")</f>
        <v/>
      </c>
      <c r="W209" s="20" t="inlineStr">
        <is>
          <t>베트남</t>
        </is>
      </c>
      <c r="X209" s="20">
        <f>IFERROR(TEXTJOIN(" / ",TRUE,UNIQUE(FILTER(소재DB_RAW!$N$3:$N,소재DB_RAW!$G$3:$G=$D209))),"")</f>
        <v/>
      </c>
      <c r="Y209" s="26">
        <f>IFERROR(TEXTJOIN(CHAR(10),TRUE,UNIQUE(FILTER(소재DB_RAW!$N$3:$N&amp;") "&amp;소재DB_RAW!$O$3:$O,(소재DB_RAW!$G$3:$G=$D209)*ISNUMBER(SEARCH("겉감",소재DB_RAW!$M$3:$M))))),"")</f>
        <v/>
      </c>
      <c r="Z209" s="26">
        <f>IFERROR(TEXTJOIN(CHAR(10),TRUE,UNIQUE(FILTER(소재DB_RAW!$N$3:$N&amp;") "&amp;소재DB_RAW!$O$3:$O,(소재DB_RAW!$G$3:$G=$D209)*ISNUMBER(SEARCH("안감",소재DB_RAW!$M$3:$M))))),"")</f>
        <v/>
      </c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21" t="inlineStr">
        <is>
          <t>X</t>
        </is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",TRUE,UNIQUE(FILTER(소재DB_RAW!$K$3:$K,소재DB_RAW!$G$3:$G=$D210))),"")</f>
        <v/>
      </c>
      <c r="W210" s="20" t="inlineStr">
        <is>
          <t>베트남</t>
        </is>
      </c>
      <c r="X210" s="20">
        <f>IFERROR(TEXTJOIN(" / ",TRUE,UNIQUE(FILTER(소재DB_RAW!$N$3:$N,소재DB_RAW!$G$3:$G=$D210))),"")</f>
        <v/>
      </c>
      <c r="Y210" s="26">
        <f>IFERROR(TEXTJOIN(CHAR(10),TRUE,UNIQUE(FILTER(소재DB_RAW!$N$3:$N&amp;") "&amp;소재DB_RAW!$O$3:$O,(소재DB_RAW!$G$3:$G=$D210)*ISNUMBER(SEARCH("겉감",소재DB_RAW!$M$3:$M))))),"")</f>
        <v/>
      </c>
      <c r="Z210" s="26">
        <f>IFERROR(TEXTJOIN(CHAR(10),TRUE,UNIQUE(FILTER(소재DB_RAW!$N$3:$N&amp;") "&amp;소재DB_RAW!$O$3:$O,(소재DB_RAW!$G$3:$G=$D210)*ISNUMBER(SEARCH("안감",소재DB_RAW!$M$3:$M))))),"")</f>
        <v/>
      </c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21" t="inlineStr">
        <is>
          <t>X</t>
        </is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",TRUE,UNIQUE(FILTER(소재DB_RAW!$K$3:$K,소재DB_RAW!$G$3:$G=$D211))),"")</f>
        <v/>
      </c>
      <c r="W211" s="20" t="inlineStr">
        <is>
          <t>베트남</t>
        </is>
      </c>
      <c r="X211" s="20">
        <f>IFERROR(TEXTJOIN(" / ",TRUE,UNIQUE(FILTER(소재DB_RAW!$N$3:$N,소재DB_RAW!$G$3:$G=$D211))),"")</f>
        <v/>
      </c>
      <c r="Y211" s="26">
        <f>IFERROR(TEXTJOIN(CHAR(10),TRUE,UNIQUE(FILTER(소재DB_RAW!$N$3:$N&amp;") "&amp;소재DB_RAW!$O$3:$O,(소재DB_RAW!$G$3:$G=$D211)*ISNUMBER(SEARCH("겉감",소재DB_RAW!$M$3:$M))))),"")</f>
        <v/>
      </c>
      <c r="Z211" s="26">
        <f>IFERROR(TEXTJOIN(CHAR(10),TRUE,UNIQUE(FILTER(소재DB_RAW!$N$3:$N&amp;") "&amp;소재DB_RAW!$O$3:$O,(소재DB_RAW!$G$3:$G=$D211)*ISNUMBER(SEARCH("안감",소재DB_RAW!$M$3:$M))))),"")</f>
        <v/>
      </c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21" t="inlineStr">
        <is>
          <t>X</t>
        </is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",TRUE,UNIQUE(FILTER(소재DB_RAW!$K$3:$K,소재DB_RAW!$G$3:$G=$D212))),"")</f>
        <v/>
      </c>
      <c r="W212" s="20" t="inlineStr">
        <is>
          <t>베트남</t>
        </is>
      </c>
      <c r="X212" s="20">
        <f>IFERROR(TEXTJOIN(" / ",TRUE,UNIQUE(FILTER(소재DB_RAW!$N$3:$N,소재DB_RAW!$G$3:$G=$D212))),"")</f>
        <v/>
      </c>
      <c r="Y212" s="26">
        <f>IFERROR(TEXTJOIN(CHAR(10),TRUE,UNIQUE(FILTER(소재DB_RAW!$N$3:$N&amp;") "&amp;소재DB_RAW!$O$3:$O,(소재DB_RAW!$G$3:$G=$D212)*ISNUMBER(SEARCH("겉감",소재DB_RAW!$M$3:$M))))),"")</f>
        <v/>
      </c>
      <c r="Z212" s="26">
        <f>IFERROR(TEXTJOIN(CHAR(10),TRUE,UNIQUE(FILTER(소재DB_RAW!$N$3:$N&amp;") "&amp;소재DB_RAW!$O$3:$O,(소재DB_RAW!$G$3:$G=$D212)*ISNUMBER(SEARCH("안감",소재DB_RAW!$M$3:$M))))),"")</f>
        <v/>
      </c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21" t="inlineStr">
        <is>
          <t>X</t>
        </is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",TRUE,UNIQUE(FILTER(소재DB_RAW!$K$3:$K,소재DB_RAW!$G$3:$G=$D213))),"")</f>
        <v/>
      </c>
      <c r="W213" s="20" t="inlineStr">
        <is>
          <t>베트남</t>
        </is>
      </c>
      <c r="X213" s="20">
        <f>IFERROR(TEXTJOIN(" / ",TRUE,UNIQUE(FILTER(소재DB_RAW!$N$3:$N,소재DB_RAW!$G$3:$G=$D213))),"")</f>
        <v/>
      </c>
      <c r="Y213" s="26">
        <f>IFERROR(TEXTJOIN(CHAR(10),TRUE,UNIQUE(FILTER(소재DB_RAW!$N$3:$N&amp;") "&amp;소재DB_RAW!$O$3:$O,(소재DB_RAW!$G$3:$G=$D213)*ISNUMBER(SEARCH("겉감",소재DB_RAW!$M$3:$M))))),"")</f>
        <v/>
      </c>
      <c r="Z213" s="26">
        <f>IFERROR(TEXTJOIN(CHAR(10),TRUE,UNIQUE(FILTER(소재DB_RAW!$N$3:$N&amp;") "&amp;소재DB_RAW!$O$3:$O,(소재DB_RAW!$G$3:$G=$D213)*ISNUMBER(SEARCH("안감",소재DB_RAW!$M$3:$M))))),"")</f>
        <v/>
      </c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21" t="inlineStr">
        <is>
          <t>X</t>
        </is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",TRUE,UNIQUE(FILTER(소재DB_RAW!$K$3:$K,소재DB_RAW!$G$3:$G=$D214))),"")</f>
        <v/>
      </c>
      <c r="W214" s="20" t="inlineStr">
        <is>
          <t>베트남</t>
        </is>
      </c>
      <c r="X214" s="20">
        <f>IFERROR(TEXTJOIN(" / ",TRUE,UNIQUE(FILTER(소재DB_RAW!$N$3:$N,소재DB_RAW!$G$3:$G=$D214))),"")</f>
        <v/>
      </c>
      <c r="Y214" s="26">
        <f>IFERROR(TEXTJOIN(CHAR(10),TRUE,UNIQUE(FILTER(소재DB_RAW!$N$3:$N&amp;") "&amp;소재DB_RAW!$O$3:$O,(소재DB_RAW!$G$3:$G=$D214)*ISNUMBER(SEARCH("겉감",소재DB_RAW!$M$3:$M))))),"")</f>
        <v/>
      </c>
      <c r="Z214" s="26">
        <f>IFERROR(TEXTJOIN(CHAR(10),TRUE,UNIQUE(FILTER(소재DB_RAW!$N$3:$N&amp;") "&amp;소재DB_RAW!$O$3:$O,(소재DB_RAW!$G$3:$G=$D214)*ISNUMBER(SEARCH("안감",소재DB_RAW!$M$3:$M))))),"")</f>
        <v/>
      </c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21" t="inlineStr">
        <is>
          <t>X</t>
        </is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",TRUE,UNIQUE(FILTER(소재DB_RAW!$K$3:$K,소재DB_RAW!$G$3:$G=$D215))),"")</f>
        <v/>
      </c>
      <c r="W215" s="20" t="inlineStr">
        <is>
          <t>베트남</t>
        </is>
      </c>
      <c r="X215" s="20">
        <f>IFERROR(TEXTJOIN(" / ",TRUE,UNIQUE(FILTER(소재DB_RAW!$N$3:$N,소재DB_RAW!$G$3:$G=$D215))),"")</f>
        <v/>
      </c>
      <c r="Y215" s="26">
        <f>IFERROR(TEXTJOIN(CHAR(10),TRUE,UNIQUE(FILTER(소재DB_RAW!$N$3:$N&amp;") "&amp;소재DB_RAW!$O$3:$O,(소재DB_RAW!$G$3:$G=$D215)*ISNUMBER(SEARCH("겉감",소재DB_RAW!$M$3:$M))))),"")</f>
        <v/>
      </c>
      <c r="Z215" s="26">
        <f>IFERROR(TEXTJOIN(CHAR(10),TRUE,UNIQUE(FILTER(소재DB_RAW!$N$3:$N&amp;") "&amp;소재DB_RAW!$O$3:$O,(소재DB_RAW!$G$3:$G=$D215)*ISNUMBER(SEARCH("안감",소재DB_RAW!$M$3:$M))))),"")</f>
        <v/>
      </c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21" t="inlineStr">
        <is>
          <t>X</t>
        </is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",TRUE,UNIQUE(FILTER(소재DB_RAW!$K$3:$K,소재DB_RAW!$G$3:$G=$D216))),"")</f>
        <v/>
      </c>
      <c r="W216" s="20" t="inlineStr"/>
      <c r="X216" s="20">
        <f>IFERROR(TEXTJOIN(" / ",TRUE,UNIQUE(FILTER(소재DB_RAW!$N$3:$N,소재DB_RAW!$G$3:$G=$D216))),"")</f>
        <v/>
      </c>
      <c r="Y216" s="26">
        <f>IFERROR(TEXTJOIN(CHAR(10),TRUE,UNIQUE(FILTER(소재DB_RAW!$N$3:$N&amp;") "&amp;소재DB_RAW!$O$3:$O,(소재DB_RAW!$G$3:$G=$D216)*ISNUMBER(SEARCH("겉감",소재DB_RAW!$M$3:$M))))),"")</f>
        <v/>
      </c>
      <c r="Z216" s="26">
        <f>IFERROR(TEXTJOIN(CHAR(10),TRUE,UNIQUE(FILTER(소재DB_RAW!$N$3:$N&amp;") "&amp;소재DB_RAW!$O$3:$O,(소재DB_RAW!$G$3:$G=$D216)*ISNUMBER(SEARCH("안감",소재DB_RAW!$M$3:$M))))),"")</f>
        <v/>
      </c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21" t="inlineStr">
        <is>
          <t>X</t>
        </is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",TRUE,UNIQUE(FILTER(소재DB_RAW!$K$3:$K,소재DB_RAW!$G$3:$G=$D217))),"")</f>
        <v/>
      </c>
      <c r="W217" s="20" t="inlineStr"/>
      <c r="X217" s="20">
        <f>IFERROR(TEXTJOIN(" / ",TRUE,UNIQUE(FILTER(소재DB_RAW!$N$3:$N,소재DB_RAW!$G$3:$G=$D217))),"")</f>
        <v/>
      </c>
      <c r="Y217" s="26">
        <f>IFERROR(TEXTJOIN(CHAR(10),TRUE,UNIQUE(FILTER(소재DB_RAW!$N$3:$N&amp;") "&amp;소재DB_RAW!$O$3:$O,(소재DB_RAW!$G$3:$G=$D217)*ISNUMBER(SEARCH("겉감",소재DB_RAW!$M$3:$M))))),"")</f>
        <v/>
      </c>
      <c r="Z217" s="26">
        <f>IFERROR(TEXTJOIN(CHAR(10),TRUE,UNIQUE(FILTER(소재DB_RAW!$N$3:$N&amp;") "&amp;소재DB_RAW!$O$3:$O,(소재DB_RAW!$G$3:$G=$D217)*ISNUMBER(SEARCH("안감",소재DB_RAW!$M$3:$M))))),"")</f>
        <v/>
      </c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21" t="inlineStr">
        <is>
          <t>X</t>
        </is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",TRUE,UNIQUE(FILTER(소재DB_RAW!$K$3:$K,소재DB_RAW!$G$3:$G=$D218))),"")</f>
        <v/>
      </c>
      <c r="W218" s="20" t="inlineStr">
        <is>
          <t>베트남</t>
        </is>
      </c>
      <c r="X218" s="20">
        <f>IFERROR(TEXTJOIN(" / ",TRUE,UNIQUE(FILTER(소재DB_RAW!$N$3:$N,소재DB_RAW!$G$3:$G=$D218))),"")</f>
        <v/>
      </c>
      <c r="Y218" s="26">
        <f>IFERROR(TEXTJOIN(CHAR(10),TRUE,UNIQUE(FILTER(소재DB_RAW!$N$3:$N&amp;") "&amp;소재DB_RAW!$O$3:$O,(소재DB_RAW!$G$3:$G=$D218)*ISNUMBER(SEARCH("겉감",소재DB_RAW!$M$3:$M))))),"")</f>
        <v/>
      </c>
      <c r="Z218" s="26">
        <f>IFERROR(TEXTJOIN(CHAR(10),TRUE,UNIQUE(FILTER(소재DB_RAW!$N$3:$N&amp;") "&amp;소재DB_RAW!$O$3:$O,(소재DB_RAW!$G$3:$G=$D218)*ISNUMBER(SEARCH("안감",소재DB_RAW!$M$3:$M))))),"")</f>
        <v/>
      </c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21" t="inlineStr">
        <is>
          <t>X</t>
        </is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",TRUE,UNIQUE(FILTER(소재DB_RAW!$K$3:$K,소재DB_RAW!$G$3:$G=$D219))),"")</f>
        <v/>
      </c>
      <c r="W219" s="20" t="inlineStr">
        <is>
          <t>베트남</t>
        </is>
      </c>
      <c r="X219" s="20">
        <f>IFERROR(TEXTJOIN(" / ",TRUE,UNIQUE(FILTER(소재DB_RAW!$N$3:$N,소재DB_RAW!$G$3:$G=$D219))),"")</f>
        <v/>
      </c>
      <c r="Y219" s="26">
        <f>IFERROR(TEXTJOIN(CHAR(10),TRUE,UNIQUE(FILTER(소재DB_RAW!$N$3:$N&amp;") "&amp;소재DB_RAW!$O$3:$O,(소재DB_RAW!$G$3:$G=$D219)*ISNUMBER(SEARCH("겉감",소재DB_RAW!$M$3:$M))))),"")</f>
        <v/>
      </c>
      <c r="Z219" s="26">
        <f>IFERROR(TEXTJOIN(CHAR(10),TRUE,UNIQUE(FILTER(소재DB_RAW!$N$3:$N&amp;") "&amp;소재DB_RAW!$O$3:$O,(소재DB_RAW!$G$3:$G=$D219)*ISNUMBER(SEARCH("안감",소재DB_RAW!$M$3:$M))))),"")</f>
        <v/>
      </c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21" t="inlineStr">
        <is>
          <t>X</t>
        </is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",TRUE,UNIQUE(FILTER(소재DB_RAW!$K$3:$K,소재DB_RAW!$G$3:$G=$D220))),"")</f>
        <v/>
      </c>
      <c r="W220" s="20" t="inlineStr">
        <is>
          <t>베트남</t>
        </is>
      </c>
      <c r="X220" s="20">
        <f>IFERROR(TEXTJOIN(" / ",TRUE,UNIQUE(FILTER(소재DB_RAW!$N$3:$N,소재DB_RAW!$G$3:$G=$D220))),"")</f>
        <v/>
      </c>
      <c r="Y220" s="26">
        <f>IFERROR(TEXTJOIN(CHAR(10),TRUE,UNIQUE(FILTER(소재DB_RAW!$N$3:$N&amp;") "&amp;소재DB_RAW!$O$3:$O,(소재DB_RAW!$G$3:$G=$D220)*ISNUMBER(SEARCH("겉감",소재DB_RAW!$M$3:$M))))),"")</f>
        <v/>
      </c>
      <c r="Z220" s="26">
        <f>IFERROR(TEXTJOIN(CHAR(10),TRUE,UNIQUE(FILTER(소재DB_RAW!$N$3:$N&amp;") "&amp;소재DB_RAW!$O$3:$O,(소재DB_RAW!$G$3:$G=$D220)*ISNUMBER(SEARCH("안감",소재DB_RAW!$M$3:$M))))),"")</f>
        <v/>
      </c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21" t="inlineStr">
        <is>
          <t>X</t>
        </is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",TRUE,UNIQUE(FILTER(소재DB_RAW!$K$3:$K,소재DB_RAW!$G$3:$G=$D221))),"")</f>
        <v/>
      </c>
      <c r="W221" s="20" t="inlineStr">
        <is>
          <t>베트남</t>
        </is>
      </c>
      <c r="X221" s="20">
        <f>IFERROR(TEXTJOIN(" / ",TRUE,UNIQUE(FILTER(소재DB_RAW!$N$3:$N,소재DB_RAW!$G$3:$G=$D221))),"")</f>
        <v/>
      </c>
      <c r="Y221" s="26">
        <f>IFERROR(TEXTJOIN(CHAR(10),TRUE,UNIQUE(FILTER(소재DB_RAW!$N$3:$N&amp;") "&amp;소재DB_RAW!$O$3:$O,(소재DB_RAW!$G$3:$G=$D221)*ISNUMBER(SEARCH("겉감",소재DB_RAW!$M$3:$M))))),"")</f>
        <v/>
      </c>
      <c r="Z221" s="26">
        <f>IFERROR(TEXTJOIN(CHAR(10),TRUE,UNIQUE(FILTER(소재DB_RAW!$N$3:$N&amp;") "&amp;소재DB_RAW!$O$3:$O,(소재DB_RAW!$G$3:$G=$D221)*ISNUMBER(SEARCH("안감",소재DB_RAW!$M$3:$M))))),"")</f>
        <v/>
      </c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21" t="inlineStr">
        <is>
          <t>X</t>
        </is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",TRUE,UNIQUE(FILTER(소재DB_RAW!$K$3:$K,소재DB_RAW!$G$3:$G=$D222))),"")</f>
        <v/>
      </c>
      <c r="W222" s="20" t="inlineStr">
        <is>
          <t>베트남</t>
        </is>
      </c>
      <c r="X222" s="20">
        <f>IFERROR(TEXTJOIN(" / ",TRUE,UNIQUE(FILTER(소재DB_RAW!$N$3:$N,소재DB_RAW!$G$3:$G=$D222))),"")</f>
        <v/>
      </c>
      <c r="Y222" s="26">
        <f>IFERROR(TEXTJOIN(CHAR(10),TRUE,UNIQUE(FILTER(소재DB_RAW!$N$3:$N&amp;") "&amp;소재DB_RAW!$O$3:$O,(소재DB_RAW!$G$3:$G=$D222)*ISNUMBER(SEARCH("겉감",소재DB_RAW!$M$3:$M))))),"")</f>
        <v/>
      </c>
      <c r="Z222" s="26">
        <f>IFERROR(TEXTJOIN(CHAR(10),TRUE,UNIQUE(FILTER(소재DB_RAW!$N$3:$N&amp;") "&amp;소재DB_RAW!$O$3:$O,(소재DB_RAW!$G$3:$G=$D222)*ISNUMBER(SEARCH("안감",소재DB_RAW!$M$3:$M))))),"")</f>
        <v/>
      </c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21" t="inlineStr">
        <is>
          <t>X</t>
        </is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",TRUE,UNIQUE(FILTER(소재DB_RAW!$K$3:$K,소재DB_RAW!$G$3:$G=$D223))),"")</f>
        <v/>
      </c>
      <c r="W223" s="20" t="inlineStr">
        <is>
          <t>베트남</t>
        </is>
      </c>
      <c r="X223" s="20">
        <f>IFERROR(TEXTJOIN(" / ",TRUE,UNIQUE(FILTER(소재DB_RAW!$N$3:$N,소재DB_RAW!$G$3:$G=$D223))),"")</f>
        <v/>
      </c>
      <c r="Y223" s="26">
        <f>IFERROR(TEXTJOIN(CHAR(10),TRUE,UNIQUE(FILTER(소재DB_RAW!$N$3:$N&amp;") "&amp;소재DB_RAW!$O$3:$O,(소재DB_RAW!$G$3:$G=$D223)*ISNUMBER(SEARCH("겉감",소재DB_RAW!$M$3:$M))))),"")</f>
        <v/>
      </c>
      <c r="Z223" s="26">
        <f>IFERROR(TEXTJOIN(CHAR(10),TRUE,UNIQUE(FILTER(소재DB_RAW!$N$3:$N&amp;") "&amp;소재DB_RAW!$O$3:$O,(소재DB_RAW!$G$3:$G=$D223)*ISNUMBER(SEARCH("안감",소재DB_RAW!$M$3:$M))))),"")</f>
        <v/>
      </c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21" t="inlineStr">
        <is>
          <t>X</t>
        </is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",TRUE,UNIQUE(FILTER(소재DB_RAW!$K$3:$K,소재DB_RAW!$G$3:$G=$D224))),"")</f>
        <v/>
      </c>
      <c r="W224" s="20" t="inlineStr">
        <is>
          <t>베트남</t>
        </is>
      </c>
      <c r="X224" s="20">
        <f>IFERROR(TEXTJOIN(" / ",TRUE,UNIQUE(FILTER(소재DB_RAW!$N$3:$N,소재DB_RAW!$G$3:$G=$D224))),"")</f>
        <v/>
      </c>
      <c r="Y224" s="26">
        <f>IFERROR(TEXTJOIN(CHAR(10),TRUE,UNIQUE(FILTER(소재DB_RAW!$N$3:$N&amp;") "&amp;소재DB_RAW!$O$3:$O,(소재DB_RAW!$G$3:$G=$D224)*ISNUMBER(SEARCH("겉감",소재DB_RAW!$M$3:$M))))),"")</f>
        <v/>
      </c>
      <c r="Z224" s="26">
        <f>IFERROR(TEXTJOIN(CHAR(10),TRUE,UNIQUE(FILTER(소재DB_RAW!$N$3:$N&amp;") "&amp;소재DB_RAW!$O$3:$O,(소재DB_RAW!$G$3:$G=$D224)*ISNUMBER(SEARCH("안감",소재DB_RAW!$M$3:$M))))),"")</f>
        <v/>
      </c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21" t="inlineStr">
        <is>
          <t>X</t>
        </is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",TRUE,UNIQUE(FILTER(소재DB_RAW!$K$3:$K,소재DB_RAW!$G$3:$G=$D225))),"")</f>
        <v/>
      </c>
      <c r="W225" s="20" t="inlineStr">
        <is>
          <t>베트남</t>
        </is>
      </c>
      <c r="X225" s="20">
        <f>IFERROR(TEXTJOIN(" / ",TRUE,UNIQUE(FILTER(소재DB_RAW!$N$3:$N,소재DB_RAW!$G$3:$G=$D225))),"")</f>
        <v/>
      </c>
      <c r="Y225" s="26">
        <f>IFERROR(TEXTJOIN(CHAR(10),TRUE,UNIQUE(FILTER(소재DB_RAW!$N$3:$N&amp;") "&amp;소재DB_RAW!$O$3:$O,(소재DB_RAW!$G$3:$G=$D225)*ISNUMBER(SEARCH("겉감",소재DB_RAW!$M$3:$M))))),"")</f>
        <v/>
      </c>
      <c r="Z225" s="26">
        <f>IFERROR(TEXTJOIN(CHAR(10),TRUE,UNIQUE(FILTER(소재DB_RAW!$N$3:$N&amp;") "&amp;소재DB_RAW!$O$3:$O,(소재DB_RAW!$G$3:$G=$D225)*ISNUMBER(SEARCH("안감",소재DB_RAW!$M$3:$M))))),"")</f>
        <v/>
      </c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21" t="inlineStr">
        <is>
          <t>X</t>
        </is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",TRUE,UNIQUE(FILTER(소재DB_RAW!$K$3:$K,소재DB_RAW!$G$3:$G=$D226))),"")</f>
        <v/>
      </c>
      <c r="W226" s="20" t="inlineStr">
        <is>
          <t>인도네시아</t>
        </is>
      </c>
      <c r="X226" s="20">
        <f>IFERROR(TEXTJOIN(" / ",TRUE,UNIQUE(FILTER(소재DB_RAW!$N$3:$N,소재DB_RAW!$G$3:$G=$D226))),"")</f>
        <v/>
      </c>
      <c r="Y226" s="26">
        <f>IFERROR(TEXTJOIN(CHAR(10),TRUE,UNIQUE(FILTER(소재DB_RAW!$N$3:$N&amp;") "&amp;소재DB_RAW!$O$3:$O,(소재DB_RAW!$G$3:$G=$D226)*ISNUMBER(SEARCH("겉감",소재DB_RAW!$M$3:$M))))),"")</f>
        <v/>
      </c>
      <c r="Z226" s="26">
        <f>IFERROR(TEXTJOIN(CHAR(10),TRUE,UNIQUE(FILTER(소재DB_RAW!$N$3:$N&amp;") "&amp;소재DB_RAW!$O$3:$O,(소재DB_RAW!$G$3:$G=$D226)*ISNUMBER(SEARCH("안감",소재DB_RAW!$M$3:$M))))),"")</f>
        <v/>
      </c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21" t="inlineStr">
        <is>
          <t>X</t>
        </is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",TRUE,UNIQUE(FILTER(소재DB_RAW!$K$3:$K,소재DB_RAW!$G$3:$G=$D227))),"")</f>
        <v/>
      </c>
      <c r="W227" s="20" t="inlineStr">
        <is>
          <t>베트남</t>
        </is>
      </c>
      <c r="X227" s="20">
        <f>IFERROR(TEXTJOIN(" / ",TRUE,UNIQUE(FILTER(소재DB_RAW!$N$3:$N,소재DB_RAW!$G$3:$G=$D227))),"")</f>
        <v/>
      </c>
      <c r="Y227" s="26">
        <f>IFERROR(TEXTJOIN(CHAR(10),TRUE,UNIQUE(FILTER(소재DB_RAW!$N$3:$N&amp;") "&amp;소재DB_RAW!$O$3:$O,(소재DB_RAW!$G$3:$G=$D227)*ISNUMBER(SEARCH("겉감",소재DB_RAW!$M$3:$M))))),"")</f>
        <v/>
      </c>
      <c r="Z227" s="26">
        <f>IFERROR(TEXTJOIN(CHAR(10),TRUE,UNIQUE(FILTER(소재DB_RAW!$N$3:$N&amp;") "&amp;소재DB_RAW!$O$3:$O,(소재DB_RAW!$G$3:$G=$D227)*ISNUMBER(SEARCH("안감",소재DB_RAW!$M$3:$M))))),"")</f>
        <v/>
      </c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21" t="inlineStr">
        <is>
          <t>X</t>
        </is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",TRUE,UNIQUE(FILTER(소재DB_RAW!$K$3:$K,소재DB_RAW!$G$3:$G=$D228))),"")</f>
        <v/>
      </c>
      <c r="W228" s="20" t="inlineStr">
        <is>
          <t>베트남</t>
        </is>
      </c>
      <c r="X228" s="20">
        <f>IFERROR(TEXTJOIN(" / ",TRUE,UNIQUE(FILTER(소재DB_RAW!$N$3:$N,소재DB_RAW!$G$3:$G=$D228))),"")</f>
        <v/>
      </c>
      <c r="Y228" s="26">
        <f>IFERROR(TEXTJOIN(CHAR(10),TRUE,UNIQUE(FILTER(소재DB_RAW!$N$3:$N&amp;") "&amp;소재DB_RAW!$O$3:$O,(소재DB_RAW!$G$3:$G=$D228)*ISNUMBER(SEARCH("겉감",소재DB_RAW!$M$3:$M))))),"")</f>
        <v/>
      </c>
      <c r="Z228" s="26">
        <f>IFERROR(TEXTJOIN(CHAR(10),TRUE,UNIQUE(FILTER(소재DB_RAW!$N$3:$N&amp;") "&amp;소재DB_RAW!$O$3:$O,(소재DB_RAW!$G$3:$G=$D228)*ISNUMBER(SEARCH("안감",소재DB_RAW!$M$3:$M))))),"")</f>
        <v/>
      </c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21" t="inlineStr">
        <is>
          <t>X</t>
        </is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",TRUE,UNIQUE(FILTER(소재DB_RAW!$K$3:$K,소재DB_RAW!$G$3:$G=$D229))),"")</f>
        <v/>
      </c>
      <c r="W229" s="20" t="inlineStr">
        <is>
          <t>베트남</t>
        </is>
      </c>
      <c r="X229" s="20">
        <f>IFERROR(TEXTJOIN(" / ",TRUE,UNIQUE(FILTER(소재DB_RAW!$N$3:$N,소재DB_RAW!$G$3:$G=$D229))),"")</f>
        <v/>
      </c>
      <c r="Y229" s="26">
        <f>IFERROR(TEXTJOIN(CHAR(10),TRUE,UNIQUE(FILTER(소재DB_RAW!$N$3:$N&amp;") "&amp;소재DB_RAW!$O$3:$O,(소재DB_RAW!$G$3:$G=$D229)*ISNUMBER(SEARCH("겉감",소재DB_RAW!$M$3:$M))))),"")</f>
        <v/>
      </c>
      <c r="Z229" s="26">
        <f>IFERROR(TEXTJOIN(CHAR(10),TRUE,UNIQUE(FILTER(소재DB_RAW!$N$3:$N&amp;") "&amp;소재DB_RAW!$O$3:$O,(소재DB_RAW!$G$3:$G=$D229)*ISNUMBER(SEARCH("안감",소재DB_RAW!$M$3:$M))))),"")</f>
        <v/>
      </c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21" t="inlineStr">
        <is>
          <t>X</t>
        </is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",TRUE,UNIQUE(FILTER(소재DB_RAW!$K$3:$K,소재DB_RAW!$G$3:$G=$D230))),"")</f>
        <v/>
      </c>
      <c r="W230" s="20" t="inlineStr">
        <is>
          <t>베트남</t>
        </is>
      </c>
      <c r="X230" s="20">
        <f>IFERROR(TEXTJOIN(" / ",TRUE,UNIQUE(FILTER(소재DB_RAW!$N$3:$N,소재DB_RAW!$G$3:$G=$D230))),"")</f>
        <v/>
      </c>
      <c r="Y230" s="26">
        <f>IFERROR(TEXTJOIN(CHAR(10),TRUE,UNIQUE(FILTER(소재DB_RAW!$N$3:$N&amp;") "&amp;소재DB_RAW!$O$3:$O,(소재DB_RAW!$G$3:$G=$D230)*ISNUMBER(SEARCH("겉감",소재DB_RAW!$M$3:$M))))),"")</f>
        <v/>
      </c>
      <c r="Z230" s="26">
        <f>IFERROR(TEXTJOIN(CHAR(10),TRUE,UNIQUE(FILTER(소재DB_RAW!$N$3:$N&amp;") "&amp;소재DB_RAW!$O$3:$O,(소재DB_RAW!$G$3:$G=$D230)*ISNUMBER(SEARCH("안감",소재DB_RAW!$M$3:$M))))),"")</f>
        <v/>
      </c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21" t="inlineStr">
        <is>
          <t>X</t>
        </is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",TRUE,UNIQUE(FILTER(소재DB_RAW!$K$3:$K,소재DB_RAW!$G$3:$G=$D231))),"")</f>
        <v/>
      </c>
      <c r="W231" s="20" t="inlineStr">
        <is>
          <t>베트남</t>
        </is>
      </c>
      <c r="X231" s="20">
        <f>IFERROR(TEXTJOIN(" / ",TRUE,UNIQUE(FILTER(소재DB_RAW!$N$3:$N,소재DB_RAW!$G$3:$G=$D231))),"")</f>
        <v/>
      </c>
      <c r="Y231" s="26">
        <f>IFERROR(TEXTJOIN(CHAR(10),TRUE,UNIQUE(FILTER(소재DB_RAW!$N$3:$N&amp;") "&amp;소재DB_RAW!$O$3:$O,(소재DB_RAW!$G$3:$G=$D231)*ISNUMBER(SEARCH("겉감",소재DB_RAW!$M$3:$M))))),"")</f>
        <v/>
      </c>
      <c r="Z231" s="26">
        <f>IFERROR(TEXTJOIN(CHAR(10),TRUE,UNIQUE(FILTER(소재DB_RAW!$N$3:$N&amp;") "&amp;소재DB_RAW!$O$3:$O,(소재DB_RAW!$G$3:$G=$D231)*ISNUMBER(SEARCH("안감",소재DB_RAW!$M$3:$M))))),"")</f>
        <v/>
      </c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21" t="inlineStr">
        <is>
          <t>X</t>
        </is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",TRUE,UNIQUE(FILTER(소재DB_RAW!$K$3:$K,소재DB_RAW!$G$3:$G=$D232))),"")</f>
        <v/>
      </c>
      <c r="W232" s="20" t="inlineStr">
        <is>
          <t>베트남</t>
        </is>
      </c>
      <c r="X232" s="20">
        <f>IFERROR(TEXTJOIN(" / ",TRUE,UNIQUE(FILTER(소재DB_RAW!$N$3:$N,소재DB_RAW!$G$3:$G=$D232))),"")</f>
        <v/>
      </c>
      <c r="Y232" s="26">
        <f>IFERROR(TEXTJOIN(CHAR(10),TRUE,UNIQUE(FILTER(소재DB_RAW!$N$3:$N&amp;") "&amp;소재DB_RAW!$O$3:$O,(소재DB_RAW!$G$3:$G=$D232)*ISNUMBER(SEARCH("겉감",소재DB_RAW!$M$3:$M))))),"")</f>
        <v/>
      </c>
      <c r="Z232" s="26">
        <f>IFERROR(TEXTJOIN(CHAR(10),TRUE,UNIQUE(FILTER(소재DB_RAW!$N$3:$N&amp;") "&amp;소재DB_RAW!$O$3:$O,(소재DB_RAW!$G$3:$G=$D232)*ISNUMBER(SEARCH("안감",소재DB_RAW!$M$3:$M))))),"")</f>
        <v/>
      </c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21" t="inlineStr">
        <is>
          <t>X</t>
        </is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",TRUE,UNIQUE(FILTER(소재DB_RAW!$K$3:$K,소재DB_RAW!$G$3:$G=$D233))),"")</f>
        <v/>
      </c>
      <c r="W233" s="20" t="inlineStr">
        <is>
          <t>베트남</t>
        </is>
      </c>
      <c r="X233" s="20">
        <f>IFERROR(TEXTJOIN(" / ",TRUE,UNIQUE(FILTER(소재DB_RAW!$N$3:$N,소재DB_RAW!$G$3:$G=$D233))),"")</f>
        <v/>
      </c>
      <c r="Y233" s="26">
        <f>IFERROR(TEXTJOIN(CHAR(10),TRUE,UNIQUE(FILTER(소재DB_RAW!$N$3:$N&amp;") "&amp;소재DB_RAW!$O$3:$O,(소재DB_RAW!$G$3:$G=$D233)*ISNUMBER(SEARCH("겉감",소재DB_RAW!$M$3:$M))))),"")</f>
        <v/>
      </c>
      <c r="Z233" s="26">
        <f>IFERROR(TEXTJOIN(CHAR(10),TRUE,UNIQUE(FILTER(소재DB_RAW!$N$3:$N&amp;") "&amp;소재DB_RAW!$O$3:$O,(소재DB_RAW!$G$3:$G=$D233)*ISNUMBER(SEARCH("안감",소재DB_RAW!$M$3:$M))))),"")</f>
        <v/>
      </c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21" t="inlineStr">
        <is>
          <t>X</t>
        </is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",TRUE,UNIQUE(FILTER(소재DB_RAW!$K$3:$K,소재DB_RAW!$G$3:$G=$D234))),"")</f>
        <v/>
      </c>
      <c r="W234" s="20" t="inlineStr">
        <is>
          <t>베트남</t>
        </is>
      </c>
      <c r="X234" s="20">
        <f>IFERROR(TEXTJOIN(" / ",TRUE,UNIQUE(FILTER(소재DB_RAW!$N$3:$N,소재DB_RAW!$G$3:$G=$D234))),"")</f>
        <v/>
      </c>
      <c r="Y234" s="26">
        <f>IFERROR(TEXTJOIN(CHAR(10),TRUE,UNIQUE(FILTER(소재DB_RAW!$N$3:$N&amp;") "&amp;소재DB_RAW!$O$3:$O,(소재DB_RAW!$G$3:$G=$D234)*ISNUMBER(SEARCH("겉감",소재DB_RAW!$M$3:$M))))),"")</f>
        <v/>
      </c>
      <c r="Z234" s="26">
        <f>IFERROR(TEXTJOIN(CHAR(10),TRUE,UNIQUE(FILTER(소재DB_RAW!$N$3:$N&amp;") "&amp;소재DB_RAW!$O$3:$O,(소재DB_RAW!$G$3:$G=$D234)*ISNUMBER(SEARCH("안감",소재DB_RAW!$M$3:$M))))),"")</f>
        <v/>
      </c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21" t="inlineStr">
        <is>
          <t>X</t>
        </is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",TRUE,UNIQUE(FILTER(소재DB_RAW!$K$3:$K,소재DB_RAW!$G$3:$G=$D235))),"")</f>
        <v/>
      </c>
      <c r="W235" s="20" t="inlineStr">
        <is>
          <t>베트남</t>
        </is>
      </c>
      <c r="X235" s="20">
        <f>IFERROR(TEXTJOIN(" / ",TRUE,UNIQUE(FILTER(소재DB_RAW!$N$3:$N,소재DB_RAW!$G$3:$G=$D235))),"")</f>
        <v/>
      </c>
      <c r="Y235" s="26">
        <f>IFERROR(TEXTJOIN(CHAR(10),TRUE,UNIQUE(FILTER(소재DB_RAW!$N$3:$N&amp;") "&amp;소재DB_RAW!$O$3:$O,(소재DB_RAW!$G$3:$G=$D235)*ISNUMBER(SEARCH("겉감",소재DB_RAW!$M$3:$M))))),"")</f>
        <v/>
      </c>
      <c r="Z235" s="26">
        <f>IFERROR(TEXTJOIN(CHAR(10),TRUE,UNIQUE(FILTER(소재DB_RAW!$N$3:$N&amp;") "&amp;소재DB_RAW!$O$3:$O,(소재DB_RAW!$G$3:$G=$D235)*ISNUMBER(SEARCH("안감",소재DB_RAW!$M$3:$M))))),"")</f>
        <v/>
      </c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21" t="inlineStr">
        <is>
          <t>X</t>
        </is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",TRUE,UNIQUE(FILTER(소재DB_RAW!$K$3:$K,소재DB_RAW!$G$3:$G=$D236))),"")</f>
        <v/>
      </c>
      <c r="W236" s="20" t="inlineStr">
        <is>
          <t>베트남</t>
        </is>
      </c>
      <c r="X236" s="20">
        <f>IFERROR(TEXTJOIN(" / ",TRUE,UNIQUE(FILTER(소재DB_RAW!$N$3:$N,소재DB_RAW!$G$3:$G=$D236))),"")</f>
        <v/>
      </c>
      <c r="Y236" s="26">
        <f>IFERROR(TEXTJOIN(CHAR(10),TRUE,UNIQUE(FILTER(소재DB_RAW!$N$3:$N&amp;") "&amp;소재DB_RAW!$O$3:$O,(소재DB_RAW!$G$3:$G=$D236)*ISNUMBER(SEARCH("겉감",소재DB_RAW!$M$3:$M))))),"")</f>
        <v/>
      </c>
      <c r="Z236" s="26">
        <f>IFERROR(TEXTJOIN(CHAR(10),TRUE,UNIQUE(FILTER(소재DB_RAW!$N$3:$N&amp;") "&amp;소재DB_RAW!$O$3:$O,(소재DB_RAW!$G$3:$G=$D236)*ISNUMBER(SEARCH("안감",소재DB_RAW!$M$3:$M))))),"")</f>
        <v/>
      </c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21" t="inlineStr">
        <is>
          <t>X</t>
        </is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",TRUE,UNIQUE(FILTER(소재DB_RAW!$K$3:$K,소재DB_RAW!$G$3:$G=$D237))),"")</f>
        <v/>
      </c>
      <c r="W237" s="20" t="inlineStr">
        <is>
          <t>국내</t>
        </is>
      </c>
      <c r="X237" s="20">
        <f>IFERROR(TEXTJOIN(" / ",TRUE,UNIQUE(FILTER(소재DB_RAW!$N$3:$N,소재DB_RAW!$G$3:$G=$D237))),"")</f>
        <v/>
      </c>
      <c r="Y237" s="26">
        <f>IFERROR(TEXTJOIN(CHAR(10),TRUE,UNIQUE(FILTER(소재DB_RAW!$N$3:$N&amp;") "&amp;소재DB_RAW!$O$3:$O,(소재DB_RAW!$G$3:$G=$D237)*ISNUMBER(SEARCH("겉감",소재DB_RAW!$M$3:$M))))),"")</f>
        <v/>
      </c>
      <c r="Z237" s="26">
        <f>IFERROR(TEXTJOIN(CHAR(10),TRUE,UNIQUE(FILTER(소재DB_RAW!$N$3:$N&amp;") "&amp;소재DB_RAW!$O$3:$O,(소재DB_RAW!$G$3:$G=$D237)*ISNUMBER(SEARCH("안감",소재DB_RAW!$M$3:$M))))),"")</f>
        <v/>
      </c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21" t="inlineStr">
        <is>
          <t>X</t>
        </is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",TRUE,UNIQUE(FILTER(소재DB_RAW!$K$3:$K,소재DB_RAW!$G$3:$G=$D238))),"")</f>
        <v/>
      </c>
      <c r="W238" s="20" t="inlineStr">
        <is>
          <t>국내</t>
        </is>
      </c>
      <c r="X238" s="20">
        <f>IFERROR(TEXTJOIN(" / ",TRUE,UNIQUE(FILTER(소재DB_RAW!$N$3:$N,소재DB_RAW!$G$3:$G=$D238))),"")</f>
        <v/>
      </c>
      <c r="Y238" s="26">
        <f>IFERROR(TEXTJOIN(CHAR(10),TRUE,UNIQUE(FILTER(소재DB_RAW!$N$3:$N&amp;") "&amp;소재DB_RAW!$O$3:$O,(소재DB_RAW!$G$3:$G=$D238)*ISNUMBER(SEARCH("겉감",소재DB_RAW!$M$3:$M))))),"")</f>
        <v/>
      </c>
      <c r="Z238" s="26">
        <f>IFERROR(TEXTJOIN(CHAR(10),TRUE,UNIQUE(FILTER(소재DB_RAW!$N$3:$N&amp;") "&amp;소재DB_RAW!$O$3:$O,(소재DB_RAW!$G$3:$G=$D238)*ISNUMBER(SEARCH("안감",소재DB_RAW!$M$3:$M))))),"")</f>
        <v/>
      </c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21" t="inlineStr">
        <is>
          <t>X</t>
        </is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",TRUE,UNIQUE(FILTER(소재DB_RAW!$K$3:$K,소재DB_RAW!$G$3:$G=$D239))),"")</f>
        <v/>
      </c>
      <c r="W239" s="20" t="inlineStr">
        <is>
          <t>국내</t>
        </is>
      </c>
      <c r="X239" s="20">
        <f>IFERROR(TEXTJOIN(" / ",TRUE,UNIQUE(FILTER(소재DB_RAW!$N$3:$N,소재DB_RAW!$G$3:$G=$D239))),"")</f>
        <v/>
      </c>
      <c r="Y239" s="26">
        <f>IFERROR(TEXTJOIN(CHAR(10),TRUE,UNIQUE(FILTER(소재DB_RAW!$N$3:$N&amp;") "&amp;소재DB_RAW!$O$3:$O,(소재DB_RAW!$G$3:$G=$D239)*ISNUMBER(SEARCH("겉감",소재DB_RAW!$M$3:$M))))),"")</f>
        <v/>
      </c>
      <c r="Z239" s="26">
        <f>IFERROR(TEXTJOIN(CHAR(10),TRUE,UNIQUE(FILTER(소재DB_RAW!$N$3:$N&amp;") "&amp;소재DB_RAW!$O$3:$O,(소재DB_RAW!$G$3:$G=$D239)*ISNUMBER(SEARCH("안감",소재DB_RAW!$M$3:$M))))),"")</f>
        <v/>
      </c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21" t="inlineStr">
        <is>
          <t>X</t>
        </is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",TRUE,UNIQUE(FILTER(소재DB_RAW!$K$3:$K,소재DB_RAW!$G$3:$G=$D240))),"")</f>
        <v/>
      </c>
      <c r="W240" s="20" t="inlineStr">
        <is>
          <t>국내</t>
        </is>
      </c>
      <c r="X240" s="20">
        <f>IFERROR(TEXTJOIN(" / ",TRUE,UNIQUE(FILTER(소재DB_RAW!$N$3:$N,소재DB_RAW!$G$3:$G=$D240))),"")</f>
        <v/>
      </c>
      <c r="Y240" s="26">
        <f>IFERROR(TEXTJOIN(CHAR(10),TRUE,UNIQUE(FILTER(소재DB_RAW!$N$3:$N&amp;") "&amp;소재DB_RAW!$O$3:$O,(소재DB_RAW!$G$3:$G=$D240)*ISNUMBER(SEARCH("겉감",소재DB_RAW!$M$3:$M))))),"")</f>
        <v/>
      </c>
      <c r="Z240" s="26">
        <f>IFERROR(TEXTJOIN(CHAR(10),TRUE,UNIQUE(FILTER(소재DB_RAW!$N$3:$N&amp;") "&amp;소재DB_RAW!$O$3:$O,(소재DB_RAW!$G$3:$G=$D240)*ISNUMBER(SEARCH("안감",소재DB_RAW!$M$3:$M))))),"")</f>
        <v/>
      </c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21" t="inlineStr">
        <is>
          <t>X</t>
        </is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",TRUE,UNIQUE(FILTER(소재DB_RAW!$K$3:$K,소재DB_RAW!$G$3:$G=$D241))),"")</f>
        <v/>
      </c>
      <c r="W241" s="20" t="inlineStr">
        <is>
          <t>국내</t>
        </is>
      </c>
      <c r="X241" s="20">
        <f>IFERROR(TEXTJOIN(" / ",TRUE,UNIQUE(FILTER(소재DB_RAW!$N$3:$N,소재DB_RAW!$G$3:$G=$D241))),"")</f>
        <v/>
      </c>
      <c r="Y241" s="26">
        <f>IFERROR(TEXTJOIN(CHAR(10),TRUE,UNIQUE(FILTER(소재DB_RAW!$N$3:$N&amp;") "&amp;소재DB_RAW!$O$3:$O,(소재DB_RAW!$G$3:$G=$D241)*ISNUMBER(SEARCH("겉감",소재DB_RAW!$M$3:$M))))),"")</f>
        <v/>
      </c>
      <c r="Z241" s="26">
        <f>IFERROR(TEXTJOIN(CHAR(10),TRUE,UNIQUE(FILTER(소재DB_RAW!$N$3:$N&amp;") "&amp;소재DB_RAW!$O$3:$O,(소재DB_RAW!$G$3:$G=$D241)*ISNUMBER(SEARCH("안감",소재DB_RAW!$M$3:$M))))),"")</f>
        <v/>
      </c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21" t="inlineStr">
        <is>
          <t>X</t>
        </is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",TRUE,UNIQUE(FILTER(소재DB_RAW!$K$3:$K,소재DB_RAW!$G$3:$G=$D242))),"")</f>
        <v/>
      </c>
      <c r="W242" s="20" t="inlineStr">
        <is>
          <t>국내</t>
        </is>
      </c>
      <c r="X242" s="20">
        <f>IFERROR(TEXTJOIN(" / ",TRUE,UNIQUE(FILTER(소재DB_RAW!$N$3:$N,소재DB_RAW!$G$3:$G=$D242))),"")</f>
        <v/>
      </c>
      <c r="Y242" s="26">
        <f>IFERROR(TEXTJOIN(CHAR(10),TRUE,UNIQUE(FILTER(소재DB_RAW!$N$3:$N&amp;") "&amp;소재DB_RAW!$O$3:$O,(소재DB_RAW!$G$3:$G=$D242)*ISNUMBER(SEARCH("겉감",소재DB_RAW!$M$3:$M))))),"")</f>
        <v/>
      </c>
      <c r="Z242" s="26">
        <f>IFERROR(TEXTJOIN(CHAR(10),TRUE,UNIQUE(FILTER(소재DB_RAW!$N$3:$N&amp;") "&amp;소재DB_RAW!$O$3:$O,(소재DB_RAW!$G$3:$G=$D242)*ISNUMBER(SEARCH("안감",소재DB_RAW!$M$3:$M))))),"")</f>
        <v/>
      </c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21" t="inlineStr">
        <is>
          <t>X</t>
        </is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",TRUE,UNIQUE(FILTER(소재DB_RAW!$K$3:$K,소재DB_RAW!$G$3:$G=$D243))),"")</f>
        <v/>
      </c>
      <c r="W243" s="20" t="inlineStr">
        <is>
          <t>베트남</t>
        </is>
      </c>
      <c r="X243" s="20">
        <f>IFERROR(TEXTJOIN(" / ",TRUE,UNIQUE(FILTER(소재DB_RAW!$N$3:$N,소재DB_RAW!$G$3:$G=$D243))),"")</f>
        <v/>
      </c>
      <c r="Y243" s="26">
        <f>IFERROR(TEXTJOIN(CHAR(10),TRUE,UNIQUE(FILTER(소재DB_RAW!$N$3:$N&amp;") "&amp;소재DB_RAW!$O$3:$O,(소재DB_RAW!$G$3:$G=$D243)*ISNUMBER(SEARCH("겉감",소재DB_RAW!$M$3:$M))))),"")</f>
        <v/>
      </c>
      <c r="Z243" s="26">
        <f>IFERROR(TEXTJOIN(CHAR(10),TRUE,UNIQUE(FILTER(소재DB_RAW!$N$3:$N&amp;") "&amp;소재DB_RAW!$O$3:$O,(소재DB_RAW!$G$3:$G=$D243)*ISNUMBER(SEARCH("안감",소재DB_RAW!$M$3:$M))))),"")</f>
        <v/>
      </c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21" t="n"/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",TRUE,UNIQUE(FILTER(소재DB_RAW!$K$3:$K,소재DB_RAW!$G$3:$G=$D244))),"")</f>
        <v/>
      </c>
      <c r="W244" s="20" t="inlineStr"/>
      <c r="X244" s="20">
        <f>IFERROR(TEXTJOIN(" / ",TRUE,UNIQUE(FILTER(소재DB_RAW!$N$3:$N,소재DB_RAW!$G$3:$G=$D244))),"")</f>
        <v/>
      </c>
      <c r="Y244" s="26">
        <f>IFERROR(TEXTJOIN(CHAR(10),TRUE,UNIQUE(FILTER(소재DB_RAW!$N$3:$N&amp;") "&amp;소재DB_RAW!$O$3:$O,(소재DB_RAW!$G$3:$G=$D244)*ISNUMBER(SEARCH("겉감",소재DB_RAW!$M$3:$M))))),"")</f>
        <v/>
      </c>
      <c r="Z244" s="26">
        <f>IFERROR(TEXTJOIN(CHAR(10),TRUE,UNIQUE(FILTER(소재DB_RAW!$N$3:$N&amp;") "&amp;소재DB_RAW!$O$3:$O,(소재DB_RAW!$G$3:$G=$D244)*ISNUMBER(SEARCH("안감",소재DB_RAW!$M$3:$M))))),"")</f>
        <v/>
      </c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21" t="inlineStr">
        <is>
          <t>X</t>
        </is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",TRUE,UNIQUE(FILTER(소재DB_RAW!$K$3:$K,소재DB_RAW!$G$3:$G=$D245))),"")</f>
        <v/>
      </c>
      <c r="W245" s="20" t="inlineStr">
        <is>
          <t>베트남</t>
        </is>
      </c>
      <c r="X245" s="20">
        <f>IFERROR(TEXTJOIN(" / ",TRUE,UNIQUE(FILTER(소재DB_RAW!$N$3:$N,소재DB_RAW!$G$3:$G=$D245))),"")</f>
        <v/>
      </c>
      <c r="Y245" s="26">
        <f>IFERROR(TEXTJOIN(CHAR(10),TRUE,UNIQUE(FILTER(소재DB_RAW!$N$3:$N&amp;") "&amp;소재DB_RAW!$O$3:$O,(소재DB_RAW!$G$3:$G=$D245)*ISNUMBER(SEARCH("겉감",소재DB_RAW!$M$3:$M))))),"")</f>
        <v/>
      </c>
      <c r="Z245" s="26">
        <f>IFERROR(TEXTJOIN(CHAR(10),TRUE,UNIQUE(FILTER(소재DB_RAW!$N$3:$N&amp;") "&amp;소재DB_RAW!$O$3:$O,(소재DB_RAW!$G$3:$G=$D245)*ISNUMBER(SEARCH("안감",소재DB_RAW!$M$3:$M))))),"")</f>
        <v/>
      </c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21" t="inlineStr">
        <is>
          <t>X</t>
        </is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",TRUE,UNIQUE(FILTER(소재DB_RAW!$K$3:$K,소재DB_RAW!$G$3:$G=$D246))),"")</f>
        <v/>
      </c>
      <c r="W246" s="20" t="inlineStr">
        <is>
          <t>베트남</t>
        </is>
      </c>
      <c r="X246" s="20">
        <f>IFERROR(TEXTJOIN(" / ",TRUE,UNIQUE(FILTER(소재DB_RAW!$N$3:$N,소재DB_RAW!$G$3:$G=$D246))),"")</f>
        <v/>
      </c>
      <c r="Y246" s="26">
        <f>IFERROR(TEXTJOIN(CHAR(10),TRUE,UNIQUE(FILTER(소재DB_RAW!$N$3:$N&amp;") "&amp;소재DB_RAW!$O$3:$O,(소재DB_RAW!$G$3:$G=$D246)*ISNUMBER(SEARCH("겉감",소재DB_RAW!$M$3:$M))))),"")</f>
        <v/>
      </c>
      <c r="Z246" s="26">
        <f>IFERROR(TEXTJOIN(CHAR(10),TRUE,UNIQUE(FILTER(소재DB_RAW!$N$3:$N&amp;") "&amp;소재DB_RAW!$O$3:$O,(소재DB_RAW!$G$3:$G=$D246)*ISNUMBER(SEARCH("안감",소재DB_RAW!$M$3:$M))))),"")</f>
        <v/>
      </c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21" t="n"/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",TRUE,UNIQUE(FILTER(소재DB_RAW!$K$3:$K,소재DB_RAW!$G$3:$G=$D247))),"")</f>
        <v/>
      </c>
      <c r="W247" s="20" t="inlineStr"/>
      <c r="X247" s="20">
        <f>IFERROR(TEXTJOIN(" / ",TRUE,UNIQUE(FILTER(소재DB_RAW!$N$3:$N,소재DB_RAW!$G$3:$G=$D247))),"")</f>
        <v/>
      </c>
      <c r="Y247" s="26">
        <f>IFERROR(TEXTJOIN(CHAR(10),TRUE,UNIQUE(FILTER(소재DB_RAW!$N$3:$N&amp;") "&amp;소재DB_RAW!$O$3:$O,(소재DB_RAW!$G$3:$G=$D247)*ISNUMBER(SEARCH("겉감",소재DB_RAW!$M$3:$M))))),"")</f>
        <v/>
      </c>
      <c r="Z247" s="26">
        <f>IFERROR(TEXTJOIN(CHAR(10),TRUE,UNIQUE(FILTER(소재DB_RAW!$N$3:$N&amp;") "&amp;소재DB_RAW!$O$3:$O,(소재DB_RAW!$G$3:$G=$D247)*ISNUMBER(SEARCH("안감",소재DB_RAW!$M$3:$M))))),"")</f>
        <v/>
      </c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21" t="n"/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",TRUE,UNIQUE(FILTER(소재DB_RAW!$K$3:$K,소재DB_RAW!$G$3:$G=$D248))),"")</f>
        <v/>
      </c>
      <c r="W248" s="20" t="inlineStr"/>
      <c r="X248" s="20">
        <f>IFERROR(TEXTJOIN(" / ",TRUE,UNIQUE(FILTER(소재DB_RAW!$N$3:$N,소재DB_RAW!$G$3:$G=$D248))),"")</f>
        <v/>
      </c>
      <c r="Y248" s="26">
        <f>IFERROR(TEXTJOIN(CHAR(10),TRUE,UNIQUE(FILTER(소재DB_RAW!$N$3:$N&amp;") "&amp;소재DB_RAW!$O$3:$O,(소재DB_RAW!$G$3:$G=$D248)*ISNUMBER(SEARCH("겉감",소재DB_RAW!$M$3:$M))))),"")</f>
        <v/>
      </c>
      <c r="Z248" s="26">
        <f>IFERROR(TEXTJOIN(CHAR(10),TRUE,UNIQUE(FILTER(소재DB_RAW!$N$3:$N&amp;") "&amp;소재DB_RAW!$O$3:$O,(소재DB_RAW!$G$3:$G=$D248)*ISNUMBER(SEARCH("안감",소재DB_RAW!$M$3:$M))))),"")</f>
        <v/>
      </c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21" t="inlineStr">
        <is>
          <t>X</t>
        </is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",TRUE,UNIQUE(FILTER(소재DB_RAW!$K$3:$K,소재DB_RAW!$G$3:$G=$D249))),"")</f>
        <v/>
      </c>
      <c r="W249" s="20" t="inlineStr">
        <is>
          <t>베트남</t>
        </is>
      </c>
      <c r="X249" s="20">
        <f>IFERROR(TEXTJOIN(" / ",TRUE,UNIQUE(FILTER(소재DB_RAW!$N$3:$N,소재DB_RAW!$G$3:$G=$D249))),"")</f>
        <v/>
      </c>
      <c r="Y249" s="26">
        <f>IFERROR(TEXTJOIN(CHAR(10),TRUE,UNIQUE(FILTER(소재DB_RAW!$N$3:$N&amp;") "&amp;소재DB_RAW!$O$3:$O,(소재DB_RAW!$G$3:$G=$D249)*ISNUMBER(SEARCH("겉감",소재DB_RAW!$M$3:$M))))),"")</f>
        <v/>
      </c>
      <c r="Z249" s="26">
        <f>IFERROR(TEXTJOIN(CHAR(10),TRUE,UNIQUE(FILTER(소재DB_RAW!$N$3:$N&amp;") "&amp;소재DB_RAW!$O$3:$O,(소재DB_RAW!$G$3:$G=$D249)*ISNUMBER(SEARCH("안감",소재DB_RAW!$M$3:$M))))),"")</f>
        <v/>
      </c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21" t="inlineStr">
        <is>
          <t>X</t>
        </is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",TRUE,UNIQUE(FILTER(소재DB_RAW!$K$3:$K,소재DB_RAW!$G$3:$G=$D250))),"")</f>
        <v/>
      </c>
      <c r="W250" s="20" t="inlineStr">
        <is>
          <t>베트남</t>
        </is>
      </c>
      <c r="X250" s="20">
        <f>IFERROR(TEXTJOIN(" / ",TRUE,UNIQUE(FILTER(소재DB_RAW!$N$3:$N,소재DB_RAW!$G$3:$G=$D250))),"")</f>
        <v/>
      </c>
      <c r="Y250" s="26">
        <f>IFERROR(TEXTJOIN(CHAR(10),TRUE,UNIQUE(FILTER(소재DB_RAW!$N$3:$N&amp;") "&amp;소재DB_RAW!$O$3:$O,(소재DB_RAW!$G$3:$G=$D250)*ISNUMBER(SEARCH("겉감",소재DB_RAW!$M$3:$M))))),"")</f>
        <v/>
      </c>
      <c r="Z250" s="26">
        <f>IFERROR(TEXTJOIN(CHAR(10),TRUE,UNIQUE(FILTER(소재DB_RAW!$N$3:$N&amp;") "&amp;소재DB_RAW!$O$3:$O,(소재DB_RAW!$G$3:$G=$D250)*ISNUMBER(SEARCH("안감",소재DB_RAW!$M$3:$M))))),"")</f>
        <v/>
      </c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21" t="inlineStr">
        <is>
          <t>X</t>
        </is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",TRUE,UNIQUE(FILTER(소재DB_RAW!$K$3:$K,소재DB_RAW!$G$3:$G=$D251))),"")</f>
        <v/>
      </c>
      <c r="W251" s="20" t="inlineStr">
        <is>
          <t>베트남</t>
        </is>
      </c>
      <c r="X251" s="20">
        <f>IFERROR(TEXTJOIN(" / ",TRUE,UNIQUE(FILTER(소재DB_RAW!$N$3:$N,소재DB_RAW!$G$3:$G=$D251))),"")</f>
        <v/>
      </c>
      <c r="Y251" s="26">
        <f>IFERROR(TEXTJOIN(CHAR(10),TRUE,UNIQUE(FILTER(소재DB_RAW!$N$3:$N&amp;") "&amp;소재DB_RAW!$O$3:$O,(소재DB_RAW!$G$3:$G=$D251)*ISNUMBER(SEARCH("겉감",소재DB_RAW!$M$3:$M))))),"")</f>
        <v/>
      </c>
      <c r="Z251" s="26">
        <f>IFERROR(TEXTJOIN(CHAR(10),TRUE,UNIQUE(FILTER(소재DB_RAW!$N$3:$N&amp;") "&amp;소재DB_RAW!$O$3:$O,(소재DB_RAW!$G$3:$G=$D251)*ISNUMBER(SEARCH("안감",소재DB_RAW!$M$3:$M))))),"")</f>
        <v/>
      </c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21" t="inlineStr">
        <is>
          <t>X</t>
        </is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",TRUE,UNIQUE(FILTER(소재DB_RAW!$K$3:$K,소재DB_RAW!$G$3:$G=$D252))),"")</f>
        <v/>
      </c>
      <c r="W252" s="20" t="inlineStr">
        <is>
          <t>베트남</t>
        </is>
      </c>
      <c r="X252" s="20">
        <f>IFERROR(TEXTJOIN(" / ",TRUE,UNIQUE(FILTER(소재DB_RAW!$N$3:$N,소재DB_RAW!$G$3:$G=$D252))),"")</f>
        <v/>
      </c>
      <c r="Y252" s="26">
        <f>IFERROR(TEXTJOIN(CHAR(10),TRUE,UNIQUE(FILTER(소재DB_RAW!$N$3:$N&amp;") "&amp;소재DB_RAW!$O$3:$O,(소재DB_RAW!$G$3:$G=$D252)*ISNUMBER(SEARCH("겉감",소재DB_RAW!$M$3:$M))))),"")</f>
        <v/>
      </c>
      <c r="Z252" s="26">
        <f>IFERROR(TEXTJOIN(CHAR(10),TRUE,UNIQUE(FILTER(소재DB_RAW!$N$3:$N&amp;") "&amp;소재DB_RAW!$O$3:$O,(소재DB_RAW!$G$3:$G=$D252)*ISNUMBER(SEARCH("안감",소재DB_RAW!$M$3:$M))))),"")</f>
        <v/>
      </c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21" t="inlineStr">
        <is>
          <t>X</t>
        </is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",TRUE,UNIQUE(FILTER(소재DB_RAW!$K$3:$K,소재DB_RAW!$G$3:$G=$D253))),"")</f>
        <v/>
      </c>
      <c r="W253" s="20" t="inlineStr">
        <is>
          <t>베트남</t>
        </is>
      </c>
      <c r="X253" s="20">
        <f>IFERROR(TEXTJOIN(" / ",TRUE,UNIQUE(FILTER(소재DB_RAW!$N$3:$N,소재DB_RAW!$G$3:$G=$D253))),"")</f>
        <v/>
      </c>
      <c r="Y253" s="26">
        <f>IFERROR(TEXTJOIN(CHAR(10),TRUE,UNIQUE(FILTER(소재DB_RAW!$N$3:$N&amp;") "&amp;소재DB_RAW!$O$3:$O,(소재DB_RAW!$G$3:$G=$D253)*ISNUMBER(SEARCH("겉감",소재DB_RAW!$M$3:$M))))),"")</f>
        <v/>
      </c>
      <c r="Z253" s="26">
        <f>IFERROR(TEXTJOIN(CHAR(10),TRUE,UNIQUE(FILTER(소재DB_RAW!$N$3:$N&amp;") "&amp;소재DB_RAW!$O$3:$O,(소재DB_RAW!$G$3:$G=$D253)*ISNUMBER(SEARCH("안감",소재DB_RAW!$M$3:$M))))),"")</f>
        <v/>
      </c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21" t="inlineStr">
        <is>
          <t>X</t>
        </is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",TRUE,UNIQUE(FILTER(소재DB_RAW!$K$3:$K,소재DB_RAW!$G$3:$G=$D254))),"")</f>
        <v/>
      </c>
      <c r="W254" s="20" t="inlineStr">
        <is>
          <t>베트남</t>
        </is>
      </c>
      <c r="X254" s="20">
        <f>IFERROR(TEXTJOIN(" / ",TRUE,UNIQUE(FILTER(소재DB_RAW!$N$3:$N,소재DB_RAW!$G$3:$G=$D254))),"")</f>
        <v/>
      </c>
      <c r="Y254" s="26">
        <f>IFERROR(TEXTJOIN(CHAR(10),TRUE,UNIQUE(FILTER(소재DB_RAW!$N$3:$N&amp;") "&amp;소재DB_RAW!$O$3:$O,(소재DB_RAW!$G$3:$G=$D254)*ISNUMBER(SEARCH("겉감",소재DB_RAW!$M$3:$M))))),"")</f>
        <v/>
      </c>
      <c r="Z254" s="26">
        <f>IFERROR(TEXTJOIN(CHAR(10),TRUE,UNIQUE(FILTER(소재DB_RAW!$N$3:$N&amp;") "&amp;소재DB_RAW!$O$3:$O,(소재DB_RAW!$G$3:$G=$D254)*ISNUMBER(SEARCH("안감",소재DB_RAW!$M$3:$M))))),"")</f>
        <v/>
      </c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21" t="inlineStr">
        <is>
          <t>X</t>
        </is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",TRUE,UNIQUE(FILTER(소재DB_RAW!$K$3:$K,소재DB_RAW!$G$3:$G=$D255))),"")</f>
        <v/>
      </c>
      <c r="W255" s="20" t="inlineStr">
        <is>
          <t>베트남</t>
        </is>
      </c>
      <c r="X255" s="20">
        <f>IFERROR(TEXTJOIN(" / ",TRUE,UNIQUE(FILTER(소재DB_RAW!$N$3:$N,소재DB_RAW!$G$3:$G=$D255))),"")</f>
        <v/>
      </c>
      <c r="Y255" s="26">
        <f>IFERROR(TEXTJOIN(CHAR(10),TRUE,UNIQUE(FILTER(소재DB_RAW!$N$3:$N&amp;") "&amp;소재DB_RAW!$O$3:$O,(소재DB_RAW!$G$3:$G=$D255)*ISNUMBER(SEARCH("겉감",소재DB_RAW!$M$3:$M))))),"")</f>
        <v/>
      </c>
      <c r="Z255" s="26">
        <f>IFERROR(TEXTJOIN(CHAR(10),TRUE,UNIQUE(FILTER(소재DB_RAW!$N$3:$N&amp;") "&amp;소재DB_RAW!$O$3:$O,(소재DB_RAW!$G$3:$G=$D255)*ISNUMBER(SEARCH("안감",소재DB_RAW!$M$3:$M))))),"")</f>
        <v/>
      </c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21" t="n"/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",TRUE,UNIQUE(FILTER(소재DB_RAW!$K$3:$K,소재DB_RAW!$G$3:$G=$D256))),"")</f>
        <v/>
      </c>
      <c r="W256" s="20" t="inlineStr"/>
      <c r="X256" s="20">
        <f>IFERROR(TEXTJOIN(" / ",TRUE,UNIQUE(FILTER(소재DB_RAW!$N$3:$N,소재DB_RAW!$G$3:$G=$D256))),"")</f>
        <v/>
      </c>
      <c r="Y256" s="26">
        <f>IFERROR(TEXTJOIN(CHAR(10),TRUE,UNIQUE(FILTER(소재DB_RAW!$N$3:$N&amp;") "&amp;소재DB_RAW!$O$3:$O,(소재DB_RAW!$G$3:$G=$D256)*ISNUMBER(SEARCH("겉감",소재DB_RAW!$M$3:$M))))),"")</f>
        <v/>
      </c>
      <c r="Z256" s="26">
        <f>IFERROR(TEXTJOIN(CHAR(10),TRUE,UNIQUE(FILTER(소재DB_RAW!$N$3:$N&amp;") "&amp;소재DB_RAW!$O$3:$O,(소재DB_RAW!$G$3:$G=$D256)*ISNUMBER(SEARCH("안감",소재DB_RAW!$M$3:$M))))),"")</f>
        <v/>
      </c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21" t="n"/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",TRUE,UNIQUE(FILTER(소재DB_RAW!$K$3:$K,소재DB_RAW!$G$3:$G=$D257))),"")</f>
        <v/>
      </c>
      <c r="W257" s="20" t="inlineStr"/>
      <c r="X257" s="20">
        <f>IFERROR(TEXTJOIN(" / ",TRUE,UNIQUE(FILTER(소재DB_RAW!$N$3:$N,소재DB_RAW!$G$3:$G=$D257))),"")</f>
        <v/>
      </c>
      <c r="Y257" s="26">
        <f>IFERROR(TEXTJOIN(CHAR(10),TRUE,UNIQUE(FILTER(소재DB_RAW!$N$3:$N&amp;") "&amp;소재DB_RAW!$O$3:$O,(소재DB_RAW!$G$3:$G=$D257)*ISNUMBER(SEARCH("겉감",소재DB_RAW!$M$3:$M))))),"")</f>
        <v/>
      </c>
      <c r="Z257" s="26">
        <f>IFERROR(TEXTJOIN(CHAR(10),TRUE,UNIQUE(FILTER(소재DB_RAW!$N$3:$N&amp;") "&amp;소재DB_RAW!$O$3:$O,(소재DB_RAW!$G$3:$G=$D257)*ISNUMBER(SEARCH("안감",소재DB_RAW!$M$3:$M))))),"")</f>
        <v/>
      </c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21" t="inlineStr">
        <is>
          <t>X</t>
        </is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",TRUE,UNIQUE(FILTER(소재DB_RAW!$K$3:$K,소재DB_RAW!$G$3:$G=$D258))),"")</f>
        <v/>
      </c>
      <c r="W258" s="20" t="inlineStr">
        <is>
          <t>베트남</t>
        </is>
      </c>
      <c r="X258" s="20">
        <f>IFERROR(TEXTJOIN(" / ",TRUE,UNIQUE(FILTER(소재DB_RAW!$N$3:$N,소재DB_RAW!$G$3:$G=$D258))),"")</f>
        <v/>
      </c>
      <c r="Y258" s="26">
        <f>IFERROR(TEXTJOIN(CHAR(10),TRUE,UNIQUE(FILTER(소재DB_RAW!$N$3:$N&amp;") "&amp;소재DB_RAW!$O$3:$O,(소재DB_RAW!$G$3:$G=$D258)*ISNUMBER(SEARCH("겉감",소재DB_RAW!$M$3:$M))))),"")</f>
        <v/>
      </c>
      <c r="Z258" s="26">
        <f>IFERROR(TEXTJOIN(CHAR(10),TRUE,UNIQUE(FILTER(소재DB_RAW!$N$3:$N&amp;") "&amp;소재DB_RAW!$O$3:$O,(소재DB_RAW!$G$3:$G=$D258)*ISNUMBER(SEARCH("안감",소재DB_RAW!$M$3:$M))))),"")</f>
        <v/>
      </c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21" t="inlineStr">
        <is>
          <t>X</t>
        </is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",TRUE,UNIQUE(FILTER(소재DB_RAW!$K$3:$K,소재DB_RAW!$G$3:$G=$D259))),"")</f>
        <v/>
      </c>
      <c r="W259" s="20" t="inlineStr">
        <is>
          <t>인도네시아</t>
        </is>
      </c>
      <c r="X259" s="20">
        <f>IFERROR(TEXTJOIN(" / ",TRUE,UNIQUE(FILTER(소재DB_RAW!$N$3:$N,소재DB_RAW!$G$3:$G=$D259))),"")</f>
        <v/>
      </c>
      <c r="Y259" s="26">
        <f>IFERROR(TEXTJOIN(CHAR(10),TRUE,UNIQUE(FILTER(소재DB_RAW!$N$3:$N&amp;") "&amp;소재DB_RAW!$O$3:$O,(소재DB_RAW!$G$3:$G=$D259)*ISNUMBER(SEARCH("겉감",소재DB_RAW!$M$3:$M))))),"")</f>
        <v/>
      </c>
      <c r="Z259" s="26">
        <f>IFERROR(TEXTJOIN(CHAR(10),TRUE,UNIQUE(FILTER(소재DB_RAW!$N$3:$N&amp;") "&amp;소재DB_RAW!$O$3:$O,(소재DB_RAW!$G$3:$G=$D259)*ISNUMBER(SEARCH("안감",소재DB_RAW!$M$3:$M))))),"")</f>
        <v/>
      </c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21" t="inlineStr">
        <is>
          <t>X</t>
        </is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",TRUE,UNIQUE(FILTER(소재DB_RAW!$K$3:$K,소재DB_RAW!$G$3:$G=$D260))),"")</f>
        <v/>
      </c>
      <c r="W260" s="20" t="inlineStr">
        <is>
          <t>베트남</t>
        </is>
      </c>
      <c r="X260" s="20">
        <f>IFERROR(TEXTJOIN(" / ",TRUE,UNIQUE(FILTER(소재DB_RAW!$N$3:$N,소재DB_RAW!$G$3:$G=$D260))),"")</f>
        <v/>
      </c>
      <c r="Y260" s="26">
        <f>IFERROR(TEXTJOIN(CHAR(10),TRUE,UNIQUE(FILTER(소재DB_RAW!$N$3:$N&amp;") "&amp;소재DB_RAW!$O$3:$O,(소재DB_RAW!$G$3:$G=$D260)*ISNUMBER(SEARCH("겉감",소재DB_RAW!$M$3:$M))))),"")</f>
        <v/>
      </c>
      <c r="Z260" s="26">
        <f>IFERROR(TEXTJOIN(CHAR(10),TRUE,UNIQUE(FILTER(소재DB_RAW!$N$3:$N&amp;") "&amp;소재DB_RAW!$O$3:$O,(소재DB_RAW!$G$3:$G=$D260)*ISNUMBER(SEARCH("안감",소재DB_RAW!$M$3:$M))))),"")</f>
        <v/>
      </c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21" t="inlineStr">
        <is>
          <t>X</t>
        </is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",TRUE,UNIQUE(FILTER(소재DB_RAW!$K$3:$K,소재DB_RAW!$G$3:$G=$D261))),"")</f>
        <v/>
      </c>
      <c r="W261" s="20" t="inlineStr">
        <is>
          <t>베트남</t>
        </is>
      </c>
      <c r="X261" s="20">
        <f>IFERROR(TEXTJOIN(" / ",TRUE,UNIQUE(FILTER(소재DB_RAW!$N$3:$N,소재DB_RAW!$G$3:$G=$D261))),"")</f>
        <v/>
      </c>
      <c r="Y261" s="26">
        <f>IFERROR(TEXTJOIN(CHAR(10),TRUE,UNIQUE(FILTER(소재DB_RAW!$N$3:$N&amp;") "&amp;소재DB_RAW!$O$3:$O,(소재DB_RAW!$G$3:$G=$D261)*ISNUMBER(SEARCH("겉감",소재DB_RAW!$M$3:$M))))),"")</f>
        <v/>
      </c>
      <c r="Z261" s="26">
        <f>IFERROR(TEXTJOIN(CHAR(10),TRUE,UNIQUE(FILTER(소재DB_RAW!$N$3:$N&amp;") "&amp;소재DB_RAW!$O$3:$O,(소재DB_RAW!$G$3:$G=$D261)*ISNUMBER(SEARCH("안감",소재DB_RAW!$M$3:$M))))),"")</f>
        <v/>
      </c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21" t="inlineStr">
        <is>
          <t>X</t>
        </is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",TRUE,UNIQUE(FILTER(소재DB_RAW!$K$3:$K,소재DB_RAW!$G$3:$G=$D262))),"")</f>
        <v/>
      </c>
      <c r="W262" s="20" t="inlineStr">
        <is>
          <t>베트남</t>
        </is>
      </c>
      <c r="X262" s="20">
        <f>IFERROR(TEXTJOIN(" / ",TRUE,UNIQUE(FILTER(소재DB_RAW!$N$3:$N,소재DB_RAW!$G$3:$G=$D262))),"")</f>
        <v/>
      </c>
      <c r="Y262" s="26">
        <f>IFERROR(TEXTJOIN(CHAR(10),TRUE,UNIQUE(FILTER(소재DB_RAW!$N$3:$N&amp;") "&amp;소재DB_RAW!$O$3:$O,(소재DB_RAW!$G$3:$G=$D262)*ISNUMBER(SEARCH("겉감",소재DB_RAW!$M$3:$M))))),"")</f>
        <v/>
      </c>
      <c r="Z262" s="26">
        <f>IFERROR(TEXTJOIN(CHAR(10),TRUE,UNIQUE(FILTER(소재DB_RAW!$N$3:$N&amp;") "&amp;소재DB_RAW!$O$3:$O,(소재DB_RAW!$G$3:$G=$D262)*ISNUMBER(SEARCH("안감",소재DB_RAW!$M$3:$M))))),"")</f>
        <v/>
      </c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21" t="inlineStr">
        <is>
          <t>X</t>
        </is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",TRUE,UNIQUE(FILTER(소재DB_RAW!$K$3:$K,소재DB_RAW!$G$3:$G=$D263))),"")</f>
        <v/>
      </c>
      <c r="W263" s="20" t="inlineStr">
        <is>
          <t>베트남</t>
        </is>
      </c>
      <c r="X263" s="20">
        <f>IFERROR(TEXTJOIN(" / ",TRUE,UNIQUE(FILTER(소재DB_RAW!$N$3:$N,소재DB_RAW!$G$3:$G=$D263))),"")</f>
        <v/>
      </c>
      <c r="Y263" s="26">
        <f>IFERROR(TEXTJOIN(CHAR(10),TRUE,UNIQUE(FILTER(소재DB_RAW!$N$3:$N&amp;") "&amp;소재DB_RAW!$O$3:$O,(소재DB_RAW!$G$3:$G=$D263)*ISNUMBER(SEARCH("겉감",소재DB_RAW!$M$3:$M))))),"")</f>
        <v/>
      </c>
      <c r="Z263" s="26">
        <f>IFERROR(TEXTJOIN(CHAR(10),TRUE,UNIQUE(FILTER(소재DB_RAW!$N$3:$N&amp;") "&amp;소재DB_RAW!$O$3:$O,(소재DB_RAW!$G$3:$G=$D263)*ISNUMBER(SEARCH("안감",소재DB_RAW!$M$3:$M))))),"")</f>
        <v/>
      </c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21" t="inlineStr">
        <is>
          <t>X</t>
        </is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",TRUE,UNIQUE(FILTER(소재DB_RAW!$K$3:$K,소재DB_RAW!$G$3:$G=$D264))),"")</f>
        <v/>
      </c>
      <c r="W264" s="20" t="inlineStr">
        <is>
          <t>베트남</t>
        </is>
      </c>
      <c r="X264" s="20">
        <f>IFERROR(TEXTJOIN(" / ",TRUE,UNIQUE(FILTER(소재DB_RAW!$N$3:$N,소재DB_RAW!$G$3:$G=$D264))),"")</f>
        <v/>
      </c>
      <c r="Y264" s="26">
        <f>IFERROR(TEXTJOIN(CHAR(10),TRUE,UNIQUE(FILTER(소재DB_RAW!$N$3:$N&amp;") "&amp;소재DB_RAW!$O$3:$O,(소재DB_RAW!$G$3:$G=$D264)*ISNUMBER(SEARCH("겉감",소재DB_RAW!$M$3:$M))))),"")</f>
        <v/>
      </c>
      <c r="Z264" s="26">
        <f>IFERROR(TEXTJOIN(CHAR(10),TRUE,UNIQUE(FILTER(소재DB_RAW!$N$3:$N&amp;") "&amp;소재DB_RAW!$O$3:$O,(소재DB_RAW!$G$3:$G=$D264)*ISNUMBER(SEARCH("안감",소재DB_RAW!$M$3:$M))))),"")</f>
        <v/>
      </c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21" t="inlineStr">
        <is>
          <t>X</t>
        </is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",TRUE,UNIQUE(FILTER(소재DB_RAW!$K$3:$K,소재DB_RAW!$G$3:$G=$D265))),"")</f>
        <v/>
      </c>
      <c r="W265" s="20" t="inlineStr">
        <is>
          <t>베트남</t>
        </is>
      </c>
      <c r="X265" s="20">
        <f>IFERROR(TEXTJOIN(" / ",TRUE,UNIQUE(FILTER(소재DB_RAW!$N$3:$N,소재DB_RAW!$G$3:$G=$D265))),"")</f>
        <v/>
      </c>
      <c r="Y265" s="26">
        <f>IFERROR(TEXTJOIN(CHAR(10),TRUE,UNIQUE(FILTER(소재DB_RAW!$N$3:$N&amp;") "&amp;소재DB_RAW!$O$3:$O,(소재DB_RAW!$G$3:$G=$D265)*ISNUMBER(SEARCH("겉감",소재DB_RAW!$M$3:$M))))),"")</f>
        <v/>
      </c>
      <c r="Z265" s="26">
        <f>IFERROR(TEXTJOIN(CHAR(10),TRUE,UNIQUE(FILTER(소재DB_RAW!$N$3:$N&amp;") "&amp;소재DB_RAW!$O$3:$O,(소재DB_RAW!$G$3:$G=$D265)*ISNUMBER(SEARCH("안감",소재DB_RAW!$M$3:$M))))),"")</f>
        <v/>
      </c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21" t="inlineStr">
        <is>
          <t>X</t>
        </is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",TRUE,UNIQUE(FILTER(소재DB_RAW!$K$3:$K,소재DB_RAW!$G$3:$G=$D266))),"")</f>
        <v/>
      </c>
      <c r="W266" s="20" t="inlineStr">
        <is>
          <t>베트남</t>
        </is>
      </c>
      <c r="X266" s="20">
        <f>IFERROR(TEXTJOIN(" / ",TRUE,UNIQUE(FILTER(소재DB_RAW!$N$3:$N,소재DB_RAW!$G$3:$G=$D266))),"")</f>
        <v/>
      </c>
      <c r="Y266" s="26">
        <f>IFERROR(TEXTJOIN(CHAR(10),TRUE,UNIQUE(FILTER(소재DB_RAW!$N$3:$N&amp;") "&amp;소재DB_RAW!$O$3:$O,(소재DB_RAW!$G$3:$G=$D266)*ISNUMBER(SEARCH("겉감",소재DB_RAW!$M$3:$M))))),"")</f>
        <v/>
      </c>
      <c r="Z266" s="26">
        <f>IFERROR(TEXTJOIN(CHAR(10),TRUE,UNIQUE(FILTER(소재DB_RAW!$N$3:$N&amp;") "&amp;소재DB_RAW!$O$3:$O,(소재DB_RAW!$G$3:$G=$D266)*ISNUMBER(SEARCH("안감",소재DB_RAW!$M$3:$M))))),"")</f>
        <v/>
      </c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21" t="inlineStr">
        <is>
          <t>X</t>
        </is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",TRUE,UNIQUE(FILTER(소재DB_RAW!$K$3:$K,소재DB_RAW!$G$3:$G=$D267))),"")</f>
        <v/>
      </c>
      <c r="W267" s="20" t="inlineStr">
        <is>
          <t>베트남</t>
        </is>
      </c>
      <c r="X267" s="20">
        <f>IFERROR(TEXTJOIN(" / ",TRUE,UNIQUE(FILTER(소재DB_RAW!$N$3:$N,소재DB_RAW!$G$3:$G=$D267))),"")</f>
        <v/>
      </c>
      <c r="Y267" s="26">
        <f>IFERROR(TEXTJOIN(CHAR(10),TRUE,UNIQUE(FILTER(소재DB_RAW!$N$3:$N&amp;") "&amp;소재DB_RAW!$O$3:$O,(소재DB_RAW!$G$3:$G=$D267)*ISNUMBER(SEARCH("겉감",소재DB_RAW!$M$3:$M))))),"")</f>
        <v/>
      </c>
      <c r="Z267" s="26">
        <f>IFERROR(TEXTJOIN(CHAR(10),TRUE,UNIQUE(FILTER(소재DB_RAW!$N$3:$N&amp;") "&amp;소재DB_RAW!$O$3:$O,(소재DB_RAW!$G$3:$G=$D267)*ISNUMBER(SEARCH("안감",소재DB_RAW!$M$3:$M))))),"")</f>
        <v/>
      </c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21" t="inlineStr">
        <is>
          <t>X</t>
        </is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",TRUE,UNIQUE(FILTER(소재DB_RAW!$K$3:$K,소재DB_RAW!$G$3:$G=$D268))),"")</f>
        <v/>
      </c>
      <c r="W268" s="20" t="inlineStr">
        <is>
          <t>베트남</t>
        </is>
      </c>
      <c r="X268" s="20">
        <f>IFERROR(TEXTJOIN(" / ",TRUE,UNIQUE(FILTER(소재DB_RAW!$N$3:$N,소재DB_RAW!$G$3:$G=$D268))),"")</f>
        <v/>
      </c>
      <c r="Y268" s="26">
        <f>IFERROR(TEXTJOIN(CHAR(10),TRUE,UNIQUE(FILTER(소재DB_RAW!$N$3:$N&amp;") "&amp;소재DB_RAW!$O$3:$O,(소재DB_RAW!$G$3:$G=$D268)*ISNUMBER(SEARCH("겉감",소재DB_RAW!$M$3:$M))))),"")</f>
        <v/>
      </c>
      <c r="Z268" s="26">
        <f>IFERROR(TEXTJOIN(CHAR(10),TRUE,UNIQUE(FILTER(소재DB_RAW!$N$3:$N&amp;") "&amp;소재DB_RAW!$O$3:$O,(소재DB_RAW!$G$3:$G=$D268)*ISNUMBER(SEARCH("안감",소재DB_RAW!$M$3:$M))))),"")</f>
        <v/>
      </c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21" t="inlineStr">
        <is>
          <t>X</t>
        </is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",TRUE,UNIQUE(FILTER(소재DB_RAW!$K$3:$K,소재DB_RAW!$G$3:$G=$D269))),"")</f>
        <v/>
      </c>
      <c r="W269" s="20" t="inlineStr">
        <is>
          <t>베트남</t>
        </is>
      </c>
      <c r="X269" s="20">
        <f>IFERROR(TEXTJOIN(" / ",TRUE,UNIQUE(FILTER(소재DB_RAW!$N$3:$N,소재DB_RAW!$G$3:$G=$D269))),"")</f>
        <v/>
      </c>
      <c r="Y269" s="26">
        <f>IFERROR(TEXTJOIN(CHAR(10),TRUE,UNIQUE(FILTER(소재DB_RAW!$N$3:$N&amp;") "&amp;소재DB_RAW!$O$3:$O,(소재DB_RAW!$G$3:$G=$D269)*ISNUMBER(SEARCH("겉감",소재DB_RAW!$M$3:$M))))),"")</f>
        <v/>
      </c>
      <c r="Z269" s="26">
        <f>IFERROR(TEXTJOIN(CHAR(10),TRUE,UNIQUE(FILTER(소재DB_RAW!$N$3:$N&amp;") "&amp;소재DB_RAW!$O$3:$O,(소재DB_RAW!$G$3:$G=$D269)*ISNUMBER(SEARCH("안감",소재DB_RAW!$M$3:$M))))),"")</f>
        <v/>
      </c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21" t="inlineStr">
        <is>
          <t>X</t>
        </is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",TRUE,UNIQUE(FILTER(소재DB_RAW!$K$3:$K,소재DB_RAW!$G$3:$G=$D270))),"")</f>
        <v/>
      </c>
      <c r="W270" s="20" t="inlineStr">
        <is>
          <t>인도네시아</t>
        </is>
      </c>
      <c r="X270" s="20">
        <f>IFERROR(TEXTJOIN(" / ",TRUE,UNIQUE(FILTER(소재DB_RAW!$N$3:$N,소재DB_RAW!$G$3:$G=$D270))),"")</f>
        <v/>
      </c>
      <c r="Y270" s="26">
        <f>IFERROR(TEXTJOIN(CHAR(10),TRUE,UNIQUE(FILTER(소재DB_RAW!$N$3:$N&amp;") "&amp;소재DB_RAW!$O$3:$O,(소재DB_RAW!$G$3:$G=$D270)*ISNUMBER(SEARCH("겉감",소재DB_RAW!$M$3:$M))))),"")</f>
        <v/>
      </c>
      <c r="Z270" s="26">
        <f>IFERROR(TEXTJOIN(CHAR(10),TRUE,UNIQUE(FILTER(소재DB_RAW!$N$3:$N&amp;") "&amp;소재DB_RAW!$O$3:$O,(소재DB_RAW!$G$3:$G=$D270)*ISNUMBER(SEARCH("안감",소재DB_RAW!$M$3:$M))))),"")</f>
        <v/>
      </c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21" t="inlineStr">
        <is>
          <t>X</t>
        </is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",TRUE,UNIQUE(FILTER(소재DB_RAW!$K$3:$K,소재DB_RAW!$G$3:$G=$D271))),"")</f>
        <v/>
      </c>
      <c r="W271" s="20" t="inlineStr">
        <is>
          <t>인도네시아</t>
        </is>
      </c>
      <c r="X271" s="20">
        <f>IFERROR(TEXTJOIN(" / ",TRUE,UNIQUE(FILTER(소재DB_RAW!$N$3:$N,소재DB_RAW!$G$3:$G=$D271))),"")</f>
        <v/>
      </c>
      <c r="Y271" s="26">
        <f>IFERROR(TEXTJOIN(CHAR(10),TRUE,UNIQUE(FILTER(소재DB_RAW!$N$3:$N&amp;") "&amp;소재DB_RAW!$O$3:$O,(소재DB_RAW!$G$3:$G=$D271)*ISNUMBER(SEARCH("겉감",소재DB_RAW!$M$3:$M))))),"")</f>
        <v/>
      </c>
      <c r="Z271" s="26">
        <f>IFERROR(TEXTJOIN(CHAR(10),TRUE,UNIQUE(FILTER(소재DB_RAW!$N$3:$N&amp;") "&amp;소재DB_RAW!$O$3:$O,(소재DB_RAW!$G$3:$G=$D271)*ISNUMBER(SEARCH("안감",소재DB_RAW!$M$3:$M))))),"")</f>
        <v/>
      </c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21" t="inlineStr">
        <is>
          <t>X</t>
        </is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",TRUE,UNIQUE(FILTER(소재DB_RAW!$K$3:$K,소재DB_RAW!$G$3:$G=$D272))),"")</f>
        <v/>
      </c>
      <c r="W272" s="20" t="inlineStr">
        <is>
          <t>베트남</t>
        </is>
      </c>
      <c r="X272" s="20">
        <f>IFERROR(TEXTJOIN(" / ",TRUE,UNIQUE(FILTER(소재DB_RAW!$N$3:$N,소재DB_RAW!$G$3:$G=$D272))),"")</f>
        <v/>
      </c>
      <c r="Y272" s="26">
        <f>IFERROR(TEXTJOIN(CHAR(10),TRUE,UNIQUE(FILTER(소재DB_RAW!$N$3:$N&amp;") "&amp;소재DB_RAW!$O$3:$O,(소재DB_RAW!$G$3:$G=$D272)*ISNUMBER(SEARCH("겉감",소재DB_RAW!$M$3:$M))))),"")</f>
        <v/>
      </c>
      <c r="Z272" s="26">
        <f>IFERROR(TEXTJOIN(CHAR(10),TRUE,UNIQUE(FILTER(소재DB_RAW!$N$3:$N&amp;") "&amp;소재DB_RAW!$O$3:$O,(소재DB_RAW!$G$3:$G=$D272)*ISNUMBER(SEARCH("안감",소재DB_RAW!$M$3:$M))))),"")</f>
        <v/>
      </c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21" t="inlineStr">
        <is>
          <t>X</t>
        </is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",TRUE,UNIQUE(FILTER(소재DB_RAW!$K$3:$K,소재DB_RAW!$G$3:$G=$D273))),"")</f>
        <v/>
      </c>
      <c r="W273" s="20" t="inlineStr">
        <is>
          <t>베트남</t>
        </is>
      </c>
      <c r="X273" s="20">
        <f>IFERROR(TEXTJOIN(" / ",TRUE,UNIQUE(FILTER(소재DB_RAW!$N$3:$N,소재DB_RAW!$G$3:$G=$D273))),"")</f>
        <v/>
      </c>
      <c r="Y273" s="26">
        <f>IFERROR(TEXTJOIN(CHAR(10),TRUE,UNIQUE(FILTER(소재DB_RAW!$N$3:$N&amp;") "&amp;소재DB_RAW!$O$3:$O,(소재DB_RAW!$G$3:$G=$D273)*ISNUMBER(SEARCH("겉감",소재DB_RAW!$M$3:$M))))),"")</f>
        <v/>
      </c>
      <c r="Z273" s="26">
        <f>IFERROR(TEXTJOIN(CHAR(10),TRUE,UNIQUE(FILTER(소재DB_RAW!$N$3:$N&amp;") "&amp;소재DB_RAW!$O$3:$O,(소재DB_RAW!$G$3:$G=$D273)*ISNUMBER(SEARCH("안감",소재DB_RAW!$M$3:$M))))),"")</f>
        <v/>
      </c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21" t="inlineStr">
        <is>
          <t>X</t>
        </is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",TRUE,UNIQUE(FILTER(소재DB_RAW!$K$3:$K,소재DB_RAW!$G$3:$G=$D274))),"")</f>
        <v/>
      </c>
      <c r="W274" s="20" t="inlineStr">
        <is>
          <t>베트남</t>
        </is>
      </c>
      <c r="X274" s="20">
        <f>IFERROR(TEXTJOIN(" / ",TRUE,UNIQUE(FILTER(소재DB_RAW!$N$3:$N,소재DB_RAW!$G$3:$G=$D274))),"")</f>
        <v/>
      </c>
      <c r="Y274" s="26">
        <f>IFERROR(TEXTJOIN(CHAR(10),TRUE,UNIQUE(FILTER(소재DB_RAW!$N$3:$N&amp;") "&amp;소재DB_RAW!$O$3:$O,(소재DB_RAW!$G$3:$G=$D274)*ISNUMBER(SEARCH("겉감",소재DB_RAW!$M$3:$M))))),"")</f>
        <v/>
      </c>
      <c r="Z274" s="26">
        <f>IFERROR(TEXTJOIN(CHAR(10),TRUE,UNIQUE(FILTER(소재DB_RAW!$N$3:$N&amp;") "&amp;소재DB_RAW!$O$3:$O,(소재DB_RAW!$G$3:$G=$D274)*ISNUMBER(SEARCH("안감",소재DB_RAW!$M$3:$M))))),"")</f>
        <v/>
      </c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21" t="inlineStr">
        <is>
          <t>X</t>
        </is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",TRUE,UNIQUE(FILTER(소재DB_RAW!$K$3:$K,소재DB_RAW!$G$3:$G=$D275))),"")</f>
        <v/>
      </c>
      <c r="W275" s="20" t="inlineStr">
        <is>
          <t>베트남</t>
        </is>
      </c>
      <c r="X275" s="20">
        <f>IFERROR(TEXTJOIN(" / ",TRUE,UNIQUE(FILTER(소재DB_RAW!$N$3:$N,소재DB_RAW!$G$3:$G=$D275))),"")</f>
        <v/>
      </c>
      <c r="Y275" s="26">
        <f>IFERROR(TEXTJOIN(CHAR(10),TRUE,UNIQUE(FILTER(소재DB_RAW!$N$3:$N&amp;") "&amp;소재DB_RAW!$O$3:$O,(소재DB_RAW!$G$3:$G=$D275)*ISNUMBER(SEARCH("겉감",소재DB_RAW!$M$3:$M))))),"")</f>
        <v/>
      </c>
      <c r="Z275" s="26">
        <f>IFERROR(TEXTJOIN(CHAR(10),TRUE,UNIQUE(FILTER(소재DB_RAW!$N$3:$N&amp;") "&amp;소재DB_RAW!$O$3:$O,(소재DB_RAW!$G$3:$G=$D275)*ISNUMBER(SEARCH("안감",소재DB_RAW!$M$3:$M))))),"")</f>
        <v/>
      </c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21" t="inlineStr">
        <is>
          <t>X</t>
        </is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",TRUE,UNIQUE(FILTER(소재DB_RAW!$K$3:$K,소재DB_RAW!$G$3:$G=$D276))),"")</f>
        <v/>
      </c>
      <c r="W276" s="20" t="inlineStr">
        <is>
          <t>베트남</t>
        </is>
      </c>
      <c r="X276" s="20">
        <f>IFERROR(TEXTJOIN(" / ",TRUE,UNIQUE(FILTER(소재DB_RAW!$N$3:$N,소재DB_RAW!$G$3:$G=$D276))),"")</f>
        <v/>
      </c>
      <c r="Y276" s="26">
        <f>IFERROR(TEXTJOIN(CHAR(10),TRUE,UNIQUE(FILTER(소재DB_RAW!$N$3:$N&amp;") "&amp;소재DB_RAW!$O$3:$O,(소재DB_RAW!$G$3:$G=$D276)*ISNUMBER(SEARCH("겉감",소재DB_RAW!$M$3:$M))))),"")</f>
        <v/>
      </c>
      <c r="Z276" s="26">
        <f>IFERROR(TEXTJOIN(CHAR(10),TRUE,UNIQUE(FILTER(소재DB_RAW!$N$3:$N&amp;") "&amp;소재DB_RAW!$O$3:$O,(소재DB_RAW!$G$3:$G=$D276)*ISNUMBER(SEARCH("안감",소재DB_RAW!$M$3:$M))))),"")</f>
        <v/>
      </c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21" t="inlineStr">
        <is>
          <t>X</t>
        </is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",TRUE,UNIQUE(FILTER(소재DB_RAW!$K$3:$K,소재DB_RAW!$G$3:$G=$D277))),"")</f>
        <v/>
      </c>
      <c r="W277" s="20" t="inlineStr">
        <is>
          <t>베트남</t>
        </is>
      </c>
      <c r="X277" s="20">
        <f>IFERROR(TEXTJOIN(" / ",TRUE,UNIQUE(FILTER(소재DB_RAW!$N$3:$N,소재DB_RAW!$G$3:$G=$D277))),"")</f>
        <v/>
      </c>
      <c r="Y277" s="26">
        <f>IFERROR(TEXTJOIN(CHAR(10),TRUE,UNIQUE(FILTER(소재DB_RAW!$N$3:$N&amp;") "&amp;소재DB_RAW!$O$3:$O,(소재DB_RAW!$G$3:$G=$D277)*ISNUMBER(SEARCH("겉감",소재DB_RAW!$M$3:$M))))),"")</f>
        <v/>
      </c>
      <c r="Z277" s="26">
        <f>IFERROR(TEXTJOIN(CHAR(10),TRUE,UNIQUE(FILTER(소재DB_RAW!$N$3:$N&amp;") "&amp;소재DB_RAW!$O$3:$O,(소재DB_RAW!$G$3:$G=$D277)*ISNUMBER(SEARCH("안감",소재DB_RAW!$M$3:$M))))),"")</f>
        <v/>
      </c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21" t="inlineStr">
        <is>
          <t>X</t>
        </is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",TRUE,UNIQUE(FILTER(소재DB_RAW!$K$3:$K,소재DB_RAW!$G$3:$G=$D278))),"")</f>
        <v/>
      </c>
      <c r="W278" s="20" t="inlineStr">
        <is>
          <t>베트남</t>
        </is>
      </c>
      <c r="X278" s="20">
        <f>IFERROR(TEXTJOIN(" / ",TRUE,UNIQUE(FILTER(소재DB_RAW!$N$3:$N,소재DB_RAW!$G$3:$G=$D278))),"")</f>
        <v/>
      </c>
      <c r="Y278" s="26">
        <f>IFERROR(TEXTJOIN(CHAR(10),TRUE,UNIQUE(FILTER(소재DB_RAW!$N$3:$N&amp;") "&amp;소재DB_RAW!$O$3:$O,(소재DB_RAW!$G$3:$G=$D278)*ISNUMBER(SEARCH("겉감",소재DB_RAW!$M$3:$M))))),"")</f>
        <v/>
      </c>
      <c r="Z278" s="26">
        <f>IFERROR(TEXTJOIN(CHAR(10),TRUE,UNIQUE(FILTER(소재DB_RAW!$N$3:$N&amp;") "&amp;소재DB_RAW!$O$3:$O,(소재DB_RAW!$G$3:$G=$D278)*ISNUMBER(SEARCH("안감",소재DB_RAW!$M$3:$M))))),"")</f>
        <v/>
      </c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21" t="inlineStr">
        <is>
          <t>X</t>
        </is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",TRUE,UNIQUE(FILTER(소재DB_RAW!$K$3:$K,소재DB_RAW!$G$3:$G=$D279))),"")</f>
        <v/>
      </c>
      <c r="W279" s="20" t="inlineStr">
        <is>
          <t>베트남</t>
        </is>
      </c>
      <c r="X279" s="20">
        <f>IFERROR(TEXTJOIN(" / ",TRUE,UNIQUE(FILTER(소재DB_RAW!$N$3:$N,소재DB_RAW!$G$3:$G=$D279))),"")</f>
        <v/>
      </c>
      <c r="Y279" s="26">
        <f>IFERROR(TEXTJOIN(CHAR(10),TRUE,UNIQUE(FILTER(소재DB_RAW!$N$3:$N&amp;") "&amp;소재DB_RAW!$O$3:$O,(소재DB_RAW!$G$3:$G=$D279)*ISNUMBER(SEARCH("겉감",소재DB_RAW!$M$3:$M))))),"")</f>
        <v/>
      </c>
      <c r="Z279" s="26">
        <f>IFERROR(TEXTJOIN(CHAR(10),TRUE,UNIQUE(FILTER(소재DB_RAW!$N$3:$N&amp;") "&amp;소재DB_RAW!$O$3:$O,(소재DB_RAW!$G$3:$G=$D279)*ISNUMBER(SEARCH("안감",소재DB_RAW!$M$3:$M))))),"")</f>
        <v/>
      </c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21" t="inlineStr">
        <is>
          <t>X</t>
        </is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",TRUE,UNIQUE(FILTER(소재DB_RAW!$K$3:$K,소재DB_RAW!$G$3:$G=$D280))),"")</f>
        <v/>
      </c>
      <c r="W280" s="20" t="inlineStr">
        <is>
          <t>베트남</t>
        </is>
      </c>
      <c r="X280" s="20">
        <f>IFERROR(TEXTJOIN(" / ",TRUE,UNIQUE(FILTER(소재DB_RAW!$N$3:$N,소재DB_RAW!$G$3:$G=$D280))),"")</f>
        <v/>
      </c>
      <c r="Y280" s="26">
        <f>IFERROR(TEXTJOIN(CHAR(10),TRUE,UNIQUE(FILTER(소재DB_RAW!$N$3:$N&amp;") "&amp;소재DB_RAW!$O$3:$O,(소재DB_RAW!$G$3:$G=$D280)*ISNUMBER(SEARCH("겉감",소재DB_RAW!$M$3:$M))))),"")</f>
        <v/>
      </c>
      <c r="Z280" s="26">
        <f>IFERROR(TEXTJOIN(CHAR(10),TRUE,UNIQUE(FILTER(소재DB_RAW!$N$3:$N&amp;") "&amp;소재DB_RAW!$O$3:$O,(소재DB_RAW!$G$3:$G=$D280)*ISNUMBER(SEARCH("안감",소재DB_RAW!$M$3:$M))))),"")</f>
        <v/>
      </c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21" t="inlineStr">
        <is>
          <t>X</t>
        </is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",TRUE,UNIQUE(FILTER(소재DB_RAW!$K$3:$K,소재DB_RAW!$G$3:$G=$D281))),"")</f>
        <v/>
      </c>
      <c r="W281" s="20" t="inlineStr">
        <is>
          <t>베트남</t>
        </is>
      </c>
      <c r="X281" s="20">
        <f>IFERROR(TEXTJOIN(" / ",TRUE,UNIQUE(FILTER(소재DB_RAW!$N$3:$N,소재DB_RAW!$G$3:$G=$D281))),"")</f>
        <v/>
      </c>
      <c r="Y281" s="26">
        <f>IFERROR(TEXTJOIN(CHAR(10),TRUE,UNIQUE(FILTER(소재DB_RAW!$N$3:$N&amp;") "&amp;소재DB_RAW!$O$3:$O,(소재DB_RAW!$G$3:$G=$D281)*ISNUMBER(SEARCH("겉감",소재DB_RAW!$M$3:$M))))),"")</f>
        <v/>
      </c>
      <c r="Z281" s="26">
        <f>IFERROR(TEXTJOIN(CHAR(10),TRUE,UNIQUE(FILTER(소재DB_RAW!$N$3:$N&amp;") "&amp;소재DB_RAW!$O$3:$O,(소재DB_RAW!$G$3:$G=$D281)*ISNUMBER(SEARCH("안감",소재DB_RAW!$M$3:$M))))),"")</f>
        <v/>
      </c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21" t="inlineStr">
        <is>
          <t>X</t>
        </is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",TRUE,UNIQUE(FILTER(소재DB_RAW!$K$3:$K,소재DB_RAW!$G$3:$G=$D282))),"")</f>
        <v/>
      </c>
      <c r="W282" s="20" t="inlineStr">
        <is>
          <t>베트남</t>
        </is>
      </c>
      <c r="X282" s="20">
        <f>IFERROR(TEXTJOIN(" / ",TRUE,UNIQUE(FILTER(소재DB_RAW!$N$3:$N,소재DB_RAW!$G$3:$G=$D282))),"")</f>
        <v/>
      </c>
      <c r="Y282" s="26">
        <f>IFERROR(TEXTJOIN(CHAR(10),TRUE,UNIQUE(FILTER(소재DB_RAW!$N$3:$N&amp;") "&amp;소재DB_RAW!$O$3:$O,(소재DB_RAW!$G$3:$G=$D282)*ISNUMBER(SEARCH("겉감",소재DB_RAW!$M$3:$M))))),"")</f>
        <v/>
      </c>
      <c r="Z282" s="26">
        <f>IFERROR(TEXTJOIN(CHAR(10),TRUE,UNIQUE(FILTER(소재DB_RAW!$N$3:$N&amp;") "&amp;소재DB_RAW!$O$3:$O,(소재DB_RAW!$G$3:$G=$D282)*ISNUMBER(SEARCH("안감",소재DB_RAW!$M$3:$M))))),"")</f>
        <v/>
      </c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21" t="inlineStr">
        <is>
          <t>X</t>
        </is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",TRUE,UNIQUE(FILTER(소재DB_RAW!$K$3:$K,소재DB_RAW!$G$3:$G=$D283))),"")</f>
        <v/>
      </c>
      <c r="W283" s="20" t="inlineStr">
        <is>
          <t>인도네시아</t>
        </is>
      </c>
      <c r="X283" s="20">
        <f>IFERROR(TEXTJOIN(" / ",TRUE,UNIQUE(FILTER(소재DB_RAW!$N$3:$N,소재DB_RAW!$G$3:$G=$D283))),"")</f>
        <v/>
      </c>
      <c r="Y283" s="26">
        <f>IFERROR(TEXTJOIN(CHAR(10),TRUE,UNIQUE(FILTER(소재DB_RAW!$N$3:$N&amp;") "&amp;소재DB_RAW!$O$3:$O,(소재DB_RAW!$G$3:$G=$D283)*ISNUMBER(SEARCH("겉감",소재DB_RAW!$M$3:$M))))),"")</f>
        <v/>
      </c>
      <c r="Z283" s="26">
        <f>IFERROR(TEXTJOIN(CHAR(10),TRUE,UNIQUE(FILTER(소재DB_RAW!$N$3:$N&amp;") "&amp;소재DB_RAW!$O$3:$O,(소재DB_RAW!$G$3:$G=$D283)*ISNUMBER(SEARCH("안감",소재DB_RAW!$M$3:$M))))),"")</f>
        <v/>
      </c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21" t="inlineStr">
        <is>
          <t>X</t>
        </is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",TRUE,UNIQUE(FILTER(소재DB_RAW!$K$3:$K,소재DB_RAW!$G$3:$G=$D284))),"")</f>
        <v/>
      </c>
      <c r="W284" s="20" t="inlineStr">
        <is>
          <t>인도네시아</t>
        </is>
      </c>
      <c r="X284" s="20">
        <f>IFERROR(TEXTJOIN(" / ",TRUE,UNIQUE(FILTER(소재DB_RAW!$N$3:$N,소재DB_RAW!$G$3:$G=$D284))),"")</f>
        <v/>
      </c>
      <c r="Y284" s="26">
        <f>IFERROR(TEXTJOIN(CHAR(10),TRUE,UNIQUE(FILTER(소재DB_RAW!$N$3:$N&amp;") "&amp;소재DB_RAW!$O$3:$O,(소재DB_RAW!$G$3:$G=$D284)*ISNUMBER(SEARCH("겉감",소재DB_RAW!$M$3:$M))))),"")</f>
        <v/>
      </c>
      <c r="Z284" s="26">
        <f>IFERROR(TEXTJOIN(CHAR(10),TRUE,UNIQUE(FILTER(소재DB_RAW!$N$3:$N&amp;") "&amp;소재DB_RAW!$O$3:$O,(소재DB_RAW!$G$3:$G=$D284)*ISNUMBER(SEARCH("안감",소재DB_RAW!$M$3:$M))))),"")</f>
        <v/>
      </c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21" t="inlineStr">
        <is>
          <t>X</t>
        </is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",TRUE,UNIQUE(FILTER(소재DB_RAW!$K$3:$K,소재DB_RAW!$G$3:$G=$D285))),"")</f>
        <v/>
      </c>
      <c r="W285" s="20" t="inlineStr">
        <is>
          <t>인도네시아</t>
        </is>
      </c>
      <c r="X285" s="20">
        <f>IFERROR(TEXTJOIN(" / ",TRUE,UNIQUE(FILTER(소재DB_RAW!$N$3:$N,소재DB_RAW!$G$3:$G=$D285))),"")</f>
        <v/>
      </c>
      <c r="Y285" s="26">
        <f>IFERROR(TEXTJOIN(CHAR(10),TRUE,UNIQUE(FILTER(소재DB_RAW!$N$3:$N&amp;") "&amp;소재DB_RAW!$O$3:$O,(소재DB_RAW!$G$3:$G=$D285)*ISNUMBER(SEARCH("겉감",소재DB_RAW!$M$3:$M))))),"")</f>
        <v/>
      </c>
      <c r="Z285" s="26">
        <f>IFERROR(TEXTJOIN(CHAR(10),TRUE,UNIQUE(FILTER(소재DB_RAW!$N$3:$N&amp;") "&amp;소재DB_RAW!$O$3:$O,(소재DB_RAW!$G$3:$G=$D285)*ISNUMBER(SEARCH("안감",소재DB_RAW!$M$3:$M))))),"")</f>
        <v/>
      </c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21" t="inlineStr">
        <is>
          <t>X</t>
        </is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",TRUE,UNIQUE(FILTER(소재DB_RAW!$K$3:$K,소재DB_RAW!$G$3:$G=$D286))),"")</f>
        <v/>
      </c>
      <c r="W286" s="20" t="inlineStr">
        <is>
          <t>인도네시아</t>
        </is>
      </c>
      <c r="X286" s="20">
        <f>IFERROR(TEXTJOIN(" / ",TRUE,UNIQUE(FILTER(소재DB_RAW!$N$3:$N,소재DB_RAW!$G$3:$G=$D286))),"")</f>
        <v/>
      </c>
      <c r="Y286" s="26">
        <f>IFERROR(TEXTJOIN(CHAR(10),TRUE,UNIQUE(FILTER(소재DB_RAW!$N$3:$N&amp;") "&amp;소재DB_RAW!$O$3:$O,(소재DB_RAW!$G$3:$G=$D286)*ISNUMBER(SEARCH("겉감",소재DB_RAW!$M$3:$M))))),"")</f>
        <v/>
      </c>
      <c r="Z286" s="26">
        <f>IFERROR(TEXTJOIN(CHAR(10),TRUE,UNIQUE(FILTER(소재DB_RAW!$N$3:$N&amp;") "&amp;소재DB_RAW!$O$3:$O,(소재DB_RAW!$G$3:$G=$D286)*ISNUMBER(SEARCH("안감",소재DB_RAW!$M$3:$M))))),"")</f>
        <v/>
      </c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21" t="inlineStr">
        <is>
          <t>X</t>
        </is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",TRUE,UNIQUE(FILTER(소재DB_RAW!$K$3:$K,소재DB_RAW!$G$3:$G=$D287))),"")</f>
        <v/>
      </c>
      <c r="W287" s="20" t="inlineStr">
        <is>
          <t>인도네시아</t>
        </is>
      </c>
      <c r="X287" s="20">
        <f>IFERROR(TEXTJOIN(" / ",TRUE,UNIQUE(FILTER(소재DB_RAW!$N$3:$N,소재DB_RAW!$G$3:$G=$D287))),"")</f>
        <v/>
      </c>
      <c r="Y287" s="26">
        <f>IFERROR(TEXTJOIN(CHAR(10),TRUE,UNIQUE(FILTER(소재DB_RAW!$N$3:$N&amp;") "&amp;소재DB_RAW!$O$3:$O,(소재DB_RAW!$G$3:$G=$D287)*ISNUMBER(SEARCH("겉감",소재DB_RAW!$M$3:$M))))),"")</f>
        <v/>
      </c>
      <c r="Z287" s="26">
        <f>IFERROR(TEXTJOIN(CHAR(10),TRUE,UNIQUE(FILTER(소재DB_RAW!$N$3:$N&amp;") "&amp;소재DB_RAW!$O$3:$O,(소재DB_RAW!$G$3:$G=$D287)*ISNUMBER(SEARCH("안감",소재DB_RAW!$M$3:$M))))),"")</f>
        <v/>
      </c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21" t="inlineStr">
        <is>
          <t>X</t>
        </is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",TRUE,UNIQUE(FILTER(소재DB_RAW!$K$3:$K,소재DB_RAW!$G$3:$G=$D288))),"")</f>
        <v/>
      </c>
      <c r="W288" s="20" t="inlineStr">
        <is>
          <t>베트남</t>
        </is>
      </c>
      <c r="X288" s="20">
        <f>IFERROR(TEXTJOIN(" / ",TRUE,UNIQUE(FILTER(소재DB_RAW!$N$3:$N,소재DB_RAW!$G$3:$G=$D288))),"")</f>
        <v/>
      </c>
      <c r="Y288" s="26">
        <f>IFERROR(TEXTJOIN(CHAR(10),TRUE,UNIQUE(FILTER(소재DB_RAW!$N$3:$N&amp;") "&amp;소재DB_RAW!$O$3:$O,(소재DB_RAW!$G$3:$G=$D288)*ISNUMBER(SEARCH("겉감",소재DB_RAW!$M$3:$M))))),"")</f>
        <v/>
      </c>
      <c r="Z288" s="26">
        <f>IFERROR(TEXTJOIN(CHAR(10),TRUE,UNIQUE(FILTER(소재DB_RAW!$N$3:$N&amp;") "&amp;소재DB_RAW!$O$3:$O,(소재DB_RAW!$G$3:$G=$D288)*ISNUMBER(SEARCH("안감",소재DB_RAW!$M$3:$M))))),"")</f>
        <v/>
      </c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21" t="inlineStr">
        <is>
          <t>X</t>
        </is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",TRUE,UNIQUE(FILTER(소재DB_RAW!$K$3:$K,소재DB_RAW!$G$3:$G=$D289))),"")</f>
        <v/>
      </c>
      <c r="W289" s="20" t="inlineStr">
        <is>
          <t>베트남</t>
        </is>
      </c>
      <c r="X289" s="20">
        <f>IFERROR(TEXTJOIN(" / ",TRUE,UNIQUE(FILTER(소재DB_RAW!$N$3:$N,소재DB_RAW!$G$3:$G=$D289))),"")</f>
        <v/>
      </c>
      <c r="Y289" s="26">
        <f>IFERROR(TEXTJOIN(CHAR(10),TRUE,UNIQUE(FILTER(소재DB_RAW!$N$3:$N&amp;") "&amp;소재DB_RAW!$O$3:$O,(소재DB_RAW!$G$3:$G=$D289)*ISNUMBER(SEARCH("겉감",소재DB_RAW!$M$3:$M))))),"")</f>
        <v/>
      </c>
      <c r="Z289" s="26">
        <f>IFERROR(TEXTJOIN(CHAR(10),TRUE,UNIQUE(FILTER(소재DB_RAW!$N$3:$N&amp;") "&amp;소재DB_RAW!$O$3:$O,(소재DB_RAW!$G$3:$G=$D289)*ISNUMBER(SEARCH("안감",소재DB_RAW!$M$3:$M))))),"")</f>
        <v/>
      </c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21" t="inlineStr">
        <is>
          <t>X</t>
        </is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",TRUE,UNIQUE(FILTER(소재DB_RAW!$K$3:$K,소재DB_RAW!$G$3:$G=$D290))),"")</f>
        <v/>
      </c>
      <c r="W290" s="20" t="inlineStr">
        <is>
          <t>베트남</t>
        </is>
      </c>
      <c r="X290" s="20">
        <f>IFERROR(TEXTJOIN(" / ",TRUE,UNIQUE(FILTER(소재DB_RAW!$N$3:$N,소재DB_RAW!$G$3:$G=$D290))),"")</f>
        <v/>
      </c>
      <c r="Y290" s="26">
        <f>IFERROR(TEXTJOIN(CHAR(10),TRUE,UNIQUE(FILTER(소재DB_RAW!$N$3:$N&amp;") "&amp;소재DB_RAW!$O$3:$O,(소재DB_RAW!$G$3:$G=$D290)*ISNUMBER(SEARCH("겉감",소재DB_RAW!$M$3:$M))))),"")</f>
        <v/>
      </c>
      <c r="Z290" s="26">
        <f>IFERROR(TEXTJOIN(CHAR(10),TRUE,UNIQUE(FILTER(소재DB_RAW!$N$3:$N&amp;") "&amp;소재DB_RAW!$O$3:$O,(소재DB_RAW!$G$3:$G=$D290)*ISNUMBER(SEARCH("안감",소재DB_RAW!$M$3:$M))))),"")</f>
        <v/>
      </c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21" t="inlineStr">
        <is>
          <t>X</t>
        </is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",TRUE,UNIQUE(FILTER(소재DB_RAW!$K$3:$K,소재DB_RAW!$G$3:$G=$D291))),"")</f>
        <v/>
      </c>
      <c r="W291" s="20" t="inlineStr">
        <is>
          <t>베트남</t>
        </is>
      </c>
      <c r="X291" s="20">
        <f>IFERROR(TEXTJOIN(" / ",TRUE,UNIQUE(FILTER(소재DB_RAW!$N$3:$N,소재DB_RAW!$G$3:$G=$D291))),"")</f>
        <v/>
      </c>
      <c r="Y291" s="26">
        <f>IFERROR(TEXTJOIN(CHAR(10),TRUE,UNIQUE(FILTER(소재DB_RAW!$N$3:$N&amp;") "&amp;소재DB_RAW!$O$3:$O,(소재DB_RAW!$G$3:$G=$D291)*ISNUMBER(SEARCH("겉감",소재DB_RAW!$M$3:$M))))),"")</f>
        <v/>
      </c>
      <c r="Z291" s="26">
        <f>IFERROR(TEXTJOIN(CHAR(10),TRUE,UNIQUE(FILTER(소재DB_RAW!$N$3:$N&amp;") "&amp;소재DB_RAW!$O$3:$O,(소재DB_RAW!$G$3:$G=$D291)*ISNUMBER(SEARCH("안감",소재DB_RAW!$M$3:$M))))),"")</f>
        <v/>
      </c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21" t="inlineStr">
        <is>
          <t>X</t>
        </is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",TRUE,UNIQUE(FILTER(소재DB_RAW!$K$3:$K,소재DB_RAW!$G$3:$G=$D292))),"")</f>
        <v/>
      </c>
      <c r="W292" s="20" t="inlineStr">
        <is>
          <t>인도네시아</t>
        </is>
      </c>
      <c r="X292" s="20">
        <f>IFERROR(TEXTJOIN(" / ",TRUE,UNIQUE(FILTER(소재DB_RAW!$N$3:$N,소재DB_RAW!$G$3:$G=$D292))),"")</f>
        <v/>
      </c>
      <c r="Y292" s="26">
        <f>IFERROR(TEXTJOIN(CHAR(10),TRUE,UNIQUE(FILTER(소재DB_RAW!$N$3:$N&amp;") "&amp;소재DB_RAW!$O$3:$O,(소재DB_RAW!$G$3:$G=$D292)*ISNUMBER(SEARCH("겉감",소재DB_RAW!$M$3:$M))))),"")</f>
        <v/>
      </c>
      <c r="Z292" s="26">
        <f>IFERROR(TEXTJOIN(CHAR(10),TRUE,UNIQUE(FILTER(소재DB_RAW!$N$3:$N&amp;") "&amp;소재DB_RAW!$O$3:$O,(소재DB_RAW!$G$3:$G=$D292)*ISNUMBER(SEARCH("안감",소재DB_RAW!$M$3:$M))))),"")</f>
        <v/>
      </c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21" t="inlineStr">
        <is>
          <t>X</t>
        </is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",TRUE,UNIQUE(FILTER(소재DB_RAW!$K$3:$K,소재DB_RAW!$G$3:$G=$D293))),"")</f>
        <v/>
      </c>
      <c r="W293" s="20" t="inlineStr">
        <is>
          <t>베트남</t>
        </is>
      </c>
      <c r="X293" s="20">
        <f>IFERROR(TEXTJOIN(" / ",TRUE,UNIQUE(FILTER(소재DB_RAW!$N$3:$N,소재DB_RAW!$G$3:$G=$D293))),"")</f>
        <v/>
      </c>
      <c r="Y293" s="26">
        <f>IFERROR(TEXTJOIN(CHAR(10),TRUE,UNIQUE(FILTER(소재DB_RAW!$N$3:$N&amp;") "&amp;소재DB_RAW!$O$3:$O,(소재DB_RAW!$G$3:$G=$D293)*ISNUMBER(SEARCH("겉감",소재DB_RAW!$M$3:$M))))),"")</f>
        <v/>
      </c>
      <c r="Z293" s="26">
        <f>IFERROR(TEXTJOIN(CHAR(10),TRUE,UNIQUE(FILTER(소재DB_RAW!$N$3:$N&amp;") "&amp;소재DB_RAW!$O$3:$O,(소재DB_RAW!$G$3:$G=$D293)*ISNUMBER(SEARCH("안감",소재DB_RAW!$M$3:$M))))),"")</f>
        <v/>
      </c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21" t="inlineStr">
        <is>
          <t>X</t>
        </is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",TRUE,UNIQUE(FILTER(소재DB_RAW!$K$3:$K,소재DB_RAW!$G$3:$G=$D294))),"")</f>
        <v/>
      </c>
      <c r="W294" s="20" t="inlineStr">
        <is>
          <t>베트남</t>
        </is>
      </c>
      <c r="X294" s="20">
        <f>IFERROR(TEXTJOIN(" / ",TRUE,UNIQUE(FILTER(소재DB_RAW!$N$3:$N,소재DB_RAW!$G$3:$G=$D294))),"")</f>
        <v/>
      </c>
      <c r="Y294" s="26">
        <f>IFERROR(TEXTJOIN(CHAR(10),TRUE,UNIQUE(FILTER(소재DB_RAW!$N$3:$N&amp;") "&amp;소재DB_RAW!$O$3:$O,(소재DB_RAW!$G$3:$G=$D294)*ISNUMBER(SEARCH("겉감",소재DB_RAW!$M$3:$M))))),"")</f>
        <v/>
      </c>
      <c r="Z294" s="26">
        <f>IFERROR(TEXTJOIN(CHAR(10),TRUE,UNIQUE(FILTER(소재DB_RAW!$N$3:$N&amp;") "&amp;소재DB_RAW!$O$3:$O,(소재DB_RAW!$G$3:$G=$D294)*ISNUMBER(SEARCH("안감",소재DB_RAW!$M$3:$M))))),"")</f>
        <v/>
      </c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21" t="inlineStr">
        <is>
          <t>X</t>
        </is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",TRUE,UNIQUE(FILTER(소재DB_RAW!$K$3:$K,소재DB_RAW!$G$3:$G=$D295))),"")</f>
        <v/>
      </c>
      <c r="W295" s="20" t="inlineStr">
        <is>
          <t>베트남</t>
        </is>
      </c>
      <c r="X295" s="20">
        <f>IFERROR(TEXTJOIN(" / ",TRUE,UNIQUE(FILTER(소재DB_RAW!$N$3:$N,소재DB_RAW!$G$3:$G=$D295))),"")</f>
        <v/>
      </c>
      <c r="Y295" s="26">
        <f>IFERROR(TEXTJOIN(CHAR(10),TRUE,UNIQUE(FILTER(소재DB_RAW!$N$3:$N&amp;") "&amp;소재DB_RAW!$O$3:$O,(소재DB_RAW!$G$3:$G=$D295)*ISNUMBER(SEARCH("겉감",소재DB_RAW!$M$3:$M))))),"")</f>
        <v/>
      </c>
      <c r="Z295" s="26">
        <f>IFERROR(TEXTJOIN(CHAR(10),TRUE,UNIQUE(FILTER(소재DB_RAW!$N$3:$N&amp;") "&amp;소재DB_RAW!$O$3:$O,(소재DB_RAW!$G$3:$G=$D295)*ISNUMBER(SEARCH("안감",소재DB_RAW!$M$3:$M))))),"")</f>
        <v/>
      </c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21" t="inlineStr">
        <is>
          <t>X</t>
        </is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",TRUE,UNIQUE(FILTER(소재DB_RAW!$K$3:$K,소재DB_RAW!$G$3:$G=$D296))),"")</f>
        <v/>
      </c>
      <c r="W296" s="20" t="inlineStr">
        <is>
          <t>한국</t>
        </is>
      </c>
      <c r="X296" s="20">
        <f>IFERROR(TEXTJOIN(" / ",TRUE,UNIQUE(FILTER(소재DB_RAW!$N$3:$N,소재DB_RAW!$G$3:$G=$D296))),"")</f>
        <v/>
      </c>
      <c r="Y296" s="26">
        <f>IFERROR(TEXTJOIN(CHAR(10),TRUE,UNIQUE(FILTER(소재DB_RAW!$N$3:$N&amp;") "&amp;소재DB_RAW!$O$3:$O,(소재DB_RAW!$G$3:$G=$D296)*ISNUMBER(SEARCH("겉감",소재DB_RAW!$M$3:$M))))),"")</f>
        <v/>
      </c>
      <c r="Z296" s="26">
        <f>IFERROR(TEXTJOIN(CHAR(10),TRUE,UNIQUE(FILTER(소재DB_RAW!$N$3:$N&amp;") "&amp;소재DB_RAW!$O$3:$O,(소재DB_RAW!$G$3:$G=$D296)*ISNUMBER(SEARCH("안감",소재DB_RAW!$M$3:$M))))),"")</f>
        <v/>
      </c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21" t="inlineStr">
        <is>
          <t>X</t>
        </is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",TRUE,UNIQUE(FILTER(소재DB_RAW!$K$3:$K,소재DB_RAW!$G$3:$G=$D297))),"")</f>
        <v/>
      </c>
      <c r="W297" s="20" t="inlineStr">
        <is>
          <t>중국</t>
        </is>
      </c>
      <c r="X297" s="20">
        <f>IFERROR(TEXTJOIN(" / ",TRUE,UNIQUE(FILTER(소재DB_RAW!$N$3:$N,소재DB_RAW!$G$3:$G=$D297))),"")</f>
        <v/>
      </c>
      <c r="Y297" s="26">
        <f>IFERROR(TEXTJOIN(CHAR(10),TRUE,UNIQUE(FILTER(소재DB_RAW!$N$3:$N&amp;") "&amp;소재DB_RAW!$O$3:$O,(소재DB_RAW!$G$3:$G=$D297)*ISNUMBER(SEARCH("겉감",소재DB_RAW!$M$3:$M))))),"")</f>
        <v/>
      </c>
      <c r="Z297" s="26">
        <f>IFERROR(TEXTJOIN(CHAR(10),TRUE,UNIQUE(FILTER(소재DB_RAW!$N$3:$N&amp;") "&amp;소재DB_RAW!$O$3:$O,(소재DB_RAW!$G$3:$G=$D297)*ISNUMBER(SEARCH("안감",소재DB_RAW!$M$3:$M))))),"")</f>
        <v/>
      </c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21" t="inlineStr">
        <is>
          <t>X</t>
        </is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",TRUE,UNIQUE(FILTER(소재DB_RAW!$K$3:$K,소재DB_RAW!$G$3:$G=$D298))),"")</f>
        <v/>
      </c>
      <c r="W298" s="20" t="inlineStr">
        <is>
          <t>베트남</t>
        </is>
      </c>
      <c r="X298" s="20">
        <f>IFERROR(TEXTJOIN(" / ",TRUE,UNIQUE(FILTER(소재DB_RAW!$N$3:$N,소재DB_RAW!$G$3:$G=$D298))),"")</f>
        <v/>
      </c>
      <c r="Y298" s="26">
        <f>IFERROR(TEXTJOIN(CHAR(10),TRUE,UNIQUE(FILTER(소재DB_RAW!$N$3:$N&amp;") "&amp;소재DB_RAW!$O$3:$O,(소재DB_RAW!$G$3:$G=$D298)*ISNUMBER(SEARCH("겉감",소재DB_RAW!$M$3:$M))))),"")</f>
        <v/>
      </c>
      <c r="Z298" s="26">
        <f>IFERROR(TEXTJOIN(CHAR(10),TRUE,UNIQUE(FILTER(소재DB_RAW!$N$3:$N&amp;") "&amp;소재DB_RAW!$O$3:$O,(소재DB_RAW!$G$3:$G=$D298)*ISNUMBER(SEARCH("안감",소재DB_RAW!$M$3:$M))))),"")</f>
        <v/>
      </c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21" t="inlineStr">
        <is>
          <t>X</t>
        </is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",TRUE,UNIQUE(FILTER(소재DB_RAW!$K$3:$K,소재DB_RAW!$G$3:$G=$D299))),"")</f>
        <v/>
      </c>
      <c r="W299" s="20" t="inlineStr">
        <is>
          <t>베트남</t>
        </is>
      </c>
      <c r="X299" s="20">
        <f>IFERROR(TEXTJOIN(" / ",TRUE,UNIQUE(FILTER(소재DB_RAW!$N$3:$N,소재DB_RAW!$G$3:$G=$D299))),"")</f>
        <v/>
      </c>
      <c r="Y299" s="26">
        <f>IFERROR(TEXTJOIN(CHAR(10),TRUE,UNIQUE(FILTER(소재DB_RAW!$N$3:$N&amp;") "&amp;소재DB_RAW!$O$3:$O,(소재DB_RAW!$G$3:$G=$D299)*ISNUMBER(SEARCH("겉감",소재DB_RAW!$M$3:$M))))),"")</f>
        <v/>
      </c>
      <c r="Z299" s="26">
        <f>IFERROR(TEXTJOIN(CHAR(10),TRUE,UNIQUE(FILTER(소재DB_RAW!$N$3:$N&amp;") "&amp;소재DB_RAW!$O$3:$O,(소재DB_RAW!$G$3:$G=$D299)*ISNUMBER(SEARCH("안감",소재DB_RAW!$M$3:$M))))),"")</f>
        <v/>
      </c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21" t="inlineStr">
        <is>
          <t>X</t>
        </is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",TRUE,UNIQUE(FILTER(소재DB_RAW!$K$3:$K,소재DB_RAW!$G$3:$G=$D300))),"")</f>
        <v/>
      </c>
      <c r="W300" s="20" t="inlineStr">
        <is>
          <t>베트남</t>
        </is>
      </c>
      <c r="X300" s="20">
        <f>IFERROR(TEXTJOIN(" / ",TRUE,UNIQUE(FILTER(소재DB_RAW!$N$3:$N,소재DB_RAW!$G$3:$G=$D300))),"")</f>
        <v/>
      </c>
      <c r="Y300" s="26">
        <f>IFERROR(TEXTJOIN(CHAR(10),TRUE,UNIQUE(FILTER(소재DB_RAW!$N$3:$N&amp;") "&amp;소재DB_RAW!$O$3:$O,(소재DB_RAW!$G$3:$G=$D300)*ISNUMBER(SEARCH("겉감",소재DB_RAW!$M$3:$M))))),"")</f>
        <v/>
      </c>
      <c r="Z300" s="26">
        <f>IFERROR(TEXTJOIN(CHAR(10),TRUE,UNIQUE(FILTER(소재DB_RAW!$N$3:$N&amp;") "&amp;소재DB_RAW!$O$3:$O,(소재DB_RAW!$G$3:$G=$D300)*ISNUMBER(SEARCH("안감",소재DB_RAW!$M$3:$M))))),"")</f>
        <v/>
      </c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21" t="inlineStr">
        <is>
          <t>X</t>
        </is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",TRUE,UNIQUE(FILTER(소재DB_RAW!$K$3:$K,소재DB_RAW!$G$3:$G=$D301))),"")</f>
        <v/>
      </c>
      <c r="W301" s="20" t="inlineStr">
        <is>
          <t>베트남</t>
        </is>
      </c>
      <c r="X301" s="20">
        <f>IFERROR(TEXTJOIN(" / ",TRUE,UNIQUE(FILTER(소재DB_RAW!$N$3:$N,소재DB_RAW!$G$3:$G=$D301))),"")</f>
        <v/>
      </c>
      <c r="Y301" s="26">
        <f>IFERROR(TEXTJOIN(CHAR(10),TRUE,UNIQUE(FILTER(소재DB_RAW!$N$3:$N&amp;") "&amp;소재DB_RAW!$O$3:$O,(소재DB_RAW!$G$3:$G=$D301)*ISNUMBER(SEARCH("겉감",소재DB_RAW!$M$3:$M))))),"")</f>
        <v/>
      </c>
      <c r="Z301" s="26">
        <f>IFERROR(TEXTJOIN(CHAR(10),TRUE,UNIQUE(FILTER(소재DB_RAW!$N$3:$N&amp;") "&amp;소재DB_RAW!$O$3:$O,(소재DB_RAW!$G$3:$G=$D301)*ISNUMBER(SEARCH("안감",소재DB_RAW!$M$3:$M))))),"")</f>
        <v/>
      </c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21" t="n"/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",TRUE,UNIQUE(FILTER(소재DB_RAW!$K$3:$K,소재DB_RAW!$G$3:$G=$D302))),"")</f>
        <v/>
      </c>
      <c r="W302" s="20" t="inlineStr">
        <is>
          <t>베트남</t>
        </is>
      </c>
      <c r="X302" s="20">
        <f>IFERROR(TEXTJOIN(" / ",TRUE,UNIQUE(FILTER(소재DB_RAW!$N$3:$N,소재DB_RAW!$G$3:$G=$D302))),"")</f>
        <v/>
      </c>
      <c r="Y302" s="26">
        <f>IFERROR(TEXTJOIN(CHAR(10),TRUE,UNIQUE(FILTER(소재DB_RAW!$N$3:$N&amp;") "&amp;소재DB_RAW!$O$3:$O,(소재DB_RAW!$G$3:$G=$D302)*ISNUMBER(SEARCH("겉감",소재DB_RAW!$M$3:$M))))),"")</f>
        <v/>
      </c>
      <c r="Z302" s="26">
        <f>IFERROR(TEXTJOIN(CHAR(10),TRUE,UNIQUE(FILTER(소재DB_RAW!$N$3:$N&amp;") "&amp;소재DB_RAW!$O$3:$O,(소재DB_RAW!$G$3:$G=$D302)*ISNUMBER(SEARCH("안감",소재DB_RAW!$M$3:$M))))),"")</f>
        <v/>
      </c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21" t="inlineStr">
        <is>
          <t>O</t>
        </is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",TRUE,UNIQUE(FILTER(소재DB_RAW!$K$3:$K,소재DB_RAW!$G$3:$G=$D303))),"")</f>
        <v/>
      </c>
      <c r="W303" s="20" t="inlineStr">
        <is>
          <t>국내</t>
        </is>
      </c>
      <c r="X303" s="20">
        <f>IFERROR(TEXTJOIN(" / ",TRUE,UNIQUE(FILTER(소재DB_RAW!$N$3:$N,소재DB_RAW!$G$3:$G=$D303))),"")</f>
        <v/>
      </c>
      <c r="Y303" s="26">
        <f>IFERROR(TEXTJOIN(CHAR(10),TRUE,UNIQUE(FILTER(소재DB_RAW!$N$3:$N&amp;") "&amp;소재DB_RAW!$O$3:$O,(소재DB_RAW!$G$3:$G=$D303)*ISNUMBER(SEARCH("겉감",소재DB_RAW!$M$3:$M))))),"")</f>
        <v/>
      </c>
      <c r="Z303" s="26">
        <f>IFERROR(TEXTJOIN(CHAR(10),TRUE,UNIQUE(FILTER(소재DB_RAW!$N$3:$N&amp;") "&amp;소재DB_RAW!$O$3:$O,(소재DB_RAW!$G$3:$G=$D303)*ISNUMBER(SEARCH("안감",소재DB_RAW!$M$3:$M))))),"")</f>
        <v/>
      </c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21" t="n"/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",TRUE,UNIQUE(FILTER(소재DB_RAW!$K$3:$K,소재DB_RAW!$G$3:$G=$D304))),"")</f>
        <v/>
      </c>
      <c r="W304" s="20" t="inlineStr">
        <is>
          <t>베트남</t>
        </is>
      </c>
      <c r="X304" s="20">
        <f>IFERROR(TEXTJOIN(" / ",TRUE,UNIQUE(FILTER(소재DB_RAW!$N$3:$N,소재DB_RAW!$G$3:$G=$D304))),"")</f>
        <v/>
      </c>
      <c r="Y304" s="26">
        <f>IFERROR(TEXTJOIN(CHAR(10),TRUE,UNIQUE(FILTER(소재DB_RAW!$N$3:$N&amp;") "&amp;소재DB_RAW!$O$3:$O,(소재DB_RAW!$G$3:$G=$D304)*ISNUMBER(SEARCH("겉감",소재DB_RAW!$M$3:$M))))),"")</f>
        <v/>
      </c>
      <c r="Z304" s="26">
        <f>IFERROR(TEXTJOIN(CHAR(10),TRUE,UNIQUE(FILTER(소재DB_RAW!$N$3:$N&amp;") "&amp;소재DB_RAW!$O$3:$O,(소재DB_RAW!$G$3:$G=$D304)*ISNUMBER(SEARCH("안감",소재DB_RAW!$M$3:$M))))),"")</f>
        <v/>
      </c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21" t="inlineStr">
        <is>
          <t>X</t>
        </is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",TRUE,UNIQUE(FILTER(소재DB_RAW!$K$3:$K,소재DB_RAW!$G$3:$G=$D305))),"")</f>
        <v/>
      </c>
      <c r="W305" s="20" t="inlineStr">
        <is>
          <t>베트남</t>
        </is>
      </c>
      <c r="X305" s="20">
        <f>IFERROR(TEXTJOIN(" / ",TRUE,UNIQUE(FILTER(소재DB_RAW!$N$3:$N,소재DB_RAW!$G$3:$G=$D305))),"")</f>
        <v/>
      </c>
      <c r="Y305" s="26">
        <f>IFERROR(TEXTJOIN(CHAR(10),TRUE,UNIQUE(FILTER(소재DB_RAW!$N$3:$N&amp;") "&amp;소재DB_RAW!$O$3:$O,(소재DB_RAW!$G$3:$G=$D305)*ISNUMBER(SEARCH("겉감",소재DB_RAW!$M$3:$M))))),"")</f>
        <v/>
      </c>
      <c r="Z305" s="26">
        <f>IFERROR(TEXTJOIN(CHAR(10),TRUE,UNIQUE(FILTER(소재DB_RAW!$N$3:$N&amp;") "&amp;소재DB_RAW!$O$3:$O,(소재DB_RAW!$G$3:$G=$D305)*ISNUMBER(SEARCH("안감",소재DB_RAW!$M$3:$M))))),"")</f>
        <v/>
      </c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21" t="inlineStr">
        <is>
          <t>X</t>
        </is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",TRUE,UNIQUE(FILTER(소재DB_RAW!$K$3:$K,소재DB_RAW!$G$3:$G=$D306))),"")</f>
        <v/>
      </c>
      <c r="W306" s="20" t="inlineStr">
        <is>
          <t>베트남</t>
        </is>
      </c>
      <c r="X306" s="20">
        <f>IFERROR(TEXTJOIN(" / ",TRUE,UNIQUE(FILTER(소재DB_RAW!$N$3:$N,소재DB_RAW!$G$3:$G=$D306))),"")</f>
        <v/>
      </c>
      <c r="Y306" s="26">
        <f>IFERROR(TEXTJOIN(CHAR(10),TRUE,UNIQUE(FILTER(소재DB_RAW!$N$3:$N&amp;") "&amp;소재DB_RAW!$O$3:$O,(소재DB_RAW!$G$3:$G=$D306)*ISNUMBER(SEARCH("겉감",소재DB_RAW!$M$3:$M))))),"")</f>
        <v/>
      </c>
      <c r="Z306" s="26">
        <f>IFERROR(TEXTJOIN(CHAR(10),TRUE,UNIQUE(FILTER(소재DB_RAW!$N$3:$N&amp;") "&amp;소재DB_RAW!$O$3:$O,(소재DB_RAW!$G$3:$G=$D306)*ISNUMBER(SEARCH("안감",소재DB_RAW!$M$3:$M))))),"")</f>
        <v/>
      </c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21" t="n"/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",TRUE,UNIQUE(FILTER(소재DB_RAW!$K$3:$K,소재DB_RAW!$G$3:$G=$D307))),"")</f>
        <v/>
      </c>
      <c r="W307" s="20" t="inlineStr">
        <is>
          <t>베트남</t>
        </is>
      </c>
      <c r="X307" s="20">
        <f>IFERROR(TEXTJOIN(" / ",TRUE,UNIQUE(FILTER(소재DB_RAW!$N$3:$N,소재DB_RAW!$G$3:$G=$D307))),"")</f>
        <v/>
      </c>
      <c r="Y307" s="26">
        <f>IFERROR(TEXTJOIN(CHAR(10),TRUE,UNIQUE(FILTER(소재DB_RAW!$N$3:$N&amp;") "&amp;소재DB_RAW!$O$3:$O,(소재DB_RAW!$G$3:$G=$D307)*ISNUMBER(SEARCH("겉감",소재DB_RAW!$M$3:$M))))),"")</f>
        <v/>
      </c>
      <c r="Z307" s="26">
        <f>IFERROR(TEXTJOIN(CHAR(10),TRUE,UNIQUE(FILTER(소재DB_RAW!$N$3:$N&amp;") "&amp;소재DB_RAW!$O$3:$O,(소재DB_RAW!$G$3:$G=$D307)*ISNUMBER(SEARCH("안감",소재DB_RAW!$M$3:$M))))),"")</f>
        <v/>
      </c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21" t="inlineStr">
        <is>
          <t>X</t>
        </is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",TRUE,UNIQUE(FILTER(소재DB_RAW!$K$3:$K,소재DB_RAW!$G$3:$G=$D308))),"")</f>
        <v/>
      </c>
      <c r="W308" s="20" t="inlineStr">
        <is>
          <t>인도네시아</t>
        </is>
      </c>
      <c r="X308" s="20">
        <f>IFERROR(TEXTJOIN(" / ",TRUE,UNIQUE(FILTER(소재DB_RAW!$N$3:$N,소재DB_RAW!$G$3:$G=$D308))),"")</f>
        <v/>
      </c>
      <c r="Y308" s="26">
        <f>IFERROR(TEXTJOIN(CHAR(10),TRUE,UNIQUE(FILTER(소재DB_RAW!$N$3:$N&amp;") "&amp;소재DB_RAW!$O$3:$O,(소재DB_RAW!$G$3:$G=$D308)*ISNUMBER(SEARCH("겉감",소재DB_RAW!$M$3:$M))))),"")</f>
        <v/>
      </c>
      <c r="Z308" s="26">
        <f>IFERROR(TEXTJOIN(CHAR(10),TRUE,UNIQUE(FILTER(소재DB_RAW!$N$3:$N&amp;") "&amp;소재DB_RAW!$O$3:$O,(소재DB_RAW!$G$3:$G=$D308)*ISNUMBER(SEARCH("안감",소재DB_RAW!$M$3:$M))))),"")</f>
        <v/>
      </c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21" t="inlineStr">
        <is>
          <t>X</t>
        </is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",TRUE,UNIQUE(FILTER(소재DB_RAW!$K$3:$K,소재DB_RAW!$G$3:$G=$D309))),"")</f>
        <v/>
      </c>
      <c r="W309" s="20" t="inlineStr">
        <is>
          <t>인도네시아</t>
        </is>
      </c>
      <c r="X309" s="20">
        <f>IFERROR(TEXTJOIN(" / ",TRUE,UNIQUE(FILTER(소재DB_RAW!$N$3:$N,소재DB_RAW!$G$3:$G=$D309))),"")</f>
        <v/>
      </c>
      <c r="Y309" s="26">
        <f>IFERROR(TEXTJOIN(CHAR(10),TRUE,UNIQUE(FILTER(소재DB_RAW!$N$3:$N&amp;") "&amp;소재DB_RAW!$O$3:$O,(소재DB_RAW!$G$3:$G=$D309)*ISNUMBER(SEARCH("겉감",소재DB_RAW!$M$3:$M))))),"")</f>
        <v/>
      </c>
      <c r="Z309" s="26">
        <f>IFERROR(TEXTJOIN(CHAR(10),TRUE,UNIQUE(FILTER(소재DB_RAW!$N$3:$N&amp;") "&amp;소재DB_RAW!$O$3:$O,(소재DB_RAW!$G$3:$G=$D309)*ISNUMBER(SEARCH("안감",소재DB_RAW!$M$3:$M))))),"")</f>
        <v/>
      </c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21" t="inlineStr">
        <is>
          <t>X</t>
        </is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",TRUE,UNIQUE(FILTER(소재DB_RAW!$K$3:$K,소재DB_RAW!$G$3:$G=$D310))),"")</f>
        <v/>
      </c>
      <c r="W310" s="20" t="inlineStr">
        <is>
          <t>베트남</t>
        </is>
      </c>
      <c r="X310" s="20">
        <f>IFERROR(TEXTJOIN(" / ",TRUE,UNIQUE(FILTER(소재DB_RAW!$N$3:$N,소재DB_RAW!$G$3:$G=$D310))),"")</f>
        <v/>
      </c>
      <c r="Y310" s="26">
        <f>IFERROR(TEXTJOIN(CHAR(10),TRUE,UNIQUE(FILTER(소재DB_RAW!$N$3:$N&amp;") "&amp;소재DB_RAW!$O$3:$O,(소재DB_RAW!$G$3:$G=$D310)*ISNUMBER(SEARCH("겉감",소재DB_RAW!$M$3:$M))))),"")</f>
        <v/>
      </c>
      <c r="Z310" s="26">
        <f>IFERROR(TEXTJOIN(CHAR(10),TRUE,UNIQUE(FILTER(소재DB_RAW!$N$3:$N&amp;") "&amp;소재DB_RAW!$O$3:$O,(소재DB_RAW!$G$3:$G=$D310)*ISNUMBER(SEARCH("안감",소재DB_RAW!$M$3:$M))))),"")</f>
        <v/>
      </c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21" t="inlineStr">
        <is>
          <t>X</t>
        </is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",TRUE,UNIQUE(FILTER(소재DB_RAW!$K$3:$K,소재DB_RAW!$G$3:$G=$D311))),"")</f>
        <v/>
      </c>
      <c r="W311" s="20" t="inlineStr">
        <is>
          <t>베트남</t>
        </is>
      </c>
      <c r="X311" s="20">
        <f>IFERROR(TEXTJOIN(" / ",TRUE,UNIQUE(FILTER(소재DB_RAW!$N$3:$N,소재DB_RAW!$G$3:$G=$D311))),"")</f>
        <v/>
      </c>
      <c r="Y311" s="26">
        <f>IFERROR(TEXTJOIN(CHAR(10),TRUE,UNIQUE(FILTER(소재DB_RAW!$N$3:$N&amp;") "&amp;소재DB_RAW!$O$3:$O,(소재DB_RAW!$G$3:$G=$D311)*ISNUMBER(SEARCH("겉감",소재DB_RAW!$M$3:$M))))),"")</f>
        <v/>
      </c>
      <c r="Z311" s="26">
        <f>IFERROR(TEXTJOIN(CHAR(10),TRUE,UNIQUE(FILTER(소재DB_RAW!$N$3:$N&amp;") "&amp;소재DB_RAW!$O$3:$O,(소재DB_RAW!$G$3:$G=$D311)*ISNUMBER(SEARCH("안감",소재DB_RAW!$M$3:$M))))),"")</f>
        <v/>
      </c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21" t="n"/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",TRUE,UNIQUE(FILTER(소재DB_RAW!$K$3:$K,소재DB_RAW!$G$3:$G=$D312))),"")</f>
        <v/>
      </c>
      <c r="W312" s="20" t="inlineStr">
        <is>
          <t>베트남</t>
        </is>
      </c>
      <c r="X312" s="20">
        <f>IFERROR(TEXTJOIN(" / ",TRUE,UNIQUE(FILTER(소재DB_RAW!$N$3:$N,소재DB_RAW!$G$3:$G=$D312))),"")</f>
        <v/>
      </c>
      <c r="Y312" s="26">
        <f>IFERROR(TEXTJOIN(CHAR(10),TRUE,UNIQUE(FILTER(소재DB_RAW!$N$3:$N&amp;") "&amp;소재DB_RAW!$O$3:$O,(소재DB_RAW!$G$3:$G=$D312)*ISNUMBER(SEARCH("겉감",소재DB_RAW!$M$3:$M))))),"")</f>
        <v/>
      </c>
      <c r="Z312" s="26">
        <f>IFERROR(TEXTJOIN(CHAR(10),TRUE,UNIQUE(FILTER(소재DB_RAW!$N$3:$N&amp;") "&amp;소재DB_RAW!$O$3:$O,(소재DB_RAW!$G$3:$G=$D312)*ISNUMBER(SEARCH("안감",소재DB_RAW!$M$3:$M))))),"")</f>
        <v/>
      </c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21" t="inlineStr">
        <is>
          <t>X</t>
        </is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",TRUE,UNIQUE(FILTER(소재DB_RAW!$K$3:$K,소재DB_RAW!$G$3:$G=$D313))),"")</f>
        <v/>
      </c>
      <c r="W313" s="20" t="inlineStr">
        <is>
          <t>인도네시아</t>
        </is>
      </c>
      <c r="X313" s="20">
        <f>IFERROR(TEXTJOIN(" / ",TRUE,UNIQUE(FILTER(소재DB_RAW!$N$3:$N,소재DB_RAW!$G$3:$G=$D313))),"")</f>
        <v/>
      </c>
      <c r="Y313" s="26">
        <f>IFERROR(TEXTJOIN(CHAR(10),TRUE,UNIQUE(FILTER(소재DB_RAW!$N$3:$N&amp;") "&amp;소재DB_RAW!$O$3:$O,(소재DB_RAW!$G$3:$G=$D313)*ISNUMBER(SEARCH("겉감",소재DB_RAW!$M$3:$M))))),"")</f>
        <v/>
      </c>
      <c r="Z313" s="26">
        <f>IFERROR(TEXTJOIN(CHAR(10),TRUE,UNIQUE(FILTER(소재DB_RAW!$N$3:$N&amp;") "&amp;소재DB_RAW!$O$3:$O,(소재DB_RAW!$G$3:$G=$D313)*ISNUMBER(SEARCH("안감",소재DB_RAW!$M$3:$M))))),"")</f>
        <v/>
      </c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21" t="inlineStr">
        <is>
          <t>X</t>
        </is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",TRUE,UNIQUE(FILTER(소재DB_RAW!$K$3:$K,소재DB_RAW!$G$3:$G=$D314))),"")</f>
        <v/>
      </c>
      <c r="W314" s="20" t="inlineStr">
        <is>
          <t>인도네시아</t>
        </is>
      </c>
      <c r="X314" s="20">
        <f>IFERROR(TEXTJOIN(" / ",TRUE,UNIQUE(FILTER(소재DB_RAW!$N$3:$N,소재DB_RAW!$G$3:$G=$D314))),"")</f>
        <v/>
      </c>
      <c r="Y314" s="26">
        <f>IFERROR(TEXTJOIN(CHAR(10),TRUE,UNIQUE(FILTER(소재DB_RAW!$N$3:$N&amp;") "&amp;소재DB_RAW!$O$3:$O,(소재DB_RAW!$G$3:$G=$D314)*ISNUMBER(SEARCH("겉감",소재DB_RAW!$M$3:$M))))),"")</f>
        <v/>
      </c>
      <c r="Z314" s="26">
        <f>IFERROR(TEXTJOIN(CHAR(10),TRUE,UNIQUE(FILTER(소재DB_RAW!$N$3:$N&amp;") "&amp;소재DB_RAW!$O$3:$O,(소재DB_RAW!$G$3:$G=$D314)*ISNUMBER(SEARCH("안감",소재DB_RAW!$M$3:$M))))),"")</f>
        <v/>
      </c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21" t="inlineStr">
        <is>
          <t>X</t>
        </is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",TRUE,UNIQUE(FILTER(소재DB_RAW!$K$3:$K,소재DB_RAW!$G$3:$G=$D315))),"")</f>
        <v/>
      </c>
      <c r="W315" s="20" t="inlineStr">
        <is>
          <t>베트남</t>
        </is>
      </c>
      <c r="X315" s="20">
        <f>IFERROR(TEXTJOIN(" / ",TRUE,UNIQUE(FILTER(소재DB_RAW!$N$3:$N,소재DB_RAW!$G$3:$G=$D315))),"")</f>
        <v/>
      </c>
      <c r="Y315" s="26">
        <f>IFERROR(TEXTJOIN(CHAR(10),TRUE,UNIQUE(FILTER(소재DB_RAW!$N$3:$N&amp;") "&amp;소재DB_RAW!$O$3:$O,(소재DB_RAW!$G$3:$G=$D315)*ISNUMBER(SEARCH("겉감",소재DB_RAW!$M$3:$M))))),"")</f>
        <v/>
      </c>
      <c r="Z315" s="26">
        <f>IFERROR(TEXTJOIN(CHAR(10),TRUE,UNIQUE(FILTER(소재DB_RAW!$N$3:$N&amp;") "&amp;소재DB_RAW!$O$3:$O,(소재DB_RAW!$G$3:$G=$D315)*ISNUMBER(SEARCH("안감",소재DB_RAW!$M$3:$M))))),"")</f>
        <v/>
      </c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21" t="inlineStr">
        <is>
          <t>X</t>
        </is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",TRUE,UNIQUE(FILTER(소재DB_RAW!$K$3:$K,소재DB_RAW!$G$3:$G=$D316))),"")</f>
        <v/>
      </c>
      <c r="W316" s="20" t="inlineStr">
        <is>
          <t>베트남</t>
        </is>
      </c>
      <c r="X316" s="20">
        <f>IFERROR(TEXTJOIN(" / ",TRUE,UNIQUE(FILTER(소재DB_RAW!$N$3:$N,소재DB_RAW!$G$3:$G=$D316))),"")</f>
        <v/>
      </c>
      <c r="Y316" s="26">
        <f>IFERROR(TEXTJOIN(CHAR(10),TRUE,UNIQUE(FILTER(소재DB_RAW!$N$3:$N&amp;") "&amp;소재DB_RAW!$O$3:$O,(소재DB_RAW!$G$3:$G=$D316)*ISNUMBER(SEARCH("겉감",소재DB_RAW!$M$3:$M))))),"")</f>
        <v/>
      </c>
      <c r="Z316" s="26">
        <f>IFERROR(TEXTJOIN(CHAR(10),TRUE,UNIQUE(FILTER(소재DB_RAW!$N$3:$N&amp;") "&amp;소재DB_RAW!$O$3:$O,(소재DB_RAW!$G$3:$G=$D316)*ISNUMBER(SEARCH("안감",소재DB_RAW!$M$3:$M))))),"")</f>
        <v/>
      </c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21" t="inlineStr">
        <is>
          <t>X</t>
        </is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",TRUE,UNIQUE(FILTER(소재DB_RAW!$K$3:$K,소재DB_RAW!$G$3:$G=$D317))),"")</f>
        <v/>
      </c>
      <c r="W317" s="20" t="inlineStr">
        <is>
          <t>베트남</t>
        </is>
      </c>
      <c r="X317" s="20">
        <f>IFERROR(TEXTJOIN(" / ",TRUE,UNIQUE(FILTER(소재DB_RAW!$N$3:$N,소재DB_RAW!$G$3:$G=$D317))),"")</f>
        <v/>
      </c>
      <c r="Y317" s="26">
        <f>IFERROR(TEXTJOIN(CHAR(10),TRUE,UNIQUE(FILTER(소재DB_RAW!$N$3:$N&amp;") "&amp;소재DB_RAW!$O$3:$O,(소재DB_RAW!$G$3:$G=$D317)*ISNUMBER(SEARCH("겉감",소재DB_RAW!$M$3:$M))))),"")</f>
        <v/>
      </c>
      <c r="Z317" s="26">
        <f>IFERROR(TEXTJOIN(CHAR(10),TRUE,UNIQUE(FILTER(소재DB_RAW!$N$3:$N&amp;") "&amp;소재DB_RAW!$O$3:$O,(소재DB_RAW!$G$3:$G=$D317)*ISNUMBER(SEARCH("안감",소재DB_RAW!$M$3:$M))))),"")</f>
        <v/>
      </c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21" t="inlineStr">
        <is>
          <t>X</t>
        </is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",TRUE,UNIQUE(FILTER(소재DB_RAW!$K$3:$K,소재DB_RAW!$G$3:$G=$D318))),"")</f>
        <v/>
      </c>
      <c r="W318" s="20" t="inlineStr">
        <is>
          <t>베트남</t>
        </is>
      </c>
      <c r="X318" s="20">
        <f>IFERROR(TEXTJOIN(" / ",TRUE,UNIQUE(FILTER(소재DB_RAW!$N$3:$N,소재DB_RAW!$G$3:$G=$D318))),"")</f>
        <v/>
      </c>
      <c r="Y318" s="26">
        <f>IFERROR(TEXTJOIN(CHAR(10),TRUE,UNIQUE(FILTER(소재DB_RAW!$N$3:$N&amp;") "&amp;소재DB_RAW!$O$3:$O,(소재DB_RAW!$G$3:$G=$D318)*ISNUMBER(SEARCH("겉감",소재DB_RAW!$M$3:$M))))),"")</f>
        <v/>
      </c>
      <c r="Z318" s="26">
        <f>IFERROR(TEXTJOIN(CHAR(10),TRUE,UNIQUE(FILTER(소재DB_RAW!$N$3:$N&amp;") "&amp;소재DB_RAW!$O$3:$O,(소재DB_RAW!$G$3:$G=$D318)*ISNUMBER(SEARCH("안감",소재DB_RAW!$M$3:$M))))),"")</f>
        <v/>
      </c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21" t="inlineStr">
        <is>
          <t>X</t>
        </is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",TRUE,UNIQUE(FILTER(소재DB_RAW!$K$3:$K,소재DB_RAW!$G$3:$G=$D319))),"")</f>
        <v/>
      </c>
      <c r="W319" s="20" t="inlineStr">
        <is>
          <t>베트남</t>
        </is>
      </c>
      <c r="X319" s="20">
        <f>IFERROR(TEXTJOIN(" / ",TRUE,UNIQUE(FILTER(소재DB_RAW!$N$3:$N,소재DB_RAW!$G$3:$G=$D319))),"")</f>
        <v/>
      </c>
      <c r="Y319" s="26">
        <f>IFERROR(TEXTJOIN(CHAR(10),TRUE,UNIQUE(FILTER(소재DB_RAW!$N$3:$N&amp;") "&amp;소재DB_RAW!$O$3:$O,(소재DB_RAW!$G$3:$G=$D319)*ISNUMBER(SEARCH("겉감",소재DB_RAW!$M$3:$M))))),"")</f>
        <v/>
      </c>
      <c r="Z319" s="26">
        <f>IFERROR(TEXTJOIN(CHAR(10),TRUE,UNIQUE(FILTER(소재DB_RAW!$N$3:$N&amp;") "&amp;소재DB_RAW!$O$3:$O,(소재DB_RAW!$G$3:$G=$D319)*ISNUMBER(SEARCH("안감",소재DB_RAW!$M$3:$M))))),"")</f>
        <v/>
      </c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21" t="inlineStr">
        <is>
          <t>X</t>
        </is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",TRUE,UNIQUE(FILTER(소재DB_RAW!$K$3:$K,소재DB_RAW!$G$3:$G=$D320))),"")</f>
        <v/>
      </c>
      <c r="W320" s="20" t="inlineStr">
        <is>
          <t>베트남</t>
        </is>
      </c>
      <c r="X320" s="20">
        <f>IFERROR(TEXTJOIN(" / ",TRUE,UNIQUE(FILTER(소재DB_RAW!$N$3:$N,소재DB_RAW!$G$3:$G=$D320))),"")</f>
        <v/>
      </c>
      <c r="Y320" s="26">
        <f>IFERROR(TEXTJOIN(CHAR(10),TRUE,UNIQUE(FILTER(소재DB_RAW!$N$3:$N&amp;") "&amp;소재DB_RAW!$O$3:$O,(소재DB_RAW!$G$3:$G=$D320)*ISNUMBER(SEARCH("겉감",소재DB_RAW!$M$3:$M))))),"")</f>
        <v/>
      </c>
      <c r="Z320" s="26">
        <f>IFERROR(TEXTJOIN(CHAR(10),TRUE,UNIQUE(FILTER(소재DB_RAW!$N$3:$N&amp;") "&amp;소재DB_RAW!$O$3:$O,(소재DB_RAW!$G$3:$G=$D320)*ISNUMBER(SEARCH("안감",소재DB_RAW!$M$3:$M))))),"")</f>
        <v/>
      </c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21" t="inlineStr">
        <is>
          <t>X</t>
        </is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",TRUE,UNIQUE(FILTER(소재DB_RAW!$K$3:$K,소재DB_RAW!$G$3:$G=$D321))),"")</f>
        <v/>
      </c>
      <c r="W321" s="20" t="inlineStr">
        <is>
          <t>베트남</t>
        </is>
      </c>
      <c r="X321" s="20">
        <f>IFERROR(TEXTJOIN(" / ",TRUE,UNIQUE(FILTER(소재DB_RAW!$N$3:$N,소재DB_RAW!$G$3:$G=$D321))),"")</f>
        <v/>
      </c>
      <c r="Y321" s="26">
        <f>IFERROR(TEXTJOIN(CHAR(10),TRUE,UNIQUE(FILTER(소재DB_RAW!$N$3:$N&amp;") "&amp;소재DB_RAW!$O$3:$O,(소재DB_RAW!$G$3:$G=$D321)*ISNUMBER(SEARCH("겉감",소재DB_RAW!$M$3:$M))))),"")</f>
        <v/>
      </c>
      <c r="Z321" s="26">
        <f>IFERROR(TEXTJOIN(CHAR(10),TRUE,UNIQUE(FILTER(소재DB_RAW!$N$3:$N&amp;") "&amp;소재DB_RAW!$O$3:$O,(소재DB_RAW!$G$3:$G=$D321)*ISNUMBER(SEARCH("안감",소재DB_RAW!$M$3:$M))))),"")</f>
        <v/>
      </c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21" t="inlineStr">
        <is>
          <t>X</t>
        </is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",TRUE,UNIQUE(FILTER(소재DB_RAW!$K$3:$K,소재DB_RAW!$G$3:$G=$D322))),"")</f>
        <v/>
      </c>
      <c r="W322" s="20" t="inlineStr">
        <is>
          <t>베트남</t>
        </is>
      </c>
      <c r="X322" s="20">
        <f>IFERROR(TEXTJOIN(" / ",TRUE,UNIQUE(FILTER(소재DB_RAW!$N$3:$N,소재DB_RAW!$G$3:$G=$D322))),"")</f>
        <v/>
      </c>
      <c r="Y322" s="26">
        <f>IFERROR(TEXTJOIN(CHAR(10),TRUE,UNIQUE(FILTER(소재DB_RAW!$N$3:$N&amp;") "&amp;소재DB_RAW!$O$3:$O,(소재DB_RAW!$G$3:$G=$D322)*ISNUMBER(SEARCH("겉감",소재DB_RAW!$M$3:$M))))),"")</f>
        <v/>
      </c>
      <c r="Z322" s="26">
        <f>IFERROR(TEXTJOIN(CHAR(10),TRUE,UNIQUE(FILTER(소재DB_RAW!$N$3:$N&amp;") "&amp;소재DB_RAW!$O$3:$O,(소재DB_RAW!$G$3:$G=$D322)*ISNUMBER(SEARCH("안감",소재DB_RAW!$M$3:$M))))),"")</f>
        <v/>
      </c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21" t="inlineStr">
        <is>
          <t>X</t>
        </is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",TRUE,UNIQUE(FILTER(소재DB_RAW!$K$3:$K,소재DB_RAW!$G$3:$G=$D323))),"")</f>
        <v/>
      </c>
      <c r="W323" s="20" t="inlineStr">
        <is>
          <t>중국</t>
        </is>
      </c>
      <c r="X323" s="20">
        <f>IFERROR(TEXTJOIN(" / ",TRUE,UNIQUE(FILTER(소재DB_RAW!$N$3:$N,소재DB_RAW!$G$3:$G=$D323))),"")</f>
        <v/>
      </c>
      <c r="Y323" s="26">
        <f>IFERROR(TEXTJOIN(CHAR(10),TRUE,UNIQUE(FILTER(소재DB_RAW!$N$3:$N&amp;") "&amp;소재DB_RAW!$O$3:$O,(소재DB_RAW!$G$3:$G=$D323)*ISNUMBER(SEARCH("겉감",소재DB_RAW!$M$3:$M))))),"")</f>
        <v/>
      </c>
      <c r="Z323" s="26">
        <f>IFERROR(TEXTJOIN(CHAR(10),TRUE,UNIQUE(FILTER(소재DB_RAW!$N$3:$N&amp;") "&amp;소재DB_RAW!$O$3:$O,(소재DB_RAW!$G$3:$G=$D323)*ISNUMBER(SEARCH("안감",소재DB_RAW!$M$3:$M))))),"")</f>
        <v/>
      </c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21" t="inlineStr">
        <is>
          <t>X</t>
        </is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",TRUE,UNIQUE(FILTER(소재DB_RAW!$K$3:$K,소재DB_RAW!$G$3:$G=$D324))),"")</f>
        <v/>
      </c>
      <c r="W324" s="20" t="inlineStr">
        <is>
          <t>베트남</t>
        </is>
      </c>
      <c r="X324" s="20">
        <f>IFERROR(TEXTJOIN(" / ",TRUE,UNIQUE(FILTER(소재DB_RAW!$N$3:$N,소재DB_RAW!$G$3:$G=$D324))),"")</f>
        <v/>
      </c>
      <c r="Y324" s="26">
        <f>IFERROR(TEXTJOIN(CHAR(10),TRUE,UNIQUE(FILTER(소재DB_RAW!$N$3:$N&amp;") "&amp;소재DB_RAW!$O$3:$O,(소재DB_RAW!$G$3:$G=$D324)*ISNUMBER(SEARCH("겉감",소재DB_RAW!$M$3:$M))))),"")</f>
        <v/>
      </c>
      <c r="Z324" s="26">
        <f>IFERROR(TEXTJOIN(CHAR(10),TRUE,UNIQUE(FILTER(소재DB_RAW!$N$3:$N&amp;") "&amp;소재DB_RAW!$O$3:$O,(소재DB_RAW!$G$3:$G=$D324)*ISNUMBER(SEARCH("안감",소재DB_RAW!$M$3:$M))))),"")</f>
        <v/>
      </c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21" t="inlineStr">
        <is>
          <t>X</t>
        </is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",TRUE,UNIQUE(FILTER(소재DB_RAW!$K$3:$K,소재DB_RAW!$G$3:$G=$D325))),"")</f>
        <v/>
      </c>
      <c r="W325" s="20" t="inlineStr">
        <is>
          <t>베트남</t>
        </is>
      </c>
      <c r="X325" s="20">
        <f>IFERROR(TEXTJOIN(" / ",TRUE,UNIQUE(FILTER(소재DB_RAW!$N$3:$N,소재DB_RAW!$G$3:$G=$D325))),"")</f>
        <v/>
      </c>
      <c r="Y325" s="26">
        <f>IFERROR(TEXTJOIN(CHAR(10),TRUE,UNIQUE(FILTER(소재DB_RAW!$N$3:$N&amp;") "&amp;소재DB_RAW!$O$3:$O,(소재DB_RAW!$G$3:$G=$D325)*ISNUMBER(SEARCH("겉감",소재DB_RAW!$M$3:$M))))),"")</f>
        <v/>
      </c>
      <c r="Z325" s="26">
        <f>IFERROR(TEXTJOIN(CHAR(10),TRUE,UNIQUE(FILTER(소재DB_RAW!$N$3:$N&amp;") "&amp;소재DB_RAW!$O$3:$O,(소재DB_RAW!$G$3:$G=$D325)*ISNUMBER(SEARCH("안감",소재DB_RAW!$M$3:$M))))),"")</f>
        <v/>
      </c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21" t="inlineStr">
        <is>
          <t>X</t>
        </is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",TRUE,UNIQUE(FILTER(소재DB_RAW!$K$3:$K,소재DB_RAW!$G$3:$G=$D326))),"")</f>
        <v/>
      </c>
      <c r="W326" s="20" t="inlineStr">
        <is>
          <t>베트남</t>
        </is>
      </c>
      <c r="X326" s="20">
        <f>IFERROR(TEXTJOIN(" / ",TRUE,UNIQUE(FILTER(소재DB_RAW!$N$3:$N,소재DB_RAW!$G$3:$G=$D326))),"")</f>
        <v/>
      </c>
      <c r="Y326" s="26">
        <f>IFERROR(TEXTJOIN(CHAR(10),TRUE,UNIQUE(FILTER(소재DB_RAW!$N$3:$N&amp;") "&amp;소재DB_RAW!$O$3:$O,(소재DB_RAW!$G$3:$G=$D326)*ISNUMBER(SEARCH("겉감",소재DB_RAW!$M$3:$M))))),"")</f>
        <v/>
      </c>
      <c r="Z326" s="26">
        <f>IFERROR(TEXTJOIN(CHAR(10),TRUE,UNIQUE(FILTER(소재DB_RAW!$N$3:$N&amp;") "&amp;소재DB_RAW!$O$3:$O,(소재DB_RAW!$G$3:$G=$D326)*ISNUMBER(SEARCH("안감",소재DB_RAW!$M$3:$M))))),"")</f>
        <v/>
      </c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21" t="inlineStr">
        <is>
          <t>X</t>
        </is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",TRUE,UNIQUE(FILTER(소재DB_RAW!$K$3:$K,소재DB_RAW!$G$3:$G=$D327))),"")</f>
        <v/>
      </c>
      <c r="W327" s="20" t="inlineStr">
        <is>
          <t>국내</t>
        </is>
      </c>
      <c r="X327" s="20">
        <f>IFERROR(TEXTJOIN(" / ",TRUE,UNIQUE(FILTER(소재DB_RAW!$N$3:$N,소재DB_RAW!$G$3:$G=$D327))),"")</f>
        <v/>
      </c>
      <c r="Y327" s="26">
        <f>IFERROR(TEXTJOIN(CHAR(10),TRUE,UNIQUE(FILTER(소재DB_RAW!$N$3:$N&amp;") "&amp;소재DB_RAW!$O$3:$O,(소재DB_RAW!$G$3:$G=$D327)*ISNUMBER(SEARCH("겉감",소재DB_RAW!$M$3:$M))))),"")</f>
        <v/>
      </c>
      <c r="Z327" s="26">
        <f>IFERROR(TEXTJOIN(CHAR(10),TRUE,UNIQUE(FILTER(소재DB_RAW!$N$3:$N&amp;") "&amp;소재DB_RAW!$O$3:$O,(소재DB_RAW!$G$3:$G=$D327)*ISNUMBER(SEARCH("안감",소재DB_RAW!$M$3:$M))))),"")</f>
        <v/>
      </c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21" t="inlineStr">
        <is>
          <t>X</t>
        </is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",TRUE,UNIQUE(FILTER(소재DB_RAW!$K$3:$K,소재DB_RAW!$G$3:$G=$D328))),"")</f>
        <v/>
      </c>
      <c r="W328" s="20" t="inlineStr">
        <is>
          <t>베트남</t>
        </is>
      </c>
      <c r="X328" s="20">
        <f>IFERROR(TEXTJOIN(" / ",TRUE,UNIQUE(FILTER(소재DB_RAW!$N$3:$N,소재DB_RAW!$G$3:$G=$D328))),"")</f>
        <v/>
      </c>
      <c r="Y328" s="26">
        <f>IFERROR(TEXTJOIN(CHAR(10),TRUE,UNIQUE(FILTER(소재DB_RAW!$N$3:$N&amp;") "&amp;소재DB_RAW!$O$3:$O,(소재DB_RAW!$G$3:$G=$D328)*ISNUMBER(SEARCH("겉감",소재DB_RAW!$M$3:$M))))),"")</f>
        <v/>
      </c>
      <c r="Z328" s="26">
        <f>IFERROR(TEXTJOIN(CHAR(10),TRUE,UNIQUE(FILTER(소재DB_RAW!$N$3:$N&amp;") "&amp;소재DB_RAW!$O$3:$O,(소재DB_RAW!$G$3:$G=$D328)*ISNUMBER(SEARCH("안감",소재DB_RAW!$M$3:$M))))),"")</f>
        <v/>
      </c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21" t="inlineStr">
        <is>
          <t>X</t>
        </is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",TRUE,UNIQUE(FILTER(소재DB_RAW!$K$3:$K,소재DB_RAW!$G$3:$G=$D329))),"")</f>
        <v/>
      </c>
      <c r="W329" s="20" t="inlineStr">
        <is>
          <t>베트남</t>
        </is>
      </c>
      <c r="X329" s="20">
        <f>IFERROR(TEXTJOIN(" / ",TRUE,UNIQUE(FILTER(소재DB_RAW!$N$3:$N,소재DB_RAW!$G$3:$G=$D329))),"")</f>
        <v/>
      </c>
      <c r="Y329" s="26">
        <f>IFERROR(TEXTJOIN(CHAR(10),TRUE,UNIQUE(FILTER(소재DB_RAW!$N$3:$N&amp;") "&amp;소재DB_RAW!$O$3:$O,(소재DB_RAW!$G$3:$G=$D329)*ISNUMBER(SEARCH("겉감",소재DB_RAW!$M$3:$M))))),"")</f>
        <v/>
      </c>
      <c r="Z329" s="26">
        <f>IFERROR(TEXTJOIN(CHAR(10),TRUE,UNIQUE(FILTER(소재DB_RAW!$N$3:$N&amp;") "&amp;소재DB_RAW!$O$3:$O,(소재DB_RAW!$G$3:$G=$D329)*ISNUMBER(SEARCH("안감",소재DB_RAW!$M$3:$M))))),"")</f>
        <v/>
      </c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21" t="inlineStr">
        <is>
          <t>X</t>
        </is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",TRUE,UNIQUE(FILTER(소재DB_RAW!$K$3:$K,소재DB_RAW!$G$3:$G=$D330))),"")</f>
        <v/>
      </c>
      <c r="W330" s="20" t="inlineStr">
        <is>
          <t>베트남</t>
        </is>
      </c>
      <c r="X330" s="20">
        <f>IFERROR(TEXTJOIN(" / ",TRUE,UNIQUE(FILTER(소재DB_RAW!$N$3:$N,소재DB_RAW!$G$3:$G=$D330))),"")</f>
        <v/>
      </c>
      <c r="Y330" s="26">
        <f>IFERROR(TEXTJOIN(CHAR(10),TRUE,UNIQUE(FILTER(소재DB_RAW!$N$3:$N&amp;") "&amp;소재DB_RAW!$O$3:$O,(소재DB_RAW!$G$3:$G=$D330)*ISNUMBER(SEARCH("겉감",소재DB_RAW!$M$3:$M))))),"")</f>
        <v/>
      </c>
      <c r="Z330" s="26">
        <f>IFERROR(TEXTJOIN(CHAR(10),TRUE,UNIQUE(FILTER(소재DB_RAW!$N$3:$N&amp;") "&amp;소재DB_RAW!$O$3:$O,(소재DB_RAW!$G$3:$G=$D330)*ISNUMBER(SEARCH("안감",소재DB_RAW!$M$3:$M))))),"")</f>
        <v/>
      </c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21" t="inlineStr">
        <is>
          <t>X</t>
        </is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",TRUE,UNIQUE(FILTER(소재DB_RAW!$K$3:$K,소재DB_RAW!$G$3:$G=$D331))),"")</f>
        <v/>
      </c>
      <c r="W331" s="20" t="inlineStr">
        <is>
          <t>베트남</t>
        </is>
      </c>
      <c r="X331" s="20">
        <f>IFERROR(TEXTJOIN(" / ",TRUE,UNIQUE(FILTER(소재DB_RAW!$N$3:$N,소재DB_RAW!$G$3:$G=$D331))),"")</f>
        <v/>
      </c>
      <c r="Y331" s="26">
        <f>IFERROR(TEXTJOIN(CHAR(10),TRUE,UNIQUE(FILTER(소재DB_RAW!$N$3:$N&amp;") "&amp;소재DB_RAW!$O$3:$O,(소재DB_RAW!$G$3:$G=$D331)*ISNUMBER(SEARCH("겉감",소재DB_RAW!$M$3:$M))))),"")</f>
        <v/>
      </c>
      <c r="Z331" s="26">
        <f>IFERROR(TEXTJOIN(CHAR(10),TRUE,UNIQUE(FILTER(소재DB_RAW!$N$3:$N&amp;") "&amp;소재DB_RAW!$O$3:$O,(소재DB_RAW!$G$3:$G=$D331)*ISNUMBER(SEARCH("안감",소재DB_RAW!$M$3:$M))))),"")</f>
        <v/>
      </c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21" t="inlineStr">
        <is>
          <t>X</t>
        </is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",TRUE,UNIQUE(FILTER(소재DB_RAW!$K$3:$K,소재DB_RAW!$G$3:$G=$D332))),"")</f>
        <v/>
      </c>
      <c r="W332" s="20" t="inlineStr">
        <is>
          <t>베트남</t>
        </is>
      </c>
      <c r="X332" s="20">
        <f>IFERROR(TEXTJOIN(" / ",TRUE,UNIQUE(FILTER(소재DB_RAW!$N$3:$N,소재DB_RAW!$G$3:$G=$D332))),"")</f>
        <v/>
      </c>
      <c r="Y332" s="26">
        <f>IFERROR(TEXTJOIN(CHAR(10),TRUE,UNIQUE(FILTER(소재DB_RAW!$N$3:$N&amp;") "&amp;소재DB_RAW!$O$3:$O,(소재DB_RAW!$G$3:$G=$D332)*ISNUMBER(SEARCH("겉감",소재DB_RAW!$M$3:$M))))),"")</f>
        <v/>
      </c>
      <c r="Z332" s="26">
        <f>IFERROR(TEXTJOIN(CHAR(10),TRUE,UNIQUE(FILTER(소재DB_RAW!$N$3:$N&amp;") "&amp;소재DB_RAW!$O$3:$O,(소재DB_RAW!$G$3:$G=$D332)*ISNUMBER(SEARCH("안감",소재DB_RAW!$M$3:$M))))),"")</f>
        <v/>
      </c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21" t="inlineStr">
        <is>
          <t>X</t>
        </is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",TRUE,UNIQUE(FILTER(소재DB_RAW!$K$3:$K,소재DB_RAW!$G$3:$G=$D333))),"")</f>
        <v/>
      </c>
      <c r="W333" s="20" t="inlineStr">
        <is>
          <t>베트남</t>
        </is>
      </c>
      <c r="X333" s="20">
        <f>IFERROR(TEXTJOIN(" / ",TRUE,UNIQUE(FILTER(소재DB_RAW!$N$3:$N,소재DB_RAW!$G$3:$G=$D333))),"")</f>
        <v/>
      </c>
      <c r="Y333" s="26">
        <f>IFERROR(TEXTJOIN(CHAR(10),TRUE,UNIQUE(FILTER(소재DB_RAW!$N$3:$N&amp;") "&amp;소재DB_RAW!$O$3:$O,(소재DB_RAW!$G$3:$G=$D333)*ISNUMBER(SEARCH("겉감",소재DB_RAW!$M$3:$M))))),"")</f>
        <v/>
      </c>
      <c r="Z333" s="26">
        <f>IFERROR(TEXTJOIN(CHAR(10),TRUE,UNIQUE(FILTER(소재DB_RAW!$N$3:$N&amp;") "&amp;소재DB_RAW!$O$3:$O,(소재DB_RAW!$G$3:$G=$D333)*ISNUMBER(SEARCH("안감",소재DB_RAW!$M$3:$M))))),"")</f>
        <v/>
      </c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21" t="inlineStr">
        <is>
          <t>X</t>
        </is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",TRUE,UNIQUE(FILTER(소재DB_RAW!$K$3:$K,소재DB_RAW!$G$3:$G=$D334))),"")</f>
        <v/>
      </c>
      <c r="W334" s="20" t="inlineStr">
        <is>
          <t>베트남</t>
        </is>
      </c>
      <c r="X334" s="20">
        <f>IFERROR(TEXTJOIN(" / ",TRUE,UNIQUE(FILTER(소재DB_RAW!$N$3:$N,소재DB_RAW!$G$3:$G=$D334))),"")</f>
        <v/>
      </c>
      <c r="Y334" s="26">
        <f>IFERROR(TEXTJOIN(CHAR(10),TRUE,UNIQUE(FILTER(소재DB_RAW!$N$3:$N&amp;") "&amp;소재DB_RAW!$O$3:$O,(소재DB_RAW!$G$3:$G=$D334)*ISNUMBER(SEARCH("겉감",소재DB_RAW!$M$3:$M))))),"")</f>
        <v/>
      </c>
      <c r="Z334" s="26">
        <f>IFERROR(TEXTJOIN(CHAR(10),TRUE,UNIQUE(FILTER(소재DB_RAW!$N$3:$N&amp;") "&amp;소재DB_RAW!$O$3:$O,(소재DB_RAW!$G$3:$G=$D334)*ISNUMBER(SEARCH("안감",소재DB_RAW!$M$3:$M))))),"")</f>
        <v/>
      </c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21" t="inlineStr">
        <is>
          <t>X</t>
        </is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",TRUE,UNIQUE(FILTER(소재DB_RAW!$K$3:$K,소재DB_RAW!$G$3:$G=$D335))),"")</f>
        <v/>
      </c>
      <c r="W335" s="20" t="inlineStr">
        <is>
          <t>국내</t>
        </is>
      </c>
      <c r="X335" s="20">
        <f>IFERROR(TEXTJOIN(" / ",TRUE,UNIQUE(FILTER(소재DB_RAW!$N$3:$N,소재DB_RAW!$G$3:$G=$D335))),"")</f>
        <v/>
      </c>
      <c r="Y335" s="26">
        <f>IFERROR(TEXTJOIN(CHAR(10),TRUE,UNIQUE(FILTER(소재DB_RAW!$N$3:$N&amp;") "&amp;소재DB_RAW!$O$3:$O,(소재DB_RAW!$G$3:$G=$D335)*ISNUMBER(SEARCH("겉감",소재DB_RAW!$M$3:$M))))),"")</f>
        <v/>
      </c>
      <c r="Z335" s="26">
        <f>IFERROR(TEXTJOIN(CHAR(10),TRUE,UNIQUE(FILTER(소재DB_RAW!$N$3:$N&amp;") "&amp;소재DB_RAW!$O$3:$O,(소재DB_RAW!$G$3:$G=$D335)*ISNUMBER(SEARCH("안감",소재DB_RAW!$M$3:$M))))),"")</f>
        <v/>
      </c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21" t="inlineStr">
        <is>
          <t>X</t>
        </is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",TRUE,UNIQUE(FILTER(소재DB_RAW!$K$3:$K,소재DB_RAW!$G$3:$G=$D336))),"")</f>
        <v/>
      </c>
      <c r="W336" s="20" t="inlineStr">
        <is>
          <t>국내</t>
        </is>
      </c>
      <c r="X336" s="20">
        <f>IFERROR(TEXTJOIN(" / ",TRUE,UNIQUE(FILTER(소재DB_RAW!$N$3:$N,소재DB_RAW!$G$3:$G=$D336))),"")</f>
        <v/>
      </c>
      <c r="Y336" s="26">
        <f>IFERROR(TEXTJOIN(CHAR(10),TRUE,UNIQUE(FILTER(소재DB_RAW!$N$3:$N&amp;") "&amp;소재DB_RAW!$O$3:$O,(소재DB_RAW!$G$3:$G=$D336)*ISNUMBER(SEARCH("겉감",소재DB_RAW!$M$3:$M))))),"")</f>
        <v/>
      </c>
      <c r="Z336" s="26">
        <f>IFERROR(TEXTJOIN(CHAR(10),TRUE,UNIQUE(FILTER(소재DB_RAW!$N$3:$N&amp;") "&amp;소재DB_RAW!$O$3:$O,(소재DB_RAW!$G$3:$G=$D336)*ISNUMBER(SEARCH("안감",소재DB_RAW!$M$3:$M))))),"")</f>
        <v/>
      </c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21" t="inlineStr">
        <is>
          <t>X</t>
        </is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",TRUE,UNIQUE(FILTER(소재DB_RAW!$K$3:$K,소재DB_RAW!$G$3:$G=$D337))),"")</f>
        <v/>
      </c>
      <c r="W337" s="20" t="inlineStr">
        <is>
          <t>중국</t>
        </is>
      </c>
      <c r="X337" s="20">
        <f>IFERROR(TEXTJOIN(" / ",TRUE,UNIQUE(FILTER(소재DB_RAW!$N$3:$N,소재DB_RAW!$G$3:$G=$D337))),"")</f>
        <v/>
      </c>
      <c r="Y337" s="26">
        <f>IFERROR(TEXTJOIN(CHAR(10),TRUE,UNIQUE(FILTER(소재DB_RAW!$N$3:$N&amp;") "&amp;소재DB_RAW!$O$3:$O,(소재DB_RAW!$G$3:$G=$D337)*ISNUMBER(SEARCH("겉감",소재DB_RAW!$M$3:$M))))),"")</f>
        <v/>
      </c>
      <c r="Z337" s="26">
        <f>IFERROR(TEXTJOIN(CHAR(10),TRUE,UNIQUE(FILTER(소재DB_RAW!$N$3:$N&amp;") "&amp;소재DB_RAW!$O$3:$O,(소재DB_RAW!$G$3:$G=$D337)*ISNUMBER(SEARCH("안감",소재DB_RAW!$M$3:$M))))),"")</f>
        <v/>
      </c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21" t="inlineStr">
        <is>
          <t>X</t>
        </is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",TRUE,UNIQUE(FILTER(소재DB_RAW!$K$3:$K,소재DB_RAW!$G$3:$G=$D338))),"")</f>
        <v/>
      </c>
      <c r="W338" s="20" t="inlineStr">
        <is>
          <t>베트남</t>
        </is>
      </c>
      <c r="X338" s="20">
        <f>IFERROR(TEXTJOIN(" / ",TRUE,UNIQUE(FILTER(소재DB_RAW!$N$3:$N,소재DB_RAW!$G$3:$G=$D338))),"")</f>
        <v/>
      </c>
      <c r="Y338" s="26">
        <f>IFERROR(TEXTJOIN(CHAR(10),TRUE,UNIQUE(FILTER(소재DB_RAW!$N$3:$N&amp;") "&amp;소재DB_RAW!$O$3:$O,(소재DB_RAW!$G$3:$G=$D338)*ISNUMBER(SEARCH("겉감",소재DB_RAW!$M$3:$M))))),"")</f>
        <v/>
      </c>
      <c r="Z338" s="26">
        <f>IFERROR(TEXTJOIN(CHAR(10),TRUE,UNIQUE(FILTER(소재DB_RAW!$N$3:$N&amp;") "&amp;소재DB_RAW!$O$3:$O,(소재DB_RAW!$G$3:$G=$D338)*ISNUMBER(SEARCH("안감",소재DB_RAW!$M$3:$M))))),"")</f>
        <v/>
      </c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21" t="inlineStr">
        <is>
          <t>X</t>
        </is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",TRUE,UNIQUE(FILTER(소재DB_RAW!$K$3:$K,소재DB_RAW!$G$3:$G=$D339))),"")</f>
        <v/>
      </c>
      <c r="W339" s="20" t="inlineStr">
        <is>
          <t>국내</t>
        </is>
      </c>
      <c r="X339" s="20">
        <f>IFERROR(TEXTJOIN(" / ",TRUE,UNIQUE(FILTER(소재DB_RAW!$N$3:$N,소재DB_RAW!$G$3:$G=$D339))),"")</f>
        <v/>
      </c>
      <c r="Y339" s="26">
        <f>IFERROR(TEXTJOIN(CHAR(10),TRUE,UNIQUE(FILTER(소재DB_RAW!$N$3:$N&amp;") "&amp;소재DB_RAW!$O$3:$O,(소재DB_RAW!$G$3:$G=$D339)*ISNUMBER(SEARCH("겉감",소재DB_RAW!$M$3:$M))))),"")</f>
        <v/>
      </c>
      <c r="Z339" s="26">
        <f>IFERROR(TEXTJOIN(CHAR(10),TRUE,UNIQUE(FILTER(소재DB_RAW!$N$3:$N&amp;") "&amp;소재DB_RAW!$O$3:$O,(소재DB_RAW!$G$3:$G=$D339)*ISNUMBER(SEARCH("안감",소재DB_RAW!$M$3:$M))))),"")</f>
        <v/>
      </c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21" t="inlineStr">
        <is>
          <t>X</t>
        </is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",TRUE,UNIQUE(FILTER(소재DB_RAW!$K$3:$K,소재DB_RAW!$G$3:$G=$D340))),"")</f>
        <v/>
      </c>
      <c r="W340" s="20" t="inlineStr">
        <is>
          <t>국내</t>
        </is>
      </c>
      <c r="X340" s="20">
        <f>IFERROR(TEXTJOIN(" / ",TRUE,UNIQUE(FILTER(소재DB_RAW!$N$3:$N,소재DB_RAW!$G$3:$G=$D340))),"")</f>
        <v/>
      </c>
      <c r="Y340" s="26">
        <f>IFERROR(TEXTJOIN(CHAR(10),TRUE,UNIQUE(FILTER(소재DB_RAW!$N$3:$N&amp;") "&amp;소재DB_RAW!$O$3:$O,(소재DB_RAW!$G$3:$G=$D340)*ISNUMBER(SEARCH("겉감",소재DB_RAW!$M$3:$M))))),"")</f>
        <v/>
      </c>
      <c r="Z340" s="26">
        <f>IFERROR(TEXTJOIN(CHAR(10),TRUE,UNIQUE(FILTER(소재DB_RAW!$N$3:$N&amp;") "&amp;소재DB_RAW!$O$3:$O,(소재DB_RAW!$G$3:$G=$D340)*ISNUMBER(SEARCH("안감",소재DB_RAW!$M$3:$M))))),"")</f>
        <v/>
      </c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21" t="n"/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",TRUE,UNIQUE(FILTER(소재DB_RAW!$K$3:$K,소재DB_RAW!$G$3:$G=$D341))),"")</f>
        <v/>
      </c>
      <c r="W341" s="20" t="inlineStr"/>
      <c r="X341" s="20">
        <f>IFERROR(TEXTJOIN(" / ",TRUE,UNIQUE(FILTER(소재DB_RAW!$N$3:$N,소재DB_RAW!$G$3:$G=$D341))),"")</f>
        <v/>
      </c>
      <c r="Y341" s="26">
        <f>IFERROR(TEXTJOIN(CHAR(10),TRUE,UNIQUE(FILTER(소재DB_RAW!$N$3:$N&amp;") "&amp;소재DB_RAW!$O$3:$O,(소재DB_RAW!$G$3:$G=$D341)*ISNUMBER(SEARCH("겉감",소재DB_RAW!$M$3:$M))))),"")</f>
        <v/>
      </c>
      <c r="Z341" s="26">
        <f>IFERROR(TEXTJOIN(CHAR(10),TRUE,UNIQUE(FILTER(소재DB_RAW!$N$3:$N&amp;") "&amp;소재DB_RAW!$O$3:$O,(소재DB_RAW!$G$3:$G=$D341)*ISNUMBER(SEARCH("안감",소재DB_RAW!$M$3:$M))))),"")</f>
        <v/>
      </c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21" t="n"/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",TRUE,UNIQUE(FILTER(소재DB_RAW!$K$3:$K,소재DB_RAW!$G$3:$G=$D342))),"")</f>
        <v/>
      </c>
      <c r="W342" s="20" t="inlineStr"/>
      <c r="X342" s="20">
        <f>IFERROR(TEXTJOIN(" / ",TRUE,UNIQUE(FILTER(소재DB_RAW!$N$3:$N,소재DB_RAW!$G$3:$G=$D342))),"")</f>
        <v/>
      </c>
      <c r="Y342" s="26">
        <f>IFERROR(TEXTJOIN(CHAR(10),TRUE,UNIQUE(FILTER(소재DB_RAW!$N$3:$N&amp;") "&amp;소재DB_RAW!$O$3:$O,(소재DB_RAW!$G$3:$G=$D342)*ISNUMBER(SEARCH("겉감",소재DB_RAW!$M$3:$M))))),"")</f>
        <v/>
      </c>
      <c r="Z342" s="26">
        <f>IFERROR(TEXTJOIN(CHAR(10),TRUE,UNIQUE(FILTER(소재DB_RAW!$N$3:$N&amp;") "&amp;소재DB_RAW!$O$3:$O,(소재DB_RAW!$G$3:$G=$D342)*ISNUMBER(SEARCH("안감",소재DB_RAW!$M$3:$M))))),"")</f>
        <v/>
      </c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21" t="n"/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",TRUE,UNIQUE(FILTER(소재DB_RAW!$K$3:$K,소재DB_RAW!$G$3:$G=$D343))),"")</f>
        <v/>
      </c>
      <c r="W343" s="20" t="inlineStr"/>
      <c r="X343" s="20">
        <f>IFERROR(TEXTJOIN(" / ",TRUE,UNIQUE(FILTER(소재DB_RAW!$N$3:$N,소재DB_RAW!$G$3:$G=$D343))),"")</f>
        <v/>
      </c>
      <c r="Y343" s="26">
        <f>IFERROR(TEXTJOIN(CHAR(10),TRUE,UNIQUE(FILTER(소재DB_RAW!$N$3:$N&amp;") "&amp;소재DB_RAW!$O$3:$O,(소재DB_RAW!$G$3:$G=$D343)*ISNUMBER(SEARCH("겉감",소재DB_RAW!$M$3:$M))))),"")</f>
        <v/>
      </c>
      <c r="Z343" s="26">
        <f>IFERROR(TEXTJOIN(CHAR(10),TRUE,UNIQUE(FILTER(소재DB_RAW!$N$3:$N&amp;") "&amp;소재DB_RAW!$O$3:$O,(소재DB_RAW!$G$3:$G=$D343)*ISNUMBER(SEARCH("안감",소재DB_RAW!$M$3:$M))))),"")</f>
        <v/>
      </c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21" t="inlineStr">
        <is>
          <t>X</t>
        </is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",TRUE,UNIQUE(FILTER(소재DB_RAW!$K$3:$K,소재DB_RAW!$G$3:$G=$D344))),"")</f>
        <v/>
      </c>
      <c r="W344" s="20" t="inlineStr">
        <is>
          <t>베트남</t>
        </is>
      </c>
      <c r="X344" s="20">
        <f>IFERROR(TEXTJOIN(" / ",TRUE,UNIQUE(FILTER(소재DB_RAW!$N$3:$N,소재DB_RAW!$G$3:$G=$D344))),"")</f>
        <v/>
      </c>
      <c r="Y344" s="26">
        <f>IFERROR(TEXTJOIN(CHAR(10),TRUE,UNIQUE(FILTER(소재DB_RAW!$N$3:$N&amp;") "&amp;소재DB_RAW!$O$3:$O,(소재DB_RAW!$G$3:$G=$D344)*ISNUMBER(SEARCH("겉감",소재DB_RAW!$M$3:$M))))),"")</f>
        <v/>
      </c>
      <c r="Z344" s="26">
        <f>IFERROR(TEXTJOIN(CHAR(10),TRUE,UNIQUE(FILTER(소재DB_RAW!$N$3:$N&amp;") "&amp;소재DB_RAW!$O$3:$O,(소재DB_RAW!$G$3:$G=$D344)*ISNUMBER(SEARCH("안감",소재DB_RAW!$M$3:$M))))),"")</f>
        <v/>
      </c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21" t="inlineStr">
        <is>
          <t>X</t>
        </is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",TRUE,UNIQUE(FILTER(소재DB_RAW!$K$3:$K,소재DB_RAW!$G$3:$G=$D345))),"")</f>
        <v/>
      </c>
      <c r="W345" s="20" t="inlineStr">
        <is>
          <t>베트남</t>
        </is>
      </c>
      <c r="X345" s="20">
        <f>IFERROR(TEXTJOIN(" / ",TRUE,UNIQUE(FILTER(소재DB_RAW!$N$3:$N,소재DB_RAW!$G$3:$G=$D345))),"")</f>
        <v/>
      </c>
      <c r="Y345" s="26">
        <f>IFERROR(TEXTJOIN(CHAR(10),TRUE,UNIQUE(FILTER(소재DB_RAW!$N$3:$N&amp;") "&amp;소재DB_RAW!$O$3:$O,(소재DB_RAW!$G$3:$G=$D345)*ISNUMBER(SEARCH("겉감",소재DB_RAW!$M$3:$M))))),"")</f>
        <v/>
      </c>
      <c r="Z345" s="26">
        <f>IFERROR(TEXTJOIN(CHAR(10),TRUE,UNIQUE(FILTER(소재DB_RAW!$N$3:$N&amp;") "&amp;소재DB_RAW!$O$3:$O,(소재DB_RAW!$G$3:$G=$D345)*ISNUMBER(SEARCH("안감",소재DB_RAW!$M$3:$M))))),"")</f>
        <v/>
      </c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21" t="inlineStr">
        <is>
          <t>X</t>
        </is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",TRUE,UNIQUE(FILTER(소재DB_RAW!$K$3:$K,소재DB_RAW!$G$3:$G=$D346))),"")</f>
        <v/>
      </c>
      <c r="W346" s="20" t="inlineStr">
        <is>
          <t>베트남</t>
        </is>
      </c>
      <c r="X346" s="20">
        <f>IFERROR(TEXTJOIN(" / ",TRUE,UNIQUE(FILTER(소재DB_RAW!$N$3:$N,소재DB_RAW!$G$3:$G=$D346))),"")</f>
        <v/>
      </c>
      <c r="Y346" s="26">
        <f>IFERROR(TEXTJOIN(CHAR(10),TRUE,UNIQUE(FILTER(소재DB_RAW!$N$3:$N&amp;") "&amp;소재DB_RAW!$O$3:$O,(소재DB_RAW!$G$3:$G=$D346)*ISNUMBER(SEARCH("겉감",소재DB_RAW!$M$3:$M))))),"")</f>
        <v/>
      </c>
      <c r="Z346" s="26">
        <f>IFERROR(TEXTJOIN(CHAR(10),TRUE,UNIQUE(FILTER(소재DB_RAW!$N$3:$N&amp;") "&amp;소재DB_RAW!$O$3:$O,(소재DB_RAW!$G$3:$G=$D346)*ISNUMBER(SEARCH("안감",소재DB_RAW!$M$3:$M))))),"")</f>
        <v/>
      </c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21" t="inlineStr">
        <is>
          <t>X</t>
        </is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",TRUE,UNIQUE(FILTER(소재DB_RAW!$K$3:$K,소재DB_RAW!$G$3:$G=$D347))),"")</f>
        <v/>
      </c>
      <c r="W347" s="20" t="inlineStr">
        <is>
          <t>베트남</t>
        </is>
      </c>
      <c r="X347" s="20">
        <f>IFERROR(TEXTJOIN(" / ",TRUE,UNIQUE(FILTER(소재DB_RAW!$N$3:$N,소재DB_RAW!$G$3:$G=$D347))),"")</f>
        <v/>
      </c>
      <c r="Y347" s="26">
        <f>IFERROR(TEXTJOIN(CHAR(10),TRUE,UNIQUE(FILTER(소재DB_RAW!$N$3:$N&amp;") "&amp;소재DB_RAW!$O$3:$O,(소재DB_RAW!$G$3:$G=$D347)*ISNUMBER(SEARCH("겉감",소재DB_RAW!$M$3:$M))))),"")</f>
        <v/>
      </c>
      <c r="Z347" s="26">
        <f>IFERROR(TEXTJOIN(CHAR(10),TRUE,UNIQUE(FILTER(소재DB_RAW!$N$3:$N&amp;") "&amp;소재DB_RAW!$O$3:$O,(소재DB_RAW!$G$3:$G=$D347)*ISNUMBER(SEARCH("안감",소재DB_RAW!$M$3:$M))))),"")</f>
        <v/>
      </c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21" t="inlineStr">
        <is>
          <t>X</t>
        </is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",TRUE,UNIQUE(FILTER(소재DB_RAW!$K$3:$K,소재DB_RAW!$G$3:$G=$D348))),"")</f>
        <v/>
      </c>
      <c r="W348" s="20" t="inlineStr">
        <is>
          <t>베트남</t>
        </is>
      </c>
      <c r="X348" s="20">
        <f>IFERROR(TEXTJOIN(" / ",TRUE,UNIQUE(FILTER(소재DB_RAW!$N$3:$N,소재DB_RAW!$G$3:$G=$D348))),"")</f>
        <v/>
      </c>
      <c r="Y348" s="26">
        <f>IFERROR(TEXTJOIN(CHAR(10),TRUE,UNIQUE(FILTER(소재DB_RAW!$N$3:$N&amp;") "&amp;소재DB_RAW!$O$3:$O,(소재DB_RAW!$G$3:$G=$D348)*ISNUMBER(SEARCH("겉감",소재DB_RAW!$M$3:$M))))),"")</f>
        <v/>
      </c>
      <c r="Z348" s="26">
        <f>IFERROR(TEXTJOIN(CHAR(10),TRUE,UNIQUE(FILTER(소재DB_RAW!$N$3:$N&amp;") "&amp;소재DB_RAW!$O$3:$O,(소재DB_RAW!$G$3:$G=$D348)*ISNUMBER(SEARCH("안감",소재DB_RAW!$M$3:$M))))),"")</f>
        <v/>
      </c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21" t="inlineStr">
        <is>
          <t>X</t>
        </is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",TRUE,UNIQUE(FILTER(소재DB_RAW!$K$3:$K,소재DB_RAW!$G$3:$G=$D349))),"")</f>
        <v/>
      </c>
      <c r="W349" s="20" t="inlineStr">
        <is>
          <t>인도네시아</t>
        </is>
      </c>
      <c r="X349" s="20">
        <f>IFERROR(TEXTJOIN(" / ",TRUE,UNIQUE(FILTER(소재DB_RAW!$N$3:$N,소재DB_RAW!$G$3:$G=$D349))),"")</f>
        <v/>
      </c>
      <c r="Y349" s="26">
        <f>IFERROR(TEXTJOIN(CHAR(10),TRUE,UNIQUE(FILTER(소재DB_RAW!$N$3:$N&amp;") "&amp;소재DB_RAW!$O$3:$O,(소재DB_RAW!$G$3:$G=$D349)*ISNUMBER(SEARCH("겉감",소재DB_RAW!$M$3:$M))))),"")</f>
        <v/>
      </c>
      <c r="Z349" s="26">
        <f>IFERROR(TEXTJOIN(CHAR(10),TRUE,UNIQUE(FILTER(소재DB_RAW!$N$3:$N&amp;") "&amp;소재DB_RAW!$O$3:$O,(소재DB_RAW!$G$3:$G=$D349)*ISNUMBER(SEARCH("안감",소재DB_RAW!$M$3:$M))))),"")</f>
        <v/>
      </c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21" t="inlineStr">
        <is>
          <t>X</t>
        </is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",TRUE,UNIQUE(FILTER(소재DB_RAW!$K$3:$K,소재DB_RAW!$G$3:$G=$D350))),"")</f>
        <v/>
      </c>
      <c r="W350" s="20" t="inlineStr">
        <is>
          <t>베트남</t>
        </is>
      </c>
      <c r="X350" s="20">
        <f>IFERROR(TEXTJOIN(" / ",TRUE,UNIQUE(FILTER(소재DB_RAW!$N$3:$N,소재DB_RAW!$G$3:$G=$D350))),"")</f>
        <v/>
      </c>
      <c r="Y350" s="26">
        <f>IFERROR(TEXTJOIN(CHAR(10),TRUE,UNIQUE(FILTER(소재DB_RAW!$N$3:$N&amp;") "&amp;소재DB_RAW!$O$3:$O,(소재DB_RAW!$G$3:$G=$D350)*ISNUMBER(SEARCH("겉감",소재DB_RAW!$M$3:$M))))),"")</f>
        <v/>
      </c>
      <c r="Z350" s="26">
        <f>IFERROR(TEXTJOIN(CHAR(10),TRUE,UNIQUE(FILTER(소재DB_RAW!$N$3:$N&amp;") "&amp;소재DB_RAW!$O$3:$O,(소재DB_RAW!$G$3:$G=$D350)*ISNUMBER(SEARCH("안감",소재DB_RAW!$M$3:$M))))),"")</f>
        <v/>
      </c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21" t="inlineStr">
        <is>
          <t>X</t>
        </is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",TRUE,UNIQUE(FILTER(소재DB_RAW!$K$3:$K,소재DB_RAW!$G$3:$G=$D351))),"")</f>
        <v/>
      </c>
      <c r="W351" s="20" t="inlineStr">
        <is>
          <t>베트남</t>
        </is>
      </c>
      <c r="X351" s="20">
        <f>IFERROR(TEXTJOIN(" / ",TRUE,UNIQUE(FILTER(소재DB_RAW!$N$3:$N,소재DB_RAW!$G$3:$G=$D351))),"")</f>
        <v/>
      </c>
      <c r="Y351" s="26">
        <f>IFERROR(TEXTJOIN(CHAR(10),TRUE,UNIQUE(FILTER(소재DB_RAW!$N$3:$N&amp;") "&amp;소재DB_RAW!$O$3:$O,(소재DB_RAW!$G$3:$G=$D351)*ISNUMBER(SEARCH("겉감",소재DB_RAW!$M$3:$M))))),"")</f>
        <v/>
      </c>
      <c r="Z351" s="26">
        <f>IFERROR(TEXTJOIN(CHAR(10),TRUE,UNIQUE(FILTER(소재DB_RAW!$N$3:$N&amp;") "&amp;소재DB_RAW!$O$3:$O,(소재DB_RAW!$G$3:$G=$D351)*ISNUMBER(SEARCH("안감",소재DB_RAW!$M$3:$M))))),"")</f>
        <v/>
      </c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21" t="inlineStr">
        <is>
          <t>X</t>
        </is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",TRUE,UNIQUE(FILTER(소재DB_RAW!$K$3:$K,소재DB_RAW!$G$3:$G=$D352))),"")</f>
        <v/>
      </c>
      <c r="W352" s="20" t="inlineStr">
        <is>
          <t>베트남</t>
        </is>
      </c>
      <c r="X352" s="20">
        <f>IFERROR(TEXTJOIN(" / ",TRUE,UNIQUE(FILTER(소재DB_RAW!$N$3:$N,소재DB_RAW!$G$3:$G=$D352))),"")</f>
        <v/>
      </c>
      <c r="Y352" s="26">
        <f>IFERROR(TEXTJOIN(CHAR(10),TRUE,UNIQUE(FILTER(소재DB_RAW!$N$3:$N&amp;") "&amp;소재DB_RAW!$O$3:$O,(소재DB_RAW!$G$3:$G=$D352)*ISNUMBER(SEARCH("겉감",소재DB_RAW!$M$3:$M))))),"")</f>
        <v/>
      </c>
      <c r="Z352" s="26">
        <f>IFERROR(TEXTJOIN(CHAR(10),TRUE,UNIQUE(FILTER(소재DB_RAW!$N$3:$N&amp;") "&amp;소재DB_RAW!$O$3:$O,(소재DB_RAW!$G$3:$G=$D352)*ISNUMBER(SEARCH("안감",소재DB_RAW!$M$3:$M))))),"")</f>
        <v/>
      </c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21" t="inlineStr">
        <is>
          <t>X</t>
        </is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",TRUE,UNIQUE(FILTER(소재DB_RAW!$K$3:$K,소재DB_RAW!$G$3:$G=$D353))),"")</f>
        <v/>
      </c>
      <c r="W353" s="20" t="inlineStr">
        <is>
          <t>인도네시아</t>
        </is>
      </c>
      <c r="X353" s="20">
        <f>IFERROR(TEXTJOIN(" / ",TRUE,UNIQUE(FILTER(소재DB_RAW!$N$3:$N,소재DB_RAW!$G$3:$G=$D353))),"")</f>
        <v/>
      </c>
      <c r="Y353" s="26">
        <f>IFERROR(TEXTJOIN(CHAR(10),TRUE,UNIQUE(FILTER(소재DB_RAW!$N$3:$N&amp;") "&amp;소재DB_RAW!$O$3:$O,(소재DB_RAW!$G$3:$G=$D353)*ISNUMBER(SEARCH("겉감",소재DB_RAW!$M$3:$M))))),"")</f>
        <v/>
      </c>
      <c r="Z353" s="26">
        <f>IFERROR(TEXTJOIN(CHAR(10),TRUE,UNIQUE(FILTER(소재DB_RAW!$N$3:$N&amp;") "&amp;소재DB_RAW!$O$3:$O,(소재DB_RAW!$G$3:$G=$D353)*ISNUMBER(SEARCH("안감",소재DB_RAW!$M$3:$M))))),"")</f>
        <v/>
      </c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21" t="inlineStr">
        <is>
          <t>X</t>
        </is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",TRUE,UNIQUE(FILTER(소재DB_RAW!$K$3:$K,소재DB_RAW!$G$3:$G=$D354))),"")</f>
        <v/>
      </c>
      <c r="W354" s="20" t="inlineStr">
        <is>
          <t>인도네시아</t>
        </is>
      </c>
      <c r="X354" s="20">
        <f>IFERROR(TEXTJOIN(" / ",TRUE,UNIQUE(FILTER(소재DB_RAW!$N$3:$N,소재DB_RAW!$G$3:$G=$D354))),"")</f>
        <v/>
      </c>
      <c r="Y354" s="26">
        <f>IFERROR(TEXTJOIN(CHAR(10),TRUE,UNIQUE(FILTER(소재DB_RAW!$N$3:$N&amp;") "&amp;소재DB_RAW!$O$3:$O,(소재DB_RAW!$G$3:$G=$D354)*ISNUMBER(SEARCH("겉감",소재DB_RAW!$M$3:$M))))),"")</f>
        <v/>
      </c>
      <c r="Z354" s="26">
        <f>IFERROR(TEXTJOIN(CHAR(10),TRUE,UNIQUE(FILTER(소재DB_RAW!$N$3:$N&amp;") "&amp;소재DB_RAW!$O$3:$O,(소재DB_RAW!$G$3:$G=$D354)*ISNUMBER(SEARCH("안감",소재DB_RAW!$M$3:$M))))),"")</f>
        <v/>
      </c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21" t="inlineStr">
        <is>
          <t>X</t>
        </is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",TRUE,UNIQUE(FILTER(소재DB_RAW!$K$3:$K,소재DB_RAW!$G$3:$G=$D355))),"")</f>
        <v/>
      </c>
      <c r="W355" s="20" t="inlineStr">
        <is>
          <t>베트남</t>
        </is>
      </c>
      <c r="X355" s="20">
        <f>IFERROR(TEXTJOIN(" / ",TRUE,UNIQUE(FILTER(소재DB_RAW!$N$3:$N,소재DB_RAW!$G$3:$G=$D355))),"")</f>
        <v/>
      </c>
      <c r="Y355" s="26">
        <f>IFERROR(TEXTJOIN(CHAR(10),TRUE,UNIQUE(FILTER(소재DB_RAW!$N$3:$N&amp;") "&amp;소재DB_RAW!$O$3:$O,(소재DB_RAW!$G$3:$G=$D355)*ISNUMBER(SEARCH("겉감",소재DB_RAW!$M$3:$M))))),"")</f>
        <v/>
      </c>
      <c r="Z355" s="26">
        <f>IFERROR(TEXTJOIN(CHAR(10),TRUE,UNIQUE(FILTER(소재DB_RAW!$N$3:$N&amp;") "&amp;소재DB_RAW!$O$3:$O,(소재DB_RAW!$G$3:$G=$D355)*ISNUMBER(SEARCH("안감",소재DB_RAW!$M$3:$M))))),"")</f>
        <v/>
      </c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21" t="inlineStr">
        <is>
          <t>X</t>
        </is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",TRUE,UNIQUE(FILTER(소재DB_RAW!$K$3:$K,소재DB_RAW!$G$3:$G=$D356))),"")</f>
        <v/>
      </c>
      <c r="W356" s="20" t="inlineStr">
        <is>
          <t>베트남</t>
        </is>
      </c>
      <c r="X356" s="20">
        <f>IFERROR(TEXTJOIN(" / ",TRUE,UNIQUE(FILTER(소재DB_RAW!$N$3:$N,소재DB_RAW!$G$3:$G=$D356))),"")</f>
        <v/>
      </c>
      <c r="Y356" s="26">
        <f>IFERROR(TEXTJOIN(CHAR(10),TRUE,UNIQUE(FILTER(소재DB_RAW!$N$3:$N&amp;") "&amp;소재DB_RAW!$O$3:$O,(소재DB_RAW!$G$3:$G=$D356)*ISNUMBER(SEARCH("겉감",소재DB_RAW!$M$3:$M))))),"")</f>
        <v/>
      </c>
      <c r="Z356" s="26">
        <f>IFERROR(TEXTJOIN(CHAR(10),TRUE,UNIQUE(FILTER(소재DB_RAW!$N$3:$N&amp;") "&amp;소재DB_RAW!$O$3:$O,(소재DB_RAW!$G$3:$G=$D356)*ISNUMBER(SEARCH("안감",소재DB_RAW!$M$3:$M))))),"")</f>
        <v/>
      </c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21" t="inlineStr">
        <is>
          <t>X</t>
        </is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",TRUE,UNIQUE(FILTER(소재DB_RAW!$K$3:$K,소재DB_RAW!$G$3:$G=$D357))),"")</f>
        <v/>
      </c>
      <c r="W357" s="20" t="inlineStr">
        <is>
          <t>베트남</t>
        </is>
      </c>
      <c r="X357" s="20">
        <f>IFERROR(TEXTJOIN(" / ",TRUE,UNIQUE(FILTER(소재DB_RAW!$N$3:$N,소재DB_RAW!$G$3:$G=$D357))),"")</f>
        <v/>
      </c>
      <c r="Y357" s="26">
        <f>IFERROR(TEXTJOIN(CHAR(10),TRUE,UNIQUE(FILTER(소재DB_RAW!$N$3:$N&amp;") "&amp;소재DB_RAW!$O$3:$O,(소재DB_RAW!$G$3:$G=$D357)*ISNUMBER(SEARCH("겉감",소재DB_RAW!$M$3:$M))))),"")</f>
        <v/>
      </c>
      <c r="Z357" s="26">
        <f>IFERROR(TEXTJOIN(CHAR(10),TRUE,UNIQUE(FILTER(소재DB_RAW!$N$3:$N&amp;") "&amp;소재DB_RAW!$O$3:$O,(소재DB_RAW!$G$3:$G=$D357)*ISNUMBER(SEARCH("안감",소재DB_RAW!$M$3:$M))))),"")</f>
        <v/>
      </c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21" t="n"/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",TRUE,UNIQUE(FILTER(소재DB_RAW!$K$3:$K,소재DB_RAW!$G$3:$G=$D358))),"")</f>
        <v/>
      </c>
      <c r="W358" s="20" t="inlineStr">
        <is>
          <t>중국</t>
        </is>
      </c>
      <c r="X358" s="20">
        <f>IFERROR(TEXTJOIN(" / ",TRUE,UNIQUE(FILTER(소재DB_RAW!$N$3:$N,소재DB_RAW!$G$3:$G=$D358))),"")</f>
        <v/>
      </c>
      <c r="Y358" s="26">
        <f>IFERROR(TEXTJOIN(CHAR(10),TRUE,UNIQUE(FILTER(소재DB_RAW!$N$3:$N&amp;") "&amp;소재DB_RAW!$O$3:$O,(소재DB_RAW!$G$3:$G=$D358)*ISNUMBER(SEARCH("겉감",소재DB_RAW!$M$3:$M))))),"")</f>
        <v/>
      </c>
      <c r="Z358" s="26">
        <f>IFERROR(TEXTJOIN(CHAR(10),TRUE,UNIQUE(FILTER(소재DB_RAW!$N$3:$N&amp;") "&amp;소재DB_RAW!$O$3:$O,(소재DB_RAW!$G$3:$G=$D358)*ISNUMBER(SEARCH("안감",소재DB_RAW!$M$3:$M))))),"")</f>
        <v/>
      </c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21" t="inlineStr">
        <is>
          <t>X</t>
        </is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",TRUE,UNIQUE(FILTER(소재DB_RAW!$K$3:$K,소재DB_RAW!$G$3:$G=$D359))),"")</f>
        <v/>
      </c>
      <c r="W359" s="20" t="inlineStr">
        <is>
          <t>중국</t>
        </is>
      </c>
      <c r="X359" s="20">
        <f>IFERROR(TEXTJOIN(" / ",TRUE,UNIQUE(FILTER(소재DB_RAW!$N$3:$N,소재DB_RAW!$G$3:$G=$D359))),"")</f>
        <v/>
      </c>
      <c r="Y359" s="26">
        <f>IFERROR(TEXTJOIN(CHAR(10),TRUE,UNIQUE(FILTER(소재DB_RAW!$N$3:$N&amp;") "&amp;소재DB_RAW!$O$3:$O,(소재DB_RAW!$G$3:$G=$D359)*ISNUMBER(SEARCH("겉감",소재DB_RAW!$M$3:$M))))),"")</f>
        <v/>
      </c>
      <c r="Z359" s="26">
        <f>IFERROR(TEXTJOIN(CHAR(10),TRUE,UNIQUE(FILTER(소재DB_RAW!$N$3:$N&amp;") "&amp;소재DB_RAW!$O$3:$O,(소재DB_RAW!$G$3:$G=$D359)*ISNUMBER(SEARCH("안감",소재DB_RAW!$M$3:$M))))),"")</f>
        <v/>
      </c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21" t="inlineStr">
        <is>
          <t>X</t>
        </is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",TRUE,UNIQUE(FILTER(소재DB_RAW!$K$3:$K,소재DB_RAW!$G$3:$G=$D360))),"")</f>
        <v/>
      </c>
      <c r="W360" s="20" t="inlineStr">
        <is>
          <t>국내</t>
        </is>
      </c>
      <c r="X360" s="20">
        <f>IFERROR(TEXTJOIN(" / ",TRUE,UNIQUE(FILTER(소재DB_RAW!$N$3:$N,소재DB_RAW!$G$3:$G=$D360))),"")</f>
        <v/>
      </c>
      <c r="Y360" s="26">
        <f>IFERROR(TEXTJOIN(CHAR(10),TRUE,UNIQUE(FILTER(소재DB_RAW!$N$3:$N&amp;") "&amp;소재DB_RAW!$O$3:$O,(소재DB_RAW!$G$3:$G=$D360)*ISNUMBER(SEARCH("겉감",소재DB_RAW!$M$3:$M))))),"")</f>
        <v/>
      </c>
      <c r="Z360" s="26">
        <f>IFERROR(TEXTJOIN(CHAR(10),TRUE,UNIQUE(FILTER(소재DB_RAW!$N$3:$N&amp;") "&amp;소재DB_RAW!$O$3:$O,(소재DB_RAW!$G$3:$G=$D360)*ISNUMBER(SEARCH("안감",소재DB_RAW!$M$3:$M))))),"")</f>
        <v/>
      </c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21" t="inlineStr">
        <is>
          <t>X</t>
        </is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",TRUE,UNIQUE(FILTER(소재DB_RAW!$K$3:$K,소재DB_RAW!$G$3:$G=$D361))),"")</f>
        <v/>
      </c>
      <c r="W361" s="20" t="inlineStr">
        <is>
          <t>국내</t>
        </is>
      </c>
      <c r="X361" s="20">
        <f>IFERROR(TEXTJOIN(" / ",TRUE,UNIQUE(FILTER(소재DB_RAW!$N$3:$N,소재DB_RAW!$G$3:$G=$D361))),"")</f>
        <v/>
      </c>
      <c r="Y361" s="26">
        <f>IFERROR(TEXTJOIN(CHAR(10),TRUE,UNIQUE(FILTER(소재DB_RAW!$N$3:$N&amp;") "&amp;소재DB_RAW!$O$3:$O,(소재DB_RAW!$G$3:$G=$D361)*ISNUMBER(SEARCH("겉감",소재DB_RAW!$M$3:$M))))),"")</f>
        <v/>
      </c>
      <c r="Z361" s="26">
        <f>IFERROR(TEXTJOIN(CHAR(10),TRUE,UNIQUE(FILTER(소재DB_RAW!$N$3:$N&amp;") "&amp;소재DB_RAW!$O$3:$O,(소재DB_RAW!$G$3:$G=$D361)*ISNUMBER(SEARCH("안감",소재DB_RAW!$M$3:$M))))),"")</f>
        <v/>
      </c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21" t="inlineStr">
        <is>
          <t>O</t>
        </is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",TRUE,UNIQUE(FILTER(소재DB_RAW!$K$3:$K,소재DB_RAW!$G$3:$G=$D362))),"")</f>
        <v/>
      </c>
      <c r="W362" s="20" t="inlineStr">
        <is>
          <t>베트남</t>
        </is>
      </c>
      <c r="X362" s="20">
        <f>IFERROR(TEXTJOIN(" / ",TRUE,UNIQUE(FILTER(소재DB_RAW!$N$3:$N,소재DB_RAW!$G$3:$G=$D362))),"")</f>
        <v/>
      </c>
      <c r="Y362" s="26">
        <f>IFERROR(TEXTJOIN(CHAR(10),TRUE,UNIQUE(FILTER(소재DB_RAW!$N$3:$N&amp;") "&amp;소재DB_RAW!$O$3:$O,(소재DB_RAW!$G$3:$G=$D362)*ISNUMBER(SEARCH("겉감",소재DB_RAW!$M$3:$M))))),"")</f>
        <v/>
      </c>
      <c r="Z362" s="26">
        <f>IFERROR(TEXTJOIN(CHAR(10),TRUE,UNIQUE(FILTER(소재DB_RAW!$N$3:$N&amp;") "&amp;소재DB_RAW!$O$3:$O,(소재DB_RAW!$G$3:$G=$D362)*ISNUMBER(SEARCH("안감",소재DB_RAW!$M$3:$M))))),"")</f>
        <v/>
      </c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21" t="inlineStr">
        <is>
          <t>X</t>
        </is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",TRUE,UNIQUE(FILTER(소재DB_RAW!$K$3:$K,소재DB_RAW!$G$3:$G=$D363))),"")</f>
        <v/>
      </c>
      <c r="W363" s="20" t="inlineStr">
        <is>
          <t>베트남</t>
        </is>
      </c>
      <c r="X363" s="20">
        <f>IFERROR(TEXTJOIN(" / ",TRUE,UNIQUE(FILTER(소재DB_RAW!$N$3:$N,소재DB_RAW!$G$3:$G=$D363))),"")</f>
        <v/>
      </c>
      <c r="Y363" s="26">
        <f>IFERROR(TEXTJOIN(CHAR(10),TRUE,UNIQUE(FILTER(소재DB_RAW!$N$3:$N&amp;") "&amp;소재DB_RAW!$O$3:$O,(소재DB_RAW!$G$3:$G=$D363)*ISNUMBER(SEARCH("겉감",소재DB_RAW!$M$3:$M))))),"")</f>
        <v/>
      </c>
      <c r="Z363" s="26">
        <f>IFERROR(TEXTJOIN(CHAR(10),TRUE,UNIQUE(FILTER(소재DB_RAW!$N$3:$N&amp;") "&amp;소재DB_RAW!$O$3:$O,(소재DB_RAW!$G$3:$G=$D363)*ISNUMBER(SEARCH("안감",소재DB_RAW!$M$3:$M))))),"")</f>
        <v/>
      </c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21" t="inlineStr">
        <is>
          <t>X</t>
        </is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",TRUE,UNIQUE(FILTER(소재DB_RAW!$K$3:$K,소재DB_RAW!$G$3:$G=$D364))),"")</f>
        <v/>
      </c>
      <c r="W364" s="20" t="inlineStr">
        <is>
          <t>베트남</t>
        </is>
      </c>
      <c r="X364" s="20">
        <f>IFERROR(TEXTJOIN(" / ",TRUE,UNIQUE(FILTER(소재DB_RAW!$N$3:$N,소재DB_RAW!$G$3:$G=$D364))),"")</f>
        <v/>
      </c>
      <c r="Y364" s="26">
        <f>IFERROR(TEXTJOIN(CHAR(10),TRUE,UNIQUE(FILTER(소재DB_RAW!$N$3:$N&amp;") "&amp;소재DB_RAW!$O$3:$O,(소재DB_RAW!$G$3:$G=$D364)*ISNUMBER(SEARCH("겉감",소재DB_RAW!$M$3:$M))))),"")</f>
        <v/>
      </c>
      <c r="Z364" s="26">
        <f>IFERROR(TEXTJOIN(CHAR(10),TRUE,UNIQUE(FILTER(소재DB_RAW!$N$3:$N&amp;") "&amp;소재DB_RAW!$O$3:$O,(소재DB_RAW!$G$3:$G=$D364)*ISNUMBER(SEARCH("안감",소재DB_RAW!$M$3:$M))))),"")</f>
        <v/>
      </c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21" t="inlineStr">
        <is>
          <t>X</t>
        </is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",TRUE,UNIQUE(FILTER(소재DB_RAW!$K$3:$K,소재DB_RAW!$G$3:$G=$D365))),"")</f>
        <v/>
      </c>
      <c r="W365" s="20" t="inlineStr">
        <is>
          <t>베트남</t>
        </is>
      </c>
      <c r="X365" s="20">
        <f>IFERROR(TEXTJOIN(" / ",TRUE,UNIQUE(FILTER(소재DB_RAW!$N$3:$N,소재DB_RAW!$G$3:$G=$D365))),"")</f>
        <v/>
      </c>
      <c r="Y365" s="26">
        <f>IFERROR(TEXTJOIN(CHAR(10),TRUE,UNIQUE(FILTER(소재DB_RAW!$N$3:$N&amp;") "&amp;소재DB_RAW!$O$3:$O,(소재DB_RAW!$G$3:$G=$D365)*ISNUMBER(SEARCH("겉감",소재DB_RAW!$M$3:$M))))),"")</f>
        <v/>
      </c>
      <c r="Z365" s="26">
        <f>IFERROR(TEXTJOIN(CHAR(10),TRUE,UNIQUE(FILTER(소재DB_RAW!$N$3:$N&amp;") "&amp;소재DB_RAW!$O$3:$O,(소재DB_RAW!$G$3:$G=$D365)*ISNUMBER(SEARCH("안감",소재DB_RAW!$M$3:$M))))),"")</f>
        <v/>
      </c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21" t="inlineStr">
        <is>
          <t>X</t>
        </is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",TRUE,UNIQUE(FILTER(소재DB_RAW!$K$3:$K,소재DB_RAW!$G$3:$G=$D366))),"")</f>
        <v/>
      </c>
      <c r="W366" s="20" t="inlineStr">
        <is>
          <t>베트남</t>
        </is>
      </c>
      <c r="X366" s="20">
        <f>IFERROR(TEXTJOIN(" / ",TRUE,UNIQUE(FILTER(소재DB_RAW!$N$3:$N,소재DB_RAW!$G$3:$G=$D366))),"")</f>
        <v/>
      </c>
      <c r="Y366" s="26">
        <f>IFERROR(TEXTJOIN(CHAR(10),TRUE,UNIQUE(FILTER(소재DB_RAW!$N$3:$N&amp;") "&amp;소재DB_RAW!$O$3:$O,(소재DB_RAW!$G$3:$G=$D366)*ISNUMBER(SEARCH("겉감",소재DB_RAW!$M$3:$M))))),"")</f>
        <v/>
      </c>
      <c r="Z366" s="26">
        <f>IFERROR(TEXTJOIN(CHAR(10),TRUE,UNIQUE(FILTER(소재DB_RAW!$N$3:$N&amp;") "&amp;소재DB_RAW!$O$3:$O,(소재DB_RAW!$G$3:$G=$D366)*ISNUMBER(SEARCH("안감",소재DB_RAW!$M$3:$M))))),"")</f>
        <v/>
      </c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21" t="inlineStr">
        <is>
          <t>X</t>
        </is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",TRUE,UNIQUE(FILTER(소재DB_RAW!$K$3:$K,소재DB_RAW!$G$3:$G=$D367))),"")</f>
        <v/>
      </c>
      <c r="W367" s="20" t="inlineStr">
        <is>
          <t>중국</t>
        </is>
      </c>
      <c r="X367" s="20">
        <f>IFERROR(TEXTJOIN(" / ",TRUE,UNIQUE(FILTER(소재DB_RAW!$N$3:$N,소재DB_RAW!$G$3:$G=$D367))),"")</f>
        <v/>
      </c>
      <c r="Y367" s="26">
        <f>IFERROR(TEXTJOIN(CHAR(10),TRUE,UNIQUE(FILTER(소재DB_RAW!$N$3:$N&amp;") "&amp;소재DB_RAW!$O$3:$O,(소재DB_RAW!$G$3:$G=$D367)*ISNUMBER(SEARCH("겉감",소재DB_RAW!$M$3:$M))))),"")</f>
        <v/>
      </c>
      <c r="Z367" s="26">
        <f>IFERROR(TEXTJOIN(CHAR(10),TRUE,UNIQUE(FILTER(소재DB_RAW!$N$3:$N&amp;") "&amp;소재DB_RAW!$O$3:$O,(소재DB_RAW!$G$3:$G=$D367)*ISNUMBER(SEARCH("안감",소재DB_RAW!$M$3:$M))))),"")</f>
        <v/>
      </c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21" t="inlineStr">
        <is>
          <t>X</t>
        </is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",TRUE,UNIQUE(FILTER(소재DB_RAW!$K$3:$K,소재DB_RAW!$G$3:$G=$D368))),"")</f>
        <v/>
      </c>
      <c r="W368" s="20" t="inlineStr">
        <is>
          <t>중국</t>
        </is>
      </c>
      <c r="X368" s="20">
        <f>IFERROR(TEXTJOIN(" / ",TRUE,UNIQUE(FILTER(소재DB_RAW!$N$3:$N,소재DB_RAW!$G$3:$G=$D368))),"")</f>
        <v/>
      </c>
      <c r="Y368" s="26">
        <f>IFERROR(TEXTJOIN(CHAR(10),TRUE,UNIQUE(FILTER(소재DB_RAW!$N$3:$N&amp;") "&amp;소재DB_RAW!$O$3:$O,(소재DB_RAW!$G$3:$G=$D368)*ISNUMBER(SEARCH("겉감",소재DB_RAW!$M$3:$M))))),"")</f>
        <v/>
      </c>
      <c r="Z368" s="26">
        <f>IFERROR(TEXTJOIN(CHAR(10),TRUE,UNIQUE(FILTER(소재DB_RAW!$N$3:$N&amp;") "&amp;소재DB_RAW!$O$3:$O,(소재DB_RAW!$G$3:$G=$D368)*ISNUMBER(SEARCH("안감",소재DB_RAW!$M$3:$M))))),"")</f>
        <v/>
      </c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21" t="inlineStr">
        <is>
          <t>X</t>
        </is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",TRUE,UNIQUE(FILTER(소재DB_RAW!$K$3:$K,소재DB_RAW!$G$3:$G=$D369))),"")</f>
        <v/>
      </c>
      <c r="W369" s="20" t="inlineStr">
        <is>
          <t>중국</t>
        </is>
      </c>
      <c r="X369" s="20">
        <f>IFERROR(TEXTJOIN(" / ",TRUE,UNIQUE(FILTER(소재DB_RAW!$N$3:$N,소재DB_RAW!$G$3:$G=$D369))),"")</f>
        <v/>
      </c>
      <c r="Y369" s="26">
        <f>IFERROR(TEXTJOIN(CHAR(10),TRUE,UNIQUE(FILTER(소재DB_RAW!$N$3:$N&amp;") "&amp;소재DB_RAW!$O$3:$O,(소재DB_RAW!$G$3:$G=$D369)*ISNUMBER(SEARCH("겉감",소재DB_RAW!$M$3:$M))))),"")</f>
        <v/>
      </c>
      <c r="Z369" s="26">
        <f>IFERROR(TEXTJOIN(CHAR(10),TRUE,UNIQUE(FILTER(소재DB_RAW!$N$3:$N&amp;") "&amp;소재DB_RAW!$O$3:$O,(소재DB_RAW!$G$3:$G=$D369)*ISNUMBER(SEARCH("안감",소재DB_RAW!$M$3:$M))))),"")</f>
        <v/>
      </c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21" t="inlineStr">
        <is>
          <t>X</t>
        </is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",TRUE,UNIQUE(FILTER(소재DB_RAW!$K$3:$K,소재DB_RAW!$G$3:$G=$D370))),"")</f>
        <v/>
      </c>
      <c r="W370" s="20" t="inlineStr">
        <is>
          <t>중국</t>
        </is>
      </c>
      <c r="X370" s="20">
        <f>IFERROR(TEXTJOIN(" / ",TRUE,UNIQUE(FILTER(소재DB_RAW!$N$3:$N,소재DB_RAW!$G$3:$G=$D370))),"")</f>
        <v/>
      </c>
      <c r="Y370" s="26">
        <f>IFERROR(TEXTJOIN(CHAR(10),TRUE,UNIQUE(FILTER(소재DB_RAW!$N$3:$N&amp;") "&amp;소재DB_RAW!$O$3:$O,(소재DB_RAW!$G$3:$G=$D370)*ISNUMBER(SEARCH("겉감",소재DB_RAW!$M$3:$M))))),"")</f>
        <v/>
      </c>
      <c r="Z370" s="26">
        <f>IFERROR(TEXTJOIN(CHAR(10),TRUE,UNIQUE(FILTER(소재DB_RAW!$N$3:$N&amp;") "&amp;소재DB_RAW!$O$3:$O,(소재DB_RAW!$G$3:$G=$D370)*ISNUMBER(SEARCH("안감",소재DB_RAW!$M$3:$M))))),"")</f>
        <v/>
      </c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21" t="n"/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",TRUE,UNIQUE(FILTER(소재DB_RAW!$K$3:$K,소재DB_RAW!$G$3:$G=$D371))),"")</f>
        <v/>
      </c>
      <c r="W371" s="20" t="inlineStr">
        <is>
          <t>베트남</t>
        </is>
      </c>
      <c r="X371" s="20">
        <f>IFERROR(TEXTJOIN(" / ",TRUE,UNIQUE(FILTER(소재DB_RAW!$N$3:$N,소재DB_RAW!$G$3:$G=$D371))),"")</f>
        <v/>
      </c>
      <c r="Y371" s="26">
        <f>IFERROR(TEXTJOIN(CHAR(10),TRUE,UNIQUE(FILTER(소재DB_RAW!$N$3:$N&amp;") "&amp;소재DB_RAW!$O$3:$O,(소재DB_RAW!$G$3:$G=$D371)*ISNUMBER(SEARCH("겉감",소재DB_RAW!$M$3:$M))))),"")</f>
        <v/>
      </c>
      <c r="Z371" s="26">
        <f>IFERROR(TEXTJOIN(CHAR(10),TRUE,UNIQUE(FILTER(소재DB_RAW!$N$3:$N&amp;") "&amp;소재DB_RAW!$O$3:$O,(소재DB_RAW!$G$3:$G=$D371)*ISNUMBER(SEARCH("안감",소재DB_RAW!$M$3:$M))))),"")</f>
        <v/>
      </c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21" t="inlineStr">
        <is>
          <t>X</t>
        </is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",TRUE,UNIQUE(FILTER(소재DB_RAW!$K$3:$K,소재DB_RAW!$G$3:$G=$D372))),"")</f>
        <v/>
      </c>
      <c r="W372" s="20" t="inlineStr">
        <is>
          <t>국내</t>
        </is>
      </c>
      <c r="X372" s="20">
        <f>IFERROR(TEXTJOIN(" / ",TRUE,UNIQUE(FILTER(소재DB_RAW!$N$3:$N,소재DB_RAW!$G$3:$G=$D372))),"")</f>
        <v/>
      </c>
      <c r="Y372" s="26">
        <f>IFERROR(TEXTJOIN(CHAR(10),TRUE,UNIQUE(FILTER(소재DB_RAW!$N$3:$N&amp;") "&amp;소재DB_RAW!$O$3:$O,(소재DB_RAW!$G$3:$G=$D372)*ISNUMBER(SEARCH("겉감",소재DB_RAW!$M$3:$M))))),"")</f>
        <v/>
      </c>
      <c r="Z372" s="26">
        <f>IFERROR(TEXTJOIN(CHAR(10),TRUE,UNIQUE(FILTER(소재DB_RAW!$N$3:$N&amp;") "&amp;소재DB_RAW!$O$3:$O,(소재DB_RAW!$G$3:$G=$D372)*ISNUMBER(SEARCH("안감",소재DB_RAW!$M$3:$M))))),"")</f>
        <v/>
      </c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21" t="inlineStr">
        <is>
          <t>X</t>
        </is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",TRUE,UNIQUE(FILTER(소재DB_RAW!$K$3:$K,소재DB_RAW!$G$3:$G=$D373))),"")</f>
        <v/>
      </c>
      <c r="W373" s="20" t="inlineStr">
        <is>
          <t>국내</t>
        </is>
      </c>
      <c r="X373" s="20">
        <f>IFERROR(TEXTJOIN(" / ",TRUE,UNIQUE(FILTER(소재DB_RAW!$N$3:$N,소재DB_RAW!$G$3:$G=$D373))),"")</f>
        <v/>
      </c>
      <c r="Y373" s="26">
        <f>IFERROR(TEXTJOIN(CHAR(10),TRUE,UNIQUE(FILTER(소재DB_RAW!$N$3:$N&amp;") "&amp;소재DB_RAW!$O$3:$O,(소재DB_RAW!$G$3:$G=$D373)*ISNUMBER(SEARCH("겉감",소재DB_RAW!$M$3:$M))))),"")</f>
        <v/>
      </c>
      <c r="Z373" s="26">
        <f>IFERROR(TEXTJOIN(CHAR(10),TRUE,UNIQUE(FILTER(소재DB_RAW!$N$3:$N&amp;") "&amp;소재DB_RAW!$O$3:$O,(소재DB_RAW!$G$3:$G=$D373)*ISNUMBER(SEARCH("안감",소재DB_RAW!$M$3:$M))))),"")</f>
        <v/>
      </c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21" t="inlineStr">
        <is>
          <t>X</t>
        </is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",TRUE,UNIQUE(FILTER(소재DB_RAW!$K$3:$K,소재DB_RAW!$G$3:$G=$D374))),"")</f>
        <v/>
      </c>
      <c r="W374" s="20" t="inlineStr">
        <is>
          <t>국내</t>
        </is>
      </c>
      <c r="X374" s="20">
        <f>IFERROR(TEXTJOIN(" / ",TRUE,UNIQUE(FILTER(소재DB_RAW!$N$3:$N,소재DB_RAW!$G$3:$G=$D374))),"")</f>
        <v/>
      </c>
      <c r="Y374" s="26">
        <f>IFERROR(TEXTJOIN(CHAR(10),TRUE,UNIQUE(FILTER(소재DB_RAW!$N$3:$N&amp;") "&amp;소재DB_RAW!$O$3:$O,(소재DB_RAW!$G$3:$G=$D374)*ISNUMBER(SEARCH("겉감",소재DB_RAW!$M$3:$M))))),"")</f>
        <v/>
      </c>
      <c r="Z374" s="26">
        <f>IFERROR(TEXTJOIN(CHAR(10),TRUE,UNIQUE(FILTER(소재DB_RAW!$N$3:$N&amp;") "&amp;소재DB_RAW!$O$3:$O,(소재DB_RAW!$G$3:$G=$D374)*ISNUMBER(SEARCH("안감",소재DB_RAW!$M$3:$M))))),"")</f>
        <v/>
      </c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21" t="inlineStr">
        <is>
          <t>X</t>
        </is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",TRUE,UNIQUE(FILTER(소재DB_RAW!$K$3:$K,소재DB_RAW!$G$3:$G=$D375))),"")</f>
        <v/>
      </c>
      <c r="W375" s="20" t="inlineStr">
        <is>
          <t>국내</t>
        </is>
      </c>
      <c r="X375" s="20">
        <f>IFERROR(TEXTJOIN(" / ",TRUE,UNIQUE(FILTER(소재DB_RAW!$N$3:$N,소재DB_RAW!$G$3:$G=$D375))),"")</f>
        <v/>
      </c>
      <c r="Y375" s="26">
        <f>IFERROR(TEXTJOIN(CHAR(10),TRUE,UNIQUE(FILTER(소재DB_RAW!$N$3:$N&amp;") "&amp;소재DB_RAW!$O$3:$O,(소재DB_RAW!$G$3:$G=$D375)*ISNUMBER(SEARCH("겉감",소재DB_RAW!$M$3:$M))))),"")</f>
        <v/>
      </c>
      <c r="Z375" s="26">
        <f>IFERROR(TEXTJOIN(CHAR(10),TRUE,UNIQUE(FILTER(소재DB_RAW!$N$3:$N&amp;") "&amp;소재DB_RAW!$O$3:$O,(소재DB_RAW!$G$3:$G=$D375)*ISNUMBER(SEARCH("안감",소재DB_RAW!$M$3:$M))))),"")</f>
        <v/>
      </c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21" t="inlineStr">
        <is>
          <t>X</t>
        </is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",TRUE,UNIQUE(FILTER(소재DB_RAW!$K$3:$K,소재DB_RAW!$G$3:$G=$D376))),"")</f>
        <v/>
      </c>
      <c r="W376" s="20" t="inlineStr">
        <is>
          <t>국내</t>
        </is>
      </c>
      <c r="X376" s="20">
        <f>IFERROR(TEXTJOIN(" / ",TRUE,UNIQUE(FILTER(소재DB_RAW!$N$3:$N,소재DB_RAW!$G$3:$G=$D376))),"")</f>
        <v/>
      </c>
      <c r="Y376" s="26">
        <f>IFERROR(TEXTJOIN(CHAR(10),TRUE,UNIQUE(FILTER(소재DB_RAW!$N$3:$N&amp;") "&amp;소재DB_RAW!$O$3:$O,(소재DB_RAW!$G$3:$G=$D376)*ISNUMBER(SEARCH("겉감",소재DB_RAW!$M$3:$M))))),"")</f>
        <v/>
      </c>
      <c r="Z376" s="26">
        <f>IFERROR(TEXTJOIN(CHAR(10),TRUE,UNIQUE(FILTER(소재DB_RAW!$N$3:$N&amp;") "&amp;소재DB_RAW!$O$3:$O,(소재DB_RAW!$G$3:$G=$D376)*ISNUMBER(SEARCH("안감",소재DB_RAW!$M$3:$M))))),"")</f>
        <v/>
      </c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21" t="inlineStr">
        <is>
          <t>O</t>
        </is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",TRUE,UNIQUE(FILTER(소재DB_RAW!$K$3:$K,소재DB_RAW!$G$3:$G=$D377))),"")</f>
        <v/>
      </c>
      <c r="W377" s="20" t="inlineStr">
        <is>
          <t>국내</t>
        </is>
      </c>
      <c r="X377" s="20">
        <f>IFERROR(TEXTJOIN(" / ",TRUE,UNIQUE(FILTER(소재DB_RAW!$N$3:$N,소재DB_RAW!$G$3:$G=$D377))),"")</f>
        <v/>
      </c>
      <c r="Y377" s="26">
        <f>IFERROR(TEXTJOIN(CHAR(10),TRUE,UNIQUE(FILTER(소재DB_RAW!$N$3:$N&amp;") "&amp;소재DB_RAW!$O$3:$O,(소재DB_RAW!$G$3:$G=$D377)*ISNUMBER(SEARCH("겉감",소재DB_RAW!$M$3:$M))))),"")</f>
        <v/>
      </c>
      <c r="Z377" s="26">
        <f>IFERROR(TEXTJOIN(CHAR(10),TRUE,UNIQUE(FILTER(소재DB_RAW!$N$3:$N&amp;") "&amp;소재DB_RAW!$O$3:$O,(소재DB_RAW!$G$3:$G=$D377)*ISNUMBER(SEARCH("안감",소재DB_RAW!$M$3:$M))))),"")</f>
        <v/>
      </c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21" t="inlineStr">
        <is>
          <t>O</t>
        </is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",TRUE,UNIQUE(FILTER(소재DB_RAW!$K$3:$K,소재DB_RAW!$G$3:$G=$D378))),"")</f>
        <v/>
      </c>
      <c r="W378" s="20" t="inlineStr">
        <is>
          <t>국내</t>
        </is>
      </c>
      <c r="X378" s="20">
        <f>IFERROR(TEXTJOIN(" / ",TRUE,UNIQUE(FILTER(소재DB_RAW!$N$3:$N,소재DB_RAW!$G$3:$G=$D378))),"")</f>
        <v/>
      </c>
      <c r="Y378" s="26">
        <f>IFERROR(TEXTJOIN(CHAR(10),TRUE,UNIQUE(FILTER(소재DB_RAW!$N$3:$N&amp;") "&amp;소재DB_RAW!$O$3:$O,(소재DB_RAW!$G$3:$G=$D378)*ISNUMBER(SEARCH("겉감",소재DB_RAW!$M$3:$M))))),"")</f>
        <v/>
      </c>
      <c r="Z378" s="26">
        <f>IFERROR(TEXTJOIN(CHAR(10),TRUE,UNIQUE(FILTER(소재DB_RAW!$N$3:$N&amp;") "&amp;소재DB_RAW!$O$3:$O,(소재DB_RAW!$G$3:$G=$D378)*ISNUMBER(SEARCH("안감",소재DB_RAW!$M$3:$M))))),"")</f>
        <v/>
      </c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21" t="inlineStr">
        <is>
          <t>O</t>
        </is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",TRUE,UNIQUE(FILTER(소재DB_RAW!$K$3:$K,소재DB_RAW!$G$3:$G=$D379))),"")</f>
        <v/>
      </c>
      <c r="W379" s="20" t="inlineStr">
        <is>
          <t>국내</t>
        </is>
      </c>
      <c r="X379" s="20">
        <f>IFERROR(TEXTJOIN(" / ",TRUE,UNIQUE(FILTER(소재DB_RAW!$N$3:$N,소재DB_RAW!$G$3:$G=$D379))),"")</f>
        <v/>
      </c>
      <c r="Y379" s="26">
        <f>IFERROR(TEXTJOIN(CHAR(10),TRUE,UNIQUE(FILTER(소재DB_RAW!$N$3:$N&amp;") "&amp;소재DB_RAW!$O$3:$O,(소재DB_RAW!$G$3:$G=$D379)*ISNUMBER(SEARCH("겉감",소재DB_RAW!$M$3:$M))))),"")</f>
        <v/>
      </c>
      <c r="Z379" s="26">
        <f>IFERROR(TEXTJOIN(CHAR(10),TRUE,UNIQUE(FILTER(소재DB_RAW!$N$3:$N&amp;") "&amp;소재DB_RAW!$O$3:$O,(소재DB_RAW!$G$3:$G=$D379)*ISNUMBER(SEARCH("안감",소재DB_RAW!$M$3:$M))))),"")</f>
        <v/>
      </c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21" t="inlineStr">
        <is>
          <t>O</t>
        </is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",TRUE,UNIQUE(FILTER(소재DB_RAW!$K$3:$K,소재DB_RAW!$G$3:$G=$D380))),"")</f>
        <v/>
      </c>
      <c r="W380" s="20" t="inlineStr">
        <is>
          <t>국내</t>
        </is>
      </c>
      <c r="X380" s="20">
        <f>IFERROR(TEXTJOIN(" / ",TRUE,UNIQUE(FILTER(소재DB_RAW!$N$3:$N,소재DB_RAW!$G$3:$G=$D380))),"")</f>
        <v/>
      </c>
      <c r="Y380" s="26">
        <f>IFERROR(TEXTJOIN(CHAR(10),TRUE,UNIQUE(FILTER(소재DB_RAW!$N$3:$N&amp;") "&amp;소재DB_RAW!$O$3:$O,(소재DB_RAW!$G$3:$G=$D380)*ISNUMBER(SEARCH("겉감",소재DB_RAW!$M$3:$M))))),"")</f>
        <v/>
      </c>
      <c r="Z380" s="26">
        <f>IFERROR(TEXTJOIN(CHAR(10),TRUE,UNIQUE(FILTER(소재DB_RAW!$N$3:$N&amp;") "&amp;소재DB_RAW!$O$3:$O,(소재DB_RAW!$G$3:$G=$D380)*ISNUMBER(SEARCH("안감",소재DB_RAW!$M$3:$M))))),"")</f>
        <v/>
      </c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21" t="inlineStr">
        <is>
          <t>O</t>
        </is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",TRUE,UNIQUE(FILTER(소재DB_RAW!$K$3:$K,소재DB_RAW!$G$3:$G=$D381))),"")</f>
        <v/>
      </c>
      <c r="W381" s="20" t="inlineStr">
        <is>
          <t>베트남</t>
        </is>
      </c>
      <c r="X381" s="20">
        <f>IFERROR(TEXTJOIN(" / ",TRUE,UNIQUE(FILTER(소재DB_RAW!$N$3:$N,소재DB_RAW!$G$3:$G=$D381))),"")</f>
        <v/>
      </c>
      <c r="Y381" s="26">
        <f>IFERROR(TEXTJOIN(CHAR(10),TRUE,UNIQUE(FILTER(소재DB_RAW!$N$3:$N&amp;") "&amp;소재DB_RAW!$O$3:$O,(소재DB_RAW!$G$3:$G=$D381)*ISNUMBER(SEARCH("겉감",소재DB_RAW!$M$3:$M))))),"")</f>
        <v/>
      </c>
      <c r="Z381" s="26">
        <f>IFERROR(TEXTJOIN(CHAR(10),TRUE,UNIQUE(FILTER(소재DB_RAW!$N$3:$N&amp;") "&amp;소재DB_RAW!$O$3:$O,(소재DB_RAW!$G$3:$G=$D381)*ISNUMBER(SEARCH("안감",소재DB_RAW!$M$3:$M))))),"")</f>
        <v/>
      </c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21" t="inlineStr">
        <is>
          <t>O</t>
        </is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",TRUE,UNIQUE(FILTER(소재DB_RAW!$K$3:$K,소재DB_RAW!$G$3:$G=$D382))),"")</f>
        <v/>
      </c>
      <c r="W382" s="20" t="inlineStr">
        <is>
          <t>베트남</t>
        </is>
      </c>
      <c r="X382" s="20">
        <f>IFERROR(TEXTJOIN(" / ",TRUE,UNIQUE(FILTER(소재DB_RAW!$N$3:$N,소재DB_RAW!$G$3:$G=$D382))),"")</f>
        <v/>
      </c>
      <c r="Y382" s="26">
        <f>IFERROR(TEXTJOIN(CHAR(10),TRUE,UNIQUE(FILTER(소재DB_RAW!$N$3:$N&amp;") "&amp;소재DB_RAW!$O$3:$O,(소재DB_RAW!$G$3:$G=$D382)*ISNUMBER(SEARCH("겉감",소재DB_RAW!$M$3:$M))))),"")</f>
        <v/>
      </c>
      <c r="Z382" s="26">
        <f>IFERROR(TEXTJOIN(CHAR(10),TRUE,UNIQUE(FILTER(소재DB_RAW!$N$3:$N&amp;") "&amp;소재DB_RAW!$O$3:$O,(소재DB_RAW!$G$3:$G=$D382)*ISNUMBER(SEARCH("안감",소재DB_RAW!$M$3:$M))))),"")</f>
        <v/>
      </c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21" t="inlineStr">
        <is>
          <t>X</t>
        </is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",TRUE,UNIQUE(FILTER(소재DB_RAW!$K$3:$K,소재DB_RAW!$G$3:$G=$D383))),"")</f>
        <v/>
      </c>
      <c r="W383" s="20" t="inlineStr">
        <is>
          <t>중국</t>
        </is>
      </c>
      <c r="X383" s="20">
        <f>IFERROR(TEXTJOIN(" / ",TRUE,UNIQUE(FILTER(소재DB_RAW!$N$3:$N,소재DB_RAW!$G$3:$G=$D383))),"")</f>
        <v/>
      </c>
      <c r="Y383" s="26">
        <f>IFERROR(TEXTJOIN(CHAR(10),TRUE,UNIQUE(FILTER(소재DB_RAW!$N$3:$N&amp;") "&amp;소재DB_RAW!$O$3:$O,(소재DB_RAW!$G$3:$G=$D383)*ISNUMBER(SEARCH("겉감",소재DB_RAW!$M$3:$M))))),"")</f>
        <v/>
      </c>
      <c r="Z383" s="26">
        <f>IFERROR(TEXTJOIN(CHAR(10),TRUE,UNIQUE(FILTER(소재DB_RAW!$N$3:$N&amp;") "&amp;소재DB_RAW!$O$3:$O,(소재DB_RAW!$G$3:$G=$D383)*ISNUMBER(SEARCH("안감",소재DB_RAW!$M$3:$M))))),"")</f>
        <v/>
      </c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21" t="inlineStr">
        <is>
          <t>X</t>
        </is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",TRUE,UNIQUE(FILTER(소재DB_RAW!$K$3:$K,소재DB_RAW!$G$3:$G=$D384))),"")</f>
        <v/>
      </c>
      <c r="W384" s="20" t="inlineStr">
        <is>
          <t>중국</t>
        </is>
      </c>
      <c r="X384" s="20">
        <f>IFERROR(TEXTJOIN(" / ",TRUE,UNIQUE(FILTER(소재DB_RAW!$N$3:$N,소재DB_RAW!$G$3:$G=$D384))),"")</f>
        <v/>
      </c>
      <c r="Y384" s="26">
        <f>IFERROR(TEXTJOIN(CHAR(10),TRUE,UNIQUE(FILTER(소재DB_RAW!$N$3:$N&amp;") "&amp;소재DB_RAW!$O$3:$O,(소재DB_RAW!$G$3:$G=$D384)*ISNUMBER(SEARCH("겉감",소재DB_RAW!$M$3:$M))))),"")</f>
        <v/>
      </c>
      <c r="Z384" s="26">
        <f>IFERROR(TEXTJOIN(CHAR(10),TRUE,UNIQUE(FILTER(소재DB_RAW!$N$3:$N&amp;") "&amp;소재DB_RAW!$O$3:$O,(소재DB_RAW!$G$3:$G=$D384)*ISNUMBER(SEARCH("안감",소재DB_RAW!$M$3:$M))))),"")</f>
        <v/>
      </c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21" t="inlineStr">
        <is>
          <t>X</t>
        </is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",TRUE,UNIQUE(FILTER(소재DB_RAW!$K$3:$K,소재DB_RAW!$G$3:$G=$D385))),"")</f>
        <v/>
      </c>
      <c r="W385" s="20" t="inlineStr">
        <is>
          <t>중국</t>
        </is>
      </c>
      <c r="X385" s="20">
        <f>IFERROR(TEXTJOIN(" / ",TRUE,UNIQUE(FILTER(소재DB_RAW!$N$3:$N,소재DB_RAW!$G$3:$G=$D385))),"")</f>
        <v/>
      </c>
      <c r="Y385" s="26">
        <f>IFERROR(TEXTJOIN(CHAR(10),TRUE,UNIQUE(FILTER(소재DB_RAW!$N$3:$N&amp;") "&amp;소재DB_RAW!$O$3:$O,(소재DB_RAW!$G$3:$G=$D385)*ISNUMBER(SEARCH("겉감",소재DB_RAW!$M$3:$M))))),"")</f>
        <v/>
      </c>
      <c r="Z385" s="26">
        <f>IFERROR(TEXTJOIN(CHAR(10),TRUE,UNIQUE(FILTER(소재DB_RAW!$N$3:$N&amp;") "&amp;소재DB_RAW!$O$3:$O,(소재DB_RAW!$G$3:$G=$D385)*ISNUMBER(SEARCH("안감",소재DB_RAW!$M$3:$M))))),"")</f>
        <v/>
      </c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21" t="inlineStr">
        <is>
          <t>X</t>
        </is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",TRUE,UNIQUE(FILTER(소재DB_RAW!$K$3:$K,소재DB_RAW!$G$3:$G=$D386))),"")</f>
        <v/>
      </c>
      <c r="W386" s="20" t="inlineStr">
        <is>
          <t>중국</t>
        </is>
      </c>
      <c r="X386" s="20">
        <f>IFERROR(TEXTJOIN(" / ",TRUE,UNIQUE(FILTER(소재DB_RAW!$N$3:$N,소재DB_RAW!$G$3:$G=$D386))),"")</f>
        <v/>
      </c>
      <c r="Y386" s="26">
        <f>IFERROR(TEXTJOIN(CHAR(10),TRUE,UNIQUE(FILTER(소재DB_RAW!$N$3:$N&amp;") "&amp;소재DB_RAW!$O$3:$O,(소재DB_RAW!$G$3:$G=$D386)*ISNUMBER(SEARCH("겉감",소재DB_RAW!$M$3:$M))))),"")</f>
        <v/>
      </c>
      <c r="Z386" s="26">
        <f>IFERROR(TEXTJOIN(CHAR(10),TRUE,UNIQUE(FILTER(소재DB_RAW!$N$3:$N&amp;") "&amp;소재DB_RAW!$O$3:$O,(소재DB_RAW!$G$3:$G=$D386)*ISNUMBER(SEARCH("안감",소재DB_RAW!$M$3:$M))))),"")</f>
        <v/>
      </c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21" t="inlineStr">
        <is>
          <t>X</t>
        </is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",TRUE,UNIQUE(FILTER(소재DB_RAW!$K$3:$K,소재DB_RAW!$G$3:$G=$D387))),"")</f>
        <v/>
      </c>
      <c r="W387" s="20" t="inlineStr">
        <is>
          <t>중국</t>
        </is>
      </c>
      <c r="X387" s="20">
        <f>IFERROR(TEXTJOIN(" / ",TRUE,UNIQUE(FILTER(소재DB_RAW!$N$3:$N,소재DB_RAW!$G$3:$G=$D387))),"")</f>
        <v/>
      </c>
      <c r="Y387" s="26">
        <f>IFERROR(TEXTJOIN(CHAR(10),TRUE,UNIQUE(FILTER(소재DB_RAW!$N$3:$N&amp;") "&amp;소재DB_RAW!$O$3:$O,(소재DB_RAW!$G$3:$G=$D387)*ISNUMBER(SEARCH("겉감",소재DB_RAW!$M$3:$M))))),"")</f>
        <v/>
      </c>
      <c r="Z387" s="26">
        <f>IFERROR(TEXTJOIN(CHAR(10),TRUE,UNIQUE(FILTER(소재DB_RAW!$N$3:$N&amp;") "&amp;소재DB_RAW!$O$3:$O,(소재DB_RAW!$G$3:$G=$D387)*ISNUMBER(SEARCH("안감",소재DB_RAW!$M$3:$M))))),"")</f>
        <v/>
      </c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21" t="inlineStr">
        <is>
          <t>X</t>
        </is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",TRUE,UNIQUE(FILTER(소재DB_RAW!$K$3:$K,소재DB_RAW!$G$3:$G=$D388))),"")</f>
        <v/>
      </c>
      <c r="W388" s="20" t="inlineStr">
        <is>
          <t>중국</t>
        </is>
      </c>
      <c r="X388" s="20">
        <f>IFERROR(TEXTJOIN(" / ",TRUE,UNIQUE(FILTER(소재DB_RAW!$N$3:$N,소재DB_RAW!$G$3:$G=$D388))),"")</f>
        <v/>
      </c>
      <c r="Y388" s="26">
        <f>IFERROR(TEXTJOIN(CHAR(10),TRUE,UNIQUE(FILTER(소재DB_RAW!$N$3:$N&amp;") "&amp;소재DB_RAW!$O$3:$O,(소재DB_RAW!$G$3:$G=$D388)*ISNUMBER(SEARCH("겉감",소재DB_RAW!$M$3:$M))))),"")</f>
        <v/>
      </c>
      <c r="Z388" s="26">
        <f>IFERROR(TEXTJOIN(CHAR(10),TRUE,UNIQUE(FILTER(소재DB_RAW!$N$3:$N&amp;") "&amp;소재DB_RAW!$O$3:$O,(소재DB_RAW!$G$3:$G=$D388)*ISNUMBER(SEARCH("안감",소재DB_RAW!$M$3:$M))))),"")</f>
        <v/>
      </c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21" t="inlineStr">
        <is>
          <t>X</t>
        </is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",TRUE,UNIQUE(FILTER(소재DB_RAW!$K$3:$K,소재DB_RAW!$G$3:$G=$D389))),"")</f>
        <v/>
      </c>
      <c r="W389" s="20" t="inlineStr">
        <is>
          <t>중국</t>
        </is>
      </c>
      <c r="X389" s="20">
        <f>IFERROR(TEXTJOIN(" / ",TRUE,UNIQUE(FILTER(소재DB_RAW!$N$3:$N,소재DB_RAW!$G$3:$G=$D389))),"")</f>
        <v/>
      </c>
      <c r="Y389" s="26">
        <f>IFERROR(TEXTJOIN(CHAR(10),TRUE,UNIQUE(FILTER(소재DB_RAW!$N$3:$N&amp;") "&amp;소재DB_RAW!$O$3:$O,(소재DB_RAW!$G$3:$G=$D389)*ISNUMBER(SEARCH("겉감",소재DB_RAW!$M$3:$M))))),"")</f>
        <v/>
      </c>
      <c r="Z389" s="26">
        <f>IFERROR(TEXTJOIN(CHAR(10),TRUE,UNIQUE(FILTER(소재DB_RAW!$N$3:$N&amp;") "&amp;소재DB_RAW!$O$3:$O,(소재DB_RAW!$G$3:$G=$D389)*ISNUMBER(SEARCH("안감",소재DB_RAW!$M$3:$M))))),"")</f>
        <v/>
      </c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21" t="inlineStr">
        <is>
          <t>X</t>
        </is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",TRUE,UNIQUE(FILTER(소재DB_RAW!$K$3:$K,소재DB_RAW!$G$3:$G=$D390))),"")</f>
        <v/>
      </c>
      <c r="W390" s="20" t="inlineStr">
        <is>
          <t>중국</t>
        </is>
      </c>
      <c r="X390" s="20">
        <f>IFERROR(TEXTJOIN(" / ",TRUE,UNIQUE(FILTER(소재DB_RAW!$N$3:$N,소재DB_RAW!$G$3:$G=$D390))),"")</f>
        <v/>
      </c>
      <c r="Y390" s="26">
        <f>IFERROR(TEXTJOIN(CHAR(10),TRUE,UNIQUE(FILTER(소재DB_RAW!$N$3:$N&amp;") "&amp;소재DB_RAW!$O$3:$O,(소재DB_RAW!$G$3:$G=$D390)*ISNUMBER(SEARCH("겉감",소재DB_RAW!$M$3:$M))))),"")</f>
        <v/>
      </c>
      <c r="Z390" s="26">
        <f>IFERROR(TEXTJOIN(CHAR(10),TRUE,UNIQUE(FILTER(소재DB_RAW!$N$3:$N&amp;") "&amp;소재DB_RAW!$O$3:$O,(소재DB_RAW!$G$3:$G=$D390)*ISNUMBER(SEARCH("안감",소재DB_RAW!$M$3:$M))))),"")</f>
        <v/>
      </c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21" t="inlineStr">
        <is>
          <t>X</t>
        </is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",TRUE,UNIQUE(FILTER(소재DB_RAW!$K$3:$K,소재DB_RAW!$G$3:$G=$D391))),"")</f>
        <v/>
      </c>
      <c r="W391" s="20" t="inlineStr">
        <is>
          <t>중국</t>
        </is>
      </c>
      <c r="X391" s="20">
        <f>IFERROR(TEXTJOIN(" / ",TRUE,UNIQUE(FILTER(소재DB_RAW!$N$3:$N,소재DB_RAW!$G$3:$G=$D391))),"")</f>
        <v/>
      </c>
      <c r="Y391" s="26">
        <f>IFERROR(TEXTJOIN(CHAR(10),TRUE,UNIQUE(FILTER(소재DB_RAW!$N$3:$N&amp;") "&amp;소재DB_RAW!$O$3:$O,(소재DB_RAW!$G$3:$G=$D391)*ISNUMBER(SEARCH("겉감",소재DB_RAW!$M$3:$M))))),"")</f>
        <v/>
      </c>
      <c r="Z391" s="26">
        <f>IFERROR(TEXTJOIN(CHAR(10),TRUE,UNIQUE(FILTER(소재DB_RAW!$N$3:$N&amp;") "&amp;소재DB_RAW!$O$3:$O,(소재DB_RAW!$G$3:$G=$D391)*ISNUMBER(SEARCH("안감",소재DB_RAW!$M$3:$M))))),"")</f>
        <v/>
      </c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21" t="inlineStr">
        <is>
          <t>X</t>
        </is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",TRUE,UNIQUE(FILTER(소재DB_RAW!$K$3:$K,소재DB_RAW!$G$3:$G=$D392))),"")</f>
        <v/>
      </c>
      <c r="W392" s="20" t="inlineStr">
        <is>
          <t>중국</t>
        </is>
      </c>
      <c r="X392" s="20">
        <f>IFERROR(TEXTJOIN(" / ",TRUE,UNIQUE(FILTER(소재DB_RAW!$N$3:$N,소재DB_RAW!$G$3:$G=$D392))),"")</f>
        <v/>
      </c>
      <c r="Y392" s="26">
        <f>IFERROR(TEXTJOIN(CHAR(10),TRUE,UNIQUE(FILTER(소재DB_RAW!$N$3:$N&amp;") "&amp;소재DB_RAW!$O$3:$O,(소재DB_RAW!$G$3:$G=$D392)*ISNUMBER(SEARCH("겉감",소재DB_RAW!$M$3:$M))))),"")</f>
        <v/>
      </c>
      <c r="Z392" s="26">
        <f>IFERROR(TEXTJOIN(CHAR(10),TRUE,UNIQUE(FILTER(소재DB_RAW!$N$3:$N&amp;") "&amp;소재DB_RAW!$O$3:$O,(소재DB_RAW!$G$3:$G=$D392)*ISNUMBER(SEARCH("안감",소재DB_RAW!$M$3:$M))))),"")</f>
        <v/>
      </c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21" t="inlineStr">
        <is>
          <t>X</t>
        </is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",TRUE,UNIQUE(FILTER(소재DB_RAW!$K$3:$K,소재DB_RAW!$G$3:$G=$D393))),"")</f>
        <v/>
      </c>
      <c r="W393" s="20" t="inlineStr">
        <is>
          <t>중국</t>
        </is>
      </c>
      <c r="X393" s="20">
        <f>IFERROR(TEXTJOIN(" / ",TRUE,UNIQUE(FILTER(소재DB_RAW!$N$3:$N,소재DB_RAW!$G$3:$G=$D393))),"")</f>
        <v/>
      </c>
      <c r="Y393" s="26">
        <f>IFERROR(TEXTJOIN(CHAR(10),TRUE,UNIQUE(FILTER(소재DB_RAW!$N$3:$N&amp;") "&amp;소재DB_RAW!$O$3:$O,(소재DB_RAW!$G$3:$G=$D393)*ISNUMBER(SEARCH("겉감",소재DB_RAW!$M$3:$M))))),"")</f>
        <v/>
      </c>
      <c r="Z393" s="26">
        <f>IFERROR(TEXTJOIN(CHAR(10),TRUE,UNIQUE(FILTER(소재DB_RAW!$N$3:$N&amp;") "&amp;소재DB_RAW!$O$3:$O,(소재DB_RAW!$G$3:$G=$D393)*ISNUMBER(SEARCH("안감",소재DB_RAW!$M$3:$M))))),"")</f>
        <v/>
      </c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21" t="n"/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",TRUE,UNIQUE(FILTER(소재DB_RAW!$K$3:$K,소재DB_RAW!$G$3:$G=$D394))),"")</f>
        <v/>
      </c>
      <c r="W394" s="20" t="inlineStr">
        <is>
          <t>베트남</t>
        </is>
      </c>
      <c r="X394" s="20">
        <f>IFERROR(TEXTJOIN(" / ",TRUE,UNIQUE(FILTER(소재DB_RAW!$N$3:$N,소재DB_RAW!$G$3:$G=$D394))),"")</f>
        <v/>
      </c>
      <c r="Y394" s="26">
        <f>IFERROR(TEXTJOIN(CHAR(10),TRUE,UNIQUE(FILTER(소재DB_RAW!$N$3:$N&amp;") "&amp;소재DB_RAW!$O$3:$O,(소재DB_RAW!$G$3:$G=$D394)*ISNUMBER(SEARCH("겉감",소재DB_RAW!$M$3:$M))))),"")</f>
        <v/>
      </c>
      <c r="Z394" s="26">
        <f>IFERROR(TEXTJOIN(CHAR(10),TRUE,UNIQUE(FILTER(소재DB_RAW!$N$3:$N&amp;") "&amp;소재DB_RAW!$O$3:$O,(소재DB_RAW!$G$3:$G=$D394)*ISNUMBER(SEARCH("안감",소재DB_RAW!$M$3:$M))))),"")</f>
        <v/>
      </c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21" t="inlineStr">
        <is>
          <t>X</t>
        </is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",TRUE,UNIQUE(FILTER(소재DB_RAW!$K$3:$K,소재DB_RAW!$G$3:$G=$D395))),"")</f>
        <v/>
      </c>
      <c r="W395" s="20" t="inlineStr">
        <is>
          <t>베트남</t>
        </is>
      </c>
      <c r="X395" s="20">
        <f>IFERROR(TEXTJOIN(" / ",TRUE,UNIQUE(FILTER(소재DB_RAW!$N$3:$N,소재DB_RAW!$G$3:$G=$D395))),"")</f>
        <v/>
      </c>
      <c r="Y395" s="26">
        <f>IFERROR(TEXTJOIN(CHAR(10),TRUE,UNIQUE(FILTER(소재DB_RAW!$N$3:$N&amp;") "&amp;소재DB_RAW!$O$3:$O,(소재DB_RAW!$G$3:$G=$D395)*ISNUMBER(SEARCH("겉감",소재DB_RAW!$M$3:$M))))),"")</f>
        <v/>
      </c>
      <c r="Z395" s="26">
        <f>IFERROR(TEXTJOIN(CHAR(10),TRUE,UNIQUE(FILTER(소재DB_RAW!$N$3:$N&amp;") "&amp;소재DB_RAW!$O$3:$O,(소재DB_RAW!$G$3:$G=$D395)*ISNUMBER(SEARCH("안감",소재DB_RAW!$M$3:$M))))),"")</f>
        <v/>
      </c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21" t="n"/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",TRUE,UNIQUE(FILTER(소재DB_RAW!$K$3:$K,소재DB_RAW!$G$3:$G=$D396))),"")</f>
        <v/>
      </c>
      <c r="W396" s="20" t="inlineStr">
        <is>
          <t>베트남</t>
        </is>
      </c>
      <c r="X396" s="20">
        <f>IFERROR(TEXTJOIN(" / ",TRUE,UNIQUE(FILTER(소재DB_RAW!$N$3:$N,소재DB_RAW!$G$3:$G=$D396))),"")</f>
        <v/>
      </c>
      <c r="Y396" s="26">
        <f>IFERROR(TEXTJOIN(CHAR(10),TRUE,UNIQUE(FILTER(소재DB_RAW!$N$3:$N&amp;") "&amp;소재DB_RAW!$O$3:$O,(소재DB_RAW!$G$3:$G=$D396)*ISNUMBER(SEARCH("겉감",소재DB_RAW!$M$3:$M))))),"")</f>
        <v/>
      </c>
      <c r="Z396" s="26">
        <f>IFERROR(TEXTJOIN(CHAR(10),TRUE,UNIQUE(FILTER(소재DB_RAW!$N$3:$N&amp;") "&amp;소재DB_RAW!$O$3:$O,(소재DB_RAW!$G$3:$G=$D396)*ISNUMBER(SEARCH("안감",소재DB_RAW!$M$3:$M))))),"")</f>
        <v/>
      </c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21" t="n"/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",TRUE,UNIQUE(FILTER(소재DB_RAW!$K$3:$K,소재DB_RAW!$G$3:$G=$D397))),"")</f>
        <v/>
      </c>
      <c r="W397" s="20" t="inlineStr"/>
      <c r="X397" s="20">
        <f>IFERROR(TEXTJOIN(" / ",TRUE,UNIQUE(FILTER(소재DB_RAW!$N$3:$N,소재DB_RAW!$G$3:$G=$D397))),"")</f>
        <v/>
      </c>
      <c r="Y397" s="26">
        <f>IFERROR(TEXTJOIN(CHAR(10),TRUE,UNIQUE(FILTER(소재DB_RAW!$N$3:$N&amp;") "&amp;소재DB_RAW!$O$3:$O,(소재DB_RAW!$G$3:$G=$D397)*ISNUMBER(SEARCH("겉감",소재DB_RAW!$M$3:$M))))),"")</f>
        <v/>
      </c>
      <c r="Z397" s="26">
        <f>IFERROR(TEXTJOIN(CHAR(10),TRUE,UNIQUE(FILTER(소재DB_RAW!$N$3:$N&amp;") "&amp;소재DB_RAW!$O$3:$O,(소재DB_RAW!$G$3:$G=$D397)*ISNUMBER(SEARCH("안감",소재DB_RAW!$M$3:$M))))),"")</f>
        <v/>
      </c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21" t="n"/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",TRUE,UNIQUE(FILTER(소재DB_RAW!$K$3:$K,소재DB_RAW!$G$3:$G=$D398))),"")</f>
        <v/>
      </c>
      <c r="W398" s="20" t="inlineStr"/>
      <c r="X398" s="20">
        <f>IFERROR(TEXTJOIN(" / ",TRUE,UNIQUE(FILTER(소재DB_RAW!$N$3:$N,소재DB_RAW!$G$3:$G=$D398))),"")</f>
        <v/>
      </c>
      <c r="Y398" s="26">
        <f>IFERROR(TEXTJOIN(CHAR(10),TRUE,UNIQUE(FILTER(소재DB_RAW!$N$3:$N&amp;") "&amp;소재DB_RAW!$O$3:$O,(소재DB_RAW!$G$3:$G=$D398)*ISNUMBER(SEARCH("겉감",소재DB_RAW!$M$3:$M))))),"")</f>
        <v/>
      </c>
      <c r="Z398" s="26">
        <f>IFERROR(TEXTJOIN(CHAR(10),TRUE,UNIQUE(FILTER(소재DB_RAW!$N$3:$N&amp;") "&amp;소재DB_RAW!$O$3:$O,(소재DB_RAW!$G$3:$G=$D398)*ISNUMBER(SEARCH("안감",소재DB_RAW!$M$3:$M))))),"")</f>
        <v/>
      </c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21" t="n"/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",TRUE,UNIQUE(FILTER(소재DB_RAW!$K$3:$K,소재DB_RAW!$G$3:$G=$D399))),"")</f>
        <v/>
      </c>
      <c r="W399" s="20" t="inlineStr"/>
      <c r="X399" s="20">
        <f>IFERROR(TEXTJOIN(" / ",TRUE,UNIQUE(FILTER(소재DB_RAW!$N$3:$N,소재DB_RAW!$G$3:$G=$D399))),"")</f>
        <v/>
      </c>
      <c r="Y399" s="26">
        <f>IFERROR(TEXTJOIN(CHAR(10),TRUE,UNIQUE(FILTER(소재DB_RAW!$N$3:$N&amp;") "&amp;소재DB_RAW!$O$3:$O,(소재DB_RAW!$G$3:$G=$D399)*ISNUMBER(SEARCH("겉감",소재DB_RAW!$M$3:$M))))),"")</f>
        <v/>
      </c>
      <c r="Z399" s="26">
        <f>IFERROR(TEXTJOIN(CHAR(10),TRUE,UNIQUE(FILTER(소재DB_RAW!$N$3:$N&amp;") "&amp;소재DB_RAW!$O$3:$O,(소재DB_RAW!$G$3:$G=$D399)*ISNUMBER(SEARCH("안감",소재DB_RAW!$M$3:$M))))),"")</f>
        <v/>
      </c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21" t="n"/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",TRUE,UNIQUE(FILTER(소재DB_RAW!$K$3:$K,소재DB_RAW!$G$3:$G=$D400))),"")</f>
        <v/>
      </c>
      <c r="W400" s="20" t="inlineStr"/>
      <c r="X400" s="20">
        <f>IFERROR(TEXTJOIN(" / ",TRUE,UNIQUE(FILTER(소재DB_RAW!$N$3:$N,소재DB_RAW!$G$3:$G=$D400))),"")</f>
        <v/>
      </c>
      <c r="Y400" s="26">
        <f>IFERROR(TEXTJOIN(CHAR(10),TRUE,UNIQUE(FILTER(소재DB_RAW!$N$3:$N&amp;") "&amp;소재DB_RAW!$O$3:$O,(소재DB_RAW!$G$3:$G=$D400)*ISNUMBER(SEARCH("겉감",소재DB_RAW!$M$3:$M))))),"")</f>
        <v/>
      </c>
      <c r="Z400" s="26">
        <f>IFERROR(TEXTJOIN(CHAR(10),TRUE,UNIQUE(FILTER(소재DB_RAW!$N$3:$N&amp;") "&amp;소재DB_RAW!$O$3:$O,(소재DB_RAW!$G$3:$G=$D400)*ISNUMBER(SEARCH("안감",소재DB_RAW!$M$3:$M))))),"")</f>
        <v/>
      </c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21" t="n"/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",TRUE,UNIQUE(FILTER(소재DB_RAW!$K$3:$K,소재DB_RAW!$G$3:$G=$D401))),"")</f>
        <v/>
      </c>
      <c r="W401" s="20" t="inlineStr"/>
      <c r="X401" s="20">
        <f>IFERROR(TEXTJOIN(" / ",TRUE,UNIQUE(FILTER(소재DB_RAW!$N$3:$N,소재DB_RAW!$G$3:$G=$D401))),"")</f>
        <v/>
      </c>
      <c r="Y401" s="26">
        <f>IFERROR(TEXTJOIN(CHAR(10),TRUE,UNIQUE(FILTER(소재DB_RAW!$N$3:$N&amp;") "&amp;소재DB_RAW!$O$3:$O,(소재DB_RAW!$G$3:$G=$D401)*ISNUMBER(SEARCH("겉감",소재DB_RAW!$M$3:$M))))),"")</f>
        <v/>
      </c>
      <c r="Z401" s="26">
        <f>IFERROR(TEXTJOIN(CHAR(10),TRUE,UNIQUE(FILTER(소재DB_RAW!$N$3:$N&amp;") "&amp;소재DB_RAW!$O$3:$O,(소재DB_RAW!$G$3:$G=$D401)*ISNUMBER(SEARCH("안감",소재DB_RAW!$M$3:$M))))),"")</f>
        <v/>
      </c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21" t="n"/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",TRUE,UNIQUE(FILTER(소재DB_RAW!$K$3:$K,소재DB_RAW!$G$3:$G=$D402))),"")</f>
        <v/>
      </c>
      <c r="W402" s="20" t="inlineStr"/>
      <c r="X402" s="20">
        <f>IFERROR(TEXTJOIN(" / ",TRUE,UNIQUE(FILTER(소재DB_RAW!$N$3:$N,소재DB_RAW!$G$3:$G=$D402))),"")</f>
        <v/>
      </c>
      <c r="Y402" s="26">
        <f>IFERROR(TEXTJOIN(CHAR(10),TRUE,UNIQUE(FILTER(소재DB_RAW!$N$3:$N&amp;") "&amp;소재DB_RAW!$O$3:$O,(소재DB_RAW!$G$3:$G=$D402)*ISNUMBER(SEARCH("겉감",소재DB_RAW!$M$3:$M))))),"")</f>
        <v/>
      </c>
      <c r="Z402" s="26">
        <f>IFERROR(TEXTJOIN(CHAR(10),TRUE,UNIQUE(FILTER(소재DB_RAW!$N$3:$N&amp;") "&amp;소재DB_RAW!$O$3:$O,(소재DB_RAW!$G$3:$G=$D402)*ISNUMBER(SEARCH("안감",소재DB_RAW!$M$3:$M))))),"")</f>
        <v/>
      </c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21" t="n"/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",TRUE,UNIQUE(FILTER(소재DB_RAW!$K$3:$K,소재DB_RAW!$G$3:$G=$D403))),"")</f>
        <v/>
      </c>
      <c r="W403" s="20" t="inlineStr"/>
      <c r="X403" s="20">
        <f>IFERROR(TEXTJOIN(" / ",TRUE,UNIQUE(FILTER(소재DB_RAW!$N$3:$N,소재DB_RAW!$G$3:$G=$D403))),"")</f>
        <v/>
      </c>
      <c r="Y403" s="26">
        <f>IFERROR(TEXTJOIN(CHAR(10),TRUE,UNIQUE(FILTER(소재DB_RAW!$N$3:$N&amp;") "&amp;소재DB_RAW!$O$3:$O,(소재DB_RAW!$G$3:$G=$D403)*ISNUMBER(SEARCH("겉감",소재DB_RAW!$M$3:$M))))),"")</f>
        <v/>
      </c>
      <c r="Z403" s="26">
        <f>IFERROR(TEXTJOIN(CHAR(10),TRUE,UNIQUE(FILTER(소재DB_RAW!$N$3:$N&amp;") "&amp;소재DB_RAW!$O$3:$O,(소재DB_RAW!$G$3:$G=$D403)*ISNUMBER(SEARCH("안감",소재DB_RAW!$M$3:$M))))),"")</f>
        <v/>
      </c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21" t="n"/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",TRUE,UNIQUE(FILTER(소재DB_RAW!$K$3:$K,소재DB_RAW!$G$3:$G=$D404))),"")</f>
        <v/>
      </c>
      <c r="W404" s="20" t="inlineStr"/>
      <c r="X404" s="20">
        <f>IFERROR(TEXTJOIN(" / ",TRUE,UNIQUE(FILTER(소재DB_RAW!$N$3:$N,소재DB_RAW!$G$3:$G=$D404))),"")</f>
        <v/>
      </c>
      <c r="Y404" s="26">
        <f>IFERROR(TEXTJOIN(CHAR(10),TRUE,UNIQUE(FILTER(소재DB_RAW!$N$3:$N&amp;") "&amp;소재DB_RAW!$O$3:$O,(소재DB_RAW!$G$3:$G=$D404)*ISNUMBER(SEARCH("겉감",소재DB_RAW!$M$3:$M))))),"")</f>
        <v/>
      </c>
      <c r="Z404" s="26">
        <f>IFERROR(TEXTJOIN(CHAR(10),TRUE,UNIQUE(FILTER(소재DB_RAW!$N$3:$N&amp;") "&amp;소재DB_RAW!$O$3:$O,(소재DB_RAW!$G$3:$G=$D404)*ISNUMBER(SEARCH("안감",소재DB_RAW!$M$3:$M))))),"")</f>
        <v/>
      </c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21" t="n"/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",TRUE,UNIQUE(FILTER(소재DB_RAW!$K$3:$K,소재DB_RAW!$G$3:$G=$D405))),"")</f>
        <v/>
      </c>
      <c r="W405" s="20" t="inlineStr"/>
      <c r="X405" s="20">
        <f>IFERROR(TEXTJOIN(" / ",TRUE,UNIQUE(FILTER(소재DB_RAW!$N$3:$N,소재DB_RAW!$G$3:$G=$D405))),"")</f>
        <v/>
      </c>
      <c r="Y405" s="26">
        <f>IFERROR(TEXTJOIN(CHAR(10),TRUE,UNIQUE(FILTER(소재DB_RAW!$N$3:$N&amp;") "&amp;소재DB_RAW!$O$3:$O,(소재DB_RAW!$G$3:$G=$D405)*ISNUMBER(SEARCH("겉감",소재DB_RAW!$M$3:$M))))),"")</f>
        <v/>
      </c>
      <c r="Z405" s="26">
        <f>IFERROR(TEXTJOIN(CHAR(10),TRUE,UNIQUE(FILTER(소재DB_RAW!$N$3:$N&amp;") "&amp;소재DB_RAW!$O$3:$O,(소재DB_RAW!$G$3:$G=$D405)*ISNUMBER(SEARCH("안감",소재DB_RAW!$M$3:$M))))),"")</f>
        <v/>
      </c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21" t="n"/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",TRUE,UNIQUE(FILTER(소재DB_RAW!$K$3:$K,소재DB_RAW!$G$3:$G=$D406))),"")</f>
        <v/>
      </c>
      <c r="W406" s="20" t="inlineStr"/>
      <c r="X406" s="20">
        <f>IFERROR(TEXTJOIN(" / ",TRUE,UNIQUE(FILTER(소재DB_RAW!$N$3:$N,소재DB_RAW!$G$3:$G=$D406))),"")</f>
        <v/>
      </c>
      <c r="Y406" s="26">
        <f>IFERROR(TEXTJOIN(CHAR(10),TRUE,UNIQUE(FILTER(소재DB_RAW!$N$3:$N&amp;") "&amp;소재DB_RAW!$O$3:$O,(소재DB_RAW!$G$3:$G=$D406)*ISNUMBER(SEARCH("겉감",소재DB_RAW!$M$3:$M))))),"")</f>
        <v/>
      </c>
      <c r="Z406" s="26">
        <f>IFERROR(TEXTJOIN(CHAR(10),TRUE,UNIQUE(FILTER(소재DB_RAW!$N$3:$N&amp;") "&amp;소재DB_RAW!$O$3:$O,(소재DB_RAW!$G$3:$G=$D406)*ISNUMBER(SEARCH("안감",소재DB_RAW!$M$3:$M))))),"")</f>
        <v/>
      </c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21" t="inlineStr">
        <is>
          <t>X</t>
        </is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",TRUE,UNIQUE(FILTER(소재DB_RAW!$K$3:$K,소재DB_RAW!$G$3:$G=$D407))),"")</f>
        <v/>
      </c>
      <c r="W407" s="20" t="inlineStr">
        <is>
          <t>한국</t>
        </is>
      </c>
      <c r="X407" s="20">
        <f>IFERROR(TEXTJOIN(" / ",TRUE,UNIQUE(FILTER(소재DB_RAW!$N$3:$N,소재DB_RAW!$G$3:$G=$D407))),"")</f>
        <v/>
      </c>
      <c r="Y407" s="26">
        <f>IFERROR(TEXTJOIN(CHAR(10),TRUE,UNIQUE(FILTER(소재DB_RAW!$N$3:$N&amp;") "&amp;소재DB_RAW!$O$3:$O,(소재DB_RAW!$G$3:$G=$D407)*ISNUMBER(SEARCH("겉감",소재DB_RAW!$M$3:$M))))),"")</f>
        <v/>
      </c>
      <c r="Z407" s="26">
        <f>IFERROR(TEXTJOIN(CHAR(10),TRUE,UNIQUE(FILTER(소재DB_RAW!$N$3:$N&amp;") "&amp;소재DB_RAW!$O$3:$O,(소재DB_RAW!$G$3:$G=$D407)*ISNUMBER(SEARCH("안감",소재DB_RAW!$M$3:$M))))),"")</f>
        <v/>
      </c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21" t="inlineStr">
        <is>
          <t>X</t>
        </is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",TRUE,UNIQUE(FILTER(소재DB_RAW!$K$3:$K,소재DB_RAW!$G$3:$G=$D408))),"")</f>
        <v/>
      </c>
      <c r="W408" s="20" t="inlineStr">
        <is>
          <t>한국</t>
        </is>
      </c>
      <c r="X408" s="20">
        <f>IFERROR(TEXTJOIN(" / ",TRUE,UNIQUE(FILTER(소재DB_RAW!$N$3:$N,소재DB_RAW!$G$3:$G=$D408))),"")</f>
        <v/>
      </c>
      <c r="Y408" s="26">
        <f>IFERROR(TEXTJOIN(CHAR(10),TRUE,UNIQUE(FILTER(소재DB_RAW!$N$3:$N&amp;") "&amp;소재DB_RAW!$O$3:$O,(소재DB_RAW!$G$3:$G=$D408)*ISNUMBER(SEARCH("겉감",소재DB_RAW!$M$3:$M))))),"")</f>
        <v/>
      </c>
      <c r="Z408" s="26">
        <f>IFERROR(TEXTJOIN(CHAR(10),TRUE,UNIQUE(FILTER(소재DB_RAW!$N$3:$N&amp;") "&amp;소재DB_RAW!$O$3:$O,(소재DB_RAW!$G$3:$G=$D408)*ISNUMBER(SEARCH("안감",소재DB_RAW!$M$3:$M))))),"")</f>
        <v/>
      </c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21" t="inlineStr">
        <is>
          <t>X</t>
        </is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",TRUE,UNIQUE(FILTER(소재DB_RAW!$K$3:$K,소재DB_RAW!$G$3:$G=$D409))),"")</f>
        <v/>
      </c>
      <c r="W409" s="20" t="inlineStr">
        <is>
          <t>국내</t>
        </is>
      </c>
      <c r="X409" s="20">
        <f>IFERROR(TEXTJOIN(" / ",TRUE,UNIQUE(FILTER(소재DB_RAW!$N$3:$N,소재DB_RAW!$G$3:$G=$D409))),"")</f>
        <v/>
      </c>
      <c r="Y409" s="26">
        <f>IFERROR(TEXTJOIN(CHAR(10),TRUE,UNIQUE(FILTER(소재DB_RAW!$N$3:$N&amp;") "&amp;소재DB_RAW!$O$3:$O,(소재DB_RAW!$G$3:$G=$D409)*ISNUMBER(SEARCH("겉감",소재DB_RAW!$M$3:$M))))),"")</f>
        <v/>
      </c>
      <c r="Z409" s="26">
        <f>IFERROR(TEXTJOIN(CHAR(10),TRUE,UNIQUE(FILTER(소재DB_RAW!$N$3:$N&amp;") "&amp;소재DB_RAW!$O$3:$O,(소재DB_RAW!$G$3:$G=$D409)*ISNUMBER(SEARCH("안감",소재DB_RAW!$M$3:$M))))),"")</f>
        <v/>
      </c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21" t="inlineStr">
        <is>
          <t>X</t>
        </is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",TRUE,UNIQUE(FILTER(소재DB_RAW!$K$3:$K,소재DB_RAW!$G$3:$G=$D410))),"")</f>
        <v/>
      </c>
      <c r="W410" s="20" t="inlineStr">
        <is>
          <t>국내</t>
        </is>
      </c>
      <c r="X410" s="20">
        <f>IFERROR(TEXTJOIN(" / ",TRUE,UNIQUE(FILTER(소재DB_RAW!$N$3:$N,소재DB_RAW!$G$3:$G=$D410))),"")</f>
        <v/>
      </c>
      <c r="Y410" s="26">
        <f>IFERROR(TEXTJOIN(CHAR(10),TRUE,UNIQUE(FILTER(소재DB_RAW!$N$3:$N&amp;") "&amp;소재DB_RAW!$O$3:$O,(소재DB_RAW!$G$3:$G=$D410)*ISNUMBER(SEARCH("겉감",소재DB_RAW!$M$3:$M))))),"")</f>
        <v/>
      </c>
      <c r="Z410" s="26">
        <f>IFERROR(TEXTJOIN(CHAR(10),TRUE,UNIQUE(FILTER(소재DB_RAW!$N$3:$N&amp;") "&amp;소재DB_RAW!$O$3:$O,(소재DB_RAW!$G$3:$G=$D410)*ISNUMBER(SEARCH("안감",소재DB_RAW!$M$3:$M))))),"")</f>
        <v/>
      </c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21" t="inlineStr">
        <is>
          <t>X</t>
        </is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",TRUE,UNIQUE(FILTER(소재DB_RAW!$K$3:$K,소재DB_RAW!$G$3:$G=$D411))),"")</f>
        <v/>
      </c>
      <c r="W411" s="20" t="inlineStr">
        <is>
          <t>국내</t>
        </is>
      </c>
      <c r="X411" s="20">
        <f>IFERROR(TEXTJOIN(" / ",TRUE,UNIQUE(FILTER(소재DB_RAW!$N$3:$N,소재DB_RAW!$G$3:$G=$D411))),"")</f>
        <v/>
      </c>
      <c r="Y411" s="26">
        <f>IFERROR(TEXTJOIN(CHAR(10),TRUE,UNIQUE(FILTER(소재DB_RAW!$N$3:$N&amp;") "&amp;소재DB_RAW!$O$3:$O,(소재DB_RAW!$G$3:$G=$D411)*ISNUMBER(SEARCH("겉감",소재DB_RAW!$M$3:$M))))),"")</f>
        <v/>
      </c>
      <c r="Z411" s="26">
        <f>IFERROR(TEXTJOIN(CHAR(10),TRUE,UNIQUE(FILTER(소재DB_RAW!$N$3:$N&amp;") "&amp;소재DB_RAW!$O$3:$O,(소재DB_RAW!$G$3:$G=$D411)*ISNUMBER(SEARCH("안감",소재DB_RAW!$M$3:$M))))),"")</f>
        <v/>
      </c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21" t="inlineStr">
        <is>
          <t>X</t>
        </is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",TRUE,UNIQUE(FILTER(소재DB_RAW!$K$3:$K,소재DB_RAW!$G$3:$G=$D412))),"")</f>
        <v/>
      </c>
      <c r="W412" s="20" t="inlineStr">
        <is>
          <t>국내</t>
        </is>
      </c>
      <c r="X412" s="20">
        <f>IFERROR(TEXTJOIN(" / ",TRUE,UNIQUE(FILTER(소재DB_RAW!$N$3:$N,소재DB_RAW!$G$3:$G=$D412))),"")</f>
        <v/>
      </c>
      <c r="Y412" s="26">
        <f>IFERROR(TEXTJOIN(CHAR(10),TRUE,UNIQUE(FILTER(소재DB_RAW!$N$3:$N&amp;") "&amp;소재DB_RAW!$O$3:$O,(소재DB_RAW!$G$3:$G=$D412)*ISNUMBER(SEARCH("겉감",소재DB_RAW!$M$3:$M))))),"")</f>
        <v/>
      </c>
      <c r="Z412" s="26">
        <f>IFERROR(TEXTJOIN(CHAR(10),TRUE,UNIQUE(FILTER(소재DB_RAW!$N$3:$N&amp;") "&amp;소재DB_RAW!$O$3:$O,(소재DB_RAW!$G$3:$G=$D412)*ISNUMBER(SEARCH("안감",소재DB_RAW!$M$3:$M))))),"")</f>
        <v/>
      </c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21" t="inlineStr">
        <is>
          <t>X</t>
        </is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",TRUE,UNIQUE(FILTER(소재DB_RAW!$K$3:$K,소재DB_RAW!$G$3:$G=$D413))),"")</f>
        <v/>
      </c>
      <c r="W413" s="20" t="inlineStr">
        <is>
          <t>국내</t>
        </is>
      </c>
      <c r="X413" s="20">
        <f>IFERROR(TEXTJOIN(" / ",TRUE,UNIQUE(FILTER(소재DB_RAW!$N$3:$N,소재DB_RAW!$G$3:$G=$D413))),"")</f>
        <v/>
      </c>
      <c r="Y413" s="26">
        <f>IFERROR(TEXTJOIN(CHAR(10),TRUE,UNIQUE(FILTER(소재DB_RAW!$N$3:$N&amp;") "&amp;소재DB_RAW!$O$3:$O,(소재DB_RAW!$G$3:$G=$D413)*ISNUMBER(SEARCH("겉감",소재DB_RAW!$M$3:$M))))),"")</f>
        <v/>
      </c>
      <c r="Z413" s="26">
        <f>IFERROR(TEXTJOIN(CHAR(10),TRUE,UNIQUE(FILTER(소재DB_RAW!$N$3:$N&amp;") "&amp;소재DB_RAW!$O$3:$O,(소재DB_RAW!$G$3:$G=$D413)*ISNUMBER(SEARCH("안감",소재DB_RAW!$M$3:$M))))),"")</f>
        <v/>
      </c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21" t="inlineStr">
        <is>
          <t>X</t>
        </is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",TRUE,UNIQUE(FILTER(소재DB_RAW!$K$3:$K,소재DB_RAW!$G$3:$G=$D414))),"")</f>
        <v/>
      </c>
      <c r="W414" s="20" t="inlineStr">
        <is>
          <t>국내</t>
        </is>
      </c>
      <c r="X414" s="20">
        <f>IFERROR(TEXTJOIN(" / ",TRUE,UNIQUE(FILTER(소재DB_RAW!$N$3:$N,소재DB_RAW!$G$3:$G=$D414))),"")</f>
        <v/>
      </c>
      <c r="Y414" s="26">
        <f>IFERROR(TEXTJOIN(CHAR(10),TRUE,UNIQUE(FILTER(소재DB_RAW!$N$3:$N&amp;") "&amp;소재DB_RAW!$O$3:$O,(소재DB_RAW!$G$3:$G=$D414)*ISNUMBER(SEARCH("겉감",소재DB_RAW!$M$3:$M))))),"")</f>
        <v/>
      </c>
      <c r="Z414" s="26">
        <f>IFERROR(TEXTJOIN(CHAR(10),TRUE,UNIQUE(FILTER(소재DB_RAW!$N$3:$N&amp;") "&amp;소재DB_RAW!$O$3:$O,(소재DB_RAW!$G$3:$G=$D414)*ISNUMBER(SEARCH("안감",소재DB_RAW!$M$3:$M))))),"")</f>
        <v/>
      </c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21" t="inlineStr">
        <is>
          <t>X</t>
        </is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",TRUE,UNIQUE(FILTER(소재DB_RAW!$K$3:$K,소재DB_RAW!$G$3:$G=$D415))),"")</f>
        <v/>
      </c>
      <c r="W415" s="20" t="inlineStr">
        <is>
          <t>국내</t>
        </is>
      </c>
      <c r="X415" s="20">
        <f>IFERROR(TEXTJOIN(" / ",TRUE,UNIQUE(FILTER(소재DB_RAW!$N$3:$N,소재DB_RAW!$G$3:$G=$D415))),"")</f>
        <v/>
      </c>
      <c r="Y415" s="26">
        <f>IFERROR(TEXTJOIN(CHAR(10),TRUE,UNIQUE(FILTER(소재DB_RAW!$N$3:$N&amp;") "&amp;소재DB_RAW!$O$3:$O,(소재DB_RAW!$G$3:$G=$D415)*ISNUMBER(SEARCH("겉감",소재DB_RAW!$M$3:$M))))),"")</f>
        <v/>
      </c>
      <c r="Z415" s="26">
        <f>IFERROR(TEXTJOIN(CHAR(10),TRUE,UNIQUE(FILTER(소재DB_RAW!$N$3:$N&amp;") "&amp;소재DB_RAW!$O$3:$O,(소재DB_RAW!$G$3:$G=$D415)*ISNUMBER(SEARCH("안감",소재DB_RAW!$M$3:$M))))),"")</f>
        <v/>
      </c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21" t="inlineStr">
        <is>
          <t>X</t>
        </is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",TRUE,UNIQUE(FILTER(소재DB_RAW!$K$3:$K,소재DB_RAW!$G$3:$G=$D416))),"")</f>
        <v/>
      </c>
      <c r="W416" s="20" t="inlineStr">
        <is>
          <t>국내</t>
        </is>
      </c>
      <c r="X416" s="20">
        <f>IFERROR(TEXTJOIN(" / ",TRUE,UNIQUE(FILTER(소재DB_RAW!$N$3:$N,소재DB_RAW!$G$3:$G=$D416))),"")</f>
        <v/>
      </c>
      <c r="Y416" s="26">
        <f>IFERROR(TEXTJOIN(CHAR(10),TRUE,UNIQUE(FILTER(소재DB_RAW!$N$3:$N&amp;") "&amp;소재DB_RAW!$O$3:$O,(소재DB_RAW!$G$3:$G=$D416)*ISNUMBER(SEARCH("겉감",소재DB_RAW!$M$3:$M))))),"")</f>
        <v/>
      </c>
      <c r="Z416" s="26">
        <f>IFERROR(TEXTJOIN(CHAR(10),TRUE,UNIQUE(FILTER(소재DB_RAW!$N$3:$N&amp;") "&amp;소재DB_RAW!$O$3:$O,(소재DB_RAW!$G$3:$G=$D416)*ISNUMBER(SEARCH("안감",소재DB_RAW!$M$3:$M))))),"")</f>
        <v/>
      </c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21" t="inlineStr">
        <is>
          <t>O</t>
        </is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",TRUE,UNIQUE(FILTER(소재DB_RAW!$K$3:$K,소재DB_RAW!$G$3:$G=$D417))),"")</f>
        <v/>
      </c>
      <c r="W417" s="20" t="inlineStr">
        <is>
          <t>베트남</t>
        </is>
      </c>
      <c r="X417" s="20">
        <f>IFERROR(TEXTJOIN(" / ",TRUE,UNIQUE(FILTER(소재DB_RAW!$N$3:$N,소재DB_RAW!$G$3:$G=$D417))),"")</f>
        <v/>
      </c>
      <c r="Y417" s="26">
        <f>IFERROR(TEXTJOIN(CHAR(10),TRUE,UNIQUE(FILTER(소재DB_RAW!$N$3:$N&amp;") "&amp;소재DB_RAW!$O$3:$O,(소재DB_RAW!$G$3:$G=$D417)*ISNUMBER(SEARCH("겉감",소재DB_RAW!$M$3:$M))))),"")</f>
        <v/>
      </c>
      <c r="Z417" s="26">
        <f>IFERROR(TEXTJOIN(CHAR(10),TRUE,UNIQUE(FILTER(소재DB_RAW!$N$3:$N&amp;") "&amp;소재DB_RAW!$O$3:$O,(소재DB_RAW!$G$3:$G=$D417)*ISNUMBER(SEARCH("안감",소재DB_RAW!$M$3:$M))))),"")</f>
        <v/>
      </c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21" t="n"/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",TRUE,UNIQUE(FILTER(소재DB_RAW!$K$3:$K,소재DB_RAW!$G$3:$G=$D418))),"")</f>
        <v/>
      </c>
      <c r="W418" s="20" t="inlineStr">
        <is>
          <t>베트남</t>
        </is>
      </c>
      <c r="X418" s="20">
        <f>IFERROR(TEXTJOIN(" / ",TRUE,UNIQUE(FILTER(소재DB_RAW!$N$3:$N,소재DB_RAW!$G$3:$G=$D418))),"")</f>
        <v/>
      </c>
      <c r="Y418" s="26">
        <f>IFERROR(TEXTJOIN(CHAR(10),TRUE,UNIQUE(FILTER(소재DB_RAW!$N$3:$N&amp;") "&amp;소재DB_RAW!$O$3:$O,(소재DB_RAW!$G$3:$G=$D418)*ISNUMBER(SEARCH("겉감",소재DB_RAW!$M$3:$M))))),"")</f>
        <v/>
      </c>
      <c r="Z418" s="26">
        <f>IFERROR(TEXTJOIN(CHAR(10),TRUE,UNIQUE(FILTER(소재DB_RAW!$N$3:$N&amp;") "&amp;소재DB_RAW!$O$3:$O,(소재DB_RAW!$G$3:$G=$D418)*ISNUMBER(SEARCH("안감",소재DB_RAW!$M$3:$M))))),"")</f>
        <v/>
      </c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21" t="inlineStr">
        <is>
          <t>O</t>
        </is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",TRUE,UNIQUE(FILTER(소재DB_RAW!$K$3:$K,소재DB_RAW!$G$3:$G=$D419))),"")</f>
        <v/>
      </c>
      <c r="W419" s="20" t="inlineStr">
        <is>
          <t>베트남</t>
        </is>
      </c>
      <c r="X419" s="20">
        <f>IFERROR(TEXTJOIN(" / ",TRUE,UNIQUE(FILTER(소재DB_RAW!$N$3:$N,소재DB_RAW!$G$3:$G=$D419))),"")</f>
        <v/>
      </c>
      <c r="Y419" s="26">
        <f>IFERROR(TEXTJOIN(CHAR(10),TRUE,UNIQUE(FILTER(소재DB_RAW!$N$3:$N&amp;") "&amp;소재DB_RAW!$O$3:$O,(소재DB_RAW!$G$3:$G=$D419)*ISNUMBER(SEARCH("겉감",소재DB_RAW!$M$3:$M))))),"")</f>
        <v/>
      </c>
      <c r="Z419" s="26">
        <f>IFERROR(TEXTJOIN(CHAR(10),TRUE,UNIQUE(FILTER(소재DB_RAW!$N$3:$N&amp;") "&amp;소재DB_RAW!$O$3:$O,(소재DB_RAW!$G$3:$G=$D419)*ISNUMBER(SEARCH("안감",소재DB_RAW!$M$3:$M))))),"")</f>
        <v/>
      </c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21" t="inlineStr">
        <is>
          <t>O</t>
        </is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",TRUE,UNIQUE(FILTER(소재DB_RAW!$K$3:$K,소재DB_RAW!$G$3:$G=$D420))),"")</f>
        <v/>
      </c>
      <c r="W420" s="20" t="inlineStr">
        <is>
          <t>베트남</t>
        </is>
      </c>
      <c r="X420" s="20">
        <f>IFERROR(TEXTJOIN(" / ",TRUE,UNIQUE(FILTER(소재DB_RAW!$N$3:$N,소재DB_RAW!$G$3:$G=$D420))),"")</f>
        <v/>
      </c>
      <c r="Y420" s="26">
        <f>IFERROR(TEXTJOIN(CHAR(10),TRUE,UNIQUE(FILTER(소재DB_RAW!$N$3:$N&amp;") "&amp;소재DB_RAW!$O$3:$O,(소재DB_RAW!$G$3:$G=$D420)*ISNUMBER(SEARCH("겉감",소재DB_RAW!$M$3:$M))))),"")</f>
        <v/>
      </c>
      <c r="Z420" s="26">
        <f>IFERROR(TEXTJOIN(CHAR(10),TRUE,UNIQUE(FILTER(소재DB_RAW!$N$3:$N&amp;") "&amp;소재DB_RAW!$O$3:$O,(소재DB_RAW!$G$3:$G=$D420)*ISNUMBER(SEARCH("안감",소재DB_RAW!$M$3:$M))))),"")</f>
        <v/>
      </c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21" t="inlineStr">
        <is>
          <t>X</t>
        </is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",TRUE,UNIQUE(FILTER(소재DB_RAW!$K$3:$K,소재DB_RAW!$G$3:$G=$D421))),"")</f>
        <v/>
      </c>
      <c r="W421" s="20" t="inlineStr">
        <is>
          <t>국내</t>
        </is>
      </c>
      <c r="X421" s="20">
        <f>IFERROR(TEXTJOIN(" / ",TRUE,UNIQUE(FILTER(소재DB_RAW!$N$3:$N,소재DB_RAW!$G$3:$G=$D421))),"")</f>
        <v/>
      </c>
      <c r="Y421" s="26">
        <f>IFERROR(TEXTJOIN(CHAR(10),TRUE,UNIQUE(FILTER(소재DB_RAW!$N$3:$N&amp;") "&amp;소재DB_RAW!$O$3:$O,(소재DB_RAW!$G$3:$G=$D421)*ISNUMBER(SEARCH("겉감",소재DB_RAW!$M$3:$M))))),"")</f>
        <v/>
      </c>
      <c r="Z421" s="26">
        <f>IFERROR(TEXTJOIN(CHAR(10),TRUE,UNIQUE(FILTER(소재DB_RAW!$N$3:$N&amp;") "&amp;소재DB_RAW!$O$3:$O,(소재DB_RAW!$G$3:$G=$D421)*ISNUMBER(SEARCH("안감",소재DB_RAW!$M$3:$M))))),"")</f>
        <v/>
      </c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21" t="inlineStr">
        <is>
          <t>O</t>
        </is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",TRUE,UNIQUE(FILTER(소재DB_RAW!$K$3:$K,소재DB_RAW!$G$3:$G=$D422))),"")</f>
        <v/>
      </c>
      <c r="W422" s="20" t="inlineStr">
        <is>
          <t>베트남</t>
        </is>
      </c>
      <c r="X422" s="20">
        <f>IFERROR(TEXTJOIN(" / ",TRUE,UNIQUE(FILTER(소재DB_RAW!$N$3:$N,소재DB_RAW!$G$3:$G=$D422))),"")</f>
        <v/>
      </c>
      <c r="Y422" s="26">
        <f>IFERROR(TEXTJOIN(CHAR(10),TRUE,UNIQUE(FILTER(소재DB_RAW!$N$3:$N&amp;") "&amp;소재DB_RAW!$O$3:$O,(소재DB_RAW!$G$3:$G=$D422)*ISNUMBER(SEARCH("겉감",소재DB_RAW!$M$3:$M))))),"")</f>
        <v/>
      </c>
      <c r="Z422" s="26">
        <f>IFERROR(TEXTJOIN(CHAR(10),TRUE,UNIQUE(FILTER(소재DB_RAW!$N$3:$N&amp;") "&amp;소재DB_RAW!$O$3:$O,(소재DB_RAW!$G$3:$G=$D422)*ISNUMBER(SEARCH("안감",소재DB_RAW!$M$3:$M))))),"")</f>
        <v/>
      </c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21" t="inlineStr">
        <is>
          <t>O</t>
        </is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",TRUE,UNIQUE(FILTER(소재DB_RAW!$K$3:$K,소재DB_RAW!$G$3:$G=$D423))),"")</f>
        <v/>
      </c>
      <c r="W423" s="20" t="inlineStr">
        <is>
          <t>베트남</t>
        </is>
      </c>
      <c r="X423" s="20">
        <f>IFERROR(TEXTJOIN(" / ",TRUE,UNIQUE(FILTER(소재DB_RAW!$N$3:$N,소재DB_RAW!$G$3:$G=$D423))),"")</f>
        <v/>
      </c>
      <c r="Y423" s="26">
        <f>IFERROR(TEXTJOIN(CHAR(10),TRUE,UNIQUE(FILTER(소재DB_RAW!$N$3:$N&amp;") "&amp;소재DB_RAW!$O$3:$O,(소재DB_RAW!$G$3:$G=$D423)*ISNUMBER(SEARCH("겉감",소재DB_RAW!$M$3:$M))))),"")</f>
        <v/>
      </c>
      <c r="Z423" s="26">
        <f>IFERROR(TEXTJOIN(CHAR(10),TRUE,UNIQUE(FILTER(소재DB_RAW!$N$3:$N&amp;") "&amp;소재DB_RAW!$O$3:$O,(소재DB_RAW!$G$3:$G=$D423)*ISNUMBER(SEARCH("안감",소재DB_RAW!$M$3:$M))))),"")</f>
        <v/>
      </c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21" t="inlineStr">
        <is>
          <t>X</t>
        </is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",TRUE,UNIQUE(FILTER(소재DB_RAW!$K$3:$K,소재DB_RAW!$G$3:$G=$D424))),"")</f>
        <v/>
      </c>
      <c r="W424" s="20" t="inlineStr">
        <is>
          <t>한국</t>
        </is>
      </c>
      <c r="X424" s="20">
        <f>IFERROR(TEXTJOIN(" / ",TRUE,UNIQUE(FILTER(소재DB_RAW!$N$3:$N,소재DB_RAW!$G$3:$G=$D424))),"")</f>
        <v/>
      </c>
      <c r="Y424" s="26">
        <f>IFERROR(TEXTJOIN(CHAR(10),TRUE,UNIQUE(FILTER(소재DB_RAW!$N$3:$N&amp;") "&amp;소재DB_RAW!$O$3:$O,(소재DB_RAW!$G$3:$G=$D424)*ISNUMBER(SEARCH("겉감",소재DB_RAW!$M$3:$M))))),"")</f>
        <v/>
      </c>
      <c r="Z424" s="26">
        <f>IFERROR(TEXTJOIN(CHAR(10),TRUE,UNIQUE(FILTER(소재DB_RAW!$N$3:$N&amp;") "&amp;소재DB_RAW!$O$3:$O,(소재DB_RAW!$G$3:$G=$D424)*ISNUMBER(SEARCH("안감",소재DB_RAW!$M$3:$M))))),"")</f>
        <v/>
      </c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21" t="inlineStr">
        <is>
          <t>O</t>
        </is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",TRUE,UNIQUE(FILTER(소재DB_RAW!$K$3:$K,소재DB_RAW!$G$3:$G=$D425))),"")</f>
        <v/>
      </c>
      <c r="W425" s="20" t="inlineStr">
        <is>
          <t>국내</t>
        </is>
      </c>
      <c r="X425" s="20">
        <f>IFERROR(TEXTJOIN(" / ",TRUE,UNIQUE(FILTER(소재DB_RAW!$N$3:$N,소재DB_RAW!$G$3:$G=$D425))),"")</f>
        <v/>
      </c>
      <c r="Y425" s="26">
        <f>IFERROR(TEXTJOIN(CHAR(10),TRUE,UNIQUE(FILTER(소재DB_RAW!$N$3:$N&amp;") "&amp;소재DB_RAW!$O$3:$O,(소재DB_RAW!$G$3:$G=$D425)*ISNUMBER(SEARCH("겉감",소재DB_RAW!$M$3:$M))))),"")</f>
        <v/>
      </c>
      <c r="Z425" s="26">
        <f>IFERROR(TEXTJOIN(CHAR(10),TRUE,UNIQUE(FILTER(소재DB_RAW!$N$3:$N&amp;") "&amp;소재DB_RAW!$O$3:$O,(소재DB_RAW!$G$3:$G=$D425)*ISNUMBER(SEARCH("안감",소재DB_RAW!$M$3:$M))))),"")</f>
        <v/>
      </c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21" t="inlineStr">
        <is>
          <t>X</t>
        </is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",TRUE,UNIQUE(FILTER(소재DB_RAW!$K$3:$K,소재DB_RAW!$G$3:$G=$D426))),"")</f>
        <v/>
      </c>
      <c r="W426" s="20" t="inlineStr">
        <is>
          <t>중국</t>
        </is>
      </c>
      <c r="X426" s="20">
        <f>IFERROR(TEXTJOIN(" / ",TRUE,UNIQUE(FILTER(소재DB_RAW!$N$3:$N,소재DB_RAW!$G$3:$G=$D426))),"")</f>
        <v/>
      </c>
      <c r="Y426" s="26">
        <f>IFERROR(TEXTJOIN(CHAR(10),TRUE,UNIQUE(FILTER(소재DB_RAW!$N$3:$N&amp;") "&amp;소재DB_RAW!$O$3:$O,(소재DB_RAW!$G$3:$G=$D426)*ISNUMBER(SEARCH("겉감",소재DB_RAW!$M$3:$M))))),"")</f>
        <v/>
      </c>
      <c r="Z426" s="26">
        <f>IFERROR(TEXTJOIN(CHAR(10),TRUE,UNIQUE(FILTER(소재DB_RAW!$N$3:$N&amp;") "&amp;소재DB_RAW!$O$3:$O,(소재DB_RAW!$G$3:$G=$D426)*ISNUMBER(SEARCH("안감",소재DB_RAW!$M$3:$M))))),"")</f>
        <v/>
      </c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21" t="inlineStr">
        <is>
          <t>X</t>
        </is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",TRUE,UNIQUE(FILTER(소재DB_RAW!$K$3:$K,소재DB_RAW!$G$3:$G=$D427))),"")</f>
        <v/>
      </c>
      <c r="W427" s="20" t="inlineStr">
        <is>
          <t>중국</t>
        </is>
      </c>
      <c r="X427" s="20">
        <f>IFERROR(TEXTJOIN(" / ",TRUE,UNIQUE(FILTER(소재DB_RAW!$N$3:$N,소재DB_RAW!$G$3:$G=$D427))),"")</f>
        <v/>
      </c>
      <c r="Y427" s="26">
        <f>IFERROR(TEXTJOIN(CHAR(10),TRUE,UNIQUE(FILTER(소재DB_RAW!$N$3:$N&amp;") "&amp;소재DB_RAW!$O$3:$O,(소재DB_RAW!$G$3:$G=$D427)*ISNUMBER(SEARCH("겉감",소재DB_RAW!$M$3:$M))))),"")</f>
        <v/>
      </c>
      <c r="Z427" s="26">
        <f>IFERROR(TEXTJOIN(CHAR(10),TRUE,UNIQUE(FILTER(소재DB_RAW!$N$3:$N&amp;") "&amp;소재DB_RAW!$O$3:$O,(소재DB_RAW!$G$3:$G=$D427)*ISNUMBER(SEARCH("안감",소재DB_RAW!$M$3:$M))))),"")</f>
        <v/>
      </c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21" t="inlineStr">
        <is>
          <t>O</t>
        </is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",TRUE,UNIQUE(FILTER(소재DB_RAW!$K$3:$K,소재DB_RAW!$G$3:$G=$D428))),"")</f>
        <v/>
      </c>
      <c r="W428" s="20" t="inlineStr">
        <is>
          <t>베트남</t>
        </is>
      </c>
      <c r="X428" s="20">
        <f>IFERROR(TEXTJOIN(" / ",TRUE,UNIQUE(FILTER(소재DB_RAW!$N$3:$N,소재DB_RAW!$G$3:$G=$D428))),"")</f>
        <v/>
      </c>
      <c r="Y428" s="26">
        <f>IFERROR(TEXTJOIN(CHAR(10),TRUE,UNIQUE(FILTER(소재DB_RAW!$N$3:$N&amp;") "&amp;소재DB_RAW!$O$3:$O,(소재DB_RAW!$G$3:$G=$D428)*ISNUMBER(SEARCH("겉감",소재DB_RAW!$M$3:$M))))),"")</f>
        <v/>
      </c>
      <c r="Z428" s="26">
        <f>IFERROR(TEXTJOIN(CHAR(10),TRUE,UNIQUE(FILTER(소재DB_RAW!$N$3:$N&amp;") "&amp;소재DB_RAW!$O$3:$O,(소재DB_RAW!$G$3:$G=$D428)*ISNUMBER(SEARCH("안감",소재DB_RAW!$M$3:$M))))),"")</f>
        <v/>
      </c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4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R5:R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Data!A3:P2000")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트래커'!$AA$5:$AA$428)</f>
        <v/>
      </c>
      <c r="E6" s="32">
        <f>SUMPRODUCT((LEFT('소재역산 트래커'!$D$5:$D$428,1)&lt;&gt;"Q")*(LEFT('소재역산 트래커'!$D$5:$D$428,1)&lt;&gt;"8")*('소재역산 트래커'!$D$5:$D$428&lt;&gt;"")*'소재역산 트래커'!$AB$5:$AB$428)</f>
        <v/>
      </c>
      <c r="F6" s="32">
        <f>SUMPRODUCT((LEFT('소재역산 트래커'!$D$5:$D$428,1)&lt;&gt;"Q")*(LEFT('소재역산 트래커'!$D$5:$D$428,1)&lt;&gt;"8")*('소재역산 트래커'!$D$5:$D$428&lt;&gt;"")*'소재역산 트래커'!$AC$5:$AC$428)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트래커'!$AA$5:$AA$428)</f>
        <v/>
      </c>
      <c r="E7" s="32">
        <f>SUMPRODUCT((LEFT('소재역산 트래커'!$D$5:$D$428,1)="Q")*1*'소재역산 트래커'!$AB$5:$AB$428)</f>
        <v/>
      </c>
      <c r="F7" s="32">
        <f>SUMPRODUCT((LEFT('소재역산 트래커'!$D$5:$D$428,1)="Q")*1*'소재역산 트래커'!$AC$5:$AC$428)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트래커'!$AA$5:$AA$428)</f>
        <v/>
      </c>
      <c r="E8" s="32">
        <f>SUMPRODUCT((LEFT('소재역산 트래커'!$D$5:$D$428,1)="8")*1*'소재역산 트래커'!$AB$5:$AB$428)</f>
        <v/>
      </c>
      <c r="F8" s="32">
        <f>SUMPRODUCT((LEFT('소재역산 트래커'!$D$5:$D$428,1)="8")*1*'소재역산 트래커'!$AC$5:$AC$428)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트래커'!$AF$5:$AF$428,"★*")</f>
        <v/>
      </c>
      <c r="H6" s="41">
        <f>COUNTIF('소재역산 트래커'!$AF$5:$AF$428,"◆*")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2026-08-10T02:29:26Z</dcterms:created>
  <dcterms:modified xsi:type="dcterms:W3CDTF">2026-08-10T02:29:26Z</dcterms:modified>
</cp:coreProperties>
</file>