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EDW_RAW" sheetId="5" state="hidden" r:id="rId5"/>
    <sheet name="금액 요약" sheetId="6" state="visible" r:id="rId6"/>
    <sheet name="리스크 요약" sheetId="7" state="visible" r:id="rId7"/>
  </sheets>
  <definedNames>
    <definedName name="_xlnm._FilterDatabase" localSheetId="2" hidden="1">'소재역산 트래커'!$A$4:$AI$428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LAB DIP CFM(AA열): 소재DB AK열 실시간 — 스타일 내 원단들의 최근 컨펌일 (Drop 제외, 미컨펌 시 공란)</t>
        </is>
      </c>
    </row>
    <row r="36">
      <c r="B36" s="5" t="inlineStr">
        <is>
          <t>· 원단처/겉감/안감/생산처(소재DB): '27SS_소재DB' Merged Data 탭과 IMPORTRANGE 실시간 연동 — 진행구분 Drop 행 제외, Main 진행만 반영</t>
        </is>
      </c>
    </row>
    <row r="37">
      <c r="B37" s="5" t="inlineStr">
        <is>
          <t>· 사양확정: '27SS 생산 프로세스 진척현황(자동화)' EDW_RAW와 실시간 연동 (숨김 탭 'EDW_RAW') — 컬러 전체 결재 O / 일부 '부분' / 없음 X</t>
        </is>
      </c>
    </row>
    <row r="38">
      <c r="B38" s="5" t="inlineStr">
        <is>
          <t>· 최초 1회: '소재DB_RAW' 탭 A3 셀과 'EDW_RAW' 탭 A2 셀에서 각각 '액세스 허용' 클릭 필요 — 이후 자동 갱신</t>
        </is>
      </c>
    </row>
    <row r="39">
      <c r="B39" s="5" t="inlineStr">
        <is>
          <t>· 생산처(소재DB) 열은 크로스체크용 — 0808 생산처와 다르면 빨간색 표시 (픽스처/픽스쳐 같은 표기 차이도 포함되니 확인 필요)</t>
        </is>
      </c>
    </row>
    <row r="40">
      <c r="B40" s="5" t="inlineStr">
        <is>
          <t>· WM/피싱(8로 시작)은 0808 원본에 기획수량 0으로 입력되어 수량 합계 공란 — 금액은 원본 총원가/총공급가 기준</t>
        </is>
      </c>
    </row>
    <row r="41">
      <c r="B41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13" customWidth="1" min="27" max="27"/>
    <col width="9" customWidth="1" min="28" max="28"/>
    <col width="14" customWidth="1" min="29" max="29"/>
    <col width="15" customWidth="1" min="30" max="30"/>
    <col width="13" customWidth="1" min="31" max="31"/>
    <col width="26" customWidth="1" min="32" max="32"/>
    <col width="15" customWidth="1" min="33" max="33"/>
    <col width="9" customWidth="1" min="34" max="34"/>
    <col width="24" customWidth="1" min="35" max="35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 (일매·전산 실시간)</t>
        </is>
      </c>
      <c r="R4" s="18" t="inlineStr">
        <is>
          <t>사양확정 (전산 실시간)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LAB DIP CFM (소재DB)</t>
        </is>
      </c>
      <c r="AB4" s="18" t="inlineStr">
        <is>
          <t>기획수량</t>
        </is>
      </c>
      <c r="AC4" s="18" t="inlineStr">
        <is>
          <t>원가합 (원)</t>
        </is>
      </c>
      <c r="AD4" s="18" t="inlineStr">
        <is>
          <t>소매가합 (원)</t>
        </is>
      </c>
      <c r="AE4" s="18" t="inlineStr">
        <is>
          <t>납기1차 (전산참고)</t>
        </is>
      </c>
      <c r="AF4" s="18" t="inlineStr">
        <is>
          <t>리스크 사유</t>
        </is>
      </c>
      <c r="AG4" s="18" t="inlineStr">
        <is>
          <t>판정</t>
        </is>
      </c>
      <c r="AH4" s="18" t="inlineStr">
        <is>
          <t>조율상태</t>
        </is>
      </c>
      <c r="AI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19">
        <f>IF(COUNTIF(EDW_RAW!$A$2:$A$1500,$D5)=0,"",IF(COUNTIFS(EDW_RAW!$A$2:$A$1500,$D5,EDW_RAW!$R$2:$R$1500,"&lt;&gt;~",EDW_RAW!$R$2:$R$1500,"&lt;&gt;")=COUNTIF(EDW_RAW!$A$2:$A$1500,$D5),"O",IF(COUNTIFS(EDW_RAW!$A$2:$A$1500,$D5,EDW_RAW!$R$2:$R$1500,"&lt;&gt;~",EDW_RAW!$R$2:$R$1500,"&lt;&gt;")&gt;0,"부분","X")))</f>
        <v/>
      </c>
      <c r="R5" s="19">
        <f>IF(COUNTIF(EDW_RAW!$A$2:$A$1500,$D5)=0,"",IF(COUNTIFS(EDW_RAW!$A$2:$A$1500,$D5,EDW_RAW!$U$2:$U$1500,"&lt;&gt;~",EDW_RAW!$U$2:$U$1500,"&lt;&gt;")=COUNTIF(EDW_RAW!$A$2:$A$1500,$D5),"O",IF(COUNTIFS(EDW_RAW!$A$2:$A$1500,$D5,EDW_RAW!$U$2:$U$1500,"&lt;&gt;~",EDW_RAW!$U$2:$U$1500,"&lt;&gt;")&gt;0,"부분","X")))</f>
        <v/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",TRUE,UNIQUE(FILTER(소재DB_RAW!$K$3:$K$2000,(소재DB_RAW!$G$3:$G$2000=$D5)*ISERROR(SEARCH("drop",소재DB_RAW!$C$3:$C$2000))))),"")</f>
        <v/>
      </c>
      <c r="W5" s="20" t="inlineStr">
        <is>
          <t>베트남</t>
        </is>
      </c>
      <c r="X5" s="20">
        <f>IFERROR(TEXTJOIN(" / ",TRUE,UNIQUE(FILTER(소재DB_RAW!$N$3:$N$2000,(소재DB_RAW!$G$3:$G$2000=$D5)*ISERROR(SEARCH("drop",소재DB_RAW!$C$3:$C$2000))))),"")</f>
        <v/>
      </c>
      <c r="Y5" s="26">
        <f>IFERROR(TEXTJOIN(CHAR(10),TRUE,UNIQUE(FILTER(소재DB_RAW!$N$3:$N$2000&amp;") "&amp;소재DB_RAW!$O$3:$O$2000,(소재DB_RAW!$G$3:$G$2000=$D5)*ISNUMBER(SEARCH("겉감",소재DB_RAW!$M$3:$M$2000))*ISERROR(SEARCH("drop",소재DB_RAW!$C$3:$C$2000))))),"")</f>
        <v/>
      </c>
      <c r="Z5" s="26">
        <f>IFERROR(TEXTJOIN(CHAR(10),TRUE,UNIQUE(FILTER(소재DB_RAW!$N$3:$N$2000&amp;") "&amp;소재DB_RAW!$O$3:$O$2000,(소재DB_RAW!$G$3:$G$2000=$D5)*ISNUMBER(SEARCH("안감",소재DB_RAW!$M$3:$M$2000))*ISERROR(SEARCH("drop",소재DB_RAW!$C$3:$C$2000))))),"")</f>
        <v/>
      </c>
      <c r="AA5" s="22">
        <f>IFERROR(MAX(FILTER(소재DB_RAW!$AK$3:$AK$2000,(소재DB_RAW!$G$3:$G$2000=$D5)*ISERROR(SEARCH("drop",소재DB_RAW!$C$3:$C$2000))*(소재DB_RAW!$AK$3:$AK$2000&lt;&gt;""))),"")</f>
        <v/>
      </c>
      <c r="AB5" s="27" t="n">
        <v>190</v>
      </c>
      <c r="AC5" s="27" t="n">
        <v>47398730</v>
      </c>
      <c r="AD5" s="27" t="n">
        <v>188100000</v>
      </c>
      <c r="AE5" s="20" t="n"/>
      <c r="AF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G5" s="19">
        <f>IF($K5="","",IF(OR(LEFT($AF5,2)="작지",LEFT($AF5,4)="소재입고"),IF(LEFT($G5,1)="S","★ 납기위험(S코드)","◆ 지연주의"),IF($AF5="정상","✓ 정상","? 확인필요")))</f>
        <v/>
      </c>
      <c r="AH5" s="21" t="n"/>
      <c r="AI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19">
        <f>IF(COUNTIF(EDW_RAW!$A$2:$A$1500,$D6)=0,"",IF(COUNTIFS(EDW_RAW!$A$2:$A$1500,$D6,EDW_RAW!$R$2:$R$1500,"&lt;&gt;~",EDW_RAW!$R$2:$R$1500,"&lt;&gt;")=COUNTIF(EDW_RAW!$A$2:$A$1500,$D6),"O",IF(COUNTIFS(EDW_RAW!$A$2:$A$1500,$D6,EDW_RAW!$R$2:$R$1500,"&lt;&gt;~",EDW_RAW!$R$2:$R$1500,"&lt;&gt;")&gt;0,"부분","X")))</f>
        <v/>
      </c>
      <c r="R6" s="19">
        <f>IF(COUNTIF(EDW_RAW!$A$2:$A$1500,$D6)=0,"",IF(COUNTIFS(EDW_RAW!$A$2:$A$1500,$D6,EDW_RAW!$U$2:$U$1500,"&lt;&gt;~",EDW_RAW!$U$2:$U$1500,"&lt;&gt;")=COUNTIF(EDW_RAW!$A$2:$A$1500,$D6),"O",IF(COUNTIFS(EDW_RAW!$A$2:$A$1500,$D6,EDW_RAW!$U$2:$U$1500,"&lt;&gt;~",EDW_RAW!$U$2:$U$1500,"&lt;&gt;")&gt;0,"부분","X")))</f>
        <v/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",TRUE,UNIQUE(FILTER(소재DB_RAW!$K$3:$K$2000,(소재DB_RAW!$G$3:$G$2000=$D6)*ISERROR(SEARCH("drop",소재DB_RAW!$C$3:$C$2000))))),"")</f>
        <v/>
      </c>
      <c r="W6" s="20" t="inlineStr">
        <is>
          <t>인도네시아</t>
        </is>
      </c>
      <c r="X6" s="20">
        <f>IFERROR(TEXTJOIN(" / ",TRUE,UNIQUE(FILTER(소재DB_RAW!$N$3:$N$2000,(소재DB_RAW!$G$3:$G$2000=$D6)*ISERROR(SEARCH("drop",소재DB_RAW!$C$3:$C$2000))))),"")</f>
        <v/>
      </c>
      <c r="Y6" s="26">
        <f>IFERROR(TEXTJOIN(CHAR(10),TRUE,UNIQUE(FILTER(소재DB_RAW!$N$3:$N$2000&amp;") "&amp;소재DB_RAW!$O$3:$O$2000,(소재DB_RAW!$G$3:$G$2000=$D6)*ISNUMBER(SEARCH("겉감",소재DB_RAW!$M$3:$M$2000))*ISERROR(SEARCH("drop",소재DB_RAW!$C$3:$C$2000))))),"")</f>
        <v/>
      </c>
      <c r="Z6" s="26">
        <f>IFERROR(TEXTJOIN(CHAR(10),TRUE,UNIQUE(FILTER(소재DB_RAW!$N$3:$N$2000&amp;") "&amp;소재DB_RAW!$O$3:$O$2000,(소재DB_RAW!$G$3:$G$2000=$D6)*ISNUMBER(SEARCH("안감",소재DB_RAW!$M$3:$M$2000))*ISERROR(SEARCH("drop",소재DB_RAW!$C$3:$C$2000))))),"")</f>
        <v/>
      </c>
      <c r="AA6" s="22">
        <f>IFERROR(MAX(FILTER(소재DB_RAW!$AK$3:$AK$2000,(소재DB_RAW!$G$3:$G$2000=$D6)*ISERROR(SEARCH("drop",소재DB_RAW!$C$3:$C$2000))*(소재DB_RAW!$AK$3:$AK$2000&lt;&gt;""))),"")</f>
        <v/>
      </c>
      <c r="AB6" s="27" t="n">
        <v>550</v>
      </c>
      <c r="AC6" s="27" t="n">
        <v>46312750</v>
      </c>
      <c r="AD6" s="27" t="n">
        <v>214500000</v>
      </c>
      <c r="AE6" s="20" t="n"/>
      <c r="AF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G6" s="19">
        <f>IF($K6="","",IF(OR(LEFT($AF6,2)="작지",LEFT($AF6,4)="소재입고"),IF(LEFT($G6,1)="S","★ 납기위험(S코드)","◆ 지연주의"),IF($AF6="정상","✓ 정상","? 확인필요")))</f>
        <v/>
      </c>
      <c r="AH6" s="21" t="n"/>
      <c r="AI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19">
        <f>IF(COUNTIF(EDW_RAW!$A$2:$A$1500,$D7)=0,"",IF(COUNTIFS(EDW_RAW!$A$2:$A$1500,$D7,EDW_RAW!$R$2:$R$1500,"&lt;&gt;~",EDW_RAW!$R$2:$R$1500,"&lt;&gt;")=COUNTIF(EDW_RAW!$A$2:$A$1500,$D7),"O",IF(COUNTIFS(EDW_RAW!$A$2:$A$1500,$D7,EDW_RAW!$R$2:$R$1500,"&lt;&gt;~",EDW_RAW!$R$2:$R$1500,"&lt;&gt;")&gt;0,"부분","X")))</f>
        <v/>
      </c>
      <c r="R7" s="19">
        <f>IF(COUNTIF(EDW_RAW!$A$2:$A$1500,$D7)=0,"",IF(COUNTIFS(EDW_RAW!$A$2:$A$1500,$D7,EDW_RAW!$U$2:$U$1500,"&lt;&gt;~",EDW_RAW!$U$2:$U$1500,"&lt;&gt;")=COUNTIF(EDW_RAW!$A$2:$A$1500,$D7),"O",IF(COUNTIFS(EDW_RAW!$A$2:$A$1500,$D7,EDW_RAW!$U$2:$U$1500,"&lt;&gt;~",EDW_RAW!$U$2:$U$1500,"&lt;&gt;")&gt;0,"부분","X")))</f>
        <v/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",TRUE,UNIQUE(FILTER(소재DB_RAW!$K$3:$K$2000,(소재DB_RAW!$G$3:$G$2000=$D7)*ISERROR(SEARCH("drop",소재DB_RAW!$C$3:$C$2000))))),"")</f>
        <v/>
      </c>
      <c r="W7" s="20" t="inlineStr">
        <is>
          <t>인도네시아</t>
        </is>
      </c>
      <c r="X7" s="20">
        <f>IFERROR(TEXTJOIN(" / ",TRUE,UNIQUE(FILTER(소재DB_RAW!$N$3:$N$2000,(소재DB_RAW!$G$3:$G$2000=$D7)*ISERROR(SEARCH("drop",소재DB_RAW!$C$3:$C$2000))))),"")</f>
        <v/>
      </c>
      <c r="Y7" s="26">
        <f>IFERROR(TEXTJOIN(CHAR(10),TRUE,UNIQUE(FILTER(소재DB_RAW!$N$3:$N$2000&amp;") "&amp;소재DB_RAW!$O$3:$O$2000,(소재DB_RAW!$G$3:$G$2000=$D7)*ISNUMBER(SEARCH("겉감",소재DB_RAW!$M$3:$M$2000))*ISERROR(SEARCH("drop",소재DB_RAW!$C$3:$C$2000))))),"")</f>
        <v/>
      </c>
      <c r="Z7" s="26">
        <f>IFERROR(TEXTJOIN(CHAR(10),TRUE,UNIQUE(FILTER(소재DB_RAW!$N$3:$N$2000&amp;") "&amp;소재DB_RAW!$O$3:$O$2000,(소재DB_RAW!$G$3:$G$2000=$D7)*ISNUMBER(SEARCH("안감",소재DB_RAW!$M$3:$M$2000))*ISERROR(SEARCH("drop",소재DB_RAW!$C$3:$C$2000))))),"")</f>
        <v/>
      </c>
      <c r="AA7" s="22">
        <f>IFERROR(MAX(FILTER(소재DB_RAW!$AK$3:$AK$2000,(소재DB_RAW!$G$3:$G$2000=$D7)*ISERROR(SEARCH("drop",소재DB_RAW!$C$3:$C$2000))*(소재DB_RAW!$AK$3:$AK$2000&lt;&gt;""))),"")</f>
        <v/>
      </c>
      <c r="AB7" s="27" t="n">
        <v>600</v>
      </c>
      <c r="AC7" s="27" t="n">
        <v>46083000</v>
      </c>
      <c r="AD7" s="27" t="n">
        <v>210000000</v>
      </c>
      <c r="AE7" s="20" t="n"/>
      <c r="AF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G7" s="19">
        <f>IF($K7="","",IF(OR(LEFT($AF7,2)="작지",LEFT($AF7,4)="소재입고"),IF(LEFT($G7,1)="S","★ 납기위험(S코드)","◆ 지연주의"),IF($AF7="정상","✓ 정상","? 확인필요")))</f>
        <v/>
      </c>
      <c r="AH7" s="21" t="n"/>
      <c r="AI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19">
        <f>IF(COUNTIF(EDW_RAW!$A$2:$A$1500,$D8)=0,"",IF(COUNTIFS(EDW_RAW!$A$2:$A$1500,$D8,EDW_RAW!$R$2:$R$1500,"&lt;&gt;~",EDW_RAW!$R$2:$R$1500,"&lt;&gt;")=COUNTIF(EDW_RAW!$A$2:$A$1500,$D8),"O",IF(COUNTIFS(EDW_RAW!$A$2:$A$1500,$D8,EDW_RAW!$R$2:$R$1500,"&lt;&gt;~",EDW_RAW!$R$2:$R$1500,"&lt;&gt;")&gt;0,"부분","X")))</f>
        <v/>
      </c>
      <c r="R8" s="19">
        <f>IF(COUNTIF(EDW_RAW!$A$2:$A$1500,$D8)=0,"",IF(COUNTIFS(EDW_RAW!$A$2:$A$1500,$D8,EDW_RAW!$U$2:$U$1500,"&lt;&gt;~",EDW_RAW!$U$2:$U$1500,"&lt;&gt;")=COUNTIF(EDW_RAW!$A$2:$A$1500,$D8),"O",IF(COUNTIFS(EDW_RAW!$A$2:$A$1500,$D8,EDW_RAW!$U$2:$U$1500,"&lt;&gt;~",EDW_RAW!$U$2:$U$1500,"&lt;&gt;")&gt;0,"부분","X")))</f>
        <v/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",TRUE,UNIQUE(FILTER(소재DB_RAW!$K$3:$K$2000,(소재DB_RAW!$G$3:$G$2000=$D8)*ISERROR(SEARCH("drop",소재DB_RAW!$C$3:$C$2000))))),"")</f>
        <v/>
      </c>
      <c r="W8" s="20" t="inlineStr">
        <is>
          <t>인도네시아</t>
        </is>
      </c>
      <c r="X8" s="20">
        <f>IFERROR(TEXTJOIN(" / ",TRUE,UNIQUE(FILTER(소재DB_RAW!$N$3:$N$2000,(소재DB_RAW!$G$3:$G$2000=$D8)*ISERROR(SEARCH("drop",소재DB_RAW!$C$3:$C$2000))))),"")</f>
        <v/>
      </c>
      <c r="Y8" s="26">
        <f>IFERROR(TEXTJOIN(CHAR(10),TRUE,UNIQUE(FILTER(소재DB_RAW!$N$3:$N$2000&amp;") "&amp;소재DB_RAW!$O$3:$O$2000,(소재DB_RAW!$G$3:$G$2000=$D8)*ISNUMBER(SEARCH("겉감",소재DB_RAW!$M$3:$M$2000))*ISERROR(SEARCH("drop",소재DB_RAW!$C$3:$C$2000))))),"")</f>
        <v/>
      </c>
      <c r="Z8" s="26">
        <f>IFERROR(TEXTJOIN(CHAR(10),TRUE,UNIQUE(FILTER(소재DB_RAW!$N$3:$N$2000&amp;") "&amp;소재DB_RAW!$O$3:$O$2000,(소재DB_RAW!$G$3:$G$2000=$D8)*ISNUMBER(SEARCH("안감",소재DB_RAW!$M$3:$M$2000))*ISERROR(SEARCH("drop",소재DB_RAW!$C$3:$C$2000))))),"")</f>
        <v/>
      </c>
      <c r="AA8" s="22">
        <f>IFERROR(MAX(FILTER(소재DB_RAW!$AK$3:$AK$2000,(소재DB_RAW!$G$3:$G$2000=$D8)*ISERROR(SEARCH("drop",소재DB_RAW!$C$3:$C$2000))*(소재DB_RAW!$AK$3:$AK$2000&lt;&gt;""))),"")</f>
        <v/>
      </c>
      <c r="AB8" s="27" t="n">
        <v>400</v>
      </c>
      <c r="AC8" s="27" t="n">
        <v>24726400</v>
      </c>
      <c r="AD8" s="27" t="n">
        <v>128000000</v>
      </c>
      <c r="AE8" s="20" t="n"/>
      <c r="AF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G8" s="19">
        <f>IF($K8="","",IF(OR(LEFT($AF8,2)="작지",LEFT($AF8,4)="소재입고"),IF(LEFT($G8,1)="S","★ 납기위험(S코드)","◆ 지연주의"),IF($AF8="정상","✓ 정상","? 확인필요")))</f>
        <v/>
      </c>
      <c r="AH8" s="21" t="n"/>
      <c r="AI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19">
        <f>IF(COUNTIF(EDW_RAW!$A$2:$A$1500,$D9)=0,"",IF(COUNTIFS(EDW_RAW!$A$2:$A$1500,$D9,EDW_RAW!$R$2:$R$1500,"&lt;&gt;~",EDW_RAW!$R$2:$R$1500,"&lt;&gt;")=COUNTIF(EDW_RAW!$A$2:$A$1500,$D9),"O",IF(COUNTIFS(EDW_RAW!$A$2:$A$1500,$D9,EDW_RAW!$R$2:$R$1500,"&lt;&gt;~",EDW_RAW!$R$2:$R$1500,"&lt;&gt;")&gt;0,"부분","X")))</f>
        <v/>
      </c>
      <c r="R9" s="19">
        <f>IF(COUNTIF(EDW_RAW!$A$2:$A$1500,$D9)=0,"",IF(COUNTIFS(EDW_RAW!$A$2:$A$1500,$D9,EDW_RAW!$U$2:$U$1500,"&lt;&gt;~",EDW_RAW!$U$2:$U$1500,"&lt;&gt;")=COUNTIF(EDW_RAW!$A$2:$A$1500,$D9),"O",IF(COUNTIFS(EDW_RAW!$A$2:$A$1500,$D9,EDW_RAW!$U$2:$U$1500,"&lt;&gt;~",EDW_RAW!$U$2:$U$1500,"&lt;&gt;")&gt;0,"부분","X")))</f>
        <v/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",TRUE,UNIQUE(FILTER(소재DB_RAW!$K$3:$K$2000,(소재DB_RAW!$G$3:$G$2000=$D9)*ISERROR(SEARCH("drop",소재DB_RAW!$C$3:$C$2000))))),"")</f>
        <v/>
      </c>
      <c r="W9" s="20" t="inlineStr">
        <is>
          <t>베트남</t>
        </is>
      </c>
      <c r="X9" s="20">
        <f>IFERROR(TEXTJOIN(" / ",TRUE,UNIQUE(FILTER(소재DB_RAW!$N$3:$N$2000,(소재DB_RAW!$G$3:$G$2000=$D9)*ISERROR(SEARCH("drop",소재DB_RAW!$C$3:$C$2000))))),"")</f>
        <v/>
      </c>
      <c r="Y9" s="26">
        <f>IFERROR(TEXTJOIN(CHAR(10),TRUE,UNIQUE(FILTER(소재DB_RAW!$N$3:$N$2000&amp;") "&amp;소재DB_RAW!$O$3:$O$2000,(소재DB_RAW!$G$3:$G$2000=$D9)*ISNUMBER(SEARCH("겉감",소재DB_RAW!$M$3:$M$2000))*ISERROR(SEARCH("drop",소재DB_RAW!$C$3:$C$2000))))),"")</f>
        <v/>
      </c>
      <c r="Z9" s="26">
        <f>IFERROR(TEXTJOIN(CHAR(10),TRUE,UNIQUE(FILTER(소재DB_RAW!$N$3:$N$2000&amp;") "&amp;소재DB_RAW!$O$3:$O$2000,(소재DB_RAW!$G$3:$G$2000=$D9)*ISNUMBER(SEARCH("안감",소재DB_RAW!$M$3:$M$2000))*ISERROR(SEARCH("drop",소재DB_RAW!$C$3:$C$2000))))),"")</f>
        <v/>
      </c>
      <c r="AA9" s="22">
        <f>IFERROR(MAX(FILTER(소재DB_RAW!$AK$3:$AK$2000,(소재DB_RAW!$G$3:$G$2000=$D9)*ISERROR(SEARCH("drop",소재DB_RAW!$C$3:$C$2000))*(소재DB_RAW!$AK$3:$AK$2000&lt;&gt;""))),"")</f>
        <v/>
      </c>
      <c r="AB9" s="27" t="n">
        <v>350</v>
      </c>
      <c r="AC9" s="27" t="n">
        <v>20101900</v>
      </c>
      <c r="AD9" s="27" t="n">
        <v>94500000</v>
      </c>
      <c r="AE9" s="20" t="n"/>
      <c r="AF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G9" s="19">
        <f>IF($K9="","",IF(OR(LEFT($AF9,2)="작지",LEFT($AF9,4)="소재입고"),IF(LEFT($G9,1)="S","★ 납기위험(S코드)","◆ 지연주의"),IF($AF9="정상","✓ 정상","? 확인필요")))</f>
        <v/>
      </c>
      <c r="AH9" s="21" t="n"/>
      <c r="AI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19">
        <f>IF(COUNTIF(EDW_RAW!$A$2:$A$1500,$D10)=0,"",IF(COUNTIFS(EDW_RAW!$A$2:$A$1500,$D10,EDW_RAW!$R$2:$R$1500,"&lt;&gt;~",EDW_RAW!$R$2:$R$1500,"&lt;&gt;")=COUNTIF(EDW_RAW!$A$2:$A$1500,$D10),"O",IF(COUNTIFS(EDW_RAW!$A$2:$A$1500,$D10,EDW_RAW!$R$2:$R$1500,"&lt;&gt;~",EDW_RAW!$R$2:$R$1500,"&lt;&gt;")&gt;0,"부분","X")))</f>
        <v/>
      </c>
      <c r="R10" s="19">
        <f>IF(COUNTIF(EDW_RAW!$A$2:$A$1500,$D10)=0,"",IF(COUNTIFS(EDW_RAW!$A$2:$A$1500,$D10,EDW_RAW!$U$2:$U$1500,"&lt;&gt;~",EDW_RAW!$U$2:$U$1500,"&lt;&gt;")=COUNTIF(EDW_RAW!$A$2:$A$1500,$D10),"O",IF(COUNTIFS(EDW_RAW!$A$2:$A$1500,$D10,EDW_RAW!$U$2:$U$1500,"&lt;&gt;~",EDW_RAW!$U$2:$U$1500,"&lt;&gt;")&gt;0,"부분","X")))</f>
        <v/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",TRUE,UNIQUE(FILTER(소재DB_RAW!$K$3:$K$2000,(소재DB_RAW!$G$3:$G$2000=$D10)*ISERROR(SEARCH("drop",소재DB_RAW!$C$3:$C$2000))))),"")</f>
        <v/>
      </c>
      <c r="W10" s="20" t="inlineStr">
        <is>
          <t>베트남</t>
        </is>
      </c>
      <c r="X10" s="20">
        <f>IFERROR(TEXTJOIN(" / ",TRUE,UNIQUE(FILTER(소재DB_RAW!$N$3:$N$2000,(소재DB_RAW!$G$3:$G$2000=$D10)*ISERROR(SEARCH("drop",소재DB_RAW!$C$3:$C$2000))))),"")</f>
        <v/>
      </c>
      <c r="Y10" s="26">
        <f>IFERROR(TEXTJOIN(CHAR(10),TRUE,UNIQUE(FILTER(소재DB_RAW!$N$3:$N$2000&amp;") "&amp;소재DB_RAW!$O$3:$O$2000,(소재DB_RAW!$G$3:$G$2000=$D10)*ISNUMBER(SEARCH("겉감",소재DB_RAW!$M$3:$M$2000))*ISERROR(SEARCH("drop",소재DB_RAW!$C$3:$C$2000))))),"")</f>
        <v/>
      </c>
      <c r="Z10" s="26">
        <f>IFERROR(TEXTJOIN(CHAR(10),TRUE,UNIQUE(FILTER(소재DB_RAW!$N$3:$N$2000&amp;") "&amp;소재DB_RAW!$O$3:$O$2000,(소재DB_RAW!$G$3:$G$2000=$D10)*ISNUMBER(SEARCH("안감",소재DB_RAW!$M$3:$M$2000))*ISERROR(SEARCH("drop",소재DB_RAW!$C$3:$C$2000))))),"")</f>
        <v/>
      </c>
      <c r="AA10" s="22">
        <f>IFERROR(MAX(FILTER(소재DB_RAW!$AK$3:$AK$2000,(소재DB_RAW!$G$3:$G$2000=$D10)*ISERROR(SEARCH("drop",소재DB_RAW!$C$3:$C$2000))*(소재DB_RAW!$AK$3:$AK$2000&lt;&gt;""))),"")</f>
        <v/>
      </c>
      <c r="AB10" s="27" t="n">
        <v>200</v>
      </c>
      <c r="AC10" s="27" t="n">
        <v>16675200</v>
      </c>
      <c r="AD10" s="27" t="n">
        <v>64000000</v>
      </c>
      <c r="AE10" s="20" t="n"/>
      <c r="AF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G10" s="19">
        <f>IF($K10="","",IF(OR(LEFT($AF10,2)="작지",LEFT($AF10,4)="소재입고"),IF(LEFT($G10,1)="S","★ 납기위험(S코드)","◆ 지연주의"),IF($AF10="정상","✓ 정상","? 확인필요")))</f>
        <v/>
      </c>
      <c r="AH10" s="21" t="n"/>
      <c r="AI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19">
        <f>IF(COUNTIF(EDW_RAW!$A$2:$A$1500,$D11)=0,"",IF(COUNTIFS(EDW_RAW!$A$2:$A$1500,$D11,EDW_RAW!$R$2:$R$1500,"&lt;&gt;~",EDW_RAW!$R$2:$R$1500,"&lt;&gt;")=COUNTIF(EDW_RAW!$A$2:$A$1500,$D11),"O",IF(COUNTIFS(EDW_RAW!$A$2:$A$1500,$D11,EDW_RAW!$R$2:$R$1500,"&lt;&gt;~",EDW_RAW!$R$2:$R$1500,"&lt;&gt;")&gt;0,"부분","X")))</f>
        <v/>
      </c>
      <c r="R11" s="19">
        <f>IF(COUNTIF(EDW_RAW!$A$2:$A$1500,$D11)=0,"",IF(COUNTIFS(EDW_RAW!$A$2:$A$1500,$D11,EDW_RAW!$U$2:$U$1500,"&lt;&gt;~",EDW_RAW!$U$2:$U$1500,"&lt;&gt;")=COUNTIF(EDW_RAW!$A$2:$A$1500,$D11),"O",IF(COUNTIFS(EDW_RAW!$A$2:$A$1500,$D11,EDW_RAW!$U$2:$U$1500,"&lt;&gt;~",EDW_RAW!$U$2:$U$1500,"&lt;&gt;")&gt;0,"부분","X")))</f>
        <v/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",TRUE,UNIQUE(FILTER(소재DB_RAW!$K$3:$K$2000,(소재DB_RAW!$G$3:$G$2000=$D11)*ISERROR(SEARCH("drop",소재DB_RAW!$C$3:$C$2000))))),"")</f>
        <v/>
      </c>
      <c r="W11" s="20" t="inlineStr">
        <is>
          <t>베트남</t>
        </is>
      </c>
      <c r="X11" s="20">
        <f>IFERROR(TEXTJOIN(" / ",TRUE,UNIQUE(FILTER(소재DB_RAW!$N$3:$N$2000,(소재DB_RAW!$G$3:$G$2000=$D11)*ISERROR(SEARCH("drop",소재DB_RAW!$C$3:$C$2000))))),"")</f>
        <v/>
      </c>
      <c r="Y11" s="26">
        <f>IFERROR(TEXTJOIN(CHAR(10),TRUE,UNIQUE(FILTER(소재DB_RAW!$N$3:$N$2000&amp;") "&amp;소재DB_RAW!$O$3:$O$2000,(소재DB_RAW!$G$3:$G$2000=$D11)*ISNUMBER(SEARCH("겉감",소재DB_RAW!$M$3:$M$2000))*ISERROR(SEARCH("drop",소재DB_RAW!$C$3:$C$2000))))),"")</f>
        <v/>
      </c>
      <c r="Z11" s="26">
        <f>IFERROR(TEXTJOIN(CHAR(10),TRUE,UNIQUE(FILTER(소재DB_RAW!$N$3:$N$2000&amp;") "&amp;소재DB_RAW!$O$3:$O$2000,(소재DB_RAW!$G$3:$G$2000=$D11)*ISNUMBER(SEARCH("안감",소재DB_RAW!$M$3:$M$2000))*ISERROR(SEARCH("drop",소재DB_RAW!$C$3:$C$2000))))),"")</f>
        <v/>
      </c>
      <c r="AA11" s="22">
        <f>IFERROR(MAX(FILTER(소재DB_RAW!$AK$3:$AK$2000,(소재DB_RAW!$G$3:$G$2000=$D11)*ISERROR(SEARCH("drop",소재DB_RAW!$C$3:$C$2000))*(소재DB_RAW!$AK$3:$AK$2000&lt;&gt;""))),"")</f>
        <v/>
      </c>
      <c r="AB11" s="27" t="n">
        <v>180</v>
      </c>
      <c r="AC11" s="27" t="n">
        <v>4716720</v>
      </c>
      <c r="AD11" s="27" t="n">
        <v>24840000</v>
      </c>
      <c r="AE11" s="20" t="n"/>
      <c r="AF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G11" s="19">
        <f>IF($K11="","",IF(OR(LEFT($AF11,2)="작지",LEFT($AF11,4)="소재입고"),IF(LEFT($G11,1)="S","★ 납기위험(S코드)","◆ 지연주의"),IF($AF11="정상","✓ 정상","? 확인필요")))</f>
        <v/>
      </c>
      <c r="AH11" s="21" t="n"/>
      <c r="AI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19">
        <f>IF(COUNTIF(EDW_RAW!$A$2:$A$1500,$D12)=0,"",IF(COUNTIFS(EDW_RAW!$A$2:$A$1500,$D12,EDW_RAW!$R$2:$R$1500,"&lt;&gt;~",EDW_RAW!$R$2:$R$1500,"&lt;&gt;")=COUNTIF(EDW_RAW!$A$2:$A$1500,$D12),"O",IF(COUNTIFS(EDW_RAW!$A$2:$A$1500,$D12,EDW_RAW!$R$2:$R$1500,"&lt;&gt;~",EDW_RAW!$R$2:$R$1500,"&lt;&gt;")&gt;0,"부분","X")))</f>
        <v/>
      </c>
      <c r="R12" s="19">
        <f>IF(COUNTIF(EDW_RAW!$A$2:$A$1500,$D12)=0,"",IF(COUNTIFS(EDW_RAW!$A$2:$A$1500,$D12,EDW_RAW!$U$2:$U$1500,"&lt;&gt;~",EDW_RAW!$U$2:$U$1500,"&lt;&gt;")=COUNTIF(EDW_RAW!$A$2:$A$1500,$D12),"O",IF(COUNTIFS(EDW_RAW!$A$2:$A$1500,$D12,EDW_RAW!$U$2:$U$1500,"&lt;&gt;~",EDW_RAW!$U$2:$U$1500,"&lt;&gt;")&gt;0,"부분","X")))</f>
        <v/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",TRUE,UNIQUE(FILTER(소재DB_RAW!$K$3:$K$2000,(소재DB_RAW!$G$3:$G$2000=$D12)*ISERROR(SEARCH("drop",소재DB_RAW!$C$3:$C$2000))))),"")</f>
        <v/>
      </c>
      <c r="W12" s="20" t="inlineStr">
        <is>
          <t>베트남</t>
        </is>
      </c>
      <c r="X12" s="20">
        <f>IFERROR(TEXTJOIN(" / ",TRUE,UNIQUE(FILTER(소재DB_RAW!$N$3:$N$2000,(소재DB_RAW!$G$3:$G$2000=$D12)*ISERROR(SEARCH("drop",소재DB_RAW!$C$3:$C$2000))))),"")</f>
        <v/>
      </c>
      <c r="Y12" s="26">
        <f>IFERROR(TEXTJOIN(CHAR(10),TRUE,UNIQUE(FILTER(소재DB_RAW!$N$3:$N$2000&amp;") "&amp;소재DB_RAW!$O$3:$O$2000,(소재DB_RAW!$G$3:$G$2000=$D12)*ISNUMBER(SEARCH("겉감",소재DB_RAW!$M$3:$M$2000))*ISERROR(SEARCH("drop",소재DB_RAW!$C$3:$C$2000))))),"")</f>
        <v/>
      </c>
      <c r="Z12" s="26">
        <f>IFERROR(TEXTJOIN(CHAR(10),TRUE,UNIQUE(FILTER(소재DB_RAW!$N$3:$N$2000&amp;") "&amp;소재DB_RAW!$O$3:$O$2000,(소재DB_RAW!$G$3:$G$2000=$D12)*ISNUMBER(SEARCH("안감",소재DB_RAW!$M$3:$M$2000))*ISERROR(SEARCH("drop",소재DB_RAW!$C$3:$C$2000))))),"")</f>
        <v/>
      </c>
      <c r="AA12" s="22">
        <f>IFERROR(MAX(FILTER(소재DB_RAW!$AK$3:$AK$2000,(소재DB_RAW!$G$3:$G$2000=$D12)*ISERROR(SEARCH("drop",소재DB_RAW!$C$3:$C$2000))*(소재DB_RAW!$AK$3:$AK$2000&lt;&gt;""))),"")</f>
        <v/>
      </c>
      <c r="AB12" s="27" t="n">
        <v>250</v>
      </c>
      <c r="AC12" s="27" t="n">
        <v>68675250</v>
      </c>
      <c r="AD12" s="27" t="n">
        <v>247500000</v>
      </c>
      <c r="AE12" s="20" t="n"/>
      <c r="AF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G12" s="19">
        <f>IF($K12="","",IF(OR(LEFT($AF12,2)="작지",LEFT($AF12,4)="소재입고"),IF(LEFT($G12,1)="S","★ 납기위험(S코드)","◆ 지연주의"),IF($AF12="정상","✓ 정상","? 확인필요")))</f>
        <v/>
      </c>
      <c r="AH12" s="21" t="n"/>
      <c r="AI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19">
        <f>IF(COUNTIF(EDW_RAW!$A$2:$A$1500,$D13)=0,"",IF(COUNTIFS(EDW_RAW!$A$2:$A$1500,$D13,EDW_RAW!$R$2:$R$1500,"&lt;&gt;~",EDW_RAW!$R$2:$R$1500,"&lt;&gt;")=COUNTIF(EDW_RAW!$A$2:$A$1500,$D13),"O",IF(COUNTIFS(EDW_RAW!$A$2:$A$1500,$D13,EDW_RAW!$R$2:$R$1500,"&lt;&gt;~",EDW_RAW!$R$2:$R$1500,"&lt;&gt;")&gt;0,"부분","X")))</f>
        <v/>
      </c>
      <c r="R13" s="19">
        <f>IF(COUNTIF(EDW_RAW!$A$2:$A$1500,$D13)=0,"",IF(COUNTIFS(EDW_RAW!$A$2:$A$1500,$D13,EDW_RAW!$U$2:$U$1500,"&lt;&gt;~",EDW_RAW!$U$2:$U$1500,"&lt;&gt;")=COUNTIF(EDW_RAW!$A$2:$A$1500,$D13),"O",IF(COUNTIFS(EDW_RAW!$A$2:$A$1500,$D13,EDW_RAW!$U$2:$U$1500,"&lt;&gt;~",EDW_RAW!$U$2:$U$1500,"&lt;&gt;")&gt;0,"부분","X")))</f>
        <v/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",TRUE,UNIQUE(FILTER(소재DB_RAW!$K$3:$K$2000,(소재DB_RAW!$G$3:$G$2000=$D13)*ISERROR(SEARCH("drop",소재DB_RAW!$C$3:$C$2000))))),"")</f>
        <v/>
      </c>
      <c r="W13" s="20" t="inlineStr">
        <is>
          <t>인도네시아</t>
        </is>
      </c>
      <c r="X13" s="20">
        <f>IFERROR(TEXTJOIN(" / ",TRUE,UNIQUE(FILTER(소재DB_RAW!$N$3:$N$2000,(소재DB_RAW!$G$3:$G$2000=$D13)*ISERROR(SEARCH("drop",소재DB_RAW!$C$3:$C$2000))))),"")</f>
        <v/>
      </c>
      <c r="Y13" s="26">
        <f>IFERROR(TEXTJOIN(CHAR(10),TRUE,UNIQUE(FILTER(소재DB_RAW!$N$3:$N$2000&amp;") "&amp;소재DB_RAW!$O$3:$O$2000,(소재DB_RAW!$G$3:$G$2000=$D13)*ISNUMBER(SEARCH("겉감",소재DB_RAW!$M$3:$M$2000))*ISERROR(SEARCH("drop",소재DB_RAW!$C$3:$C$2000))))),"")</f>
        <v/>
      </c>
      <c r="Z13" s="26">
        <f>IFERROR(TEXTJOIN(CHAR(10),TRUE,UNIQUE(FILTER(소재DB_RAW!$N$3:$N$2000&amp;") "&amp;소재DB_RAW!$O$3:$O$2000,(소재DB_RAW!$G$3:$G$2000=$D13)*ISNUMBER(SEARCH("안감",소재DB_RAW!$M$3:$M$2000))*ISERROR(SEARCH("drop",소재DB_RAW!$C$3:$C$2000))))),"")</f>
        <v/>
      </c>
      <c r="AA13" s="22">
        <f>IFERROR(MAX(FILTER(소재DB_RAW!$AK$3:$AK$2000,(소재DB_RAW!$G$3:$G$2000=$D13)*ISERROR(SEARCH("drop",소재DB_RAW!$C$3:$C$2000))*(소재DB_RAW!$AK$3:$AK$2000&lt;&gt;""))),"")</f>
        <v/>
      </c>
      <c r="AB13" s="27" t="n">
        <v>2350</v>
      </c>
      <c r="AC13" s="27" t="n">
        <v>215013250</v>
      </c>
      <c r="AD13" s="27" t="n">
        <v>916500000</v>
      </c>
      <c r="AE13" s="20" t="n"/>
      <c r="AF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G13" s="19">
        <f>IF($K13="","",IF(OR(LEFT($AF13,2)="작지",LEFT($AF13,4)="소재입고"),IF(LEFT($G13,1)="S","★ 납기위험(S코드)","◆ 지연주의"),IF($AF13="정상","✓ 정상","? 확인필요")))</f>
        <v/>
      </c>
      <c r="AH13" s="21" t="n"/>
      <c r="AI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19">
        <f>IF(COUNTIF(EDW_RAW!$A$2:$A$1500,$D14)=0,"",IF(COUNTIFS(EDW_RAW!$A$2:$A$1500,$D14,EDW_RAW!$R$2:$R$1500,"&lt;&gt;~",EDW_RAW!$R$2:$R$1500,"&lt;&gt;")=COUNTIF(EDW_RAW!$A$2:$A$1500,$D14),"O",IF(COUNTIFS(EDW_RAW!$A$2:$A$1500,$D14,EDW_RAW!$R$2:$R$1500,"&lt;&gt;~",EDW_RAW!$R$2:$R$1500,"&lt;&gt;")&gt;0,"부분","X")))</f>
        <v/>
      </c>
      <c r="R14" s="19">
        <f>IF(COUNTIF(EDW_RAW!$A$2:$A$1500,$D14)=0,"",IF(COUNTIFS(EDW_RAW!$A$2:$A$1500,$D14,EDW_RAW!$U$2:$U$1500,"&lt;&gt;~",EDW_RAW!$U$2:$U$1500,"&lt;&gt;")=COUNTIF(EDW_RAW!$A$2:$A$1500,$D14),"O",IF(COUNTIFS(EDW_RAW!$A$2:$A$1500,$D14,EDW_RAW!$U$2:$U$1500,"&lt;&gt;~",EDW_RAW!$U$2:$U$1500,"&lt;&gt;")&gt;0,"부분","X")))</f>
        <v/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",TRUE,UNIQUE(FILTER(소재DB_RAW!$K$3:$K$2000,(소재DB_RAW!$G$3:$G$2000=$D14)*ISERROR(SEARCH("drop",소재DB_RAW!$C$3:$C$2000))))),"")</f>
        <v/>
      </c>
      <c r="W14" s="20" t="inlineStr">
        <is>
          <t>인도네시아</t>
        </is>
      </c>
      <c r="X14" s="20">
        <f>IFERROR(TEXTJOIN(" / ",TRUE,UNIQUE(FILTER(소재DB_RAW!$N$3:$N$2000,(소재DB_RAW!$G$3:$G$2000=$D14)*ISERROR(SEARCH("drop",소재DB_RAW!$C$3:$C$2000))))),"")</f>
        <v/>
      </c>
      <c r="Y14" s="26">
        <f>IFERROR(TEXTJOIN(CHAR(10),TRUE,UNIQUE(FILTER(소재DB_RAW!$N$3:$N$2000&amp;") "&amp;소재DB_RAW!$O$3:$O$2000,(소재DB_RAW!$G$3:$G$2000=$D14)*ISNUMBER(SEARCH("겉감",소재DB_RAW!$M$3:$M$2000))*ISERROR(SEARCH("drop",소재DB_RAW!$C$3:$C$2000))))),"")</f>
        <v/>
      </c>
      <c r="Z14" s="26">
        <f>IFERROR(TEXTJOIN(CHAR(10),TRUE,UNIQUE(FILTER(소재DB_RAW!$N$3:$N$2000&amp;") "&amp;소재DB_RAW!$O$3:$O$2000,(소재DB_RAW!$G$3:$G$2000=$D14)*ISNUMBER(SEARCH("안감",소재DB_RAW!$M$3:$M$2000))*ISERROR(SEARCH("drop",소재DB_RAW!$C$3:$C$2000))))),"")</f>
        <v/>
      </c>
      <c r="AA14" s="22">
        <f>IFERROR(MAX(FILTER(소재DB_RAW!$AK$3:$AK$2000,(소재DB_RAW!$G$3:$G$2000=$D14)*ISERROR(SEARCH("drop",소재DB_RAW!$C$3:$C$2000))*(소재DB_RAW!$AK$3:$AK$2000&lt;&gt;""))),"")</f>
        <v/>
      </c>
      <c r="AB14" s="27" t="n">
        <v>2250</v>
      </c>
      <c r="AC14" s="27" t="n">
        <v>186752250</v>
      </c>
      <c r="AD14" s="27" t="n">
        <v>787500000</v>
      </c>
      <c r="AE14" s="20" t="n"/>
      <c r="AF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G14" s="19">
        <f>IF($K14="","",IF(OR(LEFT($AF14,2)="작지",LEFT($AF14,4)="소재입고"),IF(LEFT($G14,1)="S","★ 납기위험(S코드)","◆ 지연주의"),IF($AF14="정상","✓ 정상","? 확인필요")))</f>
        <v/>
      </c>
      <c r="AH14" s="21" t="n"/>
      <c r="AI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19">
        <f>IF(COUNTIF(EDW_RAW!$A$2:$A$1500,$D15)=0,"",IF(COUNTIFS(EDW_RAW!$A$2:$A$1500,$D15,EDW_RAW!$R$2:$R$1500,"&lt;&gt;~",EDW_RAW!$R$2:$R$1500,"&lt;&gt;")=COUNTIF(EDW_RAW!$A$2:$A$1500,$D15),"O",IF(COUNTIFS(EDW_RAW!$A$2:$A$1500,$D15,EDW_RAW!$R$2:$R$1500,"&lt;&gt;~",EDW_RAW!$R$2:$R$1500,"&lt;&gt;")&gt;0,"부분","X")))</f>
        <v/>
      </c>
      <c r="R15" s="19">
        <f>IF(COUNTIF(EDW_RAW!$A$2:$A$1500,$D15)=0,"",IF(COUNTIFS(EDW_RAW!$A$2:$A$1500,$D15,EDW_RAW!$U$2:$U$1500,"&lt;&gt;~",EDW_RAW!$U$2:$U$1500,"&lt;&gt;")=COUNTIF(EDW_RAW!$A$2:$A$1500,$D15),"O",IF(COUNTIFS(EDW_RAW!$A$2:$A$1500,$D15,EDW_RAW!$U$2:$U$1500,"&lt;&gt;~",EDW_RAW!$U$2:$U$1500,"&lt;&gt;")&gt;0,"부분","X")))</f>
        <v/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",TRUE,UNIQUE(FILTER(소재DB_RAW!$K$3:$K$2000,(소재DB_RAW!$G$3:$G$2000=$D15)*ISERROR(SEARCH("drop",소재DB_RAW!$C$3:$C$2000))))),"")</f>
        <v/>
      </c>
      <c r="W15" s="20" t="inlineStr">
        <is>
          <t>인도네시아</t>
        </is>
      </c>
      <c r="X15" s="20">
        <f>IFERROR(TEXTJOIN(" / ",TRUE,UNIQUE(FILTER(소재DB_RAW!$N$3:$N$2000,(소재DB_RAW!$G$3:$G$2000=$D15)*ISERROR(SEARCH("drop",소재DB_RAW!$C$3:$C$2000))))),"")</f>
        <v/>
      </c>
      <c r="Y15" s="26">
        <f>IFERROR(TEXTJOIN(CHAR(10),TRUE,UNIQUE(FILTER(소재DB_RAW!$N$3:$N$2000&amp;") "&amp;소재DB_RAW!$O$3:$O$2000,(소재DB_RAW!$G$3:$G$2000=$D15)*ISNUMBER(SEARCH("겉감",소재DB_RAW!$M$3:$M$2000))*ISERROR(SEARCH("drop",소재DB_RAW!$C$3:$C$2000))))),"")</f>
        <v/>
      </c>
      <c r="Z15" s="26">
        <f>IFERROR(TEXTJOIN(CHAR(10),TRUE,UNIQUE(FILTER(소재DB_RAW!$N$3:$N$2000&amp;") "&amp;소재DB_RAW!$O$3:$O$2000,(소재DB_RAW!$G$3:$G$2000=$D15)*ISNUMBER(SEARCH("안감",소재DB_RAW!$M$3:$M$2000))*ISERROR(SEARCH("drop",소재DB_RAW!$C$3:$C$2000))))),"")</f>
        <v/>
      </c>
      <c r="AA15" s="22">
        <f>IFERROR(MAX(FILTER(소재DB_RAW!$AK$3:$AK$2000,(소재DB_RAW!$G$3:$G$2000=$D15)*ISERROR(SEARCH("drop",소재DB_RAW!$C$3:$C$2000))*(소재DB_RAW!$AK$3:$AK$2000&lt;&gt;""))),"")</f>
        <v/>
      </c>
      <c r="AB15" s="27" t="n">
        <v>3000</v>
      </c>
      <c r="AC15" s="27" t="n">
        <v>199377000</v>
      </c>
      <c r="AD15" s="27" t="n">
        <v>960000000</v>
      </c>
      <c r="AE15" s="20" t="n"/>
      <c r="AF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G15" s="19">
        <f>IF($K15="","",IF(OR(LEFT($AF15,2)="작지",LEFT($AF15,4)="소재입고"),IF(LEFT($G15,1)="S","★ 납기위험(S코드)","◆ 지연주의"),IF($AF15="정상","✓ 정상","? 확인필요")))</f>
        <v/>
      </c>
      <c r="AH15" s="21" t="n"/>
      <c r="AI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19">
        <f>IF(COUNTIF(EDW_RAW!$A$2:$A$1500,$D16)=0,"",IF(COUNTIFS(EDW_RAW!$A$2:$A$1500,$D16,EDW_RAW!$R$2:$R$1500,"&lt;&gt;~",EDW_RAW!$R$2:$R$1500,"&lt;&gt;")=COUNTIF(EDW_RAW!$A$2:$A$1500,$D16),"O",IF(COUNTIFS(EDW_RAW!$A$2:$A$1500,$D16,EDW_RAW!$R$2:$R$1500,"&lt;&gt;~",EDW_RAW!$R$2:$R$1500,"&lt;&gt;")&gt;0,"부분","X")))</f>
        <v/>
      </c>
      <c r="R16" s="19">
        <f>IF(COUNTIF(EDW_RAW!$A$2:$A$1500,$D16)=0,"",IF(COUNTIFS(EDW_RAW!$A$2:$A$1500,$D16,EDW_RAW!$U$2:$U$1500,"&lt;&gt;~",EDW_RAW!$U$2:$U$1500,"&lt;&gt;")=COUNTIF(EDW_RAW!$A$2:$A$1500,$D16),"O",IF(COUNTIFS(EDW_RAW!$A$2:$A$1500,$D16,EDW_RAW!$U$2:$U$1500,"&lt;&gt;~",EDW_RAW!$U$2:$U$1500,"&lt;&gt;")&gt;0,"부분","X")))</f>
        <v/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",TRUE,UNIQUE(FILTER(소재DB_RAW!$K$3:$K$2000,(소재DB_RAW!$G$3:$G$2000=$D16)*ISERROR(SEARCH("drop",소재DB_RAW!$C$3:$C$2000))))),"")</f>
        <v/>
      </c>
      <c r="W16" s="20" t="inlineStr">
        <is>
          <t>베트남</t>
        </is>
      </c>
      <c r="X16" s="20">
        <f>IFERROR(TEXTJOIN(" / ",TRUE,UNIQUE(FILTER(소재DB_RAW!$N$3:$N$2000,(소재DB_RAW!$G$3:$G$2000=$D16)*ISERROR(SEARCH("drop",소재DB_RAW!$C$3:$C$2000))))),"")</f>
        <v/>
      </c>
      <c r="Y16" s="26">
        <f>IFERROR(TEXTJOIN(CHAR(10),TRUE,UNIQUE(FILTER(소재DB_RAW!$N$3:$N$2000&amp;") "&amp;소재DB_RAW!$O$3:$O$2000,(소재DB_RAW!$G$3:$G$2000=$D16)*ISNUMBER(SEARCH("겉감",소재DB_RAW!$M$3:$M$2000))*ISERROR(SEARCH("drop",소재DB_RAW!$C$3:$C$2000))))),"")</f>
        <v/>
      </c>
      <c r="Z16" s="26">
        <f>IFERROR(TEXTJOIN(CHAR(10),TRUE,UNIQUE(FILTER(소재DB_RAW!$N$3:$N$2000&amp;") "&amp;소재DB_RAW!$O$3:$O$2000,(소재DB_RAW!$G$3:$G$2000=$D16)*ISNUMBER(SEARCH("안감",소재DB_RAW!$M$3:$M$2000))*ISERROR(SEARCH("drop",소재DB_RAW!$C$3:$C$2000))))),"")</f>
        <v/>
      </c>
      <c r="AA16" s="22">
        <f>IFERROR(MAX(FILTER(소재DB_RAW!$AK$3:$AK$2000,(소재DB_RAW!$G$3:$G$2000=$D16)*ISERROR(SEARCH("drop",소재DB_RAW!$C$3:$C$2000))*(소재DB_RAW!$AK$3:$AK$2000&lt;&gt;""))),"")</f>
        <v/>
      </c>
      <c r="AB16" s="27" t="n">
        <v>1100</v>
      </c>
      <c r="AC16" s="27" t="n">
        <v>61816700</v>
      </c>
      <c r="AD16" s="27" t="n">
        <v>297000000</v>
      </c>
      <c r="AE16" s="20" t="n"/>
      <c r="AF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G16" s="19">
        <f>IF($K16="","",IF(OR(LEFT($AF16,2)="작지",LEFT($AF16,4)="소재입고"),IF(LEFT($G16,1)="S","★ 납기위험(S코드)","◆ 지연주의"),IF($AF16="정상","✓ 정상","? 확인필요")))</f>
        <v/>
      </c>
      <c r="AH16" s="21" t="n"/>
      <c r="AI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19">
        <f>IF(COUNTIF(EDW_RAW!$A$2:$A$1500,$D17)=0,"",IF(COUNTIFS(EDW_RAW!$A$2:$A$1500,$D17,EDW_RAW!$R$2:$R$1500,"&lt;&gt;~",EDW_RAW!$R$2:$R$1500,"&lt;&gt;")=COUNTIF(EDW_RAW!$A$2:$A$1500,$D17),"O",IF(COUNTIFS(EDW_RAW!$A$2:$A$1500,$D17,EDW_RAW!$R$2:$R$1500,"&lt;&gt;~",EDW_RAW!$R$2:$R$1500,"&lt;&gt;")&gt;0,"부분","X")))</f>
        <v/>
      </c>
      <c r="R17" s="19">
        <f>IF(COUNTIF(EDW_RAW!$A$2:$A$1500,$D17)=0,"",IF(COUNTIFS(EDW_RAW!$A$2:$A$1500,$D17,EDW_RAW!$U$2:$U$1500,"&lt;&gt;~",EDW_RAW!$U$2:$U$1500,"&lt;&gt;")=COUNTIF(EDW_RAW!$A$2:$A$1500,$D17),"O",IF(COUNTIFS(EDW_RAW!$A$2:$A$1500,$D17,EDW_RAW!$U$2:$U$1500,"&lt;&gt;~",EDW_RAW!$U$2:$U$1500,"&lt;&gt;")&gt;0,"부분","X")))</f>
        <v/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",TRUE,UNIQUE(FILTER(소재DB_RAW!$K$3:$K$2000,(소재DB_RAW!$G$3:$G$2000=$D17)*ISERROR(SEARCH("drop",소재DB_RAW!$C$3:$C$2000))))),"")</f>
        <v/>
      </c>
      <c r="W17" s="20" t="inlineStr">
        <is>
          <t>베트남</t>
        </is>
      </c>
      <c r="X17" s="20">
        <f>IFERROR(TEXTJOIN(" / ",TRUE,UNIQUE(FILTER(소재DB_RAW!$N$3:$N$2000,(소재DB_RAW!$G$3:$G$2000=$D17)*ISERROR(SEARCH("drop",소재DB_RAW!$C$3:$C$2000))))),"")</f>
        <v/>
      </c>
      <c r="Y17" s="26">
        <f>IFERROR(TEXTJOIN(CHAR(10),TRUE,UNIQUE(FILTER(소재DB_RAW!$N$3:$N$2000&amp;") "&amp;소재DB_RAW!$O$3:$O$2000,(소재DB_RAW!$G$3:$G$2000=$D17)*ISNUMBER(SEARCH("겉감",소재DB_RAW!$M$3:$M$2000))*ISERROR(SEARCH("drop",소재DB_RAW!$C$3:$C$2000))))),"")</f>
        <v/>
      </c>
      <c r="Z17" s="26">
        <f>IFERROR(TEXTJOIN(CHAR(10),TRUE,UNIQUE(FILTER(소재DB_RAW!$N$3:$N$2000&amp;") "&amp;소재DB_RAW!$O$3:$O$2000,(소재DB_RAW!$G$3:$G$2000=$D17)*ISNUMBER(SEARCH("안감",소재DB_RAW!$M$3:$M$2000))*ISERROR(SEARCH("drop",소재DB_RAW!$C$3:$C$2000))))),"")</f>
        <v/>
      </c>
      <c r="AA17" s="22">
        <f>IFERROR(MAX(FILTER(소재DB_RAW!$AK$3:$AK$2000,(소재DB_RAW!$G$3:$G$2000=$D17)*ISERROR(SEARCH("drop",소재DB_RAW!$C$3:$C$2000))*(소재DB_RAW!$AK$3:$AK$2000&lt;&gt;""))),"")</f>
        <v/>
      </c>
      <c r="AB17" s="27" t="n">
        <v>300</v>
      </c>
      <c r="AC17" s="27" t="n">
        <v>25478700</v>
      </c>
      <c r="AD17" s="27" t="n">
        <v>96000000</v>
      </c>
      <c r="AE17" s="20" t="n"/>
      <c r="AF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G17" s="19">
        <f>IF($K17="","",IF(OR(LEFT($AF17,2)="작지",LEFT($AF17,4)="소재입고"),IF(LEFT($G17,1)="S","★ 납기위험(S코드)","◆ 지연주의"),IF($AF17="정상","✓ 정상","? 확인필요")))</f>
        <v/>
      </c>
      <c r="AH17" s="21" t="n"/>
      <c r="AI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19">
        <f>IF(COUNTIF(EDW_RAW!$A$2:$A$1500,$D18)=0,"",IF(COUNTIFS(EDW_RAW!$A$2:$A$1500,$D18,EDW_RAW!$R$2:$R$1500,"&lt;&gt;~",EDW_RAW!$R$2:$R$1500,"&lt;&gt;")=COUNTIF(EDW_RAW!$A$2:$A$1500,$D18),"O",IF(COUNTIFS(EDW_RAW!$A$2:$A$1500,$D18,EDW_RAW!$R$2:$R$1500,"&lt;&gt;~",EDW_RAW!$R$2:$R$1500,"&lt;&gt;")&gt;0,"부분","X")))</f>
        <v/>
      </c>
      <c r="R18" s="19">
        <f>IF(COUNTIF(EDW_RAW!$A$2:$A$1500,$D18)=0,"",IF(COUNTIFS(EDW_RAW!$A$2:$A$1500,$D18,EDW_RAW!$U$2:$U$1500,"&lt;&gt;~",EDW_RAW!$U$2:$U$1500,"&lt;&gt;")=COUNTIF(EDW_RAW!$A$2:$A$1500,$D18),"O",IF(COUNTIFS(EDW_RAW!$A$2:$A$1500,$D18,EDW_RAW!$U$2:$U$1500,"&lt;&gt;~",EDW_RAW!$U$2:$U$1500,"&lt;&gt;")&gt;0,"부분","X")))</f>
        <v/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",TRUE,UNIQUE(FILTER(소재DB_RAW!$K$3:$K$2000,(소재DB_RAW!$G$3:$G$2000=$D18)*ISERROR(SEARCH("drop",소재DB_RAW!$C$3:$C$2000))))),"")</f>
        <v/>
      </c>
      <c r="W18" s="20" t="inlineStr">
        <is>
          <t>베트남</t>
        </is>
      </c>
      <c r="X18" s="20">
        <f>IFERROR(TEXTJOIN(" / ",TRUE,UNIQUE(FILTER(소재DB_RAW!$N$3:$N$2000,(소재DB_RAW!$G$3:$G$2000=$D18)*ISERROR(SEARCH("drop",소재DB_RAW!$C$3:$C$2000))))),"")</f>
        <v/>
      </c>
      <c r="Y18" s="26">
        <f>IFERROR(TEXTJOIN(CHAR(10),TRUE,UNIQUE(FILTER(소재DB_RAW!$N$3:$N$2000&amp;") "&amp;소재DB_RAW!$O$3:$O$2000,(소재DB_RAW!$G$3:$G$2000=$D18)*ISNUMBER(SEARCH("겉감",소재DB_RAW!$M$3:$M$2000))*ISERROR(SEARCH("drop",소재DB_RAW!$C$3:$C$2000))))),"")</f>
        <v/>
      </c>
      <c r="Z18" s="26">
        <f>IFERROR(TEXTJOIN(CHAR(10),TRUE,UNIQUE(FILTER(소재DB_RAW!$N$3:$N$2000&amp;") "&amp;소재DB_RAW!$O$3:$O$2000,(소재DB_RAW!$G$3:$G$2000=$D18)*ISNUMBER(SEARCH("안감",소재DB_RAW!$M$3:$M$2000))*ISERROR(SEARCH("drop",소재DB_RAW!$C$3:$C$2000))))),"")</f>
        <v/>
      </c>
      <c r="AA18" s="22">
        <f>IFERROR(MAX(FILTER(소재DB_RAW!$AK$3:$AK$2000,(소재DB_RAW!$G$3:$G$2000=$D18)*ISERROR(SEARCH("drop",소재DB_RAW!$C$3:$C$2000))*(소재DB_RAW!$AK$3:$AK$2000&lt;&gt;""))),"")</f>
        <v/>
      </c>
      <c r="AB18" s="27" t="n">
        <v>300</v>
      </c>
      <c r="AC18" s="27" t="n">
        <v>8055900</v>
      </c>
      <c r="AD18" s="27" t="n">
        <v>41400000</v>
      </c>
      <c r="AE18" s="20" t="n"/>
      <c r="AF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G18" s="19">
        <f>IF($K18="","",IF(OR(LEFT($AF18,2)="작지",LEFT($AF18,4)="소재입고"),IF(LEFT($G18,1)="S","★ 납기위험(S코드)","◆ 지연주의"),IF($AF18="정상","✓ 정상","? 확인필요")))</f>
        <v/>
      </c>
      <c r="AH18" s="21" t="n"/>
      <c r="AI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19">
        <f>IF(COUNTIF(EDW_RAW!$A$2:$A$1500,$D19)=0,"",IF(COUNTIFS(EDW_RAW!$A$2:$A$1500,$D19,EDW_RAW!$R$2:$R$1500,"&lt;&gt;~",EDW_RAW!$R$2:$R$1500,"&lt;&gt;")=COUNTIF(EDW_RAW!$A$2:$A$1500,$D19),"O",IF(COUNTIFS(EDW_RAW!$A$2:$A$1500,$D19,EDW_RAW!$R$2:$R$1500,"&lt;&gt;~",EDW_RAW!$R$2:$R$1500,"&lt;&gt;")&gt;0,"부분","X")))</f>
        <v/>
      </c>
      <c r="R19" s="19">
        <f>IF(COUNTIF(EDW_RAW!$A$2:$A$1500,$D19)=0,"",IF(COUNTIFS(EDW_RAW!$A$2:$A$1500,$D19,EDW_RAW!$U$2:$U$1500,"&lt;&gt;~",EDW_RAW!$U$2:$U$1500,"&lt;&gt;")=COUNTIF(EDW_RAW!$A$2:$A$1500,$D19),"O",IF(COUNTIFS(EDW_RAW!$A$2:$A$1500,$D19,EDW_RAW!$U$2:$U$1500,"&lt;&gt;~",EDW_RAW!$U$2:$U$1500,"&lt;&gt;")&gt;0,"부분","X")))</f>
        <v/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",TRUE,UNIQUE(FILTER(소재DB_RAW!$K$3:$K$2000,(소재DB_RAW!$G$3:$G$2000=$D19)*ISERROR(SEARCH("drop",소재DB_RAW!$C$3:$C$2000))))),"")</f>
        <v/>
      </c>
      <c r="W19" s="20" t="inlineStr">
        <is>
          <t>중국</t>
        </is>
      </c>
      <c r="X19" s="20">
        <f>IFERROR(TEXTJOIN(" / ",TRUE,UNIQUE(FILTER(소재DB_RAW!$N$3:$N$2000,(소재DB_RAW!$G$3:$G$2000=$D19)*ISERROR(SEARCH("drop",소재DB_RAW!$C$3:$C$2000))))),"")</f>
        <v/>
      </c>
      <c r="Y19" s="26">
        <f>IFERROR(TEXTJOIN(CHAR(10),TRUE,UNIQUE(FILTER(소재DB_RAW!$N$3:$N$2000&amp;") "&amp;소재DB_RAW!$O$3:$O$2000,(소재DB_RAW!$G$3:$G$2000=$D19)*ISNUMBER(SEARCH("겉감",소재DB_RAW!$M$3:$M$2000))*ISERROR(SEARCH("drop",소재DB_RAW!$C$3:$C$2000))))),"")</f>
        <v/>
      </c>
      <c r="Z19" s="26">
        <f>IFERROR(TEXTJOIN(CHAR(10),TRUE,UNIQUE(FILTER(소재DB_RAW!$N$3:$N$2000&amp;") "&amp;소재DB_RAW!$O$3:$O$2000,(소재DB_RAW!$G$3:$G$2000=$D19)*ISNUMBER(SEARCH("안감",소재DB_RAW!$M$3:$M$2000))*ISERROR(SEARCH("drop",소재DB_RAW!$C$3:$C$2000))))),"")</f>
        <v/>
      </c>
      <c r="AA19" s="22">
        <f>IFERROR(MAX(FILTER(소재DB_RAW!$AK$3:$AK$2000,(소재DB_RAW!$G$3:$G$2000=$D19)*ISERROR(SEARCH("drop",소재DB_RAW!$C$3:$C$2000))*(소재DB_RAW!$AK$3:$AK$2000&lt;&gt;""))),"")</f>
        <v/>
      </c>
      <c r="AB19" s="27" t="n">
        <v>8000</v>
      </c>
      <c r="AC19" s="27" t="n">
        <v>188464000</v>
      </c>
      <c r="AD19" s="27" t="n">
        <v>1024000000</v>
      </c>
      <c r="AE19" s="20" t="n"/>
      <c r="AF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G19" s="19">
        <f>IF($K19="","",IF(OR(LEFT($AF19,2)="작지",LEFT($AF19,4)="소재입고"),IF(LEFT($G19,1)="S","★ 납기위험(S코드)","◆ 지연주의"),IF($AF19="정상","✓ 정상","? 확인필요")))</f>
        <v/>
      </c>
      <c r="AH19" s="21" t="n"/>
      <c r="AI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19">
        <f>IF(COUNTIF(EDW_RAW!$A$2:$A$1500,$D20)=0,"",IF(COUNTIFS(EDW_RAW!$A$2:$A$1500,$D20,EDW_RAW!$R$2:$R$1500,"&lt;&gt;~",EDW_RAW!$R$2:$R$1500,"&lt;&gt;")=COUNTIF(EDW_RAW!$A$2:$A$1500,$D20),"O",IF(COUNTIFS(EDW_RAW!$A$2:$A$1500,$D20,EDW_RAW!$R$2:$R$1500,"&lt;&gt;~",EDW_RAW!$R$2:$R$1500,"&lt;&gt;")&gt;0,"부분","X")))</f>
        <v/>
      </c>
      <c r="R20" s="19">
        <f>IF(COUNTIF(EDW_RAW!$A$2:$A$1500,$D20)=0,"",IF(COUNTIFS(EDW_RAW!$A$2:$A$1500,$D20,EDW_RAW!$U$2:$U$1500,"&lt;&gt;~",EDW_RAW!$U$2:$U$1500,"&lt;&gt;")=COUNTIF(EDW_RAW!$A$2:$A$1500,$D20),"O",IF(COUNTIFS(EDW_RAW!$A$2:$A$1500,$D20,EDW_RAW!$U$2:$U$1500,"&lt;&gt;~",EDW_RAW!$U$2:$U$1500,"&lt;&gt;")&gt;0,"부분","X")))</f>
        <v/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",TRUE,UNIQUE(FILTER(소재DB_RAW!$K$3:$K$2000,(소재DB_RAW!$G$3:$G$2000=$D20)*ISERROR(SEARCH("drop",소재DB_RAW!$C$3:$C$2000))))),"")</f>
        <v/>
      </c>
      <c r="W20" s="20" t="inlineStr">
        <is>
          <t>베트남</t>
        </is>
      </c>
      <c r="X20" s="20">
        <f>IFERROR(TEXTJOIN(" / ",TRUE,UNIQUE(FILTER(소재DB_RAW!$N$3:$N$2000,(소재DB_RAW!$G$3:$G$2000=$D20)*ISERROR(SEARCH("drop",소재DB_RAW!$C$3:$C$2000))))),"")</f>
        <v/>
      </c>
      <c r="Y20" s="26">
        <f>IFERROR(TEXTJOIN(CHAR(10),TRUE,UNIQUE(FILTER(소재DB_RAW!$N$3:$N$2000&amp;") "&amp;소재DB_RAW!$O$3:$O$2000,(소재DB_RAW!$G$3:$G$2000=$D20)*ISNUMBER(SEARCH("겉감",소재DB_RAW!$M$3:$M$2000))*ISERROR(SEARCH("drop",소재DB_RAW!$C$3:$C$2000))))),"")</f>
        <v/>
      </c>
      <c r="Z20" s="26">
        <f>IFERROR(TEXTJOIN(CHAR(10),TRUE,UNIQUE(FILTER(소재DB_RAW!$N$3:$N$2000&amp;") "&amp;소재DB_RAW!$O$3:$O$2000,(소재DB_RAW!$G$3:$G$2000=$D20)*ISNUMBER(SEARCH("안감",소재DB_RAW!$M$3:$M$2000))*ISERROR(SEARCH("drop",소재DB_RAW!$C$3:$C$2000))))),"")</f>
        <v/>
      </c>
      <c r="AA20" s="22">
        <f>IFERROR(MAX(FILTER(소재DB_RAW!$AK$3:$AK$2000,(소재DB_RAW!$G$3:$G$2000=$D20)*ISERROR(SEARCH("drop",소재DB_RAW!$C$3:$C$2000))*(소재DB_RAW!$AK$3:$AK$2000&lt;&gt;""))),"")</f>
        <v/>
      </c>
      <c r="AB20" s="27" t="n">
        <v>2000</v>
      </c>
      <c r="AC20" s="27" t="n">
        <v>106628000</v>
      </c>
      <c r="AD20" s="27" t="n">
        <v>440000000</v>
      </c>
      <c r="AE20" s="20" t="inlineStr">
        <is>
          <t>1월2주</t>
        </is>
      </c>
      <c r="AF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G20" s="19">
        <f>IF($K20="","",IF(OR(LEFT($AF20,2)="작지",LEFT($AF20,4)="소재입고"),IF(LEFT($G20,1)="S","★ 납기위험(S코드)","◆ 지연주의"),IF($AF20="정상","✓ 정상","? 확인필요")))</f>
        <v/>
      </c>
      <c r="AH20" s="21" t="n"/>
      <c r="AI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19">
        <f>IF(COUNTIF(EDW_RAW!$A$2:$A$1500,$D21)=0,"",IF(COUNTIFS(EDW_RAW!$A$2:$A$1500,$D21,EDW_RAW!$R$2:$R$1500,"&lt;&gt;~",EDW_RAW!$R$2:$R$1500,"&lt;&gt;")=COUNTIF(EDW_RAW!$A$2:$A$1500,$D21),"O",IF(COUNTIFS(EDW_RAW!$A$2:$A$1500,$D21,EDW_RAW!$R$2:$R$1500,"&lt;&gt;~",EDW_RAW!$R$2:$R$1500,"&lt;&gt;")&gt;0,"부분","X")))</f>
        <v/>
      </c>
      <c r="R21" s="19">
        <f>IF(COUNTIF(EDW_RAW!$A$2:$A$1500,$D21)=0,"",IF(COUNTIFS(EDW_RAW!$A$2:$A$1500,$D21,EDW_RAW!$U$2:$U$1500,"&lt;&gt;~",EDW_RAW!$U$2:$U$1500,"&lt;&gt;")=COUNTIF(EDW_RAW!$A$2:$A$1500,$D21),"O",IF(COUNTIFS(EDW_RAW!$A$2:$A$1500,$D21,EDW_RAW!$U$2:$U$1500,"&lt;&gt;~",EDW_RAW!$U$2:$U$1500,"&lt;&gt;")&gt;0,"부분","X")))</f>
        <v/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",TRUE,UNIQUE(FILTER(소재DB_RAW!$K$3:$K$2000,(소재DB_RAW!$G$3:$G$2000=$D21)*ISERROR(SEARCH("drop",소재DB_RAW!$C$3:$C$2000))))),"")</f>
        <v/>
      </c>
      <c r="W21" s="20" t="inlineStr">
        <is>
          <t>베트남</t>
        </is>
      </c>
      <c r="X21" s="20">
        <f>IFERROR(TEXTJOIN(" / ",TRUE,UNIQUE(FILTER(소재DB_RAW!$N$3:$N$2000,(소재DB_RAW!$G$3:$G$2000=$D21)*ISERROR(SEARCH("drop",소재DB_RAW!$C$3:$C$2000))))),"")</f>
        <v/>
      </c>
      <c r="Y21" s="26">
        <f>IFERROR(TEXTJOIN(CHAR(10),TRUE,UNIQUE(FILTER(소재DB_RAW!$N$3:$N$2000&amp;") "&amp;소재DB_RAW!$O$3:$O$2000,(소재DB_RAW!$G$3:$G$2000=$D21)*ISNUMBER(SEARCH("겉감",소재DB_RAW!$M$3:$M$2000))*ISERROR(SEARCH("drop",소재DB_RAW!$C$3:$C$2000))))),"")</f>
        <v/>
      </c>
      <c r="Z21" s="26">
        <f>IFERROR(TEXTJOIN(CHAR(10),TRUE,UNIQUE(FILTER(소재DB_RAW!$N$3:$N$2000&amp;") "&amp;소재DB_RAW!$O$3:$O$2000,(소재DB_RAW!$G$3:$G$2000=$D21)*ISNUMBER(SEARCH("안감",소재DB_RAW!$M$3:$M$2000))*ISERROR(SEARCH("drop",소재DB_RAW!$C$3:$C$2000))))),"")</f>
        <v/>
      </c>
      <c r="AA21" s="22">
        <f>IFERROR(MAX(FILTER(소재DB_RAW!$AK$3:$AK$2000,(소재DB_RAW!$G$3:$G$2000=$D21)*ISERROR(SEARCH("drop",소재DB_RAW!$C$3:$C$2000))*(소재DB_RAW!$AK$3:$AK$2000&lt;&gt;""))),"")</f>
        <v/>
      </c>
      <c r="AB21" s="27" t="n">
        <v>3700</v>
      </c>
      <c r="AC21" s="27" t="n">
        <v>81736700</v>
      </c>
      <c r="AD21" s="27" t="n">
        <v>473600000</v>
      </c>
      <c r="AE21" s="20" t="n"/>
      <c r="AF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G21" s="19">
        <f>IF($K21="","",IF(OR(LEFT($AF21,2)="작지",LEFT($AF21,4)="소재입고"),IF(LEFT($G21,1)="S","★ 납기위험(S코드)","◆ 지연주의"),IF($AF21="정상","✓ 정상","? 확인필요")))</f>
        <v/>
      </c>
      <c r="AH21" s="21" t="n"/>
      <c r="AI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19">
        <f>IF(COUNTIF(EDW_RAW!$A$2:$A$1500,$D22)=0,"",IF(COUNTIFS(EDW_RAW!$A$2:$A$1500,$D22,EDW_RAW!$R$2:$R$1500,"&lt;&gt;~",EDW_RAW!$R$2:$R$1500,"&lt;&gt;")=COUNTIF(EDW_RAW!$A$2:$A$1500,$D22),"O",IF(COUNTIFS(EDW_RAW!$A$2:$A$1500,$D22,EDW_RAW!$R$2:$R$1500,"&lt;&gt;~",EDW_RAW!$R$2:$R$1500,"&lt;&gt;")&gt;0,"부분","X")))</f>
        <v/>
      </c>
      <c r="R22" s="19">
        <f>IF(COUNTIF(EDW_RAW!$A$2:$A$1500,$D22)=0,"",IF(COUNTIFS(EDW_RAW!$A$2:$A$1500,$D22,EDW_RAW!$U$2:$U$1500,"&lt;&gt;~",EDW_RAW!$U$2:$U$1500,"&lt;&gt;")=COUNTIF(EDW_RAW!$A$2:$A$1500,$D22),"O",IF(COUNTIFS(EDW_RAW!$A$2:$A$1500,$D22,EDW_RAW!$U$2:$U$1500,"&lt;&gt;~",EDW_RAW!$U$2:$U$1500,"&lt;&gt;")&gt;0,"부분","X")))</f>
        <v/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",TRUE,UNIQUE(FILTER(소재DB_RAW!$K$3:$K$2000,(소재DB_RAW!$G$3:$G$2000=$D22)*ISERROR(SEARCH("drop",소재DB_RAW!$C$3:$C$2000))))),"")</f>
        <v/>
      </c>
      <c r="W22" s="20" t="inlineStr">
        <is>
          <t>베트남</t>
        </is>
      </c>
      <c r="X22" s="20">
        <f>IFERROR(TEXTJOIN(" / ",TRUE,UNIQUE(FILTER(소재DB_RAW!$N$3:$N$2000,(소재DB_RAW!$G$3:$G$2000=$D22)*ISERROR(SEARCH("drop",소재DB_RAW!$C$3:$C$2000))))),"")</f>
        <v/>
      </c>
      <c r="Y22" s="26">
        <f>IFERROR(TEXTJOIN(CHAR(10),TRUE,UNIQUE(FILTER(소재DB_RAW!$N$3:$N$2000&amp;") "&amp;소재DB_RAW!$O$3:$O$2000,(소재DB_RAW!$G$3:$G$2000=$D22)*ISNUMBER(SEARCH("겉감",소재DB_RAW!$M$3:$M$2000))*ISERROR(SEARCH("drop",소재DB_RAW!$C$3:$C$2000))))),"")</f>
        <v/>
      </c>
      <c r="Z22" s="26">
        <f>IFERROR(TEXTJOIN(CHAR(10),TRUE,UNIQUE(FILTER(소재DB_RAW!$N$3:$N$2000&amp;") "&amp;소재DB_RAW!$O$3:$O$2000,(소재DB_RAW!$G$3:$G$2000=$D22)*ISNUMBER(SEARCH("안감",소재DB_RAW!$M$3:$M$2000))*ISERROR(SEARCH("drop",소재DB_RAW!$C$3:$C$2000))))),"")</f>
        <v/>
      </c>
      <c r="AA22" s="22">
        <f>IFERROR(MAX(FILTER(소재DB_RAW!$AK$3:$AK$2000,(소재DB_RAW!$G$3:$G$2000=$D22)*ISERROR(SEARCH("drop",소재DB_RAW!$C$3:$C$2000))*(소재DB_RAW!$AK$3:$AK$2000&lt;&gt;""))),"")</f>
        <v/>
      </c>
      <c r="AB22" s="27" t="n">
        <v>1200</v>
      </c>
      <c r="AC22" s="27" t="n">
        <v>58612800</v>
      </c>
      <c r="AD22" s="27" t="n">
        <v>237600000</v>
      </c>
      <c r="AE22" s="20" t="inlineStr">
        <is>
          <t>1월2주</t>
        </is>
      </c>
      <c r="AF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G22" s="19">
        <f>IF($K22="","",IF(OR(LEFT($AF22,2)="작지",LEFT($AF22,4)="소재입고"),IF(LEFT($G22,1)="S","★ 납기위험(S코드)","◆ 지연주의"),IF($AF22="정상","✓ 정상","? 확인필요")))</f>
        <v/>
      </c>
      <c r="AH22" s="21" t="n"/>
      <c r="AI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19">
        <f>IF(COUNTIF(EDW_RAW!$A$2:$A$1500,$D23)=0,"",IF(COUNTIFS(EDW_RAW!$A$2:$A$1500,$D23,EDW_RAW!$R$2:$R$1500,"&lt;&gt;~",EDW_RAW!$R$2:$R$1500,"&lt;&gt;")=COUNTIF(EDW_RAW!$A$2:$A$1500,$D23),"O",IF(COUNTIFS(EDW_RAW!$A$2:$A$1500,$D23,EDW_RAW!$R$2:$R$1500,"&lt;&gt;~",EDW_RAW!$R$2:$R$1500,"&lt;&gt;")&gt;0,"부분","X")))</f>
        <v/>
      </c>
      <c r="R23" s="19">
        <f>IF(COUNTIF(EDW_RAW!$A$2:$A$1500,$D23)=0,"",IF(COUNTIFS(EDW_RAW!$A$2:$A$1500,$D23,EDW_RAW!$U$2:$U$1500,"&lt;&gt;~",EDW_RAW!$U$2:$U$1500,"&lt;&gt;")=COUNTIF(EDW_RAW!$A$2:$A$1500,$D23),"O",IF(COUNTIFS(EDW_RAW!$A$2:$A$1500,$D23,EDW_RAW!$U$2:$U$1500,"&lt;&gt;~",EDW_RAW!$U$2:$U$1500,"&lt;&gt;")&gt;0,"부분","X")))</f>
        <v/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",TRUE,UNIQUE(FILTER(소재DB_RAW!$K$3:$K$2000,(소재DB_RAW!$G$3:$G$2000=$D23)*ISERROR(SEARCH("drop",소재DB_RAW!$C$3:$C$2000))))),"")</f>
        <v/>
      </c>
      <c r="W23" s="20" t="inlineStr">
        <is>
          <t>베트남</t>
        </is>
      </c>
      <c r="X23" s="20">
        <f>IFERROR(TEXTJOIN(" / ",TRUE,UNIQUE(FILTER(소재DB_RAW!$N$3:$N$2000,(소재DB_RAW!$G$3:$G$2000=$D23)*ISERROR(SEARCH("drop",소재DB_RAW!$C$3:$C$2000))))),"")</f>
        <v/>
      </c>
      <c r="Y23" s="26">
        <f>IFERROR(TEXTJOIN(CHAR(10),TRUE,UNIQUE(FILTER(소재DB_RAW!$N$3:$N$2000&amp;") "&amp;소재DB_RAW!$O$3:$O$2000,(소재DB_RAW!$G$3:$G$2000=$D23)*ISNUMBER(SEARCH("겉감",소재DB_RAW!$M$3:$M$2000))*ISERROR(SEARCH("drop",소재DB_RAW!$C$3:$C$2000))))),"")</f>
        <v/>
      </c>
      <c r="Z23" s="26">
        <f>IFERROR(TEXTJOIN(CHAR(10),TRUE,UNIQUE(FILTER(소재DB_RAW!$N$3:$N$2000&amp;") "&amp;소재DB_RAW!$O$3:$O$2000,(소재DB_RAW!$G$3:$G$2000=$D23)*ISNUMBER(SEARCH("안감",소재DB_RAW!$M$3:$M$2000))*ISERROR(SEARCH("drop",소재DB_RAW!$C$3:$C$2000))))),"")</f>
        <v/>
      </c>
      <c r="AA23" s="22">
        <f>IFERROR(MAX(FILTER(소재DB_RAW!$AK$3:$AK$2000,(소재DB_RAW!$G$3:$G$2000=$D23)*ISERROR(SEARCH("drop",소재DB_RAW!$C$3:$C$2000))*(소재DB_RAW!$AK$3:$AK$2000&lt;&gt;""))),"")</f>
        <v/>
      </c>
      <c r="AB23" s="27" t="n">
        <v>0</v>
      </c>
      <c r="AC23" s="27" t="n">
        <v>64250000</v>
      </c>
      <c r="AD23" s="27" t="n">
        <v>180000000</v>
      </c>
      <c r="AE23" s="20" t="n"/>
      <c r="AF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G23" s="19">
        <f>IF($K23="","",IF(OR(LEFT($AF23,2)="작지",LEFT($AF23,4)="소재입고"),IF(LEFT($G23,1)="S","★ 납기위험(S코드)","◆ 지연주의"),IF($AF23="정상","✓ 정상","? 확인필요")))</f>
        <v/>
      </c>
      <c r="AH23" s="21" t="n"/>
      <c r="AI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19">
        <f>IF(COUNTIF(EDW_RAW!$A$2:$A$1500,$D24)=0,"",IF(COUNTIFS(EDW_RAW!$A$2:$A$1500,$D24,EDW_RAW!$R$2:$R$1500,"&lt;&gt;~",EDW_RAW!$R$2:$R$1500,"&lt;&gt;")=COUNTIF(EDW_RAW!$A$2:$A$1500,$D24),"O",IF(COUNTIFS(EDW_RAW!$A$2:$A$1500,$D24,EDW_RAW!$R$2:$R$1500,"&lt;&gt;~",EDW_RAW!$R$2:$R$1500,"&lt;&gt;")&gt;0,"부분","X")))</f>
        <v/>
      </c>
      <c r="R24" s="19">
        <f>IF(COUNTIF(EDW_RAW!$A$2:$A$1500,$D24)=0,"",IF(COUNTIFS(EDW_RAW!$A$2:$A$1500,$D24,EDW_RAW!$U$2:$U$1500,"&lt;&gt;~",EDW_RAW!$U$2:$U$1500,"&lt;&gt;")=COUNTIF(EDW_RAW!$A$2:$A$1500,$D24),"O",IF(COUNTIFS(EDW_RAW!$A$2:$A$1500,$D24,EDW_RAW!$U$2:$U$1500,"&lt;&gt;~",EDW_RAW!$U$2:$U$1500,"&lt;&gt;")&gt;0,"부분","X")))</f>
        <v/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",TRUE,UNIQUE(FILTER(소재DB_RAW!$K$3:$K$2000,(소재DB_RAW!$G$3:$G$2000=$D24)*ISERROR(SEARCH("drop",소재DB_RAW!$C$3:$C$2000))))),"")</f>
        <v/>
      </c>
      <c r="W24" s="20" t="inlineStr">
        <is>
          <t>베트남</t>
        </is>
      </c>
      <c r="X24" s="20">
        <f>IFERROR(TEXTJOIN(" / ",TRUE,UNIQUE(FILTER(소재DB_RAW!$N$3:$N$2000,(소재DB_RAW!$G$3:$G$2000=$D24)*ISERROR(SEARCH("drop",소재DB_RAW!$C$3:$C$2000))))),"")</f>
        <v/>
      </c>
      <c r="Y24" s="26">
        <f>IFERROR(TEXTJOIN(CHAR(10),TRUE,UNIQUE(FILTER(소재DB_RAW!$N$3:$N$2000&amp;") "&amp;소재DB_RAW!$O$3:$O$2000,(소재DB_RAW!$G$3:$G$2000=$D24)*ISNUMBER(SEARCH("겉감",소재DB_RAW!$M$3:$M$2000))*ISERROR(SEARCH("drop",소재DB_RAW!$C$3:$C$2000))))),"")</f>
        <v/>
      </c>
      <c r="Z24" s="26">
        <f>IFERROR(TEXTJOIN(CHAR(10),TRUE,UNIQUE(FILTER(소재DB_RAW!$N$3:$N$2000&amp;") "&amp;소재DB_RAW!$O$3:$O$2000,(소재DB_RAW!$G$3:$G$2000=$D24)*ISNUMBER(SEARCH("안감",소재DB_RAW!$M$3:$M$2000))*ISERROR(SEARCH("drop",소재DB_RAW!$C$3:$C$2000))))),"")</f>
        <v/>
      </c>
      <c r="AA24" s="22">
        <f>IFERROR(MAX(FILTER(소재DB_RAW!$AK$3:$AK$2000,(소재DB_RAW!$G$3:$G$2000=$D24)*ISERROR(SEARCH("drop",소재DB_RAW!$C$3:$C$2000))*(소재DB_RAW!$AK$3:$AK$2000&lt;&gt;""))),"")</f>
        <v/>
      </c>
      <c r="AB24" s="27" t="n">
        <v>0</v>
      </c>
      <c r="AC24" s="27" t="n">
        <v>34930000</v>
      </c>
      <c r="AD24" s="27" t="n">
        <v>87500000</v>
      </c>
      <c r="AE24" s="20" t="n"/>
      <c r="AF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G24" s="19">
        <f>IF($K24="","",IF(OR(LEFT($AF24,2)="작지",LEFT($AF24,4)="소재입고"),IF(LEFT($G24,1)="S","★ 납기위험(S코드)","◆ 지연주의"),IF($AF24="정상","✓ 정상","? 확인필요")))</f>
        <v/>
      </c>
      <c r="AH24" s="21" t="n"/>
      <c r="AI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19">
        <f>IF(COUNTIF(EDW_RAW!$A$2:$A$1500,$D25)=0,"",IF(COUNTIFS(EDW_RAW!$A$2:$A$1500,$D25,EDW_RAW!$R$2:$R$1500,"&lt;&gt;~",EDW_RAW!$R$2:$R$1500,"&lt;&gt;")=COUNTIF(EDW_RAW!$A$2:$A$1500,$D25),"O",IF(COUNTIFS(EDW_RAW!$A$2:$A$1500,$D25,EDW_RAW!$R$2:$R$1500,"&lt;&gt;~",EDW_RAW!$R$2:$R$1500,"&lt;&gt;")&gt;0,"부분","X")))</f>
        <v/>
      </c>
      <c r="R25" s="19">
        <f>IF(COUNTIF(EDW_RAW!$A$2:$A$1500,$D25)=0,"",IF(COUNTIFS(EDW_RAW!$A$2:$A$1500,$D25,EDW_RAW!$U$2:$U$1500,"&lt;&gt;~",EDW_RAW!$U$2:$U$1500,"&lt;&gt;")=COUNTIF(EDW_RAW!$A$2:$A$1500,$D25),"O",IF(COUNTIFS(EDW_RAW!$A$2:$A$1500,$D25,EDW_RAW!$U$2:$U$1500,"&lt;&gt;~",EDW_RAW!$U$2:$U$1500,"&lt;&gt;")&gt;0,"부분","X")))</f>
        <v/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",TRUE,UNIQUE(FILTER(소재DB_RAW!$K$3:$K$2000,(소재DB_RAW!$G$3:$G$2000=$D25)*ISERROR(SEARCH("drop",소재DB_RAW!$C$3:$C$2000))))),"")</f>
        <v/>
      </c>
      <c r="W25" s="20" t="inlineStr">
        <is>
          <t>베트남</t>
        </is>
      </c>
      <c r="X25" s="20">
        <f>IFERROR(TEXTJOIN(" / ",TRUE,UNIQUE(FILTER(소재DB_RAW!$N$3:$N$2000,(소재DB_RAW!$G$3:$G$2000=$D25)*ISERROR(SEARCH("drop",소재DB_RAW!$C$3:$C$2000))))),"")</f>
        <v/>
      </c>
      <c r="Y25" s="26">
        <f>IFERROR(TEXTJOIN(CHAR(10),TRUE,UNIQUE(FILTER(소재DB_RAW!$N$3:$N$2000&amp;") "&amp;소재DB_RAW!$O$3:$O$2000,(소재DB_RAW!$G$3:$G$2000=$D25)*ISNUMBER(SEARCH("겉감",소재DB_RAW!$M$3:$M$2000))*ISERROR(SEARCH("drop",소재DB_RAW!$C$3:$C$2000))))),"")</f>
        <v/>
      </c>
      <c r="Z25" s="26">
        <f>IFERROR(TEXTJOIN(CHAR(10),TRUE,UNIQUE(FILTER(소재DB_RAW!$N$3:$N$2000&amp;") "&amp;소재DB_RAW!$O$3:$O$2000,(소재DB_RAW!$G$3:$G$2000=$D25)*ISNUMBER(SEARCH("안감",소재DB_RAW!$M$3:$M$2000))*ISERROR(SEARCH("drop",소재DB_RAW!$C$3:$C$2000))))),"")</f>
        <v/>
      </c>
      <c r="AA25" s="22">
        <f>IFERROR(MAX(FILTER(소재DB_RAW!$AK$3:$AK$2000,(소재DB_RAW!$G$3:$G$2000=$D25)*ISERROR(SEARCH("drop",소재DB_RAW!$C$3:$C$2000))*(소재DB_RAW!$AK$3:$AK$2000&lt;&gt;""))),"")</f>
        <v/>
      </c>
      <c r="AB25" s="27" t="n">
        <v>0</v>
      </c>
      <c r="AC25" s="27" t="n">
        <v>56850000</v>
      </c>
      <c r="AD25" s="27" t="n">
        <v>180000000</v>
      </c>
      <c r="AE25" s="20" t="n"/>
      <c r="AF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G25" s="19">
        <f>IF($K25="","",IF(OR(LEFT($AF25,2)="작지",LEFT($AF25,4)="소재입고"),IF(LEFT($G25,1)="S","★ 납기위험(S코드)","◆ 지연주의"),IF($AF25="정상","✓ 정상","? 확인필요")))</f>
        <v/>
      </c>
      <c r="AH25" s="21" t="n"/>
      <c r="AI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19">
        <f>IF(COUNTIF(EDW_RAW!$A$2:$A$1500,$D26)=0,"",IF(COUNTIFS(EDW_RAW!$A$2:$A$1500,$D26,EDW_RAW!$R$2:$R$1500,"&lt;&gt;~",EDW_RAW!$R$2:$R$1500,"&lt;&gt;")=COUNTIF(EDW_RAW!$A$2:$A$1500,$D26),"O",IF(COUNTIFS(EDW_RAW!$A$2:$A$1500,$D26,EDW_RAW!$R$2:$R$1500,"&lt;&gt;~",EDW_RAW!$R$2:$R$1500,"&lt;&gt;")&gt;0,"부분","X")))</f>
        <v/>
      </c>
      <c r="R26" s="19">
        <f>IF(COUNTIF(EDW_RAW!$A$2:$A$1500,$D26)=0,"",IF(COUNTIFS(EDW_RAW!$A$2:$A$1500,$D26,EDW_RAW!$U$2:$U$1500,"&lt;&gt;~",EDW_RAW!$U$2:$U$1500,"&lt;&gt;")=COUNTIF(EDW_RAW!$A$2:$A$1500,$D26),"O",IF(COUNTIFS(EDW_RAW!$A$2:$A$1500,$D26,EDW_RAW!$U$2:$U$1500,"&lt;&gt;~",EDW_RAW!$U$2:$U$1500,"&lt;&gt;")&gt;0,"부분","X")))</f>
        <v/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",TRUE,UNIQUE(FILTER(소재DB_RAW!$K$3:$K$2000,(소재DB_RAW!$G$3:$G$2000=$D26)*ISERROR(SEARCH("drop",소재DB_RAW!$C$3:$C$2000))))),"")</f>
        <v/>
      </c>
      <c r="W26" s="20" t="inlineStr">
        <is>
          <t>베트남</t>
        </is>
      </c>
      <c r="X26" s="20">
        <f>IFERROR(TEXTJOIN(" / ",TRUE,UNIQUE(FILTER(소재DB_RAW!$N$3:$N$2000,(소재DB_RAW!$G$3:$G$2000=$D26)*ISERROR(SEARCH("drop",소재DB_RAW!$C$3:$C$2000))))),"")</f>
        <v/>
      </c>
      <c r="Y26" s="26">
        <f>IFERROR(TEXTJOIN(CHAR(10),TRUE,UNIQUE(FILTER(소재DB_RAW!$N$3:$N$2000&amp;") "&amp;소재DB_RAW!$O$3:$O$2000,(소재DB_RAW!$G$3:$G$2000=$D26)*ISNUMBER(SEARCH("겉감",소재DB_RAW!$M$3:$M$2000))*ISERROR(SEARCH("drop",소재DB_RAW!$C$3:$C$2000))))),"")</f>
        <v/>
      </c>
      <c r="Z26" s="26">
        <f>IFERROR(TEXTJOIN(CHAR(10),TRUE,UNIQUE(FILTER(소재DB_RAW!$N$3:$N$2000&amp;") "&amp;소재DB_RAW!$O$3:$O$2000,(소재DB_RAW!$G$3:$G$2000=$D26)*ISNUMBER(SEARCH("안감",소재DB_RAW!$M$3:$M$2000))*ISERROR(SEARCH("drop",소재DB_RAW!$C$3:$C$2000))))),"")</f>
        <v/>
      </c>
      <c r="AA26" s="22">
        <f>IFERROR(MAX(FILTER(소재DB_RAW!$AK$3:$AK$2000,(소재DB_RAW!$G$3:$G$2000=$D26)*ISERROR(SEARCH("drop",소재DB_RAW!$C$3:$C$2000))*(소재DB_RAW!$AK$3:$AK$2000&lt;&gt;""))),"")</f>
        <v/>
      </c>
      <c r="AB26" s="27" t="n">
        <v>0</v>
      </c>
      <c r="AC26" s="27" t="n">
        <v>44500000</v>
      </c>
      <c r="AD26" s="27" t="n">
        <v>125000000</v>
      </c>
      <c r="AE26" s="20" t="n"/>
      <c r="AF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G26" s="19">
        <f>IF($K26="","",IF(OR(LEFT($AF26,2)="작지",LEFT($AF26,4)="소재입고"),IF(LEFT($G26,1)="S","★ 납기위험(S코드)","◆ 지연주의"),IF($AF26="정상","✓ 정상","? 확인필요")))</f>
        <v/>
      </c>
      <c r="AH26" s="21" t="n"/>
      <c r="AI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19">
        <f>IF(COUNTIF(EDW_RAW!$A$2:$A$1500,$D27)=0,"",IF(COUNTIFS(EDW_RAW!$A$2:$A$1500,$D27,EDW_RAW!$R$2:$R$1500,"&lt;&gt;~",EDW_RAW!$R$2:$R$1500,"&lt;&gt;")=COUNTIF(EDW_RAW!$A$2:$A$1500,$D27),"O",IF(COUNTIFS(EDW_RAW!$A$2:$A$1500,$D27,EDW_RAW!$R$2:$R$1500,"&lt;&gt;~",EDW_RAW!$R$2:$R$1500,"&lt;&gt;")&gt;0,"부분","X")))</f>
        <v/>
      </c>
      <c r="R27" s="19">
        <f>IF(COUNTIF(EDW_RAW!$A$2:$A$1500,$D27)=0,"",IF(COUNTIFS(EDW_RAW!$A$2:$A$1500,$D27,EDW_RAW!$U$2:$U$1500,"&lt;&gt;~",EDW_RAW!$U$2:$U$1500,"&lt;&gt;")=COUNTIF(EDW_RAW!$A$2:$A$1500,$D27),"O",IF(COUNTIFS(EDW_RAW!$A$2:$A$1500,$D27,EDW_RAW!$U$2:$U$1500,"&lt;&gt;~",EDW_RAW!$U$2:$U$1500,"&lt;&gt;")&gt;0,"부분","X")))</f>
        <v/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",TRUE,UNIQUE(FILTER(소재DB_RAW!$K$3:$K$2000,(소재DB_RAW!$G$3:$G$2000=$D27)*ISERROR(SEARCH("drop",소재DB_RAW!$C$3:$C$2000))))),"")</f>
        <v/>
      </c>
      <c r="W27" s="20" t="inlineStr">
        <is>
          <t>베트남</t>
        </is>
      </c>
      <c r="X27" s="20">
        <f>IFERROR(TEXTJOIN(" / ",TRUE,UNIQUE(FILTER(소재DB_RAW!$N$3:$N$2000,(소재DB_RAW!$G$3:$G$2000=$D27)*ISERROR(SEARCH("drop",소재DB_RAW!$C$3:$C$2000))))),"")</f>
        <v/>
      </c>
      <c r="Y27" s="26">
        <f>IFERROR(TEXTJOIN(CHAR(10),TRUE,UNIQUE(FILTER(소재DB_RAW!$N$3:$N$2000&amp;") "&amp;소재DB_RAW!$O$3:$O$2000,(소재DB_RAW!$G$3:$G$2000=$D27)*ISNUMBER(SEARCH("겉감",소재DB_RAW!$M$3:$M$2000))*ISERROR(SEARCH("drop",소재DB_RAW!$C$3:$C$2000))))),"")</f>
        <v/>
      </c>
      <c r="Z27" s="26">
        <f>IFERROR(TEXTJOIN(CHAR(10),TRUE,UNIQUE(FILTER(소재DB_RAW!$N$3:$N$2000&amp;") "&amp;소재DB_RAW!$O$3:$O$2000,(소재DB_RAW!$G$3:$G$2000=$D27)*ISNUMBER(SEARCH("안감",소재DB_RAW!$M$3:$M$2000))*ISERROR(SEARCH("drop",소재DB_RAW!$C$3:$C$2000))))),"")</f>
        <v/>
      </c>
      <c r="AA27" s="22">
        <f>IFERROR(MAX(FILTER(소재DB_RAW!$AK$3:$AK$2000,(소재DB_RAW!$G$3:$G$2000=$D27)*ISERROR(SEARCH("drop",소재DB_RAW!$C$3:$C$2000))*(소재DB_RAW!$AK$3:$AK$2000&lt;&gt;""))),"")</f>
        <v/>
      </c>
      <c r="AB27" s="27" t="n">
        <v>0</v>
      </c>
      <c r="AC27" s="27" t="n">
        <v>2558824</v>
      </c>
      <c r="AD27" s="27" t="n">
        <v>8700000</v>
      </c>
      <c r="AE27" s="20" t="n"/>
      <c r="AF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G27" s="19">
        <f>IF($K27="","",IF(OR(LEFT($AF27,2)="작지",LEFT($AF27,4)="소재입고"),IF(LEFT($G27,1)="S","★ 납기위험(S코드)","◆ 지연주의"),IF($AF27="정상","✓ 정상","? 확인필요")))</f>
        <v/>
      </c>
      <c r="AH27" s="21" t="n"/>
      <c r="AI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19">
        <f>IF(COUNTIF(EDW_RAW!$A$2:$A$1500,$D28)=0,"",IF(COUNTIFS(EDW_RAW!$A$2:$A$1500,$D28,EDW_RAW!$R$2:$R$1500,"&lt;&gt;~",EDW_RAW!$R$2:$R$1500,"&lt;&gt;")=COUNTIF(EDW_RAW!$A$2:$A$1500,$D28),"O",IF(COUNTIFS(EDW_RAW!$A$2:$A$1500,$D28,EDW_RAW!$R$2:$R$1500,"&lt;&gt;~",EDW_RAW!$R$2:$R$1500,"&lt;&gt;")&gt;0,"부분","X")))</f>
        <v/>
      </c>
      <c r="R28" s="19">
        <f>IF(COUNTIF(EDW_RAW!$A$2:$A$1500,$D28)=0,"",IF(COUNTIFS(EDW_RAW!$A$2:$A$1500,$D28,EDW_RAW!$U$2:$U$1500,"&lt;&gt;~",EDW_RAW!$U$2:$U$1500,"&lt;&gt;")=COUNTIF(EDW_RAW!$A$2:$A$1500,$D28),"O",IF(COUNTIFS(EDW_RAW!$A$2:$A$1500,$D28,EDW_RAW!$U$2:$U$1500,"&lt;&gt;~",EDW_RAW!$U$2:$U$1500,"&lt;&gt;")&gt;0,"부분","X")))</f>
        <v/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",TRUE,UNIQUE(FILTER(소재DB_RAW!$K$3:$K$2000,(소재DB_RAW!$G$3:$G$2000=$D28)*ISERROR(SEARCH("drop",소재DB_RAW!$C$3:$C$2000))))),"")</f>
        <v/>
      </c>
      <c r="W28" s="20" t="inlineStr">
        <is>
          <t>국내</t>
        </is>
      </c>
      <c r="X28" s="20">
        <f>IFERROR(TEXTJOIN(" / ",TRUE,UNIQUE(FILTER(소재DB_RAW!$N$3:$N$2000,(소재DB_RAW!$G$3:$G$2000=$D28)*ISERROR(SEARCH("drop",소재DB_RAW!$C$3:$C$2000))))),"")</f>
        <v/>
      </c>
      <c r="Y28" s="26">
        <f>IFERROR(TEXTJOIN(CHAR(10),TRUE,UNIQUE(FILTER(소재DB_RAW!$N$3:$N$2000&amp;") "&amp;소재DB_RAW!$O$3:$O$2000,(소재DB_RAW!$G$3:$G$2000=$D28)*ISNUMBER(SEARCH("겉감",소재DB_RAW!$M$3:$M$2000))*ISERROR(SEARCH("drop",소재DB_RAW!$C$3:$C$2000))))),"")</f>
        <v/>
      </c>
      <c r="Z28" s="26">
        <f>IFERROR(TEXTJOIN(CHAR(10),TRUE,UNIQUE(FILTER(소재DB_RAW!$N$3:$N$2000&amp;") "&amp;소재DB_RAW!$O$3:$O$2000,(소재DB_RAW!$G$3:$G$2000=$D28)*ISNUMBER(SEARCH("안감",소재DB_RAW!$M$3:$M$2000))*ISERROR(SEARCH("drop",소재DB_RAW!$C$3:$C$2000))))),"")</f>
        <v/>
      </c>
      <c r="AA28" s="22">
        <f>IFERROR(MAX(FILTER(소재DB_RAW!$AK$3:$AK$2000,(소재DB_RAW!$G$3:$G$2000=$D28)*ISERROR(SEARCH("drop",소재DB_RAW!$C$3:$C$2000))*(소재DB_RAW!$AK$3:$AK$2000&lt;&gt;""))),"")</f>
        <v/>
      </c>
      <c r="AB28" s="27" t="n">
        <v>0</v>
      </c>
      <c r="AC28" s="27" t="n">
        <v>2647059</v>
      </c>
      <c r="AD28" s="27" t="n">
        <v>9000000</v>
      </c>
      <c r="AE28" s="20" t="n"/>
      <c r="AF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G28" s="19">
        <f>IF($K28="","",IF(OR(LEFT($AF28,2)="작지",LEFT($AF28,4)="소재입고"),IF(LEFT($G28,1)="S","★ 납기위험(S코드)","◆ 지연주의"),IF($AF28="정상","✓ 정상","? 확인필요")))</f>
        <v/>
      </c>
      <c r="AH28" s="21" t="n"/>
      <c r="AI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19">
        <f>IF(COUNTIF(EDW_RAW!$A$2:$A$1500,$D29)=0,"",IF(COUNTIFS(EDW_RAW!$A$2:$A$1500,$D29,EDW_RAW!$R$2:$R$1500,"&lt;&gt;~",EDW_RAW!$R$2:$R$1500,"&lt;&gt;")=COUNTIF(EDW_RAW!$A$2:$A$1500,$D29),"O",IF(COUNTIFS(EDW_RAW!$A$2:$A$1500,$D29,EDW_RAW!$R$2:$R$1500,"&lt;&gt;~",EDW_RAW!$R$2:$R$1500,"&lt;&gt;")&gt;0,"부분","X")))</f>
        <v/>
      </c>
      <c r="R29" s="19">
        <f>IF(COUNTIF(EDW_RAW!$A$2:$A$1500,$D29)=0,"",IF(COUNTIFS(EDW_RAW!$A$2:$A$1500,$D29,EDW_RAW!$U$2:$U$1500,"&lt;&gt;~",EDW_RAW!$U$2:$U$1500,"&lt;&gt;")=COUNTIF(EDW_RAW!$A$2:$A$1500,$D29),"O",IF(COUNTIFS(EDW_RAW!$A$2:$A$1500,$D29,EDW_RAW!$U$2:$U$1500,"&lt;&gt;~",EDW_RAW!$U$2:$U$1500,"&lt;&gt;")&gt;0,"부분","X")))</f>
        <v/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",TRUE,UNIQUE(FILTER(소재DB_RAW!$K$3:$K$2000,(소재DB_RAW!$G$3:$G$2000=$D29)*ISERROR(SEARCH("drop",소재DB_RAW!$C$3:$C$2000))))),"")</f>
        <v/>
      </c>
      <c r="W29" s="20" t="inlineStr">
        <is>
          <t>베트남</t>
        </is>
      </c>
      <c r="X29" s="20">
        <f>IFERROR(TEXTJOIN(" / ",TRUE,UNIQUE(FILTER(소재DB_RAW!$N$3:$N$2000,(소재DB_RAW!$G$3:$G$2000=$D29)*ISERROR(SEARCH("drop",소재DB_RAW!$C$3:$C$2000))))),"")</f>
        <v/>
      </c>
      <c r="Y29" s="26">
        <f>IFERROR(TEXTJOIN(CHAR(10),TRUE,UNIQUE(FILTER(소재DB_RAW!$N$3:$N$2000&amp;") "&amp;소재DB_RAW!$O$3:$O$2000,(소재DB_RAW!$G$3:$G$2000=$D29)*ISNUMBER(SEARCH("겉감",소재DB_RAW!$M$3:$M$2000))*ISERROR(SEARCH("drop",소재DB_RAW!$C$3:$C$2000))))),"")</f>
        <v/>
      </c>
      <c r="Z29" s="26">
        <f>IFERROR(TEXTJOIN(CHAR(10),TRUE,UNIQUE(FILTER(소재DB_RAW!$N$3:$N$2000&amp;") "&amp;소재DB_RAW!$O$3:$O$2000,(소재DB_RAW!$G$3:$G$2000=$D29)*ISNUMBER(SEARCH("안감",소재DB_RAW!$M$3:$M$2000))*ISERROR(SEARCH("drop",소재DB_RAW!$C$3:$C$2000))))),"")</f>
        <v/>
      </c>
      <c r="AA29" s="22">
        <f>IFERROR(MAX(FILTER(소재DB_RAW!$AK$3:$AK$2000,(소재DB_RAW!$G$3:$G$2000=$D29)*ISERROR(SEARCH("drop",소재DB_RAW!$C$3:$C$2000))*(소재DB_RAW!$AK$3:$AK$2000&lt;&gt;""))),"")</f>
        <v/>
      </c>
      <c r="AB29" s="27" t="n">
        <v>0</v>
      </c>
      <c r="AC29" s="27" t="n">
        <v>5735294</v>
      </c>
      <c r="AD29" s="27" t="n">
        <v>19500000</v>
      </c>
      <c r="AE29" s="20" t="n"/>
      <c r="AF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G29" s="19">
        <f>IF($K29="","",IF(OR(LEFT($AF29,2)="작지",LEFT($AF29,4)="소재입고"),IF(LEFT($G29,1)="S","★ 납기위험(S코드)","◆ 지연주의"),IF($AF29="정상","✓ 정상","? 확인필요")))</f>
        <v/>
      </c>
      <c r="AH29" s="21" t="n"/>
      <c r="AI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19">
        <f>IF(COUNTIF(EDW_RAW!$A$2:$A$1500,$D30)=0,"",IF(COUNTIFS(EDW_RAW!$A$2:$A$1500,$D30,EDW_RAW!$R$2:$R$1500,"&lt;&gt;~",EDW_RAW!$R$2:$R$1500,"&lt;&gt;")=COUNTIF(EDW_RAW!$A$2:$A$1500,$D30),"O",IF(COUNTIFS(EDW_RAW!$A$2:$A$1500,$D30,EDW_RAW!$R$2:$R$1500,"&lt;&gt;~",EDW_RAW!$R$2:$R$1500,"&lt;&gt;")&gt;0,"부분","X")))</f>
        <v/>
      </c>
      <c r="R30" s="19">
        <f>IF(COUNTIF(EDW_RAW!$A$2:$A$1500,$D30)=0,"",IF(COUNTIFS(EDW_RAW!$A$2:$A$1500,$D30,EDW_RAW!$U$2:$U$1500,"&lt;&gt;~",EDW_RAW!$U$2:$U$1500,"&lt;&gt;")=COUNTIF(EDW_RAW!$A$2:$A$1500,$D30),"O",IF(COUNTIFS(EDW_RAW!$A$2:$A$1500,$D30,EDW_RAW!$U$2:$U$1500,"&lt;&gt;~",EDW_RAW!$U$2:$U$1500,"&lt;&gt;")&gt;0,"부분","X")))</f>
        <v/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",TRUE,UNIQUE(FILTER(소재DB_RAW!$K$3:$K$2000,(소재DB_RAW!$G$3:$G$2000=$D30)*ISERROR(SEARCH("drop",소재DB_RAW!$C$3:$C$2000))))),"")</f>
        <v/>
      </c>
      <c r="W30" s="20" t="inlineStr">
        <is>
          <t>베트남</t>
        </is>
      </c>
      <c r="X30" s="20">
        <f>IFERROR(TEXTJOIN(" / ",TRUE,UNIQUE(FILTER(소재DB_RAW!$N$3:$N$2000,(소재DB_RAW!$G$3:$G$2000=$D30)*ISERROR(SEARCH("drop",소재DB_RAW!$C$3:$C$2000))))),"")</f>
        <v/>
      </c>
      <c r="Y30" s="26">
        <f>IFERROR(TEXTJOIN(CHAR(10),TRUE,UNIQUE(FILTER(소재DB_RAW!$N$3:$N$2000&amp;") "&amp;소재DB_RAW!$O$3:$O$2000,(소재DB_RAW!$G$3:$G$2000=$D30)*ISNUMBER(SEARCH("겉감",소재DB_RAW!$M$3:$M$2000))*ISERROR(SEARCH("drop",소재DB_RAW!$C$3:$C$2000))))),"")</f>
        <v/>
      </c>
      <c r="Z30" s="26">
        <f>IFERROR(TEXTJOIN(CHAR(10),TRUE,UNIQUE(FILTER(소재DB_RAW!$N$3:$N$2000&amp;") "&amp;소재DB_RAW!$O$3:$O$2000,(소재DB_RAW!$G$3:$G$2000=$D30)*ISNUMBER(SEARCH("안감",소재DB_RAW!$M$3:$M$2000))*ISERROR(SEARCH("drop",소재DB_RAW!$C$3:$C$2000))))),"")</f>
        <v/>
      </c>
      <c r="AA30" s="22">
        <f>IFERROR(MAX(FILTER(소재DB_RAW!$AK$3:$AK$2000,(소재DB_RAW!$G$3:$G$2000=$D30)*ISERROR(SEARCH("drop",소재DB_RAW!$C$3:$C$2000))*(소재DB_RAW!$AK$3:$AK$2000&lt;&gt;""))),"")</f>
        <v/>
      </c>
      <c r="AB30" s="27" t="n">
        <v>0</v>
      </c>
      <c r="AC30" s="27" t="n">
        <v>6000000</v>
      </c>
      <c r="AD30" s="27" t="n">
        <v>20400000</v>
      </c>
      <c r="AE30" s="20" t="n"/>
      <c r="AF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G30" s="19">
        <f>IF($K30="","",IF(OR(LEFT($AF30,2)="작지",LEFT($AF30,4)="소재입고"),IF(LEFT($G30,1)="S","★ 납기위험(S코드)","◆ 지연주의"),IF($AF30="정상","✓ 정상","? 확인필요")))</f>
        <v/>
      </c>
      <c r="AH30" s="21" t="n"/>
      <c r="AI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19">
        <f>IF(COUNTIF(EDW_RAW!$A$2:$A$1500,$D31)=0,"",IF(COUNTIFS(EDW_RAW!$A$2:$A$1500,$D31,EDW_RAW!$R$2:$R$1500,"&lt;&gt;~",EDW_RAW!$R$2:$R$1500,"&lt;&gt;")=COUNTIF(EDW_RAW!$A$2:$A$1500,$D31),"O",IF(COUNTIFS(EDW_RAW!$A$2:$A$1500,$D31,EDW_RAW!$R$2:$R$1500,"&lt;&gt;~",EDW_RAW!$R$2:$R$1500,"&lt;&gt;")&gt;0,"부분","X")))</f>
        <v/>
      </c>
      <c r="R31" s="19">
        <f>IF(COUNTIF(EDW_RAW!$A$2:$A$1500,$D31)=0,"",IF(COUNTIFS(EDW_RAW!$A$2:$A$1500,$D31,EDW_RAW!$U$2:$U$1500,"&lt;&gt;~",EDW_RAW!$U$2:$U$1500,"&lt;&gt;")=COUNTIF(EDW_RAW!$A$2:$A$1500,$D31),"O",IF(COUNTIFS(EDW_RAW!$A$2:$A$1500,$D31,EDW_RAW!$U$2:$U$1500,"&lt;&gt;~",EDW_RAW!$U$2:$U$1500,"&lt;&gt;")&gt;0,"부분","X")))</f>
        <v/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",TRUE,UNIQUE(FILTER(소재DB_RAW!$K$3:$K$2000,(소재DB_RAW!$G$3:$G$2000=$D31)*ISERROR(SEARCH("drop",소재DB_RAW!$C$3:$C$2000))))),"")</f>
        <v/>
      </c>
      <c r="W31" s="20" t="inlineStr">
        <is>
          <t>베트남</t>
        </is>
      </c>
      <c r="X31" s="20">
        <f>IFERROR(TEXTJOIN(" / ",TRUE,UNIQUE(FILTER(소재DB_RAW!$N$3:$N$2000,(소재DB_RAW!$G$3:$G$2000=$D31)*ISERROR(SEARCH("drop",소재DB_RAW!$C$3:$C$2000))))),"")</f>
        <v/>
      </c>
      <c r="Y31" s="26">
        <f>IFERROR(TEXTJOIN(CHAR(10),TRUE,UNIQUE(FILTER(소재DB_RAW!$N$3:$N$2000&amp;") "&amp;소재DB_RAW!$O$3:$O$2000,(소재DB_RAW!$G$3:$G$2000=$D31)*ISNUMBER(SEARCH("겉감",소재DB_RAW!$M$3:$M$2000))*ISERROR(SEARCH("drop",소재DB_RAW!$C$3:$C$2000))))),"")</f>
        <v/>
      </c>
      <c r="Z31" s="26">
        <f>IFERROR(TEXTJOIN(CHAR(10),TRUE,UNIQUE(FILTER(소재DB_RAW!$N$3:$N$2000&amp;") "&amp;소재DB_RAW!$O$3:$O$2000,(소재DB_RAW!$G$3:$G$2000=$D31)*ISNUMBER(SEARCH("안감",소재DB_RAW!$M$3:$M$2000))*ISERROR(SEARCH("drop",소재DB_RAW!$C$3:$C$2000))))),"")</f>
        <v/>
      </c>
      <c r="AA31" s="22">
        <f>IFERROR(MAX(FILTER(소재DB_RAW!$AK$3:$AK$2000,(소재DB_RAW!$G$3:$G$2000=$D31)*ISERROR(SEARCH("drop",소재DB_RAW!$C$3:$C$2000))*(소재DB_RAW!$AK$3:$AK$2000&lt;&gt;""))),"")</f>
        <v/>
      </c>
      <c r="AB31" s="27" t="n">
        <v>0</v>
      </c>
      <c r="AC31" s="27" t="n">
        <v>5735294</v>
      </c>
      <c r="AD31" s="27" t="n">
        <v>19500000</v>
      </c>
      <c r="AE31" s="20" t="n"/>
      <c r="AF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G31" s="19">
        <f>IF($K31="","",IF(OR(LEFT($AF31,2)="작지",LEFT($AF31,4)="소재입고"),IF(LEFT($G31,1)="S","★ 납기위험(S코드)","◆ 지연주의"),IF($AF31="정상","✓ 정상","? 확인필요")))</f>
        <v/>
      </c>
      <c r="AH31" s="21" t="n"/>
      <c r="AI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19">
        <f>IF(COUNTIF(EDW_RAW!$A$2:$A$1500,$D32)=0,"",IF(COUNTIFS(EDW_RAW!$A$2:$A$1500,$D32,EDW_RAW!$R$2:$R$1500,"&lt;&gt;~",EDW_RAW!$R$2:$R$1500,"&lt;&gt;")=COUNTIF(EDW_RAW!$A$2:$A$1500,$D32),"O",IF(COUNTIFS(EDW_RAW!$A$2:$A$1500,$D32,EDW_RAW!$R$2:$R$1500,"&lt;&gt;~",EDW_RAW!$R$2:$R$1500,"&lt;&gt;")&gt;0,"부분","X")))</f>
        <v/>
      </c>
      <c r="R32" s="19">
        <f>IF(COUNTIF(EDW_RAW!$A$2:$A$1500,$D32)=0,"",IF(COUNTIFS(EDW_RAW!$A$2:$A$1500,$D32,EDW_RAW!$U$2:$U$1500,"&lt;&gt;~",EDW_RAW!$U$2:$U$1500,"&lt;&gt;")=COUNTIF(EDW_RAW!$A$2:$A$1500,$D32),"O",IF(COUNTIFS(EDW_RAW!$A$2:$A$1500,$D32,EDW_RAW!$U$2:$U$1500,"&lt;&gt;~",EDW_RAW!$U$2:$U$1500,"&lt;&gt;")&gt;0,"부분","X")))</f>
        <v/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",TRUE,UNIQUE(FILTER(소재DB_RAW!$K$3:$K$2000,(소재DB_RAW!$G$3:$G$2000=$D32)*ISERROR(SEARCH("drop",소재DB_RAW!$C$3:$C$2000))))),"")</f>
        <v/>
      </c>
      <c r="W32" s="20" t="inlineStr">
        <is>
          <t>베트남</t>
        </is>
      </c>
      <c r="X32" s="20">
        <f>IFERROR(TEXTJOIN(" / ",TRUE,UNIQUE(FILTER(소재DB_RAW!$N$3:$N$2000,(소재DB_RAW!$G$3:$G$2000=$D32)*ISERROR(SEARCH("drop",소재DB_RAW!$C$3:$C$2000))))),"")</f>
        <v/>
      </c>
      <c r="Y32" s="26">
        <f>IFERROR(TEXTJOIN(CHAR(10),TRUE,UNIQUE(FILTER(소재DB_RAW!$N$3:$N$2000&amp;") "&amp;소재DB_RAW!$O$3:$O$2000,(소재DB_RAW!$G$3:$G$2000=$D32)*ISNUMBER(SEARCH("겉감",소재DB_RAW!$M$3:$M$2000))*ISERROR(SEARCH("drop",소재DB_RAW!$C$3:$C$2000))))),"")</f>
        <v/>
      </c>
      <c r="Z32" s="26">
        <f>IFERROR(TEXTJOIN(CHAR(10),TRUE,UNIQUE(FILTER(소재DB_RAW!$N$3:$N$2000&amp;") "&amp;소재DB_RAW!$O$3:$O$2000,(소재DB_RAW!$G$3:$G$2000=$D32)*ISNUMBER(SEARCH("안감",소재DB_RAW!$M$3:$M$2000))*ISERROR(SEARCH("drop",소재DB_RAW!$C$3:$C$2000))))),"")</f>
        <v/>
      </c>
      <c r="AA32" s="22">
        <f>IFERROR(MAX(FILTER(소재DB_RAW!$AK$3:$AK$2000,(소재DB_RAW!$G$3:$G$2000=$D32)*ISERROR(SEARCH("drop",소재DB_RAW!$C$3:$C$2000))*(소재DB_RAW!$AK$3:$AK$2000&lt;&gt;""))),"")</f>
        <v/>
      </c>
      <c r="AB32" s="27" t="n">
        <v>0</v>
      </c>
      <c r="AC32" s="27" t="n">
        <v>13764706</v>
      </c>
      <c r="AD32" s="27" t="n">
        <v>46800000</v>
      </c>
      <c r="AE32" s="20" t="n"/>
      <c r="AF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G32" s="19">
        <f>IF($K32="","",IF(OR(LEFT($AF32,2)="작지",LEFT($AF32,4)="소재입고"),IF(LEFT($G32,1)="S","★ 납기위험(S코드)","◆ 지연주의"),IF($AF32="정상","✓ 정상","? 확인필요")))</f>
        <v/>
      </c>
      <c r="AH32" s="21" t="n"/>
      <c r="AI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19">
        <f>IF(COUNTIF(EDW_RAW!$A$2:$A$1500,$D33)=0,"",IF(COUNTIFS(EDW_RAW!$A$2:$A$1500,$D33,EDW_RAW!$R$2:$R$1500,"&lt;&gt;~",EDW_RAW!$R$2:$R$1500,"&lt;&gt;")=COUNTIF(EDW_RAW!$A$2:$A$1500,$D33),"O",IF(COUNTIFS(EDW_RAW!$A$2:$A$1500,$D33,EDW_RAW!$R$2:$R$1500,"&lt;&gt;~",EDW_RAW!$R$2:$R$1500,"&lt;&gt;")&gt;0,"부분","X")))</f>
        <v/>
      </c>
      <c r="R33" s="19">
        <f>IF(COUNTIF(EDW_RAW!$A$2:$A$1500,$D33)=0,"",IF(COUNTIFS(EDW_RAW!$A$2:$A$1500,$D33,EDW_RAW!$U$2:$U$1500,"&lt;&gt;~",EDW_RAW!$U$2:$U$1500,"&lt;&gt;")=COUNTIF(EDW_RAW!$A$2:$A$1500,$D33),"O",IF(COUNTIFS(EDW_RAW!$A$2:$A$1500,$D33,EDW_RAW!$U$2:$U$1500,"&lt;&gt;~",EDW_RAW!$U$2:$U$1500,"&lt;&gt;")&gt;0,"부분","X")))</f>
        <v/>
      </c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",TRUE,UNIQUE(FILTER(소재DB_RAW!$K$3:$K$2000,(소재DB_RAW!$G$3:$G$2000=$D33)*ISERROR(SEARCH("drop",소재DB_RAW!$C$3:$C$2000))))),"")</f>
        <v/>
      </c>
      <c r="W33" s="20" t="inlineStr">
        <is>
          <t>베트남</t>
        </is>
      </c>
      <c r="X33" s="20">
        <f>IFERROR(TEXTJOIN(" / ",TRUE,UNIQUE(FILTER(소재DB_RAW!$N$3:$N$2000,(소재DB_RAW!$G$3:$G$2000=$D33)*ISERROR(SEARCH("drop",소재DB_RAW!$C$3:$C$2000))))),"")</f>
        <v/>
      </c>
      <c r="Y33" s="26">
        <f>IFERROR(TEXTJOIN(CHAR(10),TRUE,UNIQUE(FILTER(소재DB_RAW!$N$3:$N$2000&amp;") "&amp;소재DB_RAW!$O$3:$O$2000,(소재DB_RAW!$G$3:$G$2000=$D33)*ISNUMBER(SEARCH("겉감",소재DB_RAW!$M$3:$M$2000))*ISERROR(SEARCH("drop",소재DB_RAW!$C$3:$C$2000))))),"")</f>
        <v/>
      </c>
      <c r="Z33" s="26">
        <f>IFERROR(TEXTJOIN(CHAR(10),TRUE,UNIQUE(FILTER(소재DB_RAW!$N$3:$N$2000&amp;") "&amp;소재DB_RAW!$O$3:$O$2000,(소재DB_RAW!$G$3:$G$2000=$D33)*ISNUMBER(SEARCH("안감",소재DB_RAW!$M$3:$M$2000))*ISERROR(SEARCH("drop",소재DB_RAW!$C$3:$C$2000))))),"")</f>
        <v/>
      </c>
      <c r="AA33" s="22">
        <f>IFERROR(MAX(FILTER(소재DB_RAW!$AK$3:$AK$2000,(소재DB_RAW!$G$3:$G$2000=$D33)*ISERROR(SEARCH("drop",소재DB_RAW!$C$3:$C$2000))*(소재DB_RAW!$AK$3:$AK$2000&lt;&gt;""))),"")</f>
        <v/>
      </c>
      <c r="AB33" s="27" t="n">
        <v>0</v>
      </c>
      <c r="AC33" s="27" t="n">
        <v>0</v>
      </c>
      <c r="AD33" s="27" t="n">
        <v>0</v>
      </c>
      <c r="AE33" s="20" t="n"/>
      <c r="AF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G33" s="19">
        <f>IF($K33="","",IF(OR(LEFT($AF33,2)="작지",LEFT($AF33,4)="소재입고"),IF(LEFT($G33,1)="S","★ 납기위험(S코드)","◆ 지연주의"),IF($AF33="정상","✓ 정상","? 확인필요")))</f>
        <v/>
      </c>
      <c r="AH33" s="21" t="n"/>
      <c r="AI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19">
        <f>IF(COUNTIF(EDW_RAW!$A$2:$A$1500,$D34)=0,"",IF(COUNTIFS(EDW_RAW!$A$2:$A$1500,$D34,EDW_RAW!$R$2:$R$1500,"&lt;&gt;~",EDW_RAW!$R$2:$R$1500,"&lt;&gt;")=COUNTIF(EDW_RAW!$A$2:$A$1500,$D34),"O",IF(COUNTIFS(EDW_RAW!$A$2:$A$1500,$D34,EDW_RAW!$R$2:$R$1500,"&lt;&gt;~",EDW_RAW!$R$2:$R$1500,"&lt;&gt;")&gt;0,"부분","X")))</f>
        <v/>
      </c>
      <c r="R34" s="19">
        <f>IF(COUNTIF(EDW_RAW!$A$2:$A$1500,$D34)=0,"",IF(COUNTIFS(EDW_RAW!$A$2:$A$1500,$D34,EDW_RAW!$U$2:$U$1500,"&lt;&gt;~",EDW_RAW!$U$2:$U$1500,"&lt;&gt;")=COUNTIF(EDW_RAW!$A$2:$A$1500,$D34),"O",IF(COUNTIFS(EDW_RAW!$A$2:$A$1500,$D34,EDW_RAW!$U$2:$U$1500,"&lt;&gt;~",EDW_RAW!$U$2:$U$1500,"&lt;&gt;")&gt;0,"부분","X")))</f>
        <v/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",TRUE,UNIQUE(FILTER(소재DB_RAW!$K$3:$K$2000,(소재DB_RAW!$G$3:$G$2000=$D34)*ISERROR(SEARCH("drop",소재DB_RAW!$C$3:$C$2000))))),"")</f>
        <v/>
      </c>
      <c r="W34" s="20" t="inlineStr">
        <is>
          <t>베트남</t>
        </is>
      </c>
      <c r="X34" s="20">
        <f>IFERROR(TEXTJOIN(" / ",TRUE,UNIQUE(FILTER(소재DB_RAW!$N$3:$N$2000,(소재DB_RAW!$G$3:$G$2000=$D34)*ISERROR(SEARCH("drop",소재DB_RAW!$C$3:$C$2000))))),"")</f>
        <v/>
      </c>
      <c r="Y34" s="26">
        <f>IFERROR(TEXTJOIN(CHAR(10),TRUE,UNIQUE(FILTER(소재DB_RAW!$N$3:$N$2000&amp;") "&amp;소재DB_RAW!$O$3:$O$2000,(소재DB_RAW!$G$3:$G$2000=$D34)*ISNUMBER(SEARCH("겉감",소재DB_RAW!$M$3:$M$2000))*ISERROR(SEARCH("drop",소재DB_RAW!$C$3:$C$2000))))),"")</f>
        <v/>
      </c>
      <c r="Z34" s="26">
        <f>IFERROR(TEXTJOIN(CHAR(10),TRUE,UNIQUE(FILTER(소재DB_RAW!$N$3:$N$2000&amp;") "&amp;소재DB_RAW!$O$3:$O$2000,(소재DB_RAW!$G$3:$G$2000=$D34)*ISNUMBER(SEARCH("안감",소재DB_RAW!$M$3:$M$2000))*ISERROR(SEARCH("drop",소재DB_RAW!$C$3:$C$2000))))),"")</f>
        <v/>
      </c>
      <c r="AA34" s="22">
        <f>IFERROR(MAX(FILTER(소재DB_RAW!$AK$3:$AK$2000,(소재DB_RAW!$G$3:$G$2000=$D34)*ISERROR(SEARCH("drop",소재DB_RAW!$C$3:$C$2000))*(소재DB_RAW!$AK$3:$AK$2000&lt;&gt;""))),"")</f>
        <v/>
      </c>
      <c r="AB34" s="27" t="n">
        <v>0</v>
      </c>
      <c r="AC34" s="27" t="n">
        <v>39819200</v>
      </c>
      <c r="AD34" s="27" t="n">
        <v>140000000</v>
      </c>
      <c r="AE34" s="20" t="n"/>
      <c r="AF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G34" s="19">
        <f>IF($K34="","",IF(OR(LEFT($AF34,2)="작지",LEFT($AF34,4)="소재입고"),IF(LEFT($G34,1)="S","★ 납기위험(S코드)","◆ 지연주의"),IF($AF34="정상","✓ 정상","? 확인필요")))</f>
        <v/>
      </c>
      <c r="AH34" s="21" t="n"/>
      <c r="AI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19">
        <f>IF(COUNTIF(EDW_RAW!$A$2:$A$1500,$D35)=0,"",IF(COUNTIFS(EDW_RAW!$A$2:$A$1500,$D35,EDW_RAW!$R$2:$R$1500,"&lt;&gt;~",EDW_RAW!$R$2:$R$1500,"&lt;&gt;")=COUNTIF(EDW_RAW!$A$2:$A$1500,$D35),"O",IF(COUNTIFS(EDW_RAW!$A$2:$A$1500,$D35,EDW_RAW!$R$2:$R$1500,"&lt;&gt;~",EDW_RAW!$R$2:$R$1500,"&lt;&gt;")&gt;0,"부분","X")))</f>
        <v/>
      </c>
      <c r="R35" s="19">
        <f>IF(COUNTIF(EDW_RAW!$A$2:$A$1500,$D35)=0,"",IF(COUNTIFS(EDW_RAW!$A$2:$A$1500,$D35,EDW_RAW!$U$2:$U$1500,"&lt;&gt;~",EDW_RAW!$U$2:$U$1500,"&lt;&gt;")=COUNTIF(EDW_RAW!$A$2:$A$1500,$D35),"O",IF(COUNTIFS(EDW_RAW!$A$2:$A$1500,$D35,EDW_RAW!$U$2:$U$1500,"&lt;&gt;~",EDW_RAW!$U$2:$U$1500,"&lt;&gt;")&gt;0,"부분","X")))</f>
        <v/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",TRUE,UNIQUE(FILTER(소재DB_RAW!$K$3:$K$2000,(소재DB_RAW!$G$3:$G$2000=$D35)*ISERROR(SEARCH("drop",소재DB_RAW!$C$3:$C$2000))))),"")</f>
        <v/>
      </c>
      <c r="W35" s="20" t="inlineStr">
        <is>
          <t>베트남</t>
        </is>
      </c>
      <c r="X35" s="20">
        <f>IFERROR(TEXTJOIN(" / ",TRUE,UNIQUE(FILTER(소재DB_RAW!$N$3:$N$2000,(소재DB_RAW!$G$3:$G$2000=$D35)*ISERROR(SEARCH("drop",소재DB_RAW!$C$3:$C$2000))))),"")</f>
        <v/>
      </c>
      <c r="Y35" s="26">
        <f>IFERROR(TEXTJOIN(CHAR(10),TRUE,UNIQUE(FILTER(소재DB_RAW!$N$3:$N$2000&amp;") "&amp;소재DB_RAW!$O$3:$O$2000,(소재DB_RAW!$G$3:$G$2000=$D35)*ISNUMBER(SEARCH("겉감",소재DB_RAW!$M$3:$M$2000))*ISERROR(SEARCH("drop",소재DB_RAW!$C$3:$C$2000))))),"")</f>
        <v/>
      </c>
      <c r="Z35" s="26">
        <f>IFERROR(TEXTJOIN(CHAR(10),TRUE,UNIQUE(FILTER(소재DB_RAW!$N$3:$N$2000&amp;") "&amp;소재DB_RAW!$O$3:$O$2000,(소재DB_RAW!$G$3:$G$2000=$D35)*ISNUMBER(SEARCH("안감",소재DB_RAW!$M$3:$M$2000))*ISERROR(SEARCH("drop",소재DB_RAW!$C$3:$C$2000))))),"")</f>
        <v/>
      </c>
      <c r="AA35" s="22">
        <f>IFERROR(MAX(FILTER(소재DB_RAW!$AK$3:$AK$2000,(소재DB_RAW!$G$3:$G$2000=$D35)*ISERROR(SEARCH("drop",소재DB_RAW!$C$3:$C$2000))*(소재DB_RAW!$AK$3:$AK$2000&lt;&gt;""))),"")</f>
        <v/>
      </c>
      <c r="AB35" s="27" t="n">
        <v>0</v>
      </c>
      <c r="AC35" s="27" t="n">
        <v>40147059</v>
      </c>
      <c r="AD35" s="27" t="n">
        <v>136500000</v>
      </c>
      <c r="AE35" s="20" t="n"/>
      <c r="AF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G35" s="19">
        <f>IF($K35="","",IF(OR(LEFT($AF35,2)="작지",LEFT($AF35,4)="소재입고"),IF(LEFT($G35,1)="S","★ 납기위험(S코드)","◆ 지연주의"),IF($AF35="정상","✓ 정상","? 확인필요")))</f>
        <v/>
      </c>
      <c r="AH35" s="21" t="n"/>
      <c r="AI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19">
        <f>IF(COUNTIF(EDW_RAW!$A$2:$A$1500,$D36)=0,"",IF(COUNTIFS(EDW_RAW!$A$2:$A$1500,$D36,EDW_RAW!$R$2:$R$1500,"&lt;&gt;~",EDW_RAW!$R$2:$R$1500,"&lt;&gt;")=COUNTIF(EDW_RAW!$A$2:$A$1500,$D36),"O",IF(COUNTIFS(EDW_RAW!$A$2:$A$1500,$D36,EDW_RAW!$R$2:$R$1500,"&lt;&gt;~",EDW_RAW!$R$2:$R$1500,"&lt;&gt;")&gt;0,"부분","X")))</f>
        <v/>
      </c>
      <c r="R36" s="19">
        <f>IF(COUNTIF(EDW_RAW!$A$2:$A$1500,$D36)=0,"",IF(COUNTIFS(EDW_RAW!$A$2:$A$1500,$D36,EDW_RAW!$U$2:$U$1500,"&lt;&gt;~",EDW_RAW!$U$2:$U$1500,"&lt;&gt;")=COUNTIF(EDW_RAW!$A$2:$A$1500,$D36),"O",IF(COUNTIFS(EDW_RAW!$A$2:$A$1500,$D36,EDW_RAW!$U$2:$U$1500,"&lt;&gt;~",EDW_RAW!$U$2:$U$1500,"&lt;&gt;")&gt;0,"부분","X")))</f>
        <v/>
      </c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",TRUE,UNIQUE(FILTER(소재DB_RAW!$K$3:$K$2000,(소재DB_RAW!$G$3:$G$2000=$D36)*ISERROR(SEARCH("drop",소재DB_RAW!$C$3:$C$2000))))),"")</f>
        <v/>
      </c>
      <c r="W36" s="20" t="inlineStr">
        <is>
          <t>베트남</t>
        </is>
      </c>
      <c r="X36" s="20">
        <f>IFERROR(TEXTJOIN(" / ",TRUE,UNIQUE(FILTER(소재DB_RAW!$N$3:$N$2000,(소재DB_RAW!$G$3:$G$2000=$D36)*ISERROR(SEARCH("drop",소재DB_RAW!$C$3:$C$2000))))),"")</f>
        <v/>
      </c>
      <c r="Y36" s="26">
        <f>IFERROR(TEXTJOIN(CHAR(10),TRUE,UNIQUE(FILTER(소재DB_RAW!$N$3:$N$2000&amp;") "&amp;소재DB_RAW!$O$3:$O$2000,(소재DB_RAW!$G$3:$G$2000=$D36)*ISNUMBER(SEARCH("겉감",소재DB_RAW!$M$3:$M$2000))*ISERROR(SEARCH("drop",소재DB_RAW!$C$3:$C$2000))))),"")</f>
        <v/>
      </c>
      <c r="Z36" s="26">
        <f>IFERROR(TEXTJOIN(CHAR(10),TRUE,UNIQUE(FILTER(소재DB_RAW!$N$3:$N$2000&amp;") "&amp;소재DB_RAW!$O$3:$O$2000,(소재DB_RAW!$G$3:$G$2000=$D36)*ISNUMBER(SEARCH("안감",소재DB_RAW!$M$3:$M$2000))*ISERROR(SEARCH("drop",소재DB_RAW!$C$3:$C$2000))))),"")</f>
        <v/>
      </c>
      <c r="AA36" s="22">
        <f>IFERROR(MAX(FILTER(소재DB_RAW!$AK$3:$AK$2000,(소재DB_RAW!$G$3:$G$2000=$D36)*ISERROR(SEARCH("drop",소재DB_RAW!$C$3:$C$2000))*(소재DB_RAW!$AK$3:$AK$2000&lt;&gt;""))),"")</f>
        <v/>
      </c>
      <c r="AB36" s="27" t="n">
        <v>0</v>
      </c>
      <c r="AC36" s="27" t="n">
        <v>0</v>
      </c>
      <c r="AD36" s="27" t="n">
        <v>0</v>
      </c>
      <c r="AE36" s="20" t="n"/>
      <c r="AF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G36" s="19">
        <f>IF($K36="","",IF(OR(LEFT($AF36,2)="작지",LEFT($AF36,4)="소재입고"),IF(LEFT($G36,1)="S","★ 납기위험(S코드)","◆ 지연주의"),IF($AF36="정상","✓ 정상","? 확인필요")))</f>
        <v/>
      </c>
      <c r="AH36" s="21" t="n"/>
      <c r="AI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19">
        <f>IF(COUNTIF(EDW_RAW!$A$2:$A$1500,$D37)=0,"",IF(COUNTIFS(EDW_RAW!$A$2:$A$1500,$D37,EDW_RAW!$R$2:$R$1500,"&lt;&gt;~",EDW_RAW!$R$2:$R$1500,"&lt;&gt;")=COUNTIF(EDW_RAW!$A$2:$A$1500,$D37),"O",IF(COUNTIFS(EDW_RAW!$A$2:$A$1500,$D37,EDW_RAW!$R$2:$R$1500,"&lt;&gt;~",EDW_RAW!$R$2:$R$1500,"&lt;&gt;")&gt;0,"부분","X")))</f>
        <v/>
      </c>
      <c r="R37" s="19">
        <f>IF(COUNTIF(EDW_RAW!$A$2:$A$1500,$D37)=0,"",IF(COUNTIFS(EDW_RAW!$A$2:$A$1500,$D37,EDW_RAW!$U$2:$U$1500,"&lt;&gt;~",EDW_RAW!$U$2:$U$1500,"&lt;&gt;")=COUNTIF(EDW_RAW!$A$2:$A$1500,$D37),"O",IF(COUNTIFS(EDW_RAW!$A$2:$A$1500,$D37,EDW_RAW!$U$2:$U$1500,"&lt;&gt;~",EDW_RAW!$U$2:$U$1500,"&lt;&gt;")&gt;0,"부분","X")))</f>
        <v/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",TRUE,UNIQUE(FILTER(소재DB_RAW!$K$3:$K$2000,(소재DB_RAW!$G$3:$G$2000=$D37)*ISERROR(SEARCH("drop",소재DB_RAW!$C$3:$C$2000))))),"")</f>
        <v/>
      </c>
      <c r="W37" s="20" t="inlineStr">
        <is>
          <t>베트남</t>
        </is>
      </c>
      <c r="X37" s="20">
        <f>IFERROR(TEXTJOIN(" / ",TRUE,UNIQUE(FILTER(소재DB_RAW!$N$3:$N$2000,(소재DB_RAW!$G$3:$G$2000=$D37)*ISERROR(SEARCH("drop",소재DB_RAW!$C$3:$C$2000))))),"")</f>
        <v/>
      </c>
      <c r="Y37" s="26">
        <f>IFERROR(TEXTJOIN(CHAR(10),TRUE,UNIQUE(FILTER(소재DB_RAW!$N$3:$N$2000&amp;") "&amp;소재DB_RAW!$O$3:$O$2000,(소재DB_RAW!$G$3:$G$2000=$D37)*ISNUMBER(SEARCH("겉감",소재DB_RAW!$M$3:$M$2000))*ISERROR(SEARCH("drop",소재DB_RAW!$C$3:$C$2000))))),"")</f>
        <v/>
      </c>
      <c r="Z37" s="26">
        <f>IFERROR(TEXTJOIN(CHAR(10),TRUE,UNIQUE(FILTER(소재DB_RAW!$N$3:$N$2000&amp;") "&amp;소재DB_RAW!$O$3:$O$2000,(소재DB_RAW!$G$3:$G$2000=$D37)*ISNUMBER(SEARCH("안감",소재DB_RAW!$M$3:$M$2000))*ISERROR(SEARCH("drop",소재DB_RAW!$C$3:$C$2000))))),"")</f>
        <v/>
      </c>
      <c r="AA37" s="22">
        <f>IFERROR(MAX(FILTER(소재DB_RAW!$AK$3:$AK$2000,(소재DB_RAW!$G$3:$G$2000=$D37)*ISERROR(SEARCH("drop",소재DB_RAW!$C$3:$C$2000))*(소재DB_RAW!$AK$3:$AK$2000&lt;&gt;""))),"")</f>
        <v/>
      </c>
      <c r="AB37" s="27" t="n">
        <v>0</v>
      </c>
      <c r="AC37" s="27" t="n">
        <v>31419850</v>
      </c>
      <c r="AD37" s="27" t="n">
        <v>101500000</v>
      </c>
      <c r="AE37" s="20" t="n"/>
      <c r="AF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G37" s="19">
        <f>IF($K37="","",IF(OR(LEFT($AF37,2)="작지",LEFT($AF37,4)="소재입고"),IF(LEFT($G37,1)="S","★ 납기위험(S코드)","◆ 지연주의"),IF($AF37="정상","✓ 정상","? 확인필요")))</f>
        <v/>
      </c>
      <c r="AH37" s="21" t="n"/>
      <c r="AI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19">
        <f>IF(COUNTIF(EDW_RAW!$A$2:$A$1500,$D38)=0,"",IF(COUNTIFS(EDW_RAW!$A$2:$A$1500,$D38,EDW_RAW!$R$2:$R$1500,"&lt;&gt;~",EDW_RAW!$R$2:$R$1500,"&lt;&gt;")=COUNTIF(EDW_RAW!$A$2:$A$1500,$D38),"O",IF(COUNTIFS(EDW_RAW!$A$2:$A$1500,$D38,EDW_RAW!$R$2:$R$1500,"&lt;&gt;~",EDW_RAW!$R$2:$R$1500,"&lt;&gt;")&gt;0,"부분","X")))</f>
        <v/>
      </c>
      <c r="R38" s="19">
        <f>IF(COUNTIF(EDW_RAW!$A$2:$A$1500,$D38)=0,"",IF(COUNTIFS(EDW_RAW!$A$2:$A$1500,$D38,EDW_RAW!$U$2:$U$1500,"&lt;&gt;~",EDW_RAW!$U$2:$U$1500,"&lt;&gt;")=COUNTIF(EDW_RAW!$A$2:$A$1500,$D38),"O",IF(COUNTIFS(EDW_RAW!$A$2:$A$1500,$D38,EDW_RAW!$U$2:$U$1500,"&lt;&gt;~",EDW_RAW!$U$2:$U$1500,"&lt;&gt;")&gt;0,"부분","X")))</f>
        <v/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",TRUE,UNIQUE(FILTER(소재DB_RAW!$K$3:$K$2000,(소재DB_RAW!$G$3:$G$2000=$D38)*ISERROR(SEARCH("drop",소재DB_RAW!$C$3:$C$2000))))),"")</f>
        <v/>
      </c>
      <c r="W38" s="20" t="inlineStr">
        <is>
          <t>베트남</t>
        </is>
      </c>
      <c r="X38" s="20">
        <f>IFERROR(TEXTJOIN(" / ",TRUE,UNIQUE(FILTER(소재DB_RAW!$N$3:$N$2000,(소재DB_RAW!$G$3:$G$2000=$D38)*ISERROR(SEARCH("drop",소재DB_RAW!$C$3:$C$2000))))),"")</f>
        <v/>
      </c>
      <c r="Y38" s="26">
        <f>IFERROR(TEXTJOIN(CHAR(10),TRUE,UNIQUE(FILTER(소재DB_RAW!$N$3:$N$2000&amp;") "&amp;소재DB_RAW!$O$3:$O$2000,(소재DB_RAW!$G$3:$G$2000=$D38)*ISNUMBER(SEARCH("겉감",소재DB_RAW!$M$3:$M$2000))*ISERROR(SEARCH("drop",소재DB_RAW!$C$3:$C$2000))))),"")</f>
        <v/>
      </c>
      <c r="Z38" s="26">
        <f>IFERROR(TEXTJOIN(CHAR(10),TRUE,UNIQUE(FILTER(소재DB_RAW!$N$3:$N$2000&amp;") "&amp;소재DB_RAW!$O$3:$O$2000,(소재DB_RAW!$G$3:$G$2000=$D38)*ISNUMBER(SEARCH("안감",소재DB_RAW!$M$3:$M$2000))*ISERROR(SEARCH("drop",소재DB_RAW!$C$3:$C$2000))))),"")</f>
        <v/>
      </c>
      <c r="AA38" s="22">
        <f>IFERROR(MAX(FILTER(소재DB_RAW!$AK$3:$AK$2000,(소재DB_RAW!$G$3:$G$2000=$D38)*ISERROR(SEARCH("drop",소재DB_RAW!$C$3:$C$2000))*(소재DB_RAW!$AK$3:$AK$2000&lt;&gt;""))),"")</f>
        <v/>
      </c>
      <c r="AB38" s="27" t="n">
        <v>0</v>
      </c>
      <c r="AC38" s="27" t="n">
        <v>18491120</v>
      </c>
      <c r="AD38" s="27" t="n">
        <v>58460000</v>
      </c>
      <c r="AE38" s="20" t="n"/>
      <c r="AF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G38" s="19">
        <f>IF($K38="","",IF(OR(LEFT($AF38,2)="작지",LEFT($AF38,4)="소재입고"),IF(LEFT($G38,1)="S","★ 납기위험(S코드)","◆ 지연주의"),IF($AF38="정상","✓ 정상","? 확인필요")))</f>
        <v/>
      </c>
      <c r="AH38" s="21" t="n"/>
      <c r="AI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19">
        <f>IF(COUNTIF(EDW_RAW!$A$2:$A$1500,$D39)=0,"",IF(COUNTIFS(EDW_RAW!$A$2:$A$1500,$D39,EDW_RAW!$R$2:$R$1500,"&lt;&gt;~",EDW_RAW!$R$2:$R$1500,"&lt;&gt;")=COUNTIF(EDW_RAW!$A$2:$A$1500,$D39),"O",IF(COUNTIFS(EDW_RAW!$A$2:$A$1500,$D39,EDW_RAW!$R$2:$R$1500,"&lt;&gt;~",EDW_RAW!$R$2:$R$1500,"&lt;&gt;")&gt;0,"부분","X")))</f>
        <v/>
      </c>
      <c r="R39" s="19">
        <f>IF(COUNTIF(EDW_RAW!$A$2:$A$1500,$D39)=0,"",IF(COUNTIFS(EDW_RAW!$A$2:$A$1500,$D39,EDW_RAW!$U$2:$U$1500,"&lt;&gt;~",EDW_RAW!$U$2:$U$1500,"&lt;&gt;")=COUNTIF(EDW_RAW!$A$2:$A$1500,$D39),"O",IF(COUNTIFS(EDW_RAW!$A$2:$A$1500,$D39,EDW_RAW!$U$2:$U$1500,"&lt;&gt;~",EDW_RAW!$U$2:$U$1500,"&lt;&gt;")&gt;0,"부분","X")))</f>
        <v/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",TRUE,UNIQUE(FILTER(소재DB_RAW!$K$3:$K$2000,(소재DB_RAW!$G$3:$G$2000=$D39)*ISERROR(SEARCH("drop",소재DB_RAW!$C$3:$C$2000))))),"")</f>
        <v/>
      </c>
      <c r="W39" s="20" t="inlineStr">
        <is>
          <t>중국</t>
        </is>
      </c>
      <c r="X39" s="20">
        <f>IFERROR(TEXTJOIN(" / ",TRUE,UNIQUE(FILTER(소재DB_RAW!$N$3:$N$2000,(소재DB_RAW!$G$3:$G$2000=$D39)*ISERROR(SEARCH("drop",소재DB_RAW!$C$3:$C$2000))))),"")</f>
        <v/>
      </c>
      <c r="Y39" s="26">
        <f>IFERROR(TEXTJOIN(CHAR(10),TRUE,UNIQUE(FILTER(소재DB_RAW!$N$3:$N$2000&amp;") "&amp;소재DB_RAW!$O$3:$O$2000,(소재DB_RAW!$G$3:$G$2000=$D39)*ISNUMBER(SEARCH("겉감",소재DB_RAW!$M$3:$M$2000))*ISERROR(SEARCH("drop",소재DB_RAW!$C$3:$C$2000))))),"")</f>
        <v/>
      </c>
      <c r="Z39" s="26">
        <f>IFERROR(TEXTJOIN(CHAR(10),TRUE,UNIQUE(FILTER(소재DB_RAW!$N$3:$N$2000&amp;") "&amp;소재DB_RAW!$O$3:$O$2000,(소재DB_RAW!$G$3:$G$2000=$D39)*ISNUMBER(SEARCH("안감",소재DB_RAW!$M$3:$M$2000))*ISERROR(SEARCH("drop",소재DB_RAW!$C$3:$C$2000))))),"")</f>
        <v/>
      </c>
      <c r="AA39" s="22">
        <f>IFERROR(MAX(FILTER(소재DB_RAW!$AK$3:$AK$2000,(소재DB_RAW!$G$3:$G$2000=$D39)*ISERROR(SEARCH("drop",소재DB_RAW!$C$3:$C$2000))*(소재DB_RAW!$AK$3:$AK$2000&lt;&gt;""))),"")</f>
        <v/>
      </c>
      <c r="AB39" s="27" t="n">
        <v>0</v>
      </c>
      <c r="AC39" s="27" t="n">
        <v>11507400</v>
      </c>
      <c r="AD39" s="27" t="n">
        <v>48600000</v>
      </c>
      <c r="AE39" s="20" t="n"/>
      <c r="AF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G39" s="19">
        <f>IF($K39="","",IF(OR(LEFT($AF39,2)="작지",LEFT($AF39,4)="소재입고"),IF(LEFT($G39,1)="S","★ 납기위험(S코드)","◆ 지연주의"),IF($AF39="정상","✓ 정상","? 확인필요")))</f>
        <v/>
      </c>
      <c r="AH39" s="21" t="n"/>
      <c r="AI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19">
        <f>IF(COUNTIF(EDW_RAW!$A$2:$A$1500,$D40)=0,"",IF(COUNTIFS(EDW_RAW!$A$2:$A$1500,$D40,EDW_RAW!$R$2:$R$1500,"&lt;&gt;~",EDW_RAW!$R$2:$R$1500,"&lt;&gt;")=COUNTIF(EDW_RAW!$A$2:$A$1500,$D40),"O",IF(COUNTIFS(EDW_RAW!$A$2:$A$1500,$D40,EDW_RAW!$R$2:$R$1500,"&lt;&gt;~",EDW_RAW!$R$2:$R$1500,"&lt;&gt;")&gt;0,"부분","X")))</f>
        <v/>
      </c>
      <c r="R40" s="19">
        <f>IF(COUNTIF(EDW_RAW!$A$2:$A$1500,$D40)=0,"",IF(COUNTIFS(EDW_RAW!$A$2:$A$1500,$D40,EDW_RAW!$U$2:$U$1500,"&lt;&gt;~",EDW_RAW!$U$2:$U$1500,"&lt;&gt;")=COUNTIF(EDW_RAW!$A$2:$A$1500,$D40),"O",IF(COUNTIFS(EDW_RAW!$A$2:$A$1500,$D40,EDW_RAW!$U$2:$U$1500,"&lt;&gt;~",EDW_RAW!$U$2:$U$1500,"&lt;&gt;")&gt;0,"부분","X")))</f>
        <v/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",TRUE,UNIQUE(FILTER(소재DB_RAW!$K$3:$K$2000,(소재DB_RAW!$G$3:$G$2000=$D40)*ISERROR(SEARCH("drop",소재DB_RAW!$C$3:$C$2000))))),"")</f>
        <v/>
      </c>
      <c r="W40" s="20" t="inlineStr"/>
      <c r="X40" s="20">
        <f>IFERROR(TEXTJOIN(" / ",TRUE,UNIQUE(FILTER(소재DB_RAW!$N$3:$N$2000,(소재DB_RAW!$G$3:$G$2000=$D40)*ISERROR(SEARCH("drop",소재DB_RAW!$C$3:$C$2000))))),"")</f>
        <v/>
      </c>
      <c r="Y40" s="26">
        <f>IFERROR(TEXTJOIN(CHAR(10),TRUE,UNIQUE(FILTER(소재DB_RAW!$N$3:$N$2000&amp;") "&amp;소재DB_RAW!$O$3:$O$2000,(소재DB_RAW!$G$3:$G$2000=$D40)*ISNUMBER(SEARCH("겉감",소재DB_RAW!$M$3:$M$2000))*ISERROR(SEARCH("drop",소재DB_RAW!$C$3:$C$2000))))),"")</f>
        <v/>
      </c>
      <c r="Z40" s="26">
        <f>IFERROR(TEXTJOIN(CHAR(10),TRUE,UNIQUE(FILTER(소재DB_RAW!$N$3:$N$2000&amp;") "&amp;소재DB_RAW!$O$3:$O$2000,(소재DB_RAW!$G$3:$G$2000=$D40)*ISNUMBER(SEARCH("안감",소재DB_RAW!$M$3:$M$2000))*ISERROR(SEARCH("drop",소재DB_RAW!$C$3:$C$2000))))),"")</f>
        <v/>
      </c>
      <c r="AA40" s="22">
        <f>IFERROR(MAX(FILTER(소재DB_RAW!$AK$3:$AK$2000,(소재DB_RAW!$G$3:$G$2000=$D40)*ISERROR(SEARCH("drop",소재DB_RAW!$C$3:$C$2000))*(소재DB_RAW!$AK$3:$AK$2000&lt;&gt;""))),"")</f>
        <v/>
      </c>
      <c r="AB40" s="27" t="n">
        <v>2000</v>
      </c>
      <c r="AC40" s="27" t="n">
        <v>114028000</v>
      </c>
      <c r="AD40" s="27" t="n">
        <v>540000000</v>
      </c>
      <c r="AE40" s="20" t="inlineStr">
        <is>
          <t>1월3주</t>
        </is>
      </c>
      <c r="AF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G40" s="19">
        <f>IF($K40="","",IF(OR(LEFT($AF40,2)="작지",LEFT($AF40,4)="소재입고"),IF(LEFT($G40,1)="S","★ 납기위험(S코드)","◆ 지연주의"),IF($AF40="정상","✓ 정상","? 확인필요")))</f>
        <v/>
      </c>
      <c r="AH40" s="21" t="n"/>
      <c r="AI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19">
        <f>IF(COUNTIF(EDW_RAW!$A$2:$A$1500,$D41)=0,"",IF(COUNTIFS(EDW_RAW!$A$2:$A$1500,$D41,EDW_RAW!$R$2:$R$1500,"&lt;&gt;~",EDW_RAW!$R$2:$R$1500,"&lt;&gt;")=COUNTIF(EDW_RAW!$A$2:$A$1500,$D41),"O",IF(COUNTIFS(EDW_RAW!$A$2:$A$1500,$D41,EDW_RAW!$R$2:$R$1500,"&lt;&gt;~",EDW_RAW!$R$2:$R$1500,"&lt;&gt;")&gt;0,"부분","X")))</f>
        <v/>
      </c>
      <c r="R41" s="19">
        <f>IF(COUNTIF(EDW_RAW!$A$2:$A$1500,$D41)=0,"",IF(COUNTIFS(EDW_RAW!$A$2:$A$1500,$D41,EDW_RAW!$U$2:$U$1500,"&lt;&gt;~",EDW_RAW!$U$2:$U$1500,"&lt;&gt;")=COUNTIF(EDW_RAW!$A$2:$A$1500,$D41),"O",IF(COUNTIFS(EDW_RAW!$A$2:$A$1500,$D41,EDW_RAW!$U$2:$U$1500,"&lt;&gt;~",EDW_RAW!$U$2:$U$1500,"&lt;&gt;")&gt;0,"부분","X")))</f>
        <v/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",TRUE,UNIQUE(FILTER(소재DB_RAW!$K$3:$K$2000,(소재DB_RAW!$G$3:$G$2000=$D41)*ISERROR(SEARCH("drop",소재DB_RAW!$C$3:$C$2000))))),"")</f>
        <v/>
      </c>
      <c r="W41" s="20" t="inlineStr">
        <is>
          <t>베트남</t>
        </is>
      </c>
      <c r="X41" s="20">
        <f>IFERROR(TEXTJOIN(" / ",TRUE,UNIQUE(FILTER(소재DB_RAW!$N$3:$N$2000,(소재DB_RAW!$G$3:$G$2000=$D41)*ISERROR(SEARCH("drop",소재DB_RAW!$C$3:$C$2000))))),"")</f>
        <v/>
      </c>
      <c r="Y41" s="26">
        <f>IFERROR(TEXTJOIN(CHAR(10),TRUE,UNIQUE(FILTER(소재DB_RAW!$N$3:$N$2000&amp;") "&amp;소재DB_RAW!$O$3:$O$2000,(소재DB_RAW!$G$3:$G$2000=$D41)*ISNUMBER(SEARCH("겉감",소재DB_RAW!$M$3:$M$2000))*ISERROR(SEARCH("drop",소재DB_RAW!$C$3:$C$2000))))),"")</f>
        <v/>
      </c>
      <c r="Z41" s="26">
        <f>IFERROR(TEXTJOIN(CHAR(10),TRUE,UNIQUE(FILTER(소재DB_RAW!$N$3:$N$2000&amp;") "&amp;소재DB_RAW!$O$3:$O$2000,(소재DB_RAW!$G$3:$G$2000=$D41)*ISNUMBER(SEARCH("안감",소재DB_RAW!$M$3:$M$2000))*ISERROR(SEARCH("drop",소재DB_RAW!$C$3:$C$2000))))),"")</f>
        <v/>
      </c>
      <c r="AA41" s="22">
        <f>IFERROR(MAX(FILTER(소재DB_RAW!$AK$3:$AK$2000,(소재DB_RAW!$G$3:$G$2000=$D41)*ISERROR(SEARCH("drop",소재DB_RAW!$C$3:$C$2000))*(소재DB_RAW!$AK$3:$AK$2000&lt;&gt;""))),"")</f>
        <v/>
      </c>
      <c r="AB41" s="27" t="n">
        <v>4000</v>
      </c>
      <c r="AC41" s="27" t="n">
        <v>113760000</v>
      </c>
      <c r="AD41" s="27" t="n">
        <v>712000000</v>
      </c>
      <c r="AE41" s="20" t="inlineStr">
        <is>
          <t>1월3주</t>
        </is>
      </c>
      <c r="AF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G41" s="19">
        <f>IF($K41="","",IF(OR(LEFT($AF41,2)="작지",LEFT($AF41,4)="소재입고"),IF(LEFT($G41,1)="S","★ 납기위험(S코드)","◆ 지연주의"),IF($AF41="정상","✓ 정상","? 확인필요")))</f>
        <v/>
      </c>
      <c r="AH41" s="21" t="n"/>
      <c r="AI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19">
        <f>IF(COUNTIF(EDW_RAW!$A$2:$A$1500,$D42)=0,"",IF(COUNTIFS(EDW_RAW!$A$2:$A$1500,$D42,EDW_RAW!$R$2:$R$1500,"&lt;&gt;~",EDW_RAW!$R$2:$R$1500,"&lt;&gt;")=COUNTIF(EDW_RAW!$A$2:$A$1500,$D42),"O",IF(COUNTIFS(EDW_RAW!$A$2:$A$1500,$D42,EDW_RAW!$R$2:$R$1500,"&lt;&gt;~",EDW_RAW!$R$2:$R$1500,"&lt;&gt;")&gt;0,"부분","X")))</f>
        <v/>
      </c>
      <c r="R42" s="19">
        <f>IF(COUNTIF(EDW_RAW!$A$2:$A$1500,$D42)=0,"",IF(COUNTIFS(EDW_RAW!$A$2:$A$1500,$D42,EDW_RAW!$U$2:$U$1500,"&lt;&gt;~",EDW_RAW!$U$2:$U$1500,"&lt;&gt;")=COUNTIF(EDW_RAW!$A$2:$A$1500,$D42),"O",IF(COUNTIFS(EDW_RAW!$A$2:$A$1500,$D42,EDW_RAW!$U$2:$U$1500,"&lt;&gt;~",EDW_RAW!$U$2:$U$1500,"&lt;&gt;")&gt;0,"부분","X")))</f>
        <v/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",TRUE,UNIQUE(FILTER(소재DB_RAW!$K$3:$K$2000,(소재DB_RAW!$G$3:$G$2000=$D42)*ISERROR(SEARCH("drop",소재DB_RAW!$C$3:$C$2000))))),"")</f>
        <v/>
      </c>
      <c r="W42" s="20" t="inlineStr">
        <is>
          <t>베트남</t>
        </is>
      </c>
      <c r="X42" s="20">
        <f>IFERROR(TEXTJOIN(" / ",TRUE,UNIQUE(FILTER(소재DB_RAW!$N$3:$N$2000,(소재DB_RAW!$G$3:$G$2000=$D42)*ISERROR(SEARCH("drop",소재DB_RAW!$C$3:$C$2000))))),"")</f>
        <v/>
      </c>
      <c r="Y42" s="26">
        <f>IFERROR(TEXTJOIN(CHAR(10),TRUE,UNIQUE(FILTER(소재DB_RAW!$N$3:$N$2000&amp;") "&amp;소재DB_RAW!$O$3:$O$2000,(소재DB_RAW!$G$3:$G$2000=$D42)*ISNUMBER(SEARCH("겉감",소재DB_RAW!$M$3:$M$2000))*ISERROR(SEARCH("drop",소재DB_RAW!$C$3:$C$2000))))),"")</f>
        <v/>
      </c>
      <c r="Z42" s="26">
        <f>IFERROR(TEXTJOIN(CHAR(10),TRUE,UNIQUE(FILTER(소재DB_RAW!$N$3:$N$2000&amp;") "&amp;소재DB_RAW!$O$3:$O$2000,(소재DB_RAW!$G$3:$G$2000=$D42)*ISNUMBER(SEARCH("안감",소재DB_RAW!$M$3:$M$2000))*ISERROR(SEARCH("drop",소재DB_RAW!$C$3:$C$2000))))),"")</f>
        <v/>
      </c>
      <c r="AA42" s="22">
        <f>IFERROR(MAX(FILTER(소재DB_RAW!$AK$3:$AK$2000,(소재DB_RAW!$G$3:$G$2000=$D42)*ISERROR(SEARCH("drop",소재DB_RAW!$C$3:$C$2000))*(소재DB_RAW!$AK$3:$AK$2000&lt;&gt;""))),"")</f>
        <v/>
      </c>
      <c r="AB42" s="27" t="n">
        <v>2500</v>
      </c>
      <c r="AC42" s="27" t="n">
        <v>47250000</v>
      </c>
      <c r="AD42" s="27" t="n">
        <v>370000000</v>
      </c>
      <c r="AE42" s="20" t="inlineStr">
        <is>
          <t>1월3주</t>
        </is>
      </c>
      <c r="AF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G42" s="19">
        <f>IF($K42="","",IF(OR(LEFT($AF42,2)="작지",LEFT($AF42,4)="소재입고"),IF(LEFT($G42,1)="S","★ 납기위험(S코드)","◆ 지연주의"),IF($AF42="정상","✓ 정상","? 확인필요")))</f>
        <v/>
      </c>
      <c r="AH42" s="21" t="n"/>
      <c r="AI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19">
        <f>IF(COUNTIF(EDW_RAW!$A$2:$A$1500,$D43)=0,"",IF(COUNTIFS(EDW_RAW!$A$2:$A$1500,$D43,EDW_RAW!$R$2:$R$1500,"&lt;&gt;~",EDW_RAW!$R$2:$R$1500,"&lt;&gt;")=COUNTIF(EDW_RAW!$A$2:$A$1500,$D43),"O",IF(COUNTIFS(EDW_RAW!$A$2:$A$1500,$D43,EDW_RAW!$R$2:$R$1500,"&lt;&gt;~",EDW_RAW!$R$2:$R$1500,"&lt;&gt;")&gt;0,"부분","X")))</f>
        <v/>
      </c>
      <c r="R43" s="19">
        <f>IF(COUNTIF(EDW_RAW!$A$2:$A$1500,$D43)=0,"",IF(COUNTIFS(EDW_RAW!$A$2:$A$1500,$D43,EDW_RAW!$U$2:$U$1500,"&lt;&gt;~",EDW_RAW!$U$2:$U$1500,"&lt;&gt;")=COUNTIF(EDW_RAW!$A$2:$A$1500,$D43),"O",IF(COUNTIFS(EDW_RAW!$A$2:$A$1500,$D43,EDW_RAW!$U$2:$U$1500,"&lt;&gt;~",EDW_RAW!$U$2:$U$1500,"&lt;&gt;")&gt;0,"부분","X")))</f>
        <v/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",TRUE,UNIQUE(FILTER(소재DB_RAW!$K$3:$K$2000,(소재DB_RAW!$G$3:$G$2000=$D43)*ISERROR(SEARCH("drop",소재DB_RAW!$C$3:$C$2000))))),"")</f>
        <v/>
      </c>
      <c r="W43" s="20" t="inlineStr">
        <is>
          <t>베트남</t>
        </is>
      </c>
      <c r="X43" s="20">
        <f>IFERROR(TEXTJOIN(" / ",TRUE,UNIQUE(FILTER(소재DB_RAW!$N$3:$N$2000,(소재DB_RAW!$G$3:$G$2000=$D43)*ISERROR(SEARCH("drop",소재DB_RAW!$C$3:$C$2000))))),"")</f>
        <v/>
      </c>
      <c r="Y43" s="26">
        <f>IFERROR(TEXTJOIN(CHAR(10),TRUE,UNIQUE(FILTER(소재DB_RAW!$N$3:$N$2000&amp;") "&amp;소재DB_RAW!$O$3:$O$2000,(소재DB_RAW!$G$3:$G$2000=$D43)*ISNUMBER(SEARCH("겉감",소재DB_RAW!$M$3:$M$2000))*ISERROR(SEARCH("drop",소재DB_RAW!$C$3:$C$2000))))),"")</f>
        <v/>
      </c>
      <c r="Z43" s="26">
        <f>IFERROR(TEXTJOIN(CHAR(10),TRUE,UNIQUE(FILTER(소재DB_RAW!$N$3:$N$2000&amp;") "&amp;소재DB_RAW!$O$3:$O$2000,(소재DB_RAW!$G$3:$G$2000=$D43)*ISNUMBER(SEARCH("안감",소재DB_RAW!$M$3:$M$2000))*ISERROR(SEARCH("drop",소재DB_RAW!$C$3:$C$2000))))),"")</f>
        <v/>
      </c>
      <c r="AA43" s="22">
        <f>IFERROR(MAX(FILTER(소재DB_RAW!$AK$3:$AK$2000,(소재DB_RAW!$G$3:$G$2000=$D43)*ISERROR(SEARCH("drop",소재DB_RAW!$C$3:$C$2000))*(소재DB_RAW!$AK$3:$AK$2000&lt;&gt;""))),"")</f>
        <v/>
      </c>
      <c r="AB43" s="27" t="n">
        <v>1400</v>
      </c>
      <c r="AC43" s="27" t="n">
        <v>24915800</v>
      </c>
      <c r="AD43" s="27" t="n">
        <v>207200000</v>
      </c>
      <c r="AE43" s="20" t="inlineStr">
        <is>
          <t>1월3주</t>
        </is>
      </c>
      <c r="AF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G43" s="19">
        <f>IF($K43="","",IF(OR(LEFT($AF43,2)="작지",LEFT($AF43,4)="소재입고"),IF(LEFT($G43,1)="S","★ 납기위험(S코드)","◆ 지연주의"),IF($AF43="정상","✓ 정상","? 확인필요")))</f>
        <v/>
      </c>
      <c r="AH43" s="21" t="n"/>
      <c r="AI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19">
        <f>IF(COUNTIF(EDW_RAW!$A$2:$A$1500,$D44)=0,"",IF(COUNTIFS(EDW_RAW!$A$2:$A$1500,$D44,EDW_RAW!$R$2:$R$1500,"&lt;&gt;~",EDW_RAW!$R$2:$R$1500,"&lt;&gt;")=COUNTIF(EDW_RAW!$A$2:$A$1500,$D44),"O",IF(COUNTIFS(EDW_RAW!$A$2:$A$1500,$D44,EDW_RAW!$R$2:$R$1500,"&lt;&gt;~",EDW_RAW!$R$2:$R$1500,"&lt;&gt;")&gt;0,"부분","X")))</f>
        <v/>
      </c>
      <c r="R44" s="19">
        <f>IF(COUNTIF(EDW_RAW!$A$2:$A$1500,$D44)=0,"",IF(COUNTIFS(EDW_RAW!$A$2:$A$1500,$D44,EDW_RAW!$U$2:$U$1500,"&lt;&gt;~",EDW_RAW!$U$2:$U$1500,"&lt;&gt;")=COUNTIF(EDW_RAW!$A$2:$A$1500,$D44),"O",IF(COUNTIFS(EDW_RAW!$A$2:$A$1500,$D44,EDW_RAW!$U$2:$U$1500,"&lt;&gt;~",EDW_RAW!$U$2:$U$1500,"&lt;&gt;")&gt;0,"부분","X")))</f>
        <v/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",TRUE,UNIQUE(FILTER(소재DB_RAW!$K$3:$K$2000,(소재DB_RAW!$G$3:$G$2000=$D44)*ISERROR(SEARCH("drop",소재DB_RAW!$C$3:$C$2000))))),"")</f>
        <v/>
      </c>
      <c r="W44" s="20" t="inlineStr"/>
      <c r="X44" s="20">
        <f>IFERROR(TEXTJOIN(" / ",TRUE,UNIQUE(FILTER(소재DB_RAW!$N$3:$N$2000,(소재DB_RAW!$G$3:$G$2000=$D44)*ISERROR(SEARCH("drop",소재DB_RAW!$C$3:$C$2000))))),"")</f>
        <v/>
      </c>
      <c r="Y44" s="26">
        <f>IFERROR(TEXTJOIN(CHAR(10),TRUE,UNIQUE(FILTER(소재DB_RAW!$N$3:$N$2000&amp;") "&amp;소재DB_RAW!$O$3:$O$2000,(소재DB_RAW!$G$3:$G$2000=$D44)*ISNUMBER(SEARCH("겉감",소재DB_RAW!$M$3:$M$2000))*ISERROR(SEARCH("drop",소재DB_RAW!$C$3:$C$2000))))),"")</f>
        <v/>
      </c>
      <c r="Z44" s="26">
        <f>IFERROR(TEXTJOIN(CHAR(10),TRUE,UNIQUE(FILTER(소재DB_RAW!$N$3:$N$2000&amp;") "&amp;소재DB_RAW!$O$3:$O$2000,(소재DB_RAW!$G$3:$G$2000=$D44)*ISNUMBER(SEARCH("안감",소재DB_RAW!$M$3:$M$2000))*ISERROR(SEARCH("drop",소재DB_RAW!$C$3:$C$2000))))),"")</f>
        <v/>
      </c>
      <c r="AA44" s="22">
        <f>IFERROR(MAX(FILTER(소재DB_RAW!$AK$3:$AK$2000,(소재DB_RAW!$G$3:$G$2000=$D44)*ISERROR(SEARCH("drop",소재DB_RAW!$C$3:$C$2000))*(소재DB_RAW!$AK$3:$AK$2000&lt;&gt;""))),"")</f>
        <v/>
      </c>
      <c r="AB44" s="27" t="n">
        <v>1000</v>
      </c>
      <c r="AC44" s="27" t="n">
        <v>38169000</v>
      </c>
      <c r="AD44" s="27" t="n">
        <v>198000000</v>
      </c>
      <c r="AE44" s="20" t="inlineStr">
        <is>
          <t>1월3주</t>
        </is>
      </c>
      <c r="AF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G44" s="19">
        <f>IF($K44="","",IF(OR(LEFT($AF44,2)="작지",LEFT($AF44,4)="소재입고"),IF(LEFT($G44,1)="S","★ 납기위험(S코드)","◆ 지연주의"),IF($AF44="정상","✓ 정상","? 확인필요")))</f>
        <v/>
      </c>
      <c r="AH44" s="21" t="n"/>
      <c r="AI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19">
        <f>IF(COUNTIF(EDW_RAW!$A$2:$A$1500,$D45)=0,"",IF(COUNTIFS(EDW_RAW!$A$2:$A$1500,$D45,EDW_RAW!$R$2:$R$1500,"&lt;&gt;~",EDW_RAW!$R$2:$R$1500,"&lt;&gt;")=COUNTIF(EDW_RAW!$A$2:$A$1500,$D45),"O",IF(COUNTIFS(EDW_RAW!$A$2:$A$1500,$D45,EDW_RAW!$R$2:$R$1500,"&lt;&gt;~",EDW_RAW!$R$2:$R$1500,"&lt;&gt;")&gt;0,"부분","X")))</f>
        <v/>
      </c>
      <c r="R45" s="19">
        <f>IF(COUNTIF(EDW_RAW!$A$2:$A$1500,$D45)=0,"",IF(COUNTIFS(EDW_RAW!$A$2:$A$1500,$D45,EDW_RAW!$U$2:$U$1500,"&lt;&gt;~",EDW_RAW!$U$2:$U$1500,"&lt;&gt;")=COUNTIF(EDW_RAW!$A$2:$A$1500,$D45),"O",IF(COUNTIFS(EDW_RAW!$A$2:$A$1500,$D45,EDW_RAW!$U$2:$U$1500,"&lt;&gt;~",EDW_RAW!$U$2:$U$1500,"&lt;&gt;")&gt;0,"부분","X")))</f>
        <v/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",TRUE,UNIQUE(FILTER(소재DB_RAW!$K$3:$K$2000,(소재DB_RAW!$G$3:$G$2000=$D45)*ISERROR(SEARCH("drop",소재DB_RAW!$C$3:$C$2000))))),"")</f>
        <v/>
      </c>
      <c r="W45" s="20" t="inlineStr">
        <is>
          <t>인도네시아</t>
        </is>
      </c>
      <c r="X45" s="20">
        <f>IFERROR(TEXTJOIN(" / ",TRUE,UNIQUE(FILTER(소재DB_RAW!$N$3:$N$2000,(소재DB_RAW!$G$3:$G$2000=$D45)*ISERROR(SEARCH("drop",소재DB_RAW!$C$3:$C$2000))))),"")</f>
        <v/>
      </c>
      <c r="Y45" s="26">
        <f>IFERROR(TEXTJOIN(CHAR(10),TRUE,UNIQUE(FILTER(소재DB_RAW!$N$3:$N$2000&amp;") "&amp;소재DB_RAW!$O$3:$O$2000,(소재DB_RAW!$G$3:$G$2000=$D45)*ISNUMBER(SEARCH("겉감",소재DB_RAW!$M$3:$M$2000))*ISERROR(SEARCH("drop",소재DB_RAW!$C$3:$C$2000))))),"")</f>
        <v/>
      </c>
      <c r="Z45" s="26">
        <f>IFERROR(TEXTJOIN(CHAR(10),TRUE,UNIQUE(FILTER(소재DB_RAW!$N$3:$N$2000&amp;") "&amp;소재DB_RAW!$O$3:$O$2000,(소재DB_RAW!$G$3:$G$2000=$D45)*ISNUMBER(SEARCH("안감",소재DB_RAW!$M$3:$M$2000))*ISERROR(SEARCH("drop",소재DB_RAW!$C$3:$C$2000))))),"")</f>
        <v/>
      </c>
      <c r="AA45" s="22">
        <f>IFERROR(MAX(FILTER(소재DB_RAW!$AK$3:$AK$2000,(소재DB_RAW!$G$3:$G$2000=$D45)*ISERROR(SEARCH("drop",소재DB_RAW!$C$3:$C$2000))*(소재DB_RAW!$AK$3:$AK$2000&lt;&gt;""))),"")</f>
        <v/>
      </c>
      <c r="AB45" s="27" t="n">
        <v>2500</v>
      </c>
      <c r="AC45" s="27" t="n">
        <v>151025000</v>
      </c>
      <c r="AD45" s="27" t="n">
        <v>725000000</v>
      </c>
      <c r="AE45" s="20" t="n"/>
      <c r="AF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G45" s="19">
        <f>IF($K45="","",IF(OR(LEFT($AF45,2)="작지",LEFT($AF45,4)="소재입고"),IF(LEFT($G45,1)="S","★ 납기위험(S코드)","◆ 지연주의"),IF($AF45="정상","✓ 정상","? 확인필요")))</f>
        <v/>
      </c>
      <c r="AH45" s="21" t="n"/>
      <c r="AI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19">
        <f>IF(COUNTIF(EDW_RAW!$A$2:$A$1500,$D46)=0,"",IF(COUNTIFS(EDW_RAW!$A$2:$A$1500,$D46,EDW_RAW!$R$2:$R$1500,"&lt;&gt;~",EDW_RAW!$R$2:$R$1500,"&lt;&gt;")=COUNTIF(EDW_RAW!$A$2:$A$1500,$D46),"O",IF(COUNTIFS(EDW_RAW!$A$2:$A$1500,$D46,EDW_RAW!$R$2:$R$1500,"&lt;&gt;~",EDW_RAW!$R$2:$R$1500,"&lt;&gt;")&gt;0,"부분","X")))</f>
        <v/>
      </c>
      <c r="R46" s="19">
        <f>IF(COUNTIF(EDW_RAW!$A$2:$A$1500,$D46)=0,"",IF(COUNTIFS(EDW_RAW!$A$2:$A$1500,$D46,EDW_RAW!$U$2:$U$1500,"&lt;&gt;~",EDW_RAW!$U$2:$U$1500,"&lt;&gt;")=COUNTIF(EDW_RAW!$A$2:$A$1500,$D46),"O",IF(COUNTIFS(EDW_RAW!$A$2:$A$1500,$D46,EDW_RAW!$U$2:$U$1500,"&lt;&gt;~",EDW_RAW!$U$2:$U$1500,"&lt;&gt;")&gt;0,"부분","X")))</f>
        <v/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",TRUE,UNIQUE(FILTER(소재DB_RAW!$K$3:$K$2000,(소재DB_RAW!$G$3:$G$2000=$D46)*ISERROR(SEARCH("drop",소재DB_RAW!$C$3:$C$2000))))),"")</f>
        <v/>
      </c>
      <c r="W46" s="20" t="inlineStr">
        <is>
          <t>베트남</t>
        </is>
      </c>
      <c r="X46" s="20">
        <f>IFERROR(TEXTJOIN(" / ",TRUE,UNIQUE(FILTER(소재DB_RAW!$N$3:$N$2000,(소재DB_RAW!$G$3:$G$2000=$D46)*ISERROR(SEARCH("drop",소재DB_RAW!$C$3:$C$2000))))),"")</f>
        <v/>
      </c>
      <c r="Y46" s="26">
        <f>IFERROR(TEXTJOIN(CHAR(10),TRUE,UNIQUE(FILTER(소재DB_RAW!$N$3:$N$2000&amp;") "&amp;소재DB_RAW!$O$3:$O$2000,(소재DB_RAW!$G$3:$G$2000=$D46)*ISNUMBER(SEARCH("겉감",소재DB_RAW!$M$3:$M$2000))*ISERROR(SEARCH("drop",소재DB_RAW!$C$3:$C$2000))))),"")</f>
        <v/>
      </c>
      <c r="Z46" s="26">
        <f>IFERROR(TEXTJOIN(CHAR(10),TRUE,UNIQUE(FILTER(소재DB_RAW!$N$3:$N$2000&amp;") "&amp;소재DB_RAW!$O$3:$O$2000,(소재DB_RAW!$G$3:$G$2000=$D46)*ISNUMBER(SEARCH("안감",소재DB_RAW!$M$3:$M$2000))*ISERROR(SEARCH("drop",소재DB_RAW!$C$3:$C$2000))))),"")</f>
        <v/>
      </c>
      <c r="AA46" s="22">
        <f>IFERROR(MAX(FILTER(소재DB_RAW!$AK$3:$AK$2000,(소재DB_RAW!$G$3:$G$2000=$D46)*ISERROR(SEARCH("drop",소재DB_RAW!$C$3:$C$2000))*(소재DB_RAW!$AK$3:$AK$2000&lt;&gt;""))),"")</f>
        <v/>
      </c>
      <c r="AB46" s="27" t="n">
        <v>5500</v>
      </c>
      <c r="AC46" s="27" t="n">
        <v>155397000</v>
      </c>
      <c r="AD46" s="27" t="n">
        <v>979000000</v>
      </c>
      <c r="AE46" s="20" t="n"/>
      <c r="AF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G46" s="19">
        <f>IF($K46="","",IF(OR(LEFT($AF46,2)="작지",LEFT($AF46,4)="소재입고"),IF(LEFT($G46,1)="S","★ 납기위험(S코드)","◆ 지연주의"),IF($AF46="정상","✓ 정상","? 확인필요")))</f>
        <v/>
      </c>
      <c r="AH46" s="21" t="n"/>
      <c r="AI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19">
        <f>IF(COUNTIF(EDW_RAW!$A$2:$A$1500,$D47)=0,"",IF(COUNTIFS(EDW_RAW!$A$2:$A$1500,$D47,EDW_RAW!$R$2:$R$1500,"&lt;&gt;~",EDW_RAW!$R$2:$R$1500,"&lt;&gt;")=COUNTIF(EDW_RAW!$A$2:$A$1500,$D47),"O",IF(COUNTIFS(EDW_RAW!$A$2:$A$1500,$D47,EDW_RAW!$R$2:$R$1500,"&lt;&gt;~",EDW_RAW!$R$2:$R$1500,"&lt;&gt;")&gt;0,"부분","X")))</f>
        <v/>
      </c>
      <c r="R47" s="19">
        <f>IF(COUNTIF(EDW_RAW!$A$2:$A$1500,$D47)=0,"",IF(COUNTIFS(EDW_RAW!$A$2:$A$1500,$D47,EDW_RAW!$U$2:$U$1500,"&lt;&gt;~",EDW_RAW!$U$2:$U$1500,"&lt;&gt;")=COUNTIF(EDW_RAW!$A$2:$A$1500,$D47),"O",IF(COUNTIFS(EDW_RAW!$A$2:$A$1500,$D47,EDW_RAW!$U$2:$U$1500,"&lt;&gt;~",EDW_RAW!$U$2:$U$1500,"&lt;&gt;")&gt;0,"부분","X")))</f>
        <v/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",TRUE,UNIQUE(FILTER(소재DB_RAW!$K$3:$K$2000,(소재DB_RAW!$G$3:$G$2000=$D47)*ISERROR(SEARCH("drop",소재DB_RAW!$C$3:$C$2000))))),"")</f>
        <v/>
      </c>
      <c r="W47" s="20" t="inlineStr">
        <is>
          <t>베트남</t>
        </is>
      </c>
      <c r="X47" s="20">
        <f>IFERROR(TEXTJOIN(" / ",TRUE,UNIQUE(FILTER(소재DB_RAW!$N$3:$N$2000,(소재DB_RAW!$G$3:$G$2000=$D47)*ISERROR(SEARCH("drop",소재DB_RAW!$C$3:$C$2000))))),"")</f>
        <v/>
      </c>
      <c r="Y47" s="26">
        <f>IFERROR(TEXTJOIN(CHAR(10),TRUE,UNIQUE(FILTER(소재DB_RAW!$N$3:$N$2000&amp;") "&amp;소재DB_RAW!$O$3:$O$2000,(소재DB_RAW!$G$3:$G$2000=$D47)*ISNUMBER(SEARCH("겉감",소재DB_RAW!$M$3:$M$2000))*ISERROR(SEARCH("drop",소재DB_RAW!$C$3:$C$2000))))),"")</f>
        <v/>
      </c>
      <c r="Z47" s="26">
        <f>IFERROR(TEXTJOIN(CHAR(10),TRUE,UNIQUE(FILTER(소재DB_RAW!$N$3:$N$2000&amp;") "&amp;소재DB_RAW!$O$3:$O$2000,(소재DB_RAW!$G$3:$G$2000=$D47)*ISNUMBER(SEARCH("안감",소재DB_RAW!$M$3:$M$2000))*ISERROR(SEARCH("drop",소재DB_RAW!$C$3:$C$2000))))),"")</f>
        <v/>
      </c>
      <c r="AA47" s="22">
        <f>IFERROR(MAX(FILTER(소재DB_RAW!$AK$3:$AK$2000,(소재DB_RAW!$G$3:$G$2000=$D47)*ISERROR(SEARCH("drop",소재DB_RAW!$C$3:$C$2000))*(소재DB_RAW!$AK$3:$AK$2000&lt;&gt;""))),"")</f>
        <v/>
      </c>
      <c r="AB47" s="27" t="n">
        <v>8000</v>
      </c>
      <c r="AC47" s="27" t="n">
        <v>210024000</v>
      </c>
      <c r="AD47" s="27" t="n">
        <v>1424000000</v>
      </c>
      <c r="AE47" s="20" t="n"/>
      <c r="AF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G47" s="19">
        <f>IF($K47="","",IF(OR(LEFT($AF47,2)="작지",LEFT($AF47,4)="소재입고"),IF(LEFT($G47,1)="S","★ 납기위험(S코드)","◆ 지연주의"),IF($AF47="정상","✓ 정상","? 확인필요")))</f>
        <v/>
      </c>
      <c r="AH47" s="21" t="n"/>
      <c r="AI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19">
        <f>IF(COUNTIF(EDW_RAW!$A$2:$A$1500,$D48)=0,"",IF(COUNTIFS(EDW_RAW!$A$2:$A$1500,$D48,EDW_RAW!$R$2:$R$1500,"&lt;&gt;~",EDW_RAW!$R$2:$R$1500,"&lt;&gt;")=COUNTIF(EDW_RAW!$A$2:$A$1500,$D48),"O",IF(COUNTIFS(EDW_RAW!$A$2:$A$1500,$D48,EDW_RAW!$R$2:$R$1500,"&lt;&gt;~",EDW_RAW!$R$2:$R$1500,"&lt;&gt;")&gt;0,"부분","X")))</f>
        <v/>
      </c>
      <c r="R48" s="19">
        <f>IF(COUNTIF(EDW_RAW!$A$2:$A$1500,$D48)=0,"",IF(COUNTIFS(EDW_RAW!$A$2:$A$1500,$D48,EDW_RAW!$U$2:$U$1500,"&lt;&gt;~",EDW_RAW!$U$2:$U$1500,"&lt;&gt;")=COUNTIF(EDW_RAW!$A$2:$A$1500,$D48),"O",IF(COUNTIFS(EDW_RAW!$A$2:$A$1500,$D48,EDW_RAW!$U$2:$U$1500,"&lt;&gt;~",EDW_RAW!$U$2:$U$1500,"&lt;&gt;")&gt;0,"부분","X")))</f>
        <v/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",TRUE,UNIQUE(FILTER(소재DB_RAW!$K$3:$K$2000,(소재DB_RAW!$G$3:$G$2000=$D48)*ISERROR(SEARCH("drop",소재DB_RAW!$C$3:$C$2000))))),"")</f>
        <v/>
      </c>
      <c r="W48" s="20" t="inlineStr">
        <is>
          <t>베트남</t>
        </is>
      </c>
      <c r="X48" s="20">
        <f>IFERROR(TEXTJOIN(" / ",TRUE,UNIQUE(FILTER(소재DB_RAW!$N$3:$N$2000,(소재DB_RAW!$G$3:$G$2000=$D48)*ISERROR(SEARCH("drop",소재DB_RAW!$C$3:$C$2000))))),"")</f>
        <v/>
      </c>
      <c r="Y48" s="26">
        <f>IFERROR(TEXTJOIN(CHAR(10),TRUE,UNIQUE(FILTER(소재DB_RAW!$N$3:$N$2000&amp;") "&amp;소재DB_RAW!$O$3:$O$2000,(소재DB_RAW!$G$3:$G$2000=$D48)*ISNUMBER(SEARCH("겉감",소재DB_RAW!$M$3:$M$2000))*ISERROR(SEARCH("drop",소재DB_RAW!$C$3:$C$2000))))),"")</f>
        <v/>
      </c>
      <c r="Z48" s="26">
        <f>IFERROR(TEXTJOIN(CHAR(10),TRUE,UNIQUE(FILTER(소재DB_RAW!$N$3:$N$2000&amp;") "&amp;소재DB_RAW!$O$3:$O$2000,(소재DB_RAW!$G$3:$G$2000=$D48)*ISNUMBER(SEARCH("안감",소재DB_RAW!$M$3:$M$2000))*ISERROR(SEARCH("drop",소재DB_RAW!$C$3:$C$2000))))),"")</f>
        <v/>
      </c>
      <c r="AA48" s="22">
        <f>IFERROR(MAX(FILTER(소재DB_RAW!$AK$3:$AK$2000,(소재DB_RAW!$G$3:$G$2000=$D48)*ISERROR(SEARCH("drop",소재DB_RAW!$C$3:$C$2000))*(소재DB_RAW!$AK$3:$AK$2000&lt;&gt;""))),"")</f>
        <v/>
      </c>
      <c r="AB48" s="27" t="n">
        <v>1800</v>
      </c>
      <c r="AC48" s="27" t="n">
        <v>70093800</v>
      </c>
      <c r="AD48" s="27" t="n">
        <v>356400000</v>
      </c>
      <c r="AE48" s="20" t="inlineStr">
        <is>
          <t>1월3주</t>
        </is>
      </c>
      <c r="AF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G48" s="19">
        <f>IF($K48="","",IF(OR(LEFT($AF48,2)="작지",LEFT($AF48,4)="소재입고"),IF(LEFT($G48,1)="S","★ 납기위험(S코드)","◆ 지연주의"),IF($AF48="정상","✓ 정상","? 확인필요")))</f>
        <v/>
      </c>
      <c r="AH48" s="21" t="n"/>
      <c r="AI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19">
        <f>IF(COUNTIF(EDW_RAW!$A$2:$A$1500,$D49)=0,"",IF(COUNTIFS(EDW_RAW!$A$2:$A$1500,$D49,EDW_RAW!$R$2:$R$1500,"&lt;&gt;~",EDW_RAW!$R$2:$R$1500,"&lt;&gt;")=COUNTIF(EDW_RAW!$A$2:$A$1500,$D49),"O",IF(COUNTIFS(EDW_RAW!$A$2:$A$1500,$D49,EDW_RAW!$R$2:$R$1500,"&lt;&gt;~",EDW_RAW!$R$2:$R$1500,"&lt;&gt;")&gt;0,"부분","X")))</f>
        <v/>
      </c>
      <c r="R49" s="19">
        <f>IF(COUNTIF(EDW_RAW!$A$2:$A$1500,$D49)=0,"",IF(COUNTIFS(EDW_RAW!$A$2:$A$1500,$D49,EDW_RAW!$U$2:$U$1500,"&lt;&gt;~",EDW_RAW!$U$2:$U$1500,"&lt;&gt;")=COUNTIF(EDW_RAW!$A$2:$A$1500,$D49),"O",IF(COUNTIFS(EDW_RAW!$A$2:$A$1500,$D49,EDW_RAW!$U$2:$U$1500,"&lt;&gt;~",EDW_RAW!$U$2:$U$1500,"&lt;&gt;")&gt;0,"부분","X")))</f>
        <v/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",TRUE,UNIQUE(FILTER(소재DB_RAW!$K$3:$K$2000,(소재DB_RAW!$G$3:$G$2000=$D49)*ISERROR(SEARCH("drop",소재DB_RAW!$C$3:$C$2000))))),"")</f>
        <v/>
      </c>
      <c r="W49" s="20" t="inlineStr">
        <is>
          <t>베트남</t>
        </is>
      </c>
      <c r="X49" s="20">
        <f>IFERROR(TEXTJOIN(" / ",TRUE,UNIQUE(FILTER(소재DB_RAW!$N$3:$N$2000,(소재DB_RAW!$G$3:$G$2000=$D49)*ISERROR(SEARCH("drop",소재DB_RAW!$C$3:$C$2000))))),"")</f>
        <v/>
      </c>
      <c r="Y49" s="26">
        <f>IFERROR(TEXTJOIN(CHAR(10),TRUE,UNIQUE(FILTER(소재DB_RAW!$N$3:$N$2000&amp;") "&amp;소재DB_RAW!$O$3:$O$2000,(소재DB_RAW!$G$3:$G$2000=$D49)*ISNUMBER(SEARCH("겉감",소재DB_RAW!$M$3:$M$2000))*ISERROR(SEARCH("drop",소재DB_RAW!$C$3:$C$2000))))),"")</f>
        <v/>
      </c>
      <c r="Z49" s="26">
        <f>IFERROR(TEXTJOIN(CHAR(10),TRUE,UNIQUE(FILTER(소재DB_RAW!$N$3:$N$2000&amp;") "&amp;소재DB_RAW!$O$3:$O$2000,(소재DB_RAW!$G$3:$G$2000=$D49)*ISNUMBER(SEARCH("안감",소재DB_RAW!$M$3:$M$2000))*ISERROR(SEARCH("drop",소재DB_RAW!$C$3:$C$2000))))),"")</f>
        <v/>
      </c>
      <c r="AA49" s="22">
        <f>IFERROR(MAX(FILTER(소재DB_RAW!$AK$3:$AK$2000,(소재DB_RAW!$G$3:$G$2000=$D49)*ISERROR(SEARCH("drop",소재DB_RAW!$C$3:$C$2000))*(소재DB_RAW!$AK$3:$AK$2000&lt;&gt;""))),"")</f>
        <v/>
      </c>
      <c r="AB49" s="27" t="n">
        <v>1600</v>
      </c>
      <c r="AC49" s="27" t="n">
        <v>77996800</v>
      </c>
      <c r="AD49" s="27" t="n">
        <v>352000000</v>
      </c>
      <c r="AE49" s="20" t="n"/>
      <c r="AF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G49" s="19">
        <f>IF($K49="","",IF(OR(LEFT($AF49,2)="작지",LEFT($AF49,4)="소재입고"),IF(LEFT($G49,1)="S","★ 납기위험(S코드)","◆ 지연주의"),IF($AF49="정상","✓ 정상","? 확인필요")))</f>
        <v/>
      </c>
      <c r="AH49" s="21" t="n"/>
      <c r="AI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19">
        <f>IF(COUNTIF(EDW_RAW!$A$2:$A$1500,$D50)=0,"",IF(COUNTIFS(EDW_RAW!$A$2:$A$1500,$D50,EDW_RAW!$R$2:$R$1500,"&lt;&gt;~",EDW_RAW!$R$2:$R$1500,"&lt;&gt;")=COUNTIF(EDW_RAW!$A$2:$A$1500,$D50),"O",IF(COUNTIFS(EDW_RAW!$A$2:$A$1500,$D50,EDW_RAW!$R$2:$R$1500,"&lt;&gt;~",EDW_RAW!$R$2:$R$1500,"&lt;&gt;")&gt;0,"부분","X")))</f>
        <v/>
      </c>
      <c r="R50" s="19">
        <f>IF(COUNTIF(EDW_RAW!$A$2:$A$1500,$D50)=0,"",IF(COUNTIFS(EDW_RAW!$A$2:$A$1500,$D50,EDW_RAW!$U$2:$U$1500,"&lt;&gt;~",EDW_RAW!$U$2:$U$1500,"&lt;&gt;")=COUNTIF(EDW_RAW!$A$2:$A$1500,$D50),"O",IF(COUNTIFS(EDW_RAW!$A$2:$A$1500,$D50,EDW_RAW!$U$2:$U$1500,"&lt;&gt;~",EDW_RAW!$U$2:$U$1500,"&lt;&gt;")&gt;0,"부분","X")))</f>
        <v/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",TRUE,UNIQUE(FILTER(소재DB_RAW!$K$3:$K$2000,(소재DB_RAW!$G$3:$G$2000=$D50)*ISERROR(SEARCH("drop",소재DB_RAW!$C$3:$C$2000))))),"")</f>
        <v/>
      </c>
      <c r="W50" s="20" t="inlineStr">
        <is>
          <t>인도네시아</t>
        </is>
      </c>
      <c r="X50" s="20">
        <f>IFERROR(TEXTJOIN(" / ",TRUE,UNIQUE(FILTER(소재DB_RAW!$N$3:$N$2000,(소재DB_RAW!$G$3:$G$2000=$D50)*ISERROR(SEARCH("drop",소재DB_RAW!$C$3:$C$2000))))),"")</f>
        <v/>
      </c>
      <c r="Y50" s="26">
        <f>IFERROR(TEXTJOIN(CHAR(10),TRUE,UNIQUE(FILTER(소재DB_RAW!$N$3:$N$2000&amp;") "&amp;소재DB_RAW!$O$3:$O$2000,(소재DB_RAW!$G$3:$G$2000=$D50)*ISNUMBER(SEARCH("겉감",소재DB_RAW!$M$3:$M$2000))*ISERROR(SEARCH("drop",소재DB_RAW!$C$3:$C$2000))))),"")</f>
        <v/>
      </c>
      <c r="Z50" s="26">
        <f>IFERROR(TEXTJOIN(CHAR(10),TRUE,UNIQUE(FILTER(소재DB_RAW!$N$3:$N$2000&amp;") "&amp;소재DB_RAW!$O$3:$O$2000,(소재DB_RAW!$G$3:$G$2000=$D50)*ISNUMBER(SEARCH("안감",소재DB_RAW!$M$3:$M$2000))*ISERROR(SEARCH("drop",소재DB_RAW!$C$3:$C$2000))))),"")</f>
        <v/>
      </c>
      <c r="AA50" s="22">
        <f>IFERROR(MAX(FILTER(소재DB_RAW!$AK$3:$AK$2000,(소재DB_RAW!$G$3:$G$2000=$D50)*ISERROR(SEARCH("drop",소재DB_RAW!$C$3:$C$2000))*(소재DB_RAW!$AK$3:$AK$2000&lt;&gt;""))),"")</f>
        <v/>
      </c>
      <c r="AB50" s="27" t="n">
        <v>3000</v>
      </c>
      <c r="AC50" s="27" t="n">
        <v>79905000</v>
      </c>
      <c r="AD50" s="27" t="n">
        <v>444000000</v>
      </c>
      <c r="AE50" s="20" t="n"/>
      <c r="AF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G50" s="19">
        <f>IF($K50="","",IF(OR(LEFT($AF50,2)="작지",LEFT($AF50,4)="소재입고"),IF(LEFT($G50,1)="S","★ 납기위험(S코드)","◆ 지연주의"),IF($AF50="정상","✓ 정상","? 확인필요")))</f>
        <v/>
      </c>
      <c r="AH50" s="21" t="n"/>
      <c r="AI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19">
        <f>IF(COUNTIF(EDW_RAW!$A$2:$A$1500,$D51)=0,"",IF(COUNTIFS(EDW_RAW!$A$2:$A$1500,$D51,EDW_RAW!$R$2:$R$1500,"&lt;&gt;~",EDW_RAW!$R$2:$R$1500,"&lt;&gt;")=COUNTIF(EDW_RAW!$A$2:$A$1500,$D51),"O",IF(COUNTIFS(EDW_RAW!$A$2:$A$1500,$D51,EDW_RAW!$R$2:$R$1500,"&lt;&gt;~",EDW_RAW!$R$2:$R$1500,"&lt;&gt;")&gt;0,"부분","X")))</f>
        <v/>
      </c>
      <c r="R51" s="19">
        <f>IF(COUNTIF(EDW_RAW!$A$2:$A$1500,$D51)=0,"",IF(COUNTIFS(EDW_RAW!$A$2:$A$1500,$D51,EDW_RAW!$U$2:$U$1500,"&lt;&gt;~",EDW_RAW!$U$2:$U$1500,"&lt;&gt;")=COUNTIF(EDW_RAW!$A$2:$A$1500,$D51),"O",IF(COUNTIFS(EDW_RAW!$A$2:$A$1500,$D51,EDW_RAW!$U$2:$U$1500,"&lt;&gt;~",EDW_RAW!$U$2:$U$1500,"&lt;&gt;")&gt;0,"부분","X")))</f>
        <v/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",TRUE,UNIQUE(FILTER(소재DB_RAW!$K$3:$K$2000,(소재DB_RAW!$G$3:$G$2000=$D51)*ISERROR(SEARCH("drop",소재DB_RAW!$C$3:$C$2000))))),"")</f>
        <v/>
      </c>
      <c r="W51" s="20" t="inlineStr">
        <is>
          <t>인도네시아</t>
        </is>
      </c>
      <c r="X51" s="20">
        <f>IFERROR(TEXTJOIN(" / ",TRUE,UNIQUE(FILTER(소재DB_RAW!$N$3:$N$2000,(소재DB_RAW!$G$3:$G$2000=$D51)*ISERROR(SEARCH("drop",소재DB_RAW!$C$3:$C$2000))))),"")</f>
        <v/>
      </c>
      <c r="Y51" s="26">
        <f>IFERROR(TEXTJOIN(CHAR(10),TRUE,UNIQUE(FILTER(소재DB_RAW!$N$3:$N$2000&amp;") "&amp;소재DB_RAW!$O$3:$O$2000,(소재DB_RAW!$G$3:$G$2000=$D51)*ISNUMBER(SEARCH("겉감",소재DB_RAW!$M$3:$M$2000))*ISERROR(SEARCH("drop",소재DB_RAW!$C$3:$C$2000))))),"")</f>
        <v/>
      </c>
      <c r="Z51" s="26">
        <f>IFERROR(TEXTJOIN(CHAR(10),TRUE,UNIQUE(FILTER(소재DB_RAW!$N$3:$N$2000&amp;") "&amp;소재DB_RAW!$O$3:$O$2000,(소재DB_RAW!$G$3:$G$2000=$D51)*ISNUMBER(SEARCH("안감",소재DB_RAW!$M$3:$M$2000))*ISERROR(SEARCH("drop",소재DB_RAW!$C$3:$C$2000))))),"")</f>
        <v/>
      </c>
      <c r="AA51" s="22">
        <f>IFERROR(MAX(FILTER(소재DB_RAW!$AK$3:$AK$2000,(소재DB_RAW!$G$3:$G$2000=$D51)*ISERROR(SEARCH("drop",소재DB_RAW!$C$3:$C$2000))*(소재DB_RAW!$AK$3:$AK$2000&lt;&gt;""))),"")</f>
        <v/>
      </c>
      <c r="AB51" s="27" t="n">
        <v>2000</v>
      </c>
      <c r="AC51" s="27" t="n">
        <v>53650000</v>
      </c>
      <c r="AD51" s="27" t="n">
        <v>256000000</v>
      </c>
      <c r="AE51" s="20" t="n"/>
      <c r="AF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G51" s="19">
        <f>IF($K51="","",IF(OR(LEFT($AF51,2)="작지",LEFT($AF51,4)="소재입고"),IF(LEFT($G51,1)="S","★ 납기위험(S코드)","◆ 지연주의"),IF($AF51="정상","✓ 정상","? 확인필요")))</f>
        <v/>
      </c>
      <c r="AH51" s="21" t="n"/>
      <c r="AI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19">
        <f>IF(COUNTIF(EDW_RAW!$A$2:$A$1500,$D52)=0,"",IF(COUNTIFS(EDW_RAW!$A$2:$A$1500,$D52,EDW_RAW!$R$2:$R$1500,"&lt;&gt;~",EDW_RAW!$R$2:$R$1500,"&lt;&gt;")=COUNTIF(EDW_RAW!$A$2:$A$1500,$D52),"O",IF(COUNTIFS(EDW_RAW!$A$2:$A$1500,$D52,EDW_RAW!$R$2:$R$1500,"&lt;&gt;~",EDW_RAW!$R$2:$R$1500,"&lt;&gt;")&gt;0,"부분","X")))</f>
        <v/>
      </c>
      <c r="R52" s="19">
        <f>IF(COUNTIF(EDW_RAW!$A$2:$A$1500,$D52)=0,"",IF(COUNTIFS(EDW_RAW!$A$2:$A$1500,$D52,EDW_RAW!$U$2:$U$1500,"&lt;&gt;~",EDW_RAW!$U$2:$U$1500,"&lt;&gt;")=COUNTIF(EDW_RAW!$A$2:$A$1500,$D52),"O",IF(COUNTIFS(EDW_RAW!$A$2:$A$1500,$D52,EDW_RAW!$U$2:$U$1500,"&lt;&gt;~",EDW_RAW!$U$2:$U$1500,"&lt;&gt;")&gt;0,"부분","X")))</f>
        <v/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",TRUE,UNIQUE(FILTER(소재DB_RAW!$K$3:$K$2000,(소재DB_RAW!$G$3:$G$2000=$D52)*ISERROR(SEARCH("drop",소재DB_RAW!$C$3:$C$2000))))),"")</f>
        <v/>
      </c>
      <c r="W52" s="20" t="inlineStr">
        <is>
          <t>인도네시아</t>
        </is>
      </c>
      <c r="X52" s="20">
        <f>IFERROR(TEXTJOIN(" / ",TRUE,UNIQUE(FILTER(소재DB_RAW!$N$3:$N$2000,(소재DB_RAW!$G$3:$G$2000=$D52)*ISERROR(SEARCH("drop",소재DB_RAW!$C$3:$C$2000))))),"")</f>
        <v/>
      </c>
      <c r="Y52" s="26">
        <f>IFERROR(TEXTJOIN(CHAR(10),TRUE,UNIQUE(FILTER(소재DB_RAW!$N$3:$N$2000&amp;") "&amp;소재DB_RAW!$O$3:$O$2000,(소재DB_RAW!$G$3:$G$2000=$D52)*ISNUMBER(SEARCH("겉감",소재DB_RAW!$M$3:$M$2000))*ISERROR(SEARCH("drop",소재DB_RAW!$C$3:$C$2000))))),"")</f>
        <v/>
      </c>
      <c r="Z52" s="26">
        <f>IFERROR(TEXTJOIN(CHAR(10),TRUE,UNIQUE(FILTER(소재DB_RAW!$N$3:$N$2000&amp;") "&amp;소재DB_RAW!$O$3:$O$2000,(소재DB_RAW!$G$3:$G$2000=$D52)*ISNUMBER(SEARCH("안감",소재DB_RAW!$M$3:$M$2000))*ISERROR(SEARCH("drop",소재DB_RAW!$C$3:$C$2000))))),"")</f>
        <v/>
      </c>
      <c r="AA52" s="22">
        <f>IFERROR(MAX(FILTER(소재DB_RAW!$AK$3:$AK$2000,(소재DB_RAW!$G$3:$G$2000=$D52)*ISERROR(SEARCH("drop",소재DB_RAW!$C$3:$C$2000))*(소재DB_RAW!$AK$3:$AK$2000&lt;&gt;""))),"")</f>
        <v/>
      </c>
      <c r="AB52" s="27" t="n">
        <v>2000</v>
      </c>
      <c r="AC52" s="27" t="n">
        <v>58964800</v>
      </c>
      <c r="AD52" s="27" t="n">
        <v>276000000</v>
      </c>
      <c r="AE52" s="20" t="n"/>
      <c r="AF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G52" s="19">
        <f>IF($K52="","",IF(OR(LEFT($AF52,2)="작지",LEFT($AF52,4)="소재입고"),IF(LEFT($G52,1)="S","★ 납기위험(S코드)","◆ 지연주의"),IF($AF52="정상","✓ 정상","? 확인필요")))</f>
        <v/>
      </c>
      <c r="AH52" s="21" t="n"/>
      <c r="AI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19">
        <f>IF(COUNTIF(EDW_RAW!$A$2:$A$1500,$D53)=0,"",IF(COUNTIFS(EDW_RAW!$A$2:$A$1500,$D53,EDW_RAW!$R$2:$R$1500,"&lt;&gt;~",EDW_RAW!$R$2:$R$1500,"&lt;&gt;")=COUNTIF(EDW_RAW!$A$2:$A$1500,$D53),"O",IF(COUNTIFS(EDW_RAW!$A$2:$A$1500,$D53,EDW_RAW!$R$2:$R$1500,"&lt;&gt;~",EDW_RAW!$R$2:$R$1500,"&lt;&gt;")&gt;0,"부분","X")))</f>
        <v/>
      </c>
      <c r="R53" s="19">
        <f>IF(COUNTIF(EDW_RAW!$A$2:$A$1500,$D53)=0,"",IF(COUNTIFS(EDW_RAW!$A$2:$A$1500,$D53,EDW_RAW!$U$2:$U$1500,"&lt;&gt;~",EDW_RAW!$U$2:$U$1500,"&lt;&gt;")=COUNTIF(EDW_RAW!$A$2:$A$1500,$D53),"O",IF(COUNTIFS(EDW_RAW!$A$2:$A$1500,$D53,EDW_RAW!$U$2:$U$1500,"&lt;&gt;~",EDW_RAW!$U$2:$U$1500,"&lt;&gt;")&gt;0,"부분","X")))</f>
        <v/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",TRUE,UNIQUE(FILTER(소재DB_RAW!$K$3:$K$2000,(소재DB_RAW!$G$3:$G$2000=$D53)*ISERROR(SEARCH("drop",소재DB_RAW!$C$3:$C$2000))))),"")</f>
        <v/>
      </c>
      <c r="W53" s="20" t="inlineStr">
        <is>
          <t>인도네시아</t>
        </is>
      </c>
      <c r="X53" s="20">
        <f>IFERROR(TEXTJOIN(" / ",TRUE,UNIQUE(FILTER(소재DB_RAW!$N$3:$N$2000,(소재DB_RAW!$G$3:$G$2000=$D53)*ISERROR(SEARCH("drop",소재DB_RAW!$C$3:$C$2000))))),"")</f>
        <v/>
      </c>
      <c r="Y53" s="26">
        <f>IFERROR(TEXTJOIN(CHAR(10),TRUE,UNIQUE(FILTER(소재DB_RAW!$N$3:$N$2000&amp;") "&amp;소재DB_RAW!$O$3:$O$2000,(소재DB_RAW!$G$3:$G$2000=$D53)*ISNUMBER(SEARCH("겉감",소재DB_RAW!$M$3:$M$2000))*ISERROR(SEARCH("drop",소재DB_RAW!$C$3:$C$2000))))),"")</f>
        <v/>
      </c>
      <c r="Z53" s="26">
        <f>IFERROR(TEXTJOIN(CHAR(10),TRUE,UNIQUE(FILTER(소재DB_RAW!$N$3:$N$2000&amp;") "&amp;소재DB_RAW!$O$3:$O$2000,(소재DB_RAW!$G$3:$G$2000=$D53)*ISNUMBER(SEARCH("안감",소재DB_RAW!$M$3:$M$2000))*ISERROR(SEARCH("drop",소재DB_RAW!$C$3:$C$2000))))),"")</f>
        <v/>
      </c>
      <c r="AA53" s="22">
        <f>IFERROR(MAX(FILTER(소재DB_RAW!$AK$3:$AK$2000,(소재DB_RAW!$G$3:$G$2000=$D53)*ISERROR(SEARCH("drop",소재DB_RAW!$C$3:$C$2000))*(소재DB_RAW!$AK$3:$AK$2000&lt;&gt;""))),"")</f>
        <v/>
      </c>
      <c r="AB53" s="27" t="n">
        <v>1200</v>
      </c>
      <c r="AC53" s="27" t="n">
        <v>51517200</v>
      </c>
      <c r="AD53" s="27" t="n">
        <v>264000000</v>
      </c>
      <c r="AE53" s="20" t="n"/>
      <c r="AF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G53" s="19">
        <f>IF($K53="","",IF(OR(LEFT($AF53,2)="작지",LEFT($AF53,4)="소재입고"),IF(LEFT($G53,1)="S","★ 납기위험(S코드)","◆ 지연주의"),IF($AF53="정상","✓ 정상","? 확인필요")))</f>
        <v/>
      </c>
      <c r="AH53" s="21" t="n"/>
      <c r="AI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19">
        <f>IF(COUNTIF(EDW_RAW!$A$2:$A$1500,$D54)=0,"",IF(COUNTIFS(EDW_RAW!$A$2:$A$1500,$D54,EDW_RAW!$R$2:$R$1500,"&lt;&gt;~",EDW_RAW!$R$2:$R$1500,"&lt;&gt;")=COUNTIF(EDW_RAW!$A$2:$A$1500,$D54),"O",IF(COUNTIFS(EDW_RAW!$A$2:$A$1500,$D54,EDW_RAW!$R$2:$R$1500,"&lt;&gt;~",EDW_RAW!$R$2:$R$1500,"&lt;&gt;")&gt;0,"부분","X")))</f>
        <v/>
      </c>
      <c r="R54" s="19">
        <f>IF(COUNTIF(EDW_RAW!$A$2:$A$1500,$D54)=0,"",IF(COUNTIFS(EDW_RAW!$A$2:$A$1500,$D54,EDW_RAW!$U$2:$U$1500,"&lt;&gt;~",EDW_RAW!$U$2:$U$1500,"&lt;&gt;")=COUNTIF(EDW_RAW!$A$2:$A$1500,$D54),"O",IF(COUNTIFS(EDW_RAW!$A$2:$A$1500,$D54,EDW_RAW!$U$2:$U$1500,"&lt;&gt;~",EDW_RAW!$U$2:$U$1500,"&lt;&gt;")&gt;0,"부분","X")))</f>
        <v/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",TRUE,UNIQUE(FILTER(소재DB_RAW!$K$3:$K$2000,(소재DB_RAW!$G$3:$G$2000=$D54)*ISERROR(SEARCH("drop",소재DB_RAW!$C$3:$C$2000))))),"")</f>
        <v/>
      </c>
      <c r="W54" s="20" t="inlineStr">
        <is>
          <t>베트남</t>
        </is>
      </c>
      <c r="X54" s="20">
        <f>IFERROR(TEXTJOIN(" / ",TRUE,UNIQUE(FILTER(소재DB_RAW!$N$3:$N$2000,(소재DB_RAW!$G$3:$G$2000=$D54)*ISERROR(SEARCH("drop",소재DB_RAW!$C$3:$C$2000))))),"")</f>
        <v/>
      </c>
      <c r="Y54" s="26">
        <f>IFERROR(TEXTJOIN(CHAR(10),TRUE,UNIQUE(FILTER(소재DB_RAW!$N$3:$N$2000&amp;") "&amp;소재DB_RAW!$O$3:$O$2000,(소재DB_RAW!$G$3:$G$2000=$D54)*ISNUMBER(SEARCH("겉감",소재DB_RAW!$M$3:$M$2000))*ISERROR(SEARCH("drop",소재DB_RAW!$C$3:$C$2000))))),"")</f>
        <v/>
      </c>
      <c r="Z54" s="26">
        <f>IFERROR(TEXTJOIN(CHAR(10),TRUE,UNIQUE(FILTER(소재DB_RAW!$N$3:$N$2000&amp;") "&amp;소재DB_RAW!$O$3:$O$2000,(소재DB_RAW!$G$3:$G$2000=$D54)*ISNUMBER(SEARCH("안감",소재DB_RAW!$M$3:$M$2000))*ISERROR(SEARCH("drop",소재DB_RAW!$C$3:$C$2000))))),"")</f>
        <v/>
      </c>
      <c r="AA54" s="22">
        <f>IFERROR(MAX(FILTER(소재DB_RAW!$AK$3:$AK$2000,(소재DB_RAW!$G$3:$G$2000=$D54)*ISERROR(SEARCH("drop",소재DB_RAW!$C$3:$C$2000))*(소재DB_RAW!$AK$3:$AK$2000&lt;&gt;""))),"")</f>
        <v/>
      </c>
      <c r="AB54" s="27" t="n">
        <v>3000</v>
      </c>
      <c r="AC54" s="27" t="n">
        <v>186354000</v>
      </c>
      <c r="AD54" s="27" t="n">
        <v>960000000</v>
      </c>
      <c r="AE54" s="20" t="inlineStr">
        <is>
          <t>1월3주</t>
        </is>
      </c>
      <c r="AF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G54" s="19">
        <f>IF($K54="","",IF(OR(LEFT($AF54,2)="작지",LEFT($AF54,4)="소재입고"),IF(LEFT($G54,1)="S","★ 납기위험(S코드)","◆ 지연주의"),IF($AF54="정상","✓ 정상","? 확인필요")))</f>
        <v/>
      </c>
      <c r="AH54" s="21" t="n"/>
      <c r="AI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19">
        <f>IF(COUNTIF(EDW_RAW!$A$2:$A$1500,$D55)=0,"",IF(COUNTIFS(EDW_RAW!$A$2:$A$1500,$D55,EDW_RAW!$R$2:$R$1500,"&lt;&gt;~",EDW_RAW!$R$2:$R$1500,"&lt;&gt;")=COUNTIF(EDW_RAW!$A$2:$A$1500,$D55),"O",IF(COUNTIFS(EDW_RAW!$A$2:$A$1500,$D55,EDW_RAW!$R$2:$R$1500,"&lt;&gt;~",EDW_RAW!$R$2:$R$1500,"&lt;&gt;")&gt;0,"부분","X")))</f>
        <v/>
      </c>
      <c r="R55" s="19">
        <f>IF(COUNTIF(EDW_RAW!$A$2:$A$1500,$D55)=0,"",IF(COUNTIFS(EDW_RAW!$A$2:$A$1500,$D55,EDW_RAW!$U$2:$U$1500,"&lt;&gt;~",EDW_RAW!$U$2:$U$1500,"&lt;&gt;")=COUNTIF(EDW_RAW!$A$2:$A$1500,$D55),"O",IF(COUNTIFS(EDW_RAW!$A$2:$A$1500,$D55,EDW_RAW!$U$2:$U$1500,"&lt;&gt;~",EDW_RAW!$U$2:$U$1500,"&lt;&gt;")&gt;0,"부분","X")))</f>
        <v/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",TRUE,UNIQUE(FILTER(소재DB_RAW!$K$3:$K$2000,(소재DB_RAW!$G$3:$G$2000=$D55)*ISERROR(SEARCH("drop",소재DB_RAW!$C$3:$C$2000))))),"")</f>
        <v/>
      </c>
      <c r="W55" s="20" t="inlineStr">
        <is>
          <t>베트남</t>
        </is>
      </c>
      <c r="X55" s="20">
        <f>IFERROR(TEXTJOIN(" / ",TRUE,UNIQUE(FILTER(소재DB_RAW!$N$3:$N$2000,(소재DB_RAW!$G$3:$G$2000=$D55)*ISERROR(SEARCH("drop",소재DB_RAW!$C$3:$C$2000))))),"")</f>
        <v/>
      </c>
      <c r="Y55" s="26">
        <f>IFERROR(TEXTJOIN(CHAR(10),TRUE,UNIQUE(FILTER(소재DB_RAW!$N$3:$N$2000&amp;") "&amp;소재DB_RAW!$O$3:$O$2000,(소재DB_RAW!$G$3:$G$2000=$D55)*ISNUMBER(SEARCH("겉감",소재DB_RAW!$M$3:$M$2000))*ISERROR(SEARCH("drop",소재DB_RAW!$C$3:$C$2000))))),"")</f>
        <v/>
      </c>
      <c r="Z55" s="26">
        <f>IFERROR(TEXTJOIN(CHAR(10),TRUE,UNIQUE(FILTER(소재DB_RAW!$N$3:$N$2000&amp;") "&amp;소재DB_RAW!$O$3:$O$2000,(소재DB_RAW!$G$3:$G$2000=$D55)*ISNUMBER(SEARCH("안감",소재DB_RAW!$M$3:$M$2000))*ISERROR(SEARCH("drop",소재DB_RAW!$C$3:$C$2000))))),"")</f>
        <v/>
      </c>
      <c r="AA55" s="22">
        <f>IFERROR(MAX(FILTER(소재DB_RAW!$AK$3:$AK$2000,(소재DB_RAW!$G$3:$G$2000=$D55)*ISERROR(SEARCH("drop",소재DB_RAW!$C$3:$C$2000))*(소재DB_RAW!$AK$3:$AK$2000&lt;&gt;""))),"")</f>
        <v/>
      </c>
      <c r="AB55" s="27" t="n">
        <v>1700</v>
      </c>
      <c r="AC55" s="27" t="n">
        <v>166685000</v>
      </c>
      <c r="AD55" s="27" t="n">
        <v>663000000</v>
      </c>
      <c r="AE55" s="20" t="inlineStr">
        <is>
          <t>1월3주</t>
        </is>
      </c>
      <c r="AF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G55" s="19">
        <f>IF($K55="","",IF(OR(LEFT($AF55,2)="작지",LEFT($AF55,4)="소재입고"),IF(LEFT($G55,1)="S","★ 납기위험(S코드)","◆ 지연주의"),IF($AF55="정상","✓ 정상","? 확인필요")))</f>
        <v/>
      </c>
      <c r="AH55" s="21" t="n"/>
      <c r="AI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19">
        <f>IF(COUNTIF(EDW_RAW!$A$2:$A$1500,$D56)=0,"",IF(COUNTIFS(EDW_RAW!$A$2:$A$1500,$D56,EDW_RAW!$R$2:$R$1500,"&lt;&gt;~",EDW_RAW!$R$2:$R$1500,"&lt;&gt;")=COUNTIF(EDW_RAW!$A$2:$A$1500,$D56),"O",IF(COUNTIFS(EDW_RAW!$A$2:$A$1500,$D56,EDW_RAW!$R$2:$R$1500,"&lt;&gt;~",EDW_RAW!$R$2:$R$1500,"&lt;&gt;")&gt;0,"부분","X")))</f>
        <v/>
      </c>
      <c r="R56" s="19">
        <f>IF(COUNTIF(EDW_RAW!$A$2:$A$1500,$D56)=0,"",IF(COUNTIFS(EDW_RAW!$A$2:$A$1500,$D56,EDW_RAW!$U$2:$U$1500,"&lt;&gt;~",EDW_RAW!$U$2:$U$1500,"&lt;&gt;")=COUNTIF(EDW_RAW!$A$2:$A$1500,$D56),"O",IF(COUNTIFS(EDW_RAW!$A$2:$A$1500,$D56,EDW_RAW!$U$2:$U$1500,"&lt;&gt;~",EDW_RAW!$U$2:$U$1500,"&lt;&gt;")&gt;0,"부분","X")))</f>
        <v/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",TRUE,UNIQUE(FILTER(소재DB_RAW!$K$3:$K$2000,(소재DB_RAW!$G$3:$G$2000=$D56)*ISERROR(SEARCH("drop",소재DB_RAW!$C$3:$C$2000))))),"")</f>
        <v/>
      </c>
      <c r="W56" s="20" t="inlineStr">
        <is>
          <t>베트남</t>
        </is>
      </c>
      <c r="X56" s="20">
        <f>IFERROR(TEXTJOIN(" / ",TRUE,UNIQUE(FILTER(소재DB_RAW!$N$3:$N$2000,(소재DB_RAW!$G$3:$G$2000=$D56)*ISERROR(SEARCH("drop",소재DB_RAW!$C$3:$C$2000))))),"")</f>
        <v/>
      </c>
      <c r="Y56" s="26">
        <f>IFERROR(TEXTJOIN(CHAR(10),TRUE,UNIQUE(FILTER(소재DB_RAW!$N$3:$N$2000&amp;") "&amp;소재DB_RAW!$O$3:$O$2000,(소재DB_RAW!$G$3:$G$2000=$D56)*ISNUMBER(SEARCH("겉감",소재DB_RAW!$M$3:$M$2000))*ISERROR(SEARCH("drop",소재DB_RAW!$C$3:$C$2000))))),"")</f>
        <v/>
      </c>
      <c r="Z56" s="26">
        <f>IFERROR(TEXTJOIN(CHAR(10),TRUE,UNIQUE(FILTER(소재DB_RAW!$N$3:$N$2000&amp;") "&amp;소재DB_RAW!$O$3:$O$2000,(소재DB_RAW!$G$3:$G$2000=$D56)*ISNUMBER(SEARCH("안감",소재DB_RAW!$M$3:$M$2000))*ISERROR(SEARCH("drop",소재DB_RAW!$C$3:$C$2000))))),"")</f>
        <v/>
      </c>
      <c r="AA56" s="22">
        <f>IFERROR(MAX(FILTER(소재DB_RAW!$AK$3:$AK$2000,(소재DB_RAW!$G$3:$G$2000=$D56)*ISERROR(SEARCH("drop",소재DB_RAW!$C$3:$C$2000))*(소재DB_RAW!$AK$3:$AK$2000&lt;&gt;""))),"")</f>
        <v/>
      </c>
      <c r="AB56" s="27" t="n">
        <v>2600</v>
      </c>
      <c r="AC56" s="27" t="n">
        <v>151426800</v>
      </c>
      <c r="AD56" s="27" t="n">
        <v>702000000</v>
      </c>
      <c r="AE56" s="20" t="n"/>
      <c r="AF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G56" s="19">
        <f>IF($K56="","",IF(OR(LEFT($AF56,2)="작지",LEFT($AF56,4)="소재입고"),IF(LEFT($G56,1)="S","★ 납기위험(S코드)","◆ 지연주의"),IF($AF56="정상","✓ 정상","? 확인필요")))</f>
        <v/>
      </c>
      <c r="AH56" s="21" t="n"/>
      <c r="AI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19">
        <f>IF(COUNTIF(EDW_RAW!$A$2:$A$1500,$D57)=0,"",IF(COUNTIFS(EDW_RAW!$A$2:$A$1500,$D57,EDW_RAW!$R$2:$R$1500,"&lt;&gt;~",EDW_RAW!$R$2:$R$1500,"&lt;&gt;")=COUNTIF(EDW_RAW!$A$2:$A$1500,$D57),"O",IF(COUNTIFS(EDW_RAW!$A$2:$A$1500,$D57,EDW_RAW!$R$2:$R$1500,"&lt;&gt;~",EDW_RAW!$R$2:$R$1500,"&lt;&gt;")&gt;0,"부분","X")))</f>
        <v/>
      </c>
      <c r="R57" s="19">
        <f>IF(COUNTIF(EDW_RAW!$A$2:$A$1500,$D57)=0,"",IF(COUNTIFS(EDW_RAW!$A$2:$A$1500,$D57,EDW_RAW!$U$2:$U$1500,"&lt;&gt;~",EDW_RAW!$U$2:$U$1500,"&lt;&gt;")=COUNTIF(EDW_RAW!$A$2:$A$1500,$D57),"O",IF(COUNTIFS(EDW_RAW!$A$2:$A$1500,$D57,EDW_RAW!$U$2:$U$1500,"&lt;&gt;~",EDW_RAW!$U$2:$U$1500,"&lt;&gt;")&gt;0,"부분","X")))</f>
        <v/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",TRUE,UNIQUE(FILTER(소재DB_RAW!$K$3:$K$2000,(소재DB_RAW!$G$3:$G$2000=$D57)*ISERROR(SEARCH("drop",소재DB_RAW!$C$3:$C$2000))))),"")</f>
        <v/>
      </c>
      <c r="W57" s="20" t="inlineStr">
        <is>
          <t>베트남</t>
        </is>
      </c>
      <c r="X57" s="20">
        <f>IFERROR(TEXTJOIN(" / ",TRUE,UNIQUE(FILTER(소재DB_RAW!$N$3:$N$2000,(소재DB_RAW!$G$3:$G$2000=$D57)*ISERROR(SEARCH("drop",소재DB_RAW!$C$3:$C$2000))))),"")</f>
        <v/>
      </c>
      <c r="Y57" s="26">
        <f>IFERROR(TEXTJOIN(CHAR(10),TRUE,UNIQUE(FILTER(소재DB_RAW!$N$3:$N$2000&amp;") "&amp;소재DB_RAW!$O$3:$O$2000,(소재DB_RAW!$G$3:$G$2000=$D57)*ISNUMBER(SEARCH("겉감",소재DB_RAW!$M$3:$M$2000))*ISERROR(SEARCH("drop",소재DB_RAW!$C$3:$C$2000))))),"")</f>
        <v/>
      </c>
      <c r="Z57" s="26">
        <f>IFERROR(TEXTJOIN(CHAR(10),TRUE,UNIQUE(FILTER(소재DB_RAW!$N$3:$N$2000&amp;") "&amp;소재DB_RAW!$O$3:$O$2000,(소재DB_RAW!$G$3:$G$2000=$D57)*ISNUMBER(SEARCH("안감",소재DB_RAW!$M$3:$M$2000))*ISERROR(SEARCH("drop",소재DB_RAW!$C$3:$C$2000))))),"")</f>
        <v/>
      </c>
      <c r="AA57" s="22">
        <f>IFERROR(MAX(FILTER(소재DB_RAW!$AK$3:$AK$2000,(소재DB_RAW!$G$3:$G$2000=$D57)*ISERROR(SEARCH("drop",소재DB_RAW!$C$3:$C$2000))*(소재DB_RAW!$AK$3:$AK$2000&lt;&gt;""))),"")</f>
        <v/>
      </c>
      <c r="AB57" s="27" t="n">
        <v>2500</v>
      </c>
      <c r="AC57" s="27" t="n">
        <v>104250000</v>
      </c>
      <c r="AD57" s="27" t="n">
        <v>495000000</v>
      </c>
      <c r="AE57" s="20" t="n"/>
      <c r="AF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G57" s="19">
        <f>IF($K57="","",IF(OR(LEFT($AF57,2)="작지",LEFT($AF57,4)="소재입고"),IF(LEFT($G57,1)="S","★ 납기위험(S코드)","◆ 지연주의"),IF($AF57="정상","✓ 정상","? 확인필요")))</f>
        <v/>
      </c>
      <c r="AH57" s="21" t="n"/>
      <c r="AI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19">
        <f>IF(COUNTIF(EDW_RAW!$A$2:$A$1500,$D58)=0,"",IF(COUNTIFS(EDW_RAW!$A$2:$A$1500,$D58,EDW_RAW!$R$2:$R$1500,"&lt;&gt;~",EDW_RAW!$R$2:$R$1500,"&lt;&gt;")=COUNTIF(EDW_RAW!$A$2:$A$1500,$D58),"O",IF(COUNTIFS(EDW_RAW!$A$2:$A$1500,$D58,EDW_RAW!$R$2:$R$1500,"&lt;&gt;~",EDW_RAW!$R$2:$R$1500,"&lt;&gt;")&gt;0,"부분","X")))</f>
        <v/>
      </c>
      <c r="R58" s="19">
        <f>IF(COUNTIF(EDW_RAW!$A$2:$A$1500,$D58)=0,"",IF(COUNTIFS(EDW_RAW!$A$2:$A$1500,$D58,EDW_RAW!$U$2:$U$1500,"&lt;&gt;~",EDW_RAW!$U$2:$U$1500,"&lt;&gt;")=COUNTIF(EDW_RAW!$A$2:$A$1500,$D58),"O",IF(COUNTIFS(EDW_RAW!$A$2:$A$1500,$D58,EDW_RAW!$U$2:$U$1500,"&lt;&gt;~",EDW_RAW!$U$2:$U$1500,"&lt;&gt;")&gt;0,"부분","X")))</f>
        <v/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",TRUE,UNIQUE(FILTER(소재DB_RAW!$K$3:$K$2000,(소재DB_RAW!$G$3:$G$2000=$D58)*ISERROR(SEARCH("drop",소재DB_RAW!$C$3:$C$2000))))),"")</f>
        <v/>
      </c>
      <c r="W58" s="20" t="inlineStr">
        <is>
          <t>베트남</t>
        </is>
      </c>
      <c r="X58" s="20">
        <f>IFERROR(TEXTJOIN(" / ",TRUE,UNIQUE(FILTER(소재DB_RAW!$N$3:$N$2000,(소재DB_RAW!$G$3:$G$2000=$D58)*ISERROR(SEARCH("drop",소재DB_RAW!$C$3:$C$2000))))),"")</f>
        <v/>
      </c>
      <c r="Y58" s="26">
        <f>IFERROR(TEXTJOIN(CHAR(10),TRUE,UNIQUE(FILTER(소재DB_RAW!$N$3:$N$2000&amp;") "&amp;소재DB_RAW!$O$3:$O$2000,(소재DB_RAW!$G$3:$G$2000=$D58)*ISNUMBER(SEARCH("겉감",소재DB_RAW!$M$3:$M$2000))*ISERROR(SEARCH("drop",소재DB_RAW!$C$3:$C$2000))))),"")</f>
        <v/>
      </c>
      <c r="Z58" s="26">
        <f>IFERROR(TEXTJOIN(CHAR(10),TRUE,UNIQUE(FILTER(소재DB_RAW!$N$3:$N$2000&amp;") "&amp;소재DB_RAW!$O$3:$O$2000,(소재DB_RAW!$G$3:$G$2000=$D58)*ISNUMBER(SEARCH("안감",소재DB_RAW!$M$3:$M$2000))*ISERROR(SEARCH("drop",소재DB_RAW!$C$3:$C$2000))))),"")</f>
        <v/>
      </c>
      <c r="AA58" s="22">
        <f>IFERROR(MAX(FILTER(소재DB_RAW!$AK$3:$AK$2000,(소재DB_RAW!$G$3:$G$2000=$D58)*ISERROR(SEARCH("drop",소재DB_RAW!$C$3:$C$2000))*(소재DB_RAW!$AK$3:$AK$2000&lt;&gt;""))),"")</f>
        <v/>
      </c>
      <c r="AB58" s="27" t="n">
        <v>1400</v>
      </c>
      <c r="AC58" s="27" t="n">
        <v>54159000</v>
      </c>
      <c r="AD58" s="27" t="n">
        <v>277200000</v>
      </c>
      <c r="AE58" s="20" t="n"/>
      <c r="AF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G58" s="19">
        <f>IF($K58="","",IF(OR(LEFT($AF58,2)="작지",LEFT($AF58,4)="소재입고"),IF(LEFT($G58,1)="S","★ 납기위험(S코드)","◆ 지연주의"),IF($AF58="정상","✓ 정상","? 확인필요")))</f>
        <v/>
      </c>
      <c r="AH58" s="21" t="n"/>
      <c r="AI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19">
        <f>IF(COUNTIF(EDW_RAW!$A$2:$A$1500,$D59)=0,"",IF(COUNTIFS(EDW_RAW!$A$2:$A$1500,$D59,EDW_RAW!$R$2:$R$1500,"&lt;&gt;~",EDW_RAW!$R$2:$R$1500,"&lt;&gt;")=COUNTIF(EDW_RAW!$A$2:$A$1500,$D59),"O",IF(COUNTIFS(EDW_RAW!$A$2:$A$1500,$D59,EDW_RAW!$R$2:$R$1500,"&lt;&gt;~",EDW_RAW!$R$2:$R$1500,"&lt;&gt;")&gt;0,"부분","X")))</f>
        <v/>
      </c>
      <c r="R59" s="19">
        <f>IF(COUNTIF(EDW_RAW!$A$2:$A$1500,$D59)=0,"",IF(COUNTIFS(EDW_RAW!$A$2:$A$1500,$D59,EDW_RAW!$U$2:$U$1500,"&lt;&gt;~",EDW_RAW!$U$2:$U$1500,"&lt;&gt;")=COUNTIF(EDW_RAW!$A$2:$A$1500,$D59),"O",IF(COUNTIFS(EDW_RAW!$A$2:$A$1500,$D59,EDW_RAW!$U$2:$U$1500,"&lt;&gt;~",EDW_RAW!$U$2:$U$1500,"&lt;&gt;")&gt;0,"부분","X")))</f>
        <v/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",TRUE,UNIQUE(FILTER(소재DB_RAW!$K$3:$K$2000,(소재DB_RAW!$G$3:$G$2000=$D59)*ISERROR(SEARCH("drop",소재DB_RAW!$C$3:$C$2000))))),"")</f>
        <v/>
      </c>
      <c r="W59" s="20" t="inlineStr">
        <is>
          <t>베트남</t>
        </is>
      </c>
      <c r="X59" s="20">
        <f>IFERROR(TEXTJOIN(" / ",TRUE,UNIQUE(FILTER(소재DB_RAW!$N$3:$N$2000,(소재DB_RAW!$G$3:$G$2000=$D59)*ISERROR(SEARCH("drop",소재DB_RAW!$C$3:$C$2000))))),"")</f>
        <v/>
      </c>
      <c r="Y59" s="26">
        <f>IFERROR(TEXTJOIN(CHAR(10),TRUE,UNIQUE(FILTER(소재DB_RAW!$N$3:$N$2000&amp;") "&amp;소재DB_RAW!$O$3:$O$2000,(소재DB_RAW!$G$3:$G$2000=$D59)*ISNUMBER(SEARCH("겉감",소재DB_RAW!$M$3:$M$2000))*ISERROR(SEARCH("drop",소재DB_RAW!$C$3:$C$2000))))),"")</f>
        <v/>
      </c>
      <c r="Z59" s="26">
        <f>IFERROR(TEXTJOIN(CHAR(10),TRUE,UNIQUE(FILTER(소재DB_RAW!$N$3:$N$2000&amp;") "&amp;소재DB_RAW!$O$3:$O$2000,(소재DB_RAW!$G$3:$G$2000=$D59)*ISNUMBER(SEARCH("안감",소재DB_RAW!$M$3:$M$2000))*ISERROR(SEARCH("drop",소재DB_RAW!$C$3:$C$2000))))),"")</f>
        <v/>
      </c>
      <c r="AA59" s="22">
        <f>IFERROR(MAX(FILTER(소재DB_RAW!$AK$3:$AK$2000,(소재DB_RAW!$G$3:$G$2000=$D59)*ISERROR(SEARCH("drop",소재DB_RAW!$C$3:$C$2000))*(소재DB_RAW!$AK$3:$AK$2000&lt;&gt;""))),"")</f>
        <v/>
      </c>
      <c r="AB59" s="27" t="n">
        <v>2200</v>
      </c>
      <c r="AC59" s="27" t="n">
        <v>160008200</v>
      </c>
      <c r="AD59" s="27" t="n">
        <v>704000000</v>
      </c>
      <c r="AE59" s="20" t="n"/>
      <c r="AF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G59" s="19">
        <f>IF($K59="","",IF(OR(LEFT($AF59,2)="작지",LEFT($AF59,4)="소재입고"),IF(LEFT($G59,1)="S","★ 납기위험(S코드)","◆ 지연주의"),IF($AF59="정상","✓ 정상","? 확인필요")))</f>
        <v/>
      </c>
      <c r="AH59" s="21" t="n"/>
      <c r="AI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19">
        <f>IF(COUNTIF(EDW_RAW!$A$2:$A$1500,$D60)=0,"",IF(COUNTIFS(EDW_RAW!$A$2:$A$1500,$D60,EDW_RAW!$R$2:$R$1500,"&lt;&gt;~",EDW_RAW!$R$2:$R$1500,"&lt;&gt;")=COUNTIF(EDW_RAW!$A$2:$A$1500,$D60),"O",IF(COUNTIFS(EDW_RAW!$A$2:$A$1500,$D60,EDW_RAW!$R$2:$R$1500,"&lt;&gt;~",EDW_RAW!$R$2:$R$1500,"&lt;&gt;")&gt;0,"부분","X")))</f>
        <v/>
      </c>
      <c r="R60" s="19">
        <f>IF(COUNTIF(EDW_RAW!$A$2:$A$1500,$D60)=0,"",IF(COUNTIFS(EDW_RAW!$A$2:$A$1500,$D60,EDW_RAW!$U$2:$U$1500,"&lt;&gt;~",EDW_RAW!$U$2:$U$1500,"&lt;&gt;")=COUNTIF(EDW_RAW!$A$2:$A$1500,$D60),"O",IF(COUNTIFS(EDW_RAW!$A$2:$A$1500,$D60,EDW_RAW!$U$2:$U$1500,"&lt;&gt;~",EDW_RAW!$U$2:$U$1500,"&lt;&gt;")&gt;0,"부분","X")))</f>
        <v/>
      </c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",TRUE,UNIQUE(FILTER(소재DB_RAW!$K$3:$K$2000,(소재DB_RAW!$G$3:$G$2000=$D60)*ISERROR(SEARCH("drop",소재DB_RAW!$C$3:$C$2000))))),"")</f>
        <v/>
      </c>
      <c r="W60" s="20" t="inlineStr"/>
      <c r="X60" s="20">
        <f>IFERROR(TEXTJOIN(" / ",TRUE,UNIQUE(FILTER(소재DB_RAW!$N$3:$N$2000,(소재DB_RAW!$G$3:$G$2000=$D60)*ISERROR(SEARCH("drop",소재DB_RAW!$C$3:$C$2000))))),"")</f>
        <v/>
      </c>
      <c r="Y60" s="26">
        <f>IFERROR(TEXTJOIN(CHAR(10),TRUE,UNIQUE(FILTER(소재DB_RAW!$N$3:$N$2000&amp;") "&amp;소재DB_RAW!$O$3:$O$2000,(소재DB_RAW!$G$3:$G$2000=$D60)*ISNUMBER(SEARCH("겉감",소재DB_RAW!$M$3:$M$2000))*ISERROR(SEARCH("drop",소재DB_RAW!$C$3:$C$2000))))),"")</f>
        <v/>
      </c>
      <c r="Z60" s="26">
        <f>IFERROR(TEXTJOIN(CHAR(10),TRUE,UNIQUE(FILTER(소재DB_RAW!$N$3:$N$2000&amp;") "&amp;소재DB_RAW!$O$3:$O$2000,(소재DB_RAW!$G$3:$G$2000=$D60)*ISNUMBER(SEARCH("안감",소재DB_RAW!$M$3:$M$2000))*ISERROR(SEARCH("drop",소재DB_RAW!$C$3:$C$2000))))),"")</f>
        <v/>
      </c>
      <c r="AA60" s="22">
        <f>IFERROR(MAX(FILTER(소재DB_RAW!$AK$3:$AK$2000,(소재DB_RAW!$G$3:$G$2000=$D60)*ISERROR(SEARCH("drop",소재DB_RAW!$C$3:$C$2000))*(소재DB_RAW!$AK$3:$AK$2000&lt;&gt;""))),"")</f>
        <v/>
      </c>
      <c r="AB60" s="27" t="n">
        <v>3000</v>
      </c>
      <c r="AC60" s="27" t="n">
        <v>165927000</v>
      </c>
      <c r="AD60" s="27" t="n">
        <v>810000000</v>
      </c>
      <c r="AE60" s="20" t="inlineStr">
        <is>
          <t>1월3주</t>
        </is>
      </c>
      <c r="AF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G60" s="19">
        <f>IF($K60="","",IF(OR(LEFT($AF60,2)="작지",LEFT($AF60,4)="소재입고"),IF(LEFT($G60,1)="S","★ 납기위험(S코드)","◆ 지연주의"),IF($AF60="정상","✓ 정상","? 확인필요")))</f>
        <v/>
      </c>
      <c r="AH60" s="21" t="n"/>
      <c r="AI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19">
        <f>IF(COUNTIF(EDW_RAW!$A$2:$A$1500,$D61)=0,"",IF(COUNTIFS(EDW_RAW!$A$2:$A$1500,$D61,EDW_RAW!$R$2:$R$1500,"&lt;&gt;~",EDW_RAW!$R$2:$R$1500,"&lt;&gt;")=COUNTIF(EDW_RAW!$A$2:$A$1500,$D61),"O",IF(COUNTIFS(EDW_RAW!$A$2:$A$1500,$D61,EDW_RAW!$R$2:$R$1500,"&lt;&gt;~",EDW_RAW!$R$2:$R$1500,"&lt;&gt;")&gt;0,"부분","X")))</f>
        <v/>
      </c>
      <c r="R61" s="19">
        <f>IF(COUNTIF(EDW_RAW!$A$2:$A$1500,$D61)=0,"",IF(COUNTIFS(EDW_RAW!$A$2:$A$1500,$D61,EDW_RAW!$U$2:$U$1500,"&lt;&gt;~",EDW_RAW!$U$2:$U$1500,"&lt;&gt;")=COUNTIF(EDW_RAW!$A$2:$A$1500,$D61),"O",IF(COUNTIFS(EDW_RAW!$A$2:$A$1500,$D61,EDW_RAW!$U$2:$U$1500,"&lt;&gt;~",EDW_RAW!$U$2:$U$1500,"&lt;&gt;")&gt;0,"부분","X")))</f>
        <v/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",TRUE,UNIQUE(FILTER(소재DB_RAW!$K$3:$K$2000,(소재DB_RAW!$G$3:$G$2000=$D61)*ISERROR(SEARCH("drop",소재DB_RAW!$C$3:$C$2000))))),"")</f>
        <v/>
      </c>
      <c r="W61" s="20" t="inlineStr">
        <is>
          <t>베트남</t>
        </is>
      </c>
      <c r="X61" s="20">
        <f>IFERROR(TEXTJOIN(" / ",TRUE,UNIQUE(FILTER(소재DB_RAW!$N$3:$N$2000,(소재DB_RAW!$G$3:$G$2000=$D61)*ISERROR(SEARCH("drop",소재DB_RAW!$C$3:$C$2000))))),"")</f>
        <v/>
      </c>
      <c r="Y61" s="26">
        <f>IFERROR(TEXTJOIN(CHAR(10),TRUE,UNIQUE(FILTER(소재DB_RAW!$N$3:$N$2000&amp;") "&amp;소재DB_RAW!$O$3:$O$2000,(소재DB_RAW!$G$3:$G$2000=$D61)*ISNUMBER(SEARCH("겉감",소재DB_RAW!$M$3:$M$2000))*ISERROR(SEARCH("drop",소재DB_RAW!$C$3:$C$2000))))),"")</f>
        <v/>
      </c>
      <c r="Z61" s="26">
        <f>IFERROR(TEXTJOIN(CHAR(10),TRUE,UNIQUE(FILTER(소재DB_RAW!$N$3:$N$2000&amp;") "&amp;소재DB_RAW!$O$3:$O$2000,(소재DB_RAW!$G$3:$G$2000=$D61)*ISNUMBER(SEARCH("안감",소재DB_RAW!$M$3:$M$2000))*ISERROR(SEARCH("drop",소재DB_RAW!$C$3:$C$2000))))),"")</f>
        <v/>
      </c>
      <c r="AA61" s="22">
        <f>IFERROR(MAX(FILTER(소재DB_RAW!$AK$3:$AK$2000,(소재DB_RAW!$G$3:$G$2000=$D61)*ISERROR(SEARCH("drop",소재DB_RAW!$C$3:$C$2000))*(소재DB_RAW!$AK$3:$AK$2000&lt;&gt;""))),"")</f>
        <v/>
      </c>
      <c r="AB61" s="27" t="n">
        <v>2500</v>
      </c>
      <c r="AC61" s="27" t="n">
        <v>239177500</v>
      </c>
      <c r="AD61" s="27" t="n">
        <v>975000000</v>
      </c>
      <c r="AE61" s="20" t="n"/>
      <c r="AF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G61" s="19">
        <f>IF($K61="","",IF(OR(LEFT($AF61,2)="작지",LEFT($AF61,4)="소재입고"),IF(LEFT($G61,1)="S","★ 납기위험(S코드)","◆ 지연주의"),IF($AF61="정상","✓ 정상","? 확인필요")))</f>
        <v/>
      </c>
      <c r="AH61" s="21" t="n"/>
      <c r="AI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19">
        <f>IF(COUNTIF(EDW_RAW!$A$2:$A$1500,$D62)=0,"",IF(COUNTIFS(EDW_RAW!$A$2:$A$1500,$D62,EDW_RAW!$R$2:$R$1500,"&lt;&gt;~",EDW_RAW!$R$2:$R$1500,"&lt;&gt;")=COUNTIF(EDW_RAW!$A$2:$A$1500,$D62),"O",IF(COUNTIFS(EDW_RAW!$A$2:$A$1500,$D62,EDW_RAW!$R$2:$R$1500,"&lt;&gt;~",EDW_RAW!$R$2:$R$1500,"&lt;&gt;")&gt;0,"부분","X")))</f>
        <v/>
      </c>
      <c r="R62" s="19">
        <f>IF(COUNTIF(EDW_RAW!$A$2:$A$1500,$D62)=0,"",IF(COUNTIFS(EDW_RAW!$A$2:$A$1500,$D62,EDW_RAW!$U$2:$U$1500,"&lt;&gt;~",EDW_RAW!$U$2:$U$1500,"&lt;&gt;")=COUNTIF(EDW_RAW!$A$2:$A$1500,$D62),"O",IF(COUNTIFS(EDW_RAW!$A$2:$A$1500,$D62,EDW_RAW!$U$2:$U$1500,"&lt;&gt;~",EDW_RAW!$U$2:$U$1500,"&lt;&gt;")&gt;0,"부분","X")))</f>
        <v/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",TRUE,UNIQUE(FILTER(소재DB_RAW!$K$3:$K$2000,(소재DB_RAW!$G$3:$G$2000=$D62)*ISERROR(SEARCH("drop",소재DB_RAW!$C$3:$C$2000))))),"")</f>
        <v/>
      </c>
      <c r="W62" s="20" t="inlineStr">
        <is>
          <t>베트남</t>
        </is>
      </c>
      <c r="X62" s="20">
        <f>IFERROR(TEXTJOIN(" / ",TRUE,UNIQUE(FILTER(소재DB_RAW!$N$3:$N$2000,(소재DB_RAW!$G$3:$G$2000=$D62)*ISERROR(SEARCH("drop",소재DB_RAW!$C$3:$C$2000))))),"")</f>
        <v/>
      </c>
      <c r="Y62" s="26">
        <f>IFERROR(TEXTJOIN(CHAR(10),TRUE,UNIQUE(FILTER(소재DB_RAW!$N$3:$N$2000&amp;") "&amp;소재DB_RAW!$O$3:$O$2000,(소재DB_RAW!$G$3:$G$2000=$D62)*ISNUMBER(SEARCH("겉감",소재DB_RAW!$M$3:$M$2000))*ISERROR(SEARCH("drop",소재DB_RAW!$C$3:$C$2000))))),"")</f>
        <v/>
      </c>
      <c r="Z62" s="26">
        <f>IFERROR(TEXTJOIN(CHAR(10),TRUE,UNIQUE(FILTER(소재DB_RAW!$N$3:$N$2000&amp;") "&amp;소재DB_RAW!$O$3:$O$2000,(소재DB_RAW!$G$3:$G$2000=$D62)*ISNUMBER(SEARCH("안감",소재DB_RAW!$M$3:$M$2000))*ISERROR(SEARCH("drop",소재DB_RAW!$C$3:$C$2000))))),"")</f>
        <v/>
      </c>
      <c r="AA62" s="22">
        <f>IFERROR(MAX(FILTER(소재DB_RAW!$AK$3:$AK$2000,(소재DB_RAW!$G$3:$G$2000=$D62)*ISERROR(SEARCH("drop",소재DB_RAW!$C$3:$C$2000))*(소재DB_RAW!$AK$3:$AK$2000&lt;&gt;""))),"")</f>
        <v/>
      </c>
      <c r="AB62" s="27" t="n">
        <v>1800</v>
      </c>
      <c r="AC62" s="27" t="n">
        <v>160255800</v>
      </c>
      <c r="AD62" s="27" t="n">
        <v>702000000</v>
      </c>
      <c r="AE62" s="20" t="n"/>
      <c r="AF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G62" s="19">
        <f>IF($K62="","",IF(OR(LEFT($AF62,2)="작지",LEFT($AF62,4)="소재입고"),IF(LEFT($G62,1)="S","★ 납기위험(S코드)","◆ 지연주의"),IF($AF62="정상","✓ 정상","? 확인필요")))</f>
        <v/>
      </c>
      <c r="AH62" s="21" t="n"/>
      <c r="AI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19">
        <f>IF(COUNTIF(EDW_RAW!$A$2:$A$1500,$D63)=0,"",IF(COUNTIFS(EDW_RAW!$A$2:$A$1500,$D63,EDW_RAW!$R$2:$R$1500,"&lt;&gt;~",EDW_RAW!$R$2:$R$1500,"&lt;&gt;")=COUNTIF(EDW_RAW!$A$2:$A$1500,$D63),"O",IF(COUNTIFS(EDW_RAW!$A$2:$A$1500,$D63,EDW_RAW!$R$2:$R$1500,"&lt;&gt;~",EDW_RAW!$R$2:$R$1500,"&lt;&gt;")&gt;0,"부분","X")))</f>
        <v/>
      </c>
      <c r="R63" s="19">
        <f>IF(COUNTIF(EDW_RAW!$A$2:$A$1500,$D63)=0,"",IF(COUNTIFS(EDW_RAW!$A$2:$A$1500,$D63,EDW_RAW!$U$2:$U$1500,"&lt;&gt;~",EDW_RAW!$U$2:$U$1500,"&lt;&gt;")=COUNTIF(EDW_RAW!$A$2:$A$1500,$D63),"O",IF(COUNTIFS(EDW_RAW!$A$2:$A$1500,$D63,EDW_RAW!$U$2:$U$1500,"&lt;&gt;~",EDW_RAW!$U$2:$U$1500,"&lt;&gt;")&gt;0,"부분","X")))</f>
        <v/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",TRUE,UNIQUE(FILTER(소재DB_RAW!$K$3:$K$2000,(소재DB_RAW!$G$3:$G$2000=$D63)*ISERROR(SEARCH("drop",소재DB_RAW!$C$3:$C$2000))))),"")</f>
        <v/>
      </c>
      <c r="W63" s="20" t="inlineStr">
        <is>
          <t>베트남</t>
        </is>
      </c>
      <c r="X63" s="20">
        <f>IFERROR(TEXTJOIN(" / ",TRUE,UNIQUE(FILTER(소재DB_RAW!$N$3:$N$2000,(소재DB_RAW!$G$3:$G$2000=$D63)*ISERROR(SEARCH("drop",소재DB_RAW!$C$3:$C$2000))))),"")</f>
        <v/>
      </c>
      <c r="Y63" s="26">
        <f>IFERROR(TEXTJOIN(CHAR(10),TRUE,UNIQUE(FILTER(소재DB_RAW!$N$3:$N$2000&amp;") "&amp;소재DB_RAW!$O$3:$O$2000,(소재DB_RAW!$G$3:$G$2000=$D63)*ISNUMBER(SEARCH("겉감",소재DB_RAW!$M$3:$M$2000))*ISERROR(SEARCH("drop",소재DB_RAW!$C$3:$C$2000))))),"")</f>
        <v/>
      </c>
      <c r="Z63" s="26">
        <f>IFERROR(TEXTJOIN(CHAR(10),TRUE,UNIQUE(FILTER(소재DB_RAW!$N$3:$N$2000&amp;") "&amp;소재DB_RAW!$O$3:$O$2000,(소재DB_RAW!$G$3:$G$2000=$D63)*ISNUMBER(SEARCH("안감",소재DB_RAW!$M$3:$M$2000))*ISERROR(SEARCH("drop",소재DB_RAW!$C$3:$C$2000))))),"")</f>
        <v/>
      </c>
      <c r="AA63" s="22">
        <f>IFERROR(MAX(FILTER(소재DB_RAW!$AK$3:$AK$2000,(소재DB_RAW!$G$3:$G$2000=$D63)*ISERROR(SEARCH("drop",소재DB_RAW!$C$3:$C$2000))*(소재DB_RAW!$AK$3:$AK$2000&lt;&gt;""))),"")</f>
        <v/>
      </c>
      <c r="AB63" s="27" t="n">
        <v>4000</v>
      </c>
      <c r="AC63" s="27" t="n">
        <v>223356000</v>
      </c>
      <c r="AD63" s="27" t="n">
        <v>1160000000</v>
      </c>
      <c r="AE63" s="20" t="n"/>
      <c r="AF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G63" s="19">
        <f>IF($K63="","",IF(OR(LEFT($AF63,2)="작지",LEFT($AF63,4)="소재입고"),IF(LEFT($G63,1)="S","★ 납기위험(S코드)","◆ 지연주의"),IF($AF63="정상","✓ 정상","? 확인필요")))</f>
        <v/>
      </c>
      <c r="AH63" s="21" t="n"/>
      <c r="AI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19">
        <f>IF(COUNTIF(EDW_RAW!$A$2:$A$1500,$D64)=0,"",IF(COUNTIFS(EDW_RAW!$A$2:$A$1500,$D64,EDW_RAW!$R$2:$R$1500,"&lt;&gt;~",EDW_RAW!$R$2:$R$1500,"&lt;&gt;")=COUNTIF(EDW_RAW!$A$2:$A$1500,$D64),"O",IF(COUNTIFS(EDW_RAW!$A$2:$A$1500,$D64,EDW_RAW!$R$2:$R$1500,"&lt;&gt;~",EDW_RAW!$R$2:$R$1500,"&lt;&gt;")&gt;0,"부분","X")))</f>
        <v/>
      </c>
      <c r="R64" s="19">
        <f>IF(COUNTIF(EDW_RAW!$A$2:$A$1500,$D64)=0,"",IF(COUNTIFS(EDW_RAW!$A$2:$A$1500,$D64,EDW_RAW!$U$2:$U$1500,"&lt;&gt;~",EDW_RAW!$U$2:$U$1500,"&lt;&gt;")=COUNTIF(EDW_RAW!$A$2:$A$1500,$D64),"O",IF(COUNTIFS(EDW_RAW!$A$2:$A$1500,$D64,EDW_RAW!$U$2:$U$1500,"&lt;&gt;~",EDW_RAW!$U$2:$U$1500,"&lt;&gt;")&gt;0,"부분","X")))</f>
        <v/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",TRUE,UNIQUE(FILTER(소재DB_RAW!$K$3:$K$2000,(소재DB_RAW!$G$3:$G$2000=$D64)*ISERROR(SEARCH("drop",소재DB_RAW!$C$3:$C$2000))))),"")</f>
        <v/>
      </c>
      <c r="W64" s="20" t="inlineStr">
        <is>
          <t>베트남</t>
        </is>
      </c>
      <c r="X64" s="20">
        <f>IFERROR(TEXTJOIN(" / ",TRUE,UNIQUE(FILTER(소재DB_RAW!$N$3:$N$2000,(소재DB_RAW!$G$3:$G$2000=$D64)*ISERROR(SEARCH("drop",소재DB_RAW!$C$3:$C$2000))))),"")</f>
        <v/>
      </c>
      <c r="Y64" s="26">
        <f>IFERROR(TEXTJOIN(CHAR(10),TRUE,UNIQUE(FILTER(소재DB_RAW!$N$3:$N$2000&amp;") "&amp;소재DB_RAW!$O$3:$O$2000,(소재DB_RAW!$G$3:$G$2000=$D64)*ISNUMBER(SEARCH("겉감",소재DB_RAW!$M$3:$M$2000))*ISERROR(SEARCH("drop",소재DB_RAW!$C$3:$C$2000))))),"")</f>
        <v/>
      </c>
      <c r="Z64" s="26">
        <f>IFERROR(TEXTJOIN(CHAR(10),TRUE,UNIQUE(FILTER(소재DB_RAW!$N$3:$N$2000&amp;") "&amp;소재DB_RAW!$O$3:$O$2000,(소재DB_RAW!$G$3:$G$2000=$D64)*ISNUMBER(SEARCH("안감",소재DB_RAW!$M$3:$M$2000))*ISERROR(SEARCH("drop",소재DB_RAW!$C$3:$C$2000))))),"")</f>
        <v/>
      </c>
      <c r="AA64" s="22">
        <f>IFERROR(MAX(FILTER(소재DB_RAW!$AK$3:$AK$2000,(소재DB_RAW!$G$3:$G$2000=$D64)*ISERROR(SEARCH("drop",소재DB_RAW!$C$3:$C$2000))*(소재DB_RAW!$AK$3:$AK$2000&lt;&gt;""))),"")</f>
        <v/>
      </c>
      <c r="AB64" s="27" t="n">
        <v>2100</v>
      </c>
      <c r="AC64" s="27" t="n">
        <v>106062600</v>
      </c>
      <c r="AD64" s="27" t="n">
        <v>525000000</v>
      </c>
      <c r="AE64" s="20" t="n"/>
      <c r="AF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G64" s="19">
        <f>IF($K64="","",IF(OR(LEFT($AF64,2)="작지",LEFT($AF64,4)="소재입고"),IF(LEFT($G64,1)="S","★ 납기위험(S코드)","◆ 지연주의"),IF($AF64="정상","✓ 정상","? 확인필요")))</f>
        <v/>
      </c>
      <c r="AH64" s="21" t="n"/>
      <c r="AI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19">
        <f>IF(COUNTIF(EDW_RAW!$A$2:$A$1500,$D65)=0,"",IF(COUNTIFS(EDW_RAW!$A$2:$A$1500,$D65,EDW_RAW!$R$2:$R$1500,"&lt;&gt;~",EDW_RAW!$R$2:$R$1500,"&lt;&gt;")=COUNTIF(EDW_RAW!$A$2:$A$1500,$D65),"O",IF(COUNTIFS(EDW_RAW!$A$2:$A$1500,$D65,EDW_RAW!$R$2:$R$1500,"&lt;&gt;~",EDW_RAW!$R$2:$R$1500,"&lt;&gt;")&gt;0,"부분","X")))</f>
        <v/>
      </c>
      <c r="R65" s="19">
        <f>IF(COUNTIF(EDW_RAW!$A$2:$A$1500,$D65)=0,"",IF(COUNTIFS(EDW_RAW!$A$2:$A$1500,$D65,EDW_RAW!$U$2:$U$1500,"&lt;&gt;~",EDW_RAW!$U$2:$U$1500,"&lt;&gt;")=COUNTIF(EDW_RAW!$A$2:$A$1500,$D65),"O",IF(COUNTIFS(EDW_RAW!$A$2:$A$1500,$D65,EDW_RAW!$U$2:$U$1500,"&lt;&gt;~",EDW_RAW!$U$2:$U$1500,"&lt;&gt;")&gt;0,"부분","X")))</f>
        <v/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",TRUE,UNIQUE(FILTER(소재DB_RAW!$K$3:$K$2000,(소재DB_RAW!$G$3:$G$2000=$D65)*ISERROR(SEARCH("drop",소재DB_RAW!$C$3:$C$2000))))),"")</f>
        <v/>
      </c>
      <c r="W65" s="20" t="inlineStr">
        <is>
          <t>베트남</t>
        </is>
      </c>
      <c r="X65" s="20">
        <f>IFERROR(TEXTJOIN(" / ",TRUE,UNIQUE(FILTER(소재DB_RAW!$N$3:$N$2000,(소재DB_RAW!$G$3:$G$2000=$D65)*ISERROR(SEARCH("drop",소재DB_RAW!$C$3:$C$2000))))),"")</f>
        <v/>
      </c>
      <c r="Y65" s="26">
        <f>IFERROR(TEXTJOIN(CHAR(10),TRUE,UNIQUE(FILTER(소재DB_RAW!$N$3:$N$2000&amp;") "&amp;소재DB_RAW!$O$3:$O$2000,(소재DB_RAW!$G$3:$G$2000=$D65)*ISNUMBER(SEARCH("겉감",소재DB_RAW!$M$3:$M$2000))*ISERROR(SEARCH("drop",소재DB_RAW!$C$3:$C$2000))))),"")</f>
        <v/>
      </c>
      <c r="Z65" s="26">
        <f>IFERROR(TEXTJOIN(CHAR(10),TRUE,UNIQUE(FILTER(소재DB_RAW!$N$3:$N$2000&amp;") "&amp;소재DB_RAW!$O$3:$O$2000,(소재DB_RAW!$G$3:$G$2000=$D65)*ISNUMBER(SEARCH("안감",소재DB_RAW!$M$3:$M$2000))*ISERROR(SEARCH("drop",소재DB_RAW!$C$3:$C$2000))))),"")</f>
        <v/>
      </c>
      <c r="AA65" s="22">
        <f>IFERROR(MAX(FILTER(소재DB_RAW!$AK$3:$AK$2000,(소재DB_RAW!$G$3:$G$2000=$D65)*ISERROR(SEARCH("drop",소재DB_RAW!$C$3:$C$2000))*(소재DB_RAW!$AK$3:$AK$2000&lt;&gt;""))),"")</f>
        <v/>
      </c>
      <c r="AB65" s="27" t="n">
        <v>2200</v>
      </c>
      <c r="AC65" s="27" t="n">
        <v>84143400</v>
      </c>
      <c r="AD65" s="27" t="n">
        <v>413600000</v>
      </c>
      <c r="AE65" s="20" t="inlineStr">
        <is>
          <t>1월3주</t>
        </is>
      </c>
      <c r="AF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G65" s="19">
        <f>IF($K65="","",IF(OR(LEFT($AF65,2)="작지",LEFT($AF65,4)="소재입고"),IF(LEFT($G65,1)="S","★ 납기위험(S코드)","◆ 지연주의"),IF($AF65="정상","✓ 정상","? 확인필요")))</f>
        <v/>
      </c>
      <c r="AH65" s="21" t="n"/>
      <c r="AI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19">
        <f>IF(COUNTIF(EDW_RAW!$A$2:$A$1500,$D66)=0,"",IF(COUNTIFS(EDW_RAW!$A$2:$A$1500,$D66,EDW_RAW!$R$2:$R$1500,"&lt;&gt;~",EDW_RAW!$R$2:$R$1500,"&lt;&gt;")=COUNTIF(EDW_RAW!$A$2:$A$1500,$D66),"O",IF(COUNTIFS(EDW_RAW!$A$2:$A$1500,$D66,EDW_RAW!$R$2:$R$1500,"&lt;&gt;~",EDW_RAW!$R$2:$R$1500,"&lt;&gt;")&gt;0,"부분","X")))</f>
        <v/>
      </c>
      <c r="R66" s="19">
        <f>IF(COUNTIF(EDW_RAW!$A$2:$A$1500,$D66)=0,"",IF(COUNTIFS(EDW_RAW!$A$2:$A$1500,$D66,EDW_RAW!$U$2:$U$1500,"&lt;&gt;~",EDW_RAW!$U$2:$U$1500,"&lt;&gt;")=COUNTIF(EDW_RAW!$A$2:$A$1500,$D66),"O",IF(COUNTIFS(EDW_RAW!$A$2:$A$1500,$D66,EDW_RAW!$U$2:$U$1500,"&lt;&gt;~",EDW_RAW!$U$2:$U$1500,"&lt;&gt;")&gt;0,"부분","X")))</f>
        <v/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",TRUE,UNIQUE(FILTER(소재DB_RAW!$K$3:$K$2000,(소재DB_RAW!$G$3:$G$2000=$D66)*ISERROR(SEARCH("drop",소재DB_RAW!$C$3:$C$2000))))),"")</f>
        <v/>
      </c>
      <c r="W66" s="20" t="inlineStr">
        <is>
          <t>베트남</t>
        </is>
      </c>
      <c r="X66" s="20">
        <f>IFERROR(TEXTJOIN(" / ",TRUE,UNIQUE(FILTER(소재DB_RAW!$N$3:$N$2000,(소재DB_RAW!$G$3:$G$2000=$D66)*ISERROR(SEARCH("drop",소재DB_RAW!$C$3:$C$2000))))),"")</f>
        <v/>
      </c>
      <c r="Y66" s="26">
        <f>IFERROR(TEXTJOIN(CHAR(10),TRUE,UNIQUE(FILTER(소재DB_RAW!$N$3:$N$2000&amp;") "&amp;소재DB_RAW!$O$3:$O$2000,(소재DB_RAW!$G$3:$G$2000=$D66)*ISNUMBER(SEARCH("겉감",소재DB_RAW!$M$3:$M$2000))*ISERROR(SEARCH("drop",소재DB_RAW!$C$3:$C$2000))))),"")</f>
        <v/>
      </c>
      <c r="Z66" s="26">
        <f>IFERROR(TEXTJOIN(CHAR(10),TRUE,UNIQUE(FILTER(소재DB_RAW!$N$3:$N$2000&amp;") "&amp;소재DB_RAW!$O$3:$O$2000,(소재DB_RAW!$G$3:$G$2000=$D66)*ISNUMBER(SEARCH("안감",소재DB_RAW!$M$3:$M$2000))*ISERROR(SEARCH("drop",소재DB_RAW!$C$3:$C$2000))))),"")</f>
        <v/>
      </c>
      <c r="AA66" s="22">
        <f>IFERROR(MAX(FILTER(소재DB_RAW!$AK$3:$AK$2000,(소재DB_RAW!$G$3:$G$2000=$D66)*ISERROR(SEARCH("drop",소재DB_RAW!$C$3:$C$2000))*(소재DB_RAW!$AK$3:$AK$2000&lt;&gt;""))),"")</f>
        <v/>
      </c>
      <c r="AB66" s="27" t="n">
        <v>1800</v>
      </c>
      <c r="AC66" s="27" t="n">
        <v>62686800</v>
      </c>
      <c r="AD66" s="27" t="n">
        <v>338400000</v>
      </c>
      <c r="AE66" s="20" t="inlineStr">
        <is>
          <t>1월3주</t>
        </is>
      </c>
      <c r="AF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G66" s="19">
        <f>IF($K66="","",IF(OR(LEFT($AF66,2)="작지",LEFT($AF66,4)="소재입고"),IF(LEFT($G66,1)="S","★ 납기위험(S코드)","◆ 지연주의"),IF($AF66="정상","✓ 정상","? 확인필요")))</f>
        <v/>
      </c>
      <c r="AH66" s="21" t="n"/>
      <c r="AI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19">
        <f>IF(COUNTIF(EDW_RAW!$A$2:$A$1500,$D67)=0,"",IF(COUNTIFS(EDW_RAW!$A$2:$A$1500,$D67,EDW_RAW!$R$2:$R$1500,"&lt;&gt;~",EDW_RAW!$R$2:$R$1500,"&lt;&gt;")=COUNTIF(EDW_RAW!$A$2:$A$1500,$D67),"O",IF(COUNTIFS(EDW_RAW!$A$2:$A$1500,$D67,EDW_RAW!$R$2:$R$1500,"&lt;&gt;~",EDW_RAW!$R$2:$R$1500,"&lt;&gt;")&gt;0,"부분","X")))</f>
        <v/>
      </c>
      <c r="R67" s="19">
        <f>IF(COUNTIF(EDW_RAW!$A$2:$A$1500,$D67)=0,"",IF(COUNTIFS(EDW_RAW!$A$2:$A$1500,$D67,EDW_RAW!$U$2:$U$1500,"&lt;&gt;~",EDW_RAW!$U$2:$U$1500,"&lt;&gt;")=COUNTIF(EDW_RAW!$A$2:$A$1500,$D67),"O",IF(COUNTIFS(EDW_RAW!$A$2:$A$1500,$D67,EDW_RAW!$U$2:$U$1500,"&lt;&gt;~",EDW_RAW!$U$2:$U$1500,"&lt;&gt;")&gt;0,"부분","X")))</f>
        <v/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",TRUE,UNIQUE(FILTER(소재DB_RAW!$K$3:$K$2000,(소재DB_RAW!$G$3:$G$2000=$D67)*ISERROR(SEARCH("drop",소재DB_RAW!$C$3:$C$2000))))),"")</f>
        <v/>
      </c>
      <c r="W67" s="20" t="inlineStr">
        <is>
          <t>베트남</t>
        </is>
      </c>
      <c r="X67" s="20">
        <f>IFERROR(TEXTJOIN(" / ",TRUE,UNIQUE(FILTER(소재DB_RAW!$N$3:$N$2000,(소재DB_RAW!$G$3:$G$2000=$D67)*ISERROR(SEARCH("drop",소재DB_RAW!$C$3:$C$2000))))),"")</f>
        <v/>
      </c>
      <c r="Y67" s="26">
        <f>IFERROR(TEXTJOIN(CHAR(10),TRUE,UNIQUE(FILTER(소재DB_RAW!$N$3:$N$2000&amp;") "&amp;소재DB_RAW!$O$3:$O$2000,(소재DB_RAW!$G$3:$G$2000=$D67)*ISNUMBER(SEARCH("겉감",소재DB_RAW!$M$3:$M$2000))*ISERROR(SEARCH("drop",소재DB_RAW!$C$3:$C$2000))))),"")</f>
        <v/>
      </c>
      <c r="Z67" s="26">
        <f>IFERROR(TEXTJOIN(CHAR(10),TRUE,UNIQUE(FILTER(소재DB_RAW!$N$3:$N$2000&amp;") "&amp;소재DB_RAW!$O$3:$O$2000,(소재DB_RAW!$G$3:$G$2000=$D67)*ISNUMBER(SEARCH("안감",소재DB_RAW!$M$3:$M$2000))*ISERROR(SEARCH("drop",소재DB_RAW!$C$3:$C$2000))))),"")</f>
        <v/>
      </c>
      <c r="AA67" s="22">
        <f>IFERROR(MAX(FILTER(소재DB_RAW!$AK$3:$AK$2000,(소재DB_RAW!$G$3:$G$2000=$D67)*ISERROR(SEARCH("drop",소재DB_RAW!$C$3:$C$2000))*(소재DB_RAW!$AK$3:$AK$2000&lt;&gt;""))),"")</f>
        <v/>
      </c>
      <c r="AB67" s="27" t="n">
        <v>1800</v>
      </c>
      <c r="AC67" s="27" t="n">
        <v>55549800</v>
      </c>
      <c r="AD67" s="27" t="n">
        <v>320400000</v>
      </c>
      <c r="AE67" s="20" t="inlineStr">
        <is>
          <t>1월3주</t>
        </is>
      </c>
      <c r="AF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G67" s="19">
        <f>IF($K67="","",IF(OR(LEFT($AF67,2)="작지",LEFT($AF67,4)="소재입고"),IF(LEFT($G67,1)="S","★ 납기위험(S코드)","◆ 지연주의"),IF($AF67="정상","✓ 정상","? 확인필요")))</f>
        <v/>
      </c>
      <c r="AH67" s="21" t="n"/>
      <c r="AI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19">
        <f>IF(COUNTIF(EDW_RAW!$A$2:$A$1500,$D68)=0,"",IF(COUNTIFS(EDW_RAW!$A$2:$A$1500,$D68,EDW_RAW!$R$2:$R$1500,"&lt;&gt;~",EDW_RAW!$R$2:$R$1500,"&lt;&gt;")=COUNTIF(EDW_RAW!$A$2:$A$1500,$D68),"O",IF(COUNTIFS(EDW_RAW!$A$2:$A$1500,$D68,EDW_RAW!$R$2:$R$1500,"&lt;&gt;~",EDW_RAW!$R$2:$R$1500,"&lt;&gt;")&gt;0,"부분","X")))</f>
        <v/>
      </c>
      <c r="R68" s="19">
        <f>IF(COUNTIF(EDW_RAW!$A$2:$A$1500,$D68)=0,"",IF(COUNTIFS(EDW_RAW!$A$2:$A$1500,$D68,EDW_RAW!$U$2:$U$1500,"&lt;&gt;~",EDW_RAW!$U$2:$U$1500,"&lt;&gt;")=COUNTIF(EDW_RAW!$A$2:$A$1500,$D68),"O",IF(COUNTIFS(EDW_RAW!$A$2:$A$1500,$D68,EDW_RAW!$U$2:$U$1500,"&lt;&gt;~",EDW_RAW!$U$2:$U$1500,"&lt;&gt;")&gt;0,"부분","X")))</f>
        <v/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",TRUE,UNIQUE(FILTER(소재DB_RAW!$K$3:$K$2000,(소재DB_RAW!$G$3:$G$2000=$D68)*ISERROR(SEARCH("drop",소재DB_RAW!$C$3:$C$2000))))),"")</f>
        <v/>
      </c>
      <c r="W68" s="20" t="inlineStr">
        <is>
          <t>베트남</t>
        </is>
      </c>
      <c r="X68" s="20">
        <f>IFERROR(TEXTJOIN(" / ",TRUE,UNIQUE(FILTER(소재DB_RAW!$N$3:$N$2000,(소재DB_RAW!$G$3:$G$2000=$D68)*ISERROR(SEARCH("drop",소재DB_RAW!$C$3:$C$2000))))),"")</f>
        <v/>
      </c>
      <c r="Y68" s="26">
        <f>IFERROR(TEXTJOIN(CHAR(10),TRUE,UNIQUE(FILTER(소재DB_RAW!$N$3:$N$2000&amp;") "&amp;소재DB_RAW!$O$3:$O$2000,(소재DB_RAW!$G$3:$G$2000=$D68)*ISNUMBER(SEARCH("겉감",소재DB_RAW!$M$3:$M$2000))*ISERROR(SEARCH("drop",소재DB_RAW!$C$3:$C$2000))))),"")</f>
        <v/>
      </c>
      <c r="Z68" s="26">
        <f>IFERROR(TEXTJOIN(CHAR(10),TRUE,UNIQUE(FILTER(소재DB_RAW!$N$3:$N$2000&amp;") "&amp;소재DB_RAW!$O$3:$O$2000,(소재DB_RAW!$G$3:$G$2000=$D68)*ISNUMBER(SEARCH("안감",소재DB_RAW!$M$3:$M$2000))*ISERROR(SEARCH("drop",소재DB_RAW!$C$3:$C$2000))))),"")</f>
        <v/>
      </c>
      <c r="AA68" s="22">
        <f>IFERROR(MAX(FILTER(소재DB_RAW!$AK$3:$AK$2000,(소재DB_RAW!$G$3:$G$2000=$D68)*ISERROR(SEARCH("drop",소재DB_RAW!$C$3:$C$2000))*(소재DB_RAW!$AK$3:$AK$2000&lt;&gt;""))),"")</f>
        <v/>
      </c>
      <c r="AB68" s="27" t="n">
        <v>2200</v>
      </c>
      <c r="AC68" s="27" t="n">
        <v>84966200</v>
      </c>
      <c r="AD68" s="27" t="n">
        <v>413600000</v>
      </c>
      <c r="AE68" s="20" t="inlineStr">
        <is>
          <t>1월3주</t>
        </is>
      </c>
      <c r="AF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G68" s="19">
        <f>IF($K68="","",IF(OR(LEFT($AF68,2)="작지",LEFT($AF68,4)="소재입고"),IF(LEFT($G68,1)="S","★ 납기위험(S코드)","◆ 지연주의"),IF($AF68="정상","✓ 정상","? 확인필요")))</f>
        <v/>
      </c>
      <c r="AH68" s="21" t="n"/>
      <c r="AI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19">
        <f>IF(COUNTIF(EDW_RAW!$A$2:$A$1500,$D69)=0,"",IF(COUNTIFS(EDW_RAW!$A$2:$A$1500,$D69,EDW_RAW!$R$2:$R$1500,"&lt;&gt;~",EDW_RAW!$R$2:$R$1500,"&lt;&gt;")=COUNTIF(EDW_RAW!$A$2:$A$1500,$D69),"O",IF(COUNTIFS(EDW_RAW!$A$2:$A$1500,$D69,EDW_RAW!$R$2:$R$1500,"&lt;&gt;~",EDW_RAW!$R$2:$R$1500,"&lt;&gt;")&gt;0,"부분","X")))</f>
        <v/>
      </c>
      <c r="R69" s="19">
        <f>IF(COUNTIF(EDW_RAW!$A$2:$A$1500,$D69)=0,"",IF(COUNTIFS(EDW_RAW!$A$2:$A$1500,$D69,EDW_RAW!$U$2:$U$1500,"&lt;&gt;~",EDW_RAW!$U$2:$U$1500,"&lt;&gt;")=COUNTIF(EDW_RAW!$A$2:$A$1500,$D69),"O",IF(COUNTIFS(EDW_RAW!$A$2:$A$1500,$D69,EDW_RAW!$U$2:$U$1500,"&lt;&gt;~",EDW_RAW!$U$2:$U$1500,"&lt;&gt;")&gt;0,"부분","X")))</f>
        <v/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",TRUE,UNIQUE(FILTER(소재DB_RAW!$K$3:$K$2000,(소재DB_RAW!$G$3:$G$2000=$D69)*ISERROR(SEARCH("drop",소재DB_RAW!$C$3:$C$2000))))),"")</f>
        <v/>
      </c>
      <c r="W69" s="20" t="inlineStr">
        <is>
          <t>인도네시아</t>
        </is>
      </c>
      <c r="X69" s="20">
        <f>IFERROR(TEXTJOIN(" / ",TRUE,UNIQUE(FILTER(소재DB_RAW!$N$3:$N$2000,(소재DB_RAW!$G$3:$G$2000=$D69)*ISERROR(SEARCH("drop",소재DB_RAW!$C$3:$C$2000))))),"")</f>
        <v/>
      </c>
      <c r="Y69" s="26">
        <f>IFERROR(TEXTJOIN(CHAR(10),TRUE,UNIQUE(FILTER(소재DB_RAW!$N$3:$N$2000&amp;") "&amp;소재DB_RAW!$O$3:$O$2000,(소재DB_RAW!$G$3:$G$2000=$D69)*ISNUMBER(SEARCH("겉감",소재DB_RAW!$M$3:$M$2000))*ISERROR(SEARCH("drop",소재DB_RAW!$C$3:$C$2000))))),"")</f>
        <v/>
      </c>
      <c r="Z69" s="26">
        <f>IFERROR(TEXTJOIN(CHAR(10),TRUE,UNIQUE(FILTER(소재DB_RAW!$N$3:$N$2000&amp;") "&amp;소재DB_RAW!$O$3:$O$2000,(소재DB_RAW!$G$3:$G$2000=$D69)*ISNUMBER(SEARCH("안감",소재DB_RAW!$M$3:$M$2000))*ISERROR(SEARCH("drop",소재DB_RAW!$C$3:$C$2000))))),"")</f>
        <v/>
      </c>
      <c r="AA69" s="22">
        <f>IFERROR(MAX(FILTER(소재DB_RAW!$AK$3:$AK$2000,(소재DB_RAW!$G$3:$G$2000=$D69)*ISERROR(SEARCH("drop",소재DB_RAW!$C$3:$C$2000))*(소재DB_RAW!$AK$3:$AK$2000&lt;&gt;""))),"")</f>
        <v/>
      </c>
      <c r="AB69" s="27" t="n">
        <v>1200</v>
      </c>
      <c r="AC69" s="27" t="n">
        <v>36117600</v>
      </c>
      <c r="AD69" s="27" t="n">
        <v>225600000</v>
      </c>
      <c r="AE69" s="20" t="inlineStr">
        <is>
          <t>1월3주</t>
        </is>
      </c>
      <c r="AF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G69" s="19">
        <f>IF($K69="","",IF(OR(LEFT($AF69,2)="작지",LEFT($AF69,4)="소재입고"),IF(LEFT($G69,1)="S","★ 납기위험(S코드)","◆ 지연주의"),IF($AF69="정상","✓ 정상","? 확인필요")))</f>
        <v/>
      </c>
      <c r="AH69" s="21" t="n"/>
      <c r="AI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19">
        <f>IF(COUNTIF(EDW_RAW!$A$2:$A$1500,$D70)=0,"",IF(COUNTIFS(EDW_RAW!$A$2:$A$1500,$D70,EDW_RAW!$R$2:$R$1500,"&lt;&gt;~",EDW_RAW!$R$2:$R$1500,"&lt;&gt;")=COUNTIF(EDW_RAW!$A$2:$A$1500,$D70),"O",IF(COUNTIFS(EDW_RAW!$A$2:$A$1500,$D70,EDW_RAW!$R$2:$R$1500,"&lt;&gt;~",EDW_RAW!$R$2:$R$1500,"&lt;&gt;")&gt;0,"부분","X")))</f>
        <v/>
      </c>
      <c r="R70" s="19">
        <f>IF(COUNTIF(EDW_RAW!$A$2:$A$1500,$D70)=0,"",IF(COUNTIFS(EDW_RAW!$A$2:$A$1500,$D70,EDW_RAW!$U$2:$U$1500,"&lt;&gt;~",EDW_RAW!$U$2:$U$1500,"&lt;&gt;")=COUNTIF(EDW_RAW!$A$2:$A$1500,$D70),"O",IF(COUNTIFS(EDW_RAW!$A$2:$A$1500,$D70,EDW_RAW!$U$2:$U$1500,"&lt;&gt;~",EDW_RAW!$U$2:$U$1500,"&lt;&gt;")&gt;0,"부분","X")))</f>
        <v/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",TRUE,UNIQUE(FILTER(소재DB_RAW!$K$3:$K$2000,(소재DB_RAW!$G$3:$G$2000=$D70)*ISERROR(SEARCH("drop",소재DB_RAW!$C$3:$C$2000))))),"")</f>
        <v/>
      </c>
      <c r="W70" s="20" t="inlineStr">
        <is>
          <t>베트남</t>
        </is>
      </c>
      <c r="X70" s="20">
        <f>IFERROR(TEXTJOIN(" / ",TRUE,UNIQUE(FILTER(소재DB_RAW!$N$3:$N$2000,(소재DB_RAW!$G$3:$G$2000=$D70)*ISERROR(SEARCH("drop",소재DB_RAW!$C$3:$C$2000))))),"")</f>
        <v/>
      </c>
      <c r="Y70" s="26">
        <f>IFERROR(TEXTJOIN(CHAR(10),TRUE,UNIQUE(FILTER(소재DB_RAW!$N$3:$N$2000&amp;") "&amp;소재DB_RAW!$O$3:$O$2000,(소재DB_RAW!$G$3:$G$2000=$D70)*ISNUMBER(SEARCH("겉감",소재DB_RAW!$M$3:$M$2000))*ISERROR(SEARCH("drop",소재DB_RAW!$C$3:$C$2000))))),"")</f>
        <v/>
      </c>
      <c r="Z70" s="26">
        <f>IFERROR(TEXTJOIN(CHAR(10),TRUE,UNIQUE(FILTER(소재DB_RAW!$N$3:$N$2000&amp;") "&amp;소재DB_RAW!$O$3:$O$2000,(소재DB_RAW!$G$3:$G$2000=$D70)*ISNUMBER(SEARCH("안감",소재DB_RAW!$M$3:$M$2000))*ISERROR(SEARCH("drop",소재DB_RAW!$C$3:$C$2000))))),"")</f>
        <v/>
      </c>
      <c r="AA70" s="22">
        <f>IFERROR(MAX(FILTER(소재DB_RAW!$AK$3:$AK$2000,(소재DB_RAW!$G$3:$G$2000=$D70)*ISERROR(SEARCH("drop",소재DB_RAW!$C$3:$C$2000))*(소재DB_RAW!$AK$3:$AK$2000&lt;&gt;""))),"")</f>
        <v/>
      </c>
      <c r="AB70" s="27" t="n">
        <v>450</v>
      </c>
      <c r="AC70" s="27" t="n">
        <v>24435450</v>
      </c>
      <c r="AD70" s="27" t="n">
        <v>130500000</v>
      </c>
      <c r="AE70" s="20" t="n"/>
      <c r="AF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G70" s="19">
        <f>IF($K70="","",IF(OR(LEFT($AF70,2)="작지",LEFT($AF70,4)="소재입고"),IF(LEFT($G70,1)="S","★ 납기위험(S코드)","◆ 지연주의"),IF($AF70="정상","✓ 정상","? 확인필요")))</f>
        <v/>
      </c>
      <c r="AH70" s="21" t="n"/>
      <c r="AI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19">
        <f>IF(COUNTIF(EDW_RAW!$A$2:$A$1500,$D71)=0,"",IF(COUNTIFS(EDW_RAW!$A$2:$A$1500,$D71,EDW_RAW!$R$2:$R$1500,"&lt;&gt;~",EDW_RAW!$R$2:$R$1500,"&lt;&gt;")=COUNTIF(EDW_RAW!$A$2:$A$1500,$D71),"O",IF(COUNTIFS(EDW_RAW!$A$2:$A$1500,$D71,EDW_RAW!$R$2:$R$1500,"&lt;&gt;~",EDW_RAW!$R$2:$R$1500,"&lt;&gt;")&gt;0,"부분","X")))</f>
        <v/>
      </c>
      <c r="R71" s="19">
        <f>IF(COUNTIF(EDW_RAW!$A$2:$A$1500,$D71)=0,"",IF(COUNTIFS(EDW_RAW!$A$2:$A$1500,$D71,EDW_RAW!$U$2:$U$1500,"&lt;&gt;~",EDW_RAW!$U$2:$U$1500,"&lt;&gt;")=COUNTIF(EDW_RAW!$A$2:$A$1500,$D71),"O",IF(COUNTIFS(EDW_RAW!$A$2:$A$1500,$D71,EDW_RAW!$U$2:$U$1500,"&lt;&gt;~",EDW_RAW!$U$2:$U$1500,"&lt;&gt;")&gt;0,"부분","X")))</f>
        <v/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",TRUE,UNIQUE(FILTER(소재DB_RAW!$K$3:$K$2000,(소재DB_RAW!$G$3:$G$2000=$D71)*ISERROR(SEARCH("drop",소재DB_RAW!$C$3:$C$2000))))),"")</f>
        <v/>
      </c>
      <c r="W71" s="20" t="inlineStr">
        <is>
          <t>베트남</t>
        </is>
      </c>
      <c r="X71" s="20">
        <f>IFERROR(TEXTJOIN(" / ",TRUE,UNIQUE(FILTER(소재DB_RAW!$N$3:$N$2000,(소재DB_RAW!$G$3:$G$2000=$D71)*ISERROR(SEARCH("drop",소재DB_RAW!$C$3:$C$2000))))),"")</f>
        <v/>
      </c>
      <c r="Y71" s="26">
        <f>IFERROR(TEXTJOIN(CHAR(10),TRUE,UNIQUE(FILTER(소재DB_RAW!$N$3:$N$2000&amp;") "&amp;소재DB_RAW!$O$3:$O$2000,(소재DB_RAW!$G$3:$G$2000=$D71)*ISNUMBER(SEARCH("겉감",소재DB_RAW!$M$3:$M$2000))*ISERROR(SEARCH("drop",소재DB_RAW!$C$3:$C$2000))))),"")</f>
        <v/>
      </c>
      <c r="Z71" s="26">
        <f>IFERROR(TEXTJOIN(CHAR(10),TRUE,UNIQUE(FILTER(소재DB_RAW!$N$3:$N$2000&amp;") "&amp;소재DB_RAW!$O$3:$O$2000,(소재DB_RAW!$G$3:$G$2000=$D71)*ISNUMBER(SEARCH("안감",소재DB_RAW!$M$3:$M$2000))*ISERROR(SEARCH("drop",소재DB_RAW!$C$3:$C$2000))))),"")</f>
        <v/>
      </c>
      <c r="AA71" s="22">
        <f>IFERROR(MAX(FILTER(소재DB_RAW!$AK$3:$AK$2000,(소재DB_RAW!$G$3:$G$2000=$D71)*ISERROR(SEARCH("drop",소재DB_RAW!$C$3:$C$2000))*(소재DB_RAW!$AK$3:$AK$2000&lt;&gt;""))),"")</f>
        <v/>
      </c>
      <c r="AB71" s="27" t="n">
        <v>400</v>
      </c>
      <c r="AC71" s="27" t="n">
        <v>13356000</v>
      </c>
      <c r="AD71" s="27" t="n">
        <v>59200000</v>
      </c>
      <c r="AE71" s="20" t="n"/>
      <c r="AF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G71" s="19">
        <f>IF($K71="","",IF(OR(LEFT($AF71,2)="작지",LEFT($AF71,4)="소재입고"),IF(LEFT($G71,1)="S","★ 납기위험(S코드)","◆ 지연주의"),IF($AF71="정상","✓ 정상","? 확인필요")))</f>
        <v/>
      </c>
      <c r="AH71" s="21" t="n"/>
      <c r="AI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19">
        <f>IF(COUNTIF(EDW_RAW!$A$2:$A$1500,$D72)=0,"",IF(COUNTIFS(EDW_RAW!$A$2:$A$1500,$D72,EDW_RAW!$R$2:$R$1500,"&lt;&gt;~",EDW_RAW!$R$2:$R$1500,"&lt;&gt;")=COUNTIF(EDW_RAW!$A$2:$A$1500,$D72),"O",IF(COUNTIFS(EDW_RAW!$A$2:$A$1500,$D72,EDW_RAW!$R$2:$R$1500,"&lt;&gt;~",EDW_RAW!$R$2:$R$1500,"&lt;&gt;")&gt;0,"부분","X")))</f>
        <v/>
      </c>
      <c r="R72" s="19">
        <f>IF(COUNTIF(EDW_RAW!$A$2:$A$1500,$D72)=0,"",IF(COUNTIFS(EDW_RAW!$A$2:$A$1500,$D72,EDW_RAW!$U$2:$U$1500,"&lt;&gt;~",EDW_RAW!$U$2:$U$1500,"&lt;&gt;")=COUNTIF(EDW_RAW!$A$2:$A$1500,$D72),"O",IF(COUNTIFS(EDW_RAW!$A$2:$A$1500,$D72,EDW_RAW!$U$2:$U$1500,"&lt;&gt;~",EDW_RAW!$U$2:$U$1500,"&lt;&gt;")&gt;0,"부분","X")))</f>
        <v/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",TRUE,UNIQUE(FILTER(소재DB_RAW!$K$3:$K$2000,(소재DB_RAW!$G$3:$G$2000=$D72)*ISERROR(SEARCH("drop",소재DB_RAW!$C$3:$C$2000))))),"")</f>
        <v/>
      </c>
      <c r="W72" s="20" t="inlineStr">
        <is>
          <t>인도네시아</t>
        </is>
      </c>
      <c r="X72" s="20">
        <f>IFERROR(TEXTJOIN(" / ",TRUE,UNIQUE(FILTER(소재DB_RAW!$N$3:$N$2000,(소재DB_RAW!$G$3:$G$2000=$D72)*ISERROR(SEARCH("drop",소재DB_RAW!$C$3:$C$2000))))),"")</f>
        <v/>
      </c>
      <c r="Y72" s="26">
        <f>IFERROR(TEXTJOIN(CHAR(10),TRUE,UNIQUE(FILTER(소재DB_RAW!$N$3:$N$2000&amp;") "&amp;소재DB_RAW!$O$3:$O$2000,(소재DB_RAW!$G$3:$G$2000=$D72)*ISNUMBER(SEARCH("겉감",소재DB_RAW!$M$3:$M$2000))*ISERROR(SEARCH("drop",소재DB_RAW!$C$3:$C$2000))))),"")</f>
        <v/>
      </c>
      <c r="Z72" s="26">
        <f>IFERROR(TEXTJOIN(CHAR(10),TRUE,UNIQUE(FILTER(소재DB_RAW!$N$3:$N$2000&amp;") "&amp;소재DB_RAW!$O$3:$O$2000,(소재DB_RAW!$G$3:$G$2000=$D72)*ISNUMBER(SEARCH("안감",소재DB_RAW!$M$3:$M$2000))*ISERROR(SEARCH("drop",소재DB_RAW!$C$3:$C$2000))))),"")</f>
        <v/>
      </c>
      <c r="AA72" s="22">
        <f>IFERROR(MAX(FILTER(소재DB_RAW!$AK$3:$AK$2000,(소재DB_RAW!$G$3:$G$2000=$D72)*ISERROR(SEARCH("drop",소재DB_RAW!$C$3:$C$2000))*(소재DB_RAW!$AK$3:$AK$2000&lt;&gt;""))),"")</f>
        <v/>
      </c>
      <c r="AB72" s="27" t="n">
        <v>305</v>
      </c>
      <c r="AC72" s="27" t="n">
        <v>17391405</v>
      </c>
      <c r="AD72" s="27" t="n">
        <v>76250000</v>
      </c>
      <c r="AE72" s="20" t="n"/>
      <c r="AF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G72" s="19">
        <f>IF($K72="","",IF(OR(LEFT($AF72,2)="작지",LEFT($AF72,4)="소재입고"),IF(LEFT($G72,1)="S","★ 납기위험(S코드)","◆ 지연주의"),IF($AF72="정상","✓ 정상","? 확인필요")))</f>
        <v/>
      </c>
      <c r="AH72" s="21" t="n"/>
      <c r="AI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19">
        <f>IF(COUNTIF(EDW_RAW!$A$2:$A$1500,$D73)=0,"",IF(COUNTIFS(EDW_RAW!$A$2:$A$1500,$D73,EDW_RAW!$R$2:$R$1500,"&lt;&gt;~",EDW_RAW!$R$2:$R$1500,"&lt;&gt;")=COUNTIF(EDW_RAW!$A$2:$A$1500,$D73),"O",IF(COUNTIFS(EDW_RAW!$A$2:$A$1500,$D73,EDW_RAW!$R$2:$R$1500,"&lt;&gt;~",EDW_RAW!$R$2:$R$1500,"&lt;&gt;")&gt;0,"부분","X")))</f>
        <v/>
      </c>
      <c r="R73" s="19">
        <f>IF(COUNTIF(EDW_RAW!$A$2:$A$1500,$D73)=0,"",IF(COUNTIFS(EDW_RAW!$A$2:$A$1500,$D73,EDW_RAW!$U$2:$U$1500,"&lt;&gt;~",EDW_RAW!$U$2:$U$1500,"&lt;&gt;")=COUNTIF(EDW_RAW!$A$2:$A$1500,$D73),"O",IF(COUNTIFS(EDW_RAW!$A$2:$A$1500,$D73,EDW_RAW!$U$2:$U$1500,"&lt;&gt;~",EDW_RAW!$U$2:$U$1500,"&lt;&gt;")&gt;0,"부분","X")))</f>
        <v/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",TRUE,UNIQUE(FILTER(소재DB_RAW!$K$3:$K$2000,(소재DB_RAW!$G$3:$G$2000=$D73)*ISERROR(SEARCH("drop",소재DB_RAW!$C$3:$C$2000))))),"")</f>
        <v/>
      </c>
      <c r="W73" s="20" t="inlineStr">
        <is>
          <t>베트남</t>
        </is>
      </c>
      <c r="X73" s="20">
        <f>IFERROR(TEXTJOIN(" / ",TRUE,UNIQUE(FILTER(소재DB_RAW!$N$3:$N$2000,(소재DB_RAW!$G$3:$G$2000=$D73)*ISERROR(SEARCH("drop",소재DB_RAW!$C$3:$C$2000))))),"")</f>
        <v/>
      </c>
      <c r="Y73" s="26">
        <f>IFERROR(TEXTJOIN(CHAR(10),TRUE,UNIQUE(FILTER(소재DB_RAW!$N$3:$N$2000&amp;") "&amp;소재DB_RAW!$O$3:$O$2000,(소재DB_RAW!$G$3:$G$2000=$D73)*ISNUMBER(SEARCH("겉감",소재DB_RAW!$M$3:$M$2000))*ISERROR(SEARCH("drop",소재DB_RAW!$C$3:$C$2000))))),"")</f>
        <v/>
      </c>
      <c r="Z73" s="26">
        <f>IFERROR(TEXTJOIN(CHAR(10),TRUE,UNIQUE(FILTER(소재DB_RAW!$N$3:$N$2000&amp;") "&amp;소재DB_RAW!$O$3:$O$2000,(소재DB_RAW!$G$3:$G$2000=$D73)*ISNUMBER(SEARCH("안감",소재DB_RAW!$M$3:$M$2000))*ISERROR(SEARCH("drop",소재DB_RAW!$C$3:$C$2000))))),"")</f>
        <v/>
      </c>
      <c r="AA73" s="22">
        <f>IFERROR(MAX(FILTER(소재DB_RAW!$AK$3:$AK$2000,(소재DB_RAW!$G$3:$G$2000=$D73)*ISERROR(SEARCH("drop",소재DB_RAW!$C$3:$C$2000))*(소재DB_RAW!$AK$3:$AK$2000&lt;&gt;""))),"")</f>
        <v/>
      </c>
      <c r="AB73" s="27" t="n">
        <v>650</v>
      </c>
      <c r="AC73" s="27" t="n">
        <v>36090600</v>
      </c>
      <c r="AD73" s="27" t="n">
        <v>188500000</v>
      </c>
      <c r="AE73" s="20" t="n"/>
      <c r="AF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G73" s="19">
        <f>IF($K73="","",IF(OR(LEFT($AF73,2)="작지",LEFT($AF73,4)="소재입고"),IF(LEFT($G73,1)="S","★ 납기위험(S코드)","◆ 지연주의"),IF($AF73="정상","✓ 정상","? 확인필요")))</f>
        <v/>
      </c>
      <c r="AH73" s="21" t="n"/>
      <c r="AI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19">
        <f>IF(COUNTIF(EDW_RAW!$A$2:$A$1500,$D74)=0,"",IF(COUNTIFS(EDW_RAW!$A$2:$A$1500,$D74,EDW_RAW!$R$2:$R$1500,"&lt;&gt;~",EDW_RAW!$R$2:$R$1500,"&lt;&gt;")=COUNTIF(EDW_RAW!$A$2:$A$1500,$D74),"O",IF(COUNTIFS(EDW_RAW!$A$2:$A$1500,$D74,EDW_RAW!$R$2:$R$1500,"&lt;&gt;~",EDW_RAW!$R$2:$R$1500,"&lt;&gt;")&gt;0,"부분","X")))</f>
        <v/>
      </c>
      <c r="R74" s="19">
        <f>IF(COUNTIF(EDW_RAW!$A$2:$A$1500,$D74)=0,"",IF(COUNTIFS(EDW_RAW!$A$2:$A$1500,$D74,EDW_RAW!$U$2:$U$1500,"&lt;&gt;~",EDW_RAW!$U$2:$U$1500,"&lt;&gt;")=COUNTIF(EDW_RAW!$A$2:$A$1500,$D74),"O",IF(COUNTIFS(EDW_RAW!$A$2:$A$1500,$D74,EDW_RAW!$U$2:$U$1500,"&lt;&gt;~",EDW_RAW!$U$2:$U$1500,"&lt;&gt;")&gt;0,"부분","X")))</f>
        <v/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",TRUE,UNIQUE(FILTER(소재DB_RAW!$K$3:$K$2000,(소재DB_RAW!$G$3:$G$2000=$D74)*ISERROR(SEARCH("drop",소재DB_RAW!$C$3:$C$2000))))),"")</f>
        <v/>
      </c>
      <c r="W74" s="20" t="inlineStr">
        <is>
          <t>인도네시아</t>
        </is>
      </c>
      <c r="X74" s="20">
        <f>IFERROR(TEXTJOIN(" / ",TRUE,UNIQUE(FILTER(소재DB_RAW!$N$3:$N$2000,(소재DB_RAW!$G$3:$G$2000=$D74)*ISERROR(SEARCH("drop",소재DB_RAW!$C$3:$C$2000))))),"")</f>
        <v/>
      </c>
      <c r="Y74" s="26">
        <f>IFERROR(TEXTJOIN(CHAR(10),TRUE,UNIQUE(FILTER(소재DB_RAW!$N$3:$N$2000&amp;") "&amp;소재DB_RAW!$O$3:$O$2000,(소재DB_RAW!$G$3:$G$2000=$D74)*ISNUMBER(SEARCH("겉감",소재DB_RAW!$M$3:$M$2000))*ISERROR(SEARCH("drop",소재DB_RAW!$C$3:$C$2000))))),"")</f>
        <v/>
      </c>
      <c r="Z74" s="26">
        <f>IFERROR(TEXTJOIN(CHAR(10),TRUE,UNIQUE(FILTER(소재DB_RAW!$N$3:$N$2000&amp;") "&amp;소재DB_RAW!$O$3:$O$2000,(소재DB_RAW!$G$3:$G$2000=$D74)*ISNUMBER(SEARCH("안감",소재DB_RAW!$M$3:$M$2000))*ISERROR(SEARCH("drop",소재DB_RAW!$C$3:$C$2000))))),"")</f>
        <v/>
      </c>
      <c r="AA74" s="22">
        <f>IFERROR(MAX(FILTER(소재DB_RAW!$AK$3:$AK$2000,(소재DB_RAW!$G$3:$G$2000=$D74)*ISERROR(SEARCH("drop",소재DB_RAW!$C$3:$C$2000))*(소재DB_RAW!$AK$3:$AK$2000&lt;&gt;""))),"")</f>
        <v/>
      </c>
      <c r="AB74" s="27" t="n">
        <v>1000</v>
      </c>
      <c r="AC74" s="27" t="n">
        <v>34655000</v>
      </c>
      <c r="AD74" s="27" t="n">
        <v>168000000</v>
      </c>
      <c r="AE74" s="20" t="n"/>
      <c r="AF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G74" s="19">
        <f>IF($K74="","",IF(OR(LEFT($AF74,2)="작지",LEFT($AF74,4)="소재입고"),IF(LEFT($G74,1)="S","★ 납기위험(S코드)","◆ 지연주의"),IF($AF74="정상","✓ 정상","? 확인필요")))</f>
        <v/>
      </c>
      <c r="AH74" s="21" t="n"/>
      <c r="AI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19">
        <f>IF(COUNTIF(EDW_RAW!$A$2:$A$1500,$D75)=0,"",IF(COUNTIFS(EDW_RAW!$A$2:$A$1500,$D75,EDW_RAW!$R$2:$R$1500,"&lt;&gt;~",EDW_RAW!$R$2:$R$1500,"&lt;&gt;")=COUNTIF(EDW_RAW!$A$2:$A$1500,$D75),"O",IF(COUNTIFS(EDW_RAW!$A$2:$A$1500,$D75,EDW_RAW!$R$2:$R$1500,"&lt;&gt;~",EDW_RAW!$R$2:$R$1500,"&lt;&gt;")&gt;0,"부분","X")))</f>
        <v/>
      </c>
      <c r="R75" s="19">
        <f>IF(COUNTIF(EDW_RAW!$A$2:$A$1500,$D75)=0,"",IF(COUNTIFS(EDW_RAW!$A$2:$A$1500,$D75,EDW_RAW!$U$2:$U$1500,"&lt;&gt;~",EDW_RAW!$U$2:$U$1500,"&lt;&gt;")=COUNTIF(EDW_RAW!$A$2:$A$1500,$D75),"O",IF(COUNTIFS(EDW_RAW!$A$2:$A$1500,$D75,EDW_RAW!$U$2:$U$1500,"&lt;&gt;~",EDW_RAW!$U$2:$U$1500,"&lt;&gt;")&gt;0,"부분","X")))</f>
        <v/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",TRUE,UNIQUE(FILTER(소재DB_RAW!$K$3:$K$2000,(소재DB_RAW!$G$3:$G$2000=$D75)*ISERROR(SEARCH("drop",소재DB_RAW!$C$3:$C$2000))))),"")</f>
        <v/>
      </c>
      <c r="W75" s="20" t="inlineStr">
        <is>
          <t>베트남</t>
        </is>
      </c>
      <c r="X75" s="20">
        <f>IFERROR(TEXTJOIN(" / ",TRUE,UNIQUE(FILTER(소재DB_RAW!$N$3:$N$2000,(소재DB_RAW!$G$3:$G$2000=$D75)*ISERROR(SEARCH("drop",소재DB_RAW!$C$3:$C$2000))))),"")</f>
        <v/>
      </c>
      <c r="Y75" s="26">
        <f>IFERROR(TEXTJOIN(CHAR(10),TRUE,UNIQUE(FILTER(소재DB_RAW!$N$3:$N$2000&amp;") "&amp;소재DB_RAW!$O$3:$O$2000,(소재DB_RAW!$G$3:$G$2000=$D75)*ISNUMBER(SEARCH("겉감",소재DB_RAW!$M$3:$M$2000))*ISERROR(SEARCH("drop",소재DB_RAW!$C$3:$C$2000))))),"")</f>
        <v/>
      </c>
      <c r="Z75" s="26">
        <f>IFERROR(TEXTJOIN(CHAR(10),TRUE,UNIQUE(FILTER(소재DB_RAW!$N$3:$N$2000&amp;") "&amp;소재DB_RAW!$O$3:$O$2000,(소재DB_RAW!$G$3:$G$2000=$D75)*ISNUMBER(SEARCH("안감",소재DB_RAW!$M$3:$M$2000))*ISERROR(SEARCH("drop",소재DB_RAW!$C$3:$C$2000))))),"")</f>
        <v/>
      </c>
      <c r="AA75" s="22">
        <f>IFERROR(MAX(FILTER(소재DB_RAW!$AK$3:$AK$2000,(소재DB_RAW!$G$3:$G$2000=$D75)*ISERROR(SEARCH("drop",소재DB_RAW!$C$3:$C$2000))*(소재DB_RAW!$AK$3:$AK$2000&lt;&gt;""))),"")</f>
        <v/>
      </c>
      <c r="AB75" s="27" t="n">
        <v>2000</v>
      </c>
      <c r="AC75" s="27" t="n">
        <v>66580000</v>
      </c>
      <c r="AD75" s="27" t="n">
        <v>316000000</v>
      </c>
      <c r="AE75" s="20" t="n"/>
      <c r="AF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G75" s="19">
        <f>IF($K75="","",IF(OR(LEFT($AF75,2)="작지",LEFT($AF75,4)="소재입고"),IF(LEFT($G75,1)="S","★ 납기위험(S코드)","◆ 지연주의"),IF($AF75="정상","✓ 정상","? 확인필요")))</f>
        <v/>
      </c>
      <c r="AH75" s="21" t="n"/>
      <c r="AI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19">
        <f>IF(COUNTIF(EDW_RAW!$A$2:$A$1500,$D76)=0,"",IF(COUNTIFS(EDW_RAW!$A$2:$A$1500,$D76,EDW_RAW!$R$2:$R$1500,"&lt;&gt;~",EDW_RAW!$R$2:$R$1500,"&lt;&gt;")=COUNTIF(EDW_RAW!$A$2:$A$1500,$D76),"O",IF(COUNTIFS(EDW_RAW!$A$2:$A$1500,$D76,EDW_RAW!$R$2:$R$1500,"&lt;&gt;~",EDW_RAW!$R$2:$R$1500,"&lt;&gt;")&gt;0,"부분","X")))</f>
        <v/>
      </c>
      <c r="R76" s="19">
        <f>IF(COUNTIF(EDW_RAW!$A$2:$A$1500,$D76)=0,"",IF(COUNTIFS(EDW_RAW!$A$2:$A$1500,$D76,EDW_RAW!$U$2:$U$1500,"&lt;&gt;~",EDW_RAW!$U$2:$U$1500,"&lt;&gt;")=COUNTIF(EDW_RAW!$A$2:$A$1500,$D76),"O",IF(COUNTIFS(EDW_RAW!$A$2:$A$1500,$D76,EDW_RAW!$U$2:$U$1500,"&lt;&gt;~",EDW_RAW!$U$2:$U$1500,"&lt;&gt;")&gt;0,"부분","X")))</f>
        <v/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",TRUE,UNIQUE(FILTER(소재DB_RAW!$K$3:$K$2000,(소재DB_RAW!$G$3:$G$2000=$D76)*ISERROR(SEARCH("drop",소재DB_RAW!$C$3:$C$2000))))),"")</f>
        <v/>
      </c>
      <c r="W76" s="20" t="inlineStr">
        <is>
          <t>베트남</t>
        </is>
      </c>
      <c r="X76" s="20">
        <f>IFERROR(TEXTJOIN(" / ",TRUE,UNIQUE(FILTER(소재DB_RAW!$N$3:$N$2000,(소재DB_RAW!$G$3:$G$2000=$D76)*ISERROR(SEARCH("drop",소재DB_RAW!$C$3:$C$2000))))),"")</f>
        <v/>
      </c>
      <c r="Y76" s="26">
        <f>IFERROR(TEXTJOIN(CHAR(10),TRUE,UNIQUE(FILTER(소재DB_RAW!$N$3:$N$2000&amp;") "&amp;소재DB_RAW!$O$3:$O$2000,(소재DB_RAW!$G$3:$G$2000=$D76)*ISNUMBER(SEARCH("겉감",소재DB_RAW!$M$3:$M$2000))*ISERROR(SEARCH("drop",소재DB_RAW!$C$3:$C$2000))))),"")</f>
        <v/>
      </c>
      <c r="Z76" s="26">
        <f>IFERROR(TEXTJOIN(CHAR(10),TRUE,UNIQUE(FILTER(소재DB_RAW!$N$3:$N$2000&amp;") "&amp;소재DB_RAW!$O$3:$O$2000,(소재DB_RAW!$G$3:$G$2000=$D76)*ISNUMBER(SEARCH("안감",소재DB_RAW!$M$3:$M$2000))*ISERROR(SEARCH("drop",소재DB_RAW!$C$3:$C$2000))))),"")</f>
        <v/>
      </c>
      <c r="AA76" s="22">
        <f>IFERROR(MAX(FILTER(소재DB_RAW!$AK$3:$AK$2000,(소재DB_RAW!$G$3:$G$2000=$D76)*ISERROR(SEARCH("drop",소재DB_RAW!$C$3:$C$2000))*(소재DB_RAW!$AK$3:$AK$2000&lt;&gt;""))),"")</f>
        <v/>
      </c>
      <c r="AB76" s="27" t="n">
        <v>500</v>
      </c>
      <c r="AC76" s="27" t="n">
        <v>19151000</v>
      </c>
      <c r="AD76" s="27" t="n">
        <v>74000000</v>
      </c>
      <c r="AE76" s="20" t="n"/>
      <c r="AF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G76" s="19">
        <f>IF($K76="","",IF(OR(LEFT($AF76,2)="작지",LEFT($AF76,4)="소재입고"),IF(LEFT($G76,1)="S","★ 납기위험(S코드)","◆ 지연주의"),IF($AF76="정상","✓ 정상","? 확인필요")))</f>
        <v/>
      </c>
      <c r="AH76" s="21" t="n"/>
      <c r="AI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19">
        <f>IF(COUNTIF(EDW_RAW!$A$2:$A$1500,$D77)=0,"",IF(COUNTIFS(EDW_RAW!$A$2:$A$1500,$D77,EDW_RAW!$R$2:$R$1500,"&lt;&gt;~",EDW_RAW!$R$2:$R$1500,"&lt;&gt;")=COUNTIF(EDW_RAW!$A$2:$A$1500,$D77),"O",IF(COUNTIFS(EDW_RAW!$A$2:$A$1500,$D77,EDW_RAW!$R$2:$R$1500,"&lt;&gt;~",EDW_RAW!$R$2:$R$1500,"&lt;&gt;")&gt;0,"부분","X")))</f>
        <v/>
      </c>
      <c r="R77" s="19">
        <f>IF(COUNTIF(EDW_RAW!$A$2:$A$1500,$D77)=0,"",IF(COUNTIFS(EDW_RAW!$A$2:$A$1500,$D77,EDW_RAW!$U$2:$U$1500,"&lt;&gt;~",EDW_RAW!$U$2:$U$1500,"&lt;&gt;")=COUNTIF(EDW_RAW!$A$2:$A$1500,$D77),"O",IF(COUNTIFS(EDW_RAW!$A$2:$A$1500,$D77,EDW_RAW!$U$2:$U$1500,"&lt;&gt;~",EDW_RAW!$U$2:$U$1500,"&lt;&gt;")&gt;0,"부분","X")))</f>
        <v/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",TRUE,UNIQUE(FILTER(소재DB_RAW!$K$3:$K$2000,(소재DB_RAW!$G$3:$G$2000=$D77)*ISERROR(SEARCH("drop",소재DB_RAW!$C$3:$C$2000))))),"")</f>
        <v/>
      </c>
      <c r="W77" s="20" t="inlineStr">
        <is>
          <t>인도네시아</t>
        </is>
      </c>
      <c r="X77" s="20">
        <f>IFERROR(TEXTJOIN(" / ",TRUE,UNIQUE(FILTER(소재DB_RAW!$N$3:$N$2000,(소재DB_RAW!$G$3:$G$2000=$D77)*ISERROR(SEARCH("drop",소재DB_RAW!$C$3:$C$2000))))),"")</f>
        <v/>
      </c>
      <c r="Y77" s="26">
        <f>IFERROR(TEXTJOIN(CHAR(10),TRUE,UNIQUE(FILTER(소재DB_RAW!$N$3:$N$2000&amp;") "&amp;소재DB_RAW!$O$3:$O$2000,(소재DB_RAW!$G$3:$G$2000=$D77)*ISNUMBER(SEARCH("겉감",소재DB_RAW!$M$3:$M$2000))*ISERROR(SEARCH("drop",소재DB_RAW!$C$3:$C$2000))))),"")</f>
        <v/>
      </c>
      <c r="Z77" s="26">
        <f>IFERROR(TEXTJOIN(CHAR(10),TRUE,UNIQUE(FILTER(소재DB_RAW!$N$3:$N$2000&amp;") "&amp;소재DB_RAW!$O$3:$O$2000,(소재DB_RAW!$G$3:$G$2000=$D77)*ISNUMBER(SEARCH("안감",소재DB_RAW!$M$3:$M$2000))*ISERROR(SEARCH("drop",소재DB_RAW!$C$3:$C$2000))))),"")</f>
        <v/>
      </c>
      <c r="AA77" s="22">
        <f>IFERROR(MAX(FILTER(소재DB_RAW!$AK$3:$AK$2000,(소재DB_RAW!$G$3:$G$2000=$D77)*ISERROR(SEARCH("drop",소재DB_RAW!$C$3:$C$2000))*(소재DB_RAW!$AK$3:$AK$2000&lt;&gt;""))),"")</f>
        <v/>
      </c>
      <c r="AB77" s="27" t="n">
        <v>870</v>
      </c>
      <c r="AC77" s="27" t="n">
        <v>53128290</v>
      </c>
      <c r="AD77" s="27" t="n">
        <v>217500000</v>
      </c>
      <c r="AE77" s="20" t="n"/>
      <c r="AF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G77" s="19">
        <f>IF($K77="","",IF(OR(LEFT($AF77,2)="작지",LEFT($AF77,4)="소재입고"),IF(LEFT($G77,1)="S","★ 납기위험(S코드)","◆ 지연주의"),IF($AF77="정상","✓ 정상","? 확인필요")))</f>
        <v/>
      </c>
      <c r="AH77" s="21" t="n"/>
      <c r="AI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19">
        <f>IF(COUNTIF(EDW_RAW!$A$2:$A$1500,$D78)=0,"",IF(COUNTIFS(EDW_RAW!$A$2:$A$1500,$D78,EDW_RAW!$R$2:$R$1500,"&lt;&gt;~",EDW_RAW!$R$2:$R$1500,"&lt;&gt;")=COUNTIF(EDW_RAW!$A$2:$A$1500,$D78),"O",IF(COUNTIFS(EDW_RAW!$A$2:$A$1500,$D78,EDW_RAW!$R$2:$R$1500,"&lt;&gt;~",EDW_RAW!$R$2:$R$1500,"&lt;&gt;")&gt;0,"부분","X")))</f>
        <v/>
      </c>
      <c r="R78" s="19">
        <f>IF(COUNTIF(EDW_RAW!$A$2:$A$1500,$D78)=0,"",IF(COUNTIFS(EDW_RAW!$A$2:$A$1500,$D78,EDW_RAW!$U$2:$U$1500,"&lt;&gt;~",EDW_RAW!$U$2:$U$1500,"&lt;&gt;")=COUNTIF(EDW_RAW!$A$2:$A$1500,$D78),"O",IF(COUNTIFS(EDW_RAW!$A$2:$A$1500,$D78,EDW_RAW!$U$2:$U$1500,"&lt;&gt;~",EDW_RAW!$U$2:$U$1500,"&lt;&gt;")&gt;0,"부분","X")))</f>
        <v/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",TRUE,UNIQUE(FILTER(소재DB_RAW!$K$3:$K$2000,(소재DB_RAW!$G$3:$G$2000=$D78)*ISERROR(SEARCH("drop",소재DB_RAW!$C$3:$C$2000))))),"")</f>
        <v/>
      </c>
      <c r="W78" s="20" t="inlineStr">
        <is>
          <t>베트남</t>
        </is>
      </c>
      <c r="X78" s="20">
        <f>IFERROR(TEXTJOIN(" / ",TRUE,UNIQUE(FILTER(소재DB_RAW!$N$3:$N$2000,(소재DB_RAW!$G$3:$G$2000=$D78)*ISERROR(SEARCH("drop",소재DB_RAW!$C$3:$C$2000))))),"")</f>
        <v/>
      </c>
      <c r="Y78" s="26">
        <f>IFERROR(TEXTJOIN(CHAR(10),TRUE,UNIQUE(FILTER(소재DB_RAW!$N$3:$N$2000&amp;") "&amp;소재DB_RAW!$O$3:$O$2000,(소재DB_RAW!$G$3:$G$2000=$D78)*ISNUMBER(SEARCH("겉감",소재DB_RAW!$M$3:$M$2000))*ISERROR(SEARCH("drop",소재DB_RAW!$C$3:$C$2000))))),"")</f>
        <v/>
      </c>
      <c r="Z78" s="26">
        <f>IFERROR(TEXTJOIN(CHAR(10),TRUE,UNIQUE(FILTER(소재DB_RAW!$N$3:$N$2000&amp;") "&amp;소재DB_RAW!$O$3:$O$2000,(소재DB_RAW!$G$3:$G$2000=$D78)*ISNUMBER(SEARCH("안감",소재DB_RAW!$M$3:$M$2000))*ISERROR(SEARCH("drop",소재DB_RAW!$C$3:$C$2000))))),"")</f>
        <v/>
      </c>
      <c r="AA78" s="22">
        <f>IFERROR(MAX(FILTER(소재DB_RAW!$AK$3:$AK$2000,(소재DB_RAW!$G$3:$G$2000=$D78)*ISERROR(SEARCH("drop",소재DB_RAW!$C$3:$C$2000))*(소재DB_RAW!$AK$3:$AK$2000&lt;&gt;""))),"")</f>
        <v/>
      </c>
      <c r="AB78" s="27" t="n">
        <v>2500</v>
      </c>
      <c r="AC78" s="27" t="n">
        <v>248750000</v>
      </c>
      <c r="AD78" s="27" t="n">
        <v>1125000000</v>
      </c>
      <c r="AE78" s="20" t="n"/>
      <c r="AF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G78" s="19">
        <f>IF($K78="","",IF(OR(LEFT($AF78,2)="작지",LEFT($AF78,4)="소재입고"),IF(LEFT($G78,1)="S","★ 납기위험(S코드)","◆ 지연주의"),IF($AF78="정상","✓ 정상","? 확인필요")))</f>
        <v/>
      </c>
      <c r="AH78" s="21" t="n"/>
      <c r="AI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19">
        <f>IF(COUNTIF(EDW_RAW!$A$2:$A$1500,$D79)=0,"",IF(COUNTIFS(EDW_RAW!$A$2:$A$1500,$D79,EDW_RAW!$R$2:$R$1500,"&lt;&gt;~",EDW_RAW!$R$2:$R$1500,"&lt;&gt;")=COUNTIF(EDW_RAW!$A$2:$A$1500,$D79),"O",IF(COUNTIFS(EDW_RAW!$A$2:$A$1500,$D79,EDW_RAW!$R$2:$R$1500,"&lt;&gt;~",EDW_RAW!$R$2:$R$1500,"&lt;&gt;")&gt;0,"부분","X")))</f>
        <v/>
      </c>
      <c r="R79" s="19">
        <f>IF(COUNTIF(EDW_RAW!$A$2:$A$1500,$D79)=0,"",IF(COUNTIFS(EDW_RAW!$A$2:$A$1500,$D79,EDW_RAW!$U$2:$U$1500,"&lt;&gt;~",EDW_RAW!$U$2:$U$1500,"&lt;&gt;")=COUNTIF(EDW_RAW!$A$2:$A$1500,$D79),"O",IF(COUNTIFS(EDW_RAW!$A$2:$A$1500,$D79,EDW_RAW!$U$2:$U$1500,"&lt;&gt;~",EDW_RAW!$U$2:$U$1500,"&lt;&gt;")&gt;0,"부분","X")))</f>
        <v/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",TRUE,UNIQUE(FILTER(소재DB_RAW!$K$3:$K$2000,(소재DB_RAW!$G$3:$G$2000=$D79)*ISERROR(SEARCH("drop",소재DB_RAW!$C$3:$C$2000))))),"")</f>
        <v/>
      </c>
      <c r="W79" s="20" t="inlineStr">
        <is>
          <t>미얀마</t>
        </is>
      </c>
      <c r="X79" s="20">
        <f>IFERROR(TEXTJOIN(" / ",TRUE,UNIQUE(FILTER(소재DB_RAW!$N$3:$N$2000,(소재DB_RAW!$G$3:$G$2000=$D79)*ISERROR(SEARCH("drop",소재DB_RAW!$C$3:$C$2000))))),"")</f>
        <v/>
      </c>
      <c r="Y79" s="26">
        <f>IFERROR(TEXTJOIN(CHAR(10),TRUE,UNIQUE(FILTER(소재DB_RAW!$N$3:$N$2000&amp;") "&amp;소재DB_RAW!$O$3:$O$2000,(소재DB_RAW!$G$3:$G$2000=$D79)*ISNUMBER(SEARCH("겉감",소재DB_RAW!$M$3:$M$2000))*ISERROR(SEARCH("drop",소재DB_RAW!$C$3:$C$2000))))),"")</f>
        <v/>
      </c>
      <c r="Z79" s="26">
        <f>IFERROR(TEXTJOIN(CHAR(10),TRUE,UNIQUE(FILTER(소재DB_RAW!$N$3:$N$2000&amp;") "&amp;소재DB_RAW!$O$3:$O$2000,(소재DB_RAW!$G$3:$G$2000=$D79)*ISNUMBER(SEARCH("안감",소재DB_RAW!$M$3:$M$2000))*ISERROR(SEARCH("drop",소재DB_RAW!$C$3:$C$2000))))),"")</f>
        <v/>
      </c>
      <c r="AA79" s="22">
        <f>IFERROR(MAX(FILTER(소재DB_RAW!$AK$3:$AK$2000,(소재DB_RAW!$G$3:$G$2000=$D79)*ISERROR(SEARCH("drop",소재DB_RAW!$C$3:$C$2000))*(소재DB_RAW!$AK$3:$AK$2000&lt;&gt;""))),"")</f>
        <v/>
      </c>
      <c r="AB79" s="27" t="n">
        <v>7000</v>
      </c>
      <c r="AC79" s="27" t="n">
        <v>624813000</v>
      </c>
      <c r="AD79" s="27" t="n">
        <v>2730000000</v>
      </c>
      <c r="AE79" s="20" t="n"/>
      <c r="AF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G79" s="19">
        <f>IF($K79="","",IF(OR(LEFT($AF79,2)="작지",LEFT($AF79,4)="소재입고"),IF(LEFT($G79,1)="S","★ 납기위험(S코드)","◆ 지연주의"),IF($AF79="정상","✓ 정상","? 확인필요")))</f>
        <v/>
      </c>
      <c r="AH79" s="21" t="n"/>
      <c r="AI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19">
        <f>IF(COUNTIF(EDW_RAW!$A$2:$A$1500,$D80)=0,"",IF(COUNTIFS(EDW_RAW!$A$2:$A$1500,$D80,EDW_RAW!$R$2:$R$1500,"&lt;&gt;~",EDW_RAW!$R$2:$R$1500,"&lt;&gt;")=COUNTIF(EDW_RAW!$A$2:$A$1500,$D80),"O",IF(COUNTIFS(EDW_RAW!$A$2:$A$1500,$D80,EDW_RAW!$R$2:$R$1500,"&lt;&gt;~",EDW_RAW!$R$2:$R$1500,"&lt;&gt;")&gt;0,"부분","X")))</f>
        <v/>
      </c>
      <c r="R80" s="19">
        <f>IF(COUNTIF(EDW_RAW!$A$2:$A$1500,$D80)=0,"",IF(COUNTIFS(EDW_RAW!$A$2:$A$1500,$D80,EDW_RAW!$U$2:$U$1500,"&lt;&gt;~",EDW_RAW!$U$2:$U$1500,"&lt;&gt;")=COUNTIF(EDW_RAW!$A$2:$A$1500,$D80),"O",IF(COUNTIFS(EDW_RAW!$A$2:$A$1500,$D80,EDW_RAW!$U$2:$U$1500,"&lt;&gt;~",EDW_RAW!$U$2:$U$1500,"&lt;&gt;")&gt;0,"부분","X")))</f>
        <v/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",TRUE,UNIQUE(FILTER(소재DB_RAW!$K$3:$K$2000,(소재DB_RAW!$G$3:$G$2000=$D80)*ISERROR(SEARCH("drop",소재DB_RAW!$C$3:$C$2000))))),"")</f>
        <v/>
      </c>
      <c r="W80" s="20" t="inlineStr"/>
      <c r="X80" s="20">
        <f>IFERROR(TEXTJOIN(" / ",TRUE,UNIQUE(FILTER(소재DB_RAW!$N$3:$N$2000,(소재DB_RAW!$G$3:$G$2000=$D80)*ISERROR(SEARCH("drop",소재DB_RAW!$C$3:$C$2000))))),"")</f>
        <v/>
      </c>
      <c r="Y80" s="26">
        <f>IFERROR(TEXTJOIN(CHAR(10),TRUE,UNIQUE(FILTER(소재DB_RAW!$N$3:$N$2000&amp;") "&amp;소재DB_RAW!$O$3:$O$2000,(소재DB_RAW!$G$3:$G$2000=$D80)*ISNUMBER(SEARCH("겉감",소재DB_RAW!$M$3:$M$2000))*ISERROR(SEARCH("drop",소재DB_RAW!$C$3:$C$2000))))),"")</f>
        <v/>
      </c>
      <c r="Z80" s="26">
        <f>IFERROR(TEXTJOIN(CHAR(10),TRUE,UNIQUE(FILTER(소재DB_RAW!$N$3:$N$2000&amp;") "&amp;소재DB_RAW!$O$3:$O$2000,(소재DB_RAW!$G$3:$G$2000=$D80)*ISNUMBER(SEARCH("안감",소재DB_RAW!$M$3:$M$2000))*ISERROR(SEARCH("drop",소재DB_RAW!$C$3:$C$2000))))),"")</f>
        <v/>
      </c>
      <c r="AA80" s="22">
        <f>IFERROR(MAX(FILTER(소재DB_RAW!$AK$3:$AK$2000,(소재DB_RAW!$G$3:$G$2000=$D80)*ISERROR(SEARCH("drop",소재DB_RAW!$C$3:$C$2000))*(소재DB_RAW!$AK$3:$AK$2000&lt;&gt;""))),"")</f>
        <v/>
      </c>
      <c r="AB80" s="27" t="n">
        <v>800</v>
      </c>
      <c r="AC80" s="27" t="n">
        <v>53180800</v>
      </c>
      <c r="AD80" s="27" t="n">
        <v>256000000</v>
      </c>
      <c r="AE80" s="20" t="inlineStr">
        <is>
          <t>2월1주</t>
        </is>
      </c>
      <c r="AF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G80" s="19">
        <f>IF($K80="","",IF(OR(LEFT($AF80,2)="작지",LEFT($AF80,4)="소재입고"),IF(LEFT($G80,1)="S","★ 납기위험(S코드)","◆ 지연주의"),IF($AF80="정상","✓ 정상","? 확인필요")))</f>
        <v/>
      </c>
      <c r="AH80" s="21" t="n"/>
      <c r="AI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19">
        <f>IF(COUNTIF(EDW_RAW!$A$2:$A$1500,$D81)=0,"",IF(COUNTIFS(EDW_RAW!$A$2:$A$1500,$D81,EDW_RAW!$R$2:$R$1500,"&lt;&gt;~",EDW_RAW!$R$2:$R$1500,"&lt;&gt;")=COUNTIF(EDW_RAW!$A$2:$A$1500,$D81),"O",IF(COUNTIFS(EDW_RAW!$A$2:$A$1500,$D81,EDW_RAW!$R$2:$R$1500,"&lt;&gt;~",EDW_RAW!$R$2:$R$1500,"&lt;&gt;")&gt;0,"부분","X")))</f>
        <v/>
      </c>
      <c r="R81" s="19">
        <f>IF(COUNTIF(EDW_RAW!$A$2:$A$1500,$D81)=0,"",IF(COUNTIFS(EDW_RAW!$A$2:$A$1500,$D81,EDW_RAW!$U$2:$U$1500,"&lt;&gt;~",EDW_RAW!$U$2:$U$1500,"&lt;&gt;")=COUNTIF(EDW_RAW!$A$2:$A$1500,$D81),"O",IF(COUNTIFS(EDW_RAW!$A$2:$A$1500,$D81,EDW_RAW!$U$2:$U$1500,"&lt;&gt;~",EDW_RAW!$U$2:$U$1500,"&lt;&gt;")&gt;0,"부분","X")))</f>
        <v/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",TRUE,UNIQUE(FILTER(소재DB_RAW!$K$3:$K$2000,(소재DB_RAW!$G$3:$G$2000=$D81)*ISERROR(SEARCH("drop",소재DB_RAW!$C$3:$C$2000))))),"")</f>
        <v/>
      </c>
      <c r="W81" s="20" t="inlineStr">
        <is>
          <t>인도네시아</t>
        </is>
      </c>
      <c r="X81" s="20">
        <f>IFERROR(TEXTJOIN(" / ",TRUE,UNIQUE(FILTER(소재DB_RAW!$N$3:$N$2000,(소재DB_RAW!$G$3:$G$2000=$D81)*ISERROR(SEARCH("drop",소재DB_RAW!$C$3:$C$2000))))),"")</f>
        <v/>
      </c>
      <c r="Y81" s="26">
        <f>IFERROR(TEXTJOIN(CHAR(10),TRUE,UNIQUE(FILTER(소재DB_RAW!$N$3:$N$2000&amp;") "&amp;소재DB_RAW!$O$3:$O$2000,(소재DB_RAW!$G$3:$G$2000=$D81)*ISNUMBER(SEARCH("겉감",소재DB_RAW!$M$3:$M$2000))*ISERROR(SEARCH("drop",소재DB_RAW!$C$3:$C$2000))))),"")</f>
        <v/>
      </c>
      <c r="Z81" s="26">
        <f>IFERROR(TEXTJOIN(CHAR(10),TRUE,UNIQUE(FILTER(소재DB_RAW!$N$3:$N$2000&amp;") "&amp;소재DB_RAW!$O$3:$O$2000,(소재DB_RAW!$G$3:$G$2000=$D81)*ISNUMBER(SEARCH("안감",소재DB_RAW!$M$3:$M$2000))*ISERROR(SEARCH("drop",소재DB_RAW!$C$3:$C$2000))))),"")</f>
        <v/>
      </c>
      <c r="AA81" s="22">
        <f>IFERROR(MAX(FILTER(소재DB_RAW!$AK$3:$AK$2000,(소재DB_RAW!$G$3:$G$2000=$D81)*ISERROR(SEARCH("drop",소재DB_RAW!$C$3:$C$2000))*(소재DB_RAW!$AK$3:$AK$2000&lt;&gt;""))),"")</f>
        <v/>
      </c>
      <c r="AB81" s="27" t="n">
        <v>4000</v>
      </c>
      <c r="AC81" s="27" t="n">
        <v>282392800</v>
      </c>
      <c r="AD81" s="27" t="n">
        <v>1280000000</v>
      </c>
      <c r="AE81" s="20" t="n"/>
      <c r="AF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G81" s="19">
        <f>IF($K81="","",IF(OR(LEFT($AF81,2)="작지",LEFT($AF81,4)="소재입고"),IF(LEFT($G81,1)="S","★ 납기위험(S코드)","◆ 지연주의"),IF($AF81="정상","✓ 정상","? 확인필요")))</f>
        <v/>
      </c>
      <c r="AH81" s="21" t="n"/>
      <c r="AI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19">
        <f>IF(COUNTIF(EDW_RAW!$A$2:$A$1500,$D82)=0,"",IF(COUNTIFS(EDW_RAW!$A$2:$A$1500,$D82,EDW_RAW!$R$2:$R$1500,"&lt;&gt;~",EDW_RAW!$R$2:$R$1500,"&lt;&gt;")=COUNTIF(EDW_RAW!$A$2:$A$1500,$D82),"O",IF(COUNTIFS(EDW_RAW!$A$2:$A$1500,$D82,EDW_RAW!$R$2:$R$1500,"&lt;&gt;~",EDW_RAW!$R$2:$R$1500,"&lt;&gt;")&gt;0,"부분","X")))</f>
        <v/>
      </c>
      <c r="R82" s="19">
        <f>IF(COUNTIF(EDW_RAW!$A$2:$A$1500,$D82)=0,"",IF(COUNTIFS(EDW_RAW!$A$2:$A$1500,$D82,EDW_RAW!$U$2:$U$1500,"&lt;&gt;~",EDW_RAW!$U$2:$U$1500,"&lt;&gt;")=COUNTIF(EDW_RAW!$A$2:$A$1500,$D82),"O",IF(COUNTIFS(EDW_RAW!$A$2:$A$1500,$D82,EDW_RAW!$U$2:$U$1500,"&lt;&gt;~",EDW_RAW!$U$2:$U$1500,"&lt;&gt;")&gt;0,"부분","X")))</f>
        <v/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",TRUE,UNIQUE(FILTER(소재DB_RAW!$K$3:$K$2000,(소재DB_RAW!$G$3:$G$2000=$D82)*ISERROR(SEARCH("drop",소재DB_RAW!$C$3:$C$2000))))),"")</f>
        <v/>
      </c>
      <c r="W82" s="20" t="inlineStr">
        <is>
          <t>베트남</t>
        </is>
      </c>
      <c r="X82" s="20">
        <f>IFERROR(TEXTJOIN(" / ",TRUE,UNIQUE(FILTER(소재DB_RAW!$N$3:$N$2000,(소재DB_RAW!$G$3:$G$2000=$D82)*ISERROR(SEARCH("drop",소재DB_RAW!$C$3:$C$2000))))),"")</f>
        <v/>
      </c>
      <c r="Y82" s="26">
        <f>IFERROR(TEXTJOIN(CHAR(10),TRUE,UNIQUE(FILTER(소재DB_RAW!$N$3:$N$2000&amp;") "&amp;소재DB_RAW!$O$3:$O$2000,(소재DB_RAW!$G$3:$G$2000=$D82)*ISNUMBER(SEARCH("겉감",소재DB_RAW!$M$3:$M$2000))*ISERROR(SEARCH("drop",소재DB_RAW!$C$3:$C$2000))))),"")</f>
        <v/>
      </c>
      <c r="Z82" s="26">
        <f>IFERROR(TEXTJOIN(CHAR(10),TRUE,UNIQUE(FILTER(소재DB_RAW!$N$3:$N$2000&amp;") "&amp;소재DB_RAW!$O$3:$O$2000,(소재DB_RAW!$G$3:$G$2000=$D82)*ISNUMBER(SEARCH("안감",소재DB_RAW!$M$3:$M$2000))*ISERROR(SEARCH("drop",소재DB_RAW!$C$3:$C$2000))))),"")</f>
        <v/>
      </c>
      <c r="AA82" s="22">
        <f>IFERROR(MAX(FILTER(소재DB_RAW!$AK$3:$AK$2000,(소재DB_RAW!$G$3:$G$2000=$D82)*ISERROR(SEARCH("drop",소재DB_RAW!$C$3:$C$2000))*(소재DB_RAW!$AK$3:$AK$2000&lt;&gt;""))),"")</f>
        <v/>
      </c>
      <c r="AB82" s="27" t="n">
        <v>1800</v>
      </c>
      <c r="AC82" s="27" t="n">
        <v>62179200</v>
      </c>
      <c r="AD82" s="27" t="n">
        <v>356400000</v>
      </c>
      <c r="AE82" s="20" t="inlineStr">
        <is>
          <t>2월1주</t>
        </is>
      </c>
      <c r="AF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G82" s="19">
        <f>IF($K82="","",IF(OR(LEFT($AF82,2)="작지",LEFT($AF82,4)="소재입고"),IF(LEFT($G82,1)="S","★ 납기위험(S코드)","◆ 지연주의"),IF($AF82="정상","✓ 정상","? 확인필요")))</f>
        <v/>
      </c>
      <c r="AH82" s="21" t="n"/>
      <c r="AI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19">
        <f>IF(COUNTIF(EDW_RAW!$A$2:$A$1500,$D83)=0,"",IF(COUNTIFS(EDW_RAW!$A$2:$A$1500,$D83,EDW_RAW!$R$2:$R$1500,"&lt;&gt;~",EDW_RAW!$R$2:$R$1500,"&lt;&gt;")=COUNTIF(EDW_RAW!$A$2:$A$1500,$D83),"O",IF(COUNTIFS(EDW_RAW!$A$2:$A$1500,$D83,EDW_RAW!$R$2:$R$1500,"&lt;&gt;~",EDW_RAW!$R$2:$R$1500,"&lt;&gt;")&gt;0,"부분","X")))</f>
        <v/>
      </c>
      <c r="R83" s="19">
        <f>IF(COUNTIF(EDW_RAW!$A$2:$A$1500,$D83)=0,"",IF(COUNTIFS(EDW_RAW!$A$2:$A$1500,$D83,EDW_RAW!$U$2:$U$1500,"&lt;&gt;~",EDW_RAW!$U$2:$U$1500,"&lt;&gt;")=COUNTIF(EDW_RAW!$A$2:$A$1500,$D83),"O",IF(COUNTIFS(EDW_RAW!$A$2:$A$1500,$D83,EDW_RAW!$U$2:$U$1500,"&lt;&gt;~",EDW_RAW!$U$2:$U$1500,"&lt;&gt;")&gt;0,"부분","X")))</f>
        <v/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",TRUE,UNIQUE(FILTER(소재DB_RAW!$K$3:$K$2000,(소재DB_RAW!$G$3:$G$2000=$D83)*ISERROR(SEARCH("drop",소재DB_RAW!$C$3:$C$2000))))),"")</f>
        <v/>
      </c>
      <c r="W83" s="20" t="inlineStr">
        <is>
          <t>인도네시아</t>
        </is>
      </c>
      <c r="X83" s="20">
        <f>IFERROR(TEXTJOIN(" / ",TRUE,UNIQUE(FILTER(소재DB_RAW!$N$3:$N$2000,(소재DB_RAW!$G$3:$G$2000=$D83)*ISERROR(SEARCH("drop",소재DB_RAW!$C$3:$C$2000))))),"")</f>
        <v/>
      </c>
      <c r="Y83" s="26">
        <f>IFERROR(TEXTJOIN(CHAR(10),TRUE,UNIQUE(FILTER(소재DB_RAW!$N$3:$N$2000&amp;") "&amp;소재DB_RAW!$O$3:$O$2000,(소재DB_RAW!$G$3:$G$2000=$D83)*ISNUMBER(SEARCH("겉감",소재DB_RAW!$M$3:$M$2000))*ISERROR(SEARCH("drop",소재DB_RAW!$C$3:$C$2000))))),"")</f>
        <v/>
      </c>
      <c r="Z83" s="26">
        <f>IFERROR(TEXTJOIN(CHAR(10),TRUE,UNIQUE(FILTER(소재DB_RAW!$N$3:$N$2000&amp;") "&amp;소재DB_RAW!$O$3:$O$2000,(소재DB_RAW!$G$3:$G$2000=$D83)*ISNUMBER(SEARCH("안감",소재DB_RAW!$M$3:$M$2000))*ISERROR(SEARCH("drop",소재DB_RAW!$C$3:$C$2000))))),"")</f>
        <v/>
      </c>
      <c r="AA83" s="22">
        <f>IFERROR(MAX(FILTER(소재DB_RAW!$AK$3:$AK$2000,(소재DB_RAW!$G$3:$G$2000=$D83)*ISERROR(SEARCH("drop",소재DB_RAW!$C$3:$C$2000))*(소재DB_RAW!$AK$3:$AK$2000&lt;&gt;""))),"")</f>
        <v/>
      </c>
      <c r="AB83" s="27" t="n">
        <v>2000</v>
      </c>
      <c r="AC83" s="27" t="n">
        <v>52250000</v>
      </c>
      <c r="AD83" s="27" t="n">
        <v>296000000</v>
      </c>
      <c r="AE83" s="20" t="inlineStr">
        <is>
          <t>2월1주</t>
        </is>
      </c>
      <c r="AF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G83" s="19">
        <f>IF($K83="","",IF(OR(LEFT($AF83,2)="작지",LEFT($AF83,4)="소재입고"),IF(LEFT($G83,1)="S","★ 납기위험(S코드)","◆ 지연주의"),IF($AF83="정상","✓ 정상","? 확인필요")))</f>
        <v/>
      </c>
      <c r="AH83" s="21" t="n"/>
      <c r="AI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19">
        <f>IF(COUNTIF(EDW_RAW!$A$2:$A$1500,$D84)=0,"",IF(COUNTIFS(EDW_RAW!$A$2:$A$1500,$D84,EDW_RAW!$R$2:$R$1500,"&lt;&gt;~",EDW_RAW!$R$2:$R$1500,"&lt;&gt;")=COUNTIF(EDW_RAW!$A$2:$A$1500,$D84),"O",IF(COUNTIFS(EDW_RAW!$A$2:$A$1500,$D84,EDW_RAW!$R$2:$R$1500,"&lt;&gt;~",EDW_RAW!$R$2:$R$1500,"&lt;&gt;")&gt;0,"부분","X")))</f>
        <v/>
      </c>
      <c r="R84" s="19">
        <f>IF(COUNTIF(EDW_RAW!$A$2:$A$1500,$D84)=0,"",IF(COUNTIFS(EDW_RAW!$A$2:$A$1500,$D84,EDW_RAW!$U$2:$U$1500,"&lt;&gt;~",EDW_RAW!$U$2:$U$1500,"&lt;&gt;")=COUNTIF(EDW_RAW!$A$2:$A$1500,$D84),"O",IF(COUNTIFS(EDW_RAW!$A$2:$A$1500,$D84,EDW_RAW!$U$2:$U$1500,"&lt;&gt;~",EDW_RAW!$U$2:$U$1500,"&lt;&gt;")&gt;0,"부분","X")))</f>
        <v/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",TRUE,UNIQUE(FILTER(소재DB_RAW!$K$3:$K$2000,(소재DB_RAW!$G$3:$G$2000=$D84)*ISERROR(SEARCH("drop",소재DB_RAW!$C$3:$C$2000))))),"")</f>
        <v/>
      </c>
      <c r="W84" s="20" t="inlineStr">
        <is>
          <t>인도네시아</t>
        </is>
      </c>
      <c r="X84" s="20">
        <f>IFERROR(TEXTJOIN(" / ",TRUE,UNIQUE(FILTER(소재DB_RAW!$N$3:$N$2000,(소재DB_RAW!$G$3:$G$2000=$D84)*ISERROR(SEARCH("drop",소재DB_RAW!$C$3:$C$2000))))),"")</f>
        <v/>
      </c>
      <c r="Y84" s="26">
        <f>IFERROR(TEXTJOIN(CHAR(10),TRUE,UNIQUE(FILTER(소재DB_RAW!$N$3:$N$2000&amp;") "&amp;소재DB_RAW!$O$3:$O$2000,(소재DB_RAW!$G$3:$G$2000=$D84)*ISNUMBER(SEARCH("겉감",소재DB_RAW!$M$3:$M$2000))*ISERROR(SEARCH("drop",소재DB_RAW!$C$3:$C$2000))))),"")</f>
        <v/>
      </c>
      <c r="Z84" s="26">
        <f>IFERROR(TEXTJOIN(CHAR(10),TRUE,UNIQUE(FILTER(소재DB_RAW!$N$3:$N$2000&amp;") "&amp;소재DB_RAW!$O$3:$O$2000,(소재DB_RAW!$G$3:$G$2000=$D84)*ISNUMBER(SEARCH("안감",소재DB_RAW!$M$3:$M$2000))*ISERROR(SEARCH("drop",소재DB_RAW!$C$3:$C$2000))))),"")</f>
        <v/>
      </c>
      <c r="AA84" s="22">
        <f>IFERROR(MAX(FILTER(소재DB_RAW!$AK$3:$AK$2000,(소재DB_RAW!$G$3:$G$2000=$D84)*ISERROR(SEARCH("drop",소재DB_RAW!$C$3:$C$2000))*(소재DB_RAW!$AK$3:$AK$2000&lt;&gt;""))),"")</f>
        <v/>
      </c>
      <c r="AB84" s="27" t="n">
        <v>1300</v>
      </c>
      <c r="AC84" s="27" t="n">
        <v>27060800</v>
      </c>
      <c r="AD84" s="27" t="n">
        <v>166400000</v>
      </c>
      <c r="AE84" s="20" t="inlineStr">
        <is>
          <t>2월1주</t>
        </is>
      </c>
      <c r="AF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G84" s="19">
        <f>IF($K84="","",IF(OR(LEFT($AF84,2)="작지",LEFT($AF84,4)="소재입고"),IF(LEFT($G84,1)="S","★ 납기위험(S코드)","◆ 지연주의"),IF($AF84="정상","✓ 정상","? 확인필요")))</f>
        <v/>
      </c>
      <c r="AH84" s="21" t="n"/>
      <c r="AI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19">
        <f>IF(COUNTIF(EDW_RAW!$A$2:$A$1500,$D85)=0,"",IF(COUNTIFS(EDW_RAW!$A$2:$A$1500,$D85,EDW_RAW!$R$2:$R$1500,"&lt;&gt;~",EDW_RAW!$R$2:$R$1500,"&lt;&gt;")=COUNTIF(EDW_RAW!$A$2:$A$1500,$D85),"O",IF(COUNTIFS(EDW_RAW!$A$2:$A$1500,$D85,EDW_RAW!$R$2:$R$1500,"&lt;&gt;~",EDW_RAW!$R$2:$R$1500,"&lt;&gt;")&gt;0,"부분","X")))</f>
        <v/>
      </c>
      <c r="R85" s="19">
        <f>IF(COUNTIF(EDW_RAW!$A$2:$A$1500,$D85)=0,"",IF(COUNTIFS(EDW_RAW!$A$2:$A$1500,$D85,EDW_RAW!$U$2:$U$1500,"&lt;&gt;~",EDW_RAW!$U$2:$U$1500,"&lt;&gt;")=COUNTIF(EDW_RAW!$A$2:$A$1500,$D85),"O",IF(COUNTIFS(EDW_RAW!$A$2:$A$1500,$D85,EDW_RAW!$U$2:$U$1500,"&lt;&gt;~",EDW_RAW!$U$2:$U$1500,"&lt;&gt;")&gt;0,"부분","X")))</f>
        <v/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",TRUE,UNIQUE(FILTER(소재DB_RAW!$K$3:$K$2000,(소재DB_RAW!$G$3:$G$2000=$D85)*ISERROR(SEARCH("drop",소재DB_RAW!$C$3:$C$2000))))),"")</f>
        <v/>
      </c>
      <c r="W85" s="20" t="inlineStr">
        <is>
          <t>인도네시아</t>
        </is>
      </c>
      <c r="X85" s="20">
        <f>IFERROR(TEXTJOIN(" / ",TRUE,UNIQUE(FILTER(소재DB_RAW!$N$3:$N$2000,(소재DB_RAW!$G$3:$G$2000=$D85)*ISERROR(SEARCH("drop",소재DB_RAW!$C$3:$C$2000))))),"")</f>
        <v/>
      </c>
      <c r="Y85" s="26">
        <f>IFERROR(TEXTJOIN(CHAR(10),TRUE,UNIQUE(FILTER(소재DB_RAW!$N$3:$N$2000&amp;") "&amp;소재DB_RAW!$O$3:$O$2000,(소재DB_RAW!$G$3:$G$2000=$D85)*ISNUMBER(SEARCH("겉감",소재DB_RAW!$M$3:$M$2000))*ISERROR(SEARCH("drop",소재DB_RAW!$C$3:$C$2000))))),"")</f>
        <v/>
      </c>
      <c r="Z85" s="26">
        <f>IFERROR(TEXTJOIN(CHAR(10),TRUE,UNIQUE(FILTER(소재DB_RAW!$N$3:$N$2000&amp;") "&amp;소재DB_RAW!$O$3:$O$2000,(소재DB_RAW!$G$3:$G$2000=$D85)*ISNUMBER(SEARCH("안감",소재DB_RAW!$M$3:$M$2000))*ISERROR(SEARCH("drop",소재DB_RAW!$C$3:$C$2000))))),"")</f>
        <v/>
      </c>
      <c r="AA85" s="22">
        <f>IFERROR(MAX(FILTER(소재DB_RAW!$AK$3:$AK$2000,(소재DB_RAW!$G$3:$G$2000=$D85)*ISERROR(SEARCH("drop",소재DB_RAW!$C$3:$C$2000))*(소재DB_RAW!$AK$3:$AK$2000&lt;&gt;""))),"")</f>
        <v/>
      </c>
      <c r="AB85" s="27" t="n">
        <v>1200</v>
      </c>
      <c r="AC85" s="27" t="n">
        <v>32727600</v>
      </c>
      <c r="AD85" s="27" t="n">
        <v>201600000</v>
      </c>
      <c r="AE85" s="20" t="inlineStr">
        <is>
          <t>2월1주</t>
        </is>
      </c>
      <c r="AF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G85" s="19">
        <f>IF($K85="","",IF(OR(LEFT($AF85,2)="작지",LEFT($AF85,4)="소재입고"),IF(LEFT($G85,1)="S","★ 납기위험(S코드)","◆ 지연주의"),IF($AF85="정상","✓ 정상","? 확인필요")))</f>
        <v/>
      </c>
      <c r="AH85" s="21" t="n"/>
      <c r="AI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19">
        <f>IF(COUNTIF(EDW_RAW!$A$2:$A$1500,$D86)=0,"",IF(COUNTIFS(EDW_RAW!$A$2:$A$1500,$D86,EDW_RAW!$R$2:$R$1500,"&lt;&gt;~",EDW_RAW!$R$2:$R$1500,"&lt;&gt;")=COUNTIF(EDW_RAW!$A$2:$A$1500,$D86),"O",IF(COUNTIFS(EDW_RAW!$A$2:$A$1500,$D86,EDW_RAW!$R$2:$R$1500,"&lt;&gt;~",EDW_RAW!$R$2:$R$1500,"&lt;&gt;")&gt;0,"부분","X")))</f>
        <v/>
      </c>
      <c r="R86" s="19">
        <f>IF(COUNTIF(EDW_RAW!$A$2:$A$1500,$D86)=0,"",IF(COUNTIFS(EDW_RAW!$A$2:$A$1500,$D86,EDW_RAW!$U$2:$U$1500,"&lt;&gt;~",EDW_RAW!$U$2:$U$1500,"&lt;&gt;")=COUNTIF(EDW_RAW!$A$2:$A$1500,$D86),"O",IF(COUNTIFS(EDW_RAW!$A$2:$A$1500,$D86,EDW_RAW!$U$2:$U$1500,"&lt;&gt;~",EDW_RAW!$U$2:$U$1500,"&lt;&gt;")&gt;0,"부분","X")))</f>
        <v/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",TRUE,UNIQUE(FILTER(소재DB_RAW!$K$3:$K$2000,(소재DB_RAW!$G$3:$G$2000=$D86)*ISERROR(SEARCH("drop",소재DB_RAW!$C$3:$C$2000))))),"")</f>
        <v/>
      </c>
      <c r="W86" s="20" t="inlineStr">
        <is>
          <t>인도네시아</t>
        </is>
      </c>
      <c r="X86" s="20">
        <f>IFERROR(TEXTJOIN(" / ",TRUE,UNIQUE(FILTER(소재DB_RAW!$N$3:$N$2000,(소재DB_RAW!$G$3:$G$2000=$D86)*ISERROR(SEARCH("drop",소재DB_RAW!$C$3:$C$2000))))),"")</f>
        <v/>
      </c>
      <c r="Y86" s="26">
        <f>IFERROR(TEXTJOIN(CHAR(10),TRUE,UNIQUE(FILTER(소재DB_RAW!$N$3:$N$2000&amp;") "&amp;소재DB_RAW!$O$3:$O$2000,(소재DB_RAW!$G$3:$G$2000=$D86)*ISNUMBER(SEARCH("겉감",소재DB_RAW!$M$3:$M$2000))*ISERROR(SEARCH("drop",소재DB_RAW!$C$3:$C$2000))))),"")</f>
        <v/>
      </c>
      <c r="Z86" s="26">
        <f>IFERROR(TEXTJOIN(CHAR(10),TRUE,UNIQUE(FILTER(소재DB_RAW!$N$3:$N$2000&amp;") "&amp;소재DB_RAW!$O$3:$O$2000,(소재DB_RAW!$G$3:$G$2000=$D86)*ISNUMBER(SEARCH("안감",소재DB_RAW!$M$3:$M$2000))*ISERROR(SEARCH("drop",소재DB_RAW!$C$3:$C$2000))))),"")</f>
        <v/>
      </c>
      <c r="AA86" s="22">
        <f>IFERROR(MAX(FILTER(소재DB_RAW!$AK$3:$AK$2000,(소재DB_RAW!$G$3:$G$2000=$D86)*ISERROR(SEARCH("drop",소재DB_RAW!$C$3:$C$2000))*(소재DB_RAW!$AK$3:$AK$2000&lt;&gt;""))),"")</f>
        <v/>
      </c>
      <c r="AB86" s="27" t="n">
        <v>3000</v>
      </c>
      <c r="AC86" s="27" t="n">
        <v>114219000</v>
      </c>
      <c r="AD86" s="27" t="n">
        <v>504000000</v>
      </c>
      <c r="AE86" s="20" t="inlineStr">
        <is>
          <t>2월1주</t>
        </is>
      </c>
      <c r="AF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G86" s="19">
        <f>IF($K86="","",IF(OR(LEFT($AF86,2)="작지",LEFT($AF86,4)="소재입고"),IF(LEFT($G86,1)="S","★ 납기위험(S코드)","◆ 지연주의"),IF($AF86="정상","✓ 정상","? 확인필요")))</f>
        <v/>
      </c>
      <c r="AH86" s="21" t="n"/>
      <c r="AI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19">
        <f>IF(COUNTIF(EDW_RAW!$A$2:$A$1500,$D87)=0,"",IF(COUNTIFS(EDW_RAW!$A$2:$A$1500,$D87,EDW_RAW!$R$2:$R$1500,"&lt;&gt;~",EDW_RAW!$R$2:$R$1500,"&lt;&gt;")=COUNTIF(EDW_RAW!$A$2:$A$1500,$D87),"O",IF(COUNTIFS(EDW_RAW!$A$2:$A$1500,$D87,EDW_RAW!$R$2:$R$1500,"&lt;&gt;~",EDW_RAW!$R$2:$R$1500,"&lt;&gt;")&gt;0,"부분","X")))</f>
        <v/>
      </c>
      <c r="R87" s="19">
        <f>IF(COUNTIF(EDW_RAW!$A$2:$A$1500,$D87)=0,"",IF(COUNTIFS(EDW_RAW!$A$2:$A$1500,$D87,EDW_RAW!$U$2:$U$1500,"&lt;&gt;~",EDW_RAW!$U$2:$U$1500,"&lt;&gt;")=COUNTIF(EDW_RAW!$A$2:$A$1500,$D87),"O",IF(COUNTIFS(EDW_RAW!$A$2:$A$1500,$D87,EDW_RAW!$U$2:$U$1500,"&lt;&gt;~",EDW_RAW!$U$2:$U$1500,"&lt;&gt;")&gt;0,"부분","X")))</f>
        <v/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",TRUE,UNIQUE(FILTER(소재DB_RAW!$K$3:$K$2000,(소재DB_RAW!$G$3:$G$2000=$D87)*ISERROR(SEARCH("drop",소재DB_RAW!$C$3:$C$2000))))),"")</f>
        <v/>
      </c>
      <c r="W87" s="20" t="inlineStr">
        <is>
          <t>인도네시아</t>
        </is>
      </c>
      <c r="X87" s="20">
        <f>IFERROR(TEXTJOIN(" / ",TRUE,UNIQUE(FILTER(소재DB_RAW!$N$3:$N$2000,(소재DB_RAW!$G$3:$G$2000=$D87)*ISERROR(SEARCH("drop",소재DB_RAW!$C$3:$C$2000))))),"")</f>
        <v/>
      </c>
      <c r="Y87" s="26">
        <f>IFERROR(TEXTJOIN(CHAR(10),TRUE,UNIQUE(FILTER(소재DB_RAW!$N$3:$N$2000&amp;") "&amp;소재DB_RAW!$O$3:$O$2000,(소재DB_RAW!$G$3:$G$2000=$D87)*ISNUMBER(SEARCH("겉감",소재DB_RAW!$M$3:$M$2000))*ISERROR(SEARCH("drop",소재DB_RAW!$C$3:$C$2000))))),"")</f>
        <v/>
      </c>
      <c r="Z87" s="26">
        <f>IFERROR(TEXTJOIN(CHAR(10),TRUE,UNIQUE(FILTER(소재DB_RAW!$N$3:$N$2000&amp;") "&amp;소재DB_RAW!$O$3:$O$2000,(소재DB_RAW!$G$3:$G$2000=$D87)*ISNUMBER(SEARCH("안감",소재DB_RAW!$M$3:$M$2000))*ISERROR(SEARCH("drop",소재DB_RAW!$C$3:$C$2000))))),"")</f>
        <v/>
      </c>
      <c r="AA87" s="22">
        <f>IFERROR(MAX(FILTER(소재DB_RAW!$AK$3:$AK$2000,(소재DB_RAW!$G$3:$G$2000=$D87)*ISERROR(SEARCH("drop",소재DB_RAW!$C$3:$C$2000))*(소재DB_RAW!$AK$3:$AK$2000&lt;&gt;""))),"")</f>
        <v/>
      </c>
      <c r="AB87" s="27" t="n">
        <v>1400</v>
      </c>
      <c r="AC87" s="27" t="n">
        <v>31536400</v>
      </c>
      <c r="AD87" s="27" t="n">
        <v>207200000</v>
      </c>
      <c r="AE87" s="20" t="inlineStr">
        <is>
          <t>2월1주</t>
        </is>
      </c>
      <c r="AF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G87" s="19">
        <f>IF($K87="","",IF(OR(LEFT($AF87,2)="작지",LEFT($AF87,4)="소재입고"),IF(LEFT($G87,1)="S","★ 납기위험(S코드)","◆ 지연주의"),IF($AF87="정상","✓ 정상","? 확인필요")))</f>
        <v/>
      </c>
      <c r="AH87" s="21" t="n"/>
      <c r="AI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19">
        <f>IF(COUNTIF(EDW_RAW!$A$2:$A$1500,$D88)=0,"",IF(COUNTIFS(EDW_RAW!$A$2:$A$1500,$D88,EDW_RAW!$R$2:$R$1500,"&lt;&gt;~",EDW_RAW!$R$2:$R$1500,"&lt;&gt;")=COUNTIF(EDW_RAW!$A$2:$A$1500,$D88),"O",IF(COUNTIFS(EDW_RAW!$A$2:$A$1500,$D88,EDW_RAW!$R$2:$R$1500,"&lt;&gt;~",EDW_RAW!$R$2:$R$1500,"&lt;&gt;")&gt;0,"부분","X")))</f>
        <v/>
      </c>
      <c r="R88" s="19">
        <f>IF(COUNTIF(EDW_RAW!$A$2:$A$1500,$D88)=0,"",IF(COUNTIFS(EDW_RAW!$A$2:$A$1500,$D88,EDW_RAW!$U$2:$U$1500,"&lt;&gt;~",EDW_RAW!$U$2:$U$1500,"&lt;&gt;")=COUNTIF(EDW_RAW!$A$2:$A$1500,$D88),"O",IF(COUNTIFS(EDW_RAW!$A$2:$A$1500,$D88,EDW_RAW!$U$2:$U$1500,"&lt;&gt;~",EDW_RAW!$U$2:$U$1500,"&lt;&gt;")&gt;0,"부분","X")))</f>
        <v/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",TRUE,UNIQUE(FILTER(소재DB_RAW!$K$3:$K$2000,(소재DB_RAW!$G$3:$G$2000=$D88)*ISERROR(SEARCH("drop",소재DB_RAW!$C$3:$C$2000))))),"")</f>
        <v/>
      </c>
      <c r="W88" s="20" t="inlineStr">
        <is>
          <t>베트남</t>
        </is>
      </c>
      <c r="X88" s="20">
        <f>IFERROR(TEXTJOIN(" / ",TRUE,UNIQUE(FILTER(소재DB_RAW!$N$3:$N$2000,(소재DB_RAW!$G$3:$G$2000=$D88)*ISERROR(SEARCH("drop",소재DB_RAW!$C$3:$C$2000))))),"")</f>
        <v/>
      </c>
      <c r="Y88" s="26">
        <f>IFERROR(TEXTJOIN(CHAR(10),TRUE,UNIQUE(FILTER(소재DB_RAW!$N$3:$N$2000&amp;") "&amp;소재DB_RAW!$O$3:$O$2000,(소재DB_RAW!$G$3:$G$2000=$D88)*ISNUMBER(SEARCH("겉감",소재DB_RAW!$M$3:$M$2000))*ISERROR(SEARCH("drop",소재DB_RAW!$C$3:$C$2000))))),"")</f>
        <v/>
      </c>
      <c r="Z88" s="26">
        <f>IFERROR(TEXTJOIN(CHAR(10),TRUE,UNIQUE(FILTER(소재DB_RAW!$N$3:$N$2000&amp;") "&amp;소재DB_RAW!$O$3:$O$2000,(소재DB_RAW!$G$3:$G$2000=$D88)*ISNUMBER(SEARCH("안감",소재DB_RAW!$M$3:$M$2000))*ISERROR(SEARCH("drop",소재DB_RAW!$C$3:$C$2000))))),"")</f>
        <v/>
      </c>
      <c r="AA88" s="22">
        <f>IFERROR(MAX(FILTER(소재DB_RAW!$AK$3:$AK$2000,(소재DB_RAW!$G$3:$G$2000=$D88)*ISERROR(SEARCH("drop",소재DB_RAW!$C$3:$C$2000))*(소재DB_RAW!$AK$3:$AK$2000&lt;&gt;""))),"")</f>
        <v/>
      </c>
      <c r="AB88" s="27" t="n">
        <v>2500</v>
      </c>
      <c r="AC88" s="27" t="n">
        <v>273335000</v>
      </c>
      <c r="AD88" s="27" t="n">
        <v>1125000000</v>
      </c>
      <c r="AE88" s="20" t="n"/>
      <c r="AF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G88" s="19">
        <f>IF($K88="","",IF(OR(LEFT($AF88,2)="작지",LEFT($AF88,4)="소재입고"),IF(LEFT($G88,1)="S","★ 납기위험(S코드)","◆ 지연주의"),IF($AF88="정상","✓ 정상","? 확인필요")))</f>
        <v/>
      </c>
      <c r="AH88" s="21" t="n"/>
      <c r="AI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19">
        <f>IF(COUNTIF(EDW_RAW!$A$2:$A$1500,$D89)=0,"",IF(COUNTIFS(EDW_RAW!$A$2:$A$1500,$D89,EDW_RAW!$R$2:$R$1500,"&lt;&gt;~",EDW_RAW!$R$2:$R$1500,"&lt;&gt;")=COUNTIF(EDW_RAW!$A$2:$A$1500,$D89),"O",IF(COUNTIFS(EDW_RAW!$A$2:$A$1500,$D89,EDW_RAW!$R$2:$R$1500,"&lt;&gt;~",EDW_RAW!$R$2:$R$1500,"&lt;&gt;")&gt;0,"부분","X")))</f>
        <v/>
      </c>
      <c r="R89" s="19">
        <f>IF(COUNTIF(EDW_RAW!$A$2:$A$1500,$D89)=0,"",IF(COUNTIFS(EDW_RAW!$A$2:$A$1500,$D89,EDW_RAW!$U$2:$U$1500,"&lt;&gt;~",EDW_RAW!$U$2:$U$1500,"&lt;&gt;")=COUNTIF(EDW_RAW!$A$2:$A$1500,$D89),"O",IF(COUNTIFS(EDW_RAW!$A$2:$A$1500,$D89,EDW_RAW!$U$2:$U$1500,"&lt;&gt;~",EDW_RAW!$U$2:$U$1500,"&lt;&gt;")&gt;0,"부분","X")))</f>
        <v/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",TRUE,UNIQUE(FILTER(소재DB_RAW!$K$3:$K$2000,(소재DB_RAW!$G$3:$G$2000=$D89)*ISERROR(SEARCH("drop",소재DB_RAW!$C$3:$C$2000))))),"")</f>
        <v/>
      </c>
      <c r="W89" s="20" t="inlineStr">
        <is>
          <t>미얀마</t>
        </is>
      </c>
      <c r="X89" s="20">
        <f>IFERROR(TEXTJOIN(" / ",TRUE,UNIQUE(FILTER(소재DB_RAW!$N$3:$N$2000,(소재DB_RAW!$G$3:$G$2000=$D89)*ISERROR(SEARCH("drop",소재DB_RAW!$C$3:$C$2000))))),"")</f>
        <v/>
      </c>
      <c r="Y89" s="26">
        <f>IFERROR(TEXTJOIN(CHAR(10),TRUE,UNIQUE(FILTER(소재DB_RAW!$N$3:$N$2000&amp;") "&amp;소재DB_RAW!$O$3:$O$2000,(소재DB_RAW!$G$3:$G$2000=$D89)*ISNUMBER(SEARCH("겉감",소재DB_RAW!$M$3:$M$2000))*ISERROR(SEARCH("drop",소재DB_RAW!$C$3:$C$2000))))),"")</f>
        <v/>
      </c>
      <c r="Z89" s="26">
        <f>IFERROR(TEXTJOIN(CHAR(10),TRUE,UNIQUE(FILTER(소재DB_RAW!$N$3:$N$2000&amp;") "&amp;소재DB_RAW!$O$3:$O$2000,(소재DB_RAW!$G$3:$G$2000=$D89)*ISNUMBER(SEARCH("안감",소재DB_RAW!$M$3:$M$2000))*ISERROR(SEARCH("drop",소재DB_RAW!$C$3:$C$2000))))),"")</f>
        <v/>
      </c>
      <c r="AA89" s="22">
        <f>IFERROR(MAX(FILTER(소재DB_RAW!$AK$3:$AK$2000,(소재DB_RAW!$G$3:$G$2000=$D89)*ISERROR(SEARCH("drop",소재DB_RAW!$C$3:$C$2000))*(소재DB_RAW!$AK$3:$AK$2000&lt;&gt;""))),"")</f>
        <v/>
      </c>
      <c r="AB89" s="27" t="n">
        <v>7640</v>
      </c>
      <c r="AC89" s="27" t="n">
        <v>753495000</v>
      </c>
      <c r="AD89" s="27" t="n">
        <v>2979600000</v>
      </c>
      <c r="AE89" s="20" t="n"/>
      <c r="AF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G89" s="19">
        <f>IF($K89="","",IF(OR(LEFT($AF89,2)="작지",LEFT($AF89,4)="소재입고"),IF(LEFT($G89,1)="S","★ 납기위험(S코드)","◆ 지연주의"),IF($AF89="정상","✓ 정상","? 확인필요")))</f>
        <v/>
      </c>
      <c r="AH89" s="21" t="n"/>
      <c r="AI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19">
        <f>IF(COUNTIF(EDW_RAW!$A$2:$A$1500,$D90)=0,"",IF(COUNTIFS(EDW_RAW!$A$2:$A$1500,$D90,EDW_RAW!$R$2:$R$1500,"&lt;&gt;~",EDW_RAW!$R$2:$R$1500,"&lt;&gt;")=COUNTIF(EDW_RAW!$A$2:$A$1500,$D90),"O",IF(COUNTIFS(EDW_RAW!$A$2:$A$1500,$D90,EDW_RAW!$R$2:$R$1500,"&lt;&gt;~",EDW_RAW!$R$2:$R$1500,"&lt;&gt;")&gt;0,"부분","X")))</f>
        <v/>
      </c>
      <c r="R90" s="19">
        <f>IF(COUNTIF(EDW_RAW!$A$2:$A$1500,$D90)=0,"",IF(COUNTIFS(EDW_RAW!$A$2:$A$1500,$D90,EDW_RAW!$U$2:$U$1500,"&lt;&gt;~",EDW_RAW!$U$2:$U$1500,"&lt;&gt;")=COUNTIF(EDW_RAW!$A$2:$A$1500,$D90),"O",IF(COUNTIFS(EDW_RAW!$A$2:$A$1500,$D90,EDW_RAW!$U$2:$U$1500,"&lt;&gt;~",EDW_RAW!$U$2:$U$1500,"&lt;&gt;")&gt;0,"부분","X")))</f>
        <v/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",TRUE,UNIQUE(FILTER(소재DB_RAW!$K$3:$K$2000,(소재DB_RAW!$G$3:$G$2000=$D90)*ISERROR(SEARCH("drop",소재DB_RAW!$C$3:$C$2000))))),"")</f>
        <v/>
      </c>
      <c r="W90" s="20" t="inlineStr">
        <is>
          <t>인도네시아</t>
        </is>
      </c>
      <c r="X90" s="20">
        <f>IFERROR(TEXTJOIN(" / ",TRUE,UNIQUE(FILTER(소재DB_RAW!$N$3:$N$2000,(소재DB_RAW!$G$3:$G$2000=$D90)*ISERROR(SEARCH("drop",소재DB_RAW!$C$3:$C$2000))))),"")</f>
        <v/>
      </c>
      <c r="Y90" s="26">
        <f>IFERROR(TEXTJOIN(CHAR(10),TRUE,UNIQUE(FILTER(소재DB_RAW!$N$3:$N$2000&amp;") "&amp;소재DB_RAW!$O$3:$O$2000,(소재DB_RAW!$G$3:$G$2000=$D90)*ISNUMBER(SEARCH("겉감",소재DB_RAW!$M$3:$M$2000))*ISERROR(SEARCH("drop",소재DB_RAW!$C$3:$C$2000))))),"")</f>
        <v/>
      </c>
      <c r="Z90" s="26">
        <f>IFERROR(TEXTJOIN(CHAR(10),TRUE,UNIQUE(FILTER(소재DB_RAW!$N$3:$N$2000&amp;") "&amp;소재DB_RAW!$O$3:$O$2000,(소재DB_RAW!$G$3:$G$2000=$D90)*ISNUMBER(SEARCH("안감",소재DB_RAW!$M$3:$M$2000))*ISERROR(SEARCH("drop",소재DB_RAW!$C$3:$C$2000))))),"")</f>
        <v/>
      </c>
      <c r="AA90" s="22">
        <f>IFERROR(MAX(FILTER(소재DB_RAW!$AK$3:$AK$2000,(소재DB_RAW!$G$3:$G$2000=$D90)*ISERROR(SEARCH("drop",소재DB_RAW!$C$3:$C$2000))*(소재DB_RAW!$AK$3:$AK$2000&lt;&gt;""))),"")</f>
        <v/>
      </c>
      <c r="AB90" s="27" t="n">
        <v>2200</v>
      </c>
      <c r="AC90" s="27" t="n">
        <v>169224000</v>
      </c>
      <c r="AD90" s="27" t="n">
        <v>704000000</v>
      </c>
      <c r="AE90" s="20" t="n"/>
      <c r="AF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G90" s="19">
        <f>IF($K90="","",IF(OR(LEFT($AF90,2)="작지",LEFT($AF90,4)="소재입고"),IF(LEFT($G90,1)="S","★ 납기위험(S코드)","◆ 지연주의"),IF($AF90="정상","✓ 정상","? 확인필요")))</f>
        <v/>
      </c>
      <c r="AH90" s="21" t="n"/>
      <c r="AI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19">
        <f>IF(COUNTIF(EDW_RAW!$A$2:$A$1500,$D91)=0,"",IF(COUNTIFS(EDW_RAW!$A$2:$A$1500,$D91,EDW_RAW!$R$2:$R$1500,"&lt;&gt;~",EDW_RAW!$R$2:$R$1500,"&lt;&gt;")=COUNTIF(EDW_RAW!$A$2:$A$1500,$D91),"O",IF(COUNTIFS(EDW_RAW!$A$2:$A$1500,$D91,EDW_RAW!$R$2:$R$1500,"&lt;&gt;~",EDW_RAW!$R$2:$R$1500,"&lt;&gt;")&gt;0,"부분","X")))</f>
        <v/>
      </c>
      <c r="R91" s="19">
        <f>IF(COUNTIF(EDW_RAW!$A$2:$A$1500,$D91)=0,"",IF(COUNTIFS(EDW_RAW!$A$2:$A$1500,$D91,EDW_RAW!$U$2:$U$1500,"&lt;&gt;~",EDW_RAW!$U$2:$U$1500,"&lt;&gt;")=COUNTIF(EDW_RAW!$A$2:$A$1500,$D91),"O",IF(COUNTIFS(EDW_RAW!$A$2:$A$1500,$D91,EDW_RAW!$U$2:$U$1500,"&lt;&gt;~",EDW_RAW!$U$2:$U$1500,"&lt;&gt;")&gt;0,"부분","X")))</f>
        <v/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",TRUE,UNIQUE(FILTER(소재DB_RAW!$K$3:$K$2000,(소재DB_RAW!$G$3:$G$2000=$D91)*ISERROR(SEARCH("drop",소재DB_RAW!$C$3:$C$2000))))),"")</f>
        <v/>
      </c>
      <c r="W91" s="20" t="inlineStr">
        <is>
          <t>인도네시아</t>
        </is>
      </c>
      <c r="X91" s="20">
        <f>IFERROR(TEXTJOIN(" / ",TRUE,UNIQUE(FILTER(소재DB_RAW!$N$3:$N$2000,(소재DB_RAW!$G$3:$G$2000=$D91)*ISERROR(SEARCH("drop",소재DB_RAW!$C$3:$C$2000))))),"")</f>
        <v/>
      </c>
      <c r="Y91" s="26">
        <f>IFERROR(TEXTJOIN(CHAR(10),TRUE,UNIQUE(FILTER(소재DB_RAW!$N$3:$N$2000&amp;") "&amp;소재DB_RAW!$O$3:$O$2000,(소재DB_RAW!$G$3:$G$2000=$D91)*ISNUMBER(SEARCH("겉감",소재DB_RAW!$M$3:$M$2000))*ISERROR(SEARCH("drop",소재DB_RAW!$C$3:$C$2000))))),"")</f>
        <v/>
      </c>
      <c r="Z91" s="26">
        <f>IFERROR(TEXTJOIN(CHAR(10),TRUE,UNIQUE(FILTER(소재DB_RAW!$N$3:$N$2000&amp;") "&amp;소재DB_RAW!$O$3:$O$2000,(소재DB_RAW!$G$3:$G$2000=$D91)*ISNUMBER(SEARCH("안감",소재DB_RAW!$M$3:$M$2000))*ISERROR(SEARCH("drop",소재DB_RAW!$C$3:$C$2000))))),"")</f>
        <v/>
      </c>
      <c r="AA91" s="22">
        <f>IFERROR(MAX(FILTER(소재DB_RAW!$AK$3:$AK$2000,(소재DB_RAW!$G$3:$G$2000=$D91)*ISERROR(SEARCH("drop",소재DB_RAW!$C$3:$C$2000))*(소재DB_RAW!$AK$3:$AK$2000&lt;&gt;""))),"")</f>
        <v/>
      </c>
      <c r="AB91" s="27" t="n">
        <v>7000</v>
      </c>
      <c r="AC91" s="27" t="n">
        <v>566366500</v>
      </c>
      <c r="AD91" s="27" t="n">
        <v>2240000000</v>
      </c>
      <c r="AE91" s="20" t="n"/>
      <c r="AF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G91" s="19">
        <f>IF($K91="","",IF(OR(LEFT($AF91,2)="작지",LEFT($AF91,4)="소재입고"),IF(LEFT($G91,1)="S","★ 납기위험(S코드)","◆ 지연주의"),IF($AF91="정상","✓ 정상","? 확인필요")))</f>
        <v/>
      </c>
      <c r="AH91" s="21" t="n"/>
      <c r="AI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19">
        <f>IF(COUNTIF(EDW_RAW!$A$2:$A$1500,$D92)=0,"",IF(COUNTIFS(EDW_RAW!$A$2:$A$1500,$D92,EDW_RAW!$R$2:$R$1500,"&lt;&gt;~",EDW_RAW!$R$2:$R$1500,"&lt;&gt;")=COUNTIF(EDW_RAW!$A$2:$A$1500,$D92),"O",IF(COUNTIFS(EDW_RAW!$A$2:$A$1500,$D92,EDW_RAW!$R$2:$R$1500,"&lt;&gt;~",EDW_RAW!$R$2:$R$1500,"&lt;&gt;")&gt;0,"부분","X")))</f>
        <v/>
      </c>
      <c r="R92" s="19">
        <f>IF(COUNTIF(EDW_RAW!$A$2:$A$1500,$D92)=0,"",IF(COUNTIFS(EDW_RAW!$A$2:$A$1500,$D92,EDW_RAW!$U$2:$U$1500,"&lt;&gt;~",EDW_RAW!$U$2:$U$1500,"&lt;&gt;")=COUNTIF(EDW_RAW!$A$2:$A$1500,$D92),"O",IF(COUNTIFS(EDW_RAW!$A$2:$A$1500,$D92,EDW_RAW!$U$2:$U$1500,"&lt;&gt;~",EDW_RAW!$U$2:$U$1500,"&lt;&gt;")&gt;0,"부분","X")))</f>
        <v/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",TRUE,UNIQUE(FILTER(소재DB_RAW!$K$3:$K$2000,(소재DB_RAW!$G$3:$G$2000=$D92)*ISERROR(SEARCH("drop",소재DB_RAW!$C$3:$C$2000))))),"")</f>
        <v/>
      </c>
      <c r="W92" s="20" t="inlineStr">
        <is>
          <t>베트남</t>
        </is>
      </c>
      <c r="X92" s="20">
        <f>IFERROR(TEXTJOIN(" / ",TRUE,UNIQUE(FILTER(소재DB_RAW!$N$3:$N$2000,(소재DB_RAW!$G$3:$G$2000=$D92)*ISERROR(SEARCH("drop",소재DB_RAW!$C$3:$C$2000))))),"")</f>
        <v/>
      </c>
      <c r="Y92" s="26">
        <f>IFERROR(TEXTJOIN(CHAR(10),TRUE,UNIQUE(FILTER(소재DB_RAW!$N$3:$N$2000&amp;") "&amp;소재DB_RAW!$O$3:$O$2000,(소재DB_RAW!$G$3:$G$2000=$D92)*ISNUMBER(SEARCH("겉감",소재DB_RAW!$M$3:$M$2000))*ISERROR(SEARCH("drop",소재DB_RAW!$C$3:$C$2000))))),"")</f>
        <v/>
      </c>
      <c r="Z92" s="26">
        <f>IFERROR(TEXTJOIN(CHAR(10),TRUE,UNIQUE(FILTER(소재DB_RAW!$N$3:$N$2000&amp;") "&amp;소재DB_RAW!$O$3:$O$2000,(소재DB_RAW!$G$3:$G$2000=$D92)*ISNUMBER(SEARCH("안감",소재DB_RAW!$M$3:$M$2000))*ISERROR(SEARCH("drop",소재DB_RAW!$C$3:$C$2000))))),"")</f>
        <v/>
      </c>
      <c r="AA92" s="22">
        <f>IFERROR(MAX(FILTER(소재DB_RAW!$AK$3:$AK$2000,(소재DB_RAW!$G$3:$G$2000=$D92)*ISERROR(SEARCH("drop",소재DB_RAW!$C$3:$C$2000))*(소재DB_RAW!$AK$3:$AK$2000&lt;&gt;""))),"")</f>
        <v/>
      </c>
      <c r="AB92" s="27" t="n">
        <v>2800</v>
      </c>
      <c r="AC92" s="27" t="n">
        <v>226968000</v>
      </c>
      <c r="AD92" s="27" t="n">
        <v>896000000</v>
      </c>
      <c r="AE92" s="20" t="inlineStr">
        <is>
          <t>2월1주</t>
        </is>
      </c>
      <c r="AF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G92" s="19">
        <f>IF($K92="","",IF(OR(LEFT($AF92,2)="작지",LEFT($AF92,4)="소재입고"),IF(LEFT($G92,1)="S","★ 납기위험(S코드)","◆ 지연주의"),IF($AF92="정상","✓ 정상","? 확인필요")))</f>
        <v/>
      </c>
      <c r="AH92" s="21" t="n"/>
      <c r="AI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19">
        <f>IF(COUNTIF(EDW_RAW!$A$2:$A$1500,$D93)=0,"",IF(COUNTIFS(EDW_RAW!$A$2:$A$1500,$D93,EDW_RAW!$R$2:$R$1500,"&lt;&gt;~",EDW_RAW!$R$2:$R$1500,"&lt;&gt;")=COUNTIF(EDW_RAW!$A$2:$A$1500,$D93),"O",IF(COUNTIFS(EDW_RAW!$A$2:$A$1500,$D93,EDW_RAW!$R$2:$R$1500,"&lt;&gt;~",EDW_RAW!$R$2:$R$1500,"&lt;&gt;")&gt;0,"부분","X")))</f>
        <v/>
      </c>
      <c r="R93" s="19">
        <f>IF(COUNTIF(EDW_RAW!$A$2:$A$1500,$D93)=0,"",IF(COUNTIFS(EDW_RAW!$A$2:$A$1500,$D93,EDW_RAW!$U$2:$U$1500,"&lt;&gt;~",EDW_RAW!$U$2:$U$1500,"&lt;&gt;")=COUNTIF(EDW_RAW!$A$2:$A$1500,$D93),"O",IF(COUNTIFS(EDW_RAW!$A$2:$A$1500,$D93,EDW_RAW!$U$2:$U$1500,"&lt;&gt;~",EDW_RAW!$U$2:$U$1500,"&lt;&gt;")&gt;0,"부분","X")))</f>
        <v/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",TRUE,UNIQUE(FILTER(소재DB_RAW!$K$3:$K$2000,(소재DB_RAW!$G$3:$G$2000=$D93)*ISERROR(SEARCH("drop",소재DB_RAW!$C$3:$C$2000))))),"")</f>
        <v/>
      </c>
      <c r="W93" s="20" t="inlineStr">
        <is>
          <t>베트남</t>
        </is>
      </c>
      <c r="X93" s="20">
        <f>IFERROR(TEXTJOIN(" / ",TRUE,UNIQUE(FILTER(소재DB_RAW!$N$3:$N$2000,(소재DB_RAW!$G$3:$G$2000=$D93)*ISERROR(SEARCH("drop",소재DB_RAW!$C$3:$C$2000))))),"")</f>
        <v/>
      </c>
      <c r="Y93" s="26">
        <f>IFERROR(TEXTJOIN(CHAR(10),TRUE,UNIQUE(FILTER(소재DB_RAW!$N$3:$N$2000&amp;") "&amp;소재DB_RAW!$O$3:$O$2000,(소재DB_RAW!$G$3:$G$2000=$D93)*ISNUMBER(SEARCH("겉감",소재DB_RAW!$M$3:$M$2000))*ISERROR(SEARCH("drop",소재DB_RAW!$C$3:$C$2000))))),"")</f>
        <v/>
      </c>
      <c r="Z93" s="26">
        <f>IFERROR(TEXTJOIN(CHAR(10),TRUE,UNIQUE(FILTER(소재DB_RAW!$N$3:$N$2000&amp;") "&amp;소재DB_RAW!$O$3:$O$2000,(소재DB_RAW!$G$3:$G$2000=$D93)*ISNUMBER(SEARCH("안감",소재DB_RAW!$M$3:$M$2000))*ISERROR(SEARCH("drop",소재DB_RAW!$C$3:$C$2000))))),"")</f>
        <v/>
      </c>
      <c r="AA93" s="22">
        <f>IFERROR(MAX(FILTER(소재DB_RAW!$AK$3:$AK$2000,(소재DB_RAW!$G$3:$G$2000=$D93)*ISERROR(SEARCH("drop",소재DB_RAW!$C$3:$C$2000))*(소재DB_RAW!$AK$3:$AK$2000&lt;&gt;""))),"")</f>
        <v/>
      </c>
      <c r="AB93" s="27" t="n">
        <v>1700</v>
      </c>
      <c r="AC93" s="27" t="n">
        <v>118962600</v>
      </c>
      <c r="AD93" s="27" t="n">
        <v>544000000</v>
      </c>
      <c r="AE93" s="20" t="n"/>
      <c r="AF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G93" s="19">
        <f>IF($K93="","",IF(OR(LEFT($AF93,2)="작지",LEFT($AF93,4)="소재입고"),IF(LEFT($G93,1)="S","★ 납기위험(S코드)","◆ 지연주의"),IF($AF93="정상","✓ 정상","? 확인필요")))</f>
        <v/>
      </c>
      <c r="AH93" s="21" t="n"/>
      <c r="AI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19">
        <f>IF(COUNTIF(EDW_RAW!$A$2:$A$1500,$D94)=0,"",IF(COUNTIFS(EDW_RAW!$A$2:$A$1500,$D94,EDW_RAW!$R$2:$R$1500,"&lt;&gt;~",EDW_RAW!$R$2:$R$1500,"&lt;&gt;")=COUNTIF(EDW_RAW!$A$2:$A$1500,$D94),"O",IF(COUNTIFS(EDW_RAW!$A$2:$A$1500,$D94,EDW_RAW!$R$2:$R$1500,"&lt;&gt;~",EDW_RAW!$R$2:$R$1500,"&lt;&gt;")&gt;0,"부분","X")))</f>
        <v/>
      </c>
      <c r="R94" s="19">
        <f>IF(COUNTIF(EDW_RAW!$A$2:$A$1500,$D94)=0,"",IF(COUNTIFS(EDW_RAW!$A$2:$A$1500,$D94,EDW_RAW!$U$2:$U$1500,"&lt;&gt;~",EDW_RAW!$U$2:$U$1500,"&lt;&gt;")=COUNTIF(EDW_RAW!$A$2:$A$1500,$D94),"O",IF(COUNTIFS(EDW_RAW!$A$2:$A$1500,$D94,EDW_RAW!$U$2:$U$1500,"&lt;&gt;~",EDW_RAW!$U$2:$U$1500,"&lt;&gt;")&gt;0,"부분","X")))</f>
        <v/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",TRUE,UNIQUE(FILTER(소재DB_RAW!$K$3:$K$2000,(소재DB_RAW!$G$3:$G$2000=$D94)*ISERROR(SEARCH("drop",소재DB_RAW!$C$3:$C$2000))))),"")</f>
        <v/>
      </c>
      <c r="W94" s="20" t="inlineStr">
        <is>
          <t>인도네시아</t>
        </is>
      </c>
      <c r="X94" s="20">
        <f>IFERROR(TEXTJOIN(" / ",TRUE,UNIQUE(FILTER(소재DB_RAW!$N$3:$N$2000,(소재DB_RAW!$G$3:$G$2000=$D94)*ISERROR(SEARCH("drop",소재DB_RAW!$C$3:$C$2000))))),"")</f>
        <v/>
      </c>
      <c r="Y94" s="26">
        <f>IFERROR(TEXTJOIN(CHAR(10),TRUE,UNIQUE(FILTER(소재DB_RAW!$N$3:$N$2000&amp;") "&amp;소재DB_RAW!$O$3:$O$2000,(소재DB_RAW!$G$3:$G$2000=$D94)*ISNUMBER(SEARCH("겉감",소재DB_RAW!$M$3:$M$2000))*ISERROR(SEARCH("drop",소재DB_RAW!$C$3:$C$2000))))),"")</f>
        <v/>
      </c>
      <c r="Z94" s="26">
        <f>IFERROR(TEXTJOIN(CHAR(10),TRUE,UNIQUE(FILTER(소재DB_RAW!$N$3:$N$2000&amp;") "&amp;소재DB_RAW!$O$3:$O$2000,(소재DB_RAW!$G$3:$G$2000=$D94)*ISNUMBER(SEARCH("안감",소재DB_RAW!$M$3:$M$2000))*ISERROR(SEARCH("drop",소재DB_RAW!$C$3:$C$2000))))),"")</f>
        <v/>
      </c>
      <c r="AA94" s="22">
        <f>IFERROR(MAX(FILTER(소재DB_RAW!$AK$3:$AK$2000,(소재DB_RAW!$G$3:$G$2000=$D94)*ISERROR(SEARCH("drop",소재DB_RAW!$C$3:$C$2000))*(소재DB_RAW!$AK$3:$AK$2000&lt;&gt;""))),"")</f>
        <v/>
      </c>
      <c r="AB94" s="27" t="n">
        <v>1400</v>
      </c>
      <c r="AC94" s="27" t="n">
        <v>55910400</v>
      </c>
      <c r="AD94" s="27" t="n">
        <v>249200000</v>
      </c>
      <c r="AE94" s="20" t="n"/>
      <c r="AF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G94" s="19">
        <f>IF($K94="","",IF(OR(LEFT($AF94,2)="작지",LEFT($AF94,4)="소재입고"),IF(LEFT($G94,1)="S","★ 납기위험(S코드)","◆ 지연주의"),IF($AF94="정상","✓ 정상","? 확인필요")))</f>
        <v/>
      </c>
      <c r="AH94" s="21" t="n"/>
      <c r="AI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19">
        <f>IF(COUNTIF(EDW_RAW!$A$2:$A$1500,$D95)=0,"",IF(COUNTIFS(EDW_RAW!$A$2:$A$1500,$D95,EDW_RAW!$R$2:$R$1500,"&lt;&gt;~",EDW_RAW!$R$2:$R$1500,"&lt;&gt;")=COUNTIF(EDW_RAW!$A$2:$A$1500,$D95),"O",IF(COUNTIFS(EDW_RAW!$A$2:$A$1500,$D95,EDW_RAW!$R$2:$R$1500,"&lt;&gt;~",EDW_RAW!$R$2:$R$1500,"&lt;&gt;")&gt;0,"부분","X")))</f>
        <v/>
      </c>
      <c r="R95" s="19">
        <f>IF(COUNTIF(EDW_RAW!$A$2:$A$1500,$D95)=0,"",IF(COUNTIFS(EDW_RAW!$A$2:$A$1500,$D95,EDW_RAW!$U$2:$U$1500,"&lt;&gt;~",EDW_RAW!$U$2:$U$1500,"&lt;&gt;")=COUNTIF(EDW_RAW!$A$2:$A$1500,$D95),"O",IF(COUNTIFS(EDW_RAW!$A$2:$A$1500,$D95,EDW_RAW!$U$2:$U$1500,"&lt;&gt;~",EDW_RAW!$U$2:$U$1500,"&lt;&gt;")&gt;0,"부분","X")))</f>
        <v/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",TRUE,UNIQUE(FILTER(소재DB_RAW!$K$3:$K$2000,(소재DB_RAW!$G$3:$G$2000=$D95)*ISERROR(SEARCH("drop",소재DB_RAW!$C$3:$C$2000))))),"")</f>
        <v/>
      </c>
      <c r="W95" s="20" t="inlineStr">
        <is>
          <t>베트남</t>
        </is>
      </c>
      <c r="X95" s="20">
        <f>IFERROR(TEXTJOIN(" / ",TRUE,UNIQUE(FILTER(소재DB_RAW!$N$3:$N$2000,(소재DB_RAW!$G$3:$G$2000=$D95)*ISERROR(SEARCH("drop",소재DB_RAW!$C$3:$C$2000))))),"")</f>
        <v/>
      </c>
      <c r="Y95" s="26">
        <f>IFERROR(TEXTJOIN(CHAR(10),TRUE,UNIQUE(FILTER(소재DB_RAW!$N$3:$N$2000&amp;") "&amp;소재DB_RAW!$O$3:$O$2000,(소재DB_RAW!$G$3:$G$2000=$D95)*ISNUMBER(SEARCH("겉감",소재DB_RAW!$M$3:$M$2000))*ISERROR(SEARCH("drop",소재DB_RAW!$C$3:$C$2000))))),"")</f>
        <v/>
      </c>
      <c r="Z95" s="26">
        <f>IFERROR(TEXTJOIN(CHAR(10),TRUE,UNIQUE(FILTER(소재DB_RAW!$N$3:$N$2000&amp;") "&amp;소재DB_RAW!$O$3:$O$2000,(소재DB_RAW!$G$3:$G$2000=$D95)*ISNUMBER(SEARCH("안감",소재DB_RAW!$M$3:$M$2000))*ISERROR(SEARCH("drop",소재DB_RAW!$C$3:$C$2000))))),"")</f>
        <v/>
      </c>
      <c r="AA95" s="22">
        <f>IFERROR(MAX(FILTER(소재DB_RAW!$AK$3:$AK$2000,(소재DB_RAW!$G$3:$G$2000=$D95)*ISERROR(SEARCH("drop",소재DB_RAW!$C$3:$C$2000))*(소재DB_RAW!$AK$3:$AK$2000&lt;&gt;""))),"")</f>
        <v/>
      </c>
      <c r="AB95" s="27" t="n">
        <v>1200</v>
      </c>
      <c r="AC95" s="27" t="n">
        <v>84998400</v>
      </c>
      <c r="AD95" s="27" t="n">
        <v>420000000</v>
      </c>
      <c r="AE95" s="20" t="n"/>
      <c r="AF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G95" s="19">
        <f>IF($K95="","",IF(OR(LEFT($AF95,2)="작지",LEFT($AF95,4)="소재입고"),IF(LEFT($G95,1)="S","★ 납기위험(S코드)","◆ 지연주의"),IF($AF95="정상","✓ 정상","? 확인필요")))</f>
        <v/>
      </c>
      <c r="AH95" s="21" t="n"/>
      <c r="AI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19">
        <f>IF(COUNTIF(EDW_RAW!$A$2:$A$1500,$D96)=0,"",IF(COUNTIFS(EDW_RAW!$A$2:$A$1500,$D96,EDW_RAW!$R$2:$R$1500,"&lt;&gt;~",EDW_RAW!$R$2:$R$1500,"&lt;&gt;")=COUNTIF(EDW_RAW!$A$2:$A$1500,$D96),"O",IF(COUNTIFS(EDW_RAW!$A$2:$A$1500,$D96,EDW_RAW!$R$2:$R$1500,"&lt;&gt;~",EDW_RAW!$R$2:$R$1500,"&lt;&gt;")&gt;0,"부분","X")))</f>
        <v/>
      </c>
      <c r="R96" s="19">
        <f>IF(COUNTIF(EDW_RAW!$A$2:$A$1500,$D96)=0,"",IF(COUNTIFS(EDW_RAW!$A$2:$A$1500,$D96,EDW_RAW!$U$2:$U$1500,"&lt;&gt;~",EDW_RAW!$U$2:$U$1500,"&lt;&gt;")=COUNTIF(EDW_RAW!$A$2:$A$1500,$D96),"O",IF(COUNTIFS(EDW_RAW!$A$2:$A$1500,$D96,EDW_RAW!$U$2:$U$1500,"&lt;&gt;~",EDW_RAW!$U$2:$U$1500,"&lt;&gt;")&gt;0,"부분","X")))</f>
        <v/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",TRUE,UNIQUE(FILTER(소재DB_RAW!$K$3:$K$2000,(소재DB_RAW!$G$3:$G$2000=$D96)*ISERROR(SEARCH("drop",소재DB_RAW!$C$3:$C$2000))))),"")</f>
        <v/>
      </c>
      <c r="W96" s="20" t="inlineStr">
        <is>
          <t>미얀마</t>
        </is>
      </c>
      <c r="X96" s="20">
        <f>IFERROR(TEXTJOIN(" / ",TRUE,UNIQUE(FILTER(소재DB_RAW!$N$3:$N$2000,(소재DB_RAW!$G$3:$G$2000=$D96)*ISERROR(SEARCH("drop",소재DB_RAW!$C$3:$C$2000))))),"")</f>
        <v/>
      </c>
      <c r="Y96" s="26">
        <f>IFERROR(TEXTJOIN(CHAR(10),TRUE,UNIQUE(FILTER(소재DB_RAW!$N$3:$N$2000&amp;") "&amp;소재DB_RAW!$O$3:$O$2000,(소재DB_RAW!$G$3:$G$2000=$D96)*ISNUMBER(SEARCH("겉감",소재DB_RAW!$M$3:$M$2000))*ISERROR(SEARCH("drop",소재DB_RAW!$C$3:$C$2000))))),"")</f>
        <v/>
      </c>
      <c r="Z96" s="26">
        <f>IFERROR(TEXTJOIN(CHAR(10),TRUE,UNIQUE(FILTER(소재DB_RAW!$N$3:$N$2000&amp;") "&amp;소재DB_RAW!$O$3:$O$2000,(소재DB_RAW!$G$3:$G$2000=$D96)*ISNUMBER(SEARCH("안감",소재DB_RAW!$M$3:$M$2000))*ISERROR(SEARCH("drop",소재DB_RAW!$C$3:$C$2000))))),"")</f>
        <v/>
      </c>
      <c r="AA96" s="22">
        <f>IFERROR(MAX(FILTER(소재DB_RAW!$AK$3:$AK$2000,(소재DB_RAW!$G$3:$G$2000=$D96)*ISERROR(SEARCH("drop",소재DB_RAW!$C$3:$C$2000))*(소재DB_RAW!$AK$3:$AK$2000&lt;&gt;""))),"")</f>
        <v/>
      </c>
      <c r="AB96" s="27" t="n">
        <v>5000</v>
      </c>
      <c r="AC96" s="27" t="n">
        <v>283061400</v>
      </c>
      <c r="AD96" s="27" t="n">
        <v>1250000000</v>
      </c>
      <c r="AE96" s="20" t="n"/>
      <c r="AF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G96" s="19">
        <f>IF($K96="","",IF(OR(LEFT($AF96,2)="작지",LEFT($AF96,4)="소재입고"),IF(LEFT($G96,1)="S","★ 납기위험(S코드)","◆ 지연주의"),IF($AF96="정상","✓ 정상","? 확인필요")))</f>
        <v/>
      </c>
      <c r="AH96" s="21" t="n"/>
      <c r="AI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19">
        <f>IF(COUNTIF(EDW_RAW!$A$2:$A$1500,$D97)=0,"",IF(COUNTIFS(EDW_RAW!$A$2:$A$1500,$D97,EDW_RAW!$R$2:$R$1500,"&lt;&gt;~",EDW_RAW!$R$2:$R$1500,"&lt;&gt;")=COUNTIF(EDW_RAW!$A$2:$A$1500,$D97),"O",IF(COUNTIFS(EDW_RAW!$A$2:$A$1500,$D97,EDW_RAW!$R$2:$R$1500,"&lt;&gt;~",EDW_RAW!$R$2:$R$1500,"&lt;&gt;")&gt;0,"부분","X")))</f>
        <v/>
      </c>
      <c r="R97" s="19">
        <f>IF(COUNTIF(EDW_RAW!$A$2:$A$1500,$D97)=0,"",IF(COUNTIFS(EDW_RAW!$A$2:$A$1500,$D97,EDW_RAW!$U$2:$U$1500,"&lt;&gt;~",EDW_RAW!$U$2:$U$1500,"&lt;&gt;")=COUNTIF(EDW_RAW!$A$2:$A$1500,$D97),"O",IF(COUNTIFS(EDW_RAW!$A$2:$A$1500,$D97,EDW_RAW!$U$2:$U$1500,"&lt;&gt;~",EDW_RAW!$U$2:$U$1500,"&lt;&gt;")&gt;0,"부분","X")))</f>
        <v/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",TRUE,UNIQUE(FILTER(소재DB_RAW!$K$3:$K$2000,(소재DB_RAW!$G$3:$G$2000=$D97)*ISERROR(SEARCH("drop",소재DB_RAW!$C$3:$C$2000))))),"")</f>
        <v/>
      </c>
      <c r="W97" s="20" t="inlineStr">
        <is>
          <t>베트남</t>
        </is>
      </c>
      <c r="X97" s="20">
        <f>IFERROR(TEXTJOIN(" / ",TRUE,UNIQUE(FILTER(소재DB_RAW!$N$3:$N$2000,(소재DB_RAW!$G$3:$G$2000=$D97)*ISERROR(SEARCH("drop",소재DB_RAW!$C$3:$C$2000))))),"")</f>
        <v/>
      </c>
      <c r="Y97" s="26">
        <f>IFERROR(TEXTJOIN(CHAR(10),TRUE,UNIQUE(FILTER(소재DB_RAW!$N$3:$N$2000&amp;") "&amp;소재DB_RAW!$O$3:$O$2000,(소재DB_RAW!$G$3:$G$2000=$D97)*ISNUMBER(SEARCH("겉감",소재DB_RAW!$M$3:$M$2000))*ISERROR(SEARCH("drop",소재DB_RAW!$C$3:$C$2000))))),"")</f>
        <v/>
      </c>
      <c r="Z97" s="26">
        <f>IFERROR(TEXTJOIN(CHAR(10),TRUE,UNIQUE(FILTER(소재DB_RAW!$N$3:$N$2000&amp;") "&amp;소재DB_RAW!$O$3:$O$2000,(소재DB_RAW!$G$3:$G$2000=$D97)*ISNUMBER(SEARCH("안감",소재DB_RAW!$M$3:$M$2000))*ISERROR(SEARCH("drop",소재DB_RAW!$C$3:$C$2000))))),"")</f>
        <v/>
      </c>
      <c r="AA97" s="22">
        <f>IFERROR(MAX(FILTER(소재DB_RAW!$AK$3:$AK$2000,(소재DB_RAW!$G$3:$G$2000=$D97)*ISERROR(SEARCH("drop",소재DB_RAW!$C$3:$C$2000))*(소재DB_RAW!$AK$3:$AK$2000&lt;&gt;""))),"")</f>
        <v/>
      </c>
      <c r="AB97" s="27" t="n">
        <v>1600</v>
      </c>
      <c r="AC97" s="27" t="n">
        <v>81600000</v>
      </c>
      <c r="AD97" s="27" t="n">
        <v>352000000</v>
      </c>
      <c r="AE97" s="20" t="n"/>
      <c r="AF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G97" s="19">
        <f>IF($K97="","",IF(OR(LEFT($AF97,2)="작지",LEFT($AF97,4)="소재입고"),IF(LEFT($G97,1)="S","★ 납기위험(S코드)","◆ 지연주의"),IF($AF97="정상","✓ 정상","? 확인필요")))</f>
        <v/>
      </c>
      <c r="AH97" s="21" t="n"/>
      <c r="AI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19">
        <f>IF(COUNTIF(EDW_RAW!$A$2:$A$1500,$D98)=0,"",IF(COUNTIFS(EDW_RAW!$A$2:$A$1500,$D98,EDW_RAW!$R$2:$R$1500,"&lt;&gt;~",EDW_RAW!$R$2:$R$1500,"&lt;&gt;")=COUNTIF(EDW_RAW!$A$2:$A$1500,$D98),"O",IF(COUNTIFS(EDW_RAW!$A$2:$A$1500,$D98,EDW_RAW!$R$2:$R$1500,"&lt;&gt;~",EDW_RAW!$R$2:$R$1500,"&lt;&gt;")&gt;0,"부분","X")))</f>
        <v/>
      </c>
      <c r="R98" s="19">
        <f>IF(COUNTIF(EDW_RAW!$A$2:$A$1500,$D98)=0,"",IF(COUNTIFS(EDW_RAW!$A$2:$A$1500,$D98,EDW_RAW!$U$2:$U$1500,"&lt;&gt;~",EDW_RAW!$U$2:$U$1500,"&lt;&gt;")=COUNTIF(EDW_RAW!$A$2:$A$1500,$D98),"O",IF(COUNTIFS(EDW_RAW!$A$2:$A$1500,$D98,EDW_RAW!$U$2:$U$1500,"&lt;&gt;~",EDW_RAW!$U$2:$U$1500,"&lt;&gt;")&gt;0,"부분","X")))</f>
        <v/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",TRUE,UNIQUE(FILTER(소재DB_RAW!$K$3:$K$2000,(소재DB_RAW!$G$3:$G$2000=$D98)*ISERROR(SEARCH("drop",소재DB_RAW!$C$3:$C$2000))))),"")</f>
        <v/>
      </c>
      <c r="W98" s="20" t="inlineStr">
        <is>
          <t>베트남</t>
        </is>
      </c>
      <c r="X98" s="20">
        <f>IFERROR(TEXTJOIN(" / ",TRUE,UNIQUE(FILTER(소재DB_RAW!$N$3:$N$2000,(소재DB_RAW!$G$3:$G$2000=$D98)*ISERROR(SEARCH("drop",소재DB_RAW!$C$3:$C$2000))))),"")</f>
        <v/>
      </c>
      <c r="Y98" s="26">
        <f>IFERROR(TEXTJOIN(CHAR(10),TRUE,UNIQUE(FILTER(소재DB_RAW!$N$3:$N$2000&amp;") "&amp;소재DB_RAW!$O$3:$O$2000,(소재DB_RAW!$G$3:$G$2000=$D98)*ISNUMBER(SEARCH("겉감",소재DB_RAW!$M$3:$M$2000))*ISERROR(SEARCH("drop",소재DB_RAW!$C$3:$C$2000))))),"")</f>
        <v/>
      </c>
      <c r="Z98" s="26">
        <f>IFERROR(TEXTJOIN(CHAR(10),TRUE,UNIQUE(FILTER(소재DB_RAW!$N$3:$N$2000&amp;") "&amp;소재DB_RAW!$O$3:$O$2000,(소재DB_RAW!$G$3:$G$2000=$D98)*ISNUMBER(SEARCH("안감",소재DB_RAW!$M$3:$M$2000))*ISERROR(SEARCH("drop",소재DB_RAW!$C$3:$C$2000))))),"")</f>
        <v/>
      </c>
      <c r="AA98" s="22">
        <f>IFERROR(MAX(FILTER(소재DB_RAW!$AK$3:$AK$2000,(소재DB_RAW!$G$3:$G$2000=$D98)*ISERROR(SEARCH("drop",소재DB_RAW!$C$3:$C$2000))*(소재DB_RAW!$AK$3:$AK$2000&lt;&gt;""))),"")</f>
        <v/>
      </c>
      <c r="AB98" s="27" t="n">
        <v>2200</v>
      </c>
      <c r="AC98" s="27" t="n">
        <v>94773800</v>
      </c>
      <c r="AD98" s="27" t="n">
        <v>594000000</v>
      </c>
      <c r="AE98" s="20" t="inlineStr">
        <is>
          <t>2월1주</t>
        </is>
      </c>
      <c r="AF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G98" s="19">
        <f>IF($K98="","",IF(OR(LEFT($AF98,2)="작지",LEFT($AF98,4)="소재입고"),IF(LEFT($G98,1)="S","★ 납기위험(S코드)","◆ 지연주의"),IF($AF98="정상","✓ 정상","? 확인필요")))</f>
        <v/>
      </c>
      <c r="AH98" s="21" t="n"/>
      <c r="AI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19">
        <f>IF(COUNTIF(EDW_RAW!$A$2:$A$1500,$D99)=0,"",IF(COUNTIFS(EDW_RAW!$A$2:$A$1500,$D99,EDW_RAW!$R$2:$R$1500,"&lt;&gt;~",EDW_RAW!$R$2:$R$1500,"&lt;&gt;")=COUNTIF(EDW_RAW!$A$2:$A$1500,$D99),"O",IF(COUNTIFS(EDW_RAW!$A$2:$A$1500,$D99,EDW_RAW!$R$2:$R$1500,"&lt;&gt;~",EDW_RAW!$R$2:$R$1500,"&lt;&gt;")&gt;0,"부분","X")))</f>
        <v/>
      </c>
      <c r="R99" s="19">
        <f>IF(COUNTIF(EDW_RAW!$A$2:$A$1500,$D99)=0,"",IF(COUNTIFS(EDW_RAW!$A$2:$A$1500,$D99,EDW_RAW!$U$2:$U$1500,"&lt;&gt;~",EDW_RAW!$U$2:$U$1500,"&lt;&gt;")=COUNTIF(EDW_RAW!$A$2:$A$1500,$D99),"O",IF(COUNTIFS(EDW_RAW!$A$2:$A$1500,$D99,EDW_RAW!$U$2:$U$1500,"&lt;&gt;~",EDW_RAW!$U$2:$U$1500,"&lt;&gt;")&gt;0,"부분","X")))</f>
        <v/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",TRUE,UNIQUE(FILTER(소재DB_RAW!$K$3:$K$2000,(소재DB_RAW!$G$3:$G$2000=$D99)*ISERROR(SEARCH("drop",소재DB_RAW!$C$3:$C$2000))))),"")</f>
        <v/>
      </c>
      <c r="W99" s="20" t="inlineStr">
        <is>
          <t>인도네시아</t>
        </is>
      </c>
      <c r="X99" s="20">
        <f>IFERROR(TEXTJOIN(" / ",TRUE,UNIQUE(FILTER(소재DB_RAW!$N$3:$N$2000,(소재DB_RAW!$G$3:$G$2000=$D99)*ISERROR(SEARCH("drop",소재DB_RAW!$C$3:$C$2000))))),"")</f>
        <v/>
      </c>
      <c r="Y99" s="26">
        <f>IFERROR(TEXTJOIN(CHAR(10),TRUE,UNIQUE(FILTER(소재DB_RAW!$N$3:$N$2000&amp;") "&amp;소재DB_RAW!$O$3:$O$2000,(소재DB_RAW!$G$3:$G$2000=$D99)*ISNUMBER(SEARCH("겉감",소재DB_RAW!$M$3:$M$2000))*ISERROR(SEARCH("drop",소재DB_RAW!$C$3:$C$2000))))),"")</f>
        <v/>
      </c>
      <c r="Z99" s="26">
        <f>IFERROR(TEXTJOIN(CHAR(10),TRUE,UNIQUE(FILTER(소재DB_RAW!$N$3:$N$2000&amp;") "&amp;소재DB_RAW!$O$3:$O$2000,(소재DB_RAW!$G$3:$G$2000=$D99)*ISNUMBER(SEARCH("안감",소재DB_RAW!$M$3:$M$2000))*ISERROR(SEARCH("drop",소재DB_RAW!$C$3:$C$2000))))),"")</f>
        <v/>
      </c>
      <c r="AA99" s="22">
        <f>IFERROR(MAX(FILTER(소재DB_RAW!$AK$3:$AK$2000,(소재DB_RAW!$G$3:$G$2000=$D99)*ISERROR(SEARCH("drop",소재DB_RAW!$C$3:$C$2000))*(소재DB_RAW!$AK$3:$AK$2000&lt;&gt;""))),"")</f>
        <v/>
      </c>
      <c r="AB99" s="27" t="n">
        <v>1200</v>
      </c>
      <c r="AC99" s="27" t="n">
        <v>36000000</v>
      </c>
      <c r="AD99" s="27" t="n">
        <v>189600000</v>
      </c>
      <c r="AE99" s="20" t="inlineStr">
        <is>
          <t>2월1주</t>
        </is>
      </c>
      <c r="AF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G99" s="19">
        <f>IF($K99="","",IF(OR(LEFT($AF99,2)="작지",LEFT($AF99,4)="소재입고"),IF(LEFT($G99,1)="S","★ 납기위험(S코드)","◆ 지연주의"),IF($AF99="정상","✓ 정상","? 확인필요")))</f>
        <v/>
      </c>
      <c r="AH99" s="21" t="n"/>
      <c r="AI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19">
        <f>IF(COUNTIF(EDW_RAW!$A$2:$A$1500,$D100)=0,"",IF(COUNTIFS(EDW_RAW!$A$2:$A$1500,$D100,EDW_RAW!$R$2:$R$1500,"&lt;&gt;~",EDW_RAW!$R$2:$R$1500,"&lt;&gt;")=COUNTIF(EDW_RAW!$A$2:$A$1500,$D100),"O",IF(COUNTIFS(EDW_RAW!$A$2:$A$1500,$D100,EDW_RAW!$R$2:$R$1500,"&lt;&gt;~",EDW_RAW!$R$2:$R$1500,"&lt;&gt;")&gt;0,"부분","X")))</f>
        <v/>
      </c>
      <c r="R100" s="19">
        <f>IF(COUNTIF(EDW_RAW!$A$2:$A$1500,$D100)=0,"",IF(COUNTIFS(EDW_RAW!$A$2:$A$1500,$D100,EDW_RAW!$U$2:$U$1500,"&lt;&gt;~",EDW_RAW!$U$2:$U$1500,"&lt;&gt;")=COUNTIF(EDW_RAW!$A$2:$A$1500,$D100),"O",IF(COUNTIFS(EDW_RAW!$A$2:$A$1500,$D100,EDW_RAW!$U$2:$U$1500,"&lt;&gt;~",EDW_RAW!$U$2:$U$1500,"&lt;&gt;")&gt;0,"부분","X")))</f>
        <v/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",TRUE,UNIQUE(FILTER(소재DB_RAW!$K$3:$K$2000,(소재DB_RAW!$G$3:$G$2000=$D100)*ISERROR(SEARCH("drop",소재DB_RAW!$C$3:$C$2000))))),"")</f>
        <v/>
      </c>
      <c r="W100" s="20" t="inlineStr">
        <is>
          <t>베트남</t>
        </is>
      </c>
      <c r="X100" s="20">
        <f>IFERROR(TEXTJOIN(" / ",TRUE,UNIQUE(FILTER(소재DB_RAW!$N$3:$N$2000,(소재DB_RAW!$G$3:$G$2000=$D100)*ISERROR(SEARCH("drop",소재DB_RAW!$C$3:$C$2000))))),"")</f>
        <v/>
      </c>
      <c r="Y100" s="26">
        <f>IFERROR(TEXTJOIN(CHAR(10),TRUE,UNIQUE(FILTER(소재DB_RAW!$N$3:$N$2000&amp;") "&amp;소재DB_RAW!$O$3:$O$2000,(소재DB_RAW!$G$3:$G$2000=$D100)*ISNUMBER(SEARCH("겉감",소재DB_RAW!$M$3:$M$2000))*ISERROR(SEARCH("drop",소재DB_RAW!$C$3:$C$2000))))),"")</f>
        <v/>
      </c>
      <c r="Z100" s="26">
        <f>IFERROR(TEXTJOIN(CHAR(10),TRUE,UNIQUE(FILTER(소재DB_RAW!$N$3:$N$2000&amp;") "&amp;소재DB_RAW!$O$3:$O$2000,(소재DB_RAW!$G$3:$G$2000=$D100)*ISNUMBER(SEARCH("안감",소재DB_RAW!$M$3:$M$2000))*ISERROR(SEARCH("drop",소재DB_RAW!$C$3:$C$2000))))),"")</f>
        <v/>
      </c>
      <c r="AA100" s="22">
        <f>IFERROR(MAX(FILTER(소재DB_RAW!$AK$3:$AK$2000,(소재DB_RAW!$G$3:$G$2000=$D100)*ISERROR(SEARCH("drop",소재DB_RAW!$C$3:$C$2000))*(소재DB_RAW!$AK$3:$AK$2000&lt;&gt;""))),"")</f>
        <v/>
      </c>
      <c r="AB100" s="27" t="n">
        <v>1000</v>
      </c>
      <c r="AC100" s="27" t="n">
        <v>28000000</v>
      </c>
      <c r="AD100" s="27" t="n">
        <v>158000000</v>
      </c>
      <c r="AE100" s="20" t="n"/>
      <c r="AF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G100" s="19">
        <f>IF($K100="","",IF(OR(LEFT($AF100,2)="작지",LEFT($AF100,4)="소재입고"),IF(LEFT($G100,1)="S","★ 납기위험(S코드)","◆ 지연주의"),IF($AF100="정상","✓ 정상","? 확인필요")))</f>
        <v/>
      </c>
      <c r="AH100" s="21" t="n"/>
      <c r="AI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19">
        <f>IF(COUNTIF(EDW_RAW!$A$2:$A$1500,$D101)=0,"",IF(COUNTIFS(EDW_RAW!$A$2:$A$1500,$D101,EDW_RAW!$R$2:$R$1500,"&lt;&gt;~",EDW_RAW!$R$2:$R$1500,"&lt;&gt;")=COUNTIF(EDW_RAW!$A$2:$A$1500,$D101),"O",IF(COUNTIFS(EDW_RAW!$A$2:$A$1500,$D101,EDW_RAW!$R$2:$R$1500,"&lt;&gt;~",EDW_RAW!$R$2:$R$1500,"&lt;&gt;")&gt;0,"부분","X")))</f>
        <v/>
      </c>
      <c r="R101" s="19">
        <f>IF(COUNTIF(EDW_RAW!$A$2:$A$1500,$D101)=0,"",IF(COUNTIFS(EDW_RAW!$A$2:$A$1500,$D101,EDW_RAW!$U$2:$U$1500,"&lt;&gt;~",EDW_RAW!$U$2:$U$1500,"&lt;&gt;")=COUNTIF(EDW_RAW!$A$2:$A$1500,$D101),"O",IF(COUNTIFS(EDW_RAW!$A$2:$A$1500,$D101,EDW_RAW!$U$2:$U$1500,"&lt;&gt;~",EDW_RAW!$U$2:$U$1500,"&lt;&gt;")&gt;0,"부분","X")))</f>
        <v/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",TRUE,UNIQUE(FILTER(소재DB_RAW!$K$3:$K$2000,(소재DB_RAW!$G$3:$G$2000=$D101)*ISERROR(SEARCH("drop",소재DB_RAW!$C$3:$C$2000))))),"")</f>
        <v/>
      </c>
      <c r="W101" s="20" t="inlineStr">
        <is>
          <t>베트남</t>
        </is>
      </c>
      <c r="X101" s="20">
        <f>IFERROR(TEXTJOIN(" / ",TRUE,UNIQUE(FILTER(소재DB_RAW!$N$3:$N$2000,(소재DB_RAW!$G$3:$G$2000=$D101)*ISERROR(SEARCH("drop",소재DB_RAW!$C$3:$C$2000))))),"")</f>
        <v/>
      </c>
      <c r="Y101" s="26">
        <f>IFERROR(TEXTJOIN(CHAR(10),TRUE,UNIQUE(FILTER(소재DB_RAW!$N$3:$N$2000&amp;") "&amp;소재DB_RAW!$O$3:$O$2000,(소재DB_RAW!$G$3:$G$2000=$D101)*ISNUMBER(SEARCH("겉감",소재DB_RAW!$M$3:$M$2000))*ISERROR(SEARCH("drop",소재DB_RAW!$C$3:$C$2000))))),"")</f>
        <v/>
      </c>
      <c r="Z101" s="26">
        <f>IFERROR(TEXTJOIN(CHAR(10),TRUE,UNIQUE(FILTER(소재DB_RAW!$N$3:$N$2000&amp;") "&amp;소재DB_RAW!$O$3:$O$2000,(소재DB_RAW!$G$3:$G$2000=$D101)*ISNUMBER(SEARCH("안감",소재DB_RAW!$M$3:$M$2000))*ISERROR(SEARCH("drop",소재DB_RAW!$C$3:$C$2000))))),"")</f>
        <v/>
      </c>
      <c r="AA101" s="22">
        <f>IFERROR(MAX(FILTER(소재DB_RAW!$AK$3:$AK$2000,(소재DB_RAW!$G$3:$G$2000=$D101)*ISERROR(SEARCH("drop",소재DB_RAW!$C$3:$C$2000))*(소재DB_RAW!$AK$3:$AK$2000&lt;&gt;""))),"")</f>
        <v/>
      </c>
      <c r="AB101" s="27" t="n">
        <v>1500</v>
      </c>
      <c r="AC101" s="27" t="n">
        <v>46137000</v>
      </c>
      <c r="AD101" s="27" t="n">
        <v>252000000</v>
      </c>
      <c r="AE101" s="20" t="inlineStr">
        <is>
          <t>2월1주</t>
        </is>
      </c>
      <c r="AF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G101" s="19">
        <f>IF($K101="","",IF(OR(LEFT($AF101,2)="작지",LEFT($AF101,4)="소재입고"),IF(LEFT($G101,1)="S","★ 납기위험(S코드)","◆ 지연주의"),IF($AF101="정상","✓ 정상","? 확인필요")))</f>
        <v/>
      </c>
      <c r="AH101" s="21" t="n"/>
      <c r="AI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19">
        <f>IF(COUNTIF(EDW_RAW!$A$2:$A$1500,$D102)=0,"",IF(COUNTIFS(EDW_RAW!$A$2:$A$1500,$D102,EDW_RAW!$R$2:$R$1500,"&lt;&gt;~",EDW_RAW!$R$2:$R$1500,"&lt;&gt;")=COUNTIF(EDW_RAW!$A$2:$A$1500,$D102),"O",IF(COUNTIFS(EDW_RAW!$A$2:$A$1500,$D102,EDW_RAW!$R$2:$R$1500,"&lt;&gt;~",EDW_RAW!$R$2:$R$1500,"&lt;&gt;")&gt;0,"부분","X")))</f>
        <v/>
      </c>
      <c r="R102" s="19">
        <f>IF(COUNTIF(EDW_RAW!$A$2:$A$1500,$D102)=0,"",IF(COUNTIFS(EDW_RAW!$A$2:$A$1500,$D102,EDW_RAW!$U$2:$U$1500,"&lt;&gt;~",EDW_RAW!$U$2:$U$1500,"&lt;&gt;")=COUNTIF(EDW_RAW!$A$2:$A$1500,$D102),"O",IF(COUNTIFS(EDW_RAW!$A$2:$A$1500,$D102,EDW_RAW!$U$2:$U$1500,"&lt;&gt;~",EDW_RAW!$U$2:$U$1500,"&lt;&gt;")&gt;0,"부분","X")))</f>
        <v/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",TRUE,UNIQUE(FILTER(소재DB_RAW!$K$3:$K$2000,(소재DB_RAW!$G$3:$G$2000=$D102)*ISERROR(SEARCH("drop",소재DB_RAW!$C$3:$C$2000))))),"")</f>
        <v/>
      </c>
      <c r="W102" s="20" t="inlineStr">
        <is>
          <t>베트남</t>
        </is>
      </c>
      <c r="X102" s="20">
        <f>IFERROR(TEXTJOIN(" / ",TRUE,UNIQUE(FILTER(소재DB_RAW!$N$3:$N$2000,(소재DB_RAW!$G$3:$G$2000=$D102)*ISERROR(SEARCH("drop",소재DB_RAW!$C$3:$C$2000))))),"")</f>
        <v/>
      </c>
      <c r="Y102" s="26">
        <f>IFERROR(TEXTJOIN(CHAR(10),TRUE,UNIQUE(FILTER(소재DB_RAW!$N$3:$N$2000&amp;") "&amp;소재DB_RAW!$O$3:$O$2000,(소재DB_RAW!$G$3:$G$2000=$D102)*ISNUMBER(SEARCH("겉감",소재DB_RAW!$M$3:$M$2000))*ISERROR(SEARCH("drop",소재DB_RAW!$C$3:$C$2000))))),"")</f>
        <v/>
      </c>
      <c r="Z102" s="26">
        <f>IFERROR(TEXTJOIN(CHAR(10),TRUE,UNIQUE(FILTER(소재DB_RAW!$N$3:$N$2000&amp;") "&amp;소재DB_RAW!$O$3:$O$2000,(소재DB_RAW!$G$3:$G$2000=$D102)*ISNUMBER(SEARCH("안감",소재DB_RAW!$M$3:$M$2000))*ISERROR(SEARCH("drop",소재DB_RAW!$C$3:$C$2000))))),"")</f>
        <v/>
      </c>
      <c r="AA102" s="22">
        <f>IFERROR(MAX(FILTER(소재DB_RAW!$AK$3:$AK$2000,(소재DB_RAW!$G$3:$G$2000=$D102)*ISERROR(SEARCH("drop",소재DB_RAW!$C$3:$C$2000))*(소재DB_RAW!$AK$3:$AK$2000&lt;&gt;""))),"")</f>
        <v/>
      </c>
      <c r="AB102" s="27" t="n">
        <v>2000</v>
      </c>
      <c r="AC102" s="27" t="n">
        <v>67386000</v>
      </c>
      <c r="AD102" s="27" t="n">
        <v>396000000</v>
      </c>
      <c r="AE102" s="20" t="n"/>
      <c r="AF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G102" s="19">
        <f>IF($K102="","",IF(OR(LEFT($AF102,2)="작지",LEFT($AF102,4)="소재입고"),IF(LEFT($G102,1)="S","★ 납기위험(S코드)","◆ 지연주의"),IF($AF102="정상","✓ 정상","? 확인필요")))</f>
        <v/>
      </c>
      <c r="AH102" s="21" t="n"/>
      <c r="AI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19">
        <f>IF(COUNTIF(EDW_RAW!$A$2:$A$1500,$D103)=0,"",IF(COUNTIFS(EDW_RAW!$A$2:$A$1500,$D103,EDW_RAW!$R$2:$R$1500,"&lt;&gt;~",EDW_RAW!$R$2:$R$1500,"&lt;&gt;")=COUNTIF(EDW_RAW!$A$2:$A$1500,$D103),"O",IF(COUNTIFS(EDW_RAW!$A$2:$A$1500,$D103,EDW_RAW!$R$2:$R$1500,"&lt;&gt;~",EDW_RAW!$R$2:$R$1500,"&lt;&gt;")&gt;0,"부분","X")))</f>
        <v/>
      </c>
      <c r="R103" s="19">
        <f>IF(COUNTIF(EDW_RAW!$A$2:$A$1500,$D103)=0,"",IF(COUNTIFS(EDW_RAW!$A$2:$A$1500,$D103,EDW_RAW!$U$2:$U$1500,"&lt;&gt;~",EDW_RAW!$U$2:$U$1500,"&lt;&gt;")=COUNTIF(EDW_RAW!$A$2:$A$1500,$D103),"O",IF(COUNTIFS(EDW_RAW!$A$2:$A$1500,$D103,EDW_RAW!$U$2:$U$1500,"&lt;&gt;~",EDW_RAW!$U$2:$U$1500,"&lt;&gt;")&gt;0,"부분","X")))</f>
        <v/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",TRUE,UNIQUE(FILTER(소재DB_RAW!$K$3:$K$2000,(소재DB_RAW!$G$3:$G$2000=$D103)*ISERROR(SEARCH("drop",소재DB_RAW!$C$3:$C$2000))))),"")</f>
        <v/>
      </c>
      <c r="W103" s="20" t="inlineStr">
        <is>
          <t>베트남</t>
        </is>
      </c>
      <c r="X103" s="20">
        <f>IFERROR(TEXTJOIN(" / ",TRUE,UNIQUE(FILTER(소재DB_RAW!$N$3:$N$2000,(소재DB_RAW!$G$3:$G$2000=$D103)*ISERROR(SEARCH("drop",소재DB_RAW!$C$3:$C$2000))))),"")</f>
        <v/>
      </c>
      <c r="Y103" s="26">
        <f>IFERROR(TEXTJOIN(CHAR(10),TRUE,UNIQUE(FILTER(소재DB_RAW!$N$3:$N$2000&amp;") "&amp;소재DB_RAW!$O$3:$O$2000,(소재DB_RAW!$G$3:$G$2000=$D103)*ISNUMBER(SEARCH("겉감",소재DB_RAW!$M$3:$M$2000))*ISERROR(SEARCH("drop",소재DB_RAW!$C$3:$C$2000))))),"")</f>
        <v/>
      </c>
      <c r="Z103" s="26">
        <f>IFERROR(TEXTJOIN(CHAR(10),TRUE,UNIQUE(FILTER(소재DB_RAW!$N$3:$N$2000&amp;") "&amp;소재DB_RAW!$O$3:$O$2000,(소재DB_RAW!$G$3:$G$2000=$D103)*ISNUMBER(SEARCH("안감",소재DB_RAW!$M$3:$M$2000))*ISERROR(SEARCH("drop",소재DB_RAW!$C$3:$C$2000))))),"")</f>
        <v/>
      </c>
      <c r="AA103" s="22">
        <f>IFERROR(MAX(FILTER(소재DB_RAW!$AK$3:$AK$2000,(소재DB_RAW!$G$3:$G$2000=$D103)*ISERROR(SEARCH("drop",소재DB_RAW!$C$3:$C$2000))*(소재DB_RAW!$AK$3:$AK$2000&lt;&gt;""))),"")</f>
        <v/>
      </c>
      <c r="AB103" s="27" t="n">
        <v>1200</v>
      </c>
      <c r="AC103" s="27" t="n">
        <v>32350800</v>
      </c>
      <c r="AD103" s="27" t="n">
        <v>225600000</v>
      </c>
      <c r="AE103" s="20" t="n"/>
      <c r="AF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G103" s="19">
        <f>IF($K103="","",IF(OR(LEFT($AF103,2)="작지",LEFT($AF103,4)="소재입고"),IF(LEFT($G103,1)="S","★ 납기위험(S코드)","◆ 지연주의"),IF($AF103="정상","✓ 정상","? 확인필요")))</f>
        <v/>
      </c>
      <c r="AH103" s="21" t="n"/>
      <c r="AI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19">
        <f>IF(COUNTIF(EDW_RAW!$A$2:$A$1500,$D104)=0,"",IF(COUNTIFS(EDW_RAW!$A$2:$A$1500,$D104,EDW_RAW!$R$2:$R$1500,"&lt;&gt;~",EDW_RAW!$R$2:$R$1500,"&lt;&gt;")=COUNTIF(EDW_RAW!$A$2:$A$1500,$D104),"O",IF(COUNTIFS(EDW_RAW!$A$2:$A$1500,$D104,EDW_RAW!$R$2:$R$1500,"&lt;&gt;~",EDW_RAW!$R$2:$R$1500,"&lt;&gt;")&gt;0,"부분","X")))</f>
        <v/>
      </c>
      <c r="R104" s="19">
        <f>IF(COUNTIF(EDW_RAW!$A$2:$A$1500,$D104)=0,"",IF(COUNTIFS(EDW_RAW!$A$2:$A$1500,$D104,EDW_RAW!$U$2:$U$1500,"&lt;&gt;~",EDW_RAW!$U$2:$U$1500,"&lt;&gt;")=COUNTIF(EDW_RAW!$A$2:$A$1500,$D104),"O",IF(COUNTIFS(EDW_RAW!$A$2:$A$1500,$D104,EDW_RAW!$U$2:$U$1500,"&lt;&gt;~",EDW_RAW!$U$2:$U$1500,"&lt;&gt;")&gt;0,"부분","X")))</f>
        <v/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",TRUE,UNIQUE(FILTER(소재DB_RAW!$K$3:$K$2000,(소재DB_RAW!$G$3:$G$2000=$D104)*ISERROR(SEARCH("drop",소재DB_RAW!$C$3:$C$2000))))),"")</f>
        <v/>
      </c>
      <c r="W104" s="20" t="inlineStr"/>
      <c r="X104" s="20">
        <f>IFERROR(TEXTJOIN(" / ",TRUE,UNIQUE(FILTER(소재DB_RAW!$N$3:$N$2000,(소재DB_RAW!$G$3:$G$2000=$D104)*ISERROR(SEARCH("drop",소재DB_RAW!$C$3:$C$2000))))),"")</f>
        <v/>
      </c>
      <c r="Y104" s="26">
        <f>IFERROR(TEXTJOIN(CHAR(10),TRUE,UNIQUE(FILTER(소재DB_RAW!$N$3:$N$2000&amp;") "&amp;소재DB_RAW!$O$3:$O$2000,(소재DB_RAW!$G$3:$G$2000=$D104)*ISNUMBER(SEARCH("겉감",소재DB_RAW!$M$3:$M$2000))*ISERROR(SEARCH("drop",소재DB_RAW!$C$3:$C$2000))))),"")</f>
        <v/>
      </c>
      <c r="Z104" s="26">
        <f>IFERROR(TEXTJOIN(CHAR(10),TRUE,UNIQUE(FILTER(소재DB_RAW!$N$3:$N$2000&amp;") "&amp;소재DB_RAW!$O$3:$O$2000,(소재DB_RAW!$G$3:$G$2000=$D104)*ISNUMBER(SEARCH("안감",소재DB_RAW!$M$3:$M$2000))*ISERROR(SEARCH("drop",소재DB_RAW!$C$3:$C$2000))))),"")</f>
        <v/>
      </c>
      <c r="AA104" s="22">
        <f>IFERROR(MAX(FILTER(소재DB_RAW!$AK$3:$AK$2000,(소재DB_RAW!$G$3:$G$2000=$D104)*ISERROR(SEARCH("drop",소재DB_RAW!$C$3:$C$2000))*(소재DB_RAW!$AK$3:$AK$2000&lt;&gt;""))),"")</f>
        <v/>
      </c>
      <c r="AB104" s="27" t="n">
        <v>2000</v>
      </c>
      <c r="AC104" s="27" t="n">
        <v>78566000</v>
      </c>
      <c r="AD104" s="27" t="n">
        <v>356000000</v>
      </c>
      <c r="AE104" s="20" t="n"/>
      <c r="AF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G104" s="19">
        <f>IF($K104="","",IF(OR(LEFT($AF104,2)="작지",LEFT($AF104,4)="소재입고"),IF(LEFT($G104,1)="S","★ 납기위험(S코드)","◆ 지연주의"),IF($AF104="정상","✓ 정상","? 확인필요")))</f>
        <v/>
      </c>
      <c r="AH104" s="21" t="n"/>
      <c r="AI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19">
        <f>IF(COUNTIF(EDW_RAW!$A$2:$A$1500,$D105)=0,"",IF(COUNTIFS(EDW_RAW!$A$2:$A$1500,$D105,EDW_RAW!$R$2:$R$1500,"&lt;&gt;~",EDW_RAW!$R$2:$R$1500,"&lt;&gt;")=COUNTIF(EDW_RAW!$A$2:$A$1500,$D105),"O",IF(COUNTIFS(EDW_RAW!$A$2:$A$1500,$D105,EDW_RAW!$R$2:$R$1500,"&lt;&gt;~",EDW_RAW!$R$2:$R$1500,"&lt;&gt;")&gt;0,"부분","X")))</f>
        <v/>
      </c>
      <c r="R105" s="19">
        <f>IF(COUNTIF(EDW_RAW!$A$2:$A$1500,$D105)=0,"",IF(COUNTIFS(EDW_RAW!$A$2:$A$1500,$D105,EDW_RAW!$U$2:$U$1500,"&lt;&gt;~",EDW_RAW!$U$2:$U$1500,"&lt;&gt;")=COUNTIF(EDW_RAW!$A$2:$A$1500,$D105),"O",IF(COUNTIFS(EDW_RAW!$A$2:$A$1500,$D105,EDW_RAW!$U$2:$U$1500,"&lt;&gt;~",EDW_RAW!$U$2:$U$1500,"&lt;&gt;")&gt;0,"부분","X")))</f>
        <v/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",TRUE,UNIQUE(FILTER(소재DB_RAW!$K$3:$K$2000,(소재DB_RAW!$G$3:$G$2000=$D105)*ISERROR(SEARCH("drop",소재DB_RAW!$C$3:$C$2000))))),"")</f>
        <v/>
      </c>
      <c r="W105" s="20" t="inlineStr"/>
      <c r="X105" s="20">
        <f>IFERROR(TEXTJOIN(" / ",TRUE,UNIQUE(FILTER(소재DB_RAW!$N$3:$N$2000,(소재DB_RAW!$G$3:$G$2000=$D105)*ISERROR(SEARCH("drop",소재DB_RAW!$C$3:$C$2000))))),"")</f>
        <v/>
      </c>
      <c r="Y105" s="26">
        <f>IFERROR(TEXTJOIN(CHAR(10),TRUE,UNIQUE(FILTER(소재DB_RAW!$N$3:$N$2000&amp;") "&amp;소재DB_RAW!$O$3:$O$2000,(소재DB_RAW!$G$3:$G$2000=$D105)*ISNUMBER(SEARCH("겉감",소재DB_RAW!$M$3:$M$2000))*ISERROR(SEARCH("drop",소재DB_RAW!$C$3:$C$2000))))),"")</f>
        <v/>
      </c>
      <c r="Z105" s="26">
        <f>IFERROR(TEXTJOIN(CHAR(10),TRUE,UNIQUE(FILTER(소재DB_RAW!$N$3:$N$2000&amp;") "&amp;소재DB_RAW!$O$3:$O$2000,(소재DB_RAW!$G$3:$G$2000=$D105)*ISNUMBER(SEARCH("안감",소재DB_RAW!$M$3:$M$2000))*ISERROR(SEARCH("drop",소재DB_RAW!$C$3:$C$2000))))),"")</f>
        <v/>
      </c>
      <c r="AA105" s="22">
        <f>IFERROR(MAX(FILTER(소재DB_RAW!$AK$3:$AK$2000,(소재DB_RAW!$G$3:$G$2000=$D105)*ISERROR(SEARCH("drop",소재DB_RAW!$C$3:$C$2000))*(소재DB_RAW!$AK$3:$AK$2000&lt;&gt;""))),"")</f>
        <v/>
      </c>
      <c r="AB105" s="27" t="n">
        <v>1400</v>
      </c>
      <c r="AC105" s="27" t="n">
        <v>50358000</v>
      </c>
      <c r="AD105" s="27" t="n">
        <v>263200000</v>
      </c>
      <c r="AE105" s="20" t="n"/>
      <c r="AF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G105" s="19">
        <f>IF($K105="","",IF(OR(LEFT($AF105,2)="작지",LEFT($AF105,4)="소재입고"),IF(LEFT($G105,1)="S","★ 납기위험(S코드)","◆ 지연주의"),IF($AF105="정상","✓ 정상","? 확인필요")))</f>
        <v/>
      </c>
      <c r="AH105" s="21" t="n"/>
      <c r="AI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19">
        <f>IF(COUNTIF(EDW_RAW!$A$2:$A$1500,$D106)=0,"",IF(COUNTIFS(EDW_RAW!$A$2:$A$1500,$D106,EDW_RAW!$R$2:$R$1500,"&lt;&gt;~",EDW_RAW!$R$2:$R$1500,"&lt;&gt;")=COUNTIF(EDW_RAW!$A$2:$A$1500,$D106),"O",IF(COUNTIFS(EDW_RAW!$A$2:$A$1500,$D106,EDW_RAW!$R$2:$R$1500,"&lt;&gt;~",EDW_RAW!$R$2:$R$1500,"&lt;&gt;")&gt;0,"부분","X")))</f>
        <v/>
      </c>
      <c r="R106" s="19">
        <f>IF(COUNTIF(EDW_RAW!$A$2:$A$1500,$D106)=0,"",IF(COUNTIFS(EDW_RAW!$A$2:$A$1500,$D106,EDW_RAW!$U$2:$U$1500,"&lt;&gt;~",EDW_RAW!$U$2:$U$1500,"&lt;&gt;")=COUNTIF(EDW_RAW!$A$2:$A$1500,$D106),"O",IF(COUNTIFS(EDW_RAW!$A$2:$A$1500,$D106,EDW_RAW!$U$2:$U$1500,"&lt;&gt;~",EDW_RAW!$U$2:$U$1500,"&lt;&gt;")&gt;0,"부분","X")))</f>
        <v/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",TRUE,UNIQUE(FILTER(소재DB_RAW!$K$3:$K$2000,(소재DB_RAW!$G$3:$G$2000=$D106)*ISERROR(SEARCH("drop",소재DB_RAW!$C$3:$C$2000))))),"")</f>
        <v/>
      </c>
      <c r="W106" s="20" t="inlineStr">
        <is>
          <t>베트남</t>
        </is>
      </c>
      <c r="X106" s="20">
        <f>IFERROR(TEXTJOIN(" / ",TRUE,UNIQUE(FILTER(소재DB_RAW!$N$3:$N$2000,(소재DB_RAW!$G$3:$G$2000=$D106)*ISERROR(SEARCH("drop",소재DB_RAW!$C$3:$C$2000))))),"")</f>
        <v/>
      </c>
      <c r="Y106" s="26">
        <f>IFERROR(TEXTJOIN(CHAR(10),TRUE,UNIQUE(FILTER(소재DB_RAW!$N$3:$N$2000&amp;") "&amp;소재DB_RAW!$O$3:$O$2000,(소재DB_RAW!$G$3:$G$2000=$D106)*ISNUMBER(SEARCH("겉감",소재DB_RAW!$M$3:$M$2000))*ISERROR(SEARCH("drop",소재DB_RAW!$C$3:$C$2000))))),"")</f>
        <v/>
      </c>
      <c r="Z106" s="26">
        <f>IFERROR(TEXTJOIN(CHAR(10),TRUE,UNIQUE(FILTER(소재DB_RAW!$N$3:$N$2000&amp;") "&amp;소재DB_RAW!$O$3:$O$2000,(소재DB_RAW!$G$3:$G$2000=$D106)*ISNUMBER(SEARCH("안감",소재DB_RAW!$M$3:$M$2000))*ISERROR(SEARCH("drop",소재DB_RAW!$C$3:$C$2000))))),"")</f>
        <v/>
      </c>
      <c r="AA106" s="22">
        <f>IFERROR(MAX(FILTER(소재DB_RAW!$AK$3:$AK$2000,(소재DB_RAW!$G$3:$G$2000=$D106)*ISERROR(SEARCH("drop",소재DB_RAW!$C$3:$C$2000))*(소재DB_RAW!$AK$3:$AK$2000&lt;&gt;""))),"")</f>
        <v/>
      </c>
      <c r="AB106" s="27" t="n">
        <v>1800</v>
      </c>
      <c r="AC106" s="27" t="n">
        <v>67595400</v>
      </c>
      <c r="AD106" s="27" t="n">
        <v>284400000</v>
      </c>
      <c r="AE106" s="20" t="n"/>
      <c r="AF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G106" s="19">
        <f>IF($K106="","",IF(OR(LEFT($AF106,2)="작지",LEFT($AF106,4)="소재입고"),IF(LEFT($G106,1)="S","★ 납기위험(S코드)","◆ 지연주의"),IF($AF106="정상","✓ 정상","? 확인필요")))</f>
        <v/>
      </c>
      <c r="AH106" s="21" t="n"/>
      <c r="AI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19">
        <f>IF(COUNTIF(EDW_RAW!$A$2:$A$1500,$D107)=0,"",IF(COUNTIFS(EDW_RAW!$A$2:$A$1500,$D107,EDW_RAW!$R$2:$R$1500,"&lt;&gt;~",EDW_RAW!$R$2:$R$1500,"&lt;&gt;")=COUNTIF(EDW_RAW!$A$2:$A$1500,$D107),"O",IF(COUNTIFS(EDW_RAW!$A$2:$A$1500,$D107,EDW_RAW!$R$2:$R$1500,"&lt;&gt;~",EDW_RAW!$R$2:$R$1500,"&lt;&gt;")&gt;0,"부분","X")))</f>
        <v/>
      </c>
      <c r="R107" s="19">
        <f>IF(COUNTIF(EDW_RAW!$A$2:$A$1500,$D107)=0,"",IF(COUNTIFS(EDW_RAW!$A$2:$A$1500,$D107,EDW_RAW!$U$2:$U$1500,"&lt;&gt;~",EDW_RAW!$U$2:$U$1500,"&lt;&gt;")=COUNTIF(EDW_RAW!$A$2:$A$1500,$D107),"O",IF(COUNTIFS(EDW_RAW!$A$2:$A$1500,$D107,EDW_RAW!$U$2:$U$1500,"&lt;&gt;~",EDW_RAW!$U$2:$U$1500,"&lt;&gt;")&gt;0,"부분","X")))</f>
        <v/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",TRUE,UNIQUE(FILTER(소재DB_RAW!$K$3:$K$2000,(소재DB_RAW!$G$3:$G$2000=$D107)*ISERROR(SEARCH("drop",소재DB_RAW!$C$3:$C$2000))))),"")</f>
        <v/>
      </c>
      <c r="W107" s="20" t="inlineStr">
        <is>
          <t>베트남</t>
        </is>
      </c>
      <c r="X107" s="20">
        <f>IFERROR(TEXTJOIN(" / ",TRUE,UNIQUE(FILTER(소재DB_RAW!$N$3:$N$2000,(소재DB_RAW!$G$3:$G$2000=$D107)*ISERROR(SEARCH("drop",소재DB_RAW!$C$3:$C$2000))))),"")</f>
        <v/>
      </c>
      <c r="Y107" s="26">
        <f>IFERROR(TEXTJOIN(CHAR(10),TRUE,UNIQUE(FILTER(소재DB_RAW!$N$3:$N$2000&amp;") "&amp;소재DB_RAW!$O$3:$O$2000,(소재DB_RAW!$G$3:$G$2000=$D107)*ISNUMBER(SEARCH("겉감",소재DB_RAW!$M$3:$M$2000))*ISERROR(SEARCH("drop",소재DB_RAW!$C$3:$C$2000))))),"")</f>
        <v/>
      </c>
      <c r="Z107" s="26">
        <f>IFERROR(TEXTJOIN(CHAR(10),TRUE,UNIQUE(FILTER(소재DB_RAW!$N$3:$N$2000&amp;") "&amp;소재DB_RAW!$O$3:$O$2000,(소재DB_RAW!$G$3:$G$2000=$D107)*ISNUMBER(SEARCH("안감",소재DB_RAW!$M$3:$M$2000))*ISERROR(SEARCH("drop",소재DB_RAW!$C$3:$C$2000))))),"")</f>
        <v/>
      </c>
      <c r="AA107" s="22">
        <f>IFERROR(MAX(FILTER(소재DB_RAW!$AK$3:$AK$2000,(소재DB_RAW!$G$3:$G$2000=$D107)*ISERROR(SEARCH("drop",소재DB_RAW!$C$3:$C$2000))*(소재DB_RAW!$AK$3:$AK$2000&lt;&gt;""))),"")</f>
        <v/>
      </c>
      <c r="AB107" s="27" t="n">
        <v>1800</v>
      </c>
      <c r="AC107" s="27" t="n">
        <v>64155600</v>
      </c>
      <c r="AD107" s="27" t="n">
        <v>302400000</v>
      </c>
      <c r="AE107" s="20" t="n"/>
      <c r="AF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G107" s="19">
        <f>IF($K107="","",IF(OR(LEFT($AF107,2)="작지",LEFT($AF107,4)="소재입고"),IF(LEFT($G107,1)="S","★ 납기위험(S코드)","◆ 지연주의"),IF($AF107="정상","✓ 정상","? 확인필요")))</f>
        <v/>
      </c>
      <c r="AH107" s="21" t="n"/>
      <c r="AI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19">
        <f>IF(COUNTIF(EDW_RAW!$A$2:$A$1500,$D108)=0,"",IF(COUNTIFS(EDW_RAW!$A$2:$A$1500,$D108,EDW_RAW!$R$2:$R$1500,"&lt;&gt;~",EDW_RAW!$R$2:$R$1500,"&lt;&gt;")=COUNTIF(EDW_RAW!$A$2:$A$1500,$D108),"O",IF(COUNTIFS(EDW_RAW!$A$2:$A$1500,$D108,EDW_RAW!$R$2:$R$1500,"&lt;&gt;~",EDW_RAW!$R$2:$R$1500,"&lt;&gt;")&gt;0,"부분","X")))</f>
        <v/>
      </c>
      <c r="R108" s="19">
        <f>IF(COUNTIF(EDW_RAW!$A$2:$A$1500,$D108)=0,"",IF(COUNTIFS(EDW_RAW!$A$2:$A$1500,$D108,EDW_RAW!$U$2:$U$1500,"&lt;&gt;~",EDW_RAW!$U$2:$U$1500,"&lt;&gt;")=COUNTIF(EDW_RAW!$A$2:$A$1500,$D108),"O",IF(COUNTIFS(EDW_RAW!$A$2:$A$1500,$D108,EDW_RAW!$U$2:$U$1500,"&lt;&gt;~",EDW_RAW!$U$2:$U$1500,"&lt;&gt;")&gt;0,"부분","X")))</f>
        <v/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",TRUE,UNIQUE(FILTER(소재DB_RAW!$K$3:$K$2000,(소재DB_RAW!$G$3:$G$2000=$D108)*ISERROR(SEARCH("drop",소재DB_RAW!$C$3:$C$2000))))),"")</f>
        <v/>
      </c>
      <c r="W108" s="20" t="inlineStr">
        <is>
          <t>베트남</t>
        </is>
      </c>
      <c r="X108" s="20">
        <f>IFERROR(TEXTJOIN(" / ",TRUE,UNIQUE(FILTER(소재DB_RAW!$N$3:$N$2000,(소재DB_RAW!$G$3:$G$2000=$D108)*ISERROR(SEARCH("drop",소재DB_RAW!$C$3:$C$2000))))),"")</f>
        <v/>
      </c>
      <c r="Y108" s="26">
        <f>IFERROR(TEXTJOIN(CHAR(10),TRUE,UNIQUE(FILTER(소재DB_RAW!$N$3:$N$2000&amp;") "&amp;소재DB_RAW!$O$3:$O$2000,(소재DB_RAW!$G$3:$G$2000=$D108)*ISNUMBER(SEARCH("겉감",소재DB_RAW!$M$3:$M$2000))*ISERROR(SEARCH("drop",소재DB_RAW!$C$3:$C$2000))))),"")</f>
        <v/>
      </c>
      <c r="Z108" s="26">
        <f>IFERROR(TEXTJOIN(CHAR(10),TRUE,UNIQUE(FILTER(소재DB_RAW!$N$3:$N$2000&amp;") "&amp;소재DB_RAW!$O$3:$O$2000,(소재DB_RAW!$G$3:$G$2000=$D108)*ISNUMBER(SEARCH("안감",소재DB_RAW!$M$3:$M$2000))*ISERROR(SEARCH("drop",소재DB_RAW!$C$3:$C$2000))))),"")</f>
        <v/>
      </c>
      <c r="AA108" s="22">
        <f>IFERROR(MAX(FILTER(소재DB_RAW!$AK$3:$AK$2000,(소재DB_RAW!$G$3:$G$2000=$D108)*ISERROR(SEARCH("drop",소재DB_RAW!$C$3:$C$2000))*(소재DB_RAW!$AK$3:$AK$2000&lt;&gt;""))),"")</f>
        <v/>
      </c>
      <c r="AB108" s="27" t="n">
        <v>1000</v>
      </c>
      <c r="AC108" s="27" t="n">
        <v>65000000</v>
      </c>
      <c r="AD108" s="27" t="n">
        <v>250000000</v>
      </c>
      <c r="AE108" s="20" t="n"/>
      <c r="AF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G108" s="19">
        <f>IF($K108="","",IF(OR(LEFT($AF108,2)="작지",LEFT($AF108,4)="소재입고"),IF(LEFT($G108,1)="S","★ 납기위험(S코드)","◆ 지연주의"),IF($AF108="정상","✓ 정상","? 확인필요")))</f>
        <v/>
      </c>
      <c r="AH108" s="21" t="n"/>
      <c r="AI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19">
        <f>IF(COUNTIF(EDW_RAW!$A$2:$A$1500,$D109)=0,"",IF(COUNTIFS(EDW_RAW!$A$2:$A$1500,$D109,EDW_RAW!$R$2:$R$1500,"&lt;&gt;~",EDW_RAW!$R$2:$R$1500,"&lt;&gt;")=COUNTIF(EDW_RAW!$A$2:$A$1500,$D109),"O",IF(COUNTIFS(EDW_RAW!$A$2:$A$1500,$D109,EDW_RAW!$R$2:$R$1500,"&lt;&gt;~",EDW_RAW!$R$2:$R$1500,"&lt;&gt;")&gt;0,"부분","X")))</f>
        <v/>
      </c>
      <c r="R109" s="19">
        <f>IF(COUNTIF(EDW_RAW!$A$2:$A$1500,$D109)=0,"",IF(COUNTIFS(EDW_RAW!$A$2:$A$1500,$D109,EDW_RAW!$U$2:$U$1500,"&lt;&gt;~",EDW_RAW!$U$2:$U$1500,"&lt;&gt;")=COUNTIF(EDW_RAW!$A$2:$A$1500,$D109),"O",IF(COUNTIFS(EDW_RAW!$A$2:$A$1500,$D109,EDW_RAW!$U$2:$U$1500,"&lt;&gt;~",EDW_RAW!$U$2:$U$1500,"&lt;&gt;")&gt;0,"부분","X")))</f>
        <v/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",TRUE,UNIQUE(FILTER(소재DB_RAW!$K$3:$K$2000,(소재DB_RAW!$G$3:$G$2000=$D109)*ISERROR(SEARCH("drop",소재DB_RAW!$C$3:$C$2000))))),"")</f>
        <v/>
      </c>
      <c r="W109" s="20" t="inlineStr">
        <is>
          <t>베트남</t>
        </is>
      </c>
      <c r="X109" s="20">
        <f>IFERROR(TEXTJOIN(" / ",TRUE,UNIQUE(FILTER(소재DB_RAW!$N$3:$N$2000,(소재DB_RAW!$G$3:$G$2000=$D109)*ISERROR(SEARCH("drop",소재DB_RAW!$C$3:$C$2000))))),"")</f>
        <v/>
      </c>
      <c r="Y109" s="26">
        <f>IFERROR(TEXTJOIN(CHAR(10),TRUE,UNIQUE(FILTER(소재DB_RAW!$N$3:$N$2000&amp;") "&amp;소재DB_RAW!$O$3:$O$2000,(소재DB_RAW!$G$3:$G$2000=$D109)*ISNUMBER(SEARCH("겉감",소재DB_RAW!$M$3:$M$2000))*ISERROR(SEARCH("drop",소재DB_RAW!$C$3:$C$2000))))),"")</f>
        <v/>
      </c>
      <c r="Z109" s="26">
        <f>IFERROR(TEXTJOIN(CHAR(10),TRUE,UNIQUE(FILTER(소재DB_RAW!$N$3:$N$2000&amp;") "&amp;소재DB_RAW!$O$3:$O$2000,(소재DB_RAW!$G$3:$G$2000=$D109)*ISNUMBER(SEARCH("안감",소재DB_RAW!$M$3:$M$2000))*ISERROR(SEARCH("drop",소재DB_RAW!$C$3:$C$2000))))),"")</f>
        <v/>
      </c>
      <c r="AA109" s="22">
        <f>IFERROR(MAX(FILTER(소재DB_RAW!$AK$3:$AK$2000,(소재DB_RAW!$G$3:$G$2000=$D109)*ISERROR(SEARCH("drop",소재DB_RAW!$C$3:$C$2000))*(소재DB_RAW!$AK$3:$AK$2000&lt;&gt;""))),"")</f>
        <v/>
      </c>
      <c r="AB109" s="27" t="n">
        <v>4500</v>
      </c>
      <c r="AC109" s="27" t="n">
        <v>103500000</v>
      </c>
      <c r="AD109" s="27" t="n">
        <v>531000000</v>
      </c>
      <c r="AE109" s="20" t="n"/>
      <c r="AF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G109" s="19">
        <f>IF($K109="","",IF(OR(LEFT($AF109,2)="작지",LEFT($AF109,4)="소재입고"),IF(LEFT($G109,1)="S","★ 납기위험(S코드)","◆ 지연주의"),IF($AF109="정상","✓ 정상","? 확인필요")))</f>
        <v/>
      </c>
      <c r="AH109" s="21" t="n"/>
      <c r="AI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19">
        <f>IF(COUNTIF(EDW_RAW!$A$2:$A$1500,$D110)=0,"",IF(COUNTIFS(EDW_RAW!$A$2:$A$1500,$D110,EDW_RAW!$R$2:$R$1500,"&lt;&gt;~",EDW_RAW!$R$2:$R$1500,"&lt;&gt;")=COUNTIF(EDW_RAW!$A$2:$A$1500,$D110),"O",IF(COUNTIFS(EDW_RAW!$A$2:$A$1500,$D110,EDW_RAW!$R$2:$R$1500,"&lt;&gt;~",EDW_RAW!$R$2:$R$1500,"&lt;&gt;")&gt;0,"부분","X")))</f>
        <v/>
      </c>
      <c r="R110" s="19">
        <f>IF(COUNTIF(EDW_RAW!$A$2:$A$1500,$D110)=0,"",IF(COUNTIFS(EDW_RAW!$A$2:$A$1500,$D110,EDW_RAW!$U$2:$U$1500,"&lt;&gt;~",EDW_RAW!$U$2:$U$1500,"&lt;&gt;")=COUNTIF(EDW_RAW!$A$2:$A$1500,$D110),"O",IF(COUNTIFS(EDW_RAW!$A$2:$A$1500,$D110,EDW_RAW!$U$2:$U$1500,"&lt;&gt;~",EDW_RAW!$U$2:$U$1500,"&lt;&gt;")&gt;0,"부분","X")))</f>
        <v/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",TRUE,UNIQUE(FILTER(소재DB_RAW!$K$3:$K$2000,(소재DB_RAW!$G$3:$G$2000=$D110)*ISERROR(SEARCH("drop",소재DB_RAW!$C$3:$C$2000))))),"")</f>
        <v/>
      </c>
      <c r="W110" s="20" t="inlineStr">
        <is>
          <t>인도네시아</t>
        </is>
      </c>
      <c r="X110" s="20">
        <f>IFERROR(TEXTJOIN(" / ",TRUE,UNIQUE(FILTER(소재DB_RAW!$N$3:$N$2000,(소재DB_RAW!$G$3:$G$2000=$D110)*ISERROR(SEARCH("drop",소재DB_RAW!$C$3:$C$2000))))),"")</f>
        <v/>
      </c>
      <c r="Y110" s="26">
        <f>IFERROR(TEXTJOIN(CHAR(10),TRUE,UNIQUE(FILTER(소재DB_RAW!$N$3:$N$2000&amp;") "&amp;소재DB_RAW!$O$3:$O$2000,(소재DB_RAW!$G$3:$G$2000=$D110)*ISNUMBER(SEARCH("겉감",소재DB_RAW!$M$3:$M$2000))*ISERROR(SEARCH("drop",소재DB_RAW!$C$3:$C$2000))))),"")</f>
        <v/>
      </c>
      <c r="Z110" s="26">
        <f>IFERROR(TEXTJOIN(CHAR(10),TRUE,UNIQUE(FILTER(소재DB_RAW!$N$3:$N$2000&amp;") "&amp;소재DB_RAW!$O$3:$O$2000,(소재DB_RAW!$G$3:$G$2000=$D110)*ISNUMBER(SEARCH("안감",소재DB_RAW!$M$3:$M$2000))*ISERROR(SEARCH("drop",소재DB_RAW!$C$3:$C$2000))))),"")</f>
        <v/>
      </c>
      <c r="AA110" s="22">
        <f>IFERROR(MAX(FILTER(소재DB_RAW!$AK$3:$AK$2000,(소재DB_RAW!$G$3:$G$2000=$D110)*ISERROR(SEARCH("drop",소재DB_RAW!$C$3:$C$2000))*(소재DB_RAW!$AK$3:$AK$2000&lt;&gt;""))),"")</f>
        <v/>
      </c>
      <c r="AB110" s="27" t="n">
        <v>2000</v>
      </c>
      <c r="AC110" s="27" t="n">
        <v>42000000</v>
      </c>
      <c r="AD110" s="27" t="n">
        <v>216000000</v>
      </c>
      <c r="AE110" s="20" t="n"/>
      <c r="AF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G110" s="19">
        <f>IF($K110="","",IF(OR(LEFT($AF110,2)="작지",LEFT($AF110,4)="소재입고"),IF(LEFT($G110,1)="S","★ 납기위험(S코드)","◆ 지연주의"),IF($AF110="정상","✓ 정상","? 확인필요")))</f>
        <v/>
      </c>
      <c r="AH110" s="21" t="n"/>
      <c r="AI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19">
        <f>IF(COUNTIF(EDW_RAW!$A$2:$A$1500,$D111)=0,"",IF(COUNTIFS(EDW_RAW!$A$2:$A$1500,$D111,EDW_RAW!$R$2:$R$1500,"&lt;&gt;~",EDW_RAW!$R$2:$R$1500,"&lt;&gt;")=COUNTIF(EDW_RAW!$A$2:$A$1500,$D111),"O",IF(COUNTIFS(EDW_RAW!$A$2:$A$1500,$D111,EDW_RAW!$R$2:$R$1500,"&lt;&gt;~",EDW_RAW!$R$2:$R$1500,"&lt;&gt;")&gt;0,"부분","X")))</f>
        <v/>
      </c>
      <c r="R111" s="19">
        <f>IF(COUNTIF(EDW_RAW!$A$2:$A$1500,$D111)=0,"",IF(COUNTIFS(EDW_RAW!$A$2:$A$1500,$D111,EDW_RAW!$U$2:$U$1500,"&lt;&gt;~",EDW_RAW!$U$2:$U$1500,"&lt;&gt;")=COUNTIF(EDW_RAW!$A$2:$A$1500,$D111),"O",IF(COUNTIFS(EDW_RAW!$A$2:$A$1500,$D111,EDW_RAW!$U$2:$U$1500,"&lt;&gt;~",EDW_RAW!$U$2:$U$1500,"&lt;&gt;")&gt;0,"부분","X")))</f>
        <v/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",TRUE,UNIQUE(FILTER(소재DB_RAW!$K$3:$K$2000,(소재DB_RAW!$G$3:$G$2000=$D111)*ISERROR(SEARCH("drop",소재DB_RAW!$C$3:$C$2000))))),"")</f>
        <v/>
      </c>
      <c r="W111" s="20" t="inlineStr">
        <is>
          <t>베트남</t>
        </is>
      </c>
      <c r="X111" s="20">
        <f>IFERROR(TEXTJOIN(" / ",TRUE,UNIQUE(FILTER(소재DB_RAW!$N$3:$N$2000,(소재DB_RAW!$G$3:$G$2000=$D111)*ISERROR(SEARCH("drop",소재DB_RAW!$C$3:$C$2000))))),"")</f>
        <v/>
      </c>
      <c r="Y111" s="26">
        <f>IFERROR(TEXTJOIN(CHAR(10),TRUE,UNIQUE(FILTER(소재DB_RAW!$N$3:$N$2000&amp;") "&amp;소재DB_RAW!$O$3:$O$2000,(소재DB_RAW!$G$3:$G$2000=$D111)*ISNUMBER(SEARCH("겉감",소재DB_RAW!$M$3:$M$2000))*ISERROR(SEARCH("drop",소재DB_RAW!$C$3:$C$2000))))),"")</f>
        <v/>
      </c>
      <c r="Z111" s="26">
        <f>IFERROR(TEXTJOIN(CHAR(10),TRUE,UNIQUE(FILTER(소재DB_RAW!$N$3:$N$2000&amp;") "&amp;소재DB_RAW!$O$3:$O$2000,(소재DB_RAW!$G$3:$G$2000=$D111)*ISNUMBER(SEARCH("안감",소재DB_RAW!$M$3:$M$2000))*ISERROR(SEARCH("drop",소재DB_RAW!$C$3:$C$2000))))),"")</f>
        <v/>
      </c>
      <c r="AA111" s="22">
        <f>IFERROR(MAX(FILTER(소재DB_RAW!$AK$3:$AK$2000,(소재DB_RAW!$G$3:$G$2000=$D111)*ISERROR(SEARCH("drop",소재DB_RAW!$C$3:$C$2000))*(소재DB_RAW!$AK$3:$AK$2000&lt;&gt;""))),"")</f>
        <v/>
      </c>
      <c r="AB111" s="27" t="n">
        <v>1500</v>
      </c>
      <c r="AC111" s="27" t="n">
        <v>80445000</v>
      </c>
      <c r="AD111" s="27" t="n">
        <v>330000000</v>
      </c>
      <c r="AE111" s="20" t="n"/>
      <c r="AF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G111" s="19">
        <f>IF($K111="","",IF(OR(LEFT($AF111,2)="작지",LEFT($AF111,4)="소재입고"),IF(LEFT($G111,1)="S","★ 납기위험(S코드)","◆ 지연주의"),IF($AF111="정상","✓ 정상","? 확인필요")))</f>
        <v/>
      </c>
      <c r="AH111" s="21" t="n"/>
      <c r="AI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19">
        <f>IF(COUNTIF(EDW_RAW!$A$2:$A$1500,$D112)=0,"",IF(COUNTIFS(EDW_RAW!$A$2:$A$1500,$D112,EDW_RAW!$R$2:$R$1500,"&lt;&gt;~",EDW_RAW!$R$2:$R$1500,"&lt;&gt;")=COUNTIF(EDW_RAW!$A$2:$A$1500,$D112),"O",IF(COUNTIFS(EDW_RAW!$A$2:$A$1500,$D112,EDW_RAW!$R$2:$R$1500,"&lt;&gt;~",EDW_RAW!$R$2:$R$1500,"&lt;&gt;")&gt;0,"부분","X")))</f>
        <v/>
      </c>
      <c r="R112" s="19">
        <f>IF(COUNTIF(EDW_RAW!$A$2:$A$1500,$D112)=0,"",IF(COUNTIFS(EDW_RAW!$A$2:$A$1500,$D112,EDW_RAW!$U$2:$U$1500,"&lt;&gt;~",EDW_RAW!$U$2:$U$1500,"&lt;&gt;")=COUNTIF(EDW_RAW!$A$2:$A$1500,$D112),"O",IF(COUNTIFS(EDW_RAW!$A$2:$A$1500,$D112,EDW_RAW!$U$2:$U$1500,"&lt;&gt;~",EDW_RAW!$U$2:$U$1500,"&lt;&gt;")&gt;0,"부분","X")))</f>
        <v/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",TRUE,UNIQUE(FILTER(소재DB_RAW!$K$3:$K$2000,(소재DB_RAW!$G$3:$G$2000=$D112)*ISERROR(SEARCH("drop",소재DB_RAW!$C$3:$C$2000))))),"")</f>
        <v/>
      </c>
      <c r="W112" s="20" t="inlineStr">
        <is>
          <t>베트남</t>
        </is>
      </c>
      <c r="X112" s="20">
        <f>IFERROR(TEXTJOIN(" / ",TRUE,UNIQUE(FILTER(소재DB_RAW!$N$3:$N$2000,(소재DB_RAW!$G$3:$G$2000=$D112)*ISERROR(SEARCH("drop",소재DB_RAW!$C$3:$C$2000))))),"")</f>
        <v/>
      </c>
      <c r="Y112" s="26">
        <f>IFERROR(TEXTJOIN(CHAR(10),TRUE,UNIQUE(FILTER(소재DB_RAW!$N$3:$N$2000&amp;") "&amp;소재DB_RAW!$O$3:$O$2000,(소재DB_RAW!$G$3:$G$2000=$D112)*ISNUMBER(SEARCH("겉감",소재DB_RAW!$M$3:$M$2000))*ISERROR(SEARCH("drop",소재DB_RAW!$C$3:$C$2000))))),"")</f>
        <v/>
      </c>
      <c r="Z112" s="26">
        <f>IFERROR(TEXTJOIN(CHAR(10),TRUE,UNIQUE(FILTER(소재DB_RAW!$N$3:$N$2000&amp;") "&amp;소재DB_RAW!$O$3:$O$2000,(소재DB_RAW!$G$3:$G$2000=$D112)*ISNUMBER(SEARCH("안감",소재DB_RAW!$M$3:$M$2000))*ISERROR(SEARCH("drop",소재DB_RAW!$C$3:$C$2000))))),"")</f>
        <v/>
      </c>
      <c r="AA112" s="22">
        <f>IFERROR(MAX(FILTER(소재DB_RAW!$AK$3:$AK$2000,(소재DB_RAW!$G$3:$G$2000=$D112)*ISERROR(SEARCH("drop",소재DB_RAW!$C$3:$C$2000))*(소재DB_RAW!$AK$3:$AK$2000&lt;&gt;""))),"")</f>
        <v/>
      </c>
      <c r="AB112" s="27" t="n">
        <v>2000</v>
      </c>
      <c r="AC112" s="27" t="n">
        <v>99288000</v>
      </c>
      <c r="AD112" s="27" t="n">
        <v>396000000</v>
      </c>
      <c r="AE112" s="20" t="n"/>
      <c r="AF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G112" s="19">
        <f>IF($K112="","",IF(OR(LEFT($AF112,2)="작지",LEFT($AF112,4)="소재입고"),IF(LEFT($G112,1)="S","★ 납기위험(S코드)","◆ 지연주의"),IF($AF112="정상","✓ 정상","? 확인필요")))</f>
        <v/>
      </c>
      <c r="AH112" s="21" t="n"/>
      <c r="AI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19">
        <f>IF(COUNTIF(EDW_RAW!$A$2:$A$1500,$D113)=0,"",IF(COUNTIFS(EDW_RAW!$A$2:$A$1500,$D113,EDW_RAW!$R$2:$R$1500,"&lt;&gt;~",EDW_RAW!$R$2:$R$1500,"&lt;&gt;")=COUNTIF(EDW_RAW!$A$2:$A$1500,$D113),"O",IF(COUNTIFS(EDW_RAW!$A$2:$A$1500,$D113,EDW_RAW!$R$2:$R$1500,"&lt;&gt;~",EDW_RAW!$R$2:$R$1500,"&lt;&gt;")&gt;0,"부분","X")))</f>
        <v/>
      </c>
      <c r="R113" s="19">
        <f>IF(COUNTIF(EDW_RAW!$A$2:$A$1500,$D113)=0,"",IF(COUNTIFS(EDW_RAW!$A$2:$A$1500,$D113,EDW_RAW!$U$2:$U$1500,"&lt;&gt;~",EDW_RAW!$U$2:$U$1500,"&lt;&gt;")=COUNTIF(EDW_RAW!$A$2:$A$1500,$D113),"O",IF(COUNTIFS(EDW_RAW!$A$2:$A$1500,$D113,EDW_RAW!$U$2:$U$1500,"&lt;&gt;~",EDW_RAW!$U$2:$U$1500,"&lt;&gt;")&gt;0,"부분","X")))</f>
        <v/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",TRUE,UNIQUE(FILTER(소재DB_RAW!$K$3:$K$2000,(소재DB_RAW!$G$3:$G$2000=$D113)*ISERROR(SEARCH("drop",소재DB_RAW!$C$3:$C$2000))))),"")</f>
        <v/>
      </c>
      <c r="W113" s="20" t="inlineStr">
        <is>
          <t>베트남</t>
        </is>
      </c>
      <c r="X113" s="20">
        <f>IFERROR(TEXTJOIN(" / ",TRUE,UNIQUE(FILTER(소재DB_RAW!$N$3:$N$2000,(소재DB_RAW!$G$3:$G$2000=$D113)*ISERROR(SEARCH("drop",소재DB_RAW!$C$3:$C$2000))))),"")</f>
        <v/>
      </c>
      <c r="Y113" s="26">
        <f>IFERROR(TEXTJOIN(CHAR(10),TRUE,UNIQUE(FILTER(소재DB_RAW!$N$3:$N$2000&amp;") "&amp;소재DB_RAW!$O$3:$O$2000,(소재DB_RAW!$G$3:$G$2000=$D113)*ISNUMBER(SEARCH("겉감",소재DB_RAW!$M$3:$M$2000))*ISERROR(SEARCH("drop",소재DB_RAW!$C$3:$C$2000))))),"")</f>
        <v/>
      </c>
      <c r="Z113" s="26">
        <f>IFERROR(TEXTJOIN(CHAR(10),TRUE,UNIQUE(FILTER(소재DB_RAW!$N$3:$N$2000&amp;") "&amp;소재DB_RAW!$O$3:$O$2000,(소재DB_RAW!$G$3:$G$2000=$D113)*ISNUMBER(SEARCH("안감",소재DB_RAW!$M$3:$M$2000))*ISERROR(SEARCH("drop",소재DB_RAW!$C$3:$C$2000))))),"")</f>
        <v/>
      </c>
      <c r="AA113" s="22">
        <f>IFERROR(MAX(FILTER(소재DB_RAW!$AK$3:$AK$2000,(소재DB_RAW!$G$3:$G$2000=$D113)*ISERROR(SEARCH("drop",소재DB_RAW!$C$3:$C$2000))*(소재DB_RAW!$AK$3:$AK$2000&lt;&gt;""))),"")</f>
        <v/>
      </c>
      <c r="AB113" s="27" t="n">
        <v>67000</v>
      </c>
      <c r="AC113" s="27" t="n">
        <v>1474000000</v>
      </c>
      <c r="AD113" s="27" t="n">
        <v>7906000000</v>
      </c>
      <c r="AE113" s="20" t="inlineStr">
        <is>
          <t>1월 4주</t>
        </is>
      </c>
      <c r="AF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G113" s="19">
        <f>IF($K113="","",IF(OR(LEFT($AF113,2)="작지",LEFT($AF113,4)="소재입고"),IF(LEFT($G113,1)="S","★ 납기위험(S코드)","◆ 지연주의"),IF($AF113="정상","✓ 정상","? 확인필요")))</f>
        <v/>
      </c>
      <c r="AH113" s="21" t="n"/>
      <c r="AI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19">
        <f>IF(COUNTIF(EDW_RAW!$A$2:$A$1500,$D114)=0,"",IF(COUNTIFS(EDW_RAW!$A$2:$A$1500,$D114,EDW_RAW!$R$2:$R$1500,"&lt;&gt;~",EDW_RAW!$R$2:$R$1500,"&lt;&gt;")=COUNTIF(EDW_RAW!$A$2:$A$1500,$D114),"O",IF(COUNTIFS(EDW_RAW!$A$2:$A$1500,$D114,EDW_RAW!$R$2:$R$1500,"&lt;&gt;~",EDW_RAW!$R$2:$R$1500,"&lt;&gt;")&gt;0,"부분","X")))</f>
        <v/>
      </c>
      <c r="R114" s="19">
        <f>IF(COUNTIF(EDW_RAW!$A$2:$A$1500,$D114)=0,"",IF(COUNTIFS(EDW_RAW!$A$2:$A$1500,$D114,EDW_RAW!$U$2:$U$1500,"&lt;&gt;~",EDW_RAW!$U$2:$U$1500,"&lt;&gt;")=COUNTIF(EDW_RAW!$A$2:$A$1500,$D114),"O",IF(COUNTIFS(EDW_RAW!$A$2:$A$1500,$D114,EDW_RAW!$U$2:$U$1500,"&lt;&gt;~",EDW_RAW!$U$2:$U$1500,"&lt;&gt;")&gt;0,"부분","X")))</f>
        <v/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",TRUE,UNIQUE(FILTER(소재DB_RAW!$K$3:$K$2000,(소재DB_RAW!$G$3:$G$2000=$D114)*ISERROR(SEARCH("drop",소재DB_RAW!$C$3:$C$2000))))),"")</f>
        <v/>
      </c>
      <c r="W114" s="20" t="inlineStr">
        <is>
          <t>베트남</t>
        </is>
      </c>
      <c r="X114" s="20">
        <f>IFERROR(TEXTJOIN(" / ",TRUE,UNIQUE(FILTER(소재DB_RAW!$N$3:$N$2000,(소재DB_RAW!$G$3:$G$2000=$D114)*ISERROR(SEARCH("drop",소재DB_RAW!$C$3:$C$2000))))),"")</f>
        <v/>
      </c>
      <c r="Y114" s="26">
        <f>IFERROR(TEXTJOIN(CHAR(10),TRUE,UNIQUE(FILTER(소재DB_RAW!$N$3:$N$2000&amp;") "&amp;소재DB_RAW!$O$3:$O$2000,(소재DB_RAW!$G$3:$G$2000=$D114)*ISNUMBER(SEARCH("겉감",소재DB_RAW!$M$3:$M$2000))*ISERROR(SEARCH("drop",소재DB_RAW!$C$3:$C$2000))))),"")</f>
        <v/>
      </c>
      <c r="Z114" s="26">
        <f>IFERROR(TEXTJOIN(CHAR(10),TRUE,UNIQUE(FILTER(소재DB_RAW!$N$3:$N$2000&amp;") "&amp;소재DB_RAW!$O$3:$O$2000,(소재DB_RAW!$G$3:$G$2000=$D114)*ISNUMBER(SEARCH("안감",소재DB_RAW!$M$3:$M$2000))*ISERROR(SEARCH("drop",소재DB_RAW!$C$3:$C$2000))))),"")</f>
        <v/>
      </c>
      <c r="AA114" s="22">
        <f>IFERROR(MAX(FILTER(소재DB_RAW!$AK$3:$AK$2000,(소재DB_RAW!$G$3:$G$2000=$D114)*ISERROR(SEARCH("drop",소재DB_RAW!$C$3:$C$2000))*(소재DB_RAW!$AK$3:$AK$2000&lt;&gt;""))),"")</f>
        <v/>
      </c>
      <c r="AB114" s="27" t="n">
        <v>6500</v>
      </c>
      <c r="AC114" s="27" t="n">
        <v>136578000</v>
      </c>
      <c r="AD114" s="27" t="n">
        <v>767000000</v>
      </c>
      <c r="AE114" s="20" t="inlineStr">
        <is>
          <t>1월 4주</t>
        </is>
      </c>
      <c r="AF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G114" s="19">
        <f>IF($K114="","",IF(OR(LEFT($AF114,2)="작지",LEFT($AF114,4)="소재입고"),IF(LEFT($G114,1)="S","★ 납기위험(S코드)","◆ 지연주의"),IF($AF114="정상","✓ 정상","? 확인필요")))</f>
        <v/>
      </c>
      <c r="AH114" s="21" t="n"/>
      <c r="AI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19">
        <f>IF(COUNTIF(EDW_RAW!$A$2:$A$1500,$D115)=0,"",IF(COUNTIFS(EDW_RAW!$A$2:$A$1500,$D115,EDW_RAW!$R$2:$R$1500,"&lt;&gt;~",EDW_RAW!$R$2:$R$1500,"&lt;&gt;")=COUNTIF(EDW_RAW!$A$2:$A$1500,$D115),"O",IF(COUNTIFS(EDW_RAW!$A$2:$A$1500,$D115,EDW_RAW!$R$2:$R$1500,"&lt;&gt;~",EDW_RAW!$R$2:$R$1500,"&lt;&gt;")&gt;0,"부분","X")))</f>
        <v/>
      </c>
      <c r="R115" s="19">
        <f>IF(COUNTIF(EDW_RAW!$A$2:$A$1500,$D115)=0,"",IF(COUNTIFS(EDW_RAW!$A$2:$A$1500,$D115,EDW_RAW!$U$2:$U$1500,"&lt;&gt;~",EDW_RAW!$U$2:$U$1500,"&lt;&gt;")=COUNTIF(EDW_RAW!$A$2:$A$1500,$D115),"O",IF(COUNTIFS(EDW_RAW!$A$2:$A$1500,$D115,EDW_RAW!$U$2:$U$1500,"&lt;&gt;~",EDW_RAW!$U$2:$U$1500,"&lt;&gt;")&gt;0,"부분","X")))</f>
        <v/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",TRUE,UNIQUE(FILTER(소재DB_RAW!$K$3:$K$2000,(소재DB_RAW!$G$3:$G$2000=$D115)*ISERROR(SEARCH("drop",소재DB_RAW!$C$3:$C$2000))))),"")</f>
        <v/>
      </c>
      <c r="W115" s="20" t="inlineStr">
        <is>
          <t>베트남</t>
        </is>
      </c>
      <c r="X115" s="20">
        <f>IFERROR(TEXTJOIN(" / ",TRUE,UNIQUE(FILTER(소재DB_RAW!$N$3:$N$2000,(소재DB_RAW!$G$3:$G$2000=$D115)*ISERROR(SEARCH("drop",소재DB_RAW!$C$3:$C$2000))))),"")</f>
        <v/>
      </c>
      <c r="Y115" s="26">
        <f>IFERROR(TEXTJOIN(CHAR(10),TRUE,UNIQUE(FILTER(소재DB_RAW!$N$3:$N$2000&amp;") "&amp;소재DB_RAW!$O$3:$O$2000,(소재DB_RAW!$G$3:$G$2000=$D115)*ISNUMBER(SEARCH("겉감",소재DB_RAW!$M$3:$M$2000))*ISERROR(SEARCH("drop",소재DB_RAW!$C$3:$C$2000))))),"")</f>
        <v/>
      </c>
      <c r="Z115" s="26">
        <f>IFERROR(TEXTJOIN(CHAR(10),TRUE,UNIQUE(FILTER(소재DB_RAW!$N$3:$N$2000&amp;") "&amp;소재DB_RAW!$O$3:$O$2000,(소재DB_RAW!$G$3:$G$2000=$D115)*ISNUMBER(SEARCH("안감",소재DB_RAW!$M$3:$M$2000))*ISERROR(SEARCH("drop",소재DB_RAW!$C$3:$C$2000))))),"")</f>
        <v/>
      </c>
      <c r="AA115" s="22">
        <f>IFERROR(MAX(FILTER(소재DB_RAW!$AK$3:$AK$2000,(소재DB_RAW!$G$3:$G$2000=$D115)*ISERROR(SEARCH("drop",소재DB_RAW!$C$3:$C$2000))*(소재DB_RAW!$AK$3:$AK$2000&lt;&gt;""))),"")</f>
        <v/>
      </c>
      <c r="AB115" s="27" t="n">
        <v>2200</v>
      </c>
      <c r="AC115" s="27" t="n">
        <v>53836200</v>
      </c>
      <c r="AD115" s="27" t="n">
        <v>325600000</v>
      </c>
      <c r="AE115" s="20" t="inlineStr">
        <is>
          <t>2월4주</t>
        </is>
      </c>
      <c r="AF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G115" s="19">
        <f>IF($K115="","",IF(OR(LEFT($AF115,2)="작지",LEFT($AF115,4)="소재입고"),IF(LEFT($G115,1)="S","★ 납기위험(S코드)","◆ 지연주의"),IF($AF115="정상","✓ 정상","? 확인필요")))</f>
        <v/>
      </c>
      <c r="AH115" s="21" t="n"/>
      <c r="AI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19">
        <f>IF(COUNTIF(EDW_RAW!$A$2:$A$1500,$D116)=0,"",IF(COUNTIFS(EDW_RAW!$A$2:$A$1500,$D116,EDW_RAW!$R$2:$R$1500,"&lt;&gt;~",EDW_RAW!$R$2:$R$1500,"&lt;&gt;")=COUNTIF(EDW_RAW!$A$2:$A$1500,$D116),"O",IF(COUNTIFS(EDW_RAW!$A$2:$A$1500,$D116,EDW_RAW!$R$2:$R$1500,"&lt;&gt;~",EDW_RAW!$R$2:$R$1500,"&lt;&gt;")&gt;0,"부분","X")))</f>
        <v/>
      </c>
      <c r="R116" s="19">
        <f>IF(COUNTIF(EDW_RAW!$A$2:$A$1500,$D116)=0,"",IF(COUNTIFS(EDW_RAW!$A$2:$A$1500,$D116,EDW_RAW!$U$2:$U$1500,"&lt;&gt;~",EDW_RAW!$U$2:$U$1500,"&lt;&gt;")=COUNTIF(EDW_RAW!$A$2:$A$1500,$D116),"O",IF(COUNTIFS(EDW_RAW!$A$2:$A$1500,$D116,EDW_RAW!$U$2:$U$1500,"&lt;&gt;~",EDW_RAW!$U$2:$U$1500,"&lt;&gt;")&gt;0,"부분","X")))</f>
        <v/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",TRUE,UNIQUE(FILTER(소재DB_RAW!$K$3:$K$2000,(소재DB_RAW!$G$3:$G$2000=$D116)*ISERROR(SEARCH("drop",소재DB_RAW!$C$3:$C$2000))))),"")</f>
        <v/>
      </c>
      <c r="W116" s="20" t="inlineStr">
        <is>
          <t>베트남</t>
        </is>
      </c>
      <c r="X116" s="20">
        <f>IFERROR(TEXTJOIN(" / ",TRUE,UNIQUE(FILTER(소재DB_RAW!$N$3:$N$2000,(소재DB_RAW!$G$3:$G$2000=$D116)*ISERROR(SEARCH("drop",소재DB_RAW!$C$3:$C$2000))))),"")</f>
        <v/>
      </c>
      <c r="Y116" s="26">
        <f>IFERROR(TEXTJOIN(CHAR(10),TRUE,UNIQUE(FILTER(소재DB_RAW!$N$3:$N$2000&amp;") "&amp;소재DB_RAW!$O$3:$O$2000,(소재DB_RAW!$G$3:$G$2000=$D116)*ISNUMBER(SEARCH("겉감",소재DB_RAW!$M$3:$M$2000))*ISERROR(SEARCH("drop",소재DB_RAW!$C$3:$C$2000))))),"")</f>
        <v/>
      </c>
      <c r="Z116" s="26">
        <f>IFERROR(TEXTJOIN(CHAR(10),TRUE,UNIQUE(FILTER(소재DB_RAW!$N$3:$N$2000&amp;") "&amp;소재DB_RAW!$O$3:$O$2000,(소재DB_RAW!$G$3:$G$2000=$D116)*ISNUMBER(SEARCH("안감",소재DB_RAW!$M$3:$M$2000))*ISERROR(SEARCH("drop",소재DB_RAW!$C$3:$C$2000))))),"")</f>
        <v/>
      </c>
      <c r="AA116" s="22">
        <f>IFERROR(MAX(FILTER(소재DB_RAW!$AK$3:$AK$2000,(소재DB_RAW!$G$3:$G$2000=$D116)*ISERROR(SEARCH("drop",소재DB_RAW!$C$3:$C$2000))*(소재DB_RAW!$AK$3:$AK$2000&lt;&gt;""))),"")</f>
        <v/>
      </c>
      <c r="AB116" s="27" t="n">
        <v>4500</v>
      </c>
      <c r="AC116" s="27" t="n">
        <v>106897500</v>
      </c>
      <c r="AD116" s="27" t="n">
        <v>576000000</v>
      </c>
      <c r="AE116" s="20" t="inlineStr">
        <is>
          <t>2월4주</t>
        </is>
      </c>
      <c r="AF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G116" s="19">
        <f>IF($K116="","",IF(OR(LEFT($AF116,2)="작지",LEFT($AF116,4)="소재입고"),IF(LEFT($G116,1)="S","★ 납기위험(S코드)","◆ 지연주의"),IF($AF116="정상","✓ 정상","? 확인필요")))</f>
        <v/>
      </c>
      <c r="AH116" s="21" t="n"/>
      <c r="AI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19">
        <f>IF(COUNTIF(EDW_RAW!$A$2:$A$1500,$D117)=0,"",IF(COUNTIFS(EDW_RAW!$A$2:$A$1500,$D117,EDW_RAW!$R$2:$R$1500,"&lt;&gt;~",EDW_RAW!$R$2:$R$1500,"&lt;&gt;")=COUNTIF(EDW_RAW!$A$2:$A$1500,$D117),"O",IF(COUNTIFS(EDW_RAW!$A$2:$A$1500,$D117,EDW_RAW!$R$2:$R$1500,"&lt;&gt;~",EDW_RAW!$R$2:$R$1500,"&lt;&gt;")&gt;0,"부분","X")))</f>
        <v/>
      </c>
      <c r="R117" s="19">
        <f>IF(COUNTIF(EDW_RAW!$A$2:$A$1500,$D117)=0,"",IF(COUNTIFS(EDW_RAW!$A$2:$A$1500,$D117,EDW_RAW!$U$2:$U$1500,"&lt;&gt;~",EDW_RAW!$U$2:$U$1500,"&lt;&gt;")=COUNTIF(EDW_RAW!$A$2:$A$1500,$D117),"O",IF(COUNTIFS(EDW_RAW!$A$2:$A$1500,$D117,EDW_RAW!$U$2:$U$1500,"&lt;&gt;~",EDW_RAW!$U$2:$U$1500,"&lt;&gt;")&gt;0,"부분","X")))</f>
        <v/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",TRUE,UNIQUE(FILTER(소재DB_RAW!$K$3:$K$2000,(소재DB_RAW!$G$3:$G$2000=$D117)*ISERROR(SEARCH("drop",소재DB_RAW!$C$3:$C$2000))))),"")</f>
        <v/>
      </c>
      <c r="W117" s="20" t="inlineStr">
        <is>
          <t>베트남</t>
        </is>
      </c>
      <c r="X117" s="20">
        <f>IFERROR(TEXTJOIN(" / ",TRUE,UNIQUE(FILTER(소재DB_RAW!$N$3:$N$2000,(소재DB_RAW!$G$3:$G$2000=$D117)*ISERROR(SEARCH("drop",소재DB_RAW!$C$3:$C$2000))))),"")</f>
        <v/>
      </c>
      <c r="Y117" s="26">
        <f>IFERROR(TEXTJOIN(CHAR(10),TRUE,UNIQUE(FILTER(소재DB_RAW!$N$3:$N$2000&amp;") "&amp;소재DB_RAW!$O$3:$O$2000,(소재DB_RAW!$G$3:$G$2000=$D117)*ISNUMBER(SEARCH("겉감",소재DB_RAW!$M$3:$M$2000))*ISERROR(SEARCH("drop",소재DB_RAW!$C$3:$C$2000))))),"")</f>
        <v/>
      </c>
      <c r="Z117" s="26">
        <f>IFERROR(TEXTJOIN(CHAR(10),TRUE,UNIQUE(FILTER(소재DB_RAW!$N$3:$N$2000&amp;") "&amp;소재DB_RAW!$O$3:$O$2000,(소재DB_RAW!$G$3:$G$2000=$D117)*ISNUMBER(SEARCH("안감",소재DB_RAW!$M$3:$M$2000))*ISERROR(SEARCH("drop",소재DB_RAW!$C$3:$C$2000))))),"")</f>
        <v/>
      </c>
      <c r="AA117" s="22">
        <f>IFERROR(MAX(FILTER(소재DB_RAW!$AK$3:$AK$2000,(소재DB_RAW!$G$3:$G$2000=$D117)*ISERROR(SEARCH("drop",소재DB_RAW!$C$3:$C$2000))*(소재DB_RAW!$AK$3:$AK$2000&lt;&gt;""))),"")</f>
        <v/>
      </c>
      <c r="AB117" s="27" t="n">
        <v>5000</v>
      </c>
      <c r="AC117" s="27" t="n">
        <v>207055000</v>
      </c>
      <c r="AD117" s="27" t="n">
        <v>990000000</v>
      </c>
      <c r="AE117" s="20" t="n"/>
      <c r="AF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G117" s="19">
        <f>IF($K117="","",IF(OR(LEFT($AF117,2)="작지",LEFT($AF117,4)="소재입고"),IF(LEFT($G117,1)="S","★ 납기위험(S코드)","◆ 지연주의"),IF($AF117="정상","✓ 정상","? 확인필요")))</f>
        <v/>
      </c>
      <c r="AH117" s="21" t="n"/>
      <c r="AI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19">
        <f>IF(COUNTIF(EDW_RAW!$A$2:$A$1500,$D118)=0,"",IF(COUNTIFS(EDW_RAW!$A$2:$A$1500,$D118,EDW_RAW!$R$2:$R$1500,"&lt;&gt;~",EDW_RAW!$R$2:$R$1500,"&lt;&gt;")=COUNTIF(EDW_RAW!$A$2:$A$1500,$D118),"O",IF(COUNTIFS(EDW_RAW!$A$2:$A$1500,$D118,EDW_RAW!$R$2:$R$1500,"&lt;&gt;~",EDW_RAW!$R$2:$R$1500,"&lt;&gt;")&gt;0,"부분","X")))</f>
        <v/>
      </c>
      <c r="R118" s="19">
        <f>IF(COUNTIF(EDW_RAW!$A$2:$A$1500,$D118)=0,"",IF(COUNTIFS(EDW_RAW!$A$2:$A$1500,$D118,EDW_RAW!$U$2:$U$1500,"&lt;&gt;~",EDW_RAW!$U$2:$U$1500,"&lt;&gt;")=COUNTIF(EDW_RAW!$A$2:$A$1500,$D118),"O",IF(COUNTIFS(EDW_RAW!$A$2:$A$1500,$D118,EDW_RAW!$U$2:$U$1500,"&lt;&gt;~",EDW_RAW!$U$2:$U$1500,"&lt;&gt;")&gt;0,"부분","X")))</f>
        <v/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",TRUE,UNIQUE(FILTER(소재DB_RAW!$K$3:$K$2000,(소재DB_RAW!$G$3:$G$2000=$D118)*ISERROR(SEARCH("drop",소재DB_RAW!$C$3:$C$2000))))),"")</f>
        <v/>
      </c>
      <c r="W118" s="20" t="inlineStr">
        <is>
          <t>인도네시아</t>
        </is>
      </c>
      <c r="X118" s="20">
        <f>IFERROR(TEXTJOIN(" / ",TRUE,UNIQUE(FILTER(소재DB_RAW!$N$3:$N$2000,(소재DB_RAW!$G$3:$G$2000=$D118)*ISERROR(SEARCH("drop",소재DB_RAW!$C$3:$C$2000))))),"")</f>
        <v/>
      </c>
      <c r="Y118" s="26">
        <f>IFERROR(TEXTJOIN(CHAR(10),TRUE,UNIQUE(FILTER(소재DB_RAW!$N$3:$N$2000&amp;") "&amp;소재DB_RAW!$O$3:$O$2000,(소재DB_RAW!$G$3:$G$2000=$D118)*ISNUMBER(SEARCH("겉감",소재DB_RAW!$M$3:$M$2000))*ISERROR(SEARCH("drop",소재DB_RAW!$C$3:$C$2000))))),"")</f>
        <v/>
      </c>
      <c r="Z118" s="26">
        <f>IFERROR(TEXTJOIN(CHAR(10),TRUE,UNIQUE(FILTER(소재DB_RAW!$N$3:$N$2000&amp;") "&amp;소재DB_RAW!$O$3:$O$2000,(소재DB_RAW!$G$3:$G$2000=$D118)*ISNUMBER(SEARCH("안감",소재DB_RAW!$M$3:$M$2000))*ISERROR(SEARCH("drop",소재DB_RAW!$C$3:$C$2000))))),"")</f>
        <v/>
      </c>
      <c r="AA118" s="22">
        <f>IFERROR(MAX(FILTER(소재DB_RAW!$AK$3:$AK$2000,(소재DB_RAW!$G$3:$G$2000=$D118)*ISERROR(SEARCH("drop",소재DB_RAW!$C$3:$C$2000))*(소재DB_RAW!$AK$3:$AK$2000&lt;&gt;""))),"")</f>
        <v/>
      </c>
      <c r="AB118" s="27" t="n">
        <v>10000</v>
      </c>
      <c r="AC118" s="27" t="n">
        <v>142150000</v>
      </c>
      <c r="AD118" s="27" t="n">
        <v>780000000</v>
      </c>
      <c r="AE118" s="20" t="n"/>
      <c r="AF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G118" s="19">
        <f>IF($K118="","",IF(OR(LEFT($AF118,2)="작지",LEFT($AF118,4)="소재입고"),IF(LEFT($G118,1)="S","★ 납기위험(S코드)","◆ 지연주의"),IF($AF118="정상","✓ 정상","? 확인필요")))</f>
        <v/>
      </c>
      <c r="AH118" s="21" t="n"/>
      <c r="AI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19">
        <f>IF(COUNTIF(EDW_RAW!$A$2:$A$1500,$D119)=0,"",IF(COUNTIFS(EDW_RAW!$A$2:$A$1500,$D119,EDW_RAW!$R$2:$R$1500,"&lt;&gt;~",EDW_RAW!$R$2:$R$1500,"&lt;&gt;")=COUNTIF(EDW_RAW!$A$2:$A$1500,$D119),"O",IF(COUNTIFS(EDW_RAW!$A$2:$A$1500,$D119,EDW_RAW!$R$2:$R$1500,"&lt;&gt;~",EDW_RAW!$R$2:$R$1500,"&lt;&gt;")&gt;0,"부분","X")))</f>
        <v/>
      </c>
      <c r="R119" s="19">
        <f>IF(COUNTIF(EDW_RAW!$A$2:$A$1500,$D119)=0,"",IF(COUNTIFS(EDW_RAW!$A$2:$A$1500,$D119,EDW_RAW!$U$2:$U$1500,"&lt;&gt;~",EDW_RAW!$U$2:$U$1500,"&lt;&gt;")=COUNTIF(EDW_RAW!$A$2:$A$1500,$D119),"O",IF(COUNTIFS(EDW_RAW!$A$2:$A$1500,$D119,EDW_RAW!$U$2:$U$1500,"&lt;&gt;~",EDW_RAW!$U$2:$U$1500,"&lt;&gt;")&gt;0,"부분","X")))</f>
        <v/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",TRUE,UNIQUE(FILTER(소재DB_RAW!$K$3:$K$2000,(소재DB_RAW!$G$3:$G$2000=$D119)*ISERROR(SEARCH("drop",소재DB_RAW!$C$3:$C$2000))))),"")</f>
        <v/>
      </c>
      <c r="W119" s="20" t="inlineStr">
        <is>
          <t>베트남</t>
        </is>
      </c>
      <c r="X119" s="20">
        <f>IFERROR(TEXTJOIN(" / ",TRUE,UNIQUE(FILTER(소재DB_RAW!$N$3:$N$2000,(소재DB_RAW!$G$3:$G$2000=$D119)*ISERROR(SEARCH("drop",소재DB_RAW!$C$3:$C$2000))))),"")</f>
        <v/>
      </c>
      <c r="Y119" s="26">
        <f>IFERROR(TEXTJOIN(CHAR(10),TRUE,UNIQUE(FILTER(소재DB_RAW!$N$3:$N$2000&amp;") "&amp;소재DB_RAW!$O$3:$O$2000,(소재DB_RAW!$G$3:$G$2000=$D119)*ISNUMBER(SEARCH("겉감",소재DB_RAW!$M$3:$M$2000))*ISERROR(SEARCH("drop",소재DB_RAW!$C$3:$C$2000))))),"")</f>
        <v/>
      </c>
      <c r="Z119" s="26">
        <f>IFERROR(TEXTJOIN(CHAR(10),TRUE,UNIQUE(FILTER(소재DB_RAW!$N$3:$N$2000&amp;") "&amp;소재DB_RAW!$O$3:$O$2000,(소재DB_RAW!$G$3:$G$2000=$D119)*ISNUMBER(SEARCH("안감",소재DB_RAW!$M$3:$M$2000))*ISERROR(SEARCH("drop",소재DB_RAW!$C$3:$C$2000))))),"")</f>
        <v/>
      </c>
      <c r="AA119" s="22">
        <f>IFERROR(MAX(FILTER(소재DB_RAW!$AK$3:$AK$2000,(소재DB_RAW!$G$3:$G$2000=$D119)*ISERROR(SEARCH("drop",소재DB_RAW!$C$3:$C$2000))*(소재DB_RAW!$AK$3:$AK$2000&lt;&gt;""))),"")</f>
        <v/>
      </c>
      <c r="AB119" s="27" t="n">
        <v>3500</v>
      </c>
      <c r="AC119" s="27" t="n">
        <v>157279500</v>
      </c>
      <c r="AD119" s="27" t="n">
        <v>770000000</v>
      </c>
      <c r="AE119" s="20" t="n"/>
      <c r="AF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G119" s="19">
        <f>IF($K119="","",IF(OR(LEFT($AF119,2)="작지",LEFT($AF119,4)="소재입고"),IF(LEFT($G119,1)="S","★ 납기위험(S코드)","◆ 지연주의"),IF($AF119="정상","✓ 정상","? 확인필요")))</f>
        <v/>
      </c>
      <c r="AH119" s="21" t="n"/>
      <c r="AI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19">
        <f>IF(COUNTIF(EDW_RAW!$A$2:$A$1500,$D120)=0,"",IF(COUNTIFS(EDW_RAW!$A$2:$A$1500,$D120,EDW_RAW!$R$2:$R$1500,"&lt;&gt;~",EDW_RAW!$R$2:$R$1500,"&lt;&gt;")=COUNTIF(EDW_RAW!$A$2:$A$1500,$D120),"O",IF(COUNTIFS(EDW_RAW!$A$2:$A$1500,$D120,EDW_RAW!$R$2:$R$1500,"&lt;&gt;~",EDW_RAW!$R$2:$R$1500,"&lt;&gt;")&gt;0,"부분","X")))</f>
        <v/>
      </c>
      <c r="R120" s="19">
        <f>IF(COUNTIF(EDW_RAW!$A$2:$A$1500,$D120)=0,"",IF(COUNTIFS(EDW_RAW!$A$2:$A$1500,$D120,EDW_RAW!$U$2:$U$1500,"&lt;&gt;~",EDW_RAW!$U$2:$U$1500,"&lt;&gt;")=COUNTIF(EDW_RAW!$A$2:$A$1500,$D120),"O",IF(COUNTIFS(EDW_RAW!$A$2:$A$1500,$D120,EDW_RAW!$U$2:$U$1500,"&lt;&gt;~",EDW_RAW!$U$2:$U$1500,"&lt;&gt;")&gt;0,"부분","X")))</f>
        <v/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",TRUE,UNIQUE(FILTER(소재DB_RAW!$K$3:$K$2000,(소재DB_RAW!$G$3:$G$2000=$D120)*ISERROR(SEARCH("drop",소재DB_RAW!$C$3:$C$2000))))),"")</f>
        <v/>
      </c>
      <c r="W120" s="20" t="inlineStr">
        <is>
          <t>베트남</t>
        </is>
      </c>
      <c r="X120" s="20">
        <f>IFERROR(TEXTJOIN(" / ",TRUE,UNIQUE(FILTER(소재DB_RAW!$N$3:$N$2000,(소재DB_RAW!$G$3:$G$2000=$D120)*ISERROR(SEARCH("drop",소재DB_RAW!$C$3:$C$2000))))),"")</f>
        <v/>
      </c>
      <c r="Y120" s="26">
        <f>IFERROR(TEXTJOIN(CHAR(10),TRUE,UNIQUE(FILTER(소재DB_RAW!$N$3:$N$2000&amp;") "&amp;소재DB_RAW!$O$3:$O$2000,(소재DB_RAW!$G$3:$G$2000=$D120)*ISNUMBER(SEARCH("겉감",소재DB_RAW!$M$3:$M$2000))*ISERROR(SEARCH("drop",소재DB_RAW!$C$3:$C$2000))))),"")</f>
        <v/>
      </c>
      <c r="Z120" s="26">
        <f>IFERROR(TEXTJOIN(CHAR(10),TRUE,UNIQUE(FILTER(소재DB_RAW!$N$3:$N$2000&amp;") "&amp;소재DB_RAW!$O$3:$O$2000,(소재DB_RAW!$G$3:$G$2000=$D120)*ISNUMBER(SEARCH("안감",소재DB_RAW!$M$3:$M$2000))*ISERROR(SEARCH("drop",소재DB_RAW!$C$3:$C$2000))))),"")</f>
        <v/>
      </c>
      <c r="AA120" s="22">
        <f>IFERROR(MAX(FILTER(소재DB_RAW!$AK$3:$AK$2000,(소재DB_RAW!$G$3:$G$2000=$D120)*ISERROR(SEARCH("drop",소재DB_RAW!$C$3:$C$2000))*(소재DB_RAW!$AK$3:$AK$2000&lt;&gt;""))),"")</f>
        <v/>
      </c>
      <c r="AB120" s="27" t="n">
        <v>2000</v>
      </c>
      <c r="AC120" s="27" t="n">
        <v>32048000</v>
      </c>
      <c r="AD120" s="27" t="n">
        <v>156000000</v>
      </c>
      <c r="AE120" s="20" t="n"/>
      <c r="AF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G120" s="19">
        <f>IF($K120="","",IF(OR(LEFT($AF120,2)="작지",LEFT($AF120,4)="소재입고"),IF(LEFT($G120,1)="S","★ 납기위험(S코드)","◆ 지연주의"),IF($AF120="정상","✓ 정상","? 확인필요")))</f>
        <v/>
      </c>
      <c r="AH120" s="21" t="n"/>
      <c r="AI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19">
        <f>IF(COUNTIF(EDW_RAW!$A$2:$A$1500,$D121)=0,"",IF(COUNTIFS(EDW_RAW!$A$2:$A$1500,$D121,EDW_RAW!$R$2:$R$1500,"&lt;&gt;~",EDW_RAW!$R$2:$R$1500,"&lt;&gt;")=COUNTIF(EDW_RAW!$A$2:$A$1500,$D121),"O",IF(COUNTIFS(EDW_RAW!$A$2:$A$1500,$D121,EDW_RAW!$R$2:$R$1500,"&lt;&gt;~",EDW_RAW!$R$2:$R$1500,"&lt;&gt;")&gt;0,"부분","X")))</f>
        <v/>
      </c>
      <c r="R121" s="19">
        <f>IF(COUNTIF(EDW_RAW!$A$2:$A$1500,$D121)=0,"",IF(COUNTIFS(EDW_RAW!$A$2:$A$1500,$D121,EDW_RAW!$U$2:$U$1500,"&lt;&gt;~",EDW_RAW!$U$2:$U$1500,"&lt;&gt;")=COUNTIF(EDW_RAW!$A$2:$A$1500,$D121),"O",IF(COUNTIFS(EDW_RAW!$A$2:$A$1500,$D121,EDW_RAW!$U$2:$U$1500,"&lt;&gt;~",EDW_RAW!$U$2:$U$1500,"&lt;&gt;")&gt;0,"부분","X")))</f>
        <v/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",TRUE,UNIQUE(FILTER(소재DB_RAW!$K$3:$K$2000,(소재DB_RAW!$G$3:$G$2000=$D121)*ISERROR(SEARCH("drop",소재DB_RAW!$C$3:$C$2000))))),"")</f>
        <v/>
      </c>
      <c r="W121" s="20" t="inlineStr"/>
      <c r="X121" s="20">
        <f>IFERROR(TEXTJOIN(" / ",TRUE,UNIQUE(FILTER(소재DB_RAW!$N$3:$N$2000,(소재DB_RAW!$G$3:$G$2000=$D121)*ISERROR(SEARCH("drop",소재DB_RAW!$C$3:$C$2000))))),"")</f>
        <v/>
      </c>
      <c r="Y121" s="26">
        <f>IFERROR(TEXTJOIN(CHAR(10),TRUE,UNIQUE(FILTER(소재DB_RAW!$N$3:$N$2000&amp;") "&amp;소재DB_RAW!$O$3:$O$2000,(소재DB_RAW!$G$3:$G$2000=$D121)*ISNUMBER(SEARCH("겉감",소재DB_RAW!$M$3:$M$2000))*ISERROR(SEARCH("drop",소재DB_RAW!$C$3:$C$2000))))),"")</f>
        <v/>
      </c>
      <c r="Z121" s="26">
        <f>IFERROR(TEXTJOIN(CHAR(10),TRUE,UNIQUE(FILTER(소재DB_RAW!$N$3:$N$2000&amp;") "&amp;소재DB_RAW!$O$3:$O$2000,(소재DB_RAW!$G$3:$G$2000=$D121)*ISNUMBER(SEARCH("안감",소재DB_RAW!$M$3:$M$2000))*ISERROR(SEARCH("drop",소재DB_RAW!$C$3:$C$2000))))),"")</f>
        <v/>
      </c>
      <c r="AA121" s="22">
        <f>IFERROR(MAX(FILTER(소재DB_RAW!$AK$3:$AK$2000,(소재DB_RAW!$G$3:$G$2000=$D121)*ISERROR(SEARCH("drop",소재DB_RAW!$C$3:$C$2000))*(소재DB_RAW!$AK$3:$AK$2000&lt;&gt;""))),"")</f>
        <v/>
      </c>
      <c r="AB121" s="27" t="n">
        <v>15000</v>
      </c>
      <c r="AC121" s="27" t="n">
        <v>569850000</v>
      </c>
      <c r="AD121" s="27" t="n">
        <v>2970000000</v>
      </c>
      <c r="AE121" s="20" t="inlineStr">
        <is>
          <t>3월1주</t>
        </is>
      </c>
      <c r="AF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G121" s="19">
        <f>IF($K121="","",IF(OR(LEFT($AF121,2)="작지",LEFT($AF121,4)="소재입고"),IF(LEFT($G121,1)="S","★ 납기위험(S코드)","◆ 지연주의"),IF($AF121="정상","✓ 정상","? 확인필요")))</f>
        <v/>
      </c>
      <c r="AH121" s="21" t="n"/>
      <c r="AI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19">
        <f>IF(COUNTIF(EDW_RAW!$A$2:$A$1500,$D122)=0,"",IF(COUNTIFS(EDW_RAW!$A$2:$A$1500,$D122,EDW_RAW!$R$2:$R$1500,"&lt;&gt;~",EDW_RAW!$R$2:$R$1500,"&lt;&gt;")=COUNTIF(EDW_RAW!$A$2:$A$1500,$D122),"O",IF(COUNTIFS(EDW_RAW!$A$2:$A$1500,$D122,EDW_RAW!$R$2:$R$1500,"&lt;&gt;~",EDW_RAW!$R$2:$R$1500,"&lt;&gt;")&gt;0,"부분","X")))</f>
        <v/>
      </c>
      <c r="R122" s="19">
        <f>IF(COUNTIF(EDW_RAW!$A$2:$A$1500,$D122)=0,"",IF(COUNTIFS(EDW_RAW!$A$2:$A$1500,$D122,EDW_RAW!$U$2:$U$1500,"&lt;&gt;~",EDW_RAW!$U$2:$U$1500,"&lt;&gt;")=COUNTIF(EDW_RAW!$A$2:$A$1500,$D122),"O",IF(COUNTIFS(EDW_RAW!$A$2:$A$1500,$D122,EDW_RAW!$U$2:$U$1500,"&lt;&gt;~",EDW_RAW!$U$2:$U$1500,"&lt;&gt;")&gt;0,"부분","X")))</f>
        <v/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",TRUE,UNIQUE(FILTER(소재DB_RAW!$K$3:$K$2000,(소재DB_RAW!$G$3:$G$2000=$D122)*ISERROR(SEARCH("drop",소재DB_RAW!$C$3:$C$2000))))),"")</f>
        <v/>
      </c>
      <c r="W122" s="20" t="inlineStr">
        <is>
          <t>인도네시아</t>
        </is>
      </c>
      <c r="X122" s="20">
        <f>IFERROR(TEXTJOIN(" / ",TRUE,UNIQUE(FILTER(소재DB_RAW!$N$3:$N$2000,(소재DB_RAW!$G$3:$G$2000=$D122)*ISERROR(SEARCH("drop",소재DB_RAW!$C$3:$C$2000))))),"")</f>
        <v/>
      </c>
      <c r="Y122" s="26">
        <f>IFERROR(TEXTJOIN(CHAR(10),TRUE,UNIQUE(FILTER(소재DB_RAW!$N$3:$N$2000&amp;") "&amp;소재DB_RAW!$O$3:$O$2000,(소재DB_RAW!$G$3:$G$2000=$D122)*ISNUMBER(SEARCH("겉감",소재DB_RAW!$M$3:$M$2000))*ISERROR(SEARCH("drop",소재DB_RAW!$C$3:$C$2000))))),"")</f>
        <v/>
      </c>
      <c r="Z122" s="26">
        <f>IFERROR(TEXTJOIN(CHAR(10),TRUE,UNIQUE(FILTER(소재DB_RAW!$N$3:$N$2000&amp;") "&amp;소재DB_RAW!$O$3:$O$2000,(소재DB_RAW!$G$3:$G$2000=$D122)*ISNUMBER(SEARCH("안감",소재DB_RAW!$M$3:$M$2000))*ISERROR(SEARCH("drop",소재DB_RAW!$C$3:$C$2000))))),"")</f>
        <v/>
      </c>
      <c r="AA122" s="22">
        <f>IFERROR(MAX(FILTER(소재DB_RAW!$AK$3:$AK$2000,(소재DB_RAW!$G$3:$G$2000=$D122)*ISERROR(SEARCH("drop",소재DB_RAW!$C$3:$C$2000))*(소재DB_RAW!$AK$3:$AK$2000&lt;&gt;""))),"")</f>
        <v/>
      </c>
      <c r="AB122" s="27" t="n">
        <v>27500</v>
      </c>
      <c r="AC122" s="27" t="n">
        <v>1237500000</v>
      </c>
      <c r="AD122" s="27" t="n">
        <v>5445000000</v>
      </c>
      <c r="AE122" s="20" t="n"/>
      <c r="AF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G122" s="19">
        <f>IF($K122="","",IF(OR(LEFT($AF122,2)="작지",LEFT($AF122,4)="소재입고"),IF(LEFT($G122,1)="S","★ 납기위험(S코드)","◆ 지연주의"),IF($AF122="정상","✓ 정상","? 확인필요")))</f>
        <v/>
      </c>
      <c r="AH122" s="21" t="n"/>
      <c r="AI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19">
        <f>IF(COUNTIF(EDW_RAW!$A$2:$A$1500,$D123)=0,"",IF(COUNTIFS(EDW_RAW!$A$2:$A$1500,$D123,EDW_RAW!$R$2:$R$1500,"&lt;&gt;~",EDW_RAW!$R$2:$R$1500,"&lt;&gt;")=COUNTIF(EDW_RAW!$A$2:$A$1500,$D123),"O",IF(COUNTIFS(EDW_RAW!$A$2:$A$1500,$D123,EDW_RAW!$R$2:$R$1500,"&lt;&gt;~",EDW_RAW!$R$2:$R$1500,"&lt;&gt;")&gt;0,"부분","X")))</f>
        <v/>
      </c>
      <c r="R123" s="19">
        <f>IF(COUNTIF(EDW_RAW!$A$2:$A$1500,$D123)=0,"",IF(COUNTIFS(EDW_RAW!$A$2:$A$1500,$D123,EDW_RAW!$U$2:$U$1500,"&lt;&gt;~",EDW_RAW!$U$2:$U$1500,"&lt;&gt;")=COUNTIF(EDW_RAW!$A$2:$A$1500,$D123),"O",IF(COUNTIFS(EDW_RAW!$A$2:$A$1500,$D123,EDW_RAW!$U$2:$U$1500,"&lt;&gt;~",EDW_RAW!$U$2:$U$1500,"&lt;&gt;")&gt;0,"부분","X")))</f>
        <v/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",TRUE,UNIQUE(FILTER(소재DB_RAW!$K$3:$K$2000,(소재DB_RAW!$G$3:$G$2000=$D123)*ISERROR(SEARCH("drop",소재DB_RAW!$C$3:$C$2000))))),"")</f>
        <v/>
      </c>
      <c r="W123" s="20" t="inlineStr">
        <is>
          <t>베트남</t>
        </is>
      </c>
      <c r="X123" s="20">
        <f>IFERROR(TEXTJOIN(" / ",TRUE,UNIQUE(FILTER(소재DB_RAW!$N$3:$N$2000,(소재DB_RAW!$G$3:$G$2000=$D123)*ISERROR(SEARCH("drop",소재DB_RAW!$C$3:$C$2000))))),"")</f>
        <v/>
      </c>
      <c r="Y123" s="26">
        <f>IFERROR(TEXTJOIN(CHAR(10),TRUE,UNIQUE(FILTER(소재DB_RAW!$N$3:$N$2000&amp;") "&amp;소재DB_RAW!$O$3:$O$2000,(소재DB_RAW!$G$3:$G$2000=$D123)*ISNUMBER(SEARCH("겉감",소재DB_RAW!$M$3:$M$2000))*ISERROR(SEARCH("drop",소재DB_RAW!$C$3:$C$2000))))),"")</f>
        <v/>
      </c>
      <c r="Z123" s="26">
        <f>IFERROR(TEXTJOIN(CHAR(10),TRUE,UNIQUE(FILTER(소재DB_RAW!$N$3:$N$2000&amp;") "&amp;소재DB_RAW!$O$3:$O$2000,(소재DB_RAW!$G$3:$G$2000=$D123)*ISNUMBER(SEARCH("안감",소재DB_RAW!$M$3:$M$2000))*ISERROR(SEARCH("drop",소재DB_RAW!$C$3:$C$2000))))),"")</f>
        <v/>
      </c>
      <c r="AA123" s="22">
        <f>IFERROR(MAX(FILTER(소재DB_RAW!$AK$3:$AK$2000,(소재DB_RAW!$G$3:$G$2000=$D123)*ISERROR(SEARCH("drop",소재DB_RAW!$C$3:$C$2000))*(소재DB_RAW!$AK$3:$AK$2000&lt;&gt;""))),"")</f>
        <v/>
      </c>
      <c r="AB123" s="27" t="n">
        <v>12500</v>
      </c>
      <c r="AC123" s="27" t="n">
        <v>572725000</v>
      </c>
      <c r="AD123" s="27" t="n">
        <v>2750000000</v>
      </c>
      <c r="AE123" s="20" t="inlineStr">
        <is>
          <t>3월1주</t>
        </is>
      </c>
      <c r="AF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G123" s="19">
        <f>IF($K123="","",IF(OR(LEFT($AF123,2)="작지",LEFT($AF123,4)="소재입고"),IF(LEFT($G123,1)="S","★ 납기위험(S코드)","◆ 지연주의"),IF($AF123="정상","✓ 정상","? 확인필요")))</f>
        <v/>
      </c>
      <c r="AH123" s="21" t="n"/>
      <c r="AI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19">
        <f>IF(COUNTIF(EDW_RAW!$A$2:$A$1500,$D124)=0,"",IF(COUNTIFS(EDW_RAW!$A$2:$A$1500,$D124,EDW_RAW!$R$2:$R$1500,"&lt;&gt;~",EDW_RAW!$R$2:$R$1500,"&lt;&gt;")=COUNTIF(EDW_RAW!$A$2:$A$1500,$D124),"O",IF(COUNTIFS(EDW_RAW!$A$2:$A$1500,$D124,EDW_RAW!$R$2:$R$1500,"&lt;&gt;~",EDW_RAW!$R$2:$R$1500,"&lt;&gt;")&gt;0,"부분","X")))</f>
        <v/>
      </c>
      <c r="R124" s="19">
        <f>IF(COUNTIF(EDW_RAW!$A$2:$A$1500,$D124)=0,"",IF(COUNTIFS(EDW_RAW!$A$2:$A$1500,$D124,EDW_RAW!$U$2:$U$1500,"&lt;&gt;~",EDW_RAW!$U$2:$U$1500,"&lt;&gt;")=COUNTIF(EDW_RAW!$A$2:$A$1500,$D124),"O",IF(COUNTIFS(EDW_RAW!$A$2:$A$1500,$D124,EDW_RAW!$U$2:$U$1500,"&lt;&gt;~",EDW_RAW!$U$2:$U$1500,"&lt;&gt;")&gt;0,"부분","X")))</f>
        <v/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",TRUE,UNIQUE(FILTER(소재DB_RAW!$K$3:$K$2000,(소재DB_RAW!$G$3:$G$2000=$D124)*ISERROR(SEARCH("drop",소재DB_RAW!$C$3:$C$2000))))),"")</f>
        <v/>
      </c>
      <c r="W124" s="20" t="inlineStr"/>
      <c r="X124" s="20">
        <f>IFERROR(TEXTJOIN(" / ",TRUE,UNIQUE(FILTER(소재DB_RAW!$N$3:$N$2000,(소재DB_RAW!$G$3:$G$2000=$D124)*ISERROR(SEARCH("drop",소재DB_RAW!$C$3:$C$2000))))),"")</f>
        <v/>
      </c>
      <c r="Y124" s="26">
        <f>IFERROR(TEXTJOIN(CHAR(10),TRUE,UNIQUE(FILTER(소재DB_RAW!$N$3:$N$2000&amp;") "&amp;소재DB_RAW!$O$3:$O$2000,(소재DB_RAW!$G$3:$G$2000=$D124)*ISNUMBER(SEARCH("겉감",소재DB_RAW!$M$3:$M$2000))*ISERROR(SEARCH("drop",소재DB_RAW!$C$3:$C$2000))))),"")</f>
        <v/>
      </c>
      <c r="Z124" s="26">
        <f>IFERROR(TEXTJOIN(CHAR(10),TRUE,UNIQUE(FILTER(소재DB_RAW!$N$3:$N$2000&amp;") "&amp;소재DB_RAW!$O$3:$O$2000,(소재DB_RAW!$G$3:$G$2000=$D124)*ISNUMBER(SEARCH("안감",소재DB_RAW!$M$3:$M$2000))*ISERROR(SEARCH("drop",소재DB_RAW!$C$3:$C$2000))))),"")</f>
        <v/>
      </c>
      <c r="AA124" s="22">
        <f>IFERROR(MAX(FILTER(소재DB_RAW!$AK$3:$AK$2000,(소재DB_RAW!$G$3:$G$2000=$D124)*ISERROR(SEARCH("drop",소재DB_RAW!$C$3:$C$2000))*(소재DB_RAW!$AK$3:$AK$2000&lt;&gt;""))),"")</f>
        <v/>
      </c>
      <c r="AB124" s="27" t="n">
        <v>9000</v>
      </c>
      <c r="AC124" s="27" t="n">
        <v>454095500</v>
      </c>
      <c r="AD124" s="27" t="n">
        <v>1602000000</v>
      </c>
      <c r="AE124" s="20" t="inlineStr">
        <is>
          <t>3월2주</t>
        </is>
      </c>
      <c r="AF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G124" s="19">
        <f>IF($K124="","",IF(OR(LEFT($AF124,2)="작지",LEFT($AF124,4)="소재입고"),IF(LEFT($G124,1)="S","★ 납기위험(S코드)","◆ 지연주의"),IF($AF124="정상","✓ 정상","? 확인필요")))</f>
        <v/>
      </c>
      <c r="AH124" s="21" t="n"/>
      <c r="AI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19">
        <f>IF(COUNTIF(EDW_RAW!$A$2:$A$1500,$D125)=0,"",IF(COUNTIFS(EDW_RAW!$A$2:$A$1500,$D125,EDW_RAW!$R$2:$R$1500,"&lt;&gt;~",EDW_RAW!$R$2:$R$1500,"&lt;&gt;")=COUNTIF(EDW_RAW!$A$2:$A$1500,$D125),"O",IF(COUNTIFS(EDW_RAW!$A$2:$A$1500,$D125,EDW_RAW!$R$2:$R$1500,"&lt;&gt;~",EDW_RAW!$R$2:$R$1500,"&lt;&gt;")&gt;0,"부분","X")))</f>
        <v/>
      </c>
      <c r="R125" s="19">
        <f>IF(COUNTIF(EDW_RAW!$A$2:$A$1500,$D125)=0,"",IF(COUNTIFS(EDW_RAW!$A$2:$A$1500,$D125,EDW_RAW!$U$2:$U$1500,"&lt;&gt;~",EDW_RAW!$U$2:$U$1500,"&lt;&gt;")=COUNTIF(EDW_RAW!$A$2:$A$1500,$D125),"O",IF(COUNTIFS(EDW_RAW!$A$2:$A$1500,$D125,EDW_RAW!$U$2:$U$1500,"&lt;&gt;~",EDW_RAW!$U$2:$U$1500,"&lt;&gt;")&gt;0,"부분","X")))</f>
        <v/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",TRUE,UNIQUE(FILTER(소재DB_RAW!$K$3:$K$2000,(소재DB_RAW!$G$3:$G$2000=$D125)*ISERROR(SEARCH("drop",소재DB_RAW!$C$3:$C$2000))))),"")</f>
        <v/>
      </c>
      <c r="W125" s="20" t="inlineStr">
        <is>
          <t>베트남</t>
        </is>
      </c>
      <c r="X125" s="20">
        <f>IFERROR(TEXTJOIN(" / ",TRUE,UNIQUE(FILTER(소재DB_RAW!$N$3:$N$2000,(소재DB_RAW!$G$3:$G$2000=$D125)*ISERROR(SEARCH("drop",소재DB_RAW!$C$3:$C$2000))))),"")</f>
        <v/>
      </c>
      <c r="Y125" s="26">
        <f>IFERROR(TEXTJOIN(CHAR(10),TRUE,UNIQUE(FILTER(소재DB_RAW!$N$3:$N$2000&amp;") "&amp;소재DB_RAW!$O$3:$O$2000,(소재DB_RAW!$G$3:$G$2000=$D125)*ISNUMBER(SEARCH("겉감",소재DB_RAW!$M$3:$M$2000))*ISERROR(SEARCH("drop",소재DB_RAW!$C$3:$C$2000))))),"")</f>
        <v/>
      </c>
      <c r="Z125" s="26">
        <f>IFERROR(TEXTJOIN(CHAR(10),TRUE,UNIQUE(FILTER(소재DB_RAW!$N$3:$N$2000&amp;") "&amp;소재DB_RAW!$O$3:$O$2000,(소재DB_RAW!$G$3:$G$2000=$D125)*ISNUMBER(SEARCH("안감",소재DB_RAW!$M$3:$M$2000))*ISERROR(SEARCH("drop",소재DB_RAW!$C$3:$C$2000))))),"")</f>
        <v/>
      </c>
      <c r="AA125" s="22">
        <f>IFERROR(MAX(FILTER(소재DB_RAW!$AK$3:$AK$2000,(소재DB_RAW!$G$3:$G$2000=$D125)*ISERROR(SEARCH("drop",소재DB_RAW!$C$3:$C$2000))*(소재DB_RAW!$AK$3:$AK$2000&lt;&gt;""))),"")</f>
        <v/>
      </c>
      <c r="AB125" s="27" t="n">
        <v>5700</v>
      </c>
      <c r="AC125" s="27" t="n">
        <v>135403500</v>
      </c>
      <c r="AD125" s="27" t="n">
        <v>729600000</v>
      </c>
      <c r="AE125" s="20" t="inlineStr">
        <is>
          <t>3월2주</t>
        </is>
      </c>
      <c r="AF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G125" s="19">
        <f>IF($K125="","",IF(OR(LEFT($AF125,2)="작지",LEFT($AF125,4)="소재입고"),IF(LEFT($G125,1)="S","★ 납기위험(S코드)","◆ 지연주의"),IF($AF125="정상","✓ 정상","? 확인필요")))</f>
        <v/>
      </c>
      <c r="AH125" s="21" t="n"/>
      <c r="AI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19">
        <f>IF(COUNTIF(EDW_RAW!$A$2:$A$1500,$D126)=0,"",IF(COUNTIFS(EDW_RAW!$A$2:$A$1500,$D126,EDW_RAW!$R$2:$R$1500,"&lt;&gt;~",EDW_RAW!$R$2:$R$1500,"&lt;&gt;")=COUNTIF(EDW_RAW!$A$2:$A$1500,$D126),"O",IF(COUNTIFS(EDW_RAW!$A$2:$A$1500,$D126,EDW_RAW!$R$2:$R$1500,"&lt;&gt;~",EDW_RAW!$R$2:$R$1500,"&lt;&gt;")&gt;0,"부분","X")))</f>
        <v/>
      </c>
      <c r="R126" s="19">
        <f>IF(COUNTIF(EDW_RAW!$A$2:$A$1500,$D126)=0,"",IF(COUNTIFS(EDW_RAW!$A$2:$A$1500,$D126,EDW_RAW!$U$2:$U$1500,"&lt;&gt;~",EDW_RAW!$U$2:$U$1500,"&lt;&gt;")=COUNTIF(EDW_RAW!$A$2:$A$1500,$D126),"O",IF(COUNTIFS(EDW_RAW!$A$2:$A$1500,$D126,EDW_RAW!$U$2:$U$1500,"&lt;&gt;~",EDW_RAW!$U$2:$U$1500,"&lt;&gt;")&gt;0,"부분","X")))</f>
        <v/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",TRUE,UNIQUE(FILTER(소재DB_RAW!$K$3:$K$2000,(소재DB_RAW!$G$3:$G$2000=$D126)*ISERROR(SEARCH("drop",소재DB_RAW!$C$3:$C$2000))))),"")</f>
        <v/>
      </c>
      <c r="W126" s="20" t="inlineStr">
        <is>
          <t>인도네시아</t>
        </is>
      </c>
      <c r="X126" s="20">
        <f>IFERROR(TEXTJOIN(" / ",TRUE,UNIQUE(FILTER(소재DB_RAW!$N$3:$N$2000,(소재DB_RAW!$G$3:$G$2000=$D126)*ISERROR(SEARCH("drop",소재DB_RAW!$C$3:$C$2000))))),"")</f>
        <v/>
      </c>
      <c r="Y126" s="26">
        <f>IFERROR(TEXTJOIN(CHAR(10),TRUE,UNIQUE(FILTER(소재DB_RAW!$N$3:$N$2000&amp;") "&amp;소재DB_RAW!$O$3:$O$2000,(소재DB_RAW!$G$3:$G$2000=$D126)*ISNUMBER(SEARCH("겉감",소재DB_RAW!$M$3:$M$2000))*ISERROR(SEARCH("drop",소재DB_RAW!$C$3:$C$2000))))),"")</f>
        <v/>
      </c>
      <c r="Z126" s="26">
        <f>IFERROR(TEXTJOIN(CHAR(10),TRUE,UNIQUE(FILTER(소재DB_RAW!$N$3:$N$2000&amp;") "&amp;소재DB_RAW!$O$3:$O$2000,(소재DB_RAW!$G$3:$G$2000=$D126)*ISNUMBER(SEARCH("안감",소재DB_RAW!$M$3:$M$2000))*ISERROR(SEARCH("drop",소재DB_RAW!$C$3:$C$2000))))),"")</f>
        <v/>
      </c>
      <c r="AA126" s="22">
        <f>IFERROR(MAX(FILTER(소재DB_RAW!$AK$3:$AK$2000,(소재DB_RAW!$G$3:$G$2000=$D126)*ISERROR(SEARCH("drop",소재DB_RAW!$C$3:$C$2000))*(소재DB_RAW!$AK$3:$AK$2000&lt;&gt;""))),"")</f>
        <v/>
      </c>
      <c r="AB126" s="27" t="n">
        <v>1600</v>
      </c>
      <c r="AC126" s="27" t="n">
        <v>25153600</v>
      </c>
      <c r="AD126" s="27" t="n">
        <v>140800000</v>
      </c>
      <c r="AE126" s="20" t="inlineStr">
        <is>
          <t>3월2주</t>
        </is>
      </c>
      <c r="AF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G126" s="19">
        <f>IF($K126="","",IF(OR(LEFT($AF126,2)="작지",LEFT($AF126,4)="소재입고"),IF(LEFT($G126,1)="S","★ 납기위험(S코드)","◆ 지연주의"),IF($AF126="정상","✓ 정상","? 확인필요")))</f>
        <v/>
      </c>
      <c r="AH126" s="21" t="n"/>
      <c r="AI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19">
        <f>IF(COUNTIF(EDW_RAW!$A$2:$A$1500,$D127)=0,"",IF(COUNTIFS(EDW_RAW!$A$2:$A$1500,$D127,EDW_RAW!$R$2:$R$1500,"&lt;&gt;~",EDW_RAW!$R$2:$R$1500,"&lt;&gt;")=COUNTIF(EDW_RAW!$A$2:$A$1500,$D127),"O",IF(COUNTIFS(EDW_RAW!$A$2:$A$1500,$D127,EDW_RAW!$R$2:$R$1500,"&lt;&gt;~",EDW_RAW!$R$2:$R$1500,"&lt;&gt;")&gt;0,"부분","X")))</f>
        <v/>
      </c>
      <c r="R127" s="19">
        <f>IF(COUNTIF(EDW_RAW!$A$2:$A$1500,$D127)=0,"",IF(COUNTIFS(EDW_RAW!$A$2:$A$1500,$D127,EDW_RAW!$U$2:$U$1500,"&lt;&gt;~",EDW_RAW!$U$2:$U$1500,"&lt;&gt;")=COUNTIF(EDW_RAW!$A$2:$A$1500,$D127),"O",IF(COUNTIFS(EDW_RAW!$A$2:$A$1500,$D127,EDW_RAW!$U$2:$U$1500,"&lt;&gt;~",EDW_RAW!$U$2:$U$1500,"&lt;&gt;")&gt;0,"부분","X")))</f>
        <v/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",TRUE,UNIQUE(FILTER(소재DB_RAW!$K$3:$K$2000,(소재DB_RAW!$G$3:$G$2000=$D127)*ISERROR(SEARCH("drop",소재DB_RAW!$C$3:$C$2000))))),"")</f>
        <v/>
      </c>
      <c r="W127" s="20" t="inlineStr"/>
      <c r="X127" s="20">
        <f>IFERROR(TEXTJOIN(" / ",TRUE,UNIQUE(FILTER(소재DB_RAW!$N$3:$N$2000,(소재DB_RAW!$G$3:$G$2000=$D127)*ISERROR(SEARCH("drop",소재DB_RAW!$C$3:$C$2000))))),"")</f>
        <v/>
      </c>
      <c r="Y127" s="26">
        <f>IFERROR(TEXTJOIN(CHAR(10),TRUE,UNIQUE(FILTER(소재DB_RAW!$N$3:$N$2000&amp;") "&amp;소재DB_RAW!$O$3:$O$2000,(소재DB_RAW!$G$3:$G$2000=$D127)*ISNUMBER(SEARCH("겉감",소재DB_RAW!$M$3:$M$2000))*ISERROR(SEARCH("drop",소재DB_RAW!$C$3:$C$2000))))),"")</f>
        <v/>
      </c>
      <c r="Z127" s="26">
        <f>IFERROR(TEXTJOIN(CHAR(10),TRUE,UNIQUE(FILTER(소재DB_RAW!$N$3:$N$2000&amp;") "&amp;소재DB_RAW!$O$3:$O$2000,(소재DB_RAW!$G$3:$G$2000=$D127)*ISNUMBER(SEARCH("안감",소재DB_RAW!$M$3:$M$2000))*ISERROR(SEARCH("drop",소재DB_RAW!$C$3:$C$2000))))),"")</f>
        <v/>
      </c>
      <c r="AA127" s="22">
        <f>IFERROR(MAX(FILTER(소재DB_RAW!$AK$3:$AK$2000,(소재DB_RAW!$G$3:$G$2000=$D127)*ISERROR(SEARCH("drop",소재DB_RAW!$C$3:$C$2000))*(소재DB_RAW!$AK$3:$AK$2000&lt;&gt;""))),"")</f>
        <v/>
      </c>
      <c r="AB127" s="27" t="n">
        <v>5500</v>
      </c>
      <c r="AC127" s="27" t="n">
        <v>184420500</v>
      </c>
      <c r="AD127" s="27" t="n">
        <v>869000000</v>
      </c>
      <c r="AE127" s="20" t="inlineStr">
        <is>
          <t>3월2주</t>
        </is>
      </c>
      <c r="AF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G127" s="19">
        <f>IF($K127="","",IF(OR(LEFT($AF127,2)="작지",LEFT($AF127,4)="소재입고"),IF(LEFT($G127,1)="S","★ 납기위험(S코드)","◆ 지연주의"),IF($AF127="정상","✓ 정상","? 확인필요")))</f>
        <v/>
      </c>
      <c r="AH127" s="21" t="n"/>
      <c r="AI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19">
        <f>IF(COUNTIF(EDW_RAW!$A$2:$A$1500,$D128)=0,"",IF(COUNTIFS(EDW_RAW!$A$2:$A$1500,$D128,EDW_RAW!$R$2:$R$1500,"&lt;&gt;~",EDW_RAW!$R$2:$R$1500,"&lt;&gt;")=COUNTIF(EDW_RAW!$A$2:$A$1500,$D128),"O",IF(COUNTIFS(EDW_RAW!$A$2:$A$1500,$D128,EDW_RAW!$R$2:$R$1500,"&lt;&gt;~",EDW_RAW!$R$2:$R$1500,"&lt;&gt;")&gt;0,"부분","X")))</f>
        <v/>
      </c>
      <c r="R128" s="19">
        <f>IF(COUNTIF(EDW_RAW!$A$2:$A$1500,$D128)=0,"",IF(COUNTIFS(EDW_RAW!$A$2:$A$1500,$D128,EDW_RAW!$U$2:$U$1500,"&lt;&gt;~",EDW_RAW!$U$2:$U$1500,"&lt;&gt;")=COUNTIF(EDW_RAW!$A$2:$A$1500,$D128),"O",IF(COUNTIFS(EDW_RAW!$A$2:$A$1500,$D128,EDW_RAW!$U$2:$U$1500,"&lt;&gt;~",EDW_RAW!$U$2:$U$1500,"&lt;&gt;")&gt;0,"부분","X")))</f>
        <v/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",TRUE,UNIQUE(FILTER(소재DB_RAW!$K$3:$K$2000,(소재DB_RAW!$G$3:$G$2000=$D128)*ISERROR(SEARCH("drop",소재DB_RAW!$C$3:$C$2000))))),"")</f>
        <v/>
      </c>
      <c r="W128" s="20" t="inlineStr">
        <is>
          <t>베트남</t>
        </is>
      </c>
      <c r="X128" s="20">
        <f>IFERROR(TEXTJOIN(" / ",TRUE,UNIQUE(FILTER(소재DB_RAW!$N$3:$N$2000,(소재DB_RAW!$G$3:$G$2000=$D128)*ISERROR(SEARCH("drop",소재DB_RAW!$C$3:$C$2000))))),"")</f>
        <v/>
      </c>
      <c r="Y128" s="26">
        <f>IFERROR(TEXTJOIN(CHAR(10),TRUE,UNIQUE(FILTER(소재DB_RAW!$N$3:$N$2000&amp;") "&amp;소재DB_RAW!$O$3:$O$2000,(소재DB_RAW!$G$3:$G$2000=$D128)*ISNUMBER(SEARCH("겉감",소재DB_RAW!$M$3:$M$2000))*ISERROR(SEARCH("drop",소재DB_RAW!$C$3:$C$2000))))),"")</f>
        <v/>
      </c>
      <c r="Z128" s="26">
        <f>IFERROR(TEXTJOIN(CHAR(10),TRUE,UNIQUE(FILTER(소재DB_RAW!$N$3:$N$2000&amp;") "&amp;소재DB_RAW!$O$3:$O$2000,(소재DB_RAW!$G$3:$G$2000=$D128)*ISNUMBER(SEARCH("안감",소재DB_RAW!$M$3:$M$2000))*ISERROR(SEARCH("drop",소재DB_RAW!$C$3:$C$2000))))),"")</f>
        <v/>
      </c>
      <c r="AA128" s="22">
        <f>IFERROR(MAX(FILTER(소재DB_RAW!$AK$3:$AK$2000,(소재DB_RAW!$G$3:$G$2000=$D128)*ISERROR(SEARCH("drop",소재DB_RAW!$C$3:$C$2000))*(소재DB_RAW!$AK$3:$AK$2000&lt;&gt;""))),"")</f>
        <v/>
      </c>
      <c r="AB128" s="27" t="n">
        <v>13500</v>
      </c>
      <c r="AC128" s="27" t="n">
        <v>628464000</v>
      </c>
      <c r="AD128" s="27" t="n">
        <v>2403000000</v>
      </c>
      <c r="AE128" s="20" t="n"/>
      <c r="AF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G128" s="19">
        <f>IF($K128="","",IF(OR(LEFT($AF128,2)="작지",LEFT($AF128,4)="소재입고"),IF(LEFT($G128,1)="S","★ 납기위험(S코드)","◆ 지연주의"),IF($AF128="정상","✓ 정상","? 확인필요")))</f>
        <v/>
      </c>
      <c r="AH128" s="21" t="n"/>
      <c r="AI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19">
        <f>IF(COUNTIF(EDW_RAW!$A$2:$A$1500,$D129)=0,"",IF(COUNTIFS(EDW_RAW!$A$2:$A$1500,$D129,EDW_RAW!$R$2:$R$1500,"&lt;&gt;~",EDW_RAW!$R$2:$R$1500,"&lt;&gt;")=COUNTIF(EDW_RAW!$A$2:$A$1500,$D129),"O",IF(COUNTIFS(EDW_RAW!$A$2:$A$1500,$D129,EDW_RAW!$R$2:$R$1500,"&lt;&gt;~",EDW_RAW!$R$2:$R$1500,"&lt;&gt;")&gt;0,"부분","X")))</f>
        <v/>
      </c>
      <c r="R129" s="19">
        <f>IF(COUNTIF(EDW_RAW!$A$2:$A$1500,$D129)=0,"",IF(COUNTIFS(EDW_RAW!$A$2:$A$1500,$D129,EDW_RAW!$U$2:$U$1500,"&lt;&gt;~",EDW_RAW!$U$2:$U$1500,"&lt;&gt;")=COUNTIF(EDW_RAW!$A$2:$A$1500,$D129),"O",IF(COUNTIFS(EDW_RAW!$A$2:$A$1500,$D129,EDW_RAW!$U$2:$U$1500,"&lt;&gt;~",EDW_RAW!$U$2:$U$1500,"&lt;&gt;")&gt;0,"부분","X")))</f>
        <v/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",TRUE,UNIQUE(FILTER(소재DB_RAW!$K$3:$K$2000,(소재DB_RAW!$G$3:$G$2000=$D129)*ISERROR(SEARCH("drop",소재DB_RAW!$C$3:$C$2000))))),"")</f>
        <v/>
      </c>
      <c r="W129" s="20" t="inlineStr">
        <is>
          <t>베트남</t>
        </is>
      </c>
      <c r="X129" s="20">
        <f>IFERROR(TEXTJOIN(" / ",TRUE,UNIQUE(FILTER(소재DB_RAW!$N$3:$N$2000,(소재DB_RAW!$G$3:$G$2000=$D129)*ISERROR(SEARCH("drop",소재DB_RAW!$C$3:$C$2000))))),"")</f>
        <v/>
      </c>
      <c r="Y129" s="26">
        <f>IFERROR(TEXTJOIN(CHAR(10),TRUE,UNIQUE(FILTER(소재DB_RAW!$N$3:$N$2000&amp;") "&amp;소재DB_RAW!$O$3:$O$2000,(소재DB_RAW!$G$3:$G$2000=$D129)*ISNUMBER(SEARCH("겉감",소재DB_RAW!$M$3:$M$2000))*ISERROR(SEARCH("drop",소재DB_RAW!$C$3:$C$2000))))),"")</f>
        <v/>
      </c>
      <c r="Z129" s="26">
        <f>IFERROR(TEXTJOIN(CHAR(10),TRUE,UNIQUE(FILTER(소재DB_RAW!$N$3:$N$2000&amp;") "&amp;소재DB_RAW!$O$3:$O$2000,(소재DB_RAW!$G$3:$G$2000=$D129)*ISNUMBER(SEARCH("안감",소재DB_RAW!$M$3:$M$2000))*ISERROR(SEARCH("drop",소재DB_RAW!$C$3:$C$2000))))),"")</f>
        <v/>
      </c>
      <c r="AA129" s="22">
        <f>IFERROR(MAX(FILTER(소재DB_RAW!$AK$3:$AK$2000,(소재DB_RAW!$G$3:$G$2000=$D129)*ISERROR(SEARCH("drop",소재DB_RAW!$C$3:$C$2000))*(소재DB_RAW!$AK$3:$AK$2000&lt;&gt;""))),"")</f>
        <v/>
      </c>
      <c r="AB129" s="27" t="n">
        <v>1000</v>
      </c>
      <c r="AC129" s="27" t="n">
        <v>35722000</v>
      </c>
      <c r="AD129" s="27" t="n">
        <v>188000000</v>
      </c>
      <c r="AE129" s="20" t="inlineStr">
        <is>
          <t>3월2주</t>
        </is>
      </c>
      <c r="AF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G129" s="19">
        <f>IF($K129="","",IF(OR(LEFT($AF129,2)="작지",LEFT($AF129,4)="소재입고"),IF(LEFT($G129,1)="S","★ 납기위험(S코드)","◆ 지연주의"),IF($AF129="정상","✓ 정상","? 확인필요")))</f>
        <v/>
      </c>
      <c r="AH129" s="21" t="n"/>
      <c r="AI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19">
        <f>IF(COUNTIF(EDW_RAW!$A$2:$A$1500,$D130)=0,"",IF(COUNTIFS(EDW_RAW!$A$2:$A$1500,$D130,EDW_RAW!$R$2:$R$1500,"&lt;&gt;~",EDW_RAW!$R$2:$R$1500,"&lt;&gt;")=COUNTIF(EDW_RAW!$A$2:$A$1500,$D130),"O",IF(COUNTIFS(EDW_RAW!$A$2:$A$1500,$D130,EDW_RAW!$R$2:$R$1500,"&lt;&gt;~",EDW_RAW!$R$2:$R$1500,"&lt;&gt;")&gt;0,"부분","X")))</f>
        <v/>
      </c>
      <c r="R130" s="19">
        <f>IF(COUNTIF(EDW_RAW!$A$2:$A$1500,$D130)=0,"",IF(COUNTIFS(EDW_RAW!$A$2:$A$1500,$D130,EDW_RAW!$U$2:$U$1500,"&lt;&gt;~",EDW_RAW!$U$2:$U$1500,"&lt;&gt;")=COUNTIF(EDW_RAW!$A$2:$A$1500,$D130),"O",IF(COUNTIFS(EDW_RAW!$A$2:$A$1500,$D130,EDW_RAW!$U$2:$U$1500,"&lt;&gt;~",EDW_RAW!$U$2:$U$1500,"&lt;&gt;")&gt;0,"부분","X")))</f>
        <v/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",TRUE,UNIQUE(FILTER(소재DB_RAW!$K$3:$K$2000,(소재DB_RAW!$G$3:$G$2000=$D130)*ISERROR(SEARCH("drop",소재DB_RAW!$C$3:$C$2000))))),"")</f>
        <v/>
      </c>
      <c r="W130" s="20" t="inlineStr">
        <is>
          <t>베트남</t>
        </is>
      </c>
      <c r="X130" s="20">
        <f>IFERROR(TEXTJOIN(" / ",TRUE,UNIQUE(FILTER(소재DB_RAW!$N$3:$N$2000,(소재DB_RAW!$G$3:$G$2000=$D130)*ISERROR(SEARCH("drop",소재DB_RAW!$C$3:$C$2000))))),"")</f>
        <v/>
      </c>
      <c r="Y130" s="26">
        <f>IFERROR(TEXTJOIN(CHAR(10),TRUE,UNIQUE(FILTER(소재DB_RAW!$N$3:$N$2000&amp;") "&amp;소재DB_RAW!$O$3:$O$2000,(소재DB_RAW!$G$3:$G$2000=$D130)*ISNUMBER(SEARCH("겉감",소재DB_RAW!$M$3:$M$2000))*ISERROR(SEARCH("drop",소재DB_RAW!$C$3:$C$2000))))),"")</f>
        <v/>
      </c>
      <c r="Z130" s="26">
        <f>IFERROR(TEXTJOIN(CHAR(10),TRUE,UNIQUE(FILTER(소재DB_RAW!$N$3:$N$2000&amp;") "&amp;소재DB_RAW!$O$3:$O$2000,(소재DB_RAW!$G$3:$G$2000=$D130)*ISNUMBER(SEARCH("안감",소재DB_RAW!$M$3:$M$2000))*ISERROR(SEARCH("drop",소재DB_RAW!$C$3:$C$2000))))),"")</f>
        <v/>
      </c>
      <c r="AA130" s="22">
        <f>IFERROR(MAX(FILTER(소재DB_RAW!$AK$3:$AK$2000,(소재DB_RAW!$G$3:$G$2000=$D130)*ISERROR(SEARCH("drop",소재DB_RAW!$C$3:$C$2000))*(소재DB_RAW!$AK$3:$AK$2000&lt;&gt;""))),"")</f>
        <v/>
      </c>
      <c r="AB130" s="27" t="n">
        <v>7000</v>
      </c>
      <c r="AC130" s="27" t="n">
        <v>214991000</v>
      </c>
      <c r="AD130" s="27" t="n">
        <v>1036000000</v>
      </c>
      <c r="AE130" s="20" t="n"/>
      <c r="AF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G130" s="19">
        <f>IF($K130="","",IF(OR(LEFT($AF130,2)="작지",LEFT($AF130,4)="소재입고"),IF(LEFT($G130,1)="S","★ 납기위험(S코드)","◆ 지연주의"),IF($AF130="정상","✓ 정상","? 확인필요")))</f>
        <v/>
      </c>
      <c r="AH130" s="21" t="n"/>
      <c r="AI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19">
        <f>IF(COUNTIF(EDW_RAW!$A$2:$A$1500,$D131)=0,"",IF(COUNTIFS(EDW_RAW!$A$2:$A$1500,$D131,EDW_RAW!$R$2:$R$1500,"&lt;&gt;~",EDW_RAW!$R$2:$R$1500,"&lt;&gt;")=COUNTIF(EDW_RAW!$A$2:$A$1500,$D131),"O",IF(COUNTIFS(EDW_RAW!$A$2:$A$1500,$D131,EDW_RAW!$R$2:$R$1500,"&lt;&gt;~",EDW_RAW!$R$2:$R$1500,"&lt;&gt;")&gt;0,"부분","X")))</f>
        <v/>
      </c>
      <c r="R131" s="19">
        <f>IF(COUNTIF(EDW_RAW!$A$2:$A$1500,$D131)=0,"",IF(COUNTIFS(EDW_RAW!$A$2:$A$1500,$D131,EDW_RAW!$U$2:$U$1500,"&lt;&gt;~",EDW_RAW!$U$2:$U$1500,"&lt;&gt;")=COUNTIF(EDW_RAW!$A$2:$A$1500,$D131),"O",IF(COUNTIFS(EDW_RAW!$A$2:$A$1500,$D131,EDW_RAW!$U$2:$U$1500,"&lt;&gt;~",EDW_RAW!$U$2:$U$1500,"&lt;&gt;")&gt;0,"부분","X")))</f>
        <v/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",TRUE,UNIQUE(FILTER(소재DB_RAW!$K$3:$K$2000,(소재DB_RAW!$G$3:$G$2000=$D131)*ISERROR(SEARCH("drop",소재DB_RAW!$C$3:$C$2000))))),"")</f>
        <v/>
      </c>
      <c r="W131" s="20" t="inlineStr">
        <is>
          <t>베트남</t>
        </is>
      </c>
      <c r="X131" s="20">
        <f>IFERROR(TEXTJOIN(" / ",TRUE,UNIQUE(FILTER(소재DB_RAW!$N$3:$N$2000,(소재DB_RAW!$G$3:$G$2000=$D131)*ISERROR(SEARCH("drop",소재DB_RAW!$C$3:$C$2000))))),"")</f>
        <v/>
      </c>
      <c r="Y131" s="26">
        <f>IFERROR(TEXTJOIN(CHAR(10),TRUE,UNIQUE(FILTER(소재DB_RAW!$N$3:$N$2000&amp;") "&amp;소재DB_RAW!$O$3:$O$2000,(소재DB_RAW!$G$3:$G$2000=$D131)*ISNUMBER(SEARCH("겉감",소재DB_RAW!$M$3:$M$2000))*ISERROR(SEARCH("drop",소재DB_RAW!$C$3:$C$2000))))),"")</f>
        <v/>
      </c>
      <c r="Z131" s="26">
        <f>IFERROR(TEXTJOIN(CHAR(10),TRUE,UNIQUE(FILTER(소재DB_RAW!$N$3:$N$2000&amp;") "&amp;소재DB_RAW!$O$3:$O$2000,(소재DB_RAW!$G$3:$G$2000=$D131)*ISNUMBER(SEARCH("안감",소재DB_RAW!$M$3:$M$2000))*ISERROR(SEARCH("drop",소재DB_RAW!$C$3:$C$2000))))),"")</f>
        <v/>
      </c>
      <c r="AA131" s="22">
        <f>IFERROR(MAX(FILTER(소재DB_RAW!$AK$3:$AK$2000,(소재DB_RAW!$G$3:$G$2000=$D131)*ISERROR(SEARCH("drop",소재DB_RAW!$C$3:$C$2000))*(소재DB_RAW!$AK$3:$AK$2000&lt;&gt;""))),"")</f>
        <v/>
      </c>
      <c r="AB131" s="27" t="n">
        <v>3500</v>
      </c>
      <c r="AC131" s="27" t="n">
        <v>102490500</v>
      </c>
      <c r="AD131" s="27" t="n">
        <v>623000000</v>
      </c>
      <c r="AE131" s="20" t="n"/>
      <c r="AF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G131" s="19">
        <f>IF($K131="","",IF(OR(LEFT($AF131,2)="작지",LEFT($AF131,4)="소재입고"),IF(LEFT($G131,1)="S","★ 납기위험(S코드)","◆ 지연주의"),IF($AF131="정상","✓ 정상","? 확인필요")))</f>
        <v/>
      </c>
      <c r="AH131" s="21" t="n"/>
      <c r="AI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19">
        <f>IF(COUNTIF(EDW_RAW!$A$2:$A$1500,$D132)=0,"",IF(COUNTIFS(EDW_RAW!$A$2:$A$1500,$D132,EDW_RAW!$R$2:$R$1500,"&lt;&gt;~",EDW_RAW!$R$2:$R$1500,"&lt;&gt;")=COUNTIF(EDW_RAW!$A$2:$A$1500,$D132),"O",IF(COUNTIFS(EDW_RAW!$A$2:$A$1500,$D132,EDW_RAW!$R$2:$R$1500,"&lt;&gt;~",EDW_RAW!$R$2:$R$1500,"&lt;&gt;")&gt;0,"부분","X")))</f>
        <v/>
      </c>
      <c r="R132" s="19">
        <f>IF(COUNTIF(EDW_RAW!$A$2:$A$1500,$D132)=0,"",IF(COUNTIFS(EDW_RAW!$A$2:$A$1500,$D132,EDW_RAW!$U$2:$U$1500,"&lt;&gt;~",EDW_RAW!$U$2:$U$1500,"&lt;&gt;")=COUNTIF(EDW_RAW!$A$2:$A$1500,$D132),"O",IF(COUNTIFS(EDW_RAW!$A$2:$A$1500,$D132,EDW_RAW!$U$2:$U$1500,"&lt;&gt;~",EDW_RAW!$U$2:$U$1500,"&lt;&gt;")&gt;0,"부분","X")))</f>
        <v/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",TRUE,UNIQUE(FILTER(소재DB_RAW!$K$3:$K$2000,(소재DB_RAW!$G$3:$G$2000=$D132)*ISERROR(SEARCH("drop",소재DB_RAW!$C$3:$C$2000))))),"")</f>
        <v/>
      </c>
      <c r="W132" s="20" t="inlineStr">
        <is>
          <t>베트남</t>
        </is>
      </c>
      <c r="X132" s="20">
        <f>IFERROR(TEXTJOIN(" / ",TRUE,UNIQUE(FILTER(소재DB_RAW!$N$3:$N$2000,(소재DB_RAW!$G$3:$G$2000=$D132)*ISERROR(SEARCH("drop",소재DB_RAW!$C$3:$C$2000))))),"")</f>
        <v/>
      </c>
      <c r="Y132" s="26">
        <f>IFERROR(TEXTJOIN(CHAR(10),TRUE,UNIQUE(FILTER(소재DB_RAW!$N$3:$N$2000&amp;") "&amp;소재DB_RAW!$O$3:$O$2000,(소재DB_RAW!$G$3:$G$2000=$D132)*ISNUMBER(SEARCH("겉감",소재DB_RAW!$M$3:$M$2000))*ISERROR(SEARCH("drop",소재DB_RAW!$C$3:$C$2000))))),"")</f>
        <v/>
      </c>
      <c r="Z132" s="26">
        <f>IFERROR(TEXTJOIN(CHAR(10),TRUE,UNIQUE(FILTER(소재DB_RAW!$N$3:$N$2000&amp;") "&amp;소재DB_RAW!$O$3:$O$2000,(소재DB_RAW!$G$3:$G$2000=$D132)*ISNUMBER(SEARCH("안감",소재DB_RAW!$M$3:$M$2000))*ISERROR(SEARCH("drop",소재DB_RAW!$C$3:$C$2000))))),"")</f>
        <v/>
      </c>
      <c r="AA132" s="22">
        <f>IFERROR(MAX(FILTER(소재DB_RAW!$AK$3:$AK$2000,(소재DB_RAW!$G$3:$G$2000=$D132)*ISERROR(SEARCH("drop",소재DB_RAW!$C$3:$C$2000))*(소재DB_RAW!$AK$3:$AK$2000&lt;&gt;""))),"")</f>
        <v/>
      </c>
      <c r="AB132" s="27" t="n">
        <v>3500</v>
      </c>
      <c r="AC132" s="27" t="n">
        <v>94146500</v>
      </c>
      <c r="AD132" s="27" t="n">
        <v>658000000</v>
      </c>
      <c r="AE132" s="20" t="n"/>
      <c r="AF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G132" s="19">
        <f>IF($K132="","",IF(OR(LEFT($AF132,2)="작지",LEFT($AF132,4)="소재입고"),IF(LEFT($G132,1)="S","★ 납기위험(S코드)","◆ 지연주의"),IF($AF132="정상","✓ 정상","? 확인필요")))</f>
        <v/>
      </c>
      <c r="AH132" s="21" t="n"/>
      <c r="AI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19">
        <f>IF(COUNTIF(EDW_RAW!$A$2:$A$1500,$D133)=0,"",IF(COUNTIFS(EDW_RAW!$A$2:$A$1500,$D133,EDW_RAW!$R$2:$R$1500,"&lt;&gt;~",EDW_RAW!$R$2:$R$1500,"&lt;&gt;")=COUNTIF(EDW_RAW!$A$2:$A$1500,$D133),"O",IF(COUNTIFS(EDW_RAW!$A$2:$A$1500,$D133,EDW_RAW!$R$2:$R$1500,"&lt;&gt;~",EDW_RAW!$R$2:$R$1500,"&lt;&gt;")&gt;0,"부분","X")))</f>
        <v/>
      </c>
      <c r="R133" s="19">
        <f>IF(COUNTIF(EDW_RAW!$A$2:$A$1500,$D133)=0,"",IF(COUNTIFS(EDW_RAW!$A$2:$A$1500,$D133,EDW_RAW!$U$2:$U$1500,"&lt;&gt;~",EDW_RAW!$U$2:$U$1500,"&lt;&gt;")=COUNTIF(EDW_RAW!$A$2:$A$1500,$D133),"O",IF(COUNTIFS(EDW_RAW!$A$2:$A$1500,$D133,EDW_RAW!$U$2:$U$1500,"&lt;&gt;~",EDW_RAW!$U$2:$U$1500,"&lt;&gt;")&gt;0,"부분","X")))</f>
        <v/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",TRUE,UNIQUE(FILTER(소재DB_RAW!$K$3:$K$2000,(소재DB_RAW!$G$3:$G$2000=$D133)*ISERROR(SEARCH("drop",소재DB_RAW!$C$3:$C$2000))))),"")</f>
        <v/>
      </c>
      <c r="W133" s="20" t="inlineStr">
        <is>
          <t>베트남</t>
        </is>
      </c>
      <c r="X133" s="20">
        <f>IFERROR(TEXTJOIN(" / ",TRUE,UNIQUE(FILTER(소재DB_RAW!$N$3:$N$2000,(소재DB_RAW!$G$3:$G$2000=$D133)*ISERROR(SEARCH("drop",소재DB_RAW!$C$3:$C$2000))))),"")</f>
        <v/>
      </c>
      <c r="Y133" s="26">
        <f>IFERROR(TEXTJOIN(CHAR(10),TRUE,UNIQUE(FILTER(소재DB_RAW!$N$3:$N$2000&amp;") "&amp;소재DB_RAW!$O$3:$O$2000,(소재DB_RAW!$G$3:$G$2000=$D133)*ISNUMBER(SEARCH("겉감",소재DB_RAW!$M$3:$M$2000))*ISERROR(SEARCH("drop",소재DB_RAW!$C$3:$C$2000))))),"")</f>
        <v/>
      </c>
      <c r="Z133" s="26">
        <f>IFERROR(TEXTJOIN(CHAR(10),TRUE,UNIQUE(FILTER(소재DB_RAW!$N$3:$N$2000&amp;") "&amp;소재DB_RAW!$O$3:$O$2000,(소재DB_RAW!$G$3:$G$2000=$D133)*ISNUMBER(SEARCH("안감",소재DB_RAW!$M$3:$M$2000))*ISERROR(SEARCH("drop",소재DB_RAW!$C$3:$C$2000))))),"")</f>
        <v/>
      </c>
      <c r="AA133" s="22">
        <f>IFERROR(MAX(FILTER(소재DB_RAW!$AK$3:$AK$2000,(소재DB_RAW!$G$3:$G$2000=$D133)*ISERROR(SEARCH("drop",소재DB_RAW!$C$3:$C$2000))*(소재DB_RAW!$AK$3:$AK$2000&lt;&gt;""))),"")</f>
        <v/>
      </c>
      <c r="AB133" s="27" t="n">
        <v>5500</v>
      </c>
      <c r="AC133" s="27" t="n">
        <v>149985000</v>
      </c>
      <c r="AD133" s="27" t="n">
        <v>814000000</v>
      </c>
      <c r="AE133" s="20" t="inlineStr">
        <is>
          <t>3월2주</t>
        </is>
      </c>
      <c r="AF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G133" s="19">
        <f>IF($K133="","",IF(OR(LEFT($AF133,2)="작지",LEFT($AF133,4)="소재입고"),IF(LEFT($G133,1)="S","★ 납기위험(S코드)","◆ 지연주의"),IF($AF133="정상","✓ 정상","? 확인필요")))</f>
        <v/>
      </c>
      <c r="AH133" s="21" t="n"/>
      <c r="AI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19">
        <f>IF(COUNTIF(EDW_RAW!$A$2:$A$1500,$D134)=0,"",IF(COUNTIFS(EDW_RAW!$A$2:$A$1500,$D134,EDW_RAW!$R$2:$R$1500,"&lt;&gt;~",EDW_RAW!$R$2:$R$1500,"&lt;&gt;")=COUNTIF(EDW_RAW!$A$2:$A$1500,$D134),"O",IF(COUNTIFS(EDW_RAW!$A$2:$A$1500,$D134,EDW_RAW!$R$2:$R$1500,"&lt;&gt;~",EDW_RAW!$R$2:$R$1500,"&lt;&gt;")&gt;0,"부분","X")))</f>
        <v/>
      </c>
      <c r="R134" s="19">
        <f>IF(COUNTIF(EDW_RAW!$A$2:$A$1500,$D134)=0,"",IF(COUNTIFS(EDW_RAW!$A$2:$A$1500,$D134,EDW_RAW!$U$2:$U$1500,"&lt;&gt;~",EDW_RAW!$U$2:$U$1500,"&lt;&gt;")=COUNTIF(EDW_RAW!$A$2:$A$1500,$D134),"O",IF(COUNTIFS(EDW_RAW!$A$2:$A$1500,$D134,EDW_RAW!$U$2:$U$1500,"&lt;&gt;~",EDW_RAW!$U$2:$U$1500,"&lt;&gt;")&gt;0,"부분","X")))</f>
        <v/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",TRUE,UNIQUE(FILTER(소재DB_RAW!$K$3:$K$2000,(소재DB_RAW!$G$3:$G$2000=$D134)*ISERROR(SEARCH("drop",소재DB_RAW!$C$3:$C$2000))))),"")</f>
        <v/>
      </c>
      <c r="W134" s="20" t="inlineStr">
        <is>
          <t>베트남</t>
        </is>
      </c>
      <c r="X134" s="20">
        <f>IFERROR(TEXTJOIN(" / ",TRUE,UNIQUE(FILTER(소재DB_RAW!$N$3:$N$2000,(소재DB_RAW!$G$3:$G$2000=$D134)*ISERROR(SEARCH("drop",소재DB_RAW!$C$3:$C$2000))))),"")</f>
        <v/>
      </c>
      <c r="Y134" s="26">
        <f>IFERROR(TEXTJOIN(CHAR(10),TRUE,UNIQUE(FILTER(소재DB_RAW!$N$3:$N$2000&amp;") "&amp;소재DB_RAW!$O$3:$O$2000,(소재DB_RAW!$G$3:$G$2000=$D134)*ISNUMBER(SEARCH("겉감",소재DB_RAW!$M$3:$M$2000))*ISERROR(SEARCH("drop",소재DB_RAW!$C$3:$C$2000))))),"")</f>
        <v/>
      </c>
      <c r="Z134" s="26">
        <f>IFERROR(TEXTJOIN(CHAR(10),TRUE,UNIQUE(FILTER(소재DB_RAW!$N$3:$N$2000&amp;") "&amp;소재DB_RAW!$O$3:$O$2000,(소재DB_RAW!$G$3:$G$2000=$D134)*ISNUMBER(SEARCH("안감",소재DB_RAW!$M$3:$M$2000))*ISERROR(SEARCH("drop",소재DB_RAW!$C$3:$C$2000))))),"")</f>
        <v/>
      </c>
      <c r="AA134" s="22">
        <f>IFERROR(MAX(FILTER(소재DB_RAW!$AK$3:$AK$2000,(소재DB_RAW!$G$3:$G$2000=$D134)*ISERROR(SEARCH("drop",소재DB_RAW!$C$3:$C$2000))*(소재DB_RAW!$AK$3:$AK$2000&lt;&gt;""))),"")</f>
        <v/>
      </c>
      <c r="AB134" s="27" t="n">
        <v>4000</v>
      </c>
      <c r="AC134" s="27" t="n">
        <v>163668000</v>
      </c>
      <c r="AD134" s="27" t="n">
        <v>552000000</v>
      </c>
      <c r="AE134" s="20" t="n"/>
      <c r="AF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G134" s="19">
        <f>IF($K134="","",IF(OR(LEFT($AF134,2)="작지",LEFT($AF134,4)="소재입고"),IF(LEFT($G134,1)="S","★ 납기위험(S코드)","◆ 지연주의"),IF($AF134="정상","✓ 정상","? 확인필요")))</f>
        <v/>
      </c>
      <c r="AH134" s="21" t="n"/>
      <c r="AI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19">
        <f>IF(COUNTIF(EDW_RAW!$A$2:$A$1500,$D135)=0,"",IF(COUNTIFS(EDW_RAW!$A$2:$A$1500,$D135,EDW_RAW!$R$2:$R$1500,"&lt;&gt;~",EDW_RAW!$R$2:$R$1500,"&lt;&gt;")=COUNTIF(EDW_RAW!$A$2:$A$1500,$D135),"O",IF(COUNTIFS(EDW_RAW!$A$2:$A$1500,$D135,EDW_RAW!$R$2:$R$1500,"&lt;&gt;~",EDW_RAW!$R$2:$R$1500,"&lt;&gt;")&gt;0,"부분","X")))</f>
        <v/>
      </c>
      <c r="R135" s="19">
        <f>IF(COUNTIF(EDW_RAW!$A$2:$A$1500,$D135)=0,"",IF(COUNTIFS(EDW_RAW!$A$2:$A$1500,$D135,EDW_RAW!$U$2:$U$1500,"&lt;&gt;~",EDW_RAW!$U$2:$U$1500,"&lt;&gt;")=COUNTIF(EDW_RAW!$A$2:$A$1500,$D135),"O",IF(COUNTIFS(EDW_RAW!$A$2:$A$1500,$D135,EDW_RAW!$U$2:$U$1500,"&lt;&gt;~",EDW_RAW!$U$2:$U$1500,"&lt;&gt;")&gt;0,"부분","X")))</f>
        <v/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",TRUE,UNIQUE(FILTER(소재DB_RAW!$K$3:$K$2000,(소재DB_RAW!$G$3:$G$2000=$D135)*ISERROR(SEARCH("drop",소재DB_RAW!$C$3:$C$2000))))),"")</f>
        <v/>
      </c>
      <c r="W135" s="20" t="inlineStr">
        <is>
          <t>베트남</t>
        </is>
      </c>
      <c r="X135" s="20">
        <f>IFERROR(TEXTJOIN(" / ",TRUE,UNIQUE(FILTER(소재DB_RAW!$N$3:$N$2000,(소재DB_RAW!$G$3:$G$2000=$D135)*ISERROR(SEARCH("drop",소재DB_RAW!$C$3:$C$2000))))),"")</f>
        <v/>
      </c>
      <c r="Y135" s="26">
        <f>IFERROR(TEXTJOIN(CHAR(10),TRUE,UNIQUE(FILTER(소재DB_RAW!$N$3:$N$2000&amp;") "&amp;소재DB_RAW!$O$3:$O$2000,(소재DB_RAW!$G$3:$G$2000=$D135)*ISNUMBER(SEARCH("겉감",소재DB_RAW!$M$3:$M$2000))*ISERROR(SEARCH("drop",소재DB_RAW!$C$3:$C$2000))))),"")</f>
        <v/>
      </c>
      <c r="Z135" s="26">
        <f>IFERROR(TEXTJOIN(CHAR(10),TRUE,UNIQUE(FILTER(소재DB_RAW!$N$3:$N$2000&amp;") "&amp;소재DB_RAW!$O$3:$O$2000,(소재DB_RAW!$G$3:$G$2000=$D135)*ISNUMBER(SEARCH("안감",소재DB_RAW!$M$3:$M$2000))*ISERROR(SEARCH("drop",소재DB_RAW!$C$3:$C$2000))))),"")</f>
        <v/>
      </c>
      <c r="AA135" s="22">
        <f>IFERROR(MAX(FILTER(소재DB_RAW!$AK$3:$AK$2000,(소재DB_RAW!$G$3:$G$2000=$D135)*ISERROR(SEARCH("drop",소재DB_RAW!$C$3:$C$2000))*(소재DB_RAW!$AK$3:$AK$2000&lt;&gt;""))),"")</f>
        <v/>
      </c>
      <c r="AB135" s="27" t="n">
        <v>3500</v>
      </c>
      <c r="AC135" s="27" t="n">
        <v>108528000</v>
      </c>
      <c r="AD135" s="27" t="n">
        <v>483000000</v>
      </c>
      <c r="AE135" s="20" t="inlineStr">
        <is>
          <t>3월2주</t>
        </is>
      </c>
      <c r="AF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G135" s="19">
        <f>IF($K135="","",IF(OR(LEFT($AF135,2)="작지",LEFT($AF135,4)="소재입고"),IF(LEFT($G135,1)="S","★ 납기위험(S코드)","◆ 지연주의"),IF($AF135="정상","✓ 정상","? 확인필요")))</f>
        <v/>
      </c>
      <c r="AH135" s="21" t="n"/>
      <c r="AI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19">
        <f>IF(COUNTIF(EDW_RAW!$A$2:$A$1500,$D136)=0,"",IF(COUNTIFS(EDW_RAW!$A$2:$A$1500,$D136,EDW_RAW!$R$2:$R$1500,"&lt;&gt;~",EDW_RAW!$R$2:$R$1500,"&lt;&gt;")=COUNTIF(EDW_RAW!$A$2:$A$1500,$D136),"O",IF(COUNTIFS(EDW_RAW!$A$2:$A$1500,$D136,EDW_RAW!$R$2:$R$1500,"&lt;&gt;~",EDW_RAW!$R$2:$R$1500,"&lt;&gt;")&gt;0,"부분","X")))</f>
        <v/>
      </c>
      <c r="R136" s="19">
        <f>IF(COUNTIF(EDW_RAW!$A$2:$A$1500,$D136)=0,"",IF(COUNTIFS(EDW_RAW!$A$2:$A$1500,$D136,EDW_RAW!$U$2:$U$1500,"&lt;&gt;~",EDW_RAW!$U$2:$U$1500,"&lt;&gt;")=COUNTIF(EDW_RAW!$A$2:$A$1500,$D136),"O",IF(COUNTIFS(EDW_RAW!$A$2:$A$1500,$D136,EDW_RAW!$U$2:$U$1500,"&lt;&gt;~",EDW_RAW!$U$2:$U$1500,"&lt;&gt;")&gt;0,"부분","X")))</f>
        <v/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",TRUE,UNIQUE(FILTER(소재DB_RAW!$K$3:$K$2000,(소재DB_RAW!$G$3:$G$2000=$D136)*ISERROR(SEARCH("drop",소재DB_RAW!$C$3:$C$2000))))),"")</f>
        <v/>
      </c>
      <c r="W136" s="20" t="inlineStr">
        <is>
          <t>베트남</t>
        </is>
      </c>
      <c r="X136" s="20">
        <f>IFERROR(TEXTJOIN(" / ",TRUE,UNIQUE(FILTER(소재DB_RAW!$N$3:$N$2000,(소재DB_RAW!$G$3:$G$2000=$D136)*ISERROR(SEARCH("drop",소재DB_RAW!$C$3:$C$2000))))),"")</f>
        <v/>
      </c>
      <c r="Y136" s="26">
        <f>IFERROR(TEXTJOIN(CHAR(10),TRUE,UNIQUE(FILTER(소재DB_RAW!$N$3:$N$2000&amp;") "&amp;소재DB_RAW!$O$3:$O$2000,(소재DB_RAW!$G$3:$G$2000=$D136)*ISNUMBER(SEARCH("겉감",소재DB_RAW!$M$3:$M$2000))*ISERROR(SEARCH("drop",소재DB_RAW!$C$3:$C$2000))))),"")</f>
        <v/>
      </c>
      <c r="Z136" s="26">
        <f>IFERROR(TEXTJOIN(CHAR(10),TRUE,UNIQUE(FILTER(소재DB_RAW!$N$3:$N$2000&amp;") "&amp;소재DB_RAW!$O$3:$O$2000,(소재DB_RAW!$G$3:$G$2000=$D136)*ISNUMBER(SEARCH("안감",소재DB_RAW!$M$3:$M$2000))*ISERROR(SEARCH("drop",소재DB_RAW!$C$3:$C$2000))))),"")</f>
        <v/>
      </c>
      <c r="AA136" s="22">
        <f>IFERROR(MAX(FILTER(소재DB_RAW!$AK$3:$AK$2000,(소재DB_RAW!$G$3:$G$2000=$D136)*ISERROR(SEARCH("drop",소재DB_RAW!$C$3:$C$2000))*(소재DB_RAW!$AK$3:$AK$2000&lt;&gt;""))),"")</f>
        <v/>
      </c>
      <c r="AB136" s="27" t="n">
        <v>3000</v>
      </c>
      <c r="AC136" s="27" t="n">
        <v>107781000</v>
      </c>
      <c r="AD136" s="27" t="n">
        <v>474000000</v>
      </c>
      <c r="AE136" s="20" t="n"/>
      <c r="AF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G136" s="19">
        <f>IF($K136="","",IF(OR(LEFT($AF136,2)="작지",LEFT($AF136,4)="소재입고"),IF(LEFT($G136,1)="S","★ 납기위험(S코드)","◆ 지연주의"),IF($AF136="정상","✓ 정상","? 확인필요")))</f>
        <v/>
      </c>
      <c r="AH136" s="21" t="n"/>
      <c r="AI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19">
        <f>IF(COUNTIF(EDW_RAW!$A$2:$A$1500,$D137)=0,"",IF(COUNTIFS(EDW_RAW!$A$2:$A$1500,$D137,EDW_RAW!$R$2:$R$1500,"&lt;&gt;~",EDW_RAW!$R$2:$R$1500,"&lt;&gt;")=COUNTIF(EDW_RAW!$A$2:$A$1500,$D137),"O",IF(COUNTIFS(EDW_RAW!$A$2:$A$1500,$D137,EDW_RAW!$R$2:$R$1500,"&lt;&gt;~",EDW_RAW!$R$2:$R$1500,"&lt;&gt;")&gt;0,"부분","X")))</f>
        <v/>
      </c>
      <c r="R137" s="19">
        <f>IF(COUNTIF(EDW_RAW!$A$2:$A$1500,$D137)=0,"",IF(COUNTIFS(EDW_RAW!$A$2:$A$1500,$D137,EDW_RAW!$U$2:$U$1500,"&lt;&gt;~",EDW_RAW!$U$2:$U$1500,"&lt;&gt;")=COUNTIF(EDW_RAW!$A$2:$A$1500,$D137),"O",IF(COUNTIFS(EDW_RAW!$A$2:$A$1500,$D137,EDW_RAW!$U$2:$U$1500,"&lt;&gt;~",EDW_RAW!$U$2:$U$1500,"&lt;&gt;")&gt;0,"부분","X")))</f>
        <v/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",TRUE,UNIQUE(FILTER(소재DB_RAW!$K$3:$K$2000,(소재DB_RAW!$G$3:$G$2000=$D137)*ISERROR(SEARCH("drop",소재DB_RAW!$C$3:$C$2000))))),"")</f>
        <v/>
      </c>
      <c r="W137" s="20" t="inlineStr">
        <is>
          <t>베트남</t>
        </is>
      </c>
      <c r="X137" s="20">
        <f>IFERROR(TEXTJOIN(" / ",TRUE,UNIQUE(FILTER(소재DB_RAW!$N$3:$N$2000,(소재DB_RAW!$G$3:$G$2000=$D137)*ISERROR(SEARCH("drop",소재DB_RAW!$C$3:$C$2000))))),"")</f>
        <v/>
      </c>
      <c r="Y137" s="26">
        <f>IFERROR(TEXTJOIN(CHAR(10),TRUE,UNIQUE(FILTER(소재DB_RAW!$N$3:$N$2000&amp;") "&amp;소재DB_RAW!$O$3:$O$2000,(소재DB_RAW!$G$3:$G$2000=$D137)*ISNUMBER(SEARCH("겉감",소재DB_RAW!$M$3:$M$2000))*ISERROR(SEARCH("drop",소재DB_RAW!$C$3:$C$2000))))),"")</f>
        <v/>
      </c>
      <c r="Z137" s="26">
        <f>IFERROR(TEXTJOIN(CHAR(10),TRUE,UNIQUE(FILTER(소재DB_RAW!$N$3:$N$2000&amp;") "&amp;소재DB_RAW!$O$3:$O$2000,(소재DB_RAW!$G$3:$G$2000=$D137)*ISNUMBER(SEARCH("안감",소재DB_RAW!$M$3:$M$2000))*ISERROR(SEARCH("drop",소재DB_RAW!$C$3:$C$2000))))),"")</f>
        <v/>
      </c>
      <c r="AA137" s="22">
        <f>IFERROR(MAX(FILTER(소재DB_RAW!$AK$3:$AK$2000,(소재DB_RAW!$G$3:$G$2000=$D137)*ISERROR(SEARCH("drop",소재DB_RAW!$C$3:$C$2000))*(소재DB_RAW!$AK$3:$AK$2000&lt;&gt;""))),"")</f>
        <v/>
      </c>
      <c r="AB137" s="27" t="n">
        <v>12000</v>
      </c>
      <c r="AC137" s="27" t="n">
        <v>300696000</v>
      </c>
      <c r="AD137" s="27" t="n">
        <v>1536000000</v>
      </c>
      <c r="AE137" s="20" t="inlineStr">
        <is>
          <t>3월2주</t>
        </is>
      </c>
      <c r="AF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G137" s="19">
        <f>IF($K137="","",IF(OR(LEFT($AF137,2)="작지",LEFT($AF137,4)="소재입고"),IF(LEFT($G137,1)="S","★ 납기위험(S코드)","◆ 지연주의"),IF($AF137="정상","✓ 정상","? 확인필요")))</f>
        <v/>
      </c>
      <c r="AH137" s="21" t="n"/>
      <c r="AI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19">
        <f>IF(COUNTIF(EDW_RAW!$A$2:$A$1500,$D138)=0,"",IF(COUNTIFS(EDW_RAW!$A$2:$A$1500,$D138,EDW_RAW!$R$2:$R$1500,"&lt;&gt;~",EDW_RAW!$R$2:$R$1500,"&lt;&gt;")=COUNTIF(EDW_RAW!$A$2:$A$1500,$D138),"O",IF(COUNTIFS(EDW_RAW!$A$2:$A$1500,$D138,EDW_RAW!$R$2:$R$1500,"&lt;&gt;~",EDW_RAW!$R$2:$R$1500,"&lt;&gt;")&gt;0,"부분","X")))</f>
        <v/>
      </c>
      <c r="R138" s="19">
        <f>IF(COUNTIF(EDW_RAW!$A$2:$A$1500,$D138)=0,"",IF(COUNTIFS(EDW_RAW!$A$2:$A$1500,$D138,EDW_RAW!$U$2:$U$1500,"&lt;&gt;~",EDW_RAW!$U$2:$U$1500,"&lt;&gt;")=COUNTIF(EDW_RAW!$A$2:$A$1500,$D138),"O",IF(COUNTIFS(EDW_RAW!$A$2:$A$1500,$D138,EDW_RAW!$U$2:$U$1500,"&lt;&gt;~",EDW_RAW!$U$2:$U$1500,"&lt;&gt;")&gt;0,"부분","X")))</f>
        <v/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",TRUE,UNIQUE(FILTER(소재DB_RAW!$K$3:$K$2000,(소재DB_RAW!$G$3:$G$2000=$D138)*ISERROR(SEARCH("drop",소재DB_RAW!$C$3:$C$2000))))),"")</f>
        <v/>
      </c>
      <c r="W138" s="20" t="inlineStr">
        <is>
          <t>베트남</t>
        </is>
      </c>
      <c r="X138" s="20">
        <f>IFERROR(TEXTJOIN(" / ",TRUE,UNIQUE(FILTER(소재DB_RAW!$N$3:$N$2000,(소재DB_RAW!$G$3:$G$2000=$D138)*ISERROR(SEARCH("drop",소재DB_RAW!$C$3:$C$2000))))),"")</f>
        <v/>
      </c>
      <c r="Y138" s="26">
        <f>IFERROR(TEXTJOIN(CHAR(10),TRUE,UNIQUE(FILTER(소재DB_RAW!$N$3:$N$2000&amp;") "&amp;소재DB_RAW!$O$3:$O$2000,(소재DB_RAW!$G$3:$G$2000=$D138)*ISNUMBER(SEARCH("겉감",소재DB_RAW!$M$3:$M$2000))*ISERROR(SEARCH("drop",소재DB_RAW!$C$3:$C$2000))))),"")</f>
        <v/>
      </c>
      <c r="Z138" s="26">
        <f>IFERROR(TEXTJOIN(CHAR(10),TRUE,UNIQUE(FILTER(소재DB_RAW!$N$3:$N$2000&amp;") "&amp;소재DB_RAW!$O$3:$O$2000,(소재DB_RAW!$G$3:$G$2000=$D138)*ISNUMBER(SEARCH("안감",소재DB_RAW!$M$3:$M$2000))*ISERROR(SEARCH("drop",소재DB_RAW!$C$3:$C$2000))))),"")</f>
        <v/>
      </c>
      <c r="AA138" s="22">
        <f>IFERROR(MAX(FILTER(소재DB_RAW!$AK$3:$AK$2000,(소재DB_RAW!$G$3:$G$2000=$D138)*ISERROR(SEARCH("drop",소재DB_RAW!$C$3:$C$2000))*(소재DB_RAW!$AK$3:$AK$2000&lt;&gt;""))),"")</f>
        <v/>
      </c>
      <c r="AB138" s="27" t="n">
        <v>3000</v>
      </c>
      <c r="AC138" s="27" t="n">
        <v>67437000</v>
      </c>
      <c r="AD138" s="27" t="n">
        <v>354000000</v>
      </c>
      <c r="AE138" s="20" t="inlineStr">
        <is>
          <t>3월2주</t>
        </is>
      </c>
      <c r="AF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G138" s="19">
        <f>IF($K138="","",IF(OR(LEFT($AF138,2)="작지",LEFT($AF138,4)="소재입고"),IF(LEFT($G138,1)="S","★ 납기위험(S코드)","◆ 지연주의"),IF($AF138="정상","✓ 정상","? 확인필요")))</f>
        <v/>
      </c>
      <c r="AH138" s="21" t="n"/>
      <c r="AI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19">
        <f>IF(COUNTIF(EDW_RAW!$A$2:$A$1500,$D139)=0,"",IF(COUNTIFS(EDW_RAW!$A$2:$A$1500,$D139,EDW_RAW!$R$2:$R$1500,"&lt;&gt;~",EDW_RAW!$R$2:$R$1500,"&lt;&gt;")=COUNTIF(EDW_RAW!$A$2:$A$1500,$D139),"O",IF(COUNTIFS(EDW_RAW!$A$2:$A$1500,$D139,EDW_RAW!$R$2:$R$1500,"&lt;&gt;~",EDW_RAW!$R$2:$R$1500,"&lt;&gt;")&gt;0,"부분","X")))</f>
        <v/>
      </c>
      <c r="R139" s="19">
        <f>IF(COUNTIF(EDW_RAW!$A$2:$A$1500,$D139)=0,"",IF(COUNTIFS(EDW_RAW!$A$2:$A$1500,$D139,EDW_RAW!$U$2:$U$1500,"&lt;&gt;~",EDW_RAW!$U$2:$U$1500,"&lt;&gt;")=COUNTIF(EDW_RAW!$A$2:$A$1500,$D139),"O",IF(COUNTIFS(EDW_RAW!$A$2:$A$1500,$D139,EDW_RAW!$U$2:$U$1500,"&lt;&gt;~",EDW_RAW!$U$2:$U$1500,"&lt;&gt;")&gt;0,"부분","X")))</f>
        <v/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",TRUE,UNIQUE(FILTER(소재DB_RAW!$K$3:$K$2000,(소재DB_RAW!$G$3:$G$2000=$D139)*ISERROR(SEARCH("drop",소재DB_RAW!$C$3:$C$2000))))),"")</f>
        <v/>
      </c>
      <c r="W139" s="20" t="inlineStr">
        <is>
          <t>베트남</t>
        </is>
      </c>
      <c r="X139" s="20">
        <f>IFERROR(TEXTJOIN(" / ",TRUE,UNIQUE(FILTER(소재DB_RAW!$N$3:$N$2000,(소재DB_RAW!$G$3:$G$2000=$D139)*ISERROR(SEARCH("drop",소재DB_RAW!$C$3:$C$2000))))),"")</f>
        <v/>
      </c>
      <c r="Y139" s="26">
        <f>IFERROR(TEXTJOIN(CHAR(10),TRUE,UNIQUE(FILTER(소재DB_RAW!$N$3:$N$2000&amp;") "&amp;소재DB_RAW!$O$3:$O$2000,(소재DB_RAW!$G$3:$G$2000=$D139)*ISNUMBER(SEARCH("겉감",소재DB_RAW!$M$3:$M$2000))*ISERROR(SEARCH("drop",소재DB_RAW!$C$3:$C$2000))))),"")</f>
        <v/>
      </c>
      <c r="Z139" s="26">
        <f>IFERROR(TEXTJOIN(CHAR(10),TRUE,UNIQUE(FILTER(소재DB_RAW!$N$3:$N$2000&amp;") "&amp;소재DB_RAW!$O$3:$O$2000,(소재DB_RAW!$G$3:$G$2000=$D139)*ISNUMBER(SEARCH("안감",소재DB_RAW!$M$3:$M$2000))*ISERROR(SEARCH("drop",소재DB_RAW!$C$3:$C$2000))))),"")</f>
        <v/>
      </c>
      <c r="AA139" s="22">
        <f>IFERROR(MAX(FILTER(소재DB_RAW!$AK$3:$AK$2000,(소재DB_RAW!$G$3:$G$2000=$D139)*ISERROR(SEARCH("drop",소재DB_RAW!$C$3:$C$2000))*(소재DB_RAW!$AK$3:$AK$2000&lt;&gt;""))),"")</f>
        <v/>
      </c>
      <c r="AB139" s="27" t="n">
        <v>3000</v>
      </c>
      <c r="AC139" s="27" t="n">
        <v>116118000</v>
      </c>
      <c r="AD139" s="27" t="n">
        <v>660000000</v>
      </c>
      <c r="AE139" s="20" t="n"/>
      <c r="AF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G139" s="19">
        <f>IF($K139="","",IF(OR(LEFT($AF139,2)="작지",LEFT($AF139,4)="소재입고"),IF(LEFT($G139,1)="S","★ 납기위험(S코드)","◆ 지연주의"),IF($AF139="정상","✓ 정상","? 확인필요")))</f>
        <v/>
      </c>
      <c r="AH139" s="21" t="n"/>
      <c r="AI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19">
        <f>IF(COUNTIF(EDW_RAW!$A$2:$A$1500,$D140)=0,"",IF(COUNTIFS(EDW_RAW!$A$2:$A$1500,$D140,EDW_RAW!$R$2:$R$1500,"&lt;&gt;~",EDW_RAW!$R$2:$R$1500,"&lt;&gt;")=COUNTIF(EDW_RAW!$A$2:$A$1500,$D140),"O",IF(COUNTIFS(EDW_RAW!$A$2:$A$1500,$D140,EDW_RAW!$R$2:$R$1500,"&lt;&gt;~",EDW_RAW!$R$2:$R$1500,"&lt;&gt;")&gt;0,"부분","X")))</f>
        <v/>
      </c>
      <c r="R140" s="19">
        <f>IF(COUNTIF(EDW_RAW!$A$2:$A$1500,$D140)=0,"",IF(COUNTIFS(EDW_RAW!$A$2:$A$1500,$D140,EDW_RAW!$U$2:$U$1500,"&lt;&gt;~",EDW_RAW!$U$2:$U$1500,"&lt;&gt;")=COUNTIF(EDW_RAW!$A$2:$A$1500,$D140),"O",IF(COUNTIFS(EDW_RAW!$A$2:$A$1500,$D140,EDW_RAW!$U$2:$U$1500,"&lt;&gt;~",EDW_RAW!$U$2:$U$1500,"&lt;&gt;")&gt;0,"부분","X")))</f>
        <v/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",TRUE,UNIQUE(FILTER(소재DB_RAW!$K$3:$K$2000,(소재DB_RAW!$G$3:$G$2000=$D140)*ISERROR(SEARCH("drop",소재DB_RAW!$C$3:$C$2000))))),"")</f>
        <v/>
      </c>
      <c r="W140" s="20" t="inlineStr">
        <is>
          <t>베트남</t>
        </is>
      </c>
      <c r="X140" s="20">
        <f>IFERROR(TEXTJOIN(" / ",TRUE,UNIQUE(FILTER(소재DB_RAW!$N$3:$N$2000,(소재DB_RAW!$G$3:$G$2000=$D140)*ISERROR(SEARCH("drop",소재DB_RAW!$C$3:$C$2000))))),"")</f>
        <v/>
      </c>
      <c r="Y140" s="26">
        <f>IFERROR(TEXTJOIN(CHAR(10),TRUE,UNIQUE(FILTER(소재DB_RAW!$N$3:$N$2000&amp;") "&amp;소재DB_RAW!$O$3:$O$2000,(소재DB_RAW!$G$3:$G$2000=$D140)*ISNUMBER(SEARCH("겉감",소재DB_RAW!$M$3:$M$2000))*ISERROR(SEARCH("drop",소재DB_RAW!$C$3:$C$2000))))),"")</f>
        <v/>
      </c>
      <c r="Z140" s="26">
        <f>IFERROR(TEXTJOIN(CHAR(10),TRUE,UNIQUE(FILTER(소재DB_RAW!$N$3:$N$2000&amp;") "&amp;소재DB_RAW!$O$3:$O$2000,(소재DB_RAW!$G$3:$G$2000=$D140)*ISNUMBER(SEARCH("안감",소재DB_RAW!$M$3:$M$2000))*ISERROR(SEARCH("drop",소재DB_RAW!$C$3:$C$2000))))),"")</f>
        <v/>
      </c>
      <c r="AA140" s="22">
        <f>IFERROR(MAX(FILTER(소재DB_RAW!$AK$3:$AK$2000,(소재DB_RAW!$G$3:$G$2000=$D140)*ISERROR(SEARCH("drop",소재DB_RAW!$C$3:$C$2000))*(소재DB_RAW!$AK$3:$AK$2000&lt;&gt;""))),"")</f>
        <v/>
      </c>
      <c r="AB140" s="27" t="n">
        <v>2700</v>
      </c>
      <c r="AC140" s="27" t="n">
        <v>69635700</v>
      </c>
      <c r="AD140" s="27" t="n">
        <v>453600000</v>
      </c>
      <c r="AE140" s="20" t="inlineStr">
        <is>
          <t>3월2주</t>
        </is>
      </c>
      <c r="AF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G140" s="19">
        <f>IF($K140="","",IF(OR(LEFT($AF140,2)="작지",LEFT($AF140,4)="소재입고"),IF(LEFT($G140,1)="S","★ 납기위험(S코드)","◆ 지연주의"),IF($AF140="정상","✓ 정상","? 확인필요")))</f>
        <v/>
      </c>
      <c r="AH140" s="21" t="n"/>
      <c r="AI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19">
        <f>IF(COUNTIF(EDW_RAW!$A$2:$A$1500,$D141)=0,"",IF(COUNTIFS(EDW_RAW!$A$2:$A$1500,$D141,EDW_RAW!$R$2:$R$1500,"&lt;&gt;~",EDW_RAW!$R$2:$R$1500,"&lt;&gt;")=COUNTIF(EDW_RAW!$A$2:$A$1500,$D141),"O",IF(COUNTIFS(EDW_RAW!$A$2:$A$1500,$D141,EDW_RAW!$R$2:$R$1500,"&lt;&gt;~",EDW_RAW!$R$2:$R$1500,"&lt;&gt;")&gt;0,"부분","X")))</f>
        <v/>
      </c>
      <c r="R141" s="19">
        <f>IF(COUNTIF(EDW_RAW!$A$2:$A$1500,$D141)=0,"",IF(COUNTIFS(EDW_RAW!$A$2:$A$1500,$D141,EDW_RAW!$U$2:$U$1500,"&lt;&gt;~",EDW_RAW!$U$2:$U$1500,"&lt;&gt;")=COUNTIF(EDW_RAW!$A$2:$A$1500,$D141),"O",IF(COUNTIFS(EDW_RAW!$A$2:$A$1500,$D141,EDW_RAW!$U$2:$U$1500,"&lt;&gt;~",EDW_RAW!$U$2:$U$1500,"&lt;&gt;")&gt;0,"부분","X")))</f>
        <v/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",TRUE,UNIQUE(FILTER(소재DB_RAW!$K$3:$K$2000,(소재DB_RAW!$G$3:$G$2000=$D141)*ISERROR(SEARCH("drop",소재DB_RAW!$C$3:$C$2000))))),"")</f>
        <v/>
      </c>
      <c r="W141" s="20" t="inlineStr">
        <is>
          <t>베트남</t>
        </is>
      </c>
      <c r="X141" s="20">
        <f>IFERROR(TEXTJOIN(" / ",TRUE,UNIQUE(FILTER(소재DB_RAW!$N$3:$N$2000,(소재DB_RAW!$G$3:$G$2000=$D141)*ISERROR(SEARCH("drop",소재DB_RAW!$C$3:$C$2000))))),"")</f>
        <v/>
      </c>
      <c r="Y141" s="26">
        <f>IFERROR(TEXTJOIN(CHAR(10),TRUE,UNIQUE(FILTER(소재DB_RAW!$N$3:$N$2000&amp;") "&amp;소재DB_RAW!$O$3:$O$2000,(소재DB_RAW!$G$3:$G$2000=$D141)*ISNUMBER(SEARCH("겉감",소재DB_RAW!$M$3:$M$2000))*ISERROR(SEARCH("drop",소재DB_RAW!$C$3:$C$2000))))),"")</f>
        <v/>
      </c>
      <c r="Z141" s="26">
        <f>IFERROR(TEXTJOIN(CHAR(10),TRUE,UNIQUE(FILTER(소재DB_RAW!$N$3:$N$2000&amp;") "&amp;소재DB_RAW!$O$3:$O$2000,(소재DB_RAW!$G$3:$G$2000=$D141)*ISNUMBER(SEARCH("안감",소재DB_RAW!$M$3:$M$2000))*ISERROR(SEARCH("drop",소재DB_RAW!$C$3:$C$2000))))),"")</f>
        <v/>
      </c>
      <c r="AA141" s="22">
        <f>IFERROR(MAX(FILTER(소재DB_RAW!$AK$3:$AK$2000,(소재DB_RAW!$G$3:$G$2000=$D141)*ISERROR(SEARCH("drop",소재DB_RAW!$C$3:$C$2000))*(소재DB_RAW!$AK$3:$AK$2000&lt;&gt;""))),"")</f>
        <v/>
      </c>
      <c r="AB141" s="27" t="n">
        <v>2300</v>
      </c>
      <c r="AC141" s="27" t="n">
        <v>51520000</v>
      </c>
      <c r="AD141" s="27" t="n">
        <v>248400000</v>
      </c>
      <c r="AE141" s="20" t="inlineStr">
        <is>
          <t>3월2주</t>
        </is>
      </c>
      <c r="AF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G141" s="19">
        <f>IF($K141="","",IF(OR(LEFT($AF141,2)="작지",LEFT($AF141,4)="소재입고"),IF(LEFT($G141,1)="S","★ 납기위험(S코드)","◆ 지연주의"),IF($AF141="정상","✓ 정상","? 확인필요")))</f>
        <v/>
      </c>
      <c r="AH141" s="21" t="n"/>
      <c r="AI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19">
        <f>IF(COUNTIF(EDW_RAW!$A$2:$A$1500,$D142)=0,"",IF(COUNTIFS(EDW_RAW!$A$2:$A$1500,$D142,EDW_RAW!$R$2:$R$1500,"&lt;&gt;~",EDW_RAW!$R$2:$R$1500,"&lt;&gt;")=COUNTIF(EDW_RAW!$A$2:$A$1500,$D142),"O",IF(COUNTIFS(EDW_RAW!$A$2:$A$1500,$D142,EDW_RAW!$R$2:$R$1500,"&lt;&gt;~",EDW_RAW!$R$2:$R$1500,"&lt;&gt;")&gt;0,"부분","X")))</f>
        <v/>
      </c>
      <c r="R142" s="19">
        <f>IF(COUNTIF(EDW_RAW!$A$2:$A$1500,$D142)=0,"",IF(COUNTIFS(EDW_RAW!$A$2:$A$1500,$D142,EDW_RAW!$U$2:$U$1500,"&lt;&gt;~",EDW_RAW!$U$2:$U$1500,"&lt;&gt;")=COUNTIF(EDW_RAW!$A$2:$A$1500,$D142),"O",IF(COUNTIFS(EDW_RAW!$A$2:$A$1500,$D142,EDW_RAW!$U$2:$U$1500,"&lt;&gt;~",EDW_RAW!$U$2:$U$1500,"&lt;&gt;")&gt;0,"부분","X")))</f>
        <v/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",TRUE,UNIQUE(FILTER(소재DB_RAW!$K$3:$K$2000,(소재DB_RAW!$G$3:$G$2000=$D142)*ISERROR(SEARCH("drop",소재DB_RAW!$C$3:$C$2000))))),"")</f>
        <v/>
      </c>
      <c r="W142" s="20" t="inlineStr">
        <is>
          <t>베트남</t>
        </is>
      </c>
      <c r="X142" s="20">
        <f>IFERROR(TEXTJOIN(" / ",TRUE,UNIQUE(FILTER(소재DB_RAW!$N$3:$N$2000,(소재DB_RAW!$G$3:$G$2000=$D142)*ISERROR(SEARCH("drop",소재DB_RAW!$C$3:$C$2000))))),"")</f>
        <v/>
      </c>
      <c r="Y142" s="26">
        <f>IFERROR(TEXTJOIN(CHAR(10),TRUE,UNIQUE(FILTER(소재DB_RAW!$N$3:$N$2000&amp;") "&amp;소재DB_RAW!$O$3:$O$2000,(소재DB_RAW!$G$3:$G$2000=$D142)*ISNUMBER(SEARCH("겉감",소재DB_RAW!$M$3:$M$2000))*ISERROR(SEARCH("drop",소재DB_RAW!$C$3:$C$2000))))),"")</f>
        <v/>
      </c>
      <c r="Z142" s="26">
        <f>IFERROR(TEXTJOIN(CHAR(10),TRUE,UNIQUE(FILTER(소재DB_RAW!$N$3:$N$2000&amp;") "&amp;소재DB_RAW!$O$3:$O$2000,(소재DB_RAW!$G$3:$G$2000=$D142)*ISNUMBER(SEARCH("안감",소재DB_RAW!$M$3:$M$2000))*ISERROR(SEARCH("drop",소재DB_RAW!$C$3:$C$2000))))),"")</f>
        <v/>
      </c>
      <c r="AA142" s="22">
        <f>IFERROR(MAX(FILTER(소재DB_RAW!$AK$3:$AK$2000,(소재DB_RAW!$G$3:$G$2000=$D142)*ISERROR(SEARCH("drop",소재DB_RAW!$C$3:$C$2000))*(소재DB_RAW!$AK$3:$AK$2000&lt;&gt;""))),"")</f>
        <v/>
      </c>
      <c r="AB142" s="27" t="n">
        <v>5000</v>
      </c>
      <c r="AC142" s="27" t="n">
        <v>147115000</v>
      </c>
      <c r="AD142" s="27" t="n">
        <v>640000000</v>
      </c>
      <c r="AE142" s="20" t="inlineStr">
        <is>
          <t>3월2주</t>
        </is>
      </c>
      <c r="AF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G142" s="19">
        <f>IF($K142="","",IF(OR(LEFT($AF142,2)="작지",LEFT($AF142,4)="소재입고"),IF(LEFT($G142,1)="S","★ 납기위험(S코드)","◆ 지연주의"),IF($AF142="정상","✓ 정상","? 확인필요")))</f>
        <v/>
      </c>
      <c r="AH142" s="21" t="n"/>
      <c r="AI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19">
        <f>IF(COUNTIF(EDW_RAW!$A$2:$A$1500,$D143)=0,"",IF(COUNTIFS(EDW_RAW!$A$2:$A$1500,$D143,EDW_RAW!$R$2:$R$1500,"&lt;&gt;~",EDW_RAW!$R$2:$R$1500,"&lt;&gt;")=COUNTIF(EDW_RAW!$A$2:$A$1500,$D143),"O",IF(COUNTIFS(EDW_RAW!$A$2:$A$1500,$D143,EDW_RAW!$R$2:$R$1500,"&lt;&gt;~",EDW_RAW!$R$2:$R$1500,"&lt;&gt;")&gt;0,"부분","X")))</f>
        <v/>
      </c>
      <c r="R143" s="19">
        <f>IF(COUNTIF(EDW_RAW!$A$2:$A$1500,$D143)=0,"",IF(COUNTIFS(EDW_RAW!$A$2:$A$1500,$D143,EDW_RAW!$U$2:$U$1500,"&lt;&gt;~",EDW_RAW!$U$2:$U$1500,"&lt;&gt;")=COUNTIF(EDW_RAW!$A$2:$A$1500,$D143),"O",IF(COUNTIFS(EDW_RAW!$A$2:$A$1500,$D143,EDW_RAW!$U$2:$U$1500,"&lt;&gt;~",EDW_RAW!$U$2:$U$1500,"&lt;&gt;")&gt;0,"부분","X")))</f>
        <v/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",TRUE,UNIQUE(FILTER(소재DB_RAW!$K$3:$K$2000,(소재DB_RAW!$G$3:$G$2000=$D143)*ISERROR(SEARCH("drop",소재DB_RAW!$C$3:$C$2000))))),"")</f>
        <v/>
      </c>
      <c r="W143" s="20" t="inlineStr">
        <is>
          <t>베트남</t>
        </is>
      </c>
      <c r="X143" s="20">
        <f>IFERROR(TEXTJOIN(" / ",TRUE,UNIQUE(FILTER(소재DB_RAW!$N$3:$N$2000,(소재DB_RAW!$G$3:$G$2000=$D143)*ISERROR(SEARCH("drop",소재DB_RAW!$C$3:$C$2000))))),"")</f>
        <v/>
      </c>
      <c r="Y143" s="26">
        <f>IFERROR(TEXTJOIN(CHAR(10),TRUE,UNIQUE(FILTER(소재DB_RAW!$N$3:$N$2000&amp;") "&amp;소재DB_RAW!$O$3:$O$2000,(소재DB_RAW!$G$3:$G$2000=$D143)*ISNUMBER(SEARCH("겉감",소재DB_RAW!$M$3:$M$2000))*ISERROR(SEARCH("drop",소재DB_RAW!$C$3:$C$2000))))),"")</f>
        <v/>
      </c>
      <c r="Z143" s="26">
        <f>IFERROR(TEXTJOIN(CHAR(10),TRUE,UNIQUE(FILTER(소재DB_RAW!$N$3:$N$2000&amp;") "&amp;소재DB_RAW!$O$3:$O$2000,(소재DB_RAW!$G$3:$G$2000=$D143)*ISNUMBER(SEARCH("안감",소재DB_RAW!$M$3:$M$2000))*ISERROR(SEARCH("drop",소재DB_RAW!$C$3:$C$2000))))),"")</f>
        <v/>
      </c>
      <c r="AA143" s="22">
        <f>IFERROR(MAX(FILTER(소재DB_RAW!$AK$3:$AK$2000,(소재DB_RAW!$G$3:$G$2000=$D143)*ISERROR(SEARCH("drop",소재DB_RAW!$C$3:$C$2000))*(소재DB_RAW!$AK$3:$AK$2000&lt;&gt;""))),"")</f>
        <v/>
      </c>
      <c r="AB143" s="27" t="n">
        <v>4000</v>
      </c>
      <c r="AC143" s="27" t="n">
        <v>87048000</v>
      </c>
      <c r="AD143" s="27" t="n">
        <v>512000000</v>
      </c>
      <c r="AE143" s="20" t="inlineStr">
        <is>
          <t>3월2주</t>
        </is>
      </c>
      <c r="AF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G143" s="19">
        <f>IF($K143="","",IF(OR(LEFT($AF143,2)="작지",LEFT($AF143,4)="소재입고"),IF(LEFT($G143,1)="S","★ 납기위험(S코드)","◆ 지연주의"),IF($AF143="정상","✓ 정상","? 확인필요")))</f>
        <v/>
      </c>
      <c r="AH143" s="21" t="n"/>
      <c r="AI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19">
        <f>IF(COUNTIF(EDW_RAW!$A$2:$A$1500,$D144)=0,"",IF(COUNTIFS(EDW_RAW!$A$2:$A$1500,$D144,EDW_RAW!$R$2:$R$1500,"&lt;&gt;~",EDW_RAW!$R$2:$R$1500,"&lt;&gt;")=COUNTIF(EDW_RAW!$A$2:$A$1500,$D144),"O",IF(COUNTIFS(EDW_RAW!$A$2:$A$1500,$D144,EDW_RAW!$R$2:$R$1500,"&lt;&gt;~",EDW_RAW!$R$2:$R$1500,"&lt;&gt;")&gt;0,"부분","X")))</f>
        <v/>
      </c>
      <c r="R144" s="19">
        <f>IF(COUNTIF(EDW_RAW!$A$2:$A$1500,$D144)=0,"",IF(COUNTIFS(EDW_RAW!$A$2:$A$1500,$D144,EDW_RAW!$U$2:$U$1500,"&lt;&gt;~",EDW_RAW!$U$2:$U$1500,"&lt;&gt;")=COUNTIF(EDW_RAW!$A$2:$A$1500,$D144),"O",IF(COUNTIFS(EDW_RAW!$A$2:$A$1500,$D144,EDW_RAW!$U$2:$U$1500,"&lt;&gt;~",EDW_RAW!$U$2:$U$1500,"&lt;&gt;")&gt;0,"부분","X")))</f>
        <v/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",TRUE,UNIQUE(FILTER(소재DB_RAW!$K$3:$K$2000,(소재DB_RAW!$G$3:$G$2000=$D144)*ISERROR(SEARCH("drop",소재DB_RAW!$C$3:$C$2000))))),"")</f>
        <v/>
      </c>
      <c r="W144" s="20" t="inlineStr">
        <is>
          <t>베트남</t>
        </is>
      </c>
      <c r="X144" s="20">
        <f>IFERROR(TEXTJOIN(" / ",TRUE,UNIQUE(FILTER(소재DB_RAW!$N$3:$N$2000,(소재DB_RAW!$G$3:$G$2000=$D144)*ISERROR(SEARCH("drop",소재DB_RAW!$C$3:$C$2000))))),"")</f>
        <v/>
      </c>
      <c r="Y144" s="26">
        <f>IFERROR(TEXTJOIN(CHAR(10),TRUE,UNIQUE(FILTER(소재DB_RAW!$N$3:$N$2000&amp;") "&amp;소재DB_RAW!$O$3:$O$2000,(소재DB_RAW!$G$3:$G$2000=$D144)*ISNUMBER(SEARCH("겉감",소재DB_RAW!$M$3:$M$2000))*ISERROR(SEARCH("drop",소재DB_RAW!$C$3:$C$2000))))),"")</f>
        <v/>
      </c>
      <c r="Z144" s="26">
        <f>IFERROR(TEXTJOIN(CHAR(10),TRUE,UNIQUE(FILTER(소재DB_RAW!$N$3:$N$2000&amp;") "&amp;소재DB_RAW!$O$3:$O$2000,(소재DB_RAW!$G$3:$G$2000=$D144)*ISNUMBER(SEARCH("안감",소재DB_RAW!$M$3:$M$2000))*ISERROR(SEARCH("drop",소재DB_RAW!$C$3:$C$2000))))),"")</f>
        <v/>
      </c>
      <c r="AA144" s="22">
        <f>IFERROR(MAX(FILTER(소재DB_RAW!$AK$3:$AK$2000,(소재DB_RAW!$G$3:$G$2000=$D144)*ISERROR(SEARCH("drop",소재DB_RAW!$C$3:$C$2000))*(소재DB_RAW!$AK$3:$AK$2000&lt;&gt;""))),"")</f>
        <v/>
      </c>
      <c r="AB144" s="27" t="n">
        <v>5500</v>
      </c>
      <c r="AC144" s="27" t="n">
        <v>181296500</v>
      </c>
      <c r="AD144" s="27" t="n">
        <v>924000000</v>
      </c>
      <c r="AE144" s="20" t="n"/>
      <c r="AF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G144" s="19">
        <f>IF($K144="","",IF(OR(LEFT($AF144,2)="작지",LEFT($AF144,4)="소재입고"),IF(LEFT($G144,1)="S","★ 납기위험(S코드)","◆ 지연주의"),IF($AF144="정상","✓ 정상","? 확인필요")))</f>
        <v/>
      </c>
      <c r="AH144" s="21" t="n"/>
      <c r="AI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19">
        <f>IF(COUNTIF(EDW_RAW!$A$2:$A$1500,$D145)=0,"",IF(COUNTIFS(EDW_RAW!$A$2:$A$1500,$D145,EDW_RAW!$R$2:$R$1500,"&lt;&gt;~",EDW_RAW!$R$2:$R$1500,"&lt;&gt;")=COUNTIF(EDW_RAW!$A$2:$A$1500,$D145),"O",IF(COUNTIFS(EDW_RAW!$A$2:$A$1500,$D145,EDW_RAW!$R$2:$R$1500,"&lt;&gt;~",EDW_RAW!$R$2:$R$1500,"&lt;&gt;")&gt;0,"부분","X")))</f>
        <v/>
      </c>
      <c r="R145" s="19">
        <f>IF(COUNTIF(EDW_RAW!$A$2:$A$1500,$D145)=0,"",IF(COUNTIFS(EDW_RAW!$A$2:$A$1500,$D145,EDW_RAW!$U$2:$U$1500,"&lt;&gt;~",EDW_RAW!$U$2:$U$1500,"&lt;&gt;")=COUNTIF(EDW_RAW!$A$2:$A$1500,$D145),"O",IF(COUNTIFS(EDW_RAW!$A$2:$A$1500,$D145,EDW_RAW!$U$2:$U$1500,"&lt;&gt;~",EDW_RAW!$U$2:$U$1500,"&lt;&gt;")&gt;0,"부분","X")))</f>
        <v/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",TRUE,UNIQUE(FILTER(소재DB_RAW!$K$3:$K$2000,(소재DB_RAW!$G$3:$G$2000=$D145)*ISERROR(SEARCH("drop",소재DB_RAW!$C$3:$C$2000))))),"")</f>
        <v/>
      </c>
      <c r="W145" s="20" t="inlineStr">
        <is>
          <t>베트남</t>
        </is>
      </c>
      <c r="X145" s="20">
        <f>IFERROR(TEXTJOIN(" / ",TRUE,UNIQUE(FILTER(소재DB_RAW!$N$3:$N$2000,(소재DB_RAW!$G$3:$G$2000=$D145)*ISERROR(SEARCH("drop",소재DB_RAW!$C$3:$C$2000))))),"")</f>
        <v/>
      </c>
      <c r="Y145" s="26">
        <f>IFERROR(TEXTJOIN(CHAR(10),TRUE,UNIQUE(FILTER(소재DB_RAW!$N$3:$N$2000&amp;") "&amp;소재DB_RAW!$O$3:$O$2000,(소재DB_RAW!$G$3:$G$2000=$D145)*ISNUMBER(SEARCH("겉감",소재DB_RAW!$M$3:$M$2000))*ISERROR(SEARCH("drop",소재DB_RAW!$C$3:$C$2000))))),"")</f>
        <v/>
      </c>
      <c r="Z145" s="26">
        <f>IFERROR(TEXTJOIN(CHAR(10),TRUE,UNIQUE(FILTER(소재DB_RAW!$N$3:$N$2000&amp;") "&amp;소재DB_RAW!$O$3:$O$2000,(소재DB_RAW!$G$3:$G$2000=$D145)*ISNUMBER(SEARCH("안감",소재DB_RAW!$M$3:$M$2000))*ISERROR(SEARCH("drop",소재DB_RAW!$C$3:$C$2000))))),"")</f>
        <v/>
      </c>
      <c r="AA145" s="22">
        <f>IFERROR(MAX(FILTER(소재DB_RAW!$AK$3:$AK$2000,(소재DB_RAW!$G$3:$G$2000=$D145)*ISERROR(SEARCH("drop",소재DB_RAW!$C$3:$C$2000))*(소재DB_RAW!$AK$3:$AK$2000&lt;&gt;""))),"")</f>
        <v/>
      </c>
      <c r="AB145" s="27" t="n">
        <v>6000</v>
      </c>
      <c r="AC145" s="27" t="n">
        <v>142842000</v>
      </c>
      <c r="AD145" s="27" t="n">
        <v>888000000</v>
      </c>
      <c r="AE145" s="20" t="n"/>
      <c r="AF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G145" s="19">
        <f>IF($K145="","",IF(OR(LEFT($AF145,2)="작지",LEFT($AF145,4)="소재입고"),IF(LEFT($G145,1)="S","★ 납기위험(S코드)","◆ 지연주의"),IF($AF145="정상","✓ 정상","? 확인필요")))</f>
        <v/>
      </c>
      <c r="AH145" s="21" t="n"/>
      <c r="AI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19">
        <f>IF(COUNTIF(EDW_RAW!$A$2:$A$1500,$D146)=0,"",IF(COUNTIFS(EDW_RAW!$A$2:$A$1500,$D146,EDW_RAW!$R$2:$R$1500,"&lt;&gt;~",EDW_RAW!$R$2:$R$1500,"&lt;&gt;")=COUNTIF(EDW_RAW!$A$2:$A$1500,$D146),"O",IF(COUNTIFS(EDW_RAW!$A$2:$A$1500,$D146,EDW_RAW!$R$2:$R$1500,"&lt;&gt;~",EDW_RAW!$R$2:$R$1500,"&lt;&gt;")&gt;0,"부분","X")))</f>
        <v/>
      </c>
      <c r="R146" s="19">
        <f>IF(COUNTIF(EDW_RAW!$A$2:$A$1500,$D146)=0,"",IF(COUNTIFS(EDW_RAW!$A$2:$A$1500,$D146,EDW_RAW!$U$2:$U$1500,"&lt;&gt;~",EDW_RAW!$U$2:$U$1500,"&lt;&gt;")=COUNTIF(EDW_RAW!$A$2:$A$1500,$D146),"O",IF(COUNTIFS(EDW_RAW!$A$2:$A$1500,$D146,EDW_RAW!$U$2:$U$1500,"&lt;&gt;~",EDW_RAW!$U$2:$U$1500,"&lt;&gt;")&gt;0,"부분","X")))</f>
        <v/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",TRUE,UNIQUE(FILTER(소재DB_RAW!$K$3:$K$2000,(소재DB_RAW!$G$3:$G$2000=$D146)*ISERROR(SEARCH("drop",소재DB_RAW!$C$3:$C$2000))))),"")</f>
        <v/>
      </c>
      <c r="W146" s="20" t="inlineStr">
        <is>
          <t>베트남</t>
        </is>
      </c>
      <c r="X146" s="20">
        <f>IFERROR(TEXTJOIN(" / ",TRUE,UNIQUE(FILTER(소재DB_RAW!$N$3:$N$2000,(소재DB_RAW!$G$3:$G$2000=$D146)*ISERROR(SEARCH("drop",소재DB_RAW!$C$3:$C$2000))))),"")</f>
        <v/>
      </c>
      <c r="Y146" s="26">
        <f>IFERROR(TEXTJOIN(CHAR(10),TRUE,UNIQUE(FILTER(소재DB_RAW!$N$3:$N$2000&amp;") "&amp;소재DB_RAW!$O$3:$O$2000,(소재DB_RAW!$G$3:$G$2000=$D146)*ISNUMBER(SEARCH("겉감",소재DB_RAW!$M$3:$M$2000))*ISERROR(SEARCH("drop",소재DB_RAW!$C$3:$C$2000))))),"")</f>
        <v/>
      </c>
      <c r="Z146" s="26">
        <f>IFERROR(TEXTJOIN(CHAR(10),TRUE,UNIQUE(FILTER(소재DB_RAW!$N$3:$N$2000&amp;") "&amp;소재DB_RAW!$O$3:$O$2000,(소재DB_RAW!$G$3:$G$2000=$D146)*ISNUMBER(SEARCH("안감",소재DB_RAW!$M$3:$M$2000))*ISERROR(SEARCH("drop",소재DB_RAW!$C$3:$C$2000))))),"")</f>
        <v/>
      </c>
      <c r="AA146" s="22">
        <f>IFERROR(MAX(FILTER(소재DB_RAW!$AK$3:$AK$2000,(소재DB_RAW!$G$3:$G$2000=$D146)*ISERROR(SEARCH("drop",소재DB_RAW!$C$3:$C$2000))*(소재DB_RAW!$AK$3:$AK$2000&lt;&gt;""))),"")</f>
        <v/>
      </c>
      <c r="AB146" s="27" t="n">
        <v>2000</v>
      </c>
      <c r="AC146" s="27" t="n">
        <v>47624000</v>
      </c>
      <c r="AD146" s="27" t="n">
        <v>256000000</v>
      </c>
      <c r="AE146" s="20" t="n"/>
      <c r="AF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G146" s="19">
        <f>IF($K146="","",IF(OR(LEFT($AF146,2)="작지",LEFT($AF146,4)="소재입고"),IF(LEFT($G146,1)="S","★ 납기위험(S코드)","◆ 지연주의"),IF($AF146="정상","✓ 정상","? 확인필요")))</f>
        <v/>
      </c>
      <c r="AH146" s="21" t="n"/>
      <c r="AI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19">
        <f>IF(COUNTIF(EDW_RAW!$A$2:$A$1500,$D147)=0,"",IF(COUNTIFS(EDW_RAW!$A$2:$A$1500,$D147,EDW_RAW!$R$2:$R$1500,"&lt;&gt;~",EDW_RAW!$R$2:$R$1500,"&lt;&gt;")=COUNTIF(EDW_RAW!$A$2:$A$1500,$D147),"O",IF(COUNTIFS(EDW_RAW!$A$2:$A$1500,$D147,EDW_RAW!$R$2:$R$1500,"&lt;&gt;~",EDW_RAW!$R$2:$R$1500,"&lt;&gt;")&gt;0,"부분","X")))</f>
        <v/>
      </c>
      <c r="R147" s="19">
        <f>IF(COUNTIF(EDW_RAW!$A$2:$A$1500,$D147)=0,"",IF(COUNTIFS(EDW_RAW!$A$2:$A$1500,$D147,EDW_RAW!$U$2:$U$1500,"&lt;&gt;~",EDW_RAW!$U$2:$U$1500,"&lt;&gt;")=COUNTIF(EDW_RAW!$A$2:$A$1500,$D147),"O",IF(COUNTIFS(EDW_RAW!$A$2:$A$1500,$D147,EDW_RAW!$U$2:$U$1500,"&lt;&gt;~",EDW_RAW!$U$2:$U$1500,"&lt;&gt;")&gt;0,"부분","X")))</f>
        <v/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",TRUE,UNIQUE(FILTER(소재DB_RAW!$K$3:$K$2000,(소재DB_RAW!$G$3:$G$2000=$D147)*ISERROR(SEARCH("drop",소재DB_RAW!$C$3:$C$2000))))),"")</f>
        <v/>
      </c>
      <c r="W147" s="20" t="inlineStr">
        <is>
          <t>베트남</t>
        </is>
      </c>
      <c r="X147" s="20">
        <f>IFERROR(TEXTJOIN(" / ",TRUE,UNIQUE(FILTER(소재DB_RAW!$N$3:$N$2000,(소재DB_RAW!$G$3:$G$2000=$D147)*ISERROR(SEARCH("drop",소재DB_RAW!$C$3:$C$2000))))),"")</f>
        <v/>
      </c>
      <c r="Y147" s="26">
        <f>IFERROR(TEXTJOIN(CHAR(10),TRUE,UNIQUE(FILTER(소재DB_RAW!$N$3:$N$2000&amp;") "&amp;소재DB_RAW!$O$3:$O$2000,(소재DB_RAW!$G$3:$G$2000=$D147)*ISNUMBER(SEARCH("겉감",소재DB_RAW!$M$3:$M$2000))*ISERROR(SEARCH("drop",소재DB_RAW!$C$3:$C$2000))))),"")</f>
        <v/>
      </c>
      <c r="Z147" s="26">
        <f>IFERROR(TEXTJOIN(CHAR(10),TRUE,UNIQUE(FILTER(소재DB_RAW!$N$3:$N$2000&amp;") "&amp;소재DB_RAW!$O$3:$O$2000,(소재DB_RAW!$G$3:$G$2000=$D147)*ISNUMBER(SEARCH("안감",소재DB_RAW!$M$3:$M$2000))*ISERROR(SEARCH("drop",소재DB_RAW!$C$3:$C$2000))))),"")</f>
        <v/>
      </c>
      <c r="AA147" s="22">
        <f>IFERROR(MAX(FILTER(소재DB_RAW!$AK$3:$AK$2000,(소재DB_RAW!$G$3:$G$2000=$D147)*ISERROR(SEARCH("drop",소재DB_RAW!$C$3:$C$2000))*(소재DB_RAW!$AK$3:$AK$2000&lt;&gt;""))),"")</f>
        <v/>
      </c>
      <c r="AB147" s="27" t="n">
        <v>14000</v>
      </c>
      <c r="AC147" s="27" t="n">
        <v>277676000</v>
      </c>
      <c r="AD147" s="27" t="n">
        <v>1232000000</v>
      </c>
      <c r="AE147" s="20" t="n"/>
      <c r="AF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G147" s="19">
        <f>IF($K147="","",IF(OR(LEFT($AF147,2)="작지",LEFT($AF147,4)="소재입고"),IF(LEFT($G147,1)="S","★ 납기위험(S코드)","◆ 지연주의"),IF($AF147="정상","✓ 정상","? 확인필요")))</f>
        <v/>
      </c>
      <c r="AH147" s="21" t="n"/>
      <c r="AI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19">
        <f>IF(COUNTIF(EDW_RAW!$A$2:$A$1500,$D148)=0,"",IF(COUNTIFS(EDW_RAW!$A$2:$A$1500,$D148,EDW_RAW!$R$2:$R$1500,"&lt;&gt;~",EDW_RAW!$R$2:$R$1500,"&lt;&gt;")=COUNTIF(EDW_RAW!$A$2:$A$1500,$D148),"O",IF(COUNTIFS(EDW_RAW!$A$2:$A$1500,$D148,EDW_RAW!$R$2:$R$1500,"&lt;&gt;~",EDW_RAW!$R$2:$R$1500,"&lt;&gt;")&gt;0,"부분","X")))</f>
        <v/>
      </c>
      <c r="R148" s="19">
        <f>IF(COUNTIF(EDW_RAW!$A$2:$A$1500,$D148)=0,"",IF(COUNTIFS(EDW_RAW!$A$2:$A$1500,$D148,EDW_RAW!$U$2:$U$1500,"&lt;&gt;~",EDW_RAW!$U$2:$U$1500,"&lt;&gt;")=COUNTIF(EDW_RAW!$A$2:$A$1500,$D148),"O",IF(COUNTIFS(EDW_RAW!$A$2:$A$1500,$D148,EDW_RAW!$U$2:$U$1500,"&lt;&gt;~",EDW_RAW!$U$2:$U$1500,"&lt;&gt;")&gt;0,"부분","X")))</f>
        <v/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",TRUE,UNIQUE(FILTER(소재DB_RAW!$K$3:$K$2000,(소재DB_RAW!$G$3:$G$2000=$D148)*ISERROR(SEARCH("drop",소재DB_RAW!$C$3:$C$2000))))),"")</f>
        <v/>
      </c>
      <c r="W148" s="20" t="inlineStr">
        <is>
          <t>베트남</t>
        </is>
      </c>
      <c r="X148" s="20">
        <f>IFERROR(TEXTJOIN(" / ",TRUE,UNIQUE(FILTER(소재DB_RAW!$N$3:$N$2000,(소재DB_RAW!$G$3:$G$2000=$D148)*ISERROR(SEARCH("drop",소재DB_RAW!$C$3:$C$2000))))),"")</f>
        <v/>
      </c>
      <c r="Y148" s="26">
        <f>IFERROR(TEXTJOIN(CHAR(10),TRUE,UNIQUE(FILTER(소재DB_RAW!$N$3:$N$2000&amp;") "&amp;소재DB_RAW!$O$3:$O$2000,(소재DB_RAW!$G$3:$G$2000=$D148)*ISNUMBER(SEARCH("겉감",소재DB_RAW!$M$3:$M$2000))*ISERROR(SEARCH("drop",소재DB_RAW!$C$3:$C$2000))))),"")</f>
        <v/>
      </c>
      <c r="Z148" s="26">
        <f>IFERROR(TEXTJOIN(CHAR(10),TRUE,UNIQUE(FILTER(소재DB_RAW!$N$3:$N$2000&amp;") "&amp;소재DB_RAW!$O$3:$O$2000,(소재DB_RAW!$G$3:$G$2000=$D148)*ISNUMBER(SEARCH("안감",소재DB_RAW!$M$3:$M$2000))*ISERROR(SEARCH("drop",소재DB_RAW!$C$3:$C$2000))))),"")</f>
        <v/>
      </c>
      <c r="AA148" s="22">
        <f>IFERROR(MAX(FILTER(소재DB_RAW!$AK$3:$AK$2000,(소재DB_RAW!$G$3:$G$2000=$D148)*ISERROR(SEARCH("drop",소재DB_RAW!$C$3:$C$2000))*(소재DB_RAW!$AK$3:$AK$2000&lt;&gt;""))),"")</f>
        <v/>
      </c>
      <c r="AB148" s="27" t="n">
        <v>5500</v>
      </c>
      <c r="AC148" s="27" t="n">
        <v>115170000</v>
      </c>
      <c r="AD148" s="27" t="n">
        <v>594000000</v>
      </c>
      <c r="AE148" s="20" t="n"/>
      <c r="AF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G148" s="19">
        <f>IF($K148="","",IF(OR(LEFT($AF148,2)="작지",LEFT($AF148,4)="소재입고"),IF(LEFT($G148,1)="S","★ 납기위험(S코드)","◆ 지연주의"),IF($AF148="정상","✓ 정상","? 확인필요")))</f>
        <v/>
      </c>
      <c r="AH148" s="21" t="n"/>
      <c r="AI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19">
        <f>IF(COUNTIF(EDW_RAW!$A$2:$A$1500,$D149)=0,"",IF(COUNTIFS(EDW_RAW!$A$2:$A$1500,$D149,EDW_RAW!$R$2:$R$1500,"&lt;&gt;~",EDW_RAW!$R$2:$R$1500,"&lt;&gt;")=COUNTIF(EDW_RAW!$A$2:$A$1500,$D149),"O",IF(COUNTIFS(EDW_RAW!$A$2:$A$1500,$D149,EDW_RAW!$R$2:$R$1500,"&lt;&gt;~",EDW_RAW!$R$2:$R$1500,"&lt;&gt;")&gt;0,"부분","X")))</f>
        <v/>
      </c>
      <c r="R149" s="19">
        <f>IF(COUNTIF(EDW_RAW!$A$2:$A$1500,$D149)=0,"",IF(COUNTIFS(EDW_RAW!$A$2:$A$1500,$D149,EDW_RAW!$U$2:$U$1500,"&lt;&gt;~",EDW_RAW!$U$2:$U$1500,"&lt;&gt;")=COUNTIF(EDW_RAW!$A$2:$A$1500,$D149),"O",IF(COUNTIFS(EDW_RAW!$A$2:$A$1500,$D149,EDW_RAW!$U$2:$U$1500,"&lt;&gt;~",EDW_RAW!$U$2:$U$1500,"&lt;&gt;")&gt;0,"부분","X")))</f>
        <v/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",TRUE,UNIQUE(FILTER(소재DB_RAW!$K$3:$K$2000,(소재DB_RAW!$G$3:$G$2000=$D149)*ISERROR(SEARCH("drop",소재DB_RAW!$C$3:$C$2000))))),"")</f>
        <v/>
      </c>
      <c r="W149" s="20" t="inlineStr">
        <is>
          <t>베트남</t>
        </is>
      </c>
      <c r="X149" s="20">
        <f>IFERROR(TEXTJOIN(" / ",TRUE,UNIQUE(FILTER(소재DB_RAW!$N$3:$N$2000,(소재DB_RAW!$G$3:$G$2000=$D149)*ISERROR(SEARCH("drop",소재DB_RAW!$C$3:$C$2000))))),"")</f>
        <v/>
      </c>
      <c r="Y149" s="26">
        <f>IFERROR(TEXTJOIN(CHAR(10),TRUE,UNIQUE(FILTER(소재DB_RAW!$N$3:$N$2000&amp;") "&amp;소재DB_RAW!$O$3:$O$2000,(소재DB_RAW!$G$3:$G$2000=$D149)*ISNUMBER(SEARCH("겉감",소재DB_RAW!$M$3:$M$2000))*ISERROR(SEARCH("drop",소재DB_RAW!$C$3:$C$2000))))),"")</f>
        <v/>
      </c>
      <c r="Z149" s="26">
        <f>IFERROR(TEXTJOIN(CHAR(10),TRUE,UNIQUE(FILTER(소재DB_RAW!$N$3:$N$2000&amp;") "&amp;소재DB_RAW!$O$3:$O$2000,(소재DB_RAW!$G$3:$G$2000=$D149)*ISNUMBER(SEARCH("안감",소재DB_RAW!$M$3:$M$2000))*ISERROR(SEARCH("drop",소재DB_RAW!$C$3:$C$2000))))),"")</f>
        <v/>
      </c>
      <c r="AA149" s="22">
        <f>IFERROR(MAX(FILTER(소재DB_RAW!$AK$3:$AK$2000,(소재DB_RAW!$G$3:$G$2000=$D149)*ISERROR(SEARCH("drop",소재DB_RAW!$C$3:$C$2000))*(소재DB_RAW!$AK$3:$AK$2000&lt;&gt;""))),"")</f>
        <v/>
      </c>
      <c r="AB149" s="27" t="n">
        <v>2800</v>
      </c>
      <c r="AC149" s="27" t="n">
        <v>79357600</v>
      </c>
      <c r="AD149" s="27" t="n">
        <v>414400000</v>
      </c>
      <c r="AE149" s="20" t="n"/>
      <c r="AF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G149" s="19">
        <f>IF($K149="","",IF(OR(LEFT($AF149,2)="작지",LEFT($AF149,4)="소재입고"),IF(LEFT($G149,1)="S","★ 납기위험(S코드)","◆ 지연주의"),IF($AF149="정상","✓ 정상","? 확인필요")))</f>
        <v/>
      </c>
      <c r="AH149" s="21" t="n"/>
      <c r="AI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19">
        <f>IF(COUNTIF(EDW_RAW!$A$2:$A$1500,$D150)=0,"",IF(COUNTIFS(EDW_RAW!$A$2:$A$1500,$D150,EDW_RAW!$R$2:$R$1500,"&lt;&gt;~",EDW_RAW!$R$2:$R$1500,"&lt;&gt;")=COUNTIF(EDW_RAW!$A$2:$A$1500,$D150),"O",IF(COUNTIFS(EDW_RAW!$A$2:$A$1500,$D150,EDW_RAW!$R$2:$R$1500,"&lt;&gt;~",EDW_RAW!$R$2:$R$1500,"&lt;&gt;")&gt;0,"부분","X")))</f>
        <v/>
      </c>
      <c r="R150" s="19">
        <f>IF(COUNTIF(EDW_RAW!$A$2:$A$1500,$D150)=0,"",IF(COUNTIFS(EDW_RAW!$A$2:$A$1500,$D150,EDW_RAW!$U$2:$U$1500,"&lt;&gt;~",EDW_RAW!$U$2:$U$1500,"&lt;&gt;")=COUNTIF(EDW_RAW!$A$2:$A$1500,$D150),"O",IF(COUNTIFS(EDW_RAW!$A$2:$A$1500,$D150,EDW_RAW!$U$2:$U$1500,"&lt;&gt;~",EDW_RAW!$U$2:$U$1500,"&lt;&gt;")&gt;0,"부분","X")))</f>
        <v/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",TRUE,UNIQUE(FILTER(소재DB_RAW!$K$3:$K$2000,(소재DB_RAW!$G$3:$G$2000=$D150)*ISERROR(SEARCH("drop",소재DB_RAW!$C$3:$C$2000))))),"")</f>
        <v/>
      </c>
      <c r="W150" s="20" t="inlineStr">
        <is>
          <t>베트남</t>
        </is>
      </c>
      <c r="X150" s="20">
        <f>IFERROR(TEXTJOIN(" / ",TRUE,UNIQUE(FILTER(소재DB_RAW!$N$3:$N$2000,(소재DB_RAW!$G$3:$G$2000=$D150)*ISERROR(SEARCH("drop",소재DB_RAW!$C$3:$C$2000))))),"")</f>
        <v/>
      </c>
      <c r="Y150" s="26">
        <f>IFERROR(TEXTJOIN(CHAR(10),TRUE,UNIQUE(FILTER(소재DB_RAW!$N$3:$N$2000&amp;") "&amp;소재DB_RAW!$O$3:$O$2000,(소재DB_RAW!$G$3:$G$2000=$D150)*ISNUMBER(SEARCH("겉감",소재DB_RAW!$M$3:$M$2000))*ISERROR(SEARCH("drop",소재DB_RAW!$C$3:$C$2000))))),"")</f>
        <v/>
      </c>
      <c r="Z150" s="26">
        <f>IFERROR(TEXTJOIN(CHAR(10),TRUE,UNIQUE(FILTER(소재DB_RAW!$N$3:$N$2000&amp;") "&amp;소재DB_RAW!$O$3:$O$2000,(소재DB_RAW!$G$3:$G$2000=$D150)*ISNUMBER(SEARCH("안감",소재DB_RAW!$M$3:$M$2000))*ISERROR(SEARCH("drop",소재DB_RAW!$C$3:$C$2000))))),"")</f>
        <v/>
      </c>
      <c r="AA150" s="22">
        <f>IFERROR(MAX(FILTER(소재DB_RAW!$AK$3:$AK$2000,(소재DB_RAW!$G$3:$G$2000=$D150)*ISERROR(SEARCH("drop",소재DB_RAW!$C$3:$C$2000))*(소재DB_RAW!$AK$3:$AK$2000&lt;&gt;""))),"")</f>
        <v/>
      </c>
      <c r="AB150" s="27" t="n">
        <v>7700</v>
      </c>
      <c r="AC150" s="27" t="n">
        <v>173712000</v>
      </c>
      <c r="AD150" s="27" t="n">
        <v>754600000</v>
      </c>
      <c r="AE150" s="20" t="n"/>
      <c r="AF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G150" s="19">
        <f>IF($K150="","",IF(OR(LEFT($AF150,2)="작지",LEFT($AF150,4)="소재입고"),IF(LEFT($G150,1)="S","★ 납기위험(S코드)","◆ 지연주의"),IF($AF150="정상","✓ 정상","? 확인필요")))</f>
        <v/>
      </c>
      <c r="AH150" s="21" t="n"/>
      <c r="AI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19">
        <f>IF(COUNTIF(EDW_RAW!$A$2:$A$1500,$D151)=0,"",IF(COUNTIFS(EDW_RAW!$A$2:$A$1500,$D151,EDW_RAW!$R$2:$R$1500,"&lt;&gt;~",EDW_RAW!$R$2:$R$1500,"&lt;&gt;")=COUNTIF(EDW_RAW!$A$2:$A$1500,$D151),"O",IF(COUNTIFS(EDW_RAW!$A$2:$A$1500,$D151,EDW_RAW!$R$2:$R$1500,"&lt;&gt;~",EDW_RAW!$R$2:$R$1500,"&lt;&gt;")&gt;0,"부분","X")))</f>
        <v/>
      </c>
      <c r="R151" s="19">
        <f>IF(COUNTIF(EDW_RAW!$A$2:$A$1500,$D151)=0,"",IF(COUNTIFS(EDW_RAW!$A$2:$A$1500,$D151,EDW_RAW!$U$2:$U$1500,"&lt;&gt;~",EDW_RAW!$U$2:$U$1500,"&lt;&gt;")=COUNTIF(EDW_RAW!$A$2:$A$1500,$D151),"O",IF(COUNTIFS(EDW_RAW!$A$2:$A$1500,$D151,EDW_RAW!$U$2:$U$1500,"&lt;&gt;~",EDW_RAW!$U$2:$U$1500,"&lt;&gt;")&gt;0,"부분","X")))</f>
        <v/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",TRUE,UNIQUE(FILTER(소재DB_RAW!$K$3:$K$2000,(소재DB_RAW!$G$3:$G$2000=$D151)*ISERROR(SEARCH("drop",소재DB_RAW!$C$3:$C$2000))))),"")</f>
        <v/>
      </c>
      <c r="W151" s="20" t="inlineStr">
        <is>
          <t>베트남</t>
        </is>
      </c>
      <c r="X151" s="20">
        <f>IFERROR(TEXTJOIN(" / ",TRUE,UNIQUE(FILTER(소재DB_RAW!$N$3:$N$2000,(소재DB_RAW!$G$3:$G$2000=$D151)*ISERROR(SEARCH("drop",소재DB_RAW!$C$3:$C$2000))))),"")</f>
        <v/>
      </c>
      <c r="Y151" s="26">
        <f>IFERROR(TEXTJOIN(CHAR(10),TRUE,UNIQUE(FILTER(소재DB_RAW!$N$3:$N$2000&amp;") "&amp;소재DB_RAW!$O$3:$O$2000,(소재DB_RAW!$G$3:$G$2000=$D151)*ISNUMBER(SEARCH("겉감",소재DB_RAW!$M$3:$M$2000))*ISERROR(SEARCH("drop",소재DB_RAW!$C$3:$C$2000))))),"")</f>
        <v/>
      </c>
      <c r="Z151" s="26">
        <f>IFERROR(TEXTJOIN(CHAR(10),TRUE,UNIQUE(FILTER(소재DB_RAW!$N$3:$N$2000&amp;") "&amp;소재DB_RAW!$O$3:$O$2000,(소재DB_RAW!$G$3:$G$2000=$D151)*ISNUMBER(SEARCH("안감",소재DB_RAW!$M$3:$M$2000))*ISERROR(SEARCH("drop",소재DB_RAW!$C$3:$C$2000))))),"")</f>
        <v/>
      </c>
      <c r="AA151" s="22">
        <f>IFERROR(MAX(FILTER(소재DB_RAW!$AK$3:$AK$2000,(소재DB_RAW!$G$3:$G$2000=$D151)*ISERROR(SEARCH("drop",소재DB_RAW!$C$3:$C$2000))*(소재DB_RAW!$AK$3:$AK$2000&lt;&gt;""))),"")</f>
        <v/>
      </c>
      <c r="AB151" s="27" t="n">
        <v>3500</v>
      </c>
      <c r="AC151" s="27" t="n">
        <v>95494000</v>
      </c>
      <c r="AD151" s="27" t="n">
        <v>553000000</v>
      </c>
      <c r="AE151" s="20" t="inlineStr">
        <is>
          <t>3월4주</t>
        </is>
      </c>
      <c r="AF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G151" s="19">
        <f>IF($K151="","",IF(OR(LEFT($AF151,2)="작지",LEFT($AF151,4)="소재입고"),IF(LEFT($G151,1)="S","★ 납기위험(S코드)","◆ 지연주의"),IF($AF151="정상","✓ 정상","? 확인필요")))</f>
        <v/>
      </c>
      <c r="AH151" s="21" t="n"/>
      <c r="AI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19">
        <f>IF(COUNTIF(EDW_RAW!$A$2:$A$1500,$D152)=0,"",IF(COUNTIFS(EDW_RAW!$A$2:$A$1500,$D152,EDW_RAW!$R$2:$R$1500,"&lt;&gt;~",EDW_RAW!$R$2:$R$1500,"&lt;&gt;")=COUNTIF(EDW_RAW!$A$2:$A$1500,$D152),"O",IF(COUNTIFS(EDW_RAW!$A$2:$A$1500,$D152,EDW_RAW!$R$2:$R$1500,"&lt;&gt;~",EDW_RAW!$R$2:$R$1500,"&lt;&gt;")&gt;0,"부분","X")))</f>
        <v/>
      </c>
      <c r="R152" s="19">
        <f>IF(COUNTIF(EDW_RAW!$A$2:$A$1500,$D152)=0,"",IF(COUNTIFS(EDW_RAW!$A$2:$A$1500,$D152,EDW_RAW!$U$2:$U$1500,"&lt;&gt;~",EDW_RAW!$U$2:$U$1500,"&lt;&gt;")=COUNTIF(EDW_RAW!$A$2:$A$1500,$D152),"O",IF(COUNTIFS(EDW_RAW!$A$2:$A$1500,$D152,EDW_RAW!$U$2:$U$1500,"&lt;&gt;~",EDW_RAW!$U$2:$U$1500,"&lt;&gt;")&gt;0,"부분","X")))</f>
        <v/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",TRUE,UNIQUE(FILTER(소재DB_RAW!$K$3:$K$2000,(소재DB_RAW!$G$3:$G$2000=$D152)*ISERROR(SEARCH("drop",소재DB_RAW!$C$3:$C$2000))))),"")</f>
        <v/>
      </c>
      <c r="W152" s="20" t="inlineStr">
        <is>
          <t>베트남</t>
        </is>
      </c>
      <c r="X152" s="20">
        <f>IFERROR(TEXTJOIN(" / ",TRUE,UNIQUE(FILTER(소재DB_RAW!$N$3:$N$2000,(소재DB_RAW!$G$3:$G$2000=$D152)*ISERROR(SEARCH("drop",소재DB_RAW!$C$3:$C$2000))))),"")</f>
        <v/>
      </c>
      <c r="Y152" s="26">
        <f>IFERROR(TEXTJOIN(CHAR(10),TRUE,UNIQUE(FILTER(소재DB_RAW!$N$3:$N$2000&amp;") "&amp;소재DB_RAW!$O$3:$O$2000,(소재DB_RAW!$G$3:$G$2000=$D152)*ISNUMBER(SEARCH("겉감",소재DB_RAW!$M$3:$M$2000))*ISERROR(SEARCH("drop",소재DB_RAW!$C$3:$C$2000))))),"")</f>
        <v/>
      </c>
      <c r="Z152" s="26">
        <f>IFERROR(TEXTJOIN(CHAR(10),TRUE,UNIQUE(FILTER(소재DB_RAW!$N$3:$N$2000&amp;") "&amp;소재DB_RAW!$O$3:$O$2000,(소재DB_RAW!$G$3:$G$2000=$D152)*ISNUMBER(SEARCH("안감",소재DB_RAW!$M$3:$M$2000))*ISERROR(SEARCH("drop",소재DB_RAW!$C$3:$C$2000))))),"")</f>
        <v/>
      </c>
      <c r="AA152" s="22">
        <f>IFERROR(MAX(FILTER(소재DB_RAW!$AK$3:$AK$2000,(소재DB_RAW!$G$3:$G$2000=$D152)*ISERROR(SEARCH("drop",소재DB_RAW!$C$3:$C$2000))*(소재DB_RAW!$AK$3:$AK$2000&lt;&gt;""))),"")</f>
        <v/>
      </c>
      <c r="AB152" s="27" t="n">
        <v>2000</v>
      </c>
      <c r="AC152" s="27" t="n">
        <v>52978000</v>
      </c>
      <c r="AD152" s="27" t="n">
        <v>296000000</v>
      </c>
      <c r="AE152" s="20" t="inlineStr">
        <is>
          <t>3월4주</t>
        </is>
      </c>
      <c r="AF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G152" s="19">
        <f>IF($K152="","",IF(OR(LEFT($AF152,2)="작지",LEFT($AF152,4)="소재입고"),IF(LEFT($G152,1)="S","★ 납기위험(S코드)","◆ 지연주의"),IF($AF152="정상","✓ 정상","? 확인필요")))</f>
        <v/>
      </c>
      <c r="AH152" s="21" t="n"/>
      <c r="AI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19">
        <f>IF(COUNTIF(EDW_RAW!$A$2:$A$1500,$D153)=0,"",IF(COUNTIFS(EDW_RAW!$A$2:$A$1500,$D153,EDW_RAW!$R$2:$R$1500,"&lt;&gt;~",EDW_RAW!$R$2:$R$1500,"&lt;&gt;")=COUNTIF(EDW_RAW!$A$2:$A$1500,$D153),"O",IF(COUNTIFS(EDW_RAW!$A$2:$A$1500,$D153,EDW_RAW!$R$2:$R$1500,"&lt;&gt;~",EDW_RAW!$R$2:$R$1500,"&lt;&gt;")&gt;0,"부분","X")))</f>
        <v/>
      </c>
      <c r="R153" s="19">
        <f>IF(COUNTIF(EDW_RAW!$A$2:$A$1500,$D153)=0,"",IF(COUNTIFS(EDW_RAW!$A$2:$A$1500,$D153,EDW_RAW!$U$2:$U$1500,"&lt;&gt;~",EDW_RAW!$U$2:$U$1500,"&lt;&gt;")=COUNTIF(EDW_RAW!$A$2:$A$1500,$D153),"O",IF(COUNTIFS(EDW_RAW!$A$2:$A$1500,$D153,EDW_RAW!$U$2:$U$1500,"&lt;&gt;~",EDW_RAW!$U$2:$U$1500,"&lt;&gt;")&gt;0,"부분","X")))</f>
        <v/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",TRUE,UNIQUE(FILTER(소재DB_RAW!$K$3:$K$2000,(소재DB_RAW!$G$3:$G$2000=$D153)*ISERROR(SEARCH("drop",소재DB_RAW!$C$3:$C$2000))))),"")</f>
        <v/>
      </c>
      <c r="W153" s="20" t="inlineStr">
        <is>
          <t>베트남</t>
        </is>
      </c>
      <c r="X153" s="20">
        <f>IFERROR(TEXTJOIN(" / ",TRUE,UNIQUE(FILTER(소재DB_RAW!$N$3:$N$2000,(소재DB_RAW!$G$3:$G$2000=$D153)*ISERROR(SEARCH("drop",소재DB_RAW!$C$3:$C$2000))))),"")</f>
        <v/>
      </c>
      <c r="Y153" s="26">
        <f>IFERROR(TEXTJOIN(CHAR(10),TRUE,UNIQUE(FILTER(소재DB_RAW!$N$3:$N$2000&amp;") "&amp;소재DB_RAW!$O$3:$O$2000,(소재DB_RAW!$G$3:$G$2000=$D153)*ISNUMBER(SEARCH("겉감",소재DB_RAW!$M$3:$M$2000))*ISERROR(SEARCH("drop",소재DB_RAW!$C$3:$C$2000))))),"")</f>
        <v/>
      </c>
      <c r="Z153" s="26">
        <f>IFERROR(TEXTJOIN(CHAR(10),TRUE,UNIQUE(FILTER(소재DB_RAW!$N$3:$N$2000&amp;") "&amp;소재DB_RAW!$O$3:$O$2000,(소재DB_RAW!$G$3:$G$2000=$D153)*ISNUMBER(SEARCH("안감",소재DB_RAW!$M$3:$M$2000))*ISERROR(SEARCH("drop",소재DB_RAW!$C$3:$C$2000))))),"")</f>
        <v/>
      </c>
      <c r="AA153" s="22">
        <f>IFERROR(MAX(FILTER(소재DB_RAW!$AK$3:$AK$2000,(소재DB_RAW!$G$3:$G$2000=$D153)*ISERROR(SEARCH("drop",소재DB_RAW!$C$3:$C$2000))*(소재DB_RAW!$AK$3:$AK$2000&lt;&gt;""))),"")</f>
        <v/>
      </c>
      <c r="AB153" s="27" t="n">
        <v>5500</v>
      </c>
      <c r="AC153" s="27" t="n">
        <v>112744500</v>
      </c>
      <c r="AD153" s="27" t="n">
        <v>484000000</v>
      </c>
      <c r="AE153" s="20" t="inlineStr">
        <is>
          <t>3월4주</t>
        </is>
      </c>
      <c r="AF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G153" s="19">
        <f>IF($K153="","",IF(OR(LEFT($AF153,2)="작지",LEFT($AF153,4)="소재입고"),IF(LEFT($G153,1)="S","★ 납기위험(S코드)","◆ 지연주의"),IF($AF153="정상","✓ 정상","? 확인필요")))</f>
        <v/>
      </c>
      <c r="AH153" s="21" t="n"/>
      <c r="AI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19">
        <f>IF(COUNTIF(EDW_RAW!$A$2:$A$1500,$D154)=0,"",IF(COUNTIFS(EDW_RAW!$A$2:$A$1500,$D154,EDW_RAW!$R$2:$R$1500,"&lt;&gt;~",EDW_RAW!$R$2:$R$1500,"&lt;&gt;")=COUNTIF(EDW_RAW!$A$2:$A$1500,$D154),"O",IF(COUNTIFS(EDW_RAW!$A$2:$A$1500,$D154,EDW_RAW!$R$2:$R$1500,"&lt;&gt;~",EDW_RAW!$R$2:$R$1500,"&lt;&gt;")&gt;0,"부분","X")))</f>
        <v/>
      </c>
      <c r="R154" s="19">
        <f>IF(COUNTIF(EDW_RAW!$A$2:$A$1500,$D154)=0,"",IF(COUNTIFS(EDW_RAW!$A$2:$A$1500,$D154,EDW_RAW!$U$2:$U$1500,"&lt;&gt;~",EDW_RAW!$U$2:$U$1500,"&lt;&gt;")=COUNTIF(EDW_RAW!$A$2:$A$1500,$D154),"O",IF(COUNTIFS(EDW_RAW!$A$2:$A$1500,$D154,EDW_RAW!$U$2:$U$1500,"&lt;&gt;~",EDW_RAW!$U$2:$U$1500,"&lt;&gt;")&gt;0,"부분","X")))</f>
        <v/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",TRUE,UNIQUE(FILTER(소재DB_RAW!$K$3:$K$2000,(소재DB_RAW!$G$3:$G$2000=$D154)*ISERROR(SEARCH("drop",소재DB_RAW!$C$3:$C$2000))))),"")</f>
        <v/>
      </c>
      <c r="W154" s="20" t="inlineStr">
        <is>
          <t>베트남</t>
        </is>
      </c>
      <c r="X154" s="20">
        <f>IFERROR(TEXTJOIN(" / ",TRUE,UNIQUE(FILTER(소재DB_RAW!$N$3:$N$2000,(소재DB_RAW!$G$3:$G$2000=$D154)*ISERROR(SEARCH("drop",소재DB_RAW!$C$3:$C$2000))))),"")</f>
        <v/>
      </c>
      <c r="Y154" s="26">
        <f>IFERROR(TEXTJOIN(CHAR(10),TRUE,UNIQUE(FILTER(소재DB_RAW!$N$3:$N$2000&amp;") "&amp;소재DB_RAW!$O$3:$O$2000,(소재DB_RAW!$G$3:$G$2000=$D154)*ISNUMBER(SEARCH("겉감",소재DB_RAW!$M$3:$M$2000))*ISERROR(SEARCH("drop",소재DB_RAW!$C$3:$C$2000))))),"")</f>
        <v/>
      </c>
      <c r="Z154" s="26">
        <f>IFERROR(TEXTJOIN(CHAR(10),TRUE,UNIQUE(FILTER(소재DB_RAW!$N$3:$N$2000&amp;") "&amp;소재DB_RAW!$O$3:$O$2000,(소재DB_RAW!$G$3:$G$2000=$D154)*ISNUMBER(SEARCH("안감",소재DB_RAW!$M$3:$M$2000))*ISERROR(SEARCH("drop",소재DB_RAW!$C$3:$C$2000))))),"")</f>
        <v/>
      </c>
      <c r="AA154" s="22">
        <f>IFERROR(MAX(FILTER(소재DB_RAW!$AK$3:$AK$2000,(소재DB_RAW!$G$3:$G$2000=$D154)*ISERROR(SEARCH("drop",소재DB_RAW!$C$3:$C$2000))*(소재DB_RAW!$AK$3:$AK$2000&lt;&gt;""))),"")</f>
        <v/>
      </c>
      <c r="AB154" s="27" t="n">
        <v>5200</v>
      </c>
      <c r="AC154" s="27" t="n">
        <v>93600000</v>
      </c>
      <c r="AD154" s="27" t="n">
        <v>509600000</v>
      </c>
      <c r="AE154" s="20" t="inlineStr">
        <is>
          <t>3월4주</t>
        </is>
      </c>
      <c r="AF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G154" s="19">
        <f>IF($K154="","",IF(OR(LEFT($AF154,2)="작지",LEFT($AF154,4)="소재입고"),IF(LEFT($G154,1)="S","★ 납기위험(S코드)","◆ 지연주의"),IF($AF154="정상","✓ 정상","? 확인필요")))</f>
        <v/>
      </c>
      <c r="AH154" s="21" t="n"/>
      <c r="AI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19">
        <f>IF(COUNTIF(EDW_RAW!$A$2:$A$1500,$D155)=0,"",IF(COUNTIFS(EDW_RAW!$A$2:$A$1500,$D155,EDW_RAW!$R$2:$R$1500,"&lt;&gt;~",EDW_RAW!$R$2:$R$1500,"&lt;&gt;")=COUNTIF(EDW_RAW!$A$2:$A$1500,$D155),"O",IF(COUNTIFS(EDW_RAW!$A$2:$A$1500,$D155,EDW_RAW!$R$2:$R$1500,"&lt;&gt;~",EDW_RAW!$R$2:$R$1500,"&lt;&gt;")&gt;0,"부분","X")))</f>
        <v/>
      </c>
      <c r="R155" s="19">
        <f>IF(COUNTIF(EDW_RAW!$A$2:$A$1500,$D155)=0,"",IF(COUNTIFS(EDW_RAW!$A$2:$A$1500,$D155,EDW_RAW!$U$2:$U$1500,"&lt;&gt;~",EDW_RAW!$U$2:$U$1500,"&lt;&gt;")=COUNTIF(EDW_RAW!$A$2:$A$1500,$D155),"O",IF(COUNTIFS(EDW_RAW!$A$2:$A$1500,$D155,EDW_RAW!$U$2:$U$1500,"&lt;&gt;~",EDW_RAW!$U$2:$U$1500,"&lt;&gt;")&gt;0,"부분","X")))</f>
        <v/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",TRUE,UNIQUE(FILTER(소재DB_RAW!$K$3:$K$2000,(소재DB_RAW!$G$3:$G$2000=$D155)*ISERROR(SEARCH("drop",소재DB_RAW!$C$3:$C$2000))))),"")</f>
        <v/>
      </c>
      <c r="W155" s="20" t="inlineStr">
        <is>
          <t>베트남</t>
        </is>
      </c>
      <c r="X155" s="20">
        <f>IFERROR(TEXTJOIN(" / ",TRUE,UNIQUE(FILTER(소재DB_RAW!$N$3:$N$2000,(소재DB_RAW!$G$3:$G$2000=$D155)*ISERROR(SEARCH("drop",소재DB_RAW!$C$3:$C$2000))))),"")</f>
        <v/>
      </c>
      <c r="Y155" s="26">
        <f>IFERROR(TEXTJOIN(CHAR(10),TRUE,UNIQUE(FILTER(소재DB_RAW!$N$3:$N$2000&amp;") "&amp;소재DB_RAW!$O$3:$O$2000,(소재DB_RAW!$G$3:$G$2000=$D155)*ISNUMBER(SEARCH("겉감",소재DB_RAW!$M$3:$M$2000))*ISERROR(SEARCH("drop",소재DB_RAW!$C$3:$C$2000))))),"")</f>
        <v/>
      </c>
      <c r="Z155" s="26">
        <f>IFERROR(TEXTJOIN(CHAR(10),TRUE,UNIQUE(FILTER(소재DB_RAW!$N$3:$N$2000&amp;") "&amp;소재DB_RAW!$O$3:$O$2000,(소재DB_RAW!$G$3:$G$2000=$D155)*ISNUMBER(SEARCH("안감",소재DB_RAW!$M$3:$M$2000))*ISERROR(SEARCH("drop",소재DB_RAW!$C$3:$C$2000))))),"")</f>
        <v/>
      </c>
      <c r="AA155" s="22">
        <f>IFERROR(MAX(FILTER(소재DB_RAW!$AK$3:$AK$2000,(소재DB_RAW!$G$3:$G$2000=$D155)*ISERROR(SEARCH("drop",소재DB_RAW!$C$3:$C$2000))*(소재DB_RAW!$AK$3:$AK$2000&lt;&gt;""))),"")</f>
        <v/>
      </c>
      <c r="AB155" s="27" t="n">
        <v>2100</v>
      </c>
      <c r="AC155" s="27" t="n">
        <v>56966700</v>
      </c>
      <c r="AD155" s="27" t="n">
        <v>310800000</v>
      </c>
      <c r="AE155" s="20" t="inlineStr">
        <is>
          <t>3월4주</t>
        </is>
      </c>
      <c r="AF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G155" s="19">
        <f>IF($K155="","",IF(OR(LEFT($AF155,2)="작지",LEFT($AF155,4)="소재입고"),IF(LEFT($G155,1)="S","★ 납기위험(S코드)","◆ 지연주의"),IF($AF155="정상","✓ 정상","? 확인필요")))</f>
        <v/>
      </c>
      <c r="AH155" s="21" t="n"/>
      <c r="AI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19">
        <f>IF(COUNTIF(EDW_RAW!$A$2:$A$1500,$D156)=0,"",IF(COUNTIFS(EDW_RAW!$A$2:$A$1500,$D156,EDW_RAW!$R$2:$R$1500,"&lt;&gt;~",EDW_RAW!$R$2:$R$1500,"&lt;&gt;")=COUNTIF(EDW_RAW!$A$2:$A$1500,$D156),"O",IF(COUNTIFS(EDW_RAW!$A$2:$A$1500,$D156,EDW_RAW!$R$2:$R$1500,"&lt;&gt;~",EDW_RAW!$R$2:$R$1500,"&lt;&gt;")&gt;0,"부분","X")))</f>
        <v/>
      </c>
      <c r="R156" s="19">
        <f>IF(COUNTIF(EDW_RAW!$A$2:$A$1500,$D156)=0,"",IF(COUNTIFS(EDW_RAW!$A$2:$A$1500,$D156,EDW_RAW!$U$2:$U$1500,"&lt;&gt;~",EDW_RAW!$U$2:$U$1500,"&lt;&gt;")=COUNTIF(EDW_RAW!$A$2:$A$1500,$D156),"O",IF(COUNTIFS(EDW_RAW!$A$2:$A$1500,$D156,EDW_RAW!$U$2:$U$1500,"&lt;&gt;~",EDW_RAW!$U$2:$U$1500,"&lt;&gt;")&gt;0,"부분","X")))</f>
        <v/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",TRUE,UNIQUE(FILTER(소재DB_RAW!$K$3:$K$2000,(소재DB_RAW!$G$3:$G$2000=$D156)*ISERROR(SEARCH("drop",소재DB_RAW!$C$3:$C$2000))))),"")</f>
        <v/>
      </c>
      <c r="W156" s="20" t="inlineStr">
        <is>
          <t>베트남</t>
        </is>
      </c>
      <c r="X156" s="20">
        <f>IFERROR(TEXTJOIN(" / ",TRUE,UNIQUE(FILTER(소재DB_RAW!$N$3:$N$2000,(소재DB_RAW!$G$3:$G$2000=$D156)*ISERROR(SEARCH("drop",소재DB_RAW!$C$3:$C$2000))))),"")</f>
        <v/>
      </c>
      <c r="Y156" s="26">
        <f>IFERROR(TEXTJOIN(CHAR(10),TRUE,UNIQUE(FILTER(소재DB_RAW!$N$3:$N$2000&amp;") "&amp;소재DB_RAW!$O$3:$O$2000,(소재DB_RAW!$G$3:$G$2000=$D156)*ISNUMBER(SEARCH("겉감",소재DB_RAW!$M$3:$M$2000))*ISERROR(SEARCH("drop",소재DB_RAW!$C$3:$C$2000))))),"")</f>
        <v/>
      </c>
      <c r="Z156" s="26">
        <f>IFERROR(TEXTJOIN(CHAR(10),TRUE,UNIQUE(FILTER(소재DB_RAW!$N$3:$N$2000&amp;") "&amp;소재DB_RAW!$O$3:$O$2000,(소재DB_RAW!$G$3:$G$2000=$D156)*ISNUMBER(SEARCH("안감",소재DB_RAW!$M$3:$M$2000))*ISERROR(SEARCH("drop",소재DB_RAW!$C$3:$C$2000))))),"")</f>
        <v/>
      </c>
      <c r="AA156" s="22">
        <f>IFERROR(MAX(FILTER(소재DB_RAW!$AK$3:$AK$2000,(소재DB_RAW!$G$3:$G$2000=$D156)*ISERROR(SEARCH("drop",소재DB_RAW!$C$3:$C$2000))*(소재DB_RAW!$AK$3:$AK$2000&lt;&gt;""))),"")</f>
        <v/>
      </c>
      <c r="AB156" s="27" t="n">
        <v>1800</v>
      </c>
      <c r="AC156" s="27" t="n">
        <v>36117000</v>
      </c>
      <c r="AD156" s="27" t="n">
        <v>176400000</v>
      </c>
      <c r="AE156" s="20" t="inlineStr">
        <is>
          <t>3월 4주</t>
        </is>
      </c>
      <c r="AF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G156" s="19">
        <f>IF($K156="","",IF(OR(LEFT($AF156,2)="작지",LEFT($AF156,4)="소재입고"),IF(LEFT($G156,1)="S","★ 납기위험(S코드)","◆ 지연주의"),IF($AF156="정상","✓ 정상","? 확인필요")))</f>
        <v/>
      </c>
      <c r="AH156" s="21" t="n"/>
      <c r="AI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19">
        <f>IF(COUNTIF(EDW_RAW!$A$2:$A$1500,$D157)=0,"",IF(COUNTIFS(EDW_RAW!$A$2:$A$1500,$D157,EDW_RAW!$R$2:$R$1500,"&lt;&gt;~",EDW_RAW!$R$2:$R$1500,"&lt;&gt;")=COUNTIF(EDW_RAW!$A$2:$A$1500,$D157),"O",IF(COUNTIFS(EDW_RAW!$A$2:$A$1500,$D157,EDW_RAW!$R$2:$R$1500,"&lt;&gt;~",EDW_RAW!$R$2:$R$1500,"&lt;&gt;")&gt;0,"부분","X")))</f>
        <v/>
      </c>
      <c r="R157" s="19">
        <f>IF(COUNTIF(EDW_RAW!$A$2:$A$1500,$D157)=0,"",IF(COUNTIFS(EDW_RAW!$A$2:$A$1500,$D157,EDW_RAW!$U$2:$U$1500,"&lt;&gt;~",EDW_RAW!$U$2:$U$1500,"&lt;&gt;")=COUNTIF(EDW_RAW!$A$2:$A$1500,$D157),"O",IF(COUNTIFS(EDW_RAW!$A$2:$A$1500,$D157,EDW_RAW!$U$2:$U$1500,"&lt;&gt;~",EDW_RAW!$U$2:$U$1500,"&lt;&gt;")&gt;0,"부분","X")))</f>
        <v/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",TRUE,UNIQUE(FILTER(소재DB_RAW!$K$3:$K$2000,(소재DB_RAW!$G$3:$G$2000=$D157)*ISERROR(SEARCH("drop",소재DB_RAW!$C$3:$C$2000))))),"")</f>
        <v/>
      </c>
      <c r="W157" s="20" t="inlineStr">
        <is>
          <t>인도네시아</t>
        </is>
      </c>
      <c r="X157" s="20">
        <f>IFERROR(TEXTJOIN(" / ",TRUE,UNIQUE(FILTER(소재DB_RAW!$N$3:$N$2000,(소재DB_RAW!$G$3:$G$2000=$D157)*ISERROR(SEARCH("drop",소재DB_RAW!$C$3:$C$2000))))),"")</f>
        <v/>
      </c>
      <c r="Y157" s="26">
        <f>IFERROR(TEXTJOIN(CHAR(10),TRUE,UNIQUE(FILTER(소재DB_RAW!$N$3:$N$2000&amp;") "&amp;소재DB_RAW!$O$3:$O$2000,(소재DB_RAW!$G$3:$G$2000=$D157)*ISNUMBER(SEARCH("겉감",소재DB_RAW!$M$3:$M$2000))*ISERROR(SEARCH("drop",소재DB_RAW!$C$3:$C$2000))))),"")</f>
        <v/>
      </c>
      <c r="Z157" s="26">
        <f>IFERROR(TEXTJOIN(CHAR(10),TRUE,UNIQUE(FILTER(소재DB_RAW!$N$3:$N$2000&amp;") "&amp;소재DB_RAW!$O$3:$O$2000,(소재DB_RAW!$G$3:$G$2000=$D157)*ISNUMBER(SEARCH("안감",소재DB_RAW!$M$3:$M$2000))*ISERROR(SEARCH("drop",소재DB_RAW!$C$3:$C$2000))))),"")</f>
        <v/>
      </c>
      <c r="AA157" s="22">
        <f>IFERROR(MAX(FILTER(소재DB_RAW!$AK$3:$AK$2000,(소재DB_RAW!$G$3:$G$2000=$D157)*ISERROR(SEARCH("drop",소재DB_RAW!$C$3:$C$2000))*(소재DB_RAW!$AK$3:$AK$2000&lt;&gt;""))),"")</f>
        <v/>
      </c>
      <c r="AB157" s="27" t="n">
        <v>6600</v>
      </c>
      <c r="AC157" s="27" t="n">
        <v>129300000</v>
      </c>
      <c r="AD157" s="27" t="n">
        <v>646800000</v>
      </c>
      <c r="AE157" s="20" t="inlineStr">
        <is>
          <t>3월4주</t>
        </is>
      </c>
      <c r="AF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G157" s="19">
        <f>IF($K157="","",IF(OR(LEFT($AF157,2)="작지",LEFT($AF157,4)="소재입고"),IF(LEFT($G157,1)="S","★ 납기위험(S코드)","◆ 지연주의"),IF($AF157="정상","✓ 정상","? 확인필요")))</f>
        <v/>
      </c>
      <c r="AH157" s="21" t="n"/>
      <c r="AI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19">
        <f>IF(COUNTIF(EDW_RAW!$A$2:$A$1500,$D158)=0,"",IF(COUNTIFS(EDW_RAW!$A$2:$A$1500,$D158,EDW_RAW!$R$2:$R$1500,"&lt;&gt;~",EDW_RAW!$R$2:$R$1500,"&lt;&gt;")=COUNTIF(EDW_RAW!$A$2:$A$1500,$D158),"O",IF(COUNTIFS(EDW_RAW!$A$2:$A$1500,$D158,EDW_RAW!$R$2:$R$1500,"&lt;&gt;~",EDW_RAW!$R$2:$R$1500,"&lt;&gt;")&gt;0,"부분","X")))</f>
        <v/>
      </c>
      <c r="R158" s="19">
        <f>IF(COUNTIF(EDW_RAW!$A$2:$A$1500,$D158)=0,"",IF(COUNTIFS(EDW_RAW!$A$2:$A$1500,$D158,EDW_RAW!$U$2:$U$1500,"&lt;&gt;~",EDW_RAW!$U$2:$U$1500,"&lt;&gt;")=COUNTIF(EDW_RAW!$A$2:$A$1500,$D158),"O",IF(COUNTIFS(EDW_RAW!$A$2:$A$1500,$D158,EDW_RAW!$U$2:$U$1500,"&lt;&gt;~",EDW_RAW!$U$2:$U$1500,"&lt;&gt;")&gt;0,"부분","X")))</f>
        <v/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",TRUE,UNIQUE(FILTER(소재DB_RAW!$K$3:$K$2000,(소재DB_RAW!$G$3:$G$2000=$D158)*ISERROR(SEARCH("drop",소재DB_RAW!$C$3:$C$2000))))),"")</f>
        <v/>
      </c>
      <c r="W158" s="20" t="inlineStr">
        <is>
          <t>베트남</t>
        </is>
      </c>
      <c r="X158" s="20">
        <f>IFERROR(TEXTJOIN(" / ",TRUE,UNIQUE(FILTER(소재DB_RAW!$N$3:$N$2000,(소재DB_RAW!$G$3:$G$2000=$D158)*ISERROR(SEARCH("drop",소재DB_RAW!$C$3:$C$2000))))),"")</f>
        <v/>
      </c>
      <c r="Y158" s="26">
        <f>IFERROR(TEXTJOIN(CHAR(10),TRUE,UNIQUE(FILTER(소재DB_RAW!$N$3:$N$2000&amp;") "&amp;소재DB_RAW!$O$3:$O$2000,(소재DB_RAW!$G$3:$G$2000=$D158)*ISNUMBER(SEARCH("겉감",소재DB_RAW!$M$3:$M$2000))*ISERROR(SEARCH("drop",소재DB_RAW!$C$3:$C$2000))))),"")</f>
        <v/>
      </c>
      <c r="Z158" s="26">
        <f>IFERROR(TEXTJOIN(CHAR(10),TRUE,UNIQUE(FILTER(소재DB_RAW!$N$3:$N$2000&amp;") "&amp;소재DB_RAW!$O$3:$O$2000,(소재DB_RAW!$G$3:$G$2000=$D158)*ISNUMBER(SEARCH("안감",소재DB_RAW!$M$3:$M$2000))*ISERROR(SEARCH("drop",소재DB_RAW!$C$3:$C$2000))))),"")</f>
        <v/>
      </c>
      <c r="AA158" s="22">
        <f>IFERROR(MAX(FILTER(소재DB_RAW!$AK$3:$AK$2000,(소재DB_RAW!$G$3:$G$2000=$D158)*ISERROR(SEARCH("drop",소재DB_RAW!$C$3:$C$2000))*(소재DB_RAW!$AK$3:$AK$2000&lt;&gt;""))),"")</f>
        <v/>
      </c>
      <c r="AB158" s="27" t="n">
        <v>10500</v>
      </c>
      <c r="AC158" s="27" t="n">
        <v>273000000</v>
      </c>
      <c r="AD158" s="27" t="n">
        <v>1659000000</v>
      </c>
      <c r="AE158" s="20" t="inlineStr">
        <is>
          <t>3월4주</t>
        </is>
      </c>
      <c r="AF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G158" s="19">
        <f>IF($K158="","",IF(OR(LEFT($AF158,2)="작지",LEFT($AF158,4)="소재입고"),IF(LEFT($G158,1)="S","★ 납기위험(S코드)","◆ 지연주의"),IF($AF158="정상","✓ 정상","? 확인필요")))</f>
        <v/>
      </c>
      <c r="AH158" s="21" t="n"/>
      <c r="AI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19">
        <f>IF(COUNTIF(EDW_RAW!$A$2:$A$1500,$D159)=0,"",IF(COUNTIFS(EDW_RAW!$A$2:$A$1500,$D159,EDW_RAW!$R$2:$R$1500,"&lt;&gt;~",EDW_RAW!$R$2:$R$1500,"&lt;&gt;")=COUNTIF(EDW_RAW!$A$2:$A$1500,$D159),"O",IF(COUNTIFS(EDW_RAW!$A$2:$A$1500,$D159,EDW_RAW!$R$2:$R$1500,"&lt;&gt;~",EDW_RAW!$R$2:$R$1500,"&lt;&gt;")&gt;0,"부분","X")))</f>
        <v/>
      </c>
      <c r="R159" s="19">
        <f>IF(COUNTIF(EDW_RAW!$A$2:$A$1500,$D159)=0,"",IF(COUNTIFS(EDW_RAW!$A$2:$A$1500,$D159,EDW_RAW!$U$2:$U$1500,"&lt;&gt;~",EDW_RAW!$U$2:$U$1500,"&lt;&gt;")=COUNTIF(EDW_RAW!$A$2:$A$1500,$D159),"O",IF(COUNTIFS(EDW_RAW!$A$2:$A$1500,$D159,EDW_RAW!$U$2:$U$1500,"&lt;&gt;~",EDW_RAW!$U$2:$U$1500,"&lt;&gt;")&gt;0,"부분","X")))</f>
        <v/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",TRUE,UNIQUE(FILTER(소재DB_RAW!$K$3:$K$2000,(소재DB_RAW!$G$3:$G$2000=$D159)*ISERROR(SEARCH("drop",소재DB_RAW!$C$3:$C$2000))))),"")</f>
        <v/>
      </c>
      <c r="W159" s="20" t="inlineStr">
        <is>
          <t>베트남</t>
        </is>
      </c>
      <c r="X159" s="20">
        <f>IFERROR(TEXTJOIN(" / ",TRUE,UNIQUE(FILTER(소재DB_RAW!$N$3:$N$2000,(소재DB_RAW!$G$3:$G$2000=$D159)*ISERROR(SEARCH("drop",소재DB_RAW!$C$3:$C$2000))))),"")</f>
        <v/>
      </c>
      <c r="Y159" s="26">
        <f>IFERROR(TEXTJOIN(CHAR(10),TRUE,UNIQUE(FILTER(소재DB_RAW!$N$3:$N$2000&amp;") "&amp;소재DB_RAW!$O$3:$O$2000,(소재DB_RAW!$G$3:$G$2000=$D159)*ISNUMBER(SEARCH("겉감",소재DB_RAW!$M$3:$M$2000))*ISERROR(SEARCH("drop",소재DB_RAW!$C$3:$C$2000))))),"")</f>
        <v/>
      </c>
      <c r="Z159" s="26">
        <f>IFERROR(TEXTJOIN(CHAR(10),TRUE,UNIQUE(FILTER(소재DB_RAW!$N$3:$N$2000&amp;") "&amp;소재DB_RAW!$O$3:$O$2000,(소재DB_RAW!$G$3:$G$2000=$D159)*ISNUMBER(SEARCH("안감",소재DB_RAW!$M$3:$M$2000))*ISERROR(SEARCH("drop",소재DB_RAW!$C$3:$C$2000))))),"")</f>
        <v/>
      </c>
      <c r="AA159" s="22">
        <f>IFERROR(MAX(FILTER(소재DB_RAW!$AK$3:$AK$2000,(소재DB_RAW!$G$3:$G$2000=$D159)*ISERROR(SEARCH("drop",소재DB_RAW!$C$3:$C$2000))*(소재DB_RAW!$AK$3:$AK$2000&lt;&gt;""))),"")</f>
        <v/>
      </c>
      <c r="AB159" s="27" t="n">
        <v>2600</v>
      </c>
      <c r="AC159" s="27" t="n">
        <v>80600000</v>
      </c>
      <c r="AD159" s="27" t="n">
        <v>436800000</v>
      </c>
      <c r="AE159" s="20" t="inlineStr">
        <is>
          <t>3월4주</t>
        </is>
      </c>
      <c r="AF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G159" s="19">
        <f>IF($K159="","",IF(OR(LEFT($AF159,2)="작지",LEFT($AF159,4)="소재입고"),IF(LEFT($G159,1)="S","★ 납기위험(S코드)","◆ 지연주의"),IF($AF159="정상","✓ 정상","? 확인필요")))</f>
        <v/>
      </c>
      <c r="AH159" s="21" t="n"/>
      <c r="AI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19">
        <f>IF(COUNTIF(EDW_RAW!$A$2:$A$1500,$D160)=0,"",IF(COUNTIFS(EDW_RAW!$A$2:$A$1500,$D160,EDW_RAW!$R$2:$R$1500,"&lt;&gt;~",EDW_RAW!$R$2:$R$1500,"&lt;&gt;")=COUNTIF(EDW_RAW!$A$2:$A$1500,$D160),"O",IF(COUNTIFS(EDW_RAW!$A$2:$A$1500,$D160,EDW_RAW!$R$2:$R$1500,"&lt;&gt;~",EDW_RAW!$R$2:$R$1500,"&lt;&gt;")&gt;0,"부분","X")))</f>
        <v/>
      </c>
      <c r="R160" s="19">
        <f>IF(COUNTIF(EDW_RAW!$A$2:$A$1500,$D160)=0,"",IF(COUNTIFS(EDW_RAW!$A$2:$A$1500,$D160,EDW_RAW!$U$2:$U$1500,"&lt;&gt;~",EDW_RAW!$U$2:$U$1500,"&lt;&gt;")=COUNTIF(EDW_RAW!$A$2:$A$1500,$D160),"O",IF(COUNTIFS(EDW_RAW!$A$2:$A$1500,$D160,EDW_RAW!$U$2:$U$1500,"&lt;&gt;~",EDW_RAW!$U$2:$U$1500,"&lt;&gt;")&gt;0,"부분","X")))</f>
        <v/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",TRUE,UNIQUE(FILTER(소재DB_RAW!$K$3:$K$2000,(소재DB_RAW!$G$3:$G$2000=$D160)*ISERROR(SEARCH("drop",소재DB_RAW!$C$3:$C$2000))))),"")</f>
        <v/>
      </c>
      <c r="W160" s="20" t="inlineStr">
        <is>
          <t>베트남</t>
        </is>
      </c>
      <c r="X160" s="20">
        <f>IFERROR(TEXTJOIN(" / ",TRUE,UNIQUE(FILTER(소재DB_RAW!$N$3:$N$2000,(소재DB_RAW!$G$3:$G$2000=$D160)*ISERROR(SEARCH("drop",소재DB_RAW!$C$3:$C$2000))))),"")</f>
        <v/>
      </c>
      <c r="Y160" s="26">
        <f>IFERROR(TEXTJOIN(CHAR(10),TRUE,UNIQUE(FILTER(소재DB_RAW!$N$3:$N$2000&amp;") "&amp;소재DB_RAW!$O$3:$O$2000,(소재DB_RAW!$G$3:$G$2000=$D160)*ISNUMBER(SEARCH("겉감",소재DB_RAW!$M$3:$M$2000))*ISERROR(SEARCH("drop",소재DB_RAW!$C$3:$C$2000))))),"")</f>
        <v/>
      </c>
      <c r="Z160" s="26">
        <f>IFERROR(TEXTJOIN(CHAR(10),TRUE,UNIQUE(FILTER(소재DB_RAW!$N$3:$N$2000&amp;") "&amp;소재DB_RAW!$O$3:$O$2000,(소재DB_RAW!$G$3:$G$2000=$D160)*ISNUMBER(SEARCH("안감",소재DB_RAW!$M$3:$M$2000))*ISERROR(SEARCH("drop",소재DB_RAW!$C$3:$C$2000))))),"")</f>
        <v/>
      </c>
      <c r="AA160" s="22">
        <f>IFERROR(MAX(FILTER(소재DB_RAW!$AK$3:$AK$2000,(소재DB_RAW!$G$3:$G$2000=$D160)*ISERROR(SEARCH("drop",소재DB_RAW!$C$3:$C$2000))*(소재DB_RAW!$AK$3:$AK$2000&lt;&gt;""))),"")</f>
        <v/>
      </c>
      <c r="AB160" s="27" t="n">
        <v>2000</v>
      </c>
      <c r="AC160" s="27" t="n">
        <v>37006000</v>
      </c>
      <c r="AD160" s="27" t="n">
        <v>196000000</v>
      </c>
      <c r="AE160" s="20" t="n"/>
      <c r="AF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G160" s="19">
        <f>IF($K160="","",IF(OR(LEFT($AF160,2)="작지",LEFT($AF160,4)="소재입고"),IF(LEFT($G160,1)="S","★ 납기위험(S코드)","◆ 지연주의"),IF($AF160="정상","✓ 정상","? 확인필요")))</f>
        <v/>
      </c>
      <c r="AH160" s="21" t="n"/>
      <c r="AI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19">
        <f>IF(COUNTIF(EDW_RAW!$A$2:$A$1500,$D161)=0,"",IF(COUNTIFS(EDW_RAW!$A$2:$A$1500,$D161,EDW_RAW!$R$2:$R$1500,"&lt;&gt;~",EDW_RAW!$R$2:$R$1500,"&lt;&gt;")=COUNTIF(EDW_RAW!$A$2:$A$1500,$D161),"O",IF(COUNTIFS(EDW_RAW!$A$2:$A$1500,$D161,EDW_RAW!$R$2:$R$1500,"&lt;&gt;~",EDW_RAW!$R$2:$R$1500,"&lt;&gt;")&gt;0,"부분","X")))</f>
        <v/>
      </c>
      <c r="R161" s="19">
        <f>IF(COUNTIF(EDW_RAW!$A$2:$A$1500,$D161)=0,"",IF(COUNTIFS(EDW_RAW!$A$2:$A$1500,$D161,EDW_RAW!$U$2:$U$1500,"&lt;&gt;~",EDW_RAW!$U$2:$U$1500,"&lt;&gt;")=COUNTIF(EDW_RAW!$A$2:$A$1500,$D161),"O",IF(COUNTIFS(EDW_RAW!$A$2:$A$1500,$D161,EDW_RAW!$U$2:$U$1500,"&lt;&gt;~",EDW_RAW!$U$2:$U$1500,"&lt;&gt;")&gt;0,"부분","X")))</f>
        <v/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",TRUE,UNIQUE(FILTER(소재DB_RAW!$K$3:$K$2000,(소재DB_RAW!$G$3:$G$2000=$D161)*ISERROR(SEARCH("drop",소재DB_RAW!$C$3:$C$2000))))),"")</f>
        <v/>
      </c>
      <c r="W161" s="20" t="inlineStr">
        <is>
          <t>베트남</t>
        </is>
      </c>
      <c r="X161" s="20">
        <f>IFERROR(TEXTJOIN(" / ",TRUE,UNIQUE(FILTER(소재DB_RAW!$N$3:$N$2000,(소재DB_RAW!$G$3:$G$2000=$D161)*ISERROR(SEARCH("drop",소재DB_RAW!$C$3:$C$2000))))),"")</f>
        <v/>
      </c>
      <c r="Y161" s="26">
        <f>IFERROR(TEXTJOIN(CHAR(10),TRUE,UNIQUE(FILTER(소재DB_RAW!$N$3:$N$2000&amp;") "&amp;소재DB_RAW!$O$3:$O$2000,(소재DB_RAW!$G$3:$G$2000=$D161)*ISNUMBER(SEARCH("겉감",소재DB_RAW!$M$3:$M$2000))*ISERROR(SEARCH("drop",소재DB_RAW!$C$3:$C$2000))))),"")</f>
        <v/>
      </c>
      <c r="Z161" s="26">
        <f>IFERROR(TEXTJOIN(CHAR(10),TRUE,UNIQUE(FILTER(소재DB_RAW!$N$3:$N$2000&amp;") "&amp;소재DB_RAW!$O$3:$O$2000,(소재DB_RAW!$G$3:$G$2000=$D161)*ISNUMBER(SEARCH("안감",소재DB_RAW!$M$3:$M$2000))*ISERROR(SEARCH("drop",소재DB_RAW!$C$3:$C$2000))))),"")</f>
        <v/>
      </c>
      <c r="AA161" s="22">
        <f>IFERROR(MAX(FILTER(소재DB_RAW!$AK$3:$AK$2000,(소재DB_RAW!$G$3:$G$2000=$D161)*ISERROR(SEARCH("drop",소재DB_RAW!$C$3:$C$2000))*(소재DB_RAW!$AK$3:$AK$2000&lt;&gt;""))),"")</f>
        <v/>
      </c>
      <c r="AB161" s="27" t="n">
        <v>0</v>
      </c>
      <c r="AC161" s="27" t="n">
        <v>10993250</v>
      </c>
      <c r="AD161" s="27" t="n">
        <v>32000000</v>
      </c>
      <c r="AE161" s="20" t="n"/>
      <c r="AF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G161" s="19">
        <f>IF($K161="","",IF(OR(LEFT($AF161,2)="작지",LEFT($AF161,4)="소재입고"),IF(LEFT($G161,1)="S","★ 납기위험(S코드)","◆ 지연주의"),IF($AF161="정상","✓ 정상","? 확인필요")))</f>
        <v/>
      </c>
      <c r="AH161" s="21" t="n"/>
      <c r="AI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19">
        <f>IF(COUNTIF(EDW_RAW!$A$2:$A$1500,$D162)=0,"",IF(COUNTIFS(EDW_RAW!$A$2:$A$1500,$D162,EDW_RAW!$R$2:$R$1500,"&lt;&gt;~",EDW_RAW!$R$2:$R$1500,"&lt;&gt;")=COUNTIF(EDW_RAW!$A$2:$A$1500,$D162),"O",IF(COUNTIFS(EDW_RAW!$A$2:$A$1500,$D162,EDW_RAW!$R$2:$R$1500,"&lt;&gt;~",EDW_RAW!$R$2:$R$1500,"&lt;&gt;")&gt;0,"부분","X")))</f>
        <v/>
      </c>
      <c r="R162" s="19">
        <f>IF(COUNTIF(EDW_RAW!$A$2:$A$1500,$D162)=0,"",IF(COUNTIFS(EDW_RAW!$A$2:$A$1500,$D162,EDW_RAW!$U$2:$U$1500,"&lt;&gt;~",EDW_RAW!$U$2:$U$1500,"&lt;&gt;")=COUNTIF(EDW_RAW!$A$2:$A$1500,$D162),"O",IF(COUNTIFS(EDW_RAW!$A$2:$A$1500,$D162,EDW_RAW!$U$2:$U$1500,"&lt;&gt;~",EDW_RAW!$U$2:$U$1500,"&lt;&gt;")&gt;0,"부분","X")))</f>
        <v/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",TRUE,UNIQUE(FILTER(소재DB_RAW!$K$3:$K$2000,(소재DB_RAW!$G$3:$G$2000=$D162)*ISERROR(SEARCH("drop",소재DB_RAW!$C$3:$C$2000))))),"")</f>
        <v/>
      </c>
      <c r="W162" s="20" t="inlineStr">
        <is>
          <t>인도네시아</t>
        </is>
      </c>
      <c r="X162" s="20">
        <f>IFERROR(TEXTJOIN(" / ",TRUE,UNIQUE(FILTER(소재DB_RAW!$N$3:$N$2000,(소재DB_RAW!$G$3:$G$2000=$D162)*ISERROR(SEARCH("drop",소재DB_RAW!$C$3:$C$2000))))),"")</f>
        <v/>
      </c>
      <c r="Y162" s="26">
        <f>IFERROR(TEXTJOIN(CHAR(10),TRUE,UNIQUE(FILTER(소재DB_RAW!$N$3:$N$2000&amp;") "&amp;소재DB_RAW!$O$3:$O$2000,(소재DB_RAW!$G$3:$G$2000=$D162)*ISNUMBER(SEARCH("겉감",소재DB_RAW!$M$3:$M$2000))*ISERROR(SEARCH("drop",소재DB_RAW!$C$3:$C$2000))))),"")</f>
        <v/>
      </c>
      <c r="Z162" s="26">
        <f>IFERROR(TEXTJOIN(CHAR(10),TRUE,UNIQUE(FILTER(소재DB_RAW!$N$3:$N$2000&amp;") "&amp;소재DB_RAW!$O$3:$O$2000,(소재DB_RAW!$G$3:$G$2000=$D162)*ISNUMBER(SEARCH("안감",소재DB_RAW!$M$3:$M$2000))*ISERROR(SEARCH("drop",소재DB_RAW!$C$3:$C$2000))))),"")</f>
        <v/>
      </c>
      <c r="AA162" s="22">
        <f>IFERROR(MAX(FILTER(소재DB_RAW!$AK$3:$AK$2000,(소재DB_RAW!$G$3:$G$2000=$D162)*ISERROR(SEARCH("drop",소재DB_RAW!$C$3:$C$2000))*(소재DB_RAW!$AK$3:$AK$2000&lt;&gt;""))),"")</f>
        <v/>
      </c>
      <c r="AB162" s="27" t="n">
        <v>850</v>
      </c>
      <c r="AC162" s="27" t="n">
        <v>34453050</v>
      </c>
      <c r="AD162" s="27" t="n">
        <v>142800000</v>
      </c>
      <c r="AE162" s="20" t="inlineStr">
        <is>
          <t>1월3주</t>
        </is>
      </c>
      <c r="AF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G162" s="19">
        <f>IF($K162="","",IF(OR(LEFT($AF162,2)="작지",LEFT($AF162,4)="소재입고"),IF(LEFT($G162,1)="S","★ 납기위험(S코드)","◆ 지연주의"),IF($AF162="정상","✓ 정상","? 확인필요")))</f>
        <v/>
      </c>
      <c r="AH162" s="21" t="n"/>
      <c r="AI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19">
        <f>IF(COUNTIF(EDW_RAW!$A$2:$A$1500,$D163)=0,"",IF(COUNTIFS(EDW_RAW!$A$2:$A$1500,$D163,EDW_RAW!$R$2:$R$1500,"&lt;&gt;~",EDW_RAW!$R$2:$R$1500,"&lt;&gt;")=COUNTIF(EDW_RAW!$A$2:$A$1500,$D163),"O",IF(COUNTIFS(EDW_RAW!$A$2:$A$1500,$D163,EDW_RAW!$R$2:$R$1500,"&lt;&gt;~",EDW_RAW!$R$2:$R$1500,"&lt;&gt;")&gt;0,"부분","X")))</f>
        <v/>
      </c>
      <c r="R163" s="19">
        <f>IF(COUNTIF(EDW_RAW!$A$2:$A$1500,$D163)=0,"",IF(COUNTIFS(EDW_RAW!$A$2:$A$1500,$D163,EDW_RAW!$U$2:$U$1500,"&lt;&gt;~",EDW_RAW!$U$2:$U$1500,"&lt;&gt;")=COUNTIF(EDW_RAW!$A$2:$A$1500,$D163),"O",IF(COUNTIFS(EDW_RAW!$A$2:$A$1500,$D163,EDW_RAW!$U$2:$U$1500,"&lt;&gt;~",EDW_RAW!$U$2:$U$1500,"&lt;&gt;")&gt;0,"부분","X")))</f>
        <v/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",TRUE,UNIQUE(FILTER(소재DB_RAW!$K$3:$K$2000,(소재DB_RAW!$G$3:$G$2000=$D163)*ISERROR(SEARCH("drop",소재DB_RAW!$C$3:$C$2000))))),"")</f>
        <v/>
      </c>
      <c r="W163" s="20" t="inlineStr">
        <is>
          <t>인도네시아</t>
        </is>
      </c>
      <c r="X163" s="20">
        <f>IFERROR(TEXTJOIN(" / ",TRUE,UNIQUE(FILTER(소재DB_RAW!$N$3:$N$2000,(소재DB_RAW!$G$3:$G$2000=$D163)*ISERROR(SEARCH("drop",소재DB_RAW!$C$3:$C$2000))))),"")</f>
        <v/>
      </c>
      <c r="Y163" s="26">
        <f>IFERROR(TEXTJOIN(CHAR(10),TRUE,UNIQUE(FILTER(소재DB_RAW!$N$3:$N$2000&amp;") "&amp;소재DB_RAW!$O$3:$O$2000,(소재DB_RAW!$G$3:$G$2000=$D163)*ISNUMBER(SEARCH("겉감",소재DB_RAW!$M$3:$M$2000))*ISERROR(SEARCH("drop",소재DB_RAW!$C$3:$C$2000))))),"")</f>
        <v/>
      </c>
      <c r="Z163" s="26">
        <f>IFERROR(TEXTJOIN(CHAR(10),TRUE,UNIQUE(FILTER(소재DB_RAW!$N$3:$N$2000&amp;") "&amp;소재DB_RAW!$O$3:$O$2000,(소재DB_RAW!$G$3:$G$2000=$D163)*ISNUMBER(SEARCH("안감",소재DB_RAW!$M$3:$M$2000))*ISERROR(SEARCH("drop",소재DB_RAW!$C$3:$C$2000))))),"")</f>
        <v/>
      </c>
      <c r="AA163" s="22">
        <f>IFERROR(MAX(FILTER(소재DB_RAW!$AK$3:$AK$2000,(소재DB_RAW!$G$3:$G$2000=$D163)*ISERROR(SEARCH("drop",소재DB_RAW!$C$3:$C$2000))*(소재DB_RAW!$AK$3:$AK$2000&lt;&gt;""))),"")</f>
        <v/>
      </c>
      <c r="AB163" s="27" t="n">
        <v>70000</v>
      </c>
      <c r="AC163" s="27" t="n">
        <v>644000000</v>
      </c>
      <c r="AD163" s="27" t="n">
        <v>4760000000</v>
      </c>
      <c r="AE163" s="20" t="n"/>
      <c r="AF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G163" s="19">
        <f>IF($K163="","",IF(OR(LEFT($AF163,2)="작지",LEFT($AF163,4)="소재입고"),IF(LEFT($G163,1)="S","★ 납기위험(S코드)","◆ 지연주의"),IF($AF163="정상","✓ 정상","? 확인필요")))</f>
        <v/>
      </c>
      <c r="AH163" s="21" t="n"/>
      <c r="AI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19">
        <f>IF(COUNTIF(EDW_RAW!$A$2:$A$1500,$D164)=0,"",IF(COUNTIFS(EDW_RAW!$A$2:$A$1500,$D164,EDW_RAW!$R$2:$R$1500,"&lt;&gt;~",EDW_RAW!$R$2:$R$1500,"&lt;&gt;")=COUNTIF(EDW_RAW!$A$2:$A$1500,$D164),"O",IF(COUNTIFS(EDW_RAW!$A$2:$A$1500,$D164,EDW_RAW!$R$2:$R$1500,"&lt;&gt;~",EDW_RAW!$R$2:$R$1500,"&lt;&gt;")&gt;0,"부분","X")))</f>
        <v/>
      </c>
      <c r="R164" s="19">
        <f>IF(COUNTIF(EDW_RAW!$A$2:$A$1500,$D164)=0,"",IF(COUNTIFS(EDW_RAW!$A$2:$A$1500,$D164,EDW_RAW!$U$2:$U$1500,"&lt;&gt;~",EDW_RAW!$U$2:$U$1500,"&lt;&gt;")=COUNTIF(EDW_RAW!$A$2:$A$1500,$D164),"O",IF(COUNTIFS(EDW_RAW!$A$2:$A$1500,$D164,EDW_RAW!$U$2:$U$1500,"&lt;&gt;~",EDW_RAW!$U$2:$U$1500,"&lt;&gt;")&gt;0,"부분","X")))</f>
        <v/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",TRUE,UNIQUE(FILTER(소재DB_RAW!$K$3:$K$2000,(소재DB_RAW!$G$3:$G$2000=$D164)*ISERROR(SEARCH("drop",소재DB_RAW!$C$3:$C$2000))))),"")</f>
        <v/>
      </c>
      <c r="W164" s="20" t="inlineStr">
        <is>
          <t>인도네시아</t>
        </is>
      </c>
      <c r="X164" s="20">
        <f>IFERROR(TEXTJOIN(" / ",TRUE,UNIQUE(FILTER(소재DB_RAW!$N$3:$N$2000,(소재DB_RAW!$G$3:$G$2000=$D164)*ISERROR(SEARCH("drop",소재DB_RAW!$C$3:$C$2000))))),"")</f>
        <v/>
      </c>
      <c r="Y164" s="26">
        <f>IFERROR(TEXTJOIN(CHAR(10),TRUE,UNIQUE(FILTER(소재DB_RAW!$N$3:$N$2000&amp;") "&amp;소재DB_RAW!$O$3:$O$2000,(소재DB_RAW!$G$3:$G$2000=$D164)*ISNUMBER(SEARCH("겉감",소재DB_RAW!$M$3:$M$2000))*ISERROR(SEARCH("drop",소재DB_RAW!$C$3:$C$2000))))),"")</f>
        <v/>
      </c>
      <c r="Z164" s="26">
        <f>IFERROR(TEXTJOIN(CHAR(10),TRUE,UNIQUE(FILTER(소재DB_RAW!$N$3:$N$2000&amp;") "&amp;소재DB_RAW!$O$3:$O$2000,(소재DB_RAW!$G$3:$G$2000=$D164)*ISNUMBER(SEARCH("안감",소재DB_RAW!$M$3:$M$2000))*ISERROR(SEARCH("drop",소재DB_RAW!$C$3:$C$2000))))),"")</f>
        <v/>
      </c>
      <c r="AA164" s="22">
        <f>IFERROR(MAX(FILTER(소재DB_RAW!$AK$3:$AK$2000,(소재DB_RAW!$G$3:$G$2000=$D164)*ISERROR(SEARCH("drop",소재DB_RAW!$C$3:$C$2000))*(소재DB_RAW!$AK$3:$AK$2000&lt;&gt;""))),"")</f>
        <v/>
      </c>
      <c r="AB164" s="27" t="n">
        <v>24000</v>
      </c>
      <c r="AC164" s="27" t="n">
        <v>189600000</v>
      </c>
      <c r="AD164" s="27" t="n">
        <v>1632000000</v>
      </c>
      <c r="AE164" s="20" t="n"/>
      <c r="AF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G164" s="19">
        <f>IF($K164="","",IF(OR(LEFT($AF164,2)="작지",LEFT($AF164,4)="소재입고"),IF(LEFT($G164,1)="S","★ 납기위험(S코드)","◆ 지연주의"),IF($AF164="정상","✓ 정상","? 확인필요")))</f>
        <v/>
      </c>
      <c r="AH164" s="21" t="n"/>
      <c r="AI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19">
        <f>IF(COUNTIF(EDW_RAW!$A$2:$A$1500,$D165)=0,"",IF(COUNTIFS(EDW_RAW!$A$2:$A$1500,$D165,EDW_RAW!$R$2:$R$1500,"&lt;&gt;~",EDW_RAW!$R$2:$R$1500,"&lt;&gt;")=COUNTIF(EDW_RAW!$A$2:$A$1500,$D165),"O",IF(COUNTIFS(EDW_RAW!$A$2:$A$1500,$D165,EDW_RAW!$R$2:$R$1500,"&lt;&gt;~",EDW_RAW!$R$2:$R$1500,"&lt;&gt;")&gt;0,"부분","X")))</f>
        <v/>
      </c>
      <c r="R165" s="19">
        <f>IF(COUNTIF(EDW_RAW!$A$2:$A$1500,$D165)=0,"",IF(COUNTIFS(EDW_RAW!$A$2:$A$1500,$D165,EDW_RAW!$U$2:$U$1500,"&lt;&gt;~",EDW_RAW!$U$2:$U$1500,"&lt;&gt;")=COUNTIF(EDW_RAW!$A$2:$A$1500,$D165),"O",IF(COUNTIFS(EDW_RAW!$A$2:$A$1500,$D165,EDW_RAW!$U$2:$U$1500,"&lt;&gt;~",EDW_RAW!$U$2:$U$1500,"&lt;&gt;")&gt;0,"부분","X")))</f>
        <v/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",TRUE,UNIQUE(FILTER(소재DB_RAW!$K$3:$K$2000,(소재DB_RAW!$G$3:$G$2000=$D165)*ISERROR(SEARCH("drop",소재DB_RAW!$C$3:$C$2000))))),"")</f>
        <v/>
      </c>
      <c r="W165" s="20" t="inlineStr">
        <is>
          <t>베트남</t>
        </is>
      </c>
      <c r="X165" s="20">
        <f>IFERROR(TEXTJOIN(" / ",TRUE,UNIQUE(FILTER(소재DB_RAW!$N$3:$N$2000,(소재DB_RAW!$G$3:$G$2000=$D165)*ISERROR(SEARCH("drop",소재DB_RAW!$C$3:$C$2000))))),"")</f>
        <v/>
      </c>
      <c r="Y165" s="26">
        <f>IFERROR(TEXTJOIN(CHAR(10),TRUE,UNIQUE(FILTER(소재DB_RAW!$N$3:$N$2000&amp;") "&amp;소재DB_RAW!$O$3:$O$2000,(소재DB_RAW!$G$3:$G$2000=$D165)*ISNUMBER(SEARCH("겉감",소재DB_RAW!$M$3:$M$2000))*ISERROR(SEARCH("drop",소재DB_RAW!$C$3:$C$2000))))),"")</f>
        <v/>
      </c>
      <c r="Z165" s="26">
        <f>IFERROR(TEXTJOIN(CHAR(10),TRUE,UNIQUE(FILTER(소재DB_RAW!$N$3:$N$2000&amp;") "&amp;소재DB_RAW!$O$3:$O$2000,(소재DB_RAW!$G$3:$G$2000=$D165)*ISNUMBER(SEARCH("안감",소재DB_RAW!$M$3:$M$2000))*ISERROR(SEARCH("drop",소재DB_RAW!$C$3:$C$2000))))),"")</f>
        <v/>
      </c>
      <c r="AA165" s="22">
        <f>IFERROR(MAX(FILTER(소재DB_RAW!$AK$3:$AK$2000,(소재DB_RAW!$G$3:$G$2000=$D165)*ISERROR(SEARCH("drop",소재DB_RAW!$C$3:$C$2000))*(소재DB_RAW!$AK$3:$AK$2000&lt;&gt;""))),"")</f>
        <v/>
      </c>
      <c r="AB165" s="27" t="n">
        <v>1500</v>
      </c>
      <c r="AC165" s="27" t="n">
        <v>89790000</v>
      </c>
      <c r="AD165" s="27" t="n">
        <v>375000000</v>
      </c>
      <c r="AE165" s="20" t="inlineStr">
        <is>
          <t>2월1주</t>
        </is>
      </c>
      <c r="AF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G165" s="19">
        <f>IF($K165="","",IF(OR(LEFT($AF165,2)="작지",LEFT($AF165,4)="소재입고"),IF(LEFT($G165,1)="S","★ 납기위험(S코드)","◆ 지연주의"),IF($AF165="정상","✓ 정상","? 확인필요")))</f>
        <v/>
      </c>
      <c r="AH165" s="21" t="n"/>
      <c r="AI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19">
        <f>IF(COUNTIF(EDW_RAW!$A$2:$A$1500,$D166)=0,"",IF(COUNTIFS(EDW_RAW!$A$2:$A$1500,$D166,EDW_RAW!$R$2:$R$1500,"&lt;&gt;~",EDW_RAW!$R$2:$R$1500,"&lt;&gt;")=COUNTIF(EDW_RAW!$A$2:$A$1500,$D166),"O",IF(COUNTIFS(EDW_RAW!$A$2:$A$1500,$D166,EDW_RAW!$R$2:$R$1500,"&lt;&gt;~",EDW_RAW!$R$2:$R$1500,"&lt;&gt;")&gt;0,"부분","X")))</f>
        <v/>
      </c>
      <c r="R166" s="19">
        <f>IF(COUNTIF(EDW_RAW!$A$2:$A$1500,$D166)=0,"",IF(COUNTIFS(EDW_RAW!$A$2:$A$1500,$D166,EDW_RAW!$U$2:$U$1500,"&lt;&gt;~",EDW_RAW!$U$2:$U$1500,"&lt;&gt;")=COUNTIF(EDW_RAW!$A$2:$A$1500,$D166),"O",IF(COUNTIFS(EDW_RAW!$A$2:$A$1500,$D166,EDW_RAW!$U$2:$U$1500,"&lt;&gt;~",EDW_RAW!$U$2:$U$1500,"&lt;&gt;")&gt;0,"부분","X")))</f>
        <v/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",TRUE,UNIQUE(FILTER(소재DB_RAW!$K$3:$K$2000,(소재DB_RAW!$G$3:$G$2000=$D166)*ISERROR(SEARCH("drop",소재DB_RAW!$C$3:$C$2000))))),"")</f>
        <v/>
      </c>
      <c r="W166" s="20" t="inlineStr">
        <is>
          <t>베트남</t>
        </is>
      </c>
      <c r="X166" s="20">
        <f>IFERROR(TEXTJOIN(" / ",TRUE,UNIQUE(FILTER(소재DB_RAW!$N$3:$N$2000,(소재DB_RAW!$G$3:$G$2000=$D166)*ISERROR(SEARCH("drop",소재DB_RAW!$C$3:$C$2000))))),"")</f>
        <v/>
      </c>
      <c r="Y166" s="26">
        <f>IFERROR(TEXTJOIN(CHAR(10),TRUE,UNIQUE(FILTER(소재DB_RAW!$N$3:$N$2000&amp;") "&amp;소재DB_RAW!$O$3:$O$2000,(소재DB_RAW!$G$3:$G$2000=$D166)*ISNUMBER(SEARCH("겉감",소재DB_RAW!$M$3:$M$2000))*ISERROR(SEARCH("drop",소재DB_RAW!$C$3:$C$2000))))),"")</f>
        <v/>
      </c>
      <c r="Z166" s="26">
        <f>IFERROR(TEXTJOIN(CHAR(10),TRUE,UNIQUE(FILTER(소재DB_RAW!$N$3:$N$2000&amp;") "&amp;소재DB_RAW!$O$3:$O$2000,(소재DB_RAW!$G$3:$G$2000=$D166)*ISNUMBER(SEARCH("안감",소재DB_RAW!$M$3:$M$2000))*ISERROR(SEARCH("drop",소재DB_RAW!$C$3:$C$2000))))),"")</f>
        <v/>
      </c>
      <c r="AA166" s="22">
        <f>IFERROR(MAX(FILTER(소재DB_RAW!$AK$3:$AK$2000,(소재DB_RAW!$G$3:$G$2000=$D166)*ISERROR(SEARCH("drop",소재DB_RAW!$C$3:$C$2000))*(소재DB_RAW!$AK$3:$AK$2000&lt;&gt;""))),"")</f>
        <v/>
      </c>
      <c r="AB166" s="27" t="n">
        <v>1900</v>
      </c>
      <c r="AC166" s="27" t="n">
        <v>60925400</v>
      </c>
      <c r="AD166" s="27" t="n">
        <v>357200000</v>
      </c>
      <c r="AE166" s="20" t="inlineStr">
        <is>
          <t>2월1주</t>
        </is>
      </c>
      <c r="AF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G166" s="19">
        <f>IF($K166="","",IF(OR(LEFT($AF166,2)="작지",LEFT($AF166,4)="소재입고"),IF(LEFT($G166,1)="S","★ 납기위험(S코드)","◆ 지연주의"),IF($AF166="정상","✓ 정상","? 확인필요")))</f>
        <v/>
      </c>
      <c r="AH166" s="21" t="n"/>
      <c r="AI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19">
        <f>IF(COUNTIF(EDW_RAW!$A$2:$A$1500,$D167)=0,"",IF(COUNTIFS(EDW_RAW!$A$2:$A$1500,$D167,EDW_RAW!$R$2:$R$1500,"&lt;&gt;~",EDW_RAW!$R$2:$R$1500,"&lt;&gt;")=COUNTIF(EDW_RAW!$A$2:$A$1500,$D167),"O",IF(COUNTIFS(EDW_RAW!$A$2:$A$1500,$D167,EDW_RAW!$R$2:$R$1500,"&lt;&gt;~",EDW_RAW!$R$2:$R$1500,"&lt;&gt;")&gt;0,"부분","X")))</f>
        <v/>
      </c>
      <c r="R167" s="19">
        <f>IF(COUNTIF(EDW_RAW!$A$2:$A$1500,$D167)=0,"",IF(COUNTIFS(EDW_RAW!$A$2:$A$1500,$D167,EDW_RAW!$U$2:$U$1500,"&lt;&gt;~",EDW_RAW!$U$2:$U$1500,"&lt;&gt;")=COUNTIF(EDW_RAW!$A$2:$A$1500,$D167),"O",IF(COUNTIFS(EDW_RAW!$A$2:$A$1500,$D167,EDW_RAW!$U$2:$U$1500,"&lt;&gt;~",EDW_RAW!$U$2:$U$1500,"&lt;&gt;")&gt;0,"부분","X")))</f>
        <v/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",TRUE,UNIQUE(FILTER(소재DB_RAW!$K$3:$K$2000,(소재DB_RAW!$G$3:$G$2000=$D167)*ISERROR(SEARCH("drop",소재DB_RAW!$C$3:$C$2000))))),"")</f>
        <v/>
      </c>
      <c r="W167" s="20" t="inlineStr">
        <is>
          <t>인도네시아</t>
        </is>
      </c>
      <c r="X167" s="20">
        <f>IFERROR(TEXTJOIN(" / ",TRUE,UNIQUE(FILTER(소재DB_RAW!$N$3:$N$2000,(소재DB_RAW!$G$3:$G$2000=$D167)*ISERROR(SEARCH("drop",소재DB_RAW!$C$3:$C$2000))))),"")</f>
        <v/>
      </c>
      <c r="Y167" s="26">
        <f>IFERROR(TEXTJOIN(CHAR(10),TRUE,UNIQUE(FILTER(소재DB_RAW!$N$3:$N$2000&amp;") "&amp;소재DB_RAW!$O$3:$O$2000,(소재DB_RAW!$G$3:$G$2000=$D167)*ISNUMBER(SEARCH("겉감",소재DB_RAW!$M$3:$M$2000))*ISERROR(SEARCH("drop",소재DB_RAW!$C$3:$C$2000))))),"")</f>
        <v/>
      </c>
      <c r="Z167" s="26">
        <f>IFERROR(TEXTJOIN(CHAR(10),TRUE,UNIQUE(FILTER(소재DB_RAW!$N$3:$N$2000&amp;") "&amp;소재DB_RAW!$O$3:$O$2000,(소재DB_RAW!$G$3:$G$2000=$D167)*ISNUMBER(SEARCH("안감",소재DB_RAW!$M$3:$M$2000))*ISERROR(SEARCH("drop",소재DB_RAW!$C$3:$C$2000))))),"")</f>
        <v/>
      </c>
      <c r="AA167" s="22">
        <f>IFERROR(MAX(FILTER(소재DB_RAW!$AK$3:$AK$2000,(소재DB_RAW!$G$3:$G$2000=$D167)*ISERROR(SEARCH("drop",소재DB_RAW!$C$3:$C$2000))*(소재DB_RAW!$AK$3:$AK$2000&lt;&gt;""))),"")</f>
        <v/>
      </c>
      <c r="AB167" s="27" t="n">
        <v>3000</v>
      </c>
      <c r="AC167" s="27" t="n">
        <v>105000000</v>
      </c>
      <c r="AD167" s="27" t="n">
        <v>564000000</v>
      </c>
      <c r="AE167" s="20" t="inlineStr">
        <is>
          <t>2월4주</t>
        </is>
      </c>
      <c r="AF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G167" s="19">
        <f>IF($K167="","",IF(OR(LEFT($AF167,2)="작지",LEFT($AF167,4)="소재입고"),IF(LEFT($G167,1)="S","★ 납기위험(S코드)","◆ 지연주의"),IF($AF167="정상","✓ 정상","? 확인필요")))</f>
        <v/>
      </c>
      <c r="AH167" s="21" t="n"/>
      <c r="AI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19">
        <f>IF(COUNTIF(EDW_RAW!$A$2:$A$1500,$D168)=0,"",IF(COUNTIFS(EDW_RAW!$A$2:$A$1500,$D168,EDW_RAW!$R$2:$R$1500,"&lt;&gt;~",EDW_RAW!$R$2:$R$1500,"&lt;&gt;")=COUNTIF(EDW_RAW!$A$2:$A$1500,$D168),"O",IF(COUNTIFS(EDW_RAW!$A$2:$A$1500,$D168,EDW_RAW!$R$2:$R$1500,"&lt;&gt;~",EDW_RAW!$R$2:$R$1500,"&lt;&gt;")&gt;0,"부분","X")))</f>
        <v/>
      </c>
      <c r="R168" s="19">
        <f>IF(COUNTIF(EDW_RAW!$A$2:$A$1500,$D168)=0,"",IF(COUNTIFS(EDW_RAW!$A$2:$A$1500,$D168,EDW_RAW!$U$2:$U$1500,"&lt;&gt;~",EDW_RAW!$U$2:$U$1500,"&lt;&gt;")=COUNTIF(EDW_RAW!$A$2:$A$1500,$D168),"O",IF(COUNTIFS(EDW_RAW!$A$2:$A$1500,$D168,EDW_RAW!$U$2:$U$1500,"&lt;&gt;~",EDW_RAW!$U$2:$U$1500,"&lt;&gt;")&gt;0,"부분","X")))</f>
        <v/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",TRUE,UNIQUE(FILTER(소재DB_RAW!$K$3:$K$2000,(소재DB_RAW!$G$3:$G$2000=$D168)*ISERROR(SEARCH("drop",소재DB_RAW!$C$3:$C$2000))))),"")</f>
        <v/>
      </c>
      <c r="W168" s="20" t="inlineStr">
        <is>
          <t>베트남</t>
        </is>
      </c>
      <c r="X168" s="20">
        <f>IFERROR(TEXTJOIN(" / ",TRUE,UNIQUE(FILTER(소재DB_RAW!$N$3:$N$2000,(소재DB_RAW!$G$3:$G$2000=$D168)*ISERROR(SEARCH("drop",소재DB_RAW!$C$3:$C$2000))))),"")</f>
        <v/>
      </c>
      <c r="Y168" s="26">
        <f>IFERROR(TEXTJOIN(CHAR(10),TRUE,UNIQUE(FILTER(소재DB_RAW!$N$3:$N$2000&amp;") "&amp;소재DB_RAW!$O$3:$O$2000,(소재DB_RAW!$G$3:$G$2000=$D168)*ISNUMBER(SEARCH("겉감",소재DB_RAW!$M$3:$M$2000))*ISERROR(SEARCH("drop",소재DB_RAW!$C$3:$C$2000))))),"")</f>
        <v/>
      </c>
      <c r="Z168" s="26">
        <f>IFERROR(TEXTJOIN(CHAR(10),TRUE,UNIQUE(FILTER(소재DB_RAW!$N$3:$N$2000&amp;") "&amp;소재DB_RAW!$O$3:$O$2000,(소재DB_RAW!$G$3:$G$2000=$D168)*ISNUMBER(SEARCH("안감",소재DB_RAW!$M$3:$M$2000))*ISERROR(SEARCH("drop",소재DB_RAW!$C$3:$C$2000))))),"")</f>
        <v/>
      </c>
      <c r="AA168" s="22">
        <f>IFERROR(MAX(FILTER(소재DB_RAW!$AK$3:$AK$2000,(소재DB_RAW!$G$3:$G$2000=$D168)*ISERROR(SEARCH("drop",소재DB_RAW!$C$3:$C$2000))*(소재DB_RAW!$AK$3:$AK$2000&lt;&gt;""))),"")</f>
        <v/>
      </c>
      <c r="AB168" s="27" t="n">
        <v>1800</v>
      </c>
      <c r="AC168" s="27" t="n">
        <v>43592400</v>
      </c>
      <c r="AD168" s="27" t="n">
        <v>230400000</v>
      </c>
      <c r="AE168" s="20" t="inlineStr">
        <is>
          <t>2월4주</t>
        </is>
      </c>
      <c r="AF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G168" s="19">
        <f>IF($K168="","",IF(OR(LEFT($AF168,2)="작지",LEFT($AF168,4)="소재입고"),IF(LEFT($G168,1)="S","★ 납기위험(S코드)","◆ 지연주의"),IF($AF168="정상","✓ 정상","? 확인필요")))</f>
        <v/>
      </c>
      <c r="AH168" s="21" t="n"/>
      <c r="AI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19">
        <f>IF(COUNTIF(EDW_RAW!$A$2:$A$1500,$D169)=0,"",IF(COUNTIFS(EDW_RAW!$A$2:$A$1500,$D169,EDW_RAW!$R$2:$R$1500,"&lt;&gt;~",EDW_RAW!$R$2:$R$1500,"&lt;&gt;")=COUNTIF(EDW_RAW!$A$2:$A$1500,$D169),"O",IF(COUNTIFS(EDW_RAW!$A$2:$A$1500,$D169,EDW_RAW!$R$2:$R$1500,"&lt;&gt;~",EDW_RAW!$R$2:$R$1500,"&lt;&gt;")&gt;0,"부분","X")))</f>
        <v/>
      </c>
      <c r="R169" s="19">
        <f>IF(COUNTIF(EDW_RAW!$A$2:$A$1500,$D169)=0,"",IF(COUNTIFS(EDW_RAW!$A$2:$A$1500,$D169,EDW_RAW!$U$2:$U$1500,"&lt;&gt;~",EDW_RAW!$U$2:$U$1500,"&lt;&gt;")=COUNTIF(EDW_RAW!$A$2:$A$1500,$D169),"O",IF(COUNTIFS(EDW_RAW!$A$2:$A$1500,$D169,EDW_RAW!$U$2:$U$1500,"&lt;&gt;~",EDW_RAW!$U$2:$U$1500,"&lt;&gt;")&gt;0,"부분","X")))</f>
        <v/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",TRUE,UNIQUE(FILTER(소재DB_RAW!$K$3:$K$2000,(소재DB_RAW!$G$3:$G$2000=$D169)*ISERROR(SEARCH("drop",소재DB_RAW!$C$3:$C$2000))))),"")</f>
        <v/>
      </c>
      <c r="W169" s="20" t="inlineStr">
        <is>
          <t>인도네시아</t>
        </is>
      </c>
      <c r="X169" s="20">
        <f>IFERROR(TEXTJOIN(" / ",TRUE,UNIQUE(FILTER(소재DB_RAW!$N$3:$N$2000,(소재DB_RAW!$G$3:$G$2000=$D169)*ISERROR(SEARCH("drop",소재DB_RAW!$C$3:$C$2000))))),"")</f>
        <v/>
      </c>
      <c r="Y169" s="26">
        <f>IFERROR(TEXTJOIN(CHAR(10),TRUE,UNIQUE(FILTER(소재DB_RAW!$N$3:$N$2000&amp;") "&amp;소재DB_RAW!$O$3:$O$2000,(소재DB_RAW!$G$3:$G$2000=$D169)*ISNUMBER(SEARCH("겉감",소재DB_RAW!$M$3:$M$2000))*ISERROR(SEARCH("drop",소재DB_RAW!$C$3:$C$2000))))),"")</f>
        <v/>
      </c>
      <c r="Z169" s="26">
        <f>IFERROR(TEXTJOIN(CHAR(10),TRUE,UNIQUE(FILTER(소재DB_RAW!$N$3:$N$2000&amp;") "&amp;소재DB_RAW!$O$3:$O$2000,(소재DB_RAW!$G$3:$G$2000=$D169)*ISNUMBER(SEARCH("안감",소재DB_RAW!$M$3:$M$2000))*ISERROR(SEARCH("drop",소재DB_RAW!$C$3:$C$2000))))),"")</f>
        <v/>
      </c>
      <c r="AA169" s="22">
        <f>IFERROR(MAX(FILTER(소재DB_RAW!$AK$3:$AK$2000,(소재DB_RAW!$G$3:$G$2000=$D169)*ISERROR(SEARCH("drop",소재DB_RAW!$C$3:$C$2000))*(소재DB_RAW!$AK$3:$AK$2000&lt;&gt;""))),"")</f>
        <v/>
      </c>
      <c r="AB169" s="27" t="n">
        <v>1600</v>
      </c>
      <c r="AC169" s="27" t="n">
        <v>36735400</v>
      </c>
      <c r="AD169" s="27" t="n">
        <v>188800000</v>
      </c>
      <c r="AE169" s="20" t="inlineStr">
        <is>
          <t>2월4주</t>
        </is>
      </c>
      <c r="AF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G169" s="19">
        <f>IF($K169="","",IF(OR(LEFT($AF169,2)="작지",LEFT($AF169,4)="소재입고"),IF(LEFT($G169,1)="S","★ 납기위험(S코드)","◆ 지연주의"),IF($AF169="정상","✓ 정상","? 확인필요")))</f>
        <v/>
      </c>
      <c r="AH169" s="21" t="n"/>
      <c r="AI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19">
        <f>IF(COUNTIF(EDW_RAW!$A$2:$A$1500,$D170)=0,"",IF(COUNTIFS(EDW_RAW!$A$2:$A$1500,$D170,EDW_RAW!$R$2:$R$1500,"&lt;&gt;~",EDW_RAW!$R$2:$R$1500,"&lt;&gt;")=COUNTIF(EDW_RAW!$A$2:$A$1500,$D170),"O",IF(COUNTIFS(EDW_RAW!$A$2:$A$1500,$D170,EDW_RAW!$R$2:$R$1500,"&lt;&gt;~",EDW_RAW!$R$2:$R$1500,"&lt;&gt;")&gt;0,"부분","X")))</f>
        <v/>
      </c>
      <c r="R170" s="19">
        <f>IF(COUNTIF(EDW_RAW!$A$2:$A$1500,$D170)=0,"",IF(COUNTIFS(EDW_RAW!$A$2:$A$1500,$D170,EDW_RAW!$U$2:$U$1500,"&lt;&gt;~",EDW_RAW!$U$2:$U$1500,"&lt;&gt;")=COUNTIF(EDW_RAW!$A$2:$A$1500,$D170),"O",IF(COUNTIFS(EDW_RAW!$A$2:$A$1500,$D170,EDW_RAW!$U$2:$U$1500,"&lt;&gt;~",EDW_RAW!$U$2:$U$1500,"&lt;&gt;")&gt;0,"부분","X")))</f>
        <v/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",TRUE,UNIQUE(FILTER(소재DB_RAW!$K$3:$K$2000,(소재DB_RAW!$G$3:$G$2000=$D170)*ISERROR(SEARCH("drop",소재DB_RAW!$C$3:$C$2000))))),"")</f>
        <v/>
      </c>
      <c r="W170" s="20" t="inlineStr">
        <is>
          <t>베트남</t>
        </is>
      </c>
      <c r="X170" s="20">
        <f>IFERROR(TEXTJOIN(" / ",TRUE,UNIQUE(FILTER(소재DB_RAW!$N$3:$N$2000,(소재DB_RAW!$G$3:$G$2000=$D170)*ISERROR(SEARCH("drop",소재DB_RAW!$C$3:$C$2000))))),"")</f>
        <v/>
      </c>
      <c r="Y170" s="26">
        <f>IFERROR(TEXTJOIN(CHAR(10),TRUE,UNIQUE(FILTER(소재DB_RAW!$N$3:$N$2000&amp;") "&amp;소재DB_RAW!$O$3:$O$2000,(소재DB_RAW!$G$3:$G$2000=$D170)*ISNUMBER(SEARCH("겉감",소재DB_RAW!$M$3:$M$2000))*ISERROR(SEARCH("drop",소재DB_RAW!$C$3:$C$2000))))),"")</f>
        <v/>
      </c>
      <c r="Z170" s="26">
        <f>IFERROR(TEXTJOIN(CHAR(10),TRUE,UNIQUE(FILTER(소재DB_RAW!$N$3:$N$2000&amp;") "&amp;소재DB_RAW!$O$3:$O$2000,(소재DB_RAW!$G$3:$G$2000=$D170)*ISNUMBER(SEARCH("안감",소재DB_RAW!$M$3:$M$2000))*ISERROR(SEARCH("drop",소재DB_RAW!$C$3:$C$2000))))),"")</f>
        <v/>
      </c>
      <c r="AA170" s="22">
        <f>IFERROR(MAX(FILTER(소재DB_RAW!$AK$3:$AK$2000,(소재DB_RAW!$G$3:$G$2000=$D170)*ISERROR(SEARCH("drop",소재DB_RAW!$C$3:$C$2000))*(소재DB_RAW!$AK$3:$AK$2000&lt;&gt;""))),"")</f>
        <v/>
      </c>
      <c r="AB170" s="27" t="n">
        <v>3000</v>
      </c>
      <c r="AC170" s="27" t="n">
        <v>57300000</v>
      </c>
      <c r="AD170" s="27" t="n">
        <v>354000000</v>
      </c>
      <c r="AE170" s="20" t="inlineStr">
        <is>
          <t>2월4주</t>
        </is>
      </c>
      <c r="AF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G170" s="19">
        <f>IF($K170="","",IF(OR(LEFT($AF170,2)="작지",LEFT($AF170,4)="소재입고"),IF(LEFT($G170,1)="S","★ 납기위험(S코드)","◆ 지연주의"),IF($AF170="정상","✓ 정상","? 확인필요")))</f>
        <v/>
      </c>
      <c r="AH170" s="21" t="n"/>
      <c r="AI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19">
        <f>IF(COUNTIF(EDW_RAW!$A$2:$A$1500,$D171)=0,"",IF(COUNTIFS(EDW_RAW!$A$2:$A$1500,$D171,EDW_RAW!$R$2:$R$1500,"&lt;&gt;~",EDW_RAW!$R$2:$R$1500,"&lt;&gt;")=COUNTIF(EDW_RAW!$A$2:$A$1500,$D171),"O",IF(COUNTIFS(EDW_RAW!$A$2:$A$1500,$D171,EDW_RAW!$R$2:$R$1500,"&lt;&gt;~",EDW_RAW!$R$2:$R$1500,"&lt;&gt;")&gt;0,"부분","X")))</f>
        <v/>
      </c>
      <c r="R171" s="19">
        <f>IF(COUNTIF(EDW_RAW!$A$2:$A$1500,$D171)=0,"",IF(COUNTIFS(EDW_RAW!$A$2:$A$1500,$D171,EDW_RAW!$U$2:$U$1500,"&lt;&gt;~",EDW_RAW!$U$2:$U$1500,"&lt;&gt;")=COUNTIF(EDW_RAW!$A$2:$A$1500,$D171),"O",IF(COUNTIFS(EDW_RAW!$A$2:$A$1500,$D171,EDW_RAW!$U$2:$U$1500,"&lt;&gt;~",EDW_RAW!$U$2:$U$1500,"&lt;&gt;")&gt;0,"부분","X")))</f>
        <v/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",TRUE,UNIQUE(FILTER(소재DB_RAW!$K$3:$K$2000,(소재DB_RAW!$G$3:$G$2000=$D171)*ISERROR(SEARCH("drop",소재DB_RAW!$C$3:$C$2000))))),"")</f>
        <v/>
      </c>
      <c r="W171" s="20" t="inlineStr">
        <is>
          <t>베트남</t>
        </is>
      </c>
      <c r="X171" s="20">
        <f>IFERROR(TEXTJOIN(" / ",TRUE,UNIQUE(FILTER(소재DB_RAW!$N$3:$N$2000,(소재DB_RAW!$G$3:$G$2000=$D171)*ISERROR(SEARCH("drop",소재DB_RAW!$C$3:$C$2000))))),"")</f>
        <v/>
      </c>
      <c r="Y171" s="26">
        <f>IFERROR(TEXTJOIN(CHAR(10),TRUE,UNIQUE(FILTER(소재DB_RAW!$N$3:$N$2000&amp;") "&amp;소재DB_RAW!$O$3:$O$2000,(소재DB_RAW!$G$3:$G$2000=$D171)*ISNUMBER(SEARCH("겉감",소재DB_RAW!$M$3:$M$2000))*ISERROR(SEARCH("drop",소재DB_RAW!$C$3:$C$2000))))),"")</f>
        <v/>
      </c>
      <c r="Z171" s="26">
        <f>IFERROR(TEXTJOIN(CHAR(10),TRUE,UNIQUE(FILTER(소재DB_RAW!$N$3:$N$2000&amp;") "&amp;소재DB_RAW!$O$3:$O$2000,(소재DB_RAW!$G$3:$G$2000=$D171)*ISNUMBER(SEARCH("안감",소재DB_RAW!$M$3:$M$2000))*ISERROR(SEARCH("drop",소재DB_RAW!$C$3:$C$2000))))),"")</f>
        <v/>
      </c>
      <c r="AA171" s="22">
        <f>IFERROR(MAX(FILTER(소재DB_RAW!$AK$3:$AK$2000,(소재DB_RAW!$G$3:$G$2000=$D171)*ISERROR(SEARCH("drop",소재DB_RAW!$C$3:$C$2000))*(소재DB_RAW!$AK$3:$AK$2000&lt;&gt;""))),"")</f>
        <v/>
      </c>
      <c r="AB171" s="27" t="n">
        <v>2000</v>
      </c>
      <c r="AC171" s="27" t="n">
        <v>81136000</v>
      </c>
      <c r="AD171" s="27" t="n">
        <v>336000000</v>
      </c>
      <c r="AE171" s="20" t="inlineStr">
        <is>
          <t>2월4주</t>
        </is>
      </c>
      <c r="AF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G171" s="19">
        <f>IF($K171="","",IF(OR(LEFT($AF171,2)="작지",LEFT($AF171,4)="소재입고"),IF(LEFT($G171,1)="S","★ 납기위험(S코드)","◆ 지연주의"),IF($AF171="정상","✓ 정상","? 확인필요")))</f>
        <v/>
      </c>
      <c r="AH171" s="21" t="n"/>
      <c r="AI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19">
        <f>IF(COUNTIF(EDW_RAW!$A$2:$A$1500,$D172)=0,"",IF(COUNTIFS(EDW_RAW!$A$2:$A$1500,$D172,EDW_RAW!$R$2:$R$1500,"&lt;&gt;~",EDW_RAW!$R$2:$R$1500,"&lt;&gt;")=COUNTIF(EDW_RAW!$A$2:$A$1500,$D172),"O",IF(COUNTIFS(EDW_RAW!$A$2:$A$1500,$D172,EDW_RAW!$R$2:$R$1500,"&lt;&gt;~",EDW_RAW!$R$2:$R$1500,"&lt;&gt;")&gt;0,"부분","X")))</f>
        <v/>
      </c>
      <c r="R172" s="19">
        <f>IF(COUNTIF(EDW_RAW!$A$2:$A$1500,$D172)=0,"",IF(COUNTIFS(EDW_RAW!$A$2:$A$1500,$D172,EDW_RAW!$U$2:$U$1500,"&lt;&gt;~",EDW_RAW!$U$2:$U$1500,"&lt;&gt;")=COUNTIF(EDW_RAW!$A$2:$A$1500,$D172),"O",IF(COUNTIFS(EDW_RAW!$A$2:$A$1500,$D172,EDW_RAW!$U$2:$U$1500,"&lt;&gt;~",EDW_RAW!$U$2:$U$1500,"&lt;&gt;")&gt;0,"부분","X")))</f>
        <v/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",TRUE,UNIQUE(FILTER(소재DB_RAW!$K$3:$K$2000,(소재DB_RAW!$G$3:$G$2000=$D172)*ISERROR(SEARCH("drop",소재DB_RAW!$C$3:$C$2000))))),"")</f>
        <v/>
      </c>
      <c r="W172" s="20" t="inlineStr">
        <is>
          <t>베트남</t>
        </is>
      </c>
      <c r="X172" s="20">
        <f>IFERROR(TEXTJOIN(" / ",TRUE,UNIQUE(FILTER(소재DB_RAW!$N$3:$N$2000,(소재DB_RAW!$G$3:$G$2000=$D172)*ISERROR(SEARCH("drop",소재DB_RAW!$C$3:$C$2000))))),"")</f>
        <v/>
      </c>
      <c r="Y172" s="26">
        <f>IFERROR(TEXTJOIN(CHAR(10),TRUE,UNIQUE(FILTER(소재DB_RAW!$N$3:$N$2000&amp;") "&amp;소재DB_RAW!$O$3:$O$2000,(소재DB_RAW!$G$3:$G$2000=$D172)*ISNUMBER(SEARCH("겉감",소재DB_RAW!$M$3:$M$2000))*ISERROR(SEARCH("drop",소재DB_RAW!$C$3:$C$2000))))),"")</f>
        <v/>
      </c>
      <c r="Z172" s="26">
        <f>IFERROR(TEXTJOIN(CHAR(10),TRUE,UNIQUE(FILTER(소재DB_RAW!$N$3:$N$2000&amp;") "&amp;소재DB_RAW!$O$3:$O$2000,(소재DB_RAW!$G$3:$G$2000=$D172)*ISNUMBER(SEARCH("안감",소재DB_RAW!$M$3:$M$2000))*ISERROR(SEARCH("drop",소재DB_RAW!$C$3:$C$2000))))),"")</f>
        <v/>
      </c>
      <c r="AA172" s="22">
        <f>IFERROR(MAX(FILTER(소재DB_RAW!$AK$3:$AK$2000,(소재DB_RAW!$G$3:$G$2000=$D172)*ISERROR(SEARCH("drop",소재DB_RAW!$C$3:$C$2000))*(소재DB_RAW!$AK$3:$AK$2000&lt;&gt;""))),"")</f>
        <v/>
      </c>
      <c r="AB172" s="27" t="n">
        <v>2500</v>
      </c>
      <c r="AC172" s="27" t="n">
        <v>45000000</v>
      </c>
      <c r="AD172" s="27" t="n">
        <v>270000000</v>
      </c>
      <c r="AE172" s="20" t="inlineStr">
        <is>
          <t>2월4주</t>
        </is>
      </c>
      <c r="AF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G172" s="19">
        <f>IF($K172="","",IF(OR(LEFT($AF172,2)="작지",LEFT($AF172,4)="소재입고"),IF(LEFT($G172,1)="S","★ 납기위험(S코드)","◆ 지연주의"),IF($AF172="정상","✓ 정상","? 확인필요")))</f>
        <v/>
      </c>
      <c r="AH172" s="21" t="n"/>
      <c r="AI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19">
        <f>IF(COUNTIF(EDW_RAW!$A$2:$A$1500,$D173)=0,"",IF(COUNTIFS(EDW_RAW!$A$2:$A$1500,$D173,EDW_RAW!$R$2:$R$1500,"&lt;&gt;~",EDW_RAW!$R$2:$R$1500,"&lt;&gt;")=COUNTIF(EDW_RAW!$A$2:$A$1500,$D173),"O",IF(COUNTIFS(EDW_RAW!$A$2:$A$1500,$D173,EDW_RAW!$R$2:$R$1500,"&lt;&gt;~",EDW_RAW!$R$2:$R$1500,"&lt;&gt;")&gt;0,"부분","X")))</f>
        <v/>
      </c>
      <c r="R173" s="19">
        <f>IF(COUNTIF(EDW_RAW!$A$2:$A$1500,$D173)=0,"",IF(COUNTIFS(EDW_RAW!$A$2:$A$1500,$D173,EDW_RAW!$U$2:$U$1500,"&lt;&gt;~",EDW_RAW!$U$2:$U$1500,"&lt;&gt;")=COUNTIF(EDW_RAW!$A$2:$A$1500,$D173),"O",IF(COUNTIFS(EDW_RAW!$A$2:$A$1500,$D173,EDW_RAW!$U$2:$U$1500,"&lt;&gt;~",EDW_RAW!$U$2:$U$1500,"&lt;&gt;")&gt;0,"부분","X")))</f>
        <v/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",TRUE,UNIQUE(FILTER(소재DB_RAW!$K$3:$K$2000,(소재DB_RAW!$G$3:$G$2000=$D173)*ISERROR(SEARCH("drop",소재DB_RAW!$C$3:$C$2000))))),"")</f>
        <v/>
      </c>
      <c r="W173" s="20" t="inlineStr">
        <is>
          <t>베트남</t>
        </is>
      </c>
      <c r="X173" s="20">
        <f>IFERROR(TEXTJOIN(" / ",TRUE,UNIQUE(FILTER(소재DB_RAW!$N$3:$N$2000,(소재DB_RAW!$G$3:$G$2000=$D173)*ISERROR(SEARCH("drop",소재DB_RAW!$C$3:$C$2000))))),"")</f>
        <v/>
      </c>
      <c r="Y173" s="26">
        <f>IFERROR(TEXTJOIN(CHAR(10),TRUE,UNIQUE(FILTER(소재DB_RAW!$N$3:$N$2000&amp;") "&amp;소재DB_RAW!$O$3:$O$2000,(소재DB_RAW!$G$3:$G$2000=$D173)*ISNUMBER(SEARCH("겉감",소재DB_RAW!$M$3:$M$2000))*ISERROR(SEARCH("drop",소재DB_RAW!$C$3:$C$2000))))),"")</f>
        <v/>
      </c>
      <c r="Z173" s="26">
        <f>IFERROR(TEXTJOIN(CHAR(10),TRUE,UNIQUE(FILTER(소재DB_RAW!$N$3:$N$2000&amp;") "&amp;소재DB_RAW!$O$3:$O$2000,(소재DB_RAW!$G$3:$G$2000=$D173)*ISNUMBER(SEARCH("안감",소재DB_RAW!$M$3:$M$2000))*ISERROR(SEARCH("drop",소재DB_RAW!$C$3:$C$2000))))),"")</f>
        <v/>
      </c>
      <c r="AA173" s="22">
        <f>IFERROR(MAX(FILTER(소재DB_RAW!$AK$3:$AK$2000,(소재DB_RAW!$G$3:$G$2000=$D173)*ISERROR(SEARCH("drop",소재DB_RAW!$C$3:$C$2000))*(소재DB_RAW!$AK$3:$AK$2000&lt;&gt;""))),"")</f>
        <v/>
      </c>
      <c r="AB173" s="27" t="n">
        <v>1700</v>
      </c>
      <c r="AC173" s="27" t="n">
        <v>105396600</v>
      </c>
      <c r="AD173" s="27" t="n">
        <v>493000000</v>
      </c>
      <c r="AE173" s="20" t="inlineStr">
        <is>
          <t>2월4주</t>
        </is>
      </c>
      <c r="AF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G173" s="19">
        <f>IF($K173="","",IF(OR(LEFT($AF173,2)="작지",LEFT($AF173,4)="소재입고"),IF(LEFT($G173,1)="S","★ 납기위험(S코드)","◆ 지연주의"),IF($AF173="정상","✓ 정상","? 확인필요")))</f>
        <v/>
      </c>
      <c r="AH173" s="21" t="n"/>
      <c r="AI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19">
        <f>IF(COUNTIF(EDW_RAW!$A$2:$A$1500,$D174)=0,"",IF(COUNTIFS(EDW_RAW!$A$2:$A$1500,$D174,EDW_RAW!$R$2:$R$1500,"&lt;&gt;~",EDW_RAW!$R$2:$R$1500,"&lt;&gt;")=COUNTIF(EDW_RAW!$A$2:$A$1500,$D174),"O",IF(COUNTIFS(EDW_RAW!$A$2:$A$1500,$D174,EDW_RAW!$R$2:$R$1500,"&lt;&gt;~",EDW_RAW!$R$2:$R$1500,"&lt;&gt;")&gt;0,"부분","X")))</f>
        <v/>
      </c>
      <c r="R174" s="19">
        <f>IF(COUNTIF(EDW_RAW!$A$2:$A$1500,$D174)=0,"",IF(COUNTIFS(EDW_RAW!$A$2:$A$1500,$D174,EDW_RAW!$U$2:$U$1500,"&lt;&gt;~",EDW_RAW!$U$2:$U$1500,"&lt;&gt;")=COUNTIF(EDW_RAW!$A$2:$A$1500,$D174),"O",IF(COUNTIFS(EDW_RAW!$A$2:$A$1500,$D174,EDW_RAW!$U$2:$U$1500,"&lt;&gt;~",EDW_RAW!$U$2:$U$1500,"&lt;&gt;")&gt;0,"부분","X")))</f>
        <v/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",TRUE,UNIQUE(FILTER(소재DB_RAW!$K$3:$K$2000,(소재DB_RAW!$G$3:$G$2000=$D174)*ISERROR(SEARCH("drop",소재DB_RAW!$C$3:$C$2000))))),"")</f>
        <v/>
      </c>
      <c r="W174" s="20" t="inlineStr">
        <is>
          <t>베트남</t>
        </is>
      </c>
      <c r="X174" s="20">
        <f>IFERROR(TEXTJOIN(" / ",TRUE,UNIQUE(FILTER(소재DB_RAW!$N$3:$N$2000,(소재DB_RAW!$G$3:$G$2000=$D174)*ISERROR(SEARCH("drop",소재DB_RAW!$C$3:$C$2000))))),"")</f>
        <v/>
      </c>
      <c r="Y174" s="26">
        <f>IFERROR(TEXTJOIN(CHAR(10),TRUE,UNIQUE(FILTER(소재DB_RAW!$N$3:$N$2000&amp;") "&amp;소재DB_RAW!$O$3:$O$2000,(소재DB_RAW!$G$3:$G$2000=$D174)*ISNUMBER(SEARCH("겉감",소재DB_RAW!$M$3:$M$2000))*ISERROR(SEARCH("drop",소재DB_RAW!$C$3:$C$2000))))),"")</f>
        <v/>
      </c>
      <c r="Z174" s="26">
        <f>IFERROR(TEXTJOIN(CHAR(10),TRUE,UNIQUE(FILTER(소재DB_RAW!$N$3:$N$2000&amp;") "&amp;소재DB_RAW!$O$3:$O$2000,(소재DB_RAW!$G$3:$G$2000=$D174)*ISNUMBER(SEARCH("안감",소재DB_RAW!$M$3:$M$2000))*ISERROR(SEARCH("drop",소재DB_RAW!$C$3:$C$2000))))),"")</f>
        <v/>
      </c>
      <c r="AA174" s="22">
        <f>IFERROR(MAX(FILTER(소재DB_RAW!$AK$3:$AK$2000,(소재DB_RAW!$G$3:$G$2000=$D174)*ISERROR(SEARCH("drop",소재DB_RAW!$C$3:$C$2000))*(소재DB_RAW!$AK$3:$AK$2000&lt;&gt;""))),"")</f>
        <v/>
      </c>
      <c r="AB174" s="27" t="n">
        <v>11000</v>
      </c>
      <c r="AC174" s="27" t="n">
        <v>319022000</v>
      </c>
      <c r="AD174" s="27" t="n">
        <v>1958000000</v>
      </c>
      <c r="AE174" s="20" t="inlineStr">
        <is>
          <t>2월4주</t>
        </is>
      </c>
      <c r="AF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G174" s="19">
        <f>IF($K174="","",IF(OR(LEFT($AF174,2)="작지",LEFT($AF174,4)="소재입고"),IF(LEFT($G174,1)="S","★ 납기위험(S코드)","◆ 지연주의"),IF($AF174="정상","✓ 정상","? 확인필요")))</f>
        <v/>
      </c>
      <c r="AH174" s="21" t="n"/>
      <c r="AI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19">
        <f>IF(COUNTIF(EDW_RAW!$A$2:$A$1500,$D175)=0,"",IF(COUNTIFS(EDW_RAW!$A$2:$A$1500,$D175,EDW_RAW!$R$2:$R$1500,"&lt;&gt;~",EDW_RAW!$R$2:$R$1500,"&lt;&gt;")=COUNTIF(EDW_RAW!$A$2:$A$1500,$D175),"O",IF(COUNTIFS(EDW_RAW!$A$2:$A$1500,$D175,EDW_RAW!$R$2:$R$1500,"&lt;&gt;~",EDW_RAW!$R$2:$R$1500,"&lt;&gt;")&gt;0,"부분","X")))</f>
        <v/>
      </c>
      <c r="R175" s="19">
        <f>IF(COUNTIF(EDW_RAW!$A$2:$A$1500,$D175)=0,"",IF(COUNTIFS(EDW_RAW!$A$2:$A$1500,$D175,EDW_RAW!$U$2:$U$1500,"&lt;&gt;~",EDW_RAW!$U$2:$U$1500,"&lt;&gt;")=COUNTIF(EDW_RAW!$A$2:$A$1500,$D175),"O",IF(COUNTIFS(EDW_RAW!$A$2:$A$1500,$D175,EDW_RAW!$U$2:$U$1500,"&lt;&gt;~",EDW_RAW!$U$2:$U$1500,"&lt;&gt;")&gt;0,"부분","X")))</f>
        <v/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",TRUE,UNIQUE(FILTER(소재DB_RAW!$K$3:$K$2000,(소재DB_RAW!$G$3:$G$2000=$D175)*ISERROR(SEARCH("drop",소재DB_RAW!$C$3:$C$2000))))),"")</f>
        <v/>
      </c>
      <c r="W175" s="20" t="inlineStr">
        <is>
          <t>베트남</t>
        </is>
      </c>
      <c r="X175" s="20">
        <f>IFERROR(TEXTJOIN(" / ",TRUE,UNIQUE(FILTER(소재DB_RAW!$N$3:$N$2000,(소재DB_RAW!$G$3:$G$2000=$D175)*ISERROR(SEARCH("drop",소재DB_RAW!$C$3:$C$2000))))),"")</f>
        <v/>
      </c>
      <c r="Y175" s="26">
        <f>IFERROR(TEXTJOIN(CHAR(10),TRUE,UNIQUE(FILTER(소재DB_RAW!$N$3:$N$2000&amp;") "&amp;소재DB_RAW!$O$3:$O$2000,(소재DB_RAW!$G$3:$G$2000=$D175)*ISNUMBER(SEARCH("겉감",소재DB_RAW!$M$3:$M$2000))*ISERROR(SEARCH("drop",소재DB_RAW!$C$3:$C$2000))))),"")</f>
        <v/>
      </c>
      <c r="Z175" s="26">
        <f>IFERROR(TEXTJOIN(CHAR(10),TRUE,UNIQUE(FILTER(소재DB_RAW!$N$3:$N$2000&amp;") "&amp;소재DB_RAW!$O$3:$O$2000,(소재DB_RAW!$G$3:$G$2000=$D175)*ISNUMBER(SEARCH("안감",소재DB_RAW!$M$3:$M$2000))*ISERROR(SEARCH("drop",소재DB_RAW!$C$3:$C$2000))))),"")</f>
        <v/>
      </c>
      <c r="AA175" s="22">
        <f>IFERROR(MAX(FILTER(소재DB_RAW!$AK$3:$AK$2000,(소재DB_RAW!$G$3:$G$2000=$D175)*ISERROR(SEARCH("drop",소재DB_RAW!$C$3:$C$2000))*(소재DB_RAW!$AK$3:$AK$2000&lt;&gt;""))),"")</f>
        <v/>
      </c>
      <c r="AB175" s="27" t="n">
        <v>14000</v>
      </c>
      <c r="AC175" s="27" t="n">
        <v>395080000</v>
      </c>
      <c r="AD175" s="27" t="n">
        <v>2492000000</v>
      </c>
      <c r="AE175" s="20" t="inlineStr">
        <is>
          <t>2월4주</t>
        </is>
      </c>
      <c r="AF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G175" s="19">
        <f>IF($K175="","",IF(OR(LEFT($AF175,2)="작지",LEFT($AF175,4)="소재입고"),IF(LEFT($G175,1)="S","★ 납기위험(S코드)","◆ 지연주의"),IF($AF175="정상","✓ 정상","? 확인필요")))</f>
        <v/>
      </c>
      <c r="AH175" s="21" t="n"/>
      <c r="AI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19">
        <f>IF(COUNTIF(EDW_RAW!$A$2:$A$1500,$D176)=0,"",IF(COUNTIFS(EDW_RAW!$A$2:$A$1500,$D176,EDW_RAW!$R$2:$R$1500,"&lt;&gt;~",EDW_RAW!$R$2:$R$1500,"&lt;&gt;")=COUNTIF(EDW_RAW!$A$2:$A$1500,$D176),"O",IF(COUNTIFS(EDW_RAW!$A$2:$A$1500,$D176,EDW_RAW!$R$2:$R$1500,"&lt;&gt;~",EDW_RAW!$R$2:$R$1500,"&lt;&gt;")&gt;0,"부분","X")))</f>
        <v/>
      </c>
      <c r="R176" s="19">
        <f>IF(COUNTIF(EDW_RAW!$A$2:$A$1500,$D176)=0,"",IF(COUNTIFS(EDW_RAW!$A$2:$A$1500,$D176,EDW_RAW!$U$2:$U$1500,"&lt;&gt;~",EDW_RAW!$U$2:$U$1500,"&lt;&gt;")=COUNTIF(EDW_RAW!$A$2:$A$1500,$D176),"O",IF(COUNTIFS(EDW_RAW!$A$2:$A$1500,$D176,EDW_RAW!$U$2:$U$1500,"&lt;&gt;~",EDW_RAW!$U$2:$U$1500,"&lt;&gt;")&gt;0,"부분","X")))</f>
        <v/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",TRUE,UNIQUE(FILTER(소재DB_RAW!$K$3:$K$2000,(소재DB_RAW!$G$3:$G$2000=$D176)*ISERROR(SEARCH("drop",소재DB_RAW!$C$3:$C$2000))))),"")</f>
        <v/>
      </c>
      <c r="W176" s="20" t="inlineStr">
        <is>
          <t>인도네시아</t>
        </is>
      </c>
      <c r="X176" s="20">
        <f>IFERROR(TEXTJOIN(" / ",TRUE,UNIQUE(FILTER(소재DB_RAW!$N$3:$N$2000,(소재DB_RAW!$G$3:$G$2000=$D176)*ISERROR(SEARCH("drop",소재DB_RAW!$C$3:$C$2000))))),"")</f>
        <v/>
      </c>
      <c r="Y176" s="26">
        <f>IFERROR(TEXTJOIN(CHAR(10),TRUE,UNIQUE(FILTER(소재DB_RAW!$N$3:$N$2000&amp;") "&amp;소재DB_RAW!$O$3:$O$2000,(소재DB_RAW!$G$3:$G$2000=$D176)*ISNUMBER(SEARCH("겉감",소재DB_RAW!$M$3:$M$2000))*ISERROR(SEARCH("drop",소재DB_RAW!$C$3:$C$2000))))),"")</f>
        <v/>
      </c>
      <c r="Z176" s="26">
        <f>IFERROR(TEXTJOIN(CHAR(10),TRUE,UNIQUE(FILTER(소재DB_RAW!$N$3:$N$2000&amp;") "&amp;소재DB_RAW!$O$3:$O$2000,(소재DB_RAW!$G$3:$G$2000=$D176)*ISNUMBER(SEARCH("안감",소재DB_RAW!$M$3:$M$2000))*ISERROR(SEARCH("drop",소재DB_RAW!$C$3:$C$2000))))),"")</f>
        <v/>
      </c>
      <c r="AA176" s="22">
        <f>IFERROR(MAX(FILTER(소재DB_RAW!$AK$3:$AK$2000,(소재DB_RAW!$G$3:$G$2000=$D176)*ISERROR(SEARCH("drop",소재DB_RAW!$C$3:$C$2000))*(소재DB_RAW!$AK$3:$AK$2000&lt;&gt;""))),"")</f>
        <v/>
      </c>
      <c r="AB176" s="27" t="n">
        <v>1200</v>
      </c>
      <c r="AC176" s="27" t="n">
        <v>44798400</v>
      </c>
      <c r="AD176" s="27" t="n">
        <v>201600000</v>
      </c>
      <c r="AE176" s="20" t="inlineStr">
        <is>
          <t>44511</t>
        </is>
      </c>
      <c r="AF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G176" s="19">
        <f>IF($K176="","",IF(OR(LEFT($AF176,2)="작지",LEFT($AF176,4)="소재입고"),IF(LEFT($G176,1)="S","★ 납기위험(S코드)","◆ 지연주의"),IF($AF176="정상","✓ 정상","? 확인필요")))</f>
        <v/>
      </c>
      <c r="AH176" s="21" t="n"/>
      <c r="AI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19">
        <f>IF(COUNTIF(EDW_RAW!$A$2:$A$1500,$D177)=0,"",IF(COUNTIFS(EDW_RAW!$A$2:$A$1500,$D177,EDW_RAW!$R$2:$R$1500,"&lt;&gt;~",EDW_RAW!$R$2:$R$1500,"&lt;&gt;")=COUNTIF(EDW_RAW!$A$2:$A$1500,$D177),"O",IF(COUNTIFS(EDW_RAW!$A$2:$A$1500,$D177,EDW_RAW!$R$2:$R$1500,"&lt;&gt;~",EDW_RAW!$R$2:$R$1500,"&lt;&gt;")&gt;0,"부분","X")))</f>
        <v/>
      </c>
      <c r="R177" s="19">
        <f>IF(COUNTIF(EDW_RAW!$A$2:$A$1500,$D177)=0,"",IF(COUNTIFS(EDW_RAW!$A$2:$A$1500,$D177,EDW_RAW!$U$2:$U$1500,"&lt;&gt;~",EDW_RAW!$U$2:$U$1500,"&lt;&gt;")=COUNTIF(EDW_RAW!$A$2:$A$1500,$D177),"O",IF(COUNTIFS(EDW_RAW!$A$2:$A$1500,$D177,EDW_RAW!$U$2:$U$1500,"&lt;&gt;~",EDW_RAW!$U$2:$U$1500,"&lt;&gt;")&gt;0,"부분","X")))</f>
        <v/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",TRUE,UNIQUE(FILTER(소재DB_RAW!$K$3:$K$2000,(소재DB_RAW!$G$3:$G$2000=$D177)*ISERROR(SEARCH("drop",소재DB_RAW!$C$3:$C$2000))))),"")</f>
        <v/>
      </c>
      <c r="W177" s="20" t="inlineStr">
        <is>
          <t>베트남</t>
        </is>
      </c>
      <c r="X177" s="20">
        <f>IFERROR(TEXTJOIN(" / ",TRUE,UNIQUE(FILTER(소재DB_RAW!$N$3:$N$2000,(소재DB_RAW!$G$3:$G$2000=$D177)*ISERROR(SEARCH("drop",소재DB_RAW!$C$3:$C$2000))))),"")</f>
        <v/>
      </c>
      <c r="Y177" s="26">
        <f>IFERROR(TEXTJOIN(CHAR(10),TRUE,UNIQUE(FILTER(소재DB_RAW!$N$3:$N$2000&amp;") "&amp;소재DB_RAW!$O$3:$O$2000,(소재DB_RAW!$G$3:$G$2000=$D177)*ISNUMBER(SEARCH("겉감",소재DB_RAW!$M$3:$M$2000))*ISERROR(SEARCH("drop",소재DB_RAW!$C$3:$C$2000))))),"")</f>
        <v/>
      </c>
      <c r="Z177" s="26">
        <f>IFERROR(TEXTJOIN(CHAR(10),TRUE,UNIQUE(FILTER(소재DB_RAW!$N$3:$N$2000&amp;") "&amp;소재DB_RAW!$O$3:$O$2000,(소재DB_RAW!$G$3:$G$2000=$D177)*ISNUMBER(SEARCH("안감",소재DB_RAW!$M$3:$M$2000))*ISERROR(SEARCH("drop",소재DB_RAW!$C$3:$C$2000))))),"")</f>
        <v/>
      </c>
      <c r="AA177" s="22">
        <f>IFERROR(MAX(FILTER(소재DB_RAW!$AK$3:$AK$2000,(소재DB_RAW!$G$3:$G$2000=$D177)*ISERROR(SEARCH("drop",소재DB_RAW!$C$3:$C$2000))*(소재DB_RAW!$AK$3:$AK$2000&lt;&gt;""))),"")</f>
        <v/>
      </c>
      <c r="AB177" s="27" t="n">
        <v>12000</v>
      </c>
      <c r="AC177" s="27" t="n">
        <v>216000000</v>
      </c>
      <c r="AD177" s="27" t="n">
        <v>1416000000</v>
      </c>
      <c r="AE177" s="20" t="inlineStr">
        <is>
          <t>44511</t>
        </is>
      </c>
      <c r="AF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G177" s="19">
        <f>IF($K177="","",IF(OR(LEFT($AF177,2)="작지",LEFT($AF177,4)="소재입고"),IF(LEFT($G177,1)="S","★ 납기위험(S코드)","◆ 지연주의"),IF($AF177="정상","✓ 정상","? 확인필요")))</f>
        <v/>
      </c>
      <c r="AH177" s="21" t="n"/>
      <c r="AI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19">
        <f>IF(COUNTIF(EDW_RAW!$A$2:$A$1500,$D178)=0,"",IF(COUNTIFS(EDW_RAW!$A$2:$A$1500,$D178,EDW_RAW!$R$2:$R$1500,"&lt;&gt;~",EDW_RAW!$R$2:$R$1500,"&lt;&gt;")=COUNTIF(EDW_RAW!$A$2:$A$1500,$D178),"O",IF(COUNTIFS(EDW_RAW!$A$2:$A$1500,$D178,EDW_RAW!$R$2:$R$1500,"&lt;&gt;~",EDW_RAW!$R$2:$R$1500,"&lt;&gt;")&gt;0,"부분","X")))</f>
        <v/>
      </c>
      <c r="R178" s="19">
        <f>IF(COUNTIF(EDW_RAW!$A$2:$A$1500,$D178)=0,"",IF(COUNTIFS(EDW_RAW!$A$2:$A$1500,$D178,EDW_RAW!$U$2:$U$1500,"&lt;&gt;~",EDW_RAW!$U$2:$U$1500,"&lt;&gt;")=COUNTIF(EDW_RAW!$A$2:$A$1500,$D178),"O",IF(COUNTIFS(EDW_RAW!$A$2:$A$1500,$D178,EDW_RAW!$U$2:$U$1500,"&lt;&gt;~",EDW_RAW!$U$2:$U$1500,"&lt;&gt;")&gt;0,"부분","X")))</f>
        <v/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",TRUE,UNIQUE(FILTER(소재DB_RAW!$K$3:$K$2000,(소재DB_RAW!$G$3:$G$2000=$D178)*ISERROR(SEARCH("drop",소재DB_RAW!$C$3:$C$2000))))),"")</f>
        <v/>
      </c>
      <c r="W178" s="20" t="inlineStr">
        <is>
          <t>베트남</t>
        </is>
      </c>
      <c r="X178" s="20">
        <f>IFERROR(TEXTJOIN(" / ",TRUE,UNIQUE(FILTER(소재DB_RAW!$N$3:$N$2000,(소재DB_RAW!$G$3:$G$2000=$D178)*ISERROR(SEARCH("drop",소재DB_RAW!$C$3:$C$2000))))),"")</f>
        <v/>
      </c>
      <c r="Y178" s="26">
        <f>IFERROR(TEXTJOIN(CHAR(10),TRUE,UNIQUE(FILTER(소재DB_RAW!$N$3:$N$2000&amp;") "&amp;소재DB_RAW!$O$3:$O$2000,(소재DB_RAW!$G$3:$G$2000=$D178)*ISNUMBER(SEARCH("겉감",소재DB_RAW!$M$3:$M$2000))*ISERROR(SEARCH("drop",소재DB_RAW!$C$3:$C$2000))))),"")</f>
        <v/>
      </c>
      <c r="Z178" s="26">
        <f>IFERROR(TEXTJOIN(CHAR(10),TRUE,UNIQUE(FILTER(소재DB_RAW!$N$3:$N$2000&amp;") "&amp;소재DB_RAW!$O$3:$O$2000,(소재DB_RAW!$G$3:$G$2000=$D178)*ISNUMBER(SEARCH("안감",소재DB_RAW!$M$3:$M$2000))*ISERROR(SEARCH("drop",소재DB_RAW!$C$3:$C$2000))))),"")</f>
        <v/>
      </c>
      <c r="AA178" s="22">
        <f>IFERROR(MAX(FILTER(소재DB_RAW!$AK$3:$AK$2000,(소재DB_RAW!$G$3:$G$2000=$D178)*ISERROR(SEARCH("drop",소재DB_RAW!$C$3:$C$2000))*(소재DB_RAW!$AK$3:$AK$2000&lt;&gt;""))),"")</f>
        <v/>
      </c>
      <c r="AB178" s="27" t="n">
        <v>4700</v>
      </c>
      <c r="AC178" s="27" t="n">
        <v>47972900</v>
      </c>
      <c r="AD178" s="27" t="n">
        <v>235000000</v>
      </c>
      <c r="AE178" s="20" t="n"/>
      <c r="AF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G178" s="19">
        <f>IF($K178="","",IF(OR(LEFT($AF178,2)="작지",LEFT($AF178,4)="소재입고"),IF(LEFT($G178,1)="S","★ 납기위험(S코드)","◆ 지연주의"),IF($AF178="정상","✓ 정상","? 확인필요")))</f>
        <v/>
      </c>
      <c r="AH178" s="21" t="n"/>
      <c r="AI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19">
        <f>IF(COUNTIF(EDW_RAW!$A$2:$A$1500,$D179)=0,"",IF(COUNTIFS(EDW_RAW!$A$2:$A$1500,$D179,EDW_RAW!$R$2:$R$1500,"&lt;&gt;~",EDW_RAW!$R$2:$R$1500,"&lt;&gt;")=COUNTIF(EDW_RAW!$A$2:$A$1500,$D179),"O",IF(COUNTIFS(EDW_RAW!$A$2:$A$1500,$D179,EDW_RAW!$R$2:$R$1500,"&lt;&gt;~",EDW_RAW!$R$2:$R$1500,"&lt;&gt;")&gt;0,"부분","X")))</f>
        <v/>
      </c>
      <c r="R179" s="19">
        <f>IF(COUNTIF(EDW_RAW!$A$2:$A$1500,$D179)=0,"",IF(COUNTIFS(EDW_RAW!$A$2:$A$1500,$D179,EDW_RAW!$U$2:$U$1500,"&lt;&gt;~",EDW_RAW!$U$2:$U$1500,"&lt;&gt;")=COUNTIF(EDW_RAW!$A$2:$A$1500,$D179),"O",IF(COUNTIFS(EDW_RAW!$A$2:$A$1500,$D179,EDW_RAW!$U$2:$U$1500,"&lt;&gt;~",EDW_RAW!$U$2:$U$1500,"&lt;&gt;")&gt;0,"부분","X")))</f>
        <v/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",TRUE,UNIQUE(FILTER(소재DB_RAW!$K$3:$K$2000,(소재DB_RAW!$G$3:$G$2000=$D179)*ISERROR(SEARCH("drop",소재DB_RAW!$C$3:$C$2000))))),"")</f>
        <v/>
      </c>
      <c r="W179" s="20" t="inlineStr">
        <is>
          <t>베트남</t>
        </is>
      </c>
      <c r="X179" s="20">
        <f>IFERROR(TEXTJOIN(" / ",TRUE,UNIQUE(FILTER(소재DB_RAW!$N$3:$N$2000,(소재DB_RAW!$G$3:$G$2000=$D179)*ISERROR(SEARCH("drop",소재DB_RAW!$C$3:$C$2000))))),"")</f>
        <v/>
      </c>
      <c r="Y179" s="26">
        <f>IFERROR(TEXTJOIN(CHAR(10),TRUE,UNIQUE(FILTER(소재DB_RAW!$N$3:$N$2000&amp;") "&amp;소재DB_RAW!$O$3:$O$2000,(소재DB_RAW!$G$3:$G$2000=$D179)*ISNUMBER(SEARCH("겉감",소재DB_RAW!$M$3:$M$2000))*ISERROR(SEARCH("drop",소재DB_RAW!$C$3:$C$2000))))),"")</f>
        <v/>
      </c>
      <c r="Z179" s="26">
        <f>IFERROR(TEXTJOIN(CHAR(10),TRUE,UNIQUE(FILTER(소재DB_RAW!$N$3:$N$2000&amp;") "&amp;소재DB_RAW!$O$3:$O$2000,(소재DB_RAW!$G$3:$G$2000=$D179)*ISNUMBER(SEARCH("안감",소재DB_RAW!$M$3:$M$2000))*ISERROR(SEARCH("drop",소재DB_RAW!$C$3:$C$2000))))),"")</f>
        <v/>
      </c>
      <c r="AA179" s="22">
        <f>IFERROR(MAX(FILTER(소재DB_RAW!$AK$3:$AK$2000,(소재DB_RAW!$G$3:$G$2000=$D179)*ISERROR(SEARCH("drop",소재DB_RAW!$C$3:$C$2000))*(소재DB_RAW!$AK$3:$AK$2000&lt;&gt;""))),"")</f>
        <v/>
      </c>
      <c r="AB179" s="27" t="n">
        <v>4500</v>
      </c>
      <c r="AC179" s="27" t="n">
        <v>34879500</v>
      </c>
      <c r="AD179" s="27" t="n">
        <v>202500000</v>
      </c>
      <c r="AE179" s="20" t="n"/>
      <c r="AF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G179" s="19">
        <f>IF($K179="","",IF(OR(LEFT($AF179,2)="작지",LEFT($AF179,4)="소재입고"),IF(LEFT($G179,1)="S","★ 납기위험(S코드)","◆ 지연주의"),IF($AF179="정상","✓ 정상","? 확인필요")))</f>
        <v/>
      </c>
      <c r="AH179" s="21" t="n"/>
      <c r="AI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19">
        <f>IF(COUNTIF(EDW_RAW!$A$2:$A$1500,$D180)=0,"",IF(COUNTIFS(EDW_RAW!$A$2:$A$1500,$D180,EDW_RAW!$R$2:$R$1500,"&lt;&gt;~",EDW_RAW!$R$2:$R$1500,"&lt;&gt;")=COUNTIF(EDW_RAW!$A$2:$A$1500,$D180),"O",IF(COUNTIFS(EDW_RAW!$A$2:$A$1500,$D180,EDW_RAW!$R$2:$R$1500,"&lt;&gt;~",EDW_RAW!$R$2:$R$1500,"&lt;&gt;")&gt;0,"부분","X")))</f>
        <v/>
      </c>
      <c r="R180" s="19">
        <f>IF(COUNTIF(EDW_RAW!$A$2:$A$1500,$D180)=0,"",IF(COUNTIFS(EDW_RAW!$A$2:$A$1500,$D180,EDW_RAW!$U$2:$U$1500,"&lt;&gt;~",EDW_RAW!$U$2:$U$1500,"&lt;&gt;")=COUNTIF(EDW_RAW!$A$2:$A$1500,$D180),"O",IF(COUNTIFS(EDW_RAW!$A$2:$A$1500,$D180,EDW_RAW!$U$2:$U$1500,"&lt;&gt;~",EDW_RAW!$U$2:$U$1500,"&lt;&gt;")&gt;0,"부분","X")))</f>
        <v/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",TRUE,UNIQUE(FILTER(소재DB_RAW!$K$3:$K$2000,(소재DB_RAW!$G$3:$G$2000=$D180)*ISERROR(SEARCH("drop",소재DB_RAW!$C$3:$C$2000))))),"")</f>
        <v/>
      </c>
      <c r="W180" s="20" t="inlineStr">
        <is>
          <t>베트남</t>
        </is>
      </c>
      <c r="X180" s="20">
        <f>IFERROR(TEXTJOIN(" / ",TRUE,UNIQUE(FILTER(소재DB_RAW!$N$3:$N$2000,(소재DB_RAW!$G$3:$G$2000=$D180)*ISERROR(SEARCH("drop",소재DB_RAW!$C$3:$C$2000))))),"")</f>
        <v/>
      </c>
      <c r="Y180" s="26">
        <f>IFERROR(TEXTJOIN(CHAR(10),TRUE,UNIQUE(FILTER(소재DB_RAW!$N$3:$N$2000&amp;") "&amp;소재DB_RAW!$O$3:$O$2000,(소재DB_RAW!$G$3:$G$2000=$D180)*ISNUMBER(SEARCH("겉감",소재DB_RAW!$M$3:$M$2000))*ISERROR(SEARCH("drop",소재DB_RAW!$C$3:$C$2000))))),"")</f>
        <v/>
      </c>
      <c r="Z180" s="26">
        <f>IFERROR(TEXTJOIN(CHAR(10),TRUE,UNIQUE(FILTER(소재DB_RAW!$N$3:$N$2000&amp;") "&amp;소재DB_RAW!$O$3:$O$2000,(소재DB_RAW!$G$3:$G$2000=$D180)*ISNUMBER(SEARCH("안감",소재DB_RAW!$M$3:$M$2000))*ISERROR(SEARCH("drop",소재DB_RAW!$C$3:$C$2000))))),"")</f>
        <v/>
      </c>
      <c r="AA180" s="22">
        <f>IFERROR(MAX(FILTER(소재DB_RAW!$AK$3:$AK$2000,(소재DB_RAW!$G$3:$G$2000=$D180)*ISERROR(SEARCH("drop",소재DB_RAW!$C$3:$C$2000))*(소재DB_RAW!$AK$3:$AK$2000&lt;&gt;""))),"")</f>
        <v/>
      </c>
      <c r="AB180" s="27" t="n">
        <v>1500</v>
      </c>
      <c r="AC180" s="27" t="n">
        <v>55500000</v>
      </c>
      <c r="AD180" s="27" t="n">
        <v>297000000</v>
      </c>
      <c r="AE180" s="20" t="n"/>
      <c r="AF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G180" s="19">
        <f>IF($K180="","",IF(OR(LEFT($AF180,2)="작지",LEFT($AF180,4)="소재입고"),IF(LEFT($G180,1)="S","★ 납기위험(S코드)","◆ 지연주의"),IF($AF180="정상","✓ 정상","? 확인필요")))</f>
        <v/>
      </c>
      <c r="AH180" s="21" t="n"/>
      <c r="AI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19">
        <f>IF(COUNTIF(EDW_RAW!$A$2:$A$1500,$D181)=0,"",IF(COUNTIFS(EDW_RAW!$A$2:$A$1500,$D181,EDW_RAW!$R$2:$R$1500,"&lt;&gt;~",EDW_RAW!$R$2:$R$1500,"&lt;&gt;")=COUNTIF(EDW_RAW!$A$2:$A$1500,$D181),"O",IF(COUNTIFS(EDW_RAW!$A$2:$A$1500,$D181,EDW_RAW!$R$2:$R$1500,"&lt;&gt;~",EDW_RAW!$R$2:$R$1500,"&lt;&gt;")&gt;0,"부분","X")))</f>
        <v/>
      </c>
      <c r="R181" s="19">
        <f>IF(COUNTIF(EDW_RAW!$A$2:$A$1500,$D181)=0,"",IF(COUNTIFS(EDW_RAW!$A$2:$A$1500,$D181,EDW_RAW!$U$2:$U$1500,"&lt;&gt;~",EDW_RAW!$U$2:$U$1500,"&lt;&gt;")=COUNTIF(EDW_RAW!$A$2:$A$1500,$D181),"O",IF(COUNTIFS(EDW_RAW!$A$2:$A$1500,$D181,EDW_RAW!$U$2:$U$1500,"&lt;&gt;~",EDW_RAW!$U$2:$U$1500,"&lt;&gt;")&gt;0,"부분","X")))</f>
        <v/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",TRUE,UNIQUE(FILTER(소재DB_RAW!$K$3:$K$2000,(소재DB_RAW!$G$3:$G$2000=$D181)*ISERROR(SEARCH("drop",소재DB_RAW!$C$3:$C$2000))))),"")</f>
        <v/>
      </c>
      <c r="W181" s="20" t="inlineStr">
        <is>
          <t>베트남</t>
        </is>
      </c>
      <c r="X181" s="20">
        <f>IFERROR(TEXTJOIN(" / ",TRUE,UNIQUE(FILTER(소재DB_RAW!$N$3:$N$2000,(소재DB_RAW!$G$3:$G$2000=$D181)*ISERROR(SEARCH("drop",소재DB_RAW!$C$3:$C$2000))))),"")</f>
        <v/>
      </c>
      <c r="Y181" s="26">
        <f>IFERROR(TEXTJOIN(CHAR(10),TRUE,UNIQUE(FILTER(소재DB_RAW!$N$3:$N$2000&amp;") "&amp;소재DB_RAW!$O$3:$O$2000,(소재DB_RAW!$G$3:$G$2000=$D181)*ISNUMBER(SEARCH("겉감",소재DB_RAW!$M$3:$M$2000))*ISERROR(SEARCH("drop",소재DB_RAW!$C$3:$C$2000))))),"")</f>
        <v/>
      </c>
      <c r="Z181" s="26">
        <f>IFERROR(TEXTJOIN(CHAR(10),TRUE,UNIQUE(FILTER(소재DB_RAW!$N$3:$N$2000&amp;") "&amp;소재DB_RAW!$O$3:$O$2000,(소재DB_RAW!$G$3:$G$2000=$D181)*ISNUMBER(SEARCH("안감",소재DB_RAW!$M$3:$M$2000))*ISERROR(SEARCH("drop",소재DB_RAW!$C$3:$C$2000))))),"")</f>
        <v/>
      </c>
      <c r="AA181" s="22">
        <f>IFERROR(MAX(FILTER(소재DB_RAW!$AK$3:$AK$2000,(소재DB_RAW!$G$3:$G$2000=$D181)*ISERROR(SEARCH("drop",소재DB_RAW!$C$3:$C$2000))*(소재DB_RAW!$AK$3:$AK$2000&lt;&gt;""))),"")</f>
        <v/>
      </c>
      <c r="AB181" s="27" t="n">
        <v>2000</v>
      </c>
      <c r="AC181" s="27" t="n">
        <v>78808000</v>
      </c>
      <c r="AD181" s="27" t="n">
        <v>376000000</v>
      </c>
      <c r="AE181" s="20" t="inlineStr">
        <is>
          <t>2월4주</t>
        </is>
      </c>
      <c r="AF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G181" s="19">
        <f>IF($K181="","",IF(OR(LEFT($AF181,2)="작지",LEFT($AF181,4)="소재입고"),IF(LEFT($G181,1)="S","★ 납기위험(S코드)","◆ 지연주의"),IF($AF181="정상","✓ 정상","? 확인필요")))</f>
        <v/>
      </c>
      <c r="AH181" s="21" t="n"/>
      <c r="AI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19">
        <f>IF(COUNTIF(EDW_RAW!$A$2:$A$1500,$D182)=0,"",IF(COUNTIFS(EDW_RAW!$A$2:$A$1500,$D182,EDW_RAW!$R$2:$R$1500,"&lt;&gt;~",EDW_RAW!$R$2:$R$1500,"&lt;&gt;")=COUNTIF(EDW_RAW!$A$2:$A$1500,$D182),"O",IF(COUNTIFS(EDW_RAW!$A$2:$A$1500,$D182,EDW_RAW!$R$2:$R$1500,"&lt;&gt;~",EDW_RAW!$R$2:$R$1500,"&lt;&gt;")&gt;0,"부분","X")))</f>
        <v/>
      </c>
      <c r="R182" s="19">
        <f>IF(COUNTIF(EDW_RAW!$A$2:$A$1500,$D182)=0,"",IF(COUNTIFS(EDW_RAW!$A$2:$A$1500,$D182,EDW_RAW!$U$2:$U$1500,"&lt;&gt;~",EDW_RAW!$U$2:$U$1500,"&lt;&gt;")=COUNTIF(EDW_RAW!$A$2:$A$1500,$D182),"O",IF(COUNTIFS(EDW_RAW!$A$2:$A$1500,$D182,EDW_RAW!$U$2:$U$1500,"&lt;&gt;~",EDW_RAW!$U$2:$U$1500,"&lt;&gt;")&gt;0,"부분","X")))</f>
        <v/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",TRUE,UNIQUE(FILTER(소재DB_RAW!$K$3:$K$2000,(소재DB_RAW!$G$3:$G$2000=$D182)*ISERROR(SEARCH("drop",소재DB_RAW!$C$3:$C$2000))))),"")</f>
        <v/>
      </c>
      <c r="W182" s="20" t="inlineStr">
        <is>
          <t>베트남</t>
        </is>
      </c>
      <c r="X182" s="20">
        <f>IFERROR(TEXTJOIN(" / ",TRUE,UNIQUE(FILTER(소재DB_RAW!$N$3:$N$2000,(소재DB_RAW!$G$3:$G$2000=$D182)*ISERROR(SEARCH("drop",소재DB_RAW!$C$3:$C$2000))))),"")</f>
        <v/>
      </c>
      <c r="Y182" s="26">
        <f>IFERROR(TEXTJOIN(CHAR(10),TRUE,UNIQUE(FILTER(소재DB_RAW!$N$3:$N$2000&amp;") "&amp;소재DB_RAW!$O$3:$O$2000,(소재DB_RAW!$G$3:$G$2000=$D182)*ISNUMBER(SEARCH("겉감",소재DB_RAW!$M$3:$M$2000))*ISERROR(SEARCH("drop",소재DB_RAW!$C$3:$C$2000))))),"")</f>
        <v/>
      </c>
      <c r="Z182" s="26">
        <f>IFERROR(TEXTJOIN(CHAR(10),TRUE,UNIQUE(FILTER(소재DB_RAW!$N$3:$N$2000&amp;") "&amp;소재DB_RAW!$O$3:$O$2000,(소재DB_RAW!$G$3:$G$2000=$D182)*ISNUMBER(SEARCH("안감",소재DB_RAW!$M$3:$M$2000))*ISERROR(SEARCH("drop",소재DB_RAW!$C$3:$C$2000))))),"")</f>
        <v/>
      </c>
      <c r="AA182" s="22">
        <f>IFERROR(MAX(FILTER(소재DB_RAW!$AK$3:$AK$2000,(소재DB_RAW!$G$3:$G$2000=$D182)*ISERROR(SEARCH("drop",소재DB_RAW!$C$3:$C$2000))*(소재DB_RAW!$AK$3:$AK$2000&lt;&gt;""))),"")</f>
        <v/>
      </c>
      <c r="AB182" s="27" t="n">
        <v>1600</v>
      </c>
      <c r="AC182" s="27" t="n">
        <v>61387200</v>
      </c>
      <c r="AD182" s="27" t="n">
        <v>284800000</v>
      </c>
      <c r="AE182" s="20" t="inlineStr">
        <is>
          <t>3</t>
        </is>
      </c>
      <c r="AF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G182" s="19">
        <f>IF($K182="","",IF(OR(LEFT($AF182,2)="작지",LEFT($AF182,4)="소재입고"),IF(LEFT($G182,1)="S","★ 납기위험(S코드)","◆ 지연주의"),IF($AF182="정상","✓ 정상","? 확인필요")))</f>
        <v/>
      </c>
      <c r="AH182" s="21" t="n"/>
      <c r="AI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19">
        <f>IF(COUNTIF(EDW_RAW!$A$2:$A$1500,$D183)=0,"",IF(COUNTIFS(EDW_RAW!$A$2:$A$1500,$D183,EDW_RAW!$R$2:$R$1500,"&lt;&gt;~",EDW_RAW!$R$2:$R$1500,"&lt;&gt;")=COUNTIF(EDW_RAW!$A$2:$A$1500,$D183),"O",IF(COUNTIFS(EDW_RAW!$A$2:$A$1500,$D183,EDW_RAW!$R$2:$R$1500,"&lt;&gt;~",EDW_RAW!$R$2:$R$1500,"&lt;&gt;")&gt;0,"부분","X")))</f>
        <v/>
      </c>
      <c r="R183" s="19">
        <f>IF(COUNTIF(EDW_RAW!$A$2:$A$1500,$D183)=0,"",IF(COUNTIFS(EDW_RAW!$A$2:$A$1500,$D183,EDW_RAW!$U$2:$U$1500,"&lt;&gt;~",EDW_RAW!$U$2:$U$1500,"&lt;&gt;")=COUNTIF(EDW_RAW!$A$2:$A$1500,$D183),"O",IF(COUNTIFS(EDW_RAW!$A$2:$A$1500,$D183,EDW_RAW!$U$2:$U$1500,"&lt;&gt;~",EDW_RAW!$U$2:$U$1500,"&lt;&gt;")&gt;0,"부분","X")))</f>
        <v/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",TRUE,UNIQUE(FILTER(소재DB_RAW!$K$3:$K$2000,(소재DB_RAW!$G$3:$G$2000=$D183)*ISERROR(SEARCH("drop",소재DB_RAW!$C$3:$C$2000))))),"")</f>
        <v/>
      </c>
      <c r="W183" s="20" t="inlineStr">
        <is>
          <t>인도네시아</t>
        </is>
      </c>
      <c r="X183" s="20">
        <f>IFERROR(TEXTJOIN(" / ",TRUE,UNIQUE(FILTER(소재DB_RAW!$N$3:$N$2000,(소재DB_RAW!$G$3:$G$2000=$D183)*ISERROR(SEARCH("drop",소재DB_RAW!$C$3:$C$2000))))),"")</f>
        <v/>
      </c>
      <c r="Y183" s="26">
        <f>IFERROR(TEXTJOIN(CHAR(10),TRUE,UNIQUE(FILTER(소재DB_RAW!$N$3:$N$2000&amp;") "&amp;소재DB_RAW!$O$3:$O$2000,(소재DB_RAW!$G$3:$G$2000=$D183)*ISNUMBER(SEARCH("겉감",소재DB_RAW!$M$3:$M$2000))*ISERROR(SEARCH("drop",소재DB_RAW!$C$3:$C$2000))))),"")</f>
        <v/>
      </c>
      <c r="Z183" s="26">
        <f>IFERROR(TEXTJOIN(CHAR(10),TRUE,UNIQUE(FILTER(소재DB_RAW!$N$3:$N$2000&amp;") "&amp;소재DB_RAW!$O$3:$O$2000,(소재DB_RAW!$G$3:$G$2000=$D183)*ISNUMBER(SEARCH("안감",소재DB_RAW!$M$3:$M$2000))*ISERROR(SEARCH("drop",소재DB_RAW!$C$3:$C$2000))))),"")</f>
        <v/>
      </c>
      <c r="AA183" s="22">
        <f>IFERROR(MAX(FILTER(소재DB_RAW!$AK$3:$AK$2000,(소재DB_RAW!$G$3:$G$2000=$D183)*ISERROR(SEARCH("drop",소재DB_RAW!$C$3:$C$2000))*(소재DB_RAW!$AK$3:$AK$2000&lt;&gt;""))),"")</f>
        <v/>
      </c>
      <c r="AB183" s="27" t="n">
        <v>1600</v>
      </c>
      <c r="AC183" s="27" t="n">
        <v>30280000</v>
      </c>
      <c r="AD183" s="27" t="n">
        <v>188800000</v>
      </c>
      <c r="AE183" s="20" t="inlineStr">
        <is>
          <t>2월4주</t>
        </is>
      </c>
      <c r="AF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G183" s="19">
        <f>IF($K183="","",IF(OR(LEFT($AF183,2)="작지",LEFT($AF183,4)="소재입고"),IF(LEFT($G183,1)="S","★ 납기위험(S코드)","◆ 지연주의"),IF($AF183="정상","✓ 정상","? 확인필요")))</f>
        <v/>
      </c>
      <c r="AH183" s="21" t="n"/>
      <c r="AI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19">
        <f>IF(COUNTIF(EDW_RAW!$A$2:$A$1500,$D184)=0,"",IF(COUNTIFS(EDW_RAW!$A$2:$A$1500,$D184,EDW_RAW!$R$2:$R$1500,"&lt;&gt;~",EDW_RAW!$R$2:$R$1500,"&lt;&gt;")=COUNTIF(EDW_RAW!$A$2:$A$1500,$D184),"O",IF(COUNTIFS(EDW_RAW!$A$2:$A$1500,$D184,EDW_RAW!$R$2:$R$1500,"&lt;&gt;~",EDW_RAW!$R$2:$R$1500,"&lt;&gt;")&gt;0,"부분","X")))</f>
        <v/>
      </c>
      <c r="R184" s="19">
        <f>IF(COUNTIF(EDW_RAW!$A$2:$A$1500,$D184)=0,"",IF(COUNTIFS(EDW_RAW!$A$2:$A$1500,$D184,EDW_RAW!$U$2:$U$1500,"&lt;&gt;~",EDW_RAW!$U$2:$U$1500,"&lt;&gt;")=COUNTIF(EDW_RAW!$A$2:$A$1500,$D184),"O",IF(COUNTIFS(EDW_RAW!$A$2:$A$1500,$D184,EDW_RAW!$U$2:$U$1500,"&lt;&gt;~",EDW_RAW!$U$2:$U$1500,"&lt;&gt;")&gt;0,"부분","X")))</f>
        <v/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",TRUE,UNIQUE(FILTER(소재DB_RAW!$K$3:$K$2000,(소재DB_RAW!$G$3:$G$2000=$D184)*ISERROR(SEARCH("drop",소재DB_RAW!$C$3:$C$2000))))),"")</f>
        <v/>
      </c>
      <c r="W184" s="20" t="inlineStr">
        <is>
          <t>베트남</t>
        </is>
      </c>
      <c r="X184" s="20">
        <f>IFERROR(TEXTJOIN(" / ",TRUE,UNIQUE(FILTER(소재DB_RAW!$N$3:$N$2000,(소재DB_RAW!$G$3:$G$2000=$D184)*ISERROR(SEARCH("drop",소재DB_RAW!$C$3:$C$2000))))),"")</f>
        <v/>
      </c>
      <c r="Y184" s="26">
        <f>IFERROR(TEXTJOIN(CHAR(10),TRUE,UNIQUE(FILTER(소재DB_RAW!$N$3:$N$2000&amp;") "&amp;소재DB_RAW!$O$3:$O$2000,(소재DB_RAW!$G$3:$G$2000=$D184)*ISNUMBER(SEARCH("겉감",소재DB_RAW!$M$3:$M$2000))*ISERROR(SEARCH("drop",소재DB_RAW!$C$3:$C$2000))))),"")</f>
        <v/>
      </c>
      <c r="Z184" s="26">
        <f>IFERROR(TEXTJOIN(CHAR(10),TRUE,UNIQUE(FILTER(소재DB_RAW!$N$3:$N$2000&amp;") "&amp;소재DB_RAW!$O$3:$O$2000,(소재DB_RAW!$G$3:$G$2000=$D184)*ISNUMBER(SEARCH("안감",소재DB_RAW!$M$3:$M$2000))*ISERROR(SEARCH("drop",소재DB_RAW!$C$3:$C$2000))))),"")</f>
        <v/>
      </c>
      <c r="AA184" s="22">
        <f>IFERROR(MAX(FILTER(소재DB_RAW!$AK$3:$AK$2000,(소재DB_RAW!$G$3:$G$2000=$D184)*ISERROR(SEARCH("drop",소재DB_RAW!$C$3:$C$2000))*(소재DB_RAW!$AK$3:$AK$2000&lt;&gt;""))),"")</f>
        <v/>
      </c>
      <c r="AB184" s="27" t="n">
        <v>3000</v>
      </c>
      <c r="AC184" s="27" t="n">
        <v>158886000</v>
      </c>
      <c r="AD184" s="27" t="n">
        <v>750000000</v>
      </c>
      <c r="AE184" s="20" t="n"/>
      <c r="AF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G184" s="19">
        <f>IF($K184="","",IF(OR(LEFT($AF184,2)="작지",LEFT($AF184,4)="소재입고"),IF(LEFT($G184,1)="S","★ 납기위험(S코드)","◆ 지연주의"),IF($AF184="정상","✓ 정상","? 확인필요")))</f>
        <v/>
      </c>
      <c r="AH184" s="21" t="n"/>
      <c r="AI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19">
        <f>IF(COUNTIF(EDW_RAW!$A$2:$A$1500,$D185)=0,"",IF(COUNTIFS(EDW_RAW!$A$2:$A$1500,$D185,EDW_RAW!$R$2:$R$1500,"&lt;&gt;~",EDW_RAW!$R$2:$R$1500,"&lt;&gt;")=COUNTIF(EDW_RAW!$A$2:$A$1500,$D185),"O",IF(COUNTIFS(EDW_RAW!$A$2:$A$1500,$D185,EDW_RAW!$R$2:$R$1500,"&lt;&gt;~",EDW_RAW!$R$2:$R$1500,"&lt;&gt;")&gt;0,"부분","X")))</f>
        <v/>
      </c>
      <c r="R185" s="19">
        <f>IF(COUNTIF(EDW_RAW!$A$2:$A$1500,$D185)=0,"",IF(COUNTIFS(EDW_RAW!$A$2:$A$1500,$D185,EDW_RAW!$U$2:$U$1500,"&lt;&gt;~",EDW_RAW!$U$2:$U$1500,"&lt;&gt;")=COUNTIF(EDW_RAW!$A$2:$A$1500,$D185),"O",IF(COUNTIFS(EDW_RAW!$A$2:$A$1500,$D185,EDW_RAW!$U$2:$U$1500,"&lt;&gt;~",EDW_RAW!$U$2:$U$1500,"&lt;&gt;")&gt;0,"부분","X")))</f>
        <v/>
      </c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",TRUE,UNIQUE(FILTER(소재DB_RAW!$K$3:$K$2000,(소재DB_RAW!$G$3:$G$2000=$D185)*ISERROR(SEARCH("drop",소재DB_RAW!$C$3:$C$2000))))),"")</f>
        <v/>
      </c>
      <c r="W185" s="20" t="inlineStr"/>
      <c r="X185" s="20">
        <f>IFERROR(TEXTJOIN(" / ",TRUE,UNIQUE(FILTER(소재DB_RAW!$N$3:$N$2000,(소재DB_RAW!$G$3:$G$2000=$D185)*ISERROR(SEARCH("drop",소재DB_RAW!$C$3:$C$2000))))),"")</f>
        <v/>
      </c>
      <c r="Y185" s="26">
        <f>IFERROR(TEXTJOIN(CHAR(10),TRUE,UNIQUE(FILTER(소재DB_RAW!$N$3:$N$2000&amp;") "&amp;소재DB_RAW!$O$3:$O$2000,(소재DB_RAW!$G$3:$G$2000=$D185)*ISNUMBER(SEARCH("겉감",소재DB_RAW!$M$3:$M$2000))*ISERROR(SEARCH("drop",소재DB_RAW!$C$3:$C$2000))))),"")</f>
        <v/>
      </c>
      <c r="Z185" s="26">
        <f>IFERROR(TEXTJOIN(CHAR(10),TRUE,UNIQUE(FILTER(소재DB_RAW!$N$3:$N$2000&amp;") "&amp;소재DB_RAW!$O$3:$O$2000,(소재DB_RAW!$G$3:$G$2000=$D185)*ISNUMBER(SEARCH("안감",소재DB_RAW!$M$3:$M$2000))*ISERROR(SEARCH("drop",소재DB_RAW!$C$3:$C$2000))))),"")</f>
        <v/>
      </c>
      <c r="AA185" s="22">
        <f>IFERROR(MAX(FILTER(소재DB_RAW!$AK$3:$AK$2000,(소재DB_RAW!$G$3:$G$2000=$D185)*ISERROR(SEARCH("drop",소재DB_RAW!$C$3:$C$2000))*(소재DB_RAW!$AK$3:$AK$2000&lt;&gt;""))),"")</f>
        <v/>
      </c>
      <c r="AB185" s="27" t="n">
        <v>3000</v>
      </c>
      <c r="AC185" s="27" t="n">
        <v>120000000</v>
      </c>
      <c r="AD185" s="27" t="n">
        <v>594000000</v>
      </c>
      <c r="AE185" s="20" t="inlineStr">
        <is>
          <t>2월4주</t>
        </is>
      </c>
      <c r="AF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G185" s="19">
        <f>IF($K185="","",IF(OR(LEFT($AF185,2)="작지",LEFT($AF185,4)="소재입고"),IF(LEFT($G185,1)="S","★ 납기위험(S코드)","◆ 지연주의"),IF($AF185="정상","✓ 정상","? 확인필요")))</f>
        <v/>
      </c>
      <c r="AH185" s="21" t="n"/>
      <c r="AI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19">
        <f>IF(COUNTIF(EDW_RAW!$A$2:$A$1500,$D186)=0,"",IF(COUNTIFS(EDW_RAW!$A$2:$A$1500,$D186,EDW_RAW!$R$2:$R$1500,"&lt;&gt;~",EDW_RAW!$R$2:$R$1500,"&lt;&gt;")=COUNTIF(EDW_RAW!$A$2:$A$1500,$D186),"O",IF(COUNTIFS(EDW_RAW!$A$2:$A$1500,$D186,EDW_RAW!$R$2:$R$1500,"&lt;&gt;~",EDW_RAW!$R$2:$R$1500,"&lt;&gt;")&gt;0,"부분","X")))</f>
        <v/>
      </c>
      <c r="R186" s="19">
        <f>IF(COUNTIF(EDW_RAW!$A$2:$A$1500,$D186)=0,"",IF(COUNTIFS(EDW_RAW!$A$2:$A$1500,$D186,EDW_RAW!$U$2:$U$1500,"&lt;&gt;~",EDW_RAW!$U$2:$U$1500,"&lt;&gt;")=COUNTIF(EDW_RAW!$A$2:$A$1500,$D186),"O",IF(COUNTIFS(EDW_RAW!$A$2:$A$1500,$D186,EDW_RAW!$U$2:$U$1500,"&lt;&gt;~",EDW_RAW!$U$2:$U$1500,"&lt;&gt;")&gt;0,"부분","X")))</f>
        <v/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",TRUE,UNIQUE(FILTER(소재DB_RAW!$K$3:$K$2000,(소재DB_RAW!$G$3:$G$2000=$D186)*ISERROR(SEARCH("drop",소재DB_RAW!$C$3:$C$2000))))),"")</f>
        <v/>
      </c>
      <c r="W186" s="20" t="inlineStr">
        <is>
          <t>중국</t>
        </is>
      </c>
      <c r="X186" s="20">
        <f>IFERROR(TEXTJOIN(" / ",TRUE,UNIQUE(FILTER(소재DB_RAW!$N$3:$N$2000,(소재DB_RAW!$G$3:$G$2000=$D186)*ISERROR(SEARCH("drop",소재DB_RAW!$C$3:$C$2000))))),"")</f>
        <v/>
      </c>
      <c r="Y186" s="26">
        <f>IFERROR(TEXTJOIN(CHAR(10),TRUE,UNIQUE(FILTER(소재DB_RAW!$N$3:$N$2000&amp;") "&amp;소재DB_RAW!$O$3:$O$2000,(소재DB_RAW!$G$3:$G$2000=$D186)*ISNUMBER(SEARCH("겉감",소재DB_RAW!$M$3:$M$2000))*ISERROR(SEARCH("drop",소재DB_RAW!$C$3:$C$2000))))),"")</f>
        <v/>
      </c>
      <c r="Z186" s="26">
        <f>IFERROR(TEXTJOIN(CHAR(10),TRUE,UNIQUE(FILTER(소재DB_RAW!$N$3:$N$2000&amp;") "&amp;소재DB_RAW!$O$3:$O$2000,(소재DB_RAW!$G$3:$G$2000=$D186)*ISNUMBER(SEARCH("안감",소재DB_RAW!$M$3:$M$2000))*ISERROR(SEARCH("drop",소재DB_RAW!$C$3:$C$2000))))),"")</f>
        <v/>
      </c>
      <c r="AA186" s="22">
        <f>IFERROR(MAX(FILTER(소재DB_RAW!$AK$3:$AK$2000,(소재DB_RAW!$G$3:$G$2000=$D186)*ISERROR(SEARCH("drop",소재DB_RAW!$C$3:$C$2000))*(소재DB_RAW!$AK$3:$AK$2000&lt;&gt;""))),"")</f>
        <v/>
      </c>
      <c r="AB186" s="27" t="n">
        <v>9500</v>
      </c>
      <c r="AC186" s="27" t="n">
        <v>162868000</v>
      </c>
      <c r="AD186" s="27" t="n">
        <v>1026000000</v>
      </c>
      <c r="AE186" s="20" t="inlineStr">
        <is>
          <t>2월4주</t>
        </is>
      </c>
      <c r="AF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G186" s="19">
        <f>IF($K186="","",IF(OR(LEFT($AF186,2)="작지",LEFT($AF186,4)="소재입고"),IF(LEFT($G186,1)="S","★ 납기위험(S코드)","◆ 지연주의"),IF($AF186="정상","✓ 정상","? 확인필요")))</f>
        <v/>
      </c>
      <c r="AH186" s="21" t="n"/>
      <c r="AI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19">
        <f>IF(COUNTIF(EDW_RAW!$A$2:$A$1500,$D187)=0,"",IF(COUNTIFS(EDW_RAW!$A$2:$A$1500,$D187,EDW_RAW!$R$2:$R$1500,"&lt;&gt;~",EDW_RAW!$R$2:$R$1500,"&lt;&gt;")=COUNTIF(EDW_RAW!$A$2:$A$1500,$D187),"O",IF(COUNTIFS(EDW_RAW!$A$2:$A$1500,$D187,EDW_RAW!$R$2:$R$1500,"&lt;&gt;~",EDW_RAW!$R$2:$R$1500,"&lt;&gt;")&gt;0,"부분","X")))</f>
        <v/>
      </c>
      <c r="R187" s="19">
        <f>IF(COUNTIF(EDW_RAW!$A$2:$A$1500,$D187)=0,"",IF(COUNTIFS(EDW_RAW!$A$2:$A$1500,$D187,EDW_RAW!$U$2:$U$1500,"&lt;&gt;~",EDW_RAW!$U$2:$U$1500,"&lt;&gt;")=COUNTIF(EDW_RAW!$A$2:$A$1500,$D187),"O",IF(COUNTIFS(EDW_RAW!$A$2:$A$1500,$D187,EDW_RAW!$U$2:$U$1500,"&lt;&gt;~",EDW_RAW!$U$2:$U$1500,"&lt;&gt;")&gt;0,"부분","X")))</f>
        <v/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",TRUE,UNIQUE(FILTER(소재DB_RAW!$K$3:$K$2000,(소재DB_RAW!$G$3:$G$2000=$D187)*ISERROR(SEARCH("drop",소재DB_RAW!$C$3:$C$2000))))),"")</f>
        <v/>
      </c>
      <c r="W187" s="20" t="inlineStr"/>
      <c r="X187" s="20">
        <f>IFERROR(TEXTJOIN(" / ",TRUE,UNIQUE(FILTER(소재DB_RAW!$N$3:$N$2000,(소재DB_RAW!$G$3:$G$2000=$D187)*ISERROR(SEARCH("drop",소재DB_RAW!$C$3:$C$2000))))),"")</f>
        <v/>
      </c>
      <c r="Y187" s="26">
        <f>IFERROR(TEXTJOIN(CHAR(10),TRUE,UNIQUE(FILTER(소재DB_RAW!$N$3:$N$2000&amp;") "&amp;소재DB_RAW!$O$3:$O$2000,(소재DB_RAW!$G$3:$G$2000=$D187)*ISNUMBER(SEARCH("겉감",소재DB_RAW!$M$3:$M$2000))*ISERROR(SEARCH("drop",소재DB_RAW!$C$3:$C$2000))))),"")</f>
        <v/>
      </c>
      <c r="Z187" s="26">
        <f>IFERROR(TEXTJOIN(CHAR(10),TRUE,UNIQUE(FILTER(소재DB_RAW!$N$3:$N$2000&amp;") "&amp;소재DB_RAW!$O$3:$O$2000,(소재DB_RAW!$G$3:$G$2000=$D187)*ISNUMBER(SEARCH("안감",소재DB_RAW!$M$3:$M$2000))*ISERROR(SEARCH("drop",소재DB_RAW!$C$3:$C$2000))))),"")</f>
        <v/>
      </c>
      <c r="AA187" s="22">
        <f>IFERROR(MAX(FILTER(소재DB_RAW!$AK$3:$AK$2000,(소재DB_RAW!$G$3:$G$2000=$D187)*ISERROR(SEARCH("drop",소재DB_RAW!$C$3:$C$2000))*(소재DB_RAW!$AK$3:$AK$2000&lt;&gt;""))),"")</f>
        <v/>
      </c>
      <c r="AB187" s="27" t="n">
        <v>1800</v>
      </c>
      <c r="AC187" s="27" t="n">
        <v>95065200</v>
      </c>
      <c r="AD187" s="27" t="n">
        <v>450000000</v>
      </c>
      <c r="AE187" s="20" t="inlineStr">
        <is>
          <t>3월1주</t>
        </is>
      </c>
      <c r="AF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G187" s="19">
        <f>IF($K187="","",IF(OR(LEFT($AF187,2)="작지",LEFT($AF187,4)="소재입고"),IF(LEFT($G187,1)="S","★ 납기위험(S코드)","◆ 지연주의"),IF($AF187="정상","✓ 정상","? 확인필요")))</f>
        <v/>
      </c>
      <c r="AH187" s="21" t="n"/>
      <c r="AI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19">
        <f>IF(COUNTIF(EDW_RAW!$A$2:$A$1500,$D188)=0,"",IF(COUNTIFS(EDW_RAW!$A$2:$A$1500,$D188,EDW_RAW!$R$2:$R$1500,"&lt;&gt;~",EDW_RAW!$R$2:$R$1500,"&lt;&gt;")=COUNTIF(EDW_RAW!$A$2:$A$1500,$D188),"O",IF(COUNTIFS(EDW_RAW!$A$2:$A$1500,$D188,EDW_RAW!$R$2:$R$1500,"&lt;&gt;~",EDW_RAW!$R$2:$R$1500,"&lt;&gt;")&gt;0,"부분","X")))</f>
        <v/>
      </c>
      <c r="R188" s="19">
        <f>IF(COUNTIF(EDW_RAW!$A$2:$A$1500,$D188)=0,"",IF(COUNTIFS(EDW_RAW!$A$2:$A$1500,$D188,EDW_RAW!$U$2:$U$1500,"&lt;&gt;~",EDW_RAW!$U$2:$U$1500,"&lt;&gt;")=COUNTIF(EDW_RAW!$A$2:$A$1500,$D188),"O",IF(COUNTIFS(EDW_RAW!$A$2:$A$1500,$D188,EDW_RAW!$U$2:$U$1500,"&lt;&gt;~",EDW_RAW!$U$2:$U$1500,"&lt;&gt;")&gt;0,"부분","X")))</f>
        <v/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",TRUE,UNIQUE(FILTER(소재DB_RAW!$K$3:$K$2000,(소재DB_RAW!$G$3:$G$2000=$D188)*ISERROR(SEARCH("drop",소재DB_RAW!$C$3:$C$2000))))),"")</f>
        <v/>
      </c>
      <c r="W188" s="20" t="inlineStr"/>
      <c r="X188" s="20">
        <f>IFERROR(TEXTJOIN(" / ",TRUE,UNIQUE(FILTER(소재DB_RAW!$N$3:$N$2000,(소재DB_RAW!$G$3:$G$2000=$D188)*ISERROR(SEARCH("drop",소재DB_RAW!$C$3:$C$2000))))),"")</f>
        <v/>
      </c>
      <c r="Y188" s="26">
        <f>IFERROR(TEXTJOIN(CHAR(10),TRUE,UNIQUE(FILTER(소재DB_RAW!$N$3:$N$2000&amp;") "&amp;소재DB_RAW!$O$3:$O$2000,(소재DB_RAW!$G$3:$G$2000=$D188)*ISNUMBER(SEARCH("겉감",소재DB_RAW!$M$3:$M$2000))*ISERROR(SEARCH("drop",소재DB_RAW!$C$3:$C$2000))))),"")</f>
        <v/>
      </c>
      <c r="Z188" s="26">
        <f>IFERROR(TEXTJOIN(CHAR(10),TRUE,UNIQUE(FILTER(소재DB_RAW!$N$3:$N$2000&amp;") "&amp;소재DB_RAW!$O$3:$O$2000,(소재DB_RAW!$G$3:$G$2000=$D188)*ISNUMBER(SEARCH("안감",소재DB_RAW!$M$3:$M$2000))*ISERROR(SEARCH("drop",소재DB_RAW!$C$3:$C$2000))))),"")</f>
        <v/>
      </c>
      <c r="AA188" s="22">
        <f>IFERROR(MAX(FILTER(소재DB_RAW!$AK$3:$AK$2000,(소재DB_RAW!$G$3:$G$2000=$D188)*ISERROR(SEARCH("drop",소재DB_RAW!$C$3:$C$2000))*(소재DB_RAW!$AK$3:$AK$2000&lt;&gt;""))),"")</f>
        <v/>
      </c>
      <c r="AB188" s="27" t="n">
        <v>6500</v>
      </c>
      <c r="AC188" s="27" t="n">
        <v>292500000</v>
      </c>
      <c r="AD188" s="27" t="n">
        <v>1430000000</v>
      </c>
      <c r="AE188" s="20" t="inlineStr">
        <is>
          <t>3월1주</t>
        </is>
      </c>
      <c r="AF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G188" s="19">
        <f>IF($K188="","",IF(OR(LEFT($AF188,2)="작지",LEFT($AF188,4)="소재입고"),IF(LEFT($G188,1)="S","★ 납기위험(S코드)","◆ 지연주의"),IF($AF188="정상","✓ 정상","? 확인필요")))</f>
        <v/>
      </c>
      <c r="AH188" s="21" t="n"/>
      <c r="AI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19">
        <f>IF(COUNTIF(EDW_RAW!$A$2:$A$1500,$D189)=0,"",IF(COUNTIFS(EDW_RAW!$A$2:$A$1500,$D189,EDW_RAW!$R$2:$R$1500,"&lt;&gt;~",EDW_RAW!$R$2:$R$1500,"&lt;&gt;")=COUNTIF(EDW_RAW!$A$2:$A$1500,$D189),"O",IF(COUNTIFS(EDW_RAW!$A$2:$A$1500,$D189,EDW_RAW!$R$2:$R$1500,"&lt;&gt;~",EDW_RAW!$R$2:$R$1500,"&lt;&gt;")&gt;0,"부분","X")))</f>
        <v/>
      </c>
      <c r="R189" s="19">
        <f>IF(COUNTIF(EDW_RAW!$A$2:$A$1500,$D189)=0,"",IF(COUNTIFS(EDW_RAW!$A$2:$A$1500,$D189,EDW_RAW!$U$2:$U$1500,"&lt;&gt;~",EDW_RAW!$U$2:$U$1500,"&lt;&gt;")=COUNTIF(EDW_RAW!$A$2:$A$1500,$D189),"O",IF(COUNTIFS(EDW_RAW!$A$2:$A$1500,$D189,EDW_RAW!$U$2:$U$1500,"&lt;&gt;~",EDW_RAW!$U$2:$U$1500,"&lt;&gt;")&gt;0,"부분","X")))</f>
        <v/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",TRUE,UNIQUE(FILTER(소재DB_RAW!$K$3:$K$2000,(소재DB_RAW!$G$3:$G$2000=$D189)*ISERROR(SEARCH("drop",소재DB_RAW!$C$3:$C$2000))))),"")</f>
        <v/>
      </c>
      <c r="W189" s="20" t="inlineStr">
        <is>
          <t>인도네시아</t>
        </is>
      </c>
      <c r="X189" s="20">
        <f>IFERROR(TEXTJOIN(" / ",TRUE,UNIQUE(FILTER(소재DB_RAW!$N$3:$N$2000,(소재DB_RAW!$G$3:$G$2000=$D189)*ISERROR(SEARCH("drop",소재DB_RAW!$C$3:$C$2000))))),"")</f>
        <v/>
      </c>
      <c r="Y189" s="26">
        <f>IFERROR(TEXTJOIN(CHAR(10),TRUE,UNIQUE(FILTER(소재DB_RAW!$N$3:$N$2000&amp;") "&amp;소재DB_RAW!$O$3:$O$2000,(소재DB_RAW!$G$3:$G$2000=$D189)*ISNUMBER(SEARCH("겉감",소재DB_RAW!$M$3:$M$2000))*ISERROR(SEARCH("drop",소재DB_RAW!$C$3:$C$2000))))),"")</f>
        <v/>
      </c>
      <c r="Z189" s="26">
        <f>IFERROR(TEXTJOIN(CHAR(10),TRUE,UNIQUE(FILTER(소재DB_RAW!$N$3:$N$2000&amp;") "&amp;소재DB_RAW!$O$3:$O$2000,(소재DB_RAW!$G$3:$G$2000=$D189)*ISNUMBER(SEARCH("안감",소재DB_RAW!$M$3:$M$2000))*ISERROR(SEARCH("drop",소재DB_RAW!$C$3:$C$2000))))),"")</f>
        <v/>
      </c>
      <c r="AA189" s="22">
        <f>IFERROR(MAX(FILTER(소재DB_RAW!$AK$3:$AK$2000,(소재DB_RAW!$G$3:$G$2000=$D189)*ISERROR(SEARCH("drop",소재DB_RAW!$C$3:$C$2000))*(소재DB_RAW!$AK$3:$AK$2000&lt;&gt;""))),"")</f>
        <v/>
      </c>
      <c r="AB189" s="27" t="n">
        <v>1600</v>
      </c>
      <c r="AC189" s="27" t="n">
        <v>92974400</v>
      </c>
      <c r="AD189" s="27" t="n">
        <v>432000000</v>
      </c>
      <c r="AE189" s="20" t="n"/>
      <c r="AF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G189" s="19">
        <f>IF($K189="","",IF(OR(LEFT($AF189,2)="작지",LEFT($AF189,4)="소재입고"),IF(LEFT($G189,1)="S","★ 납기위험(S코드)","◆ 지연주의"),IF($AF189="정상","✓ 정상","? 확인필요")))</f>
        <v/>
      </c>
      <c r="AH189" s="21" t="n"/>
      <c r="AI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19">
        <f>IF(COUNTIF(EDW_RAW!$A$2:$A$1500,$D190)=0,"",IF(COUNTIFS(EDW_RAW!$A$2:$A$1500,$D190,EDW_RAW!$R$2:$R$1500,"&lt;&gt;~",EDW_RAW!$R$2:$R$1500,"&lt;&gt;")=COUNTIF(EDW_RAW!$A$2:$A$1500,$D190),"O",IF(COUNTIFS(EDW_RAW!$A$2:$A$1500,$D190,EDW_RAW!$R$2:$R$1500,"&lt;&gt;~",EDW_RAW!$R$2:$R$1500,"&lt;&gt;")&gt;0,"부분","X")))</f>
        <v/>
      </c>
      <c r="R190" s="19">
        <f>IF(COUNTIF(EDW_RAW!$A$2:$A$1500,$D190)=0,"",IF(COUNTIFS(EDW_RAW!$A$2:$A$1500,$D190,EDW_RAW!$U$2:$U$1500,"&lt;&gt;~",EDW_RAW!$U$2:$U$1500,"&lt;&gt;")=COUNTIF(EDW_RAW!$A$2:$A$1500,$D190),"O",IF(COUNTIFS(EDW_RAW!$A$2:$A$1500,$D190,EDW_RAW!$U$2:$U$1500,"&lt;&gt;~",EDW_RAW!$U$2:$U$1500,"&lt;&gt;")&gt;0,"부분","X")))</f>
        <v/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",TRUE,UNIQUE(FILTER(소재DB_RAW!$K$3:$K$2000,(소재DB_RAW!$G$3:$G$2000=$D190)*ISERROR(SEARCH("drop",소재DB_RAW!$C$3:$C$2000))))),"")</f>
        <v/>
      </c>
      <c r="W190" s="20" t="inlineStr">
        <is>
          <t>인도네시아</t>
        </is>
      </c>
      <c r="X190" s="20">
        <f>IFERROR(TEXTJOIN(" / ",TRUE,UNIQUE(FILTER(소재DB_RAW!$N$3:$N$2000,(소재DB_RAW!$G$3:$G$2000=$D190)*ISERROR(SEARCH("drop",소재DB_RAW!$C$3:$C$2000))))),"")</f>
        <v/>
      </c>
      <c r="Y190" s="26">
        <f>IFERROR(TEXTJOIN(CHAR(10),TRUE,UNIQUE(FILTER(소재DB_RAW!$N$3:$N$2000&amp;") "&amp;소재DB_RAW!$O$3:$O$2000,(소재DB_RAW!$G$3:$G$2000=$D190)*ISNUMBER(SEARCH("겉감",소재DB_RAW!$M$3:$M$2000))*ISERROR(SEARCH("drop",소재DB_RAW!$C$3:$C$2000))))),"")</f>
        <v/>
      </c>
      <c r="Z190" s="26">
        <f>IFERROR(TEXTJOIN(CHAR(10),TRUE,UNIQUE(FILTER(소재DB_RAW!$N$3:$N$2000&amp;") "&amp;소재DB_RAW!$O$3:$O$2000,(소재DB_RAW!$G$3:$G$2000=$D190)*ISNUMBER(SEARCH("안감",소재DB_RAW!$M$3:$M$2000))*ISERROR(SEARCH("drop",소재DB_RAW!$C$3:$C$2000))))),"")</f>
        <v/>
      </c>
      <c r="AA190" s="22">
        <f>IFERROR(MAX(FILTER(소재DB_RAW!$AK$3:$AK$2000,(소재DB_RAW!$G$3:$G$2000=$D190)*ISERROR(SEARCH("drop",소재DB_RAW!$C$3:$C$2000))*(소재DB_RAW!$AK$3:$AK$2000&lt;&gt;""))),"")</f>
        <v/>
      </c>
      <c r="AB190" s="27" t="n">
        <v>4000</v>
      </c>
      <c r="AC190" s="27" t="n">
        <v>55224000</v>
      </c>
      <c r="AD190" s="27" t="n">
        <v>352000000</v>
      </c>
      <c r="AE190" s="20" t="inlineStr">
        <is>
          <t>3월1주</t>
        </is>
      </c>
      <c r="AF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G190" s="19">
        <f>IF($K190="","",IF(OR(LEFT($AF190,2)="작지",LEFT($AF190,4)="소재입고"),IF(LEFT($G190,1)="S","★ 납기위험(S코드)","◆ 지연주의"),IF($AF190="정상","✓ 정상","? 확인필요")))</f>
        <v/>
      </c>
      <c r="AH190" s="21" t="n"/>
      <c r="AI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19">
        <f>IF(COUNTIF(EDW_RAW!$A$2:$A$1500,$D191)=0,"",IF(COUNTIFS(EDW_RAW!$A$2:$A$1500,$D191,EDW_RAW!$R$2:$R$1500,"&lt;&gt;~",EDW_RAW!$R$2:$R$1500,"&lt;&gt;")=COUNTIF(EDW_RAW!$A$2:$A$1500,$D191),"O",IF(COUNTIFS(EDW_RAW!$A$2:$A$1500,$D191,EDW_RAW!$R$2:$R$1500,"&lt;&gt;~",EDW_RAW!$R$2:$R$1500,"&lt;&gt;")&gt;0,"부분","X")))</f>
        <v/>
      </c>
      <c r="R191" s="19">
        <f>IF(COUNTIF(EDW_RAW!$A$2:$A$1500,$D191)=0,"",IF(COUNTIFS(EDW_RAW!$A$2:$A$1500,$D191,EDW_RAW!$U$2:$U$1500,"&lt;&gt;~",EDW_RAW!$U$2:$U$1500,"&lt;&gt;")=COUNTIF(EDW_RAW!$A$2:$A$1500,$D191),"O",IF(COUNTIFS(EDW_RAW!$A$2:$A$1500,$D191,EDW_RAW!$U$2:$U$1500,"&lt;&gt;~",EDW_RAW!$U$2:$U$1500,"&lt;&gt;")&gt;0,"부분","X")))</f>
        <v/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",TRUE,UNIQUE(FILTER(소재DB_RAW!$K$3:$K$2000,(소재DB_RAW!$G$3:$G$2000=$D191)*ISERROR(SEARCH("drop",소재DB_RAW!$C$3:$C$2000))))),"")</f>
        <v/>
      </c>
      <c r="W191" s="20" t="inlineStr">
        <is>
          <t>인도네시아</t>
        </is>
      </c>
      <c r="X191" s="20">
        <f>IFERROR(TEXTJOIN(" / ",TRUE,UNIQUE(FILTER(소재DB_RAW!$N$3:$N$2000,(소재DB_RAW!$G$3:$G$2000=$D191)*ISERROR(SEARCH("drop",소재DB_RAW!$C$3:$C$2000))))),"")</f>
        <v/>
      </c>
      <c r="Y191" s="26">
        <f>IFERROR(TEXTJOIN(CHAR(10),TRUE,UNIQUE(FILTER(소재DB_RAW!$N$3:$N$2000&amp;") "&amp;소재DB_RAW!$O$3:$O$2000,(소재DB_RAW!$G$3:$G$2000=$D191)*ISNUMBER(SEARCH("겉감",소재DB_RAW!$M$3:$M$2000))*ISERROR(SEARCH("drop",소재DB_RAW!$C$3:$C$2000))))),"")</f>
        <v/>
      </c>
      <c r="Z191" s="26">
        <f>IFERROR(TEXTJOIN(CHAR(10),TRUE,UNIQUE(FILTER(소재DB_RAW!$N$3:$N$2000&amp;") "&amp;소재DB_RAW!$O$3:$O$2000,(소재DB_RAW!$G$3:$G$2000=$D191)*ISNUMBER(SEARCH("안감",소재DB_RAW!$M$3:$M$2000))*ISERROR(SEARCH("drop",소재DB_RAW!$C$3:$C$2000))))),"")</f>
        <v/>
      </c>
      <c r="AA191" s="22">
        <f>IFERROR(MAX(FILTER(소재DB_RAW!$AK$3:$AK$2000,(소재DB_RAW!$G$3:$G$2000=$D191)*ISERROR(SEARCH("drop",소재DB_RAW!$C$3:$C$2000))*(소재DB_RAW!$AK$3:$AK$2000&lt;&gt;""))),"")</f>
        <v/>
      </c>
      <c r="AB191" s="27" t="n">
        <v>4000</v>
      </c>
      <c r="AC191" s="27" t="n">
        <v>46872000</v>
      </c>
      <c r="AD191" s="27" t="n">
        <v>312000000</v>
      </c>
      <c r="AE191" s="20" t="inlineStr">
        <is>
          <t>3월1주</t>
        </is>
      </c>
      <c r="AF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G191" s="19">
        <f>IF($K191="","",IF(OR(LEFT($AF191,2)="작지",LEFT($AF191,4)="소재입고"),IF(LEFT($G191,1)="S","★ 납기위험(S코드)","◆ 지연주의"),IF($AF191="정상","✓ 정상","? 확인필요")))</f>
        <v/>
      </c>
      <c r="AH191" s="21" t="n"/>
      <c r="AI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19">
        <f>IF(COUNTIF(EDW_RAW!$A$2:$A$1500,$D192)=0,"",IF(COUNTIFS(EDW_RAW!$A$2:$A$1500,$D192,EDW_RAW!$R$2:$R$1500,"&lt;&gt;~",EDW_RAW!$R$2:$R$1500,"&lt;&gt;")=COUNTIF(EDW_RAW!$A$2:$A$1500,$D192),"O",IF(COUNTIFS(EDW_RAW!$A$2:$A$1500,$D192,EDW_RAW!$R$2:$R$1500,"&lt;&gt;~",EDW_RAW!$R$2:$R$1500,"&lt;&gt;")&gt;0,"부분","X")))</f>
        <v/>
      </c>
      <c r="R192" s="19">
        <f>IF(COUNTIF(EDW_RAW!$A$2:$A$1500,$D192)=0,"",IF(COUNTIFS(EDW_RAW!$A$2:$A$1500,$D192,EDW_RAW!$U$2:$U$1500,"&lt;&gt;~",EDW_RAW!$U$2:$U$1500,"&lt;&gt;")=COUNTIF(EDW_RAW!$A$2:$A$1500,$D192),"O",IF(COUNTIFS(EDW_RAW!$A$2:$A$1500,$D192,EDW_RAW!$U$2:$U$1500,"&lt;&gt;~",EDW_RAW!$U$2:$U$1500,"&lt;&gt;")&gt;0,"부분","X")))</f>
        <v/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",TRUE,UNIQUE(FILTER(소재DB_RAW!$K$3:$K$2000,(소재DB_RAW!$G$3:$G$2000=$D192)*ISERROR(SEARCH("drop",소재DB_RAW!$C$3:$C$2000))))),"")</f>
        <v/>
      </c>
      <c r="W192" s="20" t="inlineStr">
        <is>
          <t>베트남</t>
        </is>
      </c>
      <c r="X192" s="20">
        <f>IFERROR(TEXTJOIN(" / ",TRUE,UNIQUE(FILTER(소재DB_RAW!$N$3:$N$2000,(소재DB_RAW!$G$3:$G$2000=$D192)*ISERROR(SEARCH("drop",소재DB_RAW!$C$3:$C$2000))))),"")</f>
        <v/>
      </c>
      <c r="Y192" s="26">
        <f>IFERROR(TEXTJOIN(CHAR(10),TRUE,UNIQUE(FILTER(소재DB_RAW!$N$3:$N$2000&amp;") "&amp;소재DB_RAW!$O$3:$O$2000,(소재DB_RAW!$G$3:$G$2000=$D192)*ISNUMBER(SEARCH("겉감",소재DB_RAW!$M$3:$M$2000))*ISERROR(SEARCH("drop",소재DB_RAW!$C$3:$C$2000))))),"")</f>
        <v/>
      </c>
      <c r="Z192" s="26">
        <f>IFERROR(TEXTJOIN(CHAR(10),TRUE,UNIQUE(FILTER(소재DB_RAW!$N$3:$N$2000&amp;") "&amp;소재DB_RAW!$O$3:$O$2000,(소재DB_RAW!$G$3:$G$2000=$D192)*ISNUMBER(SEARCH("안감",소재DB_RAW!$M$3:$M$2000))*ISERROR(SEARCH("drop",소재DB_RAW!$C$3:$C$2000))))),"")</f>
        <v/>
      </c>
      <c r="AA192" s="22">
        <f>IFERROR(MAX(FILTER(소재DB_RAW!$AK$3:$AK$2000,(소재DB_RAW!$G$3:$G$2000=$D192)*ISERROR(SEARCH("drop",소재DB_RAW!$C$3:$C$2000))*(소재DB_RAW!$AK$3:$AK$2000&lt;&gt;""))),"")</f>
        <v/>
      </c>
      <c r="AB192" s="27" t="n">
        <v>3000</v>
      </c>
      <c r="AC192" s="27" t="n">
        <v>51627000</v>
      </c>
      <c r="AD192" s="27" t="n">
        <v>234000000</v>
      </c>
      <c r="AE192" s="20" t="inlineStr">
        <is>
          <t>3월1주</t>
        </is>
      </c>
      <c r="AF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G192" s="19">
        <f>IF($K192="","",IF(OR(LEFT($AF192,2)="작지",LEFT($AF192,4)="소재입고"),IF(LEFT($G192,1)="S","★ 납기위험(S코드)","◆ 지연주의"),IF($AF192="정상","✓ 정상","? 확인필요")))</f>
        <v/>
      </c>
      <c r="AH192" s="21" t="n"/>
      <c r="AI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19">
        <f>IF(COUNTIF(EDW_RAW!$A$2:$A$1500,$D193)=0,"",IF(COUNTIFS(EDW_RAW!$A$2:$A$1500,$D193,EDW_RAW!$R$2:$R$1500,"&lt;&gt;~",EDW_RAW!$R$2:$R$1500,"&lt;&gt;")=COUNTIF(EDW_RAW!$A$2:$A$1500,$D193),"O",IF(COUNTIFS(EDW_RAW!$A$2:$A$1500,$D193,EDW_RAW!$R$2:$R$1500,"&lt;&gt;~",EDW_RAW!$R$2:$R$1500,"&lt;&gt;")&gt;0,"부분","X")))</f>
        <v/>
      </c>
      <c r="R193" s="19">
        <f>IF(COUNTIF(EDW_RAW!$A$2:$A$1500,$D193)=0,"",IF(COUNTIFS(EDW_RAW!$A$2:$A$1500,$D193,EDW_RAW!$U$2:$U$1500,"&lt;&gt;~",EDW_RAW!$U$2:$U$1500,"&lt;&gt;")=COUNTIF(EDW_RAW!$A$2:$A$1500,$D193),"O",IF(COUNTIFS(EDW_RAW!$A$2:$A$1500,$D193,EDW_RAW!$U$2:$U$1500,"&lt;&gt;~",EDW_RAW!$U$2:$U$1500,"&lt;&gt;")&gt;0,"부분","X")))</f>
        <v/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",TRUE,UNIQUE(FILTER(소재DB_RAW!$K$3:$K$2000,(소재DB_RAW!$G$3:$G$2000=$D193)*ISERROR(SEARCH("drop",소재DB_RAW!$C$3:$C$2000))))),"")</f>
        <v/>
      </c>
      <c r="W193" s="20" t="inlineStr">
        <is>
          <t>미얀마</t>
        </is>
      </c>
      <c r="X193" s="20">
        <f>IFERROR(TEXTJOIN(" / ",TRUE,UNIQUE(FILTER(소재DB_RAW!$N$3:$N$2000,(소재DB_RAW!$G$3:$G$2000=$D193)*ISERROR(SEARCH("drop",소재DB_RAW!$C$3:$C$2000))))),"")</f>
        <v/>
      </c>
      <c r="Y193" s="26">
        <f>IFERROR(TEXTJOIN(CHAR(10),TRUE,UNIQUE(FILTER(소재DB_RAW!$N$3:$N$2000&amp;") "&amp;소재DB_RAW!$O$3:$O$2000,(소재DB_RAW!$G$3:$G$2000=$D193)*ISNUMBER(SEARCH("겉감",소재DB_RAW!$M$3:$M$2000))*ISERROR(SEARCH("drop",소재DB_RAW!$C$3:$C$2000))))),"")</f>
        <v/>
      </c>
      <c r="Z193" s="26">
        <f>IFERROR(TEXTJOIN(CHAR(10),TRUE,UNIQUE(FILTER(소재DB_RAW!$N$3:$N$2000&amp;") "&amp;소재DB_RAW!$O$3:$O$2000,(소재DB_RAW!$G$3:$G$2000=$D193)*ISNUMBER(SEARCH("안감",소재DB_RAW!$M$3:$M$2000))*ISERROR(SEARCH("drop",소재DB_RAW!$C$3:$C$2000))))),"")</f>
        <v/>
      </c>
      <c r="AA193" s="22">
        <f>IFERROR(MAX(FILTER(소재DB_RAW!$AK$3:$AK$2000,(소재DB_RAW!$G$3:$G$2000=$D193)*ISERROR(SEARCH("drop",소재DB_RAW!$C$3:$C$2000))*(소재DB_RAW!$AK$3:$AK$2000&lt;&gt;""))),"")</f>
        <v/>
      </c>
      <c r="AB193" s="27" t="n">
        <v>3200</v>
      </c>
      <c r="AC193" s="27" t="n">
        <v>158576000</v>
      </c>
      <c r="AD193" s="27" t="n">
        <v>740000000</v>
      </c>
      <c r="AE193" s="20" t="inlineStr">
        <is>
          <t>3월1주</t>
        </is>
      </c>
      <c r="AF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G193" s="19">
        <f>IF($K193="","",IF(OR(LEFT($AF193,2)="작지",LEFT($AF193,4)="소재입고"),IF(LEFT($G193,1)="S","★ 납기위험(S코드)","◆ 지연주의"),IF($AF193="정상","✓ 정상","? 확인필요")))</f>
        <v/>
      </c>
      <c r="AH193" s="21" t="n"/>
      <c r="AI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19">
        <f>IF(COUNTIF(EDW_RAW!$A$2:$A$1500,$D194)=0,"",IF(COUNTIFS(EDW_RAW!$A$2:$A$1500,$D194,EDW_RAW!$R$2:$R$1500,"&lt;&gt;~",EDW_RAW!$R$2:$R$1500,"&lt;&gt;")=COUNTIF(EDW_RAW!$A$2:$A$1500,$D194),"O",IF(COUNTIFS(EDW_RAW!$A$2:$A$1500,$D194,EDW_RAW!$R$2:$R$1500,"&lt;&gt;~",EDW_RAW!$R$2:$R$1500,"&lt;&gt;")&gt;0,"부분","X")))</f>
        <v/>
      </c>
      <c r="R194" s="19">
        <f>IF(COUNTIF(EDW_RAW!$A$2:$A$1500,$D194)=0,"",IF(COUNTIFS(EDW_RAW!$A$2:$A$1500,$D194,EDW_RAW!$U$2:$U$1500,"&lt;&gt;~",EDW_RAW!$U$2:$U$1500,"&lt;&gt;")=COUNTIF(EDW_RAW!$A$2:$A$1500,$D194),"O",IF(COUNTIFS(EDW_RAW!$A$2:$A$1500,$D194,EDW_RAW!$U$2:$U$1500,"&lt;&gt;~",EDW_RAW!$U$2:$U$1500,"&lt;&gt;")&gt;0,"부분","X")))</f>
        <v/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",TRUE,UNIQUE(FILTER(소재DB_RAW!$K$3:$K$2000,(소재DB_RAW!$G$3:$G$2000=$D194)*ISERROR(SEARCH("drop",소재DB_RAW!$C$3:$C$2000))))),"")</f>
        <v/>
      </c>
      <c r="W194" s="20" t="inlineStr">
        <is>
          <t>베트남</t>
        </is>
      </c>
      <c r="X194" s="20">
        <f>IFERROR(TEXTJOIN(" / ",TRUE,UNIQUE(FILTER(소재DB_RAW!$N$3:$N$2000,(소재DB_RAW!$G$3:$G$2000=$D194)*ISERROR(SEARCH("drop",소재DB_RAW!$C$3:$C$2000))))),"")</f>
        <v/>
      </c>
      <c r="Y194" s="26">
        <f>IFERROR(TEXTJOIN(CHAR(10),TRUE,UNIQUE(FILTER(소재DB_RAW!$N$3:$N$2000&amp;") "&amp;소재DB_RAW!$O$3:$O$2000,(소재DB_RAW!$G$3:$G$2000=$D194)*ISNUMBER(SEARCH("겉감",소재DB_RAW!$M$3:$M$2000))*ISERROR(SEARCH("drop",소재DB_RAW!$C$3:$C$2000))))),"")</f>
        <v/>
      </c>
      <c r="Z194" s="26">
        <f>IFERROR(TEXTJOIN(CHAR(10),TRUE,UNIQUE(FILTER(소재DB_RAW!$N$3:$N$2000&amp;") "&amp;소재DB_RAW!$O$3:$O$2000,(소재DB_RAW!$G$3:$G$2000=$D194)*ISNUMBER(SEARCH("안감",소재DB_RAW!$M$3:$M$2000))*ISERROR(SEARCH("drop",소재DB_RAW!$C$3:$C$2000))))),"")</f>
        <v/>
      </c>
      <c r="AA194" s="22">
        <f>IFERROR(MAX(FILTER(소재DB_RAW!$AK$3:$AK$2000,(소재DB_RAW!$G$3:$G$2000=$D194)*ISERROR(SEARCH("drop",소재DB_RAW!$C$3:$C$2000))*(소재DB_RAW!$AK$3:$AK$2000&lt;&gt;""))),"")</f>
        <v/>
      </c>
      <c r="AB194" s="27" t="n">
        <v>250</v>
      </c>
      <c r="AC194" s="27" t="n">
        <v>26584750</v>
      </c>
      <c r="AD194" s="27" t="n">
        <v>97500000</v>
      </c>
      <c r="AE194" s="20" t="n"/>
      <c r="AF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G194" s="19">
        <f>IF($K194="","",IF(OR(LEFT($AF194,2)="작지",LEFT($AF194,4)="소재입고"),IF(LEFT($G194,1)="S","★ 납기위험(S코드)","◆ 지연주의"),IF($AF194="정상","✓ 정상","? 확인필요")))</f>
        <v/>
      </c>
      <c r="AH194" s="21" t="n"/>
      <c r="AI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19">
        <f>IF(COUNTIF(EDW_RAW!$A$2:$A$1500,$D195)=0,"",IF(COUNTIFS(EDW_RAW!$A$2:$A$1500,$D195,EDW_RAW!$R$2:$R$1500,"&lt;&gt;~",EDW_RAW!$R$2:$R$1500,"&lt;&gt;")=COUNTIF(EDW_RAW!$A$2:$A$1500,$D195),"O",IF(COUNTIFS(EDW_RAW!$A$2:$A$1500,$D195,EDW_RAW!$R$2:$R$1500,"&lt;&gt;~",EDW_RAW!$R$2:$R$1500,"&lt;&gt;")&gt;0,"부분","X")))</f>
        <v/>
      </c>
      <c r="R195" s="19">
        <f>IF(COUNTIF(EDW_RAW!$A$2:$A$1500,$D195)=0,"",IF(COUNTIFS(EDW_RAW!$A$2:$A$1500,$D195,EDW_RAW!$U$2:$U$1500,"&lt;&gt;~",EDW_RAW!$U$2:$U$1500,"&lt;&gt;")=COUNTIF(EDW_RAW!$A$2:$A$1500,$D195),"O",IF(COUNTIFS(EDW_RAW!$A$2:$A$1500,$D195,EDW_RAW!$U$2:$U$1500,"&lt;&gt;~",EDW_RAW!$U$2:$U$1500,"&lt;&gt;")&gt;0,"부분","X")))</f>
        <v/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",TRUE,UNIQUE(FILTER(소재DB_RAW!$K$3:$K$2000,(소재DB_RAW!$G$3:$G$2000=$D195)*ISERROR(SEARCH("drop",소재DB_RAW!$C$3:$C$2000))))),"")</f>
        <v/>
      </c>
      <c r="W195" s="20" t="inlineStr">
        <is>
          <t>베트남</t>
        </is>
      </c>
      <c r="X195" s="20">
        <f>IFERROR(TEXTJOIN(" / ",TRUE,UNIQUE(FILTER(소재DB_RAW!$N$3:$N$2000,(소재DB_RAW!$G$3:$G$2000=$D195)*ISERROR(SEARCH("drop",소재DB_RAW!$C$3:$C$2000))))),"")</f>
        <v/>
      </c>
      <c r="Y195" s="26">
        <f>IFERROR(TEXTJOIN(CHAR(10),TRUE,UNIQUE(FILTER(소재DB_RAW!$N$3:$N$2000&amp;") "&amp;소재DB_RAW!$O$3:$O$2000,(소재DB_RAW!$G$3:$G$2000=$D195)*ISNUMBER(SEARCH("겉감",소재DB_RAW!$M$3:$M$2000))*ISERROR(SEARCH("drop",소재DB_RAW!$C$3:$C$2000))))),"")</f>
        <v/>
      </c>
      <c r="Z195" s="26">
        <f>IFERROR(TEXTJOIN(CHAR(10),TRUE,UNIQUE(FILTER(소재DB_RAW!$N$3:$N$2000&amp;") "&amp;소재DB_RAW!$O$3:$O$2000,(소재DB_RAW!$G$3:$G$2000=$D195)*ISNUMBER(SEARCH("안감",소재DB_RAW!$M$3:$M$2000))*ISERROR(SEARCH("drop",소재DB_RAW!$C$3:$C$2000))))),"")</f>
        <v/>
      </c>
      <c r="AA195" s="22">
        <f>IFERROR(MAX(FILTER(소재DB_RAW!$AK$3:$AK$2000,(소재DB_RAW!$G$3:$G$2000=$D195)*ISERROR(SEARCH("drop",소재DB_RAW!$C$3:$C$2000))*(소재DB_RAW!$AK$3:$AK$2000&lt;&gt;""))),"")</f>
        <v/>
      </c>
      <c r="AB195" s="27" t="n">
        <v>250</v>
      </c>
      <c r="AC195" s="27" t="n">
        <v>13647750</v>
      </c>
      <c r="AD195" s="27" t="n">
        <v>55000000</v>
      </c>
      <c r="AE195" s="20" t="n"/>
      <c r="AF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G195" s="19">
        <f>IF($K195="","",IF(OR(LEFT($AF195,2)="작지",LEFT($AF195,4)="소재입고"),IF(LEFT($G195,1)="S","★ 납기위험(S코드)","◆ 지연주의"),IF($AF195="정상","✓ 정상","? 확인필요")))</f>
        <v/>
      </c>
      <c r="AH195" s="21" t="n"/>
      <c r="AI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19">
        <f>IF(COUNTIF(EDW_RAW!$A$2:$A$1500,$D196)=0,"",IF(COUNTIFS(EDW_RAW!$A$2:$A$1500,$D196,EDW_RAW!$R$2:$R$1500,"&lt;&gt;~",EDW_RAW!$R$2:$R$1500,"&lt;&gt;")=COUNTIF(EDW_RAW!$A$2:$A$1500,$D196),"O",IF(COUNTIFS(EDW_RAW!$A$2:$A$1500,$D196,EDW_RAW!$R$2:$R$1500,"&lt;&gt;~",EDW_RAW!$R$2:$R$1500,"&lt;&gt;")&gt;0,"부분","X")))</f>
        <v/>
      </c>
      <c r="R196" s="19">
        <f>IF(COUNTIF(EDW_RAW!$A$2:$A$1500,$D196)=0,"",IF(COUNTIFS(EDW_RAW!$A$2:$A$1500,$D196,EDW_RAW!$U$2:$U$1500,"&lt;&gt;~",EDW_RAW!$U$2:$U$1500,"&lt;&gt;")=COUNTIF(EDW_RAW!$A$2:$A$1500,$D196),"O",IF(COUNTIFS(EDW_RAW!$A$2:$A$1500,$D196,EDW_RAW!$U$2:$U$1500,"&lt;&gt;~",EDW_RAW!$U$2:$U$1500,"&lt;&gt;")&gt;0,"부분","X")))</f>
        <v/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",TRUE,UNIQUE(FILTER(소재DB_RAW!$K$3:$K$2000,(소재DB_RAW!$G$3:$G$2000=$D196)*ISERROR(SEARCH("drop",소재DB_RAW!$C$3:$C$2000))))),"")</f>
        <v/>
      </c>
      <c r="W196" s="20" t="inlineStr">
        <is>
          <t>베트남</t>
        </is>
      </c>
      <c r="X196" s="20">
        <f>IFERROR(TEXTJOIN(" / ",TRUE,UNIQUE(FILTER(소재DB_RAW!$N$3:$N$2000,(소재DB_RAW!$G$3:$G$2000=$D196)*ISERROR(SEARCH("drop",소재DB_RAW!$C$3:$C$2000))))),"")</f>
        <v/>
      </c>
      <c r="Y196" s="26">
        <f>IFERROR(TEXTJOIN(CHAR(10),TRUE,UNIQUE(FILTER(소재DB_RAW!$N$3:$N$2000&amp;") "&amp;소재DB_RAW!$O$3:$O$2000,(소재DB_RAW!$G$3:$G$2000=$D196)*ISNUMBER(SEARCH("겉감",소재DB_RAW!$M$3:$M$2000))*ISERROR(SEARCH("drop",소재DB_RAW!$C$3:$C$2000))))),"")</f>
        <v/>
      </c>
      <c r="Z196" s="26">
        <f>IFERROR(TEXTJOIN(CHAR(10),TRUE,UNIQUE(FILTER(소재DB_RAW!$N$3:$N$2000&amp;") "&amp;소재DB_RAW!$O$3:$O$2000,(소재DB_RAW!$G$3:$G$2000=$D196)*ISNUMBER(SEARCH("안감",소재DB_RAW!$M$3:$M$2000))*ISERROR(SEARCH("drop",소재DB_RAW!$C$3:$C$2000))))),"")</f>
        <v/>
      </c>
      <c r="AA196" s="22">
        <f>IFERROR(MAX(FILTER(소재DB_RAW!$AK$3:$AK$2000,(소재DB_RAW!$G$3:$G$2000=$D196)*ISERROR(SEARCH("drop",소재DB_RAW!$C$3:$C$2000))*(소재DB_RAW!$AK$3:$AK$2000&lt;&gt;""))),"")</f>
        <v/>
      </c>
      <c r="AB196" s="27" t="n">
        <v>400</v>
      </c>
      <c r="AC196" s="27" t="n">
        <v>11000000</v>
      </c>
      <c r="AD196" s="27" t="n">
        <v>47200000</v>
      </c>
      <c r="AE196" s="20" t="n"/>
      <c r="AF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G196" s="19">
        <f>IF($K196="","",IF(OR(LEFT($AF196,2)="작지",LEFT($AF196,4)="소재입고"),IF(LEFT($G196,1)="S","★ 납기위험(S코드)","◆ 지연주의"),IF($AF196="정상","✓ 정상","? 확인필요")))</f>
        <v/>
      </c>
      <c r="AH196" s="21" t="n"/>
      <c r="AI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19">
        <f>IF(COUNTIF(EDW_RAW!$A$2:$A$1500,$D197)=0,"",IF(COUNTIFS(EDW_RAW!$A$2:$A$1500,$D197,EDW_RAW!$R$2:$R$1500,"&lt;&gt;~",EDW_RAW!$R$2:$R$1500,"&lt;&gt;")=COUNTIF(EDW_RAW!$A$2:$A$1500,$D197),"O",IF(COUNTIFS(EDW_RAW!$A$2:$A$1500,$D197,EDW_RAW!$R$2:$R$1500,"&lt;&gt;~",EDW_RAW!$R$2:$R$1500,"&lt;&gt;")&gt;0,"부분","X")))</f>
        <v/>
      </c>
      <c r="R197" s="19">
        <f>IF(COUNTIF(EDW_RAW!$A$2:$A$1500,$D197)=0,"",IF(COUNTIFS(EDW_RAW!$A$2:$A$1500,$D197,EDW_RAW!$U$2:$U$1500,"&lt;&gt;~",EDW_RAW!$U$2:$U$1500,"&lt;&gt;")=COUNTIF(EDW_RAW!$A$2:$A$1500,$D197),"O",IF(COUNTIFS(EDW_RAW!$A$2:$A$1500,$D197,EDW_RAW!$U$2:$U$1500,"&lt;&gt;~",EDW_RAW!$U$2:$U$1500,"&lt;&gt;")&gt;0,"부분","X")))</f>
        <v/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",TRUE,UNIQUE(FILTER(소재DB_RAW!$K$3:$K$2000,(소재DB_RAW!$G$3:$G$2000=$D197)*ISERROR(SEARCH("drop",소재DB_RAW!$C$3:$C$2000))))),"")</f>
        <v/>
      </c>
      <c r="W197" s="20" t="inlineStr">
        <is>
          <t>베트남</t>
        </is>
      </c>
      <c r="X197" s="20">
        <f>IFERROR(TEXTJOIN(" / ",TRUE,UNIQUE(FILTER(소재DB_RAW!$N$3:$N$2000,(소재DB_RAW!$G$3:$G$2000=$D197)*ISERROR(SEARCH("drop",소재DB_RAW!$C$3:$C$2000))))),"")</f>
        <v/>
      </c>
      <c r="Y197" s="26">
        <f>IFERROR(TEXTJOIN(CHAR(10),TRUE,UNIQUE(FILTER(소재DB_RAW!$N$3:$N$2000&amp;") "&amp;소재DB_RAW!$O$3:$O$2000,(소재DB_RAW!$G$3:$G$2000=$D197)*ISNUMBER(SEARCH("겉감",소재DB_RAW!$M$3:$M$2000))*ISERROR(SEARCH("drop",소재DB_RAW!$C$3:$C$2000))))),"")</f>
        <v/>
      </c>
      <c r="Z197" s="26">
        <f>IFERROR(TEXTJOIN(CHAR(10),TRUE,UNIQUE(FILTER(소재DB_RAW!$N$3:$N$2000&amp;") "&amp;소재DB_RAW!$O$3:$O$2000,(소재DB_RAW!$G$3:$G$2000=$D197)*ISNUMBER(SEARCH("안감",소재DB_RAW!$M$3:$M$2000))*ISERROR(SEARCH("drop",소재DB_RAW!$C$3:$C$2000))))),"")</f>
        <v/>
      </c>
      <c r="AA197" s="22">
        <f>IFERROR(MAX(FILTER(소재DB_RAW!$AK$3:$AK$2000,(소재DB_RAW!$G$3:$G$2000=$D197)*ISERROR(SEARCH("drop",소재DB_RAW!$C$3:$C$2000))*(소재DB_RAW!$AK$3:$AK$2000&lt;&gt;""))),"")</f>
        <v/>
      </c>
      <c r="AB197" s="27" t="n">
        <v>900</v>
      </c>
      <c r="AC197" s="27" t="n">
        <v>28644300</v>
      </c>
      <c r="AD197" s="27" t="n">
        <v>124200000</v>
      </c>
      <c r="AE197" s="20" t="n"/>
      <c r="AF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G197" s="19">
        <f>IF($K197="","",IF(OR(LEFT($AF197,2)="작지",LEFT($AF197,4)="소재입고"),IF(LEFT($G197,1)="S","★ 납기위험(S코드)","◆ 지연주의"),IF($AF197="정상","✓ 정상","? 확인필요")))</f>
        <v/>
      </c>
      <c r="AH197" s="21" t="n"/>
      <c r="AI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19">
        <f>IF(COUNTIF(EDW_RAW!$A$2:$A$1500,$D198)=0,"",IF(COUNTIFS(EDW_RAW!$A$2:$A$1500,$D198,EDW_RAW!$R$2:$R$1500,"&lt;&gt;~",EDW_RAW!$R$2:$R$1500,"&lt;&gt;")=COUNTIF(EDW_RAW!$A$2:$A$1500,$D198),"O",IF(COUNTIFS(EDW_RAW!$A$2:$A$1500,$D198,EDW_RAW!$R$2:$R$1500,"&lt;&gt;~",EDW_RAW!$R$2:$R$1500,"&lt;&gt;")&gt;0,"부분","X")))</f>
        <v/>
      </c>
      <c r="R198" s="19">
        <f>IF(COUNTIF(EDW_RAW!$A$2:$A$1500,$D198)=0,"",IF(COUNTIFS(EDW_RAW!$A$2:$A$1500,$D198,EDW_RAW!$U$2:$U$1500,"&lt;&gt;~",EDW_RAW!$U$2:$U$1500,"&lt;&gt;")=COUNTIF(EDW_RAW!$A$2:$A$1500,$D198),"O",IF(COUNTIFS(EDW_RAW!$A$2:$A$1500,$D198,EDW_RAW!$U$2:$U$1500,"&lt;&gt;~",EDW_RAW!$U$2:$U$1500,"&lt;&gt;")&gt;0,"부분","X")))</f>
        <v/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",TRUE,UNIQUE(FILTER(소재DB_RAW!$K$3:$K$2000,(소재DB_RAW!$G$3:$G$2000=$D198)*ISERROR(SEARCH("drop",소재DB_RAW!$C$3:$C$2000))))),"")</f>
        <v/>
      </c>
      <c r="W198" s="20" t="inlineStr">
        <is>
          <t>베트남</t>
        </is>
      </c>
      <c r="X198" s="20">
        <f>IFERROR(TEXTJOIN(" / ",TRUE,UNIQUE(FILTER(소재DB_RAW!$N$3:$N$2000,(소재DB_RAW!$G$3:$G$2000=$D198)*ISERROR(SEARCH("drop",소재DB_RAW!$C$3:$C$2000))))),"")</f>
        <v/>
      </c>
      <c r="Y198" s="26">
        <f>IFERROR(TEXTJOIN(CHAR(10),TRUE,UNIQUE(FILTER(소재DB_RAW!$N$3:$N$2000&amp;") "&amp;소재DB_RAW!$O$3:$O$2000,(소재DB_RAW!$G$3:$G$2000=$D198)*ISNUMBER(SEARCH("겉감",소재DB_RAW!$M$3:$M$2000))*ISERROR(SEARCH("drop",소재DB_RAW!$C$3:$C$2000))))),"")</f>
        <v/>
      </c>
      <c r="Z198" s="26">
        <f>IFERROR(TEXTJOIN(CHAR(10),TRUE,UNIQUE(FILTER(소재DB_RAW!$N$3:$N$2000&amp;") "&amp;소재DB_RAW!$O$3:$O$2000,(소재DB_RAW!$G$3:$G$2000=$D198)*ISNUMBER(SEARCH("안감",소재DB_RAW!$M$3:$M$2000))*ISERROR(SEARCH("drop",소재DB_RAW!$C$3:$C$2000))))),"")</f>
        <v/>
      </c>
      <c r="AA198" s="22">
        <f>IFERROR(MAX(FILTER(소재DB_RAW!$AK$3:$AK$2000,(소재DB_RAW!$G$3:$G$2000=$D198)*ISERROR(SEARCH("drop",소재DB_RAW!$C$3:$C$2000))*(소재DB_RAW!$AK$3:$AK$2000&lt;&gt;""))),"")</f>
        <v/>
      </c>
      <c r="AB198" s="27" t="n">
        <v>350</v>
      </c>
      <c r="AC198" s="27" t="n">
        <v>10039050</v>
      </c>
      <c r="AD198" s="27" t="n">
        <v>44800000</v>
      </c>
      <c r="AE198" s="20" t="n"/>
      <c r="AF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G198" s="19">
        <f>IF($K198="","",IF(OR(LEFT($AF198,2)="작지",LEFT($AF198,4)="소재입고"),IF(LEFT($G198,1)="S","★ 납기위험(S코드)","◆ 지연주의"),IF($AF198="정상","✓ 정상","? 확인필요")))</f>
        <v/>
      </c>
      <c r="AH198" s="21" t="n"/>
      <c r="AI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19">
        <f>IF(COUNTIF(EDW_RAW!$A$2:$A$1500,$D199)=0,"",IF(COUNTIFS(EDW_RAW!$A$2:$A$1500,$D199,EDW_RAW!$R$2:$R$1500,"&lt;&gt;~",EDW_RAW!$R$2:$R$1500,"&lt;&gt;")=COUNTIF(EDW_RAW!$A$2:$A$1500,$D199),"O",IF(COUNTIFS(EDW_RAW!$A$2:$A$1500,$D199,EDW_RAW!$R$2:$R$1500,"&lt;&gt;~",EDW_RAW!$R$2:$R$1500,"&lt;&gt;")&gt;0,"부분","X")))</f>
        <v/>
      </c>
      <c r="R199" s="19">
        <f>IF(COUNTIF(EDW_RAW!$A$2:$A$1500,$D199)=0,"",IF(COUNTIFS(EDW_RAW!$A$2:$A$1500,$D199,EDW_RAW!$U$2:$U$1500,"&lt;&gt;~",EDW_RAW!$U$2:$U$1500,"&lt;&gt;")=COUNTIF(EDW_RAW!$A$2:$A$1500,$D199),"O",IF(COUNTIFS(EDW_RAW!$A$2:$A$1500,$D199,EDW_RAW!$U$2:$U$1500,"&lt;&gt;~",EDW_RAW!$U$2:$U$1500,"&lt;&gt;")&gt;0,"부분","X")))</f>
        <v/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",TRUE,UNIQUE(FILTER(소재DB_RAW!$K$3:$K$2000,(소재DB_RAW!$G$3:$G$2000=$D199)*ISERROR(SEARCH("drop",소재DB_RAW!$C$3:$C$2000))))),"")</f>
        <v/>
      </c>
      <c r="W199" s="20" t="inlineStr">
        <is>
          <t>베트남</t>
        </is>
      </c>
      <c r="X199" s="20">
        <f>IFERROR(TEXTJOIN(" / ",TRUE,UNIQUE(FILTER(소재DB_RAW!$N$3:$N$2000,(소재DB_RAW!$G$3:$G$2000=$D199)*ISERROR(SEARCH("drop",소재DB_RAW!$C$3:$C$2000))))),"")</f>
        <v/>
      </c>
      <c r="Y199" s="26">
        <f>IFERROR(TEXTJOIN(CHAR(10),TRUE,UNIQUE(FILTER(소재DB_RAW!$N$3:$N$2000&amp;") "&amp;소재DB_RAW!$O$3:$O$2000,(소재DB_RAW!$G$3:$G$2000=$D199)*ISNUMBER(SEARCH("겉감",소재DB_RAW!$M$3:$M$2000))*ISERROR(SEARCH("drop",소재DB_RAW!$C$3:$C$2000))))),"")</f>
        <v/>
      </c>
      <c r="Z199" s="26">
        <f>IFERROR(TEXTJOIN(CHAR(10),TRUE,UNIQUE(FILTER(소재DB_RAW!$N$3:$N$2000&amp;") "&amp;소재DB_RAW!$O$3:$O$2000,(소재DB_RAW!$G$3:$G$2000=$D199)*ISNUMBER(SEARCH("안감",소재DB_RAW!$M$3:$M$2000))*ISERROR(SEARCH("drop",소재DB_RAW!$C$3:$C$2000))))),"")</f>
        <v/>
      </c>
      <c r="AA199" s="22">
        <f>IFERROR(MAX(FILTER(소재DB_RAW!$AK$3:$AK$2000,(소재DB_RAW!$G$3:$G$2000=$D199)*ISERROR(SEARCH("drop",소재DB_RAW!$C$3:$C$2000))*(소재DB_RAW!$AK$3:$AK$2000&lt;&gt;""))),"")</f>
        <v/>
      </c>
      <c r="AB199" s="27" t="n">
        <v>1870</v>
      </c>
      <c r="AC199" s="27" t="n">
        <v>45901020</v>
      </c>
      <c r="AD199" s="27" t="n">
        <v>183260000</v>
      </c>
      <c r="AE199" s="20" t="n"/>
      <c r="AF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G199" s="19">
        <f>IF($K199="","",IF(OR(LEFT($AF199,2)="작지",LEFT($AF199,4)="소재입고"),IF(LEFT($G199,1)="S","★ 납기위험(S코드)","◆ 지연주의"),IF($AF199="정상","✓ 정상","? 확인필요")))</f>
        <v/>
      </c>
      <c r="AH199" s="21" t="n"/>
      <c r="AI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19">
        <f>IF(COUNTIF(EDW_RAW!$A$2:$A$1500,$D200)=0,"",IF(COUNTIFS(EDW_RAW!$A$2:$A$1500,$D200,EDW_RAW!$R$2:$R$1500,"&lt;&gt;~",EDW_RAW!$R$2:$R$1500,"&lt;&gt;")=COUNTIF(EDW_RAW!$A$2:$A$1500,$D200),"O",IF(COUNTIFS(EDW_RAW!$A$2:$A$1500,$D200,EDW_RAW!$R$2:$R$1500,"&lt;&gt;~",EDW_RAW!$R$2:$R$1500,"&lt;&gt;")&gt;0,"부분","X")))</f>
        <v/>
      </c>
      <c r="R200" s="19">
        <f>IF(COUNTIF(EDW_RAW!$A$2:$A$1500,$D200)=0,"",IF(COUNTIFS(EDW_RAW!$A$2:$A$1500,$D200,EDW_RAW!$U$2:$U$1500,"&lt;&gt;~",EDW_RAW!$U$2:$U$1500,"&lt;&gt;")=COUNTIF(EDW_RAW!$A$2:$A$1500,$D200),"O",IF(COUNTIFS(EDW_RAW!$A$2:$A$1500,$D200,EDW_RAW!$U$2:$U$1500,"&lt;&gt;~",EDW_RAW!$U$2:$U$1500,"&lt;&gt;")&gt;0,"부분","X")))</f>
        <v/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",TRUE,UNIQUE(FILTER(소재DB_RAW!$K$3:$K$2000,(소재DB_RAW!$G$3:$G$2000=$D200)*ISERROR(SEARCH("drop",소재DB_RAW!$C$3:$C$2000))))),"")</f>
        <v/>
      </c>
      <c r="W200" s="20" t="inlineStr">
        <is>
          <t>베트남</t>
        </is>
      </c>
      <c r="X200" s="20">
        <f>IFERROR(TEXTJOIN(" / ",TRUE,UNIQUE(FILTER(소재DB_RAW!$N$3:$N$2000,(소재DB_RAW!$G$3:$G$2000=$D200)*ISERROR(SEARCH("drop",소재DB_RAW!$C$3:$C$2000))))),"")</f>
        <v/>
      </c>
      <c r="Y200" s="26">
        <f>IFERROR(TEXTJOIN(CHAR(10),TRUE,UNIQUE(FILTER(소재DB_RAW!$N$3:$N$2000&amp;") "&amp;소재DB_RAW!$O$3:$O$2000,(소재DB_RAW!$G$3:$G$2000=$D200)*ISNUMBER(SEARCH("겉감",소재DB_RAW!$M$3:$M$2000))*ISERROR(SEARCH("drop",소재DB_RAW!$C$3:$C$2000))))),"")</f>
        <v/>
      </c>
      <c r="Z200" s="26">
        <f>IFERROR(TEXTJOIN(CHAR(10),TRUE,UNIQUE(FILTER(소재DB_RAW!$N$3:$N$2000&amp;") "&amp;소재DB_RAW!$O$3:$O$2000,(소재DB_RAW!$G$3:$G$2000=$D200)*ISNUMBER(SEARCH("안감",소재DB_RAW!$M$3:$M$2000))*ISERROR(SEARCH("drop",소재DB_RAW!$C$3:$C$2000))))),"")</f>
        <v/>
      </c>
      <c r="AA200" s="22">
        <f>IFERROR(MAX(FILTER(소재DB_RAW!$AK$3:$AK$2000,(소재DB_RAW!$G$3:$G$2000=$D200)*ISERROR(SEARCH("drop",소재DB_RAW!$C$3:$C$2000))*(소재DB_RAW!$AK$3:$AK$2000&lt;&gt;""))),"")</f>
        <v/>
      </c>
      <c r="AB200" s="27" t="n">
        <v>500</v>
      </c>
      <c r="AC200" s="27" t="n">
        <v>16777000</v>
      </c>
      <c r="AD200" s="27" t="n">
        <v>59000000</v>
      </c>
      <c r="AE200" s="20" t="n"/>
      <c r="AF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G200" s="19">
        <f>IF($K200="","",IF(OR(LEFT($AF200,2)="작지",LEFT($AF200,4)="소재입고"),IF(LEFT($G200,1)="S","★ 납기위험(S코드)","◆ 지연주의"),IF($AF200="정상","✓ 정상","? 확인필요")))</f>
        <v/>
      </c>
      <c r="AH200" s="21" t="n"/>
      <c r="AI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19">
        <f>IF(COUNTIF(EDW_RAW!$A$2:$A$1500,$D201)=0,"",IF(COUNTIFS(EDW_RAW!$A$2:$A$1500,$D201,EDW_RAW!$R$2:$R$1500,"&lt;&gt;~",EDW_RAW!$R$2:$R$1500,"&lt;&gt;")=COUNTIF(EDW_RAW!$A$2:$A$1500,$D201),"O",IF(COUNTIFS(EDW_RAW!$A$2:$A$1500,$D201,EDW_RAW!$R$2:$R$1500,"&lt;&gt;~",EDW_RAW!$R$2:$R$1500,"&lt;&gt;")&gt;0,"부분","X")))</f>
        <v/>
      </c>
      <c r="R201" s="19">
        <f>IF(COUNTIF(EDW_RAW!$A$2:$A$1500,$D201)=0,"",IF(COUNTIFS(EDW_RAW!$A$2:$A$1500,$D201,EDW_RAW!$U$2:$U$1500,"&lt;&gt;~",EDW_RAW!$U$2:$U$1500,"&lt;&gt;")=COUNTIF(EDW_RAW!$A$2:$A$1500,$D201),"O",IF(COUNTIFS(EDW_RAW!$A$2:$A$1500,$D201,EDW_RAW!$U$2:$U$1500,"&lt;&gt;~",EDW_RAW!$U$2:$U$1500,"&lt;&gt;")&gt;0,"부분","X")))</f>
        <v/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",TRUE,UNIQUE(FILTER(소재DB_RAW!$K$3:$K$2000,(소재DB_RAW!$G$3:$G$2000=$D201)*ISERROR(SEARCH("drop",소재DB_RAW!$C$3:$C$2000))))),"")</f>
        <v/>
      </c>
      <c r="W201" s="20" t="inlineStr">
        <is>
          <t>베트남</t>
        </is>
      </c>
      <c r="X201" s="20">
        <f>IFERROR(TEXTJOIN(" / ",TRUE,UNIQUE(FILTER(소재DB_RAW!$N$3:$N$2000,(소재DB_RAW!$G$3:$G$2000=$D201)*ISERROR(SEARCH("drop",소재DB_RAW!$C$3:$C$2000))))),"")</f>
        <v/>
      </c>
      <c r="Y201" s="26">
        <f>IFERROR(TEXTJOIN(CHAR(10),TRUE,UNIQUE(FILTER(소재DB_RAW!$N$3:$N$2000&amp;") "&amp;소재DB_RAW!$O$3:$O$2000,(소재DB_RAW!$G$3:$G$2000=$D201)*ISNUMBER(SEARCH("겉감",소재DB_RAW!$M$3:$M$2000))*ISERROR(SEARCH("drop",소재DB_RAW!$C$3:$C$2000))))),"")</f>
        <v/>
      </c>
      <c r="Z201" s="26">
        <f>IFERROR(TEXTJOIN(CHAR(10),TRUE,UNIQUE(FILTER(소재DB_RAW!$N$3:$N$2000&amp;") "&amp;소재DB_RAW!$O$3:$O$2000,(소재DB_RAW!$G$3:$G$2000=$D201)*ISNUMBER(SEARCH("안감",소재DB_RAW!$M$3:$M$2000))*ISERROR(SEARCH("drop",소재DB_RAW!$C$3:$C$2000))))),"")</f>
        <v/>
      </c>
      <c r="AA201" s="22">
        <f>IFERROR(MAX(FILTER(소재DB_RAW!$AK$3:$AK$2000,(소재DB_RAW!$G$3:$G$2000=$D201)*ISERROR(SEARCH("drop",소재DB_RAW!$C$3:$C$2000))*(소재DB_RAW!$AK$3:$AK$2000&lt;&gt;""))),"")</f>
        <v/>
      </c>
      <c r="AB201" s="27" t="n">
        <v>900</v>
      </c>
      <c r="AC201" s="27" t="n">
        <v>22674600</v>
      </c>
      <c r="AD201" s="27" t="n">
        <v>88200000</v>
      </c>
      <c r="AE201" s="20" t="n"/>
      <c r="AF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G201" s="19">
        <f>IF($K201="","",IF(OR(LEFT($AF201,2)="작지",LEFT($AF201,4)="소재입고"),IF(LEFT($G201,1)="S","★ 납기위험(S코드)","◆ 지연주의"),IF($AF201="정상","✓ 정상","? 확인필요")))</f>
        <v/>
      </c>
      <c r="AH201" s="21" t="n"/>
      <c r="AI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19">
        <f>IF(COUNTIF(EDW_RAW!$A$2:$A$1500,$D202)=0,"",IF(COUNTIFS(EDW_RAW!$A$2:$A$1500,$D202,EDW_RAW!$R$2:$R$1500,"&lt;&gt;~",EDW_RAW!$R$2:$R$1500,"&lt;&gt;")=COUNTIF(EDW_RAW!$A$2:$A$1500,$D202),"O",IF(COUNTIFS(EDW_RAW!$A$2:$A$1500,$D202,EDW_RAW!$R$2:$R$1500,"&lt;&gt;~",EDW_RAW!$R$2:$R$1500,"&lt;&gt;")&gt;0,"부분","X")))</f>
        <v/>
      </c>
      <c r="R202" s="19">
        <f>IF(COUNTIF(EDW_RAW!$A$2:$A$1500,$D202)=0,"",IF(COUNTIFS(EDW_RAW!$A$2:$A$1500,$D202,EDW_RAW!$U$2:$U$1500,"&lt;&gt;~",EDW_RAW!$U$2:$U$1500,"&lt;&gt;")=COUNTIF(EDW_RAW!$A$2:$A$1500,$D202),"O",IF(COUNTIFS(EDW_RAW!$A$2:$A$1500,$D202,EDW_RAW!$U$2:$U$1500,"&lt;&gt;~",EDW_RAW!$U$2:$U$1500,"&lt;&gt;")&gt;0,"부분","X")))</f>
        <v/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",TRUE,UNIQUE(FILTER(소재DB_RAW!$K$3:$K$2000,(소재DB_RAW!$G$3:$G$2000=$D202)*ISERROR(SEARCH("drop",소재DB_RAW!$C$3:$C$2000))))),"")</f>
        <v/>
      </c>
      <c r="W202" s="20" t="inlineStr">
        <is>
          <t>베트남</t>
        </is>
      </c>
      <c r="X202" s="20">
        <f>IFERROR(TEXTJOIN(" / ",TRUE,UNIQUE(FILTER(소재DB_RAW!$N$3:$N$2000,(소재DB_RAW!$G$3:$G$2000=$D202)*ISERROR(SEARCH("drop",소재DB_RAW!$C$3:$C$2000))))),"")</f>
        <v/>
      </c>
      <c r="Y202" s="26">
        <f>IFERROR(TEXTJOIN(CHAR(10),TRUE,UNIQUE(FILTER(소재DB_RAW!$N$3:$N$2000&amp;") "&amp;소재DB_RAW!$O$3:$O$2000,(소재DB_RAW!$G$3:$G$2000=$D202)*ISNUMBER(SEARCH("겉감",소재DB_RAW!$M$3:$M$2000))*ISERROR(SEARCH("drop",소재DB_RAW!$C$3:$C$2000))))),"")</f>
        <v/>
      </c>
      <c r="Z202" s="26">
        <f>IFERROR(TEXTJOIN(CHAR(10),TRUE,UNIQUE(FILTER(소재DB_RAW!$N$3:$N$2000&amp;") "&amp;소재DB_RAW!$O$3:$O$2000,(소재DB_RAW!$G$3:$G$2000=$D202)*ISNUMBER(SEARCH("안감",소재DB_RAW!$M$3:$M$2000))*ISERROR(SEARCH("drop",소재DB_RAW!$C$3:$C$2000))))),"")</f>
        <v/>
      </c>
      <c r="AA202" s="22">
        <f>IFERROR(MAX(FILTER(소재DB_RAW!$AK$3:$AK$2000,(소재DB_RAW!$G$3:$G$2000=$D202)*ISERROR(SEARCH("drop",소재DB_RAW!$C$3:$C$2000))*(소재DB_RAW!$AK$3:$AK$2000&lt;&gt;""))),"")</f>
        <v/>
      </c>
      <c r="AB202" s="27" t="n">
        <v>300</v>
      </c>
      <c r="AC202" s="27" t="n">
        <v>31205400</v>
      </c>
      <c r="AD202" s="27" t="n">
        <v>117000000</v>
      </c>
      <c r="AE202" s="20" t="n"/>
      <c r="AF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G202" s="19">
        <f>IF($K202="","",IF(OR(LEFT($AF202,2)="작지",LEFT($AF202,4)="소재입고"),IF(LEFT($G202,1)="S","★ 납기위험(S코드)","◆ 지연주의"),IF($AF202="정상","✓ 정상","? 확인필요")))</f>
        <v/>
      </c>
      <c r="AH202" s="21" t="n"/>
      <c r="AI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19">
        <f>IF(COUNTIF(EDW_RAW!$A$2:$A$1500,$D203)=0,"",IF(COUNTIFS(EDW_RAW!$A$2:$A$1500,$D203,EDW_RAW!$R$2:$R$1500,"&lt;&gt;~",EDW_RAW!$R$2:$R$1500,"&lt;&gt;")=COUNTIF(EDW_RAW!$A$2:$A$1500,$D203),"O",IF(COUNTIFS(EDW_RAW!$A$2:$A$1500,$D203,EDW_RAW!$R$2:$R$1500,"&lt;&gt;~",EDW_RAW!$R$2:$R$1500,"&lt;&gt;")&gt;0,"부분","X")))</f>
        <v/>
      </c>
      <c r="R203" s="19">
        <f>IF(COUNTIF(EDW_RAW!$A$2:$A$1500,$D203)=0,"",IF(COUNTIFS(EDW_RAW!$A$2:$A$1500,$D203,EDW_RAW!$U$2:$U$1500,"&lt;&gt;~",EDW_RAW!$U$2:$U$1500,"&lt;&gt;")=COUNTIF(EDW_RAW!$A$2:$A$1500,$D203),"O",IF(COUNTIFS(EDW_RAW!$A$2:$A$1500,$D203,EDW_RAW!$U$2:$U$1500,"&lt;&gt;~",EDW_RAW!$U$2:$U$1500,"&lt;&gt;")&gt;0,"부분","X")))</f>
        <v/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",TRUE,UNIQUE(FILTER(소재DB_RAW!$K$3:$K$2000,(소재DB_RAW!$G$3:$G$2000=$D203)*ISERROR(SEARCH("drop",소재DB_RAW!$C$3:$C$2000))))),"")</f>
        <v/>
      </c>
      <c r="W203" s="20" t="inlineStr">
        <is>
          <t>베트남</t>
        </is>
      </c>
      <c r="X203" s="20">
        <f>IFERROR(TEXTJOIN(" / ",TRUE,UNIQUE(FILTER(소재DB_RAW!$N$3:$N$2000,(소재DB_RAW!$G$3:$G$2000=$D203)*ISERROR(SEARCH("drop",소재DB_RAW!$C$3:$C$2000))))),"")</f>
        <v/>
      </c>
      <c r="Y203" s="26">
        <f>IFERROR(TEXTJOIN(CHAR(10),TRUE,UNIQUE(FILTER(소재DB_RAW!$N$3:$N$2000&amp;") "&amp;소재DB_RAW!$O$3:$O$2000,(소재DB_RAW!$G$3:$G$2000=$D203)*ISNUMBER(SEARCH("겉감",소재DB_RAW!$M$3:$M$2000))*ISERROR(SEARCH("drop",소재DB_RAW!$C$3:$C$2000))))),"")</f>
        <v/>
      </c>
      <c r="Z203" s="26">
        <f>IFERROR(TEXTJOIN(CHAR(10),TRUE,UNIQUE(FILTER(소재DB_RAW!$N$3:$N$2000&amp;") "&amp;소재DB_RAW!$O$3:$O$2000,(소재DB_RAW!$G$3:$G$2000=$D203)*ISNUMBER(SEARCH("안감",소재DB_RAW!$M$3:$M$2000))*ISERROR(SEARCH("drop",소재DB_RAW!$C$3:$C$2000))))),"")</f>
        <v/>
      </c>
      <c r="AA203" s="22">
        <f>IFERROR(MAX(FILTER(소재DB_RAW!$AK$3:$AK$2000,(소재DB_RAW!$G$3:$G$2000=$D203)*ISERROR(SEARCH("drop",소재DB_RAW!$C$3:$C$2000))*(소재DB_RAW!$AK$3:$AK$2000&lt;&gt;""))),"")</f>
        <v/>
      </c>
      <c r="AB203" s="27" t="n">
        <v>300</v>
      </c>
      <c r="AC203" s="27" t="n">
        <v>14763900</v>
      </c>
      <c r="AD203" s="27" t="n">
        <v>66000000</v>
      </c>
      <c r="AE203" s="20" t="n"/>
      <c r="AF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G203" s="19">
        <f>IF($K203="","",IF(OR(LEFT($AF203,2)="작지",LEFT($AF203,4)="소재입고"),IF(LEFT($G203,1)="S","★ 납기위험(S코드)","◆ 지연주의"),IF($AF203="정상","✓ 정상","? 확인필요")))</f>
        <v/>
      </c>
      <c r="AH203" s="21" t="n"/>
      <c r="AI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19">
        <f>IF(COUNTIF(EDW_RAW!$A$2:$A$1500,$D204)=0,"",IF(COUNTIFS(EDW_RAW!$A$2:$A$1500,$D204,EDW_RAW!$R$2:$R$1500,"&lt;&gt;~",EDW_RAW!$R$2:$R$1500,"&lt;&gt;")=COUNTIF(EDW_RAW!$A$2:$A$1500,$D204),"O",IF(COUNTIFS(EDW_RAW!$A$2:$A$1500,$D204,EDW_RAW!$R$2:$R$1500,"&lt;&gt;~",EDW_RAW!$R$2:$R$1500,"&lt;&gt;")&gt;0,"부분","X")))</f>
        <v/>
      </c>
      <c r="R204" s="19">
        <f>IF(COUNTIF(EDW_RAW!$A$2:$A$1500,$D204)=0,"",IF(COUNTIFS(EDW_RAW!$A$2:$A$1500,$D204,EDW_RAW!$U$2:$U$1500,"&lt;&gt;~",EDW_RAW!$U$2:$U$1500,"&lt;&gt;")=COUNTIF(EDW_RAW!$A$2:$A$1500,$D204),"O",IF(COUNTIFS(EDW_RAW!$A$2:$A$1500,$D204,EDW_RAW!$U$2:$U$1500,"&lt;&gt;~",EDW_RAW!$U$2:$U$1500,"&lt;&gt;")&gt;0,"부분","X")))</f>
        <v/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",TRUE,UNIQUE(FILTER(소재DB_RAW!$K$3:$K$2000,(소재DB_RAW!$G$3:$G$2000=$D204)*ISERROR(SEARCH("drop",소재DB_RAW!$C$3:$C$2000))))),"")</f>
        <v/>
      </c>
      <c r="W204" s="20" t="inlineStr">
        <is>
          <t>베트남</t>
        </is>
      </c>
      <c r="X204" s="20">
        <f>IFERROR(TEXTJOIN(" / ",TRUE,UNIQUE(FILTER(소재DB_RAW!$N$3:$N$2000,(소재DB_RAW!$G$3:$G$2000=$D204)*ISERROR(SEARCH("drop",소재DB_RAW!$C$3:$C$2000))))),"")</f>
        <v/>
      </c>
      <c r="Y204" s="26">
        <f>IFERROR(TEXTJOIN(CHAR(10),TRUE,UNIQUE(FILTER(소재DB_RAW!$N$3:$N$2000&amp;") "&amp;소재DB_RAW!$O$3:$O$2000,(소재DB_RAW!$G$3:$G$2000=$D204)*ISNUMBER(SEARCH("겉감",소재DB_RAW!$M$3:$M$2000))*ISERROR(SEARCH("drop",소재DB_RAW!$C$3:$C$2000))))),"")</f>
        <v/>
      </c>
      <c r="Z204" s="26">
        <f>IFERROR(TEXTJOIN(CHAR(10),TRUE,UNIQUE(FILTER(소재DB_RAW!$N$3:$N$2000&amp;") "&amp;소재DB_RAW!$O$3:$O$2000,(소재DB_RAW!$G$3:$G$2000=$D204)*ISNUMBER(SEARCH("안감",소재DB_RAW!$M$3:$M$2000))*ISERROR(SEARCH("drop",소재DB_RAW!$C$3:$C$2000))))),"")</f>
        <v/>
      </c>
      <c r="AA204" s="22">
        <f>IFERROR(MAX(FILTER(소재DB_RAW!$AK$3:$AK$2000,(소재DB_RAW!$G$3:$G$2000=$D204)*ISERROR(SEARCH("drop",소재DB_RAW!$C$3:$C$2000))*(소재DB_RAW!$AK$3:$AK$2000&lt;&gt;""))),"")</f>
        <v/>
      </c>
      <c r="AB204" s="27" t="n">
        <v>5000</v>
      </c>
      <c r="AC204" s="27" t="n">
        <v>177260000</v>
      </c>
      <c r="AD204" s="27" t="n">
        <v>890000000</v>
      </c>
      <c r="AE204" s="20" t="inlineStr">
        <is>
          <t>3월1주</t>
        </is>
      </c>
      <c r="AF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G204" s="19">
        <f>IF($K204="","",IF(OR(LEFT($AF204,2)="작지",LEFT($AF204,4)="소재입고"),IF(LEFT($G204,1)="S","★ 납기위험(S코드)","◆ 지연주의"),IF($AF204="정상","✓ 정상","? 확인필요")))</f>
        <v/>
      </c>
      <c r="AH204" s="21" t="n"/>
      <c r="AI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19">
        <f>IF(COUNTIF(EDW_RAW!$A$2:$A$1500,$D205)=0,"",IF(COUNTIFS(EDW_RAW!$A$2:$A$1500,$D205,EDW_RAW!$R$2:$R$1500,"&lt;&gt;~",EDW_RAW!$R$2:$R$1500,"&lt;&gt;")=COUNTIF(EDW_RAW!$A$2:$A$1500,$D205),"O",IF(COUNTIFS(EDW_RAW!$A$2:$A$1500,$D205,EDW_RAW!$R$2:$R$1500,"&lt;&gt;~",EDW_RAW!$R$2:$R$1500,"&lt;&gt;")&gt;0,"부분","X")))</f>
        <v/>
      </c>
      <c r="R205" s="19">
        <f>IF(COUNTIF(EDW_RAW!$A$2:$A$1500,$D205)=0,"",IF(COUNTIFS(EDW_RAW!$A$2:$A$1500,$D205,EDW_RAW!$U$2:$U$1500,"&lt;&gt;~",EDW_RAW!$U$2:$U$1500,"&lt;&gt;")=COUNTIF(EDW_RAW!$A$2:$A$1500,$D205),"O",IF(COUNTIFS(EDW_RAW!$A$2:$A$1500,$D205,EDW_RAW!$U$2:$U$1500,"&lt;&gt;~",EDW_RAW!$U$2:$U$1500,"&lt;&gt;")&gt;0,"부분","X")))</f>
        <v/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",TRUE,UNIQUE(FILTER(소재DB_RAW!$K$3:$K$2000,(소재DB_RAW!$G$3:$G$2000=$D205)*ISERROR(SEARCH("drop",소재DB_RAW!$C$3:$C$2000))))),"")</f>
        <v/>
      </c>
      <c r="W205" s="20" t="inlineStr">
        <is>
          <t>베트남</t>
        </is>
      </c>
      <c r="X205" s="20">
        <f>IFERROR(TEXTJOIN(" / ",TRUE,UNIQUE(FILTER(소재DB_RAW!$N$3:$N$2000,(소재DB_RAW!$G$3:$G$2000=$D205)*ISERROR(SEARCH("drop",소재DB_RAW!$C$3:$C$2000))))),"")</f>
        <v/>
      </c>
      <c r="Y205" s="26">
        <f>IFERROR(TEXTJOIN(CHAR(10),TRUE,UNIQUE(FILTER(소재DB_RAW!$N$3:$N$2000&amp;") "&amp;소재DB_RAW!$O$3:$O$2000,(소재DB_RAW!$G$3:$G$2000=$D205)*ISNUMBER(SEARCH("겉감",소재DB_RAW!$M$3:$M$2000))*ISERROR(SEARCH("drop",소재DB_RAW!$C$3:$C$2000))))),"")</f>
        <v/>
      </c>
      <c r="Z205" s="26">
        <f>IFERROR(TEXTJOIN(CHAR(10),TRUE,UNIQUE(FILTER(소재DB_RAW!$N$3:$N$2000&amp;") "&amp;소재DB_RAW!$O$3:$O$2000,(소재DB_RAW!$G$3:$G$2000=$D205)*ISNUMBER(SEARCH("안감",소재DB_RAW!$M$3:$M$2000))*ISERROR(SEARCH("drop",소재DB_RAW!$C$3:$C$2000))))),"")</f>
        <v/>
      </c>
      <c r="AA205" s="22">
        <f>IFERROR(MAX(FILTER(소재DB_RAW!$AK$3:$AK$2000,(소재DB_RAW!$G$3:$G$2000=$D205)*ISERROR(SEARCH("drop",소재DB_RAW!$C$3:$C$2000))*(소재DB_RAW!$AK$3:$AK$2000&lt;&gt;""))),"")</f>
        <v/>
      </c>
      <c r="AB205" s="27" t="n">
        <v>3000</v>
      </c>
      <c r="AC205" s="27" t="n">
        <v>112215000</v>
      </c>
      <c r="AD205" s="27" t="n">
        <v>564000000</v>
      </c>
      <c r="AE205" s="20" t="inlineStr">
        <is>
          <t>3월1주</t>
        </is>
      </c>
      <c r="AF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G205" s="19">
        <f>IF($K205="","",IF(OR(LEFT($AF205,2)="작지",LEFT($AF205,4)="소재입고"),IF(LEFT($G205,1)="S","★ 납기위험(S코드)","◆ 지연주의"),IF($AF205="정상","✓ 정상","? 확인필요")))</f>
        <v/>
      </c>
      <c r="AH205" s="21" t="n"/>
      <c r="AI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19">
        <f>IF(COUNTIF(EDW_RAW!$A$2:$A$1500,$D206)=0,"",IF(COUNTIFS(EDW_RAW!$A$2:$A$1500,$D206,EDW_RAW!$R$2:$R$1500,"&lt;&gt;~",EDW_RAW!$R$2:$R$1500,"&lt;&gt;")=COUNTIF(EDW_RAW!$A$2:$A$1500,$D206),"O",IF(COUNTIFS(EDW_RAW!$A$2:$A$1500,$D206,EDW_RAW!$R$2:$R$1500,"&lt;&gt;~",EDW_RAW!$R$2:$R$1500,"&lt;&gt;")&gt;0,"부분","X")))</f>
        <v/>
      </c>
      <c r="R206" s="19">
        <f>IF(COUNTIF(EDW_RAW!$A$2:$A$1500,$D206)=0,"",IF(COUNTIFS(EDW_RAW!$A$2:$A$1500,$D206,EDW_RAW!$U$2:$U$1500,"&lt;&gt;~",EDW_RAW!$U$2:$U$1500,"&lt;&gt;")=COUNTIF(EDW_RAW!$A$2:$A$1500,$D206),"O",IF(COUNTIFS(EDW_RAW!$A$2:$A$1500,$D206,EDW_RAW!$U$2:$U$1500,"&lt;&gt;~",EDW_RAW!$U$2:$U$1500,"&lt;&gt;")&gt;0,"부분","X")))</f>
        <v/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",TRUE,UNIQUE(FILTER(소재DB_RAW!$K$3:$K$2000,(소재DB_RAW!$G$3:$G$2000=$D206)*ISERROR(SEARCH("drop",소재DB_RAW!$C$3:$C$2000))))),"")</f>
        <v/>
      </c>
      <c r="W206" s="20" t="inlineStr">
        <is>
          <t>베트남</t>
        </is>
      </c>
      <c r="X206" s="20">
        <f>IFERROR(TEXTJOIN(" / ",TRUE,UNIQUE(FILTER(소재DB_RAW!$N$3:$N$2000,(소재DB_RAW!$G$3:$G$2000=$D206)*ISERROR(SEARCH("drop",소재DB_RAW!$C$3:$C$2000))))),"")</f>
        <v/>
      </c>
      <c r="Y206" s="26">
        <f>IFERROR(TEXTJOIN(CHAR(10),TRUE,UNIQUE(FILTER(소재DB_RAW!$N$3:$N$2000&amp;") "&amp;소재DB_RAW!$O$3:$O$2000,(소재DB_RAW!$G$3:$G$2000=$D206)*ISNUMBER(SEARCH("겉감",소재DB_RAW!$M$3:$M$2000))*ISERROR(SEARCH("drop",소재DB_RAW!$C$3:$C$2000))))),"")</f>
        <v/>
      </c>
      <c r="Z206" s="26">
        <f>IFERROR(TEXTJOIN(CHAR(10),TRUE,UNIQUE(FILTER(소재DB_RAW!$N$3:$N$2000&amp;") "&amp;소재DB_RAW!$O$3:$O$2000,(소재DB_RAW!$G$3:$G$2000=$D206)*ISNUMBER(SEARCH("안감",소재DB_RAW!$M$3:$M$2000))*ISERROR(SEARCH("drop",소재DB_RAW!$C$3:$C$2000))))),"")</f>
        <v/>
      </c>
      <c r="AA206" s="22">
        <f>IFERROR(MAX(FILTER(소재DB_RAW!$AK$3:$AK$2000,(소재DB_RAW!$G$3:$G$2000=$D206)*ISERROR(SEARCH("drop",소재DB_RAW!$C$3:$C$2000))*(소재DB_RAW!$AK$3:$AK$2000&lt;&gt;""))),"")</f>
        <v/>
      </c>
      <c r="AB206" s="27" t="n">
        <v>3000</v>
      </c>
      <c r="AC206" s="27" t="n">
        <v>127404000</v>
      </c>
      <c r="AD206" s="27" t="n">
        <v>594000000</v>
      </c>
      <c r="AE206" s="20" t="inlineStr">
        <is>
          <t>3월1주</t>
        </is>
      </c>
      <c r="AF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G206" s="19">
        <f>IF($K206="","",IF(OR(LEFT($AF206,2)="작지",LEFT($AF206,4)="소재입고"),IF(LEFT($G206,1)="S","★ 납기위험(S코드)","◆ 지연주의"),IF($AF206="정상","✓ 정상","? 확인필요")))</f>
        <v/>
      </c>
      <c r="AH206" s="21" t="n"/>
      <c r="AI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19">
        <f>IF(COUNTIF(EDW_RAW!$A$2:$A$1500,$D207)=0,"",IF(COUNTIFS(EDW_RAW!$A$2:$A$1500,$D207,EDW_RAW!$R$2:$R$1500,"&lt;&gt;~",EDW_RAW!$R$2:$R$1500,"&lt;&gt;")=COUNTIF(EDW_RAW!$A$2:$A$1500,$D207),"O",IF(COUNTIFS(EDW_RAW!$A$2:$A$1500,$D207,EDW_RAW!$R$2:$R$1500,"&lt;&gt;~",EDW_RAW!$R$2:$R$1500,"&lt;&gt;")&gt;0,"부분","X")))</f>
        <v/>
      </c>
      <c r="R207" s="19">
        <f>IF(COUNTIF(EDW_RAW!$A$2:$A$1500,$D207)=0,"",IF(COUNTIFS(EDW_RAW!$A$2:$A$1500,$D207,EDW_RAW!$U$2:$U$1500,"&lt;&gt;~",EDW_RAW!$U$2:$U$1500,"&lt;&gt;")=COUNTIF(EDW_RAW!$A$2:$A$1500,$D207),"O",IF(COUNTIFS(EDW_RAW!$A$2:$A$1500,$D207,EDW_RAW!$U$2:$U$1500,"&lt;&gt;~",EDW_RAW!$U$2:$U$1500,"&lt;&gt;")&gt;0,"부분","X")))</f>
        <v/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",TRUE,UNIQUE(FILTER(소재DB_RAW!$K$3:$K$2000,(소재DB_RAW!$G$3:$G$2000=$D207)*ISERROR(SEARCH("drop",소재DB_RAW!$C$3:$C$2000))))),"")</f>
        <v/>
      </c>
      <c r="W207" s="20" t="inlineStr">
        <is>
          <t>베트남</t>
        </is>
      </c>
      <c r="X207" s="20">
        <f>IFERROR(TEXTJOIN(" / ",TRUE,UNIQUE(FILTER(소재DB_RAW!$N$3:$N$2000,(소재DB_RAW!$G$3:$G$2000=$D207)*ISERROR(SEARCH("drop",소재DB_RAW!$C$3:$C$2000))))),"")</f>
        <v/>
      </c>
      <c r="Y207" s="26">
        <f>IFERROR(TEXTJOIN(CHAR(10),TRUE,UNIQUE(FILTER(소재DB_RAW!$N$3:$N$2000&amp;") "&amp;소재DB_RAW!$O$3:$O$2000,(소재DB_RAW!$G$3:$G$2000=$D207)*ISNUMBER(SEARCH("겉감",소재DB_RAW!$M$3:$M$2000))*ISERROR(SEARCH("drop",소재DB_RAW!$C$3:$C$2000))))),"")</f>
        <v/>
      </c>
      <c r="Z207" s="26">
        <f>IFERROR(TEXTJOIN(CHAR(10),TRUE,UNIQUE(FILTER(소재DB_RAW!$N$3:$N$2000&amp;") "&amp;소재DB_RAW!$O$3:$O$2000,(소재DB_RAW!$G$3:$G$2000=$D207)*ISNUMBER(SEARCH("안감",소재DB_RAW!$M$3:$M$2000))*ISERROR(SEARCH("drop",소재DB_RAW!$C$3:$C$2000))))),"")</f>
        <v/>
      </c>
      <c r="AA207" s="22">
        <f>IFERROR(MAX(FILTER(소재DB_RAW!$AK$3:$AK$2000,(소재DB_RAW!$G$3:$G$2000=$D207)*ISERROR(SEARCH("drop",소재DB_RAW!$C$3:$C$2000))*(소재DB_RAW!$AK$3:$AK$2000&lt;&gt;""))),"")</f>
        <v/>
      </c>
      <c r="AB207" s="27" t="n">
        <v>1200</v>
      </c>
      <c r="AC207" s="27" t="n">
        <v>36000000</v>
      </c>
      <c r="AD207" s="27" t="n">
        <v>213600000</v>
      </c>
      <c r="AE207" s="20" t="inlineStr">
        <is>
          <t>3월1주</t>
        </is>
      </c>
      <c r="AF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G207" s="19">
        <f>IF($K207="","",IF(OR(LEFT($AF207,2)="작지",LEFT($AF207,4)="소재입고"),IF(LEFT($G207,1)="S","★ 납기위험(S코드)","◆ 지연주의"),IF($AF207="정상","✓ 정상","? 확인필요")))</f>
        <v/>
      </c>
      <c r="AH207" s="21" t="n"/>
      <c r="AI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19">
        <f>IF(COUNTIF(EDW_RAW!$A$2:$A$1500,$D208)=0,"",IF(COUNTIFS(EDW_RAW!$A$2:$A$1500,$D208,EDW_RAW!$R$2:$R$1500,"&lt;&gt;~",EDW_RAW!$R$2:$R$1500,"&lt;&gt;")=COUNTIF(EDW_RAW!$A$2:$A$1500,$D208),"O",IF(COUNTIFS(EDW_RAW!$A$2:$A$1500,$D208,EDW_RAW!$R$2:$R$1500,"&lt;&gt;~",EDW_RAW!$R$2:$R$1500,"&lt;&gt;")&gt;0,"부분","X")))</f>
        <v/>
      </c>
      <c r="R208" s="19">
        <f>IF(COUNTIF(EDW_RAW!$A$2:$A$1500,$D208)=0,"",IF(COUNTIFS(EDW_RAW!$A$2:$A$1500,$D208,EDW_RAW!$U$2:$U$1500,"&lt;&gt;~",EDW_RAW!$U$2:$U$1500,"&lt;&gt;")=COUNTIF(EDW_RAW!$A$2:$A$1500,$D208),"O",IF(COUNTIFS(EDW_RAW!$A$2:$A$1500,$D208,EDW_RAW!$U$2:$U$1500,"&lt;&gt;~",EDW_RAW!$U$2:$U$1500,"&lt;&gt;")&gt;0,"부분","X")))</f>
        <v/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",TRUE,UNIQUE(FILTER(소재DB_RAW!$K$3:$K$2000,(소재DB_RAW!$G$3:$G$2000=$D208)*ISERROR(SEARCH("drop",소재DB_RAW!$C$3:$C$2000))))),"")</f>
        <v/>
      </c>
      <c r="W208" s="20" t="inlineStr">
        <is>
          <t>베트남</t>
        </is>
      </c>
      <c r="X208" s="20">
        <f>IFERROR(TEXTJOIN(" / ",TRUE,UNIQUE(FILTER(소재DB_RAW!$N$3:$N$2000,(소재DB_RAW!$G$3:$G$2000=$D208)*ISERROR(SEARCH("drop",소재DB_RAW!$C$3:$C$2000))))),"")</f>
        <v/>
      </c>
      <c r="Y208" s="26">
        <f>IFERROR(TEXTJOIN(CHAR(10),TRUE,UNIQUE(FILTER(소재DB_RAW!$N$3:$N$2000&amp;") "&amp;소재DB_RAW!$O$3:$O$2000,(소재DB_RAW!$G$3:$G$2000=$D208)*ISNUMBER(SEARCH("겉감",소재DB_RAW!$M$3:$M$2000))*ISERROR(SEARCH("drop",소재DB_RAW!$C$3:$C$2000))))),"")</f>
        <v/>
      </c>
      <c r="Z208" s="26">
        <f>IFERROR(TEXTJOIN(CHAR(10),TRUE,UNIQUE(FILTER(소재DB_RAW!$N$3:$N$2000&amp;") "&amp;소재DB_RAW!$O$3:$O$2000,(소재DB_RAW!$G$3:$G$2000=$D208)*ISNUMBER(SEARCH("안감",소재DB_RAW!$M$3:$M$2000))*ISERROR(SEARCH("drop",소재DB_RAW!$C$3:$C$2000))))),"")</f>
        <v/>
      </c>
      <c r="AA208" s="22">
        <f>IFERROR(MAX(FILTER(소재DB_RAW!$AK$3:$AK$2000,(소재DB_RAW!$G$3:$G$2000=$D208)*ISERROR(SEARCH("drop",소재DB_RAW!$C$3:$C$2000))*(소재DB_RAW!$AK$3:$AK$2000&lt;&gt;""))),"")</f>
        <v/>
      </c>
      <c r="AB208" s="27" t="n">
        <v>500</v>
      </c>
      <c r="AC208" s="27" t="n">
        <v>13550000</v>
      </c>
      <c r="AD208" s="27" t="n">
        <v>59000000</v>
      </c>
      <c r="AE208" s="20" t="n"/>
      <c r="AF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G208" s="19">
        <f>IF($K208="","",IF(OR(LEFT($AF208,2)="작지",LEFT($AF208,4)="소재입고"),IF(LEFT($G208,1)="S","★ 납기위험(S코드)","◆ 지연주의"),IF($AF208="정상","✓ 정상","? 확인필요")))</f>
        <v/>
      </c>
      <c r="AH208" s="21" t="n"/>
      <c r="AI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19">
        <f>IF(COUNTIF(EDW_RAW!$A$2:$A$1500,$D209)=0,"",IF(COUNTIFS(EDW_RAW!$A$2:$A$1500,$D209,EDW_RAW!$R$2:$R$1500,"&lt;&gt;~",EDW_RAW!$R$2:$R$1500,"&lt;&gt;")=COUNTIF(EDW_RAW!$A$2:$A$1500,$D209),"O",IF(COUNTIFS(EDW_RAW!$A$2:$A$1500,$D209,EDW_RAW!$R$2:$R$1500,"&lt;&gt;~",EDW_RAW!$R$2:$R$1500,"&lt;&gt;")&gt;0,"부분","X")))</f>
        <v/>
      </c>
      <c r="R209" s="19">
        <f>IF(COUNTIF(EDW_RAW!$A$2:$A$1500,$D209)=0,"",IF(COUNTIFS(EDW_RAW!$A$2:$A$1500,$D209,EDW_RAW!$U$2:$U$1500,"&lt;&gt;~",EDW_RAW!$U$2:$U$1500,"&lt;&gt;")=COUNTIF(EDW_RAW!$A$2:$A$1500,$D209),"O",IF(COUNTIFS(EDW_RAW!$A$2:$A$1500,$D209,EDW_RAW!$U$2:$U$1500,"&lt;&gt;~",EDW_RAW!$U$2:$U$1500,"&lt;&gt;")&gt;0,"부분","X")))</f>
        <v/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",TRUE,UNIQUE(FILTER(소재DB_RAW!$K$3:$K$2000,(소재DB_RAW!$G$3:$G$2000=$D209)*ISERROR(SEARCH("drop",소재DB_RAW!$C$3:$C$2000))))),"")</f>
        <v/>
      </c>
      <c r="W209" s="20" t="inlineStr">
        <is>
          <t>베트남</t>
        </is>
      </c>
      <c r="X209" s="20">
        <f>IFERROR(TEXTJOIN(" / ",TRUE,UNIQUE(FILTER(소재DB_RAW!$N$3:$N$2000,(소재DB_RAW!$G$3:$G$2000=$D209)*ISERROR(SEARCH("drop",소재DB_RAW!$C$3:$C$2000))))),"")</f>
        <v/>
      </c>
      <c r="Y209" s="26">
        <f>IFERROR(TEXTJOIN(CHAR(10),TRUE,UNIQUE(FILTER(소재DB_RAW!$N$3:$N$2000&amp;") "&amp;소재DB_RAW!$O$3:$O$2000,(소재DB_RAW!$G$3:$G$2000=$D209)*ISNUMBER(SEARCH("겉감",소재DB_RAW!$M$3:$M$2000))*ISERROR(SEARCH("drop",소재DB_RAW!$C$3:$C$2000))))),"")</f>
        <v/>
      </c>
      <c r="Z209" s="26">
        <f>IFERROR(TEXTJOIN(CHAR(10),TRUE,UNIQUE(FILTER(소재DB_RAW!$N$3:$N$2000&amp;") "&amp;소재DB_RAW!$O$3:$O$2000,(소재DB_RAW!$G$3:$G$2000=$D209)*ISNUMBER(SEARCH("안감",소재DB_RAW!$M$3:$M$2000))*ISERROR(SEARCH("drop",소재DB_RAW!$C$3:$C$2000))))),"")</f>
        <v/>
      </c>
      <c r="AA209" s="22">
        <f>IFERROR(MAX(FILTER(소재DB_RAW!$AK$3:$AK$2000,(소재DB_RAW!$G$3:$G$2000=$D209)*ISERROR(SEARCH("drop",소재DB_RAW!$C$3:$C$2000))*(소재DB_RAW!$AK$3:$AK$2000&lt;&gt;""))),"")</f>
        <v/>
      </c>
      <c r="AB209" s="27" t="n">
        <v>500</v>
      </c>
      <c r="AC209" s="27" t="n">
        <v>18200000</v>
      </c>
      <c r="AD209" s="27" t="n">
        <v>69000000</v>
      </c>
      <c r="AE209" s="20" t="n"/>
      <c r="AF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G209" s="19">
        <f>IF($K209="","",IF(OR(LEFT($AF209,2)="작지",LEFT($AF209,4)="소재입고"),IF(LEFT($G209,1)="S","★ 납기위험(S코드)","◆ 지연주의"),IF($AF209="정상","✓ 정상","? 확인필요")))</f>
        <v/>
      </c>
      <c r="AH209" s="21" t="n"/>
      <c r="AI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19">
        <f>IF(COUNTIF(EDW_RAW!$A$2:$A$1500,$D210)=0,"",IF(COUNTIFS(EDW_RAW!$A$2:$A$1500,$D210,EDW_RAW!$R$2:$R$1500,"&lt;&gt;~",EDW_RAW!$R$2:$R$1500,"&lt;&gt;")=COUNTIF(EDW_RAW!$A$2:$A$1500,$D210),"O",IF(COUNTIFS(EDW_RAW!$A$2:$A$1500,$D210,EDW_RAW!$R$2:$R$1500,"&lt;&gt;~",EDW_RAW!$R$2:$R$1500,"&lt;&gt;")&gt;0,"부분","X")))</f>
        <v/>
      </c>
      <c r="R210" s="19">
        <f>IF(COUNTIF(EDW_RAW!$A$2:$A$1500,$D210)=0,"",IF(COUNTIFS(EDW_RAW!$A$2:$A$1500,$D210,EDW_RAW!$U$2:$U$1500,"&lt;&gt;~",EDW_RAW!$U$2:$U$1500,"&lt;&gt;")=COUNTIF(EDW_RAW!$A$2:$A$1500,$D210),"O",IF(COUNTIFS(EDW_RAW!$A$2:$A$1500,$D210,EDW_RAW!$U$2:$U$1500,"&lt;&gt;~",EDW_RAW!$U$2:$U$1500,"&lt;&gt;")&gt;0,"부분","X")))</f>
        <v/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",TRUE,UNIQUE(FILTER(소재DB_RAW!$K$3:$K$2000,(소재DB_RAW!$G$3:$G$2000=$D210)*ISERROR(SEARCH("drop",소재DB_RAW!$C$3:$C$2000))))),"")</f>
        <v/>
      </c>
      <c r="W210" s="20" t="inlineStr">
        <is>
          <t>베트남</t>
        </is>
      </c>
      <c r="X210" s="20">
        <f>IFERROR(TEXTJOIN(" / ",TRUE,UNIQUE(FILTER(소재DB_RAW!$N$3:$N$2000,(소재DB_RAW!$G$3:$G$2000=$D210)*ISERROR(SEARCH("drop",소재DB_RAW!$C$3:$C$2000))))),"")</f>
        <v/>
      </c>
      <c r="Y210" s="26">
        <f>IFERROR(TEXTJOIN(CHAR(10),TRUE,UNIQUE(FILTER(소재DB_RAW!$N$3:$N$2000&amp;") "&amp;소재DB_RAW!$O$3:$O$2000,(소재DB_RAW!$G$3:$G$2000=$D210)*ISNUMBER(SEARCH("겉감",소재DB_RAW!$M$3:$M$2000))*ISERROR(SEARCH("drop",소재DB_RAW!$C$3:$C$2000))))),"")</f>
        <v/>
      </c>
      <c r="Z210" s="26">
        <f>IFERROR(TEXTJOIN(CHAR(10),TRUE,UNIQUE(FILTER(소재DB_RAW!$N$3:$N$2000&amp;") "&amp;소재DB_RAW!$O$3:$O$2000,(소재DB_RAW!$G$3:$G$2000=$D210)*ISNUMBER(SEARCH("안감",소재DB_RAW!$M$3:$M$2000))*ISERROR(SEARCH("drop",소재DB_RAW!$C$3:$C$2000))))),"")</f>
        <v/>
      </c>
      <c r="AA210" s="22">
        <f>IFERROR(MAX(FILTER(소재DB_RAW!$AK$3:$AK$2000,(소재DB_RAW!$G$3:$G$2000=$D210)*ISERROR(SEARCH("drop",소재DB_RAW!$C$3:$C$2000))*(소재DB_RAW!$AK$3:$AK$2000&lt;&gt;""))),"")</f>
        <v/>
      </c>
      <c r="AB210" s="27" t="n">
        <v>250</v>
      </c>
      <c r="AC210" s="27" t="n">
        <v>6420750</v>
      </c>
      <c r="AD210" s="27" t="n">
        <v>29500000</v>
      </c>
      <c r="AE210" s="20" t="n"/>
      <c r="AF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G210" s="19">
        <f>IF($K210="","",IF(OR(LEFT($AF210,2)="작지",LEFT($AF210,4)="소재입고"),IF(LEFT($G210,1)="S","★ 납기위험(S코드)","◆ 지연주의"),IF($AF210="정상","✓ 정상","? 확인필요")))</f>
        <v/>
      </c>
      <c r="AH210" s="21" t="n"/>
      <c r="AI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19">
        <f>IF(COUNTIF(EDW_RAW!$A$2:$A$1500,$D211)=0,"",IF(COUNTIFS(EDW_RAW!$A$2:$A$1500,$D211,EDW_RAW!$R$2:$R$1500,"&lt;&gt;~",EDW_RAW!$R$2:$R$1500,"&lt;&gt;")=COUNTIF(EDW_RAW!$A$2:$A$1500,$D211),"O",IF(COUNTIFS(EDW_RAW!$A$2:$A$1500,$D211,EDW_RAW!$R$2:$R$1500,"&lt;&gt;~",EDW_RAW!$R$2:$R$1500,"&lt;&gt;")&gt;0,"부분","X")))</f>
        <v/>
      </c>
      <c r="R211" s="19">
        <f>IF(COUNTIF(EDW_RAW!$A$2:$A$1500,$D211)=0,"",IF(COUNTIFS(EDW_RAW!$A$2:$A$1500,$D211,EDW_RAW!$U$2:$U$1500,"&lt;&gt;~",EDW_RAW!$U$2:$U$1500,"&lt;&gt;")=COUNTIF(EDW_RAW!$A$2:$A$1500,$D211),"O",IF(COUNTIFS(EDW_RAW!$A$2:$A$1500,$D211,EDW_RAW!$U$2:$U$1500,"&lt;&gt;~",EDW_RAW!$U$2:$U$1500,"&lt;&gt;")&gt;0,"부분","X")))</f>
        <v/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",TRUE,UNIQUE(FILTER(소재DB_RAW!$K$3:$K$2000,(소재DB_RAW!$G$3:$G$2000=$D211)*ISERROR(SEARCH("drop",소재DB_RAW!$C$3:$C$2000))))),"")</f>
        <v/>
      </c>
      <c r="W211" s="20" t="inlineStr">
        <is>
          <t>베트남</t>
        </is>
      </c>
      <c r="X211" s="20">
        <f>IFERROR(TEXTJOIN(" / ",TRUE,UNIQUE(FILTER(소재DB_RAW!$N$3:$N$2000,(소재DB_RAW!$G$3:$G$2000=$D211)*ISERROR(SEARCH("drop",소재DB_RAW!$C$3:$C$2000))))),"")</f>
        <v/>
      </c>
      <c r="Y211" s="26">
        <f>IFERROR(TEXTJOIN(CHAR(10),TRUE,UNIQUE(FILTER(소재DB_RAW!$N$3:$N$2000&amp;") "&amp;소재DB_RAW!$O$3:$O$2000,(소재DB_RAW!$G$3:$G$2000=$D211)*ISNUMBER(SEARCH("겉감",소재DB_RAW!$M$3:$M$2000))*ISERROR(SEARCH("drop",소재DB_RAW!$C$3:$C$2000))))),"")</f>
        <v/>
      </c>
      <c r="Z211" s="26">
        <f>IFERROR(TEXTJOIN(CHAR(10),TRUE,UNIQUE(FILTER(소재DB_RAW!$N$3:$N$2000&amp;") "&amp;소재DB_RAW!$O$3:$O$2000,(소재DB_RAW!$G$3:$G$2000=$D211)*ISNUMBER(SEARCH("안감",소재DB_RAW!$M$3:$M$2000))*ISERROR(SEARCH("drop",소재DB_RAW!$C$3:$C$2000))))),"")</f>
        <v/>
      </c>
      <c r="AA211" s="22">
        <f>IFERROR(MAX(FILTER(소재DB_RAW!$AK$3:$AK$2000,(소재DB_RAW!$G$3:$G$2000=$D211)*ISERROR(SEARCH("drop",소재DB_RAW!$C$3:$C$2000))*(소재DB_RAW!$AK$3:$AK$2000&lt;&gt;""))),"")</f>
        <v/>
      </c>
      <c r="AB211" s="27" t="n">
        <v>3000</v>
      </c>
      <c r="AC211" s="27" t="n">
        <v>114000000</v>
      </c>
      <c r="AD211" s="27" t="n">
        <v>504000000</v>
      </c>
      <c r="AE211" s="20" t="inlineStr">
        <is>
          <t>3월1주</t>
        </is>
      </c>
      <c r="AF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G211" s="19">
        <f>IF($K211="","",IF(OR(LEFT($AF211,2)="작지",LEFT($AF211,4)="소재입고"),IF(LEFT($G211,1)="S","★ 납기위험(S코드)","◆ 지연주의"),IF($AF211="정상","✓ 정상","? 확인필요")))</f>
        <v/>
      </c>
      <c r="AH211" s="21" t="n"/>
      <c r="AI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19">
        <f>IF(COUNTIF(EDW_RAW!$A$2:$A$1500,$D212)=0,"",IF(COUNTIFS(EDW_RAW!$A$2:$A$1500,$D212,EDW_RAW!$R$2:$R$1500,"&lt;&gt;~",EDW_RAW!$R$2:$R$1500,"&lt;&gt;")=COUNTIF(EDW_RAW!$A$2:$A$1500,$D212),"O",IF(COUNTIFS(EDW_RAW!$A$2:$A$1500,$D212,EDW_RAW!$R$2:$R$1500,"&lt;&gt;~",EDW_RAW!$R$2:$R$1500,"&lt;&gt;")&gt;0,"부분","X")))</f>
        <v/>
      </c>
      <c r="R212" s="19">
        <f>IF(COUNTIF(EDW_RAW!$A$2:$A$1500,$D212)=0,"",IF(COUNTIFS(EDW_RAW!$A$2:$A$1500,$D212,EDW_RAW!$U$2:$U$1500,"&lt;&gt;~",EDW_RAW!$U$2:$U$1500,"&lt;&gt;")=COUNTIF(EDW_RAW!$A$2:$A$1500,$D212),"O",IF(COUNTIFS(EDW_RAW!$A$2:$A$1500,$D212,EDW_RAW!$U$2:$U$1500,"&lt;&gt;~",EDW_RAW!$U$2:$U$1500,"&lt;&gt;")&gt;0,"부분","X")))</f>
        <v/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",TRUE,UNIQUE(FILTER(소재DB_RAW!$K$3:$K$2000,(소재DB_RAW!$G$3:$G$2000=$D212)*ISERROR(SEARCH("drop",소재DB_RAW!$C$3:$C$2000))))),"")</f>
        <v/>
      </c>
      <c r="W212" s="20" t="inlineStr">
        <is>
          <t>베트남</t>
        </is>
      </c>
      <c r="X212" s="20">
        <f>IFERROR(TEXTJOIN(" / ",TRUE,UNIQUE(FILTER(소재DB_RAW!$N$3:$N$2000,(소재DB_RAW!$G$3:$G$2000=$D212)*ISERROR(SEARCH("drop",소재DB_RAW!$C$3:$C$2000))))),"")</f>
        <v/>
      </c>
      <c r="Y212" s="26">
        <f>IFERROR(TEXTJOIN(CHAR(10),TRUE,UNIQUE(FILTER(소재DB_RAW!$N$3:$N$2000&amp;") "&amp;소재DB_RAW!$O$3:$O$2000,(소재DB_RAW!$G$3:$G$2000=$D212)*ISNUMBER(SEARCH("겉감",소재DB_RAW!$M$3:$M$2000))*ISERROR(SEARCH("drop",소재DB_RAW!$C$3:$C$2000))))),"")</f>
        <v/>
      </c>
      <c r="Z212" s="26">
        <f>IFERROR(TEXTJOIN(CHAR(10),TRUE,UNIQUE(FILTER(소재DB_RAW!$N$3:$N$2000&amp;") "&amp;소재DB_RAW!$O$3:$O$2000,(소재DB_RAW!$G$3:$G$2000=$D212)*ISNUMBER(SEARCH("안감",소재DB_RAW!$M$3:$M$2000))*ISERROR(SEARCH("drop",소재DB_RAW!$C$3:$C$2000))))),"")</f>
        <v/>
      </c>
      <c r="AA212" s="22">
        <f>IFERROR(MAX(FILTER(소재DB_RAW!$AK$3:$AK$2000,(소재DB_RAW!$G$3:$G$2000=$D212)*ISERROR(SEARCH("drop",소재DB_RAW!$C$3:$C$2000))*(소재DB_RAW!$AK$3:$AK$2000&lt;&gt;""))),"")</f>
        <v/>
      </c>
      <c r="AB212" s="27" t="n">
        <v>1010</v>
      </c>
      <c r="AC212" s="27" t="n">
        <v>24791460</v>
      </c>
      <c r="AD212" s="27" t="n">
        <v>98980000</v>
      </c>
      <c r="AE212" s="20" t="n"/>
      <c r="AF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G212" s="19">
        <f>IF($K212="","",IF(OR(LEFT($AF212,2)="작지",LEFT($AF212,4)="소재입고"),IF(LEFT($G212,1)="S","★ 납기위험(S코드)","◆ 지연주의"),IF($AF212="정상","✓ 정상","? 확인필요")))</f>
        <v/>
      </c>
      <c r="AH212" s="21" t="n"/>
      <c r="AI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19">
        <f>IF(COUNTIF(EDW_RAW!$A$2:$A$1500,$D213)=0,"",IF(COUNTIFS(EDW_RAW!$A$2:$A$1500,$D213,EDW_RAW!$R$2:$R$1500,"&lt;&gt;~",EDW_RAW!$R$2:$R$1500,"&lt;&gt;")=COUNTIF(EDW_RAW!$A$2:$A$1500,$D213),"O",IF(COUNTIFS(EDW_RAW!$A$2:$A$1500,$D213,EDW_RAW!$R$2:$R$1500,"&lt;&gt;~",EDW_RAW!$R$2:$R$1500,"&lt;&gt;")&gt;0,"부분","X")))</f>
        <v/>
      </c>
      <c r="R213" s="19">
        <f>IF(COUNTIF(EDW_RAW!$A$2:$A$1500,$D213)=0,"",IF(COUNTIFS(EDW_RAW!$A$2:$A$1500,$D213,EDW_RAW!$U$2:$U$1500,"&lt;&gt;~",EDW_RAW!$U$2:$U$1500,"&lt;&gt;")=COUNTIF(EDW_RAW!$A$2:$A$1500,$D213),"O",IF(COUNTIFS(EDW_RAW!$A$2:$A$1500,$D213,EDW_RAW!$U$2:$U$1500,"&lt;&gt;~",EDW_RAW!$U$2:$U$1500,"&lt;&gt;")&gt;0,"부분","X")))</f>
        <v/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",TRUE,UNIQUE(FILTER(소재DB_RAW!$K$3:$K$2000,(소재DB_RAW!$G$3:$G$2000=$D213)*ISERROR(SEARCH("drop",소재DB_RAW!$C$3:$C$2000))))),"")</f>
        <v/>
      </c>
      <c r="W213" s="20" t="inlineStr">
        <is>
          <t>베트남</t>
        </is>
      </c>
      <c r="X213" s="20">
        <f>IFERROR(TEXTJOIN(" / ",TRUE,UNIQUE(FILTER(소재DB_RAW!$N$3:$N$2000,(소재DB_RAW!$G$3:$G$2000=$D213)*ISERROR(SEARCH("drop",소재DB_RAW!$C$3:$C$2000))))),"")</f>
        <v/>
      </c>
      <c r="Y213" s="26">
        <f>IFERROR(TEXTJOIN(CHAR(10),TRUE,UNIQUE(FILTER(소재DB_RAW!$N$3:$N$2000&amp;") "&amp;소재DB_RAW!$O$3:$O$2000,(소재DB_RAW!$G$3:$G$2000=$D213)*ISNUMBER(SEARCH("겉감",소재DB_RAW!$M$3:$M$2000))*ISERROR(SEARCH("drop",소재DB_RAW!$C$3:$C$2000))))),"")</f>
        <v/>
      </c>
      <c r="Z213" s="26">
        <f>IFERROR(TEXTJOIN(CHAR(10),TRUE,UNIQUE(FILTER(소재DB_RAW!$N$3:$N$2000&amp;") "&amp;소재DB_RAW!$O$3:$O$2000,(소재DB_RAW!$G$3:$G$2000=$D213)*ISNUMBER(SEARCH("안감",소재DB_RAW!$M$3:$M$2000))*ISERROR(SEARCH("drop",소재DB_RAW!$C$3:$C$2000))))),"")</f>
        <v/>
      </c>
      <c r="AA213" s="22">
        <f>IFERROR(MAX(FILTER(소재DB_RAW!$AK$3:$AK$2000,(소재DB_RAW!$G$3:$G$2000=$D213)*ISERROR(SEARCH("drop",소재DB_RAW!$C$3:$C$2000))*(소재DB_RAW!$AK$3:$AK$2000&lt;&gt;""))),"")</f>
        <v/>
      </c>
      <c r="AB213" s="27" t="n">
        <v>700</v>
      </c>
      <c r="AC213" s="27" t="n">
        <v>19282200</v>
      </c>
      <c r="AD213" s="27" t="n">
        <v>75600000</v>
      </c>
      <c r="AE213" s="20" t="n"/>
      <c r="AF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G213" s="19">
        <f>IF($K213="","",IF(OR(LEFT($AF213,2)="작지",LEFT($AF213,4)="소재입고"),IF(LEFT($G213,1)="S","★ 납기위험(S코드)","◆ 지연주의"),IF($AF213="정상","✓ 정상","? 확인필요")))</f>
        <v/>
      </c>
      <c r="AH213" s="21" t="n"/>
      <c r="AI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19">
        <f>IF(COUNTIF(EDW_RAW!$A$2:$A$1500,$D214)=0,"",IF(COUNTIFS(EDW_RAW!$A$2:$A$1500,$D214,EDW_RAW!$R$2:$R$1500,"&lt;&gt;~",EDW_RAW!$R$2:$R$1500,"&lt;&gt;")=COUNTIF(EDW_RAW!$A$2:$A$1500,$D214),"O",IF(COUNTIFS(EDW_RAW!$A$2:$A$1500,$D214,EDW_RAW!$R$2:$R$1500,"&lt;&gt;~",EDW_RAW!$R$2:$R$1500,"&lt;&gt;")&gt;0,"부분","X")))</f>
        <v/>
      </c>
      <c r="R214" s="19">
        <f>IF(COUNTIF(EDW_RAW!$A$2:$A$1500,$D214)=0,"",IF(COUNTIFS(EDW_RAW!$A$2:$A$1500,$D214,EDW_RAW!$U$2:$U$1500,"&lt;&gt;~",EDW_RAW!$U$2:$U$1500,"&lt;&gt;")=COUNTIF(EDW_RAW!$A$2:$A$1500,$D214),"O",IF(COUNTIFS(EDW_RAW!$A$2:$A$1500,$D214,EDW_RAW!$U$2:$U$1500,"&lt;&gt;~",EDW_RAW!$U$2:$U$1500,"&lt;&gt;")&gt;0,"부분","X")))</f>
        <v/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",TRUE,UNIQUE(FILTER(소재DB_RAW!$K$3:$K$2000,(소재DB_RAW!$G$3:$G$2000=$D214)*ISERROR(SEARCH("drop",소재DB_RAW!$C$3:$C$2000))))),"")</f>
        <v/>
      </c>
      <c r="W214" s="20" t="inlineStr">
        <is>
          <t>베트남</t>
        </is>
      </c>
      <c r="X214" s="20">
        <f>IFERROR(TEXTJOIN(" / ",TRUE,UNIQUE(FILTER(소재DB_RAW!$N$3:$N$2000,(소재DB_RAW!$G$3:$G$2000=$D214)*ISERROR(SEARCH("drop",소재DB_RAW!$C$3:$C$2000))))),"")</f>
        <v/>
      </c>
      <c r="Y214" s="26">
        <f>IFERROR(TEXTJOIN(CHAR(10),TRUE,UNIQUE(FILTER(소재DB_RAW!$N$3:$N$2000&amp;") "&amp;소재DB_RAW!$O$3:$O$2000,(소재DB_RAW!$G$3:$G$2000=$D214)*ISNUMBER(SEARCH("겉감",소재DB_RAW!$M$3:$M$2000))*ISERROR(SEARCH("drop",소재DB_RAW!$C$3:$C$2000))))),"")</f>
        <v/>
      </c>
      <c r="Z214" s="26">
        <f>IFERROR(TEXTJOIN(CHAR(10),TRUE,UNIQUE(FILTER(소재DB_RAW!$N$3:$N$2000&amp;") "&amp;소재DB_RAW!$O$3:$O$2000,(소재DB_RAW!$G$3:$G$2000=$D214)*ISNUMBER(SEARCH("안감",소재DB_RAW!$M$3:$M$2000))*ISERROR(SEARCH("drop",소재DB_RAW!$C$3:$C$2000))))),"")</f>
        <v/>
      </c>
      <c r="AA214" s="22">
        <f>IFERROR(MAX(FILTER(소재DB_RAW!$AK$3:$AK$2000,(소재DB_RAW!$G$3:$G$2000=$D214)*ISERROR(SEARCH("drop",소재DB_RAW!$C$3:$C$2000))*(소재DB_RAW!$AK$3:$AK$2000&lt;&gt;""))),"")</f>
        <v/>
      </c>
      <c r="AB214" s="27" t="n">
        <v>300</v>
      </c>
      <c r="AC214" s="27" t="n">
        <v>12766200</v>
      </c>
      <c r="AD214" s="27" t="n">
        <v>35400000</v>
      </c>
      <c r="AE214" s="20" t="n"/>
      <c r="AF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G214" s="19">
        <f>IF($K214="","",IF(OR(LEFT($AF214,2)="작지",LEFT($AF214,4)="소재입고"),IF(LEFT($G214,1)="S","★ 납기위험(S코드)","◆ 지연주의"),IF($AF214="정상","✓ 정상","? 확인필요")))</f>
        <v/>
      </c>
      <c r="AH214" s="21" t="n"/>
      <c r="AI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19">
        <f>IF(COUNTIF(EDW_RAW!$A$2:$A$1500,$D215)=0,"",IF(COUNTIFS(EDW_RAW!$A$2:$A$1500,$D215,EDW_RAW!$R$2:$R$1500,"&lt;&gt;~",EDW_RAW!$R$2:$R$1500,"&lt;&gt;")=COUNTIF(EDW_RAW!$A$2:$A$1500,$D215),"O",IF(COUNTIFS(EDW_RAW!$A$2:$A$1500,$D215,EDW_RAW!$R$2:$R$1500,"&lt;&gt;~",EDW_RAW!$R$2:$R$1500,"&lt;&gt;")&gt;0,"부분","X")))</f>
        <v/>
      </c>
      <c r="R215" s="19">
        <f>IF(COUNTIF(EDW_RAW!$A$2:$A$1500,$D215)=0,"",IF(COUNTIFS(EDW_RAW!$A$2:$A$1500,$D215,EDW_RAW!$U$2:$U$1500,"&lt;&gt;~",EDW_RAW!$U$2:$U$1500,"&lt;&gt;")=COUNTIF(EDW_RAW!$A$2:$A$1500,$D215),"O",IF(COUNTIFS(EDW_RAW!$A$2:$A$1500,$D215,EDW_RAW!$U$2:$U$1500,"&lt;&gt;~",EDW_RAW!$U$2:$U$1500,"&lt;&gt;")&gt;0,"부분","X")))</f>
        <v/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",TRUE,UNIQUE(FILTER(소재DB_RAW!$K$3:$K$2000,(소재DB_RAW!$G$3:$G$2000=$D215)*ISERROR(SEARCH("drop",소재DB_RAW!$C$3:$C$2000))))),"")</f>
        <v/>
      </c>
      <c r="W215" s="20" t="inlineStr">
        <is>
          <t>베트남</t>
        </is>
      </c>
      <c r="X215" s="20">
        <f>IFERROR(TEXTJOIN(" / ",TRUE,UNIQUE(FILTER(소재DB_RAW!$N$3:$N$2000,(소재DB_RAW!$G$3:$G$2000=$D215)*ISERROR(SEARCH("drop",소재DB_RAW!$C$3:$C$2000))))),"")</f>
        <v/>
      </c>
      <c r="Y215" s="26">
        <f>IFERROR(TEXTJOIN(CHAR(10),TRUE,UNIQUE(FILTER(소재DB_RAW!$N$3:$N$2000&amp;") "&amp;소재DB_RAW!$O$3:$O$2000,(소재DB_RAW!$G$3:$G$2000=$D215)*ISNUMBER(SEARCH("겉감",소재DB_RAW!$M$3:$M$2000))*ISERROR(SEARCH("drop",소재DB_RAW!$C$3:$C$2000))))),"")</f>
        <v/>
      </c>
      <c r="Z215" s="26">
        <f>IFERROR(TEXTJOIN(CHAR(10),TRUE,UNIQUE(FILTER(소재DB_RAW!$N$3:$N$2000&amp;") "&amp;소재DB_RAW!$O$3:$O$2000,(소재DB_RAW!$G$3:$G$2000=$D215)*ISNUMBER(SEARCH("안감",소재DB_RAW!$M$3:$M$2000))*ISERROR(SEARCH("drop",소재DB_RAW!$C$3:$C$2000))))),"")</f>
        <v/>
      </c>
      <c r="AA215" s="22">
        <f>IFERROR(MAX(FILTER(소재DB_RAW!$AK$3:$AK$2000,(소재DB_RAW!$G$3:$G$2000=$D215)*ISERROR(SEARCH("drop",소재DB_RAW!$C$3:$C$2000))*(소재DB_RAW!$AK$3:$AK$2000&lt;&gt;""))),"")</f>
        <v/>
      </c>
      <c r="AB215" s="27" t="n">
        <v>500</v>
      </c>
      <c r="AC215" s="27" t="n">
        <v>13989500</v>
      </c>
      <c r="AD215" s="27" t="n">
        <v>54000000</v>
      </c>
      <c r="AE215" s="20" t="n"/>
      <c r="AF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G215" s="19">
        <f>IF($K215="","",IF(OR(LEFT($AF215,2)="작지",LEFT($AF215,4)="소재입고"),IF(LEFT($G215,1)="S","★ 납기위험(S코드)","◆ 지연주의"),IF($AF215="정상","✓ 정상","? 확인필요")))</f>
        <v/>
      </c>
      <c r="AH215" s="21" t="n"/>
      <c r="AI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19">
        <f>IF(COUNTIF(EDW_RAW!$A$2:$A$1500,$D216)=0,"",IF(COUNTIFS(EDW_RAW!$A$2:$A$1500,$D216,EDW_RAW!$R$2:$R$1500,"&lt;&gt;~",EDW_RAW!$R$2:$R$1500,"&lt;&gt;")=COUNTIF(EDW_RAW!$A$2:$A$1500,$D216),"O",IF(COUNTIFS(EDW_RAW!$A$2:$A$1500,$D216,EDW_RAW!$R$2:$R$1500,"&lt;&gt;~",EDW_RAW!$R$2:$R$1500,"&lt;&gt;")&gt;0,"부분","X")))</f>
        <v/>
      </c>
      <c r="R216" s="19">
        <f>IF(COUNTIF(EDW_RAW!$A$2:$A$1500,$D216)=0,"",IF(COUNTIFS(EDW_RAW!$A$2:$A$1500,$D216,EDW_RAW!$U$2:$U$1500,"&lt;&gt;~",EDW_RAW!$U$2:$U$1500,"&lt;&gt;")=COUNTIF(EDW_RAW!$A$2:$A$1500,$D216),"O",IF(COUNTIFS(EDW_RAW!$A$2:$A$1500,$D216,EDW_RAW!$U$2:$U$1500,"&lt;&gt;~",EDW_RAW!$U$2:$U$1500,"&lt;&gt;")&gt;0,"부분","X")))</f>
        <v/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",TRUE,UNIQUE(FILTER(소재DB_RAW!$K$3:$K$2000,(소재DB_RAW!$G$3:$G$2000=$D216)*ISERROR(SEARCH("drop",소재DB_RAW!$C$3:$C$2000))))),"")</f>
        <v/>
      </c>
      <c r="W216" s="20" t="inlineStr"/>
      <c r="X216" s="20">
        <f>IFERROR(TEXTJOIN(" / ",TRUE,UNIQUE(FILTER(소재DB_RAW!$N$3:$N$2000,(소재DB_RAW!$G$3:$G$2000=$D216)*ISERROR(SEARCH("drop",소재DB_RAW!$C$3:$C$2000))))),"")</f>
        <v/>
      </c>
      <c r="Y216" s="26">
        <f>IFERROR(TEXTJOIN(CHAR(10),TRUE,UNIQUE(FILTER(소재DB_RAW!$N$3:$N$2000&amp;") "&amp;소재DB_RAW!$O$3:$O$2000,(소재DB_RAW!$G$3:$G$2000=$D216)*ISNUMBER(SEARCH("겉감",소재DB_RAW!$M$3:$M$2000))*ISERROR(SEARCH("drop",소재DB_RAW!$C$3:$C$2000))))),"")</f>
        <v/>
      </c>
      <c r="Z216" s="26">
        <f>IFERROR(TEXTJOIN(CHAR(10),TRUE,UNIQUE(FILTER(소재DB_RAW!$N$3:$N$2000&amp;") "&amp;소재DB_RAW!$O$3:$O$2000,(소재DB_RAW!$G$3:$G$2000=$D216)*ISNUMBER(SEARCH("안감",소재DB_RAW!$M$3:$M$2000))*ISERROR(SEARCH("drop",소재DB_RAW!$C$3:$C$2000))))),"")</f>
        <v/>
      </c>
      <c r="AA216" s="22">
        <f>IFERROR(MAX(FILTER(소재DB_RAW!$AK$3:$AK$2000,(소재DB_RAW!$G$3:$G$2000=$D216)*ISERROR(SEARCH("drop",소재DB_RAW!$C$3:$C$2000))*(소재DB_RAW!$AK$3:$AK$2000&lt;&gt;""))),"")</f>
        <v/>
      </c>
      <c r="AB216" s="27" t="n">
        <v>2200</v>
      </c>
      <c r="AC216" s="27" t="n">
        <v>123200000</v>
      </c>
      <c r="AD216" s="27" t="n">
        <v>594000000</v>
      </c>
      <c r="AE216" s="20" t="inlineStr">
        <is>
          <t>3월2주</t>
        </is>
      </c>
      <c r="AF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G216" s="19">
        <f>IF($K216="","",IF(OR(LEFT($AF216,2)="작지",LEFT($AF216,4)="소재입고"),IF(LEFT($G216,1)="S","★ 납기위험(S코드)","◆ 지연주의"),IF($AF216="정상","✓ 정상","? 확인필요")))</f>
        <v/>
      </c>
      <c r="AH216" s="21" t="n"/>
      <c r="AI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19">
        <f>IF(COUNTIF(EDW_RAW!$A$2:$A$1500,$D217)=0,"",IF(COUNTIFS(EDW_RAW!$A$2:$A$1500,$D217,EDW_RAW!$R$2:$R$1500,"&lt;&gt;~",EDW_RAW!$R$2:$R$1500,"&lt;&gt;")=COUNTIF(EDW_RAW!$A$2:$A$1500,$D217),"O",IF(COUNTIFS(EDW_RAW!$A$2:$A$1500,$D217,EDW_RAW!$R$2:$R$1500,"&lt;&gt;~",EDW_RAW!$R$2:$R$1500,"&lt;&gt;")&gt;0,"부분","X")))</f>
        <v/>
      </c>
      <c r="R217" s="19">
        <f>IF(COUNTIF(EDW_RAW!$A$2:$A$1500,$D217)=0,"",IF(COUNTIFS(EDW_RAW!$A$2:$A$1500,$D217,EDW_RAW!$U$2:$U$1500,"&lt;&gt;~",EDW_RAW!$U$2:$U$1500,"&lt;&gt;")=COUNTIF(EDW_RAW!$A$2:$A$1500,$D217),"O",IF(COUNTIFS(EDW_RAW!$A$2:$A$1500,$D217,EDW_RAW!$U$2:$U$1500,"&lt;&gt;~",EDW_RAW!$U$2:$U$1500,"&lt;&gt;")&gt;0,"부분","X")))</f>
        <v/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",TRUE,UNIQUE(FILTER(소재DB_RAW!$K$3:$K$2000,(소재DB_RAW!$G$3:$G$2000=$D217)*ISERROR(SEARCH("drop",소재DB_RAW!$C$3:$C$2000))))),"")</f>
        <v/>
      </c>
      <c r="W217" s="20" t="inlineStr"/>
      <c r="X217" s="20">
        <f>IFERROR(TEXTJOIN(" / ",TRUE,UNIQUE(FILTER(소재DB_RAW!$N$3:$N$2000,(소재DB_RAW!$G$3:$G$2000=$D217)*ISERROR(SEARCH("drop",소재DB_RAW!$C$3:$C$2000))))),"")</f>
        <v/>
      </c>
      <c r="Y217" s="26">
        <f>IFERROR(TEXTJOIN(CHAR(10),TRUE,UNIQUE(FILTER(소재DB_RAW!$N$3:$N$2000&amp;") "&amp;소재DB_RAW!$O$3:$O$2000,(소재DB_RAW!$G$3:$G$2000=$D217)*ISNUMBER(SEARCH("겉감",소재DB_RAW!$M$3:$M$2000))*ISERROR(SEARCH("drop",소재DB_RAW!$C$3:$C$2000))))),"")</f>
        <v/>
      </c>
      <c r="Z217" s="26">
        <f>IFERROR(TEXTJOIN(CHAR(10),TRUE,UNIQUE(FILTER(소재DB_RAW!$N$3:$N$2000&amp;") "&amp;소재DB_RAW!$O$3:$O$2000,(소재DB_RAW!$G$3:$G$2000=$D217)*ISNUMBER(SEARCH("안감",소재DB_RAW!$M$3:$M$2000))*ISERROR(SEARCH("drop",소재DB_RAW!$C$3:$C$2000))))),"")</f>
        <v/>
      </c>
      <c r="AA217" s="22">
        <f>IFERROR(MAX(FILTER(소재DB_RAW!$AK$3:$AK$2000,(소재DB_RAW!$G$3:$G$2000=$D217)*ISERROR(SEARCH("drop",소재DB_RAW!$C$3:$C$2000))*(소재DB_RAW!$AK$3:$AK$2000&lt;&gt;""))),"")</f>
        <v/>
      </c>
      <c r="AB217" s="27" t="n">
        <v>2000</v>
      </c>
      <c r="AC217" s="27" t="n">
        <v>82986000</v>
      </c>
      <c r="AD217" s="27" t="n">
        <v>396000000</v>
      </c>
      <c r="AE217" s="20" t="inlineStr">
        <is>
          <t>3월2주</t>
        </is>
      </c>
      <c r="AF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G217" s="19">
        <f>IF($K217="","",IF(OR(LEFT($AF217,2)="작지",LEFT($AF217,4)="소재입고"),IF(LEFT($G217,1)="S","★ 납기위험(S코드)","◆ 지연주의"),IF($AF217="정상","✓ 정상","? 확인필요")))</f>
        <v/>
      </c>
      <c r="AH217" s="21" t="n"/>
      <c r="AI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19">
        <f>IF(COUNTIF(EDW_RAW!$A$2:$A$1500,$D218)=0,"",IF(COUNTIFS(EDW_RAW!$A$2:$A$1500,$D218,EDW_RAW!$R$2:$R$1500,"&lt;&gt;~",EDW_RAW!$R$2:$R$1500,"&lt;&gt;")=COUNTIF(EDW_RAW!$A$2:$A$1500,$D218),"O",IF(COUNTIFS(EDW_RAW!$A$2:$A$1500,$D218,EDW_RAW!$R$2:$R$1500,"&lt;&gt;~",EDW_RAW!$R$2:$R$1500,"&lt;&gt;")&gt;0,"부분","X")))</f>
        <v/>
      </c>
      <c r="R218" s="19">
        <f>IF(COUNTIF(EDW_RAW!$A$2:$A$1500,$D218)=0,"",IF(COUNTIFS(EDW_RAW!$A$2:$A$1500,$D218,EDW_RAW!$U$2:$U$1500,"&lt;&gt;~",EDW_RAW!$U$2:$U$1500,"&lt;&gt;")=COUNTIF(EDW_RAW!$A$2:$A$1500,$D218),"O",IF(COUNTIFS(EDW_RAW!$A$2:$A$1500,$D218,EDW_RAW!$U$2:$U$1500,"&lt;&gt;~",EDW_RAW!$U$2:$U$1500,"&lt;&gt;")&gt;0,"부분","X")))</f>
        <v/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",TRUE,UNIQUE(FILTER(소재DB_RAW!$K$3:$K$2000,(소재DB_RAW!$G$3:$G$2000=$D218)*ISERROR(SEARCH("drop",소재DB_RAW!$C$3:$C$2000))))),"")</f>
        <v/>
      </c>
      <c r="W218" s="20" t="inlineStr">
        <is>
          <t>베트남</t>
        </is>
      </c>
      <c r="X218" s="20">
        <f>IFERROR(TEXTJOIN(" / ",TRUE,UNIQUE(FILTER(소재DB_RAW!$N$3:$N$2000,(소재DB_RAW!$G$3:$G$2000=$D218)*ISERROR(SEARCH("drop",소재DB_RAW!$C$3:$C$2000))))),"")</f>
        <v/>
      </c>
      <c r="Y218" s="26">
        <f>IFERROR(TEXTJOIN(CHAR(10),TRUE,UNIQUE(FILTER(소재DB_RAW!$N$3:$N$2000&amp;") "&amp;소재DB_RAW!$O$3:$O$2000,(소재DB_RAW!$G$3:$G$2000=$D218)*ISNUMBER(SEARCH("겉감",소재DB_RAW!$M$3:$M$2000))*ISERROR(SEARCH("drop",소재DB_RAW!$C$3:$C$2000))))),"")</f>
        <v/>
      </c>
      <c r="Z218" s="26">
        <f>IFERROR(TEXTJOIN(CHAR(10),TRUE,UNIQUE(FILTER(소재DB_RAW!$N$3:$N$2000&amp;") "&amp;소재DB_RAW!$O$3:$O$2000,(소재DB_RAW!$G$3:$G$2000=$D218)*ISNUMBER(SEARCH("안감",소재DB_RAW!$M$3:$M$2000))*ISERROR(SEARCH("drop",소재DB_RAW!$C$3:$C$2000))))),"")</f>
        <v/>
      </c>
      <c r="AA218" s="22">
        <f>IFERROR(MAX(FILTER(소재DB_RAW!$AK$3:$AK$2000,(소재DB_RAW!$G$3:$G$2000=$D218)*ISERROR(SEARCH("drop",소재DB_RAW!$C$3:$C$2000))*(소재DB_RAW!$AK$3:$AK$2000&lt;&gt;""))),"")</f>
        <v/>
      </c>
      <c r="AB218" s="27" t="n">
        <v>6000</v>
      </c>
      <c r="AC218" s="27" t="n">
        <v>144954000</v>
      </c>
      <c r="AD218" s="27" t="n">
        <v>1068000000</v>
      </c>
      <c r="AE218" s="20" t="inlineStr">
        <is>
          <t>3월2주</t>
        </is>
      </c>
      <c r="AF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G218" s="19">
        <f>IF($K218="","",IF(OR(LEFT($AF218,2)="작지",LEFT($AF218,4)="소재입고"),IF(LEFT($G218,1)="S","★ 납기위험(S코드)","◆ 지연주의"),IF($AF218="정상","✓ 정상","? 확인필요")))</f>
        <v/>
      </c>
      <c r="AH218" s="21" t="n"/>
      <c r="AI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19">
        <f>IF(COUNTIF(EDW_RAW!$A$2:$A$1500,$D219)=0,"",IF(COUNTIFS(EDW_RAW!$A$2:$A$1500,$D219,EDW_RAW!$R$2:$R$1500,"&lt;&gt;~",EDW_RAW!$R$2:$R$1500,"&lt;&gt;")=COUNTIF(EDW_RAW!$A$2:$A$1500,$D219),"O",IF(COUNTIFS(EDW_RAW!$A$2:$A$1500,$D219,EDW_RAW!$R$2:$R$1500,"&lt;&gt;~",EDW_RAW!$R$2:$R$1500,"&lt;&gt;")&gt;0,"부분","X")))</f>
        <v/>
      </c>
      <c r="R219" s="19">
        <f>IF(COUNTIF(EDW_RAW!$A$2:$A$1500,$D219)=0,"",IF(COUNTIFS(EDW_RAW!$A$2:$A$1500,$D219,EDW_RAW!$U$2:$U$1500,"&lt;&gt;~",EDW_RAW!$U$2:$U$1500,"&lt;&gt;")=COUNTIF(EDW_RAW!$A$2:$A$1500,$D219),"O",IF(COUNTIFS(EDW_RAW!$A$2:$A$1500,$D219,EDW_RAW!$U$2:$U$1500,"&lt;&gt;~",EDW_RAW!$U$2:$U$1500,"&lt;&gt;")&gt;0,"부분","X")))</f>
        <v/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",TRUE,UNIQUE(FILTER(소재DB_RAW!$K$3:$K$2000,(소재DB_RAW!$G$3:$G$2000=$D219)*ISERROR(SEARCH("drop",소재DB_RAW!$C$3:$C$2000))))),"")</f>
        <v/>
      </c>
      <c r="W219" s="20" t="inlineStr">
        <is>
          <t>베트남</t>
        </is>
      </c>
      <c r="X219" s="20">
        <f>IFERROR(TEXTJOIN(" / ",TRUE,UNIQUE(FILTER(소재DB_RAW!$N$3:$N$2000,(소재DB_RAW!$G$3:$G$2000=$D219)*ISERROR(SEARCH("drop",소재DB_RAW!$C$3:$C$2000))))),"")</f>
        <v/>
      </c>
      <c r="Y219" s="26">
        <f>IFERROR(TEXTJOIN(CHAR(10),TRUE,UNIQUE(FILTER(소재DB_RAW!$N$3:$N$2000&amp;") "&amp;소재DB_RAW!$O$3:$O$2000,(소재DB_RAW!$G$3:$G$2000=$D219)*ISNUMBER(SEARCH("겉감",소재DB_RAW!$M$3:$M$2000))*ISERROR(SEARCH("drop",소재DB_RAW!$C$3:$C$2000))))),"")</f>
        <v/>
      </c>
      <c r="Z219" s="26">
        <f>IFERROR(TEXTJOIN(CHAR(10),TRUE,UNIQUE(FILTER(소재DB_RAW!$N$3:$N$2000&amp;") "&amp;소재DB_RAW!$O$3:$O$2000,(소재DB_RAW!$G$3:$G$2000=$D219)*ISNUMBER(SEARCH("안감",소재DB_RAW!$M$3:$M$2000))*ISERROR(SEARCH("drop",소재DB_RAW!$C$3:$C$2000))))),"")</f>
        <v/>
      </c>
      <c r="AA219" s="22">
        <f>IFERROR(MAX(FILTER(소재DB_RAW!$AK$3:$AK$2000,(소재DB_RAW!$G$3:$G$2000=$D219)*ISERROR(SEARCH("drop",소재DB_RAW!$C$3:$C$2000))*(소재DB_RAW!$AK$3:$AK$2000&lt;&gt;""))),"")</f>
        <v/>
      </c>
      <c r="AB219" s="27" t="n">
        <v>3700</v>
      </c>
      <c r="AC219" s="27" t="n">
        <v>109449700</v>
      </c>
      <c r="AD219" s="27" t="n">
        <v>621600000</v>
      </c>
      <c r="AE219" s="20" t="inlineStr">
        <is>
          <t>3월2주</t>
        </is>
      </c>
      <c r="AF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G219" s="19">
        <f>IF($K219="","",IF(OR(LEFT($AF219,2)="작지",LEFT($AF219,4)="소재입고"),IF(LEFT($G219,1)="S","★ 납기위험(S코드)","◆ 지연주의"),IF($AF219="정상","✓ 정상","? 확인필요")))</f>
        <v/>
      </c>
      <c r="AH219" s="21" t="n"/>
      <c r="AI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19">
        <f>IF(COUNTIF(EDW_RAW!$A$2:$A$1500,$D220)=0,"",IF(COUNTIFS(EDW_RAW!$A$2:$A$1500,$D220,EDW_RAW!$R$2:$R$1500,"&lt;&gt;~",EDW_RAW!$R$2:$R$1500,"&lt;&gt;")=COUNTIF(EDW_RAW!$A$2:$A$1500,$D220),"O",IF(COUNTIFS(EDW_RAW!$A$2:$A$1500,$D220,EDW_RAW!$R$2:$R$1500,"&lt;&gt;~",EDW_RAW!$R$2:$R$1500,"&lt;&gt;")&gt;0,"부분","X")))</f>
        <v/>
      </c>
      <c r="R220" s="19">
        <f>IF(COUNTIF(EDW_RAW!$A$2:$A$1500,$D220)=0,"",IF(COUNTIFS(EDW_RAW!$A$2:$A$1500,$D220,EDW_RAW!$U$2:$U$1500,"&lt;&gt;~",EDW_RAW!$U$2:$U$1500,"&lt;&gt;")=COUNTIF(EDW_RAW!$A$2:$A$1500,$D220),"O",IF(COUNTIFS(EDW_RAW!$A$2:$A$1500,$D220,EDW_RAW!$U$2:$U$1500,"&lt;&gt;~",EDW_RAW!$U$2:$U$1500,"&lt;&gt;")&gt;0,"부분","X")))</f>
        <v/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",TRUE,UNIQUE(FILTER(소재DB_RAW!$K$3:$K$2000,(소재DB_RAW!$G$3:$G$2000=$D220)*ISERROR(SEARCH("drop",소재DB_RAW!$C$3:$C$2000))))),"")</f>
        <v/>
      </c>
      <c r="W220" s="20" t="inlineStr">
        <is>
          <t>베트남</t>
        </is>
      </c>
      <c r="X220" s="20">
        <f>IFERROR(TEXTJOIN(" / ",TRUE,UNIQUE(FILTER(소재DB_RAW!$N$3:$N$2000,(소재DB_RAW!$G$3:$G$2000=$D220)*ISERROR(SEARCH("drop",소재DB_RAW!$C$3:$C$2000))))),"")</f>
        <v/>
      </c>
      <c r="Y220" s="26">
        <f>IFERROR(TEXTJOIN(CHAR(10),TRUE,UNIQUE(FILTER(소재DB_RAW!$N$3:$N$2000&amp;") "&amp;소재DB_RAW!$O$3:$O$2000,(소재DB_RAW!$G$3:$G$2000=$D220)*ISNUMBER(SEARCH("겉감",소재DB_RAW!$M$3:$M$2000))*ISERROR(SEARCH("drop",소재DB_RAW!$C$3:$C$2000))))),"")</f>
        <v/>
      </c>
      <c r="Z220" s="26">
        <f>IFERROR(TEXTJOIN(CHAR(10),TRUE,UNIQUE(FILTER(소재DB_RAW!$N$3:$N$2000&amp;") "&amp;소재DB_RAW!$O$3:$O$2000,(소재DB_RAW!$G$3:$G$2000=$D220)*ISNUMBER(SEARCH("안감",소재DB_RAW!$M$3:$M$2000))*ISERROR(SEARCH("drop",소재DB_RAW!$C$3:$C$2000))))),"")</f>
        <v/>
      </c>
      <c r="AA220" s="22">
        <f>IFERROR(MAX(FILTER(소재DB_RAW!$AK$3:$AK$2000,(소재DB_RAW!$G$3:$G$2000=$D220)*ISERROR(SEARCH("drop",소재DB_RAW!$C$3:$C$2000))*(소재DB_RAW!$AK$3:$AK$2000&lt;&gt;""))),"")</f>
        <v/>
      </c>
      <c r="AB220" s="27" t="n">
        <v>2000</v>
      </c>
      <c r="AC220" s="27" t="n">
        <v>70766000</v>
      </c>
      <c r="AD220" s="27" t="n">
        <v>336000000</v>
      </c>
      <c r="AE220" s="20" t="inlineStr">
        <is>
          <t>3월2주</t>
        </is>
      </c>
      <c r="AF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G220" s="19">
        <f>IF($K220="","",IF(OR(LEFT($AF220,2)="작지",LEFT($AF220,4)="소재입고"),IF(LEFT($G220,1)="S","★ 납기위험(S코드)","◆ 지연주의"),IF($AF220="정상","✓ 정상","? 확인필요")))</f>
        <v/>
      </c>
      <c r="AH220" s="21" t="n"/>
      <c r="AI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19">
        <f>IF(COUNTIF(EDW_RAW!$A$2:$A$1500,$D221)=0,"",IF(COUNTIFS(EDW_RAW!$A$2:$A$1500,$D221,EDW_RAW!$R$2:$R$1500,"&lt;&gt;~",EDW_RAW!$R$2:$R$1500,"&lt;&gt;")=COUNTIF(EDW_RAW!$A$2:$A$1500,$D221),"O",IF(COUNTIFS(EDW_RAW!$A$2:$A$1500,$D221,EDW_RAW!$R$2:$R$1500,"&lt;&gt;~",EDW_RAW!$R$2:$R$1500,"&lt;&gt;")&gt;0,"부분","X")))</f>
        <v/>
      </c>
      <c r="R221" s="19">
        <f>IF(COUNTIF(EDW_RAW!$A$2:$A$1500,$D221)=0,"",IF(COUNTIFS(EDW_RAW!$A$2:$A$1500,$D221,EDW_RAW!$U$2:$U$1500,"&lt;&gt;~",EDW_RAW!$U$2:$U$1500,"&lt;&gt;")=COUNTIF(EDW_RAW!$A$2:$A$1500,$D221),"O",IF(COUNTIFS(EDW_RAW!$A$2:$A$1500,$D221,EDW_RAW!$U$2:$U$1500,"&lt;&gt;~",EDW_RAW!$U$2:$U$1500,"&lt;&gt;")&gt;0,"부분","X")))</f>
        <v/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",TRUE,UNIQUE(FILTER(소재DB_RAW!$K$3:$K$2000,(소재DB_RAW!$G$3:$G$2000=$D221)*ISERROR(SEARCH("drop",소재DB_RAW!$C$3:$C$2000))))),"")</f>
        <v/>
      </c>
      <c r="W221" s="20" t="inlineStr">
        <is>
          <t>베트남</t>
        </is>
      </c>
      <c r="X221" s="20">
        <f>IFERROR(TEXTJOIN(" / ",TRUE,UNIQUE(FILTER(소재DB_RAW!$N$3:$N$2000,(소재DB_RAW!$G$3:$G$2000=$D221)*ISERROR(SEARCH("drop",소재DB_RAW!$C$3:$C$2000))))),"")</f>
        <v/>
      </c>
      <c r="Y221" s="26">
        <f>IFERROR(TEXTJOIN(CHAR(10),TRUE,UNIQUE(FILTER(소재DB_RAW!$N$3:$N$2000&amp;") "&amp;소재DB_RAW!$O$3:$O$2000,(소재DB_RAW!$G$3:$G$2000=$D221)*ISNUMBER(SEARCH("겉감",소재DB_RAW!$M$3:$M$2000))*ISERROR(SEARCH("drop",소재DB_RAW!$C$3:$C$2000))))),"")</f>
        <v/>
      </c>
      <c r="Z221" s="26">
        <f>IFERROR(TEXTJOIN(CHAR(10),TRUE,UNIQUE(FILTER(소재DB_RAW!$N$3:$N$2000&amp;") "&amp;소재DB_RAW!$O$3:$O$2000,(소재DB_RAW!$G$3:$G$2000=$D221)*ISNUMBER(SEARCH("안감",소재DB_RAW!$M$3:$M$2000))*ISERROR(SEARCH("drop",소재DB_RAW!$C$3:$C$2000))))),"")</f>
        <v/>
      </c>
      <c r="AA221" s="22">
        <f>IFERROR(MAX(FILTER(소재DB_RAW!$AK$3:$AK$2000,(소재DB_RAW!$G$3:$G$2000=$D221)*ISERROR(SEARCH("drop",소재DB_RAW!$C$3:$C$2000))*(소재DB_RAW!$AK$3:$AK$2000&lt;&gt;""))),"")</f>
        <v/>
      </c>
      <c r="AB221" s="27" t="n">
        <v>2000</v>
      </c>
      <c r="AC221" s="27" t="n">
        <v>74858000</v>
      </c>
      <c r="AD221" s="27" t="n">
        <v>336000000</v>
      </c>
      <c r="AE221" s="20" t="inlineStr">
        <is>
          <t>3월2주</t>
        </is>
      </c>
      <c r="AF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G221" s="19">
        <f>IF($K221="","",IF(OR(LEFT($AF221,2)="작지",LEFT($AF221,4)="소재입고"),IF(LEFT($G221,1)="S","★ 납기위험(S코드)","◆ 지연주의"),IF($AF221="정상","✓ 정상","? 확인필요")))</f>
        <v/>
      </c>
      <c r="AH221" s="21" t="n"/>
      <c r="AI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19">
        <f>IF(COUNTIF(EDW_RAW!$A$2:$A$1500,$D222)=0,"",IF(COUNTIFS(EDW_RAW!$A$2:$A$1500,$D222,EDW_RAW!$R$2:$R$1500,"&lt;&gt;~",EDW_RAW!$R$2:$R$1500,"&lt;&gt;")=COUNTIF(EDW_RAW!$A$2:$A$1500,$D222),"O",IF(COUNTIFS(EDW_RAW!$A$2:$A$1500,$D222,EDW_RAW!$R$2:$R$1500,"&lt;&gt;~",EDW_RAW!$R$2:$R$1500,"&lt;&gt;")&gt;0,"부분","X")))</f>
        <v/>
      </c>
      <c r="R222" s="19">
        <f>IF(COUNTIF(EDW_RAW!$A$2:$A$1500,$D222)=0,"",IF(COUNTIFS(EDW_RAW!$A$2:$A$1500,$D222,EDW_RAW!$U$2:$U$1500,"&lt;&gt;~",EDW_RAW!$U$2:$U$1500,"&lt;&gt;")=COUNTIF(EDW_RAW!$A$2:$A$1500,$D222),"O",IF(COUNTIFS(EDW_RAW!$A$2:$A$1500,$D222,EDW_RAW!$U$2:$U$1500,"&lt;&gt;~",EDW_RAW!$U$2:$U$1500,"&lt;&gt;")&gt;0,"부분","X")))</f>
        <v/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",TRUE,UNIQUE(FILTER(소재DB_RAW!$K$3:$K$2000,(소재DB_RAW!$G$3:$G$2000=$D222)*ISERROR(SEARCH("drop",소재DB_RAW!$C$3:$C$2000))))),"")</f>
        <v/>
      </c>
      <c r="W222" s="20" t="inlineStr">
        <is>
          <t>베트남</t>
        </is>
      </c>
      <c r="X222" s="20">
        <f>IFERROR(TEXTJOIN(" / ",TRUE,UNIQUE(FILTER(소재DB_RAW!$N$3:$N$2000,(소재DB_RAW!$G$3:$G$2000=$D222)*ISERROR(SEARCH("drop",소재DB_RAW!$C$3:$C$2000))))),"")</f>
        <v/>
      </c>
      <c r="Y222" s="26">
        <f>IFERROR(TEXTJOIN(CHAR(10),TRUE,UNIQUE(FILTER(소재DB_RAW!$N$3:$N$2000&amp;") "&amp;소재DB_RAW!$O$3:$O$2000,(소재DB_RAW!$G$3:$G$2000=$D222)*ISNUMBER(SEARCH("겉감",소재DB_RAW!$M$3:$M$2000))*ISERROR(SEARCH("drop",소재DB_RAW!$C$3:$C$2000))))),"")</f>
        <v/>
      </c>
      <c r="Z222" s="26">
        <f>IFERROR(TEXTJOIN(CHAR(10),TRUE,UNIQUE(FILTER(소재DB_RAW!$N$3:$N$2000&amp;") "&amp;소재DB_RAW!$O$3:$O$2000,(소재DB_RAW!$G$3:$G$2000=$D222)*ISNUMBER(SEARCH("안감",소재DB_RAW!$M$3:$M$2000))*ISERROR(SEARCH("drop",소재DB_RAW!$C$3:$C$2000))))),"")</f>
        <v/>
      </c>
      <c r="AA222" s="22">
        <f>IFERROR(MAX(FILTER(소재DB_RAW!$AK$3:$AK$2000,(소재DB_RAW!$G$3:$G$2000=$D222)*ISERROR(SEARCH("drop",소재DB_RAW!$C$3:$C$2000))*(소재DB_RAW!$AK$3:$AK$2000&lt;&gt;""))),"")</f>
        <v/>
      </c>
      <c r="AB222" s="27" t="n">
        <v>1500</v>
      </c>
      <c r="AC222" s="27" t="n">
        <v>21750000</v>
      </c>
      <c r="AD222" s="27" t="n">
        <v>177000000</v>
      </c>
      <c r="AE222" s="20" t="inlineStr">
        <is>
          <t>3월2주</t>
        </is>
      </c>
      <c r="AF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G222" s="19">
        <f>IF($K222="","",IF(OR(LEFT($AF222,2)="작지",LEFT($AF222,4)="소재입고"),IF(LEFT($G222,1)="S","★ 납기위험(S코드)","◆ 지연주의"),IF($AF222="정상","✓ 정상","? 확인필요")))</f>
        <v/>
      </c>
      <c r="AH222" s="21" t="n"/>
      <c r="AI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19">
        <f>IF(COUNTIF(EDW_RAW!$A$2:$A$1500,$D223)=0,"",IF(COUNTIFS(EDW_RAW!$A$2:$A$1500,$D223,EDW_RAW!$R$2:$R$1500,"&lt;&gt;~",EDW_RAW!$R$2:$R$1500,"&lt;&gt;")=COUNTIF(EDW_RAW!$A$2:$A$1500,$D223),"O",IF(COUNTIFS(EDW_RAW!$A$2:$A$1500,$D223,EDW_RAW!$R$2:$R$1500,"&lt;&gt;~",EDW_RAW!$R$2:$R$1500,"&lt;&gt;")&gt;0,"부분","X")))</f>
        <v/>
      </c>
      <c r="R223" s="19">
        <f>IF(COUNTIF(EDW_RAW!$A$2:$A$1500,$D223)=0,"",IF(COUNTIFS(EDW_RAW!$A$2:$A$1500,$D223,EDW_RAW!$U$2:$U$1500,"&lt;&gt;~",EDW_RAW!$U$2:$U$1500,"&lt;&gt;")=COUNTIF(EDW_RAW!$A$2:$A$1500,$D223),"O",IF(COUNTIFS(EDW_RAW!$A$2:$A$1500,$D223,EDW_RAW!$U$2:$U$1500,"&lt;&gt;~",EDW_RAW!$U$2:$U$1500,"&lt;&gt;")&gt;0,"부분","X")))</f>
        <v/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",TRUE,UNIQUE(FILTER(소재DB_RAW!$K$3:$K$2000,(소재DB_RAW!$G$3:$G$2000=$D223)*ISERROR(SEARCH("drop",소재DB_RAW!$C$3:$C$2000))))),"")</f>
        <v/>
      </c>
      <c r="W223" s="20" t="inlineStr">
        <is>
          <t>베트남</t>
        </is>
      </c>
      <c r="X223" s="20">
        <f>IFERROR(TEXTJOIN(" / ",TRUE,UNIQUE(FILTER(소재DB_RAW!$N$3:$N$2000,(소재DB_RAW!$G$3:$G$2000=$D223)*ISERROR(SEARCH("drop",소재DB_RAW!$C$3:$C$2000))))),"")</f>
        <v/>
      </c>
      <c r="Y223" s="26">
        <f>IFERROR(TEXTJOIN(CHAR(10),TRUE,UNIQUE(FILTER(소재DB_RAW!$N$3:$N$2000&amp;") "&amp;소재DB_RAW!$O$3:$O$2000,(소재DB_RAW!$G$3:$G$2000=$D223)*ISNUMBER(SEARCH("겉감",소재DB_RAW!$M$3:$M$2000))*ISERROR(SEARCH("drop",소재DB_RAW!$C$3:$C$2000))))),"")</f>
        <v/>
      </c>
      <c r="Z223" s="26">
        <f>IFERROR(TEXTJOIN(CHAR(10),TRUE,UNIQUE(FILTER(소재DB_RAW!$N$3:$N$2000&amp;") "&amp;소재DB_RAW!$O$3:$O$2000,(소재DB_RAW!$G$3:$G$2000=$D223)*ISNUMBER(SEARCH("안감",소재DB_RAW!$M$3:$M$2000))*ISERROR(SEARCH("drop",소재DB_RAW!$C$3:$C$2000))))),"")</f>
        <v/>
      </c>
      <c r="AA223" s="22">
        <f>IFERROR(MAX(FILTER(소재DB_RAW!$AK$3:$AK$2000,(소재DB_RAW!$G$3:$G$2000=$D223)*ISERROR(SEARCH("drop",소재DB_RAW!$C$3:$C$2000))*(소재DB_RAW!$AK$3:$AK$2000&lt;&gt;""))),"")</f>
        <v/>
      </c>
      <c r="AB223" s="27" t="n">
        <v>6300</v>
      </c>
      <c r="AC223" s="27" t="n">
        <v>59850000</v>
      </c>
      <c r="AD223" s="27" t="n">
        <v>428400000</v>
      </c>
      <c r="AE223" s="20" t="inlineStr">
        <is>
          <t>3월2주</t>
        </is>
      </c>
      <c r="AF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G223" s="19">
        <f>IF($K223="","",IF(OR(LEFT($AF223,2)="작지",LEFT($AF223,4)="소재입고"),IF(LEFT($G223,1)="S","★ 납기위험(S코드)","◆ 지연주의"),IF($AF223="정상","✓ 정상","? 확인필요")))</f>
        <v/>
      </c>
      <c r="AH223" s="21" t="n"/>
      <c r="AI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19">
        <f>IF(COUNTIF(EDW_RAW!$A$2:$A$1500,$D224)=0,"",IF(COUNTIFS(EDW_RAW!$A$2:$A$1500,$D224,EDW_RAW!$R$2:$R$1500,"&lt;&gt;~",EDW_RAW!$R$2:$R$1500,"&lt;&gt;")=COUNTIF(EDW_RAW!$A$2:$A$1500,$D224),"O",IF(COUNTIFS(EDW_RAW!$A$2:$A$1500,$D224,EDW_RAW!$R$2:$R$1500,"&lt;&gt;~",EDW_RAW!$R$2:$R$1500,"&lt;&gt;")&gt;0,"부분","X")))</f>
        <v/>
      </c>
      <c r="R224" s="19">
        <f>IF(COUNTIF(EDW_RAW!$A$2:$A$1500,$D224)=0,"",IF(COUNTIFS(EDW_RAW!$A$2:$A$1500,$D224,EDW_RAW!$U$2:$U$1500,"&lt;&gt;~",EDW_RAW!$U$2:$U$1500,"&lt;&gt;")=COUNTIF(EDW_RAW!$A$2:$A$1500,$D224),"O",IF(COUNTIFS(EDW_RAW!$A$2:$A$1500,$D224,EDW_RAW!$U$2:$U$1500,"&lt;&gt;~",EDW_RAW!$U$2:$U$1500,"&lt;&gt;")&gt;0,"부분","X")))</f>
        <v/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",TRUE,UNIQUE(FILTER(소재DB_RAW!$K$3:$K$2000,(소재DB_RAW!$G$3:$G$2000=$D224)*ISERROR(SEARCH("drop",소재DB_RAW!$C$3:$C$2000))))),"")</f>
        <v/>
      </c>
      <c r="W224" s="20" t="inlineStr">
        <is>
          <t>베트남</t>
        </is>
      </c>
      <c r="X224" s="20">
        <f>IFERROR(TEXTJOIN(" / ",TRUE,UNIQUE(FILTER(소재DB_RAW!$N$3:$N$2000,(소재DB_RAW!$G$3:$G$2000=$D224)*ISERROR(SEARCH("drop",소재DB_RAW!$C$3:$C$2000))))),"")</f>
        <v/>
      </c>
      <c r="Y224" s="26">
        <f>IFERROR(TEXTJOIN(CHAR(10),TRUE,UNIQUE(FILTER(소재DB_RAW!$N$3:$N$2000&amp;") "&amp;소재DB_RAW!$O$3:$O$2000,(소재DB_RAW!$G$3:$G$2000=$D224)*ISNUMBER(SEARCH("겉감",소재DB_RAW!$M$3:$M$2000))*ISERROR(SEARCH("drop",소재DB_RAW!$C$3:$C$2000))))),"")</f>
        <v/>
      </c>
      <c r="Z224" s="26">
        <f>IFERROR(TEXTJOIN(CHAR(10),TRUE,UNIQUE(FILTER(소재DB_RAW!$N$3:$N$2000&amp;") "&amp;소재DB_RAW!$O$3:$O$2000,(소재DB_RAW!$G$3:$G$2000=$D224)*ISNUMBER(SEARCH("안감",소재DB_RAW!$M$3:$M$2000))*ISERROR(SEARCH("drop",소재DB_RAW!$C$3:$C$2000))))),"")</f>
        <v/>
      </c>
      <c r="AA224" s="22">
        <f>IFERROR(MAX(FILTER(소재DB_RAW!$AK$3:$AK$2000,(소재DB_RAW!$G$3:$G$2000=$D224)*ISERROR(SEARCH("drop",소재DB_RAW!$C$3:$C$2000))*(소재DB_RAW!$AK$3:$AK$2000&lt;&gt;""))),"")</f>
        <v/>
      </c>
      <c r="AB224" s="27" t="n">
        <v>2500</v>
      </c>
      <c r="AC224" s="27" t="n">
        <v>50685000</v>
      </c>
      <c r="AD224" s="27" t="n">
        <v>345000000</v>
      </c>
      <c r="AE224" s="20" t="inlineStr">
        <is>
          <t>3월2주</t>
        </is>
      </c>
      <c r="AF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G224" s="19">
        <f>IF($K224="","",IF(OR(LEFT($AF224,2)="작지",LEFT($AF224,4)="소재입고"),IF(LEFT($G224,1)="S","★ 납기위험(S코드)","◆ 지연주의"),IF($AF224="정상","✓ 정상","? 확인필요")))</f>
        <v/>
      </c>
      <c r="AH224" s="21" t="n"/>
      <c r="AI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19">
        <f>IF(COUNTIF(EDW_RAW!$A$2:$A$1500,$D225)=0,"",IF(COUNTIFS(EDW_RAW!$A$2:$A$1500,$D225,EDW_RAW!$R$2:$R$1500,"&lt;&gt;~",EDW_RAW!$R$2:$R$1500,"&lt;&gt;")=COUNTIF(EDW_RAW!$A$2:$A$1500,$D225),"O",IF(COUNTIFS(EDW_RAW!$A$2:$A$1500,$D225,EDW_RAW!$R$2:$R$1500,"&lt;&gt;~",EDW_RAW!$R$2:$R$1500,"&lt;&gt;")&gt;0,"부분","X")))</f>
        <v/>
      </c>
      <c r="R225" s="19">
        <f>IF(COUNTIF(EDW_RAW!$A$2:$A$1500,$D225)=0,"",IF(COUNTIFS(EDW_RAW!$A$2:$A$1500,$D225,EDW_RAW!$U$2:$U$1500,"&lt;&gt;~",EDW_RAW!$U$2:$U$1500,"&lt;&gt;")=COUNTIF(EDW_RAW!$A$2:$A$1500,$D225),"O",IF(COUNTIFS(EDW_RAW!$A$2:$A$1500,$D225,EDW_RAW!$U$2:$U$1500,"&lt;&gt;~",EDW_RAW!$U$2:$U$1500,"&lt;&gt;")&gt;0,"부분","X")))</f>
        <v/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",TRUE,UNIQUE(FILTER(소재DB_RAW!$K$3:$K$2000,(소재DB_RAW!$G$3:$G$2000=$D225)*ISERROR(SEARCH("drop",소재DB_RAW!$C$3:$C$2000))))),"")</f>
        <v/>
      </c>
      <c r="W225" s="20" t="inlineStr">
        <is>
          <t>베트남</t>
        </is>
      </c>
      <c r="X225" s="20">
        <f>IFERROR(TEXTJOIN(" / ",TRUE,UNIQUE(FILTER(소재DB_RAW!$N$3:$N$2000,(소재DB_RAW!$G$3:$G$2000=$D225)*ISERROR(SEARCH("drop",소재DB_RAW!$C$3:$C$2000))))),"")</f>
        <v/>
      </c>
      <c r="Y225" s="26">
        <f>IFERROR(TEXTJOIN(CHAR(10),TRUE,UNIQUE(FILTER(소재DB_RAW!$N$3:$N$2000&amp;") "&amp;소재DB_RAW!$O$3:$O$2000,(소재DB_RAW!$G$3:$G$2000=$D225)*ISNUMBER(SEARCH("겉감",소재DB_RAW!$M$3:$M$2000))*ISERROR(SEARCH("drop",소재DB_RAW!$C$3:$C$2000))))),"")</f>
        <v/>
      </c>
      <c r="Z225" s="26">
        <f>IFERROR(TEXTJOIN(CHAR(10),TRUE,UNIQUE(FILTER(소재DB_RAW!$N$3:$N$2000&amp;") "&amp;소재DB_RAW!$O$3:$O$2000,(소재DB_RAW!$G$3:$G$2000=$D225)*ISNUMBER(SEARCH("안감",소재DB_RAW!$M$3:$M$2000))*ISERROR(SEARCH("drop",소재DB_RAW!$C$3:$C$2000))))),"")</f>
        <v/>
      </c>
      <c r="AA225" s="22">
        <f>IFERROR(MAX(FILTER(소재DB_RAW!$AK$3:$AK$2000,(소재DB_RAW!$G$3:$G$2000=$D225)*ISERROR(SEARCH("drop",소재DB_RAW!$C$3:$C$2000))*(소재DB_RAW!$AK$3:$AK$2000&lt;&gt;""))),"")</f>
        <v/>
      </c>
      <c r="AB225" s="27" t="n">
        <v>4500</v>
      </c>
      <c r="AC225" s="27" t="n">
        <v>126063000</v>
      </c>
      <c r="AD225" s="27" t="n">
        <v>621000000</v>
      </c>
      <c r="AE225" s="20" t="inlineStr">
        <is>
          <t>3월2주</t>
        </is>
      </c>
      <c r="AF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G225" s="19">
        <f>IF($K225="","",IF(OR(LEFT($AF225,2)="작지",LEFT($AF225,4)="소재입고"),IF(LEFT($G225,1)="S","★ 납기위험(S코드)","◆ 지연주의"),IF($AF225="정상","✓ 정상","? 확인필요")))</f>
        <v/>
      </c>
      <c r="AH225" s="21" t="n"/>
      <c r="AI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19">
        <f>IF(COUNTIF(EDW_RAW!$A$2:$A$1500,$D226)=0,"",IF(COUNTIFS(EDW_RAW!$A$2:$A$1500,$D226,EDW_RAW!$R$2:$R$1500,"&lt;&gt;~",EDW_RAW!$R$2:$R$1500,"&lt;&gt;")=COUNTIF(EDW_RAW!$A$2:$A$1500,$D226),"O",IF(COUNTIFS(EDW_RAW!$A$2:$A$1500,$D226,EDW_RAW!$R$2:$R$1500,"&lt;&gt;~",EDW_RAW!$R$2:$R$1500,"&lt;&gt;")&gt;0,"부분","X")))</f>
        <v/>
      </c>
      <c r="R226" s="19">
        <f>IF(COUNTIF(EDW_RAW!$A$2:$A$1500,$D226)=0,"",IF(COUNTIFS(EDW_RAW!$A$2:$A$1500,$D226,EDW_RAW!$U$2:$U$1500,"&lt;&gt;~",EDW_RAW!$U$2:$U$1500,"&lt;&gt;")=COUNTIF(EDW_RAW!$A$2:$A$1500,$D226),"O",IF(COUNTIFS(EDW_RAW!$A$2:$A$1500,$D226,EDW_RAW!$U$2:$U$1500,"&lt;&gt;~",EDW_RAW!$U$2:$U$1500,"&lt;&gt;")&gt;0,"부분","X")))</f>
        <v/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",TRUE,UNIQUE(FILTER(소재DB_RAW!$K$3:$K$2000,(소재DB_RAW!$G$3:$G$2000=$D226)*ISERROR(SEARCH("drop",소재DB_RAW!$C$3:$C$2000))))),"")</f>
        <v/>
      </c>
      <c r="W226" s="20" t="inlineStr">
        <is>
          <t>인도네시아</t>
        </is>
      </c>
      <c r="X226" s="20">
        <f>IFERROR(TEXTJOIN(" / ",TRUE,UNIQUE(FILTER(소재DB_RAW!$N$3:$N$2000,(소재DB_RAW!$G$3:$G$2000=$D226)*ISERROR(SEARCH("drop",소재DB_RAW!$C$3:$C$2000))))),"")</f>
        <v/>
      </c>
      <c r="Y226" s="26">
        <f>IFERROR(TEXTJOIN(CHAR(10),TRUE,UNIQUE(FILTER(소재DB_RAW!$N$3:$N$2000&amp;") "&amp;소재DB_RAW!$O$3:$O$2000,(소재DB_RAW!$G$3:$G$2000=$D226)*ISNUMBER(SEARCH("겉감",소재DB_RAW!$M$3:$M$2000))*ISERROR(SEARCH("drop",소재DB_RAW!$C$3:$C$2000))))),"")</f>
        <v/>
      </c>
      <c r="Z226" s="26">
        <f>IFERROR(TEXTJOIN(CHAR(10),TRUE,UNIQUE(FILTER(소재DB_RAW!$N$3:$N$2000&amp;") "&amp;소재DB_RAW!$O$3:$O$2000,(소재DB_RAW!$G$3:$G$2000=$D226)*ISNUMBER(SEARCH("안감",소재DB_RAW!$M$3:$M$2000))*ISERROR(SEARCH("drop",소재DB_RAW!$C$3:$C$2000))))),"")</f>
        <v/>
      </c>
      <c r="AA226" s="22">
        <f>IFERROR(MAX(FILTER(소재DB_RAW!$AK$3:$AK$2000,(소재DB_RAW!$G$3:$G$2000=$D226)*ISERROR(SEARCH("drop",소재DB_RAW!$C$3:$C$2000))*(소재DB_RAW!$AK$3:$AK$2000&lt;&gt;""))),"")</f>
        <v/>
      </c>
      <c r="AB226" s="27" t="n">
        <v>3200</v>
      </c>
      <c r="AC226" s="27" t="n">
        <v>192000000</v>
      </c>
      <c r="AD226" s="27" t="n">
        <v>928000000</v>
      </c>
      <c r="AE226" s="20" t="n"/>
      <c r="AF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G226" s="19">
        <f>IF($K226="","",IF(OR(LEFT($AF226,2)="작지",LEFT($AF226,4)="소재입고"),IF(LEFT($G226,1)="S","★ 납기위험(S코드)","◆ 지연주의"),IF($AF226="정상","✓ 정상","? 확인필요")))</f>
        <v/>
      </c>
      <c r="AH226" s="21" t="n"/>
      <c r="AI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19">
        <f>IF(COUNTIF(EDW_RAW!$A$2:$A$1500,$D227)=0,"",IF(COUNTIFS(EDW_RAW!$A$2:$A$1500,$D227,EDW_RAW!$R$2:$R$1500,"&lt;&gt;~",EDW_RAW!$R$2:$R$1500,"&lt;&gt;")=COUNTIF(EDW_RAW!$A$2:$A$1500,$D227),"O",IF(COUNTIFS(EDW_RAW!$A$2:$A$1500,$D227,EDW_RAW!$R$2:$R$1500,"&lt;&gt;~",EDW_RAW!$R$2:$R$1500,"&lt;&gt;")&gt;0,"부분","X")))</f>
        <v/>
      </c>
      <c r="R227" s="19">
        <f>IF(COUNTIF(EDW_RAW!$A$2:$A$1500,$D227)=0,"",IF(COUNTIFS(EDW_RAW!$A$2:$A$1500,$D227,EDW_RAW!$U$2:$U$1500,"&lt;&gt;~",EDW_RAW!$U$2:$U$1500,"&lt;&gt;")=COUNTIF(EDW_RAW!$A$2:$A$1500,$D227),"O",IF(COUNTIFS(EDW_RAW!$A$2:$A$1500,$D227,EDW_RAW!$U$2:$U$1500,"&lt;&gt;~",EDW_RAW!$U$2:$U$1500,"&lt;&gt;")&gt;0,"부분","X")))</f>
        <v/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",TRUE,UNIQUE(FILTER(소재DB_RAW!$K$3:$K$2000,(소재DB_RAW!$G$3:$G$2000=$D227)*ISERROR(SEARCH("drop",소재DB_RAW!$C$3:$C$2000))))),"")</f>
        <v/>
      </c>
      <c r="W227" s="20" t="inlineStr">
        <is>
          <t>베트남</t>
        </is>
      </c>
      <c r="X227" s="20">
        <f>IFERROR(TEXTJOIN(" / ",TRUE,UNIQUE(FILTER(소재DB_RAW!$N$3:$N$2000,(소재DB_RAW!$G$3:$G$2000=$D227)*ISERROR(SEARCH("drop",소재DB_RAW!$C$3:$C$2000))))),"")</f>
        <v/>
      </c>
      <c r="Y227" s="26">
        <f>IFERROR(TEXTJOIN(CHAR(10),TRUE,UNIQUE(FILTER(소재DB_RAW!$N$3:$N$2000&amp;") "&amp;소재DB_RAW!$O$3:$O$2000,(소재DB_RAW!$G$3:$G$2000=$D227)*ISNUMBER(SEARCH("겉감",소재DB_RAW!$M$3:$M$2000))*ISERROR(SEARCH("drop",소재DB_RAW!$C$3:$C$2000))))),"")</f>
        <v/>
      </c>
      <c r="Z227" s="26">
        <f>IFERROR(TEXTJOIN(CHAR(10),TRUE,UNIQUE(FILTER(소재DB_RAW!$N$3:$N$2000&amp;") "&amp;소재DB_RAW!$O$3:$O$2000,(소재DB_RAW!$G$3:$G$2000=$D227)*ISNUMBER(SEARCH("안감",소재DB_RAW!$M$3:$M$2000))*ISERROR(SEARCH("drop",소재DB_RAW!$C$3:$C$2000))))),"")</f>
        <v/>
      </c>
      <c r="AA227" s="22">
        <f>IFERROR(MAX(FILTER(소재DB_RAW!$AK$3:$AK$2000,(소재DB_RAW!$G$3:$G$2000=$D227)*ISERROR(SEARCH("drop",소재DB_RAW!$C$3:$C$2000))*(소재DB_RAW!$AK$3:$AK$2000&lt;&gt;""))),"")</f>
        <v/>
      </c>
      <c r="AB227" s="27" t="n">
        <v>1616</v>
      </c>
      <c r="AC227" s="27" t="n">
        <v>45248000</v>
      </c>
      <c r="AD227" s="27" t="n">
        <v>287648000</v>
      </c>
      <c r="AE227" s="20" t="inlineStr">
        <is>
          <t>3월2주</t>
        </is>
      </c>
      <c r="AF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G227" s="19">
        <f>IF($K227="","",IF(OR(LEFT($AF227,2)="작지",LEFT($AF227,4)="소재입고"),IF(LEFT($G227,1)="S","★ 납기위험(S코드)","◆ 지연주의"),IF($AF227="정상","✓ 정상","? 확인필요")))</f>
        <v/>
      </c>
      <c r="AH227" s="21" t="n"/>
      <c r="AI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19">
        <f>IF(COUNTIF(EDW_RAW!$A$2:$A$1500,$D228)=0,"",IF(COUNTIFS(EDW_RAW!$A$2:$A$1500,$D228,EDW_RAW!$R$2:$R$1500,"&lt;&gt;~",EDW_RAW!$R$2:$R$1500,"&lt;&gt;")=COUNTIF(EDW_RAW!$A$2:$A$1500,$D228),"O",IF(COUNTIFS(EDW_RAW!$A$2:$A$1500,$D228,EDW_RAW!$R$2:$R$1500,"&lt;&gt;~",EDW_RAW!$R$2:$R$1500,"&lt;&gt;")&gt;0,"부분","X")))</f>
        <v/>
      </c>
      <c r="R228" s="19">
        <f>IF(COUNTIF(EDW_RAW!$A$2:$A$1500,$D228)=0,"",IF(COUNTIFS(EDW_RAW!$A$2:$A$1500,$D228,EDW_RAW!$U$2:$U$1500,"&lt;&gt;~",EDW_RAW!$U$2:$U$1500,"&lt;&gt;")=COUNTIF(EDW_RAW!$A$2:$A$1500,$D228),"O",IF(COUNTIFS(EDW_RAW!$A$2:$A$1500,$D228,EDW_RAW!$U$2:$U$1500,"&lt;&gt;~",EDW_RAW!$U$2:$U$1500,"&lt;&gt;")&gt;0,"부분","X")))</f>
        <v/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",TRUE,UNIQUE(FILTER(소재DB_RAW!$K$3:$K$2000,(소재DB_RAW!$G$3:$G$2000=$D228)*ISERROR(SEARCH("drop",소재DB_RAW!$C$3:$C$2000))))),"")</f>
        <v/>
      </c>
      <c r="W228" s="20" t="inlineStr">
        <is>
          <t>베트남</t>
        </is>
      </c>
      <c r="X228" s="20">
        <f>IFERROR(TEXTJOIN(" / ",TRUE,UNIQUE(FILTER(소재DB_RAW!$N$3:$N$2000,(소재DB_RAW!$G$3:$G$2000=$D228)*ISERROR(SEARCH("drop",소재DB_RAW!$C$3:$C$2000))))),"")</f>
        <v/>
      </c>
      <c r="Y228" s="26">
        <f>IFERROR(TEXTJOIN(CHAR(10),TRUE,UNIQUE(FILTER(소재DB_RAW!$N$3:$N$2000&amp;") "&amp;소재DB_RAW!$O$3:$O$2000,(소재DB_RAW!$G$3:$G$2000=$D228)*ISNUMBER(SEARCH("겉감",소재DB_RAW!$M$3:$M$2000))*ISERROR(SEARCH("drop",소재DB_RAW!$C$3:$C$2000))))),"")</f>
        <v/>
      </c>
      <c r="Z228" s="26">
        <f>IFERROR(TEXTJOIN(CHAR(10),TRUE,UNIQUE(FILTER(소재DB_RAW!$N$3:$N$2000&amp;") "&amp;소재DB_RAW!$O$3:$O$2000,(소재DB_RAW!$G$3:$G$2000=$D228)*ISNUMBER(SEARCH("안감",소재DB_RAW!$M$3:$M$2000))*ISERROR(SEARCH("drop",소재DB_RAW!$C$3:$C$2000))))),"")</f>
        <v/>
      </c>
      <c r="AA228" s="22">
        <f>IFERROR(MAX(FILTER(소재DB_RAW!$AK$3:$AK$2000,(소재DB_RAW!$G$3:$G$2000=$D228)*ISERROR(SEARCH("drop",소재DB_RAW!$C$3:$C$2000))*(소재DB_RAW!$AK$3:$AK$2000&lt;&gt;""))),"")</f>
        <v/>
      </c>
      <c r="AB228" s="27" t="n">
        <v>6500</v>
      </c>
      <c r="AC228" s="27" t="n">
        <v>151599500</v>
      </c>
      <c r="AD228" s="27" t="n">
        <v>1027000000</v>
      </c>
      <c r="AE228" s="20" t="inlineStr">
        <is>
          <t>3월2주</t>
        </is>
      </c>
      <c r="AF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G228" s="19">
        <f>IF($K228="","",IF(OR(LEFT($AF228,2)="작지",LEFT($AF228,4)="소재입고"),IF(LEFT($G228,1)="S","★ 납기위험(S코드)","◆ 지연주의"),IF($AF228="정상","✓ 정상","? 확인필요")))</f>
        <v/>
      </c>
      <c r="AH228" s="21" t="n"/>
      <c r="AI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19">
        <f>IF(COUNTIF(EDW_RAW!$A$2:$A$1500,$D229)=0,"",IF(COUNTIFS(EDW_RAW!$A$2:$A$1500,$D229,EDW_RAW!$R$2:$R$1500,"&lt;&gt;~",EDW_RAW!$R$2:$R$1500,"&lt;&gt;")=COUNTIF(EDW_RAW!$A$2:$A$1500,$D229),"O",IF(COUNTIFS(EDW_RAW!$A$2:$A$1500,$D229,EDW_RAW!$R$2:$R$1500,"&lt;&gt;~",EDW_RAW!$R$2:$R$1500,"&lt;&gt;")&gt;0,"부분","X")))</f>
        <v/>
      </c>
      <c r="R229" s="19">
        <f>IF(COUNTIF(EDW_RAW!$A$2:$A$1500,$D229)=0,"",IF(COUNTIFS(EDW_RAW!$A$2:$A$1500,$D229,EDW_RAW!$U$2:$U$1500,"&lt;&gt;~",EDW_RAW!$U$2:$U$1500,"&lt;&gt;")=COUNTIF(EDW_RAW!$A$2:$A$1500,$D229),"O",IF(COUNTIFS(EDW_RAW!$A$2:$A$1500,$D229,EDW_RAW!$U$2:$U$1500,"&lt;&gt;~",EDW_RAW!$U$2:$U$1500,"&lt;&gt;")&gt;0,"부분","X")))</f>
        <v/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",TRUE,UNIQUE(FILTER(소재DB_RAW!$K$3:$K$2000,(소재DB_RAW!$G$3:$G$2000=$D229)*ISERROR(SEARCH("drop",소재DB_RAW!$C$3:$C$2000))))),"")</f>
        <v/>
      </c>
      <c r="W229" s="20" t="inlineStr">
        <is>
          <t>베트남</t>
        </is>
      </c>
      <c r="X229" s="20">
        <f>IFERROR(TEXTJOIN(" / ",TRUE,UNIQUE(FILTER(소재DB_RAW!$N$3:$N$2000,(소재DB_RAW!$G$3:$G$2000=$D229)*ISERROR(SEARCH("drop",소재DB_RAW!$C$3:$C$2000))))),"")</f>
        <v/>
      </c>
      <c r="Y229" s="26">
        <f>IFERROR(TEXTJOIN(CHAR(10),TRUE,UNIQUE(FILTER(소재DB_RAW!$N$3:$N$2000&amp;") "&amp;소재DB_RAW!$O$3:$O$2000,(소재DB_RAW!$G$3:$G$2000=$D229)*ISNUMBER(SEARCH("겉감",소재DB_RAW!$M$3:$M$2000))*ISERROR(SEARCH("drop",소재DB_RAW!$C$3:$C$2000))))),"")</f>
        <v/>
      </c>
      <c r="Z229" s="26">
        <f>IFERROR(TEXTJOIN(CHAR(10),TRUE,UNIQUE(FILTER(소재DB_RAW!$N$3:$N$2000&amp;") "&amp;소재DB_RAW!$O$3:$O$2000,(소재DB_RAW!$G$3:$G$2000=$D229)*ISNUMBER(SEARCH("안감",소재DB_RAW!$M$3:$M$2000))*ISERROR(SEARCH("drop",소재DB_RAW!$C$3:$C$2000))))),"")</f>
        <v/>
      </c>
      <c r="AA229" s="22">
        <f>IFERROR(MAX(FILTER(소재DB_RAW!$AK$3:$AK$2000,(소재DB_RAW!$G$3:$G$2000=$D229)*ISERROR(SEARCH("drop",소재DB_RAW!$C$3:$C$2000))*(소재DB_RAW!$AK$3:$AK$2000&lt;&gt;""))),"")</f>
        <v/>
      </c>
      <c r="AB229" s="27" t="n">
        <v>2000</v>
      </c>
      <c r="AC229" s="27" t="n">
        <v>73354000</v>
      </c>
      <c r="AD229" s="27" t="n">
        <v>376000000</v>
      </c>
      <c r="AE229" s="20" t="inlineStr">
        <is>
          <t>3월2주</t>
        </is>
      </c>
      <c r="AF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G229" s="19">
        <f>IF($K229="","",IF(OR(LEFT($AF229,2)="작지",LEFT($AF229,4)="소재입고"),IF(LEFT($G229,1)="S","★ 납기위험(S코드)","◆ 지연주의"),IF($AF229="정상","✓ 정상","? 확인필요")))</f>
        <v/>
      </c>
      <c r="AH229" s="21" t="n"/>
      <c r="AI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19">
        <f>IF(COUNTIF(EDW_RAW!$A$2:$A$1500,$D230)=0,"",IF(COUNTIFS(EDW_RAW!$A$2:$A$1500,$D230,EDW_RAW!$R$2:$R$1500,"&lt;&gt;~",EDW_RAW!$R$2:$R$1500,"&lt;&gt;")=COUNTIF(EDW_RAW!$A$2:$A$1500,$D230),"O",IF(COUNTIFS(EDW_RAW!$A$2:$A$1500,$D230,EDW_RAW!$R$2:$R$1500,"&lt;&gt;~",EDW_RAW!$R$2:$R$1500,"&lt;&gt;")&gt;0,"부분","X")))</f>
        <v/>
      </c>
      <c r="R230" s="19">
        <f>IF(COUNTIF(EDW_RAW!$A$2:$A$1500,$D230)=0,"",IF(COUNTIFS(EDW_RAW!$A$2:$A$1500,$D230,EDW_RAW!$U$2:$U$1500,"&lt;&gt;~",EDW_RAW!$U$2:$U$1500,"&lt;&gt;")=COUNTIF(EDW_RAW!$A$2:$A$1500,$D230),"O",IF(COUNTIFS(EDW_RAW!$A$2:$A$1500,$D230,EDW_RAW!$U$2:$U$1500,"&lt;&gt;~",EDW_RAW!$U$2:$U$1500,"&lt;&gt;")&gt;0,"부분","X")))</f>
        <v/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",TRUE,UNIQUE(FILTER(소재DB_RAW!$K$3:$K$2000,(소재DB_RAW!$G$3:$G$2000=$D230)*ISERROR(SEARCH("drop",소재DB_RAW!$C$3:$C$2000))))),"")</f>
        <v/>
      </c>
      <c r="W230" s="20" t="inlineStr">
        <is>
          <t>베트남</t>
        </is>
      </c>
      <c r="X230" s="20">
        <f>IFERROR(TEXTJOIN(" / ",TRUE,UNIQUE(FILTER(소재DB_RAW!$N$3:$N$2000,(소재DB_RAW!$G$3:$G$2000=$D230)*ISERROR(SEARCH("drop",소재DB_RAW!$C$3:$C$2000))))),"")</f>
        <v/>
      </c>
      <c r="Y230" s="26">
        <f>IFERROR(TEXTJOIN(CHAR(10),TRUE,UNIQUE(FILTER(소재DB_RAW!$N$3:$N$2000&amp;") "&amp;소재DB_RAW!$O$3:$O$2000,(소재DB_RAW!$G$3:$G$2000=$D230)*ISNUMBER(SEARCH("겉감",소재DB_RAW!$M$3:$M$2000))*ISERROR(SEARCH("drop",소재DB_RAW!$C$3:$C$2000))))),"")</f>
        <v/>
      </c>
      <c r="Z230" s="26">
        <f>IFERROR(TEXTJOIN(CHAR(10),TRUE,UNIQUE(FILTER(소재DB_RAW!$N$3:$N$2000&amp;") "&amp;소재DB_RAW!$O$3:$O$2000,(소재DB_RAW!$G$3:$G$2000=$D230)*ISNUMBER(SEARCH("안감",소재DB_RAW!$M$3:$M$2000))*ISERROR(SEARCH("drop",소재DB_RAW!$C$3:$C$2000))))),"")</f>
        <v/>
      </c>
      <c r="AA230" s="22">
        <f>IFERROR(MAX(FILTER(소재DB_RAW!$AK$3:$AK$2000,(소재DB_RAW!$G$3:$G$2000=$D230)*ISERROR(SEARCH("drop",소재DB_RAW!$C$3:$C$2000))*(소재DB_RAW!$AK$3:$AK$2000&lt;&gt;""))),"")</f>
        <v/>
      </c>
      <c r="AB230" s="27" t="n">
        <v>9012</v>
      </c>
      <c r="AC230" s="27" t="n">
        <v>241458516</v>
      </c>
      <c r="AD230" s="27" t="n">
        <v>1604136000</v>
      </c>
      <c r="AE230" s="20" t="inlineStr">
        <is>
          <t>3월2주</t>
        </is>
      </c>
      <c r="AF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G230" s="19">
        <f>IF($K230="","",IF(OR(LEFT($AF230,2)="작지",LEFT($AF230,4)="소재입고"),IF(LEFT($G230,1)="S","★ 납기위험(S코드)","◆ 지연주의"),IF($AF230="정상","✓ 정상","? 확인필요")))</f>
        <v/>
      </c>
      <c r="AH230" s="21" t="n"/>
      <c r="AI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19">
        <f>IF(COUNTIF(EDW_RAW!$A$2:$A$1500,$D231)=0,"",IF(COUNTIFS(EDW_RAW!$A$2:$A$1500,$D231,EDW_RAW!$R$2:$R$1500,"&lt;&gt;~",EDW_RAW!$R$2:$R$1500,"&lt;&gt;")=COUNTIF(EDW_RAW!$A$2:$A$1500,$D231),"O",IF(COUNTIFS(EDW_RAW!$A$2:$A$1500,$D231,EDW_RAW!$R$2:$R$1500,"&lt;&gt;~",EDW_RAW!$R$2:$R$1500,"&lt;&gt;")&gt;0,"부분","X")))</f>
        <v/>
      </c>
      <c r="R231" s="19">
        <f>IF(COUNTIF(EDW_RAW!$A$2:$A$1500,$D231)=0,"",IF(COUNTIFS(EDW_RAW!$A$2:$A$1500,$D231,EDW_RAW!$U$2:$U$1500,"&lt;&gt;~",EDW_RAW!$U$2:$U$1500,"&lt;&gt;")=COUNTIF(EDW_RAW!$A$2:$A$1500,$D231),"O",IF(COUNTIFS(EDW_RAW!$A$2:$A$1500,$D231,EDW_RAW!$U$2:$U$1500,"&lt;&gt;~",EDW_RAW!$U$2:$U$1500,"&lt;&gt;")&gt;0,"부분","X")))</f>
        <v/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",TRUE,UNIQUE(FILTER(소재DB_RAW!$K$3:$K$2000,(소재DB_RAW!$G$3:$G$2000=$D231)*ISERROR(SEARCH("drop",소재DB_RAW!$C$3:$C$2000))))),"")</f>
        <v/>
      </c>
      <c r="W231" s="20" t="inlineStr">
        <is>
          <t>베트남</t>
        </is>
      </c>
      <c r="X231" s="20">
        <f>IFERROR(TEXTJOIN(" / ",TRUE,UNIQUE(FILTER(소재DB_RAW!$N$3:$N$2000,(소재DB_RAW!$G$3:$G$2000=$D231)*ISERROR(SEARCH("drop",소재DB_RAW!$C$3:$C$2000))))),"")</f>
        <v/>
      </c>
      <c r="Y231" s="26">
        <f>IFERROR(TEXTJOIN(CHAR(10),TRUE,UNIQUE(FILTER(소재DB_RAW!$N$3:$N$2000&amp;") "&amp;소재DB_RAW!$O$3:$O$2000,(소재DB_RAW!$G$3:$G$2000=$D231)*ISNUMBER(SEARCH("겉감",소재DB_RAW!$M$3:$M$2000))*ISERROR(SEARCH("drop",소재DB_RAW!$C$3:$C$2000))))),"")</f>
        <v/>
      </c>
      <c r="Z231" s="26">
        <f>IFERROR(TEXTJOIN(CHAR(10),TRUE,UNIQUE(FILTER(소재DB_RAW!$N$3:$N$2000&amp;") "&amp;소재DB_RAW!$O$3:$O$2000,(소재DB_RAW!$G$3:$G$2000=$D231)*ISNUMBER(SEARCH("안감",소재DB_RAW!$M$3:$M$2000))*ISERROR(SEARCH("drop",소재DB_RAW!$C$3:$C$2000))))),"")</f>
        <v/>
      </c>
      <c r="AA231" s="22">
        <f>IFERROR(MAX(FILTER(소재DB_RAW!$AK$3:$AK$2000,(소재DB_RAW!$G$3:$G$2000=$D231)*ISERROR(SEARCH("drop",소재DB_RAW!$C$3:$C$2000))*(소재DB_RAW!$AK$3:$AK$2000&lt;&gt;""))),"")</f>
        <v/>
      </c>
      <c r="AB231" s="27" t="n">
        <v>1800</v>
      </c>
      <c r="AC231" s="27" t="n">
        <v>66821400</v>
      </c>
      <c r="AD231" s="27" t="n">
        <v>338400000</v>
      </c>
      <c r="AE231" s="20" t="inlineStr">
        <is>
          <t>3월2주</t>
        </is>
      </c>
      <c r="AF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G231" s="19">
        <f>IF($K231="","",IF(OR(LEFT($AF231,2)="작지",LEFT($AF231,4)="소재입고"),IF(LEFT($G231,1)="S","★ 납기위험(S코드)","◆ 지연주의"),IF($AF231="정상","✓ 정상","? 확인필요")))</f>
        <v/>
      </c>
      <c r="AH231" s="21" t="n"/>
      <c r="AI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19">
        <f>IF(COUNTIF(EDW_RAW!$A$2:$A$1500,$D232)=0,"",IF(COUNTIFS(EDW_RAW!$A$2:$A$1500,$D232,EDW_RAW!$R$2:$R$1500,"&lt;&gt;~",EDW_RAW!$R$2:$R$1500,"&lt;&gt;")=COUNTIF(EDW_RAW!$A$2:$A$1500,$D232),"O",IF(COUNTIFS(EDW_RAW!$A$2:$A$1500,$D232,EDW_RAW!$R$2:$R$1500,"&lt;&gt;~",EDW_RAW!$R$2:$R$1500,"&lt;&gt;")&gt;0,"부분","X")))</f>
        <v/>
      </c>
      <c r="R232" s="19">
        <f>IF(COUNTIF(EDW_RAW!$A$2:$A$1500,$D232)=0,"",IF(COUNTIFS(EDW_RAW!$A$2:$A$1500,$D232,EDW_RAW!$U$2:$U$1500,"&lt;&gt;~",EDW_RAW!$U$2:$U$1500,"&lt;&gt;")=COUNTIF(EDW_RAW!$A$2:$A$1500,$D232),"O",IF(COUNTIFS(EDW_RAW!$A$2:$A$1500,$D232,EDW_RAW!$U$2:$U$1500,"&lt;&gt;~",EDW_RAW!$U$2:$U$1500,"&lt;&gt;")&gt;0,"부분","X")))</f>
        <v/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",TRUE,UNIQUE(FILTER(소재DB_RAW!$K$3:$K$2000,(소재DB_RAW!$G$3:$G$2000=$D232)*ISERROR(SEARCH("drop",소재DB_RAW!$C$3:$C$2000))))),"")</f>
        <v/>
      </c>
      <c r="W232" s="20" t="inlineStr">
        <is>
          <t>베트남</t>
        </is>
      </c>
      <c r="X232" s="20">
        <f>IFERROR(TEXTJOIN(" / ",TRUE,UNIQUE(FILTER(소재DB_RAW!$N$3:$N$2000,(소재DB_RAW!$G$3:$G$2000=$D232)*ISERROR(SEARCH("drop",소재DB_RAW!$C$3:$C$2000))))),"")</f>
        <v/>
      </c>
      <c r="Y232" s="26">
        <f>IFERROR(TEXTJOIN(CHAR(10),TRUE,UNIQUE(FILTER(소재DB_RAW!$N$3:$N$2000&amp;") "&amp;소재DB_RAW!$O$3:$O$2000,(소재DB_RAW!$G$3:$G$2000=$D232)*ISNUMBER(SEARCH("겉감",소재DB_RAW!$M$3:$M$2000))*ISERROR(SEARCH("drop",소재DB_RAW!$C$3:$C$2000))))),"")</f>
        <v/>
      </c>
      <c r="Z232" s="26">
        <f>IFERROR(TEXTJOIN(CHAR(10),TRUE,UNIQUE(FILTER(소재DB_RAW!$N$3:$N$2000&amp;") "&amp;소재DB_RAW!$O$3:$O$2000,(소재DB_RAW!$G$3:$G$2000=$D232)*ISNUMBER(SEARCH("안감",소재DB_RAW!$M$3:$M$2000))*ISERROR(SEARCH("drop",소재DB_RAW!$C$3:$C$2000))))),"")</f>
        <v/>
      </c>
      <c r="AA232" s="22">
        <f>IFERROR(MAX(FILTER(소재DB_RAW!$AK$3:$AK$2000,(소재DB_RAW!$G$3:$G$2000=$D232)*ISERROR(SEARCH("drop",소재DB_RAW!$C$3:$C$2000))*(소재DB_RAW!$AK$3:$AK$2000&lt;&gt;""))),"")</f>
        <v/>
      </c>
      <c r="AB232" s="27" t="n">
        <v>1400</v>
      </c>
      <c r="AC232" s="27" t="n">
        <v>48518400</v>
      </c>
      <c r="AD232" s="27" t="n">
        <v>235200000</v>
      </c>
      <c r="AE232" s="20" t="n"/>
      <c r="AF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G232" s="19">
        <f>IF($K232="","",IF(OR(LEFT($AF232,2)="작지",LEFT($AF232,4)="소재입고"),IF(LEFT($G232,1)="S","★ 납기위험(S코드)","◆ 지연주의"),IF($AF232="정상","✓ 정상","? 확인필요")))</f>
        <v/>
      </c>
      <c r="AH232" s="21" t="n"/>
      <c r="AI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19">
        <f>IF(COUNTIF(EDW_RAW!$A$2:$A$1500,$D233)=0,"",IF(COUNTIFS(EDW_RAW!$A$2:$A$1500,$D233,EDW_RAW!$R$2:$R$1500,"&lt;&gt;~",EDW_RAW!$R$2:$R$1500,"&lt;&gt;")=COUNTIF(EDW_RAW!$A$2:$A$1500,$D233),"O",IF(COUNTIFS(EDW_RAW!$A$2:$A$1500,$D233,EDW_RAW!$R$2:$R$1500,"&lt;&gt;~",EDW_RAW!$R$2:$R$1500,"&lt;&gt;")&gt;0,"부분","X")))</f>
        <v/>
      </c>
      <c r="R233" s="19">
        <f>IF(COUNTIF(EDW_RAW!$A$2:$A$1500,$D233)=0,"",IF(COUNTIFS(EDW_RAW!$A$2:$A$1500,$D233,EDW_RAW!$U$2:$U$1500,"&lt;&gt;~",EDW_RAW!$U$2:$U$1500,"&lt;&gt;")=COUNTIF(EDW_RAW!$A$2:$A$1500,$D233),"O",IF(COUNTIFS(EDW_RAW!$A$2:$A$1500,$D233,EDW_RAW!$U$2:$U$1500,"&lt;&gt;~",EDW_RAW!$U$2:$U$1500,"&lt;&gt;")&gt;0,"부분","X")))</f>
        <v/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",TRUE,UNIQUE(FILTER(소재DB_RAW!$K$3:$K$2000,(소재DB_RAW!$G$3:$G$2000=$D233)*ISERROR(SEARCH("drop",소재DB_RAW!$C$3:$C$2000))))),"")</f>
        <v/>
      </c>
      <c r="W233" s="20" t="inlineStr">
        <is>
          <t>베트남</t>
        </is>
      </c>
      <c r="X233" s="20">
        <f>IFERROR(TEXTJOIN(" / ",TRUE,UNIQUE(FILTER(소재DB_RAW!$N$3:$N$2000,(소재DB_RAW!$G$3:$G$2000=$D233)*ISERROR(SEARCH("drop",소재DB_RAW!$C$3:$C$2000))))),"")</f>
        <v/>
      </c>
      <c r="Y233" s="26">
        <f>IFERROR(TEXTJOIN(CHAR(10),TRUE,UNIQUE(FILTER(소재DB_RAW!$N$3:$N$2000&amp;") "&amp;소재DB_RAW!$O$3:$O$2000,(소재DB_RAW!$G$3:$G$2000=$D233)*ISNUMBER(SEARCH("겉감",소재DB_RAW!$M$3:$M$2000))*ISERROR(SEARCH("drop",소재DB_RAW!$C$3:$C$2000))))),"")</f>
        <v/>
      </c>
      <c r="Z233" s="26">
        <f>IFERROR(TEXTJOIN(CHAR(10),TRUE,UNIQUE(FILTER(소재DB_RAW!$N$3:$N$2000&amp;") "&amp;소재DB_RAW!$O$3:$O$2000,(소재DB_RAW!$G$3:$G$2000=$D233)*ISNUMBER(SEARCH("안감",소재DB_RAW!$M$3:$M$2000))*ISERROR(SEARCH("drop",소재DB_RAW!$C$3:$C$2000))))),"")</f>
        <v/>
      </c>
      <c r="AA233" s="22">
        <f>IFERROR(MAX(FILTER(소재DB_RAW!$AK$3:$AK$2000,(소재DB_RAW!$G$3:$G$2000=$D233)*ISERROR(SEARCH("drop",소재DB_RAW!$C$3:$C$2000))*(소재DB_RAW!$AK$3:$AK$2000&lt;&gt;""))),"")</f>
        <v/>
      </c>
      <c r="AB233" s="27" t="n">
        <v>6000</v>
      </c>
      <c r="AC233" s="27" t="n">
        <v>133728000</v>
      </c>
      <c r="AD233" s="27" t="n">
        <v>888000000</v>
      </c>
      <c r="AE233" s="20" t="n"/>
      <c r="AF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G233" s="19">
        <f>IF($K233="","",IF(OR(LEFT($AF233,2)="작지",LEFT($AF233,4)="소재입고"),IF(LEFT($G233,1)="S","★ 납기위험(S코드)","◆ 지연주의"),IF($AF233="정상","✓ 정상","? 확인필요")))</f>
        <v/>
      </c>
      <c r="AH233" s="21" t="n"/>
      <c r="AI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19">
        <f>IF(COUNTIF(EDW_RAW!$A$2:$A$1500,$D234)=0,"",IF(COUNTIFS(EDW_RAW!$A$2:$A$1500,$D234,EDW_RAW!$R$2:$R$1500,"&lt;&gt;~",EDW_RAW!$R$2:$R$1500,"&lt;&gt;")=COUNTIF(EDW_RAW!$A$2:$A$1500,$D234),"O",IF(COUNTIFS(EDW_RAW!$A$2:$A$1500,$D234,EDW_RAW!$R$2:$R$1500,"&lt;&gt;~",EDW_RAW!$R$2:$R$1500,"&lt;&gt;")&gt;0,"부분","X")))</f>
        <v/>
      </c>
      <c r="R234" s="19">
        <f>IF(COUNTIF(EDW_RAW!$A$2:$A$1500,$D234)=0,"",IF(COUNTIFS(EDW_RAW!$A$2:$A$1500,$D234,EDW_RAW!$U$2:$U$1500,"&lt;&gt;~",EDW_RAW!$U$2:$U$1500,"&lt;&gt;")=COUNTIF(EDW_RAW!$A$2:$A$1500,$D234),"O",IF(COUNTIFS(EDW_RAW!$A$2:$A$1500,$D234,EDW_RAW!$U$2:$U$1500,"&lt;&gt;~",EDW_RAW!$U$2:$U$1500,"&lt;&gt;")&gt;0,"부분","X")))</f>
        <v/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",TRUE,UNIQUE(FILTER(소재DB_RAW!$K$3:$K$2000,(소재DB_RAW!$G$3:$G$2000=$D234)*ISERROR(SEARCH("drop",소재DB_RAW!$C$3:$C$2000))))),"")</f>
        <v/>
      </c>
      <c r="W234" s="20" t="inlineStr">
        <is>
          <t>베트남</t>
        </is>
      </c>
      <c r="X234" s="20">
        <f>IFERROR(TEXTJOIN(" / ",TRUE,UNIQUE(FILTER(소재DB_RAW!$N$3:$N$2000,(소재DB_RAW!$G$3:$G$2000=$D234)*ISERROR(SEARCH("drop",소재DB_RAW!$C$3:$C$2000))))),"")</f>
        <v/>
      </c>
      <c r="Y234" s="26">
        <f>IFERROR(TEXTJOIN(CHAR(10),TRUE,UNIQUE(FILTER(소재DB_RAW!$N$3:$N$2000&amp;") "&amp;소재DB_RAW!$O$3:$O$2000,(소재DB_RAW!$G$3:$G$2000=$D234)*ISNUMBER(SEARCH("겉감",소재DB_RAW!$M$3:$M$2000))*ISERROR(SEARCH("drop",소재DB_RAW!$C$3:$C$2000))))),"")</f>
        <v/>
      </c>
      <c r="Z234" s="26">
        <f>IFERROR(TEXTJOIN(CHAR(10),TRUE,UNIQUE(FILTER(소재DB_RAW!$N$3:$N$2000&amp;") "&amp;소재DB_RAW!$O$3:$O$2000,(소재DB_RAW!$G$3:$G$2000=$D234)*ISNUMBER(SEARCH("안감",소재DB_RAW!$M$3:$M$2000))*ISERROR(SEARCH("drop",소재DB_RAW!$C$3:$C$2000))))),"")</f>
        <v/>
      </c>
      <c r="AA234" s="22">
        <f>IFERROR(MAX(FILTER(소재DB_RAW!$AK$3:$AK$2000,(소재DB_RAW!$G$3:$G$2000=$D234)*ISERROR(SEARCH("drop",소재DB_RAW!$C$3:$C$2000))*(소재DB_RAW!$AK$3:$AK$2000&lt;&gt;""))),"")</f>
        <v/>
      </c>
      <c r="AB234" s="27" t="n">
        <v>1400</v>
      </c>
      <c r="AC234" s="27" t="n">
        <v>49487200</v>
      </c>
      <c r="AD234" s="27" t="n">
        <v>221200000</v>
      </c>
      <c r="AE234" s="20" t="n"/>
      <c r="AF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G234" s="19">
        <f>IF($K234="","",IF(OR(LEFT($AF234,2)="작지",LEFT($AF234,4)="소재입고"),IF(LEFT($G234,1)="S","★ 납기위험(S코드)","◆ 지연주의"),IF($AF234="정상","✓ 정상","? 확인필요")))</f>
        <v/>
      </c>
      <c r="AH234" s="21" t="n"/>
      <c r="AI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19">
        <f>IF(COUNTIF(EDW_RAW!$A$2:$A$1500,$D235)=0,"",IF(COUNTIFS(EDW_RAW!$A$2:$A$1500,$D235,EDW_RAW!$R$2:$R$1500,"&lt;&gt;~",EDW_RAW!$R$2:$R$1500,"&lt;&gt;")=COUNTIF(EDW_RAW!$A$2:$A$1500,$D235),"O",IF(COUNTIFS(EDW_RAW!$A$2:$A$1500,$D235,EDW_RAW!$R$2:$R$1500,"&lt;&gt;~",EDW_RAW!$R$2:$R$1500,"&lt;&gt;")&gt;0,"부분","X")))</f>
        <v/>
      </c>
      <c r="R235" s="19">
        <f>IF(COUNTIF(EDW_RAW!$A$2:$A$1500,$D235)=0,"",IF(COUNTIFS(EDW_RAW!$A$2:$A$1500,$D235,EDW_RAW!$U$2:$U$1500,"&lt;&gt;~",EDW_RAW!$U$2:$U$1500,"&lt;&gt;")=COUNTIF(EDW_RAW!$A$2:$A$1500,$D235),"O",IF(COUNTIFS(EDW_RAW!$A$2:$A$1500,$D235,EDW_RAW!$U$2:$U$1500,"&lt;&gt;~",EDW_RAW!$U$2:$U$1500,"&lt;&gt;")&gt;0,"부분","X")))</f>
        <v/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",TRUE,UNIQUE(FILTER(소재DB_RAW!$K$3:$K$2000,(소재DB_RAW!$G$3:$G$2000=$D235)*ISERROR(SEARCH("drop",소재DB_RAW!$C$3:$C$2000))))),"")</f>
        <v/>
      </c>
      <c r="W235" s="20" t="inlineStr">
        <is>
          <t>베트남</t>
        </is>
      </c>
      <c r="X235" s="20">
        <f>IFERROR(TEXTJOIN(" / ",TRUE,UNIQUE(FILTER(소재DB_RAW!$N$3:$N$2000,(소재DB_RAW!$G$3:$G$2000=$D235)*ISERROR(SEARCH("drop",소재DB_RAW!$C$3:$C$2000))))),"")</f>
        <v/>
      </c>
      <c r="Y235" s="26">
        <f>IFERROR(TEXTJOIN(CHAR(10),TRUE,UNIQUE(FILTER(소재DB_RAW!$N$3:$N$2000&amp;") "&amp;소재DB_RAW!$O$3:$O$2000,(소재DB_RAW!$G$3:$G$2000=$D235)*ISNUMBER(SEARCH("겉감",소재DB_RAW!$M$3:$M$2000))*ISERROR(SEARCH("drop",소재DB_RAW!$C$3:$C$2000))))),"")</f>
        <v/>
      </c>
      <c r="Z235" s="26">
        <f>IFERROR(TEXTJOIN(CHAR(10),TRUE,UNIQUE(FILTER(소재DB_RAW!$N$3:$N$2000&amp;") "&amp;소재DB_RAW!$O$3:$O$2000,(소재DB_RAW!$G$3:$G$2000=$D235)*ISNUMBER(SEARCH("안감",소재DB_RAW!$M$3:$M$2000))*ISERROR(SEARCH("drop",소재DB_RAW!$C$3:$C$2000))))),"")</f>
        <v/>
      </c>
      <c r="AA235" s="22">
        <f>IFERROR(MAX(FILTER(소재DB_RAW!$AK$3:$AK$2000,(소재DB_RAW!$G$3:$G$2000=$D235)*ISERROR(SEARCH("drop",소재DB_RAW!$C$3:$C$2000))*(소재DB_RAW!$AK$3:$AK$2000&lt;&gt;""))),"")</f>
        <v/>
      </c>
      <c r="AB235" s="27" t="n">
        <v>15000</v>
      </c>
      <c r="AC235" s="27" t="n">
        <v>255000000</v>
      </c>
      <c r="AD235" s="27" t="n">
        <v>1620000000</v>
      </c>
      <c r="AE235" s="20" t="inlineStr">
        <is>
          <t>44511</t>
        </is>
      </c>
      <c r="AF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G235" s="19">
        <f>IF($K235="","",IF(OR(LEFT($AF235,2)="작지",LEFT($AF235,4)="소재입고"),IF(LEFT($G235,1)="S","★ 납기위험(S코드)","◆ 지연주의"),IF($AF235="정상","✓ 정상","? 확인필요")))</f>
        <v/>
      </c>
      <c r="AH235" s="21" t="n"/>
      <c r="AI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19">
        <f>IF(COUNTIF(EDW_RAW!$A$2:$A$1500,$D236)=0,"",IF(COUNTIFS(EDW_RAW!$A$2:$A$1500,$D236,EDW_RAW!$R$2:$R$1500,"&lt;&gt;~",EDW_RAW!$R$2:$R$1500,"&lt;&gt;")=COUNTIF(EDW_RAW!$A$2:$A$1500,$D236),"O",IF(COUNTIFS(EDW_RAW!$A$2:$A$1500,$D236,EDW_RAW!$R$2:$R$1500,"&lt;&gt;~",EDW_RAW!$R$2:$R$1500,"&lt;&gt;")&gt;0,"부분","X")))</f>
        <v/>
      </c>
      <c r="R236" s="19">
        <f>IF(COUNTIF(EDW_RAW!$A$2:$A$1500,$D236)=0,"",IF(COUNTIFS(EDW_RAW!$A$2:$A$1500,$D236,EDW_RAW!$U$2:$U$1500,"&lt;&gt;~",EDW_RAW!$U$2:$U$1500,"&lt;&gt;")=COUNTIF(EDW_RAW!$A$2:$A$1500,$D236),"O",IF(COUNTIFS(EDW_RAW!$A$2:$A$1500,$D236,EDW_RAW!$U$2:$U$1500,"&lt;&gt;~",EDW_RAW!$U$2:$U$1500,"&lt;&gt;")&gt;0,"부분","X")))</f>
        <v/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",TRUE,UNIQUE(FILTER(소재DB_RAW!$K$3:$K$2000,(소재DB_RAW!$G$3:$G$2000=$D236)*ISERROR(SEARCH("drop",소재DB_RAW!$C$3:$C$2000))))),"")</f>
        <v/>
      </c>
      <c r="W236" s="20" t="inlineStr">
        <is>
          <t>베트남</t>
        </is>
      </c>
      <c r="X236" s="20">
        <f>IFERROR(TEXTJOIN(" / ",TRUE,UNIQUE(FILTER(소재DB_RAW!$N$3:$N$2000,(소재DB_RAW!$G$3:$G$2000=$D236)*ISERROR(SEARCH("drop",소재DB_RAW!$C$3:$C$2000))))),"")</f>
        <v/>
      </c>
      <c r="Y236" s="26">
        <f>IFERROR(TEXTJOIN(CHAR(10),TRUE,UNIQUE(FILTER(소재DB_RAW!$N$3:$N$2000&amp;") "&amp;소재DB_RAW!$O$3:$O$2000,(소재DB_RAW!$G$3:$G$2000=$D236)*ISNUMBER(SEARCH("겉감",소재DB_RAW!$M$3:$M$2000))*ISERROR(SEARCH("drop",소재DB_RAW!$C$3:$C$2000))))),"")</f>
        <v/>
      </c>
      <c r="Z236" s="26">
        <f>IFERROR(TEXTJOIN(CHAR(10),TRUE,UNIQUE(FILTER(소재DB_RAW!$N$3:$N$2000&amp;") "&amp;소재DB_RAW!$O$3:$O$2000,(소재DB_RAW!$G$3:$G$2000=$D236)*ISNUMBER(SEARCH("안감",소재DB_RAW!$M$3:$M$2000))*ISERROR(SEARCH("drop",소재DB_RAW!$C$3:$C$2000))))),"")</f>
        <v/>
      </c>
      <c r="AA236" s="22">
        <f>IFERROR(MAX(FILTER(소재DB_RAW!$AK$3:$AK$2000,(소재DB_RAW!$G$3:$G$2000=$D236)*ISERROR(SEARCH("drop",소재DB_RAW!$C$3:$C$2000))*(소재DB_RAW!$AK$3:$AK$2000&lt;&gt;""))),"")</f>
        <v/>
      </c>
      <c r="AB236" s="27" t="n">
        <v>23000</v>
      </c>
      <c r="AC236" s="27" t="n">
        <v>230000000</v>
      </c>
      <c r="AD236" s="27" t="n">
        <v>1564000000</v>
      </c>
      <c r="AE236" s="20" t="inlineStr">
        <is>
          <t>44511</t>
        </is>
      </c>
      <c r="AF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G236" s="19">
        <f>IF($K236="","",IF(OR(LEFT($AF236,2)="작지",LEFT($AF236,4)="소재입고"),IF(LEFT($G236,1)="S","★ 납기위험(S코드)","◆ 지연주의"),IF($AF236="정상","✓ 정상","? 확인필요")))</f>
        <v/>
      </c>
      <c r="AH236" s="21" t="n"/>
      <c r="AI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19">
        <f>IF(COUNTIF(EDW_RAW!$A$2:$A$1500,$D237)=0,"",IF(COUNTIFS(EDW_RAW!$A$2:$A$1500,$D237,EDW_RAW!$R$2:$R$1500,"&lt;&gt;~",EDW_RAW!$R$2:$R$1500,"&lt;&gt;")=COUNTIF(EDW_RAW!$A$2:$A$1500,$D237),"O",IF(COUNTIFS(EDW_RAW!$A$2:$A$1500,$D237,EDW_RAW!$R$2:$R$1500,"&lt;&gt;~",EDW_RAW!$R$2:$R$1500,"&lt;&gt;")&gt;0,"부분","X")))</f>
        <v/>
      </c>
      <c r="R237" s="19">
        <f>IF(COUNTIF(EDW_RAW!$A$2:$A$1500,$D237)=0,"",IF(COUNTIFS(EDW_RAW!$A$2:$A$1500,$D237,EDW_RAW!$U$2:$U$1500,"&lt;&gt;~",EDW_RAW!$U$2:$U$1500,"&lt;&gt;")=COUNTIF(EDW_RAW!$A$2:$A$1500,$D237),"O",IF(COUNTIFS(EDW_RAW!$A$2:$A$1500,$D237,EDW_RAW!$U$2:$U$1500,"&lt;&gt;~",EDW_RAW!$U$2:$U$1500,"&lt;&gt;")&gt;0,"부분","X")))</f>
        <v/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",TRUE,UNIQUE(FILTER(소재DB_RAW!$K$3:$K$2000,(소재DB_RAW!$G$3:$G$2000=$D237)*ISERROR(SEARCH("drop",소재DB_RAW!$C$3:$C$2000))))),"")</f>
        <v/>
      </c>
      <c r="W237" s="20" t="inlineStr">
        <is>
          <t>국내</t>
        </is>
      </c>
      <c r="X237" s="20">
        <f>IFERROR(TEXTJOIN(" / ",TRUE,UNIQUE(FILTER(소재DB_RAW!$N$3:$N$2000,(소재DB_RAW!$G$3:$G$2000=$D237)*ISERROR(SEARCH("drop",소재DB_RAW!$C$3:$C$2000))))),"")</f>
        <v/>
      </c>
      <c r="Y237" s="26">
        <f>IFERROR(TEXTJOIN(CHAR(10),TRUE,UNIQUE(FILTER(소재DB_RAW!$N$3:$N$2000&amp;") "&amp;소재DB_RAW!$O$3:$O$2000,(소재DB_RAW!$G$3:$G$2000=$D237)*ISNUMBER(SEARCH("겉감",소재DB_RAW!$M$3:$M$2000))*ISERROR(SEARCH("drop",소재DB_RAW!$C$3:$C$2000))))),"")</f>
        <v/>
      </c>
      <c r="Z237" s="26">
        <f>IFERROR(TEXTJOIN(CHAR(10),TRUE,UNIQUE(FILTER(소재DB_RAW!$N$3:$N$2000&amp;") "&amp;소재DB_RAW!$O$3:$O$2000,(소재DB_RAW!$G$3:$G$2000=$D237)*ISNUMBER(SEARCH("안감",소재DB_RAW!$M$3:$M$2000))*ISERROR(SEARCH("drop",소재DB_RAW!$C$3:$C$2000))))),"")</f>
        <v/>
      </c>
      <c r="AA237" s="22">
        <f>IFERROR(MAX(FILTER(소재DB_RAW!$AK$3:$AK$2000,(소재DB_RAW!$G$3:$G$2000=$D237)*ISERROR(SEARCH("drop",소재DB_RAW!$C$3:$C$2000))*(소재DB_RAW!$AK$3:$AK$2000&lt;&gt;""))),"")</f>
        <v/>
      </c>
      <c r="AB237" s="27" t="n">
        <v>3000</v>
      </c>
      <c r="AC237" s="27" t="n">
        <v>37044000</v>
      </c>
      <c r="AD237" s="27" t="n">
        <v>180000000</v>
      </c>
      <c r="AE237" s="20" t="n"/>
      <c r="AF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G237" s="19">
        <f>IF($K237="","",IF(OR(LEFT($AF237,2)="작지",LEFT($AF237,4)="소재입고"),IF(LEFT($G237,1)="S","★ 납기위험(S코드)","◆ 지연주의"),IF($AF237="정상","✓ 정상","? 확인필요")))</f>
        <v/>
      </c>
      <c r="AH237" s="21" t="n"/>
      <c r="AI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19">
        <f>IF(COUNTIF(EDW_RAW!$A$2:$A$1500,$D238)=0,"",IF(COUNTIFS(EDW_RAW!$A$2:$A$1500,$D238,EDW_RAW!$R$2:$R$1500,"&lt;&gt;~",EDW_RAW!$R$2:$R$1500,"&lt;&gt;")=COUNTIF(EDW_RAW!$A$2:$A$1500,$D238),"O",IF(COUNTIFS(EDW_RAW!$A$2:$A$1500,$D238,EDW_RAW!$R$2:$R$1500,"&lt;&gt;~",EDW_RAW!$R$2:$R$1500,"&lt;&gt;")&gt;0,"부분","X")))</f>
        <v/>
      </c>
      <c r="R238" s="19">
        <f>IF(COUNTIF(EDW_RAW!$A$2:$A$1500,$D238)=0,"",IF(COUNTIFS(EDW_RAW!$A$2:$A$1500,$D238,EDW_RAW!$U$2:$U$1500,"&lt;&gt;~",EDW_RAW!$U$2:$U$1500,"&lt;&gt;")=COUNTIF(EDW_RAW!$A$2:$A$1500,$D238),"O",IF(COUNTIFS(EDW_RAW!$A$2:$A$1500,$D238,EDW_RAW!$U$2:$U$1500,"&lt;&gt;~",EDW_RAW!$U$2:$U$1500,"&lt;&gt;")&gt;0,"부분","X")))</f>
        <v/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",TRUE,UNIQUE(FILTER(소재DB_RAW!$K$3:$K$2000,(소재DB_RAW!$G$3:$G$2000=$D238)*ISERROR(SEARCH("drop",소재DB_RAW!$C$3:$C$2000))))),"")</f>
        <v/>
      </c>
      <c r="W238" s="20" t="inlineStr">
        <is>
          <t>국내</t>
        </is>
      </c>
      <c r="X238" s="20">
        <f>IFERROR(TEXTJOIN(" / ",TRUE,UNIQUE(FILTER(소재DB_RAW!$N$3:$N$2000,(소재DB_RAW!$G$3:$G$2000=$D238)*ISERROR(SEARCH("drop",소재DB_RAW!$C$3:$C$2000))))),"")</f>
        <v/>
      </c>
      <c r="Y238" s="26">
        <f>IFERROR(TEXTJOIN(CHAR(10),TRUE,UNIQUE(FILTER(소재DB_RAW!$N$3:$N$2000&amp;") "&amp;소재DB_RAW!$O$3:$O$2000,(소재DB_RAW!$G$3:$G$2000=$D238)*ISNUMBER(SEARCH("겉감",소재DB_RAW!$M$3:$M$2000))*ISERROR(SEARCH("drop",소재DB_RAW!$C$3:$C$2000))))),"")</f>
        <v/>
      </c>
      <c r="Z238" s="26">
        <f>IFERROR(TEXTJOIN(CHAR(10),TRUE,UNIQUE(FILTER(소재DB_RAW!$N$3:$N$2000&amp;") "&amp;소재DB_RAW!$O$3:$O$2000,(소재DB_RAW!$G$3:$G$2000=$D238)*ISNUMBER(SEARCH("안감",소재DB_RAW!$M$3:$M$2000))*ISERROR(SEARCH("drop",소재DB_RAW!$C$3:$C$2000))))),"")</f>
        <v/>
      </c>
      <c r="AA238" s="22">
        <f>IFERROR(MAX(FILTER(소재DB_RAW!$AK$3:$AK$2000,(소재DB_RAW!$G$3:$G$2000=$D238)*ISERROR(SEARCH("drop",소재DB_RAW!$C$3:$C$2000))*(소재DB_RAW!$AK$3:$AK$2000&lt;&gt;""))),"")</f>
        <v/>
      </c>
      <c r="AB238" s="27" t="n">
        <v>12000</v>
      </c>
      <c r="AC238" s="27" t="n">
        <v>150000000</v>
      </c>
      <c r="AD238" s="27" t="n">
        <v>720000000</v>
      </c>
      <c r="AE238" s="20" t="n"/>
      <c r="AF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G238" s="19">
        <f>IF($K238="","",IF(OR(LEFT($AF238,2)="작지",LEFT($AF238,4)="소재입고"),IF(LEFT($G238,1)="S","★ 납기위험(S코드)","◆ 지연주의"),IF($AF238="정상","✓ 정상","? 확인필요")))</f>
        <v/>
      </c>
      <c r="AH238" s="21" t="n"/>
      <c r="AI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19">
        <f>IF(COUNTIF(EDW_RAW!$A$2:$A$1500,$D239)=0,"",IF(COUNTIFS(EDW_RAW!$A$2:$A$1500,$D239,EDW_RAW!$R$2:$R$1500,"&lt;&gt;~",EDW_RAW!$R$2:$R$1500,"&lt;&gt;")=COUNTIF(EDW_RAW!$A$2:$A$1500,$D239),"O",IF(COUNTIFS(EDW_RAW!$A$2:$A$1500,$D239,EDW_RAW!$R$2:$R$1500,"&lt;&gt;~",EDW_RAW!$R$2:$R$1500,"&lt;&gt;")&gt;0,"부분","X")))</f>
        <v/>
      </c>
      <c r="R239" s="19">
        <f>IF(COUNTIF(EDW_RAW!$A$2:$A$1500,$D239)=0,"",IF(COUNTIFS(EDW_RAW!$A$2:$A$1500,$D239,EDW_RAW!$U$2:$U$1500,"&lt;&gt;~",EDW_RAW!$U$2:$U$1500,"&lt;&gt;")=COUNTIF(EDW_RAW!$A$2:$A$1500,$D239),"O",IF(COUNTIFS(EDW_RAW!$A$2:$A$1500,$D239,EDW_RAW!$U$2:$U$1500,"&lt;&gt;~",EDW_RAW!$U$2:$U$1500,"&lt;&gt;")&gt;0,"부분","X")))</f>
        <v/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",TRUE,UNIQUE(FILTER(소재DB_RAW!$K$3:$K$2000,(소재DB_RAW!$G$3:$G$2000=$D239)*ISERROR(SEARCH("drop",소재DB_RAW!$C$3:$C$2000))))),"")</f>
        <v/>
      </c>
      <c r="W239" s="20" t="inlineStr">
        <is>
          <t>국내</t>
        </is>
      </c>
      <c r="X239" s="20">
        <f>IFERROR(TEXTJOIN(" / ",TRUE,UNIQUE(FILTER(소재DB_RAW!$N$3:$N$2000,(소재DB_RAW!$G$3:$G$2000=$D239)*ISERROR(SEARCH("drop",소재DB_RAW!$C$3:$C$2000))))),"")</f>
        <v/>
      </c>
      <c r="Y239" s="26">
        <f>IFERROR(TEXTJOIN(CHAR(10),TRUE,UNIQUE(FILTER(소재DB_RAW!$N$3:$N$2000&amp;") "&amp;소재DB_RAW!$O$3:$O$2000,(소재DB_RAW!$G$3:$G$2000=$D239)*ISNUMBER(SEARCH("겉감",소재DB_RAW!$M$3:$M$2000))*ISERROR(SEARCH("drop",소재DB_RAW!$C$3:$C$2000))))),"")</f>
        <v/>
      </c>
      <c r="Z239" s="26">
        <f>IFERROR(TEXTJOIN(CHAR(10),TRUE,UNIQUE(FILTER(소재DB_RAW!$N$3:$N$2000&amp;") "&amp;소재DB_RAW!$O$3:$O$2000,(소재DB_RAW!$G$3:$G$2000=$D239)*ISNUMBER(SEARCH("안감",소재DB_RAW!$M$3:$M$2000))*ISERROR(SEARCH("drop",소재DB_RAW!$C$3:$C$2000))))),"")</f>
        <v/>
      </c>
      <c r="AA239" s="22">
        <f>IFERROR(MAX(FILTER(소재DB_RAW!$AK$3:$AK$2000,(소재DB_RAW!$G$3:$G$2000=$D239)*ISERROR(SEARCH("drop",소재DB_RAW!$C$3:$C$2000))*(소재DB_RAW!$AK$3:$AK$2000&lt;&gt;""))),"")</f>
        <v/>
      </c>
      <c r="AB239" s="27" t="n">
        <v>2000</v>
      </c>
      <c r="AC239" s="27" t="n">
        <v>28936000</v>
      </c>
      <c r="AD239" s="27" t="n">
        <v>140000000</v>
      </c>
      <c r="AE239" s="20" t="n"/>
      <c r="AF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G239" s="19">
        <f>IF($K239="","",IF(OR(LEFT($AF239,2)="작지",LEFT($AF239,4)="소재입고"),IF(LEFT($G239,1)="S","★ 납기위험(S코드)","◆ 지연주의"),IF($AF239="정상","✓ 정상","? 확인필요")))</f>
        <v/>
      </c>
      <c r="AH239" s="21" t="n"/>
      <c r="AI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19">
        <f>IF(COUNTIF(EDW_RAW!$A$2:$A$1500,$D240)=0,"",IF(COUNTIFS(EDW_RAW!$A$2:$A$1500,$D240,EDW_RAW!$R$2:$R$1500,"&lt;&gt;~",EDW_RAW!$R$2:$R$1500,"&lt;&gt;")=COUNTIF(EDW_RAW!$A$2:$A$1500,$D240),"O",IF(COUNTIFS(EDW_RAW!$A$2:$A$1500,$D240,EDW_RAW!$R$2:$R$1500,"&lt;&gt;~",EDW_RAW!$R$2:$R$1500,"&lt;&gt;")&gt;0,"부분","X")))</f>
        <v/>
      </c>
      <c r="R240" s="19">
        <f>IF(COUNTIF(EDW_RAW!$A$2:$A$1500,$D240)=0,"",IF(COUNTIFS(EDW_RAW!$A$2:$A$1500,$D240,EDW_RAW!$U$2:$U$1500,"&lt;&gt;~",EDW_RAW!$U$2:$U$1500,"&lt;&gt;")=COUNTIF(EDW_RAW!$A$2:$A$1500,$D240),"O",IF(COUNTIFS(EDW_RAW!$A$2:$A$1500,$D240,EDW_RAW!$U$2:$U$1500,"&lt;&gt;~",EDW_RAW!$U$2:$U$1500,"&lt;&gt;")&gt;0,"부분","X")))</f>
        <v/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",TRUE,UNIQUE(FILTER(소재DB_RAW!$K$3:$K$2000,(소재DB_RAW!$G$3:$G$2000=$D240)*ISERROR(SEARCH("drop",소재DB_RAW!$C$3:$C$2000))))),"")</f>
        <v/>
      </c>
      <c r="W240" s="20" t="inlineStr">
        <is>
          <t>국내</t>
        </is>
      </c>
      <c r="X240" s="20">
        <f>IFERROR(TEXTJOIN(" / ",TRUE,UNIQUE(FILTER(소재DB_RAW!$N$3:$N$2000,(소재DB_RAW!$G$3:$G$2000=$D240)*ISERROR(SEARCH("drop",소재DB_RAW!$C$3:$C$2000))))),"")</f>
        <v/>
      </c>
      <c r="Y240" s="26">
        <f>IFERROR(TEXTJOIN(CHAR(10),TRUE,UNIQUE(FILTER(소재DB_RAW!$N$3:$N$2000&amp;") "&amp;소재DB_RAW!$O$3:$O$2000,(소재DB_RAW!$G$3:$G$2000=$D240)*ISNUMBER(SEARCH("겉감",소재DB_RAW!$M$3:$M$2000))*ISERROR(SEARCH("drop",소재DB_RAW!$C$3:$C$2000))))),"")</f>
        <v/>
      </c>
      <c r="Z240" s="26">
        <f>IFERROR(TEXTJOIN(CHAR(10),TRUE,UNIQUE(FILTER(소재DB_RAW!$N$3:$N$2000&amp;") "&amp;소재DB_RAW!$O$3:$O$2000,(소재DB_RAW!$G$3:$G$2000=$D240)*ISNUMBER(SEARCH("안감",소재DB_RAW!$M$3:$M$2000))*ISERROR(SEARCH("drop",소재DB_RAW!$C$3:$C$2000))))),"")</f>
        <v/>
      </c>
      <c r="AA240" s="22">
        <f>IFERROR(MAX(FILTER(소재DB_RAW!$AK$3:$AK$2000,(소재DB_RAW!$G$3:$G$2000=$D240)*ISERROR(SEARCH("drop",소재DB_RAW!$C$3:$C$2000))*(소재DB_RAW!$AK$3:$AK$2000&lt;&gt;""))),"")</f>
        <v/>
      </c>
      <c r="AB240" s="27" t="n">
        <v>3000</v>
      </c>
      <c r="AC240" s="27" t="n">
        <v>41259000</v>
      </c>
      <c r="AD240" s="27" t="n">
        <v>210000000</v>
      </c>
      <c r="AE240" s="20" t="n"/>
      <c r="AF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G240" s="19">
        <f>IF($K240="","",IF(OR(LEFT($AF240,2)="작지",LEFT($AF240,4)="소재입고"),IF(LEFT($G240,1)="S","★ 납기위험(S코드)","◆ 지연주의"),IF($AF240="정상","✓ 정상","? 확인필요")))</f>
        <v/>
      </c>
      <c r="AH240" s="21" t="n"/>
      <c r="AI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19">
        <f>IF(COUNTIF(EDW_RAW!$A$2:$A$1500,$D241)=0,"",IF(COUNTIFS(EDW_RAW!$A$2:$A$1500,$D241,EDW_RAW!$R$2:$R$1500,"&lt;&gt;~",EDW_RAW!$R$2:$R$1500,"&lt;&gt;")=COUNTIF(EDW_RAW!$A$2:$A$1500,$D241),"O",IF(COUNTIFS(EDW_RAW!$A$2:$A$1500,$D241,EDW_RAW!$R$2:$R$1500,"&lt;&gt;~",EDW_RAW!$R$2:$R$1500,"&lt;&gt;")&gt;0,"부분","X")))</f>
        <v/>
      </c>
      <c r="R241" s="19">
        <f>IF(COUNTIF(EDW_RAW!$A$2:$A$1500,$D241)=0,"",IF(COUNTIFS(EDW_RAW!$A$2:$A$1500,$D241,EDW_RAW!$U$2:$U$1500,"&lt;&gt;~",EDW_RAW!$U$2:$U$1500,"&lt;&gt;")=COUNTIF(EDW_RAW!$A$2:$A$1500,$D241),"O",IF(COUNTIFS(EDW_RAW!$A$2:$A$1500,$D241,EDW_RAW!$U$2:$U$1500,"&lt;&gt;~",EDW_RAW!$U$2:$U$1500,"&lt;&gt;")&gt;0,"부분","X")))</f>
        <v/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",TRUE,UNIQUE(FILTER(소재DB_RAW!$K$3:$K$2000,(소재DB_RAW!$G$3:$G$2000=$D241)*ISERROR(SEARCH("drop",소재DB_RAW!$C$3:$C$2000))))),"")</f>
        <v/>
      </c>
      <c r="W241" s="20" t="inlineStr">
        <is>
          <t>국내</t>
        </is>
      </c>
      <c r="X241" s="20">
        <f>IFERROR(TEXTJOIN(" / ",TRUE,UNIQUE(FILTER(소재DB_RAW!$N$3:$N$2000,(소재DB_RAW!$G$3:$G$2000=$D241)*ISERROR(SEARCH("drop",소재DB_RAW!$C$3:$C$2000))))),"")</f>
        <v/>
      </c>
      <c r="Y241" s="26">
        <f>IFERROR(TEXTJOIN(CHAR(10),TRUE,UNIQUE(FILTER(소재DB_RAW!$N$3:$N$2000&amp;") "&amp;소재DB_RAW!$O$3:$O$2000,(소재DB_RAW!$G$3:$G$2000=$D241)*ISNUMBER(SEARCH("겉감",소재DB_RAW!$M$3:$M$2000))*ISERROR(SEARCH("drop",소재DB_RAW!$C$3:$C$2000))))),"")</f>
        <v/>
      </c>
      <c r="Z241" s="26">
        <f>IFERROR(TEXTJOIN(CHAR(10),TRUE,UNIQUE(FILTER(소재DB_RAW!$N$3:$N$2000&amp;") "&amp;소재DB_RAW!$O$3:$O$2000,(소재DB_RAW!$G$3:$G$2000=$D241)*ISNUMBER(SEARCH("안감",소재DB_RAW!$M$3:$M$2000))*ISERROR(SEARCH("drop",소재DB_RAW!$C$3:$C$2000))))),"")</f>
        <v/>
      </c>
      <c r="AA241" s="22">
        <f>IFERROR(MAX(FILTER(소재DB_RAW!$AK$3:$AK$2000,(소재DB_RAW!$G$3:$G$2000=$D241)*ISERROR(SEARCH("drop",소재DB_RAW!$C$3:$C$2000))*(소재DB_RAW!$AK$3:$AK$2000&lt;&gt;""))),"")</f>
        <v/>
      </c>
      <c r="AB241" s="27" t="n">
        <v>1600</v>
      </c>
      <c r="AC241" s="27" t="n">
        <v>23148800</v>
      </c>
      <c r="AD241" s="27" t="n">
        <v>112000000</v>
      </c>
      <c r="AE241" s="20" t="n"/>
      <c r="AF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G241" s="19">
        <f>IF($K241="","",IF(OR(LEFT($AF241,2)="작지",LEFT($AF241,4)="소재입고"),IF(LEFT($G241,1)="S","★ 납기위험(S코드)","◆ 지연주의"),IF($AF241="정상","✓ 정상","? 확인필요")))</f>
        <v/>
      </c>
      <c r="AH241" s="21" t="n"/>
      <c r="AI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19">
        <f>IF(COUNTIF(EDW_RAW!$A$2:$A$1500,$D242)=0,"",IF(COUNTIFS(EDW_RAW!$A$2:$A$1500,$D242,EDW_RAW!$R$2:$R$1500,"&lt;&gt;~",EDW_RAW!$R$2:$R$1500,"&lt;&gt;")=COUNTIF(EDW_RAW!$A$2:$A$1500,$D242),"O",IF(COUNTIFS(EDW_RAW!$A$2:$A$1500,$D242,EDW_RAW!$R$2:$R$1500,"&lt;&gt;~",EDW_RAW!$R$2:$R$1500,"&lt;&gt;")&gt;0,"부분","X")))</f>
        <v/>
      </c>
      <c r="R242" s="19">
        <f>IF(COUNTIF(EDW_RAW!$A$2:$A$1500,$D242)=0,"",IF(COUNTIFS(EDW_RAW!$A$2:$A$1500,$D242,EDW_RAW!$U$2:$U$1500,"&lt;&gt;~",EDW_RAW!$U$2:$U$1500,"&lt;&gt;")=COUNTIF(EDW_RAW!$A$2:$A$1500,$D242),"O",IF(COUNTIFS(EDW_RAW!$A$2:$A$1500,$D242,EDW_RAW!$U$2:$U$1500,"&lt;&gt;~",EDW_RAW!$U$2:$U$1500,"&lt;&gt;")&gt;0,"부분","X")))</f>
        <v/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",TRUE,UNIQUE(FILTER(소재DB_RAW!$K$3:$K$2000,(소재DB_RAW!$G$3:$G$2000=$D242)*ISERROR(SEARCH("drop",소재DB_RAW!$C$3:$C$2000))))),"")</f>
        <v/>
      </c>
      <c r="W242" s="20" t="inlineStr">
        <is>
          <t>국내</t>
        </is>
      </c>
      <c r="X242" s="20">
        <f>IFERROR(TEXTJOIN(" / ",TRUE,UNIQUE(FILTER(소재DB_RAW!$N$3:$N$2000,(소재DB_RAW!$G$3:$G$2000=$D242)*ISERROR(SEARCH("drop",소재DB_RAW!$C$3:$C$2000))))),"")</f>
        <v/>
      </c>
      <c r="Y242" s="26">
        <f>IFERROR(TEXTJOIN(CHAR(10),TRUE,UNIQUE(FILTER(소재DB_RAW!$N$3:$N$2000&amp;") "&amp;소재DB_RAW!$O$3:$O$2000,(소재DB_RAW!$G$3:$G$2000=$D242)*ISNUMBER(SEARCH("겉감",소재DB_RAW!$M$3:$M$2000))*ISERROR(SEARCH("drop",소재DB_RAW!$C$3:$C$2000))))),"")</f>
        <v/>
      </c>
      <c r="Z242" s="26">
        <f>IFERROR(TEXTJOIN(CHAR(10),TRUE,UNIQUE(FILTER(소재DB_RAW!$N$3:$N$2000&amp;") "&amp;소재DB_RAW!$O$3:$O$2000,(소재DB_RAW!$G$3:$G$2000=$D242)*ISNUMBER(SEARCH("안감",소재DB_RAW!$M$3:$M$2000))*ISERROR(SEARCH("drop",소재DB_RAW!$C$3:$C$2000))))),"")</f>
        <v/>
      </c>
      <c r="AA242" s="22">
        <f>IFERROR(MAX(FILTER(소재DB_RAW!$AK$3:$AK$2000,(소재DB_RAW!$G$3:$G$2000=$D242)*ISERROR(SEARCH("drop",소재DB_RAW!$C$3:$C$2000))*(소재DB_RAW!$AK$3:$AK$2000&lt;&gt;""))),"")</f>
        <v/>
      </c>
      <c r="AB242" s="27" t="n">
        <v>1100</v>
      </c>
      <c r="AC242" s="27" t="n">
        <v>15914800</v>
      </c>
      <c r="AD242" s="27" t="n">
        <v>77000000</v>
      </c>
      <c r="AE242" s="20" t="n"/>
      <c r="AF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G242" s="19">
        <f>IF($K242="","",IF(OR(LEFT($AF242,2)="작지",LEFT($AF242,4)="소재입고"),IF(LEFT($G242,1)="S","★ 납기위험(S코드)","◆ 지연주의"),IF($AF242="정상","✓ 정상","? 확인필요")))</f>
        <v/>
      </c>
      <c r="AH242" s="21" t="n"/>
      <c r="AI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19">
        <f>IF(COUNTIF(EDW_RAW!$A$2:$A$1500,$D243)=0,"",IF(COUNTIFS(EDW_RAW!$A$2:$A$1500,$D243,EDW_RAW!$R$2:$R$1500,"&lt;&gt;~",EDW_RAW!$R$2:$R$1500,"&lt;&gt;")=COUNTIF(EDW_RAW!$A$2:$A$1500,$D243),"O",IF(COUNTIFS(EDW_RAW!$A$2:$A$1500,$D243,EDW_RAW!$R$2:$R$1500,"&lt;&gt;~",EDW_RAW!$R$2:$R$1500,"&lt;&gt;")&gt;0,"부분","X")))</f>
        <v/>
      </c>
      <c r="R243" s="19">
        <f>IF(COUNTIF(EDW_RAW!$A$2:$A$1500,$D243)=0,"",IF(COUNTIFS(EDW_RAW!$A$2:$A$1500,$D243,EDW_RAW!$U$2:$U$1500,"&lt;&gt;~",EDW_RAW!$U$2:$U$1500,"&lt;&gt;")=COUNTIF(EDW_RAW!$A$2:$A$1500,$D243),"O",IF(COUNTIFS(EDW_RAW!$A$2:$A$1500,$D243,EDW_RAW!$U$2:$U$1500,"&lt;&gt;~",EDW_RAW!$U$2:$U$1500,"&lt;&gt;")&gt;0,"부분","X")))</f>
        <v/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",TRUE,UNIQUE(FILTER(소재DB_RAW!$K$3:$K$2000,(소재DB_RAW!$G$3:$G$2000=$D243)*ISERROR(SEARCH("drop",소재DB_RAW!$C$3:$C$2000))))),"")</f>
        <v/>
      </c>
      <c r="W243" s="20" t="inlineStr">
        <is>
          <t>베트남</t>
        </is>
      </c>
      <c r="X243" s="20">
        <f>IFERROR(TEXTJOIN(" / ",TRUE,UNIQUE(FILTER(소재DB_RAW!$N$3:$N$2000,(소재DB_RAW!$G$3:$G$2000=$D243)*ISERROR(SEARCH("drop",소재DB_RAW!$C$3:$C$2000))))),"")</f>
        <v/>
      </c>
      <c r="Y243" s="26">
        <f>IFERROR(TEXTJOIN(CHAR(10),TRUE,UNIQUE(FILTER(소재DB_RAW!$N$3:$N$2000&amp;") "&amp;소재DB_RAW!$O$3:$O$2000,(소재DB_RAW!$G$3:$G$2000=$D243)*ISNUMBER(SEARCH("겉감",소재DB_RAW!$M$3:$M$2000))*ISERROR(SEARCH("drop",소재DB_RAW!$C$3:$C$2000))))),"")</f>
        <v/>
      </c>
      <c r="Z243" s="26">
        <f>IFERROR(TEXTJOIN(CHAR(10),TRUE,UNIQUE(FILTER(소재DB_RAW!$N$3:$N$2000&amp;") "&amp;소재DB_RAW!$O$3:$O$2000,(소재DB_RAW!$G$3:$G$2000=$D243)*ISNUMBER(SEARCH("안감",소재DB_RAW!$M$3:$M$2000))*ISERROR(SEARCH("drop",소재DB_RAW!$C$3:$C$2000))))),"")</f>
        <v/>
      </c>
      <c r="AA243" s="22">
        <f>IFERROR(MAX(FILTER(소재DB_RAW!$AK$3:$AK$2000,(소재DB_RAW!$G$3:$G$2000=$D243)*ISERROR(SEARCH("drop",소재DB_RAW!$C$3:$C$2000))*(소재DB_RAW!$AK$3:$AK$2000&lt;&gt;""))),"")</f>
        <v/>
      </c>
      <c r="AB243" s="27" t="n">
        <v>2000</v>
      </c>
      <c r="AC243" s="27" t="n">
        <v>53600000</v>
      </c>
      <c r="AD243" s="27" t="n">
        <v>276000000</v>
      </c>
      <c r="AE243" s="20" t="n"/>
      <c r="AF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G243" s="19">
        <f>IF($K243="","",IF(OR(LEFT($AF243,2)="작지",LEFT($AF243,4)="소재입고"),IF(LEFT($G243,1)="S","★ 납기위험(S코드)","◆ 지연주의"),IF($AF243="정상","✓ 정상","? 확인필요")))</f>
        <v/>
      </c>
      <c r="AH243" s="21" t="n"/>
      <c r="AI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19">
        <f>IF(COUNTIF(EDW_RAW!$A$2:$A$1500,$D244)=0,"",IF(COUNTIFS(EDW_RAW!$A$2:$A$1500,$D244,EDW_RAW!$R$2:$R$1500,"&lt;&gt;~",EDW_RAW!$R$2:$R$1500,"&lt;&gt;")=COUNTIF(EDW_RAW!$A$2:$A$1500,$D244),"O",IF(COUNTIFS(EDW_RAW!$A$2:$A$1500,$D244,EDW_RAW!$R$2:$R$1500,"&lt;&gt;~",EDW_RAW!$R$2:$R$1500,"&lt;&gt;")&gt;0,"부분","X")))</f>
        <v/>
      </c>
      <c r="R244" s="19">
        <f>IF(COUNTIF(EDW_RAW!$A$2:$A$1500,$D244)=0,"",IF(COUNTIFS(EDW_RAW!$A$2:$A$1500,$D244,EDW_RAW!$U$2:$U$1500,"&lt;&gt;~",EDW_RAW!$U$2:$U$1500,"&lt;&gt;")=COUNTIF(EDW_RAW!$A$2:$A$1500,$D244),"O",IF(COUNTIFS(EDW_RAW!$A$2:$A$1500,$D244,EDW_RAW!$U$2:$U$1500,"&lt;&gt;~",EDW_RAW!$U$2:$U$1500,"&lt;&gt;")&gt;0,"부분","X")))</f>
        <v/>
      </c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",TRUE,UNIQUE(FILTER(소재DB_RAW!$K$3:$K$2000,(소재DB_RAW!$G$3:$G$2000=$D244)*ISERROR(SEARCH("drop",소재DB_RAW!$C$3:$C$2000))))),"")</f>
        <v/>
      </c>
      <c r="W244" s="20" t="inlineStr"/>
      <c r="X244" s="20">
        <f>IFERROR(TEXTJOIN(" / ",TRUE,UNIQUE(FILTER(소재DB_RAW!$N$3:$N$2000,(소재DB_RAW!$G$3:$G$2000=$D244)*ISERROR(SEARCH("drop",소재DB_RAW!$C$3:$C$2000))))),"")</f>
        <v/>
      </c>
      <c r="Y244" s="26">
        <f>IFERROR(TEXTJOIN(CHAR(10),TRUE,UNIQUE(FILTER(소재DB_RAW!$N$3:$N$2000&amp;") "&amp;소재DB_RAW!$O$3:$O$2000,(소재DB_RAW!$G$3:$G$2000=$D244)*ISNUMBER(SEARCH("겉감",소재DB_RAW!$M$3:$M$2000))*ISERROR(SEARCH("drop",소재DB_RAW!$C$3:$C$2000))))),"")</f>
        <v/>
      </c>
      <c r="Z244" s="26">
        <f>IFERROR(TEXTJOIN(CHAR(10),TRUE,UNIQUE(FILTER(소재DB_RAW!$N$3:$N$2000&amp;") "&amp;소재DB_RAW!$O$3:$O$2000,(소재DB_RAW!$G$3:$G$2000=$D244)*ISNUMBER(SEARCH("안감",소재DB_RAW!$M$3:$M$2000))*ISERROR(SEARCH("drop",소재DB_RAW!$C$3:$C$2000))))),"")</f>
        <v/>
      </c>
      <c r="AA244" s="22">
        <f>IFERROR(MAX(FILTER(소재DB_RAW!$AK$3:$AK$2000,(소재DB_RAW!$G$3:$G$2000=$D244)*ISERROR(SEARCH("drop",소재DB_RAW!$C$3:$C$2000))*(소재DB_RAW!$AK$3:$AK$2000&lt;&gt;""))),"")</f>
        <v/>
      </c>
      <c r="AB244" s="27" t="n">
        <v>2500</v>
      </c>
      <c r="AC244" s="27" t="n">
        <v>70000000</v>
      </c>
      <c r="AD244" s="27" t="n">
        <v>370000000</v>
      </c>
      <c r="AE244" s="20" t="n"/>
      <c r="AF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G244" s="19">
        <f>IF($K244="","",IF(OR(LEFT($AF244,2)="작지",LEFT($AF244,4)="소재입고"),IF(LEFT($G244,1)="S","★ 납기위험(S코드)","◆ 지연주의"),IF($AF244="정상","✓ 정상","? 확인필요")))</f>
        <v/>
      </c>
      <c r="AH244" s="21" t="n"/>
      <c r="AI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19">
        <f>IF(COUNTIF(EDW_RAW!$A$2:$A$1500,$D245)=0,"",IF(COUNTIFS(EDW_RAW!$A$2:$A$1500,$D245,EDW_RAW!$R$2:$R$1500,"&lt;&gt;~",EDW_RAW!$R$2:$R$1500,"&lt;&gt;")=COUNTIF(EDW_RAW!$A$2:$A$1500,$D245),"O",IF(COUNTIFS(EDW_RAW!$A$2:$A$1500,$D245,EDW_RAW!$R$2:$R$1500,"&lt;&gt;~",EDW_RAW!$R$2:$R$1500,"&lt;&gt;")&gt;0,"부분","X")))</f>
        <v/>
      </c>
      <c r="R245" s="19">
        <f>IF(COUNTIF(EDW_RAW!$A$2:$A$1500,$D245)=0,"",IF(COUNTIFS(EDW_RAW!$A$2:$A$1500,$D245,EDW_RAW!$U$2:$U$1500,"&lt;&gt;~",EDW_RAW!$U$2:$U$1500,"&lt;&gt;")=COUNTIF(EDW_RAW!$A$2:$A$1500,$D245),"O",IF(COUNTIFS(EDW_RAW!$A$2:$A$1500,$D245,EDW_RAW!$U$2:$U$1500,"&lt;&gt;~",EDW_RAW!$U$2:$U$1500,"&lt;&gt;")&gt;0,"부분","X")))</f>
        <v/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",TRUE,UNIQUE(FILTER(소재DB_RAW!$K$3:$K$2000,(소재DB_RAW!$G$3:$G$2000=$D245)*ISERROR(SEARCH("drop",소재DB_RAW!$C$3:$C$2000))))),"")</f>
        <v/>
      </c>
      <c r="W245" s="20" t="inlineStr">
        <is>
          <t>베트남</t>
        </is>
      </c>
      <c r="X245" s="20">
        <f>IFERROR(TEXTJOIN(" / ",TRUE,UNIQUE(FILTER(소재DB_RAW!$N$3:$N$2000,(소재DB_RAW!$G$3:$G$2000=$D245)*ISERROR(SEARCH("drop",소재DB_RAW!$C$3:$C$2000))))),"")</f>
        <v/>
      </c>
      <c r="Y245" s="26">
        <f>IFERROR(TEXTJOIN(CHAR(10),TRUE,UNIQUE(FILTER(소재DB_RAW!$N$3:$N$2000&amp;") "&amp;소재DB_RAW!$O$3:$O$2000,(소재DB_RAW!$G$3:$G$2000=$D245)*ISNUMBER(SEARCH("겉감",소재DB_RAW!$M$3:$M$2000))*ISERROR(SEARCH("drop",소재DB_RAW!$C$3:$C$2000))))),"")</f>
        <v/>
      </c>
      <c r="Z245" s="26">
        <f>IFERROR(TEXTJOIN(CHAR(10),TRUE,UNIQUE(FILTER(소재DB_RAW!$N$3:$N$2000&amp;") "&amp;소재DB_RAW!$O$3:$O$2000,(소재DB_RAW!$G$3:$G$2000=$D245)*ISNUMBER(SEARCH("안감",소재DB_RAW!$M$3:$M$2000))*ISERROR(SEARCH("drop",소재DB_RAW!$C$3:$C$2000))))),"")</f>
        <v/>
      </c>
      <c r="AA245" s="22">
        <f>IFERROR(MAX(FILTER(소재DB_RAW!$AK$3:$AK$2000,(소재DB_RAW!$G$3:$G$2000=$D245)*ISERROR(SEARCH("drop",소재DB_RAW!$C$3:$C$2000))*(소재DB_RAW!$AK$3:$AK$2000&lt;&gt;""))),"")</f>
        <v/>
      </c>
      <c r="AB245" s="27" t="n">
        <v>24000</v>
      </c>
      <c r="AC245" s="27" t="n">
        <v>396576000</v>
      </c>
      <c r="AD245" s="27" t="n">
        <v>2592000000</v>
      </c>
      <c r="AE245" s="20" t="inlineStr">
        <is>
          <t>3월2주</t>
        </is>
      </c>
      <c r="AF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G245" s="19">
        <f>IF($K245="","",IF(OR(LEFT($AF245,2)="작지",LEFT($AF245,4)="소재입고"),IF(LEFT($G245,1)="S","★ 납기위험(S코드)","◆ 지연주의"),IF($AF245="정상","✓ 정상","? 확인필요")))</f>
        <v/>
      </c>
      <c r="AH245" s="21" t="n"/>
      <c r="AI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19">
        <f>IF(COUNTIF(EDW_RAW!$A$2:$A$1500,$D246)=0,"",IF(COUNTIFS(EDW_RAW!$A$2:$A$1500,$D246,EDW_RAW!$R$2:$R$1500,"&lt;&gt;~",EDW_RAW!$R$2:$R$1500,"&lt;&gt;")=COUNTIF(EDW_RAW!$A$2:$A$1500,$D246),"O",IF(COUNTIFS(EDW_RAW!$A$2:$A$1500,$D246,EDW_RAW!$R$2:$R$1500,"&lt;&gt;~",EDW_RAW!$R$2:$R$1500,"&lt;&gt;")&gt;0,"부분","X")))</f>
        <v/>
      </c>
      <c r="R246" s="19">
        <f>IF(COUNTIF(EDW_RAW!$A$2:$A$1500,$D246)=0,"",IF(COUNTIFS(EDW_RAW!$A$2:$A$1500,$D246,EDW_RAW!$U$2:$U$1500,"&lt;&gt;~",EDW_RAW!$U$2:$U$1500,"&lt;&gt;")=COUNTIF(EDW_RAW!$A$2:$A$1500,$D246),"O",IF(COUNTIFS(EDW_RAW!$A$2:$A$1500,$D246,EDW_RAW!$U$2:$U$1500,"&lt;&gt;~",EDW_RAW!$U$2:$U$1500,"&lt;&gt;")&gt;0,"부분","X")))</f>
        <v/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",TRUE,UNIQUE(FILTER(소재DB_RAW!$K$3:$K$2000,(소재DB_RAW!$G$3:$G$2000=$D246)*ISERROR(SEARCH("drop",소재DB_RAW!$C$3:$C$2000))))),"")</f>
        <v/>
      </c>
      <c r="W246" s="20" t="inlineStr">
        <is>
          <t>베트남</t>
        </is>
      </c>
      <c r="X246" s="20">
        <f>IFERROR(TEXTJOIN(" / ",TRUE,UNIQUE(FILTER(소재DB_RAW!$N$3:$N$2000,(소재DB_RAW!$G$3:$G$2000=$D246)*ISERROR(SEARCH("drop",소재DB_RAW!$C$3:$C$2000))))),"")</f>
        <v/>
      </c>
      <c r="Y246" s="26">
        <f>IFERROR(TEXTJOIN(CHAR(10),TRUE,UNIQUE(FILTER(소재DB_RAW!$N$3:$N$2000&amp;") "&amp;소재DB_RAW!$O$3:$O$2000,(소재DB_RAW!$G$3:$G$2000=$D246)*ISNUMBER(SEARCH("겉감",소재DB_RAW!$M$3:$M$2000))*ISERROR(SEARCH("drop",소재DB_RAW!$C$3:$C$2000))))),"")</f>
        <v/>
      </c>
      <c r="Z246" s="26">
        <f>IFERROR(TEXTJOIN(CHAR(10),TRUE,UNIQUE(FILTER(소재DB_RAW!$N$3:$N$2000&amp;") "&amp;소재DB_RAW!$O$3:$O$2000,(소재DB_RAW!$G$3:$G$2000=$D246)*ISNUMBER(SEARCH("안감",소재DB_RAW!$M$3:$M$2000))*ISERROR(SEARCH("drop",소재DB_RAW!$C$3:$C$2000))))),"")</f>
        <v/>
      </c>
      <c r="AA246" s="22">
        <f>IFERROR(MAX(FILTER(소재DB_RAW!$AK$3:$AK$2000,(소재DB_RAW!$G$3:$G$2000=$D246)*ISERROR(SEARCH("drop",소재DB_RAW!$C$3:$C$2000))*(소재DB_RAW!$AK$3:$AK$2000&lt;&gt;""))),"")</f>
        <v/>
      </c>
      <c r="AB246" s="27" t="n">
        <v>6000</v>
      </c>
      <c r="AC246" s="27" t="n">
        <v>165174000</v>
      </c>
      <c r="AD246" s="27" t="n">
        <v>708000000</v>
      </c>
      <c r="AE246" s="20" t="inlineStr">
        <is>
          <t>3월2주</t>
        </is>
      </c>
      <c r="AF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G246" s="19">
        <f>IF($K246="","",IF(OR(LEFT($AF246,2)="작지",LEFT($AF246,4)="소재입고"),IF(LEFT($G246,1)="S","★ 납기위험(S코드)","◆ 지연주의"),IF($AF246="정상","✓ 정상","? 확인필요")))</f>
        <v/>
      </c>
      <c r="AH246" s="21" t="n"/>
      <c r="AI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19">
        <f>IF(COUNTIF(EDW_RAW!$A$2:$A$1500,$D247)=0,"",IF(COUNTIFS(EDW_RAW!$A$2:$A$1500,$D247,EDW_RAW!$R$2:$R$1500,"&lt;&gt;~",EDW_RAW!$R$2:$R$1500,"&lt;&gt;")=COUNTIF(EDW_RAW!$A$2:$A$1500,$D247),"O",IF(COUNTIFS(EDW_RAW!$A$2:$A$1500,$D247,EDW_RAW!$R$2:$R$1500,"&lt;&gt;~",EDW_RAW!$R$2:$R$1500,"&lt;&gt;")&gt;0,"부분","X")))</f>
        <v/>
      </c>
      <c r="R247" s="19">
        <f>IF(COUNTIF(EDW_RAW!$A$2:$A$1500,$D247)=0,"",IF(COUNTIFS(EDW_RAW!$A$2:$A$1500,$D247,EDW_RAW!$U$2:$U$1500,"&lt;&gt;~",EDW_RAW!$U$2:$U$1500,"&lt;&gt;")=COUNTIF(EDW_RAW!$A$2:$A$1500,$D247),"O",IF(COUNTIFS(EDW_RAW!$A$2:$A$1500,$D247,EDW_RAW!$U$2:$U$1500,"&lt;&gt;~",EDW_RAW!$U$2:$U$1500,"&lt;&gt;")&gt;0,"부분","X")))</f>
        <v/>
      </c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",TRUE,UNIQUE(FILTER(소재DB_RAW!$K$3:$K$2000,(소재DB_RAW!$G$3:$G$2000=$D247)*ISERROR(SEARCH("drop",소재DB_RAW!$C$3:$C$2000))))),"")</f>
        <v/>
      </c>
      <c r="W247" s="20" t="inlineStr"/>
      <c r="X247" s="20">
        <f>IFERROR(TEXTJOIN(" / ",TRUE,UNIQUE(FILTER(소재DB_RAW!$N$3:$N$2000,(소재DB_RAW!$G$3:$G$2000=$D247)*ISERROR(SEARCH("drop",소재DB_RAW!$C$3:$C$2000))))),"")</f>
        <v/>
      </c>
      <c r="Y247" s="26">
        <f>IFERROR(TEXTJOIN(CHAR(10),TRUE,UNIQUE(FILTER(소재DB_RAW!$N$3:$N$2000&amp;") "&amp;소재DB_RAW!$O$3:$O$2000,(소재DB_RAW!$G$3:$G$2000=$D247)*ISNUMBER(SEARCH("겉감",소재DB_RAW!$M$3:$M$2000))*ISERROR(SEARCH("drop",소재DB_RAW!$C$3:$C$2000))))),"")</f>
        <v/>
      </c>
      <c r="Z247" s="26">
        <f>IFERROR(TEXTJOIN(CHAR(10),TRUE,UNIQUE(FILTER(소재DB_RAW!$N$3:$N$2000&amp;") "&amp;소재DB_RAW!$O$3:$O$2000,(소재DB_RAW!$G$3:$G$2000=$D247)*ISNUMBER(SEARCH("안감",소재DB_RAW!$M$3:$M$2000))*ISERROR(SEARCH("drop",소재DB_RAW!$C$3:$C$2000))))),"")</f>
        <v/>
      </c>
      <c r="AA247" s="22">
        <f>IFERROR(MAX(FILTER(소재DB_RAW!$AK$3:$AK$2000,(소재DB_RAW!$G$3:$G$2000=$D247)*ISERROR(SEARCH("drop",소재DB_RAW!$C$3:$C$2000))*(소재DB_RAW!$AK$3:$AK$2000&lt;&gt;""))),"")</f>
        <v/>
      </c>
      <c r="AB247" s="27" t="n">
        <v>1800</v>
      </c>
      <c r="AC247" s="27" t="n">
        <v>42300000</v>
      </c>
      <c r="AD247" s="27" t="n">
        <v>212400000</v>
      </c>
      <c r="AE247" s="20" t="n"/>
      <c r="AF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G247" s="19">
        <f>IF($K247="","",IF(OR(LEFT($AF247,2)="작지",LEFT($AF247,4)="소재입고"),IF(LEFT($G247,1)="S","★ 납기위험(S코드)","◆ 지연주의"),IF($AF247="정상","✓ 정상","? 확인필요")))</f>
        <v/>
      </c>
      <c r="AH247" s="21" t="n"/>
      <c r="AI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19">
        <f>IF(COUNTIF(EDW_RAW!$A$2:$A$1500,$D248)=0,"",IF(COUNTIFS(EDW_RAW!$A$2:$A$1500,$D248,EDW_RAW!$R$2:$R$1500,"&lt;&gt;~",EDW_RAW!$R$2:$R$1500,"&lt;&gt;")=COUNTIF(EDW_RAW!$A$2:$A$1500,$D248),"O",IF(COUNTIFS(EDW_RAW!$A$2:$A$1500,$D248,EDW_RAW!$R$2:$R$1500,"&lt;&gt;~",EDW_RAW!$R$2:$R$1500,"&lt;&gt;")&gt;0,"부분","X")))</f>
        <v/>
      </c>
      <c r="R248" s="19">
        <f>IF(COUNTIF(EDW_RAW!$A$2:$A$1500,$D248)=0,"",IF(COUNTIFS(EDW_RAW!$A$2:$A$1500,$D248,EDW_RAW!$U$2:$U$1500,"&lt;&gt;~",EDW_RAW!$U$2:$U$1500,"&lt;&gt;")=COUNTIF(EDW_RAW!$A$2:$A$1500,$D248),"O",IF(COUNTIFS(EDW_RAW!$A$2:$A$1500,$D248,EDW_RAW!$U$2:$U$1500,"&lt;&gt;~",EDW_RAW!$U$2:$U$1500,"&lt;&gt;")&gt;0,"부분","X")))</f>
        <v/>
      </c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",TRUE,UNIQUE(FILTER(소재DB_RAW!$K$3:$K$2000,(소재DB_RAW!$G$3:$G$2000=$D248)*ISERROR(SEARCH("drop",소재DB_RAW!$C$3:$C$2000))))),"")</f>
        <v/>
      </c>
      <c r="W248" s="20" t="inlineStr"/>
      <c r="X248" s="20">
        <f>IFERROR(TEXTJOIN(" / ",TRUE,UNIQUE(FILTER(소재DB_RAW!$N$3:$N$2000,(소재DB_RAW!$G$3:$G$2000=$D248)*ISERROR(SEARCH("drop",소재DB_RAW!$C$3:$C$2000))))),"")</f>
        <v/>
      </c>
      <c r="Y248" s="26">
        <f>IFERROR(TEXTJOIN(CHAR(10),TRUE,UNIQUE(FILTER(소재DB_RAW!$N$3:$N$2000&amp;") "&amp;소재DB_RAW!$O$3:$O$2000,(소재DB_RAW!$G$3:$G$2000=$D248)*ISNUMBER(SEARCH("겉감",소재DB_RAW!$M$3:$M$2000))*ISERROR(SEARCH("drop",소재DB_RAW!$C$3:$C$2000))))),"")</f>
        <v/>
      </c>
      <c r="Z248" s="26">
        <f>IFERROR(TEXTJOIN(CHAR(10),TRUE,UNIQUE(FILTER(소재DB_RAW!$N$3:$N$2000&amp;") "&amp;소재DB_RAW!$O$3:$O$2000,(소재DB_RAW!$G$3:$G$2000=$D248)*ISNUMBER(SEARCH("안감",소재DB_RAW!$M$3:$M$2000))*ISERROR(SEARCH("drop",소재DB_RAW!$C$3:$C$2000))))),"")</f>
        <v/>
      </c>
      <c r="AA248" s="22">
        <f>IFERROR(MAX(FILTER(소재DB_RAW!$AK$3:$AK$2000,(소재DB_RAW!$G$3:$G$2000=$D248)*ISERROR(SEARCH("drop",소재DB_RAW!$C$3:$C$2000))*(소재DB_RAW!$AK$3:$AK$2000&lt;&gt;""))),"")</f>
        <v/>
      </c>
      <c r="AB248" s="27" t="n">
        <v>3200</v>
      </c>
      <c r="AC248" s="27" t="n">
        <v>81600000</v>
      </c>
      <c r="AD248" s="27" t="n">
        <v>409600000</v>
      </c>
      <c r="AE248" s="20" t="n"/>
      <c r="AF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G248" s="19">
        <f>IF($K248="","",IF(OR(LEFT($AF248,2)="작지",LEFT($AF248,4)="소재입고"),IF(LEFT($G248,1)="S","★ 납기위험(S코드)","◆ 지연주의"),IF($AF248="정상","✓ 정상","? 확인필요")))</f>
        <v/>
      </c>
      <c r="AH248" s="21" t="n"/>
      <c r="AI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19">
        <f>IF(COUNTIF(EDW_RAW!$A$2:$A$1500,$D249)=0,"",IF(COUNTIFS(EDW_RAW!$A$2:$A$1500,$D249,EDW_RAW!$R$2:$R$1500,"&lt;&gt;~",EDW_RAW!$R$2:$R$1500,"&lt;&gt;")=COUNTIF(EDW_RAW!$A$2:$A$1500,$D249),"O",IF(COUNTIFS(EDW_RAW!$A$2:$A$1500,$D249,EDW_RAW!$R$2:$R$1500,"&lt;&gt;~",EDW_RAW!$R$2:$R$1500,"&lt;&gt;")&gt;0,"부분","X")))</f>
        <v/>
      </c>
      <c r="R249" s="19">
        <f>IF(COUNTIF(EDW_RAW!$A$2:$A$1500,$D249)=0,"",IF(COUNTIFS(EDW_RAW!$A$2:$A$1500,$D249,EDW_RAW!$U$2:$U$1500,"&lt;&gt;~",EDW_RAW!$U$2:$U$1500,"&lt;&gt;")=COUNTIF(EDW_RAW!$A$2:$A$1500,$D249),"O",IF(COUNTIFS(EDW_RAW!$A$2:$A$1500,$D249,EDW_RAW!$U$2:$U$1500,"&lt;&gt;~",EDW_RAW!$U$2:$U$1500,"&lt;&gt;")&gt;0,"부분","X")))</f>
        <v/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",TRUE,UNIQUE(FILTER(소재DB_RAW!$K$3:$K$2000,(소재DB_RAW!$G$3:$G$2000=$D249)*ISERROR(SEARCH("drop",소재DB_RAW!$C$3:$C$2000))))),"")</f>
        <v/>
      </c>
      <c r="W249" s="20" t="inlineStr">
        <is>
          <t>베트남</t>
        </is>
      </c>
      <c r="X249" s="20">
        <f>IFERROR(TEXTJOIN(" / ",TRUE,UNIQUE(FILTER(소재DB_RAW!$N$3:$N$2000,(소재DB_RAW!$G$3:$G$2000=$D249)*ISERROR(SEARCH("drop",소재DB_RAW!$C$3:$C$2000))))),"")</f>
        <v/>
      </c>
      <c r="Y249" s="26">
        <f>IFERROR(TEXTJOIN(CHAR(10),TRUE,UNIQUE(FILTER(소재DB_RAW!$N$3:$N$2000&amp;") "&amp;소재DB_RAW!$O$3:$O$2000,(소재DB_RAW!$G$3:$G$2000=$D249)*ISNUMBER(SEARCH("겉감",소재DB_RAW!$M$3:$M$2000))*ISERROR(SEARCH("drop",소재DB_RAW!$C$3:$C$2000))))),"")</f>
        <v/>
      </c>
      <c r="Z249" s="26">
        <f>IFERROR(TEXTJOIN(CHAR(10),TRUE,UNIQUE(FILTER(소재DB_RAW!$N$3:$N$2000&amp;") "&amp;소재DB_RAW!$O$3:$O$2000,(소재DB_RAW!$G$3:$G$2000=$D249)*ISNUMBER(SEARCH("안감",소재DB_RAW!$M$3:$M$2000))*ISERROR(SEARCH("drop",소재DB_RAW!$C$3:$C$2000))))),"")</f>
        <v/>
      </c>
      <c r="AA249" s="22">
        <f>IFERROR(MAX(FILTER(소재DB_RAW!$AK$3:$AK$2000,(소재DB_RAW!$G$3:$G$2000=$D249)*ISERROR(SEARCH("drop",소재DB_RAW!$C$3:$C$2000))*(소재DB_RAW!$AK$3:$AK$2000&lt;&gt;""))),"")</f>
        <v/>
      </c>
      <c r="AB249" s="27" t="n">
        <v>1500</v>
      </c>
      <c r="AC249" s="27" t="n">
        <v>38922000</v>
      </c>
      <c r="AD249" s="27" t="n">
        <v>237000000</v>
      </c>
      <c r="AE249" s="20" t="inlineStr">
        <is>
          <t>3월2주</t>
        </is>
      </c>
      <c r="AF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G249" s="19">
        <f>IF($K249="","",IF(OR(LEFT($AF249,2)="작지",LEFT($AF249,4)="소재입고"),IF(LEFT($G249,1)="S","★ 납기위험(S코드)","◆ 지연주의"),IF($AF249="정상","✓ 정상","? 확인필요")))</f>
        <v/>
      </c>
      <c r="AH249" s="21" t="n"/>
      <c r="AI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19">
        <f>IF(COUNTIF(EDW_RAW!$A$2:$A$1500,$D250)=0,"",IF(COUNTIFS(EDW_RAW!$A$2:$A$1500,$D250,EDW_RAW!$R$2:$R$1500,"&lt;&gt;~",EDW_RAW!$R$2:$R$1500,"&lt;&gt;")=COUNTIF(EDW_RAW!$A$2:$A$1500,$D250),"O",IF(COUNTIFS(EDW_RAW!$A$2:$A$1500,$D250,EDW_RAW!$R$2:$R$1500,"&lt;&gt;~",EDW_RAW!$R$2:$R$1500,"&lt;&gt;")&gt;0,"부분","X")))</f>
        <v/>
      </c>
      <c r="R250" s="19">
        <f>IF(COUNTIF(EDW_RAW!$A$2:$A$1500,$D250)=0,"",IF(COUNTIFS(EDW_RAW!$A$2:$A$1500,$D250,EDW_RAW!$U$2:$U$1500,"&lt;&gt;~",EDW_RAW!$U$2:$U$1500,"&lt;&gt;")=COUNTIF(EDW_RAW!$A$2:$A$1500,$D250),"O",IF(COUNTIFS(EDW_RAW!$A$2:$A$1500,$D250,EDW_RAW!$U$2:$U$1500,"&lt;&gt;~",EDW_RAW!$U$2:$U$1500,"&lt;&gt;")&gt;0,"부분","X")))</f>
        <v/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",TRUE,UNIQUE(FILTER(소재DB_RAW!$K$3:$K$2000,(소재DB_RAW!$G$3:$G$2000=$D250)*ISERROR(SEARCH("drop",소재DB_RAW!$C$3:$C$2000))))),"")</f>
        <v/>
      </c>
      <c r="W250" s="20" t="inlineStr">
        <is>
          <t>베트남</t>
        </is>
      </c>
      <c r="X250" s="20">
        <f>IFERROR(TEXTJOIN(" / ",TRUE,UNIQUE(FILTER(소재DB_RAW!$N$3:$N$2000,(소재DB_RAW!$G$3:$G$2000=$D250)*ISERROR(SEARCH("drop",소재DB_RAW!$C$3:$C$2000))))),"")</f>
        <v/>
      </c>
      <c r="Y250" s="26">
        <f>IFERROR(TEXTJOIN(CHAR(10),TRUE,UNIQUE(FILTER(소재DB_RAW!$N$3:$N$2000&amp;") "&amp;소재DB_RAW!$O$3:$O$2000,(소재DB_RAW!$G$3:$G$2000=$D250)*ISNUMBER(SEARCH("겉감",소재DB_RAW!$M$3:$M$2000))*ISERROR(SEARCH("drop",소재DB_RAW!$C$3:$C$2000))))),"")</f>
        <v/>
      </c>
      <c r="Z250" s="26">
        <f>IFERROR(TEXTJOIN(CHAR(10),TRUE,UNIQUE(FILTER(소재DB_RAW!$N$3:$N$2000&amp;") "&amp;소재DB_RAW!$O$3:$O$2000,(소재DB_RAW!$G$3:$G$2000=$D250)*ISNUMBER(SEARCH("안감",소재DB_RAW!$M$3:$M$2000))*ISERROR(SEARCH("drop",소재DB_RAW!$C$3:$C$2000))))),"")</f>
        <v/>
      </c>
      <c r="AA250" s="22">
        <f>IFERROR(MAX(FILTER(소재DB_RAW!$AK$3:$AK$2000,(소재DB_RAW!$G$3:$G$2000=$D250)*ISERROR(SEARCH("drop",소재DB_RAW!$C$3:$C$2000))*(소재DB_RAW!$AK$3:$AK$2000&lt;&gt;""))),"")</f>
        <v/>
      </c>
      <c r="AB250" s="27" t="n">
        <v>2000</v>
      </c>
      <c r="AC250" s="27" t="n">
        <v>82328000</v>
      </c>
      <c r="AD250" s="27" t="n">
        <v>440000000</v>
      </c>
      <c r="AE250" s="20" t="n"/>
      <c r="AF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G250" s="19">
        <f>IF($K250="","",IF(OR(LEFT($AF250,2)="작지",LEFT($AF250,4)="소재입고"),IF(LEFT($G250,1)="S","★ 납기위험(S코드)","◆ 지연주의"),IF($AF250="정상","✓ 정상","? 확인필요")))</f>
        <v/>
      </c>
      <c r="AH250" s="21" t="n"/>
      <c r="AI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19">
        <f>IF(COUNTIF(EDW_RAW!$A$2:$A$1500,$D251)=0,"",IF(COUNTIFS(EDW_RAW!$A$2:$A$1500,$D251,EDW_RAW!$R$2:$R$1500,"&lt;&gt;~",EDW_RAW!$R$2:$R$1500,"&lt;&gt;")=COUNTIF(EDW_RAW!$A$2:$A$1500,$D251),"O",IF(COUNTIFS(EDW_RAW!$A$2:$A$1500,$D251,EDW_RAW!$R$2:$R$1500,"&lt;&gt;~",EDW_RAW!$R$2:$R$1500,"&lt;&gt;")&gt;0,"부분","X")))</f>
        <v/>
      </c>
      <c r="R251" s="19">
        <f>IF(COUNTIF(EDW_RAW!$A$2:$A$1500,$D251)=0,"",IF(COUNTIFS(EDW_RAW!$A$2:$A$1500,$D251,EDW_RAW!$U$2:$U$1500,"&lt;&gt;~",EDW_RAW!$U$2:$U$1500,"&lt;&gt;")=COUNTIF(EDW_RAW!$A$2:$A$1500,$D251),"O",IF(COUNTIFS(EDW_RAW!$A$2:$A$1500,$D251,EDW_RAW!$U$2:$U$1500,"&lt;&gt;~",EDW_RAW!$U$2:$U$1500,"&lt;&gt;")&gt;0,"부분","X")))</f>
        <v/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",TRUE,UNIQUE(FILTER(소재DB_RAW!$K$3:$K$2000,(소재DB_RAW!$G$3:$G$2000=$D251)*ISERROR(SEARCH("drop",소재DB_RAW!$C$3:$C$2000))))),"")</f>
        <v/>
      </c>
      <c r="W251" s="20" t="inlineStr">
        <is>
          <t>베트남</t>
        </is>
      </c>
      <c r="X251" s="20">
        <f>IFERROR(TEXTJOIN(" / ",TRUE,UNIQUE(FILTER(소재DB_RAW!$N$3:$N$2000,(소재DB_RAW!$G$3:$G$2000=$D251)*ISERROR(SEARCH("drop",소재DB_RAW!$C$3:$C$2000))))),"")</f>
        <v/>
      </c>
      <c r="Y251" s="26">
        <f>IFERROR(TEXTJOIN(CHAR(10),TRUE,UNIQUE(FILTER(소재DB_RAW!$N$3:$N$2000&amp;") "&amp;소재DB_RAW!$O$3:$O$2000,(소재DB_RAW!$G$3:$G$2000=$D251)*ISNUMBER(SEARCH("겉감",소재DB_RAW!$M$3:$M$2000))*ISERROR(SEARCH("drop",소재DB_RAW!$C$3:$C$2000))))),"")</f>
        <v/>
      </c>
      <c r="Z251" s="26">
        <f>IFERROR(TEXTJOIN(CHAR(10),TRUE,UNIQUE(FILTER(소재DB_RAW!$N$3:$N$2000&amp;") "&amp;소재DB_RAW!$O$3:$O$2000,(소재DB_RAW!$G$3:$G$2000=$D251)*ISNUMBER(SEARCH("안감",소재DB_RAW!$M$3:$M$2000))*ISERROR(SEARCH("drop",소재DB_RAW!$C$3:$C$2000))))),"")</f>
        <v/>
      </c>
      <c r="AA251" s="22">
        <f>IFERROR(MAX(FILTER(소재DB_RAW!$AK$3:$AK$2000,(소재DB_RAW!$G$3:$G$2000=$D251)*ISERROR(SEARCH("drop",소재DB_RAW!$C$3:$C$2000))*(소재DB_RAW!$AK$3:$AK$2000&lt;&gt;""))),"")</f>
        <v/>
      </c>
      <c r="AB251" s="27" t="n">
        <v>3500</v>
      </c>
      <c r="AC251" s="27" t="n">
        <v>146688500</v>
      </c>
      <c r="AD251" s="27" t="n">
        <v>770000000</v>
      </c>
      <c r="AE251" s="20" t="n"/>
      <c r="AF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G251" s="19">
        <f>IF($K251="","",IF(OR(LEFT($AF251,2)="작지",LEFT($AF251,4)="소재입고"),IF(LEFT($G251,1)="S","★ 납기위험(S코드)","◆ 지연주의"),IF($AF251="정상","✓ 정상","? 확인필요")))</f>
        <v/>
      </c>
      <c r="AH251" s="21" t="n"/>
      <c r="AI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19">
        <f>IF(COUNTIF(EDW_RAW!$A$2:$A$1500,$D252)=0,"",IF(COUNTIFS(EDW_RAW!$A$2:$A$1500,$D252,EDW_RAW!$R$2:$R$1500,"&lt;&gt;~",EDW_RAW!$R$2:$R$1500,"&lt;&gt;")=COUNTIF(EDW_RAW!$A$2:$A$1500,$D252),"O",IF(COUNTIFS(EDW_RAW!$A$2:$A$1500,$D252,EDW_RAW!$R$2:$R$1500,"&lt;&gt;~",EDW_RAW!$R$2:$R$1500,"&lt;&gt;")&gt;0,"부분","X")))</f>
        <v/>
      </c>
      <c r="R252" s="19">
        <f>IF(COUNTIF(EDW_RAW!$A$2:$A$1500,$D252)=0,"",IF(COUNTIFS(EDW_RAW!$A$2:$A$1500,$D252,EDW_RAW!$U$2:$U$1500,"&lt;&gt;~",EDW_RAW!$U$2:$U$1500,"&lt;&gt;")=COUNTIF(EDW_RAW!$A$2:$A$1500,$D252),"O",IF(COUNTIFS(EDW_RAW!$A$2:$A$1500,$D252,EDW_RAW!$U$2:$U$1500,"&lt;&gt;~",EDW_RAW!$U$2:$U$1500,"&lt;&gt;")&gt;0,"부분","X")))</f>
        <v/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",TRUE,UNIQUE(FILTER(소재DB_RAW!$K$3:$K$2000,(소재DB_RAW!$G$3:$G$2000=$D252)*ISERROR(SEARCH("drop",소재DB_RAW!$C$3:$C$2000))))),"")</f>
        <v/>
      </c>
      <c r="W252" s="20" t="inlineStr">
        <is>
          <t>베트남</t>
        </is>
      </c>
      <c r="X252" s="20">
        <f>IFERROR(TEXTJOIN(" / ",TRUE,UNIQUE(FILTER(소재DB_RAW!$N$3:$N$2000,(소재DB_RAW!$G$3:$G$2000=$D252)*ISERROR(SEARCH("drop",소재DB_RAW!$C$3:$C$2000))))),"")</f>
        <v/>
      </c>
      <c r="Y252" s="26">
        <f>IFERROR(TEXTJOIN(CHAR(10),TRUE,UNIQUE(FILTER(소재DB_RAW!$N$3:$N$2000&amp;") "&amp;소재DB_RAW!$O$3:$O$2000,(소재DB_RAW!$G$3:$G$2000=$D252)*ISNUMBER(SEARCH("겉감",소재DB_RAW!$M$3:$M$2000))*ISERROR(SEARCH("drop",소재DB_RAW!$C$3:$C$2000))))),"")</f>
        <v/>
      </c>
      <c r="Z252" s="26">
        <f>IFERROR(TEXTJOIN(CHAR(10),TRUE,UNIQUE(FILTER(소재DB_RAW!$N$3:$N$2000&amp;") "&amp;소재DB_RAW!$O$3:$O$2000,(소재DB_RAW!$G$3:$G$2000=$D252)*ISNUMBER(SEARCH("안감",소재DB_RAW!$M$3:$M$2000))*ISERROR(SEARCH("drop",소재DB_RAW!$C$3:$C$2000))))),"")</f>
        <v/>
      </c>
      <c r="AA252" s="22">
        <f>IFERROR(MAX(FILTER(소재DB_RAW!$AK$3:$AK$2000,(소재DB_RAW!$G$3:$G$2000=$D252)*ISERROR(SEARCH("drop",소재DB_RAW!$C$3:$C$2000))*(소재DB_RAW!$AK$3:$AK$2000&lt;&gt;""))),"")</f>
        <v/>
      </c>
      <c r="AB252" s="27" t="n">
        <v>3500</v>
      </c>
      <c r="AC252" s="27" t="n">
        <v>122696000</v>
      </c>
      <c r="AD252" s="27" t="n">
        <v>553000000</v>
      </c>
      <c r="AE252" s="20" t="inlineStr">
        <is>
          <t>3월2주</t>
        </is>
      </c>
      <c r="AF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G252" s="19">
        <f>IF($K252="","",IF(OR(LEFT($AF252,2)="작지",LEFT($AF252,4)="소재입고"),IF(LEFT($G252,1)="S","★ 납기위험(S코드)","◆ 지연주의"),IF($AF252="정상","✓ 정상","? 확인필요")))</f>
        <v/>
      </c>
      <c r="AH252" s="21" t="n"/>
      <c r="AI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19">
        <f>IF(COUNTIF(EDW_RAW!$A$2:$A$1500,$D253)=0,"",IF(COUNTIFS(EDW_RAW!$A$2:$A$1500,$D253,EDW_RAW!$R$2:$R$1500,"&lt;&gt;~",EDW_RAW!$R$2:$R$1500,"&lt;&gt;")=COUNTIF(EDW_RAW!$A$2:$A$1500,$D253),"O",IF(COUNTIFS(EDW_RAW!$A$2:$A$1500,$D253,EDW_RAW!$R$2:$R$1500,"&lt;&gt;~",EDW_RAW!$R$2:$R$1500,"&lt;&gt;")&gt;0,"부분","X")))</f>
        <v/>
      </c>
      <c r="R253" s="19">
        <f>IF(COUNTIF(EDW_RAW!$A$2:$A$1500,$D253)=0,"",IF(COUNTIFS(EDW_RAW!$A$2:$A$1500,$D253,EDW_RAW!$U$2:$U$1500,"&lt;&gt;~",EDW_RAW!$U$2:$U$1500,"&lt;&gt;")=COUNTIF(EDW_RAW!$A$2:$A$1500,$D253),"O",IF(COUNTIFS(EDW_RAW!$A$2:$A$1500,$D253,EDW_RAW!$U$2:$U$1500,"&lt;&gt;~",EDW_RAW!$U$2:$U$1500,"&lt;&gt;")&gt;0,"부분","X")))</f>
        <v/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",TRUE,UNIQUE(FILTER(소재DB_RAW!$K$3:$K$2000,(소재DB_RAW!$G$3:$G$2000=$D253)*ISERROR(SEARCH("drop",소재DB_RAW!$C$3:$C$2000))))),"")</f>
        <v/>
      </c>
      <c r="W253" s="20" t="inlineStr">
        <is>
          <t>베트남</t>
        </is>
      </c>
      <c r="X253" s="20">
        <f>IFERROR(TEXTJOIN(" / ",TRUE,UNIQUE(FILTER(소재DB_RAW!$N$3:$N$2000,(소재DB_RAW!$G$3:$G$2000=$D253)*ISERROR(SEARCH("drop",소재DB_RAW!$C$3:$C$2000))))),"")</f>
        <v/>
      </c>
      <c r="Y253" s="26">
        <f>IFERROR(TEXTJOIN(CHAR(10),TRUE,UNIQUE(FILTER(소재DB_RAW!$N$3:$N$2000&amp;") "&amp;소재DB_RAW!$O$3:$O$2000,(소재DB_RAW!$G$3:$G$2000=$D253)*ISNUMBER(SEARCH("겉감",소재DB_RAW!$M$3:$M$2000))*ISERROR(SEARCH("drop",소재DB_RAW!$C$3:$C$2000))))),"")</f>
        <v/>
      </c>
      <c r="Z253" s="26">
        <f>IFERROR(TEXTJOIN(CHAR(10),TRUE,UNIQUE(FILTER(소재DB_RAW!$N$3:$N$2000&amp;") "&amp;소재DB_RAW!$O$3:$O$2000,(소재DB_RAW!$G$3:$G$2000=$D253)*ISNUMBER(SEARCH("안감",소재DB_RAW!$M$3:$M$2000))*ISERROR(SEARCH("drop",소재DB_RAW!$C$3:$C$2000))))),"")</f>
        <v/>
      </c>
      <c r="AA253" s="22">
        <f>IFERROR(MAX(FILTER(소재DB_RAW!$AK$3:$AK$2000,(소재DB_RAW!$G$3:$G$2000=$D253)*ISERROR(SEARCH("drop",소재DB_RAW!$C$3:$C$2000))*(소재DB_RAW!$AK$3:$AK$2000&lt;&gt;""))),"")</f>
        <v/>
      </c>
      <c r="AB253" s="27" t="n">
        <v>3000</v>
      </c>
      <c r="AC253" s="27" t="n">
        <v>110343000</v>
      </c>
      <c r="AD253" s="27" t="n">
        <v>534000000</v>
      </c>
      <c r="AE253" s="20" t="inlineStr">
        <is>
          <t>3월2주</t>
        </is>
      </c>
      <c r="AF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G253" s="19">
        <f>IF($K253="","",IF(OR(LEFT($AF253,2)="작지",LEFT($AF253,4)="소재입고"),IF(LEFT($G253,1)="S","★ 납기위험(S코드)","◆ 지연주의"),IF($AF253="정상","✓ 정상","? 확인필요")))</f>
        <v/>
      </c>
      <c r="AH253" s="21" t="n"/>
      <c r="AI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19">
        <f>IF(COUNTIF(EDW_RAW!$A$2:$A$1500,$D254)=0,"",IF(COUNTIFS(EDW_RAW!$A$2:$A$1500,$D254,EDW_RAW!$R$2:$R$1500,"&lt;&gt;~",EDW_RAW!$R$2:$R$1500,"&lt;&gt;")=COUNTIF(EDW_RAW!$A$2:$A$1500,$D254),"O",IF(COUNTIFS(EDW_RAW!$A$2:$A$1500,$D254,EDW_RAW!$R$2:$R$1500,"&lt;&gt;~",EDW_RAW!$R$2:$R$1500,"&lt;&gt;")&gt;0,"부분","X")))</f>
        <v/>
      </c>
      <c r="R254" s="19">
        <f>IF(COUNTIF(EDW_RAW!$A$2:$A$1500,$D254)=0,"",IF(COUNTIFS(EDW_RAW!$A$2:$A$1500,$D254,EDW_RAW!$U$2:$U$1500,"&lt;&gt;~",EDW_RAW!$U$2:$U$1500,"&lt;&gt;")=COUNTIF(EDW_RAW!$A$2:$A$1500,$D254),"O",IF(COUNTIFS(EDW_RAW!$A$2:$A$1500,$D254,EDW_RAW!$U$2:$U$1500,"&lt;&gt;~",EDW_RAW!$U$2:$U$1500,"&lt;&gt;")&gt;0,"부분","X")))</f>
        <v/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",TRUE,UNIQUE(FILTER(소재DB_RAW!$K$3:$K$2000,(소재DB_RAW!$G$3:$G$2000=$D254)*ISERROR(SEARCH("drop",소재DB_RAW!$C$3:$C$2000))))),"")</f>
        <v/>
      </c>
      <c r="W254" s="20" t="inlineStr">
        <is>
          <t>베트남</t>
        </is>
      </c>
      <c r="X254" s="20">
        <f>IFERROR(TEXTJOIN(" / ",TRUE,UNIQUE(FILTER(소재DB_RAW!$N$3:$N$2000,(소재DB_RAW!$G$3:$G$2000=$D254)*ISERROR(SEARCH("drop",소재DB_RAW!$C$3:$C$2000))))),"")</f>
        <v/>
      </c>
      <c r="Y254" s="26">
        <f>IFERROR(TEXTJOIN(CHAR(10),TRUE,UNIQUE(FILTER(소재DB_RAW!$N$3:$N$2000&amp;") "&amp;소재DB_RAW!$O$3:$O$2000,(소재DB_RAW!$G$3:$G$2000=$D254)*ISNUMBER(SEARCH("겉감",소재DB_RAW!$M$3:$M$2000))*ISERROR(SEARCH("drop",소재DB_RAW!$C$3:$C$2000))))),"")</f>
        <v/>
      </c>
      <c r="Z254" s="26">
        <f>IFERROR(TEXTJOIN(CHAR(10),TRUE,UNIQUE(FILTER(소재DB_RAW!$N$3:$N$2000&amp;") "&amp;소재DB_RAW!$O$3:$O$2000,(소재DB_RAW!$G$3:$G$2000=$D254)*ISNUMBER(SEARCH("안감",소재DB_RAW!$M$3:$M$2000))*ISERROR(SEARCH("drop",소재DB_RAW!$C$3:$C$2000))))),"")</f>
        <v/>
      </c>
      <c r="AA254" s="22">
        <f>IFERROR(MAX(FILTER(소재DB_RAW!$AK$3:$AK$2000,(소재DB_RAW!$G$3:$G$2000=$D254)*ISERROR(SEARCH("drop",소재DB_RAW!$C$3:$C$2000))*(소재DB_RAW!$AK$3:$AK$2000&lt;&gt;""))),"")</f>
        <v/>
      </c>
      <c r="AB254" s="27" t="n">
        <v>3000</v>
      </c>
      <c r="AC254" s="27" t="n">
        <v>94791000</v>
      </c>
      <c r="AD254" s="27" t="n">
        <v>474000000</v>
      </c>
      <c r="AE254" s="20" t="n"/>
      <c r="AF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G254" s="19">
        <f>IF($K254="","",IF(OR(LEFT($AF254,2)="작지",LEFT($AF254,4)="소재입고"),IF(LEFT($G254,1)="S","★ 납기위험(S코드)","◆ 지연주의"),IF($AF254="정상","✓ 정상","? 확인필요")))</f>
        <v/>
      </c>
      <c r="AH254" s="21" t="n"/>
      <c r="AI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19">
        <f>IF(COUNTIF(EDW_RAW!$A$2:$A$1500,$D255)=0,"",IF(COUNTIFS(EDW_RAW!$A$2:$A$1500,$D255,EDW_RAW!$R$2:$R$1500,"&lt;&gt;~",EDW_RAW!$R$2:$R$1500,"&lt;&gt;")=COUNTIF(EDW_RAW!$A$2:$A$1500,$D255),"O",IF(COUNTIFS(EDW_RAW!$A$2:$A$1500,$D255,EDW_RAW!$R$2:$R$1500,"&lt;&gt;~",EDW_RAW!$R$2:$R$1500,"&lt;&gt;")&gt;0,"부분","X")))</f>
        <v/>
      </c>
      <c r="R255" s="19">
        <f>IF(COUNTIF(EDW_RAW!$A$2:$A$1500,$D255)=0,"",IF(COUNTIFS(EDW_RAW!$A$2:$A$1500,$D255,EDW_RAW!$U$2:$U$1500,"&lt;&gt;~",EDW_RAW!$U$2:$U$1500,"&lt;&gt;")=COUNTIF(EDW_RAW!$A$2:$A$1500,$D255),"O",IF(COUNTIFS(EDW_RAW!$A$2:$A$1500,$D255,EDW_RAW!$U$2:$U$1500,"&lt;&gt;~",EDW_RAW!$U$2:$U$1500,"&lt;&gt;")&gt;0,"부분","X")))</f>
        <v/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",TRUE,UNIQUE(FILTER(소재DB_RAW!$K$3:$K$2000,(소재DB_RAW!$G$3:$G$2000=$D255)*ISERROR(SEARCH("drop",소재DB_RAW!$C$3:$C$2000))))),"")</f>
        <v/>
      </c>
      <c r="W255" s="20" t="inlineStr">
        <is>
          <t>베트남</t>
        </is>
      </c>
      <c r="X255" s="20">
        <f>IFERROR(TEXTJOIN(" / ",TRUE,UNIQUE(FILTER(소재DB_RAW!$N$3:$N$2000,(소재DB_RAW!$G$3:$G$2000=$D255)*ISERROR(SEARCH("drop",소재DB_RAW!$C$3:$C$2000))))),"")</f>
        <v/>
      </c>
      <c r="Y255" s="26">
        <f>IFERROR(TEXTJOIN(CHAR(10),TRUE,UNIQUE(FILTER(소재DB_RAW!$N$3:$N$2000&amp;") "&amp;소재DB_RAW!$O$3:$O$2000,(소재DB_RAW!$G$3:$G$2000=$D255)*ISNUMBER(SEARCH("겉감",소재DB_RAW!$M$3:$M$2000))*ISERROR(SEARCH("drop",소재DB_RAW!$C$3:$C$2000))))),"")</f>
        <v/>
      </c>
      <c r="Z255" s="26">
        <f>IFERROR(TEXTJOIN(CHAR(10),TRUE,UNIQUE(FILTER(소재DB_RAW!$N$3:$N$2000&amp;") "&amp;소재DB_RAW!$O$3:$O$2000,(소재DB_RAW!$G$3:$G$2000=$D255)*ISNUMBER(SEARCH("안감",소재DB_RAW!$M$3:$M$2000))*ISERROR(SEARCH("drop",소재DB_RAW!$C$3:$C$2000))))),"")</f>
        <v/>
      </c>
      <c r="AA255" s="22">
        <f>IFERROR(MAX(FILTER(소재DB_RAW!$AK$3:$AK$2000,(소재DB_RAW!$G$3:$G$2000=$D255)*ISERROR(SEARCH("drop",소재DB_RAW!$C$3:$C$2000))*(소재DB_RAW!$AK$3:$AK$2000&lt;&gt;""))),"")</f>
        <v/>
      </c>
      <c r="AB255" s="27" t="n">
        <v>5500</v>
      </c>
      <c r="AC255" s="27" t="n">
        <v>127193000</v>
      </c>
      <c r="AD255" s="27" t="n">
        <v>649000000</v>
      </c>
      <c r="AE255" s="20" t="inlineStr">
        <is>
          <t>3월2주</t>
        </is>
      </c>
      <c r="AF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G255" s="19">
        <f>IF($K255="","",IF(OR(LEFT($AF255,2)="작지",LEFT($AF255,4)="소재입고"),IF(LEFT($G255,1)="S","★ 납기위험(S코드)","◆ 지연주의"),IF($AF255="정상","✓ 정상","? 확인필요")))</f>
        <v/>
      </c>
      <c r="AH255" s="21" t="n"/>
      <c r="AI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19">
        <f>IF(COUNTIF(EDW_RAW!$A$2:$A$1500,$D256)=0,"",IF(COUNTIFS(EDW_RAW!$A$2:$A$1500,$D256,EDW_RAW!$R$2:$R$1500,"&lt;&gt;~",EDW_RAW!$R$2:$R$1500,"&lt;&gt;")=COUNTIF(EDW_RAW!$A$2:$A$1500,$D256),"O",IF(COUNTIFS(EDW_RAW!$A$2:$A$1500,$D256,EDW_RAW!$R$2:$R$1500,"&lt;&gt;~",EDW_RAW!$R$2:$R$1500,"&lt;&gt;")&gt;0,"부분","X")))</f>
        <v/>
      </c>
      <c r="R256" s="19">
        <f>IF(COUNTIF(EDW_RAW!$A$2:$A$1500,$D256)=0,"",IF(COUNTIFS(EDW_RAW!$A$2:$A$1500,$D256,EDW_RAW!$U$2:$U$1500,"&lt;&gt;~",EDW_RAW!$U$2:$U$1500,"&lt;&gt;")=COUNTIF(EDW_RAW!$A$2:$A$1500,$D256),"O",IF(COUNTIFS(EDW_RAW!$A$2:$A$1500,$D256,EDW_RAW!$U$2:$U$1500,"&lt;&gt;~",EDW_RAW!$U$2:$U$1500,"&lt;&gt;")&gt;0,"부분","X")))</f>
        <v/>
      </c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",TRUE,UNIQUE(FILTER(소재DB_RAW!$K$3:$K$2000,(소재DB_RAW!$G$3:$G$2000=$D256)*ISERROR(SEARCH("drop",소재DB_RAW!$C$3:$C$2000))))),"")</f>
        <v/>
      </c>
      <c r="W256" s="20" t="inlineStr"/>
      <c r="X256" s="20">
        <f>IFERROR(TEXTJOIN(" / ",TRUE,UNIQUE(FILTER(소재DB_RAW!$N$3:$N$2000,(소재DB_RAW!$G$3:$G$2000=$D256)*ISERROR(SEARCH("drop",소재DB_RAW!$C$3:$C$2000))))),"")</f>
        <v/>
      </c>
      <c r="Y256" s="26">
        <f>IFERROR(TEXTJOIN(CHAR(10),TRUE,UNIQUE(FILTER(소재DB_RAW!$N$3:$N$2000&amp;") "&amp;소재DB_RAW!$O$3:$O$2000,(소재DB_RAW!$G$3:$G$2000=$D256)*ISNUMBER(SEARCH("겉감",소재DB_RAW!$M$3:$M$2000))*ISERROR(SEARCH("drop",소재DB_RAW!$C$3:$C$2000))))),"")</f>
        <v/>
      </c>
      <c r="Z256" s="26">
        <f>IFERROR(TEXTJOIN(CHAR(10),TRUE,UNIQUE(FILTER(소재DB_RAW!$N$3:$N$2000&amp;") "&amp;소재DB_RAW!$O$3:$O$2000,(소재DB_RAW!$G$3:$G$2000=$D256)*ISNUMBER(SEARCH("안감",소재DB_RAW!$M$3:$M$2000))*ISERROR(SEARCH("drop",소재DB_RAW!$C$3:$C$2000))))),"")</f>
        <v/>
      </c>
      <c r="AA256" s="22">
        <f>IFERROR(MAX(FILTER(소재DB_RAW!$AK$3:$AK$2000,(소재DB_RAW!$G$3:$G$2000=$D256)*ISERROR(SEARCH("drop",소재DB_RAW!$C$3:$C$2000))*(소재DB_RAW!$AK$3:$AK$2000&lt;&gt;""))),"")</f>
        <v/>
      </c>
      <c r="AB256" s="27" t="n">
        <v>1500</v>
      </c>
      <c r="AC256" s="27" t="n">
        <v>31500000</v>
      </c>
      <c r="AD256" s="27" t="n">
        <v>177000000</v>
      </c>
      <c r="AE256" s="20" t="n"/>
      <c r="AF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G256" s="19">
        <f>IF($K256="","",IF(OR(LEFT($AF256,2)="작지",LEFT($AF256,4)="소재입고"),IF(LEFT($G256,1)="S","★ 납기위험(S코드)","◆ 지연주의"),IF($AF256="정상","✓ 정상","? 확인필요")))</f>
        <v/>
      </c>
      <c r="AH256" s="21" t="n"/>
      <c r="AI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19">
        <f>IF(COUNTIF(EDW_RAW!$A$2:$A$1500,$D257)=0,"",IF(COUNTIFS(EDW_RAW!$A$2:$A$1500,$D257,EDW_RAW!$R$2:$R$1500,"&lt;&gt;~",EDW_RAW!$R$2:$R$1500,"&lt;&gt;")=COUNTIF(EDW_RAW!$A$2:$A$1500,$D257),"O",IF(COUNTIFS(EDW_RAW!$A$2:$A$1500,$D257,EDW_RAW!$R$2:$R$1500,"&lt;&gt;~",EDW_RAW!$R$2:$R$1500,"&lt;&gt;")&gt;0,"부분","X")))</f>
        <v/>
      </c>
      <c r="R257" s="19">
        <f>IF(COUNTIF(EDW_RAW!$A$2:$A$1500,$D257)=0,"",IF(COUNTIFS(EDW_RAW!$A$2:$A$1500,$D257,EDW_RAW!$U$2:$U$1500,"&lt;&gt;~",EDW_RAW!$U$2:$U$1500,"&lt;&gt;")=COUNTIF(EDW_RAW!$A$2:$A$1500,$D257),"O",IF(COUNTIFS(EDW_RAW!$A$2:$A$1500,$D257,EDW_RAW!$U$2:$U$1500,"&lt;&gt;~",EDW_RAW!$U$2:$U$1500,"&lt;&gt;")&gt;0,"부분","X")))</f>
        <v/>
      </c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",TRUE,UNIQUE(FILTER(소재DB_RAW!$K$3:$K$2000,(소재DB_RAW!$G$3:$G$2000=$D257)*ISERROR(SEARCH("drop",소재DB_RAW!$C$3:$C$2000))))),"")</f>
        <v/>
      </c>
      <c r="W257" s="20" t="inlineStr"/>
      <c r="X257" s="20">
        <f>IFERROR(TEXTJOIN(" / ",TRUE,UNIQUE(FILTER(소재DB_RAW!$N$3:$N$2000,(소재DB_RAW!$G$3:$G$2000=$D257)*ISERROR(SEARCH("drop",소재DB_RAW!$C$3:$C$2000))))),"")</f>
        <v/>
      </c>
      <c r="Y257" s="26">
        <f>IFERROR(TEXTJOIN(CHAR(10),TRUE,UNIQUE(FILTER(소재DB_RAW!$N$3:$N$2000&amp;") "&amp;소재DB_RAW!$O$3:$O$2000,(소재DB_RAW!$G$3:$G$2000=$D257)*ISNUMBER(SEARCH("겉감",소재DB_RAW!$M$3:$M$2000))*ISERROR(SEARCH("drop",소재DB_RAW!$C$3:$C$2000))))),"")</f>
        <v/>
      </c>
      <c r="Z257" s="26">
        <f>IFERROR(TEXTJOIN(CHAR(10),TRUE,UNIQUE(FILTER(소재DB_RAW!$N$3:$N$2000&amp;") "&amp;소재DB_RAW!$O$3:$O$2000,(소재DB_RAW!$G$3:$G$2000=$D257)*ISNUMBER(SEARCH("안감",소재DB_RAW!$M$3:$M$2000))*ISERROR(SEARCH("drop",소재DB_RAW!$C$3:$C$2000))))),"")</f>
        <v/>
      </c>
      <c r="AA257" s="22">
        <f>IFERROR(MAX(FILTER(소재DB_RAW!$AK$3:$AK$2000,(소재DB_RAW!$G$3:$G$2000=$D257)*ISERROR(SEARCH("drop",소재DB_RAW!$C$3:$C$2000))*(소재DB_RAW!$AK$3:$AK$2000&lt;&gt;""))),"")</f>
        <v/>
      </c>
      <c r="AB257" s="27" t="n">
        <v>2000</v>
      </c>
      <c r="AC257" s="27" t="n">
        <v>46000000</v>
      </c>
      <c r="AD257" s="27" t="n">
        <v>256000000</v>
      </c>
      <c r="AE257" s="20" t="n"/>
      <c r="AF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G257" s="19">
        <f>IF($K257="","",IF(OR(LEFT($AF257,2)="작지",LEFT($AF257,4)="소재입고"),IF(LEFT($G257,1)="S","★ 납기위험(S코드)","◆ 지연주의"),IF($AF257="정상","✓ 정상","? 확인필요")))</f>
        <v/>
      </c>
      <c r="AH257" s="21" t="n"/>
      <c r="AI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19">
        <f>IF(COUNTIF(EDW_RAW!$A$2:$A$1500,$D258)=0,"",IF(COUNTIFS(EDW_RAW!$A$2:$A$1500,$D258,EDW_RAW!$R$2:$R$1500,"&lt;&gt;~",EDW_RAW!$R$2:$R$1500,"&lt;&gt;")=COUNTIF(EDW_RAW!$A$2:$A$1500,$D258),"O",IF(COUNTIFS(EDW_RAW!$A$2:$A$1500,$D258,EDW_RAW!$R$2:$R$1500,"&lt;&gt;~",EDW_RAW!$R$2:$R$1500,"&lt;&gt;")&gt;0,"부분","X")))</f>
        <v/>
      </c>
      <c r="R258" s="19">
        <f>IF(COUNTIF(EDW_RAW!$A$2:$A$1500,$D258)=0,"",IF(COUNTIFS(EDW_RAW!$A$2:$A$1500,$D258,EDW_RAW!$U$2:$U$1500,"&lt;&gt;~",EDW_RAW!$U$2:$U$1500,"&lt;&gt;")=COUNTIF(EDW_RAW!$A$2:$A$1500,$D258),"O",IF(COUNTIFS(EDW_RAW!$A$2:$A$1500,$D258,EDW_RAW!$U$2:$U$1500,"&lt;&gt;~",EDW_RAW!$U$2:$U$1500,"&lt;&gt;")&gt;0,"부분","X")))</f>
        <v/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",TRUE,UNIQUE(FILTER(소재DB_RAW!$K$3:$K$2000,(소재DB_RAW!$G$3:$G$2000=$D258)*ISERROR(SEARCH("drop",소재DB_RAW!$C$3:$C$2000))))),"")</f>
        <v/>
      </c>
      <c r="W258" s="20" t="inlineStr">
        <is>
          <t>베트남</t>
        </is>
      </c>
      <c r="X258" s="20">
        <f>IFERROR(TEXTJOIN(" / ",TRUE,UNIQUE(FILTER(소재DB_RAW!$N$3:$N$2000,(소재DB_RAW!$G$3:$G$2000=$D258)*ISERROR(SEARCH("drop",소재DB_RAW!$C$3:$C$2000))))),"")</f>
        <v/>
      </c>
      <c r="Y258" s="26">
        <f>IFERROR(TEXTJOIN(CHAR(10),TRUE,UNIQUE(FILTER(소재DB_RAW!$N$3:$N$2000&amp;") "&amp;소재DB_RAW!$O$3:$O$2000,(소재DB_RAW!$G$3:$G$2000=$D258)*ISNUMBER(SEARCH("겉감",소재DB_RAW!$M$3:$M$2000))*ISERROR(SEARCH("drop",소재DB_RAW!$C$3:$C$2000))))),"")</f>
        <v/>
      </c>
      <c r="Z258" s="26">
        <f>IFERROR(TEXTJOIN(CHAR(10),TRUE,UNIQUE(FILTER(소재DB_RAW!$N$3:$N$2000&amp;") "&amp;소재DB_RAW!$O$3:$O$2000,(소재DB_RAW!$G$3:$G$2000=$D258)*ISNUMBER(SEARCH("안감",소재DB_RAW!$M$3:$M$2000))*ISERROR(SEARCH("drop",소재DB_RAW!$C$3:$C$2000))))),"")</f>
        <v/>
      </c>
      <c r="AA258" s="22">
        <f>IFERROR(MAX(FILTER(소재DB_RAW!$AK$3:$AK$2000,(소재DB_RAW!$G$3:$G$2000=$D258)*ISERROR(SEARCH("drop",소재DB_RAW!$C$3:$C$2000))*(소재DB_RAW!$AK$3:$AK$2000&lt;&gt;""))),"")</f>
        <v/>
      </c>
      <c r="AB258" s="27" t="n">
        <v>2500</v>
      </c>
      <c r="AC258" s="27" t="n">
        <v>82302500</v>
      </c>
      <c r="AD258" s="27" t="n">
        <v>420000000</v>
      </c>
      <c r="AE258" s="20" t="n"/>
      <c r="AF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G258" s="19">
        <f>IF($K258="","",IF(OR(LEFT($AF258,2)="작지",LEFT($AF258,4)="소재입고"),IF(LEFT($G258,1)="S","★ 납기위험(S코드)","◆ 지연주의"),IF($AF258="정상","✓ 정상","? 확인필요")))</f>
        <v/>
      </c>
      <c r="AH258" s="21" t="n"/>
      <c r="AI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19">
        <f>IF(COUNTIF(EDW_RAW!$A$2:$A$1500,$D259)=0,"",IF(COUNTIFS(EDW_RAW!$A$2:$A$1500,$D259,EDW_RAW!$R$2:$R$1500,"&lt;&gt;~",EDW_RAW!$R$2:$R$1500,"&lt;&gt;")=COUNTIF(EDW_RAW!$A$2:$A$1500,$D259),"O",IF(COUNTIFS(EDW_RAW!$A$2:$A$1500,$D259,EDW_RAW!$R$2:$R$1500,"&lt;&gt;~",EDW_RAW!$R$2:$R$1500,"&lt;&gt;")&gt;0,"부분","X")))</f>
        <v/>
      </c>
      <c r="R259" s="19">
        <f>IF(COUNTIF(EDW_RAW!$A$2:$A$1500,$D259)=0,"",IF(COUNTIFS(EDW_RAW!$A$2:$A$1500,$D259,EDW_RAW!$U$2:$U$1500,"&lt;&gt;~",EDW_RAW!$U$2:$U$1500,"&lt;&gt;")=COUNTIF(EDW_RAW!$A$2:$A$1500,$D259),"O",IF(COUNTIFS(EDW_RAW!$A$2:$A$1500,$D259,EDW_RAW!$U$2:$U$1500,"&lt;&gt;~",EDW_RAW!$U$2:$U$1500,"&lt;&gt;")&gt;0,"부분","X")))</f>
        <v/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",TRUE,UNIQUE(FILTER(소재DB_RAW!$K$3:$K$2000,(소재DB_RAW!$G$3:$G$2000=$D259)*ISERROR(SEARCH("drop",소재DB_RAW!$C$3:$C$2000))))),"")</f>
        <v/>
      </c>
      <c r="W259" s="20" t="inlineStr">
        <is>
          <t>인도네시아</t>
        </is>
      </c>
      <c r="X259" s="20">
        <f>IFERROR(TEXTJOIN(" / ",TRUE,UNIQUE(FILTER(소재DB_RAW!$N$3:$N$2000,(소재DB_RAW!$G$3:$G$2000=$D259)*ISERROR(SEARCH("drop",소재DB_RAW!$C$3:$C$2000))))),"")</f>
        <v/>
      </c>
      <c r="Y259" s="26">
        <f>IFERROR(TEXTJOIN(CHAR(10),TRUE,UNIQUE(FILTER(소재DB_RAW!$N$3:$N$2000&amp;") "&amp;소재DB_RAW!$O$3:$O$2000,(소재DB_RAW!$G$3:$G$2000=$D259)*ISNUMBER(SEARCH("겉감",소재DB_RAW!$M$3:$M$2000))*ISERROR(SEARCH("drop",소재DB_RAW!$C$3:$C$2000))))),"")</f>
        <v/>
      </c>
      <c r="Z259" s="26">
        <f>IFERROR(TEXTJOIN(CHAR(10),TRUE,UNIQUE(FILTER(소재DB_RAW!$N$3:$N$2000&amp;") "&amp;소재DB_RAW!$O$3:$O$2000,(소재DB_RAW!$G$3:$G$2000=$D259)*ISNUMBER(SEARCH("안감",소재DB_RAW!$M$3:$M$2000))*ISERROR(SEARCH("drop",소재DB_RAW!$C$3:$C$2000))))),"")</f>
        <v/>
      </c>
      <c r="AA259" s="22">
        <f>IFERROR(MAX(FILTER(소재DB_RAW!$AK$3:$AK$2000,(소재DB_RAW!$G$3:$G$2000=$D259)*ISERROR(SEARCH("drop",소재DB_RAW!$C$3:$C$2000))*(소재DB_RAW!$AK$3:$AK$2000&lt;&gt;""))),"")</f>
        <v/>
      </c>
      <c r="AB259" s="27" t="n">
        <v>3000</v>
      </c>
      <c r="AC259" s="27" t="n">
        <v>56277000</v>
      </c>
      <c r="AD259" s="27" t="n">
        <v>354000000</v>
      </c>
      <c r="AE259" s="20" t="inlineStr">
        <is>
          <t>44511</t>
        </is>
      </c>
      <c r="AF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G259" s="19">
        <f>IF($K259="","",IF(OR(LEFT($AF259,2)="작지",LEFT($AF259,4)="소재입고"),IF(LEFT($G259,1)="S","★ 납기위험(S코드)","◆ 지연주의"),IF($AF259="정상","✓ 정상","? 확인필요")))</f>
        <v/>
      </c>
      <c r="AH259" s="21" t="n"/>
      <c r="AI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19">
        <f>IF(COUNTIF(EDW_RAW!$A$2:$A$1500,$D260)=0,"",IF(COUNTIFS(EDW_RAW!$A$2:$A$1500,$D260,EDW_RAW!$R$2:$R$1500,"&lt;&gt;~",EDW_RAW!$R$2:$R$1500,"&lt;&gt;")=COUNTIF(EDW_RAW!$A$2:$A$1500,$D260),"O",IF(COUNTIFS(EDW_RAW!$A$2:$A$1500,$D260,EDW_RAW!$R$2:$R$1500,"&lt;&gt;~",EDW_RAW!$R$2:$R$1500,"&lt;&gt;")&gt;0,"부분","X")))</f>
        <v/>
      </c>
      <c r="R260" s="19">
        <f>IF(COUNTIF(EDW_RAW!$A$2:$A$1500,$D260)=0,"",IF(COUNTIFS(EDW_RAW!$A$2:$A$1500,$D260,EDW_RAW!$U$2:$U$1500,"&lt;&gt;~",EDW_RAW!$U$2:$U$1500,"&lt;&gt;")=COUNTIF(EDW_RAW!$A$2:$A$1500,$D260),"O",IF(COUNTIFS(EDW_RAW!$A$2:$A$1500,$D260,EDW_RAW!$U$2:$U$1500,"&lt;&gt;~",EDW_RAW!$U$2:$U$1500,"&lt;&gt;")&gt;0,"부분","X")))</f>
        <v/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",TRUE,UNIQUE(FILTER(소재DB_RAW!$K$3:$K$2000,(소재DB_RAW!$G$3:$G$2000=$D260)*ISERROR(SEARCH("drop",소재DB_RAW!$C$3:$C$2000))))),"")</f>
        <v/>
      </c>
      <c r="W260" s="20" t="inlineStr">
        <is>
          <t>베트남</t>
        </is>
      </c>
      <c r="X260" s="20">
        <f>IFERROR(TEXTJOIN(" / ",TRUE,UNIQUE(FILTER(소재DB_RAW!$N$3:$N$2000,(소재DB_RAW!$G$3:$G$2000=$D260)*ISERROR(SEARCH("drop",소재DB_RAW!$C$3:$C$2000))))),"")</f>
        <v/>
      </c>
      <c r="Y260" s="26">
        <f>IFERROR(TEXTJOIN(CHAR(10),TRUE,UNIQUE(FILTER(소재DB_RAW!$N$3:$N$2000&amp;") "&amp;소재DB_RAW!$O$3:$O$2000,(소재DB_RAW!$G$3:$G$2000=$D260)*ISNUMBER(SEARCH("겉감",소재DB_RAW!$M$3:$M$2000))*ISERROR(SEARCH("drop",소재DB_RAW!$C$3:$C$2000))))),"")</f>
        <v/>
      </c>
      <c r="Z260" s="26">
        <f>IFERROR(TEXTJOIN(CHAR(10),TRUE,UNIQUE(FILTER(소재DB_RAW!$N$3:$N$2000&amp;") "&amp;소재DB_RAW!$O$3:$O$2000,(소재DB_RAW!$G$3:$G$2000=$D260)*ISNUMBER(SEARCH("안감",소재DB_RAW!$M$3:$M$2000))*ISERROR(SEARCH("drop",소재DB_RAW!$C$3:$C$2000))))),"")</f>
        <v/>
      </c>
      <c r="AA260" s="22">
        <f>IFERROR(MAX(FILTER(소재DB_RAW!$AK$3:$AK$2000,(소재DB_RAW!$G$3:$G$2000=$D260)*ISERROR(SEARCH("drop",소재DB_RAW!$C$3:$C$2000))*(소재DB_RAW!$AK$3:$AK$2000&lt;&gt;""))),"")</f>
        <v/>
      </c>
      <c r="AB260" s="27" t="n">
        <v>4000</v>
      </c>
      <c r="AC260" s="27" t="n">
        <v>173964000</v>
      </c>
      <c r="AD260" s="27" t="n">
        <v>880000000</v>
      </c>
      <c r="AE260" s="20" t="inlineStr">
        <is>
          <t>3월4주</t>
        </is>
      </c>
      <c r="AF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G260" s="19">
        <f>IF($K260="","",IF(OR(LEFT($AF260,2)="작지",LEFT($AF260,4)="소재입고"),IF(LEFT($G260,1)="S","★ 납기위험(S코드)","◆ 지연주의"),IF($AF260="정상","✓ 정상","? 확인필요")))</f>
        <v/>
      </c>
      <c r="AH260" s="21" t="n"/>
      <c r="AI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19">
        <f>IF(COUNTIF(EDW_RAW!$A$2:$A$1500,$D261)=0,"",IF(COUNTIFS(EDW_RAW!$A$2:$A$1500,$D261,EDW_RAW!$R$2:$R$1500,"&lt;&gt;~",EDW_RAW!$R$2:$R$1500,"&lt;&gt;")=COUNTIF(EDW_RAW!$A$2:$A$1500,$D261),"O",IF(COUNTIFS(EDW_RAW!$A$2:$A$1500,$D261,EDW_RAW!$R$2:$R$1500,"&lt;&gt;~",EDW_RAW!$R$2:$R$1500,"&lt;&gt;")&gt;0,"부분","X")))</f>
        <v/>
      </c>
      <c r="R261" s="19">
        <f>IF(COUNTIF(EDW_RAW!$A$2:$A$1500,$D261)=0,"",IF(COUNTIFS(EDW_RAW!$A$2:$A$1500,$D261,EDW_RAW!$U$2:$U$1500,"&lt;&gt;~",EDW_RAW!$U$2:$U$1500,"&lt;&gt;")=COUNTIF(EDW_RAW!$A$2:$A$1500,$D261),"O",IF(COUNTIFS(EDW_RAW!$A$2:$A$1500,$D261,EDW_RAW!$U$2:$U$1500,"&lt;&gt;~",EDW_RAW!$U$2:$U$1500,"&lt;&gt;")&gt;0,"부분","X")))</f>
        <v/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",TRUE,UNIQUE(FILTER(소재DB_RAW!$K$3:$K$2000,(소재DB_RAW!$G$3:$G$2000=$D261)*ISERROR(SEARCH("drop",소재DB_RAW!$C$3:$C$2000))))),"")</f>
        <v/>
      </c>
      <c r="W261" s="20" t="inlineStr">
        <is>
          <t>베트남</t>
        </is>
      </c>
      <c r="X261" s="20">
        <f>IFERROR(TEXTJOIN(" / ",TRUE,UNIQUE(FILTER(소재DB_RAW!$N$3:$N$2000,(소재DB_RAW!$G$3:$G$2000=$D261)*ISERROR(SEARCH("drop",소재DB_RAW!$C$3:$C$2000))))),"")</f>
        <v/>
      </c>
      <c r="Y261" s="26">
        <f>IFERROR(TEXTJOIN(CHAR(10),TRUE,UNIQUE(FILTER(소재DB_RAW!$N$3:$N$2000&amp;") "&amp;소재DB_RAW!$O$3:$O$2000,(소재DB_RAW!$G$3:$G$2000=$D261)*ISNUMBER(SEARCH("겉감",소재DB_RAW!$M$3:$M$2000))*ISERROR(SEARCH("drop",소재DB_RAW!$C$3:$C$2000))))),"")</f>
        <v/>
      </c>
      <c r="Z261" s="26">
        <f>IFERROR(TEXTJOIN(CHAR(10),TRUE,UNIQUE(FILTER(소재DB_RAW!$N$3:$N$2000&amp;") "&amp;소재DB_RAW!$O$3:$O$2000,(소재DB_RAW!$G$3:$G$2000=$D261)*ISNUMBER(SEARCH("안감",소재DB_RAW!$M$3:$M$2000))*ISERROR(SEARCH("drop",소재DB_RAW!$C$3:$C$2000))))),"")</f>
        <v/>
      </c>
      <c r="AA261" s="22">
        <f>IFERROR(MAX(FILTER(소재DB_RAW!$AK$3:$AK$2000,(소재DB_RAW!$G$3:$G$2000=$D261)*ISERROR(SEARCH("drop",소재DB_RAW!$C$3:$C$2000))*(소재DB_RAW!$AK$3:$AK$2000&lt;&gt;""))),"")</f>
        <v/>
      </c>
      <c r="AB261" s="27" t="n">
        <v>1800</v>
      </c>
      <c r="AC261" s="27" t="n">
        <v>118872000</v>
      </c>
      <c r="AD261" s="27" t="n">
        <v>630000000</v>
      </c>
      <c r="AE261" s="20" t="inlineStr">
        <is>
          <t>3월4주</t>
        </is>
      </c>
      <c r="AF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G261" s="19">
        <f>IF($K261="","",IF(OR(LEFT($AF261,2)="작지",LEFT($AF261,4)="소재입고"),IF(LEFT($G261,1)="S","★ 납기위험(S코드)","◆ 지연주의"),IF($AF261="정상","✓ 정상","? 확인필요")))</f>
        <v/>
      </c>
      <c r="AH261" s="21" t="n"/>
      <c r="AI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19">
        <f>IF(COUNTIF(EDW_RAW!$A$2:$A$1500,$D262)=0,"",IF(COUNTIFS(EDW_RAW!$A$2:$A$1500,$D262,EDW_RAW!$R$2:$R$1500,"&lt;&gt;~",EDW_RAW!$R$2:$R$1500,"&lt;&gt;")=COUNTIF(EDW_RAW!$A$2:$A$1500,$D262),"O",IF(COUNTIFS(EDW_RAW!$A$2:$A$1500,$D262,EDW_RAW!$R$2:$R$1500,"&lt;&gt;~",EDW_RAW!$R$2:$R$1500,"&lt;&gt;")&gt;0,"부분","X")))</f>
        <v/>
      </c>
      <c r="R262" s="19">
        <f>IF(COUNTIF(EDW_RAW!$A$2:$A$1500,$D262)=0,"",IF(COUNTIFS(EDW_RAW!$A$2:$A$1500,$D262,EDW_RAW!$U$2:$U$1500,"&lt;&gt;~",EDW_RAW!$U$2:$U$1500,"&lt;&gt;")=COUNTIF(EDW_RAW!$A$2:$A$1500,$D262),"O",IF(COUNTIFS(EDW_RAW!$A$2:$A$1500,$D262,EDW_RAW!$U$2:$U$1500,"&lt;&gt;~",EDW_RAW!$U$2:$U$1500,"&lt;&gt;")&gt;0,"부분","X")))</f>
        <v/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",TRUE,UNIQUE(FILTER(소재DB_RAW!$K$3:$K$2000,(소재DB_RAW!$G$3:$G$2000=$D262)*ISERROR(SEARCH("drop",소재DB_RAW!$C$3:$C$2000))))),"")</f>
        <v/>
      </c>
      <c r="W262" s="20" t="inlineStr">
        <is>
          <t>베트남</t>
        </is>
      </c>
      <c r="X262" s="20">
        <f>IFERROR(TEXTJOIN(" / ",TRUE,UNIQUE(FILTER(소재DB_RAW!$N$3:$N$2000,(소재DB_RAW!$G$3:$G$2000=$D262)*ISERROR(SEARCH("drop",소재DB_RAW!$C$3:$C$2000))))),"")</f>
        <v/>
      </c>
      <c r="Y262" s="26">
        <f>IFERROR(TEXTJOIN(CHAR(10),TRUE,UNIQUE(FILTER(소재DB_RAW!$N$3:$N$2000&amp;") "&amp;소재DB_RAW!$O$3:$O$2000,(소재DB_RAW!$G$3:$G$2000=$D262)*ISNUMBER(SEARCH("겉감",소재DB_RAW!$M$3:$M$2000))*ISERROR(SEARCH("drop",소재DB_RAW!$C$3:$C$2000))))),"")</f>
        <v/>
      </c>
      <c r="Z262" s="26">
        <f>IFERROR(TEXTJOIN(CHAR(10),TRUE,UNIQUE(FILTER(소재DB_RAW!$N$3:$N$2000&amp;") "&amp;소재DB_RAW!$O$3:$O$2000,(소재DB_RAW!$G$3:$G$2000=$D262)*ISNUMBER(SEARCH("안감",소재DB_RAW!$M$3:$M$2000))*ISERROR(SEARCH("drop",소재DB_RAW!$C$3:$C$2000))))),"")</f>
        <v/>
      </c>
      <c r="AA262" s="22">
        <f>IFERROR(MAX(FILTER(소재DB_RAW!$AK$3:$AK$2000,(소재DB_RAW!$G$3:$G$2000=$D262)*ISERROR(SEARCH("drop",소재DB_RAW!$C$3:$C$2000))*(소재DB_RAW!$AK$3:$AK$2000&lt;&gt;""))),"")</f>
        <v/>
      </c>
      <c r="AB262" s="27" t="n">
        <v>3000</v>
      </c>
      <c r="AC262" s="27" t="n">
        <v>119295000</v>
      </c>
      <c r="AD262" s="27" t="n">
        <v>594000000</v>
      </c>
      <c r="AE262" s="20" t="inlineStr">
        <is>
          <t>3월4주</t>
        </is>
      </c>
      <c r="AF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G262" s="19">
        <f>IF($K262="","",IF(OR(LEFT($AF262,2)="작지",LEFT($AF262,4)="소재입고"),IF(LEFT($G262,1)="S","★ 납기위험(S코드)","◆ 지연주의"),IF($AF262="정상","✓ 정상","? 확인필요")))</f>
        <v/>
      </c>
      <c r="AH262" s="21" t="n"/>
      <c r="AI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19">
        <f>IF(COUNTIF(EDW_RAW!$A$2:$A$1500,$D263)=0,"",IF(COUNTIFS(EDW_RAW!$A$2:$A$1500,$D263,EDW_RAW!$R$2:$R$1500,"&lt;&gt;~",EDW_RAW!$R$2:$R$1500,"&lt;&gt;")=COUNTIF(EDW_RAW!$A$2:$A$1500,$D263),"O",IF(COUNTIFS(EDW_RAW!$A$2:$A$1500,$D263,EDW_RAW!$R$2:$R$1500,"&lt;&gt;~",EDW_RAW!$R$2:$R$1500,"&lt;&gt;")&gt;0,"부분","X")))</f>
        <v/>
      </c>
      <c r="R263" s="19">
        <f>IF(COUNTIF(EDW_RAW!$A$2:$A$1500,$D263)=0,"",IF(COUNTIFS(EDW_RAW!$A$2:$A$1500,$D263,EDW_RAW!$U$2:$U$1500,"&lt;&gt;~",EDW_RAW!$U$2:$U$1500,"&lt;&gt;")=COUNTIF(EDW_RAW!$A$2:$A$1500,$D263),"O",IF(COUNTIFS(EDW_RAW!$A$2:$A$1500,$D263,EDW_RAW!$U$2:$U$1500,"&lt;&gt;~",EDW_RAW!$U$2:$U$1500,"&lt;&gt;")&gt;0,"부분","X")))</f>
        <v/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",TRUE,UNIQUE(FILTER(소재DB_RAW!$K$3:$K$2000,(소재DB_RAW!$G$3:$G$2000=$D263)*ISERROR(SEARCH("drop",소재DB_RAW!$C$3:$C$2000))))),"")</f>
        <v/>
      </c>
      <c r="W263" s="20" t="inlineStr">
        <is>
          <t>베트남</t>
        </is>
      </c>
      <c r="X263" s="20">
        <f>IFERROR(TEXTJOIN(" / ",TRUE,UNIQUE(FILTER(소재DB_RAW!$N$3:$N$2000,(소재DB_RAW!$G$3:$G$2000=$D263)*ISERROR(SEARCH("drop",소재DB_RAW!$C$3:$C$2000))))),"")</f>
        <v/>
      </c>
      <c r="Y263" s="26">
        <f>IFERROR(TEXTJOIN(CHAR(10),TRUE,UNIQUE(FILTER(소재DB_RAW!$N$3:$N$2000&amp;") "&amp;소재DB_RAW!$O$3:$O$2000,(소재DB_RAW!$G$3:$G$2000=$D263)*ISNUMBER(SEARCH("겉감",소재DB_RAW!$M$3:$M$2000))*ISERROR(SEARCH("drop",소재DB_RAW!$C$3:$C$2000))))),"")</f>
        <v/>
      </c>
      <c r="Z263" s="26">
        <f>IFERROR(TEXTJOIN(CHAR(10),TRUE,UNIQUE(FILTER(소재DB_RAW!$N$3:$N$2000&amp;") "&amp;소재DB_RAW!$O$3:$O$2000,(소재DB_RAW!$G$3:$G$2000=$D263)*ISNUMBER(SEARCH("안감",소재DB_RAW!$M$3:$M$2000))*ISERROR(SEARCH("drop",소재DB_RAW!$C$3:$C$2000))))),"")</f>
        <v/>
      </c>
      <c r="AA263" s="22">
        <f>IFERROR(MAX(FILTER(소재DB_RAW!$AK$3:$AK$2000,(소재DB_RAW!$G$3:$G$2000=$D263)*ISERROR(SEARCH("drop",소재DB_RAW!$C$3:$C$2000))*(소재DB_RAW!$AK$3:$AK$2000&lt;&gt;""))),"")</f>
        <v/>
      </c>
      <c r="AB263" s="27" t="n">
        <v>1800</v>
      </c>
      <c r="AC263" s="27" t="n">
        <v>68529600</v>
      </c>
      <c r="AD263" s="27" t="n">
        <v>356400000</v>
      </c>
      <c r="AE263" s="20" t="inlineStr">
        <is>
          <t>3월4주</t>
        </is>
      </c>
      <c r="AF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G263" s="19">
        <f>IF($K263="","",IF(OR(LEFT($AF263,2)="작지",LEFT($AF263,4)="소재입고"),IF(LEFT($G263,1)="S","★ 납기위험(S코드)","◆ 지연주의"),IF($AF263="정상","✓ 정상","? 확인필요")))</f>
        <v/>
      </c>
      <c r="AH263" s="21" t="n"/>
      <c r="AI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19">
        <f>IF(COUNTIF(EDW_RAW!$A$2:$A$1500,$D264)=0,"",IF(COUNTIFS(EDW_RAW!$A$2:$A$1500,$D264,EDW_RAW!$R$2:$R$1500,"&lt;&gt;~",EDW_RAW!$R$2:$R$1500,"&lt;&gt;")=COUNTIF(EDW_RAW!$A$2:$A$1500,$D264),"O",IF(COUNTIFS(EDW_RAW!$A$2:$A$1500,$D264,EDW_RAW!$R$2:$R$1500,"&lt;&gt;~",EDW_RAW!$R$2:$R$1500,"&lt;&gt;")&gt;0,"부분","X")))</f>
        <v/>
      </c>
      <c r="R264" s="19">
        <f>IF(COUNTIF(EDW_RAW!$A$2:$A$1500,$D264)=0,"",IF(COUNTIFS(EDW_RAW!$A$2:$A$1500,$D264,EDW_RAW!$U$2:$U$1500,"&lt;&gt;~",EDW_RAW!$U$2:$U$1500,"&lt;&gt;")=COUNTIF(EDW_RAW!$A$2:$A$1500,$D264),"O",IF(COUNTIFS(EDW_RAW!$A$2:$A$1500,$D264,EDW_RAW!$U$2:$U$1500,"&lt;&gt;~",EDW_RAW!$U$2:$U$1500,"&lt;&gt;")&gt;0,"부분","X")))</f>
        <v/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",TRUE,UNIQUE(FILTER(소재DB_RAW!$K$3:$K$2000,(소재DB_RAW!$G$3:$G$2000=$D264)*ISERROR(SEARCH("drop",소재DB_RAW!$C$3:$C$2000))))),"")</f>
        <v/>
      </c>
      <c r="W264" s="20" t="inlineStr">
        <is>
          <t>베트남</t>
        </is>
      </c>
      <c r="X264" s="20">
        <f>IFERROR(TEXTJOIN(" / ",TRUE,UNIQUE(FILTER(소재DB_RAW!$N$3:$N$2000,(소재DB_RAW!$G$3:$G$2000=$D264)*ISERROR(SEARCH("drop",소재DB_RAW!$C$3:$C$2000))))),"")</f>
        <v/>
      </c>
      <c r="Y264" s="26">
        <f>IFERROR(TEXTJOIN(CHAR(10),TRUE,UNIQUE(FILTER(소재DB_RAW!$N$3:$N$2000&amp;") "&amp;소재DB_RAW!$O$3:$O$2000,(소재DB_RAW!$G$3:$G$2000=$D264)*ISNUMBER(SEARCH("겉감",소재DB_RAW!$M$3:$M$2000))*ISERROR(SEARCH("drop",소재DB_RAW!$C$3:$C$2000))))),"")</f>
        <v/>
      </c>
      <c r="Z264" s="26">
        <f>IFERROR(TEXTJOIN(CHAR(10),TRUE,UNIQUE(FILTER(소재DB_RAW!$N$3:$N$2000&amp;") "&amp;소재DB_RAW!$O$3:$O$2000,(소재DB_RAW!$G$3:$G$2000=$D264)*ISNUMBER(SEARCH("안감",소재DB_RAW!$M$3:$M$2000))*ISERROR(SEARCH("drop",소재DB_RAW!$C$3:$C$2000))))),"")</f>
        <v/>
      </c>
      <c r="AA264" s="22">
        <f>IFERROR(MAX(FILTER(소재DB_RAW!$AK$3:$AK$2000,(소재DB_RAW!$G$3:$G$2000=$D264)*ISERROR(SEARCH("drop",소재DB_RAW!$C$3:$C$2000))*(소재DB_RAW!$AK$3:$AK$2000&lt;&gt;""))),"")</f>
        <v/>
      </c>
      <c r="AB264" s="27" t="n">
        <v>3200</v>
      </c>
      <c r="AC264" s="27" t="n">
        <v>107529600</v>
      </c>
      <c r="AD264" s="27" t="n">
        <v>633600000</v>
      </c>
      <c r="AE264" s="20" t="inlineStr">
        <is>
          <t>3월4주</t>
        </is>
      </c>
      <c r="AF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G264" s="19">
        <f>IF($K264="","",IF(OR(LEFT($AF264,2)="작지",LEFT($AF264,4)="소재입고"),IF(LEFT($G264,1)="S","★ 납기위험(S코드)","◆ 지연주의"),IF($AF264="정상","✓ 정상","? 확인필요")))</f>
        <v/>
      </c>
      <c r="AH264" s="21" t="n"/>
      <c r="AI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19">
        <f>IF(COUNTIF(EDW_RAW!$A$2:$A$1500,$D265)=0,"",IF(COUNTIFS(EDW_RAW!$A$2:$A$1500,$D265,EDW_RAW!$R$2:$R$1500,"&lt;&gt;~",EDW_RAW!$R$2:$R$1500,"&lt;&gt;")=COUNTIF(EDW_RAW!$A$2:$A$1500,$D265),"O",IF(COUNTIFS(EDW_RAW!$A$2:$A$1500,$D265,EDW_RAW!$R$2:$R$1500,"&lt;&gt;~",EDW_RAW!$R$2:$R$1500,"&lt;&gt;")&gt;0,"부분","X")))</f>
        <v/>
      </c>
      <c r="R265" s="19">
        <f>IF(COUNTIF(EDW_RAW!$A$2:$A$1500,$D265)=0,"",IF(COUNTIFS(EDW_RAW!$A$2:$A$1500,$D265,EDW_RAW!$U$2:$U$1500,"&lt;&gt;~",EDW_RAW!$U$2:$U$1500,"&lt;&gt;")=COUNTIF(EDW_RAW!$A$2:$A$1500,$D265),"O",IF(COUNTIFS(EDW_RAW!$A$2:$A$1500,$D265,EDW_RAW!$U$2:$U$1500,"&lt;&gt;~",EDW_RAW!$U$2:$U$1500,"&lt;&gt;")&gt;0,"부분","X")))</f>
        <v/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",TRUE,UNIQUE(FILTER(소재DB_RAW!$K$3:$K$2000,(소재DB_RAW!$G$3:$G$2000=$D265)*ISERROR(SEARCH("drop",소재DB_RAW!$C$3:$C$2000))))),"")</f>
        <v/>
      </c>
      <c r="W265" s="20" t="inlineStr">
        <is>
          <t>베트남</t>
        </is>
      </c>
      <c r="X265" s="20">
        <f>IFERROR(TEXTJOIN(" / ",TRUE,UNIQUE(FILTER(소재DB_RAW!$N$3:$N$2000,(소재DB_RAW!$G$3:$G$2000=$D265)*ISERROR(SEARCH("drop",소재DB_RAW!$C$3:$C$2000))))),"")</f>
        <v/>
      </c>
      <c r="Y265" s="26">
        <f>IFERROR(TEXTJOIN(CHAR(10),TRUE,UNIQUE(FILTER(소재DB_RAW!$N$3:$N$2000&amp;") "&amp;소재DB_RAW!$O$3:$O$2000,(소재DB_RAW!$G$3:$G$2000=$D265)*ISNUMBER(SEARCH("겉감",소재DB_RAW!$M$3:$M$2000))*ISERROR(SEARCH("drop",소재DB_RAW!$C$3:$C$2000))))),"")</f>
        <v/>
      </c>
      <c r="Z265" s="26">
        <f>IFERROR(TEXTJOIN(CHAR(10),TRUE,UNIQUE(FILTER(소재DB_RAW!$N$3:$N$2000&amp;") "&amp;소재DB_RAW!$O$3:$O$2000,(소재DB_RAW!$G$3:$G$2000=$D265)*ISNUMBER(SEARCH("안감",소재DB_RAW!$M$3:$M$2000))*ISERROR(SEARCH("drop",소재DB_RAW!$C$3:$C$2000))))),"")</f>
        <v/>
      </c>
      <c r="AA265" s="22">
        <f>IFERROR(MAX(FILTER(소재DB_RAW!$AK$3:$AK$2000,(소재DB_RAW!$G$3:$G$2000=$D265)*ISERROR(SEARCH("drop",소재DB_RAW!$C$3:$C$2000))*(소재DB_RAW!$AK$3:$AK$2000&lt;&gt;""))),"")</f>
        <v/>
      </c>
      <c r="AB265" s="27" t="n">
        <v>1500</v>
      </c>
      <c r="AC265" s="27" t="n">
        <v>35835000</v>
      </c>
      <c r="AD265" s="27" t="n">
        <v>192000000</v>
      </c>
      <c r="AE265" s="20" t="inlineStr">
        <is>
          <t>3월4주</t>
        </is>
      </c>
      <c r="AF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G265" s="19">
        <f>IF($K265="","",IF(OR(LEFT($AF265,2)="작지",LEFT($AF265,4)="소재입고"),IF(LEFT($G265,1)="S","★ 납기위험(S코드)","◆ 지연주의"),IF($AF265="정상","✓ 정상","? 확인필요")))</f>
        <v/>
      </c>
      <c r="AH265" s="21" t="n"/>
      <c r="AI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19">
        <f>IF(COUNTIF(EDW_RAW!$A$2:$A$1500,$D266)=0,"",IF(COUNTIFS(EDW_RAW!$A$2:$A$1500,$D266,EDW_RAW!$R$2:$R$1500,"&lt;&gt;~",EDW_RAW!$R$2:$R$1500,"&lt;&gt;")=COUNTIF(EDW_RAW!$A$2:$A$1500,$D266),"O",IF(COUNTIFS(EDW_RAW!$A$2:$A$1500,$D266,EDW_RAW!$R$2:$R$1500,"&lt;&gt;~",EDW_RAW!$R$2:$R$1500,"&lt;&gt;")&gt;0,"부분","X")))</f>
        <v/>
      </c>
      <c r="R266" s="19">
        <f>IF(COUNTIF(EDW_RAW!$A$2:$A$1500,$D266)=0,"",IF(COUNTIFS(EDW_RAW!$A$2:$A$1500,$D266,EDW_RAW!$U$2:$U$1500,"&lt;&gt;~",EDW_RAW!$U$2:$U$1500,"&lt;&gt;")=COUNTIF(EDW_RAW!$A$2:$A$1500,$D266),"O",IF(COUNTIFS(EDW_RAW!$A$2:$A$1500,$D266,EDW_RAW!$U$2:$U$1500,"&lt;&gt;~",EDW_RAW!$U$2:$U$1500,"&lt;&gt;")&gt;0,"부분","X")))</f>
        <v/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",TRUE,UNIQUE(FILTER(소재DB_RAW!$K$3:$K$2000,(소재DB_RAW!$G$3:$G$2000=$D266)*ISERROR(SEARCH("drop",소재DB_RAW!$C$3:$C$2000))))),"")</f>
        <v/>
      </c>
      <c r="W266" s="20" t="inlineStr">
        <is>
          <t>베트남</t>
        </is>
      </c>
      <c r="X266" s="20">
        <f>IFERROR(TEXTJOIN(" / ",TRUE,UNIQUE(FILTER(소재DB_RAW!$N$3:$N$2000,(소재DB_RAW!$G$3:$G$2000=$D266)*ISERROR(SEARCH("drop",소재DB_RAW!$C$3:$C$2000))))),"")</f>
        <v/>
      </c>
      <c r="Y266" s="26">
        <f>IFERROR(TEXTJOIN(CHAR(10),TRUE,UNIQUE(FILTER(소재DB_RAW!$N$3:$N$2000&amp;") "&amp;소재DB_RAW!$O$3:$O$2000,(소재DB_RAW!$G$3:$G$2000=$D266)*ISNUMBER(SEARCH("겉감",소재DB_RAW!$M$3:$M$2000))*ISERROR(SEARCH("drop",소재DB_RAW!$C$3:$C$2000))))),"")</f>
        <v/>
      </c>
      <c r="Z266" s="26">
        <f>IFERROR(TEXTJOIN(CHAR(10),TRUE,UNIQUE(FILTER(소재DB_RAW!$N$3:$N$2000&amp;") "&amp;소재DB_RAW!$O$3:$O$2000,(소재DB_RAW!$G$3:$G$2000=$D266)*ISNUMBER(SEARCH("안감",소재DB_RAW!$M$3:$M$2000))*ISERROR(SEARCH("drop",소재DB_RAW!$C$3:$C$2000))))),"")</f>
        <v/>
      </c>
      <c r="AA266" s="22">
        <f>IFERROR(MAX(FILTER(소재DB_RAW!$AK$3:$AK$2000,(소재DB_RAW!$G$3:$G$2000=$D266)*ISERROR(SEARCH("drop",소재DB_RAW!$C$3:$C$2000))*(소재DB_RAW!$AK$3:$AK$2000&lt;&gt;""))),"")</f>
        <v/>
      </c>
      <c r="AB266" s="27" t="n">
        <v>800</v>
      </c>
      <c r="AC266" s="27" t="n">
        <v>23959200</v>
      </c>
      <c r="AD266" s="27" t="n">
        <v>94400000</v>
      </c>
      <c r="AE266" s="20" t="inlineStr">
        <is>
          <t>3월4주</t>
        </is>
      </c>
      <c r="AF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G266" s="19">
        <f>IF($K266="","",IF(OR(LEFT($AF266,2)="작지",LEFT($AF266,4)="소재입고"),IF(LEFT($G266,1)="S","★ 납기위험(S코드)","◆ 지연주의"),IF($AF266="정상","✓ 정상","? 확인필요")))</f>
        <v/>
      </c>
      <c r="AH266" s="21" t="n"/>
      <c r="AI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19">
        <f>IF(COUNTIF(EDW_RAW!$A$2:$A$1500,$D267)=0,"",IF(COUNTIFS(EDW_RAW!$A$2:$A$1500,$D267,EDW_RAW!$R$2:$R$1500,"&lt;&gt;~",EDW_RAW!$R$2:$R$1500,"&lt;&gt;")=COUNTIF(EDW_RAW!$A$2:$A$1500,$D267),"O",IF(COUNTIFS(EDW_RAW!$A$2:$A$1500,$D267,EDW_RAW!$R$2:$R$1500,"&lt;&gt;~",EDW_RAW!$R$2:$R$1500,"&lt;&gt;")&gt;0,"부분","X")))</f>
        <v/>
      </c>
      <c r="R267" s="19">
        <f>IF(COUNTIF(EDW_RAW!$A$2:$A$1500,$D267)=0,"",IF(COUNTIFS(EDW_RAW!$A$2:$A$1500,$D267,EDW_RAW!$U$2:$U$1500,"&lt;&gt;~",EDW_RAW!$U$2:$U$1500,"&lt;&gt;")=COUNTIF(EDW_RAW!$A$2:$A$1500,$D267),"O",IF(COUNTIFS(EDW_RAW!$A$2:$A$1500,$D267,EDW_RAW!$U$2:$U$1500,"&lt;&gt;~",EDW_RAW!$U$2:$U$1500,"&lt;&gt;")&gt;0,"부분","X")))</f>
        <v/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",TRUE,UNIQUE(FILTER(소재DB_RAW!$K$3:$K$2000,(소재DB_RAW!$G$3:$G$2000=$D267)*ISERROR(SEARCH("drop",소재DB_RAW!$C$3:$C$2000))))),"")</f>
        <v/>
      </c>
      <c r="W267" s="20" t="inlineStr">
        <is>
          <t>베트남</t>
        </is>
      </c>
      <c r="X267" s="20">
        <f>IFERROR(TEXTJOIN(" / ",TRUE,UNIQUE(FILTER(소재DB_RAW!$N$3:$N$2000,(소재DB_RAW!$G$3:$G$2000=$D267)*ISERROR(SEARCH("drop",소재DB_RAW!$C$3:$C$2000))))),"")</f>
        <v/>
      </c>
      <c r="Y267" s="26">
        <f>IFERROR(TEXTJOIN(CHAR(10),TRUE,UNIQUE(FILTER(소재DB_RAW!$N$3:$N$2000&amp;") "&amp;소재DB_RAW!$O$3:$O$2000,(소재DB_RAW!$G$3:$G$2000=$D267)*ISNUMBER(SEARCH("겉감",소재DB_RAW!$M$3:$M$2000))*ISERROR(SEARCH("drop",소재DB_RAW!$C$3:$C$2000))))),"")</f>
        <v/>
      </c>
      <c r="Z267" s="26">
        <f>IFERROR(TEXTJOIN(CHAR(10),TRUE,UNIQUE(FILTER(소재DB_RAW!$N$3:$N$2000&amp;") "&amp;소재DB_RAW!$O$3:$O$2000,(소재DB_RAW!$G$3:$G$2000=$D267)*ISNUMBER(SEARCH("안감",소재DB_RAW!$M$3:$M$2000))*ISERROR(SEARCH("drop",소재DB_RAW!$C$3:$C$2000))))),"")</f>
        <v/>
      </c>
      <c r="AA267" s="22">
        <f>IFERROR(MAX(FILTER(소재DB_RAW!$AK$3:$AK$2000,(소재DB_RAW!$G$3:$G$2000=$D267)*ISERROR(SEARCH("drop",소재DB_RAW!$C$3:$C$2000))*(소재DB_RAW!$AK$3:$AK$2000&lt;&gt;""))),"")</f>
        <v/>
      </c>
      <c r="AB267" s="27" t="n">
        <v>4000</v>
      </c>
      <c r="AC267" s="27" t="n">
        <v>113600000</v>
      </c>
      <c r="AD267" s="27" t="n">
        <v>592000000</v>
      </c>
      <c r="AE267" s="20" t="inlineStr">
        <is>
          <t>3월4주</t>
        </is>
      </c>
      <c r="AF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G267" s="19">
        <f>IF($K267="","",IF(OR(LEFT($AF267,2)="작지",LEFT($AF267,4)="소재입고"),IF(LEFT($G267,1)="S","★ 납기위험(S코드)","◆ 지연주의"),IF($AF267="정상","✓ 정상","? 확인필요")))</f>
        <v/>
      </c>
      <c r="AH267" s="21" t="n"/>
      <c r="AI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19">
        <f>IF(COUNTIF(EDW_RAW!$A$2:$A$1500,$D268)=0,"",IF(COUNTIFS(EDW_RAW!$A$2:$A$1500,$D268,EDW_RAW!$R$2:$R$1500,"&lt;&gt;~",EDW_RAW!$R$2:$R$1500,"&lt;&gt;")=COUNTIF(EDW_RAW!$A$2:$A$1500,$D268),"O",IF(COUNTIFS(EDW_RAW!$A$2:$A$1500,$D268,EDW_RAW!$R$2:$R$1500,"&lt;&gt;~",EDW_RAW!$R$2:$R$1500,"&lt;&gt;")&gt;0,"부분","X")))</f>
        <v/>
      </c>
      <c r="R268" s="19">
        <f>IF(COUNTIF(EDW_RAW!$A$2:$A$1500,$D268)=0,"",IF(COUNTIFS(EDW_RAW!$A$2:$A$1500,$D268,EDW_RAW!$U$2:$U$1500,"&lt;&gt;~",EDW_RAW!$U$2:$U$1500,"&lt;&gt;")=COUNTIF(EDW_RAW!$A$2:$A$1500,$D268),"O",IF(COUNTIFS(EDW_RAW!$A$2:$A$1500,$D268,EDW_RAW!$U$2:$U$1500,"&lt;&gt;~",EDW_RAW!$U$2:$U$1500,"&lt;&gt;")&gt;0,"부분","X")))</f>
        <v/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",TRUE,UNIQUE(FILTER(소재DB_RAW!$K$3:$K$2000,(소재DB_RAW!$G$3:$G$2000=$D268)*ISERROR(SEARCH("drop",소재DB_RAW!$C$3:$C$2000))))),"")</f>
        <v/>
      </c>
      <c r="W268" s="20" t="inlineStr">
        <is>
          <t>베트남</t>
        </is>
      </c>
      <c r="X268" s="20">
        <f>IFERROR(TEXTJOIN(" / ",TRUE,UNIQUE(FILTER(소재DB_RAW!$N$3:$N$2000,(소재DB_RAW!$G$3:$G$2000=$D268)*ISERROR(SEARCH("drop",소재DB_RAW!$C$3:$C$2000))))),"")</f>
        <v/>
      </c>
      <c r="Y268" s="26">
        <f>IFERROR(TEXTJOIN(CHAR(10),TRUE,UNIQUE(FILTER(소재DB_RAW!$N$3:$N$2000&amp;") "&amp;소재DB_RAW!$O$3:$O$2000,(소재DB_RAW!$G$3:$G$2000=$D268)*ISNUMBER(SEARCH("겉감",소재DB_RAW!$M$3:$M$2000))*ISERROR(SEARCH("drop",소재DB_RAW!$C$3:$C$2000))))),"")</f>
        <v/>
      </c>
      <c r="Z268" s="26">
        <f>IFERROR(TEXTJOIN(CHAR(10),TRUE,UNIQUE(FILTER(소재DB_RAW!$N$3:$N$2000&amp;") "&amp;소재DB_RAW!$O$3:$O$2000,(소재DB_RAW!$G$3:$G$2000=$D268)*ISNUMBER(SEARCH("안감",소재DB_RAW!$M$3:$M$2000))*ISERROR(SEARCH("drop",소재DB_RAW!$C$3:$C$2000))))),"")</f>
        <v/>
      </c>
      <c r="AA268" s="22">
        <f>IFERROR(MAX(FILTER(소재DB_RAW!$AK$3:$AK$2000,(소재DB_RAW!$G$3:$G$2000=$D268)*ISERROR(SEARCH("drop",소재DB_RAW!$C$3:$C$2000))*(소재DB_RAW!$AK$3:$AK$2000&lt;&gt;""))),"")</f>
        <v/>
      </c>
      <c r="AB268" s="27" t="n">
        <v>2000</v>
      </c>
      <c r="AC268" s="27" t="n">
        <v>55000000</v>
      </c>
      <c r="AD268" s="27" t="n">
        <v>296000000</v>
      </c>
      <c r="AE268" s="20" t="inlineStr">
        <is>
          <t>3월4주</t>
        </is>
      </c>
      <c r="AF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G268" s="19">
        <f>IF($K268="","",IF(OR(LEFT($AF268,2)="작지",LEFT($AF268,4)="소재입고"),IF(LEFT($G268,1)="S","★ 납기위험(S코드)","◆ 지연주의"),IF($AF268="정상","✓ 정상","? 확인필요")))</f>
        <v/>
      </c>
      <c r="AH268" s="21" t="n"/>
      <c r="AI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19">
        <f>IF(COUNTIF(EDW_RAW!$A$2:$A$1500,$D269)=0,"",IF(COUNTIFS(EDW_RAW!$A$2:$A$1500,$D269,EDW_RAW!$R$2:$R$1500,"&lt;&gt;~",EDW_RAW!$R$2:$R$1500,"&lt;&gt;")=COUNTIF(EDW_RAW!$A$2:$A$1500,$D269),"O",IF(COUNTIFS(EDW_RAW!$A$2:$A$1500,$D269,EDW_RAW!$R$2:$R$1500,"&lt;&gt;~",EDW_RAW!$R$2:$R$1500,"&lt;&gt;")&gt;0,"부분","X")))</f>
        <v/>
      </c>
      <c r="R269" s="19">
        <f>IF(COUNTIF(EDW_RAW!$A$2:$A$1500,$D269)=0,"",IF(COUNTIFS(EDW_RAW!$A$2:$A$1500,$D269,EDW_RAW!$U$2:$U$1500,"&lt;&gt;~",EDW_RAW!$U$2:$U$1500,"&lt;&gt;")=COUNTIF(EDW_RAW!$A$2:$A$1500,$D269),"O",IF(COUNTIFS(EDW_RAW!$A$2:$A$1500,$D269,EDW_RAW!$U$2:$U$1500,"&lt;&gt;~",EDW_RAW!$U$2:$U$1500,"&lt;&gt;")&gt;0,"부분","X")))</f>
        <v/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",TRUE,UNIQUE(FILTER(소재DB_RAW!$K$3:$K$2000,(소재DB_RAW!$G$3:$G$2000=$D269)*ISERROR(SEARCH("drop",소재DB_RAW!$C$3:$C$2000))))),"")</f>
        <v/>
      </c>
      <c r="W269" s="20" t="inlineStr">
        <is>
          <t>베트남</t>
        </is>
      </c>
      <c r="X269" s="20">
        <f>IFERROR(TEXTJOIN(" / ",TRUE,UNIQUE(FILTER(소재DB_RAW!$N$3:$N$2000,(소재DB_RAW!$G$3:$G$2000=$D269)*ISERROR(SEARCH("drop",소재DB_RAW!$C$3:$C$2000))))),"")</f>
        <v/>
      </c>
      <c r="Y269" s="26">
        <f>IFERROR(TEXTJOIN(CHAR(10),TRUE,UNIQUE(FILTER(소재DB_RAW!$N$3:$N$2000&amp;") "&amp;소재DB_RAW!$O$3:$O$2000,(소재DB_RAW!$G$3:$G$2000=$D269)*ISNUMBER(SEARCH("겉감",소재DB_RAW!$M$3:$M$2000))*ISERROR(SEARCH("drop",소재DB_RAW!$C$3:$C$2000))))),"")</f>
        <v/>
      </c>
      <c r="Z269" s="26">
        <f>IFERROR(TEXTJOIN(CHAR(10),TRUE,UNIQUE(FILTER(소재DB_RAW!$N$3:$N$2000&amp;") "&amp;소재DB_RAW!$O$3:$O$2000,(소재DB_RAW!$G$3:$G$2000=$D269)*ISNUMBER(SEARCH("안감",소재DB_RAW!$M$3:$M$2000))*ISERROR(SEARCH("drop",소재DB_RAW!$C$3:$C$2000))))),"")</f>
        <v/>
      </c>
      <c r="AA269" s="22">
        <f>IFERROR(MAX(FILTER(소재DB_RAW!$AK$3:$AK$2000,(소재DB_RAW!$G$3:$G$2000=$D269)*ISERROR(SEARCH("drop",소재DB_RAW!$C$3:$C$2000))*(소재DB_RAW!$AK$3:$AK$2000&lt;&gt;""))),"")</f>
        <v/>
      </c>
      <c r="AB269" s="27" t="n">
        <v>1600</v>
      </c>
      <c r="AC269" s="27" t="n">
        <v>51097600</v>
      </c>
      <c r="AD269" s="27" t="n">
        <v>252800000</v>
      </c>
      <c r="AE269" s="20" t="inlineStr">
        <is>
          <t>3월4주</t>
        </is>
      </c>
      <c r="AF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G269" s="19">
        <f>IF($K269="","",IF(OR(LEFT($AF269,2)="작지",LEFT($AF269,4)="소재입고"),IF(LEFT($G269,1)="S","★ 납기위험(S코드)","◆ 지연주의"),IF($AF269="정상","✓ 정상","? 확인필요")))</f>
        <v/>
      </c>
      <c r="AH269" s="21" t="n"/>
      <c r="AI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19">
        <f>IF(COUNTIF(EDW_RAW!$A$2:$A$1500,$D270)=0,"",IF(COUNTIFS(EDW_RAW!$A$2:$A$1500,$D270,EDW_RAW!$R$2:$R$1500,"&lt;&gt;~",EDW_RAW!$R$2:$R$1500,"&lt;&gt;")=COUNTIF(EDW_RAW!$A$2:$A$1500,$D270),"O",IF(COUNTIFS(EDW_RAW!$A$2:$A$1500,$D270,EDW_RAW!$R$2:$R$1500,"&lt;&gt;~",EDW_RAW!$R$2:$R$1500,"&lt;&gt;")&gt;0,"부분","X")))</f>
        <v/>
      </c>
      <c r="R270" s="19">
        <f>IF(COUNTIF(EDW_RAW!$A$2:$A$1500,$D270)=0,"",IF(COUNTIFS(EDW_RAW!$A$2:$A$1500,$D270,EDW_RAW!$U$2:$U$1500,"&lt;&gt;~",EDW_RAW!$U$2:$U$1500,"&lt;&gt;")=COUNTIF(EDW_RAW!$A$2:$A$1500,$D270),"O",IF(COUNTIFS(EDW_RAW!$A$2:$A$1500,$D270,EDW_RAW!$U$2:$U$1500,"&lt;&gt;~",EDW_RAW!$U$2:$U$1500,"&lt;&gt;")&gt;0,"부분","X")))</f>
        <v/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",TRUE,UNIQUE(FILTER(소재DB_RAW!$K$3:$K$2000,(소재DB_RAW!$G$3:$G$2000=$D270)*ISERROR(SEARCH("drop",소재DB_RAW!$C$3:$C$2000))))),"")</f>
        <v/>
      </c>
      <c r="W270" s="20" t="inlineStr">
        <is>
          <t>인도네시아</t>
        </is>
      </c>
      <c r="X270" s="20">
        <f>IFERROR(TEXTJOIN(" / ",TRUE,UNIQUE(FILTER(소재DB_RAW!$N$3:$N$2000,(소재DB_RAW!$G$3:$G$2000=$D270)*ISERROR(SEARCH("drop",소재DB_RAW!$C$3:$C$2000))))),"")</f>
        <v/>
      </c>
      <c r="Y270" s="26">
        <f>IFERROR(TEXTJOIN(CHAR(10),TRUE,UNIQUE(FILTER(소재DB_RAW!$N$3:$N$2000&amp;") "&amp;소재DB_RAW!$O$3:$O$2000,(소재DB_RAW!$G$3:$G$2000=$D270)*ISNUMBER(SEARCH("겉감",소재DB_RAW!$M$3:$M$2000))*ISERROR(SEARCH("drop",소재DB_RAW!$C$3:$C$2000))))),"")</f>
        <v/>
      </c>
      <c r="Z270" s="26">
        <f>IFERROR(TEXTJOIN(CHAR(10),TRUE,UNIQUE(FILTER(소재DB_RAW!$N$3:$N$2000&amp;") "&amp;소재DB_RAW!$O$3:$O$2000,(소재DB_RAW!$G$3:$G$2000=$D270)*ISNUMBER(SEARCH("안감",소재DB_RAW!$M$3:$M$2000))*ISERROR(SEARCH("drop",소재DB_RAW!$C$3:$C$2000))))),"")</f>
        <v/>
      </c>
      <c r="AA270" s="22">
        <f>IFERROR(MAX(FILTER(소재DB_RAW!$AK$3:$AK$2000,(소재DB_RAW!$G$3:$G$2000=$D270)*ISERROR(SEARCH("drop",소재DB_RAW!$C$3:$C$2000))*(소재DB_RAW!$AK$3:$AK$2000&lt;&gt;""))),"")</f>
        <v/>
      </c>
      <c r="AB270" s="27" t="n">
        <v>1200</v>
      </c>
      <c r="AC270" s="27" t="n">
        <v>29907600</v>
      </c>
      <c r="AD270" s="27" t="n">
        <v>153600000</v>
      </c>
      <c r="AE270" s="20" t="inlineStr">
        <is>
          <t>3월4주</t>
        </is>
      </c>
      <c r="AF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G270" s="19">
        <f>IF($K270="","",IF(OR(LEFT($AF270,2)="작지",LEFT($AF270,4)="소재입고"),IF(LEFT($G270,1)="S","★ 납기위험(S코드)","◆ 지연주의"),IF($AF270="정상","✓ 정상","? 확인필요")))</f>
        <v/>
      </c>
      <c r="AH270" s="21" t="n"/>
      <c r="AI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19">
        <f>IF(COUNTIF(EDW_RAW!$A$2:$A$1500,$D271)=0,"",IF(COUNTIFS(EDW_RAW!$A$2:$A$1500,$D271,EDW_RAW!$R$2:$R$1500,"&lt;&gt;~",EDW_RAW!$R$2:$R$1500,"&lt;&gt;")=COUNTIF(EDW_RAW!$A$2:$A$1500,$D271),"O",IF(COUNTIFS(EDW_RAW!$A$2:$A$1500,$D271,EDW_RAW!$R$2:$R$1500,"&lt;&gt;~",EDW_RAW!$R$2:$R$1500,"&lt;&gt;")&gt;0,"부분","X")))</f>
        <v/>
      </c>
      <c r="R271" s="19">
        <f>IF(COUNTIF(EDW_RAW!$A$2:$A$1500,$D271)=0,"",IF(COUNTIFS(EDW_RAW!$A$2:$A$1500,$D271,EDW_RAW!$U$2:$U$1500,"&lt;&gt;~",EDW_RAW!$U$2:$U$1500,"&lt;&gt;")=COUNTIF(EDW_RAW!$A$2:$A$1500,$D271),"O",IF(COUNTIFS(EDW_RAW!$A$2:$A$1500,$D271,EDW_RAW!$U$2:$U$1500,"&lt;&gt;~",EDW_RAW!$U$2:$U$1500,"&lt;&gt;")&gt;0,"부분","X")))</f>
        <v/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",TRUE,UNIQUE(FILTER(소재DB_RAW!$K$3:$K$2000,(소재DB_RAW!$G$3:$G$2000=$D271)*ISERROR(SEARCH("drop",소재DB_RAW!$C$3:$C$2000))))),"")</f>
        <v/>
      </c>
      <c r="W271" s="20" t="inlineStr">
        <is>
          <t>인도네시아</t>
        </is>
      </c>
      <c r="X271" s="20">
        <f>IFERROR(TEXTJOIN(" / ",TRUE,UNIQUE(FILTER(소재DB_RAW!$N$3:$N$2000,(소재DB_RAW!$G$3:$G$2000=$D271)*ISERROR(SEARCH("drop",소재DB_RAW!$C$3:$C$2000))))),"")</f>
        <v/>
      </c>
      <c r="Y271" s="26">
        <f>IFERROR(TEXTJOIN(CHAR(10),TRUE,UNIQUE(FILTER(소재DB_RAW!$N$3:$N$2000&amp;") "&amp;소재DB_RAW!$O$3:$O$2000,(소재DB_RAW!$G$3:$G$2000=$D271)*ISNUMBER(SEARCH("겉감",소재DB_RAW!$M$3:$M$2000))*ISERROR(SEARCH("drop",소재DB_RAW!$C$3:$C$2000))))),"")</f>
        <v/>
      </c>
      <c r="Z271" s="26">
        <f>IFERROR(TEXTJOIN(CHAR(10),TRUE,UNIQUE(FILTER(소재DB_RAW!$N$3:$N$2000&amp;") "&amp;소재DB_RAW!$O$3:$O$2000,(소재DB_RAW!$G$3:$G$2000=$D271)*ISNUMBER(SEARCH("안감",소재DB_RAW!$M$3:$M$2000))*ISERROR(SEARCH("drop",소재DB_RAW!$C$3:$C$2000))))),"")</f>
        <v/>
      </c>
      <c r="AA271" s="22">
        <f>IFERROR(MAX(FILTER(소재DB_RAW!$AK$3:$AK$2000,(소재DB_RAW!$G$3:$G$2000=$D271)*ISERROR(SEARCH("drop",소재DB_RAW!$C$3:$C$2000))*(소재DB_RAW!$AK$3:$AK$2000&lt;&gt;""))),"")</f>
        <v/>
      </c>
      <c r="AB271" s="27" t="n">
        <v>2500</v>
      </c>
      <c r="AC271" s="27" t="n">
        <v>39347500</v>
      </c>
      <c r="AD271" s="27" t="n">
        <v>320000000</v>
      </c>
      <c r="AE271" s="20" t="inlineStr">
        <is>
          <t>3월4주</t>
        </is>
      </c>
      <c r="AF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G271" s="19">
        <f>IF($K271="","",IF(OR(LEFT($AF271,2)="작지",LEFT($AF271,4)="소재입고"),IF(LEFT($G271,1)="S","★ 납기위험(S코드)","◆ 지연주의"),IF($AF271="정상","✓ 정상","? 확인필요")))</f>
        <v/>
      </c>
      <c r="AH271" s="21" t="n"/>
      <c r="AI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19">
        <f>IF(COUNTIF(EDW_RAW!$A$2:$A$1500,$D272)=0,"",IF(COUNTIFS(EDW_RAW!$A$2:$A$1500,$D272,EDW_RAW!$R$2:$R$1500,"&lt;&gt;~",EDW_RAW!$R$2:$R$1500,"&lt;&gt;")=COUNTIF(EDW_RAW!$A$2:$A$1500,$D272),"O",IF(COUNTIFS(EDW_RAW!$A$2:$A$1500,$D272,EDW_RAW!$R$2:$R$1500,"&lt;&gt;~",EDW_RAW!$R$2:$R$1500,"&lt;&gt;")&gt;0,"부분","X")))</f>
        <v/>
      </c>
      <c r="R272" s="19">
        <f>IF(COUNTIF(EDW_RAW!$A$2:$A$1500,$D272)=0,"",IF(COUNTIFS(EDW_RAW!$A$2:$A$1500,$D272,EDW_RAW!$U$2:$U$1500,"&lt;&gt;~",EDW_RAW!$U$2:$U$1500,"&lt;&gt;")=COUNTIF(EDW_RAW!$A$2:$A$1500,$D272),"O",IF(COUNTIFS(EDW_RAW!$A$2:$A$1500,$D272,EDW_RAW!$U$2:$U$1500,"&lt;&gt;~",EDW_RAW!$U$2:$U$1500,"&lt;&gt;")&gt;0,"부분","X")))</f>
        <v/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",TRUE,UNIQUE(FILTER(소재DB_RAW!$K$3:$K$2000,(소재DB_RAW!$G$3:$G$2000=$D272)*ISERROR(SEARCH("drop",소재DB_RAW!$C$3:$C$2000))))),"")</f>
        <v/>
      </c>
      <c r="W272" s="20" t="inlineStr">
        <is>
          <t>베트남</t>
        </is>
      </c>
      <c r="X272" s="20">
        <f>IFERROR(TEXTJOIN(" / ",TRUE,UNIQUE(FILTER(소재DB_RAW!$N$3:$N$2000,(소재DB_RAW!$G$3:$G$2000=$D272)*ISERROR(SEARCH("drop",소재DB_RAW!$C$3:$C$2000))))),"")</f>
        <v/>
      </c>
      <c r="Y272" s="26">
        <f>IFERROR(TEXTJOIN(CHAR(10),TRUE,UNIQUE(FILTER(소재DB_RAW!$N$3:$N$2000&amp;") "&amp;소재DB_RAW!$O$3:$O$2000,(소재DB_RAW!$G$3:$G$2000=$D272)*ISNUMBER(SEARCH("겉감",소재DB_RAW!$M$3:$M$2000))*ISERROR(SEARCH("drop",소재DB_RAW!$C$3:$C$2000))))),"")</f>
        <v/>
      </c>
      <c r="Z272" s="26">
        <f>IFERROR(TEXTJOIN(CHAR(10),TRUE,UNIQUE(FILTER(소재DB_RAW!$N$3:$N$2000&amp;") "&amp;소재DB_RAW!$O$3:$O$2000,(소재DB_RAW!$G$3:$G$2000=$D272)*ISNUMBER(SEARCH("안감",소재DB_RAW!$M$3:$M$2000))*ISERROR(SEARCH("drop",소재DB_RAW!$C$3:$C$2000))))),"")</f>
        <v/>
      </c>
      <c r="AA272" s="22">
        <f>IFERROR(MAX(FILTER(소재DB_RAW!$AK$3:$AK$2000,(소재DB_RAW!$G$3:$G$2000=$D272)*ISERROR(SEARCH("drop",소재DB_RAW!$C$3:$C$2000))*(소재DB_RAW!$AK$3:$AK$2000&lt;&gt;""))),"")</f>
        <v/>
      </c>
      <c r="AB272" s="27" t="n">
        <v>1200</v>
      </c>
      <c r="AC272" s="27" t="n">
        <v>15933600</v>
      </c>
      <c r="AD272" s="27" t="n">
        <v>81600000</v>
      </c>
      <c r="AE272" s="20" t="inlineStr">
        <is>
          <t>3월4주</t>
        </is>
      </c>
      <c r="AF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G272" s="19">
        <f>IF($K272="","",IF(OR(LEFT($AF272,2)="작지",LEFT($AF272,4)="소재입고"),IF(LEFT($G272,1)="S","★ 납기위험(S코드)","◆ 지연주의"),IF($AF272="정상","✓ 정상","? 확인필요")))</f>
        <v/>
      </c>
      <c r="AH272" s="21" t="n"/>
      <c r="AI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19">
        <f>IF(COUNTIF(EDW_RAW!$A$2:$A$1500,$D273)=0,"",IF(COUNTIFS(EDW_RAW!$A$2:$A$1500,$D273,EDW_RAW!$R$2:$R$1500,"&lt;&gt;~",EDW_RAW!$R$2:$R$1500,"&lt;&gt;")=COUNTIF(EDW_RAW!$A$2:$A$1500,$D273),"O",IF(COUNTIFS(EDW_RAW!$A$2:$A$1500,$D273,EDW_RAW!$R$2:$R$1500,"&lt;&gt;~",EDW_RAW!$R$2:$R$1500,"&lt;&gt;")&gt;0,"부분","X")))</f>
        <v/>
      </c>
      <c r="R273" s="19">
        <f>IF(COUNTIF(EDW_RAW!$A$2:$A$1500,$D273)=0,"",IF(COUNTIFS(EDW_RAW!$A$2:$A$1500,$D273,EDW_RAW!$U$2:$U$1500,"&lt;&gt;~",EDW_RAW!$U$2:$U$1500,"&lt;&gt;")=COUNTIF(EDW_RAW!$A$2:$A$1500,$D273),"O",IF(COUNTIFS(EDW_RAW!$A$2:$A$1500,$D273,EDW_RAW!$U$2:$U$1500,"&lt;&gt;~",EDW_RAW!$U$2:$U$1500,"&lt;&gt;")&gt;0,"부분","X")))</f>
        <v/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",TRUE,UNIQUE(FILTER(소재DB_RAW!$K$3:$K$2000,(소재DB_RAW!$G$3:$G$2000=$D273)*ISERROR(SEARCH("drop",소재DB_RAW!$C$3:$C$2000))))),"")</f>
        <v/>
      </c>
      <c r="W273" s="20" t="inlineStr">
        <is>
          <t>베트남</t>
        </is>
      </c>
      <c r="X273" s="20">
        <f>IFERROR(TEXTJOIN(" / ",TRUE,UNIQUE(FILTER(소재DB_RAW!$N$3:$N$2000,(소재DB_RAW!$G$3:$G$2000=$D273)*ISERROR(SEARCH("drop",소재DB_RAW!$C$3:$C$2000))))),"")</f>
        <v/>
      </c>
      <c r="Y273" s="26">
        <f>IFERROR(TEXTJOIN(CHAR(10),TRUE,UNIQUE(FILTER(소재DB_RAW!$N$3:$N$2000&amp;") "&amp;소재DB_RAW!$O$3:$O$2000,(소재DB_RAW!$G$3:$G$2000=$D273)*ISNUMBER(SEARCH("겉감",소재DB_RAW!$M$3:$M$2000))*ISERROR(SEARCH("drop",소재DB_RAW!$C$3:$C$2000))))),"")</f>
        <v/>
      </c>
      <c r="Z273" s="26">
        <f>IFERROR(TEXTJOIN(CHAR(10),TRUE,UNIQUE(FILTER(소재DB_RAW!$N$3:$N$2000&amp;") "&amp;소재DB_RAW!$O$3:$O$2000,(소재DB_RAW!$G$3:$G$2000=$D273)*ISNUMBER(SEARCH("안감",소재DB_RAW!$M$3:$M$2000))*ISERROR(SEARCH("drop",소재DB_RAW!$C$3:$C$2000))))),"")</f>
        <v/>
      </c>
      <c r="AA273" s="22">
        <f>IFERROR(MAX(FILTER(소재DB_RAW!$AK$3:$AK$2000,(소재DB_RAW!$G$3:$G$2000=$D273)*ISERROR(SEARCH("drop",소재DB_RAW!$C$3:$C$2000))*(소재DB_RAW!$AK$3:$AK$2000&lt;&gt;""))),"")</f>
        <v/>
      </c>
      <c r="AB273" s="27" t="n">
        <v>2000</v>
      </c>
      <c r="AC273" s="27" t="n">
        <v>58488000</v>
      </c>
      <c r="AD273" s="27" t="n">
        <v>296000000</v>
      </c>
      <c r="AE273" s="20" t="inlineStr">
        <is>
          <t>3월4주</t>
        </is>
      </c>
      <c r="AF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G273" s="19">
        <f>IF($K273="","",IF(OR(LEFT($AF273,2)="작지",LEFT($AF273,4)="소재입고"),IF(LEFT($G273,1)="S","★ 납기위험(S코드)","◆ 지연주의"),IF($AF273="정상","✓ 정상","? 확인필요")))</f>
        <v/>
      </c>
      <c r="AH273" s="21" t="n"/>
      <c r="AI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19">
        <f>IF(COUNTIF(EDW_RAW!$A$2:$A$1500,$D274)=0,"",IF(COUNTIFS(EDW_RAW!$A$2:$A$1500,$D274,EDW_RAW!$R$2:$R$1500,"&lt;&gt;~",EDW_RAW!$R$2:$R$1500,"&lt;&gt;")=COUNTIF(EDW_RAW!$A$2:$A$1500,$D274),"O",IF(COUNTIFS(EDW_RAW!$A$2:$A$1500,$D274,EDW_RAW!$R$2:$R$1500,"&lt;&gt;~",EDW_RAW!$R$2:$R$1500,"&lt;&gt;")&gt;0,"부분","X")))</f>
        <v/>
      </c>
      <c r="R274" s="19">
        <f>IF(COUNTIF(EDW_RAW!$A$2:$A$1500,$D274)=0,"",IF(COUNTIFS(EDW_RAW!$A$2:$A$1500,$D274,EDW_RAW!$U$2:$U$1500,"&lt;&gt;~",EDW_RAW!$U$2:$U$1500,"&lt;&gt;")=COUNTIF(EDW_RAW!$A$2:$A$1500,$D274),"O",IF(COUNTIFS(EDW_RAW!$A$2:$A$1500,$D274,EDW_RAW!$U$2:$U$1500,"&lt;&gt;~",EDW_RAW!$U$2:$U$1500,"&lt;&gt;")&gt;0,"부분","X")))</f>
        <v/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",TRUE,UNIQUE(FILTER(소재DB_RAW!$K$3:$K$2000,(소재DB_RAW!$G$3:$G$2000=$D274)*ISERROR(SEARCH("drop",소재DB_RAW!$C$3:$C$2000))))),"")</f>
        <v/>
      </c>
      <c r="W274" s="20" t="inlineStr">
        <is>
          <t>베트남</t>
        </is>
      </c>
      <c r="X274" s="20">
        <f>IFERROR(TEXTJOIN(" / ",TRUE,UNIQUE(FILTER(소재DB_RAW!$N$3:$N$2000,(소재DB_RAW!$G$3:$G$2000=$D274)*ISERROR(SEARCH("drop",소재DB_RAW!$C$3:$C$2000))))),"")</f>
        <v/>
      </c>
      <c r="Y274" s="26">
        <f>IFERROR(TEXTJOIN(CHAR(10),TRUE,UNIQUE(FILTER(소재DB_RAW!$N$3:$N$2000&amp;") "&amp;소재DB_RAW!$O$3:$O$2000,(소재DB_RAW!$G$3:$G$2000=$D274)*ISNUMBER(SEARCH("겉감",소재DB_RAW!$M$3:$M$2000))*ISERROR(SEARCH("drop",소재DB_RAW!$C$3:$C$2000))))),"")</f>
        <v/>
      </c>
      <c r="Z274" s="26">
        <f>IFERROR(TEXTJOIN(CHAR(10),TRUE,UNIQUE(FILTER(소재DB_RAW!$N$3:$N$2000&amp;") "&amp;소재DB_RAW!$O$3:$O$2000,(소재DB_RAW!$G$3:$G$2000=$D274)*ISNUMBER(SEARCH("안감",소재DB_RAW!$M$3:$M$2000))*ISERROR(SEARCH("drop",소재DB_RAW!$C$3:$C$2000))))),"")</f>
        <v/>
      </c>
      <c r="AA274" s="22">
        <f>IFERROR(MAX(FILTER(소재DB_RAW!$AK$3:$AK$2000,(소재DB_RAW!$G$3:$G$2000=$D274)*ISERROR(SEARCH("drop",소재DB_RAW!$C$3:$C$2000))*(소재DB_RAW!$AK$3:$AK$2000&lt;&gt;""))),"")</f>
        <v/>
      </c>
      <c r="AB274" s="27" t="n">
        <v>16000</v>
      </c>
      <c r="AC274" s="27" t="n">
        <v>448000000</v>
      </c>
      <c r="AD274" s="27" t="n">
        <v>2688000000</v>
      </c>
      <c r="AE274" s="20" t="n"/>
      <c r="AF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G274" s="19">
        <f>IF($K274="","",IF(OR(LEFT($AF274,2)="작지",LEFT($AF274,4)="소재입고"),IF(LEFT($G274,1)="S","★ 납기위험(S코드)","◆ 지연주의"),IF($AF274="정상","✓ 정상","? 확인필요")))</f>
        <v/>
      </c>
      <c r="AH274" s="21" t="n"/>
      <c r="AI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19">
        <f>IF(COUNTIF(EDW_RAW!$A$2:$A$1500,$D275)=0,"",IF(COUNTIFS(EDW_RAW!$A$2:$A$1500,$D275,EDW_RAW!$R$2:$R$1500,"&lt;&gt;~",EDW_RAW!$R$2:$R$1500,"&lt;&gt;")=COUNTIF(EDW_RAW!$A$2:$A$1500,$D275),"O",IF(COUNTIFS(EDW_RAW!$A$2:$A$1500,$D275,EDW_RAW!$R$2:$R$1500,"&lt;&gt;~",EDW_RAW!$R$2:$R$1500,"&lt;&gt;")&gt;0,"부분","X")))</f>
        <v/>
      </c>
      <c r="R275" s="19">
        <f>IF(COUNTIF(EDW_RAW!$A$2:$A$1500,$D275)=0,"",IF(COUNTIFS(EDW_RAW!$A$2:$A$1500,$D275,EDW_RAW!$U$2:$U$1500,"&lt;&gt;~",EDW_RAW!$U$2:$U$1500,"&lt;&gt;")=COUNTIF(EDW_RAW!$A$2:$A$1500,$D275),"O",IF(COUNTIFS(EDW_RAW!$A$2:$A$1500,$D275,EDW_RAW!$U$2:$U$1500,"&lt;&gt;~",EDW_RAW!$U$2:$U$1500,"&lt;&gt;")&gt;0,"부분","X")))</f>
        <v/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",TRUE,UNIQUE(FILTER(소재DB_RAW!$K$3:$K$2000,(소재DB_RAW!$G$3:$G$2000=$D275)*ISERROR(SEARCH("drop",소재DB_RAW!$C$3:$C$2000))))),"")</f>
        <v/>
      </c>
      <c r="W275" s="20" t="inlineStr">
        <is>
          <t>베트남</t>
        </is>
      </c>
      <c r="X275" s="20">
        <f>IFERROR(TEXTJOIN(" / ",TRUE,UNIQUE(FILTER(소재DB_RAW!$N$3:$N$2000,(소재DB_RAW!$G$3:$G$2000=$D275)*ISERROR(SEARCH("drop",소재DB_RAW!$C$3:$C$2000))))),"")</f>
        <v/>
      </c>
      <c r="Y275" s="26">
        <f>IFERROR(TEXTJOIN(CHAR(10),TRUE,UNIQUE(FILTER(소재DB_RAW!$N$3:$N$2000&amp;") "&amp;소재DB_RAW!$O$3:$O$2000,(소재DB_RAW!$G$3:$G$2000=$D275)*ISNUMBER(SEARCH("겉감",소재DB_RAW!$M$3:$M$2000))*ISERROR(SEARCH("drop",소재DB_RAW!$C$3:$C$2000))))),"")</f>
        <v/>
      </c>
      <c r="Z275" s="26">
        <f>IFERROR(TEXTJOIN(CHAR(10),TRUE,UNIQUE(FILTER(소재DB_RAW!$N$3:$N$2000&amp;") "&amp;소재DB_RAW!$O$3:$O$2000,(소재DB_RAW!$G$3:$G$2000=$D275)*ISNUMBER(SEARCH("안감",소재DB_RAW!$M$3:$M$2000))*ISERROR(SEARCH("drop",소재DB_RAW!$C$3:$C$2000))))),"")</f>
        <v/>
      </c>
      <c r="AA275" s="22">
        <f>IFERROR(MAX(FILTER(소재DB_RAW!$AK$3:$AK$2000,(소재DB_RAW!$G$3:$G$2000=$D275)*ISERROR(SEARCH("drop",소재DB_RAW!$C$3:$C$2000))*(소재DB_RAW!$AK$3:$AK$2000&lt;&gt;""))),"")</f>
        <v/>
      </c>
      <c r="AB275" s="27" t="n">
        <v>400</v>
      </c>
      <c r="AC275" s="27" t="n">
        <v>39419200</v>
      </c>
      <c r="AD275" s="27" t="n">
        <v>180000000</v>
      </c>
      <c r="AE275" s="20" t="inlineStr">
        <is>
          <t>3월4주</t>
        </is>
      </c>
      <c r="AF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G275" s="19">
        <f>IF($K275="","",IF(OR(LEFT($AF275,2)="작지",LEFT($AF275,4)="소재입고"),IF(LEFT($G275,1)="S","★ 납기위험(S코드)","◆ 지연주의"),IF($AF275="정상","✓ 정상","? 확인필요")))</f>
        <v/>
      </c>
      <c r="AH275" s="21" t="n"/>
      <c r="AI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19">
        <f>IF(COUNTIF(EDW_RAW!$A$2:$A$1500,$D276)=0,"",IF(COUNTIFS(EDW_RAW!$A$2:$A$1500,$D276,EDW_RAW!$R$2:$R$1500,"&lt;&gt;~",EDW_RAW!$R$2:$R$1500,"&lt;&gt;")=COUNTIF(EDW_RAW!$A$2:$A$1500,$D276),"O",IF(COUNTIFS(EDW_RAW!$A$2:$A$1500,$D276,EDW_RAW!$R$2:$R$1500,"&lt;&gt;~",EDW_RAW!$R$2:$R$1500,"&lt;&gt;")&gt;0,"부분","X")))</f>
        <v/>
      </c>
      <c r="R276" s="19">
        <f>IF(COUNTIF(EDW_RAW!$A$2:$A$1500,$D276)=0,"",IF(COUNTIFS(EDW_RAW!$A$2:$A$1500,$D276,EDW_RAW!$U$2:$U$1500,"&lt;&gt;~",EDW_RAW!$U$2:$U$1500,"&lt;&gt;")=COUNTIF(EDW_RAW!$A$2:$A$1500,$D276),"O",IF(COUNTIFS(EDW_RAW!$A$2:$A$1500,$D276,EDW_RAW!$U$2:$U$1500,"&lt;&gt;~",EDW_RAW!$U$2:$U$1500,"&lt;&gt;")&gt;0,"부분","X")))</f>
        <v/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",TRUE,UNIQUE(FILTER(소재DB_RAW!$K$3:$K$2000,(소재DB_RAW!$G$3:$G$2000=$D276)*ISERROR(SEARCH("drop",소재DB_RAW!$C$3:$C$2000))))),"")</f>
        <v/>
      </c>
      <c r="W276" s="20" t="inlineStr">
        <is>
          <t>베트남</t>
        </is>
      </c>
      <c r="X276" s="20">
        <f>IFERROR(TEXTJOIN(" / ",TRUE,UNIQUE(FILTER(소재DB_RAW!$N$3:$N$2000,(소재DB_RAW!$G$3:$G$2000=$D276)*ISERROR(SEARCH("drop",소재DB_RAW!$C$3:$C$2000))))),"")</f>
        <v/>
      </c>
      <c r="Y276" s="26">
        <f>IFERROR(TEXTJOIN(CHAR(10),TRUE,UNIQUE(FILTER(소재DB_RAW!$N$3:$N$2000&amp;") "&amp;소재DB_RAW!$O$3:$O$2000,(소재DB_RAW!$G$3:$G$2000=$D276)*ISNUMBER(SEARCH("겉감",소재DB_RAW!$M$3:$M$2000))*ISERROR(SEARCH("drop",소재DB_RAW!$C$3:$C$2000))))),"")</f>
        <v/>
      </c>
      <c r="Z276" s="26">
        <f>IFERROR(TEXTJOIN(CHAR(10),TRUE,UNIQUE(FILTER(소재DB_RAW!$N$3:$N$2000&amp;") "&amp;소재DB_RAW!$O$3:$O$2000,(소재DB_RAW!$G$3:$G$2000=$D276)*ISNUMBER(SEARCH("안감",소재DB_RAW!$M$3:$M$2000))*ISERROR(SEARCH("drop",소재DB_RAW!$C$3:$C$2000))))),"")</f>
        <v/>
      </c>
      <c r="AA276" s="22">
        <f>IFERROR(MAX(FILTER(소재DB_RAW!$AK$3:$AK$2000,(소재DB_RAW!$G$3:$G$2000=$D276)*ISERROR(SEARCH("drop",소재DB_RAW!$C$3:$C$2000))*(소재DB_RAW!$AK$3:$AK$2000&lt;&gt;""))),"")</f>
        <v/>
      </c>
      <c r="AB276" s="27" t="n">
        <v>3500</v>
      </c>
      <c r="AC276" s="27" t="n">
        <v>166491500</v>
      </c>
      <c r="AD276" s="27" t="n">
        <v>770000000</v>
      </c>
      <c r="AE276" s="20" t="inlineStr">
        <is>
          <t>3월4주</t>
        </is>
      </c>
      <c r="AF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G276" s="19">
        <f>IF($K276="","",IF(OR(LEFT($AF276,2)="작지",LEFT($AF276,4)="소재입고"),IF(LEFT($G276,1)="S","★ 납기위험(S코드)","◆ 지연주의"),IF($AF276="정상","✓ 정상","? 확인필요")))</f>
        <v/>
      </c>
      <c r="AH276" s="21" t="n"/>
      <c r="AI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19">
        <f>IF(COUNTIF(EDW_RAW!$A$2:$A$1500,$D277)=0,"",IF(COUNTIFS(EDW_RAW!$A$2:$A$1500,$D277,EDW_RAW!$R$2:$R$1500,"&lt;&gt;~",EDW_RAW!$R$2:$R$1500,"&lt;&gt;")=COUNTIF(EDW_RAW!$A$2:$A$1500,$D277),"O",IF(COUNTIFS(EDW_RAW!$A$2:$A$1500,$D277,EDW_RAW!$R$2:$R$1500,"&lt;&gt;~",EDW_RAW!$R$2:$R$1500,"&lt;&gt;")&gt;0,"부분","X")))</f>
        <v/>
      </c>
      <c r="R277" s="19">
        <f>IF(COUNTIF(EDW_RAW!$A$2:$A$1500,$D277)=0,"",IF(COUNTIFS(EDW_RAW!$A$2:$A$1500,$D277,EDW_RAW!$U$2:$U$1500,"&lt;&gt;~",EDW_RAW!$U$2:$U$1500,"&lt;&gt;")=COUNTIF(EDW_RAW!$A$2:$A$1500,$D277),"O",IF(COUNTIFS(EDW_RAW!$A$2:$A$1500,$D277,EDW_RAW!$U$2:$U$1500,"&lt;&gt;~",EDW_RAW!$U$2:$U$1500,"&lt;&gt;")&gt;0,"부분","X")))</f>
        <v/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",TRUE,UNIQUE(FILTER(소재DB_RAW!$K$3:$K$2000,(소재DB_RAW!$G$3:$G$2000=$D277)*ISERROR(SEARCH("drop",소재DB_RAW!$C$3:$C$2000))))),"")</f>
        <v/>
      </c>
      <c r="W277" s="20" t="inlineStr">
        <is>
          <t>베트남</t>
        </is>
      </c>
      <c r="X277" s="20">
        <f>IFERROR(TEXTJOIN(" / ",TRUE,UNIQUE(FILTER(소재DB_RAW!$N$3:$N$2000,(소재DB_RAW!$G$3:$G$2000=$D277)*ISERROR(SEARCH("drop",소재DB_RAW!$C$3:$C$2000))))),"")</f>
        <v/>
      </c>
      <c r="Y277" s="26">
        <f>IFERROR(TEXTJOIN(CHAR(10),TRUE,UNIQUE(FILTER(소재DB_RAW!$N$3:$N$2000&amp;") "&amp;소재DB_RAW!$O$3:$O$2000,(소재DB_RAW!$G$3:$G$2000=$D277)*ISNUMBER(SEARCH("겉감",소재DB_RAW!$M$3:$M$2000))*ISERROR(SEARCH("drop",소재DB_RAW!$C$3:$C$2000))))),"")</f>
        <v/>
      </c>
      <c r="Z277" s="26">
        <f>IFERROR(TEXTJOIN(CHAR(10),TRUE,UNIQUE(FILTER(소재DB_RAW!$N$3:$N$2000&amp;") "&amp;소재DB_RAW!$O$3:$O$2000,(소재DB_RAW!$G$3:$G$2000=$D277)*ISNUMBER(SEARCH("안감",소재DB_RAW!$M$3:$M$2000))*ISERROR(SEARCH("drop",소재DB_RAW!$C$3:$C$2000))))),"")</f>
        <v/>
      </c>
      <c r="AA277" s="22">
        <f>IFERROR(MAX(FILTER(소재DB_RAW!$AK$3:$AK$2000,(소재DB_RAW!$G$3:$G$2000=$D277)*ISERROR(SEARCH("drop",소재DB_RAW!$C$3:$C$2000))*(소재DB_RAW!$AK$3:$AK$2000&lt;&gt;""))),"")</f>
        <v/>
      </c>
      <c r="AB277" s="27" t="n">
        <v>2400</v>
      </c>
      <c r="AC277" s="27" t="n">
        <v>190140000</v>
      </c>
      <c r="AD277" s="27" t="n">
        <v>840000000</v>
      </c>
      <c r="AE277" s="20" t="inlineStr">
        <is>
          <t>3월4주</t>
        </is>
      </c>
      <c r="AF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G277" s="19">
        <f>IF($K277="","",IF(OR(LEFT($AF277,2)="작지",LEFT($AF277,4)="소재입고"),IF(LEFT($G277,1)="S","★ 납기위험(S코드)","◆ 지연주의"),IF($AF277="정상","✓ 정상","? 확인필요")))</f>
        <v/>
      </c>
      <c r="AH277" s="21" t="n"/>
      <c r="AI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19">
        <f>IF(COUNTIF(EDW_RAW!$A$2:$A$1500,$D278)=0,"",IF(COUNTIFS(EDW_RAW!$A$2:$A$1500,$D278,EDW_RAW!$R$2:$R$1500,"&lt;&gt;~",EDW_RAW!$R$2:$R$1500,"&lt;&gt;")=COUNTIF(EDW_RAW!$A$2:$A$1500,$D278),"O",IF(COUNTIFS(EDW_RAW!$A$2:$A$1500,$D278,EDW_RAW!$R$2:$R$1500,"&lt;&gt;~",EDW_RAW!$R$2:$R$1500,"&lt;&gt;")&gt;0,"부분","X")))</f>
        <v/>
      </c>
      <c r="R278" s="19">
        <f>IF(COUNTIF(EDW_RAW!$A$2:$A$1500,$D278)=0,"",IF(COUNTIFS(EDW_RAW!$A$2:$A$1500,$D278,EDW_RAW!$U$2:$U$1500,"&lt;&gt;~",EDW_RAW!$U$2:$U$1500,"&lt;&gt;")=COUNTIF(EDW_RAW!$A$2:$A$1500,$D278),"O",IF(COUNTIFS(EDW_RAW!$A$2:$A$1500,$D278,EDW_RAW!$U$2:$U$1500,"&lt;&gt;~",EDW_RAW!$U$2:$U$1500,"&lt;&gt;")&gt;0,"부분","X")))</f>
        <v/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",TRUE,UNIQUE(FILTER(소재DB_RAW!$K$3:$K$2000,(소재DB_RAW!$G$3:$G$2000=$D278)*ISERROR(SEARCH("drop",소재DB_RAW!$C$3:$C$2000))))),"")</f>
        <v/>
      </c>
      <c r="W278" s="20" t="inlineStr">
        <is>
          <t>베트남</t>
        </is>
      </c>
      <c r="X278" s="20">
        <f>IFERROR(TEXTJOIN(" / ",TRUE,UNIQUE(FILTER(소재DB_RAW!$N$3:$N$2000,(소재DB_RAW!$G$3:$G$2000=$D278)*ISERROR(SEARCH("drop",소재DB_RAW!$C$3:$C$2000))))),"")</f>
        <v/>
      </c>
      <c r="Y278" s="26">
        <f>IFERROR(TEXTJOIN(CHAR(10),TRUE,UNIQUE(FILTER(소재DB_RAW!$N$3:$N$2000&amp;") "&amp;소재DB_RAW!$O$3:$O$2000,(소재DB_RAW!$G$3:$G$2000=$D278)*ISNUMBER(SEARCH("겉감",소재DB_RAW!$M$3:$M$2000))*ISERROR(SEARCH("drop",소재DB_RAW!$C$3:$C$2000))))),"")</f>
        <v/>
      </c>
      <c r="Z278" s="26">
        <f>IFERROR(TEXTJOIN(CHAR(10),TRUE,UNIQUE(FILTER(소재DB_RAW!$N$3:$N$2000&amp;") "&amp;소재DB_RAW!$O$3:$O$2000,(소재DB_RAW!$G$3:$G$2000=$D278)*ISNUMBER(SEARCH("안감",소재DB_RAW!$M$3:$M$2000))*ISERROR(SEARCH("drop",소재DB_RAW!$C$3:$C$2000))))),"")</f>
        <v/>
      </c>
      <c r="AA278" s="22">
        <f>IFERROR(MAX(FILTER(소재DB_RAW!$AK$3:$AK$2000,(소재DB_RAW!$G$3:$G$2000=$D278)*ISERROR(SEARCH("drop",소재DB_RAW!$C$3:$C$2000))*(소재DB_RAW!$AK$3:$AK$2000&lt;&gt;""))),"")</f>
        <v/>
      </c>
      <c r="AB278" s="27" t="n">
        <v>3500</v>
      </c>
      <c r="AC278" s="27" t="n">
        <v>154192500</v>
      </c>
      <c r="AD278" s="27" t="n">
        <v>693000000</v>
      </c>
      <c r="AE278" s="20" t="inlineStr">
        <is>
          <t>3월4주</t>
        </is>
      </c>
      <c r="AF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G278" s="19">
        <f>IF($K278="","",IF(OR(LEFT($AF278,2)="작지",LEFT($AF278,4)="소재입고"),IF(LEFT($G278,1)="S","★ 납기위험(S코드)","◆ 지연주의"),IF($AF278="정상","✓ 정상","? 확인필요")))</f>
        <v/>
      </c>
      <c r="AH278" s="21" t="n"/>
      <c r="AI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19">
        <f>IF(COUNTIF(EDW_RAW!$A$2:$A$1500,$D279)=0,"",IF(COUNTIFS(EDW_RAW!$A$2:$A$1500,$D279,EDW_RAW!$R$2:$R$1500,"&lt;&gt;~",EDW_RAW!$R$2:$R$1500,"&lt;&gt;")=COUNTIF(EDW_RAW!$A$2:$A$1500,$D279),"O",IF(COUNTIFS(EDW_RAW!$A$2:$A$1500,$D279,EDW_RAW!$R$2:$R$1500,"&lt;&gt;~",EDW_RAW!$R$2:$R$1500,"&lt;&gt;")&gt;0,"부분","X")))</f>
        <v/>
      </c>
      <c r="R279" s="19">
        <f>IF(COUNTIF(EDW_RAW!$A$2:$A$1500,$D279)=0,"",IF(COUNTIFS(EDW_RAW!$A$2:$A$1500,$D279,EDW_RAW!$U$2:$U$1500,"&lt;&gt;~",EDW_RAW!$U$2:$U$1500,"&lt;&gt;")=COUNTIF(EDW_RAW!$A$2:$A$1500,$D279),"O",IF(COUNTIFS(EDW_RAW!$A$2:$A$1500,$D279,EDW_RAW!$U$2:$U$1500,"&lt;&gt;~",EDW_RAW!$U$2:$U$1500,"&lt;&gt;")&gt;0,"부분","X")))</f>
        <v/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",TRUE,UNIQUE(FILTER(소재DB_RAW!$K$3:$K$2000,(소재DB_RAW!$G$3:$G$2000=$D279)*ISERROR(SEARCH("drop",소재DB_RAW!$C$3:$C$2000))))),"")</f>
        <v/>
      </c>
      <c r="W279" s="20" t="inlineStr">
        <is>
          <t>베트남</t>
        </is>
      </c>
      <c r="X279" s="20">
        <f>IFERROR(TEXTJOIN(" / ",TRUE,UNIQUE(FILTER(소재DB_RAW!$N$3:$N$2000,(소재DB_RAW!$G$3:$G$2000=$D279)*ISERROR(SEARCH("drop",소재DB_RAW!$C$3:$C$2000))))),"")</f>
        <v/>
      </c>
      <c r="Y279" s="26">
        <f>IFERROR(TEXTJOIN(CHAR(10),TRUE,UNIQUE(FILTER(소재DB_RAW!$N$3:$N$2000&amp;") "&amp;소재DB_RAW!$O$3:$O$2000,(소재DB_RAW!$G$3:$G$2000=$D279)*ISNUMBER(SEARCH("겉감",소재DB_RAW!$M$3:$M$2000))*ISERROR(SEARCH("drop",소재DB_RAW!$C$3:$C$2000))))),"")</f>
        <v/>
      </c>
      <c r="Z279" s="26">
        <f>IFERROR(TEXTJOIN(CHAR(10),TRUE,UNIQUE(FILTER(소재DB_RAW!$N$3:$N$2000&amp;") "&amp;소재DB_RAW!$O$3:$O$2000,(소재DB_RAW!$G$3:$G$2000=$D279)*ISNUMBER(SEARCH("안감",소재DB_RAW!$M$3:$M$2000))*ISERROR(SEARCH("drop",소재DB_RAW!$C$3:$C$2000))))),"")</f>
        <v/>
      </c>
      <c r="AA279" s="22">
        <f>IFERROR(MAX(FILTER(소재DB_RAW!$AK$3:$AK$2000,(소재DB_RAW!$G$3:$G$2000=$D279)*ISERROR(SEARCH("drop",소재DB_RAW!$C$3:$C$2000))*(소재DB_RAW!$AK$3:$AK$2000&lt;&gt;""))),"")</f>
        <v/>
      </c>
      <c r="AB279" s="27" t="n">
        <v>3500</v>
      </c>
      <c r="AC279" s="27" t="n">
        <v>94500000</v>
      </c>
      <c r="AD279" s="27" t="n">
        <v>518000000</v>
      </c>
      <c r="AE279" s="20" t="inlineStr">
        <is>
          <t>3월4주</t>
        </is>
      </c>
      <c r="AF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G279" s="19">
        <f>IF($K279="","",IF(OR(LEFT($AF279,2)="작지",LEFT($AF279,4)="소재입고"),IF(LEFT($G279,1)="S","★ 납기위험(S코드)","◆ 지연주의"),IF($AF279="정상","✓ 정상","? 확인필요")))</f>
        <v/>
      </c>
      <c r="AH279" s="21" t="n"/>
      <c r="AI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19">
        <f>IF(COUNTIF(EDW_RAW!$A$2:$A$1500,$D280)=0,"",IF(COUNTIFS(EDW_RAW!$A$2:$A$1500,$D280,EDW_RAW!$R$2:$R$1500,"&lt;&gt;~",EDW_RAW!$R$2:$R$1500,"&lt;&gt;")=COUNTIF(EDW_RAW!$A$2:$A$1500,$D280),"O",IF(COUNTIFS(EDW_RAW!$A$2:$A$1500,$D280,EDW_RAW!$R$2:$R$1500,"&lt;&gt;~",EDW_RAW!$R$2:$R$1500,"&lt;&gt;")&gt;0,"부분","X")))</f>
        <v/>
      </c>
      <c r="R280" s="19">
        <f>IF(COUNTIF(EDW_RAW!$A$2:$A$1500,$D280)=0,"",IF(COUNTIFS(EDW_RAW!$A$2:$A$1500,$D280,EDW_RAW!$U$2:$U$1500,"&lt;&gt;~",EDW_RAW!$U$2:$U$1500,"&lt;&gt;")=COUNTIF(EDW_RAW!$A$2:$A$1500,$D280),"O",IF(COUNTIFS(EDW_RAW!$A$2:$A$1500,$D280,EDW_RAW!$U$2:$U$1500,"&lt;&gt;~",EDW_RAW!$U$2:$U$1500,"&lt;&gt;")&gt;0,"부분","X")))</f>
        <v/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",TRUE,UNIQUE(FILTER(소재DB_RAW!$K$3:$K$2000,(소재DB_RAW!$G$3:$G$2000=$D280)*ISERROR(SEARCH("drop",소재DB_RAW!$C$3:$C$2000))))),"")</f>
        <v/>
      </c>
      <c r="W280" s="20" t="inlineStr">
        <is>
          <t>베트남</t>
        </is>
      </c>
      <c r="X280" s="20">
        <f>IFERROR(TEXTJOIN(" / ",TRUE,UNIQUE(FILTER(소재DB_RAW!$N$3:$N$2000,(소재DB_RAW!$G$3:$G$2000=$D280)*ISERROR(SEARCH("drop",소재DB_RAW!$C$3:$C$2000))))),"")</f>
        <v/>
      </c>
      <c r="Y280" s="26">
        <f>IFERROR(TEXTJOIN(CHAR(10),TRUE,UNIQUE(FILTER(소재DB_RAW!$N$3:$N$2000&amp;") "&amp;소재DB_RAW!$O$3:$O$2000,(소재DB_RAW!$G$3:$G$2000=$D280)*ISNUMBER(SEARCH("겉감",소재DB_RAW!$M$3:$M$2000))*ISERROR(SEARCH("drop",소재DB_RAW!$C$3:$C$2000))))),"")</f>
        <v/>
      </c>
      <c r="Z280" s="26">
        <f>IFERROR(TEXTJOIN(CHAR(10),TRUE,UNIQUE(FILTER(소재DB_RAW!$N$3:$N$2000&amp;") "&amp;소재DB_RAW!$O$3:$O$2000,(소재DB_RAW!$G$3:$G$2000=$D280)*ISNUMBER(SEARCH("안감",소재DB_RAW!$M$3:$M$2000))*ISERROR(SEARCH("drop",소재DB_RAW!$C$3:$C$2000))))),"")</f>
        <v/>
      </c>
      <c r="AA280" s="22">
        <f>IFERROR(MAX(FILTER(소재DB_RAW!$AK$3:$AK$2000,(소재DB_RAW!$G$3:$G$2000=$D280)*ISERROR(SEARCH("drop",소재DB_RAW!$C$3:$C$2000))*(소재DB_RAW!$AK$3:$AK$2000&lt;&gt;""))),"")</f>
        <v/>
      </c>
      <c r="AB280" s="27" t="n">
        <v>7000</v>
      </c>
      <c r="AC280" s="27" t="n">
        <v>224476000</v>
      </c>
      <c r="AD280" s="27" t="n">
        <v>1106000000</v>
      </c>
      <c r="AE280" s="20" t="inlineStr">
        <is>
          <t>3월4주</t>
        </is>
      </c>
      <c r="AF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G280" s="19">
        <f>IF($K280="","",IF(OR(LEFT($AF280,2)="작지",LEFT($AF280,4)="소재입고"),IF(LEFT($G280,1)="S","★ 납기위험(S코드)","◆ 지연주의"),IF($AF280="정상","✓ 정상","? 확인필요")))</f>
        <v/>
      </c>
      <c r="AH280" s="21" t="n"/>
      <c r="AI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19">
        <f>IF(COUNTIF(EDW_RAW!$A$2:$A$1500,$D281)=0,"",IF(COUNTIFS(EDW_RAW!$A$2:$A$1500,$D281,EDW_RAW!$R$2:$R$1500,"&lt;&gt;~",EDW_RAW!$R$2:$R$1500,"&lt;&gt;")=COUNTIF(EDW_RAW!$A$2:$A$1500,$D281),"O",IF(COUNTIFS(EDW_RAW!$A$2:$A$1500,$D281,EDW_RAW!$R$2:$R$1500,"&lt;&gt;~",EDW_RAW!$R$2:$R$1500,"&lt;&gt;")&gt;0,"부분","X")))</f>
        <v/>
      </c>
      <c r="R281" s="19">
        <f>IF(COUNTIF(EDW_RAW!$A$2:$A$1500,$D281)=0,"",IF(COUNTIFS(EDW_RAW!$A$2:$A$1500,$D281,EDW_RAW!$U$2:$U$1500,"&lt;&gt;~",EDW_RAW!$U$2:$U$1500,"&lt;&gt;")=COUNTIF(EDW_RAW!$A$2:$A$1500,$D281),"O",IF(COUNTIFS(EDW_RAW!$A$2:$A$1500,$D281,EDW_RAW!$U$2:$U$1500,"&lt;&gt;~",EDW_RAW!$U$2:$U$1500,"&lt;&gt;")&gt;0,"부분","X")))</f>
        <v/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",TRUE,UNIQUE(FILTER(소재DB_RAW!$K$3:$K$2000,(소재DB_RAW!$G$3:$G$2000=$D281)*ISERROR(SEARCH("drop",소재DB_RAW!$C$3:$C$2000))))),"")</f>
        <v/>
      </c>
      <c r="W281" s="20" t="inlineStr">
        <is>
          <t>베트남</t>
        </is>
      </c>
      <c r="X281" s="20">
        <f>IFERROR(TEXTJOIN(" / ",TRUE,UNIQUE(FILTER(소재DB_RAW!$N$3:$N$2000,(소재DB_RAW!$G$3:$G$2000=$D281)*ISERROR(SEARCH("drop",소재DB_RAW!$C$3:$C$2000))))),"")</f>
        <v/>
      </c>
      <c r="Y281" s="26">
        <f>IFERROR(TEXTJOIN(CHAR(10),TRUE,UNIQUE(FILTER(소재DB_RAW!$N$3:$N$2000&amp;") "&amp;소재DB_RAW!$O$3:$O$2000,(소재DB_RAW!$G$3:$G$2000=$D281)*ISNUMBER(SEARCH("겉감",소재DB_RAW!$M$3:$M$2000))*ISERROR(SEARCH("drop",소재DB_RAW!$C$3:$C$2000))))),"")</f>
        <v/>
      </c>
      <c r="Z281" s="26">
        <f>IFERROR(TEXTJOIN(CHAR(10),TRUE,UNIQUE(FILTER(소재DB_RAW!$N$3:$N$2000&amp;") "&amp;소재DB_RAW!$O$3:$O$2000,(소재DB_RAW!$G$3:$G$2000=$D281)*ISNUMBER(SEARCH("안감",소재DB_RAW!$M$3:$M$2000))*ISERROR(SEARCH("drop",소재DB_RAW!$C$3:$C$2000))))),"")</f>
        <v/>
      </c>
      <c r="AA281" s="22">
        <f>IFERROR(MAX(FILTER(소재DB_RAW!$AK$3:$AK$2000,(소재DB_RAW!$G$3:$G$2000=$D281)*ISERROR(SEARCH("drop",소재DB_RAW!$C$3:$C$2000))*(소재DB_RAW!$AK$3:$AK$2000&lt;&gt;""))),"")</f>
        <v/>
      </c>
      <c r="AB281" s="27" t="n">
        <v>3000</v>
      </c>
      <c r="AC281" s="27" t="n">
        <v>97056000</v>
      </c>
      <c r="AD281" s="27" t="n">
        <v>444000000</v>
      </c>
      <c r="AE281" s="20" t="n"/>
      <c r="AF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G281" s="19">
        <f>IF($K281="","",IF(OR(LEFT($AF281,2)="작지",LEFT($AF281,4)="소재입고"),IF(LEFT($G281,1)="S","★ 납기위험(S코드)","◆ 지연주의"),IF($AF281="정상","✓ 정상","? 확인필요")))</f>
        <v/>
      </c>
      <c r="AH281" s="21" t="n"/>
      <c r="AI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19">
        <f>IF(COUNTIF(EDW_RAW!$A$2:$A$1500,$D282)=0,"",IF(COUNTIFS(EDW_RAW!$A$2:$A$1500,$D282,EDW_RAW!$R$2:$R$1500,"&lt;&gt;~",EDW_RAW!$R$2:$R$1500,"&lt;&gt;")=COUNTIF(EDW_RAW!$A$2:$A$1500,$D282),"O",IF(COUNTIFS(EDW_RAW!$A$2:$A$1500,$D282,EDW_RAW!$R$2:$R$1500,"&lt;&gt;~",EDW_RAW!$R$2:$R$1500,"&lt;&gt;")&gt;0,"부분","X")))</f>
        <v/>
      </c>
      <c r="R282" s="19">
        <f>IF(COUNTIF(EDW_RAW!$A$2:$A$1500,$D282)=0,"",IF(COUNTIFS(EDW_RAW!$A$2:$A$1500,$D282,EDW_RAW!$U$2:$U$1500,"&lt;&gt;~",EDW_RAW!$U$2:$U$1500,"&lt;&gt;")=COUNTIF(EDW_RAW!$A$2:$A$1500,$D282),"O",IF(COUNTIFS(EDW_RAW!$A$2:$A$1500,$D282,EDW_RAW!$U$2:$U$1500,"&lt;&gt;~",EDW_RAW!$U$2:$U$1500,"&lt;&gt;")&gt;0,"부분","X")))</f>
        <v/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",TRUE,UNIQUE(FILTER(소재DB_RAW!$K$3:$K$2000,(소재DB_RAW!$G$3:$G$2000=$D282)*ISERROR(SEARCH("drop",소재DB_RAW!$C$3:$C$2000))))),"")</f>
        <v/>
      </c>
      <c r="W282" s="20" t="inlineStr">
        <is>
          <t>베트남</t>
        </is>
      </c>
      <c r="X282" s="20">
        <f>IFERROR(TEXTJOIN(" / ",TRUE,UNIQUE(FILTER(소재DB_RAW!$N$3:$N$2000,(소재DB_RAW!$G$3:$G$2000=$D282)*ISERROR(SEARCH("drop",소재DB_RAW!$C$3:$C$2000))))),"")</f>
        <v/>
      </c>
      <c r="Y282" s="26">
        <f>IFERROR(TEXTJOIN(CHAR(10),TRUE,UNIQUE(FILTER(소재DB_RAW!$N$3:$N$2000&amp;") "&amp;소재DB_RAW!$O$3:$O$2000,(소재DB_RAW!$G$3:$G$2000=$D282)*ISNUMBER(SEARCH("겉감",소재DB_RAW!$M$3:$M$2000))*ISERROR(SEARCH("drop",소재DB_RAW!$C$3:$C$2000))))),"")</f>
        <v/>
      </c>
      <c r="Z282" s="26">
        <f>IFERROR(TEXTJOIN(CHAR(10),TRUE,UNIQUE(FILTER(소재DB_RAW!$N$3:$N$2000&amp;") "&amp;소재DB_RAW!$O$3:$O$2000,(소재DB_RAW!$G$3:$G$2000=$D282)*ISNUMBER(SEARCH("안감",소재DB_RAW!$M$3:$M$2000))*ISERROR(SEARCH("drop",소재DB_RAW!$C$3:$C$2000))))),"")</f>
        <v/>
      </c>
      <c r="AA282" s="22">
        <f>IFERROR(MAX(FILTER(소재DB_RAW!$AK$3:$AK$2000,(소재DB_RAW!$G$3:$G$2000=$D282)*ISERROR(SEARCH("drop",소재DB_RAW!$C$3:$C$2000))*(소재DB_RAW!$AK$3:$AK$2000&lt;&gt;""))),"")</f>
        <v/>
      </c>
      <c r="AB282" s="27" t="n">
        <v>1600</v>
      </c>
      <c r="AC282" s="27" t="n">
        <v>57788800</v>
      </c>
      <c r="AD282" s="27" t="n">
        <v>252800000</v>
      </c>
      <c r="AE282" s="20" t="inlineStr">
        <is>
          <t>3월4주</t>
        </is>
      </c>
      <c r="AF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G282" s="19">
        <f>IF($K282="","",IF(OR(LEFT($AF282,2)="작지",LEFT($AF282,4)="소재입고"),IF(LEFT($G282,1)="S","★ 납기위험(S코드)","◆ 지연주의"),IF($AF282="정상","✓ 정상","? 확인필요")))</f>
        <v/>
      </c>
      <c r="AH282" s="21" t="n"/>
      <c r="AI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19">
        <f>IF(COUNTIF(EDW_RAW!$A$2:$A$1500,$D283)=0,"",IF(COUNTIFS(EDW_RAW!$A$2:$A$1500,$D283,EDW_RAW!$R$2:$R$1500,"&lt;&gt;~",EDW_RAW!$R$2:$R$1500,"&lt;&gt;")=COUNTIF(EDW_RAW!$A$2:$A$1500,$D283),"O",IF(COUNTIFS(EDW_RAW!$A$2:$A$1500,$D283,EDW_RAW!$R$2:$R$1500,"&lt;&gt;~",EDW_RAW!$R$2:$R$1500,"&lt;&gt;")&gt;0,"부분","X")))</f>
        <v/>
      </c>
      <c r="R283" s="19">
        <f>IF(COUNTIF(EDW_RAW!$A$2:$A$1500,$D283)=0,"",IF(COUNTIFS(EDW_RAW!$A$2:$A$1500,$D283,EDW_RAW!$U$2:$U$1500,"&lt;&gt;~",EDW_RAW!$U$2:$U$1500,"&lt;&gt;")=COUNTIF(EDW_RAW!$A$2:$A$1500,$D283),"O",IF(COUNTIFS(EDW_RAW!$A$2:$A$1500,$D283,EDW_RAW!$U$2:$U$1500,"&lt;&gt;~",EDW_RAW!$U$2:$U$1500,"&lt;&gt;")&gt;0,"부분","X")))</f>
        <v/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",TRUE,UNIQUE(FILTER(소재DB_RAW!$K$3:$K$2000,(소재DB_RAW!$G$3:$G$2000=$D283)*ISERROR(SEARCH("drop",소재DB_RAW!$C$3:$C$2000))))),"")</f>
        <v/>
      </c>
      <c r="W283" s="20" t="inlineStr">
        <is>
          <t>인도네시아</t>
        </is>
      </c>
      <c r="X283" s="20">
        <f>IFERROR(TEXTJOIN(" / ",TRUE,UNIQUE(FILTER(소재DB_RAW!$N$3:$N$2000,(소재DB_RAW!$G$3:$G$2000=$D283)*ISERROR(SEARCH("drop",소재DB_RAW!$C$3:$C$2000))))),"")</f>
        <v/>
      </c>
      <c r="Y283" s="26">
        <f>IFERROR(TEXTJOIN(CHAR(10),TRUE,UNIQUE(FILTER(소재DB_RAW!$N$3:$N$2000&amp;") "&amp;소재DB_RAW!$O$3:$O$2000,(소재DB_RAW!$G$3:$G$2000=$D283)*ISNUMBER(SEARCH("겉감",소재DB_RAW!$M$3:$M$2000))*ISERROR(SEARCH("drop",소재DB_RAW!$C$3:$C$2000))))),"")</f>
        <v/>
      </c>
      <c r="Z283" s="26">
        <f>IFERROR(TEXTJOIN(CHAR(10),TRUE,UNIQUE(FILTER(소재DB_RAW!$N$3:$N$2000&amp;") "&amp;소재DB_RAW!$O$3:$O$2000,(소재DB_RAW!$G$3:$G$2000=$D283)*ISNUMBER(SEARCH("안감",소재DB_RAW!$M$3:$M$2000))*ISERROR(SEARCH("drop",소재DB_RAW!$C$3:$C$2000))))),"")</f>
        <v/>
      </c>
      <c r="AA283" s="22">
        <f>IFERROR(MAX(FILTER(소재DB_RAW!$AK$3:$AK$2000,(소재DB_RAW!$G$3:$G$2000=$D283)*ISERROR(SEARCH("drop",소재DB_RAW!$C$3:$C$2000))*(소재DB_RAW!$AK$3:$AK$2000&lt;&gt;""))),"")</f>
        <v/>
      </c>
      <c r="AB283" s="27" t="n">
        <v>1200</v>
      </c>
      <c r="AC283" s="27" t="n">
        <v>31116000</v>
      </c>
      <c r="AD283" s="27" t="n">
        <v>153600000</v>
      </c>
      <c r="AE283" s="20" t="inlineStr">
        <is>
          <t>3월4주</t>
        </is>
      </c>
      <c r="AF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G283" s="19">
        <f>IF($K283="","",IF(OR(LEFT($AF283,2)="작지",LEFT($AF283,4)="소재입고"),IF(LEFT($G283,1)="S","★ 납기위험(S코드)","◆ 지연주의"),IF($AF283="정상","✓ 정상","? 확인필요")))</f>
        <v/>
      </c>
      <c r="AH283" s="21" t="n"/>
      <c r="AI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19">
        <f>IF(COUNTIF(EDW_RAW!$A$2:$A$1500,$D284)=0,"",IF(COUNTIFS(EDW_RAW!$A$2:$A$1500,$D284,EDW_RAW!$R$2:$R$1500,"&lt;&gt;~",EDW_RAW!$R$2:$R$1500,"&lt;&gt;")=COUNTIF(EDW_RAW!$A$2:$A$1500,$D284),"O",IF(COUNTIFS(EDW_RAW!$A$2:$A$1500,$D284,EDW_RAW!$R$2:$R$1500,"&lt;&gt;~",EDW_RAW!$R$2:$R$1500,"&lt;&gt;")&gt;0,"부분","X")))</f>
        <v/>
      </c>
      <c r="R284" s="19">
        <f>IF(COUNTIF(EDW_RAW!$A$2:$A$1500,$D284)=0,"",IF(COUNTIFS(EDW_RAW!$A$2:$A$1500,$D284,EDW_RAW!$U$2:$U$1500,"&lt;&gt;~",EDW_RAW!$U$2:$U$1500,"&lt;&gt;")=COUNTIF(EDW_RAW!$A$2:$A$1500,$D284),"O",IF(COUNTIFS(EDW_RAW!$A$2:$A$1500,$D284,EDW_RAW!$U$2:$U$1500,"&lt;&gt;~",EDW_RAW!$U$2:$U$1500,"&lt;&gt;")&gt;0,"부분","X")))</f>
        <v/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",TRUE,UNIQUE(FILTER(소재DB_RAW!$K$3:$K$2000,(소재DB_RAW!$G$3:$G$2000=$D284)*ISERROR(SEARCH("drop",소재DB_RAW!$C$3:$C$2000))))),"")</f>
        <v/>
      </c>
      <c r="W284" s="20" t="inlineStr">
        <is>
          <t>인도네시아</t>
        </is>
      </c>
      <c r="X284" s="20">
        <f>IFERROR(TEXTJOIN(" / ",TRUE,UNIQUE(FILTER(소재DB_RAW!$N$3:$N$2000,(소재DB_RAW!$G$3:$G$2000=$D284)*ISERROR(SEARCH("drop",소재DB_RAW!$C$3:$C$2000))))),"")</f>
        <v/>
      </c>
      <c r="Y284" s="26">
        <f>IFERROR(TEXTJOIN(CHAR(10),TRUE,UNIQUE(FILTER(소재DB_RAW!$N$3:$N$2000&amp;") "&amp;소재DB_RAW!$O$3:$O$2000,(소재DB_RAW!$G$3:$G$2000=$D284)*ISNUMBER(SEARCH("겉감",소재DB_RAW!$M$3:$M$2000))*ISERROR(SEARCH("drop",소재DB_RAW!$C$3:$C$2000))))),"")</f>
        <v/>
      </c>
      <c r="Z284" s="26">
        <f>IFERROR(TEXTJOIN(CHAR(10),TRUE,UNIQUE(FILTER(소재DB_RAW!$N$3:$N$2000&amp;") "&amp;소재DB_RAW!$O$3:$O$2000,(소재DB_RAW!$G$3:$G$2000=$D284)*ISNUMBER(SEARCH("안감",소재DB_RAW!$M$3:$M$2000))*ISERROR(SEARCH("drop",소재DB_RAW!$C$3:$C$2000))))),"")</f>
        <v/>
      </c>
      <c r="AA284" s="22">
        <f>IFERROR(MAX(FILTER(소재DB_RAW!$AK$3:$AK$2000,(소재DB_RAW!$G$3:$G$2000=$D284)*ISERROR(SEARCH("drop",소재DB_RAW!$C$3:$C$2000))*(소재DB_RAW!$AK$3:$AK$2000&lt;&gt;""))),"")</f>
        <v/>
      </c>
      <c r="AB284" s="27" t="n">
        <v>35000</v>
      </c>
      <c r="AC284" s="27" t="n">
        <v>527730000</v>
      </c>
      <c r="AD284" s="27" t="n">
        <v>3080000000</v>
      </c>
      <c r="AE284" s="20" t="inlineStr">
        <is>
          <t>3월4주</t>
        </is>
      </c>
      <c r="AF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G284" s="19">
        <f>IF($K284="","",IF(OR(LEFT($AF284,2)="작지",LEFT($AF284,4)="소재입고"),IF(LEFT($G284,1)="S","★ 납기위험(S코드)","◆ 지연주의"),IF($AF284="정상","✓ 정상","? 확인필요")))</f>
        <v/>
      </c>
      <c r="AH284" s="21" t="n"/>
      <c r="AI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19">
        <f>IF(COUNTIF(EDW_RAW!$A$2:$A$1500,$D285)=0,"",IF(COUNTIFS(EDW_RAW!$A$2:$A$1500,$D285,EDW_RAW!$R$2:$R$1500,"&lt;&gt;~",EDW_RAW!$R$2:$R$1500,"&lt;&gt;")=COUNTIF(EDW_RAW!$A$2:$A$1500,$D285),"O",IF(COUNTIFS(EDW_RAW!$A$2:$A$1500,$D285,EDW_RAW!$R$2:$R$1500,"&lt;&gt;~",EDW_RAW!$R$2:$R$1500,"&lt;&gt;")&gt;0,"부분","X")))</f>
        <v/>
      </c>
      <c r="R285" s="19">
        <f>IF(COUNTIF(EDW_RAW!$A$2:$A$1500,$D285)=0,"",IF(COUNTIFS(EDW_RAW!$A$2:$A$1500,$D285,EDW_RAW!$U$2:$U$1500,"&lt;&gt;~",EDW_RAW!$U$2:$U$1500,"&lt;&gt;")=COUNTIF(EDW_RAW!$A$2:$A$1500,$D285),"O",IF(COUNTIFS(EDW_RAW!$A$2:$A$1500,$D285,EDW_RAW!$U$2:$U$1500,"&lt;&gt;~",EDW_RAW!$U$2:$U$1500,"&lt;&gt;")&gt;0,"부분","X")))</f>
        <v/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",TRUE,UNIQUE(FILTER(소재DB_RAW!$K$3:$K$2000,(소재DB_RAW!$G$3:$G$2000=$D285)*ISERROR(SEARCH("drop",소재DB_RAW!$C$3:$C$2000))))),"")</f>
        <v/>
      </c>
      <c r="W285" s="20" t="inlineStr">
        <is>
          <t>인도네시아</t>
        </is>
      </c>
      <c r="X285" s="20">
        <f>IFERROR(TEXTJOIN(" / ",TRUE,UNIQUE(FILTER(소재DB_RAW!$N$3:$N$2000,(소재DB_RAW!$G$3:$G$2000=$D285)*ISERROR(SEARCH("drop",소재DB_RAW!$C$3:$C$2000))))),"")</f>
        <v/>
      </c>
      <c r="Y285" s="26">
        <f>IFERROR(TEXTJOIN(CHAR(10),TRUE,UNIQUE(FILTER(소재DB_RAW!$N$3:$N$2000&amp;") "&amp;소재DB_RAW!$O$3:$O$2000,(소재DB_RAW!$G$3:$G$2000=$D285)*ISNUMBER(SEARCH("겉감",소재DB_RAW!$M$3:$M$2000))*ISERROR(SEARCH("drop",소재DB_RAW!$C$3:$C$2000))))),"")</f>
        <v/>
      </c>
      <c r="Z285" s="26">
        <f>IFERROR(TEXTJOIN(CHAR(10),TRUE,UNIQUE(FILTER(소재DB_RAW!$N$3:$N$2000&amp;") "&amp;소재DB_RAW!$O$3:$O$2000,(소재DB_RAW!$G$3:$G$2000=$D285)*ISNUMBER(SEARCH("안감",소재DB_RAW!$M$3:$M$2000))*ISERROR(SEARCH("drop",소재DB_RAW!$C$3:$C$2000))))),"")</f>
        <v/>
      </c>
      <c r="AA285" s="22">
        <f>IFERROR(MAX(FILTER(소재DB_RAW!$AK$3:$AK$2000,(소재DB_RAW!$G$3:$G$2000=$D285)*ISERROR(SEARCH("drop",소재DB_RAW!$C$3:$C$2000))*(소재DB_RAW!$AK$3:$AK$2000&lt;&gt;""))),"")</f>
        <v/>
      </c>
      <c r="AB285" s="27" t="n">
        <v>3500</v>
      </c>
      <c r="AC285" s="27" t="n">
        <v>60399500</v>
      </c>
      <c r="AD285" s="27" t="n">
        <v>308000000</v>
      </c>
      <c r="AE285" s="20" t="inlineStr">
        <is>
          <t>3월4주</t>
        </is>
      </c>
      <c r="AF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G285" s="19">
        <f>IF($K285="","",IF(OR(LEFT($AF285,2)="작지",LEFT($AF285,4)="소재입고"),IF(LEFT($G285,1)="S","★ 납기위험(S코드)","◆ 지연주의"),IF($AF285="정상","✓ 정상","? 확인필요")))</f>
        <v/>
      </c>
      <c r="AH285" s="21" t="n"/>
      <c r="AI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19">
        <f>IF(COUNTIF(EDW_RAW!$A$2:$A$1500,$D286)=0,"",IF(COUNTIFS(EDW_RAW!$A$2:$A$1500,$D286,EDW_RAW!$R$2:$R$1500,"&lt;&gt;~",EDW_RAW!$R$2:$R$1500,"&lt;&gt;")=COUNTIF(EDW_RAW!$A$2:$A$1500,$D286),"O",IF(COUNTIFS(EDW_RAW!$A$2:$A$1500,$D286,EDW_RAW!$R$2:$R$1500,"&lt;&gt;~",EDW_RAW!$R$2:$R$1500,"&lt;&gt;")&gt;0,"부분","X")))</f>
        <v/>
      </c>
      <c r="R286" s="19">
        <f>IF(COUNTIF(EDW_RAW!$A$2:$A$1500,$D286)=0,"",IF(COUNTIFS(EDW_RAW!$A$2:$A$1500,$D286,EDW_RAW!$U$2:$U$1500,"&lt;&gt;~",EDW_RAW!$U$2:$U$1500,"&lt;&gt;")=COUNTIF(EDW_RAW!$A$2:$A$1500,$D286),"O",IF(COUNTIFS(EDW_RAW!$A$2:$A$1500,$D286,EDW_RAW!$U$2:$U$1500,"&lt;&gt;~",EDW_RAW!$U$2:$U$1500,"&lt;&gt;")&gt;0,"부분","X")))</f>
        <v/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",TRUE,UNIQUE(FILTER(소재DB_RAW!$K$3:$K$2000,(소재DB_RAW!$G$3:$G$2000=$D286)*ISERROR(SEARCH("drop",소재DB_RAW!$C$3:$C$2000))))),"")</f>
        <v/>
      </c>
      <c r="W286" s="20" t="inlineStr">
        <is>
          <t>인도네시아</t>
        </is>
      </c>
      <c r="X286" s="20">
        <f>IFERROR(TEXTJOIN(" / ",TRUE,UNIQUE(FILTER(소재DB_RAW!$N$3:$N$2000,(소재DB_RAW!$G$3:$G$2000=$D286)*ISERROR(SEARCH("drop",소재DB_RAW!$C$3:$C$2000))))),"")</f>
        <v/>
      </c>
      <c r="Y286" s="26">
        <f>IFERROR(TEXTJOIN(CHAR(10),TRUE,UNIQUE(FILTER(소재DB_RAW!$N$3:$N$2000&amp;") "&amp;소재DB_RAW!$O$3:$O$2000,(소재DB_RAW!$G$3:$G$2000=$D286)*ISNUMBER(SEARCH("겉감",소재DB_RAW!$M$3:$M$2000))*ISERROR(SEARCH("drop",소재DB_RAW!$C$3:$C$2000))))),"")</f>
        <v/>
      </c>
      <c r="Z286" s="26">
        <f>IFERROR(TEXTJOIN(CHAR(10),TRUE,UNIQUE(FILTER(소재DB_RAW!$N$3:$N$2000&amp;") "&amp;소재DB_RAW!$O$3:$O$2000,(소재DB_RAW!$G$3:$G$2000=$D286)*ISNUMBER(SEARCH("안감",소재DB_RAW!$M$3:$M$2000))*ISERROR(SEARCH("drop",소재DB_RAW!$C$3:$C$2000))))),"")</f>
        <v/>
      </c>
      <c r="AA286" s="22">
        <f>IFERROR(MAX(FILTER(소재DB_RAW!$AK$3:$AK$2000,(소재DB_RAW!$G$3:$G$2000=$D286)*ISERROR(SEARCH("drop",소재DB_RAW!$C$3:$C$2000))*(소재DB_RAW!$AK$3:$AK$2000&lt;&gt;""))),"")</f>
        <v/>
      </c>
      <c r="AB286" s="27" t="n">
        <v>3000</v>
      </c>
      <c r="AC286" s="27" t="n">
        <v>43143000</v>
      </c>
      <c r="AD286" s="27" t="n">
        <v>264000000</v>
      </c>
      <c r="AE286" s="20" t="inlineStr">
        <is>
          <t>3월4주</t>
        </is>
      </c>
      <c r="AF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G286" s="19">
        <f>IF($K286="","",IF(OR(LEFT($AF286,2)="작지",LEFT($AF286,4)="소재입고"),IF(LEFT($G286,1)="S","★ 납기위험(S코드)","◆ 지연주의"),IF($AF286="정상","✓ 정상","? 확인필요")))</f>
        <v/>
      </c>
      <c r="AH286" s="21" t="n"/>
      <c r="AI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19">
        <f>IF(COUNTIF(EDW_RAW!$A$2:$A$1500,$D287)=0,"",IF(COUNTIFS(EDW_RAW!$A$2:$A$1500,$D287,EDW_RAW!$R$2:$R$1500,"&lt;&gt;~",EDW_RAW!$R$2:$R$1500,"&lt;&gt;")=COUNTIF(EDW_RAW!$A$2:$A$1500,$D287),"O",IF(COUNTIFS(EDW_RAW!$A$2:$A$1500,$D287,EDW_RAW!$R$2:$R$1500,"&lt;&gt;~",EDW_RAW!$R$2:$R$1500,"&lt;&gt;")&gt;0,"부분","X")))</f>
        <v/>
      </c>
      <c r="R287" s="19">
        <f>IF(COUNTIF(EDW_RAW!$A$2:$A$1500,$D287)=0,"",IF(COUNTIFS(EDW_RAW!$A$2:$A$1500,$D287,EDW_RAW!$U$2:$U$1500,"&lt;&gt;~",EDW_RAW!$U$2:$U$1500,"&lt;&gt;")=COUNTIF(EDW_RAW!$A$2:$A$1500,$D287),"O",IF(COUNTIFS(EDW_RAW!$A$2:$A$1500,$D287,EDW_RAW!$U$2:$U$1500,"&lt;&gt;~",EDW_RAW!$U$2:$U$1500,"&lt;&gt;")&gt;0,"부분","X")))</f>
        <v/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",TRUE,UNIQUE(FILTER(소재DB_RAW!$K$3:$K$2000,(소재DB_RAW!$G$3:$G$2000=$D287)*ISERROR(SEARCH("drop",소재DB_RAW!$C$3:$C$2000))))),"")</f>
        <v/>
      </c>
      <c r="W287" s="20" t="inlineStr">
        <is>
          <t>인도네시아</t>
        </is>
      </c>
      <c r="X287" s="20">
        <f>IFERROR(TEXTJOIN(" / ",TRUE,UNIQUE(FILTER(소재DB_RAW!$N$3:$N$2000,(소재DB_RAW!$G$3:$G$2000=$D287)*ISERROR(SEARCH("drop",소재DB_RAW!$C$3:$C$2000))))),"")</f>
        <v/>
      </c>
      <c r="Y287" s="26">
        <f>IFERROR(TEXTJOIN(CHAR(10),TRUE,UNIQUE(FILTER(소재DB_RAW!$N$3:$N$2000&amp;") "&amp;소재DB_RAW!$O$3:$O$2000,(소재DB_RAW!$G$3:$G$2000=$D287)*ISNUMBER(SEARCH("겉감",소재DB_RAW!$M$3:$M$2000))*ISERROR(SEARCH("drop",소재DB_RAW!$C$3:$C$2000))))),"")</f>
        <v/>
      </c>
      <c r="Z287" s="26">
        <f>IFERROR(TEXTJOIN(CHAR(10),TRUE,UNIQUE(FILTER(소재DB_RAW!$N$3:$N$2000&amp;") "&amp;소재DB_RAW!$O$3:$O$2000,(소재DB_RAW!$G$3:$G$2000=$D287)*ISNUMBER(SEARCH("안감",소재DB_RAW!$M$3:$M$2000))*ISERROR(SEARCH("drop",소재DB_RAW!$C$3:$C$2000))))),"")</f>
        <v/>
      </c>
      <c r="AA287" s="22">
        <f>IFERROR(MAX(FILTER(소재DB_RAW!$AK$3:$AK$2000,(소재DB_RAW!$G$3:$G$2000=$D287)*ISERROR(SEARCH("drop",소재DB_RAW!$C$3:$C$2000))*(소재DB_RAW!$AK$3:$AK$2000&lt;&gt;""))),"")</f>
        <v/>
      </c>
      <c r="AB287" s="27" t="n">
        <v>2000</v>
      </c>
      <c r="AC287" s="27" t="n">
        <v>36166000</v>
      </c>
      <c r="AD287" s="27" t="n">
        <v>176000000</v>
      </c>
      <c r="AE287" s="20" t="inlineStr">
        <is>
          <t>3월4주</t>
        </is>
      </c>
      <c r="AF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G287" s="19">
        <f>IF($K287="","",IF(OR(LEFT($AF287,2)="작지",LEFT($AF287,4)="소재입고"),IF(LEFT($G287,1)="S","★ 납기위험(S코드)","◆ 지연주의"),IF($AF287="정상","✓ 정상","? 확인필요")))</f>
        <v/>
      </c>
      <c r="AH287" s="21" t="n"/>
      <c r="AI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19">
        <f>IF(COUNTIF(EDW_RAW!$A$2:$A$1500,$D288)=0,"",IF(COUNTIFS(EDW_RAW!$A$2:$A$1500,$D288,EDW_RAW!$R$2:$R$1500,"&lt;&gt;~",EDW_RAW!$R$2:$R$1500,"&lt;&gt;")=COUNTIF(EDW_RAW!$A$2:$A$1500,$D288),"O",IF(COUNTIFS(EDW_RAW!$A$2:$A$1500,$D288,EDW_RAW!$R$2:$R$1500,"&lt;&gt;~",EDW_RAW!$R$2:$R$1500,"&lt;&gt;")&gt;0,"부분","X")))</f>
        <v/>
      </c>
      <c r="R288" s="19">
        <f>IF(COUNTIF(EDW_RAW!$A$2:$A$1500,$D288)=0,"",IF(COUNTIFS(EDW_RAW!$A$2:$A$1500,$D288,EDW_RAW!$U$2:$U$1500,"&lt;&gt;~",EDW_RAW!$U$2:$U$1500,"&lt;&gt;")=COUNTIF(EDW_RAW!$A$2:$A$1500,$D288),"O",IF(COUNTIFS(EDW_RAW!$A$2:$A$1500,$D288,EDW_RAW!$U$2:$U$1500,"&lt;&gt;~",EDW_RAW!$U$2:$U$1500,"&lt;&gt;")&gt;0,"부분","X")))</f>
        <v/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",TRUE,UNIQUE(FILTER(소재DB_RAW!$K$3:$K$2000,(소재DB_RAW!$G$3:$G$2000=$D288)*ISERROR(SEARCH("drop",소재DB_RAW!$C$3:$C$2000))))),"")</f>
        <v/>
      </c>
      <c r="W288" s="20" t="inlineStr">
        <is>
          <t>베트남</t>
        </is>
      </c>
      <c r="X288" s="20">
        <f>IFERROR(TEXTJOIN(" / ",TRUE,UNIQUE(FILTER(소재DB_RAW!$N$3:$N$2000,(소재DB_RAW!$G$3:$G$2000=$D288)*ISERROR(SEARCH("drop",소재DB_RAW!$C$3:$C$2000))))),"")</f>
        <v/>
      </c>
      <c r="Y288" s="26">
        <f>IFERROR(TEXTJOIN(CHAR(10),TRUE,UNIQUE(FILTER(소재DB_RAW!$N$3:$N$2000&amp;") "&amp;소재DB_RAW!$O$3:$O$2000,(소재DB_RAW!$G$3:$G$2000=$D288)*ISNUMBER(SEARCH("겉감",소재DB_RAW!$M$3:$M$2000))*ISERROR(SEARCH("drop",소재DB_RAW!$C$3:$C$2000))))),"")</f>
        <v/>
      </c>
      <c r="Z288" s="26">
        <f>IFERROR(TEXTJOIN(CHAR(10),TRUE,UNIQUE(FILTER(소재DB_RAW!$N$3:$N$2000&amp;") "&amp;소재DB_RAW!$O$3:$O$2000,(소재DB_RAW!$G$3:$G$2000=$D288)*ISNUMBER(SEARCH("안감",소재DB_RAW!$M$3:$M$2000))*ISERROR(SEARCH("drop",소재DB_RAW!$C$3:$C$2000))))),"")</f>
        <v/>
      </c>
      <c r="AA288" s="22">
        <f>IFERROR(MAX(FILTER(소재DB_RAW!$AK$3:$AK$2000,(소재DB_RAW!$G$3:$G$2000=$D288)*ISERROR(SEARCH("drop",소재DB_RAW!$C$3:$C$2000))*(소재DB_RAW!$AK$3:$AK$2000&lt;&gt;""))),"")</f>
        <v/>
      </c>
      <c r="AB288" s="27" t="n">
        <v>2800</v>
      </c>
      <c r="AC288" s="27" t="n">
        <v>50372000</v>
      </c>
      <c r="AD288" s="27" t="n">
        <v>274400000</v>
      </c>
      <c r="AE288" s="20" t="inlineStr">
        <is>
          <t>44511</t>
        </is>
      </c>
      <c r="AF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G288" s="19">
        <f>IF($K288="","",IF(OR(LEFT($AF288,2)="작지",LEFT($AF288,4)="소재입고"),IF(LEFT($G288,1)="S","★ 납기위험(S코드)","◆ 지연주의"),IF($AF288="정상","✓ 정상","? 확인필요")))</f>
        <v/>
      </c>
      <c r="AH288" s="21" t="n"/>
      <c r="AI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19">
        <f>IF(COUNTIF(EDW_RAW!$A$2:$A$1500,$D289)=0,"",IF(COUNTIFS(EDW_RAW!$A$2:$A$1500,$D289,EDW_RAW!$R$2:$R$1500,"&lt;&gt;~",EDW_RAW!$R$2:$R$1500,"&lt;&gt;")=COUNTIF(EDW_RAW!$A$2:$A$1500,$D289),"O",IF(COUNTIFS(EDW_RAW!$A$2:$A$1500,$D289,EDW_RAW!$R$2:$R$1500,"&lt;&gt;~",EDW_RAW!$R$2:$R$1500,"&lt;&gt;")&gt;0,"부분","X")))</f>
        <v/>
      </c>
      <c r="R289" s="19">
        <f>IF(COUNTIF(EDW_RAW!$A$2:$A$1500,$D289)=0,"",IF(COUNTIFS(EDW_RAW!$A$2:$A$1500,$D289,EDW_RAW!$U$2:$U$1500,"&lt;&gt;~",EDW_RAW!$U$2:$U$1500,"&lt;&gt;")=COUNTIF(EDW_RAW!$A$2:$A$1500,$D289),"O",IF(COUNTIFS(EDW_RAW!$A$2:$A$1500,$D289,EDW_RAW!$U$2:$U$1500,"&lt;&gt;~",EDW_RAW!$U$2:$U$1500,"&lt;&gt;")&gt;0,"부분","X")))</f>
        <v/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",TRUE,UNIQUE(FILTER(소재DB_RAW!$K$3:$K$2000,(소재DB_RAW!$G$3:$G$2000=$D289)*ISERROR(SEARCH("drop",소재DB_RAW!$C$3:$C$2000))))),"")</f>
        <v/>
      </c>
      <c r="W289" s="20" t="inlineStr">
        <is>
          <t>베트남</t>
        </is>
      </c>
      <c r="X289" s="20">
        <f>IFERROR(TEXTJOIN(" / ",TRUE,UNIQUE(FILTER(소재DB_RAW!$N$3:$N$2000,(소재DB_RAW!$G$3:$G$2000=$D289)*ISERROR(SEARCH("drop",소재DB_RAW!$C$3:$C$2000))))),"")</f>
        <v/>
      </c>
      <c r="Y289" s="26">
        <f>IFERROR(TEXTJOIN(CHAR(10),TRUE,UNIQUE(FILTER(소재DB_RAW!$N$3:$N$2000&amp;") "&amp;소재DB_RAW!$O$3:$O$2000,(소재DB_RAW!$G$3:$G$2000=$D289)*ISNUMBER(SEARCH("겉감",소재DB_RAW!$M$3:$M$2000))*ISERROR(SEARCH("drop",소재DB_RAW!$C$3:$C$2000))))),"")</f>
        <v/>
      </c>
      <c r="Z289" s="26">
        <f>IFERROR(TEXTJOIN(CHAR(10),TRUE,UNIQUE(FILTER(소재DB_RAW!$N$3:$N$2000&amp;") "&amp;소재DB_RAW!$O$3:$O$2000,(소재DB_RAW!$G$3:$G$2000=$D289)*ISNUMBER(SEARCH("안감",소재DB_RAW!$M$3:$M$2000))*ISERROR(SEARCH("drop",소재DB_RAW!$C$3:$C$2000))))),"")</f>
        <v/>
      </c>
      <c r="AA289" s="22">
        <f>IFERROR(MAX(FILTER(소재DB_RAW!$AK$3:$AK$2000,(소재DB_RAW!$G$3:$G$2000=$D289)*ISERROR(SEARCH("drop",소재DB_RAW!$C$3:$C$2000))*(소재DB_RAW!$AK$3:$AK$2000&lt;&gt;""))),"")</f>
        <v/>
      </c>
      <c r="AB289" s="27" t="n">
        <v>14000</v>
      </c>
      <c r="AC289" s="27" t="n">
        <v>294532000</v>
      </c>
      <c r="AD289" s="27" t="n">
        <v>1792000000</v>
      </c>
      <c r="AE289" s="20" t="n"/>
      <c r="AF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G289" s="19">
        <f>IF($K289="","",IF(OR(LEFT($AF289,2)="작지",LEFT($AF289,4)="소재입고"),IF(LEFT($G289,1)="S","★ 납기위험(S코드)","◆ 지연주의"),IF($AF289="정상","✓ 정상","? 확인필요")))</f>
        <v/>
      </c>
      <c r="AH289" s="21" t="n"/>
      <c r="AI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19">
        <f>IF(COUNTIF(EDW_RAW!$A$2:$A$1500,$D290)=0,"",IF(COUNTIFS(EDW_RAW!$A$2:$A$1500,$D290,EDW_RAW!$R$2:$R$1500,"&lt;&gt;~",EDW_RAW!$R$2:$R$1500,"&lt;&gt;")=COUNTIF(EDW_RAW!$A$2:$A$1500,$D290),"O",IF(COUNTIFS(EDW_RAW!$A$2:$A$1500,$D290,EDW_RAW!$R$2:$R$1500,"&lt;&gt;~",EDW_RAW!$R$2:$R$1500,"&lt;&gt;")&gt;0,"부분","X")))</f>
        <v/>
      </c>
      <c r="R290" s="19">
        <f>IF(COUNTIF(EDW_RAW!$A$2:$A$1500,$D290)=0,"",IF(COUNTIFS(EDW_RAW!$A$2:$A$1500,$D290,EDW_RAW!$U$2:$U$1500,"&lt;&gt;~",EDW_RAW!$U$2:$U$1500,"&lt;&gt;")=COUNTIF(EDW_RAW!$A$2:$A$1500,$D290),"O",IF(COUNTIFS(EDW_RAW!$A$2:$A$1500,$D290,EDW_RAW!$U$2:$U$1500,"&lt;&gt;~",EDW_RAW!$U$2:$U$1500,"&lt;&gt;")&gt;0,"부분","X")))</f>
        <v/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",TRUE,UNIQUE(FILTER(소재DB_RAW!$K$3:$K$2000,(소재DB_RAW!$G$3:$G$2000=$D290)*ISERROR(SEARCH("drop",소재DB_RAW!$C$3:$C$2000))))),"")</f>
        <v/>
      </c>
      <c r="W290" s="20" t="inlineStr">
        <is>
          <t>베트남</t>
        </is>
      </c>
      <c r="X290" s="20">
        <f>IFERROR(TEXTJOIN(" / ",TRUE,UNIQUE(FILTER(소재DB_RAW!$N$3:$N$2000,(소재DB_RAW!$G$3:$G$2000=$D290)*ISERROR(SEARCH("drop",소재DB_RAW!$C$3:$C$2000))))),"")</f>
        <v/>
      </c>
      <c r="Y290" s="26">
        <f>IFERROR(TEXTJOIN(CHAR(10),TRUE,UNIQUE(FILTER(소재DB_RAW!$N$3:$N$2000&amp;") "&amp;소재DB_RAW!$O$3:$O$2000,(소재DB_RAW!$G$3:$G$2000=$D290)*ISNUMBER(SEARCH("겉감",소재DB_RAW!$M$3:$M$2000))*ISERROR(SEARCH("drop",소재DB_RAW!$C$3:$C$2000))))),"")</f>
        <v/>
      </c>
      <c r="Z290" s="26">
        <f>IFERROR(TEXTJOIN(CHAR(10),TRUE,UNIQUE(FILTER(소재DB_RAW!$N$3:$N$2000&amp;") "&amp;소재DB_RAW!$O$3:$O$2000,(소재DB_RAW!$G$3:$G$2000=$D290)*ISNUMBER(SEARCH("안감",소재DB_RAW!$M$3:$M$2000))*ISERROR(SEARCH("drop",소재DB_RAW!$C$3:$C$2000))))),"")</f>
        <v/>
      </c>
      <c r="AA290" s="22">
        <f>IFERROR(MAX(FILTER(소재DB_RAW!$AK$3:$AK$2000,(소재DB_RAW!$G$3:$G$2000=$D290)*ISERROR(SEARCH("drop",소재DB_RAW!$C$3:$C$2000))*(소재DB_RAW!$AK$3:$AK$2000&lt;&gt;""))),"")</f>
        <v/>
      </c>
      <c r="AB290" s="27" t="n">
        <v>4000</v>
      </c>
      <c r="AC290" s="27" t="n">
        <v>102236000</v>
      </c>
      <c r="AD290" s="27" t="n">
        <v>512000000</v>
      </c>
      <c r="AE290" s="20" t="n"/>
      <c r="AF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G290" s="19">
        <f>IF($K290="","",IF(OR(LEFT($AF290,2)="작지",LEFT($AF290,4)="소재입고"),IF(LEFT($G290,1)="S","★ 납기위험(S코드)","◆ 지연주의"),IF($AF290="정상","✓ 정상","? 확인필요")))</f>
        <v/>
      </c>
      <c r="AH290" s="21" t="n"/>
      <c r="AI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19">
        <f>IF(COUNTIF(EDW_RAW!$A$2:$A$1500,$D291)=0,"",IF(COUNTIFS(EDW_RAW!$A$2:$A$1500,$D291,EDW_RAW!$R$2:$R$1500,"&lt;&gt;~",EDW_RAW!$R$2:$R$1500,"&lt;&gt;")=COUNTIF(EDW_RAW!$A$2:$A$1500,$D291),"O",IF(COUNTIFS(EDW_RAW!$A$2:$A$1500,$D291,EDW_RAW!$R$2:$R$1500,"&lt;&gt;~",EDW_RAW!$R$2:$R$1500,"&lt;&gt;")&gt;0,"부분","X")))</f>
        <v/>
      </c>
      <c r="R291" s="19">
        <f>IF(COUNTIF(EDW_RAW!$A$2:$A$1500,$D291)=0,"",IF(COUNTIFS(EDW_RAW!$A$2:$A$1500,$D291,EDW_RAW!$U$2:$U$1500,"&lt;&gt;~",EDW_RAW!$U$2:$U$1500,"&lt;&gt;")=COUNTIF(EDW_RAW!$A$2:$A$1500,$D291),"O",IF(COUNTIFS(EDW_RAW!$A$2:$A$1500,$D291,EDW_RAW!$U$2:$U$1500,"&lt;&gt;~",EDW_RAW!$U$2:$U$1500,"&lt;&gt;")&gt;0,"부분","X")))</f>
        <v/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",TRUE,UNIQUE(FILTER(소재DB_RAW!$K$3:$K$2000,(소재DB_RAW!$G$3:$G$2000=$D291)*ISERROR(SEARCH("drop",소재DB_RAW!$C$3:$C$2000))))),"")</f>
        <v/>
      </c>
      <c r="W291" s="20" t="inlineStr">
        <is>
          <t>베트남</t>
        </is>
      </c>
      <c r="X291" s="20">
        <f>IFERROR(TEXTJOIN(" / ",TRUE,UNIQUE(FILTER(소재DB_RAW!$N$3:$N$2000,(소재DB_RAW!$G$3:$G$2000=$D291)*ISERROR(SEARCH("drop",소재DB_RAW!$C$3:$C$2000))))),"")</f>
        <v/>
      </c>
      <c r="Y291" s="26">
        <f>IFERROR(TEXTJOIN(CHAR(10),TRUE,UNIQUE(FILTER(소재DB_RAW!$N$3:$N$2000&amp;") "&amp;소재DB_RAW!$O$3:$O$2000,(소재DB_RAW!$G$3:$G$2000=$D291)*ISNUMBER(SEARCH("겉감",소재DB_RAW!$M$3:$M$2000))*ISERROR(SEARCH("drop",소재DB_RAW!$C$3:$C$2000))))),"")</f>
        <v/>
      </c>
      <c r="Z291" s="26">
        <f>IFERROR(TEXTJOIN(CHAR(10),TRUE,UNIQUE(FILTER(소재DB_RAW!$N$3:$N$2000&amp;") "&amp;소재DB_RAW!$O$3:$O$2000,(소재DB_RAW!$G$3:$G$2000=$D291)*ISNUMBER(SEARCH("안감",소재DB_RAW!$M$3:$M$2000))*ISERROR(SEARCH("drop",소재DB_RAW!$C$3:$C$2000))))),"")</f>
        <v/>
      </c>
      <c r="AA291" s="22">
        <f>IFERROR(MAX(FILTER(소재DB_RAW!$AK$3:$AK$2000,(소재DB_RAW!$G$3:$G$2000=$D291)*ISERROR(SEARCH("drop",소재DB_RAW!$C$3:$C$2000))*(소재DB_RAW!$AK$3:$AK$2000&lt;&gt;""))),"")</f>
        <v/>
      </c>
      <c r="AB291" s="27" t="n">
        <v>5000</v>
      </c>
      <c r="AC291" s="27" t="n">
        <v>119830000</v>
      </c>
      <c r="AD291" s="27" t="n">
        <v>690000000</v>
      </c>
      <c r="AE291" s="20" t="n"/>
      <c r="AF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G291" s="19">
        <f>IF($K291="","",IF(OR(LEFT($AF291,2)="작지",LEFT($AF291,4)="소재입고"),IF(LEFT($G291,1)="S","★ 납기위험(S코드)","◆ 지연주의"),IF($AF291="정상","✓ 정상","? 확인필요")))</f>
        <v/>
      </c>
      <c r="AH291" s="21" t="n"/>
      <c r="AI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19">
        <f>IF(COUNTIF(EDW_RAW!$A$2:$A$1500,$D292)=0,"",IF(COUNTIFS(EDW_RAW!$A$2:$A$1500,$D292,EDW_RAW!$R$2:$R$1500,"&lt;&gt;~",EDW_RAW!$R$2:$R$1500,"&lt;&gt;")=COUNTIF(EDW_RAW!$A$2:$A$1500,$D292),"O",IF(COUNTIFS(EDW_RAW!$A$2:$A$1500,$D292,EDW_RAW!$R$2:$R$1500,"&lt;&gt;~",EDW_RAW!$R$2:$R$1500,"&lt;&gt;")&gt;0,"부분","X")))</f>
        <v/>
      </c>
      <c r="R292" s="19">
        <f>IF(COUNTIF(EDW_RAW!$A$2:$A$1500,$D292)=0,"",IF(COUNTIFS(EDW_RAW!$A$2:$A$1500,$D292,EDW_RAW!$U$2:$U$1500,"&lt;&gt;~",EDW_RAW!$U$2:$U$1500,"&lt;&gt;")=COUNTIF(EDW_RAW!$A$2:$A$1500,$D292),"O",IF(COUNTIFS(EDW_RAW!$A$2:$A$1500,$D292,EDW_RAW!$U$2:$U$1500,"&lt;&gt;~",EDW_RAW!$U$2:$U$1500,"&lt;&gt;")&gt;0,"부분","X")))</f>
        <v/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",TRUE,UNIQUE(FILTER(소재DB_RAW!$K$3:$K$2000,(소재DB_RAW!$G$3:$G$2000=$D292)*ISERROR(SEARCH("drop",소재DB_RAW!$C$3:$C$2000))))),"")</f>
        <v/>
      </c>
      <c r="W292" s="20" t="inlineStr">
        <is>
          <t>인도네시아</t>
        </is>
      </c>
      <c r="X292" s="20">
        <f>IFERROR(TEXTJOIN(" / ",TRUE,UNIQUE(FILTER(소재DB_RAW!$N$3:$N$2000,(소재DB_RAW!$G$3:$G$2000=$D292)*ISERROR(SEARCH("drop",소재DB_RAW!$C$3:$C$2000))))),"")</f>
        <v/>
      </c>
      <c r="Y292" s="26">
        <f>IFERROR(TEXTJOIN(CHAR(10),TRUE,UNIQUE(FILTER(소재DB_RAW!$N$3:$N$2000&amp;") "&amp;소재DB_RAW!$O$3:$O$2000,(소재DB_RAW!$G$3:$G$2000=$D292)*ISNUMBER(SEARCH("겉감",소재DB_RAW!$M$3:$M$2000))*ISERROR(SEARCH("drop",소재DB_RAW!$C$3:$C$2000))))),"")</f>
        <v/>
      </c>
      <c r="Z292" s="26">
        <f>IFERROR(TEXTJOIN(CHAR(10),TRUE,UNIQUE(FILTER(소재DB_RAW!$N$3:$N$2000&amp;") "&amp;소재DB_RAW!$O$3:$O$2000,(소재DB_RAW!$G$3:$G$2000=$D292)*ISNUMBER(SEARCH("안감",소재DB_RAW!$M$3:$M$2000))*ISERROR(SEARCH("drop",소재DB_RAW!$C$3:$C$2000))))),"")</f>
        <v/>
      </c>
      <c r="AA292" s="22">
        <f>IFERROR(MAX(FILTER(소재DB_RAW!$AK$3:$AK$2000,(소재DB_RAW!$G$3:$G$2000=$D292)*ISERROR(SEARCH("drop",소재DB_RAW!$C$3:$C$2000))*(소재DB_RAW!$AK$3:$AK$2000&lt;&gt;""))),"")</f>
        <v/>
      </c>
      <c r="AB292" s="27" t="n">
        <v>1800</v>
      </c>
      <c r="AC292" s="27" t="n">
        <v>30929400</v>
      </c>
      <c r="AD292" s="27" t="n">
        <v>176400000</v>
      </c>
      <c r="AE292" s="20" t="inlineStr">
        <is>
          <t>3월4주</t>
        </is>
      </c>
      <c r="AF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G292" s="19">
        <f>IF($K292="","",IF(OR(LEFT($AF292,2)="작지",LEFT($AF292,4)="소재입고"),IF(LEFT($G292,1)="S","★ 납기위험(S코드)","◆ 지연주의"),IF($AF292="정상","✓ 정상","? 확인필요")))</f>
        <v/>
      </c>
      <c r="AH292" s="21" t="n"/>
      <c r="AI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19">
        <f>IF(COUNTIF(EDW_RAW!$A$2:$A$1500,$D293)=0,"",IF(COUNTIFS(EDW_RAW!$A$2:$A$1500,$D293,EDW_RAW!$R$2:$R$1500,"&lt;&gt;~",EDW_RAW!$R$2:$R$1500,"&lt;&gt;")=COUNTIF(EDW_RAW!$A$2:$A$1500,$D293),"O",IF(COUNTIFS(EDW_RAW!$A$2:$A$1500,$D293,EDW_RAW!$R$2:$R$1500,"&lt;&gt;~",EDW_RAW!$R$2:$R$1500,"&lt;&gt;")&gt;0,"부분","X")))</f>
        <v/>
      </c>
      <c r="R293" s="19">
        <f>IF(COUNTIF(EDW_RAW!$A$2:$A$1500,$D293)=0,"",IF(COUNTIFS(EDW_RAW!$A$2:$A$1500,$D293,EDW_RAW!$U$2:$U$1500,"&lt;&gt;~",EDW_RAW!$U$2:$U$1500,"&lt;&gt;")=COUNTIF(EDW_RAW!$A$2:$A$1500,$D293),"O",IF(COUNTIFS(EDW_RAW!$A$2:$A$1500,$D293,EDW_RAW!$U$2:$U$1500,"&lt;&gt;~",EDW_RAW!$U$2:$U$1500,"&lt;&gt;")&gt;0,"부분","X")))</f>
        <v/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",TRUE,UNIQUE(FILTER(소재DB_RAW!$K$3:$K$2000,(소재DB_RAW!$G$3:$G$2000=$D293)*ISERROR(SEARCH("drop",소재DB_RAW!$C$3:$C$2000))))),"")</f>
        <v/>
      </c>
      <c r="W293" s="20" t="inlineStr">
        <is>
          <t>베트남</t>
        </is>
      </c>
      <c r="X293" s="20">
        <f>IFERROR(TEXTJOIN(" / ",TRUE,UNIQUE(FILTER(소재DB_RAW!$N$3:$N$2000,(소재DB_RAW!$G$3:$G$2000=$D293)*ISERROR(SEARCH("drop",소재DB_RAW!$C$3:$C$2000))))),"")</f>
        <v/>
      </c>
      <c r="Y293" s="26">
        <f>IFERROR(TEXTJOIN(CHAR(10),TRUE,UNIQUE(FILTER(소재DB_RAW!$N$3:$N$2000&amp;") "&amp;소재DB_RAW!$O$3:$O$2000,(소재DB_RAW!$G$3:$G$2000=$D293)*ISNUMBER(SEARCH("겉감",소재DB_RAW!$M$3:$M$2000))*ISERROR(SEARCH("drop",소재DB_RAW!$C$3:$C$2000))))),"")</f>
        <v/>
      </c>
      <c r="Z293" s="26">
        <f>IFERROR(TEXTJOIN(CHAR(10),TRUE,UNIQUE(FILTER(소재DB_RAW!$N$3:$N$2000&amp;") "&amp;소재DB_RAW!$O$3:$O$2000,(소재DB_RAW!$G$3:$G$2000=$D293)*ISNUMBER(SEARCH("안감",소재DB_RAW!$M$3:$M$2000))*ISERROR(SEARCH("drop",소재DB_RAW!$C$3:$C$2000))))),"")</f>
        <v/>
      </c>
      <c r="AA293" s="22">
        <f>IFERROR(MAX(FILTER(소재DB_RAW!$AK$3:$AK$2000,(소재DB_RAW!$G$3:$G$2000=$D293)*ISERROR(SEARCH("drop",소재DB_RAW!$C$3:$C$2000))*(소재DB_RAW!$AK$3:$AK$2000&lt;&gt;""))),"")</f>
        <v/>
      </c>
      <c r="AB293" s="27" t="n">
        <v>1400</v>
      </c>
      <c r="AC293" s="27" t="n">
        <v>43400000</v>
      </c>
      <c r="AD293" s="27" t="n">
        <v>207200000</v>
      </c>
      <c r="AE293" s="20" t="inlineStr">
        <is>
          <t>3월4주</t>
        </is>
      </c>
      <c r="AF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G293" s="19">
        <f>IF($K293="","",IF(OR(LEFT($AF293,2)="작지",LEFT($AF293,4)="소재입고"),IF(LEFT($G293,1)="S","★ 납기위험(S코드)","◆ 지연주의"),IF($AF293="정상","✓ 정상","? 확인필요")))</f>
        <v/>
      </c>
      <c r="AH293" s="21" t="n"/>
      <c r="AI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19">
        <f>IF(COUNTIF(EDW_RAW!$A$2:$A$1500,$D294)=0,"",IF(COUNTIFS(EDW_RAW!$A$2:$A$1500,$D294,EDW_RAW!$R$2:$R$1500,"&lt;&gt;~",EDW_RAW!$R$2:$R$1500,"&lt;&gt;")=COUNTIF(EDW_RAW!$A$2:$A$1500,$D294),"O",IF(COUNTIFS(EDW_RAW!$A$2:$A$1500,$D294,EDW_RAW!$R$2:$R$1500,"&lt;&gt;~",EDW_RAW!$R$2:$R$1500,"&lt;&gt;")&gt;0,"부분","X")))</f>
        <v/>
      </c>
      <c r="R294" s="19">
        <f>IF(COUNTIF(EDW_RAW!$A$2:$A$1500,$D294)=0,"",IF(COUNTIFS(EDW_RAW!$A$2:$A$1500,$D294,EDW_RAW!$U$2:$U$1500,"&lt;&gt;~",EDW_RAW!$U$2:$U$1500,"&lt;&gt;")=COUNTIF(EDW_RAW!$A$2:$A$1500,$D294),"O",IF(COUNTIFS(EDW_RAW!$A$2:$A$1500,$D294,EDW_RAW!$U$2:$U$1500,"&lt;&gt;~",EDW_RAW!$U$2:$U$1500,"&lt;&gt;")&gt;0,"부분","X")))</f>
        <v/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",TRUE,UNIQUE(FILTER(소재DB_RAW!$K$3:$K$2000,(소재DB_RAW!$G$3:$G$2000=$D294)*ISERROR(SEARCH("drop",소재DB_RAW!$C$3:$C$2000))))),"")</f>
        <v/>
      </c>
      <c r="W294" s="20" t="inlineStr">
        <is>
          <t>베트남</t>
        </is>
      </c>
      <c r="X294" s="20">
        <f>IFERROR(TEXTJOIN(" / ",TRUE,UNIQUE(FILTER(소재DB_RAW!$N$3:$N$2000,(소재DB_RAW!$G$3:$G$2000=$D294)*ISERROR(SEARCH("drop",소재DB_RAW!$C$3:$C$2000))))),"")</f>
        <v/>
      </c>
      <c r="Y294" s="26">
        <f>IFERROR(TEXTJOIN(CHAR(10),TRUE,UNIQUE(FILTER(소재DB_RAW!$N$3:$N$2000&amp;") "&amp;소재DB_RAW!$O$3:$O$2000,(소재DB_RAW!$G$3:$G$2000=$D294)*ISNUMBER(SEARCH("겉감",소재DB_RAW!$M$3:$M$2000))*ISERROR(SEARCH("drop",소재DB_RAW!$C$3:$C$2000))))),"")</f>
        <v/>
      </c>
      <c r="Z294" s="26">
        <f>IFERROR(TEXTJOIN(CHAR(10),TRUE,UNIQUE(FILTER(소재DB_RAW!$N$3:$N$2000&amp;") "&amp;소재DB_RAW!$O$3:$O$2000,(소재DB_RAW!$G$3:$G$2000=$D294)*ISNUMBER(SEARCH("안감",소재DB_RAW!$M$3:$M$2000))*ISERROR(SEARCH("drop",소재DB_RAW!$C$3:$C$2000))))),"")</f>
        <v/>
      </c>
      <c r="AA294" s="22">
        <f>IFERROR(MAX(FILTER(소재DB_RAW!$AK$3:$AK$2000,(소재DB_RAW!$G$3:$G$2000=$D294)*ISERROR(SEARCH("drop",소재DB_RAW!$C$3:$C$2000))*(소재DB_RAW!$AK$3:$AK$2000&lt;&gt;""))),"")</f>
        <v/>
      </c>
      <c r="AB294" s="27" t="n">
        <v>500</v>
      </c>
      <c r="AC294" s="27" t="n">
        <v>3130000</v>
      </c>
      <c r="AD294" s="27" t="n">
        <v>15000000</v>
      </c>
      <c r="AE294" s="20" t="n"/>
      <c r="AF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G294" s="19">
        <f>IF($K294="","",IF(OR(LEFT($AF294,2)="작지",LEFT($AF294,4)="소재입고"),IF(LEFT($G294,1)="S","★ 납기위험(S코드)","◆ 지연주의"),IF($AF294="정상","✓ 정상","? 확인필요")))</f>
        <v/>
      </c>
      <c r="AH294" s="21" t="n"/>
      <c r="AI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19">
        <f>IF(COUNTIF(EDW_RAW!$A$2:$A$1500,$D295)=0,"",IF(COUNTIFS(EDW_RAW!$A$2:$A$1500,$D295,EDW_RAW!$R$2:$R$1500,"&lt;&gt;~",EDW_RAW!$R$2:$R$1500,"&lt;&gt;")=COUNTIF(EDW_RAW!$A$2:$A$1500,$D295),"O",IF(COUNTIFS(EDW_RAW!$A$2:$A$1500,$D295,EDW_RAW!$R$2:$R$1500,"&lt;&gt;~",EDW_RAW!$R$2:$R$1500,"&lt;&gt;")&gt;0,"부분","X")))</f>
        <v/>
      </c>
      <c r="R295" s="19">
        <f>IF(COUNTIF(EDW_RAW!$A$2:$A$1500,$D295)=0,"",IF(COUNTIFS(EDW_RAW!$A$2:$A$1500,$D295,EDW_RAW!$U$2:$U$1500,"&lt;&gt;~",EDW_RAW!$U$2:$U$1500,"&lt;&gt;")=COUNTIF(EDW_RAW!$A$2:$A$1500,$D295),"O",IF(COUNTIFS(EDW_RAW!$A$2:$A$1500,$D295,EDW_RAW!$U$2:$U$1500,"&lt;&gt;~",EDW_RAW!$U$2:$U$1500,"&lt;&gt;")&gt;0,"부분","X")))</f>
        <v/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",TRUE,UNIQUE(FILTER(소재DB_RAW!$K$3:$K$2000,(소재DB_RAW!$G$3:$G$2000=$D295)*ISERROR(SEARCH("drop",소재DB_RAW!$C$3:$C$2000))))),"")</f>
        <v/>
      </c>
      <c r="W295" s="20" t="inlineStr">
        <is>
          <t>베트남</t>
        </is>
      </c>
      <c r="X295" s="20">
        <f>IFERROR(TEXTJOIN(" / ",TRUE,UNIQUE(FILTER(소재DB_RAW!$N$3:$N$2000,(소재DB_RAW!$G$3:$G$2000=$D295)*ISERROR(SEARCH("drop",소재DB_RAW!$C$3:$C$2000))))),"")</f>
        <v/>
      </c>
      <c r="Y295" s="26">
        <f>IFERROR(TEXTJOIN(CHAR(10),TRUE,UNIQUE(FILTER(소재DB_RAW!$N$3:$N$2000&amp;") "&amp;소재DB_RAW!$O$3:$O$2000,(소재DB_RAW!$G$3:$G$2000=$D295)*ISNUMBER(SEARCH("겉감",소재DB_RAW!$M$3:$M$2000))*ISERROR(SEARCH("drop",소재DB_RAW!$C$3:$C$2000))))),"")</f>
        <v/>
      </c>
      <c r="Z295" s="26">
        <f>IFERROR(TEXTJOIN(CHAR(10),TRUE,UNIQUE(FILTER(소재DB_RAW!$N$3:$N$2000&amp;") "&amp;소재DB_RAW!$O$3:$O$2000,(소재DB_RAW!$G$3:$G$2000=$D295)*ISNUMBER(SEARCH("안감",소재DB_RAW!$M$3:$M$2000))*ISERROR(SEARCH("drop",소재DB_RAW!$C$3:$C$2000))))),"")</f>
        <v/>
      </c>
      <c r="AA295" s="22">
        <f>IFERROR(MAX(FILTER(소재DB_RAW!$AK$3:$AK$2000,(소재DB_RAW!$G$3:$G$2000=$D295)*ISERROR(SEARCH("drop",소재DB_RAW!$C$3:$C$2000))*(소재DB_RAW!$AK$3:$AK$2000&lt;&gt;""))),"")</f>
        <v/>
      </c>
      <c r="AB295" s="27" t="n">
        <v>300</v>
      </c>
      <c r="AC295" s="27" t="n">
        <v>3078600</v>
      </c>
      <c r="AD295" s="27" t="n">
        <v>12000000</v>
      </c>
      <c r="AE295" s="20" t="n"/>
      <c r="AF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G295" s="19">
        <f>IF($K295="","",IF(OR(LEFT($AF295,2)="작지",LEFT($AF295,4)="소재입고"),IF(LEFT($G295,1)="S","★ 납기위험(S코드)","◆ 지연주의"),IF($AF295="정상","✓ 정상","? 확인필요")))</f>
        <v/>
      </c>
      <c r="AH295" s="21" t="n"/>
      <c r="AI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19">
        <f>IF(COUNTIF(EDW_RAW!$A$2:$A$1500,$D296)=0,"",IF(COUNTIFS(EDW_RAW!$A$2:$A$1500,$D296,EDW_RAW!$R$2:$R$1500,"&lt;&gt;~",EDW_RAW!$R$2:$R$1500,"&lt;&gt;")=COUNTIF(EDW_RAW!$A$2:$A$1500,$D296),"O",IF(COUNTIFS(EDW_RAW!$A$2:$A$1500,$D296,EDW_RAW!$R$2:$R$1500,"&lt;&gt;~",EDW_RAW!$R$2:$R$1500,"&lt;&gt;")&gt;0,"부분","X")))</f>
        <v/>
      </c>
      <c r="R296" s="19">
        <f>IF(COUNTIF(EDW_RAW!$A$2:$A$1500,$D296)=0,"",IF(COUNTIFS(EDW_RAW!$A$2:$A$1500,$D296,EDW_RAW!$U$2:$U$1500,"&lt;&gt;~",EDW_RAW!$U$2:$U$1500,"&lt;&gt;")=COUNTIF(EDW_RAW!$A$2:$A$1500,$D296),"O",IF(COUNTIFS(EDW_RAW!$A$2:$A$1500,$D296,EDW_RAW!$U$2:$U$1500,"&lt;&gt;~",EDW_RAW!$U$2:$U$1500,"&lt;&gt;")&gt;0,"부분","X")))</f>
        <v/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",TRUE,UNIQUE(FILTER(소재DB_RAW!$K$3:$K$2000,(소재DB_RAW!$G$3:$G$2000=$D296)*ISERROR(SEARCH("drop",소재DB_RAW!$C$3:$C$2000))))),"")</f>
        <v/>
      </c>
      <c r="W296" s="20" t="inlineStr">
        <is>
          <t>한국</t>
        </is>
      </c>
      <c r="X296" s="20">
        <f>IFERROR(TEXTJOIN(" / ",TRUE,UNIQUE(FILTER(소재DB_RAW!$N$3:$N$2000,(소재DB_RAW!$G$3:$G$2000=$D296)*ISERROR(SEARCH("drop",소재DB_RAW!$C$3:$C$2000))))),"")</f>
        <v/>
      </c>
      <c r="Y296" s="26">
        <f>IFERROR(TEXTJOIN(CHAR(10),TRUE,UNIQUE(FILTER(소재DB_RAW!$N$3:$N$2000&amp;") "&amp;소재DB_RAW!$O$3:$O$2000,(소재DB_RAW!$G$3:$G$2000=$D296)*ISNUMBER(SEARCH("겉감",소재DB_RAW!$M$3:$M$2000))*ISERROR(SEARCH("drop",소재DB_RAW!$C$3:$C$2000))))),"")</f>
        <v/>
      </c>
      <c r="Z296" s="26">
        <f>IFERROR(TEXTJOIN(CHAR(10),TRUE,UNIQUE(FILTER(소재DB_RAW!$N$3:$N$2000&amp;") "&amp;소재DB_RAW!$O$3:$O$2000,(소재DB_RAW!$G$3:$G$2000=$D296)*ISNUMBER(SEARCH("안감",소재DB_RAW!$M$3:$M$2000))*ISERROR(SEARCH("drop",소재DB_RAW!$C$3:$C$2000))))),"")</f>
        <v/>
      </c>
      <c r="AA296" s="22">
        <f>IFERROR(MAX(FILTER(소재DB_RAW!$AK$3:$AK$2000,(소재DB_RAW!$G$3:$G$2000=$D296)*ISERROR(SEARCH("drop",소재DB_RAW!$C$3:$C$2000))*(소재DB_RAW!$AK$3:$AK$2000&lt;&gt;""))),"")</f>
        <v/>
      </c>
      <c r="AB296" s="27" t="n">
        <v>9900</v>
      </c>
      <c r="AC296" s="27" t="n">
        <v>69300000</v>
      </c>
      <c r="AD296" s="27" t="n">
        <v>396000000</v>
      </c>
      <c r="AE296" s="20" t="n"/>
      <c r="AF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G296" s="19">
        <f>IF($K296="","",IF(OR(LEFT($AF296,2)="작지",LEFT($AF296,4)="소재입고"),IF(LEFT($G296,1)="S","★ 납기위험(S코드)","◆ 지연주의"),IF($AF296="정상","✓ 정상","? 확인필요")))</f>
        <v/>
      </c>
      <c r="AH296" s="21" t="n"/>
      <c r="AI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19">
        <f>IF(COUNTIF(EDW_RAW!$A$2:$A$1500,$D297)=0,"",IF(COUNTIFS(EDW_RAW!$A$2:$A$1500,$D297,EDW_RAW!$R$2:$R$1500,"&lt;&gt;~",EDW_RAW!$R$2:$R$1500,"&lt;&gt;")=COUNTIF(EDW_RAW!$A$2:$A$1500,$D297),"O",IF(COUNTIFS(EDW_RAW!$A$2:$A$1500,$D297,EDW_RAW!$R$2:$R$1500,"&lt;&gt;~",EDW_RAW!$R$2:$R$1500,"&lt;&gt;")&gt;0,"부분","X")))</f>
        <v/>
      </c>
      <c r="R297" s="19">
        <f>IF(COUNTIF(EDW_RAW!$A$2:$A$1500,$D297)=0,"",IF(COUNTIFS(EDW_RAW!$A$2:$A$1500,$D297,EDW_RAW!$U$2:$U$1500,"&lt;&gt;~",EDW_RAW!$U$2:$U$1500,"&lt;&gt;")=COUNTIF(EDW_RAW!$A$2:$A$1500,$D297),"O",IF(COUNTIFS(EDW_RAW!$A$2:$A$1500,$D297,EDW_RAW!$U$2:$U$1500,"&lt;&gt;~",EDW_RAW!$U$2:$U$1500,"&lt;&gt;")&gt;0,"부분","X")))</f>
        <v/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",TRUE,UNIQUE(FILTER(소재DB_RAW!$K$3:$K$2000,(소재DB_RAW!$G$3:$G$2000=$D297)*ISERROR(SEARCH("drop",소재DB_RAW!$C$3:$C$2000))))),"")</f>
        <v/>
      </c>
      <c r="W297" s="20" t="inlineStr">
        <is>
          <t>중국</t>
        </is>
      </c>
      <c r="X297" s="20">
        <f>IFERROR(TEXTJOIN(" / ",TRUE,UNIQUE(FILTER(소재DB_RAW!$N$3:$N$2000,(소재DB_RAW!$G$3:$G$2000=$D297)*ISERROR(SEARCH("drop",소재DB_RAW!$C$3:$C$2000))))),"")</f>
        <v/>
      </c>
      <c r="Y297" s="26">
        <f>IFERROR(TEXTJOIN(CHAR(10),TRUE,UNIQUE(FILTER(소재DB_RAW!$N$3:$N$2000&amp;") "&amp;소재DB_RAW!$O$3:$O$2000,(소재DB_RAW!$G$3:$G$2000=$D297)*ISNUMBER(SEARCH("겉감",소재DB_RAW!$M$3:$M$2000))*ISERROR(SEARCH("drop",소재DB_RAW!$C$3:$C$2000))))),"")</f>
        <v/>
      </c>
      <c r="Z297" s="26">
        <f>IFERROR(TEXTJOIN(CHAR(10),TRUE,UNIQUE(FILTER(소재DB_RAW!$N$3:$N$2000&amp;") "&amp;소재DB_RAW!$O$3:$O$2000,(소재DB_RAW!$G$3:$G$2000=$D297)*ISNUMBER(SEARCH("안감",소재DB_RAW!$M$3:$M$2000))*ISERROR(SEARCH("drop",소재DB_RAW!$C$3:$C$2000))))),"")</f>
        <v/>
      </c>
      <c r="AA297" s="22">
        <f>IFERROR(MAX(FILTER(소재DB_RAW!$AK$3:$AK$2000,(소재DB_RAW!$G$3:$G$2000=$D297)*ISERROR(SEARCH("drop",소재DB_RAW!$C$3:$C$2000))*(소재DB_RAW!$AK$3:$AK$2000&lt;&gt;""))),"")</f>
        <v/>
      </c>
      <c r="AB297" s="27" t="n">
        <v>10500</v>
      </c>
      <c r="AC297" s="27" t="n">
        <v>65992500</v>
      </c>
      <c r="AD297" s="27" t="n">
        <v>315000000</v>
      </c>
      <c r="AE297" s="20" t="n"/>
      <c r="AF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G297" s="19">
        <f>IF($K297="","",IF(OR(LEFT($AF297,2)="작지",LEFT($AF297,4)="소재입고"),IF(LEFT($G297,1)="S","★ 납기위험(S코드)","◆ 지연주의"),IF($AF297="정상","✓ 정상","? 확인필요")))</f>
        <v/>
      </c>
      <c r="AH297" s="21" t="n"/>
      <c r="AI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19">
        <f>IF(COUNTIF(EDW_RAW!$A$2:$A$1500,$D298)=0,"",IF(COUNTIFS(EDW_RAW!$A$2:$A$1500,$D298,EDW_RAW!$R$2:$R$1500,"&lt;&gt;~",EDW_RAW!$R$2:$R$1500,"&lt;&gt;")=COUNTIF(EDW_RAW!$A$2:$A$1500,$D298),"O",IF(COUNTIFS(EDW_RAW!$A$2:$A$1500,$D298,EDW_RAW!$R$2:$R$1500,"&lt;&gt;~",EDW_RAW!$R$2:$R$1500,"&lt;&gt;")&gt;0,"부분","X")))</f>
        <v/>
      </c>
      <c r="R298" s="19">
        <f>IF(COUNTIF(EDW_RAW!$A$2:$A$1500,$D298)=0,"",IF(COUNTIFS(EDW_RAW!$A$2:$A$1500,$D298,EDW_RAW!$U$2:$U$1500,"&lt;&gt;~",EDW_RAW!$U$2:$U$1500,"&lt;&gt;")=COUNTIF(EDW_RAW!$A$2:$A$1500,$D298),"O",IF(COUNTIFS(EDW_RAW!$A$2:$A$1500,$D298,EDW_RAW!$U$2:$U$1500,"&lt;&gt;~",EDW_RAW!$U$2:$U$1500,"&lt;&gt;")&gt;0,"부분","X")))</f>
        <v/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",TRUE,UNIQUE(FILTER(소재DB_RAW!$K$3:$K$2000,(소재DB_RAW!$G$3:$G$2000=$D298)*ISERROR(SEARCH("drop",소재DB_RAW!$C$3:$C$2000))))),"")</f>
        <v/>
      </c>
      <c r="W298" s="20" t="inlineStr">
        <is>
          <t>베트남</t>
        </is>
      </c>
      <c r="X298" s="20">
        <f>IFERROR(TEXTJOIN(" / ",TRUE,UNIQUE(FILTER(소재DB_RAW!$N$3:$N$2000,(소재DB_RAW!$G$3:$G$2000=$D298)*ISERROR(SEARCH("drop",소재DB_RAW!$C$3:$C$2000))))),"")</f>
        <v/>
      </c>
      <c r="Y298" s="26">
        <f>IFERROR(TEXTJOIN(CHAR(10),TRUE,UNIQUE(FILTER(소재DB_RAW!$N$3:$N$2000&amp;") "&amp;소재DB_RAW!$O$3:$O$2000,(소재DB_RAW!$G$3:$G$2000=$D298)*ISNUMBER(SEARCH("겉감",소재DB_RAW!$M$3:$M$2000))*ISERROR(SEARCH("drop",소재DB_RAW!$C$3:$C$2000))))),"")</f>
        <v/>
      </c>
      <c r="Z298" s="26">
        <f>IFERROR(TEXTJOIN(CHAR(10),TRUE,UNIQUE(FILTER(소재DB_RAW!$N$3:$N$2000&amp;") "&amp;소재DB_RAW!$O$3:$O$2000,(소재DB_RAW!$G$3:$G$2000=$D298)*ISNUMBER(SEARCH("안감",소재DB_RAW!$M$3:$M$2000))*ISERROR(SEARCH("drop",소재DB_RAW!$C$3:$C$2000))))),"")</f>
        <v/>
      </c>
      <c r="AA298" s="22">
        <f>IFERROR(MAX(FILTER(소재DB_RAW!$AK$3:$AK$2000,(소재DB_RAW!$G$3:$G$2000=$D298)*ISERROR(SEARCH("drop",소재DB_RAW!$C$3:$C$2000))*(소재DB_RAW!$AK$3:$AK$2000&lt;&gt;""))),"")</f>
        <v/>
      </c>
      <c r="AB298" s="27" t="n">
        <v>5000</v>
      </c>
      <c r="AC298" s="27" t="n">
        <v>33210000</v>
      </c>
      <c r="AD298" s="27" t="n">
        <v>175000000</v>
      </c>
      <c r="AE298" s="20" t="n"/>
      <c r="AF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G298" s="19">
        <f>IF($K298="","",IF(OR(LEFT($AF298,2)="작지",LEFT($AF298,4)="소재입고"),IF(LEFT($G298,1)="S","★ 납기위험(S코드)","◆ 지연주의"),IF($AF298="정상","✓ 정상","? 확인필요")))</f>
        <v/>
      </c>
      <c r="AH298" s="21" t="n"/>
      <c r="AI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19">
        <f>IF(COUNTIF(EDW_RAW!$A$2:$A$1500,$D299)=0,"",IF(COUNTIFS(EDW_RAW!$A$2:$A$1500,$D299,EDW_RAW!$R$2:$R$1500,"&lt;&gt;~",EDW_RAW!$R$2:$R$1500,"&lt;&gt;")=COUNTIF(EDW_RAW!$A$2:$A$1500,$D299),"O",IF(COUNTIFS(EDW_RAW!$A$2:$A$1500,$D299,EDW_RAW!$R$2:$R$1500,"&lt;&gt;~",EDW_RAW!$R$2:$R$1500,"&lt;&gt;")&gt;0,"부분","X")))</f>
        <v/>
      </c>
      <c r="R299" s="19">
        <f>IF(COUNTIF(EDW_RAW!$A$2:$A$1500,$D299)=0,"",IF(COUNTIFS(EDW_RAW!$A$2:$A$1500,$D299,EDW_RAW!$U$2:$U$1500,"&lt;&gt;~",EDW_RAW!$U$2:$U$1500,"&lt;&gt;")=COUNTIF(EDW_RAW!$A$2:$A$1500,$D299),"O",IF(COUNTIFS(EDW_RAW!$A$2:$A$1500,$D299,EDW_RAW!$U$2:$U$1500,"&lt;&gt;~",EDW_RAW!$U$2:$U$1500,"&lt;&gt;")&gt;0,"부분","X")))</f>
        <v/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",TRUE,UNIQUE(FILTER(소재DB_RAW!$K$3:$K$2000,(소재DB_RAW!$G$3:$G$2000=$D299)*ISERROR(SEARCH("drop",소재DB_RAW!$C$3:$C$2000))))),"")</f>
        <v/>
      </c>
      <c r="W299" s="20" t="inlineStr">
        <is>
          <t>베트남</t>
        </is>
      </c>
      <c r="X299" s="20">
        <f>IFERROR(TEXTJOIN(" / ",TRUE,UNIQUE(FILTER(소재DB_RAW!$N$3:$N$2000,(소재DB_RAW!$G$3:$G$2000=$D299)*ISERROR(SEARCH("drop",소재DB_RAW!$C$3:$C$2000))))),"")</f>
        <v/>
      </c>
      <c r="Y299" s="26">
        <f>IFERROR(TEXTJOIN(CHAR(10),TRUE,UNIQUE(FILTER(소재DB_RAW!$N$3:$N$2000&amp;") "&amp;소재DB_RAW!$O$3:$O$2000,(소재DB_RAW!$G$3:$G$2000=$D299)*ISNUMBER(SEARCH("겉감",소재DB_RAW!$M$3:$M$2000))*ISERROR(SEARCH("drop",소재DB_RAW!$C$3:$C$2000))))),"")</f>
        <v/>
      </c>
      <c r="Z299" s="26">
        <f>IFERROR(TEXTJOIN(CHAR(10),TRUE,UNIQUE(FILTER(소재DB_RAW!$N$3:$N$2000&amp;") "&amp;소재DB_RAW!$O$3:$O$2000,(소재DB_RAW!$G$3:$G$2000=$D299)*ISNUMBER(SEARCH("안감",소재DB_RAW!$M$3:$M$2000))*ISERROR(SEARCH("drop",소재DB_RAW!$C$3:$C$2000))))),"")</f>
        <v/>
      </c>
      <c r="AA299" s="22">
        <f>IFERROR(MAX(FILTER(소재DB_RAW!$AK$3:$AK$2000,(소재DB_RAW!$G$3:$G$2000=$D299)*ISERROR(SEARCH("drop",소재DB_RAW!$C$3:$C$2000))*(소재DB_RAW!$AK$3:$AK$2000&lt;&gt;""))),"")</f>
        <v/>
      </c>
      <c r="AB299" s="27" t="n">
        <v>3500</v>
      </c>
      <c r="AC299" s="27" t="n">
        <v>55335000</v>
      </c>
      <c r="AD299" s="27" t="n">
        <v>273000000</v>
      </c>
      <c r="AE299" s="20" t="n"/>
      <c r="AF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G299" s="19">
        <f>IF($K299="","",IF(OR(LEFT($AF299,2)="작지",LEFT($AF299,4)="소재입고"),IF(LEFT($G299,1)="S","★ 납기위험(S코드)","◆ 지연주의"),IF($AF299="정상","✓ 정상","? 확인필요")))</f>
        <v/>
      </c>
      <c r="AH299" s="21" t="n"/>
      <c r="AI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19">
        <f>IF(COUNTIF(EDW_RAW!$A$2:$A$1500,$D300)=0,"",IF(COUNTIFS(EDW_RAW!$A$2:$A$1500,$D300,EDW_RAW!$R$2:$R$1500,"&lt;&gt;~",EDW_RAW!$R$2:$R$1500,"&lt;&gt;")=COUNTIF(EDW_RAW!$A$2:$A$1500,$D300),"O",IF(COUNTIFS(EDW_RAW!$A$2:$A$1500,$D300,EDW_RAW!$R$2:$R$1500,"&lt;&gt;~",EDW_RAW!$R$2:$R$1500,"&lt;&gt;")&gt;0,"부분","X")))</f>
        <v/>
      </c>
      <c r="R300" s="19">
        <f>IF(COUNTIF(EDW_RAW!$A$2:$A$1500,$D300)=0,"",IF(COUNTIFS(EDW_RAW!$A$2:$A$1500,$D300,EDW_RAW!$U$2:$U$1500,"&lt;&gt;~",EDW_RAW!$U$2:$U$1500,"&lt;&gt;")=COUNTIF(EDW_RAW!$A$2:$A$1500,$D300),"O",IF(COUNTIFS(EDW_RAW!$A$2:$A$1500,$D300,EDW_RAW!$U$2:$U$1500,"&lt;&gt;~",EDW_RAW!$U$2:$U$1500,"&lt;&gt;")&gt;0,"부분","X")))</f>
        <v/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",TRUE,UNIQUE(FILTER(소재DB_RAW!$K$3:$K$2000,(소재DB_RAW!$G$3:$G$2000=$D300)*ISERROR(SEARCH("drop",소재DB_RAW!$C$3:$C$2000))))),"")</f>
        <v/>
      </c>
      <c r="W300" s="20" t="inlineStr">
        <is>
          <t>베트남</t>
        </is>
      </c>
      <c r="X300" s="20">
        <f>IFERROR(TEXTJOIN(" / ",TRUE,UNIQUE(FILTER(소재DB_RAW!$N$3:$N$2000,(소재DB_RAW!$G$3:$G$2000=$D300)*ISERROR(SEARCH("drop",소재DB_RAW!$C$3:$C$2000))))),"")</f>
        <v/>
      </c>
      <c r="Y300" s="26">
        <f>IFERROR(TEXTJOIN(CHAR(10),TRUE,UNIQUE(FILTER(소재DB_RAW!$N$3:$N$2000&amp;") "&amp;소재DB_RAW!$O$3:$O$2000,(소재DB_RAW!$G$3:$G$2000=$D300)*ISNUMBER(SEARCH("겉감",소재DB_RAW!$M$3:$M$2000))*ISERROR(SEARCH("drop",소재DB_RAW!$C$3:$C$2000))))),"")</f>
        <v/>
      </c>
      <c r="Z300" s="26">
        <f>IFERROR(TEXTJOIN(CHAR(10),TRUE,UNIQUE(FILTER(소재DB_RAW!$N$3:$N$2000&amp;") "&amp;소재DB_RAW!$O$3:$O$2000,(소재DB_RAW!$G$3:$G$2000=$D300)*ISNUMBER(SEARCH("안감",소재DB_RAW!$M$3:$M$2000))*ISERROR(SEARCH("drop",소재DB_RAW!$C$3:$C$2000))))),"")</f>
        <v/>
      </c>
      <c r="AA300" s="22">
        <f>IFERROR(MAX(FILTER(소재DB_RAW!$AK$3:$AK$2000,(소재DB_RAW!$G$3:$G$2000=$D300)*ISERROR(SEARCH("drop",소재DB_RAW!$C$3:$C$2000))*(소재DB_RAW!$AK$3:$AK$2000&lt;&gt;""))),"")</f>
        <v/>
      </c>
      <c r="AB300" s="27" t="n">
        <v>500</v>
      </c>
      <c r="AC300" s="27" t="n">
        <v>5533500</v>
      </c>
      <c r="AD300" s="27" t="n">
        <v>30000000</v>
      </c>
      <c r="AE300" s="20" t="n"/>
      <c r="AF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G300" s="19">
        <f>IF($K300="","",IF(OR(LEFT($AF300,2)="작지",LEFT($AF300,4)="소재입고"),IF(LEFT($G300,1)="S","★ 납기위험(S코드)","◆ 지연주의"),IF($AF300="정상","✓ 정상","? 확인필요")))</f>
        <v/>
      </c>
      <c r="AH300" s="21" t="n"/>
      <c r="AI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19">
        <f>IF(COUNTIF(EDW_RAW!$A$2:$A$1500,$D301)=0,"",IF(COUNTIFS(EDW_RAW!$A$2:$A$1500,$D301,EDW_RAW!$R$2:$R$1500,"&lt;&gt;~",EDW_RAW!$R$2:$R$1500,"&lt;&gt;")=COUNTIF(EDW_RAW!$A$2:$A$1500,$D301),"O",IF(COUNTIFS(EDW_RAW!$A$2:$A$1500,$D301,EDW_RAW!$R$2:$R$1500,"&lt;&gt;~",EDW_RAW!$R$2:$R$1500,"&lt;&gt;")&gt;0,"부분","X")))</f>
        <v/>
      </c>
      <c r="R301" s="19">
        <f>IF(COUNTIF(EDW_RAW!$A$2:$A$1500,$D301)=0,"",IF(COUNTIFS(EDW_RAW!$A$2:$A$1500,$D301,EDW_RAW!$U$2:$U$1500,"&lt;&gt;~",EDW_RAW!$U$2:$U$1500,"&lt;&gt;")=COUNTIF(EDW_RAW!$A$2:$A$1500,$D301),"O",IF(COUNTIFS(EDW_RAW!$A$2:$A$1500,$D301,EDW_RAW!$U$2:$U$1500,"&lt;&gt;~",EDW_RAW!$U$2:$U$1500,"&lt;&gt;")&gt;0,"부분","X")))</f>
        <v/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",TRUE,UNIQUE(FILTER(소재DB_RAW!$K$3:$K$2000,(소재DB_RAW!$G$3:$G$2000=$D301)*ISERROR(SEARCH("drop",소재DB_RAW!$C$3:$C$2000))))),"")</f>
        <v/>
      </c>
      <c r="W301" s="20" t="inlineStr">
        <is>
          <t>베트남</t>
        </is>
      </c>
      <c r="X301" s="20">
        <f>IFERROR(TEXTJOIN(" / ",TRUE,UNIQUE(FILTER(소재DB_RAW!$N$3:$N$2000,(소재DB_RAW!$G$3:$G$2000=$D301)*ISERROR(SEARCH("drop",소재DB_RAW!$C$3:$C$2000))))),"")</f>
        <v/>
      </c>
      <c r="Y301" s="26">
        <f>IFERROR(TEXTJOIN(CHAR(10),TRUE,UNIQUE(FILTER(소재DB_RAW!$N$3:$N$2000&amp;") "&amp;소재DB_RAW!$O$3:$O$2000,(소재DB_RAW!$G$3:$G$2000=$D301)*ISNUMBER(SEARCH("겉감",소재DB_RAW!$M$3:$M$2000))*ISERROR(SEARCH("drop",소재DB_RAW!$C$3:$C$2000))))),"")</f>
        <v/>
      </c>
      <c r="Z301" s="26">
        <f>IFERROR(TEXTJOIN(CHAR(10),TRUE,UNIQUE(FILTER(소재DB_RAW!$N$3:$N$2000&amp;") "&amp;소재DB_RAW!$O$3:$O$2000,(소재DB_RAW!$G$3:$G$2000=$D301)*ISNUMBER(SEARCH("안감",소재DB_RAW!$M$3:$M$2000))*ISERROR(SEARCH("drop",소재DB_RAW!$C$3:$C$2000))))),"")</f>
        <v/>
      </c>
      <c r="AA301" s="22">
        <f>IFERROR(MAX(FILTER(소재DB_RAW!$AK$3:$AK$2000,(소재DB_RAW!$G$3:$G$2000=$D301)*ISERROR(SEARCH("drop",소재DB_RAW!$C$3:$C$2000))*(소재DB_RAW!$AK$3:$AK$2000&lt;&gt;""))),"")</f>
        <v/>
      </c>
      <c r="AB301" s="27" t="n">
        <v>900</v>
      </c>
      <c r="AC301" s="27" t="n">
        <v>9960300</v>
      </c>
      <c r="AD301" s="27" t="n">
        <v>54000000</v>
      </c>
      <c r="AE301" s="20" t="n"/>
      <c r="AF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G301" s="19">
        <f>IF($K301="","",IF(OR(LEFT($AF301,2)="작지",LEFT($AF301,4)="소재입고"),IF(LEFT($G301,1)="S","★ 납기위험(S코드)","◆ 지연주의"),IF($AF301="정상","✓ 정상","? 확인필요")))</f>
        <v/>
      </c>
      <c r="AH301" s="21" t="n"/>
      <c r="AI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19">
        <f>IF(COUNTIF(EDW_RAW!$A$2:$A$1500,$D302)=0,"",IF(COUNTIFS(EDW_RAW!$A$2:$A$1500,$D302,EDW_RAW!$R$2:$R$1500,"&lt;&gt;~",EDW_RAW!$R$2:$R$1500,"&lt;&gt;")=COUNTIF(EDW_RAW!$A$2:$A$1500,$D302),"O",IF(COUNTIFS(EDW_RAW!$A$2:$A$1500,$D302,EDW_RAW!$R$2:$R$1500,"&lt;&gt;~",EDW_RAW!$R$2:$R$1500,"&lt;&gt;")&gt;0,"부분","X")))</f>
        <v/>
      </c>
      <c r="R302" s="19">
        <f>IF(COUNTIF(EDW_RAW!$A$2:$A$1500,$D302)=0,"",IF(COUNTIFS(EDW_RAW!$A$2:$A$1500,$D302,EDW_RAW!$U$2:$U$1500,"&lt;&gt;~",EDW_RAW!$U$2:$U$1500,"&lt;&gt;")=COUNTIF(EDW_RAW!$A$2:$A$1500,$D302),"O",IF(COUNTIFS(EDW_RAW!$A$2:$A$1500,$D302,EDW_RAW!$U$2:$U$1500,"&lt;&gt;~",EDW_RAW!$U$2:$U$1500,"&lt;&gt;")&gt;0,"부분","X")))</f>
        <v/>
      </c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",TRUE,UNIQUE(FILTER(소재DB_RAW!$K$3:$K$2000,(소재DB_RAW!$G$3:$G$2000=$D302)*ISERROR(SEARCH("drop",소재DB_RAW!$C$3:$C$2000))))),"")</f>
        <v/>
      </c>
      <c r="W302" s="20" t="inlineStr">
        <is>
          <t>베트남</t>
        </is>
      </c>
      <c r="X302" s="20">
        <f>IFERROR(TEXTJOIN(" / ",TRUE,UNIQUE(FILTER(소재DB_RAW!$N$3:$N$2000,(소재DB_RAW!$G$3:$G$2000=$D302)*ISERROR(SEARCH("drop",소재DB_RAW!$C$3:$C$2000))))),"")</f>
        <v/>
      </c>
      <c r="Y302" s="26">
        <f>IFERROR(TEXTJOIN(CHAR(10),TRUE,UNIQUE(FILTER(소재DB_RAW!$N$3:$N$2000&amp;") "&amp;소재DB_RAW!$O$3:$O$2000,(소재DB_RAW!$G$3:$G$2000=$D302)*ISNUMBER(SEARCH("겉감",소재DB_RAW!$M$3:$M$2000))*ISERROR(SEARCH("drop",소재DB_RAW!$C$3:$C$2000))))),"")</f>
        <v/>
      </c>
      <c r="Z302" s="26">
        <f>IFERROR(TEXTJOIN(CHAR(10),TRUE,UNIQUE(FILTER(소재DB_RAW!$N$3:$N$2000&amp;") "&amp;소재DB_RAW!$O$3:$O$2000,(소재DB_RAW!$G$3:$G$2000=$D302)*ISNUMBER(SEARCH("안감",소재DB_RAW!$M$3:$M$2000))*ISERROR(SEARCH("drop",소재DB_RAW!$C$3:$C$2000))))),"")</f>
        <v/>
      </c>
      <c r="AA302" s="22">
        <f>IFERROR(MAX(FILTER(소재DB_RAW!$AK$3:$AK$2000,(소재DB_RAW!$G$3:$G$2000=$D302)*ISERROR(SEARCH("drop",소재DB_RAW!$C$3:$C$2000))*(소재DB_RAW!$AK$3:$AK$2000&lt;&gt;""))),"")</f>
        <v/>
      </c>
      <c r="AB302" s="27" t="n">
        <v>1500</v>
      </c>
      <c r="AC302" s="27" t="n">
        <v>28906500</v>
      </c>
      <c r="AD302" s="27" t="n">
        <v>132000000</v>
      </c>
      <c r="AE302" s="20" t="n"/>
      <c r="AF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G302" s="19">
        <f>IF($K302="","",IF(OR(LEFT($AF302,2)="작지",LEFT($AF302,4)="소재입고"),IF(LEFT($G302,1)="S","★ 납기위험(S코드)","◆ 지연주의"),IF($AF302="정상","✓ 정상","? 확인필요")))</f>
        <v/>
      </c>
      <c r="AH302" s="21" t="n"/>
      <c r="AI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19">
        <f>IF(COUNTIF(EDW_RAW!$A$2:$A$1500,$D303)=0,"",IF(COUNTIFS(EDW_RAW!$A$2:$A$1500,$D303,EDW_RAW!$R$2:$R$1500,"&lt;&gt;~",EDW_RAW!$R$2:$R$1500,"&lt;&gt;")=COUNTIF(EDW_RAW!$A$2:$A$1500,$D303),"O",IF(COUNTIFS(EDW_RAW!$A$2:$A$1500,$D303,EDW_RAW!$R$2:$R$1500,"&lt;&gt;~",EDW_RAW!$R$2:$R$1500,"&lt;&gt;")&gt;0,"부분","X")))</f>
        <v/>
      </c>
      <c r="R303" s="19">
        <f>IF(COUNTIF(EDW_RAW!$A$2:$A$1500,$D303)=0,"",IF(COUNTIFS(EDW_RAW!$A$2:$A$1500,$D303,EDW_RAW!$U$2:$U$1500,"&lt;&gt;~",EDW_RAW!$U$2:$U$1500,"&lt;&gt;")=COUNTIF(EDW_RAW!$A$2:$A$1500,$D303),"O",IF(COUNTIFS(EDW_RAW!$A$2:$A$1500,$D303,EDW_RAW!$U$2:$U$1500,"&lt;&gt;~",EDW_RAW!$U$2:$U$1500,"&lt;&gt;")&gt;0,"부분","X")))</f>
        <v/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",TRUE,UNIQUE(FILTER(소재DB_RAW!$K$3:$K$2000,(소재DB_RAW!$G$3:$G$2000=$D303)*ISERROR(SEARCH("drop",소재DB_RAW!$C$3:$C$2000))))),"")</f>
        <v/>
      </c>
      <c r="W303" s="20" t="inlineStr">
        <is>
          <t>국내</t>
        </is>
      </c>
      <c r="X303" s="20">
        <f>IFERROR(TEXTJOIN(" / ",TRUE,UNIQUE(FILTER(소재DB_RAW!$N$3:$N$2000,(소재DB_RAW!$G$3:$G$2000=$D303)*ISERROR(SEARCH("drop",소재DB_RAW!$C$3:$C$2000))))),"")</f>
        <v/>
      </c>
      <c r="Y303" s="26">
        <f>IFERROR(TEXTJOIN(CHAR(10),TRUE,UNIQUE(FILTER(소재DB_RAW!$N$3:$N$2000&amp;") "&amp;소재DB_RAW!$O$3:$O$2000,(소재DB_RAW!$G$3:$G$2000=$D303)*ISNUMBER(SEARCH("겉감",소재DB_RAW!$M$3:$M$2000))*ISERROR(SEARCH("drop",소재DB_RAW!$C$3:$C$2000))))),"")</f>
        <v/>
      </c>
      <c r="Z303" s="26">
        <f>IFERROR(TEXTJOIN(CHAR(10),TRUE,UNIQUE(FILTER(소재DB_RAW!$N$3:$N$2000&amp;") "&amp;소재DB_RAW!$O$3:$O$2000,(소재DB_RAW!$G$3:$G$2000=$D303)*ISNUMBER(SEARCH("안감",소재DB_RAW!$M$3:$M$2000))*ISERROR(SEARCH("drop",소재DB_RAW!$C$3:$C$2000))))),"")</f>
        <v/>
      </c>
      <c r="AA303" s="22">
        <f>IFERROR(MAX(FILTER(소재DB_RAW!$AK$3:$AK$2000,(소재DB_RAW!$G$3:$G$2000=$D303)*ISERROR(SEARCH("drop",소재DB_RAW!$C$3:$C$2000))*(소재DB_RAW!$AK$3:$AK$2000&lt;&gt;""))),"")</f>
        <v/>
      </c>
      <c r="AB303" s="27" t="n">
        <v>6000</v>
      </c>
      <c r="AC303" s="27" t="n">
        <v>78000000</v>
      </c>
      <c r="AD303" s="27" t="n">
        <v>420000000</v>
      </c>
      <c r="AE303" s="20" t="n"/>
      <c r="AF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G303" s="19">
        <f>IF($K303="","",IF(OR(LEFT($AF303,2)="작지",LEFT($AF303,4)="소재입고"),IF(LEFT($G303,1)="S","★ 납기위험(S코드)","◆ 지연주의"),IF($AF303="정상","✓ 정상","? 확인필요")))</f>
        <v/>
      </c>
      <c r="AH303" s="21" t="n"/>
      <c r="AI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19">
        <f>IF(COUNTIF(EDW_RAW!$A$2:$A$1500,$D304)=0,"",IF(COUNTIFS(EDW_RAW!$A$2:$A$1500,$D304,EDW_RAW!$R$2:$R$1500,"&lt;&gt;~",EDW_RAW!$R$2:$R$1500,"&lt;&gt;")=COUNTIF(EDW_RAW!$A$2:$A$1500,$D304),"O",IF(COUNTIFS(EDW_RAW!$A$2:$A$1500,$D304,EDW_RAW!$R$2:$R$1500,"&lt;&gt;~",EDW_RAW!$R$2:$R$1500,"&lt;&gt;")&gt;0,"부분","X")))</f>
        <v/>
      </c>
      <c r="R304" s="19">
        <f>IF(COUNTIF(EDW_RAW!$A$2:$A$1500,$D304)=0,"",IF(COUNTIFS(EDW_RAW!$A$2:$A$1500,$D304,EDW_RAW!$U$2:$U$1500,"&lt;&gt;~",EDW_RAW!$U$2:$U$1500,"&lt;&gt;")=COUNTIF(EDW_RAW!$A$2:$A$1500,$D304),"O",IF(COUNTIFS(EDW_RAW!$A$2:$A$1500,$D304,EDW_RAW!$U$2:$U$1500,"&lt;&gt;~",EDW_RAW!$U$2:$U$1500,"&lt;&gt;")&gt;0,"부분","X")))</f>
        <v/>
      </c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",TRUE,UNIQUE(FILTER(소재DB_RAW!$K$3:$K$2000,(소재DB_RAW!$G$3:$G$2000=$D304)*ISERROR(SEARCH("drop",소재DB_RAW!$C$3:$C$2000))))),"")</f>
        <v/>
      </c>
      <c r="W304" s="20" t="inlineStr">
        <is>
          <t>베트남</t>
        </is>
      </c>
      <c r="X304" s="20">
        <f>IFERROR(TEXTJOIN(" / ",TRUE,UNIQUE(FILTER(소재DB_RAW!$N$3:$N$2000,(소재DB_RAW!$G$3:$G$2000=$D304)*ISERROR(SEARCH("drop",소재DB_RAW!$C$3:$C$2000))))),"")</f>
        <v/>
      </c>
      <c r="Y304" s="26">
        <f>IFERROR(TEXTJOIN(CHAR(10),TRUE,UNIQUE(FILTER(소재DB_RAW!$N$3:$N$2000&amp;") "&amp;소재DB_RAW!$O$3:$O$2000,(소재DB_RAW!$G$3:$G$2000=$D304)*ISNUMBER(SEARCH("겉감",소재DB_RAW!$M$3:$M$2000))*ISERROR(SEARCH("drop",소재DB_RAW!$C$3:$C$2000))))),"")</f>
        <v/>
      </c>
      <c r="Z304" s="26">
        <f>IFERROR(TEXTJOIN(CHAR(10),TRUE,UNIQUE(FILTER(소재DB_RAW!$N$3:$N$2000&amp;") "&amp;소재DB_RAW!$O$3:$O$2000,(소재DB_RAW!$G$3:$G$2000=$D304)*ISNUMBER(SEARCH("안감",소재DB_RAW!$M$3:$M$2000))*ISERROR(SEARCH("drop",소재DB_RAW!$C$3:$C$2000))))),"")</f>
        <v/>
      </c>
      <c r="AA304" s="22">
        <f>IFERROR(MAX(FILTER(소재DB_RAW!$AK$3:$AK$2000,(소재DB_RAW!$G$3:$G$2000=$D304)*ISERROR(SEARCH("drop",소재DB_RAW!$C$3:$C$2000))*(소재DB_RAW!$AK$3:$AK$2000&lt;&gt;""))),"")</f>
        <v/>
      </c>
      <c r="AB304" s="27" t="n">
        <v>7500</v>
      </c>
      <c r="AC304" s="27" t="n">
        <v>66750000</v>
      </c>
      <c r="AD304" s="27" t="n">
        <v>375000000</v>
      </c>
      <c r="AE304" s="20" t="n"/>
      <c r="AF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G304" s="19">
        <f>IF($K304="","",IF(OR(LEFT($AF304,2)="작지",LEFT($AF304,4)="소재입고"),IF(LEFT($G304,1)="S","★ 납기위험(S코드)","◆ 지연주의"),IF($AF304="정상","✓ 정상","? 확인필요")))</f>
        <v/>
      </c>
      <c r="AH304" s="21" t="n"/>
      <c r="AI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19">
        <f>IF(COUNTIF(EDW_RAW!$A$2:$A$1500,$D305)=0,"",IF(COUNTIFS(EDW_RAW!$A$2:$A$1500,$D305,EDW_RAW!$R$2:$R$1500,"&lt;&gt;~",EDW_RAW!$R$2:$R$1500,"&lt;&gt;")=COUNTIF(EDW_RAW!$A$2:$A$1500,$D305),"O",IF(COUNTIFS(EDW_RAW!$A$2:$A$1500,$D305,EDW_RAW!$R$2:$R$1500,"&lt;&gt;~",EDW_RAW!$R$2:$R$1500,"&lt;&gt;")&gt;0,"부분","X")))</f>
        <v/>
      </c>
      <c r="R305" s="19">
        <f>IF(COUNTIF(EDW_RAW!$A$2:$A$1500,$D305)=0,"",IF(COUNTIFS(EDW_RAW!$A$2:$A$1500,$D305,EDW_RAW!$U$2:$U$1500,"&lt;&gt;~",EDW_RAW!$U$2:$U$1500,"&lt;&gt;")=COUNTIF(EDW_RAW!$A$2:$A$1500,$D305),"O",IF(COUNTIFS(EDW_RAW!$A$2:$A$1500,$D305,EDW_RAW!$U$2:$U$1500,"&lt;&gt;~",EDW_RAW!$U$2:$U$1500,"&lt;&gt;")&gt;0,"부분","X")))</f>
        <v/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",TRUE,UNIQUE(FILTER(소재DB_RAW!$K$3:$K$2000,(소재DB_RAW!$G$3:$G$2000=$D305)*ISERROR(SEARCH("drop",소재DB_RAW!$C$3:$C$2000))))),"")</f>
        <v/>
      </c>
      <c r="W305" s="20" t="inlineStr">
        <is>
          <t>베트남</t>
        </is>
      </c>
      <c r="X305" s="20">
        <f>IFERROR(TEXTJOIN(" / ",TRUE,UNIQUE(FILTER(소재DB_RAW!$N$3:$N$2000,(소재DB_RAW!$G$3:$G$2000=$D305)*ISERROR(SEARCH("drop",소재DB_RAW!$C$3:$C$2000))))),"")</f>
        <v/>
      </c>
      <c r="Y305" s="26">
        <f>IFERROR(TEXTJOIN(CHAR(10),TRUE,UNIQUE(FILTER(소재DB_RAW!$N$3:$N$2000&amp;") "&amp;소재DB_RAW!$O$3:$O$2000,(소재DB_RAW!$G$3:$G$2000=$D305)*ISNUMBER(SEARCH("겉감",소재DB_RAW!$M$3:$M$2000))*ISERROR(SEARCH("drop",소재DB_RAW!$C$3:$C$2000))))),"")</f>
        <v/>
      </c>
      <c r="Z305" s="26">
        <f>IFERROR(TEXTJOIN(CHAR(10),TRUE,UNIQUE(FILTER(소재DB_RAW!$N$3:$N$2000&amp;") "&amp;소재DB_RAW!$O$3:$O$2000,(소재DB_RAW!$G$3:$G$2000=$D305)*ISNUMBER(SEARCH("안감",소재DB_RAW!$M$3:$M$2000))*ISERROR(SEARCH("drop",소재DB_RAW!$C$3:$C$2000))))),"")</f>
        <v/>
      </c>
      <c r="AA305" s="22">
        <f>IFERROR(MAX(FILTER(소재DB_RAW!$AK$3:$AK$2000,(소재DB_RAW!$G$3:$G$2000=$D305)*ISERROR(SEARCH("drop",소재DB_RAW!$C$3:$C$2000))*(소재DB_RAW!$AK$3:$AK$2000&lt;&gt;""))),"")</f>
        <v/>
      </c>
      <c r="AB305" s="27" t="n">
        <v>2500</v>
      </c>
      <c r="AC305" s="27" t="n">
        <v>81705000</v>
      </c>
      <c r="AD305" s="27" t="n">
        <v>420000000</v>
      </c>
      <c r="AE305" s="20" t="n"/>
      <c r="AF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G305" s="19">
        <f>IF($K305="","",IF(OR(LEFT($AF305,2)="작지",LEFT($AF305,4)="소재입고"),IF(LEFT($G305,1)="S","★ 납기위험(S코드)","◆ 지연주의"),IF($AF305="정상","✓ 정상","? 확인필요")))</f>
        <v/>
      </c>
      <c r="AH305" s="21" t="n"/>
      <c r="AI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19">
        <f>IF(COUNTIF(EDW_RAW!$A$2:$A$1500,$D306)=0,"",IF(COUNTIFS(EDW_RAW!$A$2:$A$1500,$D306,EDW_RAW!$R$2:$R$1500,"&lt;&gt;~",EDW_RAW!$R$2:$R$1500,"&lt;&gt;")=COUNTIF(EDW_RAW!$A$2:$A$1500,$D306),"O",IF(COUNTIFS(EDW_RAW!$A$2:$A$1500,$D306,EDW_RAW!$R$2:$R$1500,"&lt;&gt;~",EDW_RAW!$R$2:$R$1500,"&lt;&gt;")&gt;0,"부분","X")))</f>
        <v/>
      </c>
      <c r="R306" s="19">
        <f>IF(COUNTIF(EDW_RAW!$A$2:$A$1500,$D306)=0,"",IF(COUNTIFS(EDW_RAW!$A$2:$A$1500,$D306,EDW_RAW!$U$2:$U$1500,"&lt;&gt;~",EDW_RAW!$U$2:$U$1500,"&lt;&gt;")=COUNTIF(EDW_RAW!$A$2:$A$1500,$D306),"O",IF(COUNTIFS(EDW_RAW!$A$2:$A$1500,$D306,EDW_RAW!$U$2:$U$1500,"&lt;&gt;~",EDW_RAW!$U$2:$U$1500,"&lt;&gt;")&gt;0,"부분","X")))</f>
        <v/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",TRUE,UNIQUE(FILTER(소재DB_RAW!$K$3:$K$2000,(소재DB_RAW!$G$3:$G$2000=$D306)*ISERROR(SEARCH("drop",소재DB_RAW!$C$3:$C$2000))))),"")</f>
        <v/>
      </c>
      <c r="W306" s="20" t="inlineStr">
        <is>
          <t>베트남</t>
        </is>
      </c>
      <c r="X306" s="20">
        <f>IFERROR(TEXTJOIN(" / ",TRUE,UNIQUE(FILTER(소재DB_RAW!$N$3:$N$2000,(소재DB_RAW!$G$3:$G$2000=$D306)*ISERROR(SEARCH("drop",소재DB_RAW!$C$3:$C$2000))))),"")</f>
        <v/>
      </c>
      <c r="Y306" s="26">
        <f>IFERROR(TEXTJOIN(CHAR(10),TRUE,UNIQUE(FILTER(소재DB_RAW!$N$3:$N$2000&amp;") "&amp;소재DB_RAW!$O$3:$O$2000,(소재DB_RAW!$G$3:$G$2000=$D306)*ISNUMBER(SEARCH("겉감",소재DB_RAW!$M$3:$M$2000))*ISERROR(SEARCH("drop",소재DB_RAW!$C$3:$C$2000))))),"")</f>
        <v/>
      </c>
      <c r="Z306" s="26">
        <f>IFERROR(TEXTJOIN(CHAR(10),TRUE,UNIQUE(FILTER(소재DB_RAW!$N$3:$N$2000&amp;") "&amp;소재DB_RAW!$O$3:$O$2000,(소재DB_RAW!$G$3:$G$2000=$D306)*ISNUMBER(SEARCH("안감",소재DB_RAW!$M$3:$M$2000))*ISERROR(SEARCH("drop",소재DB_RAW!$C$3:$C$2000))))),"")</f>
        <v/>
      </c>
      <c r="AA306" s="22">
        <f>IFERROR(MAX(FILTER(소재DB_RAW!$AK$3:$AK$2000,(소재DB_RAW!$G$3:$G$2000=$D306)*ISERROR(SEARCH("drop",소재DB_RAW!$C$3:$C$2000))*(소재DB_RAW!$AK$3:$AK$2000&lt;&gt;""))),"")</f>
        <v/>
      </c>
      <c r="AB306" s="27" t="n">
        <v>1600</v>
      </c>
      <c r="AC306" s="27" t="n">
        <v>60500000</v>
      </c>
      <c r="AD306" s="27" t="n">
        <v>335000000</v>
      </c>
      <c r="AE306" s="20" t="n"/>
      <c r="AF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G306" s="19">
        <f>IF($K306="","",IF(OR(LEFT($AF306,2)="작지",LEFT($AF306,4)="소재입고"),IF(LEFT($G306,1)="S","★ 납기위험(S코드)","◆ 지연주의"),IF($AF306="정상","✓ 정상","? 확인필요")))</f>
        <v/>
      </c>
      <c r="AH306" s="21" t="n"/>
      <c r="AI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19">
        <f>IF(COUNTIF(EDW_RAW!$A$2:$A$1500,$D307)=0,"",IF(COUNTIFS(EDW_RAW!$A$2:$A$1500,$D307,EDW_RAW!$R$2:$R$1500,"&lt;&gt;~",EDW_RAW!$R$2:$R$1500,"&lt;&gt;")=COUNTIF(EDW_RAW!$A$2:$A$1500,$D307),"O",IF(COUNTIFS(EDW_RAW!$A$2:$A$1500,$D307,EDW_RAW!$R$2:$R$1500,"&lt;&gt;~",EDW_RAW!$R$2:$R$1500,"&lt;&gt;")&gt;0,"부분","X")))</f>
        <v/>
      </c>
      <c r="R307" s="19">
        <f>IF(COUNTIF(EDW_RAW!$A$2:$A$1500,$D307)=0,"",IF(COUNTIFS(EDW_RAW!$A$2:$A$1500,$D307,EDW_RAW!$U$2:$U$1500,"&lt;&gt;~",EDW_RAW!$U$2:$U$1500,"&lt;&gt;")=COUNTIF(EDW_RAW!$A$2:$A$1500,$D307),"O",IF(COUNTIFS(EDW_RAW!$A$2:$A$1500,$D307,EDW_RAW!$U$2:$U$1500,"&lt;&gt;~",EDW_RAW!$U$2:$U$1500,"&lt;&gt;")&gt;0,"부분","X")))</f>
        <v/>
      </c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",TRUE,UNIQUE(FILTER(소재DB_RAW!$K$3:$K$2000,(소재DB_RAW!$G$3:$G$2000=$D307)*ISERROR(SEARCH("drop",소재DB_RAW!$C$3:$C$2000))))),"")</f>
        <v/>
      </c>
      <c r="W307" s="20" t="inlineStr">
        <is>
          <t>베트남</t>
        </is>
      </c>
      <c r="X307" s="20">
        <f>IFERROR(TEXTJOIN(" / ",TRUE,UNIQUE(FILTER(소재DB_RAW!$N$3:$N$2000,(소재DB_RAW!$G$3:$G$2000=$D307)*ISERROR(SEARCH("drop",소재DB_RAW!$C$3:$C$2000))))),"")</f>
        <v/>
      </c>
      <c r="Y307" s="26">
        <f>IFERROR(TEXTJOIN(CHAR(10),TRUE,UNIQUE(FILTER(소재DB_RAW!$N$3:$N$2000&amp;") "&amp;소재DB_RAW!$O$3:$O$2000,(소재DB_RAW!$G$3:$G$2000=$D307)*ISNUMBER(SEARCH("겉감",소재DB_RAW!$M$3:$M$2000))*ISERROR(SEARCH("drop",소재DB_RAW!$C$3:$C$2000))))),"")</f>
        <v/>
      </c>
      <c r="Z307" s="26">
        <f>IFERROR(TEXTJOIN(CHAR(10),TRUE,UNIQUE(FILTER(소재DB_RAW!$N$3:$N$2000&amp;") "&amp;소재DB_RAW!$O$3:$O$2000,(소재DB_RAW!$G$3:$G$2000=$D307)*ISNUMBER(SEARCH("안감",소재DB_RAW!$M$3:$M$2000))*ISERROR(SEARCH("drop",소재DB_RAW!$C$3:$C$2000))))),"")</f>
        <v/>
      </c>
      <c r="AA307" s="22">
        <f>IFERROR(MAX(FILTER(소재DB_RAW!$AK$3:$AK$2000,(소재DB_RAW!$G$3:$G$2000=$D307)*ISERROR(SEARCH("drop",소재DB_RAW!$C$3:$C$2000))*(소재DB_RAW!$AK$3:$AK$2000&lt;&gt;""))),"")</f>
        <v/>
      </c>
      <c r="AB307" s="27" t="n">
        <v>6000</v>
      </c>
      <c r="AC307" s="27" t="n">
        <v>139110000</v>
      </c>
      <c r="AD307" s="27" t="n">
        <v>708000000</v>
      </c>
      <c r="AE307" s="20" t="n"/>
      <c r="AF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G307" s="19">
        <f>IF($K307="","",IF(OR(LEFT($AF307,2)="작지",LEFT($AF307,4)="소재입고"),IF(LEFT($G307,1)="S","★ 납기위험(S코드)","◆ 지연주의"),IF($AF307="정상","✓ 정상","? 확인필요")))</f>
        <v/>
      </c>
      <c r="AH307" s="21" t="n"/>
      <c r="AI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19">
        <f>IF(COUNTIF(EDW_RAW!$A$2:$A$1500,$D308)=0,"",IF(COUNTIFS(EDW_RAW!$A$2:$A$1500,$D308,EDW_RAW!$R$2:$R$1500,"&lt;&gt;~",EDW_RAW!$R$2:$R$1500,"&lt;&gt;")=COUNTIF(EDW_RAW!$A$2:$A$1500,$D308),"O",IF(COUNTIFS(EDW_RAW!$A$2:$A$1500,$D308,EDW_RAW!$R$2:$R$1500,"&lt;&gt;~",EDW_RAW!$R$2:$R$1500,"&lt;&gt;")&gt;0,"부분","X")))</f>
        <v/>
      </c>
      <c r="R308" s="19">
        <f>IF(COUNTIF(EDW_RAW!$A$2:$A$1500,$D308)=0,"",IF(COUNTIFS(EDW_RAW!$A$2:$A$1500,$D308,EDW_RAW!$U$2:$U$1500,"&lt;&gt;~",EDW_RAW!$U$2:$U$1500,"&lt;&gt;")=COUNTIF(EDW_RAW!$A$2:$A$1500,$D308),"O",IF(COUNTIFS(EDW_RAW!$A$2:$A$1500,$D308,EDW_RAW!$U$2:$U$1500,"&lt;&gt;~",EDW_RAW!$U$2:$U$1500,"&lt;&gt;")&gt;0,"부분","X")))</f>
        <v/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",TRUE,UNIQUE(FILTER(소재DB_RAW!$K$3:$K$2000,(소재DB_RAW!$G$3:$G$2000=$D308)*ISERROR(SEARCH("drop",소재DB_RAW!$C$3:$C$2000))))),"")</f>
        <v/>
      </c>
      <c r="W308" s="20" t="inlineStr">
        <is>
          <t>인도네시아</t>
        </is>
      </c>
      <c r="X308" s="20">
        <f>IFERROR(TEXTJOIN(" / ",TRUE,UNIQUE(FILTER(소재DB_RAW!$N$3:$N$2000,(소재DB_RAW!$G$3:$G$2000=$D308)*ISERROR(SEARCH("drop",소재DB_RAW!$C$3:$C$2000))))),"")</f>
        <v/>
      </c>
      <c r="Y308" s="26">
        <f>IFERROR(TEXTJOIN(CHAR(10),TRUE,UNIQUE(FILTER(소재DB_RAW!$N$3:$N$2000&amp;") "&amp;소재DB_RAW!$O$3:$O$2000,(소재DB_RAW!$G$3:$G$2000=$D308)*ISNUMBER(SEARCH("겉감",소재DB_RAW!$M$3:$M$2000))*ISERROR(SEARCH("drop",소재DB_RAW!$C$3:$C$2000))))),"")</f>
        <v/>
      </c>
      <c r="Z308" s="26">
        <f>IFERROR(TEXTJOIN(CHAR(10),TRUE,UNIQUE(FILTER(소재DB_RAW!$N$3:$N$2000&amp;") "&amp;소재DB_RAW!$O$3:$O$2000,(소재DB_RAW!$G$3:$G$2000=$D308)*ISNUMBER(SEARCH("안감",소재DB_RAW!$M$3:$M$2000))*ISERROR(SEARCH("drop",소재DB_RAW!$C$3:$C$2000))))),"")</f>
        <v/>
      </c>
      <c r="AA308" s="22">
        <f>IFERROR(MAX(FILTER(소재DB_RAW!$AK$3:$AK$2000,(소재DB_RAW!$G$3:$G$2000=$D308)*ISERROR(SEARCH("drop",소재DB_RAW!$C$3:$C$2000))*(소재DB_RAW!$AK$3:$AK$2000&lt;&gt;""))),"")</f>
        <v/>
      </c>
      <c r="AB308" s="27" t="n">
        <v>10000</v>
      </c>
      <c r="AC308" s="27" t="n">
        <v>202530000</v>
      </c>
      <c r="AD308" s="27" t="n">
        <v>880000000</v>
      </c>
      <c r="AE308" s="20" t="inlineStr">
        <is>
          <t>3월4주</t>
        </is>
      </c>
      <c r="AF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G308" s="19">
        <f>IF($K308="","",IF(OR(LEFT($AF308,2)="작지",LEFT($AF308,4)="소재입고"),IF(LEFT($G308,1)="S","★ 납기위험(S코드)","◆ 지연주의"),IF($AF308="정상","✓ 정상","? 확인필요")))</f>
        <v/>
      </c>
      <c r="AH308" s="21" t="n"/>
      <c r="AI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19">
        <f>IF(COUNTIF(EDW_RAW!$A$2:$A$1500,$D309)=0,"",IF(COUNTIFS(EDW_RAW!$A$2:$A$1500,$D309,EDW_RAW!$R$2:$R$1500,"&lt;&gt;~",EDW_RAW!$R$2:$R$1500,"&lt;&gt;")=COUNTIF(EDW_RAW!$A$2:$A$1500,$D309),"O",IF(COUNTIFS(EDW_RAW!$A$2:$A$1500,$D309,EDW_RAW!$R$2:$R$1500,"&lt;&gt;~",EDW_RAW!$R$2:$R$1500,"&lt;&gt;")&gt;0,"부분","X")))</f>
        <v/>
      </c>
      <c r="R309" s="19">
        <f>IF(COUNTIF(EDW_RAW!$A$2:$A$1500,$D309)=0,"",IF(COUNTIFS(EDW_RAW!$A$2:$A$1500,$D309,EDW_RAW!$U$2:$U$1500,"&lt;&gt;~",EDW_RAW!$U$2:$U$1500,"&lt;&gt;")=COUNTIF(EDW_RAW!$A$2:$A$1500,$D309),"O",IF(COUNTIFS(EDW_RAW!$A$2:$A$1500,$D309,EDW_RAW!$U$2:$U$1500,"&lt;&gt;~",EDW_RAW!$U$2:$U$1500,"&lt;&gt;")&gt;0,"부분","X")))</f>
        <v/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",TRUE,UNIQUE(FILTER(소재DB_RAW!$K$3:$K$2000,(소재DB_RAW!$G$3:$G$2000=$D309)*ISERROR(SEARCH("drop",소재DB_RAW!$C$3:$C$2000))))),"")</f>
        <v/>
      </c>
      <c r="W309" s="20" t="inlineStr">
        <is>
          <t>인도네시아</t>
        </is>
      </c>
      <c r="X309" s="20">
        <f>IFERROR(TEXTJOIN(" / ",TRUE,UNIQUE(FILTER(소재DB_RAW!$N$3:$N$2000,(소재DB_RAW!$G$3:$G$2000=$D309)*ISERROR(SEARCH("drop",소재DB_RAW!$C$3:$C$2000))))),"")</f>
        <v/>
      </c>
      <c r="Y309" s="26">
        <f>IFERROR(TEXTJOIN(CHAR(10),TRUE,UNIQUE(FILTER(소재DB_RAW!$N$3:$N$2000&amp;") "&amp;소재DB_RAW!$O$3:$O$2000,(소재DB_RAW!$G$3:$G$2000=$D309)*ISNUMBER(SEARCH("겉감",소재DB_RAW!$M$3:$M$2000))*ISERROR(SEARCH("drop",소재DB_RAW!$C$3:$C$2000))))),"")</f>
        <v/>
      </c>
      <c r="Z309" s="26">
        <f>IFERROR(TEXTJOIN(CHAR(10),TRUE,UNIQUE(FILTER(소재DB_RAW!$N$3:$N$2000&amp;") "&amp;소재DB_RAW!$O$3:$O$2000,(소재DB_RAW!$G$3:$G$2000=$D309)*ISNUMBER(SEARCH("안감",소재DB_RAW!$M$3:$M$2000))*ISERROR(SEARCH("drop",소재DB_RAW!$C$3:$C$2000))))),"")</f>
        <v/>
      </c>
      <c r="AA309" s="22">
        <f>IFERROR(MAX(FILTER(소재DB_RAW!$AK$3:$AK$2000,(소재DB_RAW!$G$3:$G$2000=$D309)*ISERROR(SEARCH("drop",소재DB_RAW!$C$3:$C$2000))*(소재DB_RAW!$AK$3:$AK$2000&lt;&gt;""))),"")</f>
        <v/>
      </c>
      <c r="AB309" s="27" t="n">
        <v>2300</v>
      </c>
      <c r="AC309" s="27" t="n">
        <v>57750700</v>
      </c>
      <c r="AD309" s="27" t="n">
        <v>271400000</v>
      </c>
      <c r="AE309" s="20" t="n"/>
      <c r="AF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G309" s="19">
        <f>IF($K309="","",IF(OR(LEFT($AF309,2)="작지",LEFT($AF309,4)="소재입고"),IF(LEFT($G309,1)="S","★ 납기위험(S코드)","◆ 지연주의"),IF($AF309="정상","✓ 정상","? 확인필요")))</f>
        <v/>
      </c>
      <c r="AH309" s="21" t="n"/>
      <c r="AI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19">
        <f>IF(COUNTIF(EDW_RAW!$A$2:$A$1500,$D310)=0,"",IF(COUNTIFS(EDW_RAW!$A$2:$A$1500,$D310,EDW_RAW!$R$2:$R$1500,"&lt;&gt;~",EDW_RAW!$R$2:$R$1500,"&lt;&gt;")=COUNTIF(EDW_RAW!$A$2:$A$1500,$D310),"O",IF(COUNTIFS(EDW_RAW!$A$2:$A$1500,$D310,EDW_RAW!$R$2:$R$1500,"&lt;&gt;~",EDW_RAW!$R$2:$R$1500,"&lt;&gt;")&gt;0,"부분","X")))</f>
        <v/>
      </c>
      <c r="R310" s="19">
        <f>IF(COUNTIF(EDW_RAW!$A$2:$A$1500,$D310)=0,"",IF(COUNTIFS(EDW_RAW!$A$2:$A$1500,$D310,EDW_RAW!$U$2:$U$1500,"&lt;&gt;~",EDW_RAW!$U$2:$U$1500,"&lt;&gt;")=COUNTIF(EDW_RAW!$A$2:$A$1500,$D310),"O",IF(COUNTIFS(EDW_RAW!$A$2:$A$1500,$D310,EDW_RAW!$U$2:$U$1500,"&lt;&gt;~",EDW_RAW!$U$2:$U$1500,"&lt;&gt;")&gt;0,"부분","X")))</f>
        <v/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",TRUE,UNIQUE(FILTER(소재DB_RAW!$K$3:$K$2000,(소재DB_RAW!$G$3:$G$2000=$D310)*ISERROR(SEARCH("drop",소재DB_RAW!$C$3:$C$2000))))),"")</f>
        <v/>
      </c>
      <c r="W310" s="20" t="inlineStr">
        <is>
          <t>베트남</t>
        </is>
      </c>
      <c r="X310" s="20">
        <f>IFERROR(TEXTJOIN(" / ",TRUE,UNIQUE(FILTER(소재DB_RAW!$N$3:$N$2000,(소재DB_RAW!$G$3:$G$2000=$D310)*ISERROR(SEARCH("drop",소재DB_RAW!$C$3:$C$2000))))),"")</f>
        <v/>
      </c>
      <c r="Y310" s="26">
        <f>IFERROR(TEXTJOIN(CHAR(10),TRUE,UNIQUE(FILTER(소재DB_RAW!$N$3:$N$2000&amp;") "&amp;소재DB_RAW!$O$3:$O$2000,(소재DB_RAW!$G$3:$G$2000=$D310)*ISNUMBER(SEARCH("겉감",소재DB_RAW!$M$3:$M$2000))*ISERROR(SEARCH("drop",소재DB_RAW!$C$3:$C$2000))))),"")</f>
        <v/>
      </c>
      <c r="Z310" s="26">
        <f>IFERROR(TEXTJOIN(CHAR(10),TRUE,UNIQUE(FILTER(소재DB_RAW!$N$3:$N$2000&amp;") "&amp;소재DB_RAW!$O$3:$O$2000,(소재DB_RAW!$G$3:$G$2000=$D310)*ISNUMBER(SEARCH("안감",소재DB_RAW!$M$3:$M$2000))*ISERROR(SEARCH("drop",소재DB_RAW!$C$3:$C$2000))))),"")</f>
        <v/>
      </c>
      <c r="AA310" s="22">
        <f>IFERROR(MAX(FILTER(소재DB_RAW!$AK$3:$AK$2000,(소재DB_RAW!$G$3:$G$2000=$D310)*ISERROR(SEARCH("drop",소재DB_RAW!$C$3:$C$2000))*(소재DB_RAW!$AK$3:$AK$2000&lt;&gt;""))),"")</f>
        <v/>
      </c>
      <c r="AB310" s="27" t="n">
        <v>1600</v>
      </c>
      <c r="AC310" s="27" t="n">
        <v>41675200</v>
      </c>
      <c r="AD310" s="27" t="n">
        <v>252800000</v>
      </c>
      <c r="AE310" s="20" t="inlineStr">
        <is>
          <t>3월4주</t>
        </is>
      </c>
      <c r="AF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G310" s="19">
        <f>IF($K310="","",IF(OR(LEFT($AF310,2)="작지",LEFT($AF310,4)="소재입고"),IF(LEFT($G310,1)="S","★ 납기위험(S코드)","◆ 지연주의"),IF($AF310="정상","✓ 정상","? 확인필요")))</f>
        <v/>
      </c>
      <c r="AH310" s="21" t="n"/>
      <c r="AI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19">
        <f>IF(COUNTIF(EDW_RAW!$A$2:$A$1500,$D311)=0,"",IF(COUNTIFS(EDW_RAW!$A$2:$A$1500,$D311,EDW_RAW!$R$2:$R$1500,"&lt;&gt;~",EDW_RAW!$R$2:$R$1500,"&lt;&gt;")=COUNTIF(EDW_RAW!$A$2:$A$1500,$D311),"O",IF(COUNTIFS(EDW_RAW!$A$2:$A$1500,$D311,EDW_RAW!$R$2:$R$1500,"&lt;&gt;~",EDW_RAW!$R$2:$R$1500,"&lt;&gt;")&gt;0,"부분","X")))</f>
        <v/>
      </c>
      <c r="R311" s="19">
        <f>IF(COUNTIF(EDW_RAW!$A$2:$A$1500,$D311)=0,"",IF(COUNTIFS(EDW_RAW!$A$2:$A$1500,$D311,EDW_RAW!$U$2:$U$1500,"&lt;&gt;~",EDW_RAW!$U$2:$U$1500,"&lt;&gt;")=COUNTIF(EDW_RAW!$A$2:$A$1500,$D311),"O",IF(COUNTIFS(EDW_RAW!$A$2:$A$1500,$D311,EDW_RAW!$U$2:$U$1500,"&lt;&gt;~",EDW_RAW!$U$2:$U$1500,"&lt;&gt;")&gt;0,"부분","X")))</f>
        <v/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",TRUE,UNIQUE(FILTER(소재DB_RAW!$K$3:$K$2000,(소재DB_RAW!$G$3:$G$2000=$D311)*ISERROR(SEARCH("drop",소재DB_RAW!$C$3:$C$2000))))),"")</f>
        <v/>
      </c>
      <c r="W311" s="20" t="inlineStr">
        <is>
          <t>베트남</t>
        </is>
      </c>
      <c r="X311" s="20">
        <f>IFERROR(TEXTJOIN(" / ",TRUE,UNIQUE(FILTER(소재DB_RAW!$N$3:$N$2000,(소재DB_RAW!$G$3:$G$2000=$D311)*ISERROR(SEARCH("drop",소재DB_RAW!$C$3:$C$2000))))),"")</f>
        <v/>
      </c>
      <c r="Y311" s="26">
        <f>IFERROR(TEXTJOIN(CHAR(10),TRUE,UNIQUE(FILTER(소재DB_RAW!$N$3:$N$2000&amp;") "&amp;소재DB_RAW!$O$3:$O$2000,(소재DB_RAW!$G$3:$G$2000=$D311)*ISNUMBER(SEARCH("겉감",소재DB_RAW!$M$3:$M$2000))*ISERROR(SEARCH("drop",소재DB_RAW!$C$3:$C$2000))))),"")</f>
        <v/>
      </c>
      <c r="Z311" s="26">
        <f>IFERROR(TEXTJOIN(CHAR(10),TRUE,UNIQUE(FILTER(소재DB_RAW!$N$3:$N$2000&amp;") "&amp;소재DB_RAW!$O$3:$O$2000,(소재DB_RAW!$G$3:$G$2000=$D311)*ISNUMBER(SEARCH("안감",소재DB_RAW!$M$3:$M$2000))*ISERROR(SEARCH("drop",소재DB_RAW!$C$3:$C$2000))))),"")</f>
        <v/>
      </c>
      <c r="AA311" s="22">
        <f>IFERROR(MAX(FILTER(소재DB_RAW!$AK$3:$AK$2000,(소재DB_RAW!$G$3:$G$2000=$D311)*ISERROR(SEARCH("drop",소재DB_RAW!$C$3:$C$2000))*(소재DB_RAW!$AK$3:$AK$2000&lt;&gt;""))),"")</f>
        <v/>
      </c>
      <c r="AB311" s="27" t="n">
        <v>3000</v>
      </c>
      <c r="AC311" s="27" t="n">
        <v>99888000</v>
      </c>
      <c r="AD311" s="27" t="n">
        <v>474000000</v>
      </c>
      <c r="AE311" s="20" t="inlineStr">
        <is>
          <t>3월4주</t>
        </is>
      </c>
      <c r="AF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G311" s="19">
        <f>IF($K311="","",IF(OR(LEFT($AF311,2)="작지",LEFT($AF311,4)="소재입고"),IF(LEFT($G311,1)="S","★ 납기위험(S코드)","◆ 지연주의"),IF($AF311="정상","✓ 정상","? 확인필요")))</f>
        <v/>
      </c>
      <c r="AH311" s="21" t="n"/>
      <c r="AI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19">
        <f>IF(COUNTIF(EDW_RAW!$A$2:$A$1500,$D312)=0,"",IF(COUNTIFS(EDW_RAW!$A$2:$A$1500,$D312,EDW_RAW!$R$2:$R$1500,"&lt;&gt;~",EDW_RAW!$R$2:$R$1500,"&lt;&gt;")=COUNTIF(EDW_RAW!$A$2:$A$1500,$D312),"O",IF(COUNTIFS(EDW_RAW!$A$2:$A$1500,$D312,EDW_RAW!$R$2:$R$1500,"&lt;&gt;~",EDW_RAW!$R$2:$R$1500,"&lt;&gt;")&gt;0,"부분","X")))</f>
        <v/>
      </c>
      <c r="R312" s="19">
        <f>IF(COUNTIF(EDW_RAW!$A$2:$A$1500,$D312)=0,"",IF(COUNTIFS(EDW_RAW!$A$2:$A$1500,$D312,EDW_RAW!$U$2:$U$1500,"&lt;&gt;~",EDW_RAW!$U$2:$U$1500,"&lt;&gt;")=COUNTIF(EDW_RAW!$A$2:$A$1500,$D312),"O",IF(COUNTIFS(EDW_RAW!$A$2:$A$1500,$D312,EDW_RAW!$U$2:$U$1500,"&lt;&gt;~",EDW_RAW!$U$2:$U$1500,"&lt;&gt;")&gt;0,"부분","X")))</f>
        <v/>
      </c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",TRUE,UNIQUE(FILTER(소재DB_RAW!$K$3:$K$2000,(소재DB_RAW!$G$3:$G$2000=$D312)*ISERROR(SEARCH("drop",소재DB_RAW!$C$3:$C$2000))))),"")</f>
        <v/>
      </c>
      <c r="W312" s="20" t="inlineStr">
        <is>
          <t>베트남</t>
        </is>
      </c>
      <c r="X312" s="20">
        <f>IFERROR(TEXTJOIN(" / ",TRUE,UNIQUE(FILTER(소재DB_RAW!$N$3:$N$2000,(소재DB_RAW!$G$3:$G$2000=$D312)*ISERROR(SEARCH("drop",소재DB_RAW!$C$3:$C$2000))))),"")</f>
        <v/>
      </c>
      <c r="Y312" s="26">
        <f>IFERROR(TEXTJOIN(CHAR(10),TRUE,UNIQUE(FILTER(소재DB_RAW!$N$3:$N$2000&amp;") "&amp;소재DB_RAW!$O$3:$O$2000,(소재DB_RAW!$G$3:$G$2000=$D312)*ISNUMBER(SEARCH("겉감",소재DB_RAW!$M$3:$M$2000))*ISERROR(SEARCH("drop",소재DB_RAW!$C$3:$C$2000))))),"")</f>
        <v/>
      </c>
      <c r="Z312" s="26">
        <f>IFERROR(TEXTJOIN(CHAR(10),TRUE,UNIQUE(FILTER(소재DB_RAW!$N$3:$N$2000&amp;") "&amp;소재DB_RAW!$O$3:$O$2000,(소재DB_RAW!$G$3:$G$2000=$D312)*ISNUMBER(SEARCH("안감",소재DB_RAW!$M$3:$M$2000))*ISERROR(SEARCH("drop",소재DB_RAW!$C$3:$C$2000))))),"")</f>
        <v/>
      </c>
      <c r="AA312" s="22">
        <f>IFERROR(MAX(FILTER(소재DB_RAW!$AK$3:$AK$2000,(소재DB_RAW!$G$3:$G$2000=$D312)*ISERROR(SEARCH("drop",소재DB_RAW!$C$3:$C$2000))*(소재DB_RAW!$AK$3:$AK$2000&lt;&gt;""))),"")</f>
        <v/>
      </c>
      <c r="AB312" s="27" t="n">
        <v>3000</v>
      </c>
      <c r="AC312" s="27" t="n">
        <v>63000000</v>
      </c>
      <c r="AD312" s="27" t="n">
        <v>354000000</v>
      </c>
      <c r="AE312" s="20" t="n"/>
      <c r="AF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G312" s="19">
        <f>IF($K312="","",IF(OR(LEFT($AF312,2)="작지",LEFT($AF312,4)="소재입고"),IF(LEFT($G312,1)="S","★ 납기위험(S코드)","◆ 지연주의"),IF($AF312="정상","✓ 정상","? 확인필요")))</f>
        <v/>
      </c>
      <c r="AH312" s="21" t="n"/>
      <c r="AI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19">
        <f>IF(COUNTIF(EDW_RAW!$A$2:$A$1500,$D313)=0,"",IF(COUNTIFS(EDW_RAW!$A$2:$A$1500,$D313,EDW_RAW!$R$2:$R$1500,"&lt;&gt;~",EDW_RAW!$R$2:$R$1500,"&lt;&gt;")=COUNTIF(EDW_RAW!$A$2:$A$1500,$D313),"O",IF(COUNTIFS(EDW_RAW!$A$2:$A$1500,$D313,EDW_RAW!$R$2:$R$1500,"&lt;&gt;~",EDW_RAW!$R$2:$R$1500,"&lt;&gt;")&gt;0,"부분","X")))</f>
        <v/>
      </c>
      <c r="R313" s="19">
        <f>IF(COUNTIF(EDW_RAW!$A$2:$A$1500,$D313)=0,"",IF(COUNTIFS(EDW_RAW!$A$2:$A$1500,$D313,EDW_RAW!$U$2:$U$1500,"&lt;&gt;~",EDW_RAW!$U$2:$U$1500,"&lt;&gt;")=COUNTIF(EDW_RAW!$A$2:$A$1500,$D313),"O",IF(COUNTIFS(EDW_RAW!$A$2:$A$1500,$D313,EDW_RAW!$U$2:$U$1500,"&lt;&gt;~",EDW_RAW!$U$2:$U$1500,"&lt;&gt;")&gt;0,"부분","X")))</f>
        <v/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",TRUE,UNIQUE(FILTER(소재DB_RAW!$K$3:$K$2000,(소재DB_RAW!$G$3:$G$2000=$D313)*ISERROR(SEARCH("drop",소재DB_RAW!$C$3:$C$2000))))),"")</f>
        <v/>
      </c>
      <c r="W313" s="20" t="inlineStr">
        <is>
          <t>인도네시아</t>
        </is>
      </c>
      <c r="X313" s="20">
        <f>IFERROR(TEXTJOIN(" / ",TRUE,UNIQUE(FILTER(소재DB_RAW!$N$3:$N$2000,(소재DB_RAW!$G$3:$G$2000=$D313)*ISERROR(SEARCH("drop",소재DB_RAW!$C$3:$C$2000))))),"")</f>
        <v/>
      </c>
      <c r="Y313" s="26">
        <f>IFERROR(TEXTJOIN(CHAR(10),TRUE,UNIQUE(FILTER(소재DB_RAW!$N$3:$N$2000&amp;") "&amp;소재DB_RAW!$O$3:$O$2000,(소재DB_RAW!$G$3:$G$2000=$D313)*ISNUMBER(SEARCH("겉감",소재DB_RAW!$M$3:$M$2000))*ISERROR(SEARCH("drop",소재DB_RAW!$C$3:$C$2000))))),"")</f>
        <v/>
      </c>
      <c r="Z313" s="26">
        <f>IFERROR(TEXTJOIN(CHAR(10),TRUE,UNIQUE(FILTER(소재DB_RAW!$N$3:$N$2000&amp;") "&amp;소재DB_RAW!$O$3:$O$2000,(소재DB_RAW!$G$3:$G$2000=$D313)*ISNUMBER(SEARCH("안감",소재DB_RAW!$M$3:$M$2000))*ISERROR(SEARCH("drop",소재DB_RAW!$C$3:$C$2000))))),"")</f>
        <v/>
      </c>
      <c r="AA313" s="22">
        <f>IFERROR(MAX(FILTER(소재DB_RAW!$AK$3:$AK$2000,(소재DB_RAW!$G$3:$G$2000=$D313)*ISERROR(SEARCH("drop",소재DB_RAW!$C$3:$C$2000))*(소재DB_RAW!$AK$3:$AK$2000&lt;&gt;""))),"")</f>
        <v/>
      </c>
      <c r="AB313" s="27" t="n">
        <v>1600</v>
      </c>
      <c r="AC313" s="27" t="n">
        <v>34251200</v>
      </c>
      <c r="AD313" s="27" t="n">
        <v>156800000</v>
      </c>
      <c r="AE313" s="20" t="inlineStr">
        <is>
          <t>3월 4주</t>
        </is>
      </c>
      <c r="AF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G313" s="19">
        <f>IF($K313="","",IF(OR(LEFT($AF313,2)="작지",LEFT($AF313,4)="소재입고"),IF(LEFT($G313,1)="S","★ 납기위험(S코드)","◆ 지연주의"),IF($AF313="정상","✓ 정상","? 확인필요")))</f>
        <v/>
      </c>
      <c r="AH313" s="21" t="n"/>
      <c r="AI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19">
        <f>IF(COUNTIF(EDW_RAW!$A$2:$A$1500,$D314)=0,"",IF(COUNTIFS(EDW_RAW!$A$2:$A$1500,$D314,EDW_RAW!$R$2:$R$1500,"&lt;&gt;~",EDW_RAW!$R$2:$R$1500,"&lt;&gt;")=COUNTIF(EDW_RAW!$A$2:$A$1500,$D314),"O",IF(COUNTIFS(EDW_RAW!$A$2:$A$1500,$D314,EDW_RAW!$R$2:$R$1500,"&lt;&gt;~",EDW_RAW!$R$2:$R$1500,"&lt;&gt;")&gt;0,"부분","X")))</f>
        <v/>
      </c>
      <c r="R314" s="19">
        <f>IF(COUNTIF(EDW_RAW!$A$2:$A$1500,$D314)=0,"",IF(COUNTIFS(EDW_RAW!$A$2:$A$1500,$D314,EDW_RAW!$U$2:$U$1500,"&lt;&gt;~",EDW_RAW!$U$2:$U$1500,"&lt;&gt;")=COUNTIF(EDW_RAW!$A$2:$A$1500,$D314),"O",IF(COUNTIFS(EDW_RAW!$A$2:$A$1500,$D314,EDW_RAW!$U$2:$U$1500,"&lt;&gt;~",EDW_RAW!$U$2:$U$1500,"&lt;&gt;")&gt;0,"부분","X")))</f>
        <v/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",TRUE,UNIQUE(FILTER(소재DB_RAW!$K$3:$K$2000,(소재DB_RAW!$G$3:$G$2000=$D314)*ISERROR(SEARCH("drop",소재DB_RAW!$C$3:$C$2000))))),"")</f>
        <v/>
      </c>
      <c r="W314" s="20" t="inlineStr">
        <is>
          <t>인도네시아</t>
        </is>
      </c>
      <c r="X314" s="20">
        <f>IFERROR(TEXTJOIN(" / ",TRUE,UNIQUE(FILTER(소재DB_RAW!$N$3:$N$2000,(소재DB_RAW!$G$3:$G$2000=$D314)*ISERROR(SEARCH("drop",소재DB_RAW!$C$3:$C$2000))))),"")</f>
        <v/>
      </c>
      <c r="Y314" s="26">
        <f>IFERROR(TEXTJOIN(CHAR(10),TRUE,UNIQUE(FILTER(소재DB_RAW!$N$3:$N$2000&amp;") "&amp;소재DB_RAW!$O$3:$O$2000,(소재DB_RAW!$G$3:$G$2000=$D314)*ISNUMBER(SEARCH("겉감",소재DB_RAW!$M$3:$M$2000))*ISERROR(SEARCH("drop",소재DB_RAW!$C$3:$C$2000))))),"")</f>
        <v/>
      </c>
      <c r="Z314" s="26">
        <f>IFERROR(TEXTJOIN(CHAR(10),TRUE,UNIQUE(FILTER(소재DB_RAW!$N$3:$N$2000&amp;") "&amp;소재DB_RAW!$O$3:$O$2000,(소재DB_RAW!$G$3:$G$2000=$D314)*ISNUMBER(SEARCH("안감",소재DB_RAW!$M$3:$M$2000))*ISERROR(SEARCH("drop",소재DB_RAW!$C$3:$C$2000))))),"")</f>
        <v/>
      </c>
      <c r="AA314" s="22">
        <f>IFERROR(MAX(FILTER(소재DB_RAW!$AK$3:$AK$2000,(소재DB_RAW!$G$3:$G$2000=$D314)*ISERROR(SEARCH("drop",소재DB_RAW!$C$3:$C$2000))*(소재DB_RAW!$AK$3:$AK$2000&lt;&gt;""))),"")</f>
        <v/>
      </c>
      <c r="AB314" s="27" t="n">
        <v>2100</v>
      </c>
      <c r="AC314" s="27" t="n">
        <v>46200000</v>
      </c>
      <c r="AD314" s="27" t="n">
        <v>205800000</v>
      </c>
      <c r="AE314" s="20" t="inlineStr">
        <is>
          <t>3월4주</t>
        </is>
      </c>
      <c r="AF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G314" s="19">
        <f>IF($K314="","",IF(OR(LEFT($AF314,2)="작지",LEFT($AF314,4)="소재입고"),IF(LEFT($G314,1)="S","★ 납기위험(S코드)","◆ 지연주의"),IF($AF314="정상","✓ 정상","? 확인필요")))</f>
        <v/>
      </c>
      <c r="AH314" s="21" t="n"/>
      <c r="AI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19">
        <f>IF(COUNTIF(EDW_RAW!$A$2:$A$1500,$D315)=0,"",IF(COUNTIFS(EDW_RAW!$A$2:$A$1500,$D315,EDW_RAW!$R$2:$R$1500,"&lt;&gt;~",EDW_RAW!$R$2:$R$1500,"&lt;&gt;")=COUNTIF(EDW_RAW!$A$2:$A$1500,$D315),"O",IF(COUNTIFS(EDW_RAW!$A$2:$A$1500,$D315,EDW_RAW!$R$2:$R$1500,"&lt;&gt;~",EDW_RAW!$R$2:$R$1500,"&lt;&gt;")&gt;0,"부분","X")))</f>
        <v/>
      </c>
      <c r="R315" s="19">
        <f>IF(COUNTIF(EDW_RAW!$A$2:$A$1500,$D315)=0,"",IF(COUNTIFS(EDW_RAW!$A$2:$A$1500,$D315,EDW_RAW!$U$2:$U$1500,"&lt;&gt;~",EDW_RAW!$U$2:$U$1500,"&lt;&gt;")=COUNTIF(EDW_RAW!$A$2:$A$1500,$D315),"O",IF(COUNTIFS(EDW_RAW!$A$2:$A$1500,$D315,EDW_RAW!$U$2:$U$1500,"&lt;&gt;~",EDW_RAW!$U$2:$U$1500,"&lt;&gt;")&gt;0,"부분","X")))</f>
        <v/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",TRUE,UNIQUE(FILTER(소재DB_RAW!$K$3:$K$2000,(소재DB_RAW!$G$3:$G$2000=$D315)*ISERROR(SEARCH("drop",소재DB_RAW!$C$3:$C$2000))))),"")</f>
        <v/>
      </c>
      <c r="W315" s="20" t="inlineStr">
        <is>
          <t>베트남</t>
        </is>
      </c>
      <c r="X315" s="20">
        <f>IFERROR(TEXTJOIN(" / ",TRUE,UNIQUE(FILTER(소재DB_RAW!$N$3:$N$2000,(소재DB_RAW!$G$3:$G$2000=$D315)*ISERROR(SEARCH("drop",소재DB_RAW!$C$3:$C$2000))))),"")</f>
        <v/>
      </c>
      <c r="Y315" s="26">
        <f>IFERROR(TEXTJOIN(CHAR(10),TRUE,UNIQUE(FILTER(소재DB_RAW!$N$3:$N$2000&amp;") "&amp;소재DB_RAW!$O$3:$O$2000,(소재DB_RAW!$G$3:$G$2000=$D315)*ISNUMBER(SEARCH("겉감",소재DB_RAW!$M$3:$M$2000))*ISERROR(SEARCH("drop",소재DB_RAW!$C$3:$C$2000))))),"")</f>
        <v/>
      </c>
      <c r="Z315" s="26">
        <f>IFERROR(TEXTJOIN(CHAR(10),TRUE,UNIQUE(FILTER(소재DB_RAW!$N$3:$N$2000&amp;") "&amp;소재DB_RAW!$O$3:$O$2000,(소재DB_RAW!$G$3:$G$2000=$D315)*ISNUMBER(SEARCH("안감",소재DB_RAW!$M$3:$M$2000))*ISERROR(SEARCH("drop",소재DB_RAW!$C$3:$C$2000))))),"")</f>
        <v/>
      </c>
      <c r="AA315" s="22">
        <f>IFERROR(MAX(FILTER(소재DB_RAW!$AK$3:$AK$2000,(소재DB_RAW!$G$3:$G$2000=$D315)*ISERROR(SEARCH("drop",소재DB_RAW!$C$3:$C$2000))*(소재DB_RAW!$AK$3:$AK$2000&lt;&gt;""))),"")</f>
        <v/>
      </c>
      <c r="AB315" s="27" t="n">
        <v>1660</v>
      </c>
      <c r="AC315" s="27" t="n">
        <v>51792000</v>
      </c>
      <c r="AD315" s="27" t="n">
        <v>229080000</v>
      </c>
      <c r="AE315" s="20" t="inlineStr">
        <is>
          <t>4월1주</t>
        </is>
      </c>
      <c r="AF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G315" s="19">
        <f>IF($K315="","",IF(OR(LEFT($AF315,2)="작지",LEFT($AF315,4)="소재입고"),IF(LEFT($G315,1)="S","★ 납기위험(S코드)","◆ 지연주의"),IF($AF315="정상","✓ 정상","? 확인필요")))</f>
        <v/>
      </c>
      <c r="AH315" s="21" t="n"/>
      <c r="AI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19">
        <f>IF(COUNTIF(EDW_RAW!$A$2:$A$1500,$D316)=0,"",IF(COUNTIFS(EDW_RAW!$A$2:$A$1500,$D316,EDW_RAW!$R$2:$R$1500,"&lt;&gt;~",EDW_RAW!$R$2:$R$1500,"&lt;&gt;")=COUNTIF(EDW_RAW!$A$2:$A$1500,$D316),"O",IF(COUNTIFS(EDW_RAW!$A$2:$A$1500,$D316,EDW_RAW!$R$2:$R$1500,"&lt;&gt;~",EDW_RAW!$R$2:$R$1500,"&lt;&gt;")&gt;0,"부분","X")))</f>
        <v/>
      </c>
      <c r="R316" s="19">
        <f>IF(COUNTIF(EDW_RAW!$A$2:$A$1500,$D316)=0,"",IF(COUNTIFS(EDW_RAW!$A$2:$A$1500,$D316,EDW_RAW!$U$2:$U$1500,"&lt;&gt;~",EDW_RAW!$U$2:$U$1500,"&lt;&gt;")=COUNTIF(EDW_RAW!$A$2:$A$1500,$D316),"O",IF(COUNTIFS(EDW_RAW!$A$2:$A$1500,$D316,EDW_RAW!$U$2:$U$1500,"&lt;&gt;~",EDW_RAW!$U$2:$U$1500,"&lt;&gt;")&gt;0,"부분","X")))</f>
        <v/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",TRUE,UNIQUE(FILTER(소재DB_RAW!$K$3:$K$2000,(소재DB_RAW!$G$3:$G$2000=$D316)*ISERROR(SEARCH("drop",소재DB_RAW!$C$3:$C$2000))))),"")</f>
        <v/>
      </c>
      <c r="W316" s="20" t="inlineStr">
        <is>
          <t>베트남</t>
        </is>
      </c>
      <c r="X316" s="20">
        <f>IFERROR(TEXTJOIN(" / ",TRUE,UNIQUE(FILTER(소재DB_RAW!$N$3:$N$2000,(소재DB_RAW!$G$3:$G$2000=$D316)*ISERROR(SEARCH("drop",소재DB_RAW!$C$3:$C$2000))))),"")</f>
        <v/>
      </c>
      <c r="Y316" s="26">
        <f>IFERROR(TEXTJOIN(CHAR(10),TRUE,UNIQUE(FILTER(소재DB_RAW!$N$3:$N$2000&amp;") "&amp;소재DB_RAW!$O$3:$O$2000,(소재DB_RAW!$G$3:$G$2000=$D316)*ISNUMBER(SEARCH("겉감",소재DB_RAW!$M$3:$M$2000))*ISERROR(SEARCH("drop",소재DB_RAW!$C$3:$C$2000))))),"")</f>
        <v/>
      </c>
      <c r="Z316" s="26">
        <f>IFERROR(TEXTJOIN(CHAR(10),TRUE,UNIQUE(FILTER(소재DB_RAW!$N$3:$N$2000&amp;") "&amp;소재DB_RAW!$O$3:$O$2000,(소재DB_RAW!$G$3:$G$2000=$D316)*ISNUMBER(SEARCH("안감",소재DB_RAW!$M$3:$M$2000))*ISERROR(SEARCH("drop",소재DB_RAW!$C$3:$C$2000))))),"")</f>
        <v/>
      </c>
      <c r="AA316" s="22">
        <f>IFERROR(MAX(FILTER(소재DB_RAW!$AK$3:$AK$2000,(소재DB_RAW!$G$3:$G$2000=$D316)*ISERROR(SEARCH("drop",소재DB_RAW!$C$3:$C$2000))*(소재DB_RAW!$AK$3:$AK$2000&lt;&gt;""))),"")</f>
        <v/>
      </c>
      <c r="AB316" s="27" t="n">
        <v>2000</v>
      </c>
      <c r="AC316" s="27" t="n">
        <v>42762000</v>
      </c>
      <c r="AD316" s="27" t="n">
        <v>236000000</v>
      </c>
      <c r="AE316" s="20" t="inlineStr">
        <is>
          <t>4월1주</t>
        </is>
      </c>
      <c r="AF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G316" s="19">
        <f>IF($K316="","",IF(OR(LEFT($AF316,2)="작지",LEFT($AF316,4)="소재입고"),IF(LEFT($G316,1)="S","★ 납기위험(S코드)","◆ 지연주의"),IF($AF316="정상","✓ 정상","? 확인필요")))</f>
        <v/>
      </c>
      <c r="AH316" s="21" t="n"/>
      <c r="AI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19">
        <f>IF(COUNTIF(EDW_RAW!$A$2:$A$1500,$D317)=0,"",IF(COUNTIFS(EDW_RAW!$A$2:$A$1500,$D317,EDW_RAW!$R$2:$R$1500,"&lt;&gt;~",EDW_RAW!$R$2:$R$1500,"&lt;&gt;")=COUNTIF(EDW_RAW!$A$2:$A$1500,$D317),"O",IF(COUNTIFS(EDW_RAW!$A$2:$A$1500,$D317,EDW_RAW!$R$2:$R$1500,"&lt;&gt;~",EDW_RAW!$R$2:$R$1500,"&lt;&gt;")&gt;0,"부분","X")))</f>
        <v/>
      </c>
      <c r="R317" s="19">
        <f>IF(COUNTIF(EDW_RAW!$A$2:$A$1500,$D317)=0,"",IF(COUNTIFS(EDW_RAW!$A$2:$A$1500,$D317,EDW_RAW!$U$2:$U$1500,"&lt;&gt;~",EDW_RAW!$U$2:$U$1500,"&lt;&gt;")=COUNTIF(EDW_RAW!$A$2:$A$1500,$D317),"O",IF(COUNTIFS(EDW_RAW!$A$2:$A$1500,$D317,EDW_RAW!$U$2:$U$1500,"&lt;&gt;~",EDW_RAW!$U$2:$U$1500,"&lt;&gt;")&gt;0,"부분","X")))</f>
        <v/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",TRUE,UNIQUE(FILTER(소재DB_RAW!$K$3:$K$2000,(소재DB_RAW!$G$3:$G$2000=$D317)*ISERROR(SEARCH("drop",소재DB_RAW!$C$3:$C$2000))))),"")</f>
        <v/>
      </c>
      <c r="W317" s="20" t="inlineStr">
        <is>
          <t>베트남</t>
        </is>
      </c>
      <c r="X317" s="20">
        <f>IFERROR(TEXTJOIN(" / ",TRUE,UNIQUE(FILTER(소재DB_RAW!$N$3:$N$2000,(소재DB_RAW!$G$3:$G$2000=$D317)*ISERROR(SEARCH("drop",소재DB_RAW!$C$3:$C$2000))))),"")</f>
        <v/>
      </c>
      <c r="Y317" s="26">
        <f>IFERROR(TEXTJOIN(CHAR(10),TRUE,UNIQUE(FILTER(소재DB_RAW!$N$3:$N$2000&amp;") "&amp;소재DB_RAW!$O$3:$O$2000,(소재DB_RAW!$G$3:$G$2000=$D317)*ISNUMBER(SEARCH("겉감",소재DB_RAW!$M$3:$M$2000))*ISERROR(SEARCH("drop",소재DB_RAW!$C$3:$C$2000))))),"")</f>
        <v/>
      </c>
      <c r="Z317" s="26">
        <f>IFERROR(TEXTJOIN(CHAR(10),TRUE,UNIQUE(FILTER(소재DB_RAW!$N$3:$N$2000&amp;") "&amp;소재DB_RAW!$O$3:$O$2000,(소재DB_RAW!$G$3:$G$2000=$D317)*ISNUMBER(SEARCH("안감",소재DB_RAW!$M$3:$M$2000))*ISERROR(SEARCH("drop",소재DB_RAW!$C$3:$C$2000))))),"")</f>
        <v/>
      </c>
      <c r="AA317" s="22">
        <f>IFERROR(MAX(FILTER(소재DB_RAW!$AK$3:$AK$2000,(소재DB_RAW!$G$3:$G$2000=$D317)*ISERROR(SEARCH("drop",소재DB_RAW!$C$3:$C$2000))*(소재DB_RAW!$AK$3:$AK$2000&lt;&gt;""))),"")</f>
        <v/>
      </c>
      <c r="AB317" s="27" t="n">
        <v>1960</v>
      </c>
      <c r="AC317" s="27" t="n">
        <v>50985480</v>
      </c>
      <c r="AD317" s="27" t="n">
        <v>290080000</v>
      </c>
      <c r="AE317" s="20" t="inlineStr">
        <is>
          <t>4월1주</t>
        </is>
      </c>
      <c r="AF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G317" s="19">
        <f>IF($K317="","",IF(OR(LEFT($AF317,2)="작지",LEFT($AF317,4)="소재입고"),IF(LEFT($G317,1)="S","★ 납기위험(S코드)","◆ 지연주의"),IF($AF317="정상","✓ 정상","? 확인필요")))</f>
        <v/>
      </c>
      <c r="AH317" s="21" t="n"/>
      <c r="AI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19">
        <f>IF(COUNTIF(EDW_RAW!$A$2:$A$1500,$D318)=0,"",IF(COUNTIFS(EDW_RAW!$A$2:$A$1500,$D318,EDW_RAW!$R$2:$R$1500,"&lt;&gt;~",EDW_RAW!$R$2:$R$1500,"&lt;&gt;")=COUNTIF(EDW_RAW!$A$2:$A$1500,$D318),"O",IF(COUNTIFS(EDW_RAW!$A$2:$A$1500,$D318,EDW_RAW!$R$2:$R$1500,"&lt;&gt;~",EDW_RAW!$R$2:$R$1500,"&lt;&gt;")&gt;0,"부분","X")))</f>
        <v/>
      </c>
      <c r="R318" s="19">
        <f>IF(COUNTIF(EDW_RAW!$A$2:$A$1500,$D318)=0,"",IF(COUNTIFS(EDW_RAW!$A$2:$A$1500,$D318,EDW_RAW!$U$2:$U$1500,"&lt;&gt;~",EDW_RAW!$U$2:$U$1500,"&lt;&gt;")=COUNTIF(EDW_RAW!$A$2:$A$1500,$D318),"O",IF(COUNTIFS(EDW_RAW!$A$2:$A$1500,$D318,EDW_RAW!$U$2:$U$1500,"&lt;&gt;~",EDW_RAW!$U$2:$U$1500,"&lt;&gt;")&gt;0,"부분","X")))</f>
        <v/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",TRUE,UNIQUE(FILTER(소재DB_RAW!$K$3:$K$2000,(소재DB_RAW!$G$3:$G$2000=$D318)*ISERROR(SEARCH("drop",소재DB_RAW!$C$3:$C$2000))))),"")</f>
        <v/>
      </c>
      <c r="W318" s="20" t="inlineStr">
        <is>
          <t>베트남</t>
        </is>
      </c>
      <c r="X318" s="20">
        <f>IFERROR(TEXTJOIN(" / ",TRUE,UNIQUE(FILTER(소재DB_RAW!$N$3:$N$2000,(소재DB_RAW!$G$3:$G$2000=$D318)*ISERROR(SEARCH("drop",소재DB_RAW!$C$3:$C$2000))))),"")</f>
        <v/>
      </c>
      <c r="Y318" s="26">
        <f>IFERROR(TEXTJOIN(CHAR(10),TRUE,UNIQUE(FILTER(소재DB_RAW!$N$3:$N$2000&amp;") "&amp;소재DB_RAW!$O$3:$O$2000,(소재DB_RAW!$G$3:$G$2000=$D318)*ISNUMBER(SEARCH("겉감",소재DB_RAW!$M$3:$M$2000))*ISERROR(SEARCH("drop",소재DB_RAW!$C$3:$C$2000))))),"")</f>
        <v/>
      </c>
      <c r="Z318" s="26">
        <f>IFERROR(TEXTJOIN(CHAR(10),TRUE,UNIQUE(FILTER(소재DB_RAW!$N$3:$N$2000&amp;") "&amp;소재DB_RAW!$O$3:$O$2000,(소재DB_RAW!$G$3:$G$2000=$D318)*ISNUMBER(SEARCH("안감",소재DB_RAW!$M$3:$M$2000))*ISERROR(SEARCH("drop",소재DB_RAW!$C$3:$C$2000))))),"")</f>
        <v/>
      </c>
      <c r="AA318" s="22">
        <f>IFERROR(MAX(FILTER(소재DB_RAW!$AK$3:$AK$2000,(소재DB_RAW!$G$3:$G$2000=$D318)*ISERROR(SEARCH("drop",소재DB_RAW!$C$3:$C$2000))*(소재DB_RAW!$AK$3:$AK$2000&lt;&gt;""))),"")</f>
        <v/>
      </c>
      <c r="AB318" s="27" t="n">
        <v>1000</v>
      </c>
      <c r="AC318" s="27" t="n">
        <v>20952000</v>
      </c>
      <c r="AD318" s="27" t="n">
        <v>78000000</v>
      </c>
      <c r="AE318" s="20" t="n"/>
      <c r="AF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G318" s="19">
        <f>IF($K318="","",IF(OR(LEFT($AF318,2)="작지",LEFT($AF318,4)="소재입고"),IF(LEFT($G318,1)="S","★ 납기위험(S코드)","◆ 지연주의"),IF($AF318="정상","✓ 정상","? 확인필요")))</f>
        <v/>
      </c>
      <c r="AH318" s="21" t="n"/>
      <c r="AI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19">
        <f>IF(COUNTIF(EDW_RAW!$A$2:$A$1500,$D319)=0,"",IF(COUNTIFS(EDW_RAW!$A$2:$A$1500,$D319,EDW_RAW!$R$2:$R$1500,"&lt;&gt;~",EDW_RAW!$R$2:$R$1500,"&lt;&gt;")=COUNTIF(EDW_RAW!$A$2:$A$1500,$D319),"O",IF(COUNTIFS(EDW_RAW!$A$2:$A$1500,$D319,EDW_RAW!$R$2:$R$1500,"&lt;&gt;~",EDW_RAW!$R$2:$R$1500,"&lt;&gt;")&gt;0,"부분","X")))</f>
        <v/>
      </c>
      <c r="R319" s="19">
        <f>IF(COUNTIF(EDW_RAW!$A$2:$A$1500,$D319)=0,"",IF(COUNTIFS(EDW_RAW!$A$2:$A$1500,$D319,EDW_RAW!$U$2:$U$1500,"&lt;&gt;~",EDW_RAW!$U$2:$U$1500,"&lt;&gt;")=COUNTIF(EDW_RAW!$A$2:$A$1500,$D319),"O",IF(COUNTIFS(EDW_RAW!$A$2:$A$1500,$D319,EDW_RAW!$U$2:$U$1500,"&lt;&gt;~",EDW_RAW!$U$2:$U$1500,"&lt;&gt;")&gt;0,"부분","X")))</f>
        <v/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",TRUE,UNIQUE(FILTER(소재DB_RAW!$K$3:$K$2000,(소재DB_RAW!$G$3:$G$2000=$D319)*ISERROR(SEARCH("drop",소재DB_RAW!$C$3:$C$2000))))),"")</f>
        <v/>
      </c>
      <c r="W319" s="20" t="inlineStr">
        <is>
          <t>베트남</t>
        </is>
      </c>
      <c r="X319" s="20">
        <f>IFERROR(TEXTJOIN(" / ",TRUE,UNIQUE(FILTER(소재DB_RAW!$N$3:$N$2000,(소재DB_RAW!$G$3:$G$2000=$D319)*ISERROR(SEARCH("drop",소재DB_RAW!$C$3:$C$2000))))),"")</f>
        <v/>
      </c>
      <c r="Y319" s="26">
        <f>IFERROR(TEXTJOIN(CHAR(10),TRUE,UNIQUE(FILTER(소재DB_RAW!$N$3:$N$2000&amp;") "&amp;소재DB_RAW!$O$3:$O$2000,(소재DB_RAW!$G$3:$G$2000=$D319)*ISNUMBER(SEARCH("겉감",소재DB_RAW!$M$3:$M$2000))*ISERROR(SEARCH("drop",소재DB_RAW!$C$3:$C$2000))))),"")</f>
        <v/>
      </c>
      <c r="Z319" s="26">
        <f>IFERROR(TEXTJOIN(CHAR(10),TRUE,UNIQUE(FILTER(소재DB_RAW!$N$3:$N$2000&amp;") "&amp;소재DB_RAW!$O$3:$O$2000,(소재DB_RAW!$G$3:$G$2000=$D319)*ISNUMBER(SEARCH("안감",소재DB_RAW!$M$3:$M$2000))*ISERROR(SEARCH("drop",소재DB_RAW!$C$3:$C$2000))))),"")</f>
        <v/>
      </c>
      <c r="AA319" s="22">
        <f>IFERROR(MAX(FILTER(소재DB_RAW!$AK$3:$AK$2000,(소재DB_RAW!$G$3:$G$2000=$D319)*ISERROR(SEARCH("drop",소재DB_RAW!$C$3:$C$2000))*(소재DB_RAW!$AK$3:$AK$2000&lt;&gt;""))),"")</f>
        <v/>
      </c>
      <c r="AB319" s="27" t="n">
        <v>0</v>
      </c>
      <c r="AC319" s="27" t="n">
        <v>3000000</v>
      </c>
      <c r="AD319" s="27" t="n">
        <v>9800000</v>
      </c>
      <c r="AE319" s="20" t="n"/>
      <c r="AF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G319" s="19">
        <f>IF($K319="","",IF(OR(LEFT($AF319,2)="작지",LEFT($AF319,4)="소재입고"),IF(LEFT($G319,1)="S","★ 납기위험(S코드)","◆ 지연주의"),IF($AF319="정상","✓ 정상","? 확인필요")))</f>
        <v/>
      </c>
      <c r="AH319" s="21" t="n"/>
      <c r="AI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19">
        <f>IF(COUNTIF(EDW_RAW!$A$2:$A$1500,$D320)=0,"",IF(COUNTIFS(EDW_RAW!$A$2:$A$1500,$D320,EDW_RAW!$R$2:$R$1500,"&lt;&gt;~",EDW_RAW!$R$2:$R$1500,"&lt;&gt;")=COUNTIF(EDW_RAW!$A$2:$A$1500,$D320),"O",IF(COUNTIFS(EDW_RAW!$A$2:$A$1500,$D320,EDW_RAW!$R$2:$R$1500,"&lt;&gt;~",EDW_RAW!$R$2:$R$1500,"&lt;&gt;")&gt;0,"부분","X")))</f>
        <v/>
      </c>
      <c r="R320" s="19">
        <f>IF(COUNTIF(EDW_RAW!$A$2:$A$1500,$D320)=0,"",IF(COUNTIFS(EDW_RAW!$A$2:$A$1500,$D320,EDW_RAW!$U$2:$U$1500,"&lt;&gt;~",EDW_RAW!$U$2:$U$1500,"&lt;&gt;")=COUNTIF(EDW_RAW!$A$2:$A$1500,$D320),"O",IF(COUNTIFS(EDW_RAW!$A$2:$A$1500,$D320,EDW_RAW!$U$2:$U$1500,"&lt;&gt;~",EDW_RAW!$U$2:$U$1500,"&lt;&gt;")&gt;0,"부분","X")))</f>
        <v/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",TRUE,UNIQUE(FILTER(소재DB_RAW!$K$3:$K$2000,(소재DB_RAW!$G$3:$G$2000=$D320)*ISERROR(SEARCH("drop",소재DB_RAW!$C$3:$C$2000))))),"")</f>
        <v/>
      </c>
      <c r="W320" s="20" t="inlineStr">
        <is>
          <t>베트남</t>
        </is>
      </c>
      <c r="X320" s="20">
        <f>IFERROR(TEXTJOIN(" / ",TRUE,UNIQUE(FILTER(소재DB_RAW!$N$3:$N$2000,(소재DB_RAW!$G$3:$G$2000=$D320)*ISERROR(SEARCH("drop",소재DB_RAW!$C$3:$C$2000))))),"")</f>
        <v/>
      </c>
      <c r="Y320" s="26">
        <f>IFERROR(TEXTJOIN(CHAR(10),TRUE,UNIQUE(FILTER(소재DB_RAW!$N$3:$N$2000&amp;") "&amp;소재DB_RAW!$O$3:$O$2000,(소재DB_RAW!$G$3:$G$2000=$D320)*ISNUMBER(SEARCH("겉감",소재DB_RAW!$M$3:$M$2000))*ISERROR(SEARCH("drop",소재DB_RAW!$C$3:$C$2000))))),"")</f>
        <v/>
      </c>
      <c r="Z320" s="26">
        <f>IFERROR(TEXTJOIN(CHAR(10),TRUE,UNIQUE(FILTER(소재DB_RAW!$N$3:$N$2000&amp;") "&amp;소재DB_RAW!$O$3:$O$2000,(소재DB_RAW!$G$3:$G$2000=$D320)*ISNUMBER(SEARCH("안감",소재DB_RAW!$M$3:$M$2000))*ISERROR(SEARCH("drop",소재DB_RAW!$C$3:$C$2000))))),"")</f>
        <v/>
      </c>
      <c r="AA320" s="22">
        <f>IFERROR(MAX(FILTER(소재DB_RAW!$AK$3:$AK$2000,(소재DB_RAW!$G$3:$G$2000=$D320)*ISERROR(SEARCH("drop",소재DB_RAW!$C$3:$C$2000))*(소재DB_RAW!$AK$3:$AK$2000&lt;&gt;""))),"")</f>
        <v/>
      </c>
      <c r="AB320" s="27" t="n">
        <v>0</v>
      </c>
      <c r="AC320" s="27" t="n">
        <v>14775000</v>
      </c>
      <c r="AD320" s="27" t="n">
        <v>39500000</v>
      </c>
      <c r="AE320" s="20" t="n"/>
      <c r="AF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G320" s="19">
        <f>IF($K320="","",IF(OR(LEFT($AF320,2)="작지",LEFT($AF320,4)="소재입고"),IF(LEFT($G320,1)="S","★ 납기위험(S코드)","◆ 지연주의"),IF($AF320="정상","✓ 정상","? 확인필요")))</f>
        <v/>
      </c>
      <c r="AH320" s="21" t="n"/>
      <c r="AI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19">
        <f>IF(COUNTIF(EDW_RAW!$A$2:$A$1500,$D321)=0,"",IF(COUNTIFS(EDW_RAW!$A$2:$A$1500,$D321,EDW_RAW!$R$2:$R$1500,"&lt;&gt;~",EDW_RAW!$R$2:$R$1500,"&lt;&gt;")=COUNTIF(EDW_RAW!$A$2:$A$1500,$D321),"O",IF(COUNTIFS(EDW_RAW!$A$2:$A$1500,$D321,EDW_RAW!$R$2:$R$1500,"&lt;&gt;~",EDW_RAW!$R$2:$R$1500,"&lt;&gt;")&gt;0,"부분","X")))</f>
        <v/>
      </c>
      <c r="R321" s="19">
        <f>IF(COUNTIF(EDW_RAW!$A$2:$A$1500,$D321)=0,"",IF(COUNTIFS(EDW_RAW!$A$2:$A$1500,$D321,EDW_RAW!$U$2:$U$1500,"&lt;&gt;~",EDW_RAW!$U$2:$U$1500,"&lt;&gt;")=COUNTIF(EDW_RAW!$A$2:$A$1500,$D321),"O",IF(COUNTIFS(EDW_RAW!$A$2:$A$1500,$D321,EDW_RAW!$U$2:$U$1500,"&lt;&gt;~",EDW_RAW!$U$2:$U$1500,"&lt;&gt;")&gt;0,"부분","X")))</f>
        <v/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",TRUE,UNIQUE(FILTER(소재DB_RAW!$K$3:$K$2000,(소재DB_RAW!$G$3:$G$2000=$D321)*ISERROR(SEARCH("drop",소재DB_RAW!$C$3:$C$2000))))),"")</f>
        <v/>
      </c>
      <c r="W321" s="20" t="inlineStr">
        <is>
          <t>베트남</t>
        </is>
      </c>
      <c r="X321" s="20">
        <f>IFERROR(TEXTJOIN(" / ",TRUE,UNIQUE(FILTER(소재DB_RAW!$N$3:$N$2000,(소재DB_RAW!$G$3:$G$2000=$D321)*ISERROR(SEARCH("drop",소재DB_RAW!$C$3:$C$2000))))),"")</f>
        <v/>
      </c>
      <c r="Y321" s="26">
        <f>IFERROR(TEXTJOIN(CHAR(10),TRUE,UNIQUE(FILTER(소재DB_RAW!$N$3:$N$2000&amp;") "&amp;소재DB_RAW!$O$3:$O$2000,(소재DB_RAW!$G$3:$G$2000=$D321)*ISNUMBER(SEARCH("겉감",소재DB_RAW!$M$3:$M$2000))*ISERROR(SEARCH("drop",소재DB_RAW!$C$3:$C$2000))))),"")</f>
        <v/>
      </c>
      <c r="Z321" s="26">
        <f>IFERROR(TEXTJOIN(CHAR(10),TRUE,UNIQUE(FILTER(소재DB_RAW!$N$3:$N$2000&amp;") "&amp;소재DB_RAW!$O$3:$O$2000,(소재DB_RAW!$G$3:$G$2000=$D321)*ISNUMBER(SEARCH("안감",소재DB_RAW!$M$3:$M$2000))*ISERROR(SEARCH("drop",소재DB_RAW!$C$3:$C$2000))))),"")</f>
        <v/>
      </c>
      <c r="AA321" s="22">
        <f>IFERROR(MAX(FILTER(소재DB_RAW!$AK$3:$AK$2000,(소재DB_RAW!$G$3:$G$2000=$D321)*ISERROR(SEARCH("drop",소재DB_RAW!$C$3:$C$2000))*(소재DB_RAW!$AK$3:$AK$2000&lt;&gt;""))),"")</f>
        <v/>
      </c>
      <c r="AB321" s="27" t="n">
        <v>0</v>
      </c>
      <c r="AC321" s="27" t="n">
        <v>64442700</v>
      </c>
      <c r="AD321" s="27" t="n">
        <v>203000000</v>
      </c>
      <c r="AE321" s="20" t="n"/>
      <c r="AF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G321" s="19">
        <f>IF($K321="","",IF(OR(LEFT($AF321,2)="작지",LEFT($AF321,4)="소재입고"),IF(LEFT($G321,1)="S","★ 납기위험(S코드)","◆ 지연주의"),IF($AF321="정상","✓ 정상","? 확인필요")))</f>
        <v/>
      </c>
      <c r="AH321" s="21" t="n"/>
      <c r="AI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19">
        <f>IF(COUNTIF(EDW_RAW!$A$2:$A$1500,$D322)=0,"",IF(COUNTIFS(EDW_RAW!$A$2:$A$1500,$D322,EDW_RAW!$R$2:$R$1500,"&lt;&gt;~",EDW_RAW!$R$2:$R$1500,"&lt;&gt;")=COUNTIF(EDW_RAW!$A$2:$A$1500,$D322),"O",IF(COUNTIFS(EDW_RAW!$A$2:$A$1500,$D322,EDW_RAW!$R$2:$R$1500,"&lt;&gt;~",EDW_RAW!$R$2:$R$1500,"&lt;&gt;")&gt;0,"부분","X")))</f>
        <v/>
      </c>
      <c r="R322" s="19">
        <f>IF(COUNTIF(EDW_RAW!$A$2:$A$1500,$D322)=0,"",IF(COUNTIFS(EDW_RAW!$A$2:$A$1500,$D322,EDW_RAW!$U$2:$U$1500,"&lt;&gt;~",EDW_RAW!$U$2:$U$1500,"&lt;&gt;")=COUNTIF(EDW_RAW!$A$2:$A$1500,$D322),"O",IF(COUNTIFS(EDW_RAW!$A$2:$A$1500,$D322,EDW_RAW!$U$2:$U$1500,"&lt;&gt;~",EDW_RAW!$U$2:$U$1500,"&lt;&gt;")&gt;0,"부분","X")))</f>
        <v/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",TRUE,UNIQUE(FILTER(소재DB_RAW!$K$3:$K$2000,(소재DB_RAW!$G$3:$G$2000=$D322)*ISERROR(SEARCH("drop",소재DB_RAW!$C$3:$C$2000))))),"")</f>
        <v/>
      </c>
      <c r="W322" s="20" t="inlineStr">
        <is>
          <t>베트남</t>
        </is>
      </c>
      <c r="X322" s="20">
        <f>IFERROR(TEXTJOIN(" / ",TRUE,UNIQUE(FILTER(소재DB_RAW!$N$3:$N$2000,(소재DB_RAW!$G$3:$G$2000=$D322)*ISERROR(SEARCH("drop",소재DB_RAW!$C$3:$C$2000))))),"")</f>
        <v/>
      </c>
      <c r="Y322" s="26">
        <f>IFERROR(TEXTJOIN(CHAR(10),TRUE,UNIQUE(FILTER(소재DB_RAW!$N$3:$N$2000&amp;") "&amp;소재DB_RAW!$O$3:$O$2000,(소재DB_RAW!$G$3:$G$2000=$D322)*ISNUMBER(SEARCH("겉감",소재DB_RAW!$M$3:$M$2000))*ISERROR(SEARCH("drop",소재DB_RAW!$C$3:$C$2000))))),"")</f>
        <v/>
      </c>
      <c r="Z322" s="26">
        <f>IFERROR(TEXTJOIN(CHAR(10),TRUE,UNIQUE(FILTER(소재DB_RAW!$N$3:$N$2000&amp;") "&amp;소재DB_RAW!$O$3:$O$2000,(소재DB_RAW!$G$3:$G$2000=$D322)*ISNUMBER(SEARCH("안감",소재DB_RAW!$M$3:$M$2000))*ISERROR(SEARCH("drop",소재DB_RAW!$C$3:$C$2000))))),"")</f>
        <v/>
      </c>
      <c r="AA322" s="22">
        <f>IFERROR(MAX(FILTER(소재DB_RAW!$AK$3:$AK$2000,(소재DB_RAW!$G$3:$G$2000=$D322)*ISERROR(SEARCH("drop",소재DB_RAW!$C$3:$C$2000))*(소재DB_RAW!$AK$3:$AK$2000&lt;&gt;""))),"")</f>
        <v/>
      </c>
      <c r="AB322" s="27" t="n">
        <v>0</v>
      </c>
      <c r="AC322" s="27" t="n">
        <v>14190000</v>
      </c>
      <c r="AD322" s="27" t="n">
        <v>41400000</v>
      </c>
      <c r="AE322" s="20" t="n"/>
      <c r="AF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G322" s="19">
        <f>IF($K322="","",IF(OR(LEFT($AF322,2)="작지",LEFT($AF322,4)="소재입고"),IF(LEFT($G322,1)="S","★ 납기위험(S코드)","◆ 지연주의"),IF($AF322="정상","✓ 정상","? 확인필요")))</f>
        <v/>
      </c>
      <c r="AH322" s="21" t="n"/>
      <c r="AI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19">
        <f>IF(COUNTIF(EDW_RAW!$A$2:$A$1500,$D323)=0,"",IF(COUNTIFS(EDW_RAW!$A$2:$A$1500,$D323,EDW_RAW!$R$2:$R$1500,"&lt;&gt;~",EDW_RAW!$R$2:$R$1500,"&lt;&gt;")=COUNTIF(EDW_RAW!$A$2:$A$1500,$D323),"O",IF(COUNTIFS(EDW_RAW!$A$2:$A$1500,$D323,EDW_RAW!$R$2:$R$1500,"&lt;&gt;~",EDW_RAW!$R$2:$R$1500,"&lt;&gt;")&gt;0,"부분","X")))</f>
        <v/>
      </c>
      <c r="R323" s="19">
        <f>IF(COUNTIF(EDW_RAW!$A$2:$A$1500,$D323)=0,"",IF(COUNTIFS(EDW_RAW!$A$2:$A$1500,$D323,EDW_RAW!$U$2:$U$1500,"&lt;&gt;~",EDW_RAW!$U$2:$U$1500,"&lt;&gt;")=COUNTIF(EDW_RAW!$A$2:$A$1500,$D323),"O",IF(COUNTIFS(EDW_RAW!$A$2:$A$1500,$D323,EDW_RAW!$U$2:$U$1500,"&lt;&gt;~",EDW_RAW!$U$2:$U$1500,"&lt;&gt;")&gt;0,"부분","X")))</f>
        <v/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",TRUE,UNIQUE(FILTER(소재DB_RAW!$K$3:$K$2000,(소재DB_RAW!$G$3:$G$2000=$D323)*ISERROR(SEARCH("drop",소재DB_RAW!$C$3:$C$2000))))),"")</f>
        <v/>
      </c>
      <c r="W323" s="20" t="inlineStr">
        <is>
          <t>중국</t>
        </is>
      </c>
      <c r="X323" s="20">
        <f>IFERROR(TEXTJOIN(" / ",TRUE,UNIQUE(FILTER(소재DB_RAW!$N$3:$N$2000,(소재DB_RAW!$G$3:$G$2000=$D323)*ISERROR(SEARCH("drop",소재DB_RAW!$C$3:$C$2000))))),"")</f>
        <v/>
      </c>
      <c r="Y323" s="26">
        <f>IFERROR(TEXTJOIN(CHAR(10),TRUE,UNIQUE(FILTER(소재DB_RAW!$N$3:$N$2000&amp;") "&amp;소재DB_RAW!$O$3:$O$2000,(소재DB_RAW!$G$3:$G$2000=$D323)*ISNUMBER(SEARCH("겉감",소재DB_RAW!$M$3:$M$2000))*ISERROR(SEARCH("drop",소재DB_RAW!$C$3:$C$2000))))),"")</f>
        <v/>
      </c>
      <c r="Z323" s="26">
        <f>IFERROR(TEXTJOIN(CHAR(10),TRUE,UNIQUE(FILTER(소재DB_RAW!$N$3:$N$2000&amp;") "&amp;소재DB_RAW!$O$3:$O$2000,(소재DB_RAW!$G$3:$G$2000=$D323)*ISNUMBER(SEARCH("안감",소재DB_RAW!$M$3:$M$2000))*ISERROR(SEARCH("drop",소재DB_RAW!$C$3:$C$2000))))),"")</f>
        <v/>
      </c>
      <c r="AA323" s="22">
        <f>IFERROR(MAX(FILTER(소재DB_RAW!$AK$3:$AK$2000,(소재DB_RAW!$G$3:$G$2000=$D323)*ISERROR(SEARCH("drop",소재DB_RAW!$C$3:$C$2000))*(소재DB_RAW!$AK$3:$AK$2000&lt;&gt;""))),"")</f>
        <v/>
      </c>
      <c r="AB323" s="27" t="n">
        <v>0</v>
      </c>
      <c r="AC323" s="27" t="n">
        <v>11279950</v>
      </c>
      <c r="AD323" s="27" t="n">
        <v>42900000</v>
      </c>
      <c r="AE323" s="20" t="n"/>
      <c r="AF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G323" s="19">
        <f>IF($K323="","",IF(OR(LEFT($AF323,2)="작지",LEFT($AF323,4)="소재입고"),IF(LEFT($G323,1)="S","★ 납기위험(S코드)","◆ 지연주의"),IF($AF323="정상","✓ 정상","? 확인필요")))</f>
        <v/>
      </c>
      <c r="AH323" s="21" t="n"/>
      <c r="AI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19">
        <f>IF(COUNTIF(EDW_RAW!$A$2:$A$1500,$D324)=0,"",IF(COUNTIFS(EDW_RAW!$A$2:$A$1500,$D324,EDW_RAW!$R$2:$R$1500,"&lt;&gt;~",EDW_RAW!$R$2:$R$1500,"&lt;&gt;")=COUNTIF(EDW_RAW!$A$2:$A$1500,$D324),"O",IF(COUNTIFS(EDW_RAW!$A$2:$A$1500,$D324,EDW_RAW!$R$2:$R$1500,"&lt;&gt;~",EDW_RAW!$R$2:$R$1500,"&lt;&gt;")&gt;0,"부분","X")))</f>
        <v/>
      </c>
      <c r="R324" s="19">
        <f>IF(COUNTIF(EDW_RAW!$A$2:$A$1500,$D324)=0,"",IF(COUNTIFS(EDW_RAW!$A$2:$A$1500,$D324,EDW_RAW!$U$2:$U$1500,"&lt;&gt;~",EDW_RAW!$U$2:$U$1500,"&lt;&gt;")=COUNTIF(EDW_RAW!$A$2:$A$1500,$D324),"O",IF(COUNTIFS(EDW_RAW!$A$2:$A$1500,$D324,EDW_RAW!$U$2:$U$1500,"&lt;&gt;~",EDW_RAW!$U$2:$U$1500,"&lt;&gt;")&gt;0,"부분","X")))</f>
        <v/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",TRUE,UNIQUE(FILTER(소재DB_RAW!$K$3:$K$2000,(소재DB_RAW!$G$3:$G$2000=$D324)*ISERROR(SEARCH("drop",소재DB_RAW!$C$3:$C$2000))))),"")</f>
        <v/>
      </c>
      <c r="W324" s="20" t="inlineStr">
        <is>
          <t>베트남</t>
        </is>
      </c>
      <c r="X324" s="20">
        <f>IFERROR(TEXTJOIN(" / ",TRUE,UNIQUE(FILTER(소재DB_RAW!$N$3:$N$2000,(소재DB_RAW!$G$3:$G$2000=$D324)*ISERROR(SEARCH("drop",소재DB_RAW!$C$3:$C$2000))))),"")</f>
        <v/>
      </c>
      <c r="Y324" s="26">
        <f>IFERROR(TEXTJOIN(CHAR(10),TRUE,UNIQUE(FILTER(소재DB_RAW!$N$3:$N$2000&amp;") "&amp;소재DB_RAW!$O$3:$O$2000,(소재DB_RAW!$G$3:$G$2000=$D324)*ISNUMBER(SEARCH("겉감",소재DB_RAW!$M$3:$M$2000))*ISERROR(SEARCH("drop",소재DB_RAW!$C$3:$C$2000))))),"")</f>
        <v/>
      </c>
      <c r="Z324" s="26">
        <f>IFERROR(TEXTJOIN(CHAR(10),TRUE,UNIQUE(FILTER(소재DB_RAW!$N$3:$N$2000&amp;") "&amp;소재DB_RAW!$O$3:$O$2000,(소재DB_RAW!$G$3:$G$2000=$D324)*ISNUMBER(SEARCH("안감",소재DB_RAW!$M$3:$M$2000))*ISERROR(SEARCH("drop",소재DB_RAW!$C$3:$C$2000))))),"")</f>
        <v/>
      </c>
      <c r="AA324" s="22">
        <f>IFERROR(MAX(FILTER(소재DB_RAW!$AK$3:$AK$2000,(소재DB_RAW!$G$3:$G$2000=$D324)*ISERROR(SEARCH("drop",소재DB_RAW!$C$3:$C$2000))*(소재DB_RAW!$AK$3:$AK$2000&lt;&gt;""))),"")</f>
        <v/>
      </c>
      <c r="AB324" s="27" t="n">
        <v>0</v>
      </c>
      <c r="AC324" s="27" t="n">
        <v>4264706</v>
      </c>
      <c r="AD324" s="27" t="n">
        <v>14500000</v>
      </c>
      <c r="AE324" s="20" t="n"/>
      <c r="AF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G324" s="19">
        <f>IF($K324="","",IF(OR(LEFT($AF324,2)="작지",LEFT($AF324,4)="소재입고"),IF(LEFT($G324,1)="S","★ 납기위험(S코드)","◆ 지연주의"),IF($AF324="정상","✓ 정상","? 확인필요")))</f>
        <v/>
      </c>
      <c r="AH324" s="21" t="n"/>
      <c r="AI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19">
        <f>IF(COUNTIF(EDW_RAW!$A$2:$A$1500,$D325)=0,"",IF(COUNTIFS(EDW_RAW!$A$2:$A$1500,$D325,EDW_RAW!$R$2:$R$1500,"&lt;&gt;~",EDW_RAW!$R$2:$R$1500,"&lt;&gt;")=COUNTIF(EDW_RAW!$A$2:$A$1500,$D325),"O",IF(COUNTIFS(EDW_RAW!$A$2:$A$1500,$D325,EDW_RAW!$R$2:$R$1500,"&lt;&gt;~",EDW_RAW!$R$2:$R$1500,"&lt;&gt;")&gt;0,"부분","X")))</f>
        <v/>
      </c>
      <c r="R325" s="19">
        <f>IF(COUNTIF(EDW_RAW!$A$2:$A$1500,$D325)=0,"",IF(COUNTIFS(EDW_RAW!$A$2:$A$1500,$D325,EDW_RAW!$U$2:$U$1500,"&lt;&gt;~",EDW_RAW!$U$2:$U$1500,"&lt;&gt;")=COUNTIF(EDW_RAW!$A$2:$A$1500,$D325),"O",IF(COUNTIFS(EDW_RAW!$A$2:$A$1500,$D325,EDW_RAW!$U$2:$U$1500,"&lt;&gt;~",EDW_RAW!$U$2:$U$1500,"&lt;&gt;")&gt;0,"부분","X")))</f>
        <v/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",TRUE,UNIQUE(FILTER(소재DB_RAW!$K$3:$K$2000,(소재DB_RAW!$G$3:$G$2000=$D325)*ISERROR(SEARCH("drop",소재DB_RAW!$C$3:$C$2000))))),"")</f>
        <v/>
      </c>
      <c r="W325" s="20" t="inlineStr">
        <is>
          <t>베트남</t>
        </is>
      </c>
      <c r="X325" s="20">
        <f>IFERROR(TEXTJOIN(" / ",TRUE,UNIQUE(FILTER(소재DB_RAW!$N$3:$N$2000,(소재DB_RAW!$G$3:$G$2000=$D325)*ISERROR(SEARCH("drop",소재DB_RAW!$C$3:$C$2000))))),"")</f>
        <v/>
      </c>
      <c r="Y325" s="26">
        <f>IFERROR(TEXTJOIN(CHAR(10),TRUE,UNIQUE(FILTER(소재DB_RAW!$N$3:$N$2000&amp;") "&amp;소재DB_RAW!$O$3:$O$2000,(소재DB_RAW!$G$3:$G$2000=$D325)*ISNUMBER(SEARCH("겉감",소재DB_RAW!$M$3:$M$2000))*ISERROR(SEARCH("drop",소재DB_RAW!$C$3:$C$2000))))),"")</f>
        <v/>
      </c>
      <c r="Z325" s="26">
        <f>IFERROR(TEXTJOIN(CHAR(10),TRUE,UNIQUE(FILTER(소재DB_RAW!$N$3:$N$2000&amp;") "&amp;소재DB_RAW!$O$3:$O$2000,(소재DB_RAW!$G$3:$G$2000=$D325)*ISNUMBER(SEARCH("안감",소재DB_RAW!$M$3:$M$2000))*ISERROR(SEARCH("drop",소재DB_RAW!$C$3:$C$2000))))),"")</f>
        <v/>
      </c>
      <c r="AA325" s="22">
        <f>IFERROR(MAX(FILTER(소재DB_RAW!$AK$3:$AK$2000,(소재DB_RAW!$G$3:$G$2000=$D325)*ISERROR(SEARCH("drop",소재DB_RAW!$C$3:$C$2000))*(소재DB_RAW!$AK$3:$AK$2000&lt;&gt;""))),"")</f>
        <v/>
      </c>
      <c r="AB325" s="27" t="n">
        <v>0</v>
      </c>
      <c r="AC325" s="27" t="n">
        <v>3411765</v>
      </c>
      <c r="AD325" s="27" t="n">
        <v>11600000</v>
      </c>
      <c r="AE325" s="20" t="n"/>
      <c r="AF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G325" s="19">
        <f>IF($K325="","",IF(OR(LEFT($AF325,2)="작지",LEFT($AF325,4)="소재입고"),IF(LEFT($G325,1)="S","★ 납기위험(S코드)","◆ 지연주의"),IF($AF325="정상","✓ 정상","? 확인필요")))</f>
        <v/>
      </c>
      <c r="AH325" s="21" t="n"/>
      <c r="AI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19">
        <f>IF(COUNTIF(EDW_RAW!$A$2:$A$1500,$D326)=0,"",IF(COUNTIFS(EDW_RAW!$A$2:$A$1500,$D326,EDW_RAW!$R$2:$R$1500,"&lt;&gt;~",EDW_RAW!$R$2:$R$1500,"&lt;&gt;")=COUNTIF(EDW_RAW!$A$2:$A$1500,$D326),"O",IF(COUNTIFS(EDW_RAW!$A$2:$A$1500,$D326,EDW_RAW!$R$2:$R$1500,"&lt;&gt;~",EDW_RAW!$R$2:$R$1500,"&lt;&gt;")&gt;0,"부분","X")))</f>
        <v/>
      </c>
      <c r="R326" s="19">
        <f>IF(COUNTIF(EDW_RAW!$A$2:$A$1500,$D326)=0,"",IF(COUNTIFS(EDW_RAW!$A$2:$A$1500,$D326,EDW_RAW!$U$2:$U$1500,"&lt;&gt;~",EDW_RAW!$U$2:$U$1500,"&lt;&gt;")=COUNTIF(EDW_RAW!$A$2:$A$1500,$D326),"O",IF(COUNTIFS(EDW_RAW!$A$2:$A$1500,$D326,EDW_RAW!$U$2:$U$1500,"&lt;&gt;~",EDW_RAW!$U$2:$U$1500,"&lt;&gt;")&gt;0,"부분","X")))</f>
        <v/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",TRUE,UNIQUE(FILTER(소재DB_RAW!$K$3:$K$2000,(소재DB_RAW!$G$3:$G$2000=$D326)*ISERROR(SEARCH("drop",소재DB_RAW!$C$3:$C$2000))))),"")</f>
        <v/>
      </c>
      <c r="W326" s="20" t="inlineStr">
        <is>
          <t>베트남</t>
        </is>
      </c>
      <c r="X326" s="20">
        <f>IFERROR(TEXTJOIN(" / ",TRUE,UNIQUE(FILTER(소재DB_RAW!$N$3:$N$2000,(소재DB_RAW!$G$3:$G$2000=$D326)*ISERROR(SEARCH("drop",소재DB_RAW!$C$3:$C$2000))))),"")</f>
        <v/>
      </c>
      <c r="Y326" s="26">
        <f>IFERROR(TEXTJOIN(CHAR(10),TRUE,UNIQUE(FILTER(소재DB_RAW!$N$3:$N$2000&amp;") "&amp;소재DB_RAW!$O$3:$O$2000,(소재DB_RAW!$G$3:$G$2000=$D326)*ISNUMBER(SEARCH("겉감",소재DB_RAW!$M$3:$M$2000))*ISERROR(SEARCH("drop",소재DB_RAW!$C$3:$C$2000))))),"")</f>
        <v/>
      </c>
      <c r="Z326" s="26">
        <f>IFERROR(TEXTJOIN(CHAR(10),TRUE,UNIQUE(FILTER(소재DB_RAW!$N$3:$N$2000&amp;") "&amp;소재DB_RAW!$O$3:$O$2000,(소재DB_RAW!$G$3:$G$2000=$D326)*ISNUMBER(SEARCH("안감",소재DB_RAW!$M$3:$M$2000))*ISERROR(SEARCH("drop",소재DB_RAW!$C$3:$C$2000))))),"")</f>
        <v/>
      </c>
      <c r="AA326" s="22">
        <f>IFERROR(MAX(FILTER(소재DB_RAW!$AK$3:$AK$2000,(소재DB_RAW!$G$3:$G$2000=$D326)*ISERROR(SEARCH("drop",소재DB_RAW!$C$3:$C$2000))*(소재DB_RAW!$AK$3:$AK$2000&lt;&gt;""))),"")</f>
        <v/>
      </c>
      <c r="AB326" s="27" t="n">
        <v>0</v>
      </c>
      <c r="AC326" s="27" t="n">
        <v>3752941</v>
      </c>
      <c r="AD326" s="27" t="n">
        <v>12760000</v>
      </c>
      <c r="AE326" s="20" t="n"/>
      <c r="AF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G326" s="19">
        <f>IF($K326="","",IF(OR(LEFT($AF326,2)="작지",LEFT($AF326,4)="소재입고"),IF(LEFT($G326,1)="S","★ 납기위험(S코드)","◆ 지연주의"),IF($AF326="정상","✓ 정상","? 확인필요")))</f>
        <v/>
      </c>
      <c r="AH326" s="21" t="n"/>
      <c r="AI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19">
        <f>IF(COUNTIF(EDW_RAW!$A$2:$A$1500,$D327)=0,"",IF(COUNTIFS(EDW_RAW!$A$2:$A$1500,$D327,EDW_RAW!$R$2:$R$1500,"&lt;&gt;~",EDW_RAW!$R$2:$R$1500,"&lt;&gt;")=COUNTIF(EDW_RAW!$A$2:$A$1500,$D327),"O",IF(COUNTIFS(EDW_RAW!$A$2:$A$1500,$D327,EDW_RAW!$R$2:$R$1500,"&lt;&gt;~",EDW_RAW!$R$2:$R$1500,"&lt;&gt;")&gt;0,"부분","X")))</f>
        <v/>
      </c>
      <c r="R327" s="19">
        <f>IF(COUNTIF(EDW_RAW!$A$2:$A$1500,$D327)=0,"",IF(COUNTIFS(EDW_RAW!$A$2:$A$1500,$D327,EDW_RAW!$U$2:$U$1500,"&lt;&gt;~",EDW_RAW!$U$2:$U$1500,"&lt;&gt;")=COUNTIF(EDW_RAW!$A$2:$A$1500,$D327),"O",IF(COUNTIFS(EDW_RAW!$A$2:$A$1500,$D327,EDW_RAW!$U$2:$U$1500,"&lt;&gt;~",EDW_RAW!$U$2:$U$1500,"&lt;&gt;")&gt;0,"부분","X")))</f>
        <v/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",TRUE,UNIQUE(FILTER(소재DB_RAW!$K$3:$K$2000,(소재DB_RAW!$G$3:$G$2000=$D327)*ISERROR(SEARCH("drop",소재DB_RAW!$C$3:$C$2000))))),"")</f>
        <v/>
      </c>
      <c r="W327" s="20" t="inlineStr">
        <is>
          <t>국내</t>
        </is>
      </c>
      <c r="X327" s="20">
        <f>IFERROR(TEXTJOIN(" / ",TRUE,UNIQUE(FILTER(소재DB_RAW!$N$3:$N$2000,(소재DB_RAW!$G$3:$G$2000=$D327)*ISERROR(SEARCH("drop",소재DB_RAW!$C$3:$C$2000))))),"")</f>
        <v/>
      </c>
      <c r="Y327" s="26">
        <f>IFERROR(TEXTJOIN(CHAR(10),TRUE,UNIQUE(FILTER(소재DB_RAW!$N$3:$N$2000&amp;") "&amp;소재DB_RAW!$O$3:$O$2000,(소재DB_RAW!$G$3:$G$2000=$D327)*ISNUMBER(SEARCH("겉감",소재DB_RAW!$M$3:$M$2000))*ISERROR(SEARCH("drop",소재DB_RAW!$C$3:$C$2000))))),"")</f>
        <v/>
      </c>
      <c r="Z327" s="26">
        <f>IFERROR(TEXTJOIN(CHAR(10),TRUE,UNIQUE(FILTER(소재DB_RAW!$N$3:$N$2000&amp;") "&amp;소재DB_RAW!$O$3:$O$2000,(소재DB_RAW!$G$3:$G$2000=$D327)*ISNUMBER(SEARCH("안감",소재DB_RAW!$M$3:$M$2000))*ISERROR(SEARCH("drop",소재DB_RAW!$C$3:$C$2000))))),"")</f>
        <v/>
      </c>
      <c r="AA327" s="22">
        <f>IFERROR(MAX(FILTER(소재DB_RAW!$AK$3:$AK$2000,(소재DB_RAW!$G$3:$G$2000=$D327)*ISERROR(SEARCH("drop",소재DB_RAW!$C$3:$C$2000))*(소재DB_RAW!$AK$3:$AK$2000&lt;&gt;""))),"")</f>
        <v/>
      </c>
      <c r="AB327" s="27" t="n">
        <v>0</v>
      </c>
      <c r="AC327" s="27" t="n">
        <v>10000000</v>
      </c>
      <c r="AD327" s="27" t="n">
        <v>34000000</v>
      </c>
      <c r="AE327" s="20" t="n"/>
      <c r="AF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G327" s="19">
        <f>IF($K327="","",IF(OR(LEFT($AF327,2)="작지",LEFT($AF327,4)="소재입고"),IF(LEFT($G327,1)="S","★ 납기위험(S코드)","◆ 지연주의"),IF($AF327="정상","✓ 정상","? 확인필요")))</f>
        <v/>
      </c>
      <c r="AH327" s="21" t="n"/>
      <c r="AI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19">
        <f>IF(COUNTIF(EDW_RAW!$A$2:$A$1500,$D328)=0,"",IF(COUNTIFS(EDW_RAW!$A$2:$A$1500,$D328,EDW_RAW!$R$2:$R$1500,"&lt;&gt;~",EDW_RAW!$R$2:$R$1500,"&lt;&gt;")=COUNTIF(EDW_RAW!$A$2:$A$1500,$D328),"O",IF(COUNTIFS(EDW_RAW!$A$2:$A$1500,$D328,EDW_RAW!$R$2:$R$1500,"&lt;&gt;~",EDW_RAW!$R$2:$R$1500,"&lt;&gt;")&gt;0,"부분","X")))</f>
        <v/>
      </c>
      <c r="R328" s="19">
        <f>IF(COUNTIF(EDW_RAW!$A$2:$A$1500,$D328)=0,"",IF(COUNTIFS(EDW_RAW!$A$2:$A$1500,$D328,EDW_RAW!$U$2:$U$1500,"&lt;&gt;~",EDW_RAW!$U$2:$U$1500,"&lt;&gt;")=COUNTIF(EDW_RAW!$A$2:$A$1500,$D328),"O",IF(COUNTIFS(EDW_RAW!$A$2:$A$1500,$D328,EDW_RAW!$U$2:$U$1500,"&lt;&gt;~",EDW_RAW!$U$2:$U$1500,"&lt;&gt;")&gt;0,"부분","X")))</f>
        <v/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",TRUE,UNIQUE(FILTER(소재DB_RAW!$K$3:$K$2000,(소재DB_RAW!$G$3:$G$2000=$D328)*ISERROR(SEARCH("drop",소재DB_RAW!$C$3:$C$2000))))),"")</f>
        <v/>
      </c>
      <c r="W328" s="20" t="inlineStr">
        <is>
          <t>베트남</t>
        </is>
      </c>
      <c r="X328" s="20">
        <f>IFERROR(TEXTJOIN(" / ",TRUE,UNIQUE(FILTER(소재DB_RAW!$N$3:$N$2000,(소재DB_RAW!$G$3:$G$2000=$D328)*ISERROR(SEARCH("drop",소재DB_RAW!$C$3:$C$2000))))),"")</f>
        <v/>
      </c>
      <c r="Y328" s="26">
        <f>IFERROR(TEXTJOIN(CHAR(10),TRUE,UNIQUE(FILTER(소재DB_RAW!$N$3:$N$2000&amp;") "&amp;소재DB_RAW!$O$3:$O$2000,(소재DB_RAW!$G$3:$G$2000=$D328)*ISNUMBER(SEARCH("겉감",소재DB_RAW!$M$3:$M$2000))*ISERROR(SEARCH("drop",소재DB_RAW!$C$3:$C$2000))))),"")</f>
        <v/>
      </c>
      <c r="Z328" s="26">
        <f>IFERROR(TEXTJOIN(CHAR(10),TRUE,UNIQUE(FILTER(소재DB_RAW!$N$3:$N$2000&amp;") "&amp;소재DB_RAW!$O$3:$O$2000,(소재DB_RAW!$G$3:$G$2000=$D328)*ISNUMBER(SEARCH("안감",소재DB_RAW!$M$3:$M$2000))*ISERROR(SEARCH("drop",소재DB_RAW!$C$3:$C$2000))))),"")</f>
        <v/>
      </c>
      <c r="AA328" s="22">
        <f>IFERROR(MAX(FILTER(소재DB_RAW!$AK$3:$AK$2000,(소재DB_RAW!$G$3:$G$2000=$D328)*ISERROR(SEARCH("drop",소재DB_RAW!$C$3:$C$2000))*(소재DB_RAW!$AK$3:$AK$2000&lt;&gt;""))),"")</f>
        <v/>
      </c>
      <c r="AB328" s="27" t="n">
        <v>0</v>
      </c>
      <c r="AC328" s="27" t="n">
        <v>4588235</v>
      </c>
      <c r="AD328" s="27" t="n">
        <v>15600000</v>
      </c>
      <c r="AE328" s="20" t="n"/>
      <c r="AF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G328" s="19">
        <f>IF($K328="","",IF(OR(LEFT($AF328,2)="작지",LEFT($AF328,4)="소재입고"),IF(LEFT($G328,1)="S","★ 납기위험(S코드)","◆ 지연주의"),IF($AF328="정상","✓ 정상","? 확인필요")))</f>
        <v/>
      </c>
      <c r="AH328" s="21" t="n"/>
      <c r="AI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19">
        <f>IF(COUNTIF(EDW_RAW!$A$2:$A$1500,$D329)=0,"",IF(COUNTIFS(EDW_RAW!$A$2:$A$1500,$D329,EDW_RAW!$R$2:$R$1500,"&lt;&gt;~",EDW_RAW!$R$2:$R$1500,"&lt;&gt;")=COUNTIF(EDW_RAW!$A$2:$A$1500,$D329),"O",IF(COUNTIFS(EDW_RAW!$A$2:$A$1500,$D329,EDW_RAW!$R$2:$R$1500,"&lt;&gt;~",EDW_RAW!$R$2:$R$1500,"&lt;&gt;")&gt;0,"부분","X")))</f>
        <v/>
      </c>
      <c r="R329" s="19">
        <f>IF(COUNTIF(EDW_RAW!$A$2:$A$1500,$D329)=0,"",IF(COUNTIFS(EDW_RAW!$A$2:$A$1500,$D329,EDW_RAW!$U$2:$U$1500,"&lt;&gt;~",EDW_RAW!$U$2:$U$1500,"&lt;&gt;")=COUNTIF(EDW_RAW!$A$2:$A$1500,$D329),"O",IF(COUNTIFS(EDW_RAW!$A$2:$A$1500,$D329,EDW_RAW!$U$2:$U$1500,"&lt;&gt;~",EDW_RAW!$U$2:$U$1500,"&lt;&gt;")&gt;0,"부분","X")))</f>
        <v/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",TRUE,UNIQUE(FILTER(소재DB_RAW!$K$3:$K$2000,(소재DB_RAW!$G$3:$G$2000=$D329)*ISERROR(SEARCH("drop",소재DB_RAW!$C$3:$C$2000))))),"")</f>
        <v/>
      </c>
      <c r="W329" s="20" t="inlineStr">
        <is>
          <t>베트남</t>
        </is>
      </c>
      <c r="X329" s="20">
        <f>IFERROR(TEXTJOIN(" / ",TRUE,UNIQUE(FILTER(소재DB_RAW!$N$3:$N$2000,(소재DB_RAW!$G$3:$G$2000=$D329)*ISERROR(SEARCH("drop",소재DB_RAW!$C$3:$C$2000))))),"")</f>
        <v/>
      </c>
      <c r="Y329" s="26">
        <f>IFERROR(TEXTJOIN(CHAR(10),TRUE,UNIQUE(FILTER(소재DB_RAW!$N$3:$N$2000&amp;") "&amp;소재DB_RAW!$O$3:$O$2000,(소재DB_RAW!$G$3:$G$2000=$D329)*ISNUMBER(SEARCH("겉감",소재DB_RAW!$M$3:$M$2000))*ISERROR(SEARCH("drop",소재DB_RAW!$C$3:$C$2000))))),"")</f>
        <v/>
      </c>
      <c r="Z329" s="26">
        <f>IFERROR(TEXTJOIN(CHAR(10),TRUE,UNIQUE(FILTER(소재DB_RAW!$N$3:$N$2000&amp;") "&amp;소재DB_RAW!$O$3:$O$2000,(소재DB_RAW!$G$3:$G$2000=$D329)*ISNUMBER(SEARCH("안감",소재DB_RAW!$M$3:$M$2000))*ISERROR(SEARCH("drop",소재DB_RAW!$C$3:$C$2000))))),"")</f>
        <v/>
      </c>
      <c r="AA329" s="22">
        <f>IFERROR(MAX(FILTER(소재DB_RAW!$AK$3:$AK$2000,(소재DB_RAW!$G$3:$G$2000=$D329)*ISERROR(SEARCH("drop",소재DB_RAW!$C$3:$C$2000))*(소재DB_RAW!$AK$3:$AK$2000&lt;&gt;""))),"")</f>
        <v/>
      </c>
      <c r="AB329" s="27" t="n">
        <v>0</v>
      </c>
      <c r="AC329" s="27" t="n">
        <v>43884050</v>
      </c>
      <c r="AD329" s="27" t="n">
        <v>98000000</v>
      </c>
      <c r="AE329" s="20" t="n"/>
      <c r="AF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G329" s="19">
        <f>IF($K329="","",IF(OR(LEFT($AF329,2)="작지",LEFT($AF329,4)="소재입고"),IF(LEFT($G329,1)="S","★ 납기위험(S코드)","◆ 지연주의"),IF($AF329="정상","✓ 정상","? 확인필요")))</f>
        <v/>
      </c>
      <c r="AH329" s="21" t="n"/>
      <c r="AI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19">
        <f>IF(COUNTIF(EDW_RAW!$A$2:$A$1500,$D330)=0,"",IF(COUNTIFS(EDW_RAW!$A$2:$A$1500,$D330,EDW_RAW!$R$2:$R$1500,"&lt;&gt;~",EDW_RAW!$R$2:$R$1500,"&lt;&gt;")=COUNTIF(EDW_RAW!$A$2:$A$1500,$D330),"O",IF(COUNTIFS(EDW_RAW!$A$2:$A$1500,$D330,EDW_RAW!$R$2:$R$1500,"&lt;&gt;~",EDW_RAW!$R$2:$R$1500,"&lt;&gt;")&gt;0,"부분","X")))</f>
        <v/>
      </c>
      <c r="R330" s="19">
        <f>IF(COUNTIF(EDW_RAW!$A$2:$A$1500,$D330)=0,"",IF(COUNTIFS(EDW_RAW!$A$2:$A$1500,$D330,EDW_RAW!$U$2:$U$1500,"&lt;&gt;~",EDW_RAW!$U$2:$U$1500,"&lt;&gt;")=COUNTIF(EDW_RAW!$A$2:$A$1500,$D330),"O",IF(COUNTIFS(EDW_RAW!$A$2:$A$1500,$D330,EDW_RAW!$U$2:$U$1500,"&lt;&gt;~",EDW_RAW!$U$2:$U$1500,"&lt;&gt;")&gt;0,"부분","X")))</f>
        <v/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",TRUE,UNIQUE(FILTER(소재DB_RAW!$K$3:$K$2000,(소재DB_RAW!$G$3:$G$2000=$D330)*ISERROR(SEARCH("drop",소재DB_RAW!$C$3:$C$2000))))),"")</f>
        <v/>
      </c>
      <c r="W330" s="20" t="inlineStr">
        <is>
          <t>베트남</t>
        </is>
      </c>
      <c r="X330" s="20">
        <f>IFERROR(TEXTJOIN(" / ",TRUE,UNIQUE(FILTER(소재DB_RAW!$N$3:$N$2000,(소재DB_RAW!$G$3:$G$2000=$D330)*ISERROR(SEARCH("drop",소재DB_RAW!$C$3:$C$2000))))),"")</f>
        <v/>
      </c>
      <c r="Y330" s="26">
        <f>IFERROR(TEXTJOIN(CHAR(10),TRUE,UNIQUE(FILTER(소재DB_RAW!$N$3:$N$2000&amp;") "&amp;소재DB_RAW!$O$3:$O$2000,(소재DB_RAW!$G$3:$G$2000=$D330)*ISNUMBER(SEARCH("겉감",소재DB_RAW!$M$3:$M$2000))*ISERROR(SEARCH("drop",소재DB_RAW!$C$3:$C$2000))))),"")</f>
        <v/>
      </c>
      <c r="Z330" s="26">
        <f>IFERROR(TEXTJOIN(CHAR(10),TRUE,UNIQUE(FILTER(소재DB_RAW!$N$3:$N$2000&amp;") "&amp;소재DB_RAW!$O$3:$O$2000,(소재DB_RAW!$G$3:$G$2000=$D330)*ISNUMBER(SEARCH("안감",소재DB_RAW!$M$3:$M$2000))*ISERROR(SEARCH("drop",소재DB_RAW!$C$3:$C$2000))))),"")</f>
        <v/>
      </c>
      <c r="AA330" s="22">
        <f>IFERROR(MAX(FILTER(소재DB_RAW!$AK$3:$AK$2000,(소재DB_RAW!$G$3:$G$2000=$D330)*ISERROR(SEARCH("drop",소재DB_RAW!$C$3:$C$2000))*(소재DB_RAW!$AK$3:$AK$2000&lt;&gt;""))),"")</f>
        <v/>
      </c>
      <c r="AB330" s="27" t="n">
        <v>0</v>
      </c>
      <c r="AC330" s="27" t="n">
        <v>19950000</v>
      </c>
      <c r="AD330" s="27" t="n">
        <v>57500000</v>
      </c>
      <c r="AE330" s="20" t="n"/>
      <c r="AF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G330" s="19">
        <f>IF($K330="","",IF(OR(LEFT($AF330,2)="작지",LEFT($AF330,4)="소재입고"),IF(LEFT($G330,1)="S","★ 납기위험(S코드)","◆ 지연주의"),IF($AF330="정상","✓ 정상","? 확인필요")))</f>
        <v/>
      </c>
      <c r="AH330" s="21" t="n"/>
      <c r="AI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19">
        <f>IF(COUNTIF(EDW_RAW!$A$2:$A$1500,$D331)=0,"",IF(COUNTIFS(EDW_RAW!$A$2:$A$1500,$D331,EDW_RAW!$R$2:$R$1500,"&lt;&gt;~",EDW_RAW!$R$2:$R$1500,"&lt;&gt;")=COUNTIF(EDW_RAW!$A$2:$A$1500,$D331),"O",IF(COUNTIFS(EDW_RAW!$A$2:$A$1500,$D331,EDW_RAW!$R$2:$R$1500,"&lt;&gt;~",EDW_RAW!$R$2:$R$1500,"&lt;&gt;")&gt;0,"부분","X")))</f>
        <v/>
      </c>
      <c r="R331" s="19">
        <f>IF(COUNTIF(EDW_RAW!$A$2:$A$1500,$D331)=0,"",IF(COUNTIFS(EDW_RAW!$A$2:$A$1500,$D331,EDW_RAW!$U$2:$U$1500,"&lt;&gt;~",EDW_RAW!$U$2:$U$1500,"&lt;&gt;")=COUNTIF(EDW_RAW!$A$2:$A$1500,$D331),"O",IF(COUNTIFS(EDW_RAW!$A$2:$A$1500,$D331,EDW_RAW!$U$2:$U$1500,"&lt;&gt;~",EDW_RAW!$U$2:$U$1500,"&lt;&gt;")&gt;0,"부분","X")))</f>
        <v/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",TRUE,UNIQUE(FILTER(소재DB_RAW!$K$3:$K$2000,(소재DB_RAW!$G$3:$G$2000=$D331)*ISERROR(SEARCH("drop",소재DB_RAW!$C$3:$C$2000))))),"")</f>
        <v/>
      </c>
      <c r="W331" s="20" t="inlineStr">
        <is>
          <t>베트남</t>
        </is>
      </c>
      <c r="X331" s="20">
        <f>IFERROR(TEXTJOIN(" / ",TRUE,UNIQUE(FILTER(소재DB_RAW!$N$3:$N$2000,(소재DB_RAW!$G$3:$G$2000=$D331)*ISERROR(SEARCH("drop",소재DB_RAW!$C$3:$C$2000))))),"")</f>
        <v/>
      </c>
      <c r="Y331" s="26">
        <f>IFERROR(TEXTJOIN(CHAR(10),TRUE,UNIQUE(FILTER(소재DB_RAW!$N$3:$N$2000&amp;") "&amp;소재DB_RAW!$O$3:$O$2000,(소재DB_RAW!$G$3:$G$2000=$D331)*ISNUMBER(SEARCH("겉감",소재DB_RAW!$M$3:$M$2000))*ISERROR(SEARCH("drop",소재DB_RAW!$C$3:$C$2000))))),"")</f>
        <v/>
      </c>
      <c r="Z331" s="26">
        <f>IFERROR(TEXTJOIN(CHAR(10),TRUE,UNIQUE(FILTER(소재DB_RAW!$N$3:$N$2000&amp;") "&amp;소재DB_RAW!$O$3:$O$2000,(소재DB_RAW!$G$3:$G$2000=$D331)*ISNUMBER(SEARCH("안감",소재DB_RAW!$M$3:$M$2000))*ISERROR(SEARCH("drop",소재DB_RAW!$C$3:$C$2000))))),"")</f>
        <v/>
      </c>
      <c r="AA331" s="22">
        <f>IFERROR(MAX(FILTER(소재DB_RAW!$AK$3:$AK$2000,(소재DB_RAW!$G$3:$G$2000=$D331)*ISERROR(SEARCH("drop",소재DB_RAW!$C$3:$C$2000))*(소재DB_RAW!$AK$3:$AK$2000&lt;&gt;""))),"")</f>
        <v/>
      </c>
      <c r="AB331" s="27" t="n">
        <v>0</v>
      </c>
      <c r="AC331" s="27" t="n">
        <v>14388000</v>
      </c>
      <c r="AD331" s="27" t="n">
        <v>34760000</v>
      </c>
      <c r="AE331" s="20" t="n"/>
      <c r="AF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G331" s="19">
        <f>IF($K331="","",IF(OR(LEFT($AF331,2)="작지",LEFT($AF331,4)="소재입고"),IF(LEFT($G331,1)="S","★ 납기위험(S코드)","◆ 지연주의"),IF($AF331="정상","✓ 정상","? 확인필요")))</f>
        <v/>
      </c>
      <c r="AH331" s="21" t="n"/>
      <c r="AI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19">
        <f>IF(COUNTIF(EDW_RAW!$A$2:$A$1500,$D332)=0,"",IF(COUNTIFS(EDW_RAW!$A$2:$A$1500,$D332,EDW_RAW!$R$2:$R$1500,"&lt;&gt;~",EDW_RAW!$R$2:$R$1500,"&lt;&gt;")=COUNTIF(EDW_RAW!$A$2:$A$1500,$D332),"O",IF(COUNTIFS(EDW_RAW!$A$2:$A$1500,$D332,EDW_RAW!$R$2:$R$1500,"&lt;&gt;~",EDW_RAW!$R$2:$R$1500,"&lt;&gt;")&gt;0,"부분","X")))</f>
        <v/>
      </c>
      <c r="R332" s="19">
        <f>IF(COUNTIF(EDW_RAW!$A$2:$A$1500,$D332)=0,"",IF(COUNTIFS(EDW_RAW!$A$2:$A$1500,$D332,EDW_RAW!$U$2:$U$1500,"&lt;&gt;~",EDW_RAW!$U$2:$U$1500,"&lt;&gt;")=COUNTIF(EDW_RAW!$A$2:$A$1500,$D332),"O",IF(COUNTIFS(EDW_RAW!$A$2:$A$1500,$D332,EDW_RAW!$U$2:$U$1500,"&lt;&gt;~",EDW_RAW!$U$2:$U$1500,"&lt;&gt;")&gt;0,"부분","X")))</f>
        <v/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",TRUE,UNIQUE(FILTER(소재DB_RAW!$K$3:$K$2000,(소재DB_RAW!$G$3:$G$2000=$D332)*ISERROR(SEARCH("drop",소재DB_RAW!$C$3:$C$2000))))),"")</f>
        <v/>
      </c>
      <c r="W332" s="20" t="inlineStr">
        <is>
          <t>베트남</t>
        </is>
      </c>
      <c r="X332" s="20">
        <f>IFERROR(TEXTJOIN(" / ",TRUE,UNIQUE(FILTER(소재DB_RAW!$N$3:$N$2000,(소재DB_RAW!$G$3:$G$2000=$D332)*ISERROR(SEARCH("drop",소재DB_RAW!$C$3:$C$2000))))),"")</f>
        <v/>
      </c>
      <c r="Y332" s="26">
        <f>IFERROR(TEXTJOIN(CHAR(10),TRUE,UNIQUE(FILTER(소재DB_RAW!$N$3:$N$2000&amp;") "&amp;소재DB_RAW!$O$3:$O$2000,(소재DB_RAW!$G$3:$G$2000=$D332)*ISNUMBER(SEARCH("겉감",소재DB_RAW!$M$3:$M$2000))*ISERROR(SEARCH("drop",소재DB_RAW!$C$3:$C$2000))))),"")</f>
        <v/>
      </c>
      <c r="Z332" s="26">
        <f>IFERROR(TEXTJOIN(CHAR(10),TRUE,UNIQUE(FILTER(소재DB_RAW!$N$3:$N$2000&amp;") "&amp;소재DB_RAW!$O$3:$O$2000,(소재DB_RAW!$G$3:$G$2000=$D332)*ISNUMBER(SEARCH("안감",소재DB_RAW!$M$3:$M$2000))*ISERROR(SEARCH("drop",소재DB_RAW!$C$3:$C$2000))))),"")</f>
        <v/>
      </c>
      <c r="AA332" s="22">
        <f>IFERROR(MAX(FILTER(소재DB_RAW!$AK$3:$AK$2000,(소재DB_RAW!$G$3:$G$2000=$D332)*ISERROR(SEARCH("drop",소재DB_RAW!$C$3:$C$2000))*(소재DB_RAW!$AK$3:$AK$2000&lt;&gt;""))),"")</f>
        <v/>
      </c>
      <c r="AB332" s="27" t="n">
        <v>0</v>
      </c>
      <c r="AC332" s="27" t="n">
        <v>8010000</v>
      </c>
      <c r="AD332" s="27" t="n">
        <v>23700000</v>
      </c>
      <c r="AE332" s="20" t="n"/>
      <c r="AF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G332" s="19">
        <f>IF($K332="","",IF(OR(LEFT($AF332,2)="작지",LEFT($AF332,4)="소재입고"),IF(LEFT($G332,1)="S","★ 납기위험(S코드)","◆ 지연주의"),IF($AF332="정상","✓ 정상","? 확인필요")))</f>
        <v/>
      </c>
      <c r="AH332" s="21" t="n"/>
      <c r="AI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19">
        <f>IF(COUNTIF(EDW_RAW!$A$2:$A$1500,$D333)=0,"",IF(COUNTIFS(EDW_RAW!$A$2:$A$1500,$D333,EDW_RAW!$R$2:$R$1500,"&lt;&gt;~",EDW_RAW!$R$2:$R$1500,"&lt;&gt;")=COUNTIF(EDW_RAW!$A$2:$A$1500,$D333),"O",IF(COUNTIFS(EDW_RAW!$A$2:$A$1500,$D333,EDW_RAW!$R$2:$R$1500,"&lt;&gt;~",EDW_RAW!$R$2:$R$1500,"&lt;&gt;")&gt;0,"부분","X")))</f>
        <v/>
      </c>
      <c r="R333" s="19">
        <f>IF(COUNTIF(EDW_RAW!$A$2:$A$1500,$D333)=0,"",IF(COUNTIFS(EDW_RAW!$A$2:$A$1500,$D333,EDW_RAW!$U$2:$U$1500,"&lt;&gt;~",EDW_RAW!$U$2:$U$1500,"&lt;&gt;")=COUNTIF(EDW_RAW!$A$2:$A$1500,$D333),"O",IF(COUNTIFS(EDW_RAW!$A$2:$A$1500,$D333,EDW_RAW!$U$2:$U$1500,"&lt;&gt;~",EDW_RAW!$U$2:$U$1500,"&lt;&gt;")&gt;0,"부분","X")))</f>
        <v/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",TRUE,UNIQUE(FILTER(소재DB_RAW!$K$3:$K$2000,(소재DB_RAW!$G$3:$G$2000=$D333)*ISERROR(SEARCH("drop",소재DB_RAW!$C$3:$C$2000))))),"")</f>
        <v/>
      </c>
      <c r="W333" s="20" t="inlineStr">
        <is>
          <t>베트남</t>
        </is>
      </c>
      <c r="X333" s="20">
        <f>IFERROR(TEXTJOIN(" / ",TRUE,UNIQUE(FILTER(소재DB_RAW!$N$3:$N$2000,(소재DB_RAW!$G$3:$G$2000=$D333)*ISERROR(SEARCH("drop",소재DB_RAW!$C$3:$C$2000))))),"")</f>
        <v/>
      </c>
      <c r="Y333" s="26">
        <f>IFERROR(TEXTJOIN(CHAR(10),TRUE,UNIQUE(FILTER(소재DB_RAW!$N$3:$N$2000&amp;") "&amp;소재DB_RAW!$O$3:$O$2000,(소재DB_RAW!$G$3:$G$2000=$D333)*ISNUMBER(SEARCH("겉감",소재DB_RAW!$M$3:$M$2000))*ISERROR(SEARCH("drop",소재DB_RAW!$C$3:$C$2000))))),"")</f>
        <v/>
      </c>
      <c r="Z333" s="26">
        <f>IFERROR(TEXTJOIN(CHAR(10),TRUE,UNIQUE(FILTER(소재DB_RAW!$N$3:$N$2000&amp;") "&amp;소재DB_RAW!$O$3:$O$2000,(소재DB_RAW!$G$3:$G$2000=$D333)*ISNUMBER(SEARCH("안감",소재DB_RAW!$M$3:$M$2000))*ISERROR(SEARCH("drop",소재DB_RAW!$C$3:$C$2000))))),"")</f>
        <v/>
      </c>
      <c r="AA333" s="22">
        <f>IFERROR(MAX(FILTER(소재DB_RAW!$AK$3:$AK$2000,(소재DB_RAW!$G$3:$G$2000=$D333)*ISERROR(SEARCH("drop",소재DB_RAW!$C$3:$C$2000))*(소재DB_RAW!$AK$3:$AK$2000&lt;&gt;""))),"")</f>
        <v/>
      </c>
      <c r="AB333" s="27" t="n">
        <v>0</v>
      </c>
      <c r="AC333" s="27" t="n">
        <v>16900000</v>
      </c>
      <c r="AD333" s="27" t="n">
        <v>33600000</v>
      </c>
      <c r="AE333" s="20" t="n"/>
      <c r="AF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G333" s="19">
        <f>IF($K333="","",IF(OR(LEFT($AF333,2)="작지",LEFT($AF333,4)="소재입고"),IF(LEFT($G333,1)="S","★ 납기위험(S코드)","◆ 지연주의"),IF($AF333="정상","✓ 정상","? 확인필요")))</f>
        <v/>
      </c>
      <c r="AH333" s="21" t="n"/>
      <c r="AI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19">
        <f>IF(COUNTIF(EDW_RAW!$A$2:$A$1500,$D334)=0,"",IF(COUNTIFS(EDW_RAW!$A$2:$A$1500,$D334,EDW_RAW!$R$2:$R$1500,"&lt;&gt;~",EDW_RAW!$R$2:$R$1500,"&lt;&gt;")=COUNTIF(EDW_RAW!$A$2:$A$1500,$D334),"O",IF(COUNTIFS(EDW_RAW!$A$2:$A$1500,$D334,EDW_RAW!$R$2:$R$1500,"&lt;&gt;~",EDW_RAW!$R$2:$R$1500,"&lt;&gt;")&gt;0,"부분","X")))</f>
        <v/>
      </c>
      <c r="R334" s="19">
        <f>IF(COUNTIF(EDW_RAW!$A$2:$A$1500,$D334)=0,"",IF(COUNTIFS(EDW_RAW!$A$2:$A$1500,$D334,EDW_RAW!$U$2:$U$1500,"&lt;&gt;~",EDW_RAW!$U$2:$U$1500,"&lt;&gt;")=COUNTIF(EDW_RAW!$A$2:$A$1500,$D334),"O",IF(COUNTIFS(EDW_RAW!$A$2:$A$1500,$D334,EDW_RAW!$U$2:$U$1500,"&lt;&gt;~",EDW_RAW!$U$2:$U$1500,"&lt;&gt;")&gt;0,"부분","X")))</f>
        <v/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",TRUE,UNIQUE(FILTER(소재DB_RAW!$K$3:$K$2000,(소재DB_RAW!$G$3:$G$2000=$D334)*ISERROR(SEARCH("drop",소재DB_RAW!$C$3:$C$2000))))),"")</f>
        <v/>
      </c>
      <c r="W334" s="20" t="inlineStr">
        <is>
          <t>베트남</t>
        </is>
      </c>
      <c r="X334" s="20">
        <f>IFERROR(TEXTJOIN(" / ",TRUE,UNIQUE(FILTER(소재DB_RAW!$N$3:$N$2000,(소재DB_RAW!$G$3:$G$2000=$D334)*ISERROR(SEARCH("drop",소재DB_RAW!$C$3:$C$2000))))),"")</f>
        <v/>
      </c>
      <c r="Y334" s="26">
        <f>IFERROR(TEXTJOIN(CHAR(10),TRUE,UNIQUE(FILTER(소재DB_RAW!$N$3:$N$2000&amp;") "&amp;소재DB_RAW!$O$3:$O$2000,(소재DB_RAW!$G$3:$G$2000=$D334)*ISNUMBER(SEARCH("겉감",소재DB_RAW!$M$3:$M$2000))*ISERROR(SEARCH("drop",소재DB_RAW!$C$3:$C$2000))))),"")</f>
        <v/>
      </c>
      <c r="Z334" s="26">
        <f>IFERROR(TEXTJOIN(CHAR(10),TRUE,UNIQUE(FILTER(소재DB_RAW!$N$3:$N$2000&amp;") "&amp;소재DB_RAW!$O$3:$O$2000,(소재DB_RAW!$G$3:$G$2000=$D334)*ISNUMBER(SEARCH("안감",소재DB_RAW!$M$3:$M$2000))*ISERROR(SEARCH("drop",소재DB_RAW!$C$3:$C$2000))))),"")</f>
        <v/>
      </c>
      <c r="AA334" s="22">
        <f>IFERROR(MAX(FILTER(소재DB_RAW!$AK$3:$AK$2000,(소재DB_RAW!$G$3:$G$2000=$D334)*ISERROR(SEARCH("drop",소재DB_RAW!$C$3:$C$2000))*(소재DB_RAW!$AK$3:$AK$2000&lt;&gt;""))),"")</f>
        <v/>
      </c>
      <c r="AB334" s="27" t="n">
        <v>0</v>
      </c>
      <c r="AC334" s="27" t="n">
        <v>25353600</v>
      </c>
      <c r="AD334" s="27" t="n">
        <v>56400000</v>
      </c>
      <c r="AE334" s="20" t="n"/>
      <c r="AF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G334" s="19">
        <f>IF($K334="","",IF(OR(LEFT($AF334,2)="작지",LEFT($AF334,4)="소재입고"),IF(LEFT($G334,1)="S","★ 납기위험(S코드)","◆ 지연주의"),IF($AF334="정상","✓ 정상","? 확인필요")))</f>
        <v/>
      </c>
      <c r="AH334" s="21" t="n"/>
      <c r="AI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19">
        <f>IF(COUNTIF(EDW_RAW!$A$2:$A$1500,$D335)=0,"",IF(COUNTIFS(EDW_RAW!$A$2:$A$1500,$D335,EDW_RAW!$R$2:$R$1500,"&lt;&gt;~",EDW_RAW!$R$2:$R$1500,"&lt;&gt;")=COUNTIF(EDW_RAW!$A$2:$A$1500,$D335),"O",IF(COUNTIFS(EDW_RAW!$A$2:$A$1500,$D335,EDW_RAW!$R$2:$R$1500,"&lt;&gt;~",EDW_RAW!$R$2:$R$1500,"&lt;&gt;")&gt;0,"부분","X")))</f>
        <v/>
      </c>
      <c r="R335" s="19">
        <f>IF(COUNTIF(EDW_RAW!$A$2:$A$1500,$D335)=0,"",IF(COUNTIFS(EDW_RAW!$A$2:$A$1500,$D335,EDW_RAW!$U$2:$U$1500,"&lt;&gt;~",EDW_RAW!$U$2:$U$1500,"&lt;&gt;")=COUNTIF(EDW_RAW!$A$2:$A$1500,$D335),"O",IF(COUNTIFS(EDW_RAW!$A$2:$A$1500,$D335,EDW_RAW!$U$2:$U$1500,"&lt;&gt;~",EDW_RAW!$U$2:$U$1500,"&lt;&gt;")&gt;0,"부분","X")))</f>
        <v/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",TRUE,UNIQUE(FILTER(소재DB_RAW!$K$3:$K$2000,(소재DB_RAW!$G$3:$G$2000=$D335)*ISERROR(SEARCH("drop",소재DB_RAW!$C$3:$C$2000))))),"")</f>
        <v/>
      </c>
      <c r="W335" s="20" t="inlineStr">
        <is>
          <t>국내</t>
        </is>
      </c>
      <c r="X335" s="20">
        <f>IFERROR(TEXTJOIN(" / ",TRUE,UNIQUE(FILTER(소재DB_RAW!$N$3:$N$2000,(소재DB_RAW!$G$3:$G$2000=$D335)*ISERROR(SEARCH("drop",소재DB_RAW!$C$3:$C$2000))))),"")</f>
        <v/>
      </c>
      <c r="Y335" s="26">
        <f>IFERROR(TEXTJOIN(CHAR(10),TRUE,UNIQUE(FILTER(소재DB_RAW!$N$3:$N$2000&amp;") "&amp;소재DB_RAW!$O$3:$O$2000,(소재DB_RAW!$G$3:$G$2000=$D335)*ISNUMBER(SEARCH("겉감",소재DB_RAW!$M$3:$M$2000))*ISERROR(SEARCH("drop",소재DB_RAW!$C$3:$C$2000))))),"")</f>
        <v/>
      </c>
      <c r="Z335" s="26">
        <f>IFERROR(TEXTJOIN(CHAR(10),TRUE,UNIQUE(FILTER(소재DB_RAW!$N$3:$N$2000&amp;") "&amp;소재DB_RAW!$O$3:$O$2000,(소재DB_RAW!$G$3:$G$2000=$D335)*ISNUMBER(SEARCH("안감",소재DB_RAW!$M$3:$M$2000))*ISERROR(SEARCH("drop",소재DB_RAW!$C$3:$C$2000))))),"")</f>
        <v/>
      </c>
      <c r="AA335" s="22">
        <f>IFERROR(MAX(FILTER(소재DB_RAW!$AK$3:$AK$2000,(소재DB_RAW!$G$3:$G$2000=$D335)*ISERROR(SEARCH("drop",소재DB_RAW!$C$3:$C$2000))*(소재DB_RAW!$AK$3:$AK$2000&lt;&gt;""))),"")</f>
        <v/>
      </c>
      <c r="AB335" s="27" t="n">
        <v>0</v>
      </c>
      <c r="AC335" s="27" t="n">
        <v>14170800</v>
      </c>
      <c r="AD335" s="27" t="n">
        <v>32400000</v>
      </c>
      <c r="AE335" s="20" t="n"/>
      <c r="AF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G335" s="19">
        <f>IF($K335="","",IF(OR(LEFT($AF335,2)="작지",LEFT($AF335,4)="소재입고"),IF(LEFT($G335,1)="S","★ 납기위험(S코드)","◆ 지연주의"),IF($AF335="정상","✓ 정상","? 확인필요")))</f>
        <v/>
      </c>
      <c r="AH335" s="21" t="n"/>
      <c r="AI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19">
        <f>IF(COUNTIF(EDW_RAW!$A$2:$A$1500,$D336)=0,"",IF(COUNTIFS(EDW_RAW!$A$2:$A$1500,$D336,EDW_RAW!$R$2:$R$1500,"&lt;&gt;~",EDW_RAW!$R$2:$R$1500,"&lt;&gt;")=COUNTIF(EDW_RAW!$A$2:$A$1500,$D336),"O",IF(COUNTIFS(EDW_RAW!$A$2:$A$1500,$D336,EDW_RAW!$R$2:$R$1500,"&lt;&gt;~",EDW_RAW!$R$2:$R$1500,"&lt;&gt;")&gt;0,"부분","X")))</f>
        <v/>
      </c>
      <c r="R336" s="19">
        <f>IF(COUNTIF(EDW_RAW!$A$2:$A$1500,$D336)=0,"",IF(COUNTIFS(EDW_RAW!$A$2:$A$1500,$D336,EDW_RAW!$U$2:$U$1500,"&lt;&gt;~",EDW_RAW!$U$2:$U$1500,"&lt;&gt;")=COUNTIF(EDW_RAW!$A$2:$A$1500,$D336),"O",IF(COUNTIFS(EDW_RAW!$A$2:$A$1500,$D336,EDW_RAW!$U$2:$U$1500,"&lt;&gt;~",EDW_RAW!$U$2:$U$1500,"&lt;&gt;")&gt;0,"부분","X")))</f>
        <v/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",TRUE,UNIQUE(FILTER(소재DB_RAW!$K$3:$K$2000,(소재DB_RAW!$G$3:$G$2000=$D336)*ISERROR(SEARCH("drop",소재DB_RAW!$C$3:$C$2000))))),"")</f>
        <v/>
      </c>
      <c r="W336" s="20" t="inlineStr">
        <is>
          <t>국내</t>
        </is>
      </c>
      <c r="X336" s="20">
        <f>IFERROR(TEXTJOIN(" / ",TRUE,UNIQUE(FILTER(소재DB_RAW!$N$3:$N$2000,(소재DB_RAW!$G$3:$G$2000=$D336)*ISERROR(SEARCH("drop",소재DB_RAW!$C$3:$C$2000))))),"")</f>
        <v/>
      </c>
      <c r="Y336" s="26">
        <f>IFERROR(TEXTJOIN(CHAR(10),TRUE,UNIQUE(FILTER(소재DB_RAW!$N$3:$N$2000&amp;") "&amp;소재DB_RAW!$O$3:$O$2000,(소재DB_RAW!$G$3:$G$2000=$D336)*ISNUMBER(SEARCH("겉감",소재DB_RAW!$M$3:$M$2000))*ISERROR(SEARCH("drop",소재DB_RAW!$C$3:$C$2000))))),"")</f>
        <v/>
      </c>
      <c r="Z336" s="26">
        <f>IFERROR(TEXTJOIN(CHAR(10),TRUE,UNIQUE(FILTER(소재DB_RAW!$N$3:$N$2000&amp;") "&amp;소재DB_RAW!$O$3:$O$2000,(소재DB_RAW!$G$3:$G$2000=$D336)*ISNUMBER(SEARCH("안감",소재DB_RAW!$M$3:$M$2000))*ISERROR(SEARCH("drop",소재DB_RAW!$C$3:$C$2000))))),"")</f>
        <v/>
      </c>
      <c r="AA336" s="22">
        <f>IFERROR(MAX(FILTER(소재DB_RAW!$AK$3:$AK$2000,(소재DB_RAW!$G$3:$G$2000=$D336)*ISERROR(SEARCH("drop",소재DB_RAW!$C$3:$C$2000))*(소재DB_RAW!$AK$3:$AK$2000&lt;&gt;""))),"")</f>
        <v/>
      </c>
      <c r="AB336" s="27" t="n">
        <v>0</v>
      </c>
      <c r="AC336" s="27" t="n">
        <v>19205600</v>
      </c>
      <c r="AD336" s="27" t="n">
        <v>59200000</v>
      </c>
      <c r="AE336" s="20" t="n"/>
      <c r="AF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G336" s="19">
        <f>IF($K336="","",IF(OR(LEFT($AF336,2)="작지",LEFT($AF336,4)="소재입고"),IF(LEFT($G336,1)="S","★ 납기위험(S코드)","◆ 지연주의"),IF($AF336="정상","✓ 정상","? 확인필요")))</f>
        <v/>
      </c>
      <c r="AH336" s="21" t="n"/>
      <c r="AI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19">
        <f>IF(COUNTIF(EDW_RAW!$A$2:$A$1500,$D337)=0,"",IF(COUNTIFS(EDW_RAW!$A$2:$A$1500,$D337,EDW_RAW!$R$2:$R$1500,"&lt;&gt;~",EDW_RAW!$R$2:$R$1500,"&lt;&gt;")=COUNTIF(EDW_RAW!$A$2:$A$1500,$D337),"O",IF(COUNTIFS(EDW_RAW!$A$2:$A$1500,$D337,EDW_RAW!$R$2:$R$1500,"&lt;&gt;~",EDW_RAW!$R$2:$R$1500,"&lt;&gt;")&gt;0,"부분","X")))</f>
        <v/>
      </c>
      <c r="R337" s="19">
        <f>IF(COUNTIF(EDW_RAW!$A$2:$A$1500,$D337)=0,"",IF(COUNTIFS(EDW_RAW!$A$2:$A$1500,$D337,EDW_RAW!$U$2:$U$1500,"&lt;&gt;~",EDW_RAW!$U$2:$U$1500,"&lt;&gt;")=COUNTIF(EDW_RAW!$A$2:$A$1500,$D337),"O",IF(COUNTIFS(EDW_RAW!$A$2:$A$1500,$D337,EDW_RAW!$U$2:$U$1500,"&lt;&gt;~",EDW_RAW!$U$2:$U$1500,"&lt;&gt;")&gt;0,"부분","X")))</f>
        <v/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",TRUE,UNIQUE(FILTER(소재DB_RAW!$K$3:$K$2000,(소재DB_RAW!$G$3:$G$2000=$D337)*ISERROR(SEARCH("drop",소재DB_RAW!$C$3:$C$2000))))),"")</f>
        <v/>
      </c>
      <c r="W337" s="20" t="inlineStr">
        <is>
          <t>중국</t>
        </is>
      </c>
      <c r="X337" s="20">
        <f>IFERROR(TEXTJOIN(" / ",TRUE,UNIQUE(FILTER(소재DB_RAW!$N$3:$N$2000,(소재DB_RAW!$G$3:$G$2000=$D337)*ISERROR(SEARCH("drop",소재DB_RAW!$C$3:$C$2000))))),"")</f>
        <v/>
      </c>
      <c r="Y337" s="26">
        <f>IFERROR(TEXTJOIN(CHAR(10),TRUE,UNIQUE(FILTER(소재DB_RAW!$N$3:$N$2000&amp;") "&amp;소재DB_RAW!$O$3:$O$2000,(소재DB_RAW!$G$3:$G$2000=$D337)*ISNUMBER(SEARCH("겉감",소재DB_RAW!$M$3:$M$2000))*ISERROR(SEARCH("drop",소재DB_RAW!$C$3:$C$2000))))),"")</f>
        <v/>
      </c>
      <c r="Z337" s="26">
        <f>IFERROR(TEXTJOIN(CHAR(10),TRUE,UNIQUE(FILTER(소재DB_RAW!$N$3:$N$2000&amp;") "&amp;소재DB_RAW!$O$3:$O$2000,(소재DB_RAW!$G$3:$G$2000=$D337)*ISNUMBER(SEARCH("안감",소재DB_RAW!$M$3:$M$2000))*ISERROR(SEARCH("drop",소재DB_RAW!$C$3:$C$2000))))),"")</f>
        <v/>
      </c>
      <c r="AA337" s="22">
        <f>IFERROR(MAX(FILTER(소재DB_RAW!$AK$3:$AK$2000,(소재DB_RAW!$G$3:$G$2000=$D337)*ISERROR(SEARCH("drop",소재DB_RAW!$C$3:$C$2000))*(소재DB_RAW!$AK$3:$AK$2000&lt;&gt;""))),"")</f>
        <v/>
      </c>
      <c r="AB337" s="27" t="n">
        <v>0</v>
      </c>
      <c r="AC337" s="27" t="n">
        <v>9513420</v>
      </c>
      <c r="AD337" s="27" t="n">
        <v>36960000</v>
      </c>
      <c r="AE337" s="20" t="n"/>
      <c r="AF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G337" s="19">
        <f>IF($K337="","",IF(OR(LEFT($AF337,2)="작지",LEFT($AF337,4)="소재입고"),IF(LEFT($G337,1)="S","★ 납기위험(S코드)","◆ 지연주의"),IF($AF337="정상","✓ 정상","? 확인필요")))</f>
        <v/>
      </c>
      <c r="AH337" s="21" t="n"/>
      <c r="AI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19">
        <f>IF(COUNTIF(EDW_RAW!$A$2:$A$1500,$D338)=0,"",IF(COUNTIFS(EDW_RAW!$A$2:$A$1500,$D338,EDW_RAW!$R$2:$R$1500,"&lt;&gt;~",EDW_RAW!$R$2:$R$1500,"&lt;&gt;")=COUNTIF(EDW_RAW!$A$2:$A$1500,$D338),"O",IF(COUNTIFS(EDW_RAW!$A$2:$A$1500,$D338,EDW_RAW!$R$2:$R$1500,"&lt;&gt;~",EDW_RAW!$R$2:$R$1500,"&lt;&gt;")&gt;0,"부분","X")))</f>
        <v/>
      </c>
      <c r="R338" s="19">
        <f>IF(COUNTIF(EDW_RAW!$A$2:$A$1500,$D338)=0,"",IF(COUNTIFS(EDW_RAW!$A$2:$A$1500,$D338,EDW_RAW!$U$2:$U$1500,"&lt;&gt;~",EDW_RAW!$U$2:$U$1500,"&lt;&gt;")=COUNTIF(EDW_RAW!$A$2:$A$1500,$D338),"O",IF(COUNTIFS(EDW_RAW!$A$2:$A$1500,$D338,EDW_RAW!$U$2:$U$1500,"&lt;&gt;~",EDW_RAW!$U$2:$U$1500,"&lt;&gt;")&gt;0,"부분","X")))</f>
        <v/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",TRUE,UNIQUE(FILTER(소재DB_RAW!$K$3:$K$2000,(소재DB_RAW!$G$3:$G$2000=$D338)*ISERROR(SEARCH("drop",소재DB_RAW!$C$3:$C$2000))))),"")</f>
        <v/>
      </c>
      <c r="W338" s="20" t="inlineStr">
        <is>
          <t>베트남</t>
        </is>
      </c>
      <c r="X338" s="20">
        <f>IFERROR(TEXTJOIN(" / ",TRUE,UNIQUE(FILTER(소재DB_RAW!$N$3:$N$2000,(소재DB_RAW!$G$3:$G$2000=$D338)*ISERROR(SEARCH("drop",소재DB_RAW!$C$3:$C$2000))))),"")</f>
        <v/>
      </c>
      <c r="Y338" s="26">
        <f>IFERROR(TEXTJOIN(CHAR(10),TRUE,UNIQUE(FILTER(소재DB_RAW!$N$3:$N$2000&amp;") "&amp;소재DB_RAW!$O$3:$O$2000,(소재DB_RAW!$G$3:$G$2000=$D338)*ISNUMBER(SEARCH("겉감",소재DB_RAW!$M$3:$M$2000))*ISERROR(SEARCH("drop",소재DB_RAW!$C$3:$C$2000))))),"")</f>
        <v/>
      </c>
      <c r="Z338" s="26">
        <f>IFERROR(TEXTJOIN(CHAR(10),TRUE,UNIQUE(FILTER(소재DB_RAW!$N$3:$N$2000&amp;") "&amp;소재DB_RAW!$O$3:$O$2000,(소재DB_RAW!$G$3:$G$2000=$D338)*ISNUMBER(SEARCH("안감",소재DB_RAW!$M$3:$M$2000))*ISERROR(SEARCH("drop",소재DB_RAW!$C$3:$C$2000))))),"")</f>
        <v/>
      </c>
      <c r="AA338" s="22">
        <f>IFERROR(MAX(FILTER(소재DB_RAW!$AK$3:$AK$2000,(소재DB_RAW!$G$3:$G$2000=$D338)*ISERROR(SEARCH("drop",소재DB_RAW!$C$3:$C$2000))*(소재DB_RAW!$AK$3:$AK$2000&lt;&gt;""))),"")</f>
        <v/>
      </c>
      <c r="AB338" s="27" t="n">
        <v>0</v>
      </c>
      <c r="AC338" s="27" t="n">
        <v>0</v>
      </c>
      <c r="AD338" s="27" t="n">
        <v>9800000</v>
      </c>
      <c r="AE338" s="20" t="n"/>
      <c r="AF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G338" s="19">
        <f>IF($K338="","",IF(OR(LEFT($AF338,2)="작지",LEFT($AF338,4)="소재입고"),IF(LEFT($G338,1)="S","★ 납기위험(S코드)","◆ 지연주의"),IF($AF338="정상","✓ 정상","? 확인필요")))</f>
        <v/>
      </c>
      <c r="AH338" s="21" t="n"/>
      <c r="AI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19">
        <f>IF(COUNTIF(EDW_RAW!$A$2:$A$1500,$D339)=0,"",IF(COUNTIFS(EDW_RAW!$A$2:$A$1500,$D339,EDW_RAW!$R$2:$R$1500,"&lt;&gt;~",EDW_RAW!$R$2:$R$1500,"&lt;&gt;")=COUNTIF(EDW_RAW!$A$2:$A$1500,$D339),"O",IF(COUNTIFS(EDW_RAW!$A$2:$A$1500,$D339,EDW_RAW!$R$2:$R$1500,"&lt;&gt;~",EDW_RAW!$R$2:$R$1500,"&lt;&gt;")&gt;0,"부분","X")))</f>
        <v/>
      </c>
      <c r="R339" s="19">
        <f>IF(COUNTIF(EDW_RAW!$A$2:$A$1500,$D339)=0,"",IF(COUNTIFS(EDW_RAW!$A$2:$A$1500,$D339,EDW_RAW!$U$2:$U$1500,"&lt;&gt;~",EDW_RAW!$U$2:$U$1500,"&lt;&gt;")=COUNTIF(EDW_RAW!$A$2:$A$1500,$D339),"O",IF(COUNTIFS(EDW_RAW!$A$2:$A$1500,$D339,EDW_RAW!$U$2:$U$1500,"&lt;&gt;~",EDW_RAW!$U$2:$U$1500,"&lt;&gt;")&gt;0,"부분","X")))</f>
        <v/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",TRUE,UNIQUE(FILTER(소재DB_RAW!$K$3:$K$2000,(소재DB_RAW!$G$3:$G$2000=$D339)*ISERROR(SEARCH("drop",소재DB_RAW!$C$3:$C$2000))))),"")</f>
        <v/>
      </c>
      <c r="W339" s="20" t="inlineStr">
        <is>
          <t>국내</t>
        </is>
      </c>
      <c r="X339" s="20">
        <f>IFERROR(TEXTJOIN(" / ",TRUE,UNIQUE(FILTER(소재DB_RAW!$N$3:$N$2000,(소재DB_RAW!$G$3:$G$2000=$D339)*ISERROR(SEARCH("drop",소재DB_RAW!$C$3:$C$2000))))),"")</f>
        <v/>
      </c>
      <c r="Y339" s="26">
        <f>IFERROR(TEXTJOIN(CHAR(10),TRUE,UNIQUE(FILTER(소재DB_RAW!$N$3:$N$2000&amp;") "&amp;소재DB_RAW!$O$3:$O$2000,(소재DB_RAW!$G$3:$G$2000=$D339)*ISNUMBER(SEARCH("겉감",소재DB_RAW!$M$3:$M$2000))*ISERROR(SEARCH("drop",소재DB_RAW!$C$3:$C$2000))))),"")</f>
        <v/>
      </c>
      <c r="Z339" s="26">
        <f>IFERROR(TEXTJOIN(CHAR(10),TRUE,UNIQUE(FILTER(소재DB_RAW!$N$3:$N$2000&amp;") "&amp;소재DB_RAW!$O$3:$O$2000,(소재DB_RAW!$G$3:$G$2000=$D339)*ISNUMBER(SEARCH("안감",소재DB_RAW!$M$3:$M$2000))*ISERROR(SEARCH("drop",소재DB_RAW!$C$3:$C$2000))))),"")</f>
        <v/>
      </c>
      <c r="AA339" s="22">
        <f>IFERROR(MAX(FILTER(소재DB_RAW!$AK$3:$AK$2000,(소재DB_RAW!$G$3:$G$2000=$D339)*ISERROR(SEARCH("drop",소재DB_RAW!$C$3:$C$2000))*(소재DB_RAW!$AK$3:$AK$2000&lt;&gt;""))),"")</f>
        <v/>
      </c>
      <c r="AB339" s="27" t="n">
        <v>0</v>
      </c>
      <c r="AC339" s="27" t="n">
        <v>10725000</v>
      </c>
      <c r="AD339" s="27" t="n">
        <v>42900000</v>
      </c>
      <c r="AE339" s="20" t="n"/>
      <c r="AF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G339" s="19">
        <f>IF($K339="","",IF(OR(LEFT($AF339,2)="작지",LEFT($AF339,4)="소재입고"),IF(LEFT($G339,1)="S","★ 납기위험(S코드)","◆ 지연주의"),IF($AF339="정상","✓ 정상","? 확인필요")))</f>
        <v/>
      </c>
      <c r="AH339" s="21" t="n"/>
      <c r="AI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19">
        <f>IF(COUNTIF(EDW_RAW!$A$2:$A$1500,$D340)=0,"",IF(COUNTIFS(EDW_RAW!$A$2:$A$1500,$D340,EDW_RAW!$R$2:$R$1500,"&lt;&gt;~",EDW_RAW!$R$2:$R$1500,"&lt;&gt;")=COUNTIF(EDW_RAW!$A$2:$A$1500,$D340),"O",IF(COUNTIFS(EDW_RAW!$A$2:$A$1500,$D340,EDW_RAW!$R$2:$R$1500,"&lt;&gt;~",EDW_RAW!$R$2:$R$1500,"&lt;&gt;")&gt;0,"부분","X")))</f>
        <v/>
      </c>
      <c r="R340" s="19">
        <f>IF(COUNTIF(EDW_RAW!$A$2:$A$1500,$D340)=0,"",IF(COUNTIFS(EDW_RAW!$A$2:$A$1500,$D340,EDW_RAW!$U$2:$U$1500,"&lt;&gt;~",EDW_RAW!$U$2:$U$1500,"&lt;&gt;")=COUNTIF(EDW_RAW!$A$2:$A$1500,$D340),"O",IF(COUNTIFS(EDW_RAW!$A$2:$A$1500,$D340,EDW_RAW!$U$2:$U$1500,"&lt;&gt;~",EDW_RAW!$U$2:$U$1500,"&lt;&gt;")&gt;0,"부분","X")))</f>
        <v/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",TRUE,UNIQUE(FILTER(소재DB_RAW!$K$3:$K$2000,(소재DB_RAW!$G$3:$G$2000=$D340)*ISERROR(SEARCH("drop",소재DB_RAW!$C$3:$C$2000))))),"")</f>
        <v/>
      </c>
      <c r="W340" s="20" t="inlineStr">
        <is>
          <t>국내</t>
        </is>
      </c>
      <c r="X340" s="20">
        <f>IFERROR(TEXTJOIN(" / ",TRUE,UNIQUE(FILTER(소재DB_RAW!$N$3:$N$2000,(소재DB_RAW!$G$3:$G$2000=$D340)*ISERROR(SEARCH("drop",소재DB_RAW!$C$3:$C$2000))))),"")</f>
        <v/>
      </c>
      <c r="Y340" s="26">
        <f>IFERROR(TEXTJOIN(CHAR(10),TRUE,UNIQUE(FILTER(소재DB_RAW!$N$3:$N$2000&amp;") "&amp;소재DB_RAW!$O$3:$O$2000,(소재DB_RAW!$G$3:$G$2000=$D340)*ISNUMBER(SEARCH("겉감",소재DB_RAW!$M$3:$M$2000))*ISERROR(SEARCH("drop",소재DB_RAW!$C$3:$C$2000))))),"")</f>
        <v/>
      </c>
      <c r="Z340" s="26">
        <f>IFERROR(TEXTJOIN(CHAR(10),TRUE,UNIQUE(FILTER(소재DB_RAW!$N$3:$N$2000&amp;") "&amp;소재DB_RAW!$O$3:$O$2000,(소재DB_RAW!$G$3:$G$2000=$D340)*ISNUMBER(SEARCH("안감",소재DB_RAW!$M$3:$M$2000))*ISERROR(SEARCH("drop",소재DB_RAW!$C$3:$C$2000))))),"")</f>
        <v/>
      </c>
      <c r="AA340" s="22">
        <f>IFERROR(MAX(FILTER(소재DB_RAW!$AK$3:$AK$2000,(소재DB_RAW!$G$3:$G$2000=$D340)*ISERROR(SEARCH("drop",소재DB_RAW!$C$3:$C$2000))*(소재DB_RAW!$AK$3:$AK$2000&lt;&gt;""))),"")</f>
        <v/>
      </c>
      <c r="AB340" s="27" t="n">
        <v>0</v>
      </c>
      <c r="AC340" s="27" t="n">
        <v>8775000</v>
      </c>
      <c r="AD340" s="27" t="n">
        <v>35100000</v>
      </c>
      <c r="AE340" s="20" t="n"/>
      <c r="AF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G340" s="19">
        <f>IF($K340="","",IF(OR(LEFT($AF340,2)="작지",LEFT($AF340,4)="소재입고"),IF(LEFT($G340,1)="S","★ 납기위험(S코드)","◆ 지연주의"),IF($AF340="정상","✓ 정상","? 확인필요")))</f>
        <v/>
      </c>
      <c r="AH340" s="21" t="n"/>
      <c r="AI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19">
        <f>IF(COUNTIF(EDW_RAW!$A$2:$A$1500,$D341)=0,"",IF(COUNTIFS(EDW_RAW!$A$2:$A$1500,$D341,EDW_RAW!$R$2:$R$1500,"&lt;&gt;~",EDW_RAW!$R$2:$R$1500,"&lt;&gt;")=COUNTIF(EDW_RAW!$A$2:$A$1500,$D341),"O",IF(COUNTIFS(EDW_RAW!$A$2:$A$1500,$D341,EDW_RAW!$R$2:$R$1500,"&lt;&gt;~",EDW_RAW!$R$2:$R$1500,"&lt;&gt;")&gt;0,"부분","X")))</f>
        <v/>
      </c>
      <c r="R341" s="19">
        <f>IF(COUNTIF(EDW_RAW!$A$2:$A$1500,$D341)=0,"",IF(COUNTIFS(EDW_RAW!$A$2:$A$1500,$D341,EDW_RAW!$U$2:$U$1500,"&lt;&gt;~",EDW_RAW!$U$2:$U$1500,"&lt;&gt;")=COUNTIF(EDW_RAW!$A$2:$A$1500,$D341),"O",IF(COUNTIFS(EDW_RAW!$A$2:$A$1500,$D341,EDW_RAW!$U$2:$U$1500,"&lt;&gt;~",EDW_RAW!$U$2:$U$1500,"&lt;&gt;")&gt;0,"부분","X")))</f>
        <v/>
      </c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",TRUE,UNIQUE(FILTER(소재DB_RAW!$K$3:$K$2000,(소재DB_RAW!$G$3:$G$2000=$D341)*ISERROR(SEARCH("drop",소재DB_RAW!$C$3:$C$2000))))),"")</f>
        <v/>
      </c>
      <c r="W341" s="20" t="inlineStr"/>
      <c r="X341" s="20">
        <f>IFERROR(TEXTJOIN(" / ",TRUE,UNIQUE(FILTER(소재DB_RAW!$N$3:$N$2000,(소재DB_RAW!$G$3:$G$2000=$D341)*ISERROR(SEARCH("drop",소재DB_RAW!$C$3:$C$2000))))),"")</f>
        <v/>
      </c>
      <c r="Y341" s="26">
        <f>IFERROR(TEXTJOIN(CHAR(10),TRUE,UNIQUE(FILTER(소재DB_RAW!$N$3:$N$2000&amp;") "&amp;소재DB_RAW!$O$3:$O$2000,(소재DB_RAW!$G$3:$G$2000=$D341)*ISNUMBER(SEARCH("겉감",소재DB_RAW!$M$3:$M$2000))*ISERROR(SEARCH("drop",소재DB_RAW!$C$3:$C$2000))))),"")</f>
        <v/>
      </c>
      <c r="Z341" s="26">
        <f>IFERROR(TEXTJOIN(CHAR(10),TRUE,UNIQUE(FILTER(소재DB_RAW!$N$3:$N$2000&amp;") "&amp;소재DB_RAW!$O$3:$O$2000,(소재DB_RAW!$G$3:$G$2000=$D341)*ISNUMBER(SEARCH("안감",소재DB_RAW!$M$3:$M$2000))*ISERROR(SEARCH("drop",소재DB_RAW!$C$3:$C$2000))))),"")</f>
        <v/>
      </c>
      <c r="AA341" s="22">
        <f>IFERROR(MAX(FILTER(소재DB_RAW!$AK$3:$AK$2000,(소재DB_RAW!$G$3:$G$2000=$D341)*ISERROR(SEARCH("drop",소재DB_RAW!$C$3:$C$2000))*(소재DB_RAW!$AK$3:$AK$2000&lt;&gt;""))),"")</f>
        <v/>
      </c>
      <c r="AB341" s="27" t="n">
        <v>0</v>
      </c>
      <c r="AC341" s="27" t="n">
        <v>52260000</v>
      </c>
      <c r="AD341" s="27" t="n">
        <v>241800000</v>
      </c>
      <c r="AE341" s="20" t="n"/>
      <c r="AF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G341" s="19">
        <f>IF($K341="","",IF(OR(LEFT($AF341,2)="작지",LEFT($AF341,4)="소재입고"),IF(LEFT($G341,1)="S","★ 납기위험(S코드)","◆ 지연주의"),IF($AF341="정상","✓ 정상","? 확인필요")))</f>
        <v/>
      </c>
      <c r="AH341" s="21" t="n"/>
      <c r="AI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19">
        <f>IF(COUNTIF(EDW_RAW!$A$2:$A$1500,$D342)=0,"",IF(COUNTIFS(EDW_RAW!$A$2:$A$1500,$D342,EDW_RAW!$R$2:$R$1500,"&lt;&gt;~",EDW_RAW!$R$2:$R$1500,"&lt;&gt;")=COUNTIF(EDW_RAW!$A$2:$A$1500,$D342),"O",IF(COUNTIFS(EDW_RAW!$A$2:$A$1500,$D342,EDW_RAW!$R$2:$R$1500,"&lt;&gt;~",EDW_RAW!$R$2:$R$1500,"&lt;&gt;")&gt;0,"부분","X")))</f>
        <v/>
      </c>
      <c r="R342" s="19">
        <f>IF(COUNTIF(EDW_RAW!$A$2:$A$1500,$D342)=0,"",IF(COUNTIFS(EDW_RAW!$A$2:$A$1500,$D342,EDW_RAW!$U$2:$U$1500,"&lt;&gt;~",EDW_RAW!$U$2:$U$1500,"&lt;&gt;")=COUNTIF(EDW_RAW!$A$2:$A$1500,$D342),"O",IF(COUNTIFS(EDW_RAW!$A$2:$A$1500,$D342,EDW_RAW!$U$2:$U$1500,"&lt;&gt;~",EDW_RAW!$U$2:$U$1500,"&lt;&gt;")&gt;0,"부분","X")))</f>
        <v/>
      </c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",TRUE,UNIQUE(FILTER(소재DB_RAW!$K$3:$K$2000,(소재DB_RAW!$G$3:$G$2000=$D342)*ISERROR(SEARCH("drop",소재DB_RAW!$C$3:$C$2000))))),"")</f>
        <v/>
      </c>
      <c r="W342" s="20" t="inlineStr"/>
      <c r="X342" s="20">
        <f>IFERROR(TEXTJOIN(" / ",TRUE,UNIQUE(FILTER(소재DB_RAW!$N$3:$N$2000,(소재DB_RAW!$G$3:$G$2000=$D342)*ISERROR(SEARCH("drop",소재DB_RAW!$C$3:$C$2000))))),"")</f>
        <v/>
      </c>
      <c r="Y342" s="26">
        <f>IFERROR(TEXTJOIN(CHAR(10),TRUE,UNIQUE(FILTER(소재DB_RAW!$N$3:$N$2000&amp;") "&amp;소재DB_RAW!$O$3:$O$2000,(소재DB_RAW!$G$3:$G$2000=$D342)*ISNUMBER(SEARCH("겉감",소재DB_RAW!$M$3:$M$2000))*ISERROR(SEARCH("drop",소재DB_RAW!$C$3:$C$2000))))),"")</f>
        <v/>
      </c>
      <c r="Z342" s="26">
        <f>IFERROR(TEXTJOIN(CHAR(10),TRUE,UNIQUE(FILTER(소재DB_RAW!$N$3:$N$2000&amp;") "&amp;소재DB_RAW!$O$3:$O$2000,(소재DB_RAW!$G$3:$G$2000=$D342)*ISNUMBER(SEARCH("안감",소재DB_RAW!$M$3:$M$2000))*ISERROR(SEARCH("drop",소재DB_RAW!$C$3:$C$2000))))),"")</f>
        <v/>
      </c>
      <c r="AA342" s="22">
        <f>IFERROR(MAX(FILTER(소재DB_RAW!$AK$3:$AK$2000,(소재DB_RAW!$G$3:$G$2000=$D342)*ISERROR(SEARCH("drop",소재DB_RAW!$C$3:$C$2000))*(소재DB_RAW!$AK$3:$AK$2000&lt;&gt;""))),"")</f>
        <v/>
      </c>
      <c r="AB342" s="27" t="n">
        <v>0</v>
      </c>
      <c r="AC342" s="27" t="n">
        <v>48360000</v>
      </c>
      <c r="AD342" s="27" t="n">
        <v>241800000</v>
      </c>
      <c r="AE342" s="20" t="n"/>
      <c r="AF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G342" s="19">
        <f>IF($K342="","",IF(OR(LEFT($AF342,2)="작지",LEFT($AF342,4)="소재입고"),IF(LEFT($G342,1)="S","★ 납기위험(S코드)","◆ 지연주의"),IF($AF342="정상","✓ 정상","? 확인필요")))</f>
        <v/>
      </c>
      <c r="AH342" s="21" t="n"/>
      <c r="AI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19">
        <f>IF(COUNTIF(EDW_RAW!$A$2:$A$1500,$D343)=0,"",IF(COUNTIFS(EDW_RAW!$A$2:$A$1500,$D343,EDW_RAW!$R$2:$R$1500,"&lt;&gt;~",EDW_RAW!$R$2:$R$1500,"&lt;&gt;")=COUNTIF(EDW_RAW!$A$2:$A$1500,$D343),"O",IF(COUNTIFS(EDW_RAW!$A$2:$A$1500,$D343,EDW_RAW!$R$2:$R$1500,"&lt;&gt;~",EDW_RAW!$R$2:$R$1500,"&lt;&gt;")&gt;0,"부분","X")))</f>
        <v/>
      </c>
      <c r="R343" s="19">
        <f>IF(COUNTIF(EDW_RAW!$A$2:$A$1500,$D343)=0,"",IF(COUNTIFS(EDW_RAW!$A$2:$A$1500,$D343,EDW_RAW!$U$2:$U$1500,"&lt;&gt;~",EDW_RAW!$U$2:$U$1500,"&lt;&gt;")=COUNTIF(EDW_RAW!$A$2:$A$1500,$D343),"O",IF(COUNTIFS(EDW_RAW!$A$2:$A$1500,$D343,EDW_RAW!$U$2:$U$1500,"&lt;&gt;~",EDW_RAW!$U$2:$U$1500,"&lt;&gt;")&gt;0,"부분","X")))</f>
        <v/>
      </c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",TRUE,UNIQUE(FILTER(소재DB_RAW!$K$3:$K$2000,(소재DB_RAW!$G$3:$G$2000=$D343)*ISERROR(SEARCH("drop",소재DB_RAW!$C$3:$C$2000))))),"")</f>
        <v/>
      </c>
      <c r="W343" s="20" t="inlineStr"/>
      <c r="X343" s="20">
        <f>IFERROR(TEXTJOIN(" / ",TRUE,UNIQUE(FILTER(소재DB_RAW!$N$3:$N$2000,(소재DB_RAW!$G$3:$G$2000=$D343)*ISERROR(SEARCH("drop",소재DB_RAW!$C$3:$C$2000))))),"")</f>
        <v/>
      </c>
      <c r="Y343" s="26">
        <f>IFERROR(TEXTJOIN(CHAR(10),TRUE,UNIQUE(FILTER(소재DB_RAW!$N$3:$N$2000&amp;") "&amp;소재DB_RAW!$O$3:$O$2000,(소재DB_RAW!$G$3:$G$2000=$D343)*ISNUMBER(SEARCH("겉감",소재DB_RAW!$M$3:$M$2000))*ISERROR(SEARCH("drop",소재DB_RAW!$C$3:$C$2000))))),"")</f>
        <v/>
      </c>
      <c r="Z343" s="26">
        <f>IFERROR(TEXTJOIN(CHAR(10),TRUE,UNIQUE(FILTER(소재DB_RAW!$N$3:$N$2000&amp;") "&amp;소재DB_RAW!$O$3:$O$2000,(소재DB_RAW!$G$3:$G$2000=$D343)*ISNUMBER(SEARCH("안감",소재DB_RAW!$M$3:$M$2000))*ISERROR(SEARCH("drop",소재DB_RAW!$C$3:$C$2000))))),"")</f>
        <v/>
      </c>
      <c r="AA343" s="22">
        <f>IFERROR(MAX(FILTER(소재DB_RAW!$AK$3:$AK$2000,(소재DB_RAW!$G$3:$G$2000=$D343)*ISERROR(SEARCH("drop",소재DB_RAW!$C$3:$C$2000))*(소재DB_RAW!$AK$3:$AK$2000&lt;&gt;""))),"")</f>
        <v/>
      </c>
      <c r="AB343" s="27" t="n">
        <v>0</v>
      </c>
      <c r="AC343" s="27" t="n">
        <v>48360000</v>
      </c>
      <c r="AD343" s="27" t="n">
        <v>241800000</v>
      </c>
      <c r="AE343" s="20" t="n"/>
      <c r="AF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G343" s="19">
        <f>IF($K343="","",IF(OR(LEFT($AF343,2)="작지",LEFT($AF343,4)="소재입고"),IF(LEFT($G343,1)="S","★ 납기위험(S코드)","◆ 지연주의"),IF($AF343="정상","✓ 정상","? 확인필요")))</f>
        <v/>
      </c>
      <c r="AH343" s="21" t="n"/>
      <c r="AI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19">
        <f>IF(COUNTIF(EDW_RAW!$A$2:$A$1500,$D344)=0,"",IF(COUNTIFS(EDW_RAW!$A$2:$A$1500,$D344,EDW_RAW!$R$2:$R$1500,"&lt;&gt;~",EDW_RAW!$R$2:$R$1500,"&lt;&gt;")=COUNTIF(EDW_RAW!$A$2:$A$1500,$D344),"O",IF(COUNTIFS(EDW_RAW!$A$2:$A$1500,$D344,EDW_RAW!$R$2:$R$1500,"&lt;&gt;~",EDW_RAW!$R$2:$R$1500,"&lt;&gt;")&gt;0,"부분","X")))</f>
        <v/>
      </c>
      <c r="R344" s="19">
        <f>IF(COUNTIF(EDW_RAW!$A$2:$A$1500,$D344)=0,"",IF(COUNTIFS(EDW_RAW!$A$2:$A$1500,$D344,EDW_RAW!$U$2:$U$1500,"&lt;&gt;~",EDW_RAW!$U$2:$U$1500,"&lt;&gt;")=COUNTIF(EDW_RAW!$A$2:$A$1500,$D344),"O",IF(COUNTIFS(EDW_RAW!$A$2:$A$1500,$D344,EDW_RAW!$U$2:$U$1500,"&lt;&gt;~",EDW_RAW!$U$2:$U$1500,"&lt;&gt;")&gt;0,"부분","X")))</f>
        <v/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",TRUE,UNIQUE(FILTER(소재DB_RAW!$K$3:$K$2000,(소재DB_RAW!$G$3:$G$2000=$D344)*ISERROR(SEARCH("drop",소재DB_RAW!$C$3:$C$2000))))),"")</f>
        <v/>
      </c>
      <c r="W344" s="20" t="inlineStr">
        <is>
          <t>베트남</t>
        </is>
      </c>
      <c r="X344" s="20">
        <f>IFERROR(TEXTJOIN(" / ",TRUE,UNIQUE(FILTER(소재DB_RAW!$N$3:$N$2000,(소재DB_RAW!$G$3:$G$2000=$D344)*ISERROR(SEARCH("drop",소재DB_RAW!$C$3:$C$2000))))),"")</f>
        <v/>
      </c>
      <c r="Y344" s="26">
        <f>IFERROR(TEXTJOIN(CHAR(10),TRUE,UNIQUE(FILTER(소재DB_RAW!$N$3:$N$2000&amp;") "&amp;소재DB_RAW!$O$3:$O$2000,(소재DB_RAW!$G$3:$G$2000=$D344)*ISNUMBER(SEARCH("겉감",소재DB_RAW!$M$3:$M$2000))*ISERROR(SEARCH("drop",소재DB_RAW!$C$3:$C$2000))))),"")</f>
        <v/>
      </c>
      <c r="Z344" s="26">
        <f>IFERROR(TEXTJOIN(CHAR(10),TRUE,UNIQUE(FILTER(소재DB_RAW!$N$3:$N$2000&amp;") "&amp;소재DB_RAW!$O$3:$O$2000,(소재DB_RAW!$G$3:$G$2000=$D344)*ISNUMBER(SEARCH("안감",소재DB_RAW!$M$3:$M$2000))*ISERROR(SEARCH("drop",소재DB_RAW!$C$3:$C$2000))))),"")</f>
        <v/>
      </c>
      <c r="AA344" s="22">
        <f>IFERROR(MAX(FILTER(소재DB_RAW!$AK$3:$AK$2000,(소재DB_RAW!$G$3:$G$2000=$D344)*ISERROR(SEARCH("drop",소재DB_RAW!$C$3:$C$2000))*(소재DB_RAW!$AK$3:$AK$2000&lt;&gt;""))),"")</f>
        <v/>
      </c>
      <c r="AB344" s="27" t="n">
        <v>1800</v>
      </c>
      <c r="AC344" s="27" t="n">
        <v>86045400</v>
      </c>
      <c r="AD344" s="27" t="n">
        <v>396000000</v>
      </c>
      <c r="AE344" s="20" t="inlineStr">
        <is>
          <t>4월2주</t>
        </is>
      </c>
      <c r="AF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G344" s="19">
        <f>IF($K344="","",IF(OR(LEFT($AF344,2)="작지",LEFT($AF344,4)="소재입고"),IF(LEFT($G344,1)="S","★ 납기위험(S코드)","◆ 지연주의"),IF($AF344="정상","✓ 정상","? 확인필요")))</f>
        <v/>
      </c>
      <c r="AH344" s="21" t="n"/>
      <c r="AI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19">
        <f>IF(COUNTIF(EDW_RAW!$A$2:$A$1500,$D345)=0,"",IF(COUNTIFS(EDW_RAW!$A$2:$A$1500,$D345,EDW_RAW!$R$2:$R$1500,"&lt;&gt;~",EDW_RAW!$R$2:$R$1500,"&lt;&gt;")=COUNTIF(EDW_RAW!$A$2:$A$1500,$D345),"O",IF(COUNTIFS(EDW_RAW!$A$2:$A$1500,$D345,EDW_RAW!$R$2:$R$1500,"&lt;&gt;~",EDW_RAW!$R$2:$R$1500,"&lt;&gt;")&gt;0,"부분","X")))</f>
        <v/>
      </c>
      <c r="R345" s="19">
        <f>IF(COUNTIF(EDW_RAW!$A$2:$A$1500,$D345)=0,"",IF(COUNTIFS(EDW_RAW!$A$2:$A$1500,$D345,EDW_RAW!$U$2:$U$1500,"&lt;&gt;~",EDW_RAW!$U$2:$U$1500,"&lt;&gt;")=COUNTIF(EDW_RAW!$A$2:$A$1500,$D345),"O",IF(COUNTIFS(EDW_RAW!$A$2:$A$1500,$D345,EDW_RAW!$U$2:$U$1500,"&lt;&gt;~",EDW_RAW!$U$2:$U$1500,"&lt;&gt;")&gt;0,"부분","X")))</f>
        <v/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",TRUE,UNIQUE(FILTER(소재DB_RAW!$K$3:$K$2000,(소재DB_RAW!$G$3:$G$2000=$D345)*ISERROR(SEARCH("drop",소재DB_RAW!$C$3:$C$2000))))),"")</f>
        <v/>
      </c>
      <c r="W345" s="20" t="inlineStr">
        <is>
          <t>베트남</t>
        </is>
      </c>
      <c r="X345" s="20">
        <f>IFERROR(TEXTJOIN(" / ",TRUE,UNIQUE(FILTER(소재DB_RAW!$N$3:$N$2000,(소재DB_RAW!$G$3:$G$2000=$D345)*ISERROR(SEARCH("drop",소재DB_RAW!$C$3:$C$2000))))),"")</f>
        <v/>
      </c>
      <c r="Y345" s="26">
        <f>IFERROR(TEXTJOIN(CHAR(10),TRUE,UNIQUE(FILTER(소재DB_RAW!$N$3:$N$2000&amp;") "&amp;소재DB_RAW!$O$3:$O$2000,(소재DB_RAW!$G$3:$G$2000=$D345)*ISNUMBER(SEARCH("겉감",소재DB_RAW!$M$3:$M$2000))*ISERROR(SEARCH("drop",소재DB_RAW!$C$3:$C$2000))))),"")</f>
        <v/>
      </c>
      <c r="Z345" s="26">
        <f>IFERROR(TEXTJOIN(CHAR(10),TRUE,UNIQUE(FILTER(소재DB_RAW!$N$3:$N$2000&amp;") "&amp;소재DB_RAW!$O$3:$O$2000,(소재DB_RAW!$G$3:$G$2000=$D345)*ISNUMBER(SEARCH("안감",소재DB_RAW!$M$3:$M$2000))*ISERROR(SEARCH("drop",소재DB_RAW!$C$3:$C$2000))))),"")</f>
        <v/>
      </c>
      <c r="AA345" s="22">
        <f>IFERROR(MAX(FILTER(소재DB_RAW!$AK$3:$AK$2000,(소재DB_RAW!$G$3:$G$2000=$D345)*ISERROR(SEARCH("drop",소재DB_RAW!$C$3:$C$2000))*(소재DB_RAW!$AK$3:$AK$2000&lt;&gt;""))),"")</f>
        <v/>
      </c>
      <c r="AB345" s="27" t="n">
        <v>800</v>
      </c>
      <c r="AC345" s="27" t="n">
        <v>28512000</v>
      </c>
      <c r="AD345" s="27" t="n">
        <v>126400000</v>
      </c>
      <c r="AE345" s="20" t="inlineStr">
        <is>
          <t>4월2주</t>
        </is>
      </c>
      <c r="AF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G345" s="19">
        <f>IF($K345="","",IF(OR(LEFT($AF345,2)="작지",LEFT($AF345,4)="소재입고"),IF(LEFT($G345,1)="S","★ 납기위험(S코드)","◆ 지연주의"),IF($AF345="정상","✓ 정상","? 확인필요")))</f>
        <v/>
      </c>
      <c r="AH345" s="21" t="n"/>
      <c r="AI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19">
        <f>IF(COUNTIF(EDW_RAW!$A$2:$A$1500,$D346)=0,"",IF(COUNTIFS(EDW_RAW!$A$2:$A$1500,$D346,EDW_RAW!$R$2:$R$1500,"&lt;&gt;~",EDW_RAW!$R$2:$R$1500,"&lt;&gt;")=COUNTIF(EDW_RAW!$A$2:$A$1500,$D346),"O",IF(COUNTIFS(EDW_RAW!$A$2:$A$1500,$D346,EDW_RAW!$R$2:$R$1500,"&lt;&gt;~",EDW_RAW!$R$2:$R$1500,"&lt;&gt;")&gt;0,"부분","X")))</f>
        <v/>
      </c>
      <c r="R346" s="19">
        <f>IF(COUNTIF(EDW_RAW!$A$2:$A$1500,$D346)=0,"",IF(COUNTIFS(EDW_RAW!$A$2:$A$1500,$D346,EDW_RAW!$U$2:$U$1500,"&lt;&gt;~",EDW_RAW!$U$2:$U$1500,"&lt;&gt;")=COUNTIF(EDW_RAW!$A$2:$A$1500,$D346),"O",IF(COUNTIFS(EDW_RAW!$A$2:$A$1500,$D346,EDW_RAW!$U$2:$U$1500,"&lt;&gt;~",EDW_RAW!$U$2:$U$1500,"&lt;&gt;")&gt;0,"부분","X")))</f>
        <v/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",TRUE,UNIQUE(FILTER(소재DB_RAW!$K$3:$K$2000,(소재DB_RAW!$G$3:$G$2000=$D346)*ISERROR(SEARCH("drop",소재DB_RAW!$C$3:$C$2000))))),"")</f>
        <v/>
      </c>
      <c r="W346" s="20" t="inlineStr">
        <is>
          <t>베트남</t>
        </is>
      </c>
      <c r="X346" s="20">
        <f>IFERROR(TEXTJOIN(" / ",TRUE,UNIQUE(FILTER(소재DB_RAW!$N$3:$N$2000,(소재DB_RAW!$G$3:$G$2000=$D346)*ISERROR(SEARCH("drop",소재DB_RAW!$C$3:$C$2000))))),"")</f>
        <v/>
      </c>
      <c r="Y346" s="26">
        <f>IFERROR(TEXTJOIN(CHAR(10),TRUE,UNIQUE(FILTER(소재DB_RAW!$N$3:$N$2000&amp;") "&amp;소재DB_RAW!$O$3:$O$2000,(소재DB_RAW!$G$3:$G$2000=$D346)*ISNUMBER(SEARCH("겉감",소재DB_RAW!$M$3:$M$2000))*ISERROR(SEARCH("drop",소재DB_RAW!$C$3:$C$2000))))),"")</f>
        <v/>
      </c>
      <c r="Z346" s="26">
        <f>IFERROR(TEXTJOIN(CHAR(10),TRUE,UNIQUE(FILTER(소재DB_RAW!$N$3:$N$2000&amp;") "&amp;소재DB_RAW!$O$3:$O$2000,(소재DB_RAW!$G$3:$G$2000=$D346)*ISNUMBER(SEARCH("안감",소재DB_RAW!$M$3:$M$2000))*ISERROR(SEARCH("drop",소재DB_RAW!$C$3:$C$2000))))),"")</f>
        <v/>
      </c>
      <c r="AA346" s="22">
        <f>IFERROR(MAX(FILTER(소재DB_RAW!$AK$3:$AK$2000,(소재DB_RAW!$G$3:$G$2000=$D346)*ISERROR(SEARCH("drop",소재DB_RAW!$C$3:$C$2000))*(소재DB_RAW!$AK$3:$AK$2000&lt;&gt;""))),"")</f>
        <v/>
      </c>
      <c r="AB346" s="27" t="n">
        <v>950</v>
      </c>
      <c r="AC346" s="27" t="n">
        <v>35150000</v>
      </c>
      <c r="AD346" s="27" t="n">
        <v>140600000</v>
      </c>
      <c r="AE346" s="20" t="inlineStr">
        <is>
          <t>4월2주</t>
        </is>
      </c>
      <c r="AF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G346" s="19">
        <f>IF($K346="","",IF(OR(LEFT($AF346,2)="작지",LEFT($AF346,4)="소재입고"),IF(LEFT($G346,1)="S","★ 납기위험(S코드)","◆ 지연주의"),IF($AF346="정상","✓ 정상","? 확인필요")))</f>
        <v/>
      </c>
      <c r="AH346" s="21" t="n"/>
      <c r="AI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19">
        <f>IF(COUNTIF(EDW_RAW!$A$2:$A$1500,$D347)=0,"",IF(COUNTIFS(EDW_RAW!$A$2:$A$1500,$D347,EDW_RAW!$R$2:$R$1500,"&lt;&gt;~",EDW_RAW!$R$2:$R$1500,"&lt;&gt;")=COUNTIF(EDW_RAW!$A$2:$A$1500,$D347),"O",IF(COUNTIFS(EDW_RAW!$A$2:$A$1500,$D347,EDW_RAW!$R$2:$R$1500,"&lt;&gt;~",EDW_RAW!$R$2:$R$1500,"&lt;&gt;")&gt;0,"부분","X")))</f>
        <v/>
      </c>
      <c r="R347" s="19">
        <f>IF(COUNTIF(EDW_RAW!$A$2:$A$1500,$D347)=0,"",IF(COUNTIFS(EDW_RAW!$A$2:$A$1500,$D347,EDW_RAW!$U$2:$U$1500,"&lt;&gt;~",EDW_RAW!$U$2:$U$1500,"&lt;&gt;")=COUNTIF(EDW_RAW!$A$2:$A$1500,$D347),"O",IF(COUNTIFS(EDW_RAW!$A$2:$A$1500,$D347,EDW_RAW!$U$2:$U$1500,"&lt;&gt;~",EDW_RAW!$U$2:$U$1500,"&lt;&gt;")&gt;0,"부분","X")))</f>
        <v/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",TRUE,UNIQUE(FILTER(소재DB_RAW!$K$3:$K$2000,(소재DB_RAW!$G$3:$G$2000=$D347)*ISERROR(SEARCH("drop",소재DB_RAW!$C$3:$C$2000))))),"")</f>
        <v/>
      </c>
      <c r="W347" s="20" t="inlineStr">
        <is>
          <t>베트남</t>
        </is>
      </c>
      <c r="X347" s="20">
        <f>IFERROR(TEXTJOIN(" / ",TRUE,UNIQUE(FILTER(소재DB_RAW!$N$3:$N$2000,(소재DB_RAW!$G$3:$G$2000=$D347)*ISERROR(SEARCH("drop",소재DB_RAW!$C$3:$C$2000))))),"")</f>
        <v/>
      </c>
      <c r="Y347" s="26">
        <f>IFERROR(TEXTJOIN(CHAR(10),TRUE,UNIQUE(FILTER(소재DB_RAW!$N$3:$N$2000&amp;") "&amp;소재DB_RAW!$O$3:$O$2000,(소재DB_RAW!$G$3:$G$2000=$D347)*ISNUMBER(SEARCH("겉감",소재DB_RAW!$M$3:$M$2000))*ISERROR(SEARCH("drop",소재DB_RAW!$C$3:$C$2000))))),"")</f>
        <v/>
      </c>
      <c r="Z347" s="26">
        <f>IFERROR(TEXTJOIN(CHAR(10),TRUE,UNIQUE(FILTER(소재DB_RAW!$N$3:$N$2000&amp;") "&amp;소재DB_RAW!$O$3:$O$2000,(소재DB_RAW!$G$3:$G$2000=$D347)*ISNUMBER(SEARCH("안감",소재DB_RAW!$M$3:$M$2000))*ISERROR(SEARCH("drop",소재DB_RAW!$C$3:$C$2000))))),"")</f>
        <v/>
      </c>
      <c r="AA347" s="22">
        <f>IFERROR(MAX(FILTER(소재DB_RAW!$AK$3:$AK$2000,(소재DB_RAW!$G$3:$G$2000=$D347)*ISERROR(SEARCH("drop",소재DB_RAW!$C$3:$C$2000))*(소재DB_RAW!$AK$3:$AK$2000&lt;&gt;""))),"")</f>
        <v/>
      </c>
      <c r="AB347" s="27" t="n">
        <v>3000</v>
      </c>
      <c r="AC347" s="27" t="n">
        <v>36069000</v>
      </c>
      <c r="AD347" s="27" t="n">
        <v>234000000</v>
      </c>
      <c r="AE347" s="20" t="inlineStr">
        <is>
          <t>4월 2주</t>
        </is>
      </c>
      <c r="AF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G347" s="19">
        <f>IF($K347="","",IF(OR(LEFT($AF347,2)="작지",LEFT($AF347,4)="소재입고"),IF(LEFT($G347,1)="S","★ 납기위험(S코드)","◆ 지연주의"),IF($AF347="정상","✓ 정상","? 확인필요")))</f>
        <v/>
      </c>
      <c r="AH347" s="21" t="n"/>
      <c r="AI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19">
        <f>IF(COUNTIF(EDW_RAW!$A$2:$A$1500,$D348)=0,"",IF(COUNTIFS(EDW_RAW!$A$2:$A$1500,$D348,EDW_RAW!$R$2:$R$1500,"&lt;&gt;~",EDW_RAW!$R$2:$R$1500,"&lt;&gt;")=COUNTIF(EDW_RAW!$A$2:$A$1500,$D348),"O",IF(COUNTIFS(EDW_RAW!$A$2:$A$1500,$D348,EDW_RAW!$R$2:$R$1500,"&lt;&gt;~",EDW_RAW!$R$2:$R$1500,"&lt;&gt;")&gt;0,"부분","X")))</f>
        <v/>
      </c>
      <c r="R348" s="19">
        <f>IF(COUNTIF(EDW_RAW!$A$2:$A$1500,$D348)=0,"",IF(COUNTIFS(EDW_RAW!$A$2:$A$1500,$D348,EDW_RAW!$U$2:$U$1500,"&lt;&gt;~",EDW_RAW!$U$2:$U$1500,"&lt;&gt;")=COUNTIF(EDW_RAW!$A$2:$A$1500,$D348),"O",IF(COUNTIFS(EDW_RAW!$A$2:$A$1500,$D348,EDW_RAW!$U$2:$U$1500,"&lt;&gt;~",EDW_RAW!$U$2:$U$1500,"&lt;&gt;")&gt;0,"부분","X")))</f>
        <v/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",TRUE,UNIQUE(FILTER(소재DB_RAW!$K$3:$K$2000,(소재DB_RAW!$G$3:$G$2000=$D348)*ISERROR(SEARCH("drop",소재DB_RAW!$C$3:$C$2000))))),"")</f>
        <v/>
      </c>
      <c r="W348" s="20" t="inlineStr">
        <is>
          <t>베트남</t>
        </is>
      </c>
      <c r="X348" s="20">
        <f>IFERROR(TEXTJOIN(" / ",TRUE,UNIQUE(FILTER(소재DB_RAW!$N$3:$N$2000,(소재DB_RAW!$G$3:$G$2000=$D348)*ISERROR(SEARCH("drop",소재DB_RAW!$C$3:$C$2000))))),"")</f>
        <v/>
      </c>
      <c r="Y348" s="26">
        <f>IFERROR(TEXTJOIN(CHAR(10),TRUE,UNIQUE(FILTER(소재DB_RAW!$N$3:$N$2000&amp;") "&amp;소재DB_RAW!$O$3:$O$2000,(소재DB_RAW!$G$3:$G$2000=$D348)*ISNUMBER(SEARCH("겉감",소재DB_RAW!$M$3:$M$2000))*ISERROR(SEARCH("drop",소재DB_RAW!$C$3:$C$2000))))),"")</f>
        <v/>
      </c>
      <c r="Z348" s="26">
        <f>IFERROR(TEXTJOIN(CHAR(10),TRUE,UNIQUE(FILTER(소재DB_RAW!$N$3:$N$2000&amp;") "&amp;소재DB_RAW!$O$3:$O$2000,(소재DB_RAW!$G$3:$G$2000=$D348)*ISNUMBER(SEARCH("안감",소재DB_RAW!$M$3:$M$2000))*ISERROR(SEARCH("drop",소재DB_RAW!$C$3:$C$2000))))),"")</f>
        <v/>
      </c>
      <c r="AA348" s="22">
        <f>IFERROR(MAX(FILTER(소재DB_RAW!$AK$3:$AK$2000,(소재DB_RAW!$G$3:$G$2000=$D348)*ISERROR(SEARCH("drop",소재DB_RAW!$C$3:$C$2000))*(소재DB_RAW!$AK$3:$AK$2000&lt;&gt;""))),"")</f>
        <v/>
      </c>
      <c r="AB348" s="27" t="n">
        <v>3000</v>
      </c>
      <c r="AC348" s="27" t="n">
        <v>45762000</v>
      </c>
      <c r="AD348" s="27" t="n">
        <v>264000000</v>
      </c>
      <c r="AE348" s="20" t="inlineStr">
        <is>
          <t>4월 2주</t>
        </is>
      </c>
      <c r="AF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G348" s="19">
        <f>IF($K348="","",IF(OR(LEFT($AF348,2)="작지",LEFT($AF348,4)="소재입고"),IF(LEFT($G348,1)="S","★ 납기위험(S코드)","◆ 지연주의"),IF($AF348="정상","✓ 정상","? 확인필요")))</f>
        <v/>
      </c>
      <c r="AH348" s="21" t="n"/>
      <c r="AI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19">
        <f>IF(COUNTIF(EDW_RAW!$A$2:$A$1500,$D349)=0,"",IF(COUNTIFS(EDW_RAW!$A$2:$A$1500,$D349,EDW_RAW!$R$2:$R$1500,"&lt;&gt;~",EDW_RAW!$R$2:$R$1500,"&lt;&gt;")=COUNTIF(EDW_RAW!$A$2:$A$1500,$D349),"O",IF(COUNTIFS(EDW_RAW!$A$2:$A$1500,$D349,EDW_RAW!$R$2:$R$1500,"&lt;&gt;~",EDW_RAW!$R$2:$R$1500,"&lt;&gt;")&gt;0,"부분","X")))</f>
        <v/>
      </c>
      <c r="R349" s="19">
        <f>IF(COUNTIF(EDW_RAW!$A$2:$A$1500,$D349)=0,"",IF(COUNTIFS(EDW_RAW!$A$2:$A$1500,$D349,EDW_RAW!$U$2:$U$1500,"&lt;&gt;~",EDW_RAW!$U$2:$U$1500,"&lt;&gt;")=COUNTIF(EDW_RAW!$A$2:$A$1500,$D349),"O",IF(COUNTIFS(EDW_RAW!$A$2:$A$1500,$D349,EDW_RAW!$U$2:$U$1500,"&lt;&gt;~",EDW_RAW!$U$2:$U$1500,"&lt;&gt;")&gt;0,"부분","X")))</f>
        <v/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",TRUE,UNIQUE(FILTER(소재DB_RAW!$K$3:$K$2000,(소재DB_RAW!$G$3:$G$2000=$D349)*ISERROR(SEARCH("drop",소재DB_RAW!$C$3:$C$2000))))),"")</f>
        <v/>
      </c>
      <c r="W349" s="20" t="inlineStr">
        <is>
          <t>인도네시아</t>
        </is>
      </c>
      <c r="X349" s="20">
        <f>IFERROR(TEXTJOIN(" / ",TRUE,UNIQUE(FILTER(소재DB_RAW!$N$3:$N$2000,(소재DB_RAW!$G$3:$G$2000=$D349)*ISERROR(SEARCH("drop",소재DB_RAW!$C$3:$C$2000))))),"")</f>
        <v/>
      </c>
      <c r="Y349" s="26">
        <f>IFERROR(TEXTJOIN(CHAR(10),TRUE,UNIQUE(FILTER(소재DB_RAW!$N$3:$N$2000&amp;") "&amp;소재DB_RAW!$O$3:$O$2000,(소재DB_RAW!$G$3:$G$2000=$D349)*ISNUMBER(SEARCH("겉감",소재DB_RAW!$M$3:$M$2000))*ISERROR(SEARCH("drop",소재DB_RAW!$C$3:$C$2000))))),"")</f>
        <v/>
      </c>
      <c r="Z349" s="26">
        <f>IFERROR(TEXTJOIN(CHAR(10),TRUE,UNIQUE(FILTER(소재DB_RAW!$N$3:$N$2000&amp;") "&amp;소재DB_RAW!$O$3:$O$2000,(소재DB_RAW!$G$3:$G$2000=$D349)*ISNUMBER(SEARCH("안감",소재DB_RAW!$M$3:$M$2000))*ISERROR(SEARCH("drop",소재DB_RAW!$C$3:$C$2000))))),"")</f>
        <v/>
      </c>
      <c r="AA349" s="22">
        <f>IFERROR(MAX(FILTER(소재DB_RAW!$AK$3:$AK$2000,(소재DB_RAW!$G$3:$G$2000=$D349)*ISERROR(SEARCH("drop",소재DB_RAW!$C$3:$C$2000))*(소재DB_RAW!$AK$3:$AK$2000&lt;&gt;""))),"")</f>
        <v/>
      </c>
      <c r="AB349" s="27" t="n">
        <v>3000</v>
      </c>
      <c r="AC349" s="27" t="n">
        <v>35889000</v>
      </c>
      <c r="AD349" s="27" t="n">
        <v>234000000</v>
      </c>
      <c r="AE349" s="20" t="inlineStr">
        <is>
          <t>4월 2주</t>
        </is>
      </c>
      <c r="AF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G349" s="19">
        <f>IF($K349="","",IF(OR(LEFT($AF349,2)="작지",LEFT($AF349,4)="소재입고"),IF(LEFT($G349,1)="S","★ 납기위험(S코드)","◆ 지연주의"),IF($AF349="정상","✓ 정상","? 확인필요")))</f>
        <v/>
      </c>
      <c r="AH349" s="21" t="n"/>
      <c r="AI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19">
        <f>IF(COUNTIF(EDW_RAW!$A$2:$A$1500,$D350)=0,"",IF(COUNTIFS(EDW_RAW!$A$2:$A$1500,$D350,EDW_RAW!$R$2:$R$1500,"&lt;&gt;~",EDW_RAW!$R$2:$R$1500,"&lt;&gt;")=COUNTIF(EDW_RAW!$A$2:$A$1500,$D350),"O",IF(COUNTIFS(EDW_RAW!$A$2:$A$1500,$D350,EDW_RAW!$R$2:$R$1500,"&lt;&gt;~",EDW_RAW!$R$2:$R$1500,"&lt;&gt;")&gt;0,"부분","X")))</f>
        <v/>
      </c>
      <c r="R350" s="19">
        <f>IF(COUNTIF(EDW_RAW!$A$2:$A$1500,$D350)=0,"",IF(COUNTIFS(EDW_RAW!$A$2:$A$1500,$D350,EDW_RAW!$U$2:$U$1500,"&lt;&gt;~",EDW_RAW!$U$2:$U$1500,"&lt;&gt;")=COUNTIF(EDW_RAW!$A$2:$A$1500,$D350),"O",IF(COUNTIFS(EDW_RAW!$A$2:$A$1500,$D350,EDW_RAW!$U$2:$U$1500,"&lt;&gt;~",EDW_RAW!$U$2:$U$1500,"&lt;&gt;")&gt;0,"부분","X")))</f>
        <v/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",TRUE,UNIQUE(FILTER(소재DB_RAW!$K$3:$K$2000,(소재DB_RAW!$G$3:$G$2000=$D350)*ISERROR(SEARCH("drop",소재DB_RAW!$C$3:$C$2000))))),"")</f>
        <v/>
      </c>
      <c r="W350" s="20" t="inlineStr">
        <is>
          <t>베트남</t>
        </is>
      </c>
      <c r="X350" s="20">
        <f>IFERROR(TEXTJOIN(" / ",TRUE,UNIQUE(FILTER(소재DB_RAW!$N$3:$N$2000,(소재DB_RAW!$G$3:$G$2000=$D350)*ISERROR(SEARCH("drop",소재DB_RAW!$C$3:$C$2000))))),"")</f>
        <v/>
      </c>
      <c r="Y350" s="26">
        <f>IFERROR(TEXTJOIN(CHAR(10),TRUE,UNIQUE(FILTER(소재DB_RAW!$N$3:$N$2000&amp;") "&amp;소재DB_RAW!$O$3:$O$2000,(소재DB_RAW!$G$3:$G$2000=$D350)*ISNUMBER(SEARCH("겉감",소재DB_RAW!$M$3:$M$2000))*ISERROR(SEARCH("drop",소재DB_RAW!$C$3:$C$2000))))),"")</f>
        <v/>
      </c>
      <c r="Z350" s="26">
        <f>IFERROR(TEXTJOIN(CHAR(10),TRUE,UNIQUE(FILTER(소재DB_RAW!$N$3:$N$2000&amp;") "&amp;소재DB_RAW!$O$3:$O$2000,(소재DB_RAW!$G$3:$G$2000=$D350)*ISNUMBER(SEARCH("안감",소재DB_RAW!$M$3:$M$2000))*ISERROR(SEARCH("drop",소재DB_RAW!$C$3:$C$2000))))),"")</f>
        <v/>
      </c>
      <c r="AA350" s="22">
        <f>IFERROR(MAX(FILTER(소재DB_RAW!$AK$3:$AK$2000,(소재DB_RAW!$G$3:$G$2000=$D350)*ISERROR(SEARCH("drop",소재DB_RAW!$C$3:$C$2000))*(소재DB_RAW!$AK$3:$AK$2000&lt;&gt;""))),"")</f>
        <v/>
      </c>
      <c r="AB350" s="27" t="n">
        <v>3000</v>
      </c>
      <c r="AC350" s="27" t="n">
        <v>87753000</v>
      </c>
      <c r="AD350" s="27" t="n">
        <v>474000000</v>
      </c>
      <c r="AE350" s="20" t="inlineStr">
        <is>
          <t>4월3주</t>
        </is>
      </c>
      <c r="AF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G350" s="19">
        <f>IF($K350="","",IF(OR(LEFT($AF350,2)="작지",LEFT($AF350,4)="소재입고"),IF(LEFT($G350,1)="S","★ 납기위험(S코드)","◆ 지연주의"),IF($AF350="정상","✓ 정상","? 확인필요")))</f>
        <v/>
      </c>
      <c r="AH350" s="21" t="n"/>
      <c r="AI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19">
        <f>IF(COUNTIF(EDW_RAW!$A$2:$A$1500,$D351)=0,"",IF(COUNTIFS(EDW_RAW!$A$2:$A$1500,$D351,EDW_RAW!$R$2:$R$1500,"&lt;&gt;~",EDW_RAW!$R$2:$R$1500,"&lt;&gt;")=COUNTIF(EDW_RAW!$A$2:$A$1500,$D351),"O",IF(COUNTIFS(EDW_RAW!$A$2:$A$1500,$D351,EDW_RAW!$R$2:$R$1500,"&lt;&gt;~",EDW_RAW!$R$2:$R$1500,"&lt;&gt;")&gt;0,"부분","X")))</f>
        <v/>
      </c>
      <c r="R351" s="19">
        <f>IF(COUNTIF(EDW_RAW!$A$2:$A$1500,$D351)=0,"",IF(COUNTIFS(EDW_RAW!$A$2:$A$1500,$D351,EDW_RAW!$U$2:$U$1500,"&lt;&gt;~",EDW_RAW!$U$2:$U$1500,"&lt;&gt;")=COUNTIF(EDW_RAW!$A$2:$A$1500,$D351),"O",IF(COUNTIFS(EDW_RAW!$A$2:$A$1500,$D351,EDW_RAW!$U$2:$U$1500,"&lt;&gt;~",EDW_RAW!$U$2:$U$1500,"&lt;&gt;")&gt;0,"부분","X")))</f>
        <v/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",TRUE,UNIQUE(FILTER(소재DB_RAW!$K$3:$K$2000,(소재DB_RAW!$G$3:$G$2000=$D351)*ISERROR(SEARCH("drop",소재DB_RAW!$C$3:$C$2000))))),"")</f>
        <v/>
      </c>
      <c r="W351" s="20" t="inlineStr">
        <is>
          <t>베트남</t>
        </is>
      </c>
      <c r="X351" s="20">
        <f>IFERROR(TEXTJOIN(" / ",TRUE,UNIQUE(FILTER(소재DB_RAW!$N$3:$N$2000,(소재DB_RAW!$G$3:$G$2000=$D351)*ISERROR(SEARCH("drop",소재DB_RAW!$C$3:$C$2000))))),"")</f>
        <v/>
      </c>
      <c r="Y351" s="26">
        <f>IFERROR(TEXTJOIN(CHAR(10),TRUE,UNIQUE(FILTER(소재DB_RAW!$N$3:$N$2000&amp;") "&amp;소재DB_RAW!$O$3:$O$2000,(소재DB_RAW!$G$3:$G$2000=$D351)*ISNUMBER(SEARCH("겉감",소재DB_RAW!$M$3:$M$2000))*ISERROR(SEARCH("drop",소재DB_RAW!$C$3:$C$2000))))),"")</f>
        <v/>
      </c>
      <c r="Z351" s="26">
        <f>IFERROR(TEXTJOIN(CHAR(10),TRUE,UNIQUE(FILTER(소재DB_RAW!$N$3:$N$2000&amp;") "&amp;소재DB_RAW!$O$3:$O$2000,(소재DB_RAW!$G$3:$G$2000=$D351)*ISNUMBER(SEARCH("안감",소재DB_RAW!$M$3:$M$2000))*ISERROR(SEARCH("drop",소재DB_RAW!$C$3:$C$2000))))),"")</f>
        <v/>
      </c>
      <c r="AA351" s="22">
        <f>IFERROR(MAX(FILTER(소재DB_RAW!$AK$3:$AK$2000,(소재DB_RAW!$G$3:$G$2000=$D351)*ISERROR(SEARCH("drop",소재DB_RAW!$C$3:$C$2000))*(소재DB_RAW!$AK$3:$AK$2000&lt;&gt;""))),"")</f>
        <v/>
      </c>
      <c r="AB351" s="27" t="n">
        <v>7500</v>
      </c>
      <c r="AC351" s="27" t="n">
        <v>168255000</v>
      </c>
      <c r="AD351" s="27" t="n">
        <v>1110000000</v>
      </c>
      <c r="AE351" s="20" t="inlineStr">
        <is>
          <t>4월3주</t>
        </is>
      </c>
      <c r="AF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G351" s="19">
        <f>IF($K351="","",IF(OR(LEFT($AF351,2)="작지",LEFT($AF351,4)="소재입고"),IF(LEFT($G351,1)="S","★ 납기위험(S코드)","◆ 지연주의"),IF($AF351="정상","✓ 정상","? 확인필요")))</f>
        <v/>
      </c>
      <c r="AH351" s="21" t="n"/>
      <c r="AI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19">
        <f>IF(COUNTIF(EDW_RAW!$A$2:$A$1500,$D352)=0,"",IF(COUNTIFS(EDW_RAW!$A$2:$A$1500,$D352,EDW_RAW!$R$2:$R$1500,"&lt;&gt;~",EDW_RAW!$R$2:$R$1500,"&lt;&gt;")=COUNTIF(EDW_RAW!$A$2:$A$1500,$D352),"O",IF(COUNTIFS(EDW_RAW!$A$2:$A$1500,$D352,EDW_RAW!$R$2:$R$1500,"&lt;&gt;~",EDW_RAW!$R$2:$R$1500,"&lt;&gt;")&gt;0,"부분","X")))</f>
        <v/>
      </c>
      <c r="R352" s="19">
        <f>IF(COUNTIF(EDW_RAW!$A$2:$A$1500,$D352)=0,"",IF(COUNTIFS(EDW_RAW!$A$2:$A$1500,$D352,EDW_RAW!$U$2:$U$1500,"&lt;&gt;~",EDW_RAW!$U$2:$U$1500,"&lt;&gt;")=COUNTIF(EDW_RAW!$A$2:$A$1500,$D352),"O",IF(COUNTIFS(EDW_RAW!$A$2:$A$1500,$D352,EDW_RAW!$U$2:$U$1500,"&lt;&gt;~",EDW_RAW!$U$2:$U$1500,"&lt;&gt;")&gt;0,"부분","X")))</f>
        <v/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",TRUE,UNIQUE(FILTER(소재DB_RAW!$K$3:$K$2000,(소재DB_RAW!$G$3:$G$2000=$D352)*ISERROR(SEARCH("drop",소재DB_RAW!$C$3:$C$2000))))),"")</f>
        <v/>
      </c>
      <c r="W352" s="20" t="inlineStr">
        <is>
          <t>베트남</t>
        </is>
      </c>
      <c r="X352" s="20">
        <f>IFERROR(TEXTJOIN(" / ",TRUE,UNIQUE(FILTER(소재DB_RAW!$N$3:$N$2000,(소재DB_RAW!$G$3:$G$2000=$D352)*ISERROR(SEARCH("drop",소재DB_RAW!$C$3:$C$2000))))),"")</f>
        <v/>
      </c>
      <c r="Y352" s="26">
        <f>IFERROR(TEXTJOIN(CHAR(10),TRUE,UNIQUE(FILTER(소재DB_RAW!$N$3:$N$2000&amp;") "&amp;소재DB_RAW!$O$3:$O$2000,(소재DB_RAW!$G$3:$G$2000=$D352)*ISNUMBER(SEARCH("겉감",소재DB_RAW!$M$3:$M$2000))*ISERROR(SEARCH("drop",소재DB_RAW!$C$3:$C$2000))))),"")</f>
        <v/>
      </c>
      <c r="Z352" s="26">
        <f>IFERROR(TEXTJOIN(CHAR(10),TRUE,UNIQUE(FILTER(소재DB_RAW!$N$3:$N$2000&amp;") "&amp;소재DB_RAW!$O$3:$O$2000,(소재DB_RAW!$G$3:$G$2000=$D352)*ISNUMBER(SEARCH("안감",소재DB_RAW!$M$3:$M$2000))*ISERROR(SEARCH("drop",소재DB_RAW!$C$3:$C$2000))))),"")</f>
        <v/>
      </c>
      <c r="AA352" s="22">
        <f>IFERROR(MAX(FILTER(소재DB_RAW!$AK$3:$AK$2000,(소재DB_RAW!$G$3:$G$2000=$D352)*ISERROR(SEARCH("drop",소재DB_RAW!$C$3:$C$2000))*(소재DB_RAW!$AK$3:$AK$2000&lt;&gt;""))),"")</f>
        <v/>
      </c>
      <c r="AB352" s="27" t="n">
        <v>4000</v>
      </c>
      <c r="AC352" s="27" t="n">
        <v>51756000</v>
      </c>
      <c r="AD352" s="27" t="n">
        <v>312000000</v>
      </c>
      <c r="AE352" s="20" t="inlineStr">
        <is>
          <t>4월3주</t>
        </is>
      </c>
      <c r="AF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G352" s="19">
        <f>IF($K352="","",IF(OR(LEFT($AF352,2)="작지",LEFT($AF352,4)="소재입고"),IF(LEFT($G352,1)="S","★ 납기위험(S코드)","◆ 지연주의"),IF($AF352="정상","✓ 정상","? 확인필요")))</f>
        <v/>
      </c>
      <c r="AH352" s="21" t="n"/>
      <c r="AI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19">
        <f>IF(COUNTIF(EDW_RAW!$A$2:$A$1500,$D353)=0,"",IF(COUNTIFS(EDW_RAW!$A$2:$A$1500,$D353,EDW_RAW!$R$2:$R$1500,"&lt;&gt;~",EDW_RAW!$R$2:$R$1500,"&lt;&gt;")=COUNTIF(EDW_RAW!$A$2:$A$1500,$D353),"O",IF(COUNTIFS(EDW_RAW!$A$2:$A$1500,$D353,EDW_RAW!$R$2:$R$1500,"&lt;&gt;~",EDW_RAW!$R$2:$R$1500,"&lt;&gt;")&gt;0,"부분","X")))</f>
        <v/>
      </c>
      <c r="R353" s="19">
        <f>IF(COUNTIF(EDW_RAW!$A$2:$A$1500,$D353)=0,"",IF(COUNTIFS(EDW_RAW!$A$2:$A$1500,$D353,EDW_RAW!$U$2:$U$1500,"&lt;&gt;~",EDW_RAW!$U$2:$U$1500,"&lt;&gt;")=COUNTIF(EDW_RAW!$A$2:$A$1500,$D353),"O",IF(COUNTIFS(EDW_RAW!$A$2:$A$1500,$D353,EDW_RAW!$U$2:$U$1500,"&lt;&gt;~",EDW_RAW!$U$2:$U$1500,"&lt;&gt;")&gt;0,"부분","X")))</f>
        <v/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",TRUE,UNIQUE(FILTER(소재DB_RAW!$K$3:$K$2000,(소재DB_RAW!$G$3:$G$2000=$D353)*ISERROR(SEARCH("drop",소재DB_RAW!$C$3:$C$2000))))),"")</f>
        <v/>
      </c>
      <c r="W353" s="20" t="inlineStr">
        <is>
          <t>인도네시아</t>
        </is>
      </c>
      <c r="X353" s="20">
        <f>IFERROR(TEXTJOIN(" / ",TRUE,UNIQUE(FILTER(소재DB_RAW!$N$3:$N$2000,(소재DB_RAW!$G$3:$G$2000=$D353)*ISERROR(SEARCH("drop",소재DB_RAW!$C$3:$C$2000))))),"")</f>
        <v/>
      </c>
      <c r="Y353" s="26">
        <f>IFERROR(TEXTJOIN(CHAR(10),TRUE,UNIQUE(FILTER(소재DB_RAW!$N$3:$N$2000&amp;") "&amp;소재DB_RAW!$O$3:$O$2000,(소재DB_RAW!$G$3:$G$2000=$D353)*ISNUMBER(SEARCH("겉감",소재DB_RAW!$M$3:$M$2000))*ISERROR(SEARCH("drop",소재DB_RAW!$C$3:$C$2000))))),"")</f>
        <v/>
      </c>
      <c r="Z353" s="26">
        <f>IFERROR(TEXTJOIN(CHAR(10),TRUE,UNIQUE(FILTER(소재DB_RAW!$N$3:$N$2000&amp;") "&amp;소재DB_RAW!$O$3:$O$2000,(소재DB_RAW!$G$3:$G$2000=$D353)*ISNUMBER(SEARCH("안감",소재DB_RAW!$M$3:$M$2000))*ISERROR(SEARCH("drop",소재DB_RAW!$C$3:$C$2000))))),"")</f>
        <v/>
      </c>
      <c r="AA353" s="22">
        <f>IFERROR(MAX(FILTER(소재DB_RAW!$AK$3:$AK$2000,(소재DB_RAW!$G$3:$G$2000=$D353)*ISERROR(SEARCH("drop",소재DB_RAW!$C$3:$C$2000))*(소재DB_RAW!$AK$3:$AK$2000&lt;&gt;""))),"")</f>
        <v/>
      </c>
      <c r="AB353" s="27" t="n">
        <v>3500</v>
      </c>
      <c r="AC353" s="27" t="n">
        <v>57221500</v>
      </c>
      <c r="AD353" s="27" t="n">
        <v>308000000</v>
      </c>
      <c r="AE353" s="20" t="inlineStr">
        <is>
          <t>4월3주</t>
        </is>
      </c>
      <c r="AF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G353" s="19">
        <f>IF($K353="","",IF(OR(LEFT($AF353,2)="작지",LEFT($AF353,4)="소재입고"),IF(LEFT($G353,1)="S","★ 납기위험(S코드)","◆ 지연주의"),IF($AF353="정상","✓ 정상","? 확인필요")))</f>
        <v/>
      </c>
      <c r="AH353" s="21" t="n"/>
      <c r="AI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19">
        <f>IF(COUNTIF(EDW_RAW!$A$2:$A$1500,$D354)=0,"",IF(COUNTIFS(EDW_RAW!$A$2:$A$1500,$D354,EDW_RAW!$R$2:$R$1500,"&lt;&gt;~",EDW_RAW!$R$2:$R$1500,"&lt;&gt;")=COUNTIF(EDW_RAW!$A$2:$A$1500,$D354),"O",IF(COUNTIFS(EDW_RAW!$A$2:$A$1500,$D354,EDW_RAW!$R$2:$R$1500,"&lt;&gt;~",EDW_RAW!$R$2:$R$1500,"&lt;&gt;")&gt;0,"부분","X")))</f>
        <v/>
      </c>
      <c r="R354" s="19">
        <f>IF(COUNTIF(EDW_RAW!$A$2:$A$1500,$D354)=0,"",IF(COUNTIFS(EDW_RAW!$A$2:$A$1500,$D354,EDW_RAW!$U$2:$U$1500,"&lt;&gt;~",EDW_RAW!$U$2:$U$1500,"&lt;&gt;")=COUNTIF(EDW_RAW!$A$2:$A$1500,$D354),"O",IF(COUNTIFS(EDW_RAW!$A$2:$A$1500,$D354,EDW_RAW!$U$2:$U$1500,"&lt;&gt;~",EDW_RAW!$U$2:$U$1500,"&lt;&gt;")&gt;0,"부분","X")))</f>
        <v/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",TRUE,UNIQUE(FILTER(소재DB_RAW!$K$3:$K$2000,(소재DB_RAW!$G$3:$G$2000=$D354)*ISERROR(SEARCH("drop",소재DB_RAW!$C$3:$C$2000))))),"")</f>
        <v/>
      </c>
      <c r="W354" s="20" t="inlineStr">
        <is>
          <t>인도네시아</t>
        </is>
      </c>
      <c r="X354" s="20">
        <f>IFERROR(TEXTJOIN(" / ",TRUE,UNIQUE(FILTER(소재DB_RAW!$N$3:$N$2000,(소재DB_RAW!$G$3:$G$2000=$D354)*ISERROR(SEARCH("drop",소재DB_RAW!$C$3:$C$2000))))),"")</f>
        <v/>
      </c>
      <c r="Y354" s="26">
        <f>IFERROR(TEXTJOIN(CHAR(10),TRUE,UNIQUE(FILTER(소재DB_RAW!$N$3:$N$2000&amp;") "&amp;소재DB_RAW!$O$3:$O$2000,(소재DB_RAW!$G$3:$G$2000=$D354)*ISNUMBER(SEARCH("겉감",소재DB_RAW!$M$3:$M$2000))*ISERROR(SEARCH("drop",소재DB_RAW!$C$3:$C$2000))))),"")</f>
        <v/>
      </c>
      <c r="Z354" s="26">
        <f>IFERROR(TEXTJOIN(CHAR(10),TRUE,UNIQUE(FILTER(소재DB_RAW!$N$3:$N$2000&amp;") "&amp;소재DB_RAW!$O$3:$O$2000,(소재DB_RAW!$G$3:$G$2000=$D354)*ISNUMBER(SEARCH("안감",소재DB_RAW!$M$3:$M$2000))*ISERROR(SEARCH("drop",소재DB_RAW!$C$3:$C$2000))))),"")</f>
        <v/>
      </c>
      <c r="AA354" s="22">
        <f>IFERROR(MAX(FILTER(소재DB_RAW!$AK$3:$AK$2000,(소재DB_RAW!$G$3:$G$2000=$D354)*ISERROR(SEARCH("drop",소재DB_RAW!$C$3:$C$2000))*(소재DB_RAW!$AK$3:$AK$2000&lt;&gt;""))),"")</f>
        <v/>
      </c>
      <c r="AB354" s="27" t="n">
        <v>2500</v>
      </c>
      <c r="AC354" s="27" t="n">
        <v>41857500</v>
      </c>
      <c r="AD354" s="27" t="n">
        <v>220000000</v>
      </c>
      <c r="AE354" s="20" t="inlineStr">
        <is>
          <t>4월3주</t>
        </is>
      </c>
      <c r="AF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G354" s="19">
        <f>IF($K354="","",IF(OR(LEFT($AF354,2)="작지",LEFT($AF354,4)="소재입고"),IF(LEFT($G354,1)="S","★ 납기위험(S코드)","◆ 지연주의"),IF($AF354="정상","✓ 정상","? 확인필요")))</f>
        <v/>
      </c>
      <c r="AH354" s="21" t="n"/>
      <c r="AI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19">
        <f>IF(COUNTIF(EDW_RAW!$A$2:$A$1500,$D355)=0,"",IF(COUNTIFS(EDW_RAW!$A$2:$A$1500,$D355,EDW_RAW!$R$2:$R$1500,"&lt;&gt;~",EDW_RAW!$R$2:$R$1500,"&lt;&gt;")=COUNTIF(EDW_RAW!$A$2:$A$1500,$D355),"O",IF(COUNTIFS(EDW_RAW!$A$2:$A$1500,$D355,EDW_RAW!$R$2:$R$1500,"&lt;&gt;~",EDW_RAW!$R$2:$R$1500,"&lt;&gt;")&gt;0,"부분","X")))</f>
        <v/>
      </c>
      <c r="R355" s="19">
        <f>IF(COUNTIF(EDW_RAW!$A$2:$A$1500,$D355)=0,"",IF(COUNTIFS(EDW_RAW!$A$2:$A$1500,$D355,EDW_RAW!$U$2:$U$1500,"&lt;&gt;~",EDW_RAW!$U$2:$U$1500,"&lt;&gt;")=COUNTIF(EDW_RAW!$A$2:$A$1500,$D355),"O",IF(COUNTIFS(EDW_RAW!$A$2:$A$1500,$D355,EDW_RAW!$U$2:$U$1500,"&lt;&gt;~",EDW_RAW!$U$2:$U$1500,"&lt;&gt;")&gt;0,"부분","X")))</f>
        <v/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",TRUE,UNIQUE(FILTER(소재DB_RAW!$K$3:$K$2000,(소재DB_RAW!$G$3:$G$2000=$D355)*ISERROR(SEARCH("drop",소재DB_RAW!$C$3:$C$2000))))),"")</f>
        <v/>
      </c>
      <c r="W355" s="20" t="inlineStr">
        <is>
          <t>베트남</t>
        </is>
      </c>
      <c r="X355" s="20">
        <f>IFERROR(TEXTJOIN(" / ",TRUE,UNIQUE(FILTER(소재DB_RAW!$N$3:$N$2000,(소재DB_RAW!$G$3:$G$2000=$D355)*ISERROR(SEARCH("drop",소재DB_RAW!$C$3:$C$2000))))),"")</f>
        <v/>
      </c>
      <c r="Y355" s="26">
        <f>IFERROR(TEXTJOIN(CHAR(10),TRUE,UNIQUE(FILTER(소재DB_RAW!$N$3:$N$2000&amp;") "&amp;소재DB_RAW!$O$3:$O$2000,(소재DB_RAW!$G$3:$G$2000=$D355)*ISNUMBER(SEARCH("겉감",소재DB_RAW!$M$3:$M$2000))*ISERROR(SEARCH("drop",소재DB_RAW!$C$3:$C$2000))))),"")</f>
        <v/>
      </c>
      <c r="Z355" s="26">
        <f>IFERROR(TEXTJOIN(CHAR(10),TRUE,UNIQUE(FILTER(소재DB_RAW!$N$3:$N$2000&amp;") "&amp;소재DB_RAW!$O$3:$O$2000,(소재DB_RAW!$G$3:$G$2000=$D355)*ISNUMBER(SEARCH("안감",소재DB_RAW!$M$3:$M$2000))*ISERROR(SEARCH("drop",소재DB_RAW!$C$3:$C$2000))))),"")</f>
        <v/>
      </c>
      <c r="AA355" s="22">
        <f>IFERROR(MAX(FILTER(소재DB_RAW!$AK$3:$AK$2000,(소재DB_RAW!$G$3:$G$2000=$D355)*ISERROR(SEARCH("drop",소재DB_RAW!$C$3:$C$2000))*(소재DB_RAW!$AK$3:$AK$2000&lt;&gt;""))),"")</f>
        <v/>
      </c>
      <c r="AB355" s="27" t="n">
        <v>5000</v>
      </c>
      <c r="AC355" s="27" t="n">
        <v>84510000</v>
      </c>
      <c r="AD355" s="27" t="n">
        <v>440000000</v>
      </c>
      <c r="AE355" s="20" t="inlineStr">
        <is>
          <t>4월3주</t>
        </is>
      </c>
      <c r="AF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G355" s="19">
        <f>IF($K355="","",IF(OR(LEFT($AF355,2)="작지",LEFT($AF355,4)="소재입고"),IF(LEFT($G355,1)="S","★ 납기위험(S코드)","◆ 지연주의"),IF($AF355="정상","✓ 정상","? 확인필요")))</f>
        <v/>
      </c>
      <c r="AH355" s="21" t="n"/>
      <c r="AI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19">
        <f>IF(COUNTIF(EDW_RAW!$A$2:$A$1500,$D356)=0,"",IF(COUNTIFS(EDW_RAW!$A$2:$A$1500,$D356,EDW_RAW!$R$2:$R$1500,"&lt;&gt;~",EDW_RAW!$R$2:$R$1500,"&lt;&gt;")=COUNTIF(EDW_RAW!$A$2:$A$1500,$D356),"O",IF(COUNTIFS(EDW_RAW!$A$2:$A$1500,$D356,EDW_RAW!$R$2:$R$1500,"&lt;&gt;~",EDW_RAW!$R$2:$R$1500,"&lt;&gt;")&gt;0,"부분","X")))</f>
        <v/>
      </c>
      <c r="R356" s="19">
        <f>IF(COUNTIF(EDW_RAW!$A$2:$A$1500,$D356)=0,"",IF(COUNTIFS(EDW_RAW!$A$2:$A$1500,$D356,EDW_RAW!$U$2:$U$1500,"&lt;&gt;~",EDW_RAW!$U$2:$U$1500,"&lt;&gt;")=COUNTIF(EDW_RAW!$A$2:$A$1500,$D356),"O",IF(COUNTIFS(EDW_RAW!$A$2:$A$1500,$D356,EDW_RAW!$U$2:$U$1500,"&lt;&gt;~",EDW_RAW!$U$2:$U$1500,"&lt;&gt;")&gt;0,"부분","X")))</f>
        <v/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",TRUE,UNIQUE(FILTER(소재DB_RAW!$K$3:$K$2000,(소재DB_RAW!$G$3:$G$2000=$D356)*ISERROR(SEARCH("drop",소재DB_RAW!$C$3:$C$2000))))),"")</f>
        <v/>
      </c>
      <c r="W356" s="20" t="inlineStr">
        <is>
          <t>베트남</t>
        </is>
      </c>
      <c r="X356" s="20">
        <f>IFERROR(TEXTJOIN(" / ",TRUE,UNIQUE(FILTER(소재DB_RAW!$N$3:$N$2000,(소재DB_RAW!$G$3:$G$2000=$D356)*ISERROR(SEARCH("drop",소재DB_RAW!$C$3:$C$2000))))),"")</f>
        <v/>
      </c>
      <c r="Y356" s="26">
        <f>IFERROR(TEXTJOIN(CHAR(10),TRUE,UNIQUE(FILTER(소재DB_RAW!$N$3:$N$2000&amp;") "&amp;소재DB_RAW!$O$3:$O$2000,(소재DB_RAW!$G$3:$G$2000=$D356)*ISNUMBER(SEARCH("겉감",소재DB_RAW!$M$3:$M$2000))*ISERROR(SEARCH("drop",소재DB_RAW!$C$3:$C$2000))))),"")</f>
        <v/>
      </c>
      <c r="Z356" s="26">
        <f>IFERROR(TEXTJOIN(CHAR(10),TRUE,UNIQUE(FILTER(소재DB_RAW!$N$3:$N$2000&amp;") "&amp;소재DB_RAW!$O$3:$O$2000,(소재DB_RAW!$G$3:$G$2000=$D356)*ISNUMBER(SEARCH("안감",소재DB_RAW!$M$3:$M$2000))*ISERROR(SEARCH("drop",소재DB_RAW!$C$3:$C$2000))))),"")</f>
        <v/>
      </c>
      <c r="AA356" s="22">
        <f>IFERROR(MAX(FILTER(소재DB_RAW!$AK$3:$AK$2000,(소재DB_RAW!$G$3:$G$2000=$D356)*ISERROR(SEARCH("drop",소재DB_RAW!$C$3:$C$2000))*(소재DB_RAW!$AK$3:$AK$2000&lt;&gt;""))),"")</f>
        <v/>
      </c>
      <c r="AB356" s="27" t="n">
        <v>2500</v>
      </c>
      <c r="AC356" s="27" t="n">
        <v>41855000</v>
      </c>
      <c r="AD356" s="27" t="n">
        <v>195000000</v>
      </c>
      <c r="AE356" s="20" t="inlineStr">
        <is>
          <t>4월3주</t>
        </is>
      </c>
      <c r="AF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G356" s="19">
        <f>IF($K356="","",IF(OR(LEFT($AF356,2)="작지",LEFT($AF356,4)="소재입고"),IF(LEFT($G356,1)="S","★ 납기위험(S코드)","◆ 지연주의"),IF($AF356="정상","✓ 정상","? 확인필요")))</f>
        <v/>
      </c>
      <c r="AH356" s="21" t="n"/>
      <c r="AI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19">
        <f>IF(COUNTIF(EDW_RAW!$A$2:$A$1500,$D357)=0,"",IF(COUNTIFS(EDW_RAW!$A$2:$A$1500,$D357,EDW_RAW!$R$2:$R$1500,"&lt;&gt;~",EDW_RAW!$R$2:$R$1500,"&lt;&gt;")=COUNTIF(EDW_RAW!$A$2:$A$1500,$D357),"O",IF(COUNTIFS(EDW_RAW!$A$2:$A$1500,$D357,EDW_RAW!$R$2:$R$1500,"&lt;&gt;~",EDW_RAW!$R$2:$R$1500,"&lt;&gt;")&gt;0,"부분","X")))</f>
        <v/>
      </c>
      <c r="R357" s="19">
        <f>IF(COUNTIF(EDW_RAW!$A$2:$A$1500,$D357)=0,"",IF(COUNTIFS(EDW_RAW!$A$2:$A$1500,$D357,EDW_RAW!$U$2:$U$1500,"&lt;&gt;~",EDW_RAW!$U$2:$U$1500,"&lt;&gt;")=COUNTIF(EDW_RAW!$A$2:$A$1500,$D357),"O",IF(COUNTIFS(EDW_RAW!$A$2:$A$1500,$D357,EDW_RAW!$U$2:$U$1500,"&lt;&gt;~",EDW_RAW!$U$2:$U$1500,"&lt;&gt;")&gt;0,"부분","X")))</f>
        <v/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",TRUE,UNIQUE(FILTER(소재DB_RAW!$K$3:$K$2000,(소재DB_RAW!$G$3:$G$2000=$D357)*ISERROR(SEARCH("drop",소재DB_RAW!$C$3:$C$2000))))),"")</f>
        <v/>
      </c>
      <c r="W357" s="20" t="inlineStr">
        <is>
          <t>베트남</t>
        </is>
      </c>
      <c r="X357" s="20">
        <f>IFERROR(TEXTJOIN(" / ",TRUE,UNIQUE(FILTER(소재DB_RAW!$N$3:$N$2000,(소재DB_RAW!$G$3:$G$2000=$D357)*ISERROR(SEARCH("drop",소재DB_RAW!$C$3:$C$2000))))),"")</f>
        <v/>
      </c>
      <c r="Y357" s="26">
        <f>IFERROR(TEXTJOIN(CHAR(10),TRUE,UNIQUE(FILTER(소재DB_RAW!$N$3:$N$2000&amp;") "&amp;소재DB_RAW!$O$3:$O$2000,(소재DB_RAW!$G$3:$G$2000=$D357)*ISNUMBER(SEARCH("겉감",소재DB_RAW!$M$3:$M$2000))*ISERROR(SEARCH("drop",소재DB_RAW!$C$3:$C$2000))))),"")</f>
        <v/>
      </c>
      <c r="Z357" s="26">
        <f>IFERROR(TEXTJOIN(CHAR(10),TRUE,UNIQUE(FILTER(소재DB_RAW!$N$3:$N$2000&amp;") "&amp;소재DB_RAW!$O$3:$O$2000,(소재DB_RAW!$G$3:$G$2000=$D357)*ISNUMBER(SEARCH("안감",소재DB_RAW!$M$3:$M$2000))*ISERROR(SEARCH("drop",소재DB_RAW!$C$3:$C$2000))))),"")</f>
        <v/>
      </c>
      <c r="AA357" s="22">
        <f>IFERROR(MAX(FILTER(소재DB_RAW!$AK$3:$AK$2000,(소재DB_RAW!$G$3:$G$2000=$D357)*ISERROR(SEARCH("drop",소재DB_RAW!$C$3:$C$2000))*(소재DB_RAW!$AK$3:$AK$2000&lt;&gt;""))),"")</f>
        <v/>
      </c>
      <c r="AB357" s="27" t="n">
        <v>0</v>
      </c>
      <c r="AC357" s="27" t="n">
        <v>2470588</v>
      </c>
      <c r="AD357" s="27" t="n">
        <v>8400000</v>
      </c>
      <c r="AE357" s="20" t="n"/>
      <c r="AF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G357" s="19">
        <f>IF($K357="","",IF(OR(LEFT($AF357,2)="작지",LEFT($AF357,4)="소재입고"),IF(LEFT($G357,1)="S","★ 납기위험(S코드)","◆ 지연주의"),IF($AF357="정상","✓ 정상","? 확인필요")))</f>
        <v/>
      </c>
      <c r="AH357" s="21" t="n"/>
      <c r="AI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19">
        <f>IF(COUNTIF(EDW_RAW!$A$2:$A$1500,$D358)=0,"",IF(COUNTIFS(EDW_RAW!$A$2:$A$1500,$D358,EDW_RAW!$R$2:$R$1500,"&lt;&gt;~",EDW_RAW!$R$2:$R$1500,"&lt;&gt;")=COUNTIF(EDW_RAW!$A$2:$A$1500,$D358),"O",IF(COUNTIFS(EDW_RAW!$A$2:$A$1500,$D358,EDW_RAW!$R$2:$R$1500,"&lt;&gt;~",EDW_RAW!$R$2:$R$1500,"&lt;&gt;")&gt;0,"부분","X")))</f>
        <v/>
      </c>
      <c r="R358" s="19">
        <f>IF(COUNTIF(EDW_RAW!$A$2:$A$1500,$D358)=0,"",IF(COUNTIFS(EDW_RAW!$A$2:$A$1500,$D358,EDW_RAW!$U$2:$U$1500,"&lt;&gt;~",EDW_RAW!$U$2:$U$1500,"&lt;&gt;")=COUNTIF(EDW_RAW!$A$2:$A$1500,$D358),"O",IF(COUNTIFS(EDW_RAW!$A$2:$A$1500,$D358,EDW_RAW!$U$2:$U$1500,"&lt;&gt;~",EDW_RAW!$U$2:$U$1500,"&lt;&gt;")&gt;0,"부분","X")))</f>
        <v/>
      </c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",TRUE,UNIQUE(FILTER(소재DB_RAW!$K$3:$K$2000,(소재DB_RAW!$G$3:$G$2000=$D358)*ISERROR(SEARCH("drop",소재DB_RAW!$C$3:$C$2000))))),"")</f>
        <v/>
      </c>
      <c r="W358" s="20" t="inlineStr">
        <is>
          <t>중국</t>
        </is>
      </c>
      <c r="X358" s="20">
        <f>IFERROR(TEXTJOIN(" / ",TRUE,UNIQUE(FILTER(소재DB_RAW!$N$3:$N$2000,(소재DB_RAW!$G$3:$G$2000=$D358)*ISERROR(SEARCH("drop",소재DB_RAW!$C$3:$C$2000))))),"")</f>
        <v/>
      </c>
      <c r="Y358" s="26">
        <f>IFERROR(TEXTJOIN(CHAR(10),TRUE,UNIQUE(FILTER(소재DB_RAW!$N$3:$N$2000&amp;") "&amp;소재DB_RAW!$O$3:$O$2000,(소재DB_RAW!$G$3:$G$2000=$D358)*ISNUMBER(SEARCH("겉감",소재DB_RAW!$M$3:$M$2000))*ISERROR(SEARCH("drop",소재DB_RAW!$C$3:$C$2000))))),"")</f>
        <v/>
      </c>
      <c r="Z358" s="26">
        <f>IFERROR(TEXTJOIN(CHAR(10),TRUE,UNIQUE(FILTER(소재DB_RAW!$N$3:$N$2000&amp;") "&amp;소재DB_RAW!$O$3:$O$2000,(소재DB_RAW!$G$3:$G$2000=$D358)*ISNUMBER(SEARCH("안감",소재DB_RAW!$M$3:$M$2000))*ISERROR(SEARCH("drop",소재DB_RAW!$C$3:$C$2000))))),"")</f>
        <v/>
      </c>
      <c r="AA358" s="22">
        <f>IFERROR(MAX(FILTER(소재DB_RAW!$AK$3:$AK$2000,(소재DB_RAW!$G$3:$G$2000=$D358)*ISERROR(SEARCH("drop",소재DB_RAW!$C$3:$C$2000))*(소재DB_RAW!$AK$3:$AK$2000&lt;&gt;""))),"")</f>
        <v/>
      </c>
      <c r="AB358" s="27" t="n">
        <v>0</v>
      </c>
      <c r="AC358" s="27" t="n">
        <v>0</v>
      </c>
      <c r="AD358" s="27" t="n">
        <v>0</v>
      </c>
      <c r="AE358" s="20" t="n"/>
      <c r="AF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G358" s="19">
        <f>IF($K358="","",IF(OR(LEFT($AF358,2)="작지",LEFT($AF358,4)="소재입고"),IF(LEFT($G358,1)="S","★ 납기위험(S코드)","◆ 지연주의"),IF($AF358="정상","✓ 정상","? 확인필요")))</f>
        <v/>
      </c>
      <c r="AH358" s="21" t="n"/>
      <c r="AI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19">
        <f>IF(COUNTIF(EDW_RAW!$A$2:$A$1500,$D359)=0,"",IF(COUNTIFS(EDW_RAW!$A$2:$A$1500,$D359,EDW_RAW!$R$2:$R$1500,"&lt;&gt;~",EDW_RAW!$R$2:$R$1500,"&lt;&gt;")=COUNTIF(EDW_RAW!$A$2:$A$1500,$D359),"O",IF(COUNTIFS(EDW_RAW!$A$2:$A$1500,$D359,EDW_RAW!$R$2:$R$1500,"&lt;&gt;~",EDW_RAW!$R$2:$R$1500,"&lt;&gt;")&gt;0,"부분","X")))</f>
        <v/>
      </c>
      <c r="R359" s="19">
        <f>IF(COUNTIF(EDW_RAW!$A$2:$A$1500,$D359)=0,"",IF(COUNTIFS(EDW_RAW!$A$2:$A$1500,$D359,EDW_RAW!$U$2:$U$1500,"&lt;&gt;~",EDW_RAW!$U$2:$U$1500,"&lt;&gt;")=COUNTIF(EDW_RAW!$A$2:$A$1500,$D359),"O",IF(COUNTIFS(EDW_RAW!$A$2:$A$1500,$D359,EDW_RAW!$U$2:$U$1500,"&lt;&gt;~",EDW_RAW!$U$2:$U$1500,"&lt;&gt;")&gt;0,"부분","X")))</f>
        <v/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",TRUE,UNIQUE(FILTER(소재DB_RAW!$K$3:$K$2000,(소재DB_RAW!$G$3:$G$2000=$D359)*ISERROR(SEARCH("drop",소재DB_RAW!$C$3:$C$2000))))),"")</f>
        <v/>
      </c>
      <c r="W359" s="20" t="inlineStr">
        <is>
          <t>중국</t>
        </is>
      </c>
      <c r="X359" s="20">
        <f>IFERROR(TEXTJOIN(" / ",TRUE,UNIQUE(FILTER(소재DB_RAW!$N$3:$N$2000,(소재DB_RAW!$G$3:$G$2000=$D359)*ISERROR(SEARCH("drop",소재DB_RAW!$C$3:$C$2000))))),"")</f>
        <v/>
      </c>
      <c r="Y359" s="26">
        <f>IFERROR(TEXTJOIN(CHAR(10),TRUE,UNIQUE(FILTER(소재DB_RAW!$N$3:$N$2000&amp;") "&amp;소재DB_RAW!$O$3:$O$2000,(소재DB_RAW!$G$3:$G$2000=$D359)*ISNUMBER(SEARCH("겉감",소재DB_RAW!$M$3:$M$2000))*ISERROR(SEARCH("drop",소재DB_RAW!$C$3:$C$2000))))),"")</f>
        <v/>
      </c>
      <c r="Z359" s="26">
        <f>IFERROR(TEXTJOIN(CHAR(10),TRUE,UNIQUE(FILTER(소재DB_RAW!$N$3:$N$2000&amp;") "&amp;소재DB_RAW!$O$3:$O$2000,(소재DB_RAW!$G$3:$G$2000=$D359)*ISNUMBER(SEARCH("안감",소재DB_RAW!$M$3:$M$2000))*ISERROR(SEARCH("drop",소재DB_RAW!$C$3:$C$2000))))),"")</f>
        <v/>
      </c>
      <c r="AA359" s="22">
        <f>IFERROR(MAX(FILTER(소재DB_RAW!$AK$3:$AK$2000,(소재DB_RAW!$G$3:$G$2000=$D359)*ISERROR(SEARCH("drop",소재DB_RAW!$C$3:$C$2000))*(소재DB_RAW!$AK$3:$AK$2000&lt;&gt;""))),"")</f>
        <v/>
      </c>
      <c r="AB359" s="27" t="n">
        <v>0</v>
      </c>
      <c r="AC359" s="27" t="n">
        <v>8735294</v>
      </c>
      <c r="AD359" s="27" t="n">
        <v>29700000</v>
      </c>
      <c r="AE359" s="20" t="n"/>
      <c r="AF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G359" s="19">
        <f>IF($K359="","",IF(OR(LEFT($AF359,2)="작지",LEFT($AF359,4)="소재입고"),IF(LEFT($G359,1)="S","★ 납기위험(S코드)","◆ 지연주의"),IF($AF359="정상","✓ 정상","? 확인필요")))</f>
        <v/>
      </c>
      <c r="AH359" s="21" t="n"/>
      <c r="AI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19">
        <f>IF(COUNTIF(EDW_RAW!$A$2:$A$1500,$D360)=0,"",IF(COUNTIFS(EDW_RAW!$A$2:$A$1500,$D360,EDW_RAW!$R$2:$R$1500,"&lt;&gt;~",EDW_RAW!$R$2:$R$1500,"&lt;&gt;")=COUNTIF(EDW_RAW!$A$2:$A$1500,$D360),"O",IF(COUNTIFS(EDW_RAW!$A$2:$A$1500,$D360,EDW_RAW!$R$2:$R$1500,"&lt;&gt;~",EDW_RAW!$R$2:$R$1500,"&lt;&gt;")&gt;0,"부분","X")))</f>
        <v/>
      </c>
      <c r="R360" s="19">
        <f>IF(COUNTIF(EDW_RAW!$A$2:$A$1500,$D360)=0,"",IF(COUNTIFS(EDW_RAW!$A$2:$A$1500,$D360,EDW_RAW!$U$2:$U$1500,"&lt;&gt;~",EDW_RAW!$U$2:$U$1500,"&lt;&gt;")=COUNTIF(EDW_RAW!$A$2:$A$1500,$D360),"O",IF(COUNTIFS(EDW_RAW!$A$2:$A$1500,$D360,EDW_RAW!$U$2:$U$1500,"&lt;&gt;~",EDW_RAW!$U$2:$U$1500,"&lt;&gt;")&gt;0,"부분","X")))</f>
        <v/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",TRUE,UNIQUE(FILTER(소재DB_RAW!$K$3:$K$2000,(소재DB_RAW!$G$3:$G$2000=$D360)*ISERROR(SEARCH("drop",소재DB_RAW!$C$3:$C$2000))))),"")</f>
        <v/>
      </c>
      <c r="W360" s="20" t="inlineStr">
        <is>
          <t>국내</t>
        </is>
      </c>
      <c r="X360" s="20">
        <f>IFERROR(TEXTJOIN(" / ",TRUE,UNIQUE(FILTER(소재DB_RAW!$N$3:$N$2000,(소재DB_RAW!$G$3:$G$2000=$D360)*ISERROR(SEARCH("drop",소재DB_RAW!$C$3:$C$2000))))),"")</f>
        <v/>
      </c>
      <c r="Y360" s="26">
        <f>IFERROR(TEXTJOIN(CHAR(10),TRUE,UNIQUE(FILTER(소재DB_RAW!$N$3:$N$2000&amp;") "&amp;소재DB_RAW!$O$3:$O$2000,(소재DB_RAW!$G$3:$G$2000=$D360)*ISNUMBER(SEARCH("겉감",소재DB_RAW!$M$3:$M$2000))*ISERROR(SEARCH("drop",소재DB_RAW!$C$3:$C$2000))))),"")</f>
        <v/>
      </c>
      <c r="Z360" s="26">
        <f>IFERROR(TEXTJOIN(CHAR(10),TRUE,UNIQUE(FILTER(소재DB_RAW!$N$3:$N$2000&amp;") "&amp;소재DB_RAW!$O$3:$O$2000,(소재DB_RAW!$G$3:$G$2000=$D360)*ISNUMBER(SEARCH("안감",소재DB_RAW!$M$3:$M$2000))*ISERROR(SEARCH("drop",소재DB_RAW!$C$3:$C$2000))))),"")</f>
        <v/>
      </c>
      <c r="AA360" s="22">
        <f>IFERROR(MAX(FILTER(소재DB_RAW!$AK$3:$AK$2000,(소재DB_RAW!$G$3:$G$2000=$D360)*ISERROR(SEARCH("drop",소재DB_RAW!$C$3:$C$2000))*(소재DB_RAW!$AK$3:$AK$2000&lt;&gt;""))),"")</f>
        <v/>
      </c>
      <c r="AB360" s="27" t="n">
        <v>0</v>
      </c>
      <c r="AC360" s="27" t="n">
        <v>3764706</v>
      </c>
      <c r="AD360" s="27" t="n">
        <v>12800000</v>
      </c>
      <c r="AE360" s="20" t="n"/>
      <c r="AF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G360" s="19">
        <f>IF($K360="","",IF(OR(LEFT($AF360,2)="작지",LEFT($AF360,4)="소재입고"),IF(LEFT($G360,1)="S","★ 납기위험(S코드)","◆ 지연주의"),IF($AF360="정상","✓ 정상","? 확인필요")))</f>
        <v/>
      </c>
      <c r="AH360" s="21" t="n"/>
      <c r="AI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19">
        <f>IF(COUNTIF(EDW_RAW!$A$2:$A$1500,$D361)=0,"",IF(COUNTIFS(EDW_RAW!$A$2:$A$1500,$D361,EDW_RAW!$R$2:$R$1500,"&lt;&gt;~",EDW_RAW!$R$2:$R$1500,"&lt;&gt;")=COUNTIF(EDW_RAW!$A$2:$A$1500,$D361),"O",IF(COUNTIFS(EDW_RAW!$A$2:$A$1500,$D361,EDW_RAW!$R$2:$R$1500,"&lt;&gt;~",EDW_RAW!$R$2:$R$1500,"&lt;&gt;")&gt;0,"부분","X")))</f>
        <v/>
      </c>
      <c r="R361" s="19">
        <f>IF(COUNTIF(EDW_RAW!$A$2:$A$1500,$D361)=0,"",IF(COUNTIFS(EDW_RAW!$A$2:$A$1500,$D361,EDW_RAW!$U$2:$U$1500,"&lt;&gt;~",EDW_RAW!$U$2:$U$1500,"&lt;&gt;")=COUNTIF(EDW_RAW!$A$2:$A$1500,$D361),"O",IF(COUNTIFS(EDW_RAW!$A$2:$A$1500,$D361,EDW_RAW!$U$2:$U$1500,"&lt;&gt;~",EDW_RAW!$U$2:$U$1500,"&lt;&gt;")&gt;0,"부분","X")))</f>
        <v/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",TRUE,UNIQUE(FILTER(소재DB_RAW!$K$3:$K$2000,(소재DB_RAW!$G$3:$G$2000=$D361)*ISERROR(SEARCH("drop",소재DB_RAW!$C$3:$C$2000))))),"")</f>
        <v/>
      </c>
      <c r="W361" s="20" t="inlineStr">
        <is>
          <t>국내</t>
        </is>
      </c>
      <c r="X361" s="20">
        <f>IFERROR(TEXTJOIN(" / ",TRUE,UNIQUE(FILTER(소재DB_RAW!$N$3:$N$2000,(소재DB_RAW!$G$3:$G$2000=$D361)*ISERROR(SEARCH("drop",소재DB_RAW!$C$3:$C$2000))))),"")</f>
        <v/>
      </c>
      <c r="Y361" s="26">
        <f>IFERROR(TEXTJOIN(CHAR(10),TRUE,UNIQUE(FILTER(소재DB_RAW!$N$3:$N$2000&amp;") "&amp;소재DB_RAW!$O$3:$O$2000,(소재DB_RAW!$G$3:$G$2000=$D361)*ISNUMBER(SEARCH("겉감",소재DB_RAW!$M$3:$M$2000))*ISERROR(SEARCH("drop",소재DB_RAW!$C$3:$C$2000))))),"")</f>
        <v/>
      </c>
      <c r="Z361" s="26">
        <f>IFERROR(TEXTJOIN(CHAR(10),TRUE,UNIQUE(FILTER(소재DB_RAW!$N$3:$N$2000&amp;") "&amp;소재DB_RAW!$O$3:$O$2000,(소재DB_RAW!$G$3:$G$2000=$D361)*ISNUMBER(SEARCH("안감",소재DB_RAW!$M$3:$M$2000))*ISERROR(SEARCH("drop",소재DB_RAW!$C$3:$C$2000))))),"")</f>
        <v/>
      </c>
      <c r="AA361" s="22">
        <f>IFERROR(MAX(FILTER(소재DB_RAW!$AK$3:$AK$2000,(소재DB_RAW!$G$3:$G$2000=$D361)*ISERROR(SEARCH("drop",소재DB_RAW!$C$3:$C$2000))*(소재DB_RAW!$AK$3:$AK$2000&lt;&gt;""))),"")</f>
        <v/>
      </c>
      <c r="AB361" s="27" t="n">
        <v>0</v>
      </c>
      <c r="AC361" s="27" t="n">
        <v>6470588</v>
      </c>
      <c r="AD361" s="27" t="n">
        <v>22000000</v>
      </c>
      <c r="AE361" s="20" t="n"/>
      <c r="AF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G361" s="19">
        <f>IF($K361="","",IF(OR(LEFT($AF361,2)="작지",LEFT($AF361,4)="소재입고"),IF(LEFT($G361,1)="S","★ 납기위험(S코드)","◆ 지연주의"),IF($AF361="정상","✓ 정상","? 확인필요")))</f>
        <v/>
      </c>
      <c r="AH361" s="21" t="n"/>
      <c r="AI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19">
        <f>IF(COUNTIF(EDW_RAW!$A$2:$A$1500,$D362)=0,"",IF(COUNTIFS(EDW_RAW!$A$2:$A$1500,$D362,EDW_RAW!$R$2:$R$1500,"&lt;&gt;~",EDW_RAW!$R$2:$R$1500,"&lt;&gt;")=COUNTIF(EDW_RAW!$A$2:$A$1500,$D362),"O",IF(COUNTIFS(EDW_RAW!$A$2:$A$1500,$D362,EDW_RAW!$R$2:$R$1500,"&lt;&gt;~",EDW_RAW!$R$2:$R$1500,"&lt;&gt;")&gt;0,"부분","X")))</f>
        <v/>
      </c>
      <c r="R362" s="19">
        <f>IF(COUNTIF(EDW_RAW!$A$2:$A$1500,$D362)=0,"",IF(COUNTIFS(EDW_RAW!$A$2:$A$1500,$D362,EDW_RAW!$U$2:$U$1500,"&lt;&gt;~",EDW_RAW!$U$2:$U$1500,"&lt;&gt;")=COUNTIF(EDW_RAW!$A$2:$A$1500,$D362),"O",IF(COUNTIFS(EDW_RAW!$A$2:$A$1500,$D362,EDW_RAW!$U$2:$U$1500,"&lt;&gt;~",EDW_RAW!$U$2:$U$1500,"&lt;&gt;")&gt;0,"부분","X")))</f>
        <v/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",TRUE,UNIQUE(FILTER(소재DB_RAW!$K$3:$K$2000,(소재DB_RAW!$G$3:$G$2000=$D362)*ISERROR(SEARCH("drop",소재DB_RAW!$C$3:$C$2000))))),"")</f>
        <v/>
      </c>
      <c r="W362" s="20" t="inlineStr">
        <is>
          <t>베트남</t>
        </is>
      </c>
      <c r="X362" s="20">
        <f>IFERROR(TEXTJOIN(" / ",TRUE,UNIQUE(FILTER(소재DB_RAW!$N$3:$N$2000,(소재DB_RAW!$G$3:$G$2000=$D362)*ISERROR(SEARCH("drop",소재DB_RAW!$C$3:$C$2000))))),"")</f>
        <v/>
      </c>
      <c r="Y362" s="26">
        <f>IFERROR(TEXTJOIN(CHAR(10),TRUE,UNIQUE(FILTER(소재DB_RAW!$N$3:$N$2000&amp;") "&amp;소재DB_RAW!$O$3:$O$2000,(소재DB_RAW!$G$3:$G$2000=$D362)*ISNUMBER(SEARCH("겉감",소재DB_RAW!$M$3:$M$2000))*ISERROR(SEARCH("drop",소재DB_RAW!$C$3:$C$2000))))),"")</f>
        <v/>
      </c>
      <c r="Z362" s="26">
        <f>IFERROR(TEXTJOIN(CHAR(10),TRUE,UNIQUE(FILTER(소재DB_RAW!$N$3:$N$2000&amp;") "&amp;소재DB_RAW!$O$3:$O$2000,(소재DB_RAW!$G$3:$G$2000=$D362)*ISNUMBER(SEARCH("안감",소재DB_RAW!$M$3:$M$2000))*ISERROR(SEARCH("drop",소재DB_RAW!$C$3:$C$2000))))),"")</f>
        <v/>
      </c>
      <c r="AA362" s="22">
        <f>IFERROR(MAX(FILTER(소재DB_RAW!$AK$3:$AK$2000,(소재DB_RAW!$G$3:$G$2000=$D362)*ISERROR(SEARCH("drop",소재DB_RAW!$C$3:$C$2000))*(소재DB_RAW!$AK$3:$AK$2000&lt;&gt;""))),"")</f>
        <v/>
      </c>
      <c r="AB362" s="27" t="n">
        <v>0</v>
      </c>
      <c r="AC362" s="27" t="n">
        <v>34016700</v>
      </c>
      <c r="AD362" s="27" t="n">
        <v>99000000</v>
      </c>
      <c r="AE362" s="20" t="n"/>
      <c r="AF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G362" s="19">
        <f>IF($K362="","",IF(OR(LEFT($AF362,2)="작지",LEFT($AF362,4)="소재입고"),IF(LEFT($G362,1)="S","★ 납기위험(S코드)","◆ 지연주의"),IF($AF362="정상","✓ 정상","? 확인필요")))</f>
        <v/>
      </c>
      <c r="AH362" s="21" t="n"/>
      <c r="AI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19">
        <f>IF(COUNTIF(EDW_RAW!$A$2:$A$1500,$D363)=0,"",IF(COUNTIFS(EDW_RAW!$A$2:$A$1500,$D363,EDW_RAW!$R$2:$R$1500,"&lt;&gt;~",EDW_RAW!$R$2:$R$1500,"&lt;&gt;")=COUNTIF(EDW_RAW!$A$2:$A$1500,$D363),"O",IF(COUNTIFS(EDW_RAW!$A$2:$A$1500,$D363,EDW_RAW!$R$2:$R$1500,"&lt;&gt;~",EDW_RAW!$R$2:$R$1500,"&lt;&gt;")&gt;0,"부분","X")))</f>
        <v/>
      </c>
      <c r="R363" s="19">
        <f>IF(COUNTIF(EDW_RAW!$A$2:$A$1500,$D363)=0,"",IF(COUNTIFS(EDW_RAW!$A$2:$A$1500,$D363,EDW_RAW!$U$2:$U$1500,"&lt;&gt;~",EDW_RAW!$U$2:$U$1500,"&lt;&gt;")=COUNTIF(EDW_RAW!$A$2:$A$1500,$D363),"O",IF(COUNTIFS(EDW_RAW!$A$2:$A$1500,$D363,EDW_RAW!$U$2:$U$1500,"&lt;&gt;~",EDW_RAW!$U$2:$U$1500,"&lt;&gt;")&gt;0,"부분","X")))</f>
        <v/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",TRUE,UNIQUE(FILTER(소재DB_RAW!$K$3:$K$2000,(소재DB_RAW!$G$3:$G$2000=$D363)*ISERROR(SEARCH("drop",소재DB_RAW!$C$3:$C$2000))))),"")</f>
        <v/>
      </c>
      <c r="W363" s="20" t="inlineStr">
        <is>
          <t>베트남</t>
        </is>
      </c>
      <c r="X363" s="20">
        <f>IFERROR(TEXTJOIN(" / ",TRUE,UNIQUE(FILTER(소재DB_RAW!$N$3:$N$2000,(소재DB_RAW!$G$3:$G$2000=$D363)*ISERROR(SEARCH("drop",소재DB_RAW!$C$3:$C$2000))))),"")</f>
        <v/>
      </c>
      <c r="Y363" s="26">
        <f>IFERROR(TEXTJOIN(CHAR(10),TRUE,UNIQUE(FILTER(소재DB_RAW!$N$3:$N$2000&amp;") "&amp;소재DB_RAW!$O$3:$O$2000,(소재DB_RAW!$G$3:$G$2000=$D363)*ISNUMBER(SEARCH("겉감",소재DB_RAW!$M$3:$M$2000))*ISERROR(SEARCH("drop",소재DB_RAW!$C$3:$C$2000))))),"")</f>
        <v/>
      </c>
      <c r="Z363" s="26">
        <f>IFERROR(TEXTJOIN(CHAR(10),TRUE,UNIQUE(FILTER(소재DB_RAW!$N$3:$N$2000&amp;") "&amp;소재DB_RAW!$O$3:$O$2000,(소재DB_RAW!$G$3:$G$2000=$D363)*ISNUMBER(SEARCH("안감",소재DB_RAW!$M$3:$M$2000))*ISERROR(SEARCH("drop",소재DB_RAW!$C$3:$C$2000))))),"")</f>
        <v/>
      </c>
      <c r="AA363" s="22">
        <f>IFERROR(MAX(FILTER(소재DB_RAW!$AK$3:$AK$2000,(소재DB_RAW!$G$3:$G$2000=$D363)*ISERROR(SEARCH("drop",소재DB_RAW!$C$3:$C$2000))*(소재DB_RAW!$AK$3:$AK$2000&lt;&gt;""))),"")</f>
        <v/>
      </c>
      <c r="AB363" s="27" t="n">
        <v>0</v>
      </c>
      <c r="AC363" s="27" t="n">
        <v>74330850</v>
      </c>
      <c r="AD363" s="27" t="n">
        <v>236500000</v>
      </c>
      <c r="AE363" s="20" t="n"/>
      <c r="AF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G363" s="19">
        <f>IF($K363="","",IF(OR(LEFT($AF363,2)="작지",LEFT($AF363,4)="소재입고"),IF(LEFT($G363,1)="S","★ 납기위험(S코드)","◆ 지연주의"),IF($AF363="정상","✓ 정상","? 확인필요")))</f>
        <v/>
      </c>
      <c r="AH363" s="21" t="n"/>
      <c r="AI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19">
        <f>IF(COUNTIF(EDW_RAW!$A$2:$A$1500,$D364)=0,"",IF(COUNTIFS(EDW_RAW!$A$2:$A$1500,$D364,EDW_RAW!$R$2:$R$1500,"&lt;&gt;~",EDW_RAW!$R$2:$R$1500,"&lt;&gt;")=COUNTIF(EDW_RAW!$A$2:$A$1500,$D364),"O",IF(COUNTIFS(EDW_RAW!$A$2:$A$1500,$D364,EDW_RAW!$R$2:$R$1500,"&lt;&gt;~",EDW_RAW!$R$2:$R$1500,"&lt;&gt;")&gt;0,"부분","X")))</f>
        <v/>
      </c>
      <c r="R364" s="19">
        <f>IF(COUNTIF(EDW_RAW!$A$2:$A$1500,$D364)=0,"",IF(COUNTIFS(EDW_RAW!$A$2:$A$1500,$D364,EDW_RAW!$U$2:$U$1500,"&lt;&gt;~",EDW_RAW!$U$2:$U$1500,"&lt;&gt;")=COUNTIF(EDW_RAW!$A$2:$A$1500,$D364),"O",IF(COUNTIFS(EDW_RAW!$A$2:$A$1500,$D364,EDW_RAW!$U$2:$U$1500,"&lt;&gt;~",EDW_RAW!$U$2:$U$1500,"&lt;&gt;")&gt;0,"부분","X")))</f>
        <v/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",TRUE,UNIQUE(FILTER(소재DB_RAW!$K$3:$K$2000,(소재DB_RAW!$G$3:$G$2000=$D364)*ISERROR(SEARCH("drop",소재DB_RAW!$C$3:$C$2000))))),"")</f>
        <v/>
      </c>
      <c r="W364" s="20" t="inlineStr">
        <is>
          <t>베트남</t>
        </is>
      </c>
      <c r="X364" s="20">
        <f>IFERROR(TEXTJOIN(" / ",TRUE,UNIQUE(FILTER(소재DB_RAW!$N$3:$N$2000,(소재DB_RAW!$G$3:$G$2000=$D364)*ISERROR(SEARCH("drop",소재DB_RAW!$C$3:$C$2000))))),"")</f>
        <v/>
      </c>
      <c r="Y364" s="26">
        <f>IFERROR(TEXTJOIN(CHAR(10),TRUE,UNIQUE(FILTER(소재DB_RAW!$N$3:$N$2000&amp;") "&amp;소재DB_RAW!$O$3:$O$2000,(소재DB_RAW!$G$3:$G$2000=$D364)*ISNUMBER(SEARCH("겉감",소재DB_RAW!$M$3:$M$2000))*ISERROR(SEARCH("drop",소재DB_RAW!$C$3:$C$2000))))),"")</f>
        <v/>
      </c>
      <c r="Z364" s="26">
        <f>IFERROR(TEXTJOIN(CHAR(10),TRUE,UNIQUE(FILTER(소재DB_RAW!$N$3:$N$2000&amp;") "&amp;소재DB_RAW!$O$3:$O$2000,(소재DB_RAW!$G$3:$G$2000=$D364)*ISNUMBER(SEARCH("안감",소재DB_RAW!$M$3:$M$2000))*ISERROR(SEARCH("drop",소재DB_RAW!$C$3:$C$2000))))),"")</f>
        <v/>
      </c>
      <c r="AA364" s="22">
        <f>IFERROR(MAX(FILTER(소재DB_RAW!$AK$3:$AK$2000,(소재DB_RAW!$G$3:$G$2000=$D364)*ISERROR(SEARCH("drop",소재DB_RAW!$C$3:$C$2000))*(소재DB_RAW!$AK$3:$AK$2000&lt;&gt;""))),"")</f>
        <v/>
      </c>
      <c r="AB364" s="27" t="n">
        <v>0</v>
      </c>
      <c r="AC364" s="27" t="n">
        <v>34084400</v>
      </c>
      <c r="AD364" s="27" t="n">
        <v>109200000</v>
      </c>
      <c r="AE364" s="20" t="n"/>
      <c r="AF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G364" s="19">
        <f>IF($K364="","",IF(OR(LEFT($AF364,2)="작지",LEFT($AF364,4)="소재입고"),IF(LEFT($G364,1)="S","★ 납기위험(S코드)","◆ 지연주의"),IF($AF364="정상","✓ 정상","? 확인필요")))</f>
        <v/>
      </c>
      <c r="AH364" s="21" t="n"/>
      <c r="AI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19">
        <f>IF(COUNTIF(EDW_RAW!$A$2:$A$1500,$D365)=0,"",IF(COUNTIFS(EDW_RAW!$A$2:$A$1500,$D365,EDW_RAW!$R$2:$R$1500,"&lt;&gt;~",EDW_RAW!$R$2:$R$1500,"&lt;&gt;")=COUNTIF(EDW_RAW!$A$2:$A$1500,$D365),"O",IF(COUNTIFS(EDW_RAW!$A$2:$A$1500,$D365,EDW_RAW!$R$2:$R$1500,"&lt;&gt;~",EDW_RAW!$R$2:$R$1500,"&lt;&gt;")&gt;0,"부분","X")))</f>
        <v/>
      </c>
      <c r="R365" s="19">
        <f>IF(COUNTIF(EDW_RAW!$A$2:$A$1500,$D365)=0,"",IF(COUNTIFS(EDW_RAW!$A$2:$A$1500,$D365,EDW_RAW!$U$2:$U$1500,"&lt;&gt;~",EDW_RAW!$U$2:$U$1500,"&lt;&gt;")=COUNTIF(EDW_RAW!$A$2:$A$1500,$D365),"O",IF(COUNTIFS(EDW_RAW!$A$2:$A$1500,$D365,EDW_RAW!$U$2:$U$1500,"&lt;&gt;~",EDW_RAW!$U$2:$U$1500,"&lt;&gt;")&gt;0,"부분","X")))</f>
        <v/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",TRUE,UNIQUE(FILTER(소재DB_RAW!$K$3:$K$2000,(소재DB_RAW!$G$3:$G$2000=$D365)*ISERROR(SEARCH("drop",소재DB_RAW!$C$3:$C$2000))))),"")</f>
        <v/>
      </c>
      <c r="W365" s="20" t="inlineStr">
        <is>
          <t>베트남</t>
        </is>
      </c>
      <c r="X365" s="20">
        <f>IFERROR(TEXTJOIN(" / ",TRUE,UNIQUE(FILTER(소재DB_RAW!$N$3:$N$2000,(소재DB_RAW!$G$3:$G$2000=$D365)*ISERROR(SEARCH("drop",소재DB_RAW!$C$3:$C$2000))))),"")</f>
        <v/>
      </c>
      <c r="Y365" s="26">
        <f>IFERROR(TEXTJOIN(CHAR(10),TRUE,UNIQUE(FILTER(소재DB_RAW!$N$3:$N$2000&amp;") "&amp;소재DB_RAW!$O$3:$O$2000,(소재DB_RAW!$G$3:$G$2000=$D365)*ISNUMBER(SEARCH("겉감",소재DB_RAW!$M$3:$M$2000))*ISERROR(SEARCH("drop",소재DB_RAW!$C$3:$C$2000))))),"")</f>
        <v/>
      </c>
      <c r="Z365" s="26">
        <f>IFERROR(TEXTJOIN(CHAR(10),TRUE,UNIQUE(FILTER(소재DB_RAW!$N$3:$N$2000&amp;") "&amp;소재DB_RAW!$O$3:$O$2000,(소재DB_RAW!$G$3:$G$2000=$D365)*ISNUMBER(SEARCH("안감",소재DB_RAW!$M$3:$M$2000))*ISERROR(SEARCH("drop",소재DB_RAW!$C$3:$C$2000))))),"")</f>
        <v/>
      </c>
      <c r="AA365" s="22">
        <f>IFERROR(MAX(FILTER(소재DB_RAW!$AK$3:$AK$2000,(소재DB_RAW!$G$3:$G$2000=$D365)*ISERROR(SEARCH("drop",소재DB_RAW!$C$3:$C$2000))*(소재DB_RAW!$AK$3:$AK$2000&lt;&gt;""))),"")</f>
        <v/>
      </c>
      <c r="AB365" s="27" t="n">
        <v>0</v>
      </c>
      <c r="AC365" s="27" t="n">
        <v>14295580</v>
      </c>
      <c r="AD365" s="27" t="n">
        <v>44850000</v>
      </c>
      <c r="AE365" s="20" t="n"/>
      <c r="AF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G365" s="19">
        <f>IF($K365="","",IF(OR(LEFT($AF365,2)="작지",LEFT($AF365,4)="소재입고"),IF(LEFT($G365,1)="S","★ 납기위험(S코드)","◆ 지연주의"),IF($AF365="정상","✓ 정상","? 확인필요")))</f>
        <v/>
      </c>
      <c r="AH365" s="21" t="n"/>
      <c r="AI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19">
        <f>IF(COUNTIF(EDW_RAW!$A$2:$A$1500,$D366)=0,"",IF(COUNTIFS(EDW_RAW!$A$2:$A$1500,$D366,EDW_RAW!$R$2:$R$1500,"&lt;&gt;~",EDW_RAW!$R$2:$R$1500,"&lt;&gt;")=COUNTIF(EDW_RAW!$A$2:$A$1500,$D366),"O",IF(COUNTIFS(EDW_RAW!$A$2:$A$1500,$D366,EDW_RAW!$R$2:$R$1500,"&lt;&gt;~",EDW_RAW!$R$2:$R$1500,"&lt;&gt;")&gt;0,"부분","X")))</f>
        <v/>
      </c>
      <c r="R366" s="19">
        <f>IF(COUNTIF(EDW_RAW!$A$2:$A$1500,$D366)=0,"",IF(COUNTIFS(EDW_RAW!$A$2:$A$1500,$D366,EDW_RAW!$U$2:$U$1500,"&lt;&gt;~",EDW_RAW!$U$2:$U$1500,"&lt;&gt;")=COUNTIF(EDW_RAW!$A$2:$A$1500,$D366),"O",IF(COUNTIFS(EDW_RAW!$A$2:$A$1500,$D366,EDW_RAW!$U$2:$U$1500,"&lt;&gt;~",EDW_RAW!$U$2:$U$1500,"&lt;&gt;")&gt;0,"부분","X")))</f>
        <v/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",TRUE,UNIQUE(FILTER(소재DB_RAW!$K$3:$K$2000,(소재DB_RAW!$G$3:$G$2000=$D366)*ISERROR(SEARCH("drop",소재DB_RAW!$C$3:$C$2000))))),"")</f>
        <v/>
      </c>
      <c r="W366" s="20" t="inlineStr">
        <is>
          <t>베트남</t>
        </is>
      </c>
      <c r="X366" s="20">
        <f>IFERROR(TEXTJOIN(" / ",TRUE,UNIQUE(FILTER(소재DB_RAW!$N$3:$N$2000,(소재DB_RAW!$G$3:$G$2000=$D366)*ISERROR(SEARCH("drop",소재DB_RAW!$C$3:$C$2000))))),"")</f>
        <v/>
      </c>
      <c r="Y366" s="26">
        <f>IFERROR(TEXTJOIN(CHAR(10),TRUE,UNIQUE(FILTER(소재DB_RAW!$N$3:$N$2000&amp;") "&amp;소재DB_RAW!$O$3:$O$2000,(소재DB_RAW!$G$3:$G$2000=$D366)*ISNUMBER(SEARCH("겉감",소재DB_RAW!$M$3:$M$2000))*ISERROR(SEARCH("drop",소재DB_RAW!$C$3:$C$2000))))),"")</f>
        <v/>
      </c>
      <c r="Z366" s="26">
        <f>IFERROR(TEXTJOIN(CHAR(10),TRUE,UNIQUE(FILTER(소재DB_RAW!$N$3:$N$2000&amp;") "&amp;소재DB_RAW!$O$3:$O$2000,(소재DB_RAW!$G$3:$G$2000=$D366)*ISNUMBER(SEARCH("안감",소재DB_RAW!$M$3:$M$2000))*ISERROR(SEARCH("drop",소재DB_RAW!$C$3:$C$2000))))),"")</f>
        <v/>
      </c>
      <c r="AA366" s="22">
        <f>IFERROR(MAX(FILTER(소재DB_RAW!$AK$3:$AK$2000,(소재DB_RAW!$G$3:$G$2000=$D366)*ISERROR(SEARCH("drop",소재DB_RAW!$C$3:$C$2000))*(소재DB_RAW!$AK$3:$AK$2000&lt;&gt;""))),"")</f>
        <v/>
      </c>
      <c r="AB366" s="27" t="n">
        <v>0</v>
      </c>
      <c r="AC366" s="27" t="n">
        <v>36809150</v>
      </c>
      <c r="AD366" s="27" t="n">
        <v>112000000</v>
      </c>
      <c r="AE366" s="20" t="n"/>
      <c r="AF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G366" s="19">
        <f>IF($K366="","",IF(OR(LEFT($AF366,2)="작지",LEFT($AF366,4)="소재입고"),IF(LEFT($G366,1)="S","★ 납기위험(S코드)","◆ 지연주의"),IF($AF366="정상","✓ 정상","? 확인필요")))</f>
        <v/>
      </c>
      <c r="AH366" s="21" t="n"/>
      <c r="AI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19">
        <f>IF(COUNTIF(EDW_RAW!$A$2:$A$1500,$D367)=0,"",IF(COUNTIFS(EDW_RAW!$A$2:$A$1500,$D367,EDW_RAW!$R$2:$R$1500,"&lt;&gt;~",EDW_RAW!$R$2:$R$1500,"&lt;&gt;")=COUNTIF(EDW_RAW!$A$2:$A$1500,$D367),"O",IF(COUNTIFS(EDW_RAW!$A$2:$A$1500,$D367,EDW_RAW!$R$2:$R$1500,"&lt;&gt;~",EDW_RAW!$R$2:$R$1500,"&lt;&gt;")&gt;0,"부분","X")))</f>
        <v/>
      </c>
      <c r="R367" s="19">
        <f>IF(COUNTIF(EDW_RAW!$A$2:$A$1500,$D367)=0,"",IF(COUNTIFS(EDW_RAW!$A$2:$A$1500,$D367,EDW_RAW!$U$2:$U$1500,"&lt;&gt;~",EDW_RAW!$U$2:$U$1500,"&lt;&gt;")=COUNTIF(EDW_RAW!$A$2:$A$1500,$D367),"O",IF(COUNTIFS(EDW_RAW!$A$2:$A$1500,$D367,EDW_RAW!$U$2:$U$1500,"&lt;&gt;~",EDW_RAW!$U$2:$U$1500,"&lt;&gt;")&gt;0,"부분","X")))</f>
        <v/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",TRUE,UNIQUE(FILTER(소재DB_RAW!$K$3:$K$2000,(소재DB_RAW!$G$3:$G$2000=$D367)*ISERROR(SEARCH("drop",소재DB_RAW!$C$3:$C$2000))))),"")</f>
        <v/>
      </c>
      <c r="W367" s="20" t="inlineStr">
        <is>
          <t>중국</t>
        </is>
      </c>
      <c r="X367" s="20">
        <f>IFERROR(TEXTJOIN(" / ",TRUE,UNIQUE(FILTER(소재DB_RAW!$N$3:$N$2000,(소재DB_RAW!$G$3:$G$2000=$D367)*ISERROR(SEARCH("drop",소재DB_RAW!$C$3:$C$2000))))),"")</f>
        <v/>
      </c>
      <c r="Y367" s="26">
        <f>IFERROR(TEXTJOIN(CHAR(10),TRUE,UNIQUE(FILTER(소재DB_RAW!$N$3:$N$2000&amp;") "&amp;소재DB_RAW!$O$3:$O$2000,(소재DB_RAW!$G$3:$G$2000=$D367)*ISNUMBER(SEARCH("겉감",소재DB_RAW!$M$3:$M$2000))*ISERROR(SEARCH("drop",소재DB_RAW!$C$3:$C$2000))))),"")</f>
        <v/>
      </c>
      <c r="Z367" s="26">
        <f>IFERROR(TEXTJOIN(CHAR(10),TRUE,UNIQUE(FILTER(소재DB_RAW!$N$3:$N$2000&amp;") "&amp;소재DB_RAW!$O$3:$O$2000,(소재DB_RAW!$G$3:$G$2000=$D367)*ISNUMBER(SEARCH("안감",소재DB_RAW!$M$3:$M$2000))*ISERROR(SEARCH("drop",소재DB_RAW!$C$3:$C$2000))))),"")</f>
        <v/>
      </c>
      <c r="AA367" s="22">
        <f>IFERROR(MAX(FILTER(소재DB_RAW!$AK$3:$AK$2000,(소재DB_RAW!$G$3:$G$2000=$D367)*ISERROR(SEARCH("drop",소재DB_RAW!$C$3:$C$2000))*(소재DB_RAW!$AK$3:$AK$2000&lt;&gt;""))),"")</f>
        <v/>
      </c>
      <c r="AB367" s="27" t="n">
        <v>800</v>
      </c>
      <c r="AC367" s="27" t="n">
        <v>23200000</v>
      </c>
      <c r="AD367" s="27" t="n">
        <v>118400000</v>
      </c>
      <c r="AE367" s="20" t="n"/>
      <c r="AF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G367" s="19">
        <f>IF($K367="","",IF(OR(LEFT($AF367,2)="작지",LEFT($AF367,4)="소재입고"),IF(LEFT($G367,1)="S","★ 납기위험(S코드)","◆ 지연주의"),IF($AF367="정상","✓ 정상","? 확인필요")))</f>
        <v/>
      </c>
      <c r="AH367" s="21" t="n"/>
      <c r="AI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19">
        <f>IF(COUNTIF(EDW_RAW!$A$2:$A$1500,$D368)=0,"",IF(COUNTIFS(EDW_RAW!$A$2:$A$1500,$D368,EDW_RAW!$R$2:$R$1500,"&lt;&gt;~",EDW_RAW!$R$2:$R$1500,"&lt;&gt;")=COUNTIF(EDW_RAW!$A$2:$A$1500,$D368),"O",IF(COUNTIFS(EDW_RAW!$A$2:$A$1500,$D368,EDW_RAW!$R$2:$R$1500,"&lt;&gt;~",EDW_RAW!$R$2:$R$1500,"&lt;&gt;")&gt;0,"부분","X")))</f>
        <v/>
      </c>
      <c r="R368" s="19">
        <f>IF(COUNTIF(EDW_RAW!$A$2:$A$1500,$D368)=0,"",IF(COUNTIFS(EDW_RAW!$A$2:$A$1500,$D368,EDW_RAW!$U$2:$U$1500,"&lt;&gt;~",EDW_RAW!$U$2:$U$1500,"&lt;&gt;")=COUNTIF(EDW_RAW!$A$2:$A$1500,$D368),"O",IF(COUNTIFS(EDW_RAW!$A$2:$A$1500,$D368,EDW_RAW!$U$2:$U$1500,"&lt;&gt;~",EDW_RAW!$U$2:$U$1500,"&lt;&gt;")&gt;0,"부분","X")))</f>
        <v/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",TRUE,UNIQUE(FILTER(소재DB_RAW!$K$3:$K$2000,(소재DB_RAW!$G$3:$G$2000=$D368)*ISERROR(SEARCH("drop",소재DB_RAW!$C$3:$C$2000))))),"")</f>
        <v/>
      </c>
      <c r="W368" s="20" t="inlineStr">
        <is>
          <t>중국</t>
        </is>
      </c>
      <c r="X368" s="20">
        <f>IFERROR(TEXTJOIN(" / ",TRUE,UNIQUE(FILTER(소재DB_RAW!$N$3:$N$2000,(소재DB_RAW!$G$3:$G$2000=$D368)*ISERROR(SEARCH("drop",소재DB_RAW!$C$3:$C$2000))))),"")</f>
        <v/>
      </c>
      <c r="Y368" s="26">
        <f>IFERROR(TEXTJOIN(CHAR(10),TRUE,UNIQUE(FILTER(소재DB_RAW!$N$3:$N$2000&amp;") "&amp;소재DB_RAW!$O$3:$O$2000,(소재DB_RAW!$G$3:$G$2000=$D368)*ISNUMBER(SEARCH("겉감",소재DB_RAW!$M$3:$M$2000))*ISERROR(SEARCH("drop",소재DB_RAW!$C$3:$C$2000))))),"")</f>
        <v/>
      </c>
      <c r="Z368" s="26">
        <f>IFERROR(TEXTJOIN(CHAR(10),TRUE,UNIQUE(FILTER(소재DB_RAW!$N$3:$N$2000&amp;") "&amp;소재DB_RAW!$O$3:$O$2000,(소재DB_RAW!$G$3:$G$2000=$D368)*ISNUMBER(SEARCH("안감",소재DB_RAW!$M$3:$M$2000))*ISERROR(SEARCH("drop",소재DB_RAW!$C$3:$C$2000))))),"")</f>
        <v/>
      </c>
      <c r="AA368" s="22">
        <f>IFERROR(MAX(FILTER(소재DB_RAW!$AK$3:$AK$2000,(소재DB_RAW!$G$3:$G$2000=$D368)*ISERROR(SEARCH("drop",소재DB_RAW!$C$3:$C$2000))*(소재DB_RAW!$AK$3:$AK$2000&lt;&gt;""))),"")</f>
        <v/>
      </c>
      <c r="AB368" s="27" t="n">
        <v>1300</v>
      </c>
      <c r="AC368" s="27" t="n">
        <v>21450000</v>
      </c>
      <c r="AD368" s="27" t="n">
        <v>114400000</v>
      </c>
      <c r="AE368" s="20" t="n"/>
      <c r="AF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G368" s="19">
        <f>IF($K368="","",IF(OR(LEFT($AF368,2)="작지",LEFT($AF368,4)="소재입고"),IF(LEFT($G368,1)="S","★ 납기위험(S코드)","◆ 지연주의"),IF($AF368="정상","✓ 정상","? 확인필요")))</f>
        <v/>
      </c>
      <c r="AH368" s="21" t="n"/>
      <c r="AI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19">
        <f>IF(COUNTIF(EDW_RAW!$A$2:$A$1500,$D369)=0,"",IF(COUNTIFS(EDW_RAW!$A$2:$A$1500,$D369,EDW_RAW!$R$2:$R$1500,"&lt;&gt;~",EDW_RAW!$R$2:$R$1500,"&lt;&gt;")=COUNTIF(EDW_RAW!$A$2:$A$1500,$D369),"O",IF(COUNTIFS(EDW_RAW!$A$2:$A$1500,$D369,EDW_RAW!$R$2:$R$1500,"&lt;&gt;~",EDW_RAW!$R$2:$R$1500,"&lt;&gt;")&gt;0,"부분","X")))</f>
        <v/>
      </c>
      <c r="R369" s="19">
        <f>IF(COUNTIF(EDW_RAW!$A$2:$A$1500,$D369)=0,"",IF(COUNTIFS(EDW_RAW!$A$2:$A$1500,$D369,EDW_RAW!$U$2:$U$1500,"&lt;&gt;~",EDW_RAW!$U$2:$U$1500,"&lt;&gt;")=COUNTIF(EDW_RAW!$A$2:$A$1500,$D369),"O",IF(COUNTIFS(EDW_RAW!$A$2:$A$1500,$D369,EDW_RAW!$U$2:$U$1500,"&lt;&gt;~",EDW_RAW!$U$2:$U$1500,"&lt;&gt;")&gt;0,"부분","X")))</f>
        <v/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",TRUE,UNIQUE(FILTER(소재DB_RAW!$K$3:$K$2000,(소재DB_RAW!$G$3:$G$2000=$D369)*ISERROR(SEARCH("drop",소재DB_RAW!$C$3:$C$2000))))),"")</f>
        <v/>
      </c>
      <c r="W369" s="20" t="inlineStr">
        <is>
          <t>중국</t>
        </is>
      </c>
      <c r="X369" s="20">
        <f>IFERROR(TEXTJOIN(" / ",TRUE,UNIQUE(FILTER(소재DB_RAW!$N$3:$N$2000,(소재DB_RAW!$G$3:$G$2000=$D369)*ISERROR(SEARCH("drop",소재DB_RAW!$C$3:$C$2000))))),"")</f>
        <v/>
      </c>
      <c r="Y369" s="26">
        <f>IFERROR(TEXTJOIN(CHAR(10),TRUE,UNIQUE(FILTER(소재DB_RAW!$N$3:$N$2000&amp;") "&amp;소재DB_RAW!$O$3:$O$2000,(소재DB_RAW!$G$3:$G$2000=$D369)*ISNUMBER(SEARCH("겉감",소재DB_RAW!$M$3:$M$2000))*ISERROR(SEARCH("drop",소재DB_RAW!$C$3:$C$2000))))),"")</f>
        <v/>
      </c>
      <c r="Z369" s="26">
        <f>IFERROR(TEXTJOIN(CHAR(10),TRUE,UNIQUE(FILTER(소재DB_RAW!$N$3:$N$2000&amp;") "&amp;소재DB_RAW!$O$3:$O$2000,(소재DB_RAW!$G$3:$G$2000=$D369)*ISNUMBER(SEARCH("안감",소재DB_RAW!$M$3:$M$2000))*ISERROR(SEARCH("drop",소재DB_RAW!$C$3:$C$2000))))),"")</f>
        <v/>
      </c>
      <c r="AA369" s="22">
        <f>IFERROR(MAX(FILTER(소재DB_RAW!$AK$3:$AK$2000,(소재DB_RAW!$G$3:$G$2000=$D369)*ISERROR(SEARCH("drop",소재DB_RAW!$C$3:$C$2000))*(소재DB_RAW!$AK$3:$AK$2000&lt;&gt;""))),"")</f>
        <v/>
      </c>
      <c r="AB369" s="27" t="n">
        <v>8000</v>
      </c>
      <c r="AC369" s="27" t="n">
        <v>156000000</v>
      </c>
      <c r="AD369" s="27" t="n">
        <v>704000000</v>
      </c>
      <c r="AE369" s="20" t="n"/>
      <c r="AF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G369" s="19">
        <f>IF($K369="","",IF(OR(LEFT($AF369,2)="작지",LEFT($AF369,4)="소재입고"),IF(LEFT($G369,1)="S","★ 납기위험(S코드)","◆ 지연주의"),IF($AF369="정상","✓ 정상","? 확인필요")))</f>
        <v/>
      </c>
      <c r="AH369" s="21" t="n"/>
      <c r="AI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19">
        <f>IF(COUNTIF(EDW_RAW!$A$2:$A$1500,$D370)=0,"",IF(COUNTIFS(EDW_RAW!$A$2:$A$1500,$D370,EDW_RAW!$R$2:$R$1500,"&lt;&gt;~",EDW_RAW!$R$2:$R$1500,"&lt;&gt;")=COUNTIF(EDW_RAW!$A$2:$A$1500,$D370),"O",IF(COUNTIFS(EDW_RAW!$A$2:$A$1500,$D370,EDW_RAW!$R$2:$R$1500,"&lt;&gt;~",EDW_RAW!$R$2:$R$1500,"&lt;&gt;")&gt;0,"부분","X")))</f>
        <v/>
      </c>
      <c r="R370" s="19">
        <f>IF(COUNTIF(EDW_RAW!$A$2:$A$1500,$D370)=0,"",IF(COUNTIFS(EDW_RAW!$A$2:$A$1500,$D370,EDW_RAW!$U$2:$U$1500,"&lt;&gt;~",EDW_RAW!$U$2:$U$1500,"&lt;&gt;")=COUNTIF(EDW_RAW!$A$2:$A$1500,$D370),"O",IF(COUNTIFS(EDW_RAW!$A$2:$A$1500,$D370,EDW_RAW!$U$2:$U$1500,"&lt;&gt;~",EDW_RAW!$U$2:$U$1500,"&lt;&gt;")&gt;0,"부분","X")))</f>
        <v/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",TRUE,UNIQUE(FILTER(소재DB_RAW!$K$3:$K$2000,(소재DB_RAW!$G$3:$G$2000=$D370)*ISERROR(SEARCH("drop",소재DB_RAW!$C$3:$C$2000))))),"")</f>
        <v/>
      </c>
      <c r="W370" s="20" t="inlineStr">
        <is>
          <t>중국</t>
        </is>
      </c>
      <c r="X370" s="20">
        <f>IFERROR(TEXTJOIN(" / ",TRUE,UNIQUE(FILTER(소재DB_RAW!$N$3:$N$2000,(소재DB_RAW!$G$3:$G$2000=$D370)*ISERROR(SEARCH("drop",소재DB_RAW!$C$3:$C$2000))))),"")</f>
        <v/>
      </c>
      <c r="Y370" s="26">
        <f>IFERROR(TEXTJOIN(CHAR(10),TRUE,UNIQUE(FILTER(소재DB_RAW!$N$3:$N$2000&amp;") "&amp;소재DB_RAW!$O$3:$O$2000,(소재DB_RAW!$G$3:$G$2000=$D370)*ISNUMBER(SEARCH("겉감",소재DB_RAW!$M$3:$M$2000))*ISERROR(SEARCH("drop",소재DB_RAW!$C$3:$C$2000))))),"")</f>
        <v/>
      </c>
      <c r="Z370" s="26">
        <f>IFERROR(TEXTJOIN(CHAR(10),TRUE,UNIQUE(FILTER(소재DB_RAW!$N$3:$N$2000&amp;") "&amp;소재DB_RAW!$O$3:$O$2000,(소재DB_RAW!$G$3:$G$2000=$D370)*ISNUMBER(SEARCH("안감",소재DB_RAW!$M$3:$M$2000))*ISERROR(SEARCH("drop",소재DB_RAW!$C$3:$C$2000))))),"")</f>
        <v/>
      </c>
      <c r="AA370" s="22">
        <f>IFERROR(MAX(FILTER(소재DB_RAW!$AK$3:$AK$2000,(소재DB_RAW!$G$3:$G$2000=$D370)*ISERROR(SEARCH("drop",소재DB_RAW!$C$3:$C$2000))*(소재DB_RAW!$AK$3:$AK$2000&lt;&gt;""))),"")</f>
        <v/>
      </c>
      <c r="AB370" s="27" t="n">
        <v>800</v>
      </c>
      <c r="AC370" s="27" t="n">
        <v>25600000</v>
      </c>
      <c r="AD370" s="27" t="n">
        <v>134400000</v>
      </c>
      <c r="AE370" s="20" t="n"/>
      <c r="AF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G370" s="19">
        <f>IF($K370="","",IF(OR(LEFT($AF370,2)="작지",LEFT($AF370,4)="소재입고"),IF(LEFT($G370,1)="S","★ 납기위험(S코드)","◆ 지연주의"),IF($AF370="정상","✓ 정상","? 확인필요")))</f>
        <v/>
      </c>
      <c r="AH370" s="21" t="n"/>
      <c r="AI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19">
        <f>IF(COUNTIF(EDW_RAW!$A$2:$A$1500,$D371)=0,"",IF(COUNTIFS(EDW_RAW!$A$2:$A$1500,$D371,EDW_RAW!$R$2:$R$1500,"&lt;&gt;~",EDW_RAW!$R$2:$R$1500,"&lt;&gt;")=COUNTIF(EDW_RAW!$A$2:$A$1500,$D371),"O",IF(COUNTIFS(EDW_RAW!$A$2:$A$1500,$D371,EDW_RAW!$R$2:$R$1500,"&lt;&gt;~",EDW_RAW!$R$2:$R$1500,"&lt;&gt;")&gt;0,"부분","X")))</f>
        <v/>
      </c>
      <c r="R371" s="19">
        <f>IF(COUNTIF(EDW_RAW!$A$2:$A$1500,$D371)=0,"",IF(COUNTIFS(EDW_RAW!$A$2:$A$1500,$D371,EDW_RAW!$U$2:$U$1500,"&lt;&gt;~",EDW_RAW!$U$2:$U$1500,"&lt;&gt;")=COUNTIF(EDW_RAW!$A$2:$A$1500,$D371),"O",IF(COUNTIFS(EDW_RAW!$A$2:$A$1500,$D371,EDW_RAW!$U$2:$U$1500,"&lt;&gt;~",EDW_RAW!$U$2:$U$1500,"&lt;&gt;")&gt;0,"부분","X")))</f>
        <v/>
      </c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",TRUE,UNIQUE(FILTER(소재DB_RAW!$K$3:$K$2000,(소재DB_RAW!$G$3:$G$2000=$D371)*ISERROR(SEARCH("drop",소재DB_RAW!$C$3:$C$2000))))),"")</f>
        <v/>
      </c>
      <c r="W371" s="20" t="inlineStr">
        <is>
          <t>베트남</t>
        </is>
      </c>
      <c r="X371" s="20">
        <f>IFERROR(TEXTJOIN(" / ",TRUE,UNIQUE(FILTER(소재DB_RAW!$N$3:$N$2000,(소재DB_RAW!$G$3:$G$2000=$D371)*ISERROR(SEARCH("drop",소재DB_RAW!$C$3:$C$2000))))),"")</f>
        <v/>
      </c>
      <c r="Y371" s="26">
        <f>IFERROR(TEXTJOIN(CHAR(10),TRUE,UNIQUE(FILTER(소재DB_RAW!$N$3:$N$2000&amp;") "&amp;소재DB_RAW!$O$3:$O$2000,(소재DB_RAW!$G$3:$G$2000=$D371)*ISNUMBER(SEARCH("겉감",소재DB_RAW!$M$3:$M$2000))*ISERROR(SEARCH("drop",소재DB_RAW!$C$3:$C$2000))))),"")</f>
        <v/>
      </c>
      <c r="Z371" s="26">
        <f>IFERROR(TEXTJOIN(CHAR(10),TRUE,UNIQUE(FILTER(소재DB_RAW!$N$3:$N$2000&amp;") "&amp;소재DB_RAW!$O$3:$O$2000,(소재DB_RAW!$G$3:$G$2000=$D371)*ISNUMBER(SEARCH("안감",소재DB_RAW!$M$3:$M$2000))*ISERROR(SEARCH("drop",소재DB_RAW!$C$3:$C$2000))))),"")</f>
        <v/>
      </c>
      <c r="AA371" s="22">
        <f>IFERROR(MAX(FILTER(소재DB_RAW!$AK$3:$AK$2000,(소재DB_RAW!$G$3:$G$2000=$D371)*ISERROR(SEARCH("drop",소재DB_RAW!$C$3:$C$2000))*(소재DB_RAW!$AK$3:$AK$2000&lt;&gt;""))),"")</f>
        <v/>
      </c>
      <c r="AB371" s="27" t="n">
        <v>3000</v>
      </c>
      <c r="AC371" s="27" t="n">
        <v>29130000</v>
      </c>
      <c r="AD371" s="27" t="n">
        <v>165000000</v>
      </c>
      <c r="AE371" s="20" t="n"/>
      <c r="AF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G371" s="19">
        <f>IF($K371="","",IF(OR(LEFT($AF371,2)="작지",LEFT($AF371,4)="소재입고"),IF(LEFT($G371,1)="S","★ 납기위험(S코드)","◆ 지연주의"),IF($AF371="정상","✓ 정상","? 확인필요")))</f>
        <v/>
      </c>
      <c r="AH371" s="21" t="n"/>
      <c r="AI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19">
        <f>IF(COUNTIF(EDW_RAW!$A$2:$A$1500,$D372)=0,"",IF(COUNTIFS(EDW_RAW!$A$2:$A$1500,$D372,EDW_RAW!$R$2:$R$1500,"&lt;&gt;~",EDW_RAW!$R$2:$R$1500,"&lt;&gt;")=COUNTIF(EDW_RAW!$A$2:$A$1500,$D372),"O",IF(COUNTIFS(EDW_RAW!$A$2:$A$1500,$D372,EDW_RAW!$R$2:$R$1500,"&lt;&gt;~",EDW_RAW!$R$2:$R$1500,"&lt;&gt;")&gt;0,"부분","X")))</f>
        <v/>
      </c>
      <c r="R372" s="19">
        <f>IF(COUNTIF(EDW_RAW!$A$2:$A$1500,$D372)=0,"",IF(COUNTIFS(EDW_RAW!$A$2:$A$1500,$D372,EDW_RAW!$U$2:$U$1500,"&lt;&gt;~",EDW_RAW!$U$2:$U$1500,"&lt;&gt;")=COUNTIF(EDW_RAW!$A$2:$A$1500,$D372),"O",IF(COUNTIFS(EDW_RAW!$A$2:$A$1500,$D372,EDW_RAW!$U$2:$U$1500,"&lt;&gt;~",EDW_RAW!$U$2:$U$1500,"&lt;&gt;")&gt;0,"부분","X")))</f>
        <v/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",TRUE,UNIQUE(FILTER(소재DB_RAW!$K$3:$K$2000,(소재DB_RAW!$G$3:$G$2000=$D372)*ISERROR(SEARCH("drop",소재DB_RAW!$C$3:$C$2000))))),"")</f>
        <v/>
      </c>
      <c r="W372" s="20" t="inlineStr">
        <is>
          <t>국내</t>
        </is>
      </c>
      <c r="X372" s="20">
        <f>IFERROR(TEXTJOIN(" / ",TRUE,UNIQUE(FILTER(소재DB_RAW!$N$3:$N$2000,(소재DB_RAW!$G$3:$G$2000=$D372)*ISERROR(SEARCH("drop",소재DB_RAW!$C$3:$C$2000))))),"")</f>
        <v/>
      </c>
      <c r="Y372" s="26">
        <f>IFERROR(TEXTJOIN(CHAR(10),TRUE,UNIQUE(FILTER(소재DB_RAW!$N$3:$N$2000&amp;") "&amp;소재DB_RAW!$O$3:$O$2000,(소재DB_RAW!$G$3:$G$2000=$D372)*ISNUMBER(SEARCH("겉감",소재DB_RAW!$M$3:$M$2000))*ISERROR(SEARCH("drop",소재DB_RAW!$C$3:$C$2000))))),"")</f>
        <v/>
      </c>
      <c r="Z372" s="26">
        <f>IFERROR(TEXTJOIN(CHAR(10),TRUE,UNIQUE(FILTER(소재DB_RAW!$N$3:$N$2000&amp;") "&amp;소재DB_RAW!$O$3:$O$2000,(소재DB_RAW!$G$3:$G$2000=$D372)*ISNUMBER(SEARCH("안감",소재DB_RAW!$M$3:$M$2000))*ISERROR(SEARCH("drop",소재DB_RAW!$C$3:$C$2000))))),"")</f>
        <v/>
      </c>
      <c r="AA372" s="22">
        <f>IFERROR(MAX(FILTER(소재DB_RAW!$AK$3:$AK$2000,(소재DB_RAW!$G$3:$G$2000=$D372)*ISERROR(SEARCH("drop",소재DB_RAW!$C$3:$C$2000))*(소재DB_RAW!$AK$3:$AK$2000&lt;&gt;""))),"")</f>
        <v/>
      </c>
      <c r="AB372" s="27" t="n">
        <v>1000</v>
      </c>
      <c r="AC372" s="27" t="n">
        <v>3997000</v>
      </c>
      <c r="AD372" s="27" t="n">
        <v>30000000</v>
      </c>
      <c r="AE372" s="20" t="n"/>
      <c r="AF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G372" s="19">
        <f>IF($K372="","",IF(OR(LEFT($AF372,2)="작지",LEFT($AF372,4)="소재입고"),IF(LEFT($G372,1)="S","★ 납기위험(S코드)","◆ 지연주의"),IF($AF372="정상","✓ 정상","? 확인필요")))</f>
        <v/>
      </c>
      <c r="AH372" s="21" t="n"/>
      <c r="AI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19">
        <f>IF(COUNTIF(EDW_RAW!$A$2:$A$1500,$D373)=0,"",IF(COUNTIFS(EDW_RAW!$A$2:$A$1500,$D373,EDW_RAW!$R$2:$R$1500,"&lt;&gt;~",EDW_RAW!$R$2:$R$1500,"&lt;&gt;")=COUNTIF(EDW_RAW!$A$2:$A$1500,$D373),"O",IF(COUNTIFS(EDW_RAW!$A$2:$A$1500,$D373,EDW_RAW!$R$2:$R$1500,"&lt;&gt;~",EDW_RAW!$R$2:$R$1500,"&lt;&gt;")&gt;0,"부분","X")))</f>
        <v/>
      </c>
      <c r="R373" s="19">
        <f>IF(COUNTIF(EDW_RAW!$A$2:$A$1500,$D373)=0,"",IF(COUNTIFS(EDW_RAW!$A$2:$A$1500,$D373,EDW_RAW!$U$2:$U$1500,"&lt;&gt;~",EDW_RAW!$U$2:$U$1500,"&lt;&gt;")=COUNTIF(EDW_RAW!$A$2:$A$1500,$D373),"O",IF(COUNTIFS(EDW_RAW!$A$2:$A$1500,$D373,EDW_RAW!$U$2:$U$1500,"&lt;&gt;~",EDW_RAW!$U$2:$U$1500,"&lt;&gt;")&gt;0,"부분","X")))</f>
        <v/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",TRUE,UNIQUE(FILTER(소재DB_RAW!$K$3:$K$2000,(소재DB_RAW!$G$3:$G$2000=$D373)*ISERROR(SEARCH("drop",소재DB_RAW!$C$3:$C$2000))))),"")</f>
        <v/>
      </c>
      <c r="W373" s="20" t="inlineStr">
        <is>
          <t>국내</t>
        </is>
      </c>
      <c r="X373" s="20">
        <f>IFERROR(TEXTJOIN(" / ",TRUE,UNIQUE(FILTER(소재DB_RAW!$N$3:$N$2000,(소재DB_RAW!$G$3:$G$2000=$D373)*ISERROR(SEARCH("drop",소재DB_RAW!$C$3:$C$2000))))),"")</f>
        <v/>
      </c>
      <c r="Y373" s="26">
        <f>IFERROR(TEXTJOIN(CHAR(10),TRUE,UNIQUE(FILTER(소재DB_RAW!$N$3:$N$2000&amp;") "&amp;소재DB_RAW!$O$3:$O$2000,(소재DB_RAW!$G$3:$G$2000=$D373)*ISNUMBER(SEARCH("겉감",소재DB_RAW!$M$3:$M$2000))*ISERROR(SEARCH("drop",소재DB_RAW!$C$3:$C$2000))))),"")</f>
        <v/>
      </c>
      <c r="Z373" s="26">
        <f>IFERROR(TEXTJOIN(CHAR(10),TRUE,UNIQUE(FILTER(소재DB_RAW!$N$3:$N$2000&amp;") "&amp;소재DB_RAW!$O$3:$O$2000,(소재DB_RAW!$G$3:$G$2000=$D373)*ISNUMBER(SEARCH("안감",소재DB_RAW!$M$3:$M$2000))*ISERROR(SEARCH("drop",소재DB_RAW!$C$3:$C$2000))))),"")</f>
        <v/>
      </c>
      <c r="AA373" s="22">
        <f>IFERROR(MAX(FILTER(소재DB_RAW!$AK$3:$AK$2000,(소재DB_RAW!$G$3:$G$2000=$D373)*ISERROR(SEARCH("drop",소재DB_RAW!$C$3:$C$2000))*(소재DB_RAW!$AK$3:$AK$2000&lt;&gt;""))),"")</f>
        <v/>
      </c>
      <c r="AB373" s="27" t="n">
        <v>4000</v>
      </c>
      <c r="AC373" s="27" t="n">
        <v>13720000</v>
      </c>
      <c r="AD373" s="27" t="n">
        <v>120000000</v>
      </c>
      <c r="AE373" s="20" t="n"/>
      <c r="AF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G373" s="19">
        <f>IF($K373="","",IF(OR(LEFT($AF373,2)="작지",LEFT($AF373,4)="소재입고"),IF(LEFT($G373,1)="S","★ 납기위험(S코드)","◆ 지연주의"),IF($AF373="정상","✓ 정상","? 확인필요")))</f>
        <v/>
      </c>
      <c r="AH373" s="21" t="n"/>
      <c r="AI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19">
        <f>IF(COUNTIF(EDW_RAW!$A$2:$A$1500,$D374)=0,"",IF(COUNTIFS(EDW_RAW!$A$2:$A$1500,$D374,EDW_RAW!$R$2:$R$1500,"&lt;&gt;~",EDW_RAW!$R$2:$R$1500,"&lt;&gt;")=COUNTIF(EDW_RAW!$A$2:$A$1500,$D374),"O",IF(COUNTIFS(EDW_RAW!$A$2:$A$1500,$D374,EDW_RAW!$R$2:$R$1500,"&lt;&gt;~",EDW_RAW!$R$2:$R$1500,"&lt;&gt;")&gt;0,"부분","X")))</f>
        <v/>
      </c>
      <c r="R374" s="19">
        <f>IF(COUNTIF(EDW_RAW!$A$2:$A$1500,$D374)=0,"",IF(COUNTIFS(EDW_RAW!$A$2:$A$1500,$D374,EDW_RAW!$U$2:$U$1500,"&lt;&gt;~",EDW_RAW!$U$2:$U$1500,"&lt;&gt;")=COUNTIF(EDW_RAW!$A$2:$A$1500,$D374),"O",IF(COUNTIFS(EDW_RAW!$A$2:$A$1500,$D374,EDW_RAW!$U$2:$U$1500,"&lt;&gt;~",EDW_RAW!$U$2:$U$1500,"&lt;&gt;")&gt;0,"부분","X")))</f>
        <v/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",TRUE,UNIQUE(FILTER(소재DB_RAW!$K$3:$K$2000,(소재DB_RAW!$G$3:$G$2000=$D374)*ISERROR(SEARCH("drop",소재DB_RAW!$C$3:$C$2000))))),"")</f>
        <v/>
      </c>
      <c r="W374" s="20" t="inlineStr">
        <is>
          <t>국내</t>
        </is>
      </c>
      <c r="X374" s="20">
        <f>IFERROR(TEXTJOIN(" / ",TRUE,UNIQUE(FILTER(소재DB_RAW!$N$3:$N$2000,(소재DB_RAW!$G$3:$G$2000=$D374)*ISERROR(SEARCH("drop",소재DB_RAW!$C$3:$C$2000))))),"")</f>
        <v/>
      </c>
      <c r="Y374" s="26">
        <f>IFERROR(TEXTJOIN(CHAR(10),TRUE,UNIQUE(FILTER(소재DB_RAW!$N$3:$N$2000&amp;") "&amp;소재DB_RAW!$O$3:$O$2000,(소재DB_RAW!$G$3:$G$2000=$D374)*ISNUMBER(SEARCH("겉감",소재DB_RAW!$M$3:$M$2000))*ISERROR(SEARCH("drop",소재DB_RAW!$C$3:$C$2000))))),"")</f>
        <v/>
      </c>
      <c r="Z374" s="26">
        <f>IFERROR(TEXTJOIN(CHAR(10),TRUE,UNIQUE(FILTER(소재DB_RAW!$N$3:$N$2000&amp;") "&amp;소재DB_RAW!$O$3:$O$2000,(소재DB_RAW!$G$3:$G$2000=$D374)*ISNUMBER(SEARCH("안감",소재DB_RAW!$M$3:$M$2000))*ISERROR(SEARCH("drop",소재DB_RAW!$C$3:$C$2000))))),"")</f>
        <v/>
      </c>
      <c r="AA374" s="22">
        <f>IFERROR(MAX(FILTER(소재DB_RAW!$AK$3:$AK$2000,(소재DB_RAW!$G$3:$G$2000=$D374)*ISERROR(SEARCH("drop",소재DB_RAW!$C$3:$C$2000))*(소재DB_RAW!$AK$3:$AK$2000&lt;&gt;""))),"")</f>
        <v/>
      </c>
      <c r="AB374" s="27" t="n">
        <v>1500</v>
      </c>
      <c r="AC374" s="27" t="n">
        <v>5940000</v>
      </c>
      <c r="AD374" s="27" t="n">
        <v>37500000</v>
      </c>
      <c r="AE374" s="20" t="n"/>
      <c r="AF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G374" s="19">
        <f>IF($K374="","",IF(OR(LEFT($AF374,2)="작지",LEFT($AF374,4)="소재입고"),IF(LEFT($G374,1)="S","★ 납기위험(S코드)","◆ 지연주의"),IF($AF374="정상","✓ 정상","? 확인필요")))</f>
        <v/>
      </c>
      <c r="AH374" s="21" t="n"/>
      <c r="AI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19">
        <f>IF(COUNTIF(EDW_RAW!$A$2:$A$1500,$D375)=0,"",IF(COUNTIFS(EDW_RAW!$A$2:$A$1500,$D375,EDW_RAW!$R$2:$R$1500,"&lt;&gt;~",EDW_RAW!$R$2:$R$1500,"&lt;&gt;")=COUNTIF(EDW_RAW!$A$2:$A$1500,$D375),"O",IF(COUNTIFS(EDW_RAW!$A$2:$A$1500,$D375,EDW_RAW!$R$2:$R$1500,"&lt;&gt;~",EDW_RAW!$R$2:$R$1500,"&lt;&gt;")&gt;0,"부분","X")))</f>
        <v/>
      </c>
      <c r="R375" s="19">
        <f>IF(COUNTIF(EDW_RAW!$A$2:$A$1500,$D375)=0,"",IF(COUNTIFS(EDW_RAW!$A$2:$A$1500,$D375,EDW_RAW!$U$2:$U$1500,"&lt;&gt;~",EDW_RAW!$U$2:$U$1500,"&lt;&gt;")=COUNTIF(EDW_RAW!$A$2:$A$1500,$D375),"O",IF(COUNTIFS(EDW_RAW!$A$2:$A$1500,$D375,EDW_RAW!$U$2:$U$1500,"&lt;&gt;~",EDW_RAW!$U$2:$U$1500,"&lt;&gt;")&gt;0,"부분","X")))</f>
        <v/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",TRUE,UNIQUE(FILTER(소재DB_RAW!$K$3:$K$2000,(소재DB_RAW!$G$3:$G$2000=$D375)*ISERROR(SEARCH("drop",소재DB_RAW!$C$3:$C$2000))))),"")</f>
        <v/>
      </c>
      <c r="W375" s="20" t="inlineStr">
        <is>
          <t>국내</t>
        </is>
      </c>
      <c r="X375" s="20">
        <f>IFERROR(TEXTJOIN(" / ",TRUE,UNIQUE(FILTER(소재DB_RAW!$N$3:$N$2000,(소재DB_RAW!$G$3:$G$2000=$D375)*ISERROR(SEARCH("drop",소재DB_RAW!$C$3:$C$2000))))),"")</f>
        <v/>
      </c>
      <c r="Y375" s="26">
        <f>IFERROR(TEXTJOIN(CHAR(10),TRUE,UNIQUE(FILTER(소재DB_RAW!$N$3:$N$2000&amp;") "&amp;소재DB_RAW!$O$3:$O$2000,(소재DB_RAW!$G$3:$G$2000=$D375)*ISNUMBER(SEARCH("겉감",소재DB_RAW!$M$3:$M$2000))*ISERROR(SEARCH("drop",소재DB_RAW!$C$3:$C$2000))))),"")</f>
        <v/>
      </c>
      <c r="Z375" s="26">
        <f>IFERROR(TEXTJOIN(CHAR(10),TRUE,UNIQUE(FILTER(소재DB_RAW!$N$3:$N$2000&amp;") "&amp;소재DB_RAW!$O$3:$O$2000,(소재DB_RAW!$G$3:$G$2000=$D375)*ISNUMBER(SEARCH("안감",소재DB_RAW!$M$3:$M$2000))*ISERROR(SEARCH("drop",소재DB_RAW!$C$3:$C$2000))))),"")</f>
        <v/>
      </c>
      <c r="AA375" s="22">
        <f>IFERROR(MAX(FILTER(소재DB_RAW!$AK$3:$AK$2000,(소재DB_RAW!$G$3:$G$2000=$D375)*ISERROR(SEARCH("drop",소재DB_RAW!$C$3:$C$2000))*(소재DB_RAW!$AK$3:$AK$2000&lt;&gt;""))),"")</f>
        <v/>
      </c>
      <c r="AB375" s="27" t="n">
        <v>1600</v>
      </c>
      <c r="AC375" s="27" t="n">
        <v>5488000</v>
      </c>
      <c r="AD375" s="27" t="n">
        <v>48000000</v>
      </c>
      <c r="AE375" s="20" t="n"/>
      <c r="AF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G375" s="19">
        <f>IF($K375="","",IF(OR(LEFT($AF375,2)="작지",LEFT($AF375,4)="소재입고"),IF(LEFT($G375,1)="S","★ 납기위험(S코드)","◆ 지연주의"),IF($AF375="정상","✓ 정상","? 확인필요")))</f>
        <v/>
      </c>
      <c r="AH375" s="21" t="n"/>
      <c r="AI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19">
        <f>IF(COUNTIF(EDW_RAW!$A$2:$A$1500,$D376)=0,"",IF(COUNTIFS(EDW_RAW!$A$2:$A$1500,$D376,EDW_RAW!$R$2:$R$1500,"&lt;&gt;~",EDW_RAW!$R$2:$R$1500,"&lt;&gt;")=COUNTIF(EDW_RAW!$A$2:$A$1500,$D376),"O",IF(COUNTIFS(EDW_RAW!$A$2:$A$1500,$D376,EDW_RAW!$R$2:$R$1500,"&lt;&gt;~",EDW_RAW!$R$2:$R$1500,"&lt;&gt;")&gt;0,"부분","X")))</f>
        <v/>
      </c>
      <c r="R376" s="19">
        <f>IF(COUNTIF(EDW_RAW!$A$2:$A$1500,$D376)=0,"",IF(COUNTIFS(EDW_RAW!$A$2:$A$1500,$D376,EDW_RAW!$U$2:$U$1500,"&lt;&gt;~",EDW_RAW!$U$2:$U$1500,"&lt;&gt;")=COUNTIF(EDW_RAW!$A$2:$A$1500,$D376),"O",IF(COUNTIFS(EDW_RAW!$A$2:$A$1500,$D376,EDW_RAW!$U$2:$U$1500,"&lt;&gt;~",EDW_RAW!$U$2:$U$1500,"&lt;&gt;")&gt;0,"부분","X")))</f>
        <v/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",TRUE,UNIQUE(FILTER(소재DB_RAW!$K$3:$K$2000,(소재DB_RAW!$G$3:$G$2000=$D376)*ISERROR(SEARCH("drop",소재DB_RAW!$C$3:$C$2000))))),"")</f>
        <v/>
      </c>
      <c r="W376" s="20" t="inlineStr">
        <is>
          <t>국내</t>
        </is>
      </c>
      <c r="X376" s="20">
        <f>IFERROR(TEXTJOIN(" / ",TRUE,UNIQUE(FILTER(소재DB_RAW!$N$3:$N$2000,(소재DB_RAW!$G$3:$G$2000=$D376)*ISERROR(SEARCH("drop",소재DB_RAW!$C$3:$C$2000))))),"")</f>
        <v/>
      </c>
      <c r="Y376" s="26">
        <f>IFERROR(TEXTJOIN(CHAR(10),TRUE,UNIQUE(FILTER(소재DB_RAW!$N$3:$N$2000&amp;") "&amp;소재DB_RAW!$O$3:$O$2000,(소재DB_RAW!$G$3:$G$2000=$D376)*ISNUMBER(SEARCH("겉감",소재DB_RAW!$M$3:$M$2000))*ISERROR(SEARCH("drop",소재DB_RAW!$C$3:$C$2000))))),"")</f>
        <v/>
      </c>
      <c r="Z376" s="26">
        <f>IFERROR(TEXTJOIN(CHAR(10),TRUE,UNIQUE(FILTER(소재DB_RAW!$N$3:$N$2000&amp;") "&amp;소재DB_RAW!$O$3:$O$2000,(소재DB_RAW!$G$3:$G$2000=$D376)*ISNUMBER(SEARCH("안감",소재DB_RAW!$M$3:$M$2000))*ISERROR(SEARCH("drop",소재DB_RAW!$C$3:$C$2000))))),"")</f>
        <v/>
      </c>
      <c r="AA376" s="22">
        <f>IFERROR(MAX(FILTER(소재DB_RAW!$AK$3:$AK$2000,(소재DB_RAW!$G$3:$G$2000=$D376)*ISERROR(SEARCH("drop",소재DB_RAW!$C$3:$C$2000))*(소재DB_RAW!$AK$3:$AK$2000&lt;&gt;""))),"")</f>
        <v/>
      </c>
      <c r="AB376" s="27" t="n">
        <v>2000</v>
      </c>
      <c r="AC376" s="27" t="n">
        <v>7714000</v>
      </c>
      <c r="AD376" s="27" t="n">
        <v>50000000</v>
      </c>
      <c r="AE376" s="20" t="n"/>
      <c r="AF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G376" s="19">
        <f>IF($K376="","",IF(OR(LEFT($AF376,2)="작지",LEFT($AF376,4)="소재입고"),IF(LEFT($G376,1)="S","★ 납기위험(S코드)","◆ 지연주의"),IF($AF376="정상","✓ 정상","? 확인필요")))</f>
        <v/>
      </c>
      <c r="AH376" s="21" t="n"/>
      <c r="AI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19">
        <f>IF(COUNTIF(EDW_RAW!$A$2:$A$1500,$D377)=0,"",IF(COUNTIFS(EDW_RAW!$A$2:$A$1500,$D377,EDW_RAW!$R$2:$R$1500,"&lt;&gt;~",EDW_RAW!$R$2:$R$1500,"&lt;&gt;")=COUNTIF(EDW_RAW!$A$2:$A$1500,$D377),"O",IF(COUNTIFS(EDW_RAW!$A$2:$A$1500,$D377,EDW_RAW!$R$2:$R$1500,"&lt;&gt;~",EDW_RAW!$R$2:$R$1500,"&lt;&gt;")&gt;0,"부분","X")))</f>
        <v/>
      </c>
      <c r="R377" s="19">
        <f>IF(COUNTIF(EDW_RAW!$A$2:$A$1500,$D377)=0,"",IF(COUNTIFS(EDW_RAW!$A$2:$A$1500,$D377,EDW_RAW!$U$2:$U$1500,"&lt;&gt;~",EDW_RAW!$U$2:$U$1500,"&lt;&gt;")=COUNTIF(EDW_RAW!$A$2:$A$1500,$D377),"O",IF(COUNTIFS(EDW_RAW!$A$2:$A$1500,$D377,EDW_RAW!$U$2:$U$1500,"&lt;&gt;~",EDW_RAW!$U$2:$U$1500,"&lt;&gt;")&gt;0,"부분","X")))</f>
        <v/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",TRUE,UNIQUE(FILTER(소재DB_RAW!$K$3:$K$2000,(소재DB_RAW!$G$3:$G$2000=$D377)*ISERROR(SEARCH("drop",소재DB_RAW!$C$3:$C$2000))))),"")</f>
        <v/>
      </c>
      <c r="W377" s="20" t="inlineStr">
        <is>
          <t>국내</t>
        </is>
      </c>
      <c r="X377" s="20">
        <f>IFERROR(TEXTJOIN(" / ",TRUE,UNIQUE(FILTER(소재DB_RAW!$N$3:$N$2000,(소재DB_RAW!$G$3:$G$2000=$D377)*ISERROR(SEARCH("drop",소재DB_RAW!$C$3:$C$2000))))),"")</f>
        <v/>
      </c>
      <c r="Y377" s="26">
        <f>IFERROR(TEXTJOIN(CHAR(10),TRUE,UNIQUE(FILTER(소재DB_RAW!$N$3:$N$2000&amp;") "&amp;소재DB_RAW!$O$3:$O$2000,(소재DB_RAW!$G$3:$G$2000=$D377)*ISNUMBER(SEARCH("겉감",소재DB_RAW!$M$3:$M$2000))*ISERROR(SEARCH("drop",소재DB_RAW!$C$3:$C$2000))))),"")</f>
        <v/>
      </c>
      <c r="Z377" s="26">
        <f>IFERROR(TEXTJOIN(CHAR(10),TRUE,UNIQUE(FILTER(소재DB_RAW!$N$3:$N$2000&amp;") "&amp;소재DB_RAW!$O$3:$O$2000,(소재DB_RAW!$G$3:$G$2000=$D377)*ISNUMBER(SEARCH("안감",소재DB_RAW!$M$3:$M$2000))*ISERROR(SEARCH("drop",소재DB_RAW!$C$3:$C$2000))))),"")</f>
        <v/>
      </c>
      <c r="AA377" s="22">
        <f>IFERROR(MAX(FILTER(소재DB_RAW!$AK$3:$AK$2000,(소재DB_RAW!$G$3:$G$2000=$D377)*ISERROR(SEARCH("drop",소재DB_RAW!$C$3:$C$2000))*(소재DB_RAW!$AK$3:$AK$2000&lt;&gt;""))),"")</f>
        <v/>
      </c>
      <c r="AB377" s="27" t="n">
        <v>7000</v>
      </c>
      <c r="AC377" s="27" t="n">
        <v>96761000</v>
      </c>
      <c r="AD377" s="27" t="n">
        <v>616000000</v>
      </c>
      <c r="AE377" s="20" t="n"/>
      <c r="AF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G377" s="19">
        <f>IF($K377="","",IF(OR(LEFT($AF377,2)="작지",LEFT($AF377,4)="소재입고"),IF(LEFT($G377,1)="S","★ 납기위험(S코드)","◆ 지연주의"),IF($AF377="정상","✓ 정상","? 확인필요")))</f>
        <v/>
      </c>
      <c r="AH377" s="21" t="n"/>
      <c r="AI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19">
        <f>IF(COUNTIF(EDW_RAW!$A$2:$A$1500,$D378)=0,"",IF(COUNTIFS(EDW_RAW!$A$2:$A$1500,$D378,EDW_RAW!$R$2:$R$1500,"&lt;&gt;~",EDW_RAW!$R$2:$R$1500,"&lt;&gt;")=COUNTIF(EDW_RAW!$A$2:$A$1500,$D378),"O",IF(COUNTIFS(EDW_RAW!$A$2:$A$1500,$D378,EDW_RAW!$R$2:$R$1500,"&lt;&gt;~",EDW_RAW!$R$2:$R$1500,"&lt;&gt;")&gt;0,"부분","X")))</f>
        <v/>
      </c>
      <c r="R378" s="19">
        <f>IF(COUNTIF(EDW_RAW!$A$2:$A$1500,$D378)=0,"",IF(COUNTIFS(EDW_RAW!$A$2:$A$1500,$D378,EDW_RAW!$U$2:$U$1500,"&lt;&gt;~",EDW_RAW!$U$2:$U$1500,"&lt;&gt;")=COUNTIF(EDW_RAW!$A$2:$A$1500,$D378),"O",IF(COUNTIFS(EDW_RAW!$A$2:$A$1500,$D378,EDW_RAW!$U$2:$U$1500,"&lt;&gt;~",EDW_RAW!$U$2:$U$1500,"&lt;&gt;")&gt;0,"부분","X")))</f>
        <v/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",TRUE,UNIQUE(FILTER(소재DB_RAW!$K$3:$K$2000,(소재DB_RAW!$G$3:$G$2000=$D378)*ISERROR(SEARCH("drop",소재DB_RAW!$C$3:$C$2000))))),"")</f>
        <v/>
      </c>
      <c r="W378" s="20" t="inlineStr">
        <is>
          <t>국내</t>
        </is>
      </c>
      <c r="X378" s="20">
        <f>IFERROR(TEXTJOIN(" / ",TRUE,UNIQUE(FILTER(소재DB_RAW!$N$3:$N$2000,(소재DB_RAW!$G$3:$G$2000=$D378)*ISERROR(SEARCH("drop",소재DB_RAW!$C$3:$C$2000))))),"")</f>
        <v/>
      </c>
      <c r="Y378" s="26">
        <f>IFERROR(TEXTJOIN(CHAR(10),TRUE,UNIQUE(FILTER(소재DB_RAW!$N$3:$N$2000&amp;") "&amp;소재DB_RAW!$O$3:$O$2000,(소재DB_RAW!$G$3:$G$2000=$D378)*ISNUMBER(SEARCH("겉감",소재DB_RAW!$M$3:$M$2000))*ISERROR(SEARCH("drop",소재DB_RAW!$C$3:$C$2000))))),"")</f>
        <v/>
      </c>
      <c r="Z378" s="26">
        <f>IFERROR(TEXTJOIN(CHAR(10),TRUE,UNIQUE(FILTER(소재DB_RAW!$N$3:$N$2000&amp;") "&amp;소재DB_RAW!$O$3:$O$2000,(소재DB_RAW!$G$3:$G$2000=$D378)*ISNUMBER(SEARCH("안감",소재DB_RAW!$M$3:$M$2000))*ISERROR(SEARCH("drop",소재DB_RAW!$C$3:$C$2000))))),"")</f>
        <v/>
      </c>
      <c r="AA378" s="22">
        <f>IFERROR(MAX(FILTER(소재DB_RAW!$AK$3:$AK$2000,(소재DB_RAW!$G$3:$G$2000=$D378)*ISERROR(SEARCH("drop",소재DB_RAW!$C$3:$C$2000))*(소재DB_RAW!$AK$3:$AK$2000&lt;&gt;""))),"")</f>
        <v/>
      </c>
      <c r="AB378" s="27" t="n">
        <v>6000</v>
      </c>
      <c r="AC378" s="27" t="n">
        <v>73590000</v>
      </c>
      <c r="AD378" s="27" t="n">
        <v>420000000</v>
      </c>
      <c r="AE378" s="20" t="n"/>
      <c r="AF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G378" s="19">
        <f>IF($K378="","",IF(OR(LEFT($AF378,2)="작지",LEFT($AF378,4)="소재입고"),IF(LEFT($G378,1)="S","★ 납기위험(S코드)","◆ 지연주의"),IF($AF378="정상","✓ 정상","? 확인필요")))</f>
        <v/>
      </c>
      <c r="AH378" s="21" t="n"/>
      <c r="AI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19">
        <f>IF(COUNTIF(EDW_RAW!$A$2:$A$1500,$D379)=0,"",IF(COUNTIFS(EDW_RAW!$A$2:$A$1500,$D379,EDW_RAW!$R$2:$R$1500,"&lt;&gt;~",EDW_RAW!$R$2:$R$1500,"&lt;&gt;")=COUNTIF(EDW_RAW!$A$2:$A$1500,$D379),"O",IF(COUNTIFS(EDW_RAW!$A$2:$A$1500,$D379,EDW_RAW!$R$2:$R$1500,"&lt;&gt;~",EDW_RAW!$R$2:$R$1500,"&lt;&gt;")&gt;0,"부분","X")))</f>
        <v/>
      </c>
      <c r="R379" s="19">
        <f>IF(COUNTIF(EDW_RAW!$A$2:$A$1500,$D379)=0,"",IF(COUNTIFS(EDW_RAW!$A$2:$A$1500,$D379,EDW_RAW!$U$2:$U$1500,"&lt;&gt;~",EDW_RAW!$U$2:$U$1500,"&lt;&gt;")=COUNTIF(EDW_RAW!$A$2:$A$1500,$D379),"O",IF(COUNTIFS(EDW_RAW!$A$2:$A$1500,$D379,EDW_RAW!$U$2:$U$1500,"&lt;&gt;~",EDW_RAW!$U$2:$U$1500,"&lt;&gt;")&gt;0,"부분","X")))</f>
        <v/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",TRUE,UNIQUE(FILTER(소재DB_RAW!$K$3:$K$2000,(소재DB_RAW!$G$3:$G$2000=$D379)*ISERROR(SEARCH("drop",소재DB_RAW!$C$3:$C$2000))))),"")</f>
        <v/>
      </c>
      <c r="W379" s="20" t="inlineStr">
        <is>
          <t>국내</t>
        </is>
      </c>
      <c r="X379" s="20">
        <f>IFERROR(TEXTJOIN(" / ",TRUE,UNIQUE(FILTER(소재DB_RAW!$N$3:$N$2000,(소재DB_RAW!$G$3:$G$2000=$D379)*ISERROR(SEARCH("drop",소재DB_RAW!$C$3:$C$2000))))),"")</f>
        <v/>
      </c>
      <c r="Y379" s="26">
        <f>IFERROR(TEXTJOIN(CHAR(10),TRUE,UNIQUE(FILTER(소재DB_RAW!$N$3:$N$2000&amp;") "&amp;소재DB_RAW!$O$3:$O$2000,(소재DB_RAW!$G$3:$G$2000=$D379)*ISNUMBER(SEARCH("겉감",소재DB_RAW!$M$3:$M$2000))*ISERROR(SEARCH("drop",소재DB_RAW!$C$3:$C$2000))))),"")</f>
        <v/>
      </c>
      <c r="Z379" s="26">
        <f>IFERROR(TEXTJOIN(CHAR(10),TRUE,UNIQUE(FILTER(소재DB_RAW!$N$3:$N$2000&amp;") "&amp;소재DB_RAW!$O$3:$O$2000,(소재DB_RAW!$G$3:$G$2000=$D379)*ISNUMBER(SEARCH("안감",소재DB_RAW!$M$3:$M$2000))*ISERROR(SEARCH("drop",소재DB_RAW!$C$3:$C$2000))))),"")</f>
        <v/>
      </c>
      <c r="AA379" s="22">
        <f>IFERROR(MAX(FILTER(소재DB_RAW!$AK$3:$AK$2000,(소재DB_RAW!$G$3:$G$2000=$D379)*ISERROR(SEARCH("drop",소재DB_RAW!$C$3:$C$2000))*(소재DB_RAW!$AK$3:$AK$2000&lt;&gt;""))),"")</f>
        <v/>
      </c>
      <c r="AB379" s="27" t="n">
        <v>10000</v>
      </c>
      <c r="AC379" s="27" t="n">
        <v>149010000</v>
      </c>
      <c r="AD379" s="27" t="n">
        <v>880000000</v>
      </c>
      <c r="AE379" s="20" t="n"/>
      <c r="AF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G379" s="19">
        <f>IF($K379="","",IF(OR(LEFT($AF379,2)="작지",LEFT($AF379,4)="소재입고"),IF(LEFT($G379,1)="S","★ 납기위험(S코드)","◆ 지연주의"),IF($AF379="정상","✓ 정상","? 확인필요")))</f>
        <v/>
      </c>
      <c r="AH379" s="21" t="n"/>
      <c r="AI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19">
        <f>IF(COUNTIF(EDW_RAW!$A$2:$A$1500,$D380)=0,"",IF(COUNTIFS(EDW_RAW!$A$2:$A$1500,$D380,EDW_RAW!$R$2:$R$1500,"&lt;&gt;~",EDW_RAW!$R$2:$R$1500,"&lt;&gt;")=COUNTIF(EDW_RAW!$A$2:$A$1500,$D380),"O",IF(COUNTIFS(EDW_RAW!$A$2:$A$1500,$D380,EDW_RAW!$R$2:$R$1500,"&lt;&gt;~",EDW_RAW!$R$2:$R$1500,"&lt;&gt;")&gt;0,"부분","X")))</f>
        <v/>
      </c>
      <c r="R380" s="19">
        <f>IF(COUNTIF(EDW_RAW!$A$2:$A$1500,$D380)=0,"",IF(COUNTIFS(EDW_RAW!$A$2:$A$1500,$D380,EDW_RAW!$U$2:$U$1500,"&lt;&gt;~",EDW_RAW!$U$2:$U$1500,"&lt;&gt;")=COUNTIF(EDW_RAW!$A$2:$A$1500,$D380),"O",IF(COUNTIFS(EDW_RAW!$A$2:$A$1500,$D380,EDW_RAW!$U$2:$U$1500,"&lt;&gt;~",EDW_RAW!$U$2:$U$1500,"&lt;&gt;")&gt;0,"부분","X")))</f>
        <v/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",TRUE,UNIQUE(FILTER(소재DB_RAW!$K$3:$K$2000,(소재DB_RAW!$G$3:$G$2000=$D380)*ISERROR(SEARCH("drop",소재DB_RAW!$C$3:$C$2000))))),"")</f>
        <v/>
      </c>
      <c r="W380" s="20" t="inlineStr">
        <is>
          <t>국내</t>
        </is>
      </c>
      <c r="X380" s="20">
        <f>IFERROR(TEXTJOIN(" / ",TRUE,UNIQUE(FILTER(소재DB_RAW!$N$3:$N$2000,(소재DB_RAW!$G$3:$G$2000=$D380)*ISERROR(SEARCH("drop",소재DB_RAW!$C$3:$C$2000))))),"")</f>
        <v/>
      </c>
      <c r="Y380" s="26">
        <f>IFERROR(TEXTJOIN(CHAR(10),TRUE,UNIQUE(FILTER(소재DB_RAW!$N$3:$N$2000&amp;") "&amp;소재DB_RAW!$O$3:$O$2000,(소재DB_RAW!$G$3:$G$2000=$D380)*ISNUMBER(SEARCH("겉감",소재DB_RAW!$M$3:$M$2000))*ISERROR(SEARCH("drop",소재DB_RAW!$C$3:$C$2000))))),"")</f>
        <v/>
      </c>
      <c r="Z380" s="26">
        <f>IFERROR(TEXTJOIN(CHAR(10),TRUE,UNIQUE(FILTER(소재DB_RAW!$N$3:$N$2000&amp;") "&amp;소재DB_RAW!$O$3:$O$2000,(소재DB_RAW!$G$3:$G$2000=$D380)*ISNUMBER(SEARCH("안감",소재DB_RAW!$M$3:$M$2000))*ISERROR(SEARCH("drop",소재DB_RAW!$C$3:$C$2000))))),"")</f>
        <v/>
      </c>
      <c r="AA380" s="22">
        <f>IFERROR(MAX(FILTER(소재DB_RAW!$AK$3:$AK$2000,(소재DB_RAW!$G$3:$G$2000=$D380)*ISERROR(SEARCH("drop",소재DB_RAW!$C$3:$C$2000))*(소재DB_RAW!$AK$3:$AK$2000&lt;&gt;""))),"")</f>
        <v/>
      </c>
      <c r="AB380" s="27" t="n">
        <v>5500</v>
      </c>
      <c r="AC380" s="27" t="n">
        <v>102118500</v>
      </c>
      <c r="AD380" s="27" t="n">
        <v>484000000</v>
      </c>
      <c r="AE380" s="20" t="n"/>
      <c r="AF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G380" s="19">
        <f>IF($K380="","",IF(OR(LEFT($AF380,2)="작지",LEFT($AF380,4)="소재입고"),IF(LEFT($G380,1)="S","★ 납기위험(S코드)","◆ 지연주의"),IF($AF380="정상","✓ 정상","? 확인필요")))</f>
        <v/>
      </c>
      <c r="AH380" s="21" t="n"/>
      <c r="AI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19">
        <f>IF(COUNTIF(EDW_RAW!$A$2:$A$1500,$D381)=0,"",IF(COUNTIFS(EDW_RAW!$A$2:$A$1500,$D381,EDW_RAW!$R$2:$R$1500,"&lt;&gt;~",EDW_RAW!$R$2:$R$1500,"&lt;&gt;")=COUNTIF(EDW_RAW!$A$2:$A$1500,$D381),"O",IF(COUNTIFS(EDW_RAW!$A$2:$A$1500,$D381,EDW_RAW!$R$2:$R$1500,"&lt;&gt;~",EDW_RAW!$R$2:$R$1500,"&lt;&gt;")&gt;0,"부분","X")))</f>
        <v/>
      </c>
      <c r="R381" s="19">
        <f>IF(COUNTIF(EDW_RAW!$A$2:$A$1500,$D381)=0,"",IF(COUNTIFS(EDW_RAW!$A$2:$A$1500,$D381,EDW_RAW!$U$2:$U$1500,"&lt;&gt;~",EDW_RAW!$U$2:$U$1500,"&lt;&gt;")=COUNTIF(EDW_RAW!$A$2:$A$1500,$D381),"O",IF(COUNTIFS(EDW_RAW!$A$2:$A$1500,$D381,EDW_RAW!$U$2:$U$1500,"&lt;&gt;~",EDW_RAW!$U$2:$U$1500,"&lt;&gt;")&gt;0,"부분","X")))</f>
        <v/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",TRUE,UNIQUE(FILTER(소재DB_RAW!$K$3:$K$2000,(소재DB_RAW!$G$3:$G$2000=$D381)*ISERROR(SEARCH("drop",소재DB_RAW!$C$3:$C$2000))))),"")</f>
        <v/>
      </c>
      <c r="W381" s="20" t="inlineStr">
        <is>
          <t>베트남</t>
        </is>
      </c>
      <c r="X381" s="20">
        <f>IFERROR(TEXTJOIN(" / ",TRUE,UNIQUE(FILTER(소재DB_RAW!$N$3:$N$2000,(소재DB_RAW!$G$3:$G$2000=$D381)*ISERROR(SEARCH("drop",소재DB_RAW!$C$3:$C$2000))))),"")</f>
        <v/>
      </c>
      <c r="Y381" s="26">
        <f>IFERROR(TEXTJOIN(CHAR(10),TRUE,UNIQUE(FILTER(소재DB_RAW!$N$3:$N$2000&amp;") "&amp;소재DB_RAW!$O$3:$O$2000,(소재DB_RAW!$G$3:$G$2000=$D381)*ISNUMBER(SEARCH("겉감",소재DB_RAW!$M$3:$M$2000))*ISERROR(SEARCH("drop",소재DB_RAW!$C$3:$C$2000))))),"")</f>
        <v/>
      </c>
      <c r="Z381" s="26">
        <f>IFERROR(TEXTJOIN(CHAR(10),TRUE,UNIQUE(FILTER(소재DB_RAW!$N$3:$N$2000&amp;") "&amp;소재DB_RAW!$O$3:$O$2000,(소재DB_RAW!$G$3:$G$2000=$D381)*ISNUMBER(SEARCH("안감",소재DB_RAW!$M$3:$M$2000))*ISERROR(SEARCH("drop",소재DB_RAW!$C$3:$C$2000))))),"")</f>
        <v/>
      </c>
      <c r="AA381" s="22">
        <f>IFERROR(MAX(FILTER(소재DB_RAW!$AK$3:$AK$2000,(소재DB_RAW!$G$3:$G$2000=$D381)*ISERROR(SEARCH("drop",소재DB_RAW!$C$3:$C$2000))*(소재DB_RAW!$AK$3:$AK$2000&lt;&gt;""))),"")</f>
        <v/>
      </c>
      <c r="AB381" s="27" t="n">
        <v>440</v>
      </c>
      <c r="AC381" s="27" t="n">
        <v>22000000</v>
      </c>
      <c r="AD381" s="27" t="n">
        <v>87120000</v>
      </c>
      <c r="AE381" s="20" t="inlineStr">
        <is>
          <t>1월4주</t>
        </is>
      </c>
      <c r="AF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G381" s="19">
        <f>IF($K381="","",IF(OR(LEFT($AF381,2)="작지",LEFT($AF381,4)="소재입고"),IF(LEFT($G381,1)="S","★ 납기위험(S코드)","◆ 지연주의"),IF($AF381="정상","✓ 정상","? 확인필요")))</f>
        <v/>
      </c>
      <c r="AH381" s="21" t="n"/>
      <c r="AI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19">
        <f>IF(COUNTIF(EDW_RAW!$A$2:$A$1500,$D382)=0,"",IF(COUNTIFS(EDW_RAW!$A$2:$A$1500,$D382,EDW_RAW!$R$2:$R$1500,"&lt;&gt;~",EDW_RAW!$R$2:$R$1500,"&lt;&gt;")=COUNTIF(EDW_RAW!$A$2:$A$1500,$D382),"O",IF(COUNTIFS(EDW_RAW!$A$2:$A$1500,$D382,EDW_RAW!$R$2:$R$1500,"&lt;&gt;~",EDW_RAW!$R$2:$R$1500,"&lt;&gt;")&gt;0,"부분","X")))</f>
        <v/>
      </c>
      <c r="R382" s="19">
        <f>IF(COUNTIF(EDW_RAW!$A$2:$A$1500,$D382)=0,"",IF(COUNTIFS(EDW_RAW!$A$2:$A$1500,$D382,EDW_RAW!$U$2:$U$1500,"&lt;&gt;~",EDW_RAW!$U$2:$U$1500,"&lt;&gt;")=COUNTIF(EDW_RAW!$A$2:$A$1500,$D382),"O",IF(COUNTIFS(EDW_RAW!$A$2:$A$1500,$D382,EDW_RAW!$U$2:$U$1500,"&lt;&gt;~",EDW_RAW!$U$2:$U$1500,"&lt;&gt;")&gt;0,"부분","X")))</f>
        <v/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",TRUE,UNIQUE(FILTER(소재DB_RAW!$K$3:$K$2000,(소재DB_RAW!$G$3:$G$2000=$D382)*ISERROR(SEARCH("drop",소재DB_RAW!$C$3:$C$2000))))),"")</f>
        <v/>
      </c>
      <c r="W382" s="20" t="inlineStr">
        <is>
          <t>베트남</t>
        </is>
      </c>
      <c r="X382" s="20">
        <f>IFERROR(TEXTJOIN(" / ",TRUE,UNIQUE(FILTER(소재DB_RAW!$N$3:$N$2000,(소재DB_RAW!$G$3:$G$2000=$D382)*ISERROR(SEARCH("drop",소재DB_RAW!$C$3:$C$2000))))),"")</f>
        <v/>
      </c>
      <c r="Y382" s="26">
        <f>IFERROR(TEXTJOIN(CHAR(10),TRUE,UNIQUE(FILTER(소재DB_RAW!$N$3:$N$2000&amp;") "&amp;소재DB_RAW!$O$3:$O$2000,(소재DB_RAW!$G$3:$G$2000=$D382)*ISNUMBER(SEARCH("겉감",소재DB_RAW!$M$3:$M$2000))*ISERROR(SEARCH("drop",소재DB_RAW!$C$3:$C$2000))))),"")</f>
        <v/>
      </c>
      <c r="Z382" s="26">
        <f>IFERROR(TEXTJOIN(CHAR(10),TRUE,UNIQUE(FILTER(소재DB_RAW!$N$3:$N$2000&amp;") "&amp;소재DB_RAW!$O$3:$O$2000,(소재DB_RAW!$G$3:$G$2000=$D382)*ISNUMBER(SEARCH("안감",소재DB_RAW!$M$3:$M$2000))*ISERROR(SEARCH("drop",소재DB_RAW!$C$3:$C$2000))))),"")</f>
        <v/>
      </c>
      <c r="AA382" s="22">
        <f>IFERROR(MAX(FILTER(소재DB_RAW!$AK$3:$AK$2000,(소재DB_RAW!$G$3:$G$2000=$D382)*ISERROR(SEARCH("drop",소재DB_RAW!$C$3:$C$2000))*(소재DB_RAW!$AK$3:$AK$2000&lt;&gt;""))),"")</f>
        <v/>
      </c>
      <c r="AB382" s="27" t="n">
        <v>300</v>
      </c>
      <c r="AC382" s="27" t="n">
        <v>25500000</v>
      </c>
      <c r="AD382" s="27" t="n">
        <v>87000000</v>
      </c>
      <c r="AE382" s="20" t="inlineStr">
        <is>
          <t>1월4주</t>
        </is>
      </c>
      <c r="AF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G382" s="19">
        <f>IF($K382="","",IF(OR(LEFT($AF382,2)="작지",LEFT($AF382,4)="소재입고"),IF(LEFT($G382,1)="S","★ 납기위험(S코드)","◆ 지연주의"),IF($AF382="정상","✓ 정상","? 확인필요")))</f>
        <v/>
      </c>
      <c r="AH382" s="21" t="n"/>
      <c r="AI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19">
        <f>IF(COUNTIF(EDW_RAW!$A$2:$A$1500,$D383)=0,"",IF(COUNTIFS(EDW_RAW!$A$2:$A$1500,$D383,EDW_RAW!$R$2:$R$1500,"&lt;&gt;~",EDW_RAW!$R$2:$R$1500,"&lt;&gt;")=COUNTIF(EDW_RAW!$A$2:$A$1500,$D383),"O",IF(COUNTIFS(EDW_RAW!$A$2:$A$1500,$D383,EDW_RAW!$R$2:$R$1500,"&lt;&gt;~",EDW_RAW!$R$2:$R$1500,"&lt;&gt;")&gt;0,"부분","X")))</f>
        <v/>
      </c>
      <c r="R383" s="19">
        <f>IF(COUNTIF(EDW_RAW!$A$2:$A$1500,$D383)=0,"",IF(COUNTIFS(EDW_RAW!$A$2:$A$1500,$D383,EDW_RAW!$U$2:$U$1500,"&lt;&gt;~",EDW_RAW!$U$2:$U$1500,"&lt;&gt;")=COUNTIF(EDW_RAW!$A$2:$A$1500,$D383),"O",IF(COUNTIFS(EDW_RAW!$A$2:$A$1500,$D383,EDW_RAW!$U$2:$U$1500,"&lt;&gt;~",EDW_RAW!$U$2:$U$1500,"&lt;&gt;")&gt;0,"부분","X")))</f>
        <v/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",TRUE,UNIQUE(FILTER(소재DB_RAW!$K$3:$K$2000,(소재DB_RAW!$G$3:$G$2000=$D383)*ISERROR(SEARCH("drop",소재DB_RAW!$C$3:$C$2000))))),"")</f>
        <v/>
      </c>
      <c r="W383" s="20" t="inlineStr">
        <is>
          <t>중국</t>
        </is>
      </c>
      <c r="X383" s="20">
        <f>IFERROR(TEXTJOIN(" / ",TRUE,UNIQUE(FILTER(소재DB_RAW!$N$3:$N$2000,(소재DB_RAW!$G$3:$G$2000=$D383)*ISERROR(SEARCH("drop",소재DB_RAW!$C$3:$C$2000))))),"")</f>
        <v/>
      </c>
      <c r="Y383" s="26">
        <f>IFERROR(TEXTJOIN(CHAR(10),TRUE,UNIQUE(FILTER(소재DB_RAW!$N$3:$N$2000&amp;") "&amp;소재DB_RAW!$O$3:$O$2000,(소재DB_RAW!$G$3:$G$2000=$D383)*ISNUMBER(SEARCH("겉감",소재DB_RAW!$M$3:$M$2000))*ISERROR(SEARCH("drop",소재DB_RAW!$C$3:$C$2000))))),"")</f>
        <v/>
      </c>
      <c r="Z383" s="26">
        <f>IFERROR(TEXTJOIN(CHAR(10),TRUE,UNIQUE(FILTER(소재DB_RAW!$N$3:$N$2000&amp;") "&amp;소재DB_RAW!$O$3:$O$2000,(소재DB_RAW!$G$3:$G$2000=$D383)*ISNUMBER(SEARCH("안감",소재DB_RAW!$M$3:$M$2000))*ISERROR(SEARCH("drop",소재DB_RAW!$C$3:$C$2000))))),"")</f>
        <v/>
      </c>
      <c r="AA383" s="22">
        <f>IFERROR(MAX(FILTER(소재DB_RAW!$AK$3:$AK$2000,(소재DB_RAW!$G$3:$G$2000=$D383)*ISERROR(SEARCH("drop",소재DB_RAW!$C$3:$C$2000))*(소재DB_RAW!$AK$3:$AK$2000&lt;&gt;""))),"")</f>
        <v/>
      </c>
      <c r="AB383" s="27" t="n">
        <v>1800</v>
      </c>
      <c r="AC383" s="27" t="n">
        <v>30240000</v>
      </c>
      <c r="AD383" s="27" t="n">
        <v>158400000</v>
      </c>
      <c r="AE383" s="20" t="n"/>
      <c r="AF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G383" s="19">
        <f>IF($K383="","",IF(OR(LEFT($AF383,2)="작지",LEFT($AF383,4)="소재입고"),IF(LEFT($G383,1)="S","★ 납기위험(S코드)","◆ 지연주의"),IF($AF383="정상","✓ 정상","? 확인필요")))</f>
        <v/>
      </c>
      <c r="AH383" s="21" t="n"/>
      <c r="AI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19">
        <f>IF(COUNTIF(EDW_RAW!$A$2:$A$1500,$D384)=0,"",IF(COUNTIFS(EDW_RAW!$A$2:$A$1500,$D384,EDW_RAW!$R$2:$R$1500,"&lt;&gt;~",EDW_RAW!$R$2:$R$1500,"&lt;&gt;")=COUNTIF(EDW_RAW!$A$2:$A$1500,$D384),"O",IF(COUNTIFS(EDW_RAW!$A$2:$A$1500,$D384,EDW_RAW!$R$2:$R$1500,"&lt;&gt;~",EDW_RAW!$R$2:$R$1500,"&lt;&gt;")&gt;0,"부분","X")))</f>
        <v/>
      </c>
      <c r="R384" s="19">
        <f>IF(COUNTIF(EDW_RAW!$A$2:$A$1500,$D384)=0,"",IF(COUNTIFS(EDW_RAW!$A$2:$A$1500,$D384,EDW_RAW!$U$2:$U$1500,"&lt;&gt;~",EDW_RAW!$U$2:$U$1500,"&lt;&gt;")=COUNTIF(EDW_RAW!$A$2:$A$1500,$D384),"O",IF(COUNTIFS(EDW_RAW!$A$2:$A$1500,$D384,EDW_RAW!$U$2:$U$1500,"&lt;&gt;~",EDW_RAW!$U$2:$U$1500,"&lt;&gt;")&gt;0,"부분","X")))</f>
        <v/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",TRUE,UNIQUE(FILTER(소재DB_RAW!$K$3:$K$2000,(소재DB_RAW!$G$3:$G$2000=$D384)*ISERROR(SEARCH("drop",소재DB_RAW!$C$3:$C$2000))))),"")</f>
        <v/>
      </c>
      <c r="W384" s="20" t="inlineStr">
        <is>
          <t>중국</t>
        </is>
      </c>
      <c r="X384" s="20">
        <f>IFERROR(TEXTJOIN(" / ",TRUE,UNIQUE(FILTER(소재DB_RAW!$N$3:$N$2000,(소재DB_RAW!$G$3:$G$2000=$D384)*ISERROR(SEARCH("drop",소재DB_RAW!$C$3:$C$2000))))),"")</f>
        <v/>
      </c>
      <c r="Y384" s="26">
        <f>IFERROR(TEXTJOIN(CHAR(10),TRUE,UNIQUE(FILTER(소재DB_RAW!$N$3:$N$2000&amp;") "&amp;소재DB_RAW!$O$3:$O$2000,(소재DB_RAW!$G$3:$G$2000=$D384)*ISNUMBER(SEARCH("겉감",소재DB_RAW!$M$3:$M$2000))*ISERROR(SEARCH("drop",소재DB_RAW!$C$3:$C$2000))))),"")</f>
        <v/>
      </c>
      <c r="Z384" s="26">
        <f>IFERROR(TEXTJOIN(CHAR(10),TRUE,UNIQUE(FILTER(소재DB_RAW!$N$3:$N$2000&amp;") "&amp;소재DB_RAW!$O$3:$O$2000,(소재DB_RAW!$G$3:$G$2000=$D384)*ISNUMBER(SEARCH("안감",소재DB_RAW!$M$3:$M$2000))*ISERROR(SEARCH("drop",소재DB_RAW!$C$3:$C$2000))))),"")</f>
        <v/>
      </c>
      <c r="AA384" s="22">
        <f>IFERROR(MAX(FILTER(소재DB_RAW!$AK$3:$AK$2000,(소재DB_RAW!$G$3:$G$2000=$D384)*ISERROR(SEARCH("drop",소재DB_RAW!$C$3:$C$2000))*(소재DB_RAW!$AK$3:$AK$2000&lt;&gt;""))),"")</f>
        <v/>
      </c>
      <c r="AB384" s="27" t="n">
        <v>1000</v>
      </c>
      <c r="AC384" s="27" t="n">
        <v>11000000</v>
      </c>
      <c r="AD384" s="27" t="n">
        <v>55000000</v>
      </c>
      <c r="AE384" s="20" t="n"/>
      <c r="AF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G384" s="19">
        <f>IF($K384="","",IF(OR(LEFT($AF384,2)="작지",LEFT($AF384,4)="소재입고"),IF(LEFT($G384,1)="S","★ 납기위험(S코드)","◆ 지연주의"),IF($AF384="정상","✓ 정상","? 확인필요")))</f>
        <v/>
      </c>
      <c r="AH384" s="21" t="n"/>
      <c r="AI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19">
        <f>IF(COUNTIF(EDW_RAW!$A$2:$A$1500,$D385)=0,"",IF(COUNTIFS(EDW_RAW!$A$2:$A$1500,$D385,EDW_RAW!$R$2:$R$1500,"&lt;&gt;~",EDW_RAW!$R$2:$R$1500,"&lt;&gt;")=COUNTIF(EDW_RAW!$A$2:$A$1500,$D385),"O",IF(COUNTIFS(EDW_RAW!$A$2:$A$1500,$D385,EDW_RAW!$R$2:$R$1500,"&lt;&gt;~",EDW_RAW!$R$2:$R$1500,"&lt;&gt;")&gt;0,"부분","X")))</f>
        <v/>
      </c>
      <c r="R385" s="19">
        <f>IF(COUNTIF(EDW_RAW!$A$2:$A$1500,$D385)=0,"",IF(COUNTIFS(EDW_RAW!$A$2:$A$1500,$D385,EDW_RAW!$U$2:$U$1500,"&lt;&gt;~",EDW_RAW!$U$2:$U$1500,"&lt;&gt;")=COUNTIF(EDW_RAW!$A$2:$A$1500,$D385),"O",IF(COUNTIFS(EDW_RAW!$A$2:$A$1500,$D385,EDW_RAW!$U$2:$U$1500,"&lt;&gt;~",EDW_RAW!$U$2:$U$1500,"&lt;&gt;")&gt;0,"부분","X")))</f>
        <v/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",TRUE,UNIQUE(FILTER(소재DB_RAW!$K$3:$K$2000,(소재DB_RAW!$G$3:$G$2000=$D385)*ISERROR(SEARCH("drop",소재DB_RAW!$C$3:$C$2000))))),"")</f>
        <v/>
      </c>
      <c r="W385" s="20" t="inlineStr">
        <is>
          <t>중국</t>
        </is>
      </c>
      <c r="X385" s="20">
        <f>IFERROR(TEXTJOIN(" / ",TRUE,UNIQUE(FILTER(소재DB_RAW!$N$3:$N$2000,(소재DB_RAW!$G$3:$G$2000=$D385)*ISERROR(SEARCH("drop",소재DB_RAW!$C$3:$C$2000))))),"")</f>
        <v/>
      </c>
      <c r="Y385" s="26">
        <f>IFERROR(TEXTJOIN(CHAR(10),TRUE,UNIQUE(FILTER(소재DB_RAW!$N$3:$N$2000&amp;") "&amp;소재DB_RAW!$O$3:$O$2000,(소재DB_RAW!$G$3:$G$2000=$D385)*ISNUMBER(SEARCH("겉감",소재DB_RAW!$M$3:$M$2000))*ISERROR(SEARCH("drop",소재DB_RAW!$C$3:$C$2000))))),"")</f>
        <v/>
      </c>
      <c r="Z385" s="26">
        <f>IFERROR(TEXTJOIN(CHAR(10),TRUE,UNIQUE(FILTER(소재DB_RAW!$N$3:$N$2000&amp;") "&amp;소재DB_RAW!$O$3:$O$2000,(소재DB_RAW!$G$3:$G$2000=$D385)*ISNUMBER(SEARCH("안감",소재DB_RAW!$M$3:$M$2000))*ISERROR(SEARCH("drop",소재DB_RAW!$C$3:$C$2000))))),"")</f>
        <v/>
      </c>
      <c r="AA385" s="22">
        <f>IFERROR(MAX(FILTER(소재DB_RAW!$AK$3:$AK$2000,(소재DB_RAW!$G$3:$G$2000=$D385)*ISERROR(SEARCH("drop",소재DB_RAW!$C$3:$C$2000))*(소재DB_RAW!$AK$3:$AK$2000&lt;&gt;""))),"")</f>
        <v/>
      </c>
      <c r="AB385" s="27" t="n">
        <v>1600</v>
      </c>
      <c r="AC385" s="27" t="n">
        <v>17600000</v>
      </c>
      <c r="AD385" s="27" t="n">
        <v>88000000</v>
      </c>
      <c r="AE385" s="20" t="inlineStr">
        <is>
          <t>1월4주</t>
        </is>
      </c>
      <c r="AF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G385" s="19">
        <f>IF($K385="","",IF(OR(LEFT($AF385,2)="작지",LEFT($AF385,4)="소재입고"),IF(LEFT($G385,1)="S","★ 납기위험(S코드)","◆ 지연주의"),IF($AF385="정상","✓ 정상","? 확인필요")))</f>
        <v/>
      </c>
      <c r="AH385" s="21" t="n"/>
      <c r="AI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19">
        <f>IF(COUNTIF(EDW_RAW!$A$2:$A$1500,$D386)=0,"",IF(COUNTIFS(EDW_RAW!$A$2:$A$1500,$D386,EDW_RAW!$R$2:$R$1500,"&lt;&gt;~",EDW_RAW!$R$2:$R$1500,"&lt;&gt;")=COUNTIF(EDW_RAW!$A$2:$A$1500,$D386),"O",IF(COUNTIFS(EDW_RAW!$A$2:$A$1500,$D386,EDW_RAW!$R$2:$R$1500,"&lt;&gt;~",EDW_RAW!$R$2:$R$1500,"&lt;&gt;")&gt;0,"부분","X")))</f>
        <v/>
      </c>
      <c r="R386" s="19">
        <f>IF(COUNTIF(EDW_RAW!$A$2:$A$1500,$D386)=0,"",IF(COUNTIFS(EDW_RAW!$A$2:$A$1500,$D386,EDW_RAW!$U$2:$U$1500,"&lt;&gt;~",EDW_RAW!$U$2:$U$1500,"&lt;&gt;")=COUNTIF(EDW_RAW!$A$2:$A$1500,$D386),"O",IF(COUNTIFS(EDW_RAW!$A$2:$A$1500,$D386,EDW_RAW!$U$2:$U$1500,"&lt;&gt;~",EDW_RAW!$U$2:$U$1500,"&lt;&gt;")&gt;0,"부분","X")))</f>
        <v/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",TRUE,UNIQUE(FILTER(소재DB_RAW!$K$3:$K$2000,(소재DB_RAW!$G$3:$G$2000=$D386)*ISERROR(SEARCH("drop",소재DB_RAW!$C$3:$C$2000))))),"")</f>
        <v/>
      </c>
      <c r="W386" s="20" t="inlineStr">
        <is>
          <t>중국</t>
        </is>
      </c>
      <c r="X386" s="20">
        <f>IFERROR(TEXTJOIN(" / ",TRUE,UNIQUE(FILTER(소재DB_RAW!$N$3:$N$2000,(소재DB_RAW!$G$3:$G$2000=$D386)*ISERROR(SEARCH("drop",소재DB_RAW!$C$3:$C$2000))))),"")</f>
        <v/>
      </c>
      <c r="Y386" s="26">
        <f>IFERROR(TEXTJOIN(CHAR(10),TRUE,UNIQUE(FILTER(소재DB_RAW!$N$3:$N$2000&amp;") "&amp;소재DB_RAW!$O$3:$O$2000,(소재DB_RAW!$G$3:$G$2000=$D386)*ISNUMBER(SEARCH("겉감",소재DB_RAW!$M$3:$M$2000))*ISERROR(SEARCH("drop",소재DB_RAW!$C$3:$C$2000))))),"")</f>
        <v/>
      </c>
      <c r="Z386" s="26">
        <f>IFERROR(TEXTJOIN(CHAR(10),TRUE,UNIQUE(FILTER(소재DB_RAW!$N$3:$N$2000&amp;") "&amp;소재DB_RAW!$O$3:$O$2000,(소재DB_RAW!$G$3:$G$2000=$D386)*ISNUMBER(SEARCH("안감",소재DB_RAW!$M$3:$M$2000))*ISERROR(SEARCH("drop",소재DB_RAW!$C$3:$C$2000))))),"")</f>
        <v/>
      </c>
      <c r="AA386" s="22">
        <f>IFERROR(MAX(FILTER(소재DB_RAW!$AK$3:$AK$2000,(소재DB_RAW!$G$3:$G$2000=$D386)*ISERROR(SEARCH("drop",소재DB_RAW!$C$3:$C$2000))*(소재DB_RAW!$AK$3:$AK$2000&lt;&gt;""))),"")</f>
        <v/>
      </c>
      <c r="AB386" s="27" t="n">
        <v>400</v>
      </c>
      <c r="AC386" s="27" t="n">
        <v>4400000</v>
      </c>
      <c r="AD386" s="27" t="n">
        <v>22000000</v>
      </c>
      <c r="AE386" s="20" t="inlineStr">
        <is>
          <t>1월4주</t>
        </is>
      </c>
      <c r="AF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G386" s="19">
        <f>IF($K386="","",IF(OR(LEFT($AF386,2)="작지",LEFT($AF386,4)="소재입고"),IF(LEFT($G386,1)="S","★ 납기위험(S코드)","◆ 지연주의"),IF($AF386="정상","✓ 정상","? 확인필요")))</f>
        <v/>
      </c>
      <c r="AH386" s="21" t="n"/>
      <c r="AI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19">
        <f>IF(COUNTIF(EDW_RAW!$A$2:$A$1500,$D387)=0,"",IF(COUNTIFS(EDW_RAW!$A$2:$A$1500,$D387,EDW_RAW!$R$2:$R$1500,"&lt;&gt;~",EDW_RAW!$R$2:$R$1500,"&lt;&gt;")=COUNTIF(EDW_RAW!$A$2:$A$1500,$D387),"O",IF(COUNTIFS(EDW_RAW!$A$2:$A$1500,$D387,EDW_RAW!$R$2:$R$1500,"&lt;&gt;~",EDW_RAW!$R$2:$R$1500,"&lt;&gt;")&gt;0,"부분","X")))</f>
        <v/>
      </c>
      <c r="R387" s="19">
        <f>IF(COUNTIF(EDW_RAW!$A$2:$A$1500,$D387)=0,"",IF(COUNTIFS(EDW_RAW!$A$2:$A$1500,$D387,EDW_RAW!$U$2:$U$1500,"&lt;&gt;~",EDW_RAW!$U$2:$U$1500,"&lt;&gt;")=COUNTIF(EDW_RAW!$A$2:$A$1500,$D387),"O",IF(COUNTIFS(EDW_RAW!$A$2:$A$1500,$D387,EDW_RAW!$U$2:$U$1500,"&lt;&gt;~",EDW_RAW!$U$2:$U$1500,"&lt;&gt;")&gt;0,"부분","X")))</f>
        <v/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",TRUE,UNIQUE(FILTER(소재DB_RAW!$K$3:$K$2000,(소재DB_RAW!$G$3:$G$2000=$D387)*ISERROR(SEARCH("drop",소재DB_RAW!$C$3:$C$2000))))),"")</f>
        <v/>
      </c>
      <c r="W387" s="20" t="inlineStr">
        <is>
          <t>중국</t>
        </is>
      </c>
      <c r="X387" s="20">
        <f>IFERROR(TEXTJOIN(" / ",TRUE,UNIQUE(FILTER(소재DB_RAW!$N$3:$N$2000,(소재DB_RAW!$G$3:$G$2000=$D387)*ISERROR(SEARCH("drop",소재DB_RAW!$C$3:$C$2000))))),"")</f>
        <v/>
      </c>
      <c r="Y387" s="26">
        <f>IFERROR(TEXTJOIN(CHAR(10),TRUE,UNIQUE(FILTER(소재DB_RAW!$N$3:$N$2000&amp;") "&amp;소재DB_RAW!$O$3:$O$2000,(소재DB_RAW!$G$3:$G$2000=$D387)*ISNUMBER(SEARCH("겉감",소재DB_RAW!$M$3:$M$2000))*ISERROR(SEARCH("drop",소재DB_RAW!$C$3:$C$2000))))),"")</f>
        <v/>
      </c>
      <c r="Z387" s="26">
        <f>IFERROR(TEXTJOIN(CHAR(10),TRUE,UNIQUE(FILTER(소재DB_RAW!$N$3:$N$2000&amp;") "&amp;소재DB_RAW!$O$3:$O$2000,(소재DB_RAW!$G$3:$G$2000=$D387)*ISNUMBER(SEARCH("안감",소재DB_RAW!$M$3:$M$2000))*ISERROR(SEARCH("drop",소재DB_RAW!$C$3:$C$2000))))),"")</f>
        <v/>
      </c>
      <c r="AA387" s="22">
        <f>IFERROR(MAX(FILTER(소재DB_RAW!$AK$3:$AK$2000,(소재DB_RAW!$G$3:$G$2000=$D387)*ISERROR(SEARCH("drop",소재DB_RAW!$C$3:$C$2000))*(소재DB_RAW!$AK$3:$AK$2000&lt;&gt;""))),"")</f>
        <v/>
      </c>
      <c r="AB387" s="27" t="n">
        <v>3700</v>
      </c>
      <c r="AC387" s="27" t="n">
        <v>40700000</v>
      </c>
      <c r="AD387" s="27" t="n">
        <v>203500000</v>
      </c>
      <c r="AE387" s="20" t="inlineStr">
        <is>
          <t>1월4주</t>
        </is>
      </c>
      <c r="AF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G387" s="19">
        <f>IF($K387="","",IF(OR(LEFT($AF387,2)="작지",LEFT($AF387,4)="소재입고"),IF(LEFT($G387,1)="S","★ 납기위험(S코드)","◆ 지연주의"),IF($AF387="정상","✓ 정상","? 확인필요")))</f>
        <v/>
      </c>
      <c r="AH387" s="21" t="n"/>
      <c r="AI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19">
        <f>IF(COUNTIF(EDW_RAW!$A$2:$A$1500,$D388)=0,"",IF(COUNTIFS(EDW_RAW!$A$2:$A$1500,$D388,EDW_RAW!$R$2:$R$1500,"&lt;&gt;~",EDW_RAW!$R$2:$R$1500,"&lt;&gt;")=COUNTIF(EDW_RAW!$A$2:$A$1500,$D388),"O",IF(COUNTIFS(EDW_RAW!$A$2:$A$1500,$D388,EDW_RAW!$R$2:$R$1500,"&lt;&gt;~",EDW_RAW!$R$2:$R$1500,"&lt;&gt;")&gt;0,"부분","X")))</f>
        <v/>
      </c>
      <c r="R388" s="19">
        <f>IF(COUNTIF(EDW_RAW!$A$2:$A$1500,$D388)=0,"",IF(COUNTIFS(EDW_RAW!$A$2:$A$1500,$D388,EDW_RAW!$U$2:$U$1500,"&lt;&gt;~",EDW_RAW!$U$2:$U$1500,"&lt;&gt;")=COUNTIF(EDW_RAW!$A$2:$A$1500,$D388),"O",IF(COUNTIFS(EDW_RAW!$A$2:$A$1500,$D388,EDW_RAW!$U$2:$U$1500,"&lt;&gt;~",EDW_RAW!$U$2:$U$1500,"&lt;&gt;")&gt;0,"부분","X")))</f>
        <v/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",TRUE,UNIQUE(FILTER(소재DB_RAW!$K$3:$K$2000,(소재DB_RAW!$G$3:$G$2000=$D388)*ISERROR(SEARCH("drop",소재DB_RAW!$C$3:$C$2000))))),"")</f>
        <v/>
      </c>
      <c r="W388" s="20" t="inlineStr">
        <is>
          <t>중국</t>
        </is>
      </c>
      <c r="X388" s="20">
        <f>IFERROR(TEXTJOIN(" / ",TRUE,UNIQUE(FILTER(소재DB_RAW!$N$3:$N$2000,(소재DB_RAW!$G$3:$G$2000=$D388)*ISERROR(SEARCH("drop",소재DB_RAW!$C$3:$C$2000))))),"")</f>
        <v/>
      </c>
      <c r="Y388" s="26">
        <f>IFERROR(TEXTJOIN(CHAR(10),TRUE,UNIQUE(FILTER(소재DB_RAW!$N$3:$N$2000&amp;") "&amp;소재DB_RAW!$O$3:$O$2000,(소재DB_RAW!$G$3:$G$2000=$D388)*ISNUMBER(SEARCH("겉감",소재DB_RAW!$M$3:$M$2000))*ISERROR(SEARCH("drop",소재DB_RAW!$C$3:$C$2000))))),"")</f>
        <v/>
      </c>
      <c r="Z388" s="26">
        <f>IFERROR(TEXTJOIN(CHAR(10),TRUE,UNIQUE(FILTER(소재DB_RAW!$N$3:$N$2000&amp;") "&amp;소재DB_RAW!$O$3:$O$2000,(소재DB_RAW!$G$3:$G$2000=$D388)*ISNUMBER(SEARCH("안감",소재DB_RAW!$M$3:$M$2000))*ISERROR(SEARCH("drop",소재DB_RAW!$C$3:$C$2000))))),"")</f>
        <v/>
      </c>
      <c r="AA388" s="22">
        <f>IFERROR(MAX(FILTER(소재DB_RAW!$AK$3:$AK$2000,(소재DB_RAW!$G$3:$G$2000=$D388)*ISERROR(SEARCH("drop",소재DB_RAW!$C$3:$C$2000))*(소재DB_RAW!$AK$3:$AK$2000&lt;&gt;""))),"")</f>
        <v/>
      </c>
      <c r="AB388" s="27" t="n">
        <v>4300</v>
      </c>
      <c r="AC388" s="27" t="n">
        <v>122369400</v>
      </c>
      <c r="AD388" s="27" t="n">
        <v>550400000</v>
      </c>
      <c r="AE388" s="20" t="inlineStr">
        <is>
          <t>1월4주</t>
        </is>
      </c>
      <c r="AF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G388" s="19">
        <f>IF($K388="","",IF(OR(LEFT($AF388,2)="작지",LEFT($AF388,4)="소재입고"),IF(LEFT($G388,1)="S","★ 납기위험(S코드)","◆ 지연주의"),IF($AF388="정상","✓ 정상","? 확인필요")))</f>
        <v/>
      </c>
      <c r="AH388" s="21" t="n"/>
      <c r="AI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19">
        <f>IF(COUNTIF(EDW_RAW!$A$2:$A$1500,$D389)=0,"",IF(COUNTIFS(EDW_RAW!$A$2:$A$1500,$D389,EDW_RAW!$R$2:$R$1500,"&lt;&gt;~",EDW_RAW!$R$2:$R$1500,"&lt;&gt;")=COUNTIF(EDW_RAW!$A$2:$A$1500,$D389),"O",IF(COUNTIFS(EDW_RAW!$A$2:$A$1500,$D389,EDW_RAW!$R$2:$R$1500,"&lt;&gt;~",EDW_RAW!$R$2:$R$1500,"&lt;&gt;")&gt;0,"부분","X")))</f>
        <v/>
      </c>
      <c r="R389" s="19">
        <f>IF(COUNTIF(EDW_RAW!$A$2:$A$1500,$D389)=0,"",IF(COUNTIFS(EDW_RAW!$A$2:$A$1500,$D389,EDW_RAW!$U$2:$U$1500,"&lt;&gt;~",EDW_RAW!$U$2:$U$1500,"&lt;&gt;")=COUNTIF(EDW_RAW!$A$2:$A$1500,$D389),"O",IF(COUNTIFS(EDW_RAW!$A$2:$A$1500,$D389,EDW_RAW!$U$2:$U$1500,"&lt;&gt;~",EDW_RAW!$U$2:$U$1500,"&lt;&gt;")&gt;0,"부분","X")))</f>
        <v/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",TRUE,UNIQUE(FILTER(소재DB_RAW!$K$3:$K$2000,(소재DB_RAW!$G$3:$G$2000=$D389)*ISERROR(SEARCH("drop",소재DB_RAW!$C$3:$C$2000))))),"")</f>
        <v/>
      </c>
      <c r="W389" s="20" t="inlineStr">
        <is>
          <t>중국</t>
        </is>
      </c>
      <c r="X389" s="20">
        <f>IFERROR(TEXTJOIN(" / ",TRUE,UNIQUE(FILTER(소재DB_RAW!$N$3:$N$2000,(소재DB_RAW!$G$3:$G$2000=$D389)*ISERROR(SEARCH("drop",소재DB_RAW!$C$3:$C$2000))))),"")</f>
        <v/>
      </c>
      <c r="Y389" s="26">
        <f>IFERROR(TEXTJOIN(CHAR(10),TRUE,UNIQUE(FILTER(소재DB_RAW!$N$3:$N$2000&amp;") "&amp;소재DB_RAW!$O$3:$O$2000,(소재DB_RAW!$G$3:$G$2000=$D389)*ISNUMBER(SEARCH("겉감",소재DB_RAW!$M$3:$M$2000))*ISERROR(SEARCH("drop",소재DB_RAW!$C$3:$C$2000))))),"")</f>
        <v/>
      </c>
      <c r="Z389" s="26">
        <f>IFERROR(TEXTJOIN(CHAR(10),TRUE,UNIQUE(FILTER(소재DB_RAW!$N$3:$N$2000&amp;") "&amp;소재DB_RAW!$O$3:$O$2000,(소재DB_RAW!$G$3:$G$2000=$D389)*ISNUMBER(SEARCH("안감",소재DB_RAW!$M$3:$M$2000))*ISERROR(SEARCH("drop",소재DB_RAW!$C$3:$C$2000))))),"")</f>
        <v/>
      </c>
      <c r="AA389" s="22">
        <f>IFERROR(MAX(FILTER(소재DB_RAW!$AK$3:$AK$2000,(소재DB_RAW!$G$3:$G$2000=$D389)*ISERROR(SEARCH("drop",소재DB_RAW!$C$3:$C$2000))*(소재DB_RAW!$AK$3:$AK$2000&lt;&gt;""))),"")</f>
        <v/>
      </c>
      <c r="AB389" s="27" t="n">
        <v>4100</v>
      </c>
      <c r="AC389" s="27" t="n">
        <v>150884100</v>
      </c>
      <c r="AD389" s="27" t="n">
        <v>688800000</v>
      </c>
      <c r="AE389" s="20" t="inlineStr">
        <is>
          <t>1월4주</t>
        </is>
      </c>
      <c r="AF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G389" s="19">
        <f>IF($K389="","",IF(OR(LEFT($AF389,2)="작지",LEFT($AF389,4)="소재입고"),IF(LEFT($G389,1)="S","★ 납기위험(S코드)","◆ 지연주의"),IF($AF389="정상","✓ 정상","? 확인필요")))</f>
        <v/>
      </c>
      <c r="AH389" s="21" t="n"/>
      <c r="AI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19">
        <f>IF(COUNTIF(EDW_RAW!$A$2:$A$1500,$D390)=0,"",IF(COUNTIFS(EDW_RAW!$A$2:$A$1500,$D390,EDW_RAW!$R$2:$R$1500,"&lt;&gt;~",EDW_RAW!$R$2:$R$1500,"&lt;&gt;")=COUNTIF(EDW_RAW!$A$2:$A$1500,$D390),"O",IF(COUNTIFS(EDW_RAW!$A$2:$A$1500,$D390,EDW_RAW!$R$2:$R$1500,"&lt;&gt;~",EDW_RAW!$R$2:$R$1500,"&lt;&gt;")&gt;0,"부분","X")))</f>
        <v/>
      </c>
      <c r="R390" s="19">
        <f>IF(COUNTIF(EDW_RAW!$A$2:$A$1500,$D390)=0,"",IF(COUNTIFS(EDW_RAW!$A$2:$A$1500,$D390,EDW_RAW!$U$2:$U$1500,"&lt;&gt;~",EDW_RAW!$U$2:$U$1500,"&lt;&gt;")=COUNTIF(EDW_RAW!$A$2:$A$1500,$D390),"O",IF(COUNTIFS(EDW_RAW!$A$2:$A$1500,$D390,EDW_RAW!$U$2:$U$1500,"&lt;&gt;~",EDW_RAW!$U$2:$U$1500,"&lt;&gt;")&gt;0,"부분","X")))</f>
        <v/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",TRUE,UNIQUE(FILTER(소재DB_RAW!$K$3:$K$2000,(소재DB_RAW!$G$3:$G$2000=$D390)*ISERROR(SEARCH("drop",소재DB_RAW!$C$3:$C$2000))))),"")</f>
        <v/>
      </c>
      <c r="W390" s="20" t="inlineStr">
        <is>
          <t>중국</t>
        </is>
      </c>
      <c r="X390" s="20">
        <f>IFERROR(TEXTJOIN(" / ",TRUE,UNIQUE(FILTER(소재DB_RAW!$N$3:$N$2000,(소재DB_RAW!$G$3:$G$2000=$D390)*ISERROR(SEARCH("drop",소재DB_RAW!$C$3:$C$2000))))),"")</f>
        <v/>
      </c>
      <c r="Y390" s="26">
        <f>IFERROR(TEXTJOIN(CHAR(10),TRUE,UNIQUE(FILTER(소재DB_RAW!$N$3:$N$2000&amp;") "&amp;소재DB_RAW!$O$3:$O$2000,(소재DB_RAW!$G$3:$G$2000=$D390)*ISNUMBER(SEARCH("겉감",소재DB_RAW!$M$3:$M$2000))*ISERROR(SEARCH("drop",소재DB_RAW!$C$3:$C$2000))))),"")</f>
        <v/>
      </c>
      <c r="Z390" s="26">
        <f>IFERROR(TEXTJOIN(CHAR(10),TRUE,UNIQUE(FILTER(소재DB_RAW!$N$3:$N$2000&amp;") "&amp;소재DB_RAW!$O$3:$O$2000,(소재DB_RAW!$G$3:$G$2000=$D390)*ISNUMBER(SEARCH("안감",소재DB_RAW!$M$3:$M$2000))*ISERROR(SEARCH("drop",소재DB_RAW!$C$3:$C$2000))))),"")</f>
        <v/>
      </c>
      <c r="AA390" s="22">
        <f>IFERROR(MAX(FILTER(소재DB_RAW!$AK$3:$AK$2000,(소재DB_RAW!$G$3:$G$2000=$D390)*ISERROR(SEARCH("drop",소재DB_RAW!$C$3:$C$2000))*(소재DB_RAW!$AK$3:$AK$2000&lt;&gt;""))),"")</f>
        <v/>
      </c>
      <c r="AB390" s="27" t="n">
        <v>1600</v>
      </c>
      <c r="AC390" s="27" t="n">
        <v>72000000</v>
      </c>
      <c r="AD390" s="27" t="n">
        <v>316800000</v>
      </c>
      <c r="AE390" s="20" t="inlineStr">
        <is>
          <t>1월4주</t>
        </is>
      </c>
      <c r="AF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G390" s="19">
        <f>IF($K390="","",IF(OR(LEFT($AF390,2)="작지",LEFT($AF390,4)="소재입고"),IF(LEFT($G390,1)="S","★ 납기위험(S코드)","◆ 지연주의"),IF($AF390="정상","✓ 정상","? 확인필요")))</f>
        <v/>
      </c>
      <c r="AH390" s="21" t="n"/>
      <c r="AI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19">
        <f>IF(COUNTIF(EDW_RAW!$A$2:$A$1500,$D391)=0,"",IF(COUNTIFS(EDW_RAW!$A$2:$A$1500,$D391,EDW_RAW!$R$2:$R$1500,"&lt;&gt;~",EDW_RAW!$R$2:$R$1500,"&lt;&gt;")=COUNTIF(EDW_RAW!$A$2:$A$1500,$D391),"O",IF(COUNTIFS(EDW_RAW!$A$2:$A$1500,$D391,EDW_RAW!$R$2:$R$1500,"&lt;&gt;~",EDW_RAW!$R$2:$R$1500,"&lt;&gt;")&gt;0,"부분","X")))</f>
        <v/>
      </c>
      <c r="R391" s="19">
        <f>IF(COUNTIF(EDW_RAW!$A$2:$A$1500,$D391)=0,"",IF(COUNTIFS(EDW_RAW!$A$2:$A$1500,$D391,EDW_RAW!$U$2:$U$1500,"&lt;&gt;~",EDW_RAW!$U$2:$U$1500,"&lt;&gt;")=COUNTIF(EDW_RAW!$A$2:$A$1500,$D391),"O",IF(COUNTIFS(EDW_RAW!$A$2:$A$1500,$D391,EDW_RAW!$U$2:$U$1500,"&lt;&gt;~",EDW_RAW!$U$2:$U$1500,"&lt;&gt;")&gt;0,"부분","X")))</f>
        <v/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",TRUE,UNIQUE(FILTER(소재DB_RAW!$K$3:$K$2000,(소재DB_RAW!$G$3:$G$2000=$D391)*ISERROR(SEARCH("drop",소재DB_RAW!$C$3:$C$2000))))),"")</f>
        <v/>
      </c>
      <c r="W391" s="20" t="inlineStr">
        <is>
          <t>중국</t>
        </is>
      </c>
      <c r="X391" s="20">
        <f>IFERROR(TEXTJOIN(" / ",TRUE,UNIQUE(FILTER(소재DB_RAW!$N$3:$N$2000,(소재DB_RAW!$G$3:$G$2000=$D391)*ISERROR(SEARCH("drop",소재DB_RAW!$C$3:$C$2000))))),"")</f>
        <v/>
      </c>
      <c r="Y391" s="26">
        <f>IFERROR(TEXTJOIN(CHAR(10),TRUE,UNIQUE(FILTER(소재DB_RAW!$N$3:$N$2000&amp;") "&amp;소재DB_RAW!$O$3:$O$2000,(소재DB_RAW!$G$3:$G$2000=$D391)*ISNUMBER(SEARCH("겉감",소재DB_RAW!$M$3:$M$2000))*ISERROR(SEARCH("drop",소재DB_RAW!$C$3:$C$2000))))),"")</f>
        <v/>
      </c>
      <c r="Z391" s="26">
        <f>IFERROR(TEXTJOIN(CHAR(10),TRUE,UNIQUE(FILTER(소재DB_RAW!$N$3:$N$2000&amp;") "&amp;소재DB_RAW!$O$3:$O$2000,(소재DB_RAW!$G$3:$G$2000=$D391)*ISNUMBER(SEARCH("안감",소재DB_RAW!$M$3:$M$2000))*ISERROR(SEARCH("drop",소재DB_RAW!$C$3:$C$2000))))),"")</f>
        <v/>
      </c>
      <c r="AA391" s="22">
        <f>IFERROR(MAX(FILTER(소재DB_RAW!$AK$3:$AK$2000,(소재DB_RAW!$G$3:$G$2000=$D391)*ISERROR(SEARCH("drop",소재DB_RAW!$C$3:$C$2000))*(소재DB_RAW!$AK$3:$AK$2000&lt;&gt;""))),"")</f>
        <v/>
      </c>
      <c r="AB391" s="27" t="n">
        <v>1000</v>
      </c>
      <c r="AC391" s="27" t="n">
        <v>52738000</v>
      </c>
      <c r="AD391" s="27" t="n">
        <v>220000000</v>
      </c>
      <c r="AE391" s="20" t="inlineStr">
        <is>
          <t>1월4주</t>
        </is>
      </c>
      <c r="AF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G391" s="19">
        <f>IF($K391="","",IF(OR(LEFT($AF391,2)="작지",LEFT($AF391,4)="소재입고"),IF(LEFT($G391,1)="S","★ 납기위험(S코드)","◆ 지연주의"),IF($AF391="정상","✓ 정상","? 확인필요")))</f>
        <v/>
      </c>
      <c r="AH391" s="21" t="n"/>
      <c r="AI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19">
        <f>IF(COUNTIF(EDW_RAW!$A$2:$A$1500,$D392)=0,"",IF(COUNTIFS(EDW_RAW!$A$2:$A$1500,$D392,EDW_RAW!$R$2:$R$1500,"&lt;&gt;~",EDW_RAW!$R$2:$R$1500,"&lt;&gt;")=COUNTIF(EDW_RAW!$A$2:$A$1500,$D392),"O",IF(COUNTIFS(EDW_RAW!$A$2:$A$1500,$D392,EDW_RAW!$R$2:$R$1500,"&lt;&gt;~",EDW_RAW!$R$2:$R$1500,"&lt;&gt;")&gt;0,"부분","X")))</f>
        <v/>
      </c>
      <c r="R392" s="19">
        <f>IF(COUNTIF(EDW_RAW!$A$2:$A$1500,$D392)=0,"",IF(COUNTIFS(EDW_RAW!$A$2:$A$1500,$D392,EDW_RAW!$U$2:$U$1500,"&lt;&gt;~",EDW_RAW!$U$2:$U$1500,"&lt;&gt;")=COUNTIF(EDW_RAW!$A$2:$A$1500,$D392),"O",IF(COUNTIFS(EDW_RAW!$A$2:$A$1500,$D392,EDW_RAW!$U$2:$U$1500,"&lt;&gt;~",EDW_RAW!$U$2:$U$1500,"&lt;&gt;")&gt;0,"부분","X")))</f>
        <v/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",TRUE,UNIQUE(FILTER(소재DB_RAW!$K$3:$K$2000,(소재DB_RAW!$G$3:$G$2000=$D392)*ISERROR(SEARCH("drop",소재DB_RAW!$C$3:$C$2000))))),"")</f>
        <v/>
      </c>
      <c r="W392" s="20" t="inlineStr">
        <is>
          <t>중국</t>
        </is>
      </c>
      <c r="X392" s="20">
        <f>IFERROR(TEXTJOIN(" / ",TRUE,UNIQUE(FILTER(소재DB_RAW!$N$3:$N$2000,(소재DB_RAW!$G$3:$G$2000=$D392)*ISERROR(SEARCH("drop",소재DB_RAW!$C$3:$C$2000))))),"")</f>
        <v/>
      </c>
      <c r="Y392" s="26">
        <f>IFERROR(TEXTJOIN(CHAR(10),TRUE,UNIQUE(FILTER(소재DB_RAW!$N$3:$N$2000&amp;") "&amp;소재DB_RAW!$O$3:$O$2000,(소재DB_RAW!$G$3:$G$2000=$D392)*ISNUMBER(SEARCH("겉감",소재DB_RAW!$M$3:$M$2000))*ISERROR(SEARCH("drop",소재DB_RAW!$C$3:$C$2000))))),"")</f>
        <v/>
      </c>
      <c r="Z392" s="26">
        <f>IFERROR(TEXTJOIN(CHAR(10),TRUE,UNIQUE(FILTER(소재DB_RAW!$N$3:$N$2000&amp;") "&amp;소재DB_RAW!$O$3:$O$2000,(소재DB_RAW!$G$3:$G$2000=$D392)*ISNUMBER(SEARCH("안감",소재DB_RAW!$M$3:$M$2000))*ISERROR(SEARCH("drop",소재DB_RAW!$C$3:$C$2000))))),"")</f>
        <v/>
      </c>
      <c r="AA392" s="22">
        <f>IFERROR(MAX(FILTER(소재DB_RAW!$AK$3:$AK$2000,(소재DB_RAW!$G$3:$G$2000=$D392)*ISERROR(SEARCH("drop",소재DB_RAW!$C$3:$C$2000))*(소재DB_RAW!$AK$3:$AK$2000&lt;&gt;""))),"")</f>
        <v/>
      </c>
      <c r="AB392" s="27" t="n">
        <v>1000</v>
      </c>
      <c r="AC392" s="27" t="n">
        <v>71579000</v>
      </c>
      <c r="AD392" s="27" t="n">
        <v>350000000</v>
      </c>
      <c r="AE392" s="20" t="inlineStr">
        <is>
          <t>1월4주</t>
        </is>
      </c>
      <c r="AF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G392" s="19">
        <f>IF($K392="","",IF(OR(LEFT($AF392,2)="작지",LEFT($AF392,4)="소재입고"),IF(LEFT($G392,1)="S","★ 납기위험(S코드)","◆ 지연주의"),IF($AF392="정상","✓ 정상","? 확인필요")))</f>
        <v/>
      </c>
      <c r="AH392" s="21" t="n"/>
      <c r="AI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19">
        <f>IF(COUNTIF(EDW_RAW!$A$2:$A$1500,$D393)=0,"",IF(COUNTIFS(EDW_RAW!$A$2:$A$1500,$D393,EDW_RAW!$R$2:$R$1500,"&lt;&gt;~",EDW_RAW!$R$2:$R$1500,"&lt;&gt;")=COUNTIF(EDW_RAW!$A$2:$A$1500,$D393),"O",IF(COUNTIFS(EDW_RAW!$A$2:$A$1500,$D393,EDW_RAW!$R$2:$R$1500,"&lt;&gt;~",EDW_RAW!$R$2:$R$1500,"&lt;&gt;")&gt;0,"부분","X")))</f>
        <v/>
      </c>
      <c r="R393" s="19">
        <f>IF(COUNTIF(EDW_RAW!$A$2:$A$1500,$D393)=0,"",IF(COUNTIFS(EDW_RAW!$A$2:$A$1500,$D393,EDW_RAW!$U$2:$U$1500,"&lt;&gt;~",EDW_RAW!$U$2:$U$1500,"&lt;&gt;")=COUNTIF(EDW_RAW!$A$2:$A$1500,$D393),"O",IF(COUNTIFS(EDW_RAW!$A$2:$A$1500,$D393,EDW_RAW!$U$2:$U$1500,"&lt;&gt;~",EDW_RAW!$U$2:$U$1500,"&lt;&gt;")&gt;0,"부분","X")))</f>
        <v/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",TRUE,UNIQUE(FILTER(소재DB_RAW!$K$3:$K$2000,(소재DB_RAW!$G$3:$G$2000=$D393)*ISERROR(SEARCH("drop",소재DB_RAW!$C$3:$C$2000))))),"")</f>
        <v/>
      </c>
      <c r="W393" s="20" t="inlineStr">
        <is>
          <t>중국</t>
        </is>
      </c>
      <c r="X393" s="20">
        <f>IFERROR(TEXTJOIN(" / ",TRUE,UNIQUE(FILTER(소재DB_RAW!$N$3:$N$2000,(소재DB_RAW!$G$3:$G$2000=$D393)*ISERROR(SEARCH("drop",소재DB_RAW!$C$3:$C$2000))))),"")</f>
        <v/>
      </c>
      <c r="Y393" s="26">
        <f>IFERROR(TEXTJOIN(CHAR(10),TRUE,UNIQUE(FILTER(소재DB_RAW!$N$3:$N$2000&amp;") "&amp;소재DB_RAW!$O$3:$O$2000,(소재DB_RAW!$G$3:$G$2000=$D393)*ISNUMBER(SEARCH("겉감",소재DB_RAW!$M$3:$M$2000))*ISERROR(SEARCH("drop",소재DB_RAW!$C$3:$C$2000))))),"")</f>
        <v/>
      </c>
      <c r="Z393" s="26">
        <f>IFERROR(TEXTJOIN(CHAR(10),TRUE,UNIQUE(FILTER(소재DB_RAW!$N$3:$N$2000&amp;") "&amp;소재DB_RAW!$O$3:$O$2000,(소재DB_RAW!$G$3:$G$2000=$D393)*ISNUMBER(SEARCH("안감",소재DB_RAW!$M$3:$M$2000))*ISERROR(SEARCH("drop",소재DB_RAW!$C$3:$C$2000))))),"")</f>
        <v/>
      </c>
      <c r="AA393" s="22">
        <f>IFERROR(MAX(FILTER(소재DB_RAW!$AK$3:$AK$2000,(소재DB_RAW!$G$3:$G$2000=$D393)*ISERROR(SEARCH("drop",소재DB_RAW!$C$3:$C$2000))*(소재DB_RAW!$AK$3:$AK$2000&lt;&gt;""))),"")</f>
        <v/>
      </c>
      <c r="AB393" s="27" t="n">
        <v>2500</v>
      </c>
      <c r="AC393" s="27" t="n">
        <v>57500000</v>
      </c>
      <c r="AD393" s="27" t="n">
        <v>270000000</v>
      </c>
      <c r="AE393" s="20" t="n"/>
      <c r="AF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G393" s="19">
        <f>IF($K393="","",IF(OR(LEFT($AF393,2)="작지",LEFT($AF393,4)="소재입고"),IF(LEFT($G393,1)="S","★ 납기위험(S코드)","◆ 지연주의"),IF($AF393="정상","✓ 정상","? 확인필요")))</f>
        <v/>
      </c>
      <c r="AH393" s="21" t="n"/>
      <c r="AI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19">
        <f>IF(COUNTIF(EDW_RAW!$A$2:$A$1500,$D394)=0,"",IF(COUNTIFS(EDW_RAW!$A$2:$A$1500,$D394,EDW_RAW!$R$2:$R$1500,"&lt;&gt;~",EDW_RAW!$R$2:$R$1500,"&lt;&gt;")=COUNTIF(EDW_RAW!$A$2:$A$1500,$D394),"O",IF(COUNTIFS(EDW_RAW!$A$2:$A$1500,$D394,EDW_RAW!$R$2:$R$1500,"&lt;&gt;~",EDW_RAW!$R$2:$R$1500,"&lt;&gt;")&gt;0,"부분","X")))</f>
        <v/>
      </c>
      <c r="R394" s="19">
        <f>IF(COUNTIF(EDW_RAW!$A$2:$A$1500,$D394)=0,"",IF(COUNTIFS(EDW_RAW!$A$2:$A$1500,$D394,EDW_RAW!$U$2:$U$1500,"&lt;&gt;~",EDW_RAW!$U$2:$U$1500,"&lt;&gt;")=COUNTIF(EDW_RAW!$A$2:$A$1500,$D394),"O",IF(COUNTIFS(EDW_RAW!$A$2:$A$1500,$D394,EDW_RAW!$U$2:$U$1500,"&lt;&gt;~",EDW_RAW!$U$2:$U$1500,"&lt;&gt;")&gt;0,"부분","X")))</f>
        <v/>
      </c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",TRUE,UNIQUE(FILTER(소재DB_RAW!$K$3:$K$2000,(소재DB_RAW!$G$3:$G$2000=$D394)*ISERROR(SEARCH("drop",소재DB_RAW!$C$3:$C$2000))))),"")</f>
        <v/>
      </c>
      <c r="W394" s="20" t="inlineStr">
        <is>
          <t>베트남</t>
        </is>
      </c>
      <c r="X394" s="20">
        <f>IFERROR(TEXTJOIN(" / ",TRUE,UNIQUE(FILTER(소재DB_RAW!$N$3:$N$2000,(소재DB_RAW!$G$3:$G$2000=$D394)*ISERROR(SEARCH("drop",소재DB_RAW!$C$3:$C$2000))))),"")</f>
        <v/>
      </c>
      <c r="Y394" s="26">
        <f>IFERROR(TEXTJOIN(CHAR(10),TRUE,UNIQUE(FILTER(소재DB_RAW!$N$3:$N$2000&amp;") "&amp;소재DB_RAW!$O$3:$O$2000,(소재DB_RAW!$G$3:$G$2000=$D394)*ISNUMBER(SEARCH("겉감",소재DB_RAW!$M$3:$M$2000))*ISERROR(SEARCH("drop",소재DB_RAW!$C$3:$C$2000))))),"")</f>
        <v/>
      </c>
      <c r="Z394" s="26">
        <f>IFERROR(TEXTJOIN(CHAR(10),TRUE,UNIQUE(FILTER(소재DB_RAW!$N$3:$N$2000&amp;") "&amp;소재DB_RAW!$O$3:$O$2000,(소재DB_RAW!$G$3:$G$2000=$D394)*ISNUMBER(SEARCH("안감",소재DB_RAW!$M$3:$M$2000))*ISERROR(SEARCH("drop",소재DB_RAW!$C$3:$C$2000))))),"")</f>
        <v/>
      </c>
      <c r="AA394" s="22">
        <f>IFERROR(MAX(FILTER(소재DB_RAW!$AK$3:$AK$2000,(소재DB_RAW!$G$3:$G$2000=$D394)*ISERROR(SEARCH("drop",소재DB_RAW!$C$3:$C$2000))*(소재DB_RAW!$AK$3:$AK$2000&lt;&gt;""))),"")</f>
        <v/>
      </c>
      <c r="AB394" s="27" t="n">
        <v>2000</v>
      </c>
      <c r="AC394" s="27" t="n">
        <v>46000000</v>
      </c>
      <c r="AD394" s="27" t="n">
        <v>216000000</v>
      </c>
      <c r="AE394" s="20" t="n"/>
      <c r="AF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G394" s="19">
        <f>IF($K394="","",IF(OR(LEFT($AF394,2)="작지",LEFT($AF394,4)="소재입고"),IF(LEFT($G394,1)="S","★ 납기위험(S코드)","◆ 지연주의"),IF($AF394="정상","✓ 정상","? 확인필요")))</f>
        <v/>
      </c>
      <c r="AH394" s="21" t="n"/>
      <c r="AI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19">
        <f>IF(COUNTIF(EDW_RAW!$A$2:$A$1500,$D395)=0,"",IF(COUNTIFS(EDW_RAW!$A$2:$A$1500,$D395,EDW_RAW!$R$2:$R$1500,"&lt;&gt;~",EDW_RAW!$R$2:$R$1500,"&lt;&gt;")=COUNTIF(EDW_RAW!$A$2:$A$1500,$D395),"O",IF(COUNTIFS(EDW_RAW!$A$2:$A$1500,$D395,EDW_RAW!$R$2:$R$1500,"&lt;&gt;~",EDW_RAW!$R$2:$R$1500,"&lt;&gt;")&gt;0,"부분","X")))</f>
        <v/>
      </c>
      <c r="R395" s="19">
        <f>IF(COUNTIF(EDW_RAW!$A$2:$A$1500,$D395)=0,"",IF(COUNTIFS(EDW_RAW!$A$2:$A$1500,$D395,EDW_RAW!$U$2:$U$1500,"&lt;&gt;~",EDW_RAW!$U$2:$U$1500,"&lt;&gt;")=COUNTIF(EDW_RAW!$A$2:$A$1500,$D395),"O",IF(COUNTIFS(EDW_RAW!$A$2:$A$1500,$D395,EDW_RAW!$U$2:$U$1500,"&lt;&gt;~",EDW_RAW!$U$2:$U$1500,"&lt;&gt;")&gt;0,"부분","X")))</f>
        <v/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",TRUE,UNIQUE(FILTER(소재DB_RAW!$K$3:$K$2000,(소재DB_RAW!$G$3:$G$2000=$D395)*ISERROR(SEARCH("drop",소재DB_RAW!$C$3:$C$2000))))),"")</f>
        <v/>
      </c>
      <c r="W395" s="20" t="inlineStr">
        <is>
          <t>베트남</t>
        </is>
      </c>
      <c r="X395" s="20">
        <f>IFERROR(TEXTJOIN(" / ",TRUE,UNIQUE(FILTER(소재DB_RAW!$N$3:$N$2000,(소재DB_RAW!$G$3:$G$2000=$D395)*ISERROR(SEARCH("drop",소재DB_RAW!$C$3:$C$2000))))),"")</f>
        <v/>
      </c>
      <c r="Y395" s="26">
        <f>IFERROR(TEXTJOIN(CHAR(10),TRUE,UNIQUE(FILTER(소재DB_RAW!$N$3:$N$2000&amp;") "&amp;소재DB_RAW!$O$3:$O$2000,(소재DB_RAW!$G$3:$G$2000=$D395)*ISNUMBER(SEARCH("겉감",소재DB_RAW!$M$3:$M$2000))*ISERROR(SEARCH("drop",소재DB_RAW!$C$3:$C$2000))))),"")</f>
        <v/>
      </c>
      <c r="Z395" s="26">
        <f>IFERROR(TEXTJOIN(CHAR(10),TRUE,UNIQUE(FILTER(소재DB_RAW!$N$3:$N$2000&amp;") "&amp;소재DB_RAW!$O$3:$O$2000,(소재DB_RAW!$G$3:$G$2000=$D395)*ISNUMBER(SEARCH("안감",소재DB_RAW!$M$3:$M$2000))*ISERROR(SEARCH("drop",소재DB_RAW!$C$3:$C$2000))))),"")</f>
        <v/>
      </c>
      <c r="AA395" s="22">
        <f>IFERROR(MAX(FILTER(소재DB_RAW!$AK$3:$AK$2000,(소재DB_RAW!$G$3:$G$2000=$D395)*ISERROR(SEARCH("drop",소재DB_RAW!$C$3:$C$2000))*(소재DB_RAW!$AK$3:$AK$2000&lt;&gt;""))),"")</f>
        <v/>
      </c>
      <c r="AB395" s="27" t="n">
        <v>5500</v>
      </c>
      <c r="AC395" s="27" t="n">
        <v>51066500</v>
      </c>
      <c r="AD395" s="27" t="n">
        <v>302500000</v>
      </c>
      <c r="AE395" s="20" t="n"/>
      <c r="AF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G395" s="19">
        <f>IF($K395="","",IF(OR(LEFT($AF395,2)="작지",LEFT($AF395,4)="소재입고"),IF(LEFT($G395,1)="S","★ 납기위험(S코드)","◆ 지연주의"),IF($AF395="정상","✓ 정상","? 확인필요")))</f>
        <v/>
      </c>
      <c r="AH395" s="21" t="n"/>
      <c r="AI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19">
        <f>IF(COUNTIF(EDW_RAW!$A$2:$A$1500,$D396)=0,"",IF(COUNTIFS(EDW_RAW!$A$2:$A$1500,$D396,EDW_RAW!$R$2:$R$1500,"&lt;&gt;~",EDW_RAW!$R$2:$R$1500,"&lt;&gt;")=COUNTIF(EDW_RAW!$A$2:$A$1500,$D396),"O",IF(COUNTIFS(EDW_RAW!$A$2:$A$1500,$D396,EDW_RAW!$R$2:$R$1500,"&lt;&gt;~",EDW_RAW!$R$2:$R$1500,"&lt;&gt;")&gt;0,"부분","X")))</f>
        <v/>
      </c>
      <c r="R396" s="19">
        <f>IF(COUNTIF(EDW_RAW!$A$2:$A$1500,$D396)=0,"",IF(COUNTIFS(EDW_RAW!$A$2:$A$1500,$D396,EDW_RAW!$U$2:$U$1500,"&lt;&gt;~",EDW_RAW!$U$2:$U$1500,"&lt;&gt;")=COUNTIF(EDW_RAW!$A$2:$A$1500,$D396),"O",IF(COUNTIFS(EDW_RAW!$A$2:$A$1500,$D396,EDW_RAW!$U$2:$U$1500,"&lt;&gt;~",EDW_RAW!$U$2:$U$1500,"&lt;&gt;")&gt;0,"부분","X")))</f>
        <v/>
      </c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",TRUE,UNIQUE(FILTER(소재DB_RAW!$K$3:$K$2000,(소재DB_RAW!$G$3:$G$2000=$D396)*ISERROR(SEARCH("drop",소재DB_RAW!$C$3:$C$2000))))),"")</f>
        <v/>
      </c>
      <c r="W396" s="20" t="inlineStr">
        <is>
          <t>베트남</t>
        </is>
      </c>
      <c r="X396" s="20">
        <f>IFERROR(TEXTJOIN(" / ",TRUE,UNIQUE(FILTER(소재DB_RAW!$N$3:$N$2000,(소재DB_RAW!$G$3:$G$2000=$D396)*ISERROR(SEARCH("drop",소재DB_RAW!$C$3:$C$2000))))),"")</f>
        <v/>
      </c>
      <c r="Y396" s="26">
        <f>IFERROR(TEXTJOIN(CHAR(10),TRUE,UNIQUE(FILTER(소재DB_RAW!$N$3:$N$2000&amp;") "&amp;소재DB_RAW!$O$3:$O$2000,(소재DB_RAW!$G$3:$G$2000=$D396)*ISNUMBER(SEARCH("겉감",소재DB_RAW!$M$3:$M$2000))*ISERROR(SEARCH("drop",소재DB_RAW!$C$3:$C$2000))))),"")</f>
        <v/>
      </c>
      <c r="Z396" s="26">
        <f>IFERROR(TEXTJOIN(CHAR(10),TRUE,UNIQUE(FILTER(소재DB_RAW!$N$3:$N$2000&amp;") "&amp;소재DB_RAW!$O$3:$O$2000,(소재DB_RAW!$G$3:$G$2000=$D396)*ISNUMBER(SEARCH("안감",소재DB_RAW!$M$3:$M$2000))*ISERROR(SEARCH("drop",소재DB_RAW!$C$3:$C$2000))))),"")</f>
        <v/>
      </c>
      <c r="AA396" s="22">
        <f>IFERROR(MAX(FILTER(소재DB_RAW!$AK$3:$AK$2000,(소재DB_RAW!$G$3:$G$2000=$D396)*ISERROR(SEARCH("drop",소재DB_RAW!$C$3:$C$2000))*(소재DB_RAW!$AK$3:$AK$2000&lt;&gt;""))),"")</f>
        <v/>
      </c>
      <c r="AB396" s="27" t="n">
        <v>5100</v>
      </c>
      <c r="AC396" s="27" t="n">
        <v>56747700</v>
      </c>
      <c r="AD396" s="27" t="n">
        <v>280500000</v>
      </c>
      <c r="AE396" s="20" t="n"/>
      <c r="AF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G396" s="19">
        <f>IF($K396="","",IF(OR(LEFT($AF396,2)="작지",LEFT($AF396,4)="소재입고"),IF(LEFT($G396,1)="S","★ 납기위험(S코드)","◆ 지연주의"),IF($AF396="정상","✓ 정상","? 확인필요")))</f>
        <v/>
      </c>
      <c r="AH396" s="21" t="n"/>
      <c r="AI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19">
        <f>IF(COUNTIF(EDW_RAW!$A$2:$A$1500,$D397)=0,"",IF(COUNTIFS(EDW_RAW!$A$2:$A$1500,$D397,EDW_RAW!$R$2:$R$1500,"&lt;&gt;~",EDW_RAW!$R$2:$R$1500,"&lt;&gt;")=COUNTIF(EDW_RAW!$A$2:$A$1500,$D397),"O",IF(COUNTIFS(EDW_RAW!$A$2:$A$1500,$D397,EDW_RAW!$R$2:$R$1500,"&lt;&gt;~",EDW_RAW!$R$2:$R$1500,"&lt;&gt;")&gt;0,"부분","X")))</f>
        <v/>
      </c>
      <c r="R397" s="19">
        <f>IF(COUNTIF(EDW_RAW!$A$2:$A$1500,$D397)=0,"",IF(COUNTIFS(EDW_RAW!$A$2:$A$1500,$D397,EDW_RAW!$U$2:$U$1500,"&lt;&gt;~",EDW_RAW!$U$2:$U$1500,"&lt;&gt;")=COUNTIF(EDW_RAW!$A$2:$A$1500,$D397),"O",IF(COUNTIFS(EDW_RAW!$A$2:$A$1500,$D397,EDW_RAW!$U$2:$U$1500,"&lt;&gt;~",EDW_RAW!$U$2:$U$1500,"&lt;&gt;")&gt;0,"부분","X")))</f>
        <v/>
      </c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",TRUE,UNIQUE(FILTER(소재DB_RAW!$K$3:$K$2000,(소재DB_RAW!$G$3:$G$2000=$D397)*ISERROR(SEARCH("drop",소재DB_RAW!$C$3:$C$2000))))),"")</f>
        <v/>
      </c>
      <c r="W397" s="20" t="inlineStr"/>
      <c r="X397" s="20">
        <f>IFERROR(TEXTJOIN(" / ",TRUE,UNIQUE(FILTER(소재DB_RAW!$N$3:$N$2000,(소재DB_RAW!$G$3:$G$2000=$D397)*ISERROR(SEARCH("drop",소재DB_RAW!$C$3:$C$2000))))),"")</f>
        <v/>
      </c>
      <c r="Y397" s="26">
        <f>IFERROR(TEXTJOIN(CHAR(10),TRUE,UNIQUE(FILTER(소재DB_RAW!$N$3:$N$2000&amp;") "&amp;소재DB_RAW!$O$3:$O$2000,(소재DB_RAW!$G$3:$G$2000=$D397)*ISNUMBER(SEARCH("겉감",소재DB_RAW!$M$3:$M$2000))*ISERROR(SEARCH("drop",소재DB_RAW!$C$3:$C$2000))))),"")</f>
        <v/>
      </c>
      <c r="Z397" s="26">
        <f>IFERROR(TEXTJOIN(CHAR(10),TRUE,UNIQUE(FILTER(소재DB_RAW!$N$3:$N$2000&amp;") "&amp;소재DB_RAW!$O$3:$O$2000,(소재DB_RAW!$G$3:$G$2000=$D397)*ISNUMBER(SEARCH("안감",소재DB_RAW!$M$3:$M$2000))*ISERROR(SEARCH("drop",소재DB_RAW!$C$3:$C$2000))))),"")</f>
        <v/>
      </c>
      <c r="AA397" s="22">
        <f>IFERROR(MAX(FILTER(소재DB_RAW!$AK$3:$AK$2000,(소재DB_RAW!$G$3:$G$2000=$D397)*ISERROR(SEARCH("drop",소재DB_RAW!$C$3:$C$2000))*(소재DB_RAW!$AK$3:$AK$2000&lt;&gt;""))),"")</f>
        <v/>
      </c>
      <c r="AB397" s="27" t="n">
        <v>2000</v>
      </c>
      <c r="AC397" s="27" t="n">
        <v>13000000</v>
      </c>
      <c r="AD397" s="27" t="n">
        <v>70000000</v>
      </c>
      <c r="AE397" s="20" t="n"/>
      <c r="AF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G397" s="19">
        <f>IF($K397="","",IF(OR(LEFT($AF397,2)="작지",LEFT($AF397,4)="소재입고"),IF(LEFT($G397,1)="S","★ 납기위험(S코드)","◆ 지연주의"),IF($AF397="정상","✓ 정상","? 확인필요")))</f>
        <v/>
      </c>
      <c r="AH397" s="21" t="n"/>
      <c r="AI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19">
        <f>IF(COUNTIF(EDW_RAW!$A$2:$A$1500,$D398)=0,"",IF(COUNTIFS(EDW_RAW!$A$2:$A$1500,$D398,EDW_RAW!$R$2:$R$1500,"&lt;&gt;~",EDW_RAW!$R$2:$R$1500,"&lt;&gt;")=COUNTIF(EDW_RAW!$A$2:$A$1500,$D398),"O",IF(COUNTIFS(EDW_RAW!$A$2:$A$1500,$D398,EDW_RAW!$R$2:$R$1500,"&lt;&gt;~",EDW_RAW!$R$2:$R$1500,"&lt;&gt;")&gt;0,"부분","X")))</f>
        <v/>
      </c>
      <c r="R398" s="19">
        <f>IF(COUNTIF(EDW_RAW!$A$2:$A$1500,$D398)=0,"",IF(COUNTIFS(EDW_RAW!$A$2:$A$1500,$D398,EDW_RAW!$U$2:$U$1500,"&lt;&gt;~",EDW_RAW!$U$2:$U$1500,"&lt;&gt;")=COUNTIF(EDW_RAW!$A$2:$A$1500,$D398),"O",IF(COUNTIFS(EDW_RAW!$A$2:$A$1500,$D398,EDW_RAW!$U$2:$U$1500,"&lt;&gt;~",EDW_RAW!$U$2:$U$1500,"&lt;&gt;")&gt;0,"부분","X")))</f>
        <v/>
      </c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",TRUE,UNIQUE(FILTER(소재DB_RAW!$K$3:$K$2000,(소재DB_RAW!$G$3:$G$2000=$D398)*ISERROR(SEARCH("drop",소재DB_RAW!$C$3:$C$2000))))),"")</f>
        <v/>
      </c>
      <c r="W398" s="20" t="inlineStr"/>
      <c r="X398" s="20">
        <f>IFERROR(TEXTJOIN(" / ",TRUE,UNIQUE(FILTER(소재DB_RAW!$N$3:$N$2000,(소재DB_RAW!$G$3:$G$2000=$D398)*ISERROR(SEARCH("drop",소재DB_RAW!$C$3:$C$2000))))),"")</f>
        <v/>
      </c>
      <c r="Y398" s="26">
        <f>IFERROR(TEXTJOIN(CHAR(10),TRUE,UNIQUE(FILTER(소재DB_RAW!$N$3:$N$2000&amp;") "&amp;소재DB_RAW!$O$3:$O$2000,(소재DB_RAW!$G$3:$G$2000=$D398)*ISNUMBER(SEARCH("겉감",소재DB_RAW!$M$3:$M$2000))*ISERROR(SEARCH("drop",소재DB_RAW!$C$3:$C$2000))))),"")</f>
        <v/>
      </c>
      <c r="Z398" s="26">
        <f>IFERROR(TEXTJOIN(CHAR(10),TRUE,UNIQUE(FILTER(소재DB_RAW!$N$3:$N$2000&amp;") "&amp;소재DB_RAW!$O$3:$O$2000,(소재DB_RAW!$G$3:$G$2000=$D398)*ISNUMBER(SEARCH("안감",소재DB_RAW!$M$3:$M$2000))*ISERROR(SEARCH("drop",소재DB_RAW!$C$3:$C$2000))))),"")</f>
        <v/>
      </c>
      <c r="AA398" s="22">
        <f>IFERROR(MAX(FILTER(소재DB_RAW!$AK$3:$AK$2000,(소재DB_RAW!$G$3:$G$2000=$D398)*ISERROR(SEARCH("drop",소재DB_RAW!$C$3:$C$2000))*(소재DB_RAW!$AK$3:$AK$2000&lt;&gt;""))),"")</f>
        <v/>
      </c>
      <c r="AB398" s="27" t="n">
        <v>3500</v>
      </c>
      <c r="AC398" s="27" t="n">
        <v>57974000</v>
      </c>
      <c r="AD398" s="27" t="n">
        <v>273000000</v>
      </c>
      <c r="AE398" s="20" t="n"/>
      <c r="AF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G398" s="19">
        <f>IF($K398="","",IF(OR(LEFT($AF398,2)="작지",LEFT($AF398,4)="소재입고"),IF(LEFT($G398,1)="S","★ 납기위험(S코드)","◆ 지연주의"),IF($AF398="정상","✓ 정상","? 확인필요")))</f>
        <v/>
      </c>
      <c r="AH398" s="21" t="n"/>
      <c r="AI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19">
        <f>IF(COUNTIF(EDW_RAW!$A$2:$A$1500,$D399)=0,"",IF(COUNTIFS(EDW_RAW!$A$2:$A$1500,$D399,EDW_RAW!$R$2:$R$1500,"&lt;&gt;~",EDW_RAW!$R$2:$R$1500,"&lt;&gt;")=COUNTIF(EDW_RAW!$A$2:$A$1500,$D399),"O",IF(COUNTIFS(EDW_RAW!$A$2:$A$1500,$D399,EDW_RAW!$R$2:$R$1500,"&lt;&gt;~",EDW_RAW!$R$2:$R$1500,"&lt;&gt;")&gt;0,"부분","X")))</f>
        <v/>
      </c>
      <c r="R399" s="19">
        <f>IF(COUNTIF(EDW_RAW!$A$2:$A$1500,$D399)=0,"",IF(COUNTIFS(EDW_RAW!$A$2:$A$1500,$D399,EDW_RAW!$U$2:$U$1500,"&lt;&gt;~",EDW_RAW!$U$2:$U$1500,"&lt;&gt;")=COUNTIF(EDW_RAW!$A$2:$A$1500,$D399),"O",IF(COUNTIFS(EDW_RAW!$A$2:$A$1500,$D399,EDW_RAW!$U$2:$U$1500,"&lt;&gt;~",EDW_RAW!$U$2:$U$1500,"&lt;&gt;")&gt;0,"부분","X")))</f>
        <v/>
      </c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",TRUE,UNIQUE(FILTER(소재DB_RAW!$K$3:$K$2000,(소재DB_RAW!$G$3:$G$2000=$D399)*ISERROR(SEARCH("drop",소재DB_RAW!$C$3:$C$2000))))),"")</f>
        <v/>
      </c>
      <c r="W399" s="20" t="inlineStr"/>
      <c r="X399" s="20">
        <f>IFERROR(TEXTJOIN(" / ",TRUE,UNIQUE(FILTER(소재DB_RAW!$N$3:$N$2000,(소재DB_RAW!$G$3:$G$2000=$D399)*ISERROR(SEARCH("drop",소재DB_RAW!$C$3:$C$2000))))),"")</f>
        <v/>
      </c>
      <c r="Y399" s="26">
        <f>IFERROR(TEXTJOIN(CHAR(10),TRUE,UNIQUE(FILTER(소재DB_RAW!$N$3:$N$2000&amp;") "&amp;소재DB_RAW!$O$3:$O$2000,(소재DB_RAW!$G$3:$G$2000=$D399)*ISNUMBER(SEARCH("겉감",소재DB_RAW!$M$3:$M$2000))*ISERROR(SEARCH("drop",소재DB_RAW!$C$3:$C$2000))))),"")</f>
        <v/>
      </c>
      <c r="Z399" s="26">
        <f>IFERROR(TEXTJOIN(CHAR(10),TRUE,UNIQUE(FILTER(소재DB_RAW!$N$3:$N$2000&amp;") "&amp;소재DB_RAW!$O$3:$O$2000,(소재DB_RAW!$G$3:$G$2000=$D399)*ISNUMBER(SEARCH("안감",소재DB_RAW!$M$3:$M$2000))*ISERROR(SEARCH("drop",소재DB_RAW!$C$3:$C$2000))))),"")</f>
        <v/>
      </c>
      <c r="AA399" s="22">
        <f>IFERROR(MAX(FILTER(소재DB_RAW!$AK$3:$AK$2000,(소재DB_RAW!$G$3:$G$2000=$D399)*ISERROR(SEARCH("drop",소재DB_RAW!$C$3:$C$2000))*(소재DB_RAW!$AK$3:$AK$2000&lt;&gt;""))),"")</f>
        <v/>
      </c>
      <c r="AB399" s="27" t="n">
        <v>2000</v>
      </c>
      <c r="AC399" s="27" t="n">
        <v>24000000</v>
      </c>
      <c r="AD399" s="27" t="n">
        <v>110000000</v>
      </c>
      <c r="AE399" s="20" t="n"/>
      <c r="AF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G399" s="19">
        <f>IF($K399="","",IF(OR(LEFT($AF399,2)="작지",LEFT($AF399,4)="소재입고"),IF(LEFT($G399,1)="S","★ 납기위험(S코드)","◆ 지연주의"),IF($AF399="정상","✓ 정상","? 확인필요")))</f>
        <v/>
      </c>
      <c r="AH399" s="21" t="n"/>
      <c r="AI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19">
        <f>IF(COUNTIF(EDW_RAW!$A$2:$A$1500,$D400)=0,"",IF(COUNTIFS(EDW_RAW!$A$2:$A$1500,$D400,EDW_RAW!$R$2:$R$1500,"&lt;&gt;~",EDW_RAW!$R$2:$R$1500,"&lt;&gt;")=COUNTIF(EDW_RAW!$A$2:$A$1500,$D400),"O",IF(COUNTIFS(EDW_RAW!$A$2:$A$1500,$D400,EDW_RAW!$R$2:$R$1500,"&lt;&gt;~",EDW_RAW!$R$2:$R$1500,"&lt;&gt;")&gt;0,"부분","X")))</f>
        <v/>
      </c>
      <c r="R400" s="19">
        <f>IF(COUNTIF(EDW_RAW!$A$2:$A$1500,$D400)=0,"",IF(COUNTIFS(EDW_RAW!$A$2:$A$1500,$D400,EDW_RAW!$U$2:$U$1500,"&lt;&gt;~",EDW_RAW!$U$2:$U$1500,"&lt;&gt;")=COUNTIF(EDW_RAW!$A$2:$A$1500,$D400),"O",IF(COUNTIFS(EDW_RAW!$A$2:$A$1500,$D400,EDW_RAW!$U$2:$U$1500,"&lt;&gt;~",EDW_RAW!$U$2:$U$1500,"&lt;&gt;")&gt;0,"부분","X")))</f>
        <v/>
      </c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",TRUE,UNIQUE(FILTER(소재DB_RAW!$K$3:$K$2000,(소재DB_RAW!$G$3:$G$2000=$D400)*ISERROR(SEARCH("drop",소재DB_RAW!$C$3:$C$2000))))),"")</f>
        <v/>
      </c>
      <c r="W400" s="20" t="inlineStr"/>
      <c r="X400" s="20">
        <f>IFERROR(TEXTJOIN(" / ",TRUE,UNIQUE(FILTER(소재DB_RAW!$N$3:$N$2000,(소재DB_RAW!$G$3:$G$2000=$D400)*ISERROR(SEARCH("drop",소재DB_RAW!$C$3:$C$2000))))),"")</f>
        <v/>
      </c>
      <c r="Y400" s="26">
        <f>IFERROR(TEXTJOIN(CHAR(10),TRUE,UNIQUE(FILTER(소재DB_RAW!$N$3:$N$2000&amp;") "&amp;소재DB_RAW!$O$3:$O$2000,(소재DB_RAW!$G$3:$G$2000=$D400)*ISNUMBER(SEARCH("겉감",소재DB_RAW!$M$3:$M$2000))*ISERROR(SEARCH("drop",소재DB_RAW!$C$3:$C$2000))))),"")</f>
        <v/>
      </c>
      <c r="Z400" s="26">
        <f>IFERROR(TEXTJOIN(CHAR(10),TRUE,UNIQUE(FILTER(소재DB_RAW!$N$3:$N$2000&amp;") "&amp;소재DB_RAW!$O$3:$O$2000,(소재DB_RAW!$G$3:$G$2000=$D400)*ISNUMBER(SEARCH("안감",소재DB_RAW!$M$3:$M$2000))*ISERROR(SEARCH("drop",소재DB_RAW!$C$3:$C$2000))))),"")</f>
        <v/>
      </c>
      <c r="AA400" s="22">
        <f>IFERROR(MAX(FILTER(소재DB_RAW!$AK$3:$AK$2000,(소재DB_RAW!$G$3:$G$2000=$D400)*ISERROR(SEARCH("drop",소재DB_RAW!$C$3:$C$2000))*(소재DB_RAW!$AK$3:$AK$2000&lt;&gt;""))),"")</f>
        <v/>
      </c>
      <c r="AB400" s="27" t="n">
        <v>1500</v>
      </c>
      <c r="AC400" s="27" t="n">
        <v>26250000</v>
      </c>
      <c r="AD400" s="27" t="n">
        <v>117000000</v>
      </c>
      <c r="AE400" s="20" t="n"/>
      <c r="AF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G400" s="19">
        <f>IF($K400="","",IF(OR(LEFT($AF400,2)="작지",LEFT($AF400,4)="소재입고"),IF(LEFT($G400,1)="S","★ 납기위험(S코드)","◆ 지연주의"),IF($AF400="정상","✓ 정상","? 확인필요")))</f>
        <v/>
      </c>
      <c r="AH400" s="21" t="n"/>
      <c r="AI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19">
        <f>IF(COUNTIF(EDW_RAW!$A$2:$A$1500,$D401)=0,"",IF(COUNTIFS(EDW_RAW!$A$2:$A$1500,$D401,EDW_RAW!$R$2:$R$1500,"&lt;&gt;~",EDW_RAW!$R$2:$R$1500,"&lt;&gt;")=COUNTIF(EDW_RAW!$A$2:$A$1500,$D401),"O",IF(COUNTIFS(EDW_RAW!$A$2:$A$1500,$D401,EDW_RAW!$R$2:$R$1500,"&lt;&gt;~",EDW_RAW!$R$2:$R$1500,"&lt;&gt;")&gt;0,"부분","X")))</f>
        <v/>
      </c>
      <c r="R401" s="19">
        <f>IF(COUNTIF(EDW_RAW!$A$2:$A$1500,$D401)=0,"",IF(COUNTIFS(EDW_RAW!$A$2:$A$1500,$D401,EDW_RAW!$U$2:$U$1500,"&lt;&gt;~",EDW_RAW!$U$2:$U$1500,"&lt;&gt;")=COUNTIF(EDW_RAW!$A$2:$A$1500,$D401),"O",IF(COUNTIFS(EDW_RAW!$A$2:$A$1500,$D401,EDW_RAW!$U$2:$U$1500,"&lt;&gt;~",EDW_RAW!$U$2:$U$1500,"&lt;&gt;")&gt;0,"부분","X")))</f>
        <v/>
      </c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",TRUE,UNIQUE(FILTER(소재DB_RAW!$K$3:$K$2000,(소재DB_RAW!$G$3:$G$2000=$D401)*ISERROR(SEARCH("drop",소재DB_RAW!$C$3:$C$2000))))),"")</f>
        <v/>
      </c>
      <c r="W401" s="20" t="inlineStr"/>
      <c r="X401" s="20">
        <f>IFERROR(TEXTJOIN(" / ",TRUE,UNIQUE(FILTER(소재DB_RAW!$N$3:$N$2000,(소재DB_RAW!$G$3:$G$2000=$D401)*ISERROR(SEARCH("drop",소재DB_RAW!$C$3:$C$2000))))),"")</f>
        <v/>
      </c>
      <c r="Y401" s="26">
        <f>IFERROR(TEXTJOIN(CHAR(10),TRUE,UNIQUE(FILTER(소재DB_RAW!$N$3:$N$2000&amp;") "&amp;소재DB_RAW!$O$3:$O$2000,(소재DB_RAW!$G$3:$G$2000=$D401)*ISNUMBER(SEARCH("겉감",소재DB_RAW!$M$3:$M$2000))*ISERROR(SEARCH("drop",소재DB_RAW!$C$3:$C$2000))))),"")</f>
        <v/>
      </c>
      <c r="Z401" s="26">
        <f>IFERROR(TEXTJOIN(CHAR(10),TRUE,UNIQUE(FILTER(소재DB_RAW!$N$3:$N$2000&amp;") "&amp;소재DB_RAW!$O$3:$O$2000,(소재DB_RAW!$G$3:$G$2000=$D401)*ISNUMBER(SEARCH("안감",소재DB_RAW!$M$3:$M$2000))*ISERROR(SEARCH("drop",소재DB_RAW!$C$3:$C$2000))))),"")</f>
        <v/>
      </c>
      <c r="AA401" s="22">
        <f>IFERROR(MAX(FILTER(소재DB_RAW!$AK$3:$AK$2000,(소재DB_RAW!$G$3:$G$2000=$D401)*ISERROR(SEARCH("drop",소재DB_RAW!$C$3:$C$2000))*(소재DB_RAW!$AK$3:$AK$2000&lt;&gt;""))),"")</f>
        <v/>
      </c>
      <c r="AB401" s="27" t="n">
        <v>2000</v>
      </c>
      <c r="AC401" s="27" t="n">
        <v>30000000</v>
      </c>
      <c r="AD401" s="27" t="n">
        <v>120000000</v>
      </c>
      <c r="AE401" s="20" t="n"/>
      <c r="AF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G401" s="19">
        <f>IF($K401="","",IF(OR(LEFT($AF401,2)="작지",LEFT($AF401,4)="소재입고"),IF(LEFT($G401,1)="S","★ 납기위험(S코드)","◆ 지연주의"),IF($AF401="정상","✓ 정상","? 확인필요")))</f>
        <v/>
      </c>
      <c r="AH401" s="21" t="n"/>
      <c r="AI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19">
        <f>IF(COUNTIF(EDW_RAW!$A$2:$A$1500,$D402)=0,"",IF(COUNTIFS(EDW_RAW!$A$2:$A$1500,$D402,EDW_RAW!$R$2:$R$1500,"&lt;&gt;~",EDW_RAW!$R$2:$R$1500,"&lt;&gt;")=COUNTIF(EDW_RAW!$A$2:$A$1500,$D402),"O",IF(COUNTIFS(EDW_RAW!$A$2:$A$1500,$D402,EDW_RAW!$R$2:$R$1500,"&lt;&gt;~",EDW_RAW!$R$2:$R$1500,"&lt;&gt;")&gt;0,"부분","X")))</f>
        <v/>
      </c>
      <c r="R402" s="19">
        <f>IF(COUNTIF(EDW_RAW!$A$2:$A$1500,$D402)=0,"",IF(COUNTIFS(EDW_RAW!$A$2:$A$1500,$D402,EDW_RAW!$U$2:$U$1500,"&lt;&gt;~",EDW_RAW!$U$2:$U$1500,"&lt;&gt;")=COUNTIF(EDW_RAW!$A$2:$A$1500,$D402),"O",IF(COUNTIFS(EDW_RAW!$A$2:$A$1500,$D402,EDW_RAW!$U$2:$U$1500,"&lt;&gt;~",EDW_RAW!$U$2:$U$1500,"&lt;&gt;")&gt;0,"부분","X")))</f>
        <v/>
      </c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",TRUE,UNIQUE(FILTER(소재DB_RAW!$K$3:$K$2000,(소재DB_RAW!$G$3:$G$2000=$D402)*ISERROR(SEARCH("drop",소재DB_RAW!$C$3:$C$2000))))),"")</f>
        <v/>
      </c>
      <c r="W402" s="20" t="inlineStr"/>
      <c r="X402" s="20">
        <f>IFERROR(TEXTJOIN(" / ",TRUE,UNIQUE(FILTER(소재DB_RAW!$N$3:$N$2000,(소재DB_RAW!$G$3:$G$2000=$D402)*ISERROR(SEARCH("drop",소재DB_RAW!$C$3:$C$2000))))),"")</f>
        <v/>
      </c>
      <c r="Y402" s="26">
        <f>IFERROR(TEXTJOIN(CHAR(10),TRUE,UNIQUE(FILTER(소재DB_RAW!$N$3:$N$2000&amp;") "&amp;소재DB_RAW!$O$3:$O$2000,(소재DB_RAW!$G$3:$G$2000=$D402)*ISNUMBER(SEARCH("겉감",소재DB_RAW!$M$3:$M$2000))*ISERROR(SEARCH("drop",소재DB_RAW!$C$3:$C$2000))))),"")</f>
        <v/>
      </c>
      <c r="Z402" s="26">
        <f>IFERROR(TEXTJOIN(CHAR(10),TRUE,UNIQUE(FILTER(소재DB_RAW!$N$3:$N$2000&amp;") "&amp;소재DB_RAW!$O$3:$O$2000,(소재DB_RAW!$G$3:$G$2000=$D402)*ISNUMBER(SEARCH("안감",소재DB_RAW!$M$3:$M$2000))*ISERROR(SEARCH("drop",소재DB_RAW!$C$3:$C$2000))))),"")</f>
        <v/>
      </c>
      <c r="AA402" s="22">
        <f>IFERROR(MAX(FILTER(소재DB_RAW!$AK$3:$AK$2000,(소재DB_RAW!$G$3:$G$2000=$D402)*ISERROR(SEARCH("drop",소재DB_RAW!$C$3:$C$2000))*(소재DB_RAW!$AK$3:$AK$2000&lt;&gt;""))),"")</f>
        <v/>
      </c>
      <c r="AB402" s="27" t="n">
        <v>3000</v>
      </c>
      <c r="AC402" s="27" t="n">
        <v>31680000</v>
      </c>
      <c r="AD402" s="27" t="n">
        <v>135000000</v>
      </c>
      <c r="AE402" s="20" t="n"/>
      <c r="AF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G402" s="19">
        <f>IF($K402="","",IF(OR(LEFT($AF402,2)="작지",LEFT($AF402,4)="소재입고"),IF(LEFT($G402,1)="S","★ 납기위험(S코드)","◆ 지연주의"),IF($AF402="정상","✓ 정상","? 확인필요")))</f>
        <v/>
      </c>
      <c r="AH402" s="21" t="n"/>
      <c r="AI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19">
        <f>IF(COUNTIF(EDW_RAW!$A$2:$A$1500,$D403)=0,"",IF(COUNTIFS(EDW_RAW!$A$2:$A$1500,$D403,EDW_RAW!$R$2:$R$1500,"&lt;&gt;~",EDW_RAW!$R$2:$R$1500,"&lt;&gt;")=COUNTIF(EDW_RAW!$A$2:$A$1500,$D403),"O",IF(COUNTIFS(EDW_RAW!$A$2:$A$1500,$D403,EDW_RAW!$R$2:$R$1500,"&lt;&gt;~",EDW_RAW!$R$2:$R$1500,"&lt;&gt;")&gt;0,"부분","X")))</f>
        <v/>
      </c>
      <c r="R403" s="19">
        <f>IF(COUNTIF(EDW_RAW!$A$2:$A$1500,$D403)=0,"",IF(COUNTIFS(EDW_RAW!$A$2:$A$1500,$D403,EDW_RAW!$U$2:$U$1500,"&lt;&gt;~",EDW_RAW!$U$2:$U$1500,"&lt;&gt;")=COUNTIF(EDW_RAW!$A$2:$A$1500,$D403),"O",IF(COUNTIFS(EDW_RAW!$A$2:$A$1500,$D403,EDW_RAW!$U$2:$U$1500,"&lt;&gt;~",EDW_RAW!$U$2:$U$1500,"&lt;&gt;")&gt;0,"부분","X")))</f>
        <v/>
      </c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",TRUE,UNIQUE(FILTER(소재DB_RAW!$K$3:$K$2000,(소재DB_RAW!$G$3:$G$2000=$D403)*ISERROR(SEARCH("drop",소재DB_RAW!$C$3:$C$2000))))),"")</f>
        <v/>
      </c>
      <c r="W403" s="20" t="inlineStr"/>
      <c r="X403" s="20">
        <f>IFERROR(TEXTJOIN(" / ",TRUE,UNIQUE(FILTER(소재DB_RAW!$N$3:$N$2000,(소재DB_RAW!$G$3:$G$2000=$D403)*ISERROR(SEARCH("drop",소재DB_RAW!$C$3:$C$2000))))),"")</f>
        <v/>
      </c>
      <c r="Y403" s="26">
        <f>IFERROR(TEXTJOIN(CHAR(10),TRUE,UNIQUE(FILTER(소재DB_RAW!$N$3:$N$2000&amp;") "&amp;소재DB_RAW!$O$3:$O$2000,(소재DB_RAW!$G$3:$G$2000=$D403)*ISNUMBER(SEARCH("겉감",소재DB_RAW!$M$3:$M$2000))*ISERROR(SEARCH("drop",소재DB_RAW!$C$3:$C$2000))))),"")</f>
        <v/>
      </c>
      <c r="Z403" s="26">
        <f>IFERROR(TEXTJOIN(CHAR(10),TRUE,UNIQUE(FILTER(소재DB_RAW!$N$3:$N$2000&amp;") "&amp;소재DB_RAW!$O$3:$O$2000,(소재DB_RAW!$G$3:$G$2000=$D403)*ISNUMBER(SEARCH("안감",소재DB_RAW!$M$3:$M$2000))*ISERROR(SEARCH("drop",소재DB_RAW!$C$3:$C$2000))))),"")</f>
        <v/>
      </c>
      <c r="AA403" s="22">
        <f>IFERROR(MAX(FILTER(소재DB_RAW!$AK$3:$AK$2000,(소재DB_RAW!$G$3:$G$2000=$D403)*ISERROR(SEARCH("drop",소재DB_RAW!$C$3:$C$2000))*(소재DB_RAW!$AK$3:$AK$2000&lt;&gt;""))),"")</f>
        <v/>
      </c>
      <c r="AB403" s="27" t="n">
        <v>4000</v>
      </c>
      <c r="AC403" s="27" t="n">
        <v>38084000</v>
      </c>
      <c r="AD403" s="27" t="n">
        <v>160000000</v>
      </c>
      <c r="AE403" s="20" t="n"/>
      <c r="AF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G403" s="19">
        <f>IF($K403="","",IF(OR(LEFT($AF403,2)="작지",LEFT($AF403,4)="소재입고"),IF(LEFT($G403,1)="S","★ 납기위험(S코드)","◆ 지연주의"),IF($AF403="정상","✓ 정상","? 확인필요")))</f>
        <v/>
      </c>
      <c r="AH403" s="21" t="n"/>
      <c r="AI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19">
        <f>IF(COUNTIF(EDW_RAW!$A$2:$A$1500,$D404)=0,"",IF(COUNTIFS(EDW_RAW!$A$2:$A$1500,$D404,EDW_RAW!$R$2:$R$1500,"&lt;&gt;~",EDW_RAW!$R$2:$R$1500,"&lt;&gt;")=COUNTIF(EDW_RAW!$A$2:$A$1500,$D404),"O",IF(COUNTIFS(EDW_RAW!$A$2:$A$1500,$D404,EDW_RAW!$R$2:$R$1500,"&lt;&gt;~",EDW_RAW!$R$2:$R$1500,"&lt;&gt;")&gt;0,"부분","X")))</f>
        <v/>
      </c>
      <c r="R404" s="19">
        <f>IF(COUNTIF(EDW_RAW!$A$2:$A$1500,$D404)=0,"",IF(COUNTIFS(EDW_RAW!$A$2:$A$1500,$D404,EDW_RAW!$U$2:$U$1500,"&lt;&gt;~",EDW_RAW!$U$2:$U$1500,"&lt;&gt;")=COUNTIF(EDW_RAW!$A$2:$A$1500,$D404),"O",IF(COUNTIFS(EDW_RAW!$A$2:$A$1500,$D404,EDW_RAW!$U$2:$U$1500,"&lt;&gt;~",EDW_RAW!$U$2:$U$1500,"&lt;&gt;")&gt;0,"부분","X")))</f>
        <v/>
      </c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",TRUE,UNIQUE(FILTER(소재DB_RAW!$K$3:$K$2000,(소재DB_RAW!$G$3:$G$2000=$D404)*ISERROR(SEARCH("drop",소재DB_RAW!$C$3:$C$2000))))),"")</f>
        <v/>
      </c>
      <c r="W404" s="20" t="inlineStr"/>
      <c r="X404" s="20">
        <f>IFERROR(TEXTJOIN(" / ",TRUE,UNIQUE(FILTER(소재DB_RAW!$N$3:$N$2000,(소재DB_RAW!$G$3:$G$2000=$D404)*ISERROR(SEARCH("drop",소재DB_RAW!$C$3:$C$2000))))),"")</f>
        <v/>
      </c>
      <c r="Y404" s="26">
        <f>IFERROR(TEXTJOIN(CHAR(10),TRUE,UNIQUE(FILTER(소재DB_RAW!$N$3:$N$2000&amp;") "&amp;소재DB_RAW!$O$3:$O$2000,(소재DB_RAW!$G$3:$G$2000=$D404)*ISNUMBER(SEARCH("겉감",소재DB_RAW!$M$3:$M$2000))*ISERROR(SEARCH("drop",소재DB_RAW!$C$3:$C$2000))))),"")</f>
        <v/>
      </c>
      <c r="Z404" s="26">
        <f>IFERROR(TEXTJOIN(CHAR(10),TRUE,UNIQUE(FILTER(소재DB_RAW!$N$3:$N$2000&amp;") "&amp;소재DB_RAW!$O$3:$O$2000,(소재DB_RAW!$G$3:$G$2000=$D404)*ISNUMBER(SEARCH("안감",소재DB_RAW!$M$3:$M$2000))*ISERROR(SEARCH("drop",소재DB_RAW!$C$3:$C$2000))))),"")</f>
        <v/>
      </c>
      <c r="AA404" s="22">
        <f>IFERROR(MAX(FILTER(소재DB_RAW!$AK$3:$AK$2000,(소재DB_RAW!$G$3:$G$2000=$D404)*ISERROR(SEARCH("drop",소재DB_RAW!$C$3:$C$2000))*(소재DB_RAW!$AK$3:$AK$2000&lt;&gt;""))),"")</f>
        <v/>
      </c>
      <c r="AB404" s="27" t="n">
        <v>2000</v>
      </c>
      <c r="AC404" s="27" t="n">
        <v>22000000</v>
      </c>
      <c r="AD404" s="27" t="n">
        <v>110000000</v>
      </c>
      <c r="AE404" s="20" t="n"/>
      <c r="AF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G404" s="19">
        <f>IF($K404="","",IF(OR(LEFT($AF404,2)="작지",LEFT($AF404,4)="소재입고"),IF(LEFT($G404,1)="S","★ 납기위험(S코드)","◆ 지연주의"),IF($AF404="정상","✓ 정상","? 확인필요")))</f>
        <v/>
      </c>
      <c r="AH404" s="21" t="n"/>
      <c r="AI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19">
        <f>IF(COUNTIF(EDW_RAW!$A$2:$A$1500,$D405)=0,"",IF(COUNTIFS(EDW_RAW!$A$2:$A$1500,$D405,EDW_RAW!$R$2:$R$1500,"&lt;&gt;~",EDW_RAW!$R$2:$R$1500,"&lt;&gt;")=COUNTIF(EDW_RAW!$A$2:$A$1500,$D405),"O",IF(COUNTIFS(EDW_RAW!$A$2:$A$1500,$D405,EDW_RAW!$R$2:$R$1500,"&lt;&gt;~",EDW_RAW!$R$2:$R$1500,"&lt;&gt;")&gt;0,"부분","X")))</f>
        <v/>
      </c>
      <c r="R405" s="19">
        <f>IF(COUNTIF(EDW_RAW!$A$2:$A$1500,$D405)=0,"",IF(COUNTIFS(EDW_RAW!$A$2:$A$1500,$D405,EDW_RAW!$U$2:$U$1500,"&lt;&gt;~",EDW_RAW!$U$2:$U$1500,"&lt;&gt;")=COUNTIF(EDW_RAW!$A$2:$A$1500,$D405),"O",IF(COUNTIFS(EDW_RAW!$A$2:$A$1500,$D405,EDW_RAW!$U$2:$U$1500,"&lt;&gt;~",EDW_RAW!$U$2:$U$1500,"&lt;&gt;")&gt;0,"부분","X")))</f>
        <v/>
      </c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",TRUE,UNIQUE(FILTER(소재DB_RAW!$K$3:$K$2000,(소재DB_RAW!$G$3:$G$2000=$D405)*ISERROR(SEARCH("drop",소재DB_RAW!$C$3:$C$2000))))),"")</f>
        <v/>
      </c>
      <c r="W405" s="20" t="inlineStr"/>
      <c r="X405" s="20">
        <f>IFERROR(TEXTJOIN(" / ",TRUE,UNIQUE(FILTER(소재DB_RAW!$N$3:$N$2000,(소재DB_RAW!$G$3:$G$2000=$D405)*ISERROR(SEARCH("drop",소재DB_RAW!$C$3:$C$2000))))),"")</f>
        <v/>
      </c>
      <c r="Y405" s="26">
        <f>IFERROR(TEXTJOIN(CHAR(10),TRUE,UNIQUE(FILTER(소재DB_RAW!$N$3:$N$2000&amp;") "&amp;소재DB_RAW!$O$3:$O$2000,(소재DB_RAW!$G$3:$G$2000=$D405)*ISNUMBER(SEARCH("겉감",소재DB_RAW!$M$3:$M$2000))*ISERROR(SEARCH("drop",소재DB_RAW!$C$3:$C$2000))))),"")</f>
        <v/>
      </c>
      <c r="Z405" s="26">
        <f>IFERROR(TEXTJOIN(CHAR(10),TRUE,UNIQUE(FILTER(소재DB_RAW!$N$3:$N$2000&amp;") "&amp;소재DB_RAW!$O$3:$O$2000,(소재DB_RAW!$G$3:$G$2000=$D405)*ISNUMBER(SEARCH("안감",소재DB_RAW!$M$3:$M$2000))*ISERROR(SEARCH("drop",소재DB_RAW!$C$3:$C$2000))))),"")</f>
        <v/>
      </c>
      <c r="AA405" s="22">
        <f>IFERROR(MAX(FILTER(소재DB_RAW!$AK$3:$AK$2000,(소재DB_RAW!$G$3:$G$2000=$D405)*ISERROR(SEARCH("drop",소재DB_RAW!$C$3:$C$2000))*(소재DB_RAW!$AK$3:$AK$2000&lt;&gt;""))),"")</f>
        <v/>
      </c>
      <c r="AB405" s="27" t="n">
        <v>3000</v>
      </c>
      <c r="AC405" s="27" t="n">
        <v>51000000</v>
      </c>
      <c r="AD405" s="27" t="n">
        <v>234000000</v>
      </c>
      <c r="AE405" s="20" t="n"/>
      <c r="AF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G405" s="19">
        <f>IF($K405="","",IF(OR(LEFT($AF405,2)="작지",LEFT($AF405,4)="소재입고"),IF(LEFT($G405,1)="S","★ 납기위험(S코드)","◆ 지연주의"),IF($AF405="정상","✓ 정상","? 확인필요")))</f>
        <v/>
      </c>
      <c r="AH405" s="21" t="n"/>
      <c r="AI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19">
        <f>IF(COUNTIF(EDW_RAW!$A$2:$A$1500,$D406)=0,"",IF(COUNTIFS(EDW_RAW!$A$2:$A$1500,$D406,EDW_RAW!$R$2:$R$1500,"&lt;&gt;~",EDW_RAW!$R$2:$R$1500,"&lt;&gt;")=COUNTIF(EDW_RAW!$A$2:$A$1500,$D406),"O",IF(COUNTIFS(EDW_RAW!$A$2:$A$1500,$D406,EDW_RAW!$R$2:$R$1500,"&lt;&gt;~",EDW_RAW!$R$2:$R$1500,"&lt;&gt;")&gt;0,"부분","X")))</f>
        <v/>
      </c>
      <c r="R406" s="19">
        <f>IF(COUNTIF(EDW_RAW!$A$2:$A$1500,$D406)=0,"",IF(COUNTIFS(EDW_RAW!$A$2:$A$1500,$D406,EDW_RAW!$U$2:$U$1500,"&lt;&gt;~",EDW_RAW!$U$2:$U$1500,"&lt;&gt;")=COUNTIF(EDW_RAW!$A$2:$A$1500,$D406),"O",IF(COUNTIFS(EDW_RAW!$A$2:$A$1500,$D406,EDW_RAW!$U$2:$U$1500,"&lt;&gt;~",EDW_RAW!$U$2:$U$1500,"&lt;&gt;")&gt;0,"부분","X")))</f>
        <v/>
      </c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",TRUE,UNIQUE(FILTER(소재DB_RAW!$K$3:$K$2000,(소재DB_RAW!$G$3:$G$2000=$D406)*ISERROR(SEARCH("drop",소재DB_RAW!$C$3:$C$2000))))),"")</f>
        <v/>
      </c>
      <c r="W406" s="20" t="inlineStr"/>
      <c r="X406" s="20">
        <f>IFERROR(TEXTJOIN(" / ",TRUE,UNIQUE(FILTER(소재DB_RAW!$N$3:$N$2000,(소재DB_RAW!$G$3:$G$2000=$D406)*ISERROR(SEARCH("drop",소재DB_RAW!$C$3:$C$2000))))),"")</f>
        <v/>
      </c>
      <c r="Y406" s="26">
        <f>IFERROR(TEXTJOIN(CHAR(10),TRUE,UNIQUE(FILTER(소재DB_RAW!$N$3:$N$2000&amp;") "&amp;소재DB_RAW!$O$3:$O$2000,(소재DB_RAW!$G$3:$G$2000=$D406)*ISNUMBER(SEARCH("겉감",소재DB_RAW!$M$3:$M$2000))*ISERROR(SEARCH("drop",소재DB_RAW!$C$3:$C$2000))))),"")</f>
        <v/>
      </c>
      <c r="Z406" s="26">
        <f>IFERROR(TEXTJOIN(CHAR(10),TRUE,UNIQUE(FILTER(소재DB_RAW!$N$3:$N$2000&amp;") "&amp;소재DB_RAW!$O$3:$O$2000,(소재DB_RAW!$G$3:$G$2000=$D406)*ISNUMBER(SEARCH("안감",소재DB_RAW!$M$3:$M$2000))*ISERROR(SEARCH("drop",소재DB_RAW!$C$3:$C$2000))))),"")</f>
        <v/>
      </c>
      <c r="AA406" s="22">
        <f>IFERROR(MAX(FILTER(소재DB_RAW!$AK$3:$AK$2000,(소재DB_RAW!$G$3:$G$2000=$D406)*ISERROR(SEARCH("drop",소재DB_RAW!$C$3:$C$2000))*(소재DB_RAW!$AK$3:$AK$2000&lt;&gt;""))),"")</f>
        <v/>
      </c>
      <c r="AB406" s="27" t="n">
        <v>4000</v>
      </c>
      <c r="AC406" s="27" t="n">
        <v>44908000</v>
      </c>
      <c r="AD406" s="27" t="n">
        <v>220000000</v>
      </c>
      <c r="AE406" s="20" t="n"/>
      <c r="AF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G406" s="19">
        <f>IF($K406="","",IF(OR(LEFT($AF406,2)="작지",LEFT($AF406,4)="소재입고"),IF(LEFT($G406,1)="S","★ 납기위험(S코드)","◆ 지연주의"),IF($AF406="정상","✓ 정상","? 확인필요")))</f>
        <v/>
      </c>
      <c r="AH406" s="21" t="n"/>
      <c r="AI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19">
        <f>IF(COUNTIF(EDW_RAW!$A$2:$A$1500,$D407)=0,"",IF(COUNTIFS(EDW_RAW!$A$2:$A$1500,$D407,EDW_RAW!$R$2:$R$1500,"&lt;&gt;~",EDW_RAW!$R$2:$R$1500,"&lt;&gt;")=COUNTIF(EDW_RAW!$A$2:$A$1500,$D407),"O",IF(COUNTIFS(EDW_RAW!$A$2:$A$1500,$D407,EDW_RAW!$R$2:$R$1500,"&lt;&gt;~",EDW_RAW!$R$2:$R$1500,"&lt;&gt;")&gt;0,"부분","X")))</f>
        <v/>
      </c>
      <c r="R407" s="19">
        <f>IF(COUNTIF(EDW_RAW!$A$2:$A$1500,$D407)=0,"",IF(COUNTIFS(EDW_RAW!$A$2:$A$1500,$D407,EDW_RAW!$U$2:$U$1500,"&lt;&gt;~",EDW_RAW!$U$2:$U$1500,"&lt;&gt;")=COUNTIF(EDW_RAW!$A$2:$A$1500,$D407),"O",IF(COUNTIFS(EDW_RAW!$A$2:$A$1500,$D407,EDW_RAW!$U$2:$U$1500,"&lt;&gt;~",EDW_RAW!$U$2:$U$1500,"&lt;&gt;")&gt;0,"부분","X")))</f>
        <v/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",TRUE,UNIQUE(FILTER(소재DB_RAW!$K$3:$K$2000,(소재DB_RAW!$G$3:$G$2000=$D407)*ISERROR(SEARCH("drop",소재DB_RAW!$C$3:$C$2000))))),"")</f>
        <v/>
      </c>
      <c r="W407" s="20" t="inlineStr">
        <is>
          <t>한국</t>
        </is>
      </c>
      <c r="X407" s="20">
        <f>IFERROR(TEXTJOIN(" / ",TRUE,UNIQUE(FILTER(소재DB_RAW!$N$3:$N$2000,(소재DB_RAW!$G$3:$G$2000=$D407)*ISERROR(SEARCH("drop",소재DB_RAW!$C$3:$C$2000))))),"")</f>
        <v/>
      </c>
      <c r="Y407" s="26">
        <f>IFERROR(TEXTJOIN(CHAR(10),TRUE,UNIQUE(FILTER(소재DB_RAW!$N$3:$N$2000&amp;") "&amp;소재DB_RAW!$O$3:$O$2000,(소재DB_RAW!$G$3:$G$2000=$D407)*ISNUMBER(SEARCH("겉감",소재DB_RAW!$M$3:$M$2000))*ISERROR(SEARCH("drop",소재DB_RAW!$C$3:$C$2000))))),"")</f>
        <v/>
      </c>
      <c r="Z407" s="26">
        <f>IFERROR(TEXTJOIN(CHAR(10),TRUE,UNIQUE(FILTER(소재DB_RAW!$N$3:$N$2000&amp;") "&amp;소재DB_RAW!$O$3:$O$2000,(소재DB_RAW!$G$3:$G$2000=$D407)*ISNUMBER(SEARCH("안감",소재DB_RAW!$M$3:$M$2000))*ISERROR(SEARCH("drop",소재DB_RAW!$C$3:$C$2000))))),"")</f>
        <v/>
      </c>
      <c r="AA407" s="22">
        <f>IFERROR(MAX(FILTER(소재DB_RAW!$AK$3:$AK$2000,(소재DB_RAW!$G$3:$G$2000=$D407)*ISERROR(SEARCH("drop",소재DB_RAW!$C$3:$C$2000))*(소재DB_RAW!$AK$3:$AK$2000&lt;&gt;""))),"")</f>
        <v/>
      </c>
      <c r="AB407" s="27" t="n">
        <v>7000</v>
      </c>
      <c r="AC407" s="27" t="n">
        <v>25998000</v>
      </c>
      <c r="AD407" s="27" t="n">
        <v>112000000</v>
      </c>
      <c r="AE407" s="20" t="n"/>
      <c r="AF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G407" s="19">
        <f>IF($K407="","",IF(OR(LEFT($AF407,2)="작지",LEFT($AF407,4)="소재입고"),IF(LEFT($G407,1)="S","★ 납기위험(S코드)","◆ 지연주의"),IF($AF407="정상","✓ 정상","? 확인필요")))</f>
        <v/>
      </c>
      <c r="AH407" s="21" t="n"/>
      <c r="AI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19">
        <f>IF(COUNTIF(EDW_RAW!$A$2:$A$1500,$D408)=0,"",IF(COUNTIFS(EDW_RAW!$A$2:$A$1500,$D408,EDW_RAW!$R$2:$R$1500,"&lt;&gt;~",EDW_RAW!$R$2:$R$1500,"&lt;&gt;")=COUNTIF(EDW_RAW!$A$2:$A$1500,$D408),"O",IF(COUNTIFS(EDW_RAW!$A$2:$A$1500,$D408,EDW_RAW!$R$2:$R$1500,"&lt;&gt;~",EDW_RAW!$R$2:$R$1500,"&lt;&gt;")&gt;0,"부분","X")))</f>
        <v/>
      </c>
      <c r="R408" s="19">
        <f>IF(COUNTIF(EDW_RAW!$A$2:$A$1500,$D408)=0,"",IF(COUNTIFS(EDW_RAW!$A$2:$A$1500,$D408,EDW_RAW!$U$2:$U$1500,"&lt;&gt;~",EDW_RAW!$U$2:$U$1500,"&lt;&gt;")=COUNTIF(EDW_RAW!$A$2:$A$1500,$D408),"O",IF(COUNTIFS(EDW_RAW!$A$2:$A$1500,$D408,EDW_RAW!$U$2:$U$1500,"&lt;&gt;~",EDW_RAW!$U$2:$U$1500,"&lt;&gt;")&gt;0,"부분","X")))</f>
        <v/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",TRUE,UNIQUE(FILTER(소재DB_RAW!$K$3:$K$2000,(소재DB_RAW!$G$3:$G$2000=$D408)*ISERROR(SEARCH("drop",소재DB_RAW!$C$3:$C$2000))))),"")</f>
        <v/>
      </c>
      <c r="W408" s="20" t="inlineStr">
        <is>
          <t>한국</t>
        </is>
      </c>
      <c r="X408" s="20">
        <f>IFERROR(TEXTJOIN(" / ",TRUE,UNIQUE(FILTER(소재DB_RAW!$N$3:$N$2000,(소재DB_RAW!$G$3:$G$2000=$D408)*ISERROR(SEARCH("drop",소재DB_RAW!$C$3:$C$2000))))),"")</f>
        <v/>
      </c>
      <c r="Y408" s="26">
        <f>IFERROR(TEXTJOIN(CHAR(10),TRUE,UNIQUE(FILTER(소재DB_RAW!$N$3:$N$2000&amp;") "&amp;소재DB_RAW!$O$3:$O$2000,(소재DB_RAW!$G$3:$G$2000=$D408)*ISNUMBER(SEARCH("겉감",소재DB_RAW!$M$3:$M$2000))*ISERROR(SEARCH("drop",소재DB_RAW!$C$3:$C$2000))))),"")</f>
        <v/>
      </c>
      <c r="Z408" s="26">
        <f>IFERROR(TEXTJOIN(CHAR(10),TRUE,UNIQUE(FILTER(소재DB_RAW!$N$3:$N$2000&amp;") "&amp;소재DB_RAW!$O$3:$O$2000,(소재DB_RAW!$G$3:$G$2000=$D408)*ISNUMBER(SEARCH("안감",소재DB_RAW!$M$3:$M$2000))*ISERROR(SEARCH("drop",소재DB_RAW!$C$3:$C$2000))))),"")</f>
        <v/>
      </c>
      <c r="AA408" s="22">
        <f>IFERROR(MAX(FILTER(소재DB_RAW!$AK$3:$AK$2000,(소재DB_RAW!$G$3:$G$2000=$D408)*ISERROR(SEARCH("drop",소재DB_RAW!$C$3:$C$2000))*(소재DB_RAW!$AK$3:$AK$2000&lt;&gt;""))),"")</f>
        <v/>
      </c>
      <c r="AB408" s="27" t="n">
        <v>1400</v>
      </c>
      <c r="AC408" s="27" t="n">
        <v>4393200</v>
      </c>
      <c r="AD408" s="27" t="n">
        <v>28000000</v>
      </c>
      <c r="AE408" s="20" t="n"/>
      <c r="AF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G408" s="19">
        <f>IF($K408="","",IF(OR(LEFT($AF408,2)="작지",LEFT($AF408,4)="소재입고"),IF(LEFT($G408,1)="S","★ 납기위험(S코드)","◆ 지연주의"),IF($AF408="정상","✓ 정상","? 확인필요")))</f>
        <v/>
      </c>
      <c r="AH408" s="21" t="n"/>
      <c r="AI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19">
        <f>IF(COUNTIF(EDW_RAW!$A$2:$A$1500,$D409)=0,"",IF(COUNTIFS(EDW_RAW!$A$2:$A$1500,$D409,EDW_RAW!$R$2:$R$1500,"&lt;&gt;~",EDW_RAW!$R$2:$R$1500,"&lt;&gt;")=COUNTIF(EDW_RAW!$A$2:$A$1500,$D409),"O",IF(COUNTIFS(EDW_RAW!$A$2:$A$1500,$D409,EDW_RAW!$R$2:$R$1500,"&lt;&gt;~",EDW_RAW!$R$2:$R$1500,"&lt;&gt;")&gt;0,"부분","X")))</f>
        <v/>
      </c>
      <c r="R409" s="19">
        <f>IF(COUNTIF(EDW_RAW!$A$2:$A$1500,$D409)=0,"",IF(COUNTIFS(EDW_RAW!$A$2:$A$1500,$D409,EDW_RAW!$U$2:$U$1500,"&lt;&gt;~",EDW_RAW!$U$2:$U$1500,"&lt;&gt;")=COUNTIF(EDW_RAW!$A$2:$A$1500,$D409),"O",IF(COUNTIFS(EDW_RAW!$A$2:$A$1500,$D409,EDW_RAW!$U$2:$U$1500,"&lt;&gt;~",EDW_RAW!$U$2:$U$1500,"&lt;&gt;")&gt;0,"부분","X")))</f>
        <v/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",TRUE,UNIQUE(FILTER(소재DB_RAW!$K$3:$K$2000,(소재DB_RAW!$G$3:$G$2000=$D409)*ISERROR(SEARCH("drop",소재DB_RAW!$C$3:$C$2000))))),"")</f>
        <v/>
      </c>
      <c r="W409" s="20" t="inlineStr">
        <is>
          <t>국내</t>
        </is>
      </c>
      <c r="X409" s="20">
        <f>IFERROR(TEXTJOIN(" / ",TRUE,UNIQUE(FILTER(소재DB_RAW!$N$3:$N$2000,(소재DB_RAW!$G$3:$G$2000=$D409)*ISERROR(SEARCH("drop",소재DB_RAW!$C$3:$C$2000))))),"")</f>
        <v/>
      </c>
      <c r="Y409" s="26">
        <f>IFERROR(TEXTJOIN(CHAR(10),TRUE,UNIQUE(FILTER(소재DB_RAW!$N$3:$N$2000&amp;") "&amp;소재DB_RAW!$O$3:$O$2000,(소재DB_RAW!$G$3:$G$2000=$D409)*ISNUMBER(SEARCH("겉감",소재DB_RAW!$M$3:$M$2000))*ISERROR(SEARCH("drop",소재DB_RAW!$C$3:$C$2000))))),"")</f>
        <v/>
      </c>
      <c r="Z409" s="26">
        <f>IFERROR(TEXTJOIN(CHAR(10),TRUE,UNIQUE(FILTER(소재DB_RAW!$N$3:$N$2000&amp;") "&amp;소재DB_RAW!$O$3:$O$2000,(소재DB_RAW!$G$3:$G$2000=$D409)*ISNUMBER(SEARCH("안감",소재DB_RAW!$M$3:$M$2000))*ISERROR(SEARCH("drop",소재DB_RAW!$C$3:$C$2000))))),"")</f>
        <v/>
      </c>
      <c r="AA409" s="22">
        <f>IFERROR(MAX(FILTER(소재DB_RAW!$AK$3:$AK$2000,(소재DB_RAW!$G$3:$G$2000=$D409)*ISERROR(SEARCH("drop",소재DB_RAW!$C$3:$C$2000))*(소재DB_RAW!$AK$3:$AK$2000&lt;&gt;""))),"")</f>
        <v/>
      </c>
      <c r="AB409" s="27" t="n">
        <v>4700</v>
      </c>
      <c r="AC409" s="27" t="n">
        <v>15792000</v>
      </c>
      <c r="AD409" s="27" t="n">
        <v>94000000</v>
      </c>
      <c r="AE409" s="20" t="n"/>
      <c r="AF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G409" s="19">
        <f>IF($K409="","",IF(OR(LEFT($AF409,2)="작지",LEFT($AF409,4)="소재입고"),IF(LEFT($G409,1)="S","★ 납기위험(S코드)","◆ 지연주의"),IF($AF409="정상","✓ 정상","? 확인필요")))</f>
        <v/>
      </c>
      <c r="AH409" s="21" t="n"/>
      <c r="AI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19">
        <f>IF(COUNTIF(EDW_RAW!$A$2:$A$1500,$D410)=0,"",IF(COUNTIFS(EDW_RAW!$A$2:$A$1500,$D410,EDW_RAW!$R$2:$R$1500,"&lt;&gt;~",EDW_RAW!$R$2:$R$1500,"&lt;&gt;")=COUNTIF(EDW_RAW!$A$2:$A$1500,$D410),"O",IF(COUNTIFS(EDW_RAW!$A$2:$A$1500,$D410,EDW_RAW!$R$2:$R$1500,"&lt;&gt;~",EDW_RAW!$R$2:$R$1500,"&lt;&gt;")&gt;0,"부분","X")))</f>
        <v/>
      </c>
      <c r="R410" s="19">
        <f>IF(COUNTIF(EDW_RAW!$A$2:$A$1500,$D410)=0,"",IF(COUNTIFS(EDW_RAW!$A$2:$A$1500,$D410,EDW_RAW!$U$2:$U$1500,"&lt;&gt;~",EDW_RAW!$U$2:$U$1500,"&lt;&gt;")=COUNTIF(EDW_RAW!$A$2:$A$1500,$D410),"O",IF(COUNTIFS(EDW_RAW!$A$2:$A$1500,$D410,EDW_RAW!$U$2:$U$1500,"&lt;&gt;~",EDW_RAW!$U$2:$U$1500,"&lt;&gt;")&gt;0,"부분","X")))</f>
        <v/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",TRUE,UNIQUE(FILTER(소재DB_RAW!$K$3:$K$2000,(소재DB_RAW!$G$3:$G$2000=$D410)*ISERROR(SEARCH("drop",소재DB_RAW!$C$3:$C$2000))))),"")</f>
        <v/>
      </c>
      <c r="W410" s="20" t="inlineStr">
        <is>
          <t>국내</t>
        </is>
      </c>
      <c r="X410" s="20">
        <f>IFERROR(TEXTJOIN(" / ",TRUE,UNIQUE(FILTER(소재DB_RAW!$N$3:$N$2000,(소재DB_RAW!$G$3:$G$2000=$D410)*ISERROR(SEARCH("drop",소재DB_RAW!$C$3:$C$2000))))),"")</f>
        <v/>
      </c>
      <c r="Y410" s="26">
        <f>IFERROR(TEXTJOIN(CHAR(10),TRUE,UNIQUE(FILTER(소재DB_RAW!$N$3:$N$2000&amp;") "&amp;소재DB_RAW!$O$3:$O$2000,(소재DB_RAW!$G$3:$G$2000=$D410)*ISNUMBER(SEARCH("겉감",소재DB_RAW!$M$3:$M$2000))*ISERROR(SEARCH("drop",소재DB_RAW!$C$3:$C$2000))))),"")</f>
        <v/>
      </c>
      <c r="Z410" s="26">
        <f>IFERROR(TEXTJOIN(CHAR(10),TRUE,UNIQUE(FILTER(소재DB_RAW!$N$3:$N$2000&amp;") "&amp;소재DB_RAW!$O$3:$O$2000,(소재DB_RAW!$G$3:$G$2000=$D410)*ISNUMBER(SEARCH("안감",소재DB_RAW!$M$3:$M$2000))*ISERROR(SEARCH("drop",소재DB_RAW!$C$3:$C$2000))))),"")</f>
        <v/>
      </c>
      <c r="AA410" s="22">
        <f>IFERROR(MAX(FILTER(소재DB_RAW!$AK$3:$AK$2000,(소재DB_RAW!$G$3:$G$2000=$D410)*ISERROR(SEARCH("drop",소재DB_RAW!$C$3:$C$2000))*(소재DB_RAW!$AK$3:$AK$2000&lt;&gt;""))),"")</f>
        <v/>
      </c>
      <c r="AB410" s="27" t="n">
        <v>6000</v>
      </c>
      <c r="AC410" s="27" t="n">
        <v>18972000</v>
      </c>
      <c r="AD410" s="27" t="n">
        <v>120000000</v>
      </c>
      <c r="AE410" s="20" t="n"/>
      <c r="AF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G410" s="19">
        <f>IF($K410="","",IF(OR(LEFT($AF410,2)="작지",LEFT($AF410,4)="소재입고"),IF(LEFT($G410,1)="S","★ 납기위험(S코드)","◆ 지연주의"),IF($AF410="정상","✓ 정상","? 확인필요")))</f>
        <v/>
      </c>
      <c r="AH410" s="21" t="n"/>
      <c r="AI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19">
        <f>IF(COUNTIF(EDW_RAW!$A$2:$A$1500,$D411)=0,"",IF(COUNTIFS(EDW_RAW!$A$2:$A$1500,$D411,EDW_RAW!$R$2:$R$1500,"&lt;&gt;~",EDW_RAW!$R$2:$R$1500,"&lt;&gt;")=COUNTIF(EDW_RAW!$A$2:$A$1500,$D411),"O",IF(COUNTIFS(EDW_RAW!$A$2:$A$1500,$D411,EDW_RAW!$R$2:$R$1500,"&lt;&gt;~",EDW_RAW!$R$2:$R$1500,"&lt;&gt;")&gt;0,"부분","X")))</f>
        <v/>
      </c>
      <c r="R411" s="19">
        <f>IF(COUNTIF(EDW_RAW!$A$2:$A$1500,$D411)=0,"",IF(COUNTIFS(EDW_RAW!$A$2:$A$1500,$D411,EDW_RAW!$U$2:$U$1500,"&lt;&gt;~",EDW_RAW!$U$2:$U$1500,"&lt;&gt;")=COUNTIF(EDW_RAW!$A$2:$A$1500,$D411),"O",IF(COUNTIFS(EDW_RAW!$A$2:$A$1500,$D411,EDW_RAW!$U$2:$U$1500,"&lt;&gt;~",EDW_RAW!$U$2:$U$1500,"&lt;&gt;")&gt;0,"부분","X")))</f>
        <v/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",TRUE,UNIQUE(FILTER(소재DB_RAW!$K$3:$K$2000,(소재DB_RAW!$G$3:$G$2000=$D411)*ISERROR(SEARCH("drop",소재DB_RAW!$C$3:$C$2000))))),"")</f>
        <v/>
      </c>
      <c r="W411" s="20" t="inlineStr">
        <is>
          <t>국내</t>
        </is>
      </c>
      <c r="X411" s="20">
        <f>IFERROR(TEXTJOIN(" / ",TRUE,UNIQUE(FILTER(소재DB_RAW!$N$3:$N$2000,(소재DB_RAW!$G$3:$G$2000=$D411)*ISERROR(SEARCH("drop",소재DB_RAW!$C$3:$C$2000))))),"")</f>
        <v/>
      </c>
      <c r="Y411" s="26">
        <f>IFERROR(TEXTJOIN(CHAR(10),TRUE,UNIQUE(FILTER(소재DB_RAW!$N$3:$N$2000&amp;") "&amp;소재DB_RAW!$O$3:$O$2000,(소재DB_RAW!$G$3:$G$2000=$D411)*ISNUMBER(SEARCH("겉감",소재DB_RAW!$M$3:$M$2000))*ISERROR(SEARCH("drop",소재DB_RAW!$C$3:$C$2000))))),"")</f>
        <v/>
      </c>
      <c r="Z411" s="26">
        <f>IFERROR(TEXTJOIN(CHAR(10),TRUE,UNIQUE(FILTER(소재DB_RAW!$N$3:$N$2000&amp;") "&amp;소재DB_RAW!$O$3:$O$2000,(소재DB_RAW!$G$3:$G$2000=$D411)*ISNUMBER(SEARCH("안감",소재DB_RAW!$M$3:$M$2000))*ISERROR(SEARCH("drop",소재DB_RAW!$C$3:$C$2000))))),"")</f>
        <v/>
      </c>
      <c r="AA411" s="22">
        <f>IFERROR(MAX(FILTER(소재DB_RAW!$AK$3:$AK$2000,(소재DB_RAW!$G$3:$G$2000=$D411)*ISERROR(SEARCH("drop",소재DB_RAW!$C$3:$C$2000))*(소재DB_RAW!$AK$3:$AK$2000&lt;&gt;""))),"")</f>
        <v/>
      </c>
      <c r="AB411" s="27" t="n">
        <v>4000</v>
      </c>
      <c r="AC411" s="27" t="n">
        <v>10400000</v>
      </c>
      <c r="AD411" s="27" t="n">
        <v>64000000</v>
      </c>
      <c r="AE411" s="20" t="n"/>
      <c r="AF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G411" s="19">
        <f>IF($K411="","",IF(OR(LEFT($AF411,2)="작지",LEFT($AF411,4)="소재입고"),IF(LEFT($G411,1)="S","★ 납기위험(S코드)","◆ 지연주의"),IF($AF411="정상","✓ 정상","? 확인필요")))</f>
        <v/>
      </c>
      <c r="AH411" s="21" t="n"/>
      <c r="AI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19">
        <f>IF(COUNTIF(EDW_RAW!$A$2:$A$1500,$D412)=0,"",IF(COUNTIFS(EDW_RAW!$A$2:$A$1500,$D412,EDW_RAW!$R$2:$R$1500,"&lt;&gt;~",EDW_RAW!$R$2:$R$1500,"&lt;&gt;")=COUNTIF(EDW_RAW!$A$2:$A$1500,$D412),"O",IF(COUNTIFS(EDW_RAW!$A$2:$A$1500,$D412,EDW_RAW!$R$2:$R$1500,"&lt;&gt;~",EDW_RAW!$R$2:$R$1500,"&lt;&gt;")&gt;0,"부분","X")))</f>
        <v/>
      </c>
      <c r="R412" s="19">
        <f>IF(COUNTIF(EDW_RAW!$A$2:$A$1500,$D412)=0,"",IF(COUNTIFS(EDW_RAW!$A$2:$A$1500,$D412,EDW_RAW!$U$2:$U$1500,"&lt;&gt;~",EDW_RAW!$U$2:$U$1500,"&lt;&gt;")=COUNTIF(EDW_RAW!$A$2:$A$1500,$D412),"O",IF(COUNTIFS(EDW_RAW!$A$2:$A$1500,$D412,EDW_RAW!$U$2:$U$1500,"&lt;&gt;~",EDW_RAW!$U$2:$U$1500,"&lt;&gt;")&gt;0,"부분","X")))</f>
        <v/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",TRUE,UNIQUE(FILTER(소재DB_RAW!$K$3:$K$2000,(소재DB_RAW!$G$3:$G$2000=$D412)*ISERROR(SEARCH("drop",소재DB_RAW!$C$3:$C$2000))))),"")</f>
        <v/>
      </c>
      <c r="W412" s="20" t="inlineStr">
        <is>
          <t>국내</t>
        </is>
      </c>
      <c r="X412" s="20">
        <f>IFERROR(TEXTJOIN(" / ",TRUE,UNIQUE(FILTER(소재DB_RAW!$N$3:$N$2000,(소재DB_RAW!$G$3:$G$2000=$D412)*ISERROR(SEARCH("drop",소재DB_RAW!$C$3:$C$2000))))),"")</f>
        <v/>
      </c>
      <c r="Y412" s="26">
        <f>IFERROR(TEXTJOIN(CHAR(10),TRUE,UNIQUE(FILTER(소재DB_RAW!$N$3:$N$2000&amp;") "&amp;소재DB_RAW!$O$3:$O$2000,(소재DB_RAW!$G$3:$G$2000=$D412)*ISNUMBER(SEARCH("겉감",소재DB_RAW!$M$3:$M$2000))*ISERROR(SEARCH("drop",소재DB_RAW!$C$3:$C$2000))))),"")</f>
        <v/>
      </c>
      <c r="Z412" s="26">
        <f>IFERROR(TEXTJOIN(CHAR(10),TRUE,UNIQUE(FILTER(소재DB_RAW!$N$3:$N$2000&amp;") "&amp;소재DB_RAW!$O$3:$O$2000,(소재DB_RAW!$G$3:$G$2000=$D412)*ISNUMBER(SEARCH("안감",소재DB_RAW!$M$3:$M$2000))*ISERROR(SEARCH("drop",소재DB_RAW!$C$3:$C$2000))))),"")</f>
        <v/>
      </c>
      <c r="AA412" s="22">
        <f>IFERROR(MAX(FILTER(소재DB_RAW!$AK$3:$AK$2000,(소재DB_RAW!$G$3:$G$2000=$D412)*ISERROR(SEARCH("drop",소재DB_RAW!$C$3:$C$2000))*(소재DB_RAW!$AK$3:$AK$2000&lt;&gt;""))),"")</f>
        <v/>
      </c>
      <c r="AB412" s="27" t="n">
        <v>7000</v>
      </c>
      <c r="AC412" s="27" t="n">
        <v>19600000</v>
      </c>
      <c r="AD412" s="27" t="n">
        <v>91000000</v>
      </c>
      <c r="AE412" s="20" t="n"/>
      <c r="AF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G412" s="19">
        <f>IF($K412="","",IF(OR(LEFT($AF412,2)="작지",LEFT($AF412,4)="소재입고"),IF(LEFT($G412,1)="S","★ 납기위험(S코드)","◆ 지연주의"),IF($AF412="정상","✓ 정상","? 확인필요")))</f>
        <v/>
      </c>
      <c r="AH412" s="21" t="n"/>
      <c r="AI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19">
        <f>IF(COUNTIF(EDW_RAW!$A$2:$A$1500,$D413)=0,"",IF(COUNTIFS(EDW_RAW!$A$2:$A$1500,$D413,EDW_RAW!$R$2:$R$1500,"&lt;&gt;~",EDW_RAW!$R$2:$R$1500,"&lt;&gt;")=COUNTIF(EDW_RAW!$A$2:$A$1500,$D413),"O",IF(COUNTIFS(EDW_RAW!$A$2:$A$1500,$D413,EDW_RAW!$R$2:$R$1500,"&lt;&gt;~",EDW_RAW!$R$2:$R$1500,"&lt;&gt;")&gt;0,"부분","X")))</f>
        <v/>
      </c>
      <c r="R413" s="19">
        <f>IF(COUNTIF(EDW_RAW!$A$2:$A$1500,$D413)=0,"",IF(COUNTIFS(EDW_RAW!$A$2:$A$1500,$D413,EDW_RAW!$U$2:$U$1500,"&lt;&gt;~",EDW_RAW!$U$2:$U$1500,"&lt;&gt;")=COUNTIF(EDW_RAW!$A$2:$A$1500,$D413),"O",IF(COUNTIFS(EDW_RAW!$A$2:$A$1500,$D413,EDW_RAW!$U$2:$U$1500,"&lt;&gt;~",EDW_RAW!$U$2:$U$1500,"&lt;&gt;")&gt;0,"부분","X")))</f>
        <v/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",TRUE,UNIQUE(FILTER(소재DB_RAW!$K$3:$K$2000,(소재DB_RAW!$G$3:$G$2000=$D413)*ISERROR(SEARCH("drop",소재DB_RAW!$C$3:$C$2000))))),"")</f>
        <v/>
      </c>
      <c r="W413" s="20" t="inlineStr">
        <is>
          <t>국내</t>
        </is>
      </c>
      <c r="X413" s="20">
        <f>IFERROR(TEXTJOIN(" / ",TRUE,UNIQUE(FILTER(소재DB_RAW!$N$3:$N$2000,(소재DB_RAW!$G$3:$G$2000=$D413)*ISERROR(SEARCH("drop",소재DB_RAW!$C$3:$C$2000))))),"")</f>
        <v/>
      </c>
      <c r="Y413" s="26">
        <f>IFERROR(TEXTJOIN(CHAR(10),TRUE,UNIQUE(FILTER(소재DB_RAW!$N$3:$N$2000&amp;") "&amp;소재DB_RAW!$O$3:$O$2000,(소재DB_RAW!$G$3:$G$2000=$D413)*ISNUMBER(SEARCH("겉감",소재DB_RAW!$M$3:$M$2000))*ISERROR(SEARCH("drop",소재DB_RAW!$C$3:$C$2000))))),"")</f>
        <v/>
      </c>
      <c r="Z413" s="26">
        <f>IFERROR(TEXTJOIN(CHAR(10),TRUE,UNIQUE(FILTER(소재DB_RAW!$N$3:$N$2000&amp;") "&amp;소재DB_RAW!$O$3:$O$2000,(소재DB_RAW!$G$3:$G$2000=$D413)*ISNUMBER(SEARCH("안감",소재DB_RAW!$M$3:$M$2000))*ISERROR(SEARCH("drop",소재DB_RAW!$C$3:$C$2000))))),"")</f>
        <v/>
      </c>
      <c r="AA413" s="22">
        <f>IFERROR(MAX(FILTER(소재DB_RAW!$AK$3:$AK$2000,(소재DB_RAW!$G$3:$G$2000=$D413)*ISERROR(SEARCH("drop",소재DB_RAW!$C$3:$C$2000))*(소재DB_RAW!$AK$3:$AK$2000&lt;&gt;""))),"")</f>
        <v/>
      </c>
      <c r="AB413" s="27" t="n">
        <v>4500</v>
      </c>
      <c r="AC413" s="27" t="n">
        <v>29700000</v>
      </c>
      <c r="AD413" s="27" t="n">
        <v>135000000</v>
      </c>
      <c r="AE413" s="20" t="n"/>
      <c r="AF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G413" s="19">
        <f>IF($K413="","",IF(OR(LEFT($AF413,2)="작지",LEFT($AF413,4)="소재입고"),IF(LEFT($G413,1)="S","★ 납기위험(S코드)","◆ 지연주의"),IF($AF413="정상","✓ 정상","? 확인필요")))</f>
        <v/>
      </c>
      <c r="AH413" s="21" t="n"/>
      <c r="AI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19">
        <f>IF(COUNTIF(EDW_RAW!$A$2:$A$1500,$D414)=0,"",IF(COUNTIFS(EDW_RAW!$A$2:$A$1500,$D414,EDW_RAW!$R$2:$R$1500,"&lt;&gt;~",EDW_RAW!$R$2:$R$1500,"&lt;&gt;")=COUNTIF(EDW_RAW!$A$2:$A$1500,$D414),"O",IF(COUNTIFS(EDW_RAW!$A$2:$A$1500,$D414,EDW_RAW!$R$2:$R$1500,"&lt;&gt;~",EDW_RAW!$R$2:$R$1500,"&lt;&gt;")&gt;0,"부분","X")))</f>
        <v/>
      </c>
      <c r="R414" s="19">
        <f>IF(COUNTIF(EDW_RAW!$A$2:$A$1500,$D414)=0,"",IF(COUNTIFS(EDW_RAW!$A$2:$A$1500,$D414,EDW_RAW!$U$2:$U$1500,"&lt;&gt;~",EDW_RAW!$U$2:$U$1500,"&lt;&gt;")=COUNTIF(EDW_RAW!$A$2:$A$1500,$D414),"O",IF(COUNTIFS(EDW_RAW!$A$2:$A$1500,$D414,EDW_RAW!$U$2:$U$1500,"&lt;&gt;~",EDW_RAW!$U$2:$U$1500,"&lt;&gt;")&gt;0,"부분","X")))</f>
        <v/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",TRUE,UNIQUE(FILTER(소재DB_RAW!$K$3:$K$2000,(소재DB_RAW!$G$3:$G$2000=$D414)*ISERROR(SEARCH("drop",소재DB_RAW!$C$3:$C$2000))))),"")</f>
        <v/>
      </c>
      <c r="W414" s="20" t="inlineStr">
        <is>
          <t>국내</t>
        </is>
      </c>
      <c r="X414" s="20">
        <f>IFERROR(TEXTJOIN(" / ",TRUE,UNIQUE(FILTER(소재DB_RAW!$N$3:$N$2000,(소재DB_RAW!$G$3:$G$2000=$D414)*ISERROR(SEARCH("drop",소재DB_RAW!$C$3:$C$2000))))),"")</f>
        <v/>
      </c>
      <c r="Y414" s="26">
        <f>IFERROR(TEXTJOIN(CHAR(10),TRUE,UNIQUE(FILTER(소재DB_RAW!$N$3:$N$2000&amp;") "&amp;소재DB_RAW!$O$3:$O$2000,(소재DB_RAW!$G$3:$G$2000=$D414)*ISNUMBER(SEARCH("겉감",소재DB_RAW!$M$3:$M$2000))*ISERROR(SEARCH("drop",소재DB_RAW!$C$3:$C$2000))))),"")</f>
        <v/>
      </c>
      <c r="Z414" s="26">
        <f>IFERROR(TEXTJOIN(CHAR(10),TRUE,UNIQUE(FILTER(소재DB_RAW!$N$3:$N$2000&amp;") "&amp;소재DB_RAW!$O$3:$O$2000,(소재DB_RAW!$G$3:$G$2000=$D414)*ISNUMBER(SEARCH("안감",소재DB_RAW!$M$3:$M$2000))*ISERROR(SEARCH("drop",소재DB_RAW!$C$3:$C$2000))))),"")</f>
        <v/>
      </c>
      <c r="AA414" s="22">
        <f>IFERROR(MAX(FILTER(소재DB_RAW!$AK$3:$AK$2000,(소재DB_RAW!$G$3:$G$2000=$D414)*ISERROR(SEARCH("drop",소재DB_RAW!$C$3:$C$2000))*(소재DB_RAW!$AK$3:$AK$2000&lt;&gt;""))),"")</f>
        <v/>
      </c>
      <c r="AB414" s="27" t="n">
        <v>3500</v>
      </c>
      <c r="AC414" s="27" t="n">
        <v>9800000</v>
      </c>
      <c r="AD414" s="27" t="n">
        <v>56000000</v>
      </c>
      <c r="AE414" s="20" t="n"/>
      <c r="AF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G414" s="19">
        <f>IF($K414="","",IF(OR(LEFT($AF414,2)="작지",LEFT($AF414,4)="소재입고"),IF(LEFT($G414,1)="S","★ 납기위험(S코드)","◆ 지연주의"),IF($AF414="정상","✓ 정상","? 확인필요")))</f>
        <v/>
      </c>
      <c r="AH414" s="21" t="n"/>
      <c r="AI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19">
        <f>IF(COUNTIF(EDW_RAW!$A$2:$A$1500,$D415)=0,"",IF(COUNTIFS(EDW_RAW!$A$2:$A$1500,$D415,EDW_RAW!$R$2:$R$1500,"&lt;&gt;~",EDW_RAW!$R$2:$R$1500,"&lt;&gt;")=COUNTIF(EDW_RAW!$A$2:$A$1500,$D415),"O",IF(COUNTIFS(EDW_RAW!$A$2:$A$1500,$D415,EDW_RAW!$R$2:$R$1500,"&lt;&gt;~",EDW_RAW!$R$2:$R$1500,"&lt;&gt;")&gt;0,"부분","X")))</f>
        <v/>
      </c>
      <c r="R415" s="19">
        <f>IF(COUNTIF(EDW_RAW!$A$2:$A$1500,$D415)=0,"",IF(COUNTIFS(EDW_RAW!$A$2:$A$1500,$D415,EDW_RAW!$U$2:$U$1500,"&lt;&gt;~",EDW_RAW!$U$2:$U$1500,"&lt;&gt;")=COUNTIF(EDW_RAW!$A$2:$A$1500,$D415),"O",IF(COUNTIFS(EDW_RAW!$A$2:$A$1500,$D415,EDW_RAW!$U$2:$U$1500,"&lt;&gt;~",EDW_RAW!$U$2:$U$1500,"&lt;&gt;")&gt;0,"부분","X")))</f>
        <v/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",TRUE,UNIQUE(FILTER(소재DB_RAW!$K$3:$K$2000,(소재DB_RAW!$G$3:$G$2000=$D415)*ISERROR(SEARCH("drop",소재DB_RAW!$C$3:$C$2000))))),"")</f>
        <v/>
      </c>
      <c r="W415" s="20" t="inlineStr">
        <is>
          <t>국내</t>
        </is>
      </c>
      <c r="X415" s="20">
        <f>IFERROR(TEXTJOIN(" / ",TRUE,UNIQUE(FILTER(소재DB_RAW!$N$3:$N$2000,(소재DB_RAW!$G$3:$G$2000=$D415)*ISERROR(SEARCH("drop",소재DB_RAW!$C$3:$C$2000))))),"")</f>
        <v/>
      </c>
      <c r="Y415" s="26">
        <f>IFERROR(TEXTJOIN(CHAR(10),TRUE,UNIQUE(FILTER(소재DB_RAW!$N$3:$N$2000&amp;") "&amp;소재DB_RAW!$O$3:$O$2000,(소재DB_RAW!$G$3:$G$2000=$D415)*ISNUMBER(SEARCH("겉감",소재DB_RAW!$M$3:$M$2000))*ISERROR(SEARCH("drop",소재DB_RAW!$C$3:$C$2000))))),"")</f>
        <v/>
      </c>
      <c r="Z415" s="26">
        <f>IFERROR(TEXTJOIN(CHAR(10),TRUE,UNIQUE(FILTER(소재DB_RAW!$N$3:$N$2000&amp;") "&amp;소재DB_RAW!$O$3:$O$2000,(소재DB_RAW!$G$3:$G$2000=$D415)*ISNUMBER(SEARCH("안감",소재DB_RAW!$M$3:$M$2000))*ISERROR(SEARCH("drop",소재DB_RAW!$C$3:$C$2000))))),"")</f>
        <v/>
      </c>
      <c r="AA415" s="22">
        <f>IFERROR(MAX(FILTER(소재DB_RAW!$AK$3:$AK$2000,(소재DB_RAW!$G$3:$G$2000=$D415)*ISERROR(SEARCH("drop",소재DB_RAW!$C$3:$C$2000))*(소재DB_RAW!$AK$3:$AK$2000&lt;&gt;""))),"")</f>
        <v/>
      </c>
      <c r="AB415" s="27" t="n">
        <v>4500</v>
      </c>
      <c r="AC415" s="27" t="n">
        <v>14229000</v>
      </c>
      <c r="AD415" s="27" t="n">
        <v>90000000</v>
      </c>
      <c r="AE415" s="20" t="n"/>
      <c r="AF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G415" s="19">
        <f>IF($K415="","",IF(OR(LEFT($AF415,2)="작지",LEFT($AF415,4)="소재입고"),IF(LEFT($G415,1)="S","★ 납기위험(S코드)","◆ 지연주의"),IF($AF415="정상","✓ 정상","? 확인필요")))</f>
        <v/>
      </c>
      <c r="AH415" s="21" t="n"/>
      <c r="AI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19">
        <f>IF(COUNTIF(EDW_RAW!$A$2:$A$1500,$D416)=0,"",IF(COUNTIFS(EDW_RAW!$A$2:$A$1500,$D416,EDW_RAW!$R$2:$R$1500,"&lt;&gt;~",EDW_RAW!$R$2:$R$1500,"&lt;&gt;")=COUNTIF(EDW_RAW!$A$2:$A$1500,$D416),"O",IF(COUNTIFS(EDW_RAW!$A$2:$A$1500,$D416,EDW_RAW!$R$2:$R$1500,"&lt;&gt;~",EDW_RAW!$R$2:$R$1500,"&lt;&gt;")&gt;0,"부분","X")))</f>
        <v/>
      </c>
      <c r="R416" s="19">
        <f>IF(COUNTIF(EDW_RAW!$A$2:$A$1500,$D416)=0,"",IF(COUNTIFS(EDW_RAW!$A$2:$A$1500,$D416,EDW_RAW!$U$2:$U$1500,"&lt;&gt;~",EDW_RAW!$U$2:$U$1500,"&lt;&gt;")=COUNTIF(EDW_RAW!$A$2:$A$1500,$D416),"O",IF(COUNTIFS(EDW_RAW!$A$2:$A$1500,$D416,EDW_RAW!$U$2:$U$1500,"&lt;&gt;~",EDW_RAW!$U$2:$U$1500,"&lt;&gt;")&gt;0,"부분","X")))</f>
        <v/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",TRUE,UNIQUE(FILTER(소재DB_RAW!$K$3:$K$2000,(소재DB_RAW!$G$3:$G$2000=$D416)*ISERROR(SEARCH("drop",소재DB_RAW!$C$3:$C$2000))))),"")</f>
        <v/>
      </c>
      <c r="W416" s="20" t="inlineStr">
        <is>
          <t>국내</t>
        </is>
      </c>
      <c r="X416" s="20">
        <f>IFERROR(TEXTJOIN(" / ",TRUE,UNIQUE(FILTER(소재DB_RAW!$N$3:$N$2000,(소재DB_RAW!$G$3:$G$2000=$D416)*ISERROR(SEARCH("drop",소재DB_RAW!$C$3:$C$2000))))),"")</f>
        <v/>
      </c>
      <c r="Y416" s="26">
        <f>IFERROR(TEXTJOIN(CHAR(10),TRUE,UNIQUE(FILTER(소재DB_RAW!$N$3:$N$2000&amp;") "&amp;소재DB_RAW!$O$3:$O$2000,(소재DB_RAW!$G$3:$G$2000=$D416)*ISNUMBER(SEARCH("겉감",소재DB_RAW!$M$3:$M$2000))*ISERROR(SEARCH("drop",소재DB_RAW!$C$3:$C$2000))))),"")</f>
        <v/>
      </c>
      <c r="Z416" s="26">
        <f>IFERROR(TEXTJOIN(CHAR(10),TRUE,UNIQUE(FILTER(소재DB_RAW!$N$3:$N$2000&amp;") "&amp;소재DB_RAW!$O$3:$O$2000,(소재DB_RAW!$G$3:$G$2000=$D416)*ISNUMBER(SEARCH("안감",소재DB_RAW!$M$3:$M$2000))*ISERROR(SEARCH("drop",소재DB_RAW!$C$3:$C$2000))))),"")</f>
        <v/>
      </c>
      <c r="AA416" s="22">
        <f>IFERROR(MAX(FILTER(소재DB_RAW!$AK$3:$AK$2000,(소재DB_RAW!$G$3:$G$2000=$D416)*ISERROR(SEARCH("drop",소재DB_RAW!$C$3:$C$2000))*(소재DB_RAW!$AK$3:$AK$2000&lt;&gt;""))),"")</f>
        <v/>
      </c>
      <c r="AB416" s="27" t="n">
        <v>1100</v>
      </c>
      <c r="AC416" s="27" t="n">
        <v>11550000</v>
      </c>
      <c r="AD416" s="27" t="n">
        <v>49500000</v>
      </c>
      <c r="AE416" s="20" t="inlineStr">
        <is>
          <t>3월1주</t>
        </is>
      </c>
      <c r="AF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G416" s="19">
        <f>IF($K416="","",IF(OR(LEFT($AF416,2)="작지",LEFT($AF416,4)="소재입고"),IF(LEFT($G416,1)="S","★ 납기위험(S코드)","◆ 지연주의"),IF($AF416="정상","✓ 정상","? 확인필요")))</f>
        <v/>
      </c>
      <c r="AH416" s="21" t="n"/>
      <c r="AI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19">
        <f>IF(COUNTIF(EDW_RAW!$A$2:$A$1500,$D417)=0,"",IF(COUNTIFS(EDW_RAW!$A$2:$A$1500,$D417,EDW_RAW!$R$2:$R$1500,"&lt;&gt;~",EDW_RAW!$R$2:$R$1500,"&lt;&gt;")=COUNTIF(EDW_RAW!$A$2:$A$1500,$D417),"O",IF(COUNTIFS(EDW_RAW!$A$2:$A$1500,$D417,EDW_RAW!$R$2:$R$1500,"&lt;&gt;~",EDW_RAW!$R$2:$R$1500,"&lt;&gt;")&gt;0,"부분","X")))</f>
        <v/>
      </c>
      <c r="R417" s="19">
        <f>IF(COUNTIF(EDW_RAW!$A$2:$A$1500,$D417)=0,"",IF(COUNTIFS(EDW_RAW!$A$2:$A$1500,$D417,EDW_RAW!$U$2:$U$1500,"&lt;&gt;~",EDW_RAW!$U$2:$U$1500,"&lt;&gt;")=COUNTIF(EDW_RAW!$A$2:$A$1500,$D417),"O",IF(COUNTIFS(EDW_RAW!$A$2:$A$1500,$D417,EDW_RAW!$U$2:$U$1500,"&lt;&gt;~",EDW_RAW!$U$2:$U$1500,"&lt;&gt;")&gt;0,"부분","X")))</f>
        <v/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",TRUE,UNIQUE(FILTER(소재DB_RAW!$K$3:$K$2000,(소재DB_RAW!$G$3:$G$2000=$D417)*ISERROR(SEARCH("drop",소재DB_RAW!$C$3:$C$2000))))),"")</f>
        <v/>
      </c>
      <c r="W417" s="20" t="inlineStr">
        <is>
          <t>베트남</t>
        </is>
      </c>
      <c r="X417" s="20">
        <f>IFERROR(TEXTJOIN(" / ",TRUE,UNIQUE(FILTER(소재DB_RAW!$N$3:$N$2000,(소재DB_RAW!$G$3:$G$2000=$D417)*ISERROR(SEARCH("drop",소재DB_RAW!$C$3:$C$2000))))),"")</f>
        <v/>
      </c>
      <c r="Y417" s="26">
        <f>IFERROR(TEXTJOIN(CHAR(10),TRUE,UNIQUE(FILTER(소재DB_RAW!$N$3:$N$2000&amp;") "&amp;소재DB_RAW!$O$3:$O$2000,(소재DB_RAW!$G$3:$G$2000=$D417)*ISNUMBER(SEARCH("겉감",소재DB_RAW!$M$3:$M$2000))*ISERROR(SEARCH("drop",소재DB_RAW!$C$3:$C$2000))))),"")</f>
        <v/>
      </c>
      <c r="Z417" s="26">
        <f>IFERROR(TEXTJOIN(CHAR(10),TRUE,UNIQUE(FILTER(소재DB_RAW!$N$3:$N$2000&amp;") "&amp;소재DB_RAW!$O$3:$O$2000,(소재DB_RAW!$G$3:$G$2000=$D417)*ISNUMBER(SEARCH("안감",소재DB_RAW!$M$3:$M$2000))*ISERROR(SEARCH("drop",소재DB_RAW!$C$3:$C$2000))))),"")</f>
        <v/>
      </c>
      <c r="AA417" s="22">
        <f>IFERROR(MAX(FILTER(소재DB_RAW!$AK$3:$AK$2000,(소재DB_RAW!$G$3:$G$2000=$D417)*ISERROR(SEARCH("drop",소재DB_RAW!$C$3:$C$2000))*(소재DB_RAW!$AK$3:$AK$2000&lt;&gt;""))),"")</f>
        <v/>
      </c>
      <c r="AB417" s="27" t="n">
        <v>1600</v>
      </c>
      <c r="AC417" s="27" t="n">
        <v>24337400</v>
      </c>
      <c r="AD417" s="27" t="n">
        <v>88800000</v>
      </c>
      <c r="AE417" s="20" t="n"/>
      <c r="AF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G417" s="19">
        <f>IF($K417="","",IF(OR(LEFT($AF417,2)="작지",LEFT($AF417,4)="소재입고"),IF(LEFT($G417,1)="S","★ 납기위험(S코드)","◆ 지연주의"),IF($AF417="정상","✓ 정상","? 확인필요")))</f>
        <v/>
      </c>
      <c r="AH417" s="21" t="n"/>
      <c r="AI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19">
        <f>IF(COUNTIF(EDW_RAW!$A$2:$A$1500,$D418)=0,"",IF(COUNTIFS(EDW_RAW!$A$2:$A$1500,$D418,EDW_RAW!$R$2:$R$1500,"&lt;&gt;~",EDW_RAW!$R$2:$R$1500,"&lt;&gt;")=COUNTIF(EDW_RAW!$A$2:$A$1500,$D418),"O",IF(COUNTIFS(EDW_RAW!$A$2:$A$1500,$D418,EDW_RAW!$R$2:$R$1500,"&lt;&gt;~",EDW_RAW!$R$2:$R$1500,"&lt;&gt;")&gt;0,"부분","X")))</f>
        <v/>
      </c>
      <c r="R418" s="19">
        <f>IF(COUNTIF(EDW_RAW!$A$2:$A$1500,$D418)=0,"",IF(COUNTIFS(EDW_RAW!$A$2:$A$1500,$D418,EDW_RAW!$U$2:$U$1500,"&lt;&gt;~",EDW_RAW!$U$2:$U$1500,"&lt;&gt;")=COUNTIF(EDW_RAW!$A$2:$A$1500,$D418),"O",IF(COUNTIFS(EDW_RAW!$A$2:$A$1500,$D418,EDW_RAW!$U$2:$U$1500,"&lt;&gt;~",EDW_RAW!$U$2:$U$1500,"&lt;&gt;")&gt;0,"부분","X")))</f>
        <v/>
      </c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",TRUE,UNIQUE(FILTER(소재DB_RAW!$K$3:$K$2000,(소재DB_RAW!$G$3:$G$2000=$D418)*ISERROR(SEARCH("drop",소재DB_RAW!$C$3:$C$2000))))),"")</f>
        <v/>
      </c>
      <c r="W418" s="20" t="inlineStr">
        <is>
          <t>베트남</t>
        </is>
      </c>
      <c r="X418" s="20">
        <f>IFERROR(TEXTJOIN(" / ",TRUE,UNIQUE(FILTER(소재DB_RAW!$N$3:$N$2000,(소재DB_RAW!$G$3:$G$2000=$D418)*ISERROR(SEARCH("drop",소재DB_RAW!$C$3:$C$2000))))),"")</f>
        <v/>
      </c>
      <c r="Y418" s="26">
        <f>IFERROR(TEXTJOIN(CHAR(10),TRUE,UNIQUE(FILTER(소재DB_RAW!$N$3:$N$2000&amp;") "&amp;소재DB_RAW!$O$3:$O$2000,(소재DB_RAW!$G$3:$G$2000=$D418)*ISNUMBER(SEARCH("겉감",소재DB_RAW!$M$3:$M$2000))*ISERROR(SEARCH("drop",소재DB_RAW!$C$3:$C$2000))))),"")</f>
        <v/>
      </c>
      <c r="Z418" s="26">
        <f>IFERROR(TEXTJOIN(CHAR(10),TRUE,UNIQUE(FILTER(소재DB_RAW!$N$3:$N$2000&amp;") "&amp;소재DB_RAW!$O$3:$O$2000,(소재DB_RAW!$G$3:$G$2000=$D418)*ISNUMBER(SEARCH("안감",소재DB_RAW!$M$3:$M$2000))*ISERROR(SEARCH("drop",소재DB_RAW!$C$3:$C$2000))))),"")</f>
        <v/>
      </c>
      <c r="AA418" s="22">
        <f>IFERROR(MAX(FILTER(소재DB_RAW!$AK$3:$AK$2000,(소재DB_RAW!$G$3:$G$2000=$D418)*ISERROR(SEARCH("drop",소재DB_RAW!$C$3:$C$2000))*(소재DB_RAW!$AK$3:$AK$2000&lt;&gt;""))),"")</f>
        <v/>
      </c>
      <c r="AB418" s="27" t="n">
        <v>500</v>
      </c>
      <c r="AC418" s="27" t="n">
        <v>9000000</v>
      </c>
      <c r="AD418" s="27" t="n">
        <v>30000000</v>
      </c>
      <c r="AE418" s="20" t="n"/>
      <c r="AF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G418" s="19">
        <f>IF($K418="","",IF(OR(LEFT($AF418,2)="작지",LEFT($AF418,4)="소재입고"),IF(LEFT($G418,1)="S","★ 납기위험(S코드)","◆ 지연주의"),IF($AF418="정상","✓ 정상","? 확인필요")))</f>
        <v/>
      </c>
      <c r="AH418" s="21" t="n"/>
      <c r="AI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19">
        <f>IF(COUNTIF(EDW_RAW!$A$2:$A$1500,$D419)=0,"",IF(COUNTIFS(EDW_RAW!$A$2:$A$1500,$D419,EDW_RAW!$R$2:$R$1500,"&lt;&gt;~",EDW_RAW!$R$2:$R$1500,"&lt;&gt;")=COUNTIF(EDW_RAW!$A$2:$A$1500,$D419),"O",IF(COUNTIFS(EDW_RAW!$A$2:$A$1500,$D419,EDW_RAW!$R$2:$R$1500,"&lt;&gt;~",EDW_RAW!$R$2:$R$1500,"&lt;&gt;")&gt;0,"부분","X")))</f>
        <v/>
      </c>
      <c r="R419" s="19">
        <f>IF(COUNTIF(EDW_RAW!$A$2:$A$1500,$D419)=0,"",IF(COUNTIFS(EDW_RAW!$A$2:$A$1500,$D419,EDW_RAW!$U$2:$U$1500,"&lt;&gt;~",EDW_RAW!$U$2:$U$1500,"&lt;&gt;")=COUNTIF(EDW_RAW!$A$2:$A$1500,$D419),"O",IF(COUNTIFS(EDW_RAW!$A$2:$A$1500,$D419,EDW_RAW!$U$2:$U$1500,"&lt;&gt;~",EDW_RAW!$U$2:$U$1500,"&lt;&gt;")&gt;0,"부분","X")))</f>
        <v/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",TRUE,UNIQUE(FILTER(소재DB_RAW!$K$3:$K$2000,(소재DB_RAW!$G$3:$G$2000=$D419)*ISERROR(SEARCH("drop",소재DB_RAW!$C$3:$C$2000))))),"")</f>
        <v/>
      </c>
      <c r="W419" s="20" t="inlineStr">
        <is>
          <t>베트남</t>
        </is>
      </c>
      <c r="X419" s="20">
        <f>IFERROR(TEXTJOIN(" / ",TRUE,UNIQUE(FILTER(소재DB_RAW!$N$3:$N$2000,(소재DB_RAW!$G$3:$G$2000=$D419)*ISERROR(SEARCH("drop",소재DB_RAW!$C$3:$C$2000))))),"")</f>
        <v/>
      </c>
      <c r="Y419" s="26">
        <f>IFERROR(TEXTJOIN(CHAR(10),TRUE,UNIQUE(FILTER(소재DB_RAW!$N$3:$N$2000&amp;") "&amp;소재DB_RAW!$O$3:$O$2000,(소재DB_RAW!$G$3:$G$2000=$D419)*ISNUMBER(SEARCH("겉감",소재DB_RAW!$M$3:$M$2000))*ISERROR(SEARCH("drop",소재DB_RAW!$C$3:$C$2000))))),"")</f>
        <v/>
      </c>
      <c r="Z419" s="26">
        <f>IFERROR(TEXTJOIN(CHAR(10),TRUE,UNIQUE(FILTER(소재DB_RAW!$N$3:$N$2000&amp;") "&amp;소재DB_RAW!$O$3:$O$2000,(소재DB_RAW!$G$3:$G$2000=$D419)*ISNUMBER(SEARCH("안감",소재DB_RAW!$M$3:$M$2000))*ISERROR(SEARCH("drop",소재DB_RAW!$C$3:$C$2000))))),"")</f>
        <v/>
      </c>
      <c r="AA419" s="22">
        <f>IFERROR(MAX(FILTER(소재DB_RAW!$AK$3:$AK$2000,(소재DB_RAW!$G$3:$G$2000=$D419)*ISERROR(SEARCH("drop",소재DB_RAW!$C$3:$C$2000))*(소재DB_RAW!$AK$3:$AK$2000&lt;&gt;""))),"")</f>
        <v/>
      </c>
      <c r="AB419" s="27" t="n">
        <v>1200</v>
      </c>
      <c r="AC419" s="27" t="n">
        <v>70542000</v>
      </c>
      <c r="AD419" s="27" t="n">
        <v>237600000</v>
      </c>
      <c r="AE419" s="20" t="n"/>
      <c r="AF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G419" s="19">
        <f>IF($K419="","",IF(OR(LEFT($AF419,2)="작지",LEFT($AF419,4)="소재입고"),IF(LEFT($G419,1)="S","★ 납기위험(S코드)","◆ 지연주의"),IF($AF419="정상","✓ 정상","? 확인필요")))</f>
        <v/>
      </c>
      <c r="AH419" s="21" t="n"/>
      <c r="AI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19">
        <f>IF(COUNTIF(EDW_RAW!$A$2:$A$1500,$D420)=0,"",IF(COUNTIFS(EDW_RAW!$A$2:$A$1500,$D420,EDW_RAW!$R$2:$R$1500,"&lt;&gt;~",EDW_RAW!$R$2:$R$1500,"&lt;&gt;")=COUNTIF(EDW_RAW!$A$2:$A$1500,$D420),"O",IF(COUNTIFS(EDW_RAW!$A$2:$A$1500,$D420,EDW_RAW!$R$2:$R$1500,"&lt;&gt;~",EDW_RAW!$R$2:$R$1500,"&lt;&gt;")&gt;0,"부분","X")))</f>
        <v/>
      </c>
      <c r="R420" s="19">
        <f>IF(COUNTIF(EDW_RAW!$A$2:$A$1500,$D420)=0,"",IF(COUNTIFS(EDW_RAW!$A$2:$A$1500,$D420,EDW_RAW!$U$2:$U$1500,"&lt;&gt;~",EDW_RAW!$U$2:$U$1500,"&lt;&gt;")=COUNTIF(EDW_RAW!$A$2:$A$1500,$D420),"O",IF(COUNTIFS(EDW_RAW!$A$2:$A$1500,$D420,EDW_RAW!$U$2:$U$1500,"&lt;&gt;~",EDW_RAW!$U$2:$U$1500,"&lt;&gt;")&gt;0,"부분","X")))</f>
        <v/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",TRUE,UNIQUE(FILTER(소재DB_RAW!$K$3:$K$2000,(소재DB_RAW!$G$3:$G$2000=$D420)*ISERROR(SEARCH("drop",소재DB_RAW!$C$3:$C$2000))))),"")</f>
        <v/>
      </c>
      <c r="W420" s="20" t="inlineStr">
        <is>
          <t>베트남</t>
        </is>
      </c>
      <c r="X420" s="20">
        <f>IFERROR(TEXTJOIN(" / ",TRUE,UNIQUE(FILTER(소재DB_RAW!$N$3:$N$2000,(소재DB_RAW!$G$3:$G$2000=$D420)*ISERROR(SEARCH("drop",소재DB_RAW!$C$3:$C$2000))))),"")</f>
        <v/>
      </c>
      <c r="Y420" s="26">
        <f>IFERROR(TEXTJOIN(CHAR(10),TRUE,UNIQUE(FILTER(소재DB_RAW!$N$3:$N$2000&amp;") "&amp;소재DB_RAW!$O$3:$O$2000,(소재DB_RAW!$G$3:$G$2000=$D420)*ISNUMBER(SEARCH("겉감",소재DB_RAW!$M$3:$M$2000))*ISERROR(SEARCH("drop",소재DB_RAW!$C$3:$C$2000))))),"")</f>
        <v/>
      </c>
      <c r="Z420" s="26">
        <f>IFERROR(TEXTJOIN(CHAR(10),TRUE,UNIQUE(FILTER(소재DB_RAW!$N$3:$N$2000&amp;") "&amp;소재DB_RAW!$O$3:$O$2000,(소재DB_RAW!$G$3:$G$2000=$D420)*ISNUMBER(SEARCH("안감",소재DB_RAW!$M$3:$M$2000))*ISERROR(SEARCH("drop",소재DB_RAW!$C$3:$C$2000))))),"")</f>
        <v/>
      </c>
      <c r="AA420" s="22">
        <f>IFERROR(MAX(FILTER(소재DB_RAW!$AK$3:$AK$2000,(소재DB_RAW!$G$3:$G$2000=$D420)*ISERROR(SEARCH("drop",소재DB_RAW!$C$3:$C$2000))*(소재DB_RAW!$AK$3:$AK$2000&lt;&gt;""))),"")</f>
        <v/>
      </c>
      <c r="AB420" s="27" t="n">
        <v>1300</v>
      </c>
      <c r="AC420" s="27" t="n">
        <v>76420500</v>
      </c>
      <c r="AD420" s="27" t="n">
        <v>286000000</v>
      </c>
      <c r="AE420" s="20" t="n"/>
      <c r="AF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G420" s="19">
        <f>IF($K420="","",IF(OR(LEFT($AF420,2)="작지",LEFT($AF420,4)="소재입고"),IF(LEFT($G420,1)="S","★ 납기위험(S코드)","◆ 지연주의"),IF($AF420="정상","✓ 정상","? 확인필요")))</f>
        <v/>
      </c>
      <c r="AH420" s="21" t="n"/>
      <c r="AI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19">
        <f>IF(COUNTIF(EDW_RAW!$A$2:$A$1500,$D421)=0,"",IF(COUNTIFS(EDW_RAW!$A$2:$A$1500,$D421,EDW_RAW!$R$2:$R$1500,"&lt;&gt;~",EDW_RAW!$R$2:$R$1500,"&lt;&gt;")=COUNTIF(EDW_RAW!$A$2:$A$1500,$D421),"O",IF(COUNTIFS(EDW_RAW!$A$2:$A$1500,$D421,EDW_RAW!$R$2:$R$1500,"&lt;&gt;~",EDW_RAW!$R$2:$R$1500,"&lt;&gt;")&gt;0,"부분","X")))</f>
        <v/>
      </c>
      <c r="R421" s="19">
        <f>IF(COUNTIF(EDW_RAW!$A$2:$A$1500,$D421)=0,"",IF(COUNTIFS(EDW_RAW!$A$2:$A$1500,$D421,EDW_RAW!$U$2:$U$1500,"&lt;&gt;~",EDW_RAW!$U$2:$U$1500,"&lt;&gt;")=COUNTIF(EDW_RAW!$A$2:$A$1500,$D421),"O",IF(COUNTIFS(EDW_RAW!$A$2:$A$1500,$D421,EDW_RAW!$U$2:$U$1500,"&lt;&gt;~",EDW_RAW!$U$2:$U$1500,"&lt;&gt;")&gt;0,"부분","X")))</f>
        <v/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",TRUE,UNIQUE(FILTER(소재DB_RAW!$K$3:$K$2000,(소재DB_RAW!$G$3:$G$2000=$D421)*ISERROR(SEARCH("drop",소재DB_RAW!$C$3:$C$2000))))),"")</f>
        <v/>
      </c>
      <c r="W421" s="20" t="inlineStr">
        <is>
          <t>국내</t>
        </is>
      </c>
      <c r="X421" s="20">
        <f>IFERROR(TEXTJOIN(" / ",TRUE,UNIQUE(FILTER(소재DB_RAW!$N$3:$N$2000,(소재DB_RAW!$G$3:$G$2000=$D421)*ISERROR(SEARCH("drop",소재DB_RAW!$C$3:$C$2000))))),"")</f>
        <v/>
      </c>
      <c r="Y421" s="26">
        <f>IFERROR(TEXTJOIN(CHAR(10),TRUE,UNIQUE(FILTER(소재DB_RAW!$N$3:$N$2000&amp;") "&amp;소재DB_RAW!$O$3:$O$2000,(소재DB_RAW!$G$3:$G$2000=$D421)*ISNUMBER(SEARCH("겉감",소재DB_RAW!$M$3:$M$2000))*ISERROR(SEARCH("drop",소재DB_RAW!$C$3:$C$2000))))),"")</f>
        <v/>
      </c>
      <c r="Z421" s="26">
        <f>IFERROR(TEXTJOIN(CHAR(10),TRUE,UNIQUE(FILTER(소재DB_RAW!$N$3:$N$2000&amp;") "&amp;소재DB_RAW!$O$3:$O$2000,(소재DB_RAW!$G$3:$G$2000=$D421)*ISNUMBER(SEARCH("안감",소재DB_RAW!$M$3:$M$2000))*ISERROR(SEARCH("drop",소재DB_RAW!$C$3:$C$2000))))),"")</f>
        <v/>
      </c>
      <c r="AA421" s="22">
        <f>IFERROR(MAX(FILTER(소재DB_RAW!$AK$3:$AK$2000,(소재DB_RAW!$G$3:$G$2000=$D421)*ISERROR(SEARCH("drop",소재DB_RAW!$C$3:$C$2000))*(소재DB_RAW!$AK$3:$AK$2000&lt;&gt;""))),"")</f>
        <v/>
      </c>
      <c r="AB421" s="27" t="n">
        <v>1600</v>
      </c>
      <c r="AC421" s="27" t="n">
        <v>5566400</v>
      </c>
      <c r="AD421" s="27" t="n">
        <v>40000000</v>
      </c>
      <c r="AE421" s="20" t="n"/>
      <c r="AF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G421" s="19">
        <f>IF($K421="","",IF(OR(LEFT($AF421,2)="작지",LEFT($AF421,4)="소재입고"),IF(LEFT($G421,1)="S","★ 납기위험(S코드)","◆ 지연주의"),IF($AF421="정상","✓ 정상","? 확인필요")))</f>
        <v/>
      </c>
      <c r="AH421" s="21" t="n"/>
      <c r="AI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19">
        <f>IF(COUNTIF(EDW_RAW!$A$2:$A$1500,$D422)=0,"",IF(COUNTIFS(EDW_RAW!$A$2:$A$1500,$D422,EDW_RAW!$R$2:$R$1500,"&lt;&gt;~",EDW_RAW!$R$2:$R$1500,"&lt;&gt;")=COUNTIF(EDW_RAW!$A$2:$A$1500,$D422),"O",IF(COUNTIFS(EDW_RAW!$A$2:$A$1500,$D422,EDW_RAW!$R$2:$R$1500,"&lt;&gt;~",EDW_RAW!$R$2:$R$1500,"&lt;&gt;")&gt;0,"부분","X")))</f>
        <v/>
      </c>
      <c r="R422" s="19">
        <f>IF(COUNTIF(EDW_RAW!$A$2:$A$1500,$D422)=0,"",IF(COUNTIFS(EDW_RAW!$A$2:$A$1500,$D422,EDW_RAW!$U$2:$U$1500,"&lt;&gt;~",EDW_RAW!$U$2:$U$1500,"&lt;&gt;")=COUNTIF(EDW_RAW!$A$2:$A$1500,$D422),"O",IF(COUNTIFS(EDW_RAW!$A$2:$A$1500,$D422,EDW_RAW!$U$2:$U$1500,"&lt;&gt;~",EDW_RAW!$U$2:$U$1500,"&lt;&gt;")&gt;0,"부분","X")))</f>
        <v/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",TRUE,UNIQUE(FILTER(소재DB_RAW!$K$3:$K$2000,(소재DB_RAW!$G$3:$G$2000=$D422)*ISERROR(SEARCH("drop",소재DB_RAW!$C$3:$C$2000))))),"")</f>
        <v/>
      </c>
      <c r="W422" s="20" t="inlineStr">
        <is>
          <t>베트남</t>
        </is>
      </c>
      <c r="X422" s="20">
        <f>IFERROR(TEXTJOIN(" / ",TRUE,UNIQUE(FILTER(소재DB_RAW!$N$3:$N$2000,(소재DB_RAW!$G$3:$G$2000=$D422)*ISERROR(SEARCH("drop",소재DB_RAW!$C$3:$C$2000))))),"")</f>
        <v/>
      </c>
      <c r="Y422" s="26">
        <f>IFERROR(TEXTJOIN(CHAR(10),TRUE,UNIQUE(FILTER(소재DB_RAW!$N$3:$N$2000&amp;") "&amp;소재DB_RAW!$O$3:$O$2000,(소재DB_RAW!$G$3:$G$2000=$D422)*ISNUMBER(SEARCH("겉감",소재DB_RAW!$M$3:$M$2000))*ISERROR(SEARCH("drop",소재DB_RAW!$C$3:$C$2000))))),"")</f>
        <v/>
      </c>
      <c r="Z422" s="26">
        <f>IFERROR(TEXTJOIN(CHAR(10),TRUE,UNIQUE(FILTER(소재DB_RAW!$N$3:$N$2000&amp;") "&amp;소재DB_RAW!$O$3:$O$2000,(소재DB_RAW!$G$3:$G$2000=$D422)*ISNUMBER(SEARCH("안감",소재DB_RAW!$M$3:$M$2000))*ISERROR(SEARCH("drop",소재DB_RAW!$C$3:$C$2000))))),"")</f>
        <v/>
      </c>
      <c r="AA422" s="22">
        <f>IFERROR(MAX(FILTER(소재DB_RAW!$AK$3:$AK$2000,(소재DB_RAW!$G$3:$G$2000=$D422)*ISERROR(SEARCH("drop",소재DB_RAW!$C$3:$C$2000))*(소재DB_RAW!$AK$3:$AK$2000&lt;&gt;""))),"")</f>
        <v/>
      </c>
      <c r="AB422" s="27" t="n">
        <v>1200</v>
      </c>
      <c r="AC422" s="27" t="n">
        <v>16401600</v>
      </c>
      <c r="AD422" s="27" t="n">
        <v>78000000</v>
      </c>
      <c r="AE422" s="20" t="n"/>
      <c r="AF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G422" s="19">
        <f>IF($K422="","",IF(OR(LEFT($AF422,2)="작지",LEFT($AF422,4)="소재입고"),IF(LEFT($G422,1)="S","★ 납기위험(S코드)","◆ 지연주의"),IF($AF422="정상","✓ 정상","? 확인필요")))</f>
        <v/>
      </c>
      <c r="AH422" s="21" t="n"/>
      <c r="AI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19">
        <f>IF(COUNTIF(EDW_RAW!$A$2:$A$1500,$D423)=0,"",IF(COUNTIFS(EDW_RAW!$A$2:$A$1500,$D423,EDW_RAW!$R$2:$R$1500,"&lt;&gt;~",EDW_RAW!$R$2:$R$1500,"&lt;&gt;")=COUNTIF(EDW_RAW!$A$2:$A$1500,$D423),"O",IF(COUNTIFS(EDW_RAW!$A$2:$A$1500,$D423,EDW_RAW!$R$2:$R$1500,"&lt;&gt;~",EDW_RAW!$R$2:$R$1500,"&lt;&gt;")&gt;0,"부분","X")))</f>
        <v/>
      </c>
      <c r="R423" s="19">
        <f>IF(COUNTIF(EDW_RAW!$A$2:$A$1500,$D423)=0,"",IF(COUNTIFS(EDW_RAW!$A$2:$A$1500,$D423,EDW_RAW!$U$2:$U$1500,"&lt;&gt;~",EDW_RAW!$U$2:$U$1500,"&lt;&gt;")=COUNTIF(EDW_RAW!$A$2:$A$1500,$D423),"O",IF(COUNTIFS(EDW_RAW!$A$2:$A$1500,$D423,EDW_RAW!$U$2:$U$1500,"&lt;&gt;~",EDW_RAW!$U$2:$U$1500,"&lt;&gt;")&gt;0,"부분","X")))</f>
        <v/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",TRUE,UNIQUE(FILTER(소재DB_RAW!$K$3:$K$2000,(소재DB_RAW!$G$3:$G$2000=$D423)*ISERROR(SEARCH("drop",소재DB_RAW!$C$3:$C$2000))))),"")</f>
        <v/>
      </c>
      <c r="W423" s="20" t="inlineStr">
        <is>
          <t>베트남</t>
        </is>
      </c>
      <c r="X423" s="20">
        <f>IFERROR(TEXTJOIN(" / ",TRUE,UNIQUE(FILTER(소재DB_RAW!$N$3:$N$2000,(소재DB_RAW!$G$3:$G$2000=$D423)*ISERROR(SEARCH("drop",소재DB_RAW!$C$3:$C$2000))))),"")</f>
        <v/>
      </c>
      <c r="Y423" s="26">
        <f>IFERROR(TEXTJOIN(CHAR(10),TRUE,UNIQUE(FILTER(소재DB_RAW!$N$3:$N$2000&amp;") "&amp;소재DB_RAW!$O$3:$O$2000,(소재DB_RAW!$G$3:$G$2000=$D423)*ISNUMBER(SEARCH("겉감",소재DB_RAW!$M$3:$M$2000))*ISERROR(SEARCH("drop",소재DB_RAW!$C$3:$C$2000))))),"")</f>
        <v/>
      </c>
      <c r="Z423" s="26">
        <f>IFERROR(TEXTJOIN(CHAR(10),TRUE,UNIQUE(FILTER(소재DB_RAW!$N$3:$N$2000&amp;") "&amp;소재DB_RAW!$O$3:$O$2000,(소재DB_RAW!$G$3:$G$2000=$D423)*ISNUMBER(SEARCH("안감",소재DB_RAW!$M$3:$M$2000))*ISERROR(SEARCH("drop",소재DB_RAW!$C$3:$C$2000))))),"")</f>
        <v/>
      </c>
      <c r="AA423" s="22">
        <f>IFERROR(MAX(FILTER(소재DB_RAW!$AK$3:$AK$2000,(소재DB_RAW!$G$3:$G$2000=$D423)*ISERROR(SEARCH("drop",소재DB_RAW!$C$3:$C$2000))*(소재DB_RAW!$AK$3:$AK$2000&lt;&gt;""))),"")</f>
        <v/>
      </c>
      <c r="AB423" s="27" t="n">
        <v>900</v>
      </c>
      <c r="AC423" s="27" t="n">
        <v>12301200</v>
      </c>
      <c r="AD423" s="27" t="n">
        <v>58500000</v>
      </c>
      <c r="AE423" s="20" t="n"/>
      <c r="AF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G423" s="19">
        <f>IF($K423="","",IF(OR(LEFT($AF423,2)="작지",LEFT($AF423,4)="소재입고"),IF(LEFT($G423,1)="S","★ 납기위험(S코드)","◆ 지연주의"),IF($AF423="정상","✓ 정상","? 확인필요")))</f>
        <v/>
      </c>
      <c r="AH423" s="21" t="n"/>
      <c r="AI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19">
        <f>IF(COUNTIF(EDW_RAW!$A$2:$A$1500,$D424)=0,"",IF(COUNTIFS(EDW_RAW!$A$2:$A$1500,$D424,EDW_RAW!$R$2:$R$1500,"&lt;&gt;~",EDW_RAW!$R$2:$R$1500,"&lt;&gt;")=COUNTIF(EDW_RAW!$A$2:$A$1500,$D424),"O",IF(COUNTIFS(EDW_RAW!$A$2:$A$1500,$D424,EDW_RAW!$R$2:$R$1500,"&lt;&gt;~",EDW_RAW!$R$2:$R$1500,"&lt;&gt;")&gt;0,"부분","X")))</f>
        <v/>
      </c>
      <c r="R424" s="19">
        <f>IF(COUNTIF(EDW_RAW!$A$2:$A$1500,$D424)=0,"",IF(COUNTIFS(EDW_RAW!$A$2:$A$1500,$D424,EDW_RAW!$U$2:$U$1500,"&lt;&gt;~",EDW_RAW!$U$2:$U$1500,"&lt;&gt;")=COUNTIF(EDW_RAW!$A$2:$A$1500,$D424),"O",IF(COUNTIFS(EDW_RAW!$A$2:$A$1500,$D424,EDW_RAW!$U$2:$U$1500,"&lt;&gt;~",EDW_RAW!$U$2:$U$1500,"&lt;&gt;")&gt;0,"부분","X")))</f>
        <v/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",TRUE,UNIQUE(FILTER(소재DB_RAW!$K$3:$K$2000,(소재DB_RAW!$G$3:$G$2000=$D424)*ISERROR(SEARCH("drop",소재DB_RAW!$C$3:$C$2000))))),"")</f>
        <v/>
      </c>
      <c r="W424" s="20" t="inlineStr">
        <is>
          <t>한국</t>
        </is>
      </c>
      <c r="X424" s="20">
        <f>IFERROR(TEXTJOIN(" / ",TRUE,UNIQUE(FILTER(소재DB_RAW!$N$3:$N$2000,(소재DB_RAW!$G$3:$G$2000=$D424)*ISERROR(SEARCH("drop",소재DB_RAW!$C$3:$C$2000))))),"")</f>
        <v/>
      </c>
      <c r="Y424" s="26">
        <f>IFERROR(TEXTJOIN(CHAR(10),TRUE,UNIQUE(FILTER(소재DB_RAW!$N$3:$N$2000&amp;") "&amp;소재DB_RAW!$O$3:$O$2000,(소재DB_RAW!$G$3:$G$2000=$D424)*ISNUMBER(SEARCH("겉감",소재DB_RAW!$M$3:$M$2000))*ISERROR(SEARCH("drop",소재DB_RAW!$C$3:$C$2000))))),"")</f>
        <v/>
      </c>
      <c r="Z424" s="26">
        <f>IFERROR(TEXTJOIN(CHAR(10),TRUE,UNIQUE(FILTER(소재DB_RAW!$N$3:$N$2000&amp;") "&amp;소재DB_RAW!$O$3:$O$2000,(소재DB_RAW!$G$3:$G$2000=$D424)*ISNUMBER(SEARCH("안감",소재DB_RAW!$M$3:$M$2000))*ISERROR(SEARCH("drop",소재DB_RAW!$C$3:$C$2000))))),"")</f>
        <v/>
      </c>
      <c r="AA424" s="22">
        <f>IFERROR(MAX(FILTER(소재DB_RAW!$AK$3:$AK$2000,(소재DB_RAW!$G$3:$G$2000=$D424)*ISERROR(SEARCH("drop",소재DB_RAW!$C$3:$C$2000))*(소재DB_RAW!$AK$3:$AK$2000&lt;&gt;""))),"")</f>
        <v/>
      </c>
      <c r="AB424" s="27" t="n">
        <v>2000</v>
      </c>
      <c r="AC424" s="27" t="n">
        <v>8800000</v>
      </c>
      <c r="AD424" s="27" t="n">
        <v>60000000</v>
      </c>
      <c r="AE424" s="20" t="n"/>
      <c r="AF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G424" s="19">
        <f>IF($K424="","",IF(OR(LEFT($AF424,2)="작지",LEFT($AF424,4)="소재입고"),IF(LEFT($G424,1)="S","★ 납기위험(S코드)","◆ 지연주의"),IF($AF424="정상","✓ 정상","? 확인필요")))</f>
        <v/>
      </c>
      <c r="AH424" s="21" t="n"/>
      <c r="AI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19">
        <f>IF(COUNTIF(EDW_RAW!$A$2:$A$1500,$D425)=0,"",IF(COUNTIFS(EDW_RAW!$A$2:$A$1500,$D425,EDW_RAW!$R$2:$R$1500,"&lt;&gt;~",EDW_RAW!$R$2:$R$1500,"&lt;&gt;")=COUNTIF(EDW_RAW!$A$2:$A$1500,$D425),"O",IF(COUNTIFS(EDW_RAW!$A$2:$A$1500,$D425,EDW_RAW!$R$2:$R$1500,"&lt;&gt;~",EDW_RAW!$R$2:$R$1500,"&lt;&gt;")&gt;0,"부분","X")))</f>
        <v/>
      </c>
      <c r="R425" s="19">
        <f>IF(COUNTIF(EDW_RAW!$A$2:$A$1500,$D425)=0,"",IF(COUNTIFS(EDW_RAW!$A$2:$A$1500,$D425,EDW_RAW!$U$2:$U$1500,"&lt;&gt;~",EDW_RAW!$U$2:$U$1500,"&lt;&gt;")=COUNTIF(EDW_RAW!$A$2:$A$1500,$D425),"O",IF(COUNTIFS(EDW_RAW!$A$2:$A$1500,$D425,EDW_RAW!$U$2:$U$1500,"&lt;&gt;~",EDW_RAW!$U$2:$U$1500,"&lt;&gt;")&gt;0,"부분","X")))</f>
        <v/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",TRUE,UNIQUE(FILTER(소재DB_RAW!$K$3:$K$2000,(소재DB_RAW!$G$3:$G$2000=$D425)*ISERROR(SEARCH("drop",소재DB_RAW!$C$3:$C$2000))))),"")</f>
        <v/>
      </c>
      <c r="W425" s="20" t="inlineStr">
        <is>
          <t>국내</t>
        </is>
      </c>
      <c r="X425" s="20">
        <f>IFERROR(TEXTJOIN(" / ",TRUE,UNIQUE(FILTER(소재DB_RAW!$N$3:$N$2000,(소재DB_RAW!$G$3:$G$2000=$D425)*ISERROR(SEARCH("drop",소재DB_RAW!$C$3:$C$2000))))),"")</f>
        <v/>
      </c>
      <c r="Y425" s="26">
        <f>IFERROR(TEXTJOIN(CHAR(10),TRUE,UNIQUE(FILTER(소재DB_RAW!$N$3:$N$2000&amp;") "&amp;소재DB_RAW!$O$3:$O$2000,(소재DB_RAW!$G$3:$G$2000=$D425)*ISNUMBER(SEARCH("겉감",소재DB_RAW!$M$3:$M$2000))*ISERROR(SEARCH("drop",소재DB_RAW!$C$3:$C$2000))))),"")</f>
        <v/>
      </c>
      <c r="Z425" s="26">
        <f>IFERROR(TEXTJOIN(CHAR(10),TRUE,UNIQUE(FILTER(소재DB_RAW!$N$3:$N$2000&amp;") "&amp;소재DB_RAW!$O$3:$O$2000,(소재DB_RAW!$G$3:$G$2000=$D425)*ISNUMBER(SEARCH("안감",소재DB_RAW!$M$3:$M$2000))*ISERROR(SEARCH("drop",소재DB_RAW!$C$3:$C$2000))))),"")</f>
        <v/>
      </c>
      <c r="AA425" s="22">
        <f>IFERROR(MAX(FILTER(소재DB_RAW!$AK$3:$AK$2000,(소재DB_RAW!$G$3:$G$2000=$D425)*ISERROR(SEARCH("drop",소재DB_RAW!$C$3:$C$2000))*(소재DB_RAW!$AK$3:$AK$2000&lt;&gt;""))),"")</f>
        <v/>
      </c>
      <c r="AB425" s="27" t="n">
        <v>5500</v>
      </c>
      <c r="AC425" s="27" t="n">
        <v>90750000</v>
      </c>
      <c r="AD425" s="27" t="n">
        <v>429000000</v>
      </c>
      <c r="AE425" s="20" t="n"/>
      <c r="AF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G425" s="19">
        <f>IF($K425="","",IF(OR(LEFT($AF425,2)="작지",LEFT($AF425,4)="소재입고"),IF(LEFT($G425,1)="S","★ 납기위험(S코드)","◆ 지연주의"),IF($AF425="정상","✓ 정상","? 확인필요")))</f>
        <v/>
      </c>
      <c r="AH425" s="21" t="n"/>
      <c r="AI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19">
        <f>IF(COUNTIF(EDW_RAW!$A$2:$A$1500,$D426)=0,"",IF(COUNTIFS(EDW_RAW!$A$2:$A$1500,$D426,EDW_RAW!$R$2:$R$1500,"&lt;&gt;~",EDW_RAW!$R$2:$R$1500,"&lt;&gt;")=COUNTIF(EDW_RAW!$A$2:$A$1500,$D426),"O",IF(COUNTIFS(EDW_RAW!$A$2:$A$1500,$D426,EDW_RAW!$R$2:$R$1500,"&lt;&gt;~",EDW_RAW!$R$2:$R$1500,"&lt;&gt;")&gt;0,"부분","X")))</f>
        <v/>
      </c>
      <c r="R426" s="19">
        <f>IF(COUNTIF(EDW_RAW!$A$2:$A$1500,$D426)=0,"",IF(COUNTIFS(EDW_RAW!$A$2:$A$1500,$D426,EDW_RAW!$U$2:$U$1500,"&lt;&gt;~",EDW_RAW!$U$2:$U$1500,"&lt;&gt;")=COUNTIF(EDW_RAW!$A$2:$A$1500,$D426),"O",IF(COUNTIFS(EDW_RAW!$A$2:$A$1500,$D426,EDW_RAW!$U$2:$U$1500,"&lt;&gt;~",EDW_RAW!$U$2:$U$1500,"&lt;&gt;")&gt;0,"부분","X")))</f>
        <v/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",TRUE,UNIQUE(FILTER(소재DB_RAW!$K$3:$K$2000,(소재DB_RAW!$G$3:$G$2000=$D426)*ISERROR(SEARCH("drop",소재DB_RAW!$C$3:$C$2000))))),"")</f>
        <v/>
      </c>
      <c r="W426" s="20" t="inlineStr">
        <is>
          <t>중국</t>
        </is>
      </c>
      <c r="X426" s="20">
        <f>IFERROR(TEXTJOIN(" / ",TRUE,UNIQUE(FILTER(소재DB_RAW!$N$3:$N$2000,(소재DB_RAW!$G$3:$G$2000=$D426)*ISERROR(SEARCH("drop",소재DB_RAW!$C$3:$C$2000))))),"")</f>
        <v/>
      </c>
      <c r="Y426" s="26">
        <f>IFERROR(TEXTJOIN(CHAR(10),TRUE,UNIQUE(FILTER(소재DB_RAW!$N$3:$N$2000&amp;") "&amp;소재DB_RAW!$O$3:$O$2000,(소재DB_RAW!$G$3:$G$2000=$D426)*ISNUMBER(SEARCH("겉감",소재DB_RAW!$M$3:$M$2000))*ISERROR(SEARCH("drop",소재DB_RAW!$C$3:$C$2000))))),"")</f>
        <v/>
      </c>
      <c r="Z426" s="26">
        <f>IFERROR(TEXTJOIN(CHAR(10),TRUE,UNIQUE(FILTER(소재DB_RAW!$N$3:$N$2000&amp;") "&amp;소재DB_RAW!$O$3:$O$2000,(소재DB_RAW!$G$3:$G$2000=$D426)*ISNUMBER(SEARCH("안감",소재DB_RAW!$M$3:$M$2000))*ISERROR(SEARCH("drop",소재DB_RAW!$C$3:$C$2000))))),"")</f>
        <v/>
      </c>
      <c r="AA426" s="22">
        <f>IFERROR(MAX(FILTER(소재DB_RAW!$AK$3:$AK$2000,(소재DB_RAW!$G$3:$G$2000=$D426)*ISERROR(SEARCH("drop",소재DB_RAW!$C$3:$C$2000))*(소재DB_RAW!$AK$3:$AK$2000&lt;&gt;""))),"")</f>
        <v/>
      </c>
      <c r="AB426" s="27" t="n">
        <v>900</v>
      </c>
      <c r="AC426" s="27" t="n">
        <v>14400000</v>
      </c>
      <c r="AD426" s="27" t="n">
        <v>70200000</v>
      </c>
      <c r="AE426" s="20" t="n"/>
      <c r="AF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G426" s="19">
        <f>IF($K426="","",IF(OR(LEFT($AF426,2)="작지",LEFT($AF426,4)="소재입고"),IF(LEFT($G426,1)="S","★ 납기위험(S코드)","◆ 지연주의"),IF($AF426="정상","✓ 정상","? 확인필요")))</f>
        <v/>
      </c>
      <c r="AH426" s="21" t="n"/>
      <c r="AI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19">
        <f>IF(COUNTIF(EDW_RAW!$A$2:$A$1500,$D427)=0,"",IF(COUNTIFS(EDW_RAW!$A$2:$A$1500,$D427,EDW_RAW!$R$2:$R$1500,"&lt;&gt;~",EDW_RAW!$R$2:$R$1500,"&lt;&gt;")=COUNTIF(EDW_RAW!$A$2:$A$1500,$D427),"O",IF(COUNTIFS(EDW_RAW!$A$2:$A$1500,$D427,EDW_RAW!$R$2:$R$1500,"&lt;&gt;~",EDW_RAW!$R$2:$R$1500,"&lt;&gt;")&gt;0,"부분","X")))</f>
        <v/>
      </c>
      <c r="R427" s="19">
        <f>IF(COUNTIF(EDW_RAW!$A$2:$A$1500,$D427)=0,"",IF(COUNTIFS(EDW_RAW!$A$2:$A$1500,$D427,EDW_RAW!$U$2:$U$1500,"&lt;&gt;~",EDW_RAW!$U$2:$U$1500,"&lt;&gt;")=COUNTIF(EDW_RAW!$A$2:$A$1500,$D427),"O",IF(COUNTIFS(EDW_RAW!$A$2:$A$1500,$D427,EDW_RAW!$U$2:$U$1500,"&lt;&gt;~",EDW_RAW!$U$2:$U$1500,"&lt;&gt;")&gt;0,"부분","X")))</f>
        <v/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",TRUE,UNIQUE(FILTER(소재DB_RAW!$K$3:$K$2000,(소재DB_RAW!$G$3:$G$2000=$D427)*ISERROR(SEARCH("drop",소재DB_RAW!$C$3:$C$2000))))),"")</f>
        <v/>
      </c>
      <c r="W427" s="20" t="inlineStr">
        <is>
          <t>중국</t>
        </is>
      </c>
      <c r="X427" s="20">
        <f>IFERROR(TEXTJOIN(" / ",TRUE,UNIQUE(FILTER(소재DB_RAW!$N$3:$N$2000,(소재DB_RAW!$G$3:$G$2000=$D427)*ISERROR(SEARCH("drop",소재DB_RAW!$C$3:$C$2000))))),"")</f>
        <v/>
      </c>
      <c r="Y427" s="26">
        <f>IFERROR(TEXTJOIN(CHAR(10),TRUE,UNIQUE(FILTER(소재DB_RAW!$N$3:$N$2000&amp;") "&amp;소재DB_RAW!$O$3:$O$2000,(소재DB_RAW!$G$3:$G$2000=$D427)*ISNUMBER(SEARCH("겉감",소재DB_RAW!$M$3:$M$2000))*ISERROR(SEARCH("drop",소재DB_RAW!$C$3:$C$2000))))),"")</f>
        <v/>
      </c>
      <c r="Z427" s="26">
        <f>IFERROR(TEXTJOIN(CHAR(10),TRUE,UNIQUE(FILTER(소재DB_RAW!$N$3:$N$2000&amp;") "&amp;소재DB_RAW!$O$3:$O$2000,(소재DB_RAW!$G$3:$G$2000=$D427)*ISNUMBER(SEARCH("안감",소재DB_RAW!$M$3:$M$2000))*ISERROR(SEARCH("drop",소재DB_RAW!$C$3:$C$2000))))),"")</f>
        <v/>
      </c>
      <c r="AA427" s="22">
        <f>IFERROR(MAX(FILTER(소재DB_RAW!$AK$3:$AK$2000,(소재DB_RAW!$G$3:$G$2000=$D427)*ISERROR(SEARCH("drop",소재DB_RAW!$C$3:$C$2000))*(소재DB_RAW!$AK$3:$AK$2000&lt;&gt;""))),"")</f>
        <v/>
      </c>
      <c r="AB427" s="27" t="n">
        <v>800</v>
      </c>
      <c r="AC427" s="27" t="n">
        <v>22800000</v>
      </c>
      <c r="AD427" s="27" t="n">
        <v>102400000</v>
      </c>
      <c r="AE427" s="20" t="n"/>
      <c r="AF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G427" s="19">
        <f>IF($K427="","",IF(OR(LEFT($AF427,2)="작지",LEFT($AF427,4)="소재입고"),IF(LEFT($G427,1)="S","★ 납기위험(S코드)","◆ 지연주의"),IF($AF427="정상","✓ 정상","? 확인필요")))</f>
        <v/>
      </c>
      <c r="AH427" s="21" t="n"/>
      <c r="AI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19">
        <f>IF(COUNTIF(EDW_RAW!$A$2:$A$1500,$D428)=0,"",IF(COUNTIFS(EDW_RAW!$A$2:$A$1500,$D428,EDW_RAW!$R$2:$R$1500,"&lt;&gt;~",EDW_RAW!$R$2:$R$1500,"&lt;&gt;")=COUNTIF(EDW_RAW!$A$2:$A$1500,$D428),"O",IF(COUNTIFS(EDW_RAW!$A$2:$A$1500,$D428,EDW_RAW!$R$2:$R$1500,"&lt;&gt;~",EDW_RAW!$R$2:$R$1500,"&lt;&gt;")&gt;0,"부분","X")))</f>
        <v/>
      </c>
      <c r="R428" s="19">
        <f>IF(COUNTIF(EDW_RAW!$A$2:$A$1500,$D428)=0,"",IF(COUNTIFS(EDW_RAW!$A$2:$A$1500,$D428,EDW_RAW!$U$2:$U$1500,"&lt;&gt;~",EDW_RAW!$U$2:$U$1500,"&lt;&gt;")=COUNTIF(EDW_RAW!$A$2:$A$1500,$D428),"O",IF(COUNTIFS(EDW_RAW!$A$2:$A$1500,$D428,EDW_RAW!$U$2:$U$1500,"&lt;&gt;~",EDW_RAW!$U$2:$U$1500,"&lt;&gt;")&gt;0,"부분","X")))</f>
        <v/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",TRUE,UNIQUE(FILTER(소재DB_RAW!$K$3:$K$2000,(소재DB_RAW!$G$3:$G$2000=$D428)*ISERROR(SEARCH("drop",소재DB_RAW!$C$3:$C$2000))))),"")</f>
        <v/>
      </c>
      <c r="W428" s="20" t="inlineStr">
        <is>
          <t>베트남</t>
        </is>
      </c>
      <c r="X428" s="20">
        <f>IFERROR(TEXTJOIN(" / ",TRUE,UNIQUE(FILTER(소재DB_RAW!$N$3:$N$2000,(소재DB_RAW!$G$3:$G$2000=$D428)*ISERROR(SEARCH("drop",소재DB_RAW!$C$3:$C$2000))))),"")</f>
        <v/>
      </c>
      <c r="Y428" s="26">
        <f>IFERROR(TEXTJOIN(CHAR(10),TRUE,UNIQUE(FILTER(소재DB_RAW!$N$3:$N$2000&amp;") "&amp;소재DB_RAW!$O$3:$O$2000,(소재DB_RAW!$G$3:$G$2000=$D428)*ISNUMBER(SEARCH("겉감",소재DB_RAW!$M$3:$M$2000))*ISERROR(SEARCH("drop",소재DB_RAW!$C$3:$C$2000))))),"")</f>
        <v/>
      </c>
      <c r="Z428" s="26">
        <f>IFERROR(TEXTJOIN(CHAR(10),TRUE,UNIQUE(FILTER(소재DB_RAW!$N$3:$N$2000&amp;") "&amp;소재DB_RAW!$O$3:$O$2000,(소재DB_RAW!$G$3:$G$2000=$D428)*ISNUMBER(SEARCH("안감",소재DB_RAW!$M$3:$M$2000))*ISERROR(SEARCH("drop",소재DB_RAW!$C$3:$C$2000))))),"")</f>
        <v/>
      </c>
      <c r="AA428" s="22">
        <f>IFERROR(MAX(FILTER(소재DB_RAW!$AK$3:$AK$2000,(소재DB_RAW!$G$3:$G$2000=$D428)*ISERROR(SEARCH("drop",소재DB_RAW!$C$3:$C$2000))*(소재DB_RAW!$AK$3:$AK$2000&lt;&gt;""))),"")</f>
        <v/>
      </c>
      <c r="AB428" s="27" t="n">
        <v>2600</v>
      </c>
      <c r="AC428" s="27" t="n">
        <v>27739400</v>
      </c>
      <c r="AD428" s="27" t="n">
        <v>143000000</v>
      </c>
      <c r="AE428" s="20" t="n"/>
      <c r="AF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G428" s="19">
        <f>IF($K428="","",IF(OR(LEFT($AF428,2)="작지",LEFT($AF428,4)="소재입고"),IF(LEFT($G428,1)="S","★ 납기위험(S코드)","◆ 지연주의"),IF($AF428="정상","✓ 정상","? 확인필요")))</f>
        <v/>
      </c>
      <c r="AH428" s="21" t="n"/>
      <c r="AI428" s="28" t="n"/>
    </row>
  </sheetData>
  <autoFilter ref="A4:AI428"/>
  <conditionalFormatting sqref="AG5:AG428">
    <cfRule type="containsText" priority="1" operator="containsText" dxfId="0" text="★">
      <formula>NOT(ISERROR(SEARCH("★",AG5)))</formula>
    </cfRule>
    <cfRule type="containsText" priority="2" operator="containsText" dxfId="1" text="◆">
      <formula>NOT(ISERROR(SEARCH("◆",AG5)))</formula>
    </cfRule>
    <cfRule type="containsText" priority="3" operator="containsText" dxfId="2" text="✓">
      <formula>NOT(ISERROR(SEARCH("✓",AG5)))</formula>
    </cfRule>
    <cfRule type="containsText" priority="4" operator="containsText" dxfId="3" text="?">
      <formula>NOT(ISERROR(SEARCH("?",AG5)))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2">
    <dataValidation sqref="P5:P428" showDropDown="0" showInputMessage="0" showErrorMessage="0" allowBlank="1" type="list">
      <formula1>"O,X"</formula1>
    </dataValidation>
    <dataValidation sqref="AH5:AH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Data!A3:AN2000")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'27SS 생산 프로세스 진척현황(자동화)' &gt; EDW_RAW 실시간 연동. 최초 1회 A2 셀에서 '액세스 허용' 클릭 필요. 이 탭은 수정하지 마세요.</t>
        </is>
      </c>
    </row>
    <row r="2">
      <c r="A2">
        <f>IMPORTRANGE("https://docs.google.com/spreadsheets/d/1iSDzZFUv3855k9Zh-tNZALH8z3gY7dTw9j8RlHpJETg","EDW_RAW!A2:U1500")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트래커'!$AB$5:$AB$428)</f>
        <v/>
      </c>
      <c r="E6" s="32">
        <f>SUMPRODUCT((LEFT('소재역산 트래커'!$D$5:$D$428,1)&lt;&gt;"Q")*(LEFT('소재역산 트래커'!$D$5:$D$428,1)&lt;&gt;"8")*('소재역산 트래커'!$D$5:$D$428&lt;&gt;"")*'소재역산 트래커'!$AC$5:$AC$428)</f>
        <v/>
      </c>
      <c r="F6" s="32">
        <f>SUMPRODUCT((LEFT('소재역산 트래커'!$D$5:$D$428,1)&lt;&gt;"Q")*(LEFT('소재역산 트래커'!$D$5:$D$428,1)&lt;&gt;"8")*('소재역산 트래커'!$D$5:$D$428&lt;&gt;"")*'소재역산 트래커'!$AD$5:$AD$428)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트래커'!$AB$5:$AB$428)</f>
        <v/>
      </c>
      <c r="E7" s="32">
        <f>SUMPRODUCT((LEFT('소재역산 트래커'!$D$5:$D$428,1)="Q")*1*'소재역산 트래커'!$AC$5:$AC$428)</f>
        <v/>
      </c>
      <c r="F7" s="32">
        <f>SUMPRODUCT((LEFT('소재역산 트래커'!$D$5:$D$428,1)="Q")*1*'소재역산 트래커'!$AD$5:$AD$428)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트래커'!$AB$5:$AB$428)</f>
        <v/>
      </c>
      <c r="E8" s="32">
        <f>SUMPRODUCT((LEFT('소재역산 트래커'!$D$5:$D$428,1)="8")*1*'소재역산 트래커'!$AC$5:$AC$428)</f>
        <v/>
      </c>
      <c r="F8" s="32">
        <f>SUMPRODUCT((LEFT('소재역산 트래커'!$D$5:$D$428,1)="8")*1*'소재역산 트래커'!$AD$5:$AD$428)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트래커'!$AD$5:$AD$428)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트래커'!$AG$5:$AG$428,"★*")</f>
        <v/>
      </c>
      <c r="H6" s="41">
        <f>COUNTIF('소재역산 트래커'!$AG$5:$AG$428,"◆*")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트래커'!$AG$5:$AG$428,"★*")</f>
        <v/>
      </c>
      <c r="I11" s="19">
        <f>COUNTIFS('소재역산 트래커'!$B$5:$B$428,$B11,'소재역산 트래커'!$AH$5:$AH$428,"조율완료")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트래커'!$AG$5:$AG$428,"★*")</f>
        <v/>
      </c>
      <c r="I12" s="19">
        <f>COUNTIFS('소재역산 트래커'!$B$5:$B$428,$B12,'소재역산 트래커'!$AH$5:$AH$428,"조율완료")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트래커'!$AG$5:$AG$428,"★*")</f>
        <v/>
      </c>
      <c r="I13" s="19">
        <f>COUNTIFS('소재역산 트래커'!$B$5:$B$428,$B13,'소재역산 트래커'!$AH$5:$AH$428,"조율완료")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트래커'!$AG$5:$AG$428,"★*")</f>
        <v/>
      </c>
      <c r="I14" s="19">
        <f>COUNTIFS('소재역산 트래커'!$B$5:$B$428,$B14,'소재역산 트래커'!$AH$5:$AH$428,"조율완료")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트래커'!$AG$5:$AG$428,"★*")</f>
        <v/>
      </c>
      <c r="I15" s="19">
        <f>COUNTIFS('소재역산 트래커'!$B$5:$B$428,$B15,'소재역산 트래커'!$AH$5:$AH$428,"조율완료")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트래커'!$AG$5:$AG$428,"★*")</f>
        <v/>
      </c>
      <c r="I16" s="19">
        <f>COUNTIFS('소재역산 트래커'!$B$5:$B$428,$B16,'소재역산 트래커'!$AH$5:$AH$428,"조율완료")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트래커'!$AG$5:$AG$428,"★*")</f>
        <v/>
      </c>
      <c r="I17" s="19">
        <f>COUNTIFS('소재역산 트래커'!$B$5:$B$428,$B17,'소재역산 트래커'!$AH$5:$AH$428,"조율완료")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트래커'!$AG$5:$AG$428,"★*")</f>
        <v/>
      </c>
      <c r="I18" s="19">
        <f>COUNTIFS('소재역산 트래커'!$B$5:$B$428,$B18,'소재역산 트래커'!$AH$5:$AH$428,"조율완료")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트래커'!$AG$5:$AG$428,"★*")</f>
        <v/>
      </c>
      <c r="I19" s="19">
        <f>COUNTIFS('소재역산 트래커'!$B$5:$B$428,$B19,'소재역산 트래커'!$AH$5:$AH$428,"조율완료")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트래커'!$AG$5:$AG$428,"★*")</f>
        <v/>
      </c>
      <c r="I20" s="19">
        <f>COUNTIFS('소재역산 트래커'!$B$5:$B$428,$B20,'소재역산 트래커'!$AH$5:$AH$428,"조율완료")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2026-08-19T06:00:56Z</dcterms:created>
  <dcterms:modified xsi:type="dcterms:W3CDTF">2026-08-19T06:00:57Z</dcterms:modified>
</cp:coreProperties>
</file>