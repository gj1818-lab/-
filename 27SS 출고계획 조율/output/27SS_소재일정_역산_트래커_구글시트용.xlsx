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기준정보" sheetId="2" state="visible" r:id="rId2"/>
    <sheet name="소재역산 트래커" sheetId="3" state="visible" r:id="rId3"/>
    <sheet name="소재DB_RAW" sheetId="4" state="hidden" r:id="rId4"/>
    <sheet name="EDW_RAW" sheetId="5" state="hidden" r:id="rId5"/>
    <sheet name="금액 요약" sheetId="6" state="visible" r:id="rId6"/>
    <sheet name="리스크 요약" sheetId="7" state="visible" r:id="rId7"/>
  </sheets>
  <definedNames>
    <definedName name="_xlnm._FilterDatabase" localSheetId="2" hidden="1">'소재역산 트래커'!$A$4:$AH$428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;[RED]-0"/>
    <numFmt numFmtId="167" formatCode="0.0%"/>
  </numFmts>
  <fonts count="2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2C5F2D"/>
      <sz val="12"/>
    </font>
    <font>
      <name val="맑은 고딕"/>
      <color rgb="00212121"/>
      <sz val="11"/>
    </font>
    <font>
      <name val="맑은 고딕"/>
      <b val="1"/>
      <color rgb="00E8474C"/>
      <sz val="12"/>
    </font>
    <font>
      <name val="맑은 고딕"/>
      <color rgb="00666666"/>
      <sz val="10"/>
    </font>
    <font>
      <name val="맑은 고딕"/>
      <b val="1"/>
      <color rgb="00FFFFFF"/>
      <sz val="13"/>
    </font>
    <font>
      <name val="맑은 고딕"/>
      <b val="1"/>
    </font>
    <font>
      <name val="맑은 고딕"/>
      <b val="1"/>
      <color rgb="000000FF"/>
    </font>
    <font>
      <name val="맑은 고딕"/>
      <color rgb="00666666"/>
      <sz val="9"/>
    </font>
    <font>
      <name val="맑은 고딕"/>
      <b val="1"/>
      <color rgb="00FFFFFF"/>
      <sz val="12"/>
    </font>
    <font>
      <name val="맑은 고딕"/>
      <b val="1"/>
      <color rgb="002C5F2D"/>
    </font>
    <font>
      <name val="맑은 고딕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color rgb="00E8474C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E8474C"/>
      <sz val="10"/>
    </font>
    <font>
      <name val="맑은 고딕"/>
      <sz val="11"/>
    </font>
    <font>
      <name val="맑은 고딕"/>
      <b val="1"/>
      <sz val="11"/>
    </font>
    <font>
      <name val="맑은 고딕"/>
      <b val="1"/>
      <color rgb="002C5F2D"/>
      <sz val="11"/>
    </font>
    <font>
      <name val="맑은 고딕"/>
      <b val="1"/>
      <color rgb="001B3A4B"/>
      <sz val="11"/>
    </font>
    <font>
      <name val="맑은 고딕"/>
      <b val="1"/>
      <color rgb="002C5F2D"/>
      <sz val="22"/>
    </font>
    <font>
      <name val="맑은 고딕"/>
      <b val="1"/>
      <color rgb="00E8474C"/>
      <sz val="22"/>
    </font>
    <font>
      <name val="맑은 고딕"/>
      <b val="1"/>
      <color rgb="00F18F01"/>
      <sz val="22"/>
    </font>
    <font>
      <name val="맑은 고딕"/>
      <b val="1"/>
      <color rgb="001B3A4B"/>
      <sz val="22"/>
    </font>
    <font>
      <name val="맑은 고딕"/>
      <b val="1"/>
      <color rgb="002C5F2D"/>
      <sz val="10"/>
    </font>
  </fonts>
  <fills count="8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FFF0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DCEDF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164" fontId="8" fillId="3" borderId="1" pivotButton="0" quotePrefix="0" xfId="0"/>
    <xf numFmtId="0" fontId="9" fillId="0" borderId="0" pivotButton="0" quotePrefix="0" xfId="0"/>
    <xf numFmtId="0" fontId="8" fillId="3" borderId="1" pivotButton="0" quotePrefix="0" xfId="0"/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164" fontId="14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/>
    </xf>
    <xf numFmtId="0" fontId="17" fillId="0" borderId="1" pivotButton="0" quotePrefix="0" xfId="0"/>
    <xf numFmtId="0" fontId="17" fillId="4" borderId="1" applyAlignment="1" pivotButton="0" quotePrefix="0" xfId="0">
      <alignment horizontal="center"/>
    </xf>
    <xf numFmtId="164" fontId="17" fillId="0" borderId="1" pivotButton="0" quotePrefix="0" xfId="0"/>
    <xf numFmtId="1" fontId="17" fillId="0" borderId="1" applyAlignment="1" pivotButton="0" quotePrefix="0" xfId="0">
      <alignment horizontal="center"/>
    </xf>
    <xf numFmtId="166" fontId="17" fillId="0" borderId="1" applyAlignment="1" pivotButton="0" quotePrefix="0" xfId="0">
      <alignment horizontal="center"/>
    </xf>
    <xf numFmtId="164" fontId="17" fillId="4" borderId="1" pivotButton="0" quotePrefix="0" xfId="0"/>
    <xf numFmtId="0" fontId="17" fillId="0" borderId="1" applyAlignment="1" pivotButton="0" quotePrefix="0" xfId="0">
      <alignment vertical="top" wrapText="1"/>
    </xf>
    <xf numFmtId="3" fontId="17" fillId="0" borderId="1" pivotButton="0" quotePrefix="0" xfId="0"/>
    <xf numFmtId="0" fontId="17" fillId="4" borderId="1" pivotButton="0" quotePrefix="0" xfId="0"/>
    <xf numFmtId="0" fontId="18" fillId="0" borderId="0" pivotButton="0" quotePrefix="0" xfId="0"/>
    <xf numFmtId="0" fontId="16" fillId="2" borderId="1" applyAlignment="1" pivotButton="0" quotePrefix="0" xfId="0">
      <alignment horizontal="center"/>
    </xf>
    <xf numFmtId="0" fontId="19" fillId="0" borderId="1" pivotButton="0" quotePrefix="0" xfId="0"/>
    <xf numFmtId="3" fontId="19" fillId="0" borderId="1" applyAlignment="1" pivotButton="0" quotePrefix="0" xfId="0">
      <alignment horizontal="right"/>
    </xf>
    <xf numFmtId="167" fontId="19" fillId="0" borderId="1" applyAlignment="1" pivotButton="0" quotePrefix="0" xfId="0">
      <alignment horizontal="right"/>
    </xf>
    <xf numFmtId="0" fontId="21" fillId="5" borderId="1" pivotButton="0" quotePrefix="0" xfId="0"/>
    <xf numFmtId="3" fontId="21" fillId="5" borderId="1" applyAlignment="1" pivotButton="0" quotePrefix="0" xfId="0">
      <alignment horizontal="right"/>
    </xf>
    <xf numFmtId="167" fontId="21" fillId="5" borderId="1" applyAlignment="1" pivotButton="0" quotePrefix="0" xfId="0">
      <alignment horizontal="right"/>
    </xf>
    <xf numFmtId="0" fontId="22" fillId="6" borderId="1" pivotButton="0" quotePrefix="0" xfId="0"/>
    <xf numFmtId="167" fontId="22" fillId="6" borderId="1" applyAlignment="1" pivotButton="0" quotePrefix="0" xfId="0">
      <alignment horizontal="right"/>
    </xf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5" borderId="1" pivotButton="0" quotePrefix="0" xfId="0"/>
    <xf numFmtId="0" fontId="27" fillId="5" borderId="1" applyAlignment="1" pivotButton="0" quotePrefix="0" xfId="0">
      <alignment horizontal="center"/>
    </xf>
    <xf numFmtId="0" fontId="19" fillId="7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맑은 고딕"/>
        <b val="1"/>
        <color rgb="00E8474C"/>
      </font>
      <fill>
        <patternFill patternType="solid">
          <fgColor rgb="00F8CBCC"/>
          <bgColor rgb="00F8CBCC"/>
        </patternFill>
      </fill>
    </dxf>
    <dxf>
      <font>
        <name val="맑은 고딕"/>
        <b val="1"/>
        <color rgb="009C5700"/>
      </font>
      <fill>
        <patternFill patternType="solid">
          <fgColor rgb="00FDE9CC"/>
          <bgColor rgb="00FDE9CC"/>
        </patternFill>
      </fill>
    </dxf>
    <dxf>
      <font>
        <name val="맑은 고딕"/>
        <b val="1"/>
        <color rgb="002C5F2D"/>
      </font>
      <fill>
        <patternFill patternType="solid">
          <fgColor rgb="00E8F5E9"/>
          <bgColor rgb="00E8F5E9"/>
        </patternFill>
      </fill>
    </dxf>
    <dxf>
      <font>
        <name val="맑은 고딕"/>
        <b val="1"/>
        <color rgb="00666666"/>
      </font>
      <fill>
        <patternFill patternType="solid">
          <fgColor rgb="00EEEEEE"/>
          <bgColor rgb="00EEEEEE"/>
        </patternFill>
      </fill>
    </dxf>
    <dxf>
      <font>
        <name val="맑은 고딕"/>
        <b val="1"/>
        <color rgb="00E8474C"/>
      </font>
      <fill>
        <patternFill patternType="solid">
          <fgColor rgb="00FDE3E4"/>
          <bgColor rgb="00FDE3E4"/>
        </patternFill>
      </fill>
    </dxf>
    <dxf>
      <font>
        <name val="맑은 고딕"/>
        <b val="1"/>
        <color rgb="001B3A4B"/>
      </font>
      <fill>
        <patternFill patternType="solid">
          <fgColor rgb="00DCEDF7"/>
          <bgColor rgb="00DCED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0"/>
  <sheetViews>
    <sheetView showGridLines="0" workbookViewId="0">
      <selection activeCell="A1" sqref="A1"/>
    </sheetView>
  </sheetViews>
  <sheetFormatPr baseColWidth="8" defaultRowHeight="15"/>
  <cols>
    <col width="114" customWidth="1" min="2" max="2"/>
  </cols>
  <sheetData>
    <row r="2">
      <c r="B2" s="1" t="inlineStr">
        <is>
          <t>27SS 소재일정 역산 트래커 — 출고일 기준, 설·춘절 보정 + 비수기 선정 + 금액 요약 (0808 원본)</t>
        </is>
      </c>
    </row>
    <row r="4">
      <c r="B4" s="2" t="inlineStr">
        <is>
          <t>정렬 순서</t>
        </is>
      </c>
    </row>
    <row r="5">
      <c r="B5" s="3" t="inlineStr">
        <is>
          <t>① S코드(봄) 전체 — 납기상 최우선 그룹</t>
        </is>
      </c>
    </row>
    <row r="6">
      <c r="B6" s="3" t="inlineStr">
        <is>
          <t>② 비수기 선정 스타일(봄 제외) — 봄코드 바로 아래 배치 (출고일과 무관하게 우선 조율 대상)</t>
        </is>
      </c>
    </row>
    <row r="7">
      <c r="B7" s="3" t="inlineStr">
        <is>
          <t>③ 나머지 M(여름) → X(사계절) — 각 그룹 안에서는 출고일 주차 순</t>
        </is>
      </c>
    </row>
    <row r="9">
      <c r="B9" s="2" t="inlineStr">
        <is>
          <t>계산 로직</t>
        </is>
      </c>
    </row>
    <row r="10">
      <c r="B10" s="3" t="inlineStr">
        <is>
          <t>① 출고예정일 = 출고일 주차를 날짜로 환산 (1주=1일, 2주=8일, 3주=15일, 4주=22일 / 9~12월은 전년도)</t>
        </is>
      </c>
    </row>
    <row r="11">
      <c r="B11" s="3" t="inlineStr">
        <is>
          <t>② 제품입고 시점 = 출고예정일 − 2주(14일). 입고시점이 한국 설 연휴(2/5~2/8)에 걸치면 연휴 전(2/4)으로 앞당김</t>
        </is>
      </c>
    </row>
    <row r="12">
      <c r="B12" s="3" t="inlineStr">
        <is>
          <t>③ 소재입고 마감일 = 제품입고 시점 − 90일 − 공장휴무 보정일 (중국·베트남 춘절 2/1~2/15, 한국 설 2/5~2/8)</t>
        </is>
      </c>
    </row>
    <row r="13">
      <c r="B13" s="3" t="inlineStr">
        <is>
          <t>④ 작지 미발행(X/부분) 또는 소재입고일 &gt; 마감일 → S코드(봄) '★ 납기위험', M/X 시즌 '◆ 지연주의'</t>
        </is>
      </c>
    </row>
    <row r="14">
      <c r="B14" s="3" t="inlineStr">
        <is>
          <t>⑤ 소재입고 책임: CMT = 본사(소재팀) / 완사입·ODM = 생산처 (수/C/완 컬럼 기준 자동)</t>
        </is>
      </c>
    </row>
    <row r="15">
      <c r="B15" s="3" t="inlineStr">
        <is>
          <t>⑥ 원가합 = Σ(기획수량×입고원가), 소매가합 = Σ(기획수량×예상소매가) — 0808 원본 총원가/총공급가 컬럼 기준</t>
        </is>
      </c>
    </row>
    <row r="17">
      <c r="B17" s="2" t="inlineStr">
        <is>
          <t>금액 요약 시트</t>
        </is>
      </c>
    </row>
    <row r="18">
      <c r="B18" s="3" t="inlineStr">
        <is>
          <t>· 구분: 의류(J/T 등) / 용품(Q로 시작) / WM·피싱(8로 시작) — 품번 첫 글자 기준 자동 분류</t>
        </is>
      </c>
    </row>
    <row r="19">
      <c r="B19" s="3" t="inlineStr">
        <is>
          <t>· 구분별 스타일 수, 기획수량, 원가합, 소매가합 집계 + 의류 내 비수기 선정 금액 비중 표시</t>
        </is>
      </c>
    </row>
    <row r="20">
      <c r="B20" s="3" t="inlineStr">
        <is>
          <t>· 트래커에서 수량·금액·비수기(O) 값을 수정하면 요약도 자동 갱신 (SUMPRODUCT 수식)</t>
        </is>
      </c>
    </row>
    <row r="22">
      <c r="B22" s="2" t="inlineStr">
        <is>
          <t>비수기 선정</t>
        </is>
      </c>
    </row>
    <row r="23">
      <c r="B23" s="3" t="inlineStr">
        <is>
          <t>· 'KS_비수기 선정.xlsx' &gt; 27SS비수기 탭 &gt; N열(비수기 1차 확정) 'O' 표시 스타일 = 비수기 선정</t>
        </is>
      </c>
    </row>
    <row r="24">
      <c r="B24" s="3" t="inlineStr">
        <is>
          <t>· 품번 매칭: B열(품번+컬러) 기준, 스타일번호 변경분은 A열(기존 스타일넘버)로 교차 매칭 (49/50 매칭)</t>
        </is>
      </c>
    </row>
    <row r="25">
      <c r="B25" s="3" t="inlineStr">
        <is>
          <t>· JWTBM27901→JWTBM27165(변경품번)는 0808 원본에 없어 미반영, 확인 필요</t>
        </is>
      </c>
    </row>
    <row r="27">
      <c r="B27" s="2" t="inlineStr">
        <is>
          <t>입력 안내 (노란색 셀 = 입력, 검정 = 자동계산)</t>
        </is>
      </c>
    </row>
    <row r="28">
      <c r="B28" s="3" t="inlineStr">
        <is>
          <t>· 출고일(주차) 수정 시 입고시점·소재마감·판정 자동 갱신 / 작지발행·사양확정·비수기(O/X) 수정 가능</t>
        </is>
      </c>
    </row>
    <row r="29">
      <c r="B29" s="3" t="inlineStr">
        <is>
          <t>· 소재입고 예정/실제일, 조율상태, 메모를 입력하세요.</t>
        </is>
      </c>
    </row>
    <row r="31">
      <c r="B31" s="4" t="inlineStr">
        <is>
          <t>데이터 출처</t>
        </is>
      </c>
    </row>
    <row r="32">
      <c r="B32" s="5" t="inlineStr">
        <is>
          <t>· 원본: 0808 첨부 파일 '원본_0808' 시트 (품번+컬러 1,190행 → 424 스타일 집계, 2026-08-08 기준)</t>
        </is>
      </c>
    </row>
    <row r="33">
      <c r="B33" s="5" t="inlineStr">
        <is>
          <t>· 작지발행: 0808 원본 '작지발행' 건수 / 컬러 구성: 컬러코드 + 브랜드 컬러명 매핑 / 사양확정: 전산 EDW (8/6, 정보성)</t>
        </is>
      </c>
    </row>
    <row r="34">
      <c r="B34" s="5" t="inlineStr">
        <is>
          <t>· 비수기: KS_비수기 선정.xlsx 27SS비수기 탭 (8/6 수정본) N열 'O' 기준</t>
        </is>
      </c>
    </row>
    <row r="35">
      <c r="B35" s="5" t="inlineStr">
        <is>
          <t>· 원단처/겉감/안감/생산처(소재DB): '27SS_소재DB' Merged Data 탭과 IMPORTRANGE 실시간 연동 — 진행구분 Drop 행 제외, Main 진행만 반영</t>
        </is>
      </c>
    </row>
    <row r="36">
      <c r="B36" s="5" t="inlineStr">
        <is>
          <t>· 사양확정: '27SS 생산 프로세스 진척현황(자동화)' EDW_RAW와 실시간 연동 (숨김 탭 'EDW_RAW') — 컬러 전체 결재 O / 일부 '부분' / 없음 X</t>
        </is>
      </c>
    </row>
    <row r="37">
      <c r="B37" s="5" t="inlineStr">
        <is>
          <t>· 최초 1회: '소재DB_RAW' 탭 A3 셀과 'EDW_RAW' 탭 A2 셀에서 각각 '액세스 허용' 클릭 필요 — 이후 자동 갱신</t>
        </is>
      </c>
    </row>
    <row r="38">
      <c r="B38" s="5" t="inlineStr">
        <is>
          <t>· 생산처(소재DB) 열은 크로스체크용 — 0808 생산처와 다르면 빨간색 표시 (픽스처/픽스쳐 같은 표기 차이도 포함되니 확인 필요)</t>
        </is>
      </c>
    </row>
    <row r="39">
      <c r="B39" s="5" t="inlineStr">
        <is>
          <t>· WM/피싱(8로 시작)은 0808 원본에 기획수량 0으로 입력되어 수량 합계 공란 — 금액은 원본 총원가/총공급가 기준</t>
        </is>
      </c>
    </row>
    <row r="40">
      <c r="B40" s="5" t="inlineStr">
        <is>
          <t>· 8UTCM27101은 컬러별 출고일 상이(1월3주/4월2주) → 다수 값 적용, 확인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52" customWidth="1" min="3" max="3"/>
    <col width="50" customWidth="1" min="4" max="4"/>
  </cols>
  <sheetData>
    <row r="2">
      <c r="B2" s="6" t="inlineStr">
        <is>
          <t>기준정보 (노란색 = 조정 가능한 입력값)</t>
        </is>
      </c>
    </row>
    <row r="4">
      <c r="B4" s="7" t="inlineStr">
        <is>
          <t>기준일 (오늘)</t>
        </is>
      </c>
      <c r="C4" s="8">
        <f>TODAY()</f>
        <v/>
      </c>
      <c r="D4" s="9" t="inlineStr">
        <is>
          <t>판정 기준일. 파일 열 때 자동 갱신</t>
        </is>
      </c>
    </row>
    <row r="5">
      <c r="B5" s="7" t="inlineStr">
        <is>
          <t>입고 리드타임(일)</t>
        </is>
      </c>
      <c r="C5" s="10" t="n">
        <v>14</v>
      </c>
      <c r="D5" s="9" t="inlineStr">
        <is>
          <t>출고예정일 − 2주 = 제품입고 시점</t>
        </is>
      </c>
    </row>
    <row r="6">
      <c r="B6" s="7" t="inlineStr">
        <is>
          <t>소재 리드타임(일)</t>
        </is>
      </c>
      <c r="C6" s="10" t="n">
        <v>90</v>
      </c>
      <c r="D6" s="9" t="inlineStr">
        <is>
          <t>제품입고 시점 − 90일 = 소재입고 마감일</t>
        </is>
      </c>
    </row>
    <row r="7">
      <c r="B7" s="7" t="inlineStr">
        <is>
          <t>시즌 연도</t>
        </is>
      </c>
      <c r="C7" s="10" t="n">
        <v>2027</v>
      </c>
      <c r="D7" s="9" t="inlineStr">
        <is>
          <t>27SS 출고 연도. 9~12월 주차는 전년(2026)으로 환산</t>
        </is>
      </c>
    </row>
    <row r="8">
      <c r="B8" s="7" t="inlineStr">
        <is>
          <t>춘절 공장휴무 시작</t>
        </is>
      </c>
      <c r="C8" s="8" t="n">
        <v>46419</v>
      </c>
      <c r="D8" s="9" t="inlineStr">
        <is>
          <t>중국·베트남 공장 가동중단 가정 (전후 2주)</t>
        </is>
      </c>
    </row>
    <row r="9">
      <c r="B9" s="7" t="inlineStr">
        <is>
          <t>춘절 공장휴무 종료</t>
        </is>
      </c>
      <c r="C9" s="8" t="n">
        <v>46433</v>
      </c>
      <c r="D9" s="9" t="inlineStr">
        <is>
          <t>실제 공장별 휴무 확정 시 조정</t>
        </is>
      </c>
    </row>
    <row r="10">
      <c r="B10" s="7" t="inlineStr">
        <is>
          <t>한국 설 연휴 시작</t>
        </is>
      </c>
      <c r="C10" s="8" t="n">
        <v>46423</v>
      </c>
      <c r="D10" s="9" t="inlineStr">
        <is>
          <t>설날 2/6(토), 연휴 2/5(금)~2/7(일)</t>
        </is>
      </c>
    </row>
    <row r="11">
      <c r="B11" s="7" t="inlineStr">
        <is>
          <t>한국 설 연휴 종료</t>
        </is>
      </c>
      <c r="C11" s="8" t="n">
        <v>46426</v>
      </c>
      <c r="D11" s="9" t="inlineStr">
        <is>
          <t>대체공휴일 2/8(월) 포함</t>
        </is>
      </c>
    </row>
    <row r="13">
      <c r="B13" s="11" t="inlineStr">
        <is>
          <t>소재입고 책임 구분 (수/C/완 기준)</t>
        </is>
      </c>
    </row>
    <row r="14">
      <c r="B14" s="12" t="inlineStr">
        <is>
          <t>C / CMT</t>
        </is>
      </c>
      <c r="C14" s="13" t="inlineStr">
        <is>
          <t>본사(소재팀) 책임 — 소재 발주·입고 본사 컨트롤</t>
        </is>
      </c>
    </row>
    <row r="15">
      <c r="B15" s="12" t="inlineStr">
        <is>
          <t>완(완사입) / ODM</t>
        </is>
      </c>
      <c r="C15" s="13" t="inlineStr">
        <is>
          <t>생산처 책임 — 생산처가 소재 수배·입고 컨트롤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3" customWidth="1" min="4" max="4"/>
    <col width="30" customWidth="1" min="5" max="5"/>
    <col width="24" customWidth="1" min="6" max="6"/>
    <col width="9" customWidth="1" min="7" max="7"/>
    <col width="13" customWidth="1" min="8" max="8"/>
    <col width="9" customWidth="1" min="9" max="9"/>
    <col width="12" customWidth="1" min="10" max="10"/>
    <col width="12" customWidth="1" min="11" max="11"/>
    <col width="14" customWidth="1" min="12" max="12"/>
    <col width="9" customWidth="1" min="13" max="13"/>
    <col width="14" customWidth="1" min="14" max="14"/>
    <col width="9" customWidth="1" min="15" max="15"/>
    <col width="9" customWidth="1" min="16" max="16"/>
    <col width="9" customWidth="1" min="17" max="17"/>
    <col width="11" customWidth="1" min="18" max="18"/>
    <col width="13" customWidth="1" min="19" max="19"/>
    <col width="13" customWidth="1" min="20" max="20"/>
    <col width="12" customWidth="1" min="21" max="21"/>
    <col width="13" customWidth="1" min="22" max="22"/>
    <col width="10" customWidth="1" min="23" max="23"/>
    <col width="16" customWidth="1" min="24" max="24"/>
    <col width="34" customWidth="1" min="25" max="25"/>
    <col width="30" customWidth="1" min="26" max="26"/>
    <col width="9" customWidth="1" min="27" max="27"/>
    <col width="14" customWidth="1" min="28" max="28"/>
    <col width="15" customWidth="1" min="29" max="29"/>
    <col width="13" customWidth="1" min="30" max="30"/>
    <col width="26" customWidth="1" min="31" max="31"/>
    <col width="15" customWidth="1" min="32" max="32"/>
    <col width="9" customWidth="1" min="33" max="33"/>
    <col width="24" customWidth="1" min="34" max="34"/>
  </cols>
  <sheetData>
    <row r="1">
      <c r="A1" s="14" t="inlineStr">
        <is>
          <t>27SS 소재일정 역산 트래커 — 정렬: S코드(봄) → 비수기 선정 → 나머지 (424 스타일)</t>
        </is>
      </c>
    </row>
    <row r="2">
      <c r="A2" s="5" t="inlineStr">
        <is>
          <t>기준일:</t>
        </is>
      </c>
      <c r="B2" s="15">
        <f>기준정보!$C$4</f>
        <v/>
      </c>
      <c r="C2" s="5" t="inlineStr">
        <is>
          <t>리드타임:</t>
        </is>
      </c>
      <c r="D2" s="16">
        <f>"입고 "&amp;기준정보!$C$5&amp;"일 + 소재 "&amp;기준정보!$C$6&amp;"일 + 휴무보정"</f>
        <v/>
      </c>
      <c r="G2" s="17" t="inlineStr">
        <is>
          <t>노란색 = 입력 · ★ = S코드 작지 미발행/소재마감 초과 · 정렬: ①봄(S) ②비수기 선정 ③나머지 · 금액은 [금액 요약] 참조</t>
        </is>
      </c>
    </row>
    <row r="4">
      <c r="A4" s="18" t="inlineStr">
        <is>
          <t>NO</t>
        </is>
      </c>
      <c r="B4" s="18" t="inlineStr">
        <is>
          <t>MD</t>
        </is>
      </c>
      <c r="C4" s="18" t="inlineStr">
        <is>
          <t>DS</t>
        </is>
      </c>
      <c r="D4" s="18" t="inlineStr">
        <is>
          <t>Style Code</t>
        </is>
      </c>
      <c r="E4" s="18" t="inlineStr">
        <is>
          <t>품명</t>
        </is>
      </c>
      <c r="F4" s="18" t="inlineStr">
        <is>
          <t>컬러 구성</t>
        </is>
      </c>
      <c r="G4" s="18" t="inlineStr">
        <is>
          <t>시즌</t>
        </is>
      </c>
      <c r="H4" s="18" t="inlineStr">
        <is>
          <t>생산형태 (수/C/완)</t>
        </is>
      </c>
      <c r="I4" s="18" t="inlineStr">
        <is>
          <t>출고차순</t>
        </is>
      </c>
      <c r="J4" s="18" t="inlineStr">
        <is>
          <t>출고일(주차)</t>
        </is>
      </c>
      <c r="K4" s="18" t="inlineStr">
        <is>
          <t>출고예정일</t>
        </is>
      </c>
      <c r="L4" s="18" t="inlineStr">
        <is>
          <t>제품입고 시점 (출고-2주, 설연휴 보정)</t>
        </is>
      </c>
      <c r="M4" s="18" t="inlineStr">
        <is>
          <t>공장휴무 보정 (일)</t>
        </is>
      </c>
      <c r="N4" s="18" t="inlineStr">
        <is>
          <t>소재입고 마감일 (입고-90일-보정)</t>
        </is>
      </c>
      <c r="O4" s="18" t="inlineStr">
        <is>
          <t>마감까지 D-day</t>
        </is>
      </c>
      <c r="P4" s="18" t="inlineStr">
        <is>
          <t>비수기 선정</t>
        </is>
      </c>
      <c r="Q4" s="18" t="inlineStr">
        <is>
          <t>작지발행</t>
        </is>
      </c>
      <c r="R4" s="18" t="inlineStr">
        <is>
          <t>사양확정 (전산 실시간)</t>
        </is>
      </c>
      <c r="S4" s="18" t="inlineStr">
        <is>
          <t>소재입고 예정/실제일</t>
        </is>
      </c>
      <c r="T4" s="18" t="inlineStr">
        <is>
          <t>소재입고 책임</t>
        </is>
      </c>
      <c r="U4" s="18" t="inlineStr">
        <is>
          <t>생산처</t>
        </is>
      </c>
      <c r="V4" s="18" t="inlineStr">
        <is>
          <t>생산처 (소재DB)</t>
        </is>
      </c>
      <c r="W4" s="18" t="inlineStr">
        <is>
          <t>원산지</t>
        </is>
      </c>
      <c r="X4" s="18" t="inlineStr">
        <is>
          <t>원단처 (에이전시)</t>
        </is>
      </c>
      <c r="Y4" s="18" t="inlineStr">
        <is>
          <t>겉감정보 (원단처+품명)</t>
        </is>
      </c>
      <c r="Z4" s="18" t="inlineStr">
        <is>
          <t>안감정보 (원단처+품명)</t>
        </is>
      </c>
      <c r="AA4" s="18" t="inlineStr">
        <is>
          <t>기획수량</t>
        </is>
      </c>
      <c r="AB4" s="18" t="inlineStr">
        <is>
          <t>원가합 (원)</t>
        </is>
      </c>
      <c r="AC4" s="18" t="inlineStr">
        <is>
          <t>소매가합 (원)</t>
        </is>
      </c>
      <c r="AD4" s="18" t="inlineStr">
        <is>
          <t>납기1차 (전산참고)</t>
        </is>
      </c>
      <c r="AE4" s="18" t="inlineStr">
        <is>
          <t>리스크 사유</t>
        </is>
      </c>
      <c r="AF4" s="18" t="inlineStr">
        <is>
          <t>판정</t>
        </is>
      </c>
      <c r="AG4" s="18" t="inlineStr">
        <is>
          <t>조율상태</t>
        </is>
      </c>
      <c r="AH4" s="18" t="inlineStr">
        <is>
          <t>메모/조치사항</t>
        </is>
      </c>
    </row>
    <row r="5">
      <c r="A5" s="19" t="n">
        <v>1</v>
      </c>
      <c r="B5" s="20" t="inlineStr">
        <is>
          <t>최진민</t>
        </is>
      </c>
      <c r="C5" s="20" t="inlineStr">
        <is>
          <t>강기환</t>
        </is>
      </c>
      <c r="D5" s="20" t="inlineStr">
        <is>
          <t>JKJGS27002</t>
        </is>
      </c>
      <c r="E5" s="20" t="inlineStr">
        <is>
          <t>히어로 여성 고어텍스 3L PRO 재킷</t>
        </is>
      </c>
      <c r="F5" s="20" t="inlineStr">
        <is>
          <t>LPI-2, BLK(BLACK)</t>
        </is>
      </c>
      <c r="G5" s="19">
        <f>IF($D5="","",IF(MID($D5,5,1)="S","S(봄)",IF(MID($D5,5,1)="M","M(여름)",IF(MID($D5,5,1)="X","X(사계절)",MID($D5,5,1)))))</f>
        <v/>
      </c>
      <c r="H5" s="20" t="inlineStr">
        <is>
          <t>완사입</t>
        </is>
      </c>
      <c r="I5" s="19" t="inlineStr">
        <is>
          <t>S1</t>
        </is>
      </c>
      <c r="J5" s="21" t="inlineStr">
        <is>
          <t>1월2주</t>
        </is>
      </c>
      <c r="K5" s="22">
        <f>IF($J5="","",IFERROR(DATE(IF(VALUE(LEFT($J5,FIND("월",$J5)-1))&gt;=9,기준정보!$C$7-1,기준정보!$C$7),VALUE(LEFT($J5,FIND("월",$J5)-1)),1+7*(VALUE(SUBSTITUTE(MID($J5,FIND("월",$J5)+1,5),"주",""))-1)),""))</f>
        <v/>
      </c>
      <c r="L5" s="22">
        <f>IF($K5="","",IF(AND($K5-기준정보!$C$5&gt;=기준정보!$C$10,$K5-기준정보!$C$5&lt;=기준정보!$C$11),기준정보!$C$10-1,$K5-기준정보!$C$5))</f>
        <v/>
      </c>
      <c r="M5" s="23">
        <f>IF($L5="","",IF(OR(ISNUMBER(SEARCH("중국",$W5)),ISNUMBER(SEARCH("베트남",$W5))),MAX(0,MIN($L5,기준정보!$C$9)-MAX($L5-기준정보!$C$6,기준정보!$C$8)+1),IF(ISNUMBER(SEARCH("한국",$W5)),MAX(0,MIN($L5,기준정보!$C$11)-MAX($L5-기준정보!$C$6,기준정보!$C$10)+1),0)))</f>
        <v/>
      </c>
      <c r="N5" s="22">
        <f>IF($L5="","",$L5-기준정보!$C$6-$M5)</f>
        <v/>
      </c>
      <c r="O5" s="24">
        <f>IF($N5="","",$N5-기준정보!$C$4)</f>
        <v/>
      </c>
      <c r="P5" s="21" t="n"/>
      <c r="Q5" s="21" t="inlineStr">
        <is>
          <t>O</t>
        </is>
      </c>
      <c r="R5" s="19">
        <f>IF(COUNTIF(EDW_RAW!$A$2:$A$1500,$D5)=0,"",IF(COUNTIFS(EDW_RAW!$A$2:$A$1500,$D5,EDW_RAW!$U$2:$U$1500,"&lt;&gt;~",EDW_RAW!$U$2:$U$1500,"&lt;&gt;")=COUNTIF(EDW_RAW!$A$2:$A$1500,$D5),"O",IF(COUNTIFS(EDW_RAW!$A$2:$A$1500,$D5,EDW_RAW!$U$2:$U$1500,"&lt;&gt;~",EDW_RAW!$U$2:$U$1500,"&lt;&gt;")&gt;0,"부분","X")))</f>
        <v/>
      </c>
      <c r="S5" s="25" t="n"/>
      <c r="T5" s="20">
        <f>IF($H5="","",IF(AND(ISNUMBER(SEARCH("CMT",$H5)),OR(ISNUMBER(SEARCH("완사입",$H5)),ISNUMBER(SEARCH("ODM",$H5)))),"본사/생산처 혼재",IF(ISNUMBER(SEARCH("CMT",$H5)),"본사(소재팀)","생산처")))</f>
        <v/>
      </c>
      <c r="U5" s="20" t="inlineStr">
        <is>
          <t>포마트</t>
        </is>
      </c>
      <c r="V5" s="20">
        <f>IFERROR(TEXTJOIN(" / ",TRUE,UNIQUE(FILTER(소재DB_RAW!$K$3:$K$2000,(소재DB_RAW!$G$3:$G$2000=$D5)*ISERROR(SEARCH("drop",소재DB_RAW!$C$3:$C$2000))))),"")</f>
        <v/>
      </c>
      <c r="W5" s="20" t="inlineStr">
        <is>
          <t>베트남</t>
        </is>
      </c>
      <c r="X5" s="20">
        <f>IFERROR(TEXTJOIN(" / ",TRUE,UNIQUE(FILTER(소재DB_RAW!$N$3:$N$2000,(소재DB_RAW!$G$3:$G$2000=$D5)*ISERROR(SEARCH("drop",소재DB_RAW!$C$3:$C$2000))))),"")</f>
        <v/>
      </c>
      <c r="Y5" s="26">
        <f>IFERROR(TEXTJOIN(CHAR(10),TRUE,UNIQUE(FILTER(소재DB_RAW!$N$3:$N$2000&amp;") "&amp;소재DB_RAW!$O$3:$O$2000,(소재DB_RAW!$G$3:$G$2000=$D5)*ISNUMBER(SEARCH("겉감",소재DB_RAW!$M$3:$M$2000))*ISERROR(SEARCH("drop",소재DB_RAW!$C$3:$C$2000))))),"")</f>
        <v/>
      </c>
      <c r="Z5" s="26">
        <f>IFERROR(TEXTJOIN(CHAR(10),TRUE,UNIQUE(FILTER(소재DB_RAW!$N$3:$N$2000&amp;") "&amp;소재DB_RAW!$O$3:$O$2000,(소재DB_RAW!$G$3:$G$2000=$D5)*ISNUMBER(SEARCH("안감",소재DB_RAW!$M$3:$M$2000))*ISERROR(SEARCH("drop",소재DB_RAW!$C$3:$C$2000))))),"")</f>
        <v/>
      </c>
      <c r="AA5" s="27" t="n">
        <v>190</v>
      </c>
      <c r="AB5" s="27" t="n">
        <v>47398730</v>
      </c>
      <c r="AC5" s="27" t="n">
        <v>188100000</v>
      </c>
      <c r="AD5" s="20" t="n"/>
      <c r="AE5" s="20">
        <f>IF($K5="","출고일 미정",IF($Q5="X","작지 미발행",IF($Q5="부분","작지 일부 미발행",IF(AND($S5&lt;&gt;"",$S5&gt;$N5),"소재입고 마감("&amp;TEXT($N5,"MM/DD")&amp;") 초과",IF($Q5="","발행여부 확인 필요",IF($S5="","소재 입고일정 확인 필요","정상"))))))</f>
        <v/>
      </c>
      <c r="AF5" s="19">
        <f>IF($K5="","",IF(OR(LEFT($AE5,2)="작지",LEFT($AE5,4)="소재입고"),IF(LEFT($G5,1)="S","★ 납기위험(S코드)","◆ 지연주의"),IF($AE5="정상","✓ 정상","? 확인필요")))</f>
        <v/>
      </c>
      <c r="AG5" s="21" t="n"/>
      <c r="AH5" s="28" t="n"/>
    </row>
    <row r="6">
      <c r="A6" s="19" t="n">
        <v>2</v>
      </c>
      <c r="B6" s="20" t="inlineStr">
        <is>
          <t>최진민</t>
        </is>
      </c>
      <c r="C6" s="20" t="inlineStr">
        <is>
          <t>강기환</t>
        </is>
      </c>
      <c r="D6" s="20" t="inlineStr">
        <is>
          <t>JKJJS27012</t>
        </is>
      </c>
      <c r="E6" s="20" t="inlineStr">
        <is>
          <t>히어로 여성 프리마로프트 HEAVY 인슐레이션 재킷</t>
        </is>
      </c>
      <c r="F6" s="20" t="inlineStr">
        <is>
          <t>GRY(GRAY), BLK(BLACK)</t>
        </is>
      </c>
      <c r="G6" s="19">
        <f>IF($D6="","",IF(MID($D6,5,1)="S","S(봄)",IF(MID($D6,5,1)="M","M(여름)",IF(MID($D6,5,1)="X","X(사계절)",MID($D6,5,1)))))</f>
        <v/>
      </c>
      <c r="H6" s="20" t="inlineStr">
        <is>
          <t>완사입</t>
        </is>
      </c>
      <c r="I6" s="19" t="inlineStr">
        <is>
          <t>S1</t>
        </is>
      </c>
      <c r="J6" s="21" t="inlineStr">
        <is>
          <t>1월2주</t>
        </is>
      </c>
      <c r="K6" s="22">
        <f>IF($J6="","",IFERROR(DATE(IF(VALUE(LEFT($J6,FIND("월",$J6)-1))&gt;=9,기준정보!$C$7-1,기준정보!$C$7),VALUE(LEFT($J6,FIND("월",$J6)-1)),1+7*(VALUE(SUBSTITUTE(MID($J6,FIND("월",$J6)+1,5),"주",""))-1)),""))</f>
        <v/>
      </c>
      <c r="L6" s="22">
        <f>IF($K6="","",IF(AND($K6-기준정보!$C$5&gt;=기준정보!$C$10,$K6-기준정보!$C$5&lt;=기준정보!$C$11),기준정보!$C$10-1,$K6-기준정보!$C$5))</f>
        <v/>
      </c>
      <c r="M6" s="23">
        <f>IF($L6="","",IF(OR(ISNUMBER(SEARCH("중국",$W6)),ISNUMBER(SEARCH("베트남",$W6))),MAX(0,MIN($L6,기준정보!$C$9)-MAX($L6-기준정보!$C$6,기준정보!$C$8)+1),IF(ISNUMBER(SEARCH("한국",$W6)),MAX(0,MIN($L6,기준정보!$C$11)-MAX($L6-기준정보!$C$6,기준정보!$C$10)+1),0)))</f>
        <v/>
      </c>
      <c r="N6" s="22">
        <f>IF($L6="","",$L6-기준정보!$C$6-$M6)</f>
        <v/>
      </c>
      <c r="O6" s="24">
        <f>IF($N6="","",$N6-기준정보!$C$4)</f>
        <v/>
      </c>
      <c r="P6" s="21" t="n"/>
      <c r="Q6" s="21" t="inlineStr">
        <is>
          <t>O</t>
        </is>
      </c>
      <c r="R6" s="19">
        <f>IF(COUNTIF(EDW_RAW!$A$2:$A$1500,$D6)=0,"",IF(COUNTIFS(EDW_RAW!$A$2:$A$1500,$D6,EDW_RAW!$U$2:$U$1500,"&lt;&gt;~",EDW_RAW!$U$2:$U$1500,"&lt;&gt;")=COUNTIF(EDW_RAW!$A$2:$A$1500,$D6),"O",IF(COUNTIFS(EDW_RAW!$A$2:$A$1500,$D6,EDW_RAW!$U$2:$U$1500,"&lt;&gt;~",EDW_RAW!$U$2:$U$1500,"&lt;&gt;")&gt;0,"부분","X")))</f>
        <v/>
      </c>
      <c r="S6" s="25" t="n"/>
      <c r="T6" s="20">
        <f>IF($H6="","",IF(AND(ISNUMBER(SEARCH("CMT",$H6)),OR(ISNUMBER(SEARCH("완사입",$H6)),ISNUMBER(SEARCH("ODM",$H6)))),"본사/생산처 혼재",IF(ISNUMBER(SEARCH("CMT",$H6)),"본사(소재팀)","생산처")))</f>
        <v/>
      </c>
      <c r="U6" s="20" t="inlineStr">
        <is>
          <t>원전</t>
        </is>
      </c>
      <c r="V6" s="20">
        <f>IFERROR(TEXTJOIN(" / ",TRUE,UNIQUE(FILTER(소재DB_RAW!$K$3:$K$2000,(소재DB_RAW!$G$3:$G$2000=$D6)*ISERROR(SEARCH("drop",소재DB_RAW!$C$3:$C$2000))))),"")</f>
        <v/>
      </c>
      <c r="W6" s="20" t="inlineStr">
        <is>
          <t>인도네시아</t>
        </is>
      </c>
      <c r="X6" s="20">
        <f>IFERROR(TEXTJOIN(" / ",TRUE,UNIQUE(FILTER(소재DB_RAW!$N$3:$N$2000,(소재DB_RAW!$G$3:$G$2000=$D6)*ISERROR(SEARCH("drop",소재DB_RAW!$C$3:$C$2000))))),"")</f>
        <v/>
      </c>
      <c r="Y6" s="26">
        <f>IFERROR(TEXTJOIN(CHAR(10),TRUE,UNIQUE(FILTER(소재DB_RAW!$N$3:$N$2000&amp;") "&amp;소재DB_RAW!$O$3:$O$2000,(소재DB_RAW!$G$3:$G$2000=$D6)*ISNUMBER(SEARCH("겉감",소재DB_RAW!$M$3:$M$2000))*ISERROR(SEARCH("drop",소재DB_RAW!$C$3:$C$2000))))),"")</f>
        <v/>
      </c>
      <c r="Z6" s="26">
        <f>IFERROR(TEXTJOIN(CHAR(10),TRUE,UNIQUE(FILTER(소재DB_RAW!$N$3:$N$2000&amp;") "&amp;소재DB_RAW!$O$3:$O$2000,(소재DB_RAW!$G$3:$G$2000=$D6)*ISNUMBER(SEARCH("안감",소재DB_RAW!$M$3:$M$2000))*ISERROR(SEARCH("drop",소재DB_RAW!$C$3:$C$2000))))),"")</f>
        <v/>
      </c>
      <c r="AA6" s="27" t="n">
        <v>550</v>
      </c>
      <c r="AB6" s="27" t="n">
        <v>46312750</v>
      </c>
      <c r="AC6" s="27" t="n">
        <v>214500000</v>
      </c>
      <c r="AD6" s="20" t="n"/>
      <c r="AE6" s="20">
        <f>IF($K6="","출고일 미정",IF($Q6="X","작지 미발행",IF($Q6="부분","작지 일부 미발행",IF(AND($S6&lt;&gt;"",$S6&gt;$N6),"소재입고 마감("&amp;TEXT($N6,"MM/DD")&amp;") 초과",IF($Q6="","발행여부 확인 필요",IF($S6="","소재 입고일정 확인 필요","정상"))))))</f>
        <v/>
      </c>
      <c r="AF6" s="19">
        <f>IF($K6="","",IF(OR(LEFT($AE6,2)="작지",LEFT($AE6,4)="소재입고"),IF(LEFT($G6,1)="S","★ 납기위험(S코드)","◆ 지연주의"),IF($AE6="정상","✓ 정상","? 확인필요")))</f>
        <v/>
      </c>
      <c r="AG6" s="21" t="n"/>
      <c r="AH6" s="28" t="n"/>
    </row>
    <row r="7">
      <c r="A7" s="19" t="n">
        <v>3</v>
      </c>
      <c r="B7" s="20" t="inlineStr">
        <is>
          <t>최진민</t>
        </is>
      </c>
      <c r="C7" s="20" t="inlineStr">
        <is>
          <t>강기환</t>
        </is>
      </c>
      <c r="D7" s="20" t="inlineStr">
        <is>
          <t>JKJJS27016</t>
        </is>
      </c>
      <c r="E7" s="20" t="inlineStr">
        <is>
          <t>히어로 여성 프리마로프트 LIGHT 인슐레이션 재킷</t>
        </is>
      </c>
      <c r="F7" s="20" t="inlineStr">
        <is>
          <t>LPI-2, BLK(BLACK)</t>
        </is>
      </c>
      <c r="G7" s="19">
        <f>IF($D7="","",IF(MID($D7,5,1)="S","S(봄)",IF(MID($D7,5,1)="M","M(여름)",IF(MID($D7,5,1)="X","X(사계절)",MID($D7,5,1)))))</f>
        <v/>
      </c>
      <c r="H7" s="20" t="inlineStr">
        <is>
          <t>완사입</t>
        </is>
      </c>
      <c r="I7" s="19" t="inlineStr">
        <is>
          <t>S1</t>
        </is>
      </c>
      <c r="J7" s="21" t="inlineStr">
        <is>
          <t>1월2주</t>
        </is>
      </c>
      <c r="K7" s="22">
        <f>IF($J7="","",IFERROR(DATE(IF(VALUE(LEFT($J7,FIND("월",$J7)-1))&gt;=9,기준정보!$C$7-1,기준정보!$C$7),VALUE(LEFT($J7,FIND("월",$J7)-1)),1+7*(VALUE(SUBSTITUTE(MID($J7,FIND("월",$J7)+1,5),"주",""))-1)),""))</f>
        <v/>
      </c>
      <c r="L7" s="22">
        <f>IF($K7="","",IF(AND($K7-기준정보!$C$5&gt;=기준정보!$C$10,$K7-기준정보!$C$5&lt;=기준정보!$C$11),기준정보!$C$10-1,$K7-기준정보!$C$5))</f>
        <v/>
      </c>
      <c r="M7" s="23">
        <f>IF($L7="","",IF(OR(ISNUMBER(SEARCH("중국",$W7)),ISNUMBER(SEARCH("베트남",$W7))),MAX(0,MIN($L7,기준정보!$C$9)-MAX($L7-기준정보!$C$6,기준정보!$C$8)+1),IF(ISNUMBER(SEARCH("한국",$W7)),MAX(0,MIN($L7,기준정보!$C$11)-MAX($L7-기준정보!$C$6,기준정보!$C$10)+1),0)))</f>
        <v/>
      </c>
      <c r="N7" s="22">
        <f>IF($L7="","",$L7-기준정보!$C$6-$M7)</f>
        <v/>
      </c>
      <c r="O7" s="24">
        <f>IF($N7="","",$N7-기준정보!$C$4)</f>
        <v/>
      </c>
      <c r="P7" s="21" t="n"/>
      <c r="Q7" s="21" t="inlineStr">
        <is>
          <t>O</t>
        </is>
      </c>
      <c r="R7" s="19">
        <f>IF(COUNTIF(EDW_RAW!$A$2:$A$1500,$D7)=0,"",IF(COUNTIFS(EDW_RAW!$A$2:$A$1500,$D7,EDW_RAW!$U$2:$U$1500,"&lt;&gt;~",EDW_RAW!$U$2:$U$1500,"&lt;&gt;")=COUNTIF(EDW_RAW!$A$2:$A$1500,$D7),"O",IF(COUNTIFS(EDW_RAW!$A$2:$A$1500,$D7,EDW_RAW!$U$2:$U$1500,"&lt;&gt;~",EDW_RAW!$U$2:$U$1500,"&lt;&gt;")&gt;0,"부분","X")))</f>
        <v/>
      </c>
      <c r="S7" s="25" t="n"/>
      <c r="T7" s="20">
        <f>IF($H7="","",IF(AND(ISNUMBER(SEARCH("CMT",$H7)),OR(ISNUMBER(SEARCH("완사입",$H7)),ISNUMBER(SEARCH("ODM",$H7)))),"본사/생산처 혼재",IF(ISNUMBER(SEARCH("CMT",$H7)),"본사(소재팀)","생산처")))</f>
        <v/>
      </c>
      <c r="U7" s="20" t="inlineStr">
        <is>
          <t>원전</t>
        </is>
      </c>
      <c r="V7" s="20">
        <f>IFERROR(TEXTJOIN(" / ",TRUE,UNIQUE(FILTER(소재DB_RAW!$K$3:$K$2000,(소재DB_RAW!$G$3:$G$2000=$D7)*ISERROR(SEARCH("drop",소재DB_RAW!$C$3:$C$2000))))),"")</f>
        <v/>
      </c>
      <c r="W7" s="20" t="inlineStr">
        <is>
          <t>인도네시아</t>
        </is>
      </c>
      <c r="X7" s="20">
        <f>IFERROR(TEXTJOIN(" / ",TRUE,UNIQUE(FILTER(소재DB_RAW!$N$3:$N$2000,(소재DB_RAW!$G$3:$G$2000=$D7)*ISERROR(SEARCH("drop",소재DB_RAW!$C$3:$C$2000))))),"")</f>
        <v/>
      </c>
      <c r="Y7" s="26">
        <f>IFERROR(TEXTJOIN(CHAR(10),TRUE,UNIQUE(FILTER(소재DB_RAW!$N$3:$N$2000&amp;") "&amp;소재DB_RAW!$O$3:$O$2000,(소재DB_RAW!$G$3:$G$2000=$D7)*ISNUMBER(SEARCH("겉감",소재DB_RAW!$M$3:$M$2000))*ISERROR(SEARCH("drop",소재DB_RAW!$C$3:$C$2000))))),"")</f>
        <v/>
      </c>
      <c r="Z7" s="26">
        <f>IFERROR(TEXTJOIN(CHAR(10),TRUE,UNIQUE(FILTER(소재DB_RAW!$N$3:$N$2000&amp;") "&amp;소재DB_RAW!$O$3:$O$2000,(소재DB_RAW!$G$3:$G$2000=$D7)*ISNUMBER(SEARCH("안감",소재DB_RAW!$M$3:$M$2000))*ISERROR(SEARCH("drop",소재DB_RAW!$C$3:$C$2000))))),"")</f>
        <v/>
      </c>
      <c r="AA7" s="27" t="n">
        <v>600</v>
      </c>
      <c r="AB7" s="27" t="n">
        <v>46083000</v>
      </c>
      <c r="AC7" s="27" t="n">
        <v>210000000</v>
      </c>
      <c r="AD7" s="20" t="n"/>
      <c r="AE7" s="20">
        <f>IF($K7="","출고일 미정",IF($Q7="X","작지 미발행",IF($Q7="부분","작지 일부 미발행",IF(AND($S7&lt;&gt;"",$S7&gt;$N7),"소재입고 마감("&amp;TEXT($N7,"MM/DD")&amp;") 초과",IF($Q7="","발행여부 확인 필요",IF($S7="","소재 입고일정 확인 필요","정상"))))))</f>
        <v/>
      </c>
      <c r="AF7" s="19">
        <f>IF($K7="","",IF(OR(LEFT($AE7,2)="작지",LEFT($AE7,4)="소재입고"),IF(LEFT($G7,1)="S","★ 납기위험(S코드)","◆ 지연주의"),IF($AE7="정상","✓ 정상","? 확인필요")))</f>
        <v/>
      </c>
      <c r="AG7" s="21" t="n"/>
      <c r="AH7" s="28" t="n"/>
    </row>
    <row r="8">
      <c r="A8" s="19" t="n">
        <v>4</v>
      </c>
      <c r="B8" s="20" t="inlineStr">
        <is>
          <t>최진민</t>
        </is>
      </c>
      <c r="C8" s="20" t="inlineStr">
        <is>
          <t>김지원</t>
        </is>
      </c>
      <c r="D8" s="20" t="inlineStr">
        <is>
          <t>JKJJS27022</t>
        </is>
      </c>
      <c r="E8" s="20" t="inlineStr">
        <is>
          <t>히어로 여성 스톰플리스 프로 LIGHT 소프트쉘 재킷</t>
        </is>
      </c>
      <c r="F8" s="20" t="inlineStr">
        <is>
          <t>LGY(L/GRAY), BLK(BLACK)</t>
        </is>
      </c>
      <c r="G8" s="19">
        <f>IF($D8="","",IF(MID($D8,5,1)="S","S(봄)",IF(MID($D8,5,1)="M","M(여름)",IF(MID($D8,5,1)="X","X(사계절)",MID($D8,5,1)))))</f>
        <v/>
      </c>
      <c r="H8" s="20" t="inlineStr">
        <is>
          <t>완사입</t>
        </is>
      </c>
      <c r="I8" s="19" t="inlineStr">
        <is>
          <t>S1</t>
        </is>
      </c>
      <c r="J8" s="21" t="inlineStr">
        <is>
          <t>1월2주</t>
        </is>
      </c>
      <c r="K8" s="22">
        <f>IF($J8="","",IFERROR(DATE(IF(VALUE(LEFT($J8,FIND("월",$J8)-1))&gt;=9,기준정보!$C$7-1,기준정보!$C$7),VALUE(LEFT($J8,FIND("월",$J8)-1)),1+7*(VALUE(SUBSTITUTE(MID($J8,FIND("월",$J8)+1,5),"주",""))-1)),""))</f>
        <v/>
      </c>
      <c r="L8" s="22">
        <f>IF($K8="","",IF(AND($K8-기준정보!$C$5&gt;=기준정보!$C$10,$K8-기준정보!$C$5&lt;=기준정보!$C$11),기준정보!$C$10-1,$K8-기준정보!$C$5))</f>
        <v/>
      </c>
      <c r="M8" s="23">
        <f>IF($L8="","",IF(OR(ISNUMBER(SEARCH("중국",$W8)),ISNUMBER(SEARCH("베트남",$W8))),MAX(0,MIN($L8,기준정보!$C$9)-MAX($L8-기준정보!$C$6,기준정보!$C$8)+1),IF(ISNUMBER(SEARCH("한국",$W8)),MAX(0,MIN($L8,기준정보!$C$11)-MAX($L8-기준정보!$C$6,기준정보!$C$10)+1),0)))</f>
        <v/>
      </c>
      <c r="N8" s="22">
        <f>IF($L8="","",$L8-기준정보!$C$6-$M8)</f>
        <v/>
      </c>
      <c r="O8" s="24">
        <f>IF($N8="","",$N8-기준정보!$C$4)</f>
        <v/>
      </c>
      <c r="P8" s="21" t="n"/>
      <c r="Q8" s="21" t="inlineStr">
        <is>
          <t>O</t>
        </is>
      </c>
      <c r="R8" s="19">
        <f>IF(COUNTIF(EDW_RAW!$A$2:$A$1500,$D8)=0,"",IF(COUNTIFS(EDW_RAW!$A$2:$A$1500,$D8,EDW_RAW!$U$2:$U$1500,"&lt;&gt;~",EDW_RAW!$U$2:$U$1500,"&lt;&gt;")=COUNTIF(EDW_RAW!$A$2:$A$1500,$D8),"O",IF(COUNTIFS(EDW_RAW!$A$2:$A$1500,$D8,EDW_RAW!$U$2:$U$1500,"&lt;&gt;~",EDW_RAW!$U$2:$U$1500,"&lt;&gt;")&gt;0,"부분","X")))</f>
        <v/>
      </c>
      <c r="S8" s="25" t="n"/>
      <c r="T8" s="20">
        <f>IF($H8="","",IF(AND(ISNUMBER(SEARCH("CMT",$H8)),OR(ISNUMBER(SEARCH("완사입",$H8)),ISNUMBER(SEARCH("ODM",$H8)))),"본사/생산처 혼재",IF(ISNUMBER(SEARCH("CMT",$H8)),"본사(소재팀)","생산처")))</f>
        <v/>
      </c>
      <c r="U8" s="20" t="inlineStr">
        <is>
          <t>원전</t>
        </is>
      </c>
      <c r="V8" s="20">
        <f>IFERROR(TEXTJOIN(" / ",TRUE,UNIQUE(FILTER(소재DB_RAW!$K$3:$K$2000,(소재DB_RAW!$G$3:$G$2000=$D8)*ISERROR(SEARCH("drop",소재DB_RAW!$C$3:$C$2000))))),"")</f>
        <v/>
      </c>
      <c r="W8" s="20" t="inlineStr">
        <is>
          <t>인도네시아</t>
        </is>
      </c>
      <c r="X8" s="20">
        <f>IFERROR(TEXTJOIN(" / ",TRUE,UNIQUE(FILTER(소재DB_RAW!$N$3:$N$2000,(소재DB_RAW!$G$3:$G$2000=$D8)*ISERROR(SEARCH("drop",소재DB_RAW!$C$3:$C$2000))))),"")</f>
        <v/>
      </c>
      <c r="Y8" s="26">
        <f>IFERROR(TEXTJOIN(CHAR(10),TRUE,UNIQUE(FILTER(소재DB_RAW!$N$3:$N$2000&amp;") "&amp;소재DB_RAW!$O$3:$O$2000,(소재DB_RAW!$G$3:$G$2000=$D8)*ISNUMBER(SEARCH("겉감",소재DB_RAW!$M$3:$M$2000))*ISERROR(SEARCH("drop",소재DB_RAW!$C$3:$C$2000))))),"")</f>
        <v/>
      </c>
      <c r="Z8" s="26">
        <f>IFERROR(TEXTJOIN(CHAR(10),TRUE,UNIQUE(FILTER(소재DB_RAW!$N$3:$N$2000&amp;") "&amp;소재DB_RAW!$O$3:$O$2000,(소재DB_RAW!$G$3:$G$2000=$D8)*ISNUMBER(SEARCH("안감",소재DB_RAW!$M$3:$M$2000))*ISERROR(SEARCH("drop",소재DB_RAW!$C$3:$C$2000))))),"")</f>
        <v/>
      </c>
      <c r="AA8" s="27" t="n">
        <v>400</v>
      </c>
      <c r="AB8" s="27" t="n">
        <v>24726400</v>
      </c>
      <c r="AC8" s="27" t="n">
        <v>128000000</v>
      </c>
      <c r="AD8" s="20" t="n"/>
      <c r="AE8" s="20">
        <f>IF($K8="","출고일 미정",IF($Q8="X","작지 미발행",IF($Q8="부분","작지 일부 미발행",IF(AND($S8&lt;&gt;"",$S8&gt;$N8),"소재입고 마감("&amp;TEXT($N8,"MM/DD")&amp;") 초과",IF($Q8="","발행여부 확인 필요",IF($S8="","소재 입고일정 확인 필요","정상"))))))</f>
        <v/>
      </c>
      <c r="AF8" s="19">
        <f>IF($K8="","",IF(OR(LEFT($AE8,2)="작지",LEFT($AE8,4)="소재입고"),IF(LEFT($G8,1)="S","★ 납기위험(S코드)","◆ 지연주의"),IF($AE8="정상","✓ 정상","? 확인필요")))</f>
        <v/>
      </c>
      <c r="AG8" s="21" t="n"/>
      <c r="AH8" s="28" t="n"/>
    </row>
    <row r="9">
      <c r="A9" s="19" t="n">
        <v>5</v>
      </c>
      <c r="B9" s="20" t="inlineStr">
        <is>
          <t>최진민</t>
        </is>
      </c>
      <c r="C9" s="20" t="inlineStr">
        <is>
          <t>김지원</t>
        </is>
      </c>
      <c r="D9" s="20" t="inlineStr">
        <is>
          <t>JKPNS27062</t>
        </is>
      </c>
      <c r="E9" s="20" t="inlineStr">
        <is>
          <t>히어로 여성 스톰플리스 프로 LIGHT 소프트쉘 팬츠</t>
        </is>
      </c>
      <c r="F9" s="20" t="inlineStr">
        <is>
          <t>GRY(GRAY), BLK(BLACK)</t>
        </is>
      </c>
      <c r="G9" s="19">
        <f>IF($D9="","",IF(MID($D9,5,1)="S","S(봄)",IF(MID($D9,5,1)="M","M(여름)",IF(MID($D9,5,1)="X","X(사계절)",MID($D9,5,1)))))</f>
        <v/>
      </c>
      <c r="H9" s="20" t="inlineStr">
        <is>
          <t>완사입</t>
        </is>
      </c>
      <c r="I9" s="19" t="inlineStr">
        <is>
          <t>S1</t>
        </is>
      </c>
      <c r="J9" s="21" t="inlineStr">
        <is>
          <t>1월2주</t>
        </is>
      </c>
      <c r="K9" s="22">
        <f>IF($J9="","",IFERROR(DATE(IF(VALUE(LEFT($J9,FIND("월",$J9)-1))&gt;=9,기준정보!$C$7-1,기준정보!$C$7),VALUE(LEFT($J9,FIND("월",$J9)-1)),1+7*(VALUE(SUBSTITUTE(MID($J9,FIND("월",$J9)+1,5),"주",""))-1)),""))</f>
        <v/>
      </c>
      <c r="L9" s="22">
        <f>IF($K9="","",IF(AND($K9-기준정보!$C$5&gt;=기준정보!$C$10,$K9-기준정보!$C$5&lt;=기준정보!$C$11),기준정보!$C$10-1,$K9-기준정보!$C$5))</f>
        <v/>
      </c>
      <c r="M9" s="23">
        <f>IF($L9="","",IF(OR(ISNUMBER(SEARCH("중국",$W9)),ISNUMBER(SEARCH("베트남",$W9))),MAX(0,MIN($L9,기준정보!$C$9)-MAX($L9-기준정보!$C$6,기준정보!$C$8)+1),IF(ISNUMBER(SEARCH("한국",$W9)),MAX(0,MIN($L9,기준정보!$C$11)-MAX($L9-기준정보!$C$6,기준정보!$C$10)+1),0)))</f>
        <v/>
      </c>
      <c r="N9" s="22">
        <f>IF($L9="","",$L9-기준정보!$C$6-$M9)</f>
        <v/>
      </c>
      <c r="O9" s="24">
        <f>IF($N9="","",$N9-기준정보!$C$4)</f>
        <v/>
      </c>
      <c r="P9" s="21" t="n"/>
      <c r="Q9" s="21" t="inlineStr">
        <is>
          <t>O</t>
        </is>
      </c>
      <c r="R9" s="19">
        <f>IF(COUNTIF(EDW_RAW!$A$2:$A$1500,$D9)=0,"",IF(COUNTIFS(EDW_RAW!$A$2:$A$1500,$D9,EDW_RAW!$U$2:$U$1500,"&lt;&gt;~",EDW_RAW!$U$2:$U$1500,"&lt;&gt;")=COUNTIF(EDW_RAW!$A$2:$A$1500,$D9),"O",IF(COUNTIFS(EDW_RAW!$A$2:$A$1500,$D9,EDW_RAW!$U$2:$U$1500,"&lt;&gt;~",EDW_RAW!$U$2:$U$1500,"&lt;&gt;")&gt;0,"부분","X")))</f>
        <v/>
      </c>
      <c r="S9" s="25" t="n"/>
      <c r="T9" s="20">
        <f>IF($H9="","",IF(AND(ISNUMBER(SEARCH("CMT",$H9)),OR(ISNUMBER(SEARCH("완사입",$H9)),ISNUMBER(SEARCH("ODM",$H9)))),"본사/생산처 혼재",IF(ISNUMBER(SEARCH("CMT",$H9)),"본사(소재팀)","생산처")))</f>
        <v/>
      </c>
      <c r="U9" s="20" t="inlineStr">
        <is>
          <t>거림</t>
        </is>
      </c>
      <c r="V9" s="20">
        <f>IFERROR(TEXTJOIN(" / ",TRUE,UNIQUE(FILTER(소재DB_RAW!$K$3:$K$2000,(소재DB_RAW!$G$3:$G$2000=$D9)*ISERROR(SEARCH("drop",소재DB_RAW!$C$3:$C$2000))))),"")</f>
        <v/>
      </c>
      <c r="W9" s="20" t="inlineStr">
        <is>
          <t>베트남</t>
        </is>
      </c>
      <c r="X9" s="20">
        <f>IFERROR(TEXTJOIN(" / ",TRUE,UNIQUE(FILTER(소재DB_RAW!$N$3:$N$2000,(소재DB_RAW!$G$3:$G$2000=$D9)*ISERROR(SEARCH("drop",소재DB_RAW!$C$3:$C$2000))))),"")</f>
        <v/>
      </c>
      <c r="Y9" s="26">
        <f>IFERROR(TEXTJOIN(CHAR(10),TRUE,UNIQUE(FILTER(소재DB_RAW!$N$3:$N$2000&amp;") "&amp;소재DB_RAW!$O$3:$O$2000,(소재DB_RAW!$G$3:$G$2000=$D9)*ISNUMBER(SEARCH("겉감",소재DB_RAW!$M$3:$M$2000))*ISERROR(SEARCH("drop",소재DB_RAW!$C$3:$C$2000))))),"")</f>
        <v/>
      </c>
      <c r="Z9" s="26">
        <f>IFERROR(TEXTJOIN(CHAR(10),TRUE,UNIQUE(FILTER(소재DB_RAW!$N$3:$N$2000&amp;") "&amp;소재DB_RAW!$O$3:$O$2000,(소재DB_RAW!$G$3:$G$2000=$D9)*ISNUMBER(SEARCH("안감",소재DB_RAW!$M$3:$M$2000))*ISERROR(SEARCH("drop",소재DB_RAW!$C$3:$C$2000))))),"")</f>
        <v/>
      </c>
      <c r="AA9" s="27" t="n">
        <v>350</v>
      </c>
      <c r="AB9" s="27" t="n">
        <v>20101900</v>
      </c>
      <c r="AC9" s="27" t="n">
        <v>94500000</v>
      </c>
      <c r="AD9" s="20" t="n"/>
      <c r="AE9" s="20">
        <f>IF($K9="","출고일 미정",IF($Q9="X","작지 미발행",IF($Q9="부분","작지 일부 미발행",IF(AND($S9&lt;&gt;"",$S9&gt;$N9),"소재입고 마감("&amp;TEXT($N9,"MM/DD")&amp;") 초과",IF($Q9="","발행여부 확인 필요",IF($S9="","소재 입고일정 확인 필요","정상"))))))</f>
        <v/>
      </c>
      <c r="AF9" s="19">
        <f>IF($K9="","",IF(OR(LEFT($AE9,2)="작지",LEFT($AE9,4)="소재입고"),IF(LEFT($G9,1)="S","★ 납기위험(S코드)","◆ 지연주의"),IF($AE9="정상","✓ 정상","? 확인필요")))</f>
        <v/>
      </c>
      <c r="AG9" s="21" t="n"/>
      <c r="AH9" s="28" t="n"/>
    </row>
    <row r="10">
      <c r="A10" s="19" t="n">
        <v>6</v>
      </c>
      <c r="B10" s="20" t="inlineStr">
        <is>
          <t>최진민</t>
        </is>
      </c>
      <c r="C10" s="20" t="inlineStr">
        <is>
          <t>김지원</t>
        </is>
      </c>
      <c r="D10" s="20" t="inlineStr">
        <is>
          <t>JKPNS27072</t>
        </is>
      </c>
      <c r="E10" s="20" t="inlineStr">
        <is>
          <t>히어로 여성 클라이밍 팬츠</t>
        </is>
      </c>
      <c r="F10" s="20" t="inlineStr">
        <is>
          <t>GRY-1, BLK(BLACK)</t>
        </is>
      </c>
      <c r="G10" s="19">
        <f>IF($D10="","",IF(MID($D10,5,1)="S","S(봄)",IF(MID($D10,5,1)="M","M(여름)",IF(MID($D10,5,1)="X","X(사계절)",MID($D10,5,1)))))</f>
        <v/>
      </c>
      <c r="H10" s="20" t="inlineStr">
        <is>
          <t>완사입</t>
        </is>
      </c>
      <c r="I10" s="19" t="inlineStr">
        <is>
          <t>S1</t>
        </is>
      </c>
      <c r="J10" s="21" t="inlineStr">
        <is>
          <t>1월2주</t>
        </is>
      </c>
      <c r="K10" s="22">
        <f>IF($J10="","",IFERROR(DATE(IF(VALUE(LEFT($J10,FIND("월",$J10)-1))&gt;=9,기준정보!$C$7-1,기준정보!$C$7),VALUE(LEFT($J10,FIND("월",$J10)-1)),1+7*(VALUE(SUBSTITUTE(MID($J10,FIND("월",$J10)+1,5),"주",""))-1)),""))</f>
        <v/>
      </c>
      <c r="L10" s="22">
        <f>IF($K10="","",IF(AND($K10-기준정보!$C$5&gt;=기준정보!$C$10,$K10-기준정보!$C$5&lt;=기준정보!$C$11),기준정보!$C$10-1,$K10-기준정보!$C$5))</f>
        <v/>
      </c>
      <c r="M10" s="23">
        <f>IF($L10="","",IF(OR(ISNUMBER(SEARCH("중국",$W10)),ISNUMBER(SEARCH("베트남",$W10))),MAX(0,MIN($L10,기준정보!$C$9)-MAX($L10-기준정보!$C$6,기준정보!$C$8)+1),IF(ISNUMBER(SEARCH("한국",$W10)),MAX(0,MIN($L10,기준정보!$C$11)-MAX($L10-기준정보!$C$6,기준정보!$C$10)+1),0)))</f>
        <v/>
      </c>
      <c r="N10" s="22">
        <f>IF($L10="","",$L10-기준정보!$C$6-$M10)</f>
        <v/>
      </c>
      <c r="O10" s="24">
        <f>IF($N10="","",$N10-기준정보!$C$4)</f>
        <v/>
      </c>
      <c r="P10" s="21" t="n"/>
      <c r="Q10" s="21" t="inlineStr">
        <is>
          <t>O</t>
        </is>
      </c>
      <c r="R10" s="19">
        <f>IF(COUNTIF(EDW_RAW!$A$2:$A$1500,$D10)=0,"",IF(COUNTIFS(EDW_RAW!$A$2:$A$1500,$D10,EDW_RAW!$U$2:$U$1500,"&lt;&gt;~",EDW_RAW!$U$2:$U$1500,"&lt;&gt;")=COUNTIF(EDW_RAW!$A$2:$A$1500,$D10),"O",IF(COUNTIFS(EDW_RAW!$A$2:$A$1500,$D10,EDW_RAW!$U$2:$U$1500,"&lt;&gt;~",EDW_RAW!$U$2:$U$1500,"&lt;&gt;")&gt;0,"부분","X")))</f>
        <v/>
      </c>
      <c r="S10" s="25" t="n"/>
      <c r="T10" s="20">
        <f>IF($H10="","",IF(AND(ISNUMBER(SEARCH("CMT",$H10)),OR(ISNUMBER(SEARCH("완사입",$H10)),ISNUMBER(SEARCH("ODM",$H10)))),"본사/생산처 혼재",IF(ISNUMBER(SEARCH("CMT",$H10)),"본사(소재팀)","생산처")))</f>
        <v/>
      </c>
      <c r="U10" s="20" t="inlineStr">
        <is>
          <t>거림</t>
        </is>
      </c>
      <c r="V10" s="20">
        <f>IFERROR(TEXTJOIN(" / ",TRUE,UNIQUE(FILTER(소재DB_RAW!$K$3:$K$2000,(소재DB_RAW!$G$3:$G$2000=$D10)*ISERROR(SEARCH("drop",소재DB_RAW!$C$3:$C$2000))))),"")</f>
        <v/>
      </c>
      <c r="W10" s="20" t="inlineStr">
        <is>
          <t>베트남</t>
        </is>
      </c>
      <c r="X10" s="20">
        <f>IFERROR(TEXTJOIN(" / ",TRUE,UNIQUE(FILTER(소재DB_RAW!$N$3:$N$2000,(소재DB_RAW!$G$3:$G$2000=$D10)*ISERROR(SEARCH("drop",소재DB_RAW!$C$3:$C$2000))))),"")</f>
        <v/>
      </c>
      <c r="Y10" s="26">
        <f>IFERROR(TEXTJOIN(CHAR(10),TRUE,UNIQUE(FILTER(소재DB_RAW!$N$3:$N$2000&amp;") "&amp;소재DB_RAW!$O$3:$O$2000,(소재DB_RAW!$G$3:$G$2000=$D10)*ISNUMBER(SEARCH("겉감",소재DB_RAW!$M$3:$M$2000))*ISERROR(SEARCH("drop",소재DB_RAW!$C$3:$C$2000))))),"")</f>
        <v/>
      </c>
      <c r="Z10" s="26">
        <f>IFERROR(TEXTJOIN(CHAR(10),TRUE,UNIQUE(FILTER(소재DB_RAW!$N$3:$N$2000&amp;") "&amp;소재DB_RAW!$O$3:$O$2000,(소재DB_RAW!$G$3:$G$2000=$D10)*ISNUMBER(SEARCH("안감",소재DB_RAW!$M$3:$M$2000))*ISERROR(SEARCH("drop",소재DB_RAW!$C$3:$C$2000))))),"")</f>
        <v/>
      </c>
      <c r="AA10" s="27" t="n">
        <v>200</v>
      </c>
      <c r="AB10" s="27" t="n">
        <v>16675200</v>
      </c>
      <c r="AC10" s="27" t="n">
        <v>64000000</v>
      </c>
      <c r="AD10" s="20" t="n"/>
      <c r="AE10" s="20">
        <f>IF($K10="","출고일 미정",IF($Q10="X","작지 미발행",IF($Q10="부분","작지 일부 미발행",IF(AND($S10&lt;&gt;"",$S10&gt;$N10),"소재입고 마감("&amp;TEXT($N10,"MM/DD")&amp;") 초과",IF($Q10="","발행여부 확인 필요",IF($S10="","소재 입고일정 확인 필요","정상"))))))</f>
        <v/>
      </c>
      <c r="AF10" s="19">
        <f>IF($K10="","",IF(OR(LEFT($AE10,2)="작지",LEFT($AE10,4)="소재입고"),IF(LEFT($G10,1)="S","★ 납기위험(S코드)","◆ 지연주의"),IF($AE10="정상","✓ 정상","? 확인필요")))</f>
        <v/>
      </c>
      <c r="AG10" s="21" t="n"/>
      <c r="AH10" s="28" t="n"/>
    </row>
    <row r="11">
      <c r="A11" s="19" t="n">
        <v>7</v>
      </c>
      <c r="B11" s="20" t="inlineStr">
        <is>
          <t>최진민</t>
        </is>
      </c>
      <c r="C11" s="20" t="inlineStr">
        <is>
          <t>김지원</t>
        </is>
      </c>
      <c r="D11" s="20" t="inlineStr">
        <is>
          <t>JKTBS27058</t>
        </is>
      </c>
      <c r="E11" s="20" t="inlineStr">
        <is>
          <t>히어로 여성 니트도트 긴팔 라운드티</t>
        </is>
      </c>
      <c r="F11" s="20" t="inlineStr">
        <is>
          <t>DGY-1, BLK(BLACK)</t>
        </is>
      </c>
      <c r="G11" s="19">
        <f>IF($D11="","",IF(MID($D11,5,1)="S","S(봄)",IF(MID($D11,5,1)="M","M(여름)",IF(MID($D11,5,1)="X","X(사계절)",MID($D11,5,1)))))</f>
        <v/>
      </c>
      <c r="H11" s="20" t="inlineStr">
        <is>
          <t>완사입</t>
        </is>
      </c>
      <c r="I11" s="19" t="inlineStr">
        <is>
          <t>S1</t>
        </is>
      </c>
      <c r="J11" s="21" t="inlineStr">
        <is>
          <t>1월2주</t>
        </is>
      </c>
      <c r="K11" s="22">
        <f>IF($J11="","",IFERROR(DATE(IF(VALUE(LEFT($J11,FIND("월",$J11)-1))&gt;=9,기준정보!$C$7-1,기준정보!$C$7),VALUE(LEFT($J11,FIND("월",$J11)-1)),1+7*(VALUE(SUBSTITUTE(MID($J11,FIND("월",$J11)+1,5),"주",""))-1)),""))</f>
        <v/>
      </c>
      <c r="L11" s="22">
        <f>IF($K11="","",IF(AND($K11-기준정보!$C$5&gt;=기준정보!$C$10,$K11-기준정보!$C$5&lt;=기준정보!$C$11),기준정보!$C$10-1,$K11-기준정보!$C$5))</f>
        <v/>
      </c>
      <c r="M11" s="23">
        <f>IF($L11="","",IF(OR(ISNUMBER(SEARCH("중국",$W11)),ISNUMBER(SEARCH("베트남",$W11))),MAX(0,MIN($L11,기준정보!$C$9)-MAX($L11-기준정보!$C$6,기준정보!$C$8)+1),IF(ISNUMBER(SEARCH("한국",$W11)),MAX(0,MIN($L11,기준정보!$C$11)-MAX($L11-기준정보!$C$6,기준정보!$C$10)+1),0)))</f>
        <v/>
      </c>
      <c r="N11" s="22">
        <f>IF($L11="","",$L11-기준정보!$C$6-$M11)</f>
        <v/>
      </c>
      <c r="O11" s="24">
        <f>IF($N11="","",$N11-기준정보!$C$4)</f>
        <v/>
      </c>
      <c r="P11" s="21" t="n"/>
      <c r="Q11" s="21" t="inlineStr">
        <is>
          <t>O</t>
        </is>
      </c>
      <c r="R11" s="19">
        <f>IF(COUNTIF(EDW_RAW!$A$2:$A$1500,$D11)=0,"",IF(COUNTIFS(EDW_RAW!$A$2:$A$1500,$D11,EDW_RAW!$U$2:$U$1500,"&lt;&gt;~",EDW_RAW!$U$2:$U$1500,"&lt;&gt;")=COUNTIF(EDW_RAW!$A$2:$A$1500,$D11),"O",IF(COUNTIFS(EDW_RAW!$A$2:$A$1500,$D11,EDW_RAW!$U$2:$U$1500,"&lt;&gt;~",EDW_RAW!$U$2:$U$1500,"&lt;&gt;")&gt;0,"부분","X")))</f>
        <v/>
      </c>
      <c r="S11" s="25" t="n"/>
      <c r="T11" s="20">
        <f>IF($H11="","",IF(AND(ISNUMBER(SEARCH("CMT",$H11)),OR(ISNUMBER(SEARCH("완사입",$H11)),ISNUMBER(SEARCH("ODM",$H11)))),"본사/생산처 혼재",IF(ISNUMBER(SEARCH("CMT",$H11)),"본사(소재팀)","생산처")))</f>
        <v/>
      </c>
      <c r="U11" s="20" t="inlineStr">
        <is>
          <t>태화</t>
        </is>
      </c>
      <c r="V11" s="20">
        <f>IFERROR(TEXTJOIN(" / ",TRUE,UNIQUE(FILTER(소재DB_RAW!$K$3:$K$2000,(소재DB_RAW!$G$3:$G$2000=$D11)*ISERROR(SEARCH("drop",소재DB_RAW!$C$3:$C$2000))))),"")</f>
        <v/>
      </c>
      <c r="W11" s="20" t="inlineStr">
        <is>
          <t>베트남</t>
        </is>
      </c>
      <c r="X11" s="20">
        <f>IFERROR(TEXTJOIN(" / ",TRUE,UNIQUE(FILTER(소재DB_RAW!$N$3:$N$2000,(소재DB_RAW!$G$3:$G$2000=$D11)*ISERROR(SEARCH("drop",소재DB_RAW!$C$3:$C$2000))))),"")</f>
        <v/>
      </c>
      <c r="Y11" s="26">
        <f>IFERROR(TEXTJOIN(CHAR(10),TRUE,UNIQUE(FILTER(소재DB_RAW!$N$3:$N$2000&amp;") "&amp;소재DB_RAW!$O$3:$O$2000,(소재DB_RAW!$G$3:$G$2000=$D11)*ISNUMBER(SEARCH("겉감",소재DB_RAW!$M$3:$M$2000))*ISERROR(SEARCH("drop",소재DB_RAW!$C$3:$C$2000))))),"")</f>
        <v/>
      </c>
      <c r="Z11" s="26">
        <f>IFERROR(TEXTJOIN(CHAR(10),TRUE,UNIQUE(FILTER(소재DB_RAW!$N$3:$N$2000&amp;") "&amp;소재DB_RAW!$O$3:$O$2000,(소재DB_RAW!$G$3:$G$2000=$D11)*ISNUMBER(SEARCH("안감",소재DB_RAW!$M$3:$M$2000))*ISERROR(SEARCH("drop",소재DB_RAW!$C$3:$C$2000))))),"")</f>
        <v/>
      </c>
      <c r="AA11" s="27" t="n">
        <v>180</v>
      </c>
      <c r="AB11" s="27" t="n">
        <v>4716720</v>
      </c>
      <c r="AC11" s="27" t="n">
        <v>24840000</v>
      </c>
      <c r="AD11" s="20" t="n"/>
      <c r="AE11" s="20">
        <f>IF($K11="","출고일 미정",IF($Q11="X","작지 미발행",IF($Q11="부분","작지 일부 미발행",IF(AND($S11&lt;&gt;"",$S11&gt;$N11),"소재입고 마감("&amp;TEXT($N11,"MM/DD")&amp;") 초과",IF($Q11="","발행여부 확인 필요",IF($S11="","소재 입고일정 확인 필요","정상"))))))</f>
        <v/>
      </c>
      <c r="AF11" s="19">
        <f>IF($K11="","",IF(OR(LEFT($AE11,2)="작지",LEFT($AE11,4)="소재입고"),IF(LEFT($G11,1)="S","★ 납기위험(S코드)","◆ 지연주의"),IF($AE11="정상","✓ 정상","? 확인필요")))</f>
        <v/>
      </c>
      <c r="AG11" s="21" t="n"/>
      <c r="AH11" s="28" t="n"/>
    </row>
    <row r="12">
      <c r="A12" s="19" t="n">
        <v>8</v>
      </c>
      <c r="B12" s="20" t="inlineStr">
        <is>
          <t>최진민</t>
        </is>
      </c>
      <c r="C12" s="20" t="inlineStr">
        <is>
          <t>강기환</t>
        </is>
      </c>
      <c r="D12" s="20" t="inlineStr">
        <is>
          <t>JWJGS27001</t>
        </is>
      </c>
      <c r="E12" s="20" t="inlineStr">
        <is>
          <t>히어로 남성 고어텍스 3L PRO 재킷</t>
        </is>
      </c>
      <c r="F12" s="20" t="inlineStr">
        <is>
          <t>GBU(G/BLUE), DGY-1</t>
        </is>
      </c>
      <c r="G12" s="19">
        <f>IF($D12="","",IF(MID($D12,5,1)="S","S(봄)",IF(MID($D12,5,1)="M","M(여름)",IF(MID($D12,5,1)="X","X(사계절)",MID($D12,5,1)))))</f>
        <v/>
      </c>
      <c r="H12" s="20" t="inlineStr">
        <is>
          <t>완사입</t>
        </is>
      </c>
      <c r="I12" s="19" t="inlineStr">
        <is>
          <t>S1</t>
        </is>
      </c>
      <c r="J12" s="21" t="inlineStr">
        <is>
          <t>1월2주</t>
        </is>
      </c>
      <c r="K12" s="22">
        <f>IF($J12="","",IFERROR(DATE(IF(VALUE(LEFT($J12,FIND("월",$J12)-1))&gt;=9,기준정보!$C$7-1,기준정보!$C$7),VALUE(LEFT($J12,FIND("월",$J12)-1)),1+7*(VALUE(SUBSTITUTE(MID($J12,FIND("월",$J12)+1,5),"주",""))-1)),""))</f>
        <v/>
      </c>
      <c r="L12" s="22">
        <f>IF($K12="","",IF(AND($K12-기준정보!$C$5&gt;=기준정보!$C$10,$K12-기준정보!$C$5&lt;=기준정보!$C$11),기준정보!$C$10-1,$K12-기준정보!$C$5))</f>
        <v/>
      </c>
      <c r="M12" s="23">
        <f>IF($L12="","",IF(OR(ISNUMBER(SEARCH("중국",$W12)),ISNUMBER(SEARCH("베트남",$W12))),MAX(0,MIN($L12,기준정보!$C$9)-MAX($L12-기준정보!$C$6,기준정보!$C$8)+1),IF(ISNUMBER(SEARCH("한국",$W12)),MAX(0,MIN($L12,기준정보!$C$11)-MAX($L12-기준정보!$C$6,기준정보!$C$10)+1),0)))</f>
        <v/>
      </c>
      <c r="N12" s="22">
        <f>IF($L12="","",$L12-기준정보!$C$6-$M12)</f>
        <v/>
      </c>
      <c r="O12" s="24">
        <f>IF($N12="","",$N12-기준정보!$C$4)</f>
        <v/>
      </c>
      <c r="P12" s="21" t="n"/>
      <c r="Q12" s="21" t="inlineStr">
        <is>
          <t>O</t>
        </is>
      </c>
      <c r="R12" s="19">
        <f>IF(COUNTIF(EDW_RAW!$A$2:$A$1500,$D12)=0,"",IF(COUNTIFS(EDW_RAW!$A$2:$A$1500,$D12,EDW_RAW!$U$2:$U$1500,"&lt;&gt;~",EDW_RAW!$U$2:$U$1500,"&lt;&gt;")=COUNTIF(EDW_RAW!$A$2:$A$1500,$D12),"O",IF(COUNTIFS(EDW_RAW!$A$2:$A$1500,$D12,EDW_RAW!$U$2:$U$1500,"&lt;&gt;~",EDW_RAW!$U$2:$U$1500,"&lt;&gt;")&gt;0,"부분","X")))</f>
        <v/>
      </c>
      <c r="S12" s="25" t="n"/>
      <c r="T12" s="20">
        <f>IF($H12="","",IF(AND(ISNUMBER(SEARCH("CMT",$H12)),OR(ISNUMBER(SEARCH("완사입",$H12)),ISNUMBER(SEARCH("ODM",$H12)))),"본사/생산처 혼재",IF(ISNUMBER(SEARCH("CMT",$H12)),"본사(소재팀)","생산처")))</f>
        <v/>
      </c>
      <c r="U12" s="20" t="inlineStr">
        <is>
          <t>포마트</t>
        </is>
      </c>
      <c r="V12" s="20">
        <f>IFERROR(TEXTJOIN(" / ",TRUE,UNIQUE(FILTER(소재DB_RAW!$K$3:$K$2000,(소재DB_RAW!$G$3:$G$2000=$D12)*ISERROR(SEARCH("drop",소재DB_RAW!$C$3:$C$2000))))),"")</f>
        <v/>
      </c>
      <c r="W12" s="20" t="inlineStr">
        <is>
          <t>베트남</t>
        </is>
      </c>
      <c r="X12" s="20">
        <f>IFERROR(TEXTJOIN(" / ",TRUE,UNIQUE(FILTER(소재DB_RAW!$N$3:$N$2000,(소재DB_RAW!$G$3:$G$2000=$D12)*ISERROR(SEARCH("drop",소재DB_RAW!$C$3:$C$2000))))),"")</f>
        <v/>
      </c>
      <c r="Y12" s="26">
        <f>IFERROR(TEXTJOIN(CHAR(10),TRUE,UNIQUE(FILTER(소재DB_RAW!$N$3:$N$2000&amp;") "&amp;소재DB_RAW!$O$3:$O$2000,(소재DB_RAW!$G$3:$G$2000=$D12)*ISNUMBER(SEARCH("겉감",소재DB_RAW!$M$3:$M$2000))*ISERROR(SEARCH("drop",소재DB_RAW!$C$3:$C$2000))))),"")</f>
        <v/>
      </c>
      <c r="Z12" s="26">
        <f>IFERROR(TEXTJOIN(CHAR(10),TRUE,UNIQUE(FILTER(소재DB_RAW!$N$3:$N$2000&amp;") "&amp;소재DB_RAW!$O$3:$O$2000,(소재DB_RAW!$G$3:$G$2000=$D12)*ISNUMBER(SEARCH("안감",소재DB_RAW!$M$3:$M$2000))*ISERROR(SEARCH("drop",소재DB_RAW!$C$3:$C$2000))))),"")</f>
        <v/>
      </c>
      <c r="AA12" s="27" t="n">
        <v>250</v>
      </c>
      <c r="AB12" s="27" t="n">
        <v>68675250</v>
      </c>
      <c r="AC12" s="27" t="n">
        <v>247500000</v>
      </c>
      <c r="AD12" s="20" t="n"/>
      <c r="AE12" s="20">
        <f>IF($K12="","출고일 미정",IF($Q12="X","작지 미발행",IF($Q12="부분","작지 일부 미발행",IF(AND($S12&lt;&gt;"",$S12&gt;$N12),"소재입고 마감("&amp;TEXT($N12,"MM/DD")&amp;") 초과",IF($Q12="","발행여부 확인 필요",IF($S12="","소재 입고일정 확인 필요","정상"))))))</f>
        <v/>
      </c>
      <c r="AF12" s="19">
        <f>IF($K12="","",IF(OR(LEFT($AE12,2)="작지",LEFT($AE12,4)="소재입고"),IF(LEFT($G12,1)="S","★ 납기위험(S코드)","◆ 지연주의"),IF($AE12="정상","✓ 정상","? 확인필요")))</f>
        <v/>
      </c>
      <c r="AG12" s="21" t="n"/>
      <c r="AH12" s="28" t="n"/>
    </row>
    <row r="13">
      <c r="A13" s="19" t="n">
        <v>9</v>
      </c>
      <c r="B13" s="20" t="inlineStr">
        <is>
          <t>최진민</t>
        </is>
      </c>
      <c r="C13" s="20" t="inlineStr">
        <is>
          <t>강기환</t>
        </is>
      </c>
      <c r="D13" s="20" t="inlineStr">
        <is>
          <t>JWJJS27011</t>
        </is>
      </c>
      <c r="E13" s="20" t="inlineStr">
        <is>
          <t>히어로 남성 프리마로프트 HEAVY 인슐레이션 재킷</t>
        </is>
      </c>
      <c r="F13" s="20" t="inlineStr">
        <is>
          <t>GRY-1, BLK(BLACK)</t>
        </is>
      </c>
      <c r="G13" s="19">
        <f>IF($D13="","",IF(MID($D13,5,1)="S","S(봄)",IF(MID($D13,5,1)="M","M(여름)",IF(MID($D13,5,1)="X","X(사계절)",MID($D13,5,1)))))</f>
        <v/>
      </c>
      <c r="H13" s="20" t="inlineStr">
        <is>
          <t>완사입</t>
        </is>
      </c>
      <c r="I13" s="19" t="inlineStr">
        <is>
          <t>S1</t>
        </is>
      </c>
      <c r="J13" s="21" t="inlineStr">
        <is>
          <t>1월2주</t>
        </is>
      </c>
      <c r="K13" s="22">
        <f>IF($J13="","",IFERROR(DATE(IF(VALUE(LEFT($J13,FIND("월",$J13)-1))&gt;=9,기준정보!$C$7-1,기준정보!$C$7),VALUE(LEFT($J13,FIND("월",$J13)-1)),1+7*(VALUE(SUBSTITUTE(MID($J13,FIND("월",$J13)+1,5),"주",""))-1)),""))</f>
        <v/>
      </c>
      <c r="L13" s="22">
        <f>IF($K13="","",IF(AND($K13-기준정보!$C$5&gt;=기준정보!$C$10,$K13-기준정보!$C$5&lt;=기준정보!$C$11),기준정보!$C$10-1,$K13-기준정보!$C$5))</f>
        <v/>
      </c>
      <c r="M13" s="23">
        <f>IF($L13="","",IF(OR(ISNUMBER(SEARCH("중국",$W13)),ISNUMBER(SEARCH("베트남",$W13))),MAX(0,MIN($L13,기준정보!$C$9)-MAX($L13-기준정보!$C$6,기준정보!$C$8)+1),IF(ISNUMBER(SEARCH("한국",$W13)),MAX(0,MIN($L13,기준정보!$C$11)-MAX($L13-기준정보!$C$6,기준정보!$C$10)+1),0)))</f>
        <v/>
      </c>
      <c r="N13" s="22">
        <f>IF($L13="","",$L13-기준정보!$C$6-$M13)</f>
        <v/>
      </c>
      <c r="O13" s="24">
        <f>IF($N13="","",$N13-기준정보!$C$4)</f>
        <v/>
      </c>
      <c r="P13" s="21" t="n"/>
      <c r="Q13" s="21" t="inlineStr">
        <is>
          <t>O</t>
        </is>
      </c>
      <c r="R13" s="19">
        <f>IF(COUNTIF(EDW_RAW!$A$2:$A$1500,$D13)=0,"",IF(COUNTIFS(EDW_RAW!$A$2:$A$1500,$D13,EDW_RAW!$U$2:$U$1500,"&lt;&gt;~",EDW_RAW!$U$2:$U$1500,"&lt;&gt;")=COUNTIF(EDW_RAW!$A$2:$A$1500,$D13),"O",IF(COUNTIFS(EDW_RAW!$A$2:$A$1500,$D13,EDW_RAW!$U$2:$U$1500,"&lt;&gt;~",EDW_RAW!$U$2:$U$1500,"&lt;&gt;")&gt;0,"부분","X")))</f>
        <v/>
      </c>
      <c r="S13" s="25" t="n"/>
      <c r="T13" s="20">
        <f>IF($H13="","",IF(AND(ISNUMBER(SEARCH("CMT",$H13)),OR(ISNUMBER(SEARCH("완사입",$H13)),ISNUMBER(SEARCH("ODM",$H13)))),"본사/생산처 혼재",IF(ISNUMBER(SEARCH("CMT",$H13)),"본사(소재팀)","생산처")))</f>
        <v/>
      </c>
      <c r="U13" s="20" t="inlineStr">
        <is>
          <t>원전</t>
        </is>
      </c>
      <c r="V13" s="20">
        <f>IFERROR(TEXTJOIN(" / ",TRUE,UNIQUE(FILTER(소재DB_RAW!$K$3:$K$2000,(소재DB_RAW!$G$3:$G$2000=$D13)*ISERROR(SEARCH("drop",소재DB_RAW!$C$3:$C$2000))))),"")</f>
        <v/>
      </c>
      <c r="W13" s="20" t="inlineStr">
        <is>
          <t>인도네시아</t>
        </is>
      </c>
      <c r="X13" s="20">
        <f>IFERROR(TEXTJOIN(" / ",TRUE,UNIQUE(FILTER(소재DB_RAW!$N$3:$N$2000,(소재DB_RAW!$G$3:$G$2000=$D13)*ISERROR(SEARCH("drop",소재DB_RAW!$C$3:$C$2000))))),"")</f>
        <v/>
      </c>
      <c r="Y13" s="26">
        <f>IFERROR(TEXTJOIN(CHAR(10),TRUE,UNIQUE(FILTER(소재DB_RAW!$N$3:$N$2000&amp;") "&amp;소재DB_RAW!$O$3:$O$2000,(소재DB_RAW!$G$3:$G$2000=$D13)*ISNUMBER(SEARCH("겉감",소재DB_RAW!$M$3:$M$2000))*ISERROR(SEARCH("drop",소재DB_RAW!$C$3:$C$2000))))),"")</f>
        <v/>
      </c>
      <c r="Z13" s="26">
        <f>IFERROR(TEXTJOIN(CHAR(10),TRUE,UNIQUE(FILTER(소재DB_RAW!$N$3:$N$2000&amp;") "&amp;소재DB_RAW!$O$3:$O$2000,(소재DB_RAW!$G$3:$G$2000=$D13)*ISNUMBER(SEARCH("안감",소재DB_RAW!$M$3:$M$2000))*ISERROR(SEARCH("drop",소재DB_RAW!$C$3:$C$2000))))),"")</f>
        <v/>
      </c>
      <c r="AA13" s="27" t="n">
        <v>2350</v>
      </c>
      <c r="AB13" s="27" t="n">
        <v>215013250</v>
      </c>
      <c r="AC13" s="27" t="n">
        <v>916500000</v>
      </c>
      <c r="AD13" s="20" t="n"/>
      <c r="AE13" s="20">
        <f>IF($K13="","출고일 미정",IF($Q13="X","작지 미발행",IF($Q13="부분","작지 일부 미발행",IF(AND($S13&lt;&gt;"",$S13&gt;$N13),"소재입고 마감("&amp;TEXT($N13,"MM/DD")&amp;") 초과",IF($Q13="","발행여부 확인 필요",IF($S13="","소재 입고일정 확인 필요","정상"))))))</f>
        <v/>
      </c>
      <c r="AF13" s="19">
        <f>IF($K13="","",IF(OR(LEFT($AE13,2)="작지",LEFT($AE13,4)="소재입고"),IF(LEFT($G13,1)="S","★ 납기위험(S코드)","◆ 지연주의"),IF($AE13="정상","✓ 정상","? 확인필요")))</f>
        <v/>
      </c>
      <c r="AG13" s="21" t="n"/>
      <c r="AH13" s="28" t="n"/>
    </row>
    <row r="14">
      <c r="A14" s="19" t="n">
        <v>10</v>
      </c>
      <c r="B14" s="20" t="inlineStr">
        <is>
          <t>최진민</t>
        </is>
      </c>
      <c r="C14" s="20" t="inlineStr">
        <is>
          <t>강기환</t>
        </is>
      </c>
      <c r="D14" s="20" t="inlineStr">
        <is>
          <t>JWJJS27015</t>
        </is>
      </c>
      <c r="E14" s="20" t="inlineStr">
        <is>
          <t>히어로 남성 프리마로프트 LIGHT 인슐레이션 재킷</t>
        </is>
      </c>
      <c r="F14" s="20" t="inlineStr">
        <is>
          <t>DBU(D/BLUE), BLK(BLACK)</t>
        </is>
      </c>
      <c r="G14" s="19">
        <f>IF($D14="","",IF(MID($D14,5,1)="S","S(봄)",IF(MID($D14,5,1)="M","M(여름)",IF(MID($D14,5,1)="X","X(사계절)",MID($D14,5,1)))))</f>
        <v/>
      </c>
      <c r="H14" s="20" t="inlineStr">
        <is>
          <t>완사입</t>
        </is>
      </c>
      <c r="I14" s="19" t="inlineStr">
        <is>
          <t>S1</t>
        </is>
      </c>
      <c r="J14" s="21" t="inlineStr">
        <is>
          <t>1월2주</t>
        </is>
      </c>
      <c r="K14" s="22">
        <f>IF($J14="","",IFERROR(DATE(IF(VALUE(LEFT($J14,FIND("월",$J14)-1))&gt;=9,기준정보!$C$7-1,기준정보!$C$7),VALUE(LEFT($J14,FIND("월",$J14)-1)),1+7*(VALUE(SUBSTITUTE(MID($J14,FIND("월",$J14)+1,5),"주",""))-1)),""))</f>
        <v/>
      </c>
      <c r="L14" s="22">
        <f>IF($K14="","",IF(AND($K14-기준정보!$C$5&gt;=기준정보!$C$10,$K14-기준정보!$C$5&lt;=기준정보!$C$11),기준정보!$C$10-1,$K14-기준정보!$C$5))</f>
        <v/>
      </c>
      <c r="M14" s="23">
        <f>IF($L14="","",IF(OR(ISNUMBER(SEARCH("중국",$W14)),ISNUMBER(SEARCH("베트남",$W14))),MAX(0,MIN($L14,기준정보!$C$9)-MAX($L14-기준정보!$C$6,기준정보!$C$8)+1),IF(ISNUMBER(SEARCH("한국",$W14)),MAX(0,MIN($L14,기준정보!$C$11)-MAX($L14-기준정보!$C$6,기준정보!$C$10)+1),0)))</f>
        <v/>
      </c>
      <c r="N14" s="22">
        <f>IF($L14="","",$L14-기준정보!$C$6-$M14)</f>
        <v/>
      </c>
      <c r="O14" s="24">
        <f>IF($N14="","",$N14-기준정보!$C$4)</f>
        <v/>
      </c>
      <c r="P14" s="21" t="n"/>
      <c r="Q14" s="21" t="inlineStr">
        <is>
          <t>O</t>
        </is>
      </c>
      <c r="R14" s="19">
        <f>IF(COUNTIF(EDW_RAW!$A$2:$A$1500,$D14)=0,"",IF(COUNTIFS(EDW_RAW!$A$2:$A$1500,$D14,EDW_RAW!$U$2:$U$1500,"&lt;&gt;~",EDW_RAW!$U$2:$U$1500,"&lt;&gt;")=COUNTIF(EDW_RAW!$A$2:$A$1500,$D14),"O",IF(COUNTIFS(EDW_RAW!$A$2:$A$1500,$D14,EDW_RAW!$U$2:$U$1500,"&lt;&gt;~",EDW_RAW!$U$2:$U$1500,"&lt;&gt;")&gt;0,"부분","X")))</f>
        <v/>
      </c>
      <c r="S14" s="25" t="n"/>
      <c r="T14" s="20">
        <f>IF($H14="","",IF(AND(ISNUMBER(SEARCH("CMT",$H14)),OR(ISNUMBER(SEARCH("완사입",$H14)),ISNUMBER(SEARCH("ODM",$H14)))),"본사/생산처 혼재",IF(ISNUMBER(SEARCH("CMT",$H14)),"본사(소재팀)","생산처")))</f>
        <v/>
      </c>
      <c r="U14" s="20" t="inlineStr">
        <is>
          <t>원전</t>
        </is>
      </c>
      <c r="V14" s="20">
        <f>IFERROR(TEXTJOIN(" / ",TRUE,UNIQUE(FILTER(소재DB_RAW!$K$3:$K$2000,(소재DB_RAW!$G$3:$G$2000=$D14)*ISERROR(SEARCH("drop",소재DB_RAW!$C$3:$C$2000))))),"")</f>
        <v/>
      </c>
      <c r="W14" s="20" t="inlineStr">
        <is>
          <t>인도네시아</t>
        </is>
      </c>
      <c r="X14" s="20">
        <f>IFERROR(TEXTJOIN(" / ",TRUE,UNIQUE(FILTER(소재DB_RAW!$N$3:$N$2000,(소재DB_RAW!$G$3:$G$2000=$D14)*ISERROR(SEARCH("drop",소재DB_RAW!$C$3:$C$2000))))),"")</f>
        <v/>
      </c>
      <c r="Y14" s="26">
        <f>IFERROR(TEXTJOIN(CHAR(10),TRUE,UNIQUE(FILTER(소재DB_RAW!$N$3:$N$2000&amp;") "&amp;소재DB_RAW!$O$3:$O$2000,(소재DB_RAW!$G$3:$G$2000=$D14)*ISNUMBER(SEARCH("겉감",소재DB_RAW!$M$3:$M$2000))*ISERROR(SEARCH("drop",소재DB_RAW!$C$3:$C$2000))))),"")</f>
        <v/>
      </c>
      <c r="Z14" s="26">
        <f>IFERROR(TEXTJOIN(CHAR(10),TRUE,UNIQUE(FILTER(소재DB_RAW!$N$3:$N$2000&amp;") "&amp;소재DB_RAW!$O$3:$O$2000,(소재DB_RAW!$G$3:$G$2000=$D14)*ISNUMBER(SEARCH("안감",소재DB_RAW!$M$3:$M$2000))*ISERROR(SEARCH("drop",소재DB_RAW!$C$3:$C$2000))))),"")</f>
        <v/>
      </c>
      <c r="AA14" s="27" t="n">
        <v>2250</v>
      </c>
      <c r="AB14" s="27" t="n">
        <v>186752250</v>
      </c>
      <c r="AC14" s="27" t="n">
        <v>787500000</v>
      </c>
      <c r="AD14" s="20" t="n"/>
      <c r="AE14" s="20">
        <f>IF($K14="","출고일 미정",IF($Q14="X","작지 미발행",IF($Q14="부분","작지 일부 미발행",IF(AND($S14&lt;&gt;"",$S14&gt;$N14),"소재입고 마감("&amp;TEXT($N14,"MM/DD")&amp;") 초과",IF($Q14="","발행여부 확인 필요",IF($S14="","소재 입고일정 확인 필요","정상"))))))</f>
        <v/>
      </c>
      <c r="AF14" s="19">
        <f>IF($K14="","",IF(OR(LEFT($AE14,2)="작지",LEFT($AE14,4)="소재입고"),IF(LEFT($G14,1)="S","★ 납기위험(S코드)","◆ 지연주의"),IF($AE14="정상","✓ 정상","? 확인필요")))</f>
        <v/>
      </c>
      <c r="AG14" s="21" t="n"/>
      <c r="AH14" s="28" t="n"/>
    </row>
    <row r="15">
      <c r="A15" s="19" t="n">
        <v>11</v>
      </c>
      <c r="B15" s="20" t="inlineStr">
        <is>
          <t>최진민</t>
        </is>
      </c>
      <c r="C15" s="20" t="inlineStr">
        <is>
          <t>김지원</t>
        </is>
      </c>
      <c r="D15" s="20" t="inlineStr">
        <is>
          <t>JWJJS27021</t>
        </is>
      </c>
      <c r="E15" s="20" t="inlineStr">
        <is>
          <t>히어로 남성 스톰플리스 프로 LIGHT 소프트쉘 재킷</t>
        </is>
      </c>
      <c r="F15" s="20" t="inlineStr">
        <is>
          <t>DBU(D/BLUE), BLK(BLACK)</t>
        </is>
      </c>
      <c r="G15" s="19">
        <f>IF($D15="","",IF(MID($D15,5,1)="S","S(봄)",IF(MID($D15,5,1)="M","M(여름)",IF(MID($D15,5,1)="X","X(사계절)",MID($D15,5,1)))))</f>
        <v/>
      </c>
      <c r="H15" s="20" t="inlineStr">
        <is>
          <t>완사입</t>
        </is>
      </c>
      <c r="I15" s="19" t="inlineStr">
        <is>
          <t>S1</t>
        </is>
      </c>
      <c r="J15" s="21" t="inlineStr">
        <is>
          <t>1월2주</t>
        </is>
      </c>
      <c r="K15" s="22">
        <f>IF($J15="","",IFERROR(DATE(IF(VALUE(LEFT($J15,FIND("월",$J15)-1))&gt;=9,기준정보!$C$7-1,기준정보!$C$7),VALUE(LEFT($J15,FIND("월",$J15)-1)),1+7*(VALUE(SUBSTITUTE(MID($J15,FIND("월",$J15)+1,5),"주",""))-1)),""))</f>
        <v/>
      </c>
      <c r="L15" s="22">
        <f>IF($K15="","",IF(AND($K15-기준정보!$C$5&gt;=기준정보!$C$10,$K15-기준정보!$C$5&lt;=기준정보!$C$11),기준정보!$C$10-1,$K15-기준정보!$C$5))</f>
        <v/>
      </c>
      <c r="M15" s="23">
        <f>IF($L15="","",IF(OR(ISNUMBER(SEARCH("중국",$W15)),ISNUMBER(SEARCH("베트남",$W15))),MAX(0,MIN($L15,기준정보!$C$9)-MAX($L15-기준정보!$C$6,기준정보!$C$8)+1),IF(ISNUMBER(SEARCH("한국",$W15)),MAX(0,MIN($L15,기준정보!$C$11)-MAX($L15-기준정보!$C$6,기준정보!$C$10)+1),0)))</f>
        <v/>
      </c>
      <c r="N15" s="22">
        <f>IF($L15="","",$L15-기준정보!$C$6-$M15)</f>
        <v/>
      </c>
      <c r="O15" s="24">
        <f>IF($N15="","",$N15-기준정보!$C$4)</f>
        <v/>
      </c>
      <c r="P15" s="21" t="n"/>
      <c r="Q15" s="21" t="inlineStr">
        <is>
          <t>O</t>
        </is>
      </c>
      <c r="R15" s="19">
        <f>IF(COUNTIF(EDW_RAW!$A$2:$A$1500,$D15)=0,"",IF(COUNTIFS(EDW_RAW!$A$2:$A$1500,$D15,EDW_RAW!$U$2:$U$1500,"&lt;&gt;~",EDW_RAW!$U$2:$U$1500,"&lt;&gt;")=COUNTIF(EDW_RAW!$A$2:$A$1500,$D15),"O",IF(COUNTIFS(EDW_RAW!$A$2:$A$1500,$D15,EDW_RAW!$U$2:$U$1500,"&lt;&gt;~",EDW_RAW!$U$2:$U$1500,"&lt;&gt;")&gt;0,"부분","X")))</f>
        <v/>
      </c>
      <c r="S15" s="25" t="n"/>
      <c r="T15" s="20">
        <f>IF($H15="","",IF(AND(ISNUMBER(SEARCH("CMT",$H15)),OR(ISNUMBER(SEARCH("완사입",$H15)),ISNUMBER(SEARCH("ODM",$H15)))),"본사/생산처 혼재",IF(ISNUMBER(SEARCH("CMT",$H15)),"본사(소재팀)","생산처")))</f>
        <v/>
      </c>
      <c r="U15" s="20" t="inlineStr">
        <is>
          <t>원전</t>
        </is>
      </c>
      <c r="V15" s="20">
        <f>IFERROR(TEXTJOIN(" / ",TRUE,UNIQUE(FILTER(소재DB_RAW!$K$3:$K$2000,(소재DB_RAW!$G$3:$G$2000=$D15)*ISERROR(SEARCH("drop",소재DB_RAW!$C$3:$C$2000))))),"")</f>
        <v/>
      </c>
      <c r="W15" s="20" t="inlineStr">
        <is>
          <t>인도네시아</t>
        </is>
      </c>
      <c r="X15" s="20">
        <f>IFERROR(TEXTJOIN(" / ",TRUE,UNIQUE(FILTER(소재DB_RAW!$N$3:$N$2000,(소재DB_RAW!$G$3:$G$2000=$D15)*ISERROR(SEARCH("drop",소재DB_RAW!$C$3:$C$2000))))),"")</f>
        <v/>
      </c>
      <c r="Y15" s="26">
        <f>IFERROR(TEXTJOIN(CHAR(10),TRUE,UNIQUE(FILTER(소재DB_RAW!$N$3:$N$2000&amp;") "&amp;소재DB_RAW!$O$3:$O$2000,(소재DB_RAW!$G$3:$G$2000=$D15)*ISNUMBER(SEARCH("겉감",소재DB_RAW!$M$3:$M$2000))*ISERROR(SEARCH("drop",소재DB_RAW!$C$3:$C$2000))))),"")</f>
        <v/>
      </c>
      <c r="Z15" s="26">
        <f>IFERROR(TEXTJOIN(CHAR(10),TRUE,UNIQUE(FILTER(소재DB_RAW!$N$3:$N$2000&amp;") "&amp;소재DB_RAW!$O$3:$O$2000,(소재DB_RAW!$G$3:$G$2000=$D15)*ISNUMBER(SEARCH("안감",소재DB_RAW!$M$3:$M$2000))*ISERROR(SEARCH("drop",소재DB_RAW!$C$3:$C$2000))))),"")</f>
        <v/>
      </c>
      <c r="AA15" s="27" t="n">
        <v>3000</v>
      </c>
      <c r="AB15" s="27" t="n">
        <v>199377000</v>
      </c>
      <c r="AC15" s="27" t="n">
        <v>960000000</v>
      </c>
      <c r="AD15" s="20" t="n"/>
      <c r="AE15" s="20">
        <f>IF($K15="","출고일 미정",IF($Q15="X","작지 미발행",IF($Q15="부분","작지 일부 미발행",IF(AND($S15&lt;&gt;"",$S15&gt;$N15),"소재입고 마감("&amp;TEXT($N15,"MM/DD")&amp;") 초과",IF($Q15="","발행여부 확인 필요",IF($S15="","소재 입고일정 확인 필요","정상"))))))</f>
        <v/>
      </c>
      <c r="AF15" s="19">
        <f>IF($K15="","",IF(OR(LEFT($AE15,2)="작지",LEFT($AE15,4)="소재입고"),IF(LEFT($G15,1)="S","★ 납기위험(S코드)","◆ 지연주의"),IF($AE15="정상","✓ 정상","? 확인필요")))</f>
        <v/>
      </c>
      <c r="AG15" s="21" t="n"/>
      <c r="AH15" s="28" t="n"/>
    </row>
    <row r="16">
      <c r="A16" s="19" t="n">
        <v>12</v>
      </c>
      <c r="B16" s="20" t="inlineStr">
        <is>
          <t>최진민</t>
        </is>
      </c>
      <c r="C16" s="20" t="inlineStr">
        <is>
          <t>김지원</t>
        </is>
      </c>
      <c r="D16" s="20" t="inlineStr">
        <is>
          <t>JWPNS27061</t>
        </is>
      </c>
      <c r="E16" s="20" t="inlineStr">
        <is>
          <t>히어로 남성 스톰플리스 프로 LIGHT 소프트쉘 팬츠</t>
        </is>
      </c>
      <c r="F16" s="20" t="inlineStr">
        <is>
          <t>GBU(G/BLUE), BLK(BLACK)</t>
        </is>
      </c>
      <c r="G16" s="19">
        <f>IF($D16="","",IF(MID($D16,5,1)="S","S(봄)",IF(MID($D16,5,1)="M","M(여름)",IF(MID($D16,5,1)="X","X(사계절)",MID($D16,5,1)))))</f>
        <v/>
      </c>
      <c r="H16" s="20" t="inlineStr">
        <is>
          <t>완사입</t>
        </is>
      </c>
      <c r="I16" s="19" t="inlineStr">
        <is>
          <t>S1</t>
        </is>
      </c>
      <c r="J16" s="21" t="inlineStr">
        <is>
          <t>1월2주</t>
        </is>
      </c>
      <c r="K16" s="22">
        <f>IF($J16="","",IFERROR(DATE(IF(VALUE(LEFT($J16,FIND("월",$J16)-1))&gt;=9,기준정보!$C$7-1,기준정보!$C$7),VALUE(LEFT($J16,FIND("월",$J16)-1)),1+7*(VALUE(SUBSTITUTE(MID($J16,FIND("월",$J16)+1,5),"주",""))-1)),""))</f>
        <v/>
      </c>
      <c r="L16" s="22">
        <f>IF($K16="","",IF(AND($K16-기준정보!$C$5&gt;=기준정보!$C$10,$K16-기준정보!$C$5&lt;=기준정보!$C$11),기준정보!$C$10-1,$K16-기준정보!$C$5))</f>
        <v/>
      </c>
      <c r="M16" s="23">
        <f>IF($L16="","",IF(OR(ISNUMBER(SEARCH("중국",$W16)),ISNUMBER(SEARCH("베트남",$W16))),MAX(0,MIN($L16,기준정보!$C$9)-MAX($L16-기준정보!$C$6,기준정보!$C$8)+1),IF(ISNUMBER(SEARCH("한국",$W16)),MAX(0,MIN($L16,기준정보!$C$11)-MAX($L16-기준정보!$C$6,기준정보!$C$10)+1),0)))</f>
        <v/>
      </c>
      <c r="N16" s="22">
        <f>IF($L16="","",$L16-기준정보!$C$6-$M16)</f>
        <v/>
      </c>
      <c r="O16" s="24">
        <f>IF($N16="","",$N16-기준정보!$C$4)</f>
        <v/>
      </c>
      <c r="P16" s="21" t="n"/>
      <c r="Q16" s="21" t="inlineStr">
        <is>
          <t>O</t>
        </is>
      </c>
      <c r="R16" s="19">
        <f>IF(COUNTIF(EDW_RAW!$A$2:$A$1500,$D16)=0,"",IF(COUNTIFS(EDW_RAW!$A$2:$A$1500,$D16,EDW_RAW!$U$2:$U$1500,"&lt;&gt;~",EDW_RAW!$U$2:$U$1500,"&lt;&gt;")=COUNTIF(EDW_RAW!$A$2:$A$1500,$D16),"O",IF(COUNTIFS(EDW_RAW!$A$2:$A$1500,$D16,EDW_RAW!$U$2:$U$1500,"&lt;&gt;~",EDW_RAW!$U$2:$U$1500,"&lt;&gt;")&gt;0,"부분","X")))</f>
        <v/>
      </c>
      <c r="S16" s="25" t="n"/>
      <c r="T16" s="20">
        <f>IF($H16="","",IF(AND(ISNUMBER(SEARCH("CMT",$H16)),OR(ISNUMBER(SEARCH("완사입",$H16)),ISNUMBER(SEARCH("ODM",$H16)))),"본사/생산처 혼재",IF(ISNUMBER(SEARCH("CMT",$H16)),"본사(소재팀)","생산처")))</f>
        <v/>
      </c>
      <c r="U16" s="20" t="inlineStr">
        <is>
          <t>거림</t>
        </is>
      </c>
      <c r="V16" s="20">
        <f>IFERROR(TEXTJOIN(" / ",TRUE,UNIQUE(FILTER(소재DB_RAW!$K$3:$K$2000,(소재DB_RAW!$G$3:$G$2000=$D16)*ISERROR(SEARCH("drop",소재DB_RAW!$C$3:$C$2000))))),"")</f>
        <v/>
      </c>
      <c r="W16" s="20" t="inlineStr">
        <is>
          <t>베트남</t>
        </is>
      </c>
      <c r="X16" s="20">
        <f>IFERROR(TEXTJOIN(" / ",TRUE,UNIQUE(FILTER(소재DB_RAW!$N$3:$N$2000,(소재DB_RAW!$G$3:$G$2000=$D16)*ISERROR(SEARCH("drop",소재DB_RAW!$C$3:$C$2000))))),"")</f>
        <v/>
      </c>
      <c r="Y16" s="26">
        <f>IFERROR(TEXTJOIN(CHAR(10),TRUE,UNIQUE(FILTER(소재DB_RAW!$N$3:$N$2000&amp;") "&amp;소재DB_RAW!$O$3:$O$2000,(소재DB_RAW!$G$3:$G$2000=$D16)*ISNUMBER(SEARCH("겉감",소재DB_RAW!$M$3:$M$2000))*ISERROR(SEARCH("drop",소재DB_RAW!$C$3:$C$2000))))),"")</f>
        <v/>
      </c>
      <c r="Z16" s="26">
        <f>IFERROR(TEXTJOIN(CHAR(10),TRUE,UNIQUE(FILTER(소재DB_RAW!$N$3:$N$2000&amp;") "&amp;소재DB_RAW!$O$3:$O$2000,(소재DB_RAW!$G$3:$G$2000=$D16)*ISNUMBER(SEARCH("안감",소재DB_RAW!$M$3:$M$2000))*ISERROR(SEARCH("drop",소재DB_RAW!$C$3:$C$2000))))),"")</f>
        <v/>
      </c>
      <c r="AA16" s="27" t="n">
        <v>1100</v>
      </c>
      <c r="AB16" s="27" t="n">
        <v>61816700</v>
      </c>
      <c r="AC16" s="27" t="n">
        <v>297000000</v>
      </c>
      <c r="AD16" s="20" t="n"/>
      <c r="AE16" s="20">
        <f>IF($K16="","출고일 미정",IF($Q16="X","작지 미발행",IF($Q16="부분","작지 일부 미발행",IF(AND($S16&lt;&gt;"",$S16&gt;$N16),"소재입고 마감("&amp;TEXT($N16,"MM/DD")&amp;") 초과",IF($Q16="","발행여부 확인 필요",IF($S16="","소재 입고일정 확인 필요","정상"))))))</f>
        <v/>
      </c>
      <c r="AF16" s="19">
        <f>IF($K16="","",IF(OR(LEFT($AE16,2)="작지",LEFT($AE16,4)="소재입고"),IF(LEFT($G16,1)="S","★ 납기위험(S코드)","◆ 지연주의"),IF($AE16="정상","✓ 정상","? 확인필요")))</f>
        <v/>
      </c>
      <c r="AG16" s="21" t="n"/>
      <c r="AH16" s="28" t="n"/>
    </row>
    <row r="17">
      <c r="A17" s="19" t="n">
        <v>13</v>
      </c>
      <c r="B17" s="20" t="inlineStr">
        <is>
          <t>최진민</t>
        </is>
      </c>
      <c r="C17" s="20" t="inlineStr">
        <is>
          <t>김지원</t>
        </is>
      </c>
      <c r="D17" s="20" t="inlineStr">
        <is>
          <t>JWPNS27071</t>
        </is>
      </c>
      <c r="E17" s="20" t="inlineStr">
        <is>
          <t>히어로 남성 클라이밍 팬츠</t>
        </is>
      </c>
      <c r="F17" s="20" t="inlineStr">
        <is>
          <t>DGY-1, BLK(BLACK)</t>
        </is>
      </c>
      <c r="G17" s="19">
        <f>IF($D17="","",IF(MID($D17,5,1)="S","S(봄)",IF(MID($D17,5,1)="M","M(여름)",IF(MID($D17,5,1)="X","X(사계절)",MID($D17,5,1)))))</f>
        <v/>
      </c>
      <c r="H17" s="20" t="inlineStr">
        <is>
          <t>완사입</t>
        </is>
      </c>
      <c r="I17" s="19" t="inlineStr">
        <is>
          <t>S1</t>
        </is>
      </c>
      <c r="J17" s="21" t="inlineStr">
        <is>
          <t>1월2주</t>
        </is>
      </c>
      <c r="K17" s="22">
        <f>IF($J17="","",IFERROR(DATE(IF(VALUE(LEFT($J17,FIND("월",$J17)-1))&gt;=9,기준정보!$C$7-1,기준정보!$C$7),VALUE(LEFT($J17,FIND("월",$J17)-1)),1+7*(VALUE(SUBSTITUTE(MID($J17,FIND("월",$J17)+1,5),"주",""))-1)),""))</f>
        <v/>
      </c>
      <c r="L17" s="22">
        <f>IF($K17="","",IF(AND($K17-기준정보!$C$5&gt;=기준정보!$C$10,$K17-기준정보!$C$5&lt;=기준정보!$C$11),기준정보!$C$10-1,$K17-기준정보!$C$5))</f>
        <v/>
      </c>
      <c r="M17" s="23">
        <f>IF($L17="","",IF(OR(ISNUMBER(SEARCH("중국",$W17)),ISNUMBER(SEARCH("베트남",$W17))),MAX(0,MIN($L17,기준정보!$C$9)-MAX($L17-기준정보!$C$6,기준정보!$C$8)+1),IF(ISNUMBER(SEARCH("한국",$W17)),MAX(0,MIN($L17,기준정보!$C$11)-MAX($L17-기준정보!$C$6,기준정보!$C$10)+1),0)))</f>
        <v/>
      </c>
      <c r="N17" s="22">
        <f>IF($L17="","",$L17-기준정보!$C$6-$M17)</f>
        <v/>
      </c>
      <c r="O17" s="24">
        <f>IF($N17="","",$N17-기준정보!$C$4)</f>
        <v/>
      </c>
      <c r="P17" s="21" t="n"/>
      <c r="Q17" s="21" t="inlineStr">
        <is>
          <t>O</t>
        </is>
      </c>
      <c r="R17" s="19">
        <f>IF(COUNTIF(EDW_RAW!$A$2:$A$1500,$D17)=0,"",IF(COUNTIFS(EDW_RAW!$A$2:$A$1500,$D17,EDW_RAW!$U$2:$U$1500,"&lt;&gt;~",EDW_RAW!$U$2:$U$1500,"&lt;&gt;")=COUNTIF(EDW_RAW!$A$2:$A$1500,$D17),"O",IF(COUNTIFS(EDW_RAW!$A$2:$A$1500,$D17,EDW_RAW!$U$2:$U$1500,"&lt;&gt;~",EDW_RAW!$U$2:$U$1500,"&lt;&gt;")&gt;0,"부분","X")))</f>
        <v/>
      </c>
      <c r="S17" s="25" t="n"/>
      <c r="T17" s="20">
        <f>IF($H17="","",IF(AND(ISNUMBER(SEARCH("CMT",$H17)),OR(ISNUMBER(SEARCH("완사입",$H17)),ISNUMBER(SEARCH("ODM",$H17)))),"본사/생산처 혼재",IF(ISNUMBER(SEARCH("CMT",$H17)),"본사(소재팀)","생산처")))</f>
        <v/>
      </c>
      <c r="U17" s="20" t="inlineStr">
        <is>
          <t>거림</t>
        </is>
      </c>
      <c r="V17" s="20">
        <f>IFERROR(TEXTJOIN(" / ",TRUE,UNIQUE(FILTER(소재DB_RAW!$K$3:$K$2000,(소재DB_RAW!$G$3:$G$2000=$D17)*ISERROR(SEARCH("drop",소재DB_RAW!$C$3:$C$2000))))),"")</f>
        <v/>
      </c>
      <c r="W17" s="20" t="inlineStr">
        <is>
          <t>베트남</t>
        </is>
      </c>
      <c r="X17" s="20">
        <f>IFERROR(TEXTJOIN(" / ",TRUE,UNIQUE(FILTER(소재DB_RAW!$N$3:$N$2000,(소재DB_RAW!$G$3:$G$2000=$D17)*ISERROR(SEARCH("drop",소재DB_RAW!$C$3:$C$2000))))),"")</f>
        <v/>
      </c>
      <c r="Y17" s="26">
        <f>IFERROR(TEXTJOIN(CHAR(10),TRUE,UNIQUE(FILTER(소재DB_RAW!$N$3:$N$2000&amp;") "&amp;소재DB_RAW!$O$3:$O$2000,(소재DB_RAW!$G$3:$G$2000=$D17)*ISNUMBER(SEARCH("겉감",소재DB_RAW!$M$3:$M$2000))*ISERROR(SEARCH("drop",소재DB_RAW!$C$3:$C$2000))))),"")</f>
        <v/>
      </c>
      <c r="Z17" s="26">
        <f>IFERROR(TEXTJOIN(CHAR(10),TRUE,UNIQUE(FILTER(소재DB_RAW!$N$3:$N$2000&amp;") "&amp;소재DB_RAW!$O$3:$O$2000,(소재DB_RAW!$G$3:$G$2000=$D17)*ISNUMBER(SEARCH("안감",소재DB_RAW!$M$3:$M$2000))*ISERROR(SEARCH("drop",소재DB_RAW!$C$3:$C$2000))))),"")</f>
        <v/>
      </c>
      <c r="AA17" s="27" t="n">
        <v>300</v>
      </c>
      <c r="AB17" s="27" t="n">
        <v>25478700</v>
      </c>
      <c r="AC17" s="27" t="n">
        <v>96000000</v>
      </c>
      <c r="AD17" s="20" t="n"/>
      <c r="AE17" s="20">
        <f>IF($K17="","출고일 미정",IF($Q17="X","작지 미발행",IF($Q17="부분","작지 일부 미발행",IF(AND($S17&lt;&gt;"",$S17&gt;$N17),"소재입고 마감("&amp;TEXT($N17,"MM/DD")&amp;") 초과",IF($Q17="","발행여부 확인 필요",IF($S17="","소재 입고일정 확인 필요","정상"))))))</f>
        <v/>
      </c>
      <c r="AF17" s="19">
        <f>IF($K17="","",IF(OR(LEFT($AE17,2)="작지",LEFT($AE17,4)="소재입고"),IF(LEFT($G17,1)="S","★ 납기위험(S코드)","◆ 지연주의"),IF($AE17="정상","✓ 정상","? 확인필요")))</f>
        <v/>
      </c>
      <c r="AG17" s="21" t="n"/>
      <c r="AH17" s="28" t="n"/>
    </row>
    <row r="18">
      <c r="A18" s="19" t="n">
        <v>14</v>
      </c>
      <c r="B18" s="20" t="inlineStr">
        <is>
          <t>최진민</t>
        </is>
      </c>
      <c r="C18" s="20" t="inlineStr">
        <is>
          <t>김지원</t>
        </is>
      </c>
      <c r="D18" s="20" t="inlineStr">
        <is>
          <t>JWTBS27057</t>
        </is>
      </c>
      <c r="E18" s="20" t="inlineStr">
        <is>
          <t>히어로 남성 니트도트 긴팔 라운드티</t>
        </is>
      </c>
      <c r="F18" s="20" t="inlineStr">
        <is>
          <t>DBU(D/BLUE), BLK(BLACK)</t>
        </is>
      </c>
      <c r="G18" s="19">
        <f>IF($D18="","",IF(MID($D18,5,1)="S","S(봄)",IF(MID($D18,5,1)="M","M(여름)",IF(MID($D18,5,1)="X","X(사계절)",MID($D18,5,1)))))</f>
        <v/>
      </c>
      <c r="H18" s="20" t="inlineStr">
        <is>
          <t>완사입</t>
        </is>
      </c>
      <c r="I18" s="19" t="inlineStr">
        <is>
          <t>S1</t>
        </is>
      </c>
      <c r="J18" s="21" t="inlineStr">
        <is>
          <t>1월2주</t>
        </is>
      </c>
      <c r="K18" s="22">
        <f>IF($J18="","",IFERROR(DATE(IF(VALUE(LEFT($J18,FIND("월",$J18)-1))&gt;=9,기준정보!$C$7-1,기준정보!$C$7),VALUE(LEFT($J18,FIND("월",$J18)-1)),1+7*(VALUE(SUBSTITUTE(MID($J18,FIND("월",$J18)+1,5),"주",""))-1)),""))</f>
        <v/>
      </c>
      <c r="L18" s="22">
        <f>IF($K18="","",IF(AND($K18-기준정보!$C$5&gt;=기준정보!$C$10,$K18-기준정보!$C$5&lt;=기준정보!$C$11),기준정보!$C$10-1,$K18-기준정보!$C$5))</f>
        <v/>
      </c>
      <c r="M18" s="23">
        <f>IF($L18="","",IF(OR(ISNUMBER(SEARCH("중국",$W18)),ISNUMBER(SEARCH("베트남",$W18))),MAX(0,MIN($L18,기준정보!$C$9)-MAX($L18-기준정보!$C$6,기준정보!$C$8)+1),IF(ISNUMBER(SEARCH("한국",$W18)),MAX(0,MIN($L18,기준정보!$C$11)-MAX($L18-기준정보!$C$6,기준정보!$C$10)+1),0)))</f>
        <v/>
      </c>
      <c r="N18" s="22">
        <f>IF($L18="","",$L18-기준정보!$C$6-$M18)</f>
        <v/>
      </c>
      <c r="O18" s="24">
        <f>IF($N18="","",$N18-기준정보!$C$4)</f>
        <v/>
      </c>
      <c r="P18" s="21" t="n"/>
      <c r="Q18" s="21" t="inlineStr">
        <is>
          <t>O</t>
        </is>
      </c>
      <c r="R18" s="19">
        <f>IF(COUNTIF(EDW_RAW!$A$2:$A$1500,$D18)=0,"",IF(COUNTIFS(EDW_RAW!$A$2:$A$1500,$D18,EDW_RAW!$U$2:$U$1500,"&lt;&gt;~",EDW_RAW!$U$2:$U$1500,"&lt;&gt;")=COUNTIF(EDW_RAW!$A$2:$A$1500,$D18),"O",IF(COUNTIFS(EDW_RAW!$A$2:$A$1500,$D18,EDW_RAW!$U$2:$U$1500,"&lt;&gt;~",EDW_RAW!$U$2:$U$1500,"&lt;&gt;")&gt;0,"부분","X")))</f>
        <v/>
      </c>
      <c r="S18" s="25" t="n"/>
      <c r="T18" s="20">
        <f>IF($H18="","",IF(AND(ISNUMBER(SEARCH("CMT",$H18)),OR(ISNUMBER(SEARCH("완사입",$H18)),ISNUMBER(SEARCH("ODM",$H18)))),"본사/생산처 혼재",IF(ISNUMBER(SEARCH("CMT",$H18)),"본사(소재팀)","생산처")))</f>
        <v/>
      </c>
      <c r="U18" s="20" t="inlineStr">
        <is>
          <t>태화</t>
        </is>
      </c>
      <c r="V18" s="20">
        <f>IFERROR(TEXTJOIN(" / ",TRUE,UNIQUE(FILTER(소재DB_RAW!$K$3:$K$2000,(소재DB_RAW!$G$3:$G$2000=$D18)*ISERROR(SEARCH("drop",소재DB_RAW!$C$3:$C$2000))))),"")</f>
        <v/>
      </c>
      <c r="W18" s="20" t="inlineStr">
        <is>
          <t>베트남</t>
        </is>
      </c>
      <c r="X18" s="20">
        <f>IFERROR(TEXTJOIN(" / ",TRUE,UNIQUE(FILTER(소재DB_RAW!$N$3:$N$2000,(소재DB_RAW!$G$3:$G$2000=$D18)*ISERROR(SEARCH("drop",소재DB_RAW!$C$3:$C$2000))))),"")</f>
        <v/>
      </c>
      <c r="Y18" s="26">
        <f>IFERROR(TEXTJOIN(CHAR(10),TRUE,UNIQUE(FILTER(소재DB_RAW!$N$3:$N$2000&amp;") "&amp;소재DB_RAW!$O$3:$O$2000,(소재DB_RAW!$G$3:$G$2000=$D18)*ISNUMBER(SEARCH("겉감",소재DB_RAW!$M$3:$M$2000))*ISERROR(SEARCH("drop",소재DB_RAW!$C$3:$C$2000))))),"")</f>
        <v/>
      </c>
      <c r="Z18" s="26">
        <f>IFERROR(TEXTJOIN(CHAR(10),TRUE,UNIQUE(FILTER(소재DB_RAW!$N$3:$N$2000&amp;") "&amp;소재DB_RAW!$O$3:$O$2000,(소재DB_RAW!$G$3:$G$2000=$D18)*ISNUMBER(SEARCH("안감",소재DB_RAW!$M$3:$M$2000))*ISERROR(SEARCH("drop",소재DB_RAW!$C$3:$C$2000))))),"")</f>
        <v/>
      </c>
      <c r="AA18" s="27" t="n">
        <v>300</v>
      </c>
      <c r="AB18" s="27" t="n">
        <v>8055900</v>
      </c>
      <c r="AC18" s="27" t="n">
        <v>41400000</v>
      </c>
      <c r="AD18" s="20" t="n"/>
      <c r="AE18" s="20">
        <f>IF($K18="","출고일 미정",IF($Q18="X","작지 미발행",IF($Q18="부분","작지 일부 미발행",IF(AND($S18&lt;&gt;"",$S18&gt;$N18),"소재입고 마감("&amp;TEXT($N18,"MM/DD")&amp;") 초과",IF($Q18="","발행여부 확인 필요",IF($S18="","소재 입고일정 확인 필요","정상"))))))</f>
        <v/>
      </c>
      <c r="AF18" s="19">
        <f>IF($K18="","",IF(OR(LEFT($AE18,2)="작지",LEFT($AE18,4)="소재입고"),IF(LEFT($G18,1)="S","★ 납기위험(S코드)","◆ 지연주의"),IF($AE18="정상","✓ 정상","? 확인필요")))</f>
        <v/>
      </c>
      <c r="AG18" s="21" t="n"/>
      <c r="AH18" s="28" t="n"/>
    </row>
    <row r="19">
      <c r="A19" s="19" t="n">
        <v>15</v>
      </c>
      <c r="B19" s="20" t="inlineStr">
        <is>
          <t>김준래</t>
        </is>
      </c>
      <c r="C19" s="20" t="inlineStr">
        <is>
          <t>권혁일</t>
        </is>
      </c>
      <c r="D19" s="20" t="inlineStr">
        <is>
          <t>TLTBS27511</t>
        </is>
      </c>
      <c r="E19" s="20" t="inlineStr">
        <is>
          <t>남성 베이직 폴로 긴팔 티셔츠</t>
        </is>
      </c>
      <c r="F19" s="20" t="inlineStr">
        <is>
          <t>LLA-1, CIN(CINDER), DGY-3</t>
        </is>
      </c>
      <c r="G19" s="19">
        <f>IF($D19="","",IF(MID($D19,5,1)="S","S(봄)",IF(MID($D19,5,1)="M","M(여름)",IF(MID($D19,5,1)="X","X(사계절)",MID($D19,5,1)))))</f>
        <v/>
      </c>
      <c r="H19" s="20" t="inlineStr">
        <is>
          <t>ODM</t>
        </is>
      </c>
      <c r="I19" s="19" t="inlineStr"/>
      <c r="J19" s="21" t="inlineStr">
        <is>
          <t>1월2주</t>
        </is>
      </c>
      <c r="K19" s="22">
        <f>IF($J19="","",IFERROR(DATE(IF(VALUE(LEFT($J19,FIND("월",$J19)-1))&gt;=9,기준정보!$C$7-1,기준정보!$C$7),VALUE(LEFT($J19,FIND("월",$J19)-1)),1+7*(VALUE(SUBSTITUTE(MID($J19,FIND("월",$J19)+1,5),"주",""))-1)),""))</f>
        <v/>
      </c>
      <c r="L19" s="22">
        <f>IF($K19="","",IF(AND($K19-기준정보!$C$5&gt;=기준정보!$C$10,$K19-기준정보!$C$5&lt;=기준정보!$C$11),기준정보!$C$10-1,$K19-기준정보!$C$5))</f>
        <v/>
      </c>
      <c r="M19" s="23">
        <f>IF($L19="","",IF(OR(ISNUMBER(SEARCH("중국",$W19)),ISNUMBER(SEARCH("베트남",$W19))),MAX(0,MIN($L19,기준정보!$C$9)-MAX($L19-기준정보!$C$6,기준정보!$C$8)+1),IF(ISNUMBER(SEARCH("한국",$W19)),MAX(0,MIN($L19,기준정보!$C$11)-MAX($L19-기준정보!$C$6,기준정보!$C$10)+1),0)))</f>
        <v/>
      </c>
      <c r="N19" s="22">
        <f>IF($L19="","",$L19-기준정보!$C$6-$M19)</f>
        <v/>
      </c>
      <c r="O19" s="24">
        <f>IF($N19="","",$N19-기준정보!$C$4)</f>
        <v/>
      </c>
      <c r="P19" s="21" t="n"/>
      <c r="Q19" s="21" t="inlineStr">
        <is>
          <t>O</t>
        </is>
      </c>
      <c r="R19" s="19">
        <f>IF(COUNTIF(EDW_RAW!$A$2:$A$1500,$D19)=0,"",IF(COUNTIFS(EDW_RAW!$A$2:$A$1500,$D19,EDW_RAW!$U$2:$U$1500,"&lt;&gt;~",EDW_RAW!$U$2:$U$1500,"&lt;&gt;")=COUNTIF(EDW_RAW!$A$2:$A$1500,$D19),"O",IF(COUNTIFS(EDW_RAW!$A$2:$A$1500,$D19,EDW_RAW!$U$2:$U$1500,"&lt;&gt;~",EDW_RAW!$U$2:$U$1500,"&lt;&gt;")&gt;0,"부분","X")))</f>
        <v/>
      </c>
      <c r="S19" s="25" t="n"/>
      <c r="T19" s="20">
        <f>IF($H19="","",IF(AND(ISNUMBER(SEARCH("CMT",$H19)),OR(ISNUMBER(SEARCH("완사입",$H19)),ISNUMBER(SEARCH("ODM",$H19)))),"본사/생산처 혼재",IF(ISNUMBER(SEARCH("CMT",$H19)),"본사(소재팀)","생산처")))</f>
        <v/>
      </c>
      <c r="U19" s="20" t="inlineStr">
        <is>
          <t>TESSELLATION</t>
        </is>
      </c>
      <c r="V19" s="20">
        <f>IFERROR(TEXTJOIN(" / ",TRUE,UNIQUE(FILTER(소재DB_RAW!$K$3:$K$2000,(소재DB_RAW!$G$3:$G$2000=$D19)*ISERROR(SEARCH("drop",소재DB_RAW!$C$3:$C$2000))))),"")</f>
        <v/>
      </c>
      <c r="W19" s="20" t="inlineStr">
        <is>
          <t>중국</t>
        </is>
      </c>
      <c r="X19" s="20">
        <f>IFERROR(TEXTJOIN(" / ",TRUE,UNIQUE(FILTER(소재DB_RAW!$N$3:$N$2000,(소재DB_RAW!$G$3:$G$2000=$D19)*ISERROR(SEARCH("drop",소재DB_RAW!$C$3:$C$2000))))),"")</f>
        <v/>
      </c>
      <c r="Y19" s="26">
        <f>IFERROR(TEXTJOIN(CHAR(10),TRUE,UNIQUE(FILTER(소재DB_RAW!$N$3:$N$2000&amp;") "&amp;소재DB_RAW!$O$3:$O$2000,(소재DB_RAW!$G$3:$G$2000=$D19)*ISNUMBER(SEARCH("겉감",소재DB_RAW!$M$3:$M$2000))*ISERROR(SEARCH("drop",소재DB_RAW!$C$3:$C$2000))))),"")</f>
        <v/>
      </c>
      <c r="Z19" s="26">
        <f>IFERROR(TEXTJOIN(CHAR(10),TRUE,UNIQUE(FILTER(소재DB_RAW!$N$3:$N$2000&amp;") "&amp;소재DB_RAW!$O$3:$O$2000,(소재DB_RAW!$G$3:$G$2000=$D19)*ISNUMBER(SEARCH("안감",소재DB_RAW!$M$3:$M$2000))*ISERROR(SEARCH("drop",소재DB_RAW!$C$3:$C$2000))))),"")</f>
        <v/>
      </c>
      <c r="AA19" s="27" t="n">
        <v>8000</v>
      </c>
      <c r="AB19" s="27" t="n">
        <v>188464000</v>
      </c>
      <c r="AC19" s="27" t="n">
        <v>1024000000</v>
      </c>
      <c r="AD19" s="20" t="n"/>
      <c r="AE19" s="20">
        <f>IF($K19="","출고일 미정",IF($Q19="X","작지 미발행",IF($Q19="부분","작지 일부 미발행",IF(AND($S19&lt;&gt;"",$S19&gt;$N19),"소재입고 마감("&amp;TEXT($N19,"MM/DD")&amp;") 초과",IF($Q19="","발행여부 확인 필요",IF($S19="","소재 입고일정 확인 필요","정상"))))))</f>
        <v/>
      </c>
      <c r="AF19" s="19">
        <f>IF($K19="","",IF(OR(LEFT($AE19,2)="작지",LEFT($AE19,4)="소재입고"),IF(LEFT($G19,1)="S","★ 납기위험(S코드)","◆ 지연주의"),IF($AE19="정상","✓ 정상","? 확인필요")))</f>
        <v/>
      </c>
      <c r="AG19" s="21" t="n"/>
      <c r="AH19" s="28" t="n"/>
    </row>
    <row r="20">
      <c r="A20" s="19" t="n">
        <v>16</v>
      </c>
      <c r="B20" s="20" t="inlineStr">
        <is>
          <t>김준래</t>
        </is>
      </c>
      <c r="C20" s="20" t="inlineStr">
        <is>
          <t>권혁일</t>
        </is>
      </c>
      <c r="D20" s="20" t="inlineStr">
        <is>
          <t>TLTBS27571</t>
        </is>
      </c>
      <c r="E20" s="20" t="inlineStr">
        <is>
          <t>춘절 남성 니트 폴로 긴팔 티셔츠</t>
        </is>
      </c>
      <c r="F20" s="20" t="inlineStr">
        <is>
          <t>BLK(BLACK), LAK(LAKE)</t>
        </is>
      </c>
      <c r="G20" s="19">
        <f>IF($D20="","",IF(MID($D20,5,1)="S","S(봄)",IF(MID($D20,5,1)="M","M(여름)",IF(MID($D20,5,1)="X","X(사계절)",MID($D20,5,1)))))</f>
        <v/>
      </c>
      <c r="H20" s="20" t="inlineStr">
        <is>
          <t>완사입</t>
        </is>
      </c>
      <c r="I20" s="19" t="inlineStr"/>
      <c r="J20" s="21" t="inlineStr">
        <is>
          <t>1월2주</t>
        </is>
      </c>
      <c r="K20" s="22">
        <f>IF($J20="","",IFERROR(DATE(IF(VALUE(LEFT($J20,FIND("월",$J20)-1))&gt;=9,기준정보!$C$7-1,기준정보!$C$7),VALUE(LEFT($J20,FIND("월",$J20)-1)),1+7*(VALUE(SUBSTITUTE(MID($J20,FIND("월",$J20)+1,5),"주",""))-1)),""))</f>
        <v/>
      </c>
      <c r="L20" s="22">
        <f>IF($K20="","",IF(AND($K20-기준정보!$C$5&gt;=기준정보!$C$10,$K20-기준정보!$C$5&lt;=기준정보!$C$11),기준정보!$C$10-1,$K20-기준정보!$C$5))</f>
        <v/>
      </c>
      <c r="M20" s="23">
        <f>IF($L20="","",IF(OR(ISNUMBER(SEARCH("중국",$W20)),ISNUMBER(SEARCH("베트남",$W20))),MAX(0,MIN($L20,기준정보!$C$9)-MAX($L20-기준정보!$C$6,기준정보!$C$8)+1),IF(ISNUMBER(SEARCH("한국",$W20)),MAX(0,MIN($L20,기준정보!$C$11)-MAX($L20-기준정보!$C$6,기준정보!$C$10)+1),0)))</f>
        <v/>
      </c>
      <c r="N20" s="22">
        <f>IF($L20="","",$L20-기준정보!$C$6-$M20)</f>
        <v/>
      </c>
      <c r="O20" s="24">
        <f>IF($N20="","",$N20-기준정보!$C$4)</f>
        <v/>
      </c>
      <c r="P20" s="21" t="n"/>
      <c r="Q20" s="21" t="inlineStr">
        <is>
          <t>O</t>
        </is>
      </c>
      <c r="R20" s="19">
        <f>IF(COUNTIF(EDW_RAW!$A$2:$A$1500,$D20)=0,"",IF(COUNTIFS(EDW_RAW!$A$2:$A$1500,$D20,EDW_RAW!$U$2:$U$1500,"&lt;&gt;~",EDW_RAW!$U$2:$U$1500,"&lt;&gt;")=COUNTIF(EDW_RAW!$A$2:$A$1500,$D20),"O",IF(COUNTIFS(EDW_RAW!$A$2:$A$1500,$D20,EDW_RAW!$U$2:$U$1500,"&lt;&gt;~",EDW_RAW!$U$2:$U$1500,"&lt;&gt;")&gt;0,"부분","X")))</f>
        <v/>
      </c>
      <c r="S20" s="25" t="n"/>
      <c r="T20" s="20">
        <f>IF($H20="","",IF(AND(ISNUMBER(SEARCH("CMT",$H20)),OR(ISNUMBER(SEARCH("완사입",$H20)),ISNUMBER(SEARCH("ODM",$H20)))),"본사/생산처 혼재",IF(ISNUMBER(SEARCH("CMT",$H20)),"본사(소재팀)","생산처")))</f>
        <v/>
      </c>
      <c r="U20" s="20" t="inlineStr">
        <is>
          <t>어필코리아</t>
        </is>
      </c>
      <c r="V20" s="20">
        <f>IFERROR(TEXTJOIN(" / ",TRUE,UNIQUE(FILTER(소재DB_RAW!$K$3:$K$2000,(소재DB_RAW!$G$3:$G$2000=$D20)*ISERROR(SEARCH("drop",소재DB_RAW!$C$3:$C$2000))))),"")</f>
        <v/>
      </c>
      <c r="W20" s="20" t="inlineStr">
        <is>
          <t>베트남</t>
        </is>
      </c>
      <c r="X20" s="20">
        <f>IFERROR(TEXTJOIN(" / ",TRUE,UNIQUE(FILTER(소재DB_RAW!$N$3:$N$2000,(소재DB_RAW!$G$3:$G$2000=$D20)*ISERROR(SEARCH("drop",소재DB_RAW!$C$3:$C$2000))))),"")</f>
        <v/>
      </c>
      <c r="Y20" s="26">
        <f>IFERROR(TEXTJOIN(CHAR(10),TRUE,UNIQUE(FILTER(소재DB_RAW!$N$3:$N$2000&amp;") "&amp;소재DB_RAW!$O$3:$O$2000,(소재DB_RAW!$G$3:$G$2000=$D20)*ISNUMBER(SEARCH("겉감",소재DB_RAW!$M$3:$M$2000))*ISERROR(SEARCH("drop",소재DB_RAW!$C$3:$C$2000))))),"")</f>
        <v/>
      </c>
      <c r="Z20" s="26">
        <f>IFERROR(TEXTJOIN(CHAR(10),TRUE,UNIQUE(FILTER(소재DB_RAW!$N$3:$N$2000&amp;") "&amp;소재DB_RAW!$O$3:$O$2000,(소재DB_RAW!$G$3:$G$2000=$D20)*ISNUMBER(SEARCH("안감",소재DB_RAW!$M$3:$M$2000))*ISERROR(SEARCH("drop",소재DB_RAW!$C$3:$C$2000))))),"")</f>
        <v/>
      </c>
      <c r="AA20" s="27" t="n">
        <v>2000</v>
      </c>
      <c r="AB20" s="27" t="n">
        <v>106628000</v>
      </c>
      <c r="AC20" s="27" t="n">
        <v>440000000</v>
      </c>
      <c r="AD20" s="20" t="inlineStr">
        <is>
          <t>1월2주</t>
        </is>
      </c>
      <c r="AE20" s="20">
        <f>IF($K20="","출고일 미정",IF($Q20="X","작지 미발행",IF($Q20="부분","작지 일부 미발행",IF(AND($S20&lt;&gt;"",$S20&gt;$N20),"소재입고 마감("&amp;TEXT($N20,"MM/DD")&amp;") 초과",IF($Q20="","발행여부 확인 필요",IF($S20="","소재 입고일정 확인 필요","정상"))))))</f>
        <v/>
      </c>
      <c r="AF20" s="19">
        <f>IF($K20="","",IF(OR(LEFT($AE20,2)="작지",LEFT($AE20,4)="소재입고"),IF(LEFT($G20,1)="S","★ 납기위험(S코드)","◆ 지연주의"),IF($AE20="정상","✓ 정상","? 확인필요")))</f>
        <v/>
      </c>
      <c r="AG20" s="21" t="n"/>
      <c r="AH20" s="28" t="n"/>
    </row>
    <row r="21">
      <c r="A21" s="19" t="n">
        <v>17</v>
      </c>
      <c r="B21" s="20" t="inlineStr">
        <is>
          <t>김준래</t>
        </is>
      </c>
      <c r="C21" s="20" t="inlineStr">
        <is>
          <t>권혁일</t>
        </is>
      </c>
      <c r="D21" s="20" t="inlineStr">
        <is>
          <t>TVTBS27548</t>
        </is>
      </c>
      <c r="E21" s="20" t="inlineStr">
        <is>
          <t>여성 베이직 폴로 긴팔 티셔츠</t>
        </is>
      </c>
      <c r="F21" s="20" t="inlineStr">
        <is>
          <t>IVO(IVORY), LPI, NAY</t>
        </is>
      </c>
      <c r="G21" s="19">
        <f>IF($D21="","",IF(MID($D21,5,1)="S","S(봄)",IF(MID($D21,5,1)="M","M(여름)",IF(MID($D21,5,1)="X","X(사계절)",MID($D21,5,1)))))</f>
        <v/>
      </c>
      <c r="H21" s="20" t="inlineStr">
        <is>
          <t>ODM</t>
        </is>
      </c>
      <c r="I21" s="19" t="inlineStr"/>
      <c r="J21" s="21" t="inlineStr">
        <is>
          <t>1월2주</t>
        </is>
      </c>
      <c r="K21" s="22">
        <f>IF($J21="","",IFERROR(DATE(IF(VALUE(LEFT($J21,FIND("월",$J21)-1))&gt;=9,기준정보!$C$7-1,기준정보!$C$7),VALUE(LEFT($J21,FIND("월",$J21)-1)),1+7*(VALUE(SUBSTITUTE(MID($J21,FIND("월",$J21)+1,5),"주",""))-1)),""))</f>
        <v/>
      </c>
      <c r="L21" s="22">
        <f>IF($K21="","",IF(AND($K21-기준정보!$C$5&gt;=기준정보!$C$10,$K21-기준정보!$C$5&lt;=기준정보!$C$11),기준정보!$C$10-1,$K21-기준정보!$C$5))</f>
        <v/>
      </c>
      <c r="M21" s="23">
        <f>IF($L21="","",IF(OR(ISNUMBER(SEARCH("중국",$W21)),ISNUMBER(SEARCH("베트남",$W21))),MAX(0,MIN($L21,기준정보!$C$9)-MAX($L21-기준정보!$C$6,기준정보!$C$8)+1),IF(ISNUMBER(SEARCH("한국",$W21)),MAX(0,MIN($L21,기준정보!$C$11)-MAX($L21-기준정보!$C$6,기준정보!$C$10)+1),0)))</f>
        <v/>
      </c>
      <c r="N21" s="22">
        <f>IF($L21="","",$L21-기준정보!$C$6-$M21)</f>
        <v/>
      </c>
      <c r="O21" s="24">
        <f>IF($N21="","",$N21-기준정보!$C$4)</f>
        <v/>
      </c>
      <c r="P21" s="21" t="n"/>
      <c r="Q21" s="21" t="inlineStr">
        <is>
          <t>O</t>
        </is>
      </c>
      <c r="R21" s="19">
        <f>IF(COUNTIF(EDW_RAW!$A$2:$A$1500,$D21)=0,"",IF(COUNTIFS(EDW_RAW!$A$2:$A$1500,$D21,EDW_RAW!$U$2:$U$1500,"&lt;&gt;~",EDW_RAW!$U$2:$U$1500,"&lt;&gt;")=COUNTIF(EDW_RAW!$A$2:$A$1500,$D21),"O",IF(COUNTIFS(EDW_RAW!$A$2:$A$1500,$D21,EDW_RAW!$U$2:$U$1500,"&lt;&gt;~",EDW_RAW!$U$2:$U$1500,"&lt;&gt;")&gt;0,"부분","X")))</f>
        <v/>
      </c>
      <c r="S21" s="25" t="n"/>
      <c r="T21" s="20">
        <f>IF($H21="","",IF(AND(ISNUMBER(SEARCH("CMT",$H21)),OR(ISNUMBER(SEARCH("완사입",$H21)),ISNUMBER(SEARCH("ODM",$H21)))),"본사/생산처 혼재",IF(ISNUMBER(SEARCH("CMT",$H21)),"본사(소재팀)","생산처")))</f>
        <v/>
      </c>
      <c r="U21" s="20" t="inlineStr">
        <is>
          <t>TESSELLATION</t>
        </is>
      </c>
      <c r="V21" s="20">
        <f>IFERROR(TEXTJOIN(" / ",TRUE,UNIQUE(FILTER(소재DB_RAW!$K$3:$K$2000,(소재DB_RAW!$G$3:$G$2000=$D21)*ISERROR(SEARCH("drop",소재DB_RAW!$C$3:$C$2000))))),"")</f>
        <v/>
      </c>
      <c r="W21" s="20" t="inlineStr">
        <is>
          <t>베트남</t>
        </is>
      </c>
      <c r="X21" s="20">
        <f>IFERROR(TEXTJOIN(" / ",TRUE,UNIQUE(FILTER(소재DB_RAW!$N$3:$N$2000,(소재DB_RAW!$G$3:$G$2000=$D21)*ISERROR(SEARCH("drop",소재DB_RAW!$C$3:$C$2000))))),"")</f>
        <v/>
      </c>
      <c r="Y21" s="26">
        <f>IFERROR(TEXTJOIN(CHAR(10),TRUE,UNIQUE(FILTER(소재DB_RAW!$N$3:$N$2000&amp;") "&amp;소재DB_RAW!$O$3:$O$2000,(소재DB_RAW!$G$3:$G$2000=$D21)*ISNUMBER(SEARCH("겉감",소재DB_RAW!$M$3:$M$2000))*ISERROR(SEARCH("drop",소재DB_RAW!$C$3:$C$2000))))),"")</f>
        <v/>
      </c>
      <c r="Z21" s="26">
        <f>IFERROR(TEXTJOIN(CHAR(10),TRUE,UNIQUE(FILTER(소재DB_RAW!$N$3:$N$2000&amp;") "&amp;소재DB_RAW!$O$3:$O$2000,(소재DB_RAW!$G$3:$G$2000=$D21)*ISNUMBER(SEARCH("안감",소재DB_RAW!$M$3:$M$2000))*ISERROR(SEARCH("drop",소재DB_RAW!$C$3:$C$2000))))),"")</f>
        <v/>
      </c>
      <c r="AA21" s="27" t="n">
        <v>3700</v>
      </c>
      <c r="AB21" s="27" t="n">
        <v>81736700</v>
      </c>
      <c r="AC21" s="27" t="n">
        <v>473600000</v>
      </c>
      <c r="AD21" s="20" t="n"/>
      <c r="AE21" s="20">
        <f>IF($K21="","출고일 미정",IF($Q21="X","작지 미발행",IF($Q21="부분","작지 일부 미발행",IF(AND($S21&lt;&gt;"",$S21&gt;$N21),"소재입고 마감("&amp;TEXT($N21,"MM/DD")&amp;") 초과",IF($Q21="","발행여부 확인 필요",IF($S21="","소재 입고일정 확인 필요","정상"))))))</f>
        <v/>
      </c>
      <c r="AF21" s="19">
        <f>IF($K21="","",IF(OR(LEFT($AE21,2)="작지",LEFT($AE21,4)="소재입고"),IF(LEFT($G21,1)="S","★ 납기위험(S코드)","◆ 지연주의"),IF($AE21="정상","✓ 정상","? 확인필요")))</f>
        <v/>
      </c>
      <c r="AG21" s="21" t="n"/>
      <c r="AH21" s="28" t="n"/>
    </row>
    <row r="22">
      <c r="A22" s="19" t="n">
        <v>18</v>
      </c>
      <c r="B22" s="20" t="inlineStr">
        <is>
          <t>김준래</t>
        </is>
      </c>
      <c r="C22" s="20" t="inlineStr">
        <is>
          <t>권혁일</t>
        </is>
      </c>
      <c r="D22" s="20" t="inlineStr">
        <is>
          <t>TVTBS27592</t>
        </is>
      </c>
      <c r="E22" s="20" t="inlineStr">
        <is>
          <t>춘절 여성 니트 폴로 긴팔 티셔츠</t>
        </is>
      </c>
      <c r="F22" s="20" t="inlineStr">
        <is>
          <t>CRE-2, LLA-1</t>
        </is>
      </c>
      <c r="G22" s="19">
        <f>IF($D22="","",IF(MID($D22,5,1)="S","S(봄)",IF(MID($D22,5,1)="M","M(여름)",IF(MID($D22,5,1)="X","X(사계절)",MID($D22,5,1)))))</f>
        <v/>
      </c>
      <c r="H22" s="20" t="inlineStr">
        <is>
          <t>완사입</t>
        </is>
      </c>
      <c r="I22" s="19" t="inlineStr"/>
      <c r="J22" s="21" t="inlineStr">
        <is>
          <t>1월2주</t>
        </is>
      </c>
      <c r="K22" s="22">
        <f>IF($J22="","",IFERROR(DATE(IF(VALUE(LEFT($J22,FIND("월",$J22)-1))&gt;=9,기준정보!$C$7-1,기준정보!$C$7),VALUE(LEFT($J22,FIND("월",$J22)-1)),1+7*(VALUE(SUBSTITUTE(MID($J22,FIND("월",$J22)+1,5),"주",""))-1)),""))</f>
        <v/>
      </c>
      <c r="L22" s="22">
        <f>IF($K22="","",IF(AND($K22-기준정보!$C$5&gt;=기준정보!$C$10,$K22-기준정보!$C$5&lt;=기준정보!$C$11),기준정보!$C$10-1,$K22-기준정보!$C$5))</f>
        <v/>
      </c>
      <c r="M22" s="23">
        <f>IF($L22="","",IF(OR(ISNUMBER(SEARCH("중국",$W22)),ISNUMBER(SEARCH("베트남",$W22))),MAX(0,MIN($L22,기준정보!$C$9)-MAX($L22-기준정보!$C$6,기준정보!$C$8)+1),IF(ISNUMBER(SEARCH("한국",$W22)),MAX(0,MIN($L22,기준정보!$C$11)-MAX($L22-기준정보!$C$6,기준정보!$C$10)+1),0)))</f>
        <v/>
      </c>
      <c r="N22" s="22">
        <f>IF($L22="","",$L22-기준정보!$C$6-$M22)</f>
        <v/>
      </c>
      <c r="O22" s="24">
        <f>IF($N22="","",$N22-기준정보!$C$4)</f>
        <v/>
      </c>
      <c r="P22" s="21" t="n"/>
      <c r="Q22" s="21" t="inlineStr">
        <is>
          <t>O</t>
        </is>
      </c>
      <c r="R22" s="19">
        <f>IF(COUNTIF(EDW_RAW!$A$2:$A$1500,$D22)=0,"",IF(COUNTIFS(EDW_RAW!$A$2:$A$1500,$D22,EDW_RAW!$U$2:$U$1500,"&lt;&gt;~",EDW_RAW!$U$2:$U$1500,"&lt;&gt;")=COUNTIF(EDW_RAW!$A$2:$A$1500,$D22),"O",IF(COUNTIFS(EDW_RAW!$A$2:$A$1500,$D22,EDW_RAW!$U$2:$U$1500,"&lt;&gt;~",EDW_RAW!$U$2:$U$1500,"&lt;&gt;")&gt;0,"부분","X")))</f>
        <v/>
      </c>
      <c r="S22" s="25" t="n"/>
      <c r="T22" s="20">
        <f>IF($H22="","",IF(AND(ISNUMBER(SEARCH("CMT",$H22)),OR(ISNUMBER(SEARCH("완사입",$H22)),ISNUMBER(SEARCH("ODM",$H22)))),"본사/생산처 혼재",IF(ISNUMBER(SEARCH("CMT",$H22)),"본사(소재팀)","생산처")))</f>
        <v/>
      </c>
      <c r="U22" s="20" t="inlineStr">
        <is>
          <t>어필코리아</t>
        </is>
      </c>
      <c r="V22" s="20">
        <f>IFERROR(TEXTJOIN(" / ",TRUE,UNIQUE(FILTER(소재DB_RAW!$K$3:$K$2000,(소재DB_RAW!$G$3:$G$2000=$D22)*ISERROR(SEARCH("drop",소재DB_RAW!$C$3:$C$2000))))),"")</f>
        <v/>
      </c>
      <c r="W22" s="20" t="inlineStr">
        <is>
          <t>베트남</t>
        </is>
      </c>
      <c r="X22" s="20">
        <f>IFERROR(TEXTJOIN(" / ",TRUE,UNIQUE(FILTER(소재DB_RAW!$N$3:$N$2000,(소재DB_RAW!$G$3:$G$2000=$D22)*ISERROR(SEARCH("drop",소재DB_RAW!$C$3:$C$2000))))),"")</f>
        <v/>
      </c>
      <c r="Y22" s="26">
        <f>IFERROR(TEXTJOIN(CHAR(10),TRUE,UNIQUE(FILTER(소재DB_RAW!$N$3:$N$2000&amp;") "&amp;소재DB_RAW!$O$3:$O$2000,(소재DB_RAW!$G$3:$G$2000=$D22)*ISNUMBER(SEARCH("겉감",소재DB_RAW!$M$3:$M$2000))*ISERROR(SEARCH("drop",소재DB_RAW!$C$3:$C$2000))))),"")</f>
        <v/>
      </c>
      <c r="Z22" s="26">
        <f>IFERROR(TEXTJOIN(CHAR(10),TRUE,UNIQUE(FILTER(소재DB_RAW!$N$3:$N$2000&amp;") "&amp;소재DB_RAW!$O$3:$O$2000,(소재DB_RAW!$G$3:$G$2000=$D22)*ISNUMBER(SEARCH("안감",소재DB_RAW!$M$3:$M$2000))*ISERROR(SEARCH("drop",소재DB_RAW!$C$3:$C$2000))))),"")</f>
        <v/>
      </c>
      <c r="AA22" s="27" t="n">
        <v>1200</v>
      </c>
      <c r="AB22" s="27" t="n">
        <v>58612800</v>
      </c>
      <c r="AC22" s="27" t="n">
        <v>237600000</v>
      </c>
      <c r="AD22" s="20" t="inlineStr">
        <is>
          <t>1월2주</t>
        </is>
      </c>
      <c r="AE22" s="20">
        <f>IF($K22="","출고일 미정",IF($Q22="X","작지 미발행",IF($Q22="부분","작지 일부 미발행",IF(AND($S22&lt;&gt;"",$S22&gt;$N22),"소재입고 마감("&amp;TEXT($N22,"MM/DD")&amp;") 초과",IF($Q22="","발행여부 확인 필요",IF($S22="","소재 입고일정 확인 필요","정상"))))))</f>
        <v/>
      </c>
      <c r="AF22" s="19">
        <f>IF($K22="","",IF(OR(LEFT($AE22,2)="작지",LEFT($AE22,4)="소재입고"),IF(LEFT($G22,1)="S","★ 납기위험(S코드)","◆ 지연주의"),IF($AE22="정상","✓ 정상","? 확인필요")))</f>
        <v/>
      </c>
      <c r="AG22" s="21" t="n"/>
      <c r="AH22" s="28" t="n"/>
    </row>
    <row r="23">
      <c r="A23" s="19" t="n">
        <v>19</v>
      </c>
      <c r="B23" s="20" t="inlineStr">
        <is>
          <t>신인철</t>
        </is>
      </c>
      <c r="C23" s="20" t="inlineStr">
        <is>
          <t>안세진</t>
        </is>
      </c>
      <c r="D23" s="20" t="inlineStr">
        <is>
          <t>8GJJS27101</t>
        </is>
      </c>
      <c r="E23" s="20" t="inlineStr">
        <is>
          <t>[WM] 남성 아웃포켓 피싱 재킷</t>
        </is>
      </c>
      <c r="F23" s="20" t="inlineStr">
        <is>
          <t>KHA(KHAKI), BLK(BLACK)</t>
        </is>
      </c>
      <c r="G23" s="19">
        <f>IF($D23="","",IF(MID($D23,5,1)="S","S(봄)",IF(MID($D23,5,1)="M","M(여름)",IF(MID($D23,5,1)="X","X(사계절)",MID($D23,5,1)))))</f>
        <v/>
      </c>
      <c r="H23" s="20" t="inlineStr">
        <is>
          <t>완사입</t>
        </is>
      </c>
      <c r="I23" s="19" t="inlineStr">
        <is>
          <t>1차</t>
        </is>
      </c>
      <c r="J23" s="21" t="inlineStr">
        <is>
          <t>1월3주</t>
        </is>
      </c>
      <c r="K23" s="22">
        <f>IF($J23="","",IFERROR(DATE(IF(VALUE(LEFT($J23,FIND("월",$J23)-1))&gt;=9,기준정보!$C$7-1,기준정보!$C$7),VALUE(LEFT($J23,FIND("월",$J23)-1)),1+7*(VALUE(SUBSTITUTE(MID($J23,FIND("월",$J23)+1,5),"주",""))-1)),""))</f>
        <v/>
      </c>
      <c r="L23" s="22">
        <f>IF($K23="","",IF(AND($K23-기준정보!$C$5&gt;=기준정보!$C$10,$K23-기준정보!$C$5&lt;=기준정보!$C$11),기준정보!$C$10-1,$K23-기준정보!$C$5))</f>
        <v/>
      </c>
      <c r="M23" s="23">
        <f>IF($L23="","",IF(OR(ISNUMBER(SEARCH("중국",$W23)),ISNUMBER(SEARCH("베트남",$W23))),MAX(0,MIN($L23,기준정보!$C$9)-MAX($L23-기준정보!$C$6,기준정보!$C$8)+1),IF(ISNUMBER(SEARCH("한국",$W23)),MAX(0,MIN($L23,기준정보!$C$11)-MAX($L23-기준정보!$C$6,기준정보!$C$10)+1),0)))</f>
        <v/>
      </c>
      <c r="N23" s="22">
        <f>IF($L23="","",$L23-기준정보!$C$6-$M23)</f>
        <v/>
      </c>
      <c r="O23" s="24">
        <f>IF($N23="","",$N23-기준정보!$C$4)</f>
        <v/>
      </c>
      <c r="P23" s="21" t="n"/>
      <c r="Q23" s="21" t="inlineStr">
        <is>
          <t>X</t>
        </is>
      </c>
      <c r="R23" s="19">
        <f>IF(COUNTIF(EDW_RAW!$A$2:$A$1500,$D23)=0,"",IF(COUNTIFS(EDW_RAW!$A$2:$A$1500,$D23,EDW_RAW!$U$2:$U$1500,"&lt;&gt;~",EDW_RAW!$U$2:$U$1500,"&lt;&gt;")=COUNTIF(EDW_RAW!$A$2:$A$1500,$D23),"O",IF(COUNTIFS(EDW_RAW!$A$2:$A$1500,$D23,EDW_RAW!$U$2:$U$1500,"&lt;&gt;~",EDW_RAW!$U$2:$U$1500,"&lt;&gt;")&gt;0,"부분","X")))</f>
        <v/>
      </c>
      <c r="S23" s="25" t="n"/>
      <c r="T23" s="20">
        <f>IF($H23="","",IF(AND(ISNUMBER(SEARCH("CMT",$H23)),OR(ISNUMBER(SEARCH("완사입",$H23)),ISNUMBER(SEARCH("ODM",$H23)))),"본사/생산처 혼재",IF(ISNUMBER(SEARCH("CMT",$H23)),"본사(소재팀)","생산처")))</f>
        <v/>
      </c>
      <c r="U23" s="20" t="inlineStr">
        <is>
          <t>YIC</t>
        </is>
      </c>
      <c r="V23" s="20">
        <f>IFERROR(TEXTJOIN(" / ",TRUE,UNIQUE(FILTER(소재DB_RAW!$K$3:$K$2000,(소재DB_RAW!$G$3:$G$2000=$D23)*ISERROR(SEARCH("drop",소재DB_RAW!$C$3:$C$2000))))),"")</f>
        <v/>
      </c>
      <c r="W23" s="20" t="inlineStr">
        <is>
          <t>베트남</t>
        </is>
      </c>
      <c r="X23" s="20">
        <f>IFERROR(TEXTJOIN(" / ",TRUE,UNIQUE(FILTER(소재DB_RAW!$N$3:$N$2000,(소재DB_RAW!$G$3:$G$2000=$D23)*ISERROR(SEARCH("drop",소재DB_RAW!$C$3:$C$2000))))),"")</f>
        <v/>
      </c>
      <c r="Y23" s="26">
        <f>IFERROR(TEXTJOIN(CHAR(10),TRUE,UNIQUE(FILTER(소재DB_RAW!$N$3:$N$2000&amp;") "&amp;소재DB_RAW!$O$3:$O$2000,(소재DB_RAW!$G$3:$G$2000=$D23)*ISNUMBER(SEARCH("겉감",소재DB_RAW!$M$3:$M$2000))*ISERROR(SEARCH("drop",소재DB_RAW!$C$3:$C$2000))))),"")</f>
        <v/>
      </c>
      <c r="Z23" s="26">
        <f>IFERROR(TEXTJOIN(CHAR(10),TRUE,UNIQUE(FILTER(소재DB_RAW!$N$3:$N$2000&amp;") "&amp;소재DB_RAW!$O$3:$O$2000,(소재DB_RAW!$G$3:$G$2000=$D23)*ISNUMBER(SEARCH("안감",소재DB_RAW!$M$3:$M$2000))*ISERROR(SEARCH("drop",소재DB_RAW!$C$3:$C$2000))))),"")</f>
        <v/>
      </c>
      <c r="AA23" s="27" t="n">
        <v>0</v>
      </c>
      <c r="AB23" s="27" t="n">
        <v>64250000</v>
      </c>
      <c r="AC23" s="27" t="n">
        <v>180000000</v>
      </c>
      <c r="AD23" s="20" t="n"/>
      <c r="AE23" s="20">
        <f>IF($K23="","출고일 미정",IF($Q23="X","작지 미발행",IF($Q23="부분","작지 일부 미발행",IF(AND($S23&lt;&gt;"",$S23&gt;$N23),"소재입고 마감("&amp;TEXT($N23,"MM/DD")&amp;") 초과",IF($Q23="","발행여부 확인 필요",IF($S23="","소재 입고일정 확인 필요","정상"))))))</f>
        <v/>
      </c>
      <c r="AF23" s="19">
        <f>IF($K23="","",IF(OR(LEFT($AE23,2)="작지",LEFT($AE23,4)="소재입고"),IF(LEFT($G23,1)="S","★ 납기위험(S코드)","◆ 지연주의"),IF($AE23="정상","✓ 정상","? 확인필요")))</f>
        <v/>
      </c>
      <c r="AG23" s="21" t="n"/>
      <c r="AH23" s="28" t="n"/>
    </row>
    <row r="24">
      <c r="A24" s="19" t="n">
        <v>20</v>
      </c>
      <c r="B24" s="20" t="inlineStr">
        <is>
          <t>신인철</t>
        </is>
      </c>
      <c r="C24" s="20" t="inlineStr">
        <is>
          <t>안세진</t>
        </is>
      </c>
      <c r="D24" s="20" t="inlineStr">
        <is>
          <t>8GPNS27101</t>
        </is>
      </c>
      <c r="E24" s="20" t="inlineStr">
        <is>
          <t>[WM] 남성 유틸리티 피싱 카고 팬츠</t>
        </is>
      </c>
      <c r="F24" s="20" t="inlineStr">
        <is>
          <t>KHA(KHAKI), BLK(BLACK)</t>
        </is>
      </c>
      <c r="G24" s="19">
        <f>IF($D24="","",IF(MID($D24,5,1)="S","S(봄)",IF(MID($D24,5,1)="M","M(여름)",IF(MID($D24,5,1)="X","X(사계절)",MID($D24,5,1)))))</f>
        <v/>
      </c>
      <c r="H24" s="20" t="inlineStr">
        <is>
          <t>완사입</t>
        </is>
      </c>
      <c r="I24" s="19" t="inlineStr">
        <is>
          <t>1차</t>
        </is>
      </c>
      <c r="J24" s="21" t="inlineStr">
        <is>
          <t>1월3주</t>
        </is>
      </c>
      <c r="K24" s="22">
        <f>IF($J24="","",IFERROR(DATE(IF(VALUE(LEFT($J24,FIND("월",$J24)-1))&gt;=9,기준정보!$C$7-1,기준정보!$C$7),VALUE(LEFT($J24,FIND("월",$J24)-1)),1+7*(VALUE(SUBSTITUTE(MID($J24,FIND("월",$J24)+1,5),"주",""))-1)),""))</f>
        <v/>
      </c>
      <c r="L24" s="22">
        <f>IF($K24="","",IF(AND($K24-기준정보!$C$5&gt;=기준정보!$C$10,$K24-기준정보!$C$5&lt;=기준정보!$C$11),기준정보!$C$10-1,$K24-기준정보!$C$5))</f>
        <v/>
      </c>
      <c r="M24" s="23">
        <f>IF($L24="","",IF(OR(ISNUMBER(SEARCH("중국",$W24)),ISNUMBER(SEARCH("베트남",$W24))),MAX(0,MIN($L24,기준정보!$C$9)-MAX($L24-기준정보!$C$6,기준정보!$C$8)+1),IF(ISNUMBER(SEARCH("한국",$W24)),MAX(0,MIN($L24,기준정보!$C$11)-MAX($L24-기준정보!$C$6,기준정보!$C$10)+1),0)))</f>
        <v/>
      </c>
      <c r="N24" s="22">
        <f>IF($L24="","",$L24-기준정보!$C$6-$M24)</f>
        <v/>
      </c>
      <c r="O24" s="24">
        <f>IF($N24="","",$N24-기준정보!$C$4)</f>
        <v/>
      </c>
      <c r="P24" s="21" t="n"/>
      <c r="Q24" s="21" t="inlineStr">
        <is>
          <t>X</t>
        </is>
      </c>
      <c r="R24" s="19">
        <f>IF(COUNTIF(EDW_RAW!$A$2:$A$1500,$D24)=0,"",IF(COUNTIFS(EDW_RAW!$A$2:$A$1500,$D24,EDW_RAW!$U$2:$U$1500,"&lt;&gt;~",EDW_RAW!$U$2:$U$1500,"&lt;&gt;")=COUNTIF(EDW_RAW!$A$2:$A$1500,$D24),"O",IF(COUNTIFS(EDW_RAW!$A$2:$A$1500,$D24,EDW_RAW!$U$2:$U$1500,"&lt;&gt;~",EDW_RAW!$U$2:$U$1500,"&lt;&gt;")&gt;0,"부분","X")))</f>
        <v/>
      </c>
      <c r="S24" s="25" t="n"/>
      <c r="T24" s="20">
        <f>IF($H24="","",IF(AND(ISNUMBER(SEARCH("CMT",$H24)),OR(ISNUMBER(SEARCH("완사입",$H24)),ISNUMBER(SEARCH("ODM",$H24)))),"본사/생산처 혼재",IF(ISNUMBER(SEARCH("CMT",$H24)),"본사(소재팀)","생산처")))</f>
        <v/>
      </c>
      <c r="U24" s="20" t="inlineStr">
        <is>
          <t>YIC</t>
        </is>
      </c>
      <c r="V24" s="20">
        <f>IFERROR(TEXTJOIN(" / ",TRUE,UNIQUE(FILTER(소재DB_RAW!$K$3:$K$2000,(소재DB_RAW!$G$3:$G$2000=$D24)*ISERROR(SEARCH("drop",소재DB_RAW!$C$3:$C$2000))))),"")</f>
        <v/>
      </c>
      <c r="W24" s="20" t="inlineStr">
        <is>
          <t>베트남</t>
        </is>
      </c>
      <c r="X24" s="20">
        <f>IFERROR(TEXTJOIN(" / ",TRUE,UNIQUE(FILTER(소재DB_RAW!$N$3:$N$2000,(소재DB_RAW!$G$3:$G$2000=$D24)*ISERROR(SEARCH("drop",소재DB_RAW!$C$3:$C$2000))))),"")</f>
        <v/>
      </c>
      <c r="Y24" s="26">
        <f>IFERROR(TEXTJOIN(CHAR(10),TRUE,UNIQUE(FILTER(소재DB_RAW!$N$3:$N$2000&amp;") "&amp;소재DB_RAW!$O$3:$O$2000,(소재DB_RAW!$G$3:$G$2000=$D24)*ISNUMBER(SEARCH("겉감",소재DB_RAW!$M$3:$M$2000))*ISERROR(SEARCH("drop",소재DB_RAW!$C$3:$C$2000))))),"")</f>
        <v/>
      </c>
      <c r="Z24" s="26">
        <f>IFERROR(TEXTJOIN(CHAR(10),TRUE,UNIQUE(FILTER(소재DB_RAW!$N$3:$N$2000&amp;") "&amp;소재DB_RAW!$O$3:$O$2000,(소재DB_RAW!$G$3:$G$2000=$D24)*ISNUMBER(SEARCH("안감",소재DB_RAW!$M$3:$M$2000))*ISERROR(SEARCH("drop",소재DB_RAW!$C$3:$C$2000))))),"")</f>
        <v/>
      </c>
      <c r="AA24" s="27" t="n">
        <v>0</v>
      </c>
      <c r="AB24" s="27" t="n">
        <v>34930000</v>
      </c>
      <c r="AC24" s="27" t="n">
        <v>87500000</v>
      </c>
      <c r="AD24" s="20" t="n"/>
      <c r="AE24" s="20">
        <f>IF($K24="","출고일 미정",IF($Q24="X","작지 미발행",IF($Q24="부분","작지 일부 미발행",IF(AND($S24&lt;&gt;"",$S24&gt;$N24),"소재입고 마감("&amp;TEXT($N24,"MM/DD")&amp;") 초과",IF($Q24="","발행여부 확인 필요",IF($S24="","소재 입고일정 확인 필요","정상"))))))</f>
        <v/>
      </c>
      <c r="AF24" s="19">
        <f>IF($K24="","",IF(OR(LEFT($AE24,2)="작지",LEFT($AE24,4)="소재입고"),IF(LEFT($G24,1)="S","★ 납기위험(S코드)","◆ 지연주의"),IF($AE24="정상","✓ 정상","? 확인필요")))</f>
        <v/>
      </c>
      <c r="AG24" s="21" t="n"/>
      <c r="AH24" s="28" t="n"/>
    </row>
    <row r="25">
      <c r="A25" s="19" t="n">
        <v>21</v>
      </c>
      <c r="B25" s="20" t="inlineStr">
        <is>
          <t>신인철</t>
        </is>
      </c>
      <c r="C25" s="20" t="inlineStr">
        <is>
          <t>장지은</t>
        </is>
      </c>
      <c r="D25" s="20" t="inlineStr">
        <is>
          <t>8HJJS27102</t>
        </is>
      </c>
      <c r="E25" s="20" t="inlineStr">
        <is>
          <t>[WM] 여성 아웃포켓 피싱 재킷</t>
        </is>
      </c>
      <c r="F25" s="20" t="inlineStr">
        <is>
          <t>CAM(CAMEL), BLK(BLACK)</t>
        </is>
      </c>
      <c r="G25" s="19">
        <f>IF($D25="","",IF(MID($D25,5,1)="S","S(봄)",IF(MID($D25,5,1)="M","M(여름)",IF(MID($D25,5,1)="X","X(사계절)",MID($D25,5,1)))))</f>
        <v/>
      </c>
      <c r="H25" s="20" t="inlineStr">
        <is>
          <t>완사입</t>
        </is>
      </c>
      <c r="I25" s="19" t="inlineStr">
        <is>
          <t>1차</t>
        </is>
      </c>
      <c r="J25" s="21" t="inlineStr">
        <is>
          <t>1월3주</t>
        </is>
      </c>
      <c r="K25" s="22">
        <f>IF($J25="","",IFERROR(DATE(IF(VALUE(LEFT($J25,FIND("월",$J25)-1))&gt;=9,기준정보!$C$7-1,기준정보!$C$7),VALUE(LEFT($J25,FIND("월",$J25)-1)),1+7*(VALUE(SUBSTITUTE(MID($J25,FIND("월",$J25)+1,5),"주",""))-1)),""))</f>
        <v/>
      </c>
      <c r="L25" s="22">
        <f>IF($K25="","",IF(AND($K25-기준정보!$C$5&gt;=기준정보!$C$10,$K25-기준정보!$C$5&lt;=기준정보!$C$11),기준정보!$C$10-1,$K25-기준정보!$C$5))</f>
        <v/>
      </c>
      <c r="M25" s="23">
        <f>IF($L25="","",IF(OR(ISNUMBER(SEARCH("중국",$W25)),ISNUMBER(SEARCH("베트남",$W25))),MAX(0,MIN($L25,기준정보!$C$9)-MAX($L25-기준정보!$C$6,기준정보!$C$8)+1),IF(ISNUMBER(SEARCH("한국",$W25)),MAX(0,MIN($L25,기준정보!$C$11)-MAX($L25-기준정보!$C$6,기준정보!$C$10)+1),0)))</f>
        <v/>
      </c>
      <c r="N25" s="22">
        <f>IF($L25="","",$L25-기준정보!$C$6-$M25)</f>
        <v/>
      </c>
      <c r="O25" s="24">
        <f>IF($N25="","",$N25-기준정보!$C$4)</f>
        <v/>
      </c>
      <c r="P25" s="21" t="n"/>
      <c r="Q25" s="21" t="inlineStr">
        <is>
          <t>X</t>
        </is>
      </c>
      <c r="R25" s="19">
        <f>IF(COUNTIF(EDW_RAW!$A$2:$A$1500,$D25)=0,"",IF(COUNTIFS(EDW_RAW!$A$2:$A$1500,$D25,EDW_RAW!$U$2:$U$1500,"&lt;&gt;~",EDW_RAW!$U$2:$U$1500,"&lt;&gt;")=COUNTIF(EDW_RAW!$A$2:$A$1500,$D25),"O",IF(COUNTIFS(EDW_RAW!$A$2:$A$1500,$D25,EDW_RAW!$U$2:$U$1500,"&lt;&gt;~",EDW_RAW!$U$2:$U$1500,"&lt;&gt;")&gt;0,"부분","X")))</f>
        <v/>
      </c>
      <c r="S25" s="25" t="n"/>
      <c r="T25" s="20">
        <f>IF($H25="","",IF(AND(ISNUMBER(SEARCH("CMT",$H25)),OR(ISNUMBER(SEARCH("완사입",$H25)),ISNUMBER(SEARCH("ODM",$H25)))),"본사/생산처 혼재",IF(ISNUMBER(SEARCH("CMT",$H25)),"본사(소재팀)","생산처")))</f>
        <v/>
      </c>
      <c r="U25" s="20" t="inlineStr">
        <is>
          <t>YIC</t>
        </is>
      </c>
      <c r="V25" s="20">
        <f>IFERROR(TEXTJOIN(" / ",TRUE,UNIQUE(FILTER(소재DB_RAW!$K$3:$K$2000,(소재DB_RAW!$G$3:$G$2000=$D25)*ISERROR(SEARCH("drop",소재DB_RAW!$C$3:$C$2000))))),"")</f>
        <v/>
      </c>
      <c r="W25" s="20" t="inlineStr">
        <is>
          <t>베트남</t>
        </is>
      </c>
      <c r="X25" s="20">
        <f>IFERROR(TEXTJOIN(" / ",TRUE,UNIQUE(FILTER(소재DB_RAW!$N$3:$N$2000,(소재DB_RAW!$G$3:$G$2000=$D25)*ISERROR(SEARCH("drop",소재DB_RAW!$C$3:$C$2000))))),"")</f>
        <v/>
      </c>
      <c r="Y25" s="26">
        <f>IFERROR(TEXTJOIN(CHAR(10),TRUE,UNIQUE(FILTER(소재DB_RAW!$N$3:$N$2000&amp;") "&amp;소재DB_RAW!$O$3:$O$2000,(소재DB_RAW!$G$3:$G$2000=$D25)*ISNUMBER(SEARCH("겉감",소재DB_RAW!$M$3:$M$2000))*ISERROR(SEARCH("drop",소재DB_RAW!$C$3:$C$2000))))),"")</f>
        <v/>
      </c>
      <c r="Z25" s="26">
        <f>IFERROR(TEXTJOIN(CHAR(10),TRUE,UNIQUE(FILTER(소재DB_RAW!$N$3:$N$2000&amp;") "&amp;소재DB_RAW!$O$3:$O$2000,(소재DB_RAW!$G$3:$G$2000=$D25)*ISNUMBER(SEARCH("안감",소재DB_RAW!$M$3:$M$2000))*ISERROR(SEARCH("drop",소재DB_RAW!$C$3:$C$2000))))),"")</f>
        <v/>
      </c>
      <c r="AA25" s="27" t="n">
        <v>0</v>
      </c>
      <c r="AB25" s="27" t="n">
        <v>56850000</v>
      </c>
      <c r="AC25" s="27" t="n">
        <v>180000000</v>
      </c>
      <c r="AD25" s="20" t="n"/>
      <c r="AE25" s="20">
        <f>IF($K25="","출고일 미정",IF($Q25="X","작지 미발행",IF($Q25="부분","작지 일부 미발행",IF(AND($S25&lt;&gt;"",$S25&gt;$N25),"소재입고 마감("&amp;TEXT($N25,"MM/DD")&amp;") 초과",IF($Q25="","발행여부 확인 필요",IF($S25="","소재 입고일정 확인 필요","정상"))))))</f>
        <v/>
      </c>
      <c r="AF25" s="19">
        <f>IF($K25="","",IF(OR(LEFT($AE25,2)="작지",LEFT($AE25,4)="소재입고"),IF(LEFT($G25,1)="S","★ 납기위험(S코드)","◆ 지연주의"),IF($AE25="정상","✓ 정상","? 확인필요")))</f>
        <v/>
      </c>
      <c r="AG25" s="21" t="n"/>
      <c r="AH25" s="28" t="n"/>
    </row>
    <row r="26">
      <c r="A26" s="19" t="n">
        <v>22</v>
      </c>
      <c r="B26" s="20" t="inlineStr">
        <is>
          <t>신인철</t>
        </is>
      </c>
      <c r="C26" s="20" t="inlineStr">
        <is>
          <t>장지은</t>
        </is>
      </c>
      <c r="D26" s="20" t="inlineStr">
        <is>
          <t>8HPNS27102</t>
        </is>
      </c>
      <c r="E26" s="20" t="inlineStr">
        <is>
          <t>[WM] 여성 유틸리티 피싱 카고 팬츠</t>
        </is>
      </c>
      <c r="F26" s="20" t="inlineStr">
        <is>
          <t>CAM(CAMEL), BLK(BLACK)</t>
        </is>
      </c>
      <c r="G26" s="19">
        <f>IF($D26="","",IF(MID($D26,5,1)="S","S(봄)",IF(MID($D26,5,1)="M","M(여름)",IF(MID($D26,5,1)="X","X(사계절)",MID($D26,5,1)))))</f>
        <v/>
      </c>
      <c r="H26" s="20" t="inlineStr">
        <is>
          <t>완사입</t>
        </is>
      </c>
      <c r="I26" s="19" t="inlineStr">
        <is>
          <t>1차</t>
        </is>
      </c>
      <c r="J26" s="21" t="inlineStr">
        <is>
          <t>1월3주</t>
        </is>
      </c>
      <c r="K26" s="22">
        <f>IF($J26="","",IFERROR(DATE(IF(VALUE(LEFT($J26,FIND("월",$J26)-1))&gt;=9,기준정보!$C$7-1,기준정보!$C$7),VALUE(LEFT($J26,FIND("월",$J26)-1)),1+7*(VALUE(SUBSTITUTE(MID($J26,FIND("월",$J26)+1,5),"주",""))-1)),""))</f>
        <v/>
      </c>
      <c r="L26" s="22">
        <f>IF($K26="","",IF(AND($K26-기준정보!$C$5&gt;=기준정보!$C$10,$K26-기준정보!$C$5&lt;=기준정보!$C$11),기준정보!$C$10-1,$K26-기준정보!$C$5))</f>
        <v/>
      </c>
      <c r="M26" s="23">
        <f>IF($L26="","",IF(OR(ISNUMBER(SEARCH("중국",$W26)),ISNUMBER(SEARCH("베트남",$W26))),MAX(0,MIN($L26,기준정보!$C$9)-MAX($L26-기준정보!$C$6,기준정보!$C$8)+1),IF(ISNUMBER(SEARCH("한국",$W26)),MAX(0,MIN($L26,기준정보!$C$11)-MAX($L26-기준정보!$C$6,기준정보!$C$10)+1),0)))</f>
        <v/>
      </c>
      <c r="N26" s="22">
        <f>IF($L26="","",$L26-기준정보!$C$6-$M26)</f>
        <v/>
      </c>
      <c r="O26" s="24">
        <f>IF($N26="","",$N26-기준정보!$C$4)</f>
        <v/>
      </c>
      <c r="P26" s="21" t="n"/>
      <c r="Q26" s="21" t="inlineStr">
        <is>
          <t>X</t>
        </is>
      </c>
      <c r="R26" s="19">
        <f>IF(COUNTIF(EDW_RAW!$A$2:$A$1500,$D26)=0,"",IF(COUNTIFS(EDW_RAW!$A$2:$A$1500,$D26,EDW_RAW!$U$2:$U$1500,"&lt;&gt;~",EDW_RAW!$U$2:$U$1500,"&lt;&gt;")=COUNTIF(EDW_RAW!$A$2:$A$1500,$D26),"O",IF(COUNTIFS(EDW_RAW!$A$2:$A$1500,$D26,EDW_RAW!$U$2:$U$1500,"&lt;&gt;~",EDW_RAW!$U$2:$U$1500,"&lt;&gt;")&gt;0,"부분","X")))</f>
        <v/>
      </c>
      <c r="S26" s="25" t="n"/>
      <c r="T26" s="20">
        <f>IF($H26="","",IF(AND(ISNUMBER(SEARCH("CMT",$H26)),OR(ISNUMBER(SEARCH("완사입",$H26)),ISNUMBER(SEARCH("ODM",$H26)))),"본사/생산처 혼재",IF(ISNUMBER(SEARCH("CMT",$H26)),"본사(소재팀)","생산처")))</f>
        <v/>
      </c>
      <c r="U26" s="20" t="inlineStr">
        <is>
          <t>YIC</t>
        </is>
      </c>
      <c r="V26" s="20">
        <f>IFERROR(TEXTJOIN(" / ",TRUE,UNIQUE(FILTER(소재DB_RAW!$K$3:$K$2000,(소재DB_RAW!$G$3:$G$2000=$D26)*ISERROR(SEARCH("drop",소재DB_RAW!$C$3:$C$2000))))),"")</f>
        <v/>
      </c>
      <c r="W26" s="20" t="inlineStr">
        <is>
          <t>베트남</t>
        </is>
      </c>
      <c r="X26" s="20">
        <f>IFERROR(TEXTJOIN(" / ",TRUE,UNIQUE(FILTER(소재DB_RAW!$N$3:$N$2000,(소재DB_RAW!$G$3:$G$2000=$D26)*ISERROR(SEARCH("drop",소재DB_RAW!$C$3:$C$2000))))),"")</f>
        <v/>
      </c>
      <c r="Y26" s="26">
        <f>IFERROR(TEXTJOIN(CHAR(10),TRUE,UNIQUE(FILTER(소재DB_RAW!$N$3:$N$2000&amp;") "&amp;소재DB_RAW!$O$3:$O$2000,(소재DB_RAW!$G$3:$G$2000=$D26)*ISNUMBER(SEARCH("겉감",소재DB_RAW!$M$3:$M$2000))*ISERROR(SEARCH("drop",소재DB_RAW!$C$3:$C$2000))))),"")</f>
        <v/>
      </c>
      <c r="Z26" s="26">
        <f>IFERROR(TEXTJOIN(CHAR(10),TRUE,UNIQUE(FILTER(소재DB_RAW!$N$3:$N$2000&amp;") "&amp;소재DB_RAW!$O$3:$O$2000,(소재DB_RAW!$G$3:$G$2000=$D26)*ISNUMBER(SEARCH("안감",소재DB_RAW!$M$3:$M$2000))*ISERROR(SEARCH("drop",소재DB_RAW!$C$3:$C$2000))))),"")</f>
        <v/>
      </c>
      <c r="AA26" s="27" t="n">
        <v>0</v>
      </c>
      <c r="AB26" s="27" t="n">
        <v>44500000</v>
      </c>
      <c r="AC26" s="27" t="n">
        <v>125000000</v>
      </c>
      <c r="AD26" s="20" t="n"/>
      <c r="AE26" s="20">
        <f>IF($K26="","출고일 미정",IF($Q26="X","작지 미발행",IF($Q26="부분","작지 일부 미발행",IF(AND($S26&lt;&gt;"",$S26&gt;$N26),"소재입고 마감("&amp;TEXT($N26,"MM/DD")&amp;") 초과",IF($Q26="","발행여부 확인 필요",IF($S26="","소재 입고일정 확인 필요","정상"))))))</f>
        <v/>
      </c>
      <c r="AF26" s="19">
        <f>IF($K26="","",IF(OR(LEFT($AE26,2)="작지",LEFT($AE26,4)="소재입고"),IF(LEFT($G26,1)="S","★ 납기위험(S코드)","◆ 지연주의"),IF($AE26="정상","✓ 정상","? 확인필요")))</f>
        <v/>
      </c>
      <c r="AG26" s="21" t="n"/>
      <c r="AH26" s="28" t="n"/>
    </row>
    <row r="27">
      <c r="A27" s="19" t="n">
        <v>23</v>
      </c>
      <c r="B27" s="20" t="inlineStr">
        <is>
          <t>신인철</t>
        </is>
      </c>
      <c r="C27" s="20" t="inlineStr">
        <is>
          <t>안세진</t>
        </is>
      </c>
      <c r="D27" s="20" t="inlineStr">
        <is>
          <t>8NHAS27101</t>
        </is>
      </c>
      <c r="E27" s="20" t="inlineStr">
        <is>
          <t>[WM] 남녀공용 3지 익스퍼트 장갑</t>
        </is>
      </c>
      <c r="F27" s="20" t="inlineStr">
        <is>
          <t>BLK(BLACK)</t>
        </is>
      </c>
      <c r="G27" s="19">
        <f>IF($D27="","",IF(MID($D27,5,1)="S","S(봄)",IF(MID($D27,5,1)="M","M(여름)",IF(MID($D27,5,1)="X","X(사계절)",MID($D27,5,1)))))</f>
        <v/>
      </c>
      <c r="H27" s="20" t="inlineStr">
        <is>
          <t>완사입</t>
        </is>
      </c>
      <c r="I27" s="19" t="inlineStr">
        <is>
          <t>1차</t>
        </is>
      </c>
      <c r="J27" s="21" t="inlineStr">
        <is>
          <t>1월3주</t>
        </is>
      </c>
      <c r="K27" s="22">
        <f>IF($J27="","",IFERROR(DATE(IF(VALUE(LEFT($J27,FIND("월",$J27)-1))&gt;=9,기준정보!$C$7-1,기준정보!$C$7),VALUE(LEFT($J27,FIND("월",$J27)-1)),1+7*(VALUE(SUBSTITUTE(MID($J27,FIND("월",$J27)+1,5),"주",""))-1)),""))</f>
        <v/>
      </c>
      <c r="L27" s="22">
        <f>IF($K27="","",IF(AND($K27-기준정보!$C$5&gt;=기준정보!$C$10,$K27-기준정보!$C$5&lt;=기준정보!$C$11),기준정보!$C$10-1,$K27-기준정보!$C$5))</f>
        <v/>
      </c>
      <c r="M27" s="23">
        <f>IF($L27="","",IF(OR(ISNUMBER(SEARCH("중국",$W27)),ISNUMBER(SEARCH("베트남",$W27))),MAX(0,MIN($L27,기준정보!$C$9)-MAX($L27-기준정보!$C$6,기준정보!$C$8)+1),IF(ISNUMBER(SEARCH("한국",$W27)),MAX(0,MIN($L27,기준정보!$C$11)-MAX($L27-기준정보!$C$6,기준정보!$C$10)+1),0)))</f>
        <v/>
      </c>
      <c r="N27" s="22">
        <f>IF($L27="","",$L27-기준정보!$C$6-$M27)</f>
        <v/>
      </c>
      <c r="O27" s="24">
        <f>IF($N27="","",$N27-기준정보!$C$4)</f>
        <v/>
      </c>
      <c r="P27" s="21" t="n"/>
      <c r="Q27" s="21" t="inlineStr">
        <is>
          <t>X</t>
        </is>
      </c>
      <c r="R27" s="19">
        <f>IF(COUNTIF(EDW_RAW!$A$2:$A$1500,$D27)=0,"",IF(COUNTIFS(EDW_RAW!$A$2:$A$1500,$D27,EDW_RAW!$U$2:$U$1500,"&lt;&gt;~",EDW_RAW!$U$2:$U$1500,"&lt;&gt;")=COUNTIF(EDW_RAW!$A$2:$A$1500,$D27),"O",IF(COUNTIFS(EDW_RAW!$A$2:$A$1500,$D27,EDW_RAW!$U$2:$U$1500,"&lt;&gt;~",EDW_RAW!$U$2:$U$1500,"&lt;&gt;")&gt;0,"부분","X")))</f>
        <v/>
      </c>
      <c r="S27" s="25" t="n"/>
      <c r="T27" s="20">
        <f>IF($H27="","",IF(AND(ISNUMBER(SEARCH("CMT",$H27)),OR(ISNUMBER(SEARCH("완사입",$H27)),ISNUMBER(SEARCH("ODM",$H27)))),"본사/생산처 혼재",IF(ISNUMBER(SEARCH("CMT",$H27)),"본사(소재팀)","생산처")))</f>
        <v/>
      </c>
      <c r="U27" s="20" t="inlineStr">
        <is>
          <t>시즈</t>
        </is>
      </c>
      <c r="V27" s="20">
        <f>IFERROR(TEXTJOIN(" / ",TRUE,UNIQUE(FILTER(소재DB_RAW!$K$3:$K$2000,(소재DB_RAW!$G$3:$G$2000=$D27)*ISERROR(SEARCH("drop",소재DB_RAW!$C$3:$C$2000))))),"")</f>
        <v/>
      </c>
      <c r="W27" s="20" t="inlineStr">
        <is>
          <t>베트남</t>
        </is>
      </c>
      <c r="X27" s="20">
        <f>IFERROR(TEXTJOIN(" / ",TRUE,UNIQUE(FILTER(소재DB_RAW!$N$3:$N$2000,(소재DB_RAW!$G$3:$G$2000=$D27)*ISERROR(SEARCH("drop",소재DB_RAW!$C$3:$C$2000))))),"")</f>
        <v/>
      </c>
      <c r="Y27" s="26">
        <f>IFERROR(TEXTJOIN(CHAR(10),TRUE,UNIQUE(FILTER(소재DB_RAW!$N$3:$N$2000&amp;") "&amp;소재DB_RAW!$O$3:$O$2000,(소재DB_RAW!$G$3:$G$2000=$D27)*ISNUMBER(SEARCH("겉감",소재DB_RAW!$M$3:$M$2000))*ISERROR(SEARCH("drop",소재DB_RAW!$C$3:$C$2000))))),"")</f>
        <v/>
      </c>
      <c r="Z27" s="26">
        <f>IFERROR(TEXTJOIN(CHAR(10),TRUE,UNIQUE(FILTER(소재DB_RAW!$N$3:$N$2000&amp;") "&amp;소재DB_RAW!$O$3:$O$2000,(소재DB_RAW!$G$3:$G$2000=$D27)*ISNUMBER(SEARCH("안감",소재DB_RAW!$M$3:$M$2000))*ISERROR(SEARCH("drop",소재DB_RAW!$C$3:$C$2000))))),"")</f>
        <v/>
      </c>
      <c r="AA27" s="27" t="n">
        <v>0</v>
      </c>
      <c r="AB27" s="27" t="n">
        <v>2558824</v>
      </c>
      <c r="AC27" s="27" t="n">
        <v>8700000</v>
      </c>
      <c r="AD27" s="20" t="n"/>
      <c r="AE27" s="20">
        <f>IF($K27="","출고일 미정",IF($Q27="X","작지 미발행",IF($Q27="부분","작지 일부 미발행",IF(AND($S27&lt;&gt;"",$S27&gt;$N27),"소재입고 마감("&amp;TEXT($N27,"MM/DD")&amp;") 초과",IF($Q27="","발행여부 확인 필요",IF($S27="","소재 입고일정 확인 필요","정상"))))))</f>
        <v/>
      </c>
      <c r="AF27" s="19">
        <f>IF($K27="","",IF(OR(LEFT($AE27,2)="작지",LEFT($AE27,4)="소재입고"),IF(LEFT($G27,1)="S","★ 납기위험(S코드)","◆ 지연주의"),IF($AE27="정상","✓ 정상","? 확인필요")))</f>
        <v/>
      </c>
      <c r="AG27" s="21" t="n"/>
      <c r="AH27" s="28" t="n"/>
    </row>
    <row r="28">
      <c r="A28" s="19" t="n">
        <v>24</v>
      </c>
      <c r="B28" s="20" t="inlineStr">
        <is>
          <t>신인철</t>
        </is>
      </c>
      <c r="C28" s="20" t="inlineStr">
        <is>
          <t>장지은</t>
        </is>
      </c>
      <c r="D28" s="20" t="inlineStr">
        <is>
          <t>8NLAS27101</t>
        </is>
      </c>
      <c r="E28" s="20" t="inlineStr">
        <is>
          <t>[WM] 남녀공용 프린트 양말</t>
        </is>
      </c>
      <c r="F28" s="20" t="inlineStr">
        <is>
          <t>OWH, TNA, BLK(BLACK)</t>
        </is>
      </c>
      <c r="G28" s="19">
        <f>IF($D28="","",IF(MID($D28,5,1)="S","S(봄)",IF(MID($D28,5,1)="M","M(여름)",IF(MID($D28,5,1)="X","X(사계절)",MID($D28,5,1)))))</f>
        <v/>
      </c>
      <c r="H28" s="20" t="inlineStr">
        <is>
          <t>완사입</t>
        </is>
      </c>
      <c r="I28" s="19" t="inlineStr">
        <is>
          <t>1차</t>
        </is>
      </c>
      <c r="J28" s="21" t="inlineStr">
        <is>
          <t>1월3주</t>
        </is>
      </c>
      <c r="K28" s="22">
        <f>IF($J28="","",IFERROR(DATE(IF(VALUE(LEFT($J28,FIND("월",$J28)-1))&gt;=9,기준정보!$C$7-1,기준정보!$C$7),VALUE(LEFT($J28,FIND("월",$J28)-1)),1+7*(VALUE(SUBSTITUTE(MID($J28,FIND("월",$J28)+1,5),"주",""))-1)),""))</f>
        <v/>
      </c>
      <c r="L28" s="22">
        <f>IF($K28="","",IF(AND($K28-기준정보!$C$5&gt;=기준정보!$C$10,$K28-기준정보!$C$5&lt;=기준정보!$C$11),기준정보!$C$10-1,$K28-기준정보!$C$5))</f>
        <v/>
      </c>
      <c r="M28" s="23">
        <f>IF($L28="","",IF(OR(ISNUMBER(SEARCH("중국",$W28)),ISNUMBER(SEARCH("베트남",$W28))),MAX(0,MIN($L28,기준정보!$C$9)-MAX($L28-기준정보!$C$6,기준정보!$C$8)+1),IF(ISNUMBER(SEARCH("한국",$W28)),MAX(0,MIN($L28,기준정보!$C$11)-MAX($L28-기준정보!$C$6,기준정보!$C$10)+1),0)))</f>
        <v/>
      </c>
      <c r="N28" s="22">
        <f>IF($L28="","",$L28-기준정보!$C$6-$M28)</f>
        <v/>
      </c>
      <c r="O28" s="24">
        <f>IF($N28="","",$N28-기준정보!$C$4)</f>
        <v/>
      </c>
      <c r="P28" s="21" t="n"/>
      <c r="Q28" s="21" t="inlineStr">
        <is>
          <t>X</t>
        </is>
      </c>
      <c r="R28" s="19">
        <f>IF(COUNTIF(EDW_RAW!$A$2:$A$1500,$D28)=0,"",IF(COUNTIFS(EDW_RAW!$A$2:$A$1500,$D28,EDW_RAW!$U$2:$U$1500,"&lt;&gt;~",EDW_RAW!$U$2:$U$1500,"&lt;&gt;")=COUNTIF(EDW_RAW!$A$2:$A$1500,$D28),"O",IF(COUNTIFS(EDW_RAW!$A$2:$A$1500,$D28,EDW_RAW!$U$2:$U$1500,"&lt;&gt;~",EDW_RAW!$U$2:$U$1500,"&lt;&gt;")&gt;0,"부분","X")))</f>
        <v/>
      </c>
      <c r="S28" s="25" t="n"/>
      <c r="T28" s="20">
        <f>IF($H28="","",IF(AND(ISNUMBER(SEARCH("CMT",$H28)),OR(ISNUMBER(SEARCH("완사입",$H28)),ISNUMBER(SEARCH("ODM",$H28)))),"본사/생산처 혼재",IF(ISNUMBER(SEARCH("CMT",$H28)),"본사(소재팀)","생산처")))</f>
        <v/>
      </c>
      <c r="U28" s="20" t="inlineStr">
        <is>
          <t>건우</t>
        </is>
      </c>
      <c r="V28" s="20">
        <f>IFERROR(TEXTJOIN(" / ",TRUE,UNIQUE(FILTER(소재DB_RAW!$K$3:$K$2000,(소재DB_RAW!$G$3:$G$2000=$D28)*ISERROR(SEARCH("drop",소재DB_RAW!$C$3:$C$2000))))),"")</f>
        <v/>
      </c>
      <c r="W28" s="20" t="inlineStr">
        <is>
          <t>국내</t>
        </is>
      </c>
      <c r="X28" s="20">
        <f>IFERROR(TEXTJOIN(" / ",TRUE,UNIQUE(FILTER(소재DB_RAW!$N$3:$N$2000,(소재DB_RAW!$G$3:$G$2000=$D28)*ISERROR(SEARCH("drop",소재DB_RAW!$C$3:$C$2000))))),"")</f>
        <v/>
      </c>
      <c r="Y28" s="26">
        <f>IFERROR(TEXTJOIN(CHAR(10),TRUE,UNIQUE(FILTER(소재DB_RAW!$N$3:$N$2000&amp;") "&amp;소재DB_RAW!$O$3:$O$2000,(소재DB_RAW!$G$3:$G$2000=$D28)*ISNUMBER(SEARCH("겉감",소재DB_RAW!$M$3:$M$2000))*ISERROR(SEARCH("drop",소재DB_RAW!$C$3:$C$2000))))),"")</f>
        <v/>
      </c>
      <c r="Z28" s="26">
        <f>IFERROR(TEXTJOIN(CHAR(10),TRUE,UNIQUE(FILTER(소재DB_RAW!$N$3:$N$2000&amp;") "&amp;소재DB_RAW!$O$3:$O$2000,(소재DB_RAW!$G$3:$G$2000=$D28)*ISNUMBER(SEARCH("안감",소재DB_RAW!$M$3:$M$2000))*ISERROR(SEARCH("drop",소재DB_RAW!$C$3:$C$2000))))),"")</f>
        <v/>
      </c>
      <c r="AA28" s="27" t="n">
        <v>0</v>
      </c>
      <c r="AB28" s="27" t="n">
        <v>2647059</v>
      </c>
      <c r="AC28" s="27" t="n">
        <v>9000000</v>
      </c>
      <c r="AD28" s="20" t="n"/>
      <c r="AE28" s="20">
        <f>IF($K28="","출고일 미정",IF($Q28="X","작지 미발행",IF($Q28="부분","작지 일부 미발행",IF(AND($S28&lt;&gt;"",$S28&gt;$N28),"소재입고 마감("&amp;TEXT($N28,"MM/DD")&amp;") 초과",IF($Q28="","발행여부 확인 필요",IF($S28="","소재 입고일정 확인 필요","정상"))))))</f>
        <v/>
      </c>
      <c r="AF28" s="19">
        <f>IF($K28="","",IF(OR(LEFT($AE28,2)="작지",LEFT($AE28,4)="소재입고"),IF(LEFT($G28,1)="S","★ 납기위험(S코드)","◆ 지연주의"),IF($AE28="정상","✓ 정상","? 확인필요")))</f>
        <v/>
      </c>
      <c r="AG28" s="21" t="n"/>
      <c r="AH28" s="28" t="n"/>
    </row>
    <row r="29">
      <c r="A29" s="19" t="n">
        <v>25</v>
      </c>
      <c r="B29" s="20" t="inlineStr">
        <is>
          <t>신인철</t>
        </is>
      </c>
      <c r="C29" s="20" t="inlineStr">
        <is>
          <t>장지은</t>
        </is>
      </c>
      <c r="D29" s="20" t="inlineStr">
        <is>
          <t>8NRES27104</t>
        </is>
      </c>
      <c r="E29" s="20" t="inlineStr">
        <is>
          <t>[WM] 남녀공용 쉐이드 캠프 캡</t>
        </is>
      </c>
      <c r="F29" s="20" t="inlineStr">
        <is>
          <t>TNA, BLK(BLACK)</t>
        </is>
      </c>
      <c r="G29" s="19">
        <f>IF($D29="","",IF(MID($D29,5,1)="S","S(봄)",IF(MID($D29,5,1)="M","M(여름)",IF(MID($D29,5,1)="X","X(사계절)",MID($D29,5,1)))))</f>
        <v/>
      </c>
      <c r="H29" s="20" t="inlineStr">
        <is>
          <t>완사입</t>
        </is>
      </c>
      <c r="I29" s="19" t="inlineStr">
        <is>
          <t>1차</t>
        </is>
      </c>
      <c r="J29" s="21" t="inlineStr">
        <is>
          <t>1월3주</t>
        </is>
      </c>
      <c r="K29" s="22">
        <f>IF($J29="","",IFERROR(DATE(IF(VALUE(LEFT($J29,FIND("월",$J29)-1))&gt;=9,기준정보!$C$7-1,기준정보!$C$7),VALUE(LEFT($J29,FIND("월",$J29)-1)),1+7*(VALUE(SUBSTITUTE(MID($J29,FIND("월",$J29)+1,5),"주",""))-1)),""))</f>
        <v/>
      </c>
      <c r="L29" s="22">
        <f>IF($K29="","",IF(AND($K29-기준정보!$C$5&gt;=기준정보!$C$10,$K29-기준정보!$C$5&lt;=기준정보!$C$11),기준정보!$C$10-1,$K29-기준정보!$C$5))</f>
        <v/>
      </c>
      <c r="M29" s="23">
        <f>IF($L29="","",IF(OR(ISNUMBER(SEARCH("중국",$W29)),ISNUMBER(SEARCH("베트남",$W29))),MAX(0,MIN($L29,기준정보!$C$9)-MAX($L29-기준정보!$C$6,기준정보!$C$8)+1),IF(ISNUMBER(SEARCH("한국",$W29)),MAX(0,MIN($L29,기준정보!$C$11)-MAX($L29-기준정보!$C$6,기준정보!$C$10)+1),0)))</f>
        <v/>
      </c>
      <c r="N29" s="22">
        <f>IF($L29="","",$L29-기준정보!$C$6-$M29)</f>
        <v/>
      </c>
      <c r="O29" s="24">
        <f>IF($N29="","",$N29-기준정보!$C$4)</f>
        <v/>
      </c>
      <c r="P29" s="21" t="n"/>
      <c r="Q29" s="21" t="inlineStr">
        <is>
          <t>X</t>
        </is>
      </c>
      <c r="R29" s="19">
        <f>IF(COUNTIF(EDW_RAW!$A$2:$A$1500,$D29)=0,"",IF(COUNTIFS(EDW_RAW!$A$2:$A$1500,$D29,EDW_RAW!$U$2:$U$1500,"&lt;&gt;~",EDW_RAW!$U$2:$U$1500,"&lt;&gt;")=COUNTIF(EDW_RAW!$A$2:$A$1500,$D29),"O",IF(COUNTIFS(EDW_RAW!$A$2:$A$1500,$D29,EDW_RAW!$U$2:$U$1500,"&lt;&gt;~",EDW_RAW!$U$2:$U$1500,"&lt;&gt;")&gt;0,"부분","X")))</f>
        <v/>
      </c>
      <c r="S29" s="25" t="n"/>
      <c r="T29" s="20">
        <f>IF($H29="","",IF(AND(ISNUMBER(SEARCH("CMT",$H29)),OR(ISNUMBER(SEARCH("완사입",$H29)),ISNUMBER(SEARCH("ODM",$H29)))),"본사/생산처 혼재",IF(ISNUMBER(SEARCH("CMT",$H29)),"본사(소재팀)","생산처")))</f>
        <v/>
      </c>
      <c r="U29" s="20" t="inlineStr">
        <is>
          <t>피앤지</t>
        </is>
      </c>
      <c r="V29" s="20">
        <f>IFERROR(TEXTJOIN(" / ",TRUE,UNIQUE(FILTER(소재DB_RAW!$K$3:$K$2000,(소재DB_RAW!$G$3:$G$2000=$D29)*ISERROR(SEARCH("drop",소재DB_RAW!$C$3:$C$2000))))),"")</f>
        <v/>
      </c>
      <c r="W29" s="20" t="inlineStr">
        <is>
          <t>베트남</t>
        </is>
      </c>
      <c r="X29" s="20">
        <f>IFERROR(TEXTJOIN(" / ",TRUE,UNIQUE(FILTER(소재DB_RAW!$N$3:$N$2000,(소재DB_RAW!$G$3:$G$2000=$D29)*ISERROR(SEARCH("drop",소재DB_RAW!$C$3:$C$2000))))),"")</f>
        <v/>
      </c>
      <c r="Y29" s="26">
        <f>IFERROR(TEXTJOIN(CHAR(10),TRUE,UNIQUE(FILTER(소재DB_RAW!$N$3:$N$2000&amp;") "&amp;소재DB_RAW!$O$3:$O$2000,(소재DB_RAW!$G$3:$G$2000=$D29)*ISNUMBER(SEARCH("겉감",소재DB_RAW!$M$3:$M$2000))*ISERROR(SEARCH("drop",소재DB_RAW!$C$3:$C$2000))))),"")</f>
        <v/>
      </c>
      <c r="Z29" s="26">
        <f>IFERROR(TEXTJOIN(CHAR(10),TRUE,UNIQUE(FILTER(소재DB_RAW!$N$3:$N$2000&amp;") "&amp;소재DB_RAW!$O$3:$O$2000,(소재DB_RAW!$G$3:$G$2000=$D29)*ISNUMBER(SEARCH("안감",소재DB_RAW!$M$3:$M$2000))*ISERROR(SEARCH("drop",소재DB_RAW!$C$3:$C$2000))))),"")</f>
        <v/>
      </c>
      <c r="AA29" s="27" t="n">
        <v>0</v>
      </c>
      <c r="AB29" s="27" t="n">
        <v>5735294</v>
      </c>
      <c r="AC29" s="27" t="n">
        <v>19500000</v>
      </c>
      <c r="AD29" s="20" t="n"/>
      <c r="AE29" s="20">
        <f>IF($K29="","출고일 미정",IF($Q29="X","작지 미발행",IF($Q29="부분","작지 일부 미발행",IF(AND($S29&lt;&gt;"",$S29&gt;$N29),"소재입고 마감("&amp;TEXT($N29,"MM/DD")&amp;") 초과",IF($Q29="","발행여부 확인 필요",IF($S29="","소재 입고일정 확인 필요","정상"))))))</f>
        <v/>
      </c>
      <c r="AF29" s="19">
        <f>IF($K29="","",IF(OR(LEFT($AE29,2)="작지",LEFT($AE29,4)="소재입고"),IF(LEFT($G29,1)="S","★ 납기위험(S코드)","◆ 지연주의"),IF($AE29="정상","✓ 정상","? 확인필요")))</f>
        <v/>
      </c>
      <c r="AG29" s="21" t="n"/>
      <c r="AH29" s="28" t="n"/>
    </row>
    <row r="30">
      <c r="A30" s="19" t="n">
        <v>26</v>
      </c>
      <c r="B30" s="20" t="inlineStr">
        <is>
          <t>신인철</t>
        </is>
      </c>
      <c r="C30" s="20" t="inlineStr">
        <is>
          <t>장지은</t>
        </is>
      </c>
      <c r="D30" s="20" t="inlineStr">
        <is>
          <t>8NRFS27101</t>
        </is>
      </c>
      <c r="E30" s="20" t="inlineStr">
        <is>
          <t>[WM] 남녀공용 그리드 매쉬 햇</t>
        </is>
      </c>
      <c r="F30" s="20" t="inlineStr">
        <is>
          <t>BLK(BLACK), TNA</t>
        </is>
      </c>
      <c r="G30" s="19">
        <f>IF($D30="","",IF(MID($D30,5,1)="S","S(봄)",IF(MID($D30,5,1)="M","M(여름)",IF(MID($D30,5,1)="X","X(사계절)",MID($D30,5,1)))))</f>
        <v/>
      </c>
      <c r="H30" s="20" t="inlineStr">
        <is>
          <t>완사입</t>
        </is>
      </c>
      <c r="I30" s="19" t="inlineStr">
        <is>
          <t>1차</t>
        </is>
      </c>
      <c r="J30" s="21" t="inlineStr">
        <is>
          <t>1월3주</t>
        </is>
      </c>
      <c r="K30" s="22">
        <f>IF($J30="","",IFERROR(DATE(IF(VALUE(LEFT($J30,FIND("월",$J30)-1))&gt;=9,기준정보!$C$7-1,기준정보!$C$7),VALUE(LEFT($J30,FIND("월",$J30)-1)),1+7*(VALUE(SUBSTITUTE(MID($J30,FIND("월",$J30)+1,5),"주",""))-1)),""))</f>
        <v/>
      </c>
      <c r="L30" s="22">
        <f>IF($K30="","",IF(AND($K30-기준정보!$C$5&gt;=기준정보!$C$10,$K30-기준정보!$C$5&lt;=기준정보!$C$11),기준정보!$C$10-1,$K30-기준정보!$C$5))</f>
        <v/>
      </c>
      <c r="M30" s="23">
        <f>IF($L30="","",IF(OR(ISNUMBER(SEARCH("중국",$W30)),ISNUMBER(SEARCH("베트남",$W30))),MAX(0,MIN($L30,기준정보!$C$9)-MAX($L30-기준정보!$C$6,기준정보!$C$8)+1),IF(ISNUMBER(SEARCH("한국",$W30)),MAX(0,MIN($L30,기준정보!$C$11)-MAX($L30-기준정보!$C$6,기준정보!$C$10)+1),0)))</f>
        <v/>
      </c>
      <c r="N30" s="22">
        <f>IF($L30="","",$L30-기준정보!$C$6-$M30)</f>
        <v/>
      </c>
      <c r="O30" s="24">
        <f>IF($N30="","",$N30-기준정보!$C$4)</f>
        <v/>
      </c>
      <c r="P30" s="21" t="n"/>
      <c r="Q30" s="21" t="inlineStr">
        <is>
          <t>X</t>
        </is>
      </c>
      <c r="R30" s="19">
        <f>IF(COUNTIF(EDW_RAW!$A$2:$A$1500,$D30)=0,"",IF(COUNTIFS(EDW_RAW!$A$2:$A$1500,$D30,EDW_RAW!$U$2:$U$1500,"&lt;&gt;~",EDW_RAW!$U$2:$U$1500,"&lt;&gt;")=COUNTIF(EDW_RAW!$A$2:$A$1500,$D30),"O",IF(COUNTIFS(EDW_RAW!$A$2:$A$1500,$D30,EDW_RAW!$U$2:$U$1500,"&lt;&gt;~",EDW_RAW!$U$2:$U$1500,"&lt;&gt;")&gt;0,"부분","X")))</f>
        <v/>
      </c>
      <c r="S30" s="25" t="n"/>
      <c r="T30" s="20">
        <f>IF($H30="","",IF(AND(ISNUMBER(SEARCH("CMT",$H30)),OR(ISNUMBER(SEARCH("완사입",$H30)),ISNUMBER(SEARCH("ODM",$H30)))),"본사/생산처 혼재",IF(ISNUMBER(SEARCH("CMT",$H30)),"본사(소재팀)","생산처")))</f>
        <v/>
      </c>
      <c r="U30" s="20" t="inlineStr">
        <is>
          <t>피앤지</t>
        </is>
      </c>
      <c r="V30" s="20">
        <f>IFERROR(TEXTJOIN(" / ",TRUE,UNIQUE(FILTER(소재DB_RAW!$K$3:$K$2000,(소재DB_RAW!$G$3:$G$2000=$D30)*ISERROR(SEARCH("drop",소재DB_RAW!$C$3:$C$2000))))),"")</f>
        <v/>
      </c>
      <c r="W30" s="20" t="inlineStr">
        <is>
          <t>베트남</t>
        </is>
      </c>
      <c r="X30" s="20">
        <f>IFERROR(TEXTJOIN(" / ",TRUE,UNIQUE(FILTER(소재DB_RAW!$N$3:$N$2000,(소재DB_RAW!$G$3:$G$2000=$D30)*ISERROR(SEARCH("drop",소재DB_RAW!$C$3:$C$2000))))),"")</f>
        <v/>
      </c>
      <c r="Y30" s="26">
        <f>IFERROR(TEXTJOIN(CHAR(10),TRUE,UNIQUE(FILTER(소재DB_RAW!$N$3:$N$2000&amp;") "&amp;소재DB_RAW!$O$3:$O$2000,(소재DB_RAW!$G$3:$G$2000=$D30)*ISNUMBER(SEARCH("겉감",소재DB_RAW!$M$3:$M$2000))*ISERROR(SEARCH("drop",소재DB_RAW!$C$3:$C$2000))))),"")</f>
        <v/>
      </c>
      <c r="Z30" s="26">
        <f>IFERROR(TEXTJOIN(CHAR(10),TRUE,UNIQUE(FILTER(소재DB_RAW!$N$3:$N$2000&amp;") "&amp;소재DB_RAW!$O$3:$O$2000,(소재DB_RAW!$G$3:$G$2000=$D30)*ISNUMBER(SEARCH("안감",소재DB_RAW!$M$3:$M$2000))*ISERROR(SEARCH("drop",소재DB_RAW!$C$3:$C$2000))))),"")</f>
        <v/>
      </c>
      <c r="AA30" s="27" t="n">
        <v>0</v>
      </c>
      <c r="AB30" s="27" t="n">
        <v>6000000</v>
      </c>
      <c r="AC30" s="27" t="n">
        <v>20400000</v>
      </c>
      <c r="AD30" s="20" t="n"/>
      <c r="AE30" s="20">
        <f>IF($K30="","출고일 미정",IF($Q30="X","작지 미발행",IF($Q30="부분","작지 일부 미발행",IF(AND($S30&lt;&gt;"",$S30&gt;$N30),"소재입고 마감("&amp;TEXT($N30,"MM/DD")&amp;") 초과",IF($Q30="","발행여부 확인 필요",IF($S30="","소재 입고일정 확인 필요","정상"))))))</f>
        <v/>
      </c>
      <c r="AF30" s="19">
        <f>IF($K30="","",IF(OR(LEFT($AE30,2)="작지",LEFT($AE30,4)="소재입고"),IF(LEFT($G30,1)="S","★ 납기위험(S코드)","◆ 지연주의"),IF($AE30="정상","✓ 정상","? 확인필요")))</f>
        <v/>
      </c>
      <c r="AG30" s="21" t="n"/>
      <c r="AH30" s="28" t="n"/>
    </row>
    <row r="31">
      <c r="A31" s="19" t="n">
        <v>27</v>
      </c>
      <c r="B31" s="20" t="inlineStr">
        <is>
          <t>신인철</t>
        </is>
      </c>
      <c r="C31" s="20" t="inlineStr">
        <is>
          <t>장지은</t>
        </is>
      </c>
      <c r="D31" s="20" t="inlineStr">
        <is>
          <t>8NRFS27102</t>
        </is>
      </c>
      <c r="E31" s="20" t="inlineStr">
        <is>
          <t>[WM] 남녀공용 패커블 립스탑 햇</t>
        </is>
      </c>
      <c r="F31" s="20" t="inlineStr">
        <is>
          <t>TBU, BLK(BLACK)</t>
        </is>
      </c>
      <c r="G31" s="19">
        <f>IF($D31="","",IF(MID($D31,5,1)="S","S(봄)",IF(MID($D31,5,1)="M","M(여름)",IF(MID($D31,5,1)="X","X(사계절)",MID($D31,5,1)))))</f>
        <v/>
      </c>
      <c r="H31" s="20" t="inlineStr">
        <is>
          <t>완사입</t>
        </is>
      </c>
      <c r="I31" s="19" t="inlineStr">
        <is>
          <t>1차</t>
        </is>
      </c>
      <c r="J31" s="21" t="inlineStr">
        <is>
          <t>1월3주</t>
        </is>
      </c>
      <c r="K31" s="22">
        <f>IF($J31="","",IFERROR(DATE(IF(VALUE(LEFT($J31,FIND("월",$J31)-1))&gt;=9,기준정보!$C$7-1,기준정보!$C$7),VALUE(LEFT($J31,FIND("월",$J31)-1)),1+7*(VALUE(SUBSTITUTE(MID($J31,FIND("월",$J31)+1,5),"주",""))-1)),""))</f>
        <v/>
      </c>
      <c r="L31" s="22">
        <f>IF($K31="","",IF(AND($K31-기준정보!$C$5&gt;=기준정보!$C$10,$K31-기준정보!$C$5&lt;=기준정보!$C$11),기준정보!$C$10-1,$K31-기준정보!$C$5))</f>
        <v/>
      </c>
      <c r="M31" s="23">
        <f>IF($L31="","",IF(OR(ISNUMBER(SEARCH("중국",$W31)),ISNUMBER(SEARCH("베트남",$W31))),MAX(0,MIN($L31,기준정보!$C$9)-MAX($L31-기준정보!$C$6,기준정보!$C$8)+1),IF(ISNUMBER(SEARCH("한국",$W31)),MAX(0,MIN($L31,기준정보!$C$11)-MAX($L31-기준정보!$C$6,기준정보!$C$10)+1),0)))</f>
        <v/>
      </c>
      <c r="N31" s="22">
        <f>IF($L31="","",$L31-기준정보!$C$6-$M31)</f>
        <v/>
      </c>
      <c r="O31" s="24">
        <f>IF($N31="","",$N31-기준정보!$C$4)</f>
        <v/>
      </c>
      <c r="P31" s="21" t="n"/>
      <c r="Q31" s="21" t="inlineStr">
        <is>
          <t>X</t>
        </is>
      </c>
      <c r="R31" s="19">
        <f>IF(COUNTIF(EDW_RAW!$A$2:$A$1500,$D31)=0,"",IF(COUNTIFS(EDW_RAW!$A$2:$A$1500,$D31,EDW_RAW!$U$2:$U$1500,"&lt;&gt;~",EDW_RAW!$U$2:$U$1500,"&lt;&gt;")=COUNTIF(EDW_RAW!$A$2:$A$1500,$D31),"O",IF(COUNTIFS(EDW_RAW!$A$2:$A$1500,$D31,EDW_RAW!$U$2:$U$1500,"&lt;&gt;~",EDW_RAW!$U$2:$U$1500,"&lt;&gt;")&gt;0,"부분","X")))</f>
        <v/>
      </c>
      <c r="S31" s="25" t="n"/>
      <c r="T31" s="20">
        <f>IF($H31="","",IF(AND(ISNUMBER(SEARCH("CMT",$H31)),OR(ISNUMBER(SEARCH("완사입",$H31)),ISNUMBER(SEARCH("ODM",$H31)))),"본사/생산처 혼재",IF(ISNUMBER(SEARCH("CMT",$H31)),"본사(소재팀)","생산처")))</f>
        <v/>
      </c>
      <c r="U31" s="20" t="inlineStr">
        <is>
          <t>피앤지</t>
        </is>
      </c>
      <c r="V31" s="20">
        <f>IFERROR(TEXTJOIN(" / ",TRUE,UNIQUE(FILTER(소재DB_RAW!$K$3:$K$2000,(소재DB_RAW!$G$3:$G$2000=$D31)*ISERROR(SEARCH("drop",소재DB_RAW!$C$3:$C$2000))))),"")</f>
        <v/>
      </c>
      <c r="W31" s="20" t="inlineStr">
        <is>
          <t>베트남</t>
        </is>
      </c>
      <c r="X31" s="20">
        <f>IFERROR(TEXTJOIN(" / ",TRUE,UNIQUE(FILTER(소재DB_RAW!$N$3:$N$2000,(소재DB_RAW!$G$3:$G$2000=$D31)*ISERROR(SEARCH("drop",소재DB_RAW!$C$3:$C$2000))))),"")</f>
        <v/>
      </c>
      <c r="Y31" s="26">
        <f>IFERROR(TEXTJOIN(CHAR(10),TRUE,UNIQUE(FILTER(소재DB_RAW!$N$3:$N$2000&amp;") "&amp;소재DB_RAW!$O$3:$O$2000,(소재DB_RAW!$G$3:$G$2000=$D31)*ISNUMBER(SEARCH("겉감",소재DB_RAW!$M$3:$M$2000))*ISERROR(SEARCH("drop",소재DB_RAW!$C$3:$C$2000))))),"")</f>
        <v/>
      </c>
      <c r="Z31" s="26">
        <f>IFERROR(TEXTJOIN(CHAR(10),TRUE,UNIQUE(FILTER(소재DB_RAW!$N$3:$N$2000&amp;") "&amp;소재DB_RAW!$O$3:$O$2000,(소재DB_RAW!$G$3:$G$2000=$D31)*ISNUMBER(SEARCH("안감",소재DB_RAW!$M$3:$M$2000))*ISERROR(SEARCH("drop",소재DB_RAW!$C$3:$C$2000))))),"")</f>
        <v/>
      </c>
      <c r="AA31" s="27" t="n">
        <v>0</v>
      </c>
      <c r="AB31" s="27" t="n">
        <v>5735294</v>
      </c>
      <c r="AC31" s="27" t="n">
        <v>19500000</v>
      </c>
      <c r="AD31" s="20" t="n"/>
      <c r="AE31" s="20">
        <f>IF($K31="","출고일 미정",IF($Q31="X","작지 미발행",IF($Q31="부분","작지 일부 미발행",IF(AND($S31&lt;&gt;"",$S31&gt;$N31),"소재입고 마감("&amp;TEXT($N31,"MM/DD")&amp;") 초과",IF($Q31="","발행여부 확인 필요",IF($S31="","소재 입고일정 확인 필요","정상"))))))</f>
        <v/>
      </c>
      <c r="AF31" s="19">
        <f>IF($K31="","",IF(OR(LEFT($AE31,2)="작지",LEFT($AE31,4)="소재입고"),IF(LEFT($G31,1)="S","★ 납기위험(S코드)","◆ 지연주의"),IF($AE31="정상","✓ 정상","? 확인필요")))</f>
        <v/>
      </c>
      <c r="AG31" s="21" t="n"/>
      <c r="AH31" s="28" t="n"/>
    </row>
    <row r="32">
      <c r="A32" s="19" t="n">
        <v>28</v>
      </c>
      <c r="B32" s="20" t="inlineStr">
        <is>
          <t>신인철</t>
        </is>
      </c>
      <c r="C32" s="20" t="inlineStr">
        <is>
          <t>안세진</t>
        </is>
      </c>
      <c r="D32" s="20" t="inlineStr">
        <is>
          <t>8NRFS27103</t>
        </is>
      </c>
      <c r="E32" s="20" t="inlineStr">
        <is>
          <t>[WM] 남녀공용 쉐이드 버킷 햇</t>
        </is>
      </c>
      <c r="F32" s="20" t="inlineStr">
        <is>
          <t>KHA(KHAKI), BLK(BLACK), OWH</t>
        </is>
      </c>
      <c r="G32" s="19">
        <f>IF($D32="","",IF(MID($D32,5,1)="S","S(봄)",IF(MID($D32,5,1)="M","M(여름)",IF(MID($D32,5,1)="X","X(사계절)",MID($D32,5,1)))))</f>
        <v/>
      </c>
      <c r="H32" s="20" t="inlineStr">
        <is>
          <t>완사입</t>
        </is>
      </c>
      <c r="I32" s="19" t="inlineStr">
        <is>
          <t>1차</t>
        </is>
      </c>
      <c r="J32" s="21" t="inlineStr">
        <is>
          <t>1월3주</t>
        </is>
      </c>
      <c r="K32" s="22">
        <f>IF($J32="","",IFERROR(DATE(IF(VALUE(LEFT($J32,FIND("월",$J32)-1))&gt;=9,기준정보!$C$7-1,기준정보!$C$7),VALUE(LEFT($J32,FIND("월",$J32)-1)),1+7*(VALUE(SUBSTITUTE(MID($J32,FIND("월",$J32)+1,5),"주",""))-1)),""))</f>
        <v/>
      </c>
      <c r="L32" s="22">
        <f>IF($K32="","",IF(AND($K32-기준정보!$C$5&gt;=기준정보!$C$10,$K32-기준정보!$C$5&lt;=기준정보!$C$11),기준정보!$C$10-1,$K32-기준정보!$C$5))</f>
        <v/>
      </c>
      <c r="M32" s="23">
        <f>IF($L32="","",IF(OR(ISNUMBER(SEARCH("중국",$W32)),ISNUMBER(SEARCH("베트남",$W32))),MAX(0,MIN($L32,기준정보!$C$9)-MAX($L32-기준정보!$C$6,기준정보!$C$8)+1),IF(ISNUMBER(SEARCH("한국",$W32)),MAX(0,MIN($L32,기준정보!$C$11)-MAX($L32-기준정보!$C$6,기준정보!$C$10)+1),0)))</f>
        <v/>
      </c>
      <c r="N32" s="22">
        <f>IF($L32="","",$L32-기준정보!$C$6-$M32)</f>
        <v/>
      </c>
      <c r="O32" s="24">
        <f>IF($N32="","",$N32-기준정보!$C$4)</f>
        <v/>
      </c>
      <c r="P32" s="21" t="n"/>
      <c r="Q32" s="21" t="inlineStr">
        <is>
          <t>X</t>
        </is>
      </c>
      <c r="R32" s="19">
        <f>IF(COUNTIF(EDW_RAW!$A$2:$A$1500,$D32)=0,"",IF(COUNTIFS(EDW_RAW!$A$2:$A$1500,$D32,EDW_RAW!$U$2:$U$1500,"&lt;&gt;~",EDW_RAW!$U$2:$U$1500,"&lt;&gt;")=COUNTIF(EDW_RAW!$A$2:$A$1500,$D32),"O",IF(COUNTIFS(EDW_RAW!$A$2:$A$1500,$D32,EDW_RAW!$U$2:$U$1500,"&lt;&gt;~",EDW_RAW!$U$2:$U$1500,"&lt;&gt;")&gt;0,"부분","X")))</f>
        <v/>
      </c>
      <c r="S32" s="25" t="n"/>
      <c r="T32" s="20">
        <f>IF($H32="","",IF(AND(ISNUMBER(SEARCH("CMT",$H32)),OR(ISNUMBER(SEARCH("완사입",$H32)),ISNUMBER(SEARCH("ODM",$H32)))),"본사/생산처 혼재",IF(ISNUMBER(SEARCH("CMT",$H32)),"본사(소재팀)","생산처")))</f>
        <v/>
      </c>
      <c r="U32" s="20" t="inlineStr">
        <is>
          <t>피앤지</t>
        </is>
      </c>
      <c r="V32" s="20">
        <f>IFERROR(TEXTJOIN(" / ",TRUE,UNIQUE(FILTER(소재DB_RAW!$K$3:$K$2000,(소재DB_RAW!$G$3:$G$2000=$D32)*ISERROR(SEARCH("drop",소재DB_RAW!$C$3:$C$2000))))),"")</f>
        <v/>
      </c>
      <c r="W32" s="20" t="inlineStr">
        <is>
          <t>베트남</t>
        </is>
      </c>
      <c r="X32" s="20">
        <f>IFERROR(TEXTJOIN(" / ",TRUE,UNIQUE(FILTER(소재DB_RAW!$N$3:$N$2000,(소재DB_RAW!$G$3:$G$2000=$D32)*ISERROR(SEARCH("drop",소재DB_RAW!$C$3:$C$2000))))),"")</f>
        <v/>
      </c>
      <c r="Y32" s="26">
        <f>IFERROR(TEXTJOIN(CHAR(10),TRUE,UNIQUE(FILTER(소재DB_RAW!$N$3:$N$2000&amp;") "&amp;소재DB_RAW!$O$3:$O$2000,(소재DB_RAW!$G$3:$G$2000=$D32)*ISNUMBER(SEARCH("겉감",소재DB_RAW!$M$3:$M$2000))*ISERROR(SEARCH("drop",소재DB_RAW!$C$3:$C$2000))))),"")</f>
        <v/>
      </c>
      <c r="Z32" s="26">
        <f>IFERROR(TEXTJOIN(CHAR(10),TRUE,UNIQUE(FILTER(소재DB_RAW!$N$3:$N$2000&amp;") "&amp;소재DB_RAW!$O$3:$O$2000,(소재DB_RAW!$G$3:$G$2000=$D32)*ISNUMBER(SEARCH("안감",소재DB_RAW!$M$3:$M$2000))*ISERROR(SEARCH("drop",소재DB_RAW!$C$3:$C$2000))))),"")</f>
        <v/>
      </c>
      <c r="AA32" s="27" t="n">
        <v>0</v>
      </c>
      <c r="AB32" s="27" t="n">
        <v>13764706</v>
      </c>
      <c r="AC32" s="27" t="n">
        <v>46800000</v>
      </c>
      <c r="AD32" s="20" t="n"/>
      <c r="AE32" s="20">
        <f>IF($K32="","출고일 미정",IF($Q32="X","작지 미발행",IF($Q32="부분","작지 일부 미발행",IF(AND($S32&lt;&gt;"",$S32&gt;$N32),"소재입고 마감("&amp;TEXT($N32,"MM/DD")&amp;") 초과",IF($Q32="","발행여부 확인 필요",IF($S32="","소재 입고일정 확인 필요","정상"))))))</f>
        <v/>
      </c>
      <c r="AF32" s="19">
        <f>IF($K32="","",IF(OR(LEFT($AE32,2)="작지",LEFT($AE32,4)="소재입고"),IF(LEFT($G32,1)="S","★ 납기위험(S코드)","◆ 지연주의"),IF($AE32="정상","✓ 정상","? 확인필요")))</f>
        <v/>
      </c>
      <c r="AG32" s="21" t="n"/>
      <c r="AH32" s="28" t="n"/>
    </row>
    <row r="33">
      <c r="A33" s="19" t="n">
        <v>29</v>
      </c>
      <c r="B33" s="20" t="inlineStr">
        <is>
          <t>신인철</t>
        </is>
      </c>
      <c r="C33" s="20" t="inlineStr">
        <is>
          <t>장지은</t>
        </is>
      </c>
      <c r="D33" s="20" t="inlineStr">
        <is>
          <t>8UJJS27101</t>
        </is>
      </c>
      <c r="E33" s="20" t="inlineStr">
        <is>
          <t>[WM] 남녀공용 익스퍼트 소프트쉘 재킷</t>
        </is>
      </c>
      <c r="F33" s="20" t="inlineStr">
        <is>
          <t>BLK(BLACK)</t>
        </is>
      </c>
      <c r="G33" s="19">
        <f>IF($D33="","",IF(MID($D33,5,1)="S","S(봄)",IF(MID($D33,5,1)="M","M(여름)",IF(MID($D33,5,1)="X","X(사계절)",MID($D33,5,1)))))</f>
        <v/>
      </c>
      <c r="H33" s="20" t="inlineStr">
        <is>
          <t>완사입</t>
        </is>
      </c>
      <c r="I33" s="19" t="inlineStr">
        <is>
          <t>1차</t>
        </is>
      </c>
      <c r="J33" s="21" t="inlineStr">
        <is>
          <t>1월3주</t>
        </is>
      </c>
      <c r="K33" s="22">
        <f>IF($J33="","",IFERROR(DATE(IF(VALUE(LEFT($J33,FIND("월",$J33)-1))&gt;=9,기준정보!$C$7-1,기준정보!$C$7),VALUE(LEFT($J33,FIND("월",$J33)-1)),1+7*(VALUE(SUBSTITUTE(MID($J33,FIND("월",$J33)+1,5),"주",""))-1)),""))</f>
        <v/>
      </c>
      <c r="L33" s="22">
        <f>IF($K33="","",IF(AND($K33-기준정보!$C$5&gt;=기준정보!$C$10,$K33-기준정보!$C$5&lt;=기준정보!$C$11),기준정보!$C$10-1,$K33-기준정보!$C$5))</f>
        <v/>
      </c>
      <c r="M33" s="23">
        <f>IF($L33="","",IF(OR(ISNUMBER(SEARCH("중국",$W33)),ISNUMBER(SEARCH("베트남",$W33))),MAX(0,MIN($L33,기준정보!$C$9)-MAX($L33-기준정보!$C$6,기준정보!$C$8)+1),IF(ISNUMBER(SEARCH("한국",$W33)),MAX(0,MIN($L33,기준정보!$C$11)-MAX($L33-기준정보!$C$6,기준정보!$C$10)+1),0)))</f>
        <v/>
      </c>
      <c r="N33" s="22">
        <f>IF($L33="","",$L33-기준정보!$C$6-$M33)</f>
        <v/>
      </c>
      <c r="O33" s="24">
        <f>IF($N33="","",$N33-기준정보!$C$4)</f>
        <v/>
      </c>
      <c r="P33" s="21" t="n"/>
      <c r="Q33" s="21" t="inlineStr">
        <is>
          <t>X</t>
        </is>
      </c>
      <c r="R33" s="19">
        <f>IF(COUNTIF(EDW_RAW!$A$2:$A$1500,$D33)=0,"",IF(COUNTIFS(EDW_RAW!$A$2:$A$1500,$D33,EDW_RAW!$U$2:$U$1500,"&lt;&gt;~",EDW_RAW!$U$2:$U$1500,"&lt;&gt;")=COUNTIF(EDW_RAW!$A$2:$A$1500,$D33),"O",IF(COUNTIFS(EDW_RAW!$A$2:$A$1500,$D33,EDW_RAW!$U$2:$U$1500,"&lt;&gt;~",EDW_RAW!$U$2:$U$1500,"&lt;&gt;")&gt;0,"부분","X")))</f>
        <v/>
      </c>
      <c r="S33" s="25" t="n"/>
      <c r="T33" s="20">
        <f>IF($H33="","",IF(AND(ISNUMBER(SEARCH("CMT",$H33)),OR(ISNUMBER(SEARCH("완사입",$H33)),ISNUMBER(SEARCH("ODM",$H33)))),"본사/생산처 혼재",IF(ISNUMBER(SEARCH("CMT",$H33)),"본사(소재팀)","생산처")))</f>
        <v/>
      </c>
      <c r="U33" s="20" t="inlineStr">
        <is>
          <t>원전</t>
        </is>
      </c>
      <c r="V33" s="20">
        <f>IFERROR(TEXTJOIN(" / ",TRUE,UNIQUE(FILTER(소재DB_RAW!$K$3:$K$2000,(소재DB_RAW!$G$3:$G$2000=$D33)*ISERROR(SEARCH("drop",소재DB_RAW!$C$3:$C$2000))))),"")</f>
        <v/>
      </c>
      <c r="W33" s="20" t="inlineStr">
        <is>
          <t>베트남</t>
        </is>
      </c>
      <c r="X33" s="20">
        <f>IFERROR(TEXTJOIN(" / ",TRUE,UNIQUE(FILTER(소재DB_RAW!$N$3:$N$2000,(소재DB_RAW!$G$3:$G$2000=$D33)*ISERROR(SEARCH("drop",소재DB_RAW!$C$3:$C$2000))))),"")</f>
        <v/>
      </c>
      <c r="Y33" s="26">
        <f>IFERROR(TEXTJOIN(CHAR(10),TRUE,UNIQUE(FILTER(소재DB_RAW!$N$3:$N$2000&amp;") "&amp;소재DB_RAW!$O$3:$O$2000,(소재DB_RAW!$G$3:$G$2000=$D33)*ISNUMBER(SEARCH("겉감",소재DB_RAW!$M$3:$M$2000))*ISERROR(SEARCH("drop",소재DB_RAW!$C$3:$C$2000))))),"")</f>
        <v/>
      </c>
      <c r="Z33" s="26">
        <f>IFERROR(TEXTJOIN(CHAR(10),TRUE,UNIQUE(FILTER(소재DB_RAW!$N$3:$N$2000&amp;") "&amp;소재DB_RAW!$O$3:$O$2000,(소재DB_RAW!$G$3:$G$2000=$D33)*ISNUMBER(SEARCH("안감",소재DB_RAW!$M$3:$M$2000))*ISERROR(SEARCH("drop",소재DB_RAW!$C$3:$C$2000))))),"")</f>
        <v/>
      </c>
      <c r="AA33" s="27" t="n">
        <v>0</v>
      </c>
      <c r="AB33" s="27" t="n">
        <v>0</v>
      </c>
      <c r="AC33" s="27" t="n">
        <v>0</v>
      </c>
      <c r="AD33" s="20" t="n"/>
      <c r="AE33" s="20">
        <f>IF($K33="","출고일 미정",IF($Q33="X","작지 미발행",IF($Q33="부분","작지 일부 미발행",IF(AND($S33&lt;&gt;"",$S33&gt;$N33),"소재입고 마감("&amp;TEXT($N33,"MM/DD")&amp;") 초과",IF($Q33="","발행여부 확인 필요",IF($S33="","소재 입고일정 확인 필요","정상"))))))</f>
        <v/>
      </c>
      <c r="AF33" s="19">
        <f>IF($K33="","",IF(OR(LEFT($AE33,2)="작지",LEFT($AE33,4)="소재입고"),IF(LEFT($G33,1)="S","★ 납기위험(S코드)","◆ 지연주의"),IF($AE33="정상","✓ 정상","? 확인필요")))</f>
        <v/>
      </c>
      <c r="AG33" s="21" t="n"/>
      <c r="AH33" s="28" t="n"/>
    </row>
    <row r="34">
      <c r="A34" s="19" t="n">
        <v>30</v>
      </c>
      <c r="B34" s="20" t="inlineStr">
        <is>
          <t>신인철</t>
        </is>
      </c>
      <c r="C34" s="20" t="inlineStr">
        <is>
          <t>장지은</t>
        </is>
      </c>
      <c r="D34" s="20" t="inlineStr">
        <is>
          <t>8UJJS27102</t>
        </is>
      </c>
      <c r="E34" s="20" t="inlineStr">
        <is>
          <t>[WM] 남녀공용 버그 메쉬 재킷</t>
        </is>
      </c>
      <c r="F34" s="20" t="inlineStr">
        <is>
          <t>TNA, BLK(BLACK)</t>
        </is>
      </c>
      <c r="G34" s="19">
        <f>IF($D34="","",IF(MID($D34,5,1)="S","S(봄)",IF(MID($D34,5,1)="M","M(여름)",IF(MID($D34,5,1)="X","X(사계절)",MID($D34,5,1)))))</f>
        <v/>
      </c>
      <c r="H34" s="20" t="inlineStr">
        <is>
          <t>완사입</t>
        </is>
      </c>
      <c r="I34" s="19" t="inlineStr">
        <is>
          <t>1차</t>
        </is>
      </c>
      <c r="J34" s="21" t="inlineStr">
        <is>
          <t>1월3주</t>
        </is>
      </c>
      <c r="K34" s="22">
        <f>IF($J34="","",IFERROR(DATE(IF(VALUE(LEFT($J34,FIND("월",$J34)-1))&gt;=9,기준정보!$C$7-1,기준정보!$C$7),VALUE(LEFT($J34,FIND("월",$J34)-1)),1+7*(VALUE(SUBSTITUTE(MID($J34,FIND("월",$J34)+1,5),"주",""))-1)),""))</f>
        <v/>
      </c>
      <c r="L34" s="22">
        <f>IF($K34="","",IF(AND($K34-기준정보!$C$5&gt;=기준정보!$C$10,$K34-기준정보!$C$5&lt;=기준정보!$C$11),기준정보!$C$10-1,$K34-기준정보!$C$5))</f>
        <v/>
      </c>
      <c r="M34" s="23">
        <f>IF($L34="","",IF(OR(ISNUMBER(SEARCH("중국",$W34)),ISNUMBER(SEARCH("베트남",$W34))),MAX(0,MIN($L34,기준정보!$C$9)-MAX($L34-기준정보!$C$6,기준정보!$C$8)+1),IF(ISNUMBER(SEARCH("한국",$W34)),MAX(0,MIN($L34,기준정보!$C$11)-MAX($L34-기준정보!$C$6,기준정보!$C$10)+1),0)))</f>
        <v/>
      </c>
      <c r="N34" s="22">
        <f>IF($L34="","",$L34-기준정보!$C$6-$M34)</f>
        <v/>
      </c>
      <c r="O34" s="24">
        <f>IF($N34="","",$N34-기준정보!$C$4)</f>
        <v/>
      </c>
      <c r="P34" s="21" t="n"/>
      <c r="Q34" s="21" t="inlineStr">
        <is>
          <t>X</t>
        </is>
      </c>
      <c r="R34" s="19">
        <f>IF(COUNTIF(EDW_RAW!$A$2:$A$1500,$D34)=0,"",IF(COUNTIFS(EDW_RAW!$A$2:$A$1500,$D34,EDW_RAW!$U$2:$U$1500,"&lt;&gt;~",EDW_RAW!$U$2:$U$1500,"&lt;&gt;")=COUNTIF(EDW_RAW!$A$2:$A$1500,$D34),"O",IF(COUNTIFS(EDW_RAW!$A$2:$A$1500,$D34,EDW_RAW!$U$2:$U$1500,"&lt;&gt;~",EDW_RAW!$U$2:$U$1500,"&lt;&gt;")&gt;0,"부분","X")))</f>
        <v/>
      </c>
      <c r="S34" s="25" t="n"/>
      <c r="T34" s="20">
        <f>IF($H34="","",IF(AND(ISNUMBER(SEARCH("CMT",$H34)),OR(ISNUMBER(SEARCH("완사입",$H34)),ISNUMBER(SEARCH("ODM",$H34)))),"본사/생산처 혼재",IF(ISNUMBER(SEARCH("CMT",$H34)),"본사(소재팀)","생산처")))</f>
        <v/>
      </c>
      <c r="U34" s="20" t="inlineStr">
        <is>
          <t>원전</t>
        </is>
      </c>
      <c r="V34" s="20">
        <f>IFERROR(TEXTJOIN(" / ",TRUE,UNIQUE(FILTER(소재DB_RAW!$K$3:$K$2000,(소재DB_RAW!$G$3:$G$2000=$D34)*ISERROR(SEARCH("drop",소재DB_RAW!$C$3:$C$2000))))),"")</f>
        <v/>
      </c>
      <c r="W34" s="20" t="inlineStr">
        <is>
          <t>베트남</t>
        </is>
      </c>
      <c r="X34" s="20">
        <f>IFERROR(TEXTJOIN(" / ",TRUE,UNIQUE(FILTER(소재DB_RAW!$N$3:$N$2000,(소재DB_RAW!$G$3:$G$2000=$D34)*ISERROR(SEARCH("drop",소재DB_RAW!$C$3:$C$2000))))),"")</f>
        <v/>
      </c>
      <c r="Y34" s="26">
        <f>IFERROR(TEXTJOIN(CHAR(10),TRUE,UNIQUE(FILTER(소재DB_RAW!$N$3:$N$2000&amp;") "&amp;소재DB_RAW!$O$3:$O$2000,(소재DB_RAW!$G$3:$G$2000=$D34)*ISNUMBER(SEARCH("겉감",소재DB_RAW!$M$3:$M$2000))*ISERROR(SEARCH("drop",소재DB_RAW!$C$3:$C$2000))))),"")</f>
        <v/>
      </c>
      <c r="Z34" s="26">
        <f>IFERROR(TEXTJOIN(CHAR(10),TRUE,UNIQUE(FILTER(소재DB_RAW!$N$3:$N$2000&amp;") "&amp;소재DB_RAW!$O$3:$O$2000,(소재DB_RAW!$G$3:$G$2000=$D34)*ISNUMBER(SEARCH("안감",소재DB_RAW!$M$3:$M$2000))*ISERROR(SEARCH("drop",소재DB_RAW!$C$3:$C$2000))))),"")</f>
        <v/>
      </c>
      <c r="AA34" s="27" t="n">
        <v>0</v>
      </c>
      <c r="AB34" s="27" t="n">
        <v>39819200</v>
      </c>
      <c r="AC34" s="27" t="n">
        <v>140000000</v>
      </c>
      <c r="AD34" s="20" t="n"/>
      <c r="AE34" s="20">
        <f>IF($K34="","출고일 미정",IF($Q34="X","작지 미발행",IF($Q34="부분","작지 일부 미발행",IF(AND($S34&lt;&gt;"",$S34&gt;$N34),"소재입고 마감("&amp;TEXT($N34,"MM/DD")&amp;") 초과",IF($Q34="","발행여부 확인 필요",IF($S34="","소재 입고일정 확인 필요","정상"))))))</f>
        <v/>
      </c>
      <c r="AF34" s="19">
        <f>IF($K34="","",IF(OR(LEFT($AE34,2)="작지",LEFT($AE34,4)="소재입고"),IF(LEFT($G34,1)="S","★ 납기위험(S코드)","◆ 지연주의"),IF($AE34="정상","✓ 정상","? 확인필요")))</f>
        <v/>
      </c>
      <c r="AG34" s="21" t="n"/>
      <c r="AH34" s="28" t="n"/>
    </row>
    <row r="35">
      <c r="A35" s="19" t="n">
        <v>31</v>
      </c>
      <c r="B35" s="20" t="inlineStr">
        <is>
          <t>신인철</t>
        </is>
      </c>
      <c r="C35" s="20" t="inlineStr">
        <is>
          <t>장지은</t>
        </is>
      </c>
      <c r="D35" s="20" t="inlineStr">
        <is>
          <t>8UJJS27105</t>
        </is>
      </c>
      <c r="E35" s="20" t="inlineStr">
        <is>
          <t>[WM] 남녀공용 익스퍼트 어프로치 재킷</t>
        </is>
      </c>
      <c r="F35" s="20" t="inlineStr">
        <is>
          <t>DKH(D/KHAKI), CHA(CHARCOAL)</t>
        </is>
      </c>
      <c r="G35" s="19">
        <f>IF($D35="","",IF(MID($D35,5,1)="S","S(봄)",IF(MID($D35,5,1)="M","M(여름)",IF(MID($D35,5,1)="X","X(사계절)",MID($D35,5,1)))))</f>
        <v/>
      </c>
      <c r="H35" s="20" t="inlineStr">
        <is>
          <t>완사입</t>
        </is>
      </c>
      <c r="I35" s="19" t="inlineStr">
        <is>
          <t>1차</t>
        </is>
      </c>
      <c r="J35" s="21" t="inlineStr">
        <is>
          <t>1월3주</t>
        </is>
      </c>
      <c r="K35" s="22">
        <f>IF($J35="","",IFERROR(DATE(IF(VALUE(LEFT($J35,FIND("월",$J35)-1))&gt;=9,기준정보!$C$7-1,기준정보!$C$7),VALUE(LEFT($J35,FIND("월",$J35)-1)),1+7*(VALUE(SUBSTITUTE(MID($J35,FIND("월",$J35)+1,5),"주",""))-1)),""))</f>
        <v/>
      </c>
      <c r="L35" s="22">
        <f>IF($K35="","",IF(AND($K35-기준정보!$C$5&gt;=기준정보!$C$10,$K35-기준정보!$C$5&lt;=기준정보!$C$11),기준정보!$C$10-1,$K35-기준정보!$C$5))</f>
        <v/>
      </c>
      <c r="M35" s="23">
        <f>IF($L35="","",IF(OR(ISNUMBER(SEARCH("중국",$W35)),ISNUMBER(SEARCH("베트남",$W35))),MAX(0,MIN($L35,기준정보!$C$9)-MAX($L35-기준정보!$C$6,기준정보!$C$8)+1),IF(ISNUMBER(SEARCH("한국",$W35)),MAX(0,MIN($L35,기준정보!$C$11)-MAX($L35-기준정보!$C$6,기준정보!$C$10)+1),0)))</f>
        <v/>
      </c>
      <c r="N35" s="22">
        <f>IF($L35="","",$L35-기준정보!$C$6-$M35)</f>
        <v/>
      </c>
      <c r="O35" s="24">
        <f>IF($N35="","",$N35-기준정보!$C$4)</f>
        <v/>
      </c>
      <c r="P35" s="21" t="n"/>
      <c r="Q35" s="21" t="inlineStr">
        <is>
          <t>X</t>
        </is>
      </c>
      <c r="R35" s="19">
        <f>IF(COUNTIF(EDW_RAW!$A$2:$A$1500,$D35)=0,"",IF(COUNTIFS(EDW_RAW!$A$2:$A$1500,$D35,EDW_RAW!$U$2:$U$1500,"&lt;&gt;~",EDW_RAW!$U$2:$U$1500,"&lt;&gt;")=COUNTIF(EDW_RAW!$A$2:$A$1500,$D35),"O",IF(COUNTIFS(EDW_RAW!$A$2:$A$1500,$D35,EDW_RAW!$U$2:$U$1500,"&lt;&gt;~",EDW_RAW!$U$2:$U$1500,"&lt;&gt;")&gt;0,"부분","X")))</f>
        <v/>
      </c>
      <c r="S35" s="25" t="n"/>
      <c r="T35" s="20">
        <f>IF($H35="","",IF(AND(ISNUMBER(SEARCH("CMT",$H35)),OR(ISNUMBER(SEARCH("완사입",$H35)),ISNUMBER(SEARCH("ODM",$H35)))),"본사/생산처 혼재",IF(ISNUMBER(SEARCH("CMT",$H35)),"본사(소재팀)","생산처")))</f>
        <v/>
      </c>
      <c r="U35" s="20" t="inlineStr">
        <is>
          <t>원전</t>
        </is>
      </c>
      <c r="V35" s="20">
        <f>IFERROR(TEXTJOIN(" / ",TRUE,UNIQUE(FILTER(소재DB_RAW!$K$3:$K$2000,(소재DB_RAW!$G$3:$G$2000=$D35)*ISERROR(SEARCH("drop",소재DB_RAW!$C$3:$C$2000))))),"")</f>
        <v/>
      </c>
      <c r="W35" s="20" t="inlineStr">
        <is>
          <t>베트남</t>
        </is>
      </c>
      <c r="X35" s="20">
        <f>IFERROR(TEXTJOIN(" / ",TRUE,UNIQUE(FILTER(소재DB_RAW!$N$3:$N$2000,(소재DB_RAW!$G$3:$G$2000=$D35)*ISERROR(SEARCH("drop",소재DB_RAW!$C$3:$C$2000))))),"")</f>
        <v/>
      </c>
      <c r="Y35" s="26">
        <f>IFERROR(TEXTJOIN(CHAR(10),TRUE,UNIQUE(FILTER(소재DB_RAW!$N$3:$N$2000&amp;") "&amp;소재DB_RAW!$O$3:$O$2000,(소재DB_RAW!$G$3:$G$2000=$D35)*ISNUMBER(SEARCH("겉감",소재DB_RAW!$M$3:$M$2000))*ISERROR(SEARCH("drop",소재DB_RAW!$C$3:$C$2000))))),"")</f>
        <v/>
      </c>
      <c r="Z35" s="26">
        <f>IFERROR(TEXTJOIN(CHAR(10),TRUE,UNIQUE(FILTER(소재DB_RAW!$N$3:$N$2000&amp;") "&amp;소재DB_RAW!$O$3:$O$2000,(소재DB_RAW!$G$3:$G$2000=$D35)*ISNUMBER(SEARCH("안감",소재DB_RAW!$M$3:$M$2000))*ISERROR(SEARCH("drop",소재DB_RAW!$C$3:$C$2000))))),"")</f>
        <v/>
      </c>
      <c r="AA35" s="27" t="n">
        <v>0</v>
      </c>
      <c r="AB35" s="27" t="n">
        <v>40147059</v>
      </c>
      <c r="AC35" s="27" t="n">
        <v>136500000</v>
      </c>
      <c r="AD35" s="20" t="n"/>
      <c r="AE35" s="20">
        <f>IF($K35="","출고일 미정",IF($Q35="X","작지 미발행",IF($Q35="부분","작지 일부 미발행",IF(AND($S35&lt;&gt;"",$S35&gt;$N35),"소재입고 마감("&amp;TEXT($N35,"MM/DD")&amp;") 초과",IF($Q35="","발행여부 확인 필요",IF($S35="","소재 입고일정 확인 필요","정상"))))))</f>
        <v/>
      </c>
      <c r="AF35" s="19">
        <f>IF($K35="","",IF(OR(LEFT($AE35,2)="작지",LEFT($AE35,4)="소재입고"),IF(LEFT($G35,1)="S","★ 납기위험(S코드)","◆ 지연주의"),IF($AE35="정상","✓ 정상","? 확인필요")))</f>
        <v/>
      </c>
      <c r="AG35" s="21" t="n"/>
      <c r="AH35" s="28" t="n"/>
    </row>
    <row r="36">
      <c r="A36" s="19" t="n">
        <v>32</v>
      </c>
      <c r="B36" s="20" t="inlineStr">
        <is>
          <t>신인철</t>
        </is>
      </c>
      <c r="C36" s="20" t="inlineStr">
        <is>
          <t>장지은</t>
        </is>
      </c>
      <c r="D36" s="20" t="inlineStr">
        <is>
          <t>8UPNS27102</t>
        </is>
      </c>
      <c r="E36" s="20" t="inlineStr">
        <is>
          <t>[WM] 남녀공용 익스퍼트 소프트쉘 팬츠</t>
        </is>
      </c>
      <c r="F36" s="20" t="inlineStr">
        <is>
          <t>DBE(DARK BEIGE), BLK(BLACK)</t>
        </is>
      </c>
      <c r="G36" s="19">
        <f>IF($D36="","",IF(MID($D36,5,1)="S","S(봄)",IF(MID($D36,5,1)="M","M(여름)",IF(MID($D36,5,1)="X","X(사계절)",MID($D36,5,1)))))</f>
        <v/>
      </c>
      <c r="H36" s="20" t="inlineStr">
        <is>
          <t>완사입</t>
        </is>
      </c>
      <c r="I36" s="19" t="inlineStr">
        <is>
          <t>1차</t>
        </is>
      </c>
      <c r="J36" s="21" t="inlineStr">
        <is>
          <t>1월3주</t>
        </is>
      </c>
      <c r="K36" s="22">
        <f>IF($J36="","",IFERROR(DATE(IF(VALUE(LEFT($J36,FIND("월",$J36)-1))&gt;=9,기준정보!$C$7-1,기준정보!$C$7),VALUE(LEFT($J36,FIND("월",$J36)-1)),1+7*(VALUE(SUBSTITUTE(MID($J36,FIND("월",$J36)+1,5),"주",""))-1)),""))</f>
        <v/>
      </c>
      <c r="L36" s="22">
        <f>IF($K36="","",IF(AND($K36-기준정보!$C$5&gt;=기준정보!$C$10,$K36-기준정보!$C$5&lt;=기준정보!$C$11),기준정보!$C$10-1,$K36-기준정보!$C$5))</f>
        <v/>
      </c>
      <c r="M36" s="23">
        <f>IF($L36="","",IF(OR(ISNUMBER(SEARCH("중국",$W36)),ISNUMBER(SEARCH("베트남",$W36))),MAX(0,MIN($L36,기준정보!$C$9)-MAX($L36-기준정보!$C$6,기준정보!$C$8)+1),IF(ISNUMBER(SEARCH("한국",$W36)),MAX(0,MIN($L36,기준정보!$C$11)-MAX($L36-기준정보!$C$6,기준정보!$C$10)+1),0)))</f>
        <v/>
      </c>
      <c r="N36" s="22">
        <f>IF($L36="","",$L36-기준정보!$C$6-$M36)</f>
        <v/>
      </c>
      <c r="O36" s="24">
        <f>IF($N36="","",$N36-기준정보!$C$4)</f>
        <v/>
      </c>
      <c r="P36" s="21" t="n"/>
      <c r="Q36" s="21" t="inlineStr">
        <is>
          <t>X</t>
        </is>
      </c>
      <c r="R36" s="19">
        <f>IF(COUNTIF(EDW_RAW!$A$2:$A$1500,$D36)=0,"",IF(COUNTIFS(EDW_RAW!$A$2:$A$1500,$D36,EDW_RAW!$U$2:$U$1500,"&lt;&gt;~",EDW_RAW!$U$2:$U$1500,"&lt;&gt;")=COUNTIF(EDW_RAW!$A$2:$A$1500,$D36),"O",IF(COUNTIFS(EDW_RAW!$A$2:$A$1500,$D36,EDW_RAW!$U$2:$U$1500,"&lt;&gt;~",EDW_RAW!$U$2:$U$1500,"&lt;&gt;")&gt;0,"부분","X")))</f>
        <v/>
      </c>
      <c r="S36" s="25" t="n"/>
      <c r="T36" s="20">
        <f>IF($H36="","",IF(AND(ISNUMBER(SEARCH("CMT",$H36)),OR(ISNUMBER(SEARCH("완사입",$H36)),ISNUMBER(SEARCH("ODM",$H36)))),"본사/생산처 혼재",IF(ISNUMBER(SEARCH("CMT",$H36)),"본사(소재팀)","생산처")))</f>
        <v/>
      </c>
      <c r="U36" s="20" t="inlineStr">
        <is>
          <t>원전</t>
        </is>
      </c>
      <c r="V36" s="20">
        <f>IFERROR(TEXTJOIN(" / ",TRUE,UNIQUE(FILTER(소재DB_RAW!$K$3:$K$2000,(소재DB_RAW!$G$3:$G$2000=$D36)*ISERROR(SEARCH("drop",소재DB_RAW!$C$3:$C$2000))))),"")</f>
        <v/>
      </c>
      <c r="W36" s="20" t="inlineStr">
        <is>
          <t>베트남</t>
        </is>
      </c>
      <c r="X36" s="20">
        <f>IFERROR(TEXTJOIN(" / ",TRUE,UNIQUE(FILTER(소재DB_RAW!$N$3:$N$2000,(소재DB_RAW!$G$3:$G$2000=$D36)*ISERROR(SEARCH("drop",소재DB_RAW!$C$3:$C$2000))))),"")</f>
        <v/>
      </c>
      <c r="Y36" s="26">
        <f>IFERROR(TEXTJOIN(CHAR(10),TRUE,UNIQUE(FILTER(소재DB_RAW!$N$3:$N$2000&amp;") "&amp;소재DB_RAW!$O$3:$O$2000,(소재DB_RAW!$G$3:$G$2000=$D36)*ISNUMBER(SEARCH("겉감",소재DB_RAW!$M$3:$M$2000))*ISERROR(SEARCH("drop",소재DB_RAW!$C$3:$C$2000))))),"")</f>
        <v/>
      </c>
      <c r="Z36" s="26">
        <f>IFERROR(TEXTJOIN(CHAR(10),TRUE,UNIQUE(FILTER(소재DB_RAW!$N$3:$N$2000&amp;") "&amp;소재DB_RAW!$O$3:$O$2000,(소재DB_RAW!$G$3:$G$2000=$D36)*ISNUMBER(SEARCH("안감",소재DB_RAW!$M$3:$M$2000))*ISERROR(SEARCH("drop",소재DB_RAW!$C$3:$C$2000))))),"")</f>
        <v/>
      </c>
      <c r="AA36" s="27" t="n">
        <v>0</v>
      </c>
      <c r="AB36" s="27" t="n">
        <v>0</v>
      </c>
      <c r="AC36" s="27" t="n">
        <v>0</v>
      </c>
      <c r="AD36" s="20" t="n"/>
      <c r="AE36" s="20">
        <f>IF($K36="","출고일 미정",IF($Q36="X","작지 미발행",IF($Q36="부분","작지 일부 미발행",IF(AND($S36&lt;&gt;"",$S36&gt;$N36),"소재입고 마감("&amp;TEXT($N36,"MM/DD")&amp;") 초과",IF($Q36="","발행여부 확인 필요",IF($S36="","소재 입고일정 확인 필요","정상"))))))</f>
        <v/>
      </c>
      <c r="AF36" s="19">
        <f>IF($K36="","",IF(OR(LEFT($AE36,2)="작지",LEFT($AE36,4)="소재입고"),IF(LEFT($G36,1)="S","★ 납기위험(S코드)","◆ 지연주의"),IF($AE36="정상","✓ 정상","? 확인필요")))</f>
        <v/>
      </c>
      <c r="AG36" s="21" t="n"/>
      <c r="AH36" s="28" t="n"/>
    </row>
    <row r="37">
      <c r="A37" s="19" t="n">
        <v>33</v>
      </c>
      <c r="B37" s="20" t="inlineStr">
        <is>
          <t>신인철</t>
        </is>
      </c>
      <c r="C37" s="20" t="inlineStr">
        <is>
          <t>장지은</t>
        </is>
      </c>
      <c r="D37" s="20" t="inlineStr">
        <is>
          <t>8UPNS27105</t>
        </is>
      </c>
      <c r="E37" s="20" t="inlineStr">
        <is>
          <t>[WM] 남녀공용 익스퍼트 어프로치 팬츠</t>
        </is>
      </c>
      <c r="F37" s="20" t="inlineStr">
        <is>
          <t>DKH(D/KHAKI), CHA(CHARCOAL)</t>
        </is>
      </c>
      <c r="G37" s="19">
        <f>IF($D37="","",IF(MID($D37,5,1)="S","S(봄)",IF(MID($D37,5,1)="M","M(여름)",IF(MID($D37,5,1)="X","X(사계절)",MID($D37,5,1)))))</f>
        <v/>
      </c>
      <c r="H37" s="20" t="inlineStr">
        <is>
          <t>완사입</t>
        </is>
      </c>
      <c r="I37" s="19" t="inlineStr">
        <is>
          <t>1차</t>
        </is>
      </c>
      <c r="J37" s="21" t="inlineStr">
        <is>
          <t>1월3주</t>
        </is>
      </c>
      <c r="K37" s="22">
        <f>IF($J37="","",IFERROR(DATE(IF(VALUE(LEFT($J37,FIND("월",$J37)-1))&gt;=9,기준정보!$C$7-1,기준정보!$C$7),VALUE(LEFT($J37,FIND("월",$J37)-1)),1+7*(VALUE(SUBSTITUTE(MID($J37,FIND("월",$J37)+1,5),"주",""))-1)),""))</f>
        <v/>
      </c>
      <c r="L37" s="22">
        <f>IF($K37="","",IF(AND($K37-기준정보!$C$5&gt;=기준정보!$C$10,$K37-기준정보!$C$5&lt;=기준정보!$C$11),기준정보!$C$10-1,$K37-기준정보!$C$5))</f>
        <v/>
      </c>
      <c r="M37" s="23">
        <f>IF($L37="","",IF(OR(ISNUMBER(SEARCH("중국",$W37)),ISNUMBER(SEARCH("베트남",$W37))),MAX(0,MIN($L37,기준정보!$C$9)-MAX($L37-기준정보!$C$6,기준정보!$C$8)+1),IF(ISNUMBER(SEARCH("한국",$W37)),MAX(0,MIN($L37,기준정보!$C$11)-MAX($L37-기준정보!$C$6,기준정보!$C$10)+1),0)))</f>
        <v/>
      </c>
      <c r="N37" s="22">
        <f>IF($L37="","",$L37-기준정보!$C$6-$M37)</f>
        <v/>
      </c>
      <c r="O37" s="24">
        <f>IF($N37="","",$N37-기준정보!$C$4)</f>
        <v/>
      </c>
      <c r="P37" s="21" t="n"/>
      <c r="Q37" s="21" t="inlineStr">
        <is>
          <t>X</t>
        </is>
      </c>
      <c r="R37" s="19">
        <f>IF(COUNTIF(EDW_RAW!$A$2:$A$1500,$D37)=0,"",IF(COUNTIFS(EDW_RAW!$A$2:$A$1500,$D37,EDW_RAW!$U$2:$U$1500,"&lt;&gt;~",EDW_RAW!$U$2:$U$1500,"&lt;&gt;")=COUNTIF(EDW_RAW!$A$2:$A$1500,$D37),"O",IF(COUNTIFS(EDW_RAW!$A$2:$A$1500,$D37,EDW_RAW!$U$2:$U$1500,"&lt;&gt;~",EDW_RAW!$U$2:$U$1500,"&lt;&gt;")&gt;0,"부분","X")))</f>
        <v/>
      </c>
      <c r="S37" s="25" t="n"/>
      <c r="T37" s="20">
        <f>IF($H37="","",IF(AND(ISNUMBER(SEARCH("CMT",$H37)),OR(ISNUMBER(SEARCH("완사입",$H37)),ISNUMBER(SEARCH("ODM",$H37)))),"본사/생산처 혼재",IF(ISNUMBER(SEARCH("CMT",$H37)),"본사(소재팀)","생산처")))</f>
        <v/>
      </c>
      <c r="U37" s="20" t="inlineStr">
        <is>
          <t>원전</t>
        </is>
      </c>
      <c r="V37" s="20">
        <f>IFERROR(TEXTJOIN(" / ",TRUE,UNIQUE(FILTER(소재DB_RAW!$K$3:$K$2000,(소재DB_RAW!$G$3:$G$2000=$D37)*ISERROR(SEARCH("drop",소재DB_RAW!$C$3:$C$2000))))),"")</f>
        <v/>
      </c>
      <c r="W37" s="20" t="inlineStr">
        <is>
          <t>베트남</t>
        </is>
      </c>
      <c r="X37" s="20">
        <f>IFERROR(TEXTJOIN(" / ",TRUE,UNIQUE(FILTER(소재DB_RAW!$N$3:$N$2000,(소재DB_RAW!$G$3:$G$2000=$D37)*ISERROR(SEARCH("drop",소재DB_RAW!$C$3:$C$2000))))),"")</f>
        <v/>
      </c>
      <c r="Y37" s="26">
        <f>IFERROR(TEXTJOIN(CHAR(10),TRUE,UNIQUE(FILTER(소재DB_RAW!$N$3:$N$2000&amp;") "&amp;소재DB_RAW!$O$3:$O$2000,(소재DB_RAW!$G$3:$G$2000=$D37)*ISNUMBER(SEARCH("겉감",소재DB_RAW!$M$3:$M$2000))*ISERROR(SEARCH("drop",소재DB_RAW!$C$3:$C$2000))))),"")</f>
        <v/>
      </c>
      <c r="Z37" s="26">
        <f>IFERROR(TEXTJOIN(CHAR(10),TRUE,UNIQUE(FILTER(소재DB_RAW!$N$3:$N$2000&amp;") "&amp;소재DB_RAW!$O$3:$O$2000,(소재DB_RAW!$G$3:$G$2000=$D37)*ISNUMBER(SEARCH("안감",소재DB_RAW!$M$3:$M$2000))*ISERROR(SEARCH("drop",소재DB_RAW!$C$3:$C$2000))))),"")</f>
        <v/>
      </c>
      <c r="AA37" s="27" t="n">
        <v>0</v>
      </c>
      <c r="AB37" s="27" t="n">
        <v>31419850</v>
      </c>
      <c r="AC37" s="27" t="n">
        <v>101500000</v>
      </c>
      <c r="AD37" s="20" t="n"/>
      <c r="AE37" s="20">
        <f>IF($K37="","출고일 미정",IF($Q37="X","작지 미발행",IF($Q37="부분","작지 일부 미발행",IF(AND($S37&lt;&gt;"",$S37&gt;$N37),"소재입고 마감("&amp;TEXT($N37,"MM/DD")&amp;") 초과",IF($Q37="","발행여부 확인 필요",IF($S37="","소재 입고일정 확인 필요","정상"))))))</f>
        <v/>
      </c>
      <c r="AF37" s="19">
        <f>IF($K37="","",IF(OR(LEFT($AE37,2)="작지",LEFT($AE37,4)="소재입고"),IF(LEFT($G37,1)="S","★ 납기위험(S코드)","◆ 지연주의"),IF($AE37="정상","✓ 정상","? 확인필요")))</f>
        <v/>
      </c>
      <c r="AG37" s="21" t="n"/>
      <c r="AH37" s="28" t="n"/>
    </row>
    <row r="38">
      <c r="A38" s="19" t="n">
        <v>34</v>
      </c>
      <c r="B38" s="20" t="inlineStr">
        <is>
          <t>신인철</t>
        </is>
      </c>
      <c r="C38" s="20" t="inlineStr">
        <is>
          <t>안세진</t>
        </is>
      </c>
      <c r="D38" s="20" t="inlineStr">
        <is>
          <t>8UTBS27101</t>
        </is>
      </c>
      <c r="E38" s="20" t="inlineStr">
        <is>
          <t>[WM] 남녀공용 익스퍼트 와플 후드티</t>
        </is>
      </c>
      <c r="F38" s="20" t="inlineStr">
        <is>
          <t>DLM, BLK(BLACK), KHA(KHAKI)</t>
        </is>
      </c>
      <c r="G38" s="19">
        <f>IF($D38="","",IF(MID($D38,5,1)="S","S(봄)",IF(MID($D38,5,1)="M","M(여름)",IF(MID($D38,5,1)="X","X(사계절)",MID($D38,5,1)))))</f>
        <v/>
      </c>
      <c r="H38" s="20" t="inlineStr">
        <is>
          <t>완사입</t>
        </is>
      </c>
      <c r="I38" s="19" t="inlineStr">
        <is>
          <t>1차</t>
        </is>
      </c>
      <c r="J38" s="21" t="inlineStr">
        <is>
          <t>1월3주</t>
        </is>
      </c>
      <c r="K38" s="22">
        <f>IF($J38="","",IFERROR(DATE(IF(VALUE(LEFT($J38,FIND("월",$J38)-1))&gt;=9,기준정보!$C$7-1,기준정보!$C$7),VALUE(LEFT($J38,FIND("월",$J38)-1)),1+7*(VALUE(SUBSTITUTE(MID($J38,FIND("월",$J38)+1,5),"주",""))-1)),""))</f>
        <v/>
      </c>
      <c r="L38" s="22">
        <f>IF($K38="","",IF(AND($K38-기준정보!$C$5&gt;=기준정보!$C$10,$K38-기준정보!$C$5&lt;=기준정보!$C$11),기준정보!$C$10-1,$K38-기준정보!$C$5))</f>
        <v/>
      </c>
      <c r="M38" s="23">
        <f>IF($L38="","",IF(OR(ISNUMBER(SEARCH("중국",$W38)),ISNUMBER(SEARCH("베트남",$W38))),MAX(0,MIN($L38,기준정보!$C$9)-MAX($L38-기준정보!$C$6,기준정보!$C$8)+1),IF(ISNUMBER(SEARCH("한국",$W38)),MAX(0,MIN($L38,기준정보!$C$11)-MAX($L38-기준정보!$C$6,기준정보!$C$10)+1),0)))</f>
        <v/>
      </c>
      <c r="N38" s="22">
        <f>IF($L38="","",$L38-기준정보!$C$6-$M38)</f>
        <v/>
      </c>
      <c r="O38" s="24">
        <f>IF($N38="","",$N38-기준정보!$C$4)</f>
        <v/>
      </c>
      <c r="P38" s="21" t="n"/>
      <c r="Q38" s="21" t="inlineStr">
        <is>
          <t>X</t>
        </is>
      </c>
      <c r="R38" s="19">
        <f>IF(COUNTIF(EDW_RAW!$A$2:$A$1500,$D38)=0,"",IF(COUNTIFS(EDW_RAW!$A$2:$A$1500,$D38,EDW_RAW!$U$2:$U$1500,"&lt;&gt;~",EDW_RAW!$U$2:$U$1500,"&lt;&gt;")=COUNTIF(EDW_RAW!$A$2:$A$1500,$D38),"O",IF(COUNTIFS(EDW_RAW!$A$2:$A$1500,$D38,EDW_RAW!$U$2:$U$1500,"&lt;&gt;~",EDW_RAW!$U$2:$U$1500,"&lt;&gt;")&gt;0,"부분","X")))</f>
        <v/>
      </c>
      <c r="S38" s="25" t="n"/>
      <c r="T38" s="20">
        <f>IF($H38="","",IF(AND(ISNUMBER(SEARCH("CMT",$H38)),OR(ISNUMBER(SEARCH("완사입",$H38)),ISNUMBER(SEARCH("ODM",$H38)))),"본사/생산처 혼재",IF(ISNUMBER(SEARCH("CMT",$H38)),"본사(소재팀)","생산처")))</f>
        <v/>
      </c>
      <c r="U38" s="20" t="inlineStr">
        <is>
          <t>주연</t>
        </is>
      </c>
      <c r="V38" s="20">
        <f>IFERROR(TEXTJOIN(" / ",TRUE,UNIQUE(FILTER(소재DB_RAW!$K$3:$K$2000,(소재DB_RAW!$G$3:$G$2000=$D38)*ISERROR(SEARCH("drop",소재DB_RAW!$C$3:$C$2000))))),"")</f>
        <v/>
      </c>
      <c r="W38" s="20" t="inlineStr">
        <is>
          <t>베트남</t>
        </is>
      </c>
      <c r="X38" s="20">
        <f>IFERROR(TEXTJOIN(" / ",TRUE,UNIQUE(FILTER(소재DB_RAW!$N$3:$N$2000,(소재DB_RAW!$G$3:$G$2000=$D38)*ISERROR(SEARCH("drop",소재DB_RAW!$C$3:$C$2000))))),"")</f>
        <v/>
      </c>
      <c r="Y38" s="26">
        <f>IFERROR(TEXTJOIN(CHAR(10),TRUE,UNIQUE(FILTER(소재DB_RAW!$N$3:$N$2000&amp;") "&amp;소재DB_RAW!$O$3:$O$2000,(소재DB_RAW!$G$3:$G$2000=$D38)*ISNUMBER(SEARCH("겉감",소재DB_RAW!$M$3:$M$2000))*ISERROR(SEARCH("drop",소재DB_RAW!$C$3:$C$2000))))),"")</f>
        <v/>
      </c>
      <c r="Z38" s="26">
        <f>IFERROR(TEXTJOIN(CHAR(10),TRUE,UNIQUE(FILTER(소재DB_RAW!$N$3:$N$2000&amp;") "&amp;소재DB_RAW!$O$3:$O$2000,(소재DB_RAW!$G$3:$G$2000=$D38)*ISNUMBER(SEARCH("안감",소재DB_RAW!$M$3:$M$2000))*ISERROR(SEARCH("drop",소재DB_RAW!$C$3:$C$2000))))),"")</f>
        <v/>
      </c>
      <c r="AA38" s="27" t="n">
        <v>0</v>
      </c>
      <c r="AB38" s="27" t="n">
        <v>18491120</v>
      </c>
      <c r="AC38" s="27" t="n">
        <v>58460000</v>
      </c>
      <c r="AD38" s="20" t="n"/>
      <c r="AE38" s="20">
        <f>IF($K38="","출고일 미정",IF($Q38="X","작지 미발행",IF($Q38="부분","작지 일부 미발행",IF(AND($S38&lt;&gt;"",$S38&gt;$N38),"소재입고 마감("&amp;TEXT($N38,"MM/DD")&amp;") 초과",IF($Q38="","발행여부 확인 필요",IF($S38="","소재 입고일정 확인 필요","정상"))))))</f>
        <v/>
      </c>
      <c r="AF38" s="19">
        <f>IF($K38="","",IF(OR(LEFT($AE38,2)="작지",LEFT($AE38,4)="소재입고"),IF(LEFT($G38,1)="S","★ 납기위험(S코드)","◆ 지연주의"),IF($AE38="정상","✓ 정상","? 확인필요")))</f>
        <v/>
      </c>
      <c r="AG38" s="21" t="n"/>
      <c r="AH38" s="28" t="n"/>
    </row>
    <row r="39">
      <c r="A39" s="19" t="n">
        <v>35</v>
      </c>
      <c r="B39" s="20" t="inlineStr">
        <is>
          <t>신인철</t>
        </is>
      </c>
      <c r="C39" s="20" t="inlineStr">
        <is>
          <t>장지은</t>
        </is>
      </c>
      <c r="D39" s="20" t="inlineStr">
        <is>
          <t>8UTBS27102</t>
        </is>
      </c>
      <c r="E39" s="20" t="inlineStr">
        <is>
          <t>[WM] 남녀공용 프린트 긴팔티</t>
        </is>
      </c>
      <c r="F39" s="20" t="inlineStr">
        <is>
          <t>IVO(IVORY), LGY(L/GRAY), BLK(BLACK)</t>
        </is>
      </c>
      <c r="G39" s="19">
        <f>IF($D39="","",IF(MID($D39,5,1)="S","S(봄)",IF(MID($D39,5,1)="M","M(여름)",IF(MID($D39,5,1)="X","X(사계절)",MID($D39,5,1)))))</f>
        <v/>
      </c>
      <c r="H39" s="20" t="inlineStr">
        <is>
          <t>완사입</t>
        </is>
      </c>
      <c r="I39" s="19" t="inlineStr">
        <is>
          <t>1차</t>
        </is>
      </c>
      <c r="J39" s="21" t="inlineStr">
        <is>
          <t>1월3주</t>
        </is>
      </c>
      <c r="K39" s="22">
        <f>IF($J39="","",IFERROR(DATE(IF(VALUE(LEFT($J39,FIND("월",$J39)-1))&gt;=9,기준정보!$C$7-1,기준정보!$C$7),VALUE(LEFT($J39,FIND("월",$J39)-1)),1+7*(VALUE(SUBSTITUTE(MID($J39,FIND("월",$J39)+1,5),"주",""))-1)),""))</f>
        <v/>
      </c>
      <c r="L39" s="22">
        <f>IF($K39="","",IF(AND($K39-기준정보!$C$5&gt;=기준정보!$C$10,$K39-기준정보!$C$5&lt;=기준정보!$C$11),기준정보!$C$10-1,$K39-기준정보!$C$5))</f>
        <v/>
      </c>
      <c r="M39" s="23">
        <f>IF($L39="","",IF(OR(ISNUMBER(SEARCH("중국",$W39)),ISNUMBER(SEARCH("베트남",$W39))),MAX(0,MIN($L39,기준정보!$C$9)-MAX($L39-기준정보!$C$6,기준정보!$C$8)+1),IF(ISNUMBER(SEARCH("한국",$W39)),MAX(0,MIN($L39,기준정보!$C$11)-MAX($L39-기준정보!$C$6,기준정보!$C$10)+1),0)))</f>
        <v/>
      </c>
      <c r="N39" s="22">
        <f>IF($L39="","",$L39-기준정보!$C$6-$M39)</f>
        <v/>
      </c>
      <c r="O39" s="24">
        <f>IF($N39="","",$N39-기준정보!$C$4)</f>
        <v/>
      </c>
      <c r="P39" s="21" t="n"/>
      <c r="Q39" s="21" t="inlineStr">
        <is>
          <t>X</t>
        </is>
      </c>
      <c r="R39" s="19">
        <f>IF(COUNTIF(EDW_RAW!$A$2:$A$1500,$D39)=0,"",IF(COUNTIFS(EDW_RAW!$A$2:$A$1500,$D39,EDW_RAW!$U$2:$U$1500,"&lt;&gt;~",EDW_RAW!$U$2:$U$1500,"&lt;&gt;")=COUNTIF(EDW_RAW!$A$2:$A$1500,$D39),"O",IF(COUNTIFS(EDW_RAW!$A$2:$A$1500,$D39,EDW_RAW!$U$2:$U$1500,"&lt;&gt;~",EDW_RAW!$U$2:$U$1500,"&lt;&gt;")&gt;0,"부분","X")))</f>
        <v/>
      </c>
      <c r="S39" s="25" t="n"/>
      <c r="T39" s="20">
        <f>IF($H39="","",IF(AND(ISNUMBER(SEARCH("CMT",$H39)),OR(ISNUMBER(SEARCH("완사입",$H39)),ISNUMBER(SEARCH("ODM",$H39)))),"본사/생산처 혼재",IF(ISNUMBER(SEARCH("CMT",$H39)),"본사(소재팀)","생산처")))</f>
        <v/>
      </c>
      <c r="U39" s="20" t="inlineStr">
        <is>
          <t>주연</t>
        </is>
      </c>
      <c r="V39" s="20">
        <f>IFERROR(TEXTJOIN(" / ",TRUE,UNIQUE(FILTER(소재DB_RAW!$K$3:$K$2000,(소재DB_RAW!$G$3:$G$2000=$D39)*ISERROR(SEARCH("drop",소재DB_RAW!$C$3:$C$2000))))),"")</f>
        <v/>
      </c>
      <c r="W39" s="20" t="inlineStr">
        <is>
          <t>중국</t>
        </is>
      </c>
      <c r="X39" s="20">
        <f>IFERROR(TEXTJOIN(" / ",TRUE,UNIQUE(FILTER(소재DB_RAW!$N$3:$N$2000,(소재DB_RAW!$G$3:$G$2000=$D39)*ISERROR(SEARCH("drop",소재DB_RAW!$C$3:$C$2000))))),"")</f>
        <v/>
      </c>
      <c r="Y39" s="26">
        <f>IFERROR(TEXTJOIN(CHAR(10),TRUE,UNIQUE(FILTER(소재DB_RAW!$N$3:$N$2000&amp;") "&amp;소재DB_RAW!$O$3:$O$2000,(소재DB_RAW!$G$3:$G$2000=$D39)*ISNUMBER(SEARCH("겉감",소재DB_RAW!$M$3:$M$2000))*ISERROR(SEARCH("drop",소재DB_RAW!$C$3:$C$2000))))),"")</f>
        <v/>
      </c>
      <c r="Z39" s="26">
        <f>IFERROR(TEXTJOIN(CHAR(10),TRUE,UNIQUE(FILTER(소재DB_RAW!$N$3:$N$2000&amp;") "&amp;소재DB_RAW!$O$3:$O$2000,(소재DB_RAW!$G$3:$G$2000=$D39)*ISNUMBER(SEARCH("안감",소재DB_RAW!$M$3:$M$2000))*ISERROR(SEARCH("drop",소재DB_RAW!$C$3:$C$2000))))),"")</f>
        <v/>
      </c>
      <c r="AA39" s="27" t="n">
        <v>0</v>
      </c>
      <c r="AB39" s="27" t="n">
        <v>11507400</v>
      </c>
      <c r="AC39" s="27" t="n">
        <v>48600000</v>
      </c>
      <c r="AD39" s="20" t="n"/>
      <c r="AE39" s="20">
        <f>IF($K39="","출고일 미정",IF($Q39="X","작지 미발행",IF($Q39="부분","작지 일부 미발행",IF(AND($S39&lt;&gt;"",$S39&gt;$N39),"소재입고 마감("&amp;TEXT($N39,"MM/DD")&amp;") 초과",IF($Q39="","발행여부 확인 필요",IF($S39="","소재 입고일정 확인 필요","정상"))))))</f>
        <v/>
      </c>
      <c r="AF39" s="19">
        <f>IF($K39="","",IF(OR(LEFT($AE39,2)="작지",LEFT($AE39,4)="소재입고"),IF(LEFT($G39,1)="S","★ 납기위험(S코드)","◆ 지연주의"),IF($AE39="정상","✓ 정상","? 확인필요")))</f>
        <v/>
      </c>
      <c r="AG39" s="21" t="n"/>
      <c r="AH39" s="28" t="n"/>
    </row>
    <row r="40">
      <c r="A40" s="19" t="n">
        <v>36</v>
      </c>
      <c r="B40" s="20" t="inlineStr">
        <is>
          <t>박지인</t>
        </is>
      </c>
      <c r="C40" s="20" t="inlineStr">
        <is>
          <t>정은진</t>
        </is>
      </c>
      <c r="D40" s="20" t="inlineStr">
        <is>
          <t>JKJJS27132</t>
        </is>
      </c>
      <c r="E40" s="20" t="inlineStr">
        <is>
          <t>춘절 여성 OCTA 인슐레이션 재킷</t>
        </is>
      </c>
      <c r="F40" s="20" t="inlineStr">
        <is>
          <t>BLK(BLACK), VBU-1</t>
        </is>
      </c>
      <c r="G40" s="19">
        <f>IF($D40="","",IF(MID($D40,5,1)="S","S(봄)",IF(MID($D40,5,1)="M","M(여름)",IF(MID($D40,5,1)="X","X(사계절)",MID($D40,5,1)))))</f>
        <v/>
      </c>
      <c r="H40" s="20" t="inlineStr">
        <is>
          <t>완사입</t>
        </is>
      </c>
      <c r="I40" s="19" t="inlineStr"/>
      <c r="J40" s="21" t="inlineStr">
        <is>
          <t>1월3주</t>
        </is>
      </c>
      <c r="K40" s="22">
        <f>IF($J40="","",IFERROR(DATE(IF(VALUE(LEFT($J40,FIND("월",$J40)-1))&gt;=9,기준정보!$C$7-1,기준정보!$C$7),VALUE(LEFT($J40,FIND("월",$J40)-1)),1+7*(VALUE(SUBSTITUTE(MID($J40,FIND("월",$J40)+1,5),"주",""))-1)),""))</f>
        <v/>
      </c>
      <c r="L40" s="22">
        <f>IF($K40="","",IF(AND($K40-기준정보!$C$5&gt;=기준정보!$C$10,$K40-기준정보!$C$5&lt;=기준정보!$C$11),기준정보!$C$10-1,$K40-기준정보!$C$5))</f>
        <v/>
      </c>
      <c r="M40" s="23">
        <f>IF($L40="","",IF(OR(ISNUMBER(SEARCH("중국",$W40)),ISNUMBER(SEARCH("베트남",$W40))),MAX(0,MIN($L40,기준정보!$C$9)-MAX($L40-기준정보!$C$6,기준정보!$C$8)+1),IF(ISNUMBER(SEARCH("한국",$W40)),MAX(0,MIN($L40,기준정보!$C$11)-MAX($L40-기준정보!$C$6,기준정보!$C$10)+1),0)))</f>
        <v/>
      </c>
      <c r="N40" s="22">
        <f>IF($L40="","",$L40-기준정보!$C$6-$M40)</f>
        <v/>
      </c>
      <c r="O40" s="24">
        <f>IF($N40="","",$N40-기준정보!$C$4)</f>
        <v/>
      </c>
      <c r="P40" s="21" t="n"/>
      <c r="Q40" s="21" t="inlineStr">
        <is>
          <t>O</t>
        </is>
      </c>
      <c r="R40" s="19">
        <f>IF(COUNTIF(EDW_RAW!$A$2:$A$1500,$D40)=0,"",IF(COUNTIFS(EDW_RAW!$A$2:$A$1500,$D40,EDW_RAW!$U$2:$U$1500,"&lt;&gt;~",EDW_RAW!$U$2:$U$1500,"&lt;&gt;")=COUNTIF(EDW_RAW!$A$2:$A$1500,$D40),"O",IF(COUNTIFS(EDW_RAW!$A$2:$A$1500,$D40,EDW_RAW!$U$2:$U$1500,"&lt;&gt;~",EDW_RAW!$U$2:$U$1500,"&lt;&gt;")&gt;0,"부분","X")))</f>
        <v/>
      </c>
      <c r="S40" s="25" t="n"/>
      <c r="T40" s="20">
        <f>IF($H40="","",IF(AND(ISNUMBER(SEARCH("CMT",$H40)),OR(ISNUMBER(SEARCH("완사입",$H40)),ISNUMBER(SEARCH("ODM",$H40)))),"본사/생산처 혼재",IF(ISNUMBER(SEARCH("CMT",$H40)),"본사(소재팀)","생산처")))</f>
        <v/>
      </c>
      <c r="U40" s="20" t="inlineStr">
        <is>
          <t>원전</t>
        </is>
      </c>
      <c r="V40" s="20">
        <f>IFERROR(TEXTJOIN(" / ",TRUE,UNIQUE(FILTER(소재DB_RAW!$K$3:$K$2000,(소재DB_RAW!$G$3:$G$2000=$D40)*ISERROR(SEARCH("drop",소재DB_RAW!$C$3:$C$2000))))),"")</f>
        <v/>
      </c>
      <c r="W40" s="20" t="inlineStr"/>
      <c r="X40" s="20">
        <f>IFERROR(TEXTJOIN(" / ",TRUE,UNIQUE(FILTER(소재DB_RAW!$N$3:$N$2000,(소재DB_RAW!$G$3:$G$2000=$D40)*ISERROR(SEARCH("drop",소재DB_RAW!$C$3:$C$2000))))),"")</f>
        <v/>
      </c>
      <c r="Y40" s="26">
        <f>IFERROR(TEXTJOIN(CHAR(10),TRUE,UNIQUE(FILTER(소재DB_RAW!$N$3:$N$2000&amp;") "&amp;소재DB_RAW!$O$3:$O$2000,(소재DB_RAW!$G$3:$G$2000=$D40)*ISNUMBER(SEARCH("겉감",소재DB_RAW!$M$3:$M$2000))*ISERROR(SEARCH("drop",소재DB_RAW!$C$3:$C$2000))))),"")</f>
        <v/>
      </c>
      <c r="Z40" s="26">
        <f>IFERROR(TEXTJOIN(CHAR(10),TRUE,UNIQUE(FILTER(소재DB_RAW!$N$3:$N$2000&amp;") "&amp;소재DB_RAW!$O$3:$O$2000,(소재DB_RAW!$G$3:$G$2000=$D40)*ISNUMBER(SEARCH("안감",소재DB_RAW!$M$3:$M$2000))*ISERROR(SEARCH("drop",소재DB_RAW!$C$3:$C$2000))))),"")</f>
        <v/>
      </c>
      <c r="AA40" s="27" t="n">
        <v>2000</v>
      </c>
      <c r="AB40" s="27" t="n">
        <v>114028000</v>
      </c>
      <c r="AC40" s="27" t="n">
        <v>540000000</v>
      </c>
      <c r="AD40" s="20" t="inlineStr">
        <is>
          <t>1월3주</t>
        </is>
      </c>
      <c r="AE40" s="20">
        <f>IF($K40="","출고일 미정",IF($Q40="X","작지 미발행",IF($Q40="부분","작지 일부 미발행",IF(AND($S40&lt;&gt;"",$S40&gt;$N40),"소재입고 마감("&amp;TEXT($N40,"MM/DD")&amp;") 초과",IF($Q40="","발행여부 확인 필요",IF($S40="","소재 입고일정 확인 필요","정상"))))))</f>
        <v/>
      </c>
      <c r="AF40" s="19">
        <f>IF($K40="","",IF(OR(LEFT($AE40,2)="작지",LEFT($AE40,4)="소재입고"),IF(LEFT($G40,1)="S","★ 납기위험(S코드)","◆ 지연주의"),IF($AE40="정상","✓ 정상","? 확인필요")))</f>
        <v/>
      </c>
      <c r="AG40" s="21" t="n"/>
      <c r="AH40" s="28" t="n"/>
    </row>
    <row r="41">
      <c r="A41" s="19" t="n">
        <v>37</v>
      </c>
      <c r="B41" s="20" t="inlineStr">
        <is>
          <t>박진아</t>
        </is>
      </c>
      <c r="C41" s="20" t="inlineStr">
        <is>
          <t>조이슬</t>
        </is>
      </c>
      <c r="D41" s="20" t="inlineStr">
        <is>
          <t>JKPNS27102</t>
        </is>
      </c>
      <c r="E41" s="20" t="inlineStr">
        <is>
          <t>춘절 여성 슬림핏 스탠다드 팬츠</t>
        </is>
      </c>
      <c r="F41" s="20" t="inlineStr">
        <is>
          <t>CIN(CINDER), DGY(D/GRAY), WBE</t>
        </is>
      </c>
      <c r="G41" s="19">
        <f>IF($D41="","",IF(MID($D41,5,1)="S","S(봄)",IF(MID($D41,5,1)="M","M(여름)",IF(MID($D41,5,1)="X","X(사계절)",MID($D41,5,1)))))</f>
        <v/>
      </c>
      <c r="H41" s="20" t="inlineStr">
        <is>
          <t>CMT</t>
        </is>
      </c>
      <c r="I41" s="19" t="inlineStr"/>
      <c r="J41" s="21" t="inlineStr">
        <is>
          <t>1월3주</t>
        </is>
      </c>
      <c r="K41" s="22">
        <f>IF($J41="","",IFERROR(DATE(IF(VALUE(LEFT($J41,FIND("월",$J41)-1))&gt;=9,기준정보!$C$7-1,기준정보!$C$7),VALUE(LEFT($J41,FIND("월",$J41)-1)),1+7*(VALUE(SUBSTITUTE(MID($J41,FIND("월",$J41)+1,5),"주",""))-1)),""))</f>
        <v/>
      </c>
      <c r="L41" s="22">
        <f>IF($K41="","",IF(AND($K41-기준정보!$C$5&gt;=기준정보!$C$10,$K41-기준정보!$C$5&lt;=기준정보!$C$11),기준정보!$C$10-1,$K41-기준정보!$C$5))</f>
        <v/>
      </c>
      <c r="M41" s="23">
        <f>IF($L41="","",IF(OR(ISNUMBER(SEARCH("중국",$W41)),ISNUMBER(SEARCH("베트남",$W41))),MAX(0,MIN($L41,기준정보!$C$9)-MAX($L41-기준정보!$C$6,기준정보!$C$8)+1),IF(ISNUMBER(SEARCH("한국",$W41)),MAX(0,MIN($L41,기준정보!$C$11)-MAX($L41-기준정보!$C$6,기준정보!$C$10)+1),0)))</f>
        <v/>
      </c>
      <c r="N41" s="22">
        <f>IF($L41="","",$L41-기준정보!$C$6-$M41)</f>
        <v/>
      </c>
      <c r="O41" s="24">
        <f>IF($N41="","",$N41-기준정보!$C$4)</f>
        <v/>
      </c>
      <c r="P41" s="21" t="n"/>
      <c r="Q41" s="21" t="inlineStr">
        <is>
          <t>O</t>
        </is>
      </c>
      <c r="R41" s="19">
        <f>IF(COUNTIF(EDW_RAW!$A$2:$A$1500,$D41)=0,"",IF(COUNTIFS(EDW_RAW!$A$2:$A$1500,$D41,EDW_RAW!$U$2:$U$1500,"&lt;&gt;~",EDW_RAW!$U$2:$U$1500,"&lt;&gt;")=COUNTIF(EDW_RAW!$A$2:$A$1500,$D41),"O",IF(COUNTIFS(EDW_RAW!$A$2:$A$1500,$D41,EDW_RAW!$U$2:$U$1500,"&lt;&gt;~",EDW_RAW!$U$2:$U$1500,"&lt;&gt;")&gt;0,"부분","X")))</f>
        <v/>
      </c>
      <c r="S41" s="25" t="n"/>
      <c r="T41" s="20">
        <f>IF($H41="","",IF(AND(ISNUMBER(SEARCH("CMT",$H41)),OR(ISNUMBER(SEARCH("완사입",$H41)),ISNUMBER(SEARCH("ODM",$H41)))),"본사/생산처 혼재",IF(ISNUMBER(SEARCH("CMT",$H41)),"본사(소재팀)","생산처")))</f>
        <v/>
      </c>
      <c r="U41" s="20" t="inlineStr">
        <is>
          <t>디코드</t>
        </is>
      </c>
      <c r="V41" s="20">
        <f>IFERROR(TEXTJOIN(" / ",TRUE,UNIQUE(FILTER(소재DB_RAW!$K$3:$K$2000,(소재DB_RAW!$G$3:$G$2000=$D41)*ISERROR(SEARCH("drop",소재DB_RAW!$C$3:$C$2000))))),"")</f>
        <v/>
      </c>
      <c r="W41" s="20" t="inlineStr">
        <is>
          <t>베트남</t>
        </is>
      </c>
      <c r="X41" s="20">
        <f>IFERROR(TEXTJOIN(" / ",TRUE,UNIQUE(FILTER(소재DB_RAW!$N$3:$N$2000,(소재DB_RAW!$G$3:$G$2000=$D41)*ISERROR(SEARCH("drop",소재DB_RAW!$C$3:$C$2000))))),"")</f>
        <v/>
      </c>
      <c r="Y41" s="26">
        <f>IFERROR(TEXTJOIN(CHAR(10),TRUE,UNIQUE(FILTER(소재DB_RAW!$N$3:$N$2000&amp;") "&amp;소재DB_RAW!$O$3:$O$2000,(소재DB_RAW!$G$3:$G$2000=$D41)*ISNUMBER(SEARCH("겉감",소재DB_RAW!$M$3:$M$2000))*ISERROR(SEARCH("drop",소재DB_RAW!$C$3:$C$2000))))),"")</f>
        <v/>
      </c>
      <c r="Z41" s="26">
        <f>IFERROR(TEXTJOIN(CHAR(10),TRUE,UNIQUE(FILTER(소재DB_RAW!$N$3:$N$2000&amp;") "&amp;소재DB_RAW!$O$3:$O$2000,(소재DB_RAW!$G$3:$G$2000=$D41)*ISNUMBER(SEARCH("안감",소재DB_RAW!$M$3:$M$2000))*ISERROR(SEARCH("drop",소재DB_RAW!$C$3:$C$2000))))),"")</f>
        <v/>
      </c>
      <c r="AA41" s="27" t="n">
        <v>4000</v>
      </c>
      <c r="AB41" s="27" t="n">
        <v>113760000</v>
      </c>
      <c r="AC41" s="27" t="n">
        <v>712000000</v>
      </c>
      <c r="AD41" s="20" t="inlineStr">
        <is>
          <t>1월3주</t>
        </is>
      </c>
      <c r="AE41" s="20">
        <f>IF($K41="","출고일 미정",IF($Q41="X","작지 미발행",IF($Q41="부분","작지 일부 미발행",IF(AND($S41&lt;&gt;"",$S41&gt;$N41),"소재입고 마감("&amp;TEXT($N41,"MM/DD")&amp;") 초과",IF($Q41="","발행여부 확인 필요",IF($S41="","소재 입고일정 확인 필요","정상"))))))</f>
        <v/>
      </c>
      <c r="AF41" s="19">
        <f>IF($K41="","",IF(OR(LEFT($AE41,2)="작지",LEFT($AE41,4)="소재입고"),IF(LEFT($G41,1)="S","★ 납기위험(S코드)","◆ 지연주의"),IF($AE41="정상","✓ 정상","? 확인필요")))</f>
        <v/>
      </c>
      <c r="AG41" s="21" t="n"/>
      <c r="AH41" s="28" t="n"/>
    </row>
    <row r="42">
      <c r="A42" s="19" t="n">
        <v>38</v>
      </c>
      <c r="B42" s="20" t="inlineStr">
        <is>
          <t>박진아</t>
        </is>
      </c>
      <c r="C42" s="20" t="inlineStr">
        <is>
          <t>조이슬</t>
        </is>
      </c>
      <c r="D42" s="20" t="inlineStr">
        <is>
          <t>JKTBS27102</t>
        </is>
      </c>
      <c r="E42" s="20" t="inlineStr">
        <is>
          <t>춘절 여성 베이직 긴팔 집업 티셔츠</t>
        </is>
      </c>
      <c r="F42" s="20" t="inlineStr">
        <is>
          <t>CRE(CREAM), LSL</t>
        </is>
      </c>
      <c r="G42" s="19">
        <f>IF($D42="","",IF(MID($D42,5,1)="S","S(봄)",IF(MID($D42,5,1)="M","M(여름)",IF(MID($D42,5,1)="X","X(사계절)",MID($D42,5,1)))))</f>
        <v/>
      </c>
      <c r="H42" s="20" t="inlineStr">
        <is>
          <t>완사입</t>
        </is>
      </c>
      <c r="I42" s="19" t="inlineStr"/>
      <c r="J42" s="21" t="inlineStr">
        <is>
          <t>1월3주</t>
        </is>
      </c>
      <c r="K42" s="22">
        <f>IF($J42="","",IFERROR(DATE(IF(VALUE(LEFT($J42,FIND("월",$J42)-1))&gt;=9,기준정보!$C$7-1,기준정보!$C$7),VALUE(LEFT($J42,FIND("월",$J42)-1)),1+7*(VALUE(SUBSTITUTE(MID($J42,FIND("월",$J42)+1,5),"주",""))-1)),""))</f>
        <v/>
      </c>
      <c r="L42" s="22">
        <f>IF($K42="","",IF(AND($K42-기준정보!$C$5&gt;=기준정보!$C$10,$K42-기준정보!$C$5&lt;=기준정보!$C$11),기준정보!$C$10-1,$K42-기준정보!$C$5))</f>
        <v/>
      </c>
      <c r="M42" s="23">
        <f>IF($L42="","",IF(OR(ISNUMBER(SEARCH("중국",$W42)),ISNUMBER(SEARCH("베트남",$W42))),MAX(0,MIN($L42,기준정보!$C$9)-MAX($L42-기준정보!$C$6,기준정보!$C$8)+1),IF(ISNUMBER(SEARCH("한국",$W42)),MAX(0,MIN($L42,기준정보!$C$11)-MAX($L42-기준정보!$C$6,기준정보!$C$10)+1),0)))</f>
        <v/>
      </c>
      <c r="N42" s="22">
        <f>IF($L42="","",$L42-기준정보!$C$6-$M42)</f>
        <v/>
      </c>
      <c r="O42" s="24">
        <f>IF($N42="","",$N42-기준정보!$C$4)</f>
        <v/>
      </c>
      <c r="P42" s="21" t="n"/>
      <c r="Q42" s="21" t="inlineStr">
        <is>
          <t>O</t>
        </is>
      </c>
      <c r="R42" s="19">
        <f>IF(COUNTIF(EDW_RAW!$A$2:$A$1500,$D42)=0,"",IF(COUNTIFS(EDW_RAW!$A$2:$A$1500,$D42,EDW_RAW!$U$2:$U$1500,"&lt;&gt;~",EDW_RAW!$U$2:$U$1500,"&lt;&gt;")=COUNTIF(EDW_RAW!$A$2:$A$1500,$D42),"O",IF(COUNTIFS(EDW_RAW!$A$2:$A$1500,$D42,EDW_RAW!$U$2:$U$1500,"&lt;&gt;~",EDW_RAW!$U$2:$U$1500,"&lt;&gt;")&gt;0,"부분","X")))</f>
        <v/>
      </c>
      <c r="S42" s="25" t="n"/>
      <c r="T42" s="20">
        <f>IF($H42="","",IF(AND(ISNUMBER(SEARCH("CMT",$H42)),OR(ISNUMBER(SEARCH("완사입",$H42)),ISNUMBER(SEARCH("ODM",$H42)))),"본사/생산처 혼재",IF(ISNUMBER(SEARCH("CMT",$H42)),"본사(소재팀)","생산처")))</f>
        <v/>
      </c>
      <c r="U42" s="20" t="inlineStr">
        <is>
          <t>태화</t>
        </is>
      </c>
      <c r="V42" s="20">
        <f>IFERROR(TEXTJOIN(" / ",TRUE,UNIQUE(FILTER(소재DB_RAW!$K$3:$K$2000,(소재DB_RAW!$G$3:$G$2000=$D42)*ISERROR(SEARCH("drop",소재DB_RAW!$C$3:$C$2000))))),"")</f>
        <v/>
      </c>
      <c r="W42" s="20" t="inlineStr">
        <is>
          <t>베트남</t>
        </is>
      </c>
      <c r="X42" s="20">
        <f>IFERROR(TEXTJOIN(" / ",TRUE,UNIQUE(FILTER(소재DB_RAW!$N$3:$N$2000,(소재DB_RAW!$G$3:$G$2000=$D42)*ISERROR(SEARCH("drop",소재DB_RAW!$C$3:$C$2000))))),"")</f>
        <v/>
      </c>
      <c r="Y42" s="26">
        <f>IFERROR(TEXTJOIN(CHAR(10),TRUE,UNIQUE(FILTER(소재DB_RAW!$N$3:$N$2000&amp;") "&amp;소재DB_RAW!$O$3:$O$2000,(소재DB_RAW!$G$3:$G$2000=$D42)*ISNUMBER(SEARCH("겉감",소재DB_RAW!$M$3:$M$2000))*ISERROR(SEARCH("drop",소재DB_RAW!$C$3:$C$2000))))),"")</f>
        <v/>
      </c>
      <c r="Z42" s="26">
        <f>IFERROR(TEXTJOIN(CHAR(10),TRUE,UNIQUE(FILTER(소재DB_RAW!$N$3:$N$2000&amp;") "&amp;소재DB_RAW!$O$3:$O$2000,(소재DB_RAW!$G$3:$G$2000=$D42)*ISNUMBER(SEARCH("안감",소재DB_RAW!$M$3:$M$2000))*ISERROR(SEARCH("drop",소재DB_RAW!$C$3:$C$2000))))),"")</f>
        <v/>
      </c>
      <c r="AA42" s="27" t="n">
        <v>2500</v>
      </c>
      <c r="AB42" s="27" t="n">
        <v>47250000</v>
      </c>
      <c r="AC42" s="27" t="n">
        <v>370000000</v>
      </c>
      <c r="AD42" s="20" t="inlineStr">
        <is>
          <t>1월3주</t>
        </is>
      </c>
      <c r="AE42" s="20">
        <f>IF($K42="","출고일 미정",IF($Q42="X","작지 미발행",IF($Q42="부분","작지 일부 미발행",IF(AND($S42&lt;&gt;"",$S42&gt;$N42),"소재입고 마감("&amp;TEXT($N42,"MM/DD")&amp;") 초과",IF($Q42="","발행여부 확인 필요",IF($S42="","소재 입고일정 확인 필요","정상"))))))</f>
        <v/>
      </c>
      <c r="AF42" s="19">
        <f>IF($K42="","",IF(OR(LEFT($AE42,2)="작지",LEFT($AE42,4)="소재입고"),IF(LEFT($G42,1)="S","★ 납기위험(S코드)","◆ 지연주의"),IF($AE42="정상","✓ 정상","? 확인필요")))</f>
        <v/>
      </c>
      <c r="AG42" s="21" t="n"/>
      <c r="AH42" s="28" t="n"/>
    </row>
    <row r="43">
      <c r="A43" s="19" t="n">
        <v>39</v>
      </c>
      <c r="B43" s="20" t="inlineStr">
        <is>
          <t>박진아</t>
        </is>
      </c>
      <c r="C43" s="20" t="inlineStr">
        <is>
          <t>조이슬</t>
        </is>
      </c>
      <c r="D43" s="20" t="inlineStr">
        <is>
          <t>JKTBS27104</t>
        </is>
      </c>
      <c r="E43" s="20" t="inlineStr">
        <is>
          <t>춘절 여성 베이직 긴팔 라운드 티셔츠</t>
        </is>
      </c>
      <c r="F43" s="20" t="inlineStr">
        <is>
          <t>MIN, DGY(D/GRAY)</t>
        </is>
      </c>
      <c r="G43" s="19">
        <f>IF($D43="","",IF(MID($D43,5,1)="S","S(봄)",IF(MID($D43,5,1)="M","M(여름)",IF(MID($D43,5,1)="X","X(사계절)",MID($D43,5,1)))))</f>
        <v/>
      </c>
      <c r="H43" s="20" t="inlineStr">
        <is>
          <t>완사입</t>
        </is>
      </c>
      <c r="I43" s="19" t="inlineStr"/>
      <c r="J43" s="21" t="inlineStr">
        <is>
          <t>1월3주</t>
        </is>
      </c>
      <c r="K43" s="22">
        <f>IF($J43="","",IFERROR(DATE(IF(VALUE(LEFT($J43,FIND("월",$J43)-1))&gt;=9,기준정보!$C$7-1,기준정보!$C$7),VALUE(LEFT($J43,FIND("월",$J43)-1)),1+7*(VALUE(SUBSTITUTE(MID($J43,FIND("월",$J43)+1,5),"주",""))-1)),""))</f>
        <v/>
      </c>
      <c r="L43" s="22">
        <f>IF($K43="","",IF(AND($K43-기준정보!$C$5&gt;=기준정보!$C$10,$K43-기준정보!$C$5&lt;=기준정보!$C$11),기준정보!$C$10-1,$K43-기준정보!$C$5))</f>
        <v/>
      </c>
      <c r="M43" s="23">
        <f>IF($L43="","",IF(OR(ISNUMBER(SEARCH("중국",$W43)),ISNUMBER(SEARCH("베트남",$W43))),MAX(0,MIN($L43,기준정보!$C$9)-MAX($L43-기준정보!$C$6,기준정보!$C$8)+1),IF(ISNUMBER(SEARCH("한국",$W43)),MAX(0,MIN($L43,기준정보!$C$11)-MAX($L43-기준정보!$C$6,기준정보!$C$10)+1),0)))</f>
        <v/>
      </c>
      <c r="N43" s="22">
        <f>IF($L43="","",$L43-기준정보!$C$6-$M43)</f>
        <v/>
      </c>
      <c r="O43" s="24">
        <f>IF($N43="","",$N43-기준정보!$C$4)</f>
        <v/>
      </c>
      <c r="P43" s="21" t="n"/>
      <c r="Q43" s="21" t="inlineStr">
        <is>
          <t>O</t>
        </is>
      </c>
      <c r="R43" s="19">
        <f>IF(COUNTIF(EDW_RAW!$A$2:$A$1500,$D43)=0,"",IF(COUNTIFS(EDW_RAW!$A$2:$A$1500,$D43,EDW_RAW!$U$2:$U$1500,"&lt;&gt;~",EDW_RAW!$U$2:$U$1500,"&lt;&gt;")=COUNTIF(EDW_RAW!$A$2:$A$1500,$D43),"O",IF(COUNTIFS(EDW_RAW!$A$2:$A$1500,$D43,EDW_RAW!$U$2:$U$1500,"&lt;&gt;~",EDW_RAW!$U$2:$U$1500,"&lt;&gt;")&gt;0,"부분","X")))</f>
        <v/>
      </c>
      <c r="S43" s="25" t="n"/>
      <c r="T43" s="20">
        <f>IF($H43="","",IF(AND(ISNUMBER(SEARCH("CMT",$H43)),OR(ISNUMBER(SEARCH("완사입",$H43)),ISNUMBER(SEARCH("ODM",$H43)))),"본사/생산처 혼재",IF(ISNUMBER(SEARCH("CMT",$H43)),"본사(소재팀)","생산처")))</f>
        <v/>
      </c>
      <c r="U43" s="20" t="inlineStr">
        <is>
          <t>태화</t>
        </is>
      </c>
      <c r="V43" s="20">
        <f>IFERROR(TEXTJOIN(" / ",TRUE,UNIQUE(FILTER(소재DB_RAW!$K$3:$K$2000,(소재DB_RAW!$G$3:$G$2000=$D43)*ISERROR(SEARCH("drop",소재DB_RAW!$C$3:$C$2000))))),"")</f>
        <v/>
      </c>
      <c r="W43" s="20" t="inlineStr">
        <is>
          <t>베트남</t>
        </is>
      </c>
      <c r="X43" s="20">
        <f>IFERROR(TEXTJOIN(" / ",TRUE,UNIQUE(FILTER(소재DB_RAW!$N$3:$N$2000,(소재DB_RAW!$G$3:$G$2000=$D43)*ISERROR(SEARCH("drop",소재DB_RAW!$C$3:$C$2000))))),"")</f>
        <v/>
      </c>
      <c r="Y43" s="26">
        <f>IFERROR(TEXTJOIN(CHAR(10),TRUE,UNIQUE(FILTER(소재DB_RAW!$N$3:$N$2000&amp;") "&amp;소재DB_RAW!$O$3:$O$2000,(소재DB_RAW!$G$3:$G$2000=$D43)*ISNUMBER(SEARCH("겉감",소재DB_RAW!$M$3:$M$2000))*ISERROR(SEARCH("drop",소재DB_RAW!$C$3:$C$2000))))),"")</f>
        <v/>
      </c>
      <c r="Z43" s="26">
        <f>IFERROR(TEXTJOIN(CHAR(10),TRUE,UNIQUE(FILTER(소재DB_RAW!$N$3:$N$2000&amp;") "&amp;소재DB_RAW!$O$3:$O$2000,(소재DB_RAW!$G$3:$G$2000=$D43)*ISNUMBER(SEARCH("안감",소재DB_RAW!$M$3:$M$2000))*ISERROR(SEARCH("drop",소재DB_RAW!$C$3:$C$2000))))),"")</f>
        <v/>
      </c>
      <c r="AA43" s="27" t="n">
        <v>1400</v>
      </c>
      <c r="AB43" s="27" t="n">
        <v>24915800</v>
      </c>
      <c r="AC43" s="27" t="n">
        <v>207200000</v>
      </c>
      <c r="AD43" s="20" t="inlineStr">
        <is>
          <t>1월3주</t>
        </is>
      </c>
      <c r="AE43" s="20">
        <f>IF($K43="","출고일 미정",IF($Q43="X","작지 미발행",IF($Q43="부분","작지 일부 미발행",IF(AND($S43&lt;&gt;"",$S43&gt;$N43),"소재입고 마감("&amp;TEXT($N43,"MM/DD")&amp;") 초과",IF($Q43="","발행여부 확인 필요",IF($S43="","소재 입고일정 확인 필요","정상"))))))</f>
        <v/>
      </c>
      <c r="AF43" s="19">
        <f>IF($K43="","",IF(OR(LEFT($AE43,2)="작지",LEFT($AE43,4)="소재입고"),IF(LEFT($G43,1)="S","★ 납기위험(S코드)","◆ 지연주의"),IF($AE43="정상","✓ 정상","? 확인필요")))</f>
        <v/>
      </c>
      <c r="AG43" s="21" t="n"/>
      <c r="AH43" s="28" t="n"/>
    </row>
    <row r="44">
      <c r="A44" s="19" t="n">
        <v>40</v>
      </c>
      <c r="B44" s="20" t="inlineStr">
        <is>
          <t>박지인</t>
        </is>
      </c>
      <c r="C44" s="20" t="inlineStr">
        <is>
          <t>조이슬</t>
        </is>
      </c>
      <c r="D44" s="20" t="inlineStr">
        <is>
          <t>JKVAS27132</t>
        </is>
      </c>
      <c r="E44" s="20" t="inlineStr">
        <is>
          <t>춘절 여성 OCTA 인슐레이션 베스트</t>
        </is>
      </c>
      <c r="F44" s="20" t="inlineStr">
        <is>
          <t>BLK(BLACK), WBE</t>
        </is>
      </c>
      <c r="G44" s="19">
        <f>IF($D44="","",IF(MID($D44,5,1)="S","S(봄)",IF(MID($D44,5,1)="M","M(여름)",IF(MID($D44,5,1)="X","X(사계절)",MID($D44,5,1)))))</f>
        <v/>
      </c>
      <c r="H44" s="20" t="inlineStr">
        <is>
          <t>완사입</t>
        </is>
      </c>
      <c r="I44" s="19" t="inlineStr"/>
      <c r="J44" s="21" t="inlineStr">
        <is>
          <t>1월3주</t>
        </is>
      </c>
      <c r="K44" s="22">
        <f>IF($J44="","",IFERROR(DATE(IF(VALUE(LEFT($J44,FIND("월",$J44)-1))&gt;=9,기준정보!$C$7-1,기준정보!$C$7),VALUE(LEFT($J44,FIND("월",$J44)-1)),1+7*(VALUE(SUBSTITUTE(MID($J44,FIND("월",$J44)+1,5),"주",""))-1)),""))</f>
        <v/>
      </c>
      <c r="L44" s="22">
        <f>IF($K44="","",IF(AND($K44-기준정보!$C$5&gt;=기준정보!$C$10,$K44-기준정보!$C$5&lt;=기준정보!$C$11),기준정보!$C$10-1,$K44-기준정보!$C$5))</f>
        <v/>
      </c>
      <c r="M44" s="23">
        <f>IF($L44="","",IF(OR(ISNUMBER(SEARCH("중국",$W44)),ISNUMBER(SEARCH("베트남",$W44))),MAX(0,MIN($L44,기준정보!$C$9)-MAX($L44-기준정보!$C$6,기준정보!$C$8)+1),IF(ISNUMBER(SEARCH("한국",$W44)),MAX(0,MIN($L44,기준정보!$C$11)-MAX($L44-기준정보!$C$6,기준정보!$C$10)+1),0)))</f>
        <v/>
      </c>
      <c r="N44" s="22">
        <f>IF($L44="","",$L44-기준정보!$C$6-$M44)</f>
        <v/>
      </c>
      <c r="O44" s="24">
        <f>IF($N44="","",$N44-기준정보!$C$4)</f>
        <v/>
      </c>
      <c r="P44" s="21" t="n"/>
      <c r="Q44" s="21" t="inlineStr">
        <is>
          <t>O</t>
        </is>
      </c>
      <c r="R44" s="19">
        <f>IF(COUNTIF(EDW_RAW!$A$2:$A$1500,$D44)=0,"",IF(COUNTIFS(EDW_RAW!$A$2:$A$1500,$D44,EDW_RAW!$U$2:$U$1500,"&lt;&gt;~",EDW_RAW!$U$2:$U$1500,"&lt;&gt;")=COUNTIF(EDW_RAW!$A$2:$A$1500,$D44),"O",IF(COUNTIFS(EDW_RAW!$A$2:$A$1500,$D44,EDW_RAW!$U$2:$U$1500,"&lt;&gt;~",EDW_RAW!$U$2:$U$1500,"&lt;&gt;")&gt;0,"부분","X")))</f>
        <v/>
      </c>
      <c r="S44" s="25" t="n"/>
      <c r="T44" s="20">
        <f>IF($H44="","",IF(AND(ISNUMBER(SEARCH("CMT",$H44)),OR(ISNUMBER(SEARCH("완사입",$H44)),ISNUMBER(SEARCH("ODM",$H44)))),"본사/생산처 혼재",IF(ISNUMBER(SEARCH("CMT",$H44)),"본사(소재팀)","생산처")))</f>
        <v/>
      </c>
      <c r="U44" s="20" t="inlineStr">
        <is>
          <t>원전</t>
        </is>
      </c>
      <c r="V44" s="20">
        <f>IFERROR(TEXTJOIN(" / ",TRUE,UNIQUE(FILTER(소재DB_RAW!$K$3:$K$2000,(소재DB_RAW!$G$3:$G$2000=$D44)*ISERROR(SEARCH("drop",소재DB_RAW!$C$3:$C$2000))))),"")</f>
        <v/>
      </c>
      <c r="W44" s="20" t="inlineStr"/>
      <c r="X44" s="20">
        <f>IFERROR(TEXTJOIN(" / ",TRUE,UNIQUE(FILTER(소재DB_RAW!$N$3:$N$2000,(소재DB_RAW!$G$3:$G$2000=$D44)*ISERROR(SEARCH("drop",소재DB_RAW!$C$3:$C$2000))))),"")</f>
        <v/>
      </c>
      <c r="Y44" s="26">
        <f>IFERROR(TEXTJOIN(CHAR(10),TRUE,UNIQUE(FILTER(소재DB_RAW!$N$3:$N$2000&amp;") "&amp;소재DB_RAW!$O$3:$O$2000,(소재DB_RAW!$G$3:$G$2000=$D44)*ISNUMBER(SEARCH("겉감",소재DB_RAW!$M$3:$M$2000))*ISERROR(SEARCH("drop",소재DB_RAW!$C$3:$C$2000))))),"")</f>
        <v/>
      </c>
      <c r="Z44" s="26">
        <f>IFERROR(TEXTJOIN(CHAR(10),TRUE,UNIQUE(FILTER(소재DB_RAW!$N$3:$N$2000&amp;") "&amp;소재DB_RAW!$O$3:$O$2000,(소재DB_RAW!$G$3:$G$2000=$D44)*ISNUMBER(SEARCH("안감",소재DB_RAW!$M$3:$M$2000))*ISERROR(SEARCH("drop",소재DB_RAW!$C$3:$C$2000))))),"")</f>
        <v/>
      </c>
      <c r="AA44" s="27" t="n">
        <v>1000</v>
      </c>
      <c r="AB44" s="27" t="n">
        <v>38169000</v>
      </c>
      <c r="AC44" s="27" t="n">
        <v>198000000</v>
      </c>
      <c r="AD44" s="20" t="inlineStr">
        <is>
          <t>1월3주</t>
        </is>
      </c>
      <c r="AE44" s="20">
        <f>IF($K44="","출고일 미정",IF($Q44="X","작지 미발행",IF($Q44="부분","작지 일부 미발행",IF(AND($S44&lt;&gt;"",$S44&gt;$N44),"소재입고 마감("&amp;TEXT($N44,"MM/DD")&amp;") 초과",IF($Q44="","발행여부 확인 필요",IF($S44="","소재 입고일정 확인 필요","정상"))))))</f>
        <v/>
      </c>
      <c r="AF44" s="19">
        <f>IF($K44="","",IF(OR(LEFT($AE44,2)="작지",LEFT($AE44,4)="소재입고"),IF(LEFT($G44,1)="S","★ 납기위험(S코드)","◆ 지연주의"),IF($AE44="정상","✓ 정상","? 확인필요")))</f>
        <v/>
      </c>
      <c r="AG44" s="21" t="n"/>
      <c r="AH44" s="28" t="n"/>
    </row>
    <row r="45">
      <c r="A45" s="19" t="n">
        <v>41</v>
      </c>
      <c r="B45" s="20" t="inlineStr">
        <is>
          <t>이재헌</t>
        </is>
      </c>
      <c r="C45" s="20" t="inlineStr">
        <is>
          <t>정은진</t>
        </is>
      </c>
      <c r="D45" s="20" t="inlineStr">
        <is>
          <t>JWJJS27131</t>
        </is>
      </c>
      <c r="E45" s="20" t="inlineStr">
        <is>
          <t>남성 OCTA 인슐레이션 재킷</t>
        </is>
      </c>
      <c r="F45" s="20" t="inlineStr">
        <is>
          <t>DGY(D/GRAY), BLK(BLACK)</t>
        </is>
      </c>
      <c r="G45" s="19">
        <f>IF($D45="","",IF(MID($D45,5,1)="S","S(봄)",IF(MID($D45,5,1)="M","M(여름)",IF(MID($D45,5,1)="X","X(사계절)",MID($D45,5,1)))))</f>
        <v/>
      </c>
      <c r="H45" s="20" t="inlineStr">
        <is>
          <t>완사입</t>
        </is>
      </c>
      <c r="I45" s="19" t="inlineStr"/>
      <c r="J45" s="21" t="inlineStr">
        <is>
          <t>1월3주</t>
        </is>
      </c>
      <c r="K45" s="22">
        <f>IF($J45="","",IFERROR(DATE(IF(VALUE(LEFT($J45,FIND("월",$J45)-1))&gt;=9,기준정보!$C$7-1,기준정보!$C$7),VALUE(LEFT($J45,FIND("월",$J45)-1)),1+7*(VALUE(SUBSTITUTE(MID($J45,FIND("월",$J45)+1,5),"주",""))-1)),""))</f>
        <v/>
      </c>
      <c r="L45" s="22">
        <f>IF($K45="","",IF(AND($K45-기준정보!$C$5&gt;=기준정보!$C$10,$K45-기준정보!$C$5&lt;=기준정보!$C$11),기준정보!$C$10-1,$K45-기준정보!$C$5))</f>
        <v/>
      </c>
      <c r="M45" s="23">
        <f>IF($L45="","",IF(OR(ISNUMBER(SEARCH("중국",$W45)),ISNUMBER(SEARCH("베트남",$W45))),MAX(0,MIN($L45,기준정보!$C$9)-MAX($L45-기준정보!$C$6,기준정보!$C$8)+1),IF(ISNUMBER(SEARCH("한국",$W45)),MAX(0,MIN($L45,기준정보!$C$11)-MAX($L45-기준정보!$C$6,기준정보!$C$10)+1),0)))</f>
        <v/>
      </c>
      <c r="N45" s="22">
        <f>IF($L45="","",$L45-기준정보!$C$6-$M45)</f>
        <v/>
      </c>
      <c r="O45" s="24">
        <f>IF($N45="","",$N45-기준정보!$C$4)</f>
        <v/>
      </c>
      <c r="P45" s="21" t="n"/>
      <c r="Q45" s="21" t="inlineStr">
        <is>
          <t>O</t>
        </is>
      </c>
      <c r="R45" s="19">
        <f>IF(COUNTIF(EDW_RAW!$A$2:$A$1500,$D45)=0,"",IF(COUNTIFS(EDW_RAW!$A$2:$A$1500,$D45,EDW_RAW!$U$2:$U$1500,"&lt;&gt;~",EDW_RAW!$U$2:$U$1500,"&lt;&gt;")=COUNTIF(EDW_RAW!$A$2:$A$1500,$D45),"O",IF(COUNTIFS(EDW_RAW!$A$2:$A$1500,$D45,EDW_RAW!$U$2:$U$1500,"&lt;&gt;~",EDW_RAW!$U$2:$U$1500,"&lt;&gt;")&gt;0,"부분","X")))</f>
        <v/>
      </c>
      <c r="S45" s="25" t="n"/>
      <c r="T45" s="20">
        <f>IF($H45="","",IF(AND(ISNUMBER(SEARCH("CMT",$H45)),OR(ISNUMBER(SEARCH("완사입",$H45)),ISNUMBER(SEARCH("ODM",$H45)))),"본사/생산처 혼재",IF(ISNUMBER(SEARCH("CMT",$H45)),"본사(소재팀)","생산처")))</f>
        <v/>
      </c>
      <c r="U45" s="20" t="inlineStr">
        <is>
          <t>원전</t>
        </is>
      </c>
      <c r="V45" s="20">
        <f>IFERROR(TEXTJOIN(" / ",TRUE,UNIQUE(FILTER(소재DB_RAW!$K$3:$K$2000,(소재DB_RAW!$G$3:$G$2000=$D45)*ISERROR(SEARCH("drop",소재DB_RAW!$C$3:$C$2000))))),"")</f>
        <v/>
      </c>
      <c r="W45" s="20" t="inlineStr">
        <is>
          <t>인도네시아</t>
        </is>
      </c>
      <c r="X45" s="20">
        <f>IFERROR(TEXTJOIN(" / ",TRUE,UNIQUE(FILTER(소재DB_RAW!$N$3:$N$2000,(소재DB_RAW!$G$3:$G$2000=$D45)*ISERROR(SEARCH("drop",소재DB_RAW!$C$3:$C$2000))))),"")</f>
        <v/>
      </c>
      <c r="Y45" s="26">
        <f>IFERROR(TEXTJOIN(CHAR(10),TRUE,UNIQUE(FILTER(소재DB_RAW!$N$3:$N$2000&amp;") "&amp;소재DB_RAW!$O$3:$O$2000,(소재DB_RAW!$G$3:$G$2000=$D45)*ISNUMBER(SEARCH("겉감",소재DB_RAW!$M$3:$M$2000))*ISERROR(SEARCH("drop",소재DB_RAW!$C$3:$C$2000))))),"")</f>
        <v/>
      </c>
      <c r="Z45" s="26">
        <f>IFERROR(TEXTJOIN(CHAR(10),TRUE,UNIQUE(FILTER(소재DB_RAW!$N$3:$N$2000&amp;") "&amp;소재DB_RAW!$O$3:$O$2000,(소재DB_RAW!$G$3:$G$2000=$D45)*ISNUMBER(SEARCH("안감",소재DB_RAW!$M$3:$M$2000))*ISERROR(SEARCH("drop",소재DB_RAW!$C$3:$C$2000))))),"")</f>
        <v/>
      </c>
      <c r="AA45" s="27" t="n">
        <v>2500</v>
      </c>
      <c r="AB45" s="27" t="n">
        <v>151025000</v>
      </c>
      <c r="AC45" s="27" t="n">
        <v>725000000</v>
      </c>
      <c r="AD45" s="20" t="n"/>
      <c r="AE45" s="20">
        <f>IF($K45="","출고일 미정",IF($Q45="X","작지 미발행",IF($Q45="부분","작지 일부 미발행",IF(AND($S45&lt;&gt;"",$S45&gt;$N45),"소재입고 마감("&amp;TEXT($N45,"MM/DD")&amp;") 초과",IF($Q45="","발행여부 확인 필요",IF($S45="","소재 입고일정 확인 필요","정상"))))))</f>
        <v/>
      </c>
      <c r="AF45" s="19">
        <f>IF($K45="","",IF(OR(LEFT($AE45,2)="작지",LEFT($AE45,4)="소재입고"),IF(LEFT($G45,1)="S","★ 납기위험(S코드)","◆ 지연주의"),IF($AE45="정상","✓ 정상","? 확인필요")))</f>
        <v/>
      </c>
      <c r="AG45" s="21" t="n"/>
      <c r="AH45" s="28" t="n"/>
    </row>
    <row r="46">
      <c r="A46" s="19" t="n">
        <v>42</v>
      </c>
      <c r="B46" s="20" t="inlineStr">
        <is>
          <t>박술홍</t>
        </is>
      </c>
      <c r="C46" s="20" t="inlineStr">
        <is>
          <t>엄창용</t>
        </is>
      </c>
      <c r="D46" s="20" t="inlineStr">
        <is>
          <t>JWPNS27101</t>
        </is>
      </c>
      <c r="E46" s="20" t="inlineStr">
        <is>
          <t>춘절 남성 레귤러핏 스탠다드 원턱 팬츠</t>
        </is>
      </c>
      <c r="F46" s="20" t="inlineStr">
        <is>
          <t>DGY-1, BLK(BLACK)</t>
        </is>
      </c>
      <c r="G46" s="19">
        <f>IF($D46="","",IF(MID($D46,5,1)="S","S(봄)",IF(MID($D46,5,1)="M","M(여름)",IF(MID($D46,5,1)="X","X(사계절)",MID($D46,5,1)))))</f>
        <v/>
      </c>
      <c r="H46" s="20" t="inlineStr">
        <is>
          <t>CMT</t>
        </is>
      </c>
      <c r="I46" s="19" t="inlineStr">
        <is>
          <t>SP1</t>
        </is>
      </c>
      <c r="J46" s="21" t="inlineStr">
        <is>
          <t>1월3주</t>
        </is>
      </c>
      <c r="K46" s="22">
        <f>IF($J46="","",IFERROR(DATE(IF(VALUE(LEFT($J46,FIND("월",$J46)-1))&gt;=9,기준정보!$C$7-1,기준정보!$C$7),VALUE(LEFT($J46,FIND("월",$J46)-1)),1+7*(VALUE(SUBSTITUTE(MID($J46,FIND("월",$J46)+1,5),"주",""))-1)),""))</f>
        <v/>
      </c>
      <c r="L46" s="22">
        <f>IF($K46="","",IF(AND($K46-기준정보!$C$5&gt;=기준정보!$C$10,$K46-기준정보!$C$5&lt;=기준정보!$C$11),기준정보!$C$10-1,$K46-기준정보!$C$5))</f>
        <v/>
      </c>
      <c r="M46" s="23">
        <f>IF($L46="","",IF(OR(ISNUMBER(SEARCH("중국",$W46)),ISNUMBER(SEARCH("베트남",$W46))),MAX(0,MIN($L46,기준정보!$C$9)-MAX($L46-기준정보!$C$6,기준정보!$C$8)+1),IF(ISNUMBER(SEARCH("한국",$W46)),MAX(0,MIN($L46,기준정보!$C$11)-MAX($L46-기준정보!$C$6,기준정보!$C$10)+1),0)))</f>
        <v/>
      </c>
      <c r="N46" s="22">
        <f>IF($L46="","",$L46-기준정보!$C$6-$M46)</f>
        <v/>
      </c>
      <c r="O46" s="24">
        <f>IF($N46="","",$N46-기준정보!$C$4)</f>
        <v/>
      </c>
      <c r="P46" s="21" t="n"/>
      <c r="Q46" s="21" t="inlineStr">
        <is>
          <t>O</t>
        </is>
      </c>
      <c r="R46" s="19">
        <f>IF(COUNTIF(EDW_RAW!$A$2:$A$1500,$D46)=0,"",IF(COUNTIFS(EDW_RAW!$A$2:$A$1500,$D46,EDW_RAW!$U$2:$U$1500,"&lt;&gt;~",EDW_RAW!$U$2:$U$1500,"&lt;&gt;")=COUNTIF(EDW_RAW!$A$2:$A$1500,$D46),"O",IF(COUNTIFS(EDW_RAW!$A$2:$A$1500,$D46,EDW_RAW!$U$2:$U$1500,"&lt;&gt;~",EDW_RAW!$U$2:$U$1500,"&lt;&gt;")&gt;0,"부분","X")))</f>
        <v/>
      </c>
      <c r="S46" s="25" t="n"/>
      <c r="T46" s="20">
        <f>IF($H46="","",IF(AND(ISNUMBER(SEARCH("CMT",$H46)),OR(ISNUMBER(SEARCH("완사입",$H46)),ISNUMBER(SEARCH("ODM",$H46)))),"본사/생산처 혼재",IF(ISNUMBER(SEARCH("CMT",$H46)),"본사(소재팀)","생산처")))</f>
        <v/>
      </c>
      <c r="U46" s="20" t="inlineStr">
        <is>
          <t>디코드</t>
        </is>
      </c>
      <c r="V46" s="20">
        <f>IFERROR(TEXTJOIN(" / ",TRUE,UNIQUE(FILTER(소재DB_RAW!$K$3:$K$2000,(소재DB_RAW!$G$3:$G$2000=$D46)*ISERROR(SEARCH("drop",소재DB_RAW!$C$3:$C$2000))))),"")</f>
        <v/>
      </c>
      <c r="W46" s="20" t="inlineStr">
        <is>
          <t>베트남</t>
        </is>
      </c>
      <c r="X46" s="20">
        <f>IFERROR(TEXTJOIN(" / ",TRUE,UNIQUE(FILTER(소재DB_RAW!$N$3:$N$2000,(소재DB_RAW!$G$3:$G$2000=$D46)*ISERROR(SEARCH("drop",소재DB_RAW!$C$3:$C$2000))))),"")</f>
        <v/>
      </c>
      <c r="Y46" s="26">
        <f>IFERROR(TEXTJOIN(CHAR(10),TRUE,UNIQUE(FILTER(소재DB_RAW!$N$3:$N$2000&amp;") "&amp;소재DB_RAW!$O$3:$O$2000,(소재DB_RAW!$G$3:$G$2000=$D46)*ISNUMBER(SEARCH("겉감",소재DB_RAW!$M$3:$M$2000))*ISERROR(SEARCH("drop",소재DB_RAW!$C$3:$C$2000))))),"")</f>
        <v/>
      </c>
      <c r="Z46" s="26">
        <f>IFERROR(TEXTJOIN(CHAR(10),TRUE,UNIQUE(FILTER(소재DB_RAW!$N$3:$N$2000&amp;") "&amp;소재DB_RAW!$O$3:$O$2000,(소재DB_RAW!$G$3:$G$2000=$D46)*ISNUMBER(SEARCH("안감",소재DB_RAW!$M$3:$M$2000))*ISERROR(SEARCH("drop",소재DB_RAW!$C$3:$C$2000))))),"")</f>
        <v/>
      </c>
      <c r="AA46" s="27" t="n">
        <v>5500</v>
      </c>
      <c r="AB46" s="27" t="n">
        <v>155397000</v>
      </c>
      <c r="AC46" s="27" t="n">
        <v>979000000</v>
      </c>
      <c r="AD46" s="20" t="n"/>
      <c r="AE46" s="20">
        <f>IF($K46="","출고일 미정",IF($Q46="X","작지 미발행",IF($Q46="부분","작지 일부 미발행",IF(AND($S46&lt;&gt;"",$S46&gt;$N46),"소재입고 마감("&amp;TEXT($N46,"MM/DD")&amp;") 초과",IF($Q46="","발행여부 확인 필요",IF($S46="","소재 입고일정 확인 필요","정상"))))))</f>
        <v/>
      </c>
      <c r="AF46" s="19">
        <f>IF($K46="","",IF(OR(LEFT($AE46,2)="작지",LEFT($AE46,4)="소재입고"),IF(LEFT($G46,1)="S","★ 납기위험(S코드)","◆ 지연주의"),IF($AE46="정상","✓ 정상","? 확인필요")))</f>
        <v/>
      </c>
      <c r="AG46" s="21" t="n"/>
      <c r="AH46" s="28" t="n"/>
    </row>
    <row r="47">
      <c r="A47" s="19" t="n">
        <v>43</v>
      </c>
      <c r="B47" s="20" t="inlineStr">
        <is>
          <t>박술홍</t>
        </is>
      </c>
      <c r="C47" s="20" t="inlineStr">
        <is>
          <t>엄창용</t>
        </is>
      </c>
      <c r="D47" s="20" t="inlineStr">
        <is>
          <t>JWPNS27103</t>
        </is>
      </c>
      <c r="E47" s="20" t="inlineStr">
        <is>
          <t>춘절 남성 슬림핏 스탠다드 노턱 팬츠</t>
        </is>
      </c>
      <c r="F47" s="20" t="inlineStr">
        <is>
          <t>CIN(CINDER), BLK(BLACK)</t>
        </is>
      </c>
      <c r="G47" s="19">
        <f>IF($D47="","",IF(MID($D47,5,1)="S","S(봄)",IF(MID($D47,5,1)="M","M(여름)",IF(MID($D47,5,1)="X","X(사계절)",MID($D47,5,1)))))</f>
        <v/>
      </c>
      <c r="H47" s="20" t="inlineStr">
        <is>
          <t>CMT</t>
        </is>
      </c>
      <c r="I47" s="19" t="inlineStr">
        <is>
          <t>SP1</t>
        </is>
      </c>
      <c r="J47" s="21" t="inlineStr">
        <is>
          <t>1월3주</t>
        </is>
      </c>
      <c r="K47" s="22">
        <f>IF($J47="","",IFERROR(DATE(IF(VALUE(LEFT($J47,FIND("월",$J47)-1))&gt;=9,기준정보!$C$7-1,기준정보!$C$7),VALUE(LEFT($J47,FIND("월",$J47)-1)),1+7*(VALUE(SUBSTITUTE(MID($J47,FIND("월",$J47)+1,5),"주",""))-1)),""))</f>
        <v/>
      </c>
      <c r="L47" s="22">
        <f>IF($K47="","",IF(AND($K47-기준정보!$C$5&gt;=기준정보!$C$10,$K47-기준정보!$C$5&lt;=기준정보!$C$11),기준정보!$C$10-1,$K47-기준정보!$C$5))</f>
        <v/>
      </c>
      <c r="M47" s="23">
        <f>IF($L47="","",IF(OR(ISNUMBER(SEARCH("중국",$W47)),ISNUMBER(SEARCH("베트남",$W47))),MAX(0,MIN($L47,기준정보!$C$9)-MAX($L47-기준정보!$C$6,기준정보!$C$8)+1),IF(ISNUMBER(SEARCH("한국",$W47)),MAX(0,MIN($L47,기준정보!$C$11)-MAX($L47-기준정보!$C$6,기준정보!$C$10)+1),0)))</f>
        <v/>
      </c>
      <c r="N47" s="22">
        <f>IF($L47="","",$L47-기준정보!$C$6-$M47)</f>
        <v/>
      </c>
      <c r="O47" s="24">
        <f>IF($N47="","",$N47-기준정보!$C$4)</f>
        <v/>
      </c>
      <c r="P47" s="21" t="n"/>
      <c r="Q47" s="21" t="inlineStr">
        <is>
          <t>O</t>
        </is>
      </c>
      <c r="R47" s="19">
        <f>IF(COUNTIF(EDW_RAW!$A$2:$A$1500,$D47)=0,"",IF(COUNTIFS(EDW_RAW!$A$2:$A$1500,$D47,EDW_RAW!$U$2:$U$1500,"&lt;&gt;~",EDW_RAW!$U$2:$U$1500,"&lt;&gt;")=COUNTIF(EDW_RAW!$A$2:$A$1500,$D47),"O",IF(COUNTIFS(EDW_RAW!$A$2:$A$1500,$D47,EDW_RAW!$U$2:$U$1500,"&lt;&gt;~",EDW_RAW!$U$2:$U$1500,"&lt;&gt;")&gt;0,"부분","X")))</f>
        <v/>
      </c>
      <c r="S47" s="25" t="n"/>
      <c r="T47" s="20">
        <f>IF($H47="","",IF(AND(ISNUMBER(SEARCH("CMT",$H47)),OR(ISNUMBER(SEARCH("완사입",$H47)),ISNUMBER(SEARCH("ODM",$H47)))),"본사/생산처 혼재",IF(ISNUMBER(SEARCH("CMT",$H47)),"본사(소재팀)","생산처")))</f>
        <v/>
      </c>
      <c r="U47" s="20" t="inlineStr">
        <is>
          <t>디코드</t>
        </is>
      </c>
      <c r="V47" s="20">
        <f>IFERROR(TEXTJOIN(" / ",TRUE,UNIQUE(FILTER(소재DB_RAW!$K$3:$K$2000,(소재DB_RAW!$G$3:$G$2000=$D47)*ISERROR(SEARCH("drop",소재DB_RAW!$C$3:$C$2000))))),"")</f>
        <v/>
      </c>
      <c r="W47" s="20" t="inlineStr">
        <is>
          <t>베트남</t>
        </is>
      </c>
      <c r="X47" s="20">
        <f>IFERROR(TEXTJOIN(" / ",TRUE,UNIQUE(FILTER(소재DB_RAW!$N$3:$N$2000,(소재DB_RAW!$G$3:$G$2000=$D47)*ISERROR(SEARCH("drop",소재DB_RAW!$C$3:$C$2000))))),"")</f>
        <v/>
      </c>
      <c r="Y47" s="26">
        <f>IFERROR(TEXTJOIN(CHAR(10),TRUE,UNIQUE(FILTER(소재DB_RAW!$N$3:$N$2000&amp;") "&amp;소재DB_RAW!$O$3:$O$2000,(소재DB_RAW!$G$3:$G$2000=$D47)*ISNUMBER(SEARCH("겉감",소재DB_RAW!$M$3:$M$2000))*ISERROR(SEARCH("drop",소재DB_RAW!$C$3:$C$2000))))),"")</f>
        <v/>
      </c>
      <c r="Z47" s="26">
        <f>IFERROR(TEXTJOIN(CHAR(10),TRUE,UNIQUE(FILTER(소재DB_RAW!$N$3:$N$2000&amp;") "&amp;소재DB_RAW!$O$3:$O$2000,(소재DB_RAW!$G$3:$G$2000=$D47)*ISNUMBER(SEARCH("안감",소재DB_RAW!$M$3:$M$2000))*ISERROR(SEARCH("drop",소재DB_RAW!$C$3:$C$2000))))),"")</f>
        <v/>
      </c>
      <c r="AA47" s="27" t="n">
        <v>8000</v>
      </c>
      <c r="AB47" s="27" t="n">
        <v>210024000</v>
      </c>
      <c r="AC47" s="27" t="n">
        <v>1424000000</v>
      </c>
      <c r="AD47" s="20" t="n"/>
      <c r="AE47" s="20">
        <f>IF($K47="","출고일 미정",IF($Q47="X","작지 미발행",IF($Q47="부분","작지 일부 미발행",IF(AND($S47&lt;&gt;"",$S47&gt;$N47),"소재입고 마감("&amp;TEXT($N47,"MM/DD")&amp;") 초과",IF($Q47="","발행여부 확인 필요",IF($S47="","소재 입고일정 확인 필요","정상"))))))</f>
        <v/>
      </c>
      <c r="AF47" s="19">
        <f>IF($K47="","",IF(OR(LEFT($AE47,2)="작지",LEFT($AE47,4)="소재입고"),IF(LEFT($G47,1)="S","★ 납기위험(S코드)","◆ 지연주의"),IF($AE47="정상","✓ 정상","? 확인필요")))</f>
        <v/>
      </c>
      <c r="AG47" s="21" t="n"/>
      <c r="AH47" s="28" t="n"/>
    </row>
    <row r="48">
      <c r="A48" s="19" t="n">
        <v>44</v>
      </c>
      <c r="B48" s="20" t="inlineStr">
        <is>
          <t>박술홍</t>
        </is>
      </c>
      <c r="C48" s="20" t="inlineStr">
        <is>
          <t>엄창용</t>
        </is>
      </c>
      <c r="D48" s="20" t="inlineStr">
        <is>
          <t>JWPNS27113</t>
        </is>
      </c>
      <c r="E48" s="20" t="inlineStr">
        <is>
          <t>춘절 남성 레귤러핏 하이킹 팬츠</t>
        </is>
      </c>
      <c r="F48" s="20" t="inlineStr">
        <is>
          <t>DGY-1, WBE</t>
        </is>
      </c>
      <c r="G48" s="19">
        <f>IF($D48="","",IF(MID($D48,5,1)="S","S(봄)",IF(MID($D48,5,1)="M","M(여름)",IF(MID($D48,5,1)="X","X(사계절)",MID($D48,5,1)))))</f>
        <v/>
      </c>
      <c r="H48" s="20" t="inlineStr">
        <is>
          <t>완사입</t>
        </is>
      </c>
      <c r="I48" s="19" t="inlineStr">
        <is>
          <t>SP1</t>
        </is>
      </c>
      <c r="J48" s="21" t="inlineStr">
        <is>
          <t>1월3주</t>
        </is>
      </c>
      <c r="K48" s="22">
        <f>IF($J48="","",IFERROR(DATE(IF(VALUE(LEFT($J48,FIND("월",$J48)-1))&gt;=9,기준정보!$C$7-1,기준정보!$C$7),VALUE(LEFT($J48,FIND("월",$J48)-1)),1+7*(VALUE(SUBSTITUTE(MID($J48,FIND("월",$J48)+1,5),"주",""))-1)),""))</f>
        <v/>
      </c>
      <c r="L48" s="22">
        <f>IF($K48="","",IF(AND($K48-기준정보!$C$5&gt;=기준정보!$C$10,$K48-기준정보!$C$5&lt;=기준정보!$C$11),기준정보!$C$10-1,$K48-기준정보!$C$5))</f>
        <v/>
      </c>
      <c r="M48" s="23">
        <f>IF($L48="","",IF(OR(ISNUMBER(SEARCH("중국",$W48)),ISNUMBER(SEARCH("베트남",$W48))),MAX(0,MIN($L48,기준정보!$C$9)-MAX($L48-기준정보!$C$6,기준정보!$C$8)+1),IF(ISNUMBER(SEARCH("한국",$W48)),MAX(0,MIN($L48,기준정보!$C$11)-MAX($L48-기준정보!$C$6,기준정보!$C$10)+1),0)))</f>
        <v/>
      </c>
      <c r="N48" s="22">
        <f>IF($L48="","",$L48-기준정보!$C$6-$M48)</f>
        <v/>
      </c>
      <c r="O48" s="24">
        <f>IF($N48="","",$N48-기준정보!$C$4)</f>
        <v/>
      </c>
      <c r="P48" s="21" t="n"/>
      <c r="Q48" s="21" t="inlineStr">
        <is>
          <t>O</t>
        </is>
      </c>
      <c r="R48" s="19">
        <f>IF(COUNTIF(EDW_RAW!$A$2:$A$1500,$D48)=0,"",IF(COUNTIFS(EDW_RAW!$A$2:$A$1500,$D48,EDW_RAW!$U$2:$U$1500,"&lt;&gt;~",EDW_RAW!$U$2:$U$1500,"&lt;&gt;")=COUNTIF(EDW_RAW!$A$2:$A$1500,$D48),"O",IF(COUNTIFS(EDW_RAW!$A$2:$A$1500,$D48,EDW_RAW!$U$2:$U$1500,"&lt;&gt;~",EDW_RAW!$U$2:$U$1500,"&lt;&gt;")&gt;0,"부분","X")))</f>
        <v/>
      </c>
      <c r="S48" s="25" t="n"/>
      <c r="T48" s="20">
        <f>IF($H48="","",IF(AND(ISNUMBER(SEARCH("CMT",$H48)),OR(ISNUMBER(SEARCH("완사입",$H48)),ISNUMBER(SEARCH("ODM",$H48)))),"본사/생산처 혼재",IF(ISNUMBER(SEARCH("CMT",$H48)),"본사(소재팀)","생산처")))</f>
        <v/>
      </c>
      <c r="U48" s="20" t="inlineStr">
        <is>
          <t>TBO</t>
        </is>
      </c>
      <c r="V48" s="20">
        <f>IFERROR(TEXTJOIN(" / ",TRUE,UNIQUE(FILTER(소재DB_RAW!$K$3:$K$2000,(소재DB_RAW!$G$3:$G$2000=$D48)*ISERROR(SEARCH("drop",소재DB_RAW!$C$3:$C$2000))))),"")</f>
        <v/>
      </c>
      <c r="W48" s="20" t="inlineStr">
        <is>
          <t>베트남</t>
        </is>
      </c>
      <c r="X48" s="20">
        <f>IFERROR(TEXTJOIN(" / ",TRUE,UNIQUE(FILTER(소재DB_RAW!$N$3:$N$2000,(소재DB_RAW!$G$3:$G$2000=$D48)*ISERROR(SEARCH("drop",소재DB_RAW!$C$3:$C$2000))))),"")</f>
        <v/>
      </c>
      <c r="Y48" s="26">
        <f>IFERROR(TEXTJOIN(CHAR(10),TRUE,UNIQUE(FILTER(소재DB_RAW!$N$3:$N$2000&amp;") "&amp;소재DB_RAW!$O$3:$O$2000,(소재DB_RAW!$G$3:$G$2000=$D48)*ISNUMBER(SEARCH("겉감",소재DB_RAW!$M$3:$M$2000))*ISERROR(SEARCH("drop",소재DB_RAW!$C$3:$C$2000))))),"")</f>
        <v/>
      </c>
      <c r="Z48" s="26">
        <f>IFERROR(TEXTJOIN(CHAR(10),TRUE,UNIQUE(FILTER(소재DB_RAW!$N$3:$N$2000&amp;") "&amp;소재DB_RAW!$O$3:$O$2000,(소재DB_RAW!$G$3:$G$2000=$D48)*ISNUMBER(SEARCH("안감",소재DB_RAW!$M$3:$M$2000))*ISERROR(SEARCH("drop",소재DB_RAW!$C$3:$C$2000))))),"")</f>
        <v/>
      </c>
      <c r="AA48" s="27" t="n">
        <v>1800</v>
      </c>
      <c r="AB48" s="27" t="n">
        <v>70093800</v>
      </c>
      <c r="AC48" s="27" t="n">
        <v>356400000</v>
      </c>
      <c r="AD48" s="20" t="inlineStr">
        <is>
          <t>1월3주</t>
        </is>
      </c>
      <c r="AE48" s="20">
        <f>IF($K48="","출고일 미정",IF($Q48="X","작지 미발행",IF($Q48="부분","작지 일부 미발행",IF(AND($S48&lt;&gt;"",$S48&gt;$N48),"소재입고 마감("&amp;TEXT($N48,"MM/DD")&amp;") 초과",IF($Q48="","발행여부 확인 필요",IF($S48="","소재 입고일정 확인 필요","정상"))))))</f>
        <v/>
      </c>
      <c r="AF48" s="19">
        <f>IF($K48="","",IF(OR(LEFT($AE48,2)="작지",LEFT($AE48,4)="소재입고"),IF(LEFT($G48,1)="S","★ 납기위험(S코드)","◆ 지연주의"),IF($AE48="정상","✓ 정상","? 확인필요")))</f>
        <v/>
      </c>
      <c r="AG48" s="21" t="n"/>
      <c r="AH48" s="28" t="n"/>
    </row>
    <row r="49">
      <c r="A49" s="19" t="n">
        <v>45</v>
      </c>
      <c r="B49" s="20" t="inlineStr">
        <is>
          <t>박술홍</t>
        </is>
      </c>
      <c r="C49" s="20" t="inlineStr">
        <is>
          <t>엄창용</t>
        </is>
      </c>
      <c r="D49" s="20" t="inlineStr">
        <is>
          <t>JWSXS27135</t>
        </is>
      </c>
      <c r="E49" s="20" t="inlineStr">
        <is>
          <t>춘절 남녀공용 우븐 하이킹 셔츠 (WIGO)</t>
        </is>
      </c>
      <c r="F49" s="20" t="inlineStr">
        <is>
          <t>BLK(BLACK), KHA(KHAKI)</t>
        </is>
      </c>
      <c r="G49" s="19">
        <f>IF($D49="","",IF(MID($D49,5,1)="S","S(봄)",IF(MID($D49,5,1)="M","M(여름)",IF(MID($D49,5,1)="X","X(사계절)",MID($D49,5,1)))))</f>
        <v/>
      </c>
      <c r="H49" s="20" t="inlineStr">
        <is>
          <t>완사입</t>
        </is>
      </c>
      <c r="I49" s="19" t="inlineStr">
        <is>
          <t>SP1</t>
        </is>
      </c>
      <c r="J49" s="21" t="inlineStr">
        <is>
          <t>1월3주</t>
        </is>
      </c>
      <c r="K49" s="22">
        <f>IF($J49="","",IFERROR(DATE(IF(VALUE(LEFT($J49,FIND("월",$J49)-1))&gt;=9,기준정보!$C$7-1,기준정보!$C$7),VALUE(LEFT($J49,FIND("월",$J49)-1)),1+7*(VALUE(SUBSTITUTE(MID($J49,FIND("월",$J49)+1,5),"주",""))-1)),""))</f>
        <v/>
      </c>
      <c r="L49" s="22">
        <f>IF($K49="","",IF(AND($K49-기준정보!$C$5&gt;=기준정보!$C$10,$K49-기준정보!$C$5&lt;=기준정보!$C$11),기준정보!$C$10-1,$K49-기준정보!$C$5))</f>
        <v/>
      </c>
      <c r="M49" s="23">
        <f>IF($L49="","",IF(OR(ISNUMBER(SEARCH("중국",$W49)),ISNUMBER(SEARCH("베트남",$W49))),MAX(0,MIN($L49,기준정보!$C$9)-MAX($L49-기준정보!$C$6,기준정보!$C$8)+1),IF(ISNUMBER(SEARCH("한국",$W49)),MAX(0,MIN($L49,기준정보!$C$11)-MAX($L49-기준정보!$C$6,기준정보!$C$10)+1),0)))</f>
        <v/>
      </c>
      <c r="N49" s="22">
        <f>IF($L49="","",$L49-기준정보!$C$6-$M49)</f>
        <v/>
      </c>
      <c r="O49" s="24">
        <f>IF($N49="","",$N49-기준정보!$C$4)</f>
        <v/>
      </c>
      <c r="P49" s="21" t="n"/>
      <c r="Q49" s="21" t="inlineStr">
        <is>
          <t>O</t>
        </is>
      </c>
      <c r="R49" s="19">
        <f>IF(COUNTIF(EDW_RAW!$A$2:$A$1500,$D49)=0,"",IF(COUNTIFS(EDW_RAW!$A$2:$A$1500,$D49,EDW_RAW!$U$2:$U$1500,"&lt;&gt;~",EDW_RAW!$U$2:$U$1500,"&lt;&gt;")=COUNTIF(EDW_RAW!$A$2:$A$1500,$D49),"O",IF(COUNTIFS(EDW_RAW!$A$2:$A$1500,$D49,EDW_RAW!$U$2:$U$1500,"&lt;&gt;~",EDW_RAW!$U$2:$U$1500,"&lt;&gt;")&gt;0,"부분","X")))</f>
        <v/>
      </c>
      <c r="S49" s="25" t="n"/>
      <c r="T49" s="20">
        <f>IF($H49="","",IF(AND(ISNUMBER(SEARCH("CMT",$H49)),OR(ISNUMBER(SEARCH("완사입",$H49)),ISNUMBER(SEARCH("ODM",$H49)))),"본사/생산처 혼재",IF(ISNUMBER(SEARCH("CMT",$H49)),"본사(소재팀)","생산처")))</f>
        <v/>
      </c>
      <c r="U49" s="20" t="inlineStr">
        <is>
          <t>성원</t>
        </is>
      </c>
      <c r="V49" s="20">
        <f>IFERROR(TEXTJOIN(" / ",TRUE,UNIQUE(FILTER(소재DB_RAW!$K$3:$K$2000,(소재DB_RAW!$G$3:$G$2000=$D49)*ISERROR(SEARCH("drop",소재DB_RAW!$C$3:$C$2000))))),"")</f>
        <v/>
      </c>
      <c r="W49" s="20" t="inlineStr">
        <is>
          <t>베트남</t>
        </is>
      </c>
      <c r="X49" s="20">
        <f>IFERROR(TEXTJOIN(" / ",TRUE,UNIQUE(FILTER(소재DB_RAW!$N$3:$N$2000,(소재DB_RAW!$G$3:$G$2000=$D49)*ISERROR(SEARCH("drop",소재DB_RAW!$C$3:$C$2000))))),"")</f>
        <v/>
      </c>
      <c r="Y49" s="26">
        <f>IFERROR(TEXTJOIN(CHAR(10),TRUE,UNIQUE(FILTER(소재DB_RAW!$N$3:$N$2000&amp;") "&amp;소재DB_RAW!$O$3:$O$2000,(소재DB_RAW!$G$3:$G$2000=$D49)*ISNUMBER(SEARCH("겉감",소재DB_RAW!$M$3:$M$2000))*ISERROR(SEARCH("drop",소재DB_RAW!$C$3:$C$2000))))),"")</f>
        <v/>
      </c>
      <c r="Z49" s="26">
        <f>IFERROR(TEXTJOIN(CHAR(10),TRUE,UNIQUE(FILTER(소재DB_RAW!$N$3:$N$2000&amp;") "&amp;소재DB_RAW!$O$3:$O$2000,(소재DB_RAW!$G$3:$G$2000=$D49)*ISNUMBER(SEARCH("안감",소재DB_RAW!$M$3:$M$2000))*ISERROR(SEARCH("drop",소재DB_RAW!$C$3:$C$2000))))),"")</f>
        <v/>
      </c>
      <c r="AA49" s="27" t="n">
        <v>1600</v>
      </c>
      <c r="AB49" s="27" t="n">
        <v>77996800</v>
      </c>
      <c r="AC49" s="27" t="n">
        <v>352000000</v>
      </c>
      <c r="AD49" s="20" t="n"/>
      <c r="AE49" s="20">
        <f>IF($K49="","출고일 미정",IF($Q49="X","작지 미발행",IF($Q49="부분","작지 일부 미발행",IF(AND($S49&lt;&gt;"",$S49&gt;$N49),"소재입고 마감("&amp;TEXT($N49,"MM/DD")&amp;") 초과",IF($Q49="","발행여부 확인 필요",IF($S49="","소재 입고일정 확인 필요","정상"))))))</f>
        <v/>
      </c>
      <c r="AF49" s="19">
        <f>IF($K49="","",IF(OR(LEFT($AE49,2)="작지",LEFT($AE49,4)="소재입고"),IF(LEFT($G49,1)="S","★ 납기위험(S코드)","◆ 지연주의"),IF($AE49="정상","✓ 정상","? 확인필요")))</f>
        <v/>
      </c>
      <c r="AG49" s="21" t="n"/>
      <c r="AH49" s="28" t="n"/>
    </row>
    <row r="50">
      <c r="A50" s="19" t="n">
        <v>46</v>
      </c>
      <c r="B50" s="20" t="inlineStr">
        <is>
          <t>이재헌</t>
        </is>
      </c>
      <c r="C50" s="20" t="inlineStr">
        <is>
          <t>엄창용</t>
        </is>
      </c>
      <c r="D50" s="20" t="inlineStr">
        <is>
          <t>JWTBS27111</t>
        </is>
      </c>
      <c r="E50" s="20" t="inlineStr">
        <is>
          <t>남성 하이브리드 긴팔 집업 티셔츠</t>
        </is>
      </c>
      <c r="F50" s="20" t="inlineStr">
        <is>
          <t>BLK(BLACK), GBU(G/BLUE)</t>
        </is>
      </c>
      <c r="G50" s="19">
        <f>IF($D50="","",IF(MID($D50,5,1)="S","S(봄)",IF(MID($D50,5,1)="M","M(여름)",IF(MID($D50,5,1)="X","X(사계절)",MID($D50,5,1)))))</f>
        <v/>
      </c>
      <c r="H50" s="20" t="inlineStr">
        <is>
          <t>완사입</t>
        </is>
      </c>
      <c r="I50" s="19" t="inlineStr"/>
      <c r="J50" s="21" t="inlineStr">
        <is>
          <t>1월3주</t>
        </is>
      </c>
      <c r="K50" s="22">
        <f>IF($J50="","",IFERROR(DATE(IF(VALUE(LEFT($J50,FIND("월",$J50)-1))&gt;=9,기준정보!$C$7-1,기준정보!$C$7),VALUE(LEFT($J50,FIND("월",$J50)-1)),1+7*(VALUE(SUBSTITUTE(MID($J50,FIND("월",$J50)+1,5),"주",""))-1)),""))</f>
        <v/>
      </c>
      <c r="L50" s="22">
        <f>IF($K50="","",IF(AND($K50-기준정보!$C$5&gt;=기준정보!$C$10,$K50-기준정보!$C$5&lt;=기준정보!$C$11),기준정보!$C$10-1,$K50-기준정보!$C$5))</f>
        <v/>
      </c>
      <c r="M50" s="23">
        <f>IF($L50="","",IF(OR(ISNUMBER(SEARCH("중국",$W50)),ISNUMBER(SEARCH("베트남",$W50))),MAX(0,MIN($L50,기준정보!$C$9)-MAX($L50-기준정보!$C$6,기준정보!$C$8)+1),IF(ISNUMBER(SEARCH("한국",$W50)),MAX(0,MIN($L50,기준정보!$C$11)-MAX($L50-기준정보!$C$6,기준정보!$C$10)+1),0)))</f>
        <v/>
      </c>
      <c r="N50" s="22">
        <f>IF($L50="","",$L50-기준정보!$C$6-$M50)</f>
        <v/>
      </c>
      <c r="O50" s="24">
        <f>IF($N50="","",$N50-기준정보!$C$4)</f>
        <v/>
      </c>
      <c r="P50" s="21" t="n"/>
      <c r="Q50" s="21" t="inlineStr">
        <is>
          <t>O</t>
        </is>
      </c>
      <c r="R50" s="19">
        <f>IF(COUNTIF(EDW_RAW!$A$2:$A$1500,$D50)=0,"",IF(COUNTIFS(EDW_RAW!$A$2:$A$1500,$D50,EDW_RAW!$U$2:$U$1500,"&lt;&gt;~",EDW_RAW!$U$2:$U$1500,"&lt;&gt;")=COUNTIF(EDW_RAW!$A$2:$A$1500,$D50),"O",IF(COUNTIFS(EDW_RAW!$A$2:$A$1500,$D50,EDW_RAW!$U$2:$U$1500,"&lt;&gt;~",EDW_RAW!$U$2:$U$1500,"&lt;&gt;")&gt;0,"부분","X")))</f>
        <v/>
      </c>
      <c r="S50" s="25" t="n"/>
      <c r="T50" s="20">
        <f>IF($H50="","",IF(AND(ISNUMBER(SEARCH("CMT",$H50)),OR(ISNUMBER(SEARCH("완사입",$H50)),ISNUMBER(SEARCH("ODM",$H50)))),"본사/생산처 혼재",IF(ISNUMBER(SEARCH("CMT",$H50)),"본사(소재팀)","생산처")))</f>
        <v/>
      </c>
      <c r="U50" s="20" t="inlineStr">
        <is>
          <t>IKG</t>
        </is>
      </c>
      <c r="V50" s="20">
        <f>IFERROR(TEXTJOIN(" / ",TRUE,UNIQUE(FILTER(소재DB_RAW!$K$3:$K$2000,(소재DB_RAW!$G$3:$G$2000=$D50)*ISERROR(SEARCH("drop",소재DB_RAW!$C$3:$C$2000))))),"")</f>
        <v/>
      </c>
      <c r="W50" s="20" t="inlineStr">
        <is>
          <t>인도네시아</t>
        </is>
      </c>
      <c r="X50" s="20">
        <f>IFERROR(TEXTJOIN(" / ",TRUE,UNIQUE(FILTER(소재DB_RAW!$N$3:$N$2000,(소재DB_RAW!$G$3:$G$2000=$D50)*ISERROR(SEARCH("drop",소재DB_RAW!$C$3:$C$2000))))),"")</f>
        <v/>
      </c>
      <c r="Y50" s="26">
        <f>IFERROR(TEXTJOIN(CHAR(10),TRUE,UNIQUE(FILTER(소재DB_RAW!$N$3:$N$2000&amp;") "&amp;소재DB_RAW!$O$3:$O$2000,(소재DB_RAW!$G$3:$G$2000=$D50)*ISNUMBER(SEARCH("겉감",소재DB_RAW!$M$3:$M$2000))*ISERROR(SEARCH("drop",소재DB_RAW!$C$3:$C$2000))))),"")</f>
        <v/>
      </c>
      <c r="Z50" s="26">
        <f>IFERROR(TEXTJOIN(CHAR(10),TRUE,UNIQUE(FILTER(소재DB_RAW!$N$3:$N$2000&amp;") "&amp;소재DB_RAW!$O$3:$O$2000,(소재DB_RAW!$G$3:$G$2000=$D50)*ISNUMBER(SEARCH("안감",소재DB_RAW!$M$3:$M$2000))*ISERROR(SEARCH("drop",소재DB_RAW!$C$3:$C$2000))))),"")</f>
        <v/>
      </c>
      <c r="AA50" s="27" t="n">
        <v>3000</v>
      </c>
      <c r="AB50" s="27" t="n">
        <v>79905000</v>
      </c>
      <c r="AC50" s="27" t="n">
        <v>444000000</v>
      </c>
      <c r="AD50" s="20" t="n"/>
      <c r="AE50" s="20">
        <f>IF($K50="","출고일 미정",IF($Q50="X","작지 미발행",IF($Q50="부분","작지 일부 미발행",IF(AND($S50&lt;&gt;"",$S50&gt;$N50),"소재입고 마감("&amp;TEXT($N50,"MM/DD")&amp;") 초과",IF($Q50="","발행여부 확인 필요",IF($S50="","소재 입고일정 확인 필요","정상"))))))</f>
        <v/>
      </c>
      <c r="AF50" s="19">
        <f>IF($K50="","",IF(OR(LEFT($AE50,2)="작지",LEFT($AE50,4)="소재입고"),IF(LEFT($G50,1)="S","★ 납기위험(S코드)","◆ 지연주의"),IF($AE50="정상","✓ 정상","? 확인필요")))</f>
        <v/>
      </c>
      <c r="AG50" s="21" t="n"/>
      <c r="AH50" s="28" t="n"/>
    </row>
    <row r="51">
      <c r="A51" s="19" t="n">
        <v>47</v>
      </c>
      <c r="B51" s="20" t="inlineStr">
        <is>
          <t>이재헌</t>
        </is>
      </c>
      <c r="C51" s="20" t="inlineStr">
        <is>
          <t>엄창용</t>
        </is>
      </c>
      <c r="D51" s="20" t="inlineStr">
        <is>
          <t>JWTBS27113</t>
        </is>
      </c>
      <c r="E51" s="20" t="inlineStr">
        <is>
          <t>남성 ClearDry 긴팔 라운드 티셔츠</t>
        </is>
      </c>
      <c r="F51" s="20" t="inlineStr">
        <is>
          <t>GRY(GRAY), DGR(D/GREEN)</t>
        </is>
      </c>
      <c r="G51" s="19">
        <f>IF($D51="","",IF(MID($D51,5,1)="S","S(봄)",IF(MID($D51,5,1)="M","M(여름)",IF(MID($D51,5,1)="X","X(사계절)",MID($D51,5,1)))))</f>
        <v/>
      </c>
      <c r="H51" s="20" t="inlineStr">
        <is>
          <t>완사입</t>
        </is>
      </c>
      <c r="I51" s="19" t="inlineStr"/>
      <c r="J51" s="21" t="inlineStr">
        <is>
          <t>1월3주</t>
        </is>
      </c>
      <c r="K51" s="22">
        <f>IF($J51="","",IFERROR(DATE(IF(VALUE(LEFT($J51,FIND("월",$J51)-1))&gt;=9,기준정보!$C$7-1,기준정보!$C$7),VALUE(LEFT($J51,FIND("월",$J51)-1)),1+7*(VALUE(SUBSTITUTE(MID($J51,FIND("월",$J51)+1,5),"주",""))-1)),""))</f>
        <v/>
      </c>
      <c r="L51" s="22">
        <f>IF($K51="","",IF(AND($K51-기준정보!$C$5&gt;=기준정보!$C$10,$K51-기준정보!$C$5&lt;=기준정보!$C$11),기준정보!$C$10-1,$K51-기준정보!$C$5))</f>
        <v/>
      </c>
      <c r="M51" s="23">
        <f>IF($L51="","",IF(OR(ISNUMBER(SEARCH("중국",$W51)),ISNUMBER(SEARCH("베트남",$W51))),MAX(0,MIN($L51,기준정보!$C$9)-MAX($L51-기준정보!$C$6,기준정보!$C$8)+1),IF(ISNUMBER(SEARCH("한국",$W51)),MAX(0,MIN($L51,기준정보!$C$11)-MAX($L51-기준정보!$C$6,기준정보!$C$10)+1),0)))</f>
        <v/>
      </c>
      <c r="N51" s="22">
        <f>IF($L51="","",$L51-기준정보!$C$6-$M51)</f>
        <v/>
      </c>
      <c r="O51" s="24">
        <f>IF($N51="","",$N51-기준정보!$C$4)</f>
        <v/>
      </c>
      <c r="P51" s="21" t="n"/>
      <c r="Q51" s="21" t="inlineStr">
        <is>
          <t>O</t>
        </is>
      </c>
      <c r="R51" s="19">
        <f>IF(COUNTIF(EDW_RAW!$A$2:$A$1500,$D51)=0,"",IF(COUNTIFS(EDW_RAW!$A$2:$A$1500,$D51,EDW_RAW!$U$2:$U$1500,"&lt;&gt;~",EDW_RAW!$U$2:$U$1500,"&lt;&gt;")=COUNTIF(EDW_RAW!$A$2:$A$1500,$D51),"O",IF(COUNTIFS(EDW_RAW!$A$2:$A$1500,$D51,EDW_RAW!$U$2:$U$1500,"&lt;&gt;~",EDW_RAW!$U$2:$U$1500,"&lt;&gt;")&gt;0,"부분","X")))</f>
        <v/>
      </c>
      <c r="S51" s="25" t="n"/>
      <c r="T51" s="20">
        <f>IF($H51="","",IF(AND(ISNUMBER(SEARCH("CMT",$H51)),OR(ISNUMBER(SEARCH("완사입",$H51)),ISNUMBER(SEARCH("ODM",$H51)))),"본사/생산처 혼재",IF(ISNUMBER(SEARCH("CMT",$H51)),"본사(소재팀)","생산처")))</f>
        <v/>
      </c>
      <c r="U51" s="20" t="inlineStr">
        <is>
          <t>IKG</t>
        </is>
      </c>
      <c r="V51" s="20">
        <f>IFERROR(TEXTJOIN(" / ",TRUE,UNIQUE(FILTER(소재DB_RAW!$K$3:$K$2000,(소재DB_RAW!$G$3:$G$2000=$D51)*ISERROR(SEARCH("drop",소재DB_RAW!$C$3:$C$2000))))),"")</f>
        <v/>
      </c>
      <c r="W51" s="20" t="inlineStr">
        <is>
          <t>인도네시아</t>
        </is>
      </c>
      <c r="X51" s="20">
        <f>IFERROR(TEXTJOIN(" / ",TRUE,UNIQUE(FILTER(소재DB_RAW!$N$3:$N$2000,(소재DB_RAW!$G$3:$G$2000=$D51)*ISERROR(SEARCH("drop",소재DB_RAW!$C$3:$C$2000))))),"")</f>
        <v/>
      </c>
      <c r="Y51" s="26">
        <f>IFERROR(TEXTJOIN(CHAR(10),TRUE,UNIQUE(FILTER(소재DB_RAW!$N$3:$N$2000&amp;") "&amp;소재DB_RAW!$O$3:$O$2000,(소재DB_RAW!$G$3:$G$2000=$D51)*ISNUMBER(SEARCH("겉감",소재DB_RAW!$M$3:$M$2000))*ISERROR(SEARCH("drop",소재DB_RAW!$C$3:$C$2000))))),"")</f>
        <v/>
      </c>
      <c r="Z51" s="26">
        <f>IFERROR(TEXTJOIN(CHAR(10),TRUE,UNIQUE(FILTER(소재DB_RAW!$N$3:$N$2000&amp;") "&amp;소재DB_RAW!$O$3:$O$2000,(소재DB_RAW!$G$3:$G$2000=$D51)*ISNUMBER(SEARCH("안감",소재DB_RAW!$M$3:$M$2000))*ISERROR(SEARCH("drop",소재DB_RAW!$C$3:$C$2000))))),"")</f>
        <v/>
      </c>
      <c r="AA51" s="27" t="n">
        <v>2000</v>
      </c>
      <c r="AB51" s="27" t="n">
        <v>53650000</v>
      </c>
      <c r="AC51" s="27" t="n">
        <v>256000000</v>
      </c>
      <c r="AD51" s="20" t="n"/>
      <c r="AE51" s="20">
        <f>IF($K51="","출고일 미정",IF($Q51="X","작지 미발행",IF($Q51="부분","작지 일부 미발행",IF(AND($S51&lt;&gt;"",$S51&gt;$N51),"소재입고 마감("&amp;TEXT($N51,"MM/DD")&amp;") 초과",IF($Q51="","발행여부 확인 필요",IF($S51="","소재 입고일정 확인 필요","정상"))))))</f>
        <v/>
      </c>
      <c r="AF51" s="19">
        <f>IF($K51="","",IF(OR(LEFT($AE51,2)="작지",LEFT($AE51,4)="소재입고"),IF(LEFT($G51,1)="S","★ 납기위험(S코드)","◆ 지연주의"),IF($AE51="정상","✓ 정상","? 확인필요")))</f>
        <v/>
      </c>
      <c r="AG51" s="21" t="n"/>
      <c r="AH51" s="28" t="n"/>
    </row>
    <row r="52">
      <c r="A52" s="19" t="n">
        <v>48</v>
      </c>
      <c r="B52" s="20" t="inlineStr">
        <is>
          <t>이재헌</t>
        </is>
      </c>
      <c r="C52" s="20" t="inlineStr">
        <is>
          <t>엄창용</t>
        </is>
      </c>
      <c r="D52" s="20" t="inlineStr">
        <is>
          <t>JWTBS27115</t>
        </is>
      </c>
      <c r="E52" s="20" t="inlineStr">
        <is>
          <t>남성 ClearDry 긴팔 집업 티셔츠</t>
        </is>
      </c>
      <c r="F52" s="20" t="inlineStr">
        <is>
          <t>DGY(D/GRAY), WBE</t>
        </is>
      </c>
      <c r="G52" s="19">
        <f>IF($D52="","",IF(MID($D52,5,1)="S","S(봄)",IF(MID($D52,5,1)="M","M(여름)",IF(MID($D52,5,1)="X","X(사계절)",MID($D52,5,1)))))</f>
        <v/>
      </c>
      <c r="H52" s="20" t="inlineStr">
        <is>
          <t>완사입</t>
        </is>
      </c>
      <c r="I52" s="19" t="inlineStr"/>
      <c r="J52" s="21" t="inlineStr">
        <is>
          <t>1월3주</t>
        </is>
      </c>
      <c r="K52" s="22">
        <f>IF($J52="","",IFERROR(DATE(IF(VALUE(LEFT($J52,FIND("월",$J52)-1))&gt;=9,기준정보!$C$7-1,기준정보!$C$7),VALUE(LEFT($J52,FIND("월",$J52)-1)),1+7*(VALUE(SUBSTITUTE(MID($J52,FIND("월",$J52)+1,5),"주",""))-1)),""))</f>
        <v/>
      </c>
      <c r="L52" s="22">
        <f>IF($K52="","",IF(AND($K52-기준정보!$C$5&gt;=기준정보!$C$10,$K52-기준정보!$C$5&lt;=기준정보!$C$11),기준정보!$C$10-1,$K52-기준정보!$C$5))</f>
        <v/>
      </c>
      <c r="M52" s="23">
        <f>IF($L52="","",IF(OR(ISNUMBER(SEARCH("중국",$W52)),ISNUMBER(SEARCH("베트남",$W52))),MAX(0,MIN($L52,기준정보!$C$9)-MAX($L52-기준정보!$C$6,기준정보!$C$8)+1),IF(ISNUMBER(SEARCH("한국",$W52)),MAX(0,MIN($L52,기준정보!$C$11)-MAX($L52-기준정보!$C$6,기준정보!$C$10)+1),0)))</f>
        <v/>
      </c>
      <c r="N52" s="22">
        <f>IF($L52="","",$L52-기준정보!$C$6-$M52)</f>
        <v/>
      </c>
      <c r="O52" s="24">
        <f>IF($N52="","",$N52-기준정보!$C$4)</f>
        <v/>
      </c>
      <c r="P52" s="21" t="n"/>
      <c r="Q52" s="21" t="inlineStr">
        <is>
          <t>O</t>
        </is>
      </c>
      <c r="R52" s="19">
        <f>IF(COUNTIF(EDW_RAW!$A$2:$A$1500,$D52)=0,"",IF(COUNTIFS(EDW_RAW!$A$2:$A$1500,$D52,EDW_RAW!$U$2:$U$1500,"&lt;&gt;~",EDW_RAW!$U$2:$U$1500,"&lt;&gt;")=COUNTIF(EDW_RAW!$A$2:$A$1500,$D52),"O",IF(COUNTIFS(EDW_RAW!$A$2:$A$1500,$D52,EDW_RAW!$U$2:$U$1500,"&lt;&gt;~",EDW_RAW!$U$2:$U$1500,"&lt;&gt;")&gt;0,"부분","X")))</f>
        <v/>
      </c>
      <c r="S52" s="25" t="n"/>
      <c r="T52" s="20">
        <f>IF($H52="","",IF(AND(ISNUMBER(SEARCH("CMT",$H52)),OR(ISNUMBER(SEARCH("완사입",$H52)),ISNUMBER(SEARCH("ODM",$H52)))),"본사/생산처 혼재",IF(ISNUMBER(SEARCH("CMT",$H52)),"본사(소재팀)","생산처")))</f>
        <v/>
      </c>
      <c r="U52" s="20" t="inlineStr">
        <is>
          <t>IKG</t>
        </is>
      </c>
      <c r="V52" s="20">
        <f>IFERROR(TEXTJOIN(" / ",TRUE,UNIQUE(FILTER(소재DB_RAW!$K$3:$K$2000,(소재DB_RAW!$G$3:$G$2000=$D52)*ISERROR(SEARCH("drop",소재DB_RAW!$C$3:$C$2000))))),"")</f>
        <v/>
      </c>
      <c r="W52" s="20" t="inlineStr">
        <is>
          <t>인도네시아</t>
        </is>
      </c>
      <c r="X52" s="20">
        <f>IFERROR(TEXTJOIN(" / ",TRUE,UNIQUE(FILTER(소재DB_RAW!$N$3:$N$2000,(소재DB_RAW!$G$3:$G$2000=$D52)*ISERROR(SEARCH("drop",소재DB_RAW!$C$3:$C$2000))))),"")</f>
        <v/>
      </c>
      <c r="Y52" s="26">
        <f>IFERROR(TEXTJOIN(CHAR(10),TRUE,UNIQUE(FILTER(소재DB_RAW!$N$3:$N$2000&amp;") "&amp;소재DB_RAW!$O$3:$O$2000,(소재DB_RAW!$G$3:$G$2000=$D52)*ISNUMBER(SEARCH("겉감",소재DB_RAW!$M$3:$M$2000))*ISERROR(SEARCH("drop",소재DB_RAW!$C$3:$C$2000))))),"")</f>
        <v/>
      </c>
      <c r="Z52" s="26">
        <f>IFERROR(TEXTJOIN(CHAR(10),TRUE,UNIQUE(FILTER(소재DB_RAW!$N$3:$N$2000&amp;") "&amp;소재DB_RAW!$O$3:$O$2000,(소재DB_RAW!$G$3:$G$2000=$D52)*ISNUMBER(SEARCH("안감",소재DB_RAW!$M$3:$M$2000))*ISERROR(SEARCH("drop",소재DB_RAW!$C$3:$C$2000))))),"")</f>
        <v/>
      </c>
      <c r="AA52" s="27" t="n">
        <v>2000</v>
      </c>
      <c r="AB52" s="27" t="n">
        <v>58964800</v>
      </c>
      <c r="AC52" s="27" t="n">
        <v>276000000</v>
      </c>
      <c r="AD52" s="20" t="n"/>
      <c r="AE52" s="20">
        <f>IF($K52="","출고일 미정",IF($Q52="X","작지 미발행",IF($Q52="부분","작지 일부 미발행",IF(AND($S52&lt;&gt;"",$S52&gt;$N52),"소재입고 마감("&amp;TEXT($N52,"MM/DD")&amp;") 초과",IF($Q52="","발행여부 확인 필요",IF($S52="","소재 입고일정 확인 필요","정상"))))))</f>
        <v/>
      </c>
      <c r="AF52" s="19">
        <f>IF($K52="","",IF(OR(LEFT($AE52,2)="작지",LEFT($AE52,4)="소재입고"),IF(LEFT($G52,1)="S","★ 납기위험(S코드)","◆ 지연주의"),IF($AE52="정상","✓ 정상","? 확인필요")))</f>
        <v/>
      </c>
      <c r="AG52" s="21" t="n"/>
      <c r="AH52" s="28" t="n"/>
    </row>
    <row r="53">
      <c r="A53" s="19" t="n">
        <v>49</v>
      </c>
      <c r="B53" s="20" t="inlineStr">
        <is>
          <t>이재헌</t>
        </is>
      </c>
      <c r="C53" s="20" t="inlineStr">
        <is>
          <t>엄창용</t>
        </is>
      </c>
      <c r="D53" s="20" t="inlineStr">
        <is>
          <t>JWVAS27131</t>
        </is>
      </c>
      <c r="E53" s="20" t="inlineStr">
        <is>
          <t>남성 OCTA 인슐레이션 베스트</t>
        </is>
      </c>
      <c r="F53" s="20" t="inlineStr">
        <is>
          <t>BLK(BLACK), GRY(GRAY)</t>
        </is>
      </c>
      <c r="G53" s="19">
        <f>IF($D53="","",IF(MID($D53,5,1)="S","S(봄)",IF(MID($D53,5,1)="M","M(여름)",IF(MID($D53,5,1)="X","X(사계절)",MID($D53,5,1)))))</f>
        <v/>
      </c>
      <c r="H53" s="20" t="inlineStr">
        <is>
          <t>완사입</t>
        </is>
      </c>
      <c r="I53" s="19" t="inlineStr"/>
      <c r="J53" s="21" t="inlineStr">
        <is>
          <t>1월3주</t>
        </is>
      </c>
      <c r="K53" s="22">
        <f>IF($J53="","",IFERROR(DATE(IF(VALUE(LEFT($J53,FIND("월",$J53)-1))&gt;=9,기준정보!$C$7-1,기준정보!$C$7),VALUE(LEFT($J53,FIND("월",$J53)-1)),1+7*(VALUE(SUBSTITUTE(MID($J53,FIND("월",$J53)+1,5),"주",""))-1)),""))</f>
        <v/>
      </c>
      <c r="L53" s="22">
        <f>IF($K53="","",IF(AND($K53-기준정보!$C$5&gt;=기준정보!$C$10,$K53-기준정보!$C$5&lt;=기준정보!$C$11),기준정보!$C$10-1,$K53-기준정보!$C$5))</f>
        <v/>
      </c>
      <c r="M53" s="23">
        <f>IF($L53="","",IF(OR(ISNUMBER(SEARCH("중국",$W53)),ISNUMBER(SEARCH("베트남",$W53))),MAX(0,MIN($L53,기준정보!$C$9)-MAX($L53-기준정보!$C$6,기준정보!$C$8)+1),IF(ISNUMBER(SEARCH("한국",$W53)),MAX(0,MIN($L53,기준정보!$C$11)-MAX($L53-기준정보!$C$6,기준정보!$C$10)+1),0)))</f>
        <v/>
      </c>
      <c r="N53" s="22">
        <f>IF($L53="","",$L53-기준정보!$C$6-$M53)</f>
        <v/>
      </c>
      <c r="O53" s="24">
        <f>IF($N53="","",$N53-기준정보!$C$4)</f>
        <v/>
      </c>
      <c r="P53" s="21" t="n"/>
      <c r="Q53" s="21" t="inlineStr">
        <is>
          <t>O</t>
        </is>
      </c>
      <c r="R53" s="19">
        <f>IF(COUNTIF(EDW_RAW!$A$2:$A$1500,$D53)=0,"",IF(COUNTIFS(EDW_RAW!$A$2:$A$1500,$D53,EDW_RAW!$U$2:$U$1500,"&lt;&gt;~",EDW_RAW!$U$2:$U$1500,"&lt;&gt;")=COUNTIF(EDW_RAW!$A$2:$A$1500,$D53),"O",IF(COUNTIFS(EDW_RAW!$A$2:$A$1500,$D53,EDW_RAW!$U$2:$U$1500,"&lt;&gt;~",EDW_RAW!$U$2:$U$1500,"&lt;&gt;")&gt;0,"부분","X")))</f>
        <v/>
      </c>
      <c r="S53" s="25" t="n"/>
      <c r="T53" s="20">
        <f>IF($H53="","",IF(AND(ISNUMBER(SEARCH("CMT",$H53)),OR(ISNUMBER(SEARCH("완사입",$H53)),ISNUMBER(SEARCH("ODM",$H53)))),"본사/생산처 혼재",IF(ISNUMBER(SEARCH("CMT",$H53)),"본사(소재팀)","생산처")))</f>
        <v/>
      </c>
      <c r="U53" s="20" t="inlineStr">
        <is>
          <t>원전</t>
        </is>
      </c>
      <c r="V53" s="20">
        <f>IFERROR(TEXTJOIN(" / ",TRUE,UNIQUE(FILTER(소재DB_RAW!$K$3:$K$2000,(소재DB_RAW!$G$3:$G$2000=$D53)*ISERROR(SEARCH("drop",소재DB_RAW!$C$3:$C$2000))))),"")</f>
        <v/>
      </c>
      <c r="W53" s="20" t="inlineStr">
        <is>
          <t>인도네시아</t>
        </is>
      </c>
      <c r="X53" s="20">
        <f>IFERROR(TEXTJOIN(" / ",TRUE,UNIQUE(FILTER(소재DB_RAW!$N$3:$N$2000,(소재DB_RAW!$G$3:$G$2000=$D53)*ISERROR(SEARCH("drop",소재DB_RAW!$C$3:$C$2000))))),"")</f>
        <v/>
      </c>
      <c r="Y53" s="26">
        <f>IFERROR(TEXTJOIN(CHAR(10),TRUE,UNIQUE(FILTER(소재DB_RAW!$N$3:$N$2000&amp;") "&amp;소재DB_RAW!$O$3:$O$2000,(소재DB_RAW!$G$3:$G$2000=$D53)*ISNUMBER(SEARCH("겉감",소재DB_RAW!$M$3:$M$2000))*ISERROR(SEARCH("drop",소재DB_RAW!$C$3:$C$2000))))),"")</f>
        <v/>
      </c>
      <c r="Z53" s="26">
        <f>IFERROR(TEXTJOIN(CHAR(10),TRUE,UNIQUE(FILTER(소재DB_RAW!$N$3:$N$2000&amp;") "&amp;소재DB_RAW!$O$3:$O$2000,(소재DB_RAW!$G$3:$G$2000=$D53)*ISNUMBER(SEARCH("안감",소재DB_RAW!$M$3:$M$2000))*ISERROR(SEARCH("drop",소재DB_RAW!$C$3:$C$2000))))),"")</f>
        <v/>
      </c>
      <c r="AA53" s="27" t="n">
        <v>1200</v>
      </c>
      <c r="AB53" s="27" t="n">
        <v>51517200</v>
      </c>
      <c r="AC53" s="27" t="n">
        <v>264000000</v>
      </c>
      <c r="AD53" s="20" t="n"/>
      <c r="AE53" s="20">
        <f>IF($K53="","출고일 미정",IF($Q53="X","작지 미발행",IF($Q53="부분","작지 일부 미발행",IF(AND($S53&lt;&gt;"",$S53&gt;$N53),"소재입고 마감("&amp;TEXT($N53,"MM/DD")&amp;") 초과",IF($Q53="","발행여부 확인 필요",IF($S53="","소재 입고일정 확인 필요","정상"))))))</f>
        <v/>
      </c>
      <c r="AF53" s="19">
        <f>IF($K53="","",IF(OR(LEFT($AE53,2)="작지",LEFT($AE53,4)="소재입고"),IF(LEFT($G53,1)="S","★ 납기위험(S코드)","◆ 지연주의"),IF($AE53="정상","✓ 정상","? 확인필요")))</f>
        <v/>
      </c>
      <c r="AG53" s="21" t="n"/>
      <c r="AH53" s="28" t="n"/>
    </row>
    <row r="54">
      <c r="A54" s="19" t="n">
        <v>50</v>
      </c>
      <c r="B54" s="20" t="inlineStr">
        <is>
          <t>정영준</t>
        </is>
      </c>
      <c r="C54" s="20" t="inlineStr">
        <is>
          <t>이민선</t>
        </is>
      </c>
      <c r="D54" s="20" t="inlineStr">
        <is>
          <t>TLJJS27501</t>
        </is>
      </c>
      <c r="E54" s="20" t="inlineStr">
        <is>
          <t>춘절 남성 패딩 헤링턴 재킷</t>
        </is>
      </c>
      <c r="F54" s="20" t="inlineStr">
        <is>
          <t>BLK(BLACK), MUD</t>
        </is>
      </c>
      <c r="G54" s="19">
        <f>IF($D54="","",IF(MID($D54,5,1)="S","S(봄)",IF(MID($D54,5,1)="M","M(여름)",IF(MID($D54,5,1)="X","X(사계절)",MID($D54,5,1)))))</f>
        <v/>
      </c>
      <c r="H54" s="20" t="inlineStr">
        <is>
          <t>완사입</t>
        </is>
      </c>
      <c r="I54" s="19" t="inlineStr"/>
      <c r="J54" s="21" t="inlineStr">
        <is>
          <t>1월3주</t>
        </is>
      </c>
      <c r="K54" s="22">
        <f>IF($J54="","",IFERROR(DATE(IF(VALUE(LEFT($J54,FIND("월",$J54)-1))&gt;=9,기준정보!$C$7-1,기준정보!$C$7),VALUE(LEFT($J54,FIND("월",$J54)-1)),1+7*(VALUE(SUBSTITUTE(MID($J54,FIND("월",$J54)+1,5),"주",""))-1)),""))</f>
        <v/>
      </c>
      <c r="L54" s="22">
        <f>IF($K54="","",IF(AND($K54-기준정보!$C$5&gt;=기준정보!$C$10,$K54-기준정보!$C$5&lt;=기준정보!$C$11),기준정보!$C$10-1,$K54-기준정보!$C$5))</f>
        <v/>
      </c>
      <c r="M54" s="23">
        <f>IF($L54="","",IF(OR(ISNUMBER(SEARCH("중국",$W54)),ISNUMBER(SEARCH("베트남",$W54))),MAX(0,MIN($L54,기준정보!$C$9)-MAX($L54-기준정보!$C$6,기준정보!$C$8)+1),IF(ISNUMBER(SEARCH("한국",$W54)),MAX(0,MIN($L54,기준정보!$C$11)-MAX($L54-기준정보!$C$6,기준정보!$C$10)+1),0)))</f>
        <v/>
      </c>
      <c r="N54" s="22">
        <f>IF($L54="","",$L54-기준정보!$C$6-$M54)</f>
        <v/>
      </c>
      <c r="O54" s="24">
        <f>IF($N54="","",$N54-기준정보!$C$4)</f>
        <v/>
      </c>
      <c r="P54" s="21" t="n"/>
      <c r="Q54" s="21" t="inlineStr">
        <is>
          <t>O</t>
        </is>
      </c>
      <c r="R54" s="19">
        <f>IF(COUNTIF(EDW_RAW!$A$2:$A$1500,$D54)=0,"",IF(COUNTIFS(EDW_RAW!$A$2:$A$1500,$D54,EDW_RAW!$U$2:$U$1500,"&lt;&gt;~",EDW_RAW!$U$2:$U$1500,"&lt;&gt;")=COUNTIF(EDW_RAW!$A$2:$A$1500,$D54),"O",IF(COUNTIFS(EDW_RAW!$A$2:$A$1500,$D54,EDW_RAW!$U$2:$U$1500,"&lt;&gt;~",EDW_RAW!$U$2:$U$1500,"&lt;&gt;")&gt;0,"부분","X")))</f>
        <v/>
      </c>
      <c r="S54" s="25" t="n"/>
      <c r="T54" s="20">
        <f>IF($H54="","",IF(AND(ISNUMBER(SEARCH("CMT",$H54)),OR(ISNUMBER(SEARCH("완사입",$H54)),ISNUMBER(SEARCH("ODM",$H54)))),"본사/생산처 혼재",IF(ISNUMBER(SEARCH("CMT",$H54)),"본사(소재팀)","생산처")))</f>
        <v/>
      </c>
      <c r="U54" s="20" t="inlineStr">
        <is>
          <t>기도</t>
        </is>
      </c>
      <c r="V54" s="20">
        <f>IFERROR(TEXTJOIN(" / ",TRUE,UNIQUE(FILTER(소재DB_RAW!$K$3:$K$2000,(소재DB_RAW!$G$3:$G$2000=$D54)*ISERROR(SEARCH("drop",소재DB_RAW!$C$3:$C$2000))))),"")</f>
        <v/>
      </c>
      <c r="W54" s="20" t="inlineStr">
        <is>
          <t>베트남</t>
        </is>
      </c>
      <c r="X54" s="20">
        <f>IFERROR(TEXTJOIN(" / ",TRUE,UNIQUE(FILTER(소재DB_RAW!$N$3:$N$2000,(소재DB_RAW!$G$3:$G$2000=$D54)*ISERROR(SEARCH("drop",소재DB_RAW!$C$3:$C$2000))))),"")</f>
        <v/>
      </c>
      <c r="Y54" s="26">
        <f>IFERROR(TEXTJOIN(CHAR(10),TRUE,UNIQUE(FILTER(소재DB_RAW!$N$3:$N$2000&amp;") "&amp;소재DB_RAW!$O$3:$O$2000,(소재DB_RAW!$G$3:$G$2000=$D54)*ISNUMBER(SEARCH("겉감",소재DB_RAW!$M$3:$M$2000))*ISERROR(SEARCH("drop",소재DB_RAW!$C$3:$C$2000))))),"")</f>
        <v/>
      </c>
      <c r="Z54" s="26">
        <f>IFERROR(TEXTJOIN(CHAR(10),TRUE,UNIQUE(FILTER(소재DB_RAW!$N$3:$N$2000&amp;") "&amp;소재DB_RAW!$O$3:$O$2000,(소재DB_RAW!$G$3:$G$2000=$D54)*ISNUMBER(SEARCH("안감",소재DB_RAW!$M$3:$M$2000))*ISERROR(SEARCH("drop",소재DB_RAW!$C$3:$C$2000))))),"")</f>
        <v/>
      </c>
      <c r="AA54" s="27" t="n">
        <v>3000</v>
      </c>
      <c r="AB54" s="27" t="n">
        <v>186354000</v>
      </c>
      <c r="AC54" s="27" t="n">
        <v>960000000</v>
      </c>
      <c r="AD54" s="20" t="inlineStr">
        <is>
          <t>1월3주</t>
        </is>
      </c>
      <c r="AE54" s="20">
        <f>IF($K54="","출고일 미정",IF($Q54="X","작지 미발행",IF($Q54="부분","작지 일부 미발행",IF(AND($S54&lt;&gt;"",$S54&gt;$N54),"소재입고 마감("&amp;TEXT($N54,"MM/DD")&amp;") 초과",IF($Q54="","발행여부 확인 필요",IF($S54="","소재 입고일정 확인 필요","정상"))))))</f>
        <v/>
      </c>
      <c r="AF54" s="19">
        <f>IF($K54="","",IF(OR(LEFT($AE54,2)="작지",LEFT($AE54,4)="소재입고"),IF(LEFT($G54,1)="S","★ 납기위험(S코드)","◆ 지연주의"),IF($AE54="정상","✓ 정상","? 확인필요")))</f>
        <v/>
      </c>
      <c r="AG54" s="21" t="n"/>
      <c r="AH54" s="28" t="n"/>
    </row>
    <row r="55">
      <c r="A55" s="19" t="n">
        <v>51</v>
      </c>
      <c r="B55" s="20" t="inlineStr">
        <is>
          <t>정영준</t>
        </is>
      </c>
      <c r="C55" s="20" t="inlineStr">
        <is>
          <t>이민선</t>
        </is>
      </c>
      <c r="D55" s="20" t="inlineStr">
        <is>
          <t>TLJJS27521</t>
        </is>
      </c>
      <c r="E55" s="20" t="inlineStr">
        <is>
          <t>춘절 남성 3L 후드 방수 재킷</t>
        </is>
      </c>
      <c r="F55" s="20" t="inlineStr">
        <is>
          <t>DGY-3, GRI(GREIGE)</t>
        </is>
      </c>
      <c r="G55" s="19">
        <f>IF($D55="","",IF(MID($D55,5,1)="S","S(봄)",IF(MID($D55,5,1)="M","M(여름)",IF(MID($D55,5,1)="X","X(사계절)",MID($D55,5,1)))))</f>
        <v/>
      </c>
      <c r="H55" s="20" t="inlineStr">
        <is>
          <t>완사입</t>
        </is>
      </c>
      <c r="I55" s="19" t="inlineStr"/>
      <c r="J55" s="21" t="inlineStr">
        <is>
          <t>1월3주</t>
        </is>
      </c>
      <c r="K55" s="22">
        <f>IF($J55="","",IFERROR(DATE(IF(VALUE(LEFT($J55,FIND("월",$J55)-1))&gt;=9,기준정보!$C$7-1,기준정보!$C$7),VALUE(LEFT($J55,FIND("월",$J55)-1)),1+7*(VALUE(SUBSTITUTE(MID($J55,FIND("월",$J55)+1,5),"주",""))-1)),""))</f>
        <v/>
      </c>
      <c r="L55" s="22">
        <f>IF($K55="","",IF(AND($K55-기준정보!$C$5&gt;=기준정보!$C$10,$K55-기준정보!$C$5&lt;=기준정보!$C$11),기준정보!$C$10-1,$K55-기준정보!$C$5))</f>
        <v/>
      </c>
      <c r="M55" s="23">
        <f>IF($L55="","",IF(OR(ISNUMBER(SEARCH("중국",$W55)),ISNUMBER(SEARCH("베트남",$W55))),MAX(0,MIN($L55,기준정보!$C$9)-MAX($L55-기준정보!$C$6,기준정보!$C$8)+1),IF(ISNUMBER(SEARCH("한국",$W55)),MAX(0,MIN($L55,기준정보!$C$11)-MAX($L55-기준정보!$C$6,기준정보!$C$10)+1),0)))</f>
        <v/>
      </c>
      <c r="N55" s="22">
        <f>IF($L55="","",$L55-기준정보!$C$6-$M55)</f>
        <v/>
      </c>
      <c r="O55" s="24">
        <f>IF($N55="","",$N55-기준정보!$C$4)</f>
        <v/>
      </c>
      <c r="P55" s="21" t="n"/>
      <c r="Q55" s="21" t="inlineStr">
        <is>
          <t>O</t>
        </is>
      </c>
      <c r="R55" s="19">
        <f>IF(COUNTIF(EDW_RAW!$A$2:$A$1500,$D55)=0,"",IF(COUNTIFS(EDW_RAW!$A$2:$A$1500,$D55,EDW_RAW!$U$2:$U$1500,"&lt;&gt;~",EDW_RAW!$U$2:$U$1500,"&lt;&gt;")=COUNTIF(EDW_RAW!$A$2:$A$1500,$D55),"O",IF(COUNTIFS(EDW_RAW!$A$2:$A$1500,$D55,EDW_RAW!$U$2:$U$1500,"&lt;&gt;~",EDW_RAW!$U$2:$U$1500,"&lt;&gt;")&gt;0,"부분","X")))</f>
        <v/>
      </c>
      <c r="S55" s="25" t="n"/>
      <c r="T55" s="20">
        <f>IF($H55="","",IF(AND(ISNUMBER(SEARCH("CMT",$H55)),OR(ISNUMBER(SEARCH("완사입",$H55)),ISNUMBER(SEARCH("ODM",$H55)))),"본사/생산처 혼재",IF(ISNUMBER(SEARCH("CMT",$H55)),"본사(소재팀)","생산처")))</f>
        <v/>
      </c>
      <c r="U55" s="20" t="inlineStr">
        <is>
          <t>기도</t>
        </is>
      </c>
      <c r="V55" s="20">
        <f>IFERROR(TEXTJOIN(" / ",TRUE,UNIQUE(FILTER(소재DB_RAW!$K$3:$K$2000,(소재DB_RAW!$G$3:$G$2000=$D55)*ISERROR(SEARCH("drop",소재DB_RAW!$C$3:$C$2000))))),"")</f>
        <v/>
      </c>
      <c r="W55" s="20" t="inlineStr">
        <is>
          <t>베트남</t>
        </is>
      </c>
      <c r="X55" s="20">
        <f>IFERROR(TEXTJOIN(" / ",TRUE,UNIQUE(FILTER(소재DB_RAW!$N$3:$N$2000,(소재DB_RAW!$G$3:$G$2000=$D55)*ISERROR(SEARCH("drop",소재DB_RAW!$C$3:$C$2000))))),"")</f>
        <v/>
      </c>
      <c r="Y55" s="26">
        <f>IFERROR(TEXTJOIN(CHAR(10),TRUE,UNIQUE(FILTER(소재DB_RAW!$N$3:$N$2000&amp;") "&amp;소재DB_RAW!$O$3:$O$2000,(소재DB_RAW!$G$3:$G$2000=$D55)*ISNUMBER(SEARCH("겉감",소재DB_RAW!$M$3:$M$2000))*ISERROR(SEARCH("drop",소재DB_RAW!$C$3:$C$2000))))),"")</f>
        <v/>
      </c>
      <c r="Z55" s="26">
        <f>IFERROR(TEXTJOIN(CHAR(10),TRUE,UNIQUE(FILTER(소재DB_RAW!$N$3:$N$2000&amp;") "&amp;소재DB_RAW!$O$3:$O$2000,(소재DB_RAW!$G$3:$G$2000=$D55)*ISNUMBER(SEARCH("안감",소재DB_RAW!$M$3:$M$2000))*ISERROR(SEARCH("drop",소재DB_RAW!$C$3:$C$2000))))),"")</f>
        <v/>
      </c>
      <c r="AA55" s="27" t="n">
        <v>1700</v>
      </c>
      <c r="AB55" s="27" t="n">
        <v>166685000</v>
      </c>
      <c r="AC55" s="27" t="n">
        <v>663000000</v>
      </c>
      <c r="AD55" s="20" t="inlineStr">
        <is>
          <t>1월3주</t>
        </is>
      </c>
      <c r="AE55" s="20">
        <f>IF($K55="","출고일 미정",IF($Q55="X","작지 미발행",IF($Q55="부분","작지 일부 미발행",IF(AND($S55&lt;&gt;"",$S55&gt;$N55),"소재입고 마감("&amp;TEXT($N55,"MM/DD")&amp;") 초과",IF($Q55="","발행여부 확인 필요",IF($S55="","소재 입고일정 확인 필요","정상"))))))</f>
        <v/>
      </c>
      <c r="AF55" s="19">
        <f>IF($K55="","",IF(OR(LEFT($AE55,2)="작지",LEFT($AE55,4)="소재입고"),IF(LEFT($G55,1)="S","★ 납기위험(S코드)","◆ 지연주의"),IF($AE55="정상","✓ 정상","? 확인필요")))</f>
        <v/>
      </c>
      <c r="AG55" s="21" t="n"/>
      <c r="AH55" s="28" t="n"/>
    </row>
    <row r="56">
      <c r="A56" s="19" t="n">
        <v>52</v>
      </c>
      <c r="B56" s="20" t="inlineStr">
        <is>
          <t>정영준</t>
        </is>
      </c>
      <c r="C56" s="20" t="inlineStr">
        <is>
          <t>서은미</t>
        </is>
      </c>
      <c r="D56" s="20" t="inlineStr">
        <is>
          <t>TLJJS27551</t>
        </is>
      </c>
      <c r="E56" s="20" t="inlineStr">
        <is>
          <t>춘절 남성 키퍼 스탠드넥 재킷</t>
        </is>
      </c>
      <c r="F56" s="20" t="inlineStr">
        <is>
          <t>MUD, DGY-3</t>
        </is>
      </c>
      <c r="G56" s="19">
        <f>IF($D56="","",IF(MID($D56,5,1)="S","S(봄)",IF(MID($D56,5,1)="M","M(여름)",IF(MID($D56,5,1)="X","X(사계절)",MID($D56,5,1)))))</f>
        <v/>
      </c>
      <c r="H56" s="20" t="inlineStr">
        <is>
          <t>완사입</t>
        </is>
      </c>
      <c r="I56" s="19" t="inlineStr"/>
      <c r="J56" s="21" t="inlineStr">
        <is>
          <t>1월3주</t>
        </is>
      </c>
      <c r="K56" s="22">
        <f>IF($J56="","",IFERROR(DATE(IF(VALUE(LEFT($J56,FIND("월",$J56)-1))&gt;=9,기준정보!$C$7-1,기준정보!$C$7),VALUE(LEFT($J56,FIND("월",$J56)-1)),1+7*(VALUE(SUBSTITUTE(MID($J56,FIND("월",$J56)+1,5),"주",""))-1)),""))</f>
        <v/>
      </c>
      <c r="L56" s="22">
        <f>IF($K56="","",IF(AND($K56-기준정보!$C$5&gt;=기준정보!$C$10,$K56-기준정보!$C$5&lt;=기준정보!$C$11),기준정보!$C$10-1,$K56-기준정보!$C$5))</f>
        <v/>
      </c>
      <c r="M56" s="23">
        <f>IF($L56="","",IF(OR(ISNUMBER(SEARCH("중국",$W56)),ISNUMBER(SEARCH("베트남",$W56))),MAX(0,MIN($L56,기준정보!$C$9)-MAX($L56-기준정보!$C$6,기준정보!$C$8)+1),IF(ISNUMBER(SEARCH("한국",$W56)),MAX(0,MIN($L56,기준정보!$C$11)-MAX($L56-기준정보!$C$6,기준정보!$C$10)+1),0)))</f>
        <v/>
      </c>
      <c r="N56" s="22">
        <f>IF($L56="","",$L56-기준정보!$C$6-$M56)</f>
        <v/>
      </c>
      <c r="O56" s="24">
        <f>IF($N56="","",$N56-기준정보!$C$4)</f>
        <v/>
      </c>
      <c r="P56" s="21" t="n"/>
      <c r="Q56" s="21" t="inlineStr">
        <is>
          <t>O</t>
        </is>
      </c>
      <c r="R56" s="19">
        <f>IF(COUNTIF(EDW_RAW!$A$2:$A$1500,$D56)=0,"",IF(COUNTIFS(EDW_RAW!$A$2:$A$1500,$D56,EDW_RAW!$U$2:$U$1500,"&lt;&gt;~",EDW_RAW!$U$2:$U$1500,"&lt;&gt;")=COUNTIF(EDW_RAW!$A$2:$A$1500,$D56),"O",IF(COUNTIFS(EDW_RAW!$A$2:$A$1500,$D56,EDW_RAW!$U$2:$U$1500,"&lt;&gt;~",EDW_RAW!$U$2:$U$1500,"&lt;&gt;")&gt;0,"부분","X")))</f>
        <v/>
      </c>
      <c r="S56" s="25" t="n"/>
      <c r="T56" s="20">
        <f>IF($H56="","",IF(AND(ISNUMBER(SEARCH("CMT",$H56)),OR(ISNUMBER(SEARCH("완사입",$H56)),ISNUMBER(SEARCH("ODM",$H56)))),"본사/생산처 혼재",IF(ISNUMBER(SEARCH("CMT",$H56)),"본사(소재팀)","생산처")))</f>
        <v/>
      </c>
      <c r="U56" s="20" t="inlineStr">
        <is>
          <t>아이블</t>
        </is>
      </c>
      <c r="V56" s="20">
        <f>IFERROR(TEXTJOIN(" / ",TRUE,UNIQUE(FILTER(소재DB_RAW!$K$3:$K$2000,(소재DB_RAW!$G$3:$G$2000=$D56)*ISERROR(SEARCH("drop",소재DB_RAW!$C$3:$C$2000))))),"")</f>
        <v/>
      </c>
      <c r="W56" s="20" t="inlineStr">
        <is>
          <t>베트남</t>
        </is>
      </c>
      <c r="X56" s="20">
        <f>IFERROR(TEXTJOIN(" / ",TRUE,UNIQUE(FILTER(소재DB_RAW!$N$3:$N$2000,(소재DB_RAW!$G$3:$G$2000=$D56)*ISERROR(SEARCH("drop",소재DB_RAW!$C$3:$C$2000))))),"")</f>
        <v/>
      </c>
      <c r="Y56" s="26">
        <f>IFERROR(TEXTJOIN(CHAR(10),TRUE,UNIQUE(FILTER(소재DB_RAW!$N$3:$N$2000&amp;") "&amp;소재DB_RAW!$O$3:$O$2000,(소재DB_RAW!$G$3:$G$2000=$D56)*ISNUMBER(SEARCH("겉감",소재DB_RAW!$M$3:$M$2000))*ISERROR(SEARCH("drop",소재DB_RAW!$C$3:$C$2000))))),"")</f>
        <v/>
      </c>
      <c r="Z56" s="26">
        <f>IFERROR(TEXTJOIN(CHAR(10),TRUE,UNIQUE(FILTER(소재DB_RAW!$N$3:$N$2000&amp;") "&amp;소재DB_RAW!$O$3:$O$2000,(소재DB_RAW!$G$3:$G$2000=$D56)*ISNUMBER(SEARCH("안감",소재DB_RAW!$M$3:$M$2000))*ISERROR(SEARCH("drop",소재DB_RAW!$C$3:$C$2000))))),"")</f>
        <v/>
      </c>
      <c r="AA56" s="27" t="n">
        <v>2600</v>
      </c>
      <c r="AB56" s="27" t="n">
        <v>151426800</v>
      </c>
      <c r="AC56" s="27" t="n">
        <v>702000000</v>
      </c>
      <c r="AD56" s="20" t="n"/>
      <c r="AE56" s="20">
        <f>IF($K56="","출고일 미정",IF($Q56="X","작지 미발행",IF($Q56="부분","작지 일부 미발행",IF(AND($S56&lt;&gt;"",$S56&gt;$N56),"소재입고 마감("&amp;TEXT($N56,"MM/DD")&amp;") 초과",IF($Q56="","발행여부 확인 필요",IF($S56="","소재 입고일정 확인 필요","정상"))))))</f>
        <v/>
      </c>
      <c r="AF56" s="19">
        <f>IF($K56="","",IF(OR(LEFT($AE56,2)="작지",LEFT($AE56,4)="소재입고"),IF(LEFT($G56,1)="S","★ 납기위험(S코드)","◆ 지연주의"),IF($AE56="정상","✓ 정상","? 확인필요")))</f>
        <v/>
      </c>
      <c r="AG56" s="21" t="n"/>
      <c r="AH56" s="28" t="n"/>
    </row>
    <row r="57">
      <c r="A57" s="19" t="n">
        <v>53</v>
      </c>
      <c r="B57" s="20" t="inlineStr">
        <is>
          <t>문도혁</t>
        </is>
      </c>
      <c r="C57" s="20" t="inlineStr">
        <is>
          <t>정희영</t>
        </is>
      </c>
      <c r="D57" s="20" t="inlineStr">
        <is>
          <t>TLPNS27411</t>
        </is>
      </c>
      <c r="E57" s="20" t="inlineStr">
        <is>
          <t>춘절 남성 면 혼방 레귤러핏 테이퍼드 팬츠</t>
        </is>
      </c>
      <c r="F57" s="20" t="inlineStr">
        <is>
          <t>MUD, BLK(BLACK)</t>
        </is>
      </c>
      <c r="G57" s="19">
        <f>IF($D57="","",IF(MID($D57,5,1)="S","S(봄)",IF(MID($D57,5,1)="M","M(여름)",IF(MID($D57,5,1)="X","X(사계절)",MID($D57,5,1)))))</f>
        <v/>
      </c>
      <c r="H57" s="20" t="inlineStr">
        <is>
          <t>CMT</t>
        </is>
      </c>
      <c r="I57" s="19" t="inlineStr">
        <is>
          <t>s1</t>
        </is>
      </c>
      <c r="J57" s="21" t="inlineStr">
        <is>
          <t>1월3주</t>
        </is>
      </c>
      <c r="K57" s="22">
        <f>IF($J57="","",IFERROR(DATE(IF(VALUE(LEFT($J57,FIND("월",$J57)-1))&gt;=9,기준정보!$C$7-1,기준정보!$C$7),VALUE(LEFT($J57,FIND("월",$J57)-1)),1+7*(VALUE(SUBSTITUTE(MID($J57,FIND("월",$J57)+1,5),"주",""))-1)),""))</f>
        <v/>
      </c>
      <c r="L57" s="22">
        <f>IF($K57="","",IF(AND($K57-기준정보!$C$5&gt;=기준정보!$C$10,$K57-기준정보!$C$5&lt;=기준정보!$C$11),기준정보!$C$10-1,$K57-기준정보!$C$5))</f>
        <v/>
      </c>
      <c r="M57" s="23">
        <f>IF($L57="","",IF(OR(ISNUMBER(SEARCH("중국",$W57)),ISNUMBER(SEARCH("베트남",$W57))),MAX(0,MIN($L57,기준정보!$C$9)-MAX($L57-기준정보!$C$6,기준정보!$C$8)+1),IF(ISNUMBER(SEARCH("한국",$W57)),MAX(0,MIN($L57,기준정보!$C$11)-MAX($L57-기준정보!$C$6,기준정보!$C$10)+1),0)))</f>
        <v/>
      </c>
      <c r="N57" s="22">
        <f>IF($L57="","",$L57-기준정보!$C$6-$M57)</f>
        <v/>
      </c>
      <c r="O57" s="24">
        <f>IF($N57="","",$N57-기준정보!$C$4)</f>
        <v/>
      </c>
      <c r="P57" s="21" t="n"/>
      <c r="Q57" s="21" t="inlineStr">
        <is>
          <t>O</t>
        </is>
      </c>
      <c r="R57" s="19">
        <f>IF(COUNTIF(EDW_RAW!$A$2:$A$1500,$D57)=0,"",IF(COUNTIFS(EDW_RAW!$A$2:$A$1500,$D57,EDW_RAW!$U$2:$U$1500,"&lt;&gt;~",EDW_RAW!$U$2:$U$1500,"&lt;&gt;")=COUNTIF(EDW_RAW!$A$2:$A$1500,$D57),"O",IF(COUNTIFS(EDW_RAW!$A$2:$A$1500,$D57,EDW_RAW!$U$2:$U$1500,"&lt;&gt;~",EDW_RAW!$U$2:$U$1500,"&lt;&gt;")&gt;0,"부분","X")))</f>
        <v/>
      </c>
      <c r="S57" s="25" t="n"/>
      <c r="T57" s="20">
        <f>IF($H57="","",IF(AND(ISNUMBER(SEARCH("CMT",$H57)),OR(ISNUMBER(SEARCH("완사입",$H57)),ISNUMBER(SEARCH("ODM",$H57)))),"본사/생산처 혼재",IF(ISNUMBER(SEARCH("CMT",$H57)),"본사(소재팀)","생산처")))</f>
        <v/>
      </c>
      <c r="U57" s="20" t="inlineStr">
        <is>
          <t>거림</t>
        </is>
      </c>
      <c r="V57" s="20">
        <f>IFERROR(TEXTJOIN(" / ",TRUE,UNIQUE(FILTER(소재DB_RAW!$K$3:$K$2000,(소재DB_RAW!$G$3:$G$2000=$D57)*ISERROR(SEARCH("drop",소재DB_RAW!$C$3:$C$2000))))),"")</f>
        <v/>
      </c>
      <c r="W57" s="20" t="inlineStr">
        <is>
          <t>베트남</t>
        </is>
      </c>
      <c r="X57" s="20">
        <f>IFERROR(TEXTJOIN(" / ",TRUE,UNIQUE(FILTER(소재DB_RAW!$N$3:$N$2000,(소재DB_RAW!$G$3:$G$2000=$D57)*ISERROR(SEARCH("drop",소재DB_RAW!$C$3:$C$2000))))),"")</f>
        <v/>
      </c>
      <c r="Y57" s="26">
        <f>IFERROR(TEXTJOIN(CHAR(10),TRUE,UNIQUE(FILTER(소재DB_RAW!$N$3:$N$2000&amp;") "&amp;소재DB_RAW!$O$3:$O$2000,(소재DB_RAW!$G$3:$G$2000=$D57)*ISNUMBER(SEARCH("겉감",소재DB_RAW!$M$3:$M$2000))*ISERROR(SEARCH("drop",소재DB_RAW!$C$3:$C$2000))))),"")</f>
        <v/>
      </c>
      <c r="Z57" s="26">
        <f>IFERROR(TEXTJOIN(CHAR(10),TRUE,UNIQUE(FILTER(소재DB_RAW!$N$3:$N$2000&amp;") "&amp;소재DB_RAW!$O$3:$O$2000,(소재DB_RAW!$G$3:$G$2000=$D57)*ISNUMBER(SEARCH("안감",소재DB_RAW!$M$3:$M$2000))*ISERROR(SEARCH("drop",소재DB_RAW!$C$3:$C$2000))))),"")</f>
        <v/>
      </c>
      <c r="AA57" s="27" t="n">
        <v>2500</v>
      </c>
      <c r="AB57" s="27" t="n">
        <v>104250000</v>
      </c>
      <c r="AC57" s="27" t="n">
        <v>495000000</v>
      </c>
      <c r="AD57" s="20" t="n"/>
      <c r="AE57" s="20">
        <f>IF($K57="","출고일 미정",IF($Q57="X","작지 미발행",IF($Q57="부분","작지 일부 미발행",IF(AND($S57&lt;&gt;"",$S57&gt;$N57),"소재입고 마감("&amp;TEXT($N57,"MM/DD")&amp;") 초과",IF($Q57="","발행여부 확인 필요",IF($S57="","소재 입고일정 확인 필요","정상"))))))</f>
        <v/>
      </c>
      <c r="AF57" s="19">
        <f>IF($K57="","",IF(OR(LEFT($AE57,2)="작지",LEFT($AE57,4)="소재입고"),IF(LEFT($G57,1)="S","★ 납기위험(S코드)","◆ 지연주의"),IF($AE57="정상","✓ 정상","? 확인필요")))</f>
        <v/>
      </c>
      <c r="AG57" s="21" t="n"/>
      <c r="AH57" s="28" t="n"/>
    </row>
    <row r="58">
      <c r="A58" s="19" t="n">
        <v>54</v>
      </c>
      <c r="B58" s="20" t="inlineStr">
        <is>
          <t>문도혁</t>
        </is>
      </c>
      <c r="C58" s="20" t="inlineStr">
        <is>
          <t>정희영</t>
        </is>
      </c>
      <c r="D58" s="20" t="inlineStr">
        <is>
          <t>TLPNS27531</t>
        </is>
      </c>
      <c r="E58" s="20" t="inlineStr">
        <is>
          <t>춘절 남성 소프트필 저지 팬츠 (SET-UP)</t>
        </is>
      </c>
      <c r="F58" s="20" t="inlineStr">
        <is>
          <t>DGY(D/GRAY), LLA</t>
        </is>
      </c>
      <c r="G58" s="19">
        <f>IF($D58="","",IF(MID($D58,5,1)="S","S(봄)",IF(MID($D58,5,1)="M","M(여름)",IF(MID($D58,5,1)="X","X(사계절)",MID($D58,5,1)))))</f>
        <v/>
      </c>
      <c r="H58" s="20" t="inlineStr">
        <is>
          <t>CMT</t>
        </is>
      </c>
      <c r="I58" s="19" t="inlineStr">
        <is>
          <t>s1</t>
        </is>
      </c>
      <c r="J58" s="21" t="inlineStr">
        <is>
          <t>1월3주</t>
        </is>
      </c>
      <c r="K58" s="22">
        <f>IF($J58="","",IFERROR(DATE(IF(VALUE(LEFT($J58,FIND("월",$J58)-1))&gt;=9,기준정보!$C$7-1,기준정보!$C$7),VALUE(LEFT($J58,FIND("월",$J58)-1)),1+7*(VALUE(SUBSTITUTE(MID($J58,FIND("월",$J58)+1,5),"주",""))-1)),""))</f>
        <v/>
      </c>
      <c r="L58" s="22">
        <f>IF($K58="","",IF(AND($K58-기준정보!$C$5&gt;=기준정보!$C$10,$K58-기준정보!$C$5&lt;=기준정보!$C$11),기준정보!$C$10-1,$K58-기준정보!$C$5))</f>
        <v/>
      </c>
      <c r="M58" s="23">
        <f>IF($L58="","",IF(OR(ISNUMBER(SEARCH("중국",$W58)),ISNUMBER(SEARCH("베트남",$W58))),MAX(0,MIN($L58,기준정보!$C$9)-MAX($L58-기준정보!$C$6,기준정보!$C$8)+1),IF(ISNUMBER(SEARCH("한국",$W58)),MAX(0,MIN($L58,기준정보!$C$11)-MAX($L58-기준정보!$C$6,기준정보!$C$10)+1),0)))</f>
        <v/>
      </c>
      <c r="N58" s="22">
        <f>IF($L58="","",$L58-기준정보!$C$6-$M58)</f>
        <v/>
      </c>
      <c r="O58" s="24">
        <f>IF($N58="","",$N58-기준정보!$C$4)</f>
        <v/>
      </c>
      <c r="P58" s="21" t="n"/>
      <c r="Q58" s="21" t="inlineStr">
        <is>
          <t>O</t>
        </is>
      </c>
      <c r="R58" s="19">
        <f>IF(COUNTIF(EDW_RAW!$A$2:$A$1500,$D58)=0,"",IF(COUNTIFS(EDW_RAW!$A$2:$A$1500,$D58,EDW_RAW!$U$2:$U$1500,"&lt;&gt;~",EDW_RAW!$U$2:$U$1500,"&lt;&gt;")=COUNTIF(EDW_RAW!$A$2:$A$1500,$D58),"O",IF(COUNTIFS(EDW_RAW!$A$2:$A$1500,$D58,EDW_RAW!$U$2:$U$1500,"&lt;&gt;~",EDW_RAW!$U$2:$U$1500,"&lt;&gt;")&gt;0,"부분","X")))</f>
        <v/>
      </c>
      <c r="S58" s="25" t="n"/>
      <c r="T58" s="20">
        <f>IF($H58="","",IF(AND(ISNUMBER(SEARCH("CMT",$H58)),OR(ISNUMBER(SEARCH("완사입",$H58)),ISNUMBER(SEARCH("ODM",$H58)))),"본사/생산처 혼재",IF(ISNUMBER(SEARCH("CMT",$H58)),"본사(소재팀)","생산처")))</f>
        <v/>
      </c>
      <c r="U58" s="20" t="inlineStr">
        <is>
          <t>IKG</t>
        </is>
      </c>
      <c r="V58" s="20">
        <f>IFERROR(TEXTJOIN(" / ",TRUE,UNIQUE(FILTER(소재DB_RAW!$K$3:$K$2000,(소재DB_RAW!$G$3:$G$2000=$D58)*ISERROR(SEARCH("drop",소재DB_RAW!$C$3:$C$2000))))),"")</f>
        <v/>
      </c>
      <c r="W58" s="20" t="inlineStr">
        <is>
          <t>베트남</t>
        </is>
      </c>
      <c r="X58" s="20">
        <f>IFERROR(TEXTJOIN(" / ",TRUE,UNIQUE(FILTER(소재DB_RAW!$N$3:$N$2000,(소재DB_RAW!$G$3:$G$2000=$D58)*ISERROR(SEARCH("drop",소재DB_RAW!$C$3:$C$2000))))),"")</f>
        <v/>
      </c>
      <c r="Y58" s="26">
        <f>IFERROR(TEXTJOIN(CHAR(10),TRUE,UNIQUE(FILTER(소재DB_RAW!$N$3:$N$2000&amp;") "&amp;소재DB_RAW!$O$3:$O$2000,(소재DB_RAW!$G$3:$G$2000=$D58)*ISNUMBER(SEARCH("겉감",소재DB_RAW!$M$3:$M$2000))*ISERROR(SEARCH("drop",소재DB_RAW!$C$3:$C$2000))))),"")</f>
        <v/>
      </c>
      <c r="Z58" s="26">
        <f>IFERROR(TEXTJOIN(CHAR(10),TRUE,UNIQUE(FILTER(소재DB_RAW!$N$3:$N$2000&amp;") "&amp;소재DB_RAW!$O$3:$O$2000,(소재DB_RAW!$G$3:$G$2000=$D58)*ISNUMBER(SEARCH("안감",소재DB_RAW!$M$3:$M$2000))*ISERROR(SEARCH("drop",소재DB_RAW!$C$3:$C$2000))))),"")</f>
        <v/>
      </c>
      <c r="AA58" s="27" t="n">
        <v>1400</v>
      </c>
      <c r="AB58" s="27" t="n">
        <v>54159000</v>
      </c>
      <c r="AC58" s="27" t="n">
        <v>277200000</v>
      </c>
      <c r="AD58" s="20" t="n"/>
      <c r="AE58" s="20">
        <f>IF($K58="","출고일 미정",IF($Q58="X","작지 미발행",IF($Q58="부분","작지 일부 미발행",IF(AND($S58&lt;&gt;"",$S58&gt;$N58),"소재입고 마감("&amp;TEXT($N58,"MM/DD")&amp;") 초과",IF($Q58="","발행여부 확인 필요",IF($S58="","소재 입고일정 확인 필요","정상"))))))</f>
        <v/>
      </c>
      <c r="AF58" s="19">
        <f>IF($K58="","",IF(OR(LEFT($AE58,2)="작지",LEFT($AE58,4)="소재입고"),IF(LEFT($G58,1)="S","★ 납기위험(S코드)","◆ 지연주의"),IF($AE58="정상","✓ 정상","? 확인필요")))</f>
        <v/>
      </c>
      <c r="AG58" s="21" t="n"/>
      <c r="AH58" s="28" t="n"/>
    </row>
    <row r="59">
      <c r="A59" s="19" t="n">
        <v>55</v>
      </c>
      <c r="B59" s="20" t="inlineStr">
        <is>
          <t>문도혁</t>
        </is>
      </c>
      <c r="C59" s="20" t="inlineStr">
        <is>
          <t>이민선</t>
        </is>
      </c>
      <c r="D59" s="20" t="inlineStr">
        <is>
          <t>TVJJS27502</t>
        </is>
      </c>
      <c r="E59" s="20" t="inlineStr">
        <is>
          <t>춘절 여성 논퀼팅 인슐레이션 재킷</t>
        </is>
      </c>
      <c r="F59" s="20" t="inlineStr">
        <is>
          <t>MUD, BLK(BLACK)</t>
        </is>
      </c>
      <c r="G59" s="19">
        <f>IF($D59="","",IF(MID($D59,5,1)="S","S(봄)",IF(MID($D59,5,1)="M","M(여름)",IF(MID($D59,5,1)="X","X(사계절)",MID($D59,5,1)))))</f>
        <v/>
      </c>
      <c r="H59" s="20" t="inlineStr">
        <is>
          <t>완사입</t>
        </is>
      </c>
      <c r="I59" s="19" t="inlineStr">
        <is>
          <t>s1</t>
        </is>
      </c>
      <c r="J59" s="21" t="inlineStr">
        <is>
          <t>1월3주</t>
        </is>
      </c>
      <c r="K59" s="22">
        <f>IF($J59="","",IFERROR(DATE(IF(VALUE(LEFT($J59,FIND("월",$J59)-1))&gt;=9,기준정보!$C$7-1,기준정보!$C$7),VALUE(LEFT($J59,FIND("월",$J59)-1)),1+7*(VALUE(SUBSTITUTE(MID($J59,FIND("월",$J59)+1,5),"주",""))-1)),""))</f>
        <v/>
      </c>
      <c r="L59" s="22">
        <f>IF($K59="","",IF(AND($K59-기준정보!$C$5&gt;=기준정보!$C$10,$K59-기준정보!$C$5&lt;=기준정보!$C$11),기준정보!$C$10-1,$K59-기준정보!$C$5))</f>
        <v/>
      </c>
      <c r="M59" s="23">
        <f>IF($L59="","",IF(OR(ISNUMBER(SEARCH("중국",$W59)),ISNUMBER(SEARCH("베트남",$W59))),MAX(0,MIN($L59,기준정보!$C$9)-MAX($L59-기준정보!$C$6,기준정보!$C$8)+1),IF(ISNUMBER(SEARCH("한국",$W59)),MAX(0,MIN($L59,기준정보!$C$11)-MAX($L59-기준정보!$C$6,기준정보!$C$10)+1),0)))</f>
        <v/>
      </c>
      <c r="N59" s="22">
        <f>IF($L59="","",$L59-기준정보!$C$6-$M59)</f>
        <v/>
      </c>
      <c r="O59" s="24">
        <f>IF($N59="","",$N59-기준정보!$C$4)</f>
        <v/>
      </c>
      <c r="P59" s="21" t="n"/>
      <c r="Q59" s="21" t="inlineStr">
        <is>
          <t>O</t>
        </is>
      </c>
      <c r="R59" s="19">
        <f>IF(COUNTIF(EDW_RAW!$A$2:$A$1500,$D59)=0,"",IF(COUNTIFS(EDW_RAW!$A$2:$A$1500,$D59,EDW_RAW!$U$2:$U$1500,"&lt;&gt;~",EDW_RAW!$U$2:$U$1500,"&lt;&gt;")=COUNTIF(EDW_RAW!$A$2:$A$1500,$D59),"O",IF(COUNTIFS(EDW_RAW!$A$2:$A$1500,$D59,EDW_RAW!$U$2:$U$1500,"&lt;&gt;~",EDW_RAW!$U$2:$U$1500,"&lt;&gt;")&gt;0,"부분","X")))</f>
        <v/>
      </c>
      <c r="S59" s="25" t="n"/>
      <c r="T59" s="20">
        <f>IF($H59="","",IF(AND(ISNUMBER(SEARCH("CMT",$H59)),OR(ISNUMBER(SEARCH("완사입",$H59)),ISNUMBER(SEARCH("ODM",$H59)))),"본사/생산처 혼재",IF(ISNUMBER(SEARCH("CMT",$H59)),"본사(소재팀)","생산처")))</f>
        <v/>
      </c>
      <c r="U59" s="20" t="inlineStr">
        <is>
          <t>아이블</t>
        </is>
      </c>
      <c r="V59" s="20">
        <f>IFERROR(TEXTJOIN(" / ",TRUE,UNIQUE(FILTER(소재DB_RAW!$K$3:$K$2000,(소재DB_RAW!$G$3:$G$2000=$D59)*ISERROR(SEARCH("drop",소재DB_RAW!$C$3:$C$2000))))),"")</f>
        <v/>
      </c>
      <c r="W59" s="20" t="inlineStr">
        <is>
          <t>베트남</t>
        </is>
      </c>
      <c r="X59" s="20">
        <f>IFERROR(TEXTJOIN(" / ",TRUE,UNIQUE(FILTER(소재DB_RAW!$N$3:$N$2000,(소재DB_RAW!$G$3:$G$2000=$D59)*ISERROR(SEARCH("drop",소재DB_RAW!$C$3:$C$2000))))),"")</f>
        <v/>
      </c>
      <c r="Y59" s="26">
        <f>IFERROR(TEXTJOIN(CHAR(10),TRUE,UNIQUE(FILTER(소재DB_RAW!$N$3:$N$2000&amp;") "&amp;소재DB_RAW!$O$3:$O$2000,(소재DB_RAW!$G$3:$G$2000=$D59)*ISNUMBER(SEARCH("겉감",소재DB_RAW!$M$3:$M$2000))*ISERROR(SEARCH("drop",소재DB_RAW!$C$3:$C$2000))))),"")</f>
        <v/>
      </c>
      <c r="Z59" s="26">
        <f>IFERROR(TEXTJOIN(CHAR(10),TRUE,UNIQUE(FILTER(소재DB_RAW!$N$3:$N$2000&amp;") "&amp;소재DB_RAW!$O$3:$O$2000,(소재DB_RAW!$G$3:$G$2000=$D59)*ISNUMBER(SEARCH("안감",소재DB_RAW!$M$3:$M$2000))*ISERROR(SEARCH("drop",소재DB_RAW!$C$3:$C$2000))))),"")</f>
        <v/>
      </c>
      <c r="AA59" s="27" t="n">
        <v>2200</v>
      </c>
      <c r="AB59" s="27" t="n">
        <v>160008200</v>
      </c>
      <c r="AC59" s="27" t="n">
        <v>704000000</v>
      </c>
      <c r="AD59" s="20" t="n"/>
      <c r="AE59" s="20">
        <f>IF($K59="","출고일 미정",IF($Q59="X","작지 미발행",IF($Q59="부분","작지 일부 미발행",IF(AND($S59&lt;&gt;"",$S59&gt;$N59),"소재입고 마감("&amp;TEXT($N59,"MM/DD")&amp;") 초과",IF($Q59="","발행여부 확인 필요",IF($S59="","소재 입고일정 확인 필요","정상"))))))</f>
        <v/>
      </c>
      <c r="AF59" s="19">
        <f>IF($K59="","",IF(OR(LEFT($AE59,2)="작지",LEFT($AE59,4)="소재입고"),IF(LEFT($G59,1)="S","★ 납기위험(S코드)","◆ 지연주의"),IF($AE59="정상","✓ 정상","? 확인필요")))</f>
        <v/>
      </c>
      <c r="AG59" s="21" t="n"/>
      <c r="AH59" s="28" t="n"/>
    </row>
    <row r="60">
      <c r="A60" s="19" t="n">
        <v>56</v>
      </c>
      <c r="B60" s="20" t="inlineStr">
        <is>
          <t>박지인</t>
        </is>
      </c>
      <c r="C60" s="20" t="inlineStr">
        <is>
          <t>이민선</t>
        </is>
      </c>
      <c r="D60" s="20" t="inlineStr">
        <is>
          <t>TVJJS27512</t>
        </is>
      </c>
      <c r="E60" s="20" t="inlineStr">
        <is>
          <t>춘절 여성 중기장 방풍 재킷</t>
        </is>
      </c>
      <c r="F60" s="20" t="inlineStr">
        <is>
          <t>WBE, CIN(CINDER)</t>
        </is>
      </c>
      <c r="G60" s="19">
        <f>IF($D60="","",IF(MID($D60,5,1)="S","S(봄)",IF(MID($D60,5,1)="M","M(여름)",IF(MID($D60,5,1)="X","X(사계절)",MID($D60,5,1)))))</f>
        <v/>
      </c>
      <c r="H60" s="20" t="inlineStr">
        <is>
          <t>완사입</t>
        </is>
      </c>
      <c r="I60" s="19" t="inlineStr"/>
      <c r="J60" s="21" t="inlineStr">
        <is>
          <t>1월3주</t>
        </is>
      </c>
      <c r="K60" s="22">
        <f>IF($J60="","",IFERROR(DATE(IF(VALUE(LEFT($J60,FIND("월",$J60)-1))&gt;=9,기준정보!$C$7-1,기준정보!$C$7),VALUE(LEFT($J60,FIND("월",$J60)-1)),1+7*(VALUE(SUBSTITUTE(MID($J60,FIND("월",$J60)+1,5),"주",""))-1)),""))</f>
        <v/>
      </c>
      <c r="L60" s="22">
        <f>IF($K60="","",IF(AND($K60-기준정보!$C$5&gt;=기준정보!$C$10,$K60-기준정보!$C$5&lt;=기준정보!$C$11),기준정보!$C$10-1,$K60-기준정보!$C$5))</f>
        <v/>
      </c>
      <c r="M60" s="23">
        <f>IF($L60="","",IF(OR(ISNUMBER(SEARCH("중국",$W60)),ISNUMBER(SEARCH("베트남",$W60))),MAX(0,MIN($L60,기준정보!$C$9)-MAX($L60-기준정보!$C$6,기준정보!$C$8)+1),IF(ISNUMBER(SEARCH("한국",$W60)),MAX(0,MIN($L60,기준정보!$C$11)-MAX($L60-기준정보!$C$6,기준정보!$C$10)+1),0)))</f>
        <v/>
      </c>
      <c r="N60" s="22">
        <f>IF($L60="","",$L60-기준정보!$C$6-$M60)</f>
        <v/>
      </c>
      <c r="O60" s="24">
        <f>IF($N60="","",$N60-기준정보!$C$4)</f>
        <v/>
      </c>
      <c r="P60" s="21" t="n"/>
      <c r="Q60" s="21" t="inlineStr">
        <is>
          <t>O</t>
        </is>
      </c>
      <c r="R60" s="19">
        <f>IF(COUNTIF(EDW_RAW!$A$2:$A$1500,$D60)=0,"",IF(COUNTIFS(EDW_RAW!$A$2:$A$1500,$D60,EDW_RAW!$U$2:$U$1500,"&lt;&gt;~",EDW_RAW!$U$2:$U$1500,"&lt;&gt;")=COUNTIF(EDW_RAW!$A$2:$A$1500,$D60),"O",IF(COUNTIFS(EDW_RAW!$A$2:$A$1500,$D60,EDW_RAW!$U$2:$U$1500,"&lt;&gt;~",EDW_RAW!$U$2:$U$1500,"&lt;&gt;")&gt;0,"부분","X")))</f>
        <v/>
      </c>
      <c r="S60" s="25" t="n"/>
      <c r="T60" s="20">
        <f>IF($H60="","",IF(AND(ISNUMBER(SEARCH("CMT",$H60)),OR(ISNUMBER(SEARCH("완사입",$H60)),ISNUMBER(SEARCH("ODM",$H60)))),"본사/생산처 혼재",IF(ISNUMBER(SEARCH("CMT",$H60)),"본사(소재팀)","생산처")))</f>
        <v/>
      </c>
      <c r="U60" s="20" t="inlineStr">
        <is>
          <t>아이블</t>
        </is>
      </c>
      <c r="V60" s="20">
        <f>IFERROR(TEXTJOIN(" / ",TRUE,UNIQUE(FILTER(소재DB_RAW!$K$3:$K$2000,(소재DB_RAW!$G$3:$G$2000=$D60)*ISERROR(SEARCH("drop",소재DB_RAW!$C$3:$C$2000))))),"")</f>
        <v/>
      </c>
      <c r="W60" s="20" t="inlineStr"/>
      <c r="X60" s="20">
        <f>IFERROR(TEXTJOIN(" / ",TRUE,UNIQUE(FILTER(소재DB_RAW!$N$3:$N$2000,(소재DB_RAW!$G$3:$G$2000=$D60)*ISERROR(SEARCH("drop",소재DB_RAW!$C$3:$C$2000))))),"")</f>
        <v/>
      </c>
      <c r="Y60" s="26">
        <f>IFERROR(TEXTJOIN(CHAR(10),TRUE,UNIQUE(FILTER(소재DB_RAW!$N$3:$N$2000&amp;") "&amp;소재DB_RAW!$O$3:$O$2000,(소재DB_RAW!$G$3:$G$2000=$D60)*ISNUMBER(SEARCH("겉감",소재DB_RAW!$M$3:$M$2000))*ISERROR(SEARCH("drop",소재DB_RAW!$C$3:$C$2000))))),"")</f>
        <v/>
      </c>
      <c r="Z60" s="26">
        <f>IFERROR(TEXTJOIN(CHAR(10),TRUE,UNIQUE(FILTER(소재DB_RAW!$N$3:$N$2000&amp;") "&amp;소재DB_RAW!$O$3:$O$2000,(소재DB_RAW!$G$3:$G$2000=$D60)*ISNUMBER(SEARCH("안감",소재DB_RAW!$M$3:$M$2000))*ISERROR(SEARCH("drop",소재DB_RAW!$C$3:$C$2000))))),"")</f>
        <v/>
      </c>
      <c r="AA60" s="27" t="n">
        <v>3000</v>
      </c>
      <c r="AB60" s="27" t="n">
        <v>165927000</v>
      </c>
      <c r="AC60" s="27" t="n">
        <v>810000000</v>
      </c>
      <c r="AD60" s="20" t="inlineStr">
        <is>
          <t>1월3주</t>
        </is>
      </c>
      <c r="AE60" s="20">
        <f>IF($K60="","출고일 미정",IF($Q60="X","작지 미발행",IF($Q60="부분","작지 일부 미발행",IF(AND($S60&lt;&gt;"",$S60&gt;$N60),"소재입고 마감("&amp;TEXT($N60,"MM/DD")&amp;") 초과",IF($Q60="","발행여부 확인 필요",IF($S60="","소재 입고일정 확인 필요","정상"))))))</f>
        <v/>
      </c>
      <c r="AF60" s="19">
        <f>IF($K60="","",IF(OR(LEFT($AE60,2)="작지",LEFT($AE60,4)="소재입고"),IF(LEFT($G60,1)="S","★ 납기위험(S코드)","◆ 지연주의"),IF($AE60="정상","✓ 정상","? 확인필요")))</f>
        <v/>
      </c>
      <c r="AG60" s="21" t="n"/>
      <c r="AH60" s="28" t="n"/>
    </row>
    <row r="61">
      <c r="A61" s="19" t="n">
        <v>57</v>
      </c>
      <c r="B61" s="20" t="inlineStr">
        <is>
          <t>문도혁</t>
        </is>
      </c>
      <c r="C61" s="20" t="inlineStr">
        <is>
          <t>이민선</t>
        </is>
      </c>
      <c r="D61" s="20" t="inlineStr">
        <is>
          <t>TVJJS27522</t>
        </is>
      </c>
      <c r="E61" s="20" t="inlineStr">
        <is>
          <t>춘절 여성 웨더 중기장 재킷</t>
        </is>
      </c>
      <c r="F61" s="20" t="inlineStr">
        <is>
          <t>GRI(GREIGE), GMI(G/MINT)</t>
        </is>
      </c>
      <c r="G61" s="19">
        <f>IF($D61="","",IF(MID($D61,5,1)="S","S(봄)",IF(MID($D61,5,1)="M","M(여름)",IF(MID($D61,5,1)="X","X(사계절)",MID($D61,5,1)))))</f>
        <v/>
      </c>
      <c r="H61" s="20" t="inlineStr">
        <is>
          <t>완사입</t>
        </is>
      </c>
      <c r="I61" s="19" t="inlineStr">
        <is>
          <t>s1</t>
        </is>
      </c>
      <c r="J61" s="21" t="inlineStr">
        <is>
          <t>1월3주</t>
        </is>
      </c>
      <c r="K61" s="22">
        <f>IF($J61="","",IFERROR(DATE(IF(VALUE(LEFT($J61,FIND("월",$J61)-1))&gt;=9,기준정보!$C$7-1,기준정보!$C$7),VALUE(LEFT($J61,FIND("월",$J61)-1)),1+7*(VALUE(SUBSTITUTE(MID($J61,FIND("월",$J61)+1,5),"주",""))-1)),""))</f>
        <v/>
      </c>
      <c r="L61" s="22">
        <f>IF($K61="","",IF(AND($K61-기준정보!$C$5&gt;=기준정보!$C$10,$K61-기준정보!$C$5&lt;=기준정보!$C$11),기준정보!$C$10-1,$K61-기준정보!$C$5))</f>
        <v/>
      </c>
      <c r="M61" s="23">
        <f>IF($L61="","",IF(OR(ISNUMBER(SEARCH("중국",$W61)),ISNUMBER(SEARCH("베트남",$W61))),MAX(0,MIN($L61,기준정보!$C$9)-MAX($L61-기준정보!$C$6,기준정보!$C$8)+1),IF(ISNUMBER(SEARCH("한국",$W61)),MAX(0,MIN($L61,기준정보!$C$11)-MAX($L61-기준정보!$C$6,기준정보!$C$10)+1),0)))</f>
        <v/>
      </c>
      <c r="N61" s="22">
        <f>IF($L61="","",$L61-기준정보!$C$6-$M61)</f>
        <v/>
      </c>
      <c r="O61" s="24">
        <f>IF($N61="","",$N61-기준정보!$C$4)</f>
        <v/>
      </c>
      <c r="P61" s="21" t="n"/>
      <c r="Q61" s="21" t="inlineStr">
        <is>
          <t>O</t>
        </is>
      </c>
      <c r="R61" s="19">
        <f>IF(COUNTIF(EDW_RAW!$A$2:$A$1500,$D61)=0,"",IF(COUNTIFS(EDW_RAW!$A$2:$A$1500,$D61,EDW_RAW!$U$2:$U$1500,"&lt;&gt;~",EDW_RAW!$U$2:$U$1500,"&lt;&gt;")=COUNTIF(EDW_RAW!$A$2:$A$1500,$D61),"O",IF(COUNTIFS(EDW_RAW!$A$2:$A$1500,$D61,EDW_RAW!$U$2:$U$1500,"&lt;&gt;~",EDW_RAW!$U$2:$U$1500,"&lt;&gt;")&gt;0,"부분","X")))</f>
        <v/>
      </c>
      <c r="S61" s="25" t="n"/>
      <c r="T61" s="20">
        <f>IF($H61="","",IF(AND(ISNUMBER(SEARCH("CMT",$H61)),OR(ISNUMBER(SEARCH("완사입",$H61)),ISNUMBER(SEARCH("ODM",$H61)))),"본사/생산처 혼재",IF(ISNUMBER(SEARCH("CMT",$H61)),"본사(소재팀)","생산처")))</f>
        <v/>
      </c>
      <c r="U61" s="20" t="inlineStr">
        <is>
          <t>포마트</t>
        </is>
      </c>
      <c r="V61" s="20">
        <f>IFERROR(TEXTJOIN(" / ",TRUE,UNIQUE(FILTER(소재DB_RAW!$K$3:$K$2000,(소재DB_RAW!$G$3:$G$2000=$D61)*ISERROR(SEARCH("drop",소재DB_RAW!$C$3:$C$2000))))),"")</f>
        <v/>
      </c>
      <c r="W61" s="20" t="inlineStr">
        <is>
          <t>베트남</t>
        </is>
      </c>
      <c r="X61" s="20">
        <f>IFERROR(TEXTJOIN(" / ",TRUE,UNIQUE(FILTER(소재DB_RAW!$N$3:$N$2000,(소재DB_RAW!$G$3:$G$2000=$D61)*ISERROR(SEARCH("drop",소재DB_RAW!$C$3:$C$2000))))),"")</f>
        <v/>
      </c>
      <c r="Y61" s="26">
        <f>IFERROR(TEXTJOIN(CHAR(10),TRUE,UNIQUE(FILTER(소재DB_RAW!$N$3:$N$2000&amp;") "&amp;소재DB_RAW!$O$3:$O$2000,(소재DB_RAW!$G$3:$G$2000=$D61)*ISNUMBER(SEARCH("겉감",소재DB_RAW!$M$3:$M$2000))*ISERROR(SEARCH("drop",소재DB_RAW!$C$3:$C$2000))))),"")</f>
        <v/>
      </c>
      <c r="Z61" s="26">
        <f>IFERROR(TEXTJOIN(CHAR(10),TRUE,UNIQUE(FILTER(소재DB_RAW!$N$3:$N$2000&amp;") "&amp;소재DB_RAW!$O$3:$O$2000,(소재DB_RAW!$G$3:$G$2000=$D61)*ISNUMBER(SEARCH("안감",소재DB_RAW!$M$3:$M$2000))*ISERROR(SEARCH("drop",소재DB_RAW!$C$3:$C$2000))))),"")</f>
        <v/>
      </c>
      <c r="AA61" s="27" t="n">
        <v>2500</v>
      </c>
      <c r="AB61" s="27" t="n">
        <v>239177500</v>
      </c>
      <c r="AC61" s="27" t="n">
        <v>975000000</v>
      </c>
      <c r="AD61" s="20" t="n"/>
      <c r="AE61" s="20">
        <f>IF($K61="","출고일 미정",IF($Q61="X","작지 미발행",IF($Q61="부분","작지 일부 미발행",IF(AND($S61&lt;&gt;"",$S61&gt;$N61),"소재입고 마감("&amp;TEXT($N61,"MM/DD")&amp;") 초과",IF($Q61="","발행여부 확인 필요",IF($S61="","소재 입고일정 확인 필요","정상"))))))</f>
        <v/>
      </c>
      <c r="AF61" s="19">
        <f>IF($K61="","",IF(OR(LEFT($AE61,2)="작지",LEFT($AE61,4)="소재입고"),IF(LEFT($G61,1)="S","★ 납기위험(S코드)","◆ 지연주의"),IF($AE61="정상","✓ 정상","? 확인필요")))</f>
        <v/>
      </c>
      <c r="AG61" s="21" t="n"/>
      <c r="AH61" s="28" t="n"/>
    </row>
    <row r="62">
      <c r="A62" s="19" t="n">
        <v>58</v>
      </c>
      <c r="B62" s="20" t="inlineStr">
        <is>
          <t>문도혁</t>
        </is>
      </c>
      <c r="C62" s="20" t="inlineStr">
        <is>
          <t>이민선</t>
        </is>
      </c>
      <c r="D62" s="20" t="inlineStr">
        <is>
          <t>TVJJS27532</t>
        </is>
      </c>
      <c r="E62" s="20" t="inlineStr">
        <is>
          <t>춘절 여성 3L 후디드 방수 재킷</t>
        </is>
      </c>
      <c r="F62" s="20" t="inlineStr">
        <is>
          <t>CRE(CREAM), DGY(D/GRAY)</t>
        </is>
      </c>
      <c r="G62" s="19">
        <f>IF($D62="","",IF(MID($D62,5,1)="S","S(봄)",IF(MID($D62,5,1)="M","M(여름)",IF(MID($D62,5,1)="X","X(사계절)",MID($D62,5,1)))))</f>
        <v/>
      </c>
      <c r="H62" s="20" t="inlineStr">
        <is>
          <t>완사입</t>
        </is>
      </c>
      <c r="I62" s="19" t="inlineStr">
        <is>
          <t>S1</t>
        </is>
      </c>
      <c r="J62" s="21" t="inlineStr">
        <is>
          <t>1월3주</t>
        </is>
      </c>
      <c r="K62" s="22">
        <f>IF($J62="","",IFERROR(DATE(IF(VALUE(LEFT($J62,FIND("월",$J62)-1))&gt;=9,기준정보!$C$7-1,기준정보!$C$7),VALUE(LEFT($J62,FIND("월",$J62)-1)),1+7*(VALUE(SUBSTITUTE(MID($J62,FIND("월",$J62)+1,5),"주",""))-1)),""))</f>
        <v/>
      </c>
      <c r="L62" s="22">
        <f>IF($K62="","",IF(AND($K62-기준정보!$C$5&gt;=기준정보!$C$10,$K62-기준정보!$C$5&lt;=기준정보!$C$11),기준정보!$C$10-1,$K62-기준정보!$C$5))</f>
        <v/>
      </c>
      <c r="M62" s="23">
        <f>IF($L62="","",IF(OR(ISNUMBER(SEARCH("중국",$W62)),ISNUMBER(SEARCH("베트남",$W62))),MAX(0,MIN($L62,기준정보!$C$9)-MAX($L62-기준정보!$C$6,기준정보!$C$8)+1),IF(ISNUMBER(SEARCH("한국",$W62)),MAX(0,MIN($L62,기준정보!$C$11)-MAX($L62-기준정보!$C$6,기준정보!$C$10)+1),0)))</f>
        <v/>
      </c>
      <c r="N62" s="22">
        <f>IF($L62="","",$L62-기준정보!$C$6-$M62)</f>
        <v/>
      </c>
      <c r="O62" s="24">
        <f>IF($N62="","",$N62-기준정보!$C$4)</f>
        <v/>
      </c>
      <c r="P62" s="21" t="n"/>
      <c r="Q62" s="21" t="inlineStr">
        <is>
          <t>O</t>
        </is>
      </c>
      <c r="R62" s="19">
        <f>IF(COUNTIF(EDW_RAW!$A$2:$A$1500,$D62)=0,"",IF(COUNTIFS(EDW_RAW!$A$2:$A$1500,$D62,EDW_RAW!$U$2:$U$1500,"&lt;&gt;~",EDW_RAW!$U$2:$U$1500,"&lt;&gt;")=COUNTIF(EDW_RAW!$A$2:$A$1500,$D62),"O",IF(COUNTIFS(EDW_RAW!$A$2:$A$1500,$D62,EDW_RAW!$U$2:$U$1500,"&lt;&gt;~",EDW_RAW!$U$2:$U$1500,"&lt;&gt;")&gt;0,"부분","X")))</f>
        <v/>
      </c>
      <c r="S62" s="25" t="n"/>
      <c r="T62" s="20">
        <f>IF($H62="","",IF(AND(ISNUMBER(SEARCH("CMT",$H62)),OR(ISNUMBER(SEARCH("완사입",$H62)),ISNUMBER(SEARCH("ODM",$H62)))),"본사/생산처 혼재",IF(ISNUMBER(SEARCH("CMT",$H62)),"본사(소재팀)","생산처")))</f>
        <v/>
      </c>
      <c r="U62" s="20" t="inlineStr">
        <is>
          <t>기도</t>
        </is>
      </c>
      <c r="V62" s="20">
        <f>IFERROR(TEXTJOIN(" / ",TRUE,UNIQUE(FILTER(소재DB_RAW!$K$3:$K$2000,(소재DB_RAW!$G$3:$G$2000=$D62)*ISERROR(SEARCH("drop",소재DB_RAW!$C$3:$C$2000))))),"")</f>
        <v/>
      </c>
      <c r="W62" s="20" t="inlineStr">
        <is>
          <t>베트남</t>
        </is>
      </c>
      <c r="X62" s="20">
        <f>IFERROR(TEXTJOIN(" / ",TRUE,UNIQUE(FILTER(소재DB_RAW!$N$3:$N$2000,(소재DB_RAW!$G$3:$G$2000=$D62)*ISERROR(SEARCH("drop",소재DB_RAW!$C$3:$C$2000))))),"")</f>
        <v/>
      </c>
      <c r="Y62" s="26">
        <f>IFERROR(TEXTJOIN(CHAR(10),TRUE,UNIQUE(FILTER(소재DB_RAW!$N$3:$N$2000&amp;") "&amp;소재DB_RAW!$O$3:$O$2000,(소재DB_RAW!$G$3:$G$2000=$D62)*ISNUMBER(SEARCH("겉감",소재DB_RAW!$M$3:$M$2000))*ISERROR(SEARCH("drop",소재DB_RAW!$C$3:$C$2000))))),"")</f>
        <v/>
      </c>
      <c r="Z62" s="26">
        <f>IFERROR(TEXTJOIN(CHAR(10),TRUE,UNIQUE(FILTER(소재DB_RAW!$N$3:$N$2000&amp;") "&amp;소재DB_RAW!$O$3:$O$2000,(소재DB_RAW!$G$3:$G$2000=$D62)*ISNUMBER(SEARCH("안감",소재DB_RAW!$M$3:$M$2000))*ISERROR(SEARCH("drop",소재DB_RAW!$C$3:$C$2000))))),"")</f>
        <v/>
      </c>
      <c r="AA62" s="27" t="n">
        <v>1800</v>
      </c>
      <c r="AB62" s="27" t="n">
        <v>160255800</v>
      </c>
      <c r="AC62" s="27" t="n">
        <v>702000000</v>
      </c>
      <c r="AD62" s="20" t="n"/>
      <c r="AE62" s="20">
        <f>IF($K62="","출고일 미정",IF($Q62="X","작지 미발행",IF($Q62="부분","작지 일부 미발행",IF(AND($S62&lt;&gt;"",$S62&gt;$N62),"소재입고 마감("&amp;TEXT($N62,"MM/DD")&amp;") 초과",IF($Q62="","발행여부 확인 필요",IF($S62="","소재 입고일정 확인 필요","정상"))))))</f>
        <v/>
      </c>
      <c r="AF62" s="19">
        <f>IF($K62="","",IF(OR(LEFT($AE62,2)="작지",LEFT($AE62,4)="소재입고"),IF(LEFT($G62,1)="S","★ 납기위험(S코드)","◆ 지연주의"),IF($AE62="정상","✓ 정상","? 확인필요")))</f>
        <v/>
      </c>
      <c r="AG62" s="21" t="n"/>
      <c r="AH62" s="28" t="n"/>
    </row>
    <row r="63">
      <c r="A63" s="19" t="n">
        <v>59</v>
      </c>
      <c r="B63" s="20" t="inlineStr">
        <is>
          <t>문도혁</t>
        </is>
      </c>
      <c r="C63" s="20" t="inlineStr">
        <is>
          <t>이민선</t>
        </is>
      </c>
      <c r="D63" s="20" t="inlineStr">
        <is>
          <t>TVJJS27552</t>
        </is>
      </c>
      <c r="E63" s="20" t="inlineStr">
        <is>
          <t>춘절 여성 키퍼 중기장 벨티드 재킷</t>
        </is>
      </c>
      <c r="F63" s="20" t="inlineStr">
        <is>
          <t>GRI(GREIGE), DGY(D/GRAY)</t>
        </is>
      </c>
      <c r="G63" s="19">
        <f>IF($D63="","",IF(MID($D63,5,1)="S","S(봄)",IF(MID($D63,5,1)="M","M(여름)",IF(MID($D63,5,1)="X","X(사계절)",MID($D63,5,1)))))</f>
        <v/>
      </c>
      <c r="H63" s="20" t="inlineStr">
        <is>
          <t>완사입</t>
        </is>
      </c>
      <c r="I63" s="19" t="inlineStr">
        <is>
          <t>S1</t>
        </is>
      </c>
      <c r="J63" s="21" t="inlineStr">
        <is>
          <t>1월3주</t>
        </is>
      </c>
      <c r="K63" s="22">
        <f>IF($J63="","",IFERROR(DATE(IF(VALUE(LEFT($J63,FIND("월",$J63)-1))&gt;=9,기준정보!$C$7-1,기준정보!$C$7),VALUE(LEFT($J63,FIND("월",$J63)-1)),1+7*(VALUE(SUBSTITUTE(MID($J63,FIND("월",$J63)+1,5),"주",""))-1)),""))</f>
        <v/>
      </c>
      <c r="L63" s="22">
        <f>IF($K63="","",IF(AND($K63-기준정보!$C$5&gt;=기준정보!$C$10,$K63-기준정보!$C$5&lt;=기준정보!$C$11),기준정보!$C$10-1,$K63-기준정보!$C$5))</f>
        <v/>
      </c>
      <c r="M63" s="23">
        <f>IF($L63="","",IF(OR(ISNUMBER(SEARCH("중국",$W63)),ISNUMBER(SEARCH("베트남",$W63))),MAX(0,MIN($L63,기준정보!$C$9)-MAX($L63-기준정보!$C$6,기준정보!$C$8)+1),IF(ISNUMBER(SEARCH("한국",$W63)),MAX(0,MIN($L63,기준정보!$C$11)-MAX($L63-기준정보!$C$6,기준정보!$C$10)+1),0)))</f>
        <v/>
      </c>
      <c r="N63" s="22">
        <f>IF($L63="","",$L63-기준정보!$C$6-$M63)</f>
        <v/>
      </c>
      <c r="O63" s="24">
        <f>IF($N63="","",$N63-기준정보!$C$4)</f>
        <v/>
      </c>
      <c r="P63" s="21" t="n"/>
      <c r="Q63" s="21" t="inlineStr">
        <is>
          <t>O</t>
        </is>
      </c>
      <c r="R63" s="19">
        <f>IF(COUNTIF(EDW_RAW!$A$2:$A$1500,$D63)=0,"",IF(COUNTIFS(EDW_RAW!$A$2:$A$1500,$D63,EDW_RAW!$U$2:$U$1500,"&lt;&gt;~",EDW_RAW!$U$2:$U$1500,"&lt;&gt;")=COUNTIF(EDW_RAW!$A$2:$A$1500,$D63),"O",IF(COUNTIFS(EDW_RAW!$A$2:$A$1500,$D63,EDW_RAW!$U$2:$U$1500,"&lt;&gt;~",EDW_RAW!$U$2:$U$1500,"&lt;&gt;")&gt;0,"부분","X")))</f>
        <v/>
      </c>
      <c r="S63" s="25" t="n"/>
      <c r="T63" s="20">
        <f>IF($H63="","",IF(AND(ISNUMBER(SEARCH("CMT",$H63)),OR(ISNUMBER(SEARCH("완사입",$H63)),ISNUMBER(SEARCH("ODM",$H63)))),"본사/생산처 혼재",IF(ISNUMBER(SEARCH("CMT",$H63)),"본사(소재팀)","생산처")))</f>
        <v/>
      </c>
      <c r="U63" s="20" t="inlineStr">
        <is>
          <t>아이블</t>
        </is>
      </c>
      <c r="V63" s="20">
        <f>IFERROR(TEXTJOIN(" / ",TRUE,UNIQUE(FILTER(소재DB_RAW!$K$3:$K$2000,(소재DB_RAW!$G$3:$G$2000=$D63)*ISERROR(SEARCH("drop",소재DB_RAW!$C$3:$C$2000))))),"")</f>
        <v/>
      </c>
      <c r="W63" s="20" t="inlineStr">
        <is>
          <t>베트남</t>
        </is>
      </c>
      <c r="X63" s="20">
        <f>IFERROR(TEXTJOIN(" / ",TRUE,UNIQUE(FILTER(소재DB_RAW!$N$3:$N$2000,(소재DB_RAW!$G$3:$G$2000=$D63)*ISERROR(SEARCH("drop",소재DB_RAW!$C$3:$C$2000))))),"")</f>
        <v/>
      </c>
      <c r="Y63" s="26">
        <f>IFERROR(TEXTJOIN(CHAR(10),TRUE,UNIQUE(FILTER(소재DB_RAW!$N$3:$N$2000&amp;") "&amp;소재DB_RAW!$O$3:$O$2000,(소재DB_RAW!$G$3:$G$2000=$D63)*ISNUMBER(SEARCH("겉감",소재DB_RAW!$M$3:$M$2000))*ISERROR(SEARCH("drop",소재DB_RAW!$C$3:$C$2000))))),"")</f>
        <v/>
      </c>
      <c r="Z63" s="26">
        <f>IFERROR(TEXTJOIN(CHAR(10),TRUE,UNIQUE(FILTER(소재DB_RAW!$N$3:$N$2000&amp;") "&amp;소재DB_RAW!$O$3:$O$2000,(소재DB_RAW!$G$3:$G$2000=$D63)*ISNUMBER(SEARCH("안감",소재DB_RAW!$M$3:$M$2000))*ISERROR(SEARCH("drop",소재DB_RAW!$C$3:$C$2000))))),"")</f>
        <v/>
      </c>
      <c r="AA63" s="27" t="n">
        <v>4000</v>
      </c>
      <c r="AB63" s="27" t="n">
        <v>223356000</v>
      </c>
      <c r="AC63" s="27" t="n">
        <v>1160000000</v>
      </c>
      <c r="AD63" s="20" t="n"/>
      <c r="AE63" s="20">
        <f>IF($K63="","출고일 미정",IF($Q63="X","작지 미발행",IF($Q63="부분","작지 일부 미발행",IF(AND($S63&lt;&gt;"",$S63&gt;$N63),"소재입고 마감("&amp;TEXT($N63,"MM/DD")&amp;") 초과",IF($Q63="","발행여부 확인 필요",IF($S63="","소재 입고일정 확인 필요","정상"))))))</f>
        <v/>
      </c>
      <c r="AF63" s="19">
        <f>IF($K63="","",IF(OR(LEFT($AE63,2)="작지",LEFT($AE63,4)="소재입고"),IF(LEFT($G63,1)="S","★ 납기위험(S코드)","◆ 지연주의"),IF($AE63="정상","✓ 정상","? 확인필요")))</f>
        <v/>
      </c>
      <c r="AG63" s="21" t="n"/>
      <c r="AH63" s="28" t="n"/>
    </row>
    <row r="64">
      <c r="A64" s="19" t="n">
        <v>60</v>
      </c>
      <c r="B64" s="20" t="inlineStr">
        <is>
          <t>문도혁</t>
        </is>
      </c>
      <c r="C64" s="20" t="inlineStr">
        <is>
          <t>이민선</t>
        </is>
      </c>
      <c r="D64" s="20" t="inlineStr">
        <is>
          <t>TVJJS27562</t>
        </is>
      </c>
      <c r="E64" s="20" t="inlineStr">
        <is>
          <t>춘절 여성 키퍼 넥리스 재킷</t>
        </is>
      </c>
      <c r="F64" s="20" t="inlineStr">
        <is>
          <t>CRE(CREAM), GMI(G/MINT)</t>
        </is>
      </c>
      <c r="G64" s="19">
        <f>IF($D64="","",IF(MID($D64,5,1)="S","S(봄)",IF(MID($D64,5,1)="M","M(여름)",IF(MID($D64,5,1)="X","X(사계절)",MID($D64,5,1)))))</f>
        <v/>
      </c>
      <c r="H64" s="20" t="inlineStr">
        <is>
          <t>완사입</t>
        </is>
      </c>
      <c r="I64" s="19" t="inlineStr">
        <is>
          <t>S1</t>
        </is>
      </c>
      <c r="J64" s="21" t="inlineStr">
        <is>
          <t>1월3주</t>
        </is>
      </c>
      <c r="K64" s="22">
        <f>IF($J64="","",IFERROR(DATE(IF(VALUE(LEFT($J64,FIND("월",$J64)-1))&gt;=9,기준정보!$C$7-1,기준정보!$C$7),VALUE(LEFT($J64,FIND("월",$J64)-1)),1+7*(VALUE(SUBSTITUTE(MID($J64,FIND("월",$J64)+1,5),"주",""))-1)),""))</f>
        <v/>
      </c>
      <c r="L64" s="22">
        <f>IF($K64="","",IF(AND($K64-기준정보!$C$5&gt;=기준정보!$C$10,$K64-기준정보!$C$5&lt;=기준정보!$C$11),기준정보!$C$10-1,$K64-기준정보!$C$5))</f>
        <v/>
      </c>
      <c r="M64" s="23">
        <f>IF($L64="","",IF(OR(ISNUMBER(SEARCH("중국",$W64)),ISNUMBER(SEARCH("베트남",$W64))),MAX(0,MIN($L64,기준정보!$C$9)-MAX($L64-기준정보!$C$6,기준정보!$C$8)+1),IF(ISNUMBER(SEARCH("한국",$W64)),MAX(0,MIN($L64,기준정보!$C$11)-MAX($L64-기준정보!$C$6,기준정보!$C$10)+1),0)))</f>
        <v/>
      </c>
      <c r="N64" s="22">
        <f>IF($L64="","",$L64-기준정보!$C$6-$M64)</f>
        <v/>
      </c>
      <c r="O64" s="24">
        <f>IF($N64="","",$N64-기준정보!$C$4)</f>
        <v/>
      </c>
      <c r="P64" s="21" t="n"/>
      <c r="Q64" s="21" t="inlineStr">
        <is>
          <t>O</t>
        </is>
      </c>
      <c r="R64" s="19">
        <f>IF(COUNTIF(EDW_RAW!$A$2:$A$1500,$D64)=0,"",IF(COUNTIFS(EDW_RAW!$A$2:$A$1500,$D64,EDW_RAW!$U$2:$U$1500,"&lt;&gt;~",EDW_RAW!$U$2:$U$1500,"&lt;&gt;")=COUNTIF(EDW_RAW!$A$2:$A$1500,$D64),"O",IF(COUNTIFS(EDW_RAW!$A$2:$A$1500,$D64,EDW_RAW!$U$2:$U$1500,"&lt;&gt;~",EDW_RAW!$U$2:$U$1500,"&lt;&gt;")&gt;0,"부분","X")))</f>
        <v/>
      </c>
      <c r="S64" s="25" t="n"/>
      <c r="T64" s="20">
        <f>IF($H64="","",IF(AND(ISNUMBER(SEARCH("CMT",$H64)),OR(ISNUMBER(SEARCH("완사입",$H64)),ISNUMBER(SEARCH("ODM",$H64)))),"본사/생산처 혼재",IF(ISNUMBER(SEARCH("CMT",$H64)),"본사(소재팀)","생산처")))</f>
        <v/>
      </c>
      <c r="U64" s="20" t="inlineStr">
        <is>
          <t>아이블</t>
        </is>
      </c>
      <c r="V64" s="20">
        <f>IFERROR(TEXTJOIN(" / ",TRUE,UNIQUE(FILTER(소재DB_RAW!$K$3:$K$2000,(소재DB_RAW!$G$3:$G$2000=$D64)*ISERROR(SEARCH("drop",소재DB_RAW!$C$3:$C$2000))))),"")</f>
        <v/>
      </c>
      <c r="W64" s="20" t="inlineStr">
        <is>
          <t>베트남</t>
        </is>
      </c>
      <c r="X64" s="20">
        <f>IFERROR(TEXTJOIN(" / ",TRUE,UNIQUE(FILTER(소재DB_RAW!$N$3:$N$2000,(소재DB_RAW!$G$3:$G$2000=$D64)*ISERROR(SEARCH("drop",소재DB_RAW!$C$3:$C$2000))))),"")</f>
        <v/>
      </c>
      <c r="Y64" s="26">
        <f>IFERROR(TEXTJOIN(CHAR(10),TRUE,UNIQUE(FILTER(소재DB_RAW!$N$3:$N$2000&amp;") "&amp;소재DB_RAW!$O$3:$O$2000,(소재DB_RAW!$G$3:$G$2000=$D64)*ISNUMBER(SEARCH("겉감",소재DB_RAW!$M$3:$M$2000))*ISERROR(SEARCH("drop",소재DB_RAW!$C$3:$C$2000))))),"")</f>
        <v/>
      </c>
      <c r="Z64" s="26">
        <f>IFERROR(TEXTJOIN(CHAR(10),TRUE,UNIQUE(FILTER(소재DB_RAW!$N$3:$N$2000&amp;") "&amp;소재DB_RAW!$O$3:$O$2000,(소재DB_RAW!$G$3:$G$2000=$D64)*ISNUMBER(SEARCH("안감",소재DB_RAW!$M$3:$M$2000))*ISERROR(SEARCH("drop",소재DB_RAW!$C$3:$C$2000))))),"")</f>
        <v/>
      </c>
      <c r="AA64" s="27" t="n">
        <v>2100</v>
      </c>
      <c r="AB64" s="27" t="n">
        <v>106062600</v>
      </c>
      <c r="AC64" s="27" t="n">
        <v>525000000</v>
      </c>
      <c r="AD64" s="20" t="n"/>
      <c r="AE64" s="20">
        <f>IF($K64="","출고일 미정",IF($Q64="X","작지 미발행",IF($Q64="부분","작지 일부 미발행",IF(AND($S64&lt;&gt;"",$S64&gt;$N64),"소재입고 마감("&amp;TEXT($N64,"MM/DD")&amp;") 초과",IF($Q64="","발행여부 확인 필요",IF($S64="","소재 입고일정 확인 필요","정상"))))))</f>
        <v/>
      </c>
      <c r="AF64" s="19">
        <f>IF($K64="","",IF(OR(LEFT($AE64,2)="작지",LEFT($AE64,4)="소재입고"),IF(LEFT($G64,1)="S","★ 납기위험(S코드)","◆ 지연주의"),IF($AE64="정상","✓ 정상","? 확인필요")))</f>
        <v/>
      </c>
      <c r="AG64" s="21" t="n"/>
      <c r="AH64" s="28" t="n"/>
    </row>
    <row r="65">
      <c r="A65" s="19" t="n">
        <v>61</v>
      </c>
      <c r="B65" s="20" t="inlineStr">
        <is>
          <t>정영준</t>
        </is>
      </c>
      <c r="C65" s="20" t="inlineStr">
        <is>
          <t>서은미</t>
        </is>
      </c>
      <c r="D65" s="20" t="inlineStr">
        <is>
          <t>TVPNS27512</t>
        </is>
      </c>
      <c r="E65" s="20" t="inlineStr">
        <is>
          <t>춘절 여성 베이직 커브드 팬츠</t>
        </is>
      </c>
      <c r="F65" s="20" t="inlineStr">
        <is>
          <t>BLK(BLACK), MUD</t>
        </is>
      </c>
      <c r="G65" s="19">
        <f>IF($D65="","",IF(MID($D65,5,1)="S","S(봄)",IF(MID($D65,5,1)="M","M(여름)",IF(MID($D65,5,1)="X","X(사계절)",MID($D65,5,1)))))</f>
        <v/>
      </c>
      <c r="H65" s="20" t="inlineStr">
        <is>
          <t>CMT</t>
        </is>
      </c>
      <c r="I65" s="19" t="inlineStr"/>
      <c r="J65" s="21" t="inlineStr">
        <is>
          <t>1월3주</t>
        </is>
      </c>
      <c r="K65" s="22">
        <f>IF($J65="","",IFERROR(DATE(IF(VALUE(LEFT($J65,FIND("월",$J65)-1))&gt;=9,기준정보!$C$7-1,기준정보!$C$7),VALUE(LEFT($J65,FIND("월",$J65)-1)),1+7*(VALUE(SUBSTITUTE(MID($J65,FIND("월",$J65)+1,5),"주",""))-1)),""))</f>
        <v/>
      </c>
      <c r="L65" s="22">
        <f>IF($K65="","",IF(AND($K65-기준정보!$C$5&gt;=기준정보!$C$10,$K65-기준정보!$C$5&lt;=기준정보!$C$11),기준정보!$C$10-1,$K65-기준정보!$C$5))</f>
        <v/>
      </c>
      <c r="M65" s="23">
        <f>IF($L65="","",IF(OR(ISNUMBER(SEARCH("중국",$W65)),ISNUMBER(SEARCH("베트남",$W65))),MAX(0,MIN($L65,기준정보!$C$9)-MAX($L65-기준정보!$C$6,기준정보!$C$8)+1),IF(ISNUMBER(SEARCH("한국",$W65)),MAX(0,MIN($L65,기준정보!$C$11)-MAX($L65-기준정보!$C$6,기준정보!$C$10)+1),0)))</f>
        <v/>
      </c>
      <c r="N65" s="22">
        <f>IF($L65="","",$L65-기준정보!$C$6-$M65)</f>
        <v/>
      </c>
      <c r="O65" s="24">
        <f>IF($N65="","",$N65-기준정보!$C$4)</f>
        <v/>
      </c>
      <c r="P65" s="21" t="n"/>
      <c r="Q65" s="21" t="inlineStr">
        <is>
          <t>O</t>
        </is>
      </c>
      <c r="R65" s="19">
        <f>IF(COUNTIF(EDW_RAW!$A$2:$A$1500,$D65)=0,"",IF(COUNTIFS(EDW_RAW!$A$2:$A$1500,$D65,EDW_RAW!$U$2:$U$1500,"&lt;&gt;~",EDW_RAW!$U$2:$U$1500,"&lt;&gt;")=COUNTIF(EDW_RAW!$A$2:$A$1500,$D65),"O",IF(COUNTIFS(EDW_RAW!$A$2:$A$1500,$D65,EDW_RAW!$U$2:$U$1500,"&lt;&gt;~",EDW_RAW!$U$2:$U$1500,"&lt;&gt;")&gt;0,"부분","X")))</f>
        <v/>
      </c>
      <c r="S65" s="25" t="n"/>
      <c r="T65" s="20">
        <f>IF($H65="","",IF(AND(ISNUMBER(SEARCH("CMT",$H65)),OR(ISNUMBER(SEARCH("완사입",$H65)),ISNUMBER(SEARCH("ODM",$H65)))),"본사/생산처 혼재",IF(ISNUMBER(SEARCH("CMT",$H65)),"본사(소재팀)","생산처")))</f>
        <v/>
      </c>
      <c r="U65" s="20" t="inlineStr">
        <is>
          <t>YIC</t>
        </is>
      </c>
      <c r="V65" s="20">
        <f>IFERROR(TEXTJOIN(" / ",TRUE,UNIQUE(FILTER(소재DB_RAW!$K$3:$K$2000,(소재DB_RAW!$G$3:$G$2000=$D65)*ISERROR(SEARCH("drop",소재DB_RAW!$C$3:$C$2000))))),"")</f>
        <v/>
      </c>
      <c r="W65" s="20" t="inlineStr">
        <is>
          <t>베트남</t>
        </is>
      </c>
      <c r="X65" s="20">
        <f>IFERROR(TEXTJOIN(" / ",TRUE,UNIQUE(FILTER(소재DB_RAW!$N$3:$N$2000,(소재DB_RAW!$G$3:$G$2000=$D65)*ISERROR(SEARCH("drop",소재DB_RAW!$C$3:$C$2000))))),"")</f>
        <v/>
      </c>
      <c r="Y65" s="26">
        <f>IFERROR(TEXTJOIN(CHAR(10),TRUE,UNIQUE(FILTER(소재DB_RAW!$N$3:$N$2000&amp;") "&amp;소재DB_RAW!$O$3:$O$2000,(소재DB_RAW!$G$3:$G$2000=$D65)*ISNUMBER(SEARCH("겉감",소재DB_RAW!$M$3:$M$2000))*ISERROR(SEARCH("drop",소재DB_RAW!$C$3:$C$2000))))),"")</f>
        <v/>
      </c>
      <c r="Z65" s="26">
        <f>IFERROR(TEXTJOIN(CHAR(10),TRUE,UNIQUE(FILTER(소재DB_RAW!$N$3:$N$2000&amp;") "&amp;소재DB_RAW!$O$3:$O$2000,(소재DB_RAW!$G$3:$G$2000=$D65)*ISNUMBER(SEARCH("안감",소재DB_RAW!$M$3:$M$2000))*ISERROR(SEARCH("drop",소재DB_RAW!$C$3:$C$2000))))),"")</f>
        <v/>
      </c>
      <c r="AA65" s="27" t="n">
        <v>2200</v>
      </c>
      <c r="AB65" s="27" t="n">
        <v>84143400</v>
      </c>
      <c r="AC65" s="27" t="n">
        <v>413600000</v>
      </c>
      <c r="AD65" s="20" t="inlineStr">
        <is>
          <t>1월3주</t>
        </is>
      </c>
      <c r="AE65" s="20">
        <f>IF($K65="","출고일 미정",IF($Q65="X","작지 미발행",IF($Q65="부분","작지 일부 미발행",IF(AND($S65&lt;&gt;"",$S65&gt;$N65),"소재입고 마감("&amp;TEXT($N65,"MM/DD")&amp;") 초과",IF($Q65="","발행여부 확인 필요",IF($S65="","소재 입고일정 확인 필요","정상"))))))</f>
        <v/>
      </c>
      <c r="AF65" s="19">
        <f>IF($K65="","",IF(OR(LEFT($AE65,2)="작지",LEFT($AE65,4)="소재입고"),IF(LEFT($G65,1)="S","★ 납기위험(S코드)","◆ 지연주의"),IF($AE65="정상","✓ 정상","? 확인필요")))</f>
        <v/>
      </c>
      <c r="AG65" s="21" t="n"/>
      <c r="AH65" s="28" t="n"/>
    </row>
    <row r="66">
      <c r="A66" s="19" t="n">
        <v>62</v>
      </c>
      <c r="B66" s="20" t="inlineStr">
        <is>
          <t>정영준</t>
        </is>
      </c>
      <c r="C66" s="20" t="inlineStr">
        <is>
          <t>서은미</t>
        </is>
      </c>
      <c r="D66" s="20" t="inlineStr">
        <is>
          <t>TVPNS27522</t>
        </is>
      </c>
      <c r="E66" s="20" t="inlineStr">
        <is>
          <t>춘절 여성 루즈 커브드 팬츠</t>
        </is>
      </c>
      <c r="F66" s="20" t="inlineStr">
        <is>
          <t>CRE-2, DGY(D/GRAY)</t>
        </is>
      </c>
      <c r="G66" s="19">
        <f>IF($D66="","",IF(MID($D66,5,1)="S","S(봄)",IF(MID($D66,5,1)="M","M(여름)",IF(MID($D66,5,1)="X","X(사계절)",MID($D66,5,1)))))</f>
        <v/>
      </c>
      <c r="H66" s="20" t="inlineStr">
        <is>
          <t>CMT</t>
        </is>
      </c>
      <c r="I66" s="19" t="inlineStr"/>
      <c r="J66" s="21" t="inlineStr">
        <is>
          <t>1월3주</t>
        </is>
      </c>
      <c r="K66" s="22">
        <f>IF($J66="","",IFERROR(DATE(IF(VALUE(LEFT($J66,FIND("월",$J66)-1))&gt;=9,기준정보!$C$7-1,기준정보!$C$7),VALUE(LEFT($J66,FIND("월",$J66)-1)),1+7*(VALUE(SUBSTITUTE(MID($J66,FIND("월",$J66)+1,5),"주",""))-1)),""))</f>
        <v/>
      </c>
      <c r="L66" s="22">
        <f>IF($K66="","",IF(AND($K66-기준정보!$C$5&gt;=기준정보!$C$10,$K66-기준정보!$C$5&lt;=기준정보!$C$11),기준정보!$C$10-1,$K66-기준정보!$C$5))</f>
        <v/>
      </c>
      <c r="M66" s="23">
        <f>IF($L66="","",IF(OR(ISNUMBER(SEARCH("중국",$W66)),ISNUMBER(SEARCH("베트남",$W66))),MAX(0,MIN($L66,기준정보!$C$9)-MAX($L66-기준정보!$C$6,기준정보!$C$8)+1),IF(ISNUMBER(SEARCH("한국",$W66)),MAX(0,MIN($L66,기준정보!$C$11)-MAX($L66-기준정보!$C$6,기준정보!$C$10)+1),0)))</f>
        <v/>
      </c>
      <c r="N66" s="22">
        <f>IF($L66="","",$L66-기준정보!$C$6-$M66)</f>
        <v/>
      </c>
      <c r="O66" s="24">
        <f>IF($N66="","",$N66-기준정보!$C$4)</f>
        <v/>
      </c>
      <c r="P66" s="21" t="n"/>
      <c r="Q66" s="21" t="inlineStr">
        <is>
          <t>O</t>
        </is>
      </c>
      <c r="R66" s="19">
        <f>IF(COUNTIF(EDW_RAW!$A$2:$A$1500,$D66)=0,"",IF(COUNTIFS(EDW_RAW!$A$2:$A$1500,$D66,EDW_RAW!$U$2:$U$1500,"&lt;&gt;~",EDW_RAW!$U$2:$U$1500,"&lt;&gt;")=COUNTIF(EDW_RAW!$A$2:$A$1500,$D66),"O",IF(COUNTIFS(EDW_RAW!$A$2:$A$1500,$D66,EDW_RAW!$U$2:$U$1500,"&lt;&gt;~",EDW_RAW!$U$2:$U$1500,"&lt;&gt;")&gt;0,"부분","X")))</f>
        <v/>
      </c>
      <c r="S66" s="25" t="n"/>
      <c r="T66" s="20">
        <f>IF($H66="","",IF(AND(ISNUMBER(SEARCH("CMT",$H66)),OR(ISNUMBER(SEARCH("완사입",$H66)),ISNUMBER(SEARCH("ODM",$H66)))),"본사/생산처 혼재",IF(ISNUMBER(SEARCH("CMT",$H66)),"본사(소재팀)","생산처")))</f>
        <v/>
      </c>
      <c r="U66" s="20" t="inlineStr">
        <is>
          <t>거림</t>
        </is>
      </c>
      <c r="V66" s="20">
        <f>IFERROR(TEXTJOIN(" / ",TRUE,UNIQUE(FILTER(소재DB_RAW!$K$3:$K$2000,(소재DB_RAW!$G$3:$G$2000=$D66)*ISERROR(SEARCH("drop",소재DB_RAW!$C$3:$C$2000))))),"")</f>
        <v/>
      </c>
      <c r="W66" s="20" t="inlineStr">
        <is>
          <t>베트남</t>
        </is>
      </c>
      <c r="X66" s="20">
        <f>IFERROR(TEXTJOIN(" / ",TRUE,UNIQUE(FILTER(소재DB_RAW!$N$3:$N$2000,(소재DB_RAW!$G$3:$G$2000=$D66)*ISERROR(SEARCH("drop",소재DB_RAW!$C$3:$C$2000))))),"")</f>
        <v/>
      </c>
      <c r="Y66" s="26">
        <f>IFERROR(TEXTJOIN(CHAR(10),TRUE,UNIQUE(FILTER(소재DB_RAW!$N$3:$N$2000&amp;") "&amp;소재DB_RAW!$O$3:$O$2000,(소재DB_RAW!$G$3:$G$2000=$D66)*ISNUMBER(SEARCH("겉감",소재DB_RAW!$M$3:$M$2000))*ISERROR(SEARCH("drop",소재DB_RAW!$C$3:$C$2000))))),"")</f>
        <v/>
      </c>
      <c r="Z66" s="26">
        <f>IFERROR(TEXTJOIN(CHAR(10),TRUE,UNIQUE(FILTER(소재DB_RAW!$N$3:$N$2000&amp;") "&amp;소재DB_RAW!$O$3:$O$2000,(소재DB_RAW!$G$3:$G$2000=$D66)*ISNUMBER(SEARCH("안감",소재DB_RAW!$M$3:$M$2000))*ISERROR(SEARCH("drop",소재DB_RAW!$C$3:$C$2000))))),"")</f>
        <v/>
      </c>
      <c r="AA66" s="27" t="n">
        <v>1800</v>
      </c>
      <c r="AB66" s="27" t="n">
        <v>62686800</v>
      </c>
      <c r="AC66" s="27" t="n">
        <v>338400000</v>
      </c>
      <c r="AD66" s="20" t="inlineStr">
        <is>
          <t>1월3주</t>
        </is>
      </c>
      <c r="AE66" s="20">
        <f>IF($K66="","출고일 미정",IF($Q66="X","작지 미발행",IF($Q66="부분","작지 일부 미발행",IF(AND($S66&lt;&gt;"",$S66&gt;$N66),"소재입고 마감("&amp;TEXT($N66,"MM/DD")&amp;") 초과",IF($Q66="","발행여부 확인 필요",IF($S66="","소재 입고일정 확인 필요","정상"))))))</f>
        <v/>
      </c>
      <c r="AF66" s="19">
        <f>IF($K66="","",IF(OR(LEFT($AE66,2)="작지",LEFT($AE66,4)="소재입고"),IF(LEFT($G66,1)="S","★ 납기위험(S코드)","◆ 지연주의"),IF($AE66="정상","✓ 정상","? 확인필요")))</f>
        <v/>
      </c>
      <c r="AG66" s="21" t="n"/>
      <c r="AH66" s="28" t="n"/>
    </row>
    <row r="67">
      <c r="A67" s="19" t="n">
        <v>63</v>
      </c>
      <c r="B67" s="20" t="inlineStr">
        <is>
          <t>정영준</t>
        </is>
      </c>
      <c r="C67" s="20" t="inlineStr">
        <is>
          <t>서은미</t>
        </is>
      </c>
      <c r="D67" s="20" t="inlineStr">
        <is>
          <t>TVPNS27532</t>
        </is>
      </c>
      <c r="E67" s="20" t="inlineStr">
        <is>
          <t>춘절 여성 부츠컷 팬츠</t>
        </is>
      </c>
      <c r="F67" s="20" t="inlineStr">
        <is>
          <t>BLK(BLACK), MUD</t>
        </is>
      </c>
      <c r="G67" s="19">
        <f>IF($D67="","",IF(MID($D67,5,1)="S","S(봄)",IF(MID($D67,5,1)="M","M(여름)",IF(MID($D67,5,1)="X","X(사계절)",MID($D67,5,1)))))</f>
        <v/>
      </c>
      <c r="H67" s="20" t="inlineStr">
        <is>
          <t>CMT</t>
        </is>
      </c>
      <c r="I67" s="19" t="inlineStr"/>
      <c r="J67" s="21" t="inlineStr">
        <is>
          <t>1월3주</t>
        </is>
      </c>
      <c r="K67" s="22">
        <f>IF($J67="","",IFERROR(DATE(IF(VALUE(LEFT($J67,FIND("월",$J67)-1))&gt;=9,기준정보!$C$7-1,기준정보!$C$7),VALUE(LEFT($J67,FIND("월",$J67)-1)),1+7*(VALUE(SUBSTITUTE(MID($J67,FIND("월",$J67)+1,5),"주",""))-1)),""))</f>
        <v/>
      </c>
      <c r="L67" s="22">
        <f>IF($K67="","",IF(AND($K67-기준정보!$C$5&gt;=기준정보!$C$10,$K67-기준정보!$C$5&lt;=기준정보!$C$11),기준정보!$C$10-1,$K67-기준정보!$C$5))</f>
        <v/>
      </c>
      <c r="M67" s="23">
        <f>IF($L67="","",IF(OR(ISNUMBER(SEARCH("중국",$W67)),ISNUMBER(SEARCH("베트남",$W67))),MAX(0,MIN($L67,기준정보!$C$9)-MAX($L67-기준정보!$C$6,기준정보!$C$8)+1),IF(ISNUMBER(SEARCH("한국",$W67)),MAX(0,MIN($L67,기준정보!$C$11)-MAX($L67-기준정보!$C$6,기준정보!$C$10)+1),0)))</f>
        <v/>
      </c>
      <c r="N67" s="22">
        <f>IF($L67="","",$L67-기준정보!$C$6-$M67)</f>
        <v/>
      </c>
      <c r="O67" s="24">
        <f>IF($N67="","",$N67-기준정보!$C$4)</f>
        <v/>
      </c>
      <c r="P67" s="21" t="n"/>
      <c r="Q67" s="21" t="inlineStr">
        <is>
          <t>O</t>
        </is>
      </c>
      <c r="R67" s="19">
        <f>IF(COUNTIF(EDW_RAW!$A$2:$A$1500,$D67)=0,"",IF(COUNTIFS(EDW_RAW!$A$2:$A$1500,$D67,EDW_RAW!$U$2:$U$1500,"&lt;&gt;~",EDW_RAW!$U$2:$U$1500,"&lt;&gt;")=COUNTIF(EDW_RAW!$A$2:$A$1500,$D67),"O",IF(COUNTIFS(EDW_RAW!$A$2:$A$1500,$D67,EDW_RAW!$U$2:$U$1500,"&lt;&gt;~",EDW_RAW!$U$2:$U$1500,"&lt;&gt;")&gt;0,"부분","X")))</f>
        <v/>
      </c>
      <c r="S67" s="25" t="n"/>
      <c r="T67" s="20">
        <f>IF($H67="","",IF(AND(ISNUMBER(SEARCH("CMT",$H67)),OR(ISNUMBER(SEARCH("완사입",$H67)),ISNUMBER(SEARCH("ODM",$H67)))),"본사/생산처 혼재",IF(ISNUMBER(SEARCH("CMT",$H67)),"본사(소재팀)","생산처")))</f>
        <v/>
      </c>
      <c r="U67" s="20" t="inlineStr">
        <is>
          <t>TBO</t>
        </is>
      </c>
      <c r="V67" s="20">
        <f>IFERROR(TEXTJOIN(" / ",TRUE,UNIQUE(FILTER(소재DB_RAW!$K$3:$K$2000,(소재DB_RAW!$G$3:$G$2000=$D67)*ISERROR(SEARCH("drop",소재DB_RAW!$C$3:$C$2000))))),"")</f>
        <v/>
      </c>
      <c r="W67" s="20" t="inlineStr">
        <is>
          <t>베트남</t>
        </is>
      </c>
      <c r="X67" s="20">
        <f>IFERROR(TEXTJOIN(" / ",TRUE,UNIQUE(FILTER(소재DB_RAW!$N$3:$N$2000,(소재DB_RAW!$G$3:$G$2000=$D67)*ISERROR(SEARCH("drop",소재DB_RAW!$C$3:$C$2000))))),"")</f>
        <v/>
      </c>
      <c r="Y67" s="26">
        <f>IFERROR(TEXTJOIN(CHAR(10),TRUE,UNIQUE(FILTER(소재DB_RAW!$N$3:$N$2000&amp;") "&amp;소재DB_RAW!$O$3:$O$2000,(소재DB_RAW!$G$3:$G$2000=$D67)*ISNUMBER(SEARCH("겉감",소재DB_RAW!$M$3:$M$2000))*ISERROR(SEARCH("drop",소재DB_RAW!$C$3:$C$2000))))),"")</f>
        <v/>
      </c>
      <c r="Z67" s="26">
        <f>IFERROR(TEXTJOIN(CHAR(10),TRUE,UNIQUE(FILTER(소재DB_RAW!$N$3:$N$2000&amp;") "&amp;소재DB_RAW!$O$3:$O$2000,(소재DB_RAW!$G$3:$G$2000=$D67)*ISNUMBER(SEARCH("안감",소재DB_RAW!$M$3:$M$2000))*ISERROR(SEARCH("drop",소재DB_RAW!$C$3:$C$2000))))),"")</f>
        <v/>
      </c>
      <c r="AA67" s="27" t="n">
        <v>1800</v>
      </c>
      <c r="AB67" s="27" t="n">
        <v>55549800</v>
      </c>
      <c r="AC67" s="27" t="n">
        <v>320400000</v>
      </c>
      <c r="AD67" s="20" t="inlineStr">
        <is>
          <t>1월3주</t>
        </is>
      </c>
      <c r="AE67" s="20">
        <f>IF($K67="","출고일 미정",IF($Q67="X","작지 미발행",IF($Q67="부분","작지 일부 미발행",IF(AND($S67&lt;&gt;"",$S67&gt;$N67),"소재입고 마감("&amp;TEXT($N67,"MM/DD")&amp;") 초과",IF($Q67="","발행여부 확인 필요",IF($S67="","소재 입고일정 확인 필요","정상"))))))</f>
        <v/>
      </c>
      <c r="AF67" s="19">
        <f>IF($K67="","",IF(OR(LEFT($AE67,2)="작지",LEFT($AE67,4)="소재입고"),IF(LEFT($G67,1)="S","★ 납기위험(S코드)","◆ 지연주의"),IF($AE67="정상","✓ 정상","? 확인필요")))</f>
        <v/>
      </c>
      <c r="AG67" s="21" t="n"/>
      <c r="AH67" s="28" t="n"/>
    </row>
    <row r="68">
      <c r="A68" s="19" t="n">
        <v>64</v>
      </c>
      <c r="B68" s="20" t="inlineStr">
        <is>
          <t>정영준</t>
        </is>
      </c>
      <c r="C68" s="20" t="inlineStr">
        <is>
          <t>서은미</t>
        </is>
      </c>
      <c r="D68" s="20" t="inlineStr">
        <is>
          <t>TVPNS27542</t>
        </is>
      </c>
      <c r="E68" s="20" t="inlineStr">
        <is>
          <t>춘절 여성 레귤러핏 팬츠</t>
        </is>
      </c>
      <c r="F68" s="20" t="inlineStr">
        <is>
          <t>BLK(BLACK), GRI(GREIGE)</t>
        </is>
      </c>
      <c r="G68" s="19">
        <f>IF($D68="","",IF(MID($D68,5,1)="S","S(봄)",IF(MID($D68,5,1)="M","M(여름)",IF(MID($D68,5,1)="X","X(사계절)",MID($D68,5,1)))))</f>
        <v/>
      </c>
      <c r="H68" s="20" t="inlineStr">
        <is>
          <t>CMT</t>
        </is>
      </c>
      <c r="I68" s="19" t="inlineStr"/>
      <c r="J68" s="21" t="inlineStr">
        <is>
          <t>1월3주</t>
        </is>
      </c>
      <c r="K68" s="22">
        <f>IF($J68="","",IFERROR(DATE(IF(VALUE(LEFT($J68,FIND("월",$J68)-1))&gt;=9,기준정보!$C$7-1,기준정보!$C$7),VALUE(LEFT($J68,FIND("월",$J68)-1)),1+7*(VALUE(SUBSTITUTE(MID($J68,FIND("월",$J68)+1,5),"주",""))-1)),""))</f>
        <v/>
      </c>
      <c r="L68" s="22">
        <f>IF($K68="","",IF(AND($K68-기준정보!$C$5&gt;=기준정보!$C$10,$K68-기준정보!$C$5&lt;=기준정보!$C$11),기준정보!$C$10-1,$K68-기준정보!$C$5))</f>
        <v/>
      </c>
      <c r="M68" s="23">
        <f>IF($L68="","",IF(OR(ISNUMBER(SEARCH("중국",$W68)),ISNUMBER(SEARCH("베트남",$W68))),MAX(0,MIN($L68,기준정보!$C$9)-MAX($L68-기준정보!$C$6,기준정보!$C$8)+1),IF(ISNUMBER(SEARCH("한국",$W68)),MAX(0,MIN($L68,기준정보!$C$11)-MAX($L68-기준정보!$C$6,기준정보!$C$10)+1),0)))</f>
        <v/>
      </c>
      <c r="N68" s="22">
        <f>IF($L68="","",$L68-기준정보!$C$6-$M68)</f>
        <v/>
      </c>
      <c r="O68" s="24">
        <f>IF($N68="","",$N68-기준정보!$C$4)</f>
        <v/>
      </c>
      <c r="P68" s="21" t="n"/>
      <c r="Q68" s="21" t="inlineStr">
        <is>
          <t>O</t>
        </is>
      </c>
      <c r="R68" s="19">
        <f>IF(COUNTIF(EDW_RAW!$A$2:$A$1500,$D68)=0,"",IF(COUNTIFS(EDW_RAW!$A$2:$A$1500,$D68,EDW_RAW!$U$2:$U$1500,"&lt;&gt;~",EDW_RAW!$U$2:$U$1500,"&lt;&gt;")=COUNTIF(EDW_RAW!$A$2:$A$1500,$D68),"O",IF(COUNTIFS(EDW_RAW!$A$2:$A$1500,$D68,EDW_RAW!$U$2:$U$1500,"&lt;&gt;~",EDW_RAW!$U$2:$U$1500,"&lt;&gt;")&gt;0,"부분","X")))</f>
        <v/>
      </c>
      <c r="S68" s="25" t="n"/>
      <c r="T68" s="20">
        <f>IF($H68="","",IF(AND(ISNUMBER(SEARCH("CMT",$H68)),OR(ISNUMBER(SEARCH("완사입",$H68)),ISNUMBER(SEARCH("ODM",$H68)))),"본사/생산처 혼재",IF(ISNUMBER(SEARCH("CMT",$H68)),"본사(소재팀)","생산처")))</f>
        <v/>
      </c>
      <c r="U68" s="20" t="inlineStr">
        <is>
          <t>거림</t>
        </is>
      </c>
      <c r="V68" s="20">
        <f>IFERROR(TEXTJOIN(" / ",TRUE,UNIQUE(FILTER(소재DB_RAW!$K$3:$K$2000,(소재DB_RAW!$G$3:$G$2000=$D68)*ISERROR(SEARCH("drop",소재DB_RAW!$C$3:$C$2000))))),"")</f>
        <v/>
      </c>
      <c r="W68" s="20" t="inlineStr">
        <is>
          <t>베트남</t>
        </is>
      </c>
      <c r="X68" s="20">
        <f>IFERROR(TEXTJOIN(" / ",TRUE,UNIQUE(FILTER(소재DB_RAW!$N$3:$N$2000,(소재DB_RAW!$G$3:$G$2000=$D68)*ISERROR(SEARCH("drop",소재DB_RAW!$C$3:$C$2000))))),"")</f>
        <v/>
      </c>
      <c r="Y68" s="26">
        <f>IFERROR(TEXTJOIN(CHAR(10),TRUE,UNIQUE(FILTER(소재DB_RAW!$N$3:$N$2000&amp;") "&amp;소재DB_RAW!$O$3:$O$2000,(소재DB_RAW!$G$3:$G$2000=$D68)*ISNUMBER(SEARCH("겉감",소재DB_RAW!$M$3:$M$2000))*ISERROR(SEARCH("drop",소재DB_RAW!$C$3:$C$2000))))),"")</f>
        <v/>
      </c>
      <c r="Z68" s="26">
        <f>IFERROR(TEXTJOIN(CHAR(10),TRUE,UNIQUE(FILTER(소재DB_RAW!$N$3:$N$2000&amp;") "&amp;소재DB_RAW!$O$3:$O$2000,(소재DB_RAW!$G$3:$G$2000=$D68)*ISNUMBER(SEARCH("안감",소재DB_RAW!$M$3:$M$2000))*ISERROR(SEARCH("drop",소재DB_RAW!$C$3:$C$2000))))),"")</f>
        <v/>
      </c>
      <c r="AA68" s="27" t="n">
        <v>2200</v>
      </c>
      <c r="AB68" s="27" t="n">
        <v>84966200</v>
      </c>
      <c r="AC68" s="27" t="n">
        <v>413600000</v>
      </c>
      <c r="AD68" s="20" t="inlineStr">
        <is>
          <t>1월3주</t>
        </is>
      </c>
      <c r="AE68" s="20">
        <f>IF($K68="","출고일 미정",IF($Q68="X","작지 미발행",IF($Q68="부분","작지 일부 미발행",IF(AND($S68&lt;&gt;"",$S68&gt;$N68),"소재입고 마감("&amp;TEXT($N68,"MM/DD")&amp;") 초과",IF($Q68="","발행여부 확인 필요",IF($S68="","소재 입고일정 확인 필요","정상"))))))</f>
        <v/>
      </c>
      <c r="AF68" s="19">
        <f>IF($K68="","",IF(OR(LEFT($AE68,2)="작지",LEFT($AE68,4)="소재입고"),IF(LEFT($G68,1)="S","★ 납기위험(S코드)","◆ 지연주의"),IF($AE68="정상","✓ 정상","? 확인필요")))</f>
        <v/>
      </c>
      <c r="AG68" s="21" t="n"/>
      <c r="AH68" s="28" t="n"/>
    </row>
    <row r="69">
      <c r="A69" s="19" t="n">
        <v>65</v>
      </c>
      <c r="B69" s="20" t="inlineStr">
        <is>
          <t>김준래</t>
        </is>
      </c>
      <c r="C69" s="20" t="inlineStr">
        <is>
          <t>권혁일</t>
        </is>
      </c>
      <c r="D69" s="20" t="inlineStr">
        <is>
          <t>TVTBS27552</t>
        </is>
      </c>
      <c r="E69" s="20" t="inlineStr">
        <is>
          <t>춘절 여성 소프트필 후드 긴팔 티셔츠 (SET-UP)</t>
        </is>
      </c>
      <c r="F69" s="20" t="inlineStr">
        <is>
          <t>LLA-1, BLK(BLACK)</t>
        </is>
      </c>
      <c r="G69" s="19">
        <f>IF($D69="","",IF(MID($D69,5,1)="S","S(봄)",IF(MID($D69,5,1)="M","M(여름)",IF(MID($D69,5,1)="X","X(사계절)",MID($D69,5,1)))))</f>
        <v/>
      </c>
      <c r="H69" s="20" t="inlineStr">
        <is>
          <t>완사입</t>
        </is>
      </c>
      <c r="I69" s="19" t="inlineStr"/>
      <c r="J69" s="21" t="inlineStr">
        <is>
          <t>1월3주</t>
        </is>
      </c>
      <c r="K69" s="22">
        <f>IF($J69="","",IFERROR(DATE(IF(VALUE(LEFT($J69,FIND("월",$J69)-1))&gt;=9,기준정보!$C$7-1,기준정보!$C$7),VALUE(LEFT($J69,FIND("월",$J69)-1)),1+7*(VALUE(SUBSTITUTE(MID($J69,FIND("월",$J69)+1,5),"주",""))-1)),""))</f>
        <v/>
      </c>
      <c r="L69" s="22">
        <f>IF($K69="","",IF(AND($K69-기준정보!$C$5&gt;=기준정보!$C$10,$K69-기준정보!$C$5&lt;=기준정보!$C$11),기준정보!$C$10-1,$K69-기준정보!$C$5))</f>
        <v/>
      </c>
      <c r="M69" s="23">
        <f>IF($L69="","",IF(OR(ISNUMBER(SEARCH("중국",$W69)),ISNUMBER(SEARCH("베트남",$W69))),MAX(0,MIN($L69,기준정보!$C$9)-MAX($L69-기준정보!$C$6,기준정보!$C$8)+1),IF(ISNUMBER(SEARCH("한국",$W69)),MAX(0,MIN($L69,기준정보!$C$11)-MAX($L69-기준정보!$C$6,기준정보!$C$10)+1),0)))</f>
        <v/>
      </c>
      <c r="N69" s="22">
        <f>IF($L69="","",$L69-기준정보!$C$6-$M69)</f>
        <v/>
      </c>
      <c r="O69" s="24">
        <f>IF($N69="","",$N69-기준정보!$C$4)</f>
        <v/>
      </c>
      <c r="P69" s="21" t="n"/>
      <c r="Q69" s="21" t="inlineStr">
        <is>
          <t>O</t>
        </is>
      </c>
      <c r="R69" s="19">
        <f>IF(COUNTIF(EDW_RAW!$A$2:$A$1500,$D69)=0,"",IF(COUNTIFS(EDW_RAW!$A$2:$A$1500,$D69,EDW_RAW!$U$2:$U$1500,"&lt;&gt;~",EDW_RAW!$U$2:$U$1500,"&lt;&gt;")=COUNTIF(EDW_RAW!$A$2:$A$1500,$D69),"O",IF(COUNTIFS(EDW_RAW!$A$2:$A$1500,$D69,EDW_RAW!$U$2:$U$1500,"&lt;&gt;~",EDW_RAW!$U$2:$U$1500,"&lt;&gt;")&gt;0,"부분","X")))</f>
        <v/>
      </c>
      <c r="S69" s="25" t="n"/>
      <c r="T69" s="20">
        <f>IF($H69="","",IF(AND(ISNUMBER(SEARCH("CMT",$H69)),OR(ISNUMBER(SEARCH("완사입",$H69)),ISNUMBER(SEARCH("ODM",$H69)))),"본사/생산처 혼재",IF(ISNUMBER(SEARCH("CMT",$H69)),"본사(소재팀)","생산처")))</f>
        <v/>
      </c>
      <c r="U69" s="20" t="inlineStr">
        <is>
          <t>IKG</t>
        </is>
      </c>
      <c r="V69" s="20">
        <f>IFERROR(TEXTJOIN(" / ",TRUE,UNIQUE(FILTER(소재DB_RAW!$K$3:$K$2000,(소재DB_RAW!$G$3:$G$2000=$D69)*ISERROR(SEARCH("drop",소재DB_RAW!$C$3:$C$2000))))),"")</f>
        <v/>
      </c>
      <c r="W69" s="20" t="inlineStr">
        <is>
          <t>인도네시아</t>
        </is>
      </c>
      <c r="X69" s="20">
        <f>IFERROR(TEXTJOIN(" / ",TRUE,UNIQUE(FILTER(소재DB_RAW!$N$3:$N$2000,(소재DB_RAW!$G$3:$G$2000=$D69)*ISERROR(SEARCH("drop",소재DB_RAW!$C$3:$C$2000))))),"")</f>
        <v/>
      </c>
      <c r="Y69" s="26">
        <f>IFERROR(TEXTJOIN(CHAR(10),TRUE,UNIQUE(FILTER(소재DB_RAW!$N$3:$N$2000&amp;") "&amp;소재DB_RAW!$O$3:$O$2000,(소재DB_RAW!$G$3:$G$2000=$D69)*ISNUMBER(SEARCH("겉감",소재DB_RAW!$M$3:$M$2000))*ISERROR(SEARCH("drop",소재DB_RAW!$C$3:$C$2000))))),"")</f>
        <v/>
      </c>
      <c r="Z69" s="26">
        <f>IFERROR(TEXTJOIN(CHAR(10),TRUE,UNIQUE(FILTER(소재DB_RAW!$N$3:$N$2000&amp;") "&amp;소재DB_RAW!$O$3:$O$2000,(소재DB_RAW!$G$3:$G$2000=$D69)*ISNUMBER(SEARCH("안감",소재DB_RAW!$M$3:$M$2000))*ISERROR(SEARCH("drop",소재DB_RAW!$C$3:$C$2000))))),"")</f>
        <v/>
      </c>
      <c r="AA69" s="27" t="n">
        <v>1200</v>
      </c>
      <c r="AB69" s="27" t="n">
        <v>36117600</v>
      </c>
      <c r="AC69" s="27" t="n">
        <v>225600000</v>
      </c>
      <c r="AD69" s="20" t="inlineStr">
        <is>
          <t>1월3주</t>
        </is>
      </c>
      <c r="AE69" s="20">
        <f>IF($K69="","출고일 미정",IF($Q69="X","작지 미발행",IF($Q69="부분","작지 일부 미발행",IF(AND($S69&lt;&gt;"",$S69&gt;$N69),"소재입고 마감("&amp;TEXT($N69,"MM/DD")&amp;") 초과",IF($Q69="","발행여부 확인 필요",IF($S69="","소재 입고일정 확인 필요","정상"))))))</f>
        <v/>
      </c>
      <c r="AF69" s="19">
        <f>IF($K69="","",IF(OR(LEFT($AE69,2)="작지",LEFT($AE69,4)="소재입고"),IF(LEFT($G69,1)="S","★ 납기위험(S코드)","◆ 지연주의"),IF($AE69="정상","✓ 정상","? 확인필요")))</f>
        <v/>
      </c>
      <c r="AG69" s="21" t="n"/>
      <c r="AH69" s="28" t="n"/>
    </row>
    <row r="70">
      <c r="A70" s="19" t="n">
        <v>66</v>
      </c>
      <c r="B70" s="20" t="inlineStr">
        <is>
          <t>최진민</t>
        </is>
      </c>
      <c r="C70" s="20" t="inlineStr">
        <is>
          <t>강기환</t>
        </is>
      </c>
      <c r="D70" s="20" t="inlineStr">
        <is>
          <t>JKJJS27032</t>
        </is>
      </c>
      <c r="E70" s="20" t="inlineStr">
        <is>
          <t>히어로 여성 옥타 플리스 재킷</t>
        </is>
      </c>
      <c r="F70" s="20" t="inlineStr">
        <is>
          <t>GRY(GRAY), BLK(BLACK)</t>
        </is>
      </c>
      <c r="G70" s="19">
        <f>IF($D70="","",IF(MID($D70,5,1)="S","S(봄)",IF(MID($D70,5,1)="M","M(여름)",IF(MID($D70,5,1)="X","X(사계절)",MID($D70,5,1)))))</f>
        <v/>
      </c>
      <c r="H70" s="20" t="inlineStr">
        <is>
          <t>완사입</t>
        </is>
      </c>
      <c r="I70" s="19" t="inlineStr">
        <is>
          <t>S1</t>
        </is>
      </c>
      <c r="J70" s="21" t="inlineStr">
        <is>
          <t>1월4주</t>
        </is>
      </c>
      <c r="K70" s="22">
        <f>IF($J70="","",IFERROR(DATE(IF(VALUE(LEFT($J70,FIND("월",$J70)-1))&gt;=9,기준정보!$C$7-1,기준정보!$C$7),VALUE(LEFT($J70,FIND("월",$J70)-1)),1+7*(VALUE(SUBSTITUTE(MID($J70,FIND("월",$J70)+1,5),"주",""))-1)),""))</f>
        <v/>
      </c>
      <c r="L70" s="22">
        <f>IF($K70="","",IF(AND($K70-기준정보!$C$5&gt;=기준정보!$C$10,$K70-기준정보!$C$5&lt;=기준정보!$C$11),기준정보!$C$10-1,$K70-기준정보!$C$5))</f>
        <v/>
      </c>
      <c r="M70" s="23">
        <f>IF($L70="","",IF(OR(ISNUMBER(SEARCH("중국",$W70)),ISNUMBER(SEARCH("베트남",$W70))),MAX(0,MIN($L70,기준정보!$C$9)-MAX($L70-기준정보!$C$6,기준정보!$C$8)+1),IF(ISNUMBER(SEARCH("한국",$W70)),MAX(0,MIN($L70,기준정보!$C$11)-MAX($L70-기준정보!$C$6,기준정보!$C$10)+1),0)))</f>
        <v/>
      </c>
      <c r="N70" s="22">
        <f>IF($L70="","",$L70-기준정보!$C$6-$M70)</f>
        <v/>
      </c>
      <c r="O70" s="24">
        <f>IF($N70="","",$N70-기준정보!$C$4)</f>
        <v/>
      </c>
      <c r="P70" s="21" t="n"/>
      <c r="Q70" s="21" t="inlineStr">
        <is>
          <t>O</t>
        </is>
      </c>
      <c r="R70" s="19">
        <f>IF(COUNTIF(EDW_RAW!$A$2:$A$1500,$D70)=0,"",IF(COUNTIFS(EDW_RAW!$A$2:$A$1500,$D70,EDW_RAW!$U$2:$U$1500,"&lt;&gt;~",EDW_RAW!$U$2:$U$1500,"&lt;&gt;")=COUNTIF(EDW_RAW!$A$2:$A$1500,$D70),"O",IF(COUNTIFS(EDW_RAW!$A$2:$A$1500,$D70,EDW_RAW!$U$2:$U$1500,"&lt;&gt;~",EDW_RAW!$U$2:$U$1500,"&lt;&gt;")&gt;0,"부분","X")))</f>
        <v/>
      </c>
      <c r="S70" s="25" t="n"/>
      <c r="T70" s="20">
        <f>IF($H70="","",IF(AND(ISNUMBER(SEARCH("CMT",$H70)),OR(ISNUMBER(SEARCH("완사입",$H70)),ISNUMBER(SEARCH("ODM",$H70)))),"본사/생산처 혼재",IF(ISNUMBER(SEARCH("CMT",$H70)),"본사(소재팀)","생산처")))</f>
        <v/>
      </c>
      <c r="U70" s="20" t="inlineStr">
        <is>
          <t>태화</t>
        </is>
      </c>
      <c r="V70" s="20">
        <f>IFERROR(TEXTJOIN(" / ",TRUE,UNIQUE(FILTER(소재DB_RAW!$K$3:$K$2000,(소재DB_RAW!$G$3:$G$2000=$D70)*ISERROR(SEARCH("drop",소재DB_RAW!$C$3:$C$2000))))),"")</f>
        <v/>
      </c>
      <c r="W70" s="20" t="inlineStr">
        <is>
          <t>베트남</t>
        </is>
      </c>
      <c r="X70" s="20">
        <f>IFERROR(TEXTJOIN(" / ",TRUE,UNIQUE(FILTER(소재DB_RAW!$N$3:$N$2000,(소재DB_RAW!$G$3:$G$2000=$D70)*ISERROR(SEARCH("drop",소재DB_RAW!$C$3:$C$2000))))),"")</f>
        <v/>
      </c>
      <c r="Y70" s="26">
        <f>IFERROR(TEXTJOIN(CHAR(10),TRUE,UNIQUE(FILTER(소재DB_RAW!$N$3:$N$2000&amp;") "&amp;소재DB_RAW!$O$3:$O$2000,(소재DB_RAW!$G$3:$G$2000=$D70)*ISNUMBER(SEARCH("겉감",소재DB_RAW!$M$3:$M$2000))*ISERROR(SEARCH("drop",소재DB_RAW!$C$3:$C$2000))))),"")</f>
        <v/>
      </c>
      <c r="Z70" s="26">
        <f>IFERROR(TEXTJOIN(CHAR(10),TRUE,UNIQUE(FILTER(소재DB_RAW!$N$3:$N$2000&amp;") "&amp;소재DB_RAW!$O$3:$O$2000,(소재DB_RAW!$G$3:$G$2000=$D70)*ISNUMBER(SEARCH("안감",소재DB_RAW!$M$3:$M$2000))*ISERROR(SEARCH("drop",소재DB_RAW!$C$3:$C$2000))))),"")</f>
        <v/>
      </c>
      <c r="AA70" s="27" t="n">
        <v>450</v>
      </c>
      <c r="AB70" s="27" t="n">
        <v>24435450</v>
      </c>
      <c r="AC70" s="27" t="n">
        <v>130500000</v>
      </c>
      <c r="AD70" s="20" t="n"/>
      <c r="AE70" s="20">
        <f>IF($K70="","출고일 미정",IF($Q70="X","작지 미발행",IF($Q70="부분","작지 일부 미발행",IF(AND($S70&lt;&gt;"",$S70&gt;$N70),"소재입고 마감("&amp;TEXT($N70,"MM/DD")&amp;") 초과",IF($Q70="","발행여부 확인 필요",IF($S70="","소재 입고일정 확인 필요","정상"))))))</f>
        <v/>
      </c>
      <c r="AF70" s="19">
        <f>IF($K70="","",IF(OR(LEFT($AE70,2)="작지",LEFT($AE70,4)="소재입고"),IF(LEFT($G70,1)="S","★ 납기위험(S코드)","◆ 지연주의"),IF($AE70="정상","✓ 정상","? 확인필요")))</f>
        <v/>
      </c>
      <c r="AG70" s="21" t="n"/>
      <c r="AH70" s="28" t="n"/>
    </row>
    <row r="71">
      <c r="A71" s="19" t="n">
        <v>67</v>
      </c>
      <c r="B71" s="20" t="inlineStr">
        <is>
          <t>최진민</t>
        </is>
      </c>
      <c r="C71" s="20" t="inlineStr">
        <is>
          <t>김지원</t>
        </is>
      </c>
      <c r="D71" s="20" t="inlineStr">
        <is>
          <t>JKTCS27056</t>
        </is>
      </c>
      <c r="E71" s="20" t="inlineStr">
        <is>
          <t>히어로 여성 메리노울 반팔 라운드티</t>
        </is>
      </c>
      <c r="F71" s="20" t="inlineStr">
        <is>
          <t>LPI-2, BLK(BLACK)</t>
        </is>
      </c>
      <c r="G71" s="19">
        <f>IF($D71="","",IF(MID($D71,5,1)="S","S(봄)",IF(MID($D71,5,1)="M","M(여름)",IF(MID($D71,5,1)="X","X(사계절)",MID($D71,5,1)))))</f>
        <v/>
      </c>
      <c r="H71" s="20" t="inlineStr">
        <is>
          <t>완사입</t>
        </is>
      </c>
      <c r="I71" s="19" t="inlineStr">
        <is>
          <t>S1</t>
        </is>
      </c>
      <c r="J71" s="21" t="inlineStr">
        <is>
          <t>1월4주</t>
        </is>
      </c>
      <c r="K71" s="22">
        <f>IF($J71="","",IFERROR(DATE(IF(VALUE(LEFT($J71,FIND("월",$J71)-1))&gt;=9,기준정보!$C$7-1,기준정보!$C$7),VALUE(LEFT($J71,FIND("월",$J71)-1)),1+7*(VALUE(SUBSTITUTE(MID($J71,FIND("월",$J71)+1,5),"주",""))-1)),""))</f>
        <v/>
      </c>
      <c r="L71" s="22">
        <f>IF($K71="","",IF(AND($K71-기준정보!$C$5&gt;=기준정보!$C$10,$K71-기준정보!$C$5&lt;=기준정보!$C$11),기준정보!$C$10-1,$K71-기준정보!$C$5))</f>
        <v/>
      </c>
      <c r="M71" s="23">
        <f>IF($L71="","",IF(OR(ISNUMBER(SEARCH("중국",$W71)),ISNUMBER(SEARCH("베트남",$W71))),MAX(0,MIN($L71,기준정보!$C$9)-MAX($L71-기준정보!$C$6,기준정보!$C$8)+1),IF(ISNUMBER(SEARCH("한국",$W71)),MAX(0,MIN($L71,기준정보!$C$11)-MAX($L71-기준정보!$C$6,기준정보!$C$10)+1),0)))</f>
        <v/>
      </c>
      <c r="N71" s="22">
        <f>IF($L71="","",$L71-기준정보!$C$6-$M71)</f>
        <v/>
      </c>
      <c r="O71" s="24">
        <f>IF($N71="","",$N71-기준정보!$C$4)</f>
        <v/>
      </c>
      <c r="P71" s="21" t="n"/>
      <c r="Q71" s="21" t="inlineStr">
        <is>
          <t>O</t>
        </is>
      </c>
      <c r="R71" s="19">
        <f>IF(COUNTIF(EDW_RAW!$A$2:$A$1500,$D71)=0,"",IF(COUNTIFS(EDW_RAW!$A$2:$A$1500,$D71,EDW_RAW!$U$2:$U$1500,"&lt;&gt;~",EDW_RAW!$U$2:$U$1500,"&lt;&gt;")=COUNTIF(EDW_RAW!$A$2:$A$1500,$D71),"O",IF(COUNTIFS(EDW_RAW!$A$2:$A$1500,$D71,EDW_RAW!$U$2:$U$1500,"&lt;&gt;~",EDW_RAW!$U$2:$U$1500,"&lt;&gt;")&gt;0,"부분","X")))</f>
        <v/>
      </c>
      <c r="S71" s="25" t="n"/>
      <c r="T71" s="20">
        <f>IF($H71="","",IF(AND(ISNUMBER(SEARCH("CMT",$H71)),OR(ISNUMBER(SEARCH("완사입",$H71)),ISNUMBER(SEARCH("ODM",$H71)))),"본사/생산처 혼재",IF(ISNUMBER(SEARCH("CMT",$H71)),"본사(소재팀)","생산처")))</f>
        <v/>
      </c>
      <c r="U71" s="20" t="inlineStr">
        <is>
          <t>장안</t>
        </is>
      </c>
      <c r="V71" s="20">
        <f>IFERROR(TEXTJOIN(" / ",TRUE,UNIQUE(FILTER(소재DB_RAW!$K$3:$K$2000,(소재DB_RAW!$G$3:$G$2000=$D71)*ISERROR(SEARCH("drop",소재DB_RAW!$C$3:$C$2000))))),"")</f>
        <v/>
      </c>
      <c r="W71" s="20" t="inlineStr">
        <is>
          <t>베트남</t>
        </is>
      </c>
      <c r="X71" s="20">
        <f>IFERROR(TEXTJOIN(" / ",TRUE,UNIQUE(FILTER(소재DB_RAW!$N$3:$N$2000,(소재DB_RAW!$G$3:$G$2000=$D71)*ISERROR(SEARCH("drop",소재DB_RAW!$C$3:$C$2000))))),"")</f>
        <v/>
      </c>
      <c r="Y71" s="26">
        <f>IFERROR(TEXTJOIN(CHAR(10),TRUE,UNIQUE(FILTER(소재DB_RAW!$N$3:$N$2000&amp;") "&amp;소재DB_RAW!$O$3:$O$2000,(소재DB_RAW!$G$3:$G$2000=$D71)*ISNUMBER(SEARCH("겉감",소재DB_RAW!$M$3:$M$2000))*ISERROR(SEARCH("drop",소재DB_RAW!$C$3:$C$2000))))),"")</f>
        <v/>
      </c>
      <c r="Z71" s="26">
        <f>IFERROR(TEXTJOIN(CHAR(10),TRUE,UNIQUE(FILTER(소재DB_RAW!$N$3:$N$2000&amp;") "&amp;소재DB_RAW!$O$3:$O$2000,(소재DB_RAW!$G$3:$G$2000=$D71)*ISNUMBER(SEARCH("안감",소재DB_RAW!$M$3:$M$2000))*ISERROR(SEARCH("drop",소재DB_RAW!$C$3:$C$2000))))),"")</f>
        <v/>
      </c>
      <c r="AA71" s="27" t="n">
        <v>400</v>
      </c>
      <c r="AB71" s="27" t="n">
        <v>13356000</v>
      </c>
      <c r="AC71" s="27" t="n">
        <v>59200000</v>
      </c>
      <c r="AD71" s="20" t="n"/>
      <c r="AE71" s="20">
        <f>IF($K71="","출고일 미정",IF($Q71="X","작지 미발행",IF($Q71="부분","작지 일부 미발행",IF(AND($S71&lt;&gt;"",$S71&gt;$N71),"소재입고 마감("&amp;TEXT($N71,"MM/DD")&amp;") 초과",IF($Q71="","발행여부 확인 필요",IF($S71="","소재 입고일정 확인 필요","정상"))))))</f>
        <v/>
      </c>
      <c r="AF71" s="19">
        <f>IF($K71="","",IF(OR(LEFT($AE71,2)="작지",LEFT($AE71,4)="소재입고"),IF(LEFT($G71,1)="S","★ 납기위험(S코드)","◆ 지연주의"),IF($AE71="정상","✓ 정상","? 확인필요")))</f>
        <v/>
      </c>
      <c r="AG71" s="21" t="n"/>
      <c r="AH71" s="28" t="n"/>
    </row>
    <row r="72">
      <c r="A72" s="19" t="n">
        <v>68</v>
      </c>
      <c r="B72" s="20" t="inlineStr">
        <is>
          <t>최진민</t>
        </is>
      </c>
      <c r="C72" s="20" t="inlineStr">
        <is>
          <t>강기환</t>
        </is>
      </c>
      <c r="D72" s="20" t="inlineStr">
        <is>
          <t>JKVAS27018</t>
        </is>
      </c>
      <c r="E72" s="20" t="inlineStr">
        <is>
          <t>히어로 여성 프리마로프트 LIGHT 인슐레이션 베스트</t>
        </is>
      </c>
      <c r="F72" s="20" t="inlineStr">
        <is>
          <t>DGY(D/GRAY), BLK(BLACK)</t>
        </is>
      </c>
      <c r="G72" s="19">
        <f>IF($D72="","",IF(MID($D72,5,1)="S","S(봄)",IF(MID($D72,5,1)="M","M(여름)",IF(MID($D72,5,1)="X","X(사계절)",MID($D72,5,1)))))</f>
        <v/>
      </c>
      <c r="H72" s="20" t="inlineStr">
        <is>
          <t>완사입</t>
        </is>
      </c>
      <c r="I72" s="19" t="inlineStr">
        <is>
          <t>S1</t>
        </is>
      </c>
      <c r="J72" s="21" t="inlineStr">
        <is>
          <t>1월4주</t>
        </is>
      </c>
      <c r="K72" s="22">
        <f>IF($J72="","",IFERROR(DATE(IF(VALUE(LEFT($J72,FIND("월",$J72)-1))&gt;=9,기준정보!$C$7-1,기준정보!$C$7),VALUE(LEFT($J72,FIND("월",$J72)-1)),1+7*(VALUE(SUBSTITUTE(MID($J72,FIND("월",$J72)+1,5),"주",""))-1)),""))</f>
        <v/>
      </c>
      <c r="L72" s="22">
        <f>IF($K72="","",IF(AND($K72-기준정보!$C$5&gt;=기준정보!$C$10,$K72-기준정보!$C$5&lt;=기준정보!$C$11),기준정보!$C$10-1,$K72-기준정보!$C$5))</f>
        <v/>
      </c>
      <c r="M72" s="23">
        <f>IF($L72="","",IF(OR(ISNUMBER(SEARCH("중국",$W72)),ISNUMBER(SEARCH("베트남",$W72))),MAX(0,MIN($L72,기준정보!$C$9)-MAX($L72-기준정보!$C$6,기준정보!$C$8)+1),IF(ISNUMBER(SEARCH("한국",$W72)),MAX(0,MIN($L72,기준정보!$C$11)-MAX($L72-기준정보!$C$6,기준정보!$C$10)+1),0)))</f>
        <v/>
      </c>
      <c r="N72" s="22">
        <f>IF($L72="","",$L72-기준정보!$C$6-$M72)</f>
        <v/>
      </c>
      <c r="O72" s="24">
        <f>IF($N72="","",$N72-기준정보!$C$4)</f>
        <v/>
      </c>
      <c r="P72" s="21" t="n"/>
      <c r="Q72" s="21" t="inlineStr">
        <is>
          <t>O</t>
        </is>
      </c>
      <c r="R72" s="19">
        <f>IF(COUNTIF(EDW_RAW!$A$2:$A$1500,$D72)=0,"",IF(COUNTIFS(EDW_RAW!$A$2:$A$1500,$D72,EDW_RAW!$U$2:$U$1500,"&lt;&gt;~",EDW_RAW!$U$2:$U$1500,"&lt;&gt;")=COUNTIF(EDW_RAW!$A$2:$A$1500,$D72),"O",IF(COUNTIFS(EDW_RAW!$A$2:$A$1500,$D72,EDW_RAW!$U$2:$U$1500,"&lt;&gt;~",EDW_RAW!$U$2:$U$1500,"&lt;&gt;")&gt;0,"부분","X")))</f>
        <v/>
      </c>
      <c r="S72" s="25" t="n"/>
      <c r="T72" s="20">
        <f>IF($H72="","",IF(AND(ISNUMBER(SEARCH("CMT",$H72)),OR(ISNUMBER(SEARCH("완사입",$H72)),ISNUMBER(SEARCH("ODM",$H72)))),"본사/생산처 혼재",IF(ISNUMBER(SEARCH("CMT",$H72)),"본사(소재팀)","생산처")))</f>
        <v/>
      </c>
      <c r="U72" s="20" t="inlineStr">
        <is>
          <t>원전</t>
        </is>
      </c>
      <c r="V72" s="20">
        <f>IFERROR(TEXTJOIN(" / ",TRUE,UNIQUE(FILTER(소재DB_RAW!$K$3:$K$2000,(소재DB_RAW!$G$3:$G$2000=$D72)*ISERROR(SEARCH("drop",소재DB_RAW!$C$3:$C$2000))))),"")</f>
        <v/>
      </c>
      <c r="W72" s="20" t="inlineStr">
        <is>
          <t>인도네시아</t>
        </is>
      </c>
      <c r="X72" s="20">
        <f>IFERROR(TEXTJOIN(" / ",TRUE,UNIQUE(FILTER(소재DB_RAW!$N$3:$N$2000,(소재DB_RAW!$G$3:$G$2000=$D72)*ISERROR(SEARCH("drop",소재DB_RAW!$C$3:$C$2000))))),"")</f>
        <v/>
      </c>
      <c r="Y72" s="26">
        <f>IFERROR(TEXTJOIN(CHAR(10),TRUE,UNIQUE(FILTER(소재DB_RAW!$N$3:$N$2000&amp;") "&amp;소재DB_RAW!$O$3:$O$2000,(소재DB_RAW!$G$3:$G$2000=$D72)*ISNUMBER(SEARCH("겉감",소재DB_RAW!$M$3:$M$2000))*ISERROR(SEARCH("drop",소재DB_RAW!$C$3:$C$2000))))),"")</f>
        <v/>
      </c>
      <c r="Z72" s="26">
        <f>IFERROR(TEXTJOIN(CHAR(10),TRUE,UNIQUE(FILTER(소재DB_RAW!$N$3:$N$2000&amp;") "&amp;소재DB_RAW!$O$3:$O$2000,(소재DB_RAW!$G$3:$G$2000=$D72)*ISNUMBER(SEARCH("안감",소재DB_RAW!$M$3:$M$2000))*ISERROR(SEARCH("drop",소재DB_RAW!$C$3:$C$2000))))),"")</f>
        <v/>
      </c>
      <c r="AA72" s="27" t="n">
        <v>305</v>
      </c>
      <c r="AB72" s="27" t="n">
        <v>17391405</v>
      </c>
      <c r="AC72" s="27" t="n">
        <v>76250000</v>
      </c>
      <c r="AD72" s="20" t="n"/>
      <c r="AE72" s="20">
        <f>IF($K72="","출고일 미정",IF($Q72="X","작지 미발행",IF($Q72="부분","작지 일부 미발행",IF(AND($S72&lt;&gt;"",$S72&gt;$N72),"소재입고 마감("&amp;TEXT($N72,"MM/DD")&amp;") 초과",IF($Q72="","발행여부 확인 필요",IF($S72="","소재 입고일정 확인 필요","정상"))))))</f>
        <v/>
      </c>
      <c r="AF72" s="19">
        <f>IF($K72="","",IF(OR(LEFT($AE72,2)="작지",LEFT($AE72,4)="소재입고"),IF(LEFT($G72,1)="S","★ 납기위험(S코드)","◆ 지연주의"),IF($AE72="정상","✓ 정상","? 확인필요")))</f>
        <v/>
      </c>
      <c r="AG72" s="21" t="n"/>
      <c r="AH72" s="28" t="n"/>
    </row>
    <row r="73">
      <c r="A73" s="19" t="n">
        <v>69</v>
      </c>
      <c r="B73" s="20" t="inlineStr">
        <is>
          <t>최진민</t>
        </is>
      </c>
      <c r="C73" s="20" t="inlineStr">
        <is>
          <t>강기환</t>
        </is>
      </c>
      <c r="D73" s="20" t="inlineStr">
        <is>
          <t>JWJJS27031</t>
        </is>
      </c>
      <c r="E73" s="20" t="inlineStr">
        <is>
          <t>히어로 남성 옥타 플리스 재킷</t>
        </is>
      </c>
      <c r="F73" s="20" t="inlineStr">
        <is>
          <t>GBU(G/BLUE), BLK(BLACK)</t>
        </is>
      </c>
      <c r="G73" s="19">
        <f>IF($D73="","",IF(MID($D73,5,1)="S","S(봄)",IF(MID($D73,5,1)="M","M(여름)",IF(MID($D73,5,1)="X","X(사계절)",MID($D73,5,1)))))</f>
        <v/>
      </c>
      <c r="H73" s="20" t="inlineStr">
        <is>
          <t>완사입</t>
        </is>
      </c>
      <c r="I73" s="19" t="inlineStr">
        <is>
          <t>S1</t>
        </is>
      </c>
      <c r="J73" s="21" t="inlineStr">
        <is>
          <t>1월4주</t>
        </is>
      </c>
      <c r="K73" s="22">
        <f>IF($J73="","",IFERROR(DATE(IF(VALUE(LEFT($J73,FIND("월",$J73)-1))&gt;=9,기준정보!$C$7-1,기준정보!$C$7),VALUE(LEFT($J73,FIND("월",$J73)-1)),1+7*(VALUE(SUBSTITUTE(MID($J73,FIND("월",$J73)+1,5),"주",""))-1)),""))</f>
        <v/>
      </c>
      <c r="L73" s="22">
        <f>IF($K73="","",IF(AND($K73-기준정보!$C$5&gt;=기준정보!$C$10,$K73-기준정보!$C$5&lt;=기준정보!$C$11),기준정보!$C$10-1,$K73-기준정보!$C$5))</f>
        <v/>
      </c>
      <c r="M73" s="23">
        <f>IF($L73="","",IF(OR(ISNUMBER(SEARCH("중국",$W73)),ISNUMBER(SEARCH("베트남",$W73))),MAX(0,MIN($L73,기준정보!$C$9)-MAX($L73-기준정보!$C$6,기준정보!$C$8)+1),IF(ISNUMBER(SEARCH("한국",$W73)),MAX(0,MIN($L73,기준정보!$C$11)-MAX($L73-기준정보!$C$6,기준정보!$C$10)+1),0)))</f>
        <v/>
      </c>
      <c r="N73" s="22">
        <f>IF($L73="","",$L73-기준정보!$C$6-$M73)</f>
        <v/>
      </c>
      <c r="O73" s="24">
        <f>IF($N73="","",$N73-기준정보!$C$4)</f>
        <v/>
      </c>
      <c r="P73" s="21" t="n"/>
      <c r="Q73" s="21" t="inlineStr">
        <is>
          <t>O</t>
        </is>
      </c>
      <c r="R73" s="19">
        <f>IF(COUNTIF(EDW_RAW!$A$2:$A$1500,$D73)=0,"",IF(COUNTIFS(EDW_RAW!$A$2:$A$1500,$D73,EDW_RAW!$U$2:$U$1500,"&lt;&gt;~",EDW_RAW!$U$2:$U$1500,"&lt;&gt;")=COUNTIF(EDW_RAW!$A$2:$A$1500,$D73),"O",IF(COUNTIFS(EDW_RAW!$A$2:$A$1500,$D73,EDW_RAW!$U$2:$U$1500,"&lt;&gt;~",EDW_RAW!$U$2:$U$1500,"&lt;&gt;")&gt;0,"부분","X")))</f>
        <v/>
      </c>
      <c r="S73" s="25" t="n"/>
      <c r="T73" s="20">
        <f>IF($H73="","",IF(AND(ISNUMBER(SEARCH("CMT",$H73)),OR(ISNUMBER(SEARCH("완사입",$H73)),ISNUMBER(SEARCH("ODM",$H73)))),"본사/생산처 혼재",IF(ISNUMBER(SEARCH("CMT",$H73)),"본사(소재팀)","생산처")))</f>
        <v/>
      </c>
      <c r="U73" s="20" t="inlineStr">
        <is>
          <t>태화</t>
        </is>
      </c>
      <c r="V73" s="20">
        <f>IFERROR(TEXTJOIN(" / ",TRUE,UNIQUE(FILTER(소재DB_RAW!$K$3:$K$2000,(소재DB_RAW!$G$3:$G$2000=$D73)*ISERROR(SEARCH("drop",소재DB_RAW!$C$3:$C$2000))))),"")</f>
        <v/>
      </c>
      <c r="W73" s="20" t="inlineStr">
        <is>
          <t>베트남</t>
        </is>
      </c>
      <c r="X73" s="20">
        <f>IFERROR(TEXTJOIN(" / ",TRUE,UNIQUE(FILTER(소재DB_RAW!$N$3:$N$2000,(소재DB_RAW!$G$3:$G$2000=$D73)*ISERROR(SEARCH("drop",소재DB_RAW!$C$3:$C$2000))))),"")</f>
        <v/>
      </c>
      <c r="Y73" s="26">
        <f>IFERROR(TEXTJOIN(CHAR(10),TRUE,UNIQUE(FILTER(소재DB_RAW!$N$3:$N$2000&amp;") "&amp;소재DB_RAW!$O$3:$O$2000,(소재DB_RAW!$G$3:$G$2000=$D73)*ISNUMBER(SEARCH("겉감",소재DB_RAW!$M$3:$M$2000))*ISERROR(SEARCH("drop",소재DB_RAW!$C$3:$C$2000))))),"")</f>
        <v/>
      </c>
      <c r="Z73" s="26">
        <f>IFERROR(TEXTJOIN(CHAR(10),TRUE,UNIQUE(FILTER(소재DB_RAW!$N$3:$N$2000&amp;") "&amp;소재DB_RAW!$O$3:$O$2000,(소재DB_RAW!$G$3:$G$2000=$D73)*ISNUMBER(SEARCH("안감",소재DB_RAW!$M$3:$M$2000))*ISERROR(SEARCH("drop",소재DB_RAW!$C$3:$C$2000))))),"")</f>
        <v/>
      </c>
      <c r="AA73" s="27" t="n">
        <v>650</v>
      </c>
      <c r="AB73" s="27" t="n">
        <v>36090600</v>
      </c>
      <c r="AC73" s="27" t="n">
        <v>188500000</v>
      </c>
      <c r="AD73" s="20" t="n"/>
      <c r="AE73" s="20">
        <f>IF($K73="","출고일 미정",IF($Q73="X","작지 미발행",IF($Q73="부분","작지 일부 미발행",IF(AND($S73&lt;&gt;"",$S73&gt;$N73),"소재입고 마감("&amp;TEXT($N73,"MM/DD")&amp;") 초과",IF($Q73="","발행여부 확인 필요",IF($S73="","소재 입고일정 확인 필요","정상"))))))</f>
        <v/>
      </c>
      <c r="AF73" s="19">
        <f>IF($K73="","",IF(OR(LEFT($AE73,2)="작지",LEFT($AE73,4)="소재입고"),IF(LEFT($G73,1)="S","★ 납기위험(S코드)","◆ 지연주의"),IF($AE73="정상","✓ 정상","? 확인필요")))</f>
        <v/>
      </c>
      <c r="AG73" s="21" t="n"/>
      <c r="AH73" s="28" t="n"/>
    </row>
    <row r="74">
      <c r="A74" s="19" t="n">
        <v>70</v>
      </c>
      <c r="B74" s="20" t="inlineStr">
        <is>
          <t>이재헌</t>
        </is>
      </c>
      <c r="C74" s="20" t="inlineStr">
        <is>
          <t>엄창용</t>
        </is>
      </c>
      <c r="D74" s="20" t="inlineStr">
        <is>
          <t>JWTBS27117</t>
        </is>
      </c>
      <c r="E74" s="20" t="inlineStr">
        <is>
          <t>남성 퀵드라이 바라클라바 긴팔 후드 티셔츠</t>
        </is>
      </c>
      <c r="F74" s="20" t="inlineStr">
        <is>
          <t>GRY(GRAY), GBR(G/BROWN)</t>
        </is>
      </c>
      <c r="G74" s="19">
        <f>IF($D74="","",IF(MID($D74,5,1)="S","S(봄)",IF(MID($D74,5,1)="M","M(여름)",IF(MID($D74,5,1)="X","X(사계절)",MID($D74,5,1)))))</f>
        <v/>
      </c>
      <c r="H74" s="20" t="inlineStr">
        <is>
          <t>완사입</t>
        </is>
      </c>
      <c r="I74" s="19" t="inlineStr"/>
      <c r="J74" s="21" t="inlineStr">
        <is>
          <t>1월4주</t>
        </is>
      </c>
      <c r="K74" s="22">
        <f>IF($J74="","",IFERROR(DATE(IF(VALUE(LEFT($J74,FIND("월",$J74)-1))&gt;=9,기준정보!$C$7-1,기준정보!$C$7),VALUE(LEFT($J74,FIND("월",$J74)-1)),1+7*(VALUE(SUBSTITUTE(MID($J74,FIND("월",$J74)+1,5),"주",""))-1)),""))</f>
        <v/>
      </c>
      <c r="L74" s="22">
        <f>IF($K74="","",IF(AND($K74-기준정보!$C$5&gt;=기준정보!$C$10,$K74-기준정보!$C$5&lt;=기준정보!$C$11),기준정보!$C$10-1,$K74-기준정보!$C$5))</f>
        <v/>
      </c>
      <c r="M74" s="23">
        <f>IF($L74="","",IF(OR(ISNUMBER(SEARCH("중국",$W74)),ISNUMBER(SEARCH("베트남",$W74))),MAX(0,MIN($L74,기준정보!$C$9)-MAX($L74-기준정보!$C$6,기준정보!$C$8)+1),IF(ISNUMBER(SEARCH("한국",$W74)),MAX(0,MIN($L74,기준정보!$C$11)-MAX($L74-기준정보!$C$6,기준정보!$C$10)+1),0)))</f>
        <v/>
      </c>
      <c r="N74" s="22">
        <f>IF($L74="","",$L74-기준정보!$C$6-$M74)</f>
        <v/>
      </c>
      <c r="O74" s="24">
        <f>IF($N74="","",$N74-기준정보!$C$4)</f>
        <v/>
      </c>
      <c r="P74" s="21" t="n"/>
      <c r="Q74" s="21" t="inlineStr">
        <is>
          <t>O</t>
        </is>
      </c>
      <c r="R74" s="19">
        <f>IF(COUNTIF(EDW_RAW!$A$2:$A$1500,$D74)=0,"",IF(COUNTIFS(EDW_RAW!$A$2:$A$1500,$D74,EDW_RAW!$U$2:$U$1500,"&lt;&gt;~",EDW_RAW!$U$2:$U$1500,"&lt;&gt;")=COUNTIF(EDW_RAW!$A$2:$A$1500,$D74),"O",IF(COUNTIFS(EDW_RAW!$A$2:$A$1500,$D74,EDW_RAW!$U$2:$U$1500,"&lt;&gt;~",EDW_RAW!$U$2:$U$1500,"&lt;&gt;")&gt;0,"부분","X")))</f>
        <v/>
      </c>
      <c r="S74" s="25" t="n"/>
      <c r="T74" s="20">
        <f>IF($H74="","",IF(AND(ISNUMBER(SEARCH("CMT",$H74)),OR(ISNUMBER(SEARCH("완사입",$H74)),ISNUMBER(SEARCH("ODM",$H74)))),"본사/생산처 혼재",IF(ISNUMBER(SEARCH("CMT",$H74)),"본사(소재팀)","생산처")))</f>
        <v/>
      </c>
      <c r="U74" s="20" t="inlineStr">
        <is>
          <t>IKG</t>
        </is>
      </c>
      <c r="V74" s="20">
        <f>IFERROR(TEXTJOIN(" / ",TRUE,UNIQUE(FILTER(소재DB_RAW!$K$3:$K$2000,(소재DB_RAW!$G$3:$G$2000=$D74)*ISERROR(SEARCH("drop",소재DB_RAW!$C$3:$C$2000))))),"")</f>
        <v/>
      </c>
      <c r="W74" s="20" t="inlineStr">
        <is>
          <t>인도네시아</t>
        </is>
      </c>
      <c r="X74" s="20">
        <f>IFERROR(TEXTJOIN(" / ",TRUE,UNIQUE(FILTER(소재DB_RAW!$N$3:$N$2000,(소재DB_RAW!$G$3:$G$2000=$D74)*ISERROR(SEARCH("drop",소재DB_RAW!$C$3:$C$2000))))),"")</f>
        <v/>
      </c>
      <c r="Y74" s="26">
        <f>IFERROR(TEXTJOIN(CHAR(10),TRUE,UNIQUE(FILTER(소재DB_RAW!$N$3:$N$2000&amp;") "&amp;소재DB_RAW!$O$3:$O$2000,(소재DB_RAW!$G$3:$G$2000=$D74)*ISNUMBER(SEARCH("겉감",소재DB_RAW!$M$3:$M$2000))*ISERROR(SEARCH("drop",소재DB_RAW!$C$3:$C$2000))))),"")</f>
        <v/>
      </c>
      <c r="Z74" s="26">
        <f>IFERROR(TEXTJOIN(CHAR(10),TRUE,UNIQUE(FILTER(소재DB_RAW!$N$3:$N$2000&amp;") "&amp;소재DB_RAW!$O$3:$O$2000,(소재DB_RAW!$G$3:$G$2000=$D74)*ISNUMBER(SEARCH("안감",소재DB_RAW!$M$3:$M$2000))*ISERROR(SEARCH("drop",소재DB_RAW!$C$3:$C$2000))))),"")</f>
        <v/>
      </c>
      <c r="AA74" s="27" t="n">
        <v>1000</v>
      </c>
      <c r="AB74" s="27" t="n">
        <v>34655000</v>
      </c>
      <c r="AC74" s="27" t="n">
        <v>168000000</v>
      </c>
      <c r="AD74" s="20" t="n"/>
      <c r="AE74" s="20">
        <f>IF($K74="","출고일 미정",IF($Q74="X","작지 미발행",IF($Q74="부분","작지 일부 미발행",IF(AND($S74&lt;&gt;"",$S74&gt;$N74),"소재입고 마감("&amp;TEXT($N74,"MM/DD")&amp;") 초과",IF($Q74="","발행여부 확인 필요",IF($S74="","소재 입고일정 확인 필요","정상"))))))</f>
        <v/>
      </c>
      <c r="AF74" s="19">
        <f>IF($K74="","",IF(OR(LEFT($AE74,2)="작지",LEFT($AE74,4)="소재입고"),IF(LEFT($G74,1)="S","★ 납기위험(S코드)","◆ 지연주의"),IF($AE74="정상","✓ 정상","? 확인필요")))</f>
        <v/>
      </c>
      <c r="AG74" s="21" t="n"/>
      <c r="AH74" s="28" t="n"/>
    </row>
    <row r="75">
      <c r="A75" s="19" t="n">
        <v>71</v>
      </c>
      <c r="B75" s="20" t="inlineStr">
        <is>
          <t>이재헌</t>
        </is>
      </c>
      <c r="C75" s="20" t="inlineStr">
        <is>
          <t>엄창용</t>
        </is>
      </c>
      <c r="D75" s="20" t="inlineStr">
        <is>
          <t>JWTBS27119</t>
        </is>
      </c>
      <c r="E75" s="20" t="inlineStr">
        <is>
          <t>남성 자가드 긴팔 집업 티셔츠</t>
        </is>
      </c>
      <c r="F75" s="20" t="inlineStr">
        <is>
          <t>BLK(BLACK), KHA(KHAKI)</t>
        </is>
      </c>
      <c r="G75" s="19">
        <f>IF($D75="","",IF(MID($D75,5,1)="S","S(봄)",IF(MID($D75,5,1)="M","M(여름)",IF(MID($D75,5,1)="X","X(사계절)",MID($D75,5,1)))))</f>
        <v/>
      </c>
      <c r="H75" s="20" t="inlineStr">
        <is>
          <t>완사입</t>
        </is>
      </c>
      <c r="I75" s="19" t="inlineStr"/>
      <c r="J75" s="21" t="inlineStr">
        <is>
          <t>1월4주</t>
        </is>
      </c>
      <c r="K75" s="22">
        <f>IF($J75="","",IFERROR(DATE(IF(VALUE(LEFT($J75,FIND("월",$J75)-1))&gt;=9,기준정보!$C$7-1,기준정보!$C$7),VALUE(LEFT($J75,FIND("월",$J75)-1)),1+7*(VALUE(SUBSTITUTE(MID($J75,FIND("월",$J75)+1,5),"주",""))-1)),""))</f>
        <v/>
      </c>
      <c r="L75" s="22">
        <f>IF($K75="","",IF(AND($K75-기준정보!$C$5&gt;=기준정보!$C$10,$K75-기준정보!$C$5&lt;=기준정보!$C$11),기준정보!$C$10-1,$K75-기준정보!$C$5))</f>
        <v/>
      </c>
      <c r="M75" s="23">
        <f>IF($L75="","",IF(OR(ISNUMBER(SEARCH("중국",$W75)),ISNUMBER(SEARCH("베트남",$W75))),MAX(0,MIN($L75,기준정보!$C$9)-MAX($L75-기준정보!$C$6,기준정보!$C$8)+1),IF(ISNUMBER(SEARCH("한국",$W75)),MAX(0,MIN($L75,기준정보!$C$11)-MAX($L75-기준정보!$C$6,기준정보!$C$10)+1),0)))</f>
        <v/>
      </c>
      <c r="N75" s="22">
        <f>IF($L75="","",$L75-기준정보!$C$6-$M75)</f>
        <v/>
      </c>
      <c r="O75" s="24">
        <f>IF($N75="","",$N75-기준정보!$C$4)</f>
        <v/>
      </c>
      <c r="P75" s="21" t="n"/>
      <c r="Q75" s="21" t="inlineStr">
        <is>
          <t>O</t>
        </is>
      </c>
      <c r="R75" s="19">
        <f>IF(COUNTIF(EDW_RAW!$A$2:$A$1500,$D75)=0,"",IF(COUNTIFS(EDW_RAW!$A$2:$A$1500,$D75,EDW_RAW!$U$2:$U$1500,"&lt;&gt;~",EDW_RAW!$U$2:$U$1500,"&lt;&gt;")=COUNTIF(EDW_RAW!$A$2:$A$1500,$D75),"O",IF(COUNTIFS(EDW_RAW!$A$2:$A$1500,$D75,EDW_RAW!$U$2:$U$1500,"&lt;&gt;~",EDW_RAW!$U$2:$U$1500,"&lt;&gt;")&gt;0,"부분","X")))</f>
        <v/>
      </c>
      <c r="S75" s="25" t="n"/>
      <c r="T75" s="20">
        <f>IF($H75="","",IF(AND(ISNUMBER(SEARCH("CMT",$H75)),OR(ISNUMBER(SEARCH("완사입",$H75)),ISNUMBER(SEARCH("ODM",$H75)))),"본사/생산처 혼재",IF(ISNUMBER(SEARCH("CMT",$H75)),"본사(소재팀)","생산처")))</f>
        <v/>
      </c>
      <c r="U75" s="20" t="inlineStr">
        <is>
          <t>장안</t>
        </is>
      </c>
      <c r="V75" s="20">
        <f>IFERROR(TEXTJOIN(" / ",TRUE,UNIQUE(FILTER(소재DB_RAW!$K$3:$K$2000,(소재DB_RAW!$G$3:$G$2000=$D75)*ISERROR(SEARCH("drop",소재DB_RAW!$C$3:$C$2000))))),"")</f>
        <v/>
      </c>
      <c r="W75" s="20" t="inlineStr">
        <is>
          <t>베트남</t>
        </is>
      </c>
      <c r="X75" s="20">
        <f>IFERROR(TEXTJOIN(" / ",TRUE,UNIQUE(FILTER(소재DB_RAW!$N$3:$N$2000,(소재DB_RAW!$G$3:$G$2000=$D75)*ISERROR(SEARCH("drop",소재DB_RAW!$C$3:$C$2000))))),"")</f>
        <v/>
      </c>
      <c r="Y75" s="26">
        <f>IFERROR(TEXTJOIN(CHAR(10),TRUE,UNIQUE(FILTER(소재DB_RAW!$N$3:$N$2000&amp;") "&amp;소재DB_RAW!$O$3:$O$2000,(소재DB_RAW!$G$3:$G$2000=$D75)*ISNUMBER(SEARCH("겉감",소재DB_RAW!$M$3:$M$2000))*ISERROR(SEARCH("drop",소재DB_RAW!$C$3:$C$2000))))),"")</f>
        <v/>
      </c>
      <c r="Z75" s="26">
        <f>IFERROR(TEXTJOIN(CHAR(10),TRUE,UNIQUE(FILTER(소재DB_RAW!$N$3:$N$2000&amp;") "&amp;소재DB_RAW!$O$3:$O$2000,(소재DB_RAW!$G$3:$G$2000=$D75)*ISNUMBER(SEARCH("안감",소재DB_RAW!$M$3:$M$2000))*ISERROR(SEARCH("drop",소재DB_RAW!$C$3:$C$2000))))),"")</f>
        <v/>
      </c>
      <c r="AA75" s="27" t="n">
        <v>2000</v>
      </c>
      <c r="AB75" s="27" t="n">
        <v>66580000</v>
      </c>
      <c r="AC75" s="27" t="n">
        <v>316000000</v>
      </c>
      <c r="AD75" s="20" t="n"/>
      <c r="AE75" s="20">
        <f>IF($K75="","출고일 미정",IF($Q75="X","작지 미발행",IF($Q75="부분","작지 일부 미발행",IF(AND($S75&lt;&gt;"",$S75&gt;$N75),"소재입고 마감("&amp;TEXT($N75,"MM/DD")&amp;") 초과",IF($Q75="","발행여부 확인 필요",IF($S75="","소재 입고일정 확인 필요","정상"))))))</f>
        <v/>
      </c>
      <c r="AF75" s="19">
        <f>IF($K75="","",IF(OR(LEFT($AE75,2)="작지",LEFT($AE75,4)="소재입고"),IF(LEFT($G75,1)="S","★ 납기위험(S코드)","◆ 지연주의"),IF($AE75="정상","✓ 정상","? 확인필요")))</f>
        <v/>
      </c>
      <c r="AG75" s="21" t="n"/>
      <c r="AH75" s="28" t="n"/>
    </row>
    <row r="76">
      <c r="A76" s="19" t="n">
        <v>72</v>
      </c>
      <c r="B76" s="20" t="inlineStr">
        <is>
          <t>최진민</t>
        </is>
      </c>
      <c r="C76" s="20" t="inlineStr">
        <is>
          <t>김지원</t>
        </is>
      </c>
      <c r="D76" s="20" t="inlineStr">
        <is>
          <t>JWTCS27055</t>
        </is>
      </c>
      <c r="E76" s="20" t="inlineStr">
        <is>
          <t>히어로 남성 메리노울 반팔 라운드티</t>
        </is>
      </c>
      <c r="F76" s="20" t="inlineStr">
        <is>
          <t>GBU(G/BLUE), BLK(BLACK)</t>
        </is>
      </c>
      <c r="G76" s="19">
        <f>IF($D76="","",IF(MID($D76,5,1)="S","S(봄)",IF(MID($D76,5,1)="M","M(여름)",IF(MID($D76,5,1)="X","X(사계절)",MID($D76,5,1)))))</f>
        <v/>
      </c>
      <c r="H76" s="20" t="inlineStr">
        <is>
          <t>완사입</t>
        </is>
      </c>
      <c r="I76" s="19" t="inlineStr">
        <is>
          <t>S1</t>
        </is>
      </c>
      <c r="J76" s="21" t="inlineStr">
        <is>
          <t>1월4주</t>
        </is>
      </c>
      <c r="K76" s="22">
        <f>IF($J76="","",IFERROR(DATE(IF(VALUE(LEFT($J76,FIND("월",$J76)-1))&gt;=9,기준정보!$C$7-1,기준정보!$C$7),VALUE(LEFT($J76,FIND("월",$J76)-1)),1+7*(VALUE(SUBSTITUTE(MID($J76,FIND("월",$J76)+1,5),"주",""))-1)),""))</f>
        <v/>
      </c>
      <c r="L76" s="22">
        <f>IF($K76="","",IF(AND($K76-기준정보!$C$5&gt;=기준정보!$C$10,$K76-기준정보!$C$5&lt;=기준정보!$C$11),기준정보!$C$10-1,$K76-기준정보!$C$5))</f>
        <v/>
      </c>
      <c r="M76" s="23">
        <f>IF($L76="","",IF(OR(ISNUMBER(SEARCH("중국",$W76)),ISNUMBER(SEARCH("베트남",$W76))),MAX(0,MIN($L76,기준정보!$C$9)-MAX($L76-기준정보!$C$6,기준정보!$C$8)+1),IF(ISNUMBER(SEARCH("한국",$W76)),MAX(0,MIN($L76,기준정보!$C$11)-MAX($L76-기준정보!$C$6,기준정보!$C$10)+1),0)))</f>
        <v/>
      </c>
      <c r="N76" s="22">
        <f>IF($L76="","",$L76-기준정보!$C$6-$M76)</f>
        <v/>
      </c>
      <c r="O76" s="24">
        <f>IF($N76="","",$N76-기준정보!$C$4)</f>
        <v/>
      </c>
      <c r="P76" s="21" t="n"/>
      <c r="Q76" s="21" t="inlineStr">
        <is>
          <t>O</t>
        </is>
      </c>
      <c r="R76" s="19">
        <f>IF(COUNTIF(EDW_RAW!$A$2:$A$1500,$D76)=0,"",IF(COUNTIFS(EDW_RAW!$A$2:$A$1500,$D76,EDW_RAW!$U$2:$U$1500,"&lt;&gt;~",EDW_RAW!$U$2:$U$1500,"&lt;&gt;")=COUNTIF(EDW_RAW!$A$2:$A$1500,$D76),"O",IF(COUNTIFS(EDW_RAW!$A$2:$A$1500,$D76,EDW_RAW!$U$2:$U$1500,"&lt;&gt;~",EDW_RAW!$U$2:$U$1500,"&lt;&gt;")&gt;0,"부분","X")))</f>
        <v/>
      </c>
      <c r="S76" s="25" t="n"/>
      <c r="T76" s="20">
        <f>IF($H76="","",IF(AND(ISNUMBER(SEARCH("CMT",$H76)),OR(ISNUMBER(SEARCH("완사입",$H76)),ISNUMBER(SEARCH("ODM",$H76)))),"본사/생산처 혼재",IF(ISNUMBER(SEARCH("CMT",$H76)),"본사(소재팀)","생산처")))</f>
        <v/>
      </c>
      <c r="U76" s="20" t="inlineStr">
        <is>
          <t>장안</t>
        </is>
      </c>
      <c r="V76" s="20">
        <f>IFERROR(TEXTJOIN(" / ",TRUE,UNIQUE(FILTER(소재DB_RAW!$K$3:$K$2000,(소재DB_RAW!$G$3:$G$2000=$D76)*ISERROR(SEARCH("drop",소재DB_RAW!$C$3:$C$2000))))),"")</f>
        <v/>
      </c>
      <c r="W76" s="20" t="inlineStr">
        <is>
          <t>베트남</t>
        </is>
      </c>
      <c r="X76" s="20">
        <f>IFERROR(TEXTJOIN(" / ",TRUE,UNIQUE(FILTER(소재DB_RAW!$N$3:$N$2000,(소재DB_RAW!$G$3:$G$2000=$D76)*ISERROR(SEARCH("drop",소재DB_RAW!$C$3:$C$2000))))),"")</f>
        <v/>
      </c>
      <c r="Y76" s="26">
        <f>IFERROR(TEXTJOIN(CHAR(10),TRUE,UNIQUE(FILTER(소재DB_RAW!$N$3:$N$2000&amp;") "&amp;소재DB_RAW!$O$3:$O$2000,(소재DB_RAW!$G$3:$G$2000=$D76)*ISNUMBER(SEARCH("겉감",소재DB_RAW!$M$3:$M$2000))*ISERROR(SEARCH("drop",소재DB_RAW!$C$3:$C$2000))))),"")</f>
        <v/>
      </c>
      <c r="Z76" s="26">
        <f>IFERROR(TEXTJOIN(CHAR(10),TRUE,UNIQUE(FILTER(소재DB_RAW!$N$3:$N$2000&amp;") "&amp;소재DB_RAW!$O$3:$O$2000,(소재DB_RAW!$G$3:$G$2000=$D76)*ISNUMBER(SEARCH("안감",소재DB_RAW!$M$3:$M$2000))*ISERROR(SEARCH("drop",소재DB_RAW!$C$3:$C$2000))))),"")</f>
        <v/>
      </c>
      <c r="AA76" s="27" t="n">
        <v>500</v>
      </c>
      <c r="AB76" s="27" t="n">
        <v>19151000</v>
      </c>
      <c r="AC76" s="27" t="n">
        <v>74000000</v>
      </c>
      <c r="AD76" s="20" t="n"/>
      <c r="AE76" s="20">
        <f>IF($K76="","출고일 미정",IF($Q76="X","작지 미발행",IF($Q76="부분","작지 일부 미발행",IF(AND($S76&lt;&gt;"",$S76&gt;$N76),"소재입고 마감("&amp;TEXT($N76,"MM/DD")&amp;") 초과",IF($Q76="","발행여부 확인 필요",IF($S76="","소재 입고일정 확인 필요","정상"))))))</f>
        <v/>
      </c>
      <c r="AF76" s="19">
        <f>IF($K76="","",IF(OR(LEFT($AE76,2)="작지",LEFT($AE76,4)="소재입고"),IF(LEFT($G76,1)="S","★ 납기위험(S코드)","◆ 지연주의"),IF($AE76="정상","✓ 정상","? 확인필요")))</f>
        <v/>
      </c>
      <c r="AG76" s="21" t="n"/>
      <c r="AH76" s="28" t="n"/>
    </row>
    <row r="77">
      <c r="A77" s="19" t="n">
        <v>73</v>
      </c>
      <c r="B77" s="20" t="inlineStr">
        <is>
          <t>최진민</t>
        </is>
      </c>
      <c r="C77" s="20" t="inlineStr">
        <is>
          <t>강기환</t>
        </is>
      </c>
      <c r="D77" s="20" t="inlineStr">
        <is>
          <t>JWVAS27017</t>
        </is>
      </c>
      <c r="E77" s="20" t="inlineStr">
        <is>
          <t>히어로 남성 프리마로프트 LIGHT 인슐레이션 베스트</t>
        </is>
      </c>
      <c r="F77" s="20" t="inlineStr">
        <is>
          <t>DGY-1, BLK(BLACK)</t>
        </is>
      </c>
      <c r="G77" s="19">
        <f>IF($D77="","",IF(MID($D77,5,1)="S","S(봄)",IF(MID($D77,5,1)="M","M(여름)",IF(MID($D77,5,1)="X","X(사계절)",MID($D77,5,1)))))</f>
        <v/>
      </c>
      <c r="H77" s="20" t="inlineStr">
        <is>
          <t>완사입</t>
        </is>
      </c>
      <c r="I77" s="19" t="inlineStr">
        <is>
          <t>S1</t>
        </is>
      </c>
      <c r="J77" s="21" t="inlineStr">
        <is>
          <t>1월4주</t>
        </is>
      </c>
      <c r="K77" s="22">
        <f>IF($J77="","",IFERROR(DATE(IF(VALUE(LEFT($J77,FIND("월",$J77)-1))&gt;=9,기준정보!$C$7-1,기준정보!$C$7),VALUE(LEFT($J77,FIND("월",$J77)-1)),1+7*(VALUE(SUBSTITUTE(MID($J77,FIND("월",$J77)+1,5),"주",""))-1)),""))</f>
        <v/>
      </c>
      <c r="L77" s="22">
        <f>IF($K77="","",IF(AND($K77-기준정보!$C$5&gt;=기준정보!$C$10,$K77-기준정보!$C$5&lt;=기준정보!$C$11),기준정보!$C$10-1,$K77-기준정보!$C$5))</f>
        <v/>
      </c>
      <c r="M77" s="23">
        <f>IF($L77="","",IF(OR(ISNUMBER(SEARCH("중국",$W77)),ISNUMBER(SEARCH("베트남",$W77))),MAX(0,MIN($L77,기준정보!$C$9)-MAX($L77-기준정보!$C$6,기준정보!$C$8)+1),IF(ISNUMBER(SEARCH("한국",$W77)),MAX(0,MIN($L77,기준정보!$C$11)-MAX($L77-기준정보!$C$6,기준정보!$C$10)+1),0)))</f>
        <v/>
      </c>
      <c r="N77" s="22">
        <f>IF($L77="","",$L77-기준정보!$C$6-$M77)</f>
        <v/>
      </c>
      <c r="O77" s="24">
        <f>IF($N77="","",$N77-기준정보!$C$4)</f>
        <v/>
      </c>
      <c r="P77" s="21" t="n"/>
      <c r="Q77" s="21" t="inlineStr">
        <is>
          <t>O</t>
        </is>
      </c>
      <c r="R77" s="19">
        <f>IF(COUNTIF(EDW_RAW!$A$2:$A$1500,$D77)=0,"",IF(COUNTIFS(EDW_RAW!$A$2:$A$1500,$D77,EDW_RAW!$U$2:$U$1500,"&lt;&gt;~",EDW_RAW!$U$2:$U$1500,"&lt;&gt;")=COUNTIF(EDW_RAW!$A$2:$A$1500,$D77),"O",IF(COUNTIFS(EDW_RAW!$A$2:$A$1500,$D77,EDW_RAW!$U$2:$U$1500,"&lt;&gt;~",EDW_RAW!$U$2:$U$1500,"&lt;&gt;")&gt;0,"부분","X")))</f>
        <v/>
      </c>
      <c r="S77" s="25" t="n"/>
      <c r="T77" s="20">
        <f>IF($H77="","",IF(AND(ISNUMBER(SEARCH("CMT",$H77)),OR(ISNUMBER(SEARCH("완사입",$H77)),ISNUMBER(SEARCH("ODM",$H77)))),"본사/생산처 혼재",IF(ISNUMBER(SEARCH("CMT",$H77)),"본사(소재팀)","생산처")))</f>
        <v/>
      </c>
      <c r="U77" s="20" t="inlineStr">
        <is>
          <t>원전</t>
        </is>
      </c>
      <c r="V77" s="20">
        <f>IFERROR(TEXTJOIN(" / ",TRUE,UNIQUE(FILTER(소재DB_RAW!$K$3:$K$2000,(소재DB_RAW!$G$3:$G$2000=$D77)*ISERROR(SEARCH("drop",소재DB_RAW!$C$3:$C$2000))))),"")</f>
        <v/>
      </c>
      <c r="W77" s="20" t="inlineStr">
        <is>
          <t>인도네시아</t>
        </is>
      </c>
      <c r="X77" s="20">
        <f>IFERROR(TEXTJOIN(" / ",TRUE,UNIQUE(FILTER(소재DB_RAW!$N$3:$N$2000,(소재DB_RAW!$G$3:$G$2000=$D77)*ISERROR(SEARCH("drop",소재DB_RAW!$C$3:$C$2000))))),"")</f>
        <v/>
      </c>
      <c r="Y77" s="26">
        <f>IFERROR(TEXTJOIN(CHAR(10),TRUE,UNIQUE(FILTER(소재DB_RAW!$N$3:$N$2000&amp;") "&amp;소재DB_RAW!$O$3:$O$2000,(소재DB_RAW!$G$3:$G$2000=$D77)*ISNUMBER(SEARCH("겉감",소재DB_RAW!$M$3:$M$2000))*ISERROR(SEARCH("drop",소재DB_RAW!$C$3:$C$2000))))),"")</f>
        <v/>
      </c>
      <c r="Z77" s="26">
        <f>IFERROR(TEXTJOIN(CHAR(10),TRUE,UNIQUE(FILTER(소재DB_RAW!$N$3:$N$2000&amp;") "&amp;소재DB_RAW!$O$3:$O$2000,(소재DB_RAW!$G$3:$G$2000=$D77)*ISNUMBER(SEARCH("안감",소재DB_RAW!$M$3:$M$2000))*ISERROR(SEARCH("drop",소재DB_RAW!$C$3:$C$2000))))),"")</f>
        <v/>
      </c>
      <c r="AA77" s="27" t="n">
        <v>870</v>
      </c>
      <c r="AB77" s="27" t="n">
        <v>53128290</v>
      </c>
      <c r="AC77" s="27" t="n">
        <v>217500000</v>
      </c>
      <c r="AD77" s="20" t="n"/>
      <c r="AE77" s="20">
        <f>IF($K77="","출고일 미정",IF($Q77="X","작지 미발행",IF($Q77="부분","작지 일부 미발행",IF(AND($S77&lt;&gt;"",$S77&gt;$N77),"소재입고 마감("&amp;TEXT($N77,"MM/DD")&amp;") 초과",IF($Q77="","발행여부 확인 필요",IF($S77="","소재 입고일정 확인 필요","정상"))))))</f>
        <v/>
      </c>
      <c r="AF77" s="19">
        <f>IF($K77="","",IF(OR(LEFT($AE77,2)="작지",LEFT($AE77,4)="소재입고"),IF(LEFT($G77,1)="S","★ 납기위험(S코드)","◆ 지연주의"),IF($AE77="정상","✓ 정상","? 확인필요")))</f>
        <v/>
      </c>
      <c r="AG77" s="21" t="n"/>
      <c r="AH77" s="28" t="n"/>
    </row>
    <row r="78">
      <c r="A78" s="19" t="n">
        <v>74</v>
      </c>
      <c r="B78" s="20" t="inlineStr">
        <is>
          <t>이재헌</t>
        </is>
      </c>
      <c r="C78" s="20" t="inlineStr">
        <is>
          <t>정은진</t>
        </is>
      </c>
      <c r="D78" s="20" t="inlineStr">
        <is>
          <t>JKJGS27102</t>
        </is>
      </c>
      <c r="E78" s="20" t="inlineStr">
        <is>
          <t>여성 윈드체이서 고어텍스 후드 방수 재킷</t>
        </is>
      </c>
      <c r="F78" s="20" t="inlineStr">
        <is>
          <t>CRE(CREAM), GRE(GREEN), PUR</t>
        </is>
      </c>
      <c r="G78" s="19">
        <f>IF($D78="","",IF(MID($D78,5,1)="S","S(봄)",IF(MID($D78,5,1)="M","M(여름)",IF(MID($D78,5,1)="X","X(사계절)",MID($D78,5,1)))))</f>
        <v/>
      </c>
      <c r="H78" s="20" t="inlineStr">
        <is>
          <t>CMT</t>
        </is>
      </c>
      <c r="I78" s="19" t="inlineStr">
        <is>
          <t>SP1</t>
        </is>
      </c>
      <c r="J78" s="21" t="inlineStr">
        <is>
          <t>2월1주</t>
        </is>
      </c>
      <c r="K78" s="22">
        <f>IF($J78="","",IFERROR(DATE(IF(VALUE(LEFT($J78,FIND("월",$J78)-1))&gt;=9,기준정보!$C$7-1,기준정보!$C$7),VALUE(LEFT($J78,FIND("월",$J78)-1)),1+7*(VALUE(SUBSTITUTE(MID($J78,FIND("월",$J78)+1,5),"주",""))-1)),""))</f>
        <v/>
      </c>
      <c r="L78" s="22">
        <f>IF($K78="","",IF(AND($K78-기준정보!$C$5&gt;=기준정보!$C$10,$K78-기준정보!$C$5&lt;=기준정보!$C$11),기준정보!$C$10-1,$K78-기준정보!$C$5))</f>
        <v/>
      </c>
      <c r="M78" s="23">
        <f>IF($L78="","",IF(OR(ISNUMBER(SEARCH("중국",$W78)),ISNUMBER(SEARCH("베트남",$W78))),MAX(0,MIN($L78,기준정보!$C$9)-MAX($L78-기준정보!$C$6,기준정보!$C$8)+1),IF(ISNUMBER(SEARCH("한국",$W78)),MAX(0,MIN($L78,기준정보!$C$11)-MAX($L78-기준정보!$C$6,기준정보!$C$10)+1),0)))</f>
        <v/>
      </c>
      <c r="N78" s="22">
        <f>IF($L78="","",$L78-기준정보!$C$6-$M78)</f>
        <v/>
      </c>
      <c r="O78" s="24">
        <f>IF($N78="","",$N78-기준정보!$C$4)</f>
        <v/>
      </c>
      <c r="P78" s="21" t="n"/>
      <c r="Q78" s="21" t="inlineStr">
        <is>
          <t>O</t>
        </is>
      </c>
      <c r="R78" s="19">
        <f>IF(COUNTIF(EDW_RAW!$A$2:$A$1500,$D78)=0,"",IF(COUNTIFS(EDW_RAW!$A$2:$A$1500,$D78,EDW_RAW!$U$2:$U$1500,"&lt;&gt;~",EDW_RAW!$U$2:$U$1500,"&lt;&gt;")=COUNTIF(EDW_RAW!$A$2:$A$1500,$D78),"O",IF(COUNTIFS(EDW_RAW!$A$2:$A$1500,$D78,EDW_RAW!$U$2:$U$1500,"&lt;&gt;~",EDW_RAW!$U$2:$U$1500,"&lt;&gt;")&gt;0,"부분","X")))</f>
        <v/>
      </c>
      <c r="S78" s="25" t="n"/>
      <c r="T78" s="20">
        <f>IF($H78="","",IF(AND(ISNUMBER(SEARCH("CMT",$H78)),OR(ISNUMBER(SEARCH("완사입",$H78)),ISNUMBER(SEARCH("ODM",$H78)))),"본사/생산처 혼재",IF(ISNUMBER(SEARCH("CMT",$H78)),"본사(소재팀)","생산처")))</f>
        <v/>
      </c>
      <c r="U78" s="20" t="inlineStr">
        <is>
          <t>포마트</t>
        </is>
      </c>
      <c r="V78" s="20">
        <f>IFERROR(TEXTJOIN(" / ",TRUE,UNIQUE(FILTER(소재DB_RAW!$K$3:$K$2000,(소재DB_RAW!$G$3:$G$2000=$D78)*ISERROR(SEARCH("drop",소재DB_RAW!$C$3:$C$2000))))),"")</f>
        <v/>
      </c>
      <c r="W78" s="20" t="inlineStr">
        <is>
          <t>베트남</t>
        </is>
      </c>
      <c r="X78" s="20">
        <f>IFERROR(TEXTJOIN(" / ",TRUE,UNIQUE(FILTER(소재DB_RAW!$N$3:$N$2000,(소재DB_RAW!$G$3:$G$2000=$D78)*ISERROR(SEARCH("drop",소재DB_RAW!$C$3:$C$2000))))),"")</f>
        <v/>
      </c>
      <c r="Y78" s="26">
        <f>IFERROR(TEXTJOIN(CHAR(10),TRUE,UNIQUE(FILTER(소재DB_RAW!$N$3:$N$2000&amp;") "&amp;소재DB_RAW!$O$3:$O$2000,(소재DB_RAW!$G$3:$G$2000=$D78)*ISNUMBER(SEARCH("겉감",소재DB_RAW!$M$3:$M$2000))*ISERROR(SEARCH("drop",소재DB_RAW!$C$3:$C$2000))))),"")</f>
        <v/>
      </c>
      <c r="Z78" s="26">
        <f>IFERROR(TEXTJOIN(CHAR(10),TRUE,UNIQUE(FILTER(소재DB_RAW!$N$3:$N$2000&amp;") "&amp;소재DB_RAW!$O$3:$O$2000,(소재DB_RAW!$G$3:$G$2000=$D78)*ISNUMBER(SEARCH("안감",소재DB_RAW!$M$3:$M$2000))*ISERROR(SEARCH("drop",소재DB_RAW!$C$3:$C$2000))))),"")</f>
        <v/>
      </c>
      <c r="AA78" s="27" t="n">
        <v>2500</v>
      </c>
      <c r="AB78" s="27" t="n">
        <v>248750000</v>
      </c>
      <c r="AC78" s="27" t="n">
        <v>1125000000</v>
      </c>
      <c r="AD78" s="20" t="n"/>
      <c r="AE78" s="20">
        <f>IF($K78="","출고일 미정",IF($Q78="X","작지 미발행",IF($Q78="부분","작지 일부 미발행",IF(AND($S78&lt;&gt;"",$S78&gt;$N78),"소재입고 마감("&amp;TEXT($N78,"MM/DD")&amp;") 초과",IF($Q78="","발행여부 확인 필요",IF($S78="","소재 입고일정 확인 필요","정상"))))))</f>
        <v/>
      </c>
      <c r="AF78" s="19">
        <f>IF($K78="","",IF(OR(LEFT($AE78,2)="작지",LEFT($AE78,4)="소재입고"),IF(LEFT($G78,1)="S","★ 납기위험(S코드)","◆ 지연주의"),IF($AE78="정상","✓ 정상","? 확인필요")))</f>
        <v/>
      </c>
      <c r="AG78" s="21" t="n"/>
      <c r="AH78" s="28" t="n"/>
    </row>
    <row r="79">
      <c r="A79" s="19" t="n">
        <v>75</v>
      </c>
      <c r="B79" s="20" t="inlineStr">
        <is>
          <t>이재헌</t>
        </is>
      </c>
      <c r="C79" s="20" t="inlineStr">
        <is>
          <t>정은진</t>
        </is>
      </c>
      <c r="D79" s="20" t="inlineStr">
        <is>
          <t>JKJGS27104</t>
        </is>
      </c>
      <c r="E79" s="20" t="inlineStr">
        <is>
          <t>여성 고어텍스 후드 디테쳐블 방수 재킷</t>
        </is>
      </c>
      <c r="F79" s="20" t="inlineStr">
        <is>
          <t>WBE, DLI, BLK(BLACK)</t>
        </is>
      </c>
      <c r="G79" s="19">
        <f>IF($D79="","",IF(MID($D79,5,1)="S","S(봄)",IF(MID($D79,5,1)="M","M(여름)",IF(MID($D79,5,1)="X","X(사계절)",MID($D79,5,1)))))</f>
        <v/>
      </c>
      <c r="H79" s="20" t="inlineStr">
        <is>
          <t>CMT</t>
        </is>
      </c>
      <c r="I79" s="19" t="inlineStr">
        <is>
          <t>SP1</t>
        </is>
      </c>
      <c r="J79" s="21" t="inlineStr">
        <is>
          <t>2월1주</t>
        </is>
      </c>
      <c r="K79" s="22">
        <f>IF($J79="","",IFERROR(DATE(IF(VALUE(LEFT($J79,FIND("월",$J79)-1))&gt;=9,기준정보!$C$7-1,기준정보!$C$7),VALUE(LEFT($J79,FIND("월",$J79)-1)),1+7*(VALUE(SUBSTITUTE(MID($J79,FIND("월",$J79)+1,5),"주",""))-1)),""))</f>
        <v/>
      </c>
      <c r="L79" s="22">
        <f>IF($K79="","",IF(AND($K79-기준정보!$C$5&gt;=기준정보!$C$10,$K79-기준정보!$C$5&lt;=기준정보!$C$11),기준정보!$C$10-1,$K79-기준정보!$C$5))</f>
        <v/>
      </c>
      <c r="M79" s="23">
        <f>IF($L79="","",IF(OR(ISNUMBER(SEARCH("중국",$W79)),ISNUMBER(SEARCH("베트남",$W79))),MAX(0,MIN($L79,기준정보!$C$9)-MAX($L79-기준정보!$C$6,기준정보!$C$8)+1),IF(ISNUMBER(SEARCH("한국",$W79)),MAX(0,MIN($L79,기준정보!$C$11)-MAX($L79-기준정보!$C$6,기준정보!$C$10)+1),0)))</f>
        <v/>
      </c>
      <c r="N79" s="22">
        <f>IF($L79="","",$L79-기준정보!$C$6-$M79)</f>
        <v/>
      </c>
      <c r="O79" s="24">
        <f>IF($N79="","",$N79-기준정보!$C$4)</f>
        <v/>
      </c>
      <c r="P79" s="21" t="n"/>
      <c r="Q79" s="21" t="inlineStr">
        <is>
          <t>O</t>
        </is>
      </c>
      <c r="R79" s="19">
        <f>IF(COUNTIF(EDW_RAW!$A$2:$A$1500,$D79)=0,"",IF(COUNTIFS(EDW_RAW!$A$2:$A$1500,$D79,EDW_RAW!$U$2:$U$1500,"&lt;&gt;~",EDW_RAW!$U$2:$U$1500,"&lt;&gt;")=COUNTIF(EDW_RAW!$A$2:$A$1500,$D79),"O",IF(COUNTIFS(EDW_RAW!$A$2:$A$1500,$D79,EDW_RAW!$U$2:$U$1500,"&lt;&gt;~",EDW_RAW!$U$2:$U$1500,"&lt;&gt;")&gt;0,"부분","X")))</f>
        <v/>
      </c>
      <c r="S79" s="25" t="n"/>
      <c r="T79" s="20">
        <f>IF($H79="","",IF(AND(ISNUMBER(SEARCH("CMT",$H79)),OR(ISNUMBER(SEARCH("완사입",$H79)),ISNUMBER(SEARCH("ODM",$H79)))),"본사/생산처 혼재",IF(ISNUMBER(SEARCH("CMT",$H79)),"본사(소재팀)","생산처")))</f>
        <v/>
      </c>
      <c r="U79" s="20" t="inlineStr">
        <is>
          <t>기도</t>
        </is>
      </c>
      <c r="V79" s="20">
        <f>IFERROR(TEXTJOIN(" / ",TRUE,UNIQUE(FILTER(소재DB_RAW!$K$3:$K$2000,(소재DB_RAW!$G$3:$G$2000=$D79)*ISERROR(SEARCH("drop",소재DB_RAW!$C$3:$C$2000))))),"")</f>
        <v/>
      </c>
      <c r="W79" s="20" t="inlineStr">
        <is>
          <t>미얀마</t>
        </is>
      </c>
      <c r="X79" s="20">
        <f>IFERROR(TEXTJOIN(" / ",TRUE,UNIQUE(FILTER(소재DB_RAW!$N$3:$N$2000,(소재DB_RAW!$G$3:$G$2000=$D79)*ISERROR(SEARCH("drop",소재DB_RAW!$C$3:$C$2000))))),"")</f>
        <v/>
      </c>
      <c r="Y79" s="26">
        <f>IFERROR(TEXTJOIN(CHAR(10),TRUE,UNIQUE(FILTER(소재DB_RAW!$N$3:$N$2000&amp;") "&amp;소재DB_RAW!$O$3:$O$2000,(소재DB_RAW!$G$3:$G$2000=$D79)*ISNUMBER(SEARCH("겉감",소재DB_RAW!$M$3:$M$2000))*ISERROR(SEARCH("drop",소재DB_RAW!$C$3:$C$2000))))),"")</f>
        <v/>
      </c>
      <c r="Z79" s="26">
        <f>IFERROR(TEXTJOIN(CHAR(10),TRUE,UNIQUE(FILTER(소재DB_RAW!$N$3:$N$2000&amp;") "&amp;소재DB_RAW!$O$3:$O$2000,(소재DB_RAW!$G$3:$G$2000=$D79)*ISNUMBER(SEARCH("안감",소재DB_RAW!$M$3:$M$2000))*ISERROR(SEARCH("drop",소재DB_RAW!$C$3:$C$2000))))),"")</f>
        <v/>
      </c>
      <c r="AA79" s="27" t="n">
        <v>7000</v>
      </c>
      <c r="AB79" s="27" t="n">
        <v>624813000</v>
      </c>
      <c r="AC79" s="27" t="n">
        <v>2730000000</v>
      </c>
      <c r="AD79" s="20" t="n"/>
      <c r="AE79" s="20">
        <f>IF($K79="","출고일 미정",IF($Q79="X","작지 미발행",IF($Q79="부분","작지 일부 미발행",IF(AND($S79&lt;&gt;"",$S79&gt;$N79),"소재입고 마감("&amp;TEXT($N79,"MM/DD")&amp;") 초과",IF($Q79="","발행여부 확인 필요",IF($S79="","소재 입고일정 확인 필요","정상"))))))</f>
        <v/>
      </c>
      <c r="AF79" s="19">
        <f>IF($K79="","",IF(OR(LEFT($AE79,2)="작지",LEFT($AE79,4)="소재입고"),IF(LEFT($G79,1)="S","★ 납기위험(S코드)","◆ 지연주의"),IF($AE79="정상","✓ 정상","? 확인필요")))</f>
        <v/>
      </c>
      <c r="AG79" s="21" t="n"/>
      <c r="AH79" s="28" t="n"/>
    </row>
    <row r="80">
      <c r="A80" s="19" t="n">
        <v>76</v>
      </c>
      <c r="B80" s="20" t="inlineStr">
        <is>
          <t>박지인</t>
        </is>
      </c>
      <c r="C80" s="20" t="inlineStr">
        <is>
          <t>정은진</t>
        </is>
      </c>
      <c r="D80" s="20" t="inlineStr">
        <is>
          <t>JKJJS27136</t>
        </is>
      </c>
      <c r="E80" s="20" t="inlineStr">
        <is>
          <t>춘절 여성 Wigo 방풍 재킷 (SET UP)</t>
        </is>
      </c>
      <c r="F80" s="20" t="inlineStr">
        <is>
          <t>BLK(BLACK)</t>
        </is>
      </c>
      <c r="G80" s="19">
        <f>IF($D80="","",IF(MID($D80,5,1)="S","S(봄)",IF(MID($D80,5,1)="M","M(여름)",IF(MID($D80,5,1)="X","X(사계절)",MID($D80,5,1)))))</f>
        <v/>
      </c>
      <c r="H80" s="20" t="inlineStr">
        <is>
          <t>완사입</t>
        </is>
      </c>
      <c r="I80" s="19" t="inlineStr"/>
      <c r="J80" s="21" t="inlineStr">
        <is>
          <t>2월1주</t>
        </is>
      </c>
      <c r="K80" s="22">
        <f>IF($J80="","",IFERROR(DATE(IF(VALUE(LEFT($J80,FIND("월",$J80)-1))&gt;=9,기준정보!$C$7-1,기준정보!$C$7),VALUE(LEFT($J80,FIND("월",$J80)-1)),1+7*(VALUE(SUBSTITUTE(MID($J80,FIND("월",$J80)+1,5),"주",""))-1)),""))</f>
        <v/>
      </c>
      <c r="L80" s="22">
        <f>IF($K80="","",IF(AND($K80-기준정보!$C$5&gt;=기준정보!$C$10,$K80-기준정보!$C$5&lt;=기준정보!$C$11),기준정보!$C$10-1,$K80-기준정보!$C$5))</f>
        <v/>
      </c>
      <c r="M80" s="23">
        <f>IF($L80="","",IF(OR(ISNUMBER(SEARCH("중국",$W80)),ISNUMBER(SEARCH("베트남",$W80))),MAX(0,MIN($L80,기준정보!$C$9)-MAX($L80-기준정보!$C$6,기준정보!$C$8)+1),IF(ISNUMBER(SEARCH("한국",$W80)),MAX(0,MIN($L80,기준정보!$C$11)-MAX($L80-기준정보!$C$6,기준정보!$C$10)+1),0)))</f>
        <v/>
      </c>
      <c r="N80" s="22">
        <f>IF($L80="","",$L80-기준정보!$C$6-$M80)</f>
        <v/>
      </c>
      <c r="O80" s="24">
        <f>IF($N80="","",$N80-기준정보!$C$4)</f>
        <v/>
      </c>
      <c r="P80" s="21" t="n"/>
      <c r="Q80" s="21" t="inlineStr">
        <is>
          <t>O</t>
        </is>
      </c>
      <c r="R80" s="19">
        <f>IF(COUNTIF(EDW_RAW!$A$2:$A$1500,$D80)=0,"",IF(COUNTIFS(EDW_RAW!$A$2:$A$1500,$D80,EDW_RAW!$U$2:$U$1500,"&lt;&gt;~",EDW_RAW!$U$2:$U$1500,"&lt;&gt;")=COUNTIF(EDW_RAW!$A$2:$A$1500,$D80),"O",IF(COUNTIFS(EDW_RAW!$A$2:$A$1500,$D80,EDW_RAW!$U$2:$U$1500,"&lt;&gt;~",EDW_RAW!$U$2:$U$1500,"&lt;&gt;")&gt;0,"부분","X")))</f>
        <v/>
      </c>
      <c r="S80" s="25" t="n"/>
      <c r="T80" s="20">
        <f>IF($H80="","",IF(AND(ISNUMBER(SEARCH("CMT",$H80)),OR(ISNUMBER(SEARCH("완사입",$H80)),ISNUMBER(SEARCH("ODM",$H80)))),"본사/생산처 혼재",IF(ISNUMBER(SEARCH("CMT",$H80)),"본사(소재팀)","생산처")))</f>
        <v/>
      </c>
      <c r="U80" s="20" t="inlineStr">
        <is>
          <t>원전</t>
        </is>
      </c>
      <c r="V80" s="20">
        <f>IFERROR(TEXTJOIN(" / ",TRUE,UNIQUE(FILTER(소재DB_RAW!$K$3:$K$2000,(소재DB_RAW!$G$3:$G$2000=$D80)*ISERROR(SEARCH("drop",소재DB_RAW!$C$3:$C$2000))))),"")</f>
        <v/>
      </c>
      <c r="W80" s="20" t="inlineStr"/>
      <c r="X80" s="20">
        <f>IFERROR(TEXTJOIN(" / ",TRUE,UNIQUE(FILTER(소재DB_RAW!$N$3:$N$2000,(소재DB_RAW!$G$3:$G$2000=$D80)*ISERROR(SEARCH("drop",소재DB_RAW!$C$3:$C$2000))))),"")</f>
        <v/>
      </c>
      <c r="Y80" s="26">
        <f>IFERROR(TEXTJOIN(CHAR(10),TRUE,UNIQUE(FILTER(소재DB_RAW!$N$3:$N$2000&amp;") "&amp;소재DB_RAW!$O$3:$O$2000,(소재DB_RAW!$G$3:$G$2000=$D80)*ISNUMBER(SEARCH("겉감",소재DB_RAW!$M$3:$M$2000))*ISERROR(SEARCH("drop",소재DB_RAW!$C$3:$C$2000))))),"")</f>
        <v/>
      </c>
      <c r="Z80" s="26">
        <f>IFERROR(TEXTJOIN(CHAR(10),TRUE,UNIQUE(FILTER(소재DB_RAW!$N$3:$N$2000&amp;") "&amp;소재DB_RAW!$O$3:$O$2000,(소재DB_RAW!$G$3:$G$2000=$D80)*ISNUMBER(SEARCH("안감",소재DB_RAW!$M$3:$M$2000))*ISERROR(SEARCH("drop",소재DB_RAW!$C$3:$C$2000))))),"")</f>
        <v/>
      </c>
      <c r="AA80" s="27" t="n">
        <v>800</v>
      </c>
      <c r="AB80" s="27" t="n">
        <v>53180800</v>
      </c>
      <c r="AC80" s="27" t="n">
        <v>256000000</v>
      </c>
      <c r="AD80" s="20" t="inlineStr">
        <is>
          <t>2월1주</t>
        </is>
      </c>
      <c r="AE80" s="20">
        <f>IF($K80="","출고일 미정",IF($Q80="X","작지 미발행",IF($Q80="부분","작지 일부 미발행",IF(AND($S80&lt;&gt;"",$S80&gt;$N80),"소재입고 마감("&amp;TEXT($N80,"MM/DD")&amp;") 초과",IF($Q80="","발행여부 확인 필요",IF($S80="","소재 입고일정 확인 필요","정상"))))))</f>
        <v/>
      </c>
      <c r="AF80" s="19">
        <f>IF($K80="","",IF(OR(LEFT($AE80,2)="작지",LEFT($AE80,4)="소재입고"),IF(LEFT($G80,1)="S","★ 납기위험(S코드)","◆ 지연주의"),IF($AE80="정상","✓ 정상","? 확인필요")))</f>
        <v/>
      </c>
      <c r="AG80" s="21" t="n"/>
      <c r="AH80" s="28" t="n"/>
    </row>
    <row r="81">
      <c r="A81" s="19" t="n">
        <v>77</v>
      </c>
      <c r="B81" s="20" t="inlineStr">
        <is>
          <t>이재헌</t>
        </is>
      </c>
      <c r="C81" s="20" t="inlineStr">
        <is>
          <t>정은진</t>
        </is>
      </c>
      <c r="D81" s="20" t="inlineStr">
        <is>
          <t>JKJWS27106</t>
        </is>
      </c>
      <c r="E81" s="20" t="inlineStr">
        <is>
          <t>여성 고어윈드스토퍼 후드 디테쳐블 재킷</t>
        </is>
      </c>
      <c r="F81" s="20" t="inlineStr">
        <is>
          <t>WBE, PUR, BLK(BLACK)</t>
        </is>
      </c>
      <c r="G81" s="19">
        <f>IF($D81="","",IF(MID($D81,5,1)="S","S(봄)",IF(MID($D81,5,1)="M","M(여름)",IF(MID($D81,5,1)="X","X(사계절)",MID($D81,5,1)))))</f>
        <v/>
      </c>
      <c r="H81" s="20" t="inlineStr">
        <is>
          <t>CMT</t>
        </is>
      </c>
      <c r="I81" s="19" t="inlineStr">
        <is>
          <t>SP1</t>
        </is>
      </c>
      <c r="J81" s="21" t="inlineStr">
        <is>
          <t>2월1주</t>
        </is>
      </c>
      <c r="K81" s="22">
        <f>IF($J81="","",IFERROR(DATE(IF(VALUE(LEFT($J81,FIND("월",$J81)-1))&gt;=9,기준정보!$C$7-1,기준정보!$C$7),VALUE(LEFT($J81,FIND("월",$J81)-1)),1+7*(VALUE(SUBSTITUTE(MID($J81,FIND("월",$J81)+1,5),"주",""))-1)),""))</f>
        <v/>
      </c>
      <c r="L81" s="22">
        <f>IF($K81="","",IF(AND($K81-기준정보!$C$5&gt;=기준정보!$C$10,$K81-기준정보!$C$5&lt;=기준정보!$C$11),기준정보!$C$10-1,$K81-기준정보!$C$5))</f>
        <v/>
      </c>
      <c r="M81" s="23">
        <f>IF($L81="","",IF(OR(ISNUMBER(SEARCH("중국",$W81)),ISNUMBER(SEARCH("베트남",$W81))),MAX(0,MIN($L81,기준정보!$C$9)-MAX($L81-기준정보!$C$6,기준정보!$C$8)+1),IF(ISNUMBER(SEARCH("한국",$W81)),MAX(0,MIN($L81,기준정보!$C$11)-MAX($L81-기준정보!$C$6,기준정보!$C$10)+1),0)))</f>
        <v/>
      </c>
      <c r="N81" s="22">
        <f>IF($L81="","",$L81-기준정보!$C$6-$M81)</f>
        <v/>
      </c>
      <c r="O81" s="24">
        <f>IF($N81="","",$N81-기준정보!$C$4)</f>
        <v/>
      </c>
      <c r="P81" s="21" t="n"/>
      <c r="Q81" s="21" t="inlineStr">
        <is>
          <t>O</t>
        </is>
      </c>
      <c r="R81" s="19">
        <f>IF(COUNTIF(EDW_RAW!$A$2:$A$1500,$D81)=0,"",IF(COUNTIFS(EDW_RAW!$A$2:$A$1500,$D81,EDW_RAW!$U$2:$U$1500,"&lt;&gt;~",EDW_RAW!$U$2:$U$1500,"&lt;&gt;")=COUNTIF(EDW_RAW!$A$2:$A$1500,$D81),"O",IF(COUNTIFS(EDW_RAW!$A$2:$A$1500,$D81,EDW_RAW!$U$2:$U$1500,"&lt;&gt;~",EDW_RAW!$U$2:$U$1500,"&lt;&gt;")&gt;0,"부분","X")))</f>
        <v/>
      </c>
      <c r="S81" s="25" t="n"/>
      <c r="T81" s="20">
        <f>IF($H81="","",IF(AND(ISNUMBER(SEARCH("CMT",$H81)),OR(ISNUMBER(SEARCH("완사입",$H81)),ISNUMBER(SEARCH("ODM",$H81)))),"본사/생산처 혼재",IF(ISNUMBER(SEARCH("CMT",$H81)),"본사(소재팀)","생산처")))</f>
        <v/>
      </c>
      <c r="U81" s="20" t="inlineStr">
        <is>
          <t>원전</t>
        </is>
      </c>
      <c r="V81" s="20">
        <f>IFERROR(TEXTJOIN(" / ",TRUE,UNIQUE(FILTER(소재DB_RAW!$K$3:$K$2000,(소재DB_RAW!$G$3:$G$2000=$D81)*ISERROR(SEARCH("drop",소재DB_RAW!$C$3:$C$2000))))),"")</f>
        <v/>
      </c>
      <c r="W81" s="20" t="inlineStr">
        <is>
          <t>인도네시아</t>
        </is>
      </c>
      <c r="X81" s="20">
        <f>IFERROR(TEXTJOIN(" / ",TRUE,UNIQUE(FILTER(소재DB_RAW!$N$3:$N$2000,(소재DB_RAW!$G$3:$G$2000=$D81)*ISERROR(SEARCH("drop",소재DB_RAW!$C$3:$C$2000))))),"")</f>
        <v/>
      </c>
      <c r="Y81" s="26">
        <f>IFERROR(TEXTJOIN(CHAR(10),TRUE,UNIQUE(FILTER(소재DB_RAW!$N$3:$N$2000&amp;") "&amp;소재DB_RAW!$O$3:$O$2000,(소재DB_RAW!$G$3:$G$2000=$D81)*ISNUMBER(SEARCH("겉감",소재DB_RAW!$M$3:$M$2000))*ISERROR(SEARCH("drop",소재DB_RAW!$C$3:$C$2000))))),"")</f>
        <v/>
      </c>
      <c r="Z81" s="26">
        <f>IFERROR(TEXTJOIN(CHAR(10),TRUE,UNIQUE(FILTER(소재DB_RAW!$N$3:$N$2000&amp;") "&amp;소재DB_RAW!$O$3:$O$2000,(소재DB_RAW!$G$3:$G$2000=$D81)*ISNUMBER(SEARCH("안감",소재DB_RAW!$M$3:$M$2000))*ISERROR(SEARCH("drop",소재DB_RAW!$C$3:$C$2000))))),"")</f>
        <v/>
      </c>
      <c r="AA81" s="27" t="n">
        <v>4000</v>
      </c>
      <c r="AB81" s="27" t="n">
        <v>282392800</v>
      </c>
      <c r="AC81" s="27" t="n">
        <v>1280000000</v>
      </c>
      <c r="AD81" s="20" t="n"/>
      <c r="AE81" s="20">
        <f>IF($K81="","출고일 미정",IF($Q81="X","작지 미발행",IF($Q81="부분","작지 일부 미발행",IF(AND($S81&lt;&gt;"",$S81&gt;$N81),"소재입고 마감("&amp;TEXT($N81,"MM/DD")&amp;") 초과",IF($Q81="","발행여부 확인 필요",IF($S81="","소재 입고일정 확인 필요","정상"))))))</f>
        <v/>
      </c>
      <c r="AF81" s="19">
        <f>IF($K81="","",IF(OR(LEFT($AE81,2)="작지",LEFT($AE81,4)="소재입고"),IF(LEFT($G81,1)="S","★ 납기위험(S코드)","◆ 지연주의"),IF($AE81="정상","✓ 정상","? 확인필요")))</f>
        <v/>
      </c>
      <c r="AG81" s="21" t="n"/>
      <c r="AH81" s="28" t="n"/>
    </row>
    <row r="82">
      <c r="A82" s="19" t="n">
        <v>78</v>
      </c>
      <c r="B82" s="20" t="inlineStr">
        <is>
          <t>박진아</t>
        </is>
      </c>
      <c r="C82" s="20" t="inlineStr">
        <is>
          <t>조이슬</t>
        </is>
      </c>
      <c r="D82" s="20" t="inlineStr">
        <is>
          <t>JKPNS27114</t>
        </is>
      </c>
      <c r="E82" s="20" t="inlineStr">
        <is>
          <t>DS 제안) 춘절 여성 레귤러핏 카고 팬츠</t>
        </is>
      </c>
      <c r="F82" s="20" t="inlineStr">
        <is>
          <t>DGY(D/GRAY), WBE</t>
        </is>
      </c>
      <c r="G82" s="19">
        <f>IF($D82="","",IF(MID($D82,5,1)="S","S(봄)",IF(MID($D82,5,1)="M","M(여름)",IF(MID($D82,5,1)="X","X(사계절)",MID($D82,5,1)))))</f>
        <v/>
      </c>
      <c r="H82" s="20" t="inlineStr">
        <is>
          <t>CMT</t>
        </is>
      </c>
      <c r="I82" s="19" t="inlineStr"/>
      <c r="J82" s="21" t="inlineStr">
        <is>
          <t>2월1주</t>
        </is>
      </c>
      <c r="K82" s="22">
        <f>IF($J82="","",IFERROR(DATE(IF(VALUE(LEFT($J82,FIND("월",$J82)-1))&gt;=9,기준정보!$C$7-1,기준정보!$C$7),VALUE(LEFT($J82,FIND("월",$J82)-1)),1+7*(VALUE(SUBSTITUTE(MID($J82,FIND("월",$J82)+1,5),"주",""))-1)),""))</f>
        <v/>
      </c>
      <c r="L82" s="22">
        <f>IF($K82="","",IF(AND($K82-기준정보!$C$5&gt;=기준정보!$C$10,$K82-기준정보!$C$5&lt;=기준정보!$C$11),기준정보!$C$10-1,$K82-기준정보!$C$5))</f>
        <v/>
      </c>
      <c r="M82" s="23">
        <f>IF($L82="","",IF(OR(ISNUMBER(SEARCH("중국",$W82)),ISNUMBER(SEARCH("베트남",$W82))),MAX(0,MIN($L82,기준정보!$C$9)-MAX($L82-기준정보!$C$6,기준정보!$C$8)+1),IF(ISNUMBER(SEARCH("한국",$W82)),MAX(0,MIN($L82,기준정보!$C$11)-MAX($L82-기준정보!$C$6,기준정보!$C$10)+1),0)))</f>
        <v/>
      </c>
      <c r="N82" s="22">
        <f>IF($L82="","",$L82-기준정보!$C$6-$M82)</f>
        <v/>
      </c>
      <c r="O82" s="24">
        <f>IF($N82="","",$N82-기준정보!$C$4)</f>
        <v/>
      </c>
      <c r="P82" s="21" t="n"/>
      <c r="Q82" s="21" t="inlineStr">
        <is>
          <t>O</t>
        </is>
      </c>
      <c r="R82" s="19">
        <f>IF(COUNTIF(EDW_RAW!$A$2:$A$1500,$D82)=0,"",IF(COUNTIFS(EDW_RAW!$A$2:$A$1500,$D82,EDW_RAW!$U$2:$U$1500,"&lt;&gt;~",EDW_RAW!$U$2:$U$1500,"&lt;&gt;")=COUNTIF(EDW_RAW!$A$2:$A$1500,$D82),"O",IF(COUNTIFS(EDW_RAW!$A$2:$A$1500,$D82,EDW_RAW!$U$2:$U$1500,"&lt;&gt;~",EDW_RAW!$U$2:$U$1500,"&lt;&gt;")&gt;0,"부분","X")))</f>
        <v/>
      </c>
      <c r="S82" s="25" t="n"/>
      <c r="T82" s="20">
        <f>IF($H82="","",IF(AND(ISNUMBER(SEARCH("CMT",$H82)),OR(ISNUMBER(SEARCH("완사입",$H82)),ISNUMBER(SEARCH("ODM",$H82)))),"본사/생산처 혼재",IF(ISNUMBER(SEARCH("CMT",$H82)),"본사(소재팀)","생산처")))</f>
        <v/>
      </c>
      <c r="U82" s="20" t="inlineStr">
        <is>
          <t>TBO</t>
        </is>
      </c>
      <c r="V82" s="20">
        <f>IFERROR(TEXTJOIN(" / ",TRUE,UNIQUE(FILTER(소재DB_RAW!$K$3:$K$2000,(소재DB_RAW!$G$3:$G$2000=$D82)*ISERROR(SEARCH("drop",소재DB_RAW!$C$3:$C$2000))))),"")</f>
        <v/>
      </c>
      <c r="W82" s="20" t="inlineStr">
        <is>
          <t>베트남</t>
        </is>
      </c>
      <c r="X82" s="20">
        <f>IFERROR(TEXTJOIN(" / ",TRUE,UNIQUE(FILTER(소재DB_RAW!$N$3:$N$2000,(소재DB_RAW!$G$3:$G$2000=$D82)*ISERROR(SEARCH("drop",소재DB_RAW!$C$3:$C$2000))))),"")</f>
        <v/>
      </c>
      <c r="Y82" s="26">
        <f>IFERROR(TEXTJOIN(CHAR(10),TRUE,UNIQUE(FILTER(소재DB_RAW!$N$3:$N$2000&amp;") "&amp;소재DB_RAW!$O$3:$O$2000,(소재DB_RAW!$G$3:$G$2000=$D82)*ISNUMBER(SEARCH("겉감",소재DB_RAW!$M$3:$M$2000))*ISERROR(SEARCH("drop",소재DB_RAW!$C$3:$C$2000))))),"")</f>
        <v/>
      </c>
      <c r="Z82" s="26">
        <f>IFERROR(TEXTJOIN(CHAR(10),TRUE,UNIQUE(FILTER(소재DB_RAW!$N$3:$N$2000&amp;") "&amp;소재DB_RAW!$O$3:$O$2000,(소재DB_RAW!$G$3:$G$2000=$D82)*ISNUMBER(SEARCH("안감",소재DB_RAW!$M$3:$M$2000))*ISERROR(SEARCH("drop",소재DB_RAW!$C$3:$C$2000))))),"")</f>
        <v/>
      </c>
      <c r="AA82" s="27" t="n">
        <v>1800</v>
      </c>
      <c r="AB82" s="27" t="n">
        <v>62179200</v>
      </c>
      <c r="AC82" s="27" t="n">
        <v>356400000</v>
      </c>
      <c r="AD82" s="20" t="inlineStr">
        <is>
          <t>2월1주</t>
        </is>
      </c>
      <c r="AE82" s="20">
        <f>IF($K82="","출고일 미정",IF($Q82="X","작지 미발행",IF($Q82="부분","작지 일부 미발행",IF(AND($S82&lt;&gt;"",$S82&gt;$N82),"소재입고 마감("&amp;TEXT($N82,"MM/DD")&amp;") 초과",IF($Q82="","발행여부 확인 필요",IF($S82="","소재 입고일정 확인 필요","정상"))))))</f>
        <v/>
      </c>
      <c r="AF82" s="19">
        <f>IF($K82="","",IF(OR(LEFT($AE82,2)="작지",LEFT($AE82,4)="소재입고"),IF(LEFT($G82,1)="S","★ 납기위험(S코드)","◆ 지연주의"),IF($AE82="정상","✓ 정상","? 확인필요")))</f>
        <v/>
      </c>
      <c r="AG82" s="21" t="n"/>
      <c r="AH82" s="28" t="n"/>
    </row>
    <row r="83">
      <c r="A83" s="19" t="n">
        <v>79</v>
      </c>
      <c r="B83" s="20" t="inlineStr">
        <is>
          <t>박진아</t>
        </is>
      </c>
      <c r="C83" s="20" t="inlineStr">
        <is>
          <t>조이슬</t>
        </is>
      </c>
      <c r="D83" s="20" t="inlineStr">
        <is>
          <t>JKTBS27112</t>
        </is>
      </c>
      <c r="E83" s="20" t="inlineStr">
        <is>
          <t>춘절 여성 하이브리드 긴팔 집업 티셔츠</t>
        </is>
      </c>
      <c r="F83" s="20" t="inlineStr">
        <is>
          <t>WBE, DGY(D/GRAY)</t>
        </is>
      </c>
      <c r="G83" s="19">
        <f>IF($D83="","",IF(MID($D83,5,1)="S","S(봄)",IF(MID($D83,5,1)="M","M(여름)",IF(MID($D83,5,1)="X","X(사계절)",MID($D83,5,1)))))</f>
        <v/>
      </c>
      <c r="H83" s="20" t="inlineStr">
        <is>
          <t>완사입</t>
        </is>
      </c>
      <c r="I83" s="19" t="inlineStr"/>
      <c r="J83" s="21" t="inlineStr">
        <is>
          <t>2월1주</t>
        </is>
      </c>
      <c r="K83" s="22">
        <f>IF($J83="","",IFERROR(DATE(IF(VALUE(LEFT($J83,FIND("월",$J83)-1))&gt;=9,기준정보!$C$7-1,기준정보!$C$7),VALUE(LEFT($J83,FIND("월",$J83)-1)),1+7*(VALUE(SUBSTITUTE(MID($J83,FIND("월",$J83)+1,5),"주",""))-1)),""))</f>
        <v/>
      </c>
      <c r="L83" s="22">
        <f>IF($K83="","",IF(AND($K83-기준정보!$C$5&gt;=기준정보!$C$10,$K83-기준정보!$C$5&lt;=기준정보!$C$11),기준정보!$C$10-1,$K83-기준정보!$C$5))</f>
        <v/>
      </c>
      <c r="M83" s="23">
        <f>IF($L83="","",IF(OR(ISNUMBER(SEARCH("중국",$W83)),ISNUMBER(SEARCH("베트남",$W83))),MAX(0,MIN($L83,기준정보!$C$9)-MAX($L83-기준정보!$C$6,기준정보!$C$8)+1),IF(ISNUMBER(SEARCH("한국",$W83)),MAX(0,MIN($L83,기준정보!$C$11)-MAX($L83-기준정보!$C$6,기준정보!$C$10)+1),0)))</f>
        <v/>
      </c>
      <c r="N83" s="22">
        <f>IF($L83="","",$L83-기준정보!$C$6-$M83)</f>
        <v/>
      </c>
      <c r="O83" s="24">
        <f>IF($N83="","",$N83-기준정보!$C$4)</f>
        <v/>
      </c>
      <c r="P83" s="21" t="n"/>
      <c r="Q83" s="21" t="inlineStr">
        <is>
          <t>O</t>
        </is>
      </c>
      <c r="R83" s="19">
        <f>IF(COUNTIF(EDW_RAW!$A$2:$A$1500,$D83)=0,"",IF(COUNTIFS(EDW_RAW!$A$2:$A$1500,$D83,EDW_RAW!$U$2:$U$1500,"&lt;&gt;~",EDW_RAW!$U$2:$U$1500,"&lt;&gt;")=COUNTIF(EDW_RAW!$A$2:$A$1500,$D83),"O",IF(COUNTIFS(EDW_RAW!$A$2:$A$1500,$D83,EDW_RAW!$U$2:$U$1500,"&lt;&gt;~",EDW_RAW!$U$2:$U$1500,"&lt;&gt;")&gt;0,"부분","X")))</f>
        <v/>
      </c>
      <c r="S83" s="25" t="n"/>
      <c r="T83" s="20">
        <f>IF($H83="","",IF(AND(ISNUMBER(SEARCH("CMT",$H83)),OR(ISNUMBER(SEARCH("완사입",$H83)),ISNUMBER(SEARCH("ODM",$H83)))),"본사/생산처 혼재",IF(ISNUMBER(SEARCH("CMT",$H83)),"본사(소재팀)","생산처")))</f>
        <v/>
      </c>
      <c r="U83" s="20" t="inlineStr">
        <is>
          <t>IKG</t>
        </is>
      </c>
      <c r="V83" s="20">
        <f>IFERROR(TEXTJOIN(" / ",TRUE,UNIQUE(FILTER(소재DB_RAW!$K$3:$K$2000,(소재DB_RAW!$G$3:$G$2000=$D83)*ISERROR(SEARCH("drop",소재DB_RAW!$C$3:$C$2000))))),"")</f>
        <v/>
      </c>
      <c r="W83" s="20" t="inlineStr">
        <is>
          <t>인도네시아</t>
        </is>
      </c>
      <c r="X83" s="20">
        <f>IFERROR(TEXTJOIN(" / ",TRUE,UNIQUE(FILTER(소재DB_RAW!$N$3:$N$2000,(소재DB_RAW!$G$3:$G$2000=$D83)*ISERROR(SEARCH("drop",소재DB_RAW!$C$3:$C$2000))))),"")</f>
        <v/>
      </c>
      <c r="Y83" s="26">
        <f>IFERROR(TEXTJOIN(CHAR(10),TRUE,UNIQUE(FILTER(소재DB_RAW!$N$3:$N$2000&amp;") "&amp;소재DB_RAW!$O$3:$O$2000,(소재DB_RAW!$G$3:$G$2000=$D83)*ISNUMBER(SEARCH("겉감",소재DB_RAW!$M$3:$M$2000))*ISERROR(SEARCH("drop",소재DB_RAW!$C$3:$C$2000))))),"")</f>
        <v/>
      </c>
      <c r="Z83" s="26">
        <f>IFERROR(TEXTJOIN(CHAR(10),TRUE,UNIQUE(FILTER(소재DB_RAW!$N$3:$N$2000&amp;") "&amp;소재DB_RAW!$O$3:$O$2000,(소재DB_RAW!$G$3:$G$2000=$D83)*ISNUMBER(SEARCH("안감",소재DB_RAW!$M$3:$M$2000))*ISERROR(SEARCH("drop",소재DB_RAW!$C$3:$C$2000))))),"")</f>
        <v/>
      </c>
      <c r="AA83" s="27" t="n">
        <v>2000</v>
      </c>
      <c r="AB83" s="27" t="n">
        <v>52250000</v>
      </c>
      <c r="AC83" s="27" t="n">
        <v>296000000</v>
      </c>
      <c r="AD83" s="20" t="inlineStr">
        <is>
          <t>2월1주</t>
        </is>
      </c>
      <c r="AE83" s="20">
        <f>IF($K83="","출고일 미정",IF($Q83="X","작지 미발행",IF($Q83="부분","작지 일부 미발행",IF(AND($S83&lt;&gt;"",$S83&gt;$N83),"소재입고 마감("&amp;TEXT($N83,"MM/DD")&amp;") 초과",IF($Q83="","발행여부 확인 필요",IF($S83="","소재 입고일정 확인 필요","정상"))))))</f>
        <v/>
      </c>
      <c r="AF83" s="19">
        <f>IF($K83="","",IF(OR(LEFT($AE83,2)="작지",LEFT($AE83,4)="소재입고"),IF(LEFT($G83,1)="S","★ 납기위험(S코드)","◆ 지연주의"),IF($AE83="정상","✓ 정상","? 확인필요")))</f>
        <v/>
      </c>
      <c r="AG83" s="21" t="n"/>
      <c r="AH83" s="28" t="n"/>
    </row>
    <row r="84">
      <c r="A84" s="19" t="n">
        <v>80</v>
      </c>
      <c r="B84" s="20" t="inlineStr">
        <is>
          <t>박진아</t>
        </is>
      </c>
      <c r="C84" s="20" t="inlineStr">
        <is>
          <t>조이슬</t>
        </is>
      </c>
      <c r="D84" s="20" t="inlineStr">
        <is>
          <t>JKTBS27114</t>
        </is>
      </c>
      <c r="E84" s="20" t="inlineStr">
        <is>
          <t>춘절 여성 ClearDry 아웃포켓 긴팔 라운드 티셔츠</t>
        </is>
      </c>
      <c r="F84" s="20" t="inlineStr">
        <is>
          <t>GRY(GRAY), CRE(CREAM)</t>
        </is>
      </c>
      <c r="G84" s="19">
        <f>IF($D84="","",IF(MID($D84,5,1)="S","S(봄)",IF(MID($D84,5,1)="M","M(여름)",IF(MID($D84,5,1)="X","X(사계절)",MID($D84,5,1)))))</f>
        <v/>
      </c>
      <c r="H84" s="20" t="inlineStr">
        <is>
          <t>완사입</t>
        </is>
      </c>
      <c r="I84" s="19" t="inlineStr"/>
      <c r="J84" s="21" t="inlineStr">
        <is>
          <t>2월1주</t>
        </is>
      </c>
      <c r="K84" s="22">
        <f>IF($J84="","",IFERROR(DATE(IF(VALUE(LEFT($J84,FIND("월",$J84)-1))&gt;=9,기준정보!$C$7-1,기준정보!$C$7),VALUE(LEFT($J84,FIND("월",$J84)-1)),1+7*(VALUE(SUBSTITUTE(MID($J84,FIND("월",$J84)+1,5),"주",""))-1)),""))</f>
        <v/>
      </c>
      <c r="L84" s="22">
        <f>IF($K84="","",IF(AND($K84-기준정보!$C$5&gt;=기준정보!$C$10,$K84-기준정보!$C$5&lt;=기준정보!$C$11),기준정보!$C$10-1,$K84-기준정보!$C$5))</f>
        <v/>
      </c>
      <c r="M84" s="23">
        <f>IF($L84="","",IF(OR(ISNUMBER(SEARCH("중국",$W84)),ISNUMBER(SEARCH("베트남",$W84))),MAX(0,MIN($L84,기준정보!$C$9)-MAX($L84-기준정보!$C$6,기준정보!$C$8)+1),IF(ISNUMBER(SEARCH("한국",$W84)),MAX(0,MIN($L84,기준정보!$C$11)-MAX($L84-기준정보!$C$6,기준정보!$C$10)+1),0)))</f>
        <v/>
      </c>
      <c r="N84" s="22">
        <f>IF($L84="","",$L84-기준정보!$C$6-$M84)</f>
        <v/>
      </c>
      <c r="O84" s="24">
        <f>IF($N84="","",$N84-기준정보!$C$4)</f>
        <v/>
      </c>
      <c r="P84" s="21" t="n"/>
      <c r="Q84" s="21" t="inlineStr">
        <is>
          <t>O</t>
        </is>
      </c>
      <c r="R84" s="19">
        <f>IF(COUNTIF(EDW_RAW!$A$2:$A$1500,$D84)=0,"",IF(COUNTIFS(EDW_RAW!$A$2:$A$1500,$D84,EDW_RAW!$U$2:$U$1500,"&lt;&gt;~",EDW_RAW!$U$2:$U$1500,"&lt;&gt;")=COUNTIF(EDW_RAW!$A$2:$A$1500,$D84),"O",IF(COUNTIFS(EDW_RAW!$A$2:$A$1500,$D84,EDW_RAW!$U$2:$U$1500,"&lt;&gt;~",EDW_RAW!$U$2:$U$1500,"&lt;&gt;")&gt;0,"부분","X")))</f>
        <v/>
      </c>
      <c r="S84" s="25" t="n"/>
      <c r="T84" s="20">
        <f>IF($H84="","",IF(AND(ISNUMBER(SEARCH("CMT",$H84)),OR(ISNUMBER(SEARCH("완사입",$H84)),ISNUMBER(SEARCH("ODM",$H84)))),"본사/생산처 혼재",IF(ISNUMBER(SEARCH("CMT",$H84)),"본사(소재팀)","생산처")))</f>
        <v/>
      </c>
      <c r="U84" s="20" t="inlineStr">
        <is>
          <t>IKG</t>
        </is>
      </c>
      <c r="V84" s="20">
        <f>IFERROR(TEXTJOIN(" / ",TRUE,UNIQUE(FILTER(소재DB_RAW!$K$3:$K$2000,(소재DB_RAW!$G$3:$G$2000=$D84)*ISERROR(SEARCH("drop",소재DB_RAW!$C$3:$C$2000))))),"")</f>
        <v/>
      </c>
      <c r="W84" s="20" t="inlineStr">
        <is>
          <t>인도네시아</t>
        </is>
      </c>
      <c r="X84" s="20">
        <f>IFERROR(TEXTJOIN(" / ",TRUE,UNIQUE(FILTER(소재DB_RAW!$N$3:$N$2000,(소재DB_RAW!$G$3:$G$2000=$D84)*ISERROR(SEARCH("drop",소재DB_RAW!$C$3:$C$2000))))),"")</f>
        <v/>
      </c>
      <c r="Y84" s="26">
        <f>IFERROR(TEXTJOIN(CHAR(10),TRUE,UNIQUE(FILTER(소재DB_RAW!$N$3:$N$2000&amp;") "&amp;소재DB_RAW!$O$3:$O$2000,(소재DB_RAW!$G$3:$G$2000=$D84)*ISNUMBER(SEARCH("겉감",소재DB_RAW!$M$3:$M$2000))*ISERROR(SEARCH("drop",소재DB_RAW!$C$3:$C$2000))))),"")</f>
        <v/>
      </c>
      <c r="Z84" s="26">
        <f>IFERROR(TEXTJOIN(CHAR(10),TRUE,UNIQUE(FILTER(소재DB_RAW!$N$3:$N$2000&amp;") "&amp;소재DB_RAW!$O$3:$O$2000,(소재DB_RAW!$G$3:$G$2000=$D84)*ISNUMBER(SEARCH("안감",소재DB_RAW!$M$3:$M$2000))*ISERROR(SEARCH("drop",소재DB_RAW!$C$3:$C$2000))))),"")</f>
        <v/>
      </c>
      <c r="AA84" s="27" t="n">
        <v>1300</v>
      </c>
      <c r="AB84" s="27" t="n">
        <v>27060800</v>
      </c>
      <c r="AC84" s="27" t="n">
        <v>166400000</v>
      </c>
      <c r="AD84" s="20" t="inlineStr">
        <is>
          <t>2월1주</t>
        </is>
      </c>
      <c r="AE84" s="20">
        <f>IF($K84="","출고일 미정",IF($Q84="X","작지 미발행",IF($Q84="부분","작지 일부 미발행",IF(AND($S84&lt;&gt;"",$S84&gt;$N84),"소재입고 마감("&amp;TEXT($N84,"MM/DD")&amp;") 초과",IF($Q84="","발행여부 확인 필요",IF($S84="","소재 입고일정 확인 필요","정상"))))))</f>
        <v/>
      </c>
      <c r="AF84" s="19">
        <f>IF($K84="","",IF(OR(LEFT($AE84,2)="작지",LEFT($AE84,4)="소재입고"),IF(LEFT($G84,1)="S","★ 납기위험(S코드)","◆ 지연주의"),IF($AE84="정상","✓ 정상","? 확인필요")))</f>
        <v/>
      </c>
      <c r="AG84" s="21" t="n"/>
      <c r="AH84" s="28" t="n"/>
    </row>
    <row r="85">
      <c r="A85" s="19" t="n">
        <v>81</v>
      </c>
      <c r="B85" s="20" t="inlineStr">
        <is>
          <t>박진아</t>
        </is>
      </c>
      <c r="C85" s="20" t="inlineStr">
        <is>
          <t>조이슬</t>
        </is>
      </c>
      <c r="D85" s="20" t="inlineStr">
        <is>
          <t>JKTBS27116</t>
        </is>
      </c>
      <c r="E85" s="20" t="inlineStr">
        <is>
          <t>춘절 여성 후드 티셔츠</t>
        </is>
      </c>
      <c r="F85" s="20" t="inlineStr">
        <is>
          <t>BLK(BLACK), DYL(D/YELLOW)</t>
        </is>
      </c>
      <c r="G85" s="19">
        <f>IF($D85="","",IF(MID($D85,5,1)="S","S(봄)",IF(MID($D85,5,1)="M","M(여름)",IF(MID($D85,5,1)="X","X(사계절)",MID($D85,5,1)))))</f>
        <v/>
      </c>
      <c r="H85" s="20" t="inlineStr">
        <is>
          <t>완사입</t>
        </is>
      </c>
      <c r="I85" s="19" t="inlineStr"/>
      <c r="J85" s="21" t="inlineStr">
        <is>
          <t>2월1주</t>
        </is>
      </c>
      <c r="K85" s="22">
        <f>IF($J85="","",IFERROR(DATE(IF(VALUE(LEFT($J85,FIND("월",$J85)-1))&gt;=9,기준정보!$C$7-1,기준정보!$C$7),VALUE(LEFT($J85,FIND("월",$J85)-1)),1+7*(VALUE(SUBSTITUTE(MID($J85,FIND("월",$J85)+1,5),"주",""))-1)),""))</f>
        <v/>
      </c>
      <c r="L85" s="22">
        <f>IF($K85="","",IF(AND($K85-기준정보!$C$5&gt;=기준정보!$C$10,$K85-기준정보!$C$5&lt;=기준정보!$C$11),기준정보!$C$10-1,$K85-기준정보!$C$5))</f>
        <v/>
      </c>
      <c r="M85" s="23">
        <f>IF($L85="","",IF(OR(ISNUMBER(SEARCH("중국",$W85)),ISNUMBER(SEARCH("베트남",$W85))),MAX(0,MIN($L85,기준정보!$C$9)-MAX($L85-기준정보!$C$6,기준정보!$C$8)+1),IF(ISNUMBER(SEARCH("한국",$W85)),MAX(0,MIN($L85,기준정보!$C$11)-MAX($L85-기준정보!$C$6,기준정보!$C$10)+1),0)))</f>
        <v/>
      </c>
      <c r="N85" s="22">
        <f>IF($L85="","",$L85-기준정보!$C$6-$M85)</f>
        <v/>
      </c>
      <c r="O85" s="24">
        <f>IF($N85="","",$N85-기준정보!$C$4)</f>
        <v/>
      </c>
      <c r="P85" s="21" t="n"/>
      <c r="Q85" s="21" t="inlineStr">
        <is>
          <t>O</t>
        </is>
      </c>
      <c r="R85" s="19">
        <f>IF(COUNTIF(EDW_RAW!$A$2:$A$1500,$D85)=0,"",IF(COUNTIFS(EDW_RAW!$A$2:$A$1500,$D85,EDW_RAW!$U$2:$U$1500,"&lt;&gt;~",EDW_RAW!$U$2:$U$1500,"&lt;&gt;")=COUNTIF(EDW_RAW!$A$2:$A$1500,$D85),"O",IF(COUNTIFS(EDW_RAW!$A$2:$A$1500,$D85,EDW_RAW!$U$2:$U$1500,"&lt;&gt;~",EDW_RAW!$U$2:$U$1500,"&lt;&gt;")&gt;0,"부분","X")))</f>
        <v/>
      </c>
      <c r="S85" s="25" t="n"/>
      <c r="T85" s="20">
        <f>IF($H85="","",IF(AND(ISNUMBER(SEARCH("CMT",$H85)),OR(ISNUMBER(SEARCH("완사입",$H85)),ISNUMBER(SEARCH("ODM",$H85)))),"본사/생산처 혼재",IF(ISNUMBER(SEARCH("CMT",$H85)),"본사(소재팀)","생산처")))</f>
        <v/>
      </c>
      <c r="U85" s="20" t="inlineStr">
        <is>
          <t>IKG</t>
        </is>
      </c>
      <c r="V85" s="20">
        <f>IFERROR(TEXTJOIN(" / ",TRUE,UNIQUE(FILTER(소재DB_RAW!$K$3:$K$2000,(소재DB_RAW!$G$3:$G$2000=$D85)*ISERROR(SEARCH("drop",소재DB_RAW!$C$3:$C$2000))))),"")</f>
        <v/>
      </c>
      <c r="W85" s="20" t="inlineStr">
        <is>
          <t>인도네시아</t>
        </is>
      </c>
      <c r="X85" s="20">
        <f>IFERROR(TEXTJOIN(" / ",TRUE,UNIQUE(FILTER(소재DB_RAW!$N$3:$N$2000,(소재DB_RAW!$G$3:$G$2000=$D85)*ISERROR(SEARCH("drop",소재DB_RAW!$C$3:$C$2000))))),"")</f>
        <v/>
      </c>
      <c r="Y85" s="26">
        <f>IFERROR(TEXTJOIN(CHAR(10),TRUE,UNIQUE(FILTER(소재DB_RAW!$N$3:$N$2000&amp;") "&amp;소재DB_RAW!$O$3:$O$2000,(소재DB_RAW!$G$3:$G$2000=$D85)*ISNUMBER(SEARCH("겉감",소재DB_RAW!$M$3:$M$2000))*ISERROR(SEARCH("drop",소재DB_RAW!$C$3:$C$2000))))),"")</f>
        <v/>
      </c>
      <c r="Z85" s="26">
        <f>IFERROR(TEXTJOIN(CHAR(10),TRUE,UNIQUE(FILTER(소재DB_RAW!$N$3:$N$2000&amp;") "&amp;소재DB_RAW!$O$3:$O$2000,(소재DB_RAW!$G$3:$G$2000=$D85)*ISNUMBER(SEARCH("안감",소재DB_RAW!$M$3:$M$2000))*ISERROR(SEARCH("drop",소재DB_RAW!$C$3:$C$2000))))),"")</f>
        <v/>
      </c>
      <c r="AA85" s="27" t="n">
        <v>1200</v>
      </c>
      <c r="AB85" s="27" t="n">
        <v>32727600</v>
      </c>
      <c r="AC85" s="27" t="n">
        <v>201600000</v>
      </c>
      <c r="AD85" s="20" t="inlineStr">
        <is>
          <t>2월1주</t>
        </is>
      </c>
      <c r="AE85" s="20">
        <f>IF($K85="","출고일 미정",IF($Q85="X","작지 미발행",IF($Q85="부분","작지 일부 미발행",IF(AND($S85&lt;&gt;"",$S85&gt;$N85),"소재입고 마감("&amp;TEXT($N85,"MM/DD")&amp;") 초과",IF($Q85="","발행여부 확인 필요",IF($S85="","소재 입고일정 확인 필요","정상"))))))</f>
        <v/>
      </c>
      <c r="AF85" s="19">
        <f>IF($K85="","",IF(OR(LEFT($AE85,2)="작지",LEFT($AE85,4)="소재입고"),IF(LEFT($G85,1)="S","★ 납기위험(S코드)","◆ 지연주의"),IF($AE85="정상","✓ 정상","? 확인필요")))</f>
        <v/>
      </c>
      <c r="AG85" s="21" t="n"/>
      <c r="AH85" s="28" t="n"/>
    </row>
    <row r="86">
      <c r="A86" s="19" t="n">
        <v>82</v>
      </c>
      <c r="B86" s="20" t="inlineStr">
        <is>
          <t>박진아</t>
        </is>
      </c>
      <c r="C86" s="20" t="inlineStr">
        <is>
          <t>조이슬</t>
        </is>
      </c>
      <c r="D86" s="20" t="inlineStr">
        <is>
          <t>JKTBS27118</t>
        </is>
      </c>
      <c r="E86" s="20" t="inlineStr">
        <is>
          <t>춘절 여성 하이브리드 긴팔 후드 티셔츠</t>
        </is>
      </c>
      <c r="F86" s="20" t="inlineStr">
        <is>
          <t>CRE(CREAM), DYL(D/YELLOW)</t>
        </is>
      </c>
      <c r="G86" s="19">
        <f>IF($D86="","",IF(MID($D86,5,1)="S","S(봄)",IF(MID($D86,5,1)="M","M(여름)",IF(MID($D86,5,1)="X","X(사계절)",MID($D86,5,1)))))</f>
        <v/>
      </c>
      <c r="H86" s="20" t="inlineStr">
        <is>
          <t>완사입</t>
        </is>
      </c>
      <c r="I86" s="19" t="inlineStr"/>
      <c r="J86" s="21" t="inlineStr">
        <is>
          <t>2월1주</t>
        </is>
      </c>
      <c r="K86" s="22">
        <f>IF($J86="","",IFERROR(DATE(IF(VALUE(LEFT($J86,FIND("월",$J86)-1))&gt;=9,기준정보!$C$7-1,기준정보!$C$7),VALUE(LEFT($J86,FIND("월",$J86)-1)),1+7*(VALUE(SUBSTITUTE(MID($J86,FIND("월",$J86)+1,5),"주",""))-1)),""))</f>
        <v/>
      </c>
      <c r="L86" s="22">
        <f>IF($K86="","",IF(AND($K86-기준정보!$C$5&gt;=기준정보!$C$10,$K86-기준정보!$C$5&lt;=기준정보!$C$11),기준정보!$C$10-1,$K86-기준정보!$C$5))</f>
        <v/>
      </c>
      <c r="M86" s="23">
        <f>IF($L86="","",IF(OR(ISNUMBER(SEARCH("중국",$W86)),ISNUMBER(SEARCH("베트남",$W86))),MAX(0,MIN($L86,기준정보!$C$9)-MAX($L86-기준정보!$C$6,기준정보!$C$8)+1),IF(ISNUMBER(SEARCH("한국",$W86)),MAX(0,MIN($L86,기준정보!$C$11)-MAX($L86-기준정보!$C$6,기준정보!$C$10)+1),0)))</f>
        <v/>
      </c>
      <c r="N86" s="22">
        <f>IF($L86="","",$L86-기준정보!$C$6-$M86)</f>
        <v/>
      </c>
      <c r="O86" s="24">
        <f>IF($N86="","",$N86-기준정보!$C$4)</f>
        <v/>
      </c>
      <c r="P86" s="21" t="inlineStr">
        <is>
          <t>O</t>
        </is>
      </c>
      <c r="Q86" s="21" t="inlineStr">
        <is>
          <t>O</t>
        </is>
      </c>
      <c r="R86" s="19">
        <f>IF(COUNTIF(EDW_RAW!$A$2:$A$1500,$D86)=0,"",IF(COUNTIFS(EDW_RAW!$A$2:$A$1500,$D86,EDW_RAW!$U$2:$U$1500,"&lt;&gt;~",EDW_RAW!$U$2:$U$1500,"&lt;&gt;")=COUNTIF(EDW_RAW!$A$2:$A$1500,$D86),"O",IF(COUNTIFS(EDW_RAW!$A$2:$A$1500,$D86,EDW_RAW!$U$2:$U$1500,"&lt;&gt;~",EDW_RAW!$U$2:$U$1500,"&lt;&gt;")&gt;0,"부분","X")))</f>
        <v/>
      </c>
      <c r="S86" s="25" t="n"/>
      <c r="T86" s="20">
        <f>IF($H86="","",IF(AND(ISNUMBER(SEARCH("CMT",$H86)),OR(ISNUMBER(SEARCH("완사입",$H86)),ISNUMBER(SEARCH("ODM",$H86)))),"본사/생산처 혼재",IF(ISNUMBER(SEARCH("CMT",$H86)),"본사(소재팀)","생산처")))</f>
        <v/>
      </c>
      <c r="U86" s="20" t="inlineStr">
        <is>
          <t>장안</t>
        </is>
      </c>
      <c r="V86" s="20">
        <f>IFERROR(TEXTJOIN(" / ",TRUE,UNIQUE(FILTER(소재DB_RAW!$K$3:$K$2000,(소재DB_RAW!$G$3:$G$2000=$D86)*ISERROR(SEARCH("drop",소재DB_RAW!$C$3:$C$2000))))),"")</f>
        <v/>
      </c>
      <c r="W86" s="20" t="inlineStr">
        <is>
          <t>인도네시아</t>
        </is>
      </c>
      <c r="X86" s="20">
        <f>IFERROR(TEXTJOIN(" / ",TRUE,UNIQUE(FILTER(소재DB_RAW!$N$3:$N$2000,(소재DB_RAW!$G$3:$G$2000=$D86)*ISERROR(SEARCH("drop",소재DB_RAW!$C$3:$C$2000))))),"")</f>
        <v/>
      </c>
      <c r="Y86" s="26">
        <f>IFERROR(TEXTJOIN(CHAR(10),TRUE,UNIQUE(FILTER(소재DB_RAW!$N$3:$N$2000&amp;") "&amp;소재DB_RAW!$O$3:$O$2000,(소재DB_RAW!$G$3:$G$2000=$D86)*ISNUMBER(SEARCH("겉감",소재DB_RAW!$M$3:$M$2000))*ISERROR(SEARCH("drop",소재DB_RAW!$C$3:$C$2000))))),"")</f>
        <v/>
      </c>
      <c r="Z86" s="26">
        <f>IFERROR(TEXTJOIN(CHAR(10),TRUE,UNIQUE(FILTER(소재DB_RAW!$N$3:$N$2000&amp;") "&amp;소재DB_RAW!$O$3:$O$2000,(소재DB_RAW!$G$3:$G$2000=$D86)*ISNUMBER(SEARCH("안감",소재DB_RAW!$M$3:$M$2000))*ISERROR(SEARCH("drop",소재DB_RAW!$C$3:$C$2000))))),"")</f>
        <v/>
      </c>
      <c r="AA86" s="27" t="n">
        <v>3000</v>
      </c>
      <c r="AB86" s="27" t="n">
        <v>114219000</v>
      </c>
      <c r="AC86" s="27" t="n">
        <v>504000000</v>
      </c>
      <c r="AD86" s="20" t="inlineStr">
        <is>
          <t>2월1주</t>
        </is>
      </c>
      <c r="AE86" s="20">
        <f>IF($K86="","출고일 미정",IF($Q86="X","작지 미발행",IF($Q86="부분","작지 일부 미발행",IF(AND($S86&lt;&gt;"",$S86&gt;$N86),"소재입고 마감("&amp;TEXT($N86,"MM/DD")&amp;") 초과",IF($Q86="","발행여부 확인 필요",IF($S86="","소재 입고일정 확인 필요","정상"))))))</f>
        <v/>
      </c>
      <c r="AF86" s="19">
        <f>IF($K86="","",IF(OR(LEFT($AE86,2)="작지",LEFT($AE86,4)="소재입고"),IF(LEFT($G86,1)="S","★ 납기위험(S코드)","◆ 지연주의"),IF($AE86="정상","✓ 정상","? 확인필요")))</f>
        <v/>
      </c>
      <c r="AG86" s="21" t="n"/>
      <c r="AH86" s="28" t="n"/>
    </row>
    <row r="87">
      <c r="A87" s="19" t="n">
        <v>83</v>
      </c>
      <c r="B87" s="20" t="inlineStr">
        <is>
          <t>박진아</t>
        </is>
      </c>
      <c r="C87" s="20" t="inlineStr">
        <is>
          <t>조이슬</t>
        </is>
      </c>
      <c r="D87" s="20" t="inlineStr">
        <is>
          <t>JKTBS27120</t>
        </is>
      </c>
      <c r="E87" s="20" t="inlineStr">
        <is>
          <t>춘절 자가드 긴팔 집업 티셔츠</t>
        </is>
      </c>
      <c r="F87" s="20" t="inlineStr">
        <is>
          <t>KHA(KHAKI), BLK(BLACK)</t>
        </is>
      </c>
      <c r="G87" s="19">
        <f>IF($D87="","",IF(MID($D87,5,1)="S","S(봄)",IF(MID($D87,5,1)="M","M(여름)",IF(MID($D87,5,1)="X","X(사계절)",MID($D87,5,1)))))</f>
        <v/>
      </c>
      <c r="H87" s="20" t="inlineStr">
        <is>
          <t>완사입</t>
        </is>
      </c>
      <c r="I87" s="19" t="inlineStr"/>
      <c r="J87" s="21" t="inlineStr">
        <is>
          <t>2월1주</t>
        </is>
      </c>
      <c r="K87" s="22">
        <f>IF($J87="","",IFERROR(DATE(IF(VALUE(LEFT($J87,FIND("월",$J87)-1))&gt;=9,기준정보!$C$7-1,기준정보!$C$7),VALUE(LEFT($J87,FIND("월",$J87)-1)),1+7*(VALUE(SUBSTITUTE(MID($J87,FIND("월",$J87)+1,5),"주",""))-1)),""))</f>
        <v/>
      </c>
      <c r="L87" s="22">
        <f>IF($K87="","",IF(AND($K87-기준정보!$C$5&gt;=기준정보!$C$10,$K87-기준정보!$C$5&lt;=기준정보!$C$11),기준정보!$C$10-1,$K87-기준정보!$C$5))</f>
        <v/>
      </c>
      <c r="M87" s="23">
        <f>IF($L87="","",IF(OR(ISNUMBER(SEARCH("중국",$W87)),ISNUMBER(SEARCH("베트남",$W87))),MAX(0,MIN($L87,기준정보!$C$9)-MAX($L87-기준정보!$C$6,기준정보!$C$8)+1),IF(ISNUMBER(SEARCH("한국",$W87)),MAX(0,MIN($L87,기준정보!$C$11)-MAX($L87-기준정보!$C$6,기준정보!$C$10)+1),0)))</f>
        <v/>
      </c>
      <c r="N87" s="22">
        <f>IF($L87="","",$L87-기준정보!$C$6-$M87)</f>
        <v/>
      </c>
      <c r="O87" s="24">
        <f>IF($N87="","",$N87-기준정보!$C$4)</f>
        <v/>
      </c>
      <c r="P87" s="21" t="n"/>
      <c r="Q87" s="21" t="inlineStr">
        <is>
          <t>O</t>
        </is>
      </c>
      <c r="R87" s="19">
        <f>IF(COUNTIF(EDW_RAW!$A$2:$A$1500,$D87)=0,"",IF(COUNTIFS(EDW_RAW!$A$2:$A$1500,$D87,EDW_RAW!$U$2:$U$1500,"&lt;&gt;~",EDW_RAW!$U$2:$U$1500,"&lt;&gt;")=COUNTIF(EDW_RAW!$A$2:$A$1500,$D87),"O",IF(COUNTIFS(EDW_RAW!$A$2:$A$1500,$D87,EDW_RAW!$U$2:$U$1500,"&lt;&gt;~",EDW_RAW!$U$2:$U$1500,"&lt;&gt;")&gt;0,"부분","X")))</f>
        <v/>
      </c>
      <c r="S87" s="25" t="n"/>
      <c r="T87" s="20">
        <f>IF($H87="","",IF(AND(ISNUMBER(SEARCH("CMT",$H87)),OR(ISNUMBER(SEARCH("완사입",$H87)),ISNUMBER(SEARCH("ODM",$H87)))),"본사/생산처 혼재",IF(ISNUMBER(SEARCH("CMT",$H87)),"본사(소재팀)","생산처")))</f>
        <v/>
      </c>
      <c r="U87" s="20" t="inlineStr">
        <is>
          <t>IKG</t>
        </is>
      </c>
      <c r="V87" s="20">
        <f>IFERROR(TEXTJOIN(" / ",TRUE,UNIQUE(FILTER(소재DB_RAW!$K$3:$K$2000,(소재DB_RAW!$G$3:$G$2000=$D87)*ISERROR(SEARCH("drop",소재DB_RAW!$C$3:$C$2000))))),"")</f>
        <v/>
      </c>
      <c r="W87" s="20" t="inlineStr">
        <is>
          <t>인도네시아</t>
        </is>
      </c>
      <c r="X87" s="20">
        <f>IFERROR(TEXTJOIN(" / ",TRUE,UNIQUE(FILTER(소재DB_RAW!$N$3:$N$2000,(소재DB_RAW!$G$3:$G$2000=$D87)*ISERROR(SEARCH("drop",소재DB_RAW!$C$3:$C$2000))))),"")</f>
        <v/>
      </c>
      <c r="Y87" s="26">
        <f>IFERROR(TEXTJOIN(CHAR(10),TRUE,UNIQUE(FILTER(소재DB_RAW!$N$3:$N$2000&amp;") "&amp;소재DB_RAW!$O$3:$O$2000,(소재DB_RAW!$G$3:$G$2000=$D87)*ISNUMBER(SEARCH("겉감",소재DB_RAW!$M$3:$M$2000))*ISERROR(SEARCH("drop",소재DB_RAW!$C$3:$C$2000))))),"")</f>
        <v/>
      </c>
      <c r="Z87" s="26">
        <f>IFERROR(TEXTJOIN(CHAR(10),TRUE,UNIQUE(FILTER(소재DB_RAW!$N$3:$N$2000&amp;") "&amp;소재DB_RAW!$O$3:$O$2000,(소재DB_RAW!$G$3:$G$2000=$D87)*ISNUMBER(SEARCH("안감",소재DB_RAW!$M$3:$M$2000))*ISERROR(SEARCH("drop",소재DB_RAW!$C$3:$C$2000))))),"")</f>
        <v/>
      </c>
      <c r="AA87" s="27" t="n">
        <v>1400</v>
      </c>
      <c r="AB87" s="27" t="n">
        <v>31536400</v>
      </c>
      <c r="AC87" s="27" t="n">
        <v>207200000</v>
      </c>
      <c r="AD87" s="20" t="inlineStr">
        <is>
          <t>2월1주</t>
        </is>
      </c>
      <c r="AE87" s="20">
        <f>IF($K87="","출고일 미정",IF($Q87="X","작지 미발행",IF($Q87="부분","작지 일부 미발행",IF(AND($S87&lt;&gt;"",$S87&gt;$N87),"소재입고 마감("&amp;TEXT($N87,"MM/DD")&amp;") 초과",IF($Q87="","발행여부 확인 필요",IF($S87="","소재 입고일정 확인 필요","정상"))))))</f>
        <v/>
      </c>
      <c r="AF87" s="19">
        <f>IF($K87="","",IF(OR(LEFT($AE87,2)="작지",LEFT($AE87,4)="소재입고"),IF(LEFT($G87,1)="S","★ 납기위험(S코드)","◆ 지연주의"),IF($AE87="정상","✓ 정상","? 확인필요")))</f>
        <v/>
      </c>
      <c r="AG87" s="21" t="n"/>
      <c r="AH87" s="28" t="n"/>
    </row>
    <row r="88">
      <c r="A88" s="19" t="n">
        <v>84</v>
      </c>
      <c r="B88" s="20" t="inlineStr">
        <is>
          <t>이재헌</t>
        </is>
      </c>
      <c r="C88" s="20" t="inlineStr">
        <is>
          <t>정은진</t>
        </is>
      </c>
      <c r="D88" s="20" t="inlineStr">
        <is>
          <t>JWJGS27101</t>
        </is>
      </c>
      <c r="E88" s="20" t="inlineStr">
        <is>
          <t>남성 윈드체이서 고어텍스 후드 방수 재킷</t>
        </is>
      </c>
      <c r="F88" s="20" t="inlineStr">
        <is>
          <t>GBR(G/BROWN), DGY(D/GRAY), DGR(D/GREEN)</t>
        </is>
      </c>
      <c r="G88" s="19">
        <f>IF($D88="","",IF(MID($D88,5,1)="S","S(봄)",IF(MID($D88,5,1)="M","M(여름)",IF(MID($D88,5,1)="X","X(사계절)",MID($D88,5,1)))))</f>
        <v/>
      </c>
      <c r="H88" s="20" t="inlineStr">
        <is>
          <t>CMT</t>
        </is>
      </c>
      <c r="I88" s="19" t="inlineStr">
        <is>
          <t>SP1</t>
        </is>
      </c>
      <c r="J88" s="21" t="inlineStr">
        <is>
          <t>2월1주</t>
        </is>
      </c>
      <c r="K88" s="22">
        <f>IF($J88="","",IFERROR(DATE(IF(VALUE(LEFT($J88,FIND("월",$J88)-1))&gt;=9,기준정보!$C$7-1,기준정보!$C$7),VALUE(LEFT($J88,FIND("월",$J88)-1)),1+7*(VALUE(SUBSTITUTE(MID($J88,FIND("월",$J88)+1,5),"주",""))-1)),""))</f>
        <v/>
      </c>
      <c r="L88" s="22">
        <f>IF($K88="","",IF(AND($K88-기준정보!$C$5&gt;=기준정보!$C$10,$K88-기준정보!$C$5&lt;=기준정보!$C$11),기준정보!$C$10-1,$K88-기준정보!$C$5))</f>
        <v/>
      </c>
      <c r="M88" s="23">
        <f>IF($L88="","",IF(OR(ISNUMBER(SEARCH("중국",$W88)),ISNUMBER(SEARCH("베트남",$W88))),MAX(0,MIN($L88,기준정보!$C$9)-MAX($L88-기준정보!$C$6,기준정보!$C$8)+1),IF(ISNUMBER(SEARCH("한국",$W88)),MAX(0,MIN($L88,기준정보!$C$11)-MAX($L88-기준정보!$C$6,기준정보!$C$10)+1),0)))</f>
        <v/>
      </c>
      <c r="N88" s="22">
        <f>IF($L88="","",$L88-기준정보!$C$6-$M88)</f>
        <v/>
      </c>
      <c r="O88" s="24">
        <f>IF($N88="","",$N88-기준정보!$C$4)</f>
        <v/>
      </c>
      <c r="P88" s="21" t="n"/>
      <c r="Q88" s="21" t="inlineStr">
        <is>
          <t>O</t>
        </is>
      </c>
      <c r="R88" s="19">
        <f>IF(COUNTIF(EDW_RAW!$A$2:$A$1500,$D88)=0,"",IF(COUNTIFS(EDW_RAW!$A$2:$A$1500,$D88,EDW_RAW!$U$2:$U$1500,"&lt;&gt;~",EDW_RAW!$U$2:$U$1500,"&lt;&gt;")=COUNTIF(EDW_RAW!$A$2:$A$1500,$D88),"O",IF(COUNTIFS(EDW_RAW!$A$2:$A$1500,$D88,EDW_RAW!$U$2:$U$1500,"&lt;&gt;~",EDW_RAW!$U$2:$U$1500,"&lt;&gt;")&gt;0,"부분","X")))</f>
        <v/>
      </c>
      <c r="S88" s="25" t="n"/>
      <c r="T88" s="20">
        <f>IF($H88="","",IF(AND(ISNUMBER(SEARCH("CMT",$H88)),OR(ISNUMBER(SEARCH("완사입",$H88)),ISNUMBER(SEARCH("ODM",$H88)))),"본사/생산처 혼재",IF(ISNUMBER(SEARCH("CMT",$H88)),"본사(소재팀)","생산처")))</f>
        <v/>
      </c>
      <c r="U88" s="20" t="inlineStr">
        <is>
          <t>포마트</t>
        </is>
      </c>
      <c r="V88" s="20">
        <f>IFERROR(TEXTJOIN(" / ",TRUE,UNIQUE(FILTER(소재DB_RAW!$K$3:$K$2000,(소재DB_RAW!$G$3:$G$2000=$D88)*ISERROR(SEARCH("drop",소재DB_RAW!$C$3:$C$2000))))),"")</f>
        <v/>
      </c>
      <c r="W88" s="20" t="inlineStr">
        <is>
          <t>베트남</t>
        </is>
      </c>
      <c r="X88" s="20">
        <f>IFERROR(TEXTJOIN(" / ",TRUE,UNIQUE(FILTER(소재DB_RAW!$N$3:$N$2000,(소재DB_RAW!$G$3:$G$2000=$D88)*ISERROR(SEARCH("drop",소재DB_RAW!$C$3:$C$2000))))),"")</f>
        <v/>
      </c>
      <c r="Y88" s="26">
        <f>IFERROR(TEXTJOIN(CHAR(10),TRUE,UNIQUE(FILTER(소재DB_RAW!$N$3:$N$2000&amp;") "&amp;소재DB_RAW!$O$3:$O$2000,(소재DB_RAW!$G$3:$G$2000=$D88)*ISNUMBER(SEARCH("겉감",소재DB_RAW!$M$3:$M$2000))*ISERROR(SEARCH("drop",소재DB_RAW!$C$3:$C$2000))))),"")</f>
        <v/>
      </c>
      <c r="Z88" s="26">
        <f>IFERROR(TEXTJOIN(CHAR(10),TRUE,UNIQUE(FILTER(소재DB_RAW!$N$3:$N$2000&amp;") "&amp;소재DB_RAW!$O$3:$O$2000,(소재DB_RAW!$G$3:$G$2000=$D88)*ISNUMBER(SEARCH("안감",소재DB_RAW!$M$3:$M$2000))*ISERROR(SEARCH("drop",소재DB_RAW!$C$3:$C$2000))))),"")</f>
        <v/>
      </c>
      <c r="AA88" s="27" t="n">
        <v>2500</v>
      </c>
      <c r="AB88" s="27" t="n">
        <v>273335000</v>
      </c>
      <c r="AC88" s="27" t="n">
        <v>1125000000</v>
      </c>
      <c r="AD88" s="20" t="n"/>
      <c r="AE88" s="20">
        <f>IF($K88="","출고일 미정",IF($Q88="X","작지 미발행",IF($Q88="부분","작지 일부 미발행",IF(AND($S88&lt;&gt;"",$S88&gt;$N88),"소재입고 마감("&amp;TEXT($N88,"MM/DD")&amp;") 초과",IF($Q88="","발행여부 확인 필요",IF($S88="","소재 입고일정 확인 필요","정상"))))))</f>
        <v/>
      </c>
      <c r="AF88" s="19">
        <f>IF($K88="","",IF(OR(LEFT($AE88,2)="작지",LEFT($AE88,4)="소재입고"),IF(LEFT($G88,1)="S","★ 납기위험(S코드)","◆ 지연주의"),IF($AE88="정상","✓ 정상","? 확인필요")))</f>
        <v/>
      </c>
      <c r="AG88" s="21" t="n"/>
      <c r="AH88" s="28" t="n"/>
    </row>
    <row r="89">
      <c r="A89" s="19" t="n">
        <v>85</v>
      </c>
      <c r="B89" s="20" t="inlineStr">
        <is>
          <t>이재헌</t>
        </is>
      </c>
      <c r="C89" s="20" t="inlineStr">
        <is>
          <t>정은진</t>
        </is>
      </c>
      <c r="D89" s="20" t="inlineStr">
        <is>
          <t>JWJGS27103</t>
        </is>
      </c>
      <c r="E89" s="20" t="inlineStr">
        <is>
          <t>남성 고어텍스 후드 디테쳐블 방수 재킷</t>
        </is>
      </c>
      <c r="F89" s="20" t="inlineStr">
        <is>
          <t>GBE(G/BEIGE), DBU(D/BLUE), BLK(BLACK)</t>
        </is>
      </c>
      <c r="G89" s="19">
        <f>IF($D89="","",IF(MID($D89,5,1)="S","S(봄)",IF(MID($D89,5,1)="M","M(여름)",IF(MID($D89,5,1)="X","X(사계절)",MID($D89,5,1)))))</f>
        <v/>
      </c>
      <c r="H89" s="20" t="inlineStr">
        <is>
          <t>CMT</t>
        </is>
      </c>
      <c r="I89" s="19" t="inlineStr">
        <is>
          <t>SP1</t>
        </is>
      </c>
      <c r="J89" s="21" t="inlineStr">
        <is>
          <t>2월1주</t>
        </is>
      </c>
      <c r="K89" s="22">
        <f>IF($J89="","",IFERROR(DATE(IF(VALUE(LEFT($J89,FIND("월",$J89)-1))&gt;=9,기준정보!$C$7-1,기준정보!$C$7),VALUE(LEFT($J89,FIND("월",$J89)-1)),1+7*(VALUE(SUBSTITUTE(MID($J89,FIND("월",$J89)+1,5),"주",""))-1)),""))</f>
        <v/>
      </c>
      <c r="L89" s="22">
        <f>IF($K89="","",IF(AND($K89-기준정보!$C$5&gt;=기준정보!$C$10,$K89-기준정보!$C$5&lt;=기준정보!$C$11),기준정보!$C$10-1,$K89-기준정보!$C$5))</f>
        <v/>
      </c>
      <c r="M89" s="23">
        <f>IF($L89="","",IF(OR(ISNUMBER(SEARCH("중국",$W89)),ISNUMBER(SEARCH("베트남",$W89))),MAX(0,MIN($L89,기준정보!$C$9)-MAX($L89-기준정보!$C$6,기준정보!$C$8)+1),IF(ISNUMBER(SEARCH("한국",$W89)),MAX(0,MIN($L89,기준정보!$C$11)-MAX($L89-기준정보!$C$6,기준정보!$C$10)+1),0)))</f>
        <v/>
      </c>
      <c r="N89" s="22">
        <f>IF($L89="","",$L89-기준정보!$C$6-$M89)</f>
        <v/>
      </c>
      <c r="O89" s="24">
        <f>IF($N89="","",$N89-기준정보!$C$4)</f>
        <v/>
      </c>
      <c r="P89" s="21" t="n"/>
      <c r="Q89" s="21" t="inlineStr">
        <is>
          <t>O</t>
        </is>
      </c>
      <c r="R89" s="19">
        <f>IF(COUNTIF(EDW_RAW!$A$2:$A$1500,$D89)=0,"",IF(COUNTIFS(EDW_RAW!$A$2:$A$1500,$D89,EDW_RAW!$U$2:$U$1500,"&lt;&gt;~",EDW_RAW!$U$2:$U$1500,"&lt;&gt;")=COUNTIF(EDW_RAW!$A$2:$A$1500,$D89),"O",IF(COUNTIFS(EDW_RAW!$A$2:$A$1500,$D89,EDW_RAW!$U$2:$U$1500,"&lt;&gt;~",EDW_RAW!$U$2:$U$1500,"&lt;&gt;")&gt;0,"부분","X")))</f>
        <v/>
      </c>
      <c r="S89" s="25" t="n"/>
      <c r="T89" s="20">
        <f>IF($H89="","",IF(AND(ISNUMBER(SEARCH("CMT",$H89)),OR(ISNUMBER(SEARCH("완사입",$H89)),ISNUMBER(SEARCH("ODM",$H89)))),"본사/생산처 혼재",IF(ISNUMBER(SEARCH("CMT",$H89)),"본사(소재팀)","생산처")))</f>
        <v/>
      </c>
      <c r="U89" s="20" t="inlineStr">
        <is>
          <t>기도</t>
        </is>
      </c>
      <c r="V89" s="20">
        <f>IFERROR(TEXTJOIN(" / ",TRUE,UNIQUE(FILTER(소재DB_RAW!$K$3:$K$2000,(소재DB_RAW!$G$3:$G$2000=$D89)*ISERROR(SEARCH("drop",소재DB_RAW!$C$3:$C$2000))))),"")</f>
        <v/>
      </c>
      <c r="W89" s="20" t="inlineStr">
        <is>
          <t>미얀마</t>
        </is>
      </c>
      <c r="X89" s="20">
        <f>IFERROR(TEXTJOIN(" / ",TRUE,UNIQUE(FILTER(소재DB_RAW!$N$3:$N$2000,(소재DB_RAW!$G$3:$G$2000=$D89)*ISERROR(SEARCH("drop",소재DB_RAW!$C$3:$C$2000))))),"")</f>
        <v/>
      </c>
      <c r="Y89" s="26">
        <f>IFERROR(TEXTJOIN(CHAR(10),TRUE,UNIQUE(FILTER(소재DB_RAW!$N$3:$N$2000&amp;") "&amp;소재DB_RAW!$O$3:$O$2000,(소재DB_RAW!$G$3:$G$2000=$D89)*ISNUMBER(SEARCH("겉감",소재DB_RAW!$M$3:$M$2000))*ISERROR(SEARCH("drop",소재DB_RAW!$C$3:$C$2000))))),"")</f>
        <v/>
      </c>
      <c r="Z89" s="26">
        <f>IFERROR(TEXTJOIN(CHAR(10),TRUE,UNIQUE(FILTER(소재DB_RAW!$N$3:$N$2000&amp;") "&amp;소재DB_RAW!$O$3:$O$2000,(소재DB_RAW!$G$3:$G$2000=$D89)*ISNUMBER(SEARCH("안감",소재DB_RAW!$M$3:$M$2000))*ISERROR(SEARCH("drop",소재DB_RAW!$C$3:$C$2000))))),"")</f>
        <v/>
      </c>
      <c r="AA89" s="27" t="n">
        <v>7640</v>
      </c>
      <c r="AB89" s="27" t="n">
        <v>753495000</v>
      </c>
      <c r="AC89" s="27" t="n">
        <v>2979600000</v>
      </c>
      <c r="AD89" s="20" t="n"/>
      <c r="AE89" s="20">
        <f>IF($K89="","출고일 미정",IF($Q89="X","작지 미발행",IF($Q89="부분","작지 일부 미발행",IF(AND($S89&lt;&gt;"",$S89&gt;$N89),"소재입고 마감("&amp;TEXT($N89,"MM/DD")&amp;") 초과",IF($Q89="","발행여부 확인 필요",IF($S89="","소재 입고일정 확인 필요","정상"))))))</f>
        <v/>
      </c>
      <c r="AF89" s="19">
        <f>IF($K89="","",IF(OR(LEFT($AE89,2)="작지",LEFT($AE89,4)="소재입고"),IF(LEFT($G89,1)="S","★ 납기위험(S코드)","◆ 지연주의"),IF($AE89="정상","✓ 정상","? 확인필요")))</f>
        <v/>
      </c>
      <c r="AG89" s="21" t="n"/>
      <c r="AH89" s="28" t="n"/>
    </row>
    <row r="90">
      <c r="A90" s="19" t="n">
        <v>86</v>
      </c>
      <c r="B90" s="20" t="inlineStr">
        <is>
          <t>이재헌</t>
        </is>
      </c>
      <c r="C90" s="20" t="inlineStr">
        <is>
          <t>정은진</t>
        </is>
      </c>
      <c r="D90" s="20" t="inlineStr">
        <is>
          <t>JWJJS27135</t>
        </is>
      </c>
      <c r="E90" s="20" t="inlineStr">
        <is>
          <t>남성 WIGO 방풍 재킷 (SET UP)</t>
        </is>
      </c>
      <c r="F90" s="20" t="inlineStr">
        <is>
          <t>KHA(KHAKI), BLK(BLACK)</t>
        </is>
      </c>
      <c r="G90" s="19">
        <f>IF($D90="","",IF(MID($D90,5,1)="S","S(봄)",IF(MID($D90,5,1)="M","M(여름)",IF(MID($D90,5,1)="X","X(사계절)",MID($D90,5,1)))))</f>
        <v/>
      </c>
      <c r="H90" s="20" t="inlineStr">
        <is>
          <t>완사입</t>
        </is>
      </c>
      <c r="I90" s="19" t="inlineStr"/>
      <c r="J90" s="21" t="inlineStr">
        <is>
          <t>2월1주</t>
        </is>
      </c>
      <c r="K90" s="22">
        <f>IF($J90="","",IFERROR(DATE(IF(VALUE(LEFT($J90,FIND("월",$J90)-1))&gt;=9,기준정보!$C$7-1,기준정보!$C$7),VALUE(LEFT($J90,FIND("월",$J90)-1)),1+7*(VALUE(SUBSTITUTE(MID($J90,FIND("월",$J90)+1,5),"주",""))-1)),""))</f>
        <v/>
      </c>
      <c r="L90" s="22">
        <f>IF($K90="","",IF(AND($K90-기준정보!$C$5&gt;=기준정보!$C$10,$K90-기준정보!$C$5&lt;=기준정보!$C$11),기준정보!$C$10-1,$K90-기준정보!$C$5))</f>
        <v/>
      </c>
      <c r="M90" s="23">
        <f>IF($L90="","",IF(OR(ISNUMBER(SEARCH("중국",$W90)),ISNUMBER(SEARCH("베트남",$W90))),MAX(0,MIN($L90,기준정보!$C$9)-MAX($L90-기준정보!$C$6,기준정보!$C$8)+1),IF(ISNUMBER(SEARCH("한국",$W90)),MAX(0,MIN($L90,기준정보!$C$11)-MAX($L90-기준정보!$C$6,기준정보!$C$10)+1),0)))</f>
        <v/>
      </c>
      <c r="N90" s="22">
        <f>IF($L90="","",$L90-기준정보!$C$6-$M90)</f>
        <v/>
      </c>
      <c r="O90" s="24">
        <f>IF($N90="","",$N90-기준정보!$C$4)</f>
        <v/>
      </c>
      <c r="P90" s="21" t="n"/>
      <c r="Q90" s="21" t="inlineStr">
        <is>
          <t>O</t>
        </is>
      </c>
      <c r="R90" s="19">
        <f>IF(COUNTIF(EDW_RAW!$A$2:$A$1500,$D90)=0,"",IF(COUNTIFS(EDW_RAW!$A$2:$A$1500,$D90,EDW_RAW!$U$2:$U$1500,"&lt;&gt;~",EDW_RAW!$U$2:$U$1500,"&lt;&gt;")=COUNTIF(EDW_RAW!$A$2:$A$1500,$D90),"O",IF(COUNTIFS(EDW_RAW!$A$2:$A$1500,$D90,EDW_RAW!$U$2:$U$1500,"&lt;&gt;~",EDW_RAW!$U$2:$U$1500,"&lt;&gt;")&gt;0,"부분","X")))</f>
        <v/>
      </c>
      <c r="S90" s="25" t="n"/>
      <c r="T90" s="20">
        <f>IF($H90="","",IF(AND(ISNUMBER(SEARCH("CMT",$H90)),OR(ISNUMBER(SEARCH("완사입",$H90)),ISNUMBER(SEARCH("ODM",$H90)))),"본사/생산처 혼재",IF(ISNUMBER(SEARCH("CMT",$H90)),"본사(소재팀)","생산처")))</f>
        <v/>
      </c>
      <c r="U90" s="20" t="inlineStr">
        <is>
          <t>원전</t>
        </is>
      </c>
      <c r="V90" s="20">
        <f>IFERROR(TEXTJOIN(" / ",TRUE,UNIQUE(FILTER(소재DB_RAW!$K$3:$K$2000,(소재DB_RAW!$G$3:$G$2000=$D90)*ISERROR(SEARCH("drop",소재DB_RAW!$C$3:$C$2000))))),"")</f>
        <v/>
      </c>
      <c r="W90" s="20" t="inlineStr">
        <is>
          <t>인도네시아</t>
        </is>
      </c>
      <c r="X90" s="20">
        <f>IFERROR(TEXTJOIN(" / ",TRUE,UNIQUE(FILTER(소재DB_RAW!$N$3:$N$2000,(소재DB_RAW!$G$3:$G$2000=$D90)*ISERROR(SEARCH("drop",소재DB_RAW!$C$3:$C$2000))))),"")</f>
        <v/>
      </c>
      <c r="Y90" s="26">
        <f>IFERROR(TEXTJOIN(CHAR(10),TRUE,UNIQUE(FILTER(소재DB_RAW!$N$3:$N$2000&amp;") "&amp;소재DB_RAW!$O$3:$O$2000,(소재DB_RAW!$G$3:$G$2000=$D90)*ISNUMBER(SEARCH("겉감",소재DB_RAW!$M$3:$M$2000))*ISERROR(SEARCH("drop",소재DB_RAW!$C$3:$C$2000))))),"")</f>
        <v/>
      </c>
      <c r="Z90" s="26">
        <f>IFERROR(TEXTJOIN(CHAR(10),TRUE,UNIQUE(FILTER(소재DB_RAW!$N$3:$N$2000&amp;") "&amp;소재DB_RAW!$O$3:$O$2000,(소재DB_RAW!$G$3:$G$2000=$D90)*ISNUMBER(SEARCH("안감",소재DB_RAW!$M$3:$M$2000))*ISERROR(SEARCH("drop",소재DB_RAW!$C$3:$C$2000))))),"")</f>
        <v/>
      </c>
      <c r="AA90" s="27" t="n">
        <v>2200</v>
      </c>
      <c r="AB90" s="27" t="n">
        <v>169224000</v>
      </c>
      <c r="AC90" s="27" t="n">
        <v>704000000</v>
      </c>
      <c r="AD90" s="20" t="n"/>
      <c r="AE90" s="20">
        <f>IF($K90="","출고일 미정",IF($Q90="X","작지 미발행",IF($Q90="부분","작지 일부 미발행",IF(AND($S90&lt;&gt;"",$S90&gt;$N90),"소재입고 마감("&amp;TEXT($N90,"MM/DD")&amp;") 초과",IF($Q90="","발행여부 확인 필요",IF($S90="","소재 입고일정 확인 필요","정상"))))))</f>
        <v/>
      </c>
      <c r="AF90" s="19">
        <f>IF($K90="","",IF(OR(LEFT($AE90,2)="작지",LEFT($AE90,4)="소재입고"),IF(LEFT($G90,1)="S","★ 납기위험(S코드)","◆ 지연주의"),IF($AE90="정상","✓ 정상","? 확인필요")))</f>
        <v/>
      </c>
      <c r="AG90" s="21" t="n"/>
      <c r="AH90" s="28" t="n"/>
    </row>
    <row r="91">
      <c r="A91" s="19" t="n">
        <v>87</v>
      </c>
      <c r="B91" s="20" t="inlineStr">
        <is>
          <t>이재헌</t>
        </is>
      </c>
      <c r="C91" s="20" t="inlineStr">
        <is>
          <t>정은진</t>
        </is>
      </c>
      <c r="D91" s="20" t="inlineStr">
        <is>
          <t>JWJWS27105</t>
        </is>
      </c>
      <c r="E91" s="20" t="inlineStr">
        <is>
          <t>남성 고어윈드스토퍼 인후드 재킷</t>
        </is>
      </c>
      <c r="F91" s="20" t="inlineStr">
        <is>
          <t>KHA(KHAKI), GBU(G/BLUE), BLK(BLACK)</t>
        </is>
      </c>
      <c r="G91" s="19">
        <f>IF($D91="","",IF(MID($D91,5,1)="S","S(봄)",IF(MID($D91,5,1)="M","M(여름)",IF(MID($D91,5,1)="X","X(사계절)",MID($D91,5,1)))))</f>
        <v/>
      </c>
      <c r="H91" s="20" t="inlineStr">
        <is>
          <t>CMT</t>
        </is>
      </c>
      <c r="I91" s="19" t="inlineStr">
        <is>
          <t>SP1</t>
        </is>
      </c>
      <c r="J91" s="21" t="inlineStr">
        <is>
          <t>2월1주</t>
        </is>
      </c>
      <c r="K91" s="22">
        <f>IF($J91="","",IFERROR(DATE(IF(VALUE(LEFT($J91,FIND("월",$J91)-1))&gt;=9,기준정보!$C$7-1,기준정보!$C$7),VALUE(LEFT($J91,FIND("월",$J91)-1)),1+7*(VALUE(SUBSTITUTE(MID($J91,FIND("월",$J91)+1,5),"주",""))-1)),""))</f>
        <v/>
      </c>
      <c r="L91" s="22">
        <f>IF($K91="","",IF(AND($K91-기준정보!$C$5&gt;=기준정보!$C$10,$K91-기준정보!$C$5&lt;=기준정보!$C$11),기준정보!$C$10-1,$K91-기준정보!$C$5))</f>
        <v/>
      </c>
      <c r="M91" s="23">
        <f>IF($L91="","",IF(OR(ISNUMBER(SEARCH("중국",$W91)),ISNUMBER(SEARCH("베트남",$W91))),MAX(0,MIN($L91,기준정보!$C$9)-MAX($L91-기준정보!$C$6,기준정보!$C$8)+1),IF(ISNUMBER(SEARCH("한국",$W91)),MAX(0,MIN($L91,기준정보!$C$11)-MAX($L91-기준정보!$C$6,기준정보!$C$10)+1),0)))</f>
        <v/>
      </c>
      <c r="N91" s="22">
        <f>IF($L91="","",$L91-기준정보!$C$6-$M91)</f>
        <v/>
      </c>
      <c r="O91" s="24">
        <f>IF($N91="","",$N91-기준정보!$C$4)</f>
        <v/>
      </c>
      <c r="P91" s="21" t="n"/>
      <c r="Q91" s="21" t="inlineStr">
        <is>
          <t>O</t>
        </is>
      </c>
      <c r="R91" s="19">
        <f>IF(COUNTIF(EDW_RAW!$A$2:$A$1500,$D91)=0,"",IF(COUNTIFS(EDW_RAW!$A$2:$A$1500,$D91,EDW_RAW!$U$2:$U$1500,"&lt;&gt;~",EDW_RAW!$U$2:$U$1500,"&lt;&gt;")=COUNTIF(EDW_RAW!$A$2:$A$1500,$D91),"O",IF(COUNTIFS(EDW_RAW!$A$2:$A$1500,$D91,EDW_RAW!$U$2:$U$1500,"&lt;&gt;~",EDW_RAW!$U$2:$U$1500,"&lt;&gt;")&gt;0,"부분","X")))</f>
        <v/>
      </c>
      <c r="S91" s="25" t="n"/>
      <c r="T91" s="20">
        <f>IF($H91="","",IF(AND(ISNUMBER(SEARCH("CMT",$H91)),OR(ISNUMBER(SEARCH("완사입",$H91)),ISNUMBER(SEARCH("ODM",$H91)))),"본사/생산처 혼재",IF(ISNUMBER(SEARCH("CMT",$H91)),"본사(소재팀)","생산처")))</f>
        <v/>
      </c>
      <c r="U91" s="20" t="inlineStr">
        <is>
          <t>원전</t>
        </is>
      </c>
      <c r="V91" s="20">
        <f>IFERROR(TEXTJOIN(" / ",TRUE,UNIQUE(FILTER(소재DB_RAW!$K$3:$K$2000,(소재DB_RAW!$G$3:$G$2000=$D91)*ISERROR(SEARCH("drop",소재DB_RAW!$C$3:$C$2000))))),"")</f>
        <v/>
      </c>
      <c r="W91" s="20" t="inlineStr">
        <is>
          <t>인도네시아</t>
        </is>
      </c>
      <c r="X91" s="20">
        <f>IFERROR(TEXTJOIN(" / ",TRUE,UNIQUE(FILTER(소재DB_RAW!$N$3:$N$2000,(소재DB_RAW!$G$3:$G$2000=$D91)*ISERROR(SEARCH("drop",소재DB_RAW!$C$3:$C$2000))))),"")</f>
        <v/>
      </c>
      <c r="Y91" s="26">
        <f>IFERROR(TEXTJOIN(CHAR(10),TRUE,UNIQUE(FILTER(소재DB_RAW!$N$3:$N$2000&amp;") "&amp;소재DB_RAW!$O$3:$O$2000,(소재DB_RAW!$G$3:$G$2000=$D91)*ISNUMBER(SEARCH("겉감",소재DB_RAW!$M$3:$M$2000))*ISERROR(SEARCH("drop",소재DB_RAW!$C$3:$C$2000))))),"")</f>
        <v/>
      </c>
      <c r="Z91" s="26">
        <f>IFERROR(TEXTJOIN(CHAR(10),TRUE,UNIQUE(FILTER(소재DB_RAW!$N$3:$N$2000&amp;") "&amp;소재DB_RAW!$O$3:$O$2000,(소재DB_RAW!$G$3:$G$2000=$D91)*ISNUMBER(SEARCH("안감",소재DB_RAW!$M$3:$M$2000))*ISERROR(SEARCH("drop",소재DB_RAW!$C$3:$C$2000))))),"")</f>
        <v/>
      </c>
      <c r="AA91" s="27" t="n">
        <v>7000</v>
      </c>
      <c r="AB91" s="27" t="n">
        <v>566366500</v>
      </c>
      <c r="AC91" s="27" t="n">
        <v>2240000000</v>
      </c>
      <c r="AD91" s="20" t="n"/>
      <c r="AE91" s="20">
        <f>IF($K91="","출고일 미정",IF($Q91="X","작지 미발행",IF($Q91="부분","작지 일부 미발행",IF(AND($S91&lt;&gt;"",$S91&gt;$N91),"소재입고 마감("&amp;TEXT($N91,"MM/DD")&amp;") 초과",IF($Q91="","발행여부 확인 필요",IF($S91="","소재 입고일정 확인 필요","정상"))))))</f>
        <v/>
      </c>
      <c r="AF91" s="19">
        <f>IF($K91="","",IF(OR(LEFT($AE91,2)="작지",LEFT($AE91,4)="소재입고"),IF(LEFT($G91,1)="S","★ 납기위험(S코드)","◆ 지연주의"),IF($AE91="정상","✓ 정상","? 확인필요")))</f>
        <v/>
      </c>
      <c r="AG91" s="21" t="n"/>
      <c r="AH91" s="28" t="n"/>
    </row>
    <row r="92">
      <c r="A92" s="19" t="n">
        <v>88</v>
      </c>
      <c r="B92" s="20" t="inlineStr">
        <is>
          <t>정영준</t>
        </is>
      </c>
      <c r="C92" s="20" t="inlineStr">
        <is>
          <t>이민선</t>
        </is>
      </c>
      <c r="D92" s="20" t="inlineStr">
        <is>
          <t>TLJJS27503</t>
        </is>
      </c>
      <c r="E92" s="20" t="inlineStr">
        <is>
          <t>춘절 남성 소프트쉘 헤링턴 재킷</t>
        </is>
      </c>
      <c r="F92" s="20" t="inlineStr">
        <is>
          <t>DGY-3, MUD</t>
        </is>
      </c>
      <c r="G92" s="19">
        <f>IF($D92="","",IF(MID($D92,5,1)="S","S(봄)",IF(MID($D92,5,1)="M","M(여름)",IF(MID($D92,5,1)="X","X(사계절)",MID($D92,5,1)))))</f>
        <v/>
      </c>
      <c r="H92" s="20" t="inlineStr">
        <is>
          <t>완사입</t>
        </is>
      </c>
      <c r="I92" s="19" t="inlineStr"/>
      <c r="J92" s="21" t="inlineStr">
        <is>
          <t>2월1주</t>
        </is>
      </c>
      <c r="K92" s="22">
        <f>IF($J92="","",IFERROR(DATE(IF(VALUE(LEFT($J92,FIND("월",$J92)-1))&gt;=9,기준정보!$C$7-1,기준정보!$C$7),VALUE(LEFT($J92,FIND("월",$J92)-1)),1+7*(VALUE(SUBSTITUTE(MID($J92,FIND("월",$J92)+1,5),"주",""))-1)),""))</f>
        <v/>
      </c>
      <c r="L92" s="22">
        <f>IF($K92="","",IF(AND($K92-기준정보!$C$5&gt;=기준정보!$C$10,$K92-기준정보!$C$5&lt;=기준정보!$C$11),기준정보!$C$10-1,$K92-기준정보!$C$5))</f>
        <v/>
      </c>
      <c r="M92" s="23">
        <f>IF($L92="","",IF(OR(ISNUMBER(SEARCH("중국",$W92)),ISNUMBER(SEARCH("베트남",$W92))),MAX(0,MIN($L92,기준정보!$C$9)-MAX($L92-기준정보!$C$6,기준정보!$C$8)+1),IF(ISNUMBER(SEARCH("한국",$W92)),MAX(0,MIN($L92,기준정보!$C$11)-MAX($L92-기준정보!$C$6,기준정보!$C$10)+1),0)))</f>
        <v/>
      </c>
      <c r="N92" s="22">
        <f>IF($L92="","",$L92-기준정보!$C$6-$M92)</f>
        <v/>
      </c>
      <c r="O92" s="24">
        <f>IF($N92="","",$N92-기준정보!$C$4)</f>
        <v/>
      </c>
      <c r="P92" s="21" t="n"/>
      <c r="Q92" s="21" t="inlineStr">
        <is>
          <t>O</t>
        </is>
      </c>
      <c r="R92" s="19">
        <f>IF(COUNTIF(EDW_RAW!$A$2:$A$1500,$D92)=0,"",IF(COUNTIFS(EDW_RAW!$A$2:$A$1500,$D92,EDW_RAW!$U$2:$U$1500,"&lt;&gt;~",EDW_RAW!$U$2:$U$1500,"&lt;&gt;")=COUNTIF(EDW_RAW!$A$2:$A$1500,$D92),"O",IF(COUNTIFS(EDW_RAW!$A$2:$A$1500,$D92,EDW_RAW!$U$2:$U$1500,"&lt;&gt;~",EDW_RAW!$U$2:$U$1500,"&lt;&gt;")&gt;0,"부분","X")))</f>
        <v/>
      </c>
      <c r="S92" s="25" t="n"/>
      <c r="T92" s="20">
        <f>IF($H92="","",IF(AND(ISNUMBER(SEARCH("CMT",$H92)),OR(ISNUMBER(SEARCH("완사입",$H92)),ISNUMBER(SEARCH("ODM",$H92)))),"본사/생산처 혼재",IF(ISNUMBER(SEARCH("CMT",$H92)),"본사(소재팀)","생산처")))</f>
        <v/>
      </c>
      <c r="U92" s="20" t="inlineStr">
        <is>
          <t>포마트</t>
        </is>
      </c>
      <c r="V92" s="20">
        <f>IFERROR(TEXTJOIN(" / ",TRUE,UNIQUE(FILTER(소재DB_RAW!$K$3:$K$2000,(소재DB_RAW!$G$3:$G$2000=$D92)*ISERROR(SEARCH("drop",소재DB_RAW!$C$3:$C$2000))))),"")</f>
        <v/>
      </c>
      <c r="W92" s="20" t="inlineStr">
        <is>
          <t>베트남</t>
        </is>
      </c>
      <c r="X92" s="20">
        <f>IFERROR(TEXTJOIN(" / ",TRUE,UNIQUE(FILTER(소재DB_RAW!$N$3:$N$2000,(소재DB_RAW!$G$3:$G$2000=$D92)*ISERROR(SEARCH("drop",소재DB_RAW!$C$3:$C$2000))))),"")</f>
        <v/>
      </c>
      <c r="Y92" s="26">
        <f>IFERROR(TEXTJOIN(CHAR(10),TRUE,UNIQUE(FILTER(소재DB_RAW!$N$3:$N$2000&amp;") "&amp;소재DB_RAW!$O$3:$O$2000,(소재DB_RAW!$G$3:$G$2000=$D92)*ISNUMBER(SEARCH("겉감",소재DB_RAW!$M$3:$M$2000))*ISERROR(SEARCH("drop",소재DB_RAW!$C$3:$C$2000))))),"")</f>
        <v/>
      </c>
      <c r="Z92" s="26">
        <f>IFERROR(TEXTJOIN(CHAR(10),TRUE,UNIQUE(FILTER(소재DB_RAW!$N$3:$N$2000&amp;") "&amp;소재DB_RAW!$O$3:$O$2000,(소재DB_RAW!$G$3:$G$2000=$D92)*ISNUMBER(SEARCH("안감",소재DB_RAW!$M$3:$M$2000))*ISERROR(SEARCH("drop",소재DB_RAW!$C$3:$C$2000))))),"")</f>
        <v/>
      </c>
      <c r="AA92" s="27" t="n">
        <v>2800</v>
      </c>
      <c r="AB92" s="27" t="n">
        <v>226968000</v>
      </c>
      <c r="AC92" s="27" t="n">
        <v>896000000</v>
      </c>
      <c r="AD92" s="20" t="inlineStr">
        <is>
          <t>2월1주</t>
        </is>
      </c>
      <c r="AE92" s="20">
        <f>IF($K92="","출고일 미정",IF($Q92="X","작지 미발행",IF($Q92="부분","작지 일부 미발행",IF(AND($S92&lt;&gt;"",$S92&gt;$N92),"소재입고 마감("&amp;TEXT($N92,"MM/DD")&amp;") 초과",IF($Q92="","발행여부 확인 필요",IF($S92="","소재 입고일정 확인 필요","정상"))))))</f>
        <v/>
      </c>
      <c r="AF92" s="19">
        <f>IF($K92="","",IF(OR(LEFT($AE92,2)="작지",LEFT($AE92,4)="소재입고"),IF(LEFT($G92,1)="S","★ 납기위험(S코드)","◆ 지연주의"),IF($AE92="정상","✓ 정상","? 확인필요")))</f>
        <v/>
      </c>
      <c r="AG92" s="21" t="n"/>
      <c r="AH92" s="28" t="n"/>
    </row>
    <row r="93">
      <c r="A93" s="19" t="n">
        <v>89</v>
      </c>
      <c r="B93" s="20" t="inlineStr">
        <is>
          <t>정영준</t>
        </is>
      </c>
      <c r="C93" s="20" t="inlineStr">
        <is>
          <t>이민선</t>
        </is>
      </c>
      <c r="D93" s="20" t="inlineStr">
        <is>
          <t>TLJJS27511</t>
        </is>
      </c>
      <c r="E93" s="20" t="inlineStr">
        <is>
          <t>춘절 남성 소프트안감 드리즐러 재킷</t>
        </is>
      </c>
      <c r="F93" s="20" t="inlineStr">
        <is>
          <t>BLK(BLACK), LLA</t>
        </is>
      </c>
      <c r="G93" s="19">
        <f>IF($D93="","",IF(MID($D93,5,1)="S","S(봄)",IF(MID($D93,5,1)="M","M(여름)",IF(MID($D93,5,1)="X","X(사계절)",MID($D93,5,1)))))</f>
        <v/>
      </c>
      <c r="H93" s="20" t="inlineStr">
        <is>
          <t>완사입</t>
        </is>
      </c>
      <c r="I93" s="19" t="inlineStr"/>
      <c r="J93" s="21" t="inlineStr">
        <is>
          <t>2월1주</t>
        </is>
      </c>
      <c r="K93" s="22">
        <f>IF($J93="","",IFERROR(DATE(IF(VALUE(LEFT($J93,FIND("월",$J93)-1))&gt;=9,기준정보!$C$7-1,기준정보!$C$7),VALUE(LEFT($J93,FIND("월",$J93)-1)),1+7*(VALUE(SUBSTITUTE(MID($J93,FIND("월",$J93)+1,5),"주",""))-1)),""))</f>
        <v/>
      </c>
      <c r="L93" s="22">
        <f>IF($K93="","",IF(AND($K93-기준정보!$C$5&gt;=기준정보!$C$10,$K93-기준정보!$C$5&lt;=기준정보!$C$11),기준정보!$C$10-1,$K93-기준정보!$C$5))</f>
        <v/>
      </c>
      <c r="M93" s="23">
        <f>IF($L93="","",IF(OR(ISNUMBER(SEARCH("중국",$W93)),ISNUMBER(SEARCH("베트남",$W93))),MAX(0,MIN($L93,기준정보!$C$9)-MAX($L93-기준정보!$C$6,기준정보!$C$8)+1),IF(ISNUMBER(SEARCH("한국",$W93)),MAX(0,MIN($L93,기준정보!$C$11)-MAX($L93-기준정보!$C$6,기준정보!$C$10)+1),0)))</f>
        <v/>
      </c>
      <c r="N93" s="22">
        <f>IF($L93="","",$L93-기준정보!$C$6-$M93)</f>
        <v/>
      </c>
      <c r="O93" s="24">
        <f>IF($N93="","",$N93-기준정보!$C$4)</f>
        <v/>
      </c>
      <c r="P93" s="21" t="n"/>
      <c r="Q93" s="21" t="inlineStr">
        <is>
          <t>O</t>
        </is>
      </c>
      <c r="R93" s="19">
        <f>IF(COUNTIF(EDW_RAW!$A$2:$A$1500,$D93)=0,"",IF(COUNTIFS(EDW_RAW!$A$2:$A$1500,$D93,EDW_RAW!$U$2:$U$1500,"&lt;&gt;~",EDW_RAW!$U$2:$U$1500,"&lt;&gt;")=COUNTIF(EDW_RAW!$A$2:$A$1500,$D93),"O",IF(COUNTIFS(EDW_RAW!$A$2:$A$1500,$D93,EDW_RAW!$U$2:$U$1500,"&lt;&gt;~",EDW_RAW!$U$2:$U$1500,"&lt;&gt;")&gt;0,"부분","X")))</f>
        <v/>
      </c>
      <c r="S93" s="25" t="n"/>
      <c r="T93" s="20">
        <f>IF($H93="","",IF(AND(ISNUMBER(SEARCH("CMT",$H93)),OR(ISNUMBER(SEARCH("완사입",$H93)),ISNUMBER(SEARCH("ODM",$H93)))),"본사/생산처 혼재",IF(ISNUMBER(SEARCH("CMT",$H93)),"본사(소재팀)","생산처")))</f>
        <v/>
      </c>
      <c r="U93" s="20" t="inlineStr">
        <is>
          <t>포마트</t>
        </is>
      </c>
      <c r="V93" s="20">
        <f>IFERROR(TEXTJOIN(" / ",TRUE,UNIQUE(FILTER(소재DB_RAW!$K$3:$K$2000,(소재DB_RAW!$G$3:$G$2000=$D93)*ISERROR(SEARCH("drop",소재DB_RAW!$C$3:$C$2000))))),"")</f>
        <v/>
      </c>
      <c r="W93" s="20" t="inlineStr">
        <is>
          <t>베트남</t>
        </is>
      </c>
      <c r="X93" s="20">
        <f>IFERROR(TEXTJOIN(" / ",TRUE,UNIQUE(FILTER(소재DB_RAW!$N$3:$N$2000,(소재DB_RAW!$G$3:$G$2000=$D93)*ISERROR(SEARCH("drop",소재DB_RAW!$C$3:$C$2000))))),"")</f>
        <v/>
      </c>
      <c r="Y93" s="26">
        <f>IFERROR(TEXTJOIN(CHAR(10),TRUE,UNIQUE(FILTER(소재DB_RAW!$N$3:$N$2000&amp;") "&amp;소재DB_RAW!$O$3:$O$2000,(소재DB_RAW!$G$3:$G$2000=$D93)*ISNUMBER(SEARCH("겉감",소재DB_RAW!$M$3:$M$2000))*ISERROR(SEARCH("drop",소재DB_RAW!$C$3:$C$2000))))),"")</f>
        <v/>
      </c>
      <c r="Z93" s="26">
        <f>IFERROR(TEXTJOIN(CHAR(10),TRUE,UNIQUE(FILTER(소재DB_RAW!$N$3:$N$2000&amp;") "&amp;소재DB_RAW!$O$3:$O$2000,(소재DB_RAW!$G$3:$G$2000=$D93)*ISNUMBER(SEARCH("안감",소재DB_RAW!$M$3:$M$2000))*ISERROR(SEARCH("drop",소재DB_RAW!$C$3:$C$2000))))),"")</f>
        <v/>
      </c>
      <c r="AA93" s="27" t="n">
        <v>1700</v>
      </c>
      <c r="AB93" s="27" t="n">
        <v>118962600</v>
      </c>
      <c r="AC93" s="27" t="n">
        <v>544000000</v>
      </c>
      <c r="AD93" s="20" t="n"/>
      <c r="AE93" s="20">
        <f>IF($K93="","출고일 미정",IF($Q93="X","작지 미발행",IF($Q93="부분","작지 일부 미발행",IF(AND($S93&lt;&gt;"",$S93&gt;$N93),"소재입고 마감("&amp;TEXT($N93,"MM/DD")&amp;") 초과",IF($Q93="","발행여부 확인 필요",IF($S93="","소재 입고일정 확인 필요","정상"))))))</f>
        <v/>
      </c>
      <c r="AF93" s="19">
        <f>IF($K93="","",IF(OR(LEFT($AE93,2)="작지",LEFT($AE93,4)="소재입고"),IF(LEFT($G93,1)="S","★ 납기위험(S코드)","◆ 지연주의"),IF($AE93="정상","✓ 정상","? 확인필요")))</f>
        <v/>
      </c>
      <c r="AG93" s="21" t="n"/>
      <c r="AH93" s="28" t="n"/>
    </row>
    <row r="94">
      <c r="A94" s="19" t="n">
        <v>90</v>
      </c>
      <c r="B94" s="20" t="inlineStr">
        <is>
          <t>정영준</t>
        </is>
      </c>
      <c r="C94" s="20" t="inlineStr">
        <is>
          <t>이민선</t>
        </is>
      </c>
      <c r="D94" s="20" t="inlineStr">
        <is>
          <t>TLJJS27531</t>
        </is>
      </c>
      <c r="E94" s="20" t="inlineStr">
        <is>
          <t>춘절 남성 소프트필 재킷 (SET-UP)</t>
        </is>
      </c>
      <c r="F94" s="20" t="inlineStr">
        <is>
          <t>DGY-3, LLA</t>
        </is>
      </c>
      <c r="G94" s="19">
        <f>IF($D94="","",IF(MID($D94,5,1)="S","S(봄)",IF(MID($D94,5,1)="M","M(여름)",IF(MID($D94,5,1)="X","X(사계절)",MID($D94,5,1)))))</f>
        <v/>
      </c>
      <c r="H94" s="20" t="inlineStr">
        <is>
          <t>완사입</t>
        </is>
      </c>
      <c r="I94" s="19" t="inlineStr"/>
      <c r="J94" s="21" t="inlineStr">
        <is>
          <t>2월1주</t>
        </is>
      </c>
      <c r="K94" s="22">
        <f>IF($J94="","",IFERROR(DATE(IF(VALUE(LEFT($J94,FIND("월",$J94)-1))&gt;=9,기준정보!$C$7-1,기준정보!$C$7),VALUE(LEFT($J94,FIND("월",$J94)-1)),1+7*(VALUE(SUBSTITUTE(MID($J94,FIND("월",$J94)+1,5),"주",""))-1)),""))</f>
        <v/>
      </c>
      <c r="L94" s="22">
        <f>IF($K94="","",IF(AND($K94-기준정보!$C$5&gt;=기준정보!$C$10,$K94-기준정보!$C$5&lt;=기준정보!$C$11),기준정보!$C$10-1,$K94-기준정보!$C$5))</f>
        <v/>
      </c>
      <c r="M94" s="23">
        <f>IF($L94="","",IF(OR(ISNUMBER(SEARCH("중국",$W94)),ISNUMBER(SEARCH("베트남",$W94))),MAX(0,MIN($L94,기준정보!$C$9)-MAX($L94-기준정보!$C$6,기준정보!$C$8)+1),IF(ISNUMBER(SEARCH("한국",$W94)),MAX(0,MIN($L94,기준정보!$C$11)-MAX($L94-기준정보!$C$6,기준정보!$C$10)+1),0)))</f>
        <v/>
      </c>
      <c r="N94" s="22">
        <f>IF($L94="","",$L94-기준정보!$C$6-$M94)</f>
        <v/>
      </c>
      <c r="O94" s="24">
        <f>IF($N94="","",$N94-기준정보!$C$4)</f>
        <v/>
      </c>
      <c r="P94" s="21" t="n"/>
      <c r="Q94" s="21" t="inlineStr">
        <is>
          <t>O</t>
        </is>
      </c>
      <c r="R94" s="19">
        <f>IF(COUNTIF(EDW_RAW!$A$2:$A$1500,$D94)=0,"",IF(COUNTIFS(EDW_RAW!$A$2:$A$1500,$D94,EDW_RAW!$U$2:$U$1500,"&lt;&gt;~",EDW_RAW!$U$2:$U$1500,"&lt;&gt;")=COUNTIF(EDW_RAW!$A$2:$A$1500,$D94),"O",IF(COUNTIFS(EDW_RAW!$A$2:$A$1500,$D94,EDW_RAW!$U$2:$U$1500,"&lt;&gt;~",EDW_RAW!$U$2:$U$1500,"&lt;&gt;")&gt;0,"부분","X")))</f>
        <v/>
      </c>
      <c r="S94" s="25" t="n"/>
      <c r="T94" s="20">
        <f>IF($H94="","",IF(AND(ISNUMBER(SEARCH("CMT",$H94)),OR(ISNUMBER(SEARCH("완사입",$H94)),ISNUMBER(SEARCH("ODM",$H94)))),"본사/생산처 혼재",IF(ISNUMBER(SEARCH("CMT",$H94)),"본사(소재팀)","생산처")))</f>
        <v/>
      </c>
      <c r="U94" s="20" t="inlineStr">
        <is>
          <t>IKG</t>
        </is>
      </c>
      <c r="V94" s="20">
        <f>IFERROR(TEXTJOIN(" / ",TRUE,UNIQUE(FILTER(소재DB_RAW!$K$3:$K$2000,(소재DB_RAW!$G$3:$G$2000=$D94)*ISERROR(SEARCH("drop",소재DB_RAW!$C$3:$C$2000))))),"")</f>
        <v/>
      </c>
      <c r="W94" s="20" t="inlineStr">
        <is>
          <t>인도네시아</t>
        </is>
      </c>
      <c r="X94" s="20">
        <f>IFERROR(TEXTJOIN(" / ",TRUE,UNIQUE(FILTER(소재DB_RAW!$N$3:$N$2000,(소재DB_RAW!$G$3:$G$2000=$D94)*ISERROR(SEARCH("drop",소재DB_RAW!$C$3:$C$2000))))),"")</f>
        <v/>
      </c>
      <c r="Y94" s="26">
        <f>IFERROR(TEXTJOIN(CHAR(10),TRUE,UNIQUE(FILTER(소재DB_RAW!$N$3:$N$2000&amp;") "&amp;소재DB_RAW!$O$3:$O$2000,(소재DB_RAW!$G$3:$G$2000=$D94)*ISNUMBER(SEARCH("겉감",소재DB_RAW!$M$3:$M$2000))*ISERROR(SEARCH("drop",소재DB_RAW!$C$3:$C$2000))))),"")</f>
        <v/>
      </c>
      <c r="Z94" s="26">
        <f>IFERROR(TEXTJOIN(CHAR(10),TRUE,UNIQUE(FILTER(소재DB_RAW!$N$3:$N$2000&amp;") "&amp;소재DB_RAW!$O$3:$O$2000,(소재DB_RAW!$G$3:$G$2000=$D94)*ISNUMBER(SEARCH("안감",소재DB_RAW!$M$3:$M$2000))*ISERROR(SEARCH("drop",소재DB_RAW!$C$3:$C$2000))))),"")</f>
        <v/>
      </c>
      <c r="AA94" s="27" t="n">
        <v>1400</v>
      </c>
      <c r="AB94" s="27" t="n">
        <v>55910400</v>
      </c>
      <c r="AC94" s="27" t="n">
        <v>249200000</v>
      </c>
      <c r="AD94" s="20" t="n"/>
      <c r="AE94" s="20">
        <f>IF($K94="","출고일 미정",IF($Q94="X","작지 미발행",IF($Q94="부분","작지 일부 미발행",IF(AND($S94&lt;&gt;"",$S94&gt;$N94),"소재입고 마감("&amp;TEXT($N94,"MM/DD")&amp;") 초과",IF($Q94="","발행여부 확인 필요",IF($S94="","소재 입고일정 확인 필요","정상"))))))</f>
        <v/>
      </c>
      <c r="AF94" s="19">
        <f>IF($K94="","",IF(OR(LEFT($AE94,2)="작지",LEFT($AE94,4)="소재입고"),IF(LEFT($G94,1)="S","★ 납기위험(S코드)","◆ 지연주의"),IF($AE94="정상","✓ 정상","? 확인필요")))</f>
        <v/>
      </c>
      <c r="AG94" s="21" t="n"/>
      <c r="AH94" s="28" t="n"/>
    </row>
    <row r="95">
      <c r="A95" s="19" t="n">
        <v>91</v>
      </c>
      <c r="B95" s="20" t="inlineStr">
        <is>
          <t>정영준</t>
        </is>
      </c>
      <c r="C95" s="20" t="inlineStr">
        <is>
          <t>이민선</t>
        </is>
      </c>
      <c r="D95" s="20" t="inlineStr">
        <is>
          <t>TLJJS27541</t>
        </is>
      </c>
      <c r="E95" s="20" t="inlineStr">
        <is>
          <t>남성 KOMFORT 이지 재킷 (SET-UP)</t>
        </is>
      </c>
      <c r="F95" s="20" t="inlineStr">
        <is>
          <t>BLK(BLACK), MUD</t>
        </is>
      </c>
      <c r="G95" s="19">
        <f>IF($D95="","",IF(MID($D95,5,1)="S","S(봄)",IF(MID($D95,5,1)="M","M(여름)",IF(MID($D95,5,1)="X","X(사계절)",MID($D95,5,1)))))</f>
        <v/>
      </c>
      <c r="H95" s="20" t="inlineStr">
        <is>
          <t>완사입</t>
        </is>
      </c>
      <c r="I95" s="19" t="inlineStr"/>
      <c r="J95" s="21" t="inlineStr">
        <is>
          <t>2월1주</t>
        </is>
      </c>
      <c r="K95" s="22">
        <f>IF($J95="","",IFERROR(DATE(IF(VALUE(LEFT($J95,FIND("월",$J95)-1))&gt;=9,기준정보!$C$7-1,기준정보!$C$7),VALUE(LEFT($J95,FIND("월",$J95)-1)),1+7*(VALUE(SUBSTITUTE(MID($J95,FIND("월",$J95)+1,5),"주",""))-1)),""))</f>
        <v/>
      </c>
      <c r="L95" s="22">
        <f>IF($K95="","",IF(AND($K95-기준정보!$C$5&gt;=기준정보!$C$10,$K95-기준정보!$C$5&lt;=기준정보!$C$11),기준정보!$C$10-1,$K95-기준정보!$C$5))</f>
        <v/>
      </c>
      <c r="M95" s="23">
        <f>IF($L95="","",IF(OR(ISNUMBER(SEARCH("중국",$W95)),ISNUMBER(SEARCH("베트남",$W95))),MAX(0,MIN($L95,기준정보!$C$9)-MAX($L95-기준정보!$C$6,기준정보!$C$8)+1),IF(ISNUMBER(SEARCH("한국",$W95)),MAX(0,MIN($L95,기준정보!$C$11)-MAX($L95-기준정보!$C$6,기준정보!$C$10)+1),0)))</f>
        <v/>
      </c>
      <c r="N95" s="22">
        <f>IF($L95="","",$L95-기준정보!$C$6-$M95)</f>
        <v/>
      </c>
      <c r="O95" s="24">
        <f>IF($N95="","",$N95-기준정보!$C$4)</f>
        <v/>
      </c>
      <c r="P95" s="21" t="n"/>
      <c r="Q95" s="21" t="inlineStr">
        <is>
          <t>O</t>
        </is>
      </c>
      <c r="R95" s="19">
        <f>IF(COUNTIF(EDW_RAW!$A$2:$A$1500,$D95)=0,"",IF(COUNTIFS(EDW_RAW!$A$2:$A$1500,$D95,EDW_RAW!$U$2:$U$1500,"&lt;&gt;~",EDW_RAW!$U$2:$U$1500,"&lt;&gt;")=COUNTIF(EDW_RAW!$A$2:$A$1500,$D95),"O",IF(COUNTIFS(EDW_RAW!$A$2:$A$1500,$D95,EDW_RAW!$U$2:$U$1500,"&lt;&gt;~",EDW_RAW!$U$2:$U$1500,"&lt;&gt;")&gt;0,"부분","X")))</f>
        <v/>
      </c>
      <c r="S95" s="25" t="n"/>
      <c r="T95" s="20">
        <f>IF($H95="","",IF(AND(ISNUMBER(SEARCH("CMT",$H95)),OR(ISNUMBER(SEARCH("완사입",$H95)),ISNUMBER(SEARCH("ODM",$H95)))),"본사/생산처 혼재",IF(ISNUMBER(SEARCH("CMT",$H95)),"본사(소재팀)","생산처")))</f>
        <v/>
      </c>
      <c r="U95" s="20" t="inlineStr">
        <is>
          <t>포마트</t>
        </is>
      </c>
      <c r="V95" s="20">
        <f>IFERROR(TEXTJOIN(" / ",TRUE,UNIQUE(FILTER(소재DB_RAW!$K$3:$K$2000,(소재DB_RAW!$G$3:$G$2000=$D95)*ISERROR(SEARCH("drop",소재DB_RAW!$C$3:$C$2000))))),"")</f>
        <v/>
      </c>
      <c r="W95" s="20" t="inlineStr">
        <is>
          <t>베트남</t>
        </is>
      </c>
      <c r="X95" s="20">
        <f>IFERROR(TEXTJOIN(" / ",TRUE,UNIQUE(FILTER(소재DB_RAW!$N$3:$N$2000,(소재DB_RAW!$G$3:$G$2000=$D95)*ISERROR(SEARCH("drop",소재DB_RAW!$C$3:$C$2000))))),"")</f>
        <v/>
      </c>
      <c r="Y95" s="26">
        <f>IFERROR(TEXTJOIN(CHAR(10),TRUE,UNIQUE(FILTER(소재DB_RAW!$N$3:$N$2000&amp;") "&amp;소재DB_RAW!$O$3:$O$2000,(소재DB_RAW!$G$3:$G$2000=$D95)*ISNUMBER(SEARCH("겉감",소재DB_RAW!$M$3:$M$2000))*ISERROR(SEARCH("drop",소재DB_RAW!$C$3:$C$2000))))),"")</f>
        <v/>
      </c>
      <c r="Z95" s="26">
        <f>IFERROR(TEXTJOIN(CHAR(10),TRUE,UNIQUE(FILTER(소재DB_RAW!$N$3:$N$2000&amp;") "&amp;소재DB_RAW!$O$3:$O$2000,(소재DB_RAW!$G$3:$G$2000=$D95)*ISNUMBER(SEARCH("안감",소재DB_RAW!$M$3:$M$2000))*ISERROR(SEARCH("drop",소재DB_RAW!$C$3:$C$2000))))),"")</f>
        <v/>
      </c>
      <c r="AA95" s="27" t="n">
        <v>1200</v>
      </c>
      <c r="AB95" s="27" t="n">
        <v>84998400</v>
      </c>
      <c r="AC95" s="27" t="n">
        <v>420000000</v>
      </c>
      <c r="AD95" s="20" t="n"/>
      <c r="AE95" s="20">
        <f>IF($K95="","출고일 미정",IF($Q95="X","작지 미발행",IF($Q95="부분","작지 일부 미발행",IF(AND($S95&lt;&gt;"",$S95&gt;$N95),"소재입고 마감("&amp;TEXT($N95,"MM/DD")&amp;") 초과",IF($Q95="","발행여부 확인 필요",IF($S95="","소재 입고일정 확인 필요","정상"))))))</f>
        <v/>
      </c>
      <c r="AF95" s="19">
        <f>IF($K95="","",IF(OR(LEFT($AE95,2)="작지",LEFT($AE95,4)="소재입고"),IF(LEFT($G95,1)="S","★ 납기위험(S코드)","◆ 지연주의"),IF($AE95="정상","✓ 정상","? 확인필요")))</f>
        <v/>
      </c>
      <c r="AG95" s="21" t="n"/>
      <c r="AH95" s="28" t="n"/>
    </row>
    <row r="96">
      <c r="A96" s="19" t="n">
        <v>92</v>
      </c>
      <c r="B96" s="20" t="inlineStr">
        <is>
          <t>정영준</t>
        </is>
      </c>
      <c r="C96" s="20" t="inlineStr">
        <is>
          <t>서은미</t>
        </is>
      </c>
      <c r="D96" s="20" t="inlineStr">
        <is>
          <t>TLJJS27561</t>
        </is>
      </c>
      <c r="E96" s="20" t="inlineStr">
        <is>
          <t>춘절 남성 인후드 재킷</t>
        </is>
      </c>
      <c r="F96" s="20" t="inlineStr">
        <is>
          <t>LAK(LAKE), DGY-3</t>
        </is>
      </c>
      <c r="G96" s="19">
        <f>IF($D96="","",IF(MID($D96,5,1)="S","S(봄)",IF(MID($D96,5,1)="M","M(여름)",IF(MID($D96,5,1)="X","X(사계절)",MID($D96,5,1)))))</f>
        <v/>
      </c>
      <c r="H96" s="20" t="inlineStr">
        <is>
          <t>완사입</t>
        </is>
      </c>
      <c r="I96" s="19" t="inlineStr"/>
      <c r="J96" s="21" t="inlineStr">
        <is>
          <t>2월1주</t>
        </is>
      </c>
      <c r="K96" s="22">
        <f>IF($J96="","",IFERROR(DATE(IF(VALUE(LEFT($J96,FIND("월",$J96)-1))&gt;=9,기준정보!$C$7-1,기준정보!$C$7),VALUE(LEFT($J96,FIND("월",$J96)-1)),1+7*(VALUE(SUBSTITUTE(MID($J96,FIND("월",$J96)+1,5),"주",""))-1)),""))</f>
        <v/>
      </c>
      <c r="L96" s="22">
        <f>IF($K96="","",IF(AND($K96-기준정보!$C$5&gt;=기준정보!$C$10,$K96-기준정보!$C$5&lt;=기준정보!$C$11),기준정보!$C$10-1,$K96-기준정보!$C$5))</f>
        <v/>
      </c>
      <c r="M96" s="23">
        <f>IF($L96="","",IF(OR(ISNUMBER(SEARCH("중국",$W96)),ISNUMBER(SEARCH("베트남",$W96))),MAX(0,MIN($L96,기준정보!$C$9)-MAX($L96-기준정보!$C$6,기준정보!$C$8)+1),IF(ISNUMBER(SEARCH("한국",$W96)),MAX(0,MIN($L96,기준정보!$C$11)-MAX($L96-기준정보!$C$6,기준정보!$C$10)+1),0)))</f>
        <v/>
      </c>
      <c r="N96" s="22">
        <f>IF($L96="","",$L96-기준정보!$C$6-$M96)</f>
        <v/>
      </c>
      <c r="O96" s="24">
        <f>IF($N96="","",$N96-기준정보!$C$4)</f>
        <v/>
      </c>
      <c r="P96" s="21" t="n"/>
      <c r="Q96" s="21" t="inlineStr">
        <is>
          <t>O</t>
        </is>
      </c>
      <c r="R96" s="19">
        <f>IF(COUNTIF(EDW_RAW!$A$2:$A$1500,$D96)=0,"",IF(COUNTIFS(EDW_RAW!$A$2:$A$1500,$D96,EDW_RAW!$U$2:$U$1500,"&lt;&gt;~",EDW_RAW!$U$2:$U$1500,"&lt;&gt;")=COUNTIF(EDW_RAW!$A$2:$A$1500,$D96),"O",IF(COUNTIFS(EDW_RAW!$A$2:$A$1500,$D96,EDW_RAW!$U$2:$U$1500,"&lt;&gt;~",EDW_RAW!$U$2:$U$1500,"&lt;&gt;")&gt;0,"부분","X")))</f>
        <v/>
      </c>
      <c r="S96" s="25" t="n"/>
      <c r="T96" s="20">
        <f>IF($H96="","",IF(AND(ISNUMBER(SEARCH("CMT",$H96)),OR(ISNUMBER(SEARCH("완사입",$H96)),ISNUMBER(SEARCH("ODM",$H96)))),"본사/생산처 혼재",IF(ISNUMBER(SEARCH("CMT",$H96)),"본사(소재팀)","생산처")))</f>
        <v/>
      </c>
      <c r="U96" s="20" t="inlineStr">
        <is>
          <t>원전</t>
        </is>
      </c>
      <c r="V96" s="20">
        <f>IFERROR(TEXTJOIN(" / ",TRUE,UNIQUE(FILTER(소재DB_RAW!$K$3:$K$2000,(소재DB_RAW!$G$3:$G$2000=$D96)*ISERROR(SEARCH("drop",소재DB_RAW!$C$3:$C$2000))))),"")</f>
        <v/>
      </c>
      <c r="W96" s="20" t="inlineStr">
        <is>
          <t>미얀마</t>
        </is>
      </c>
      <c r="X96" s="20">
        <f>IFERROR(TEXTJOIN(" / ",TRUE,UNIQUE(FILTER(소재DB_RAW!$N$3:$N$2000,(소재DB_RAW!$G$3:$G$2000=$D96)*ISERROR(SEARCH("drop",소재DB_RAW!$C$3:$C$2000))))),"")</f>
        <v/>
      </c>
      <c r="Y96" s="26">
        <f>IFERROR(TEXTJOIN(CHAR(10),TRUE,UNIQUE(FILTER(소재DB_RAW!$N$3:$N$2000&amp;") "&amp;소재DB_RAW!$O$3:$O$2000,(소재DB_RAW!$G$3:$G$2000=$D96)*ISNUMBER(SEARCH("겉감",소재DB_RAW!$M$3:$M$2000))*ISERROR(SEARCH("drop",소재DB_RAW!$C$3:$C$2000))))),"")</f>
        <v/>
      </c>
      <c r="Z96" s="26">
        <f>IFERROR(TEXTJOIN(CHAR(10),TRUE,UNIQUE(FILTER(소재DB_RAW!$N$3:$N$2000&amp;") "&amp;소재DB_RAW!$O$3:$O$2000,(소재DB_RAW!$G$3:$G$2000=$D96)*ISNUMBER(SEARCH("안감",소재DB_RAW!$M$3:$M$2000))*ISERROR(SEARCH("drop",소재DB_RAW!$C$3:$C$2000))))),"")</f>
        <v/>
      </c>
      <c r="AA96" s="27" t="n">
        <v>5000</v>
      </c>
      <c r="AB96" s="27" t="n">
        <v>283061400</v>
      </c>
      <c r="AC96" s="27" t="n">
        <v>1250000000</v>
      </c>
      <c r="AD96" s="20" t="n"/>
      <c r="AE96" s="20">
        <f>IF($K96="","출고일 미정",IF($Q96="X","작지 미발행",IF($Q96="부분","작지 일부 미발행",IF(AND($S96&lt;&gt;"",$S96&gt;$N96),"소재입고 마감("&amp;TEXT($N96,"MM/DD")&amp;") 초과",IF($Q96="","발행여부 확인 필요",IF($S96="","소재 입고일정 확인 필요","정상"))))))</f>
        <v/>
      </c>
      <c r="AF96" s="19">
        <f>IF($K96="","",IF(OR(LEFT($AE96,2)="작지",LEFT($AE96,4)="소재입고"),IF(LEFT($G96,1)="S","★ 납기위험(S코드)","◆ 지연주의"),IF($AE96="정상","✓ 정상","? 확인필요")))</f>
        <v/>
      </c>
      <c r="AG96" s="21" t="n"/>
      <c r="AH96" s="28" t="n"/>
    </row>
    <row r="97">
      <c r="A97" s="19" t="n">
        <v>93</v>
      </c>
      <c r="B97" s="20" t="inlineStr">
        <is>
          <t>문도혁</t>
        </is>
      </c>
      <c r="C97" s="20" t="inlineStr">
        <is>
          <t>정희영</t>
        </is>
      </c>
      <c r="D97" s="20" t="inlineStr">
        <is>
          <t>TLPNS27501</t>
        </is>
      </c>
      <c r="E97" s="20" t="inlineStr">
        <is>
          <t>춘절 루즈핏 커브드 팬츠</t>
        </is>
      </c>
      <c r="F97" s="20" t="inlineStr">
        <is>
          <t>LLA, DGY(D/GRAY)</t>
        </is>
      </c>
      <c r="G97" s="19">
        <f>IF($D97="","",IF(MID($D97,5,1)="S","S(봄)",IF(MID($D97,5,1)="M","M(여름)",IF(MID($D97,5,1)="X","X(사계절)",MID($D97,5,1)))))</f>
        <v/>
      </c>
      <c r="H97" s="20" t="inlineStr">
        <is>
          <t>CMT</t>
        </is>
      </c>
      <c r="I97" s="19" t="inlineStr">
        <is>
          <t>s2</t>
        </is>
      </c>
      <c r="J97" s="21" t="inlineStr">
        <is>
          <t>2월1주</t>
        </is>
      </c>
      <c r="K97" s="22">
        <f>IF($J97="","",IFERROR(DATE(IF(VALUE(LEFT($J97,FIND("월",$J97)-1))&gt;=9,기준정보!$C$7-1,기준정보!$C$7),VALUE(LEFT($J97,FIND("월",$J97)-1)),1+7*(VALUE(SUBSTITUTE(MID($J97,FIND("월",$J97)+1,5),"주",""))-1)),""))</f>
        <v/>
      </c>
      <c r="L97" s="22">
        <f>IF($K97="","",IF(AND($K97-기준정보!$C$5&gt;=기준정보!$C$10,$K97-기준정보!$C$5&lt;=기준정보!$C$11),기준정보!$C$10-1,$K97-기준정보!$C$5))</f>
        <v/>
      </c>
      <c r="M97" s="23">
        <f>IF($L97="","",IF(OR(ISNUMBER(SEARCH("중국",$W97)),ISNUMBER(SEARCH("베트남",$W97))),MAX(0,MIN($L97,기준정보!$C$9)-MAX($L97-기준정보!$C$6,기준정보!$C$8)+1),IF(ISNUMBER(SEARCH("한국",$W97)),MAX(0,MIN($L97,기준정보!$C$11)-MAX($L97-기준정보!$C$6,기준정보!$C$10)+1),0)))</f>
        <v/>
      </c>
      <c r="N97" s="22">
        <f>IF($L97="","",$L97-기준정보!$C$6-$M97)</f>
        <v/>
      </c>
      <c r="O97" s="24">
        <f>IF($N97="","",$N97-기준정보!$C$4)</f>
        <v/>
      </c>
      <c r="P97" s="21" t="n"/>
      <c r="Q97" s="21" t="inlineStr">
        <is>
          <t>O</t>
        </is>
      </c>
      <c r="R97" s="19">
        <f>IF(COUNTIF(EDW_RAW!$A$2:$A$1500,$D97)=0,"",IF(COUNTIFS(EDW_RAW!$A$2:$A$1500,$D97,EDW_RAW!$U$2:$U$1500,"&lt;&gt;~",EDW_RAW!$U$2:$U$1500,"&lt;&gt;")=COUNTIF(EDW_RAW!$A$2:$A$1500,$D97),"O",IF(COUNTIFS(EDW_RAW!$A$2:$A$1500,$D97,EDW_RAW!$U$2:$U$1500,"&lt;&gt;~",EDW_RAW!$U$2:$U$1500,"&lt;&gt;")&gt;0,"부분","X")))</f>
        <v/>
      </c>
      <c r="S97" s="25" t="n"/>
      <c r="T97" s="20">
        <f>IF($H97="","",IF(AND(ISNUMBER(SEARCH("CMT",$H97)),OR(ISNUMBER(SEARCH("완사입",$H97)),ISNUMBER(SEARCH("ODM",$H97)))),"본사/생산처 혼재",IF(ISNUMBER(SEARCH("CMT",$H97)),"본사(소재팀)","생산처")))</f>
        <v/>
      </c>
      <c r="U97" s="20" t="inlineStr">
        <is>
          <t>YIC</t>
        </is>
      </c>
      <c r="V97" s="20">
        <f>IFERROR(TEXTJOIN(" / ",TRUE,UNIQUE(FILTER(소재DB_RAW!$K$3:$K$2000,(소재DB_RAW!$G$3:$G$2000=$D97)*ISERROR(SEARCH("drop",소재DB_RAW!$C$3:$C$2000))))),"")</f>
        <v/>
      </c>
      <c r="W97" s="20" t="inlineStr">
        <is>
          <t>베트남</t>
        </is>
      </c>
      <c r="X97" s="20">
        <f>IFERROR(TEXTJOIN(" / ",TRUE,UNIQUE(FILTER(소재DB_RAW!$N$3:$N$2000,(소재DB_RAW!$G$3:$G$2000=$D97)*ISERROR(SEARCH("drop",소재DB_RAW!$C$3:$C$2000))))),"")</f>
        <v/>
      </c>
      <c r="Y97" s="26">
        <f>IFERROR(TEXTJOIN(CHAR(10),TRUE,UNIQUE(FILTER(소재DB_RAW!$N$3:$N$2000&amp;") "&amp;소재DB_RAW!$O$3:$O$2000,(소재DB_RAW!$G$3:$G$2000=$D97)*ISNUMBER(SEARCH("겉감",소재DB_RAW!$M$3:$M$2000))*ISERROR(SEARCH("drop",소재DB_RAW!$C$3:$C$2000))))),"")</f>
        <v/>
      </c>
      <c r="Z97" s="26">
        <f>IFERROR(TEXTJOIN(CHAR(10),TRUE,UNIQUE(FILTER(소재DB_RAW!$N$3:$N$2000&amp;") "&amp;소재DB_RAW!$O$3:$O$2000,(소재DB_RAW!$G$3:$G$2000=$D97)*ISNUMBER(SEARCH("안감",소재DB_RAW!$M$3:$M$2000))*ISERROR(SEARCH("drop",소재DB_RAW!$C$3:$C$2000))))),"")</f>
        <v/>
      </c>
      <c r="AA97" s="27" t="n">
        <v>1600</v>
      </c>
      <c r="AB97" s="27" t="n">
        <v>81600000</v>
      </c>
      <c r="AC97" s="27" t="n">
        <v>352000000</v>
      </c>
      <c r="AD97" s="20" t="n"/>
      <c r="AE97" s="20">
        <f>IF($K97="","출고일 미정",IF($Q97="X","작지 미발행",IF($Q97="부분","작지 일부 미발행",IF(AND($S97&lt;&gt;"",$S97&gt;$N97),"소재입고 마감("&amp;TEXT($N97,"MM/DD")&amp;") 초과",IF($Q97="","발행여부 확인 필요",IF($S97="","소재 입고일정 확인 필요","정상"))))))</f>
        <v/>
      </c>
      <c r="AF97" s="19">
        <f>IF($K97="","",IF(OR(LEFT($AE97,2)="작지",LEFT($AE97,4)="소재입고"),IF(LEFT($G97,1)="S","★ 납기위험(S코드)","◆ 지연주의"),IF($AE97="정상","✓ 정상","? 확인필요")))</f>
        <v/>
      </c>
      <c r="AG97" s="21" t="n"/>
      <c r="AH97" s="28" t="n"/>
    </row>
    <row r="98">
      <c r="A98" s="19" t="n">
        <v>94</v>
      </c>
      <c r="B98" s="20" t="inlineStr">
        <is>
          <t>문도혁</t>
        </is>
      </c>
      <c r="C98" s="20" t="inlineStr">
        <is>
          <t>이민선</t>
        </is>
      </c>
      <c r="D98" s="20" t="inlineStr">
        <is>
          <t>TVJJS27542</t>
        </is>
      </c>
      <c r="E98" s="20" t="inlineStr">
        <is>
          <t>춘절 여성 소프트안감 칼라드 재킷</t>
        </is>
      </c>
      <c r="F98" s="20" t="inlineStr">
        <is>
          <t>MUD, BLK(BLACK)</t>
        </is>
      </c>
      <c r="G98" s="19">
        <f>IF($D98="","",IF(MID($D98,5,1)="S","S(봄)",IF(MID($D98,5,1)="M","M(여름)",IF(MID($D98,5,1)="X","X(사계절)",MID($D98,5,1)))))</f>
        <v/>
      </c>
      <c r="H98" s="20" t="inlineStr">
        <is>
          <t>완사입</t>
        </is>
      </c>
      <c r="I98" s="19" t="inlineStr">
        <is>
          <t>s2</t>
        </is>
      </c>
      <c r="J98" s="21" t="inlineStr">
        <is>
          <t>2월1주</t>
        </is>
      </c>
      <c r="K98" s="22">
        <f>IF($J98="","",IFERROR(DATE(IF(VALUE(LEFT($J98,FIND("월",$J98)-1))&gt;=9,기준정보!$C$7-1,기준정보!$C$7),VALUE(LEFT($J98,FIND("월",$J98)-1)),1+7*(VALUE(SUBSTITUTE(MID($J98,FIND("월",$J98)+1,5),"주",""))-1)),""))</f>
        <v/>
      </c>
      <c r="L98" s="22">
        <f>IF($K98="","",IF(AND($K98-기준정보!$C$5&gt;=기준정보!$C$10,$K98-기준정보!$C$5&lt;=기준정보!$C$11),기준정보!$C$10-1,$K98-기준정보!$C$5))</f>
        <v/>
      </c>
      <c r="M98" s="23">
        <f>IF($L98="","",IF(OR(ISNUMBER(SEARCH("중국",$W98)),ISNUMBER(SEARCH("베트남",$W98))),MAX(0,MIN($L98,기준정보!$C$9)-MAX($L98-기준정보!$C$6,기준정보!$C$8)+1),IF(ISNUMBER(SEARCH("한국",$W98)),MAX(0,MIN($L98,기준정보!$C$11)-MAX($L98-기준정보!$C$6,기준정보!$C$10)+1),0)))</f>
        <v/>
      </c>
      <c r="N98" s="22">
        <f>IF($L98="","",$L98-기준정보!$C$6-$M98)</f>
        <v/>
      </c>
      <c r="O98" s="24">
        <f>IF($N98="","",$N98-기준정보!$C$4)</f>
        <v/>
      </c>
      <c r="P98" s="21" t="n"/>
      <c r="Q98" s="21" t="inlineStr">
        <is>
          <t>O</t>
        </is>
      </c>
      <c r="R98" s="19">
        <f>IF(COUNTIF(EDW_RAW!$A$2:$A$1500,$D98)=0,"",IF(COUNTIFS(EDW_RAW!$A$2:$A$1500,$D98,EDW_RAW!$U$2:$U$1500,"&lt;&gt;~",EDW_RAW!$U$2:$U$1500,"&lt;&gt;")=COUNTIF(EDW_RAW!$A$2:$A$1500,$D98),"O",IF(COUNTIFS(EDW_RAW!$A$2:$A$1500,$D98,EDW_RAW!$U$2:$U$1500,"&lt;&gt;~",EDW_RAW!$U$2:$U$1500,"&lt;&gt;")&gt;0,"부분","X")))</f>
        <v/>
      </c>
      <c r="S98" s="25" t="n"/>
      <c r="T98" s="20">
        <f>IF($H98="","",IF(AND(ISNUMBER(SEARCH("CMT",$H98)),OR(ISNUMBER(SEARCH("완사입",$H98)),ISNUMBER(SEARCH("ODM",$H98)))),"본사/생산처 혼재",IF(ISNUMBER(SEARCH("CMT",$H98)),"본사(소재팀)","생산처")))</f>
        <v/>
      </c>
      <c r="U98" s="20" t="inlineStr">
        <is>
          <t>원전</t>
        </is>
      </c>
      <c r="V98" s="20">
        <f>IFERROR(TEXTJOIN(" / ",TRUE,UNIQUE(FILTER(소재DB_RAW!$K$3:$K$2000,(소재DB_RAW!$G$3:$G$2000=$D98)*ISERROR(SEARCH("drop",소재DB_RAW!$C$3:$C$2000))))),"")</f>
        <v/>
      </c>
      <c r="W98" s="20" t="inlineStr">
        <is>
          <t>베트남</t>
        </is>
      </c>
      <c r="X98" s="20">
        <f>IFERROR(TEXTJOIN(" / ",TRUE,UNIQUE(FILTER(소재DB_RAW!$N$3:$N$2000,(소재DB_RAW!$G$3:$G$2000=$D98)*ISERROR(SEARCH("drop",소재DB_RAW!$C$3:$C$2000))))),"")</f>
        <v/>
      </c>
      <c r="Y98" s="26">
        <f>IFERROR(TEXTJOIN(CHAR(10),TRUE,UNIQUE(FILTER(소재DB_RAW!$N$3:$N$2000&amp;") "&amp;소재DB_RAW!$O$3:$O$2000,(소재DB_RAW!$G$3:$G$2000=$D98)*ISNUMBER(SEARCH("겉감",소재DB_RAW!$M$3:$M$2000))*ISERROR(SEARCH("drop",소재DB_RAW!$C$3:$C$2000))))),"")</f>
        <v/>
      </c>
      <c r="Z98" s="26">
        <f>IFERROR(TEXTJOIN(CHAR(10),TRUE,UNIQUE(FILTER(소재DB_RAW!$N$3:$N$2000&amp;") "&amp;소재DB_RAW!$O$3:$O$2000,(소재DB_RAW!$G$3:$G$2000=$D98)*ISNUMBER(SEARCH("안감",소재DB_RAW!$M$3:$M$2000))*ISERROR(SEARCH("drop",소재DB_RAW!$C$3:$C$2000))))),"")</f>
        <v/>
      </c>
      <c r="AA98" s="27" t="n">
        <v>2200</v>
      </c>
      <c r="AB98" s="27" t="n">
        <v>94773800</v>
      </c>
      <c r="AC98" s="27" t="n">
        <v>594000000</v>
      </c>
      <c r="AD98" s="20" t="inlineStr">
        <is>
          <t>2월1주</t>
        </is>
      </c>
      <c r="AE98" s="20">
        <f>IF($K98="","출고일 미정",IF($Q98="X","작지 미발행",IF($Q98="부분","작지 일부 미발행",IF(AND($S98&lt;&gt;"",$S98&gt;$N98),"소재입고 마감("&amp;TEXT($N98,"MM/DD")&amp;") 초과",IF($Q98="","발행여부 확인 필요",IF($S98="","소재 입고일정 확인 필요","정상"))))))</f>
        <v/>
      </c>
      <c r="AF98" s="19">
        <f>IF($K98="","",IF(OR(LEFT($AE98,2)="작지",LEFT($AE98,4)="소재입고"),IF(LEFT($G98,1)="S","★ 납기위험(S코드)","◆ 지연주의"),IF($AE98="정상","✓ 정상","? 확인필요")))</f>
        <v/>
      </c>
      <c r="AG98" s="21" t="n"/>
      <c r="AH98" s="28" t="n"/>
    </row>
    <row r="99">
      <c r="A99" s="19" t="n">
        <v>95</v>
      </c>
      <c r="B99" s="20" t="inlineStr">
        <is>
          <t>정영준</t>
        </is>
      </c>
      <c r="C99" s="20" t="inlineStr">
        <is>
          <t>서은미</t>
        </is>
      </c>
      <c r="D99" s="20" t="inlineStr">
        <is>
          <t>TVPNS27552</t>
        </is>
      </c>
      <c r="E99" s="20" t="inlineStr">
        <is>
          <t>춘절 여성 소프트필 조거 팬츠 (SET-UP)</t>
        </is>
      </c>
      <c r="F99" s="20" t="inlineStr">
        <is>
          <t>BLK(BLACK), LLA-1</t>
        </is>
      </c>
      <c r="G99" s="19">
        <f>IF($D99="","",IF(MID($D99,5,1)="S","S(봄)",IF(MID($D99,5,1)="M","M(여름)",IF(MID($D99,5,1)="X","X(사계절)",MID($D99,5,1)))))</f>
        <v/>
      </c>
      <c r="H99" s="20" t="inlineStr">
        <is>
          <t>완사입</t>
        </is>
      </c>
      <c r="I99" s="19" t="inlineStr"/>
      <c r="J99" s="21" t="inlineStr">
        <is>
          <t>2월1주</t>
        </is>
      </c>
      <c r="K99" s="22">
        <f>IF($J99="","",IFERROR(DATE(IF(VALUE(LEFT($J99,FIND("월",$J99)-1))&gt;=9,기준정보!$C$7-1,기준정보!$C$7),VALUE(LEFT($J99,FIND("월",$J99)-1)),1+7*(VALUE(SUBSTITUTE(MID($J99,FIND("월",$J99)+1,5),"주",""))-1)),""))</f>
        <v/>
      </c>
      <c r="L99" s="22">
        <f>IF($K99="","",IF(AND($K99-기준정보!$C$5&gt;=기준정보!$C$10,$K99-기준정보!$C$5&lt;=기준정보!$C$11),기준정보!$C$10-1,$K99-기준정보!$C$5))</f>
        <v/>
      </c>
      <c r="M99" s="23">
        <f>IF($L99="","",IF(OR(ISNUMBER(SEARCH("중국",$W99)),ISNUMBER(SEARCH("베트남",$W99))),MAX(0,MIN($L99,기준정보!$C$9)-MAX($L99-기준정보!$C$6,기준정보!$C$8)+1),IF(ISNUMBER(SEARCH("한국",$W99)),MAX(0,MIN($L99,기준정보!$C$11)-MAX($L99-기준정보!$C$6,기준정보!$C$10)+1),0)))</f>
        <v/>
      </c>
      <c r="N99" s="22">
        <f>IF($L99="","",$L99-기준정보!$C$6-$M99)</f>
        <v/>
      </c>
      <c r="O99" s="24">
        <f>IF($N99="","",$N99-기준정보!$C$4)</f>
        <v/>
      </c>
      <c r="P99" s="21" t="n"/>
      <c r="Q99" s="21" t="inlineStr">
        <is>
          <t>O</t>
        </is>
      </c>
      <c r="R99" s="19">
        <f>IF(COUNTIF(EDW_RAW!$A$2:$A$1500,$D99)=0,"",IF(COUNTIFS(EDW_RAW!$A$2:$A$1500,$D99,EDW_RAW!$U$2:$U$1500,"&lt;&gt;~",EDW_RAW!$U$2:$U$1500,"&lt;&gt;")=COUNTIF(EDW_RAW!$A$2:$A$1500,$D99),"O",IF(COUNTIFS(EDW_RAW!$A$2:$A$1500,$D99,EDW_RAW!$U$2:$U$1500,"&lt;&gt;~",EDW_RAW!$U$2:$U$1500,"&lt;&gt;")&gt;0,"부분","X")))</f>
        <v/>
      </c>
      <c r="S99" s="25" t="n"/>
      <c r="T99" s="20">
        <f>IF($H99="","",IF(AND(ISNUMBER(SEARCH("CMT",$H99)),OR(ISNUMBER(SEARCH("완사입",$H99)),ISNUMBER(SEARCH("ODM",$H99)))),"본사/생산처 혼재",IF(ISNUMBER(SEARCH("CMT",$H99)),"본사(소재팀)","생산처")))</f>
        <v/>
      </c>
      <c r="U99" s="20" t="inlineStr">
        <is>
          <t>IKG</t>
        </is>
      </c>
      <c r="V99" s="20">
        <f>IFERROR(TEXTJOIN(" / ",TRUE,UNIQUE(FILTER(소재DB_RAW!$K$3:$K$2000,(소재DB_RAW!$G$3:$G$2000=$D99)*ISERROR(SEARCH("drop",소재DB_RAW!$C$3:$C$2000))))),"")</f>
        <v/>
      </c>
      <c r="W99" s="20" t="inlineStr">
        <is>
          <t>인도네시아</t>
        </is>
      </c>
      <c r="X99" s="20">
        <f>IFERROR(TEXTJOIN(" / ",TRUE,UNIQUE(FILTER(소재DB_RAW!$N$3:$N$2000,(소재DB_RAW!$G$3:$G$2000=$D99)*ISERROR(SEARCH("drop",소재DB_RAW!$C$3:$C$2000))))),"")</f>
        <v/>
      </c>
      <c r="Y99" s="26">
        <f>IFERROR(TEXTJOIN(CHAR(10),TRUE,UNIQUE(FILTER(소재DB_RAW!$N$3:$N$2000&amp;") "&amp;소재DB_RAW!$O$3:$O$2000,(소재DB_RAW!$G$3:$G$2000=$D99)*ISNUMBER(SEARCH("겉감",소재DB_RAW!$M$3:$M$2000))*ISERROR(SEARCH("drop",소재DB_RAW!$C$3:$C$2000))))),"")</f>
        <v/>
      </c>
      <c r="Z99" s="26">
        <f>IFERROR(TEXTJOIN(CHAR(10),TRUE,UNIQUE(FILTER(소재DB_RAW!$N$3:$N$2000&amp;") "&amp;소재DB_RAW!$O$3:$O$2000,(소재DB_RAW!$G$3:$G$2000=$D99)*ISNUMBER(SEARCH("안감",소재DB_RAW!$M$3:$M$2000))*ISERROR(SEARCH("drop",소재DB_RAW!$C$3:$C$2000))))),"")</f>
        <v/>
      </c>
      <c r="AA99" s="27" t="n">
        <v>1200</v>
      </c>
      <c r="AB99" s="27" t="n">
        <v>36000000</v>
      </c>
      <c r="AC99" s="27" t="n">
        <v>189600000</v>
      </c>
      <c r="AD99" s="20" t="inlineStr">
        <is>
          <t>2월1주</t>
        </is>
      </c>
      <c r="AE99" s="20">
        <f>IF($K99="","출고일 미정",IF($Q99="X","작지 미발행",IF($Q99="부분","작지 일부 미발행",IF(AND($S99&lt;&gt;"",$S99&gt;$N99),"소재입고 마감("&amp;TEXT($N99,"MM/DD")&amp;") 초과",IF($Q99="","발행여부 확인 필요",IF($S99="","소재 입고일정 확인 필요","정상"))))))</f>
        <v/>
      </c>
      <c r="AF99" s="19">
        <f>IF($K99="","",IF(OR(LEFT($AE99,2)="작지",LEFT($AE99,4)="소재입고"),IF(LEFT($G99,1)="S","★ 납기위험(S코드)","◆ 지연주의"),IF($AE99="정상","✓ 정상","? 확인필요")))</f>
        <v/>
      </c>
      <c r="AG99" s="21" t="n"/>
      <c r="AH99" s="28" t="n"/>
    </row>
    <row r="100">
      <c r="A100" s="19" t="n">
        <v>96</v>
      </c>
      <c r="B100" s="20" t="inlineStr">
        <is>
          <t>정영준</t>
        </is>
      </c>
      <c r="C100" s="20" t="inlineStr">
        <is>
          <t>서은미</t>
        </is>
      </c>
      <c r="D100" s="20" t="inlineStr">
        <is>
          <t>TVPNS27902</t>
        </is>
      </c>
      <c r="E100" s="20" t="inlineStr">
        <is>
          <t>유통특화_사계절 여성 세미 부츠컷 데님 팬츠</t>
        </is>
      </c>
      <c r="F100" s="20" t="inlineStr">
        <is>
          <t>IND(INDIGO)</t>
        </is>
      </c>
      <c r="G100" s="19">
        <f>IF($D100="","",IF(MID($D100,5,1)="S","S(봄)",IF(MID($D100,5,1)="M","M(여름)",IF(MID($D100,5,1)="X","X(사계절)",MID($D100,5,1)))))</f>
        <v/>
      </c>
      <c r="H100" s="20" t="inlineStr">
        <is>
          <t>완사입</t>
        </is>
      </c>
      <c r="I100" s="19" t="inlineStr"/>
      <c r="J100" s="21" t="inlineStr">
        <is>
          <t>2월1주</t>
        </is>
      </c>
      <c r="K100" s="22">
        <f>IF($J100="","",IFERROR(DATE(IF(VALUE(LEFT($J100,FIND("월",$J100)-1))&gt;=9,기준정보!$C$7-1,기준정보!$C$7),VALUE(LEFT($J100,FIND("월",$J100)-1)),1+7*(VALUE(SUBSTITUTE(MID($J100,FIND("월",$J100)+1,5),"주",""))-1)),""))</f>
        <v/>
      </c>
      <c r="L100" s="22">
        <f>IF($K100="","",IF(AND($K100-기준정보!$C$5&gt;=기준정보!$C$10,$K100-기준정보!$C$5&lt;=기준정보!$C$11),기준정보!$C$10-1,$K100-기준정보!$C$5))</f>
        <v/>
      </c>
      <c r="M100" s="23">
        <f>IF($L100="","",IF(OR(ISNUMBER(SEARCH("중국",$W100)),ISNUMBER(SEARCH("베트남",$W100))),MAX(0,MIN($L100,기준정보!$C$9)-MAX($L100-기준정보!$C$6,기준정보!$C$8)+1),IF(ISNUMBER(SEARCH("한국",$W100)),MAX(0,MIN($L100,기준정보!$C$11)-MAX($L100-기준정보!$C$6,기준정보!$C$10)+1),0)))</f>
        <v/>
      </c>
      <c r="N100" s="22">
        <f>IF($L100="","",$L100-기준정보!$C$6-$M100)</f>
        <v/>
      </c>
      <c r="O100" s="24">
        <f>IF($N100="","",$N100-기준정보!$C$4)</f>
        <v/>
      </c>
      <c r="P100" s="21" t="n"/>
      <c r="Q100" s="21" t="inlineStr">
        <is>
          <t>O</t>
        </is>
      </c>
      <c r="R100" s="19">
        <f>IF(COUNTIF(EDW_RAW!$A$2:$A$1500,$D100)=0,"",IF(COUNTIFS(EDW_RAW!$A$2:$A$1500,$D100,EDW_RAW!$U$2:$U$1500,"&lt;&gt;~",EDW_RAW!$U$2:$U$1500,"&lt;&gt;")=COUNTIF(EDW_RAW!$A$2:$A$1500,$D100),"O",IF(COUNTIFS(EDW_RAW!$A$2:$A$1500,$D100,EDW_RAW!$U$2:$U$1500,"&lt;&gt;~",EDW_RAW!$U$2:$U$1500,"&lt;&gt;")&gt;0,"부분","X")))</f>
        <v/>
      </c>
      <c r="S100" s="25" t="n"/>
      <c r="T100" s="20">
        <f>IF($H100="","",IF(AND(ISNUMBER(SEARCH("CMT",$H100)),OR(ISNUMBER(SEARCH("완사입",$H100)),ISNUMBER(SEARCH("ODM",$H100)))),"본사/생산처 혼재",IF(ISNUMBER(SEARCH("CMT",$H100)),"본사(소재팀)","생산처")))</f>
        <v/>
      </c>
      <c r="U100" s="20" t="inlineStr">
        <is>
          <t>스코브</t>
        </is>
      </c>
      <c r="V100" s="20">
        <f>IFERROR(TEXTJOIN(" / ",TRUE,UNIQUE(FILTER(소재DB_RAW!$K$3:$K$2000,(소재DB_RAW!$G$3:$G$2000=$D100)*ISERROR(SEARCH("drop",소재DB_RAW!$C$3:$C$2000))))),"")</f>
        <v/>
      </c>
      <c r="W100" s="20" t="inlineStr">
        <is>
          <t>베트남</t>
        </is>
      </c>
      <c r="X100" s="20">
        <f>IFERROR(TEXTJOIN(" / ",TRUE,UNIQUE(FILTER(소재DB_RAW!$N$3:$N$2000,(소재DB_RAW!$G$3:$G$2000=$D100)*ISERROR(SEARCH("drop",소재DB_RAW!$C$3:$C$2000))))),"")</f>
        <v/>
      </c>
      <c r="Y100" s="26">
        <f>IFERROR(TEXTJOIN(CHAR(10),TRUE,UNIQUE(FILTER(소재DB_RAW!$N$3:$N$2000&amp;") "&amp;소재DB_RAW!$O$3:$O$2000,(소재DB_RAW!$G$3:$G$2000=$D100)*ISNUMBER(SEARCH("겉감",소재DB_RAW!$M$3:$M$2000))*ISERROR(SEARCH("drop",소재DB_RAW!$C$3:$C$2000))))),"")</f>
        <v/>
      </c>
      <c r="Z100" s="26">
        <f>IFERROR(TEXTJOIN(CHAR(10),TRUE,UNIQUE(FILTER(소재DB_RAW!$N$3:$N$2000&amp;") "&amp;소재DB_RAW!$O$3:$O$2000,(소재DB_RAW!$G$3:$G$2000=$D100)*ISNUMBER(SEARCH("안감",소재DB_RAW!$M$3:$M$2000))*ISERROR(SEARCH("drop",소재DB_RAW!$C$3:$C$2000))))),"")</f>
        <v/>
      </c>
      <c r="AA100" s="27" t="n">
        <v>1000</v>
      </c>
      <c r="AB100" s="27" t="n">
        <v>28000000</v>
      </c>
      <c r="AC100" s="27" t="n">
        <v>158000000</v>
      </c>
      <c r="AD100" s="20" t="n"/>
      <c r="AE100" s="20">
        <f>IF($K100="","출고일 미정",IF($Q100="X","작지 미발행",IF($Q100="부분","작지 일부 미발행",IF(AND($S100&lt;&gt;"",$S100&gt;$N100),"소재입고 마감("&amp;TEXT($N100,"MM/DD")&amp;") 초과",IF($Q100="","발행여부 확인 필요",IF($S100="","소재 입고일정 확인 필요","정상"))))))</f>
        <v/>
      </c>
      <c r="AF100" s="19">
        <f>IF($K100="","",IF(OR(LEFT($AE100,2)="작지",LEFT($AE100,4)="소재입고"),IF(LEFT($G100,1)="S","★ 납기위험(S코드)","◆ 지연주의"),IF($AE100="정상","✓ 정상","? 확인필요")))</f>
        <v/>
      </c>
      <c r="AG100" s="21" t="n"/>
      <c r="AH100" s="28" t="n"/>
    </row>
    <row r="101">
      <c r="A101" s="19" t="n">
        <v>97</v>
      </c>
      <c r="B101" s="20" t="inlineStr">
        <is>
          <t>정영준</t>
        </is>
      </c>
      <c r="C101" s="20" t="inlineStr">
        <is>
          <t>서은미</t>
        </is>
      </c>
      <c r="D101" s="20" t="inlineStr">
        <is>
          <t>TVPOS27502</t>
        </is>
      </c>
      <c r="E101" s="20" t="inlineStr">
        <is>
          <t>춘절 여성 롱 스커트 (SET-UP)</t>
        </is>
      </c>
      <c r="F101" s="20" t="inlineStr">
        <is>
          <t>BLK(BLACK)</t>
        </is>
      </c>
      <c r="G101" s="19">
        <f>IF($D101="","",IF(MID($D101,5,1)="S","S(봄)",IF(MID($D101,5,1)="M","M(여름)",IF(MID($D101,5,1)="X","X(사계절)",MID($D101,5,1)))))</f>
        <v/>
      </c>
      <c r="H101" s="20" t="inlineStr">
        <is>
          <t>완사입</t>
        </is>
      </c>
      <c r="I101" s="19" t="inlineStr"/>
      <c r="J101" s="21" t="inlineStr">
        <is>
          <t>2월1주</t>
        </is>
      </c>
      <c r="K101" s="22">
        <f>IF($J101="","",IFERROR(DATE(IF(VALUE(LEFT($J101,FIND("월",$J101)-1))&gt;=9,기준정보!$C$7-1,기준정보!$C$7),VALUE(LEFT($J101,FIND("월",$J101)-1)),1+7*(VALUE(SUBSTITUTE(MID($J101,FIND("월",$J101)+1,5),"주",""))-1)),""))</f>
        <v/>
      </c>
      <c r="L101" s="22">
        <f>IF($K101="","",IF(AND($K101-기준정보!$C$5&gt;=기준정보!$C$10,$K101-기준정보!$C$5&lt;=기준정보!$C$11),기준정보!$C$10-1,$K101-기준정보!$C$5))</f>
        <v/>
      </c>
      <c r="M101" s="23">
        <f>IF($L101="","",IF(OR(ISNUMBER(SEARCH("중국",$W101)),ISNUMBER(SEARCH("베트남",$W101))),MAX(0,MIN($L101,기준정보!$C$9)-MAX($L101-기준정보!$C$6,기준정보!$C$8)+1),IF(ISNUMBER(SEARCH("한국",$W101)),MAX(0,MIN($L101,기준정보!$C$11)-MAX($L101-기준정보!$C$6,기준정보!$C$10)+1),0)))</f>
        <v/>
      </c>
      <c r="N101" s="22">
        <f>IF($L101="","",$L101-기준정보!$C$6-$M101)</f>
        <v/>
      </c>
      <c r="O101" s="24">
        <f>IF($N101="","",$N101-기준정보!$C$4)</f>
        <v/>
      </c>
      <c r="P101" s="21" t="n"/>
      <c r="Q101" s="21" t="inlineStr">
        <is>
          <t>O</t>
        </is>
      </c>
      <c r="R101" s="19">
        <f>IF(COUNTIF(EDW_RAW!$A$2:$A$1500,$D101)=0,"",IF(COUNTIFS(EDW_RAW!$A$2:$A$1500,$D101,EDW_RAW!$U$2:$U$1500,"&lt;&gt;~",EDW_RAW!$U$2:$U$1500,"&lt;&gt;")=COUNTIF(EDW_RAW!$A$2:$A$1500,$D101),"O",IF(COUNTIFS(EDW_RAW!$A$2:$A$1500,$D101,EDW_RAW!$U$2:$U$1500,"&lt;&gt;~",EDW_RAW!$U$2:$U$1500,"&lt;&gt;")&gt;0,"부분","X")))</f>
        <v/>
      </c>
      <c r="S101" s="25" t="n"/>
      <c r="T101" s="20">
        <f>IF($H101="","",IF(AND(ISNUMBER(SEARCH("CMT",$H101)),OR(ISNUMBER(SEARCH("완사입",$H101)),ISNUMBER(SEARCH("ODM",$H101)))),"본사/생산처 혼재",IF(ISNUMBER(SEARCH("CMT",$H101)),"본사(소재팀)","생산처")))</f>
        <v/>
      </c>
      <c r="U101" s="20" t="inlineStr">
        <is>
          <t>YIC</t>
        </is>
      </c>
      <c r="V101" s="20">
        <f>IFERROR(TEXTJOIN(" / ",TRUE,UNIQUE(FILTER(소재DB_RAW!$K$3:$K$2000,(소재DB_RAW!$G$3:$G$2000=$D101)*ISERROR(SEARCH("drop",소재DB_RAW!$C$3:$C$2000))))),"")</f>
        <v/>
      </c>
      <c r="W101" s="20" t="inlineStr">
        <is>
          <t>베트남</t>
        </is>
      </c>
      <c r="X101" s="20">
        <f>IFERROR(TEXTJOIN(" / ",TRUE,UNIQUE(FILTER(소재DB_RAW!$N$3:$N$2000,(소재DB_RAW!$G$3:$G$2000=$D101)*ISERROR(SEARCH("drop",소재DB_RAW!$C$3:$C$2000))))),"")</f>
        <v/>
      </c>
      <c r="Y101" s="26">
        <f>IFERROR(TEXTJOIN(CHAR(10),TRUE,UNIQUE(FILTER(소재DB_RAW!$N$3:$N$2000&amp;") "&amp;소재DB_RAW!$O$3:$O$2000,(소재DB_RAW!$G$3:$G$2000=$D101)*ISNUMBER(SEARCH("겉감",소재DB_RAW!$M$3:$M$2000))*ISERROR(SEARCH("drop",소재DB_RAW!$C$3:$C$2000))))),"")</f>
        <v/>
      </c>
      <c r="Z101" s="26">
        <f>IFERROR(TEXTJOIN(CHAR(10),TRUE,UNIQUE(FILTER(소재DB_RAW!$N$3:$N$2000&amp;") "&amp;소재DB_RAW!$O$3:$O$2000,(소재DB_RAW!$G$3:$G$2000=$D101)*ISNUMBER(SEARCH("안감",소재DB_RAW!$M$3:$M$2000))*ISERROR(SEARCH("drop",소재DB_RAW!$C$3:$C$2000))))),"")</f>
        <v/>
      </c>
      <c r="AA101" s="27" t="n">
        <v>1500</v>
      </c>
      <c r="AB101" s="27" t="n">
        <v>46137000</v>
      </c>
      <c r="AC101" s="27" t="n">
        <v>252000000</v>
      </c>
      <c r="AD101" s="20" t="inlineStr">
        <is>
          <t>2월1주</t>
        </is>
      </c>
      <c r="AE101" s="20">
        <f>IF($K101="","출고일 미정",IF($Q101="X","작지 미발행",IF($Q101="부분","작지 일부 미발행",IF(AND($S101&lt;&gt;"",$S101&gt;$N101),"소재입고 마감("&amp;TEXT($N101,"MM/DD")&amp;") 초과",IF($Q101="","발행여부 확인 필요",IF($S101="","소재 입고일정 확인 필요","정상"))))))</f>
        <v/>
      </c>
      <c r="AF101" s="19">
        <f>IF($K101="","",IF(OR(LEFT($AE101,2)="작지",LEFT($AE101,4)="소재입고"),IF(LEFT($G101,1)="S","★ 납기위험(S코드)","◆ 지연주의"),IF($AE101="정상","✓ 정상","? 확인필요")))</f>
        <v/>
      </c>
      <c r="AG101" s="21" t="n"/>
      <c r="AH101" s="28" t="n"/>
    </row>
    <row r="102">
      <c r="A102" s="19" t="n">
        <v>98</v>
      </c>
      <c r="B102" s="20" t="inlineStr">
        <is>
          <t>문도혁</t>
        </is>
      </c>
      <c r="C102" s="20" t="inlineStr">
        <is>
          <t>정희영</t>
        </is>
      </c>
      <c r="D102" s="20" t="inlineStr">
        <is>
          <t>TLPNS27521</t>
        </is>
      </c>
      <c r="E102" s="20" t="inlineStr">
        <is>
          <t>사계절 남성 KOMFORT 레귤러핏 팬츠 (SET-UP)</t>
        </is>
      </c>
      <c r="F102" s="20" t="inlineStr">
        <is>
          <t>MUD, BLK(BLACK)</t>
        </is>
      </c>
      <c r="G102" s="19">
        <f>IF($D102="","",IF(MID($D102,5,1)="S","S(봄)",IF(MID($D102,5,1)="M","M(여름)",IF(MID($D102,5,1)="X","X(사계절)",MID($D102,5,1)))))</f>
        <v/>
      </c>
      <c r="H102" s="20" t="inlineStr">
        <is>
          <t>CMT</t>
        </is>
      </c>
      <c r="I102" s="19" t="inlineStr">
        <is>
          <t>s2</t>
        </is>
      </c>
      <c r="J102" s="21" t="inlineStr">
        <is>
          <t>2월2주</t>
        </is>
      </c>
      <c r="K102" s="22">
        <f>IF($J102="","",IFERROR(DATE(IF(VALUE(LEFT($J102,FIND("월",$J102)-1))&gt;=9,기준정보!$C$7-1,기준정보!$C$7),VALUE(LEFT($J102,FIND("월",$J102)-1)),1+7*(VALUE(SUBSTITUTE(MID($J102,FIND("월",$J102)+1,5),"주",""))-1)),""))</f>
        <v/>
      </c>
      <c r="L102" s="22">
        <f>IF($K102="","",IF(AND($K102-기준정보!$C$5&gt;=기준정보!$C$10,$K102-기준정보!$C$5&lt;=기준정보!$C$11),기준정보!$C$10-1,$K102-기준정보!$C$5))</f>
        <v/>
      </c>
      <c r="M102" s="23">
        <f>IF($L102="","",IF(OR(ISNUMBER(SEARCH("중국",$W102)),ISNUMBER(SEARCH("베트남",$W102))),MAX(0,MIN($L102,기준정보!$C$9)-MAX($L102-기준정보!$C$6,기준정보!$C$8)+1),IF(ISNUMBER(SEARCH("한국",$W102)),MAX(0,MIN($L102,기준정보!$C$11)-MAX($L102-기준정보!$C$6,기준정보!$C$10)+1),0)))</f>
        <v/>
      </c>
      <c r="N102" s="22">
        <f>IF($L102="","",$L102-기준정보!$C$6-$M102)</f>
        <v/>
      </c>
      <c r="O102" s="24">
        <f>IF($N102="","",$N102-기준정보!$C$4)</f>
        <v/>
      </c>
      <c r="P102" s="21" t="n"/>
      <c r="Q102" s="21" t="inlineStr">
        <is>
          <t>O</t>
        </is>
      </c>
      <c r="R102" s="19">
        <f>IF(COUNTIF(EDW_RAW!$A$2:$A$1500,$D102)=0,"",IF(COUNTIFS(EDW_RAW!$A$2:$A$1500,$D102,EDW_RAW!$U$2:$U$1500,"&lt;&gt;~",EDW_RAW!$U$2:$U$1500,"&lt;&gt;")=COUNTIF(EDW_RAW!$A$2:$A$1500,$D102),"O",IF(COUNTIFS(EDW_RAW!$A$2:$A$1500,$D102,EDW_RAW!$U$2:$U$1500,"&lt;&gt;~",EDW_RAW!$U$2:$U$1500,"&lt;&gt;")&gt;0,"부분","X")))</f>
        <v/>
      </c>
      <c r="S102" s="25" t="n"/>
      <c r="T102" s="20">
        <f>IF($H102="","",IF(AND(ISNUMBER(SEARCH("CMT",$H102)),OR(ISNUMBER(SEARCH("완사입",$H102)),ISNUMBER(SEARCH("ODM",$H102)))),"본사/생산처 혼재",IF(ISNUMBER(SEARCH("CMT",$H102)),"본사(소재팀)","생산처")))</f>
        <v/>
      </c>
      <c r="U102" s="20" t="inlineStr">
        <is>
          <t>YIC</t>
        </is>
      </c>
      <c r="V102" s="20">
        <f>IFERROR(TEXTJOIN(" / ",TRUE,UNIQUE(FILTER(소재DB_RAW!$K$3:$K$2000,(소재DB_RAW!$G$3:$G$2000=$D102)*ISERROR(SEARCH("drop",소재DB_RAW!$C$3:$C$2000))))),"")</f>
        <v/>
      </c>
      <c r="W102" s="20" t="inlineStr">
        <is>
          <t>베트남</t>
        </is>
      </c>
      <c r="X102" s="20">
        <f>IFERROR(TEXTJOIN(" / ",TRUE,UNIQUE(FILTER(소재DB_RAW!$N$3:$N$2000,(소재DB_RAW!$G$3:$G$2000=$D102)*ISERROR(SEARCH("drop",소재DB_RAW!$C$3:$C$2000))))),"")</f>
        <v/>
      </c>
      <c r="Y102" s="26">
        <f>IFERROR(TEXTJOIN(CHAR(10),TRUE,UNIQUE(FILTER(소재DB_RAW!$N$3:$N$2000&amp;") "&amp;소재DB_RAW!$O$3:$O$2000,(소재DB_RAW!$G$3:$G$2000=$D102)*ISNUMBER(SEARCH("겉감",소재DB_RAW!$M$3:$M$2000))*ISERROR(SEARCH("drop",소재DB_RAW!$C$3:$C$2000))))),"")</f>
        <v/>
      </c>
      <c r="Z102" s="26">
        <f>IFERROR(TEXTJOIN(CHAR(10),TRUE,UNIQUE(FILTER(소재DB_RAW!$N$3:$N$2000&amp;") "&amp;소재DB_RAW!$O$3:$O$2000,(소재DB_RAW!$G$3:$G$2000=$D102)*ISNUMBER(SEARCH("안감",소재DB_RAW!$M$3:$M$2000))*ISERROR(SEARCH("drop",소재DB_RAW!$C$3:$C$2000))))),"")</f>
        <v/>
      </c>
      <c r="AA102" s="27" t="n">
        <v>2000</v>
      </c>
      <c r="AB102" s="27" t="n">
        <v>67386000</v>
      </c>
      <c r="AC102" s="27" t="n">
        <v>396000000</v>
      </c>
      <c r="AD102" s="20" t="n"/>
      <c r="AE102" s="20">
        <f>IF($K102="","출고일 미정",IF($Q102="X","작지 미발행",IF($Q102="부분","작지 일부 미발행",IF(AND($S102&lt;&gt;"",$S102&gt;$N102),"소재입고 마감("&amp;TEXT($N102,"MM/DD")&amp;") 초과",IF($Q102="","발행여부 확인 필요",IF($S102="","소재 입고일정 확인 필요","정상"))))))</f>
        <v/>
      </c>
      <c r="AF102" s="19">
        <f>IF($K102="","",IF(OR(LEFT($AE102,2)="작지",LEFT($AE102,4)="소재입고"),IF(LEFT($G102,1)="S","★ 납기위험(S코드)","◆ 지연주의"),IF($AE102="정상","✓ 정상","? 확인필요")))</f>
        <v/>
      </c>
      <c r="AG102" s="21" t="n"/>
      <c r="AH102" s="28" t="n"/>
    </row>
    <row r="103">
      <c r="A103" s="19" t="n">
        <v>99</v>
      </c>
      <c r="B103" s="20" t="inlineStr">
        <is>
          <t>문도혁</t>
        </is>
      </c>
      <c r="C103" s="20" t="inlineStr">
        <is>
          <t>정희영</t>
        </is>
      </c>
      <c r="D103" s="20" t="inlineStr">
        <is>
          <t>TLPNS27901</t>
        </is>
      </c>
      <c r="E103" s="20" t="inlineStr">
        <is>
          <t>유통특화_사계절 남성 레귤러핏 데님 팬츠</t>
        </is>
      </c>
      <c r="F103" s="20" t="inlineStr">
        <is>
          <t>IND(INDIGO), BLK(BLACK)</t>
        </is>
      </c>
      <c r="G103" s="19">
        <f>IF($D103="","",IF(MID($D103,5,1)="S","S(봄)",IF(MID($D103,5,1)="M","M(여름)",IF(MID($D103,5,1)="X","X(사계절)",MID($D103,5,1)))))</f>
        <v/>
      </c>
      <c r="H103" s="20" t="inlineStr">
        <is>
          <t>완사입</t>
        </is>
      </c>
      <c r="I103" s="19" t="inlineStr">
        <is>
          <t>s2</t>
        </is>
      </c>
      <c r="J103" s="21" t="inlineStr">
        <is>
          <t>2월2주</t>
        </is>
      </c>
      <c r="K103" s="22">
        <f>IF($J103="","",IFERROR(DATE(IF(VALUE(LEFT($J103,FIND("월",$J103)-1))&gt;=9,기준정보!$C$7-1,기준정보!$C$7),VALUE(LEFT($J103,FIND("월",$J103)-1)),1+7*(VALUE(SUBSTITUTE(MID($J103,FIND("월",$J103)+1,5),"주",""))-1)),""))</f>
        <v/>
      </c>
      <c r="L103" s="22">
        <f>IF($K103="","",IF(AND($K103-기준정보!$C$5&gt;=기준정보!$C$10,$K103-기준정보!$C$5&lt;=기준정보!$C$11),기준정보!$C$10-1,$K103-기준정보!$C$5))</f>
        <v/>
      </c>
      <c r="M103" s="23">
        <f>IF($L103="","",IF(OR(ISNUMBER(SEARCH("중국",$W103)),ISNUMBER(SEARCH("베트남",$W103))),MAX(0,MIN($L103,기준정보!$C$9)-MAX($L103-기준정보!$C$6,기준정보!$C$8)+1),IF(ISNUMBER(SEARCH("한국",$W103)),MAX(0,MIN($L103,기준정보!$C$11)-MAX($L103-기준정보!$C$6,기준정보!$C$10)+1),0)))</f>
        <v/>
      </c>
      <c r="N103" s="22">
        <f>IF($L103="","",$L103-기준정보!$C$6-$M103)</f>
        <v/>
      </c>
      <c r="O103" s="24">
        <f>IF($N103="","",$N103-기준정보!$C$4)</f>
        <v/>
      </c>
      <c r="P103" s="21" t="inlineStr">
        <is>
          <t>O</t>
        </is>
      </c>
      <c r="Q103" s="21" t="inlineStr">
        <is>
          <t>O</t>
        </is>
      </c>
      <c r="R103" s="19">
        <f>IF(COUNTIF(EDW_RAW!$A$2:$A$1500,$D103)=0,"",IF(COUNTIFS(EDW_RAW!$A$2:$A$1500,$D103,EDW_RAW!$U$2:$U$1500,"&lt;&gt;~",EDW_RAW!$U$2:$U$1500,"&lt;&gt;")=COUNTIF(EDW_RAW!$A$2:$A$1500,$D103),"O",IF(COUNTIFS(EDW_RAW!$A$2:$A$1500,$D103,EDW_RAW!$U$2:$U$1500,"&lt;&gt;~",EDW_RAW!$U$2:$U$1500,"&lt;&gt;")&gt;0,"부분","X")))</f>
        <v/>
      </c>
      <c r="S103" s="25" t="n"/>
      <c r="T103" s="20">
        <f>IF($H103="","",IF(AND(ISNUMBER(SEARCH("CMT",$H103)),OR(ISNUMBER(SEARCH("완사입",$H103)),ISNUMBER(SEARCH("ODM",$H103)))),"본사/생산처 혼재",IF(ISNUMBER(SEARCH("CMT",$H103)),"본사(소재팀)","생산처")))</f>
        <v/>
      </c>
      <c r="U103" s="20" t="inlineStr">
        <is>
          <t>스코브</t>
        </is>
      </c>
      <c r="V103" s="20">
        <f>IFERROR(TEXTJOIN(" / ",TRUE,UNIQUE(FILTER(소재DB_RAW!$K$3:$K$2000,(소재DB_RAW!$G$3:$G$2000=$D103)*ISERROR(SEARCH("drop",소재DB_RAW!$C$3:$C$2000))))),"")</f>
        <v/>
      </c>
      <c r="W103" s="20" t="inlineStr">
        <is>
          <t>베트남</t>
        </is>
      </c>
      <c r="X103" s="20">
        <f>IFERROR(TEXTJOIN(" / ",TRUE,UNIQUE(FILTER(소재DB_RAW!$N$3:$N$2000,(소재DB_RAW!$G$3:$G$2000=$D103)*ISERROR(SEARCH("drop",소재DB_RAW!$C$3:$C$2000))))),"")</f>
        <v/>
      </c>
      <c r="Y103" s="26">
        <f>IFERROR(TEXTJOIN(CHAR(10),TRUE,UNIQUE(FILTER(소재DB_RAW!$N$3:$N$2000&amp;") "&amp;소재DB_RAW!$O$3:$O$2000,(소재DB_RAW!$G$3:$G$2000=$D103)*ISNUMBER(SEARCH("겉감",소재DB_RAW!$M$3:$M$2000))*ISERROR(SEARCH("drop",소재DB_RAW!$C$3:$C$2000))))),"")</f>
        <v/>
      </c>
      <c r="Z103" s="26">
        <f>IFERROR(TEXTJOIN(CHAR(10),TRUE,UNIQUE(FILTER(소재DB_RAW!$N$3:$N$2000&amp;") "&amp;소재DB_RAW!$O$3:$O$2000,(소재DB_RAW!$G$3:$G$2000=$D103)*ISNUMBER(SEARCH("안감",소재DB_RAW!$M$3:$M$2000))*ISERROR(SEARCH("drop",소재DB_RAW!$C$3:$C$2000))))),"")</f>
        <v/>
      </c>
      <c r="AA103" s="27" t="n">
        <v>1200</v>
      </c>
      <c r="AB103" s="27" t="n">
        <v>32350800</v>
      </c>
      <c r="AC103" s="27" t="n">
        <v>225600000</v>
      </c>
      <c r="AD103" s="20" t="n"/>
      <c r="AE103" s="20">
        <f>IF($K103="","출고일 미정",IF($Q103="X","작지 미발행",IF($Q103="부분","작지 일부 미발행",IF(AND($S103&lt;&gt;"",$S103&gt;$N103),"소재입고 마감("&amp;TEXT($N103,"MM/DD")&amp;") 초과",IF($Q103="","발행여부 확인 필요",IF($S103="","소재 입고일정 확인 필요","정상"))))))</f>
        <v/>
      </c>
      <c r="AF103" s="19">
        <f>IF($K103="","",IF(OR(LEFT($AE103,2)="작지",LEFT($AE103,4)="소재입고"),IF(LEFT($G103,1)="S","★ 납기위험(S코드)","◆ 지연주의"),IF($AE103="정상","✓ 정상","? 확인필요")))</f>
        <v/>
      </c>
      <c r="AG103" s="21" t="n"/>
      <c r="AH103" s="28" t="n"/>
    </row>
    <row r="104">
      <c r="A104" s="19" t="n">
        <v>100</v>
      </c>
      <c r="B104" s="20" t="inlineStr">
        <is>
          <t>김준래</t>
        </is>
      </c>
      <c r="C104" s="20" t="inlineStr">
        <is>
          <t>정희영</t>
        </is>
      </c>
      <c r="D104" s="20" t="inlineStr">
        <is>
          <t>TLSXS27501</t>
        </is>
      </c>
      <c r="E104" s="20" t="inlineStr">
        <is>
          <t>남성 기본형 세미오버 긴팔 셔츠</t>
        </is>
      </c>
      <c r="F104" s="20" t="inlineStr">
        <is>
          <t>GRY-2, BLK(BLACK)</t>
        </is>
      </c>
      <c r="G104" s="19">
        <f>IF($D104="","",IF(MID($D104,5,1)="S","S(봄)",IF(MID($D104,5,1)="M","M(여름)",IF(MID($D104,5,1)="X","X(사계절)",MID($D104,5,1)))))</f>
        <v/>
      </c>
      <c r="H104" s="20" t="inlineStr">
        <is>
          <t>완사입</t>
        </is>
      </c>
      <c r="I104" s="19" t="inlineStr"/>
      <c r="J104" s="21" t="inlineStr">
        <is>
          <t>2월3주</t>
        </is>
      </c>
      <c r="K104" s="22">
        <f>IF($J104="","",IFERROR(DATE(IF(VALUE(LEFT($J104,FIND("월",$J104)-1))&gt;=9,기준정보!$C$7-1,기준정보!$C$7),VALUE(LEFT($J104,FIND("월",$J104)-1)),1+7*(VALUE(SUBSTITUTE(MID($J104,FIND("월",$J104)+1,5),"주",""))-1)),""))</f>
        <v/>
      </c>
      <c r="L104" s="22">
        <f>IF($K104="","",IF(AND($K104-기준정보!$C$5&gt;=기준정보!$C$10,$K104-기준정보!$C$5&lt;=기준정보!$C$11),기준정보!$C$10-1,$K104-기준정보!$C$5))</f>
        <v/>
      </c>
      <c r="M104" s="23">
        <f>IF($L104="","",IF(OR(ISNUMBER(SEARCH("중국",$W104)),ISNUMBER(SEARCH("베트남",$W104))),MAX(0,MIN($L104,기준정보!$C$9)-MAX($L104-기준정보!$C$6,기준정보!$C$8)+1),IF(ISNUMBER(SEARCH("한국",$W104)),MAX(0,MIN($L104,기준정보!$C$11)-MAX($L104-기준정보!$C$6,기준정보!$C$10)+1),0)))</f>
        <v/>
      </c>
      <c r="N104" s="22">
        <f>IF($L104="","",$L104-기준정보!$C$6-$M104)</f>
        <v/>
      </c>
      <c r="O104" s="24">
        <f>IF($N104="","",$N104-기준정보!$C$4)</f>
        <v/>
      </c>
      <c r="P104" s="21" t="n"/>
      <c r="Q104" s="21" t="inlineStr">
        <is>
          <t>O</t>
        </is>
      </c>
      <c r="R104" s="19">
        <f>IF(COUNTIF(EDW_RAW!$A$2:$A$1500,$D104)=0,"",IF(COUNTIFS(EDW_RAW!$A$2:$A$1500,$D104,EDW_RAW!$U$2:$U$1500,"&lt;&gt;~",EDW_RAW!$U$2:$U$1500,"&lt;&gt;")=COUNTIF(EDW_RAW!$A$2:$A$1500,$D104),"O",IF(COUNTIFS(EDW_RAW!$A$2:$A$1500,$D104,EDW_RAW!$U$2:$U$1500,"&lt;&gt;~",EDW_RAW!$U$2:$U$1500,"&lt;&gt;")&gt;0,"부분","X")))</f>
        <v/>
      </c>
      <c r="S104" s="25" t="n"/>
      <c r="T104" s="20">
        <f>IF($H104="","",IF(AND(ISNUMBER(SEARCH("CMT",$H104)),OR(ISNUMBER(SEARCH("완사입",$H104)),ISNUMBER(SEARCH("ODM",$H104)))),"본사/생산처 혼재",IF(ISNUMBER(SEARCH("CMT",$H104)),"본사(소재팀)","생산처")))</f>
        <v/>
      </c>
      <c r="U104" s="20" t="inlineStr">
        <is>
          <t>성원</t>
        </is>
      </c>
      <c r="V104" s="20">
        <f>IFERROR(TEXTJOIN(" / ",TRUE,UNIQUE(FILTER(소재DB_RAW!$K$3:$K$2000,(소재DB_RAW!$G$3:$G$2000=$D104)*ISERROR(SEARCH("drop",소재DB_RAW!$C$3:$C$2000))))),"")</f>
        <v/>
      </c>
      <c r="W104" s="20" t="inlineStr"/>
      <c r="X104" s="20">
        <f>IFERROR(TEXTJOIN(" / ",TRUE,UNIQUE(FILTER(소재DB_RAW!$N$3:$N$2000,(소재DB_RAW!$G$3:$G$2000=$D104)*ISERROR(SEARCH("drop",소재DB_RAW!$C$3:$C$2000))))),"")</f>
        <v/>
      </c>
      <c r="Y104" s="26">
        <f>IFERROR(TEXTJOIN(CHAR(10),TRUE,UNIQUE(FILTER(소재DB_RAW!$N$3:$N$2000&amp;") "&amp;소재DB_RAW!$O$3:$O$2000,(소재DB_RAW!$G$3:$G$2000=$D104)*ISNUMBER(SEARCH("겉감",소재DB_RAW!$M$3:$M$2000))*ISERROR(SEARCH("drop",소재DB_RAW!$C$3:$C$2000))))),"")</f>
        <v/>
      </c>
      <c r="Z104" s="26">
        <f>IFERROR(TEXTJOIN(CHAR(10),TRUE,UNIQUE(FILTER(소재DB_RAW!$N$3:$N$2000&amp;") "&amp;소재DB_RAW!$O$3:$O$2000,(소재DB_RAW!$G$3:$G$2000=$D104)*ISNUMBER(SEARCH("안감",소재DB_RAW!$M$3:$M$2000))*ISERROR(SEARCH("drop",소재DB_RAW!$C$3:$C$2000))))),"")</f>
        <v/>
      </c>
      <c r="AA104" s="27" t="n">
        <v>2000</v>
      </c>
      <c r="AB104" s="27" t="n">
        <v>78566000</v>
      </c>
      <c r="AC104" s="27" t="n">
        <v>356000000</v>
      </c>
      <c r="AD104" s="20" t="n"/>
      <c r="AE104" s="20">
        <f>IF($K104="","출고일 미정",IF($Q104="X","작지 미발행",IF($Q104="부분","작지 일부 미발행",IF(AND($S104&lt;&gt;"",$S104&gt;$N104),"소재입고 마감("&amp;TEXT($N104,"MM/DD")&amp;") 초과",IF($Q104="","발행여부 확인 필요",IF($S104="","소재 입고일정 확인 필요","정상"))))))</f>
        <v/>
      </c>
      <c r="AF104" s="19">
        <f>IF($K104="","",IF(OR(LEFT($AE104,2)="작지",LEFT($AE104,4)="소재입고"),IF(LEFT($G104,1)="S","★ 납기위험(S코드)","◆ 지연주의"),IF($AE104="정상","✓ 정상","? 확인필요")))</f>
        <v/>
      </c>
      <c r="AG104" s="21" t="n"/>
      <c r="AH104" s="28" t="n"/>
    </row>
    <row r="105">
      <c r="A105" s="19" t="n">
        <v>101</v>
      </c>
      <c r="B105" s="20" t="inlineStr">
        <is>
          <t>김준래</t>
        </is>
      </c>
      <c r="C105" s="20" t="inlineStr">
        <is>
          <t>정희영</t>
        </is>
      </c>
      <c r="D105" s="20" t="inlineStr">
        <is>
          <t>TLSXS27511</t>
        </is>
      </c>
      <c r="E105" s="20" t="inlineStr">
        <is>
          <t>남성 아우터형 긴팔 셔츠</t>
        </is>
      </c>
      <c r="F105" s="20" t="inlineStr">
        <is>
          <t>GRY-2, MUD</t>
        </is>
      </c>
      <c r="G105" s="19">
        <f>IF($D105="","",IF(MID($D105,5,1)="S","S(봄)",IF(MID($D105,5,1)="M","M(여름)",IF(MID($D105,5,1)="X","X(사계절)",MID($D105,5,1)))))</f>
        <v/>
      </c>
      <c r="H105" s="20" t="inlineStr">
        <is>
          <t>완사입</t>
        </is>
      </c>
      <c r="I105" s="19" t="inlineStr"/>
      <c r="J105" s="21" t="inlineStr">
        <is>
          <t>2월3주</t>
        </is>
      </c>
      <c r="K105" s="22">
        <f>IF($J105="","",IFERROR(DATE(IF(VALUE(LEFT($J105,FIND("월",$J105)-1))&gt;=9,기준정보!$C$7-1,기준정보!$C$7),VALUE(LEFT($J105,FIND("월",$J105)-1)),1+7*(VALUE(SUBSTITUTE(MID($J105,FIND("월",$J105)+1,5),"주",""))-1)),""))</f>
        <v/>
      </c>
      <c r="L105" s="22">
        <f>IF($K105="","",IF(AND($K105-기준정보!$C$5&gt;=기준정보!$C$10,$K105-기준정보!$C$5&lt;=기준정보!$C$11),기준정보!$C$10-1,$K105-기준정보!$C$5))</f>
        <v/>
      </c>
      <c r="M105" s="23">
        <f>IF($L105="","",IF(OR(ISNUMBER(SEARCH("중국",$W105)),ISNUMBER(SEARCH("베트남",$W105))),MAX(0,MIN($L105,기준정보!$C$9)-MAX($L105-기준정보!$C$6,기준정보!$C$8)+1),IF(ISNUMBER(SEARCH("한국",$W105)),MAX(0,MIN($L105,기준정보!$C$11)-MAX($L105-기준정보!$C$6,기준정보!$C$10)+1),0)))</f>
        <v/>
      </c>
      <c r="N105" s="22">
        <f>IF($L105="","",$L105-기준정보!$C$6-$M105)</f>
        <v/>
      </c>
      <c r="O105" s="24">
        <f>IF($N105="","",$N105-기준정보!$C$4)</f>
        <v/>
      </c>
      <c r="P105" s="21" t="n"/>
      <c r="Q105" s="21" t="inlineStr">
        <is>
          <t>O</t>
        </is>
      </c>
      <c r="R105" s="19">
        <f>IF(COUNTIF(EDW_RAW!$A$2:$A$1500,$D105)=0,"",IF(COUNTIFS(EDW_RAW!$A$2:$A$1500,$D105,EDW_RAW!$U$2:$U$1500,"&lt;&gt;~",EDW_RAW!$U$2:$U$1500,"&lt;&gt;")=COUNTIF(EDW_RAW!$A$2:$A$1500,$D105),"O",IF(COUNTIFS(EDW_RAW!$A$2:$A$1500,$D105,EDW_RAW!$U$2:$U$1500,"&lt;&gt;~",EDW_RAW!$U$2:$U$1500,"&lt;&gt;")&gt;0,"부분","X")))</f>
        <v/>
      </c>
      <c r="S105" s="25" t="n"/>
      <c r="T105" s="20">
        <f>IF($H105="","",IF(AND(ISNUMBER(SEARCH("CMT",$H105)),OR(ISNUMBER(SEARCH("완사입",$H105)),ISNUMBER(SEARCH("ODM",$H105)))),"본사/생산처 혼재",IF(ISNUMBER(SEARCH("CMT",$H105)),"본사(소재팀)","생산처")))</f>
        <v/>
      </c>
      <c r="U105" s="20" t="inlineStr">
        <is>
          <t>성원</t>
        </is>
      </c>
      <c r="V105" s="20">
        <f>IFERROR(TEXTJOIN(" / ",TRUE,UNIQUE(FILTER(소재DB_RAW!$K$3:$K$2000,(소재DB_RAW!$G$3:$G$2000=$D105)*ISERROR(SEARCH("drop",소재DB_RAW!$C$3:$C$2000))))),"")</f>
        <v/>
      </c>
      <c r="W105" s="20" t="inlineStr"/>
      <c r="X105" s="20">
        <f>IFERROR(TEXTJOIN(" / ",TRUE,UNIQUE(FILTER(소재DB_RAW!$N$3:$N$2000,(소재DB_RAW!$G$3:$G$2000=$D105)*ISERROR(SEARCH("drop",소재DB_RAW!$C$3:$C$2000))))),"")</f>
        <v/>
      </c>
      <c r="Y105" s="26">
        <f>IFERROR(TEXTJOIN(CHAR(10),TRUE,UNIQUE(FILTER(소재DB_RAW!$N$3:$N$2000&amp;") "&amp;소재DB_RAW!$O$3:$O$2000,(소재DB_RAW!$G$3:$G$2000=$D105)*ISNUMBER(SEARCH("겉감",소재DB_RAW!$M$3:$M$2000))*ISERROR(SEARCH("drop",소재DB_RAW!$C$3:$C$2000))))),"")</f>
        <v/>
      </c>
      <c r="Z105" s="26">
        <f>IFERROR(TEXTJOIN(CHAR(10),TRUE,UNIQUE(FILTER(소재DB_RAW!$N$3:$N$2000&amp;") "&amp;소재DB_RAW!$O$3:$O$2000,(소재DB_RAW!$G$3:$G$2000=$D105)*ISNUMBER(SEARCH("안감",소재DB_RAW!$M$3:$M$2000))*ISERROR(SEARCH("drop",소재DB_RAW!$C$3:$C$2000))))),"")</f>
        <v/>
      </c>
      <c r="AA105" s="27" t="n">
        <v>1400</v>
      </c>
      <c r="AB105" s="27" t="n">
        <v>50358000</v>
      </c>
      <c r="AC105" s="27" t="n">
        <v>263200000</v>
      </c>
      <c r="AD105" s="20" t="n"/>
      <c r="AE105" s="20">
        <f>IF($K105="","출고일 미정",IF($Q105="X","작지 미발행",IF($Q105="부분","작지 일부 미발행",IF(AND($S105&lt;&gt;"",$S105&gt;$N105),"소재입고 마감("&amp;TEXT($N105,"MM/DD")&amp;") 초과",IF($Q105="","발행여부 확인 필요",IF($S105="","소재 입고일정 확인 필요","정상"))))))</f>
        <v/>
      </c>
      <c r="AF105" s="19">
        <f>IF($K105="","",IF(OR(LEFT($AE105,2)="작지",LEFT($AE105,4)="소재입고"),IF(LEFT($G105,1)="S","★ 납기위험(S코드)","◆ 지연주의"),IF($AE105="정상","✓ 정상","? 확인필요")))</f>
        <v/>
      </c>
      <c r="AG105" s="21" t="n"/>
      <c r="AH105" s="28" t="n"/>
    </row>
    <row r="106">
      <c r="A106" s="19" t="n">
        <v>102</v>
      </c>
      <c r="B106" s="20" t="inlineStr">
        <is>
          <t>김준래</t>
        </is>
      </c>
      <c r="C106" s="20" t="inlineStr">
        <is>
          <t>서은미</t>
        </is>
      </c>
      <c r="D106" s="20" t="inlineStr">
        <is>
          <t>TVSXS27502</t>
        </is>
      </c>
      <c r="E106" s="20" t="inlineStr">
        <is>
          <t>여성 기본형 세미오버 긴팔 셔츠</t>
        </is>
      </c>
      <c r="F106" s="20" t="inlineStr">
        <is>
          <t>GRI(GREIGE), LLA</t>
        </is>
      </c>
      <c r="G106" s="19">
        <f>IF($D106="","",IF(MID($D106,5,1)="S","S(봄)",IF(MID($D106,5,1)="M","M(여름)",IF(MID($D106,5,1)="X","X(사계절)",MID($D106,5,1)))))</f>
        <v/>
      </c>
      <c r="H106" s="20" t="inlineStr">
        <is>
          <t>완사입</t>
        </is>
      </c>
      <c r="I106" s="19" t="inlineStr"/>
      <c r="J106" s="21" t="inlineStr">
        <is>
          <t>2월3주</t>
        </is>
      </c>
      <c r="K106" s="22">
        <f>IF($J106="","",IFERROR(DATE(IF(VALUE(LEFT($J106,FIND("월",$J106)-1))&gt;=9,기준정보!$C$7-1,기준정보!$C$7),VALUE(LEFT($J106,FIND("월",$J106)-1)),1+7*(VALUE(SUBSTITUTE(MID($J106,FIND("월",$J106)+1,5),"주",""))-1)),""))</f>
        <v/>
      </c>
      <c r="L106" s="22">
        <f>IF($K106="","",IF(AND($K106-기준정보!$C$5&gt;=기준정보!$C$10,$K106-기준정보!$C$5&lt;=기준정보!$C$11),기준정보!$C$10-1,$K106-기준정보!$C$5))</f>
        <v/>
      </c>
      <c r="M106" s="23">
        <f>IF($L106="","",IF(OR(ISNUMBER(SEARCH("중국",$W106)),ISNUMBER(SEARCH("베트남",$W106))),MAX(0,MIN($L106,기준정보!$C$9)-MAX($L106-기준정보!$C$6,기준정보!$C$8)+1),IF(ISNUMBER(SEARCH("한국",$W106)),MAX(0,MIN($L106,기준정보!$C$11)-MAX($L106-기준정보!$C$6,기준정보!$C$10)+1),0)))</f>
        <v/>
      </c>
      <c r="N106" s="22">
        <f>IF($L106="","",$L106-기준정보!$C$6-$M106)</f>
        <v/>
      </c>
      <c r="O106" s="24">
        <f>IF($N106="","",$N106-기준정보!$C$4)</f>
        <v/>
      </c>
      <c r="P106" s="21" t="n"/>
      <c r="Q106" s="21" t="inlineStr">
        <is>
          <t>O</t>
        </is>
      </c>
      <c r="R106" s="19">
        <f>IF(COUNTIF(EDW_RAW!$A$2:$A$1500,$D106)=0,"",IF(COUNTIFS(EDW_RAW!$A$2:$A$1500,$D106,EDW_RAW!$U$2:$U$1500,"&lt;&gt;~",EDW_RAW!$U$2:$U$1500,"&lt;&gt;")=COUNTIF(EDW_RAW!$A$2:$A$1500,$D106),"O",IF(COUNTIFS(EDW_RAW!$A$2:$A$1500,$D106,EDW_RAW!$U$2:$U$1500,"&lt;&gt;~",EDW_RAW!$U$2:$U$1500,"&lt;&gt;")&gt;0,"부분","X")))</f>
        <v/>
      </c>
      <c r="S106" s="25" t="n"/>
      <c r="T106" s="20">
        <f>IF($H106="","",IF(AND(ISNUMBER(SEARCH("CMT",$H106)),OR(ISNUMBER(SEARCH("완사입",$H106)),ISNUMBER(SEARCH("ODM",$H106)))),"본사/생산처 혼재",IF(ISNUMBER(SEARCH("CMT",$H106)),"본사(소재팀)","생산처")))</f>
        <v/>
      </c>
      <c r="U106" s="20" t="inlineStr">
        <is>
          <t>성원</t>
        </is>
      </c>
      <c r="V106" s="20">
        <f>IFERROR(TEXTJOIN(" / ",TRUE,UNIQUE(FILTER(소재DB_RAW!$K$3:$K$2000,(소재DB_RAW!$G$3:$G$2000=$D106)*ISERROR(SEARCH("drop",소재DB_RAW!$C$3:$C$2000))))),"")</f>
        <v/>
      </c>
      <c r="W106" s="20" t="inlineStr">
        <is>
          <t>베트남</t>
        </is>
      </c>
      <c r="X106" s="20">
        <f>IFERROR(TEXTJOIN(" / ",TRUE,UNIQUE(FILTER(소재DB_RAW!$N$3:$N$2000,(소재DB_RAW!$G$3:$G$2000=$D106)*ISERROR(SEARCH("drop",소재DB_RAW!$C$3:$C$2000))))),"")</f>
        <v/>
      </c>
      <c r="Y106" s="26">
        <f>IFERROR(TEXTJOIN(CHAR(10),TRUE,UNIQUE(FILTER(소재DB_RAW!$N$3:$N$2000&amp;") "&amp;소재DB_RAW!$O$3:$O$2000,(소재DB_RAW!$G$3:$G$2000=$D106)*ISNUMBER(SEARCH("겉감",소재DB_RAW!$M$3:$M$2000))*ISERROR(SEARCH("drop",소재DB_RAW!$C$3:$C$2000))))),"")</f>
        <v/>
      </c>
      <c r="Z106" s="26">
        <f>IFERROR(TEXTJOIN(CHAR(10),TRUE,UNIQUE(FILTER(소재DB_RAW!$N$3:$N$2000&amp;") "&amp;소재DB_RAW!$O$3:$O$2000,(소재DB_RAW!$G$3:$G$2000=$D106)*ISNUMBER(SEARCH("안감",소재DB_RAW!$M$3:$M$2000))*ISERROR(SEARCH("drop",소재DB_RAW!$C$3:$C$2000))))),"")</f>
        <v/>
      </c>
      <c r="AA106" s="27" t="n">
        <v>1800</v>
      </c>
      <c r="AB106" s="27" t="n">
        <v>67595400</v>
      </c>
      <c r="AC106" s="27" t="n">
        <v>284400000</v>
      </c>
      <c r="AD106" s="20" t="n"/>
      <c r="AE106" s="20">
        <f>IF($K106="","출고일 미정",IF($Q106="X","작지 미발행",IF($Q106="부분","작지 일부 미발행",IF(AND($S106&lt;&gt;"",$S106&gt;$N106),"소재입고 마감("&amp;TEXT($N106,"MM/DD")&amp;") 초과",IF($Q106="","발행여부 확인 필요",IF($S106="","소재 입고일정 확인 필요","정상"))))))</f>
        <v/>
      </c>
      <c r="AF106" s="19">
        <f>IF($K106="","",IF(OR(LEFT($AE106,2)="작지",LEFT($AE106,4)="소재입고"),IF(LEFT($G106,1)="S","★ 납기위험(S코드)","◆ 지연주의"),IF($AE106="정상","✓ 정상","? 확인필요")))</f>
        <v/>
      </c>
      <c r="AG106" s="21" t="n"/>
      <c r="AH106" s="28" t="n"/>
    </row>
    <row r="107">
      <c r="A107" s="19" t="n">
        <v>103</v>
      </c>
      <c r="B107" s="20" t="inlineStr">
        <is>
          <t>김준래</t>
        </is>
      </c>
      <c r="C107" s="20" t="inlineStr">
        <is>
          <t>서은미</t>
        </is>
      </c>
      <c r="D107" s="20" t="inlineStr">
        <is>
          <t>TVSXS27522</t>
        </is>
      </c>
      <c r="E107" s="20" t="inlineStr">
        <is>
          <t>여성 아우터형 긴팔 셔츠</t>
        </is>
      </c>
      <c r="F107" s="20" t="inlineStr">
        <is>
          <t>GMI(G/MINT), DGY-3</t>
        </is>
      </c>
      <c r="G107" s="19">
        <f>IF($D107="","",IF(MID($D107,5,1)="S","S(봄)",IF(MID($D107,5,1)="M","M(여름)",IF(MID($D107,5,1)="X","X(사계절)",MID($D107,5,1)))))</f>
        <v/>
      </c>
      <c r="H107" s="20" t="inlineStr">
        <is>
          <t>완사입</t>
        </is>
      </c>
      <c r="I107" s="19" t="inlineStr"/>
      <c r="J107" s="21" t="inlineStr">
        <is>
          <t>2월3주</t>
        </is>
      </c>
      <c r="K107" s="22">
        <f>IF($J107="","",IFERROR(DATE(IF(VALUE(LEFT($J107,FIND("월",$J107)-1))&gt;=9,기준정보!$C$7-1,기준정보!$C$7),VALUE(LEFT($J107,FIND("월",$J107)-1)),1+7*(VALUE(SUBSTITUTE(MID($J107,FIND("월",$J107)+1,5),"주",""))-1)),""))</f>
        <v/>
      </c>
      <c r="L107" s="22">
        <f>IF($K107="","",IF(AND($K107-기준정보!$C$5&gt;=기준정보!$C$10,$K107-기준정보!$C$5&lt;=기준정보!$C$11),기준정보!$C$10-1,$K107-기준정보!$C$5))</f>
        <v/>
      </c>
      <c r="M107" s="23">
        <f>IF($L107="","",IF(OR(ISNUMBER(SEARCH("중국",$W107)),ISNUMBER(SEARCH("베트남",$W107))),MAX(0,MIN($L107,기준정보!$C$9)-MAX($L107-기준정보!$C$6,기준정보!$C$8)+1),IF(ISNUMBER(SEARCH("한국",$W107)),MAX(0,MIN($L107,기준정보!$C$11)-MAX($L107-기준정보!$C$6,기준정보!$C$10)+1),0)))</f>
        <v/>
      </c>
      <c r="N107" s="22">
        <f>IF($L107="","",$L107-기준정보!$C$6-$M107)</f>
        <v/>
      </c>
      <c r="O107" s="24">
        <f>IF($N107="","",$N107-기준정보!$C$4)</f>
        <v/>
      </c>
      <c r="P107" s="21" t="n"/>
      <c r="Q107" s="21" t="inlineStr">
        <is>
          <t>O</t>
        </is>
      </c>
      <c r="R107" s="19">
        <f>IF(COUNTIF(EDW_RAW!$A$2:$A$1500,$D107)=0,"",IF(COUNTIFS(EDW_RAW!$A$2:$A$1500,$D107,EDW_RAW!$U$2:$U$1500,"&lt;&gt;~",EDW_RAW!$U$2:$U$1500,"&lt;&gt;")=COUNTIF(EDW_RAW!$A$2:$A$1500,$D107),"O",IF(COUNTIFS(EDW_RAW!$A$2:$A$1500,$D107,EDW_RAW!$U$2:$U$1500,"&lt;&gt;~",EDW_RAW!$U$2:$U$1500,"&lt;&gt;")&gt;0,"부분","X")))</f>
        <v/>
      </c>
      <c r="S107" s="25" t="n"/>
      <c r="T107" s="20">
        <f>IF($H107="","",IF(AND(ISNUMBER(SEARCH("CMT",$H107)),OR(ISNUMBER(SEARCH("완사입",$H107)),ISNUMBER(SEARCH("ODM",$H107)))),"본사/생산처 혼재",IF(ISNUMBER(SEARCH("CMT",$H107)),"본사(소재팀)","생산처")))</f>
        <v/>
      </c>
      <c r="U107" s="20" t="inlineStr">
        <is>
          <t>성원</t>
        </is>
      </c>
      <c r="V107" s="20">
        <f>IFERROR(TEXTJOIN(" / ",TRUE,UNIQUE(FILTER(소재DB_RAW!$K$3:$K$2000,(소재DB_RAW!$G$3:$G$2000=$D107)*ISERROR(SEARCH("drop",소재DB_RAW!$C$3:$C$2000))))),"")</f>
        <v/>
      </c>
      <c r="W107" s="20" t="inlineStr">
        <is>
          <t>베트남</t>
        </is>
      </c>
      <c r="X107" s="20">
        <f>IFERROR(TEXTJOIN(" / ",TRUE,UNIQUE(FILTER(소재DB_RAW!$N$3:$N$2000,(소재DB_RAW!$G$3:$G$2000=$D107)*ISERROR(SEARCH("drop",소재DB_RAW!$C$3:$C$2000))))),"")</f>
        <v/>
      </c>
      <c r="Y107" s="26">
        <f>IFERROR(TEXTJOIN(CHAR(10),TRUE,UNIQUE(FILTER(소재DB_RAW!$N$3:$N$2000&amp;") "&amp;소재DB_RAW!$O$3:$O$2000,(소재DB_RAW!$G$3:$G$2000=$D107)*ISNUMBER(SEARCH("겉감",소재DB_RAW!$M$3:$M$2000))*ISERROR(SEARCH("drop",소재DB_RAW!$C$3:$C$2000))))),"")</f>
        <v/>
      </c>
      <c r="Z107" s="26">
        <f>IFERROR(TEXTJOIN(CHAR(10),TRUE,UNIQUE(FILTER(소재DB_RAW!$N$3:$N$2000&amp;") "&amp;소재DB_RAW!$O$3:$O$2000,(소재DB_RAW!$G$3:$G$2000=$D107)*ISNUMBER(SEARCH("안감",소재DB_RAW!$M$3:$M$2000))*ISERROR(SEARCH("drop",소재DB_RAW!$C$3:$C$2000))))),"")</f>
        <v/>
      </c>
      <c r="AA107" s="27" t="n">
        <v>1800</v>
      </c>
      <c r="AB107" s="27" t="n">
        <v>64155600</v>
      </c>
      <c r="AC107" s="27" t="n">
        <v>302400000</v>
      </c>
      <c r="AD107" s="20" t="n"/>
      <c r="AE107" s="20">
        <f>IF($K107="","출고일 미정",IF($Q107="X","작지 미발행",IF($Q107="부분","작지 일부 미발행",IF(AND($S107&lt;&gt;"",$S107&gt;$N107),"소재입고 마감("&amp;TEXT($N107,"MM/DD")&amp;") 초과",IF($Q107="","발행여부 확인 필요",IF($S107="","소재 입고일정 확인 필요","정상"))))))</f>
        <v/>
      </c>
      <c r="AF107" s="19">
        <f>IF($K107="","",IF(OR(LEFT($AE107,2)="작지",LEFT($AE107,4)="소재입고"),IF(LEFT($G107,1)="S","★ 납기위험(S코드)","◆ 지연주의"),IF($AE107="정상","✓ 정상","? 확인필요")))</f>
        <v/>
      </c>
      <c r="AG107" s="21" t="n"/>
      <c r="AH107" s="28" t="n"/>
    </row>
    <row r="108">
      <c r="A108" s="19" t="n">
        <v>104</v>
      </c>
      <c r="B108" s="20" t="inlineStr">
        <is>
          <t>이재헌</t>
        </is>
      </c>
      <c r="C108" s="20" t="inlineStr">
        <is>
          <t>정은진</t>
        </is>
      </c>
      <c r="D108" s="20" t="inlineStr">
        <is>
          <t>JWJJS27109</t>
        </is>
      </c>
      <c r="E108" s="20" t="inlineStr">
        <is>
          <t>남녀공용 우의</t>
        </is>
      </c>
      <c r="F108" s="20" t="inlineStr">
        <is>
          <t>MIN, GNA(G/NAVY)</t>
        </is>
      </c>
      <c r="G108" s="19">
        <f>IF($D108="","",IF(MID($D108,5,1)="S","S(봄)",IF(MID($D108,5,1)="M","M(여름)",IF(MID($D108,5,1)="X","X(사계절)",MID($D108,5,1)))))</f>
        <v/>
      </c>
      <c r="H108" s="20" t="inlineStr">
        <is>
          <t>완사입</t>
        </is>
      </c>
      <c r="I108" s="19" t="inlineStr">
        <is>
          <t>SM2</t>
        </is>
      </c>
      <c r="J108" s="21" t="inlineStr">
        <is>
          <t>4월1주</t>
        </is>
      </c>
      <c r="K108" s="22">
        <f>IF($J108="","",IFERROR(DATE(IF(VALUE(LEFT($J108,FIND("월",$J108)-1))&gt;=9,기준정보!$C$7-1,기준정보!$C$7),VALUE(LEFT($J108,FIND("월",$J108)-1)),1+7*(VALUE(SUBSTITUTE(MID($J108,FIND("월",$J108)+1,5),"주",""))-1)),""))</f>
        <v/>
      </c>
      <c r="L108" s="22">
        <f>IF($K108="","",IF(AND($K108-기준정보!$C$5&gt;=기준정보!$C$10,$K108-기준정보!$C$5&lt;=기준정보!$C$11),기준정보!$C$10-1,$K108-기준정보!$C$5))</f>
        <v/>
      </c>
      <c r="M108" s="23">
        <f>IF($L108="","",IF(OR(ISNUMBER(SEARCH("중국",$W108)),ISNUMBER(SEARCH("베트남",$W108))),MAX(0,MIN($L108,기준정보!$C$9)-MAX($L108-기준정보!$C$6,기준정보!$C$8)+1),IF(ISNUMBER(SEARCH("한국",$W108)),MAX(0,MIN($L108,기준정보!$C$11)-MAX($L108-기준정보!$C$6,기준정보!$C$10)+1),0)))</f>
        <v/>
      </c>
      <c r="N108" s="22">
        <f>IF($L108="","",$L108-기준정보!$C$6-$M108)</f>
        <v/>
      </c>
      <c r="O108" s="24">
        <f>IF($N108="","",$N108-기준정보!$C$4)</f>
        <v/>
      </c>
      <c r="P108" s="21" t="n"/>
      <c r="Q108" s="21" t="inlineStr">
        <is>
          <t>O</t>
        </is>
      </c>
      <c r="R108" s="19">
        <f>IF(COUNTIF(EDW_RAW!$A$2:$A$1500,$D108)=0,"",IF(COUNTIFS(EDW_RAW!$A$2:$A$1500,$D108,EDW_RAW!$U$2:$U$1500,"&lt;&gt;~",EDW_RAW!$U$2:$U$1500,"&lt;&gt;")=COUNTIF(EDW_RAW!$A$2:$A$1500,$D108),"O",IF(COUNTIFS(EDW_RAW!$A$2:$A$1500,$D108,EDW_RAW!$U$2:$U$1500,"&lt;&gt;~",EDW_RAW!$U$2:$U$1500,"&lt;&gt;")&gt;0,"부분","X")))</f>
        <v/>
      </c>
      <c r="S108" s="25" t="n"/>
      <c r="T108" s="20">
        <f>IF($H108="","",IF(AND(ISNUMBER(SEARCH("CMT",$H108)),OR(ISNUMBER(SEARCH("완사입",$H108)),ISNUMBER(SEARCH("ODM",$H108)))),"본사/생산처 혼재",IF(ISNUMBER(SEARCH("CMT",$H108)),"본사(소재팀)","생산처")))</f>
        <v/>
      </c>
      <c r="U108" s="20" t="inlineStr">
        <is>
          <t>기도</t>
        </is>
      </c>
      <c r="V108" s="20">
        <f>IFERROR(TEXTJOIN(" / ",TRUE,UNIQUE(FILTER(소재DB_RAW!$K$3:$K$2000,(소재DB_RAW!$G$3:$G$2000=$D108)*ISERROR(SEARCH("drop",소재DB_RAW!$C$3:$C$2000))))),"")</f>
        <v/>
      </c>
      <c r="W108" s="20" t="inlineStr">
        <is>
          <t>베트남</t>
        </is>
      </c>
      <c r="X108" s="20">
        <f>IFERROR(TEXTJOIN(" / ",TRUE,UNIQUE(FILTER(소재DB_RAW!$N$3:$N$2000,(소재DB_RAW!$G$3:$G$2000=$D108)*ISERROR(SEARCH("drop",소재DB_RAW!$C$3:$C$2000))))),"")</f>
        <v/>
      </c>
      <c r="Y108" s="26">
        <f>IFERROR(TEXTJOIN(CHAR(10),TRUE,UNIQUE(FILTER(소재DB_RAW!$N$3:$N$2000&amp;") "&amp;소재DB_RAW!$O$3:$O$2000,(소재DB_RAW!$G$3:$G$2000=$D108)*ISNUMBER(SEARCH("겉감",소재DB_RAW!$M$3:$M$2000))*ISERROR(SEARCH("drop",소재DB_RAW!$C$3:$C$2000))))),"")</f>
        <v/>
      </c>
      <c r="Z108" s="26">
        <f>IFERROR(TEXTJOIN(CHAR(10),TRUE,UNIQUE(FILTER(소재DB_RAW!$N$3:$N$2000&amp;") "&amp;소재DB_RAW!$O$3:$O$2000,(소재DB_RAW!$G$3:$G$2000=$D108)*ISNUMBER(SEARCH("안감",소재DB_RAW!$M$3:$M$2000))*ISERROR(SEARCH("drop",소재DB_RAW!$C$3:$C$2000))))),"")</f>
        <v/>
      </c>
      <c r="AA108" s="27" t="n">
        <v>1000</v>
      </c>
      <c r="AB108" s="27" t="n">
        <v>65000000</v>
      </c>
      <c r="AC108" s="27" t="n">
        <v>250000000</v>
      </c>
      <c r="AD108" s="20" t="n"/>
      <c r="AE108" s="20">
        <f>IF($K108="","출고일 미정",IF($Q108="X","작지 미발행",IF($Q108="부분","작지 일부 미발행",IF(AND($S108&lt;&gt;"",$S108&gt;$N108),"소재입고 마감("&amp;TEXT($N108,"MM/DD")&amp;") 초과",IF($Q108="","발행여부 확인 필요",IF($S108="","소재 입고일정 확인 필요","정상"))))))</f>
        <v/>
      </c>
      <c r="AF108" s="19">
        <f>IF($K108="","",IF(OR(LEFT($AE108,2)="작지",LEFT($AE108,4)="소재입고"),IF(LEFT($G108,1)="S","★ 납기위험(S코드)","◆ 지연주의"),IF($AE108="정상","✓ 정상","? 확인필요")))</f>
        <v/>
      </c>
      <c r="AG108" s="21" t="n"/>
      <c r="AH108" s="28" t="n"/>
    </row>
    <row r="109">
      <c r="A109" s="19" t="n">
        <v>105</v>
      </c>
      <c r="B109" s="20" t="inlineStr">
        <is>
          <t>이재헌</t>
        </is>
      </c>
      <c r="C109" s="20" t="inlineStr">
        <is>
          <t>정은진</t>
        </is>
      </c>
      <c r="D109" s="20" t="inlineStr">
        <is>
          <t>JWTBS27101</t>
        </is>
      </c>
      <c r="E109" s="20" t="inlineStr">
        <is>
          <t>남성 베이직 긴팔 집업 티셔츠</t>
        </is>
      </c>
      <c r="F109" s="20" t="inlineStr">
        <is>
          <t>DGR(D/GREEN), GBU(G/BLUE), DML(D/MELAN)</t>
        </is>
      </c>
      <c r="G109" s="19">
        <f>IF($D109="","",IF(MID($D109,5,1)="S","S(봄)",IF(MID($D109,5,1)="M","M(여름)",IF(MID($D109,5,1)="X","X(사계절)",MID($D109,5,1)))))</f>
        <v/>
      </c>
      <c r="H109" s="20" t="inlineStr">
        <is>
          <t>완사입</t>
        </is>
      </c>
      <c r="I109" s="19" t="inlineStr">
        <is>
          <t>SM2</t>
        </is>
      </c>
      <c r="J109" s="21" t="inlineStr">
        <is>
          <t>4월1주</t>
        </is>
      </c>
      <c r="K109" s="22">
        <f>IF($J109="","",IFERROR(DATE(IF(VALUE(LEFT($J109,FIND("월",$J109)-1))&gt;=9,기준정보!$C$7-1,기준정보!$C$7),VALUE(LEFT($J109,FIND("월",$J109)-1)),1+7*(VALUE(SUBSTITUTE(MID($J109,FIND("월",$J109)+1,5),"주",""))-1)),""))</f>
        <v/>
      </c>
      <c r="L109" s="22">
        <f>IF($K109="","",IF(AND($K109-기준정보!$C$5&gt;=기준정보!$C$10,$K109-기준정보!$C$5&lt;=기준정보!$C$11),기준정보!$C$10-1,$K109-기준정보!$C$5))</f>
        <v/>
      </c>
      <c r="M109" s="23">
        <f>IF($L109="","",IF(OR(ISNUMBER(SEARCH("중국",$W109)),ISNUMBER(SEARCH("베트남",$W109))),MAX(0,MIN($L109,기준정보!$C$9)-MAX($L109-기준정보!$C$6,기준정보!$C$8)+1),IF(ISNUMBER(SEARCH("한국",$W109)),MAX(0,MIN($L109,기준정보!$C$11)-MAX($L109-기준정보!$C$6,기준정보!$C$10)+1),0)))</f>
        <v/>
      </c>
      <c r="N109" s="22">
        <f>IF($L109="","",$L109-기준정보!$C$6-$M109)</f>
        <v/>
      </c>
      <c r="O109" s="24">
        <f>IF($N109="","",$N109-기준정보!$C$4)</f>
        <v/>
      </c>
      <c r="P109" s="21" t="n"/>
      <c r="Q109" s="21" t="inlineStr">
        <is>
          <t>O</t>
        </is>
      </c>
      <c r="R109" s="19">
        <f>IF(COUNTIF(EDW_RAW!$A$2:$A$1500,$D109)=0,"",IF(COUNTIFS(EDW_RAW!$A$2:$A$1500,$D109,EDW_RAW!$U$2:$U$1500,"&lt;&gt;~",EDW_RAW!$U$2:$U$1500,"&lt;&gt;")=COUNTIF(EDW_RAW!$A$2:$A$1500,$D109),"O",IF(COUNTIFS(EDW_RAW!$A$2:$A$1500,$D109,EDW_RAW!$U$2:$U$1500,"&lt;&gt;~",EDW_RAW!$U$2:$U$1500,"&lt;&gt;")&gt;0,"부분","X")))</f>
        <v/>
      </c>
      <c r="S109" s="25" t="n"/>
      <c r="T109" s="20">
        <f>IF($H109="","",IF(AND(ISNUMBER(SEARCH("CMT",$H109)),OR(ISNUMBER(SEARCH("완사입",$H109)),ISNUMBER(SEARCH("ODM",$H109)))),"본사/생산처 혼재",IF(ISNUMBER(SEARCH("CMT",$H109)),"본사(소재팀)","생산처")))</f>
        <v/>
      </c>
      <c r="U109" s="20" t="inlineStr">
        <is>
          <t>태화</t>
        </is>
      </c>
      <c r="V109" s="20">
        <f>IFERROR(TEXTJOIN(" / ",TRUE,UNIQUE(FILTER(소재DB_RAW!$K$3:$K$2000,(소재DB_RAW!$G$3:$G$2000=$D109)*ISERROR(SEARCH("drop",소재DB_RAW!$C$3:$C$2000))))),"")</f>
        <v/>
      </c>
      <c r="W109" s="20" t="inlineStr">
        <is>
          <t>베트남</t>
        </is>
      </c>
      <c r="X109" s="20">
        <f>IFERROR(TEXTJOIN(" / ",TRUE,UNIQUE(FILTER(소재DB_RAW!$N$3:$N$2000,(소재DB_RAW!$G$3:$G$2000=$D109)*ISERROR(SEARCH("drop",소재DB_RAW!$C$3:$C$2000))))),"")</f>
        <v/>
      </c>
      <c r="Y109" s="26">
        <f>IFERROR(TEXTJOIN(CHAR(10),TRUE,UNIQUE(FILTER(소재DB_RAW!$N$3:$N$2000&amp;") "&amp;소재DB_RAW!$O$3:$O$2000,(소재DB_RAW!$G$3:$G$2000=$D109)*ISNUMBER(SEARCH("겉감",소재DB_RAW!$M$3:$M$2000))*ISERROR(SEARCH("drop",소재DB_RAW!$C$3:$C$2000))))),"")</f>
        <v/>
      </c>
      <c r="Z109" s="26">
        <f>IFERROR(TEXTJOIN(CHAR(10),TRUE,UNIQUE(FILTER(소재DB_RAW!$N$3:$N$2000&amp;") "&amp;소재DB_RAW!$O$3:$O$2000,(소재DB_RAW!$G$3:$G$2000=$D109)*ISNUMBER(SEARCH("안감",소재DB_RAW!$M$3:$M$2000))*ISERROR(SEARCH("drop",소재DB_RAW!$C$3:$C$2000))))),"")</f>
        <v/>
      </c>
      <c r="AA109" s="27" t="n">
        <v>4500</v>
      </c>
      <c r="AB109" s="27" t="n">
        <v>103500000</v>
      </c>
      <c r="AC109" s="27" t="n">
        <v>531000000</v>
      </c>
      <c r="AD109" s="20" t="n"/>
      <c r="AE109" s="20">
        <f>IF($K109="","출고일 미정",IF($Q109="X","작지 미발행",IF($Q109="부분","작지 일부 미발행",IF(AND($S109&lt;&gt;"",$S109&gt;$N109),"소재입고 마감("&amp;TEXT($N109,"MM/DD")&amp;") 초과",IF($Q109="","발행여부 확인 필요",IF($S109="","소재 입고일정 확인 필요","정상"))))))</f>
        <v/>
      </c>
      <c r="AF109" s="19">
        <f>IF($K109="","",IF(OR(LEFT($AE109,2)="작지",LEFT($AE109,4)="소재입고"),IF(LEFT($G109,1)="S","★ 납기위험(S코드)","◆ 지연주의"),IF($AE109="정상","✓ 정상","? 확인필요")))</f>
        <v/>
      </c>
      <c r="AG109" s="21" t="n"/>
      <c r="AH109" s="28" t="n"/>
    </row>
    <row r="110">
      <c r="A110" s="19" t="n">
        <v>106</v>
      </c>
      <c r="B110" s="20" t="inlineStr">
        <is>
          <t>이재헌</t>
        </is>
      </c>
      <c r="C110" s="20" t="inlineStr">
        <is>
          <t>정은진</t>
        </is>
      </c>
      <c r="D110" s="20" t="inlineStr">
        <is>
          <t>JWTBS27103</t>
        </is>
      </c>
      <c r="E110" s="20" t="inlineStr">
        <is>
          <t>남성 베이직 긴팔 라운드 티셔츠</t>
        </is>
      </c>
      <c r="F110" s="20" t="inlineStr">
        <is>
          <t>OWH, DML(D/MELAN)</t>
        </is>
      </c>
      <c r="G110" s="19">
        <f>IF($D110="","",IF(MID($D110,5,1)="S","S(봄)",IF(MID($D110,5,1)="M","M(여름)",IF(MID($D110,5,1)="X","X(사계절)",MID($D110,5,1)))))</f>
        <v/>
      </c>
      <c r="H110" s="20" t="inlineStr">
        <is>
          <t>완사입</t>
        </is>
      </c>
      <c r="I110" s="19" t="inlineStr">
        <is>
          <t>SM2</t>
        </is>
      </c>
      <c r="J110" s="21" t="inlineStr">
        <is>
          <t>4월1주</t>
        </is>
      </c>
      <c r="K110" s="22">
        <f>IF($J110="","",IFERROR(DATE(IF(VALUE(LEFT($J110,FIND("월",$J110)-1))&gt;=9,기준정보!$C$7-1,기준정보!$C$7),VALUE(LEFT($J110,FIND("월",$J110)-1)),1+7*(VALUE(SUBSTITUTE(MID($J110,FIND("월",$J110)+1,5),"주",""))-1)),""))</f>
        <v/>
      </c>
      <c r="L110" s="22">
        <f>IF($K110="","",IF(AND($K110-기준정보!$C$5&gt;=기준정보!$C$10,$K110-기준정보!$C$5&lt;=기준정보!$C$11),기준정보!$C$10-1,$K110-기준정보!$C$5))</f>
        <v/>
      </c>
      <c r="M110" s="23">
        <f>IF($L110="","",IF(OR(ISNUMBER(SEARCH("중국",$W110)),ISNUMBER(SEARCH("베트남",$W110))),MAX(0,MIN($L110,기준정보!$C$9)-MAX($L110-기준정보!$C$6,기준정보!$C$8)+1),IF(ISNUMBER(SEARCH("한국",$W110)),MAX(0,MIN($L110,기준정보!$C$11)-MAX($L110-기준정보!$C$6,기준정보!$C$10)+1),0)))</f>
        <v/>
      </c>
      <c r="N110" s="22">
        <f>IF($L110="","",$L110-기준정보!$C$6-$M110)</f>
        <v/>
      </c>
      <c r="O110" s="24">
        <f>IF($N110="","",$N110-기준정보!$C$4)</f>
        <v/>
      </c>
      <c r="P110" s="21" t="n"/>
      <c r="Q110" s="21" t="inlineStr">
        <is>
          <t>O</t>
        </is>
      </c>
      <c r="R110" s="19">
        <f>IF(COUNTIF(EDW_RAW!$A$2:$A$1500,$D110)=0,"",IF(COUNTIFS(EDW_RAW!$A$2:$A$1500,$D110,EDW_RAW!$U$2:$U$1500,"&lt;&gt;~",EDW_RAW!$U$2:$U$1500,"&lt;&gt;")=COUNTIF(EDW_RAW!$A$2:$A$1500,$D110),"O",IF(COUNTIFS(EDW_RAW!$A$2:$A$1500,$D110,EDW_RAW!$U$2:$U$1500,"&lt;&gt;~",EDW_RAW!$U$2:$U$1500,"&lt;&gt;")&gt;0,"부분","X")))</f>
        <v/>
      </c>
      <c r="S110" s="25" t="n"/>
      <c r="T110" s="20">
        <f>IF($H110="","",IF(AND(ISNUMBER(SEARCH("CMT",$H110)),OR(ISNUMBER(SEARCH("완사입",$H110)),ISNUMBER(SEARCH("ODM",$H110)))),"본사/생산처 혼재",IF(ISNUMBER(SEARCH("CMT",$H110)),"본사(소재팀)","생산처")))</f>
        <v/>
      </c>
      <c r="U110" s="20" t="inlineStr">
        <is>
          <t>IKG</t>
        </is>
      </c>
      <c r="V110" s="20">
        <f>IFERROR(TEXTJOIN(" / ",TRUE,UNIQUE(FILTER(소재DB_RAW!$K$3:$K$2000,(소재DB_RAW!$G$3:$G$2000=$D110)*ISERROR(SEARCH("drop",소재DB_RAW!$C$3:$C$2000))))),"")</f>
        <v/>
      </c>
      <c r="W110" s="20" t="inlineStr">
        <is>
          <t>인도네시아</t>
        </is>
      </c>
      <c r="X110" s="20">
        <f>IFERROR(TEXTJOIN(" / ",TRUE,UNIQUE(FILTER(소재DB_RAW!$N$3:$N$2000,(소재DB_RAW!$G$3:$G$2000=$D110)*ISERROR(SEARCH("drop",소재DB_RAW!$C$3:$C$2000))))),"")</f>
        <v/>
      </c>
      <c r="Y110" s="26">
        <f>IFERROR(TEXTJOIN(CHAR(10),TRUE,UNIQUE(FILTER(소재DB_RAW!$N$3:$N$2000&amp;") "&amp;소재DB_RAW!$O$3:$O$2000,(소재DB_RAW!$G$3:$G$2000=$D110)*ISNUMBER(SEARCH("겉감",소재DB_RAW!$M$3:$M$2000))*ISERROR(SEARCH("drop",소재DB_RAW!$C$3:$C$2000))))),"")</f>
        <v/>
      </c>
      <c r="Z110" s="26">
        <f>IFERROR(TEXTJOIN(CHAR(10),TRUE,UNIQUE(FILTER(소재DB_RAW!$N$3:$N$2000&amp;") "&amp;소재DB_RAW!$O$3:$O$2000,(소재DB_RAW!$G$3:$G$2000=$D110)*ISNUMBER(SEARCH("안감",소재DB_RAW!$M$3:$M$2000))*ISERROR(SEARCH("drop",소재DB_RAW!$C$3:$C$2000))))),"")</f>
        <v/>
      </c>
      <c r="AA110" s="27" t="n">
        <v>2000</v>
      </c>
      <c r="AB110" s="27" t="n">
        <v>42000000</v>
      </c>
      <c r="AC110" s="27" t="n">
        <v>216000000</v>
      </c>
      <c r="AD110" s="20" t="n"/>
      <c r="AE110" s="20">
        <f>IF($K110="","출고일 미정",IF($Q110="X","작지 미발행",IF($Q110="부분","작지 일부 미발행",IF(AND($S110&lt;&gt;"",$S110&gt;$N110),"소재입고 마감("&amp;TEXT($N110,"MM/DD")&amp;") 초과",IF($Q110="","발행여부 확인 필요",IF($S110="","소재 입고일정 확인 필요","정상"))))))</f>
        <v/>
      </c>
      <c r="AF110" s="19">
        <f>IF($K110="","",IF(OR(LEFT($AE110,2)="작지",LEFT($AE110,4)="소재입고"),IF(LEFT($G110,1)="S","★ 납기위험(S코드)","◆ 지연주의"),IF($AE110="정상","✓ 정상","? 확인필요")))</f>
        <v/>
      </c>
      <c r="AG110" s="21" t="n"/>
      <c r="AH110" s="28" t="n"/>
    </row>
    <row r="111">
      <c r="A111" s="19" t="n">
        <v>107</v>
      </c>
      <c r="B111" s="20" t="inlineStr">
        <is>
          <t>이재헌</t>
        </is>
      </c>
      <c r="C111" s="20" t="inlineStr">
        <is>
          <t>정은진</t>
        </is>
      </c>
      <c r="D111" s="20" t="inlineStr">
        <is>
          <t>JWVAS27109</t>
        </is>
      </c>
      <c r="E111" s="20" t="inlineStr">
        <is>
          <t>남성 유틸리티 스탠드넥 베스트</t>
        </is>
      </c>
      <c r="F111" s="20" t="inlineStr">
        <is>
          <t>KHA(KHAKI)</t>
        </is>
      </c>
      <c r="G111" s="19">
        <f>IF($D111="","",IF(MID($D111,5,1)="S","S(봄)",IF(MID($D111,5,1)="M","M(여름)",IF(MID($D111,5,1)="X","X(사계절)",MID($D111,5,1)))))</f>
        <v/>
      </c>
      <c r="H111" s="20" t="inlineStr">
        <is>
          <t>완사입</t>
        </is>
      </c>
      <c r="I111" s="19" t="inlineStr">
        <is>
          <t>SM2</t>
        </is>
      </c>
      <c r="J111" s="21" t="inlineStr">
        <is>
          <t>4월1주</t>
        </is>
      </c>
      <c r="K111" s="22">
        <f>IF($J111="","",IFERROR(DATE(IF(VALUE(LEFT($J111,FIND("월",$J111)-1))&gt;=9,기준정보!$C$7-1,기준정보!$C$7),VALUE(LEFT($J111,FIND("월",$J111)-1)),1+7*(VALUE(SUBSTITUTE(MID($J111,FIND("월",$J111)+1,5),"주",""))-1)),""))</f>
        <v/>
      </c>
      <c r="L111" s="22">
        <f>IF($K111="","",IF(AND($K111-기준정보!$C$5&gt;=기준정보!$C$10,$K111-기준정보!$C$5&lt;=기준정보!$C$11),기준정보!$C$10-1,$K111-기준정보!$C$5))</f>
        <v/>
      </c>
      <c r="M111" s="23">
        <f>IF($L111="","",IF(OR(ISNUMBER(SEARCH("중국",$W111)),ISNUMBER(SEARCH("베트남",$W111))),MAX(0,MIN($L111,기준정보!$C$9)-MAX($L111-기준정보!$C$6,기준정보!$C$8)+1),IF(ISNUMBER(SEARCH("한국",$W111)),MAX(0,MIN($L111,기준정보!$C$11)-MAX($L111-기준정보!$C$6,기준정보!$C$10)+1),0)))</f>
        <v/>
      </c>
      <c r="N111" s="22">
        <f>IF($L111="","",$L111-기준정보!$C$6-$M111)</f>
        <v/>
      </c>
      <c r="O111" s="24">
        <f>IF($N111="","",$N111-기준정보!$C$4)</f>
        <v/>
      </c>
      <c r="P111" s="21" t="n"/>
      <c r="Q111" s="21" t="inlineStr">
        <is>
          <t>O</t>
        </is>
      </c>
      <c r="R111" s="19">
        <f>IF(COUNTIF(EDW_RAW!$A$2:$A$1500,$D111)=0,"",IF(COUNTIFS(EDW_RAW!$A$2:$A$1500,$D111,EDW_RAW!$U$2:$U$1500,"&lt;&gt;~",EDW_RAW!$U$2:$U$1500,"&lt;&gt;")=COUNTIF(EDW_RAW!$A$2:$A$1500,$D111),"O",IF(COUNTIFS(EDW_RAW!$A$2:$A$1500,$D111,EDW_RAW!$U$2:$U$1500,"&lt;&gt;~",EDW_RAW!$U$2:$U$1500,"&lt;&gt;")&gt;0,"부분","X")))</f>
        <v/>
      </c>
      <c r="S111" s="25" t="n"/>
      <c r="T111" s="20">
        <f>IF($H111="","",IF(AND(ISNUMBER(SEARCH("CMT",$H111)),OR(ISNUMBER(SEARCH("완사입",$H111)),ISNUMBER(SEARCH("ODM",$H111)))),"본사/생산처 혼재",IF(ISNUMBER(SEARCH("CMT",$H111)),"본사(소재팀)","생산처")))</f>
        <v/>
      </c>
      <c r="U111" s="20" t="inlineStr">
        <is>
          <t>아이블</t>
        </is>
      </c>
      <c r="V111" s="20">
        <f>IFERROR(TEXTJOIN(" / ",TRUE,UNIQUE(FILTER(소재DB_RAW!$K$3:$K$2000,(소재DB_RAW!$G$3:$G$2000=$D111)*ISERROR(SEARCH("drop",소재DB_RAW!$C$3:$C$2000))))),"")</f>
        <v/>
      </c>
      <c r="W111" s="20" t="inlineStr">
        <is>
          <t>베트남</t>
        </is>
      </c>
      <c r="X111" s="20">
        <f>IFERROR(TEXTJOIN(" / ",TRUE,UNIQUE(FILTER(소재DB_RAW!$N$3:$N$2000,(소재DB_RAW!$G$3:$G$2000=$D111)*ISERROR(SEARCH("drop",소재DB_RAW!$C$3:$C$2000))))),"")</f>
        <v/>
      </c>
      <c r="Y111" s="26">
        <f>IFERROR(TEXTJOIN(CHAR(10),TRUE,UNIQUE(FILTER(소재DB_RAW!$N$3:$N$2000&amp;") "&amp;소재DB_RAW!$O$3:$O$2000,(소재DB_RAW!$G$3:$G$2000=$D111)*ISNUMBER(SEARCH("겉감",소재DB_RAW!$M$3:$M$2000))*ISERROR(SEARCH("drop",소재DB_RAW!$C$3:$C$2000))))),"")</f>
        <v/>
      </c>
      <c r="Z111" s="26">
        <f>IFERROR(TEXTJOIN(CHAR(10),TRUE,UNIQUE(FILTER(소재DB_RAW!$N$3:$N$2000&amp;") "&amp;소재DB_RAW!$O$3:$O$2000,(소재DB_RAW!$G$3:$G$2000=$D111)*ISNUMBER(SEARCH("안감",소재DB_RAW!$M$3:$M$2000))*ISERROR(SEARCH("drop",소재DB_RAW!$C$3:$C$2000))))),"")</f>
        <v/>
      </c>
      <c r="AA111" s="27" t="n">
        <v>1500</v>
      </c>
      <c r="AB111" s="27" t="n">
        <v>80445000</v>
      </c>
      <c r="AC111" s="27" t="n">
        <v>330000000</v>
      </c>
      <c r="AD111" s="20" t="n"/>
      <c r="AE111" s="20">
        <f>IF($K111="","출고일 미정",IF($Q111="X","작지 미발행",IF($Q111="부분","작지 일부 미발행",IF(AND($S111&lt;&gt;"",$S111&gt;$N111),"소재입고 마감("&amp;TEXT($N111,"MM/DD")&amp;") 초과",IF($Q111="","발행여부 확인 필요",IF($S111="","소재 입고일정 확인 필요","정상"))))))</f>
        <v/>
      </c>
      <c r="AF111" s="19">
        <f>IF($K111="","",IF(OR(LEFT($AE111,2)="작지",LEFT($AE111,4)="소재입고"),IF(LEFT($G111,1)="S","★ 납기위험(S코드)","◆ 지연주의"),IF($AE111="정상","✓ 정상","? 확인필요")))</f>
        <v/>
      </c>
      <c r="AG111" s="21" t="n"/>
      <c r="AH111" s="28" t="n"/>
    </row>
    <row r="112">
      <c r="A112" s="19" t="n">
        <v>108</v>
      </c>
      <c r="B112" s="20" t="inlineStr">
        <is>
          <t>이재헌</t>
        </is>
      </c>
      <c r="C112" s="20" t="inlineStr">
        <is>
          <t>정은진</t>
        </is>
      </c>
      <c r="D112" s="20" t="inlineStr">
        <is>
          <t>JWVAS27907</t>
        </is>
      </c>
      <c r="E112" s="20" t="inlineStr">
        <is>
          <t>유통특화_남성 유틸리티 V넥 베스트</t>
        </is>
      </c>
      <c r="F112" s="20" t="inlineStr">
        <is>
          <t>BLK(BLACK)</t>
        </is>
      </c>
      <c r="G112" s="19">
        <f>IF($D112="","",IF(MID($D112,5,1)="S","S(봄)",IF(MID($D112,5,1)="M","M(여름)",IF(MID($D112,5,1)="X","X(사계절)",MID($D112,5,1)))))</f>
        <v/>
      </c>
      <c r="H112" s="20" t="inlineStr">
        <is>
          <t>완사입</t>
        </is>
      </c>
      <c r="I112" s="19" t="inlineStr">
        <is>
          <t>SM2</t>
        </is>
      </c>
      <c r="J112" s="21" t="inlineStr">
        <is>
          <t>4월1주</t>
        </is>
      </c>
      <c r="K112" s="22">
        <f>IF($J112="","",IFERROR(DATE(IF(VALUE(LEFT($J112,FIND("월",$J112)-1))&gt;=9,기준정보!$C$7-1,기준정보!$C$7),VALUE(LEFT($J112,FIND("월",$J112)-1)),1+7*(VALUE(SUBSTITUTE(MID($J112,FIND("월",$J112)+1,5),"주",""))-1)),""))</f>
        <v/>
      </c>
      <c r="L112" s="22">
        <f>IF($K112="","",IF(AND($K112-기준정보!$C$5&gt;=기준정보!$C$10,$K112-기준정보!$C$5&lt;=기준정보!$C$11),기준정보!$C$10-1,$K112-기준정보!$C$5))</f>
        <v/>
      </c>
      <c r="M112" s="23">
        <f>IF($L112="","",IF(OR(ISNUMBER(SEARCH("중국",$W112)),ISNUMBER(SEARCH("베트남",$W112))),MAX(0,MIN($L112,기준정보!$C$9)-MAX($L112-기준정보!$C$6,기준정보!$C$8)+1),IF(ISNUMBER(SEARCH("한국",$W112)),MAX(0,MIN($L112,기준정보!$C$11)-MAX($L112-기준정보!$C$6,기준정보!$C$10)+1),0)))</f>
        <v/>
      </c>
      <c r="N112" s="22">
        <f>IF($L112="","",$L112-기준정보!$C$6-$M112)</f>
        <v/>
      </c>
      <c r="O112" s="24">
        <f>IF($N112="","",$N112-기준정보!$C$4)</f>
        <v/>
      </c>
      <c r="P112" s="21" t="n"/>
      <c r="Q112" s="21" t="inlineStr">
        <is>
          <t>O</t>
        </is>
      </c>
      <c r="R112" s="19">
        <f>IF(COUNTIF(EDW_RAW!$A$2:$A$1500,$D112)=0,"",IF(COUNTIFS(EDW_RAW!$A$2:$A$1500,$D112,EDW_RAW!$U$2:$U$1500,"&lt;&gt;~",EDW_RAW!$U$2:$U$1500,"&lt;&gt;")=COUNTIF(EDW_RAW!$A$2:$A$1500,$D112),"O",IF(COUNTIFS(EDW_RAW!$A$2:$A$1500,$D112,EDW_RAW!$U$2:$U$1500,"&lt;&gt;~",EDW_RAW!$U$2:$U$1500,"&lt;&gt;")&gt;0,"부분","X")))</f>
        <v/>
      </c>
      <c r="S112" s="25" t="n"/>
      <c r="T112" s="20">
        <f>IF($H112="","",IF(AND(ISNUMBER(SEARCH("CMT",$H112)),OR(ISNUMBER(SEARCH("완사입",$H112)),ISNUMBER(SEARCH("ODM",$H112)))),"본사/생산처 혼재",IF(ISNUMBER(SEARCH("CMT",$H112)),"본사(소재팀)","생산처")))</f>
        <v/>
      </c>
      <c r="U112" s="20" t="inlineStr">
        <is>
          <t>아이블</t>
        </is>
      </c>
      <c r="V112" s="20">
        <f>IFERROR(TEXTJOIN(" / ",TRUE,UNIQUE(FILTER(소재DB_RAW!$K$3:$K$2000,(소재DB_RAW!$G$3:$G$2000=$D112)*ISERROR(SEARCH("drop",소재DB_RAW!$C$3:$C$2000))))),"")</f>
        <v/>
      </c>
      <c r="W112" s="20" t="inlineStr">
        <is>
          <t>베트남</t>
        </is>
      </c>
      <c r="X112" s="20">
        <f>IFERROR(TEXTJOIN(" / ",TRUE,UNIQUE(FILTER(소재DB_RAW!$N$3:$N$2000,(소재DB_RAW!$G$3:$G$2000=$D112)*ISERROR(SEARCH("drop",소재DB_RAW!$C$3:$C$2000))))),"")</f>
        <v/>
      </c>
      <c r="Y112" s="26">
        <f>IFERROR(TEXTJOIN(CHAR(10),TRUE,UNIQUE(FILTER(소재DB_RAW!$N$3:$N$2000&amp;") "&amp;소재DB_RAW!$O$3:$O$2000,(소재DB_RAW!$G$3:$G$2000=$D112)*ISNUMBER(SEARCH("겉감",소재DB_RAW!$M$3:$M$2000))*ISERROR(SEARCH("drop",소재DB_RAW!$C$3:$C$2000))))),"")</f>
        <v/>
      </c>
      <c r="Z112" s="26">
        <f>IFERROR(TEXTJOIN(CHAR(10),TRUE,UNIQUE(FILTER(소재DB_RAW!$N$3:$N$2000&amp;") "&amp;소재DB_RAW!$O$3:$O$2000,(소재DB_RAW!$G$3:$G$2000=$D112)*ISNUMBER(SEARCH("안감",소재DB_RAW!$M$3:$M$2000))*ISERROR(SEARCH("drop",소재DB_RAW!$C$3:$C$2000))))),"")</f>
        <v/>
      </c>
      <c r="AA112" s="27" t="n">
        <v>2000</v>
      </c>
      <c r="AB112" s="27" t="n">
        <v>99288000</v>
      </c>
      <c r="AC112" s="27" t="n">
        <v>396000000</v>
      </c>
      <c r="AD112" s="20" t="n"/>
      <c r="AE112" s="20">
        <f>IF($K112="","출고일 미정",IF($Q112="X","작지 미발행",IF($Q112="부분","작지 일부 미발행",IF(AND($S112&lt;&gt;"",$S112&gt;$N112),"소재입고 마감("&amp;TEXT($N112,"MM/DD")&amp;") 초과",IF($Q112="","발행여부 확인 필요",IF($S112="","소재 입고일정 확인 필요","정상"))))))</f>
        <v/>
      </c>
      <c r="AF112" s="19">
        <f>IF($K112="","",IF(OR(LEFT($AE112,2)="작지",LEFT($AE112,4)="소재입고"),IF(LEFT($G112,1)="S","★ 납기위험(S코드)","◆ 지연주의"),IF($AE112="정상","✓ 정상","? 확인필요")))</f>
        <v/>
      </c>
      <c r="AG112" s="21" t="n"/>
      <c r="AH112" s="28" t="n"/>
    </row>
    <row r="113">
      <c r="A113" s="19" t="n">
        <v>109</v>
      </c>
      <c r="B113" s="20" t="inlineStr">
        <is>
          <t>김준래</t>
        </is>
      </c>
      <c r="C113" s="20" t="inlineStr">
        <is>
          <t>권혁일</t>
        </is>
      </c>
      <c r="D113" s="20" t="inlineStr">
        <is>
          <t>TLTCM27503</t>
        </is>
      </c>
      <c r="E113" s="20" t="inlineStr">
        <is>
          <t>하절 남성 핫멜트 폴로 반팔 티셔츠</t>
        </is>
      </c>
      <c r="F113" s="20" t="inlineStr">
        <is>
          <t>LAK(LAKE), LGY-1, GBU-3, DNA(D/NAVY), BLK(BLACK)</t>
        </is>
      </c>
      <c r="G113" s="19">
        <f>IF($D113="","",IF(MID($D113,5,1)="S","S(봄)",IF(MID($D113,5,1)="M","M(여름)",IF(MID($D113,5,1)="X","X(사계절)",MID($D113,5,1)))))</f>
        <v/>
      </c>
      <c r="H113" s="20" t="inlineStr">
        <is>
          <t>완사입</t>
        </is>
      </c>
      <c r="I113" s="19" t="inlineStr"/>
      <c r="J113" s="21" t="inlineStr">
        <is>
          <t>1월4주</t>
        </is>
      </c>
      <c r="K113" s="22">
        <f>IF($J113="","",IFERROR(DATE(IF(VALUE(LEFT($J113,FIND("월",$J113)-1))&gt;=9,기준정보!$C$7-1,기준정보!$C$7),VALUE(LEFT($J113,FIND("월",$J113)-1)),1+7*(VALUE(SUBSTITUTE(MID($J113,FIND("월",$J113)+1,5),"주",""))-1)),""))</f>
        <v/>
      </c>
      <c r="L113" s="22">
        <f>IF($K113="","",IF(AND($K113-기준정보!$C$5&gt;=기준정보!$C$10,$K113-기준정보!$C$5&lt;=기준정보!$C$11),기준정보!$C$10-1,$K113-기준정보!$C$5))</f>
        <v/>
      </c>
      <c r="M113" s="23">
        <f>IF($L113="","",IF(OR(ISNUMBER(SEARCH("중국",$W113)),ISNUMBER(SEARCH("베트남",$W113))),MAX(0,MIN($L113,기준정보!$C$9)-MAX($L113-기준정보!$C$6,기준정보!$C$8)+1),IF(ISNUMBER(SEARCH("한국",$W113)),MAX(0,MIN($L113,기준정보!$C$11)-MAX($L113-기준정보!$C$6,기준정보!$C$10)+1),0)))</f>
        <v/>
      </c>
      <c r="N113" s="22">
        <f>IF($L113="","",$L113-기준정보!$C$6-$M113)</f>
        <v/>
      </c>
      <c r="O113" s="24">
        <f>IF($N113="","",$N113-기준정보!$C$4)</f>
        <v/>
      </c>
      <c r="P113" s="21" t="inlineStr">
        <is>
          <t>O</t>
        </is>
      </c>
      <c r="Q113" s="21" t="inlineStr">
        <is>
          <t>O</t>
        </is>
      </c>
      <c r="R113" s="19">
        <f>IF(COUNTIF(EDW_RAW!$A$2:$A$1500,$D113)=0,"",IF(COUNTIFS(EDW_RAW!$A$2:$A$1500,$D113,EDW_RAW!$U$2:$U$1500,"&lt;&gt;~",EDW_RAW!$U$2:$U$1500,"&lt;&gt;")=COUNTIF(EDW_RAW!$A$2:$A$1500,$D113),"O",IF(COUNTIFS(EDW_RAW!$A$2:$A$1500,$D113,EDW_RAW!$U$2:$U$1500,"&lt;&gt;~",EDW_RAW!$U$2:$U$1500,"&lt;&gt;")&gt;0,"부분","X")))</f>
        <v/>
      </c>
      <c r="S113" s="25" t="n"/>
      <c r="T113" s="20">
        <f>IF($H113="","",IF(AND(ISNUMBER(SEARCH("CMT",$H113)),OR(ISNUMBER(SEARCH("완사입",$H113)),ISNUMBER(SEARCH("ODM",$H113)))),"본사/생산처 혼재",IF(ISNUMBER(SEARCH("CMT",$H113)),"본사(소재팀)","생산처")))</f>
        <v/>
      </c>
      <c r="U113" s="20" t="inlineStr">
        <is>
          <t>장안</t>
        </is>
      </c>
      <c r="V113" s="20">
        <f>IFERROR(TEXTJOIN(" / ",TRUE,UNIQUE(FILTER(소재DB_RAW!$K$3:$K$2000,(소재DB_RAW!$G$3:$G$2000=$D113)*ISERROR(SEARCH("drop",소재DB_RAW!$C$3:$C$2000))))),"")</f>
        <v/>
      </c>
      <c r="W113" s="20" t="inlineStr">
        <is>
          <t>베트남</t>
        </is>
      </c>
      <c r="X113" s="20">
        <f>IFERROR(TEXTJOIN(" / ",TRUE,UNIQUE(FILTER(소재DB_RAW!$N$3:$N$2000,(소재DB_RAW!$G$3:$G$2000=$D113)*ISERROR(SEARCH("drop",소재DB_RAW!$C$3:$C$2000))))),"")</f>
        <v/>
      </c>
      <c r="Y113" s="26">
        <f>IFERROR(TEXTJOIN(CHAR(10),TRUE,UNIQUE(FILTER(소재DB_RAW!$N$3:$N$2000&amp;") "&amp;소재DB_RAW!$O$3:$O$2000,(소재DB_RAW!$G$3:$G$2000=$D113)*ISNUMBER(SEARCH("겉감",소재DB_RAW!$M$3:$M$2000))*ISERROR(SEARCH("drop",소재DB_RAW!$C$3:$C$2000))))),"")</f>
        <v/>
      </c>
      <c r="Z113" s="26">
        <f>IFERROR(TEXTJOIN(CHAR(10),TRUE,UNIQUE(FILTER(소재DB_RAW!$N$3:$N$2000&amp;") "&amp;소재DB_RAW!$O$3:$O$2000,(소재DB_RAW!$G$3:$G$2000=$D113)*ISNUMBER(SEARCH("안감",소재DB_RAW!$M$3:$M$2000))*ISERROR(SEARCH("drop",소재DB_RAW!$C$3:$C$2000))))),"")</f>
        <v/>
      </c>
      <c r="AA113" s="27" t="n">
        <v>67000</v>
      </c>
      <c r="AB113" s="27" t="n">
        <v>1474000000</v>
      </c>
      <c r="AC113" s="27" t="n">
        <v>7906000000</v>
      </c>
      <c r="AD113" s="20" t="inlineStr">
        <is>
          <t>1월 4주</t>
        </is>
      </c>
      <c r="AE113" s="20">
        <f>IF($K113="","출고일 미정",IF($Q113="X","작지 미발행",IF($Q113="부분","작지 일부 미발행",IF(AND($S113&lt;&gt;"",$S113&gt;$N113),"소재입고 마감("&amp;TEXT($N113,"MM/DD")&amp;") 초과",IF($Q113="","발행여부 확인 필요",IF($S113="","소재 입고일정 확인 필요","정상"))))))</f>
        <v/>
      </c>
      <c r="AF113" s="19">
        <f>IF($K113="","",IF(OR(LEFT($AE113,2)="작지",LEFT($AE113,4)="소재입고"),IF(LEFT($G113,1)="S","★ 납기위험(S코드)","◆ 지연주의"),IF($AE113="정상","✓ 정상","? 확인필요")))</f>
        <v/>
      </c>
      <c r="AG113" s="21" t="n"/>
      <c r="AH113" s="28" t="n"/>
    </row>
    <row r="114">
      <c r="A114" s="19" t="n">
        <v>110</v>
      </c>
      <c r="B114" s="20" t="inlineStr">
        <is>
          <t>김준래</t>
        </is>
      </c>
      <c r="C114" s="20" t="inlineStr">
        <is>
          <t>권혁일</t>
        </is>
      </c>
      <c r="D114" s="20" t="inlineStr">
        <is>
          <t>TVTCM27504</t>
        </is>
      </c>
      <c r="E114" s="20" t="inlineStr">
        <is>
          <t>하절 여성 핫멜트 폴로 반팔 티셔츠</t>
        </is>
      </c>
      <c r="F114" s="20" t="inlineStr">
        <is>
          <t>IVO(IVORY), PYL, DNA(D/NAVY)</t>
        </is>
      </c>
      <c r="G114" s="19">
        <f>IF($D114="","",IF(MID($D114,5,1)="S","S(봄)",IF(MID($D114,5,1)="M","M(여름)",IF(MID($D114,5,1)="X","X(사계절)",MID($D114,5,1)))))</f>
        <v/>
      </c>
      <c r="H114" s="20" t="inlineStr">
        <is>
          <t>완사입</t>
        </is>
      </c>
      <c r="I114" s="19" t="inlineStr"/>
      <c r="J114" s="21" t="inlineStr">
        <is>
          <t>1월4주</t>
        </is>
      </c>
      <c r="K114" s="22">
        <f>IF($J114="","",IFERROR(DATE(IF(VALUE(LEFT($J114,FIND("월",$J114)-1))&gt;=9,기준정보!$C$7-1,기준정보!$C$7),VALUE(LEFT($J114,FIND("월",$J114)-1)),1+7*(VALUE(SUBSTITUTE(MID($J114,FIND("월",$J114)+1,5),"주",""))-1)),""))</f>
        <v/>
      </c>
      <c r="L114" s="22">
        <f>IF($K114="","",IF(AND($K114-기준정보!$C$5&gt;=기준정보!$C$10,$K114-기준정보!$C$5&lt;=기준정보!$C$11),기준정보!$C$10-1,$K114-기준정보!$C$5))</f>
        <v/>
      </c>
      <c r="M114" s="23">
        <f>IF($L114="","",IF(OR(ISNUMBER(SEARCH("중국",$W114)),ISNUMBER(SEARCH("베트남",$W114))),MAX(0,MIN($L114,기준정보!$C$9)-MAX($L114-기준정보!$C$6,기준정보!$C$8)+1),IF(ISNUMBER(SEARCH("한국",$W114)),MAX(0,MIN($L114,기준정보!$C$11)-MAX($L114-기준정보!$C$6,기준정보!$C$10)+1),0)))</f>
        <v/>
      </c>
      <c r="N114" s="22">
        <f>IF($L114="","",$L114-기준정보!$C$6-$M114)</f>
        <v/>
      </c>
      <c r="O114" s="24">
        <f>IF($N114="","",$N114-기준정보!$C$4)</f>
        <v/>
      </c>
      <c r="P114" s="21" t="inlineStr">
        <is>
          <t>O</t>
        </is>
      </c>
      <c r="Q114" s="21" t="inlineStr">
        <is>
          <t>O</t>
        </is>
      </c>
      <c r="R114" s="19">
        <f>IF(COUNTIF(EDW_RAW!$A$2:$A$1500,$D114)=0,"",IF(COUNTIFS(EDW_RAW!$A$2:$A$1500,$D114,EDW_RAW!$U$2:$U$1500,"&lt;&gt;~",EDW_RAW!$U$2:$U$1500,"&lt;&gt;")=COUNTIF(EDW_RAW!$A$2:$A$1500,$D114),"O",IF(COUNTIFS(EDW_RAW!$A$2:$A$1500,$D114,EDW_RAW!$U$2:$U$1500,"&lt;&gt;~",EDW_RAW!$U$2:$U$1500,"&lt;&gt;")&gt;0,"부분","X")))</f>
        <v/>
      </c>
      <c r="S114" s="25" t="n"/>
      <c r="T114" s="20">
        <f>IF($H114="","",IF(AND(ISNUMBER(SEARCH("CMT",$H114)),OR(ISNUMBER(SEARCH("완사입",$H114)),ISNUMBER(SEARCH("ODM",$H114)))),"본사/생산처 혼재",IF(ISNUMBER(SEARCH("CMT",$H114)),"본사(소재팀)","생산처")))</f>
        <v/>
      </c>
      <c r="U114" s="20" t="inlineStr">
        <is>
          <t>장안</t>
        </is>
      </c>
      <c r="V114" s="20">
        <f>IFERROR(TEXTJOIN(" / ",TRUE,UNIQUE(FILTER(소재DB_RAW!$K$3:$K$2000,(소재DB_RAW!$G$3:$G$2000=$D114)*ISERROR(SEARCH("drop",소재DB_RAW!$C$3:$C$2000))))),"")</f>
        <v/>
      </c>
      <c r="W114" s="20" t="inlineStr">
        <is>
          <t>베트남</t>
        </is>
      </c>
      <c r="X114" s="20">
        <f>IFERROR(TEXTJOIN(" / ",TRUE,UNIQUE(FILTER(소재DB_RAW!$N$3:$N$2000,(소재DB_RAW!$G$3:$G$2000=$D114)*ISERROR(SEARCH("drop",소재DB_RAW!$C$3:$C$2000))))),"")</f>
        <v/>
      </c>
      <c r="Y114" s="26">
        <f>IFERROR(TEXTJOIN(CHAR(10),TRUE,UNIQUE(FILTER(소재DB_RAW!$N$3:$N$2000&amp;") "&amp;소재DB_RAW!$O$3:$O$2000,(소재DB_RAW!$G$3:$G$2000=$D114)*ISNUMBER(SEARCH("겉감",소재DB_RAW!$M$3:$M$2000))*ISERROR(SEARCH("drop",소재DB_RAW!$C$3:$C$2000))))),"")</f>
        <v/>
      </c>
      <c r="Z114" s="26">
        <f>IFERROR(TEXTJOIN(CHAR(10),TRUE,UNIQUE(FILTER(소재DB_RAW!$N$3:$N$2000&amp;") "&amp;소재DB_RAW!$O$3:$O$2000,(소재DB_RAW!$G$3:$G$2000=$D114)*ISNUMBER(SEARCH("안감",소재DB_RAW!$M$3:$M$2000))*ISERROR(SEARCH("drop",소재DB_RAW!$C$3:$C$2000))))),"")</f>
        <v/>
      </c>
      <c r="AA114" s="27" t="n">
        <v>6500</v>
      </c>
      <c r="AB114" s="27" t="n">
        <v>136578000</v>
      </c>
      <c r="AC114" s="27" t="n">
        <v>767000000</v>
      </c>
      <c r="AD114" s="20" t="inlineStr">
        <is>
          <t>1월 4주</t>
        </is>
      </c>
      <c r="AE114" s="20">
        <f>IF($K114="","출고일 미정",IF($Q114="X","작지 미발행",IF($Q114="부분","작지 일부 미발행",IF(AND($S114&lt;&gt;"",$S114&gt;$N114),"소재입고 마감("&amp;TEXT($N114,"MM/DD")&amp;") 초과",IF($Q114="","발행여부 확인 필요",IF($S114="","소재 입고일정 확인 필요","정상"))))))</f>
        <v/>
      </c>
      <c r="AF114" s="19">
        <f>IF($K114="","",IF(OR(LEFT($AE114,2)="작지",LEFT($AE114,4)="소재입고"),IF(LEFT($G114,1)="S","★ 납기위험(S코드)","◆ 지연주의"),IF($AE114="정상","✓ 정상","? 확인필요")))</f>
        <v/>
      </c>
      <c r="AG114" s="21" t="n"/>
      <c r="AH114" s="28" t="n"/>
    </row>
    <row r="115">
      <c r="A115" s="19" t="n">
        <v>111</v>
      </c>
      <c r="B115" s="20" t="inlineStr">
        <is>
          <t>박진아</t>
        </is>
      </c>
      <c r="C115" s="20" t="inlineStr">
        <is>
          <t>조이슬</t>
        </is>
      </c>
      <c r="D115" s="20" t="inlineStr">
        <is>
          <t>JKTBM27166</t>
        </is>
      </c>
      <c r="E115" s="20" t="inlineStr">
        <is>
          <t>하절 여성 MossDry 소매 하이브리드 긴팔 후드 티셔츠</t>
        </is>
      </c>
      <c r="F115" s="20" t="inlineStr">
        <is>
          <t>VBU, MIN</t>
        </is>
      </c>
      <c r="G115" s="19">
        <f>IF($D115="","",IF(MID($D115,5,1)="S","S(봄)",IF(MID($D115,5,1)="M","M(여름)",IF(MID($D115,5,1)="X","X(사계절)",MID($D115,5,1)))))</f>
        <v/>
      </c>
      <c r="H115" s="20" t="inlineStr">
        <is>
          <t>완사입</t>
        </is>
      </c>
      <c r="I115" s="19" t="inlineStr"/>
      <c r="J115" s="21" t="inlineStr">
        <is>
          <t>2월4주</t>
        </is>
      </c>
      <c r="K115" s="22">
        <f>IF($J115="","",IFERROR(DATE(IF(VALUE(LEFT($J115,FIND("월",$J115)-1))&gt;=9,기준정보!$C$7-1,기준정보!$C$7),VALUE(LEFT($J115,FIND("월",$J115)-1)),1+7*(VALUE(SUBSTITUTE(MID($J115,FIND("월",$J115)+1,5),"주",""))-1)),""))</f>
        <v/>
      </c>
      <c r="L115" s="22">
        <f>IF($K115="","",IF(AND($K115-기준정보!$C$5&gt;=기준정보!$C$10,$K115-기준정보!$C$5&lt;=기준정보!$C$11),기준정보!$C$10-1,$K115-기준정보!$C$5))</f>
        <v/>
      </c>
      <c r="M115" s="23">
        <f>IF($L115="","",IF(OR(ISNUMBER(SEARCH("중국",$W115)),ISNUMBER(SEARCH("베트남",$W115))),MAX(0,MIN($L115,기준정보!$C$9)-MAX($L115-기준정보!$C$6,기준정보!$C$8)+1),IF(ISNUMBER(SEARCH("한국",$W115)),MAX(0,MIN($L115,기준정보!$C$11)-MAX($L115-기준정보!$C$6,기준정보!$C$10)+1),0)))</f>
        <v/>
      </c>
      <c r="N115" s="22">
        <f>IF($L115="","",$L115-기준정보!$C$6-$M115)</f>
        <v/>
      </c>
      <c r="O115" s="24">
        <f>IF($N115="","",$N115-기준정보!$C$4)</f>
        <v/>
      </c>
      <c r="P115" s="21" t="inlineStr">
        <is>
          <t>O</t>
        </is>
      </c>
      <c r="Q115" s="21" t="inlineStr">
        <is>
          <t>O</t>
        </is>
      </c>
      <c r="R115" s="19">
        <f>IF(COUNTIF(EDW_RAW!$A$2:$A$1500,$D115)=0,"",IF(COUNTIFS(EDW_RAW!$A$2:$A$1500,$D115,EDW_RAW!$U$2:$U$1500,"&lt;&gt;~",EDW_RAW!$U$2:$U$1500,"&lt;&gt;")=COUNTIF(EDW_RAW!$A$2:$A$1500,$D115),"O",IF(COUNTIFS(EDW_RAW!$A$2:$A$1500,$D115,EDW_RAW!$U$2:$U$1500,"&lt;&gt;~",EDW_RAW!$U$2:$U$1500,"&lt;&gt;")&gt;0,"부분","X")))</f>
        <v/>
      </c>
      <c r="S115" s="25" t="n"/>
      <c r="T115" s="20">
        <f>IF($H115="","",IF(AND(ISNUMBER(SEARCH("CMT",$H115)),OR(ISNUMBER(SEARCH("완사입",$H115)),ISNUMBER(SEARCH("ODM",$H115)))),"본사/생산처 혼재",IF(ISNUMBER(SEARCH("CMT",$H115)),"본사(소재팀)","생산처")))</f>
        <v/>
      </c>
      <c r="U115" s="20" t="inlineStr">
        <is>
          <t>태화</t>
        </is>
      </c>
      <c r="V115" s="20">
        <f>IFERROR(TEXTJOIN(" / ",TRUE,UNIQUE(FILTER(소재DB_RAW!$K$3:$K$2000,(소재DB_RAW!$G$3:$G$2000=$D115)*ISERROR(SEARCH("drop",소재DB_RAW!$C$3:$C$2000))))),"")</f>
        <v/>
      </c>
      <c r="W115" s="20" t="inlineStr">
        <is>
          <t>베트남</t>
        </is>
      </c>
      <c r="X115" s="20">
        <f>IFERROR(TEXTJOIN(" / ",TRUE,UNIQUE(FILTER(소재DB_RAW!$N$3:$N$2000,(소재DB_RAW!$G$3:$G$2000=$D115)*ISERROR(SEARCH("drop",소재DB_RAW!$C$3:$C$2000))))),"")</f>
        <v/>
      </c>
      <c r="Y115" s="26">
        <f>IFERROR(TEXTJOIN(CHAR(10),TRUE,UNIQUE(FILTER(소재DB_RAW!$N$3:$N$2000&amp;") "&amp;소재DB_RAW!$O$3:$O$2000,(소재DB_RAW!$G$3:$G$2000=$D115)*ISNUMBER(SEARCH("겉감",소재DB_RAW!$M$3:$M$2000))*ISERROR(SEARCH("drop",소재DB_RAW!$C$3:$C$2000))))),"")</f>
        <v/>
      </c>
      <c r="Z115" s="26">
        <f>IFERROR(TEXTJOIN(CHAR(10),TRUE,UNIQUE(FILTER(소재DB_RAW!$N$3:$N$2000&amp;") "&amp;소재DB_RAW!$O$3:$O$2000,(소재DB_RAW!$G$3:$G$2000=$D115)*ISNUMBER(SEARCH("안감",소재DB_RAW!$M$3:$M$2000))*ISERROR(SEARCH("drop",소재DB_RAW!$C$3:$C$2000))))),"")</f>
        <v/>
      </c>
      <c r="AA115" s="27" t="n">
        <v>2200</v>
      </c>
      <c r="AB115" s="27" t="n">
        <v>53836200</v>
      </c>
      <c r="AC115" s="27" t="n">
        <v>325600000</v>
      </c>
      <c r="AD115" s="20" t="inlineStr">
        <is>
          <t>2월4주</t>
        </is>
      </c>
      <c r="AE115" s="20">
        <f>IF($K115="","출고일 미정",IF($Q115="X","작지 미발행",IF($Q115="부분","작지 일부 미발행",IF(AND($S115&lt;&gt;"",$S115&gt;$N115),"소재입고 마감("&amp;TEXT($N115,"MM/DD")&amp;") 초과",IF($Q115="","발행여부 확인 필요",IF($S115="","소재 입고일정 확인 필요","정상"))))))</f>
        <v/>
      </c>
      <c r="AF115" s="19">
        <f>IF($K115="","",IF(OR(LEFT($AE115,2)="작지",LEFT($AE115,4)="소재입고"),IF(LEFT($G115,1)="S","★ 납기위험(S코드)","◆ 지연주의"),IF($AE115="정상","✓ 정상","? 확인필요")))</f>
        <v/>
      </c>
      <c r="AG115" s="21" t="n"/>
      <c r="AH115" s="28" t="n"/>
    </row>
    <row r="116">
      <c r="A116" s="19" t="n">
        <v>112</v>
      </c>
      <c r="B116" s="20" t="inlineStr">
        <is>
          <t>박진아</t>
        </is>
      </c>
      <c r="C116" s="20" t="inlineStr">
        <is>
          <t>조이슬</t>
        </is>
      </c>
      <c r="D116" s="20" t="inlineStr">
        <is>
          <t>JKTBM27168</t>
        </is>
      </c>
      <c r="E116" s="20" t="inlineStr">
        <is>
          <t>하절 여성 패턴 긴팔 집업 티셔츠</t>
        </is>
      </c>
      <c r="F116" s="20" t="inlineStr">
        <is>
          <t>LSL, MIN, CRE(CREAM)</t>
        </is>
      </c>
      <c r="G116" s="19">
        <f>IF($D116="","",IF(MID($D116,5,1)="S","S(봄)",IF(MID($D116,5,1)="M","M(여름)",IF(MID($D116,5,1)="X","X(사계절)",MID($D116,5,1)))))</f>
        <v/>
      </c>
      <c r="H116" s="20" t="inlineStr">
        <is>
          <t>완사입</t>
        </is>
      </c>
      <c r="I116" s="19" t="inlineStr"/>
      <c r="J116" s="21" t="inlineStr">
        <is>
          <t>2월4주</t>
        </is>
      </c>
      <c r="K116" s="22">
        <f>IF($J116="","",IFERROR(DATE(IF(VALUE(LEFT($J116,FIND("월",$J116)-1))&gt;=9,기준정보!$C$7-1,기준정보!$C$7),VALUE(LEFT($J116,FIND("월",$J116)-1)),1+7*(VALUE(SUBSTITUTE(MID($J116,FIND("월",$J116)+1,5),"주",""))-1)),""))</f>
        <v/>
      </c>
      <c r="L116" s="22">
        <f>IF($K116="","",IF(AND($K116-기준정보!$C$5&gt;=기준정보!$C$10,$K116-기준정보!$C$5&lt;=기준정보!$C$11),기준정보!$C$10-1,$K116-기준정보!$C$5))</f>
        <v/>
      </c>
      <c r="M116" s="23">
        <f>IF($L116="","",IF(OR(ISNUMBER(SEARCH("중국",$W116)),ISNUMBER(SEARCH("베트남",$W116))),MAX(0,MIN($L116,기준정보!$C$9)-MAX($L116-기준정보!$C$6,기준정보!$C$8)+1),IF(ISNUMBER(SEARCH("한국",$W116)),MAX(0,MIN($L116,기준정보!$C$11)-MAX($L116-기준정보!$C$6,기준정보!$C$10)+1),0)))</f>
        <v/>
      </c>
      <c r="N116" s="22">
        <f>IF($L116="","",$L116-기준정보!$C$6-$M116)</f>
        <v/>
      </c>
      <c r="O116" s="24">
        <f>IF($N116="","",$N116-기준정보!$C$4)</f>
        <v/>
      </c>
      <c r="P116" s="21" t="inlineStr">
        <is>
          <t>O</t>
        </is>
      </c>
      <c r="Q116" s="21" t="inlineStr">
        <is>
          <t>O</t>
        </is>
      </c>
      <c r="R116" s="19">
        <f>IF(COUNTIF(EDW_RAW!$A$2:$A$1500,$D116)=0,"",IF(COUNTIFS(EDW_RAW!$A$2:$A$1500,$D116,EDW_RAW!$U$2:$U$1500,"&lt;&gt;~",EDW_RAW!$U$2:$U$1500,"&lt;&gt;")=COUNTIF(EDW_RAW!$A$2:$A$1500,$D116),"O",IF(COUNTIFS(EDW_RAW!$A$2:$A$1500,$D116,EDW_RAW!$U$2:$U$1500,"&lt;&gt;~",EDW_RAW!$U$2:$U$1500,"&lt;&gt;")&gt;0,"부분","X")))</f>
        <v/>
      </c>
      <c r="S116" s="25" t="n"/>
      <c r="T116" s="20">
        <f>IF($H116="","",IF(AND(ISNUMBER(SEARCH("CMT",$H116)),OR(ISNUMBER(SEARCH("완사입",$H116)),ISNUMBER(SEARCH("ODM",$H116)))),"본사/생산처 혼재",IF(ISNUMBER(SEARCH("CMT",$H116)),"본사(소재팀)","생산처")))</f>
        <v/>
      </c>
      <c r="U116" s="20" t="inlineStr">
        <is>
          <t>장안</t>
        </is>
      </c>
      <c r="V116" s="20">
        <f>IFERROR(TEXTJOIN(" / ",TRUE,UNIQUE(FILTER(소재DB_RAW!$K$3:$K$2000,(소재DB_RAW!$G$3:$G$2000=$D116)*ISERROR(SEARCH("drop",소재DB_RAW!$C$3:$C$2000))))),"")</f>
        <v/>
      </c>
      <c r="W116" s="20" t="inlineStr">
        <is>
          <t>베트남</t>
        </is>
      </c>
      <c r="X116" s="20">
        <f>IFERROR(TEXTJOIN(" / ",TRUE,UNIQUE(FILTER(소재DB_RAW!$N$3:$N$2000,(소재DB_RAW!$G$3:$G$2000=$D116)*ISERROR(SEARCH("drop",소재DB_RAW!$C$3:$C$2000))))),"")</f>
        <v/>
      </c>
      <c r="Y116" s="26">
        <f>IFERROR(TEXTJOIN(CHAR(10),TRUE,UNIQUE(FILTER(소재DB_RAW!$N$3:$N$2000&amp;") "&amp;소재DB_RAW!$O$3:$O$2000,(소재DB_RAW!$G$3:$G$2000=$D116)*ISNUMBER(SEARCH("겉감",소재DB_RAW!$M$3:$M$2000))*ISERROR(SEARCH("drop",소재DB_RAW!$C$3:$C$2000))))),"")</f>
        <v/>
      </c>
      <c r="Z116" s="26">
        <f>IFERROR(TEXTJOIN(CHAR(10),TRUE,UNIQUE(FILTER(소재DB_RAW!$N$3:$N$2000&amp;") "&amp;소재DB_RAW!$O$3:$O$2000,(소재DB_RAW!$G$3:$G$2000=$D116)*ISNUMBER(SEARCH("안감",소재DB_RAW!$M$3:$M$2000))*ISERROR(SEARCH("drop",소재DB_RAW!$C$3:$C$2000))))),"")</f>
        <v/>
      </c>
      <c r="AA116" s="27" t="n">
        <v>4500</v>
      </c>
      <c r="AB116" s="27" t="n">
        <v>106897500</v>
      </c>
      <c r="AC116" s="27" t="n">
        <v>576000000</v>
      </c>
      <c r="AD116" s="20" t="inlineStr">
        <is>
          <t>2월4주</t>
        </is>
      </c>
      <c r="AE116" s="20">
        <f>IF($K116="","출고일 미정",IF($Q116="X","작지 미발행",IF($Q116="부분","작지 일부 미발행",IF(AND($S116&lt;&gt;"",$S116&gt;$N116),"소재입고 마감("&amp;TEXT($N116,"MM/DD")&amp;") 초과",IF($Q116="","발행여부 확인 필요",IF($S116="","소재 입고일정 확인 필요","정상"))))))</f>
        <v/>
      </c>
      <c r="AF116" s="19">
        <f>IF($K116="","",IF(OR(LEFT($AE116,2)="작지",LEFT($AE116,4)="소재입고"),IF(LEFT($G116,1)="S","★ 납기위험(S코드)","◆ 지연주의"),IF($AE116="정상","✓ 정상","? 확인필요")))</f>
        <v/>
      </c>
      <c r="AG116" s="21" t="n"/>
      <c r="AH116" s="28" t="n"/>
    </row>
    <row r="117">
      <c r="A117" s="19" t="n">
        <v>113</v>
      </c>
      <c r="B117" s="20" t="inlineStr">
        <is>
          <t>문도혁</t>
        </is>
      </c>
      <c r="C117" s="20" t="inlineStr">
        <is>
          <t>정희영</t>
        </is>
      </c>
      <c r="D117" s="20" t="inlineStr">
        <is>
          <t>TLPNM27511</t>
        </is>
      </c>
      <c r="E117" s="20" t="inlineStr">
        <is>
          <t>하절 남성 면 혼방 레귤러핏 테이퍼드 팬츠</t>
        </is>
      </c>
      <c r="F117" s="20" t="inlineStr">
        <is>
          <t>BGY(B/GRAY), BLK(BLACK)</t>
        </is>
      </c>
      <c r="G117" s="19">
        <f>IF($D117="","",IF(MID($D117,5,1)="S","S(봄)",IF(MID($D117,5,1)="M","M(여름)",IF(MID($D117,5,1)="X","X(사계절)",MID($D117,5,1)))))</f>
        <v/>
      </c>
      <c r="H117" s="20" t="inlineStr">
        <is>
          <t>CMT</t>
        </is>
      </c>
      <c r="I117" s="19" t="inlineStr">
        <is>
          <t>m1</t>
        </is>
      </c>
      <c r="J117" s="21" t="inlineStr">
        <is>
          <t>2월4주</t>
        </is>
      </c>
      <c r="K117" s="22">
        <f>IF($J117="","",IFERROR(DATE(IF(VALUE(LEFT($J117,FIND("월",$J117)-1))&gt;=9,기준정보!$C$7-1,기준정보!$C$7),VALUE(LEFT($J117,FIND("월",$J117)-1)),1+7*(VALUE(SUBSTITUTE(MID($J117,FIND("월",$J117)+1,5),"주",""))-1)),""))</f>
        <v/>
      </c>
      <c r="L117" s="22">
        <f>IF($K117="","",IF(AND($K117-기준정보!$C$5&gt;=기준정보!$C$10,$K117-기준정보!$C$5&lt;=기준정보!$C$11),기준정보!$C$10-1,$K117-기준정보!$C$5))</f>
        <v/>
      </c>
      <c r="M117" s="23">
        <f>IF($L117="","",IF(OR(ISNUMBER(SEARCH("중국",$W117)),ISNUMBER(SEARCH("베트남",$W117))),MAX(0,MIN($L117,기준정보!$C$9)-MAX($L117-기준정보!$C$6,기준정보!$C$8)+1),IF(ISNUMBER(SEARCH("한국",$W117)),MAX(0,MIN($L117,기준정보!$C$11)-MAX($L117-기준정보!$C$6,기준정보!$C$10)+1),0)))</f>
        <v/>
      </c>
      <c r="N117" s="22">
        <f>IF($L117="","",$L117-기준정보!$C$6-$M117)</f>
        <v/>
      </c>
      <c r="O117" s="24">
        <f>IF($N117="","",$N117-기준정보!$C$4)</f>
        <v/>
      </c>
      <c r="P117" s="21" t="inlineStr">
        <is>
          <t>O</t>
        </is>
      </c>
      <c r="Q117" s="21" t="inlineStr">
        <is>
          <t>O</t>
        </is>
      </c>
      <c r="R117" s="19">
        <f>IF(COUNTIF(EDW_RAW!$A$2:$A$1500,$D117)=0,"",IF(COUNTIFS(EDW_RAW!$A$2:$A$1500,$D117,EDW_RAW!$U$2:$U$1500,"&lt;&gt;~",EDW_RAW!$U$2:$U$1500,"&lt;&gt;")=COUNTIF(EDW_RAW!$A$2:$A$1500,$D117),"O",IF(COUNTIFS(EDW_RAW!$A$2:$A$1500,$D117,EDW_RAW!$U$2:$U$1500,"&lt;&gt;~",EDW_RAW!$U$2:$U$1500,"&lt;&gt;")&gt;0,"부분","X")))</f>
        <v/>
      </c>
      <c r="S117" s="25" t="n"/>
      <c r="T117" s="20">
        <f>IF($H117="","",IF(AND(ISNUMBER(SEARCH("CMT",$H117)),OR(ISNUMBER(SEARCH("완사입",$H117)),ISNUMBER(SEARCH("ODM",$H117)))),"본사/생산처 혼재",IF(ISNUMBER(SEARCH("CMT",$H117)),"본사(소재팀)","생산처")))</f>
        <v/>
      </c>
      <c r="U117" s="20" t="inlineStr">
        <is>
          <t>YIC</t>
        </is>
      </c>
      <c r="V117" s="20">
        <f>IFERROR(TEXTJOIN(" / ",TRUE,UNIQUE(FILTER(소재DB_RAW!$K$3:$K$2000,(소재DB_RAW!$G$3:$G$2000=$D117)*ISERROR(SEARCH("drop",소재DB_RAW!$C$3:$C$2000))))),"")</f>
        <v/>
      </c>
      <c r="W117" s="20" t="inlineStr">
        <is>
          <t>베트남</t>
        </is>
      </c>
      <c r="X117" s="20">
        <f>IFERROR(TEXTJOIN(" / ",TRUE,UNIQUE(FILTER(소재DB_RAW!$N$3:$N$2000,(소재DB_RAW!$G$3:$G$2000=$D117)*ISERROR(SEARCH("drop",소재DB_RAW!$C$3:$C$2000))))),"")</f>
        <v/>
      </c>
      <c r="Y117" s="26">
        <f>IFERROR(TEXTJOIN(CHAR(10),TRUE,UNIQUE(FILTER(소재DB_RAW!$N$3:$N$2000&amp;") "&amp;소재DB_RAW!$O$3:$O$2000,(소재DB_RAW!$G$3:$G$2000=$D117)*ISNUMBER(SEARCH("겉감",소재DB_RAW!$M$3:$M$2000))*ISERROR(SEARCH("drop",소재DB_RAW!$C$3:$C$2000))))),"")</f>
        <v/>
      </c>
      <c r="Z117" s="26">
        <f>IFERROR(TEXTJOIN(CHAR(10),TRUE,UNIQUE(FILTER(소재DB_RAW!$N$3:$N$2000&amp;") "&amp;소재DB_RAW!$O$3:$O$2000,(소재DB_RAW!$G$3:$G$2000=$D117)*ISNUMBER(SEARCH("안감",소재DB_RAW!$M$3:$M$2000))*ISERROR(SEARCH("drop",소재DB_RAW!$C$3:$C$2000))))),"")</f>
        <v/>
      </c>
      <c r="AA117" s="27" t="n">
        <v>5000</v>
      </c>
      <c r="AB117" s="27" t="n">
        <v>207055000</v>
      </c>
      <c r="AC117" s="27" t="n">
        <v>990000000</v>
      </c>
      <c r="AD117" s="20" t="n"/>
      <c r="AE117" s="20">
        <f>IF($K117="","출고일 미정",IF($Q117="X","작지 미발행",IF($Q117="부분","작지 일부 미발행",IF(AND($S117&lt;&gt;"",$S117&gt;$N117),"소재입고 마감("&amp;TEXT($N117,"MM/DD")&amp;") 초과",IF($Q117="","발행여부 확인 필요",IF($S117="","소재 입고일정 확인 필요","정상"))))))</f>
        <v/>
      </c>
      <c r="AF117" s="19">
        <f>IF($K117="","",IF(OR(LEFT($AE117,2)="작지",LEFT($AE117,4)="소재입고"),IF(LEFT($G117,1)="S","★ 납기위험(S코드)","◆ 지연주의"),IF($AE117="정상","✓ 정상","? 확인필요")))</f>
        <v/>
      </c>
      <c r="AG117" s="21" t="n"/>
      <c r="AH117" s="28" t="n"/>
    </row>
    <row r="118">
      <c r="A118" s="19" t="n">
        <v>114</v>
      </c>
      <c r="B118" s="20" t="inlineStr">
        <is>
          <t>김준래</t>
        </is>
      </c>
      <c r="C118" s="20" t="inlineStr">
        <is>
          <t>권혁일</t>
        </is>
      </c>
      <c r="D118" s="20" t="inlineStr">
        <is>
          <t>TLTCM27523</t>
        </is>
      </c>
      <c r="E118" s="20" t="inlineStr">
        <is>
          <t>남성 CP소로나쿨 세미오버 반팔 티셔츠</t>
        </is>
      </c>
      <c r="F118" s="20" t="inlineStr">
        <is>
          <t>MUD, CRE-2, LAK(LAKE), BLK(BLACK)</t>
        </is>
      </c>
      <c r="G118" s="19">
        <f>IF($D118="","",IF(MID($D118,5,1)="S","S(봄)",IF(MID($D118,5,1)="M","M(여름)",IF(MID($D118,5,1)="X","X(사계절)",MID($D118,5,1)))))</f>
        <v/>
      </c>
      <c r="H118" s="20" t="inlineStr">
        <is>
          <t>완사입</t>
        </is>
      </c>
      <c r="I118" s="19" t="inlineStr"/>
      <c r="J118" s="21" t="inlineStr">
        <is>
          <t>2월4주</t>
        </is>
      </c>
      <c r="K118" s="22">
        <f>IF($J118="","",IFERROR(DATE(IF(VALUE(LEFT($J118,FIND("월",$J118)-1))&gt;=9,기준정보!$C$7-1,기준정보!$C$7),VALUE(LEFT($J118,FIND("월",$J118)-1)),1+7*(VALUE(SUBSTITUTE(MID($J118,FIND("월",$J118)+1,5),"주",""))-1)),""))</f>
        <v/>
      </c>
      <c r="L118" s="22">
        <f>IF($K118="","",IF(AND($K118-기준정보!$C$5&gt;=기준정보!$C$10,$K118-기준정보!$C$5&lt;=기준정보!$C$11),기준정보!$C$10-1,$K118-기준정보!$C$5))</f>
        <v/>
      </c>
      <c r="M118" s="23">
        <f>IF($L118="","",IF(OR(ISNUMBER(SEARCH("중국",$W118)),ISNUMBER(SEARCH("베트남",$W118))),MAX(0,MIN($L118,기준정보!$C$9)-MAX($L118-기준정보!$C$6,기준정보!$C$8)+1),IF(ISNUMBER(SEARCH("한국",$W118)),MAX(0,MIN($L118,기준정보!$C$11)-MAX($L118-기준정보!$C$6,기준정보!$C$10)+1),0)))</f>
        <v/>
      </c>
      <c r="N118" s="22">
        <f>IF($L118="","",$L118-기준정보!$C$6-$M118)</f>
        <v/>
      </c>
      <c r="O118" s="24">
        <f>IF($N118="","",$N118-기준정보!$C$4)</f>
        <v/>
      </c>
      <c r="P118" s="21" t="inlineStr">
        <is>
          <t>O</t>
        </is>
      </c>
      <c r="Q118" s="21" t="inlineStr">
        <is>
          <t>O</t>
        </is>
      </c>
      <c r="R118" s="19">
        <f>IF(COUNTIF(EDW_RAW!$A$2:$A$1500,$D118)=0,"",IF(COUNTIFS(EDW_RAW!$A$2:$A$1500,$D118,EDW_RAW!$U$2:$U$1500,"&lt;&gt;~",EDW_RAW!$U$2:$U$1500,"&lt;&gt;")=COUNTIF(EDW_RAW!$A$2:$A$1500,$D118),"O",IF(COUNTIFS(EDW_RAW!$A$2:$A$1500,$D118,EDW_RAW!$U$2:$U$1500,"&lt;&gt;~",EDW_RAW!$U$2:$U$1500,"&lt;&gt;")&gt;0,"부분","X")))</f>
        <v/>
      </c>
      <c r="S118" s="25" t="n"/>
      <c r="T118" s="20">
        <f>IF($H118="","",IF(AND(ISNUMBER(SEARCH("CMT",$H118)),OR(ISNUMBER(SEARCH("완사입",$H118)),ISNUMBER(SEARCH("ODM",$H118)))),"본사/생산처 혼재",IF(ISNUMBER(SEARCH("CMT",$H118)),"본사(소재팀)","생산처")))</f>
        <v/>
      </c>
      <c r="U118" s="20" t="inlineStr">
        <is>
          <t>IKG</t>
        </is>
      </c>
      <c r="V118" s="20">
        <f>IFERROR(TEXTJOIN(" / ",TRUE,UNIQUE(FILTER(소재DB_RAW!$K$3:$K$2000,(소재DB_RAW!$G$3:$G$2000=$D118)*ISERROR(SEARCH("drop",소재DB_RAW!$C$3:$C$2000))))),"")</f>
        <v/>
      </c>
      <c r="W118" s="20" t="inlineStr">
        <is>
          <t>인도네시아</t>
        </is>
      </c>
      <c r="X118" s="20">
        <f>IFERROR(TEXTJOIN(" / ",TRUE,UNIQUE(FILTER(소재DB_RAW!$N$3:$N$2000,(소재DB_RAW!$G$3:$G$2000=$D118)*ISERROR(SEARCH("drop",소재DB_RAW!$C$3:$C$2000))))),"")</f>
        <v/>
      </c>
      <c r="Y118" s="26">
        <f>IFERROR(TEXTJOIN(CHAR(10),TRUE,UNIQUE(FILTER(소재DB_RAW!$N$3:$N$2000&amp;") "&amp;소재DB_RAW!$O$3:$O$2000,(소재DB_RAW!$G$3:$G$2000=$D118)*ISNUMBER(SEARCH("겉감",소재DB_RAW!$M$3:$M$2000))*ISERROR(SEARCH("drop",소재DB_RAW!$C$3:$C$2000))))),"")</f>
        <v/>
      </c>
      <c r="Z118" s="26">
        <f>IFERROR(TEXTJOIN(CHAR(10),TRUE,UNIQUE(FILTER(소재DB_RAW!$N$3:$N$2000&amp;") "&amp;소재DB_RAW!$O$3:$O$2000,(소재DB_RAW!$G$3:$G$2000=$D118)*ISNUMBER(SEARCH("안감",소재DB_RAW!$M$3:$M$2000))*ISERROR(SEARCH("drop",소재DB_RAW!$C$3:$C$2000))))),"")</f>
        <v/>
      </c>
      <c r="AA118" s="27" t="n">
        <v>10000</v>
      </c>
      <c r="AB118" s="27" t="n">
        <v>142150000</v>
      </c>
      <c r="AC118" s="27" t="n">
        <v>780000000</v>
      </c>
      <c r="AD118" s="20" t="n"/>
      <c r="AE118" s="20">
        <f>IF($K118="","출고일 미정",IF($Q118="X","작지 미발행",IF($Q118="부분","작지 일부 미발행",IF(AND($S118&lt;&gt;"",$S118&gt;$N118),"소재입고 마감("&amp;TEXT($N118,"MM/DD")&amp;") 초과",IF($Q118="","발행여부 확인 필요",IF($S118="","소재 입고일정 확인 필요","정상"))))))</f>
        <v/>
      </c>
      <c r="AF118" s="19">
        <f>IF($K118="","",IF(OR(LEFT($AE118,2)="작지",LEFT($AE118,4)="소재입고"),IF(LEFT($G118,1)="S","★ 납기위험(S코드)","◆ 지연주의"),IF($AE118="정상","✓ 정상","? 확인필요")))</f>
        <v/>
      </c>
      <c r="AG118" s="21" t="n"/>
      <c r="AH118" s="28" t="n"/>
    </row>
    <row r="119">
      <c r="A119" s="19" t="n">
        <v>115</v>
      </c>
      <c r="B119" s="20" t="inlineStr">
        <is>
          <t>문도혁</t>
        </is>
      </c>
      <c r="C119" s="20" t="inlineStr">
        <is>
          <t>이민선</t>
        </is>
      </c>
      <c r="D119" s="20" t="inlineStr">
        <is>
          <t>TVJJM27532</t>
        </is>
      </c>
      <c r="E119" s="20" t="inlineStr">
        <is>
          <t>하절 여성 V컷 스탠드넥 방풍 재킷</t>
        </is>
      </c>
      <c r="F119" s="20" t="inlineStr">
        <is>
          <t>LGI(L/GREIGE), NAY</t>
        </is>
      </c>
      <c r="G119" s="19">
        <f>IF($D119="","",IF(MID($D119,5,1)="S","S(봄)",IF(MID($D119,5,1)="M","M(여름)",IF(MID($D119,5,1)="X","X(사계절)",MID($D119,5,1)))))</f>
        <v/>
      </c>
      <c r="H119" s="20" t="inlineStr">
        <is>
          <t>완사입</t>
        </is>
      </c>
      <c r="I119" s="19" t="inlineStr">
        <is>
          <t>m1</t>
        </is>
      </c>
      <c r="J119" s="21" t="inlineStr">
        <is>
          <t>2월4주</t>
        </is>
      </c>
      <c r="K119" s="22">
        <f>IF($J119="","",IFERROR(DATE(IF(VALUE(LEFT($J119,FIND("월",$J119)-1))&gt;=9,기준정보!$C$7-1,기준정보!$C$7),VALUE(LEFT($J119,FIND("월",$J119)-1)),1+7*(VALUE(SUBSTITUTE(MID($J119,FIND("월",$J119)+1,5),"주",""))-1)),""))</f>
        <v/>
      </c>
      <c r="L119" s="22">
        <f>IF($K119="","",IF(AND($K119-기준정보!$C$5&gt;=기준정보!$C$10,$K119-기준정보!$C$5&lt;=기준정보!$C$11),기준정보!$C$10-1,$K119-기준정보!$C$5))</f>
        <v/>
      </c>
      <c r="M119" s="23">
        <f>IF($L119="","",IF(OR(ISNUMBER(SEARCH("중국",$W119)),ISNUMBER(SEARCH("베트남",$W119))),MAX(0,MIN($L119,기준정보!$C$9)-MAX($L119-기준정보!$C$6,기준정보!$C$8)+1),IF(ISNUMBER(SEARCH("한국",$W119)),MAX(0,MIN($L119,기준정보!$C$11)-MAX($L119-기준정보!$C$6,기준정보!$C$10)+1),0)))</f>
        <v/>
      </c>
      <c r="N119" s="22">
        <f>IF($L119="","",$L119-기준정보!$C$6-$M119)</f>
        <v/>
      </c>
      <c r="O119" s="24">
        <f>IF($N119="","",$N119-기준정보!$C$4)</f>
        <v/>
      </c>
      <c r="P119" s="21" t="inlineStr">
        <is>
          <t>O</t>
        </is>
      </c>
      <c r="Q119" s="21" t="inlineStr">
        <is>
          <t>O</t>
        </is>
      </c>
      <c r="R119" s="19">
        <f>IF(COUNTIF(EDW_RAW!$A$2:$A$1500,$D119)=0,"",IF(COUNTIFS(EDW_RAW!$A$2:$A$1500,$D119,EDW_RAW!$U$2:$U$1500,"&lt;&gt;~",EDW_RAW!$U$2:$U$1500,"&lt;&gt;")=COUNTIF(EDW_RAW!$A$2:$A$1500,$D119),"O",IF(COUNTIFS(EDW_RAW!$A$2:$A$1500,$D119,EDW_RAW!$U$2:$U$1500,"&lt;&gt;~",EDW_RAW!$U$2:$U$1500,"&lt;&gt;")&gt;0,"부분","X")))</f>
        <v/>
      </c>
      <c r="S119" s="25" t="n"/>
      <c r="T119" s="20">
        <f>IF($H119="","",IF(AND(ISNUMBER(SEARCH("CMT",$H119)),OR(ISNUMBER(SEARCH("완사입",$H119)),ISNUMBER(SEARCH("ODM",$H119)))),"본사/생산처 혼재",IF(ISNUMBER(SEARCH("CMT",$H119)),"본사(소재팀)","생산처")))</f>
        <v/>
      </c>
      <c r="U119" s="20" t="inlineStr">
        <is>
          <t>아이블</t>
        </is>
      </c>
      <c r="V119" s="20">
        <f>IFERROR(TEXTJOIN(" / ",TRUE,UNIQUE(FILTER(소재DB_RAW!$K$3:$K$2000,(소재DB_RAW!$G$3:$G$2000=$D119)*ISERROR(SEARCH("drop",소재DB_RAW!$C$3:$C$2000))))),"")</f>
        <v/>
      </c>
      <c r="W119" s="20" t="inlineStr">
        <is>
          <t>베트남</t>
        </is>
      </c>
      <c r="X119" s="20">
        <f>IFERROR(TEXTJOIN(" / ",TRUE,UNIQUE(FILTER(소재DB_RAW!$N$3:$N$2000,(소재DB_RAW!$G$3:$G$2000=$D119)*ISERROR(SEARCH("drop",소재DB_RAW!$C$3:$C$2000))))),"")</f>
        <v/>
      </c>
      <c r="Y119" s="26">
        <f>IFERROR(TEXTJOIN(CHAR(10),TRUE,UNIQUE(FILTER(소재DB_RAW!$N$3:$N$2000&amp;") "&amp;소재DB_RAW!$O$3:$O$2000,(소재DB_RAW!$G$3:$G$2000=$D119)*ISNUMBER(SEARCH("겉감",소재DB_RAW!$M$3:$M$2000))*ISERROR(SEARCH("drop",소재DB_RAW!$C$3:$C$2000))))),"")</f>
        <v/>
      </c>
      <c r="Z119" s="26">
        <f>IFERROR(TEXTJOIN(CHAR(10),TRUE,UNIQUE(FILTER(소재DB_RAW!$N$3:$N$2000&amp;") "&amp;소재DB_RAW!$O$3:$O$2000,(소재DB_RAW!$G$3:$G$2000=$D119)*ISNUMBER(SEARCH("안감",소재DB_RAW!$M$3:$M$2000))*ISERROR(SEARCH("drop",소재DB_RAW!$C$3:$C$2000))))),"")</f>
        <v/>
      </c>
      <c r="AA119" s="27" t="n">
        <v>3500</v>
      </c>
      <c r="AB119" s="27" t="n">
        <v>157279500</v>
      </c>
      <c r="AC119" s="27" t="n">
        <v>770000000</v>
      </c>
      <c r="AD119" s="20" t="n"/>
      <c r="AE119" s="20">
        <f>IF($K119="","출고일 미정",IF($Q119="X","작지 미발행",IF($Q119="부분","작지 일부 미발행",IF(AND($S119&lt;&gt;"",$S119&gt;$N119),"소재입고 마감("&amp;TEXT($N119,"MM/DD")&amp;") 초과",IF($Q119="","발행여부 확인 필요",IF($S119="","소재 입고일정 확인 필요","정상"))))))</f>
        <v/>
      </c>
      <c r="AF119" s="19">
        <f>IF($K119="","",IF(OR(LEFT($AE119,2)="작지",LEFT($AE119,4)="소재입고"),IF(LEFT($G119,1)="S","★ 납기위험(S코드)","◆ 지연주의"),IF($AE119="정상","✓ 정상","? 확인필요")))</f>
        <v/>
      </c>
      <c r="AG119" s="21" t="n"/>
      <c r="AH119" s="28" t="n"/>
    </row>
    <row r="120">
      <c r="A120" s="19" t="n">
        <v>116</v>
      </c>
      <c r="B120" s="20" t="inlineStr">
        <is>
          <t>김준래</t>
        </is>
      </c>
      <c r="C120" s="20" t="inlineStr">
        <is>
          <t>권혁일</t>
        </is>
      </c>
      <c r="D120" s="20" t="inlineStr">
        <is>
          <t>TVTCM27508</t>
        </is>
      </c>
      <c r="E120" s="20" t="inlineStr">
        <is>
          <t>여성 CP소로나쿨 모크넥 반팔 티셔츠</t>
        </is>
      </c>
      <c r="F120" s="20" t="inlineStr">
        <is>
          <t>GRI(GREIGE), BLK(BLACK)</t>
        </is>
      </c>
      <c r="G120" s="19">
        <f>IF($D120="","",IF(MID($D120,5,1)="S","S(봄)",IF(MID($D120,5,1)="M","M(여름)",IF(MID($D120,5,1)="X","X(사계절)",MID($D120,5,1)))))</f>
        <v/>
      </c>
      <c r="H120" s="20" t="inlineStr">
        <is>
          <t>완사입</t>
        </is>
      </c>
      <c r="I120" s="19" t="inlineStr"/>
      <c r="J120" s="21" t="inlineStr">
        <is>
          <t>2월4주</t>
        </is>
      </c>
      <c r="K120" s="22">
        <f>IF($J120="","",IFERROR(DATE(IF(VALUE(LEFT($J120,FIND("월",$J120)-1))&gt;=9,기준정보!$C$7-1,기준정보!$C$7),VALUE(LEFT($J120,FIND("월",$J120)-1)),1+7*(VALUE(SUBSTITUTE(MID($J120,FIND("월",$J120)+1,5),"주",""))-1)),""))</f>
        <v/>
      </c>
      <c r="L120" s="22">
        <f>IF($K120="","",IF(AND($K120-기준정보!$C$5&gt;=기준정보!$C$10,$K120-기준정보!$C$5&lt;=기준정보!$C$11),기준정보!$C$10-1,$K120-기준정보!$C$5))</f>
        <v/>
      </c>
      <c r="M120" s="23">
        <f>IF($L120="","",IF(OR(ISNUMBER(SEARCH("중국",$W120)),ISNUMBER(SEARCH("베트남",$W120))),MAX(0,MIN($L120,기준정보!$C$9)-MAX($L120-기준정보!$C$6,기준정보!$C$8)+1),IF(ISNUMBER(SEARCH("한국",$W120)),MAX(0,MIN($L120,기준정보!$C$11)-MAX($L120-기준정보!$C$6,기준정보!$C$10)+1),0)))</f>
        <v/>
      </c>
      <c r="N120" s="22">
        <f>IF($L120="","",$L120-기준정보!$C$6-$M120)</f>
        <v/>
      </c>
      <c r="O120" s="24">
        <f>IF($N120="","",$N120-기준정보!$C$4)</f>
        <v/>
      </c>
      <c r="P120" s="21" t="inlineStr">
        <is>
          <t>O</t>
        </is>
      </c>
      <c r="Q120" s="21" t="inlineStr">
        <is>
          <t>O</t>
        </is>
      </c>
      <c r="R120" s="19">
        <f>IF(COUNTIF(EDW_RAW!$A$2:$A$1500,$D120)=0,"",IF(COUNTIFS(EDW_RAW!$A$2:$A$1500,$D120,EDW_RAW!$U$2:$U$1500,"&lt;&gt;~",EDW_RAW!$U$2:$U$1500,"&lt;&gt;")=COUNTIF(EDW_RAW!$A$2:$A$1500,$D120),"O",IF(COUNTIFS(EDW_RAW!$A$2:$A$1500,$D120,EDW_RAW!$U$2:$U$1500,"&lt;&gt;~",EDW_RAW!$U$2:$U$1500,"&lt;&gt;")&gt;0,"부분","X")))</f>
        <v/>
      </c>
      <c r="S120" s="25" t="n"/>
      <c r="T120" s="20">
        <f>IF($H120="","",IF(AND(ISNUMBER(SEARCH("CMT",$H120)),OR(ISNUMBER(SEARCH("완사입",$H120)),ISNUMBER(SEARCH("ODM",$H120)))),"본사/생산처 혼재",IF(ISNUMBER(SEARCH("CMT",$H120)),"본사(소재팀)","생산처")))</f>
        <v/>
      </c>
      <c r="U120" s="20" t="inlineStr">
        <is>
          <t>장안</t>
        </is>
      </c>
      <c r="V120" s="20">
        <f>IFERROR(TEXTJOIN(" / ",TRUE,UNIQUE(FILTER(소재DB_RAW!$K$3:$K$2000,(소재DB_RAW!$G$3:$G$2000=$D120)*ISERROR(SEARCH("drop",소재DB_RAW!$C$3:$C$2000))))),"")</f>
        <v/>
      </c>
      <c r="W120" s="20" t="inlineStr">
        <is>
          <t>베트남</t>
        </is>
      </c>
      <c r="X120" s="20">
        <f>IFERROR(TEXTJOIN(" / ",TRUE,UNIQUE(FILTER(소재DB_RAW!$N$3:$N$2000,(소재DB_RAW!$G$3:$G$2000=$D120)*ISERROR(SEARCH("drop",소재DB_RAW!$C$3:$C$2000))))),"")</f>
        <v/>
      </c>
      <c r="Y120" s="26">
        <f>IFERROR(TEXTJOIN(CHAR(10),TRUE,UNIQUE(FILTER(소재DB_RAW!$N$3:$N$2000&amp;") "&amp;소재DB_RAW!$O$3:$O$2000,(소재DB_RAW!$G$3:$G$2000=$D120)*ISNUMBER(SEARCH("겉감",소재DB_RAW!$M$3:$M$2000))*ISERROR(SEARCH("drop",소재DB_RAW!$C$3:$C$2000))))),"")</f>
        <v/>
      </c>
      <c r="Z120" s="26">
        <f>IFERROR(TEXTJOIN(CHAR(10),TRUE,UNIQUE(FILTER(소재DB_RAW!$N$3:$N$2000&amp;") "&amp;소재DB_RAW!$O$3:$O$2000,(소재DB_RAW!$G$3:$G$2000=$D120)*ISNUMBER(SEARCH("안감",소재DB_RAW!$M$3:$M$2000))*ISERROR(SEARCH("drop",소재DB_RAW!$C$3:$C$2000))))),"")</f>
        <v/>
      </c>
      <c r="AA120" s="27" t="n">
        <v>2000</v>
      </c>
      <c r="AB120" s="27" t="n">
        <v>32048000</v>
      </c>
      <c r="AC120" s="27" t="n">
        <v>156000000</v>
      </c>
      <c r="AD120" s="20" t="n"/>
      <c r="AE120" s="20">
        <f>IF($K120="","출고일 미정",IF($Q120="X","작지 미발행",IF($Q120="부분","작지 일부 미발행",IF(AND($S120&lt;&gt;"",$S120&gt;$N120),"소재입고 마감("&amp;TEXT($N120,"MM/DD")&amp;") 초과",IF($Q120="","발행여부 확인 필요",IF($S120="","소재 입고일정 확인 필요","정상"))))))</f>
        <v/>
      </c>
      <c r="AF120" s="19">
        <f>IF($K120="","",IF(OR(LEFT($AE120,2)="작지",LEFT($AE120,4)="소재입고"),IF(LEFT($G120,1)="S","★ 납기위험(S코드)","◆ 지연주의"),IF($AE120="정상","✓ 정상","? 확인필요")))</f>
        <v/>
      </c>
      <c r="AG120" s="21" t="n"/>
      <c r="AH120" s="28" t="n"/>
    </row>
    <row r="121">
      <c r="A121" s="19" t="n">
        <v>117</v>
      </c>
      <c r="B121" s="20" t="inlineStr">
        <is>
          <t>박지인</t>
        </is>
      </c>
      <c r="C121" s="20" t="inlineStr">
        <is>
          <t>정은진</t>
        </is>
      </c>
      <c r="D121" s="20" t="inlineStr">
        <is>
          <t>JKJJM27172</t>
        </is>
      </c>
      <c r="E121" s="20" t="inlineStr">
        <is>
          <t>하절 여성 제노아 경량 인후드 방풍 재킷</t>
        </is>
      </c>
      <c r="F121" s="20" t="inlineStr">
        <is>
          <t>MIN, CRE(CREAM), LSL, WBE</t>
        </is>
      </c>
      <c r="G121" s="19">
        <f>IF($D121="","",IF(MID($D121,5,1)="S","S(봄)",IF(MID($D121,5,1)="M","M(여름)",IF(MID($D121,5,1)="X","X(사계절)",MID($D121,5,1)))))</f>
        <v/>
      </c>
      <c r="H121" s="20" t="inlineStr">
        <is>
          <t>CMT</t>
        </is>
      </c>
      <c r="I121" s="19" t="inlineStr"/>
      <c r="J121" s="21" t="inlineStr">
        <is>
          <t>3월1주</t>
        </is>
      </c>
      <c r="K121" s="22">
        <f>IF($J121="","",IFERROR(DATE(IF(VALUE(LEFT($J121,FIND("월",$J121)-1))&gt;=9,기준정보!$C$7-1,기준정보!$C$7),VALUE(LEFT($J121,FIND("월",$J121)-1)),1+7*(VALUE(SUBSTITUTE(MID($J121,FIND("월",$J121)+1,5),"주",""))-1)),""))</f>
        <v/>
      </c>
      <c r="L121" s="22">
        <f>IF($K121="","",IF(AND($K121-기준정보!$C$5&gt;=기준정보!$C$10,$K121-기준정보!$C$5&lt;=기준정보!$C$11),기준정보!$C$10-1,$K121-기준정보!$C$5))</f>
        <v/>
      </c>
      <c r="M121" s="23">
        <f>IF($L121="","",IF(OR(ISNUMBER(SEARCH("중국",$W121)),ISNUMBER(SEARCH("베트남",$W121))),MAX(0,MIN($L121,기준정보!$C$9)-MAX($L121-기준정보!$C$6,기준정보!$C$8)+1),IF(ISNUMBER(SEARCH("한국",$W121)),MAX(0,MIN($L121,기준정보!$C$11)-MAX($L121-기준정보!$C$6,기준정보!$C$10)+1),0)))</f>
        <v/>
      </c>
      <c r="N121" s="22">
        <f>IF($L121="","",$L121-기준정보!$C$6-$M121)</f>
        <v/>
      </c>
      <c r="O121" s="24">
        <f>IF($N121="","",$N121-기준정보!$C$4)</f>
        <v/>
      </c>
      <c r="P121" s="21" t="inlineStr">
        <is>
          <t>O</t>
        </is>
      </c>
      <c r="Q121" s="21" t="inlineStr">
        <is>
          <t>O</t>
        </is>
      </c>
      <c r="R121" s="19">
        <f>IF(COUNTIF(EDW_RAW!$A$2:$A$1500,$D121)=0,"",IF(COUNTIFS(EDW_RAW!$A$2:$A$1500,$D121,EDW_RAW!$U$2:$U$1500,"&lt;&gt;~",EDW_RAW!$U$2:$U$1500,"&lt;&gt;")=COUNTIF(EDW_RAW!$A$2:$A$1500,$D121),"O",IF(COUNTIFS(EDW_RAW!$A$2:$A$1500,$D121,EDW_RAW!$U$2:$U$1500,"&lt;&gt;~",EDW_RAW!$U$2:$U$1500,"&lt;&gt;")&gt;0,"부분","X")))</f>
        <v/>
      </c>
      <c r="S121" s="25" t="n"/>
      <c r="T121" s="20">
        <f>IF($H121="","",IF(AND(ISNUMBER(SEARCH("CMT",$H121)),OR(ISNUMBER(SEARCH("완사입",$H121)),ISNUMBER(SEARCH("ODM",$H121)))),"본사/생산처 혼재",IF(ISNUMBER(SEARCH("CMT",$H121)),"본사(소재팀)","생산처")))</f>
        <v/>
      </c>
      <c r="U121" s="20" t="inlineStr">
        <is>
          <t>원전</t>
        </is>
      </c>
      <c r="V121" s="20">
        <f>IFERROR(TEXTJOIN(" / ",TRUE,UNIQUE(FILTER(소재DB_RAW!$K$3:$K$2000,(소재DB_RAW!$G$3:$G$2000=$D121)*ISERROR(SEARCH("drop",소재DB_RAW!$C$3:$C$2000))))),"")</f>
        <v/>
      </c>
      <c r="W121" s="20" t="inlineStr"/>
      <c r="X121" s="20">
        <f>IFERROR(TEXTJOIN(" / ",TRUE,UNIQUE(FILTER(소재DB_RAW!$N$3:$N$2000,(소재DB_RAW!$G$3:$G$2000=$D121)*ISERROR(SEARCH("drop",소재DB_RAW!$C$3:$C$2000))))),"")</f>
        <v/>
      </c>
      <c r="Y121" s="26">
        <f>IFERROR(TEXTJOIN(CHAR(10),TRUE,UNIQUE(FILTER(소재DB_RAW!$N$3:$N$2000&amp;") "&amp;소재DB_RAW!$O$3:$O$2000,(소재DB_RAW!$G$3:$G$2000=$D121)*ISNUMBER(SEARCH("겉감",소재DB_RAW!$M$3:$M$2000))*ISERROR(SEARCH("drop",소재DB_RAW!$C$3:$C$2000))))),"")</f>
        <v/>
      </c>
      <c r="Z121" s="26">
        <f>IFERROR(TEXTJOIN(CHAR(10),TRUE,UNIQUE(FILTER(소재DB_RAW!$N$3:$N$2000&amp;") "&amp;소재DB_RAW!$O$3:$O$2000,(소재DB_RAW!$G$3:$G$2000=$D121)*ISNUMBER(SEARCH("안감",소재DB_RAW!$M$3:$M$2000))*ISERROR(SEARCH("drop",소재DB_RAW!$C$3:$C$2000))))),"")</f>
        <v/>
      </c>
      <c r="AA121" s="27" t="n">
        <v>15000</v>
      </c>
      <c r="AB121" s="27" t="n">
        <v>569850000</v>
      </c>
      <c r="AC121" s="27" t="n">
        <v>2970000000</v>
      </c>
      <c r="AD121" s="20" t="inlineStr">
        <is>
          <t>3월1주</t>
        </is>
      </c>
      <c r="AE121" s="20">
        <f>IF($K121="","출고일 미정",IF($Q121="X","작지 미발행",IF($Q121="부분","작지 일부 미발행",IF(AND($S121&lt;&gt;"",$S121&gt;$N121),"소재입고 마감("&amp;TEXT($N121,"MM/DD")&amp;") 초과",IF($Q121="","발행여부 확인 필요",IF($S121="","소재 입고일정 확인 필요","정상"))))))</f>
        <v/>
      </c>
      <c r="AF121" s="19">
        <f>IF($K121="","",IF(OR(LEFT($AE121,2)="작지",LEFT($AE121,4)="소재입고"),IF(LEFT($G121,1)="S","★ 납기위험(S코드)","◆ 지연주의"),IF($AE121="정상","✓ 정상","? 확인필요")))</f>
        <v/>
      </c>
      <c r="AG121" s="21" t="n"/>
      <c r="AH121" s="28" t="n"/>
    </row>
    <row r="122">
      <c r="A122" s="19" t="n">
        <v>118</v>
      </c>
      <c r="B122" s="20" t="inlineStr">
        <is>
          <t>이재헌</t>
        </is>
      </c>
      <c r="C122" s="20" t="inlineStr">
        <is>
          <t>정은진</t>
        </is>
      </c>
      <c r="D122" s="20" t="inlineStr">
        <is>
          <t>JWJJM27171</t>
        </is>
      </c>
      <c r="E122" s="20" t="inlineStr">
        <is>
          <t>남성 제노아 경량 인후드 방풍 재킷</t>
        </is>
      </c>
      <c r="F122" s="20" t="inlineStr">
        <is>
          <t>WGY, KHA(KHAKI), DNA(D/NAVY), DOC(D/OCEAN)</t>
        </is>
      </c>
      <c r="G122" s="19">
        <f>IF($D122="","",IF(MID($D122,5,1)="S","S(봄)",IF(MID($D122,5,1)="M","M(여름)",IF(MID($D122,5,1)="X","X(사계절)",MID($D122,5,1)))))</f>
        <v/>
      </c>
      <c r="H122" s="20" t="inlineStr">
        <is>
          <t>CMT</t>
        </is>
      </c>
      <c r="I122" s="19" t="inlineStr"/>
      <c r="J122" s="21" t="inlineStr">
        <is>
          <t>3월1주</t>
        </is>
      </c>
      <c r="K122" s="22">
        <f>IF($J122="","",IFERROR(DATE(IF(VALUE(LEFT($J122,FIND("월",$J122)-1))&gt;=9,기준정보!$C$7-1,기준정보!$C$7),VALUE(LEFT($J122,FIND("월",$J122)-1)),1+7*(VALUE(SUBSTITUTE(MID($J122,FIND("월",$J122)+1,5),"주",""))-1)),""))</f>
        <v/>
      </c>
      <c r="L122" s="22">
        <f>IF($K122="","",IF(AND($K122-기준정보!$C$5&gt;=기준정보!$C$10,$K122-기준정보!$C$5&lt;=기준정보!$C$11),기준정보!$C$10-1,$K122-기준정보!$C$5))</f>
        <v/>
      </c>
      <c r="M122" s="23">
        <f>IF($L122="","",IF(OR(ISNUMBER(SEARCH("중국",$W122)),ISNUMBER(SEARCH("베트남",$W122))),MAX(0,MIN($L122,기준정보!$C$9)-MAX($L122-기준정보!$C$6,기준정보!$C$8)+1),IF(ISNUMBER(SEARCH("한국",$W122)),MAX(0,MIN($L122,기준정보!$C$11)-MAX($L122-기준정보!$C$6,기준정보!$C$10)+1),0)))</f>
        <v/>
      </c>
      <c r="N122" s="22">
        <f>IF($L122="","",$L122-기준정보!$C$6-$M122)</f>
        <v/>
      </c>
      <c r="O122" s="24">
        <f>IF($N122="","",$N122-기준정보!$C$4)</f>
        <v/>
      </c>
      <c r="P122" s="21" t="inlineStr">
        <is>
          <t>O</t>
        </is>
      </c>
      <c r="Q122" s="21" t="inlineStr">
        <is>
          <t>O</t>
        </is>
      </c>
      <c r="R122" s="19">
        <f>IF(COUNTIF(EDW_RAW!$A$2:$A$1500,$D122)=0,"",IF(COUNTIFS(EDW_RAW!$A$2:$A$1500,$D122,EDW_RAW!$U$2:$U$1500,"&lt;&gt;~",EDW_RAW!$U$2:$U$1500,"&lt;&gt;")=COUNTIF(EDW_RAW!$A$2:$A$1500,$D122),"O",IF(COUNTIFS(EDW_RAW!$A$2:$A$1500,$D122,EDW_RAW!$U$2:$U$1500,"&lt;&gt;~",EDW_RAW!$U$2:$U$1500,"&lt;&gt;")&gt;0,"부분","X")))</f>
        <v/>
      </c>
      <c r="S122" s="25" t="n"/>
      <c r="T122" s="20">
        <f>IF($H122="","",IF(AND(ISNUMBER(SEARCH("CMT",$H122)),OR(ISNUMBER(SEARCH("완사입",$H122)),ISNUMBER(SEARCH("ODM",$H122)))),"본사/생산처 혼재",IF(ISNUMBER(SEARCH("CMT",$H122)),"본사(소재팀)","생산처")))</f>
        <v/>
      </c>
      <c r="U122" s="20" t="inlineStr">
        <is>
          <t>원전</t>
        </is>
      </c>
      <c r="V122" s="20">
        <f>IFERROR(TEXTJOIN(" / ",TRUE,UNIQUE(FILTER(소재DB_RAW!$K$3:$K$2000,(소재DB_RAW!$G$3:$G$2000=$D122)*ISERROR(SEARCH("drop",소재DB_RAW!$C$3:$C$2000))))),"")</f>
        <v/>
      </c>
      <c r="W122" s="20" t="inlineStr">
        <is>
          <t>인도네시아</t>
        </is>
      </c>
      <c r="X122" s="20">
        <f>IFERROR(TEXTJOIN(" / ",TRUE,UNIQUE(FILTER(소재DB_RAW!$N$3:$N$2000,(소재DB_RAW!$G$3:$G$2000=$D122)*ISERROR(SEARCH("drop",소재DB_RAW!$C$3:$C$2000))))),"")</f>
        <v/>
      </c>
      <c r="Y122" s="26">
        <f>IFERROR(TEXTJOIN(CHAR(10),TRUE,UNIQUE(FILTER(소재DB_RAW!$N$3:$N$2000&amp;") "&amp;소재DB_RAW!$O$3:$O$2000,(소재DB_RAW!$G$3:$G$2000=$D122)*ISNUMBER(SEARCH("겉감",소재DB_RAW!$M$3:$M$2000))*ISERROR(SEARCH("drop",소재DB_RAW!$C$3:$C$2000))))),"")</f>
        <v/>
      </c>
      <c r="Z122" s="26">
        <f>IFERROR(TEXTJOIN(CHAR(10),TRUE,UNIQUE(FILTER(소재DB_RAW!$N$3:$N$2000&amp;") "&amp;소재DB_RAW!$O$3:$O$2000,(소재DB_RAW!$G$3:$G$2000=$D122)*ISNUMBER(SEARCH("안감",소재DB_RAW!$M$3:$M$2000))*ISERROR(SEARCH("drop",소재DB_RAW!$C$3:$C$2000))))),"")</f>
        <v/>
      </c>
      <c r="AA122" s="27" t="n">
        <v>27500</v>
      </c>
      <c r="AB122" s="27" t="n">
        <v>1237500000</v>
      </c>
      <c r="AC122" s="27" t="n">
        <v>5445000000</v>
      </c>
      <c r="AD122" s="20" t="n"/>
      <c r="AE122" s="20">
        <f>IF($K122="","출고일 미정",IF($Q122="X","작지 미발행",IF($Q122="부분","작지 일부 미발행",IF(AND($S122&lt;&gt;"",$S122&gt;$N122),"소재입고 마감("&amp;TEXT($N122,"MM/DD")&amp;") 초과",IF($Q122="","발행여부 확인 필요",IF($S122="","소재 입고일정 확인 필요","정상"))))))</f>
        <v/>
      </c>
      <c r="AF122" s="19">
        <f>IF($K122="","",IF(OR(LEFT($AE122,2)="작지",LEFT($AE122,4)="소재입고"),IF(LEFT($G122,1)="S","★ 납기위험(S코드)","◆ 지연주의"),IF($AE122="정상","✓ 정상","? 확인필요")))</f>
        <v/>
      </c>
      <c r="AG122" s="21" t="n"/>
      <c r="AH122" s="28" t="n"/>
    </row>
    <row r="123">
      <c r="A123" s="19" t="n">
        <v>119</v>
      </c>
      <c r="B123" s="20" t="inlineStr">
        <is>
          <t>정영준</t>
        </is>
      </c>
      <c r="C123" s="20" t="inlineStr">
        <is>
          <t>서은미</t>
        </is>
      </c>
      <c r="D123" s="20" t="inlineStr">
        <is>
          <t>TLJJM27511</t>
        </is>
      </c>
      <c r="E123" s="20" t="inlineStr">
        <is>
          <t>하절 남성 윈드포레스트 패커블 방풍 재킷</t>
        </is>
      </c>
      <c r="F123" s="20" t="inlineStr">
        <is>
          <t>MUD, DNA(D/NAVY), LGY-1</t>
        </is>
      </c>
      <c r="G123" s="19">
        <f>IF($D123="","",IF(MID($D123,5,1)="S","S(봄)",IF(MID($D123,5,1)="M","M(여름)",IF(MID($D123,5,1)="X","X(사계절)",MID($D123,5,1)))))</f>
        <v/>
      </c>
      <c r="H123" s="20" t="inlineStr">
        <is>
          <t>완사입</t>
        </is>
      </c>
      <c r="I123" s="19" t="inlineStr"/>
      <c r="J123" s="21" t="inlineStr">
        <is>
          <t>3월1주</t>
        </is>
      </c>
      <c r="K123" s="22">
        <f>IF($J123="","",IFERROR(DATE(IF(VALUE(LEFT($J123,FIND("월",$J123)-1))&gt;=9,기준정보!$C$7-1,기준정보!$C$7),VALUE(LEFT($J123,FIND("월",$J123)-1)),1+7*(VALUE(SUBSTITUTE(MID($J123,FIND("월",$J123)+1,5),"주",""))-1)),""))</f>
        <v/>
      </c>
      <c r="L123" s="22">
        <f>IF($K123="","",IF(AND($K123-기준정보!$C$5&gt;=기준정보!$C$10,$K123-기준정보!$C$5&lt;=기준정보!$C$11),기준정보!$C$10-1,$K123-기준정보!$C$5))</f>
        <v/>
      </c>
      <c r="M123" s="23">
        <f>IF($L123="","",IF(OR(ISNUMBER(SEARCH("중국",$W123)),ISNUMBER(SEARCH("베트남",$W123))),MAX(0,MIN($L123,기준정보!$C$9)-MAX($L123-기준정보!$C$6,기준정보!$C$8)+1),IF(ISNUMBER(SEARCH("한국",$W123)),MAX(0,MIN($L123,기준정보!$C$11)-MAX($L123-기준정보!$C$6,기준정보!$C$10)+1),0)))</f>
        <v/>
      </c>
      <c r="N123" s="22">
        <f>IF($L123="","",$L123-기준정보!$C$6-$M123)</f>
        <v/>
      </c>
      <c r="O123" s="24">
        <f>IF($N123="","",$N123-기준정보!$C$4)</f>
        <v/>
      </c>
      <c r="P123" s="21" t="inlineStr">
        <is>
          <t>O</t>
        </is>
      </c>
      <c r="Q123" s="21" t="inlineStr">
        <is>
          <t>O</t>
        </is>
      </c>
      <c r="R123" s="19">
        <f>IF(COUNTIF(EDW_RAW!$A$2:$A$1500,$D123)=0,"",IF(COUNTIFS(EDW_RAW!$A$2:$A$1500,$D123,EDW_RAW!$U$2:$U$1500,"&lt;&gt;~",EDW_RAW!$U$2:$U$1500,"&lt;&gt;")=COUNTIF(EDW_RAW!$A$2:$A$1500,$D123),"O",IF(COUNTIFS(EDW_RAW!$A$2:$A$1500,$D123,EDW_RAW!$U$2:$U$1500,"&lt;&gt;~",EDW_RAW!$U$2:$U$1500,"&lt;&gt;")&gt;0,"부분","X")))</f>
        <v/>
      </c>
      <c r="S123" s="25" t="n"/>
      <c r="T123" s="20">
        <f>IF($H123="","",IF(AND(ISNUMBER(SEARCH("CMT",$H123)),OR(ISNUMBER(SEARCH("완사입",$H123)),ISNUMBER(SEARCH("ODM",$H123)))),"본사/생산처 혼재",IF(ISNUMBER(SEARCH("CMT",$H123)),"본사(소재팀)","생산처")))</f>
        <v/>
      </c>
      <c r="U123" s="20" t="inlineStr">
        <is>
          <t>아이블</t>
        </is>
      </c>
      <c r="V123" s="20">
        <f>IFERROR(TEXTJOIN(" / ",TRUE,UNIQUE(FILTER(소재DB_RAW!$K$3:$K$2000,(소재DB_RAW!$G$3:$G$2000=$D123)*ISERROR(SEARCH("drop",소재DB_RAW!$C$3:$C$2000))))),"")</f>
        <v/>
      </c>
      <c r="W123" s="20" t="inlineStr">
        <is>
          <t>베트남</t>
        </is>
      </c>
      <c r="X123" s="20">
        <f>IFERROR(TEXTJOIN(" / ",TRUE,UNIQUE(FILTER(소재DB_RAW!$N$3:$N$2000,(소재DB_RAW!$G$3:$G$2000=$D123)*ISERROR(SEARCH("drop",소재DB_RAW!$C$3:$C$2000))))),"")</f>
        <v/>
      </c>
      <c r="Y123" s="26">
        <f>IFERROR(TEXTJOIN(CHAR(10),TRUE,UNIQUE(FILTER(소재DB_RAW!$N$3:$N$2000&amp;") "&amp;소재DB_RAW!$O$3:$O$2000,(소재DB_RAW!$G$3:$G$2000=$D123)*ISNUMBER(SEARCH("겉감",소재DB_RAW!$M$3:$M$2000))*ISERROR(SEARCH("drop",소재DB_RAW!$C$3:$C$2000))))),"")</f>
        <v/>
      </c>
      <c r="Z123" s="26">
        <f>IFERROR(TEXTJOIN(CHAR(10),TRUE,UNIQUE(FILTER(소재DB_RAW!$N$3:$N$2000&amp;") "&amp;소재DB_RAW!$O$3:$O$2000,(소재DB_RAW!$G$3:$G$2000=$D123)*ISNUMBER(SEARCH("안감",소재DB_RAW!$M$3:$M$2000))*ISERROR(SEARCH("drop",소재DB_RAW!$C$3:$C$2000))))),"")</f>
        <v/>
      </c>
      <c r="AA123" s="27" t="n">
        <v>12500</v>
      </c>
      <c r="AB123" s="27" t="n">
        <v>572725000</v>
      </c>
      <c r="AC123" s="27" t="n">
        <v>2750000000</v>
      </c>
      <c r="AD123" s="20" t="inlineStr">
        <is>
          <t>3월1주</t>
        </is>
      </c>
      <c r="AE123" s="20">
        <f>IF($K123="","출고일 미정",IF($Q123="X","작지 미발행",IF($Q123="부분","작지 일부 미발행",IF(AND($S123&lt;&gt;"",$S123&gt;$N123),"소재입고 마감("&amp;TEXT($N123,"MM/DD")&amp;") 초과",IF($Q123="","발행여부 확인 필요",IF($S123="","소재 입고일정 확인 필요","정상"))))))</f>
        <v/>
      </c>
      <c r="AF123" s="19">
        <f>IF($K123="","",IF(OR(LEFT($AE123,2)="작지",LEFT($AE123,4)="소재입고"),IF(LEFT($G123,1)="S","★ 납기위험(S코드)","◆ 지연주의"),IF($AE123="정상","✓ 정상","? 확인필요")))</f>
        <v/>
      </c>
      <c r="AG123" s="21" t="n"/>
      <c r="AH123" s="28" t="n"/>
    </row>
    <row r="124">
      <c r="A124" s="19" t="n">
        <v>120</v>
      </c>
      <c r="B124" s="20" t="inlineStr">
        <is>
          <t>박지인</t>
        </is>
      </c>
      <c r="C124" s="20" t="inlineStr">
        <is>
          <t>정은진</t>
        </is>
      </c>
      <c r="D124" s="20" t="inlineStr">
        <is>
          <t>JKJJM27152</t>
        </is>
      </c>
      <c r="E124" s="20" t="inlineStr">
        <is>
          <t>하절 여성 경량 윈드케이 방풍 재킷</t>
        </is>
      </c>
      <c r="F124" s="20" t="inlineStr">
        <is>
          <t>CRE(CREAM), LIL(LILAC), BLK(BLACK)</t>
        </is>
      </c>
      <c r="G124" s="19">
        <f>IF($D124="","",IF(MID($D124,5,1)="S","S(봄)",IF(MID($D124,5,1)="M","M(여름)",IF(MID($D124,5,1)="X","X(사계절)",MID($D124,5,1)))))</f>
        <v/>
      </c>
      <c r="H124" s="20" t="inlineStr">
        <is>
          <t>CMT</t>
        </is>
      </c>
      <c r="I124" s="19" t="inlineStr"/>
      <c r="J124" s="21" t="inlineStr">
        <is>
          <t>3월2주</t>
        </is>
      </c>
      <c r="K124" s="22">
        <f>IF($J124="","",IFERROR(DATE(IF(VALUE(LEFT($J124,FIND("월",$J124)-1))&gt;=9,기준정보!$C$7-1,기준정보!$C$7),VALUE(LEFT($J124,FIND("월",$J124)-1)),1+7*(VALUE(SUBSTITUTE(MID($J124,FIND("월",$J124)+1,5),"주",""))-1)),""))</f>
        <v/>
      </c>
      <c r="L124" s="22">
        <f>IF($K124="","",IF(AND($K124-기준정보!$C$5&gt;=기준정보!$C$10,$K124-기준정보!$C$5&lt;=기준정보!$C$11),기준정보!$C$10-1,$K124-기준정보!$C$5))</f>
        <v/>
      </c>
      <c r="M124" s="23">
        <f>IF($L124="","",IF(OR(ISNUMBER(SEARCH("중국",$W124)),ISNUMBER(SEARCH("베트남",$W124))),MAX(0,MIN($L124,기준정보!$C$9)-MAX($L124-기준정보!$C$6,기준정보!$C$8)+1),IF(ISNUMBER(SEARCH("한국",$W124)),MAX(0,MIN($L124,기준정보!$C$11)-MAX($L124-기준정보!$C$6,기준정보!$C$10)+1),0)))</f>
        <v/>
      </c>
      <c r="N124" s="22">
        <f>IF($L124="","",$L124-기준정보!$C$6-$M124)</f>
        <v/>
      </c>
      <c r="O124" s="24">
        <f>IF($N124="","",$N124-기준정보!$C$4)</f>
        <v/>
      </c>
      <c r="P124" s="21" t="inlineStr">
        <is>
          <t>O</t>
        </is>
      </c>
      <c r="Q124" s="21" t="inlineStr">
        <is>
          <t>O</t>
        </is>
      </c>
      <c r="R124" s="19">
        <f>IF(COUNTIF(EDW_RAW!$A$2:$A$1500,$D124)=0,"",IF(COUNTIFS(EDW_RAW!$A$2:$A$1500,$D124,EDW_RAW!$U$2:$U$1500,"&lt;&gt;~",EDW_RAW!$U$2:$U$1500,"&lt;&gt;")=COUNTIF(EDW_RAW!$A$2:$A$1500,$D124),"O",IF(COUNTIFS(EDW_RAW!$A$2:$A$1500,$D124,EDW_RAW!$U$2:$U$1500,"&lt;&gt;~",EDW_RAW!$U$2:$U$1500,"&lt;&gt;")&gt;0,"부분","X")))</f>
        <v/>
      </c>
      <c r="S124" s="25" t="n"/>
      <c r="T124" s="20">
        <f>IF($H124="","",IF(AND(ISNUMBER(SEARCH("CMT",$H124)),OR(ISNUMBER(SEARCH("완사입",$H124)),ISNUMBER(SEARCH("ODM",$H124)))),"본사/생산처 혼재",IF(ISNUMBER(SEARCH("CMT",$H124)),"본사(소재팀)","생산처")))</f>
        <v/>
      </c>
      <c r="U124" s="20" t="inlineStr">
        <is>
          <t>아이블</t>
        </is>
      </c>
      <c r="V124" s="20">
        <f>IFERROR(TEXTJOIN(" / ",TRUE,UNIQUE(FILTER(소재DB_RAW!$K$3:$K$2000,(소재DB_RAW!$G$3:$G$2000=$D124)*ISERROR(SEARCH("drop",소재DB_RAW!$C$3:$C$2000))))),"")</f>
        <v/>
      </c>
      <c r="W124" s="20" t="inlineStr"/>
      <c r="X124" s="20">
        <f>IFERROR(TEXTJOIN(" / ",TRUE,UNIQUE(FILTER(소재DB_RAW!$N$3:$N$2000,(소재DB_RAW!$G$3:$G$2000=$D124)*ISERROR(SEARCH("drop",소재DB_RAW!$C$3:$C$2000))))),"")</f>
        <v/>
      </c>
      <c r="Y124" s="26">
        <f>IFERROR(TEXTJOIN(CHAR(10),TRUE,UNIQUE(FILTER(소재DB_RAW!$N$3:$N$2000&amp;") "&amp;소재DB_RAW!$O$3:$O$2000,(소재DB_RAW!$G$3:$G$2000=$D124)*ISNUMBER(SEARCH("겉감",소재DB_RAW!$M$3:$M$2000))*ISERROR(SEARCH("drop",소재DB_RAW!$C$3:$C$2000))))),"")</f>
        <v/>
      </c>
      <c r="Z124" s="26">
        <f>IFERROR(TEXTJOIN(CHAR(10),TRUE,UNIQUE(FILTER(소재DB_RAW!$N$3:$N$2000&amp;") "&amp;소재DB_RAW!$O$3:$O$2000,(소재DB_RAW!$G$3:$G$2000=$D124)*ISNUMBER(SEARCH("안감",소재DB_RAW!$M$3:$M$2000))*ISERROR(SEARCH("drop",소재DB_RAW!$C$3:$C$2000))))),"")</f>
        <v/>
      </c>
      <c r="AA124" s="27" t="n">
        <v>9000</v>
      </c>
      <c r="AB124" s="27" t="n">
        <v>454095500</v>
      </c>
      <c r="AC124" s="27" t="n">
        <v>1602000000</v>
      </c>
      <c r="AD124" s="20" t="inlineStr">
        <is>
          <t>3월2주</t>
        </is>
      </c>
      <c r="AE124" s="20">
        <f>IF($K124="","출고일 미정",IF($Q124="X","작지 미발행",IF($Q124="부분","작지 일부 미발행",IF(AND($S124&lt;&gt;"",$S124&gt;$N124),"소재입고 마감("&amp;TEXT($N124,"MM/DD")&amp;") 초과",IF($Q124="","발행여부 확인 필요",IF($S124="","소재 입고일정 확인 필요","정상"))))))</f>
        <v/>
      </c>
      <c r="AF124" s="19">
        <f>IF($K124="","",IF(OR(LEFT($AE124,2)="작지",LEFT($AE124,4)="소재입고"),IF(LEFT($G124,1)="S","★ 납기위험(S코드)","◆ 지연주의"),IF($AE124="정상","✓ 정상","? 확인필요")))</f>
        <v/>
      </c>
      <c r="AG124" s="21" t="n"/>
      <c r="AH124" s="28" t="n"/>
    </row>
    <row r="125">
      <c r="A125" s="19" t="n">
        <v>121</v>
      </c>
      <c r="B125" s="20" t="inlineStr">
        <is>
          <t>박진아</t>
        </is>
      </c>
      <c r="C125" s="20" t="inlineStr">
        <is>
          <t>조이슬</t>
        </is>
      </c>
      <c r="D125" s="20" t="inlineStr">
        <is>
          <t>JKTCM27182</t>
        </is>
      </c>
      <c r="E125" s="20" t="inlineStr">
        <is>
          <t>하절 여성 에어도트 반팔 집업 티셔츠</t>
        </is>
      </c>
      <c r="F125" s="20" t="inlineStr">
        <is>
          <t>MIN, CRE(CREAM), BLK(BLACK)</t>
        </is>
      </c>
      <c r="G125" s="19">
        <f>IF($D125="","",IF(MID($D125,5,1)="S","S(봄)",IF(MID($D125,5,1)="M","M(여름)",IF(MID($D125,5,1)="X","X(사계절)",MID($D125,5,1)))))</f>
        <v/>
      </c>
      <c r="H125" s="20" t="inlineStr">
        <is>
          <t>완사입</t>
        </is>
      </c>
      <c r="I125" s="19" t="inlineStr"/>
      <c r="J125" s="21" t="inlineStr">
        <is>
          <t>3월2주</t>
        </is>
      </c>
      <c r="K125" s="22">
        <f>IF($J125="","",IFERROR(DATE(IF(VALUE(LEFT($J125,FIND("월",$J125)-1))&gt;=9,기준정보!$C$7-1,기준정보!$C$7),VALUE(LEFT($J125,FIND("월",$J125)-1)),1+7*(VALUE(SUBSTITUTE(MID($J125,FIND("월",$J125)+1,5),"주",""))-1)),""))</f>
        <v/>
      </c>
      <c r="L125" s="22">
        <f>IF($K125="","",IF(AND($K125-기준정보!$C$5&gt;=기준정보!$C$10,$K125-기준정보!$C$5&lt;=기준정보!$C$11),기준정보!$C$10-1,$K125-기준정보!$C$5))</f>
        <v/>
      </c>
      <c r="M125" s="23">
        <f>IF($L125="","",IF(OR(ISNUMBER(SEARCH("중국",$W125)),ISNUMBER(SEARCH("베트남",$W125))),MAX(0,MIN($L125,기준정보!$C$9)-MAX($L125-기준정보!$C$6,기준정보!$C$8)+1),IF(ISNUMBER(SEARCH("한국",$W125)),MAX(0,MIN($L125,기준정보!$C$11)-MAX($L125-기준정보!$C$6,기준정보!$C$10)+1),0)))</f>
        <v/>
      </c>
      <c r="N125" s="22">
        <f>IF($L125="","",$L125-기준정보!$C$6-$M125)</f>
        <v/>
      </c>
      <c r="O125" s="24">
        <f>IF($N125="","",$N125-기준정보!$C$4)</f>
        <v/>
      </c>
      <c r="P125" s="21" t="inlineStr">
        <is>
          <t>O</t>
        </is>
      </c>
      <c r="Q125" s="21" t="inlineStr">
        <is>
          <t>O</t>
        </is>
      </c>
      <c r="R125" s="19">
        <f>IF(COUNTIF(EDW_RAW!$A$2:$A$1500,$D125)=0,"",IF(COUNTIFS(EDW_RAW!$A$2:$A$1500,$D125,EDW_RAW!$U$2:$U$1500,"&lt;&gt;~",EDW_RAW!$U$2:$U$1500,"&lt;&gt;")=COUNTIF(EDW_RAW!$A$2:$A$1500,$D125),"O",IF(COUNTIFS(EDW_RAW!$A$2:$A$1500,$D125,EDW_RAW!$U$2:$U$1500,"&lt;&gt;~",EDW_RAW!$U$2:$U$1500,"&lt;&gt;")&gt;0,"부분","X")))</f>
        <v/>
      </c>
      <c r="S125" s="25" t="n"/>
      <c r="T125" s="20">
        <f>IF($H125="","",IF(AND(ISNUMBER(SEARCH("CMT",$H125)),OR(ISNUMBER(SEARCH("완사입",$H125)),ISNUMBER(SEARCH("ODM",$H125)))),"본사/생산처 혼재",IF(ISNUMBER(SEARCH("CMT",$H125)),"본사(소재팀)","생산처")))</f>
        <v/>
      </c>
      <c r="U125" s="20" t="inlineStr">
        <is>
          <t>장안</t>
        </is>
      </c>
      <c r="V125" s="20">
        <f>IFERROR(TEXTJOIN(" / ",TRUE,UNIQUE(FILTER(소재DB_RAW!$K$3:$K$2000,(소재DB_RAW!$G$3:$G$2000=$D125)*ISERROR(SEARCH("drop",소재DB_RAW!$C$3:$C$2000))))),"")</f>
        <v/>
      </c>
      <c r="W125" s="20" t="inlineStr">
        <is>
          <t>베트남</t>
        </is>
      </c>
      <c r="X125" s="20">
        <f>IFERROR(TEXTJOIN(" / ",TRUE,UNIQUE(FILTER(소재DB_RAW!$N$3:$N$2000,(소재DB_RAW!$G$3:$G$2000=$D125)*ISERROR(SEARCH("drop",소재DB_RAW!$C$3:$C$2000))))),"")</f>
        <v/>
      </c>
      <c r="Y125" s="26">
        <f>IFERROR(TEXTJOIN(CHAR(10),TRUE,UNIQUE(FILTER(소재DB_RAW!$N$3:$N$2000&amp;") "&amp;소재DB_RAW!$O$3:$O$2000,(소재DB_RAW!$G$3:$G$2000=$D125)*ISNUMBER(SEARCH("겉감",소재DB_RAW!$M$3:$M$2000))*ISERROR(SEARCH("drop",소재DB_RAW!$C$3:$C$2000))))),"")</f>
        <v/>
      </c>
      <c r="Z125" s="26">
        <f>IFERROR(TEXTJOIN(CHAR(10),TRUE,UNIQUE(FILTER(소재DB_RAW!$N$3:$N$2000&amp;") "&amp;소재DB_RAW!$O$3:$O$2000,(소재DB_RAW!$G$3:$G$2000=$D125)*ISNUMBER(SEARCH("안감",소재DB_RAW!$M$3:$M$2000))*ISERROR(SEARCH("drop",소재DB_RAW!$C$3:$C$2000))))),"")</f>
        <v/>
      </c>
      <c r="AA125" s="27" t="n">
        <v>5700</v>
      </c>
      <c r="AB125" s="27" t="n">
        <v>135403500</v>
      </c>
      <c r="AC125" s="27" t="n">
        <v>729600000</v>
      </c>
      <c r="AD125" s="20" t="inlineStr">
        <is>
          <t>3월2주</t>
        </is>
      </c>
      <c r="AE125" s="20">
        <f>IF($K125="","출고일 미정",IF($Q125="X","작지 미발행",IF($Q125="부분","작지 일부 미발행",IF(AND($S125&lt;&gt;"",$S125&gt;$N125),"소재입고 마감("&amp;TEXT($N125,"MM/DD")&amp;") 초과",IF($Q125="","발행여부 확인 필요",IF($S125="","소재 입고일정 확인 필요","정상"))))))</f>
        <v/>
      </c>
      <c r="AF125" s="19">
        <f>IF($K125="","",IF(OR(LEFT($AE125,2)="작지",LEFT($AE125,4)="소재입고"),IF(LEFT($G125,1)="S","★ 납기위험(S코드)","◆ 지연주의"),IF($AE125="정상","✓ 정상","? 확인필요")))</f>
        <v/>
      </c>
      <c r="AG125" s="21" t="n"/>
      <c r="AH125" s="28" t="n"/>
    </row>
    <row r="126">
      <c r="A126" s="19" t="n">
        <v>122</v>
      </c>
      <c r="B126" s="20" t="inlineStr">
        <is>
          <t>박진아</t>
        </is>
      </c>
      <c r="C126" s="20" t="inlineStr">
        <is>
          <t>조이슬</t>
        </is>
      </c>
      <c r="D126" s="20" t="inlineStr">
        <is>
          <t>JKTCM27908</t>
        </is>
      </c>
      <c r="E126" s="20" t="inlineStr">
        <is>
          <t>유통특화_하절 여성 5부 집업 티셔츠</t>
        </is>
      </c>
      <c r="F126" s="20" t="inlineStr">
        <is>
          <t>WBE, LIL(LILAC)</t>
        </is>
      </c>
      <c r="G126" s="19">
        <f>IF($D126="","",IF(MID($D126,5,1)="S","S(봄)",IF(MID($D126,5,1)="M","M(여름)",IF(MID($D126,5,1)="X","X(사계절)",MID($D126,5,1)))))</f>
        <v/>
      </c>
      <c r="H126" s="20" t="inlineStr">
        <is>
          <t>완사입</t>
        </is>
      </c>
      <c r="I126" s="19" t="inlineStr"/>
      <c r="J126" s="21" t="inlineStr">
        <is>
          <t>3월2주</t>
        </is>
      </c>
      <c r="K126" s="22">
        <f>IF($J126="","",IFERROR(DATE(IF(VALUE(LEFT($J126,FIND("월",$J126)-1))&gt;=9,기준정보!$C$7-1,기준정보!$C$7),VALUE(LEFT($J126,FIND("월",$J126)-1)),1+7*(VALUE(SUBSTITUTE(MID($J126,FIND("월",$J126)+1,5),"주",""))-1)),""))</f>
        <v/>
      </c>
      <c r="L126" s="22">
        <f>IF($K126="","",IF(AND($K126-기준정보!$C$5&gt;=기준정보!$C$10,$K126-기준정보!$C$5&lt;=기준정보!$C$11),기준정보!$C$10-1,$K126-기준정보!$C$5))</f>
        <v/>
      </c>
      <c r="M126" s="23">
        <f>IF($L126="","",IF(OR(ISNUMBER(SEARCH("중국",$W126)),ISNUMBER(SEARCH("베트남",$W126))),MAX(0,MIN($L126,기준정보!$C$9)-MAX($L126-기준정보!$C$6,기준정보!$C$8)+1),IF(ISNUMBER(SEARCH("한국",$W126)),MAX(0,MIN($L126,기준정보!$C$11)-MAX($L126-기준정보!$C$6,기준정보!$C$10)+1),0)))</f>
        <v/>
      </c>
      <c r="N126" s="22">
        <f>IF($L126="","",$L126-기준정보!$C$6-$M126)</f>
        <v/>
      </c>
      <c r="O126" s="24">
        <f>IF($N126="","",$N126-기준정보!$C$4)</f>
        <v/>
      </c>
      <c r="P126" s="21" t="inlineStr">
        <is>
          <t>O</t>
        </is>
      </c>
      <c r="Q126" s="21" t="inlineStr">
        <is>
          <t>O</t>
        </is>
      </c>
      <c r="R126" s="19">
        <f>IF(COUNTIF(EDW_RAW!$A$2:$A$1500,$D126)=0,"",IF(COUNTIFS(EDW_RAW!$A$2:$A$1500,$D126,EDW_RAW!$U$2:$U$1500,"&lt;&gt;~",EDW_RAW!$U$2:$U$1500,"&lt;&gt;")=COUNTIF(EDW_RAW!$A$2:$A$1500,$D126),"O",IF(COUNTIFS(EDW_RAW!$A$2:$A$1500,$D126,EDW_RAW!$U$2:$U$1500,"&lt;&gt;~",EDW_RAW!$U$2:$U$1500,"&lt;&gt;")&gt;0,"부분","X")))</f>
        <v/>
      </c>
      <c r="S126" s="25" t="n"/>
      <c r="T126" s="20">
        <f>IF($H126="","",IF(AND(ISNUMBER(SEARCH("CMT",$H126)),OR(ISNUMBER(SEARCH("완사입",$H126)),ISNUMBER(SEARCH("ODM",$H126)))),"본사/생산처 혼재",IF(ISNUMBER(SEARCH("CMT",$H126)),"본사(소재팀)","생산처")))</f>
        <v/>
      </c>
      <c r="U126" s="20" t="inlineStr">
        <is>
          <t>IKG</t>
        </is>
      </c>
      <c r="V126" s="20">
        <f>IFERROR(TEXTJOIN(" / ",TRUE,UNIQUE(FILTER(소재DB_RAW!$K$3:$K$2000,(소재DB_RAW!$G$3:$G$2000=$D126)*ISERROR(SEARCH("drop",소재DB_RAW!$C$3:$C$2000))))),"")</f>
        <v/>
      </c>
      <c r="W126" s="20" t="inlineStr">
        <is>
          <t>인도네시아</t>
        </is>
      </c>
      <c r="X126" s="20">
        <f>IFERROR(TEXTJOIN(" / ",TRUE,UNIQUE(FILTER(소재DB_RAW!$N$3:$N$2000,(소재DB_RAW!$G$3:$G$2000=$D126)*ISERROR(SEARCH("drop",소재DB_RAW!$C$3:$C$2000))))),"")</f>
        <v/>
      </c>
      <c r="Y126" s="26">
        <f>IFERROR(TEXTJOIN(CHAR(10),TRUE,UNIQUE(FILTER(소재DB_RAW!$N$3:$N$2000&amp;") "&amp;소재DB_RAW!$O$3:$O$2000,(소재DB_RAW!$G$3:$G$2000=$D126)*ISNUMBER(SEARCH("겉감",소재DB_RAW!$M$3:$M$2000))*ISERROR(SEARCH("drop",소재DB_RAW!$C$3:$C$2000))))),"")</f>
        <v/>
      </c>
      <c r="Z126" s="26">
        <f>IFERROR(TEXTJOIN(CHAR(10),TRUE,UNIQUE(FILTER(소재DB_RAW!$N$3:$N$2000&amp;") "&amp;소재DB_RAW!$O$3:$O$2000,(소재DB_RAW!$G$3:$G$2000=$D126)*ISNUMBER(SEARCH("안감",소재DB_RAW!$M$3:$M$2000))*ISERROR(SEARCH("drop",소재DB_RAW!$C$3:$C$2000))))),"")</f>
        <v/>
      </c>
      <c r="AA126" s="27" t="n">
        <v>1600</v>
      </c>
      <c r="AB126" s="27" t="n">
        <v>25153600</v>
      </c>
      <c r="AC126" s="27" t="n">
        <v>140800000</v>
      </c>
      <c r="AD126" s="20" t="inlineStr">
        <is>
          <t>3월2주</t>
        </is>
      </c>
      <c r="AE126" s="20">
        <f>IF($K126="","출고일 미정",IF($Q126="X","작지 미발행",IF($Q126="부분","작지 일부 미발행",IF(AND($S126&lt;&gt;"",$S126&gt;$N126),"소재입고 마감("&amp;TEXT($N126,"MM/DD")&amp;") 초과",IF($Q126="","발행여부 확인 필요",IF($S126="","소재 입고일정 확인 필요","정상"))))))</f>
        <v/>
      </c>
      <c r="AF126" s="19">
        <f>IF($K126="","",IF(OR(LEFT($AE126,2)="작지",LEFT($AE126,4)="소재입고"),IF(LEFT($G126,1)="S","★ 납기위험(S코드)","◆ 지연주의"),IF($AE126="정상","✓ 정상","? 확인필요")))</f>
        <v/>
      </c>
      <c r="AG126" s="21" t="n"/>
      <c r="AH126" s="28" t="n"/>
    </row>
    <row r="127">
      <c r="A127" s="19" t="n">
        <v>123</v>
      </c>
      <c r="B127" s="20" t="inlineStr">
        <is>
          <t>박지인</t>
        </is>
      </c>
      <c r="C127" s="20" t="inlineStr">
        <is>
          <t>조이슬</t>
        </is>
      </c>
      <c r="D127" s="20" t="inlineStr">
        <is>
          <t>JKVAM27102</t>
        </is>
      </c>
      <c r="E127" s="20" t="inlineStr">
        <is>
          <t>하절 여성 에센셜 경량 베스트</t>
        </is>
      </c>
      <c r="F127" s="20" t="inlineStr">
        <is>
          <t>BLK(BLACK), LIL(LILAC), CRE(CREAM)</t>
        </is>
      </c>
      <c r="G127" s="19">
        <f>IF($D127="","",IF(MID($D127,5,1)="S","S(봄)",IF(MID($D127,5,1)="M","M(여름)",IF(MID($D127,5,1)="X","X(사계절)",MID($D127,5,1)))))</f>
        <v/>
      </c>
      <c r="H127" s="20" t="inlineStr">
        <is>
          <t>CMT</t>
        </is>
      </c>
      <c r="I127" s="19" t="inlineStr"/>
      <c r="J127" s="21" t="inlineStr">
        <is>
          <t>3월2주</t>
        </is>
      </c>
      <c r="K127" s="22">
        <f>IF($J127="","",IFERROR(DATE(IF(VALUE(LEFT($J127,FIND("월",$J127)-1))&gt;=9,기준정보!$C$7-1,기준정보!$C$7),VALUE(LEFT($J127,FIND("월",$J127)-1)),1+7*(VALUE(SUBSTITUTE(MID($J127,FIND("월",$J127)+1,5),"주",""))-1)),""))</f>
        <v/>
      </c>
      <c r="L127" s="22">
        <f>IF($K127="","",IF(AND($K127-기준정보!$C$5&gt;=기준정보!$C$10,$K127-기준정보!$C$5&lt;=기준정보!$C$11),기준정보!$C$10-1,$K127-기준정보!$C$5))</f>
        <v/>
      </c>
      <c r="M127" s="23">
        <f>IF($L127="","",IF(OR(ISNUMBER(SEARCH("중국",$W127)),ISNUMBER(SEARCH("베트남",$W127))),MAX(0,MIN($L127,기준정보!$C$9)-MAX($L127-기준정보!$C$6,기준정보!$C$8)+1),IF(ISNUMBER(SEARCH("한국",$W127)),MAX(0,MIN($L127,기준정보!$C$11)-MAX($L127-기준정보!$C$6,기준정보!$C$10)+1),0)))</f>
        <v/>
      </c>
      <c r="N127" s="22">
        <f>IF($L127="","",$L127-기준정보!$C$6-$M127)</f>
        <v/>
      </c>
      <c r="O127" s="24">
        <f>IF($N127="","",$N127-기준정보!$C$4)</f>
        <v/>
      </c>
      <c r="P127" s="21" t="inlineStr">
        <is>
          <t>O</t>
        </is>
      </c>
      <c r="Q127" s="21" t="inlineStr">
        <is>
          <t>O</t>
        </is>
      </c>
      <c r="R127" s="19">
        <f>IF(COUNTIF(EDW_RAW!$A$2:$A$1500,$D127)=0,"",IF(COUNTIFS(EDW_RAW!$A$2:$A$1500,$D127,EDW_RAW!$U$2:$U$1500,"&lt;&gt;~",EDW_RAW!$U$2:$U$1500,"&lt;&gt;")=COUNTIF(EDW_RAW!$A$2:$A$1500,$D127),"O",IF(COUNTIFS(EDW_RAW!$A$2:$A$1500,$D127,EDW_RAW!$U$2:$U$1500,"&lt;&gt;~",EDW_RAW!$U$2:$U$1500,"&lt;&gt;")&gt;0,"부분","X")))</f>
        <v/>
      </c>
      <c r="S127" s="25" t="n"/>
      <c r="T127" s="20">
        <f>IF($H127="","",IF(AND(ISNUMBER(SEARCH("CMT",$H127)),OR(ISNUMBER(SEARCH("완사입",$H127)),ISNUMBER(SEARCH("ODM",$H127)))),"본사/생산처 혼재",IF(ISNUMBER(SEARCH("CMT",$H127)),"본사(소재팀)","생산처")))</f>
        <v/>
      </c>
      <c r="U127" s="20" t="inlineStr">
        <is>
          <t>아이블</t>
        </is>
      </c>
      <c r="V127" s="20">
        <f>IFERROR(TEXTJOIN(" / ",TRUE,UNIQUE(FILTER(소재DB_RAW!$K$3:$K$2000,(소재DB_RAW!$G$3:$G$2000=$D127)*ISERROR(SEARCH("drop",소재DB_RAW!$C$3:$C$2000))))),"")</f>
        <v/>
      </c>
      <c r="W127" s="20" t="inlineStr"/>
      <c r="X127" s="20">
        <f>IFERROR(TEXTJOIN(" / ",TRUE,UNIQUE(FILTER(소재DB_RAW!$N$3:$N$2000,(소재DB_RAW!$G$3:$G$2000=$D127)*ISERROR(SEARCH("drop",소재DB_RAW!$C$3:$C$2000))))),"")</f>
        <v/>
      </c>
      <c r="Y127" s="26">
        <f>IFERROR(TEXTJOIN(CHAR(10),TRUE,UNIQUE(FILTER(소재DB_RAW!$N$3:$N$2000&amp;") "&amp;소재DB_RAW!$O$3:$O$2000,(소재DB_RAW!$G$3:$G$2000=$D127)*ISNUMBER(SEARCH("겉감",소재DB_RAW!$M$3:$M$2000))*ISERROR(SEARCH("drop",소재DB_RAW!$C$3:$C$2000))))),"")</f>
        <v/>
      </c>
      <c r="Z127" s="26">
        <f>IFERROR(TEXTJOIN(CHAR(10),TRUE,UNIQUE(FILTER(소재DB_RAW!$N$3:$N$2000&amp;") "&amp;소재DB_RAW!$O$3:$O$2000,(소재DB_RAW!$G$3:$G$2000=$D127)*ISNUMBER(SEARCH("안감",소재DB_RAW!$M$3:$M$2000))*ISERROR(SEARCH("drop",소재DB_RAW!$C$3:$C$2000))))),"")</f>
        <v/>
      </c>
      <c r="AA127" s="27" t="n">
        <v>5500</v>
      </c>
      <c r="AB127" s="27" t="n">
        <v>184420500</v>
      </c>
      <c r="AC127" s="27" t="n">
        <v>869000000</v>
      </c>
      <c r="AD127" s="20" t="inlineStr">
        <is>
          <t>3월2주</t>
        </is>
      </c>
      <c r="AE127" s="20">
        <f>IF($K127="","출고일 미정",IF($Q127="X","작지 미발행",IF($Q127="부분","작지 일부 미발행",IF(AND($S127&lt;&gt;"",$S127&gt;$N127),"소재입고 마감("&amp;TEXT($N127,"MM/DD")&amp;") 초과",IF($Q127="","발행여부 확인 필요",IF($S127="","소재 입고일정 확인 필요","정상"))))))</f>
        <v/>
      </c>
      <c r="AF127" s="19">
        <f>IF($K127="","",IF(OR(LEFT($AE127,2)="작지",LEFT($AE127,4)="소재입고"),IF(LEFT($G127,1)="S","★ 납기위험(S코드)","◆ 지연주의"),IF($AE127="정상","✓ 정상","? 확인필요")))</f>
        <v/>
      </c>
      <c r="AG127" s="21" t="n"/>
      <c r="AH127" s="28" t="n"/>
    </row>
    <row r="128">
      <c r="A128" s="19" t="n">
        <v>124</v>
      </c>
      <c r="B128" s="20" t="inlineStr">
        <is>
          <t>이재헌</t>
        </is>
      </c>
      <c r="C128" s="20" t="inlineStr">
        <is>
          <t>정은진</t>
        </is>
      </c>
      <c r="D128" s="20" t="inlineStr">
        <is>
          <t>JWJJM27151</t>
        </is>
      </c>
      <c r="E128" s="20" t="inlineStr">
        <is>
          <t>남성 윈드케이 경량 방풍 재킷</t>
        </is>
      </c>
      <c r="F128" s="20" t="inlineStr">
        <is>
          <t>WGY, BLK(BLACK), DMI(D/MINT)</t>
        </is>
      </c>
      <c r="G128" s="19">
        <f>IF($D128="","",IF(MID($D128,5,1)="S","S(봄)",IF(MID($D128,5,1)="M","M(여름)",IF(MID($D128,5,1)="X","X(사계절)",MID($D128,5,1)))))</f>
        <v/>
      </c>
      <c r="H128" s="20" t="inlineStr">
        <is>
          <t>완사입</t>
        </is>
      </c>
      <c r="I128" s="19" t="inlineStr"/>
      <c r="J128" s="21" t="inlineStr">
        <is>
          <t>3월2주</t>
        </is>
      </c>
      <c r="K128" s="22">
        <f>IF($J128="","",IFERROR(DATE(IF(VALUE(LEFT($J128,FIND("월",$J128)-1))&gt;=9,기준정보!$C$7-1,기준정보!$C$7),VALUE(LEFT($J128,FIND("월",$J128)-1)),1+7*(VALUE(SUBSTITUTE(MID($J128,FIND("월",$J128)+1,5),"주",""))-1)),""))</f>
        <v/>
      </c>
      <c r="L128" s="22">
        <f>IF($K128="","",IF(AND($K128-기준정보!$C$5&gt;=기준정보!$C$10,$K128-기준정보!$C$5&lt;=기준정보!$C$11),기준정보!$C$10-1,$K128-기준정보!$C$5))</f>
        <v/>
      </c>
      <c r="M128" s="23">
        <f>IF($L128="","",IF(OR(ISNUMBER(SEARCH("중국",$W128)),ISNUMBER(SEARCH("베트남",$W128))),MAX(0,MIN($L128,기준정보!$C$9)-MAX($L128-기준정보!$C$6,기준정보!$C$8)+1),IF(ISNUMBER(SEARCH("한국",$W128)),MAX(0,MIN($L128,기준정보!$C$11)-MAX($L128-기준정보!$C$6,기준정보!$C$10)+1),0)))</f>
        <v/>
      </c>
      <c r="N128" s="22">
        <f>IF($L128="","",$L128-기준정보!$C$6-$M128)</f>
        <v/>
      </c>
      <c r="O128" s="24">
        <f>IF($N128="","",$N128-기준정보!$C$4)</f>
        <v/>
      </c>
      <c r="P128" s="21" t="inlineStr">
        <is>
          <t>O</t>
        </is>
      </c>
      <c r="Q128" s="21" t="inlineStr">
        <is>
          <t>O</t>
        </is>
      </c>
      <c r="R128" s="19">
        <f>IF(COUNTIF(EDW_RAW!$A$2:$A$1500,$D128)=0,"",IF(COUNTIFS(EDW_RAW!$A$2:$A$1500,$D128,EDW_RAW!$U$2:$U$1500,"&lt;&gt;~",EDW_RAW!$U$2:$U$1500,"&lt;&gt;")=COUNTIF(EDW_RAW!$A$2:$A$1500,$D128),"O",IF(COUNTIFS(EDW_RAW!$A$2:$A$1500,$D128,EDW_RAW!$U$2:$U$1500,"&lt;&gt;~",EDW_RAW!$U$2:$U$1500,"&lt;&gt;")&gt;0,"부분","X")))</f>
        <v/>
      </c>
      <c r="S128" s="25" t="n"/>
      <c r="T128" s="20">
        <f>IF($H128="","",IF(AND(ISNUMBER(SEARCH("CMT",$H128)),OR(ISNUMBER(SEARCH("완사입",$H128)),ISNUMBER(SEARCH("ODM",$H128)))),"본사/생산처 혼재",IF(ISNUMBER(SEARCH("CMT",$H128)),"본사(소재팀)","생산처")))</f>
        <v/>
      </c>
      <c r="U128" s="20" t="inlineStr">
        <is>
          <t>아이블</t>
        </is>
      </c>
      <c r="V128" s="20">
        <f>IFERROR(TEXTJOIN(" / ",TRUE,UNIQUE(FILTER(소재DB_RAW!$K$3:$K$2000,(소재DB_RAW!$G$3:$G$2000=$D128)*ISERROR(SEARCH("drop",소재DB_RAW!$C$3:$C$2000))))),"")</f>
        <v/>
      </c>
      <c r="W128" s="20" t="inlineStr">
        <is>
          <t>베트남</t>
        </is>
      </c>
      <c r="X128" s="20">
        <f>IFERROR(TEXTJOIN(" / ",TRUE,UNIQUE(FILTER(소재DB_RAW!$N$3:$N$2000,(소재DB_RAW!$G$3:$G$2000=$D128)*ISERROR(SEARCH("drop",소재DB_RAW!$C$3:$C$2000))))),"")</f>
        <v/>
      </c>
      <c r="Y128" s="26">
        <f>IFERROR(TEXTJOIN(CHAR(10),TRUE,UNIQUE(FILTER(소재DB_RAW!$N$3:$N$2000&amp;") "&amp;소재DB_RAW!$O$3:$O$2000,(소재DB_RAW!$G$3:$G$2000=$D128)*ISNUMBER(SEARCH("겉감",소재DB_RAW!$M$3:$M$2000))*ISERROR(SEARCH("drop",소재DB_RAW!$C$3:$C$2000))))),"")</f>
        <v/>
      </c>
      <c r="Z128" s="26">
        <f>IFERROR(TEXTJOIN(CHAR(10),TRUE,UNIQUE(FILTER(소재DB_RAW!$N$3:$N$2000&amp;") "&amp;소재DB_RAW!$O$3:$O$2000,(소재DB_RAW!$G$3:$G$2000=$D128)*ISNUMBER(SEARCH("안감",소재DB_RAW!$M$3:$M$2000))*ISERROR(SEARCH("drop",소재DB_RAW!$C$3:$C$2000))))),"")</f>
        <v/>
      </c>
      <c r="AA128" s="27" t="n">
        <v>13500</v>
      </c>
      <c r="AB128" s="27" t="n">
        <v>628464000</v>
      </c>
      <c r="AC128" s="27" t="n">
        <v>2403000000</v>
      </c>
      <c r="AD128" s="20" t="n"/>
      <c r="AE128" s="20">
        <f>IF($K128="","출고일 미정",IF($Q128="X","작지 미발행",IF($Q128="부분","작지 일부 미발행",IF(AND($S128&lt;&gt;"",$S128&gt;$N128),"소재입고 마감("&amp;TEXT($N128,"MM/DD")&amp;") 초과",IF($Q128="","발행여부 확인 필요",IF($S128="","소재 입고일정 확인 필요","정상"))))))</f>
        <v/>
      </c>
      <c r="AF128" s="19">
        <f>IF($K128="","",IF(OR(LEFT($AE128,2)="작지",LEFT($AE128,4)="소재입고"),IF(LEFT($G128,1)="S","★ 납기위험(S코드)","◆ 지연주의"),IF($AE128="정상","✓ 정상","? 확인필요")))</f>
        <v/>
      </c>
      <c r="AG128" s="21" t="n"/>
      <c r="AH128" s="28" t="n"/>
    </row>
    <row r="129">
      <c r="A129" s="19" t="n">
        <v>125</v>
      </c>
      <c r="B129" s="20" t="inlineStr">
        <is>
          <t>박술홍</t>
        </is>
      </c>
      <c r="C129" s="20" t="inlineStr">
        <is>
          <t>엄창용</t>
        </is>
      </c>
      <c r="D129" s="20" t="inlineStr">
        <is>
          <t>JWPNM27171</t>
        </is>
      </c>
      <c r="E129" s="20" t="inlineStr">
        <is>
          <t>하절 남성 루즈핏 파라슈트 팬츠</t>
        </is>
      </c>
      <c r="F129" s="20" t="inlineStr">
        <is>
          <t>WGY, DBU-2</t>
        </is>
      </c>
      <c r="G129" s="19">
        <f>IF($D129="","",IF(MID($D129,5,1)="S","S(봄)",IF(MID($D129,5,1)="M","M(여름)",IF(MID($D129,5,1)="X","X(사계절)",MID($D129,5,1)))))</f>
        <v/>
      </c>
      <c r="H129" s="20" t="inlineStr">
        <is>
          <t>완사입</t>
        </is>
      </c>
      <c r="I129" s="19" t="inlineStr">
        <is>
          <t>SM2</t>
        </is>
      </c>
      <c r="J129" s="21" t="inlineStr">
        <is>
          <t>3월2주</t>
        </is>
      </c>
      <c r="K129" s="22">
        <f>IF($J129="","",IFERROR(DATE(IF(VALUE(LEFT($J129,FIND("월",$J129)-1))&gt;=9,기준정보!$C$7-1,기준정보!$C$7),VALUE(LEFT($J129,FIND("월",$J129)-1)),1+7*(VALUE(SUBSTITUTE(MID($J129,FIND("월",$J129)+1,5),"주",""))-1)),""))</f>
        <v/>
      </c>
      <c r="L129" s="22">
        <f>IF($K129="","",IF(AND($K129-기준정보!$C$5&gt;=기준정보!$C$10,$K129-기준정보!$C$5&lt;=기준정보!$C$11),기준정보!$C$10-1,$K129-기준정보!$C$5))</f>
        <v/>
      </c>
      <c r="M129" s="23">
        <f>IF($L129="","",IF(OR(ISNUMBER(SEARCH("중국",$W129)),ISNUMBER(SEARCH("베트남",$W129))),MAX(0,MIN($L129,기준정보!$C$9)-MAX($L129-기준정보!$C$6,기준정보!$C$8)+1),IF(ISNUMBER(SEARCH("한국",$W129)),MAX(0,MIN($L129,기준정보!$C$11)-MAX($L129-기준정보!$C$6,기준정보!$C$10)+1),0)))</f>
        <v/>
      </c>
      <c r="N129" s="22">
        <f>IF($L129="","",$L129-기준정보!$C$6-$M129)</f>
        <v/>
      </c>
      <c r="O129" s="24">
        <f>IF($N129="","",$N129-기준정보!$C$4)</f>
        <v/>
      </c>
      <c r="P129" s="21" t="inlineStr">
        <is>
          <t>O</t>
        </is>
      </c>
      <c r="Q129" s="21" t="inlineStr">
        <is>
          <t>O</t>
        </is>
      </c>
      <c r="R129" s="19">
        <f>IF(COUNTIF(EDW_RAW!$A$2:$A$1500,$D129)=0,"",IF(COUNTIFS(EDW_RAW!$A$2:$A$1500,$D129,EDW_RAW!$U$2:$U$1500,"&lt;&gt;~",EDW_RAW!$U$2:$U$1500,"&lt;&gt;")=COUNTIF(EDW_RAW!$A$2:$A$1500,$D129),"O",IF(COUNTIFS(EDW_RAW!$A$2:$A$1500,$D129,EDW_RAW!$U$2:$U$1500,"&lt;&gt;~",EDW_RAW!$U$2:$U$1500,"&lt;&gt;")&gt;0,"부분","X")))</f>
        <v/>
      </c>
      <c r="S129" s="25" t="n"/>
      <c r="T129" s="20">
        <f>IF($H129="","",IF(AND(ISNUMBER(SEARCH("CMT",$H129)),OR(ISNUMBER(SEARCH("완사입",$H129)),ISNUMBER(SEARCH("ODM",$H129)))),"본사/생산처 혼재",IF(ISNUMBER(SEARCH("CMT",$H129)),"본사(소재팀)","생산처")))</f>
        <v/>
      </c>
      <c r="U129" s="20" t="inlineStr">
        <is>
          <t>YIC</t>
        </is>
      </c>
      <c r="V129" s="20">
        <f>IFERROR(TEXTJOIN(" / ",TRUE,UNIQUE(FILTER(소재DB_RAW!$K$3:$K$2000,(소재DB_RAW!$G$3:$G$2000=$D129)*ISERROR(SEARCH("drop",소재DB_RAW!$C$3:$C$2000))))),"")</f>
        <v/>
      </c>
      <c r="W129" s="20" t="inlineStr">
        <is>
          <t>베트남</t>
        </is>
      </c>
      <c r="X129" s="20">
        <f>IFERROR(TEXTJOIN(" / ",TRUE,UNIQUE(FILTER(소재DB_RAW!$N$3:$N$2000,(소재DB_RAW!$G$3:$G$2000=$D129)*ISERROR(SEARCH("drop",소재DB_RAW!$C$3:$C$2000))))),"")</f>
        <v/>
      </c>
      <c r="Y129" s="26">
        <f>IFERROR(TEXTJOIN(CHAR(10),TRUE,UNIQUE(FILTER(소재DB_RAW!$N$3:$N$2000&amp;") "&amp;소재DB_RAW!$O$3:$O$2000,(소재DB_RAW!$G$3:$G$2000=$D129)*ISNUMBER(SEARCH("겉감",소재DB_RAW!$M$3:$M$2000))*ISERROR(SEARCH("drop",소재DB_RAW!$C$3:$C$2000))))),"")</f>
        <v/>
      </c>
      <c r="Z129" s="26">
        <f>IFERROR(TEXTJOIN(CHAR(10),TRUE,UNIQUE(FILTER(소재DB_RAW!$N$3:$N$2000&amp;") "&amp;소재DB_RAW!$O$3:$O$2000,(소재DB_RAW!$G$3:$G$2000=$D129)*ISNUMBER(SEARCH("안감",소재DB_RAW!$M$3:$M$2000))*ISERROR(SEARCH("drop",소재DB_RAW!$C$3:$C$2000))))),"")</f>
        <v/>
      </c>
      <c r="AA129" s="27" t="n">
        <v>1000</v>
      </c>
      <c r="AB129" s="27" t="n">
        <v>35722000</v>
      </c>
      <c r="AC129" s="27" t="n">
        <v>188000000</v>
      </c>
      <c r="AD129" s="20" t="inlineStr">
        <is>
          <t>3월2주</t>
        </is>
      </c>
      <c r="AE129" s="20">
        <f>IF($K129="","출고일 미정",IF($Q129="X","작지 미발행",IF($Q129="부분","작지 일부 미발행",IF(AND($S129&lt;&gt;"",$S129&gt;$N129),"소재입고 마감("&amp;TEXT($N129,"MM/DD")&amp;") 초과",IF($Q129="","발행여부 확인 필요",IF($S129="","소재 입고일정 확인 필요","정상"))))))</f>
        <v/>
      </c>
      <c r="AF129" s="19">
        <f>IF($K129="","",IF(OR(LEFT($AE129,2)="작지",LEFT($AE129,4)="소재입고"),IF(LEFT($G129,1)="S","★ 납기위험(S코드)","◆ 지연주의"),IF($AE129="정상","✓ 정상","? 확인필요")))</f>
        <v/>
      </c>
      <c r="AG129" s="21" t="n"/>
      <c r="AH129" s="28" t="n"/>
    </row>
    <row r="130">
      <c r="A130" s="19" t="n">
        <v>126</v>
      </c>
      <c r="B130" s="20" t="inlineStr">
        <is>
          <t>이재헌</t>
        </is>
      </c>
      <c r="C130" s="20" t="inlineStr">
        <is>
          <t>엄창용</t>
        </is>
      </c>
      <c r="D130" s="20" t="inlineStr">
        <is>
          <t>JWVAM27101</t>
        </is>
      </c>
      <c r="E130" s="20" t="inlineStr">
        <is>
          <t>남성 에센셜 경량 베스트</t>
        </is>
      </c>
      <c r="F130" s="20" t="inlineStr">
        <is>
          <t>WBE, DBU(D/BLUE), DGY(D/GRAY)</t>
        </is>
      </c>
      <c r="G130" s="19">
        <f>IF($D130="","",IF(MID($D130,5,1)="S","S(봄)",IF(MID($D130,5,1)="M","M(여름)",IF(MID($D130,5,1)="X","X(사계절)",MID($D130,5,1)))))</f>
        <v/>
      </c>
      <c r="H130" s="20" t="inlineStr">
        <is>
          <t>CMT</t>
        </is>
      </c>
      <c r="I130" s="19" t="inlineStr"/>
      <c r="J130" s="21" t="inlineStr">
        <is>
          <t>3월2주</t>
        </is>
      </c>
      <c r="K130" s="22">
        <f>IF($J130="","",IFERROR(DATE(IF(VALUE(LEFT($J130,FIND("월",$J130)-1))&gt;=9,기준정보!$C$7-1,기준정보!$C$7),VALUE(LEFT($J130,FIND("월",$J130)-1)),1+7*(VALUE(SUBSTITUTE(MID($J130,FIND("월",$J130)+1,5),"주",""))-1)),""))</f>
        <v/>
      </c>
      <c r="L130" s="22">
        <f>IF($K130="","",IF(AND($K130-기준정보!$C$5&gt;=기준정보!$C$10,$K130-기준정보!$C$5&lt;=기준정보!$C$11),기준정보!$C$10-1,$K130-기준정보!$C$5))</f>
        <v/>
      </c>
      <c r="M130" s="23">
        <f>IF($L130="","",IF(OR(ISNUMBER(SEARCH("중국",$W130)),ISNUMBER(SEARCH("베트남",$W130))),MAX(0,MIN($L130,기준정보!$C$9)-MAX($L130-기준정보!$C$6,기준정보!$C$8)+1),IF(ISNUMBER(SEARCH("한국",$W130)),MAX(0,MIN($L130,기준정보!$C$11)-MAX($L130-기준정보!$C$6,기준정보!$C$10)+1),0)))</f>
        <v/>
      </c>
      <c r="N130" s="22">
        <f>IF($L130="","",$L130-기준정보!$C$6-$M130)</f>
        <v/>
      </c>
      <c r="O130" s="24">
        <f>IF($N130="","",$N130-기준정보!$C$4)</f>
        <v/>
      </c>
      <c r="P130" s="21" t="inlineStr">
        <is>
          <t>O</t>
        </is>
      </c>
      <c r="Q130" s="21" t="inlineStr">
        <is>
          <t>O</t>
        </is>
      </c>
      <c r="R130" s="19">
        <f>IF(COUNTIF(EDW_RAW!$A$2:$A$1500,$D130)=0,"",IF(COUNTIFS(EDW_RAW!$A$2:$A$1500,$D130,EDW_RAW!$U$2:$U$1500,"&lt;&gt;~",EDW_RAW!$U$2:$U$1500,"&lt;&gt;")=COUNTIF(EDW_RAW!$A$2:$A$1500,$D130),"O",IF(COUNTIFS(EDW_RAW!$A$2:$A$1500,$D130,EDW_RAW!$U$2:$U$1500,"&lt;&gt;~",EDW_RAW!$U$2:$U$1500,"&lt;&gt;")&gt;0,"부분","X")))</f>
        <v/>
      </c>
      <c r="S130" s="25" t="n"/>
      <c r="T130" s="20">
        <f>IF($H130="","",IF(AND(ISNUMBER(SEARCH("CMT",$H130)),OR(ISNUMBER(SEARCH("완사입",$H130)),ISNUMBER(SEARCH("ODM",$H130)))),"본사/생산처 혼재",IF(ISNUMBER(SEARCH("CMT",$H130)),"본사(소재팀)","생산처")))</f>
        <v/>
      </c>
      <c r="U130" s="20" t="inlineStr">
        <is>
          <t>아이블</t>
        </is>
      </c>
      <c r="V130" s="20">
        <f>IFERROR(TEXTJOIN(" / ",TRUE,UNIQUE(FILTER(소재DB_RAW!$K$3:$K$2000,(소재DB_RAW!$G$3:$G$2000=$D130)*ISERROR(SEARCH("drop",소재DB_RAW!$C$3:$C$2000))))),"")</f>
        <v/>
      </c>
      <c r="W130" s="20" t="inlineStr">
        <is>
          <t>베트남</t>
        </is>
      </c>
      <c r="X130" s="20">
        <f>IFERROR(TEXTJOIN(" / ",TRUE,UNIQUE(FILTER(소재DB_RAW!$N$3:$N$2000,(소재DB_RAW!$G$3:$G$2000=$D130)*ISERROR(SEARCH("drop",소재DB_RAW!$C$3:$C$2000))))),"")</f>
        <v/>
      </c>
      <c r="Y130" s="26">
        <f>IFERROR(TEXTJOIN(CHAR(10),TRUE,UNIQUE(FILTER(소재DB_RAW!$N$3:$N$2000&amp;") "&amp;소재DB_RAW!$O$3:$O$2000,(소재DB_RAW!$G$3:$G$2000=$D130)*ISNUMBER(SEARCH("겉감",소재DB_RAW!$M$3:$M$2000))*ISERROR(SEARCH("drop",소재DB_RAW!$C$3:$C$2000))))),"")</f>
        <v/>
      </c>
      <c r="Z130" s="26">
        <f>IFERROR(TEXTJOIN(CHAR(10),TRUE,UNIQUE(FILTER(소재DB_RAW!$N$3:$N$2000&amp;") "&amp;소재DB_RAW!$O$3:$O$2000,(소재DB_RAW!$G$3:$G$2000=$D130)*ISNUMBER(SEARCH("안감",소재DB_RAW!$M$3:$M$2000))*ISERROR(SEARCH("drop",소재DB_RAW!$C$3:$C$2000))))),"")</f>
        <v/>
      </c>
      <c r="AA130" s="27" t="n">
        <v>7000</v>
      </c>
      <c r="AB130" s="27" t="n">
        <v>214991000</v>
      </c>
      <c r="AC130" s="27" t="n">
        <v>1036000000</v>
      </c>
      <c r="AD130" s="20" t="n"/>
      <c r="AE130" s="20">
        <f>IF($K130="","출고일 미정",IF($Q130="X","작지 미발행",IF($Q130="부분","작지 일부 미발행",IF(AND($S130&lt;&gt;"",$S130&gt;$N130),"소재입고 마감("&amp;TEXT($N130,"MM/DD")&amp;") 초과",IF($Q130="","발행여부 확인 필요",IF($S130="","소재 입고일정 확인 필요","정상"))))))</f>
        <v/>
      </c>
      <c r="AF130" s="19">
        <f>IF($K130="","",IF(OR(LEFT($AE130,2)="작지",LEFT($AE130,4)="소재입고"),IF(LEFT($G130,1)="S","★ 납기위험(S코드)","◆ 지연주의"),IF($AE130="정상","✓ 정상","? 확인필요")))</f>
        <v/>
      </c>
      <c r="AG130" s="21" t="n"/>
      <c r="AH130" s="28" t="n"/>
    </row>
    <row r="131">
      <c r="A131" s="19" t="n">
        <v>127</v>
      </c>
      <c r="B131" s="20" t="inlineStr">
        <is>
          <t>문도혁</t>
        </is>
      </c>
      <c r="C131" s="20" t="inlineStr">
        <is>
          <t>정희영</t>
        </is>
      </c>
      <c r="D131" s="20" t="inlineStr">
        <is>
          <t>TLPNM27501</t>
        </is>
      </c>
      <c r="E131" s="20" t="inlineStr">
        <is>
          <t>하절 남성 시어서커 레귤러핏 팬츠 (SET-UP)</t>
        </is>
      </c>
      <c r="F131" s="20" t="inlineStr">
        <is>
          <t>BLK(BLACK), LBL(L/BLUE)</t>
        </is>
      </c>
      <c r="G131" s="19">
        <f>IF($D131="","",IF(MID($D131,5,1)="S","S(봄)",IF(MID($D131,5,1)="M","M(여름)",IF(MID($D131,5,1)="X","X(사계절)",MID($D131,5,1)))))</f>
        <v/>
      </c>
      <c r="H131" s="20" t="inlineStr">
        <is>
          <t>CMT</t>
        </is>
      </c>
      <c r="I131" s="19" t="inlineStr">
        <is>
          <t>m3</t>
        </is>
      </c>
      <c r="J131" s="21" t="inlineStr">
        <is>
          <t>3월2주</t>
        </is>
      </c>
      <c r="K131" s="22">
        <f>IF($J131="","",IFERROR(DATE(IF(VALUE(LEFT($J131,FIND("월",$J131)-1))&gt;=9,기준정보!$C$7-1,기준정보!$C$7),VALUE(LEFT($J131,FIND("월",$J131)-1)),1+7*(VALUE(SUBSTITUTE(MID($J131,FIND("월",$J131)+1,5),"주",""))-1)),""))</f>
        <v/>
      </c>
      <c r="L131" s="22">
        <f>IF($K131="","",IF(AND($K131-기준정보!$C$5&gt;=기준정보!$C$10,$K131-기준정보!$C$5&lt;=기준정보!$C$11),기준정보!$C$10-1,$K131-기준정보!$C$5))</f>
        <v/>
      </c>
      <c r="M131" s="23">
        <f>IF($L131="","",IF(OR(ISNUMBER(SEARCH("중국",$W131)),ISNUMBER(SEARCH("베트남",$W131))),MAX(0,MIN($L131,기준정보!$C$9)-MAX($L131-기준정보!$C$6,기준정보!$C$8)+1),IF(ISNUMBER(SEARCH("한국",$W131)),MAX(0,MIN($L131,기준정보!$C$11)-MAX($L131-기준정보!$C$6,기준정보!$C$10)+1),0)))</f>
        <v/>
      </c>
      <c r="N131" s="22">
        <f>IF($L131="","",$L131-기준정보!$C$6-$M131)</f>
        <v/>
      </c>
      <c r="O131" s="24">
        <f>IF($N131="","",$N131-기준정보!$C$4)</f>
        <v/>
      </c>
      <c r="P131" s="21" t="inlineStr">
        <is>
          <t>O</t>
        </is>
      </c>
      <c r="Q131" s="21" t="inlineStr">
        <is>
          <t>O</t>
        </is>
      </c>
      <c r="R131" s="19">
        <f>IF(COUNTIF(EDW_RAW!$A$2:$A$1500,$D131)=0,"",IF(COUNTIFS(EDW_RAW!$A$2:$A$1500,$D131,EDW_RAW!$U$2:$U$1500,"&lt;&gt;~",EDW_RAW!$U$2:$U$1500,"&lt;&gt;")=COUNTIF(EDW_RAW!$A$2:$A$1500,$D131),"O",IF(COUNTIFS(EDW_RAW!$A$2:$A$1500,$D131,EDW_RAW!$U$2:$U$1500,"&lt;&gt;~",EDW_RAW!$U$2:$U$1500,"&lt;&gt;")&gt;0,"부분","X")))</f>
        <v/>
      </c>
      <c r="S131" s="25" t="n"/>
      <c r="T131" s="20">
        <f>IF($H131="","",IF(AND(ISNUMBER(SEARCH("CMT",$H131)),OR(ISNUMBER(SEARCH("완사입",$H131)),ISNUMBER(SEARCH("ODM",$H131)))),"본사/생산처 혼재",IF(ISNUMBER(SEARCH("CMT",$H131)),"본사(소재팀)","생산처")))</f>
        <v/>
      </c>
      <c r="U131" s="20" t="inlineStr">
        <is>
          <t>거림</t>
        </is>
      </c>
      <c r="V131" s="20">
        <f>IFERROR(TEXTJOIN(" / ",TRUE,UNIQUE(FILTER(소재DB_RAW!$K$3:$K$2000,(소재DB_RAW!$G$3:$G$2000=$D131)*ISERROR(SEARCH("drop",소재DB_RAW!$C$3:$C$2000))))),"")</f>
        <v/>
      </c>
      <c r="W131" s="20" t="inlineStr">
        <is>
          <t>베트남</t>
        </is>
      </c>
      <c r="X131" s="20">
        <f>IFERROR(TEXTJOIN(" / ",TRUE,UNIQUE(FILTER(소재DB_RAW!$N$3:$N$2000,(소재DB_RAW!$G$3:$G$2000=$D131)*ISERROR(SEARCH("drop",소재DB_RAW!$C$3:$C$2000))))),"")</f>
        <v/>
      </c>
      <c r="Y131" s="26">
        <f>IFERROR(TEXTJOIN(CHAR(10),TRUE,UNIQUE(FILTER(소재DB_RAW!$N$3:$N$2000&amp;") "&amp;소재DB_RAW!$O$3:$O$2000,(소재DB_RAW!$G$3:$G$2000=$D131)*ISNUMBER(SEARCH("겉감",소재DB_RAW!$M$3:$M$2000))*ISERROR(SEARCH("drop",소재DB_RAW!$C$3:$C$2000))))),"")</f>
        <v/>
      </c>
      <c r="Z131" s="26">
        <f>IFERROR(TEXTJOIN(CHAR(10),TRUE,UNIQUE(FILTER(소재DB_RAW!$N$3:$N$2000&amp;") "&amp;소재DB_RAW!$O$3:$O$2000,(소재DB_RAW!$G$3:$G$2000=$D131)*ISNUMBER(SEARCH("안감",소재DB_RAW!$M$3:$M$2000))*ISERROR(SEARCH("drop",소재DB_RAW!$C$3:$C$2000))))),"")</f>
        <v/>
      </c>
      <c r="AA131" s="27" t="n">
        <v>3500</v>
      </c>
      <c r="AB131" s="27" t="n">
        <v>102490500</v>
      </c>
      <c r="AC131" s="27" t="n">
        <v>623000000</v>
      </c>
      <c r="AD131" s="20" t="n"/>
      <c r="AE131" s="20">
        <f>IF($K131="","출고일 미정",IF($Q131="X","작지 미발행",IF($Q131="부분","작지 일부 미발행",IF(AND($S131&lt;&gt;"",$S131&gt;$N131),"소재입고 마감("&amp;TEXT($N131,"MM/DD")&amp;") 초과",IF($Q131="","발행여부 확인 필요",IF($S131="","소재 입고일정 확인 필요","정상"))))))</f>
        <v/>
      </c>
      <c r="AF131" s="19">
        <f>IF($K131="","",IF(OR(LEFT($AE131,2)="작지",LEFT($AE131,4)="소재입고"),IF(LEFT($G131,1)="S","★ 납기위험(S코드)","◆ 지연주의"),IF($AE131="정상","✓ 정상","? 확인필요")))</f>
        <v/>
      </c>
      <c r="AG131" s="21" t="n"/>
      <c r="AH131" s="28" t="n"/>
    </row>
    <row r="132">
      <c r="A132" s="19" t="n">
        <v>128</v>
      </c>
      <c r="B132" s="20" t="inlineStr">
        <is>
          <t>문도혁</t>
        </is>
      </c>
      <c r="C132" s="20" t="inlineStr">
        <is>
          <t>정희영</t>
        </is>
      </c>
      <c r="D132" s="20" t="inlineStr">
        <is>
          <t>TLPNM27911</t>
        </is>
      </c>
      <c r="E132" s="20" t="inlineStr">
        <is>
          <t>유통특화_하절 남성 쿨맥스 데님 팬츠</t>
        </is>
      </c>
      <c r="F132" s="20" t="inlineStr">
        <is>
          <t>IND(INDIGO), LBL(L/BLUE)</t>
        </is>
      </c>
      <c r="G132" s="19">
        <f>IF($D132="","",IF(MID($D132,5,1)="S","S(봄)",IF(MID($D132,5,1)="M","M(여름)",IF(MID($D132,5,1)="X","X(사계절)",MID($D132,5,1)))))</f>
        <v/>
      </c>
      <c r="H132" s="20" t="inlineStr">
        <is>
          <t>완사입</t>
        </is>
      </c>
      <c r="I132" s="19" t="inlineStr">
        <is>
          <t>m1</t>
        </is>
      </c>
      <c r="J132" s="21" t="inlineStr">
        <is>
          <t>3월2주</t>
        </is>
      </c>
      <c r="K132" s="22">
        <f>IF($J132="","",IFERROR(DATE(IF(VALUE(LEFT($J132,FIND("월",$J132)-1))&gt;=9,기준정보!$C$7-1,기준정보!$C$7),VALUE(LEFT($J132,FIND("월",$J132)-1)),1+7*(VALUE(SUBSTITUTE(MID($J132,FIND("월",$J132)+1,5),"주",""))-1)),""))</f>
        <v/>
      </c>
      <c r="L132" s="22">
        <f>IF($K132="","",IF(AND($K132-기준정보!$C$5&gt;=기준정보!$C$10,$K132-기준정보!$C$5&lt;=기준정보!$C$11),기준정보!$C$10-1,$K132-기준정보!$C$5))</f>
        <v/>
      </c>
      <c r="M132" s="23">
        <f>IF($L132="","",IF(OR(ISNUMBER(SEARCH("중국",$W132)),ISNUMBER(SEARCH("베트남",$W132))),MAX(0,MIN($L132,기준정보!$C$9)-MAX($L132-기준정보!$C$6,기준정보!$C$8)+1),IF(ISNUMBER(SEARCH("한국",$W132)),MAX(0,MIN($L132,기준정보!$C$11)-MAX($L132-기준정보!$C$6,기준정보!$C$10)+1),0)))</f>
        <v/>
      </c>
      <c r="N132" s="22">
        <f>IF($L132="","",$L132-기준정보!$C$6-$M132)</f>
        <v/>
      </c>
      <c r="O132" s="24">
        <f>IF($N132="","",$N132-기준정보!$C$4)</f>
        <v/>
      </c>
      <c r="P132" s="21" t="inlineStr">
        <is>
          <t>O</t>
        </is>
      </c>
      <c r="Q132" s="21" t="inlineStr">
        <is>
          <t>O</t>
        </is>
      </c>
      <c r="R132" s="19">
        <f>IF(COUNTIF(EDW_RAW!$A$2:$A$1500,$D132)=0,"",IF(COUNTIFS(EDW_RAW!$A$2:$A$1500,$D132,EDW_RAW!$U$2:$U$1500,"&lt;&gt;~",EDW_RAW!$U$2:$U$1500,"&lt;&gt;")=COUNTIF(EDW_RAW!$A$2:$A$1500,$D132),"O",IF(COUNTIFS(EDW_RAW!$A$2:$A$1500,$D132,EDW_RAW!$U$2:$U$1500,"&lt;&gt;~",EDW_RAW!$U$2:$U$1500,"&lt;&gt;")&gt;0,"부분","X")))</f>
        <v/>
      </c>
      <c r="S132" s="25" t="n"/>
      <c r="T132" s="20">
        <f>IF($H132="","",IF(AND(ISNUMBER(SEARCH("CMT",$H132)),OR(ISNUMBER(SEARCH("완사입",$H132)),ISNUMBER(SEARCH("ODM",$H132)))),"본사/생산처 혼재",IF(ISNUMBER(SEARCH("CMT",$H132)),"본사(소재팀)","생산처")))</f>
        <v/>
      </c>
      <c r="U132" s="20" t="inlineStr">
        <is>
          <t>스코브</t>
        </is>
      </c>
      <c r="V132" s="20">
        <f>IFERROR(TEXTJOIN(" / ",TRUE,UNIQUE(FILTER(소재DB_RAW!$K$3:$K$2000,(소재DB_RAW!$G$3:$G$2000=$D132)*ISERROR(SEARCH("drop",소재DB_RAW!$C$3:$C$2000))))),"")</f>
        <v/>
      </c>
      <c r="W132" s="20" t="inlineStr">
        <is>
          <t>베트남</t>
        </is>
      </c>
      <c r="X132" s="20">
        <f>IFERROR(TEXTJOIN(" / ",TRUE,UNIQUE(FILTER(소재DB_RAW!$N$3:$N$2000,(소재DB_RAW!$G$3:$G$2000=$D132)*ISERROR(SEARCH("drop",소재DB_RAW!$C$3:$C$2000))))),"")</f>
        <v/>
      </c>
      <c r="Y132" s="26">
        <f>IFERROR(TEXTJOIN(CHAR(10),TRUE,UNIQUE(FILTER(소재DB_RAW!$N$3:$N$2000&amp;") "&amp;소재DB_RAW!$O$3:$O$2000,(소재DB_RAW!$G$3:$G$2000=$D132)*ISNUMBER(SEARCH("겉감",소재DB_RAW!$M$3:$M$2000))*ISERROR(SEARCH("drop",소재DB_RAW!$C$3:$C$2000))))),"")</f>
        <v/>
      </c>
      <c r="Z132" s="26">
        <f>IFERROR(TEXTJOIN(CHAR(10),TRUE,UNIQUE(FILTER(소재DB_RAW!$N$3:$N$2000&amp;") "&amp;소재DB_RAW!$O$3:$O$2000,(소재DB_RAW!$G$3:$G$2000=$D132)*ISNUMBER(SEARCH("안감",소재DB_RAW!$M$3:$M$2000))*ISERROR(SEARCH("drop",소재DB_RAW!$C$3:$C$2000))))),"")</f>
        <v/>
      </c>
      <c r="AA132" s="27" t="n">
        <v>3500</v>
      </c>
      <c r="AB132" s="27" t="n">
        <v>94146500</v>
      </c>
      <c r="AC132" s="27" t="n">
        <v>658000000</v>
      </c>
      <c r="AD132" s="20" t="n"/>
      <c r="AE132" s="20">
        <f>IF($K132="","출고일 미정",IF($Q132="X","작지 미발행",IF($Q132="부분","작지 일부 미발행",IF(AND($S132&lt;&gt;"",$S132&gt;$N132),"소재입고 마감("&amp;TEXT($N132,"MM/DD")&amp;") 초과",IF($Q132="","발행여부 확인 필요",IF($S132="","소재 입고일정 확인 필요","정상"))))))</f>
        <v/>
      </c>
      <c r="AF132" s="19">
        <f>IF($K132="","",IF(OR(LEFT($AE132,2)="작지",LEFT($AE132,4)="소재입고"),IF(LEFT($G132,1)="S","★ 납기위험(S코드)","◆ 지연주의"),IF($AE132="정상","✓ 정상","? 확인필요")))</f>
        <v/>
      </c>
      <c r="AG132" s="21" t="n"/>
      <c r="AH132" s="28" t="n"/>
    </row>
    <row r="133">
      <c r="A133" s="19" t="n">
        <v>129</v>
      </c>
      <c r="B133" s="20" t="inlineStr">
        <is>
          <t>김준래</t>
        </is>
      </c>
      <c r="C133" s="20" t="inlineStr">
        <is>
          <t>정희영</t>
        </is>
      </c>
      <c r="D133" s="20" t="inlineStr">
        <is>
          <t>TLSCM27501</t>
        </is>
      </c>
      <c r="E133" s="20" t="inlineStr">
        <is>
          <t>하절 남성 시어서커 반팔 셔츠 (SET-UP)</t>
        </is>
      </c>
      <c r="F133" s="20" t="inlineStr">
        <is>
          <t>DNA(D/NAVY), LGY-1, LBL(L/BLUE), BLK(BLACK)</t>
        </is>
      </c>
      <c r="G133" s="19">
        <f>IF($D133="","",IF(MID($D133,5,1)="S","S(봄)",IF(MID($D133,5,1)="M","M(여름)",IF(MID($D133,5,1)="X","X(사계절)",MID($D133,5,1)))))</f>
        <v/>
      </c>
      <c r="H133" s="20" t="inlineStr">
        <is>
          <t>완사입</t>
        </is>
      </c>
      <c r="I133" s="19" t="inlineStr"/>
      <c r="J133" s="21" t="inlineStr">
        <is>
          <t>3월2주</t>
        </is>
      </c>
      <c r="K133" s="22">
        <f>IF($J133="","",IFERROR(DATE(IF(VALUE(LEFT($J133,FIND("월",$J133)-1))&gt;=9,기준정보!$C$7-1,기준정보!$C$7),VALUE(LEFT($J133,FIND("월",$J133)-1)),1+7*(VALUE(SUBSTITUTE(MID($J133,FIND("월",$J133)+1,5),"주",""))-1)),""))</f>
        <v/>
      </c>
      <c r="L133" s="22">
        <f>IF($K133="","",IF(AND($K133-기준정보!$C$5&gt;=기준정보!$C$10,$K133-기준정보!$C$5&lt;=기준정보!$C$11),기준정보!$C$10-1,$K133-기준정보!$C$5))</f>
        <v/>
      </c>
      <c r="M133" s="23">
        <f>IF($L133="","",IF(OR(ISNUMBER(SEARCH("중국",$W133)),ISNUMBER(SEARCH("베트남",$W133))),MAX(0,MIN($L133,기준정보!$C$9)-MAX($L133-기준정보!$C$6,기준정보!$C$8)+1),IF(ISNUMBER(SEARCH("한국",$W133)),MAX(0,MIN($L133,기준정보!$C$11)-MAX($L133-기준정보!$C$6,기준정보!$C$10)+1),0)))</f>
        <v/>
      </c>
      <c r="N133" s="22">
        <f>IF($L133="","",$L133-기준정보!$C$6-$M133)</f>
        <v/>
      </c>
      <c r="O133" s="24">
        <f>IF($N133="","",$N133-기준정보!$C$4)</f>
        <v/>
      </c>
      <c r="P133" s="21" t="inlineStr">
        <is>
          <t>O</t>
        </is>
      </c>
      <c r="Q133" s="21" t="inlineStr">
        <is>
          <t>O</t>
        </is>
      </c>
      <c r="R133" s="19">
        <f>IF(COUNTIF(EDW_RAW!$A$2:$A$1500,$D133)=0,"",IF(COUNTIFS(EDW_RAW!$A$2:$A$1500,$D133,EDW_RAW!$U$2:$U$1500,"&lt;&gt;~",EDW_RAW!$U$2:$U$1500,"&lt;&gt;")=COUNTIF(EDW_RAW!$A$2:$A$1500,$D133),"O",IF(COUNTIFS(EDW_RAW!$A$2:$A$1500,$D133,EDW_RAW!$U$2:$U$1500,"&lt;&gt;~",EDW_RAW!$U$2:$U$1500,"&lt;&gt;")&gt;0,"부분","X")))</f>
        <v/>
      </c>
      <c r="S133" s="25" t="n"/>
      <c r="T133" s="20">
        <f>IF($H133="","",IF(AND(ISNUMBER(SEARCH("CMT",$H133)),OR(ISNUMBER(SEARCH("완사입",$H133)),ISNUMBER(SEARCH("ODM",$H133)))),"본사/생산처 혼재",IF(ISNUMBER(SEARCH("CMT",$H133)),"본사(소재팀)","생산처")))</f>
        <v/>
      </c>
      <c r="U133" s="20" t="inlineStr">
        <is>
          <t>픽스처</t>
        </is>
      </c>
      <c r="V133" s="20">
        <f>IFERROR(TEXTJOIN(" / ",TRUE,UNIQUE(FILTER(소재DB_RAW!$K$3:$K$2000,(소재DB_RAW!$G$3:$G$2000=$D133)*ISERROR(SEARCH("drop",소재DB_RAW!$C$3:$C$2000))))),"")</f>
        <v/>
      </c>
      <c r="W133" s="20" t="inlineStr">
        <is>
          <t>베트남</t>
        </is>
      </c>
      <c r="X133" s="20">
        <f>IFERROR(TEXTJOIN(" / ",TRUE,UNIQUE(FILTER(소재DB_RAW!$N$3:$N$2000,(소재DB_RAW!$G$3:$G$2000=$D133)*ISERROR(SEARCH("drop",소재DB_RAW!$C$3:$C$2000))))),"")</f>
        <v/>
      </c>
      <c r="Y133" s="26">
        <f>IFERROR(TEXTJOIN(CHAR(10),TRUE,UNIQUE(FILTER(소재DB_RAW!$N$3:$N$2000&amp;") "&amp;소재DB_RAW!$O$3:$O$2000,(소재DB_RAW!$G$3:$G$2000=$D133)*ISNUMBER(SEARCH("겉감",소재DB_RAW!$M$3:$M$2000))*ISERROR(SEARCH("drop",소재DB_RAW!$C$3:$C$2000))))),"")</f>
        <v/>
      </c>
      <c r="Z133" s="26">
        <f>IFERROR(TEXTJOIN(CHAR(10),TRUE,UNIQUE(FILTER(소재DB_RAW!$N$3:$N$2000&amp;") "&amp;소재DB_RAW!$O$3:$O$2000,(소재DB_RAW!$G$3:$G$2000=$D133)*ISNUMBER(SEARCH("안감",소재DB_RAW!$M$3:$M$2000))*ISERROR(SEARCH("drop",소재DB_RAW!$C$3:$C$2000))))),"")</f>
        <v/>
      </c>
      <c r="AA133" s="27" t="n">
        <v>5500</v>
      </c>
      <c r="AB133" s="27" t="n">
        <v>149985000</v>
      </c>
      <c r="AC133" s="27" t="n">
        <v>814000000</v>
      </c>
      <c r="AD133" s="20" t="inlineStr">
        <is>
          <t>3월2주</t>
        </is>
      </c>
      <c r="AE133" s="20">
        <f>IF($K133="","출고일 미정",IF($Q133="X","작지 미발행",IF($Q133="부분","작지 일부 미발행",IF(AND($S133&lt;&gt;"",$S133&gt;$N133),"소재입고 마감("&amp;TEXT($N133,"MM/DD")&amp;") 초과",IF($Q133="","발행여부 확인 필요",IF($S133="","소재 입고일정 확인 필요","정상"))))))</f>
        <v/>
      </c>
      <c r="AF133" s="19">
        <f>IF($K133="","",IF(OR(LEFT($AE133,2)="작지",LEFT($AE133,4)="소재입고"),IF(LEFT($G133,1)="S","★ 납기위험(S코드)","◆ 지연주의"),IF($AE133="정상","✓ 정상","? 확인필요")))</f>
        <v/>
      </c>
      <c r="AG133" s="21" t="n"/>
      <c r="AH133" s="28" t="n"/>
    </row>
    <row r="134">
      <c r="A134" s="19" t="n">
        <v>130</v>
      </c>
      <c r="B134" s="20" t="inlineStr">
        <is>
          <t>김준래</t>
        </is>
      </c>
      <c r="C134" s="20" t="inlineStr">
        <is>
          <t>정희영</t>
        </is>
      </c>
      <c r="D134" s="20" t="inlineStr">
        <is>
          <t>TLSCM27511</t>
        </is>
      </c>
      <c r="E134" s="20" t="inlineStr">
        <is>
          <t>하절 남성 체크 반팔 셔츠</t>
        </is>
      </c>
      <c r="F134" s="20" t="inlineStr">
        <is>
          <t>NAY, DGY(D/GRAY)</t>
        </is>
      </c>
      <c r="G134" s="19">
        <f>IF($D134="","",IF(MID($D134,5,1)="S","S(봄)",IF(MID($D134,5,1)="M","M(여름)",IF(MID($D134,5,1)="X","X(사계절)",MID($D134,5,1)))))</f>
        <v/>
      </c>
      <c r="H134" s="20" t="inlineStr">
        <is>
          <t>완사입</t>
        </is>
      </c>
      <c r="I134" s="19" t="inlineStr"/>
      <c r="J134" s="21" t="inlineStr">
        <is>
          <t>3월2주</t>
        </is>
      </c>
      <c r="K134" s="22">
        <f>IF($J134="","",IFERROR(DATE(IF(VALUE(LEFT($J134,FIND("월",$J134)-1))&gt;=9,기준정보!$C$7-1,기준정보!$C$7),VALUE(LEFT($J134,FIND("월",$J134)-1)),1+7*(VALUE(SUBSTITUTE(MID($J134,FIND("월",$J134)+1,5),"주",""))-1)),""))</f>
        <v/>
      </c>
      <c r="L134" s="22">
        <f>IF($K134="","",IF(AND($K134-기준정보!$C$5&gt;=기준정보!$C$10,$K134-기준정보!$C$5&lt;=기준정보!$C$11),기준정보!$C$10-1,$K134-기준정보!$C$5))</f>
        <v/>
      </c>
      <c r="M134" s="23">
        <f>IF($L134="","",IF(OR(ISNUMBER(SEARCH("중국",$W134)),ISNUMBER(SEARCH("베트남",$W134))),MAX(0,MIN($L134,기준정보!$C$9)-MAX($L134-기준정보!$C$6,기준정보!$C$8)+1),IF(ISNUMBER(SEARCH("한국",$W134)),MAX(0,MIN($L134,기준정보!$C$11)-MAX($L134-기준정보!$C$6,기준정보!$C$10)+1),0)))</f>
        <v/>
      </c>
      <c r="N134" s="22">
        <f>IF($L134="","",$L134-기준정보!$C$6-$M134)</f>
        <v/>
      </c>
      <c r="O134" s="24">
        <f>IF($N134="","",$N134-기준정보!$C$4)</f>
        <v/>
      </c>
      <c r="P134" s="21" t="inlineStr">
        <is>
          <t>O</t>
        </is>
      </c>
      <c r="Q134" s="21" t="inlineStr">
        <is>
          <t>O</t>
        </is>
      </c>
      <c r="R134" s="19">
        <f>IF(COUNTIF(EDW_RAW!$A$2:$A$1500,$D134)=0,"",IF(COUNTIFS(EDW_RAW!$A$2:$A$1500,$D134,EDW_RAW!$U$2:$U$1500,"&lt;&gt;~",EDW_RAW!$U$2:$U$1500,"&lt;&gt;")=COUNTIF(EDW_RAW!$A$2:$A$1500,$D134),"O",IF(COUNTIFS(EDW_RAW!$A$2:$A$1500,$D134,EDW_RAW!$U$2:$U$1500,"&lt;&gt;~",EDW_RAW!$U$2:$U$1500,"&lt;&gt;")&gt;0,"부분","X")))</f>
        <v/>
      </c>
      <c r="S134" s="25" t="n"/>
      <c r="T134" s="20">
        <f>IF($H134="","",IF(AND(ISNUMBER(SEARCH("CMT",$H134)),OR(ISNUMBER(SEARCH("완사입",$H134)),ISNUMBER(SEARCH("ODM",$H134)))),"본사/생산처 혼재",IF(ISNUMBER(SEARCH("CMT",$H134)),"본사(소재팀)","생산처")))</f>
        <v/>
      </c>
      <c r="U134" s="20" t="inlineStr">
        <is>
          <t>픽스처</t>
        </is>
      </c>
      <c r="V134" s="20">
        <f>IFERROR(TEXTJOIN(" / ",TRUE,UNIQUE(FILTER(소재DB_RAW!$K$3:$K$2000,(소재DB_RAW!$G$3:$G$2000=$D134)*ISERROR(SEARCH("drop",소재DB_RAW!$C$3:$C$2000))))),"")</f>
        <v/>
      </c>
      <c r="W134" s="20" t="inlineStr">
        <is>
          <t>베트남</t>
        </is>
      </c>
      <c r="X134" s="20">
        <f>IFERROR(TEXTJOIN(" / ",TRUE,UNIQUE(FILTER(소재DB_RAW!$N$3:$N$2000,(소재DB_RAW!$G$3:$G$2000=$D134)*ISERROR(SEARCH("drop",소재DB_RAW!$C$3:$C$2000))))),"")</f>
        <v/>
      </c>
      <c r="Y134" s="26">
        <f>IFERROR(TEXTJOIN(CHAR(10),TRUE,UNIQUE(FILTER(소재DB_RAW!$N$3:$N$2000&amp;") "&amp;소재DB_RAW!$O$3:$O$2000,(소재DB_RAW!$G$3:$G$2000=$D134)*ISNUMBER(SEARCH("겉감",소재DB_RAW!$M$3:$M$2000))*ISERROR(SEARCH("drop",소재DB_RAW!$C$3:$C$2000))))),"")</f>
        <v/>
      </c>
      <c r="Z134" s="26">
        <f>IFERROR(TEXTJOIN(CHAR(10),TRUE,UNIQUE(FILTER(소재DB_RAW!$N$3:$N$2000&amp;") "&amp;소재DB_RAW!$O$3:$O$2000,(소재DB_RAW!$G$3:$G$2000=$D134)*ISNUMBER(SEARCH("안감",소재DB_RAW!$M$3:$M$2000))*ISERROR(SEARCH("drop",소재DB_RAW!$C$3:$C$2000))))),"")</f>
        <v/>
      </c>
      <c r="AA134" s="27" t="n">
        <v>4000</v>
      </c>
      <c r="AB134" s="27" t="n">
        <v>163668000</v>
      </c>
      <c r="AC134" s="27" t="n">
        <v>552000000</v>
      </c>
      <c r="AD134" s="20" t="n"/>
      <c r="AE134" s="20">
        <f>IF($K134="","출고일 미정",IF($Q134="X","작지 미발행",IF($Q134="부분","작지 일부 미발행",IF(AND($S134&lt;&gt;"",$S134&gt;$N134),"소재입고 마감("&amp;TEXT($N134,"MM/DD")&amp;") 초과",IF($Q134="","발행여부 확인 필요",IF($S134="","소재 입고일정 확인 필요","정상"))))))</f>
        <v/>
      </c>
      <c r="AF134" s="19">
        <f>IF($K134="","",IF(OR(LEFT($AE134,2)="작지",LEFT($AE134,4)="소재입고"),IF(LEFT($G134,1)="S","★ 납기위험(S코드)","◆ 지연주의"),IF($AE134="정상","✓ 정상","? 확인필요")))</f>
        <v/>
      </c>
      <c r="AG134" s="21" t="n"/>
      <c r="AH134" s="28" t="n"/>
    </row>
    <row r="135">
      <c r="A135" s="19" t="n">
        <v>131</v>
      </c>
      <c r="B135" s="20" t="inlineStr">
        <is>
          <t>김준래</t>
        </is>
      </c>
      <c r="C135" s="20" t="inlineStr">
        <is>
          <t>정희영</t>
        </is>
      </c>
      <c r="D135" s="20" t="inlineStr">
        <is>
          <t>TLSCM27921</t>
        </is>
      </c>
      <c r="E135" s="20" t="inlineStr">
        <is>
          <t>유통특화_하절 남성 체크 시어서커 반팔 셔츠</t>
        </is>
      </c>
      <c r="F135" s="20" t="inlineStr">
        <is>
          <t>DKH(D/KHAKI), NAY</t>
        </is>
      </c>
      <c r="G135" s="19">
        <f>IF($D135="","",IF(MID($D135,5,1)="S","S(봄)",IF(MID($D135,5,1)="M","M(여름)",IF(MID($D135,5,1)="X","X(사계절)",MID($D135,5,1)))))</f>
        <v/>
      </c>
      <c r="H135" s="20" t="inlineStr">
        <is>
          <t>완사입</t>
        </is>
      </c>
      <c r="I135" s="19" t="inlineStr"/>
      <c r="J135" s="21" t="inlineStr">
        <is>
          <t>3월2주</t>
        </is>
      </c>
      <c r="K135" s="22">
        <f>IF($J135="","",IFERROR(DATE(IF(VALUE(LEFT($J135,FIND("월",$J135)-1))&gt;=9,기준정보!$C$7-1,기준정보!$C$7),VALUE(LEFT($J135,FIND("월",$J135)-1)),1+7*(VALUE(SUBSTITUTE(MID($J135,FIND("월",$J135)+1,5),"주",""))-1)),""))</f>
        <v/>
      </c>
      <c r="L135" s="22">
        <f>IF($K135="","",IF(AND($K135-기준정보!$C$5&gt;=기준정보!$C$10,$K135-기준정보!$C$5&lt;=기준정보!$C$11),기준정보!$C$10-1,$K135-기준정보!$C$5))</f>
        <v/>
      </c>
      <c r="M135" s="23">
        <f>IF($L135="","",IF(OR(ISNUMBER(SEARCH("중국",$W135)),ISNUMBER(SEARCH("베트남",$W135))),MAX(0,MIN($L135,기준정보!$C$9)-MAX($L135-기준정보!$C$6,기준정보!$C$8)+1),IF(ISNUMBER(SEARCH("한국",$W135)),MAX(0,MIN($L135,기준정보!$C$11)-MAX($L135-기준정보!$C$6,기준정보!$C$10)+1),0)))</f>
        <v/>
      </c>
      <c r="N135" s="22">
        <f>IF($L135="","",$L135-기준정보!$C$6-$M135)</f>
        <v/>
      </c>
      <c r="O135" s="24">
        <f>IF($N135="","",$N135-기준정보!$C$4)</f>
        <v/>
      </c>
      <c r="P135" s="21" t="inlineStr">
        <is>
          <t>O</t>
        </is>
      </c>
      <c r="Q135" s="21" t="inlineStr">
        <is>
          <t>O</t>
        </is>
      </c>
      <c r="R135" s="19">
        <f>IF(COUNTIF(EDW_RAW!$A$2:$A$1500,$D135)=0,"",IF(COUNTIFS(EDW_RAW!$A$2:$A$1500,$D135,EDW_RAW!$U$2:$U$1500,"&lt;&gt;~",EDW_RAW!$U$2:$U$1500,"&lt;&gt;")=COUNTIF(EDW_RAW!$A$2:$A$1500,$D135),"O",IF(COUNTIFS(EDW_RAW!$A$2:$A$1500,$D135,EDW_RAW!$U$2:$U$1500,"&lt;&gt;~",EDW_RAW!$U$2:$U$1500,"&lt;&gt;")&gt;0,"부분","X")))</f>
        <v/>
      </c>
      <c r="S135" s="25" t="n"/>
      <c r="T135" s="20">
        <f>IF($H135="","",IF(AND(ISNUMBER(SEARCH("CMT",$H135)),OR(ISNUMBER(SEARCH("완사입",$H135)),ISNUMBER(SEARCH("ODM",$H135)))),"본사/생산처 혼재",IF(ISNUMBER(SEARCH("CMT",$H135)),"본사(소재팀)","생산처")))</f>
        <v/>
      </c>
      <c r="U135" s="20" t="inlineStr">
        <is>
          <t>픽스처</t>
        </is>
      </c>
      <c r="V135" s="20">
        <f>IFERROR(TEXTJOIN(" / ",TRUE,UNIQUE(FILTER(소재DB_RAW!$K$3:$K$2000,(소재DB_RAW!$G$3:$G$2000=$D135)*ISERROR(SEARCH("drop",소재DB_RAW!$C$3:$C$2000))))),"")</f>
        <v/>
      </c>
      <c r="W135" s="20" t="inlineStr">
        <is>
          <t>베트남</t>
        </is>
      </c>
      <c r="X135" s="20">
        <f>IFERROR(TEXTJOIN(" / ",TRUE,UNIQUE(FILTER(소재DB_RAW!$N$3:$N$2000,(소재DB_RAW!$G$3:$G$2000=$D135)*ISERROR(SEARCH("drop",소재DB_RAW!$C$3:$C$2000))))),"")</f>
        <v/>
      </c>
      <c r="Y135" s="26">
        <f>IFERROR(TEXTJOIN(CHAR(10),TRUE,UNIQUE(FILTER(소재DB_RAW!$N$3:$N$2000&amp;") "&amp;소재DB_RAW!$O$3:$O$2000,(소재DB_RAW!$G$3:$G$2000=$D135)*ISNUMBER(SEARCH("겉감",소재DB_RAW!$M$3:$M$2000))*ISERROR(SEARCH("drop",소재DB_RAW!$C$3:$C$2000))))),"")</f>
        <v/>
      </c>
      <c r="Z135" s="26">
        <f>IFERROR(TEXTJOIN(CHAR(10),TRUE,UNIQUE(FILTER(소재DB_RAW!$N$3:$N$2000&amp;") "&amp;소재DB_RAW!$O$3:$O$2000,(소재DB_RAW!$G$3:$G$2000=$D135)*ISNUMBER(SEARCH("안감",소재DB_RAW!$M$3:$M$2000))*ISERROR(SEARCH("drop",소재DB_RAW!$C$3:$C$2000))))),"")</f>
        <v/>
      </c>
      <c r="AA135" s="27" t="n">
        <v>3500</v>
      </c>
      <c r="AB135" s="27" t="n">
        <v>108528000</v>
      </c>
      <c r="AC135" s="27" t="n">
        <v>483000000</v>
      </c>
      <c r="AD135" s="20" t="inlineStr">
        <is>
          <t>3월2주</t>
        </is>
      </c>
      <c r="AE135" s="20">
        <f>IF($K135="","출고일 미정",IF($Q135="X","작지 미발행",IF($Q135="부분","작지 일부 미발행",IF(AND($S135&lt;&gt;"",$S135&gt;$N135),"소재입고 마감("&amp;TEXT($N135,"MM/DD")&amp;") 초과",IF($Q135="","발행여부 확인 필요",IF($S135="","소재 입고일정 확인 필요","정상"))))))</f>
        <v/>
      </c>
      <c r="AF135" s="19">
        <f>IF($K135="","",IF(OR(LEFT($AE135,2)="작지",LEFT($AE135,4)="소재입고"),IF(LEFT($G135,1)="S","★ 납기위험(S코드)","◆ 지연주의"),IF($AE135="정상","✓ 정상","? 확인필요")))</f>
        <v/>
      </c>
      <c r="AG135" s="21" t="n"/>
      <c r="AH135" s="28" t="n"/>
    </row>
    <row r="136">
      <c r="A136" s="19" t="n">
        <v>132</v>
      </c>
      <c r="B136" s="20" t="inlineStr">
        <is>
          <t>김준래</t>
        </is>
      </c>
      <c r="C136" s="20" t="inlineStr">
        <is>
          <t>정희영</t>
        </is>
      </c>
      <c r="D136" s="20" t="inlineStr">
        <is>
          <t>TLSXM27901</t>
        </is>
      </c>
      <c r="E136" s="20" t="inlineStr">
        <is>
          <t>유통특화_남성 체크 긴팔 셔츠</t>
        </is>
      </c>
      <c r="F136" s="20" t="inlineStr">
        <is>
          <t>WIN, NAY</t>
        </is>
      </c>
      <c r="G136" s="19">
        <f>IF($D136="","",IF(MID($D136,5,1)="S","S(봄)",IF(MID($D136,5,1)="M","M(여름)",IF(MID($D136,5,1)="X","X(사계절)",MID($D136,5,1)))))</f>
        <v/>
      </c>
      <c r="H136" s="20" t="inlineStr">
        <is>
          <t>완사입</t>
        </is>
      </c>
      <c r="I136" s="19" t="inlineStr"/>
      <c r="J136" s="21" t="inlineStr">
        <is>
          <t>3월2주</t>
        </is>
      </c>
      <c r="K136" s="22">
        <f>IF($J136="","",IFERROR(DATE(IF(VALUE(LEFT($J136,FIND("월",$J136)-1))&gt;=9,기준정보!$C$7-1,기준정보!$C$7),VALUE(LEFT($J136,FIND("월",$J136)-1)),1+7*(VALUE(SUBSTITUTE(MID($J136,FIND("월",$J136)+1,5),"주",""))-1)),""))</f>
        <v/>
      </c>
      <c r="L136" s="22">
        <f>IF($K136="","",IF(AND($K136-기준정보!$C$5&gt;=기준정보!$C$10,$K136-기준정보!$C$5&lt;=기준정보!$C$11),기준정보!$C$10-1,$K136-기준정보!$C$5))</f>
        <v/>
      </c>
      <c r="M136" s="23">
        <f>IF($L136="","",IF(OR(ISNUMBER(SEARCH("중국",$W136)),ISNUMBER(SEARCH("베트남",$W136))),MAX(0,MIN($L136,기준정보!$C$9)-MAX($L136-기준정보!$C$6,기준정보!$C$8)+1),IF(ISNUMBER(SEARCH("한국",$W136)),MAX(0,MIN($L136,기준정보!$C$11)-MAX($L136-기준정보!$C$6,기준정보!$C$10)+1),0)))</f>
        <v/>
      </c>
      <c r="N136" s="22">
        <f>IF($L136="","",$L136-기준정보!$C$6-$M136)</f>
        <v/>
      </c>
      <c r="O136" s="24">
        <f>IF($N136="","",$N136-기준정보!$C$4)</f>
        <v/>
      </c>
      <c r="P136" s="21" t="inlineStr">
        <is>
          <t>O</t>
        </is>
      </c>
      <c r="Q136" s="21" t="inlineStr">
        <is>
          <t>O</t>
        </is>
      </c>
      <c r="R136" s="19">
        <f>IF(COUNTIF(EDW_RAW!$A$2:$A$1500,$D136)=0,"",IF(COUNTIFS(EDW_RAW!$A$2:$A$1500,$D136,EDW_RAW!$U$2:$U$1500,"&lt;&gt;~",EDW_RAW!$U$2:$U$1500,"&lt;&gt;")=COUNTIF(EDW_RAW!$A$2:$A$1500,$D136),"O",IF(COUNTIFS(EDW_RAW!$A$2:$A$1500,$D136,EDW_RAW!$U$2:$U$1500,"&lt;&gt;~",EDW_RAW!$U$2:$U$1500,"&lt;&gt;")&gt;0,"부분","X")))</f>
        <v/>
      </c>
      <c r="S136" s="25" t="n"/>
      <c r="T136" s="20">
        <f>IF($H136="","",IF(AND(ISNUMBER(SEARCH("CMT",$H136)),OR(ISNUMBER(SEARCH("완사입",$H136)),ISNUMBER(SEARCH("ODM",$H136)))),"본사/생산처 혼재",IF(ISNUMBER(SEARCH("CMT",$H136)),"본사(소재팀)","생산처")))</f>
        <v/>
      </c>
      <c r="U136" s="20" t="inlineStr">
        <is>
          <t>픽스처</t>
        </is>
      </c>
      <c r="V136" s="20">
        <f>IFERROR(TEXTJOIN(" / ",TRUE,UNIQUE(FILTER(소재DB_RAW!$K$3:$K$2000,(소재DB_RAW!$G$3:$G$2000=$D136)*ISERROR(SEARCH("drop",소재DB_RAW!$C$3:$C$2000))))),"")</f>
        <v/>
      </c>
      <c r="W136" s="20" t="inlineStr">
        <is>
          <t>베트남</t>
        </is>
      </c>
      <c r="X136" s="20">
        <f>IFERROR(TEXTJOIN(" / ",TRUE,UNIQUE(FILTER(소재DB_RAW!$N$3:$N$2000,(소재DB_RAW!$G$3:$G$2000=$D136)*ISERROR(SEARCH("drop",소재DB_RAW!$C$3:$C$2000))))),"")</f>
        <v/>
      </c>
      <c r="Y136" s="26">
        <f>IFERROR(TEXTJOIN(CHAR(10),TRUE,UNIQUE(FILTER(소재DB_RAW!$N$3:$N$2000&amp;") "&amp;소재DB_RAW!$O$3:$O$2000,(소재DB_RAW!$G$3:$G$2000=$D136)*ISNUMBER(SEARCH("겉감",소재DB_RAW!$M$3:$M$2000))*ISERROR(SEARCH("drop",소재DB_RAW!$C$3:$C$2000))))),"")</f>
        <v/>
      </c>
      <c r="Z136" s="26">
        <f>IFERROR(TEXTJOIN(CHAR(10),TRUE,UNIQUE(FILTER(소재DB_RAW!$N$3:$N$2000&amp;") "&amp;소재DB_RAW!$O$3:$O$2000,(소재DB_RAW!$G$3:$G$2000=$D136)*ISNUMBER(SEARCH("안감",소재DB_RAW!$M$3:$M$2000))*ISERROR(SEARCH("drop",소재DB_RAW!$C$3:$C$2000))))),"")</f>
        <v/>
      </c>
      <c r="AA136" s="27" t="n">
        <v>3000</v>
      </c>
      <c r="AB136" s="27" t="n">
        <v>107781000</v>
      </c>
      <c r="AC136" s="27" t="n">
        <v>474000000</v>
      </c>
      <c r="AD136" s="20" t="n"/>
      <c r="AE136" s="20">
        <f>IF($K136="","출고일 미정",IF($Q136="X","작지 미발행",IF($Q136="부분","작지 일부 미발행",IF(AND($S136&lt;&gt;"",$S136&gt;$N136),"소재입고 마감("&amp;TEXT($N136,"MM/DD")&amp;") 초과",IF($Q136="","발행여부 확인 필요",IF($S136="","소재 입고일정 확인 필요","정상"))))))</f>
        <v/>
      </c>
      <c r="AF136" s="19">
        <f>IF($K136="","",IF(OR(LEFT($AE136,2)="작지",LEFT($AE136,4)="소재입고"),IF(LEFT($G136,1)="S","★ 납기위험(S코드)","◆ 지연주의"),IF($AE136="정상","✓ 정상","? 확인필요")))</f>
        <v/>
      </c>
      <c r="AG136" s="21" t="n"/>
      <c r="AH136" s="28" t="n"/>
    </row>
    <row r="137">
      <c r="A137" s="19" t="n">
        <v>133</v>
      </c>
      <c r="B137" s="20" t="inlineStr">
        <is>
          <t>김준래</t>
        </is>
      </c>
      <c r="C137" s="20" t="inlineStr">
        <is>
          <t>권혁일</t>
        </is>
      </c>
      <c r="D137" s="20" t="inlineStr">
        <is>
          <t>TLTCM27505</t>
        </is>
      </c>
      <c r="E137" s="20" t="inlineStr">
        <is>
          <t>하절 남성 시어서커 폴로 반팔 티셔츠</t>
        </is>
      </c>
      <c r="F137" s="20" t="inlineStr">
        <is>
          <t>OWH, BLK(BLACK)</t>
        </is>
      </c>
      <c r="G137" s="19">
        <f>IF($D137="","",IF(MID($D137,5,1)="S","S(봄)",IF(MID($D137,5,1)="M","M(여름)",IF(MID($D137,5,1)="X","X(사계절)",MID($D137,5,1)))))</f>
        <v/>
      </c>
      <c r="H137" s="20" t="inlineStr">
        <is>
          <t>완사입</t>
        </is>
      </c>
      <c r="I137" s="19" t="inlineStr"/>
      <c r="J137" s="21" t="inlineStr">
        <is>
          <t>3월2주</t>
        </is>
      </c>
      <c r="K137" s="22">
        <f>IF($J137="","",IFERROR(DATE(IF(VALUE(LEFT($J137,FIND("월",$J137)-1))&gt;=9,기준정보!$C$7-1,기준정보!$C$7),VALUE(LEFT($J137,FIND("월",$J137)-1)),1+7*(VALUE(SUBSTITUTE(MID($J137,FIND("월",$J137)+1,5),"주",""))-1)),""))</f>
        <v/>
      </c>
      <c r="L137" s="22">
        <f>IF($K137="","",IF(AND($K137-기준정보!$C$5&gt;=기준정보!$C$10,$K137-기준정보!$C$5&lt;=기준정보!$C$11),기준정보!$C$10-1,$K137-기준정보!$C$5))</f>
        <v/>
      </c>
      <c r="M137" s="23">
        <f>IF($L137="","",IF(OR(ISNUMBER(SEARCH("중국",$W137)),ISNUMBER(SEARCH("베트남",$W137))),MAX(0,MIN($L137,기준정보!$C$9)-MAX($L137-기준정보!$C$6,기준정보!$C$8)+1),IF(ISNUMBER(SEARCH("한국",$W137)),MAX(0,MIN($L137,기준정보!$C$11)-MAX($L137-기준정보!$C$6,기준정보!$C$10)+1),0)))</f>
        <v/>
      </c>
      <c r="N137" s="22">
        <f>IF($L137="","",$L137-기준정보!$C$6-$M137)</f>
        <v/>
      </c>
      <c r="O137" s="24">
        <f>IF($N137="","",$N137-기준정보!$C$4)</f>
        <v/>
      </c>
      <c r="P137" s="21" t="inlineStr">
        <is>
          <t>O</t>
        </is>
      </c>
      <c r="Q137" s="21" t="inlineStr">
        <is>
          <t>O</t>
        </is>
      </c>
      <c r="R137" s="19">
        <f>IF(COUNTIF(EDW_RAW!$A$2:$A$1500,$D137)=0,"",IF(COUNTIFS(EDW_RAW!$A$2:$A$1500,$D137,EDW_RAW!$U$2:$U$1500,"&lt;&gt;~",EDW_RAW!$U$2:$U$1500,"&lt;&gt;")=COUNTIF(EDW_RAW!$A$2:$A$1500,$D137),"O",IF(COUNTIFS(EDW_RAW!$A$2:$A$1500,$D137,EDW_RAW!$U$2:$U$1500,"&lt;&gt;~",EDW_RAW!$U$2:$U$1500,"&lt;&gt;")&gt;0,"부분","X")))</f>
        <v/>
      </c>
      <c r="S137" s="25" t="n"/>
      <c r="T137" s="20">
        <f>IF($H137="","",IF(AND(ISNUMBER(SEARCH("CMT",$H137)),OR(ISNUMBER(SEARCH("완사입",$H137)),ISNUMBER(SEARCH("ODM",$H137)))),"본사/생산처 혼재",IF(ISNUMBER(SEARCH("CMT",$H137)),"본사(소재팀)","생산처")))</f>
        <v/>
      </c>
      <c r="U137" s="20" t="inlineStr">
        <is>
          <t>장안</t>
        </is>
      </c>
      <c r="V137" s="20">
        <f>IFERROR(TEXTJOIN(" / ",TRUE,UNIQUE(FILTER(소재DB_RAW!$K$3:$K$2000,(소재DB_RAW!$G$3:$G$2000=$D137)*ISERROR(SEARCH("drop",소재DB_RAW!$C$3:$C$2000))))),"")</f>
        <v/>
      </c>
      <c r="W137" s="20" t="inlineStr">
        <is>
          <t>베트남</t>
        </is>
      </c>
      <c r="X137" s="20">
        <f>IFERROR(TEXTJOIN(" / ",TRUE,UNIQUE(FILTER(소재DB_RAW!$N$3:$N$2000,(소재DB_RAW!$G$3:$G$2000=$D137)*ISERROR(SEARCH("drop",소재DB_RAW!$C$3:$C$2000))))),"")</f>
        <v/>
      </c>
      <c r="Y137" s="26">
        <f>IFERROR(TEXTJOIN(CHAR(10),TRUE,UNIQUE(FILTER(소재DB_RAW!$N$3:$N$2000&amp;") "&amp;소재DB_RAW!$O$3:$O$2000,(소재DB_RAW!$G$3:$G$2000=$D137)*ISNUMBER(SEARCH("겉감",소재DB_RAW!$M$3:$M$2000))*ISERROR(SEARCH("drop",소재DB_RAW!$C$3:$C$2000))))),"")</f>
        <v/>
      </c>
      <c r="Z137" s="26">
        <f>IFERROR(TEXTJOIN(CHAR(10),TRUE,UNIQUE(FILTER(소재DB_RAW!$N$3:$N$2000&amp;") "&amp;소재DB_RAW!$O$3:$O$2000,(소재DB_RAW!$G$3:$G$2000=$D137)*ISNUMBER(SEARCH("안감",소재DB_RAW!$M$3:$M$2000))*ISERROR(SEARCH("drop",소재DB_RAW!$C$3:$C$2000))))),"")</f>
        <v/>
      </c>
      <c r="AA137" s="27" t="n">
        <v>12000</v>
      </c>
      <c r="AB137" s="27" t="n">
        <v>300696000</v>
      </c>
      <c r="AC137" s="27" t="n">
        <v>1536000000</v>
      </c>
      <c r="AD137" s="20" t="inlineStr">
        <is>
          <t>3월2주</t>
        </is>
      </c>
      <c r="AE137" s="20">
        <f>IF($K137="","출고일 미정",IF($Q137="X","작지 미발행",IF($Q137="부분","작지 일부 미발행",IF(AND($S137&lt;&gt;"",$S137&gt;$N137),"소재입고 마감("&amp;TEXT($N137,"MM/DD")&amp;") 초과",IF($Q137="","발행여부 확인 필요",IF($S137="","소재 입고일정 확인 필요","정상"))))))</f>
        <v/>
      </c>
      <c r="AF137" s="19">
        <f>IF($K137="","",IF(OR(LEFT($AE137,2)="작지",LEFT($AE137,4)="소재입고"),IF(LEFT($G137,1)="S","★ 납기위험(S코드)","◆ 지연주의"),IF($AE137="정상","✓ 정상","? 확인필요")))</f>
        <v/>
      </c>
      <c r="AG137" s="21" t="n"/>
      <c r="AH137" s="28" t="n"/>
    </row>
    <row r="138">
      <c r="A138" s="19" t="n">
        <v>134</v>
      </c>
      <c r="B138" s="20" t="inlineStr">
        <is>
          <t>김준래</t>
        </is>
      </c>
      <c r="C138" s="20" t="inlineStr">
        <is>
          <t>권혁일</t>
        </is>
      </c>
      <c r="D138" s="20" t="inlineStr">
        <is>
          <t>TLTCM27509</t>
        </is>
      </c>
      <c r="E138" s="20" t="inlineStr">
        <is>
          <t>하절 남성 시어서커 라운드넥 반팔 티셔츠 (SET-UP)</t>
        </is>
      </c>
      <c r="F138" s="20" t="inlineStr">
        <is>
          <t>BLK(BLACK), GRY(GRAY)</t>
        </is>
      </c>
      <c r="G138" s="19">
        <f>IF($D138="","",IF(MID($D138,5,1)="S","S(봄)",IF(MID($D138,5,1)="M","M(여름)",IF(MID($D138,5,1)="X","X(사계절)",MID($D138,5,1)))))</f>
        <v/>
      </c>
      <c r="H138" s="20" t="inlineStr">
        <is>
          <t>완사입</t>
        </is>
      </c>
      <c r="I138" s="19" t="inlineStr"/>
      <c r="J138" s="21" t="inlineStr">
        <is>
          <t>3월2주</t>
        </is>
      </c>
      <c r="K138" s="22">
        <f>IF($J138="","",IFERROR(DATE(IF(VALUE(LEFT($J138,FIND("월",$J138)-1))&gt;=9,기준정보!$C$7-1,기준정보!$C$7),VALUE(LEFT($J138,FIND("월",$J138)-1)),1+7*(VALUE(SUBSTITUTE(MID($J138,FIND("월",$J138)+1,5),"주",""))-1)),""))</f>
        <v/>
      </c>
      <c r="L138" s="22">
        <f>IF($K138="","",IF(AND($K138-기준정보!$C$5&gt;=기준정보!$C$10,$K138-기준정보!$C$5&lt;=기준정보!$C$11),기준정보!$C$10-1,$K138-기준정보!$C$5))</f>
        <v/>
      </c>
      <c r="M138" s="23">
        <f>IF($L138="","",IF(OR(ISNUMBER(SEARCH("중국",$W138)),ISNUMBER(SEARCH("베트남",$W138))),MAX(0,MIN($L138,기준정보!$C$9)-MAX($L138-기준정보!$C$6,기준정보!$C$8)+1),IF(ISNUMBER(SEARCH("한국",$W138)),MAX(0,MIN($L138,기준정보!$C$11)-MAX($L138-기준정보!$C$6,기준정보!$C$10)+1),0)))</f>
        <v/>
      </c>
      <c r="N138" s="22">
        <f>IF($L138="","",$L138-기준정보!$C$6-$M138)</f>
        <v/>
      </c>
      <c r="O138" s="24">
        <f>IF($N138="","",$N138-기준정보!$C$4)</f>
        <v/>
      </c>
      <c r="P138" s="21" t="inlineStr">
        <is>
          <t>O</t>
        </is>
      </c>
      <c r="Q138" s="21" t="inlineStr">
        <is>
          <t>O</t>
        </is>
      </c>
      <c r="R138" s="19">
        <f>IF(COUNTIF(EDW_RAW!$A$2:$A$1500,$D138)=0,"",IF(COUNTIFS(EDW_RAW!$A$2:$A$1500,$D138,EDW_RAW!$U$2:$U$1500,"&lt;&gt;~",EDW_RAW!$U$2:$U$1500,"&lt;&gt;")=COUNTIF(EDW_RAW!$A$2:$A$1500,$D138),"O",IF(COUNTIFS(EDW_RAW!$A$2:$A$1500,$D138,EDW_RAW!$U$2:$U$1500,"&lt;&gt;~",EDW_RAW!$U$2:$U$1500,"&lt;&gt;")&gt;0,"부분","X")))</f>
        <v/>
      </c>
      <c r="S138" s="25" t="n"/>
      <c r="T138" s="20">
        <f>IF($H138="","",IF(AND(ISNUMBER(SEARCH("CMT",$H138)),OR(ISNUMBER(SEARCH("완사입",$H138)),ISNUMBER(SEARCH("ODM",$H138)))),"본사/생산처 혼재",IF(ISNUMBER(SEARCH("CMT",$H138)),"본사(소재팀)","생산처")))</f>
        <v/>
      </c>
      <c r="U138" s="20" t="inlineStr">
        <is>
          <t>장안</t>
        </is>
      </c>
      <c r="V138" s="20">
        <f>IFERROR(TEXTJOIN(" / ",TRUE,UNIQUE(FILTER(소재DB_RAW!$K$3:$K$2000,(소재DB_RAW!$G$3:$G$2000=$D138)*ISERROR(SEARCH("drop",소재DB_RAW!$C$3:$C$2000))))),"")</f>
        <v/>
      </c>
      <c r="W138" s="20" t="inlineStr">
        <is>
          <t>베트남</t>
        </is>
      </c>
      <c r="X138" s="20">
        <f>IFERROR(TEXTJOIN(" / ",TRUE,UNIQUE(FILTER(소재DB_RAW!$N$3:$N$2000,(소재DB_RAW!$G$3:$G$2000=$D138)*ISERROR(SEARCH("drop",소재DB_RAW!$C$3:$C$2000))))),"")</f>
        <v/>
      </c>
      <c r="Y138" s="26">
        <f>IFERROR(TEXTJOIN(CHAR(10),TRUE,UNIQUE(FILTER(소재DB_RAW!$N$3:$N$2000&amp;") "&amp;소재DB_RAW!$O$3:$O$2000,(소재DB_RAW!$G$3:$G$2000=$D138)*ISNUMBER(SEARCH("겉감",소재DB_RAW!$M$3:$M$2000))*ISERROR(SEARCH("drop",소재DB_RAW!$C$3:$C$2000))))),"")</f>
        <v/>
      </c>
      <c r="Z138" s="26">
        <f>IFERROR(TEXTJOIN(CHAR(10),TRUE,UNIQUE(FILTER(소재DB_RAW!$N$3:$N$2000&amp;") "&amp;소재DB_RAW!$O$3:$O$2000,(소재DB_RAW!$G$3:$G$2000=$D138)*ISNUMBER(SEARCH("안감",소재DB_RAW!$M$3:$M$2000))*ISERROR(SEARCH("drop",소재DB_RAW!$C$3:$C$2000))))),"")</f>
        <v/>
      </c>
      <c r="AA138" s="27" t="n">
        <v>3000</v>
      </c>
      <c r="AB138" s="27" t="n">
        <v>67437000</v>
      </c>
      <c r="AC138" s="27" t="n">
        <v>354000000</v>
      </c>
      <c r="AD138" s="20" t="inlineStr">
        <is>
          <t>3월2주</t>
        </is>
      </c>
      <c r="AE138" s="20">
        <f>IF($K138="","출고일 미정",IF($Q138="X","작지 미발행",IF($Q138="부분","작지 일부 미발행",IF(AND($S138&lt;&gt;"",$S138&gt;$N138),"소재입고 마감("&amp;TEXT($N138,"MM/DD")&amp;") 초과",IF($Q138="","발행여부 확인 필요",IF($S138="","소재 입고일정 확인 필요","정상"))))))</f>
        <v/>
      </c>
      <c r="AF138" s="19">
        <f>IF($K138="","",IF(OR(LEFT($AE138,2)="작지",LEFT($AE138,4)="소재입고"),IF(LEFT($G138,1)="S","★ 납기위험(S코드)","◆ 지연주의"),IF($AE138="정상","✓ 정상","? 확인필요")))</f>
        <v/>
      </c>
      <c r="AG138" s="21" t="n"/>
      <c r="AH138" s="28" t="n"/>
    </row>
    <row r="139">
      <c r="A139" s="19" t="n">
        <v>135</v>
      </c>
      <c r="B139" s="20" t="inlineStr">
        <is>
          <t>문도혁</t>
        </is>
      </c>
      <c r="C139" s="20" t="inlineStr">
        <is>
          <t>이민선</t>
        </is>
      </c>
      <c r="D139" s="20" t="inlineStr">
        <is>
          <t>TVJJM27522</t>
        </is>
      </c>
      <c r="E139" s="20" t="inlineStr">
        <is>
          <t>하절 여성 중기장 후디드 방풍 재킷</t>
        </is>
      </c>
      <c r="F139" s="20" t="inlineStr">
        <is>
          <t>LPI, PIS</t>
        </is>
      </c>
      <c r="G139" s="19">
        <f>IF($D139="","",IF(MID($D139,5,1)="S","S(봄)",IF(MID($D139,5,1)="M","M(여름)",IF(MID($D139,5,1)="X","X(사계절)",MID($D139,5,1)))))</f>
        <v/>
      </c>
      <c r="H139" s="20" t="inlineStr">
        <is>
          <t>완사입</t>
        </is>
      </c>
      <c r="I139" s="19" t="inlineStr">
        <is>
          <t>m1</t>
        </is>
      </c>
      <c r="J139" s="21" t="inlineStr">
        <is>
          <t>3월2주</t>
        </is>
      </c>
      <c r="K139" s="22">
        <f>IF($J139="","",IFERROR(DATE(IF(VALUE(LEFT($J139,FIND("월",$J139)-1))&gt;=9,기준정보!$C$7-1,기준정보!$C$7),VALUE(LEFT($J139,FIND("월",$J139)-1)),1+7*(VALUE(SUBSTITUTE(MID($J139,FIND("월",$J139)+1,5),"주",""))-1)),""))</f>
        <v/>
      </c>
      <c r="L139" s="22">
        <f>IF($K139="","",IF(AND($K139-기준정보!$C$5&gt;=기준정보!$C$10,$K139-기준정보!$C$5&lt;=기준정보!$C$11),기준정보!$C$10-1,$K139-기준정보!$C$5))</f>
        <v/>
      </c>
      <c r="M139" s="23">
        <f>IF($L139="","",IF(OR(ISNUMBER(SEARCH("중국",$W139)),ISNUMBER(SEARCH("베트남",$W139))),MAX(0,MIN($L139,기준정보!$C$9)-MAX($L139-기준정보!$C$6,기준정보!$C$8)+1),IF(ISNUMBER(SEARCH("한국",$W139)),MAX(0,MIN($L139,기준정보!$C$11)-MAX($L139-기준정보!$C$6,기준정보!$C$10)+1),0)))</f>
        <v/>
      </c>
      <c r="N139" s="22">
        <f>IF($L139="","",$L139-기준정보!$C$6-$M139)</f>
        <v/>
      </c>
      <c r="O139" s="24">
        <f>IF($N139="","",$N139-기준정보!$C$4)</f>
        <v/>
      </c>
      <c r="P139" s="21" t="inlineStr">
        <is>
          <t>O</t>
        </is>
      </c>
      <c r="Q139" s="21" t="inlineStr">
        <is>
          <t>O</t>
        </is>
      </c>
      <c r="R139" s="19">
        <f>IF(COUNTIF(EDW_RAW!$A$2:$A$1500,$D139)=0,"",IF(COUNTIFS(EDW_RAW!$A$2:$A$1500,$D139,EDW_RAW!$U$2:$U$1500,"&lt;&gt;~",EDW_RAW!$U$2:$U$1500,"&lt;&gt;")=COUNTIF(EDW_RAW!$A$2:$A$1500,$D139),"O",IF(COUNTIFS(EDW_RAW!$A$2:$A$1500,$D139,EDW_RAW!$U$2:$U$1500,"&lt;&gt;~",EDW_RAW!$U$2:$U$1500,"&lt;&gt;")&gt;0,"부분","X")))</f>
        <v/>
      </c>
      <c r="S139" s="25" t="n"/>
      <c r="T139" s="20">
        <f>IF($H139="","",IF(AND(ISNUMBER(SEARCH("CMT",$H139)),OR(ISNUMBER(SEARCH("완사입",$H139)),ISNUMBER(SEARCH("ODM",$H139)))),"본사/생산처 혼재",IF(ISNUMBER(SEARCH("CMT",$H139)),"본사(소재팀)","생산처")))</f>
        <v/>
      </c>
      <c r="U139" s="20" t="inlineStr">
        <is>
          <t>원전</t>
        </is>
      </c>
      <c r="V139" s="20">
        <f>IFERROR(TEXTJOIN(" / ",TRUE,UNIQUE(FILTER(소재DB_RAW!$K$3:$K$2000,(소재DB_RAW!$G$3:$G$2000=$D139)*ISERROR(SEARCH("drop",소재DB_RAW!$C$3:$C$2000))))),"")</f>
        <v/>
      </c>
      <c r="W139" s="20" t="inlineStr">
        <is>
          <t>베트남</t>
        </is>
      </c>
      <c r="X139" s="20">
        <f>IFERROR(TEXTJOIN(" / ",TRUE,UNIQUE(FILTER(소재DB_RAW!$N$3:$N$2000,(소재DB_RAW!$G$3:$G$2000=$D139)*ISERROR(SEARCH("drop",소재DB_RAW!$C$3:$C$2000))))),"")</f>
        <v/>
      </c>
      <c r="Y139" s="26">
        <f>IFERROR(TEXTJOIN(CHAR(10),TRUE,UNIQUE(FILTER(소재DB_RAW!$N$3:$N$2000&amp;") "&amp;소재DB_RAW!$O$3:$O$2000,(소재DB_RAW!$G$3:$G$2000=$D139)*ISNUMBER(SEARCH("겉감",소재DB_RAW!$M$3:$M$2000))*ISERROR(SEARCH("drop",소재DB_RAW!$C$3:$C$2000))))),"")</f>
        <v/>
      </c>
      <c r="Z139" s="26">
        <f>IFERROR(TEXTJOIN(CHAR(10),TRUE,UNIQUE(FILTER(소재DB_RAW!$N$3:$N$2000&amp;") "&amp;소재DB_RAW!$O$3:$O$2000,(소재DB_RAW!$G$3:$G$2000=$D139)*ISNUMBER(SEARCH("안감",소재DB_RAW!$M$3:$M$2000))*ISERROR(SEARCH("drop",소재DB_RAW!$C$3:$C$2000))))),"")</f>
        <v/>
      </c>
      <c r="AA139" s="27" t="n">
        <v>3000</v>
      </c>
      <c r="AB139" s="27" t="n">
        <v>116118000</v>
      </c>
      <c r="AC139" s="27" t="n">
        <v>660000000</v>
      </c>
      <c r="AD139" s="20" t="n"/>
      <c r="AE139" s="20">
        <f>IF($K139="","출고일 미정",IF($Q139="X","작지 미발행",IF($Q139="부분","작지 일부 미발행",IF(AND($S139&lt;&gt;"",$S139&gt;$N139),"소재입고 마감("&amp;TEXT($N139,"MM/DD")&amp;") 초과",IF($Q139="","발행여부 확인 필요",IF($S139="","소재 입고일정 확인 필요","정상"))))))</f>
        <v/>
      </c>
      <c r="AF139" s="19">
        <f>IF($K139="","",IF(OR(LEFT($AE139,2)="작지",LEFT($AE139,4)="소재입고"),IF(LEFT($G139,1)="S","★ 납기위험(S코드)","◆ 지연주의"),IF($AE139="정상","✓ 정상","? 확인필요")))</f>
        <v/>
      </c>
      <c r="AG139" s="21" t="n"/>
      <c r="AH139" s="28" t="n"/>
    </row>
    <row r="140">
      <c r="A140" s="19" t="n">
        <v>136</v>
      </c>
      <c r="B140" s="20" t="inlineStr">
        <is>
          <t>정영준</t>
        </is>
      </c>
      <c r="C140" s="20" t="inlineStr">
        <is>
          <t>서은미</t>
        </is>
      </c>
      <c r="D140" s="20" t="inlineStr">
        <is>
          <t>TVPNM27542</t>
        </is>
      </c>
      <c r="E140" s="20" t="inlineStr">
        <is>
          <t>하절 여성 시어서커 파라슈츠 팬츠 (SET-UP)</t>
        </is>
      </c>
      <c r="F140" s="20" t="inlineStr">
        <is>
          <t>DNA(D/NAVY), LBL(L/BLUE)</t>
        </is>
      </c>
      <c r="G140" s="19">
        <f>IF($D140="","",IF(MID($D140,5,1)="S","S(봄)",IF(MID($D140,5,1)="M","M(여름)",IF(MID($D140,5,1)="X","X(사계절)",MID($D140,5,1)))))</f>
        <v/>
      </c>
      <c r="H140" s="20" t="inlineStr">
        <is>
          <t>CMT</t>
        </is>
      </c>
      <c r="I140" s="19" t="inlineStr"/>
      <c r="J140" s="21" t="inlineStr">
        <is>
          <t>3월2주</t>
        </is>
      </c>
      <c r="K140" s="22">
        <f>IF($J140="","",IFERROR(DATE(IF(VALUE(LEFT($J140,FIND("월",$J140)-1))&gt;=9,기준정보!$C$7-1,기준정보!$C$7),VALUE(LEFT($J140,FIND("월",$J140)-1)),1+7*(VALUE(SUBSTITUTE(MID($J140,FIND("월",$J140)+1,5),"주",""))-1)),""))</f>
        <v/>
      </c>
      <c r="L140" s="22">
        <f>IF($K140="","",IF(AND($K140-기준정보!$C$5&gt;=기준정보!$C$10,$K140-기준정보!$C$5&lt;=기준정보!$C$11),기준정보!$C$10-1,$K140-기준정보!$C$5))</f>
        <v/>
      </c>
      <c r="M140" s="23">
        <f>IF($L140="","",IF(OR(ISNUMBER(SEARCH("중국",$W140)),ISNUMBER(SEARCH("베트남",$W140))),MAX(0,MIN($L140,기준정보!$C$9)-MAX($L140-기준정보!$C$6,기준정보!$C$8)+1),IF(ISNUMBER(SEARCH("한국",$W140)),MAX(0,MIN($L140,기준정보!$C$11)-MAX($L140-기준정보!$C$6,기준정보!$C$10)+1),0)))</f>
        <v/>
      </c>
      <c r="N140" s="22">
        <f>IF($L140="","",$L140-기준정보!$C$6-$M140)</f>
        <v/>
      </c>
      <c r="O140" s="24">
        <f>IF($N140="","",$N140-기준정보!$C$4)</f>
        <v/>
      </c>
      <c r="P140" s="21" t="inlineStr">
        <is>
          <t>O</t>
        </is>
      </c>
      <c r="Q140" s="21" t="inlineStr">
        <is>
          <t>O</t>
        </is>
      </c>
      <c r="R140" s="19">
        <f>IF(COUNTIF(EDW_RAW!$A$2:$A$1500,$D140)=0,"",IF(COUNTIFS(EDW_RAW!$A$2:$A$1500,$D140,EDW_RAW!$U$2:$U$1500,"&lt;&gt;~",EDW_RAW!$U$2:$U$1500,"&lt;&gt;")=COUNTIF(EDW_RAW!$A$2:$A$1500,$D140),"O",IF(COUNTIFS(EDW_RAW!$A$2:$A$1500,$D140,EDW_RAW!$U$2:$U$1500,"&lt;&gt;~",EDW_RAW!$U$2:$U$1500,"&lt;&gt;")&gt;0,"부분","X")))</f>
        <v/>
      </c>
      <c r="S140" s="25" t="n"/>
      <c r="T140" s="20">
        <f>IF($H140="","",IF(AND(ISNUMBER(SEARCH("CMT",$H140)),OR(ISNUMBER(SEARCH("완사입",$H140)),ISNUMBER(SEARCH("ODM",$H140)))),"본사/생산처 혼재",IF(ISNUMBER(SEARCH("CMT",$H140)),"본사(소재팀)","생산처")))</f>
        <v/>
      </c>
      <c r="U140" s="20" t="inlineStr">
        <is>
          <t>거림</t>
        </is>
      </c>
      <c r="V140" s="20">
        <f>IFERROR(TEXTJOIN(" / ",TRUE,UNIQUE(FILTER(소재DB_RAW!$K$3:$K$2000,(소재DB_RAW!$G$3:$G$2000=$D140)*ISERROR(SEARCH("drop",소재DB_RAW!$C$3:$C$2000))))),"")</f>
        <v/>
      </c>
      <c r="W140" s="20" t="inlineStr">
        <is>
          <t>베트남</t>
        </is>
      </c>
      <c r="X140" s="20">
        <f>IFERROR(TEXTJOIN(" / ",TRUE,UNIQUE(FILTER(소재DB_RAW!$N$3:$N$2000,(소재DB_RAW!$G$3:$G$2000=$D140)*ISERROR(SEARCH("drop",소재DB_RAW!$C$3:$C$2000))))),"")</f>
        <v/>
      </c>
      <c r="Y140" s="26">
        <f>IFERROR(TEXTJOIN(CHAR(10),TRUE,UNIQUE(FILTER(소재DB_RAW!$N$3:$N$2000&amp;") "&amp;소재DB_RAW!$O$3:$O$2000,(소재DB_RAW!$G$3:$G$2000=$D140)*ISNUMBER(SEARCH("겉감",소재DB_RAW!$M$3:$M$2000))*ISERROR(SEARCH("drop",소재DB_RAW!$C$3:$C$2000))))),"")</f>
        <v/>
      </c>
      <c r="Z140" s="26">
        <f>IFERROR(TEXTJOIN(CHAR(10),TRUE,UNIQUE(FILTER(소재DB_RAW!$N$3:$N$2000&amp;") "&amp;소재DB_RAW!$O$3:$O$2000,(소재DB_RAW!$G$3:$G$2000=$D140)*ISNUMBER(SEARCH("안감",소재DB_RAW!$M$3:$M$2000))*ISERROR(SEARCH("drop",소재DB_RAW!$C$3:$C$2000))))),"")</f>
        <v/>
      </c>
      <c r="AA140" s="27" t="n">
        <v>2700</v>
      </c>
      <c r="AB140" s="27" t="n">
        <v>69635700</v>
      </c>
      <c r="AC140" s="27" t="n">
        <v>453600000</v>
      </c>
      <c r="AD140" s="20" t="inlineStr">
        <is>
          <t>3월2주</t>
        </is>
      </c>
      <c r="AE140" s="20">
        <f>IF($K140="","출고일 미정",IF($Q140="X","작지 미발행",IF($Q140="부분","작지 일부 미발행",IF(AND($S140&lt;&gt;"",$S140&gt;$N140),"소재입고 마감("&amp;TEXT($N140,"MM/DD")&amp;") 초과",IF($Q140="","발행여부 확인 필요",IF($S140="","소재 입고일정 확인 필요","정상"))))))</f>
        <v/>
      </c>
      <c r="AF140" s="19">
        <f>IF($K140="","",IF(OR(LEFT($AE140,2)="작지",LEFT($AE140,4)="소재입고"),IF(LEFT($G140,1)="S","★ 납기위험(S코드)","◆ 지연주의"),IF($AE140="정상","✓ 정상","? 확인필요")))</f>
        <v/>
      </c>
      <c r="AG140" s="21" t="n"/>
      <c r="AH140" s="28" t="n"/>
    </row>
    <row r="141">
      <c r="A141" s="19" t="n">
        <v>137</v>
      </c>
      <c r="B141" s="20" t="inlineStr">
        <is>
          <t>정영준</t>
        </is>
      </c>
      <c r="C141" s="20" t="inlineStr">
        <is>
          <t>서은미</t>
        </is>
      </c>
      <c r="D141" s="20" t="inlineStr">
        <is>
          <t>TVPOM27502</t>
        </is>
      </c>
      <c r="E141" s="20" t="inlineStr">
        <is>
          <t>하절 여성 시어서커 5부 (SET-UP)</t>
        </is>
      </c>
      <c r="F141" s="20" t="inlineStr">
        <is>
          <t>DNA(D/NAVY), LBL(L/BLUE)</t>
        </is>
      </c>
      <c r="G141" s="19">
        <f>IF($D141="","",IF(MID($D141,5,1)="S","S(봄)",IF(MID($D141,5,1)="M","M(여름)",IF(MID($D141,5,1)="X","X(사계절)",MID($D141,5,1)))))</f>
        <v/>
      </c>
      <c r="H141" s="20" t="inlineStr">
        <is>
          <t>CMT</t>
        </is>
      </c>
      <c r="I141" s="19" t="inlineStr"/>
      <c r="J141" s="21" t="inlineStr">
        <is>
          <t>3월2주</t>
        </is>
      </c>
      <c r="K141" s="22">
        <f>IF($J141="","",IFERROR(DATE(IF(VALUE(LEFT($J141,FIND("월",$J141)-1))&gt;=9,기준정보!$C$7-1,기준정보!$C$7),VALUE(LEFT($J141,FIND("월",$J141)-1)),1+7*(VALUE(SUBSTITUTE(MID($J141,FIND("월",$J141)+1,5),"주",""))-1)),""))</f>
        <v/>
      </c>
      <c r="L141" s="22">
        <f>IF($K141="","",IF(AND($K141-기준정보!$C$5&gt;=기준정보!$C$10,$K141-기준정보!$C$5&lt;=기준정보!$C$11),기준정보!$C$10-1,$K141-기준정보!$C$5))</f>
        <v/>
      </c>
      <c r="M141" s="23">
        <f>IF($L141="","",IF(OR(ISNUMBER(SEARCH("중국",$W141)),ISNUMBER(SEARCH("베트남",$W141))),MAX(0,MIN($L141,기준정보!$C$9)-MAX($L141-기준정보!$C$6,기준정보!$C$8)+1),IF(ISNUMBER(SEARCH("한국",$W141)),MAX(0,MIN($L141,기준정보!$C$11)-MAX($L141-기준정보!$C$6,기준정보!$C$10)+1),0)))</f>
        <v/>
      </c>
      <c r="N141" s="22">
        <f>IF($L141="","",$L141-기준정보!$C$6-$M141)</f>
        <v/>
      </c>
      <c r="O141" s="24">
        <f>IF($N141="","",$N141-기준정보!$C$4)</f>
        <v/>
      </c>
      <c r="P141" s="21" t="inlineStr">
        <is>
          <t>O</t>
        </is>
      </c>
      <c r="Q141" s="21" t="inlineStr">
        <is>
          <t>O</t>
        </is>
      </c>
      <c r="R141" s="19">
        <f>IF(COUNTIF(EDW_RAW!$A$2:$A$1500,$D141)=0,"",IF(COUNTIFS(EDW_RAW!$A$2:$A$1500,$D141,EDW_RAW!$U$2:$U$1500,"&lt;&gt;~",EDW_RAW!$U$2:$U$1500,"&lt;&gt;")=COUNTIF(EDW_RAW!$A$2:$A$1500,$D141),"O",IF(COUNTIFS(EDW_RAW!$A$2:$A$1500,$D141,EDW_RAW!$U$2:$U$1500,"&lt;&gt;~",EDW_RAW!$U$2:$U$1500,"&lt;&gt;")&gt;0,"부분","X")))</f>
        <v/>
      </c>
      <c r="S141" s="25" t="n"/>
      <c r="T141" s="20">
        <f>IF($H141="","",IF(AND(ISNUMBER(SEARCH("CMT",$H141)),OR(ISNUMBER(SEARCH("완사입",$H141)),ISNUMBER(SEARCH("ODM",$H141)))),"본사/생산처 혼재",IF(ISNUMBER(SEARCH("CMT",$H141)),"본사(소재팀)","생산처")))</f>
        <v/>
      </c>
      <c r="U141" s="20" t="inlineStr">
        <is>
          <t>거림</t>
        </is>
      </c>
      <c r="V141" s="20">
        <f>IFERROR(TEXTJOIN(" / ",TRUE,UNIQUE(FILTER(소재DB_RAW!$K$3:$K$2000,(소재DB_RAW!$G$3:$G$2000=$D141)*ISERROR(SEARCH("drop",소재DB_RAW!$C$3:$C$2000))))),"")</f>
        <v/>
      </c>
      <c r="W141" s="20" t="inlineStr">
        <is>
          <t>베트남</t>
        </is>
      </c>
      <c r="X141" s="20">
        <f>IFERROR(TEXTJOIN(" / ",TRUE,UNIQUE(FILTER(소재DB_RAW!$N$3:$N$2000,(소재DB_RAW!$G$3:$G$2000=$D141)*ISERROR(SEARCH("drop",소재DB_RAW!$C$3:$C$2000))))),"")</f>
        <v/>
      </c>
      <c r="Y141" s="26">
        <f>IFERROR(TEXTJOIN(CHAR(10),TRUE,UNIQUE(FILTER(소재DB_RAW!$N$3:$N$2000&amp;") "&amp;소재DB_RAW!$O$3:$O$2000,(소재DB_RAW!$G$3:$G$2000=$D141)*ISNUMBER(SEARCH("겉감",소재DB_RAW!$M$3:$M$2000))*ISERROR(SEARCH("drop",소재DB_RAW!$C$3:$C$2000))))),"")</f>
        <v/>
      </c>
      <c r="Z141" s="26">
        <f>IFERROR(TEXTJOIN(CHAR(10),TRUE,UNIQUE(FILTER(소재DB_RAW!$N$3:$N$2000&amp;") "&amp;소재DB_RAW!$O$3:$O$2000,(소재DB_RAW!$G$3:$G$2000=$D141)*ISNUMBER(SEARCH("안감",소재DB_RAW!$M$3:$M$2000))*ISERROR(SEARCH("drop",소재DB_RAW!$C$3:$C$2000))))),"")</f>
        <v/>
      </c>
      <c r="AA141" s="27" t="n">
        <v>2300</v>
      </c>
      <c r="AB141" s="27" t="n">
        <v>51520000</v>
      </c>
      <c r="AC141" s="27" t="n">
        <v>248400000</v>
      </c>
      <c r="AD141" s="20" t="inlineStr">
        <is>
          <t>3월2주</t>
        </is>
      </c>
      <c r="AE141" s="20">
        <f>IF($K141="","출고일 미정",IF($Q141="X","작지 미발행",IF($Q141="부분","작지 일부 미발행",IF(AND($S141&lt;&gt;"",$S141&gt;$N141),"소재입고 마감("&amp;TEXT($N141,"MM/DD")&amp;") 초과",IF($Q141="","발행여부 확인 필요",IF($S141="","소재 입고일정 확인 필요","정상"))))))</f>
        <v/>
      </c>
      <c r="AF141" s="19">
        <f>IF($K141="","",IF(OR(LEFT($AE141,2)="작지",LEFT($AE141,4)="소재입고"),IF(LEFT($G141,1)="S","★ 납기위험(S코드)","◆ 지연주의"),IF($AE141="정상","✓ 정상","? 확인필요")))</f>
        <v/>
      </c>
      <c r="AG141" s="21" t="n"/>
      <c r="AH141" s="28" t="n"/>
    </row>
    <row r="142">
      <c r="A142" s="19" t="n">
        <v>138</v>
      </c>
      <c r="B142" s="20" t="inlineStr">
        <is>
          <t>김준래</t>
        </is>
      </c>
      <c r="C142" s="20" t="inlineStr">
        <is>
          <t>권혁일</t>
        </is>
      </c>
      <c r="D142" s="20" t="inlineStr">
        <is>
          <t>TVTCM27538</t>
        </is>
      </c>
      <c r="E142" s="20" t="inlineStr">
        <is>
          <t>하절 여성 시어서커 반팔 폴로 티셔츠</t>
        </is>
      </c>
      <c r="F142" s="20" t="inlineStr">
        <is>
          <t>CRE(CREAM), LPI, PIS</t>
        </is>
      </c>
      <c r="G142" s="19">
        <f>IF($D142="","",IF(MID($D142,5,1)="S","S(봄)",IF(MID($D142,5,1)="M","M(여름)",IF(MID($D142,5,1)="X","X(사계절)",MID($D142,5,1)))))</f>
        <v/>
      </c>
      <c r="H142" s="20" t="inlineStr">
        <is>
          <t>완사입</t>
        </is>
      </c>
      <c r="I142" s="19" t="inlineStr"/>
      <c r="J142" s="21" t="inlineStr">
        <is>
          <t>3월2주</t>
        </is>
      </c>
      <c r="K142" s="22">
        <f>IF($J142="","",IFERROR(DATE(IF(VALUE(LEFT($J142,FIND("월",$J142)-1))&gt;=9,기준정보!$C$7-1,기준정보!$C$7),VALUE(LEFT($J142,FIND("월",$J142)-1)),1+7*(VALUE(SUBSTITUTE(MID($J142,FIND("월",$J142)+1,5),"주",""))-1)),""))</f>
        <v/>
      </c>
      <c r="L142" s="22">
        <f>IF($K142="","",IF(AND($K142-기준정보!$C$5&gt;=기준정보!$C$10,$K142-기준정보!$C$5&lt;=기준정보!$C$11),기준정보!$C$10-1,$K142-기준정보!$C$5))</f>
        <v/>
      </c>
      <c r="M142" s="23">
        <f>IF($L142="","",IF(OR(ISNUMBER(SEARCH("중국",$W142)),ISNUMBER(SEARCH("베트남",$W142))),MAX(0,MIN($L142,기준정보!$C$9)-MAX($L142-기준정보!$C$6,기준정보!$C$8)+1),IF(ISNUMBER(SEARCH("한국",$W142)),MAX(0,MIN($L142,기준정보!$C$11)-MAX($L142-기준정보!$C$6,기준정보!$C$10)+1),0)))</f>
        <v/>
      </c>
      <c r="N142" s="22">
        <f>IF($L142="","",$L142-기준정보!$C$6-$M142)</f>
        <v/>
      </c>
      <c r="O142" s="24">
        <f>IF($N142="","",$N142-기준정보!$C$4)</f>
        <v/>
      </c>
      <c r="P142" s="21" t="inlineStr">
        <is>
          <t>O</t>
        </is>
      </c>
      <c r="Q142" s="21" t="inlineStr">
        <is>
          <t>O</t>
        </is>
      </c>
      <c r="R142" s="19">
        <f>IF(COUNTIF(EDW_RAW!$A$2:$A$1500,$D142)=0,"",IF(COUNTIFS(EDW_RAW!$A$2:$A$1500,$D142,EDW_RAW!$U$2:$U$1500,"&lt;&gt;~",EDW_RAW!$U$2:$U$1500,"&lt;&gt;")=COUNTIF(EDW_RAW!$A$2:$A$1500,$D142),"O",IF(COUNTIFS(EDW_RAW!$A$2:$A$1500,$D142,EDW_RAW!$U$2:$U$1500,"&lt;&gt;~",EDW_RAW!$U$2:$U$1500,"&lt;&gt;")&gt;0,"부분","X")))</f>
        <v/>
      </c>
      <c r="S142" s="25" t="n"/>
      <c r="T142" s="20">
        <f>IF($H142="","",IF(AND(ISNUMBER(SEARCH("CMT",$H142)),OR(ISNUMBER(SEARCH("완사입",$H142)),ISNUMBER(SEARCH("ODM",$H142)))),"본사/생산처 혼재",IF(ISNUMBER(SEARCH("CMT",$H142)),"본사(소재팀)","생산처")))</f>
        <v/>
      </c>
      <c r="U142" s="20" t="inlineStr">
        <is>
          <t>태화</t>
        </is>
      </c>
      <c r="V142" s="20">
        <f>IFERROR(TEXTJOIN(" / ",TRUE,UNIQUE(FILTER(소재DB_RAW!$K$3:$K$2000,(소재DB_RAW!$G$3:$G$2000=$D142)*ISERROR(SEARCH("drop",소재DB_RAW!$C$3:$C$2000))))),"")</f>
        <v/>
      </c>
      <c r="W142" s="20" t="inlineStr">
        <is>
          <t>베트남</t>
        </is>
      </c>
      <c r="X142" s="20">
        <f>IFERROR(TEXTJOIN(" / ",TRUE,UNIQUE(FILTER(소재DB_RAW!$N$3:$N$2000,(소재DB_RAW!$G$3:$G$2000=$D142)*ISERROR(SEARCH("drop",소재DB_RAW!$C$3:$C$2000))))),"")</f>
        <v/>
      </c>
      <c r="Y142" s="26">
        <f>IFERROR(TEXTJOIN(CHAR(10),TRUE,UNIQUE(FILTER(소재DB_RAW!$N$3:$N$2000&amp;") "&amp;소재DB_RAW!$O$3:$O$2000,(소재DB_RAW!$G$3:$G$2000=$D142)*ISNUMBER(SEARCH("겉감",소재DB_RAW!$M$3:$M$2000))*ISERROR(SEARCH("drop",소재DB_RAW!$C$3:$C$2000))))),"")</f>
        <v/>
      </c>
      <c r="Z142" s="26">
        <f>IFERROR(TEXTJOIN(CHAR(10),TRUE,UNIQUE(FILTER(소재DB_RAW!$N$3:$N$2000&amp;") "&amp;소재DB_RAW!$O$3:$O$2000,(소재DB_RAW!$G$3:$G$2000=$D142)*ISNUMBER(SEARCH("안감",소재DB_RAW!$M$3:$M$2000))*ISERROR(SEARCH("drop",소재DB_RAW!$C$3:$C$2000))))),"")</f>
        <v/>
      </c>
      <c r="AA142" s="27" t="n">
        <v>5000</v>
      </c>
      <c r="AB142" s="27" t="n">
        <v>147115000</v>
      </c>
      <c r="AC142" s="27" t="n">
        <v>640000000</v>
      </c>
      <c r="AD142" s="20" t="inlineStr">
        <is>
          <t>3월2주</t>
        </is>
      </c>
      <c r="AE142" s="20">
        <f>IF($K142="","출고일 미정",IF($Q142="X","작지 미발행",IF($Q142="부분","작지 일부 미발행",IF(AND($S142&lt;&gt;"",$S142&gt;$N142),"소재입고 마감("&amp;TEXT($N142,"MM/DD")&amp;") 초과",IF($Q142="","발행여부 확인 필요",IF($S142="","소재 입고일정 확인 필요","정상"))))))</f>
        <v/>
      </c>
      <c r="AF142" s="19">
        <f>IF($K142="","",IF(OR(LEFT($AE142,2)="작지",LEFT($AE142,4)="소재입고"),IF(LEFT($G142,1)="S","★ 납기위험(S코드)","◆ 지연주의"),IF($AE142="정상","✓ 정상","? 확인필요")))</f>
        <v/>
      </c>
      <c r="AG142" s="21" t="n"/>
      <c r="AH142" s="28" t="n"/>
    </row>
    <row r="143">
      <c r="A143" s="19" t="n">
        <v>139</v>
      </c>
      <c r="B143" s="20" t="inlineStr">
        <is>
          <t>김준래</t>
        </is>
      </c>
      <c r="C143" s="20" t="inlineStr">
        <is>
          <t>권혁일</t>
        </is>
      </c>
      <c r="D143" s="20" t="inlineStr">
        <is>
          <t>TVTCM27542</t>
        </is>
      </c>
      <c r="E143" s="20" t="inlineStr">
        <is>
          <t>하절 여성 스트레치 시어서커 폴로 반팔 티셔츠 (SET-UP)</t>
        </is>
      </c>
      <c r="F143" s="20" t="inlineStr">
        <is>
          <t>OWH, BLK(BLACK)</t>
        </is>
      </c>
      <c r="G143" s="19">
        <f>IF($D143="","",IF(MID($D143,5,1)="S","S(봄)",IF(MID($D143,5,1)="M","M(여름)",IF(MID($D143,5,1)="X","X(사계절)",MID($D143,5,1)))))</f>
        <v/>
      </c>
      <c r="H143" s="20" t="inlineStr">
        <is>
          <t>완사입</t>
        </is>
      </c>
      <c r="I143" s="19" t="inlineStr"/>
      <c r="J143" s="21" t="inlineStr">
        <is>
          <t>3월2주</t>
        </is>
      </c>
      <c r="K143" s="22">
        <f>IF($J143="","",IFERROR(DATE(IF(VALUE(LEFT($J143,FIND("월",$J143)-1))&gt;=9,기준정보!$C$7-1,기준정보!$C$7),VALUE(LEFT($J143,FIND("월",$J143)-1)),1+7*(VALUE(SUBSTITUTE(MID($J143,FIND("월",$J143)+1,5),"주",""))-1)),""))</f>
        <v/>
      </c>
      <c r="L143" s="22">
        <f>IF($K143="","",IF(AND($K143-기준정보!$C$5&gt;=기준정보!$C$10,$K143-기준정보!$C$5&lt;=기준정보!$C$11),기준정보!$C$10-1,$K143-기준정보!$C$5))</f>
        <v/>
      </c>
      <c r="M143" s="23">
        <f>IF($L143="","",IF(OR(ISNUMBER(SEARCH("중국",$W143)),ISNUMBER(SEARCH("베트남",$W143))),MAX(0,MIN($L143,기준정보!$C$9)-MAX($L143-기준정보!$C$6,기준정보!$C$8)+1),IF(ISNUMBER(SEARCH("한국",$W143)),MAX(0,MIN($L143,기준정보!$C$11)-MAX($L143-기준정보!$C$6,기준정보!$C$10)+1),0)))</f>
        <v/>
      </c>
      <c r="N143" s="22">
        <f>IF($L143="","",$L143-기준정보!$C$6-$M143)</f>
        <v/>
      </c>
      <c r="O143" s="24">
        <f>IF($N143="","",$N143-기준정보!$C$4)</f>
        <v/>
      </c>
      <c r="P143" s="21" t="inlineStr">
        <is>
          <t>O</t>
        </is>
      </c>
      <c r="Q143" s="21" t="inlineStr">
        <is>
          <t>O</t>
        </is>
      </c>
      <c r="R143" s="19">
        <f>IF(COUNTIF(EDW_RAW!$A$2:$A$1500,$D143)=0,"",IF(COUNTIFS(EDW_RAW!$A$2:$A$1500,$D143,EDW_RAW!$U$2:$U$1500,"&lt;&gt;~",EDW_RAW!$U$2:$U$1500,"&lt;&gt;")=COUNTIF(EDW_RAW!$A$2:$A$1500,$D143),"O",IF(COUNTIFS(EDW_RAW!$A$2:$A$1500,$D143,EDW_RAW!$U$2:$U$1500,"&lt;&gt;~",EDW_RAW!$U$2:$U$1500,"&lt;&gt;")&gt;0,"부분","X")))</f>
        <v/>
      </c>
      <c r="S143" s="25" t="n"/>
      <c r="T143" s="20">
        <f>IF($H143="","",IF(AND(ISNUMBER(SEARCH("CMT",$H143)),OR(ISNUMBER(SEARCH("완사입",$H143)),ISNUMBER(SEARCH("ODM",$H143)))),"본사/생산처 혼재",IF(ISNUMBER(SEARCH("CMT",$H143)),"본사(소재팀)","생산처")))</f>
        <v/>
      </c>
      <c r="U143" s="20" t="inlineStr">
        <is>
          <t>태화</t>
        </is>
      </c>
      <c r="V143" s="20">
        <f>IFERROR(TEXTJOIN(" / ",TRUE,UNIQUE(FILTER(소재DB_RAW!$K$3:$K$2000,(소재DB_RAW!$G$3:$G$2000=$D143)*ISERROR(SEARCH("drop",소재DB_RAW!$C$3:$C$2000))))),"")</f>
        <v/>
      </c>
      <c r="W143" s="20" t="inlineStr">
        <is>
          <t>베트남</t>
        </is>
      </c>
      <c r="X143" s="20">
        <f>IFERROR(TEXTJOIN(" / ",TRUE,UNIQUE(FILTER(소재DB_RAW!$N$3:$N$2000,(소재DB_RAW!$G$3:$G$2000=$D143)*ISERROR(SEARCH("drop",소재DB_RAW!$C$3:$C$2000))))),"")</f>
        <v/>
      </c>
      <c r="Y143" s="26">
        <f>IFERROR(TEXTJOIN(CHAR(10),TRUE,UNIQUE(FILTER(소재DB_RAW!$N$3:$N$2000&amp;") "&amp;소재DB_RAW!$O$3:$O$2000,(소재DB_RAW!$G$3:$G$2000=$D143)*ISNUMBER(SEARCH("겉감",소재DB_RAW!$M$3:$M$2000))*ISERROR(SEARCH("drop",소재DB_RAW!$C$3:$C$2000))))),"")</f>
        <v/>
      </c>
      <c r="Z143" s="26">
        <f>IFERROR(TEXTJOIN(CHAR(10),TRUE,UNIQUE(FILTER(소재DB_RAW!$N$3:$N$2000&amp;") "&amp;소재DB_RAW!$O$3:$O$2000,(소재DB_RAW!$G$3:$G$2000=$D143)*ISNUMBER(SEARCH("안감",소재DB_RAW!$M$3:$M$2000))*ISERROR(SEARCH("drop",소재DB_RAW!$C$3:$C$2000))))),"")</f>
        <v/>
      </c>
      <c r="AA143" s="27" t="n">
        <v>4000</v>
      </c>
      <c r="AB143" s="27" t="n">
        <v>87048000</v>
      </c>
      <c r="AC143" s="27" t="n">
        <v>512000000</v>
      </c>
      <c r="AD143" s="20" t="inlineStr">
        <is>
          <t>3월2주</t>
        </is>
      </c>
      <c r="AE143" s="20">
        <f>IF($K143="","출고일 미정",IF($Q143="X","작지 미발행",IF($Q143="부분","작지 일부 미발행",IF(AND($S143&lt;&gt;"",$S143&gt;$N143),"소재입고 마감("&amp;TEXT($N143,"MM/DD")&amp;") 초과",IF($Q143="","발행여부 확인 필요",IF($S143="","소재 입고일정 확인 필요","정상"))))))</f>
        <v/>
      </c>
      <c r="AF143" s="19">
        <f>IF($K143="","",IF(OR(LEFT($AE143,2)="작지",LEFT($AE143,4)="소재입고"),IF(LEFT($G143,1)="S","★ 납기위험(S코드)","◆ 지연주의"),IF($AE143="정상","✓ 정상","? 확인필요")))</f>
        <v/>
      </c>
      <c r="AG143" s="21" t="n"/>
      <c r="AH143" s="28" t="n"/>
    </row>
    <row r="144">
      <c r="A144" s="19" t="n">
        <v>140</v>
      </c>
      <c r="B144" s="20" t="inlineStr">
        <is>
          <t>문도혁</t>
        </is>
      </c>
      <c r="C144" s="20" t="inlineStr">
        <is>
          <t>정희영</t>
        </is>
      </c>
      <c r="D144" s="20" t="inlineStr">
        <is>
          <t>TVVAM27562</t>
        </is>
      </c>
      <c r="E144" s="20" t="inlineStr">
        <is>
          <t>하절 여성 경량 방풍 베스트</t>
        </is>
      </c>
      <c r="F144" s="20" t="inlineStr">
        <is>
          <t>LPI, GNA(G/NAVY)</t>
        </is>
      </c>
      <c r="G144" s="19">
        <f>IF($D144="","",IF(MID($D144,5,1)="S","S(봄)",IF(MID($D144,5,1)="M","M(여름)",IF(MID($D144,5,1)="X","X(사계절)",MID($D144,5,1)))))</f>
        <v/>
      </c>
      <c r="H144" s="20" t="inlineStr">
        <is>
          <t>완사입</t>
        </is>
      </c>
      <c r="I144" s="19" t="inlineStr">
        <is>
          <t>m2</t>
        </is>
      </c>
      <c r="J144" s="21" t="inlineStr">
        <is>
          <t>3월2주</t>
        </is>
      </c>
      <c r="K144" s="22">
        <f>IF($J144="","",IFERROR(DATE(IF(VALUE(LEFT($J144,FIND("월",$J144)-1))&gt;=9,기준정보!$C$7-1,기준정보!$C$7),VALUE(LEFT($J144,FIND("월",$J144)-1)),1+7*(VALUE(SUBSTITUTE(MID($J144,FIND("월",$J144)+1,5),"주",""))-1)),""))</f>
        <v/>
      </c>
      <c r="L144" s="22">
        <f>IF($K144="","",IF(AND($K144-기준정보!$C$5&gt;=기준정보!$C$10,$K144-기준정보!$C$5&lt;=기준정보!$C$11),기준정보!$C$10-1,$K144-기준정보!$C$5))</f>
        <v/>
      </c>
      <c r="M144" s="23">
        <f>IF($L144="","",IF(OR(ISNUMBER(SEARCH("중국",$W144)),ISNUMBER(SEARCH("베트남",$W144))),MAX(0,MIN($L144,기준정보!$C$9)-MAX($L144-기준정보!$C$6,기준정보!$C$8)+1),IF(ISNUMBER(SEARCH("한국",$W144)),MAX(0,MIN($L144,기준정보!$C$11)-MAX($L144-기준정보!$C$6,기준정보!$C$10)+1),0)))</f>
        <v/>
      </c>
      <c r="N144" s="22">
        <f>IF($L144="","",$L144-기준정보!$C$6-$M144)</f>
        <v/>
      </c>
      <c r="O144" s="24">
        <f>IF($N144="","",$N144-기준정보!$C$4)</f>
        <v/>
      </c>
      <c r="P144" s="21" t="inlineStr">
        <is>
          <t>O</t>
        </is>
      </c>
      <c r="Q144" s="21" t="inlineStr">
        <is>
          <t>O</t>
        </is>
      </c>
      <c r="R144" s="19">
        <f>IF(COUNTIF(EDW_RAW!$A$2:$A$1500,$D144)=0,"",IF(COUNTIFS(EDW_RAW!$A$2:$A$1500,$D144,EDW_RAW!$U$2:$U$1500,"&lt;&gt;~",EDW_RAW!$U$2:$U$1500,"&lt;&gt;")=COUNTIF(EDW_RAW!$A$2:$A$1500,$D144),"O",IF(COUNTIFS(EDW_RAW!$A$2:$A$1500,$D144,EDW_RAW!$U$2:$U$1500,"&lt;&gt;~",EDW_RAW!$U$2:$U$1500,"&lt;&gt;")&gt;0,"부분","X")))</f>
        <v/>
      </c>
      <c r="S144" s="25" t="n"/>
      <c r="T144" s="20">
        <f>IF($H144="","",IF(AND(ISNUMBER(SEARCH("CMT",$H144)),OR(ISNUMBER(SEARCH("완사입",$H144)),ISNUMBER(SEARCH("ODM",$H144)))),"본사/생산처 혼재",IF(ISNUMBER(SEARCH("CMT",$H144)),"본사(소재팀)","생산처")))</f>
        <v/>
      </c>
      <c r="U144" s="20" t="inlineStr">
        <is>
          <t>아이블</t>
        </is>
      </c>
      <c r="V144" s="20">
        <f>IFERROR(TEXTJOIN(" / ",TRUE,UNIQUE(FILTER(소재DB_RAW!$K$3:$K$2000,(소재DB_RAW!$G$3:$G$2000=$D144)*ISERROR(SEARCH("drop",소재DB_RAW!$C$3:$C$2000))))),"")</f>
        <v/>
      </c>
      <c r="W144" s="20" t="inlineStr">
        <is>
          <t>베트남</t>
        </is>
      </c>
      <c r="X144" s="20">
        <f>IFERROR(TEXTJOIN(" / ",TRUE,UNIQUE(FILTER(소재DB_RAW!$N$3:$N$2000,(소재DB_RAW!$G$3:$G$2000=$D144)*ISERROR(SEARCH("drop",소재DB_RAW!$C$3:$C$2000))))),"")</f>
        <v/>
      </c>
      <c r="Y144" s="26">
        <f>IFERROR(TEXTJOIN(CHAR(10),TRUE,UNIQUE(FILTER(소재DB_RAW!$N$3:$N$2000&amp;") "&amp;소재DB_RAW!$O$3:$O$2000,(소재DB_RAW!$G$3:$G$2000=$D144)*ISNUMBER(SEARCH("겉감",소재DB_RAW!$M$3:$M$2000))*ISERROR(SEARCH("drop",소재DB_RAW!$C$3:$C$2000))))),"")</f>
        <v/>
      </c>
      <c r="Z144" s="26">
        <f>IFERROR(TEXTJOIN(CHAR(10),TRUE,UNIQUE(FILTER(소재DB_RAW!$N$3:$N$2000&amp;") "&amp;소재DB_RAW!$O$3:$O$2000,(소재DB_RAW!$G$3:$G$2000=$D144)*ISNUMBER(SEARCH("안감",소재DB_RAW!$M$3:$M$2000))*ISERROR(SEARCH("drop",소재DB_RAW!$C$3:$C$2000))))),"")</f>
        <v/>
      </c>
      <c r="AA144" s="27" t="n">
        <v>5500</v>
      </c>
      <c r="AB144" s="27" t="n">
        <v>181296500</v>
      </c>
      <c r="AC144" s="27" t="n">
        <v>924000000</v>
      </c>
      <c r="AD144" s="20" t="n"/>
      <c r="AE144" s="20">
        <f>IF($K144="","출고일 미정",IF($Q144="X","작지 미발행",IF($Q144="부분","작지 일부 미발행",IF(AND($S144&lt;&gt;"",$S144&gt;$N144),"소재입고 마감("&amp;TEXT($N144,"MM/DD")&amp;") 초과",IF($Q144="","발행여부 확인 필요",IF($S144="","소재 입고일정 확인 필요","정상"))))))</f>
        <v/>
      </c>
      <c r="AF144" s="19">
        <f>IF($K144="","",IF(OR(LEFT($AE144,2)="작지",LEFT($AE144,4)="소재입고"),IF(LEFT($G144,1)="S","★ 납기위험(S코드)","◆ 지연주의"),IF($AE144="정상","✓ 정상","? 확인필요")))</f>
        <v/>
      </c>
      <c r="AG144" s="21" t="n"/>
      <c r="AH144" s="28" t="n"/>
    </row>
    <row r="145">
      <c r="A145" s="19" t="n">
        <v>141</v>
      </c>
      <c r="B145" s="20" t="inlineStr">
        <is>
          <t>문도혁</t>
        </is>
      </c>
      <c r="C145" s="20" t="inlineStr">
        <is>
          <t>정희영</t>
        </is>
      </c>
      <c r="D145" s="20" t="inlineStr">
        <is>
          <t>TLPNM27691</t>
        </is>
      </c>
      <c r="E145" s="20" t="inlineStr">
        <is>
          <t>하절 남성 데이팩 레귤러핏 테이퍼드 팬츠</t>
        </is>
      </c>
      <c r="F145" s="20" t="inlineStr">
        <is>
          <t>GRI(GREIGE), BLK(BLACK)</t>
        </is>
      </c>
      <c r="G145" s="19">
        <f>IF($D145="","",IF(MID($D145,5,1)="S","S(봄)",IF(MID($D145,5,1)="M","M(여름)",IF(MID($D145,5,1)="X","X(사계절)",MID($D145,5,1)))))</f>
        <v/>
      </c>
      <c r="H145" s="20" t="inlineStr">
        <is>
          <t>CMT</t>
        </is>
      </c>
      <c r="I145" s="19" t="inlineStr">
        <is>
          <t>m1</t>
        </is>
      </c>
      <c r="J145" s="21" t="inlineStr">
        <is>
          <t>3월4주</t>
        </is>
      </c>
      <c r="K145" s="22">
        <f>IF($J145="","",IFERROR(DATE(IF(VALUE(LEFT($J145,FIND("월",$J145)-1))&gt;=9,기준정보!$C$7-1,기준정보!$C$7),VALUE(LEFT($J145,FIND("월",$J145)-1)),1+7*(VALUE(SUBSTITUTE(MID($J145,FIND("월",$J145)+1,5),"주",""))-1)),""))</f>
        <v/>
      </c>
      <c r="L145" s="22">
        <f>IF($K145="","",IF(AND($K145-기준정보!$C$5&gt;=기준정보!$C$10,$K145-기준정보!$C$5&lt;=기준정보!$C$11),기준정보!$C$10-1,$K145-기준정보!$C$5))</f>
        <v/>
      </c>
      <c r="M145" s="23">
        <f>IF($L145="","",IF(OR(ISNUMBER(SEARCH("중국",$W145)),ISNUMBER(SEARCH("베트남",$W145))),MAX(0,MIN($L145,기준정보!$C$9)-MAX($L145-기준정보!$C$6,기준정보!$C$8)+1),IF(ISNUMBER(SEARCH("한국",$W145)),MAX(0,MIN($L145,기준정보!$C$11)-MAX($L145-기준정보!$C$6,기준정보!$C$10)+1),0)))</f>
        <v/>
      </c>
      <c r="N145" s="22">
        <f>IF($L145="","",$L145-기준정보!$C$6-$M145)</f>
        <v/>
      </c>
      <c r="O145" s="24">
        <f>IF($N145="","",$N145-기준정보!$C$4)</f>
        <v/>
      </c>
      <c r="P145" s="21" t="inlineStr">
        <is>
          <t>O</t>
        </is>
      </c>
      <c r="Q145" s="21" t="inlineStr">
        <is>
          <t>O</t>
        </is>
      </c>
      <c r="R145" s="19">
        <f>IF(COUNTIF(EDW_RAW!$A$2:$A$1500,$D145)=0,"",IF(COUNTIFS(EDW_RAW!$A$2:$A$1500,$D145,EDW_RAW!$U$2:$U$1500,"&lt;&gt;~",EDW_RAW!$U$2:$U$1500,"&lt;&gt;")=COUNTIF(EDW_RAW!$A$2:$A$1500,$D145),"O",IF(COUNTIFS(EDW_RAW!$A$2:$A$1500,$D145,EDW_RAW!$U$2:$U$1500,"&lt;&gt;~",EDW_RAW!$U$2:$U$1500,"&lt;&gt;")&gt;0,"부분","X")))</f>
        <v/>
      </c>
      <c r="S145" s="25" t="n"/>
      <c r="T145" s="20">
        <f>IF($H145="","",IF(AND(ISNUMBER(SEARCH("CMT",$H145)),OR(ISNUMBER(SEARCH("완사입",$H145)),ISNUMBER(SEARCH("ODM",$H145)))),"본사/생산처 혼재",IF(ISNUMBER(SEARCH("CMT",$H145)),"본사(소재팀)","생산처")))</f>
        <v/>
      </c>
      <c r="U145" s="20" t="inlineStr">
        <is>
          <t>거림</t>
        </is>
      </c>
      <c r="V145" s="20">
        <f>IFERROR(TEXTJOIN(" / ",TRUE,UNIQUE(FILTER(소재DB_RAW!$K$3:$K$2000,(소재DB_RAW!$G$3:$G$2000=$D145)*ISERROR(SEARCH("drop",소재DB_RAW!$C$3:$C$2000))))),"")</f>
        <v/>
      </c>
      <c r="W145" s="20" t="inlineStr">
        <is>
          <t>베트남</t>
        </is>
      </c>
      <c r="X145" s="20">
        <f>IFERROR(TEXTJOIN(" / ",TRUE,UNIQUE(FILTER(소재DB_RAW!$N$3:$N$2000,(소재DB_RAW!$G$3:$G$2000=$D145)*ISERROR(SEARCH("drop",소재DB_RAW!$C$3:$C$2000))))),"")</f>
        <v/>
      </c>
      <c r="Y145" s="26">
        <f>IFERROR(TEXTJOIN(CHAR(10),TRUE,UNIQUE(FILTER(소재DB_RAW!$N$3:$N$2000&amp;") "&amp;소재DB_RAW!$O$3:$O$2000,(소재DB_RAW!$G$3:$G$2000=$D145)*ISNUMBER(SEARCH("겉감",소재DB_RAW!$M$3:$M$2000))*ISERROR(SEARCH("drop",소재DB_RAW!$C$3:$C$2000))))),"")</f>
        <v/>
      </c>
      <c r="Z145" s="26">
        <f>IFERROR(TEXTJOIN(CHAR(10),TRUE,UNIQUE(FILTER(소재DB_RAW!$N$3:$N$2000&amp;") "&amp;소재DB_RAW!$O$3:$O$2000,(소재DB_RAW!$G$3:$G$2000=$D145)*ISNUMBER(SEARCH("안감",소재DB_RAW!$M$3:$M$2000))*ISERROR(SEARCH("drop",소재DB_RAW!$C$3:$C$2000))))),"")</f>
        <v/>
      </c>
      <c r="AA145" s="27" t="n">
        <v>6000</v>
      </c>
      <c r="AB145" s="27" t="n">
        <v>142842000</v>
      </c>
      <c r="AC145" s="27" t="n">
        <v>888000000</v>
      </c>
      <c r="AD145" s="20" t="n"/>
      <c r="AE145" s="20">
        <f>IF($K145="","출고일 미정",IF($Q145="X","작지 미발행",IF($Q145="부분","작지 일부 미발행",IF(AND($S145&lt;&gt;"",$S145&gt;$N145),"소재입고 마감("&amp;TEXT($N145,"MM/DD")&amp;") 초과",IF($Q145="","발행여부 확인 필요",IF($S145="","소재 입고일정 확인 필요","정상"))))))</f>
        <v/>
      </c>
      <c r="AF145" s="19">
        <f>IF($K145="","",IF(OR(LEFT($AE145,2)="작지",LEFT($AE145,4)="소재입고"),IF(LEFT($G145,1)="S","★ 납기위험(S코드)","◆ 지연주의"),IF($AE145="정상","✓ 정상","? 확인필요")))</f>
        <v/>
      </c>
      <c r="AG145" s="21" t="n"/>
      <c r="AH145" s="28" t="n"/>
    </row>
    <row r="146">
      <c r="A146" s="19" t="n">
        <v>142</v>
      </c>
      <c r="B146" s="20" t="inlineStr">
        <is>
          <t>문도혁</t>
        </is>
      </c>
      <c r="C146" s="20" t="inlineStr">
        <is>
          <t>정희영</t>
        </is>
      </c>
      <c r="D146" s="20" t="inlineStr">
        <is>
          <t>TLPOM27501</t>
        </is>
      </c>
      <c r="E146" s="20" t="inlineStr">
        <is>
          <t>하절 남성 시어서커 쇼츠 (SET-UP)</t>
        </is>
      </c>
      <c r="F146" s="20" t="inlineStr">
        <is>
          <t>LBL(L/BLUE), DNA(D/NAVY)</t>
        </is>
      </c>
      <c r="G146" s="19">
        <f>IF($D146="","",IF(MID($D146,5,1)="S","S(봄)",IF(MID($D146,5,1)="M","M(여름)",IF(MID($D146,5,1)="X","X(사계절)",MID($D146,5,1)))))</f>
        <v/>
      </c>
      <c r="H146" s="20" t="inlineStr">
        <is>
          <t>CMT</t>
        </is>
      </c>
      <c r="I146" s="19" t="inlineStr">
        <is>
          <t>m3</t>
        </is>
      </c>
      <c r="J146" s="21" t="inlineStr">
        <is>
          <t>3월4주</t>
        </is>
      </c>
      <c r="K146" s="22">
        <f>IF($J146="","",IFERROR(DATE(IF(VALUE(LEFT($J146,FIND("월",$J146)-1))&gt;=9,기준정보!$C$7-1,기준정보!$C$7),VALUE(LEFT($J146,FIND("월",$J146)-1)),1+7*(VALUE(SUBSTITUTE(MID($J146,FIND("월",$J146)+1,5),"주",""))-1)),""))</f>
        <v/>
      </c>
      <c r="L146" s="22">
        <f>IF($K146="","",IF(AND($K146-기준정보!$C$5&gt;=기준정보!$C$10,$K146-기준정보!$C$5&lt;=기준정보!$C$11),기준정보!$C$10-1,$K146-기준정보!$C$5))</f>
        <v/>
      </c>
      <c r="M146" s="23">
        <f>IF($L146="","",IF(OR(ISNUMBER(SEARCH("중국",$W146)),ISNUMBER(SEARCH("베트남",$W146))),MAX(0,MIN($L146,기준정보!$C$9)-MAX($L146-기준정보!$C$6,기준정보!$C$8)+1),IF(ISNUMBER(SEARCH("한국",$W146)),MAX(0,MIN($L146,기준정보!$C$11)-MAX($L146-기준정보!$C$6,기준정보!$C$10)+1),0)))</f>
        <v/>
      </c>
      <c r="N146" s="22">
        <f>IF($L146="","",$L146-기준정보!$C$6-$M146)</f>
        <v/>
      </c>
      <c r="O146" s="24">
        <f>IF($N146="","",$N146-기준정보!$C$4)</f>
        <v/>
      </c>
      <c r="P146" s="21" t="inlineStr">
        <is>
          <t>O</t>
        </is>
      </c>
      <c r="Q146" s="21" t="inlineStr">
        <is>
          <t>O</t>
        </is>
      </c>
      <c r="R146" s="19">
        <f>IF(COUNTIF(EDW_RAW!$A$2:$A$1500,$D146)=0,"",IF(COUNTIFS(EDW_RAW!$A$2:$A$1500,$D146,EDW_RAW!$U$2:$U$1500,"&lt;&gt;~",EDW_RAW!$U$2:$U$1500,"&lt;&gt;")=COUNTIF(EDW_RAW!$A$2:$A$1500,$D146),"O",IF(COUNTIFS(EDW_RAW!$A$2:$A$1500,$D146,EDW_RAW!$U$2:$U$1500,"&lt;&gt;~",EDW_RAW!$U$2:$U$1500,"&lt;&gt;")&gt;0,"부분","X")))</f>
        <v/>
      </c>
      <c r="S146" s="25" t="n"/>
      <c r="T146" s="20">
        <f>IF($H146="","",IF(AND(ISNUMBER(SEARCH("CMT",$H146)),OR(ISNUMBER(SEARCH("완사입",$H146)),ISNUMBER(SEARCH("ODM",$H146)))),"본사/생산처 혼재",IF(ISNUMBER(SEARCH("CMT",$H146)),"본사(소재팀)","생산처")))</f>
        <v/>
      </c>
      <c r="U146" s="20" t="inlineStr">
        <is>
          <t>거림</t>
        </is>
      </c>
      <c r="V146" s="20">
        <f>IFERROR(TEXTJOIN(" / ",TRUE,UNIQUE(FILTER(소재DB_RAW!$K$3:$K$2000,(소재DB_RAW!$G$3:$G$2000=$D146)*ISERROR(SEARCH("drop",소재DB_RAW!$C$3:$C$2000))))),"")</f>
        <v/>
      </c>
      <c r="W146" s="20" t="inlineStr">
        <is>
          <t>베트남</t>
        </is>
      </c>
      <c r="X146" s="20">
        <f>IFERROR(TEXTJOIN(" / ",TRUE,UNIQUE(FILTER(소재DB_RAW!$N$3:$N$2000,(소재DB_RAW!$G$3:$G$2000=$D146)*ISERROR(SEARCH("drop",소재DB_RAW!$C$3:$C$2000))))),"")</f>
        <v/>
      </c>
      <c r="Y146" s="26">
        <f>IFERROR(TEXTJOIN(CHAR(10),TRUE,UNIQUE(FILTER(소재DB_RAW!$N$3:$N$2000&amp;") "&amp;소재DB_RAW!$O$3:$O$2000,(소재DB_RAW!$G$3:$G$2000=$D146)*ISNUMBER(SEARCH("겉감",소재DB_RAW!$M$3:$M$2000))*ISERROR(SEARCH("drop",소재DB_RAW!$C$3:$C$2000))))),"")</f>
        <v/>
      </c>
      <c r="Z146" s="26">
        <f>IFERROR(TEXTJOIN(CHAR(10),TRUE,UNIQUE(FILTER(소재DB_RAW!$N$3:$N$2000&amp;") "&amp;소재DB_RAW!$O$3:$O$2000,(소재DB_RAW!$G$3:$G$2000=$D146)*ISNUMBER(SEARCH("안감",소재DB_RAW!$M$3:$M$2000))*ISERROR(SEARCH("drop",소재DB_RAW!$C$3:$C$2000))))),"")</f>
        <v/>
      </c>
      <c r="AA146" s="27" t="n">
        <v>2000</v>
      </c>
      <c r="AB146" s="27" t="n">
        <v>47624000</v>
      </c>
      <c r="AC146" s="27" t="n">
        <v>256000000</v>
      </c>
      <c r="AD146" s="20" t="n"/>
      <c r="AE146" s="20">
        <f>IF($K146="","출고일 미정",IF($Q146="X","작지 미발행",IF($Q146="부분","작지 일부 미발행",IF(AND($S146&lt;&gt;"",$S146&gt;$N146),"소재입고 마감("&amp;TEXT($N146,"MM/DD")&amp;") 초과",IF($Q146="","발행여부 확인 필요",IF($S146="","소재 입고일정 확인 필요","정상"))))))</f>
        <v/>
      </c>
      <c r="AF146" s="19">
        <f>IF($K146="","",IF(OR(LEFT($AE146,2)="작지",LEFT($AE146,4)="소재입고"),IF(LEFT($G146,1)="S","★ 납기위험(S코드)","◆ 지연주의"),IF($AE146="정상","✓ 정상","? 확인필요")))</f>
        <v/>
      </c>
      <c r="AG146" s="21" t="n"/>
      <c r="AH146" s="28" t="n"/>
    </row>
    <row r="147">
      <c r="A147" s="19" t="n">
        <v>143</v>
      </c>
      <c r="B147" s="20" t="inlineStr">
        <is>
          <t>문도혁</t>
        </is>
      </c>
      <c r="C147" s="20" t="inlineStr">
        <is>
          <t>정희영</t>
        </is>
      </c>
      <c r="D147" s="20" t="inlineStr">
        <is>
          <t>TLPOM27697</t>
        </is>
      </c>
      <c r="E147" s="20" t="inlineStr">
        <is>
          <t>하절 남성 데이팩 베이직 쇼츠</t>
        </is>
      </c>
      <c r="F147" s="20" t="inlineStr">
        <is>
          <t>LKH, RBU, BLK(BLACK)</t>
        </is>
      </c>
      <c r="G147" s="19">
        <f>IF($D147="","",IF(MID($D147,5,1)="S","S(봄)",IF(MID($D147,5,1)="M","M(여름)",IF(MID($D147,5,1)="X","X(사계절)",MID($D147,5,1)))))</f>
        <v/>
      </c>
      <c r="H147" s="20" t="inlineStr">
        <is>
          <t>CMT</t>
        </is>
      </c>
      <c r="I147" s="19" t="inlineStr">
        <is>
          <t>m1</t>
        </is>
      </c>
      <c r="J147" s="21" t="inlineStr">
        <is>
          <t>3월4주</t>
        </is>
      </c>
      <c r="K147" s="22">
        <f>IF($J147="","",IFERROR(DATE(IF(VALUE(LEFT($J147,FIND("월",$J147)-1))&gt;=9,기준정보!$C$7-1,기준정보!$C$7),VALUE(LEFT($J147,FIND("월",$J147)-1)),1+7*(VALUE(SUBSTITUTE(MID($J147,FIND("월",$J147)+1,5),"주",""))-1)),""))</f>
        <v/>
      </c>
      <c r="L147" s="22">
        <f>IF($K147="","",IF(AND($K147-기준정보!$C$5&gt;=기준정보!$C$10,$K147-기준정보!$C$5&lt;=기준정보!$C$11),기준정보!$C$10-1,$K147-기준정보!$C$5))</f>
        <v/>
      </c>
      <c r="M147" s="23">
        <f>IF($L147="","",IF(OR(ISNUMBER(SEARCH("중국",$W147)),ISNUMBER(SEARCH("베트남",$W147))),MAX(0,MIN($L147,기준정보!$C$9)-MAX($L147-기준정보!$C$6,기준정보!$C$8)+1),IF(ISNUMBER(SEARCH("한국",$W147)),MAX(0,MIN($L147,기준정보!$C$11)-MAX($L147-기준정보!$C$6,기준정보!$C$10)+1),0)))</f>
        <v/>
      </c>
      <c r="N147" s="22">
        <f>IF($L147="","",$L147-기준정보!$C$6-$M147)</f>
        <v/>
      </c>
      <c r="O147" s="24">
        <f>IF($N147="","",$N147-기준정보!$C$4)</f>
        <v/>
      </c>
      <c r="P147" s="21" t="inlineStr">
        <is>
          <t>O</t>
        </is>
      </c>
      <c r="Q147" s="21" t="inlineStr">
        <is>
          <t>O</t>
        </is>
      </c>
      <c r="R147" s="19">
        <f>IF(COUNTIF(EDW_RAW!$A$2:$A$1500,$D147)=0,"",IF(COUNTIFS(EDW_RAW!$A$2:$A$1500,$D147,EDW_RAW!$U$2:$U$1500,"&lt;&gt;~",EDW_RAW!$U$2:$U$1500,"&lt;&gt;")=COUNTIF(EDW_RAW!$A$2:$A$1500,$D147),"O",IF(COUNTIFS(EDW_RAW!$A$2:$A$1500,$D147,EDW_RAW!$U$2:$U$1500,"&lt;&gt;~",EDW_RAW!$U$2:$U$1500,"&lt;&gt;")&gt;0,"부분","X")))</f>
        <v/>
      </c>
      <c r="S147" s="25" t="n"/>
      <c r="T147" s="20">
        <f>IF($H147="","",IF(AND(ISNUMBER(SEARCH("CMT",$H147)),OR(ISNUMBER(SEARCH("완사입",$H147)),ISNUMBER(SEARCH("ODM",$H147)))),"본사/생산처 혼재",IF(ISNUMBER(SEARCH("CMT",$H147)),"본사(소재팀)","생산처")))</f>
        <v/>
      </c>
      <c r="U147" s="20" t="inlineStr">
        <is>
          <t>TBO</t>
        </is>
      </c>
      <c r="V147" s="20">
        <f>IFERROR(TEXTJOIN(" / ",TRUE,UNIQUE(FILTER(소재DB_RAW!$K$3:$K$2000,(소재DB_RAW!$G$3:$G$2000=$D147)*ISERROR(SEARCH("drop",소재DB_RAW!$C$3:$C$2000))))),"")</f>
        <v/>
      </c>
      <c r="W147" s="20" t="inlineStr">
        <is>
          <t>베트남</t>
        </is>
      </c>
      <c r="X147" s="20">
        <f>IFERROR(TEXTJOIN(" / ",TRUE,UNIQUE(FILTER(소재DB_RAW!$N$3:$N$2000,(소재DB_RAW!$G$3:$G$2000=$D147)*ISERROR(SEARCH("drop",소재DB_RAW!$C$3:$C$2000))))),"")</f>
        <v/>
      </c>
      <c r="Y147" s="26">
        <f>IFERROR(TEXTJOIN(CHAR(10),TRUE,UNIQUE(FILTER(소재DB_RAW!$N$3:$N$2000&amp;") "&amp;소재DB_RAW!$O$3:$O$2000,(소재DB_RAW!$G$3:$G$2000=$D147)*ISNUMBER(SEARCH("겉감",소재DB_RAW!$M$3:$M$2000))*ISERROR(SEARCH("drop",소재DB_RAW!$C$3:$C$2000))))),"")</f>
        <v/>
      </c>
      <c r="Z147" s="26">
        <f>IFERROR(TEXTJOIN(CHAR(10),TRUE,UNIQUE(FILTER(소재DB_RAW!$N$3:$N$2000&amp;") "&amp;소재DB_RAW!$O$3:$O$2000,(소재DB_RAW!$G$3:$G$2000=$D147)*ISNUMBER(SEARCH("안감",소재DB_RAW!$M$3:$M$2000))*ISERROR(SEARCH("drop",소재DB_RAW!$C$3:$C$2000))))),"")</f>
        <v/>
      </c>
      <c r="AA147" s="27" t="n">
        <v>14000</v>
      </c>
      <c r="AB147" s="27" t="n">
        <v>277676000</v>
      </c>
      <c r="AC147" s="27" t="n">
        <v>1232000000</v>
      </c>
      <c r="AD147" s="20" t="n"/>
      <c r="AE147" s="20">
        <f>IF($K147="","출고일 미정",IF($Q147="X","작지 미발행",IF($Q147="부분","작지 일부 미발행",IF(AND($S147&lt;&gt;"",$S147&gt;$N147),"소재입고 마감("&amp;TEXT($N147,"MM/DD")&amp;") 초과",IF($Q147="","발행여부 확인 필요",IF($S147="","소재 입고일정 확인 필요","정상"))))))</f>
        <v/>
      </c>
      <c r="AF147" s="19">
        <f>IF($K147="","",IF(OR(LEFT($AE147,2)="작지",LEFT($AE147,4)="소재입고"),IF(LEFT($G147,1)="S","★ 납기위험(S코드)","◆ 지연주의"),IF($AE147="정상","✓ 정상","? 확인필요")))</f>
        <v/>
      </c>
      <c r="AG147" s="21" t="n"/>
      <c r="AH147" s="28" t="n"/>
    </row>
    <row r="148">
      <c r="A148" s="19" t="n">
        <v>144</v>
      </c>
      <c r="B148" s="20" t="inlineStr">
        <is>
          <t>문도혁</t>
        </is>
      </c>
      <c r="C148" s="20" t="inlineStr">
        <is>
          <t>정희영</t>
        </is>
      </c>
      <c r="D148" s="20" t="inlineStr">
        <is>
          <t>TLPOM27699</t>
        </is>
      </c>
      <c r="E148" s="20" t="inlineStr">
        <is>
          <t>하절 남성 데이팩 카고 쇼츠</t>
        </is>
      </c>
      <c r="F148" s="20" t="inlineStr">
        <is>
          <t>BEI(BEIGE), BLK(BLACK)</t>
        </is>
      </c>
      <c r="G148" s="19">
        <f>IF($D148="","",IF(MID($D148,5,1)="S","S(봄)",IF(MID($D148,5,1)="M","M(여름)",IF(MID($D148,5,1)="X","X(사계절)",MID($D148,5,1)))))</f>
        <v/>
      </c>
      <c r="H148" s="20" t="inlineStr">
        <is>
          <t>CMT</t>
        </is>
      </c>
      <c r="I148" s="19" t="inlineStr">
        <is>
          <t>m1</t>
        </is>
      </c>
      <c r="J148" s="21" t="inlineStr">
        <is>
          <t>3월4주</t>
        </is>
      </c>
      <c r="K148" s="22">
        <f>IF($J148="","",IFERROR(DATE(IF(VALUE(LEFT($J148,FIND("월",$J148)-1))&gt;=9,기준정보!$C$7-1,기준정보!$C$7),VALUE(LEFT($J148,FIND("월",$J148)-1)),1+7*(VALUE(SUBSTITUTE(MID($J148,FIND("월",$J148)+1,5),"주",""))-1)),""))</f>
        <v/>
      </c>
      <c r="L148" s="22">
        <f>IF($K148="","",IF(AND($K148-기준정보!$C$5&gt;=기준정보!$C$10,$K148-기준정보!$C$5&lt;=기준정보!$C$11),기준정보!$C$10-1,$K148-기준정보!$C$5))</f>
        <v/>
      </c>
      <c r="M148" s="23">
        <f>IF($L148="","",IF(OR(ISNUMBER(SEARCH("중국",$W148)),ISNUMBER(SEARCH("베트남",$W148))),MAX(0,MIN($L148,기준정보!$C$9)-MAX($L148-기준정보!$C$6,기준정보!$C$8)+1),IF(ISNUMBER(SEARCH("한국",$W148)),MAX(0,MIN($L148,기준정보!$C$11)-MAX($L148-기준정보!$C$6,기준정보!$C$10)+1),0)))</f>
        <v/>
      </c>
      <c r="N148" s="22">
        <f>IF($L148="","",$L148-기준정보!$C$6-$M148)</f>
        <v/>
      </c>
      <c r="O148" s="24">
        <f>IF($N148="","",$N148-기준정보!$C$4)</f>
        <v/>
      </c>
      <c r="P148" s="21" t="inlineStr">
        <is>
          <t>O</t>
        </is>
      </c>
      <c r="Q148" s="21" t="inlineStr">
        <is>
          <t>O</t>
        </is>
      </c>
      <c r="R148" s="19">
        <f>IF(COUNTIF(EDW_RAW!$A$2:$A$1500,$D148)=0,"",IF(COUNTIFS(EDW_RAW!$A$2:$A$1500,$D148,EDW_RAW!$U$2:$U$1500,"&lt;&gt;~",EDW_RAW!$U$2:$U$1500,"&lt;&gt;")=COUNTIF(EDW_RAW!$A$2:$A$1500,$D148),"O",IF(COUNTIFS(EDW_RAW!$A$2:$A$1500,$D148,EDW_RAW!$U$2:$U$1500,"&lt;&gt;~",EDW_RAW!$U$2:$U$1500,"&lt;&gt;")&gt;0,"부분","X")))</f>
        <v/>
      </c>
      <c r="S148" s="25" t="n"/>
      <c r="T148" s="20">
        <f>IF($H148="","",IF(AND(ISNUMBER(SEARCH("CMT",$H148)),OR(ISNUMBER(SEARCH("완사입",$H148)),ISNUMBER(SEARCH("ODM",$H148)))),"본사/생산처 혼재",IF(ISNUMBER(SEARCH("CMT",$H148)),"본사(소재팀)","생산처")))</f>
        <v/>
      </c>
      <c r="U148" s="20" t="inlineStr">
        <is>
          <t>TBO</t>
        </is>
      </c>
      <c r="V148" s="20">
        <f>IFERROR(TEXTJOIN(" / ",TRUE,UNIQUE(FILTER(소재DB_RAW!$K$3:$K$2000,(소재DB_RAW!$G$3:$G$2000=$D148)*ISERROR(SEARCH("drop",소재DB_RAW!$C$3:$C$2000))))),"")</f>
        <v/>
      </c>
      <c r="W148" s="20" t="inlineStr">
        <is>
          <t>베트남</t>
        </is>
      </c>
      <c r="X148" s="20">
        <f>IFERROR(TEXTJOIN(" / ",TRUE,UNIQUE(FILTER(소재DB_RAW!$N$3:$N$2000,(소재DB_RAW!$G$3:$G$2000=$D148)*ISERROR(SEARCH("drop",소재DB_RAW!$C$3:$C$2000))))),"")</f>
        <v/>
      </c>
      <c r="Y148" s="26">
        <f>IFERROR(TEXTJOIN(CHAR(10),TRUE,UNIQUE(FILTER(소재DB_RAW!$N$3:$N$2000&amp;") "&amp;소재DB_RAW!$O$3:$O$2000,(소재DB_RAW!$G$3:$G$2000=$D148)*ISNUMBER(SEARCH("겉감",소재DB_RAW!$M$3:$M$2000))*ISERROR(SEARCH("drop",소재DB_RAW!$C$3:$C$2000))))),"")</f>
        <v/>
      </c>
      <c r="Z148" s="26">
        <f>IFERROR(TEXTJOIN(CHAR(10),TRUE,UNIQUE(FILTER(소재DB_RAW!$N$3:$N$2000&amp;") "&amp;소재DB_RAW!$O$3:$O$2000,(소재DB_RAW!$G$3:$G$2000=$D148)*ISNUMBER(SEARCH("안감",소재DB_RAW!$M$3:$M$2000))*ISERROR(SEARCH("drop",소재DB_RAW!$C$3:$C$2000))))),"")</f>
        <v/>
      </c>
      <c r="AA148" s="27" t="n">
        <v>5500</v>
      </c>
      <c r="AB148" s="27" t="n">
        <v>115170000</v>
      </c>
      <c r="AC148" s="27" t="n">
        <v>594000000</v>
      </c>
      <c r="AD148" s="20" t="n"/>
      <c r="AE148" s="20">
        <f>IF($K148="","출고일 미정",IF($Q148="X","작지 미발행",IF($Q148="부분","작지 일부 미발행",IF(AND($S148&lt;&gt;"",$S148&gt;$N148),"소재입고 마감("&amp;TEXT($N148,"MM/DD")&amp;") 초과",IF($Q148="","발행여부 확인 필요",IF($S148="","소재 입고일정 확인 필요","정상"))))))</f>
        <v/>
      </c>
      <c r="AF148" s="19">
        <f>IF($K148="","",IF(OR(LEFT($AE148,2)="작지",LEFT($AE148,4)="소재입고"),IF(LEFT($G148,1)="S","★ 납기위험(S코드)","◆ 지연주의"),IF($AE148="정상","✓ 정상","? 확인필요")))</f>
        <v/>
      </c>
      <c r="AG148" s="21" t="n"/>
      <c r="AH148" s="28" t="n"/>
    </row>
    <row r="149">
      <c r="A149" s="19" t="n">
        <v>145</v>
      </c>
      <c r="B149" s="20" t="inlineStr">
        <is>
          <t>문도혁</t>
        </is>
      </c>
      <c r="C149" s="20" t="inlineStr">
        <is>
          <t>서은미</t>
        </is>
      </c>
      <c r="D149" s="20" t="inlineStr">
        <is>
          <t>TLSCM27693</t>
        </is>
      </c>
      <c r="E149" s="20" t="inlineStr">
        <is>
          <t>하절 남성 데이팩 베이직 셔츠</t>
        </is>
      </c>
      <c r="F149" s="20" t="inlineStr">
        <is>
          <t>GRI(GREIGE), BLK(BLACK), BEI(BEIGE)</t>
        </is>
      </c>
      <c r="G149" s="19">
        <f>IF($D149="","",IF(MID($D149,5,1)="S","S(봄)",IF(MID($D149,5,1)="M","M(여름)",IF(MID($D149,5,1)="X","X(사계절)",MID($D149,5,1)))))</f>
        <v/>
      </c>
      <c r="H149" s="20" t="inlineStr">
        <is>
          <t>완사입</t>
        </is>
      </c>
      <c r="I149" s="19" t="inlineStr">
        <is>
          <t>m1</t>
        </is>
      </c>
      <c r="J149" s="21" t="inlineStr">
        <is>
          <t>3월4주</t>
        </is>
      </c>
      <c r="K149" s="22">
        <f>IF($J149="","",IFERROR(DATE(IF(VALUE(LEFT($J149,FIND("월",$J149)-1))&gt;=9,기준정보!$C$7-1,기준정보!$C$7),VALUE(LEFT($J149,FIND("월",$J149)-1)),1+7*(VALUE(SUBSTITUTE(MID($J149,FIND("월",$J149)+1,5),"주",""))-1)),""))</f>
        <v/>
      </c>
      <c r="L149" s="22">
        <f>IF($K149="","",IF(AND($K149-기준정보!$C$5&gt;=기준정보!$C$10,$K149-기준정보!$C$5&lt;=기준정보!$C$11),기준정보!$C$10-1,$K149-기준정보!$C$5))</f>
        <v/>
      </c>
      <c r="M149" s="23">
        <f>IF($L149="","",IF(OR(ISNUMBER(SEARCH("중국",$W149)),ISNUMBER(SEARCH("베트남",$W149))),MAX(0,MIN($L149,기준정보!$C$9)-MAX($L149-기준정보!$C$6,기준정보!$C$8)+1),IF(ISNUMBER(SEARCH("한국",$W149)),MAX(0,MIN($L149,기준정보!$C$11)-MAX($L149-기준정보!$C$6,기준정보!$C$10)+1),0)))</f>
        <v/>
      </c>
      <c r="N149" s="22">
        <f>IF($L149="","",$L149-기준정보!$C$6-$M149)</f>
        <v/>
      </c>
      <c r="O149" s="24">
        <f>IF($N149="","",$N149-기준정보!$C$4)</f>
        <v/>
      </c>
      <c r="P149" s="21" t="inlineStr">
        <is>
          <t>O</t>
        </is>
      </c>
      <c r="Q149" s="21" t="inlineStr">
        <is>
          <t>O</t>
        </is>
      </c>
      <c r="R149" s="19">
        <f>IF(COUNTIF(EDW_RAW!$A$2:$A$1500,$D149)=0,"",IF(COUNTIFS(EDW_RAW!$A$2:$A$1500,$D149,EDW_RAW!$U$2:$U$1500,"&lt;&gt;~",EDW_RAW!$U$2:$U$1500,"&lt;&gt;")=COUNTIF(EDW_RAW!$A$2:$A$1500,$D149),"O",IF(COUNTIFS(EDW_RAW!$A$2:$A$1500,$D149,EDW_RAW!$U$2:$U$1500,"&lt;&gt;~",EDW_RAW!$U$2:$U$1500,"&lt;&gt;")&gt;0,"부분","X")))</f>
        <v/>
      </c>
      <c r="S149" s="25" t="n"/>
      <c r="T149" s="20">
        <f>IF($H149="","",IF(AND(ISNUMBER(SEARCH("CMT",$H149)),OR(ISNUMBER(SEARCH("완사입",$H149)),ISNUMBER(SEARCH("ODM",$H149)))),"본사/생산처 혼재",IF(ISNUMBER(SEARCH("CMT",$H149)),"본사(소재팀)","생산처")))</f>
        <v/>
      </c>
      <c r="U149" s="20" t="inlineStr">
        <is>
          <t>성원</t>
        </is>
      </c>
      <c r="V149" s="20">
        <f>IFERROR(TEXTJOIN(" / ",TRUE,UNIQUE(FILTER(소재DB_RAW!$K$3:$K$2000,(소재DB_RAW!$G$3:$G$2000=$D149)*ISERROR(SEARCH("drop",소재DB_RAW!$C$3:$C$2000))))),"")</f>
        <v/>
      </c>
      <c r="W149" s="20" t="inlineStr">
        <is>
          <t>베트남</t>
        </is>
      </c>
      <c r="X149" s="20">
        <f>IFERROR(TEXTJOIN(" / ",TRUE,UNIQUE(FILTER(소재DB_RAW!$N$3:$N$2000,(소재DB_RAW!$G$3:$G$2000=$D149)*ISERROR(SEARCH("drop",소재DB_RAW!$C$3:$C$2000))))),"")</f>
        <v/>
      </c>
      <c r="Y149" s="26">
        <f>IFERROR(TEXTJOIN(CHAR(10),TRUE,UNIQUE(FILTER(소재DB_RAW!$N$3:$N$2000&amp;") "&amp;소재DB_RAW!$O$3:$O$2000,(소재DB_RAW!$G$3:$G$2000=$D149)*ISNUMBER(SEARCH("겉감",소재DB_RAW!$M$3:$M$2000))*ISERROR(SEARCH("drop",소재DB_RAW!$C$3:$C$2000))))),"")</f>
        <v/>
      </c>
      <c r="Z149" s="26">
        <f>IFERROR(TEXTJOIN(CHAR(10),TRUE,UNIQUE(FILTER(소재DB_RAW!$N$3:$N$2000&amp;") "&amp;소재DB_RAW!$O$3:$O$2000,(소재DB_RAW!$G$3:$G$2000=$D149)*ISNUMBER(SEARCH("안감",소재DB_RAW!$M$3:$M$2000))*ISERROR(SEARCH("drop",소재DB_RAW!$C$3:$C$2000))))),"")</f>
        <v/>
      </c>
      <c r="AA149" s="27" t="n">
        <v>2800</v>
      </c>
      <c r="AB149" s="27" t="n">
        <v>79357600</v>
      </c>
      <c r="AC149" s="27" t="n">
        <v>414400000</v>
      </c>
      <c r="AD149" s="20" t="n"/>
      <c r="AE149" s="20">
        <f>IF($K149="","출고일 미정",IF($Q149="X","작지 미발행",IF($Q149="부분","작지 일부 미발행",IF(AND($S149&lt;&gt;"",$S149&gt;$N149),"소재입고 마감("&amp;TEXT($N149,"MM/DD")&amp;") 초과",IF($Q149="","발행여부 확인 필요",IF($S149="","소재 입고일정 확인 필요","정상"))))))</f>
        <v/>
      </c>
      <c r="AF149" s="19">
        <f>IF($K149="","",IF(OR(LEFT($AE149,2)="작지",LEFT($AE149,4)="소재입고"),IF(LEFT($G149,1)="S","★ 납기위험(S코드)","◆ 지연주의"),IF($AE149="정상","✓ 정상","? 확인필요")))</f>
        <v/>
      </c>
      <c r="AG149" s="21" t="n"/>
      <c r="AH149" s="28" t="n"/>
    </row>
    <row r="150">
      <c r="A150" s="19" t="n">
        <v>146</v>
      </c>
      <c r="B150" s="20" t="inlineStr">
        <is>
          <t>문도혁</t>
        </is>
      </c>
      <c r="C150" s="20" t="inlineStr">
        <is>
          <t>서은미</t>
        </is>
      </c>
      <c r="D150" s="20" t="inlineStr">
        <is>
          <t>TLTCM27691</t>
        </is>
      </c>
      <c r="E150" s="20" t="inlineStr">
        <is>
          <t>하절 남녀공용 데이팩 티셔츠</t>
        </is>
      </c>
      <c r="F150" s="20" t="inlineStr">
        <is>
          <t>GRI(GREIGE), LKH, BLK(BLACK)</t>
        </is>
      </c>
      <c r="G150" s="19">
        <f>IF($D150="","",IF(MID($D150,5,1)="S","S(봄)",IF(MID($D150,5,1)="M","M(여름)",IF(MID($D150,5,1)="X","X(사계절)",MID($D150,5,1)))))</f>
        <v/>
      </c>
      <c r="H150" s="20" t="inlineStr">
        <is>
          <t>완사입</t>
        </is>
      </c>
      <c r="I150" s="19" t="inlineStr">
        <is>
          <t>m1</t>
        </is>
      </c>
      <c r="J150" s="21" t="inlineStr">
        <is>
          <t>3월4주</t>
        </is>
      </c>
      <c r="K150" s="22">
        <f>IF($J150="","",IFERROR(DATE(IF(VALUE(LEFT($J150,FIND("월",$J150)-1))&gt;=9,기준정보!$C$7-1,기준정보!$C$7),VALUE(LEFT($J150,FIND("월",$J150)-1)),1+7*(VALUE(SUBSTITUTE(MID($J150,FIND("월",$J150)+1,5),"주",""))-1)),""))</f>
        <v/>
      </c>
      <c r="L150" s="22">
        <f>IF($K150="","",IF(AND($K150-기준정보!$C$5&gt;=기준정보!$C$10,$K150-기준정보!$C$5&lt;=기준정보!$C$11),기준정보!$C$10-1,$K150-기준정보!$C$5))</f>
        <v/>
      </c>
      <c r="M150" s="23">
        <f>IF($L150="","",IF(OR(ISNUMBER(SEARCH("중국",$W150)),ISNUMBER(SEARCH("베트남",$W150))),MAX(0,MIN($L150,기준정보!$C$9)-MAX($L150-기준정보!$C$6,기준정보!$C$8)+1),IF(ISNUMBER(SEARCH("한국",$W150)),MAX(0,MIN($L150,기준정보!$C$11)-MAX($L150-기준정보!$C$6,기준정보!$C$10)+1),0)))</f>
        <v/>
      </c>
      <c r="N150" s="22">
        <f>IF($L150="","",$L150-기준정보!$C$6-$M150)</f>
        <v/>
      </c>
      <c r="O150" s="24">
        <f>IF($N150="","",$N150-기준정보!$C$4)</f>
        <v/>
      </c>
      <c r="P150" s="21" t="inlineStr">
        <is>
          <t>O</t>
        </is>
      </c>
      <c r="Q150" s="21" t="inlineStr">
        <is>
          <t>O</t>
        </is>
      </c>
      <c r="R150" s="19">
        <f>IF(COUNTIF(EDW_RAW!$A$2:$A$1500,$D150)=0,"",IF(COUNTIFS(EDW_RAW!$A$2:$A$1500,$D150,EDW_RAW!$U$2:$U$1500,"&lt;&gt;~",EDW_RAW!$U$2:$U$1500,"&lt;&gt;")=COUNTIF(EDW_RAW!$A$2:$A$1500,$D150),"O",IF(COUNTIFS(EDW_RAW!$A$2:$A$1500,$D150,EDW_RAW!$U$2:$U$1500,"&lt;&gt;~",EDW_RAW!$U$2:$U$1500,"&lt;&gt;")&gt;0,"부분","X")))</f>
        <v/>
      </c>
      <c r="S150" s="25" t="n"/>
      <c r="T150" s="20">
        <f>IF($H150="","",IF(AND(ISNUMBER(SEARCH("CMT",$H150)),OR(ISNUMBER(SEARCH("완사입",$H150)),ISNUMBER(SEARCH("ODM",$H150)))),"본사/생산처 혼재",IF(ISNUMBER(SEARCH("CMT",$H150)),"본사(소재팀)","생산처")))</f>
        <v/>
      </c>
      <c r="U150" s="20" t="inlineStr">
        <is>
          <t>IKG</t>
        </is>
      </c>
      <c r="V150" s="20">
        <f>IFERROR(TEXTJOIN(" / ",TRUE,UNIQUE(FILTER(소재DB_RAW!$K$3:$K$2000,(소재DB_RAW!$G$3:$G$2000=$D150)*ISERROR(SEARCH("drop",소재DB_RAW!$C$3:$C$2000))))),"")</f>
        <v/>
      </c>
      <c r="W150" s="20" t="inlineStr">
        <is>
          <t>베트남</t>
        </is>
      </c>
      <c r="X150" s="20">
        <f>IFERROR(TEXTJOIN(" / ",TRUE,UNIQUE(FILTER(소재DB_RAW!$N$3:$N$2000,(소재DB_RAW!$G$3:$G$2000=$D150)*ISERROR(SEARCH("drop",소재DB_RAW!$C$3:$C$2000))))),"")</f>
        <v/>
      </c>
      <c r="Y150" s="26">
        <f>IFERROR(TEXTJOIN(CHAR(10),TRUE,UNIQUE(FILTER(소재DB_RAW!$N$3:$N$2000&amp;") "&amp;소재DB_RAW!$O$3:$O$2000,(소재DB_RAW!$G$3:$G$2000=$D150)*ISNUMBER(SEARCH("겉감",소재DB_RAW!$M$3:$M$2000))*ISERROR(SEARCH("drop",소재DB_RAW!$C$3:$C$2000))))),"")</f>
        <v/>
      </c>
      <c r="Z150" s="26">
        <f>IFERROR(TEXTJOIN(CHAR(10),TRUE,UNIQUE(FILTER(소재DB_RAW!$N$3:$N$2000&amp;") "&amp;소재DB_RAW!$O$3:$O$2000,(소재DB_RAW!$G$3:$G$2000=$D150)*ISNUMBER(SEARCH("안감",소재DB_RAW!$M$3:$M$2000))*ISERROR(SEARCH("drop",소재DB_RAW!$C$3:$C$2000))))),"")</f>
        <v/>
      </c>
      <c r="AA150" s="27" t="n">
        <v>7700</v>
      </c>
      <c r="AB150" s="27" t="n">
        <v>173712000</v>
      </c>
      <c r="AC150" s="27" t="n">
        <v>754600000</v>
      </c>
      <c r="AD150" s="20" t="n"/>
      <c r="AE150" s="20">
        <f>IF($K150="","출고일 미정",IF($Q150="X","작지 미발행",IF($Q150="부분","작지 일부 미발행",IF(AND($S150&lt;&gt;"",$S150&gt;$N150),"소재입고 마감("&amp;TEXT($N150,"MM/DD")&amp;") 초과",IF($Q150="","발행여부 확인 필요",IF($S150="","소재 입고일정 확인 필요","정상"))))))</f>
        <v/>
      </c>
      <c r="AF150" s="19">
        <f>IF($K150="","",IF(OR(LEFT($AE150,2)="작지",LEFT($AE150,4)="소재입고"),IF(LEFT($G150,1)="S","★ 납기위험(S코드)","◆ 지연주의"),IF($AE150="정상","✓ 정상","? 확인필요")))</f>
        <v/>
      </c>
      <c r="AG150" s="21" t="n"/>
      <c r="AH150" s="28" t="n"/>
    </row>
    <row r="151">
      <c r="A151" s="19" t="n">
        <v>147</v>
      </c>
      <c r="B151" s="20" t="inlineStr">
        <is>
          <t>정영준</t>
        </is>
      </c>
      <c r="C151" s="20" t="inlineStr">
        <is>
          <t>서은미</t>
        </is>
      </c>
      <c r="D151" s="20" t="inlineStr">
        <is>
          <t>TVPNM27694</t>
        </is>
      </c>
      <c r="E151" s="20" t="inlineStr">
        <is>
          <t>하절 여성 데이팩 루즈 팬츠</t>
        </is>
      </c>
      <c r="F151" s="20" t="inlineStr">
        <is>
          <t>DNA(D/NAVY), LKH</t>
        </is>
      </c>
      <c r="G151" s="19">
        <f>IF($D151="","",IF(MID($D151,5,1)="S","S(봄)",IF(MID($D151,5,1)="M","M(여름)",IF(MID($D151,5,1)="X","X(사계절)",MID($D151,5,1)))))</f>
        <v/>
      </c>
      <c r="H151" s="20" t="inlineStr">
        <is>
          <t>CMT</t>
        </is>
      </c>
      <c r="I151" s="19" t="inlineStr"/>
      <c r="J151" s="21" t="inlineStr">
        <is>
          <t>3월4주</t>
        </is>
      </c>
      <c r="K151" s="22">
        <f>IF($J151="","",IFERROR(DATE(IF(VALUE(LEFT($J151,FIND("월",$J151)-1))&gt;=9,기준정보!$C$7-1,기준정보!$C$7),VALUE(LEFT($J151,FIND("월",$J151)-1)),1+7*(VALUE(SUBSTITUTE(MID($J151,FIND("월",$J151)+1,5),"주",""))-1)),""))</f>
        <v/>
      </c>
      <c r="L151" s="22">
        <f>IF($K151="","",IF(AND($K151-기준정보!$C$5&gt;=기준정보!$C$10,$K151-기준정보!$C$5&lt;=기준정보!$C$11),기준정보!$C$10-1,$K151-기준정보!$C$5))</f>
        <v/>
      </c>
      <c r="M151" s="23">
        <f>IF($L151="","",IF(OR(ISNUMBER(SEARCH("중국",$W151)),ISNUMBER(SEARCH("베트남",$W151))),MAX(0,MIN($L151,기준정보!$C$9)-MAX($L151-기준정보!$C$6,기준정보!$C$8)+1),IF(ISNUMBER(SEARCH("한국",$W151)),MAX(0,MIN($L151,기준정보!$C$11)-MAX($L151-기준정보!$C$6,기준정보!$C$10)+1),0)))</f>
        <v/>
      </c>
      <c r="N151" s="22">
        <f>IF($L151="","",$L151-기준정보!$C$6-$M151)</f>
        <v/>
      </c>
      <c r="O151" s="24">
        <f>IF($N151="","",$N151-기준정보!$C$4)</f>
        <v/>
      </c>
      <c r="P151" s="21" t="inlineStr">
        <is>
          <t>O</t>
        </is>
      </c>
      <c r="Q151" s="21" t="inlineStr">
        <is>
          <t>O</t>
        </is>
      </c>
      <c r="R151" s="19">
        <f>IF(COUNTIF(EDW_RAW!$A$2:$A$1500,$D151)=0,"",IF(COUNTIFS(EDW_RAW!$A$2:$A$1500,$D151,EDW_RAW!$U$2:$U$1500,"&lt;&gt;~",EDW_RAW!$U$2:$U$1500,"&lt;&gt;")=COUNTIF(EDW_RAW!$A$2:$A$1500,$D151),"O",IF(COUNTIFS(EDW_RAW!$A$2:$A$1500,$D151,EDW_RAW!$U$2:$U$1500,"&lt;&gt;~",EDW_RAW!$U$2:$U$1500,"&lt;&gt;")&gt;0,"부분","X")))</f>
        <v/>
      </c>
      <c r="S151" s="25" t="n"/>
      <c r="T151" s="20">
        <f>IF($H151="","",IF(AND(ISNUMBER(SEARCH("CMT",$H151)),OR(ISNUMBER(SEARCH("완사입",$H151)),ISNUMBER(SEARCH("ODM",$H151)))),"본사/생산처 혼재",IF(ISNUMBER(SEARCH("CMT",$H151)),"본사(소재팀)","생산처")))</f>
        <v/>
      </c>
      <c r="U151" s="20" t="inlineStr">
        <is>
          <t>TBO</t>
        </is>
      </c>
      <c r="V151" s="20">
        <f>IFERROR(TEXTJOIN(" / ",TRUE,UNIQUE(FILTER(소재DB_RAW!$K$3:$K$2000,(소재DB_RAW!$G$3:$G$2000=$D151)*ISERROR(SEARCH("drop",소재DB_RAW!$C$3:$C$2000))))),"")</f>
        <v/>
      </c>
      <c r="W151" s="20" t="inlineStr">
        <is>
          <t>베트남</t>
        </is>
      </c>
      <c r="X151" s="20">
        <f>IFERROR(TEXTJOIN(" / ",TRUE,UNIQUE(FILTER(소재DB_RAW!$N$3:$N$2000,(소재DB_RAW!$G$3:$G$2000=$D151)*ISERROR(SEARCH("drop",소재DB_RAW!$C$3:$C$2000))))),"")</f>
        <v/>
      </c>
      <c r="Y151" s="26">
        <f>IFERROR(TEXTJOIN(CHAR(10),TRUE,UNIQUE(FILTER(소재DB_RAW!$N$3:$N$2000&amp;") "&amp;소재DB_RAW!$O$3:$O$2000,(소재DB_RAW!$G$3:$G$2000=$D151)*ISNUMBER(SEARCH("겉감",소재DB_RAW!$M$3:$M$2000))*ISERROR(SEARCH("drop",소재DB_RAW!$C$3:$C$2000))))),"")</f>
        <v/>
      </c>
      <c r="Z151" s="26">
        <f>IFERROR(TEXTJOIN(CHAR(10),TRUE,UNIQUE(FILTER(소재DB_RAW!$N$3:$N$2000&amp;") "&amp;소재DB_RAW!$O$3:$O$2000,(소재DB_RAW!$G$3:$G$2000=$D151)*ISNUMBER(SEARCH("안감",소재DB_RAW!$M$3:$M$2000))*ISERROR(SEARCH("drop",소재DB_RAW!$C$3:$C$2000))))),"")</f>
        <v/>
      </c>
      <c r="AA151" s="27" t="n">
        <v>3500</v>
      </c>
      <c r="AB151" s="27" t="n">
        <v>95494000</v>
      </c>
      <c r="AC151" s="27" t="n">
        <v>553000000</v>
      </c>
      <c r="AD151" s="20" t="inlineStr">
        <is>
          <t>3월4주</t>
        </is>
      </c>
      <c r="AE151" s="20">
        <f>IF($K151="","출고일 미정",IF($Q151="X","작지 미발행",IF($Q151="부분","작지 일부 미발행",IF(AND($S151&lt;&gt;"",$S151&gt;$N151),"소재입고 마감("&amp;TEXT($N151,"MM/DD")&amp;") 초과",IF($Q151="","발행여부 확인 필요",IF($S151="","소재 입고일정 확인 필요","정상"))))))</f>
        <v/>
      </c>
      <c r="AF151" s="19">
        <f>IF($K151="","",IF(OR(LEFT($AE151,2)="작지",LEFT($AE151,4)="소재입고"),IF(LEFT($G151,1)="S","★ 납기위험(S코드)","◆ 지연주의"),IF($AE151="정상","✓ 정상","? 확인필요")))</f>
        <v/>
      </c>
      <c r="AG151" s="21" t="n"/>
      <c r="AH151" s="28" t="n"/>
    </row>
    <row r="152">
      <c r="A152" s="19" t="n">
        <v>148</v>
      </c>
      <c r="B152" s="20" t="inlineStr">
        <is>
          <t>정영준</t>
        </is>
      </c>
      <c r="C152" s="20" t="inlineStr">
        <is>
          <t>서은미</t>
        </is>
      </c>
      <c r="D152" s="20" t="inlineStr">
        <is>
          <t>TVPOM27692</t>
        </is>
      </c>
      <c r="E152" s="20" t="inlineStr">
        <is>
          <t>하절 여성 데이팩 롱 베이직 스커트</t>
        </is>
      </c>
      <c r="F152" s="20" t="inlineStr">
        <is>
          <t>DNA(D/NAVY), LKH</t>
        </is>
      </c>
      <c r="G152" s="19">
        <f>IF($D152="","",IF(MID($D152,5,1)="S","S(봄)",IF(MID($D152,5,1)="M","M(여름)",IF(MID($D152,5,1)="X","X(사계절)",MID($D152,5,1)))))</f>
        <v/>
      </c>
      <c r="H152" s="20" t="inlineStr">
        <is>
          <t>CMT</t>
        </is>
      </c>
      <c r="I152" s="19" t="inlineStr"/>
      <c r="J152" s="21" t="inlineStr">
        <is>
          <t>3월4주</t>
        </is>
      </c>
      <c r="K152" s="22">
        <f>IF($J152="","",IFERROR(DATE(IF(VALUE(LEFT($J152,FIND("월",$J152)-1))&gt;=9,기준정보!$C$7-1,기준정보!$C$7),VALUE(LEFT($J152,FIND("월",$J152)-1)),1+7*(VALUE(SUBSTITUTE(MID($J152,FIND("월",$J152)+1,5),"주",""))-1)),""))</f>
        <v/>
      </c>
      <c r="L152" s="22">
        <f>IF($K152="","",IF(AND($K152-기준정보!$C$5&gt;=기준정보!$C$10,$K152-기준정보!$C$5&lt;=기준정보!$C$11),기준정보!$C$10-1,$K152-기준정보!$C$5))</f>
        <v/>
      </c>
      <c r="M152" s="23">
        <f>IF($L152="","",IF(OR(ISNUMBER(SEARCH("중국",$W152)),ISNUMBER(SEARCH("베트남",$W152))),MAX(0,MIN($L152,기준정보!$C$9)-MAX($L152-기준정보!$C$6,기준정보!$C$8)+1),IF(ISNUMBER(SEARCH("한국",$W152)),MAX(0,MIN($L152,기준정보!$C$11)-MAX($L152-기준정보!$C$6,기준정보!$C$10)+1),0)))</f>
        <v/>
      </c>
      <c r="N152" s="22">
        <f>IF($L152="","",$L152-기준정보!$C$6-$M152)</f>
        <v/>
      </c>
      <c r="O152" s="24">
        <f>IF($N152="","",$N152-기준정보!$C$4)</f>
        <v/>
      </c>
      <c r="P152" s="21" t="inlineStr">
        <is>
          <t>O</t>
        </is>
      </c>
      <c r="Q152" s="21" t="inlineStr">
        <is>
          <t>O</t>
        </is>
      </c>
      <c r="R152" s="19">
        <f>IF(COUNTIF(EDW_RAW!$A$2:$A$1500,$D152)=0,"",IF(COUNTIFS(EDW_RAW!$A$2:$A$1500,$D152,EDW_RAW!$U$2:$U$1500,"&lt;&gt;~",EDW_RAW!$U$2:$U$1500,"&lt;&gt;")=COUNTIF(EDW_RAW!$A$2:$A$1500,$D152),"O",IF(COUNTIFS(EDW_RAW!$A$2:$A$1500,$D152,EDW_RAW!$U$2:$U$1500,"&lt;&gt;~",EDW_RAW!$U$2:$U$1500,"&lt;&gt;")&gt;0,"부분","X")))</f>
        <v/>
      </c>
      <c r="S152" s="25" t="n"/>
      <c r="T152" s="20">
        <f>IF($H152="","",IF(AND(ISNUMBER(SEARCH("CMT",$H152)),OR(ISNUMBER(SEARCH("완사입",$H152)),ISNUMBER(SEARCH("ODM",$H152)))),"본사/생산처 혼재",IF(ISNUMBER(SEARCH("CMT",$H152)),"본사(소재팀)","생산처")))</f>
        <v/>
      </c>
      <c r="U152" s="20" t="inlineStr">
        <is>
          <t>YIC</t>
        </is>
      </c>
      <c r="V152" s="20">
        <f>IFERROR(TEXTJOIN(" / ",TRUE,UNIQUE(FILTER(소재DB_RAW!$K$3:$K$2000,(소재DB_RAW!$G$3:$G$2000=$D152)*ISERROR(SEARCH("drop",소재DB_RAW!$C$3:$C$2000))))),"")</f>
        <v/>
      </c>
      <c r="W152" s="20" t="inlineStr">
        <is>
          <t>베트남</t>
        </is>
      </c>
      <c r="X152" s="20">
        <f>IFERROR(TEXTJOIN(" / ",TRUE,UNIQUE(FILTER(소재DB_RAW!$N$3:$N$2000,(소재DB_RAW!$G$3:$G$2000=$D152)*ISERROR(SEARCH("drop",소재DB_RAW!$C$3:$C$2000))))),"")</f>
        <v/>
      </c>
      <c r="Y152" s="26">
        <f>IFERROR(TEXTJOIN(CHAR(10),TRUE,UNIQUE(FILTER(소재DB_RAW!$N$3:$N$2000&amp;") "&amp;소재DB_RAW!$O$3:$O$2000,(소재DB_RAW!$G$3:$G$2000=$D152)*ISNUMBER(SEARCH("겉감",소재DB_RAW!$M$3:$M$2000))*ISERROR(SEARCH("drop",소재DB_RAW!$C$3:$C$2000))))),"")</f>
        <v/>
      </c>
      <c r="Z152" s="26">
        <f>IFERROR(TEXTJOIN(CHAR(10),TRUE,UNIQUE(FILTER(소재DB_RAW!$N$3:$N$2000&amp;") "&amp;소재DB_RAW!$O$3:$O$2000,(소재DB_RAW!$G$3:$G$2000=$D152)*ISNUMBER(SEARCH("안감",소재DB_RAW!$M$3:$M$2000))*ISERROR(SEARCH("drop",소재DB_RAW!$C$3:$C$2000))))),"")</f>
        <v/>
      </c>
      <c r="AA152" s="27" t="n">
        <v>2000</v>
      </c>
      <c r="AB152" s="27" t="n">
        <v>52978000</v>
      </c>
      <c r="AC152" s="27" t="n">
        <v>296000000</v>
      </c>
      <c r="AD152" s="20" t="inlineStr">
        <is>
          <t>3월4주</t>
        </is>
      </c>
      <c r="AE152" s="20">
        <f>IF($K152="","출고일 미정",IF($Q152="X","작지 미발행",IF($Q152="부분","작지 일부 미발행",IF(AND($S152&lt;&gt;"",$S152&gt;$N152),"소재입고 마감("&amp;TEXT($N152,"MM/DD")&amp;") 초과",IF($Q152="","발행여부 확인 필요",IF($S152="","소재 입고일정 확인 필요","정상"))))))</f>
        <v/>
      </c>
      <c r="AF152" s="19">
        <f>IF($K152="","",IF(OR(LEFT($AE152,2)="작지",LEFT($AE152,4)="소재입고"),IF(LEFT($G152,1)="S","★ 납기위험(S코드)","◆ 지연주의"),IF($AE152="정상","✓ 정상","? 확인필요")))</f>
        <v/>
      </c>
      <c r="AG152" s="21" t="n"/>
      <c r="AH152" s="28" t="n"/>
    </row>
    <row r="153">
      <c r="A153" s="19" t="n">
        <v>149</v>
      </c>
      <c r="B153" s="20" t="inlineStr">
        <is>
          <t>정영준</t>
        </is>
      </c>
      <c r="C153" s="20" t="inlineStr">
        <is>
          <t>서은미</t>
        </is>
      </c>
      <c r="D153" s="20" t="inlineStr">
        <is>
          <t>TVPOM27696</t>
        </is>
      </c>
      <c r="E153" s="20" t="inlineStr">
        <is>
          <t>하절 여성 데이팩 쇼츠</t>
        </is>
      </c>
      <c r="F153" s="20" t="inlineStr">
        <is>
          <t>BLK(BLACK), RBU, GRI(GREIGE)</t>
        </is>
      </c>
      <c r="G153" s="19">
        <f>IF($D153="","",IF(MID($D153,5,1)="S","S(봄)",IF(MID($D153,5,1)="M","M(여름)",IF(MID($D153,5,1)="X","X(사계절)",MID($D153,5,1)))))</f>
        <v/>
      </c>
      <c r="H153" s="20" t="inlineStr">
        <is>
          <t>CMT</t>
        </is>
      </c>
      <c r="I153" s="19" t="inlineStr"/>
      <c r="J153" s="21" t="inlineStr">
        <is>
          <t>3월4주</t>
        </is>
      </c>
      <c r="K153" s="22">
        <f>IF($J153="","",IFERROR(DATE(IF(VALUE(LEFT($J153,FIND("월",$J153)-1))&gt;=9,기준정보!$C$7-1,기준정보!$C$7),VALUE(LEFT($J153,FIND("월",$J153)-1)),1+7*(VALUE(SUBSTITUTE(MID($J153,FIND("월",$J153)+1,5),"주",""))-1)),""))</f>
        <v/>
      </c>
      <c r="L153" s="22">
        <f>IF($K153="","",IF(AND($K153-기준정보!$C$5&gt;=기준정보!$C$10,$K153-기준정보!$C$5&lt;=기준정보!$C$11),기준정보!$C$10-1,$K153-기준정보!$C$5))</f>
        <v/>
      </c>
      <c r="M153" s="23">
        <f>IF($L153="","",IF(OR(ISNUMBER(SEARCH("중국",$W153)),ISNUMBER(SEARCH("베트남",$W153))),MAX(0,MIN($L153,기준정보!$C$9)-MAX($L153-기준정보!$C$6,기준정보!$C$8)+1),IF(ISNUMBER(SEARCH("한국",$W153)),MAX(0,MIN($L153,기준정보!$C$11)-MAX($L153-기준정보!$C$6,기준정보!$C$10)+1),0)))</f>
        <v/>
      </c>
      <c r="N153" s="22">
        <f>IF($L153="","",$L153-기준정보!$C$6-$M153)</f>
        <v/>
      </c>
      <c r="O153" s="24">
        <f>IF($N153="","",$N153-기준정보!$C$4)</f>
        <v/>
      </c>
      <c r="P153" s="21" t="inlineStr">
        <is>
          <t>O</t>
        </is>
      </c>
      <c r="Q153" s="21" t="inlineStr">
        <is>
          <t>O</t>
        </is>
      </c>
      <c r="R153" s="19">
        <f>IF(COUNTIF(EDW_RAW!$A$2:$A$1500,$D153)=0,"",IF(COUNTIFS(EDW_RAW!$A$2:$A$1500,$D153,EDW_RAW!$U$2:$U$1500,"&lt;&gt;~",EDW_RAW!$U$2:$U$1500,"&lt;&gt;")=COUNTIF(EDW_RAW!$A$2:$A$1500,$D153),"O",IF(COUNTIFS(EDW_RAW!$A$2:$A$1500,$D153,EDW_RAW!$U$2:$U$1500,"&lt;&gt;~",EDW_RAW!$U$2:$U$1500,"&lt;&gt;")&gt;0,"부분","X")))</f>
        <v/>
      </c>
      <c r="S153" s="25" t="n"/>
      <c r="T153" s="20">
        <f>IF($H153="","",IF(AND(ISNUMBER(SEARCH("CMT",$H153)),OR(ISNUMBER(SEARCH("완사입",$H153)),ISNUMBER(SEARCH("ODM",$H153)))),"본사/생산처 혼재",IF(ISNUMBER(SEARCH("CMT",$H153)),"본사(소재팀)","생산처")))</f>
        <v/>
      </c>
      <c r="U153" s="20" t="inlineStr">
        <is>
          <t>TBO</t>
        </is>
      </c>
      <c r="V153" s="20">
        <f>IFERROR(TEXTJOIN(" / ",TRUE,UNIQUE(FILTER(소재DB_RAW!$K$3:$K$2000,(소재DB_RAW!$G$3:$G$2000=$D153)*ISERROR(SEARCH("drop",소재DB_RAW!$C$3:$C$2000))))),"")</f>
        <v/>
      </c>
      <c r="W153" s="20" t="inlineStr">
        <is>
          <t>베트남</t>
        </is>
      </c>
      <c r="X153" s="20">
        <f>IFERROR(TEXTJOIN(" / ",TRUE,UNIQUE(FILTER(소재DB_RAW!$N$3:$N$2000,(소재DB_RAW!$G$3:$G$2000=$D153)*ISERROR(SEARCH("drop",소재DB_RAW!$C$3:$C$2000))))),"")</f>
        <v/>
      </c>
      <c r="Y153" s="26">
        <f>IFERROR(TEXTJOIN(CHAR(10),TRUE,UNIQUE(FILTER(소재DB_RAW!$N$3:$N$2000&amp;") "&amp;소재DB_RAW!$O$3:$O$2000,(소재DB_RAW!$G$3:$G$2000=$D153)*ISNUMBER(SEARCH("겉감",소재DB_RAW!$M$3:$M$2000))*ISERROR(SEARCH("drop",소재DB_RAW!$C$3:$C$2000))))),"")</f>
        <v/>
      </c>
      <c r="Z153" s="26">
        <f>IFERROR(TEXTJOIN(CHAR(10),TRUE,UNIQUE(FILTER(소재DB_RAW!$N$3:$N$2000&amp;") "&amp;소재DB_RAW!$O$3:$O$2000,(소재DB_RAW!$G$3:$G$2000=$D153)*ISNUMBER(SEARCH("안감",소재DB_RAW!$M$3:$M$2000))*ISERROR(SEARCH("drop",소재DB_RAW!$C$3:$C$2000))))),"")</f>
        <v/>
      </c>
      <c r="AA153" s="27" t="n">
        <v>5500</v>
      </c>
      <c r="AB153" s="27" t="n">
        <v>112744500</v>
      </c>
      <c r="AC153" s="27" t="n">
        <v>484000000</v>
      </c>
      <c r="AD153" s="20" t="inlineStr">
        <is>
          <t>3월4주</t>
        </is>
      </c>
      <c r="AE153" s="20">
        <f>IF($K153="","출고일 미정",IF($Q153="X","작지 미발행",IF($Q153="부분","작지 일부 미발행",IF(AND($S153&lt;&gt;"",$S153&gt;$N153),"소재입고 마감("&amp;TEXT($N153,"MM/DD")&amp;") 초과",IF($Q153="","발행여부 확인 필요",IF($S153="","소재 입고일정 확인 필요","정상"))))))</f>
        <v/>
      </c>
      <c r="AF153" s="19">
        <f>IF($K153="","",IF(OR(LEFT($AE153,2)="작지",LEFT($AE153,4)="소재입고"),IF(LEFT($G153,1)="S","★ 납기위험(S코드)","◆ 지연주의"),IF($AE153="정상","✓ 정상","? 확인필요")))</f>
        <v/>
      </c>
      <c r="AG153" s="21" t="n"/>
      <c r="AH153" s="28" t="n"/>
    </row>
    <row r="154">
      <c r="A154" s="19" t="n">
        <v>150</v>
      </c>
      <c r="B154" s="20" t="inlineStr">
        <is>
          <t>정영준</t>
        </is>
      </c>
      <c r="C154" s="20" t="inlineStr">
        <is>
          <t>서은미</t>
        </is>
      </c>
      <c r="D154" s="20" t="inlineStr">
        <is>
          <t>TVPOM27698</t>
        </is>
      </c>
      <c r="E154" s="20" t="inlineStr">
        <is>
          <t>하절 여성 데이팩 카고 쇼츠</t>
        </is>
      </c>
      <c r="F154" s="20" t="inlineStr">
        <is>
          <t>BLK(BLACK), BEI(BEIGE), GRI(GREIGE)</t>
        </is>
      </c>
      <c r="G154" s="19">
        <f>IF($D154="","",IF(MID($D154,5,1)="S","S(봄)",IF(MID($D154,5,1)="M","M(여름)",IF(MID($D154,5,1)="X","X(사계절)",MID($D154,5,1)))))</f>
        <v/>
      </c>
      <c r="H154" s="20" t="inlineStr">
        <is>
          <t>CMT</t>
        </is>
      </c>
      <c r="I154" s="19" t="inlineStr"/>
      <c r="J154" s="21" t="inlineStr">
        <is>
          <t>3월4주</t>
        </is>
      </c>
      <c r="K154" s="22">
        <f>IF($J154="","",IFERROR(DATE(IF(VALUE(LEFT($J154,FIND("월",$J154)-1))&gt;=9,기준정보!$C$7-1,기준정보!$C$7),VALUE(LEFT($J154,FIND("월",$J154)-1)),1+7*(VALUE(SUBSTITUTE(MID($J154,FIND("월",$J154)+1,5),"주",""))-1)),""))</f>
        <v/>
      </c>
      <c r="L154" s="22">
        <f>IF($K154="","",IF(AND($K154-기준정보!$C$5&gt;=기준정보!$C$10,$K154-기준정보!$C$5&lt;=기준정보!$C$11),기준정보!$C$10-1,$K154-기준정보!$C$5))</f>
        <v/>
      </c>
      <c r="M154" s="23">
        <f>IF($L154="","",IF(OR(ISNUMBER(SEARCH("중국",$W154)),ISNUMBER(SEARCH("베트남",$W154))),MAX(0,MIN($L154,기준정보!$C$9)-MAX($L154-기준정보!$C$6,기준정보!$C$8)+1),IF(ISNUMBER(SEARCH("한국",$W154)),MAX(0,MIN($L154,기준정보!$C$11)-MAX($L154-기준정보!$C$6,기준정보!$C$10)+1),0)))</f>
        <v/>
      </c>
      <c r="N154" s="22">
        <f>IF($L154="","",$L154-기준정보!$C$6-$M154)</f>
        <v/>
      </c>
      <c r="O154" s="24">
        <f>IF($N154="","",$N154-기준정보!$C$4)</f>
        <v/>
      </c>
      <c r="P154" s="21" t="inlineStr">
        <is>
          <t>O</t>
        </is>
      </c>
      <c r="Q154" s="21" t="inlineStr">
        <is>
          <t>O</t>
        </is>
      </c>
      <c r="R154" s="19">
        <f>IF(COUNTIF(EDW_RAW!$A$2:$A$1500,$D154)=0,"",IF(COUNTIFS(EDW_RAW!$A$2:$A$1500,$D154,EDW_RAW!$U$2:$U$1500,"&lt;&gt;~",EDW_RAW!$U$2:$U$1500,"&lt;&gt;")=COUNTIF(EDW_RAW!$A$2:$A$1500,$D154),"O",IF(COUNTIFS(EDW_RAW!$A$2:$A$1500,$D154,EDW_RAW!$U$2:$U$1500,"&lt;&gt;~",EDW_RAW!$U$2:$U$1500,"&lt;&gt;")&gt;0,"부분","X")))</f>
        <v/>
      </c>
      <c r="S154" s="25" t="n"/>
      <c r="T154" s="20">
        <f>IF($H154="","",IF(AND(ISNUMBER(SEARCH("CMT",$H154)),OR(ISNUMBER(SEARCH("완사입",$H154)),ISNUMBER(SEARCH("ODM",$H154)))),"본사/생산처 혼재",IF(ISNUMBER(SEARCH("CMT",$H154)),"본사(소재팀)","생산처")))</f>
        <v/>
      </c>
      <c r="U154" s="20" t="inlineStr">
        <is>
          <t>TBO</t>
        </is>
      </c>
      <c r="V154" s="20">
        <f>IFERROR(TEXTJOIN(" / ",TRUE,UNIQUE(FILTER(소재DB_RAW!$K$3:$K$2000,(소재DB_RAW!$G$3:$G$2000=$D154)*ISERROR(SEARCH("drop",소재DB_RAW!$C$3:$C$2000))))),"")</f>
        <v/>
      </c>
      <c r="W154" s="20" t="inlineStr">
        <is>
          <t>베트남</t>
        </is>
      </c>
      <c r="X154" s="20">
        <f>IFERROR(TEXTJOIN(" / ",TRUE,UNIQUE(FILTER(소재DB_RAW!$N$3:$N$2000,(소재DB_RAW!$G$3:$G$2000=$D154)*ISERROR(SEARCH("drop",소재DB_RAW!$C$3:$C$2000))))),"")</f>
        <v/>
      </c>
      <c r="Y154" s="26">
        <f>IFERROR(TEXTJOIN(CHAR(10),TRUE,UNIQUE(FILTER(소재DB_RAW!$N$3:$N$2000&amp;") "&amp;소재DB_RAW!$O$3:$O$2000,(소재DB_RAW!$G$3:$G$2000=$D154)*ISNUMBER(SEARCH("겉감",소재DB_RAW!$M$3:$M$2000))*ISERROR(SEARCH("drop",소재DB_RAW!$C$3:$C$2000))))),"")</f>
        <v/>
      </c>
      <c r="Z154" s="26">
        <f>IFERROR(TEXTJOIN(CHAR(10),TRUE,UNIQUE(FILTER(소재DB_RAW!$N$3:$N$2000&amp;") "&amp;소재DB_RAW!$O$3:$O$2000,(소재DB_RAW!$G$3:$G$2000=$D154)*ISNUMBER(SEARCH("안감",소재DB_RAW!$M$3:$M$2000))*ISERROR(SEARCH("drop",소재DB_RAW!$C$3:$C$2000))))),"")</f>
        <v/>
      </c>
      <c r="AA154" s="27" t="n">
        <v>5200</v>
      </c>
      <c r="AB154" s="27" t="n">
        <v>93600000</v>
      </c>
      <c r="AC154" s="27" t="n">
        <v>509600000</v>
      </c>
      <c r="AD154" s="20" t="inlineStr">
        <is>
          <t>3월4주</t>
        </is>
      </c>
      <c r="AE154" s="20">
        <f>IF($K154="","출고일 미정",IF($Q154="X","작지 미발행",IF($Q154="부분","작지 일부 미발행",IF(AND($S154&lt;&gt;"",$S154&gt;$N154),"소재입고 마감("&amp;TEXT($N154,"MM/DD")&amp;") 초과",IF($Q154="","발행여부 확인 필요",IF($S154="","소재 입고일정 확인 필요","정상"))))))</f>
        <v/>
      </c>
      <c r="AF154" s="19">
        <f>IF($K154="","",IF(OR(LEFT($AE154,2)="작지",LEFT($AE154,4)="소재입고"),IF(LEFT($G154,1)="S","★ 납기위험(S코드)","◆ 지연주의"),IF($AE154="정상","✓ 정상","? 확인필요")))</f>
        <v/>
      </c>
      <c r="AG154" s="21" t="n"/>
      <c r="AH154" s="28" t="n"/>
    </row>
    <row r="155">
      <c r="A155" s="19" t="n">
        <v>151</v>
      </c>
      <c r="B155" s="20" t="inlineStr">
        <is>
          <t>정영준</t>
        </is>
      </c>
      <c r="C155" s="20" t="inlineStr">
        <is>
          <t>서은미</t>
        </is>
      </c>
      <c r="D155" s="20" t="inlineStr">
        <is>
          <t>TVSCM27692</t>
        </is>
      </c>
      <c r="E155" s="20" t="inlineStr">
        <is>
          <t>하절 여성 데이팩 반팔 셔츠</t>
        </is>
      </c>
      <c r="F155" s="20" t="inlineStr">
        <is>
          <t>BLK(BLACK), BEI-1</t>
        </is>
      </c>
      <c r="G155" s="19">
        <f>IF($D155="","",IF(MID($D155,5,1)="S","S(봄)",IF(MID($D155,5,1)="M","M(여름)",IF(MID($D155,5,1)="X","X(사계절)",MID($D155,5,1)))))</f>
        <v/>
      </c>
      <c r="H155" s="20" t="inlineStr">
        <is>
          <t>완사입</t>
        </is>
      </c>
      <c r="I155" s="19" t="inlineStr"/>
      <c r="J155" s="21" t="inlineStr">
        <is>
          <t>3월4주</t>
        </is>
      </c>
      <c r="K155" s="22">
        <f>IF($J155="","",IFERROR(DATE(IF(VALUE(LEFT($J155,FIND("월",$J155)-1))&gt;=9,기준정보!$C$7-1,기준정보!$C$7),VALUE(LEFT($J155,FIND("월",$J155)-1)),1+7*(VALUE(SUBSTITUTE(MID($J155,FIND("월",$J155)+1,5),"주",""))-1)),""))</f>
        <v/>
      </c>
      <c r="L155" s="22">
        <f>IF($K155="","",IF(AND($K155-기준정보!$C$5&gt;=기준정보!$C$10,$K155-기준정보!$C$5&lt;=기준정보!$C$11),기준정보!$C$10-1,$K155-기준정보!$C$5))</f>
        <v/>
      </c>
      <c r="M155" s="23">
        <f>IF($L155="","",IF(OR(ISNUMBER(SEARCH("중국",$W155)),ISNUMBER(SEARCH("베트남",$W155))),MAX(0,MIN($L155,기준정보!$C$9)-MAX($L155-기준정보!$C$6,기준정보!$C$8)+1),IF(ISNUMBER(SEARCH("한국",$W155)),MAX(0,MIN($L155,기준정보!$C$11)-MAX($L155-기준정보!$C$6,기준정보!$C$10)+1),0)))</f>
        <v/>
      </c>
      <c r="N155" s="22">
        <f>IF($L155="","",$L155-기준정보!$C$6-$M155)</f>
        <v/>
      </c>
      <c r="O155" s="24">
        <f>IF($N155="","",$N155-기준정보!$C$4)</f>
        <v/>
      </c>
      <c r="P155" s="21" t="inlineStr">
        <is>
          <t>O</t>
        </is>
      </c>
      <c r="Q155" s="21" t="inlineStr">
        <is>
          <t>O</t>
        </is>
      </c>
      <c r="R155" s="19">
        <f>IF(COUNTIF(EDW_RAW!$A$2:$A$1500,$D155)=0,"",IF(COUNTIFS(EDW_RAW!$A$2:$A$1500,$D155,EDW_RAW!$U$2:$U$1500,"&lt;&gt;~",EDW_RAW!$U$2:$U$1500,"&lt;&gt;")=COUNTIF(EDW_RAW!$A$2:$A$1500,$D155),"O",IF(COUNTIFS(EDW_RAW!$A$2:$A$1500,$D155,EDW_RAW!$U$2:$U$1500,"&lt;&gt;~",EDW_RAW!$U$2:$U$1500,"&lt;&gt;")&gt;0,"부분","X")))</f>
        <v/>
      </c>
      <c r="S155" s="25" t="n"/>
      <c r="T155" s="20">
        <f>IF($H155="","",IF(AND(ISNUMBER(SEARCH("CMT",$H155)),OR(ISNUMBER(SEARCH("완사입",$H155)),ISNUMBER(SEARCH("ODM",$H155)))),"본사/생산처 혼재",IF(ISNUMBER(SEARCH("CMT",$H155)),"본사(소재팀)","생산처")))</f>
        <v/>
      </c>
      <c r="U155" s="20" t="inlineStr">
        <is>
          <t>성원</t>
        </is>
      </c>
      <c r="V155" s="20">
        <f>IFERROR(TEXTJOIN(" / ",TRUE,UNIQUE(FILTER(소재DB_RAW!$K$3:$K$2000,(소재DB_RAW!$G$3:$G$2000=$D155)*ISERROR(SEARCH("drop",소재DB_RAW!$C$3:$C$2000))))),"")</f>
        <v/>
      </c>
      <c r="W155" s="20" t="inlineStr">
        <is>
          <t>베트남</t>
        </is>
      </c>
      <c r="X155" s="20">
        <f>IFERROR(TEXTJOIN(" / ",TRUE,UNIQUE(FILTER(소재DB_RAW!$N$3:$N$2000,(소재DB_RAW!$G$3:$G$2000=$D155)*ISERROR(SEARCH("drop",소재DB_RAW!$C$3:$C$2000))))),"")</f>
        <v/>
      </c>
      <c r="Y155" s="26">
        <f>IFERROR(TEXTJOIN(CHAR(10),TRUE,UNIQUE(FILTER(소재DB_RAW!$N$3:$N$2000&amp;") "&amp;소재DB_RAW!$O$3:$O$2000,(소재DB_RAW!$G$3:$G$2000=$D155)*ISNUMBER(SEARCH("겉감",소재DB_RAW!$M$3:$M$2000))*ISERROR(SEARCH("drop",소재DB_RAW!$C$3:$C$2000))))),"")</f>
        <v/>
      </c>
      <c r="Z155" s="26">
        <f>IFERROR(TEXTJOIN(CHAR(10),TRUE,UNIQUE(FILTER(소재DB_RAW!$N$3:$N$2000&amp;") "&amp;소재DB_RAW!$O$3:$O$2000,(소재DB_RAW!$G$3:$G$2000=$D155)*ISNUMBER(SEARCH("안감",소재DB_RAW!$M$3:$M$2000))*ISERROR(SEARCH("drop",소재DB_RAW!$C$3:$C$2000))))),"")</f>
        <v/>
      </c>
      <c r="AA155" s="27" t="n">
        <v>2100</v>
      </c>
      <c r="AB155" s="27" t="n">
        <v>56966700</v>
      </c>
      <c r="AC155" s="27" t="n">
        <v>310800000</v>
      </c>
      <c r="AD155" s="20" t="inlineStr">
        <is>
          <t>3월4주</t>
        </is>
      </c>
      <c r="AE155" s="20">
        <f>IF($K155="","출고일 미정",IF($Q155="X","작지 미발행",IF($Q155="부분","작지 일부 미발행",IF(AND($S155&lt;&gt;"",$S155&gt;$N155),"소재입고 마감("&amp;TEXT($N155,"MM/DD")&amp;") 초과",IF($Q155="","발행여부 확인 필요",IF($S155="","소재 입고일정 확인 필요","정상"))))))</f>
        <v/>
      </c>
      <c r="AF155" s="19">
        <f>IF($K155="","",IF(OR(LEFT($AE155,2)="작지",LEFT($AE155,4)="소재입고"),IF(LEFT($G155,1)="S","★ 납기위험(S코드)","◆ 지연주의"),IF($AE155="정상","✓ 정상","? 확인필요")))</f>
        <v/>
      </c>
      <c r="AG155" s="21" t="n"/>
      <c r="AH155" s="28" t="n"/>
    </row>
    <row r="156">
      <c r="A156" s="19" t="n">
        <v>152</v>
      </c>
      <c r="B156" s="20" t="inlineStr">
        <is>
          <t>김준래</t>
        </is>
      </c>
      <c r="C156" s="20" t="inlineStr">
        <is>
          <t>권혁일</t>
        </is>
      </c>
      <c r="D156" s="20" t="inlineStr">
        <is>
          <t>TVTCM27562</t>
        </is>
      </c>
      <c r="E156" s="20" t="inlineStr">
        <is>
          <t>하절 여성 CP소로나쿨 반팔 티셔츠</t>
        </is>
      </c>
      <c r="F156" s="20" t="inlineStr">
        <is>
          <t>DGY-1, BLK(BLACK)</t>
        </is>
      </c>
      <c r="G156" s="19">
        <f>IF($D156="","",IF(MID($D156,5,1)="S","S(봄)",IF(MID($D156,5,1)="M","M(여름)",IF(MID($D156,5,1)="X","X(사계절)",MID($D156,5,1)))))</f>
        <v/>
      </c>
      <c r="H156" s="20" t="inlineStr">
        <is>
          <t>완사입</t>
        </is>
      </c>
      <c r="I156" s="19" t="inlineStr"/>
      <c r="J156" s="21" t="inlineStr">
        <is>
          <t>3월4주</t>
        </is>
      </c>
      <c r="K156" s="22">
        <f>IF($J156="","",IFERROR(DATE(IF(VALUE(LEFT($J156,FIND("월",$J156)-1))&gt;=9,기준정보!$C$7-1,기준정보!$C$7),VALUE(LEFT($J156,FIND("월",$J156)-1)),1+7*(VALUE(SUBSTITUTE(MID($J156,FIND("월",$J156)+1,5),"주",""))-1)),""))</f>
        <v/>
      </c>
      <c r="L156" s="22">
        <f>IF($K156="","",IF(AND($K156-기준정보!$C$5&gt;=기준정보!$C$10,$K156-기준정보!$C$5&lt;=기준정보!$C$11),기준정보!$C$10-1,$K156-기준정보!$C$5))</f>
        <v/>
      </c>
      <c r="M156" s="23">
        <f>IF($L156="","",IF(OR(ISNUMBER(SEARCH("중국",$W156)),ISNUMBER(SEARCH("베트남",$W156))),MAX(0,MIN($L156,기준정보!$C$9)-MAX($L156-기준정보!$C$6,기준정보!$C$8)+1),IF(ISNUMBER(SEARCH("한국",$W156)),MAX(0,MIN($L156,기준정보!$C$11)-MAX($L156-기준정보!$C$6,기준정보!$C$10)+1),0)))</f>
        <v/>
      </c>
      <c r="N156" s="22">
        <f>IF($L156="","",$L156-기준정보!$C$6-$M156)</f>
        <v/>
      </c>
      <c r="O156" s="24">
        <f>IF($N156="","",$N156-기준정보!$C$4)</f>
        <v/>
      </c>
      <c r="P156" s="21" t="inlineStr">
        <is>
          <t>O</t>
        </is>
      </c>
      <c r="Q156" s="21" t="inlineStr">
        <is>
          <t>O</t>
        </is>
      </c>
      <c r="R156" s="19">
        <f>IF(COUNTIF(EDW_RAW!$A$2:$A$1500,$D156)=0,"",IF(COUNTIFS(EDW_RAW!$A$2:$A$1500,$D156,EDW_RAW!$U$2:$U$1500,"&lt;&gt;~",EDW_RAW!$U$2:$U$1500,"&lt;&gt;")=COUNTIF(EDW_RAW!$A$2:$A$1500,$D156),"O",IF(COUNTIFS(EDW_RAW!$A$2:$A$1500,$D156,EDW_RAW!$U$2:$U$1500,"&lt;&gt;~",EDW_RAW!$U$2:$U$1500,"&lt;&gt;")&gt;0,"부분","X")))</f>
        <v/>
      </c>
      <c r="S156" s="25" t="n"/>
      <c r="T156" s="20">
        <f>IF($H156="","",IF(AND(ISNUMBER(SEARCH("CMT",$H156)),OR(ISNUMBER(SEARCH("완사입",$H156)),ISNUMBER(SEARCH("ODM",$H156)))),"본사/생산처 혼재",IF(ISNUMBER(SEARCH("CMT",$H156)),"본사(소재팀)","생산처")))</f>
        <v/>
      </c>
      <c r="U156" s="20" t="inlineStr">
        <is>
          <t>장안</t>
        </is>
      </c>
      <c r="V156" s="20">
        <f>IFERROR(TEXTJOIN(" / ",TRUE,UNIQUE(FILTER(소재DB_RAW!$K$3:$K$2000,(소재DB_RAW!$G$3:$G$2000=$D156)*ISERROR(SEARCH("drop",소재DB_RAW!$C$3:$C$2000))))),"")</f>
        <v/>
      </c>
      <c r="W156" s="20" t="inlineStr">
        <is>
          <t>베트남</t>
        </is>
      </c>
      <c r="X156" s="20">
        <f>IFERROR(TEXTJOIN(" / ",TRUE,UNIQUE(FILTER(소재DB_RAW!$N$3:$N$2000,(소재DB_RAW!$G$3:$G$2000=$D156)*ISERROR(SEARCH("drop",소재DB_RAW!$C$3:$C$2000))))),"")</f>
        <v/>
      </c>
      <c r="Y156" s="26">
        <f>IFERROR(TEXTJOIN(CHAR(10),TRUE,UNIQUE(FILTER(소재DB_RAW!$N$3:$N$2000&amp;") "&amp;소재DB_RAW!$O$3:$O$2000,(소재DB_RAW!$G$3:$G$2000=$D156)*ISNUMBER(SEARCH("겉감",소재DB_RAW!$M$3:$M$2000))*ISERROR(SEARCH("drop",소재DB_RAW!$C$3:$C$2000))))),"")</f>
        <v/>
      </c>
      <c r="Z156" s="26">
        <f>IFERROR(TEXTJOIN(CHAR(10),TRUE,UNIQUE(FILTER(소재DB_RAW!$N$3:$N$2000&amp;") "&amp;소재DB_RAW!$O$3:$O$2000,(소재DB_RAW!$G$3:$G$2000=$D156)*ISNUMBER(SEARCH("안감",소재DB_RAW!$M$3:$M$2000))*ISERROR(SEARCH("drop",소재DB_RAW!$C$3:$C$2000))))),"")</f>
        <v/>
      </c>
      <c r="AA156" s="27" t="n">
        <v>1800</v>
      </c>
      <c r="AB156" s="27" t="n">
        <v>36117000</v>
      </c>
      <c r="AC156" s="27" t="n">
        <v>176400000</v>
      </c>
      <c r="AD156" s="20" t="inlineStr">
        <is>
          <t>3월 4주</t>
        </is>
      </c>
      <c r="AE156" s="20">
        <f>IF($K156="","출고일 미정",IF($Q156="X","작지 미발행",IF($Q156="부분","작지 일부 미발행",IF(AND($S156&lt;&gt;"",$S156&gt;$N156),"소재입고 마감("&amp;TEXT($N156,"MM/DD")&amp;") 초과",IF($Q156="","발행여부 확인 필요",IF($S156="","소재 입고일정 확인 필요","정상"))))))</f>
        <v/>
      </c>
      <c r="AF156" s="19">
        <f>IF($K156="","",IF(OR(LEFT($AE156,2)="작지",LEFT($AE156,4)="소재입고"),IF(LEFT($G156,1)="S","★ 납기위험(S코드)","◆ 지연주의"),IF($AE156="정상","✓ 정상","? 확인필요")))</f>
        <v/>
      </c>
      <c r="AG156" s="21" t="n"/>
      <c r="AH156" s="28" t="n"/>
    </row>
    <row r="157">
      <c r="A157" s="19" t="n">
        <v>153</v>
      </c>
      <c r="B157" s="20" t="inlineStr">
        <is>
          <t>정영준</t>
        </is>
      </c>
      <c r="C157" s="20" t="inlineStr">
        <is>
          <t>권혁일</t>
        </is>
      </c>
      <c r="D157" s="20" t="inlineStr">
        <is>
          <t>TVTCM27694</t>
        </is>
      </c>
      <c r="E157" s="20" t="inlineStr">
        <is>
          <t>하절 여성 데이팩 후드 티셔츠</t>
        </is>
      </c>
      <c r="F157" s="20" t="inlineStr">
        <is>
          <t>BLK(BLACK), RBU, GRI(GREIGE)</t>
        </is>
      </c>
      <c r="G157" s="19">
        <f>IF($D157="","",IF(MID($D157,5,1)="S","S(봄)",IF(MID($D157,5,1)="M","M(여름)",IF(MID($D157,5,1)="X","X(사계절)",MID($D157,5,1)))))</f>
        <v/>
      </c>
      <c r="H157" s="20" t="inlineStr">
        <is>
          <t>완사입</t>
        </is>
      </c>
      <c r="I157" s="19" t="inlineStr"/>
      <c r="J157" s="21" t="inlineStr">
        <is>
          <t>3월4주</t>
        </is>
      </c>
      <c r="K157" s="22">
        <f>IF($J157="","",IFERROR(DATE(IF(VALUE(LEFT($J157,FIND("월",$J157)-1))&gt;=9,기준정보!$C$7-1,기준정보!$C$7),VALUE(LEFT($J157,FIND("월",$J157)-1)),1+7*(VALUE(SUBSTITUTE(MID($J157,FIND("월",$J157)+1,5),"주",""))-1)),""))</f>
        <v/>
      </c>
      <c r="L157" s="22">
        <f>IF($K157="","",IF(AND($K157-기준정보!$C$5&gt;=기준정보!$C$10,$K157-기준정보!$C$5&lt;=기준정보!$C$11),기준정보!$C$10-1,$K157-기준정보!$C$5))</f>
        <v/>
      </c>
      <c r="M157" s="23">
        <f>IF($L157="","",IF(OR(ISNUMBER(SEARCH("중국",$W157)),ISNUMBER(SEARCH("베트남",$W157))),MAX(0,MIN($L157,기준정보!$C$9)-MAX($L157-기준정보!$C$6,기준정보!$C$8)+1),IF(ISNUMBER(SEARCH("한국",$W157)),MAX(0,MIN($L157,기준정보!$C$11)-MAX($L157-기준정보!$C$6,기준정보!$C$10)+1),0)))</f>
        <v/>
      </c>
      <c r="N157" s="22">
        <f>IF($L157="","",$L157-기준정보!$C$6-$M157)</f>
        <v/>
      </c>
      <c r="O157" s="24">
        <f>IF($N157="","",$N157-기준정보!$C$4)</f>
        <v/>
      </c>
      <c r="P157" s="21" t="inlineStr">
        <is>
          <t>O</t>
        </is>
      </c>
      <c r="Q157" s="21" t="inlineStr">
        <is>
          <t>O</t>
        </is>
      </c>
      <c r="R157" s="19">
        <f>IF(COUNTIF(EDW_RAW!$A$2:$A$1500,$D157)=0,"",IF(COUNTIFS(EDW_RAW!$A$2:$A$1500,$D157,EDW_RAW!$U$2:$U$1500,"&lt;&gt;~",EDW_RAW!$U$2:$U$1500,"&lt;&gt;")=COUNTIF(EDW_RAW!$A$2:$A$1500,$D157),"O",IF(COUNTIFS(EDW_RAW!$A$2:$A$1500,$D157,EDW_RAW!$U$2:$U$1500,"&lt;&gt;~",EDW_RAW!$U$2:$U$1500,"&lt;&gt;")&gt;0,"부분","X")))</f>
        <v/>
      </c>
      <c r="S157" s="25" t="n"/>
      <c r="T157" s="20">
        <f>IF($H157="","",IF(AND(ISNUMBER(SEARCH("CMT",$H157)),OR(ISNUMBER(SEARCH("완사입",$H157)),ISNUMBER(SEARCH("ODM",$H157)))),"본사/생산처 혼재",IF(ISNUMBER(SEARCH("CMT",$H157)),"본사(소재팀)","생산처")))</f>
        <v/>
      </c>
      <c r="U157" s="20" t="inlineStr">
        <is>
          <t>IKG</t>
        </is>
      </c>
      <c r="V157" s="20">
        <f>IFERROR(TEXTJOIN(" / ",TRUE,UNIQUE(FILTER(소재DB_RAW!$K$3:$K$2000,(소재DB_RAW!$G$3:$G$2000=$D157)*ISERROR(SEARCH("drop",소재DB_RAW!$C$3:$C$2000))))),"")</f>
        <v/>
      </c>
      <c r="W157" s="20" t="inlineStr">
        <is>
          <t>인도네시아</t>
        </is>
      </c>
      <c r="X157" s="20">
        <f>IFERROR(TEXTJOIN(" / ",TRUE,UNIQUE(FILTER(소재DB_RAW!$N$3:$N$2000,(소재DB_RAW!$G$3:$G$2000=$D157)*ISERROR(SEARCH("drop",소재DB_RAW!$C$3:$C$2000))))),"")</f>
        <v/>
      </c>
      <c r="Y157" s="26">
        <f>IFERROR(TEXTJOIN(CHAR(10),TRUE,UNIQUE(FILTER(소재DB_RAW!$N$3:$N$2000&amp;") "&amp;소재DB_RAW!$O$3:$O$2000,(소재DB_RAW!$G$3:$G$2000=$D157)*ISNUMBER(SEARCH("겉감",소재DB_RAW!$M$3:$M$2000))*ISERROR(SEARCH("drop",소재DB_RAW!$C$3:$C$2000))))),"")</f>
        <v/>
      </c>
      <c r="Z157" s="26">
        <f>IFERROR(TEXTJOIN(CHAR(10),TRUE,UNIQUE(FILTER(소재DB_RAW!$N$3:$N$2000&amp;") "&amp;소재DB_RAW!$O$3:$O$2000,(소재DB_RAW!$G$3:$G$2000=$D157)*ISNUMBER(SEARCH("안감",소재DB_RAW!$M$3:$M$2000))*ISERROR(SEARCH("drop",소재DB_RAW!$C$3:$C$2000))))),"")</f>
        <v/>
      </c>
      <c r="AA157" s="27" t="n">
        <v>6600</v>
      </c>
      <c r="AB157" s="27" t="n">
        <v>129300000</v>
      </c>
      <c r="AC157" s="27" t="n">
        <v>646800000</v>
      </c>
      <c r="AD157" s="20" t="inlineStr">
        <is>
          <t>3월4주</t>
        </is>
      </c>
      <c r="AE157" s="20">
        <f>IF($K157="","출고일 미정",IF($Q157="X","작지 미발행",IF($Q157="부분","작지 일부 미발행",IF(AND($S157&lt;&gt;"",$S157&gt;$N157),"소재입고 마감("&amp;TEXT($N157,"MM/DD")&amp;") 초과",IF($Q157="","발행여부 확인 필요",IF($S157="","소재 입고일정 확인 필요","정상"))))))</f>
        <v/>
      </c>
      <c r="AF157" s="19">
        <f>IF($K157="","",IF(OR(LEFT($AE157,2)="작지",LEFT($AE157,4)="소재입고"),IF(LEFT($G157,1)="S","★ 납기위험(S코드)","◆ 지연주의"),IF($AE157="정상","✓ 정상","? 확인필요")))</f>
        <v/>
      </c>
      <c r="AG157" s="21" t="n"/>
      <c r="AH157" s="28" t="n"/>
    </row>
    <row r="158">
      <c r="A158" s="19" t="n">
        <v>154</v>
      </c>
      <c r="B158" s="20" t="inlineStr">
        <is>
          <t>정영준</t>
        </is>
      </c>
      <c r="C158" s="20" t="inlineStr">
        <is>
          <t>권혁일</t>
        </is>
      </c>
      <c r="D158" s="20" t="inlineStr">
        <is>
          <t>TVTCM27696</t>
        </is>
      </c>
      <c r="E158" s="20" t="inlineStr">
        <is>
          <t>하절 여성 데이팩 베이직 원피스</t>
        </is>
      </c>
      <c r="F158" s="20" t="inlineStr">
        <is>
          <t>BLK(BLACK), DKH(D/KHAKI), GRI(GREIGE)</t>
        </is>
      </c>
      <c r="G158" s="19">
        <f>IF($D158="","",IF(MID($D158,5,1)="S","S(봄)",IF(MID($D158,5,1)="M","M(여름)",IF(MID($D158,5,1)="X","X(사계절)",MID($D158,5,1)))))</f>
        <v/>
      </c>
      <c r="H158" s="20" t="inlineStr">
        <is>
          <t>완사입</t>
        </is>
      </c>
      <c r="I158" s="19" t="inlineStr"/>
      <c r="J158" s="21" t="inlineStr">
        <is>
          <t>3월4주</t>
        </is>
      </c>
      <c r="K158" s="22">
        <f>IF($J158="","",IFERROR(DATE(IF(VALUE(LEFT($J158,FIND("월",$J158)-1))&gt;=9,기준정보!$C$7-1,기준정보!$C$7),VALUE(LEFT($J158,FIND("월",$J158)-1)),1+7*(VALUE(SUBSTITUTE(MID($J158,FIND("월",$J158)+1,5),"주",""))-1)),""))</f>
        <v/>
      </c>
      <c r="L158" s="22">
        <f>IF($K158="","",IF(AND($K158-기준정보!$C$5&gt;=기준정보!$C$10,$K158-기준정보!$C$5&lt;=기준정보!$C$11),기준정보!$C$10-1,$K158-기준정보!$C$5))</f>
        <v/>
      </c>
      <c r="M158" s="23">
        <f>IF($L158="","",IF(OR(ISNUMBER(SEARCH("중국",$W158)),ISNUMBER(SEARCH("베트남",$W158))),MAX(0,MIN($L158,기준정보!$C$9)-MAX($L158-기준정보!$C$6,기준정보!$C$8)+1),IF(ISNUMBER(SEARCH("한국",$W158)),MAX(0,MIN($L158,기준정보!$C$11)-MAX($L158-기준정보!$C$6,기준정보!$C$10)+1),0)))</f>
        <v/>
      </c>
      <c r="N158" s="22">
        <f>IF($L158="","",$L158-기준정보!$C$6-$M158)</f>
        <v/>
      </c>
      <c r="O158" s="24">
        <f>IF($N158="","",$N158-기준정보!$C$4)</f>
        <v/>
      </c>
      <c r="P158" s="21" t="inlineStr">
        <is>
          <t>O</t>
        </is>
      </c>
      <c r="Q158" s="21" t="inlineStr">
        <is>
          <t>O</t>
        </is>
      </c>
      <c r="R158" s="19">
        <f>IF(COUNTIF(EDW_RAW!$A$2:$A$1500,$D158)=0,"",IF(COUNTIFS(EDW_RAW!$A$2:$A$1500,$D158,EDW_RAW!$U$2:$U$1500,"&lt;&gt;~",EDW_RAW!$U$2:$U$1500,"&lt;&gt;")=COUNTIF(EDW_RAW!$A$2:$A$1500,$D158),"O",IF(COUNTIFS(EDW_RAW!$A$2:$A$1500,$D158,EDW_RAW!$U$2:$U$1500,"&lt;&gt;~",EDW_RAW!$U$2:$U$1500,"&lt;&gt;")&gt;0,"부분","X")))</f>
        <v/>
      </c>
      <c r="S158" s="25" t="n"/>
      <c r="T158" s="20">
        <f>IF($H158="","",IF(AND(ISNUMBER(SEARCH("CMT",$H158)),OR(ISNUMBER(SEARCH("완사입",$H158)),ISNUMBER(SEARCH("ODM",$H158)))),"본사/생산처 혼재",IF(ISNUMBER(SEARCH("CMT",$H158)),"본사(소재팀)","생산처")))</f>
        <v/>
      </c>
      <c r="U158" s="20" t="inlineStr">
        <is>
          <t>IKG</t>
        </is>
      </c>
      <c r="V158" s="20">
        <f>IFERROR(TEXTJOIN(" / ",TRUE,UNIQUE(FILTER(소재DB_RAW!$K$3:$K$2000,(소재DB_RAW!$G$3:$G$2000=$D158)*ISERROR(SEARCH("drop",소재DB_RAW!$C$3:$C$2000))))),"")</f>
        <v/>
      </c>
      <c r="W158" s="20" t="inlineStr">
        <is>
          <t>베트남</t>
        </is>
      </c>
      <c r="X158" s="20">
        <f>IFERROR(TEXTJOIN(" / ",TRUE,UNIQUE(FILTER(소재DB_RAW!$N$3:$N$2000,(소재DB_RAW!$G$3:$G$2000=$D158)*ISERROR(SEARCH("drop",소재DB_RAW!$C$3:$C$2000))))),"")</f>
        <v/>
      </c>
      <c r="Y158" s="26">
        <f>IFERROR(TEXTJOIN(CHAR(10),TRUE,UNIQUE(FILTER(소재DB_RAW!$N$3:$N$2000&amp;") "&amp;소재DB_RAW!$O$3:$O$2000,(소재DB_RAW!$G$3:$G$2000=$D158)*ISNUMBER(SEARCH("겉감",소재DB_RAW!$M$3:$M$2000))*ISERROR(SEARCH("drop",소재DB_RAW!$C$3:$C$2000))))),"")</f>
        <v/>
      </c>
      <c r="Z158" s="26">
        <f>IFERROR(TEXTJOIN(CHAR(10),TRUE,UNIQUE(FILTER(소재DB_RAW!$N$3:$N$2000&amp;") "&amp;소재DB_RAW!$O$3:$O$2000,(소재DB_RAW!$G$3:$G$2000=$D158)*ISNUMBER(SEARCH("안감",소재DB_RAW!$M$3:$M$2000))*ISERROR(SEARCH("drop",소재DB_RAW!$C$3:$C$2000))))),"")</f>
        <v/>
      </c>
      <c r="AA158" s="27" t="n">
        <v>10500</v>
      </c>
      <c r="AB158" s="27" t="n">
        <v>273000000</v>
      </c>
      <c r="AC158" s="27" t="n">
        <v>1659000000</v>
      </c>
      <c r="AD158" s="20" t="inlineStr">
        <is>
          <t>3월4주</t>
        </is>
      </c>
      <c r="AE158" s="20">
        <f>IF($K158="","출고일 미정",IF($Q158="X","작지 미발행",IF($Q158="부분","작지 일부 미발행",IF(AND($S158&lt;&gt;"",$S158&gt;$N158),"소재입고 마감("&amp;TEXT($N158,"MM/DD")&amp;") 초과",IF($Q158="","발행여부 확인 필요",IF($S158="","소재 입고일정 확인 필요","정상"))))))</f>
        <v/>
      </c>
      <c r="AF158" s="19">
        <f>IF($K158="","",IF(OR(LEFT($AE158,2)="작지",LEFT($AE158,4)="소재입고"),IF(LEFT($G158,1)="S","★ 납기위험(S코드)","◆ 지연주의"),IF($AE158="정상","✓ 정상","? 확인필요")))</f>
        <v/>
      </c>
      <c r="AG158" s="21" t="n"/>
      <c r="AH158" s="28" t="n"/>
    </row>
    <row r="159">
      <c r="A159" s="19" t="n">
        <v>155</v>
      </c>
      <c r="B159" s="20" t="inlineStr">
        <is>
          <t>정영준</t>
        </is>
      </c>
      <c r="C159" s="20" t="inlineStr">
        <is>
          <t>권혁일</t>
        </is>
      </c>
      <c r="D159" s="20" t="inlineStr">
        <is>
          <t>TVTCM27698</t>
        </is>
      </c>
      <c r="E159" s="20" t="inlineStr">
        <is>
          <t>하절 여성 데이팩 원피스</t>
        </is>
      </c>
      <c r="F159" s="20" t="inlineStr">
        <is>
          <t>DNA(D/NAVY), LKH</t>
        </is>
      </c>
      <c r="G159" s="19">
        <f>IF($D159="","",IF(MID($D159,5,1)="S","S(봄)",IF(MID($D159,5,1)="M","M(여름)",IF(MID($D159,5,1)="X","X(사계절)",MID($D159,5,1)))))</f>
        <v/>
      </c>
      <c r="H159" s="20" t="inlineStr">
        <is>
          <t>완사입</t>
        </is>
      </c>
      <c r="I159" s="19" t="inlineStr"/>
      <c r="J159" s="21" t="inlineStr">
        <is>
          <t>3월4주</t>
        </is>
      </c>
      <c r="K159" s="22">
        <f>IF($J159="","",IFERROR(DATE(IF(VALUE(LEFT($J159,FIND("월",$J159)-1))&gt;=9,기준정보!$C$7-1,기준정보!$C$7),VALUE(LEFT($J159,FIND("월",$J159)-1)),1+7*(VALUE(SUBSTITUTE(MID($J159,FIND("월",$J159)+1,5),"주",""))-1)),""))</f>
        <v/>
      </c>
      <c r="L159" s="22">
        <f>IF($K159="","",IF(AND($K159-기준정보!$C$5&gt;=기준정보!$C$10,$K159-기준정보!$C$5&lt;=기준정보!$C$11),기준정보!$C$10-1,$K159-기준정보!$C$5))</f>
        <v/>
      </c>
      <c r="M159" s="23">
        <f>IF($L159="","",IF(OR(ISNUMBER(SEARCH("중국",$W159)),ISNUMBER(SEARCH("베트남",$W159))),MAX(0,MIN($L159,기준정보!$C$9)-MAX($L159-기준정보!$C$6,기준정보!$C$8)+1),IF(ISNUMBER(SEARCH("한국",$W159)),MAX(0,MIN($L159,기준정보!$C$11)-MAX($L159-기준정보!$C$6,기준정보!$C$10)+1),0)))</f>
        <v/>
      </c>
      <c r="N159" s="22">
        <f>IF($L159="","",$L159-기준정보!$C$6-$M159)</f>
        <v/>
      </c>
      <c r="O159" s="24">
        <f>IF($N159="","",$N159-기준정보!$C$4)</f>
        <v/>
      </c>
      <c r="P159" s="21" t="inlineStr">
        <is>
          <t>O</t>
        </is>
      </c>
      <c r="Q159" s="21" t="inlineStr">
        <is>
          <t>O</t>
        </is>
      </c>
      <c r="R159" s="19">
        <f>IF(COUNTIF(EDW_RAW!$A$2:$A$1500,$D159)=0,"",IF(COUNTIFS(EDW_RAW!$A$2:$A$1500,$D159,EDW_RAW!$U$2:$U$1500,"&lt;&gt;~",EDW_RAW!$U$2:$U$1500,"&lt;&gt;")=COUNTIF(EDW_RAW!$A$2:$A$1500,$D159),"O",IF(COUNTIFS(EDW_RAW!$A$2:$A$1500,$D159,EDW_RAW!$U$2:$U$1500,"&lt;&gt;~",EDW_RAW!$U$2:$U$1500,"&lt;&gt;")&gt;0,"부분","X")))</f>
        <v/>
      </c>
      <c r="S159" s="25" t="n"/>
      <c r="T159" s="20">
        <f>IF($H159="","",IF(AND(ISNUMBER(SEARCH("CMT",$H159)),OR(ISNUMBER(SEARCH("완사입",$H159)),ISNUMBER(SEARCH("ODM",$H159)))),"본사/생산처 혼재",IF(ISNUMBER(SEARCH("CMT",$H159)),"본사(소재팀)","생산처")))</f>
        <v/>
      </c>
      <c r="U159" s="20" t="inlineStr">
        <is>
          <t>IKG</t>
        </is>
      </c>
      <c r="V159" s="20">
        <f>IFERROR(TEXTJOIN(" / ",TRUE,UNIQUE(FILTER(소재DB_RAW!$K$3:$K$2000,(소재DB_RAW!$G$3:$G$2000=$D159)*ISERROR(SEARCH("drop",소재DB_RAW!$C$3:$C$2000))))),"")</f>
        <v/>
      </c>
      <c r="W159" s="20" t="inlineStr">
        <is>
          <t>베트남</t>
        </is>
      </c>
      <c r="X159" s="20">
        <f>IFERROR(TEXTJOIN(" / ",TRUE,UNIQUE(FILTER(소재DB_RAW!$N$3:$N$2000,(소재DB_RAW!$G$3:$G$2000=$D159)*ISERROR(SEARCH("drop",소재DB_RAW!$C$3:$C$2000))))),"")</f>
        <v/>
      </c>
      <c r="Y159" s="26">
        <f>IFERROR(TEXTJOIN(CHAR(10),TRUE,UNIQUE(FILTER(소재DB_RAW!$N$3:$N$2000&amp;") "&amp;소재DB_RAW!$O$3:$O$2000,(소재DB_RAW!$G$3:$G$2000=$D159)*ISNUMBER(SEARCH("겉감",소재DB_RAW!$M$3:$M$2000))*ISERROR(SEARCH("drop",소재DB_RAW!$C$3:$C$2000))))),"")</f>
        <v/>
      </c>
      <c r="Z159" s="26">
        <f>IFERROR(TEXTJOIN(CHAR(10),TRUE,UNIQUE(FILTER(소재DB_RAW!$N$3:$N$2000&amp;") "&amp;소재DB_RAW!$O$3:$O$2000,(소재DB_RAW!$G$3:$G$2000=$D159)*ISNUMBER(SEARCH("안감",소재DB_RAW!$M$3:$M$2000))*ISERROR(SEARCH("drop",소재DB_RAW!$C$3:$C$2000))))),"")</f>
        <v/>
      </c>
      <c r="AA159" s="27" t="n">
        <v>2600</v>
      </c>
      <c r="AB159" s="27" t="n">
        <v>80600000</v>
      </c>
      <c r="AC159" s="27" t="n">
        <v>436800000</v>
      </c>
      <c r="AD159" s="20" t="inlineStr">
        <is>
          <t>3월4주</t>
        </is>
      </c>
      <c r="AE159" s="20">
        <f>IF($K159="","출고일 미정",IF($Q159="X","작지 미발행",IF($Q159="부분","작지 일부 미발행",IF(AND($S159&lt;&gt;"",$S159&gt;$N159),"소재입고 마감("&amp;TEXT($N159,"MM/DD")&amp;") 초과",IF($Q159="","발행여부 확인 필요",IF($S159="","소재 입고일정 확인 필요","정상"))))))</f>
        <v/>
      </c>
      <c r="AF159" s="19">
        <f>IF($K159="","",IF(OR(LEFT($AE159,2)="작지",LEFT($AE159,4)="소재입고"),IF(LEFT($G159,1)="S","★ 납기위험(S코드)","◆ 지연주의"),IF($AE159="정상","✓ 정상","? 확인필요")))</f>
        <v/>
      </c>
      <c r="AG159" s="21" t="n"/>
      <c r="AH159" s="28" t="n"/>
    </row>
    <row r="160">
      <c r="A160" s="19" t="n">
        <v>156</v>
      </c>
      <c r="B160" s="20" t="inlineStr">
        <is>
          <t>김준래</t>
        </is>
      </c>
      <c r="C160" s="20" t="inlineStr">
        <is>
          <t>권혁일</t>
        </is>
      </c>
      <c r="D160" s="20" t="inlineStr">
        <is>
          <t>TLTBM27501</t>
        </is>
      </c>
      <c r="E160" s="20" t="inlineStr">
        <is>
          <t>남녀공용 베이직 오버핏 긴팔 티셔츠</t>
        </is>
      </c>
      <c r="F160" s="20" t="inlineStr">
        <is>
          <t>CRE-2, BLK(BLACK)</t>
        </is>
      </c>
      <c r="G160" s="19">
        <f>IF($D160="","",IF(MID($D160,5,1)="S","S(봄)",IF(MID($D160,5,1)="M","M(여름)",IF(MID($D160,5,1)="X","X(사계절)",MID($D160,5,1)))))</f>
        <v/>
      </c>
      <c r="H160" s="20" t="inlineStr">
        <is>
          <t>완사입</t>
        </is>
      </c>
      <c r="I160" s="19" t="inlineStr"/>
      <c r="J160" s="21" t="inlineStr">
        <is>
          <t>1월2주</t>
        </is>
      </c>
      <c r="K160" s="22">
        <f>IF($J160="","",IFERROR(DATE(IF(VALUE(LEFT($J160,FIND("월",$J160)-1))&gt;=9,기준정보!$C$7-1,기준정보!$C$7),VALUE(LEFT($J160,FIND("월",$J160)-1)),1+7*(VALUE(SUBSTITUTE(MID($J160,FIND("월",$J160)+1,5),"주",""))-1)),""))</f>
        <v/>
      </c>
      <c r="L160" s="22">
        <f>IF($K160="","",IF(AND($K160-기준정보!$C$5&gt;=기준정보!$C$10,$K160-기준정보!$C$5&lt;=기준정보!$C$11),기준정보!$C$10-1,$K160-기준정보!$C$5))</f>
        <v/>
      </c>
      <c r="M160" s="23">
        <f>IF($L160="","",IF(OR(ISNUMBER(SEARCH("중국",$W160)),ISNUMBER(SEARCH("베트남",$W160))),MAX(0,MIN($L160,기준정보!$C$9)-MAX($L160-기준정보!$C$6,기준정보!$C$8)+1),IF(ISNUMBER(SEARCH("한국",$W160)),MAX(0,MIN($L160,기준정보!$C$11)-MAX($L160-기준정보!$C$6,기준정보!$C$10)+1),0)))</f>
        <v/>
      </c>
      <c r="N160" s="22">
        <f>IF($L160="","",$L160-기준정보!$C$6-$M160)</f>
        <v/>
      </c>
      <c r="O160" s="24">
        <f>IF($N160="","",$N160-기준정보!$C$4)</f>
        <v/>
      </c>
      <c r="P160" s="21" t="n"/>
      <c r="Q160" s="21" t="inlineStr">
        <is>
          <t>O</t>
        </is>
      </c>
      <c r="R160" s="19">
        <f>IF(COUNTIF(EDW_RAW!$A$2:$A$1500,$D160)=0,"",IF(COUNTIFS(EDW_RAW!$A$2:$A$1500,$D160,EDW_RAW!$U$2:$U$1500,"&lt;&gt;~",EDW_RAW!$U$2:$U$1500,"&lt;&gt;")=COUNTIF(EDW_RAW!$A$2:$A$1500,$D160),"O",IF(COUNTIFS(EDW_RAW!$A$2:$A$1500,$D160,EDW_RAW!$U$2:$U$1500,"&lt;&gt;~",EDW_RAW!$U$2:$U$1500,"&lt;&gt;")&gt;0,"부분","X")))</f>
        <v/>
      </c>
      <c r="S160" s="25" t="n"/>
      <c r="T160" s="20">
        <f>IF($H160="","",IF(AND(ISNUMBER(SEARCH("CMT",$H160)),OR(ISNUMBER(SEARCH("완사입",$H160)),ISNUMBER(SEARCH("ODM",$H160)))),"본사/생산처 혼재",IF(ISNUMBER(SEARCH("CMT",$H160)),"본사(소재팀)","생산처")))</f>
        <v/>
      </c>
      <c r="U160" s="20" t="inlineStr">
        <is>
          <t>TESSELLATION</t>
        </is>
      </c>
      <c r="V160" s="20">
        <f>IFERROR(TEXTJOIN(" / ",TRUE,UNIQUE(FILTER(소재DB_RAW!$K$3:$K$2000,(소재DB_RAW!$G$3:$G$2000=$D160)*ISERROR(SEARCH("drop",소재DB_RAW!$C$3:$C$2000))))),"")</f>
        <v/>
      </c>
      <c r="W160" s="20" t="inlineStr">
        <is>
          <t>베트남</t>
        </is>
      </c>
      <c r="X160" s="20">
        <f>IFERROR(TEXTJOIN(" / ",TRUE,UNIQUE(FILTER(소재DB_RAW!$N$3:$N$2000,(소재DB_RAW!$G$3:$G$2000=$D160)*ISERROR(SEARCH("drop",소재DB_RAW!$C$3:$C$2000))))),"")</f>
        <v/>
      </c>
      <c r="Y160" s="26">
        <f>IFERROR(TEXTJOIN(CHAR(10),TRUE,UNIQUE(FILTER(소재DB_RAW!$N$3:$N$2000&amp;") "&amp;소재DB_RAW!$O$3:$O$2000,(소재DB_RAW!$G$3:$G$2000=$D160)*ISNUMBER(SEARCH("겉감",소재DB_RAW!$M$3:$M$2000))*ISERROR(SEARCH("drop",소재DB_RAW!$C$3:$C$2000))))),"")</f>
        <v/>
      </c>
      <c r="Z160" s="26">
        <f>IFERROR(TEXTJOIN(CHAR(10),TRUE,UNIQUE(FILTER(소재DB_RAW!$N$3:$N$2000&amp;") "&amp;소재DB_RAW!$O$3:$O$2000,(소재DB_RAW!$G$3:$G$2000=$D160)*ISNUMBER(SEARCH("안감",소재DB_RAW!$M$3:$M$2000))*ISERROR(SEARCH("drop",소재DB_RAW!$C$3:$C$2000))))),"")</f>
        <v/>
      </c>
      <c r="AA160" s="27" t="n">
        <v>2000</v>
      </c>
      <c r="AB160" s="27" t="n">
        <v>37006000</v>
      </c>
      <c r="AC160" s="27" t="n">
        <v>196000000</v>
      </c>
      <c r="AD160" s="20" t="n"/>
      <c r="AE160" s="20">
        <f>IF($K160="","출고일 미정",IF($Q160="X","작지 미발행",IF($Q160="부분","작지 일부 미발행",IF(AND($S160&lt;&gt;"",$S160&gt;$N160),"소재입고 마감("&amp;TEXT($N160,"MM/DD")&amp;") 초과",IF($Q160="","발행여부 확인 필요",IF($S160="","소재 입고일정 확인 필요","정상"))))))</f>
        <v/>
      </c>
      <c r="AF160" s="19">
        <f>IF($K160="","",IF(OR(LEFT($AE160,2)="작지",LEFT($AE160,4)="소재입고"),IF(LEFT($G160,1)="S","★ 납기위험(S코드)","◆ 지연주의"),IF($AE160="정상","✓ 정상","? 확인필요")))</f>
        <v/>
      </c>
      <c r="AG160" s="21" t="n"/>
      <c r="AH160" s="28" t="n"/>
    </row>
    <row r="161">
      <c r="A161" s="19" t="n">
        <v>157</v>
      </c>
      <c r="B161" s="20" t="inlineStr">
        <is>
          <t>신인철</t>
        </is>
      </c>
      <c r="C161" s="20" t="inlineStr">
        <is>
          <t>안세진</t>
        </is>
      </c>
      <c r="D161" s="20" t="inlineStr">
        <is>
          <t>8UTCM27101</t>
        </is>
      </c>
      <c r="E161" s="20" t="inlineStr">
        <is>
          <t>[WM] 남녀공용 우븐 벤틸레이션 티셔츠</t>
        </is>
      </c>
      <c r="F161" s="20" t="inlineStr">
        <is>
          <t>TNA, BLK(BLACK)</t>
        </is>
      </c>
      <c r="G161" s="19">
        <f>IF($D161="","",IF(MID($D161,5,1)="S","S(봄)",IF(MID($D161,5,1)="M","M(여름)",IF(MID($D161,5,1)="X","X(사계절)",MID($D161,5,1)))))</f>
        <v/>
      </c>
      <c r="H161" s="20" t="inlineStr">
        <is>
          <t>완사입</t>
        </is>
      </c>
      <c r="I161" s="19" t="inlineStr">
        <is>
          <t>2차</t>
        </is>
      </c>
      <c r="J161" s="21" t="inlineStr">
        <is>
          <t>1월3주</t>
        </is>
      </c>
      <c r="K161" s="22">
        <f>IF($J161="","",IFERROR(DATE(IF(VALUE(LEFT($J161,FIND("월",$J161)-1))&gt;=9,기준정보!$C$7-1,기준정보!$C$7),VALUE(LEFT($J161,FIND("월",$J161)-1)),1+7*(VALUE(SUBSTITUTE(MID($J161,FIND("월",$J161)+1,5),"주",""))-1)),""))</f>
        <v/>
      </c>
      <c r="L161" s="22">
        <f>IF($K161="","",IF(AND($K161-기준정보!$C$5&gt;=기준정보!$C$10,$K161-기준정보!$C$5&lt;=기준정보!$C$11),기준정보!$C$10-1,$K161-기준정보!$C$5))</f>
        <v/>
      </c>
      <c r="M161" s="23">
        <f>IF($L161="","",IF(OR(ISNUMBER(SEARCH("중국",$W161)),ISNUMBER(SEARCH("베트남",$W161))),MAX(0,MIN($L161,기준정보!$C$9)-MAX($L161-기준정보!$C$6,기준정보!$C$8)+1),IF(ISNUMBER(SEARCH("한국",$W161)),MAX(0,MIN($L161,기준정보!$C$11)-MAX($L161-기준정보!$C$6,기준정보!$C$10)+1),0)))</f>
        <v/>
      </c>
      <c r="N161" s="22">
        <f>IF($L161="","",$L161-기준정보!$C$6-$M161)</f>
        <v/>
      </c>
      <c r="O161" s="24">
        <f>IF($N161="","",$N161-기준정보!$C$4)</f>
        <v/>
      </c>
      <c r="P161" s="21" t="n"/>
      <c r="Q161" s="21" t="inlineStr">
        <is>
          <t>X</t>
        </is>
      </c>
      <c r="R161" s="19">
        <f>IF(COUNTIF(EDW_RAW!$A$2:$A$1500,$D161)=0,"",IF(COUNTIFS(EDW_RAW!$A$2:$A$1500,$D161,EDW_RAW!$U$2:$U$1500,"&lt;&gt;~",EDW_RAW!$U$2:$U$1500,"&lt;&gt;")=COUNTIF(EDW_RAW!$A$2:$A$1500,$D161),"O",IF(COUNTIFS(EDW_RAW!$A$2:$A$1500,$D161,EDW_RAW!$U$2:$U$1500,"&lt;&gt;~",EDW_RAW!$U$2:$U$1500,"&lt;&gt;")&gt;0,"부분","X")))</f>
        <v/>
      </c>
      <c r="S161" s="25" t="n"/>
      <c r="T161" s="20">
        <f>IF($H161="","",IF(AND(ISNUMBER(SEARCH("CMT",$H161)),OR(ISNUMBER(SEARCH("완사입",$H161)),ISNUMBER(SEARCH("ODM",$H161)))),"본사/생산처 혼재",IF(ISNUMBER(SEARCH("CMT",$H161)),"본사(소재팀)","생산처")))</f>
        <v/>
      </c>
      <c r="U161" s="20" t="inlineStr">
        <is>
          <t>IKG</t>
        </is>
      </c>
      <c r="V161" s="20">
        <f>IFERROR(TEXTJOIN(" / ",TRUE,UNIQUE(FILTER(소재DB_RAW!$K$3:$K$2000,(소재DB_RAW!$G$3:$G$2000=$D161)*ISERROR(SEARCH("drop",소재DB_RAW!$C$3:$C$2000))))),"")</f>
        <v/>
      </c>
      <c r="W161" s="20" t="inlineStr">
        <is>
          <t>베트남</t>
        </is>
      </c>
      <c r="X161" s="20">
        <f>IFERROR(TEXTJOIN(" / ",TRUE,UNIQUE(FILTER(소재DB_RAW!$N$3:$N$2000,(소재DB_RAW!$G$3:$G$2000=$D161)*ISERROR(SEARCH("drop",소재DB_RAW!$C$3:$C$2000))))),"")</f>
        <v/>
      </c>
      <c r="Y161" s="26">
        <f>IFERROR(TEXTJOIN(CHAR(10),TRUE,UNIQUE(FILTER(소재DB_RAW!$N$3:$N$2000&amp;") "&amp;소재DB_RAW!$O$3:$O$2000,(소재DB_RAW!$G$3:$G$2000=$D161)*ISNUMBER(SEARCH("겉감",소재DB_RAW!$M$3:$M$2000))*ISERROR(SEARCH("drop",소재DB_RAW!$C$3:$C$2000))))),"")</f>
        <v/>
      </c>
      <c r="Z161" s="26">
        <f>IFERROR(TEXTJOIN(CHAR(10),TRUE,UNIQUE(FILTER(소재DB_RAW!$N$3:$N$2000&amp;") "&amp;소재DB_RAW!$O$3:$O$2000,(소재DB_RAW!$G$3:$G$2000=$D161)*ISNUMBER(SEARCH("안감",소재DB_RAW!$M$3:$M$2000))*ISERROR(SEARCH("drop",소재DB_RAW!$C$3:$C$2000))))),"")</f>
        <v/>
      </c>
      <c r="AA161" s="27" t="n">
        <v>0</v>
      </c>
      <c r="AB161" s="27" t="n">
        <v>10993250</v>
      </c>
      <c r="AC161" s="27" t="n">
        <v>32000000</v>
      </c>
      <c r="AD161" s="20" t="n"/>
      <c r="AE161" s="20">
        <f>IF($K161="","출고일 미정",IF($Q161="X","작지 미발행",IF($Q161="부분","작지 일부 미발행",IF(AND($S161&lt;&gt;"",$S161&gt;$N161),"소재입고 마감("&amp;TEXT($N161,"MM/DD")&amp;") 초과",IF($Q161="","발행여부 확인 필요",IF($S161="","소재 입고일정 확인 필요","정상"))))))</f>
        <v/>
      </c>
      <c r="AF161" s="19">
        <f>IF($K161="","",IF(OR(LEFT($AE161,2)="작지",LEFT($AE161,4)="소재입고"),IF(LEFT($G161,1)="S","★ 납기위험(S코드)","◆ 지연주의"),IF($AE161="정상","✓ 정상","? 확인필요")))</f>
        <v/>
      </c>
      <c r="AG161" s="21" t="n"/>
      <c r="AH161" s="28" t="n"/>
    </row>
    <row r="162">
      <c r="A162" s="19" t="n">
        <v>158</v>
      </c>
      <c r="B162" s="20" t="inlineStr">
        <is>
          <t>박지인</t>
        </is>
      </c>
      <c r="C162" s="20" t="inlineStr">
        <is>
          <t>이다영</t>
        </is>
      </c>
      <c r="D162" s="20" t="inlineStr">
        <is>
          <t>JWVAM27301</t>
        </is>
      </c>
      <c r="E162" s="20" t="inlineStr">
        <is>
          <t>남녀공용 알파다이렉트 베스트</t>
        </is>
      </c>
      <c r="F162" s="20" t="inlineStr">
        <is>
          <t>SGY</t>
        </is>
      </c>
      <c r="G162" s="19">
        <f>IF($D162="","",IF(MID($D162,5,1)="S","S(봄)",IF(MID($D162,5,1)="M","M(여름)",IF(MID($D162,5,1)="X","X(사계절)",MID($D162,5,1)))))</f>
        <v/>
      </c>
      <c r="H162" s="20" t="inlineStr">
        <is>
          <t>완사입</t>
        </is>
      </c>
      <c r="I162" s="19" t="inlineStr">
        <is>
          <t>SM2</t>
        </is>
      </c>
      <c r="J162" s="21" t="inlineStr">
        <is>
          <t>1월3주</t>
        </is>
      </c>
      <c r="K162" s="22">
        <f>IF($J162="","",IFERROR(DATE(IF(VALUE(LEFT($J162,FIND("월",$J162)-1))&gt;=9,기준정보!$C$7-1,기준정보!$C$7),VALUE(LEFT($J162,FIND("월",$J162)-1)),1+7*(VALUE(SUBSTITUTE(MID($J162,FIND("월",$J162)+1,5),"주",""))-1)),""))</f>
        <v/>
      </c>
      <c r="L162" s="22">
        <f>IF($K162="","",IF(AND($K162-기준정보!$C$5&gt;=기준정보!$C$10,$K162-기준정보!$C$5&lt;=기준정보!$C$11),기준정보!$C$10-1,$K162-기준정보!$C$5))</f>
        <v/>
      </c>
      <c r="M162" s="23">
        <f>IF($L162="","",IF(OR(ISNUMBER(SEARCH("중국",$W162)),ISNUMBER(SEARCH("베트남",$W162))),MAX(0,MIN($L162,기준정보!$C$9)-MAX($L162-기준정보!$C$6,기준정보!$C$8)+1),IF(ISNUMBER(SEARCH("한국",$W162)),MAX(0,MIN($L162,기준정보!$C$11)-MAX($L162-기준정보!$C$6,기준정보!$C$10)+1),0)))</f>
        <v/>
      </c>
      <c r="N162" s="22">
        <f>IF($L162="","",$L162-기준정보!$C$6-$M162)</f>
        <v/>
      </c>
      <c r="O162" s="24">
        <f>IF($N162="","",$N162-기준정보!$C$4)</f>
        <v/>
      </c>
      <c r="P162" s="21" t="n"/>
      <c r="Q162" s="21" t="inlineStr">
        <is>
          <t>O</t>
        </is>
      </c>
      <c r="R162" s="19">
        <f>IF(COUNTIF(EDW_RAW!$A$2:$A$1500,$D162)=0,"",IF(COUNTIFS(EDW_RAW!$A$2:$A$1500,$D162,EDW_RAW!$U$2:$U$1500,"&lt;&gt;~",EDW_RAW!$U$2:$U$1500,"&lt;&gt;")=COUNTIF(EDW_RAW!$A$2:$A$1500,$D162),"O",IF(COUNTIFS(EDW_RAW!$A$2:$A$1500,$D162,EDW_RAW!$U$2:$U$1500,"&lt;&gt;~",EDW_RAW!$U$2:$U$1500,"&lt;&gt;")&gt;0,"부분","X")))</f>
        <v/>
      </c>
      <c r="S162" s="25" t="n"/>
      <c r="T162" s="20">
        <f>IF($H162="","",IF(AND(ISNUMBER(SEARCH("CMT",$H162)),OR(ISNUMBER(SEARCH("완사입",$H162)),ISNUMBER(SEARCH("ODM",$H162)))),"본사/생산처 혼재",IF(ISNUMBER(SEARCH("CMT",$H162)),"본사(소재팀)","생산처")))</f>
        <v/>
      </c>
      <c r="U162" s="20" t="inlineStr">
        <is>
          <t>IKG</t>
        </is>
      </c>
      <c r="V162" s="20">
        <f>IFERROR(TEXTJOIN(" / ",TRUE,UNIQUE(FILTER(소재DB_RAW!$K$3:$K$2000,(소재DB_RAW!$G$3:$G$2000=$D162)*ISERROR(SEARCH("drop",소재DB_RAW!$C$3:$C$2000))))),"")</f>
        <v/>
      </c>
      <c r="W162" s="20" t="inlineStr">
        <is>
          <t>인도네시아</t>
        </is>
      </c>
      <c r="X162" s="20">
        <f>IFERROR(TEXTJOIN(" / ",TRUE,UNIQUE(FILTER(소재DB_RAW!$N$3:$N$2000,(소재DB_RAW!$G$3:$G$2000=$D162)*ISERROR(SEARCH("drop",소재DB_RAW!$C$3:$C$2000))))),"")</f>
        <v/>
      </c>
      <c r="Y162" s="26">
        <f>IFERROR(TEXTJOIN(CHAR(10),TRUE,UNIQUE(FILTER(소재DB_RAW!$N$3:$N$2000&amp;") "&amp;소재DB_RAW!$O$3:$O$2000,(소재DB_RAW!$G$3:$G$2000=$D162)*ISNUMBER(SEARCH("겉감",소재DB_RAW!$M$3:$M$2000))*ISERROR(SEARCH("drop",소재DB_RAW!$C$3:$C$2000))))),"")</f>
        <v/>
      </c>
      <c r="Z162" s="26">
        <f>IFERROR(TEXTJOIN(CHAR(10),TRUE,UNIQUE(FILTER(소재DB_RAW!$N$3:$N$2000&amp;") "&amp;소재DB_RAW!$O$3:$O$2000,(소재DB_RAW!$G$3:$G$2000=$D162)*ISNUMBER(SEARCH("안감",소재DB_RAW!$M$3:$M$2000))*ISERROR(SEARCH("drop",소재DB_RAW!$C$3:$C$2000))))),"")</f>
        <v/>
      </c>
      <c r="AA162" s="27" t="n">
        <v>850</v>
      </c>
      <c r="AB162" s="27" t="n">
        <v>34453050</v>
      </c>
      <c r="AC162" s="27" t="n">
        <v>142800000</v>
      </c>
      <c r="AD162" s="20" t="inlineStr">
        <is>
          <t>1월3주</t>
        </is>
      </c>
      <c r="AE162" s="20">
        <f>IF($K162="","출고일 미정",IF($Q162="X","작지 미발행",IF($Q162="부분","작지 일부 미발행",IF(AND($S162&lt;&gt;"",$S162&gt;$N162),"소재입고 마감("&amp;TEXT($N162,"MM/DD")&amp;") 초과",IF($Q162="","발행여부 확인 필요",IF($S162="","소재 입고일정 확인 필요","정상"))))))</f>
        <v/>
      </c>
      <c r="AF162" s="19">
        <f>IF($K162="","",IF(OR(LEFT($AE162,2)="작지",LEFT($AE162,4)="소재입고"),IF(LEFT($G162,1)="S","★ 납기위험(S코드)","◆ 지연주의"),IF($AE162="정상","✓ 정상","? 확인필요")))</f>
        <v/>
      </c>
      <c r="AG162" s="21" t="n"/>
      <c r="AH162" s="28" t="n"/>
    </row>
    <row r="163">
      <c r="A163" s="19" t="n">
        <v>159</v>
      </c>
      <c r="B163" s="20" t="inlineStr">
        <is>
          <t>김준래</t>
        </is>
      </c>
      <c r="C163" s="20" t="inlineStr">
        <is>
          <t>권혁일</t>
        </is>
      </c>
      <c r="D163" s="20" t="inlineStr">
        <is>
          <t>TLTCM27521</t>
        </is>
      </c>
      <c r="E163" s="20" t="inlineStr">
        <is>
          <t>남성 소로나 레귤러핏 반팔 티셔츠</t>
        </is>
      </c>
      <c r="F163" s="20" t="inlineStr">
        <is>
          <t>IVO(IVORY), LLA-1, GBU-3, BLK(BLACK)</t>
        </is>
      </c>
      <c r="G163" s="19">
        <f>IF($D163="","",IF(MID($D163,5,1)="S","S(봄)",IF(MID($D163,5,1)="M","M(여름)",IF(MID($D163,5,1)="X","X(사계절)",MID($D163,5,1)))))</f>
        <v/>
      </c>
      <c r="H163" s="20" t="inlineStr">
        <is>
          <t>ODM</t>
        </is>
      </c>
      <c r="I163" s="19" t="inlineStr"/>
      <c r="J163" s="21" t="inlineStr">
        <is>
          <t>1월4주</t>
        </is>
      </c>
      <c r="K163" s="22">
        <f>IF($J163="","",IFERROR(DATE(IF(VALUE(LEFT($J163,FIND("월",$J163)-1))&gt;=9,기준정보!$C$7-1,기준정보!$C$7),VALUE(LEFT($J163,FIND("월",$J163)-1)),1+7*(VALUE(SUBSTITUTE(MID($J163,FIND("월",$J163)+1,5),"주",""))-1)),""))</f>
        <v/>
      </c>
      <c r="L163" s="22">
        <f>IF($K163="","",IF(AND($K163-기준정보!$C$5&gt;=기준정보!$C$10,$K163-기준정보!$C$5&lt;=기준정보!$C$11),기준정보!$C$10-1,$K163-기준정보!$C$5))</f>
        <v/>
      </c>
      <c r="M163" s="23">
        <f>IF($L163="","",IF(OR(ISNUMBER(SEARCH("중국",$W163)),ISNUMBER(SEARCH("베트남",$W163))),MAX(0,MIN($L163,기준정보!$C$9)-MAX($L163-기준정보!$C$6,기준정보!$C$8)+1),IF(ISNUMBER(SEARCH("한국",$W163)),MAX(0,MIN($L163,기준정보!$C$11)-MAX($L163-기준정보!$C$6,기준정보!$C$10)+1),0)))</f>
        <v/>
      </c>
      <c r="N163" s="22">
        <f>IF($L163="","",$L163-기준정보!$C$6-$M163)</f>
        <v/>
      </c>
      <c r="O163" s="24">
        <f>IF($N163="","",$N163-기준정보!$C$4)</f>
        <v/>
      </c>
      <c r="P163" s="21" t="n"/>
      <c r="Q163" s="21" t="inlineStr">
        <is>
          <t>O</t>
        </is>
      </c>
      <c r="R163" s="19">
        <f>IF(COUNTIF(EDW_RAW!$A$2:$A$1500,$D163)=0,"",IF(COUNTIFS(EDW_RAW!$A$2:$A$1500,$D163,EDW_RAW!$U$2:$U$1500,"&lt;&gt;~",EDW_RAW!$U$2:$U$1500,"&lt;&gt;")=COUNTIF(EDW_RAW!$A$2:$A$1500,$D163),"O",IF(COUNTIFS(EDW_RAW!$A$2:$A$1500,$D163,EDW_RAW!$U$2:$U$1500,"&lt;&gt;~",EDW_RAW!$U$2:$U$1500,"&lt;&gt;")&gt;0,"부분","X")))</f>
        <v/>
      </c>
      <c r="S163" s="25" t="n"/>
      <c r="T163" s="20">
        <f>IF($H163="","",IF(AND(ISNUMBER(SEARCH("CMT",$H163)),OR(ISNUMBER(SEARCH("완사입",$H163)),ISNUMBER(SEARCH("ODM",$H163)))),"본사/생산처 혼재",IF(ISNUMBER(SEARCH("CMT",$H163)),"본사(소재팀)","생산처")))</f>
        <v/>
      </c>
      <c r="U163" s="20" t="inlineStr">
        <is>
          <t>IKG</t>
        </is>
      </c>
      <c r="V163" s="20">
        <f>IFERROR(TEXTJOIN(" / ",TRUE,UNIQUE(FILTER(소재DB_RAW!$K$3:$K$2000,(소재DB_RAW!$G$3:$G$2000=$D163)*ISERROR(SEARCH("drop",소재DB_RAW!$C$3:$C$2000))))),"")</f>
        <v/>
      </c>
      <c r="W163" s="20" t="inlineStr">
        <is>
          <t>인도네시아</t>
        </is>
      </c>
      <c r="X163" s="20">
        <f>IFERROR(TEXTJOIN(" / ",TRUE,UNIQUE(FILTER(소재DB_RAW!$N$3:$N$2000,(소재DB_RAW!$G$3:$G$2000=$D163)*ISERROR(SEARCH("drop",소재DB_RAW!$C$3:$C$2000))))),"")</f>
        <v/>
      </c>
      <c r="Y163" s="26">
        <f>IFERROR(TEXTJOIN(CHAR(10),TRUE,UNIQUE(FILTER(소재DB_RAW!$N$3:$N$2000&amp;") "&amp;소재DB_RAW!$O$3:$O$2000,(소재DB_RAW!$G$3:$G$2000=$D163)*ISNUMBER(SEARCH("겉감",소재DB_RAW!$M$3:$M$2000))*ISERROR(SEARCH("drop",소재DB_RAW!$C$3:$C$2000))))),"")</f>
        <v/>
      </c>
      <c r="Z163" s="26">
        <f>IFERROR(TEXTJOIN(CHAR(10),TRUE,UNIQUE(FILTER(소재DB_RAW!$N$3:$N$2000&amp;") "&amp;소재DB_RAW!$O$3:$O$2000,(소재DB_RAW!$G$3:$G$2000=$D163)*ISNUMBER(SEARCH("안감",소재DB_RAW!$M$3:$M$2000))*ISERROR(SEARCH("drop",소재DB_RAW!$C$3:$C$2000))))),"")</f>
        <v/>
      </c>
      <c r="AA163" s="27" t="n">
        <v>70000</v>
      </c>
      <c r="AB163" s="27" t="n">
        <v>644000000</v>
      </c>
      <c r="AC163" s="27" t="n">
        <v>4760000000</v>
      </c>
      <c r="AD163" s="20" t="n"/>
      <c r="AE163" s="20">
        <f>IF($K163="","출고일 미정",IF($Q163="X","작지 미발행",IF($Q163="부분","작지 일부 미발행",IF(AND($S163&lt;&gt;"",$S163&gt;$N163),"소재입고 마감("&amp;TEXT($N163,"MM/DD")&amp;") 초과",IF($Q163="","발행여부 확인 필요",IF($S163="","소재 입고일정 확인 필요","정상"))))))</f>
        <v/>
      </c>
      <c r="AF163" s="19">
        <f>IF($K163="","",IF(OR(LEFT($AE163,2)="작지",LEFT($AE163,4)="소재입고"),IF(LEFT($G163,1)="S","★ 납기위험(S코드)","◆ 지연주의"),IF($AE163="정상","✓ 정상","? 확인필요")))</f>
        <v/>
      </c>
      <c r="AG163" s="21" t="n"/>
      <c r="AH163" s="28" t="n"/>
    </row>
    <row r="164">
      <c r="A164" s="19" t="n">
        <v>160</v>
      </c>
      <c r="B164" s="20" t="inlineStr">
        <is>
          <t>김준래</t>
        </is>
      </c>
      <c r="C164" s="20" t="inlineStr">
        <is>
          <t>권혁일</t>
        </is>
      </c>
      <c r="D164" s="20" t="inlineStr">
        <is>
          <t>TVTCM27506</t>
        </is>
      </c>
      <c r="E164" s="20" t="inlineStr">
        <is>
          <t>여성 소로나 라운드넥 반팔 티셔츠</t>
        </is>
      </c>
      <c r="F164" s="20" t="inlineStr">
        <is>
          <t>IVO(IVORY), LPI, PIS, BLK(BLACK)</t>
        </is>
      </c>
      <c r="G164" s="19">
        <f>IF($D164="","",IF(MID($D164,5,1)="S","S(봄)",IF(MID($D164,5,1)="M","M(여름)",IF(MID($D164,5,1)="X","X(사계절)",MID($D164,5,1)))))</f>
        <v/>
      </c>
      <c r="H164" s="20" t="inlineStr">
        <is>
          <t>ODM</t>
        </is>
      </c>
      <c r="I164" s="19" t="inlineStr"/>
      <c r="J164" s="21" t="inlineStr">
        <is>
          <t>1월4주</t>
        </is>
      </c>
      <c r="K164" s="22">
        <f>IF($J164="","",IFERROR(DATE(IF(VALUE(LEFT($J164,FIND("월",$J164)-1))&gt;=9,기준정보!$C$7-1,기준정보!$C$7),VALUE(LEFT($J164,FIND("월",$J164)-1)),1+7*(VALUE(SUBSTITUTE(MID($J164,FIND("월",$J164)+1,5),"주",""))-1)),""))</f>
        <v/>
      </c>
      <c r="L164" s="22">
        <f>IF($K164="","",IF(AND($K164-기준정보!$C$5&gt;=기준정보!$C$10,$K164-기준정보!$C$5&lt;=기준정보!$C$11),기준정보!$C$10-1,$K164-기준정보!$C$5))</f>
        <v/>
      </c>
      <c r="M164" s="23">
        <f>IF($L164="","",IF(OR(ISNUMBER(SEARCH("중국",$W164)),ISNUMBER(SEARCH("베트남",$W164))),MAX(0,MIN($L164,기준정보!$C$9)-MAX($L164-기준정보!$C$6,기준정보!$C$8)+1),IF(ISNUMBER(SEARCH("한국",$W164)),MAX(0,MIN($L164,기준정보!$C$11)-MAX($L164-기준정보!$C$6,기준정보!$C$10)+1),0)))</f>
        <v/>
      </c>
      <c r="N164" s="22">
        <f>IF($L164="","",$L164-기준정보!$C$6-$M164)</f>
        <v/>
      </c>
      <c r="O164" s="24">
        <f>IF($N164="","",$N164-기준정보!$C$4)</f>
        <v/>
      </c>
      <c r="P164" s="21" t="n"/>
      <c r="Q164" s="21" t="inlineStr">
        <is>
          <t>O</t>
        </is>
      </c>
      <c r="R164" s="19">
        <f>IF(COUNTIF(EDW_RAW!$A$2:$A$1500,$D164)=0,"",IF(COUNTIFS(EDW_RAW!$A$2:$A$1500,$D164,EDW_RAW!$U$2:$U$1500,"&lt;&gt;~",EDW_RAW!$U$2:$U$1500,"&lt;&gt;")=COUNTIF(EDW_RAW!$A$2:$A$1500,$D164),"O",IF(COUNTIFS(EDW_RAW!$A$2:$A$1500,$D164,EDW_RAW!$U$2:$U$1500,"&lt;&gt;~",EDW_RAW!$U$2:$U$1500,"&lt;&gt;")&gt;0,"부분","X")))</f>
        <v/>
      </c>
      <c r="S164" s="25" t="n"/>
      <c r="T164" s="20">
        <f>IF($H164="","",IF(AND(ISNUMBER(SEARCH("CMT",$H164)),OR(ISNUMBER(SEARCH("완사입",$H164)),ISNUMBER(SEARCH("ODM",$H164)))),"본사/생산처 혼재",IF(ISNUMBER(SEARCH("CMT",$H164)),"본사(소재팀)","생산처")))</f>
        <v/>
      </c>
      <c r="U164" s="20" t="inlineStr">
        <is>
          <t>IKG</t>
        </is>
      </c>
      <c r="V164" s="20">
        <f>IFERROR(TEXTJOIN(" / ",TRUE,UNIQUE(FILTER(소재DB_RAW!$K$3:$K$2000,(소재DB_RAW!$G$3:$G$2000=$D164)*ISERROR(SEARCH("drop",소재DB_RAW!$C$3:$C$2000))))),"")</f>
        <v/>
      </c>
      <c r="W164" s="20" t="inlineStr">
        <is>
          <t>인도네시아</t>
        </is>
      </c>
      <c r="X164" s="20">
        <f>IFERROR(TEXTJOIN(" / ",TRUE,UNIQUE(FILTER(소재DB_RAW!$N$3:$N$2000,(소재DB_RAW!$G$3:$G$2000=$D164)*ISERROR(SEARCH("drop",소재DB_RAW!$C$3:$C$2000))))),"")</f>
        <v/>
      </c>
      <c r="Y164" s="26">
        <f>IFERROR(TEXTJOIN(CHAR(10),TRUE,UNIQUE(FILTER(소재DB_RAW!$N$3:$N$2000&amp;") "&amp;소재DB_RAW!$O$3:$O$2000,(소재DB_RAW!$G$3:$G$2000=$D164)*ISNUMBER(SEARCH("겉감",소재DB_RAW!$M$3:$M$2000))*ISERROR(SEARCH("drop",소재DB_RAW!$C$3:$C$2000))))),"")</f>
        <v/>
      </c>
      <c r="Z164" s="26">
        <f>IFERROR(TEXTJOIN(CHAR(10),TRUE,UNIQUE(FILTER(소재DB_RAW!$N$3:$N$2000&amp;") "&amp;소재DB_RAW!$O$3:$O$2000,(소재DB_RAW!$G$3:$G$2000=$D164)*ISNUMBER(SEARCH("안감",소재DB_RAW!$M$3:$M$2000))*ISERROR(SEARCH("drop",소재DB_RAW!$C$3:$C$2000))))),"")</f>
        <v/>
      </c>
      <c r="AA164" s="27" t="n">
        <v>24000</v>
      </c>
      <c r="AB164" s="27" t="n">
        <v>189600000</v>
      </c>
      <c r="AC164" s="27" t="n">
        <v>1632000000</v>
      </c>
      <c r="AD164" s="20" t="n"/>
      <c r="AE164" s="20">
        <f>IF($K164="","출고일 미정",IF($Q164="X","작지 미발행",IF($Q164="부분","작지 일부 미발행",IF(AND($S164&lt;&gt;"",$S164&gt;$N164),"소재입고 마감("&amp;TEXT($N164,"MM/DD")&amp;") 초과",IF($Q164="","발행여부 확인 필요",IF($S164="","소재 입고일정 확인 필요","정상"))))))</f>
        <v/>
      </c>
      <c r="AF164" s="19">
        <f>IF($K164="","",IF(OR(LEFT($AE164,2)="작지",LEFT($AE164,4)="소재입고"),IF(LEFT($G164,1)="S","★ 납기위험(S코드)","◆ 지연주의"),IF($AE164="정상","✓ 정상","? 확인필요")))</f>
        <v/>
      </c>
      <c r="AG164" s="21" t="n"/>
      <c r="AH164" s="28" t="n"/>
    </row>
    <row r="165">
      <c r="A165" s="19" t="n">
        <v>161</v>
      </c>
      <c r="B165" s="20" t="inlineStr">
        <is>
          <t>박진아</t>
        </is>
      </c>
      <c r="C165" s="20" t="inlineStr">
        <is>
          <t>조이슬</t>
        </is>
      </c>
      <c r="D165" s="20" t="inlineStr">
        <is>
          <t>JKPNM27138</t>
        </is>
      </c>
      <c r="E165" s="20" t="inlineStr">
        <is>
          <t>하절 여성 WIGO 디테처블 팬츠</t>
        </is>
      </c>
      <c r="F165" s="20" t="inlineStr">
        <is>
          <t>KHA(KHAKI), BLK(BLACK)</t>
        </is>
      </c>
      <c r="G165" s="19">
        <f>IF($D165="","",IF(MID($D165,5,1)="S","S(봄)",IF(MID($D165,5,1)="M","M(여름)",IF(MID($D165,5,1)="X","X(사계절)",MID($D165,5,1)))))</f>
        <v/>
      </c>
      <c r="H165" s="20" t="inlineStr">
        <is>
          <t>CMT</t>
        </is>
      </c>
      <c r="I165" s="19" t="inlineStr"/>
      <c r="J165" s="21" t="inlineStr">
        <is>
          <t>2월1주</t>
        </is>
      </c>
      <c r="K165" s="22">
        <f>IF($J165="","",IFERROR(DATE(IF(VALUE(LEFT($J165,FIND("월",$J165)-1))&gt;=9,기준정보!$C$7-1,기준정보!$C$7),VALUE(LEFT($J165,FIND("월",$J165)-1)),1+7*(VALUE(SUBSTITUTE(MID($J165,FIND("월",$J165)+1,5),"주",""))-1)),""))</f>
        <v/>
      </c>
      <c r="L165" s="22">
        <f>IF($K165="","",IF(AND($K165-기준정보!$C$5&gt;=기준정보!$C$10,$K165-기준정보!$C$5&lt;=기준정보!$C$11),기준정보!$C$10-1,$K165-기준정보!$C$5))</f>
        <v/>
      </c>
      <c r="M165" s="23">
        <f>IF($L165="","",IF(OR(ISNUMBER(SEARCH("중국",$W165)),ISNUMBER(SEARCH("베트남",$W165))),MAX(0,MIN($L165,기준정보!$C$9)-MAX($L165-기준정보!$C$6,기준정보!$C$8)+1),IF(ISNUMBER(SEARCH("한국",$W165)),MAX(0,MIN($L165,기준정보!$C$11)-MAX($L165-기준정보!$C$6,기준정보!$C$10)+1),0)))</f>
        <v/>
      </c>
      <c r="N165" s="22">
        <f>IF($L165="","",$L165-기준정보!$C$6-$M165)</f>
        <v/>
      </c>
      <c r="O165" s="24">
        <f>IF($N165="","",$N165-기준정보!$C$4)</f>
        <v/>
      </c>
      <c r="P165" s="21" t="n"/>
      <c r="Q165" s="21" t="inlineStr">
        <is>
          <t>O</t>
        </is>
      </c>
      <c r="R165" s="19">
        <f>IF(COUNTIF(EDW_RAW!$A$2:$A$1500,$D165)=0,"",IF(COUNTIFS(EDW_RAW!$A$2:$A$1500,$D165,EDW_RAW!$U$2:$U$1500,"&lt;&gt;~",EDW_RAW!$U$2:$U$1500,"&lt;&gt;")=COUNTIF(EDW_RAW!$A$2:$A$1500,$D165),"O",IF(COUNTIFS(EDW_RAW!$A$2:$A$1500,$D165,EDW_RAW!$U$2:$U$1500,"&lt;&gt;~",EDW_RAW!$U$2:$U$1500,"&lt;&gt;")&gt;0,"부분","X")))</f>
        <v/>
      </c>
      <c r="S165" s="25" t="n"/>
      <c r="T165" s="20">
        <f>IF($H165="","",IF(AND(ISNUMBER(SEARCH("CMT",$H165)),OR(ISNUMBER(SEARCH("완사입",$H165)),ISNUMBER(SEARCH("ODM",$H165)))),"본사/생산처 혼재",IF(ISNUMBER(SEARCH("CMT",$H165)),"본사(소재팀)","생산처")))</f>
        <v/>
      </c>
      <c r="U165" s="20" t="inlineStr">
        <is>
          <t>거림</t>
        </is>
      </c>
      <c r="V165" s="20">
        <f>IFERROR(TEXTJOIN(" / ",TRUE,UNIQUE(FILTER(소재DB_RAW!$K$3:$K$2000,(소재DB_RAW!$G$3:$G$2000=$D165)*ISERROR(SEARCH("drop",소재DB_RAW!$C$3:$C$2000))))),"")</f>
        <v/>
      </c>
      <c r="W165" s="20" t="inlineStr">
        <is>
          <t>베트남</t>
        </is>
      </c>
      <c r="X165" s="20">
        <f>IFERROR(TEXTJOIN(" / ",TRUE,UNIQUE(FILTER(소재DB_RAW!$N$3:$N$2000,(소재DB_RAW!$G$3:$G$2000=$D165)*ISERROR(SEARCH("drop",소재DB_RAW!$C$3:$C$2000))))),"")</f>
        <v/>
      </c>
      <c r="Y165" s="26">
        <f>IFERROR(TEXTJOIN(CHAR(10),TRUE,UNIQUE(FILTER(소재DB_RAW!$N$3:$N$2000&amp;") "&amp;소재DB_RAW!$O$3:$O$2000,(소재DB_RAW!$G$3:$G$2000=$D165)*ISNUMBER(SEARCH("겉감",소재DB_RAW!$M$3:$M$2000))*ISERROR(SEARCH("drop",소재DB_RAW!$C$3:$C$2000))))),"")</f>
        <v/>
      </c>
      <c r="Z165" s="26">
        <f>IFERROR(TEXTJOIN(CHAR(10),TRUE,UNIQUE(FILTER(소재DB_RAW!$N$3:$N$2000&amp;") "&amp;소재DB_RAW!$O$3:$O$2000,(소재DB_RAW!$G$3:$G$2000=$D165)*ISNUMBER(SEARCH("안감",소재DB_RAW!$M$3:$M$2000))*ISERROR(SEARCH("drop",소재DB_RAW!$C$3:$C$2000))))),"")</f>
        <v/>
      </c>
      <c r="AA165" s="27" t="n">
        <v>1500</v>
      </c>
      <c r="AB165" s="27" t="n">
        <v>89790000</v>
      </c>
      <c r="AC165" s="27" t="n">
        <v>375000000</v>
      </c>
      <c r="AD165" s="20" t="inlineStr">
        <is>
          <t>2월1주</t>
        </is>
      </c>
      <c r="AE165" s="20">
        <f>IF($K165="","출고일 미정",IF($Q165="X","작지 미발행",IF($Q165="부분","작지 일부 미발행",IF(AND($S165&lt;&gt;"",$S165&gt;$N165),"소재입고 마감("&amp;TEXT($N165,"MM/DD")&amp;") 초과",IF($Q165="","발행여부 확인 필요",IF($S165="","소재 입고일정 확인 필요","정상"))))))</f>
        <v/>
      </c>
      <c r="AF165" s="19">
        <f>IF($K165="","",IF(OR(LEFT($AE165,2)="작지",LEFT($AE165,4)="소재입고"),IF(LEFT($G165,1)="S","★ 납기위험(S코드)","◆ 지연주의"),IF($AE165="정상","✓ 정상","? 확인필요")))</f>
        <v/>
      </c>
      <c r="AG165" s="21" t="n"/>
      <c r="AH165" s="28" t="n"/>
    </row>
    <row r="166">
      <c r="A166" s="19" t="n">
        <v>162</v>
      </c>
      <c r="B166" s="20" t="inlineStr">
        <is>
          <t>박진아</t>
        </is>
      </c>
      <c r="C166" s="20" t="inlineStr">
        <is>
          <t>조이슬</t>
        </is>
      </c>
      <c r="D166" s="20" t="inlineStr">
        <is>
          <t>JKPNM27192</t>
        </is>
      </c>
      <c r="E166" s="20" t="inlineStr">
        <is>
          <t>하절 여성 하이킹 벤틸레이션 커브드 팬츠</t>
        </is>
      </c>
      <c r="F166" s="20" t="inlineStr">
        <is>
          <t>VBU, CRE(CREAM)</t>
        </is>
      </c>
      <c r="G166" s="19">
        <f>IF($D166="","",IF(MID($D166,5,1)="S","S(봄)",IF(MID($D166,5,1)="M","M(여름)",IF(MID($D166,5,1)="X","X(사계절)",MID($D166,5,1)))))</f>
        <v/>
      </c>
      <c r="H166" s="20" t="inlineStr">
        <is>
          <t>CMT</t>
        </is>
      </c>
      <c r="I166" s="19" t="inlineStr"/>
      <c r="J166" s="21" t="inlineStr">
        <is>
          <t>2월1주</t>
        </is>
      </c>
      <c r="K166" s="22">
        <f>IF($J166="","",IFERROR(DATE(IF(VALUE(LEFT($J166,FIND("월",$J166)-1))&gt;=9,기준정보!$C$7-1,기준정보!$C$7),VALUE(LEFT($J166,FIND("월",$J166)-1)),1+7*(VALUE(SUBSTITUTE(MID($J166,FIND("월",$J166)+1,5),"주",""))-1)),""))</f>
        <v/>
      </c>
      <c r="L166" s="22">
        <f>IF($K166="","",IF(AND($K166-기준정보!$C$5&gt;=기준정보!$C$10,$K166-기준정보!$C$5&lt;=기준정보!$C$11),기준정보!$C$10-1,$K166-기준정보!$C$5))</f>
        <v/>
      </c>
      <c r="M166" s="23">
        <f>IF($L166="","",IF(OR(ISNUMBER(SEARCH("중국",$W166)),ISNUMBER(SEARCH("베트남",$W166))),MAX(0,MIN($L166,기준정보!$C$9)-MAX($L166-기준정보!$C$6,기준정보!$C$8)+1),IF(ISNUMBER(SEARCH("한국",$W166)),MAX(0,MIN($L166,기준정보!$C$11)-MAX($L166-기준정보!$C$6,기준정보!$C$10)+1),0)))</f>
        <v/>
      </c>
      <c r="N166" s="22">
        <f>IF($L166="","",$L166-기준정보!$C$6-$M166)</f>
        <v/>
      </c>
      <c r="O166" s="24">
        <f>IF($N166="","",$N166-기준정보!$C$4)</f>
        <v/>
      </c>
      <c r="P166" s="21" t="n"/>
      <c r="Q166" s="21" t="inlineStr">
        <is>
          <t>O</t>
        </is>
      </c>
      <c r="R166" s="19">
        <f>IF(COUNTIF(EDW_RAW!$A$2:$A$1500,$D166)=0,"",IF(COUNTIFS(EDW_RAW!$A$2:$A$1500,$D166,EDW_RAW!$U$2:$U$1500,"&lt;&gt;~",EDW_RAW!$U$2:$U$1500,"&lt;&gt;")=COUNTIF(EDW_RAW!$A$2:$A$1500,$D166),"O",IF(COUNTIFS(EDW_RAW!$A$2:$A$1500,$D166,EDW_RAW!$U$2:$U$1500,"&lt;&gt;~",EDW_RAW!$U$2:$U$1500,"&lt;&gt;")&gt;0,"부분","X")))</f>
        <v/>
      </c>
      <c r="S166" s="25" t="n"/>
      <c r="T166" s="20">
        <f>IF($H166="","",IF(AND(ISNUMBER(SEARCH("CMT",$H166)),OR(ISNUMBER(SEARCH("완사입",$H166)),ISNUMBER(SEARCH("ODM",$H166)))),"본사/생산처 혼재",IF(ISNUMBER(SEARCH("CMT",$H166)),"본사(소재팀)","생산처")))</f>
        <v/>
      </c>
      <c r="U166" s="20" t="inlineStr">
        <is>
          <t>거림</t>
        </is>
      </c>
      <c r="V166" s="20">
        <f>IFERROR(TEXTJOIN(" / ",TRUE,UNIQUE(FILTER(소재DB_RAW!$K$3:$K$2000,(소재DB_RAW!$G$3:$G$2000=$D166)*ISERROR(SEARCH("drop",소재DB_RAW!$C$3:$C$2000))))),"")</f>
        <v/>
      </c>
      <c r="W166" s="20" t="inlineStr">
        <is>
          <t>베트남</t>
        </is>
      </c>
      <c r="X166" s="20">
        <f>IFERROR(TEXTJOIN(" / ",TRUE,UNIQUE(FILTER(소재DB_RAW!$N$3:$N$2000,(소재DB_RAW!$G$3:$G$2000=$D166)*ISERROR(SEARCH("drop",소재DB_RAW!$C$3:$C$2000))))),"")</f>
        <v/>
      </c>
      <c r="Y166" s="26">
        <f>IFERROR(TEXTJOIN(CHAR(10),TRUE,UNIQUE(FILTER(소재DB_RAW!$N$3:$N$2000&amp;") "&amp;소재DB_RAW!$O$3:$O$2000,(소재DB_RAW!$G$3:$G$2000=$D166)*ISNUMBER(SEARCH("겉감",소재DB_RAW!$M$3:$M$2000))*ISERROR(SEARCH("drop",소재DB_RAW!$C$3:$C$2000))))),"")</f>
        <v/>
      </c>
      <c r="Z166" s="26">
        <f>IFERROR(TEXTJOIN(CHAR(10),TRUE,UNIQUE(FILTER(소재DB_RAW!$N$3:$N$2000&amp;") "&amp;소재DB_RAW!$O$3:$O$2000,(소재DB_RAW!$G$3:$G$2000=$D166)*ISNUMBER(SEARCH("안감",소재DB_RAW!$M$3:$M$2000))*ISERROR(SEARCH("drop",소재DB_RAW!$C$3:$C$2000))))),"")</f>
        <v/>
      </c>
      <c r="AA166" s="27" t="n">
        <v>1900</v>
      </c>
      <c r="AB166" s="27" t="n">
        <v>60925400</v>
      </c>
      <c r="AC166" s="27" t="n">
        <v>357200000</v>
      </c>
      <c r="AD166" s="20" t="inlineStr">
        <is>
          <t>2월1주</t>
        </is>
      </c>
      <c r="AE166" s="20">
        <f>IF($K166="","출고일 미정",IF($Q166="X","작지 미발행",IF($Q166="부분","작지 일부 미발행",IF(AND($S166&lt;&gt;"",$S166&gt;$N166),"소재입고 마감("&amp;TEXT($N166,"MM/DD")&amp;") 초과",IF($Q166="","발행여부 확인 필요",IF($S166="","소재 입고일정 확인 필요","정상"))))))</f>
        <v/>
      </c>
      <c r="AF166" s="19">
        <f>IF($K166="","",IF(OR(LEFT($AE166,2)="작지",LEFT($AE166,4)="소재입고"),IF(LEFT($G166,1)="S","★ 납기위험(S코드)","◆ 지연주의"),IF($AE166="정상","✓ 정상","? 확인필요")))</f>
        <v/>
      </c>
      <c r="AG166" s="21" t="n"/>
      <c r="AH166" s="28" t="n"/>
    </row>
    <row r="167">
      <c r="A167" s="19" t="n">
        <v>163</v>
      </c>
      <c r="B167" s="20" t="inlineStr">
        <is>
          <t>박지인</t>
        </is>
      </c>
      <c r="C167" s="20" t="inlineStr">
        <is>
          <t>조이슬</t>
        </is>
      </c>
      <c r="D167" s="20" t="inlineStr">
        <is>
          <t>JKJJM27124</t>
        </is>
      </c>
      <c r="E167" s="20" t="inlineStr">
        <is>
          <t>하절 여성 자카드 풀집업 자켓</t>
        </is>
      </c>
      <c r="F167" s="20" t="inlineStr">
        <is>
          <t>CRE(CREAM), LSL</t>
        </is>
      </c>
      <c r="G167" s="19">
        <f>IF($D167="","",IF(MID($D167,5,1)="S","S(봄)",IF(MID($D167,5,1)="M","M(여름)",IF(MID($D167,5,1)="X","X(사계절)",MID($D167,5,1)))))</f>
        <v/>
      </c>
      <c r="H167" s="20" t="inlineStr">
        <is>
          <t>완사입</t>
        </is>
      </c>
      <c r="I167" s="19" t="inlineStr"/>
      <c r="J167" s="21" t="inlineStr">
        <is>
          <t>2월4주</t>
        </is>
      </c>
      <c r="K167" s="22">
        <f>IF($J167="","",IFERROR(DATE(IF(VALUE(LEFT($J167,FIND("월",$J167)-1))&gt;=9,기준정보!$C$7-1,기준정보!$C$7),VALUE(LEFT($J167,FIND("월",$J167)-1)),1+7*(VALUE(SUBSTITUTE(MID($J167,FIND("월",$J167)+1,5),"주",""))-1)),""))</f>
        <v/>
      </c>
      <c r="L167" s="22">
        <f>IF($K167="","",IF(AND($K167-기준정보!$C$5&gt;=기준정보!$C$10,$K167-기준정보!$C$5&lt;=기준정보!$C$11),기준정보!$C$10-1,$K167-기준정보!$C$5))</f>
        <v/>
      </c>
      <c r="M167" s="23">
        <f>IF($L167="","",IF(OR(ISNUMBER(SEARCH("중국",$W167)),ISNUMBER(SEARCH("베트남",$W167))),MAX(0,MIN($L167,기준정보!$C$9)-MAX($L167-기준정보!$C$6,기준정보!$C$8)+1),IF(ISNUMBER(SEARCH("한국",$W167)),MAX(0,MIN($L167,기준정보!$C$11)-MAX($L167-기준정보!$C$6,기준정보!$C$10)+1),0)))</f>
        <v/>
      </c>
      <c r="N167" s="22">
        <f>IF($L167="","",$L167-기준정보!$C$6-$M167)</f>
        <v/>
      </c>
      <c r="O167" s="24">
        <f>IF($N167="","",$N167-기준정보!$C$4)</f>
        <v/>
      </c>
      <c r="P167" s="21" t="n"/>
      <c r="Q167" s="21" t="inlineStr">
        <is>
          <t>O</t>
        </is>
      </c>
      <c r="R167" s="19">
        <f>IF(COUNTIF(EDW_RAW!$A$2:$A$1500,$D167)=0,"",IF(COUNTIFS(EDW_RAW!$A$2:$A$1500,$D167,EDW_RAW!$U$2:$U$1500,"&lt;&gt;~",EDW_RAW!$U$2:$U$1500,"&lt;&gt;")=COUNTIF(EDW_RAW!$A$2:$A$1500,$D167),"O",IF(COUNTIFS(EDW_RAW!$A$2:$A$1500,$D167,EDW_RAW!$U$2:$U$1500,"&lt;&gt;~",EDW_RAW!$U$2:$U$1500,"&lt;&gt;")&gt;0,"부분","X")))</f>
        <v/>
      </c>
      <c r="S167" s="25" t="n"/>
      <c r="T167" s="20">
        <f>IF($H167="","",IF(AND(ISNUMBER(SEARCH("CMT",$H167)),OR(ISNUMBER(SEARCH("완사입",$H167)),ISNUMBER(SEARCH("ODM",$H167)))),"본사/생산처 혼재",IF(ISNUMBER(SEARCH("CMT",$H167)),"본사(소재팀)","생산처")))</f>
        <v/>
      </c>
      <c r="U167" s="20" t="inlineStr">
        <is>
          <t>IKG</t>
        </is>
      </c>
      <c r="V167" s="20">
        <f>IFERROR(TEXTJOIN(" / ",TRUE,UNIQUE(FILTER(소재DB_RAW!$K$3:$K$2000,(소재DB_RAW!$G$3:$G$2000=$D167)*ISERROR(SEARCH("drop",소재DB_RAW!$C$3:$C$2000))))),"")</f>
        <v/>
      </c>
      <c r="W167" s="20" t="inlineStr">
        <is>
          <t>인도네시아</t>
        </is>
      </c>
      <c r="X167" s="20">
        <f>IFERROR(TEXTJOIN(" / ",TRUE,UNIQUE(FILTER(소재DB_RAW!$N$3:$N$2000,(소재DB_RAW!$G$3:$G$2000=$D167)*ISERROR(SEARCH("drop",소재DB_RAW!$C$3:$C$2000))))),"")</f>
        <v/>
      </c>
      <c r="Y167" s="26">
        <f>IFERROR(TEXTJOIN(CHAR(10),TRUE,UNIQUE(FILTER(소재DB_RAW!$N$3:$N$2000&amp;") "&amp;소재DB_RAW!$O$3:$O$2000,(소재DB_RAW!$G$3:$G$2000=$D167)*ISNUMBER(SEARCH("겉감",소재DB_RAW!$M$3:$M$2000))*ISERROR(SEARCH("drop",소재DB_RAW!$C$3:$C$2000))))),"")</f>
        <v/>
      </c>
      <c r="Z167" s="26">
        <f>IFERROR(TEXTJOIN(CHAR(10),TRUE,UNIQUE(FILTER(소재DB_RAW!$N$3:$N$2000&amp;") "&amp;소재DB_RAW!$O$3:$O$2000,(소재DB_RAW!$G$3:$G$2000=$D167)*ISNUMBER(SEARCH("안감",소재DB_RAW!$M$3:$M$2000))*ISERROR(SEARCH("drop",소재DB_RAW!$C$3:$C$2000))))),"")</f>
        <v/>
      </c>
      <c r="AA167" s="27" t="n">
        <v>3000</v>
      </c>
      <c r="AB167" s="27" t="n">
        <v>105000000</v>
      </c>
      <c r="AC167" s="27" t="n">
        <v>564000000</v>
      </c>
      <c r="AD167" s="20" t="inlineStr">
        <is>
          <t>2월4주</t>
        </is>
      </c>
      <c r="AE167" s="20">
        <f>IF($K167="","출고일 미정",IF($Q167="X","작지 미발행",IF($Q167="부분","작지 일부 미발행",IF(AND($S167&lt;&gt;"",$S167&gt;$N167),"소재입고 마감("&amp;TEXT($N167,"MM/DD")&amp;") 초과",IF($Q167="","발행여부 확인 필요",IF($S167="","소재 입고일정 확인 필요","정상"))))))</f>
        <v/>
      </c>
      <c r="AF167" s="19">
        <f>IF($K167="","",IF(OR(LEFT($AE167,2)="작지",LEFT($AE167,4)="소재입고"),IF(LEFT($G167,1)="S","★ 납기위험(S코드)","◆ 지연주의"),IF($AE167="정상","✓ 정상","? 확인필요")))</f>
        <v/>
      </c>
      <c r="AG167" s="21" t="n"/>
      <c r="AH167" s="28" t="n"/>
    </row>
    <row r="168">
      <c r="A168" s="19" t="n">
        <v>164</v>
      </c>
      <c r="B168" s="20" t="inlineStr">
        <is>
          <t>박진아</t>
        </is>
      </c>
      <c r="C168" s="20" t="inlineStr">
        <is>
          <t>조이슬</t>
        </is>
      </c>
      <c r="D168" s="20" t="inlineStr">
        <is>
          <t>JKPOM27142</t>
        </is>
      </c>
      <c r="E168" s="20" t="inlineStr">
        <is>
          <t>하절 여성 소프트쉘 쇼츠 (SET-UP)</t>
        </is>
      </c>
      <c r="F168" s="20" t="inlineStr">
        <is>
          <t>BLK(BLACK), WBE</t>
        </is>
      </c>
      <c r="G168" s="19">
        <f>IF($D168="","",IF(MID($D168,5,1)="S","S(봄)",IF(MID($D168,5,1)="M","M(여름)",IF(MID($D168,5,1)="X","X(사계절)",MID($D168,5,1)))))</f>
        <v/>
      </c>
      <c r="H168" s="20" t="inlineStr">
        <is>
          <t>CMT</t>
        </is>
      </c>
      <c r="I168" s="19" t="inlineStr"/>
      <c r="J168" s="21" t="inlineStr">
        <is>
          <t>2월4주</t>
        </is>
      </c>
      <c r="K168" s="22">
        <f>IF($J168="","",IFERROR(DATE(IF(VALUE(LEFT($J168,FIND("월",$J168)-1))&gt;=9,기준정보!$C$7-1,기준정보!$C$7),VALUE(LEFT($J168,FIND("월",$J168)-1)),1+7*(VALUE(SUBSTITUTE(MID($J168,FIND("월",$J168)+1,5),"주",""))-1)),""))</f>
        <v/>
      </c>
      <c r="L168" s="22">
        <f>IF($K168="","",IF(AND($K168-기준정보!$C$5&gt;=기준정보!$C$10,$K168-기준정보!$C$5&lt;=기준정보!$C$11),기준정보!$C$10-1,$K168-기준정보!$C$5))</f>
        <v/>
      </c>
      <c r="M168" s="23">
        <f>IF($L168="","",IF(OR(ISNUMBER(SEARCH("중국",$W168)),ISNUMBER(SEARCH("베트남",$W168))),MAX(0,MIN($L168,기준정보!$C$9)-MAX($L168-기준정보!$C$6,기준정보!$C$8)+1),IF(ISNUMBER(SEARCH("한국",$W168)),MAX(0,MIN($L168,기준정보!$C$11)-MAX($L168-기준정보!$C$6,기준정보!$C$10)+1),0)))</f>
        <v/>
      </c>
      <c r="N168" s="22">
        <f>IF($L168="","",$L168-기준정보!$C$6-$M168)</f>
        <v/>
      </c>
      <c r="O168" s="24">
        <f>IF($N168="","",$N168-기준정보!$C$4)</f>
        <v/>
      </c>
      <c r="P168" s="21" t="n"/>
      <c r="Q168" s="21" t="inlineStr">
        <is>
          <t>O</t>
        </is>
      </c>
      <c r="R168" s="19">
        <f>IF(COUNTIF(EDW_RAW!$A$2:$A$1500,$D168)=0,"",IF(COUNTIFS(EDW_RAW!$A$2:$A$1500,$D168,EDW_RAW!$U$2:$U$1500,"&lt;&gt;~",EDW_RAW!$U$2:$U$1500,"&lt;&gt;")=COUNTIF(EDW_RAW!$A$2:$A$1500,$D168),"O",IF(COUNTIFS(EDW_RAW!$A$2:$A$1500,$D168,EDW_RAW!$U$2:$U$1500,"&lt;&gt;~",EDW_RAW!$U$2:$U$1500,"&lt;&gt;")&gt;0,"부분","X")))</f>
        <v/>
      </c>
      <c r="S168" s="25" t="n"/>
      <c r="T168" s="20">
        <f>IF($H168="","",IF(AND(ISNUMBER(SEARCH("CMT",$H168)),OR(ISNUMBER(SEARCH("완사입",$H168)),ISNUMBER(SEARCH("ODM",$H168)))),"본사/생산처 혼재",IF(ISNUMBER(SEARCH("CMT",$H168)),"본사(소재팀)","생산처")))</f>
        <v/>
      </c>
      <c r="U168" s="20" t="inlineStr">
        <is>
          <t>YIC</t>
        </is>
      </c>
      <c r="V168" s="20">
        <f>IFERROR(TEXTJOIN(" / ",TRUE,UNIQUE(FILTER(소재DB_RAW!$K$3:$K$2000,(소재DB_RAW!$G$3:$G$2000=$D168)*ISERROR(SEARCH("drop",소재DB_RAW!$C$3:$C$2000))))),"")</f>
        <v/>
      </c>
      <c r="W168" s="20" t="inlineStr">
        <is>
          <t>베트남</t>
        </is>
      </c>
      <c r="X168" s="20">
        <f>IFERROR(TEXTJOIN(" / ",TRUE,UNIQUE(FILTER(소재DB_RAW!$N$3:$N$2000,(소재DB_RAW!$G$3:$G$2000=$D168)*ISERROR(SEARCH("drop",소재DB_RAW!$C$3:$C$2000))))),"")</f>
        <v/>
      </c>
      <c r="Y168" s="26">
        <f>IFERROR(TEXTJOIN(CHAR(10),TRUE,UNIQUE(FILTER(소재DB_RAW!$N$3:$N$2000&amp;") "&amp;소재DB_RAW!$O$3:$O$2000,(소재DB_RAW!$G$3:$G$2000=$D168)*ISNUMBER(SEARCH("겉감",소재DB_RAW!$M$3:$M$2000))*ISERROR(SEARCH("drop",소재DB_RAW!$C$3:$C$2000))))),"")</f>
        <v/>
      </c>
      <c r="Z168" s="26">
        <f>IFERROR(TEXTJOIN(CHAR(10),TRUE,UNIQUE(FILTER(소재DB_RAW!$N$3:$N$2000&amp;") "&amp;소재DB_RAW!$O$3:$O$2000,(소재DB_RAW!$G$3:$G$2000=$D168)*ISNUMBER(SEARCH("안감",소재DB_RAW!$M$3:$M$2000))*ISERROR(SEARCH("drop",소재DB_RAW!$C$3:$C$2000))))),"")</f>
        <v/>
      </c>
      <c r="AA168" s="27" t="n">
        <v>1800</v>
      </c>
      <c r="AB168" s="27" t="n">
        <v>43592400</v>
      </c>
      <c r="AC168" s="27" t="n">
        <v>230400000</v>
      </c>
      <c r="AD168" s="20" t="inlineStr">
        <is>
          <t>2월4주</t>
        </is>
      </c>
      <c r="AE168" s="20">
        <f>IF($K168="","출고일 미정",IF($Q168="X","작지 미발행",IF($Q168="부분","작지 일부 미발행",IF(AND($S168&lt;&gt;"",$S168&gt;$N168),"소재입고 마감("&amp;TEXT($N168,"MM/DD")&amp;") 초과",IF($Q168="","발행여부 확인 필요",IF($S168="","소재 입고일정 확인 필요","정상"))))))</f>
        <v/>
      </c>
      <c r="AF168" s="19">
        <f>IF($K168="","",IF(OR(LEFT($AE168,2)="작지",LEFT($AE168,4)="소재입고"),IF(LEFT($G168,1)="S","★ 납기위험(S코드)","◆ 지연주의"),IF($AE168="정상","✓ 정상","? 확인필요")))</f>
        <v/>
      </c>
      <c r="AG168" s="21" t="n"/>
      <c r="AH168" s="28" t="n"/>
    </row>
    <row r="169">
      <c r="A169" s="19" t="n">
        <v>165</v>
      </c>
      <c r="B169" s="20" t="inlineStr">
        <is>
          <t>박진아</t>
        </is>
      </c>
      <c r="C169" s="20" t="inlineStr">
        <is>
          <t>조이슬</t>
        </is>
      </c>
      <c r="D169" s="20" t="inlineStr">
        <is>
          <t>JKTBM27124</t>
        </is>
      </c>
      <c r="E169" s="20" t="inlineStr">
        <is>
          <t>하절 여성 자카드 긴팔 티셔츠</t>
        </is>
      </c>
      <c r="F169" s="20" t="inlineStr">
        <is>
          <t>KHA(KHAKI), BLK(BLACK)</t>
        </is>
      </c>
      <c r="G169" s="19">
        <f>IF($D169="","",IF(MID($D169,5,1)="S","S(봄)",IF(MID($D169,5,1)="M","M(여름)",IF(MID($D169,5,1)="X","X(사계절)",MID($D169,5,1)))))</f>
        <v/>
      </c>
      <c r="H169" s="20" t="inlineStr">
        <is>
          <t>완사입</t>
        </is>
      </c>
      <c r="I169" s="19" t="inlineStr"/>
      <c r="J169" s="21" t="inlineStr">
        <is>
          <t>2월4주</t>
        </is>
      </c>
      <c r="K169" s="22">
        <f>IF($J169="","",IFERROR(DATE(IF(VALUE(LEFT($J169,FIND("월",$J169)-1))&gt;=9,기준정보!$C$7-1,기준정보!$C$7),VALUE(LEFT($J169,FIND("월",$J169)-1)),1+7*(VALUE(SUBSTITUTE(MID($J169,FIND("월",$J169)+1,5),"주",""))-1)),""))</f>
        <v/>
      </c>
      <c r="L169" s="22">
        <f>IF($K169="","",IF(AND($K169-기준정보!$C$5&gt;=기준정보!$C$10,$K169-기준정보!$C$5&lt;=기준정보!$C$11),기준정보!$C$10-1,$K169-기준정보!$C$5))</f>
        <v/>
      </c>
      <c r="M169" s="23">
        <f>IF($L169="","",IF(OR(ISNUMBER(SEARCH("중국",$W169)),ISNUMBER(SEARCH("베트남",$W169))),MAX(0,MIN($L169,기준정보!$C$9)-MAX($L169-기준정보!$C$6,기준정보!$C$8)+1),IF(ISNUMBER(SEARCH("한국",$W169)),MAX(0,MIN($L169,기준정보!$C$11)-MAX($L169-기준정보!$C$6,기준정보!$C$10)+1),0)))</f>
        <v/>
      </c>
      <c r="N169" s="22">
        <f>IF($L169="","",$L169-기준정보!$C$6-$M169)</f>
        <v/>
      </c>
      <c r="O169" s="24">
        <f>IF($N169="","",$N169-기준정보!$C$4)</f>
        <v/>
      </c>
      <c r="P169" s="21" t="n"/>
      <c r="Q169" s="21" t="inlineStr">
        <is>
          <t>O</t>
        </is>
      </c>
      <c r="R169" s="19">
        <f>IF(COUNTIF(EDW_RAW!$A$2:$A$1500,$D169)=0,"",IF(COUNTIFS(EDW_RAW!$A$2:$A$1500,$D169,EDW_RAW!$U$2:$U$1500,"&lt;&gt;~",EDW_RAW!$U$2:$U$1500,"&lt;&gt;")=COUNTIF(EDW_RAW!$A$2:$A$1500,$D169),"O",IF(COUNTIFS(EDW_RAW!$A$2:$A$1500,$D169,EDW_RAW!$U$2:$U$1500,"&lt;&gt;~",EDW_RAW!$U$2:$U$1500,"&lt;&gt;")&gt;0,"부분","X")))</f>
        <v/>
      </c>
      <c r="S169" s="25" t="n"/>
      <c r="T169" s="20">
        <f>IF($H169="","",IF(AND(ISNUMBER(SEARCH("CMT",$H169)),OR(ISNUMBER(SEARCH("완사입",$H169)),ISNUMBER(SEARCH("ODM",$H169)))),"본사/생산처 혼재",IF(ISNUMBER(SEARCH("CMT",$H169)),"본사(소재팀)","생산처")))</f>
        <v/>
      </c>
      <c r="U169" s="20" t="inlineStr">
        <is>
          <t>IKG</t>
        </is>
      </c>
      <c r="V169" s="20">
        <f>IFERROR(TEXTJOIN(" / ",TRUE,UNIQUE(FILTER(소재DB_RAW!$K$3:$K$2000,(소재DB_RAW!$G$3:$G$2000=$D169)*ISERROR(SEARCH("drop",소재DB_RAW!$C$3:$C$2000))))),"")</f>
        <v/>
      </c>
      <c r="W169" s="20" t="inlineStr">
        <is>
          <t>인도네시아</t>
        </is>
      </c>
      <c r="X169" s="20">
        <f>IFERROR(TEXTJOIN(" / ",TRUE,UNIQUE(FILTER(소재DB_RAW!$N$3:$N$2000,(소재DB_RAW!$G$3:$G$2000=$D169)*ISERROR(SEARCH("drop",소재DB_RAW!$C$3:$C$2000))))),"")</f>
        <v/>
      </c>
      <c r="Y169" s="26">
        <f>IFERROR(TEXTJOIN(CHAR(10),TRUE,UNIQUE(FILTER(소재DB_RAW!$N$3:$N$2000&amp;") "&amp;소재DB_RAW!$O$3:$O$2000,(소재DB_RAW!$G$3:$G$2000=$D169)*ISNUMBER(SEARCH("겉감",소재DB_RAW!$M$3:$M$2000))*ISERROR(SEARCH("drop",소재DB_RAW!$C$3:$C$2000))))),"")</f>
        <v/>
      </c>
      <c r="Z169" s="26">
        <f>IFERROR(TEXTJOIN(CHAR(10),TRUE,UNIQUE(FILTER(소재DB_RAW!$N$3:$N$2000&amp;") "&amp;소재DB_RAW!$O$3:$O$2000,(소재DB_RAW!$G$3:$G$2000=$D169)*ISNUMBER(SEARCH("안감",소재DB_RAW!$M$3:$M$2000))*ISERROR(SEARCH("drop",소재DB_RAW!$C$3:$C$2000))))),"")</f>
        <v/>
      </c>
      <c r="AA169" s="27" t="n">
        <v>1600</v>
      </c>
      <c r="AB169" s="27" t="n">
        <v>36735400</v>
      </c>
      <c r="AC169" s="27" t="n">
        <v>188800000</v>
      </c>
      <c r="AD169" s="20" t="inlineStr">
        <is>
          <t>2월4주</t>
        </is>
      </c>
      <c r="AE169" s="20">
        <f>IF($K169="","출고일 미정",IF($Q169="X","작지 미발행",IF($Q169="부분","작지 일부 미발행",IF(AND($S169&lt;&gt;"",$S169&gt;$N169),"소재입고 마감("&amp;TEXT($N169,"MM/DD")&amp;") 초과",IF($Q169="","발행여부 확인 필요",IF($S169="","소재 입고일정 확인 필요","정상"))))))</f>
        <v/>
      </c>
      <c r="AF169" s="19">
        <f>IF($K169="","",IF(OR(LEFT($AE169,2)="작지",LEFT($AE169,4)="소재입고"),IF(LEFT($G169,1)="S","★ 납기위험(S코드)","◆ 지연주의"),IF($AE169="정상","✓ 정상","? 확인필요")))</f>
        <v/>
      </c>
      <c r="AG169" s="21" t="n"/>
      <c r="AH169" s="28" t="n"/>
    </row>
    <row r="170">
      <c r="A170" s="19" t="n">
        <v>166</v>
      </c>
      <c r="B170" s="20" t="inlineStr">
        <is>
          <t>박진아</t>
        </is>
      </c>
      <c r="C170" s="20" t="inlineStr">
        <is>
          <t>조이슬</t>
        </is>
      </c>
      <c r="D170" s="20" t="inlineStr">
        <is>
          <t>JKTBM27128</t>
        </is>
      </c>
      <c r="E170" s="20" t="inlineStr">
        <is>
          <t>하절 여성 MossDry 베이직 긴팔 집업 티셔츠</t>
        </is>
      </c>
      <c r="F170" s="20" t="inlineStr">
        <is>
          <t>IVO(IVORY), DMI(D/MINT)</t>
        </is>
      </c>
      <c r="G170" s="19">
        <f>IF($D170="","",IF(MID($D170,5,1)="S","S(봄)",IF(MID($D170,5,1)="M","M(여름)",IF(MID($D170,5,1)="X","X(사계절)",MID($D170,5,1)))))</f>
        <v/>
      </c>
      <c r="H170" s="20" t="inlineStr">
        <is>
          <t>완사입</t>
        </is>
      </c>
      <c r="I170" s="19" t="inlineStr"/>
      <c r="J170" s="21" t="inlineStr">
        <is>
          <t>2월4주</t>
        </is>
      </c>
      <c r="K170" s="22">
        <f>IF($J170="","",IFERROR(DATE(IF(VALUE(LEFT($J170,FIND("월",$J170)-1))&gt;=9,기준정보!$C$7-1,기준정보!$C$7),VALUE(LEFT($J170,FIND("월",$J170)-1)),1+7*(VALUE(SUBSTITUTE(MID($J170,FIND("월",$J170)+1,5),"주",""))-1)),""))</f>
        <v/>
      </c>
      <c r="L170" s="22">
        <f>IF($K170="","",IF(AND($K170-기준정보!$C$5&gt;=기준정보!$C$10,$K170-기준정보!$C$5&lt;=기준정보!$C$11),기준정보!$C$10-1,$K170-기준정보!$C$5))</f>
        <v/>
      </c>
      <c r="M170" s="23">
        <f>IF($L170="","",IF(OR(ISNUMBER(SEARCH("중국",$W170)),ISNUMBER(SEARCH("베트남",$W170))),MAX(0,MIN($L170,기준정보!$C$9)-MAX($L170-기준정보!$C$6,기준정보!$C$8)+1),IF(ISNUMBER(SEARCH("한국",$W170)),MAX(0,MIN($L170,기준정보!$C$11)-MAX($L170-기준정보!$C$6,기준정보!$C$10)+1),0)))</f>
        <v/>
      </c>
      <c r="N170" s="22">
        <f>IF($L170="","",$L170-기준정보!$C$6-$M170)</f>
        <v/>
      </c>
      <c r="O170" s="24">
        <f>IF($N170="","",$N170-기준정보!$C$4)</f>
        <v/>
      </c>
      <c r="P170" s="21" t="n"/>
      <c r="Q170" s="21" t="inlineStr">
        <is>
          <t>O</t>
        </is>
      </c>
      <c r="R170" s="19">
        <f>IF(COUNTIF(EDW_RAW!$A$2:$A$1500,$D170)=0,"",IF(COUNTIFS(EDW_RAW!$A$2:$A$1500,$D170,EDW_RAW!$U$2:$U$1500,"&lt;&gt;~",EDW_RAW!$U$2:$U$1500,"&lt;&gt;")=COUNTIF(EDW_RAW!$A$2:$A$1500,$D170),"O",IF(COUNTIFS(EDW_RAW!$A$2:$A$1500,$D170,EDW_RAW!$U$2:$U$1500,"&lt;&gt;~",EDW_RAW!$U$2:$U$1500,"&lt;&gt;")&gt;0,"부분","X")))</f>
        <v/>
      </c>
      <c r="S170" s="25" t="n"/>
      <c r="T170" s="20">
        <f>IF($H170="","",IF(AND(ISNUMBER(SEARCH("CMT",$H170)),OR(ISNUMBER(SEARCH("완사입",$H170)),ISNUMBER(SEARCH("ODM",$H170)))),"본사/생산처 혼재",IF(ISNUMBER(SEARCH("CMT",$H170)),"본사(소재팀)","생산처")))</f>
        <v/>
      </c>
      <c r="U170" s="20" t="inlineStr">
        <is>
          <t>TESSELLATION</t>
        </is>
      </c>
      <c r="V170" s="20">
        <f>IFERROR(TEXTJOIN(" / ",TRUE,UNIQUE(FILTER(소재DB_RAW!$K$3:$K$2000,(소재DB_RAW!$G$3:$G$2000=$D170)*ISERROR(SEARCH("drop",소재DB_RAW!$C$3:$C$2000))))),"")</f>
        <v/>
      </c>
      <c r="W170" s="20" t="inlineStr">
        <is>
          <t>베트남</t>
        </is>
      </c>
      <c r="X170" s="20">
        <f>IFERROR(TEXTJOIN(" / ",TRUE,UNIQUE(FILTER(소재DB_RAW!$N$3:$N$2000,(소재DB_RAW!$G$3:$G$2000=$D170)*ISERROR(SEARCH("drop",소재DB_RAW!$C$3:$C$2000))))),"")</f>
        <v/>
      </c>
      <c r="Y170" s="26">
        <f>IFERROR(TEXTJOIN(CHAR(10),TRUE,UNIQUE(FILTER(소재DB_RAW!$N$3:$N$2000&amp;") "&amp;소재DB_RAW!$O$3:$O$2000,(소재DB_RAW!$G$3:$G$2000=$D170)*ISNUMBER(SEARCH("겉감",소재DB_RAW!$M$3:$M$2000))*ISERROR(SEARCH("drop",소재DB_RAW!$C$3:$C$2000))))),"")</f>
        <v/>
      </c>
      <c r="Z170" s="26">
        <f>IFERROR(TEXTJOIN(CHAR(10),TRUE,UNIQUE(FILTER(소재DB_RAW!$N$3:$N$2000&amp;") "&amp;소재DB_RAW!$O$3:$O$2000,(소재DB_RAW!$G$3:$G$2000=$D170)*ISNUMBER(SEARCH("안감",소재DB_RAW!$M$3:$M$2000))*ISERROR(SEARCH("drop",소재DB_RAW!$C$3:$C$2000))))),"")</f>
        <v/>
      </c>
      <c r="AA170" s="27" t="n">
        <v>3000</v>
      </c>
      <c r="AB170" s="27" t="n">
        <v>57300000</v>
      </c>
      <c r="AC170" s="27" t="n">
        <v>354000000</v>
      </c>
      <c r="AD170" s="20" t="inlineStr">
        <is>
          <t>2월4주</t>
        </is>
      </c>
      <c r="AE170" s="20">
        <f>IF($K170="","출고일 미정",IF($Q170="X","작지 미발행",IF($Q170="부분","작지 일부 미발행",IF(AND($S170&lt;&gt;"",$S170&gt;$N170),"소재입고 마감("&amp;TEXT($N170,"MM/DD")&amp;") 초과",IF($Q170="","발행여부 확인 필요",IF($S170="","소재 입고일정 확인 필요","정상"))))))</f>
        <v/>
      </c>
      <c r="AF170" s="19">
        <f>IF($K170="","",IF(OR(LEFT($AE170,2)="작지",LEFT($AE170,4)="소재입고"),IF(LEFT($G170,1)="S","★ 납기위험(S코드)","◆ 지연주의"),IF($AE170="정상","✓ 정상","? 확인필요")))</f>
        <v/>
      </c>
      <c r="AG170" s="21" t="n"/>
      <c r="AH170" s="28" t="n"/>
    </row>
    <row r="171">
      <c r="A171" s="19" t="n">
        <v>167</v>
      </c>
      <c r="B171" s="20" t="inlineStr">
        <is>
          <t>박진아</t>
        </is>
      </c>
      <c r="C171" s="20" t="inlineStr">
        <is>
          <t>조이슬</t>
        </is>
      </c>
      <c r="D171" s="20" t="inlineStr">
        <is>
          <t>JKTBM27182</t>
        </is>
      </c>
      <c r="E171" s="20" t="inlineStr">
        <is>
          <t>하절 여성 에어도트 하이브리드 긴팔 후드 티셔츠</t>
        </is>
      </c>
      <c r="F171" s="20" t="inlineStr">
        <is>
          <t>WBE, DMI(D/MINT)</t>
        </is>
      </c>
      <c r="G171" s="19">
        <f>IF($D171="","",IF(MID($D171,5,1)="S","S(봄)",IF(MID($D171,5,1)="M","M(여름)",IF(MID($D171,5,1)="X","X(사계절)",MID($D171,5,1)))))</f>
        <v/>
      </c>
      <c r="H171" s="20" t="inlineStr">
        <is>
          <t>완사입</t>
        </is>
      </c>
      <c r="I171" s="19" t="inlineStr"/>
      <c r="J171" s="21" t="inlineStr">
        <is>
          <t>2월4주</t>
        </is>
      </c>
      <c r="K171" s="22">
        <f>IF($J171="","",IFERROR(DATE(IF(VALUE(LEFT($J171,FIND("월",$J171)-1))&gt;=9,기준정보!$C$7-1,기준정보!$C$7),VALUE(LEFT($J171,FIND("월",$J171)-1)),1+7*(VALUE(SUBSTITUTE(MID($J171,FIND("월",$J171)+1,5),"주",""))-1)),""))</f>
        <v/>
      </c>
      <c r="L171" s="22">
        <f>IF($K171="","",IF(AND($K171-기준정보!$C$5&gt;=기준정보!$C$10,$K171-기준정보!$C$5&lt;=기준정보!$C$11),기준정보!$C$10-1,$K171-기준정보!$C$5))</f>
        <v/>
      </c>
      <c r="M171" s="23">
        <f>IF($L171="","",IF(OR(ISNUMBER(SEARCH("중국",$W171)),ISNUMBER(SEARCH("베트남",$W171))),MAX(0,MIN($L171,기준정보!$C$9)-MAX($L171-기준정보!$C$6,기준정보!$C$8)+1),IF(ISNUMBER(SEARCH("한국",$W171)),MAX(0,MIN($L171,기준정보!$C$11)-MAX($L171-기준정보!$C$6,기준정보!$C$10)+1),0)))</f>
        <v/>
      </c>
      <c r="N171" s="22">
        <f>IF($L171="","",$L171-기준정보!$C$6-$M171)</f>
        <v/>
      </c>
      <c r="O171" s="24">
        <f>IF($N171="","",$N171-기준정보!$C$4)</f>
        <v/>
      </c>
      <c r="P171" s="21" t="n"/>
      <c r="Q171" s="21" t="inlineStr">
        <is>
          <t>O</t>
        </is>
      </c>
      <c r="R171" s="19">
        <f>IF(COUNTIF(EDW_RAW!$A$2:$A$1500,$D171)=0,"",IF(COUNTIFS(EDW_RAW!$A$2:$A$1500,$D171,EDW_RAW!$U$2:$U$1500,"&lt;&gt;~",EDW_RAW!$U$2:$U$1500,"&lt;&gt;")=COUNTIF(EDW_RAW!$A$2:$A$1500,$D171),"O",IF(COUNTIFS(EDW_RAW!$A$2:$A$1500,$D171,EDW_RAW!$U$2:$U$1500,"&lt;&gt;~",EDW_RAW!$U$2:$U$1500,"&lt;&gt;")&gt;0,"부분","X")))</f>
        <v/>
      </c>
      <c r="S171" s="25" t="n"/>
      <c r="T171" s="20">
        <f>IF($H171="","",IF(AND(ISNUMBER(SEARCH("CMT",$H171)),OR(ISNUMBER(SEARCH("완사입",$H171)),ISNUMBER(SEARCH("ODM",$H171)))),"본사/생산처 혼재",IF(ISNUMBER(SEARCH("CMT",$H171)),"본사(소재팀)","생산처")))</f>
        <v/>
      </c>
      <c r="U171" s="20" t="inlineStr">
        <is>
          <t>장안</t>
        </is>
      </c>
      <c r="V171" s="20">
        <f>IFERROR(TEXTJOIN(" / ",TRUE,UNIQUE(FILTER(소재DB_RAW!$K$3:$K$2000,(소재DB_RAW!$G$3:$G$2000=$D171)*ISERROR(SEARCH("drop",소재DB_RAW!$C$3:$C$2000))))),"")</f>
        <v/>
      </c>
      <c r="W171" s="20" t="inlineStr">
        <is>
          <t>베트남</t>
        </is>
      </c>
      <c r="X171" s="20">
        <f>IFERROR(TEXTJOIN(" / ",TRUE,UNIQUE(FILTER(소재DB_RAW!$N$3:$N$2000,(소재DB_RAW!$G$3:$G$2000=$D171)*ISERROR(SEARCH("drop",소재DB_RAW!$C$3:$C$2000))))),"")</f>
        <v/>
      </c>
      <c r="Y171" s="26">
        <f>IFERROR(TEXTJOIN(CHAR(10),TRUE,UNIQUE(FILTER(소재DB_RAW!$N$3:$N$2000&amp;") "&amp;소재DB_RAW!$O$3:$O$2000,(소재DB_RAW!$G$3:$G$2000=$D171)*ISNUMBER(SEARCH("겉감",소재DB_RAW!$M$3:$M$2000))*ISERROR(SEARCH("drop",소재DB_RAW!$C$3:$C$2000))))),"")</f>
        <v/>
      </c>
      <c r="Z171" s="26">
        <f>IFERROR(TEXTJOIN(CHAR(10),TRUE,UNIQUE(FILTER(소재DB_RAW!$N$3:$N$2000&amp;") "&amp;소재DB_RAW!$O$3:$O$2000,(소재DB_RAW!$G$3:$G$2000=$D171)*ISNUMBER(SEARCH("안감",소재DB_RAW!$M$3:$M$2000))*ISERROR(SEARCH("drop",소재DB_RAW!$C$3:$C$2000))))),"")</f>
        <v/>
      </c>
      <c r="AA171" s="27" t="n">
        <v>2000</v>
      </c>
      <c r="AB171" s="27" t="n">
        <v>81136000</v>
      </c>
      <c r="AC171" s="27" t="n">
        <v>336000000</v>
      </c>
      <c r="AD171" s="20" t="inlineStr">
        <is>
          <t>2월4주</t>
        </is>
      </c>
      <c r="AE171" s="20">
        <f>IF($K171="","출고일 미정",IF($Q171="X","작지 미발행",IF($Q171="부분","작지 일부 미발행",IF(AND($S171&lt;&gt;"",$S171&gt;$N171),"소재입고 마감("&amp;TEXT($N171,"MM/DD")&amp;") 초과",IF($Q171="","발행여부 확인 필요",IF($S171="","소재 입고일정 확인 필요","정상"))))))</f>
        <v/>
      </c>
      <c r="AF171" s="19">
        <f>IF($K171="","",IF(OR(LEFT($AE171,2)="작지",LEFT($AE171,4)="소재입고"),IF(LEFT($G171,1)="S","★ 납기위험(S코드)","◆ 지연주의"),IF($AE171="정상","✓ 정상","? 확인필요")))</f>
        <v/>
      </c>
      <c r="AG171" s="21" t="n"/>
      <c r="AH171" s="28" t="n"/>
    </row>
    <row r="172">
      <c r="A172" s="19" t="n">
        <v>168</v>
      </c>
      <c r="B172" s="20" t="inlineStr">
        <is>
          <t>박진아</t>
        </is>
      </c>
      <c r="C172" s="20" t="inlineStr">
        <is>
          <t>조이슬</t>
        </is>
      </c>
      <c r="D172" s="20" t="inlineStr">
        <is>
          <t>JKTBM27282</t>
        </is>
      </c>
      <c r="E172" s="20" t="inlineStr">
        <is>
          <t>(2차 추가) 하절 여성 긴팔 라운드 티셔츠</t>
        </is>
      </c>
      <c r="F172" s="20" t="inlineStr">
        <is>
          <t>LIL(LILAC), BLK(BLACK)</t>
        </is>
      </c>
      <c r="G172" s="19">
        <f>IF($D172="","",IF(MID($D172,5,1)="S","S(봄)",IF(MID($D172,5,1)="M","M(여름)",IF(MID($D172,5,1)="X","X(사계절)",MID($D172,5,1)))))</f>
        <v/>
      </c>
      <c r="H172" s="20" t="inlineStr">
        <is>
          <t>완사입</t>
        </is>
      </c>
      <c r="I172" s="19" t="inlineStr"/>
      <c r="J172" s="21" t="inlineStr">
        <is>
          <t>2월4주</t>
        </is>
      </c>
      <c r="K172" s="22">
        <f>IF($J172="","",IFERROR(DATE(IF(VALUE(LEFT($J172,FIND("월",$J172)-1))&gt;=9,기준정보!$C$7-1,기준정보!$C$7),VALUE(LEFT($J172,FIND("월",$J172)-1)),1+7*(VALUE(SUBSTITUTE(MID($J172,FIND("월",$J172)+1,5),"주",""))-1)),""))</f>
        <v/>
      </c>
      <c r="L172" s="22">
        <f>IF($K172="","",IF(AND($K172-기준정보!$C$5&gt;=기준정보!$C$10,$K172-기준정보!$C$5&lt;=기준정보!$C$11),기준정보!$C$10-1,$K172-기준정보!$C$5))</f>
        <v/>
      </c>
      <c r="M172" s="23">
        <f>IF($L172="","",IF(OR(ISNUMBER(SEARCH("중국",$W172)),ISNUMBER(SEARCH("베트남",$W172))),MAX(0,MIN($L172,기준정보!$C$9)-MAX($L172-기준정보!$C$6,기준정보!$C$8)+1),IF(ISNUMBER(SEARCH("한국",$W172)),MAX(0,MIN($L172,기준정보!$C$11)-MAX($L172-기준정보!$C$6,기준정보!$C$10)+1),0)))</f>
        <v/>
      </c>
      <c r="N172" s="22">
        <f>IF($L172="","",$L172-기준정보!$C$6-$M172)</f>
        <v/>
      </c>
      <c r="O172" s="24">
        <f>IF($N172="","",$N172-기준정보!$C$4)</f>
        <v/>
      </c>
      <c r="P172" s="21" t="n"/>
      <c r="Q172" s="21" t="inlineStr">
        <is>
          <t>O</t>
        </is>
      </c>
      <c r="R172" s="19">
        <f>IF(COUNTIF(EDW_RAW!$A$2:$A$1500,$D172)=0,"",IF(COUNTIFS(EDW_RAW!$A$2:$A$1500,$D172,EDW_RAW!$U$2:$U$1500,"&lt;&gt;~",EDW_RAW!$U$2:$U$1500,"&lt;&gt;")=COUNTIF(EDW_RAW!$A$2:$A$1500,$D172),"O",IF(COUNTIFS(EDW_RAW!$A$2:$A$1500,$D172,EDW_RAW!$U$2:$U$1500,"&lt;&gt;~",EDW_RAW!$U$2:$U$1500,"&lt;&gt;")&gt;0,"부분","X")))</f>
        <v/>
      </c>
      <c r="S172" s="25" t="n"/>
      <c r="T172" s="20">
        <f>IF($H172="","",IF(AND(ISNUMBER(SEARCH("CMT",$H172)),OR(ISNUMBER(SEARCH("완사입",$H172)),ISNUMBER(SEARCH("ODM",$H172)))),"본사/생산처 혼재",IF(ISNUMBER(SEARCH("CMT",$H172)),"본사(소재팀)","생산처")))</f>
        <v/>
      </c>
      <c r="U172" s="20" t="inlineStr">
        <is>
          <t>장안</t>
        </is>
      </c>
      <c r="V172" s="20">
        <f>IFERROR(TEXTJOIN(" / ",TRUE,UNIQUE(FILTER(소재DB_RAW!$K$3:$K$2000,(소재DB_RAW!$G$3:$G$2000=$D172)*ISERROR(SEARCH("drop",소재DB_RAW!$C$3:$C$2000))))),"")</f>
        <v/>
      </c>
      <c r="W172" s="20" t="inlineStr">
        <is>
          <t>베트남</t>
        </is>
      </c>
      <c r="X172" s="20">
        <f>IFERROR(TEXTJOIN(" / ",TRUE,UNIQUE(FILTER(소재DB_RAW!$N$3:$N$2000,(소재DB_RAW!$G$3:$G$2000=$D172)*ISERROR(SEARCH("drop",소재DB_RAW!$C$3:$C$2000))))),"")</f>
        <v/>
      </c>
      <c r="Y172" s="26">
        <f>IFERROR(TEXTJOIN(CHAR(10),TRUE,UNIQUE(FILTER(소재DB_RAW!$N$3:$N$2000&amp;") "&amp;소재DB_RAW!$O$3:$O$2000,(소재DB_RAW!$G$3:$G$2000=$D172)*ISNUMBER(SEARCH("겉감",소재DB_RAW!$M$3:$M$2000))*ISERROR(SEARCH("drop",소재DB_RAW!$C$3:$C$2000))))),"")</f>
        <v/>
      </c>
      <c r="Z172" s="26">
        <f>IFERROR(TEXTJOIN(CHAR(10),TRUE,UNIQUE(FILTER(소재DB_RAW!$N$3:$N$2000&amp;") "&amp;소재DB_RAW!$O$3:$O$2000,(소재DB_RAW!$G$3:$G$2000=$D172)*ISNUMBER(SEARCH("안감",소재DB_RAW!$M$3:$M$2000))*ISERROR(SEARCH("drop",소재DB_RAW!$C$3:$C$2000))))),"")</f>
        <v/>
      </c>
      <c r="AA172" s="27" t="n">
        <v>2500</v>
      </c>
      <c r="AB172" s="27" t="n">
        <v>45000000</v>
      </c>
      <c r="AC172" s="27" t="n">
        <v>270000000</v>
      </c>
      <c r="AD172" s="20" t="inlineStr">
        <is>
          <t>2월4주</t>
        </is>
      </c>
      <c r="AE172" s="20">
        <f>IF($K172="","출고일 미정",IF($Q172="X","작지 미발행",IF($Q172="부분","작지 일부 미발행",IF(AND($S172&lt;&gt;"",$S172&gt;$N172),"소재입고 마감("&amp;TEXT($N172,"MM/DD")&amp;") 초과",IF($Q172="","발행여부 확인 필요",IF($S172="","소재 입고일정 확인 필요","정상"))))))</f>
        <v/>
      </c>
      <c r="AF172" s="19">
        <f>IF($K172="","",IF(OR(LEFT($AE172,2)="작지",LEFT($AE172,4)="소재입고"),IF(LEFT($G172,1)="S","★ 납기위험(S코드)","◆ 지연주의"),IF($AE172="정상","✓ 정상","? 확인필요")))</f>
        <v/>
      </c>
      <c r="AG172" s="21" t="n"/>
      <c r="AH172" s="28" t="n"/>
    </row>
    <row r="173">
      <c r="A173" s="19" t="n">
        <v>169</v>
      </c>
      <c r="B173" s="20" t="inlineStr">
        <is>
          <t>박술홍</t>
        </is>
      </c>
      <c r="C173" s="20" t="inlineStr">
        <is>
          <t>엄창용</t>
        </is>
      </c>
      <c r="D173" s="20" t="inlineStr">
        <is>
          <t>JWPNM27137</t>
        </is>
      </c>
      <c r="E173" s="20" t="inlineStr">
        <is>
          <t>하절 남성 WIGO 디테쳐블 팬츠</t>
        </is>
      </c>
      <c r="F173" s="20" t="inlineStr">
        <is>
          <t>BLK(BLACK), KHA(KHAKI)</t>
        </is>
      </c>
      <c r="G173" s="19">
        <f>IF($D173="","",IF(MID($D173,5,1)="S","S(봄)",IF(MID($D173,5,1)="M","M(여름)",IF(MID($D173,5,1)="X","X(사계절)",MID($D173,5,1)))))</f>
        <v/>
      </c>
      <c r="H173" s="20" t="inlineStr">
        <is>
          <t>완사입</t>
        </is>
      </c>
      <c r="I173" s="19" t="inlineStr">
        <is>
          <t>SM1</t>
        </is>
      </c>
      <c r="J173" s="21" t="inlineStr">
        <is>
          <t>2월4주</t>
        </is>
      </c>
      <c r="K173" s="22">
        <f>IF($J173="","",IFERROR(DATE(IF(VALUE(LEFT($J173,FIND("월",$J173)-1))&gt;=9,기준정보!$C$7-1,기준정보!$C$7),VALUE(LEFT($J173,FIND("월",$J173)-1)),1+7*(VALUE(SUBSTITUTE(MID($J173,FIND("월",$J173)+1,5),"주",""))-1)),""))</f>
        <v/>
      </c>
      <c r="L173" s="22">
        <f>IF($K173="","",IF(AND($K173-기준정보!$C$5&gt;=기준정보!$C$10,$K173-기준정보!$C$5&lt;=기준정보!$C$11),기준정보!$C$10-1,$K173-기준정보!$C$5))</f>
        <v/>
      </c>
      <c r="M173" s="23">
        <f>IF($L173="","",IF(OR(ISNUMBER(SEARCH("중국",$W173)),ISNUMBER(SEARCH("베트남",$W173))),MAX(0,MIN($L173,기준정보!$C$9)-MAX($L173-기준정보!$C$6,기준정보!$C$8)+1),IF(ISNUMBER(SEARCH("한국",$W173)),MAX(0,MIN($L173,기준정보!$C$11)-MAX($L173-기준정보!$C$6,기준정보!$C$10)+1),0)))</f>
        <v/>
      </c>
      <c r="N173" s="22">
        <f>IF($L173="","",$L173-기준정보!$C$6-$M173)</f>
        <v/>
      </c>
      <c r="O173" s="24">
        <f>IF($N173="","",$N173-기준정보!$C$4)</f>
        <v/>
      </c>
      <c r="P173" s="21" t="n"/>
      <c r="Q173" s="21" t="inlineStr">
        <is>
          <t>O</t>
        </is>
      </c>
      <c r="R173" s="19">
        <f>IF(COUNTIF(EDW_RAW!$A$2:$A$1500,$D173)=0,"",IF(COUNTIFS(EDW_RAW!$A$2:$A$1500,$D173,EDW_RAW!$U$2:$U$1500,"&lt;&gt;~",EDW_RAW!$U$2:$U$1500,"&lt;&gt;")=COUNTIF(EDW_RAW!$A$2:$A$1500,$D173),"O",IF(COUNTIFS(EDW_RAW!$A$2:$A$1500,$D173,EDW_RAW!$U$2:$U$1500,"&lt;&gt;~",EDW_RAW!$U$2:$U$1500,"&lt;&gt;")&gt;0,"부분","X")))</f>
        <v/>
      </c>
      <c r="S173" s="25" t="n"/>
      <c r="T173" s="20">
        <f>IF($H173="","",IF(AND(ISNUMBER(SEARCH("CMT",$H173)),OR(ISNUMBER(SEARCH("완사입",$H173)),ISNUMBER(SEARCH("ODM",$H173)))),"본사/생산처 혼재",IF(ISNUMBER(SEARCH("CMT",$H173)),"본사(소재팀)","생산처")))</f>
        <v/>
      </c>
      <c r="U173" s="20" t="inlineStr">
        <is>
          <t>거림</t>
        </is>
      </c>
      <c r="V173" s="20">
        <f>IFERROR(TEXTJOIN(" / ",TRUE,UNIQUE(FILTER(소재DB_RAW!$K$3:$K$2000,(소재DB_RAW!$G$3:$G$2000=$D173)*ISERROR(SEARCH("drop",소재DB_RAW!$C$3:$C$2000))))),"")</f>
        <v/>
      </c>
      <c r="W173" s="20" t="inlineStr">
        <is>
          <t>베트남</t>
        </is>
      </c>
      <c r="X173" s="20">
        <f>IFERROR(TEXTJOIN(" / ",TRUE,UNIQUE(FILTER(소재DB_RAW!$N$3:$N$2000,(소재DB_RAW!$G$3:$G$2000=$D173)*ISERROR(SEARCH("drop",소재DB_RAW!$C$3:$C$2000))))),"")</f>
        <v/>
      </c>
      <c r="Y173" s="26">
        <f>IFERROR(TEXTJOIN(CHAR(10),TRUE,UNIQUE(FILTER(소재DB_RAW!$N$3:$N$2000&amp;") "&amp;소재DB_RAW!$O$3:$O$2000,(소재DB_RAW!$G$3:$G$2000=$D173)*ISNUMBER(SEARCH("겉감",소재DB_RAW!$M$3:$M$2000))*ISERROR(SEARCH("drop",소재DB_RAW!$C$3:$C$2000))))),"")</f>
        <v/>
      </c>
      <c r="Z173" s="26">
        <f>IFERROR(TEXTJOIN(CHAR(10),TRUE,UNIQUE(FILTER(소재DB_RAW!$N$3:$N$2000&amp;") "&amp;소재DB_RAW!$O$3:$O$2000,(소재DB_RAW!$G$3:$G$2000=$D173)*ISNUMBER(SEARCH("안감",소재DB_RAW!$M$3:$M$2000))*ISERROR(SEARCH("drop",소재DB_RAW!$C$3:$C$2000))))),"")</f>
        <v/>
      </c>
      <c r="AA173" s="27" t="n">
        <v>1700</v>
      </c>
      <c r="AB173" s="27" t="n">
        <v>105396600</v>
      </c>
      <c r="AC173" s="27" t="n">
        <v>493000000</v>
      </c>
      <c r="AD173" s="20" t="inlineStr">
        <is>
          <t>2월4주</t>
        </is>
      </c>
      <c r="AE173" s="20">
        <f>IF($K173="","출고일 미정",IF($Q173="X","작지 미발행",IF($Q173="부분","작지 일부 미발행",IF(AND($S173&lt;&gt;"",$S173&gt;$N173),"소재입고 마감("&amp;TEXT($N173,"MM/DD")&amp;") 초과",IF($Q173="","발행여부 확인 필요",IF($S173="","소재 입고일정 확인 필요","정상"))))))</f>
        <v/>
      </c>
      <c r="AF173" s="19">
        <f>IF($K173="","",IF(OR(LEFT($AE173,2)="작지",LEFT($AE173,4)="소재입고"),IF(LEFT($G173,1)="S","★ 납기위험(S코드)","◆ 지연주의"),IF($AE173="정상","✓ 정상","? 확인필요")))</f>
        <v/>
      </c>
      <c r="AG173" s="21" t="n"/>
      <c r="AH173" s="28" t="n"/>
    </row>
    <row r="174">
      <c r="A174" s="19" t="n">
        <v>170</v>
      </c>
      <c r="B174" s="20" t="inlineStr">
        <is>
          <t>박술홍</t>
        </is>
      </c>
      <c r="C174" s="20" t="inlineStr">
        <is>
          <t>엄창용</t>
        </is>
      </c>
      <c r="D174" s="20" t="inlineStr">
        <is>
          <t>JWPNM27151</t>
        </is>
      </c>
      <c r="E174" s="20" t="inlineStr">
        <is>
          <t>하절 남성 원턱 레귤러핏 스탠다드 팬츠(ODM)</t>
        </is>
      </c>
      <c r="F174" s="20" t="inlineStr">
        <is>
          <t>BGY(B/GRAY), CIN(CINDER)</t>
        </is>
      </c>
      <c r="G174" s="19">
        <f>IF($D174="","",IF(MID($D174,5,1)="S","S(봄)",IF(MID($D174,5,1)="M","M(여름)",IF(MID($D174,5,1)="X","X(사계절)",MID($D174,5,1)))))</f>
        <v/>
      </c>
      <c r="H174" s="20" t="inlineStr">
        <is>
          <t>CMT</t>
        </is>
      </c>
      <c r="I174" s="19" t="inlineStr">
        <is>
          <t>SM1</t>
        </is>
      </c>
      <c r="J174" s="21" t="inlineStr">
        <is>
          <t>2월4주</t>
        </is>
      </c>
      <c r="K174" s="22">
        <f>IF($J174="","",IFERROR(DATE(IF(VALUE(LEFT($J174,FIND("월",$J174)-1))&gt;=9,기준정보!$C$7-1,기준정보!$C$7),VALUE(LEFT($J174,FIND("월",$J174)-1)),1+7*(VALUE(SUBSTITUTE(MID($J174,FIND("월",$J174)+1,5),"주",""))-1)),""))</f>
        <v/>
      </c>
      <c r="L174" s="22">
        <f>IF($K174="","",IF(AND($K174-기준정보!$C$5&gt;=기준정보!$C$10,$K174-기준정보!$C$5&lt;=기준정보!$C$11),기준정보!$C$10-1,$K174-기준정보!$C$5))</f>
        <v/>
      </c>
      <c r="M174" s="23">
        <f>IF($L174="","",IF(OR(ISNUMBER(SEARCH("중국",$W174)),ISNUMBER(SEARCH("베트남",$W174))),MAX(0,MIN($L174,기준정보!$C$9)-MAX($L174-기준정보!$C$6,기준정보!$C$8)+1),IF(ISNUMBER(SEARCH("한국",$W174)),MAX(0,MIN($L174,기준정보!$C$11)-MAX($L174-기준정보!$C$6,기준정보!$C$10)+1),0)))</f>
        <v/>
      </c>
      <c r="N174" s="22">
        <f>IF($L174="","",$L174-기준정보!$C$6-$M174)</f>
        <v/>
      </c>
      <c r="O174" s="24">
        <f>IF($N174="","",$N174-기준정보!$C$4)</f>
        <v/>
      </c>
      <c r="P174" s="21" t="n"/>
      <c r="Q174" s="21" t="inlineStr">
        <is>
          <t>O</t>
        </is>
      </c>
      <c r="R174" s="19">
        <f>IF(COUNTIF(EDW_RAW!$A$2:$A$1500,$D174)=0,"",IF(COUNTIFS(EDW_RAW!$A$2:$A$1500,$D174,EDW_RAW!$U$2:$U$1500,"&lt;&gt;~",EDW_RAW!$U$2:$U$1500,"&lt;&gt;")=COUNTIF(EDW_RAW!$A$2:$A$1500,$D174),"O",IF(COUNTIFS(EDW_RAW!$A$2:$A$1500,$D174,EDW_RAW!$U$2:$U$1500,"&lt;&gt;~",EDW_RAW!$U$2:$U$1500,"&lt;&gt;")&gt;0,"부분","X")))</f>
        <v/>
      </c>
      <c r="S174" s="25" t="n"/>
      <c r="T174" s="20">
        <f>IF($H174="","",IF(AND(ISNUMBER(SEARCH("CMT",$H174)),OR(ISNUMBER(SEARCH("완사입",$H174)),ISNUMBER(SEARCH("ODM",$H174)))),"본사/생산처 혼재",IF(ISNUMBER(SEARCH("CMT",$H174)),"본사(소재팀)","생산처")))</f>
        <v/>
      </c>
      <c r="U174" s="20" t="inlineStr">
        <is>
          <t>디코드</t>
        </is>
      </c>
      <c r="V174" s="20">
        <f>IFERROR(TEXTJOIN(" / ",TRUE,UNIQUE(FILTER(소재DB_RAW!$K$3:$K$2000,(소재DB_RAW!$G$3:$G$2000=$D174)*ISERROR(SEARCH("drop",소재DB_RAW!$C$3:$C$2000))))),"")</f>
        <v/>
      </c>
      <c r="W174" s="20" t="inlineStr">
        <is>
          <t>베트남</t>
        </is>
      </c>
      <c r="X174" s="20">
        <f>IFERROR(TEXTJOIN(" / ",TRUE,UNIQUE(FILTER(소재DB_RAW!$N$3:$N$2000,(소재DB_RAW!$G$3:$G$2000=$D174)*ISERROR(SEARCH("drop",소재DB_RAW!$C$3:$C$2000))))),"")</f>
        <v/>
      </c>
      <c r="Y174" s="26">
        <f>IFERROR(TEXTJOIN(CHAR(10),TRUE,UNIQUE(FILTER(소재DB_RAW!$N$3:$N$2000&amp;") "&amp;소재DB_RAW!$O$3:$O$2000,(소재DB_RAW!$G$3:$G$2000=$D174)*ISNUMBER(SEARCH("겉감",소재DB_RAW!$M$3:$M$2000))*ISERROR(SEARCH("drop",소재DB_RAW!$C$3:$C$2000))))),"")</f>
        <v/>
      </c>
      <c r="Z174" s="26">
        <f>IFERROR(TEXTJOIN(CHAR(10),TRUE,UNIQUE(FILTER(소재DB_RAW!$N$3:$N$2000&amp;") "&amp;소재DB_RAW!$O$3:$O$2000,(소재DB_RAW!$G$3:$G$2000=$D174)*ISNUMBER(SEARCH("안감",소재DB_RAW!$M$3:$M$2000))*ISERROR(SEARCH("drop",소재DB_RAW!$C$3:$C$2000))))),"")</f>
        <v/>
      </c>
      <c r="AA174" s="27" t="n">
        <v>11000</v>
      </c>
      <c r="AB174" s="27" t="n">
        <v>319022000</v>
      </c>
      <c r="AC174" s="27" t="n">
        <v>1958000000</v>
      </c>
      <c r="AD174" s="20" t="inlineStr">
        <is>
          <t>2월4주</t>
        </is>
      </c>
      <c r="AE174" s="20">
        <f>IF($K174="","출고일 미정",IF($Q174="X","작지 미발행",IF($Q174="부분","작지 일부 미발행",IF(AND($S174&lt;&gt;"",$S174&gt;$N174),"소재입고 마감("&amp;TEXT($N174,"MM/DD")&amp;") 초과",IF($Q174="","발행여부 확인 필요",IF($S174="","소재 입고일정 확인 필요","정상"))))))</f>
        <v/>
      </c>
      <c r="AF174" s="19">
        <f>IF($K174="","",IF(OR(LEFT($AE174,2)="작지",LEFT($AE174,4)="소재입고"),IF(LEFT($G174,1)="S","★ 납기위험(S코드)","◆ 지연주의"),IF($AE174="정상","✓ 정상","? 확인필요")))</f>
        <v/>
      </c>
      <c r="AG174" s="21" t="n"/>
      <c r="AH174" s="28" t="n"/>
    </row>
    <row r="175">
      <c r="A175" s="19" t="n">
        <v>171</v>
      </c>
      <c r="B175" s="20" t="inlineStr">
        <is>
          <t>박술홍</t>
        </is>
      </c>
      <c r="C175" s="20" t="inlineStr">
        <is>
          <t>엄창용</t>
        </is>
      </c>
      <c r="D175" s="20" t="inlineStr">
        <is>
          <t>JWPNM27161</t>
        </is>
      </c>
      <c r="E175" s="20" t="inlineStr">
        <is>
          <t>하절 남성 노턱 슬림핏 스탠다드 팬츠(ODM)</t>
        </is>
      </c>
      <c r="F175" s="20" t="inlineStr">
        <is>
          <t>DGY-2, BLK(BLACK), CIN(CINDER)</t>
        </is>
      </c>
      <c r="G175" s="19">
        <f>IF($D175="","",IF(MID($D175,5,1)="S","S(봄)",IF(MID($D175,5,1)="M","M(여름)",IF(MID($D175,5,1)="X","X(사계절)",MID($D175,5,1)))))</f>
        <v/>
      </c>
      <c r="H175" s="20" t="inlineStr">
        <is>
          <t>CMT</t>
        </is>
      </c>
      <c r="I175" s="19" t="inlineStr">
        <is>
          <t>SM1</t>
        </is>
      </c>
      <c r="J175" s="21" t="inlineStr">
        <is>
          <t>2월4주</t>
        </is>
      </c>
      <c r="K175" s="22">
        <f>IF($J175="","",IFERROR(DATE(IF(VALUE(LEFT($J175,FIND("월",$J175)-1))&gt;=9,기준정보!$C$7-1,기준정보!$C$7),VALUE(LEFT($J175,FIND("월",$J175)-1)),1+7*(VALUE(SUBSTITUTE(MID($J175,FIND("월",$J175)+1,5),"주",""))-1)),""))</f>
        <v/>
      </c>
      <c r="L175" s="22">
        <f>IF($K175="","",IF(AND($K175-기준정보!$C$5&gt;=기준정보!$C$10,$K175-기준정보!$C$5&lt;=기준정보!$C$11),기준정보!$C$10-1,$K175-기준정보!$C$5))</f>
        <v/>
      </c>
      <c r="M175" s="23">
        <f>IF($L175="","",IF(OR(ISNUMBER(SEARCH("중국",$W175)),ISNUMBER(SEARCH("베트남",$W175))),MAX(0,MIN($L175,기준정보!$C$9)-MAX($L175-기준정보!$C$6,기준정보!$C$8)+1),IF(ISNUMBER(SEARCH("한국",$W175)),MAX(0,MIN($L175,기준정보!$C$11)-MAX($L175-기준정보!$C$6,기준정보!$C$10)+1),0)))</f>
        <v/>
      </c>
      <c r="N175" s="22">
        <f>IF($L175="","",$L175-기준정보!$C$6-$M175)</f>
        <v/>
      </c>
      <c r="O175" s="24">
        <f>IF($N175="","",$N175-기준정보!$C$4)</f>
        <v/>
      </c>
      <c r="P175" s="21" t="n"/>
      <c r="Q175" s="21" t="inlineStr">
        <is>
          <t>O</t>
        </is>
      </c>
      <c r="R175" s="19">
        <f>IF(COUNTIF(EDW_RAW!$A$2:$A$1500,$D175)=0,"",IF(COUNTIFS(EDW_RAW!$A$2:$A$1500,$D175,EDW_RAW!$U$2:$U$1500,"&lt;&gt;~",EDW_RAW!$U$2:$U$1500,"&lt;&gt;")=COUNTIF(EDW_RAW!$A$2:$A$1500,$D175),"O",IF(COUNTIFS(EDW_RAW!$A$2:$A$1500,$D175,EDW_RAW!$U$2:$U$1500,"&lt;&gt;~",EDW_RAW!$U$2:$U$1500,"&lt;&gt;")&gt;0,"부분","X")))</f>
        <v/>
      </c>
      <c r="S175" s="25" t="n"/>
      <c r="T175" s="20">
        <f>IF($H175="","",IF(AND(ISNUMBER(SEARCH("CMT",$H175)),OR(ISNUMBER(SEARCH("완사입",$H175)),ISNUMBER(SEARCH("ODM",$H175)))),"본사/생산처 혼재",IF(ISNUMBER(SEARCH("CMT",$H175)),"본사(소재팀)","생산처")))</f>
        <v/>
      </c>
      <c r="U175" s="20" t="inlineStr">
        <is>
          <t>디코드</t>
        </is>
      </c>
      <c r="V175" s="20">
        <f>IFERROR(TEXTJOIN(" / ",TRUE,UNIQUE(FILTER(소재DB_RAW!$K$3:$K$2000,(소재DB_RAW!$G$3:$G$2000=$D175)*ISERROR(SEARCH("drop",소재DB_RAW!$C$3:$C$2000))))),"")</f>
        <v/>
      </c>
      <c r="W175" s="20" t="inlineStr">
        <is>
          <t>베트남</t>
        </is>
      </c>
      <c r="X175" s="20">
        <f>IFERROR(TEXTJOIN(" / ",TRUE,UNIQUE(FILTER(소재DB_RAW!$N$3:$N$2000,(소재DB_RAW!$G$3:$G$2000=$D175)*ISERROR(SEARCH("drop",소재DB_RAW!$C$3:$C$2000))))),"")</f>
        <v/>
      </c>
      <c r="Y175" s="26">
        <f>IFERROR(TEXTJOIN(CHAR(10),TRUE,UNIQUE(FILTER(소재DB_RAW!$N$3:$N$2000&amp;") "&amp;소재DB_RAW!$O$3:$O$2000,(소재DB_RAW!$G$3:$G$2000=$D175)*ISNUMBER(SEARCH("겉감",소재DB_RAW!$M$3:$M$2000))*ISERROR(SEARCH("drop",소재DB_RAW!$C$3:$C$2000))))),"")</f>
        <v/>
      </c>
      <c r="Z175" s="26">
        <f>IFERROR(TEXTJOIN(CHAR(10),TRUE,UNIQUE(FILTER(소재DB_RAW!$N$3:$N$2000&amp;") "&amp;소재DB_RAW!$O$3:$O$2000,(소재DB_RAW!$G$3:$G$2000=$D175)*ISNUMBER(SEARCH("안감",소재DB_RAW!$M$3:$M$2000))*ISERROR(SEARCH("drop",소재DB_RAW!$C$3:$C$2000))))),"")</f>
        <v/>
      </c>
      <c r="AA175" s="27" t="n">
        <v>14000</v>
      </c>
      <c r="AB175" s="27" t="n">
        <v>395080000</v>
      </c>
      <c r="AC175" s="27" t="n">
        <v>2492000000</v>
      </c>
      <c r="AD175" s="20" t="inlineStr">
        <is>
          <t>2월4주</t>
        </is>
      </c>
      <c r="AE175" s="20">
        <f>IF($K175="","출고일 미정",IF($Q175="X","작지 미발행",IF($Q175="부분","작지 일부 미발행",IF(AND($S175&lt;&gt;"",$S175&gt;$N175),"소재입고 마감("&amp;TEXT($N175,"MM/DD")&amp;") 초과",IF($Q175="","발행여부 확인 필요",IF($S175="","소재 입고일정 확인 필요","정상"))))))</f>
        <v/>
      </c>
      <c r="AF175" s="19">
        <f>IF($K175="","",IF(OR(LEFT($AE175,2)="작지",LEFT($AE175,4)="소재입고"),IF(LEFT($G175,1)="S","★ 납기위험(S코드)","◆ 지연주의"),IF($AE175="정상","✓ 정상","? 확인필요")))</f>
        <v/>
      </c>
      <c r="AG175" s="21" t="n"/>
      <c r="AH175" s="28" t="n"/>
    </row>
    <row r="176">
      <c r="A176" s="19" t="n">
        <v>172</v>
      </c>
      <c r="B176" s="20" t="inlineStr">
        <is>
          <t>이재헌</t>
        </is>
      </c>
      <c r="C176" s="20" t="inlineStr">
        <is>
          <t>엄창용</t>
        </is>
      </c>
      <c r="D176" s="20" t="inlineStr">
        <is>
          <t>JWTBM27125</t>
        </is>
      </c>
      <c r="E176" s="20" t="inlineStr">
        <is>
          <t>남성 우븐 하프집업 티셔츠 (타공 디테일)</t>
        </is>
      </c>
      <c r="F176" s="20" t="inlineStr">
        <is>
          <t>WGY, BLK(BLACK)</t>
        </is>
      </c>
      <c r="G176" s="19">
        <f>IF($D176="","",IF(MID($D176,5,1)="S","S(봄)",IF(MID($D176,5,1)="M","M(여름)",IF(MID($D176,5,1)="X","X(사계절)",MID($D176,5,1)))))</f>
        <v/>
      </c>
      <c r="H176" s="20" t="inlineStr">
        <is>
          <t>완사입</t>
        </is>
      </c>
      <c r="I176" s="19" t="inlineStr"/>
      <c r="J176" s="21" t="inlineStr">
        <is>
          <t>2월4주</t>
        </is>
      </c>
      <c r="K176" s="22">
        <f>IF($J176="","",IFERROR(DATE(IF(VALUE(LEFT($J176,FIND("월",$J176)-1))&gt;=9,기준정보!$C$7-1,기준정보!$C$7),VALUE(LEFT($J176,FIND("월",$J176)-1)),1+7*(VALUE(SUBSTITUTE(MID($J176,FIND("월",$J176)+1,5),"주",""))-1)),""))</f>
        <v/>
      </c>
      <c r="L176" s="22">
        <f>IF($K176="","",IF(AND($K176-기준정보!$C$5&gt;=기준정보!$C$10,$K176-기준정보!$C$5&lt;=기준정보!$C$11),기준정보!$C$10-1,$K176-기준정보!$C$5))</f>
        <v/>
      </c>
      <c r="M176" s="23">
        <f>IF($L176="","",IF(OR(ISNUMBER(SEARCH("중국",$W176)),ISNUMBER(SEARCH("베트남",$W176))),MAX(0,MIN($L176,기준정보!$C$9)-MAX($L176-기준정보!$C$6,기준정보!$C$8)+1),IF(ISNUMBER(SEARCH("한국",$W176)),MAX(0,MIN($L176,기준정보!$C$11)-MAX($L176-기준정보!$C$6,기준정보!$C$10)+1),0)))</f>
        <v/>
      </c>
      <c r="N176" s="22">
        <f>IF($L176="","",$L176-기준정보!$C$6-$M176)</f>
        <v/>
      </c>
      <c r="O176" s="24">
        <f>IF($N176="","",$N176-기준정보!$C$4)</f>
        <v/>
      </c>
      <c r="P176" s="21" t="n"/>
      <c r="Q176" s="21" t="inlineStr">
        <is>
          <t>O</t>
        </is>
      </c>
      <c r="R176" s="19">
        <f>IF(COUNTIF(EDW_RAW!$A$2:$A$1500,$D176)=0,"",IF(COUNTIFS(EDW_RAW!$A$2:$A$1500,$D176,EDW_RAW!$U$2:$U$1500,"&lt;&gt;~",EDW_RAW!$U$2:$U$1500,"&lt;&gt;")=COUNTIF(EDW_RAW!$A$2:$A$1500,$D176),"O",IF(COUNTIFS(EDW_RAW!$A$2:$A$1500,$D176,EDW_RAW!$U$2:$U$1500,"&lt;&gt;~",EDW_RAW!$U$2:$U$1500,"&lt;&gt;")&gt;0,"부분","X")))</f>
        <v/>
      </c>
      <c r="S176" s="25" t="n"/>
      <c r="T176" s="20">
        <f>IF($H176="","",IF(AND(ISNUMBER(SEARCH("CMT",$H176)),OR(ISNUMBER(SEARCH("완사입",$H176)),ISNUMBER(SEARCH("ODM",$H176)))),"본사/생산처 혼재",IF(ISNUMBER(SEARCH("CMT",$H176)),"본사(소재팀)","생산처")))</f>
        <v/>
      </c>
      <c r="U176" s="20" t="inlineStr">
        <is>
          <t>IKG</t>
        </is>
      </c>
      <c r="V176" s="20">
        <f>IFERROR(TEXTJOIN(" / ",TRUE,UNIQUE(FILTER(소재DB_RAW!$K$3:$K$2000,(소재DB_RAW!$G$3:$G$2000=$D176)*ISERROR(SEARCH("drop",소재DB_RAW!$C$3:$C$2000))))),"")</f>
        <v/>
      </c>
      <c r="W176" s="20" t="inlineStr">
        <is>
          <t>인도네시아</t>
        </is>
      </c>
      <c r="X176" s="20">
        <f>IFERROR(TEXTJOIN(" / ",TRUE,UNIQUE(FILTER(소재DB_RAW!$N$3:$N$2000,(소재DB_RAW!$G$3:$G$2000=$D176)*ISERROR(SEARCH("drop",소재DB_RAW!$C$3:$C$2000))))),"")</f>
        <v/>
      </c>
      <c r="Y176" s="26">
        <f>IFERROR(TEXTJOIN(CHAR(10),TRUE,UNIQUE(FILTER(소재DB_RAW!$N$3:$N$2000&amp;") "&amp;소재DB_RAW!$O$3:$O$2000,(소재DB_RAW!$G$3:$G$2000=$D176)*ISNUMBER(SEARCH("겉감",소재DB_RAW!$M$3:$M$2000))*ISERROR(SEARCH("drop",소재DB_RAW!$C$3:$C$2000))))),"")</f>
        <v/>
      </c>
      <c r="Z176" s="26">
        <f>IFERROR(TEXTJOIN(CHAR(10),TRUE,UNIQUE(FILTER(소재DB_RAW!$N$3:$N$2000&amp;") "&amp;소재DB_RAW!$O$3:$O$2000,(소재DB_RAW!$G$3:$G$2000=$D176)*ISNUMBER(SEARCH("안감",소재DB_RAW!$M$3:$M$2000))*ISERROR(SEARCH("drop",소재DB_RAW!$C$3:$C$2000))))),"")</f>
        <v/>
      </c>
      <c r="AA176" s="27" t="n">
        <v>1200</v>
      </c>
      <c r="AB176" s="27" t="n">
        <v>44798400</v>
      </c>
      <c r="AC176" s="27" t="n">
        <v>201600000</v>
      </c>
      <c r="AD176" s="20" t="inlineStr">
        <is>
          <t>44511</t>
        </is>
      </c>
      <c r="AE176" s="20">
        <f>IF($K176="","출고일 미정",IF($Q176="X","작지 미발행",IF($Q176="부분","작지 일부 미발행",IF(AND($S176&lt;&gt;"",$S176&gt;$N176),"소재입고 마감("&amp;TEXT($N176,"MM/DD")&amp;") 초과",IF($Q176="","발행여부 확인 필요",IF($S176="","소재 입고일정 확인 필요","정상"))))))</f>
        <v/>
      </c>
      <c r="AF176" s="19">
        <f>IF($K176="","",IF(OR(LEFT($AE176,2)="작지",LEFT($AE176,4)="소재입고"),IF(LEFT($G176,1)="S","★ 납기위험(S코드)","◆ 지연주의"),IF($AE176="정상","✓ 정상","? 확인필요")))</f>
        <v/>
      </c>
      <c r="AG176" s="21" t="n"/>
      <c r="AH176" s="28" t="n"/>
    </row>
    <row r="177">
      <c r="A177" s="19" t="n">
        <v>173</v>
      </c>
      <c r="B177" s="20" t="inlineStr">
        <is>
          <t>이재헌</t>
        </is>
      </c>
      <c r="C177" s="20" t="inlineStr">
        <is>
          <t>엄창용</t>
        </is>
      </c>
      <c r="D177" s="20" t="inlineStr">
        <is>
          <t>JWTBM27127</t>
        </is>
      </c>
      <c r="E177" s="20" t="inlineStr">
        <is>
          <t>남성 솔솔 MossDry 베이직 긴팔 집업 티셔츠</t>
        </is>
      </c>
      <c r="F177" s="20" t="inlineStr">
        <is>
          <t>DOC(D/OCEAN), DGY(D/GRAY), DNA(D/NAVY)</t>
        </is>
      </c>
      <c r="G177" s="19">
        <f>IF($D177="","",IF(MID($D177,5,1)="S","S(봄)",IF(MID($D177,5,1)="M","M(여름)",IF(MID($D177,5,1)="X","X(사계절)",MID($D177,5,1)))))</f>
        <v/>
      </c>
      <c r="H177" s="20" t="inlineStr">
        <is>
          <t>완사입</t>
        </is>
      </c>
      <c r="I177" s="19" t="inlineStr"/>
      <c r="J177" s="21" t="inlineStr">
        <is>
          <t>2월4주</t>
        </is>
      </c>
      <c r="K177" s="22">
        <f>IF($J177="","",IFERROR(DATE(IF(VALUE(LEFT($J177,FIND("월",$J177)-1))&gt;=9,기준정보!$C$7-1,기준정보!$C$7),VALUE(LEFT($J177,FIND("월",$J177)-1)),1+7*(VALUE(SUBSTITUTE(MID($J177,FIND("월",$J177)+1,5),"주",""))-1)),""))</f>
        <v/>
      </c>
      <c r="L177" s="22">
        <f>IF($K177="","",IF(AND($K177-기준정보!$C$5&gt;=기준정보!$C$10,$K177-기준정보!$C$5&lt;=기준정보!$C$11),기준정보!$C$10-1,$K177-기준정보!$C$5))</f>
        <v/>
      </c>
      <c r="M177" s="23">
        <f>IF($L177="","",IF(OR(ISNUMBER(SEARCH("중국",$W177)),ISNUMBER(SEARCH("베트남",$W177))),MAX(0,MIN($L177,기준정보!$C$9)-MAX($L177-기준정보!$C$6,기준정보!$C$8)+1),IF(ISNUMBER(SEARCH("한국",$W177)),MAX(0,MIN($L177,기준정보!$C$11)-MAX($L177-기준정보!$C$6,기준정보!$C$10)+1),0)))</f>
        <v/>
      </c>
      <c r="N177" s="22">
        <f>IF($L177="","",$L177-기준정보!$C$6-$M177)</f>
        <v/>
      </c>
      <c r="O177" s="24">
        <f>IF($N177="","",$N177-기준정보!$C$4)</f>
        <v/>
      </c>
      <c r="P177" s="21" t="n"/>
      <c r="Q177" s="21" t="inlineStr">
        <is>
          <t>O</t>
        </is>
      </c>
      <c r="R177" s="19">
        <f>IF(COUNTIF(EDW_RAW!$A$2:$A$1500,$D177)=0,"",IF(COUNTIFS(EDW_RAW!$A$2:$A$1500,$D177,EDW_RAW!$U$2:$U$1500,"&lt;&gt;~",EDW_RAW!$U$2:$U$1500,"&lt;&gt;")=COUNTIF(EDW_RAW!$A$2:$A$1500,$D177),"O",IF(COUNTIFS(EDW_RAW!$A$2:$A$1500,$D177,EDW_RAW!$U$2:$U$1500,"&lt;&gt;~",EDW_RAW!$U$2:$U$1500,"&lt;&gt;")&gt;0,"부분","X")))</f>
        <v/>
      </c>
      <c r="S177" s="25" t="n"/>
      <c r="T177" s="20">
        <f>IF($H177="","",IF(AND(ISNUMBER(SEARCH("CMT",$H177)),OR(ISNUMBER(SEARCH("완사입",$H177)),ISNUMBER(SEARCH("ODM",$H177)))),"본사/생산처 혼재",IF(ISNUMBER(SEARCH("CMT",$H177)),"본사(소재팀)","생산처")))</f>
        <v/>
      </c>
      <c r="U177" s="20" t="inlineStr">
        <is>
          <t>태화</t>
        </is>
      </c>
      <c r="V177" s="20">
        <f>IFERROR(TEXTJOIN(" / ",TRUE,UNIQUE(FILTER(소재DB_RAW!$K$3:$K$2000,(소재DB_RAW!$G$3:$G$2000=$D177)*ISERROR(SEARCH("drop",소재DB_RAW!$C$3:$C$2000))))),"")</f>
        <v/>
      </c>
      <c r="W177" s="20" t="inlineStr">
        <is>
          <t>베트남</t>
        </is>
      </c>
      <c r="X177" s="20">
        <f>IFERROR(TEXTJOIN(" / ",TRUE,UNIQUE(FILTER(소재DB_RAW!$N$3:$N$2000,(소재DB_RAW!$G$3:$G$2000=$D177)*ISERROR(SEARCH("drop",소재DB_RAW!$C$3:$C$2000))))),"")</f>
        <v/>
      </c>
      <c r="Y177" s="26">
        <f>IFERROR(TEXTJOIN(CHAR(10),TRUE,UNIQUE(FILTER(소재DB_RAW!$N$3:$N$2000&amp;") "&amp;소재DB_RAW!$O$3:$O$2000,(소재DB_RAW!$G$3:$G$2000=$D177)*ISNUMBER(SEARCH("겉감",소재DB_RAW!$M$3:$M$2000))*ISERROR(SEARCH("drop",소재DB_RAW!$C$3:$C$2000))))),"")</f>
        <v/>
      </c>
      <c r="Z177" s="26">
        <f>IFERROR(TEXTJOIN(CHAR(10),TRUE,UNIQUE(FILTER(소재DB_RAW!$N$3:$N$2000&amp;") "&amp;소재DB_RAW!$O$3:$O$2000,(소재DB_RAW!$G$3:$G$2000=$D177)*ISNUMBER(SEARCH("안감",소재DB_RAW!$M$3:$M$2000))*ISERROR(SEARCH("drop",소재DB_RAW!$C$3:$C$2000))))),"")</f>
        <v/>
      </c>
      <c r="AA177" s="27" t="n">
        <v>12000</v>
      </c>
      <c r="AB177" s="27" t="n">
        <v>216000000</v>
      </c>
      <c r="AC177" s="27" t="n">
        <v>1416000000</v>
      </c>
      <c r="AD177" s="20" t="inlineStr">
        <is>
          <t>44511</t>
        </is>
      </c>
      <c r="AE177" s="20">
        <f>IF($K177="","출고일 미정",IF($Q177="X","작지 미발행",IF($Q177="부분","작지 일부 미발행",IF(AND($S177&lt;&gt;"",$S177&gt;$N177),"소재입고 마감("&amp;TEXT($N177,"MM/DD")&amp;") 초과",IF($Q177="","발행여부 확인 필요",IF($S177="","소재 입고일정 확인 필요","정상"))))))</f>
        <v/>
      </c>
      <c r="AF177" s="19">
        <f>IF($K177="","",IF(OR(LEFT($AE177,2)="작지",LEFT($AE177,4)="소재입고"),IF(LEFT($G177,1)="S","★ 납기위험(S코드)","◆ 지연주의"),IF($AE177="정상","✓ 정상","? 확인필요")))</f>
        <v/>
      </c>
      <c r="AG177" s="21" t="n"/>
      <c r="AH177" s="28" t="n"/>
    </row>
    <row r="178">
      <c r="A178" s="19" t="n">
        <v>174</v>
      </c>
      <c r="B178" s="20" t="inlineStr">
        <is>
          <t>박진아</t>
        </is>
      </c>
      <c r="C178" s="20" t="inlineStr">
        <is>
          <t>조은선</t>
        </is>
      </c>
      <c r="D178" s="20" t="inlineStr">
        <is>
          <t>QEHFM27301</t>
        </is>
      </c>
      <c r="E178" s="20" t="inlineStr">
        <is>
          <t>남녀공용 모스드라이 하이킹 스트레치 반장갑</t>
        </is>
      </c>
      <c r="F178" s="20" t="inlineStr">
        <is>
          <t>BLK(BLACK), VBU, GKH(G/KHAKI)</t>
        </is>
      </c>
      <c r="G178" s="19">
        <f>IF($D178="","",IF(MID($D178,5,1)="S","S(봄)",IF(MID($D178,5,1)="M","M(여름)",IF(MID($D178,5,1)="X","X(사계절)",MID($D178,5,1)))))</f>
        <v/>
      </c>
      <c r="H178" s="20" t="inlineStr">
        <is>
          <t>완사입</t>
        </is>
      </c>
      <c r="I178" s="19" t="inlineStr"/>
      <c r="J178" s="21" t="inlineStr">
        <is>
          <t>2월4주</t>
        </is>
      </c>
      <c r="K178" s="22">
        <f>IF($J178="","",IFERROR(DATE(IF(VALUE(LEFT($J178,FIND("월",$J178)-1))&gt;=9,기준정보!$C$7-1,기준정보!$C$7),VALUE(LEFT($J178,FIND("월",$J178)-1)),1+7*(VALUE(SUBSTITUTE(MID($J178,FIND("월",$J178)+1,5),"주",""))-1)),""))</f>
        <v/>
      </c>
      <c r="L178" s="22">
        <f>IF($K178="","",IF(AND($K178-기준정보!$C$5&gt;=기준정보!$C$10,$K178-기준정보!$C$5&lt;=기준정보!$C$11),기준정보!$C$10-1,$K178-기준정보!$C$5))</f>
        <v/>
      </c>
      <c r="M178" s="23">
        <f>IF($L178="","",IF(OR(ISNUMBER(SEARCH("중국",$W178)),ISNUMBER(SEARCH("베트남",$W178))),MAX(0,MIN($L178,기준정보!$C$9)-MAX($L178-기준정보!$C$6,기준정보!$C$8)+1),IF(ISNUMBER(SEARCH("한국",$W178)),MAX(0,MIN($L178,기준정보!$C$11)-MAX($L178-기준정보!$C$6,기준정보!$C$10)+1),0)))</f>
        <v/>
      </c>
      <c r="N178" s="22">
        <f>IF($L178="","",$L178-기준정보!$C$6-$M178)</f>
        <v/>
      </c>
      <c r="O178" s="24">
        <f>IF($N178="","",$N178-기준정보!$C$4)</f>
        <v/>
      </c>
      <c r="P178" s="21" t="n"/>
      <c r="Q178" s="21" t="inlineStr">
        <is>
          <t>X</t>
        </is>
      </c>
      <c r="R178" s="19">
        <f>IF(COUNTIF(EDW_RAW!$A$2:$A$1500,$D178)=0,"",IF(COUNTIFS(EDW_RAW!$A$2:$A$1500,$D178,EDW_RAW!$U$2:$U$1500,"&lt;&gt;~",EDW_RAW!$U$2:$U$1500,"&lt;&gt;")=COUNTIF(EDW_RAW!$A$2:$A$1500,$D178),"O",IF(COUNTIFS(EDW_RAW!$A$2:$A$1500,$D178,EDW_RAW!$U$2:$U$1500,"&lt;&gt;~",EDW_RAW!$U$2:$U$1500,"&lt;&gt;")&gt;0,"부분","X")))</f>
        <v/>
      </c>
      <c r="S178" s="25" t="n"/>
      <c r="T178" s="20">
        <f>IF($H178="","",IF(AND(ISNUMBER(SEARCH("CMT",$H178)),OR(ISNUMBER(SEARCH("완사입",$H178)),ISNUMBER(SEARCH("ODM",$H178)))),"본사/생산처 혼재",IF(ISNUMBER(SEARCH("CMT",$H178)),"본사(소재팀)","생산처")))</f>
        <v/>
      </c>
      <c r="U178" s="20" t="inlineStr">
        <is>
          <t>시즈글로벌</t>
        </is>
      </c>
      <c r="V178" s="20">
        <f>IFERROR(TEXTJOIN(" / ",TRUE,UNIQUE(FILTER(소재DB_RAW!$K$3:$K$2000,(소재DB_RAW!$G$3:$G$2000=$D178)*ISERROR(SEARCH("drop",소재DB_RAW!$C$3:$C$2000))))),"")</f>
        <v/>
      </c>
      <c r="W178" s="20" t="inlineStr">
        <is>
          <t>베트남</t>
        </is>
      </c>
      <c r="X178" s="20">
        <f>IFERROR(TEXTJOIN(" / ",TRUE,UNIQUE(FILTER(소재DB_RAW!$N$3:$N$2000,(소재DB_RAW!$G$3:$G$2000=$D178)*ISERROR(SEARCH("drop",소재DB_RAW!$C$3:$C$2000))))),"")</f>
        <v/>
      </c>
      <c r="Y178" s="26">
        <f>IFERROR(TEXTJOIN(CHAR(10),TRUE,UNIQUE(FILTER(소재DB_RAW!$N$3:$N$2000&amp;") "&amp;소재DB_RAW!$O$3:$O$2000,(소재DB_RAW!$G$3:$G$2000=$D178)*ISNUMBER(SEARCH("겉감",소재DB_RAW!$M$3:$M$2000))*ISERROR(SEARCH("drop",소재DB_RAW!$C$3:$C$2000))))),"")</f>
        <v/>
      </c>
      <c r="Z178" s="26">
        <f>IFERROR(TEXTJOIN(CHAR(10),TRUE,UNIQUE(FILTER(소재DB_RAW!$N$3:$N$2000&amp;") "&amp;소재DB_RAW!$O$3:$O$2000,(소재DB_RAW!$G$3:$G$2000=$D178)*ISNUMBER(SEARCH("안감",소재DB_RAW!$M$3:$M$2000))*ISERROR(SEARCH("drop",소재DB_RAW!$C$3:$C$2000))))),"")</f>
        <v/>
      </c>
      <c r="AA178" s="27" t="n">
        <v>4700</v>
      </c>
      <c r="AB178" s="27" t="n">
        <v>47972900</v>
      </c>
      <c r="AC178" s="27" t="n">
        <v>235000000</v>
      </c>
      <c r="AD178" s="20" t="n"/>
      <c r="AE178" s="20">
        <f>IF($K178="","출고일 미정",IF($Q178="X","작지 미발행",IF($Q178="부분","작지 일부 미발행",IF(AND($S178&lt;&gt;"",$S178&gt;$N178),"소재입고 마감("&amp;TEXT($N178,"MM/DD")&amp;") 초과",IF($Q178="","발행여부 확인 필요",IF($S178="","소재 입고일정 확인 필요","정상"))))))</f>
        <v/>
      </c>
      <c r="AF178" s="19">
        <f>IF($K178="","",IF(OR(LEFT($AE178,2)="작지",LEFT($AE178,4)="소재입고"),IF(LEFT($G178,1)="S","★ 납기위험(S코드)","◆ 지연주의"),IF($AE178="정상","✓ 정상","? 확인필요")))</f>
        <v/>
      </c>
      <c r="AG178" s="21" t="n"/>
      <c r="AH178" s="28" t="n"/>
    </row>
    <row r="179">
      <c r="A179" s="19" t="n">
        <v>175</v>
      </c>
      <c r="B179" s="20" t="inlineStr">
        <is>
          <t>박진아</t>
        </is>
      </c>
      <c r="C179" s="20" t="inlineStr">
        <is>
          <t>조은선</t>
        </is>
      </c>
      <c r="D179" s="20" t="inlineStr">
        <is>
          <t>QEHFM27305</t>
        </is>
      </c>
      <c r="E179" s="20" t="inlineStr">
        <is>
          <t>남녀공용 모스드라이 하이킹 자외선 차단 반장갑</t>
        </is>
      </c>
      <c r="F179" s="20" t="inlineStr">
        <is>
          <t>DGY(D/GRAY), GMI(G/MINT), LGY(L/GRAY)</t>
        </is>
      </c>
      <c r="G179" s="19">
        <f>IF($D179="","",IF(MID($D179,5,1)="S","S(봄)",IF(MID($D179,5,1)="M","M(여름)",IF(MID($D179,5,1)="X","X(사계절)",MID($D179,5,1)))))</f>
        <v/>
      </c>
      <c r="H179" s="20" t="inlineStr">
        <is>
          <t>완사입</t>
        </is>
      </c>
      <c r="I179" s="19" t="inlineStr"/>
      <c r="J179" s="21" t="inlineStr">
        <is>
          <t>2월4주</t>
        </is>
      </c>
      <c r="K179" s="22">
        <f>IF($J179="","",IFERROR(DATE(IF(VALUE(LEFT($J179,FIND("월",$J179)-1))&gt;=9,기준정보!$C$7-1,기준정보!$C$7),VALUE(LEFT($J179,FIND("월",$J179)-1)),1+7*(VALUE(SUBSTITUTE(MID($J179,FIND("월",$J179)+1,5),"주",""))-1)),""))</f>
        <v/>
      </c>
      <c r="L179" s="22">
        <f>IF($K179="","",IF(AND($K179-기준정보!$C$5&gt;=기준정보!$C$10,$K179-기준정보!$C$5&lt;=기준정보!$C$11),기준정보!$C$10-1,$K179-기준정보!$C$5))</f>
        <v/>
      </c>
      <c r="M179" s="23">
        <f>IF($L179="","",IF(OR(ISNUMBER(SEARCH("중국",$W179)),ISNUMBER(SEARCH("베트남",$W179))),MAX(0,MIN($L179,기준정보!$C$9)-MAX($L179-기준정보!$C$6,기준정보!$C$8)+1),IF(ISNUMBER(SEARCH("한국",$W179)),MAX(0,MIN($L179,기준정보!$C$11)-MAX($L179-기준정보!$C$6,기준정보!$C$10)+1),0)))</f>
        <v/>
      </c>
      <c r="N179" s="22">
        <f>IF($L179="","",$L179-기준정보!$C$6-$M179)</f>
        <v/>
      </c>
      <c r="O179" s="24">
        <f>IF($N179="","",$N179-기준정보!$C$4)</f>
        <v/>
      </c>
      <c r="P179" s="21" t="n"/>
      <c r="Q179" s="21" t="inlineStr">
        <is>
          <t>X</t>
        </is>
      </c>
      <c r="R179" s="19">
        <f>IF(COUNTIF(EDW_RAW!$A$2:$A$1500,$D179)=0,"",IF(COUNTIFS(EDW_RAW!$A$2:$A$1500,$D179,EDW_RAW!$U$2:$U$1500,"&lt;&gt;~",EDW_RAW!$U$2:$U$1500,"&lt;&gt;")=COUNTIF(EDW_RAW!$A$2:$A$1500,$D179),"O",IF(COUNTIFS(EDW_RAW!$A$2:$A$1500,$D179,EDW_RAW!$U$2:$U$1500,"&lt;&gt;~",EDW_RAW!$U$2:$U$1500,"&lt;&gt;")&gt;0,"부분","X")))</f>
        <v/>
      </c>
      <c r="S179" s="25" t="n"/>
      <c r="T179" s="20">
        <f>IF($H179="","",IF(AND(ISNUMBER(SEARCH("CMT",$H179)),OR(ISNUMBER(SEARCH("완사입",$H179)),ISNUMBER(SEARCH("ODM",$H179)))),"본사/생산처 혼재",IF(ISNUMBER(SEARCH("CMT",$H179)),"본사(소재팀)","생산처")))</f>
        <v/>
      </c>
      <c r="U179" s="20" t="inlineStr">
        <is>
          <t>시즈글로벌</t>
        </is>
      </c>
      <c r="V179" s="20">
        <f>IFERROR(TEXTJOIN(" / ",TRUE,UNIQUE(FILTER(소재DB_RAW!$K$3:$K$2000,(소재DB_RAW!$G$3:$G$2000=$D179)*ISERROR(SEARCH("drop",소재DB_RAW!$C$3:$C$2000))))),"")</f>
        <v/>
      </c>
      <c r="W179" s="20" t="inlineStr">
        <is>
          <t>베트남</t>
        </is>
      </c>
      <c r="X179" s="20">
        <f>IFERROR(TEXTJOIN(" / ",TRUE,UNIQUE(FILTER(소재DB_RAW!$N$3:$N$2000,(소재DB_RAW!$G$3:$G$2000=$D179)*ISERROR(SEARCH("drop",소재DB_RAW!$C$3:$C$2000))))),"")</f>
        <v/>
      </c>
      <c r="Y179" s="26">
        <f>IFERROR(TEXTJOIN(CHAR(10),TRUE,UNIQUE(FILTER(소재DB_RAW!$N$3:$N$2000&amp;") "&amp;소재DB_RAW!$O$3:$O$2000,(소재DB_RAW!$G$3:$G$2000=$D179)*ISNUMBER(SEARCH("겉감",소재DB_RAW!$M$3:$M$2000))*ISERROR(SEARCH("drop",소재DB_RAW!$C$3:$C$2000))))),"")</f>
        <v/>
      </c>
      <c r="Z179" s="26">
        <f>IFERROR(TEXTJOIN(CHAR(10),TRUE,UNIQUE(FILTER(소재DB_RAW!$N$3:$N$2000&amp;") "&amp;소재DB_RAW!$O$3:$O$2000,(소재DB_RAW!$G$3:$G$2000=$D179)*ISNUMBER(SEARCH("안감",소재DB_RAW!$M$3:$M$2000))*ISERROR(SEARCH("drop",소재DB_RAW!$C$3:$C$2000))))),"")</f>
        <v/>
      </c>
      <c r="AA179" s="27" t="n">
        <v>4500</v>
      </c>
      <c r="AB179" s="27" t="n">
        <v>34879500</v>
      </c>
      <c r="AC179" s="27" t="n">
        <v>202500000</v>
      </c>
      <c r="AD179" s="20" t="n"/>
      <c r="AE179" s="20">
        <f>IF($K179="","출고일 미정",IF($Q179="X","작지 미발행",IF($Q179="부분","작지 일부 미발행",IF(AND($S179&lt;&gt;"",$S179&gt;$N179),"소재입고 마감("&amp;TEXT($N179,"MM/DD")&amp;") 초과",IF($Q179="","발행여부 확인 필요",IF($S179="","소재 입고일정 확인 필요","정상"))))))</f>
        <v/>
      </c>
      <c r="AF179" s="19">
        <f>IF($K179="","",IF(OR(LEFT($AE179,2)="작지",LEFT($AE179,4)="소재입고"),IF(LEFT($G179,1)="S","★ 납기위험(S코드)","◆ 지연주의"),IF($AE179="정상","✓ 정상","? 확인필요")))</f>
        <v/>
      </c>
      <c r="AG179" s="21" t="n"/>
      <c r="AH179" s="28" t="n"/>
    </row>
    <row r="180">
      <c r="A180" s="19" t="n">
        <v>176</v>
      </c>
      <c r="B180" s="20" t="inlineStr">
        <is>
          <t>문도혁</t>
        </is>
      </c>
      <c r="C180" s="20" t="inlineStr">
        <is>
          <t>정희영</t>
        </is>
      </c>
      <c r="D180" s="20" t="inlineStr">
        <is>
          <t>TLPNM27541</t>
        </is>
      </c>
      <c r="E180" s="20" t="inlineStr">
        <is>
          <t>하절 남성 나일론 레귤러핏 테이퍼드 팬츠</t>
        </is>
      </c>
      <c r="F180" s="20" t="inlineStr">
        <is>
          <t>GBU(G/BLUE), BLK(BLACK)</t>
        </is>
      </c>
      <c r="G180" s="19">
        <f>IF($D180="","",IF(MID($D180,5,1)="S","S(봄)",IF(MID($D180,5,1)="M","M(여름)",IF(MID($D180,5,1)="X","X(사계절)",MID($D180,5,1)))))</f>
        <v/>
      </c>
      <c r="H180" s="20" t="inlineStr">
        <is>
          <t>CMT</t>
        </is>
      </c>
      <c r="I180" s="19" t="inlineStr">
        <is>
          <t>m2</t>
        </is>
      </c>
      <c r="J180" s="21" t="inlineStr">
        <is>
          <t>2월4주</t>
        </is>
      </c>
      <c r="K180" s="22">
        <f>IF($J180="","",IFERROR(DATE(IF(VALUE(LEFT($J180,FIND("월",$J180)-1))&gt;=9,기준정보!$C$7-1,기준정보!$C$7),VALUE(LEFT($J180,FIND("월",$J180)-1)),1+7*(VALUE(SUBSTITUTE(MID($J180,FIND("월",$J180)+1,5),"주",""))-1)),""))</f>
        <v/>
      </c>
      <c r="L180" s="22">
        <f>IF($K180="","",IF(AND($K180-기준정보!$C$5&gt;=기준정보!$C$10,$K180-기준정보!$C$5&lt;=기준정보!$C$11),기준정보!$C$10-1,$K180-기준정보!$C$5))</f>
        <v/>
      </c>
      <c r="M180" s="23">
        <f>IF($L180="","",IF(OR(ISNUMBER(SEARCH("중국",$W180)),ISNUMBER(SEARCH("베트남",$W180))),MAX(0,MIN($L180,기준정보!$C$9)-MAX($L180-기준정보!$C$6,기준정보!$C$8)+1),IF(ISNUMBER(SEARCH("한국",$W180)),MAX(0,MIN($L180,기준정보!$C$11)-MAX($L180-기준정보!$C$6,기준정보!$C$10)+1),0)))</f>
        <v/>
      </c>
      <c r="N180" s="22">
        <f>IF($L180="","",$L180-기준정보!$C$6-$M180)</f>
        <v/>
      </c>
      <c r="O180" s="24">
        <f>IF($N180="","",$N180-기준정보!$C$4)</f>
        <v/>
      </c>
      <c r="P180" s="21" t="n"/>
      <c r="Q180" s="21" t="inlineStr">
        <is>
          <t>부분</t>
        </is>
      </c>
      <c r="R180" s="19">
        <f>IF(COUNTIF(EDW_RAW!$A$2:$A$1500,$D180)=0,"",IF(COUNTIFS(EDW_RAW!$A$2:$A$1500,$D180,EDW_RAW!$U$2:$U$1500,"&lt;&gt;~",EDW_RAW!$U$2:$U$1500,"&lt;&gt;")=COUNTIF(EDW_RAW!$A$2:$A$1500,$D180),"O",IF(COUNTIFS(EDW_RAW!$A$2:$A$1500,$D180,EDW_RAW!$U$2:$U$1500,"&lt;&gt;~",EDW_RAW!$U$2:$U$1500,"&lt;&gt;")&gt;0,"부분","X")))</f>
        <v/>
      </c>
      <c r="S180" s="25" t="n"/>
      <c r="T180" s="20">
        <f>IF($H180="","",IF(AND(ISNUMBER(SEARCH("CMT",$H180)),OR(ISNUMBER(SEARCH("완사입",$H180)),ISNUMBER(SEARCH("ODM",$H180)))),"본사/생산처 혼재",IF(ISNUMBER(SEARCH("CMT",$H180)),"본사(소재팀)","생산처")))</f>
        <v/>
      </c>
      <c r="U180" s="20" t="inlineStr">
        <is>
          <t>거림</t>
        </is>
      </c>
      <c r="V180" s="20">
        <f>IFERROR(TEXTJOIN(" / ",TRUE,UNIQUE(FILTER(소재DB_RAW!$K$3:$K$2000,(소재DB_RAW!$G$3:$G$2000=$D180)*ISERROR(SEARCH("drop",소재DB_RAW!$C$3:$C$2000))))),"")</f>
        <v/>
      </c>
      <c r="W180" s="20" t="inlineStr">
        <is>
          <t>베트남</t>
        </is>
      </c>
      <c r="X180" s="20">
        <f>IFERROR(TEXTJOIN(" / ",TRUE,UNIQUE(FILTER(소재DB_RAW!$N$3:$N$2000,(소재DB_RAW!$G$3:$G$2000=$D180)*ISERROR(SEARCH("drop",소재DB_RAW!$C$3:$C$2000))))),"")</f>
        <v/>
      </c>
      <c r="Y180" s="26">
        <f>IFERROR(TEXTJOIN(CHAR(10),TRUE,UNIQUE(FILTER(소재DB_RAW!$N$3:$N$2000&amp;") "&amp;소재DB_RAW!$O$3:$O$2000,(소재DB_RAW!$G$3:$G$2000=$D180)*ISNUMBER(SEARCH("겉감",소재DB_RAW!$M$3:$M$2000))*ISERROR(SEARCH("drop",소재DB_RAW!$C$3:$C$2000))))),"")</f>
        <v/>
      </c>
      <c r="Z180" s="26">
        <f>IFERROR(TEXTJOIN(CHAR(10),TRUE,UNIQUE(FILTER(소재DB_RAW!$N$3:$N$2000&amp;") "&amp;소재DB_RAW!$O$3:$O$2000,(소재DB_RAW!$G$3:$G$2000=$D180)*ISNUMBER(SEARCH("안감",소재DB_RAW!$M$3:$M$2000))*ISERROR(SEARCH("drop",소재DB_RAW!$C$3:$C$2000))))),"")</f>
        <v/>
      </c>
      <c r="AA180" s="27" t="n">
        <v>1500</v>
      </c>
      <c r="AB180" s="27" t="n">
        <v>55500000</v>
      </c>
      <c r="AC180" s="27" t="n">
        <v>297000000</v>
      </c>
      <c r="AD180" s="20" t="n"/>
      <c r="AE180" s="20">
        <f>IF($K180="","출고일 미정",IF($Q180="X","작지 미발행",IF($Q180="부분","작지 일부 미발행",IF(AND($S180&lt;&gt;"",$S180&gt;$N180),"소재입고 마감("&amp;TEXT($N180,"MM/DD")&amp;") 초과",IF($Q180="","발행여부 확인 필요",IF($S180="","소재 입고일정 확인 필요","정상"))))))</f>
        <v/>
      </c>
      <c r="AF180" s="19">
        <f>IF($K180="","",IF(OR(LEFT($AE180,2)="작지",LEFT($AE180,4)="소재입고"),IF(LEFT($G180,1)="S","★ 납기위험(S코드)","◆ 지연주의"),IF($AE180="정상","✓ 정상","? 확인필요")))</f>
        <v/>
      </c>
      <c r="AG180" s="21" t="n"/>
      <c r="AH180" s="28" t="n"/>
    </row>
    <row r="181">
      <c r="A181" s="19" t="n">
        <v>177</v>
      </c>
      <c r="B181" s="20" t="inlineStr">
        <is>
          <t>김준래</t>
        </is>
      </c>
      <c r="C181" s="20" t="inlineStr">
        <is>
          <t>정희영</t>
        </is>
      </c>
      <c r="D181" s="20" t="inlineStr">
        <is>
          <t>TLSXM27521</t>
        </is>
      </c>
      <c r="E181" s="20" t="inlineStr">
        <is>
          <t>하절 남성 체크 긴팔 셔츠</t>
        </is>
      </c>
      <c r="F181" s="20" t="inlineStr">
        <is>
          <t>LLA, DGY(D/GRAY)</t>
        </is>
      </c>
      <c r="G181" s="19">
        <f>IF($D181="","",IF(MID($D181,5,1)="S","S(봄)",IF(MID($D181,5,1)="M","M(여름)",IF(MID($D181,5,1)="X","X(사계절)",MID($D181,5,1)))))</f>
        <v/>
      </c>
      <c r="H181" s="20" t="inlineStr">
        <is>
          <t>완사입</t>
        </is>
      </c>
      <c r="I181" s="19" t="inlineStr"/>
      <c r="J181" s="21" t="inlineStr">
        <is>
          <t>2월4주</t>
        </is>
      </c>
      <c r="K181" s="22">
        <f>IF($J181="","",IFERROR(DATE(IF(VALUE(LEFT($J181,FIND("월",$J181)-1))&gt;=9,기준정보!$C$7-1,기준정보!$C$7),VALUE(LEFT($J181,FIND("월",$J181)-1)),1+7*(VALUE(SUBSTITUTE(MID($J181,FIND("월",$J181)+1,5),"주",""))-1)),""))</f>
        <v/>
      </c>
      <c r="L181" s="22">
        <f>IF($K181="","",IF(AND($K181-기준정보!$C$5&gt;=기준정보!$C$10,$K181-기준정보!$C$5&lt;=기준정보!$C$11),기준정보!$C$10-1,$K181-기준정보!$C$5))</f>
        <v/>
      </c>
      <c r="M181" s="23">
        <f>IF($L181="","",IF(OR(ISNUMBER(SEARCH("중국",$W181)),ISNUMBER(SEARCH("베트남",$W181))),MAX(0,MIN($L181,기준정보!$C$9)-MAX($L181-기준정보!$C$6,기준정보!$C$8)+1),IF(ISNUMBER(SEARCH("한국",$W181)),MAX(0,MIN($L181,기준정보!$C$11)-MAX($L181-기준정보!$C$6,기준정보!$C$10)+1),0)))</f>
        <v/>
      </c>
      <c r="N181" s="22">
        <f>IF($L181="","",$L181-기준정보!$C$6-$M181)</f>
        <v/>
      </c>
      <c r="O181" s="24">
        <f>IF($N181="","",$N181-기준정보!$C$4)</f>
        <v/>
      </c>
      <c r="P181" s="21" t="n"/>
      <c r="Q181" s="21" t="inlineStr">
        <is>
          <t>O</t>
        </is>
      </c>
      <c r="R181" s="19">
        <f>IF(COUNTIF(EDW_RAW!$A$2:$A$1500,$D181)=0,"",IF(COUNTIFS(EDW_RAW!$A$2:$A$1500,$D181,EDW_RAW!$U$2:$U$1500,"&lt;&gt;~",EDW_RAW!$U$2:$U$1500,"&lt;&gt;")=COUNTIF(EDW_RAW!$A$2:$A$1500,$D181),"O",IF(COUNTIFS(EDW_RAW!$A$2:$A$1500,$D181,EDW_RAW!$U$2:$U$1500,"&lt;&gt;~",EDW_RAW!$U$2:$U$1500,"&lt;&gt;")&gt;0,"부분","X")))</f>
        <v/>
      </c>
      <c r="S181" s="25" t="n"/>
      <c r="T181" s="20">
        <f>IF($H181="","",IF(AND(ISNUMBER(SEARCH("CMT",$H181)),OR(ISNUMBER(SEARCH("완사입",$H181)),ISNUMBER(SEARCH("ODM",$H181)))),"본사/생산처 혼재",IF(ISNUMBER(SEARCH("CMT",$H181)),"본사(소재팀)","생산처")))</f>
        <v/>
      </c>
      <c r="U181" s="20" t="inlineStr">
        <is>
          <t>픽스처</t>
        </is>
      </c>
      <c r="V181" s="20">
        <f>IFERROR(TEXTJOIN(" / ",TRUE,UNIQUE(FILTER(소재DB_RAW!$K$3:$K$2000,(소재DB_RAW!$G$3:$G$2000=$D181)*ISERROR(SEARCH("drop",소재DB_RAW!$C$3:$C$2000))))),"")</f>
        <v/>
      </c>
      <c r="W181" s="20" t="inlineStr">
        <is>
          <t>베트남</t>
        </is>
      </c>
      <c r="X181" s="20">
        <f>IFERROR(TEXTJOIN(" / ",TRUE,UNIQUE(FILTER(소재DB_RAW!$N$3:$N$2000,(소재DB_RAW!$G$3:$G$2000=$D181)*ISERROR(SEARCH("drop",소재DB_RAW!$C$3:$C$2000))))),"")</f>
        <v/>
      </c>
      <c r="Y181" s="26">
        <f>IFERROR(TEXTJOIN(CHAR(10),TRUE,UNIQUE(FILTER(소재DB_RAW!$N$3:$N$2000&amp;") "&amp;소재DB_RAW!$O$3:$O$2000,(소재DB_RAW!$G$3:$G$2000=$D181)*ISNUMBER(SEARCH("겉감",소재DB_RAW!$M$3:$M$2000))*ISERROR(SEARCH("drop",소재DB_RAW!$C$3:$C$2000))))),"")</f>
        <v/>
      </c>
      <c r="Z181" s="26">
        <f>IFERROR(TEXTJOIN(CHAR(10),TRUE,UNIQUE(FILTER(소재DB_RAW!$N$3:$N$2000&amp;") "&amp;소재DB_RAW!$O$3:$O$2000,(소재DB_RAW!$G$3:$G$2000=$D181)*ISNUMBER(SEARCH("안감",소재DB_RAW!$M$3:$M$2000))*ISERROR(SEARCH("drop",소재DB_RAW!$C$3:$C$2000))))),"")</f>
        <v/>
      </c>
      <c r="AA181" s="27" t="n">
        <v>2000</v>
      </c>
      <c r="AB181" s="27" t="n">
        <v>78808000</v>
      </c>
      <c r="AC181" s="27" t="n">
        <v>376000000</v>
      </c>
      <c r="AD181" s="20" t="inlineStr">
        <is>
          <t>2월4주</t>
        </is>
      </c>
      <c r="AE181" s="20">
        <f>IF($K181="","출고일 미정",IF($Q181="X","작지 미발행",IF($Q181="부분","작지 일부 미발행",IF(AND($S181&lt;&gt;"",$S181&gt;$N181),"소재입고 마감("&amp;TEXT($N181,"MM/DD")&amp;") 초과",IF($Q181="","발행여부 확인 필요",IF($S181="","소재 입고일정 확인 필요","정상"))))))</f>
        <v/>
      </c>
      <c r="AF181" s="19">
        <f>IF($K181="","",IF(OR(LEFT($AE181,2)="작지",LEFT($AE181,4)="소재입고"),IF(LEFT($G181,1)="S","★ 납기위험(S코드)","◆ 지연주의"),IF($AE181="정상","✓ 정상","? 확인필요")))</f>
        <v/>
      </c>
      <c r="AG181" s="21" t="n"/>
      <c r="AH181" s="28" t="n"/>
    </row>
    <row r="182">
      <c r="A182" s="19" t="n">
        <v>178</v>
      </c>
      <c r="B182" s="20" t="inlineStr">
        <is>
          <t>김준래</t>
        </is>
      </c>
      <c r="C182" s="20" t="inlineStr">
        <is>
          <t>정희영</t>
        </is>
      </c>
      <c r="D182" s="20" t="inlineStr">
        <is>
          <t>TLSXM27551</t>
        </is>
      </c>
      <c r="E182" s="20" t="inlineStr">
        <is>
          <t>하절 남성 시어서커 긴팔 셔츠</t>
        </is>
      </c>
      <c r="F182" s="20" t="inlineStr">
        <is>
          <t>IVO(IVORY), GBU-4</t>
        </is>
      </c>
      <c r="G182" s="19">
        <f>IF($D182="","",IF(MID($D182,5,1)="S","S(봄)",IF(MID($D182,5,1)="M","M(여름)",IF(MID($D182,5,1)="X","X(사계절)",MID($D182,5,1)))))</f>
        <v/>
      </c>
      <c r="H182" s="20" t="inlineStr">
        <is>
          <t>완사입</t>
        </is>
      </c>
      <c r="I182" s="19" t="inlineStr"/>
      <c r="J182" s="21" t="inlineStr">
        <is>
          <t>2월4주</t>
        </is>
      </c>
      <c r="K182" s="22">
        <f>IF($J182="","",IFERROR(DATE(IF(VALUE(LEFT($J182,FIND("월",$J182)-1))&gt;=9,기준정보!$C$7-1,기준정보!$C$7),VALUE(LEFT($J182,FIND("월",$J182)-1)),1+7*(VALUE(SUBSTITUTE(MID($J182,FIND("월",$J182)+1,5),"주",""))-1)),""))</f>
        <v/>
      </c>
      <c r="L182" s="22">
        <f>IF($K182="","",IF(AND($K182-기준정보!$C$5&gt;=기준정보!$C$10,$K182-기준정보!$C$5&lt;=기준정보!$C$11),기준정보!$C$10-1,$K182-기준정보!$C$5))</f>
        <v/>
      </c>
      <c r="M182" s="23">
        <f>IF($L182="","",IF(OR(ISNUMBER(SEARCH("중국",$W182)),ISNUMBER(SEARCH("베트남",$W182))),MAX(0,MIN($L182,기준정보!$C$9)-MAX($L182-기준정보!$C$6,기준정보!$C$8)+1),IF(ISNUMBER(SEARCH("한국",$W182)),MAX(0,MIN($L182,기준정보!$C$11)-MAX($L182-기준정보!$C$6,기준정보!$C$10)+1),0)))</f>
        <v/>
      </c>
      <c r="N182" s="22">
        <f>IF($L182="","",$L182-기준정보!$C$6-$M182)</f>
        <v/>
      </c>
      <c r="O182" s="24">
        <f>IF($N182="","",$N182-기준정보!$C$4)</f>
        <v/>
      </c>
      <c r="P182" s="21" t="n"/>
      <c r="Q182" s="21" t="inlineStr">
        <is>
          <t>O</t>
        </is>
      </c>
      <c r="R182" s="19">
        <f>IF(COUNTIF(EDW_RAW!$A$2:$A$1500,$D182)=0,"",IF(COUNTIFS(EDW_RAW!$A$2:$A$1500,$D182,EDW_RAW!$U$2:$U$1500,"&lt;&gt;~",EDW_RAW!$U$2:$U$1500,"&lt;&gt;")=COUNTIF(EDW_RAW!$A$2:$A$1500,$D182),"O",IF(COUNTIFS(EDW_RAW!$A$2:$A$1500,$D182,EDW_RAW!$U$2:$U$1500,"&lt;&gt;~",EDW_RAW!$U$2:$U$1500,"&lt;&gt;")&gt;0,"부분","X")))</f>
        <v/>
      </c>
      <c r="S182" s="25" t="n"/>
      <c r="T182" s="20">
        <f>IF($H182="","",IF(AND(ISNUMBER(SEARCH("CMT",$H182)),OR(ISNUMBER(SEARCH("완사입",$H182)),ISNUMBER(SEARCH("ODM",$H182)))),"본사/생산처 혼재",IF(ISNUMBER(SEARCH("CMT",$H182)),"본사(소재팀)","생산처")))</f>
        <v/>
      </c>
      <c r="U182" s="20" t="inlineStr">
        <is>
          <t>픽스처</t>
        </is>
      </c>
      <c r="V182" s="20">
        <f>IFERROR(TEXTJOIN(" / ",TRUE,UNIQUE(FILTER(소재DB_RAW!$K$3:$K$2000,(소재DB_RAW!$G$3:$G$2000=$D182)*ISERROR(SEARCH("drop",소재DB_RAW!$C$3:$C$2000))))),"")</f>
        <v/>
      </c>
      <c r="W182" s="20" t="inlineStr">
        <is>
          <t>베트남</t>
        </is>
      </c>
      <c r="X182" s="20">
        <f>IFERROR(TEXTJOIN(" / ",TRUE,UNIQUE(FILTER(소재DB_RAW!$N$3:$N$2000,(소재DB_RAW!$G$3:$G$2000=$D182)*ISERROR(SEARCH("drop",소재DB_RAW!$C$3:$C$2000))))),"")</f>
        <v/>
      </c>
      <c r="Y182" s="26">
        <f>IFERROR(TEXTJOIN(CHAR(10),TRUE,UNIQUE(FILTER(소재DB_RAW!$N$3:$N$2000&amp;") "&amp;소재DB_RAW!$O$3:$O$2000,(소재DB_RAW!$G$3:$G$2000=$D182)*ISNUMBER(SEARCH("겉감",소재DB_RAW!$M$3:$M$2000))*ISERROR(SEARCH("drop",소재DB_RAW!$C$3:$C$2000))))),"")</f>
        <v/>
      </c>
      <c r="Z182" s="26">
        <f>IFERROR(TEXTJOIN(CHAR(10),TRUE,UNIQUE(FILTER(소재DB_RAW!$N$3:$N$2000&amp;") "&amp;소재DB_RAW!$O$3:$O$2000,(소재DB_RAW!$G$3:$G$2000=$D182)*ISNUMBER(SEARCH("안감",소재DB_RAW!$M$3:$M$2000))*ISERROR(SEARCH("drop",소재DB_RAW!$C$3:$C$2000))))),"")</f>
        <v/>
      </c>
      <c r="AA182" s="27" t="n">
        <v>1600</v>
      </c>
      <c r="AB182" s="27" t="n">
        <v>61387200</v>
      </c>
      <c r="AC182" s="27" t="n">
        <v>284800000</v>
      </c>
      <c r="AD182" s="20" t="inlineStr">
        <is>
          <t>3</t>
        </is>
      </c>
      <c r="AE182" s="20">
        <f>IF($K182="","출고일 미정",IF($Q182="X","작지 미발행",IF($Q182="부분","작지 일부 미발행",IF(AND($S182&lt;&gt;"",$S182&gt;$N182),"소재입고 마감("&amp;TEXT($N182,"MM/DD")&amp;") 초과",IF($Q182="","발행여부 확인 필요",IF($S182="","소재 입고일정 확인 필요","정상"))))))</f>
        <v/>
      </c>
      <c r="AF182" s="19">
        <f>IF($K182="","",IF(OR(LEFT($AE182,2)="작지",LEFT($AE182,4)="소재입고"),IF(LEFT($G182,1)="S","★ 납기위험(S코드)","◆ 지연주의"),IF($AE182="정상","✓ 정상","? 확인필요")))</f>
        <v/>
      </c>
      <c r="AG182" s="21" t="n"/>
      <c r="AH182" s="28" t="n"/>
    </row>
    <row r="183">
      <c r="A183" s="19" t="n">
        <v>179</v>
      </c>
      <c r="B183" s="20" t="inlineStr">
        <is>
          <t>김준래</t>
        </is>
      </c>
      <c r="C183" s="20" t="inlineStr">
        <is>
          <t>권혁일</t>
        </is>
      </c>
      <c r="D183" s="20" t="inlineStr">
        <is>
          <t>TLTCM27561</t>
        </is>
      </c>
      <c r="E183" s="20" t="inlineStr">
        <is>
          <t>하절 남성 헨리넥 레귤러핏 반팔 티셔츠</t>
        </is>
      </c>
      <c r="F183" s="20" t="inlineStr">
        <is>
          <t>DNA(D/NAVY), LGY(L/GRAY)</t>
        </is>
      </c>
      <c r="G183" s="19">
        <f>IF($D183="","",IF(MID($D183,5,1)="S","S(봄)",IF(MID($D183,5,1)="M","M(여름)",IF(MID($D183,5,1)="X","X(사계절)",MID($D183,5,1)))))</f>
        <v/>
      </c>
      <c r="H183" s="20" t="inlineStr">
        <is>
          <t>완사입</t>
        </is>
      </c>
      <c r="I183" s="19" t="inlineStr"/>
      <c r="J183" s="21" t="inlineStr">
        <is>
          <t>2월4주</t>
        </is>
      </c>
      <c r="K183" s="22">
        <f>IF($J183="","",IFERROR(DATE(IF(VALUE(LEFT($J183,FIND("월",$J183)-1))&gt;=9,기준정보!$C$7-1,기준정보!$C$7),VALUE(LEFT($J183,FIND("월",$J183)-1)),1+7*(VALUE(SUBSTITUTE(MID($J183,FIND("월",$J183)+1,5),"주",""))-1)),""))</f>
        <v/>
      </c>
      <c r="L183" s="22">
        <f>IF($K183="","",IF(AND($K183-기준정보!$C$5&gt;=기준정보!$C$10,$K183-기준정보!$C$5&lt;=기준정보!$C$11),기준정보!$C$10-1,$K183-기준정보!$C$5))</f>
        <v/>
      </c>
      <c r="M183" s="23">
        <f>IF($L183="","",IF(OR(ISNUMBER(SEARCH("중국",$W183)),ISNUMBER(SEARCH("베트남",$W183))),MAX(0,MIN($L183,기준정보!$C$9)-MAX($L183-기준정보!$C$6,기준정보!$C$8)+1),IF(ISNUMBER(SEARCH("한국",$W183)),MAX(0,MIN($L183,기준정보!$C$11)-MAX($L183-기준정보!$C$6,기준정보!$C$10)+1),0)))</f>
        <v/>
      </c>
      <c r="N183" s="22">
        <f>IF($L183="","",$L183-기준정보!$C$6-$M183)</f>
        <v/>
      </c>
      <c r="O183" s="24">
        <f>IF($N183="","",$N183-기준정보!$C$4)</f>
        <v/>
      </c>
      <c r="P183" s="21" t="n"/>
      <c r="Q183" s="21" t="inlineStr">
        <is>
          <t>O</t>
        </is>
      </c>
      <c r="R183" s="19">
        <f>IF(COUNTIF(EDW_RAW!$A$2:$A$1500,$D183)=0,"",IF(COUNTIFS(EDW_RAW!$A$2:$A$1500,$D183,EDW_RAW!$U$2:$U$1500,"&lt;&gt;~",EDW_RAW!$U$2:$U$1500,"&lt;&gt;")=COUNTIF(EDW_RAW!$A$2:$A$1500,$D183),"O",IF(COUNTIFS(EDW_RAW!$A$2:$A$1500,$D183,EDW_RAW!$U$2:$U$1500,"&lt;&gt;~",EDW_RAW!$U$2:$U$1500,"&lt;&gt;")&gt;0,"부분","X")))</f>
        <v/>
      </c>
      <c r="S183" s="25" t="n"/>
      <c r="T183" s="20">
        <f>IF($H183="","",IF(AND(ISNUMBER(SEARCH("CMT",$H183)),OR(ISNUMBER(SEARCH("완사입",$H183)),ISNUMBER(SEARCH("ODM",$H183)))),"본사/생산처 혼재",IF(ISNUMBER(SEARCH("CMT",$H183)),"본사(소재팀)","생산처")))</f>
        <v/>
      </c>
      <c r="U183" s="20" t="inlineStr">
        <is>
          <t>IKG</t>
        </is>
      </c>
      <c r="V183" s="20">
        <f>IFERROR(TEXTJOIN(" / ",TRUE,UNIQUE(FILTER(소재DB_RAW!$K$3:$K$2000,(소재DB_RAW!$G$3:$G$2000=$D183)*ISERROR(SEARCH("drop",소재DB_RAW!$C$3:$C$2000))))),"")</f>
        <v/>
      </c>
      <c r="W183" s="20" t="inlineStr">
        <is>
          <t>인도네시아</t>
        </is>
      </c>
      <c r="X183" s="20">
        <f>IFERROR(TEXTJOIN(" / ",TRUE,UNIQUE(FILTER(소재DB_RAW!$N$3:$N$2000,(소재DB_RAW!$G$3:$G$2000=$D183)*ISERROR(SEARCH("drop",소재DB_RAW!$C$3:$C$2000))))),"")</f>
        <v/>
      </c>
      <c r="Y183" s="26">
        <f>IFERROR(TEXTJOIN(CHAR(10),TRUE,UNIQUE(FILTER(소재DB_RAW!$N$3:$N$2000&amp;") "&amp;소재DB_RAW!$O$3:$O$2000,(소재DB_RAW!$G$3:$G$2000=$D183)*ISNUMBER(SEARCH("겉감",소재DB_RAW!$M$3:$M$2000))*ISERROR(SEARCH("drop",소재DB_RAW!$C$3:$C$2000))))),"")</f>
        <v/>
      </c>
      <c r="Z183" s="26">
        <f>IFERROR(TEXTJOIN(CHAR(10),TRUE,UNIQUE(FILTER(소재DB_RAW!$N$3:$N$2000&amp;") "&amp;소재DB_RAW!$O$3:$O$2000,(소재DB_RAW!$G$3:$G$2000=$D183)*ISNUMBER(SEARCH("안감",소재DB_RAW!$M$3:$M$2000))*ISERROR(SEARCH("drop",소재DB_RAW!$C$3:$C$2000))))),"")</f>
        <v/>
      </c>
      <c r="AA183" s="27" t="n">
        <v>1600</v>
      </c>
      <c r="AB183" s="27" t="n">
        <v>30280000</v>
      </c>
      <c r="AC183" s="27" t="n">
        <v>188800000</v>
      </c>
      <c r="AD183" s="20" t="inlineStr">
        <is>
          <t>2월4주</t>
        </is>
      </c>
      <c r="AE183" s="20">
        <f>IF($K183="","출고일 미정",IF($Q183="X","작지 미발행",IF($Q183="부분","작지 일부 미발행",IF(AND($S183&lt;&gt;"",$S183&gt;$N183),"소재입고 마감("&amp;TEXT($N183,"MM/DD")&amp;") 초과",IF($Q183="","발행여부 확인 필요",IF($S183="","소재 입고일정 확인 필요","정상"))))))</f>
        <v/>
      </c>
      <c r="AF183" s="19">
        <f>IF($K183="","",IF(OR(LEFT($AE183,2)="작지",LEFT($AE183,4)="소재입고"),IF(LEFT($G183,1)="S","★ 납기위험(S코드)","◆ 지연주의"),IF($AE183="정상","✓ 정상","? 확인필요")))</f>
        <v/>
      </c>
      <c r="AG183" s="21" t="n"/>
      <c r="AH183" s="28" t="n"/>
    </row>
    <row r="184">
      <c r="A184" s="19" t="n">
        <v>180</v>
      </c>
      <c r="B184" s="20" t="inlineStr">
        <is>
          <t>문도혁</t>
        </is>
      </c>
      <c r="C184" s="20" t="inlineStr">
        <is>
          <t>이민선</t>
        </is>
      </c>
      <c r="D184" s="20" t="inlineStr">
        <is>
          <t>TVJJM27502</t>
        </is>
      </c>
      <c r="E184" s="20" t="inlineStr">
        <is>
          <t>하절 여성 스탠드넥 벤틸레이션 방풍 재킷</t>
        </is>
      </c>
      <c r="F184" s="20" t="inlineStr">
        <is>
          <t>LGI(L/GREIGE), GBU(G/BLUE)</t>
        </is>
      </c>
      <c r="G184" s="19">
        <f>IF($D184="","",IF(MID($D184,5,1)="S","S(봄)",IF(MID($D184,5,1)="M","M(여름)",IF(MID($D184,5,1)="X","X(사계절)",MID($D184,5,1)))))</f>
        <v/>
      </c>
      <c r="H184" s="20" t="inlineStr">
        <is>
          <t>완사입</t>
        </is>
      </c>
      <c r="I184" s="19" t="inlineStr">
        <is>
          <t>m1</t>
        </is>
      </c>
      <c r="J184" s="21" t="inlineStr">
        <is>
          <t>2월4주</t>
        </is>
      </c>
      <c r="K184" s="22">
        <f>IF($J184="","",IFERROR(DATE(IF(VALUE(LEFT($J184,FIND("월",$J184)-1))&gt;=9,기준정보!$C$7-1,기준정보!$C$7),VALUE(LEFT($J184,FIND("월",$J184)-1)),1+7*(VALUE(SUBSTITUTE(MID($J184,FIND("월",$J184)+1,5),"주",""))-1)),""))</f>
        <v/>
      </c>
      <c r="L184" s="22">
        <f>IF($K184="","",IF(AND($K184-기준정보!$C$5&gt;=기준정보!$C$10,$K184-기준정보!$C$5&lt;=기준정보!$C$11),기준정보!$C$10-1,$K184-기준정보!$C$5))</f>
        <v/>
      </c>
      <c r="M184" s="23">
        <f>IF($L184="","",IF(OR(ISNUMBER(SEARCH("중국",$W184)),ISNUMBER(SEARCH("베트남",$W184))),MAX(0,MIN($L184,기준정보!$C$9)-MAX($L184-기준정보!$C$6,기준정보!$C$8)+1),IF(ISNUMBER(SEARCH("한국",$W184)),MAX(0,MIN($L184,기준정보!$C$11)-MAX($L184-기준정보!$C$6,기준정보!$C$10)+1),0)))</f>
        <v/>
      </c>
      <c r="N184" s="22">
        <f>IF($L184="","",$L184-기준정보!$C$6-$M184)</f>
        <v/>
      </c>
      <c r="O184" s="24">
        <f>IF($N184="","",$N184-기준정보!$C$4)</f>
        <v/>
      </c>
      <c r="P184" s="21" t="n"/>
      <c r="Q184" s="21" t="inlineStr">
        <is>
          <t>O</t>
        </is>
      </c>
      <c r="R184" s="19">
        <f>IF(COUNTIF(EDW_RAW!$A$2:$A$1500,$D184)=0,"",IF(COUNTIFS(EDW_RAW!$A$2:$A$1500,$D184,EDW_RAW!$U$2:$U$1500,"&lt;&gt;~",EDW_RAW!$U$2:$U$1500,"&lt;&gt;")=COUNTIF(EDW_RAW!$A$2:$A$1500,$D184),"O",IF(COUNTIFS(EDW_RAW!$A$2:$A$1500,$D184,EDW_RAW!$U$2:$U$1500,"&lt;&gt;~",EDW_RAW!$U$2:$U$1500,"&lt;&gt;")&gt;0,"부분","X")))</f>
        <v/>
      </c>
      <c r="S184" s="25" t="n"/>
      <c r="T184" s="20">
        <f>IF($H184="","",IF(AND(ISNUMBER(SEARCH("CMT",$H184)),OR(ISNUMBER(SEARCH("완사입",$H184)),ISNUMBER(SEARCH("ODM",$H184)))),"본사/생산처 혼재",IF(ISNUMBER(SEARCH("CMT",$H184)),"본사(소재팀)","생산처")))</f>
        <v/>
      </c>
      <c r="U184" s="20" t="inlineStr">
        <is>
          <t>원전</t>
        </is>
      </c>
      <c r="V184" s="20">
        <f>IFERROR(TEXTJOIN(" / ",TRUE,UNIQUE(FILTER(소재DB_RAW!$K$3:$K$2000,(소재DB_RAW!$G$3:$G$2000=$D184)*ISERROR(SEARCH("drop",소재DB_RAW!$C$3:$C$2000))))),"")</f>
        <v/>
      </c>
      <c r="W184" s="20" t="inlineStr">
        <is>
          <t>베트남</t>
        </is>
      </c>
      <c r="X184" s="20">
        <f>IFERROR(TEXTJOIN(" / ",TRUE,UNIQUE(FILTER(소재DB_RAW!$N$3:$N$2000,(소재DB_RAW!$G$3:$G$2000=$D184)*ISERROR(SEARCH("drop",소재DB_RAW!$C$3:$C$2000))))),"")</f>
        <v/>
      </c>
      <c r="Y184" s="26">
        <f>IFERROR(TEXTJOIN(CHAR(10),TRUE,UNIQUE(FILTER(소재DB_RAW!$N$3:$N$2000&amp;") "&amp;소재DB_RAW!$O$3:$O$2000,(소재DB_RAW!$G$3:$G$2000=$D184)*ISNUMBER(SEARCH("겉감",소재DB_RAW!$M$3:$M$2000))*ISERROR(SEARCH("drop",소재DB_RAW!$C$3:$C$2000))))),"")</f>
        <v/>
      </c>
      <c r="Z184" s="26">
        <f>IFERROR(TEXTJOIN(CHAR(10),TRUE,UNIQUE(FILTER(소재DB_RAW!$N$3:$N$2000&amp;") "&amp;소재DB_RAW!$O$3:$O$2000,(소재DB_RAW!$G$3:$G$2000=$D184)*ISNUMBER(SEARCH("안감",소재DB_RAW!$M$3:$M$2000))*ISERROR(SEARCH("drop",소재DB_RAW!$C$3:$C$2000))))),"")</f>
        <v/>
      </c>
      <c r="AA184" s="27" t="n">
        <v>3000</v>
      </c>
      <c r="AB184" s="27" t="n">
        <v>158886000</v>
      </c>
      <c r="AC184" s="27" t="n">
        <v>750000000</v>
      </c>
      <c r="AD184" s="20" t="n"/>
      <c r="AE184" s="20">
        <f>IF($K184="","출고일 미정",IF($Q184="X","작지 미발행",IF($Q184="부분","작지 일부 미발행",IF(AND($S184&lt;&gt;"",$S184&gt;$N184),"소재입고 마감("&amp;TEXT($N184,"MM/DD")&amp;") 초과",IF($Q184="","발행여부 확인 필요",IF($S184="","소재 입고일정 확인 필요","정상"))))))</f>
        <v/>
      </c>
      <c r="AF184" s="19">
        <f>IF($K184="","",IF(OR(LEFT($AE184,2)="작지",LEFT($AE184,4)="소재입고"),IF(LEFT($G184,1)="S","★ 납기위험(S코드)","◆ 지연주의"),IF($AE184="정상","✓ 정상","? 확인필요")))</f>
        <v/>
      </c>
      <c r="AG184" s="21" t="n"/>
      <c r="AH184" s="28" t="n"/>
    </row>
    <row r="185">
      <c r="A185" s="19" t="n">
        <v>181</v>
      </c>
      <c r="B185" s="20" t="inlineStr">
        <is>
          <t>박지인</t>
        </is>
      </c>
      <c r="C185" s="20" t="inlineStr">
        <is>
          <t>이민선</t>
        </is>
      </c>
      <c r="D185" s="20" t="inlineStr">
        <is>
          <t>TVJJM27542</t>
        </is>
      </c>
      <c r="E185" s="20" t="inlineStr">
        <is>
          <t>하절 여성 중기장 오버사이즈 재킷</t>
        </is>
      </c>
      <c r="F185" s="20" t="inlineStr">
        <is>
          <t>CO1</t>
        </is>
      </c>
      <c r="G185" s="19">
        <f>IF($D185="","",IF(MID($D185,5,1)="S","S(봄)",IF(MID($D185,5,1)="M","M(여름)",IF(MID($D185,5,1)="X","X(사계절)",MID($D185,5,1)))))</f>
        <v/>
      </c>
      <c r="H185" s="20" t="inlineStr">
        <is>
          <t>완사입</t>
        </is>
      </c>
      <c r="I185" s="19" t="inlineStr"/>
      <c r="J185" s="21" t="inlineStr">
        <is>
          <t>2월4주</t>
        </is>
      </c>
      <c r="K185" s="22">
        <f>IF($J185="","",IFERROR(DATE(IF(VALUE(LEFT($J185,FIND("월",$J185)-1))&gt;=9,기준정보!$C$7-1,기준정보!$C$7),VALUE(LEFT($J185,FIND("월",$J185)-1)),1+7*(VALUE(SUBSTITUTE(MID($J185,FIND("월",$J185)+1,5),"주",""))-1)),""))</f>
        <v/>
      </c>
      <c r="L185" s="22">
        <f>IF($K185="","",IF(AND($K185-기준정보!$C$5&gt;=기준정보!$C$10,$K185-기준정보!$C$5&lt;=기준정보!$C$11),기준정보!$C$10-1,$K185-기준정보!$C$5))</f>
        <v/>
      </c>
      <c r="M185" s="23">
        <f>IF($L185="","",IF(OR(ISNUMBER(SEARCH("중국",$W185)),ISNUMBER(SEARCH("베트남",$W185))),MAX(0,MIN($L185,기준정보!$C$9)-MAX($L185-기준정보!$C$6,기준정보!$C$8)+1),IF(ISNUMBER(SEARCH("한국",$W185)),MAX(0,MIN($L185,기준정보!$C$11)-MAX($L185-기준정보!$C$6,기준정보!$C$10)+1),0)))</f>
        <v/>
      </c>
      <c r="N185" s="22">
        <f>IF($L185="","",$L185-기준정보!$C$6-$M185)</f>
        <v/>
      </c>
      <c r="O185" s="24">
        <f>IF($N185="","",$N185-기준정보!$C$4)</f>
        <v/>
      </c>
      <c r="P185" s="21" t="n"/>
      <c r="Q185" s="21" t="inlineStr">
        <is>
          <t>O</t>
        </is>
      </c>
      <c r="R185" s="19">
        <f>IF(COUNTIF(EDW_RAW!$A$2:$A$1500,$D185)=0,"",IF(COUNTIFS(EDW_RAW!$A$2:$A$1500,$D185,EDW_RAW!$U$2:$U$1500,"&lt;&gt;~",EDW_RAW!$U$2:$U$1500,"&lt;&gt;")=COUNTIF(EDW_RAW!$A$2:$A$1500,$D185),"O",IF(COUNTIFS(EDW_RAW!$A$2:$A$1500,$D185,EDW_RAW!$U$2:$U$1500,"&lt;&gt;~",EDW_RAW!$U$2:$U$1500,"&lt;&gt;")&gt;0,"부분","X")))</f>
        <v/>
      </c>
      <c r="S185" s="25" t="n"/>
      <c r="T185" s="20">
        <f>IF($H185="","",IF(AND(ISNUMBER(SEARCH("CMT",$H185)),OR(ISNUMBER(SEARCH("완사입",$H185)),ISNUMBER(SEARCH("ODM",$H185)))),"본사/생산처 혼재",IF(ISNUMBER(SEARCH("CMT",$H185)),"본사(소재팀)","생산처")))</f>
        <v/>
      </c>
      <c r="U185" s="20" t="inlineStr">
        <is>
          <t>원전</t>
        </is>
      </c>
      <c r="V185" s="20">
        <f>IFERROR(TEXTJOIN(" / ",TRUE,UNIQUE(FILTER(소재DB_RAW!$K$3:$K$2000,(소재DB_RAW!$G$3:$G$2000=$D185)*ISERROR(SEARCH("drop",소재DB_RAW!$C$3:$C$2000))))),"")</f>
        <v/>
      </c>
      <c r="W185" s="20" t="inlineStr"/>
      <c r="X185" s="20">
        <f>IFERROR(TEXTJOIN(" / ",TRUE,UNIQUE(FILTER(소재DB_RAW!$N$3:$N$2000,(소재DB_RAW!$G$3:$G$2000=$D185)*ISERROR(SEARCH("drop",소재DB_RAW!$C$3:$C$2000))))),"")</f>
        <v/>
      </c>
      <c r="Y185" s="26">
        <f>IFERROR(TEXTJOIN(CHAR(10),TRUE,UNIQUE(FILTER(소재DB_RAW!$N$3:$N$2000&amp;") "&amp;소재DB_RAW!$O$3:$O$2000,(소재DB_RAW!$G$3:$G$2000=$D185)*ISNUMBER(SEARCH("겉감",소재DB_RAW!$M$3:$M$2000))*ISERROR(SEARCH("drop",소재DB_RAW!$C$3:$C$2000))))),"")</f>
        <v/>
      </c>
      <c r="Z185" s="26">
        <f>IFERROR(TEXTJOIN(CHAR(10),TRUE,UNIQUE(FILTER(소재DB_RAW!$N$3:$N$2000&amp;") "&amp;소재DB_RAW!$O$3:$O$2000,(소재DB_RAW!$G$3:$G$2000=$D185)*ISNUMBER(SEARCH("안감",소재DB_RAW!$M$3:$M$2000))*ISERROR(SEARCH("drop",소재DB_RAW!$C$3:$C$2000))))),"")</f>
        <v/>
      </c>
      <c r="AA185" s="27" t="n">
        <v>3000</v>
      </c>
      <c r="AB185" s="27" t="n">
        <v>120000000</v>
      </c>
      <c r="AC185" s="27" t="n">
        <v>594000000</v>
      </c>
      <c r="AD185" s="20" t="inlineStr">
        <is>
          <t>2월4주</t>
        </is>
      </c>
      <c r="AE185" s="20">
        <f>IF($K185="","출고일 미정",IF($Q185="X","작지 미발행",IF($Q185="부분","작지 일부 미발행",IF(AND($S185&lt;&gt;"",$S185&gt;$N185),"소재입고 마감("&amp;TEXT($N185,"MM/DD")&amp;") 초과",IF($Q185="","발행여부 확인 필요",IF($S185="","소재 입고일정 확인 필요","정상"))))))</f>
        <v/>
      </c>
      <c r="AF185" s="19">
        <f>IF($K185="","",IF(OR(LEFT($AE185,2)="작지",LEFT($AE185,4)="소재입고"),IF(LEFT($G185,1)="S","★ 납기위험(S코드)","◆ 지연주의"),IF($AE185="정상","✓ 정상","? 확인필요")))</f>
        <v/>
      </c>
      <c r="AG185" s="21" t="n"/>
      <c r="AH185" s="28" t="n"/>
    </row>
    <row r="186">
      <c r="A186" s="19" t="n">
        <v>182</v>
      </c>
      <c r="B186" s="20" t="inlineStr">
        <is>
          <t>김준래</t>
        </is>
      </c>
      <c r="C186" s="20" t="inlineStr">
        <is>
          <t>권혁일</t>
        </is>
      </c>
      <c r="D186" s="20" t="inlineStr">
        <is>
          <t>TVTCM27502</t>
        </is>
      </c>
      <c r="E186" s="20" t="inlineStr">
        <is>
          <t>하절 여성 베이직 폴로 반팔 티셔츠</t>
        </is>
      </c>
      <c r="F186" s="20" t="inlineStr">
        <is>
          <t>IVO(IVORY), DNA(D/NAVY), LPI</t>
        </is>
      </c>
      <c r="G186" s="19">
        <f>IF($D186="","",IF(MID($D186,5,1)="S","S(봄)",IF(MID($D186,5,1)="M","M(여름)",IF(MID($D186,5,1)="X","X(사계절)",MID($D186,5,1)))))</f>
        <v/>
      </c>
      <c r="H186" s="20" t="inlineStr">
        <is>
          <t>ODM</t>
        </is>
      </c>
      <c r="I186" s="19" t="inlineStr"/>
      <c r="J186" s="21" t="inlineStr">
        <is>
          <t>2월4주</t>
        </is>
      </c>
      <c r="K186" s="22">
        <f>IF($J186="","",IFERROR(DATE(IF(VALUE(LEFT($J186,FIND("월",$J186)-1))&gt;=9,기준정보!$C$7-1,기준정보!$C$7),VALUE(LEFT($J186,FIND("월",$J186)-1)),1+7*(VALUE(SUBSTITUTE(MID($J186,FIND("월",$J186)+1,5),"주",""))-1)),""))</f>
        <v/>
      </c>
      <c r="L186" s="22">
        <f>IF($K186="","",IF(AND($K186-기준정보!$C$5&gt;=기준정보!$C$10,$K186-기준정보!$C$5&lt;=기준정보!$C$11),기준정보!$C$10-1,$K186-기준정보!$C$5))</f>
        <v/>
      </c>
      <c r="M186" s="23">
        <f>IF($L186="","",IF(OR(ISNUMBER(SEARCH("중국",$W186)),ISNUMBER(SEARCH("베트남",$W186))),MAX(0,MIN($L186,기준정보!$C$9)-MAX($L186-기준정보!$C$6,기준정보!$C$8)+1),IF(ISNUMBER(SEARCH("한국",$W186)),MAX(0,MIN($L186,기준정보!$C$11)-MAX($L186-기준정보!$C$6,기준정보!$C$10)+1),0)))</f>
        <v/>
      </c>
      <c r="N186" s="22">
        <f>IF($L186="","",$L186-기준정보!$C$6-$M186)</f>
        <v/>
      </c>
      <c r="O186" s="24">
        <f>IF($N186="","",$N186-기준정보!$C$4)</f>
        <v/>
      </c>
      <c r="P186" s="21" t="n"/>
      <c r="Q186" s="21" t="inlineStr">
        <is>
          <t>O</t>
        </is>
      </c>
      <c r="R186" s="19">
        <f>IF(COUNTIF(EDW_RAW!$A$2:$A$1500,$D186)=0,"",IF(COUNTIFS(EDW_RAW!$A$2:$A$1500,$D186,EDW_RAW!$U$2:$U$1500,"&lt;&gt;~",EDW_RAW!$U$2:$U$1500,"&lt;&gt;")=COUNTIF(EDW_RAW!$A$2:$A$1500,$D186),"O",IF(COUNTIFS(EDW_RAW!$A$2:$A$1500,$D186,EDW_RAW!$U$2:$U$1500,"&lt;&gt;~",EDW_RAW!$U$2:$U$1500,"&lt;&gt;")&gt;0,"부분","X")))</f>
        <v/>
      </c>
      <c r="S186" s="25" t="n"/>
      <c r="T186" s="20">
        <f>IF($H186="","",IF(AND(ISNUMBER(SEARCH("CMT",$H186)),OR(ISNUMBER(SEARCH("완사입",$H186)),ISNUMBER(SEARCH("ODM",$H186)))),"본사/생산처 혼재",IF(ISNUMBER(SEARCH("CMT",$H186)),"본사(소재팀)","생산처")))</f>
        <v/>
      </c>
      <c r="U186" s="20" t="inlineStr">
        <is>
          <t>TESSELLATION</t>
        </is>
      </c>
      <c r="V186" s="20">
        <f>IFERROR(TEXTJOIN(" / ",TRUE,UNIQUE(FILTER(소재DB_RAW!$K$3:$K$2000,(소재DB_RAW!$G$3:$G$2000=$D186)*ISERROR(SEARCH("drop",소재DB_RAW!$C$3:$C$2000))))),"")</f>
        <v/>
      </c>
      <c r="W186" s="20" t="inlineStr">
        <is>
          <t>중국</t>
        </is>
      </c>
      <c r="X186" s="20">
        <f>IFERROR(TEXTJOIN(" / ",TRUE,UNIQUE(FILTER(소재DB_RAW!$N$3:$N$2000,(소재DB_RAW!$G$3:$G$2000=$D186)*ISERROR(SEARCH("drop",소재DB_RAW!$C$3:$C$2000))))),"")</f>
        <v/>
      </c>
      <c r="Y186" s="26">
        <f>IFERROR(TEXTJOIN(CHAR(10),TRUE,UNIQUE(FILTER(소재DB_RAW!$N$3:$N$2000&amp;") "&amp;소재DB_RAW!$O$3:$O$2000,(소재DB_RAW!$G$3:$G$2000=$D186)*ISNUMBER(SEARCH("겉감",소재DB_RAW!$M$3:$M$2000))*ISERROR(SEARCH("drop",소재DB_RAW!$C$3:$C$2000))))),"")</f>
        <v/>
      </c>
      <c r="Z186" s="26">
        <f>IFERROR(TEXTJOIN(CHAR(10),TRUE,UNIQUE(FILTER(소재DB_RAW!$N$3:$N$2000&amp;") "&amp;소재DB_RAW!$O$3:$O$2000,(소재DB_RAW!$G$3:$G$2000=$D186)*ISNUMBER(SEARCH("안감",소재DB_RAW!$M$3:$M$2000))*ISERROR(SEARCH("drop",소재DB_RAW!$C$3:$C$2000))))),"")</f>
        <v/>
      </c>
      <c r="AA186" s="27" t="n">
        <v>9500</v>
      </c>
      <c r="AB186" s="27" t="n">
        <v>162868000</v>
      </c>
      <c r="AC186" s="27" t="n">
        <v>1026000000</v>
      </c>
      <c r="AD186" s="20" t="inlineStr">
        <is>
          <t>2월4주</t>
        </is>
      </c>
      <c r="AE186" s="20">
        <f>IF($K186="","출고일 미정",IF($Q186="X","작지 미발행",IF($Q186="부분","작지 일부 미발행",IF(AND($S186&lt;&gt;"",$S186&gt;$N186),"소재입고 마감("&amp;TEXT($N186,"MM/DD")&amp;") 초과",IF($Q186="","발행여부 확인 필요",IF($S186="","소재 입고일정 확인 필요","정상"))))))</f>
        <v/>
      </c>
      <c r="AF186" s="19">
        <f>IF($K186="","",IF(OR(LEFT($AE186,2)="작지",LEFT($AE186,4)="소재입고"),IF(LEFT($G186,1)="S","★ 납기위험(S코드)","◆ 지연주의"),IF($AE186="정상","✓ 정상","? 확인필요")))</f>
        <v/>
      </c>
      <c r="AG186" s="21" t="n"/>
      <c r="AH186" s="28" t="n"/>
    </row>
    <row r="187">
      <c r="A187" s="19" t="n">
        <v>183</v>
      </c>
      <c r="B187" s="20" t="inlineStr">
        <is>
          <t>박지인</t>
        </is>
      </c>
      <c r="C187" s="20" t="inlineStr">
        <is>
          <t>정은진</t>
        </is>
      </c>
      <c r="D187" s="20" t="inlineStr">
        <is>
          <t>JKJJM27142</t>
        </is>
      </c>
      <c r="E187" s="20" t="inlineStr">
        <is>
          <t>하절 여성 소프트쉘 재킷 (SET UP)</t>
        </is>
      </c>
      <c r="F187" s="20" t="inlineStr">
        <is>
          <t>BLK(BLACK), WBE</t>
        </is>
      </c>
      <c r="G187" s="19">
        <f>IF($D187="","",IF(MID($D187,5,1)="S","S(봄)",IF(MID($D187,5,1)="M","M(여름)",IF(MID($D187,5,1)="X","X(사계절)",MID($D187,5,1)))))</f>
        <v/>
      </c>
      <c r="H187" s="20" t="inlineStr">
        <is>
          <t>완사입</t>
        </is>
      </c>
      <c r="I187" s="19" t="inlineStr"/>
      <c r="J187" s="21" t="inlineStr">
        <is>
          <t>3월1주</t>
        </is>
      </c>
      <c r="K187" s="22">
        <f>IF($J187="","",IFERROR(DATE(IF(VALUE(LEFT($J187,FIND("월",$J187)-1))&gt;=9,기준정보!$C$7-1,기준정보!$C$7),VALUE(LEFT($J187,FIND("월",$J187)-1)),1+7*(VALUE(SUBSTITUTE(MID($J187,FIND("월",$J187)+1,5),"주",""))-1)),""))</f>
        <v/>
      </c>
      <c r="L187" s="22">
        <f>IF($K187="","",IF(AND($K187-기준정보!$C$5&gt;=기준정보!$C$10,$K187-기준정보!$C$5&lt;=기준정보!$C$11),기준정보!$C$10-1,$K187-기준정보!$C$5))</f>
        <v/>
      </c>
      <c r="M187" s="23">
        <f>IF($L187="","",IF(OR(ISNUMBER(SEARCH("중국",$W187)),ISNUMBER(SEARCH("베트남",$W187))),MAX(0,MIN($L187,기준정보!$C$9)-MAX($L187-기준정보!$C$6,기준정보!$C$8)+1),IF(ISNUMBER(SEARCH("한국",$W187)),MAX(0,MIN($L187,기준정보!$C$11)-MAX($L187-기준정보!$C$6,기준정보!$C$10)+1),0)))</f>
        <v/>
      </c>
      <c r="N187" s="22">
        <f>IF($L187="","",$L187-기준정보!$C$6-$M187)</f>
        <v/>
      </c>
      <c r="O187" s="24">
        <f>IF($N187="","",$N187-기준정보!$C$4)</f>
        <v/>
      </c>
      <c r="P187" s="21" t="n"/>
      <c r="Q187" s="21" t="inlineStr">
        <is>
          <t>O</t>
        </is>
      </c>
      <c r="R187" s="19">
        <f>IF(COUNTIF(EDW_RAW!$A$2:$A$1500,$D187)=0,"",IF(COUNTIFS(EDW_RAW!$A$2:$A$1500,$D187,EDW_RAW!$U$2:$U$1500,"&lt;&gt;~",EDW_RAW!$U$2:$U$1500,"&lt;&gt;")=COUNTIF(EDW_RAW!$A$2:$A$1500,$D187),"O",IF(COUNTIFS(EDW_RAW!$A$2:$A$1500,$D187,EDW_RAW!$U$2:$U$1500,"&lt;&gt;~",EDW_RAW!$U$2:$U$1500,"&lt;&gt;")&gt;0,"부분","X")))</f>
        <v/>
      </c>
      <c r="S187" s="25" t="n"/>
      <c r="T187" s="20">
        <f>IF($H187="","",IF(AND(ISNUMBER(SEARCH("CMT",$H187)),OR(ISNUMBER(SEARCH("완사입",$H187)),ISNUMBER(SEARCH("ODM",$H187)))),"본사/생산처 혼재",IF(ISNUMBER(SEARCH("CMT",$H187)),"본사(소재팀)","생산처")))</f>
        <v/>
      </c>
      <c r="U187" s="20" t="inlineStr">
        <is>
          <t>원전</t>
        </is>
      </c>
      <c r="V187" s="20">
        <f>IFERROR(TEXTJOIN(" / ",TRUE,UNIQUE(FILTER(소재DB_RAW!$K$3:$K$2000,(소재DB_RAW!$G$3:$G$2000=$D187)*ISERROR(SEARCH("drop",소재DB_RAW!$C$3:$C$2000))))),"")</f>
        <v/>
      </c>
      <c r="W187" s="20" t="inlineStr"/>
      <c r="X187" s="20">
        <f>IFERROR(TEXTJOIN(" / ",TRUE,UNIQUE(FILTER(소재DB_RAW!$N$3:$N$2000,(소재DB_RAW!$G$3:$G$2000=$D187)*ISERROR(SEARCH("drop",소재DB_RAW!$C$3:$C$2000))))),"")</f>
        <v/>
      </c>
      <c r="Y187" s="26">
        <f>IFERROR(TEXTJOIN(CHAR(10),TRUE,UNIQUE(FILTER(소재DB_RAW!$N$3:$N$2000&amp;") "&amp;소재DB_RAW!$O$3:$O$2000,(소재DB_RAW!$G$3:$G$2000=$D187)*ISNUMBER(SEARCH("겉감",소재DB_RAW!$M$3:$M$2000))*ISERROR(SEARCH("drop",소재DB_RAW!$C$3:$C$2000))))),"")</f>
        <v/>
      </c>
      <c r="Z187" s="26">
        <f>IFERROR(TEXTJOIN(CHAR(10),TRUE,UNIQUE(FILTER(소재DB_RAW!$N$3:$N$2000&amp;") "&amp;소재DB_RAW!$O$3:$O$2000,(소재DB_RAW!$G$3:$G$2000=$D187)*ISNUMBER(SEARCH("안감",소재DB_RAW!$M$3:$M$2000))*ISERROR(SEARCH("drop",소재DB_RAW!$C$3:$C$2000))))),"")</f>
        <v/>
      </c>
      <c r="AA187" s="27" t="n">
        <v>1800</v>
      </c>
      <c r="AB187" s="27" t="n">
        <v>95065200</v>
      </c>
      <c r="AC187" s="27" t="n">
        <v>450000000</v>
      </c>
      <c r="AD187" s="20" t="inlineStr">
        <is>
          <t>3월1주</t>
        </is>
      </c>
      <c r="AE187" s="20">
        <f>IF($K187="","출고일 미정",IF($Q187="X","작지 미발행",IF($Q187="부분","작지 일부 미발행",IF(AND($S187&lt;&gt;"",$S187&gt;$N187),"소재입고 마감("&amp;TEXT($N187,"MM/DD")&amp;") 초과",IF($Q187="","발행여부 확인 필요",IF($S187="","소재 입고일정 확인 필요","정상"))))))</f>
        <v/>
      </c>
      <c r="AF187" s="19">
        <f>IF($K187="","",IF(OR(LEFT($AE187,2)="작지",LEFT($AE187,4)="소재입고"),IF(LEFT($G187,1)="S","★ 납기위험(S코드)","◆ 지연주의"),IF($AE187="정상","✓ 정상","? 확인필요")))</f>
        <v/>
      </c>
      <c r="AG187" s="21" t="n"/>
      <c r="AH187" s="28" t="n"/>
    </row>
    <row r="188">
      <c r="A188" s="19" t="n">
        <v>184</v>
      </c>
      <c r="B188" s="20" t="inlineStr">
        <is>
          <t>박지인</t>
        </is>
      </c>
      <c r="C188" s="20" t="inlineStr">
        <is>
          <t>정은진</t>
        </is>
      </c>
      <c r="D188" s="20" t="inlineStr">
        <is>
          <t>JKJJM27182</t>
        </is>
      </c>
      <c r="E188" s="20" t="inlineStr">
        <is>
          <t>하절 여성 제노아 스트레치 중기장 인후드 재킷</t>
        </is>
      </c>
      <c r="F188" s="20" t="inlineStr">
        <is>
          <t>GRI(GREIGE), LIL(LILAC), NAY-1</t>
        </is>
      </c>
      <c r="G188" s="19">
        <f>IF($D188="","",IF(MID($D188,5,1)="S","S(봄)",IF(MID($D188,5,1)="M","M(여름)",IF(MID($D188,5,1)="X","X(사계절)",MID($D188,5,1)))))</f>
        <v/>
      </c>
      <c r="H188" s="20" t="inlineStr">
        <is>
          <t>CMT</t>
        </is>
      </c>
      <c r="I188" s="19" t="inlineStr"/>
      <c r="J188" s="21" t="inlineStr">
        <is>
          <t>3월1주</t>
        </is>
      </c>
      <c r="K188" s="22">
        <f>IF($J188="","",IFERROR(DATE(IF(VALUE(LEFT($J188,FIND("월",$J188)-1))&gt;=9,기준정보!$C$7-1,기준정보!$C$7),VALUE(LEFT($J188,FIND("월",$J188)-1)),1+7*(VALUE(SUBSTITUTE(MID($J188,FIND("월",$J188)+1,5),"주",""))-1)),""))</f>
        <v/>
      </c>
      <c r="L188" s="22">
        <f>IF($K188="","",IF(AND($K188-기준정보!$C$5&gt;=기준정보!$C$10,$K188-기준정보!$C$5&lt;=기준정보!$C$11),기준정보!$C$10-1,$K188-기준정보!$C$5))</f>
        <v/>
      </c>
      <c r="M188" s="23">
        <f>IF($L188="","",IF(OR(ISNUMBER(SEARCH("중국",$W188)),ISNUMBER(SEARCH("베트남",$W188))),MAX(0,MIN($L188,기준정보!$C$9)-MAX($L188-기준정보!$C$6,기준정보!$C$8)+1),IF(ISNUMBER(SEARCH("한국",$W188)),MAX(0,MIN($L188,기준정보!$C$11)-MAX($L188-기준정보!$C$6,기준정보!$C$10)+1),0)))</f>
        <v/>
      </c>
      <c r="N188" s="22">
        <f>IF($L188="","",$L188-기준정보!$C$6-$M188)</f>
        <v/>
      </c>
      <c r="O188" s="24">
        <f>IF($N188="","",$N188-기준정보!$C$4)</f>
        <v/>
      </c>
      <c r="P188" s="21" t="n"/>
      <c r="Q188" s="21" t="inlineStr">
        <is>
          <t>O</t>
        </is>
      </c>
      <c r="R188" s="19">
        <f>IF(COUNTIF(EDW_RAW!$A$2:$A$1500,$D188)=0,"",IF(COUNTIFS(EDW_RAW!$A$2:$A$1500,$D188,EDW_RAW!$U$2:$U$1500,"&lt;&gt;~",EDW_RAW!$U$2:$U$1500,"&lt;&gt;")=COUNTIF(EDW_RAW!$A$2:$A$1500,$D188),"O",IF(COUNTIFS(EDW_RAW!$A$2:$A$1500,$D188,EDW_RAW!$U$2:$U$1500,"&lt;&gt;~",EDW_RAW!$U$2:$U$1500,"&lt;&gt;")&gt;0,"부분","X")))</f>
        <v/>
      </c>
      <c r="S188" s="25" t="n"/>
      <c r="T188" s="20">
        <f>IF($H188="","",IF(AND(ISNUMBER(SEARCH("CMT",$H188)),OR(ISNUMBER(SEARCH("완사입",$H188)),ISNUMBER(SEARCH("ODM",$H188)))),"본사/생산처 혼재",IF(ISNUMBER(SEARCH("CMT",$H188)),"본사(소재팀)","생산처")))</f>
        <v/>
      </c>
      <c r="U188" s="20" t="inlineStr">
        <is>
          <t>원전</t>
        </is>
      </c>
      <c r="V188" s="20">
        <f>IFERROR(TEXTJOIN(" / ",TRUE,UNIQUE(FILTER(소재DB_RAW!$K$3:$K$2000,(소재DB_RAW!$G$3:$G$2000=$D188)*ISERROR(SEARCH("drop",소재DB_RAW!$C$3:$C$2000))))),"")</f>
        <v/>
      </c>
      <c r="W188" s="20" t="inlineStr"/>
      <c r="X188" s="20">
        <f>IFERROR(TEXTJOIN(" / ",TRUE,UNIQUE(FILTER(소재DB_RAW!$N$3:$N$2000,(소재DB_RAW!$G$3:$G$2000=$D188)*ISERROR(SEARCH("drop",소재DB_RAW!$C$3:$C$2000))))),"")</f>
        <v/>
      </c>
      <c r="Y188" s="26">
        <f>IFERROR(TEXTJOIN(CHAR(10),TRUE,UNIQUE(FILTER(소재DB_RAW!$N$3:$N$2000&amp;") "&amp;소재DB_RAW!$O$3:$O$2000,(소재DB_RAW!$G$3:$G$2000=$D188)*ISNUMBER(SEARCH("겉감",소재DB_RAW!$M$3:$M$2000))*ISERROR(SEARCH("drop",소재DB_RAW!$C$3:$C$2000))))),"")</f>
        <v/>
      </c>
      <c r="Z188" s="26">
        <f>IFERROR(TEXTJOIN(CHAR(10),TRUE,UNIQUE(FILTER(소재DB_RAW!$N$3:$N$2000&amp;") "&amp;소재DB_RAW!$O$3:$O$2000,(소재DB_RAW!$G$3:$G$2000=$D188)*ISNUMBER(SEARCH("안감",소재DB_RAW!$M$3:$M$2000))*ISERROR(SEARCH("drop",소재DB_RAW!$C$3:$C$2000))))),"")</f>
        <v/>
      </c>
      <c r="AA188" s="27" t="n">
        <v>6500</v>
      </c>
      <c r="AB188" s="27" t="n">
        <v>292500000</v>
      </c>
      <c r="AC188" s="27" t="n">
        <v>1430000000</v>
      </c>
      <c r="AD188" s="20" t="inlineStr">
        <is>
          <t>3월1주</t>
        </is>
      </c>
      <c r="AE188" s="20">
        <f>IF($K188="","출고일 미정",IF($Q188="X","작지 미발행",IF($Q188="부분","작지 일부 미발행",IF(AND($S188&lt;&gt;"",$S188&gt;$N188),"소재입고 마감("&amp;TEXT($N188,"MM/DD")&amp;") 초과",IF($Q188="","발행여부 확인 필요",IF($S188="","소재 입고일정 확인 필요","정상"))))))</f>
        <v/>
      </c>
      <c r="AF188" s="19">
        <f>IF($K188="","",IF(OR(LEFT($AE188,2)="작지",LEFT($AE188,4)="소재입고"),IF(LEFT($G188,1)="S","★ 납기위험(S코드)","◆ 지연주의"),IF($AE188="정상","✓ 정상","? 확인필요")))</f>
        <v/>
      </c>
      <c r="AG188" s="21" t="n"/>
      <c r="AH188" s="28" t="n"/>
    </row>
    <row r="189">
      <c r="A189" s="19" t="n">
        <v>185</v>
      </c>
      <c r="B189" s="20" t="inlineStr">
        <is>
          <t>이재헌</t>
        </is>
      </c>
      <c r="C189" s="20" t="inlineStr">
        <is>
          <t>정은진</t>
        </is>
      </c>
      <c r="D189" s="20" t="inlineStr">
        <is>
          <t>JWJJM27141</t>
        </is>
      </c>
      <c r="E189" s="20" t="inlineStr">
        <is>
          <t>남성 소프트쉘 재킷 (SET UP)</t>
        </is>
      </c>
      <c r="F189" s="20" t="inlineStr">
        <is>
          <t>BGY(B/GRAY), BLK(BLACK)</t>
        </is>
      </c>
      <c r="G189" s="19">
        <f>IF($D189="","",IF(MID($D189,5,1)="S","S(봄)",IF(MID($D189,5,1)="M","M(여름)",IF(MID($D189,5,1)="X","X(사계절)",MID($D189,5,1)))))</f>
        <v/>
      </c>
      <c r="H189" s="20" t="inlineStr">
        <is>
          <t>완사입</t>
        </is>
      </c>
      <c r="I189" s="19" t="inlineStr"/>
      <c r="J189" s="21" t="inlineStr">
        <is>
          <t>3월1주</t>
        </is>
      </c>
      <c r="K189" s="22">
        <f>IF($J189="","",IFERROR(DATE(IF(VALUE(LEFT($J189,FIND("월",$J189)-1))&gt;=9,기준정보!$C$7-1,기준정보!$C$7),VALUE(LEFT($J189,FIND("월",$J189)-1)),1+7*(VALUE(SUBSTITUTE(MID($J189,FIND("월",$J189)+1,5),"주",""))-1)),""))</f>
        <v/>
      </c>
      <c r="L189" s="22">
        <f>IF($K189="","",IF(AND($K189-기준정보!$C$5&gt;=기준정보!$C$10,$K189-기준정보!$C$5&lt;=기준정보!$C$11),기준정보!$C$10-1,$K189-기준정보!$C$5))</f>
        <v/>
      </c>
      <c r="M189" s="23">
        <f>IF($L189="","",IF(OR(ISNUMBER(SEARCH("중국",$W189)),ISNUMBER(SEARCH("베트남",$W189))),MAX(0,MIN($L189,기준정보!$C$9)-MAX($L189-기준정보!$C$6,기준정보!$C$8)+1),IF(ISNUMBER(SEARCH("한국",$W189)),MAX(0,MIN($L189,기준정보!$C$11)-MAX($L189-기준정보!$C$6,기준정보!$C$10)+1),0)))</f>
        <v/>
      </c>
      <c r="N189" s="22">
        <f>IF($L189="","",$L189-기준정보!$C$6-$M189)</f>
        <v/>
      </c>
      <c r="O189" s="24">
        <f>IF($N189="","",$N189-기준정보!$C$4)</f>
        <v/>
      </c>
      <c r="P189" s="21" t="n"/>
      <c r="Q189" s="21" t="inlineStr">
        <is>
          <t>O</t>
        </is>
      </c>
      <c r="R189" s="19">
        <f>IF(COUNTIF(EDW_RAW!$A$2:$A$1500,$D189)=0,"",IF(COUNTIFS(EDW_RAW!$A$2:$A$1500,$D189,EDW_RAW!$U$2:$U$1500,"&lt;&gt;~",EDW_RAW!$U$2:$U$1500,"&lt;&gt;")=COUNTIF(EDW_RAW!$A$2:$A$1500,$D189),"O",IF(COUNTIFS(EDW_RAW!$A$2:$A$1500,$D189,EDW_RAW!$U$2:$U$1500,"&lt;&gt;~",EDW_RAW!$U$2:$U$1500,"&lt;&gt;")&gt;0,"부분","X")))</f>
        <v/>
      </c>
      <c r="S189" s="25" t="n"/>
      <c r="T189" s="20">
        <f>IF($H189="","",IF(AND(ISNUMBER(SEARCH("CMT",$H189)),OR(ISNUMBER(SEARCH("완사입",$H189)),ISNUMBER(SEARCH("ODM",$H189)))),"본사/생산처 혼재",IF(ISNUMBER(SEARCH("CMT",$H189)),"본사(소재팀)","생산처")))</f>
        <v/>
      </c>
      <c r="U189" s="20" t="inlineStr">
        <is>
          <t>원전</t>
        </is>
      </c>
      <c r="V189" s="20">
        <f>IFERROR(TEXTJOIN(" / ",TRUE,UNIQUE(FILTER(소재DB_RAW!$K$3:$K$2000,(소재DB_RAW!$G$3:$G$2000=$D189)*ISERROR(SEARCH("drop",소재DB_RAW!$C$3:$C$2000))))),"")</f>
        <v/>
      </c>
      <c r="W189" s="20" t="inlineStr">
        <is>
          <t>인도네시아</t>
        </is>
      </c>
      <c r="X189" s="20">
        <f>IFERROR(TEXTJOIN(" / ",TRUE,UNIQUE(FILTER(소재DB_RAW!$N$3:$N$2000,(소재DB_RAW!$G$3:$G$2000=$D189)*ISERROR(SEARCH("drop",소재DB_RAW!$C$3:$C$2000))))),"")</f>
        <v/>
      </c>
      <c r="Y189" s="26">
        <f>IFERROR(TEXTJOIN(CHAR(10),TRUE,UNIQUE(FILTER(소재DB_RAW!$N$3:$N$2000&amp;") "&amp;소재DB_RAW!$O$3:$O$2000,(소재DB_RAW!$G$3:$G$2000=$D189)*ISNUMBER(SEARCH("겉감",소재DB_RAW!$M$3:$M$2000))*ISERROR(SEARCH("drop",소재DB_RAW!$C$3:$C$2000))))),"")</f>
        <v/>
      </c>
      <c r="Z189" s="26">
        <f>IFERROR(TEXTJOIN(CHAR(10),TRUE,UNIQUE(FILTER(소재DB_RAW!$N$3:$N$2000&amp;") "&amp;소재DB_RAW!$O$3:$O$2000,(소재DB_RAW!$G$3:$G$2000=$D189)*ISNUMBER(SEARCH("안감",소재DB_RAW!$M$3:$M$2000))*ISERROR(SEARCH("drop",소재DB_RAW!$C$3:$C$2000))))),"")</f>
        <v/>
      </c>
      <c r="AA189" s="27" t="n">
        <v>1600</v>
      </c>
      <c r="AB189" s="27" t="n">
        <v>92974400</v>
      </c>
      <c r="AC189" s="27" t="n">
        <v>432000000</v>
      </c>
      <c r="AD189" s="20" t="n"/>
      <c r="AE189" s="20">
        <f>IF($K189="","출고일 미정",IF($Q189="X","작지 미발행",IF($Q189="부분","작지 일부 미발행",IF(AND($S189&lt;&gt;"",$S189&gt;$N189),"소재입고 마감("&amp;TEXT($N189,"MM/DD")&amp;") 초과",IF($Q189="","발행여부 확인 필요",IF($S189="","소재 입고일정 확인 필요","정상"))))))</f>
        <v/>
      </c>
      <c r="AF189" s="19">
        <f>IF($K189="","",IF(OR(LEFT($AE189,2)="작지",LEFT($AE189,4)="소재입고"),IF(LEFT($G189,1)="S","★ 납기위험(S코드)","◆ 지연주의"),IF($AE189="정상","✓ 정상","? 확인필요")))</f>
        <v/>
      </c>
      <c r="AG189" s="21" t="n"/>
      <c r="AH189" s="28" t="n"/>
    </row>
    <row r="190">
      <c r="A190" s="19" t="n">
        <v>186</v>
      </c>
      <c r="B190" s="20" t="inlineStr">
        <is>
          <t>박진아</t>
        </is>
      </c>
      <c r="C190" s="20" t="inlineStr">
        <is>
          <t>엄창용</t>
        </is>
      </c>
      <c r="D190" s="20" t="inlineStr">
        <is>
          <t>JWTCM27127</t>
        </is>
      </c>
      <c r="E190" s="20" t="inlineStr">
        <is>
          <t>남녀공용 소로나 릴렉스핏 그래픽 티셔츠</t>
        </is>
      </c>
      <c r="F190" s="20" t="inlineStr">
        <is>
          <t>CRE(CREAM), DGY(D/GRAY)</t>
        </is>
      </c>
      <c r="G190" s="19">
        <f>IF($D190="","",IF(MID($D190,5,1)="S","S(봄)",IF(MID($D190,5,1)="M","M(여름)",IF(MID($D190,5,1)="X","X(사계절)",MID($D190,5,1)))))</f>
        <v/>
      </c>
      <c r="H190" s="20" t="inlineStr">
        <is>
          <t>완사입</t>
        </is>
      </c>
      <c r="I190" s="19" t="inlineStr"/>
      <c r="J190" s="21" t="inlineStr">
        <is>
          <t>3월1주</t>
        </is>
      </c>
      <c r="K190" s="22">
        <f>IF($J190="","",IFERROR(DATE(IF(VALUE(LEFT($J190,FIND("월",$J190)-1))&gt;=9,기준정보!$C$7-1,기준정보!$C$7),VALUE(LEFT($J190,FIND("월",$J190)-1)),1+7*(VALUE(SUBSTITUTE(MID($J190,FIND("월",$J190)+1,5),"주",""))-1)),""))</f>
        <v/>
      </c>
      <c r="L190" s="22">
        <f>IF($K190="","",IF(AND($K190-기준정보!$C$5&gt;=기준정보!$C$10,$K190-기준정보!$C$5&lt;=기준정보!$C$11),기준정보!$C$10-1,$K190-기준정보!$C$5))</f>
        <v/>
      </c>
      <c r="M190" s="23">
        <f>IF($L190="","",IF(OR(ISNUMBER(SEARCH("중국",$W190)),ISNUMBER(SEARCH("베트남",$W190))),MAX(0,MIN($L190,기준정보!$C$9)-MAX($L190-기준정보!$C$6,기준정보!$C$8)+1),IF(ISNUMBER(SEARCH("한국",$W190)),MAX(0,MIN($L190,기준정보!$C$11)-MAX($L190-기준정보!$C$6,기준정보!$C$10)+1),0)))</f>
        <v/>
      </c>
      <c r="N190" s="22">
        <f>IF($L190="","",$L190-기준정보!$C$6-$M190)</f>
        <v/>
      </c>
      <c r="O190" s="24">
        <f>IF($N190="","",$N190-기준정보!$C$4)</f>
        <v/>
      </c>
      <c r="P190" s="21" t="n"/>
      <c r="Q190" s="21" t="inlineStr">
        <is>
          <t>O</t>
        </is>
      </c>
      <c r="R190" s="19">
        <f>IF(COUNTIF(EDW_RAW!$A$2:$A$1500,$D190)=0,"",IF(COUNTIFS(EDW_RAW!$A$2:$A$1500,$D190,EDW_RAW!$U$2:$U$1500,"&lt;&gt;~",EDW_RAW!$U$2:$U$1500,"&lt;&gt;")=COUNTIF(EDW_RAW!$A$2:$A$1500,$D190),"O",IF(COUNTIFS(EDW_RAW!$A$2:$A$1500,$D190,EDW_RAW!$U$2:$U$1500,"&lt;&gt;~",EDW_RAW!$U$2:$U$1500,"&lt;&gt;")&gt;0,"부분","X")))</f>
        <v/>
      </c>
      <c r="S190" s="25" t="n"/>
      <c r="T190" s="20">
        <f>IF($H190="","",IF(AND(ISNUMBER(SEARCH("CMT",$H190)),OR(ISNUMBER(SEARCH("완사입",$H190)),ISNUMBER(SEARCH("ODM",$H190)))),"본사/생산처 혼재",IF(ISNUMBER(SEARCH("CMT",$H190)),"본사(소재팀)","생산처")))</f>
        <v/>
      </c>
      <c r="U190" s="20" t="inlineStr">
        <is>
          <t>IKG</t>
        </is>
      </c>
      <c r="V190" s="20">
        <f>IFERROR(TEXTJOIN(" / ",TRUE,UNIQUE(FILTER(소재DB_RAW!$K$3:$K$2000,(소재DB_RAW!$G$3:$G$2000=$D190)*ISERROR(SEARCH("drop",소재DB_RAW!$C$3:$C$2000))))),"")</f>
        <v/>
      </c>
      <c r="W190" s="20" t="inlineStr">
        <is>
          <t>인도네시아</t>
        </is>
      </c>
      <c r="X190" s="20">
        <f>IFERROR(TEXTJOIN(" / ",TRUE,UNIQUE(FILTER(소재DB_RAW!$N$3:$N$2000,(소재DB_RAW!$G$3:$G$2000=$D190)*ISERROR(SEARCH("drop",소재DB_RAW!$C$3:$C$2000))))),"")</f>
        <v/>
      </c>
      <c r="Y190" s="26">
        <f>IFERROR(TEXTJOIN(CHAR(10),TRUE,UNIQUE(FILTER(소재DB_RAW!$N$3:$N$2000&amp;") "&amp;소재DB_RAW!$O$3:$O$2000,(소재DB_RAW!$G$3:$G$2000=$D190)*ISNUMBER(SEARCH("겉감",소재DB_RAW!$M$3:$M$2000))*ISERROR(SEARCH("drop",소재DB_RAW!$C$3:$C$2000))))),"")</f>
        <v/>
      </c>
      <c r="Z190" s="26">
        <f>IFERROR(TEXTJOIN(CHAR(10),TRUE,UNIQUE(FILTER(소재DB_RAW!$N$3:$N$2000&amp;") "&amp;소재DB_RAW!$O$3:$O$2000,(소재DB_RAW!$G$3:$G$2000=$D190)*ISNUMBER(SEARCH("안감",소재DB_RAW!$M$3:$M$2000))*ISERROR(SEARCH("drop",소재DB_RAW!$C$3:$C$2000))))),"")</f>
        <v/>
      </c>
      <c r="AA190" s="27" t="n">
        <v>4000</v>
      </c>
      <c r="AB190" s="27" t="n">
        <v>55224000</v>
      </c>
      <c r="AC190" s="27" t="n">
        <v>352000000</v>
      </c>
      <c r="AD190" s="20" t="inlineStr">
        <is>
          <t>3월1주</t>
        </is>
      </c>
      <c r="AE190" s="20">
        <f>IF($K190="","출고일 미정",IF($Q190="X","작지 미발행",IF($Q190="부분","작지 일부 미발행",IF(AND($S190&lt;&gt;"",$S190&gt;$N190),"소재입고 마감("&amp;TEXT($N190,"MM/DD")&amp;") 초과",IF($Q190="","발행여부 확인 필요",IF($S190="","소재 입고일정 확인 필요","정상"))))))</f>
        <v/>
      </c>
      <c r="AF190" s="19">
        <f>IF($K190="","",IF(OR(LEFT($AE190,2)="작지",LEFT($AE190,4)="소재입고"),IF(LEFT($G190,1)="S","★ 납기위험(S코드)","◆ 지연주의"),IF($AE190="정상","✓ 정상","? 확인필요")))</f>
        <v/>
      </c>
      <c r="AG190" s="21" t="n"/>
      <c r="AH190" s="28" t="n"/>
    </row>
    <row r="191">
      <c r="A191" s="19" t="n">
        <v>187</v>
      </c>
      <c r="B191" s="20" t="inlineStr">
        <is>
          <t>박진아</t>
        </is>
      </c>
      <c r="C191" s="20" t="inlineStr">
        <is>
          <t>조이슬</t>
        </is>
      </c>
      <c r="D191" s="20" t="inlineStr">
        <is>
          <t>JWTCM27147</t>
        </is>
      </c>
      <c r="E191" s="20" t="inlineStr">
        <is>
          <t>남녀공용 소로나 릴렉스핏 그래픽 티셔츠</t>
        </is>
      </c>
      <c r="F191" s="20" t="inlineStr">
        <is>
          <t>OWH, BLK(BLACK)</t>
        </is>
      </c>
      <c r="G191" s="19">
        <f>IF($D191="","",IF(MID($D191,5,1)="S","S(봄)",IF(MID($D191,5,1)="M","M(여름)",IF(MID($D191,5,1)="X","X(사계절)",MID($D191,5,1)))))</f>
        <v/>
      </c>
      <c r="H191" s="20" t="inlineStr">
        <is>
          <t>완사입</t>
        </is>
      </c>
      <c r="I191" s="19" t="inlineStr"/>
      <c r="J191" s="21" t="inlineStr">
        <is>
          <t>3월1주</t>
        </is>
      </c>
      <c r="K191" s="22">
        <f>IF($J191="","",IFERROR(DATE(IF(VALUE(LEFT($J191,FIND("월",$J191)-1))&gt;=9,기준정보!$C$7-1,기준정보!$C$7),VALUE(LEFT($J191,FIND("월",$J191)-1)),1+7*(VALUE(SUBSTITUTE(MID($J191,FIND("월",$J191)+1,5),"주",""))-1)),""))</f>
        <v/>
      </c>
      <c r="L191" s="22">
        <f>IF($K191="","",IF(AND($K191-기준정보!$C$5&gt;=기준정보!$C$10,$K191-기준정보!$C$5&lt;=기준정보!$C$11),기준정보!$C$10-1,$K191-기준정보!$C$5))</f>
        <v/>
      </c>
      <c r="M191" s="23">
        <f>IF($L191="","",IF(OR(ISNUMBER(SEARCH("중국",$W191)),ISNUMBER(SEARCH("베트남",$W191))),MAX(0,MIN($L191,기준정보!$C$9)-MAX($L191-기준정보!$C$6,기준정보!$C$8)+1),IF(ISNUMBER(SEARCH("한국",$W191)),MAX(0,MIN($L191,기준정보!$C$11)-MAX($L191-기준정보!$C$6,기준정보!$C$10)+1),0)))</f>
        <v/>
      </c>
      <c r="N191" s="22">
        <f>IF($L191="","",$L191-기준정보!$C$6-$M191)</f>
        <v/>
      </c>
      <c r="O191" s="24">
        <f>IF($N191="","",$N191-기준정보!$C$4)</f>
        <v/>
      </c>
      <c r="P191" s="21" t="n"/>
      <c r="Q191" s="21" t="inlineStr">
        <is>
          <t>O</t>
        </is>
      </c>
      <c r="R191" s="19">
        <f>IF(COUNTIF(EDW_RAW!$A$2:$A$1500,$D191)=0,"",IF(COUNTIFS(EDW_RAW!$A$2:$A$1500,$D191,EDW_RAW!$U$2:$U$1500,"&lt;&gt;~",EDW_RAW!$U$2:$U$1500,"&lt;&gt;")=COUNTIF(EDW_RAW!$A$2:$A$1500,$D191),"O",IF(COUNTIFS(EDW_RAW!$A$2:$A$1500,$D191,EDW_RAW!$U$2:$U$1500,"&lt;&gt;~",EDW_RAW!$U$2:$U$1500,"&lt;&gt;")&gt;0,"부분","X")))</f>
        <v/>
      </c>
      <c r="S191" s="25" t="n"/>
      <c r="T191" s="20">
        <f>IF($H191="","",IF(AND(ISNUMBER(SEARCH("CMT",$H191)),OR(ISNUMBER(SEARCH("완사입",$H191)),ISNUMBER(SEARCH("ODM",$H191)))),"본사/생산처 혼재",IF(ISNUMBER(SEARCH("CMT",$H191)),"본사(소재팀)","생산처")))</f>
        <v/>
      </c>
      <c r="U191" s="20" t="inlineStr">
        <is>
          <t>IKG</t>
        </is>
      </c>
      <c r="V191" s="20">
        <f>IFERROR(TEXTJOIN(" / ",TRUE,UNIQUE(FILTER(소재DB_RAW!$K$3:$K$2000,(소재DB_RAW!$G$3:$G$2000=$D191)*ISERROR(SEARCH("drop",소재DB_RAW!$C$3:$C$2000))))),"")</f>
        <v/>
      </c>
      <c r="W191" s="20" t="inlineStr">
        <is>
          <t>인도네시아</t>
        </is>
      </c>
      <c r="X191" s="20">
        <f>IFERROR(TEXTJOIN(" / ",TRUE,UNIQUE(FILTER(소재DB_RAW!$N$3:$N$2000,(소재DB_RAW!$G$3:$G$2000=$D191)*ISERROR(SEARCH("drop",소재DB_RAW!$C$3:$C$2000))))),"")</f>
        <v/>
      </c>
      <c r="Y191" s="26">
        <f>IFERROR(TEXTJOIN(CHAR(10),TRUE,UNIQUE(FILTER(소재DB_RAW!$N$3:$N$2000&amp;") "&amp;소재DB_RAW!$O$3:$O$2000,(소재DB_RAW!$G$3:$G$2000=$D191)*ISNUMBER(SEARCH("겉감",소재DB_RAW!$M$3:$M$2000))*ISERROR(SEARCH("drop",소재DB_RAW!$C$3:$C$2000))))),"")</f>
        <v/>
      </c>
      <c r="Z191" s="26">
        <f>IFERROR(TEXTJOIN(CHAR(10),TRUE,UNIQUE(FILTER(소재DB_RAW!$N$3:$N$2000&amp;") "&amp;소재DB_RAW!$O$3:$O$2000,(소재DB_RAW!$G$3:$G$2000=$D191)*ISNUMBER(SEARCH("안감",소재DB_RAW!$M$3:$M$2000))*ISERROR(SEARCH("drop",소재DB_RAW!$C$3:$C$2000))))),"")</f>
        <v/>
      </c>
      <c r="AA191" s="27" t="n">
        <v>4000</v>
      </c>
      <c r="AB191" s="27" t="n">
        <v>46872000</v>
      </c>
      <c r="AC191" s="27" t="n">
        <v>312000000</v>
      </c>
      <c r="AD191" s="20" t="inlineStr">
        <is>
          <t>3월1주</t>
        </is>
      </c>
      <c r="AE191" s="20">
        <f>IF($K191="","출고일 미정",IF($Q191="X","작지 미발행",IF($Q191="부분","작지 일부 미발행",IF(AND($S191&lt;&gt;"",$S191&gt;$N191),"소재입고 마감("&amp;TEXT($N191,"MM/DD")&amp;") 초과",IF($Q191="","발행여부 확인 필요",IF($S191="","소재 입고일정 확인 필요","정상"))))))</f>
        <v/>
      </c>
      <c r="AF191" s="19">
        <f>IF($K191="","",IF(OR(LEFT($AE191,2)="작지",LEFT($AE191,4)="소재입고"),IF(LEFT($G191,1)="S","★ 납기위험(S코드)","◆ 지연주의"),IF($AE191="정상","✓ 정상","? 확인필요")))</f>
        <v/>
      </c>
      <c r="AG191" s="21" t="n"/>
      <c r="AH191" s="28" t="n"/>
    </row>
    <row r="192">
      <c r="A192" s="19" t="n">
        <v>188</v>
      </c>
      <c r="B192" s="20" t="inlineStr">
        <is>
          <t>박진아</t>
        </is>
      </c>
      <c r="C192" s="20" t="inlineStr">
        <is>
          <t>엄창용</t>
        </is>
      </c>
      <c r="D192" s="20" t="inlineStr">
        <is>
          <t>JWTCM27149</t>
        </is>
      </c>
      <c r="E192" s="20" t="inlineStr">
        <is>
          <t>남녀공용 소로나쿨(CP) 릴렉스핏 그래픽 티셔츠</t>
        </is>
      </c>
      <c r="F192" s="20" t="inlineStr">
        <is>
          <t>DGY(D/GRAY), MUD</t>
        </is>
      </c>
      <c r="G192" s="19">
        <f>IF($D192="","",IF(MID($D192,5,1)="S","S(봄)",IF(MID($D192,5,1)="M","M(여름)",IF(MID($D192,5,1)="X","X(사계절)",MID($D192,5,1)))))</f>
        <v/>
      </c>
      <c r="H192" s="20" t="inlineStr">
        <is>
          <t>완사입</t>
        </is>
      </c>
      <c r="I192" s="19" t="inlineStr"/>
      <c r="J192" s="21" t="inlineStr">
        <is>
          <t>3월1주</t>
        </is>
      </c>
      <c r="K192" s="22">
        <f>IF($J192="","",IFERROR(DATE(IF(VALUE(LEFT($J192,FIND("월",$J192)-1))&gt;=9,기준정보!$C$7-1,기준정보!$C$7),VALUE(LEFT($J192,FIND("월",$J192)-1)),1+7*(VALUE(SUBSTITUTE(MID($J192,FIND("월",$J192)+1,5),"주",""))-1)),""))</f>
        <v/>
      </c>
      <c r="L192" s="22">
        <f>IF($K192="","",IF(AND($K192-기준정보!$C$5&gt;=기준정보!$C$10,$K192-기준정보!$C$5&lt;=기준정보!$C$11),기준정보!$C$10-1,$K192-기준정보!$C$5))</f>
        <v/>
      </c>
      <c r="M192" s="23">
        <f>IF($L192="","",IF(OR(ISNUMBER(SEARCH("중국",$W192)),ISNUMBER(SEARCH("베트남",$W192))),MAX(0,MIN($L192,기준정보!$C$9)-MAX($L192-기준정보!$C$6,기준정보!$C$8)+1),IF(ISNUMBER(SEARCH("한국",$W192)),MAX(0,MIN($L192,기준정보!$C$11)-MAX($L192-기준정보!$C$6,기준정보!$C$10)+1),0)))</f>
        <v/>
      </c>
      <c r="N192" s="22">
        <f>IF($L192="","",$L192-기준정보!$C$6-$M192)</f>
        <v/>
      </c>
      <c r="O192" s="24">
        <f>IF($N192="","",$N192-기준정보!$C$4)</f>
        <v/>
      </c>
      <c r="P192" s="21" t="n"/>
      <c r="Q192" s="21" t="inlineStr">
        <is>
          <t>O</t>
        </is>
      </c>
      <c r="R192" s="19">
        <f>IF(COUNTIF(EDW_RAW!$A$2:$A$1500,$D192)=0,"",IF(COUNTIFS(EDW_RAW!$A$2:$A$1500,$D192,EDW_RAW!$U$2:$U$1500,"&lt;&gt;~",EDW_RAW!$U$2:$U$1500,"&lt;&gt;")=COUNTIF(EDW_RAW!$A$2:$A$1500,$D192),"O",IF(COUNTIFS(EDW_RAW!$A$2:$A$1500,$D192,EDW_RAW!$U$2:$U$1500,"&lt;&gt;~",EDW_RAW!$U$2:$U$1500,"&lt;&gt;")&gt;0,"부분","X")))</f>
        <v/>
      </c>
      <c r="S192" s="25" t="n"/>
      <c r="T192" s="20">
        <f>IF($H192="","",IF(AND(ISNUMBER(SEARCH("CMT",$H192)),OR(ISNUMBER(SEARCH("완사입",$H192)),ISNUMBER(SEARCH("ODM",$H192)))),"본사/생산처 혼재",IF(ISNUMBER(SEARCH("CMT",$H192)),"본사(소재팀)","생산처")))</f>
        <v/>
      </c>
      <c r="U192" s="20" t="inlineStr">
        <is>
          <t>태화</t>
        </is>
      </c>
      <c r="V192" s="20">
        <f>IFERROR(TEXTJOIN(" / ",TRUE,UNIQUE(FILTER(소재DB_RAW!$K$3:$K$2000,(소재DB_RAW!$G$3:$G$2000=$D192)*ISERROR(SEARCH("drop",소재DB_RAW!$C$3:$C$2000))))),"")</f>
        <v/>
      </c>
      <c r="W192" s="20" t="inlineStr">
        <is>
          <t>베트남</t>
        </is>
      </c>
      <c r="X192" s="20">
        <f>IFERROR(TEXTJOIN(" / ",TRUE,UNIQUE(FILTER(소재DB_RAW!$N$3:$N$2000,(소재DB_RAW!$G$3:$G$2000=$D192)*ISERROR(SEARCH("drop",소재DB_RAW!$C$3:$C$2000))))),"")</f>
        <v/>
      </c>
      <c r="Y192" s="26">
        <f>IFERROR(TEXTJOIN(CHAR(10),TRUE,UNIQUE(FILTER(소재DB_RAW!$N$3:$N$2000&amp;") "&amp;소재DB_RAW!$O$3:$O$2000,(소재DB_RAW!$G$3:$G$2000=$D192)*ISNUMBER(SEARCH("겉감",소재DB_RAW!$M$3:$M$2000))*ISERROR(SEARCH("drop",소재DB_RAW!$C$3:$C$2000))))),"")</f>
        <v/>
      </c>
      <c r="Z192" s="26">
        <f>IFERROR(TEXTJOIN(CHAR(10),TRUE,UNIQUE(FILTER(소재DB_RAW!$N$3:$N$2000&amp;") "&amp;소재DB_RAW!$O$3:$O$2000,(소재DB_RAW!$G$3:$G$2000=$D192)*ISNUMBER(SEARCH("안감",소재DB_RAW!$M$3:$M$2000))*ISERROR(SEARCH("drop",소재DB_RAW!$C$3:$C$2000))))),"")</f>
        <v/>
      </c>
      <c r="AA192" s="27" t="n">
        <v>3000</v>
      </c>
      <c r="AB192" s="27" t="n">
        <v>51627000</v>
      </c>
      <c r="AC192" s="27" t="n">
        <v>234000000</v>
      </c>
      <c r="AD192" s="20" t="inlineStr">
        <is>
          <t>3월1주</t>
        </is>
      </c>
      <c r="AE192" s="20">
        <f>IF($K192="","출고일 미정",IF($Q192="X","작지 미발행",IF($Q192="부분","작지 일부 미발행",IF(AND($S192&lt;&gt;"",$S192&gt;$N192),"소재입고 마감("&amp;TEXT($N192,"MM/DD")&amp;") 초과",IF($Q192="","발행여부 확인 필요",IF($S192="","소재 입고일정 확인 필요","정상"))))))</f>
        <v/>
      </c>
      <c r="AF192" s="19">
        <f>IF($K192="","",IF(OR(LEFT($AE192,2)="작지",LEFT($AE192,4)="소재입고"),IF(LEFT($G192,1)="S","★ 납기위험(S코드)","◆ 지연주의"),IF($AE192="정상","✓ 정상","? 확인필요")))</f>
        <v/>
      </c>
      <c r="AG192" s="21" t="n"/>
      <c r="AH192" s="28" t="n"/>
    </row>
    <row r="193">
      <c r="A193" s="19" t="n">
        <v>189</v>
      </c>
      <c r="B193" s="20" t="inlineStr">
        <is>
          <t>정영준</t>
        </is>
      </c>
      <c r="C193" s="20" t="inlineStr">
        <is>
          <t>이민선</t>
        </is>
      </c>
      <c r="D193" s="20" t="inlineStr">
        <is>
          <t>TLJJM27501</t>
        </is>
      </c>
      <c r="E193" s="20" t="inlineStr">
        <is>
          <t>하절 남성 경량 재킷</t>
        </is>
      </c>
      <c r="F193" s="20" t="inlineStr">
        <is>
          <t>BLK(BLACK), LGY-1</t>
        </is>
      </c>
      <c r="G193" s="19">
        <f>IF($D193="","",IF(MID($D193,5,1)="S","S(봄)",IF(MID($D193,5,1)="M","M(여름)",IF(MID($D193,5,1)="X","X(사계절)",MID($D193,5,1)))))</f>
        <v/>
      </c>
      <c r="H193" s="20" t="inlineStr">
        <is>
          <t>완사입</t>
        </is>
      </c>
      <c r="I193" s="19" t="inlineStr"/>
      <c r="J193" s="21" t="inlineStr">
        <is>
          <t>3월1주</t>
        </is>
      </c>
      <c r="K193" s="22">
        <f>IF($J193="","",IFERROR(DATE(IF(VALUE(LEFT($J193,FIND("월",$J193)-1))&gt;=9,기준정보!$C$7-1,기준정보!$C$7),VALUE(LEFT($J193,FIND("월",$J193)-1)),1+7*(VALUE(SUBSTITUTE(MID($J193,FIND("월",$J193)+1,5),"주",""))-1)),""))</f>
        <v/>
      </c>
      <c r="L193" s="22">
        <f>IF($K193="","",IF(AND($K193-기준정보!$C$5&gt;=기준정보!$C$10,$K193-기준정보!$C$5&lt;=기준정보!$C$11),기준정보!$C$10-1,$K193-기준정보!$C$5))</f>
        <v/>
      </c>
      <c r="M193" s="23">
        <f>IF($L193="","",IF(OR(ISNUMBER(SEARCH("중국",$W193)),ISNUMBER(SEARCH("베트남",$W193))),MAX(0,MIN($L193,기준정보!$C$9)-MAX($L193-기준정보!$C$6,기준정보!$C$8)+1),IF(ISNUMBER(SEARCH("한국",$W193)),MAX(0,MIN($L193,기준정보!$C$11)-MAX($L193-기준정보!$C$6,기준정보!$C$10)+1),0)))</f>
        <v/>
      </c>
      <c r="N193" s="22">
        <f>IF($L193="","",$L193-기준정보!$C$6-$M193)</f>
        <v/>
      </c>
      <c r="O193" s="24">
        <f>IF($N193="","",$N193-기준정보!$C$4)</f>
        <v/>
      </c>
      <c r="P193" s="21" t="n"/>
      <c r="Q193" s="21" t="inlineStr">
        <is>
          <t>O</t>
        </is>
      </c>
      <c r="R193" s="19">
        <f>IF(COUNTIF(EDW_RAW!$A$2:$A$1500,$D193)=0,"",IF(COUNTIFS(EDW_RAW!$A$2:$A$1500,$D193,EDW_RAW!$U$2:$U$1500,"&lt;&gt;~",EDW_RAW!$U$2:$U$1500,"&lt;&gt;")=COUNTIF(EDW_RAW!$A$2:$A$1500,$D193),"O",IF(COUNTIFS(EDW_RAW!$A$2:$A$1500,$D193,EDW_RAW!$U$2:$U$1500,"&lt;&gt;~",EDW_RAW!$U$2:$U$1500,"&lt;&gt;")&gt;0,"부분","X")))</f>
        <v/>
      </c>
      <c r="S193" s="25" t="n"/>
      <c r="T193" s="20">
        <f>IF($H193="","",IF(AND(ISNUMBER(SEARCH("CMT",$H193)),OR(ISNUMBER(SEARCH("완사입",$H193)),ISNUMBER(SEARCH("ODM",$H193)))),"본사/생산처 혼재",IF(ISNUMBER(SEARCH("CMT",$H193)),"본사(소재팀)","생산처")))</f>
        <v/>
      </c>
      <c r="U193" s="20" t="inlineStr">
        <is>
          <t>원전</t>
        </is>
      </c>
      <c r="V193" s="20">
        <f>IFERROR(TEXTJOIN(" / ",TRUE,UNIQUE(FILTER(소재DB_RAW!$K$3:$K$2000,(소재DB_RAW!$G$3:$G$2000=$D193)*ISERROR(SEARCH("drop",소재DB_RAW!$C$3:$C$2000))))),"")</f>
        <v/>
      </c>
      <c r="W193" s="20" t="inlineStr">
        <is>
          <t>미얀마</t>
        </is>
      </c>
      <c r="X193" s="20">
        <f>IFERROR(TEXTJOIN(" / ",TRUE,UNIQUE(FILTER(소재DB_RAW!$N$3:$N$2000,(소재DB_RAW!$G$3:$G$2000=$D193)*ISERROR(SEARCH("drop",소재DB_RAW!$C$3:$C$2000))))),"")</f>
        <v/>
      </c>
      <c r="Y193" s="26">
        <f>IFERROR(TEXTJOIN(CHAR(10),TRUE,UNIQUE(FILTER(소재DB_RAW!$N$3:$N$2000&amp;") "&amp;소재DB_RAW!$O$3:$O$2000,(소재DB_RAW!$G$3:$G$2000=$D193)*ISNUMBER(SEARCH("겉감",소재DB_RAW!$M$3:$M$2000))*ISERROR(SEARCH("drop",소재DB_RAW!$C$3:$C$2000))))),"")</f>
        <v/>
      </c>
      <c r="Z193" s="26">
        <f>IFERROR(TEXTJOIN(CHAR(10),TRUE,UNIQUE(FILTER(소재DB_RAW!$N$3:$N$2000&amp;") "&amp;소재DB_RAW!$O$3:$O$2000,(소재DB_RAW!$G$3:$G$2000=$D193)*ISNUMBER(SEARCH("안감",소재DB_RAW!$M$3:$M$2000))*ISERROR(SEARCH("drop",소재DB_RAW!$C$3:$C$2000))))),"")</f>
        <v/>
      </c>
      <c r="AA193" s="27" t="n">
        <v>3200</v>
      </c>
      <c r="AB193" s="27" t="n">
        <v>158576000</v>
      </c>
      <c r="AC193" s="27" t="n">
        <v>740000000</v>
      </c>
      <c r="AD193" s="20" t="inlineStr">
        <is>
          <t>3월1주</t>
        </is>
      </c>
      <c r="AE193" s="20">
        <f>IF($K193="","출고일 미정",IF($Q193="X","작지 미발행",IF($Q193="부분","작지 일부 미발행",IF(AND($S193&lt;&gt;"",$S193&gt;$N193),"소재입고 마감("&amp;TEXT($N193,"MM/DD")&amp;") 초과",IF($Q193="","발행여부 확인 필요",IF($S193="","소재 입고일정 확인 필요","정상"))))))</f>
        <v/>
      </c>
      <c r="AF193" s="19">
        <f>IF($K193="","",IF(OR(LEFT($AE193,2)="작지",LEFT($AE193,4)="소재입고"),IF(LEFT($G193,1)="S","★ 납기위험(S코드)","◆ 지연주의"),IF($AE193="정상","✓ 정상","? 확인필요")))</f>
        <v/>
      </c>
      <c r="AG193" s="21" t="n"/>
      <c r="AH193" s="28" t="n"/>
    </row>
    <row r="194">
      <c r="A194" s="19" t="n">
        <v>190</v>
      </c>
      <c r="B194" s="20" t="inlineStr">
        <is>
          <t>박술홍</t>
        </is>
      </c>
      <c r="C194" s="20" t="inlineStr">
        <is>
          <t>심현숙</t>
        </is>
      </c>
      <c r="D194" s="20" t="inlineStr">
        <is>
          <t>TLJJM27701</t>
        </is>
      </c>
      <c r="E194" s="20" t="inlineStr">
        <is>
          <t>남성 트레일러닝 초경량 3L 방수 자켓</t>
        </is>
      </c>
      <c r="F194" s="20" t="inlineStr">
        <is>
          <t>BLU(BLUE)</t>
        </is>
      </c>
      <c r="G194" s="19">
        <f>IF($D194="","",IF(MID($D194,5,1)="S","S(봄)",IF(MID($D194,5,1)="M","M(여름)",IF(MID($D194,5,1)="X","X(사계절)",MID($D194,5,1)))))</f>
        <v/>
      </c>
      <c r="H194" s="20" t="inlineStr">
        <is>
          <t>완사입</t>
        </is>
      </c>
      <c r="I194" s="19" t="inlineStr">
        <is>
          <t>SM1</t>
        </is>
      </c>
      <c r="J194" s="21" t="inlineStr">
        <is>
          <t>3월1주</t>
        </is>
      </c>
      <c r="K194" s="22">
        <f>IF($J194="","",IFERROR(DATE(IF(VALUE(LEFT($J194,FIND("월",$J194)-1))&gt;=9,기준정보!$C$7-1,기준정보!$C$7),VALUE(LEFT($J194,FIND("월",$J194)-1)),1+7*(VALUE(SUBSTITUTE(MID($J194,FIND("월",$J194)+1,5),"주",""))-1)),""))</f>
        <v/>
      </c>
      <c r="L194" s="22">
        <f>IF($K194="","",IF(AND($K194-기준정보!$C$5&gt;=기준정보!$C$10,$K194-기준정보!$C$5&lt;=기준정보!$C$11),기준정보!$C$10-1,$K194-기준정보!$C$5))</f>
        <v/>
      </c>
      <c r="M194" s="23">
        <f>IF($L194="","",IF(OR(ISNUMBER(SEARCH("중국",$W194)),ISNUMBER(SEARCH("베트남",$W194))),MAX(0,MIN($L194,기준정보!$C$9)-MAX($L194-기준정보!$C$6,기준정보!$C$8)+1),IF(ISNUMBER(SEARCH("한국",$W194)),MAX(0,MIN($L194,기준정보!$C$11)-MAX($L194-기준정보!$C$6,기준정보!$C$10)+1),0)))</f>
        <v/>
      </c>
      <c r="N194" s="22">
        <f>IF($L194="","",$L194-기준정보!$C$6-$M194)</f>
        <v/>
      </c>
      <c r="O194" s="24">
        <f>IF($N194="","",$N194-기준정보!$C$4)</f>
        <v/>
      </c>
      <c r="P194" s="21" t="n"/>
      <c r="Q194" s="21" t="inlineStr">
        <is>
          <t>O</t>
        </is>
      </c>
      <c r="R194" s="19">
        <f>IF(COUNTIF(EDW_RAW!$A$2:$A$1500,$D194)=0,"",IF(COUNTIFS(EDW_RAW!$A$2:$A$1500,$D194,EDW_RAW!$U$2:$U$1500,"&lt;&gt;~",EDW_RAW!$U$2:$U$1500,"&lt;&gt;")=COUNTIF(EDW_RAW!$A$2:$A$1500,$D194),"O",IF(COUNTIFS(EDW_RAW!$A$2:$A$1500,$D194,EDW_RAW!$U$2:$U$1500,"&lt;&gt;~",EDW_RAW!$U$2:$U$1500,"&lt;&gt;")&gt;0,"부분","X")))</f>
        <v/>
      </c>
      <c r="S194" s="25" t="n"/>
      <c r="T194" s="20">
        <f>IF($H194="","",IF(AND(ISNUMBER(SEARCH("CMT",$H194)),OR(ISNUMBER(SEARCH("완사입",$H194)),ISNUMBER(SEARCH("ODM",$H194)))),"본사/생산처 혼재",IF(ISNUMBER(SEARCH("CMT",$H194)),"본사(소재팀)","생산처")))</f>
        <v/>
      </c>
      <c r="U194" s="20" t="inlineStr">
        <is>
          <t>포마트</t>
        </is>
      </c>
      <c r="V194" s="20">
        <f>IFERROR(TEXTJOIN(" / ",TRUE,UNIQUE(FILTER(소재DB_RAW!$K$3:$K$2000,(소재DB_RAW!$G$3:$G$2000=$D194)*ISERROR(SEARCH("drop",소재DB_RAW!$C$3:$C$2000))))),"")</f>
        <v/>
      </c>
      <c r="W194" s="20" t="inlineStr">
        <is>
          <t>베트남</t>
        </is>
      </c>
      <c r="X194" s="20">
        <f>IFERROR(TEXTJOIN(" / ",TRUE,UNIQUE(FILTER(소재DB_RAW!$N$3:$N$2000,(소재DB_RAW!$G$3:$G$2000=$D194)*ISERROR(SEARCH("drop",소재DB_RAW!$C$3:$C$2000))))),"")</f>
        <v/>
      </c>
      <c r="Y194" s="26">
        <f>IFERROR(TEXTJOIN(CHAR(10),TRUE,UNIQUE(FILTER(소재DB_RAW!$N$3:$N$2000&amp;") "&amp;소재DB_RAW!$O$3:$O$2000,(소재DB_RAW!$G$3:$G$2000=$D194)*ISNUMBER(SEARCH("겉감",소재DB_RAW!$M$3:$M$2000))*ISERROR(SEARCH("drop",소재DB_RAW!$C$3:$C$2000))))),"")</f>
        <v/>
      </c>
      <c r="Z194" s="26">
        <f>IFERROR(TEXTJOIN(CHAR(10),TRUE,UNIQUE(FILTER(소재DB_RAW!$N$3:$N$2000&amp;") "&amp;소재DB_RAW!$O$3:$O$2000,(소재DB_RAW!$G$3:$G$2000=$D194)*ISNUMBER(SEARCH("안감",소재DB_RAW!$M$3:$M$2000))*ISERROR(SEARCH("drop",소재DB_RAW!$C$3:$C$2000))))),"")</f>
        <v/>
      </c>
      <c r="AA194" s="27" t="n">
        <v>250</v>
      </c>
      <c r="AB194" s="27" t="n">
        <v>26584750</v>
      </c>
      <c r="AC194" s="27" t="n">
        <v>97500000</v>
      </c>
      <c r="AD194" s="20" t="n"/>
      <c r="AE194" s="20">
        <f>IF($K194="","출고일 미정",IF($Q194="X","작지 미발행",IF($Q194="부분","작지 일부 미발행",IF(AND($S194&lt;&gt;"",$S194&gt;$N194),"소재입고 마감("&amp;TEXT($N194,"MM/DD")&amp;") 초과",IF($Q194="","발행여부 확인 필요",IF($S194="","소재 입고일정 확인 필요","정상"))))))</f>
        <v/>
      </c>
      <c r="AF194" s="19">
        <f>IF($K194="","",IF(OR(LEFT($AE194,2)="작지",LEFT($AE194,4)="소재입고"),IF(LEFT($G194,1)="S","★ 납기위험(S코드)","◆ 지연주의"),IF($AE194="정상","✓ 정상","? 확인필요")))</f>
        <v/>
      </c>
      <c r="AG194" s="21" t="n"/>
      <c r="AH194" s="28" t="n"/>
    </row>
    <row r="195">
      <c r="A195" s="19" t="n">
        <v>191</v>
      </c>
      <c r="B195" s="20" t="inlineStr">
        <is>
          <t>박술홍</t>
        </is>
      </c>
      <c r="C195" s="20" t="inlineStr">
        <is>
          <t>심현숙</t>
        </is>
      </c>
      <c r="D195" s="20" t="inlineStr">
        <is>
          <t>TLJJM27703</t>
        </is>
      </c>
      <c r="E195" s="20" t="inlineStr">
        <is>
          <t>남성 트레일러닝 패커블 초경량 방풍 자켓</t>
        </is>
      </c>
      <c r="F195" s="20" t="inlineStr">
        <is>
          <t>DBE(DARK BEIGE)</t>
        </is>
      </c>
      <c r="G195" s="19">
        <f>IF($D195="","",IF(MID($D195,5,1)="S","S(봄)",IF(MID($D195,5,1)="M","M(여름)",IF(MID($D195,5,1)="X","X(사계절)",MID($D195,5,1)))))</f>
        <v/>
      </c>
      <c r="H195" s="20" t="inlineStr">
        <is>
          <t>완사입</t>
        </is>
      </c>
      <c r="I195" s="19" t="inlineStr">
        <is>
          <t>SM1</t>
        </is>
      </c>
      <c r="J195" s="21" t="inlineStr">
        <is>
          <t>3월1주</t>
        </is>
      </c>
      <c r="K195" s="22">
        <f>IF($J195="","",IFERROR(DATE(IF(VALUE(LEFT($J195,FIND("월",$J195)-1))&gt;=9,기준정보!$C$7-1,기준정보!$C$7),VALUE(LEFT($J195,FIND("월",$J195)-1)),1+7*(VALUE(SUBSTITUTE(MID($J195,FIND("월",$J195)+1,5),"주",""))-1)),""))</f>
        <v/>
      </c>
      <c r="L195" s="22">
        <f>IF($K195="","",IF(AND($K195-기준정보!$C$5&gt;=기준정보!$C$10,$K195-기준정보!$C$5&lt;=기준정보!$C$11),기준정보!$C$10-1,$K195-기준정보!$C$5))</f>
        <v/>
      </c>
      <c r="M195" s="23">
        <f>IF($L195="","",IF(OR(ISNUMBER(SEARCH("중국",$W195)),ISNUMBER(SEARCH("베트남",$W195))),MAX(0,MIN($L195,기준정보!$C$9)-MAX($L195-기준정보!$C$6,기준정보!$C$8)+1),IF(ISNUMBER(SEARCH("한국",$W195)),MAX(0,MIN($L195,기준정보!$C$11)-MAX($L195-기준정보!$C$6,기준정보!$C$10)+1),0)))</f>
        <v/>
      </c>
      <c r="N195" s="22">
        <f>IF($L195="","",$L195-기준정보!$C$6-$M195)</f>
        <v/>
      </c>
      <c r="O195" s="24">
        <f>IF($N195="","",$N195-기준정보!$C$4)</f>
        <v/>
      </c>
      <c r="P195" s="21" t="n"/>
      <c r="Q195" s="21" t="inlineStr">
        <is>
          <t>O</t>
        </is>
      </c>
      <c r="R195" s="19">
        <f>IF(COUNTIF(EDW_RAW!$A$2:$A$1500,$D195)=0,"",IF(COUNTIFS(EDW_RAW!$A$2:$A$1500,$D195,EDW_RAW!$U$2:$U$1500,"&lt;&gt;~",EDW_RAW!$U$2:$U$1500,"&lt;&gt;")=COUNTIF(EDW_RAW!$A$2:$A$1500,$D195),"O",IF(COUNTIFS(EDW_RAW!$A$2:$A$1500,$D195,EDW_RAW!$U$2:$U$1500,"&lt;&gt;~",EDW_RAW!$U$2:$U$1500,"&lt;&gt;")&gt;0,"부분","X")))</f>
        <v/>
      </c>
      <c r="S195" s="25" t="n"/>
      <c r="T195" s="20">
        <f>IF($H195="","",IF(AND(ISNUMBER(SEARCH("CMT",$H195)),OR(ISNUMBER(SEARCH("완사입",$H195)),ISNUMBER(SEARCH("ODM",$H195)))),"본사/생산처 혼재",IF(ISNUMBER(SEARCH("CMT",$H195)),"본사(소재팀)","생산처")))</f>
        <v/>
      </c>
      <c r="U195" s="20" t="inlineStr">
        <is>
          <t>포마트</t>
        </is>
      </c>
      <c r="V195" s="20">
        <f>IFERROR(TEXTJOIN(" / ",TRUE,UNIQUE(FILTER(소재DB_RAW!$K$3:$K$2000,(소재DB_RAW!$G$3:$G$2000=$D195)*ISERROR(SEARCH("drop",소재DB_RAW!$C$3:$C$2000))))),"")</f>
        <v/>
      </c>
      <c r="W195" s="20" t="inlineStr">
        <is>
          <t>베트남</t>
        </is>
      </c>
      <c r="X195" s="20">
        <f>IFERROR(TEXTJOIN(" / ",TRUE,UNIQUE(FILTER(소재DB_RAW!$N$3:$N$2000,(소재DB_RAW!$G$3:$G$2000=$D195)*ISERROR(SEARCH("drop",소재DB_RAW!$C$3:$C$2000))))),"")</f>
        <v/>
      </c>
      <c r="Y195" s="26">
        <f>IFERROR(TEXTJOIN(CHAR(10),TRUE,UNIQUE(FILTER(소재DB_RAW!$N$3:$N$2000&amp;") "&amp;소재DB_RAW!$O$3:$O$2000,(소재DB_RAW!$G$3:$G$2000=$D195)*ISNUMBER(SEARCH("겉감",소재DB_RAW!$M$3:$M$2000))*ISERROR(SEARCH("drop",소재DB_RAW!$C$3:$C$2000))))),"")</f>
        <v/>
      </c>
      <c r="Z195" s="26">
        <f>IFERROR(TEXTJOIN(CHAR(10),TRUE,UNIQUE(FILTER(소재DB_RAW!$N$3:$N$2000&amp;") "&amp;소재DB_RAW!$O$3:$O$2000,(소재DB_RAW!$G$3:$G$2000=$D195)*ISNUMBER(SEARCH("안감",소재DB_RAW!$M$3:$M$2000))*ISERROR(SEARCH("drop",소재DB_RAW!$C$3:$C$2000))))),"")</f>
        <v/>
      </c>
      <c r="AA195" s="27" t="n">
        <v>250</v>
      </c>
      <c r="AB195" s="27" t="n">
        <v>13647750</v>
      </c>
      <c r="AC195" s="27" t="n">
        <v>55000000</v>
      </c>
      <c r="AD195" s="20" t="n"/>
      <c r="AE195" s="20">
        <f>IF($K195="","출고일 미정",IF($Q195="X","작지 미발행",IF($Q195="부분","작지 일부 미발행",IF(AND($S195&lt;&gt;"",$S195&gt;$N195),"소재입고 마감("&amp;TEXT($N195,"MM/DD")&amp;") 초과",IF($Q195="","발행여부 확인 필요",IF($S195="","소재 입고일정 확인 필요","정상"))))))</f>
        <v/>
      </c>
      <c r="AF195" s="19">
        <f>IF($K195="","",IF(OR(LEFT($AE195,2)="작지",LEFT($AE195,4)="소재입고"),IF(LEFT($G195,1)="S","★ 납기위험(S코드)","◆ 지연주의"),IF($AE195="정상","✓ 정상","? 확인필요")))</f>
        <v/>
      </c>
      <c r="AG195" s="21" t="n"/>
      <c r="AH195" s="28" t="n"/>
    </row>
    <row r="196">
      <c r="A196" s="19" t="n">
        <v>192</v>
      </c>
      <c r="B196" s="20" t="inlineStr">
        <is>
          <t>박술홍</t>
        </is>
      </c>
      <c r="C196" s="20" t="inlineStr">
        <is>
          <t>김지원</t>
        </is>
      </c>
      <c r="D196" s="20" t="inlineStr">
        <is>
          <t>TLPOM27731</t>
        </is>
      </c>
      <c r="E196" s="20" t="inlineStr">
        <is>
          <t>남성 트레일러닝 초경량 스플릿 3부 팬츠</t>
        </is>
      </c>
      <c r="F196" s="20" t="inlineStr">
        <is>
          <t>BLK(BLACK)</t>
        </is>
      </c>
      <c r="G196" s="19">
        <f>IF($D196="","",IF(MID($D196,5,1)="S","S(봄)",IF(MID($D196,5,1)="M","M(여름)",IF(MID($D196,5,1)="X","X(사계절)",MID($D196,5,1)))))</f>
        <v/>
      </c>
      <c r="H196" s="20" t="inlineStr">
        <is>
          <t>완사입</t>
        </is>
      </c>
      <c r="I196" s="19" t="inlineStr">
        <is>
          <t>SM1</t>
        </is>
      </c>
      <c r="J196" s="21" t="inlineStr">
        <is>
          <t>3월1주</t>
        </is>
      </c>
      <c r="K196" s="22">
        <f>IF($J196="","",IFERROR(DATE(IF(VALUE(LEFT($J196,FIND("월",$J196)-1))&gt;=9,기준정보!$C$7-1,기준정보!$C$7),VALUE(LEFT($J196,FIND("월",$J196)-1)),1+7*(VALUE(SUBSTITUTE(MID($J196,FIND("월",$J196)+1,5),"주",""))-1)),""))</f>
        <v/>
      </c>
      <c r="L196" s="22">
        <f>IF($K196="","",IF(AND($K196-기준정보!$C$5&gt;=기준정보!$C$10,$K196-기준정보!$C$5&lt;=기준정보!$C$11),기준정보!$C$10-1,$K196-기준정보!$C$5))</f>
        <v/>
      </c>
      <c r="M196" s="23">
        <f>IF($L196="","",IF(OR(ISNUMBER(SEARCH("중국",$W196)),ISNUMBER(SEARCH("베트남",$W196))),MAX(0,MIN($L196,기준정보!$C$9)-MAX($L196-기준정보!$C$6,기준정보!$C$8)+1),IF(ISNUMBER(SEARCH("한국",$W196)),MAX(0,MIN($L196,기준정보!$C$11)-MAX($L196-기준정보!$C$6,기준정보!$C$10)+1),0)))</f>
        <v/>
      </c>
      <c r="N196" s="22">
        <f>IF($L196="","",$L196-기준정보!$C$6-$M196)</f>
        <v/>
      </c>
      <c r="O196" s="24">
        <f>IF($N196="","",$N196-기준정보!$C$4)</f>
        <v/>
      </c>
      <c r="P196" s="21" t="n"/>
      <c r="Q196" s="21" t="inlineStr">
        <is>
          <t>O</t>
        </is>
      </c>
      <c r="R196" s="19">
        <f>IF(COUNTIF(EDW_RAW!$A$2:$A$1500,$D196)=0,"",IF(COUNTIFS(EDW_RAW!$A$2:$A$1500,$D196,EDW_RAW!$U$2:$U$1500,"&lt;&gt;~",EDW_RAW!$U$2:$U$1500,"&lt;&gt;")=COUNTIF(EDW_RAW!$A$2:$A$1500,$D196),"O",IF(COUNTIFS(EDW_RAW!$A$2:$A$1500,$D196,EDW_RAW!$U$2:$U$1500,"&lt;&gt;~",EDW_RAW!$U$2:$U$1500,"&lt;&gt;")&gt;0,"부분","X")))</f>
        <v/>
      </c>
      <c r="S196" s="25" t="n"/>
      <c r="T196" s="20">
        <f>IF($H196="","",IF(AND(ISNUMBER(SEARCH("CMT",$H196)),OR(ISNUMBER(SEARCH("완사입",$H196)),ISNUMBER(SEARCH("ODM",$H196)))),"본사/생산처 혼재",IF(ISNUMBER(SEARCH("CMT",$H196)),"본사(소재팀)","생산처")))</f>
        <v/>
      </c>
      <c r="U196" s="20" t="inlineStr">
        <is>
          <t>YIC</t>
        </is>
      </c>
      <c r="V196" s="20">
        <f>IFERROR(TEXTJOIN(" / ",TRUE,UNIQUE(FILTER(소재DB_RAW!$K$3:$K$2000,(소재DB_RAW!$G$3:$G$2000=$D196)*ISERROR(SEARCH("drop",소재DB_RAW!$C$3:$C$2000))))),"")</f>
        <v/>
      </c>
      <c r="W196" s="20" t="inlineStr">
        <is>
          <t>베트남</t>
        </is>
      </c>
      <c r="X196" s="20">
        <f>IFERROR(TEXTJOIN(" / ",TRUE,UNIQUE(FILTER(소재DB_RAW!$N$3:$N$2000,(소재DB_RAW!$G$3:$G$2000=$D196)*ISERROR(SEARCH("drop",소재DB_RAW!$C$3:$C$2000))))),"")</f>
        <v/>
      </c>
      <c r="Y196" s="26">
        <f>IFERROR(TEXTJOIN(CHAR(10),TRUE,UNIQUE(FILTER(소재DB_RAW!$N$3:$N$2000&amp;") "&amp;소재DB_RAW!$O$3:$O$2000,(소재DB_RAW!$G$3:$G$2000=$D196)*ISNUMBER(SEARCH("겉감",소재DB_RAW!$M$3:$M$2000))*ISERROR(SEARCH("drop",소재DB_RAW!$C$3:$C$2000))))),"")</f>
        <v/>
      </c>
      <c r="Z196" s="26">
        <f>IFERROR(TEXTJOIN(CHAR(10),TRUE,UNIQUE(FILTER(소재DB_RAW!$N$3:$N$2000&amp;") "&amp;소재DB_RAW!$O$3:$O$2000,(소재DB_RAW!$G$3:$G$2000=$D196)*ISNUMBER(SEARCH("안감",소재DB_RAW!$M$3:$M$2000))*ISERROR(SEARCH("drop",소재DB_RAW!$C$3:$C$2000))))),"")</f>
        <v/>
      </c>
      <c r="AA196" s="27" t="n">
        <v>400</v>
      </c>
      <c r="AB196" s="27" t="n">
        <v>11000000</v>
      </c>
      <c r="AC196" s="27" t="n">
        <v>47200000</v>
      </c>
      <c r="AD196" s="20" t="n"/>
      <c r="AE196" s="20">
        <f>IF($K196="","출고일 미정",IF($Q196="X","작지 미발행",IF($Q196="부분","작지 일부 미발행",IF(AND($S196&lt;&gt;"",$S196&gt;$N196),"소재입고 마감("&amp;TEXT($N196,"MM/DD")&amp;") 초과",IF($Q196="","발행여부 확인 필요",IF($S196="","소재 입고일정 확인 필요","정상"))))))</f>
        <v/>
      </c>
      <c r="AF196" s="19">
        <f>IF($K196="","",IF(OR(LEFT($AE196,2)="작지",LEFT($AE196,4)="소재입고"),IF(LEFT($G196,1)="S","★ 납기위험(S코드)","◆ 지연주의"),IF($AE196="정상","✓ 정상","? 확인필요")))</f>
        <v/>
      </c>
      <c r="AG196" s="21" t="n"/>
      <c r="AH196" s="28" t="n"/>
    </row>
    <row r="197">
      <c r="A197" s="19" t="n">
        <v>193</v>
      </c>
      <c r="B197" s="20" t="inlineStr">
        <is>
          <t>박술홍</t>
        </is>
      </c>
      <c r="C197" s="20" t="inlineStr">
        <is>
          <t>김지원</t>
        </is>
      </c>
      <c r="D197" s="20" t="inlineStr">
        <is>
          <t>TLPOM27733</t>
        </is>
      </c>
      <c r="E197" s="20" t="inlineStr">
        <is>
          <t>남성 트레일러닝 트레일 2in1 스토리지 4부 팬츠</t>
        </is>
      </c>
      <c r="F197" s="20" t="inlineStr">
        <is>
          <t>DGY(D/GRAY), LSE</t>
        </is>
      </c>
      <c r="G197" s="19">
        <f>IF($D197="","",IF(MID($D197,5,1)="S","S(봄)",IF(MID($D197,5,1)="M","M(여름)",IF(MID($D197,5,1)="X","X(사계절)",MID($D197,5,1)))))</f>
        <v/>
      </c>
      <c r="H197" s="20" t="inlineStr">
        <is>
          <t>완사입</t>
        </is>
      </c>
      <c r="I197" s="19" t="inlineStr">
        <is>
          <t>SM1</t>
        </is>
      </c>
      <c r="J197" s="21" t="inlineStr">
        <is>
          <t>3월1주</t>
        </is>
      </c>
      <c r="K197" s="22">
        <f>IF($J197="","",IFERROR(DATE(IF(VALUE(LEFT($J197,FIND("월",$J197)-1))&gt;=9,기준정보!$C$7-1,기준정보!$C$7),VALUE(LEFT($J197,FIND("월",$J197)-1)),1+7*(VALUE(SUBSTITUTE(MID($J197,FIND("월",$J197)+1,5),"주",""))-1)),""))</f>
        <v/>
      </c>
      <c r="L197" s="22">
        <f>IF($K197="","",IF(AND($K197-기준정보!$C$5&gt;=기준정보!$C$10,$K197-기준정보!$C$5&lt;=기준정보!$C$11),기준정보!$C$10-1,$K197-기준정보!$C$5))</f>
        <v/>
      </c>
      <c r="M197" s="23">
        <f>IF($L197="","",IF(OR(ISNUMBER(SEARCH("중국",$W197)),ISNUMBER(SEARCH("베트남",$W197))),MAX(0,MIN($L197,기준정보!$C$9)-MAX($L197-기준정보!$C$6,기준정보!$C$8)+1),IF(ISNUMBER(SEARCH("한국",$W197)),MAX(0,MIN($L197,기준정보!$C$11)-MAX($L197-기준정보!$C$6,기준정보!$C$10)+1),0)))</f>
        <v/>
      </c>
      <c r="N197" s="22">
        <f>IF($L197="","",$L197-기준정보!$C$6-$M197)</f>
        <v/>
      </c>
      <c r="O197" s="24">
        <f>IF($N197="","",$N197-기준정보!$C$4)</f>
        <v/>
      </c>
      <c r="P197" s="21" t="n"/>
      <c r="Q197" s="21" t="inlineStr">
        <is>
          <t>O</t>
        </is>
      </c>
      <c r="R197" s="19">
        <f>IF(COUNTIF(EDW_RAW!$A$2:$A$1500,$D197)=0,"",IF(COUNTIFS(EDW_RAW!$A$2:$A$1500,$D197,EDW_RAW!$U$2:$U$1500,"&lt;&gt;~",EDW_RAW!$U$2:$U$1500,"&lt;&gt;")=COUNTIF(EDW_RAW!$A$2:$A$1500,$D197),"O",IF(COUNTIFS(EDW_RAW!$A$2:$A$1500,$D197,EDW_RAW!$U$2:$U$1500,"&lt;&gt;~",EDW_RAW!$U$2:$U$1500,"&lt;&gt;")&gt;0,"부분","X")))</f>
        <v/>
      </c>
      <c r="S197" s="25" t="n"/>
      <c r="T197" s="20">
        <f>IF($H197="","",IF(AND(ISNUMBER(SEARCH("CMT",$H197)),OR(ISNUMBER(SEARCH("완사입",$H197)),ISNUMBER(SEARCH("ODM",$H197)))),"본사/생산처 혼재",IF(ISNUMBER(SEARCH("CMT",$H197)),"본사(소재팀)","생산처")))</f>
        <v/>
      </c>
      <c r="U197" s="20" t="inlineStr">
        <is>
          <t>YIC</t>
        </is>
      </c>
      <c r="V197" s="20">
        <f>IFERROR(TEXTJOIN(" / ",TRUE,UNIQUE(FILTER(소재DB_RAW!$K$3:$K$2000,(소재DB_RAW!$G$3:$G$2000=$D197)*ISERROR(SEARCH("drop",소재DB_RAW!$C$3:$C$2000))))),"")</f>
        <v/>
      </c>
      <c r="W197" s="20" t="inlineStr">
        <is>
          <t>베트남</t>
        </is>
      </c>
      <c r="X197" s="20">
        <f>IFERROR(TEXTJOIN(" / ",TRUE,UNIQUE(FILTER(소재DB_RAW!$N$3:$N$2000,(소재DB_RAW!$G$3:$G$2000=$D197)*ISERROR(SEARCH("drop",소재DB_RAW!$C$3:$C$2000))))),"")</f>
        <v/>
      </c>
      <c r="Y197" s="26">
        <f>IFERROR(TEXTJOIN(CHAR(10),TRUE,UNIQUE(FILTER(소재DB_RAW!$N$3:$N$2000&amp;") "&amp;소재DB_RAW!$O$3:$O$2000,(소재DB_RAW!$G$3:$G$2000=$D197)*ISNUMBER(SEARCH("겉감",소재DB_RAW!$M$3:$M$2000))*ISERROR(SEARCH("drop",소재DB_RAW!$C$3:$C$2000))))),"")</f>
        <v/>
      </c>
      <c r="Z197" s="26">
        <f>IFERROR(TEXTJOIN(CHAR(10),TRUE,UNIQUE(FILTER(소재DB_RAW!$N$3:$N$2000&amp;") "&amp;소재DB_RAW!$O$3:$O$2000,(소재DB_RAW!$G$3:$G$2000=$D197)*ISNUMBER(SEARCH("안감",소재DB_RAW!$M$3:$M$2000))*ISERROR(SEARCH("drop",소재DB_RAW!$C$3:$C$2000))))),"")</f>
        <v/>
      </c>
      <c r="AA197" s="27" t="n">
        <v>900</v>
      </c>
      <c r="AB197" s="27" t="n">
        <v>28644300</v>
      </c>
      <c r="AC197" s="27" t="n">
        <v>124200000</v>
      </c>
      <c r="AD197" s="20" t="n"/>
      <c r="AE197" s="20">
        <f>IF($K197="","출고일 미정",IF($Q197="X","작지 미발행",IF($Q197="부분","작지 일부 미발행",IF(AND($S197&lt;&gt;"",$S197&gt;$N197),"소재입고 마감("&amp;TEXT($N197,"MM/DD")&amp;") 초과",IF($Q197="","발행여부 확인 필요",IF($S197="","소재 입고일정 확인 필요","정상"))))))</f>
        <v/>
      </c>
      <c r="AF197" s="19">
        <f>IF($K197="","",IF(OR(LEFT($AE197,2)="작지",LEFT($AE197,4)="소재입고"),IF(LEFT($G197,1)="S","★ 납기위험(S코드)","◆ 지연주의"),IF($AE197="정상","✓ 정상","? 확인필요")))</f>
        <v/>
      </c>
      <c r="AG197" s="21" t="n"/>
      <c r="AH197" s="28" t="n"/>
    </row>
    <row r="198">
      <c r="A198" s="19" t="n">
        <v>194</v>
      </c>
      <c r="B198" s="20" t="inlineStr">
        <is>
          <t>박술홍</t>
        </is>
      </c>
      <c r="C198" s="20" t="inlineStr">
        <is>
          <t>김지원</t>
        </is>
      </c>
      <c r="D198" s="20" t="inlineStr">
        <is>
          <t>TLPOM27735</t>
        </is>
      </c>
      <c r="E198" s="20" t="inlineStr">
        <is>
          <t>남성 트레일러닝 트레일 스토리지 5부 타이즈</t>
        </is>
      </c>
      <c r="F198" s="20" t="inlineStr">
        <is>
          <t>LSE</t>
        </is>
      </c>
      <c r="G198" s="19">
        <f>IF($D198="","",IF(MID($D198,5,1)="S","S(봄)",IF(MID($D198,5,1)="M","M(여름)",IF(MID($D198,5,1)="X","X(사계절)",MID($D198,5,1)))))</f>
        <v/>
      </c>
      <c r="H198" s="20" t="inlineStr">
        <is>
          <t>완사입</t>
        </is>
      </c>
      <c r="I198" s="19" t="inlineStr">
        <is>
          <t>SM1</t>
        </is>
      </c>
      <c r="J198" s="21" t="inlineStr">
        <is>
          <t>3월1주</t>
        </is>
      </c>
      <c r="K198" s="22">
        <f>IF($J198="","",IFERROR(DATE(IF(VALUE(LEFT($J198,FIND("월",$J198)-1))&gt;=9,기준정보!$C$7-1,기준정보!$C$7),VALUE(LEFT($J198,FIND("월",$J198)-1)),1+7*(VALUE(SUBSTITUTE(MID($J198,FIND("월",$J198)+1,5),"주",""))-1)),""))</f>
        <v/>
      </c>
      <c r="L198" s="22">
        <f>IF($K198="","",IF(AND($K198-기준정보!$C$5&gt;=기준정보!$C$10,$K198-기준정보!$C$5&lt;=기준정보!$C$11),기준정보!$C$10-1,$K198-기준정보!$C$5))</f>
        <v/>
      </c>
      <c r="M198" s="23">
        <f>IF($L198="","",IF(OR(ISNUMBER(SEARCH("중국",$W198)),ISNUMBER(SEARCH("베트남",$W198))),MAX(0,MIN($L198,기준정보!$C$9)-MAX($L198-기준정보!$C$6,기준정보!$C$8)+1),IF(ISNUMBER(SEARCH("한국",$W198)),MAX(0,MIN($L198,기준정보!$C$11)-MAX($L198-기준정보!$C$6,기준정보!$C$10)+1),0)))</f>
        <v/>
      </c>
      <c r="N198" s="22">
        <f>IF($L198="","",$L198-기준정보!$C$6-$M198)</f>
        <v/>
      </c>
      <c r="O198" s="24">
        <f>IF($N198="","",$N198-기준정보!$C$4)</f>
        <v/>
      </c>
      <c r="P198" s="21" t="n"/>
      <c r="Q198" s="21" t="inlineStr">
        <is>
          <t>O</t>
        </is>
      </c>
      <c r="R198" s="19">
        <f>IF(COUNTIF(EDW_RAW!$A$2:$A$1500,$D198)=0,"",IF(COUNTIFS(EDW_RAW!$A$2:$A$1500,$D198,EDW_RAW!$U$2:$U$1500,"&lt;&gt;~",EDW_RAW!$U$2:$U$1500,"&lt;&gt;")=COUNTIF(EDW_RAW!$A$2:$A$1500,$D198),"O",IF(COUNTIFS(EDW_RAW!$A$2:$A$1500,$D198,EDW_RAW!$U$2:$U$1500,"&lt;&gt;~",EDW_RAW!$U$2:$U$1500,"&lt;&gt;")&gt;0,"부분","X")))</f>
        <v/>
      </c>
      <c r="S198" s="25" t="n"/>
      <c r="T198" s="20">
        <f>IF($H198="","",IF(AND(ISNUMBER(SEARCH("CMT",$H198)),OR(ISNUMBER(SEARCH("완사입",$H198)),ISNUMBER(SEARCH("ODM",$H198)))),"본사/생산처 혼재",IF(ISNUMBER(SEARCH("CMT",$H198)),"본사(소재팀)","생산처")))</f>
        <v/>
      </c>
      <c r="U198" s="20" t="inlineStr">
        <is>
          <t>IKG</t>
        </is>
      </c>
      <c r="V198" s="20">
        <f>IFERROR(TEXTJOIN(" / ",TRUE,UNIQUE(FILTER(소재DB_RAW!$K$3:$K$2000,(소재DB_RAW!$G$3:$G$2000=$D198)*ISERROR(SEARCH("drop",소재DB_RAW!$C$3:$C$2000))))),"")</f>
        <v/>
      </c>
      <c r="W198" s="20" t="inlineStr">
        <is>
          <t>베트남</t>
        </is>
      </c>
      <c r="X198" s="20">
        <f>IFERROR(TEXTJOIN(" / ",TRUE,UNIQUE(FILTER(소재DB_RAW!$N$3:$N$2000,(소재DB_RAW!$G$3:$G$2000=$D198)*ISERROR(SEARCH("drop",소재DB_RAW!$C$3:$C$2000))))),"")</f>
        <v/>
      </c>
      <c r="Y198" s="26">
        <f>IFERROR(TEXTJOIN(CHAR(10),TRUE,UNIQUE(FILTER(소재DB_RAW!$N$3:$N$2000&amp;") "&amp;소재DB_RAW!$O$3:$O$2000,(소재DB_RAW!$G$3:$G$2000=$D198)*ISNUMBER(SEARCH("겉감",소재DB_RAW!$M$3:$M$2000))*ISERROR(SEARCH("drop",소재DB_RAW!$C$3:$C$2000))))),"")</f>
        <v/>
      </c>
      <c r="Z198" s="26">
        <f>IFERROR(TEXTJOIN(CHAR(10),TRUE,UNIQUE(FILTER(소재DB_RAW!$N$3:$N$2000&amp;") "&amp;소재DB_RAW!$O$3:$O$2000,(소재DB_RAW!$G$3:$G$2000=$D198)*ISNUMBER(SEARCH("안감",소재DB_RAW!$M$3:$M$2000))*ISERROR(SEARCH("drop",소재DB_RAW!$C$3:$C$2000))))),"")</f>
        <v/>
      </c>
      <c r="AA198" s="27" t="n">
        <v>350</v>
      </c>
      <c r="AB198" s="27" t="n">
        <v>10039050</v>
      </c>
      <c r="AC198" s="27" t="n">
        <v>44800000</v>
      </c>
      <c r="AD198" s="20" t="n"/>
      <c r="AE198" s="20">
        <f>IF($K198="","출고일 미정",IF($Q198="X","작지 미발행",IF($Q198="부분","작지 일부 미발행",IF(AND($S198&lt;&gt;"",$S198&gt;$N198),"소재입고 마감("&amp;TEXT($N198,"MM/DD")&amp;") 초과",IF($Q198="","발행여부 확인 필요",IF($S198="","소재 입고일정 확인 필요","정상"))))))</f>
        <v/>
      </c>
      <c r="AF198" s="19">
        <f>IF($K198="","",IF(OR(LEFT($AE198,2)="작지",LEFT($AE198,4)="소재입고"),IF(LEFT($G198,1)="S","★ 납기위험(S코드)","◆ 지연주의"),IF($AE198="정상","✓ 정상","? 확인필요")))</f>
        <v/>
      </c>
      <c r="AG198" s="21" t="n"/>
      <c r="AH198" s="28" t="n"/>
    </row>
    <row r="199">
      <c r="A199" s="19" t="n">
        <v>195</v>
      </c>
      <c r="B199" s="20" t="inlineStr">
        <is>
          <t>박술홍</t>
        </is>
      </c>
      <c r="C199" s="20" t="inlineStr">
        <is>
          <t>김지원</t>
        </is>
      </c>
      <c r="D199" s="20" t="inlineStr">
        <is>
          <t>TLTCM27711</t>
        </is>
      </c>
      <c r="E199" s="20" t="inlineStr">
        <is>
          <t>남성 트레일러닝 흡습속건 라운드 반팔 티셔츠</t>
        </is>
      </c>
      <c r="F199" s="20" t="inlineStr">
        <is>
          <t>BLK(BLACK), BLU(BLUE), LSE</t>
        </is>
      </c>
      <c r="G199" s="19">
        <f>IF($D199="","",IF(MID($D199,5,1)="S","S(봄)",IF(MID($D199,5,1)="M","M(여름)",IF(MID($D199,5,1)="X","X(사계절)",MID($D199,5,1)))))</f>
        <v/>
      </c>
      <c r="H199" s="20" t="inlineStr">
        <is>
          <t>완사입</t>
        </is>
      </c>
      <c r="I199" s="19" t="inlineStr">
        <is>
          <t>SM1</t>
        </is>
      </c>
      <c r="J199" s="21" t="inlineStr">
        <is>
          <t>3월1주</t>
        </is>
      </c>
      <c r="K199" s="22">
        <f>IF($J199="","",IFERROR(DATE(IF(VALUE(LEFT($J199,FIND("월",$J199)-1))&gt;=9,기준정보!$C$7-1,기준정보!$C$7),VALUE(LEFT($J199,FIND("월",$J199)-1)),1+7*(VALUE(SUBSTITUTE(MID($J199,FIND("월",$J199)+1,5),"주",""))-1)),""))</f>
        <v/>
      </c>
      <c r="L199" s="22">
        <f>IF($K199="","",IF(AND($K199-기준정보!$C$5&gt;=기준정보!$C$10,$K199-기준정보!$C$5&lt;=기준정보!$C$11),기준정보!$C$10-1,$K199-기준정보!$C$5))</f>
        <v/>
      </c>
      <c r="M199" s="23">
        <f>IF($L199="","",IF(OR(ISNUMBER(SEARCH("중국",$W199)),ISNUMBER(SEARCH("베트남",$W199))),MAX(0,MIN($L199,기준정보!$C$9)-MAX($L199-기준정보!$C$6,기준정보!$C$8)+1),IF(ISNUMBER(SEARCH("한국",$W199)),MAX(0,MIN($L199,기준정보!$C$11)-MAX($L199-기준정보!$C$6,기준정보!$C$10)+1),0)))</f>
        <v/>
      </c>
      <c r="N199" s="22">
        <f>IF($L199="","",$L199-기준정보!$C$6-$M199)</f>
        <v/>
      </c>
      <c r="O199" s="24">
        <f>IF($N199="","",$N199-기준정보!$C$4)</f>
        <v/>
      </c>
      <c r="P199" s="21" t="n"/>
      <c r="Q199" s="21" t="inlineStr">
        <is>
          <t>O</t>
        </is>
      </c>
      <c r="R199" s="19">
        <f>IF(COUNTIF(EDW_RAW!$A$2:$A$1500,$D199)=0,"",IF(COUNTIFS(EDW_RAW!$A$2:$A$1500,$D199,EDW_RAW!$U$2:$U$1500,"&lt;&gt;~",EDW_RAW!$U$2:$U$1500,"&lt;&gt;")=COUNTIF(EDW_RAW!$A$2:$A$1500,$D199),"O",IF(COUNTIFS(EDW_RAW!$A$2:$A$1500,$D199,EDW_RAW!$U$2:$U$1500,"&lt;&gt;~",EDW_RAW!$U$2:$U$1500,"&lt;&gt;")&gt;0,"부분","X")))</f>
        <v/>
      </c>
      <c r="S199" s="25" t="n"/>
      <c r="T199" s="20">
        <f>IF($H199="","",IF(AND(ISNUMBER(SEARCH("CMT",$H199)),OR(ISNUMBER(SEARCH("완사입",$H199)),ISNUMBER(SEARCH("ODM",$H199)))),"본사/생산처 혼재",IF(ISNUMBER(SEARCH("CMT",$H199)),"본사(소재팀)","생산처")))</f>
        <v/>
      </c>
      <c r="U199" s="20" t="inlineStr">
        <is>
          <t>장안</t>
        </is>
      </c>
      <c r="V199" s="20">
        <f>IFERROR(TEXTJOIN(" / ",TRUE,UNIQUE(FILTER(소재DB_RAW!$K$3:$K$2000,(소재DB_RAW!$G$3:$G$2000=$D199)*ISERROR(SEARCH("drop",소재DB_RAW!$C$3:$C$2000))))),"")</f>
        <v/>
      </c>
      <c r="W199" s="20" t="inlineStr">
        <is>
          <t>베트남</t>
        </is>
      </c>
      <c r="X199" s="20">
        <f>IFERROR(TEXTJOIN(" / ",TRUE,UNIQUE(FILTER(소재DB_RAW!$N$3:$N$2000,(소재DB_RAW!$G$3:$G$2000=$D199)*ISERROR(SEARCH("drop",소재DB_RAW!$C$3:$C$2000))))),"")</f>
        <v/>
      </c>
      <c r="Y199" s="26">
        <f>IFERROR(TEXTJOIN(CHAR(10),TRUE,UNIQUE(FILTER(소재DB_RAW!$N$3:$N$2000&amp;") "&amp;소재DB_RAW!$O$3:$O$2000,(소재DB_RAW!$G$3:$G$2000=$D199)*ISNUMBER(SEARCH("겉감",소재DB_RAW!$M$3:$M$2000))*ISERROR(SEARCH("drop",소재DB_RAW!$C$3:$C$2000))))),"")</f>
        <v/>
      </c>
      <c r="Z199" s="26">
        <f>IFERROR(TEXTJOIN(CHAR(10),TRUE,UNIQUE(FILTER(소재DB_RAW!$N$3:$N$2000&amp;") "&amp;소재DB_RAW!$O$3:$O$2000,(소재DB_RAW!$G$3:$G$2000=$D199)*ISNUMBER(SEARCH("안감",소재DB_RAW!$M$3:$M$2000))*ISERROR(SEARCH("drop",소재DB_RAW!$C$3:$C$2000))))),"")</f>
        <v/>
      </c>
      <c r="AA199" s="27" t="n">
        <v>1870</v>
      </c>
      <c r="AB199" s="27" t="n">
        <v>45901020</v>
      </c>
      <c r="AC199" s="27" t="n">
        <v>183260000</v>
      </c>
      <c r="AD199" s="20" t="n"/>
      <c r="AE199" s="20">
        <f>IF($K199="","출고일 미정",IF($Q199="X","작지 미발행",IF($Q199="부분","작지 일부 미발행",IF(AND($S199&lt;&gt;"",$S199&gt;$N199),"소재입고 마감("&amp;TEXT($N199,"MM/DD")&amp;") 초과",IF($Q199="","발행여부 확인 필요",IF($S199="","소재 입고일정 확인 필요","정상"))))))</f>
        <v/>
      </c>
      <c r="AF199" s="19">
        <f>IF($K199="","",IF(OR(LEFT($AE199,2)="작지",LEFT($AE199,4)="소재입고"),IF(LEFT($G199,1)="S","★ 납기위험(S코드)","◆ 지연주의"),IF($AE199="정상","✓ 정상","? 확인필요")))</f>
        <v/>
      </c>
      <c r="AG199" s="21" t="n"/>
      <c r="AH199" s="28" t="n"/>
    </row>
    <row r="200">
      <c r="A200" s="19" t="n">
        <v>196</v>
      </c>
      <c r="B200" s="20" t="inlineStr">
        <is>
          <t>박술홍</t>
        </is>
      </c>
      <c r="C200" s="20" t="inlineStr">
        <is>
          <t>김지원</t>
        </is>
      </c>
      <c r="D200" s="20" t="inlineStr">
        <is>
          <t>TLTCM27721</t>
        </is>
      </c>
      <c r="E200" s="20" t="inlineStr">
        <is>
          <t>남성 트레일러닝 자카드 라운드 슬리브리스</t>
        </is>
      </c>
      <c r="F200" s="20" t="inlineStr">
        <is>
          <t>DGY(D/GRAY)</t>
        </is>
      </c>
      <c r="G200" s="19">
        <f>IF($D200="","",IF(MID($D200,5,1)="S","S(봄)",IF(MID($D200,5,1)="M","M(여름)",IF(MID($D200,5,1)="X","X(사계절)",MID($D200,5,1)))))</f>
        <v/>
      </c>
      <c r="H200" s="20" t="inlineStr">
        <is>
          <t>완사입</t>
        </is>
      </c>
      <c r="I200" s="19" t="inlineStr">
        <is>
          <t>SM1</t>
        </is>
      </c>
      <c r="J200" s="21" t="inlineStr">
        <is>
          <t>3월1주</t>
        </is>
      </c>
      <c r="K200" s="22">
        <f>IF($J200="","",IFERROR(DATE(IF(VALUE(LEFT($J200,FIND("월",$J200)-1))&gt;=9,기준정보!$C$7-1,기준정보!$C$7),VALUE(LEFT($J200,FIND("월",$J200)-1)),1+7*(VALUE(SUBSTITUTE(MID($J200,FIND("월",$J200)+1,5),"주",""))-1)),""))</f>
        <v/>
      </c>
      <c r="L200" s="22">
        <f>IF($K200="","",IF(AND($K200-기준정보!$C$5&gt;=기준정보!$C$10,$K200-기준정보!$C$5&lt;=기준정보!$C$11),기준정보!$C$10-1,$K200-기준정보!$C$5))</f>
        <v/>
      </c>
      <c r="M200" s="23">
        <f>IF($L200="","",IF(OR(ISNUMBER(SEARCH("중국",$W200)),ISNUMBER(SEARCH("베트남",$W200))),MAX(0,MIN($L200,기준정보!$C$9)-MAX($L200-기준정보!$C$6,기준정보!$C$8)+1),IF(ISNUMBER(SEARCH("한국",$W200)),MAX(0,MIN($L200,기준정보!$C$11)-MAX($L200-기준정보!$C$6,기준정보!$C$10)+1),0)))</f>
        <v/>
      </c>
      <c r="N200" s="22">
        <f>IF($L200="","",$L200-기준정보!$C$6-$M200)</f>
        <v/>
      </c>
      <c r="O200" s="24">
        <f>IF($N200="","",$N200-기준정보!$C$4)</f>
        <v/>
      </c>
      <c r="P200" s="21" t="n"/>
      <c r="Q200" s="21" t="inlineStr">
        <is>
          <t>O</t>
        </is>
      </c>
      <c r="R200" s="19">
        <f>IF(COUNTIF(EDW_RAW!$A$2:$A$1500,$D200)=0,"",IF(COUNTIFS(EDW_RAW!$A$2:$A$1500,$D200,EDW_RAW!$U$2:$U$1500,"&lt;&gt;~",EDW_RAW!$U$2:$U$1500,"&lt;&gt;")=COUNTIF(EDW_RAW!$A$2:$A$1500,$D200),"O",IF(COUNTIFS(EDW_RAW!$A$2:$A$1500,$D200,EDW_RAW!$U$2:$U$1500,"&lt;&gt;~",EDW_RAW!$U$2:$U$1500,"&lt;&gt;")&gt;0,"부분","X")))</f>
        <v/>
      </c>
      <c r="S200" s="25" t="n"/>
      <c r="T200" s="20">
        <f>IF($H200="","",IF(AND(ISNUMBER(SEARCH("CMT",$H200)),OR(ISNUMBER(SEARCH("완사입",$H200)),ISNUMBER(SEARCH("ODM",$H200)))),"본사/생산처 혼재",IF(ISNUMBER(SEARCH("CMT",$H200)),"본사(소재팀)","생산처")))</f>
        <v/>
      </c>
      <c r="U200" s="20" t="inlineStr">
        <is>
          <t>장안</t>
        </is>
      </c>
      <c r="V200" s="20">
        <f>IFERROR(TEXTJOIN(" / ",TRUE,UNIQUE(FILTER(소재DB_RAW!$K$3:$K$2000,(소재DB_RAW!$G$3:$G$2000=$D200)*ISERROR(SEARCH("drop",소재DB_RAW!$C$3:$C$2000))))),"")</f>
        <v/>
      </c>
      <c r="W200" s="20" t="inlineStr">
        <is>
          <t>베트남</t>
        </is>
      </c>
      <c r="X200" s="20">
        <f>IFERROR(TEXTJOIN(" / ",TRUE,UNIQUE(FILTER(소재DB_RAW!$N$3:$N$2000,(소재DB_RAW!$G$3:$G$2000=$D200)*ISERROR(SEARCH("drop",소재DB_RAW!$C$3:$C$2000))))),"")</f>
        <v/>
      </c>
      <c r="Y200" s="26">
        <f>IFERROR(TEXTJOIN(CHAR(10),TRUE,UNIQUE(FILTER(소재DB_RAW!$N$3:$N$2000&amp;") "&amp;소재DB_RAW!$O$3:$O$2000,(소재DB_RAW!$G$3:$G$2000=$D200)*ISNUMBER(SEARCH("겉감",소재DB_RAW!$M$3:$M$2000))*ISERROR(SEARCH("drop",소재DB_RAW!$C$3:$C$2000))))),"")</f>
        <v/>
      </c>
      <c r="Z200" s="26">
        <f>IFERROR(TEXTJOIN(CHAR(10),TRUE,UNIQUE(FILTER(소재DB_RAW!$N$3:$N$2000&amp;") "&amp;소재DB_RAW!$O$3:$O$2000,(소재DB_RAW!$G$3:$G$2000=$D200)*ISNUMBER(SEARCH("안감",소재DB_RAW!$M$3:$M$2000))*ISERROR(SEARCH("drop",소재DB_RAW!$C$3:$C$2000))))),"")</f>
        <v/>
      </c>
      <c r="AA200" s="27" t="n">
        <v>500</v>
      </c>
      <c r="AB200" s="27" t="n">
        <v>16777000</v>
      </c>
      <c r="AC200" s="27" t="n">
        <v>59000000</v>
      </c>
      <c r="AD200" s="20" t="n"/>
      <c r="AE200" s="20">
        <f>IF($K200="","출고일 미정",IF($Q200="X","작지 미발행",IF($Q200="부분","작지 일부 미발행",IF(AND($S200&lt;&gt;"",$S200&gt;$N200),"소재입고 마감("&amp;TEXT($N200,"MM/DD")&amp;") 초과",IF($Q200="","발행여부 확인 필요",IF($S200="","소재 입고일정 확인 필요","정상"))))))</f>
        <v/>
      </c>
      <c r="AF200" s="19">
        <f>IF($K200="","",IF(OR(LEFT($AE200,2)="작지",LEFT($AE200,4)="소재입고"),IF(LEFT($G200,1)="S","★ 납기위험(S코드)","◆ 지연주의"),IF($AE200="정상","✓ 정상","? 확인필요")))</f>
        <v/>
      </c>
      <c r="AG200" s="21" t="n"/>
      <c r="AH200" s="28" t="n"/>
    </row>
    <row r="201">
      <c r="A201" s="19" t="n">
        <v>197</v>
      </c>
      <c r="B201" s="20" t="inlineStr">
        <is>
          <t>박술홍</t>
        </is>
      </c>
      <c r="C201" s="20" t="inlineStr">
        <is>
          <t>김지원</t>
        </is>
      </c>
      <c r="D201" s="20" t="inlineStr">
        <is>
          <t>TLTCM27723</t>
        </is>
      </c>
      <c r="E201" s="20" t="inlineStr">
        <is>
          <t>남성 트레일러닝 저지 라운드 슬리브리스</t>
        </is>
      </c>
      <c r="F201" s="20" t="inlineStr">
        <is>
          <t>BLK(BLACK)</t>
        </is>
      </c>
      <c r="G201" s="19">
        <f>IF($D201="","",IF(MID($D201,5,1)="S","S(봄)",IF(MID($D201,5,1)="M","M(여름)",IF(MID($D201,5,1)="X","X(사계절)",MID($D201,5,1)))))</f>
        <v/>
      </c>
      <c r="H201" s="20" t="inlineStr">
        <is>
          <t>완사입</t>
        </is>
      </c>
      <c r="I201" s="19" t="inlineStr">
        <is>
          <t>SM1</t>
        </is>
      </c>
      <c r="J201" s="21" t="inlineStr">
        <is>
          <t>3월1주</t>
        </is>
      </c>
      <c r="K201" s="22">
        <f>IF($J201="","",IFERROR(DATE(IF(VALUE(LEFT($J201,FIND("월",$J201)-1))&gt;=9,기준정보!$C$7-1,기준정보!$C$7),VALUE(LEFT($J201,FIND("월",$J201)-1)),1+7*(VALUE(SUBSTITUTE(MID($J201,FIND("월",$J201)+1,5),"주",""))-1)),""))</f>
        <v/>
      </c>
      <c r="L201" s="22">
        <f>IF($K201="","",IF(AND($K201-기준정보!$C$5&gt;=기준정보!$C$10,$K201-기준정보!$C$5&lt;=기준정보!$C$11),기준정보!$C$10-1,$K201-기준정보!$C$5))</f>
        <v/>
      </c>
      <c r="M201" s="23">
        <f>IF($L201="","",IF(OR(ISNUMBER(SEARCH("중국",$W201)),ISNUMBER(SEARCH("베트남",$W201))),MAX(0,MIN($L201,기준정보!$C$9)-MAX($L201-기준정보!$C$6,기준정보!$C$8)+1),IF(ISNUMBER(SEARCH("한국",$W201)),MAX(0,MIN($L201,기준정보!$C$11)-MAX($L201-기준정보!$C$6,기준정보!$C$10)+1),0)))</f>
        <v/>
      </c>
      <c r="N201" s="22">
        <f>IF($L201="","",$L201-기준정보!$C$6-$M201)</f>
        <v/>
      </c>
      <c r="O201" s="24">
        <f>IF($N201="","",$N201-기준정보!$C$4)</f>
        <v/>
      </c>
      <c r="P201" s="21" t="n"/>
      <c r="Q201" s="21" t="inlineStr">
        <is>
          <t>O</t>
        </is>
      </c>
      <c r="R201" s="19">
        <f>IF(COUNTIF(EDW_RAW!$A$2:$A$1500,$D201)=0,"",IF(COUNTIFS(EDW_RAW!$A$2:$A$1500,$D201,EDW_RAW!$U$2:$U$1500,"&lt;&gt;~",EDW_RAW!$U$2:$U$1500,"&lt;&gt;")=COUNTIF(EDW_RAW!$A$2:$A$1500,$D201),"O",IF(COUNTIFS(EDW_RAW!$A$2:$A$1500,$D201,EDW_RAW!$U$2:$U$1500,"&lt;&gt;~",EDW_RAW!$U$2:$U$1500,"&lt;&gt;")&gt;0,"부분","X")))</f>
        <v/>
      </c>
      <c r="S201" s="25" t="n"/>
      <c r="T201" s="20">
        <f>IF($H201="","",IF(AND(ISNUMBER(SEARCH("CMT",$H201)),OR(ISNUMBER(SEARCH("완사입",$H201)),ISNUMBER(SEARCH("ODM",$H201)))),"본사/생산처 혼재",IF(ISNUMBER(SEARCH("CMT",$H201)),"본사(소재팀)","생산처")))</f>
        <v/>
      </c>
      <c r="U201" s="20" t="inlineStr">
        <is>
          <t>장안</t>
        </is>
      </c>
      <c r="V201" s="20">
        <f>IFERROR(TEXTJOIN(" / ",TRUE,UNIQUE(FILTER(소재DB_RAW!$K$3:$K$2000,(소재DB_RAW!$G$3:$G$2000=$D201)*ISERROR(SEARCH("drop",소재DB_RAW!$C$3:$C$2000))))),"")</f>
        <v/>
      </c>
      <c r="W201" s="20" t="inlineStr">
        <is>
          <t>베트남</t>
        </is>
      </c>
      <c r="X201" s="20">
        <f>IFERROR(TEXTJOIN(" / ",TRUE,UNIQUE(FILTER(소재DB_RAW!$N$3:$N$2000,(소재DB_RAW!$G$3:$G$2000=$D201)*ISERROR(SEARCH("drop",소재DB_RAW!$C$3:$C$2000))))),"")</f>
        <v/>
      </c>
      <c r="Y201" s="26">
        <f>IFERROR(TEXTJOIN(CHAR(10),TRUE,UNIQUE(FILTER(소재DB_RAW!$N$3:$N$2000&amp;") "&amp;소재DB_RAW!$O$3:$O$2000,(소재DB_RAW!$G$3:$G$2000=$D201)*ISNUMBER(SEARCH("겉감",소재DB_RAW!$M$3:$M$2000))*ISERROR(SEARCH("drop",소재DB_RAW!$C$3:$C$2000))))),"")</f>
        <v/>
      </c>
      <c r="Z201" s="26">
        <f>IFERROR(TEXTJOIN(CHAR(10),TRUE,UNIQUE(FILTER(소재DB_RAW!$N$3:$N$2000&amp;") "&amp;소재DB_RAW!$O$3:$O$2000,(소재DB_RAW!$G$3:$G$2000=$D201)*ISNUMBER(SEARCH("안감",소재DB_RAW!$M$3:$M$2000))*ISERROR(SEARCH("drop",소재DB_RAW!$C$3:$C$2000))))),"")</f>
        <v/>
      </c>
      <c r="AA201" s="27" t="n">
        <v>900</v>
      </c>
      <c r="AB201" s="27" t="n">
        <v>22674600</v>
      </c>
      <c r="AC201" s="27" t="n">
        <v>88200000</v>
      </c>
      <c r="AD201" s="20" t="n"/>
      <c r="AE201" s="20">
        <f>IF($K201="","출고일 미정",IF($Q201="X","작지 미발행",IF($Q201="부분","작지 일부 미발행",IF(AND($S201&lt;&gt;"",$S201&gt;$N201),"소재입고 마감("&amp;TEXT($N201,"MM/DD")&amp;") 초과",IF($Q201="","발행여부 확인 필요",IF($S201="","소재 입고일정 확인 필요","정상"))))))</f>
        <v/>
      </c>
      <c r="AF201" s="19">
        <f>IF($K201="","",IF(OR(LEFT($AE201,2)="작지",LEFT($AE201,4)="소재입고"),IF(LEFT($G201,1)="S","★ 납기위험(S코드)","◆ 지연주의"),IF($AE201="정상","✓ 정상","? 확인필요")))</f>
        <v/>
      </c>
      <c r="AG201" s="21" t="n"/>
      <c r="AH201" s="28" t="n"/>
    </row>
    <row r="202">
      <c r="A202" s="19" t="n">
        <v>198</v>
      </c>
      <c r="B202" s="20" t="inlineStr">
        <is>
          <t>박술홍</t>
        </is>
      </c>
      <c r="C202" s="20" t="inlineStr">
        <is>
          <t>심현숙</t>
        </is>
      </c>
      <c r="D202" s="20" t="inlineStr">
        <is>
          <t>TVJJM27702</t>
        </is>
      </c>
      <c r="E202" s="20" t="inlineStr">
        <is>
          <t>여성 트레일러닝 초경량 3L 방수 자켓</t>
        </is>
      </c>
      <c r="F202" s="20" t="inlineStr">
        <is>
          <t>IVO(IVORY)</t>
        </is>
      </c>
      <c r="G202" s="19">
        <f>IF($D202="","",IF(MID($D202,5,1)="S","S(봄)",IF(MID($D202,5,1)="M","M(여름)",IF(MID($D202,5,1)="X","X(사계절)",MID($D202,5,1)))))</f>
        <v/>
      </c>
      <c r="H202" s="20" t="inlineStr">
        <is>
          <t>완사입</t>
        </is>
      </c>
      <c r="I202" s="19" t="inlineStr">
        <is>
          <t>SM1</t>
        </is>
      </c>
      <c r="J202" s="21" t="inlineStr">
        <is>
          <t>3월1주</t>
        </is>
      </c>
      <c r="K202" s="22">
        <f>IF($J202="","",IFERROR(DATE(IF(VALUE(LEFT($J202,FIND("월",$J202)-1))&gt;=9,기준정보!$C$7-1,기준정보!$C$7),VALUE(LEFT($J202,FIND("월",$J202)-1)),1+7*(VALUE(SUBSTITUTE(MID($J202,FIND("월",$J202)+1,5),"주",""))-1)),""))</f>
        <v/>
      </c>
      <c r="L202" s="22">
        <f>IF($K202="","",IF(AND($K202-기준정보!$C$5&gt;=기준정보!$C$10,$K202-기준정보!$C$5&lt;=기준정보!$C$11),기준정보!$C$10-1,$K202-기준정보!$C$5))</f>
        <v/>
      </c>
      <c r="M202" s="23">
        <f>IF($L202="","",IF(OR(ISNUMBER(SEARCH("중국",$W202)),ISNUMBER(SEARCH("베트남",$W202))),MAX(0,MIN($L202,기준정보!$C$9)-MAX($L202-기준정보!$C$6,기준정보!$C$8)+1),IF(ISNUMBER(SEARCH("한국",$W202)),MAX(0,MIN($L202,기준정보!$C$11)-MAX($L202-기준정보!$C$6,기준정보!$C$10)+1),0)))</f>
        <v/>
      </c>
      <c r="N202" s="22">
        <f>IF($L202="","",$L202-기준정보!$C$6-$M202)</f>
        <v/>
      </c>
      <c r="O202" s="24">
        <f>IF($N202="","",$N202-기준정보!$C$4)</f>
        <v/>
      </c>
      <c r="P202" s="21" t="n"/>
      <c r="Q202" s="21" t="inlineStr">
        <is>
          <t>O</t>
        </is>
      </c>
      <c r="R202" s="19">
        <f>IF(COUNTIF(EDW_RAW!$A$2:$A$1500,$D202)=0,"",IF(COUNTIFS(EDW_RAW!$A$2:$A$1500,$D202,EDW_RAW!$U$2:$U$1500,"&lt;&gt;~",EDW_RAW!$U$2:$U$1500,"&lt;&gt;")=COUNTIF(EDW_RAW!$A$2:$A$1500,$D202),"O",IF(COUNTIFS(EDW_RAW!$A$2:$A$1500,$D202,EDW_RAW!$U$2:$U$1500,"&lt;&gt;~",EDW_RAW!$U$2:$U$1500,"&lt;&gt;")&gt;0,"부분","X")))</f>
        <v/>
      </c>
      <c r="S202" s="25" t="n"/>
      <c r="T202" s="20">
        <f>IF($H202="","",IF(AND(ISNUMBER(SEARCH("CMT",$H202)),OR(ISNUMBER(SEARCH("완사입",$H202)),ISNUMBER(SEARCH("ODM",$H202)))),"본사/생산처 혼재",IF(ISNUMBER(SEARCH("CMT",$H202)),"본사(소재팀)","생산처")))</f>
        <v/>
      </c>
      <c r="U202" s="20" t="inlineStr">
        <is>
          <t>포마트</t>
        </is>
      </c>
      <c r="V202" s="20">
        <f>IFERROR(TEXTJOIN(" / ",TRUE,UNIQUE(FILTER(소재DB_RAW!$K$3:$K$2000,(소재DB_RAW!$G$3:$G$2000=$D202)*ISERROR(SEARCH("drop",소재DB_RAW!$C$3:$C$2000))))),"")</f>
        <v/>
      </c>
      <c r="W202" s="20" t="inlineStr">
        <is>
          <t>베트남</t>
        </is>
      </c>
      <c r="X202" s="20">
        <f>IFERROR(TEXTJOIN(" / ",TRUE,UNIQUE(FILTER(소재DB_RAW!$N$3:$N$2000,(소재DB_RAW!$G$3:$G$2000=$D202)*ISERROR(SEARCH("drop",소재DB_RAW!$C$3:$C$2000))))),"")</f>
        <v/>
      </c>
      <c r="Y202" s="26">
        <f>IFERROR(TEXTJOIN(CHAR(10),TRUE,UNIQUE(FILTER(소재DB_RAW!$N$3:$N$2000&amp;") "&amp;소재DB_RAW!$O$3:$O$2000,(소재DB_RAW!$G$3:$G$2000=$D202)*ISNUMBER(SEARCH("겉감",소재DB_RAW!$M$3:$M$2000))*ISERROR(SEARCH("drop",소재DB_RAW!$C$3:$C$2000))))),"")</f>
        <v/>
      </c>
      <c r="Z202" s="26">
        <f>IFERROR(TEXTJOIN(CHAR(10),TRUE,UNIQUE(FILTER(소재DB_RAW!$N$3:$N$2000&amp;") "&amp;소재DB_RAW!$O$3:$O$2000,(소재DB_RAW!$G$3:$G$2000=$D202)*ISNUMBER(SEARCH("안감",소재DB_RAW!$M$3:$M$2000))*ISERROR(SEARCH("drop",소재DB_RAW!$C$3:$C$2000))))),"")</f>
        <v/>
      </c>
      <c r="AA202" s="27" t="n">
        <v>300</v>
      </c>
      <c r="AB202" s="27" t="n">
        <v>31205400</v>
      </c>
      <c r="AC202" s="27" t="n">
        <v>117000000</v>
      </c>
      <c r="AD202" s="20" t="n"/>
      <c r="AE202" s="20">
        <f>IF($K202="","출고일 미정",IF($Q202="X","작지 미발행",IF($Q202="부분","작지 일부 미발행",IF(AND($S202&lt;&gt;"",$S202&gt;$N202),"소재입고 마감("&amp;TEXT($N202,"MM/DD")&amp;") 초과",IF($Q202="","발행여부 확인 필요",IF($S202="","소재 입고일정 확인 필요","정상"))))))</f>
        <v/>
      </c>
      <c r="AF202" s="19">
        <f>IF($K202="","",IF(OR(LEFT($AE202,2)="작지",LEFT($AE202,4)="소재입고"),IF(LEFT($G202,1)="S","★ 납기위험(S코드)","◆ 지연주의"),IF($AE202="정상","✓ 정상","? 확인필요")))</f>
        <v/>
      </c>
      <c r="AG202" s="21" t="n"/>
      <c r="AH202" s="28" t="n"/>
    </row>
    <row r="203">
      <c r="A203" s="19" t="n">
        <v>199</v>
      </c>
      <c r="B203" s="20" t="inlineStr">
        <is>
          <t>박술홍</t>
        </is>
      </c>
      <c r="C203" s="20" t="inlineStr">
        <is>
          <t>심현숙</t>
        </is>
      </c>
      <c r="D203" s="20" t="inlineStr">
        <is>
          <t>TVJJM27704</t>
        </is>
      </c>
      <c r="E203" s="20" t="inlineStr">
        <is>
          <t>여성 트레일러닝 패커블 초경량 방풍 자켓</t>
        </is>
      </c>
      <c r="F203" s="20" t="inlineStr">
        <is>
          <t>DBE(DARK BEIGE)</t>
        </is>
      </c>
      <c r="G203" s="19">
        <f>IF($D203="","",IF(MID($D203,5,1)="S","S(봄)",IF(MID($D203,5,1)="M","M(여름)",IF(MID($D203,5,1)="X","X(사계절)",MID($D203,5,1)))))</f>
        <v/>
      </c>
      <c r="H203" s="20" t="inlineStr">
        <is>
          <t>완사입</t>
        </is>
      </c>
      <c r="I203" s="19" t="inlineStr">
        <is>
          <t>SM1</t>
        </is>
      </c>
      <c r="J203" s="21" t="inlineStr">
        <is>
          <t>3월1주</t>
        </is>
      </c>
      <c r="K203" s="22">
        <f>IF($J203="","",IFERROR(DATE(IF(VALUE(LEFT($J203,FIND("월",$J203)-1))&gt;=9,기준정보!$C$7-1,기준정보!$C$7),VALUE(LEFT($J203,FIND("월",$J203)-1)),1+7*(VALUE(SUBSTITUTE(MID($J203,FIND("월",$J203)+1,5),"주",""))-1)),""))</f>
        <v/>
      </c>
      <c r="L203" s="22">
        <f>IF($K203="","",IF(AND($K203-기준정보!$C$5&gt;=기준정보!$C$10,$K203-기준정보!$C$5&lt;=기준정보!$C$11),기준정보!$C$10-1,$K203-기준정보!$C$5))</f>
        <v/>
      </c>
      <c r="M203" s="23">
        <f>IF($L203="","",IF(OR(ISNUMBER(SEARCH("중국",$W203)),ISNUMBER(SEARCH("베트남",$W203))),MAX(0,MIN($L203,기준정보!$C$9)-MAX($L203-기준정보!$C$6,기준정보!$C$8)+1),IF(ISNUMBER(SEARCH("한국",$W203)),MAX(0,MIN($L203,기준정보!$C$11)-MAX($L203-기준정보!$C$6,기준정보!$C$10)+1),0)))</f>
        <v/>
      </c>
      <c r="N203" s="22">
        <f>IF($L203="","",$L203-기준정보!$C$6-$M203)</f>
        <v/>
      </c>
      <c r="O203" s="24">
        <f>IF($N203="","",$N203-기준정보!$C$4)</f>
        <v/>
      </c>
      <c r="P203" s="21" t="n"/>
      <c r="Q203" s="21" t="inlineStr">
        <is>
          <t>O</t>
        </is>
      </c>
      <c r="R203" s="19">
        <f>IF(COUNTIF(EDW_RAW!$A$2:$A$1500,$D203)=0,"",IF(COUNTIFS(EDW_RAW!$A$2:$A$1500,$D203,EDW_RAW!$U$2:$U$1500,"&lt;&gt;~",EDW_RAW!$U$2:$U$1500,"&lt;&gt;")=COUNTIF(EDW_RAW!$A$2:$A$1500,$D203),"O",IF(COUNTIFS(EDW_RAW!$A$2:$A$1500,$D203,EDW_RAW!$U$2:$U$1500,"&lt;&gt;~",EDW_RAW!$U$2:$U$1500,"&lt;&gt;")&gt;0,"부분","X")))</f>
        <v/>
      </c>
      <c r="S203" s="25" t="n"/>
      <c r="T203" s="20">
        <f>IF($H203="","",IF(AND(ISNUMBER(SEARCH("CMT",$H203)),OR(ISNUMBER(SEARCH("완사입",$H203)),ISNUMBER(SEARCH("ODM",$H203)))),"본사/생산처 혼재",IF(ISNUMBER(SEARCH("CMT",$H203)),"본사(소재팀)","생산처")))</f>
        <v/>
      </c>
      <c r="U203" s="20" t="inlineStr">
        <is>
          <t>포마트</t>
        </is>
      </c>
      <c r="V203" s="20">
        <f>IFERROR(TEXTJOIN(" / ",TRUE,UNIQUE(FILTER(소재DB_RAW!$K$3:$K$2000,(소재DB_RAW!$G$3:$G$2000=$D203)*ISERROR(SEARCH("drop",소재DB_RAW!$C$3:$C$2000))))),"")</f>
        <v/>
      </c>
      <c r="W203" s="20" t="inlineStr">
        <is>
          <t>베트남</t>
        </is>
      </c>
      <c r="X203" s="20">
        <f>IFERROR(TEXTJOIN(" / ",TRUE,UNIQUE(FILTER(소재DB_RAW!$N$3:$N$2000,(소재DB_RAW!$G$3:$G$2000=$D203)*ISERROR(SEARCH("drop",소재DB_RAW!$C$3:$C$2000))))),"")</f>
        <v/>
      </c>
      <c r="Y203" s="26">
        <f>IFERROR(TEXTJOIN(CHAR(10),TRUE,UNIQUE(FILTER(소재DB_RAW!$N$3:$N$2000&amp;") "&amp;소재DB_RAW!$O$3:$O$2000,(소재DB_RAW!$G$3:$G$2000=$D203)*ISNUMBER(SEARCH("겉감",소재DB_RAW!$M$3:$M$2000))*ISERROR(SEARCH("drop",소재DB_RAW!$C$3:$C$2000))))),"")</f>
        <v/>
      </c>
      <c r="Z203" s="26">
        <f>IFERROR(TEXTJOIN(CHAR(10),TRUE,UNIQUE(FILTER(소재DB_RAW!$N$3:$N$2000&amp;") "&amp;소재DB_RAW!$O$3:$O$2000,(소재DB_RAW!$G$3:$G$2000=$D203)*ISNUMBER(SEARCH("안감",소재DB_RAW!$M$3:$M$2000))*ISERROR(SEARCH("drop",소재DB_RAW!$C$3:$C$2000))))),"")</f>
        <v/>
      </c>
      <c r="AA203" s="27" t="n">
        <v>300</v>
      </c>
      <c r="AB203" s="27" t="n">
        <v>14763900</v>
      </c>
      <c r="AC203" s="27" t="n">
        <v>66000000</v>
      </c>
      <c r="AD203" s="20" t="n"/>
      <c r="AE203" s="20">
        <f>IF($K203="","출고일 미정",IF($Q203="X","작지 미발행",IF($Q203="부분","작지 일부 미발행",IF(AND($S203&lt;&gt;"",$S203&gt;$N203),"소재입고 마감("&amp;TEXT($N203,"MM/DD")&amp;") 초과",IF($Q203="","발행여부 확인 필요",IF($S203="","소재 입고일정 확인 필요","정상"))))))</f>
        <v/>
      </c>
      <c r="AF203" s="19">
        <f>IF($K203="","",IF(OR(LEFT($AE203,2)="작지",LEFT($AE203,4)="소재입고"),IF(LEFT($G203,1)="S","★ 납기위험(S코드)","◆ 지연주의"),IF($AE203="정상","✓ 정상","? 확인필요")))</f>
        <v/>
      </c>
      <c r="AG203" s="21" t="n"/>
      <c r="AH203" s="28" t="n"/>
    </row>
    <row r="204">
      <c r="A204" s="19" t="n">
        <v>200</v>
      </c>
      <c r="B204" s="20" t="inlineStr">
        <is>
          <t>정영준</t>
        </is>
      </c>
      <c r="C204" s="20" t="inlineStr">
        <is>
          <t>서은미</t>
        </is>
      </c>
      <c r="D204" s="20" t="inlineStr">
        <is>
          <t>TVPNM27502</t>
        </is>
      </c>
      <c r="E204" s="20" t="inlineStr">
        <is>
          <t>하절 여성 베이직 크롭 세미 와이드 팬츠</t>
        </is>
      </c>
      <c r="F204" s="20" t="inlineStr">
        <is>
          <t>BLK(BLACK), LGI(L/GREIGE)</t>
        </is>
      </c>
      <c r="G204" s="19">
        <f>IF($D204="","",IF(MID($D204,5,1)="S","S(봄)",IF(MID($D204,5,1)="M","M(여름)",IF(MID($D204,5,1)="X","X(사계절)",MID($D204,5,1)))))</f>
        <v/>
      </c>
      <c r="H204" s="20" t="inlineStr">
        <is>
          <t>CMT</t>
        </is>
      </c>
      <c r="I204" s="19" t="inlineStr"/>
      <c r="J204" s="21" t="inlineStr">
        <is>
          <t>3월1주</t>
        </is>
      </c>
      <c r="K204" s="22">
        <f>IF($J204="","",IFERROR(DATE(IF(VALUE(LEFT($J204,FIND("월",$J204)-1))&gt;=9,기준정보!$C$7-1,기준정보!$C$7),VALUE(LEFT($J204,FIND("월",$J204)-1)),1+7*(VALUE(SUBSTITUTE(MID($J204,FIND("월",$J204)+1,5),"주",""))-1)),""))</f>
        <v/>
      </c>
      <c r="L204" s="22">
        <f>IF($K204="","",IF(AND($K204-기준정보!$C$5&gt;=기준정보!$C$10,$K204-기준정보!$C$5&lt;=기준정보!$C$11),기준정보!$C$10-1,$K204-기준정보!$C$5))</f>
        <v/>
      </c>
      <c r="M204" s="23">
        <f>IF($L204="","",IF(OR(ISNUMBER(SEARCH("중국",$W204)),ISNUMBER(SEARCH("베트남",$W204))),MAX(0,MIN($L204,기준정보!$C$9)-MAX($L204-기준정보!$C$6,기준정보!$C$8)+1),IF(ISNUMBER(SEARCH("한국",$W204)),MAX(0,MIN($L204,기준정보!$C$11)-MAX($L204-기준정보!$C$6,기준정보!$C$10)+1),0)))</f>
        <v/>
      </c>
      <c r="N204" s="22">
        <f>IF($L204="","",$L204-기준정보!$C$6-$M204)</f>
        <v/>
      </c>
      <c r="O204" s="24">
        <f>IF($N204="","",$N204-기준정보!$C$4)</f>
        <v/>
      </c>
      <c r="P204" s="21" t="n"/>
      <c r="Q204" s="21" t="inlineStr">
        <is>
          <t>O</t>
        </is>
      </c>
      <c r="R204" s="19">
        <f>IF(COUNTIF(EDW_RAW!$A$2:$A$1500,$D204)=0,"",IF(COUNTIFS(EDW_RAW!$A$2:$A$1500,$D204,EDW_RAW!$U$2:$U$1500,"&lt;&gt;~",EDW_RAW!$U$2:$U$1500,"&lt;&gt;")=COUNTIF(EDW_RAW!$A$2:$A$1500,$D204),"O",IF(COUNTIFS(EDW_RAW!$A$2:$A$1500,$D204,EDW_RAW!$U$2:$U$1500,"&lt;&gt;~",EDW_RAW!$U$2:$U$1500,"&lt;&gt;")&gt;0,"부분","X")))</f>
        <v/>
      </c>
      <c r="S204" s="25" t="n"/>
      <c r="T204" s="20">
        <f>IF($H204="","",IF(AND(ISNUMBER(SEARCH("CMT",$H204)),OR(ISNUMBER(SEARCH("완사입",$H204)),ISNUMBER(SEARCH("ODM",$H204)))),"본사/생산처 혼재",IF(ISNUMBER(SEARCH("CMT",$H204)),"본사(소재팀)","생산처")))</f>
        <v/>
      </c>
      <c r="U204" s="20" t="inlineStr">
        <is>
          <t>YIC</t>
        </is>
      </c>
      <c r="V204" s="20">
        <f>IFERROR(TEXTJOIN(" / ",TRUE,UNIQUE(FILTER(소재DB_RAW!$K$3:$K$2000,(소재DB_RAW!$G$3:$G$2000=$D204)*ISERROR(SEARCH("drop",소재DB_RAW!$C$3:$C$2000))))),"")</f>
        <v/>
      </c>
      <c r="W204" s="20" t="inlineStr">
        <is>
          <t>베트남</t>
        </is>
      </c>
      <c r="X204" s="20">
        <f>IFERROR(TEXTJOIN(" / ",TRUE,UNIQUE(FILTER(소재DB_RAW!$N$3:$N$2000,(소재DB_RAW!$G$3:$G$2000=$D204)*ISERROR(SEARCH("drop",소재DB_RAW!$C$3:$C$2000))))),"")</f>
        <v/>
      </c>
      <c r="Y204" s="26">
        <f>IFERROR(TEXTJOIN(CHAR(10),TRUE,UNIQUE(FILTER(소재DB_RAW!$N$3:$N$2000&amp;") "&amp;소재DB_RAW!$O$3:$O$2000,(소재DB_RAW!$G$3:$G$2000=$D204)*ISNUMBER(SEARCH("겉감",소재DB_RAW!$M$3:$M$2000))*ISERROR(SEARCH("drop",소재DB_RAW!$C$3:$C$2000))))),"")</f>
        <v/>
      </c>
      <c r="Z204" s="26">
        <f>IFERROR(TEXTJOIN(CHAR(10),TRUE,UNIQUE(FILTER(소재DB_RAW!$N$3:$N$2000&amp;") "&amp;소재DB_RAW!$O$3:$O$2000,(소재DB_RAW!$G$3:$G$2000=$D204)*ISNUMBER(SEARCH("안감",소재DB_RAW!$M$3:$M$2000))*ISERROR(SEARCH("drop",소재DB_RAW!$C$3:$C$2000))))),"")</f>
        <v/>
      </c>
      <c r="AA204" s="27" t="n">
        <v>5000</v>
      </c>
      <c r="AB204" s="27" t="n">
        <v>177260000</v>
      </c>
      <c r="AC204" s="27" t="n">
        <v>890000000</v>
      </c>
      <c r="AD204" s="20" t="inlineStr">
        <is>
          <t>3월1주</t>
        </is>
      </c>
      <c r="AE204" s="20">
        <f>IF($K204="","출고일 미정",IF($Q204="X","작지 미발행",IF($Q204="부분","작지 일부 미발행",IF(AND($S204&lt;&gt;"",$S204&gt;$N204),"소재입고 마감("&amp;TEXT($N204,"MM/DD")&amp;") 초과",IF($Q204="","발행여부 확인 필요",IF($S204="","소재 입고일정 확인 필요","정상"))))))</f>
        <v/>
      </c>
      <c r="AF204" s="19">
        <f>IF($K204="","",IF(OR(LEFT($AE204,2)="작지",LEFT($AE204,4)="소재입고"),IF(LEFT($G204,1)="S","★ 납기위험(S코드)","◆ 지연주의"),IF($AE204="정상","✓ 정상","? 확인필요")))</f>
        <v/>
      </c>
      <c r="AG204" s="21" t="n"/>
      <c r="AH204" s="28" t="n"/>
    </row>
    <row r="205">
      <c r="A205" s="19" t="n">
        <v>201</v>
      </c>
      <c r="B205" s="20" t="inlineStr">
        <is>
          <t>정영준</t>
        </is>
      </c>
      <c r="C205" s="20" t="inlineStr">
        <is>
          <t>서은미</t>
        </is>
      </c>
      <c r="D205" s="20" t="inlineStr">
        <is>
          <t>TVPNM27522</t>
        </is>
      </c>
      <c r="E205" s="20" t="inlineStr">
        <is>
          <t>하절 여성 카고조거 팬츠</t>
        </is>
      </c>
      <c r="F205" s="20" t="inlineStr">
        <is>
          <t>BLK(BLACK), DGY-1</t>
        </is>
      </c>
      <c r="G205" s="19">
        <f>IF($D205="","",IF(MID($D205,5,1)="S","S(봄)",IF(MID($D205,5,1)="M","M(여름)",IF(MID($D205,5,1)="X","X(사계절)",MID($D205,5,1)))))</f>
        <v/>
      </c>
      <c r="H205" s="20" t="inlineStr">
        <is>
          <t>CMT</t>
        </is>
      </c>
      <c r="I205" s="19" t="inlineStr"/>
      <c r="J205" s="21" t="inlineStr">
        <is>
          <t>3월1주</t>
        </is>
      </c>
      <c r="K205" s="22">
        <f>IF($J205="","",IFERROR(DATE(IF(VALUE(LEFT($J205,FIND("월",$J205)-1))&gt;=9,기준정보!$C$7-1,기준정보!$C$7),VALUE(LEFT($J205,FIND("월",$J205)-1)),1+7*(VALUE(SUBSTITUTE(MID($J205,FIND("월",$J205)+1,5),"주",""))-1)),""))</f>
        <v/>
      </c>
      <c r="L205" s="22">
        <f>IF($K205="","",IF(AND($K205-기준정보!$C$5&gt;=기준정보!$C$10,$K205-기준정보!$C$5&lt;=기준정보!$C$11),기준정보!$C$10-1,$K205-기준정보!$C$5))</f>
        <v/>
      </c>
      <c r="M205" s="23">
        <f>IF($L205="","",IF(OR(ISNUMBER(SEARCH("중국",$W205)),ISNUMBER(SEARCH("베트남",$W205))),MAX(0,MIN($L205,기준정보!$C$9)-MAX($L205-기준정보!$C$6,기준정보!$C$8)+1),IF(ISNUMBER(SEARCH("한국",$W205)),MAX(0,MIN($L205,기준정보!$C$11)-MAX($L205-기준정보!$C$6,기준정보!$C$10)+1),0)))</f>
        <v/>
      </c>
      <c r="N205" s="22">
        <f>IF($L205="","",$L205-기준정보!$C$6-$M205)</f>
        <v/>
      </c>
      <c r="O205" s="24">
        <f>IF($N205="","",$N205-기준정보!$C$4)</f>
        <v/>
      </c>
      <c r="P205" s="21" t="n"/>
      <c r="Q205" s="21" t="inlineStr">
        <is>
          <t>O</t>
        </is>
      </c>
      <c r="R205" s="19">
        <f>IF(COUNTIF(EDW_RAW!$A$2:$A$1500,$D205)=0,"",IF(COUNTIFS(EDW_RAW!$A$2:$A$1500,$D205,EDW_RAW!$U$2:$U$1500,"&lt;&gt;~",EDW_RAW!$U$2:$U$1500,"&lt;&gt;")=COUNTIF(EDW_RAW!$A$2:$A$1500,$D205),"O",IF(COUNTIFS(EDW_RAW!$A$2:$A$1500,$D205,EDW_RAW!$U$2:$U$1500,"&lt;&gt;~",EDW_RAW!$U$2:$U$1500,"&lt;&gt;")&gt;0,"부분","X")))</f>
        <v/>
      </c>
      <c r="S205" s="25" t="n"/>
      <c r="T205" s="20">
        <f>IF($H205="","",IF(AND(ISNUMBER(SEARCH("CMT",$H205)),OR(ISNUMBER(SEARCH("완사입",$H205)),ISNUMBER(SEARCH("ODM",$H205)))),"본사/생산처 혼재",IF(ISNUMBER(SEARCH("CMT",$H205)),"본사(소재팀)","생산처")))</f>
        <v/>
      </c>
      <c r="U205" s="20" t="inlineStr">
        <is>
          <t>YIC</t>
        </is>
      </c>
      <c r="V205" s="20">
        <f>IFERROR(TEXTJOIN(" / ",TRUE,UNIQUE(FILTER(소재DB_RAW!$K$3:$K$2000,(소재DB_RAW!$G$3:$G$2000=$D205)*ISERROR(SEARCH("drop",소재DB_RAW!$C$3:$C$2000))))),"")</f>
        <v/>
      </c>
      <c r="W205" s="20" t="inlineStr">
        <is>
          <t>베트남</t>
        </is>
      </c>
      <c r="X205" s="20">
        <f>IFERROR(TEXTJOIN(" / ",TRUE,UNIQUE(FILTER(소재DB_RAW!$N$3:$N$2000,(소재DB_RAW!$G$3:$G$2000=$D205)*ISERROR(SEARCH("drop",소재DB_RAW!$C$3:$C$2000))))),"")</f>
        <v/>
      </c>
      <c r="Y205" s="26">
        <f>IFERROR(TEXTJOIN(CHAR(10),TRUE,UNIQUE(FILTER(소재DB_RAW!$N$3:$N$2000&amp;") "&amp;소재DB_RAW!$O$3:$O$2000,(소재DB_RAW!$G$3:$G$2000=$D205)*ISNUMBER(SEARCH("겉감",소재DB_RAW!$M$3:$M$2000))*ISERROR(SEARCH("drop",소재DB_RAW!$C$3:$C$2000))))),"")</f>
        <v/>
      </c>
      <c r="Z205" s="26">
        <f>IFERROR(TEXTJOIN(CHAR(10),TRUE,UNIQUE(FILTER(소재DB_RAW!$N$3:$N$2000&amp;") "&amp;소재DB_RAW!$O$3:$O$2000,(소재DB_RAW!$G$3:$G$2000=$D205)*ISNUMBER(SEARCH("안감",소재DB_RAW!$M$3:$M$2000))*ISERROR(SEARCH("drop",소재DB_RAW!$C$3:$C$2000))))),"")</f>
        <v/>
      </c>
      <c r="AA205" s="27" t="n">
        <v>3000</v>
      </c>
      <c r="AB205" s="27" t="n">
        <v>112215000</v>
      </c>
      <c r="AC205" s="27" t="n">
        <v>564000000</v>
      </c>
      <c r="AD205" s="20" t="inlineStr">
        <is>
          <t>3월1주</t>
        </is>
      </c>
      <c r="AE205" s="20">
        <f>IF($K205="","출고일 미정",IF($Q205="X","작지 미발행",IF($Q205="부분","작지 일부 미발행",IF(AND($S205&lt;&gt;"",$S205&gt;$N205),"소재입고 마감("&amp;TEXT($N205,"MM/DD")&amp;") 초과",IF($Q205="","발행여부 확인 필요",IF($S205="","소재 입고일정 확인 필요","정상"))))))</f>
        <v/>
      </c>
      <c r="AF205" s="19">
        <f>IF($K205="","",IF(OR(LEFT($AE205,2)="작지",LEFT($AE205,4)="소재입고"),IF(LEFT($G205,1)="S","★ 납기위험(S코드)","◆ 지연주의"),IF($AE205="정상","✓ 정상","? 확인필요")))</f>
        <v/>
      </c>
      <c r="AG205" s="21" t="n"/>
      <c r="AH205" s="28" t="n"/>
    </row>
    <row r="206">
      <c r="A206" s="19" t="n">
        <v>202</v>
      </c>
      <c r="B206" s="20" t="inlineStr">
        <is>
          <t>정영준</t>
        </is>
      </c>
      <c r="C206" s="20" t="inlineStr">
        <is>
          <t>서은미</t>
        </is>
      </c>
      <c r="D206" s="20" t="inlineStr">
        <is>
          <t>TVPNM27532</t>
        </is>
      </c>
      <c r="E206" s="20" t="inlineStr">
        <is>
          <t>하절 여성 와이드 팬츠</t>
        </is>
      </c>
      <c r="F206" s="20" t="inlineStr">
        <is>
          <t>BLK(BLACK), GBU-3</t>
        </is>
      </c>
      <c r="G206" s="19">
        <f>IF($D206="","",IF(MID($D206,5,1)="S","S(봄)",IF(MID($D206,5,1)="M","M(여름)",IF(MID($D206,5,1)="X","X(사계절)",MID($D206,5,1)))))</f>
        <v/>
      </c>
      <c r="H206" s="20" t="inlineStr">
        <is>
          <t>CMT</t>
        </is>
      </c>
      <c r="I206" s="19" t="inlineStr"/>
      <c r="J206" s="21" t="inlineStr">
        <is>
          <t>3월1주</t>
        </is>
      </c>
      <c r="K206" s="22">
        <f>IF($J206="","",IFERROR(DATE(IF(VALUE(LEFT($J206,FIND("월",$J206)-1))&gt;=9,기준정보!$C$7-1,기준정보!$C$7),VALUE(LEFT($J206,FIND("월",$J206)-1)),1+7*(VALUE(SUBSTITUTE(MID($J206,FIND("월",$J206)+1,5),"주",""))-1)),""))</f>
        <v/>
      </c>
      <c r="L206" s="22">
        <f>IF($K206="","",IF(AND($K206-기준정보!$C$5&gt;=기준정보!$C$10,$K206-기준정보!$C$5&lt;=기준정보!$C$11),기준정보!$C$10-1,$K206-기준정보!$C$5))</f>
        <v/>
      </c>
      <c r="M206" s="23">
        <f>IF($L206="","",IF(OR(ISNUMBER(SEARCH("중국",$W206)),ISNUMBER(SEARCH("베트남",$W206))),MAX(0,MIN($L206,기준정보!$C$9)-MAX($L206-기준정보!$C$6,기준정보!$C$8)+1),IF(ISNUMBER(SEARCH("한국",$W206)),MAX(0,MIN($L206,기준정보!$C$11)-MAX($L206-기준정보!$C$6,기준정보!$C$10)+1),0)))</f>
        <v/>
      </c>
      <c r="N206" s="22">
        <f>IF($L206="","",$L206-기준정보!$C$6-$M206)</f>
        <v/>
      </c>
      <c r="O206" s="24">
        <f>IF($N206="","",$N206-기준정보!$C$4)</f>
        <v/>
      </c>
      <c r="P206" s="21" t="n"/>
      <c r="Q206" s="21" t="inlineStr">
        <is>
          <t>O</t>
        </is>
      </c>
      <c r="R206" s="19">
        <f>IF(COUNTIF(EDW_RAW!$A$2:$A$1500,$D206)=0,"",IF(COUNTIFS(EDW_RAW!$A$2:$A$1500,$D206,EDW_RAW!$U$2:$U$1500,"&lt;&gt;~",EDW_RAW!$U$2:$U$1500,"&lt;&gt;")=COUNTIF(EDW_RAW!$A$2:$A$1500,$D206),"O",IF(COUNTIFS(EDW_RAW!$A$2:$A$1500,$D206,EDW_RAW!$U$2:$U$1500,"&lt;&gt;~",EDW_RAW!$U$2:$U$1500,"&lt;&gt;")&gt;0,"부분","X")))</f>
        <v/>
      </c>
      <c r="S206" s="25" t="n"/>
      <c r="T206" s="20">
        <f>IF($H206="","",IF(AND(ISNUMBER(SEARCH("CMT",$H206)),OR(ISNUMBER(SEARCH("완사입",$H206)),ISNUMBER(SEARCH("ODM",$H206)))),"본사/생산처 혼재",IF(ISNUMBER(SEARCH("CMT",$H206)),"본사(소재팀)","생산처")))</f>
        <v/>
      </c>
      <c r="U206" s="20" t="inlineStr">
        <is>
          <t>TBO</t>
        </is>
      </c>
      <c r="V206" s="20">
        <f>IFERROR(TEXTJOIN(" / ",TRUE,UNIQUE(FILTER(소재DB_RAW!$K$3:$K$2000,(소재DB_RAW!$G$3:$G$2000=$D206)*ISERROR(SEARCH("drop",소재DB_RAW!$C$3:$C$2000))))),"")</f>
        <v/>
      </c>
      <c r="W206" s="20" t="inlineStr">
        <is>
          <t>베트남</t>
        </is>
      </c>
      <c r="X206" s="20">
        <f>IFERROR(TEXTJOIN(" / ",TRUE,UNIQUE(FILTER(소재DB_RAW!$N$3:$N$2000,(소재DB_RAW!$G$3:$G$2000=$D206)*ISERROR(SEARCH("drop",소재DB_RAW!$C$3:$C$2000))))),"")</f>
        <v/>
      </c>
      <c r="Y206" s="26">
        <f>IFERROR(TEXTJOIN(CHAR(10),TRUE,UNIQUE(FILTER(소재DB_RAW!$N$3:$N$2000&amp;") "&amp;소재DB_RAW!$O$3:$O$2000,(소재DB_RAW!$G$3:$G$2000=$D206)*ISNUMBER(SEARCH("겉감",소재DB_RAW!$M$3:$M$2000))*ISERROR(SEARCH("drop",소재DB_RAW!$C$3:$C$2000))))),"")</f>
        <v/>
      </c>
      <c r="Z206" s="26">
        <f>IFERROR(TEXTJOIN(CHAR(10),TRUE,UNIQUE(FILTER(소재DB_RAW!$N$3:$N$2000&amp;") "&amp;소재DB_RAW!$O$3:$O$2000,(소재DB_RAW!$G$3:$G$2000=$D206)*ISNUMBER(SEARCH("안감",소재DB_RAW!$M$3:$M$2000))*ISERROR(SEARCH("drop",소재DB_RAW!$C$3:$C$2000))))),"")</f>
        <v/>
      </c>
      <c r="AA206" s="27" t="n">
        <v>3000</v>
      </c>
      <c r="AB206" s="27" t="n">
        <v>127404000</v>
      </c>
      <c r="AC206" s="27" t="n">
        <v>594000000</v>
      </c>
      <c r="AD206" s="20" t="inlineStr">
        <is>
          <t>3월1주</t>
        </is>
      </c>
      <c r="AE206" s="20">
        <f>IF($K206="","출고일 미정",IF($Q206="X","작지 미발행",IF($Q206="부분","작지 일부 미발행",IF(AND($S206&lt;&gt;"",$S206&gt;$N206),"소재입고 마감("&amp;TEXT($N206,"MM/DD")&amp;") 초과",IF($Q206="","발행여부 확인 필요",IF($S206="","소재 입고일정 확인 필요","정상"))))))</f>
        <v/>
      </c>
      <c r="AF206" s="19">
        <f>IF($K206="","",IF(OR(LEFT($AE206,2)="작지",LEFT($AE206,4)="소재입고"),IF(LEFT($G206,1)="S","★ 납기위험(S코드)","◆ 지연주의"),IF($AE206="정상","✓ 정상","? 확인필요")))</f>
        <v/>
      </c>
      <c r="AG206" s="21" t="n"/>
      <c r="AH206" s="28" t="n"/>
    </row>
    <row r="207">
      <c r="A207" s="19" t="n">
        <v>203</v>
      </c>
      <c r="B207" s="20" t="inlineStr">
        <is>
          <t>정영준</t>
        </is>
      </c>
      <c r="C207" s="20" t="inlineStr">
        <is>
          <t>서은미</t>
        </is>
      </c>
      <c r="D207" s="20" t="inlineStr">
        <is>
          <t>TVPNM27904</t>
        </is>
      </c>
      <c r="E207" s="20" t="inlineStr">
        <is>
          <t>유통특화_하절 여성 쿨맥스 레귤러핏 데님 팬츠</t>
        </is>
      </c>
      <c r="F207" s="20" t="inlineStr">
        <is>
          <t>IND(INDIGO)</t>
        </is>
      </c>
      <c r="G207" s="19">
        <f>IF($D207="","",IF(MID($D207,5,1)="S","S(봄)",IF(MID($D207,5,1)="M","M(여름)",IF(MID($D207,5,1)="X","X(사계절)",MID($D207,5,1)))))</f>
        <v/>
      </c>
      <c r="H207" s="20" t="inlineStr">
        <is>
          <t>완사입</t>
        </is>
      </c>
      <c r="I207" s="19" t="inlineStr"/>
      <c r="J207" s="21" t="inlineStr">
        <is>
          <t>3월1주</t>
        </is>
      </c>
      <c r="K207" s="22">
        <f>IF($J207="","",IFERROR(DATE(IF(VALUE(LEFT($J207,FIND("월",$J207)-1))&gt;=9,기준정보!$C$7-1,기준정보!$C$7),VALUE(LEFT($J207,FIND("월",$J207)-1)),1+7*(VALUE(SUBSTITUTE(MID($J207,FIND("월",$J207)+1,5),"주",""))-1)),""))</f>
        <v/>
      </c>
      <c r="L207" s="22">
        <f>IF($K207="","",IF(AND($K207-기준정보!$C$5&gt;=기준정보!$C$10,$K207-기준정보!$C$5&lt;=기준정보!$C$11),기준정보!$C$10-1,$K207-기준정보!$C$5))</f>
        <v/>
      </c>
      <c r="M207" s="23">
        <f>IF($L207="","",IF(OR(ISNUMBER(SEARCH("중국",$W207)),ISNUMBER(SEARCH("베트남",$W207))),MAX(0,MIN($L207,기준정보!$C$9)-MAX($L207-기준정보!$C$6,기준정보!$C$8)+1),IF(ISNUMBER(SEARCH("한국",$W207)),MAX(0,MIN($L207,기준정보!$C$11)-MAX($L207-기준정보!$C$6,기준정보!$C$10)+1),0)))</f>
        <v/>
      </c>
      <c r="N207" s="22">
        <f>IF($L207="","",$L207-기준정보!$C$6-$M207)</f>
        <v/>
      </c>
      <c r="O207" s="24">
        <f>IF($N207="","",$N207-기준정보!$C$4)</f>
        <v/>
      </c>
      <c r="P207" s="21" t="n"/>
      <c r="Q207" s="21" t="inlineStr">
        <is>
          <t>O</t>
        </is>
      </c>
      <c r="R207" s="19">
        <f>IF(COUNTIF(EDW_RAW!$A$2:$A$1500,$D207)=0,"",IF(COUNTIFS(EDW_RAW!$A$2:$A$1500,$D207,EDW_RAW!$U$2:$U$1500,"&lt;&gt;~",EDW_RAW!$U$2:$U$1500,"&lt;&gt;")=COUNTIF(EDW_RAW!$A$2:$A$1500,$D207),"O",IF(COUNTIFS(EDW_RAW!$A$2:$A$1500,$D207,EDW_RAW!$U$2:$U$1500,"&lt;&gt;~",EDW_RAW!$U$2:$U$1500,"&lt;&gt;")&gt;0,"부분","X")))</f>
        <v/>
      </c>
      <c r="S207" s="25" t="n"/>
      <c r="T207" s="20">
        <f>IF($H207="","",IF(AND(ISNUMBER(SEARCH("CMT",$H207)),OR(ISNUMBER(SEARCH("완사입",$H207)),ISNUMBER(SEARCH("ODM",$H207)))),"본사/생산처 혼재",IF(ISNUMBER(SEARCH("CMT",$H207)),"본사(소재팀)","생산처")))</f>
        <v/>
      </c>
      <c r="U207" s="20" t="inlineStr">
        <is>
          <t>스코브</t>
        </is>
      </c>
      <c r="V207" s="20">
        <f>IFERROR(TEXTJOIN(" / ",TRUE,UNIQUE(FILTER(소재DB_RAW!$K$3:$K$2000,(소재DB_RAW!$G$3:$G$2000=$D207)*ISERROR(SEARCH("drop",소재DB_RAW!$C$3:$C$2000))))),"")</f>
        <v/>
      </c>
      <c r="W207" s="20" t="inlineStr">
        <is>
          <t>베트남</t>
        </is>
      </c>
      <c r="X207" s="20">
        <f>IFERROR(TEXTJOIN(" / ",TRUE,UNIQUE(FILTER(소재DB_RAW!$N$3:$N$2000,(소재DB_RAW!$G$3:$G$2000=$D207)*ISERROR(SEARCH("drop",소재DB_RAW!$C$3:$C$2000))))),"")</f>
        <v/>
      </c>
      <c r="Y207" s="26">
        <f>IFERROR(TEXTJOIN(CHAR(10),TRUE,UNIQUE(FILTER(소재DB_RAW!$N$3:$N$2000&amp;") "&amp;소재DB_RAW!$O$3:$O$2000,(소재DB_RAW!$G$3:$G$2000=$D207)*ISNUMBER(SEARCH("겉감",소재DB_RAW!$M$3:$M$2000))*ISERROR(SEARCH("drop",소재DB_RAW!$C$3:$C$2000))))),"")</f>
        <v/>
      </c>
      <c r="Z207" s="26">
        <f>IFERROR(TEXTJOIN(CHAR(10),TRUE,UNIQUE(FILTER(소재DB_RAW!$N$3:$N$2000&amp;") "&amp;소재DB_RAW!$O$3:$O$2000,(소재DB_RAW!$G$3:$G$2000=$D207)*ISNUMBER(SEARCH("안감",소재DB_RAW!$M$3:$M$2000))*ISERROR(SEARCH("drop",소재DB_RAW!$C$3:$C$2000))))),"")</f>
        <v/>
      </c>
      <c r="AA207" s="27" t="n">
        <v>1200</v>
      </c>
      <c r="AB207" s="27" t="n">
        <v>36000000</v>
      </c>
      <c r="AC207" s="27" t="n">
        <v>213600000</v>
      </c>
      <c r="AD207" s="20" t="inlineStr">
        <is>
          <t>3월1주</t>
        </is>
      </c>
      <c r="AE207" s="20">
        <f>IF($K207="","출고일 미정",IF($Q207="X","작지 미발행",IF($Q207="부분","작지 일부 미발행",IF(AND($S207&lt;&gt;"",$S207&gt;$N207),"소재입고 마감("&amp;TEXT($N207,"MM/DD")&amp;") 초과",IF($Q207="","발행여부 확인 필요",IF($S207="","소재 입고일정 확인 필요","정상"))))))</f>
        <v/>
      </c>
      <c r="AF207" s="19">
        <f>IF($K207="","",IF(OR(LEFT($AE207,2)="작지",LEFT($AE207,4)="소재입고"),IF(LEFT($G207,1)="S","★ 납기위험(S코드)","◆ 지연주의"),IF($AE207="정상","✓ 정상","? 확인필요")))</f>
        <v/>
      </c>
      <c r="AG207" s="21" t="n"/>
      <c r="AH207" s="28" t="n"/>
    </row>
    <row r="208">
      <c r="A208" s="19" t="n">
        <v>204</v>
      </c>
      <c r="B208" s="20" t="inlineStr">
        <is>
          <t>박술홍</t>
        </is>
      </c>
      <c r="C208" s="20" t="inlineStr">
        <is>
          <t>김지원</t>
        </is>
      </c>
      <c r="D208" s="20" t="inlineStr">
        <is>
          <t>TVPOM27732</t>
        </is>
      </c>
      <c r="E208" s="20" t="inlineStr">
        <is>
          <t>여성 트레일러닝 초경량 스플릿 3부 팬츠</t>
        </is>
      </c>
      <c r="F208" s="20" t="inlineStr">
        <is>
          <t>BLK(BLACK)</t>
        </is>
      </c>
      <c r="G208" s="19">
        <f>IF($D208="","",IF(MID($D208,5,1)="S","S(봄)",IF(MID($D208,5,1)="M","M(여름)",IF(MID($D208,5,1)="X","X(사계절)",MID($D208,5,1)))))</f>
        <v/>
      </c>
      <c r="H208" s="20" t="inlineStr">
        <is>
          <t>완사입</t>
        </is>
      </c>
      <c r="I208" s="19" t="inlineStr">
        <is>
          <t>SM1</t>
        </is>
      </c>
      <c r="J208" s="21" t="inlineStr">
        <is>
          <t>3월1주</t>
        </is>
      </c>
      <c r="K208" s="22">
        <f>IF($J208="","",IFERROR(DATE(IF(VALUE(LEFT($J208,FIND("월",$J208)-1))&gt;=9,기준정보!$C$7-1,기준정보!$C$7),VALUE(LEFT($J208,FIND("월",$J208)-1)),1+7*(VALUE(SUBSTITUTE(MID($J208,FIND("월",$J208)+1,5),"주",""))-1)),""))</f>
        <v/>
      </c>
      <c r="L208" s="22">
        <f>IF($K208="","",IF(AND($K208-기준정보!$C$5&gt;=기준정보!$C$10,$K208-기준정보!$C$5&lt;=기준정보!$C$11),기준정보!$C$10-1,$K208-기준정보!$C$5))</f>
        <v/>
      </c>
      <c r="M208" s="23">
        <f>IF($L208="","",IF(OR(ISNUMBER(SEARCH("중국",$W208)),ISNUMBER(SEARCH("베트남",$W208))),MAX(0,MIN($L208,기준정보!$C$9)-MAX($L208-기준정보!$C$6,기준정보!$C$8)+1),IF(ISNUMBER(SEARCH("한국",$W208)),MAX(0,MIN($L208,기준정보!$C$11)-MAX($L208-기준정보!$C$6,기준정보!$C$10)+1),0)))</f>
        <v/>
      </c>
      <c r="N208" s="22">
        <f>IF($L208="","",$L208-기준정보!$C$6-$M208)</f>
        <v/>
      </c>
      <c r="O208" s="24">
        <f>IF($N208="","",$N208-기준정보!$C$4)</f>
        <v/>
      </c>
      <c r="P208" s="21" t="n"/>
      <c r="Q208" s="21" t="inlineStr">
        <is>
          <t>O</t>
        </is>
      </c>
      <c r="R208" s="19">
        <f>IF(COUNTIF(EDW_RAW!$A$2:$A$1500,$D208)=0,"",IF(COUNTIFS(EDW_RAW!$A$2:$A$1500,$D208,EDW_RAW!$U$2:$U$1500,"&lt;&gt;~",EDW_RAW!$U$2:$U$1500,"&lt;&gt;")=COUNTIF(EDW_RAW!$A$2:$A$1500,$D208),"O",IF(COUNTIFS(EDW_RAW!$A$2:$A$1500,$D208,EDW_RAW!$U$2:$U$1500,"&lt;&gt;~",EDW_RAW!$U$2:$U$1500,"&lt;&gt;")&gt;0,"부분","X")))</f>
        <v/>
      </c>
      <c r="S208" s="25" t="n"/>
      <c r="T208" s="20">
        <f>IF($H208="","",IF(AND(ISNUMBER(SEARCH("CMT",$H208)),OR(ISNUMBER(SEARCH("완사입",$H208)),ISNUMBER(SEARCH("ODM",$H208)))),"본사/생산처 혼재",IF(ISNUMBER(SEARCH("CMT",$H208)),"본사(소재팀)","생산처")))</f>
        <v/>
      </c>
      <c r="U208" s="20" t="inlineStr">
        <is>
          <t>YIC</t>
        </is>
      </c>
      <c r="V208" s="20">
        <f>IFERROR(TEXTJOIN(" / ",TRUE,UNIQUE(FILTER(소재DB_RAW!$K$3:$K$2000,(소재DB_RAW!$G$3:$G$2000=$D208)*ISERROR(SEARCH("drop",소재DB_RAW!$C$3:$C$2000))))),"")</f>
        <v/>
      </c>
      <c r="W208" s="20" t="inlineStr">
        <is>
          <t>베트남</t>
        </is>
      </c>
      <c r="X208" s="20">
        <f>IFERROR(TEXTJOIN(" / ",TRUE,UNIQUE(FILTER(소재DB_RAW!$N$3:$N$2000,(소재DB_RAW!$G$3:$G$2000=$D208)*ISERROR(SEARCH("drop",소재DB_RAW!$C$3:$C$2000))))),"")</f>
        <v/>
      </c>
      <c r="Y208" s="26">
        <f>IFERROR(TEXTJOIN(CHAR(10),TRUE,UNIQUE(FILTER(소재DB_RAW!$N$3:$N$2000&amp;") "&amp;소재DB_RAW!$O$3:$O$2000,(소재DB_RAW!$G$3:$G$2000=$D208)*ISNUMBER(SEARCH("겉감",소재DB_RAW!$M$3:$M$2000))*ISERROR(SEARCH("drop",소재DB_RAW!$C$3:$C$2000))))),"")</f>
        <v/>
      </c>
      <c r="Z208" s="26">
        <f>IFERROR(TEXTJOIN(CHAR(10),TRUE,UNIQUE(FILTER(소재DB_RAW!$N$3:$N$2000&amp;") "&amp;소재DB_RAW!$O$3:$O$2000,(소재DB_RAW!$G$3:$G$2000=$D208)*ISNUMBER(SEARCH("안감",소재DB_RAW!$M$3:$M$2000))*ISERROR(SEARCH("drop",소재DB_RAW!$C$3:$C$2000))))),"")</f>
        <v/>
      </c>
      <c r="AA208" s="27" t="n">
        <v>500</v>
      </c>
      <c r="AB208" s="27" t="n">
        <v>13550000</v>
      </c>
      <c r="AC208" s="27" t="n">
        <v>59000000</v>
      </c>
      <c r="AD208" s="20" t="n"/>
      <c r="AE208" s="20">
        <f>IF($K208="","출고일 미정",IF($Q208="X","작지 미발행",IF($Q208="부분","작지 일부 미발행",IF(AND($S208&lt;&gt;"",$S208&gt;$N208),"소재입고 마감("&amp;TEXT($N208,"MM/DD")&amp;") 초과",IF($Q208="","발행여부 확인 필요",IF($S208="","소재 입고일정 확인 필요","정상"))))))</f>
        <v/>
      </c>
      <c r="AF208" s="19">
        <f>IF($K208="","",IF(OR(LEFT($AE208,2)="작지",LEFT($AE208,4)="소재입고"),IF(LEFT($G208,1)="S","★ 납기위험(S코드)","◆ 지연주의"),IF($AE208="정상","✓ 정상","? 확인필요")))</f>
        <v/>
      </c>
      <c r="AG208" s="21" t="n"/>
      <c r="AH208" s="28" t="n"/>
    </row>
    <row r="209">
      <c r="A209" s="19" t="n">
        <v>205</v>
      </c>
      <c r="B209" s="20" t="inlineStr">
        <is>
          <t>박술홍</t>
        </is>
      </c>
      <c r="C209" s="20" t="inlineStr">
        <is>
          <t>김지원</t>
        </is>
      </c>
      <c r="D209" s="20" t="inlineStr">
        <is>
          <t>TVPOM27734</t>
        </is>
      </c>
      <c r="E209" s="20" t="inlineStr">
        <is>
          <t>여성 트레일러닝 트레일 2in1 스토리지 4부 팬츠</t>
        </is>
      </c>
      <c r="F209" s="20" t="inlineStr">
        <is>
          <t>LSE</t>
        </is>
      </c>
      <c r="G209" s="19">
        <f>IF($D209="","",IF(MID($D209,5,1)="S","S(봄)",IF(MID($D209,5,1)="M","M(여름)",IF(MID($D209,5,1)="X","X(사계절)",MID($D209,5,1)))))</f>
        <v/>
      </c>
      <c r="H209" s="20" t="inlineStr">
        <is>
          <t>완사입</t>
        </is>
      </c>
      <c r="I209" s="19" t="inlineStr">
        <is>
          <t>SM1</t>
        </is>
      </c>
      <c r="J209" s="21" t="inlineStr">
        <is>
          <t>3월1주</t>
        </is>
      </c>
      <c r="K209" s="22">
        <f>IF($J209="","",IFERROR(DATE(IF(VALUE(LEFT($J209,FIND("월",$J209)-1))&gt;=9,기준정보!$C$7-1,기준정보!$C$7),VALUE(LEFT($J209,FIND("월",$J209)-1)),1+7*(VALUE(SUBSTITUTE(MID($J209,FIND("월",$J209)+1,5),"주",""))-1)),""))</f>
        <v/>
      </c>
      <c r="L209" s="22">
        <f>IF($K209="","",IF(AND($K209-기준정보!$C$5&gt;=기준정보!$C$10,$K209-기준정보!$C$5&lt;=기준정보!$C$11),기준정보!$C$10-1,$K209-기준정보!$C$5))</f>
        <v/>
      </c>
      <c r="M209" s="23">
        <f>IF($L209="","",IF(OR(ISNUMBER(SEARCH("중국",$W209)),ISNUMBER(SEARCH("베트남",$W209))),MAX(0,MIN($L209,기준정보!$C$9)-MAX($L209-기준정보!$C$6,기준정보!$C$8)+1),IF(ISNUMBER(SEARCH("한국",$W209)),MAX(0,MIN($L209,기준정보!$C$11)-MAX($L209-기준정보!$C$6,기준정보!$C$10)+1),0)))</f>
        <v/>
      </c>
      <c r="N209" s="22">
        <f>IF($L209="","",$L209-기준정보!$C$6-$M209)</f>
        <v/>
      </c>
      <c r="O209" s="24">
        <f>IF($N209="","",$N209-기준정보!$C$4)</f>
        <v/>
      </c>
      <c r="P209" s="21" t="n"/>
      <c r="Q209" s="21" t="inlineStr">
        <is>
          <t>O</t>
        </is>
      </c>
      <c r="R209" s="19">
        <f>IF(COUNTIF(EDW_RAW!$A$2:$A$1500,$D209)=0,"",IF(COUNTIFS(EDW_RAW!$A$2:$A$1500,$D209,EDW_RAW!$U$2:$U$1500,"&lt;&gt;~",EDW_RAW!$U$2:$U$1500,"&lt;&gt;")=COUNTIF(EDW_RAW!$A$2:$A$1500,$D209),"O",IF(COUNTIFS(EDW_RAW!$A$2:$A$1500,$D209,EDW_RAW!$U$2:$U$1500,"&lt;&gt;~",EDW_RAW!$U$2:$U$1500,"&lt;&gt;")&gt;0,"부분","X")))</f>
        <v/>
      </c>
      <c r="S209" s="25" t="n"/>
      <c r="T209" s="20">
        <f>IF($H209="","",IF(AND(ISNUMBER(SEARCH("CMT",$H209)),OR(ISNUMBER(SEARCH("완사입",$H209)),ISNUMBER(SEARCH("ODM",$H209)))),"본사/생산처 혼재",IF(ISNUMBER(SEARCH("CMT",$H209)),"본사(소재팀)","생산처")))</f>
        <v/>
      </c>
      <c r="U209" s="20" t="inlineStr">
        <is>
          <t>YIC</t>
        </is>
      </c>
      <c r="V209" s="20">
        <f>IFERROR(TEXTJOIN(" / ",TRUE,UNIQUE(FILTER(소재DB_RAW!$K$3:$K$2000,(소재DB_RAW!$G$3:$G$2000=$D209)*ISERROR(SEARCH("drop",소재DB_RAW!$C$3:$C$2000))))),"")</f>
        <v/>
      </c>
      <c r="W209" s="20" t="inlineStr">
        <is>
          <t>베트남</t>
        </is>
      </c>
      <c r="X209" s="20">
        <f>IFERROR(TEXTJOIN(" / ",TRUE,UNIQUE(FILTER(소재DB_RAW!$N$3:$N$2000,(소재DB_RAW!$G$3:$G$2000=$D209)*ISERROR(SEARCH("drop",소재DB_RAW!$C$3:$C$2000))))),"")</f>
        <v/>
      </c>
      <c r="Y209" s="26">
        <f>IFERROR(TEXTJOIN(CHAR(10),TRUE,UNIQUE(FILTER(소재DB_RAW!$N$3:$N$2000&amp;") "&amp;소재DB_RAW!$O$3:$O$2000,(소재DB_RAW!$G$3:$G$2000=$D209)*ISNUMBER(SEARCH("겉감",소재DB_RAW!$M$3:$M$2000))*ISERROR(SEARCH("drop",소재DB_RAW!$C$3:$C$2000))))),"")</f>
        <v/>
      </c>
      <c r="Z209" s="26">
        <f>IFERROR(TEXTJOIN(CHAR(10),TRUE,UNIQUE(FILTER(소재DB_RAW!$N$3:$N$2000&amp;") "&amp;소재DB_RAW!$O$3:$O$2000,(소재DB_RAW!$G$3:$G$2000=$D209)*ISNUMBER(SEARCH("안감",소재DB_RAW!$M$3:$M$2000))*ISERROR(SEARCH("drop",소재DB_RAW!$C$3:$C$2000))))),"")</f>
        <v/>
      </c>
      <c r="AA209" s="27" t="n">
        <v>500</v>
      </c>
      <c r="AB209" s="27" t="n">
        <v>18200000</v>
      </c>
      <c r="AC209" s="27" t="n">
        <v>69000000</v>
      </c>
      <c r="AD209" s="20" t="n"/>
      <c r="AE209" s="20">
        <f>IF($K209="","출고일 미정",IF($Q209="X","작지 미발행",IF($Q209="부분","작지 일부 미발행",IF(AND($S209&lt;&gt;"",$S209&gt;$N209),"소재입고 마감("&amp;TEXT($N209,"MM/DD")&amp;") 초과",IF($Q209="","발행여부 확인 필요",IF($S209="","소재 입고일정 확인 필요","정상"))))))</f>
        <v/>
      </c>
      <c r="AF209" s="19">
        <f>IF($K209="","",IF(OR(LEFT($AE209,2)="작지",LEFT($AE209,4)="소재입고"),IF(LEFT($G209,1)="S","★ 납기위험(S코드)","◆ 지연주의"),IF($AE209="정상","✓ 정상","? 확인필요")))</f>
        <v/>
      </c>
      <c r="AG209" s="21" t="n"/>
      <c r="AH209" s="28" t="n"/>
    </row>
    <row r="210">
      <c r="A210" s="19" t="n">
        <v>206</v>
      </c>
      <c r="B210" s="20" t="inlineStr">
        <is>
          <t>박술홍</t>
        </is>
      </c>
      <c r="C210" s="20" t="inlineStr">
        <is>
          <t>김지원</t>
        </is>
      </c>
      <c r="D210" s="20" t="inlineStr">
        <is>
          <t>TVPOM27736</t>
        </is>
      </c>
      <c r="E210" s="20" t="inlineStr">
        <is>
          <t>여성 트레일러닝 트레일 스토리지 4부 타이즈</t>
        </is>
      </c>
      <c r="F210" s="20" t="inlineStr">
        <is>
          <t>LSE</t>
        </is>
      </c>
      <c r="G210" s="19">
        <f>IF($D210="","",IF(MID($D210,5,1)="S","S(봄)",IF(MID($D210,5,1)="M","M(여름)",IF(MID($D210,5,1)="X","X(사계절)",MID($D210,5,1)))))</f>
        <v/>
      </c>
      <c r="H210" s="20" t="inlineStr">
        <is>
          <t>완사입</t>
        </is>
      </c>
      <c r="I210" s="19" t="inlineStr">
        <is>
          <t>SM1</t>
        </is>
      </c>
      <c r="J210" s="21" t="inlineStr">
        <is>
          <t>3월1주</t>
        </is>
      </c>
      <c r="K210" s="22">
        <f>IF($J210="","",IFERROR(DATE(IF(VALUE(LEFT($J210,FIND("월",$J210)-1))&gt;=9,기준정보!$C$7-1,기준정보!$C$7),VALUE(LEFT($J210,FIND("월",$J210)-1)),1+7*(VALUE(SUBSTITUTE(MID($J210,FIND("월",$J210)+1,5),"주",""))-1)),""))</f>
        <v/>
      </c>
      <c r="L210" s="22">
        <f>IF($K210="","",IF(AND($K210-기준정보!$C$5&gt;=기준정보!$C$10,$K210-기준정보!$C$5&lt;=기준정보!$C$11),기준정보!$C$10-1,$K210-기준정보!$C$5))</f>
        <v/>
      </c>
      <c r="M210" s="23">
        <f>IF($L210="","",IF(OR(ISNUMBER(SEARCH("중국",$W210)),ISNUMBER(SEARCH("베트남",$W210))),MAX(0,MIN($L210,기준정보!$C$9)-MAX($L210-기준정보!$C$6,기준정보!$C$8)+1),IF(ISNUMBER(SEARCH("한국",$W210)),MAX(0,MIN($L210,기준정보!$C$11)-MAX($L210-기준정보!$C$6,기준정보!$C$10)+1),0)))</f>
        <v/>
      </c>
      <c r="N210" s="22">
        <f>IF($L210="","",$L210-기준정보!$C$6-$M210)</f>
        <v/>
      </c>
      <c r="O210" s="24">
        <f>IF($N210="","",$N210-기준정보!$C$4)</f>
        <v/>
      </c>
      <c r="P210" s="21" t="n"/>
      <c r="Q210" s="21" t="inlineStr">
        <is>
          <t>O</t>
        </is>
      </c>
      <c r="R210" s="19">
        <f>IF(COUNTIF(EDW_RAW!$A$2:$A$1500,$D210)=0,"",IF(COUNTIFS(EDW_RAW!$A$2:$A$1500,$D210,EDW_RAW!$U$2:$U$1500,"&lt;&gt;~",EDW_RAW!$U$2:$U$1500,"&lt;&gt;")=COUNTIF(EDW_RAW!$A$2:$A$1500,$D210),"O",IF(COUNTIFS(EDW_RAW!$A$2:$A$1500,$D210,EDW_RAW!$U$2:$U$1500,"&lt;&gt;~",EDW_RAW!$U$2:$U$1500,"&lt;&gt;")&gt;0,"부분","X")))</f>
        <v/>
      </c>
      <c r="S210" s="25" t="n"/>
      <c r="T210" s="20">
        <f>IF($H210="","",IF(AND(ISNUMBER(SEARCH("CMT",$H210)),OR(ISNUMBER(SEARCH("완사입",$H210)),ISNUMBER(SEARCH("ODM",$H210)))),"본사/생산처 혼재",IF(ISNUMBER(SEARCH("CMT",$H210)),"본사(소재팀)","생산처")))</f>
        <v/>
      </c>
      <c r="U210" s="20" t="inlineStr">
        <is>
          <t>IKG</t>
        </is>
      </c>
      <c r="V210" s="20">
        <f>IFERROR(TEXTJOIN(" / ",TRUE,UNIQUE(FILTER(소재DB_RAW!$K$3:$K$2000,(소재DB_RAW!$G$3:$G$2000=$D210)*ISERROR(SEARCH("drop",소재DB_RAW!$C$3:$C$2000))))),"")</f>
        <v/>
      </c>
      <c r="W210" s="20" t="inlineStr">
        <is>
          <t>베트남</t>
        </is>
      </c>
      <c r="X210" s="20">
        <f>IFERROR(TEXTJOIN(" / ",TRUE,UNIQUE(FILTER(소재DB_RAW!$N$3:$N$2000,(소재DB_RAW!$G$3:$G$2000=$D210)*ISERROR(SEARCH("drop",소재DB_RAW!$C$3:$C$2000))))),"")</f>
        <v/>
      </c>
      <c r="Y210" s="26">
        <f>IFERROR(TEXTJOIN(CHAR(10),TRUE,UNIQUE(FILTER(소재DB_RAW!$N$3:$N$2000&amp;") "&amp;소재DB_RAW!$O$3:$O$2000,(소재DB_RAW!$G$3:$G$2000=$D210)*ISNUMBER(SEARCH("겉감",소재DB_RAW!$M$3:$M$2000))*ISERROR(SEARCH("drop",소재DB_RAW!$C$3:$C$2000))))),"")</f>
        <v/>
      </c>
      <c r="Z210" s="26">
        <f>IFERROR(TEXTJOIN(CHAR(10),TRUE,UNIQUE(FILTER(소재DB_RAW!$N$3:$N$2000&amp;") "&amp;소재DB_RAW!$O$3:$O$2000,(소재DB_RAW!$G$3:$G$2000=$D210)*ISNUMBER(SEARCH("안감",소재DB_RAW!$M$3:$M$2000))*ISERROR(SEARCH("drop",소재DB_RAW!$C$3:$C$2000))))),"")</f>
        <v/>
      </c>
      <c r="AA210" s="27" t="n">
        <v>250</v>
      </c>
      <c r="AB210" s="27" t="n">
        <v>6420750</v>
      </c>
      <c r="AC210" s="27" t="n">
        <v>29500000</v>
      </c>
      <c r="AD210" s="20" t="n"/>
      <c r="AE210" s="20">
        <f>IF($K210="","출고일 미정",IF($Q210="X","작지 미발행",IF($Q210="부분","작지 일부 미발행",IF(AND($S210&lt;&gt;"",$S210&gt;$N210),"소재입고 마감("&amp;TEXT($N210,"MM/DD")&amp;") 초과",IF($Q210="","발행여부 확인 필요",IF($S210="","소재 입고일정 확인 필요","정상"))))))</f>
        <v/>
      </c>
      <c r="AF210" s="19">
        <f>IF($K210="","",IF(OR(LEFT($AE210,2)="작지",LEFT($AE210,4)="소재입고"),IF(LEFT($G210,1)="S","★ 납기위험(S코드)","◆ 지연주의"),IF($AE210="정상","✓ 정상","? 확인필요")))</f>
        <v/>
      </c>
      <c r="AG210" s="21" t="n"/>
      <c r="AH210" s="28" t="n"/>
    </row>
    <row r="211">
      <c r="A211" s="19" t="n">
        <v>207</v>
      </c>
      <c r="B211" s="20" t="inlineStr">
        <is>
          <t>김준래</t>
        </is>
      </c>
      <c r="C211" s="20" t="inlineStr">
        <is>
          <t>서은미</t>
        </is>
      </c>
      <c r="D211" s="20" t="inlineStr">
        <is>
          <t>TVSXM27592</t>
        </is>
      </c>
      <c r="E211" s="20" t="inlineStr">
        <is>
          <t>하절 여성 에어리 긴팔 셔츠</t>
        </is>
      </c>
      <c r="F211" s="20" t="inlineStr">
        <is>
          <t>PYL, LGI(L/GREIGE)</t>
        </is>
      </c>
      <c r="G211" s="19">
        <f>IF($D211="","",IF(MID($D211,5,1)="S","S(봄)",IF(MID($D211,5,1)="M","M(여름)",IF(MID($D211,5,1)="X","X(사계절)",MID($D211,5,1)))))</f>
        <v/>
      </c>
      <c r="H211" s="20" t="inlineStr">
        <is>
          <t>완사입</t>
        </is>
      </c>
      <c r="I211" s="19" t="inlineStr"/>
      <c r="J211" s="21" t="inlineStr">
        <is>
          <t>3월1주</t>
        </is>
      </c>
      <c r="K211" s="22">
        <f>IF($J211="","",IFERROR(DATE(IF(VALUE(LEFT($J211,FIND("월",$J211)-1))&gt;=9,기준정보!$C$7-1,기준정보!$C$7),VALUE(LEFT($J211,FIND("월",$J211)-1)),1+7*(VALUE(SUBSTITUTE(MID($J211,FIND("월",$J211)+1,5),"주",""))-1)),""))</f>
        <v/>
      </c>
      <c r="L211" s="22">
        <f>IF($K211="","",IF(AND($K211-기준정보!$C$5&gt;=기준정보!$C$10,$K211-기준정보!$C$5&lt;=기준정보!$C$11),기준정보!$C$10-1,$K211-기준정보!$C$5))</f>
        <v/>
      </c>
      <c r="M211" s="23">
        <f>IF($L211="","",IF(OR(ISNUMBER(SEARCH("중국",$W211)),ISNUMBER(SEARCH("베트남",$W211))),MAX(0,MIN($L211,기준정보!$C$9)-MAX($L211-기준정보!$C$6,기준정보!$C$8)+1),IF(ISNUMBER(SEARCH("한국",$W211)),MAX(0,MIN($L211,기준정보!$C$11)-MAX($L211-기준정보!$C$6,기준정보!$C$10)+1),0)))</f>
        <v/>
      </c>
      <c r="N211" s="22">
        <f>IF($L211="","",$L211-기준정보!$C$6-$M211)</f>
        <v/>
      </c>
      <c r="O211" s="24">
        <f>IF($N211="","",$N211-기준정보!$C$4)</f>
        <v/>
      </c>
      <c r="P211" s="21" t="n"/>
      <c r="Q211" s="21" t="inlineStr">
        <is>
          <t>O</t>
        </is>
      </c>
      <c r="R211" s="19">
        <f>IF(COUNTIF(EDW_RAW!$A$2:$A$1500,$D211)=0,"",IF(COUNTIFS(EDW_RAW!$A$2:$A$1500,$D211,EDW_RAW!$U$2:$U$1500,"&lt;&gt;~",EDW_RAW!$U$2:$U$1500,"&lt;&gt;")=COUNTIF(EDW_RAW!$A$2:$A$1500,$D211),"O",IF(COUNTIFS(EDW_RAW!$A$2:$A$1500,$D211,EDW_RAW!$U$2:$U$1500,"&lt;&gt;~",EDW_RAW!$U$2:$U$1500,"&lt;&gt;")&gt;0,"부분","X")))</f>
        <v/>
      </c>
      <c r="S211" s="25" t="n"/>
      <c r="T211" s="20">
        <f>IF($H211="","",IF(AND(ISNUMBER(SEARCH("CMT",$H211)),OR(ISNUMBER(SEARCH("완사입",$H211)),ISNUMBER(SEARCH("ODM",$H211)))),"본사/생산처 혼재",IF(ISNUMBER(SEARCH("CMT",$H211)),"본사(소재팀)","생산처")))</f>
        <v/>
      </c>
      <c r="U211" s="20" t="inlineStr">
        <is>
          <t>성원</t>
        </is>
      </c>
      <c r="V211" s="20">
        <f>IFERROR(TEXTJOIN(" / ",TRUE,UNIQUE(FILTER(소재DB_RAW!$K$3:$K$2000,(소재DB_RAW!$G$3:$G$2000=$D211)*ISERROR(SEARCH("drop",소재DB_RAW!$C$3:$C$2000))))),"")</f>
        <v/>
      </c>
      <c r="W211" s="20" t="inlineStr">
        <is>
          <t>베트남</t>
        </is>
      </c>
      <c r="X211" s="20">
        <f>IFERROR(TEXTJOIN(" / ",TRUE,UNIQUE(FILTER(소재DB_RAW!$N$3:$N$2000,(소재DB_RAW!$G$3:$G$2000=$D211)*ISERROR(SEARCH("drop",소재DB_RAW!$C$3:$C$2000))))),"")</f>
        <v/>
      </c>
      <c r="Y211" s="26">
        <f>IFERROR(TEXTJOIN(CHAR(10),TRUE,UNIQUE(FILTER(소재DB_RAW!$N$3:$N$2000&amp;") "&amp;소재DB_RAW!$O$3:$O$2000,(소재DB_RAW!$G$3:$G$2000=$D211)*ISNUMBER(SEARCH("겉감",소재DB_RAW!$M$3:$M$2000))*ISERROR(SEARCH("drop",소재DB_RAW!$C$3:$C$2000))))),"")</f>
        <v/>
      </c>
      <c r="Z211" s="26">
        <f>IFERROR(TEXTJOIN(CHAR(10),TRUE,UNIQUE(FILTER(소재DB_RAW!$N$3:$N$2000&amp;") "&amp;소재DB_RAW!$O$3:$O$2000,(소재DB_RAW!$G$3:$G$2000=$D211)*ISNUMBER(SEARCH("안감",소재DB_RAW!$M$3:$M$2000))*ISERROR(SEARCH("drop",소재DB_RAW!$C$3:$C$2000))))),"")</f>
        <v/>
      </c>
      <c r="AA211" s="27" t="n">
        <v>3000</v>
      </c>
      <c r="AB211" s="27" t="n">
        <v>114000000</v>
      </c>
      <c r="AC211" s="27" t="n">
        <v>504000000</v>
      </c>
      <c r="AD211" s="20" t="inlineStr">
        <is>
          <t>3월1주</t>
        </is>
      </c>
      <c r="AE211" s="20">
        <f>IF($K211="","출고일 미정",IF($Q211="X","작지 미발행",IF($Q211="부분","작지 일부 미발행",IF(AND($S211&lt;&gt;"",$S211&gt;$N211),"소재입고 마감("&amp;TEXT($N211,"MM/DD")&amp;") 초과",IF($Q211="","발행여부 확인 필요",IF($S211="","소재 입고일정 확인 필요","정상"))))))</f>
        <v/>
      </c>
      <c r="AF211" s="19">
        <f>IF($K211="","",IF(OR(LEFT($AE211,2)="작지",LEFT($AE211,4)="소재입고"),IF(LEFT($G211,1)="S","★ 납기위험(S코드)","◆ 지연주의"),IF($AE211="정상","✓ 정상","? 확인필요")))</f>
        <v/>
      </c>
      <c r="AG211" s="21" t="n"/>
      <c r="AH211" s="28" t="n"/>
    </row>
    <row r="212">
      <c r="A212" s="19" t="n">
        <v>208</v>
      </c>
      <c r="B212" s="20" t="inlineStr">
        <is>
          <t>박술홍</t>
        </is>
      </c>
      <c r="C212" s="20" t="inlineStr">
        <is>
          <t>김지원</t>
        </is>
      </c>
      <c r="D212" s="20" t="inlineStr">
        <is>
          <t>TVTCM27712</t>
        </is>
      </c>
      <c r="E212" s="20" t="inlineStr">
        <is>
          <t>여성 트레일러닝 흡습속건 라운드 반팔 티셔츠</t>
        </is>
      </c>
      <c r="F212" s="20" t="inlineStr">
        <is>
          <t>BLK(BLACK), DGY(D/GRAY)</t>
        </is>
      </c>
      <c r="G212" s="19">
        <f>IF($D212="","",IF(MID($D212,5,1)="S","S(봄)",IF(MID($D212,5,1)="M","M(여름)",IF(MID($D212,5,1)="X","X(사계절)",MID($D212,5,1)))))</f>
        <v/>
      </c>
      <c r="H212" s="20" t="inlineStr">
        <is>
          <t>완사입</t>
        </is>
      </c>
      <c r="I212" s="19" t="inlineStr">
        <is>
          <t>SM1</t>
        </is>
      </c>
      <c r="J212" s="21" t="inlineStr">
        <is>
          <t>3월1주</t>
        </is>
      </c>
      <c r="K212" s="22">
        <f>IF($J212="","",IFERROR(DATE(IF(VALUE(LEFT($J212,FIND("월",$J212)-1))&gt;=9,기준정보!$C$7-1,기준정보!$C$7),VALUE(LEFT($J212,FIND("월",$J212)-1)),1+7*(VALUE(SUBSTITUTE(MID($J212,FIND("월",$J212)+1,5),"주",""))-1)),""))</f>
        <v/>
      </c>
      <c r="L212" s="22">
        <f>IF($K212="","",IF(AND($K212-기준정보!$C$5&gt;=기준정보!$C$10,$K212-기준정보!$C$5&lt;=기준정보!$C$11),기준정보!$C$10-1,$K212-기준정보!$C$5))</f>
        <v/>
      </c>
      <c r="M212" s="23">
        <f>IF($L212="","",IF(OR(ISNUMBER(SEARCH("중국",$W212)),ISNUMBER(SEARCH("베트남",$W212))),MAX(0,MIN($L212,기준정보!$C$9)-MAX($L212-기준정보!$C$6,기준정보!$C$8)+1),IF(ISNUMBER(SEARCH("한국",$W212)),MAX(0,MIN($L212,기준정보!$C$11)-MAX($L212-기준정보!$C$6,기준정보!$C$10)+1),0)))</f>
        <v/>
      </c>
      <c r="N212" s="22">
        <f>IF($L212="","",$L212-기준정보!$C$6-$M212)</f>
        <v/>
      </c>
      <c r="O212" s="24">
        <f>IF($N212="","",$N212-기준정보!$C$4)</f>
        <v/>
      </c>
      <c r="P212" s="21" t="n"/>
      <c r="Q212" s="21" t="inlineStr">
        <is>
          <t>O</t>
        </is>
      </c>
      <c r="R212" s="19">
        <f>IF(COUNTIF(EDW_RAW!$A$2:$A$1500,$D212)=0,"",IF(COUNTIFS(EDW_RAW!$A$2:$A$1500,$D212,EDW_RAW!$U$2:$U$1500,"&lt;&gt;~",EDW_RAW!$U$2:$U$1500,"&lt;&gt;")=COUNTIF(EDW_RAW!$A$2:$A$1500,$D212),"O",IF(COUNTIFS(EDW_RAW!$A$2:$A$1500,$D212,EDW_RAW!$U$2:$U$1500,"&lt;&gt;~",EDW_RAW!$U$2:$U$1500,"&lt;&gt;")&gt;0,"부분","X")))</f>
        <v/>
      </c>
      <c r="S212" s="25" t="n"/>
      <c r="T212" s="20">
        <f>IF($H212="","",IF(AND(ISNUMBER(SEARCH("CMT",$H212)),OR(ISNUMBER(SEARCH("완사입",$H212)),ISNUMBER(SEARCH("ODM",$H212)))),"본사/생산처 혼재",IF(ISNUMBER(SEARCH("CMT",$H212)),"본사(소재팀)","생산처")))</f>
        <v/>
      </c>
      <c r="U212" s="20" t="inlineStr">
        <is>
          <t>장안</t>
        </is>
      </c>
      <c r="V212" s="20">
        <f>IFERROR(TEXTJOIN(" / ",TRUE,UNIQUE(FILTER(소재DB_RAW!$K$3:$K$2000,(소재DB_RAW!$G$3:$G$2000=$D212)*ISERROR(SEARCH("drop",소재DB_RAW!$C$3:$C$2000))))),"")</f>
        <v/>
      </c>
      <c r="W212" s="20" t="inlineStr">
        <is>
          <t>베트남</t>
        </is>
      </c>
      <c r="X212" s="20">
        <f>IFERROR(TEXTJOIN(" / ",TRUE,UNIQUE(FILTER(소재DB_RAW!$N$3:$N$2000,(소재DB_RAW!$G$3:$G$2000=$D212)*ISERROR(SEARCH("drop",소재DB_RAW!$C$3:$C$2000))))),"")</f>
        <v/>
      </c>
      <c r="Y212" s="26">
        <f>IFERROR(TEXTJOIN(CHAR(10),TRUE,UNIQUE(FILTER(소재DB_RAW!$N$3:$N$2000&amp;") "&amp;소재DB_RAW!$O$3:$O$2000,(소재DB_RAW!$G$3:$G$2000=$D212)*ISNUMBER(SEARCH("겉감",소재DB_RAW!$M$3:$M$2000))*ISERROR(SEARCH("drop",소재DB_RAW!$C$3:$C$2000))))),"")</f>
        <v/>
      </c>
      <c r="Z212" s="26">
        <f>IFERROR(TEXTJOIN(CHAR(10),TRUE,UNIQUE(FILTER(소재DB_RAW!$N$3:$N$2000&amp;") "&amp;소재DB_RAW!$O$3:$O$2000,(소재DB_RAW!$G$3:$G$2000=$D212)*ISNUMBER(SEARCH("안감",소재DB_RAW!$M$3:$M$2000))*ISERROR(SEARCH("drop",소재DB_RAW!$C$3:$C$2000))))),"")</f>
        <v/>
      </c>
      <c r="AA212" s="27" t="n">
        <v>1010</v>
      </c>
      <c r="AB212" s="27" t="n">
        <v>24791460</v>
      </c>
      <c r="AC212" s="27" t="n">
        <v>98980000</v>
      </c>
      <c r="AD212" s="20" t="n"/>
      <c r="AE212" s="20">
        <f>IF($K212="","출고일 미정",IF($Q212="X","작지 미발행",IF($Q212="부분","작지 일부 미발행",IF(AND($S212&lt;&gt;"",$S212&gt;$N212),"소재입고 마감("&amp;TEXT($N212,"MM/DD")&amp;") 초과",IF($Q212="","발행여부 확인 필요",IF($S212="","소재 입고일정 확인 필요","정상"))))))</f>
        <v/>
      </c>
      <c r="AF212" s="19">
        <f>IF($K212="","",IF(OR(LEFT($AE212,2)="작지",LEFT($AE212,4)="소재입고"),IF(LEFT($G212,1)="S","★ 납기위험(S코드)","◆ 지연주의"),IF($AE212="정상","✓ 정상","? 확인필요")))</f>
        <v/>
      </c>
      <c r="AG212" s="21" t="n"/>
      <c r="AH212" s="28" t="n"/>
    </row>
    <row r="213">
      <c r="A213" s="19" t="n">
        <v>209</v>
      </c>
      <c r="B213" s="20" t="inlineStr">
        <is>
          <t>박술홍</t>
        </is>
      </c>
      <c r="C213" s="20" t="inlineStr">
        <is>
          <t>김지원</t>
        </is>
      </c>
      <c r="D213" s="20" t="inlineStr">
        <is>
          <t>TVTCM27714</t>
        </is>
      </c>
      <c r="E213" s="20" t="inlineStr">
        <is>
          <t>여성 트레일러닝 흡습속건 프린트 라운드 반팔 티셔츠</t>
        </is>
      </c>
      <c r="F213" s="20" t="inlineStr">
        <is>
          <t>LSE</t>
        </is>
      </c>
      <c r="G213" s="19">
        <f>IF($D213="","",IF(MID($D213,5,1)="S","S(봄)",IF(MID($D213,5,1)="M","M(여름)",IF(MID($D213,5,1)="X","X(사계절)",MID($D213,5,1)))))</f>
        <v/>
      </c>
      <c r="H213" s="20" t="inlineStr">
        <is>
          <t>완사입</t>
        </is>
      </c>
      <c r="I213" s="19" t="inlineStr">
        <is>
          <t>SM1</t>
        </is>
      </c>
      <c r="J213" s="21" t="inlineStr">
        <is>
          <t>3월1주</t>
        </is>
      </c>
      <c r="K213" s="22">
        <f>IF($J213="","",IFERROR(DATE(IF(VALUE(LEFT($J213,FIND("월",$J213)-1))&gt;=9,기준정보!$C$7-1,기준정보!$C$7),VALUE(LEFT($J213,FIND("월",$J213)-1)),1+7*(VALUE(SUBSTITUTE(MID($J213,FIND("월",$J213)+1,5),"주",""))-1)),""))</f>
        <v/>
      </c>
      <c r="L213" s="22">
        <f>IF($K213="","",IF(AND($K213-기준정보!$C$5&gt;=기준정보!$C$10,$K213-기준정보!$C$5&lt;=기준정보!$C$11),기준정보!$C$10-1,$K213-기준정보!$C$5))</f>
        <v/>
      </c>
      <c r="M213" s="23">
        <f>IF($L213="","",IF(OR(ISNUMBER(SEARCH("중국",$W213)),ISNUMBER(SEARCH("베트남",$W213))),MAX(0,MIN($L213,기준정보!$C$9)-MAX($L213-기준정보!$C$6,기준정보!$C$8)+1),IF(ISNUMBER(SEARCH("한국",$W213)),MAX(0,MIN($L213,기준정보!$C$11)-MAX($L213-기준정보!$C$6,기준정보!$C$10)+1),0)))</f>
        <v/>
      </c>
      <c r="N213" s="22">
        <f>IF($L213="","",$L213-기준정보!$C$6-$M213)</f>
        <v/>
      </c>
      <c r="O213" s="24">
        <f>IF($N213="","",$N213-기준정보!$C$4)</f>
        <v/>
      </c>
      <c r="P213" s="21" t="n"/>
      <c r="Q213" s="21" t="inlineStr">
        <is>
          <t>O</t>
        </is>
      </c>
      <c r="R213" s="19">
        <f>IF(COUNTIF(EDW_RAW!$A$2:$A$1500,$D213)=0,"",IF(COUNTIFS(EDW_RAW!$A$2:$A$1500,$D213,EDW_RAW!$U$2:$U$1500,"&lt;&gt;~",EDW_RAW!$U$2:$U$1500,"&lt;&gt;")=COUNTIF(EDW_RAW!$A$2:$A$1500,$D213),"O",IF(COUNTIFS(EDW_RAW!$A$2:$A$1500,$D213,EDW_RAW!$U$2:$U$1500,"&lt;&gt;~",EDW_RAW!$U$2:$U$1500,"&lt;&gt;")&gt;0,"부분","X")))</f>
        <v/>
      </c>
      <c r="S213" s="25" t="n"/>
      <c r="T213" s="20">
        <f>IF($H213="","",IF(AND(ISNUMBER(SEARCH("CMT",$H213)),OR(ISNUMBER(SEARCH("완사입",$H213)),ISNUMBER(SEARCH("ODM",$H213)))),"본사/생산처 혼재",IF(ISNUMBER(SEARCH("CMT",$H213)),"본사(소재팀)","생산처")))</f>
        <v/>
      </c>
      <c r="U213" s="20" t="inlineStr">
        <is>
          <t>장안</t>
        </is>
      </c>
      <c r="V213" s="20">
        <f>IFERROR(TEXTJOIN(" / ",TRUE,UNIQUE(FILTER(소재DB_RAW!$K$3:$K$2000,(소재DB_RAW!$G$3:$G$2000=$D213)*ISERROR(SEARCH("drop",소재DB_RAW!$C$3:$C$2000))))),"")</f>
        <v/>
      </c>
      <c r="W213" s="20" t="inlineStr">
        <is>
          <t>베트남</t>
        </is>
      </c>
      <c r="X213" s="20">
        <f>IFERROR(TEXTJOIN(" / ",TRUE,UNIQUE(FILTER(소재DB_RAW!$N$3:$N$2000,(소재DB_RAW!$G$3:$G$2000=$D213)*ISERROR(SEARCH("drop",소재DB_RAW!$C$3:$C$2000))))),"")</f>
        <v/>
      </c>
      <c r="Y213" s="26">
        <f>IFERROR(TEXTJOIN(CHAR(10),TRUE,UNIQUE(FILTER(소재DB_RAW!$N$3:$N$2000&amp;") "&amp;소재DB_RAW!$O$3:$O$2000,(소재DB_RAW!$G$3:$G$2000=$D213)*ISNUMBER(SEARCH("겉감",소재DB_RAW!$M$3:$M$2000))*ISERROR(SEARCH("drop",소재DB_RAW!$C$3:$C$2000))))),"")</f>
        <v/>
      </c>
      <c r="Z213" s="26">
        <f>IFERROR(TEXTJOIN(CHAR(10),TRUE,UNIQUE(FILTER(소재DB_RAW!$N$3:$N$2000&amp;") "&amp;소재DB_RAW!$O$3:$O$2000,(소재DB_RAW!$G$3:$G$2000=$D213)*ISNUMBER(SEARCH("안감",소재DB_RAW!$M$3:$M$2000))*ISERROR(SEARCH("drop",소재DB_RAW!$C$3:$C$2000))))),"")</f>
        <v/>
      </c>
      <c r="AA213" s="27" t="n">
        <v>700</v>
      </c>
      <c r="AB213" s="27" t="n">
        <v>19282200</v>
      </c>
      <c r="AC213" s="27" t="n">
        <v>75600000</v>
      </c>
      <c r="AD213" s="20" t="n"/>
      <c r="AE213" s="20">
        <f>IF($K213="","출고일 미정",IF($Q213="X","작지 미발행",IF($Q213="부분","작지 일부 미발행",IF(AND($S213&lt;&gt;"",$S213&gt;$N213),"소재입고 마감("&amp;TEXT($N213,"MM/DD")&amp;") 초과",IF($Q213="","발행여부 확인 필요",IF($S213="","소재 입고일정 확인 필요","정상"))))))</f>
        <v/>
      </c>
      <c r="AF213" s="19">
        <f>IF($K213="","",IF(OR(LEFT($AE213,2)="작지",LEFT($AE213,4)="소재입고"),IF(LEFT($G213,1)="S","★ 납기위험(S코드)","◆ 지연주의"),IF($AE213="정상","✓ 정상","? 확인필요")))</f>
        <v/>
      </c>
      <c r="AG213" s="21" t="n"/>
      <c r="AH213" s="28" t="n"/>
    </row>
    <row r="214">
      <c r="A214" s="19" t="n">
        <v>210</v>
      </c>
      <c r="B214" s="20" t="inlineStr">
        <is>
          <t>박술홍</t>
        </is>
      </c>
      <c r="C214" s="20" t="inlineStr">
        <is>
          <t>김지원</t>
        </is>
      </c>
      <c r="D214" s="20" t="inlineStr">
        <is>
          <t>TVTCM27722</t>
        </is>
      </c>
      <c r="E214" s="20" t="inlineStr">
        <is>
          <t>여성 트레일러닝 자카드 라운드 슬리브리스</t>
        </is>
      </c>
      <c r="F214" s="20" t="inlineStr">
        <is>
          <t>DGY(D/GRAY)</t>
        </is>
      </c>
      <c r="G214" s="19">
        <f>IF($D214="","",IF(MID($D214,5,1)="S","S(봄)",IF(MID($D214,5,1)="M","M(여름)",IF(MID($D214,5,1)="X","X(사계절)",MID($D214,5,1)))))</f>
        <v/>
      </c>
      <c r="H214" s="20" t="inlineStr">
        <is>
          <t>완사입</t>
        </is>
      </c>
      <c r="I214" s="19" t="inlineStr">
        <is>
          <t>SM1</t>
        </is>
      </c>
      <c r="J214" s="21" t="inlineStr">
        <is>
          <t>3월1주</t>
        </is>
      </c>
      <c r="K214" s="22">
        <f>IF($J214="","",IFERROR(DATE(IF(VALUE(LEFT($J214,FIND("월",$J214)-1))&gt;=9,기준정보!$C$7-1,기준정보!$C$7),VALUE(LEFT($J214,FIND("월",$J214)-1)),1+7*(VALUE(SUBSTITUTE(MID($J214,FIND("월",$J214)+1,5),"주",""))-1)),""))</f>
        <v/>
      </c>
      <c r="L214" s="22">
        <f>IF($K214="","",IF(AND($K214-기준정보!$C$5&gt;=기준정보!$C$10,$K214-기준정보!$C$5&lt;=기준정보!$C$11),기준정보!$C$10-1,$K214-기준정보!$C$5))</f>
        <v/>
      </c>
      <c r="M214" s="23">
        <f>IF($L214="","",IF(OR(ISNUMBER(SEARCH("중국",$W214)),ISNUMBER(SEARCH("베트남",$W214))),MAX(0,MIN($L214,기준정보!$C$9)-MAX($L214-기준정보!$C$6,기준정보!$C$8)+1),IF(ISNUMBER(SEARCH("한국",$W214)),MAX(0,MIN($L214,기준정보!$C$11)-MAX($L214-기준정보!$C$6,기준정보!$C$10)+1),0)))</f>
        <v/>
      </c>
      <c r="N214" s="22">
        <f>IF($L214="","",$L214-기준정보!$C$6-$M214)</f>
        <v/>
      </c>
      <c r="O214" s="24">
        <f>IF($N214="","",$N214-기준정보!$C$4)</f>
        <v/>
      </c>
      <c r="P214" s="21" t="n"/>
      <c r="Q214" s="21" t="inlineStr">
        <is>
          <t>O</t>
        </is>
      </c>
      <c r="R214" s="19">
        <f>IF(COUNTIF(EDW_RAW!$A$2:$A$1500,$D214)=0,"",IF(COUNTIFS(EDW_RAW!$A$2:$A$1500,$D214,EDW_RAW!$U$2:$U$1500,"&lt;&gt;~",EDW_RAW!$U$2:$U$1500,"&lt;&gt;")=COUNTIF(EDW_RAW!$A$2:$A$1500,$D214),"O",IF(COUNTIFS(EDW_RAW!$A$2:$A$1500,$D214,EDW_RAW!$U$2:$U$1500,"&lt;&gt;~",EDW_RAW!$U$2:$U$1500,"&lt;&gt;")&gt;0,"부분","X")))</f>
        <v/>
      </c>
      <c r="S214" s="25" t="n"/>
      <c r="T214" s="20">
        <f>IF($H214="","",IF(AND(ISNUMBER(SEARCH("CMT",$H214)),OR(ISNUMBER(SEARCH("완사입",$H214)),ISNUMBER(SEARCH("ODM",$H214)))),"본사/생산처 혼재",IF(ISNUMBER(SEARCH("CMT",$H214)),"본사(소재팀)","생산처")))</f>
        <v/>
      </c>
      <c r="U214" s="20" t="inlineStr">
        <is>
          <t>장안</t>
        </is>
      </c>
      <c r="V214" s="20">
        <f>IFERROR(TEXTJOIN(" / ",TRUE,UNIQUE(FILTER(소재DB_RAW!$K$3:$K$2000,(소재DB_RAW!$G$3:$G$2000=$D214)*ISERROR(SEARCH("drop",소재DB_RAW!$C$3:$C$2000))))),"")</f>
        <v/>
      </c>
      <c r="W214" s="20" t="inlineStr">
        <is>
          <t>베트남</t>
        </is>
      </c>
      <c r="X214" s="20">
        <f>IFERROR(TEXTJOIN(" / ",TRUE,UNIQUE(FILTER(소재DB_RAW!$N$3:$N$2000,(소재DB_RAW!$G$3:$G$2000=$D214)*ISERROR(SEARCH("drop",소재DB_RAW!$C$3:$C$2000))))),"")</f>
        <v/>
      </c>
      <c r="Y214" s="26">
        <f>IFERROR(TEXTJOIN(CHAR(10),TRUE,UNIQUE(FILTER(소재DB_RAW!$N$3:$N$2000&amp;") "&amp;소재DB_RAW!$O$3:$O$2000,(소재DB_RAW!$G$3:$G$2000=$D214)*ISNUMBER(SEARCH("겉감",소재DB_RAW!$M$3:$M$2000))*ISERROR(SEARCH("drop",소재DB_RAW!$C$3:$C$2000))))),"")</f>
        <v/>
      </c>
      <c r="Z214" s="26">
        <f>IFERROR(TEXTJOIN(CHAR(10),TRUE,UNIQUE(FILTER(소재DB_RAW!$N$3:$N$2000&amp;") "&amp;소재DB_RAW!$O$3:$O$2000,(소재DB_RAW!$G$3:$G$2000=$D214)*ISNUMBER(SEARCH("안감",소재DB_RAW!$M$3:$M$2000))*ISERROR(SEARCH("drop",소재DB_RAW!$C$3:$C$2000))))),"")</f>
        <v/>
      </c>
      <c r="AA214" s="27" t="n">
        <v>300</v>
      </c>
      <c r="AB214" s="27" t="n">
        <v>12766200</v>
      </c>
      <c r="AC214" s="27" t="n">
        <v>35400000</v>
      </c>
      <c r="AD214" s="20" t="n"/>
      <c r="AE214" s="20">
        <f>IF($K214="","출고일 미정",IF($Q214="X","작지 미발행",IF($Q214="부분","작지 일부 미발행",IF(AND($S214&lt;&gt;"",$S214&gt;$N214),"소재입고 마감("&amp;TEXT($N214,"MM/DD")&amp;") 초과",IF($Q214="","발행여부 확인 필요",IF($S214="","소재 입고일정 확인 필요","정상"))))))</f>
        <v/>
      </c>
      <c r="AF214" s="19">
        <f>IF($K214="","",IF(OR(LEFT($AE214,2)="작지",LEFT($AE214,4)="소재입고"),IF(LEFT($G214,1)="S","★ 납기위험(S코드)","◆ 지연주의"),IF($AE214="정상","✓ 정상","? 확인필요")))</f>
        <v/>
      </c>
      <c r="AG214" s="21" t="n"/>
      <c r="AH214" s="28" t="n"/>
    </row>
    <row r="215">
      <c r="A215" s="19" t="n">
        <v>211</v>
      </c>
      <c r="B215" s="20" t="inlineStr">
        <is>
          <t>박술홍</t>
        </is>
      </c>
      <c r="C215" s="20" t="inlineStr">
        <is>
          <t>김지원</t>
        </is>
      </c>
      <c r="D215" s="20" t="inlineStr">
        <is>
          <t>TVTCM27724</t>
        </is>
      </c>
      <c r="E215" s="20" t="inlineStr">
        <is>
          <t>여성 트레일러닝 저지 라운드 슬리브리스</t>
        </is>
      </c>
      <c r="F215" s="20" t="inlineStr">
        <is>
          <t>DBE(DARK BEIGE)</t>
        </is>
      </c>
      <c r="G215" s="19">
        <f>IF($D215="","",IF(MID($D215,5,1)="S","S(봄)",IF(MID($D215,5,1)="M","M(여름)",IF(MID($D215,5,1)="X","X(사계절)",MID($D215,5,1)))))</f>
        <v/>
      </c>
      <c r="H215" s="20" t="inlineStr">
        <is>
          <t>완사입</t>
        </is>
      </c>
      <c r="I215" s="19" t="inlineStr">
        <is>
          <t>SM1</t>
        </is>
      </c>
      <c r="J215" s="21" t="inlineStr">
        <is>
          <t>3월1주</t>
        </is>
      </c>
      <c r="K215" s="22">
        <f>IF($J215="","",IFERROR(DATE(IF(VALUE(LEFT($J215,FIND("월",$J215)-1))&gt;=9,기준정보!$C$7-1,기준정보!$C$7),VALUE(LEFT($J215,FIND("월",$J215)-1)),1+7*(VALUE(SUBSTITUTE(MID($J215,FIND("월",$J215)+1,5),"주",""))-1)),""))</f>
        <v/>
      </c>
      <c r="L215" s="22">
        <f>IF($K215="","",IF(AND($K215-기준정보!$C$5&gt;=기준정보!$C$10,$K215-기준정보!$C$5&lt;=기준정보!$C$11),기준정보!$C$10-1,$K215-기준정보!$C$5))</f>
        <v/>
      </c>
      <c r="M215" s="23">
        <f>IF($L215="","",IF(OR(ISNUMBER(SEARCH("중국",$W215)),ISNUMBER(SEARCH("베트남",$W215))),MAX(0,MIN($L215,기준정보!$C$9)-MAX($L215-기준정보!$C$6,기준정보!$C$8)+1),IF(ISNUMBER(SEARCH("한국",$W215)),MAX(0,MIN($L215,기준정보!$C$11)-MAX($L215-기준정보!$C$6,기준정보!$C$10)+1),0)))</f>
        <v/>
      </c>
      <c r="N215" s="22">
        <f>IF($L215="","",$L215-기준정보!$C$6-$M215)</f>
        <v/>
      </c>
      <c r="O215" s="24">
        <f>IF($N215="","",$N215-기준정보!$C$4)</f>
        <v/>
      </c>
      <c r="P215" s="21" t="n"/>
      <c r="Q215" s="21" t="inlineStr">
        <is>
          <t>O</t>
        </is>
      </c>
      <c r="R215" s="19">
        <f>IF(COUNTIF(EDW_RAW!$A$2:$A$1500,$D215)=0,"",IF(COUNTIFS(EDW_RAW!$A$2:$A$1500,$D215,EDW_RAW!$U$2:$U$1500,"&lt;&gt;~",EDW_RAW!$U$2:$U$1500,"&lt;&gt;")=COUNTIF(EDW_RAW!$A$2:$A$1500,$D215),"O",IF(COUNTIFS(EDW_RAW!$A$2:$A$1500,$D215,EDW_RAW!$U$2:$U$1500,"&lt;&gt;~",EDW_RAW!$U$2:$U$1500,"&lt;&gt;")&gt;0,"부분","X")))</f>
        <v/>
      </c>
      <c r="S215" s="25" t="n"/>
      <c r="T215" s="20">
        <f>IF($H215="","",IF(AND(ISNUMBER(SEARCH("CMT",$H215)),OR(ISNUMBER(SEARCH("완사입",$H215)),ISNUMBER(SEARCH("ODM",$H215)))),"본사/생산처 혼재",IF(ISNUMBER(SEARCH("CMT",$H215)),"본사(소재팀)","생산처")))</f>
        <v/>
      </c>
      <c r="U215" s="20" t="inlineStr">
        <is>
          <t>장안</t>
        </is>
      </c>
      <c r="V215" s="20">
        <f>IFERROR(TEXTJOIN(" / ",TRUE,UNIQUE(FILTER(소재DB_RAW!$K$3:$K$2000,(소재DB_RAW!$G$3:$G$2000=$D215)*ISERROR(SEARCH("drop",소재DB_RAW!$C$3:$C$2000))))),"")</f>
        <v/>
      </c>
      <c r="W215" s="20" t="inlineStr">
        <is>
          <t>베트남</t>
        </is>
      </c>
      <c r="X215" s="20">
        <f>IFERROR(TEXTJOIN(" / ",TRUE,UNIQUE(FILTER(소재DB_RAW!$N$3:$N$2000,(소재DB_RAW!$G$3:$G$2000=$D215)*ISERROR(SEARCH("drop",소재DB_RAW!$C$3:$C$2000))))),"")</f>
        <v/>
      </c>
      <c r="Y215" s="26">
        <f>IFERROR(TEXTJOIN(CHAR(10),TRUE,UNIQUE(FILTER(소재DB_RAW!$N$3:$N$2000&amp;") "&amp;소재DB_RAW!$O$3:$O$2000,(소재DB_RAW!$G$3:$G$2000=$D215)*ISNUMBER(SEARCH("겉감",소재DB_RAW!$M$3:$M$2000))*ISERROR(SEARCH("drop",소재DB_RAW!$C$3:$C$2000))))),"")</f>
        <v/>
      </c>
      <c r="Z215" s="26">
        <f>IFERROR(TEXTJOIN(CHAR(10),TRUE,UNIQUE(FILTER(소재DB_RAW!$N$3:$N$2000&amp;") "&amp;소재DB_RAW!$O$3:$O$2000,(소재DB_RAW!$G$3:$G$2000=$D215)*ISNUMBER(SEARCH("안감",소재DB_RAW!$M$3:$M$2000))*ISERROR(SEARCH("drop",소재DB_RAW!$C$3:$C$2000))))),"")</f>
        <v/>
      </c>
      <c r="AA215" s="27" t="n">
        <v>500</v>
      </c>
      <c r="AB215" s="27" t="n">
        <v>13989500</v>
      </c>
      <c r="AC215" s="27" t="n">
        <v>54000000</v>
      </c>
      <c r="AD215" s="20" t="n"/>
      <c r="AE215" s="20">
        <f>IF($K215="","출고일 미정",IF($Q215="X","작지 미발행",IF($Q215="부분","작지 일부 미발행",IF(AND($S215&lt;&gt;"",$S215&gt;$N215),"소재입고 마감("&amp;TEXT($N215,"MM/DD")&amp;") 초과",IF($Q215="","발행여부 확인 필요",IF($S215="","소재 입고일정 확인 필요","정상"))))))</f>
        <v/>
      </c>
      <c r="AF215" s="19">
        <f>IF($K215="","",IF(OR(LEFT($AE215,2)="작지",LEFT($AE215,4)="소재입고"),IF(LEFT($G215,1)="S","★ 납기위험(S코드)","◆ 지연주의"),IF($AE215="정상","✓ 정상","? 확인필요")))</f>
        <v/>
      </c>
      <c r="AG215" s="21" t="n"/>
      <c r="AH215" s="28" t="n"/>
    </row>
    <row r="216">
      <c r="A216" s="19" t="n">
        <v>212</v>
      </c>
      <c r="B216" s="20" t="inlineStr">
        <is>
          <t>박지인</t>
        </is>
      </c>
      <c r="C216" s="20" t="inlineStr">
        <is>
          <t>정은진</t>
        </is>
      </c>
      <c r="D216" s="20" t="inlineStr">
        <is>
          <t>JKJJM27156</t>
        </is>
      </c>
      <c r="E216" s="20" t="inlineStr">
        <is>
          <t>하절 여성 고강력사 방풍 재킷</t>
        </is>
      </c>
      <c r="F216" s="20" t="inlineStr">
        <is>
          <t>BLK(BLACK), DMI(D/MINT)</t>
        </is>
      </c>
      <c r="G216" s="19">
        <f>IF($D216="","",IF(MID($D216,5,1)="S","S(봄)",IF(MID($D216,5,1)="M","M(여름)",IF(MID($D216,5,1)="X","X(사계절)",MID($D216,5,1)))))</f>
        <v/>
      </c>
      <c r="H216" s="20" t="inlineStr">
        <is>
          <t>완사입</t>
        </is>
      </c>
      <c r="I216" s="19" t="inlineStr"/>
      <c r="J216" s="21" t="inlineStr">
        <is>
          <t>3월2주</t>
        </is>
      </c>
      <c r="K216" s="22">
        <f>IF($J216="","",IFERROR(DATE(IF(VALUE(LEFT($J216,FIND("월",$J216)-1))&gt;=9,기준정보!$C$7-1,기준정보!$C$7),VALUE(LEFT($J216,FIND("월",$J216)-1)),1+7*(VALUE(SUBSTITUTE(MID($J216,FIND("월",$J216)+1,5),"주",""))-1)),""))</f>
        <v/>
      </c>
      <c r="L216" s="22">
        <f>IF($K216="","",IF(AND($K216-기준정보!$C$5&gt;=기준정보!$C$10,$K216-기준정보!$C$5&lt;=기준정보!$C$11),기준정보!$C$10-1,$K216-기준정보!$C$5))</f>
        <v/>
      </c>
      <c r="M216" s="23">
        <f>IF($L216="","",IF(OR(ISNUMBER(SEARCH("중국",$W216)),ISNUMBER(SEARCH("베트남",$W216))),MAX(0,MIN($L216,기준정보!$C$9)-MAX($L216-기준정보!$C$6,기준정보!$C$8)+1),IF(ISNUMBER(SEARCH("한국",$W216)),MAX(0,MIN($L216,기준정보!$C$11)-MAX($L216-기준정보!$C$6,기준정보!$C$10)+1),0)))</f>
        <v/>
      </c>
      <c r="N216" s="22">
        <f>IF($L216="","",$L216-기준정보!$C$6-$M216)</f>
        <v/>
      </c>
      <c r="O216" s="24">
        <f>IF($N216="","",$N216-기준정보!$C$4)</f>
        <v/>
      </c>
      <c r="P216" s="21" t="n"/>
      <c r="Q216" s="21" t="inlineStr">
        <is>
          <t>O</t>
        </is>
      </c>
      <c r="R216" s="19">
        <f>IF(COUNTIF(EDW_RAW!$A$2:$A$1500,$D216)=0,"",IF(COUNTIFS(EDW_RAW!$A$2:$A$1500,$D216,EDW_RAW!$U$2:$U$1500,"&lt;&gt;~",EDW_RAW!$U$2:$U$1500,"&lt;&gt;")=COUNTIF(EDW_RAW!$A$2:$A$1500,$D216),"O",IF(COUNTIFS(EDW_RAW!$A$2:$A$1500,$D216,EDW_RAW!$U$2:$U$1500,"&lt;&gt;~",EDW_RAW!$U$2:$U$1500,"&lt;&gt;")&gt;0,"부분","X")))</f>
        <v/>
      </c>
      <c r="S216" s="25" t="n"/>
      <c r="T216" s="20">
        <f>IF($H216="","",IF(AND(ISNUMBER(SEARCH("CMT",$H216)),OR(ISNUMBER(SEARCH("완사입",$H216)),ISNUMBER(SEARCH("ODM",$H216)))),"본사/생산처 혼재",IF(ISNUMBER(SEARCH("CMT",$H216)),"본사(소재팀)","생산처")))</f>
        <v/>
      </c>
      <c r="U216" s="20" t="inlineStr">
        <is>
          <t>원전</t>
        </is>
      </c>
      <c r="V216" s="20">
        <f>IFERROR(TEXTJOIN(" / ",TRUE,UNIQUE(FILTER(소재DB_RAW!$K$3:$K$2000,(소재DB_RAW!$G$3:$G$2000=$D216)*ISERROR(SEARCH("drop",소재DB_RAW!$C$3:$C$2000))))),"")</f>
        <v/>
      </c>
      <c r="W216" s="20" t="inlineStr"/>
      <c r="X216" s="20">
        <f>IFERROR(TEXTJOIN(" / ",TRUE,UNIQUE(FILTER(소재DB_RAW!$N$3:$N$2000,(소재DB_RAW!$G$3:$G$2000=$D216)*ISERROR(SEARCH("drop",소재DB_RAW!$C$3:$C$2000))))),"")</f>
        <v/>
      </c>
      <c r="Y216" s="26">
        <f>IFERROR(TEXTJOIN(CHAR(10),TRUE,UNIQUE(FILTER(소재DB_RAW!$N$3:$N$2000&amp;") "&amp;소재DB_RAW!$O$3:$O$2000,(소재DB_RAW!$G$3:$G$2000=$D216)*ISNUMBER(SEARCH("겉감",소재DB_RAW!$M$3:$M$2000))*ISERROR(SEARCH("drop",소재DB_RAW!$C$3:$C$2000))))),"")</f>
        <v/>
      </c>
      <c r="Z216" s="26">
        <f>IFERROR(TEXTJOIN(CHAR(10),TRUE,UNIQUE(FILTER(소재DB_RAW!$N$3:$N$2000&amp;") "&amp;소재DB_RAW!$O$3:$O$2000,(소재DB_RAW!$G$3:$G$2000=$D216)*ISNUMBER(SEARCH("안감",소재DB_RAW!$M$3:$M$2000))*ISERROR(SEARCH("drop",소재DB_RAW!$C$3:$C$2000))))),"")</f>
        <v/>
      </c>
      <c r="AA216" s="27" t="n">
        <v>2200</v>
      </c>
      <c r="AB216" s="27" t="n">
        <v>123200000</v>
      </c>
      <c r="AC216" s="27" t="n">
        <v>594000000</v>
      </c>
      <c r="AD216" s="20" t="inlineStr">
        <is>
          <t>3월2주</t>
        </is>
      </c>
      <c r="AE216" s="20">
        <f>IF($K216="","출고일 미정",IF($Q216="X","작지 미발행",IF($Q216="부분","작지 일부 미발행",IF(AND($S216&lt;&gt;"",$S216&gt;$N216),"소재입고 마감("&amp;TEXT($N216,"MM/DD")&amp;") 초과",IF($Q216="","발행여부 확인 필요",IF($S216="","소재 입고일정 확인 필요","정상"))))))</f>
        <v/>
      </c>
      <c r="AF216" s="19">
        <f>IF($K216="","",IF(OR(LEFT($AE216,2)="작지",LEFT($AE216,4)="소재입고"),IF(LEFT($G216,1)="S","★ 납기위험(S코드)","◆ 지연주의"),IF($AE216="정상","✓ 정상","? 확인필요")))</f>
        <v/>
      </c>
      <c r="AG216" s="21" t="n"/>
      <c r="AH216" s="28" t="n"/>
    </row>
    <row r="217">
      <c r="A217" s="19" t="n">
        <v>213</v>
      </c>
      <c r="B217" s="20" t="inlineStr">
        <is>
          <t>박지인</t>
        </is>
      </c>
      <c r="C217" s="20" t="inlineStr">
        <is>
          <t>정은진</t>
        </is>
      </c>
      <c r="D217" s="20" t="inlineStr">
        <is>
          <t>JKJJM27162</t>
        </is>
      </c>
      <c r="E217" s="20" t="inlineStr">
        <is>
          <t>하절 여성 윈드 후드 재킷</t>
        </is>
      </c>
      <c r="F217" s="20" t="inlineStr">
        <is>
          <t>BLK(BLACK), WBE</t>
        </is>
      </c>
      <c r="G217" s="19">
        <f>IF($D217="","",IF(MID($D217,5,1)="S","S(봄)",IF(MID($D217,5,1)="M","M(여름)",IF(MID($D217,5,1)="X","X(사계절)",MID($D217,5,1)))))</f>
        <v/>
      </c>
      <c r="H217" s="20" t="inlineStr">
        <is>
          <t>완사입</t>
        </is>
      </c>
      <c r="I217" s="19" t="inlineStr"/>
      <c r="J217" s="21" t="inlineStr">
        <is>
          <t>3월2주</t>
        </is>
      </c>
      <c r="K217" s="22">
        <f>IF($J217="","",IFERROR(DATE(IF(VALUE(LEFT($J217,FIND("월",$J217)-1))&gt;=9,기준정보!$C$7-1,기준정보!$C$7),VALUE(LEFT($J217,FIND("월",$J217)-1)),1+7*(VALUE(SUBSTITUTE(MID($J217,FIND("월",$J217)+1,5),"주",""))-1)),""))</f>
        <v/>
      </c>
      <c r="L217" s="22">
        <f>IF($K217="","",IF(AND($K217-기준정보!$C$5&gt;=기준정보!$C$10,$K217-기준정보!$C$5&lt;=기준정보!$C$11),기준정보!$C$10-1,$K217-기준정보!$C$5))</f>
        <v/>
      </c>
      <c r="M217" s="23">
        <f>IF($L217="","",IF(OR(ISNUMBER(SEARCH("중국",$W217)),ISNUMBER(SEARCH("베트남",$W217))),MAX(0,MIN($L217,기준정보!$C$9)-MAX($L217-기준정보!$C$6,기준정보!$C$8)+1),IF(ISNUMBER(SEARCH("한국",$W217)),MAX(0,MIN($L217,기준정보!$C$11)-MAX($L217-기준정보!$C$6,기준정보!$C$10)+1),0)))</f>
        <v/>
      </c>
      <c r="N217" s="22">
        <f>IF($L217="","",$L217-기준정보!$C$6-$M217)</f>
        <v/>
      </c>
      <c r="O217" s="24">
        <f>IF($N217="","",$N217-기준정보!$C$4)</f>
        <v/>
      </c>
      <c r="P217" s="21" t="n"/>
      <c r="Q217" s="21" t="inlineStr">
        <is>
          <t>O</t>
        </is>
      </c>
      <c r="R217" s="19">
        <f>IF(COUNTIF(EDW_RAW!$A$2:$A$1500,$D217)=0,"",IF(COUNTIFS(EDW_RAW!$A$2:$A$1500,$D217,EDW_RAW!$U$2:$U$1500,"&lt;&gt;~",EDW_RAW!$U$2:$U$1500,"&lt;&gt;")=COUNTIF(EDW_RAW!$A$2:$A$1500,$D217),"O",IF(COUNTIFS(EDW_RAW!$A$2:$A$1500,$D217,EDW_RAW!$U$2:$U$1500,"&lt;&gt;~",EDW_RAW!$U$2:$U$1500,"&lt;&gt;")&gt;0,"부분","X")))</f>
        <v/>
      </c>
      <c r="S217" s="25" t="n"/>
      <c r="T217" s="20">
        <f>IF($H217="","",IF(AND(ISNUMBER(SEARCH("CMT",$H217)),OR(ISNUMBER(SEARCH("완사입",$H217)),ISNUMBER(SEARCH("ODM",$H217)))),"본사/생산처 혼재",IF(ISNUMBER(SEARCH("CMT",$H217)),"본사(소재팀)","생산처")))</f>
        <v/>
      </c>
      <c r="U217" s="20" t="inlineStr">
        <is>
          <t>아이블</t>
        </is>
      </c>
      <c r="V217" s="20">
        <f>IFERROR(TEXTJOIN(" / ",TRUE,UNIQUE(FILTER(소재DB_RAW!$K$3:$K$2000,(소재DB_RAW!$G$3:$G$2000=$D217)*ISERROR(SEARCH("drop",소재DB_RAW!$C$3:$C$2000))))),"")</f>
        <v/>
      </c>
      <c r="W217" s="20" t="inlineStr"/>
      <c r="X217" s="20">
        <f>IFERROR(TEXTJOIN(" / ",TRUE,UNIQUE(FILTER(소재DB_RAW!$N$3:$N$2000,(소재DB_RAW!$G$3:$G$2000=$D217)*ISERROR(SEARCH("drop",소재DB_RAW!$C$3:$C$2000))))),"")</f>
        <v/>
      </c>
      <c r="Y217" s="26">
        <f>IFERROR(TEXTJOIN(CHAR(10),TRUE,UNIQUE(FILTER(소재DB_RAW!$N$3:$N$2000&amp;") "&amp;소재DB_RAW!$O$3:$O$2000,(소재DB_RAW!$G$3:$G$2000=$D217)*ISNUMBER(SEARCH("겉감",소재DB_RAW!$M$3:$M$2000))*ISERROR(SEARCH("drop",소재DB_RAW!$C$3:$C$2000))))),"")</f>
        <v/>
      </c>
      <c r="Z217" s="26">
        <f>IFERROR(TEXTJOIN(CHAR(10),TRUE,UNIQUE(FILTER(소재DB_RAW!$N$3:$N$2000&amp;") "&amp;소재DB_RAW!$O$3:$O$2000,(소재DB_RAW!$G$3:$G$2000=$D217)*ISNUMBER(SEARCH("안감",소재DB_RAW!$M$3:$M$2000))*ISERROR(SEARCH("drop",소재DB_RAW!$C$3:$C$2000))))),"")</f>
        <v/>
      </c>
      <c r="AA217" s="27" t="n">
        <v>2000</v>
      </c>
      <c r="AB217" s="27" t="n">
        <v>82986000</v>
      </c>
      <c r="AC217" s="27" t="n">
        <v>396000000</v>
      </c>
      <c r="AD217" s="20" t="inlineStr">
        <is>
          <t>3월2주</t>
        </is>
      </c>
      <c r="AE217" s="20">
        <f>IF($K217="","출고일 미정",IF($Q217="X","작지 미발행",IF($Q217="부분","작지 일부 미발행",IF(AND($S217&lt;&gt;"",$S217&gt;$N217),"소재입고 마감("&amp;TEXT($N217,"MM/DD")&amp;") 초과",IF($Q217="","발행여부 확인 필요",IF($S217="","소재 입고일정 확인 필요","정상"))))))</f>
        <v/>
      </c>
      <c r="AF217" s="19">
        <f>IF($K217="","",IF(OR(LEFT($AE217,2)="작지",LEFT($AE217,4)="소재입고"),IF(LEFT($G217,1)="S","★ 납기위험(S코드)","◆ 지연주의"),IF($AE217="정상","✓ 정상","? 확인필요")))</f>
        <v/>
      </c>
      <c r="AG217" s="21" t="n"/>
      <c r="AH217" s="28" t="n"/>
    </row>
    <row r="218">
      <c r="A218" s="19" t="n">
        <v>214</v>
      </c>
      <c r="B218" s="20" t="inlineStr">
        <is>
          <t>박진아</t>
        </is>
      </c>
      <c r="C218" s="20" t="inlineStr">
        <is>
          <t>조이슬</t>
        </is>
      </c>
      <c r="D218" s="20" t="inlineStr">
        <is>
          <t>JKPNM27162</t>
        </is>
      </c>
      <c r="E218" s="20" t="inlineStr">
        <is>
          <t>하절 여성 슬림핏 스탠다드 팬츠</t>
        </is>
      </c>
      <c r="F218" s="20" t="inlineStr">
        <is>
          <t>BLK(BLACK), NAY, WGY</t>
        </is>
      </c>
      <c r="G218" s="19">
        <f>IF($D218="","",IF(MID($D218,5,1)="S","S(봄)",IF(MID($D218,5,1)="M","M(여름)",IF(MID($D218,5,1)="X","X(사계절)",MID($D218,5,1)))))</f>
        <v/>
      </c>
      <c r="H218" s="20" t="inlineStr">
        <is>
          <t>CMT</t>
        </is>
      </c>
      <c r="I218" s="19" t="inlineStr"/>
      <c r="J218" s="21" t="inlineStr">
        <is>
          <t>3월2주</t>
        </is>
      </c>
      <c r="K218" s="22">
        <f>IF($J218="","",IFERROR(DATE(IF(VALUE(LEFT($J218,FIND("월",$J218)-1))&gt;=9,기준정보!$C$7-1,기준정보!$C$7),VALUE(LEFT($J218,FIND("월",$J218)-1)),1+7*(VALUE(SUBSTITUTE(MID($J218,FIND("월",$J218)+1,5),"주",""))-1)),""))</f>
        <v/>
      </c>
      <c r="L218" s="22">
        <f>IF($K218="","",IF(AND($K218-기준정보!$C$5&gt;=기준정보!$C$10,$K218-기준정보!$C$5&lt;=기준정보!$C$11),기준정보!$C$10-1,$K218-기준정보!$C$5))</f>
        <v/>
      </c>
      <c r="M218" s="23">
        <f>IF($L218="","",IF(OR(ISNUMBER(SEARCH("중국",$W218)),ISNUMBER(SEARCH("베트남",$W218))),MAX(0,MIN($L218,기준정보!$C$9)-MAX($L218-기준정보!$C$6,기준정보!$C$8)+1),IF(ISNUMBER(SEARCH("한국",$W218)),MAX(0,MIN($L218,기준정보!$C$11)-MAX($L218-기준정보!$C$6,기준정보!$C$10)+1),0)))</f>
        <v/>
      </c>
      <c r="N218" s="22">
        <f>IF($L218="","",$L218-기준정보!$C$6-$M218)</f>
        <v/>
      </c>
      <c r="O218" s="24">
        <f>IF($N218="","",$N218-기준정보!$C$4)</f>
        <v/>
      </c>
      <c r="P218" s="21" t="n"/>
      <c r="Q218" s="21" t="inlineStr">
        <is>
          <t>O</t>
        </is>
      </c>
      <c r="R218" s="19">
        <f>IF(COUNTIF(EDW_RAW!$A$2:$A$1500,$D218)=0,"",IF(COUNTIFS(EDW_RAW!$A$2:$A$1500,$D218,EDW_RAW!$U$2:$U$1500,"&lt;&gt;~",EDW_RAW!$U$2:$U$1500,"&lt;&gt;")=COUNTIF(EDW_RAW!$A$2:$A$1500,$D218),"O",IF(COUNTIFS(EDW_RAW!$A$2:$A$1500,$D218,EDW_RAW!$U$2:$U$1500,"&lt;&gt;~",EDW_RAW!$U$2:$U$1500,"&lt;&gt;")&gt;0,"부분","X")))</f>
        <v/>
      </c>
      <c r="S218" s="25" t="n"/>
      <c r="T218" s="20">
        <f>IF($H218="","",IF(AND(ISNUMBER(SEARCH("CMT",$H218)),OR(ISNUMBER(SEARCH("완사입",$H218)),ISNUMBER(SEARCH("ODM",$H218)))),"본사/생산처 혼재",IF(ISNUMBER(SEARCH("CMT",$H218)),"본사(소재팀)","생산처")))</f>
        <v/>
      </c>
      <c r="U218" s="20" t="inlineStr">
        <is>
          <t>디코드</t>
        </is>
      </c>
      <c r="V218" s="20">
        <f>IFERROR(TEXTJOIN(" / ",TRUE,UNIQUE(FILTER(소재DB_RAW!$K$3:$K$2000,(소재DB_RAW!$G$3:$G$2000=$D218)*ISERROR(SEARCH("drop",소재DB_RAW!$C$3:$C$2000))))),"")</f>
        <v/>
      </c>
      <c r="W218" s="20" t="inlineStr">
        <is>
          <t>베트남</t>
        </is>
      </c>
      <c r="X218" s="20">
        <f>IFERROR(TEXTJOIN(" / ",TRUE,UNIQUE(FILTER(소재DB_RAW!$N$3:$N$2000,(소재DB_RAW!$G$3:$G$2000=$D218)*ISERROR(SEARCH("drop",소재DB_RAW!$C$3:$C$2000))))),"")</f>
        <v/>
      </c>
      <c r="Y218" s="26">
        <f>IFERROR(TEXTJOIN(CHAR(10),TRUE,UNIQUE(FILTER(소재DB_RAW!$N$3:$N$2000&amp;") "&amp;소재DB_RAW!$O$3:$O$2000,(소재DB_RAW!$G$3:$G$2000=$D218)*ISNUMBER(SEARCH("겉감",소재DB_RAW!$M$3:$M$2000))*ISERROR(SEARCH("drop",소재DB_RAW!$C$3:$C$2000))))),"")</f>
        <v/>
      </c>
      <c r="Z218" s="26">
        <f>IFERROR(TEXTJOIN(CHAR(10),TRUE,UNIQUE(FILTER(소재DB_RAW!$N$3:$N$2000&amp;") "&amp;소재DB_RAW!$O$3:$O$2000,(소재DB_RAW!$G$3:$G$2000=$D218)*ISNUMBER(SEARCH("안감",소재DB_RAW!$M$3:$M$2000))*ISERROR(SEARCH("drop",소재DB_RAW!$C$3:$C$2000))))),"")</f>
        <v/>
      </c>
      <c r="AA218" s="27" t="n">
        <v>6000</v>
      </c>
      <c r="AB218" s="27" t="n">
        <v>144954000</v>
      </c>
      <c r="AC218" s="27" t="n">
        <v>1068000000</v>
      </c>
      <c r="AD218" s="20" t="inlineStr">
        <is>
          <t>3월2주</t>
        </is>
      </c>
      <c r="AE218" s="20">
        <f>IF($K218="","출고일 미정",IF($Q218="X","작지 미발행",IF($Q218="부분","작지 일부 미발행",IF(AND($S218&lt;&gt;"",$S218&gt;$N218),"소재입고 마감("&amp;TEXT($N218,"MM/DD")&amp;") 초과",IF($Q218="","발행여부 확인 필요",IF($S218="","소재 입고일정 확인 필요","정상"))))))</f>
        <v/>
      </c>
      <c r="AF218" s="19">
        <f>IF($K218="","",IF(OR(LEFT($AE218,2)="작지",LEFT($AE218,4)="소재입고"),IF(LEFT($G218,1)="S","★ 납기위험(S코드)","◆ 지연주의"),IF($AE218="정상","✓ 정상","? 확인필요")))</f>
        <v/>
      </c>
      <c r="AG218" s="21" t="n"/>
      <c r="AH218" s="28" t="n"/>
    </row>
    <row r="219">
      <c r="A219" s="19" t="n">
        <v>215</v>
      </c>
      <c r="B219" s="20" t="inlineStr">
        <is>
          <t>박진아</t>
        </is>
      </c>
      <c r="C219" s="20" t="inlineStr">
        <is>
          <t>조이슬</t>
        </is>
      </c>
      <c r="D219" s="20" t="inlineStr">
        <is>
          <t>JKPNM27182</t>
        </is>
      </c>
      <c r="E219" s="20" t="inlineStr">
        <is>
          <t>하절 여성 에어도트 레귤러핏 팬츠</t>
        </is>
      </c>
      <c r="F219" s="20" t="inlineStr">
        <is>
          <t>BLK(BLACK), WBE</t>
        </is>
      </c>
      <c r="G219" s="19">
        <f>IF($D219="","",IF(MID($D219,5,1)="S","S(봄)",IF(MID($D219,5,1)="M","M(여름)",IF(MID($D219,5,1)="X","X(사계절)",MID($D219,5,1)))))</f>
        <v/>
      </c>
      <c r="H219" s="20" t="inlineStr">
        <is>
          <t>완사입</t>
        </is>
      </c>
      <c r="I219" s="19" t="inlineStr"/>
      <c r="J219" s="21" t="inlineStr">
        <is>
          <t>3월2주</t>
        </is>
      </c>
      <c r="K219" s="22">
        <f>IF($J219="","",IFERROR(DATE(IF(VALUE(LEFT($J219,FIND("월",$J219)-1))&gt;=9,기준정보!$C$7-1,기준정보!$C$7),VALUE(LEFT($J219,FIND("월",$J219)-1)),1+7*(VALUE(SUBSTITUTE(MID($J219,FIND("월",$J219)+1,5),"주",""))-1)),""))</f>
        <v/>
      </c>
      <c r="L219" s="22">
        <f>IF($K219="","",IF(AND($K219-기준정보!$C$5&gt;=기준정보!$C$10,$K219-기준정보!$C$5&lt;=기준정보!$C$11),기준정보!$C$10-1,$K219-기준정보!$C$5))</f>
        <v/>
      </c>
      <c r="M219" s="23">
        <f>IF($L219="","",IF(OR(ISNUMBER(SEARCH("중국",$W219)),ISNUMBER(SEARCH("베트남",$W219))),MAX(0,MIN($L219,기준정보!$C$9)-MAX($L219-기준정보!$C$6,기준정보!$C$8)+1),IF(ISNUMBER(SEARCH("한국",$W219)),MAX(0,MIN($L219,기준정보!$C$11)-MAX($L219-기준정보!$C$6,기준정보!$C$10)+1),0)))</f>
        <v/>
      </c>
      <c r="N219" s="22">
        <f>IF($L219="","",$L219-기준정보!$C$6-$M219)</f>
        <v/>
      </c>
      <c r="O219" s="24">
        <f>IF($N219="","",$N219-기준정보!$C$4)</f>
        <v/>
      </c>
      <c r="P219" s="21" t="n"/>
      <c r="Q219" s="21" t="inlineStr">
        <is>
          <t>O</t>
        </is>
      </c>
      <c r="R219" s="19">
        <f>IF(COUNTIF(EDW_RAW!$A$2:$A$1500,$D219)=0,"",IF(COUNTIFS(EDW_RAW!$A$2:$A$1500,$D219,EDW_RAW!$U$2:$U$1500,"&lt;&gt;~",EDW_RAW!$U$2:$U$1500,"&lt;&gt;")=COUNTIF(EDW_RAW!$A$2:$A$1500,$D219),"O",IF(COUNTIFS(EDW_RAW!$A$2:$A$1500,$D219,EDW_RAW!$U$2:$U$1500,"&lt;&gt;~",EDW_RAW!$U$2:$U$1500,"&lt;&gt;")&gt;0,"부분","X")))</f>
        <v/>
      </c>
      <c r="S219" s="25" t="n"/>
      <c r="T219" s="20">
        <f>IF($H219="","",IF(AND(ISNUMBER(SEARCH("CMT",$H219)),OR(ISNUMBER(SEARCH("완사입",$H219)),ISNUMBER(SEARCH("ODM",$H219)))),"본사/생산처 혼재",IF(ISNUMBER(SEARCH("CMT",$H219)),"본사(소재팀)","생산처")))</f>
        <v/>
      </c>
      <c r="U219" s="20" t="inlineStr">
        <is>
          <t>YIC</t>
        </is>
      </c>
      <c r="V219" s="20">
        <f>IFERROR(TEXTJOIN(" / ",TRUE,UNIQUE(FILTER(소재DB_RAW!$K$3:$K$2000,(소재DB_RAW!$G$3:$G$2000=$D219)*ISERROR(SEARCH("drop",소재DB_RAW!$C$3:$C$2000))))),"")</f>
        <v/>
      </c>
      <c r="W219" s="20" t="inlineStr">
        <is>
          <t>베트남</t>
        </is>
      </c>
      <c r="X219" s="20">
        <f>IFERROR(TEXTJOIN(" / ",TRUE,UNIQUE(FILTER(소재DB_RAW!$N$3:$N$2000,(소재DB_RAW!$G$3:$G$2000=$D219)*ISERROR(SEARCH("drop",소재DB_RAW!$C$3:$C$2000))))),"")</f>
        <v/>
      </c>
      <c r="Y219" s="26">
        <f>IFERROR(TEXTJOIN(CHAR(10),TRUE,UNIQUE(FILTER(소재DB_RAW!$N$3:$N$2000&amp;") "&amp;소재DB_RAW!$O$3:$O$2000,(소재DB_RAW!$G$3:$G$2000=$D219)*ISNUMBER(SEARCH("겉감",소재DB_RAW!$M$3:$M$2000))*ISERROR(SEARCH("drop",소재DB_RAW!$C$3:$C$2000))))),"")</f>
        <v/>
      </c>
      <c r="Z219" s="26">
        <f>IFERROR(TEXTJOIN(CHAR(10),TRUE,UNIQUE(FILTER(소재DB_RAW!$N$3:$N$2000&amp;") "&amp;소재DB_RAW!$O$3:$O$2000,(소재DB_RAW!$G$3:$G$2000=$D219)*ISNUMBER(SEARCH("안감",소재DB_RAW!$M$3:$M$2000))*ISERROR(SEARCH("drop",소재DB_RAW!$C$3:$C$2000))))),"")</f>
        <v/>
      </c>
      <c r="AA219" s="27" t="n">
        <v>3700</v>
      </c>
      <c r="AB219" s="27" t="n">
        <v>109449700</v>
      </c>
      <c r="AC219" s="27" t="n">
        <v>621600000</v>
      </c>
      <c r="AD219" s="20" t="inlineStr">
        <is>
          <t>3월2주</t>
        </is>
      </c>
      <c r="AE219" s="20">
        <f>IF($K219="","출고일 미정",IF($Q219="X","작지 미발행",IF($Q219="부분","작지 일부 미발행",IF(AND($S219&lt;&gt;"",$S219&gt;$N219),"소재입고 마감("&amp;TEXT($N219,"MM/DD")&amp;") 초과",IF($Q219="","발행여부 확인 필요",IF($S219="","소재 입고일정 확인 필요","정상"))))))</f>
        <v/>
      </c>
      <c r="AF219" s="19">
        <f>IF($K219="","",IF(OR(LEFT($AE219,2)="작지",LEFT($AE219,4)="소재입고"),IF(LEFT($G219,1)="S","★ 납기위험(S코드)","◆ 지연주의"),IF($AE219="정상","✓ 정상","? 확인필요")))</f>
        <v/>
      </c>
      <c r="AG219" s="21" t="n"/>
      <c r="AH219" s="28" t="n"/>
    </row>
    <row r="220">
      <c r="A220" s="19" t="n">
        <v>216</v>
      </c>
      <c r="B220" s="20" t="inlineStr">
        <is>
          <t>박진아</t>
        </is>
      </c>
      <c r="C220" s="20" t="inlineStr">
        <is>
          <t>조이슬</t>
        </is>
      </c>
      <c r="D220" s="20" t="inlineStr">
        <is>
          <t>JKPNM27184</t>
        </is>
      </c>
      <c r="E220" s="20" t="inlineStr">
        <is>
          <t>하절 여성 에어도트 루즈핏 팬츠</t>
        </is>
      </c>
      <c r="F220" s="20" t="inlineStr">
        <is>
          <t>BLK(BLACK)</t>
        </is>
      </c>
      <c r="G220" s="19">
        <f>IF($D220="","",IF(MID($D220,5,1)="S","S(봄)",IF(MID($D220,5,1)="M","M(여름)",IF(MID($D220,5,1)="X","X(사계절)",MID($D220,5,1)))))</f>
        <v/>
      </c>
      <c r="H220" s="20" t="inlineStr">
        <is>
          <t>완사입</t>
        </is>
      </c>
      <c r="I220" s="19" t="inlineStr"/>
      <c r="J220" s="21" t="inlineStr">
        <is>
          <t>3월2주</t>
        </is>
      </c>
      <c r="K220" s="22">
        <f>IF($J220="","",IFERROR(DATE(IF(VALUE(LEFT($J220,FIND("월",$J220)-1))&gt;=9,기준정보!$C$7-1,기준정보!$C$7),VALUE(LEFT($J220,FIND("월",$J220)-1)),1+7*(VALUE(SUBSTITUTE(MID($J220,FIND("월",$J220)+1,5),"주",""))-1)),""))</f>
        <v/>
      </c>
      <c r="L220" s="22">
        <f>IF($K220="","",IF(AND($K220-기준정보!$C$5&gt;=기준정보!$C$10,$K220-기준정보!$C$5&lt;=기준정보!$C$11),기준정보!$C$10-1,$K220-기준정보!$C$5))</f>
        <v/>
      </c>
      <c r="M220" s="23">
        <f>IF($L220="","",IF(OR(ISNUMBER(SEARCH("중국",$W220)),ISNUMBER(SEARCH("베트남",$W220))),MAX(0,MIN($L220,기준정보!$C$9)-MAX($L220-기준정보!$C$6,기준정보!$C$8)+1),IF(ISNUMBER(SEARCH("한국",$W220)),MAX(0,MIN($L220,기준정보!$C$11)-MAX($L220-기준정보!$C$6,기준정보!$C$10)+1),0)))</f>
        <v/>
      </c>
      <c r="N220" s="22">
        <f>IF($L220="","",$L220-기준정보!$C$6-$M220)</f>
        <v/>
      </c>
      <c r="O220" s="24">
        <f>IF($N220="","",$N220-기준정보!$C$4)</f>
        <v/>
      </c>
      <c r="P220" s="21" t="n"/>
      <c r="Q220" s="21" t="inlineStr">
        <is>
          <t>O</t>
        </is>
      </c>
      <c r="R220" s="19">
        <f>IF(COUNTIF(EDW_RAW!$A$2:$A$1500,$D220)=0,"",IF(COUNTIFS(EDW_RAW!$A$2:$A$1500,$D220,EDW_RAW!$U$2:$U$1500,"&lt;&gt;~",EDW_RAW!$U$2:$U$1500,"&lt;&gt;")=COUNTIF(EDW_RAW!$A$2:$A$1500,$D220),"O",IF(COUNTIFS(EDW_RAW!$A$2:$A$1500,$D220,EDW_RAW!$U$2:$U$1500,"&lt;&gt;~",EDW_RAW!$U$2:$U$1500,"&lt;&gt;")&gt;0,"부분","X")))</f>
        <v/>
      </c>
      <c r="S220" s="25" t="n"/>
      <c r="T220" s="20">
        <f>IF($H220="","",IF(AND(ISNUMBER(SEARCH("CMT",$H220)),OR(ISNUMBER(SEARCH("완사입",$H220)),ISNUMBER(SEARCH("ODM",$H220)))),"본사/생산처 혼재",IF(ISNUMBER(SEARCH("CMT",$H220)),"본사(소재팀)","생산처")))</f>
        <v/>
      </c>
      <c r="U220" s="20" t="inlineStr">
        <is>
          <t>YIC</t>
        </is>
      </c>
      <c r="V220" s="20">
        <f>IFERROR(TEXTJOIN(" / ",TRUE,UNIQUE(FILTER(소재DB_RAW!$K$3:$K$2000,(소재DB_RAW!$G$3:$G$2000=$D220)*ISERROR(SEARCH("drop",소재DB_RAW!$C$3:$C$2000))))),"")</f>
        <v/>
      </c>
      <c r="W220" s="20" t="inlineStr">
        <is>
          <t>베트남</t>
        </is>
      </c>
      <c r="X220" s="20">
        <f>IFERROR(TEXTJOIN(" / ",TRUE,UNIQUE(FILTER(소재DB_RAW!$N$3:$N$2000,(소재DB_RAW!$G$3:$G$2000=$D220)*ISERROR(SEARCH("drop",소재DB_RAW!$C$3:$C$2000))))),"")</f>
        <v/>
      </c>
      <c r="Y220" s="26">
        <f>IFERROR(TEXTJOIN(CHAR(10),TRUE,UNIQUE(FILTER(소재DB_RAW!$N$3:$N$2000&amp;") "&amp;소재DB_RAW!$O$3:$O$2000,(소재DB_RAW!$G$3:$G$2000=$D220)*ISNUMBER(SEARCH("겉감",소재DB_RAW!$M$3:$M$2000))*ISERROR(SEARCH("drop",소재DB_RAW!$C$3:$C$2000))))),"")</f>
        <v/>
      </c>
      <c r="Z220" s="26">
        <f>IFERROR(TEXTJOIN(CHAR(10),TRUE,UNIQUE(FILTER(소재DB_RAW!$N$3:$N$2000&amp;") "&amp;소재DB_RAW!$O$3:$O$2000,(소재DB_RAW!$G$3:$G$2000=$D220)*ISNUMBER(SEARCH("안감",소재DB_RAW!$M$3:$M$2000))*ISERROR(SEARCH("drop",소재DB_RAW!$C$3:$C$2000))))),"")</f>
        <v/>
      </c>
      <c r="AA220" s="27" t="n">
        <v>2000</v>
      </c>
      <c r="AB220" s="27" t="n">
        <v>70766000</v>
      </c>
      <c r="AC220" s="27" t="n">
        <v>336000000</v>
      </c>
      <c r="AD220" s="20" t="inlineStr">
        <is>
          <t>3월2주</t>
        </is>
      </c>
      <c r="AE220" s="20">
        <f>IF($K220="","출고일 미정",IF($Q220="X","작지 미발행",IF($Q220="부분","작지 일부 미발행",IF(AND($S220&lt;&gt;"",$S220&gt;$N220),"소재입고 마감("&amp;TEXT($N220,"MM/DD")&amp;") 초과",IF($Q220="","발행여부 확인 필요",IF($S220="","소재 입고일정 확인 필요","정상"))))))</f>
        <v/>
      </c>
      <c r="AF220" s="19">
        <f>IF($K220="","",IF(OR(LEFT($AE220,2)="작지",LEFT($AE220,4)="소재입고"),IF(LEFT($G220,1)="S","★ 납기위험(S코드)","◆ 지연주의"),IF($AE220="정상","✓ 정상","? 확인필요")))</f>
        <v/>
      </c>
      <c r="AG220" s="21" t="n"/>
      <c r="AH220" s="28" t="n"/>
    </row>
    <row r="221">
      <c r="A221" s="19" t="n">
        <v>217</v>
      </c>
      <c r="B221" s="20" t="inlineStr">
        <is>
          <t>박진아</t>
        </is>
      </c>
      <c r="C221" s="20" t="inlineStr">
        <is>
          <t>조이슬</t>
        </is>
      </c>
      <c r="D221" s="20" t="inlineStr">
        <is>
          <t>JKSXM27182</t>
        </is>
      </c>
      <c r="E221" s="20" t="inlineStr">
        <is>
          <t>하절 여성 에어도트 긴팔 셔츠</t>
        </is>
      </c>
      <c r="F221" s="20" t="inlineStr">
        <is>
          <t>BLK(BLACK)</t>
        </is>
      </c>
      <c r="G221" s="19">
        <f>IF($D221="","",IF(MID($D221,5,1)="S","S(봄)",IF(MID($D221,5,1)="M","M(여름)",IF(MID($D221,5,1)="X","X(사계절)",MID($D221,5,1)))))</f>
        <v/>
      </c>
      <c r="H221" s="20" t="inlineStr">
        <is>
          <t>완사입</t>
        </is>
      </c>
      <c r="I221" s="19" t="inlineStr"/>
      <c r="J221" s="21" t="inlineStr">
        <is>
          <t>3월2주</t>
        </is>
      </c>
      <c r="K221" s="22">
        <f>IF($J221="","",IFERROR(DATE(IF(VALUE(LEFT($J221,FIND("월",$J221)-1))&gt;=9,기준정보!$C$7-1,기준정보!$C$7),VALUE(LEFT($J221,FIND("월",$J221)-1)),1+7*(VALUE(SUBSTITUTE(MID($J221,FIND("월",$J221)+1,5),"주",""))-1)),""))</f>
        <v/>
      </c>
      <c r="L221" s="22">
        <f>IF($K221="","",IF(AND($K221-기준정보!$C$5&gt;=기준정보!$C$10,$K221-기준정보!$C$5&lt;=기준정보!$C$11),기준정보!$C$10-1,$K221-기준정보!$C$5))</f>
        <v/>
      </c>
      <c r="M221" s="23">
        <f>IF($L221="","",IF(OR(ISNUMBER(SEARCH("중국",$W221)),ISNUMBER(SEARCH("베트남",$W221))),MAX(0,MIN($L221,기준정보!$C$9)-MAX($L221-기준정보!$C$6,기준정보!$C$8)+1),IF(ISNUMBER(SEARCH("한국",$W221)),MAX(0,MIN($L221,기준정보!$C$11)-MAX($L221-기준정보!$C$6,기준정보!$C$10)+1),0)))</f>
        <v/>
      </c>
      <c r="N221" s="22">
        <f>IF($L221="","",$L221-기준정보!$C$6-$M221)</f>
        <v/>
      </c>
      <c r="O221" s="24">
        <f>IF($N221="","",$N221-기준정보!$C$4)</f>
        <v/>
      </c>
      <c r="P221" s="21" t="n"/>
      <c r="Q221" s="21" t="inlineStr">
        <is>
          <t>O</t>
        </is>
      </c>
      <c r="R221" s="19">
        <f>IF(COUNTIF(EDW_RAW!$A$2:$A$1500,$D221)=0,"",IF(COUNTIFS(EDW_RAW!$A$2:$A$1500,$D221,EDW_RAW!$U$2:$U$1500,"&lt;&gt;~",EDW_RAW!$U$2:$U$1500,"&lt;&gt;")=COUNTIF(EDW_RAW!$A$2:$A$1500,$D221),"O",IF(COUNTIFS(EDW_RAW!$A$2:$A$1500,$D221,EDW_RAW!$U$2:$U$1500,"&lt;&gt;~",EDW_RAW!$U$2:$U$1500,"&lt;&gt;")&gt;0,"부분","X")))</f>
        <v/>
      </c>
      <c r="S221" s="25" t="n"/>
      <c r="T221" s="20">
        <f>IF($H221="","",IF(AND(ISNUMBER(SEARCH("CMT",$H221)),OR(ISNUMBER(SEARCH("완사입",$H221)),ISNUMBER(SEARCH("ODM",$H221)))),"본사/생산처 혼재",IF(ISNUMBER(SEARCH("CMT",$H221)),"본사(소재팀)","생산처")))</f>
        <v/>
      </c>
      <c r="U221" s="20" t="inlineStr">
        <is>
          <t>성원</t>
        </is>
      </c>
      <c r="V221" s="20">
        <f>IFERROR(TEXTJOIN(" / ",TRUE,UNIQUE(FILTER(소재DB_RAW!$K$3:$K$2000,(소재DB_RAW!$G$3:$G$2000=$D221)*ISERROR(SEARCH("drop",소재DB_RAW!$C$3:$C$2000))))),"")</f>
        <v/>
      </c>
      <c r="W221" s="20" t="inlineStr">
        <is>
          <t>베트남</t>
        </is>
      </c>
      <c r="X221" s="20">
        <f>IFERROR(TEXTJOIN(" / ",TRUE,UNIQUE(FILTER(소재DB_RAW!$N$3:$N$2000,(소재DB_RAW!$G$3:$G$2000=$D221)*ISERROR(SEARCH("drop",소재DB_RAW!$C$3:$C$2000))))),"")</f>
        <v/>
      </c>
      <c r="Y221" s="26">
        <f>IFERROR(TEXTJOIN(CHAR(10),TRUE,UNIQUE(FILTER(소재DB_RAW!$N$3:$N$2000&amp;") "&amp;소재DB_RAW!$O$3:$O$2000,(소재DB_RAW!$G$3:$G$2000=$D221)*ISNUMBER(SEARCH("겉감",소재DB_RAW!$M$3:$M$2000))*ISERROR(SEARCH("drop",소재DB_RAW!$C$3:$C$2000))))),"")</f>
        <v/>
      </c>
      <c r="Z221" s="26">
        <f>IFERROR(TEXTJOIN(CHAR(10),TRUE,UNIQUE(FILTER(소재DB_RAW!$N$3:$N$2000&amp;") "&amp;소재DB_RAW!$O$3:$O$2000,(소재DB_RAW!$G$3:$G$2000=$D221)*ISNUMBER(SEARCH("안감",소재DB_RAW!$M$3:$M$2000))*ISERROR(SEARCH("drop",소재DB_RAW!$C$3:$C$2000))))),"")</f>
        <v/>
      </c>
      <c r="AA221" s="27" t="n">
        <v>2000</v>
      </c>
      <c r="AB221" s="27" t="n">
        <v>74858000</v>
      </c>
      <c r="AC221" s="27" t="n">
        <v>336000000</v>
      </c>
      <c r="AD221" s="20" t="inlineStr">
        <is>
          <t>3월2주</t>
        </is>
      </c>
      <c r="AE221" s="20">
        <f>IF($K221="","출고일 미정",IF($Q221="X","작지 미발행",IF($Q221="부분","작지 일부 미발행",IF(AND($S221&lt;&gt;"",$S221&gt;$N221),"소재입고 마감("&amp;TEXT($N221,"MM/DD")&amp;") 초과",IF($Q221="","발행여부 확인 필요",IF($S221="","소재 입고일정 확인 필요","정상"))))))</f>
        <v/>
      </c>
      <c r="AF221" s="19">
        <f>IF($K221="","",IF(OR(LEFT($AE221,2)="작지",LEFT($AE221,4)="소재입고"),IF(LEFT($G221,1)="S","★ 납기위험(S코드)","◆ 지연주의"),IF($AE221="정상","✓ 정상","? 확인필요")))</f>
        <v/>
      </c>
      <c r="AG221" s="21" t="n"/>
      <c r="AH221" s="28" t="n"/>
    </row>
    <row r="222">
      <c r="A222" s="19" t="n">
        <v>218</v>
      </c>
      <c r="B222" s="20" t="inlineStr">
        <is>
          <t>박진아</t>
        </is>
      </c>
      <c r="C222" s="20" t="inlineStr">
        <is>
          <t>조이슬</t>
        </is>
      </c>
      <c r="D222" s="20" t="inlineStr">
        <is>
          <t>JKTCM27158</t>
        </is>
      </c>
      <c r="E222" s="20" t="inlineStr">
        <is>
          <t>하절 여성 MossDry 베이직 반팔 집업 티셔츠</t>
        </is>
      </c>
      <c r="F222" s="20" t="inlineStr">
        <is>
          <t>PYL, LSL</t>
        </is>
      </c>
      <c r="G222" s="19">
        <f>IF($D222="","",IF(MID($D222,5,1)="S","S(봄)",IF(MID($D222,5,1)="M","M(여름)",IF(MID($D222,5,1)="X","X(사계절)",MID($D222,5,1)))))</f>
        <v/>
      </c>
      <c r="H222" s="20" t="inlineStr">
        <is>
          <t>완사입</t>
        </is>
      </c>
      <c r="I222" s="19" t="inlineStr"/>
      <c r="J222" s="21" t="inlineStr">
        <is>
          <t>3월2주</t>
        </is>
      </c>
      <c r="K222" s="22">
        <f>IF($J222="","",IFERROR(DATE(IF(VALUE(LEFT($J222,FIND("월",$J222)-1))&gt;=9,기준정보!$C$7-1,기준정보!$C$7),VALUE(LEFT($J222,FIND("월",$J222)-1)),1+7*(VALUE(SUBSTITUTE(MID($J222,FIND("월",$J222)+1,5),"주",""))-1)),""))</f>
        <v/>
      </c>
      <c r="L222" s="22">
        <f>IF($K222="","",IF(AND($K222-기준정보!$C$5&gt;=기준정보!$C$10,$K222-기준정보!$C$5&lt;=기준정보!$C$11),기준정보!$C$10-1,$K222-기준정보!$C$5))</f>
        <v/>
      </c>
      <c r="M222" s="23">
        <f>IF($L222="","",IF(OR(ISNUMBER(SEARCH("중국",$W222)),ISNUMBER(SEARCH("베트남",$W222))),MAX(0,MIN($L222,기준정보!$C$9)-MAX($L222-기준정보!$C$6,기준정보!$C$8)+1),IF(ISNUMBER(SEARCH("한국",$W222)),MAX(0,MIN($L222,기준정보!$C$11)-MAX($L222-기준정보!$C$6,기준정보!$C$10)+1),0)))</f>
        <v/>
      </c>
      <c r="N222" s="22">
        <f>IF($L222="","",$L222-기준정보!$C$6-$M222)</f>
        <v/>
      </c>
      <c r="O222" s="24">
        <f>IF($N222="","",$N222-기준정보!$C$4)</f>
        <v/>
      </c>
      <c r="P222" s="21" t="n"/>
      <c r="Q222" s="21" t="inlineStr">
        <is>
          <t>O</t>
        </is>
      </c>
      <c r="R222" s="19">
        <f>IF(COUNTIF(EDW_RAW!$A$2:$A$1500,$D222)=0,"",IF(COUNTIFS(EDW_RAW!$A$2:$A$1500,$D222,EDW_RAW!$U$2:$U$1500,"&lt;&gt;~",EDW_RAW!$U$2:$U$1500,"&lt;&gt;")=COUNTIF(EDW_RAW!$A$2:$A$1500,$D222),"O",IF(COUNTIFS(EDW_RAW!$A$2:$A$1500,$D222,EDW_RAW!$U$2:$U$1500,"&lt;&gt;~",EDW_RAW!$U$2:$U$1500,"&lt;&gt;")&gt;0,"부분","X")))</f>
        <v/>
      </c>
      <c r="S222" s="25" t="n"/>
      <c r="T222" s="20">
        <f>IF($H222="","",IF(AND(ISNUMBER(SEARCH("CMT",$H222)),OR(ISNUMBER(SEARCH("완사입",$H222)),ISNUMBER(SEARCH("ODM",$H222)))),"본사/생산처 혼재",IF(ISNUMBER(SEARCH("CMT",$H222)),"본사(소재팀)","생산처")))</f>
        <v/>
      </c>
      <c r="U222" s="20" t="inlineStr">
        <is>
          <t>TESSELLATION</t>
        </is>
      </c>
      <c r="V222" s="20">
        <f>IFERROR(TEXTJOIN(" / ",TRUE,UNIQUE(FILTER(소재DB_RAW!$K$3:$K$2000,(소재DB_RAW!$G$3:$G$2000=$D222)*ISERROR(SEARCH("drop",소재DB_RAW!$C$3:$C$2000))))),"")</f>
        <v/>
      </c>
      <c r="W222" s="20" t="inlineStr">
        <is>
          <t>베트남</t>
        </is>
      </c>
      <c r="X222" s="20">
        <f>IFERROR(TEXTJOIN(" / ",TRUE,UNIQUE(FILTER(소재DB_RAW!$N$3:$N$2000,(소재DB_RAW!$G$3:$G$2000=$D222)*ISERROR(SEARCH("drop",소재DB_RAW!$C$3:$C$2000))))),"")</f>
        <v/>
      </c>
      <c r="Y222" s="26">
        <f>IFERROR(TEXTJOIN(CHAR(10),TRUE,UNIQUE(FILTER(소재DB_RAW!$N$3:$N$2000&amp;") "&amp;소재DB_RAW!$O$3:$O$2000,(소재DB_RAW!$G$3:$G$2000=$D222)*ISNUMBER(SEARCH("겉감",소재DB_RAW!$M$3:$M$2000))*ISERROR(SEARCH("drop",소재DB_RAW!$C$3:$C$2000))))),"")</f>
        <v/>
      </c>
      <c r="Z222" s="26">
        <f>IFERROR(TEXTJOIN(CHAR(10),TRUE,UNIQUE(FILTER(소재DB_RAW!$N$3:$N$2000&amp;") "&amp;소재DB_RAW!$O$3:$O$2000,(소재DB_RAW!$G$3:$G$2000=$D222)*ISNUMBER(SEARCH("안감",소재DB_RAW!$M$3:$M$2000))*ISERROR(SEARCH("drop",소재DB_RAW!$C$3:$C$2000))))),"")</f>
        <v/>
      </c>
      <c r="AA222" s="27" t="n">
        <v>1500</v>
      </c>
      <c r="AB222" s="27" t="n">
        <v>21750000</v>
      </c>
      <c r="AC222" s="27" t="n">
        <v>177000000</v>
      </c>
      <c r="AD222" s="20" t="inlineStr">
        <is>
          <t>3월2주</t>
        </is>
      </c>
      <c r="AE222" s="20">
        <f>IF($K222="","출고일 미정",IF($Q222="X","작지 미발행",IF($Q222="부분","작지 일부 미발행",IF(AND($S222&lt;&gt;"",$S222&gt;$N222),"소재입고 마감("&amp;TEXT($N222,"MM/DD")&amp;") 초과",IF($Q222="","발행여부 확인 필요",IF($S222="","소재 입고일정 확인 필요","정상"))))))</f>
        <v/>
      </c>
      <c r="AF222" s="19">
        <f>IF($K222="","",IF(OR(LEFT($AE222,2)="작지",LEFT($AE222,4)="소재입고"),IF(LEFT($G222,1)="S","★ 납기위험(S코드)","◆ 지연주의"),IF($AE222="정상","✓ 정상","? 확인필요")))</f>
        <v/>
      </c>
      <c r="AG222" s="21" t="n"/>
      <c r="AH222" s="28" t="n"/>
    </row>
    <row r="223">
      <c r="A223" s="19" t="n">
        <v>219</v>
      </c>
      <c r="B223" s="20" t="inlineStr">
        <is>
          <t>박진아</t>
        </is>
      </c>
      <c r="C223" s="20" t="inlineStr">
        <is>
          <t>조이슬</t>
        </is>
      </c>
      <c r="D223" s="20" t="inlineStr">
        <is>
          <t>JKTCM27160</t>
        </is>
      </c>
      <c r="E223" s="20" t="inlineStr">
        <is>
          <t>하절 여성 MossDry 베이직 반팔 라운드 티셔츠</t>
        </is>
      </c>
      <c r="F223" s="20" t="inlineStr">
        <is>
          <t>IVO(IVORY), LIL(LILAC), BLK(BLACK)</t>
        </is>
      </c>
      <c r="G223" s="19">
        <f>IF($D223="","",IF(MID($D223,5,1)="S","S(봄)",IF(MID($D223,5,1)="M","M(여름)",IF(MID($D223,5,1)="X","X(사계절)",MID($D223,5,1)))))</f>
        <v/>
      </c>
      <c r="H223" s="20" t="inlineStr">
        <is>
          <t>완사입</t>
        </is>
      </c>
      <c r="I223" s="19" t="inlineStr"/>
      <c r="J223" s="21" t="inlineStr">
        <is>
          <t>3월2주</t>
        </is>
      </c>
      <c r="K223" s="22">
        <f>IF($J223="","",IFERROR(DATE(IF(VALUE(LEFT($J223,FIND("월",$J223)-1))&gt;=9,기준정보!$C$7-1,기준정보!$C$7),VALUE(LEFT($J223,FIND("월",$J223)-1)),1+7*(VALUE(SUBSTITUTE(MID($J223,FIND("월",$J223)+1,5),"주",""))-1)),""))</f>
        <v/>
      </c>
      <c r="L223" s="22">
        <f>IF($K223="","",IF(AND($K223-기준정보!$C$5&gt;=기준정보!$C$10,$K223-기준정보!$C$5&lt;=기준정보!$C$11),기준정보!$C$10-1,$K223-기준정보!$C$5))</f>
        <v/>
      </c>
      <c r="M223" s="23">
        <f>IF($L223="","",IF(OR(ISNUMBER(SEARCH("중국",$W223)),ISNUMBER(SEARCH("베트남",$W223))),MAX(0,MIN($L223,기준정보!$C$9)-MAX($L223-기준정보!$C$6,기준정보!$C$8)+1),IF(ISNUMBER(SEARCH("한국",$W223)),MAX(0,MIN($L223,기준정보!$C$11)-MAX($L223-기준정보!$C$6,기준정보!$C$10)+1),0)))</f>
        <v/>
      </c>
      <c r="N223" s="22">
        <f>IF($L223="","",$L223-기준정보!$C$6-$M223)</f>
        <v/>
      </c>
      <c r="O223" s="24">
        <f>IF($N223="","",$N223-기준정보!$C$4)</f>
        <v/>
      </c>
      <c r="P223" s="21" t="n"/>
      <c r="Q223" s="21" t="inlineStr">
        <is>
          <t>O</t>
        </is>
      </c>
      <c r="R223" s="19">
        <f>IF(COUNTIF(EDW_RAW!$A$2:$A$1500,$D223)=0,"",IF(COUNTIFS(EDW_RAW!$A$2:$A$1500,$D223,EDW_RAW!$U$2:$U$1500,"&lt;&gt;~",EDW_RAW!$U$2:$U$1500,"&lt;&gt;")=COUNTIF(EDW_RAW!$A$2:$A$1500,$D223),"O",IF(COUNTIFS(EDW_RAW!$A$2:$A$1500,$D223,EDW_RAW!$U$2:$U$1500,"&lt;&gt;~",EDW_RAW!$U$2:$U$1500,"&lt;&gt;")&gt;0,"부분","X")))</f>
        <v/>
      </c>
      <c r="S223" s="25" t="n"/>
      <c r="T223" s="20">
        <f>IF($H223="","",IF(AND(ISNUMBER(SEARCH("CMT",$H223)),OR(ISNUMBER(SEARCH("완사입",$H223)),ISNUMBER(SEARCH("ODM",$H223)))),"본사/생산처 혼재",IF(ISNUMBER(SEARCH("CMT",$H223)),"본사(소재팀)","생산처")))</f>
        <v/>
      </c>
      <c r="U223" s="20" t="inlineStr">
        <is>
          <t>TESSELLATION</t>
        </is>
      </c>
      <c r="V223" s="20">
        <f>IFERROR(TEXTJOIN(" / ",TRUE,UNIQUE(FILTER(소재DB_RAW!$K$3:$K$2000,(소재DB_RAW!$G$3:$G$2000=$D223)*ISERROR(SEARCH("drop",소재DB_RAW!$C$3:$C$2000))))),"")</f>
        <v/>
      </c>
      <c r="W223" s="20" t="inlineStr">
        <is>
          <t>베트남</t>
        </is>
      </c>
      <c r="X223" s="20">
        <f>IFERROR(TEXTJOIN(" / ",TRUE,UNIQUE(FILTER(소재DB_RAW!$N$3:$N$2000,(소재DB_RAW!$G$3:$G$2000=$D223)*ISERROR(SEARCH("drop",소재DB_RAW!$C$3:$C$2000))))),"")</f>
        <v/>
      </c>
      <c r="Y223" s="26">
        <f>IFERROR(TEXTJOIN(CHAR(10),TRUE,UNIQUE(FILTER(소재DB_RAW!$N$3:$N$2000&amp;") "&amp;소재DB_RAW!$O$3:$O$2000,(소재DB_RAW!$G$3:$G$2000=$D223)*ISNUMBER(SEARCH("겉감",소재DB_RAW!$M$3:$M$2000))*ISERROR(SEARCH("drop",소재DB_RAW!$C$3:$C$2000))))),"")</f>
        <v/>
      </c>
      <c r="Z223" s="26">
        <f>IFERROR(TEXTJOIN(CHAR(10),TRUE,UNIQUE(FILTER(소재DB_RAW!$N$3:$N$2000&amp;") "&amp;소재DB_RAW!$O$3:$O$2000,(소재DB_RAW!$G$3:$G$2000=$D223)*ISNUMBER(SEARCH("안감",소재DB_RAW!$M$3:$M$2000))*ISERROR(SEARCH("drop",소재DB_RAW!$C$3:$C$2000))))),"")</f>
        <v/>
      </c>
      <c r="AA223" s="27" t="n">
        <v>6300</v>
      </c>
      <c r="AB223" s="27" t="n">
        <v>59850000</v>
      </c>
      <c r="AC223" s="27" t="n">
        <v>428400000</v>
      </c>
      <c r="AD223" s="20" t="inlineStr">
        <is>
          <t>3월2주</t>
        </is>
      </c>
      <c r="AE223" s="20">
        <f>IF($K223="","출고일 미정",IF($Q223="X","작지 미발행",IF($Q223="부분","작지 일부 미발행",IF(AND($S223&lt;&gt;"",$S223&gt;$N223),"소재입고 마감("&amp;TEXT($N223,"MM/DD")&amp;") 초과",IF($Q223="","발행여부 확인 필요",IF($S223="","소재 입고일정 확인 필요","정상"))))))</f>
        <v/>
      </c>
      <c r="AF223" s="19">
        <f>IF($K223="","",IF(OR(LEFT($AE223,2)="작지",LEFT($AE223,4)="소재입고"),IF(LEFT($G223,1)="S","★ 납기위험(S코드)","◆ 지연주의"),IF($AE223="정상","✓ 정상","? 확인필요")))</f>
        <v/>
      </c>
      <c r="AG223" s="21" t="n"/>
      <c r="AH223" s="28" t="n"/>
    </row>
    <row r="224">
      <c r="A224" s="19" t="n">
        <v>220</v>
      </c>
      <c r="B224" s="20" t="inlineStr">
        <is>
          <t>박진아</t>
        </is>
      </c>
      <c r="C224" s="20" t="inlineStr">
        <is>
          <t>조이슬</t>
        </is>
      </c>
      <c r="D224" s="20" t="inlineStr">
        <is>
          <t>JKTCM27184</t>
        </is>
      </c>
      <c r="E224" s="20" t="inlineStr">
        <is>
          <t>하절 여성 에어도트 반팔 폴로 티셔츠</t>
        </is>
      </c>
      <c r="F224" s="20" t="inlineStr">
        <is>
          <t>MIN, BLK(BLACK)</t>
        </is>
      </c>
      <c r="G224" s="19">
        <f>IF($D224="","",IF(MID($D224,5,1)="S","S(봄)",IF(MID($D224,5,1)="M","M(여름)",IF(MID($D224,5,1)="X","X(사계절)",MID($D224,5,1)))))</f>
        <v/>
      </c>
      <c r="H224" s="20" t="inlineStr">
        <is>
          <t>완사입</t>
        </is>
      </c>
      <c r="I224" s="19" t="inlineStr"/>
      <c r="J224" s="21" t="inlineStr">
        <is>
          <t>3월2주</t>
        </is>
      </c>
      <c r="K224" s="22">
        <f>IF($J224="","",IFERROR(DATE(IF(VALUE(LEFT($J224,FIND("월",$J224)-1))&gt;=9,기준정보!$C$7-1,기준정보!$C$7),VALUE(LEFT($J224,FIND("월",$J224)-1)),1+7*(VALUE(SUBSTITUTE(MID($J224,FIND("월",$J224)+1,5),"주",""))-1)),""))</f>
        <v/>
      </c>
      <c r="L224" s="22">
        <f>IF($K224="","",IF(AND($K224-기준정보!$C$5&gt;=기준정보!$C$10,$K224-기준정보!$C$5&lt;=기준정보!$C$11),기준정보!$C$10-1,$K224-기준정보!$C$5))</f>
        <v/>
      </c>
      <c r="M224" s="23">
        <f>IF($L224="","",IF(OR(ISNUMBER(SEARCH("중국",$W224)),ISNUMBER(SEARCH("베트남",$W224))),MAX(0,MIN($L224,기준정보!$C$9)-MAX($L224-기준정보!$C$6,기준정보!$C$8)+1),IF(ISNUMBER(SEARCH("한국",$W224)),MAX(0,MIN($L224,기준정보!$C$11)-MAX($L224-기준정보!$C$6,기준정보!$C$10)+1),0)))</f>
        <v/>
      </c>
      <c r="N224" s="22">
        <f>IF($L224="","",$L224-기준정보!$C$6-$M224)</f>
        <v/>
      </c>
      <c r="O224" s="24">
        <f>IF($N224="","",$N224-기준정보!$C$4)</f>
        <v/>
      </c>
      <c r="P224" s="21" t="n"/>
      <c r="Q224" s="21" t="inlineStr">
        <is>
          <t>O</t>
        </is>
      </c>
      <c r="R224" s="19">
        <f>IF(COUNTIF(EDW_RAW!$A$2:$A$1500,$D224)=0,"",IF(COUNTIFS(EDW_RAW!$A$2:$A$1500,$D224,EDW_RAW!$U$2:$U$1500,"&lt;&gt;~",EDW_RAW!$U$2:$U$1500,"&lt;&gt;")=COUNTIF(EDW_RAW!$A$2:$A$1500,$D224),"O",IF(COUNTIFS(EDW_RAW!$A$2:$A$1500,$D224,EDW_RAW!$U$2:$U$1500,"&lt;&gt;~",EDW_RAW!$U$2:$U$1500,"&lt;&gt;")&gt;0,"부분","X")))</f>
        <v/>
      </c>
      <c r="S224" s="25" t="n"/>
      <c r="T224" s="20">
        <f>IF($H224="","",IF(AND(ISNUMBER(SEARCH("CMT",$H224)),OR(ISNUMBER(SEARCH("완사입",$H224)),ISNUMBER(SEARCH("ODM",$H224)))),"본사/생산처 혼재",IF(ISNUMBER(SEARCH("CMT",$H224)),"본사(소재팀)","생산처")))</f>
        <v/>
      </c>
      <c r="U224" s="20" t="inlineStr">
        <is>
          <t>장안</t>
        </is>
      </c>
      <c r="V224" s="20">
        <f>IFERROR(TEXTJOIN(" / ",TRUE,UNIQUE(FILTER(소재DB_RAW!$K$3:$K$2000,(소재DB_RAW!$G$3:$G$2000=$D224)*ISERROR(SEARCH("drop",소재DB_RAW!$C$3:$C$2000))))),"")</f>
        <v/>
      </c>
      <c r="W224" s="20" t="inlineStr">
        <is>
          <t>베트남</t>
        </is>
      </c>
      <c r="X224" s="20">
        <f>IFERROR(TEXTJOIN(" / ",TRUE,UNIQUE(FILTER(소재DB_RAW!$N$3:$N$2000,(소재DB_RAW!$G$3:$G$2000=$D224)*ISERROR(SEARCH("drop",소재DB_RAW!$C$3:$C$2000))))),"")</f>
        <v/>
      </c>
      <c r="Y224" s="26">
        <f>IFERROR(TEXTJOIN(CHAR(10),TRUE,UNIQUE(FILTER(소재DB_RAW!$N$3:$N$2000&amp;") "&amp;소재DB_RAW!$O$3:$O$2000,(소재DB_RAW!$G$3:$G$2000=$D224)*ISNUMBER(SEARCH("겉감",소재DB_RAW!$M$3:$M$2000))*ISERROR(SEARCH("drop",소재DB_RAW!$C$3:$C$2000))))),"")</f>
        <v/>
      </c>
      <c r="Z224" s="26">
        <f>IFERROR(TEXTJOIN(CHAR(10),TRUE,UNIQUE(FILTER(소재DB_RAW!$N$3:$N$2000&amp;") "&amp;소재DB_RAW!$O$3:$O$2000,(소재DB_RAW!$G$3:$G$2000=$D224)*ISNUMBER(SEARCH("안감",소재DB_RAW!$M$3:$M$2000))*ISERROR(SEARCH("drop",소재DB_RAW!$C$3:$C$2000))))),"")</f>
        <v/>
      </c>
      <c r="AA224" s="27" t="n">
        <v>2500</v>
      </c>
      <c r="AB224" s="27" t="n">
        <v>50685000</v>
      </c>
      <c r="AC224" s="27" t="n">
        <v>345000000</v>
      </c>
      <c r="AD224" s="20" t="inlineStr">
        <is>
          <t>3월2주</t>
        </is>
      </c>
      <c r="AE224" s="20">
        <f>IF($K224="","출고일 미정",IF($Q224="X","작지 미발행",IF($Q224="부분","작지 일부 미발행",IF(AND($S224&lt;&gt;"",$S224&gt;$N224),"소재입고 마감("&amp;TEXT($N224,"MM/DD")&amp;") 초과",IF($Q224="","발행여부 확인 필요",IF($S224="","소재 입고일정 확인 필요","정상"))))))</f>
        <v/>
      </c>
      <c r="AF224" s="19">
        <f>IF($K224="","",IF(OR(LEFT($AE224,2)="작지",LEFT($AE224,4)="소재입고"),IF(LEFT($G224,1)="S","★ 납기위험(S코드)","◆ 지연주의"),IF($AE224="정상","✓ 정상","? 확인필요")))</f>
        <v/>
      </c>
      <c r="AG224" s="21" t="n"/>
      <c r="AH224" s="28" t="n"/>
    </row>
    <row r="225">
      <c r="A225" s="19" t="n">
        <v>221</v>
      </c>
      <c r="B225" s="20" t="inlineStr">
        <is>
          <t>박진아</t>
        </is>
      </c>
      <c r="C225" s="20" t="inlineStr">
        <is>
          <t>조이슬</t>
        </is>
      </c>
      <c r="D225" s="20" t="inlineStr">
        <is>
          <t>JKTCM27186</t>
        </is>
      </c>
      <c r="E225" s="20" t="inlineStr">
        <is>
          <t>하절 여성 에어도트 반팔 후드 티셔츠</t>
        </is>
      </c>
      <c r="F225" s="20" t="inlineStr">
        <is>
          <t>MIN, CRE(CREAM), BLK(BLACK)</t>
        </is>
      </c>
      <c r="G225" s="19">
        <f>IF($D225="","",IF(MID($D225,5,1)="S","S(봄)",IF(MID($D225,5,1)="M","M(여름)",IF(MID($D225,5,1)="X","X(사계절)",MID($D225,5,1)))))</f>
        <v/>
      </c>
      <c r="H225" s="20" t="inlineStr">
        <is>
          <t>완사입</t>
        </is>
      </c>
      <c r="I225" s="19" t="inlineStr"/>
      <c r="J225" s="21" t="inlineStr">
        <is>
          <t>3월2주</t>
        </is>
      </c>
      <c r="K225" s="22">
        <f>IF($J225="","",IFERROR(DATE(IF(VALUE(LEFT($J225,FIND("월",$J225)-1))&gt;=9,기준정보!$C$7-1,기준정보!$C$7),VALUE(LEFT($J225,FIND("월",$J225)-1)),1+7*(VALUE(SUBSTITUTE(MID($J225,FIND("월",$J225)+1,5),"주",""))-1)),""))</f>
        <v/>
      </c>
      <c r="L225" s="22">
        <f>IF($K225="","",IF(AND($K225-기준정보!$C$5&gt;=기준정보!$C$10,$K225-기준정보!$C$5&lt;=기준정보!$C$11),기준정보!$C$10-1,$K225-기준정보!$C$5))</f>
        <v/>
      </c>
      <c r="M225" s="23">
        <f>IF($L225="","",IF(OR(ISNUMBER(SEARCH("중국",$W225)),ISNUMBER(SEARCH("베트남",$W225))),MAX(0,MIN($L225,기준정보!$C$9)-MAX($L225-기준정보!$C$6,기준정보!$C$8)+1),IF(ISNUMBER(SEARCH("한국",$W225)),MAX(0,MIN($L225,기준정보!$C$11)-MAX($L225-기준정보!$C$6,기준정보!$C$10)+1),0)))</f>
        <v/>
      </c>
      <c r="N225" s="22">
        <f>IF($L225="","",$L225-기준정보!$C$6-$M225)</f>
        <v/>
      </c>
      <c r="O225" s="24">
        <f>IF($N225="","",$N225-기준정보!$C$4)</f>
        <v/>
      </c>
      <c r="P225" s="21" t="n"/>
      <c r="Q225" s="21" t="inlineStr">
        <is>
          <t>O</t>
        </is>
      </c>
      <c r="R225" s="19">
        <f>IF(COUNTIF(EDW_RAW!$A$2:$A$1500,$D225)=0,"",IF(COUNTIFS(EDW_RAW!$A$2:$A$1500,$D225,EDW_RAW!$U$2:$U$1500,"&lt;&gt;~",EDW_RAW!$U$2:$U$1500,"&lt;&gt;")=COUNTIF(EDW_RAW!$A$2:$A$1500,$D225),"O",IF(COUNTIFS(EDW_RAW!$A$2:$A$1500,$D225,EDW_RAW!$U$2:$U$1500,"&lt;&gt;~",EDW_RAW!$U$2:$U$1500,"&lt;&gt;")&gt;0,"부분","X")))</f>
        <v/>
      </c>
      <c r="S225" s="25" t="n"/>
      <c r="T225" s="20">
        <f>IF($H225="","",IF(AND(ISNUMBER(SEARCH("CMT",$H225)),OR(ISNUMBER(SEARCH("완사입",$H225)),ISNUMBER(SEARCH("ODM",$H225)))),"본사/생산처 혼재",IF(ISNUMBER(SEARCH("CMT",$H225)),"본사(소재팀)","생산처")))</f>
        <v/>
      </c>
      <c r="U225" s="20" t="inlineStr">
        <is>
          <t>태화</t>
        </is>
      </c>
      <c r="V225" s="20">
        <f>IFERROR(TEXTJOIN(" / ",TRUE,UNIQUE(FILTER(소재DB_RAW!$K$3:$K$2000,(소재DB_RAW!$G$3:$G$2000=$D225)*ISERROR(SEARCH("drop",소재DB_RAW!$C$3:$C$2000))))),"")</f>
        <v/>
      </c>
      <c r="W225" s="20" t="inlineStr">
        <is>
          <t>베트남</t>
        </is>
      </c>
      <c r="X225" s="20">
        <f>IFERROR(TEXTJOIN(" / ",TRUE,UNIQUE(FILTER(소재DB_RAW!$N$3:$N$2000,(소재DB_RAW!$G$3:$G$2000=$D225)*ISERROR(SEARCH("drop",소재DB_RAW!$C$3:$C$2000))))),"")</f>
        <v/>
      </c>
      <c r="Y225" s="26">
        <f>IFERROR(TEXTJOIN(CHAR(10),TRUE,UNIQUE(FILTER(소재DB_RAW!$N$3:$N$2000&amp;") "&amp;소재DB_RAW!$O$3:$O$2000,(소재DB_RAW!$G$3:$G$2000=$D225)*ISNUMBER(SEARCH("겉감",소재DB_RAW!$M$3:$M$2000))*ISERROR(SEARCH("drop",소재DB_RAW!$C$3:$C$2000))))),"")</f>
        <v/>
      </c>
      <c r="Z225" s="26">
        <f>IFERROR(TEXTJOIN(CHAR(10),TRUE,UNIQUE(FILTER(소재DB_RAW!$N$3:$N$2000&amp;") "&amp;소재DB_RAW!$O$3:$O$2000,(소재DB_RAW!$G$3:$G$2000=$D225)*ISNUMBER(SEARCH("안감",소재DB_RAW!$M$3:$M$2000))*ISERROR(SEARCH("drop",소재DB_RAW!$C$3:$C$2000))))),"")</f>
        <v/>
      </c>
      <c r="AA225" s="27" t="n">
        <v>4500</v>
      </c>
      <c r="AB225" s="27" t="n">
        <v>126063000</v>
      </c>
      <c r="AC225" s="27" t="n">
        <v>621000000</v>
      </c>
      <c r="AD225" s="20" t="inlineStr">
        <is>
          <t>3월2주</t>
        </is>
      </c>
      <c r="AE225" s="20">
        <f>IF($K225="","출고일 미정",IF($Q225="X","작지 미발행",IF($Q225="부분","작지 일부 미발행",IF(AND($S225&lt;&gt;"",$S225&gt;$N225),"소재입고 마감("&amp;TEXT($N225,"MM/DD")&amp;") 초과",IF($Q225="","발행여부 확인 필요",IF($S225="","소재 입고일정 확인 필요","정상"))))))</f>
        <v/>
      </c>
      <c r="AF225" s="19">
        <f>IF($K225="","",IF(OR(LEFT($AE225,2)="작지",LEFT($AE225,4)="소재입고"),IF(LEFT($G225,1)="S","★ 납기위험(S코드)","◆ 지연주의"),IF($AE225="정상","✓ 정상","? 확인필요")))</f>
        <v/>
      </c>
      <c r="AG225" s="21" t="n"/>
      <c r="AH225" s="28" t="n"/>
    </row>
    <row r="226">
      <c r="A226" s="19" t="n">
        <v>222</v>
      </c>
      <c r="B226" s="20" t="inlineStr">
        <is>
          <t>이재헌</t>
        </is>
      </c>
      <c r="C226" s="20" t="inlineStr">
        <is>
          <t>정은진</t>
        </is>
      </c>
      <c r="D226" s="20" t="inlineStr">
        <is>
          <t>JWJJM27155</t>
        </is>
      </c>
      <c r="E226" s="20" t="inlineStr">
        <is>
          <t>남성 고강력사 방풍 재킷</t>
        </is>
      </c>
      <c r="F226" s="20" t="inlineStr">
        <is>
          <t>DOC(D/OCEAN), BLK(BLACK)</t>
        </is>
      </c>
      <c r="G226" s="19">
        <f>IF($D226="","",IF(MID($D226,5,1)="S","S(봄)",IF(MID($D226,5,1)="M","M(여름)",IF(MID($D226,5,1)="X","X(사계절)",MID($D226,5,1)))))</f>
        <v/>
      </c>
      <c r="H226" s="20" t="inlineStr">
        <is>
          <t>완사입</t>
        </is>
      </c>
      <c r="I226" s="19" t="inlineStr"/>
      <c r="J226" s="21" t="inlineStr">
        <is>
          <t>3월2주</t>
        </is>
      </c>
      <c r="K226" s="22">
        <f>IF($J226="","",IFERROR(DATE(IF(VALUE(LEFT($J226,FIND("월",$J226)-1))&gt;=9,기준정보!$C$7-1,기준정보!$C$7),VALUE(LEFT($J226,FIND("월",$J226)-1)),1+7*(VALUE(SUBSTITUTE(MID($J226,FIND("월",$J226)+1,5),"주",""))-1)),""))</f>
        <v/>
      </c>
      <c r="L226" s="22">
        <f>IF($K226="","",IF(AND($K226-기준정보!$C$5&gt;=기준정보!$C$10,$K226-기준정보!$C$5&lt;=기준정보!$C$11),기준정보!$C$10-1,$K226-기준정보!$C$5))</f>
        <v/>
      </c>
      <c r="M226" s="23">
        <f>IF($L226="","",IF(OR(ISNUMBER(SEARCH("중국",$W226)),ISNUMBER(SEARCH("베트남",$W226))),MAX(0,MIN($L226,기준정보!$C$9)-MAX($L226-기준정보!$C$6,기준정보!$C$8)+1),IF(ISNUMBER(SEARCH("한국",$W226)),MAX(0,MIN($L226,기준정보!$C$11)-MAX($L226-기준정보!$C$6,기준정보!$C$10)+1),0)))</f>
        <v/>
      </c>
      <c r="N226" s="22">
        <f>IF($L226="","",$L226-기준정보!$C$6-$M226)</f>
        <v/>
      </c>
      <c r="O226" s="24">
        <f>IF($N226="","",$N226-기준정보!$C$4)</f>
        <v/>
      </c>
      <c r="P226" s="21" t="n"/>
      <c r="Q226" s="21" t="inlineStr">
        <is>
          <t>O</t>
        </is>
      </c>
      <c r="R226" s="19">
        <f>IF(COUNTIF(EDW_RAW!$A$2:$A$1500,$D226)=0,"",IF(COUNTIFS(EDW_RAW!$A$2:$A$1500,$D226,EDW_RAW!$U$2:$U$1500,"&lt;&gt;~",EDW_RAW!$U$2:$U$1500,"&lt;&gt;")=COUNTIF(EDW_RAW!$A$2:$A$1500,$D226),"O",IF(COUNTIFS(EDW_RAW!$A$2:$A$1500,$D226,EDW_RAW!$U$2:$U$1500,"&lt;&gt;~",EDW_RAW!$U$2:$U$1500,"&lt;&gt;")&gt;0,"부분","X")))</f>
        <v/>
      </c>
      <c r="S226" s="25" t="n"/>
      <c r="T226" s="20">
        <f>IF($H226="","",IF(AND(ISNUMBER(SEARCH("CMT",$H226)),OR(ISNUMBER(SEARCH("완사입",$H226)),ISNUMBER(SEARCH("ODM",$H226)))),"본사/생산처 혼재",IF(ISNUMBER(SEARCH("CMT",$H226)),"본사(소재팀)","생산처")))</f>
        <v/>
      </c>
      <c r="U226" s="20" t="inlineStr">
        <is>
          <t>원전</t>
        </is>
      </c>
      <c r="V226" s="20">
        <f>IFERROR(TEXTJOIN(" / ",TRUE,UNIQUE(FILTER(소재DB_RAW!$K$3:$K$2000,(소재DB_RAW!$G$3:$G$2000=$D226)*ISERROR(SEARCH("drop",소재DB_RAW!$C$3:$C$2000))))),"")</f>
        <v/>
      </c>
      <c r="W226" s="20" t="inlineStr">
        <is>
          <t>인도네시아</t>
        </is>
      </c>
      <c r="X226" s="20">
        <f>IFERROR(TEXTJOIN(" / ",TRUE,UNIQUE(FILTER(소재DB_RAW!$N$3:$N$2000,(소재DB_RAW!$G$3:$G$2000=$D226)*ISERROR(SEARCH("drop",소재DB_RAW!$C$3:$C$2000))))),"")</f>
        <v/>
      </c>
      <c r="Y226" s="26">
        <f>IFERROR(TEXTJOIN(CHAR(10),TRUE,UNIQUE(FILTER(소재DB_RAW!$N$3:$N$2000&amp;") "&amp;소재DB_RAW!$O$3:$O$2000,(소재DB_RAW!$G$3:$G$2000=$D226)*ISNUMBER(SEARCH("겉감",소재DB_RAW!$M$3:$M$2000))*ISERROR(SEARCH("drop",소재DB_RAW!$C$3:$C$2000))))),"")</f>
        <v/>
      </c>
      <c r="Z226" s="26">
        <f>IFERROR(TEXTJOIN(CHAR(10),TRUE,UNIQUE(FILTER(소재DB_RAW!$N$3:$N$2000&amp;") "&amp;소재DB_RAW!$O$3:$O$2000,(소재DB_RAW!$G$3:$G$2000=$D226)*ISNUMBER(SEARCH("안감",소재DB_RAW!$M$3:$M$2000))*ISERROR(SEARCH("drop",소재DB_RAW!$C$3:$C$2000))))),"")</f>
        <v/>
      </c>
      <c r="AA226" s="27" t="n">
        <v>3200</v>
      </c>
      <c r="AB226" s="27" t="n">
        <v>192000000</v>
      </c>
      <c r="AC226" s="27" t="n">
        <v>928000000</v>
      </c>
      <c r="AD226" s="20" t="n"/>
      <c r="AE226" s="20">
        <f>IF($K226="","출고일 미정",IF($Q226="X","작지 미발행",IF($Q226="부분","작지 일부 미발행",IF(AND($S226&lt;&gt;"",$S226&gt;$N226),"소재입고 마감("&amp;TEXT($N226,"MM/DD")&amp;") 초과",IF($Q226="","발행여부 확인 필요",IF($S226="","소재 입고일정 확인 필요","정상"))))))</f>
        <v/>
      </c>
      <c r="AF226" s="19">
        <f>IF($K226="","",IF(OR(LEFT($AE226,2)="작지",LEFT($AE226,4)="소재입고"),IF(LEFT($G226,1)="S","★ 납기위험(S코드)","◆ 지연주의"),IF($AE226="정상","✓ 정상","? 확인필요")))</f>
        <v/>
      </c>
      <c r="AG226" s="21" t="n"/>
      <c r="AH226" s="28" t="n"/>
    </row>
    <row r="227">
      <c r="A227" s="19" t="n">
        <v>223</v>
      </c>
      <c r="B227" s="20" t="inlineStr">
        <is>
          <t>박술홍</t>
        </is>
      </c>
      <c r="C227" s="20" t="inlineStr">
        <is>
          <t>엄창용</t>
        </is>
      </c>
      <c r="D227" s="20" t="inlineStr">
        <is>
          <t>JWPNM27141</t>
        </is>
      </c>
      <c r="E227" s="20" t="inlineStr">
        <is>
          <t>하절 남성 소프트쉘 팬츠 (SET-UP)</t>
        </is>
      </c>
      <c r="F227" s="20" t="inlineStr">
        <is>
          <t>BLK(BLACK), BGY(B/GRAY)</t>
        </is>
      </c>
      <c r="G227" s="19">
        <f>IF($D227="","",IF(MID($D227,5,1)="S","S(봄)",IF(MID($D227,5,1)="M","M(여름)",IF(MID($D227,5,1)="X","X(사계절)",MID($D227,5,1)))))</f>
        <v/>
      </c>
      <c r="H227" s="20" t="inlineStr">
        <is>
          <t>완사입</t>
        </is>
      </c>
      <c r="I227" s="19" t="inlineStr">
        <is>
          <t>SM2</t>
        </is>
      </c>
      <c r="J227" s="21" t="inlineStr">
        <is>
          <t>3월2주</t>
        </is>
      </c>
      <c r="K227" s="22">
        <f>IF($J227="","",IFERROR(DATE(IF(VALUE(LEFT($J227,FIND("월",$J227)-1))&gt;=9,기준정보!$C$7-1,기준정보!$C$7),VALUE(LEFT($J227,FIND("월",$J227)-1)),1+7*(VALUE(SUBSTITUTE(MID($J227,FIND("월",$J227)+1,5),"주",""))-1)),""))</f>
        <v/>
      </c>
      <c r="L227" s="22">
        <f>IF($K227="","",IF(AND($K227-기준정보!$C$5&gt;=기준정보!$C$10,$K227-기준정보!$C$5&lt;=기준정보!$C$11),기준정보!$C$10-1,$K227-기준정보!$C$5))</f>
        <v/>
      </c>
      <c r="M227" s="23">
        <f>IF($L227="","",IF(OR(ISNUMBER(SEARCH("중국",$W227)),ISNUMBER(SEARCH("베트남",$W227))),MAX(0,MIN($L227,기준정보!$C$9)-MAX($L227-기준정보!$C$6,기준정보!$C$8)+1),IF(ISNUMBER(SEARCH("한국",$W227)),MAX(0,MIN($L227,기준정보!$C$11)-MAX($L227-기준정보!$C$6,기준정보!$C$10)+1),0)))</f>
        <v/>
      </c>
      <c r="N227" s="22">
        <f>IF($L227="","",$L227-기준정보!$C$6-$M227)</f>
        <v/>
      </c>
      <c r="O227" s="24">
        <f>IF($N227="","",$N227-기준정보!$C$4)</f>
        <v/>
      </c>
      <c r="P227" s="21" t="n"/>
      <c r="Q227" s="21" t="inlineStr">
        <is>
          <t>O</t>
        </is>
      </c>
      <c r="R227" s="19">
        <f>IF(COUNTIF(EDW_RAW!$A$2:$A$1500,$D227)=0,"",IF(COUNTIFS(EDW_RAW!$A$2:$A$1500,$D227,EDW_RAW!$U$2:$U$1500,"&lt;&gt;~",EDW_RAW!$U$2:$U$1500,"&lt;&gt;")=COUNTIF(EDW_RAW!$A$2:$A$1500,$D227),"O",IF(COUNTIFS(EDW_RAW!$A$2:$A$1500,$D227,EDW_RAW!$U$2:$U$1500,"&lt;&gt;~",EDW_RAW!$U$2:$U$1500,"&lt;&gt;")&gt;0,"부분","X")))</f>
        <v/>
      </c>
      <c r="S227" s="25" t="n"/>
      <c r="T227" s="20">
        <f>IF($H227="","",IF(AND(ISNUMBER(SEARCH("CMT",$H227)),OR(ISNUMBER(SEARCH("완사입",$H227)),ISNUMBER(SEARCH("ODM",$H227)))),"본사/생산처 혼재",IF(ISNUMBER(SEARCH("CMT",$H227)),"본사(소재팀)","생산처")))</f>
        <v/>
      </c>
      <c r="U227" s="20" t="inlineStr">
        <is>
          <t>YIC</t>
        </is>
      </c>
      <c r="V227" s="20">
        <f>IFERROR(TEXTJOIN(" / ",TRUE,UNIQUE(FILTER(소재DB_RAW!$K$3:$K$2000,(소재DB_RAW!$G$3:$G$2000=$D227)*ISERROR(SEARCH("drop",소재DB_RAW!$C$3:$C$2000))))),"")</f>
        <v/>
      </c>
      <c r="W227" s="20" t="inlineStr">
        <is>
          <t>베트남</t>
        </is>
      </c>
      <c r="X227" s="20">
        <f>IFERROR(TEXTJOIN(" / ",TRUE,UNIQUE(FILTER(소재DB_RAW!$N$3:$N$2000,(소재DB_RAW!$G$3:$G$2000=$D227)*ISERROR(SEARCH("drop",소재DB_RAW!$C$3:$C$2000))))),"")</f>
        <v/>
      </c>
      <c r="Y227" s="26">
        <f>IFERROR(TEXTJOIN(CHAR(10),TRUE,UNIQUE(FILTER(소재DB_RAW!$N$3:$N$2000&amp;") "&amp;소재DB_RAW!$O$3:$O$2000,(소재DB_RAW!$G$3:$G$2000=$D227)*ISNUMBER(SEARCH("겉감",소재DB_RAW!$M$3:$M$2000))*ISERROR(SEARCH("drop",소재DB_RAW!$C$3:$C$2000))))),"")</f>
        <v/>
      </c>
      <c r="Z227" s="26">
        <f>IFERROR(TEXTJOIN(CHAR(10),TRUE,UNIQUE(FILTER(소재DB_RAW!$N$3:$N$2000&amp;") "&amp;소재DB_RAW!$O$3:$O$2000,(소재DB_RAW!$G$3:$G$2000=$D227)*ISNUMBER(SEARCH("안감",소재DB_RAW!$M$3:$M$2000))*ISERROR(SEARCH("drop",소재DB_RAW!$C$3:$C$2000))))),"")</f>
        <v/>
      </c>
      <c r="AA227" s="27" t="n">
        <v>1616</v>
      </c>
      <c r="AB227" s="27" t="n">
        <v>45248000</v>
      </c>
      <c r="AC227" s="27" t="n">
        <v>287648000</v>
      </c>
      <c r="AD227" s="20" t="inlineStr">
        <is>
          <t>3월2주</t>
        </is>
      </c>
      <c r="AE227" s="20">
        <f>IF($K227="","출고일 미정",IF($Q227="X","작지 미발행",IF($Q227="부분","작지 일부 미발행",IF(AND($S227&lt;&gt;"",$S227&gt;$N227),"소재입고 마감("&amp;TEXT($N227,"MM/DD")&amp;") 초과",IF($Q227="","발행여부 확인 필요",IF($S227="","소재 입고일정 확인 필요","정상"))))))</f>
        <v/>
      </c>
      <c r="AF227" s="19">
        <f>IF($K227="","",IF(OR(LEFT($AE227,2)="작지",LEFT($AE227,4)="소재입고"),IF(LEFT($G227,1)="S","★ 납기위험(S코드)","◆ 지연주의"),IF($AE227="정상","✓ 정상","? 확인필요")))</f>
        <v/>
      </c>
      <c r="AG227" s="21" t="n"/>
      <c r="AH227" s="28" t="n"/>
    </row>
    <row r="228">
      <c r="A228" s="19" t="n">
        <v>224</v>
      </c>
      <c r="B228" s="20" t="inlineStr">
        <is>
          <t>박술홍</t>
        </is>
      </c>
      <c r="C228" s="20" t="inlineStr">
        <is>
          <t>엄창용</t>
        </is>
      </c>
      <c r="D228" s="20" t="inlineStr">
        <is>
          <t>JWPNM27165</t>
        </is>
      </c>
      <c r="E228" s="20" t="inlineStr">
        <is>
          <t>유통특화_하절 남성 우븐 트레이닝 팬츠(ODM)</t>
        </is>
      </c>
      <c r="F228" s="20" t="inlineStr">
        <is>
          <t>DGY-2, BLK(BLACK)</t>
        </is>
      </c>
      <c r="G228" s="19">
        <f>IF($D228="","",IF(MID($D228,5,1)="S","S(봄)",IF(MID($D228,5,1)="M","M(여름)",IF(MID($D228,5,1)="X","X(사계절)",MID($D228,5,1)))))</f>
        <v/>
      </c>
      <c r="H228" s="20" t="inlineStr">
        <is>
          <t>완사입</t>
        </is>
      </c>
      <c r="I228" s="19" t="inlineStr">
        <is>
          <t>SM2</t>
        </is>
      </c>
      <c r="J228" s="21" t="inlineStr">
        <is>
          <t>3월2주</t>
        </is>
      </c>
      <c r="K228" s="22">
        <f>IF($J228="","",IFERROR(DATE(IF(VALUE(LEFT($J228,FIND("월",$J228)-1))&gt;=9,기준정보!$C$7-1,기준정보!$C$7),VALUE(LEFT($J228,FIND("월",$J228)-1)),1+7*(VALUE(SUBSTITUTE(MID($J228,FIND("월",$J228)+1,5),"주",""))-1)),""))</f>
        <v/>
      </c>
      <c r="L228" s="22">
        <f>IF($K228="","",IF(AND($K228-기준정보!$C$5&gt;=기준정보!$C$10,$K228-기준정보!$C$5&lt;=기준정보!$C$11),기준정보!$C$10-1,$K228-기준정보!$C$5))</f>
        <v/>
      </c>
      <c r="M228" s="23">
        <f>IF($L228="","",IF(OR(ISNUMBER(SEARCH("중국",$W228)),ISNUMBER(SEARCH("베트남",$W228))),MAX(0,MIN($L228,기준정보!$C$9)-MAX($L228-기준정보!$C$6,기준정보!$C$8)+1),IF(ISNUMBER(SEARCH("한국",$W228)),MAX(0,MIN($L228,기준정보!$C$11)-MAX($L228-기준정보!$C$6,기준정보!$C$10)+1),0)))</f>
        <v/>
      </c>
      <c r="N228" s="22">
        <f>IF($L228="","",$L228-기준정보!$C$6-$M228)</f>
        <v/>
      </c>
      <c r="O228" s="24">
        <f>IF($N228="","",$N228-기준정보!$C$4)</f>
        <v/>
      </c>
      <c r="P228" s="21" t="n"/>
      <c r="Q228" s="21" t="inlineStr">
        <is>
          <t>O</t>
        </is>
      </c>
      <c r="R228" s="19">
        <f>IF(COUNTIF(EDW_RAW!$A$2:$A$1500,$D228)=0,"",IF(COUNTIFS(EDW_RAW!$A$2:$A$1500,$D228,EDW_RAW!$U$2:$U$1500,"&lt;&gt;~",EDW_RAW!$U$2:$U$1500,"&lt;&gt;")=COUNTIF(EDW_RAW!$A$2:$A$1500,$D228),"O",IF(COUNTIFS(EDW_RAW!$A$2:$A$1500,$D228,EDW_RAW!$U$2:$U$1500,"&lt;&gt;~",EDW_RAW!$U$2:$U$1500,"&lt;&gt;")&gt;0,"부분","X")))</f>
        <v/>
      </c>
      <c r="S228" s="25" t="n"/>
      <c r="T228" s="20">
        <f>IF($H228="","",IF(AND(ISNUMBER(SEARCH("CMT",$H228)),OR(ISNUMBER(SEARCH("완사입",$H228)),ISNUMBER(SEARCH("ODM",$H228)))),"본사/생산처 혼재",IF(ISNUMBER(SEARCH("CMT",$H228)),"본사(소재팀)","생산처")))</f>
        <v/>
      </c>
      <c r="U228" s="20" t="inlineStr">
        <is>
          <t>기도</t>
        </is>
      </c>
      <c r="V228" s="20">
        <f>IFERROR(TEXTJOIN(" / ",TRUE,UNIQUE(FILTER(소재DB_RAW!$K$3:$K$2000,(소재DB_RAW!$G$3:$G$2000=$D228)*ISERROR(SEARCH("drop",소재DB_RAW!$C$3:$C$2000))))),"")</f>
        <v/>
      </c>
      <c r="W228" s="20" t="inlineStr">
        <is>
          <t>베트남</t>
        </is>
      </c>
      <c r="X228" s="20">
        <f>IFERROR(TEXTJOIN(" / ",TRUE,UNIQUE(FILTER(소재DB_RAW!$N$3:$N$2000,(소재DB_RAW!$G$3:$G$2000=$D228)*ISERROR(SEARCH("drop",소재DB_RAW!$C$3:$C$2000))))),"")</f>
        <v/>
      </c>
      <c r="Y228" s="26">
        <f>IFERROR(TEXTJOIN(CHAR(10),TRUE,UNIQUE(FILTER(소재DB_RAW!$N$3:$N$2000&amp;") "&amp;소재DB_RAW!$O$3:$O$2000,(소재DB_RAW!$G$3:$G$2000=$D228)*ISNUMBER(SEARCH("겉감",소재DB_RAW!$M$3:$M$2000))*ISERROR(SEARCH("drop",소재DB_RAW!$C$3:$C$2000))))),"")</f>
        <v/>
      </c>
      <c r="Z228" s="26">
        <f>IFERROR(TEXTJOIN(CHAR(10),TRUE,UNIQUE(FILTER(소재DB_RAW!$N$3:$N$2000&amp;") "&amp;소재DB_RAW!$O$3:$O$2000,(소재DB_RAW!$G$3:$G$2000=$D228)*ISNUMBER(SEARCH("안감",소재DB_RAW!$M$3:$M$2000))*ISERROR(SEARCH("drop",소재DB_RAW!$C$3:$C$2000))))),"")</f>
        <v/>
      </c>
      <c r="AA228" s="27" t="n">
        <v>6500</v>
      </c>
      <c r="AB228" s="27" t="n">
        <v>151599500</v>
      </c>
      <c r="AC228" s="27" t="n">
        <v>1027000000</v>
      </c>
      <c r="AD228" s="20" t="inlineStr">
        <is>
          <t>3월2주</t>
        </is>
      </c>
      <c r="AE228" s="20">
        <f>IF($K228="","출고일 미정",IF($Q228="X","작지 미발행",IF($Q228="부분","작지 일부 미발행",IF(AND($S228&lt;&gt;"",$S228&gt;$N228),"소재입고 마감("&amp;TEXT($N228,"MM/DD")&amp;") 초과",IF($Q228="","발행여부 확인 필요",IF($S228="","소재 입고일정 확인 필요","정상"))))))</f>
        <v/>
      </c>
      <c r="AF228" s="19">
        <f>IF($K228="","",IF(OR(LEFT($AE228,2)="작지",LEFT($AE228,4)="소재입고"),IF(LEFT($G228,1)="S","★ 납기위험(S코드)","◆ 지연주의"),IF($AE228="정상","✓ 정상","? 확인필요")))</f>
        <v/>
      </c>
      <c r="AG228" s="21" t="n"/>
      <c r="AH228" s="28" t="n"/>
    </row>
    <row r="229">
      <c r="A229" s="19" t="n">
        <v>225</v>
      </c>
      <c r="B229" s="20" t="inlineStr">
        <is>
          <t>박술홍</t>
        </is>
      </c>
      <c r="C229" s="20" t="inlineStr">
        <is>
          <t>엄창용</t>
        </is>
      </c>
      <c r="D229" s="20" t="inlineStr">
        <is>
          <t>JWPNM27181</t>
        </is>
      </c>
      <c r="E229" s="20" t="inlineStr">
        <is>
          <t>하절 남성 에어도트 루즈핏 파라슈트 팬츠</t>
        </is>
      </c>
      <c r="F229" s="20" t="inlineStr">
        <is>
          <t>BLK(BLACK), KHA(KHAKI)</t>
        </is>
      </c>
      <c r="G229" s="19">
        <f>IF($D229="","",IF(MID($D229,5,1)="S","S(봄)",IF(MID($D229,5,1)="M","M(여름)",IF(MID($D229,5,1)="X","X(사계절)",MID($D229,5,1)))))</f>
        <v/>
      </c>
      <c r="H229" s="20" t="inlineStr">
        <is>
          <t>완사입</t>
        </is>
      </c>
      <c r="I229" s="19" t="inlineStr">
        <is>
          <t>SM2</t>
        </is>
      </c>
      <c r="J229" s="21" t="inlineStr">
        <is>
          <t>3월2주</t>
        </is>
      </c>
      <c r="K229" s="22">
        <f>IF($J229="","",IFERROR(DATE(IF(VALUE(LEFT($J229,FIND("월",$J229)-1))&gt;=9,기준정보!$C$7-1,기준정보!$C$7),VALUE(LEFT($J229,FIND("월",$J229)-1)),1+7*(VALUE(SUBSTITUTE(MID($J229,FIND("월",$J229)+1,5),"주",""))-1)),""))</f>
        <v/>
      </c>
      <c r="L229" s="22">
        <f>IF($K229="","",IF(AND($K229-기준정보!$C$5&gt;=기준정보!$C$10,$K229-기준정보!$C$5&lt;=기준정보!$C$11),기준정보!$C$10-1,$K229-기준정보!$C$5))</f>
        <v/>
      </c>
      <c r="M229" s="23">
        <f>IF($L229="","",IF(OR(ISNUMBER(SEARCH("중국",$W229)),ISNUMBER(SEARCH("베트남",$W229))),MAX(0,MIN($L229,기준정보!$C$9)-MAX($L229-기준정보!$C$6,기준정보!$C$8)+1),IF(ISNUMBER(SEARCH("한국",$W229)),MAX(0,MIN($L229,기준정보!$C$11)-MAX($L229-기준정보!$C$6,기준정보!$C$10)+1),0)))</f>
        <v/>
      </c>
      <c r="N229" s="22">
        <f>IF($L229="","",$L229-기준정보!$C$6-$M229)</f>
        <v/>
      </c>
      <c r="O229" s="24">
        <f>IF($N229="","",$N229-기준정보!$C$4)</f>
        <v/>
      </c>
      <c r="P229" s="21" t="n"/>
      <c r="Q229" s="21" t="inlineStr">
        <is>
          <t>O</t>
        </is>
      </c>
      <c r="R229" s="19">
        <f>IF(COUNTIF(EDW_RAW!$A$2:$A$1500,$D229)=0,"",IF(COUNTIFS(EDW_RAW!$A$2:$A$1500,$D229,EDW_RAW!$U$2:$U$1500,"&lt;&gt;~",EDW_RAW!$U$2:$U$1500,"&lt;&gt;")=COUNTIF(EDW_RAW!$A$2:$A$1500,$D229),"O",IF(COUNTIFS(EDW_RAW!$A$2:$A$1500,$D229,EDW_RAW!$U$2:$U$1500,"&lt;&gt;~",EDW_RAW!$U$2:$U$1500,"&lt;&gt;")&gt;0,"부분","X")))</f>
        <v/>
      </c>
      <c r="S229" s="25" t="n"/>
      <c r="T229" s="20">
        <f>IF($H229="","",IF(AND(ISNUMBER(SEARCH("CMT",$H229)),OR(ISNUMBER(SEARCH("완사입",$H229)),ISNUMBER(SEARCH("ODM",$H229)))),"본사/생산처 혼재",IF(ISNUMBER(SEARCH("CMT",$H229)),"본사(소재팀)","생산처")))</f>
        <v/>
      </c>
      <c r="U229" s="20" t="inlineStr">
        <is>
          <t>YIC</t>
        </is>
      </c>
      <c r="V229" s="20">
        <f>IFERROR(TEXTJOIN(" / ",TRUE,UNIQUE(FILTER(소재DB_RAW!$K$3:$K$2000,(소재DB_RAW!$G$3:$G$2000=$D229)*ISERROR(SEARCH("drop",소재DB_RAW!$C$3:$C$2000))))),"")</f>
        <v/>
      </c>
      <c r="W229" s="20" t="inlineStr">
        <is>
          <t>베트남</t>
        </is>
      </c>
      <c r="X229" s="20">
        <f>IFERROR(TEXTJOIN(" / ",TRUE,UNIQUE(FILTER(소재DB_RAW!$N$3:$N$2000,(소재DB_RAW!$G$3:$G$2000=$D229)*ISERROR(SEARCH("drop",소재DB_RAW!$C$3:$C$2000))))),"")</f>
        <v/>
      </c>
      <c r="Y229" s="26">
        <f>IFERROR(TEXTJOIN(CHAR(10),TRUE,UNIQUE(FILTER(소재DB_RAW!$N$3:$N$2000&amp;") "&amp;소재DB_RAW!$O$3:$O$2000,(소재DB_RAW!$G$3:$G$2000=$D229)*ISNUMBER(SEARCH("겉감",소재DB_RAW!$M$3:$M$2000))*ISERROR(SEARCH("drop",소재DB_RAW!$C$3:$C$2000))))),"")</f>
        <v/>
      </c>
      <c r="Z229" s="26">
        <f>IFERROR(TEXTJOIN(CHAR(10),TRUE,UNIQUE(FILTER(소재DB_RAW!$N$3:$N$2000&amp;") "&amp;소재DB_RAW!$O$3:$O$2000,(소재DB_RAW!$G$3:$G$2000=$D229)*ISNUMBER(SEARCH("안감",소재DB_RAW!$M$3:$M$2000))*ISERROR(SEARCH("drop",소재DB_RAW!$C$3:$C$2000))))),"")</f>
        <v/>
      </c>
      <c r="AA229" s="27" t="n">
        <v>2000</v>
      </c>
      <c r="AB229" s="27" t="n">
        <v>73354000</v>
      </c>
      <c r="AC229" s="27" t="n">
        <v>376000000</v>
      </c>
      <c r="AD229" s="20" t="inlineStr">
        <is>
          <t>3월2주</t>
        </is>
      </c>
      <c r="AE229" s="20">
        <f>IF($K229="","출고일 미정",IF($Q229="X","작지 미발행",IF($Q229="부분","작지 일부 미발행",IF(AND($S229&lt;&gt;"",$S229&gt;$N229),"소재입고 마감("&amp;TEXT($N229,"MM/DD")&amp;") 초과",IF($Q229="","발행여부 확인 필요",IF($S229="","소재 입고일정 확인 필요","정상"))))))</f>
        <v/>
      </c>
      <c r="AF229" s="19">
        <f>IF($K229="","",IF(OR(LEFT($AE229,2)="작지",LEFT($AE229,4)="소재입고"),IF(LEFT($G229,1)="S","★ 납기위험(S코드)","◆ 지연주의"),IF($AE229="정상","✓ 정상","? 확인필요")))</f>
        <v/>
      </c>
      <c r="AG229" s="21" t="n"/>
      <c r="AH229" s="28" t="n"/>
    </row>
    <row r="230">
      <c r="A230" s="19" t="n">
        <v>226</v>
      </c>
      <c r="B230" s="20" t="inlineStr">
        <is>
          <t>박술홍</t>
        </is>
      </c>
      <c r="C230" s="20" t="inlineStr">
        <is>
          <t>엄창용</t>
        </is>
      </c>
      <c r="D230" s="20" t="inlineStr">
        <is>
          <t>JWPNM27183</t>
        </is>
      </c>
      <c r="E230" s="20" t="inlineStr">
        <is>
          <t>하절 에어도트 레귤러핏 팬츠</t>
        </is>
      </c>
      <c r="F230" s="20" t="inlineStr">
        <is>
          <t>BLK(BLACK), WBE</t>
        </is>
      </c>
      <c r="G230" s="19">
        <f>IF($D230="","",IF(MID($D230,5,1)="S","S(봄)",IF(MID($D230,5,1)="M","M(여름)",IF(MID($D230,5,1)="X","X(사계절)",MID($D230,5,1)))))</f>
        <v/>
      </c>
      <c r="H230" s="20" t="inlineStr">
        <is>
          <t>완사입</t>
        </is>
      </c>
      <c r="I230" s="19" t="inlineStr">
        <is>
          <t>SM2</t>
        </is>
      </c>
      <c r="J230" s="21" t="inlineStr">
        <is>
          <t>3월2주</t>
        </is>
      </c>
      <c r="K230" s="22">
        <f>IF($J230="","",IFERROR(DATE(IF(VALUE(LEFT($J230,FIND("월",$J230)-1))&gt;=9,기준정보!$C$7-1,기준정보!$C$7),VALUE(LEFT($J230,FIND("월",$J230)-1)),1+7*(VALUE(SUBSTITUTE(MID($J230,FIND("월",$J230)+1,5),"주",""))-1)),""))</f>
        <v/>
      </c>
      <c r="L230" s="22">
        <f>IF($K230="","",IF(AND($K230-기준정보!$C$5&gt;=기준정보!$C$10,$K230-기준정보!$C$5&lt;=기준정보!$C$11),기준정보!$C$10-1,$K230-기준정보!$C$5))</f>
        <v/>
      </c>
      <c r="M230" s="23">
        <f>IF($L230="","",IF(OR(ISNUMBER(SEARCH("중국",$W230)),ISNUMBER(SEARCH("베트남",$W230))),MAX(0,MIN($L230,기준정보!$C$9)-MAX($L230-기준정보!$C$6,기준정보!$C$8)+1),IF(ISNUMBER(SEARCH("한국",$W230)),MAX(0,MIN($L230,기준정보!$C$11)-MAX($L230-기준정보!$C$6,기준정보!$C$10)+1),0)))</f>
        <v/>
      </c>
      <c r="N230" s="22">
        <f>IF($L230="","",$L230-기준정보!$C$6-$M230)</f>
        <v/>
      </c>
      <c r="O230" s="24">
        <f>IF($N230="","",$N230-기준정보!$C$4)</f>
        <v/>
      </c>
      <c r="P230" s="21" t="n"/>
      <c r="Q230" s="21" t="inlineStr">
        <is>
          <t>O</t>
        </is>
      </c>
      <c r="R230" s="19">
        <f>IF(COUNTIF(EDW_RAW!$A$2:$A$1500,$D230)=0,"",IF(COUNTIFS(EDW_RAW!$A$2:$A$1500,$D230,EDW_RAW!$U$2:$U$1500,"&lt;&gt;~",EDW_RAW!$U$2:$U$1500,"&lt;&gt;")=COUNTIF(EDW_RAW!$A$2:$A$1500,$D230),"O",IF(COUNTIFS(EDW_RAW!$A$2:$A$1500,$D230,EDW_RAW!$U$2:$U$1500,"&lt;&gt;~",EDW_RAW!$U$2:$U$1500,"&lt;&gt;")&gt;0,"부분","X")))</f>
        <v/>
      </c>
      <c r="S230" s="25" t="n"/>
      <c r="T230" s="20">
        <f>IF($H230="","",IF(AND(ISNUMBER(SEARCH("CMT",$H230)),OR(ISNUMBER(SEARCH("완사입",$H230)),ISNUMBER(SEARCH("ODM",$H230)))),"본사/생산처 혼재",IF(ISNUMBER(SEARCH("CMT",$H230)),"본사(소재팀)","생산처")))</f>
        <v/>
      </c>
      <c r="U230" s="20" t="inlineStr">
        <is>
          <t>TBO</t>
        </is>
      </c>
      <c r="V230" s="20">
        <f>IFERROR(TEXTJOIN(" / ",TRUE,UNIQUE(FILTER(소재DB_RAW!$K$3:$K$2000,(소재DB_RAW!$G$3:$G$2000=$D230)*ISERROR(SEARCH("drop",소재DB_RAW!$C$3:$C$2000))))),"")</f>
        <v/>
      </c>
      <c r="W230" s="20" t="inlineStr">
        <is>
          <t>베트남</t>
        </is>
      </c>
      <c r="X230" s="20">
        <f>IFERROR(TEXTJOIN(" / ",TRUE,UNIQUE(FILTER(소재DB_RAW!$N$3:$N$2000,(소재DB_RAW!$G$3:$G$2000=$D230)*ISERROR(SEARCH("drop",소재DB_RAW!$C$3:$C$2000))))),"")</f>
        <v/>
      </c>
      <c r="Y230" s="26">
        <f>IFERROR(TEXTJOIN(CHAR(10),TRUE,UNIQUE(FILTER(소재DB_RAW!$N$3:$N$2000&amp;") "&amp;소재DB_RAW!$O$3:$O$2000,(소재DB_RAW!$G$3:$G$2000=$D230)*ISNUMBER(SEARCH("겉감",소재DB_RAW!$M$3:$M$2000))*ISERROR(SEARCH("drop",소재DB_RAW!$C$3:$C$2000))))),"")</f>
        <v/>
      </c>
      <c r="Z230" s="26">
        <f>IFERROR(TEXTJOIN(CHAR(10),TRUE,UNIQUE(FILTER(소재DB_RAW!$N$3:$N$2000&amp;") "&amp;소재DB_RAW!$O$3:$O$2000,(소재DB_RAW!$G$3:$G$2000=$D230)*ISNUMBER(SEARCH("안감",소재DB_RAW!$M$3:$M$2000))*ISERROR(SEARCH("drop",소재DB_RAW!$C$3:$C$2000))))),"")</f>
        <v/>
      </c>
      <c r="AA230" s="27" t="n">
        <v>9012</v>
      </c>
      <c r="AB230" s="27" t="n">
        <v>241458516</v>
      </c>
      <c r="AC230" s="27" t="n">
        <v>1604136000</v>
      </c>
      <c r="AD230" s="20" t="inlineStr">
        <is>
          <t>3월2주</t>
        </is>
      </c>
      <c r="AE230" s="20">
        <f>IF($K230="","출고일 미정",IF($Q230="X","작지 미발행",IF($Q230="부분","작지 일부 미발행",IF(AND($S230&lt;&gt;"",$S230&gt;$N230),"소재입고 마감("&amp;TEXT($N230,"MM/DD")&amp;") 초과",IF($Q230="","발행여부 확인 필요",IF($S230="","소재 입고일정 확인 필요","정상"))))))</f>
        <v/>
      </c>
      <c r="AF230" s="19">
        <f>IF($K230="","",IF(OR(LEFT($AE230,2)="작지",LEFT($AE230,4)="소재입고"),IF(LEFT($G230,1)="S","★ 납기위험(S코드)","◆ 지연주의"),IF($AE230="정상","✓ 정상","? 확인필요")))</f>
        <v/>
      </c>
      <c r="AG230" s="21" t="n"/>
      <c r="AH230" s="28" t="n"/>
    </row>
    <row r="231">
      <c r="A231" s="19" t="n">
        <v>227</v>
      </c>
      <c r="B231" s="20" t="inlineStr">
        <is>
          <t>박술홍</t>
        </is>
      </c>
      <c r="C231" s="20" t="inlineStr">
        <is>
          <t>엄창용</t>
        </is>
      </c>
      <c r="D231" s="20" t="inlineStr">
        <is>
          <t>JWPNM27191</t>
        </is>
      </c>
      <c r="E231" s="20" t="inlineStr">
        <is>
          <t>하절 남성 커브드 팬츠 (DS 제안)</t>
        </is>
      </c>
      <c r="F231" s="20" t="inlineStr">
        <is>
          <t>DGY-2, KHA(KHAKI)</t>
        </is>
      </c>
      <c r="G231" s="19">
        <f>IF($D231="","",IF(MID($D231,5,1)="S","S(봄)",IF(MID($D231,5,1)="M","M(여름)",IF(MID($D231,5,1)="X","X(사계절)",MID($D231,5,1)))))</f>
        <v/>
      </c>
      <c r="H231" s="20" t="inlineStr">
        <is>
          <t>완사입</t>
        </is>
      </c>
      <c r="I231" s="19" t="inlineStr">
        <is>
          <t>SM2</t>
        </is>
      </c>
      <c r="J231" s="21" t="inlineStr">
        <is>
          <t>3월2주</t>
        </is>
      </c>
      <c r="K231" s="22">
        <f>IF($J231="","",IFERROR(DATE(IF(VALUE(LEFT($J231,FIND("월",$J231)-1))&gt;=9,기준정보!$C$7-1,기준정보!$C$7),VALUE(LEFT($J231,FIND("월",$J231)-1)),1+7*(VALUE(SUBSTITUTE(MID($J231,FIND("월",$J231)+1,5),"주",""))-1)),""))</f>
        <v/>
      </c>
      <c r="L231" s="22">
        <f>IF($K231="","",IF(AND($K231-기준정보!$C$5&gt;=기준정보!$C$10,$K231-기준정보!$C$5&lt;=기준정보!$C$11),기준정보!$C$10-1,$K231-기준정보!$C$5))</f>
        <v/>
      </c>
      <c r="M231" s="23">
        <f>IF($L231="","",IF(OR(ISNUMBER(SEARCH("중국",$W231)),ISNUMBER(SEARCH("베트남",$W231))),MAX(0,MIN($L231,기준정보!$C$9)-MAX($L231-기준정보!$C$6,기준정보!$C$8)+1),IF(ISNUMBER(SEARCH("한국",$W231)),MAX(0,MIN($L231,기준정보!$C$11)-MAX($L231-기준정보!$C$6,기준정보!$C$10)+1),0)))</f>
        <v/>
      </c>
      <c r="N231" s="22">
        <f>IF($L231="","",$L231-기준정보!$C$6-$M231)</f>
        <v/>
      </c>
      <c r="O231" s="24">
        <f>IF($N231="","",$N231-기준정보!$C$4)</f>
        <v/>
      </c>
      <c r="P231" s="21" t="n"/>
      <c r="Q231" s="21" t="inlineStr">
        <is>
          <t>O</t>
        </is>
      </c>
      <c r="R231" s="19">
        <f>IF(COUNTIF(EDW_RAW!$A$2:$A$1500,$D231)=0,"",IF(COUNTIFS(EDW_RAW!$A$2:$A$1500,$D231,EDW_RAW!$U$2:$U$1500,"&lt;&gt;~",EDW_RAW!$U$2:$U$1500,"&lt;&gt;")=COUNTIF(EDW_RAW!$A$2:$A$1500,$D231),"O",IF(COUNTIFS(EDW_RAW!$A$2:$A$1500,$D231,EDW_RAW!$U$2:$U$1500,"&lt;&gt;~",EDW_RAW!$U$2:$U$1500,"&lt;&gt;")&gt;0,"부분","X")))</f>
        <v/>
      </c>
      <c r="S231" s="25" t="n"/>
      <c r="T231" s="20">
        <f>IF($H231="","",IF(AND(ISNUMBER(SEARCH("CMT",$H231)),OR(ISNUMBER(SEARCH("완사입",$H231)),ISNUMBER(SEARCH("ODM",$H231)))),"본사/생산처 혼재",IF(ISNUMBER(SEARCH("CMT",$H231)),"본사(소재팀)","생산처")))</f>
        <v/>
      </c>
      <c r="U231" s="20" t="inlineStr">
        <is>
          <t>TBO</t>
        </is>
      </c>
      <c r="V231" s="20">
        <f>IFERROR(TEXTJOIN(" / ",TRUE,UNIQUE(FILTER(소재DB_RAW!$K$3:$K$2000,(소재DB_RAW!$G$3:$G$2000=$D231)*ISERROR(SEARCH("drop",소재DB_RAW!$C$3:$C$2000))))),"")</f>
        <v/>
      </c>
      <c r="W231" s="20" t="inlineStr">
        <is>
          <t>베트남</t>
        </is>
      </c>
      <c r="X231" s="20">
        <f>IFERROR(TEXTJOIN(" / ",TRUE,UNIQUE(FILTER(소재DB_RAW!$N$3:$N$2000,(소재DB_RAW!$G$3:$G$2000=$D231)*ISERROR(SEARCH("drop",소재DB_RAW!$C$3:$C$2000))))),"")</f>
        <v/>
      </c>
      <c r="Y231" s="26">
        <f>IFERROR(TEXTJOIN(CHAR(10),TRUE,UNIQUE(FILTER(소재DB_RAW!$N$3:$N$2000&amp;") "&amp;소재DB_RAW!$O$3:$O$2000,(소재DB_RAW!$G$3:$G$2000=$D231)*ISNUMBER(SEARCH("겉감",소재DB_RAW!$M$3:$M$2000))*ISERROR(SEARCH("drop",소재DB_RAW!$C$3:$C$2000))))),"")</f>
        <v/>
      </c>
      <c r="Z231" s="26">
        <f>IFERROR(TEXTJOIN(CHAR(10),TRUE,UNIQUE(FILTER(소재DB_RAW!$N$3:$N$2000&amp;") "&amp;소재DB_RAW!$O$3:$O$2000,(소재DB_RAW!$G$3:$G$2000=$D231)*ISNUMBER(SEARCH("안감",소재DB_RAW!$M$3:$M$2000))*ISERROR(SEARCH("drop",소재DB_RAW!$C$3:$C$2000))))),"")</f>
        <v/>
      </c>
      <c r="AA231" s="27" t="n">
        <v>1800</v>
      </c>
      <c r="AB231" s="27" t="n">
        <v>66821400</v>
      </c>
      <c r="AC231" s="27" t="n">
        <v>338400000</v>
      </c>
      <c r="AD231" s="20" t="inlineStr">
        <is>
          <t>3월2주</t>
        </is>
      </c>
      <c r="AE231" s="20">
        <f>IF($K231="","출고일 미정",IF($Q231="X","작지 미발행",IF($Q231="부분","작지 일부 미발행",IF(AND($S231&lt;&gt;"",$S231&gt;$N231),"소재입고 마감("&amp;TEXT($N231,"MM/DD")&amp;") 초과",IF($Q231="","발행여부 확인 필요",IF($S231="","소재 입고일정 확인 필요","정상"))))))</f>
        <v/>
      </c>
      <c r="AF231" s="19">
        <f>IF($K231="","",IF(OR(LEFT($AE231,2)="작지",LEFT($AE231,4)="소재입고"),IF(LEFT($G231,1)="S","★ 납기위험(S코드)","◆ 지연주의"),IF($AE231="정상","✓ 정상","? 확인필요")))</f>
        <v/>
      </c>
      <c r="AG231" s="21" t="n"/>
      <c r="AH231" s="28" t="n"/>
    </row>
    <row r="232">
      <c r="A232" s="19" t="n">
        <v>228</v>
      </c>
      <c r="B232" s="20" t="inlineStr">
        <is>
          <t>박술홍</t>
        </is>
      </c>
      <c r="C232" s="20" t="inlineStr">
        <is>
          <t>엄창용</t>
        </is>
      </c>
      <c r="D232" s="20" t="inlineStr">
        <is>
          <t>JWSXM27181</t>
        </is>
      </c>
      <c r="E232" s="20" t="inlineStr">
        <is>
          <t>하절 남성 에어도트 긴팔 셔츠</t>
        </is>
      </c>
      <c r="F232" s="20" t="inlineStr">
        <is>
          <t>BLK(BLACK), BGY(B/GRAY)</t>
        </is>
      </c>
      <c r="G232" s="19">
        <f>IF($D232="","",IF(MID($D232,5,1)="S","S(봄)",IF(MID($D232,5,1)="M","M(여름)",IF(MID($D232,5,1)="X","X(사계절)",MID($D232,5,1)))))</f>
        <v/>
      </c>
      <c r="H232" s="20" t="inlineStr">
        <is>
          <t>완사입</t>
        </is>
      </c>
      <c r="I232" s="19" t="inlineStr">
        <is>
          <t>SM2</t>
        </is>
      </c>
      <c r="J232" s="21" t="inlineStr">
        <is>
          <t>3월2주</t>
        </is>
      </c>
      <c r="K232" s="22">
        <f>IF($J232="","",IFERROR(DATE(IF(VALUE(LEFT($J232,FIND("월",$J232)-1))&gt;=9,기준정보!$C$7-1,기준정보!$C$7),VALUE(LEFT($J232,FIND("월",$J232)-1)),1+7*(VALUE(SUBSTITUTE(MID($J232,FIND("월",$J232)+1,5),"주",""))-1)),""))</f>
        <v/>
      </c>
      <c r="L232" s="22">
        <f>IF($K232="","",IF(AND($K232-기준정보!$C$5&gt;=기준정보!$C$10,$K232-기준정보!$C$5&lt;=기준정보!$C$11),기준정보!$C$10-1,$K232-기준정보!$C$5))</f>
        <v/>
      </c>
      <c r="M232" s="23">
        <f>IF($L232="","",IF(OR(ISNUMBER(SEARCH("중국",$W232)),ISNUMBER(SEARCH("베트남",$W232))),MAX(0,MIN($L232,기준정보!$C$9)-MAX($L232-기준정보!$C$6,기준정보!$C$8)+1),IF(ISNUMBER(SEARCH("한국",$W232)),MAX(0,MIN($L232,기준정보!$C$11)-MAX($L232-기준정보!$C$6,기준정보!$C$10)+1),0)))</f>
        <v/>
      </c>
      <c r="N232" s="22">
        <f>IF($L232="","",$L232-기준정보!$C$6-$M232)</f>
        <v/>
      </c>
      <c r="O232" s="24">
        <f>IF($N232="","",$N232-기준정보!$C$4)</f>
        <v/>
      </c>
      <c r="P232" s="21" t="n"/>
      <c r="Q232" s="21" t="inlineStr">
        <is>
          <t>O</t>
        </is>
      </c>
      <c r="R232" s="19">
        <f>IF(COUNTIF(EDW_RAW!$A$2:$A$1500,$D232)=0,"",IF(COUNTIFS(EDW_RAW!$A$2:$A$1500,$D232,EDW_RAW!$U$2:$U$1500,"&lt;&gt;~",EDW_RAW!$U$2:$U$1500,"&lt;&gt;")=COUNTIF(EDW_RAW!$A$2:$A$1500,$D232),"O",IF(COUNTIFS(EDW_RAW!$A$2:$A$1500,$D232,EDW_RAW!$U$2:$U$1500,"&lt;&gt;~",EDW_RAW!$U$2:$U$1500,"&lt;&gt;")&gt;0,"부분","X")))</f>
        <v/>
      </c>
      <c r="S232" s="25" t="n"/>
      <c r="T232" s="20">
        <f>IF($H232="","",IF(AND(ISNUMBER(SEARCH("CMT",$H232)),OR(ISNUMBER(SEARCH("완사입",$H232)),ISNUMBER(SEARCH("ODM",$H232)))),"본사/생산처 혼재",IF(ISNUMBER(SEARCH("CMT",$H232)),"본사(소재팀)","생산처")))</f>
        <v/>
      </c>
      <c r="U232" s="20" t="inlineStr">
        <is>
          <t>성원</t>
        </is>
      </c>
      <c r="V232" s="20">
        <f>IFERROR(TEXTJOIN(" / ",TRUE,UNIQUE(FILTER(소재DB_RAW!$K$3:$K$2000,(소재DB_RAW!$G$3:$G$2000=$D232)*ISERROR(SEARCH("drop",소재DB_RAW!$C$3:$C$2000))))),"")</f>
        <v/>
      </c>
      <c r="W232" s="20" t="inlineStr">
        <is>
          <t>베트남</t>
        </is>
      </c>
      <c r="X232" s="20">
        <f>IFERROR(TEXTJOIN(" / ",TRUE,UNIQUE(FILTER(소재DB_RAW!$N$3:$N$2000,(소재DB_RAW!$G$3:$G$2000=$D232)*ISERROR(SEARCH("drop",소재DB_RAW!$C$3:$C$2000))))),"")</f>
        <v/>
      </c>
      <c r="Y232" s="26">
        <f>IFERROR(TEXTJOIN(CHAR(10),TRUE,UNIQUE(FILTER(소재DB_RAW!$N$3:$N$2000&amp;") "&amp;소재DB_RAW!$O$3:$O$2000,(소재DB_RAW!$G$3:$G$2000=$D232)*ISNUMBER(SEARCH("겉감",소재DB_RAW!$M$3:$M$2000))*ISERROR(SEARCH("drop",소재DB_RAW!$C$3:$C$2000))))),"")</f>
        <v/>
      </c>
      <c r="Z232" s="26">
        <f>IFERROR(TEXTJOIN(CHAR(10),TRUE,UNIQUE(FILTER(소재DB_RAW!$N$3:$N$2000&amp;") "&amp;소재DB_RAW!$O$3:$O$2000,(소재DB_RAW!$G$3:$G$2000=$D232)*ISNUMBER(SEARCH("안감",소재DB_RAW!$M$3:$M$2000))*ISERROR(SEARCH("drop",소재DB_RAW!$C$3:$C$2000))))),"")</f>
        <v/>
      </c>
      <c r="AA232" s="27" t="n">
        <v>1400</v>
      </c>
      <c r="AB232" s="27" t="n">
        <v>48518400</v>
      </c>
      <c r="AC232" s="27" t="n">
        <v>235200000</v>
      </c>
      <c r="AD232" s="20" t="n"/>
      <c r="AE232" s="20">
        <f>IF($K232="","출고일 미정",IF($Q232="X","작지 미발행",IF($Q232="부분","작지 일부 미발행",IF(AND($S232&lt;&gt;"",$S232&gt;$N232),"소재입고 마감("&amp;TEXT($N232,"MM/DD")&amp;") 초과",IF($Q232="","발행여부 확인 필요",IF($S232="","소재 입고일정 확인 필요","정상"))))))</f>
        <v/>
      </c>
      <c r="AF232" s="19">
        <f>IF($K232="","",IF(OR(LEFT($AE232,2)="작지",LEFT($AE232,4)="소재입고"),IF(LEFT($G232,1)="S","★ 납기위험(S코드)","◆ 지연주의"),IF($AE232="정상","✓ 정상","? 확인필요")))</f>
        <v/>
      </c>
      <c r="AG232" s="21" t="n"/>
      <c r="AH232" s="28" t="n"/>
    </row>
    <row r="233">
      <c r="A233" s="19" t="n">
        <v>229</v>
      </c>
      <c r="B233" s="20" t="inlineStr">
        <is>
          <t>이재헌</t>
        </is>
      </c>
      <c r="C233" s="20" t="inlineStr">
        <is>
          <t>엄창용</t>
        </is>
      </c>
      <c r="D233" s="20" t="inlineStr">
        <is>
          <t>JWTBM27167</t>
        </is>
      </c>
      <c r="E233" s="20" t="inlineStr">
        <is>
          <t>남성 솔솔 MossDry 소매 하이브리드 긴팔 집업 티셔츠</t>
        </is>
      </c>
      <c r="F233" s="20" t="inlineStr">
        <is>
          <t>DBU(D/BLUE), DMI(D/MINT)</t>
        </is>
      </c>
      <c r="G233" s="19">
        <f>IF($D233="","",IF(MID($D233,5,1)="S","S(봄)",IF(MID($D233,5,1)="M","M(여름)",IF(MID($D233,5,1)="X","X(사계절)",MID($D233,5,1)))))</f>
        <v/>
      </c>
      <c r="H233" s="20" t="inlineStr">
        <is>
          <t>완사입</t>
        </is>
      </c>
      <c r="I233" s="19" t="inlineStr"/>
      <c r="J233" s="21" t="inlineStr">
        <is>
          <t>3월2주</t>
        </is>
      </c>
      <c r="K233" s="22">
        <f>IF($J233="","",IFERROR(DATE(IF(VALUE(LEFT($J233,FIND("월",$J233)-1))&gt;=9,기준정보!$C$7-1,기준정보!$C$7),VALUE(LEFT($J233,FIND("월",$J233)-1)),1+7*(VALUE(SUBSTITUTE(MID($J233,FIND("월",$J233)+1,5),"주",""))-1)),""))</f>
        <v/>
      </c>
      <c r="L233" s="22">
        <f>IF($K233="","",IF(AND($K233-기준정보!$C$5&gt;=기준정보!$C$10,$K233-기준정보!$C$5&lt;=기준정보!$C$11),기준정보!$C$10-1,$K233-기준정보!$C$5))</f>
        <v/>
      </c>
      <c r="M233" s="23">
        <f>IF($L233="","",IF(OR(ISNUMBER(SEARCH("중국",$W233)),ISNUMBER(SEARCH("베트남",$W233))),MAX(0,MIN($L233,기준정보!$C$9)-MAX($L233-기준정보!$C$6,기준정보!$C$8)+1),IF(ISNUMBER(SEARCH("한국",$W233)),MAX(0,MIN($L233,기준정보!$C$11)-MAX($L233-기준정보!$C$6,기준정보!$C$10)+1),0)))</f>
        <v/>
      </c>
      <c r="N233" s="22">
        <f>IF($L233="","",$L233-기준정보!$C$6-$M233)</f>
        <v/>
      </c>
      <c r="O233" s="24">
        <f>IF($N233="","",$N233-기준정보!$C$4)</f>
        <v/>
      </c>
      <c r="P233" s="21" t="n"/>
      <c r="Q233" s="21" t="inlineStr">
        <is>
          <t>O</t>
        </is>
      </c>
      <c r="R233" s="19">
        <f>IF(COUNTIF(EDW_RAW!$A$2:$A$1500,$D233)=0,"",IF(COUNTIFS(EDW_RAW!$A$2:$A$1500,$D233,EDW_RAW!$U$2:$U$1500,"&lt;&gt;~",EDW_RAW!$U$2:$U$1500,"&lt;&gt;")=COUNTIF(EDW_RAW!$A$2:$A$1500,$D233),"O",IF(COUNTIFS(EDW_RAW!$A$2:$A$1500,$D233,EDW_RAW!$U$2:$U$1500,"&lt;&gt;~",EDW_RAW!$U$2:$U$1500,"&lt;&gt;")&gt;0,"부분","X")))</f>
        <v/>
      </c>
      <c r="S233" s="25" t="n"/>
      <c r="T233" s="20">
        <f>IF($H233="","",IF(AND(ISNUMBER(SEARCH("CMT",$H233)),OR(ISNUMBER(SEARCH("완사입",$H233)),ISNUMBER(SEARCH("ODM",$H233)))),"본사/생산처 혼재",IF(ISNUMBER(SEARCH("CMT",$H233)),"본사(소재팀)","생산처")))</f>
        <v/>
      </c>
      <c r="U233" s="20" t="inlineStr">
        <is>
          <t>태화</t>
        </is>
      </c>
      <c r="V233" s="20">
        <f>IFERROR(TEXTJOIN(" / ",TRUE,UNIQUE(FILTER(소재DB_RAW!$K$3:$K$2000,(소재DB_RAW!$G$3:$G$2000=$D233)*ISERROR(SEARCH("drop",소재DB_RAW!$C$3:$C$2000))))),"")</f>
        <v/>
      </c>
      <c r="W233" s="20" t="inlineStr">
        <is>
          <t>베트남</t>
        </is>
      </c>
      <c r="X233" s="20">
        <f>IFERROR(TEXTJOIN(" / ",TRUE,UNIQUE(FILTER(소재DB_RAW!$N$3:$N$2000,(소재DB_RAW!$G$3:$G$2000=$D233)*ISERROR(SEARCH("drop",소재DB_RAW!$C$3:$C$2000))))),"")</f>
        <v/>
      </c>
      <c r="Y233" s="26">
        <f>IFERROR(TEXTJOIN(CHAR(10),TRUE,UNIQUE(FILTER(소재DB_RAW!$N$3:$N$2000&amp;") "&amp;소재DB_RAW!$O$3:$O$2000,(소재DB_RAW!$G$3:$G$2000=$D233)*ISNUMBER(SEARCH("겉감",소재DB_RAW!$M$3:$M$2000))*ISERROR(SEARCH("drop",소재DB_RAW!$C$3:$C$2000))))),"")</f>
        <v/>
      </c>
      <c r="Z233" s="26">
        <f>IFERROR(TEXTJOIN(CHAR(10),TRUE,UNIQUE(FILTER(소재DB_RAW!$N$3:$N$2000&amp;") "&amp;소재DB_RAW!$O$3:$O$2000,(소재DB_RAW!$G$3:$G$2000=$D233)*ISNUMBER(SEARCH("안감",소재DB_RAW!$M$3:$M$2000))*ISERROR(SEARCH("drop",소재DB_RAW!$C$3:$C$2000))))),"")</f>
        <v/>
      </c>
      <c r="AA233" s="27" t="n">
        <v>6000</v>
      </c>
      <c r="AB233" s="27" t="n">
        <v>133728000</v>
      </c>
      <c r="AC233" s="27" t="n">
        <v>888000000</v>
      </c>
      <c r="AD233" s="20" t="n"/>
      <c r="AE233" s="20">
        <f>IF($K233="","출고일 미정",IF($Q233="X","작지 미발행",IF($Q233="부분","작지 일부 미발행",IF(AND($S233&lt;&gt;"",$S233&gt;$N233),"소재입고 마감("&amp;TEXT($N233,"MM/DD")&amp;") 초과",IF($Q233="","발행여부 확인 필요",IF($S233="","소재 입고일정 확인 필요","정상"))))))</f>
        <v/>
      </c>
      <c r="AF233" s="19">
        <f>IF($K233="","",IF(OR(LEFT($AE233,2)="작지",LEFT($AE233,4)="소재입고"),IF(LEFT($G233,1)="S","★ 납기위험(S코드)","◆ 지연주의"),IF($AE233="정상","✓ 정상","? 확인필요")))</f>
        <v/>
      </c>
      <c r="AG233" s="21" t="n"/>
      <c r="AH233" s="28" t="n"/>
    </row>
    <row r="234">
      <c r="A234" s="19" t="n">
        <v>230</v>
      </c>
      <c r="B234" s="20" t="inlineStr">
        <is>
          <t>이재헌</t>
        </is>
      </c>
      <c r="C234" s="20" t="inlineStr">
        <is>
          <t>엄창용</t>
        </is>
      </c>
      <c r="D234" s="20" t="inlineStr">
        <is>
          <t>JWTBM27181</t>
        </is>
      </c>
      <c r="E234" s="20" t="inlineStr">
        <is>
          <t>남녀공용 솔솔 에어도트 하이브리드 긴팔 티셔츠</t>
        </is>
      </c>
      <c r="F234" s="20" t="inlineStr">
        <is>
          <t>WBE, BLK(BLACK)</t>
        </is>
      </c>
      <c r="G234" s="19">
        <f>IF($D234="","",IF(MID($D234,5,1)="S","S(봄)",IF(MID($D234,5,1)="M","M(여름)",IF(MID($D234,5,1)="X","X(사계절)",MID($D234,5,1)))))</f>
        <v/>
      </c>
      <c r="H234" s="20" t="inlineStr">
        <is>
          <t>완사입</t>
        </is>
      </c>
      <c r="I234" s="19" t="inlineStr"/>
      <c r="J234" s="21" t="inlineStr">
        <is>
          <t>3월2주</t>
        </is>
      </c>
      <c r="K234" s="22">
        <f>IF($J234="","",IFERROR(DATE(IF(VALUE(LEFT($J234,FIND("월",$J234)-1))&gt;=9,기준정보!$C$7-1,기준정보!$C$7),VALUE(LEFT($J234,FIND("월",$J234)-1)),1+7*(VALUE(SUBSTITUTE(MID($J234,FIND("월",$J234)+1,5),"주",""))-1)),""))</f>
        <v/>
      </c>
      <c r="L234" s="22">
        <f>IF($K234="","",IF(AND($K234-기준정보!$C$5&gt;=기준정보!$C$10,$K234-기준정보!$C$5&lt;=기준정보!$C$11),기준정보!$C$10-1,$K234-기준정보!$C$5))</f>
        <v/>
      </c>
      <c r="M234" s="23">
        <f>IF($L234="","",IF(OR(ISNUMBER(SEARCH("중국",$W234)),ISNUMBER(SEARCH("베트남",$W234))),MAX(0,MIN($L234,기준정보!$C$9)-MAX($L234-기준정보!$C$6,기준정보!$C$8)+1),IF(ISNUMBER(SEARCH("한국",$W234)),MAX(0,MIN($L234,기준정보!$C$11)-MAX($L234-기준정보!$C$6,기준정보!$C$10)+1),0)))</f>
        <v/>
      </c>
      <c r="N234" s="22">
        <f>IF($L234="","",$L234-기준정보!$C$6-$M234)</f>
        <v/>
      </c>
      <c r="O234" s="24">
        <f>IF($N234="","",$N234-기준정보!$C$4)</f>
        <v/>
      </c>
      <c r="P234" s="21" t="n"/>
      <c r="Q234" s="21" t="inlineStr">
        <is>
          <t>O</t>
        </is>
      </c>
      <c r="R234" s="19">
        <f>IF(COUNTIF(EDW_RAW!$A$2:$A$1500,$D234)=0,"",IF(COUNTIFS(EDW_RAW!$A$2:$A$1500,$D234,EDW_RAW!$U$2:$U$1500,"&lt;&gt;~",EDW_RAW!$U$2:$U$1500,"&lt;&gt;")=COUNTIF(EDW_RAW!$A$2:$A$1500,$D234),"O",IF(COUNTIFS(EDW_RAW!$A$2:$A$1500,$D234,EDW_RAW!$U$2:$U$1500,"&lt;&gt;~",EDW_RAW!$U$2:$U$1500,"&lt;&gt;")&gt;0,"부분","X")))</f>
        <v/>
      </c>
      <c r="S234" s="25" t="n"/>
      <c r="T234" s="20">
        <f>IF($H234="","",IF(AND(ISNUMBER(SEARCH("CMT",$H234)),OR(ISNUMBER(SEARCH("완사입",$H234)),ISNUMBER(SEARCH("ODM",$H234)))),"본사/생산처 혼재",IF(ISNUMBER(SEARCH("CMT",$H234)),"본사(소재팀)","생산처")))</f>
        <v/>
      </c>
      <c r="U234" s="20" t="inlineStr">
        <is>
          <t>장안</t>
        </is>
      </c>
      <c r="V234" s="20">
        <f>IFERROR(TEXTJOIN(" / ",TRUE,UNIQUE(FILTER(소재DB_RAW!$K$3:$K$2000,(소재DB_RAW!$G$3:$G$2000=$D234)*ISERROR(SEARCH("drop",소재DB_RAW!$C$3:$C$2000))))),"")</f>
        <v/>
      </c>
      <c r="W234" s="20" t="inlineStr">
        <is>
          <t>베트남</t>
        </is>
      </c>
      <c r="X234" s="20">
        <f>IFERROR(TEXTJOIN(" / ",TRUE,UNIQUE(FILTER(소재DB_RAW!$N$3:$N$2000,(소재DB_RAW!$G$3:$G$2000=$D234)*ISERROR(SEARCH("drop",소재DB_RAW!$C$3:$C$2000))))),"")</f>
        <v/>
      </c>
      <c r="Y234" s="26">
        <f>IFERROR(TEXTJOIN(CHAR(10),TRUE,UNIQUE(FILTER(소재DB_RAW!$N$3:$N$2000&amp;") "&amp;소재DB_RAW!$O$3:$O$2000,(소재DB_RAW!$G$3:$G$2000=$D234)*ISNUMBER(SEARCH("겉감",소재DB_RAW!$M$3:$M$2000))*ISERROR(SEARCH("drop",소재DB_RAW!$C$3:$C$2000))))),"")</f>
        <v/>
      </c>
      <c r="Z234" s="26">
        <f>IFERROR(TEXTJOIN(CHAR(10),TRUE,UNIQUE(FILTER(소재DB_RAW!$N$3:$N$2000&amp;") "&amp;소재DB_RAW!$O$3:$O$2000,(소재DB_RAW!$G$3:$G$2000=$D234)*ISNUMBER(SEARCH("안감",소재DB_RAW!$M$3:$M$2000))*ISERROR(SEARCH("drop",소재DB_RAW!$C$3:$C$2000))))),"")</f>
        <v/>
      </c>
      <c r="AA234" s="27" t="n">
        <v>1400</v>
      </c>
      <c r="AB234" s="27" t="n">
        <v>49487200</v>
      </c>
      <c r="AC234" s="27" t="n">
        <v>221200000</v>
      </c>
      <c r="AD234" s="20" t="n"/>
      <c r="AE234" s="20">
        <f>IF($K234="","출고일 미정",IF($Q234="X","작지 미발행",IF($Q234="부분","작지 일부 미발행",IF(AND($S234&lt;&gt;"",$S234&gt;$N234),"소재입고 마감("&amp;TEXT($N234,"MM/DD")&amp;") 초과",IF($Q234="","발행여부 확인 필요",IF($S234="","소재 입고일정 확인 필요","정상"))))))</f>
        <v/>
      </c>
      <c r="AF234" s="19">
        <f>IF($K234="","",IF(OR(LEFT($AE234,2)="작지",LEFT($AE234,4)="소재입고"),IF(LEFT($G234,1)="S","★ 납기위험(S코드)","◆ 지연주의"),IF($AE234="정상","✓ 정상","? 확인필요")))</f>
        <v/>
      </c>
      <c r="AG234" s="21" t="n"/>
      <c r="AH234" s="28" t="n"/>
    </row>
    <row r="235">
      <c r="A235" s="19" t="n">
        <v>231</v>
      </c>
      <c r="B235" s="20" t="inlineStr">
        <is>
          <t>이재헌</t>
        </is>
      </c>
      <c r="C235" s="20" t="inlineStr">
        <is>
          <t>엄창용</t>
        </is>
      </c>
      <c r="D235" s="20" t="inlineStr">
        <is>
          <t>JWTCM27157</t>
        </is>
      </c>
      <c r="E235" s="20" t="inlineStr">
        <is>
          <t>남성 솔솔 MossDry 베이직 반팔 집업 티셔츠</t>
        </is>
      </c>
      <c r="F235" s="20" t="inlineStr">
        <is>
          <t>DGY(D/GRAY), DBU(D/BLUE), DMI(D/MINT), WGY</t>
        </is>
      </c>
      <c r="G235" s="19">
        <f>IF($D235="","",IF(MID($D235,5,1)="S","S(봄)",IF(MID($D235,5,1)="M","M(여름)",IF(MID($D235,5,1)="X","X(사계절)",MID($D235,5,1)))))</f>
        <v/>
      </c>
      <c r="H235" s="20" t="inlineStr">
        <is>
          <t>완사입</t>
        </is>
      </c>
      <c r="I235" s="19" t="inlineStr"/>
      <c r="J235" s="21" t="inlineStr">
        <is>
          <t>3월2주</t>
        </is>
      </c>
      <c r="K235" s="22">
        <f>IF($J235="","",IFERROR(DATE(IF(VALUE(LEFT($J235,FIND("월",$J235)-1))&gt;=9,기준정보!$C$7-1,기준정보!$C$7),VALUE(LEFT($J235,FIND("월",$J235)-1)),1+7*(VALUE(SUBSTITUTE(MID($J235,FIND("월",$J235)+1,5),"주",""))-1)),""))</f>
        <v/>
      </c>
      <c r="L235" s="22">
        <f>IF($K235="","",IF(AND($K235-기준정보!$C$5&gt;=기준정보!$C$10,$K235-기준정보!$C$5&lt;=기준정보!$C$11),기준정보!$C$10-1,$K235-기준정보!$C$5))</f>
        <v/>
      </c>
      <c r="M235" s="23">
        <f>IF($L235="","",IF(OR(ISNUMBER(SEARCH("중국",$W235)),ISNUMBER(SEARCH("베트남",$W235))),MAX(0,MIN($L235,기준정보!$C$9)-MAX($L235-기준정보!$C$6,기준정보!$C$8)+1),IF(ISNUMBER(SEARCH("한국",$W235)),MAX(0,MIN($L235,기준정보!$C$11)-MAX($L235-기준정보!$C$6,기준정보!$C$10)+1),0)))</f>
        <v/>
      </c>
      <c r="N235" s="22">
        <f>IF($L235="","",$L235-기준정보!$C$6-$M235)</f>
        <v/>
      </c>
      <c r="O235" s="24">
        <f>IF($N235="","",$N235-기준정보!$C$4)</f>
        <v/>
      </c>
      <c r="P235" s="21" t="n"/>
      <c r="Q235" s="21" t="inlineStr">
        <is>
          <t>O</t>
        </is>
      </c>
      <c r="R235" s="19">
        <f>IF(COUNTIF(EDW_RAW!$A$2:$A$1500,$D235)=0,"",IF(COUNTIFS(EDW_RAW!$A$2:$A$1500,$D235,EDW_RAW!$U$2:$U$1500,"&lt;&gt;~",EDW_RAW!$U$2:$U$1500,"&lt;&gt;")=COUNTIF(EDW_RAW!$A$2:$A$1500,$D235),"O",IF(COUNTIFS(EDW_RAW!$A$2:$A$1500,$D235,EDW_RAW!$U$2:$U$1500,"&lt;&gt;~",EDW_RAW!$U$2:$U$1500,"&lt;&gt;")&gt;0,"부분","X")))</f>
        <v/>
      </c>
      <c r="S235" s="25" t="n"/>
      <c r="T235" s="20">
        <f>IF($H235="","",IF(AND(ISNUMBER(SEARCH("CMT",$H235)),OR(ISNUMBER(SEARCH("완사입",$H235)),ISNUMBER(SEARCH("ODM",$H235)))),"본사/생산처 혼재",IF(ISNUMBER(SEARCH("CMT",$H235)),"본사(소재팀)","생산처")))</f>
        <v/>
      </c>
      <c r="U235" s="20" t="inlineStr">
        <is>
          <t>태화</t>
        </is>
      </c>
      <c r="V235" s="20">
        <f>IFERROR(TEXTJOIN(" / ",TRUE,UNIQUE(FILTER(소재DB_RAW!$K$3:$K$2000,(소재DB_RAW!$G$3:$G$2000=$D235)*ISERROR(SEARCH("drop",소재DB_RAW!$C$3:$C$2000))))),"")</f>
        <v/>
      </c>
      <c r="W235" s="20" t="inlineStr">
        <is>
          <t>베트남</t>
        </is>
      </c>
      <c r="X235" s="20">
        <f>IFERROR(TEXTJOIN(" / ",TRUE,UNIQUE(FILTER(소재DB_RAW!$N$3:$N$2000,(소재DB_RAW!$G$3:$G$2000=$D235)*ISERROR(SEARCH("drop",소재DB_RAW!$C$3:$C$2000))))),"")</f>
        <v/>
      </c>
      <c r="Y235" s="26">
        <f>IFERROR(TEXTJOIN(CHAR(10),TRUE,UNIQUE(FILTER(소재DB_RAW!$N$3:$N$2000&amp;") "&amp;소재DB_RAW!$O$3:$O$2000,(소재DB_RAW!$G$3:$G$2000=$D235)*ISNUMBER(SEARCH("겉감",소재DB_RAW!$M$3:$M$2000))*ISERROR(SEARCH("drop",소재DB_RAW!$C$3:$C$2000))))),"")</f>
        <v/>
      </c>
      <c r="Z235" s="26">
        <f>IFERROR(TEXTJOIN(CHAR(10),TRUE,UNIQUE(FILTER(소재DB_RAW!$N$3:$N$2000&amp;") "&amp;소재DB_RAW!$O$3:$O$2000,(소재DB_RAW!$G$3:$G$2000=$D235)*ISNUMBER(SEARCH("안감",소재DB_RAW!$M$3:$M$2000))*ISERROR(SEARCH("drop",소재DB_RAW!$C$3:$C$2000))))),"")</f>
        <v/>
      </c>
      <c r="AA235" s="27" t="n">
        <v>15000</v>
      </c>
      <c r="AB235" s="27" t="n">
        <v>255000000</v>
      </c>
      <c r="AC235" s="27" t="n">
        <v>1620000000</v>
      </c>
      <c r="AD235" s="20" t="inlineStr">
        <is>
          <t>44511</t>
        </is>
      </c>
      <c r="AE235" s="20">
        <f>IF($K235="","출고일 미정",IF($Q235="X","작지 미발행",IF($Q235="부분","작지 일부 미발행",IF(AND($S235&lt;&gt;"",$S235&gt;$N235),"소재입고 마감("&amp;TEXT($N235,"MM/DD")&amp;") 초과",IF($Q235="","발행여부 확인 필요",IF($S235="","소재 입고일정 확인 필요","정상"))))))</f>
        <v/>
      </c>
      <c r="AF235" s="19">
        <f>IF($K235="","",IF(OR(LEFT($AE235,2)="작지",LEFT($AE235,4)="소재입고"),IF(LEFT($G235,1)="S","★ 납기위험(S코드)","◆ 지연주의"),IF($AE235="정상","✓ 정상","? 확인필요")))</f>
        <v/>
      </c>
      <c r="AG235" s="21" t="n"/>
      <c r="AH235" s="28" t="n"/>
    </row>
    <row r="236">
      <c r="A236" s="19" t="n">
        <v>232</v>
      </c>
      <c r="B236" s="20" t="inlineStr">
        <is>
          <t>이재헌</t>
        </is>
      </c>
      <c r="C236" s="20" t="inlineStr">
        <is>
          <t>엄창용</t>
        </is>
      </c>
      <c r="D236" s="20" t="inlineStr">
        <is>
          <t>JWTCM27159</t>
        </is>
      </c>
      <c r="E236" s="20" t="inlineStr">
        <is>
          <t>남성 솔솔 MossDry 베이직 반팔 라운드 티셔츠</t>
        </is>
      </c>
      <c r="F236" s="20" t="inlineStr">
        <is>
          <t>BLK(BLACK), IVO(IVORY), DGR(D/GREEN), DNA(D/NAVY)</t>
        </is>
      </c>
      <c r="G236" s="19">
        <f>IF($D236="","",IF(MID($D236,5,1)="S","S(봄)",IF(MID($D236,5,1)="M","M(여름)",IF(MID($D236,5,1)="X","X(사계절)",MID($D236,5,1)))))</f>
        <v/>
      </c>
      <c r="H236" s="20" t="inlineStr">
        <is>
          <t>완사입</t>
        </is>
      </c>
      <c r="I236" s="19" t="inlineStr"/>
      <c r="J236" s="21" t="inlineStr">
        <is>
          <t>3월2주</t>
        </is>
      </c>
      <c r="K236" s="22">
        <f>IF($J236="","",IFERROR(DATE(IF(VALUE(LEFT($J236,FIND("월",$J236)-1))&gt;=9,기준정보!$C$7-1,기준정보!$C$7),VALUE(LEFT($J236,FIND("월",$J236)-1)),1+7*(VALUE(SUBSTITUTE(MID($J236,FIND("월",$J236)+1,5),"주",""))-1)),""))</f>
        <v/>
      </c>
      <c r="L236" s="22">
        <f>IF($K236="","",IF(AND($K236-기준정보!$C$5&gt;=기준정보!$C$10,$K236-기준정보!$C$5&lt;=기준정보!$C$11),기준정보!$C$10-1,$K236-기준정보!$C$5))</f>
        <v/>
      </c>
      <c r="M236" s="23">
        <f>IF($L236="","",IF(OR(ISNUMBER(SEARCH("중국",$W236)),ISNUMBER(SEARCH("베트남",$W236))),MAX(0,MIN($L236,기준정보!$C$9)-MAX($L236-기준정보!$C$6,기준정보!$C$8)+1),IF(ISNUMBER(SEARCH("한국",$W236)),MAX(0,MIN($L236,기준정보!$C$11)-MAX($L236-기준정보!$C$6,기준정보!$C$10)+1),0)))</f>
        <v/>
      </c>
      <c r="N236" s="22">
        <f>IF($L236="","",$L236-기준정보!$C$6-$M236)</f>
        <v/>
      </c>
      <c r="O236" s="24">
        <f>IF($N236="","",$N236-기준정보!$C$4)</f>
        <v/>
      </c>
      <c r="P236" s="21" t="n"/>
      <c r="Q236" s="21" t="inlineStr">
        <is>
          <t>O</t>
        </is>
      </c>
      <c r="R236" s="19">
        <f>IF(COUNTIF(EDW_RAW!$A$2:$A$1500,$D236)=0,"",IF(COUNTIFS(EDW_RAW!$A$2:$A$1500,$D236,EDW_RAW!$U$2:$U$1500,"&lt;&gt;~",EDW_RAW!$U$2:$U$1500,"&lt;&gt;")=COUNTIF(EDW_RAW!$A$2:$A$1500,$D236),"O",IF(COUNTIFS(EDW_RAW!$A$2:$A$1500,$D236,EDW_RAW!$U$2:$U$1500,"&lt;&gt;~",EDW_RAW!$U$2:$U$1500,"&lt;&gt;")&gt;0,"부분","X")))</f>
        <v/>
      </c>
      <c r="S236" s="25" t="n"/>
      <c r="T236" s="20">
        <f>IF($H236="","",IF(AND(ISNUMBER(SEARCH("CMT",$H236)),OR(ISNUMBER(SEARCH("완사입",$H236)),ISNUMBER(SEARCH("ODM",$H236)))),"본사/생산처 혼재",IF(ISNUMBER(SEARCH("CMT",$H236)),"본사(소재팀)","생산처")))</f>
        <v/>
      </c>
      <c r="U236" s="20" t="inlineStr">
        <is>
          <t>TESSELLATION</t>
        </is>
      </c>
      <c r="V236" s="20">
        <f>IFERROR(TEXTJOIN(" / ",TRUE,UNIQUE(FILTER(소재DB_RAW!$K$3:$K$2000,(소재DB_RAW!$G$3:$G$2000=$D236)*ISERROR(SEARCH("drop",소재DB_RAW!$C$3:$C$2000))))),"")</f>
        <v/>
      </c>
      <c r="W236" s="20" t="inlineStr">
        <is>
          <t>베트남</t>
        </is>
      </c>
      <c r="X236" s="20">
        <f>IFERROR(TEXTJOIN(" / ",TRUE,UNIQUE(FILTER(소재DB_RAW!$N$3:$N$2000,(소재DB_RAW!$G$3:$G$2000=$D236)*ISERROR(SEARCH("drop",소재DB_RAW!$C$3:$C$2000))))),"")</f>
        <v/>
      </c>
      <c r="Y236" s="26">
        <f>IFERROR(TEXTJOIN(CHAR(10),TRUE,UNIQUE(FILTER(소재DB_RAW!$N$3:$N$2000&amp;") "&amp;소재DB_RAW!$O$3:$O$2000,(소재DB_RAW!$G$3:$G$2000=$D236)*ISNUMBER(SEARCH("겉감",소재DB_RAW!$M$3:$M$2000))*ISERROR(SEARCH("drop",소재DB_RAW!$C$3:$C$2000))))),"")</f>
        <v/>
      </c>
      <c r="Z236" s="26">
        <f>IFERROR(TEXTJOIN(CHAR(10),TRUE,UNIQUE(FILTER(소재DB_RAW!$N$3:$N$2000&amp;") "&amp;소재DB_RAW!$O$3:$O$2000,(소재DB_RAW!$G$3:$G$2000=$D236)*ISNUMBER(SEARCH("안감",소재DB_RAW!$M$3:$M$2000))*ISERROR(SEARCH("drop",소재DB_RAW!$C$3:$C$2000))))),"")</f>
        <v/>
      </c>
      <c r="AA236" s="27" t="n">
        <v>23000</v>
      </c>
      <c r="AB236" s="27" t="n">
        <v>230000000</v>
      </c>
      <c r="AC236" s="27" t="n">
        <v>1564000000</v>
      </c>
      <c r="AD236" s="20" t="inlineStr">
        <is>
          <t>44511</t>
        </is>
      </c>
      <c r="AE236" s="20">
        <f>IF($K236="","출고일 미정",IF($Q236="X","작지 미발행",IF($Q236="부분","작지 일부 미발행",IF(AND($S236&lt;&gt;"",$S236&gt;$N236),"소재입고 마감("&amp;TEXT($N236,"MM/DD")&amp;") 초과",IF($Q236="","발행여부 확인 필요",IF($S236="","소재 입고일정 확인 필요","정상"))))))</f>
        <v/>
      </c>
      <c r="AF236" s="19">
        <f>IF($K236="","",IF(OR(LEFT($AE236,2)="작지",LEFT($AE236,4)="소재입고"),IF(LEFT($G236,1)="S","★ 납기위험(S코드)","◆ 지연주의"),IF($AE236="정상","✓ 정상","? 확인필요")))</f>
        <v/>
      </c>
      <c r="AG236" s="21" t="n"/>
      <c r="AH236" s="28" t="n"/>
    </row>
    <row r="237">
      <c r="A237" s="19" t="n">
        <v>233</v>
      </c>
      <c r="B237" s="20" t="inlineStr">
        <is>
          <t>최지희</t>
        </is>
      </c>
      <c r="C237" s="20" t="inlineStr">
        <is>
          <t>강지은</t>
        </is>
      </c>
      <c r="D237" s="20" t="inlineStr">
        <is>
          <t>QEREM27131</t>
        </is>
      </c>
      <c r="E237" s="20" t="inlineStr">
        <is>
          <t>남녀공용 메쉬 우븐 배색 캠프캡</t>
        </is>
      </c>
      <c r="F237" s="20" t="inlineStr">
        <is>
          <t>BLK(BLACK), WBE</t>
        </is>
      </c>
      <c r="G237" s="19">
        <f>IF($D237="","",IF(MID($D237,5,1)="S","S(봄)",IF(MID($D237,5,1)="M","M(여름)",IF(MID($D237,5,1)="X","X(사계절)",MID($D237,5,1)))))</f>
        <v/>
      </c>
      <c r="H237" s="20" t="inlineStr">
        <is>
          <t>완사입</t>
        </is>
      </c>
      <c r="I237" s="19" t="inlineStr">
        <is>
          <t>SM2</t>
        </is>
      </c>
      <c r="J237" s="21" t="inlineStr">
        <is>
          <t>3월2주</t>
        </is>
      </c>
      <c r="K237" s="22">
        <f>IF($J237="","",IFERROR(DATE(IF(VALUE(LEFT($J237,FIND("월",$J237)-1))&gt;=9,기준정보!$C$7-1,기준정보!$C$7),VALUE(LEFT($J237,FIND("월",$J237)-1)),1+7*(VALUE(SUBSTITUTE(MID($J237,FIND("월",$J237)+1,5),"주",""))-1)),""))</f>
        <v/>
      </c>
      <c r="L237" s="22">
        <f>IF($K237="","",IF(AND($K237-기준정보!$C$5&gt;=기준정보!$C$10,$K237-기준정보!$C$5&lt;=기준정보!$C$11),기준정보!$C$10-1,$K237-기준정보!$C$5))</f>
        <v/>
      </c>
      <c r="M237" s="23">
        <f>IF($L237="","",IF(OR(ISNUMBER(SEARCH("중국",$W237)),ISNUMBER(SEARCH("베트남",$W237))),MAX(0,MIN($L237,기준정보!$C$9)-MAX($L237-기준정보!$C$6,기준정보!$C$8)+1),IF(ISNUMBER(SEARCH("한국",$W237)),MAX(0,MIN($L237,기준정보!$C$11)-MAX($L237-기준정보!$C$6,기준정보!$C$10)+1),0)))</f>
        <v/>
      </c>
      <c r="N237" s="22">
        <f>IF($L237="","",$L237-기준정보!$C$6-$M237)</f>
        <v/>
      </c>
      <c r="O237" s="24">
        <f>IF($N237="","",$N237-기준정보!$C$4)</f>
        <v/>
      </c>
      <c r="P237" s="21" t="n"/>
      <c r="Q237" s="21" t="inlineStr">
        <is>
          <t>X</t>
        </is>
      </c>
      <c r="R237" s="19">
        <f>IF(COUNTIF(EDW_RAW!$A$2:$A$1500,$D237)=0,"",IF(COUNTIFS(EDW_RAW!$A$2:$A$1500,$D237,EDW_RAW!$U$2:$U$1500,"&lt;&gt;~",EDW_RAW!$U$2:$U$1500,"&lt;&gt;")=COUNTIF(EDW_RAW!$A$2:$A$1500,$D237),"O",IF(COUNTIFS(EDW_RAW!$A$2:$A$1500,$D237,EDW_RAW!$U$2:$U$1500,"&lt;&gt;~",EDW_RAW!$U$2:$U$1500,"&lt;&gt;")&gt;0,"부분","X")))</f>
        <v/>
      </c>
      <c r="S237" s="25" t="n"/>
      <c r="T237" s="20">
        <f>IF($H237="","",IF(AND(ISNUMBER(SEARCH("CMT",$H237)),OR(ISNUMBER(SEARCH("완사입",$H237)),ISNUMBER(SEARCH("ODM",$H237)))),"본사/생산처 혼재",IF(ISNUMBER(SEARCH("CMT",$H237)),"본사(소재팀)","생산처")))</f>
        <v/>
      </c>
      <c r="U237" s="20" t="inlineStr">
        <is>
          <t>캐비야</t>
        </is>
      </c>
      <c r="V237" s="20">
        <f>IFERROR(TEXTJOIN(" / ",TRUE,UNIQUE(FILTER(소재DB_RAW!$K$3:$K$2000,(소재DB_RAW!$G$3:$G$2000=$D237)*ISERROR(SEARCH("drop",소재DB_RAW!$C$3:$C$2000))))),"")</f>
        <v/>
      </c>
      <c r="W237" s="20" t="inlineStr">
        <is>
          <t>국내</t>
        </is>
      </c>
      <c r="X237" s="20">
        <f>IFERROR(TEXTJOIN(" / ",TRUE,UNIQUE(FILTER(소재DB_RAW!$N$3:$N$2000,(소재DB_RAW!$G$3:$G$2000=$D237)*ISERROR(SEARCH("drop",소재DB_RAW!$C$3:$C$2000))))),"")</f>
        <v/>
      </c>
      <c r="Y237" s="26">
        <f>IFERROR(TEXTJOIN(CHAR(10),TRUE,UNIQUE(FILTER(소재DB_RAW!$N$3:$N$2000&amp;") "&amp;소재DB_RAW!$O$3:$O$2000,(소재DB_RAW!$G$3:$G$2000=$D237)*ISNUMBER(SEARCH("겉감",소재DB_RAW!$M$3:$M$2000))*ISERROR(SEARCH("drop",소재DB_RAW!$C$3:$C$2000))))),"")</f>
        <v/>
      </c>
      <c r="Z237" s="26">
        <f>IFERROR(TEXTJOIN(CHAR(10),TRUE,UNIQUE(FILTER(소재DB_RAW!$N$3:$N$2000&amp;") "&amp;소재DB_RAW!$O$3:$O$2000,(소재DB_RAW!$G$3:$G$2000=$D237)*ISNUMBER(SEARCH("안감",소재DB_RAW!$M$3:$M$2000))*ISERROR(SEARCH("drop",소재DB_RAW!$C$3:$C$2000))))),"")</f>
        <v/>
      </c>
      <c r="AA237" s="27" t="n">
        <v>3000</v>
      </c>
      <c r="AB237" s="27" t="n">
        <v>37044000</v>
      </c>
      <c r="AC237" s="27" t="n">
        <v>180000000</v>
      </c>
      <c r="AD237" s="20" t="n"/>
      <c r="AE237" s="20">
        <f>IF($K237="","출고일 미정",IF($Q237="X","작지 미발행",IF($Q237="부분","작지 일부 미발행",IF(AND($S237&lt;&gt;"",$S237&gt;$N237),"소재입고 마감("&amp;TEXT($N237,"MM/DD")&amp;") 초과",IF($Q237="","발행여부 확인 필요",IF($S237="","소재 입고일정 확인 필요","정상"))))))</f>
        <v/>
      </c>
      <c r="AF237" s="19">
        <f>IF($K237="","",IF(OR(LEFT($AE237,2)="작지",LEFT($AE237,4)="소재입고"),IF(LEFT($G237,1)="S","★ 납기위험(S코드)","◆ 지연주의"),IF($AE237="정상","✓ 정상","? 확인필요")))</f>
        <v/>
      </c>
      <c r="AG237" s="21" t="n"/>
      <c r="AH237" s="28" t="n"/>
    </row>
    <row r="238">
      <c r="A238" s="19" t="n">
        <v>234</v>
      </c>
      <c r="B238" s="20" t="inlineStr">
        <is>
          <t>최지희</t>
        </is>
      </c>
      <c r="C238" s="20" t="inlineStr">
        <is>
          <t>강지은</t>
        </is>
      </c>
      <c r="D238" s="20" t="inlineStr">
        <is>
          <t>QEREM27151</t>
        </is>
      </c>
      <c r="E238" s="20" t="inlineStr">
        <is>
          <t>남녀공용 에어도트 볼캡</t>
        </is>
      </c>
      <c r="F238" s="20" t="inlineStr">
        <is>
          <t>CRE(CREAM), KHA(KHAKI), BGY(B/GRAY), BLK(BLACK)</t>
        </is>
      </c>
      <c r="G238" s="19">
        <f>IF($D238="","",IF(MID($D238,5,1)="S","S(봄)",IF(MID($D238,5,1)="M","M(여름)",IF(MID($D238,5,1)="X","X(사계절)",MID($D238,5,1)))))</f>
        <v/>
      </c>
      <c r="H238" s="20" t="inlineStr">
        <is>
          <t>완사입</t>
        </is>
      </c>
      <c r="I238" s="19" t="inlineStr">
        <is>
          <t>SM2</t>
        </is>
      </c>
      <c r="J238" s="21" t="inlineStr">
        <is>
          <t>3월2주</t>
        </is>
      </c>
      <c r="K238" s="22">
        <f>IF($J238="","",IFERROR(DATE(IF(VALUE(LEFT($J238,FIND("월",$J238)-1))&gt;=9,기준정보!$C$7-1,기준정보!$C$7),VALUE(LEFT($J238,FIND("월",$J238)-1)),1+7*(VALUE(SUBSTITUTE(MID($J238,FIND("월",$J238)+1,5),"주",""))-1)),""))</f>
        <v/>
      </c>
      <c r="L238" s="22">
        <f>IF($K238="","",IF(AND($K238-기준정보!$C$5&gt;=기준정보!$C$10,$K238-기준정보!$C$5&lt;=기준정보!$C$11),기준정보!$C$10-1,$K238-기준정보!$C$5))</f>
        <v/>
      </c>
      <c r="M238" s="23">
        <f>IF($L238="","",IF(OR(ISNUMBER(SEARCH("중국",$W238)),ISNUMBER(SEARCH("베트남",$W238))),MAX(0,MIN($L238,기준정보!$C$9)-MAX($L238-기준정보!$C$6,기준정보!$C$8)+1),IF(ISNUMBER(SEARCH("한국",$W238)),MAX(0,MIN($L238,기준정보!$C$11)-MAX($L238-기준정보!$C$6,기준정보!$C$10)+1),0)))</f>
        <v/>
      </c>
      <c r="N238" s="22">
        <f>IF($L238="","",$L238-기준정보!$C$6-$M238)</f>
        <v/>
      </c>
      <c r="O238" s="24">
        <f>IF($N238="","",$N238-기준정보!$C$4)</f>
        <v/>
      </c>
      <c r="P238" s="21" t="n"/>
      <c r="Q238" s="21" t="inlineStr">
        <is>
          <t>X</t>
        </is>
      </c>
      <c r="R238" s="19">
        <f>IF(COUNTIF(EDW_RAW!$A$2:$A$1500,$D238)=0,"",IF(COUNTIFS(EDW_RAW!$A$2:$A$1500,$D238,EDW_RAW!$U$2:$U$1500,"&lt;&gt;~",EDW_RAW!$U$2:$U$1500,"&lt;&gt;")=COUNTIF(EDW_RAW!$A$2:$A$1500,$D238),"O",IF(COUNTIFS(EDW_RAW!$A$2:$A$1500,$D238,EDW_RAW!$U$2:$U$1500,"&lt;&gt;~",EDW_RAW!$U$2:$U$1500,"&lt;&gt;")&gt;0,"부분","X")))</f>
        <v/>
      </c>
      <c r="S238" s="25" t="n"/>
      <c r="T238" s="20">
        <f>IF($H238="","",IF(AND(ISNUMBER(SEARCH("CMT",$H238)),OR(ISNUMBER(SEARCH("완사입",$H238)),ISNUMBER(SEARCH("ODM",$H238)))),"본사/생산처 혼재",IF(ISNUMBER(SEARCH("CMT",$H238)),"본사(소재팀)","생산처")))</f>
        <v/>
      </c>
      <c r="U238" s="20" t="inlineStr">
        <is>
          <t>캐비야</t>
        </is>
      </c>
      <c r="V238" s="20">
        <f>IFERROR(TEXTJOIN(" / ",TRUE,UNIQUE(FILTER(소재DB_RAW!$K$3:$K$2000,(소재DB_RAW!$G$3:$G$2000=$D238)*ISERROR(SEARCH("drop",소재DB_RAW!$C$3:$C$2000))))),"")</f>
        <v/>
      </c>
      <c r="W238" s="20" t="inlineStr">
        <is>
          <t>국내</t>
        </is>
      </c>
      <c r="X238" s="20">
        <f>IFERROR(TEXTJOIN(" / ",TRUE,UNIQUE(FILTER(소재DB_RAW!$N$3:$N$2000,(소재DB_RAW!$G$3:$G$2000=$D238)*ISERROR(SEARCH("drop",소재DB_RAW!$C$3:$C$2000))))),"")</f>
        <v/>
      </c>
      <c r="Y238" s="26">
        <f>IFERROR(TEXTJOIN(CHAR(10),TRUE,UNIQUE(FILTER(소재DB_RAW!$N$3:$N$2000&amp;") "&amp;소재DB_RAW!$O$3:$O$2000,(소재DB_RAW!$G$3:$G$2000=$D238)*ISNUMBER(SEARCH("겉감",소재DB_RAW!$M$3:$M$2000))*ISERROR(SEARCH("drop",소재DB_RAW!$C$3:$C$2000))))),"")</f>
        <v/>
      </c>
      <c r="Z238" s="26">
        <f>IFERROR(TEXTJOIN(CHAR(10),TRUE,UNIQUE(FILTER(소재DB_RAW!$N$3:$N$2000&amp;") "&amp;소재DB_RAW!$O$3:$O$2000,(소재DB_RAW!$G$3:$G$2000=$D238)*ISNUMBER(SEARCH("안감",소재DB_RAW!$M$3:$M$2000))*ISERROR(SEARCH("drop",소재DB_RAW!$C$3:$C$2000))))),"")</f>
        <v/>
      </c>
      <c r="AA238" s="27" t="n">
        <v>12000</v>
      </c>
      <c r="AB238" s="27" t="n">
        <v>150000000</v>
      </c>
      <c r="AC238" s="27" t="n">
        <v>720000000</v>
      </c>
      <c r="AD238" s="20" t="n"/>
      <c r="AE238" s="20">
        <f>IF($K238="","출고일 미정",IF($Q238="X","작지 미발행",IF($Q238="부분","작지 일부 미발행",IF(AND($S238&lt;&gt;"",$S238&gt;$N238),"소재입고 마감("&amp;TEXT($N238,"MM/DD")&amp;") 초과",IF($Q238="","발행여부 확인 필요",IF($S238="","소재 입고일정 확인 필요","정상"))))))</f>
        <v/>
      </c>
      <c r="AF238" s="19">
        <f>IF($K238="","",IF(OR(LEFT($AE238,2)="작지",LEFT($AE238,4)="소재입고"),IF(LEFT($G238,1)="S","★ 납기위험(S코드)","◆ 지연주의"),IF($AE238="정상","✓ 정상","? 확인필요")))</f>
        <v/>
      </c>
      <c r="AG238" s="21" t="n"/>
      <c r="AH238" s="28" t="n"/>
    </row>
    <row r="239">
      <c r="A239" s="19" t="n">
        <v>235</v>
      </c>
      <c r="B239" s="20" t="inlineStr">
        <is>
          <t>최지희</t>
        </is>
      </c>
      <c r="C239" s="20" t="inlineStr">
        <is>
          <t>강지은</t>
        </is>
      </c>
      <c r="D239" s="20" t="inlineStr">
        <is>
          <t>QERFM27121</t>
        </is>
      </c>
      <c r="E239" s="20" t="inlineStr">
        <is>
          <t>남녀공용 경량 메쉬 버킷햇</t>
        </is>
      </c>
      <c r="F239" s="20" t="inlineStr">
        <is>
          <t>BLK(BLACK), WBE</t>
        </is>
      </c>
      <c r="G239" s="19">
        <f>IF($D239="","",IF(MID($D239,5,1)="S","S(봄)",IF(MID($D239,5,1)="M","M(여름)",IF(MID($D239,5,1)="X","X(사계절)",MID($D239,5,1)))))</f>
        <v/>
      </c>
      <c r="H239" s="20" t="inlineStr">
        <is>
          <t>완사입</t>
        </is>
      </c>
      <c r="I239" s="19" t="inlineStr">
        <is>
          <t>SM2</t>
        </is>
      </c>
      <c r="J239" s="21" t="inlineStr">
        <is>
          <t>3월2주</t>
        </is>
      </c>
      <c r="K239" s="22">
        <f>IF($J239="","",IFERROR(DATE(IF(VALUE(LEFT($J239,FIND("월",$J239)-1))&gt;=9,기준정보!$C$7-1,기준정보!$C$7),VALUE(LEFT($J239,FIND("월",$J239)-1)),1+7*(VALUE(SUBSTITUTE(MID($J239,FIND("월",$J239)+1,5),"주",""))-1)),""))</f>
        <v/>
      </c>
      <c r="L239" s="22">
        <f>IF($K239="","",IF(AND($K239-기준정보!$C$5&gt;=기준정보!$C$10,$K239-기준정보!$C$5&lt;=기준정보!$C$11),기준정보!$C$10-1,$K239-기준정보!$C$5))</f>
        <v/>
      </c>
      <c r="M239" s="23">
        <f>IF($L239="","",IF(OR(ISNUMBER(SEARCH("중국",$W239)),ISNUMBER(SEARCH("베트남",$W239))),MAX(0,MIN($L239,기준정보!$C$9)-MAX($L239-기준정보!$C$6,기준정보!$C$8)+1),IF(ISNUMBER(SEARCH("한국",$W239)),MAX(0,MIN($L239,기준정보!$C$11)-MAX($L239-기준정보!$C$6,기준정보!$C$10)+1),0)))</f>
        <v/>
      </c>
      <c r="N239" s="22">
        <f>IF($L239="","",$L239-기준정보!$C$6-$M239)</f>
        <v/>
      </c>
      <c r="O239" s="24">
        <f>IF($N239="","",$N239-기준정보!$C$4)</f>
        <v/>
      </c>
      <c r="P239" s="21" t="n"/>
      <c r="Q239" s="21" t="inlineStr">
        <is>
          <t>X</t>
        </is>
      </c>
      <c r="R239" s="19">
        <f>IF(COUNTIF(EDW_RAW!$A$2:$A$1500,$D239)=0,"",IF(COUNTIFS(EDW_RAW!$A$2:$A$1500,$D239,EDW_RAW!$U$2:$U$1500,"&lt;&gt;~",EDW_RAW!$U$2:$U$1500,"&lt;&gt;")=COUNTIF(EDW_RAW!$A$2:$A$1500,$D239),"O",IF(COUNTIFS(EDW_RAW!$A$2:$A$1500,$D239,EDW_RAW!$U$2:$U$1500,"&lt;&gt;~",EDW_RAW!$U$2:$U$1500,"&lt;&gt;")&gt;0,"부분","X")))</f>
        <v/>
      </c>
      <c r="S239" s="25" t="n"/>
      <c r="T239" s="20">
        <f>IF($H239="","",IF(AND(ISNUMBER(SEARCH("CMT",$H239)),OR(ISNUMBER(SEARCH("완사입",$H239)),ISNUMBER(SEARCH("ODM",$H239)))),"본사/생산처 혼재",IF(ISNUMBER(SEARCH("CMT",$H239)),"본사(소재팀)","생산처")))</f>
        <v/>
      </c>
      <c r="U239" s="20" t="inlineStr">
        <is>
          <t>캐비야</t>
        </is>
      </c>
      <c r="V239" s="20">
        <f>IFERROR(TEXTJOIN(" / ",TRUE,UNIQUE(FILTER(소재DB_RAW!$K$3:$K$2000,(소재DB_RAW!$G$3:$G$2000=$D239)*ISERROR(SEARCH("drop",소재DB_RAW!$C$3:$C$2000))))),"")</f>
        <v/>
      </c>
      <c r="W239" s="20" t="inlineStr">
        <is>
          <t>국내</t>
        </is>
      </c>
      <c r="X239" s="20">
        <f>IFERROR(TEXTJOIN(" / ",TRUE,UNIQUE(FILTER(소재DB_RAW!$N$3:$N$2000,(소재DB_RAW!$G$3:$G$2000=$D239)*ISERROR(SEARCH("drop",소재DB_RAW!$C$3:$C$2000))))),"")</f>
        <v/>
      </c>
      <c r="Y239" s="26">
        <f>IFERROR(TEXTJOIN(CHAR(10),TRUE,UNIQUE(FILTER(소재DB_RAW!$N$3:$N$2000&amp;") "&amp;소재DB_RAW!$O$3:$O$2000,(소재DB_RAW!$G$3:$G$2000=$D239)*ISNUMBER(SEARCH("겉감",소재DB_RAW!$M$3:$M$2000))*ISERROR(SEARCH("drop",소재DB_RAW!$C$3:$C$2000))))),"")</f>
        <v/>
      </c>
      <c r="Z239" s="26">
        <f>IFERROR(TEXTJOIN(CHAR(10),TRUE,UNIQUE(FILTER(소재DB_RAW!$N$3:$N$2000&amp;") "&amp;소재DB_RAW!$O$3:$O$2000,(소재DB_RAW!$G$3:$G$2000=$D239)*ISNUMBER(SEARCH("안감",소재DB_RAW!$M$3:$M$2000))*ISERROR(SEARCH("drop",소재DB_RAW!$C$3:$C$2000))))),"")</f>
        <v/>
      </c>
      <c r="AA239" s="27" t="n">
        <v>2000</v>
      </c>
      <c r="AB239" s="27" t="n">
        <v>28936000</v>
      </c>
      <c r="AC239" s="27" t="n">
        <v>140000000</v>
      </c>
      <c r="AD239" s="20" t="n"/>
      <c r="AE239" s="20">
        <f>IF($K239="","출고일 미정",IF($Q239="X","작지 미발행",IF($Q239="부분","작지 일부 미발행",IF(AND($S239&lt;&gt;"",$S239&gt;$N239),"소재입고 마감("&amp;TEXT($N239,"MM/DD")&amp;") 초과",IF($Q239="","발행여부 확인 필요",IF($S239="","소재 입고일정 확인 필요","정상"))))))</f>
        <v/>
      </c>
      <c r="AF239" s="19">
        <f>IF($K239="","",IF(OR(LEFT($AE239,2)="작지",LEFT($AE239,4)="소재입고"),IF(LEFT($G239,1)="S","★ 납기위험(S코드)","◆ 지연주의"),IF($AE239="정상","✓ 정상","? 확인필요")))</f>
        <v/>
      </c>
      <c r="AG239" s="21" t="n"/>
      <c r="AH239" s="28" t="n"/>
    </row>
    <row r="240">
      <c r="A240" s="19" t="n">
        <v>236</v>
      </c>
      <c r="B240" s="20" t="inlineStr">
        <is>
          <t>최지희</t>
        </is>
      </c>
      <c r="C240" s="20" t="inlineStr">
        <is>
          <t>강지은</t>
        </is>
      </c>
      <c r="D240" s="20" t="inlineStr">
        <is>
          <t>QERFM27151</t>
        </is>
      </c>
      <c r="E240" s="20" t="inlineStr">
        <is>
          <t>남녀공용 에어도트 버킷햇</t>
        </is>
      </c>
      <c r="F240" s="20" t="inlineStr">
        <is>
          <t>BGY(B/GRAY), BLK(BLACK)</t>
        </is>
      </c>
      <c r="G240" s="19">
        <f>IF($D240="","",IF(MID($D240,5,1)="S","S(봄)",IF(MID($D240,5,1)="M","M(여름)",IF(MID($D240,5,1)="X","X(사계절)",MID($D240,5,1)))))</f>
        <v/>
      </c>
      <c r="H240" s="20" t="inlineStr">
        <is>
          <t>완사입</t>
        </is>
      </c>
      <c r="I240" s="19" t="inlineStr">
        <is>
          <t>SM2</t>
        </is>
      </c>
      <c r="J240" s="21" t="inlineStr">
        <is>
          <t>3월2주</t>
        </is>
      </c>
      <c r="K240" s="22">
        <f>IF($J240="","",IFERROR(DATE(IF(VALUE(LEFT($J240,FIND("월",$J240)-1))&gt;=9,기준정보!$C$7-1,기준정보!$C$7),VALUE(LEFT($J240,FIND("월",$J240)-1)),1+7*(VALUE(SUBSTITUTE(MID($J240,FIND("월",$J240)+1,5),"주",""))-1)),""))</f>
        <v/>
      </c>
      <c r="L240" s="22">
        <f>IF($K240="","",IF(AND($K240-기준정보!$C$5&gt;=기준정보!$C$10,$K240-기준정보!$C$5&lt;=기준정보!$C$11),기준정보!$C$10-1,$K240-기준정보!$C$5))</f>
        <v/>
      </c>
      <c r="M240" s="23">
        <f>IF($L240="","",IF(OR(ISNUMBER(SEARCH("중국",$W240)),ISNUMBER(SEARCH("베트남",$W240))),MAX(0,MIN($L240,기준정보!$C$9)-MAX($L240-기준정보!$C$6,기준정보!$C$8)+1),IF(ISNUMBER(SEARCH("한국",$W240)),MAX(0,MIN($L240,기준정보!$C$11)-MAX($L240-기준정보!$C$6,기준정보!$C$10)+1),0)))</f>
        <v/>
      </c>
      <c r="N240" s="22">
        <f>IF($L240="","",$L240-기준정보!$C$6-$M240)</f>
        <v/>
      </c>
      <c r="O240" s="24">
        <f>IF($N240="","",$N240-기준정보!$C$4)</f>
        <v/>
      </c>
      <c r="P240" s="21" t="n"/>
      <c r="Q240" s="21" t="inlineStr">
        <is>
          <t>X</t>
        </is>
      </c>
      <c r="R240" s="19">
        <f>IF(COUNTIF(EDW_RAW!$A$2:$A$1500,$D240)=0,"",IF(COUNTIFS(EDW_RAW!$A$2:$A$1500,$D240,EDW_RAW!$U$2:$U$1500,"&lt;&gt;~",EDW_RAW!$U$2:$U$1500,"&lt;&gt;")=COUNTIF(EDW_RAW!$A$2:$A$1500,$D240),"O",IF(COUNTIFS(EDW_RAW!$A$2:$A$1500,$D240,EDW_RAW!$U$2:$U$1500,"&lt;&gt;~",EDW_RAW!$U$2:$U$1500,"&lt;&gt;")&gt;0,"부분","X")))</f>
        <v/>
      </c>
      <c r="S240" s="25" t="n"/>
      <c r="T240" s="20">
        <f>IF($H240="","",IF(AND(ISNUMBER(SEARCH("CMT",$H240)),OR(ISNUMBER(SEARCH("완사입",$H240)),ISNUMBER(SEARCH("ODM",$H240)))),"본사/생산처 혼재",IF(ISNUMBER(SEARCH("CMT",$H240)),"본사(소재팀)","생산처")))</f>
        <v/>
      </c>
      <c r="U240" s="20" t="inlineStr">
        <is>
          <t>캐비야</t>
        </is>
      </c>
      <c r="V240" s="20">
        <f>IFERROR(TEXTJOIN(" / ",TRUE,UNIQUE(FILTER(소재DB_RAW!$K$3:$K$2000,(소재DB_RAW!$G$3:$G$2000=$D240)*ISERROR(SEARCH("drop",소재DB_RAW!$C$3:$C$2000))))),"")</f>
        <v/>
      </c>
      <c r="W240" s="20" t="inlineStr">
        <is>
          <t>국내</t>
        </is>
      </c>
      <c r="X240" s="20">
        <f>IFERROR(TEXTJOIN(" / ",TRUE,UNIQUE(FILTER(소재DB_RAW!$N$3:$N$2000,(소재DB_RAW!$G$3:$G$2000=$D240)*ISERROR(SEARCH("drop",소재DB_RAW!$C$3:$C$2000))))),"")</f>
        <v/>
      </c>
      <c r="Y240" s="26">
        <f>IFERROR(TEXTJOIN(CHAR(10),TRUE,UNIQUE(FILTER(소재DB_RAW!$N$3:$N$2000&amp;") "&amp;소재DB_RAW!$O$3:$O$2000,(소재DB_RAW!$G$3:$G$2000=$D240)*ISNUMBER(SEARCH("겉감",소재DB_RAW!$M$3:$M$2000))*ISERROR(SEARCH("drop",소재DB_RAW!$C$3:$C$2000))))),"")</f>
        <v/>
      </c>
      <c r="Z240" s="26">
        <f>IFERROR(TEXTJOIN(CHAR(10),TRUE,UNIQUE(FILTER(소재DB_RAW!$N$3:$N$2000&amp;") "&amp;소재DB_RAW!$O$3:$O$2000,(소재DB_RAW!$G$3:$G$2000=$D240)*ISNUMBER(SEARCH("안감",소재DB_RAW!$M$3:$M$2000))*ISERROR(SEARCH("drop",소재DB_RAW!$C$3:$C$2000))))),"")</f>
        <v/>
      </c>
      <c r="AA240" s="27" t="n">
        <v>3000</v>
      </c>
      <c r="AB240" s="27" t="n">
        <v>41259000</v>
      </c>
      <c r="AC240" s="27" t="n">
        <v>210000000</v>
      </c>
      <c r="AD240" s="20" t="n"/>
      <c r="AE240" s="20">
        <f>IF($K240="","출고일 미정",IF($Q240="X","작지 미발행",IF($Q240="부분","작지 일부 미발행",IF(AND($S240&lt;&gt;"",$S240&gt;$N240),"소재입고 마감("&amp;TEXT($N240,"MM/DD")&amp;") 초과",IF($Q240="","발행여부 확인 필요",IF($S240="","소재 입고일정 확인 필요","정상"))))))</f>
        <v/>
      </c>
      <c r="AF240" s="19">
        <f>IF($K240="","",IF(OR(LEFT($AE240,2)="작지",LEFT($AE240,4)="소재입고"),IF(LEFT($G240,1)="S","★ 납기위험(S코드)","◆ 지연주의"),IF($AE240="정상","✓ 정상","? 확인필요")))</f>
        <v/>
      </c>
      <c r="AG240" s="21" t="n"/>
      <c r="AH240" s="28" t="n"/>
    </row>
    <row r="241">
      <c r="A241" s="19" t="n">
        <v>237</v>
      </c>
      <c r="B241" s="20" t="inlineStr">
        <is>
          <t>최지희</t>
        </is>
      </c>
      <c r="C241" s="20" t="inlineStr">
        <is>
          <t>강지은</t>
        </is>
      </c>
      <c r="D241" s="20" t="inlineStr">
        <is>
          <t>QERFM27401</t>
        </is>
      </c>
      <c r="E241" s="20" t="inlineStr">
        <is>
          <t>남녀공용 시어서커 버킷햇</t>
        </is>
      </c>
      <c r="F241" s="20" t="inlineStr">
        <is>
          <t>BLK(BLACK), LBL(L/BLUE)</t>
        </is>
      </c>
      <c r="G241" s="19">
        <f>IF($D241="","",IF(MID($D241,5,1)="S","S(봄)",IF(MID($D241,5,1)="M","M(여름)",IF(MID($D241,5,1)="X","X(사계절)",MID($D241,5,1)))))</f>
        <v/>
      </c>
      <c r="H241" s="20" t="inlineStr">
        <is>
          <t>완사입</t>
        </is>
      </c>
      <c r="I241" s="19" t="inlineStr">
        <is>
          <t>SM2</t>
        </is>
      </c>
      <c r="J241" s="21" t="inlineStr">
        <is>
          <t>3월2주</t>
        </is>
      </c>
      <c r="K241" s="22">
        <f>IF($J241="","",IFERROR(DATE(IF(VALUE(LEFT($J241,FIND("월",$J241)-1))&gt;=9,기준정보!$C$7-1,기준정보!$C$7),VALUE(LEFT($J241,FIND("월",$J241)-1)),1+7*(VALUE(SUBSTITUTE(MID($J241,FIND("월",$J241)+1,5),"주",""))-1)),""))</f>
        <v/>
      </c>
      <c r="L241" s="22">
        <f>IF($K241="","",IF(AND($K241-기준정보!$C$5&gt;=기준정보!$C$10,$K241-기준정보!$C$5&lt;=기준정보!$C$11),기준정보!$C$10-1,$K241-기준정보!$C$5))</f>
        <v/>
      </c>
      <c r="M241" s="23">
        <f>IF($L241="","",IF(OR(ISNUMBER(SEARCH("중국",$W241)),ISNUMBER(SEARCH("베트남",$W241))),MAX(0,MIN($L241,기준정보!$C$9)-MAX($L241-기준정보!$C$6,기준정보!$C$8)+1),IF(ISNUMBER(SEARCH("한국",$W241)),MAX(0,MIN($L241,기준정보!$C$11)-MAX($L241-기준정보!$C$6,기준정보!$C$10)+1),0)))</f>
        <v/>
      </c>
      <c r="N241" s="22">
        <f>IF($L241="","",$L241-기준정보!$C$6-$M241)</f>
        <v/>
      </c>
      <c r="O241" s="24">
        <f>IF($N241="","",$N241-기준정보!$C$4)</f>
        <v/>
      </c>
      <c r="P241" s="21" t="n"/>
      <c r="Q241" s="21" t="inlineStr">
        <is>
          <t>X</t>
        </is>
      </c>
      <c r="R241" s="19">
        <f>IF(COUNTIF(EDW_RAW!$A$2:$A$1500,$D241)=0,"",IF(COUNTIFS(EDW_RAW!$A$2:$A$1500,$D241,EDW_RAW!$U$2:$U$1500,"&lt;&gt;~",EDW_RAW!$U$2:$U$1500,"&lt;&gt;")=COUNTIF(EDW_RAW!$A$2:$A$1500,$D241),"O",IF(COUNTIFS(EDW_RAW!$A$2:$A$1500,$D241,EDW_RAW!$U$2:$U$1500,"&lt;&gt;~",EDW_RAW!$U$2:$U$1500,"&lt;&gt;")&gt;0,"부분","X")))</f>
        <v/>
      </c>
      <c r="S241" s="25" t="n"/>
      <c r="T241" s="20">
        <f>IF($H241="","",IF(AND(ISNUMBER(SEARCH("CMT",$H241)),OR(ISNUMBER(SEARCH("완사입",$H241)),ISNUMBER(SEARCH("ODM",$H241)))),"본사/생산처 혼재",IF(ISNUMBER(SEARCH("CMT",$H241)),"본사(소재팀)","생산처")))</f>
        <v/>
      </c>
      <c r="U241" s="20" t="inlineStr">
        <is>
          <t>캐비야</t>
        </is>
      </c>
      <c r="V241" s="20">
        <f>IFERROR(TEXTJOIN(" / ",TRUE,UNIQUE(FILTER(소재DB_RAW!$K$3:$K$2000,(소재DB_RAW!$G$3:$G$2000=$D241)*ISERROR(SEARCH("drop",소재DB_RAW!$C$3:$C$2000))))),"")</f>
        <v/>
      </c>
      <c r="W241" s="20" t="inlineStr">
        <is>
          <t>국내</t>
        </is>
      </c>
      <c r="X241" s="20">
        <f>IFERROR(TEXTJOIN(" / ",TRUE,UNIQUE(FILTER(소재DB_RAW!$N$3:$N$2000,(소재DB_RAW!$G$3:$G$2000=$D241)*ISERROR(SEARCH("drop",소재DB_RAW!$C$3:$C$2000))))),"")</f>
        <v/>
      </c>
      <c r="Y241" s="26">
        <f>IFERROR(TEXTJOIN(CHAR(10),TRUE,UNIQUE(FILTER(소재DB_RAW!$N$3:$N$2000&amp;") "&amp;소재DB_RAW!$O$3:$O$2000,(소재DB_RAW!$G$3:$G$2000=$D241)*ISNUMBER(SEARCH("겉감",소재DB_RAW!$M$3:$M$2000))*ISERROR(SEARCH("drop",소재DB_RAW!$C$3:$C$2000))))),"")</f>
        <v/>
      </c>
      <c r="Z241" s="26">
        <f>IFERROR(TEXTJOIN(CHAR(10),TRUE,UNIQUE(FILTER(소재DB_RAW!$N$3:$N$2000&amp;") "&amp;소재DB_RAW!$O$3:$O$2000,(소재DB_RAW!$G$3:$G$2000=$D241)*ISNUMBER(SEARCH("안감",소재DB_RAW!$M$3:$M$2000))*ISERROR(SEARCH("drop",소재DB_RAW!$C$3:$C$2000))))),"")</f>
        <v/>
      </c>
      <c r="AA241" s="27" t="n">
        <v>1600</v>
      </c>
      <c r="AB241" s="27" t="n">
        <v>23148800</v>
      </c>
      <c r="AC241" s="27" t="n">
        <v>112000000</v>
      </c>
      <c r="AD241" s="20" t="n"/>
      <c r="AE241" s="20">
        <f>IF($K241="","출고일 미정",IF($Q241="X","작지 미발행",IF($Q241="부분","작지 일부 미발행",IF(AND($S241&lt;&gt;"",$S241&gt;$N241),"소재입고 마감("&amp;TEXT($N241,"MM/DD")&amp;") 초과",IF($Q241="","발행여부 확인 필요",IF($S241="","소재 입고일정 확인 필요","정상"))))))</f>
        <v/>
      </c>
      <c r="AF241" s="19">
        <f>IF($K241="","",IF(OR(LEFT($AE241,2)="작지",LEFT($AE241,4)="소재입고"),IF(LEFT($G241,1)="S","★ 납기위험(S코드)","◆ 지연주의"),IF($AE241="정상","✓ 정상","? 확인필요")))</f>
        <v/>
      </c>
      <c r="AG241" s="21" t="n"/>
      <c r="AH241" s="28" t="n"/>
    </row>
    <row r="242">
      <c r="A242" s="19" t="n">
        <v>238</v>
      </c>
      <c r="B242" s="20" t="inlineStr">
        <is>
          <t>최지희</t>
        </is>
      </c>
      <c r="C242" s="20" t="inlineStr">
        <is>
          <t>강지은</t>
        </is>
      </c>
      <c r="D242" s="20" t="inlineStr">
        <is>
          <t>QERFM27402</t>
        </is>
      </c>
      <c r="E242" s="20" t="inlineStr">
        <is>
          <t>여성 롱와이드 버킷햇</t>
        </is>
      </c>
      <c r="F242" s="20" t="inlineStr">
        <is>
          <t>CPI(C/PINK), PYL</t>
        </is>
      </c>
      <c r="G242" s="19">
        <f>IF($D242="","",IF(MID($D242,5,1)="S","S(봄)",IF(MID($D242,5,1)="M","M(여름)",IF(MID($D242,5,1)="X","X(사계절)",MID($D242,5,1)))))</f>
        <v/>
      </c>
      <c r="H242" s="20" t="inlineStr">
        <is>
          <t>완사입</t>
        </is>
      </c>
      <c r="I242" s="19" t="inlineStr">
        <is>
          <t>SM2</t>
        </is>
      </c>
      <c r="J242" s="21" t="inlineStr">
        <is>
          <t>3월2주</t>
        </is>
      </c>
      <c r="K242" s="22">
        <f>IF($J242="","",IFERROR(DATE(IF(VALUE(LEFT($J242,FIND("월",$J242)-1))&gt;=9,기준정보!$C$7-1,기준정보!$C$7),VALUE(LEFT($J242,FIND("월",$J242)-1)),1+7*(VALUE(SUBSTITUTE(MID($J242,FIND("월",$J242)+1,5),"주",""))-1)),""))</f>
        <v/>
      </c>
      <c r="L242" s="22">
        <f>IF($K242="","",IF(AND($K242-기준정보!$C$5&gt;=기준정보!$C$10,$K242-기준정보!$C$5&lt;=기준정보!$C$11),기준정보!$C$10-1,$K242-기준정보!$C$5))</f>
        <v/>
      </c>
      <c r="M242" s="23">
        <f>IF($L242="","",IF(OR(ISNUMBER(SEARCH("중국",$W242)),ISNUMBER(SEARCH("베트남",$W242))),MAX(0,MIN($L242,기준정보!$C$9)-MAX($L242-기준정보!$C$6,기준정보!$C$8)+1),IF(ISNUMBER(SEARCH("한국",$W242)),MAX(0,MIN($L242,기준정보!$C$11)-MAX($L242-기준정보!$C$6,기준정보!$C$10)+1),0)))</f>
        <v/>
      </c>
      <c r="N242" s="22">
        <f>IF($L242="","",$L242-기준정보!$C$6-$M242)</f>
        <v/>
      </c>
      <c r="O242" s="24">
        <f>IF($N242="","",$N242-기준정보!$C$4)</f>
        <v/>
      </c>
      <c r="P242" s="21" t="n"/>
      <c r="Q242" s="21" t="inlineStr">
        <is>
          <t>X</t>
        </is>
      </c>
      <c r="R242" s="19">
        <f>IF(COUNTIF(EDW_RAW!$A$2:$A$1500,$D242)=0,"",IF(COUNTIFS(EDW_RAW!$A$2:$A$1500,$D242,EDW_RAW!$U$2:$U$1500,"&lt;&gt;~",EDW_RAW!$U$2:$U$1500,"&lt;&gt;")=COUNTIF(EDW_RAW!$A$2:$A$1500,$D242),"O",IF(COUNTIFS(EDW_RAW!$A$2:$A$1500,$D242,EDW_RAW!$U$2:$U$1500,"&lt;&gt;~",EDW_RAW!$U$2:$U$1500,"&lt;&gt;")&gt;0,"부분","X")))</f>
        <v/>
      </c>
      <c r="S242" s="25" t="n"/>
      <c r="T242" s="20">
        <f>IF($H242="","",IF(AND(ISNUMBER(SEARCH("CMT",$H242)),OR(ISNUMBER(SEARCH("완사입",$H242)),ISNUMBER(SEARCH("ODM",$H242)))),"본사/생산처 혼재",IF(ISNUMBER(SEARCH("CMT",$H242)),"본사(소재팀)","생산처")))</f>
        <v/>
      </c>
      <c r="U242" s="20" t="inlineStr"/>
      <c r="V242" s="20">
        <f>IFERROR(TEXTJOIN(" / ",TRUE,UNIQUE(FILTER(소재DB_RAW!$K$3:$K$2000,(소재DB_RAW!$G$3:$G$2000=$D242)*ISERROR(SEARCH("drop",소재DB_RAW!$C$3:$C$2000))))),"")</f>
        <v/>
      </c>
      <c r="W242" s="20" t="inlineStr">
        <is>
          <t>국내</t>
        </is>
      </c>
      <c r="X242" s="20">
        <f>IFERROR(TEXTJOIN(" / ",TRUE,UNIQUE(FILTER(소재DB_RAW!$N$3:$N$2000,(소재DB_RAW!$G$3:$G$2000=$D242)*ISERROR(SEARCH("drop",소재DB_RAW!$C$3:$C$2000))))),"")</f>
        <v/>
      </c>
      <c r="Y242" s="26">
        <f>IFERROR(TEXTJOIN(CHAR(10),TRUE,UNIQUE(FILTER(소재DB_RAW!$N$3:$N$2000&amp;") "&amp;소재DB_RAW!$O$3:$O$2000,(소재DB_RAW!$G$3:$G$2000=$D242)*ISNUMBER(SEARCH("겉감",소재DB_RAW!$M$3:$M$2000))*ISERROR(SEARCH("drop",소재DB_RAW!$C$3:$C$2000))))),"")</f>
        <v/>
      </c>
      <c r="Z242" s="26">
        <f>IFERROR(TEXTJOIN(CHAR(10),TRUE,UNIQUE(FILTER(소재DB_RAW!$N$3:$N$2000&amp;") "&amp;소재DB_RAW!$O$3:$O$2000,(소재DB_RAW!$G$3:$G$2000=$D242)*ISNUMBER(SEARCH("안감",소재DB_RAW!$M$3:$M$2000))*ISERROR(SEARCH("drop",소재DB_RAW!$C$3:$C$2000))))),"")</f>
        <v/>
      </c>
      <c r="AA242" s="27" t="n">
        <v>1100</v>
      </c>
      <c r="AB242" s="27" t="n">
        <v>15914800</v>
      </c>
      <c r="AC242" s="27" t="n">
        <v>77000000</v>
      </c>
      <c r="AD242" s="20" t="n"/>
      <c r="AE242" s="20">
        <f>IF($K242="","출고일 미정",IF($Q242="X","작지 미발행",IF($Q242="부분","작지 일부 미발행",IF(AND($S242&lt;&gt;"",$S242&gt;$N242),"소재입고 마감("&amp;TEXT($N242,"MM/DD")&amp;") 초과",IF($Q242="","발행여부 확인 필요",IF($S242="","소재 입고일정 확인 필요","정상"))))))</f>
        <v/>
      </c>
      <c r="AF242" s="19">
        <f>IF($K242="","",IF(OR(LEFT($AE242,2)="작지",LEFT($AE242,4)="소재입고"),IF(LEFT($G242,1)="S","★ 납기위험(S코드)","◆ 지연주의"),IF($AE242="정상","✓ 정상","? 확인필요")))</f>
        <v/>
      </c>
      <c r="AG242" s="21" t="n"/>
      <c r="AH242" s="28" t="n"/>
    </row>
    <row r="243">
      <c r="A243" s="19" t="n">
        <v>239</v>
      </c>
      <c r="B243" s="20" t="inlineStr">
        <is>
          <t>문도혁</t>
        </is>
      </c>
      <c r="C243" s="20" t="inlineStr">
        <is>
          <t>정희영</t>
        </is>
      </c>
      <c r="D243" s="20" t="inlineStr">
        <is>
          <t>TLPOM27521</t>
        </is>
      </c>
      <c r="E243" s="20" t="inlineStr">
        <is>
          <t>하절 남성 KOMFORT 쇼츠 (SET-UP)</t>
        </is>
      </c>
      <c r="F243" s="20" t="inlineStr">
        <is>
          <t>MUD, BLK(BLACK)</t>
        </is>
      </c>
      <c r="G243" s="19">
        <f>IF($D243="","",IF(MID($D243,5,1)="S","S(봄)",IF(MID($D243,5,1)="M","M(여름)",IF(MID($D243,5,1)="X","X(사계절)",MID($D243,5,1)))))</f>
        <v/>
      </c>
      <c r="H243" s="20" t="inlineStr">
        <is>
          <t>CMT</t>
        </is>
      </c>
      <c r="I243" s="19" t="inlineStr">
        <is>
          <t>m3</t>
        </is>
      </c>
      <c r="J243" s="21" t="inlineStr">
        <is>
          <t>3월2주</t>
        </is>
      </c>
      <c r="K243" s="22">
        <f>IF($J243="","",IFERROR(DATE(IF(VALUE(LEFT($J243,FIND("월",$J243)-1))&gt;=9,기준정보!$C$7-1,기준정보!$C$7),VALUE(LEFT($J243,FIND("월",$J243)-1)),1+7*(VALUE(SUBSTITUTE(MID($J243,FIND("월",$J243)+1,5),"주",""))-1)),""))</f>
        <v/>
      </c>
      <c r="L243" s="22">
        <f>IF($K243="","",IF(AND($K243-기준정보!$C$5&gt;=기준정보!$C$10,$K243-기준정보!$C$5&lt;=기준정보!$C$11),기준정보!$C$10-1,$K243-기준정보!$C$5))</f>
        <v/>
      </c>
      <c r="M243" s="23">
        <f>IF($L243="","",IF(OR(ISNUMBER(SEARCH("중국",$W243)),ISNUMBER(SEARCH("베트남",$W243))),MAX(0,MIN($L243,기준정보!$C$9)-MAX($L243-기준정보!$C$6,기준정보!$C$8)+1),IF(ISNUMBER(SEARCH("한국",$W243)),MAX(0,MIN($L243,기준정보!$C$11)-MAX($L243-기준정보!$C$6,기준정보!$C$10)+1),0)))</f>
        <v/>
      </c>
      <c r="N243" s="22">
        <f>IF($L243="","",$L243-기준정보!$C$6-$M243)</f>
        <v/>
      </c>
      <c r="O243" s="24">
        <f>IF($N243="","",$N243-기준정보!$C$4)</f>
        <v/>
      </c>
      <c r="P243" s="21" t="n"/>
      <c r="Q243" s="21" t="inlineStr">
        <is>
          <t>O</t>
        </is>
      </c>
      <c r="R243" s="19">
        <f>IF(COUNTIF(EDW_RAW!$A$2:$A$1500,$D243)=0,"",IF(COUNTIFS(EDW_RAW!$A$2:$A$1500,$D243,EDW_RAW!$U$2:$U$1500,"&lt;&gt;~",EDW_RAW!$U$2:$U$1500,"&lt;&gt;")=COUNTIF(EDW_RAW!$A$2:$A$1500,$D243),"O",IF(COUNTIFS(EDW_RAW!$A$2:$A$1500,$D243,EDW_RAW!$U$2:$U$1500,"&lt;&gt;~",EDW_RAW!$U$2:$U$1500,"&lt;&gt;")&gt;0,"부분","X")))</f>
        <v/>
      </c>
      <c r="S243" s="25" t="n"/>
      <c r="T243" s="20">
        <f>IF($H243="","",IF(AND(ISNUMBER(SEARCH("CMT",$H243)),OR(ISNUMBER(SEARCH("완사입",$H243)),ISNUMBER(SEARCH("ODM",$H243)))),"본사/생산처 혼재",IF(ISNUMBER(SEARCH("CMT",$H243)),"본사(소재팀)","생산처")))</f>
        <v/>
      </c>
      <c r="U243" s="20" t="inlineStr">
        <is>
          <t>TBO</t>
        </is>
      </c>
      <c r="V243" s="20">
        <f>IFERROR(TEXTJOIN(" / ",TRUE,UNIQUE(FILTER(소재DB_RAW!$K$3:$K$2000,(소재DB_RAW!$G$3:$G$2000=$D243)*ISERROR(SEARCH("drop",소재DB_RAW!$C$3:$C$2000))))),"")</f>
        <v/>
      </c>
      <c r="W243" s="20" t="inlineStr">
        <is>
          <t>베트남</t>
        </is>
      </c>
      <c r="X243" s="20">
        <f>IFERROR(TEXTJOIN(" / ",TRUE,UNIQUE(FILTER(소재DB_RAW!$N$3:$N$2000,(소재DB_RAW!$G$3:$G$2000=$D243)*ISERROR(SEARCH("drop",소재DB_RAW!$C$3:$C$2000))))),"")</f>
        <v/>
      </c>
      <c r="Y243" s="26">
        <f>IFERROR(TEXTJOIN(CHAR(10),TRUE,UNIQUE(FILTER(소재DB_RAW!$N$3:$N$2000&amp;") "&amp;소재DB_RAW!$O$3:$O$2000,(소재DB_RAW!$G$3:$G$2000=$D243)*ISNUMBER(SEARCH("겉감",소재DB_RAW!$M$3:$M$2000))*ISERROR(SEARCH("drop",소재DB_RAW!$C$3:$C$2000))))),"")</f>
        <v/>
      </c>
      <c r="Z243" s="26">
        <f>IFERROR(TEXTJOIN(CHAR(10),TRUE,UNIQUE(FILTER(소재DB_RAW!$N$3:$N$2000&amp;") "&amp;소재DB_RAW!$O$3:$O$2000,(소재DB_RAW!$G$3:$G$2000=$D243)*ISNUMBER(SEARCH("안감",소재DB_RAW!$M$3:$M$2000))*ISERROR(SEARCH("drop",소재DB_RAW!$C$3:$C$2000))))),"")</f>
        <v/>
      </c>
      <c r="AA243" s="27" t="n">
        <v>2000</v>
      </c>
      <c r="AB243" s="27" t="n">
        <v>53600000</v>
      </c>
      <c r="AC243" s="27" t="n">
        <v>276000000</v>
      </c>
      <c r="AD243" s="20" t="n"/>
      <c r="AE243" s="20">
        <f>IF($K243="","출고일 미정",IF($Q243="X","작지 미발행",IF($Q243="부분","작지 일부 미발행",IF(AND($S243&lt;&gt;"",$S243&gt;$N243),"소재입고 마감("&amp;TEXT($N243,"MM/DD")&amp;") 초과",IF($Q243="","발행여부 확인 필요",IF($S243="","소재 입고일정 확인 필요","정상"))))))</f>
        <v/>
      </c>
      <c r="AF243" s="19">
        <f>IF($K243="","",IF(OR(LEFT($AE243,2)="작지",LEFT($AE243,4)="소재입고"),IF(LEFT($G243,1)="S","★ 납기위험(S코드)","◆ 지연주의"),IF($AE243="정상","✓ 정상","? 확인필요")))</f>
        <v/>
      </c>
      <c r="AG243" s="21" t="n"/>
      <c r="AH243" s="28" t="n"/>
    </row>
    <row r="244">
      <c r="A244" s="19" t="n">
        <v>240</v>
      </c>
      <c r="B244" s="20" t="inlineStr">
        <is>
          <t>최진민</t>
        </is>
      </c>
      <c r="C244" s="20" t="inlineStr">
        <is>
          <t>-</t>
        </is>
      </c>
      <c r="D244" s="20" t="inlineStr">
        <is>
          <t>TLSCM27551</t>
        </is>
      </c>
      <c r="E244" s="20" t="inlineStr">
        <is>
          <t>하절 남성 멀티 스트라이프 반팔 셔츠</t>
        </is>
      </c>
      <c r="F244" s="20" t="inlineStr">
        <is>
          <t>CO1, CO2</t>
        </is>
      </c>
      <c r="G244" s="19">
        <f>IF($D244="","",IF(MID($D244,5,1)="S","S(봄)",IF(MID($D244,5,1)="M","M(여름)",IF(MID($D244,5,1)="X","X(사계절)",MID($D244,5,1)))))</f>
        <v/>
      </c>
      <c r="H244" s="20" t="inlineStr">
        <is>
          <t>완사입</t>
        </is>
      </c>
      <c r="I244" s="19" t="inlineStr"/>
      <c r="J244" s="21" t="inlineStr">
        <is>
          <t>3월2주</t>
        </is>
      </c>
      <c r="K244" s="22">
        <f>IF($J244="","",IFERROR(DATE(IF(VALUE(LEFT($J244,FIND("월",$J244)-1))&gt;=9,기준정보!$C$7-1,기준정보!$C$7),VALUE(LEFT($J244,FIND("월",$J244)-1)),1+7*(VALUE(SUBSTITUTE(MID($J244,FIND("월",$J244)+1,5),"주",""))-1)),""))</f>
        <v/>
      </c>
      <c r="L244" s="22">
        <f>IF($K244="","",IF(AND($K244-기준정보!$C$5&gt;=기준정보!$C$10,$K244-기준정보!$C$5&lt;=기준정보!$C$11),기준정보!$C$10-1,$K244-기준정보!$C$5))</f>
        <v/>
      </c>
      <c r="M244" s="23">
        <f>IF($L244="","",IF(OR(ISNUMBER(SEARCH("중국",$W244)),ISNUMBER(SEARCH("베트남",$W244))),MAX(0,MIN($L244,기준정보!$C$9)-MAX($L244-기준정보!$C$6,기준정보!$C$8)+1),IF(ISNUMBER(SEARCH("한국",$W244)),MAX(0,MIN($L244,기준정보!$C$11)-MAX($L244-기준정보!$C$6,기준정보!$C$10)+1),0)))</f>
        <v/>
      </c>
      <c r="N244" s="22">
        <f>IF($L244="","",$L244-기준정보!$C$6-$M244)</f>
        <v/>
      </c>
      <c r="O244" s="24">
        <f>IF($N244="","",$N244-기준정보!$C$4)</f>
        <v/>
      </c>
      <c r="P244" s="21" t="n"/>
      <c r="Q244" s="21" t="inlineStr">
        <is>
          <t>O</t>
        </is>
      </c>
      <c r="R244" s="19">
        <f>IF(COUNTIF(EDW_RAW!$A$2:$A$1500,$D244)=0,"",IF(COUNTIFS(EDW_RAW!$A$2:$A$1500,$D244,EDW_RAW!$U$2:$U$1500,"&lt;&gt;~",EDW_RAW!$U$2:$U$1500,"&lt;&gt;")=COUNTIF(EDW_RAW!$A$2:$A$1500,$D244),"O",IF(COUNTIFS(EDW_RAW!$A$2:$A$1500,$D244,EDW_RAW!$U$2:$U$1500,"&lt;&gt;~",EDW_RAW!$U$2:$U$1500,"&lt;&gt;")&gt;0,"부분","X")))</f>
        <v/>
      </c>
      <c r="S244" s="25" t="n"/>
      <c r="T244" s="20">
        <f>IF($H244="","",IF(AND(ISNUMBER(SEARCH("CMT",$H244)),OR(ISNUMBER(SEARCH("완사입",$H244)),ISNUMBER(SEARCH("ODM",$H244)))),"본사/생산처 혼재",IF(ISNUMBER(SEARCH("CMT",$H244)),"본사(소재팀)","생산처")))</f>
        <v/>
      </c>
      <c r="U244" s="20" t="inlineStr"/>
      <c r="V244" s="20">
        <f>IFERROR(TEXTJOIN(" / ",TRUE,UNIQUE(FILTER(소재DB_RAW!$K$3:$K$2000,(소재DB_RAW!$G$3:$G$2000=$D244)*ISERROR(SEARCH("drop",소재DB_RAW!$C$3:$C$2000))))),"")</f>
        <v/>
      </c>
      <c r="W244" s="20" t="inlineStr"/>
      <c r="X244" s="20">
        <f>IFERROR(TEXTJOIN(" / ",TRUE,UNIQUE(FILTER(소재DB_RAW!$N$3:$N$2000,(소재DB_RAW!$G$3:$G$2000=$D244)*ISERROR(SEARCH("drop",소재DB_RAW!$C$3:$C$2000))))),"")</f>
        <v/>
      </c>
      <c r="Y244" s="26">
        <f>IFERROR(TEXTJOIN(CHAR(10),TRUE,UNIQUE(FILTER(소재DB_RAW!$N$3:$N$2000&amp;") "&amp;소재DB_RAW!$O$3:$O$2000,(소재DB_RAW!$G$3:$G$2000=$D244)*ISNUMBER(SEARCH("겉감",소재DB_RAW!$M$3:$M$2000))*ISERROR(SEARCH("drop",소재DB_RAW!$C$3:$C$2000))))),"")</f>
        <v/>
      </c>
      <c r="Z244" s="26">
        <f>IFERROR(TEXTJOIN(CHAR(10),TRUE,UNIQUE(FILTER(소재DB_RAW!$N$3:$N$2000&amp;") "&amp;소재DB_RAW!$O$3:$O$2000,(소재DB_RAW!$G$3:$G$2000=$D244)*ISNUMBER(SEARCH("안감",소재DB_RAW!$M$3:$M$2000))*ISERROR(SEARCH("drop",소재DB_RAW!$C$3:$C$2000))))),"")</f>
        <v/>
      </c>
      <c r="AA244" s="27" t="n">
        <v>2500</v>
      </c>
      <c r="AB244" s="27" t="n">
        <v>70000000</v>
      </c>
      <c r="AC244" s="27" t="n">
        <v>370000000</v>
      </c>
      <c r="AD244" s="20" t="n"/>
      <c r="AE244" s="20">
        <f>IF($K244="","출고일 미정",IF($Q244="X","작지 미발행",IF($Q244="부분","작지 일부 미발행",IF(AND($S244&lt;&gt;"",$S244&gt;$N244),"소재입고 마감("&amp;TEXT($N244,"MM/DD")&amp;") 초과",IF($Q244="","발행여부 확인 필요",IF($S244="","소재 입고일정 확인 필요","정상"))))))</f>
        <v/>
      </c>
      <c r="AF244" s="19">
        <f>IF($K244="","",IF(OR(LEFT($AE244,2)="작지",LEFT($AE244,4)="소재입고"),IF(LEFT($G244,1)="S","★ 납기위험(S코드)","◆ 지연주의"),IF($AE244="정상","✓ 정상","? 확인필요")))</f>
        <v/>
      </c>
      <c r="AG244" s="21" t="n"/>
      <c r="AH244" s="28" t="n"/>
    </row>
    <row r="245">
      <c r="A245" s="19" t="n">
        <v>241</v>
      </c>
      <c r="B245" s="20" t="inlineStr">
        <is>
          <t>김준래</t>
        </is>
      </c>
      <c r="C245" s="20" t="inlineStr">
        <is>
          <t>권혁일</t>
        </is>
      </c>
      <c r="D245" s="20" t="inlineStr">
        <is>
          <t>TLTCM27501</t>
        </is>
      </c>
      <c r="E245" s="20" t="inlineStr">
        <is>
          <t>하절 남성 베이직 폴로 반팔 티셔츠</t>
        </is>
      </c>
      <c r="F245" s="20" t="inlineStr">
        <is>
          <t>IVO(IVORY), BGY-1, BLK(BLACK), NAY</t>
        </is>
      </c>
      <c r="G245" s="19">
        <f>IF($D245="","",IF(MID($D245,5,1)="S","S(봄)",IF(MID($D245,5,1)="M","M(여름)",IF(MID($D245,5,1)="X","X(사계절)",MID($D245,5,1)))))</f>
        <v/>
      </c>
      <c r="H245" s="20" t="inlineStr">
        <is>
          <t>ODM</t>
        </is>
      </c>
      <c r="I245" s="19" t="inlineStr"/>
      <c r="J245" s="21" t="inlineStr">
        <is>
          <t>3월2주</t>
        </is>
      </c>
      <c r="K245" s="22">
        <f>IF($J245="","",IFERROR(DATE(IF(VALUE(LEFT($J245,FIND("월",$J245)-1))&gt;=9,기준정보!$C$7-1,기준정보!$C$7),VALUE(LEFT($J245,FIND("월",$J245)-1)),1+7*(VALUE(SUBSTITUTE(MID($J245,FIND("월",$J245)+1,5),"주",""))-1)),""))</f>
        <v/>
      </c>
      <c r="L245" s="22">
        <f>IF($K245="","",IF(AND($K245-기준정보!$C$5&gt;=기준정보!$C$10,$K245-기준정보!$C$5&lt;=기준정보!$C$11),기준정보!$C$10-1,$K245-기준정보!$C$5))</f>
        <v/>
      </c>
      <c r="M245" s="23">
        <f>IF($L245="","",IF(OR(ISNUMBER(SEARCH("중국",$W245)),ISNUMBER(SEARCH("베트남",$W245))),MAX(0,MIN($L245,기준정보!$C$9)-MAX($L245-기준정보!$C$6,기준정보!$C$8)+1),IF(ISNUMBER(SEARCH("한국",$W245)),MAX(0,MIN($L245,기준정보!$C$11)-MAX($L245-기준정보!$C$6,기준정보!$C$10)+1),0)))</f>
        <v/>
      </c>
      <c r="N245" s="22">
        <f>IF($L245="","",$L245-기준정보!$C$6-$M245)</f>
        <v/>
      </c>
      <c r="O245" s="24">
        <f>IF($N245="","",$N245-기준정보!$C$4)</f>
        <v/>
      </c>
      <c r="P245" s="21" t="n"/>
      <c r="Q245" s="21" t="inlineStr">
        <is>
          <t>O</t>
        </is>
      </c>
      <c r="R245" s="19">
        <f>IF(COUNTIF(EDW_RAW!$A$2:$A$1500,$D245)=0,"",IF(COUNTIFS(EDW_RAW!$A$2:$A$1500,$D245,EDW_RAW!$U$2:$U$1500,"&lt;&gt;~",EDW_RAW!$U$2:$U$1500,"&lt;&gt;")=COUNTIF(EDW_RAW!$A$2:$A$1500,$D245),"O",IF(COUNTIFS(EDW_RAW!$A$2:$A$1500,$D245,EDW_RAW!$U$2:$U$1500,"&lt;&gt;~",EDW_RAW!$U$2:$U$1500,"&lt;&gt;")&gt;0,"부분","X")))</f>
        <v/>
      </c>
      <c r="S245" s="25" t="n"/>
      <c r="T245" s="20">
        <f>IF($H245="","",IF(AND(ISNUMBER(SEARCH("CMT",$H245)),OR(ISNUMBER(SEARCH("완사입",$H245)),ISNUMBER(SEARCH("ODM",$H245)))),"본사/생산처 혼재",IF(ISNUMBER(SEARCH("CMT",$H245)),"본사(소재팀)","생산처")))</f>
        <v/>
      </c>
      <c r="U245" s="20" t="inlineStr">
        <is>
          <t>TESSELLATION</t>
        </is>
      </c>
      <c r="V245" s="20">
        <f>IFERROR(TEXTJOIN(" / ",TRUE,UNIQUE(FILTER(소재DB_RAW!$K$3:$K$2000,(소재DB_RAW!$G$3:$G$2000=$D245)*ISERROR(SEARCH("drop",소재DB_RAW!$C$3:$C$2000))))),"")</f>
        <v/>
      </c>
      <c r="W245" s="20" t="inlineStr">
        <is>
          <t>베트남</t>
        </is>
      </c>
      <c r="X245" s="20">
        <f>IFERROR(TEXTJOIN(" / ",TRUE,UNIQUE(FILTER(소재DB_RAW!$N$3:$N$2000,(소재DB_RAW!$G$3:$G$2000=$D245)*ISERROR(SEARCH("drop",소재DB_RAW!$C$3:$C$2000))))),"")</f>
        <v/>
      </c>
      <c r="Y245" s="26">
        <f>IFERROR(TEXTJOIN(CHAR(10),TRUE,UNIQUE(FILTER(소재DB_RAW!$N$3:$N$2000&amp;") "&amp;소재DB_RAW!$O$3:$O$2000,(소재DB_RAW!$G$3:$G$2000=$D245)*ISNUMBER(SEARCH("겉감",소재DB_RAW!$M$3:$M$2000))*ISERROR(SEARCH("drop",소재DB_RAW!$C$3:$C$2000))))),"")</f>
        <v/>
      </c>
      <c r="Z245" s="26">
        <f>IFERROR(TEXTJOIN(CHAR(10),TRUE,UNIQUE(FILTER(소재DB_RAW!$N$3:$N$2000&amp;") "&amp;소재DB_RAW!$O$3:$O$2000,(소재DB_RAW!$G$3:$G$2000=$D245)*ISNUMBER(SEARCH("안감",소재DB_RAW!$M$3:$M$2000))*ISERROR(SEARCH("drop",소재DB_RAW!$C$3:$C$2000))))),"")</f>
        <v/>
      </c>
      <c r="AA245" s="27" t="n">
        <v>24000</v>
      </c>
      <c r="AB245" s="27" t="n">
        <v>396576000</v>
      </c>
      <c r="AC245" s="27" t="n">
        <v>2592000000</v>
      </c>
      <c r="AD245" s="20" t="inlineStr">
        <is>
          <t>3월2주</t>
        </is>
      </c>
      <c r="AE245" s="20">
        <f>IF($K245="","출고일 미정",IF($Q245="X","작지 미발행",IF($Q245="부분","작지 일부 미발행",IF(AND($S245&lt;&gt;"",$S245&gt;$N245),"소재입고 마감("&amp;TEXT($N245,"MM/DD")&amp;") 초과",IF($Q245="","발행여부 확인 필요",IF($S245="","소재 입고일정 확인 필요","정상"))))))</f>
        <v/>
      </c>
      <c r="AF245" s="19">
        <f>IF($K245="","",IF(OR(LEFT($AE245,2)="작지",LEFT($AE245,4)="소재입고"),IF(LEFT($G245,1)="S","★ 납기위험(S코드)","◆ 지연주의"),IF($AE245="정상","✓ 정상","? 확인필요")))</f>
        <v/>
      </c>
      <c r="AG245" s="21" t="n"/>
      <c r="AH245" s="28" t="n"/>
    </row>
    <row r="246">
      <c r="A246" s="19" t="n">
        <v>242</v>
      </c>
      <c r="B246" s="20" t="inlineStr">
        <is>
          <t>김준래</t>
        </is>
      </c>
      <c r="C246" s="20" t="inlineStr">
        <is>
          <t>권혁일</t>
        </is>
      </c>
      <c r="D246" s="20" t="inlineStr">
        <is>
          <t>TLTCM27529</t>
        </is>
      </c>
      <c r="E246" s="20" t="inlineStr">
        <is>
          <t>하절 남성 린넨라이크 폴로 반팔 티셔츠</t>
        </is>
      </c>
      <c r="F246" s="20" t="inlineStr">
        <is>
          <t>LGI(L/GREIGE), NAY</t>
        </is>
      </c>
      <c r="G246" s="19">
        <f>IF($D246="","",IF(MID($D246,5,1)="S","S(봄)",IF(MID($D246,5,1)="M","M(여름)",IF(MID($D246,5,1)="X","X(사계절)",MID($D246,5,1)))))</f>
        <v/>
      </c>
      <c r="H246" s="20" t="inlineStr">
        <is>
          <t>완사입</t>
        </is>
      </c>
      <c r="I246" s="19" t="inlineStr"/>
      <c r="J246" s="21" t="inlineStr">
        <is>
          <t>3월2주</t>
        </is>
      </c>
      <c r="K246" s="22">
        <f>IF($J246="","",IFERROR(DATE(IF(VALUE(LEFT($J246,FIND("월",$J246)-1))&gt;=9,기준정보!$C$7-1,기준정보!$C$7),VALUE(LEFT($J246,FIND("월",$J246)-1)),1+7*(VALUE(SUBSTITUTE(MID($J246,FIND("월",$J246)+1,5),"주",""))-1)),""))</f>
        <v/>
      </c>
      <c r="L246" s="22">
        <f>IF($K246="","",IF(AND($K246-기준정보!$C$5&gt;=기준정보!$C$10,$K246-기준정보!$C$5&lt;=기준정보!$C$11),기준정보!$C$10-1,$K246-기준정보!$C$5))</f>
        <v/>
      </c>
      <c r="M246" s="23">
        <f>IF($L246="","",IF(OR(ISNUMBER(SEARCH("중국",$W246)),ISNUMBER(SEARCH("베트남",$W246))),MAX(0,MIN($L246,기준정보!$C$9)-MAX($L246-기준정보!$C$6,기준정보!$C$8)+1),IF(ISNUMBER(SEARCH("한국",$W246)),MAX(0,MIN($L246,기준정보!$C$11)-MAX($L246-기준정보!$C$6,기준정보!$C$10)+1),0)))</f>
        <v/>
      </c>
      <c r="N246" s="22">
        <f>IF($L246="","",$L246-기준정보!$C$6-$M246)</f>
        <v/>
      </c>
      <c r="O246" s="24">
        <f>IF($N246="","",$N246-기준정보!$C$4)</f>
        <v/>
      </c>
      <c r="P246" s="21" t="n"/>
      <c r="Q246" s="21" t="inlineStr">
        <is>
          <t>O</t>
        </is>
      </c>
      <c r="R246" s="19">
        <f>IF(COUNTIF(EDW_RAW!$A$2:$A$1500,$D246)=0,"",IF(COUNTIFS(EDW_RAW!$A$2:$A$1500,$D246,EDW_RAW!$U$2:$U$1500,"&lt;&gt;~",EDW_RAW!$U$2:$U$1500,"&lt;&gt;")=COUNTIF(EDW_RAW!$A$2:$A$1500,$D246),"O",IF(COUNTIFS(EDW_RAW!$A$2:$A$1500,$D246,EDW_RAW!$U$2:$U$1500,"&lt;&gt;~",EDW_RAW!$U$2:$U$1500,"&lt;&gt;")&gt;0,"부분","X")))</f>
        <v/>
      </c>
      <c r="S246" s="25" t="n"/>
      <c r="T246" s="20">
        <f>IF($H246="","",IF(AND(ISNUMBER(SEARCH("CMT",$H246)),OR(ISNUMBER(SEARCH("완사입",$H246)),ISNUMBER(SEARCH("ODM",$H246)))),"본사/생산처 혼재",IF(ISNUMBER(SEARCH("CMT",$H246)),"본사(소재팀)","생산처")))</f>
        <v/>
      </c>
      <c r="U246" s="20" t="inlineStr">
        <is>
          <t>장안</t>
        </is>
      </c>
      <c r="V246" s="20">
        <f>IFERROR(TEXTJOIN(" / ",TRUE,UNIQUE(FILTER(소재DB_RAW!$K$3:$K$2000,(소재DB_RAW!$G$3:$G$2000=$D246)*ISERROR(SEARCH("drop",소재DB_RAW!$C$3:$C$2000))))),"")</f>
        <v/>
      </c>
      <c r="W246" s="20" t="inlineStr">
        <is>
          <t>베트남</t>
        </is>
      </c>
      <c r="X246" s="20">
        <f>IFERROR(TEXTJOIN(" / ",TRUE,UNIQUE(FILTER(소재DB_RAW!$N$3:$N$2000,(소재DB_RAW!$G$3:$G$2000=$D246)*ISERROR(SEARCH("drop",소재DB_RAW!$C$3:$C$2000))))),"")</f>
        <v/>
      </c>
      <c r="Y246" s="26">
        <f>IFERROR(TEXTJOIN(CHAR(10),TRUE,UNIQUE(FILTER(소재DB_RAW!$N$3:$N$2000&amp;") "&amp;소재DB_RAW!$O$3:$O$2000,(소재DB_RAW!$G$3:$G$2000=$D246)*ISNUMBER(SEARCH("겉감",소재DB_RAW!$M$3:$M$2000))*ISERROR(SEARCH("drop",소재DB_RAW!$C$3:$C$2000))))),"")</f>
        <v/>
      </c>
      <c r="Z246" s="26">
        <f>IFERROR(TEXTJOIN(CHAR(10),TRUE,UNIQUE(FILTER(소재DB_RAW!$N$3:$N$2000&amp;") "&amp;소재DB_RAW!$O$3:$O$2000,(소재DB_RAW!$G$3:$G$2000=$D246)*ISNUMBER(SEARCH("안감",소재DB_RAW!$M$3:$M$2000))*ISERROR(SEARCH("drop",소재DB_RAW!$C$3:$C$2000))))),"")</f>
        <v/>
      </c>
      <c r="AA246" s="27" t="n">
        <v>6000</v>
      </c>
      <c r="AB246" s="27" t="n">
        <v>165174000</v>
      </c>
      <c r="AC246" s="27" t="n">
        <v>708000000</v>
      </c>
      <c r="AD246" s="20" t="inlineStr">
        <is>
          <t>3월2주</t>
        </is>
      </c>
      <c r="AE246" s="20">
        <f>IF($K246="","출고일 미정",IF($Q246="X","작지 미발행",IF($Q246="부분","작지 일부 미발행",IF(AND($S246&lt;&gt;"",$S246&gt;$N246),"소재입고 마감("&amp;TEXT($N246,"MM/DD")&amp;") 초과",IF($Q246="","발행여부 확인 필요",IF($S246="","소재 입고일정 확인 필요","정상"))))))</f>
        <v/>
      </c>
      <c r="AF246" s="19">
        <f>IF($K246="","",IF(OR(LEFT($AE246,2)="작지",LEFT($AE246,4)="소재입고"),IF(LEFT($G246,1)="S","★ 납기위험(S코드)","◆ 지연주의"),IF($AE246="정상","✓ 정상","? 확인필요")))</f>
        <v/>
      </c>
      <c r="AG246" s="21" t="n"/>
      <c r="AH246" s="28" t="n"/>
    </row>
    <row r="247">
      <c r="A247" s="19" t="n">
        <v>243</v>
      </c>
      <c r="B247" s="20" t="inlineStr">
        <is>
          <t>최진민</t>
        </is>
      </c>
      <c r="C247" s="20" t="inlineStr">
        <is>
          <t>-</t>
        </is>
      </c>
      <c r="D247" s="20" t="inlineStr">
        <is>
          <t>TLTCM27551</t>
        </is>
      </c>
      <c r="E247" s="20" t="inlineStr">
        <is>
          <t>하절 남성 멀티 스트라이프 라운드 반팔 티셔츠</t>
        </is>
      </c>
      <c r="F247" s="20" t="inlineStr">
        <is>
          <t>CO1, CO2</t>
        </is>
      </c>
      <c r="G247" s="19">
        <f>IF($D247="","",IF(MID($D247,5,1)="S","S(봄)",IF(MID($D247,5,1)="M","M(여름)",IF(MID($D247,5,1)="X","X(사계절)",MID($D247,5,1)))))</f>
        <v/>
      </c>
      <c r="H247" s="20" t="inlineStr">
        <is>
          <t>완사입</t>
        </is>
      </c>
      <c r="I247" s="19" t="inlineStr"/>
      <c r="J247" s="21" t="inlineStr">
        <is>
          <t>3월2주</t>
        </is>
      </c>
      <c r="K247" s="22">
        <f>IF($J247="","",IFERROR(DATE(IF(VALUE(LEFT($J247,FIND("월",$J247)-1))&gt;=9,기준정보!$C$7-1,기준정보!$C$7),VALUE(LEFT($J247,FIND("월",$J247)-1)),1+7*(VALUE(SUBSTITUTE(MID($J247,FIND("월",$J247)+1,5),"주",""))-1)),""))</f>
        <v/>
      </c>
      <c r="L247" s="22">
        <f>IF($K247="","",IF(AND($K247-기준정보!$C$5&gt;=기준정보!$C$10,$K247-기준정보!$C$5&lt;=기준정보!$C$11),기준정보!$C$10-1,$K247-기준정보!$C$5))</f>
        <v/>
      </c>
      <c r="M247" s="23">
        <f>IF($L247="","",IF(OR(ISNUMBER(SEARCH("중국",$W247)),ISNUMBER(SEARCH("베트남",$W247))),MAX(0,MIN($L247,기준정보!$C$9)-MAX($L247-기준정보!$C$6,기준정보!$C$8)+1),IF(ISNUMBER(SEARCH("한국",$W247)),MAX(0,MIN($L247,기준정보!$C$11)-MAX($L247-기준정보!$C$6,기준정보!$C$10)+1),0)))</f>
        <v/>
      </c>
      <c r="N247" s="22">
        <f>IF($L247="","",$L247-기준정보!$C$6-$M247)</f>
        <v/>
      </c>
      <c r="O247" s="24">
        <f>IF($N247="","",$N247-기준정보!$C$4)</f>
        <v/>
      </c>
      <c r="P247" s="21" t="n"/>
      <c r="Q247" s="21" t="inlineStr">
        <is>
          <t>O</t>
        </is>
      </c>
      <c r="R247" s="19">
        <f>IF(COUNTIF(EDW_RAW!$A$2:$A$1500,$D247)=0,"",IF(COUNTIFS(EDW_RAW!$A$2:$A$1500,$D247,EDW_RAW!$U$2:$U$1500,"&lt;&gt;~",EDW_RAW!$U$2:$U$1500,"&lt;&gt;")=COUNTIF(EDW_RAW!$A$2:$A$1500,$D247),"O",IF(COUNTIFS(EDW_RAW!$A$2:$A$1500,$D247,EDW_RAW!$U$2:$U$1500,"&lt;&gt;~",EDW_RAW!$U$2:$U$1500,"&lt;&gt;")&gt;0,"부분","X")))</f>
        <v/>
      </c>
      <c r="S247" s="25" t="n"/>
      <c r="T247" s="20">
        <f>IF($H247="","",IF(AND(ISNUMBER(SEARCH("CMT",$H247)),OR(ISNUMBER(SEARCH("완사입",$H247)),ISNUMBER(SEARCH("ODM",$H247)))),"본사/생산처 혼재",IF(ISNUMBER(SEARCH("CMT",$H247)),"본사(소재팀)","생산처")))</f>
        <v/>
      </c>
      <c r="U247" s="20" t="inlineStr"/>
      <c r="V247" s="20">
        <f>IFERROR(TEXTJOIN(" / ",TRUE,UNIQUE(FILTER(소재DB_RAW!$K$3:$K$2000,(소재DB_RAW!$G$3:$G$2000=$D247)*ISERROR(SEARCH("drop",소재DB_RAW!$C$3:$C$2000))))),"")</f>
        <v/>
      </c>
      <c r="W247" s="20" t="inlineStr"/>
      <c r="X247" s="20">
        <f>IFERROR(TEXTJOIN(" / ",TRUE,UNIQUE(FILTER(소재DB_RAW!$N$3:$N$2000,(소재DB_RAW!$G$3:$G$2000=$D247)*ISERROR(SEARCH("drop",소재DB_RAW!$C$3:$C$2000))))),"")</f>
        <v/>
      </c>
      <c r="Y247" s="26">
        <f>IFERROR(TEXTJOIN(CHAR(10),TRUE,UNIQUE(FILTER(소재DB_RAW!$N$3:$N$2000&amp;") "&amp;소재DB_RAW!$O$3:$O$2000,(소재DB_RAW!$G$3:$G$2000=$D247)*ISNUMBER(SEARCH("겉감",소재DB_RAW!$M$3:$M$2000))*ISERROR(SEARCH("drop",소재DB_RAW!$C$3:$C$2000))))),"")</f>
        <v/>
      </c>
      <c r="Z247" s="26">
        <f>IFERROR(TEXTJOIN(CHAR(10),TRUE,UNIQUE(FILTER(소재DB_RAW!$N$3:$N$2000&amp;") "&amp;소재DB_RAW!$O$3:$O$2000,(소재DB_RAW!$G$3:$G$2000=$D247)*ISNUMBER(SEARCH("안감",소재DB_RAW!$M$3:$M$2000))*ISERROR(SEARCH("drop",소재DB_RAW!$C$3:$C$2000))))),"")</f>
        <v/>
      </c>
      <c r="AA247" s="27" t="n">
        <v>1800</v>
      </c>
      <c r="AB247" s="27" t="n">
        <v>42300000</v>
      </c>
      <c r="AC247" s="27" t="n">
        <v>212400000</v>
      </c>
      <c r="AD247" s="20" t="n"/>
      <c r="AE247" s="20">
        <f>IF($K247="","출고일 미정",IF($Q247="X","작지 미발행",IF($Q247="부분","작지 일부 미발행",IF(AND($S247&lt;&gt;"",$S247&gt;$N247),"소재입고 마감("&amp;TEXT($N247,"MM/DD")&amp;") 초과",IF($Q247="","발행여부 확인 필요",IF($S247="","소재 입고일정 확인 필요","정상"))))))</f>
        <v/>
      </c>
      <c r="AF247" s="19">
        <f>IF($K247="","",IF(OR(LEFT($AE247,2)="작지",LEFT($AE247,4)="소재입고"),IF(LEFT($G247,1)="S","★ 납기위험(S코드)","◆ 지연주의"),IF($AE247="정상","✓ 정상","? 확인필요")))</f>
        <v/>
      </c>
      <c r="AG247" s="21" t="n"/>
      <c r="AH247" s="28" t="n"/>
    </row>
    <row r="248">
      <c r="A248" s="19" t="n">
        <v>244</v>
      </c>
      <c r="B248" s="20" t="inlineStr">
        <is>
          <t>최진민</t>
        </is>
      </c>
      <c r="C248" s="20" t="inlineStr">
        <is>
          <t>-</t>
        </is>
      </c>
      <c r="D248" s="20" t="inlineStr">
        <is>
          <t>TLTCM27553</t>
        </is>
      </c>
      <c r="E248" s="20" t="inlineStr">
        <is>
          <t>하절 남성 스트라이프 폴로 반팔 티셔츠</t>
        </is>
      </c>
      <c r="F248" s="20" t="inlineStr">
        <is>
          <t>CO1, CO2</t>
        </is>
      </c>
      <c r="G248" s="19">
        <f>IF($D248="","",IF(MID($D248,5,1)="S","S(봄)",IF(MID($D248,5,1)="M","M(여름)",IF(MID($D248,5,1)="X","X(사계절)",MID($D248,5,1)))))</f>
        <v/>
      </c>
      <c r="H248" s="20" t="inlineStr">
        <is>
          <t>완사입</t>
        </is>
      </c>
      <c r="I248" s="19" t="inlineStr"/>
      <c r="J248" s="21" t="inlineStr">
        <is>
          <t>3월2주</t>
        </is>
      </c>
      <c r="K248" s="22">
        <f>IF($J248="","",IFERROR(DATE(IF(VALUE(LEFT($J248,FIND("월",$J248)-1))&gt;=9,기준정보!$C$7-1,기준정보!$C$7),VALUE(LEFT($J248,FIND("월",$J248)-1)),1+7*(VALUE(SUBSTITUTE(MID($J248,FIND("월",$J248)+1,5),"주",""))-1)),""))</f>
        <v/>
      </c>
      <c r="L248" s="22">
        <f>IF($K248="","",IF(AND($K248-기준정보!$C$5&gt;=기준정보!$C$10,$K248-기준정보!$C$5&lt;=기준정보!$C$11),기준정보!$C$10-1,$K248-기준정보!$C$5))</f>
        <v/>
      </c>
      <c r="M248" s="23">
        <f>IF($L248="","",IF(OR(ISNUMBER(SEARCH("중국",$W248)),ISNUMBER(SEARCH("베트남",$W248))),MAX(0,MIN($L248,기준정보!$C$9)-MAX($L248-기준정보!$C$6,기준정보!$C$8)+1),IF(ISNUMBER(SEARCH("한국",$W248)),MAX(0,MIN($L248,기준정보!$C$11)-MAX($L248-기준정보!$C$6,기준정보!$C$10)+1),0)))</f>
        <v/>
      </c>
      <c r="N248" s="22">
        <f>IF($L248="","",$L248-기준정보!$C$6-$M248)</f>
        <v/>
      </c>
      <c r="O248" s="24">
        <f>IF($N248="","",$N248-기준정보!$C$4)</f>
        <v/>
      </c>
      <c r="P248" s="21" t="n"/>
      <c r="Q248" s="21" t="inlineStr">
        <is>
          <t>O</t>
        </is>
      </c>
      <c r="R248" s="19">
        <f>IF(COUNTIF(EDW_RAW!$A$2:$A$1500,$D248)=0,"",IF(COUNTIFS(EDW_RAW!$A$2:$A$1500,$D248,EDW_RAW!$U$2:$U$1500,"&lt;&gt;~",EDW_RAW!$U$2:$U$1500,"&lt;&gt;")=COUNTIF(EDW_RAW!$A$2:$A$1500,$D248),"O",IF(COUNTIFS(EDW_RAW!$A$2:$A$1500,$D248,EDW_RAW!$U$2:$U$1500,"&lt;&gt;~",EDW_RAW!$U$2:$U$1500,"&lt;&gt;")&gt;0,"부분","X")))</f>
        <v/>
      </c>
      <c r="S248" s="25" t="n"/>
      <c r="T248" s="20">
        <f>IF($H248="","",IF(AND(ISNUMBER(SEARCH("CMT",$H248)),OR(ISNUMBER(SEARCH("완사입",$H248)),ISNUMBER(SEARCH("ODM",$H248)))),"본사/생산처 혼재",IF(ISNUMBER(SEARCH("CMT",$H248)),"본사(소재팀)","생산처")))</f>
        <v/>
      </c>
      <c r="U248" s="20" t="inlineStr"/>
      <c r="V248" s="20">
        <f>IFERROR(TEXTJOIN(" / ",TRUE,UNIQUE(FILTER(소재DB_RAW!$K$3:$K$2000,(소재DB_RAW!$G$3:$G$2000=$D248)*ISERROR(SEARCH("drop",소재DB_RAW!$C$3:$C$2000))))),"")</f>
        <v/>
      </c>
      <c r="W248" s="20" t="inlineStr"/>
      <c r="X248" s="20">
        <f>IFERROR(TEXTJOIN(" / ",TRUE,UNIQUE(FILTER(소재DB_RAW!$N$3:$N$2000,(소재DB_RAW!$G$3:$G$2000=$D248)*ISERROR(SEARCH("drop",소재DB_RAW!$C$3:$C$2000))))),"")</f>
        <v/>
      </c>
      <c r="Y248" s="26">
        <f>IFERROR(TEXTJOIN(CHAR(10),TRUE,UNIQUE(FILTER(소재DB_RAW!$N$3:$N$2000&amp;") "&amp;소재DB_RAW!$O$3:$O$2000,(소재DB_RAW!$G$3:$G$2000=$D248)*ISNUMBER(SEARCH("겉감",소재DB_RAW!$M$3:$M$2000))*ISERROR(SEARCH("drop",소재DB_RAW!$C$3:$C$2000))))),"")</f>
        <v/>
      </c>
      <c r="Z248" s="26">
        <f>IFERROR(TEXTJOIN(CHAR(10),TRUE,UNIQUE(FILTER(소재DB_RAW!$N$3:$N$2000&amp;") "&amp;소재DB_RAW!$O$3:$O$2000,(소재DB_RAW!$G$3:$G$2000=$D248)*ISNUMBER(SEARCH("안감",소재DB_RAW!$M$3:$M$2000))*ISERROR(SEARCH("drop",소재DB_RAW!$C$3:$C$2000))))),"")</f>
        <v/>
      </c>
      <c r="AA248" s="27" t="n">
        <v>3200</v>
      </c>
      <c r="AB248" s="27" t="n">
        <v>81600000</v>
      </c>
      <c r="AC248" s="27" t="n">
        <v>409600000</v>
      </c>
      <c r="AD248" s="20" t="n"/>
      <c r="AE248" s="20">
        <f>IF($K248="","출고일 미정",IF($Q248="X","작지 미발행",IF($Q248="부분","작지 일부 미발행",IF(AND($S248&lt;&gt;"",$S248&gt;$N248),"소재입고 마감("&amp;TEXT($N248,"MM/DD")&amp;") 초과",IF($Q248="","발행여부 확인 필요",IF($S248="","소재 입고일정 확인 필요","정상"))))))</f>
        <v/>
      </c>
      <c r="AF248" s="19">
        <f>IF($K248="","",IF(OR(LEFT($AE248,2)="작지",LEFT($AE248,4)="소재입고"),IF(LEFT($G248,1)="S","★ 납기위험(S코드)","◆ 지연주의"),IF($AE248="정상","✓ 정상","? 확인필요")))</f>
        <v/>
      </c>
      <c r="AG248" s="21" t="n"/>
      <c r="AH248" s="28" t="n"/>
    </row>
    <row r="249">
      <c r="A249" s="19" t="n">
        <v>245</v>
      </c>
      <c r="B249" s="20" t="inlineStr">
        <is>
          <t>김준래</t>
        </is>
      </c>
      <c r="C249" s="20" t="inlineStr">
        <is>
          <t>권혁일</t>
        </is>
      </c>
      <c r="D249" s="20" t="inlineStr">
        <is>
          <t>TLTCM27591</t>
        </is>
      </c>
      <c r="E249" s="20" t="inlineStr">
        <is>
          <t>하절 남성 시어서커 하프집업 반팔 티셔츠 (SET-UP)</t>
        </is>
      </c>
      <c r="F249" s="20" t="inlineStr">
        <is>
          <t>LBL(L/BLUE), DNA(D/NAVY)</t>
        </is>
      </c>
      <c r="G249" s="19">
        <f>IF($D249="","",IF(MID($D249,5,1)="S","S(봄)",IF(MID($D249,5,1)="M","M(여름)",IF(MID($D249,5,1)="X","X(사계절)",MID($D249,5,1)))))</f>
        <v/>
      </c>
      <c r="H249" s="20" t="inlineStr">
        <is>
          <t>완사입</t>
        </is>
      </c>
      <c r="I249" s="19" t="inlineStr"/>
      <c r="J249" s="21" t="inlineStr">
        <is>
          <t>3월2주</t>
        </is>
      </c>
      <c r="K249" s="22">
        <f>IF($J249="","",IFERROR(DATE(IF(VALUE(LEFT($J249,FIND("월",$J249)-1))&gt;=9,기준정보!$C$7-1,기준정보!$C$7),VALUE(LEFT($J249,FIND("월",$J249)-1)),1+7*(VALUE(SUBSTITUTE(MID($J249,FIND("월",$J249)+1,5),"주",""))-1)),""))</f>
        <v/>
      </c>
      <c r="L249" s="22">
        <f>IF($K249="","",IF(AND($K249-기준정보!$C$5&gt;=기준정보!$C$10,$K249-기준정보!$C$5&lt;=기준정보!$C$11),기준정보!$C$10-1,$K249-기준정보!$C$5))</f>
        <v/>
      </c>
      <c r="M249" s="23">
        <f>IF($L249="","",IF(OR(ISNUMBER(SEARCH("중국",$W249)),ISNUMBER(SEARCH("베트남",$W249))),MAX(0,MIN($L249,기준정보!$C$9)-MAX($L249-기준정보!$C$6,기준정보!$C$8)+1),IF(ISNUMBER(SEARCH("한국",$W249)),MAX(0,MIN($L249,기준정보!$C$11)-MAX($L249-기준정보!$C$6,기준정보!$C$10)+1),0)))</f>
        <v/>
      </c>
      <c r="N249" s="22">
        <f>IF($L249="","",$L249-기준정보!$C$6-$M249)</f>
        <v/>
      </c>
      <c r="O249" s="24">
        <f>IF($N249="","",$N249-기준정보!$C$4)</f>
        <v/>
      </c>
      <c r="P249" s="21" t="n"/>
      <c r="Q249" s="21" t="inlineStr">
        <is>
          <t>O</t>
        </is>
      </c>
      <c r="R249" s="19">
        <f>IF(COUNTIF(EDW_RAW!$A$2:$A$1500,$D249)=0,"",IF(COUNTIFS(EDW_RAW!$A$2:$A$1500,$D249,EDW_RAW!$U$2:$U$1500,"&lt;&gt;~",EDW_RAW!$U$2:$U$1500,"&lt;&gt;")=COUNTIF(EDW_RAW!$A$2:$A$1500,$D249),"O",IF(COUNTIFS(EDW_RAW!$A$2:$A$1500,$D249,EDW_RAW!$U$2:$U$1500,"&lt;&gt;~",EDW_RAW!$U$2:$U$1500,"&lt;&gt;")&gt;0,"부분","X")))</f>
        <v/>
      </c>
      <c r="S249" s="25" t="n"/>
      <c r="T249" s="20">
        <f>IF($H249="","",IF(AND(ISNUMBER(SEARCH("CMT",$H249)),OR(ISNUMBER(SEARCH("완사입",$H249)),ISNUMBER(SEARCH("ODM",$H249)))),"본사/생산처 혼재",IF(ISNUMBER(SEARCH("CMT",$H249)),"본사(소재팀)","생산처")))</f>
        <v/>
      </c>
      <c r="U249" s="20" t="inlineStr">
        <is>
          <t>장안</t>
        </is>
      </c>
      <c r="V249" s="20">
        <f>IFERROR(TEXTJOIN(" / ",TRUE,UNIQUE(FILTER(소재DB_RAW!$K$3:$K$2000,(소재DB_RAW!$G$3:$G$2000=$D249)*ISERROR(SEARCH("drop",소재DB_RAW!$C$3:$C$2000))))),"")</f>
        <v/>
      </c>
      <c r="W249" s="20" t="inlineStr">
        <is>
          <t>베트남</t>
        </is>
      </c>
      <c r="X249" s="20">
        <f>IFERROR(TEXTJOIN(" / ",TRUE,UNIQUE(FILTER(소재DB_RAW!$N$3:$N$2000,(소재DB_RAW!$G$3:$G$2000=$D249)*ISERROR(SEARCH("drop",소재DB_RAW!$C$3:$C$2000))))),"")</f>
        <v/>
      </c>
      <c r="Y249" s="26">
        <f>IFERROR(TEXTJOIN(CHAR(10),TRUE,UNIQUE(FILTER(소재DB_RAW!$N$3:$N$2000&amp;") "&amp;소재DB_RAW!$O$3:$O$2000,(소재DB_RAW!$G$3:$G$2000=$D249)*ISNUMBER(SEARCH("겉감",소재DB_RAW!$M$3:$M$2000))*ISERROR(SEARCH("drop",소재DB_RAW!$C$3:$C$2000))))),"")</f>
        <v/>
      </c>
      <c r="Z249" s="26">
        <f>IFERROR(TEXTJOIN(CHAR(10),TRUE,UNIQUE(FILTER(소재DB_RAW!$N$3:$N$2000&amp;") "&amp;소재DB_RAW!$O$3:$O$2000,(소재DB_RAW!$G$3:$G$2000=$D249)*ISNUMBER(SEARCH("안감",소재DB_RAW!$M$3:$M$2000))*ISERROR(SEARCH("drop",소재DB_RAW!$C$3:$C$2000))))),"")</f>
        <v/>
      </c>
      <c r="AA249" s="27" t="n">
        <v>1500</v>
      </c>
      <c r="AB249" s="27" t="n">
        <v>38922000</v>
      </c>
      <c r="AC249" s="27" t="n">
        <v>237000000</v>
      </c>
      <c r="AD249" s="20" t="inlineStr">
        <is>
          <t>3월2주</t>
        </is>
      </c>
      <c r="AE249" s="20">
        <f>IF($K249="","출고일 미정",IF($Q249="X","작지 미발행",IF($Q249="부분","작지 일부 미발행",IF(AND($S249&lt;&gt;"",$S249&gt;$N249),"소재입고 마감("&amp;TEXT($N249,"MM/DD")&amp;") 초과",IF($Q249="","발행여부 확인 필요",IF($S249="","소재 입고일정 확인 필요","정상"))))))</f>
        <v/>
      </c>
      <c r="AF249" s="19">
        <f>IF($K249="","",IF(OR(LEFT($AE249,2)="작지",LEFT($AE249,4)="소재입고"),IF(LEFT($G249,1)="S","★ 납기위험(S코드)","◆ 지연주의"),IF($AE249="정상","✓ 정상","? 확인필요")))</f>
        <v/>
      </c>
      <c r="AG249" s="21" t="n"/>
      <c r="AH249" s="28" t="n"/>
    </row>
    <row r="250">
      <c r="A250" s="19" t="n">
        <v>246</v>
      </c>
      <c r="B250" s="20" t="inlineStr">
        <is>
          <t>문도혁</t>
        </is>
      </c>
      <c r="C250" s="20" t="inlineStr">
        <is>
          <t>이민선</t>
        </is>
      </c>
      <c r="D250" s="20" t="inlineStr">
        <is>
          <t>TVJJM27512</t>
        </is>
      </c>
      <c r="E250" s="20" t="inlineStr">
        <is>
          <t>하절 여성 메쉬 하이브리드 라운드넥 재킷</t>
        </is>
      </c>
      <c r="F250" s="20" t="inlineStr">
        <is>
          <t>LGI(L/GREIGE), BLK(BLACK)</t>
        </is>
      </c>
      <c r="G250" s="19">
        <f>IF($D250="","",IF(MID($D250,5,1)="S","S(봄)",IF(MID($D250,5,1)="M","M(여름)",IF(MID($D250,5,1)="X","X(사계절)",MID($D250,5,1)))))</f>
        <v/>
      </c>
      <c r="H250" s="20" t="inlineStr">
        <is>
          <t>완사입</t>
        </is>
      </c>
      <c r="I250" s="19" t="inlineStr">
        <is>
          <t>m2</t>
        </is>
      </c>
      <c r="J250" s="21" t="inlineStr">
        <is>
          <t>3월2주</t>
        </is>
      </c>
      <c r="K250" s="22">
        <f>IF($J250="","",IFERROR(DATE(IF(VALUE(LEFT($J250,FIND("월",$J250)-1))&gt;=9,기준정보!$C$7-1,기준정보!$C$7),VALUE(LEFT($J250,FIND("월",$J250)-1)),1+7*(VALUE(SUBSTITUTE(MID($J250,FIND("월",$J250)+1,5),"주",""))-1)),""))</f>
        <v/>
      </c>
      <c r="L250" s="22">
        <f>IF($K250="","",IF(AND($K250-기준정보!$C$5&gt;=기준정보!$C$10,$K250-기준정보!$C$5&lt;=기준정보!$C$11),기준정보!$C$10-1,$K250-기준정보!$C$5))</f>
        <v/>
      </c>
      <c r="M250" s="23">
        <f>IF($L250="","",IF(OR(ISNUMBER(SEARCH("중국",$W250)),ISNUMBER(SEARCH("베트남",$W250))),MAX(0,MIN($L250,기준정보!$C$9)-MAX($L250-기준정보!$C$6,기준정보!$C$8)+1),IF(ISNUMBER(SEARCH("한국",$W250)),MAX(0,MIN($L250,기준정보!$C$11)-MAX($L250-기준정보!$C$6,기준정보!$C$10)+1),0)))</f>
        <v/>
      </c>
      <c r="N250" s="22">
        <f>IF($L250="","",$L250-기준정보!$C$6-$M250)</f>
        <v/>
      </c>
      <c r="O250" s="24">
        <f>IF($N250="","",$N250-기준정보!$C$4)</f>
        <v/>
      </c>
      <c r="P250" s="21" t="n"/>
      <c r="Q250" s="21" t="inlineStr">
        <is>
          <t>O</t>
        </is>
      </c>
      <c r="R250" s="19">
        <f>IF(COUNTIF(EDW_RAW!$A$2:$A$1500,$D250)=0,"",IF(COUNTIFS(EDW_RAW!$A$2:$A$1500,$D250,EDW_RAW!$U$2:$U$1500,"&lt;&gt;~",EDW_RAW!$U$2:$U$1500,"&lt;&gt;")=COUNTIF(EDW_RAW!$A$2:$A$1500,$D250),"O",IF(COUNTIFS(EDW_RAW!$A$2:$A$1500,$D250,EDW_RAW!$U$2:$U$1500,"&lt;&gt;~",EDW_RAW!$U$2:$U$1500,"&lt;&gt;")&gt;0,"부분","X")))</f>
        <v/>
      </c>
      <c r="S250" s="25" t="n"/>
      <c r="T250" s="20">
        <f>IF($H250="","",IF(AND(ISNUMBER(SEARCH("CMT",$H250)),OR(ISNUMBER(SEARCH("완사입",$H250)),ISNUMBER(SEARCH("ODM",$H250)))),"본사/생산처 혼재",IF(ISNUMBER(SEARCH("CMT",$H250)),"본사(소재팀)","생산처")))</f>
        <v/>
      </c>
      <c r="U250" s="20" t="inlineStr">
        <is>
          <t>기도</t>
        </is>
      </c>
      <c r="V250" s="20">
        <f>IFERROR(TEXTJOIN(" / ",TRUE,UNIQUE(FILTER(소재DB_RAW!$K$3:$K$2000,(소재DB_RAW!$G$3:$G$2000=$D250)*ISERROR(SEARCH("drop",소재DB_RAW!$C$3:$C$2000))))),"")</f>
        <v/>
      </c>
      <c r="W250" s="20" t="inlineStr">
        <is>
          <t>베트남</t>
        </is>
      </c>
      <c r="X250" s="20">
        <f>IFERROR(TEXTJOIN(" / ",TRUE,UNIQUE(FILTER(소재DB_RAW!$N$3:$N$2000,(소재DB_RAW!$G$3:$G$2000=$D250)*ISERROR(SEARCH("drop",소재DB_RAW!$C$3:$C$2000))))),"")</f>
        <v/>
      </c>
      <c r="Y250" s="26">
        <f>IFERROR(TEXTJOIN(CHAR(10),TRUE,UNIQUE(FILTER(소재DB_RAW!$N$3:$N$2000&amp;") "&amp;소재DB_RAW!$O$3:$O$2000,(소재DB_RAW!$G$3:$G$2000=$D250)*ISNUMBER(SEARCH("겉감",소재DB_RAW!$M$3:$M$2000))*ISERROR(SEARCH("drop",소재DB_RAW!$C$3:$C$2000))))),"")</f>
        <v/>
      </c>
      <c r="Z250" s="26">
        <f>IFERROR(TEXTJOIN(CHAR(10),TRUE,UNIQUE(FILTER(소재DB_RAW!$N$3:$N$2000&amp;") "&amp;소재DB_RAW!$O$3:$O$2000,(소재DB_RAW!$G$3:$G$2000=$D250)*ISNUMBER(SEARCH("안감",소재DB_RAW!$M$3:$M$2000))*ISERROR(SEARCH("drop",소재DB_RAW!$C$3:$C$2000))))),"")</f>
        <v/>
      </c>
      <c r="AA250" s="27" t="n">
        <v>2000</v>
      </c>
      <c r="AB250" s="27" t="n">
        <v>82328000</v>
      </c>
      <c r="AC250" s="27" t="n">
        <v>440000000</v>
      </c>
      <c r="AD250" s="20" t="n"/>
      <c r="AE250" s="20">
        <f>IF($K250="","출고일 미정",IF($Q250="X","작지 미발행",IF($Q250="부분","작지 일부 미발행",IF(AND($S250&lt;&gt;"",$S250&gt;$N250),"소재입고 마감("&amp;TEXT($N250,"MM/DD")&amp;") 초과",IF($Q250="","발행여부 확인 필요",IF($S250="","소재 입고일정 확인 필요","정상"))))))</f>
        <v/>
      </c>
      <c r="AF250" s="19">
        <f>IF($K250="","",IF(OR(LEFT($AE250,2)="작지",LEFT($AE250,4)="소재입고"),IF(LEFT($G250,1)="S","★ 납기위험(S코드)","◆ 지연주의"),IF($AE250="정상","✓ 정상","? 확인필요")))</f>
        <v/>
      </c>
      <c r="AG250" s="21" t="n"/>
      <c r="AH250" s="28" t="n"/>
    </row>
    <row r="251">
      <c r="A251" s="19" t="n">
        <v>247</v>
      </c>
      <c r="B251" s="20" t="inlineStr">
        <is>
          <t>문도혁</t>
        </is>
      </c>
      <c r="C251" s="20" t="inlineStr">
        <is>
          <t>이민선</t>
        </is>
      </c>
      <c r="D251" s="20" t="inlineStr">
        <is>
          <t>TVJJM27552</t>
        </is>
      </c>
      <c r="E251" s="20" t="inlineStr">
        <is>
          <t>하절 여성 메쉬 하이브리드 크롭 후디드 재킷</t>
        </is>
      </c>
      <c r="F251" s="20" t="inlineStr">
        <is>
          <t>LGI(L/GREIGE), LPI</t>
        </is>
      </c>
      <c r="G251" s="19">
        <f>IF($D251="","",IF(MID($D251,5,1)="S","S(봄)",IF(MID($D251,5,1)="M","M(여름)",IF(MID($D251,5,1)="X","X(사계절)",MID($D251,5,1)))))</f>
        <v/>
      </c>
      <c r="H251" s="20" t="inlineStr">
        <is>
          <t>완사입</t>
        </is>
      </c>
      <c r="I251" s="19" t="inlineStr">
        <is>
          <t>m2</t>
        </is>
      </c>
      <c r="J251" s="21" t="inlineStr">
        <is>
          <t>3월2주</t>
        </is>
      </c>
      <c r="K251" s="22">
        <f>IF($J251="","",IFERROR(DATE(IF(VALUE(LEFT($J251,FIND("월",$J251)-1))&gt;=9,기준정보!$C$7-1,기준정보!$C$7),VALUE(LEFT($J251,FIND("월",$J251)-1)),1+7*(VALUE(SUBSTITUTE(MID($J251,FIND("월",$J251)+1,5),"주",""))-1)),""))</f>
        <v/>
      </c>
      <c r="L251" s="22">
        <f>IF($K251="","",IF(AND($K251-기준정보!$C$5&gt;=기준정보!$C$10,$K251-기준정보!$C$5&lt;=기준정보!$C$11),기준정보!$C$10-1,$K251-기준정보!$C$5))</f>
        <v/>
      </c>
      <c r="M251" s="23">
        <f>IF($L251="","",IF(OR(ISNUMBER(SEARCH("중국",$W251)),ISNUMBER(SEARCH("베트남",$W251))),MAX(0,MIN($L251,기준정보!$C$9)-MAX($L251-기준정보!$C$6,기준정보!$C$8)+1),IF(ISNUMBER(SEARCH("한국",$W251)),MAX(0,MIN($L251,기준정보!$C$11)-MAX($L251-기준정보!$C$6,기준정보!$C$10)+1),0)))</f>
        <v/>
      </c>
      <c r="N251" s="22">
        <f>IF($L251="","",$L251-기준정보!$C$6-$M251)</f>
        <v/>
      </c>
      <c r="O251" s="24">
        <f>IF($N251="","",$N251-기준정보!$C$4)</f>
        <v/>
      </c>
      <c r="P251" s="21" t="n"/>
      <c r="Q251" s="21" t="inlineStr">
        <is>
          <t>O</t>
        </is>
      </c>
      <c r="R251" s="19">
        <f>IF(COUNTIF(EDW_RAW!$A$2:$A$1500,$D251)=0,"",IF(COUNTIFS(EDW_RAW!$A$2:$A$1500,$D251,EDW_RAW!$U$2:$U$1500,"&lt;&gt;~",EDW_RAW!$U$2:$U$1500,"&lt;&gt;")=COUNTIF(EDW_RAW!$A$2:$A$1500,$D251),"O",IF(COUNTIFS(EDW_RAW!$A$2:$A$1500,$D251,EDW_RAW!$U$2:$U$1500,"&lt;&gt;~",EDW_RAW!$U$2:$U$1500,"&lt;&gt;")&gt;0,"부분","X")))</f>
        <v/>
      </c>
      <c r="S251" s="25" t="n"/>
      <c r="T251" s="20">
        <f>IF($H251="","",IF(AND(ISNUMBER(SEARCH("CMT",$H251)),OR(ISNUMBER(SEARCH("완사입",$H251)),ISNUMBER(SEARCH("ODM",$H251)))),"본사/생산처 혼재",IF(ISNUMBER(SEARCH("CMT",$H251)),"본사(소재팀)","생산처")))</f>
        <v/>
      </c>
      <c r="U251" s="20" t="inlineStr">
        <is>
          <t>아이블</t>
        </is>
      </c>
      <c r="V251" s="20">
        <f>IFERROR(TEXTJOIN(" / ",TRUE,UNIQUE(FILTER(소재DB_RAW!$K$3:$K$2000,(소재DB_RAW!$G$3:$G$2000=$D251)*ISERROR(SEARCH("drop",소재DB_RAW!$C$3:$C$2000))))),"")</f>
        <v/>
      </c>
      <c r="W251" s="20" t="inlineStr">
        <is>
          <t>베트남</t>
        </is>
      </c>
      <c r="X251" s="20">
        <f>IFERROR(TEXTJOIN(" / ",TRUE,UNIQUE(FILTER(소재DB_RAW!$N$3:$N$2000,(소재DB_RAW!$G$3:$G$2000=$D251)*ISERROR(SEARCH("drop",소재DB_RAW!$C$3:$C$2000))))),"")</f>
        <v/>
      </c>
      <c r="Y251" s="26">
        <f>IFERROR(TEXTJOIN(CHAR(10),TRUE,UNIQUE(FILTER(소재DB_RAW!$N$3:$N$2000&amp;") "&amp;소재DB_RAW!$O$3:$O$2000,(소재DB_RAW!$G$3:$G$2000=$D251)*ISNUMBER(SEARCH("겉감",소재DB_RAW!$M$3:$M$2000))*ISERROR(SEARCH("drop",소재DB_RAW!$C$3:$C$2000))))),"")</f>
        <v/>
      </c>
      <c r="Z251" s="26">
        <f>IFERROR(TEXTJOIN(CHAR(10),TRUE,UNIQUE(FILTER(소재DB_RAW!$N$3:$N$2000&amp;") "&amp;소재DB_RAW!$O$3:$O$2000,(소재DB_RAW!$G$3:$G$2000=$D251)*ISNUMBER(SEARCH("안감",소재DB_RAW!$M$3:$M$2000))*ISERROR(SEARCH("drop",소재DB_RAW!$C$3:$C$2000))))),"")</f>
        <v/>
      </c>
      <c r="AA251" s="27" t="n">
        <v>3500</v>
      </c>
      <c r="AB251" s="27" t="n">
        <v>146688500</v>
      </c>
      <c r="AC251" s="27" t="n">
        <v>770000000</v>
      </c>
      <c r="AD251" s="20" t="n"/>
      <c r="AE251" s="20">
        <f>IF($K251="","출고일 미정",IF($Q251="X","작지 미발행",IF($Q251="부분","작지 일부 미발행",IF(AND($S251&lt;&gt;"",$S251&gt;$N251),"소재입고 마감("&amp;TEXT($N251,"MM/DD")&amp;") 초과",IF($Q251="","발행여부 확인 필요",IF($S251="","소재 입고일정 확인 필요","정상"))))))</f>
        <v/>
      </c>
      <c r="AF251" s="19">
        <f>IF($K251="","",IF(OR(LEFT($AE251,2)="작지",LEFT($AE251,4)="소재입고"),IF(LEFT($G251,1)="S","★ 납기위험(S코드)","◆ 지연주의"),IF($AE251="정상","✓ 정상","? 확인필요")))</f>
        <v/>
      </c>
      <c r="AG251" s="21" t="n"/>
      <c r="AH251" s="28" t="n"/>
    </row>
    <row r="252">
      <c r="A252" s="19" t="n">
        <v>248</v>
      </c>
      <c r="B252" s="20" t="inlineStr">
        <is>
          <t>김준래</t>
        </is>
      </c>
      <c r="C252" s="20" t="inlineStr">
        <is>
          <t>서은미</t>
        </is>
      </c>
      <c r="D252" s="20" t="inlineStr">
        <is>
          <t>TVSCM27512</t>
        </is>
      </c>
      <c r="E252" s="20" t="inlineStr">
        <is>
          <t>하절 여성 시어서커 반팔 셔츠 (SET-UP)</t>
        </is>
      </c>
      <c r="F252" s="20" t="inlineStr">
        <is>
          <t>DNA(D/NAVY), LBL(L/BLUE)</t>
        </is>
      </c>
      <c r="G252" s="19">
        <f>IF($D252="","",IF(MID($D252,5,1)="S","S(봄)",IF(MID($D252,5,1)="M","M(여름)",IF(MID($D252,5,1)="X","X(사계절)",MID($D252,5,1)))))</f>
        <v/>
      </c>
      <c r="H252" s="20" t="inlineStr">
        <is>
          <t>완사입</t>
        </is>
      </c>
      <c r="I252" s="19" t="inlineStr"/>
      <c r="J252" s="21" t="inlineStr">
        <is>
          <t>3월2주</t>
        </is>
      </c>
      <c r="K252" s="22">
        <f>IF($J252="","",IFERROR(DATE(IF(VALUE(LEFT($J252,FIND("월",$J252)-1))&gt;=9,기준정보!$C$7-1,기준정보!$C$7),VALUE(LEFT($J252,FIND("월",$J252)-1)),1+7*(VALUE(SUBSTITUTE(MID($J252,FIND("월",$J252)+1,5),"주",""))-1)),""))</f>
        <v/>
      </c>
      <c r="L252" s="22">
        <f>IF($K252="","",IF(AND($K252-기준정보!$C$5&gt;=기준정보!$C$10,$K252-기준정보!$C$5&lt;=기준정보!$C$11),기준정보!$C$10-1,$K252-기준정보!$C$5))</f>
        <v/>
      </c>
      <c r="M252" s="23">
        <f>IF($L252="","",IF(OR(ISNUMBER(SEARCH("중국",$W252)),ISNUMBER(SEARCH("베트남",$W252))),MAX(0,MIN($L252,기준정보!$C$9)-MAX($L252-기준정보!$C$6,기준정보!$C$8)+1),IF(ISNUMBER(SEARCH("한국",$W252)),MAX(0,MIN($L252,기준정보!$C$11)-MAX($L252-기준정보!$C$6,기준정보!$C$10)+1),0)))</f>
        <v/>
      </c>
      <c r="N252" s="22">
        <f>IF($L252="","",$L252-기준정보!$C$6-$M252)</f>
        <v/>
      </c>
      <c r="O252" s="24">
        <f>IF($N252="","",$N252-기준정보!$C$4)</f>
        <v/>
      </c>
      <c r="P252" s="21" t="n"/>
      <c r="Q252" s="21" t="inlineStr">
        <is>
          <t>O</t>
        </is>
      </c>
      <c r="R252" s="19">
        <f>IF(COUNTIF(EDW_RAW!$A$2:$A$1500,$D252)=0,"",IF(COUNTIFS(EDW_RAW!$A$2:$A$1500,$D252,EDW_RAW!$U$2:$U$1500,"&lt;&gt;~",EDW_RAW!$U$2:$U$1500,"&lt;&gt;")=COUNTIF(EDW_RAW!$A$2:$A$1500,$D252),"O",IF(COUNTIFS(EDW_RAW!$A$2:$A$1500,$D252,EDW_RAW!$U$2:$U$1500,"&lt;&gt;~",EDW_RAW!$U$2:$U$1500,"&lt;&gt;")&gt;0,"부분","X")))</f>
        <v/>
      </c>
      <c r="S252" s="25" t="n"/>
      <c r="T252" s="20">
        <f>IF($H252="","",IF(AND(ISNUMBER(SEARCH("CMT",$H252)),OR(ISNUMBER(SEARCH("완사입",$H252)),ISNUMBER(SEARCH("ODM",$H252)))),"본사/생산처 혼재",IF(ISNUMBER(SEARCH("CMT",$H252)),"본사(소재팀)","생산처")))</f>
        <v/>
      </c>
      <c r="U252" s="20" t="inlineStr">
        <is>
          <t>성원</t>
        </is>
      </c>
      <c r="V252" s="20">
        <f>IFERROR(TEXTJOIN(" / ",TRUE,UNIQUE(FILTER(소재DB_RAW!$K$3:$K$2000,(소재DB_RAW!$G$3:$G$2000=$D252)*ISERROR(SEARCH("drop",소재DB_RAW!$C$3:$C$2000))))),"")</f>
        <v/>
      </c>
      <c r="W252" s="20" t="inlineStr">
        <is>
          <t>베트남</t>
        </is>
      </c>
      <c r="X252" s="20">
        <f>IFERROR(TEXTJOIN(" / ",TRUE,UNIQUE(FILTER(소재DB_RAW!$N$3:$N$2000,(소재DB_RAW!$G$3:$G$2000=$D252)*ISERROR(SEARCH("drop",소재DB_RAW!$C$3:$C$2000))))),"")</f>
        <v/>
      </c>
      <c r="Y252" s="26">
        <f>IFERROR(TEXTJOIN(CHAR(10),TRUE,UNIQUE(FILTER(소재DB_RAW!$N$3:$N$2000&amp;") "&amp;소재DB_RAW!$O$3:$O$2000,(소재DB_RAW!$G$3:$G$2000=$D252)*ISNUMBER(SEARCH("겉감",소재DB_RAW!$M$3:$M$2000))*ISERROR(SEARCH("drop",소재DB_RAW!$C$3:$C$2000))))),"")</f>
        <v/>
      </c>
      <c r="Z252" s="26">
        <f>IFERROR(TEXTJOIN(CHAR(10),TRUE,UNIQUE(FILTER(소재DB_RAW!$N$3:$N$2000&amp;") "&amp;소재DB_RAW!$O$3:$O$2000,(소재DB_RAW!$G$3:$G$2000=$D252)*ISNUMBER(SEARCH("안감",소재DB_RAW!$M$3:$M$2000))*ISERROR(SEARCH("drop",소재DB_RAW!$C$3:$C$2000))))),"")</f>
        <v/>
      </c>
      <c r="AA252" s="27" t="n">
        <v>3500</v>
      </c>
      <c r="AB252" s="27" t="n">
        <v>122696000</v>
      </c>
      <c r="AC252" s="27" t="n">
        <v>553000000</v>
      </c>
      <c r="AD252" s="20" t="inlineStr">
        <is>
          <t>3월2주</t>
        </is>
      </c>
      <c r="AE252" s="20">
        <f>IF($K252="","출고일 미정",IF($Q252="X","작지 미발행",IF($Q252="부분","작지 일부 미발행",IF(AND($S252&lt;&gt;"",$S252&gt;$N252),"소재입고 마감("&amp;TEXT($N252,"MM/DD")&amp;") 초과",IF($Q252="","발행여부 확인 필요",IF($S252="","소재 입고일정 확인 필요","정상"))))))</f>
        <v/>
      </c>
      <c r="AF252" s="19">
        <f>IF($K252="","",IF(OR(LEFT($AE252,2)="작지",LEFT($AE252,4)="소재입고"),IF(LEFT($G252,1)="S","★ 납기위험(S코드)","◆ 지연주의"),IF($AE252="정상","✓ 정상","? 확인필요")))</f>
        <v/>
      </c>
      <c r="AG252" s="21" t="n"/>
      <c r="AH252" s="28" t="n"/>
    </row>
    <row r="253">
      <c r="A253" s="19" t="n">
        <v>249</v>
      </c>
      <c r="B253" s="20" t="inlineStr">
        <is>
          <t>김준래</t>
        </is>
      </c>
      <c r="C253" s="20" t="inlineStr">
        <is>
          <t>서은미</t>
        </is>
      </c>
      <c r="D253" s="20" t="inlineStr">
        <is>
          <t>TVSXM27582</t>
        </is>
      </c>
      <c r="E253" s="20" t="inlineStr">
        <is>
          <t>하절 여성 시어서커 후드 긴팔 셔츠</t>
        </is>
      </c>
      <c r="F253" s="20" t="inlineStr">
        <is>
          <t>OWH, GBU-4</t>
        </is>
      </c>
      <c r="G253" s="19">
        <f>IF($D253="","",IF(MID($D253,5,1)="S","S(봄)",IF(MID($D253,5,1)="M","M(여름)",IF(MID($D253,5,1)="X","X(사계절)",MID($D253,5,1)))))</f>
        <v/>
      </c>
      <c r="H253" s="20" t="inlineStr">
        <is>
          <t>완사입</t>
        </is>
      </c>
      <c r="I253" s="19" t="inlineStr"/>
      <c r="J253" s="21" t="inlineStr">
        <is>
          <t>3월2주</t>
        </is>
      </c>
      <c r="K253" s="22">
        <f>IF($J253="","",IFERROR(DATE(IF(VALUE(LEFT($J253,FIND("월",$J253)-1))&gt;=9,기준정보!$C$7-1,기준정보!$C$7),VALUE(LEFT($J253,FIND("월",$J253)-1)),1+7*(VALUE(SUBSTITUTE(MID($J253,FIND("월",$J253)+1,5),"주",""))-1)),""))</f>
        <v/>
      </c>
      <c r="L253" s="22">
        <f>IF($K253="","",IF(AND($K253-기준정보!$C$5&gt;=기준정보!$C$10,$K253-기준정보!$C$5&lt;=기준정보!$C$11),기준정보!$C$10-1,$K253-기준정보!$C$5))</f>
        <v/>
      </c>
      <c r="M253" s="23">
        <f>IF($L253="","",IF(OR(ISNUMBER(SEARCH("중국",$W253)),ISNUMBER(SEARCH("베트남",$W253))),MAX(0,MIN($L253,기준정보!$C$9)-MAX($L253-기준정보!$C$6,기준정보!$C$8)+1),IF(ISNUMBER(SEARCH("한국",$W253)),MAX(0,MIN($L253,기준정보!$C$11)-MAX($L253-기준정보!$C$6,기준정보!$C$10)+1),0)))</f>
        <v/>
      </c>
      <c r="N253" s="22">
        <f>IF($L253="","",$L253-기준정보!$C$6-$M253)</f>
        <v/>
      </c>
      <c r="O253" s="24">
        <f>IF($N253="","",$N253-기준정보!$C$4)</f>
        <v/>
      </c>
      <c r="P253" s="21" t="n"/>
      <c r="Q253" s="21" t="inlineStr">
        <is>
          <t>O</t>
        </is>
      </c>
      <c r="R253" s="19">
        <f>IF(COUNTIF(EDW_RAW!$A$2:$A$1500,$D253)=0,"",IF(COUNTIFS(EDW_RAW!$A$2:$A$1500,$D253,EDW_RAW!$U$2:$U$1500,"&lt;&gt;~",EDW_RAW!$U$2:$U$1500,"&lt;&gt;")=COUNTIF(EDW_RAW!$A$2:$A$1500,$D253),"O",IF(COUNTIFS(EDW_RAW!$A$2:$A$1500,$D253,EDW_RAW!$U$2:$U$1500,"&lt;&gt;~",EDW_RAW!$U$2:$U$1500,"&lt;&gt;")&gt;0,"부분","X")))</f>
        <v/>
      </c>
      <c r="S253" s="25" t="n"/>
      <c r="T253" s="20">
        <f>IF($H253="","",IF(AND(ISNUMBER(SEARCH("CMT",$H253)),OR(ISNUMBER(SEARCH("완사입",$H253)),ISNUMBER(SEARCH("ODM",$H253)))),"본사/생산처 혼재",IF(ISNUMBER(SEARCH("CMT",$H253)),"본사(소재팀)","생산처")))</f>
        <v/>
      </c>
      <c r="U253" s="20" t="inlineStr">
        <is>
          <t>성원</t>
        </is>
      </c>
      <c r="V253" s="20">
        <f>IFERROR(TEXTJOIN(" / ",TRUE,UNIQUE(FILTER(소재DB_RAW!$K$3:$K$2000,(소재DB_RAW!$G$3:$G$2000=$D253)*ISERROR(SEARCH("drop",소재DB_RAW!$C$3:$C$2000))))),"")</f>
        <v/>
      </c>
      <c r="W253" s="20" t="inlineStr">
        <is>
          <t>베트남</t>
        </is>
      </c>
      <c r="X253" s="20">
        <f>IFERROR(TEXTJOIN(" / ",TRUE,UNIQUE(FILTER(소재DB_RAW!$N$3:$N$2000,(소재DB_RAW!$G$3:$G$2000=$D253)*ISERROR(SEARCH("drop",소재DB_RAW!$C$3:$C$2000))))),"")</f>
        <v/>
      </c>
      <c r="Y253" s="26">
        <f>IFERROR(TEXTJOIN(CHAR(10),TRUE,UNIQUE(FILTER(소재DB_RAW!$N$3:$N$2000&amp;") "&amp;소재DB_RAW!$O$3:$O$2000,(소재DB_RAW!$G$3:$G$2000=$D253)*ISNUMBER(SEARCH("겉감",소재DB_RAW!$M$3:$M$2000))*ISERROR(SEARCH("drop",소재DB_RAW!$C$3:$C$2000))))),"")</f>
        <v/>
      </c>
      <c r="Z253" s="26">
        <f>IFERROR(TEXTJOIN(CHAR(10),TRUE,UNIQUE(FILTER(소재DB_RAW!$N$3:$N$2000&amp;") "&amp;소재DB_RAW!$O$3:$O$2000,(소재DB_RAW!$G$3:$G$2000=$D253)*ISNUMBER(SEARCH("안감",소재DB_RAW!$M$3:$M$2000))*ISERROR(SEARCH("drop",소재DB_RAW!$C$3:$C$2000))))),"")</f>
        <v/>
      </c>
      <c r="AA253" s="27" t="n">
        <v>3000</v>
      </c>
      <c r="AB253" s="27" t="n">
        <v>110343000</v>
      </c>
      <c r="AC253" s="27" t="n">
        <v>534000000</v>
      </c>
      <c r="AD253" s="20" t="inlineStr">
        <is>
          <t>3월2주</t>
        </is>
      </c>
      <c r="AE253" s="20">
        <f>IF($K253="","출고일 미정",IF($Q253="X","작지 미발행",IF($Q253="부분","작지 일부 미발행",IF(AND($S253&lt;&gt;"",$S253&gt;$N253),"소재입고 마감("&amp;TEXT($N253,"MM/DD")&amp;") 초과",IF($Q253="","발행여부 확인 필요",IF($S253="","소재 입고일정 확인 필요","정상"))))))</f>
        <v/>
      </c>
      <c r="AF253" s="19">
        <f>IF($K253="","",IF(OR(LEFT($AE253,2)="작지",LEFT($AE253,4)="소재입고"),IF(LEFT($G253,1)="S","★ 납기위험(S코드)","◆ 지연주의"),IF($AE253="정상","✓ 정상","? 확인필요")))</f>
        <v/>
      </c>
      <c r="AG253" s="21" t="n"/>
      <c r="AH253" s="28" t="n"/>
    </row>
    <row r="254">
      <c r="A254" s="19" t="n">
        <v>250</v>
      </c>
      <c r="B254" s="20" t="inlineStr">
        <is>
          <t>김준래</t>
        </is>
      </c>
      <c r="C254" s="20" t="inlineStr">
        <is>
          <t>서은미</t>
        </is>
      </c>
      <c r="D254" s="20" t="inlineStr">
        <is>
          <t>TVSXM27902</t>
        </is>
      </c>
      <c r="E254" s="20" t="inlineStr">
        <is>
          <t>유통특화_여성 체크 긴팔 셔츠</t>
        </is>
      </c>
      <c r="F254" s="20" t="inlineStr">
        <is>
          <t>WIN, MIN</t>
        </is>
      </c>
      <c r="G254" s="19">
        <f>IF($D254="","",IF(MID($D254,5,1)="S","S(봄)",IF(MID($D254,5,1)="M","M(여름)",IF(MID($D254,5,1)="X","X(사계절)",MID($D254,5,1)))))</f>
        <v/>
      </c>
      <c r="H254" s="20" t="inlineStr">
        <is>
          <t>완사입</t>
        </is>
      </c>
      <c r="I254" s="19" t="inlineStr"/>
      <c r="J254" s="21" t="inlineStr">
        <is>
          <t>3월2주</t>
        </is>
      </c>
      <c r="K254" s="22">
        <f>IF($J254="","",IFERROR(DATE(IF(VALUE(LEFT($J254,FIND("월",$J254)-1))&gt;=9,기준정보!$C$7-1,기준정보!$C$7),VALUE(LEFT($J254,FIND("월",$J254)-1)),1+7*(VALUE(SUBSTITUTE(MID($J254,FIND("월",$J254)+1,5),"주",""))-1)),""))</f>
        <v/>
      </c>
      <c r="L254" s="22">
        <f>IF($K254="","",IF(AND($K254-기준정보!$C$5&gt;=기준정보!$C$10,$K254-기준정보!$C$5&lt;=기준정보!$C$11),기준정보!$C$10-1,$K254-기준정보!$C$5))</f>
        <v/>
      </c>
      <c r="M254" s="23">
        <f>IF($L254="","",IF(OR(ISNUMBER(SEARCH("중국",$W254)),ISNUMBER(SEARCH("베트남",$W254))),MAX(0,MIN($L254,기준정보!$C$9)-MAX($L254-기준정보!$C$6,기준정보!$C$8)+1),IF(ISNUMBER(SEARCH("한국",$W254)),MAX(0,MIN($L254,기준정보!$C$11)-MAX($L254-기준정보!$C$6,기준정보!$C$10)+1),0)))</f>
        <v/>
      </c>
      <c r="N254" s="22">
        <f>IF($L254="","",$L254-기준정보!$C$6-$M254)</f>
        <v/>
      </c>
      <c r="O254" s="24">
        <f>IF($N254="","",$N254-기준정보!$C$4)</f>
        <v/>
      </c>
      <c r="P254" s="21" t="n"/>
      <c r="Q254" s="21" t="inlineStr">
        <is>
          <t>O</t>
        </is>
      </c>
      <c r="R254" s="19">
        <f>IF(COUNTIF(EDW_RAW!$A$2:$A$1500,$D254)=0,"",IF(COUNTIFS(EDW_RAW!$A$2:$A$1500,$D254,EDW_RAW!$U$2:$U$1500,"&lt;&gt;~",EDW_RAW!$U$2:$U$1500,"&lt;&gt;")=COUNTIF(EDW_RAW!$A$2:$A$1500,$D254),"O",IF(COUNTIFS(EDW_RAW!$A$2:$A$1500,$D254,EDW_RAW!$U$2:$U$1500,"&lt;&gt;~",EDW_RAW!$U$2:$U$1500,"&lt;&gt;")&gt;0,"부분","X")))</f>
        <v/>
      </c>
      <c r="S254" s="25" t="n"/>
      <c r="T254" s="20">
        <f>IF($H254="","",IF(AND(ISNUMBER(SEARCH("CMT",$H254)),OR(ISNUMBER(SEARCH("완사입",$H254)),ISNUMBER(SEARCH("ODM",$H254)))),"본사/생산처 혼재",IF(ISNUMBER(SEARCH("CMT",$H254)),"본사(소재팀)","생산처")))</f>
        <v/>
      </c>
      <c r="U254" s="20" t="inlineStr">
        <is>
          <t>픽스처</t>
        </is>
      </c>
      <c r="V254" s="20">
        <f>IFERROR(TEXTJOIN(" / ",TRUE,UNIQUE(FILTER(소재DB_RAW!$K$3:$K$2000,(소재DB_RAW!$G$3:$G$2000=$D254)*ISERROR(SEARCH("drop",소재DB_RAW!$C$3:$C$2000))))),"")</f>
        <v/>
      </c>
      <c r="W254" s="20" t="inlineStr">
        <is>
          <t>베트남</t>
        </is>
      </c>
      <c r="X254" s="20">
        <f>IFERROR(TEXTJOIN(" / ",TRUE,UNIQUE(FILTER(소재DB_RAW!$N$3:$N$2000,(소재DB_RAW!$G$3:$G$2000=$D254)*ISERROR(SEARCH("drop",소재DB_RAW!$C$3:$C$2000))))),"")</f>
        <v/>
      </c>
      <c r="Y254" s="26">
        <f>IFERROR(TEXTJOIN(CHAR(10),TRUE,UNIQUE(FILTER(소재DB_RAW!$N$3:$N$2000&amp;") "&amp;소재DB_RAW!$O$3:$O$2000,(소재DB_RAW!$G$3:$G$2000=$D254)*ISNUMBER(SEARCH("겉감",소재DB_RAW!$M$3:$M$2000))*ISERROR(SEARCH("drop",소재DB_RAW!$C$3:$C$2000))))),"")</f>
        <v/>
      </c>
      <c r="Z254" s="26">
        <f>IFERROR(TEXTJOIN(CHAR(10),TRUE,UNIQUE(FILTER(소재DB_RAW!$N$3:$N$2000&amp;") "&amp;소재DB_RAW!$O$3:$O$2000,(소재DB_RAW!$G$3:$G$2000=$D254)*ISNUMBER(SEARCH("안감",소재DB_RAW!$M$3:$M$2000))*ISERROR(SEARCH("drop",소재DB_RAW!$C$3:$C$2000))))),"")</f>
        <v/>
      </c>
      <c r="AA254" s="27" t="n">
        <v>3000</v>
      </c>
      <c r="AB254" s="27" t="n">
        <v>94791000</v>
      </c>
      <c r="AC254" s="27" t="n">
        <v>474000000</v>
      </c>
      <c r="AD254" s="20" t="n"/>
      <c r="AE254" s="20">
        <f>IF($K254="","출고일 미정",IF($Q254="X","작지 미발행",IF($Q254="부분","작지 일부 미발행",IF(AND($S254&lt;&gt;"",$S254&gt;$N254),"소재입고 마감("&amp;TEXT($N254,"MM/DD")&amp;") 초과",IF($Q254="","발행여부 확인 필요",IF($S254="","소재 입고일정 확인 필요","정상"))))))</f>
        <v/>
      </c>
      <c r="AF254" s="19">
        <f>IF($K254="","",IF(OR(LEFT($AE254,2)="작지",LEFT($AE254,4)="소재입고"),IF(LEFT($G254,1)="S","★ 납기위험(S코드)","◆ 지연주의"),IF($AE254="정상","✓ 정상","? 확인필요")))</f>
        <v/>
      </c>
      <c r="AG254" s="21" t="n"/>
      <c r="AH254" s="28" t="n"/>
    </row>
    <row r="255">
      <c r="A255" s="19" t="n">
        <v>251</v>
      </c>
      <c r="B255" s="20" t="inlineStr">
        <is>
          <t>김준래</t>
        </is>
      </c>
      <c r="C255" s="20" t="inlineStr">
        <is>
          <t>권혁일</t>
        </is>
      </c>
      <c r="D255" s="20" t="inlineStr">
        <is>
          <t>TVTCM27528</t>
        </is>
      </c>
      <c r="E255" s="20" t="inlineStr">
        <is>
          <t>하절 여성 린넨 라이크 폴로 반팔 티셔츠</t>
        </is>
      </c>
      <c r="F255" s="20" t="inlineStr">
        <is>
          <t>LPI, CRE-2</t>
        </is>
      </c>
      <c r="G255" s="19">
        <f>IF($D255="","",IF(MID($D255,5,1)="S","S(봄)",IF(MID($D255,5,1)="M","M(여름)",IF(MID($D255,5,1)="X","X(사계절)",MID($D255,5,1)))))</f>
        <v/>
      </c>
      <c r="H255" s="20" t="inlineStr">
        <is>
          <t>완사입</t>
        </is>
      </c>
      <c r="I255" s="19" t="inlineStr"/>
      <c r="J255" s="21" t="inlineStr">
        <is>
          <t>3월2주</t>
        </is>
      </c>
      <c r="K255" s="22">
        <f>IF($J255="","",IFERROR(DATE(IF(VALUE(LEFT($J255,FIND("월",$J255)-1))&gt;=9,기준정보!$C$7-1,기준정보!$C$7),VALUE(LEFT($J255,FIND("월",$J255)-1)),1+7*(VALUE(SUBSTITUTE(MID($J255,FIND("월",$J255)+1,5),"주",""))-1)),""))</f>
        <v/>
      </c>
      <c r="L255" s="22">
        <f>IF($K255="","",IF(AND($K255-기준정보!$C$5&gt;=기준정보!$C$10,$K255-기준정보!$C$5&lt;=기준정보!$C$11),기준정보!$C$10-1,$K255-기준정보!$C$5))</f>
        <v/>
      </c>
      <c r="M255" s="23">
        <f>IF($L255="","",IF(OR(ISNUMBER(SEARCH("중국",$W255)),ISNUMBER(SEARCH("베트남",$W255))),MAX(0,MIN($L255,기준정보!$C$9)-MAX($L255-기준정보!$C$6,기준정보!$C$8)+1),IF(ISNUMBER(SEARCH("한국",$W255)),MAX(0,MIN($L255,기준정보!$C$11)-MAX($L255-기준정보!$C$6,기준정보!$C$10)+1),0)))</f>
        <v/>
      </c>
      <c r="N255" s="22">
        <f>IF($L255="","",$L255-기준정보!$C$6-$M255)</f>
        <v/>
      </c>
      <c r="O255" s="24">
        <f>IF($N255="","",$N255-기준정보!$C$4)</f>
        <v/>
      </c>
      <c r="P255" s="21" t="n"/>
      <c r="Q255" s="21" t="inlineStr">
        <is>
          <t>O</t>
        </is>
      </c>
      <c r="R255" s="19">
        <f>IF(COUNTIF(EDW_RAW!$A$2:$A$1500,$D255)=0,"",IF(COUNTIFS(EDW_RAW!$A$2:$A$1500,$D255,EDW_RAW!$U$2:$U$1500,"&lt;&gt;~",EDW_RAW!$U$2:$U$1500,"&lt;&gt;")=COUNTIF(EDW_RAW!$A$2:$A$1500,$D255),"O",IF(COUNTIFS(EDW_RAW!$A$2:$A$1500,$D255,EDW_RAW!$U$2:$U$1500,"&lt;&gt;~",EDW_RAW!$U$2:$U$1500,"&lt;&gt;")&gt;0,"부분","X")))</f>
        <v/>
      </c>
      <c r="S255" s="25" t="n"/>
      <c r="T255" s="20">
        <f>IF($H255="","",IF(AND(ISNUMBER(SEARCH("CMT",$H255)),OR(ISNUMBER(SEARCH("완사입",$H255)),ISNUMBER(SEARCH("ODM",$H255)))),"본사/생산처 혼재",IF(ISNUMBER(SEARCH("CMT",$H255)),"본사(소재팀)","생산처")))</f>
        <v/>
      </c>
      <c r="U255" s="20" t="inlineStr">
        <is>
          <t>장안</t>
        </is>
      </c>
      <c r="V255" s="20">
        <f>IFERROR(TEXTJOIN(" / ",TRUE,UNIQUE(FILTER(소재DB_RAW!$K$3:$K$2000,(소재DB_RAW!$G$3:$G$2000=$D255)*ISERROR(SEARCH("drop",소재DB_RAW!$C$3:$C$2000))))),"")</f>
        <v/>
      </c>
      <c r="W255" s="20" t="inlineStr">
        <is>
          <t>베트남</t>
        </is>
      </c>
      <c r="X255" s="20">
        <f>IFERROR(TEXTJOIN(" / ",TRUE,UNIQUE(FILTER(소재DB_RAW!$N$3:$N$2000,(소재DB_RAW!$G$3:$G$2000=$D255)*ISERROR(SEARCH("drop",소재DB_RAW!$C$3:$C$2000))))),"")</f>
        <v/>
      </c>
      <c r="Y255" s="26">
        <f>IFERROR(TEXTJOIN(CHAR(10),TRUE,UNIQUE(FILTER(소재DB_RAW!$N$3:$N$2000&amp;") "&amp;소재DB_RAW!$O$3:$O$2000,(소재DB_RAW!$G$3:$G$2000=$D255)*ISNUMBER(SEARCH("겉감",소재DB_RAW!$M$3:$M$2000))*ISERROR(SEARCH("drop",소재DB_RAW!$C$3:$C$2000))))),"")</f>
        <v/>
      </c>
      <c r="Z255" s="26">
        <f>IFERROR(TEXTJOIN(CHAR(10),TRUE,UNIQUE(FILTER(소재DB_RAW!$N$3:$N$2000&amp;") "&amp;소재DB_RAW!$O$3:$O$2000,(소재DB_RAW!$G$3:$G$2000=$D255)*ISNUMBER(SEARCH("안감",소재DB_RAW!$M$3:$M$2000))*ISERROR(SEARCH("drop",소재DB_RAW!$C$3:$C$2000))))),"")</f>
        <v/>
      </c>
      <c r="AA255" s="27" t="n">
        <v>5500</v>
      </c>
      <c r="AB255" s="27" t="n">
        <v>127193000</v>
      </c>
      <c r="AC255" s="27" t="n">
        <v>649000000</v>
      </c>
      <c r="AD255" s="20" t="inlineStr">
        <is>
          <t>3월2주</t>
        </is>
      </c>
      <c r="AE255" s="20">
        <f>IF($K255="","출고일 미정",IF($Q255="X","작지 미발행",IF($Q255="부분","작지 일부 미발행",IF(AND($S255&lt;&gt;"",$S255&gt;$N255),"소재입고 마감("&amp;TEXT($N255,"MM/DD")&amp;") 초과",IF($Q255="","발행여부 확인 필요",IF($S255="","소재 입고일정 확인 필요","정상"))))))</f>
        <v/>
      </c>
      <c r="AF255" s="19">
        <f>IF($K255="","",IF(OR(LEFT($AE255,2)="작지",LEFT($AE255,4)="소재입고"),IF(LEFT($G255,1)="S","★ 납기위험(S코드)","◆ 지연주의"),IF($AE255="정상","✓ 정상","? 확인필요")))</f>
        <v/>
      </c>
      <c r="AG255" s="21" t="n"/>
      <c r="AH255" s="28" t="n"/>
    </row>
    <row r="256">
      <c r="A256" s="19" t="n">
        <v>252</v>
      </c>
      <c r="B256" s="20" t="inlineStr">
        <is>
          <t>최진민</t>
        </is>
      </c>
      <c r="C256" s="20" t="inlineStr">
        <is>
          <t>-</t>
        </is>
      </c>
      <c r="D256" s="20" t="inlineStr">
        <is>
          <t>TVTCM27552</t>
        </is>
      </c>
      <c r="E256" s="20" t="inlineStr">
        <is>
          <t>하절 여성 멀티 스트라이프 라운드 반팔 티셔츠</t>
        </is>
      </c>
      <c r="F256" s="20" t="inlineStr">
        <is>
          <t>CO1, CO2</t>
        </is>
      </c>
      <c r="G256" s="19">
        <f>IF($D256="","",IF(MID($D256,5,1)="S","S(봄)",IF(MID($D256,5,1)="M","M(여름)",IF(MID($D256,5,1)="X","X(사계절)",MID($D256,5,1)))))</f>
        <v/>
      </c>
      <c r="H256" s="20" t="inlineStr">
        <is>
          <t>완사입</t>
        </is>
      </c>
      <c r="I256" s="19" t="inlineStr"/>
      <c r="J256" s="21" t="inlineStr">
        <is>
          <t>3월2주</t>
        </is>
      </c>
      <c r="K256" s="22">
        <f>IF($J256="","",IFERROR(DATE(IF(VALUE(LEFT($J256,FIND("월",$J256)-1))&gt;=9,기준정보!$C$7-1,기준정보!$C$7),VALUE(LEFT($J256,FIND("월",$J256)-1)),1+7*(VALUE(SUBSTITUTE(MID($J256,FIND("월",$J256)+1,5),"주",""))-1)),""))</f>
        <v/>
      </c>
      <c r="L256" s="22">
        <f>IF($K256="","",IF(AND($K256-기준정보!$C$5&gt;=기준정보!$C$10,$K256-기준정보!$C$5&lt;=기준정보!$C$11),기준정보!$C$10-1,$K256-기준정보!$C$5))</f>
        <v/>
      </c>
      <c r="M256" s="23">
        <f>IF($L256="","",IF(OR(ISNUMBER(SEARCH("중국",$W256)),ISNUMBER(SEARCH("베트남",$W256))),MAX(0,MIN($L256,기준정보!$C$9)-MAX($L256-기준정보!$C$6,기준정보!$C$8)+1),IF(ISNUMBER(SEARCH("한국",$W256)),MAX(0,MIN($L256,기준정보!$C$11)-MAX($L256-기준정보!$C$6,기준정보!$C$10)+1),0)))</f>
        <v/>
      </c>
      <c r="N256" s="22">
        <f>IF($L256="","",$L256-기준정보!$C$6-$M256)</f>
        <v/>
      </c>
      <c r="O256" s="24">
        <f>IF($N256="","",$N256-기준정보!$C$4)</f>
        <v/>
      </c>
      <c r="P256" s="21" t="n"/>
      <c r="Q256" s="21" t="inlineStr">
        <is>
          <t>O</t>
        </is>
      </c>
      <c r="R256" s="19">
        <f>IF(COUNTIF(EDW_RAW!$A$2:$A$1500,$D256)=0,"",IF(COUNTIFS(EDW_RAW!$A$2:$A$1500,$D256,EDW_RAW!$U$2:$U$1500,"&lt;&gt;~",EDW_RAW!$U$2:$U$1500,"&lt;&gt;")=COUNTIF(EDW_RAW!$A$2:$A$1500,$D256),"O",IF(COUNTIFS(EDW_RAW!$A$2:$A$1500,$D256,EDW_RAW!$U$2:$U$1500,"&lt;&gt;~",EDW_RAW!$U$2:$U$1500,"&lt;&gt;")&gt;0,"부분","X")))</f>
        <v/>
      </c>
      <c r="S256" s="25" t="n"/>
      <c r="T256" s="20">
        <f>IF($H256="","",IF(AND(ISNUMBER(SEARCH("CMT",$H256)),OR(ISNUMBER(SEARCH("완사입",$H256)),ISNUMBER(SEARCH("ODM",$H256)))),"본사/생산처 혼재",IF(ISNUMBER(SEARCH("CMT",$H256)),"본사(소재팀)","생산처")))</f>
        <v/>
      </c>
      <c r="U256" s="20" t="inlineStr"/>
      <c r="V256" s="20">
        <f>IFERROR(TEXTJOIN(" / ",TRUE,UNIQUE(FILTER(소재DB_RAW!$K$3:$K$2000,(소재DB_RAW!$G$3:$G$2000=$D256)*ISERROR(SEARCH("drop",소재DB_RAW!$C$3:$C$2000))))),"")</f>
        <v/>
      </c>
      <c r="W256" s="20" t="inlineStr"/>
      <c r="X256" s="20">
        <f>IFERROR(TEXTJOIN(" / ",TRUE,UNIQUE(FILTER(소재DB_RAW!$N$3:$N$2000,(소재DB_RAW!$G$3:$G$2000=$D256)*ISERROR(SEARCH("drop",소재DB_RAW!$C$3:$C$2000))))),"")</f>
        <v/>
      </c>
      <c r="Y256" s="26">
        <f>IFERROR(TEXTJOIN(CHAR(10),TRUE,UNIQUE(FILTER(소재DB_RAW!$N$3:$N$2000&amp;") "&amp;소재DB_RAW!$O$3:$O$2000,(소재DB_RAW!$G$3:$G$2000=$D256)*ISNUMBER(SEARCH("겉감",소재DB_RAW!$M$3:$M$2000))*ISERROR(SEARCH("drop",소재DB_RAW!$C$3:$C$2000))))),"")</f>
        <v/>
      </c>
      <c r="Z256" s="26">
        <f>IFERROR(TEXTJOIN(CHAR(10),TRUE,UNIQUE(FILTER(소재DB_RAW!$N$3:$N$2000&amp;") "&amp;소재DB_RAW!$O$3:$O$2000,(소재DB_RAW!$G$3:$G$2000=$D256)*ISNUMBER(SEARCH("안감",소재DB_RAW!$M$3:$M$2000))*ISERROR(SEARCH("drop",소재DB_RAW!$C$3:$C$2000))))),"")</f>
        <v/>
      </c>
      <c r="AA256" s="27" t="n">
        <v>1500</v>
      </c>
      <c r="AB256" s="27" t="n">
        <v>31500000</v>
      </c>
      <c r="AC256" s="27" t="n">
        <v>177000000</v>
      </c>
      <c r="AD256" s="20" t="n"/>
      <c r="AE256" s="20">
        <f>IF($K256="","출고일 미정",IF($Q256="X","작지 미발행",IF($Q256="부분","작지 일부 미발행",IF(AND($S256&lt;&gt;"",$S256&gt;$N256),"소재입고 마감("&amp;TEXT($N256,"MM/DD")&amp;") 초과",IF($Q256="","발행여부 확인 필요",IF($S256="","소재 입고일정 확인 필요","정상"))))))</f>
        <v/>
      </c>
      <c r="AF256" s="19">
        <f>IF($K256="","",IF(OR(LEFT($AE256,2)="작지",LEFT($AE256,4)="소재입고"),IF(LEFT($G256,1)="S","★ 납기위험(S코드)","◆ 지연주의"),IF($AE256="정상","✓ 정상","? 확인필요")))</f>
        <v/>
      </c>
      <c r="AG256" s="21" t="n"/>
      <c r="AH256" s="28" t="n"/>
    </row>
    <row r="257">
      <c r="A257" s="19" t="n">
        <v>253</v>
      </c>
      <c r="B257" s="20" t="inlineStr">
        <is>
          <t>최진민</t>
        </is>
      </c>
      <c r="C257" s="20" t="inlineStr">
        <is>
          <t>-</t>
        </is>
      </c>
      <c r="D257" s="20" t="inlineStr">
        <is>
          <t>TVTCM27554</t>
        </is>
      </c>
      <c r="E257" s="20" t="inlineStr">
        <is>
          <t>하절 여성 스트라이프 폴로 반팔 티셔츠</t>
        </is>
      </c>
      <c r="F257" s="20" t="inlineStr">
        <is>
          <t>CO1, CO2</t>
        </is>
      </c>
      <c r="G257" s="19">
        <f>IF($D257="","",IF(MID($D257,5,1)="S","S(봄)",IF(MID($D257,5,1)="M","M(여름)",IF(MID($D257,5,1)="X","X(사계절)",MID($D257,5,1)))))</f>
        <v/>
      </c>
      <c r="H257" s="20" t="inlineStr">
        <is>
          <t>완사입</t>
        </is>
      </c>
      <c r="I257" s="19" t="inlineStr"/>
      <c r="J257" s="21" t="inlineStr">
        <is>
          <t>3월2주</t>
        </is>
      </c>
      <c r="K257" s="22">
        <f>IF($J257="","",IFERROR(DATE(IF(VALUE(LEFT($J257,FIND("월",$J257)-1))&gt;=9,기준정보!$C$7-1,기준정보!$C$7),VALUE(LEFT($J257,FIND("월",$J257)-1)),1+7*(VALUE(SUBSTITUTE(MID($J257,FIND("월",$J257)+1,5),"주",""))-1)),""))</f>
        <v/>
      </c>
      <c r="L257" s="22">
        <f>IF($K257="","",IF(AND($K257-기준정보!$C$5&gt;=기준정보!$C$10,$K257-기준정보!$C$5&lt;=기준정보!$C$11),기준정보!$C$10-1,$K257-기준정보!$C$5))</f>
        <v/>
      </c>
      <c r="M257" s="23">
        <f>IF($L257="","",IF(OR(ISNUMBER(SEARCH("중국",$W257)),ISNUMBER(SEARCH("베트남",$W257))),MAX(0,MIN($L257,기준정보!$C$9)-MAX($L257-기준정보!$C$6,기준정보!$C$8)+1),IF(ISNUMBER(SEARCH("한국",$W257)),MAX(0,MIN($L257,기준정보!$C$11)-MAX($L257-기준정보!$C$6,기준정보!$C$10)+1),0)))</f>
        <v/>
      </c>
      <c r="N257" s="22">
        <f>IF($L257="","",$L257-기준정보!$C$6-$M257)</f>
        <v/>
      </c>
      <c r="O257" s="24">
        <f>IF($N257="","",$N257-기준정보!$C$4)</f>
        <v/>
      </c>
      <c r="P257" s="21" t="n"/>
      <c r="Q257" s="21" t="inlineStr">
        <is>
          <t>O</t>
        </is>
      </c>
      <c r="R257" s="19">
        <f>IF(COUNTIF(EDW_RAW!$A$2:$A$1500,$D257)=0,"",IF(COUNTIFS(EDW_RAW!$A$2:$A$1500,$D257,EDW_RAW!$U$2:$U$1500,"&lt;&gt;~",EDW_RAW!$U$2:$U$1500,"&lt;&gt;")=COUNTIF(EDW_RAW!$A$2:$A$1500,$D257),"O",IF(COUNTIFS(EDW_RAW!$A$2:$A$1500,$D257,EDW_RAW!$U$2:$U$1500,"&lt;&gt;~",EDW_RAW!$U$2:$U$1500,"&lt;&gt;")&gt;0,"부분","X")))</f>
        <v/>
      </c>
      <c r="S257" s="25" t="n"/>
      <c r="T257" s="20">
        <f>IF($H257="","",IF(AND(ISNUMBER(SEARCH("CMT",$H257)),OR(ISNUMBER(SEARCH("완사입",$H257)),ISNUMBER(SEARCH("ODM",$H257)))),"본사/생산처 혼재",IF(ISNUMBER(SEARCH("CMT",$H257)),"본사(소재팀)","생산처")))</f>
        <v/>
      </c>
      <c r="U257" s="20" t="inlineStr"/>
      <c r="V257" s="20">
        <f>IFERROR(TEXTJOIN(" / ",TRUE,UNIQUE(FILTER(소재DB_RAW!$K$3:$K$2000,(소재DB_RAW!$G$3:$G$2000=$D257)*ISERROR(SEARCH("drop",소재DB_RAW!$C$3:$C$2000))))),"")</f>
        <v/>
      </c>
      <c r="W257" s="20" t="inlineStr"/>
      <c r="X257" s="20">
        <f>IFERROR(TEXTJOIN(" / ",TRUE,UNIQUE(FILTER(소재DB_RAW!$N$3:$N$2000,(소재DB_RAW!$G$3:$G$2000=$D257)*ISERROR(SEARCH("drop",소재DB_RAW!$C$3:$C$2000))))),"")</f>
        <v/>
      </c>
      <c r="Y257" s="26">
        <f>IFERROR(TEXTJOIN(CHAR(10),TRUE,UNIQUE(FILTER(소재DB_RAW!$N$3:$N$2000&amp;") "&amp;소재DB_RAW!$O$3:$O$2000,(소재DB_RAW!$G$3:$G$2000=$D257)*ISNUMBER(SEARCH("겉감",소재DB_RAW!$M$3:$M$2000))*ISERROR(SEARCH("drop",소재DB_RAW!$C$3:$C$2000))))),"")</f>
        <v/>
      </c>
      <c r="Z257" s="26">
        <f>IFERROR(TEXTJOIN(CHAR(10),TRUE,UNIQUE(FILTER(소재DB_RAW!$N$3:$N$2000&amp;") "&amp;소재DB_RAW!$O$3:$O$2000,(소재DB_RAW!$G$3:$G$2000=$D257)*ISNUMBER(SEARCH("안감",소재DB_RAW!$M$3:$M$2000))*ISERROR(SEARCH("drop",소재DB_RAW!$C$3:$C$2000))))),"")</f>
        <v/>
      </c>
      <c r="AA257" s="27" t="n">
        <v>2000</v>
      </c>
      <c r="AB257" s="27" t="n">
        <v>46000000</v>
      </c>
      <c r="AC257" s="27" t="n">
        <v>256000000</v>
      </c>
      <c r="AD257" s="20" t="n"/>
      <c r="AE257" s="20">
        <f>IF($K257="","출고일 미정",IF($Q257="X","작지 미발행",IF($Q257="부분","작지 일부 미발행",IF(AND($S257&lt;&gt;"",$S257&gt;$N257),"소재입고 마감("&amp;TEXT($N257,"MM/DD")&amp;") 초과",IF($Q257="","발행여부 확인 필요",IF($S257="","소재 입고일정 확인 필요","정상"))))))</f>
        <v/>
      </c>
      <c r="AF257" s="19">
        <f>IF($K257="","",IF(OR(LEFT($AE257,2)="작지",LEFT($AE257,4)="소재입고"),IF(LEFT($G257,1)="S","★ 납기위험(S코드)","◆ 지연주의"),IF($AE257="정상","✓ 정상","? 확인필요")))</f>
        <v/>
      </c>
      <c r="AG257" s="21" t="n"/>
      <c r="AH257" s="28" t="n"/>
    </row>
    <row r="258">
      <c r="A258" s="19" t="n">
        <v>254</v>
      </c>
      <c r="B258" s="20" t="inlineStr">
        <is>
          <t>문도혁</t>
        </is>
      </c>
      <c r="C258" s="20" t="inlineStr">
        <is>
          <t>정희영</t>
        </is>
      </c>
      <c r="D258" s="20" t="inlineStr">
        <is>
          <t>TVVAM27552</t>
        </is>
      </c>
      <c r="E258" s="20" t="inlineStr">
        <is>
          <t>하절 여성 메쉬 하이브리드 베스트</t>
        </is>
      </c>
      <c r="F258" s="20" t="inlineStr">
        <is>
          <t>PIS, IVO(IVORY)</t>
        </is>
      </c>
      <c r="G258" s="19">
        <f>IF($D258="","",IF(MID($D258,5,1)="S","S(봄)",IF(MID($D258,5,1)="M","M(여름)",IF(MID($D258,5,1)="X","X(사계절)",MID($D258,5,1)))))</f>
        <v/>
      </c>
      <c r="H258" s="20" t="inlineStr">
        <is>
          <t>완사입</t>
        </is>
      </c>
      <c r="I258" s="19" t="inlineStr">
        <is>
          <t>m2</t>
        </is>
      </c>
      <c r="J258" s="21" t="inlineStr">
        <is>
          <t>3월2주</t>
        </is>
      </c>
      <c r="K258" s="22">
        <f>IF($J258="","",IFERROR(DATE(IF(VALUE(LEFT($J258,FIND("월",$J258)-1))&gt;=9,기준정보!$C$7-1,기준정보!$C$7),VALUE(LEFT($J258,FIND("월",$J258)-1)),1+7*(VALUE(SUBSTITUTE(MID($J258,FIND("월",$J258)+1,5),"주",""))-1)),""))</f>
        <v/>
      </c>
      <c r="L258" s="22">
        <f>IF($K258="","",IF(AND($K258-기준정보!$C$5&gt;=기준정보!$C$10,$K258-기준정보!$C$5&lt;=기준정보!$C$11),기준정보!$C$10-1,$K258-기준정보!$C$5))</f>
        <v/>
      </c>
      <c r="M258" s="23">
        <f>IF($L258="","",IF(OR(ISNUMBER(SEARCH("중국",$W258)),ISNUMBER(SEARCH("베트남",$W258))),MAX(0,MIN($L258,기준정보!$C$9)-MAX($L258-기준정보!$C$6,기준정보!$C$8)+1),IF(ISNUMBER(SEARCH("한국",$W258)),MAX(0,MIN($L258,기준정보!$C$11)-MAX($L258-기준정보!$C$6,기준정보!$C$10)+1),0)))</f>
        <v/>
      </c>
      <c r="N258" s="22">
        <f>IF($L258="","",$L258-기준정보!$C$6-$M258)</f>
        <v/>
      </c>
      <c r="O258" s="24">
        <f>IF($N258="","",$N258-기준정보!$C$4)</f>
        <v/>
      </c>
      <c r="P258" s="21" t="n"/>
      <c r="Q258" s="21" t="inlineStr">
        <is>
          <t>O</t>
        </is>
      </c>
      <c r="R258" s="19">
        <f>IF(COUNTIF(EDW_RAW!$A$2:$A$1500,$D258)=0,"",IF(COUNTIFS(EDW_RAW!$A$2:$A$1500,$D258,EDW_RAW!$U$2:$U$1500,"&lt;&gt;~",EDW_RAW!$U$2:$U$1500,"&lt;&gt;")=COUNTIF(EDW_RAW!$A$2:$A$1500,$D258),"O",IF(COUNTIFS(EDW_RAW!$A$2:$A$1500,$D258,EDW_RAW!$U$2:$U$1500,"&lt;&gt;~",EDW_RAW!$U$2:$U$1500,"&lt;&gt;")&gt;0,"부분","X")))</f>
        <v/>
      </c>
      <c r="S258" s="25" t="n"/>
      <c r="T258" s="20">
        <f>IF($H258="","",IF(AND(ISNUMBER(SEARCH("CMT",$H258)),OR(ISNUMBER(SEARCH("완사입",$H258)),ISNUMBER(SEARCH("ODM",$H258)))),"본사/생산처 혼재",IF(ISNUMBER(SEARCH("CMT",$H258)),"본사(소재팀)","생산처")))</f>
        <v/>
      </c>
      <c r="U258" s="20" t="inlineStr">
        <is>
          <t>아이블</t>
        </is>
      </c>
      <c r="V258" s="20">
        <f>IFERROR(TEXTJOIN(" / ",TRUE,UNIQUE(FILTER(소재DB_RAW!$K$3:$K$2000,(소재DB_RAW!$G$3:$G$2000=$D258)*ISERROR(SEARCH("drop",소재DB_RAW!$C$3:$C$2000))))),"")</f>
        <v/>
      </c>
      <c r="W258" s="20" t="inlineStr">
        <is>
          <t>베트남</t>
        </is>
      </c>
      <c r="X258" s="20">
        <f>IFERROR(TEXTJOIN(" / ",TRUE,UNIQUE(FILTER(소재DB_RAW!$N$3:$N$2000,(소재DB_RAW!$G$3:$G$2000=$D258)*ISERROR(SEARCH("drop",소재DB_RAW!$C$3:$C$2000))))),"")</f>
        <v/>
      </c>
      <c r="Y258" s="26">
        <f>IFERROR(TEXTJOIN(CHAR(10),TRUE,UNIQUE(FILTER(소재DB_RAW!$N$3:$N$2000&amp;") "&amp;소재DB_RAW!$O$3:$O$2000,(소재DB_RAW!$G$3:$G$2000=$D258)*ISNUMBER(SEARCH("겉감",소재DB_RAW!$M$3:$M$2000))*ISERROR(SEARCH("drop",소재DB_RAW!$C$3:$C$2000))))),"")</f>
        <v/>
      </c>
      <c r="Z258" s="26">
        <f>IFERROR(TEXTJOIN(CHAR(10),TRUE,UNIQUE(FILTER(소재DB_RAW!$N$3:$N$2000&amp;") "&amp;소재DB_RAW!$O$3:$O$2000,(소재DB_RAW!$G$3:$G$2000=$D258)*ISNUMBER(SEARCH("안감",소재DB_RAW!$M$3:$M$2000))*ISERROR(SEARCH("drop",소재DB_RAW!$C$3:$C$2000))))),"")</f>
        <v/>
      </c>
      <c r="AA258" s="27" t="n">
        <v>2500</v>
      </c>
      <c r="AB258" s="27" t="n">
        <v>82302500</v>
      </c>
      <c r="AC258" s="27" t="n">
        <v>420000000</v>
      </c>
      <c r="AD258" s="20" t="n"/>
      <c r="AE258" s="20">
        <f>IF($K258="","출고일 미정",IF($Q258="X","작지 미발행",IF($Q258="부분","작지 일부 미발행",IF(AND($S258&lt;&gt;"",$S258&gt;$N258),"소재입고 마감("&amp;TEXT($N258,"MM/DD")&amp;") 초과",IF($Q258="","발행여부 확인 필요",IF($S258="","소재 입고일정 확인 필요","정상"))))))</f>
        <v/>
      </c>
      <c r="AF258" s="19">
        <f>IF($K258="","",IF(OR(LEFT($AE258,2)="작지",LEFT($AE258,4)="소재입고"),IF(LEFT($G258,1)="S","★ 납기위험(S코드)","◆ 지연주의"),IF($AE258="정상","✓ 정상","? 확인필요")))</f>
        <v/>
      </c>
      <c r="AG258" s="21" t="n"/>
      <c r="AH258" s="28" t="n"/>
    </row>
    <row r="259">
      <c r="A259" s="19" t="n">
        <v>255</v>
      </c>
      <c r="B259" s="20" t="inlineStr">
        <is>
          <t>이재헌</t>
        </is>
      </c>
      <c r="C259" s="20" t="inlineStr">
        <is>
          <t>엄창용</t>
        </is>
      </c>
      <c r="D259" s="20" t="inlineStr">
        <is>
          <t>JWTCM27151</t>
        </is>
      </c>
      <c r="E259" s="20" t="inlineStr">
        <is>
          <t>남성 소로나 메쉬 반팔 집업 티셔츠</t>
        </is>
      </c>
      <c r="F259" s="20" t="inlineStr">
        <is>
          <t>BLK(BLACK), WGY</t>
        </is>
      </c>
      <c r="G259" s="19">
        <f>IF($D259="","",IF(MID($D259,5,1)="S","S(봄)",IF(MID($D259,5,1)="M","M(여름)",IF(MID($D259,5,1)="X","X(사계절)",MID($D259,5,1)))))</f>
        <v/>
      </c>
      <c r="H259" s="20" t="inlineStr">
        <is>
          <t>완사입</t>
        </is>
      </c>
      <c r="I259" s="19" t="inlineStr"/>
      <c r="J259" s="21" t="inlineStr">
        <is>
          <t>3월3주</t>
        </is>
      </c>
      <c r="K259" s="22">
        <f>IF($J259="","",IFERROR(DATE(IF(VALUE(LEFT($J259,FIND("월",$J259)-1))&gt;=9,기준정보!$C$7-1,기준정보!$C$7),VALUE(LEFT($J259,FIND("월",$J259)-1)),1+7*(VALUE(SUBSTITUTE(MID($J259,FIND("월",$J259)+1,5),"주",""))-1)),""))</f>
        <v/>
      </c>
      <c r="L259" s="22">
        <f>IF($K259="","",IF(AND($K259-기준정보!$C$5&gt;=기준정보!$C$10,$K259-기준정보!$C$5&lt;=기준정보!$C$11),기준정보!$C$10-1,$K259-기준정보!$C$5))</f>
        <v/>
      </c>
      <c r="M259" s="23">
        <f>IF($L259="","",IF(OR(ISNUMBER(SEARCH("중국",$W259)),ISNUMBER(SEARCH("베트남",$W259))),MAX(0,MIN($L259,기준정보!$C$9)-MAX($L259-기준정보!$C$6,기준정보!$C$8)+1),IF(ISNUMBER(SEARCH("한국",$W259)),MAX(0,MIN($L259,기준정보!$C$11)-MAX($L259-기준정보!$C$6,기준정보!$C$10)+1),0)))</f>
        <v/>
      </c>
      <c r="N259" s="22">
        <f>IF($L259="","",$L259-기준정보!$C$6-$M259)</f>
        <v/>
      </c>
      <c r="O259" s="24">
        <f>IF($N259="","",$N259-기준정보!$C$4)</f>
        <v/>
      </c>
      <c r="P259" s="21" t="n"/>
      <c r="Q259" s="21" t="inlineStr">
        <is>
          <t>O</t>
        </is>
      </c>
      <c r="R259" s="19">
        <f>IF(COUNTIF(EDW_RAW!$A$2:$A$1500,$D259)=0,"",IF(COUNTIFS(EDW_RAW!$A$2:$A$1500,$D259,EDW_RAW!$U$2:$U$1500,"&lt;&gt;~",EDW_RAW!$U$2:$U$1500,"&lt;&gt;")=COUNTIF(EDW_RAW!$A$2:$A$1500,$D259),"O",IF(COUNTIFS(EDW_RAW!$A$2:$A$1500,$D259,EDW_RAW!$U$2:$U$1500,"&lt;&gt;~",EDW_RAW!$U$2:$U$1500,"&lt;&gt;")&gt;0,"부분","X")))</f>
        <v/>
      </c>
      <c r="S259" s="25" t="n"/>
      <c r="T259" s="20">
        <f>IF($H259="","",IF(AND(ISNUMBER(SEARCH("CMT",$H259)),OR(ISNUMBER(SEARCH("완사입",$H259)),ISNUMBER(SEARCH("ODM",$H259)))),"본사/생산처 혼재",IF(ISNUMBER(SEARCH("CMT",$H259)),"본사(소재팀)","생산처")))</f>
        <v/>
      </c>
      <c r="U259" s="20" t="inlineStr">
        <is>
          <t>IKG</t>
        </is>
      </c>
      <c r="V259" s="20">
        <f>IFERROR(TEXTJOIN(" / ",TRUE,UNIQUE(FILTER(소재DB_RAW!$K$3:$K$2000,(소재DB_RAW!$G$3:$G$2000=$D259)*ISERROR(SEARCH("drop",소재DB_RAW!$C$3:$C$2000))))),"")</f>
        <v/>
      </c>
      <c r="W259" s="20" t="inlineStr">
        <is>
          <t>인도네시아</t>
        </is>
      </c>
      <c r="X259" s="20">
        <f>IFERROR(TEXTJOIN(" / ",TRUE,UNIQUE(FILTER(소재DB_RAW!$N$3:$N$2000,(소재DB_RAW!$G$3:$G$2000=$D259)*ISERROR(SEARCH("drop",소재DB_RAW!$C$3:$C$2000))))),"")</f>
        <v/>
      </c>
      <c r="Y259" s="26">
        <f>IFERROR(TEXTJOIN(CHAR(10),TRUE,UNIQUE(FILTER(소재DB_RAW!$N$3:$N$2000&amp;") "&amp;소재DB_RAW!$O$3:$O$2000,(소재DB_RAW!$G$3:$G$2000=$D259)*ISNUMBER(SEARCH("겉감",소재DB_RAW!$M$3:$M$2000))*ISERROR(SEARCH("drop",소재DB_RAW!$C$3:$C$2000))))),"")</f>
        <v/>
      </c>
      <c r="Z259" s="26">
        <f>IFERROR(TEXTJOIN(CHAR(10),TRUE,UNIQUE(FILTER(소재DB_RAW!$N$3:$N$2000&amp;") "&amp;소재DB_RAW!$O$3:$O$2000,(소재DB_RAW!$G$3:$G$2000=$D259)*ISNUMBER(SEARCH("안감",소재DB_RAW!$M$3:$M$2000))*ISERROR(SEARCH("drop",소재DB_RAW!$C$3:$C$2000))))),"")</f>
        <v/>
      </c>
      <c r="AA259" s="27" t="n">
        <v>3000</v>
      </c>
      <c r="AB259" s="27" t="n">
        <v>56277000</v>
      </c>
      <c r="AC259" s="27" t="n">
        <v>354000000</v>
      </c>
      <c r="AD259" s="20" t="inlineStr">
        <is>
          <t>44511</t>
        </is>
      </c>
      <c r="AE259" s="20">
        <f>IF($K259="","출고일 미정",IF($Q259="X","작지 미발행",IF($Q259="부분","작지 일부 미발행",IF(AND($S259&lt;&gt;"",$S259&gt;$N259),"소재입고 마감("&amp;TEXT($N259,"MM/DD")&amp;") 초과",IF($Q259="","발행여부 확인 필요",IF($S259="","소재 입고일정 확인 필요","정상"))))))</f>
        <v/>
      </c>
      <c r="AF259" s="19">
        <f>IF($K259="","",IF(OR(LEFT($AE259,2)="작지",LEFT($AE259,4)="소재입고"),IF(LEFT($G259,1)="S","★ 납기위험(S코드)","◆ 지연주의"),IF($AE259="정상","✓ 정상","? 확인필요")))</f>
        <v/>
      </c>
      <c r="AG259" s="21" t="n"/>
      <c r="AH259" s="28" t="n"/>
    </row>
    <row r="260">
      <c r="A260" s="19" t="n">
        <v>256</v>
      </c>
      <c r="B260" s="20" t="inlineStr">
        <is>
          <t>박지인</t>
        </is>
      </c>
      <c r="C260" s="20" t="inlineStr">
        <is>
          <t>이다영</t>
        </is>
      </c>
      <c r="D260" s="20" t="inlineStr">
        <is>
          <t>JKJJM27372</t>
        </is>
      </c>
      <c r="E260" s="20" t="inlineStr">
        <is>
          <t>여성 에그라이트 방풍 재킷</t>
        </is>
      </c>
      <c r="F260" s="20" t="inlineStr">
        <is>
          <t>CRE-1, AQU(AQUA), BLK(BLACK)</t>
        </is>
      </c>
      <c r="G260" s="19">
        <f>IF($D260="","",IF(MID($D260,5,1)="S","S(봄)",IF(MID($D260,5,1)="M","M(여름)",IF(MID($D260,5,1)="X","X(사계절)",MID($D260,5,1)))))</f>
        <v/>
      </c>
      <c r="H260" s="20" t="inlineStr">
        <is>
          <t>CMT</t>
        </is>
      </c>
      <c r="I260" s="19" t="inlineStr">
        <is>
          <t>SM2</t>
        </is>
      </c>
      <c r="J260" s="21" t="inlineStr">
        <is>
          <t>3월4주</t>
        </is>
      </c>
      <c r="K260" s="22">
        <f>IF($J260="","",IFERROR(DATE(IF(VALUE(LEFT($J260,FIND("월",$J260)-1))&gt;=9,기준정보!$C$7-1,기준정보!$C$7),VALUE(LEFT($J260,FIND("월",$J260)-1)),1+7*(VALUE(SUBSTITUTE(MID($J260,FIND("월",$J260)+1,5),"주",""))-1)),""))</f>
        <v/>
      </c>
      <c r="L260" s="22">
        <f>IF($K260="","",IF(AND($K260-기준정보!$C$5&gt;=기준정보!$C$10,$K260-기준정보!$C$5&lt;=기준정보!$C$11),기준정보!$C$10-1,$K260-기준정보!$C$5))</f>
        <v/>
      </c>
      <c r="M260" s="23">
        <f>IF($L260="","",IF(OR(ISNUMBER(SEARCH("중국",$W260)),ISNUMBER(SEARCH("베트남",$W260))),MAX(0,MIN($L260,기준정보!$C$9)-MAX($L260-기준정보!$C$6,기준정보!$C$8)+1),IF(ISNUMBER(SEARCH("한국",$W260)),MAX(0,MIN($L260,기준정보!$C$11)-MAX($L260-기준정보!$C$6,기준정보!$C$10)+1),0)))</f>
        <v/>
      </c>
      <c r="N260" s="22">
        <f>IF($L260="","",$L260-기준정보!$C$6-$M260)</f>
        <v/>
      </c>
      <c r="O260" s="24">
        <f>IF($N260="","",$N260-기준정보!$C$4)</f>
        <v/>
      </c>
      <c r="P260" s="21" t="n"/>
      <c r="Q260" s="21" t="inlineStr">
        <is>
          <t>O</t>
        </is>
      </c>
      <c r="R260" s="19">
        <f>IF(COUNTIF(EDW_RAW!$A$2:$A$1500,$D260)=0,"",IF(COUNTIFS(EDW_RAW!$A$2:$A$1500,$D260,EDW_RAW!$U$2:$U$1500,"&lt;&gt;~",EDW_RAW!$U$2:$U$1500,"&lt;&gt;")=COUNTIF(EDW_RAW!$A$2:$A$1500,$D260),"O",IF(COUNTIFS(EDW_RAW!$A$2:$A$1500,$D260,EDW_RAW!$U$2:$U$1500,"&lt;&gt;~",EDW_RAW!$U$2:$U$1500,"&lt;&gt;")&gt;0,"부분","X")))</f>
        <v/>
      </c>
      <c r="S260" s="25" t="n"/>
      <c r="T260" s="20">
        <f>IF($H260="","",IF(AND(ISNUMBER(SEARCH("CMT",$H260)),OR(ISNUMBER(SEARCH("완사입",$H260)),ISNUMBER(SEARCH("ODM",$H260)))),"본사/생산처 혼재",IF(ISNUMBER(SEARCH("CMT",$H260)),"본사(소재팀)","생산처")))</f>
        <v/>
      </c>
      <c r="U260" s="20" t="inlineStr">
        <is>
          <t>포마트</t>
        </is>
      </c>
      <c r="V260" s="20">
        <f>IFERROR(TEXTJOIN(" / ",TRUE,UNIQUE(FILTER(소재DB_RAW!$K$3:$K$2000,(소재DB_RAW!$G$3:$G$2000=$D260)*ISERROR(SEARCH("drop",소재DB_RAW!$C$3:$C$2000))))),"")</f>
        <v/>
      </c>
      <c r="W260" s="20" t="inlineStr">
        <is>
          <t>베트남</t>
        </is>
      </c>
      <c r="X260" s="20">
        <f>IFERROR(TEXTJOIN(" / ",TRUE,UNIQUE(FILTER(소재DB_RAW!$N$3:$N$2000,(소재DB_RAW!$G$3:$G$2000=$D260)*ISERROR(SEARCH("drop",소재DB_RAW!$C$3:$C$2000))))),"")</f>
        <v/>
      </c>
      <c r="Y260" s="26">
        <f>IFERROR(TEXTJOIN(CHAR(10),TRUE,UNIQUE(FILTER(소재DB_RAW!$N$3:$N$2000&amp;") "&amp;소재DB_RAW!$O$3:$O$2000,(소재DB_RAW!$G$3:$G$2000=$D260)*ISNUMBER(SEARCH("겉감",소재DB_RAW!$M$3:$M$2000))*ISERROR(SEARCH("drop",소재DB_RAW!$C$3:$C$2000))))),"")</f>
        <v/>
      </c>
      <c r="Z260" s="26">
        <f>IFERROR(TEXTJOIN(CHAR(10),TRUE,UNIQUE(FILTER(소재DB_RAW!$N$3:$N$2000&amp;") "&amp;소재DB_RAW!$O$3:$O$2000,(소재DB_RAW!$G$3:$G$2000=$D260)*ISNUMBER(SEARCH("안감",소재DB_RAW!$M$3:$M$2000))*ISERROR(SEARCH("drop",소재DB_RAW!$C$3:$C$2000))))),"")</f>
        <v/>
      </c>
      <c r="AA260" s="27" t="n">
        <v>4000</v>
      </c>
      <c r="AB260" s="27" t="n">
        <v>173964000</v>
      </c>
      <c r="AC260" s="27" t="n">
        <v>880000000</v>
      </c>
      <c r="AD260" s="20" t="inlineStr">
        <is>
          <t>3월4주</t>
        </is>
      </c>
      <c r="AE260" s="20">
        <f>IF($K260="","출고일 미정",IF($Q260="X","작지 미발행",IF($Q260="부분","작지 일부 미발행",IF(AND($S260&lt;&gt;"",$S260&gt;$N260),"소재입고 마감("&amp;TEXT($N260,"MM/DD")&amp;") 초과",IF($Q260="","발행여부 확인 필요",IF($S260="","소재 입고일정 확인 필요","정상"))))))</f>
        <v/>
      </c>
      <c r="AF260" s="19">
        <f>IF($K260="","",IF(OR(LEFT($AE260,2)="작지",LEFT($AE260,4)="소재입고"),IF(LEFT($G260,1)="S","★ 납기위험(S코드)","◆ 지연주의"),IF($AE260="정상","✓ 정상","? 확인필요")))</f>
        <v/>
      </c>
      <c r="AG260" s="21" t="n"/>
      <c r="AH260" s="28" t="n"/>
    </row>
    <row r="261">
      <c r="A261" s="19" t="n">
        <v>257</v>
      </c>
      <c r="B261" s="20" t="inlineStr">
        <is>
          <t>박지인</t>
        </is>
      </c>
      <c r="C261" s="20" t="inlineStr">
        <is>
          <t>이다영</t>
        </is>
      </c>
      <c r="D261" s="20" t="inlineStr">
        <is>
          <t>JKJJM27374</t>
        </is>
      </c>
      <c r="E261" s="20" t="inlineStr">
        <is>
          <t>여성 에그라이트 방수 재킷</t>
        </is>
      </c>
      <c r="F261" s="20" t="inlineStr">
        <is>
          <t>LLI, BLK(BLACK)</t>
        </is>
      </c>
      <c r="G261" s="19">
        <f>IF($D261="","",IF(MID($D261,5,1)="S","S(봄)",IF(MID($D261,5,1)="M","M(여름)",IF(MID($D261,5,1)="X","X(사계절)",MID($D261,5,1)))))</f>
        <v/>
      </c>
      <c r="H261" s="20" t="inlineStr">
        <is>
          <t>CMT</t>
        </is>
      </c>
      <c r="I261" s="19" t="inlineStr">
        <is>
          <t>SM2</t>
        </is>
      </c>
      <c r="J261" s="21" t="inlineStr">
        <is>
          <t>3월4주</t>
        </is>
      </c>
      <c r="K261" s="22">
        <f>IF($J261="","",IFERROR(DATE(IF(VALUE(LEFT($J261,FIND("월",$J261)-1))&gt;=9,기준정보!$C$7-1,기준정보!$C$7),VALUE(LEFT($J261,FIND("월",$J261)-1)),1+7*(VALUE(SUBSTITUTE(MID($J261,FIND("월",$J261)+1,5),"주",""))-1)),""))</f>
        <v/>
      </c>
      <c r="L261" s="22">
        <f>IF($K261="","",IF(AND($K261-기준정보!$C$5&gt;=기준정보!$C$10,$K261-기준정보!$C$5&lt;=기준정보!$C$11),기준정보!$C$10-1,$K261-기준정보!$C$5))</f>
        <v/>
      </c>
      <c r="M261" s="23">
        <f>IF($L261="","",IF(OR(ISNUMBER(SEARCH("중국",$W261)),ISNUMBER(SEARCH("베트남",$W261))),MAX(0,MIN($L261,기준정보!$C$9)-MAX($L261-기준정보!$C$6,기준정보!$C$8)+1),IF(ISNUMBER(SEARCH("한국",$W261)),MAX(0,MIN($L261,기준정보!$C$11)-MAX($L261-기준정보!$C$6,기준정보!$C$10)+1),0)))</f>
        <v/>
      </c>
      <c r="N261" s="22">
        <f>IF($L261="","",$L261-기준정보!$C$6-$M261)</f>
        <v/>
      </c>
      <c r="O261" s="24">
        <f>IF($N261="","",$N261-기준정보!$C$4)</f>
        <v/>
      </c>
      <c r="P261" s="21" t="n"/>
      <c r="Q261" s="21" t="inlineStr">
        <is>
          <t>O</t>
        </is>
      </c>
      <c r="R261" s="19">
        <f>IF(COUNTIF(EDW_RAW!$A$2:$A$1500,$D261)=0,"",IF(COUNTIFS(EDW_RAW!$A$2:$A$1500,$D261,EDW_RAW!$U$2:$U$1500,"&lt;&gt;~",EDW_RAW!$U$2:$U$1500,"&lt;&gt;")=COUNTIF(EDW_RAW!$A$2:$A$1500,$D261),"O",IF(COUNTIFS(EDW_RAW!$A$2:$A$1500,$D261,EDW_RAW!$U$2:$U$1500,"&lt;&gt;~",EDW_RAW!$U$2:$U$1500,"&lt;&gt;")&gt;0,"부분","X")))</f>
        <v/>
      </c>
      <c r="S261" s="25" t="n"/>
      <c r="T261" s="20">
        <f>IF($H261="","",IF(AND(ISNUMBER(SEARCH("CMT",$H261)),OR(ISNUMBER(SEARCH("완사입",$H261)),ISNUMBER(SEARCH("ODM",$H261)))),"본사/생산처 혼재",IF(ISNUMBER(SEARCH("CMT",$H261)),"본사(소재팀)","생산처")))</f>
        <v/>
      </c>
      <c r="U261" s="20" t="inlineStr">
        <is>
          <t>포마트</t>
        </is>
      </c>
      <c r="V261" s="20">
        <f>IFERROR(TEXTJOIN(" / ",TRUE,UNIQUE(FILTER(소재DB_RAW!$K$3:$K$2000,(소재DB_RAW!$G$3:$G$2000=$D261)*ISERROR(SEARCH("drop",소재DB_RAW!$C$3:$C$2000))))),"")</f>
        <v/>
      </c>
      <c r="W261" s="20" t="inlineStr">
        <is>
          <t>베트남</t>
        </is>
      </c>
      <c r="X261" s="20">
        <f>IFERROR(TEXTJOIN(" / ",TRUE,UNIQUE(FILTER(소재DB_RAW!$N$3:$N$2000,(소재DB_RAW!$G$3:$G$2000=$D261)*ISERROR(SEARCH("drop",소재DB_RAW!$C$3:$C$2000))))),"")</f>
        <v/>
      </c>
      <c r="Y261" s="26">
        <f>IFERROR(TEXTJOIN(CHAR(10),TRUE,UNIQUE(FILTER(소재DB_RAW!$N$3:$N$2000&amp;") "&amp;소재DB_RAW!$O$3:$O$2000,(소재DB_RAW!$G$3:$G$2000=$D261)*ISNUMBER(SEARCH("겉감",소재DB_RAW!$M$3:$M$2000))*ISERROR(SEARCH("drop",소재DB_RAW!$C$3:$C$2000))))),"")</f>
        <v/>
      </c>
      <c r="Z261" s="26">
        <f>IFERROR(TEXTJOIN(CHAR(10),TRUE,UNIQUE(FILTER(소재DB_RAW!$N$3:$N$2000&amp;") "&amp;소재DB_RAW!$O$3:$O$2000,(소재DB_RAW!$G$3:$G$2000=$D261)*ISNUMBER(SEARCH("안감",소재DB_RAW!$M$3:$M$2000))*ISERROR(SEARCH("drop",소재DB_RAW!$C$3:$C$2000))))),"")</f>
        <v/>
      </c>
      <c r="AA261" s="27" t="n">
        <v>1800</v>
      </c>
      <c r="AB261" s="27" t="n">
        <v>118872000</v>
      </c>
      <c r="AC261" s="27" t="n">
        <v>630000000</v>
      </c>
      <c r="AD261" s="20" t="inlineStr">
        <is>
          <t>3월4주</t>
        </is>
      </c>
      <c r="AE261" s="20">
        <f>IF($K261="","출고일 미정",IF($Q261="X","작지 미발행",IF($Q261="부분","작지 일부 미발행",IF(AND($S261&lt;&gt;"",$S261&gt;$N261),"소재입고 마감("&amp;TEXT($N261,"MM/DD")&amp;") 초과",IF($Q261="","발행여부 확인 필요",IF($S261="","소재 입고일정 확인 필요","정상"))))))</f>
        <v/>
      </c>
      <c r="AF261" s="19">
        <f>IF($K261="","",IF(OR(LEFT($AE261,2)="작지",LEFT($AE261,4)="소재입고"),IF(LEFT($G261,1)="S","★ 납기위험(S코드)","◆ 지연주의"),IF($AE261="정상","✓ 정상","? 확인필요")))</f>
        <v/>
      </c>
      <c r="AG261" s="21" t="n"/>
      <c r="AH261" s="28" t="n"/>
    </row>
    <row r="262">
      <c r="A262" s="19" t="n">
        <v>258</v>
      </c>
      <c r="B262" s="20" t="inlineStr">
        <is>
          <t>박지인</t>
        </is>
      </c>
      <c r="C262" s="20" t="inlineStr">
        <is>
          <t>이다영</t>
        </is>
      </c>
      <c r="D262" s="20" t="inlineStr">
        <is>
          <t>JKJJM27376</t>
        </is>
      </c>
      <c r="E262" s="20" t="inlineStr">
        <is>
          <t>여성 에그라이트 스탠드넥 방풍 재킷</t>
        </is>
      </c>
      <c r="F262" s="20" t="inlineStr">
        <is>
          <t>LBE(L/BEIGE), LBL(L/BLUE)</t>
        </is>
      </c>
      <c r="G262" s="19">
        <f>IF($D262="","",IF(MID($D262,5,1)="S","S(봄)",IF(MID($D262,5,1)="M","M(여름)",IF(MID($D262,5,1)="X","X(사계절)",MID($D262,5,1)))))</f>
        <v/>
      </c>
      <c r="H262" s="20" t="inlineStr">
        <is>
          <t>CMT</t>
        </is>
      </c>
      <c r="I262" s="19" t="inlineStr">
        <is>
          <t>SM2</t>
        </is>
      </c>
      <c r="J262" s="21" t="inlineStr">
        <is>
          <t>3월4주</t>
        </is>
      </c>
      <c r="K262" s="22">
        <f>IF($J262="","",IFERROR(DATE(IF(VALUE(LEFT($J262,FIND("월",$J262)-1))&gt;=9,기준정보!$C$7-1,기준정보!$C$7),VALUE(LEFT($J262,FIND("월",$J262)-1)),1+7*(VALUE(SUBSTITUTE(MID($J262,FIND("월",$J262)+1,5),"주",""))-1)),""))</f>
        <v/>
      </c>
      <c r="L262" s="22">
        <f>IF($K262="","",IF(AND($K262-기준정보!$C$5&gt;=기준정보!$C$10,$K262-기준정보!$C$5&lt;=기준정보!$C$11),기준정보!$C$10-1,$K262-기준정보!$C$5))</f>
        <v/>
      </c>
      <c r="M262" s="23">
        <f>IF($L262="","",IF(OR(ISNUMBER(SEARCH("중국",$W262)),ISNUMBER(SEARCH("베트남",$W262))),MAX(0,MIN($L262,기준정보!$C$9)-MAX($L262-기준정보!$C$6,기준정보!$C$8)+1),IF(ISNUMBER(SEARCH("한국",$W262)),MAX(0,MIN($L262,기준정보!$C$11)-MAX($L262-기준정보!$C$6,기준정보!$C$10)+1),0)))</f>
        <v/>
      </c>
      <c r="N262" s="22">
        <f>IF($L262="","",$L262-기준정보!$C$6-$M262)</f>
        <v/>
      </c>
      <c r="O262" s="24">
        <f>IF($N262="","",$N262-기준정보!$C$4)</f>
        <v/>
      </c>
      <c r="P262" s="21" t="n"/>
      <c r="Q262" s="21" t="inlineStr">
        <is>
          <t>O</t>
        </is>
      </c>
      <c r="R262" s="19">
        <f>IF(COUNTIF(EDW_RAW!$A$2:$A$1500,$D262)=0,"",IF(COUNTIFS(EDW_RAW!$A$2:$A$1500,$D262,EDW_RAW!$U$2:$U$1500,"&lt;&gt;~",EDW_RAW!$U$2:$U$1500,"&lt;&gt;")=COUNTIF(EDW_RAW!$A$2:$A$1500,$D262),"O",IF(COUNTIFS(EDW_RAW!$A$2:$A$1500,$D262,EDW_RAW!$U$2:$U$1500,"&lt;&gt;~",EDW_RAW!$U$2:$U$1500,"&lt;&gt;")&gt;0,"부분","X")))</f>
        <v/>
      </c>
      <c r="S262" s="25" t="n"/>
      <c r="T262" s="20">
        <f>IF($H262="","",IF(AND(ISNUMBER(SEARCH("CMT",$H262)),OR(ISNUMBER(SEARCH("완사입",$H262)),ISNUMBER(SEARCH("ODM",$H262)))),"본사/생산처 혼재",IF(ISNUMBER(SEARCH("CMT",$H262)),"본사(소재팀)","생산처")))</f>
        <v/>
      </c>
      <c r="U262" s="20" t="inlineStr">
        <is>
          <t>포마트</t>
        </is>
      </c>
      <c r="V262" s="20">
        <f>IFERROR(TEXTJOIN(" / ",TRUE,UNIQUE(FILTER(소재DB_RAW!$K$3:$K$2000,(소재DB_RAW!$G$3:$G$2000=$D262)*ISERROR(SEARCH("drop",소재DB_RAW!$C$3:$C$2000))))),"")</f>
        <v/>
      </c>
      <c r="W262" s="20" t="inlineStr">
        <is>
          <t>베트남</t>
        </is>
      </c>
      <c r="X262" s="20">
        <f>IFERROR(TEXTJOIN(" / ",TRUE,UNIQUE(FILTER(소재DB_RAW!$N$3:$N$2000,(소재DB_RAW!$G$3:$G$2000=$D262)*ISERROR(SEARCH("drop",소재DB_RAW!$C$3:$C$2000))))),"")</f>
        <v/>
      </c>
      <c r="Y262" s="26">
        <f>IFERROR(TEXTJOIN(CHAR(10),TRUE,UNIQUE(FILTER(소재DB_RAW!$N$3:$N$2000&amp;") "&amp;소재DB_RAW!$O$3:$O$2000,(소재DB_RAW!$G$3:$G$2000=$D262)*ISNUMBER(SEARCH("겉감",소재DB_RAW!$M$3:$M$2000))*ISERROR(SEARCH("drop",소재DB_RAW!$C$3:$C$2000))))),"")</f>
        <v/>
      </c>
      <c r="Z262" s="26">
        <f>IFERROR(TEXTJOIN(CHAR(10),TRUE,UNIQUE(FILTER(소재DB_RAW!$N$3:$N$2000&amp;") "&amp;소재DB_RAW!$O$3:$O$2000,(소재DB_RAW!$G$3:$G$2000=$D262)*ISNUMBER(SEARCH("안감",소재DB_RAW!$M$3:$M$2000))*ISERROR(SEARCH("drop",소재DB_RAW!$C$3:$C$2000))))),"")</f>
        <v/>
      </c>
      <c r="AA262" s="27" t="n">
        <v>3000</v>
      </c>
      <c r="AB262" s="27" t="n">
        <v>119295000</v>
      </c>
      <c r="AC262" s="27" t="n">
        <v>594000000</v>
      </c>
      <c r="AD262" s="20" t="inlineStr">
        <is>
          <t>3월4주</t>
        </is>
      </c>
      <c r="AE262" s="20">
        <f>IF($K262="","출고일 미정",IF($Q262="X","작지 미발행",IF($Q262="부분","작지 일부 미발행",IF(AND($S262&lt;&gt;"",$S262&gt;$N262),"소재입고 마감("&amp;TEXT($N262,"MM/DD")&amp;") 초과",IF($Q262="","발행여부 확인 필요",IF($S262="","소재 입고일정 확인 필요","정상"))))))</f>
        <v/>
      </c>
      <c r="AF262" s="19">
        <f>IF($K262="","",IF(OR(LEFT($AE262,2)="작지",LEFT($AE262,4)="소재입고"),IF(LEFT($G262,1)="S","★ 납기위험(S코드)","◆ 지연주의"),IF($AE262="정상","✓ 정상","? 확인필요")))</f>
        <v/>
      </c>
      <c r="AG262" s="21" t="n"/>
      <c r="AH262" s="28" t="n"/>
    </row>
    <row r="263">
      <c r="A263" s="19" t="n">
        <v>259</v>
      </c>
      <c r="B263" s="20" t="inlineStr">
        <is>
          <t>박진아</t>
        </is>
      </c>
      <c r="C263" s="20" t="inlineStr">
        <is>
          <t>조이슬</t>
        </is>
      </c>
      <c r="D263" s="20" t="inlineStr">
        <is>
          <t>JKPNM27158</t>
        </is>
      </c>
      <c r="E263" s="20" t="inlineStr">
        <is>
          <t>하절 여성 레귤러핏 팬츠</t>
        </is>
      </c>
      <c r="F263" s="20" t="inlineStr">
        <is>
          <t>KHA(KHAKI), DGY(D/GRAY)</t>
        </is>
      </c>
      <c r="G263" s="19">
        <f>IF($D263="","",IF(MID($D263,5,1)="S","S(봄)",IF(MID($D263,5,1)="M","M(여름)",IF(MID($D263,5,1)="X","X(사계절)",MID($D263,5,1)))))</f>
        <v/>
      </c>
      <c r="H263" s="20" t="inlineStr">
        <is>
          <t>CMT</t>
        </is>
      </c>
      <c r="I263" s="19" t="inlineStr"/>
      <c r="J263" s="21" t="inlineStr">
        <is>
          <t>3월4주</t>
        </is>
      </c>
      <c r="K263" s="22">
        <f>IF($J263="","",IFERROR(DATE(IF(VALUE(LEFT($J263,FIND("월",$J263)-1))&gt;=9,기준정보!$C$7-1,기준정보!$C$7),VALUE(LEFT($J263,FIND("월",$J263)-1)),1+7*(VALUE(SUBSTITUTE(MID($J263,FIND("월",$J263)+1,5),"주",""))-1)),""))</f>
        <v/>
      </c>
      <c r="L263" s="22">
        <f>IF($K263="","",IF(AND($K263-기준정보!$C$5&gt;=기준정보!$C$10,$K263-기준정보!$C$5&lt;=기준정보!$C$11),기준정보!$C$10-1,$K263-기준정보!$C$5))</f>
        <v/>
      </c>
      <c r="M263" s="23">
        <f>IF($L263="","",IF(OR(ISNUMBER(SEARCH("중국",$W263)),ISNUMBER(SEARCH("베트남",$W263))),MAX(0,MIN($L263,기준정보!$C$9)-MAX($L263-기준정보!$C$6,기준정보!$C$8)+1),IF(ISNUMBER(SEARCH("한국",$W263)),MAX(0,MIN($L263,기준정보!$C$11)-MAX($L263-기준정보!$C$6,기준정보!$C$10)+1),0)))</f>
        <v/>
      </c>
      <c r="N263" s="22">
        <f>IF($L263="","",$L263-기준정보!$C$6-$M263)</f>
        <v/>
      </c>
      <c r="O263" s="24">
        <f>IF($N263="","",$N263-기준정보!$C$4)</f>
        <v/>
      </c>
      <c r="P263" s="21" t="n"/>
      <c r="Q263" s="21" t="inlineStr">
        <is>
          <t>O</t>
        </is>
      </c>
      <c r="R263" s="19">
        <f>IF(COUNTIF(EDW_RAW!$A$2:$A$1500,$D263)=0,"",IF(COUNTIFS(EDW_RAW!$A$2:$A$1500,$D263,EDW_RAW!$U$2:$U$1500,"&lt;&gt;~",EDW_RAW!$U$2:$U$1500,"&lt;&gt;")=COUNTIF(EDW_RAW!$A$2:$A$1500,$D263),"O",IF(COUNTIFS(EDW_RAW!$A$2:$A$1500,$D263,EDW_RAW!$U$2:$U$1500,"&lt;&gt;~",EDW_RAW!$U$2:$U$1500,"&lt;&gt;")&gt;0,"부분","X")))</f>
        <v/>
      </c>
      <c r="S263" s="25" t="n"/>
      <c r="T263" s="20">
        <f>IF($H263="","",IF(AND(ISNUMBER(SEARCH("CMT",$H263)),OR(ISNUMBER(SEARCH("완사입",$H263)),ISNUMBER(SEARCH("ODM",$H263)))),"본사/생산처 혼재",IF(ISNUMBER(SEARCH("CMT",$H263)),"본사(소재팀)","생산처")))</f>
        <v/>
      </c>
      <c r="U263" s="20" t="inlineStr">
        <is>
          <t>TBO</t>
        </is>
      </c>
      <c r="V263" s="20">
        <f>IFERROR(TEXTJOIN(" / ",TRUE,UNIQUE(FILTER(소재DB_RAW!$K$3:$K$2000,(소재DB_RAW!$G$3:$G$2000=$D263)*ISERROR(SEARCH("drop",소재DB_RAW!$C$3:$C$2000))))),"")</f>
        <v/>
      </c>
      <c r="W263" s="20" t="inlineStr">
        <is>
          <t>베트남</t>
        </is>
      </c>
      <c r="X263" s="20">
        <f>IFERROR(TEXTJOIN(" / ",TRUE,UNIQUE(FILTER(소재DB_RAW!$N$3:$N$2000,(소재DB_RAW!$G$3:$G$2000=$D263)*ISERROR(SEARCH("drop",소재DB_RAW!$C$3:$C$2000))))),"")</f>
        <v/>
      </c>
      <c r="Y263" s="26">
        <f>IFERROR(TEXTJOIN(CHAR(10),TRUE,UNIQUE(FILTER(소재DB_RAW!$N$3:$N$2000&amp;") "&amp;소재DB_RAW!$O$3:$O$2000,(소재DB_RAW!$G$3:$G$2000=$D263)*ISNUMBER(SEARCH("겉감",소재DB_RAW!$M$3:$M$2000))*ISERROR(SEARCH("drop",소재DB_RAW!$C$3:$C$2000))))),"")</f>
        <v/>
      </c>
      <c r="Z263" s="26">
        <f>IFERROR(TEXTJOIN(CHAR(10),TRUE,UNIQUE(FILTER(소재DB_RAW!$N$3:$N$2000&amp;") "&amp;소재DB_RAW!$O$3:$O$2000,(소재DB_RAW!$G$3:$G$2000=$D263)*ISNUMBER(SEARCH("안감",소재DB_RAW!$M$3:$M$2000))*ISERROR(SEARCH("drop",소재DB_RAW!$C$3:$C$2000))))),"")</f>
        <v/>
      </c>
      <c r="AA263" s="27" t="n">
        <v>1800</v>
      </c>
      <c r="AB263" s="27" t="n">
        <v>68529600</v>
      </c>
      <c r="AC263" s="27" t="n">
        <v>356400000</v>
      </c>
      <c r="AD263" s="20" t="inlineStr">
        <is>
          <t>3월4주</t>
        </is>
      </c>
      <c r="AE263" s="20">
        <f>IF($K263="","출고일 미정",IF($Q263="X","작지 미발행",IF($Q263="부분","작지 일부 미발행",IF(AND($S263&lt;&gt;"",$S263&gt;$N263),"소재입고 마감("&amp;TEXT($N263,"MM/DD")&amp;") 초과",IF($Q263="","발행여부 확인 필요",IF($S263="","소재 입고일정 확인 필요","정상"))))))</f>
        <v/>
      </c>
      <c r="AF263" s="19">
        <f>IF($K263="","",IF(OR(LEFT($AE263,2)="작지",LEFT($AE263,4)="소재입고"),IF(LEFT($G263,1)="S","★ 납기위험(S코드)","◆ 지연주의"),IF($AE263="정상","✓ 정상","? 확인필요")))</f>
        <v/>
      </c>
      <c r="AG263" s="21" t="n"/>
      <c r="AH263" s="28" t="n"/>
    </row>
    <row r="264">
      <c r="A264" s="19" t="n">
        <v>260</v>
      </c>
      <c r="B264" s="20" t="inlineStr">
        <is>
          <t>박진아</t>
        </is>
      </c>
      <c r="C264" s="20" t="inlineStr">
        <is>
          <t>조이슬</t>
        </is>
      </c>
      <c r="D264" s="20" t="inlineStr">
        <is>
          <t>JKPNM27172</t>
        </is>
      </c>
      <c r="E264" s="20" t="inlineStr">
        <is>
          <t>하절 여성 루즈핏 파라슈트 팬츠</t>
        </is>
      </c>
      <c r="F264" s="20" t="inlineStr">
        <is>
          <t>KHA(KHAKI), BLK(BLACK)</t>
        </is>
      </c>
      <c r="G264" s="19">
        <f>IF($D264="","",IF(MID($D264,5,1)="S","S(봄)",IF(MID($D264,5,1)="M","M(여름)",IF(MID($D264,5,1)="X","X(사계절)",MID($D264,5,1)))))</f>
        <v/>
      </c>
      <c r="H264" s="20" t="inlineStr">
        <is>
          <t>CMT</t>
        </is>
      </c>
      <c r="I264" s="19" t="inlineStr"/>
      <c r="J264" s="21" t="inlineStr">
        <is>
          <t>3월4주</t>
        </is>
      </c>
      <c r="K264" s="22">
        <f>IF($J264="","",IFERROR(DATE(IF(VALUE(LEFT($J264,FIND("월",$J264)-1))&gt;=9,기준정보!$C$7-1,기준정보!$C$7),VALUE(LEFT($J264,FIND("월",$J264)-1)),1+7*(VALUE(SUBSTITUTE(MID($J264,FIND("월",$J264)+1,5),"주",""))-1)),""))</f>
        <v/>
      </c>
      <c r="L264" s="22">
        <f>IF($K264="","",IF(AND($K264-기준정보!$C$5&gt;=기준정보!$C$10,$K264-기준정보!$C$5&lt;=기준정보!$C$11),기준정보!$C$10-1,$K264-기준정보!$C$5))</f>
        <v/>
      </c>
      <c r="M264" s="23">
        <f>IF($L264="","",IF(OR(ISNUMBER(SEARCH("중국",$W264)),ISNUMBER(SEARCH("베트남",$W264))),MAX(0,MIN($L264,기준정보!$C$9)-MAX($L264-기준정보!$C$6,기준정보!$C$8)+1),IF(ISNUMBER(SEARCH("한국",$W264)),MAX(0,MIN($L264,기준정보!$C$11)-MAX($L264-기준정보!$C$6,기준정보!$C$10)+1),0)))</f>
        <v/>
      </c>
      <c r="N264" s="22">
        <f>IF($L264="","",$L264-기준정보!$C$6-$M264)</f>
        <v/>
      </c>
      <c r="O264" s="24">
        <f>IF($N264="","",$N264-기준정보!$C$4)</f>
        <v/>
      </c>
      <c r="P264" s="21" t="n"/>
      <c r="Q264" s="21" t="inlineStr">
        <is>
          <t>O</t>
        </is>
      </c>
      <c r="R264" s="19">
        <f>IF(COUNTIF(EDW_RAW!$A$2:$A$1500,$D264)=0,"",IF(COUNTIFS(EDW_RAW!$A$2:$A$1500,$D264,EDW_RAW!$U$2:$U$1500,"&lt;&gt;~",EDW_RAW!$U$2:$U$1500,"&lt;&gt;")=COUNTIF(EDW_RAW!$A$2:$A$1500,$D264),"O",IF(COUNTIFS(EDW_RAW!$A$2:$A$1500,$D264,EDW_RAW!$U$2:$U$1500,"&lt;&gt;~",EDW_RAW!$U$2:$U$1500,"&lt;&gt;")&gt;0,"부분","X")))</f>
        <v/>
      </c>
      <c r="S264" s="25" t="n"/>
      <c r="T264" s="20">
        <f>IF($H264="","",IF(AND(ISNUMBER(SEARCH("CMT",$H264)),OR(ISNUMBER(SEARCH("완사입",$H264)),ISNUMBER(SEARCH("ODM",$H264)))),"본사/생산처 혼재",IF(ISNUMBER(SEARCH("CMT",$H264)),"본사(소재팀)","생산처")))</f>
        <v/>
      </c>
      <c r="U264" s="20" t="inlineStr">
        <is>
          <t>YIC</t>
        </is>
      </c>
      <c r="V264" s="20">
        <f>IFERROR(TEXTJOIN(" / ",TRUE,UNIQUE(FILTER(소재DB_RAW!$K$3:$K$2000,(소재DB_RAW!$G$3:$G$2000=$D264)*ISERROR(SEARCH("drop",소재DB_RAW!$C$3:$C$2000))))),"")</f>
        <v/>
      </c>
      <c r="W264" s="20" t="inlineStr">
        <is>
          <t>베트남</t>
        </is>
      </c>
      <c r="X264" s="20">
        <f>IFERROR(TEXTJOIN(" / ",TRUE,UNIQUE(FILTER(소재DB_RAW!$N$3:$N$2000,(소재DB_RAW!$G$3:$G$2000=$D264)*ISERROR(SEARCH("drop",소재DB_RAW!$C$3:$C$2000))))),"")</f>
        <v/>
      </c>
      <c r="Y264" s="26">
        <f>IFERROR(TEXTJOIN(CHAR(10),TRUE,UNIQUE(FILTER(소재DB_RAW!$N$3:$N$2000&amp;") "&amp;소재DB_RAW!$O$3:$O$2000,(소재DB_RAW!$G$3:$G$2000=$D264)*ISNUMBER(SEARCH("겉감",소재DB_RAW!$M$3:$M$2000))*ISERROR(SEARCH("drop",소재DB_RAW!$C$3:$C$2000))))),"")</f>
        <v/>
      </c>
      <c r="Z264" s="26">
        <f>IFERROR(TEXTJOIN(CHAR(10),TRUE,UNIQUE(FILTER(소재DB_RAW!$N$3:$N$2000&amp;") "&amp;소재DB_RAW!$O$3:$O$2000,(소재DB_RAW!$G$3:$G$2000=$D264)*ISNUMBER(SEARCH("안감",소재DB_RAW!$M$3:$M$2000))*ISERROR(SEARCH("drop",소재DB_RAW!$C$3:$C$2000))))),"")</f>
        <v/>
      </c>
      <c r="AA264" s="27" t="n">
        <v>3200</v>
      </c>
      <c r="AB264" s="27" t="n">
        <v>107529600</v>
      </c>
      <c r="AC264" s="27" t="n">
        <v>633600000</v>
      </c>
      <c r="AD264" s="20" t="inlineStr">
        <is>
          <t>3월4주</t>
        </is>
      </c>
      <c r="AE264" s="20">
        <f>IF($K264="","출고일 미정",IF($Q264="X","작지 미발행",IF($Q264="부분","작지 일부 미발행",IF(AND($S264&lt;&gt;"",$S264&gt;$N264),"소재입고 마감("&amp;TEXT($N264,"MM/DD")&amp;") 초과",IF($Q264="","발행여부 확인 필요",IF($S264="","소재 입고일정 확인 필요","정상"))))))</f>
        <v/>
      </c>
      <c r="AF264" s="19">
        <f>IF($K264="","",IF(OR(LEFT($AE264,2)="작지",LEFT($AE264,4)="소재입고"),IF(LEFT($G264,1)="S","★ 납기위험(S코드)","◆ 지연주의"),IF($AE264="정상","✓ 정상","? 확인필요")))</f>
        <v/>
      </c>
      <c r="AG264" s="21" t="n"/>
      <c r="AH264" s="28" t="n"/>
    </row>
    <row r="265">
      <c r="A265" s="19" t="n">
        <v>261</v>
      </c>
      <c r="B265" s="20" t="inlineStr">
        <is>
          <t>박진아</t>
        </is>
      </c>
      <c r="C265" s="20" t="inlineStr">
        <is>
          <t>조이슬</t>
        </is>
      </c>
      <c r="D265" s="20" t="inlineStr">
        <is>
          <t>JKPOM27176</t>
        </is>
      </c>
      <c r="E265" s="20" t="inlineStr">
        <is>
          <t>하절 여성 카고 쇼츠</t>
        </is>
      </c>
      <c r="F265" s="20" t="inlineStr">
        <is>
          <t>DMI(D/MINT), LSL</t>
        </is>
      </c>
      <c r="G265" s="19">
        <f>IF($D265="","",IF(MID($D265,5,1)="S","S(봄)",IF(MID($D265,5,1)="M","M(여름)",IF(MID($D265,5,1)="X","X(사계절)",MID($D265,5,1)))))</f>
        <v/>
      </c>
      <c r="H265" s="20" t="inlineStr">
        <is>
          <t>CMT</t>
        </is>
      </c>
      <c r="I265" s="19" t="inlineStr"/>
      <c r="J265" s="21" t="inlineStr">
        <is>
          <t>3월4주</t>
        </is>
      </c>
      <c r="K265" s="22">
        <f>IF($J265="","",IFERROR(DATE(IF(VALUE(LEFT($J265,FIND("월",$J265)-1))&gt;=9,기준정보!$C$7-1,기준정보!$C$7),VALUE(LEFT($J265,FIND("월",$J265)-1)),1+7*(VALUE(SUBSTITUTE(MID($J265,FIND("월",$J265)+1,5),"주",""))-1)),""))</f>
        <v/>
      </c>
      <c r="L265" s="22">
        <f>IF($K265="","",IF(AND($K265-기준정보!$C$5&gt;=기준정보!$C$10,$K265-기준정보!$C$5&lt;=기준정보!$C$11),기준정보!$C$10-1,$K265-기준정보!$C$5))</f>
        <v/>
      </c>
      <c r="M265" s="23">
        <f>IF($L265="","",IF(OR(ISNUMBER(SEARCH("중국",$W265)),ISNUMBER(SEARCH("베트남",$W265))),MAX(0,MIN($L265,기준정보!$C$9)-MAX($L265-기준정보!$C$6,기준정보!$C$8)+1),IF(ISNUMBER(SEARCH("한국",$W265)),MAX(0,MIN($L265,기준정보!$C$11)-MAX($L265-기준정보!$C$6,기준정보!$C$10)+1),0)))</f>
        <v/>
      </c>
      <c r="N265" s="22">
        <f>IF($L265="","",$L265-기준정보!$C$6-$M265)</f>
        <v/>
      </c>
      <c r="O265" s="24">
        <f>IF($N265="","",$N265-기준정보!$C$4)</f>
        <v/>
      </c>
      <c r="P265" s="21" t="n"/>
      <c r="Q265" s="21" t="inlineStr">
        <is>
          <t>O</t>
        </is>
      </c>
      <c r="R265" s="19">
        <f>IF(COUNTIF(EDW_RAW!$A$2:$A$1500,$D265)=0,"",IF(COUNTIFS(EDW_RAW!$A$2:$A$1500,$D265,EDW_RAW!$U$2:$U$1500,"&lt;&gt;~",EDW_RAW!$U$2:$U$1500,"&lt;&gt;")=COUNTIF(EDW_RAW!$A$2:$A$1500,$D265),"O",IF(COUNTIFS(EDW_RAW!$A$2:$A$1500,$D265,EDW_RAW!$U$2:$U$1500,"&lt;&gt;~",EDW_RAW!$U$2:$U$1500,"&lt;&gt;")&gt;0,"부분","X")))</f>
        <v/>
      </c>
      <c r="S265" s="25" t="n"/>
      <c r="T265" s="20">
        <f>IF($H265="","",IF(AND(ISNUMBER(SEARCH("CMT",$H265)),OR(ISNUMBER(SEARCH("완사입",$H265)),ISNUMBER(SEARCH("ODM",$H265)))),"본사/생산처 혼재",IF(ISNUMBER(SEARCH("CMT",$H265)),"본사(소재팀)","생산처")))</f>
        <v/>
      </c>
      <c r="U265" s="20" t="inlineStr">
        <is>
          <t>TBO</t>
        </is>
      </c>
      <c r="V265" s="20">
        <f>IFERROR(TEXTJOIN(" / ",TRUE,UNIQUE(FILTER(소재DB_RAW!$K$3:$K$2000,(소재DB_RAW!$G$3:$G$2000=$D265)*ISERROR(SEARCH("drop",소재DB_RAW!$C$3:$C$2000))))),"")</f>
        <v/>
      </c>
      <c r="W265" s="20" t="inlineStr">
        <is>
          <t>베트남</t>
        </is>
      </c>
      <c r="X265" s="20">
        <f>IFERROR(TEXTJOIN(" / ",TRUE,UNIQUE(FILTER(소재DB_RAW!$N$3:$N$2000,(소재DB_RAW!$G$3:$G$2000=$D265)*ISERROR(SEARCH("drop",소재DB_RAW!$C$3:$C$2000))))),"")</f>
        <v/>
      </c>
      <c r="Y265" s="26">
        <f>IFERROR(TEXTJOIN(CHAR(10),TRUE,UNIQUE(FILTER(소재DB_RAW!$N$3:$N$2000&amp;") "&amp;소재DB_RAW!$O$3:$O$2000,(소재DB_RAW!$G$3:$G$2000=$D265)*ISNUMBER(SEARCH("겉감",소재DB_RAW!$M$3:$M$2000))*ISERROR(SEARCH("drop",소재DB_RAW!$C$3:$C$2000))))),"")</f>
        <v/>
      </c>
      <c r="Z265" s="26">
        <f>IFERROR(TEXTJOIN(CHAR(10),TRUE,UNIQUE(FILTER(소재DB_RAW!$N$3:$N$2000&amp;") "&amp;소재DB_RAW!$O$3:$O$2000,(소재DB_RAW!$G$3:$G$2000=$D265)*ISNUMBER(SEARCH("안감",소재DB_RAW!$M$3:$M$2000))*ISERROR(SEARCH("drop",소재DB_RAW!$C$3:$C$2000))))),"")</f>
        <v/>
      </c>
      <c r="AA265" s="27" t="n">
        <v>1500</v>
      </c>
      <c r="AB265" s="27" t="n">
        <v>35835000</v>
      </c>
      <c r="AC265" s="27" t="n">
        <v>192000000</v>
      </c>
      <c r="AD265" s="20" t="inlineStr">
        <is>
          <t>3월4주</t>
        </is>
      </c>
      <c r="AE265" s="20">
        <f>IF($K265="","출고일 미정",IF($Q265="X","작지 미발행",IF($Q265="부분","작지 일부 미발행",IF(AND($S265&lt;&gt;"",$S265&gt;$N265),"소재입고 마감("&amp;TEXT($N265,"MM/DD")&amp;") 초과",IF($Q265="","발행여부 확인 필요",IF($S265="","소재 입고일정 확인 필요","정상"))))))</f>
        <v/>
      </c>
      <c r="AF265" s="19">
        <f>IF($K265="","",IF(OR(LEFT($AE265,2)="작지",LEFT($AE265,4)="소재입고"),IF(LEFT($G265,1)="S","★ 납기위험(S코드)","◆ 지연주의"),IF($AE265="정상","✓ 정상","? 확인필요")))</f>
        <v/>
      </c>
      <c r="AG265" s="21" t="n"/>
      <c r="AH265" s="28" t="n"/>
    </row>
    <row r="266">
      <c r="A266" s="19" t="n">
        <v>262</v>
      </c>
      <c r="B266" s="20" t="inlineStr">
        <is>
          <t>박지인</t>
        </is>
      </c>
      <c r="C266" s="20" t="inlineStr">
        <is>
          <t>이다영</t>
        </is>
      </c>
      <c r="D266" s="20" t="inlineStr">
        <is>
          <t>JKPOM27312</t>
        </is>
      </c>
      <c r="E266" s="20" t="inlineStr">
        <is>
          <t>여성 5부 레깅스</t>
        </is>
      </c>
      <c r="F266" s="20" t="inlineStr">
        <is>
          <t>BLK(BLACK)</t>
        </is>
      </c>
      <c r="G266" s="19">
        <f>IF($D266="","",IF(MID($D266,5,1)="S","S(봄)",IF(MID($D266,5,1)="M","M(여름)",IF(MID($D266,5,1)="X","X(사계절)",MID($D266,5,1)))))</f>
        <v/>
      </c>
      <c r="H266" s="20" t="inlineStr">
        <is>
          <t>완사입</t>
        </is>
      </c>
      <c r="I266" s="19" t="inlineStr">
        <is>
          <t>SM2</t>
        </is>
      </c>
      <c r="J266" s="21" t="inlineStr">
        <is>
          <t>3월4주</t>
        </is>
      </c>
      <c r="K266" s="22">
        <f>IF($J266="","",IFERROR(DATE(IF(VALUE(LEFT($J266,FIND("월",$J266)-1))&gt;=9,기준정보!$C$7-1,기준정보!$C$7),VALUE(LEFT($J266,FIND("월",$J266)-1)),1+7*(VALUE(SUBSTITUTE(MID($J266,FIND("월",$J266)+1,5),"주",""))-1)),""))</f>
        <v/>
      </c>
      <c r="L266" s="22">
        <f>IF($K266="","",IF(AND($K266-기준정보!$C$5&gt;=기준정보!$C$10,$K266-기준정보!$C$5&lt;=기준정보!$C$11),기준정보!$C$10-1,$K266-기준정보!$C$5))</f>
        <v/>
      </c>
      <c r="M266" s="23">
        <f>IF($L266="","",IF(OR(ISNUMBER(SEARCH("중국",$W266)),ISNUMBER(SEARCH("베트남",$W266))),MAX(0,MIN($L266,기준정보!$C$9)-MAX($L266-기준정보!$C$6,기준정보!$C$8)+1),IF(ISNUMBER(SEARCH("한국",$W266)),MAX(0,MIN($L266,기준정보!$C$11)-MAX($L266-기준정보!$C$6,기준정보!$C$10)+1),0)))</f>
        <v/>
      </c>
      <c r="N266" s="22">
        <f>IF($L266="","",$L266-기준정보!$C$6-$M266)</f>
        <v/>
      </c>
      <c r="O266" s="24">
        <f>IF($N266="","",$N266-기준정보!$C$4)</f>
        <v/>
      </c>
      <c r="P266" s="21" t="n"/>
      <c r="Q266" s="21" t="inlineStr">
        <is>
          <t>O</t>
        </is>
      </c>
      <c r="R266" s="19">
        <f>IF(COUNTIF(EDW_RAW!$A$2:$A$1500,$D266)=0,"",IF(COUNTIFS(EDW_RAW!$A$2:$A$1500,$D266,EDW_RAW!$U$2:$U$1500,"&lt;&gt;~",EDW_RAW!$U$2:$U$1500,"&lt;&gt;")=COUNTIF(EDW_RAW!$A$2:$A$1500,$D266),"O",IF(COUNTIFS(EDW_RAW!$A$2:$A$1500,$D266,EDW_RAW!$U$2:$U$1500,"&lt;&gt;~",EDW_RAW!$U$2:$U$1500,"&lt;&gt;")&gt;0,"부분","X")))</f>
        <v/>
      </c>
      <c r="S266" s="25" t="n"/>
      <c r="T266" s="20">
        <f>IF($H266="","",IF(AND(ISNUMBER(SEARCH("CMT",$H266)),OR(ISNUMBER(SEARCH("완사입",$H266)),ISNUMBER(SEARCH("ODM",$H266)))),"본사/생산처 혼재",IF(ISNUMBER(SEARCH("CMT",$H266)),"본사(소재팀)","생산처")))</f>
        <v/>
      </c>
      <c r="U266" s="20" t="inlineStr">
        <is>
          <t>태화</t>
        </is>
      </c>
      <c r="V266" s="20">
        <f>IFERROR(TEXTJOIN(" / ",TRUE,UNIQUE(FILTER(소재DB_RAW!$K$3:$K$2000,(소재DB_RAW!$G$3:$G$2000=$D266)*ISERROR(SEARCH("drop",소재DB_RAW!$C$3:$C$2000))))),"")</f>
        <v/>
      </c>
      <c r="W266" s="20" t="inlineStr">
        <is>
          <t>베트남</t>
        </is>
      </c>
      <c r="X266" s="20">
        <f>IFERROR(TEXTJOIN(" / ",TRUE,UNIQUE(FILTER(소재DB_RAW!$N$3:$N$2000,(소재DB_RAW!$G$3:$G$2000=$D266)*ISERROR(SEARCH("drop",소재DB_RAW!$C$3:$C$2000))))),"")</f>
        <v/>
      </c>
      <c r="Y266" s="26">
        <f>IFERROR(TEXTJOIN(CHAR(10),TRUE,UNIQUE(FILTER(소재DB_RAW!$N$3:$N$2000&amp;") "&amp;소재DB_RAW!$O$3:$O$2000,(소재DB_RAW!$G$3:$G$2000=$D266)*ISNUMBER(SEARCH("겉감",소재DB_RAW!$M$3:$M$2000))*ISERROR(SEARCH("drop",소재DB_RAW!$C$3:$C$2000))))),"")</f>
        <v/>
      </c>
      <c r="Z266" s="26">
        <f>IFERROR(TEXTJOIN(CHAR(10),TRUE,UNIQUE(FILTER(소재DB_RAW!$N$3:$N$2000&amp;") "&amp;소재DB_RAW!$O$3:$O$2000,(소재DB_RAW!$G$3:$G$2000=$D266)*ISNUMBER(SEARCH("안감",소재DB_RAW!$M$3:$M$2000))*ISERROR(SEARCH("drop",소재DB_RAW!$C$3:$C$2000))))),"")</f>
        <v/>
      </c>
      <c r="AA266" s="27" t="n">
        <v>800</v>
      </c>
      <c r="AB266" s="27" t="n">
        <v>23959200</v>
      </c>
      <c r="AC266" s="27" t="n">
        <v>94400000</v>
      </c>
      <c r="AD266" s="20" t="inlineStr">
        <is>
          <t>3월4주</t>
        </is>
      </c>
      <c r="AE266" s="20">
        <f>IF($K266="","출고일 미정",IF($Q266="X","작지 미발행",IF($Q266="부분","작지 일부 미발행",IF(AND($S266&lt;&gt;"",$S266&gt;$N266),"소재입고 마감("&amp;TEXT($N266,"MM/DD")&amp;") 초과",IF($Q266="","발행여부 확인 필요",IF($S266="","소재 입고일정 확인 필요","정상"))))))</f>
        <v/>
      </c>
      <c r="AF266" s="19">
        <f>IF($K266="","",IF(OR(LEFT($AE266,2)="작지",LEFT($AE266,4)="소재입고"),IF(LEFT($G266,1)="S","★ 납기위험(S코드)","◆ 지연주의"),IF($AE266="정상","✓ 정상","? 확인필요")))</f>
        <v/>
      </c>
      <c r="AG266" s="21" t="n"/>
      <c r="AH266" s="28" t="n"/>
    </row>
    <row r="267">
      <c r="A267" s="19" t="n">
        <v>263</v>
      </c>
      <c r="B267" s="20" t="inlineStr">
        <is>
          <t>박진아</t>
        </is>
      </c>
      <c r="C267" s="20" t="inlineStr">
        <is>
          <t>조이슬</t>
        </is>
      </c>
      <c r="D267" s="20" t="inlineStr">
        <is>
          <t>JKSCM27142</t>
        </is>
      </c>
      <c r="E267" s="20" t="inlineStr">
        <is>
          <t>하절 여성 스트링 반팔 셔츠</t>
        </is>
      </c>
      <c r="F267" s="20" t="inlineStr">
        <is>
          <t>LSL, MIN</t>
        </is>
      </c>
      <c r="G267" s="19">
        <f>IF($D267="","",IF(MID($D267,5,1)="S","S(봄)",IF(MID($D267,5,1)="M","M(여름)",IF(MID($D267,5,1)="X","X(사계절)",MID($D267,5,1)))))</f>
        <v/>
      </c>
      <c r="H267" s="20" t="inlineStr">
        <is>
          <t>완사입</t>
        </is>
      </c>
      <c r="I267" s="19" t="inlineStr"/>
      <c r="J267" s="21" t="inlineStr">
        <is>
          <t>3월4주</t>
        </is>
      </c>
      <c r="K267" s="22">
        <f>IF($J267="","",IFERROR(DATE(IF(VALUE(LEFT($J267,FIND("월",$J267)-1))&gt;=9,기준정보!$C$7-1,기준정보!$C$7),VALUE(LEFT($J267,FIND("월",$J267)-1)),1+7*(VALUE(SUBSTITUTE(MID($J267,FIND("월",$J267)+1,5),"주",""))-1)),""))</f>
        <v/>
      </c>
      <c r="L267" s="22">
        <f>IF($K267="","",IF(AND($K267-기준정보!$C$5&gt;=기준정보!$C$10,$K267-기준정보!$C$5&lt;=기준정보!$C$11),기준정보!$C$10-1,$K267-기준정보!$C$5))</f>
        <v/>
      </c>
      <c r="M267" s="23">
        <f>IF($L267="","",IF(OR(ISNUMBER(SEARCH("중국",$W267)),ISNUMBER(SEARCH("베트남",$W267))),MAX(0,MIN($L267,기준정보!$C$9)-MAX($L267-기준정보!$C$6,기준정보!$C$8)+1),IF(ISNUMBER(SEARCH("한국",$W267)),MAX(0,MIN($L267,기준정보!$C$11)-MAX($L267-기준정보!$C$6,기준정보!$C$10)+1),0)))</f>
        <v/>
      </c>
      <c r="N267" s="22">
        <f>IF($L267="","",$L267-기준정보!$C$6-$M267)</f>
        <v/>
      </c>
      <c r="O267" s="24">
        <f>IF($N267="","",$N267-기준정보!$C$4)</f>
        <v/>
      </c>
      <c r="P267" s="21" t="n"/>
      <c r="Q267" s="21" t="inlineStr">
        <is>
          <t>O</t>
        </is>
      </c>
      <c r="R267" s="19">
        <f>IF(COUNTIF(EDW_RAW!$A$2:$A$1500,$D267)=0,"",IF(COUNTIFS(EDW_RAW!$A$2:$A$1500,$D267,EDW_RAW!$U$2:$U$1500,"&lt;&gt;~",EDW_RAW!$U$2:$U$1500,"&lt;&gt;")=COUNTIF(EDW_RAW!$A$2:$A$1500,$D267),"O",IF(COUNTIFS(EDW_RAW!$A$2:$A$1500,$D267,EDW_RAW!$U$2:$U$1500,"&lt;&gt;~",EDW_RAW!$U$2:$U$1500,"&lt;&gt;")&gt;0,"부분","X")))</f>
        <v/>
      </c>
      <c r="S267" s="25" t="n"/>
      <c r="T267" s="20">
        <f>IF($H267="","",IF(AND(ISNUMBER(SEARCH("CMT",$H267)),OR(ISNUMBER(SEARCH("완사입",$H267)),ISNUMBER(SEARCH("ODM",$H267)))),"본사/생산처 혼재",IF(ISNUMBER(SEARCH("CMT",$H267)),"본사(소재팀)","생산처")))</f>
        <v/>
      </c>
      <c r="U267" s="20" t="inlineStr">
        <is>
          <t>성원</t>
        </is>
      </c>
      <c r="V267" s="20">
        <f>IFERROR(TEXTJOIN(" / ",TRUE,UNIQUE(FILTER(소재DB_RAW!$K$3:$K$2000,(소재DB_RAW!$G$3:$G$2000=$D267)*ISERROR(SEARCH("drop",소재DB_RAW!$C$3:$C$2000))))),"")</f>
        <v/>
      </c>
      <c r="W267" s="20" t="inlineStr">
        <is>
          <t>베트남</t>
        </is>
      </c>
      <c r="X267" s="20">
        <f>IFERROR(TEXTJOIN(" / ",TRUE,UNIQUE(FILTER(소재DB_RAW!$N$3:$N$2000,(소재DB_RAW!$G$3:$G$2000=$D267)*ISERROR(SEARCH("drop",소재DB_RAW!$C$3:$C$2000))))),"")</f>
        <v/>
      </c>
      <c r="Y267" s="26">
        <f>IFERROR(TEXTJOIN(CHAR(10),TRUE,UNIQUE(FILTER(소재DB_RAW!$N$3:$N$2000&amp;") "&amp;소재DB_RAW!$O$3:$O$2000,(소재DB_RAW!$G$3:$G$2000=$D267)*ISNUMBER(SEARCH("겉감",소재DB_RAW!$M$3:$M$2000))*ISERROR(SEARCH("drop",소재DB_RAW!$C$3:$C$2000))))),"")</f>
        <v/>
      </c>
      <c r="Z267" s="26">
        <f>IFERROR(TEXTJOIN(CHAR(10),TRUE,UNIQUE(FILTER(소재DB_RAW!$N$3:$N$2000&amp;") "&amp;소재DB_RAW!$O$3:$O$2000,(소재DB_RAW!$G$3:$G$2000=$D267)*ISNUMBER(SEARCH("안감",소재DB_RAW!$M$3:$M$2000))*ISERROR(SEARCH("drop",소재DB_RAW!$C$3:$C$2000))))),"")</f>
        <v/>
      </c>
      <c r="AA267" s="27" t="n">
        <v>4000</v>
      </c>
      <c r="AB267" s="27" t="n">
        <v>113600000</v>
      </c>
      <c r="AC267" s="27" t="n">
        <v>592000000</v>
      </c>
      <c r="AD267" s="20" t="inlineStr">
        <is>
          <t>3월4주</t>
        </is>
      </c>
      <c r="AE267" s="20">
        <f>IF($K267="","출고일 미정",IF($Q267="X","작지 미발행",IF($Q267="부분","작지 일부 미발행",IF(AND($S267&lt;&gt;"",$S267&gt;$N267),"소재입고 마감("&amp;TEXT($N267,"MM/DD")&amp;") 초과",IF($Q267="","발행여부 확인 필요",IF($S267="","소재 입고일정 확인 필요","정상"))))))</f>
        <v/>
      </c>
      <c r="AF267" s="19">
        <f>IF($K267="","",IF(OR(LEFT($AE267,2)="작지",LEFT($AE267,4)="소재입고"),IF(LEFT($G267,1)="S","★ 납기위험(S코드)","◆ 지연주의"),IF($AE267="정상","✓ 정상","? 확인필요")))</f>
        <v/>
      </c>
      <c r="AG267" s="21" t="n"/>
      <c r="AH267" s="28" t="n"/>
    </row>
    <row r="268">
      <c r="A268" s="19" t="n">
        <v>264</v>
      </c>
      <c r="B268" s="20" t="inlineStr">
        <is>
          <t>박진아</t>
        </is>
      </c>
      <c r="C268" s="20" t="inlineStr">
        <is>
          <t>조이슬</t>
        </is>
      </c>
      <c r="D268" s="20" t="inlineStr">
        <is>
          <t>JKSCM27184</t>
        </is>
      </c>
      <c r="E268" s="20" t="inlineStr">
        <is>
          <t>하절 여성 에어도트 반팔 셔츠</t>
        </is>
      </c>
      <c r="F268" s="20" t="inlineStr">
        <is>
          <t>WBE, BLK(BLACK)</t>
        </is>
      </c>
      <c r="G268" s="19">
        <f>IF($D268="","",IF(MID($D268,5,1)="S","S(봄)",IF(MID($D268,5,1)="M","M(여름)",IF(MID($D268,5,1)="X","X(사계절)",MID($D268,5,1)))))</f>
        <v/>
      </c>
      <c r="H268" s="20" t="inlineStr">
        <is>
          <t>완사입</t>
        </is>
      </c>
      <c r="I268" s="19" t="inlineStr"/>
      <c r="J268" s="21" t="inlineStr">
        <is>
          <t>3월4주</t>
        </is>
      </c>
      <c r="K268" s="22">
        <f>IF($J268="","",IFERROR(DATE(IF(VALUE(LEFT($J268,FIND("월",$J268)-1))&gt;=9,기준정보!$C$7-1,기준정보!$C$7),VALUE(LEFT($J268,FIND("월",$J268)-1)),1+7*(VALUE(SUBSTITUTE(MID($J268,FIND("월",$J268)+1,5),"주",""))-1)),""))</f>
        <v/>
      </c>
      <c r="L268" s="22">
        <f>IF($K268="","",IF(AND($K268-기준정보!$C$5&gt;=기준정보!$C$10,$K268-기준정보!$C$5&lt;=기준정보!$C$11),기준정보!$C$10-1,$K268-기준정보!$C$5))</f>
        <v/>
      </c>
      <c r="M268" s="23">
        <f>IF($L268="","",IF(OR(ISNUMBER(SEARCH("중국",$W268)),ISNUMBER(SEARCH("베트남",$W268))),MAX(0,MIN($L268,기준정보!$C$9)-MAX($L268-기준정보!$C$6,기준정보!$C$8)+1),IF(ISNUMBER(SEARCH("한국",$W268)),MAX(0,MIN($L268,기준정보!$C$11)-MAX($L268-기준정보!$C$6,기준정보!$C$10)+1),0)))</f>
        <v/>
      </c>
      <c r="N268" s="22">
        <f>IF($L268="","",$L268-기준정보!$C$6-$M268)</f>
        <v/>
      </c>
      <c r="O268" s="24">
        <f>IF($N268="","",$N268-기준정보!$C$4)</f>
        <v/>
      </c>
      <c r="P268" s="21" t="n"/>
      <c r="Q268" s="21" t="inlineStr">
        <is>
          <t>O</t>
        </is>
      </c>
      <c r="R268" s="19">
        <f>IF(COUNTIF(EDW_RAW!$A$2:$A$1500,$D268)=0,"",IF(COUNTIFS(EDW_RAW!$A$2:$A$1500,$D268,EDW_RAW!$U$2:$U$1500,"&lt;&gt;~",EDW_RAW!$U$2:$U$1500,"&lt;&gt;")=COUNTIF(EDW_RAW!$A$2:$A$1500,$D268),"O",IF(COUNTIFS(EDW_RAW!$A$2:$A$1500,$D268,EDW_RAW!$U$2:$U$1500,"&lt;&gt;~",EDW_RAW!$U$2:$U$1500,"&lt;&gt;")&gt;0,"부분","X")))</f>
        <v/>
      </c>
      <c r="S268" s="25" t="n"/>
      <c r="T268" s="20">
        <f>IF($H268="","",IF(AND(ISNUMBER(SEARCH("CMT",$H268)),OR(ISNUMBER(SEARCH("완사입",$H268)),ISNUMBER(SEARCH("ODM",$H268)))),"본사/생산처 혼재",IF(ISNUMBER(SEARCH("CMT",$H268)),"본사(소재팀)","생산처")))</f>
        <v/>
      </c>
      <c r="U268" s="20" t="inlineStr">
        <is>
          <t>성원</t>
        </is>
      </c>
      <c r="V268" s="20">
        <f>IFERROR(TEXTJOIN(" / ",TRUE,UNIQUE(FILTER(소재DB_RAW!$K$3:$K$2000,(소재DB_RAW!$G$3:$G$2000=$D268)*ISERROR(SEARCH("drop",소재DB_RAW!$C$3:$C$2000))))),"")</f>
        <v/>
      </c>
      <c r="W268" s="20" t="inlineStr">
        <is>
          <t>베트남</t>
        </is>
      </c>
      <c r="X268" s="20">
        <f>IFERROR(TEXTJOIN(" / ",TRUE,UNIQUE(FILTER(소재DB_RAW!$N$3:$N$2000,(소재DB_RAW!$G$3:$G$2000=$D268)*ISERROR(SEARCH("drop",소재DB_RAW!$C$3:$C$2000))))),"")</f>
        <v/>
      </c>
      <c r="Y268" s="26">
        <f>IFERROR(TEXTJOIN(CHAR(10),TRUE,UNIQUE(FILTER(소재DB_RAW!$N$3:$N$2000&amp;") "&amp;소재DB_RAW!$O$3:$O$2000,(소재DB_RAW!$G$3:$G$2000=$D268)*ISNUMBER(SEARCH("겉감",소재DB_RAW!$M$3:$M$2000))*ISERROR(SEARCH("drop",소재DB_RAW!$C$3:$C$2000))))),"")</f>
        <v/>
      </c>
      <c r="Z268" s="26">
        <f>IFERROR(TEXTJOIN(CHAR(10),TRUE,UNIQUE(FILTER(소재DB_RAW!$N$3:$N$2000&amp;") "&amp;소재DB_RAW!$O$3:$O$2000,(소재DB_RAW!$G$3:$G$2000=$D268)*ISNUMBER(SEARCH("안감",소재DB_RAW!$M$3:$M$2000))*ISERROR(SEARCH("drop",소재DB_RAW!$C$3:$C$2000))))),"")</f>
        <v/>
      </c>
      <c r="AA268" s="27" t="n">
        <v>2000</v>
      </c>
      <c r="AB268" s="27" t="n">
        <v>55000000</v>
      </c>
      <c r="AC268" s="27" t="n">
        <v>296000000</v>
      </c>
      <c r="AD268" s="20" t="inlineStr">
        <is>
          <t>3월4주</t>
        </is>
      </c>
      <c r="AE268" s="20">
        <f>IF($K268="","출고일 미정",IF($Q268="X","작지 미발행",IF($Q268="부분","작지 일부 미발행",IF(AND($S268&lt;&gt;"",$S268&gt;$N268),"소재입고 마감("&amp;TEXT($N268,"MM/DD")&amp;") 초과",IF($Q268="","발행여부 확인 필요",IF($S268="","소재 입고일정 확인 필요","정상"))))))</f>
        <v/>
      </c>
      <c r="AF268" s="19">
        <f>IF($K268="","",IF(OR(LEFT($AE268,2)="작지",LEFT($AE268,4)="소재입고"),IF(LEFT($G268,1)="S","★ 납기위험(S코드)","◆ 지연주의"),IF($AE268="정상","✓ 정상","? 확인필요")))</f>
        <v/>
      </c>
      <c r="AG268" s="21" t="n"/>
      <c r="AH268" s="28" t="n"/>
    </row>
    <row r="269">
      <c r="A269" s="19" t="n">
        <v>265</v>
      </c>
      <c r="B269" s="20" t="inlineStr">
        <is>
          <t>박지인</t>
        </is>
      </c>
      <c r="C269" s="20" t="inlineStr">
        <is>
          <t>이다영</t>
        </is>
      </c>
      <c r="D269" s="20" t="inlineStr">
        <is>
          <t>JKTBM27302</t>
        </is>
      </c>
      <c r="E269" s="20" t="inlineStr">
        <is>
          <t>여성 썬 후디 긴팔 티셔츠</t>
        </is>
      </c>
      <c r="F269" s="20" t="inlineStr">
        <is>
          <t>ABL(A/BLUE), SGY</t>
        </is>
      </c>
      <c r="G269" s="19">
        <f>IF($D269="","",IF(MID($D269,5,1)="S","S(봄)",IF(MID($D269,5,1)="M","M(여름)",IF(MID($D269,5,1)="X","X(사계절)",MID($D269,5,1)))))</f>
        <v/>
      </c>
      <c r="H269" s="20" t="inlineStr">
        <is>
          <t>완사입</t>
        </is>
      </c>
      <c r="I269" s="19" t="inlineStr">
        <is>
          <t>SM2</t>
        </is>
      </c>
      <c r="J269" s="21" t="inlineStr">
        <is>
          <t>3월4주</t>
        </is>
      </c>
      <c r="K269" s="22">
        <f>IF($J269="","",IFERROR(DATE(IF(VALUE(LEFT($J269,FIND("월",$J269)-1))&gt;=9,기준정보!$C$7-1,기준정보!$C$7),VALUE(LEFT($J269,FIND("월",$J269)-1)),1+7*(VALUE(SUBSTITUTE(MID($J269,FIND("월",$J269)+1,5),"주",""))-1)),""))</f>
        <v/>
      </c>
      <c r="L269" s="22">
        <f>IF($K269="","",IF(AND($K269-기준정보!$C$5&gt;=기준정보!$C$10,$K269-기준정보!$C$5&lt;=기준정보!$C$11),기준정보!$C$10-1,$K269-기준정보!$C$5))</f>
        <v/>
      </c>
      <c r="M269" s="23">
        <f>IF($L269="","",IF(OR(ISNUMBER(SEARCH("중국",$W269)),ISNUMBER(SEARCH("베트남",$W269))),MAX(0,MIN($L269,기준정보!$C$9)-MAX($L269-기준정보!$C$6,기준정보!$C$8)+1),IF(ISNUMBER(SEARCH("한국",$W269)),MAX(0,MIN($L269,기준정보!$C$11)-MAX($L269-기준정보!$C$6,기준정보!$C$10)+1),0)))</f>
        <v/>
      </c>
      <c r="N269" s="22">
        <f>IF($L269="","",$L269-기준정보!$C$6-$M269)</f>
        <v/>
      </c>
      <c r="O269" s="24">
        <f>IF($N269="","",$N269-기준정보!$C$4)</f>
        <v/>
      </c>
      <c r="P269" s="21" t="n"/>
      <c r="Q269" s="21" t="inlineStr">
        <is>
          <t>O</t>
        </is>
      </c>
      <c r="R269" s="19">
        <f>IF(COUNTIF(EDW_RAW!$A$2:$A$1500,$D269)=0,"",IF(COUNTIFS(EDW_RAW!$A$2:$A$1500,$D269,EDW_RAW!$U$2:$U$1500,"&lt;&gt;~",EDW_RAW!$U$2:$U$1500,"&lt;&gt;")=COUNTIF(EDW_RAW!$A$2:$A$1500,$D269),"O",IF(COUNTIFS(EDW_RAW!$A$2:$A$1500,$D269,EDW_RAW!$U$2:$U$1500,"&lt;&gt;~",EDW_RAW!$U$2:$U$1500,"&lt;&gt;")&gt;0,"부분","X")))</f>
        <v/>
      </c>
      <c r="S269" s="25" t="n"/>
      <c r="T269" s="20">
        <f>IF($H269="","",IF(AND(ISNUMBER(SEARCH("CMT",$H269)),OR(ISNUMBER(SEARCH("완사입",$H269)),ISNUMBER(SEARCH("ODM",$H269)))),"본사/생산처 혼재",IF(ISNUMBER(SEARCH("CMT",$H269)),"본사(소재팀)","생산처")))</f>
        <v/>
      </c>
      <c r="U269" s="20" t="inlineStr">
        <is>
          <t>장안</t>
        </is>
      </c>
      <c r="V269" s="20">
        <f>IFERROR(TEXTJOIN(" / ",TRUE,UNIQUE(FILTER(소재DB_RAW!$K$3:$K$2000,(소재DB_RAW!$G$3:$G$2000=$D269)*ISERROR(SEARCH("drop",소재DB_RAW!$C$3:$C$2000))))),"")</f>
        <v/>
      </c>
      <c r="W269" s="20" t="inlineStr">
        <is>
          <t>베트남</t>
        </is>
      </c>
      <c r="X269" s="20">
        <f>IFERROR(TEXTJOIN(" / ",TRUE,UNIQUE(FILTER(소재DB_RAW!$N$3:$N$2000,(소재DB_RAW!$G$3:$G$2000=$D269)*ISERROR(SEARCH("drop",소재DB_RAW!$C$3:$C$2000))))),"")</f>
        <v/>
      </c>
      <c r="Y269" s="26">
        <f>IFERROR(TEXTJOIN(CHAR(10),TRUE,UNIQUE(FILTER(소재DB_RAW!$N$3:$N$2000&amp;") "&amp;소재DB_RAW!$O$3:$O$2000,(소재DB_RAW!$G$3:$G$2000=$D269)*ISNUMBER(SEARCH("겉감",소재DB_RAW!$M$3:$M$2000))*ISERROR(SEARCH("drop",소재DB_RAW!$C$3:$C$2000))))),"")</f>
        <v/>
      </c>
      <c r="Z269" s="26">
        <f>IFERROR(TEXTJOIN(CHAR(10),TRUE,UNIQUE(FILTER(소재DB_RAW!$N$3:$N$2000&amp;") "&amp;소재DB_RAW!$O$3:$O$2000,(소재DB_RAW!$G$3:$G$2000=$D269)*ISNUMBER(SEARCH("안감",소재DB_RAW!$M$3:$M$2000))*ISERROR(SEARCH("drop",소재DB_RAW!$C$3:$C$2000))))),"")</f>
        <v/>
      </c>
      <c r="AA269" s="27" t="n">
        <v>1600</v>
      </c>
      <c r="AB269" s="27" t="n">
        <v>51097600</v>
      </c>
      <c r="AC269" s="27" t="n">
        <v>252800000</v>
      </c>
      <c r="AD269" s="20" t="inlineStr">
        <is>
          <t>3월4주</t>
        </is>
      </c>
      <c r="AE269" s="20">
        <f>IF($K269="","출고일 미정",IF($Q269="X","작지 미발행",IF($Q269="부분","작지 일부 미발행",IF(AND($S269&lt;&gt;"",$S269&gt;$N269),"소재입고 마감("&amp;TEXT($N269,"MM/DD")&amp;") 초과",IF($Q269="","발행여부 확인 필요",IF($S269="","소재 입고일정 확인 필요","정상"))))))</f>
        <v/>
      </c>
      <c r="AF269" s="19">
        <f>IF($K269="","",IF(OR(LEFT($AE269,2)="작지",LEFT($AE269,4)="소재입고"),IF(LEFT($G269,1)="S","★ 납기위험(S코드)","◆ 지연주의"),IF($AE269="정상","✓ 정상","? 확인필요")))</f>
        <v/>
      </c>
      <c r="AG269" s="21" t="n"/>
      <c r="AH269" s="28" t="n"/>
    </row>
    <row r="270">
      <c r="A270" s="19" t="n">
        <v>266</v>
      </c>
      <c r="B270" s="20" t="inlineStr">
        <is>
          <t>박지인</t>
        </is>
      </c>
      <c r="C270" s="20" t="inlineStr">
        <is>
          <t>이다영</t>
        </is>
      </c>
      <c r="D270" s="20" t="inlineStr">
        <is>
          <t>JKTBM27312</t>
        </is>
      </c>
      <c r="E270" s="20" t="inlineStr">
        <is>
          <t>여성 패커블 그래픽 긴팔 티셔츠</t>
        </is>
      </c>
      <c r="F270" s="20" t="inlineStr">
        <is>
          <t>BLK(BLACK), CRE-1</t>
        </is>
      </c>
      <c r="G270" s="19">
        <f>IF($D270="","",IF(MID($D270,5,1)="S","S(봄)",IF(MID($D270,5,1)="M","M(여름)",IF(MID($D270,5,1)="X","X(사계절)",MID($D270,5,1)))))</f>
        <v/>
      </c>
      <c r="H270" s="20" t="inlineStr">
        <is>
          <t>완사입</t>
        </is>
      </c>
      <c r="I270" s="19" t="inlineStr">
        <is>
          <t>SM2</t>
        </is>
      </c>
      <c r="J270" s="21" t="inlineStr">
        <is>
          <t>3월4주</t>
        </is>
      </c>
      <c r="K270" s="22">
        <f>IF($J270="","",IFERROR(DATE(IF(VALUE(LEFT($J270,FIND("월",$J270)-1))&gt;=9,기준정보!$C$7-1,기준정보!$C$7),VALUE(LEFT($J270,FIND("월",$J270)-1)),1+7*(VALUE(SUBSTITUTE(MID($J270,FIND("월",$J270)+1,5),"주",""))-1)),""))</f>
        <v/>
      </c>
      <c r="L270" s="22">
        <f>IF($K270="","",IF(AND($K270-기준정보!$C$5&gt;=기준정보!$C$10,$K270-기준정보!$C$5&lt;=기준정보!$C$11),기준정보!$C$10-1,$K270-기준정보!$C$5))</f>
        <v/>
      </c>
      <c r="M270" s="23">
        <f>IF($L270="","",IF(OR(ISNUMBER(SEARCH("중국",$W270)),ISNUMBER(SEARCH("베트남",$W270))),MAX(0,MIN($L270,기준정보!$C$9)-MAX($L270-기준정보!$C$6,기준정보!$C$8)+1),IF(ISNUMBER(SEARCH("한국",$W270)),MAX(0,MIN($L270,기준정보!$C$11)-MAX($L270-기준정보!$C$6,기준정보!$C$10)+1),0)))</f>
        <v/>
      </c>
      <c r="N270" s="22">
        <f>IF($L270="","",$L270-기준정보!$C$6-$M270)</f>
        <v/>
      </c>
      <c r="O270" s="24">
        <f>IF($N270="","",$N270-기준정보!$C$4)</f>
        <v/>
      </c>
      <c r="P270" s="21" t="n"/>
      <c r="Q270" s="21" t="inlineStr">
        <is>
          <t>O</t>
        </is>
      </c>
      <c r="R270" s="19">
        <f>IF(COUNTIF(EDW_RAW!$A$2:$A$1500,$D270)=0,"",IF(COUNTIFS(EDW_RAW!$A$2:$A$1500,$D270,EDW_RAW!$U$2:$U$1500,"&lt;&gt;~",EDW_RAW!$U$2:$U$1500,"&lt;&gt;")=COUNTIF(EDW_RAW!$A$2:$A$1500,$D270),"O",IF(COUNTIFS(EDW_RAW!$A$2:$A$1500,$D270,EDW_RAW!$U$2:$U$1500,"&lt;&gt;~",EDW_RAW!$U$2:$U$1500,"&lt;&gt;")&gt;0,"부분","X")))</f>
        <v/>
      </c>
      <c r="S270" s="25" t="n"/>
      <c r="T270" s="20">
        <f>IF($H270="","",IF(AND(ISNUMBER(SEARCH("CMT",$H270)),OR(ISNUMBER(SEARCH("완사입",$H270)),ISNUMBER(SEARCH("ODM",$H270)))),"본사/생산처 혼재",IF(ISNUMBER(SEARCH("CMT",$H270)),"본사(소재팀)","생산처")))</f>
        <v/>
      </c>
      <c r="U270" s="20" t="inlineStr">
        <is>
          <t>IKG</t>
        </is>
      </c>
      <c r="V270" s="20">
        <f>IFERROR(TEXTJOIN(" / ",TRUE,UNIQUE(FILTER(소재DB_RAW!$K$3:$K$2000,(소재DB_RAW!$G$3:$G$2000=$D270)*ISERROR(SEARCH("drop",소재DB_RAW!$C$3:$C$2000))))),"")</f>
        <v/>
      </c>
      <c r="W270" s="20" t="inlineStr">
        <is>
          <t>인도네시아</t>
        </is>
      </c>
      <c r="X270" s="20">
        <f>IFERROR(TEXTJOIN(" / ",TRUE,UNIQUE(FILTER(소재DB_RAW!$N$3:$N$2000,(소재DB_RAW!$G$3:$G$2000=$D270)*ISERROR(SEARCH("drop",소재DB_RAW!$C$3:$C$2000))))),"")</f>
        <v/>
      </c>
      <c r="Y270" s="26">
        <f>IFERROR(TEXTJOIN(CHAR(10),TRUE,UNIQUE(FILTER(소재DB_RAW!$N$3:$N$2000&amp;") "&amp;소재DB_RAW!$O$3:$O$2000,(소재DB_RAW!$G$3:$G$2000=$D270)*ISNUMBER(SEARCH("겉감",소재DB_RAW!$M$3:$M$2000))*ISERROR(SEARCH("drop",소재DB_RAW!$C$3:$C$2000))))),"")</f>
        <v/>
      </c>
      <c r="Z270" s="26">
        <f>IFERROR(TEXTJOIN(CHAR(10),TRUE,UNIQUE(FILTER(소재DB_RAW!$N$3:$N$2000&amp;") "&amp;소재DB_RAW!$O$3:$O$2000,(소재DB_RAW!$G$3:$G$2000=$D270)*ISNUMBER(SEARCH("안감",소재DB_RAW!$M$3:$M$2000))*ISERROR(SEARCH("drop",소재DB_RAW!$C$3:$C$2000))))),"")</f>
        <v/>
      </c>
      <c r="AA270" s="27" t="n">
        <v>1200</v>
      </c>
      <c r="AB270" s="27" t="n">
        <v>29907600</v>
      </c>
      <c r="AC270" s="27" t="n">
        <v>153600000</v>
      </c>
      <c r="AD270" s="20" t="inlineStr">
        <is>
          <t>3월4주</t>
        </is>
      </c>
      <c r="AE270" s="20">
        <f>IF($K270="","출고일 미정",IF($Q270="X","작지 미발행",IF($Q270="부분","작지 일부 미발행",IF(AND($S270&lt;&gt;"",$S270&gt;$N270),"소재입고 마감("&amp;TEXT($N270,"MM/DD")&amp;") 초과",IF($Q270="","발행여부 확인 필요",IF($S270="","소재 입고일정 확인 필요","정상"))))))</f>
        <v/>
      </c>
      <c r="AF270" s="19">
        <f>IF($K270="","",IF(OR(LEFT($AE270,2)="작지",LEFT($AE270,4)="소재입고"),IF(LEFT($G270,1)="S","★ 납기위험(S코드)","◆ 지연주의"),IF($AE270="정상","✓ 정상","? 확인필요")))</f>
        <v/>
      </c>
      <c r="AG270" s="21" t="n"/>
      <c r="AH270" s="28" t="n"/>
    </row>
    <row r="271">
      <c r="A271" s="19" t="n">
        <v>267</v>
      </c>
      <c r="B271" s="20" t="inlineStr">
        <is>
          <t>박진아</t>
        </is>
      </c>
      <c r="C271" s="20" t="inlineStr">
        <is>
          <t>조이슬</t>
        </is>
      </c>
      <c r="D271" s="20" t="inlineStr">
        <is>
          <t>JKTCM27166</t>
        </is>
      </c>
      <c r="E271" s="20" t="inlineStr">
        <is>
          <t>하절 여성 MossDry 스트레치 반팔 후드 티셔츠</t>
        </is>
      </c>
      <c r="F271" s="20" t="inlineStr">
        <is>
          <t>DMI(D/MINT), CRE(CREAM)</t>
        </is>
      </c>
      <c r="G271" s="19">
        <f>IF($D271="","",IF(MID($D271,5,1)="S","S(봄)",IF(MID($D271,5,1)="M","M(여름)",IF(MID($D271,5,1)="X","X(사계절)",MID($D271,5,1)))))</f>
        <v/>
      </c>
      <c r="H271" s="20" t="inlineStr">
        <is>
          <t>완사입</t>
        </is>
      </c>
      <c r="I271" s="19" t="inlineStr"/>
      <c r="J271" s="21" t="inlineStr">
        <is>
          <t>3월4주</t>
        </is>
      </c>
      <c r="K271" s="22">
        <f>IF($J271="","",IFERROR(DATE(IF(VALUE(LEFT($J271,FIND("월",$J271)-1))&gt;=9,기준정보!$C$7-1,기준정보!$C$7),VALUE(LEFT($J271,FIND("월",$J271)-1)),1+7*(VALUE(SUBSTITUTE(MID($J271,FIND("월",$J271)+1,5),"주",""))-1)),""))</f>
        <v/>
      </c>
      <c r="L271" s="22">
        <f>IF($K271="","",IF(AND($K271-기준정보!$C$5&gt;=기준정보!$C$10,$K271-기준정보!$C$5&lt;=기준정보!$C$11),기준정보!$C$10-1,$K271-기준정보!$C$5))</f>
        <v/>
      </c>
      <c r="M271" s="23">
        <f>IF($L271="","",IF(OR(ISNUMBER(SEARCH("중국",$W271)),ISNUMBER(SEARCH("베트남",$W271))),MAX(0,MIN($L271,기준정보!$C$9)-MAX($L271-기준정보!$C$6,기준정보!$C$8)+1),IF(ISNUMBER(SEARCH("한국",$W271)),MAX(0,MIN($L271,기준정보!$C$11)-MAX($L271-기준정보!$C$6,기준정보!$C$10)+1),0)))</f>
        <v/>
      </c>
      <c r="N271" s="22">
        <f>IF($L271="","",$L271-기준정보!$C$6-$M271)</f>
        <v/>
      </c>
      <c r="O271" s="24">
        <f>IF($N271="","",$N271-기준정보!$C$4)</f>
        <v/>
      </c>
      <c r="P271" s="21" t="n"/>
      <c r="Q271" s="21" t="inlineStr">
        <is>
          <t>O</t>
        </is>
      </c>
      <c r="R271" s="19">
        <f>IF(COUNTIF(EDW_RAW!$A$2:$A$1500,$D271)=0,"",IF(COUNTIFS(EDW_RAW!$A$2:$A$1500,$D271,EDW_RAW!$U$2:$U$1500,"&lt;&gt;~",EDW_RAW!$U$2:$U$1500,"&lt;&gt;")=COUNTIF(EDW_RAW!$A$2:$A$1500,$D271),"O",IF(COUNTIFS(EDW_RAW!$A$2:$A$1500,$D271,EDW_RAW!$U$2:$U$1500,"&lt;&gt;~",EDW_RAW!$U$2:$U$1500,"&lt;&gt;")&gt;0,"부분","X")))</f>
        <v/>
      </c>
      <c r="S271" s="25" t="n"/>
      <c r="T271" s="20">
        <f>IF($H271="","",IF(AND(ISNUMBER(SEARCH("CMT",$H271)),OR(ISNUMBER(SEARCH("완사입",$H271)),ISNUMBER(SEARCH("ODM",$H271)))),"본사/생산처 혼재",IF(ISNUMBER(SEARCH("CMT",$H271)),"본사(소재팀)","생산처")))</f>
        <v/>
      </c>
      <c r="U271" s="20" t="inlineStr">
        <is>
          <t>IKG</t>
        </is>
      </c>
      <c r="V271" s="20">
        <f>IFERROR(TEXTJOIN(" / ",TRUE,UNIQUE(FILTER(소재DB_RAW!$K$3:$K$2000,(소재DB_RAW!$G$3:$G$2000=$D271)*ISERROR(SEARCH("drop",소재DB_RAW!$C$3:$C$2000))))),"")</f>
        <v/>
      </c>
      <c r="W271" s="20" t="inlineStr">
        <is>
          <t>인도네시아</t>
        </is>
      </c>
      <c r="X271" s="20">
        <f>IFERROR(TEXTJOIN(" / ",TRUE,UNIQUE(FILTER(소재DB_RAW!$N$3:$N$2000,(소재DB_RAW!$G$3:$G$2000=$D271)*ISERROR(SEARCH("drop",소재DB_RAW!$C$3:$C$2000))))),"")</f>
        <v/>
      </c>
      <c r="Y271" s="26">
        <f>IFERROR(TEXTJOIN(CHAR(10),TRUE,UNIQUE(FILTER(소재DB_RAW!$N$3:$N$2000&amp;") "&amp;소재DB_RAW!$O$3:$O$2000,(소재DB_RAW!$G$3:$G$2000=$D271)*ISNUMBER(SEARCH("겉감",소재DB_RAW!$M$3:$M$2000))*ISERROR(SEARCH("drop",소재DB_RAW!$C$3:$C$2000))))),"")</f>
        <v/>
      </c>
      <c r="Z271" s="26">
        <f>IFERROR(TEXTJOIN(CHAR(10),TRUE,UNIQUE(FILTER(소재DB_RAW!$N$3:$N$2000&amp;") "&amp;소재DB_RAW!$O$3:$O$2000,(소재DB_RAW!$G$3:$G$2000=$D271)*ISNUMBER(SEARCH("안감",소재DB_RAW!$M$3:$M$2000))*ISERROR(SEARCH("drop",소재DB_RAW!$C$3:$C$2000))))),"")</f>
        <v/>
      </c>
      <c r="AA271" s="27" t="n">
        <v>2500</v>
      </c>
      <c r="AB271" s="27" t="n">
        <v>39347500</v>
      </c>
      <c r="AC271" s="27" t="n">
        <v>320000000</v>
      </c>
      <c r="AD271" s="20" t="inlineStr">
        <is>
          <t>3월4주</t>
        </is>
      </c>
      <c r="AE271" s="20">
        <f>IF($K271="","출고일 미정",IF($Q271="X","작지 미발행",IF($Q271="부분","작지 일부 미발행",IF(AND($S271&lt;&gt;"",$S271&gt;$N271),"소재입고 마감("&amp;TEXT($N271,"MM/DD")&amp;") 초과",IF($Q271="","발행여부 확인 필요",IF($S271="","소재 입고일정 확인 필요","정상"))))))</f>
        <v/>
      </c>
      <c r="AF271" s="19">
        <f>IF($K271="","",IF(OR(LEFT($AE271,2)="작지",LEFT($AE271,4)="소재입고"),IF(LEFT($G271,1)="S","★ 납기위험(S코드)","◆ 지연주의"),IF($AE271="정상","✓ 정상","? 확인필요")))</f>
        <v/>
      </c>
      <c r="AG271" s="21" t="n"/>
      <c r="AH271" s="28" t="n"/>
    </row>
    <row r="272">
      <c r="A272" s="19" t="n">
        <v>268</v>
      </c>
      <c r="B272" s="20" t="inlineStr">
        <is>
          <t>박지인</t>
        </is>
      </c>
      <c r="C272" s="20" t="inlineStr">
        <is>
          <t>이다영</t>
        </is>
      </c>
      <c r="D272" s="20" t="inlineStr">
        <is>
          <t>JKTCM27312</t>
        </is>
      </c>
      <c r="E272" s="20" t="inlineStr">
        <is>
          <t>여성 슬리브리스</t>
        </is>
      </c>
      <c r="F272" s="20" t="inlineStr">
        <is>
          <t>IVO(IVORY), BLK(BLACK)</t>
        </is>
      </c>
      <c r="G272" s="19">
        <f>IF($D272="","",IF(MID($D272,5,1)="S","S(봄)",IF(MID($D272,5,1)="M","M(여름)",IF(MID($D272,5,1)="X","X(사계절)",MID($D272,5,1)))))</f>
        <v/>
      </c>
      <c r="H272" s="20" t="inlineStr">
        <is>
          <t>완사입</t>
        </is>
      </c>
      <c r="I272" s="19" t="inlineStr">
        <is>
          <t>SM2</t>
        </is>
      </c>
      <c r="J272" s="21" t="inlineStr">
        <is>
          <t>3월4주</t>
        </is>
      </c>
      <c r="K272" s="22">
        <f>IF($J272="","",IFERROR(DATE(IF(VALUE(LEFT($J272,FIND("월",$J272)-1))&gt;=9,기준정보!$C$7-1,기준정보!$C$7),VALUE(LEFT($J272,FIND("월",$J272)-1)),1+7*(VALUE(SUBSTITUTE(MID($J272,FIND("월",$J272)+1,5),"주",""))-1)),""))</f>
        <v/>
      </c>
      <c r="L272" s="22">
        <f>IF($K272="","",IF(AND($K272-기준정보!$C$5&gt;=기준정보!$C$10,$K272-기준정보!$C$5&lt;=기준정보!$C$11),기준정보!$C$10-1,$K272-기준정보!$C$5))</f>
        <v/>
      </c>
      <c r="M272" s="23">
        <f>IF($L272="","",IF(OR(ISNUMBER(SEARCH("중국",$W272)),ISNUMBER(SEARCH("베트남",$W272))),MAX(0,MIN($L272,기준정보!$C$9)-MAX($L272-기준정보!$C$6,기준정보!$C$8)+1),IF(ISNUMBER(SEARCH("한국",$W272)),MAX(0,MIN($L272,기준정보!$C$11)-MAX($L272-기준정보!$C$6,기준정보!$C$10)+1),0)))</f>
        <v/>
      </c>
      <c r="N272" s="22">
        <f>IF($L272="","",$L272-기준정보!$C$6-$M272)</f>
        <v/>
      </c>
      <c r="O272" s="24">
        <f>IF($N272="","",$N272-기준정보!$C$4)</f>
        <v/>
      </c>
      <c r="P272" s="21" t="n"/>
      <c r="Q272" s="21" t="inlineStr">
        <is>
          <t>O</t>
        </is>
      </c>
      <c r="R272" s="19">
        <f>IF(COUNTIF(EDW_RAW!$A$2:$A$1500,$D272)=0,"",IF(COUNTIFS(EDW_RAW!$A$2:$A$1500,$D272,EDW_RAW!$U$2:$U$1500,"&lt;&gt;~",EDW_RAW!$U$2:$U$1500,"&lt;&gt;")=COUNTIF(EDW_RAW!$A$2:$A$1500,$D272),"O",IF(COUNTIFS(EDW_RAW!$A$2:$A$1500,$D272,EDW_RAW!$U$2:$U$1500,"&lt;&gt;~",EDW_RAW!$U$2:$U$1500,"&lt;&gt;")&gt;0,"부분","X")))</f>
        <v/>
      </c>
      <c r="S272" s="25" t="n"/>
      <c r="T272" s="20">
        <f>IF($H272="","",IF(AND(ISNUMBER(SEARCH("CMT",$H272)),OR(ISNUMBER(SEARCH("완사입",$H272)),ISNUMBER(SEARCH("ODM",$H272)))),"본사/생산처 혼재",IF(ISNUMBER(SEARCH("CMT",$H272)),"본사(소재팀)","생산처")))</f>
        <v/>
      </c>
      <c r="U272" s="20" t="inlineStr">
        <is>
          <t>장안</t>
        </is>
      </c>
      <c r="V272" s="20">
        <f>IFERROR(TEXTJOIN(" / ",TRUE,UNIQUE(FILTER(소재DB_RAW!$K$3:$K$2000,(소재DB_RAW!$G$3:$G$2000=$D272)*ISERROR(SEARCH("drop",소재DB_RAW!$C$3:$C$2000))))),"")</f>
        <v/>
      </c>
      <c r="W272" s="20" t="inlineStr">
        <is>
          <t>베트남</t>
        </is>
      </c>
      <c r="X272" s="20">
        <f>IFERROR(TEXTJOIN(" / ",TRUE,UNIQUE(FILTER(소재DB_RAW!$N$3:$N$2000,(소재DB_RAW!$G$3:$G$2000=$D272)*ISERROR(SEARCH("drop",소재DB_RAW!$C$3:$C$2000))))),"")</f>
        <v/>
      </c>
      <c r="Y272" s="26">
        <f>IFERROR(TEXTJOIN(CHAR(10),TRUE,UNIQUE(FILTER(소재DB_RAW!$N$3:$N$2000&amp;") "&amp;소재DB_RAW!$O$3:$O$2000,(소재DB_RAW!$G$3:$G$2000=$D272)*ISNUMBER(SEARCH("겉감",소재DB_RAW!$M$3:$M$2000))*ISERROR(SEARCH("drop",소재DB_RAW!$C$3:$C$2000))))),"")</f>
        <v/>
      </c>
      <c r="Z272" s="26">
        <f>IFERROR(TEXTJOIN(CHAR(10),TRUE,UNIQUE(FILTER(소재DB_RAW!$N$3:$N$2000&amp;") "&amp;소재DB_RAW!$O$3:$O$2000,(소재DB_RAW!$G$3:$G$2000=$D272)*ISNUMBER(SEARCH("안감",소재DB_RAW!$M$3:$M$2000))*ISERROR(SEARCH("drop",소재DB_RAW!$C$3:$C$2000))))),"")</f>
        <v/>
      </c>
      <c r="AA272" s="27" t="n">
        <v>1200</v>
      </c>
      <c r="AB272" s="27" t="n">
        <v>15933600</v>
      </c>
      <c r="AC272" s="27" t="n">
        <v>81600000</v>
      </c>
      <c r="AD272" s="20" t="inlineStr">
        <is>
          <t>3월4주</t>
        </is>
      </c>
      <c r="AE272" s="20">
        <f>IF($K272="","출고일 미정",IF($Q272="X","작지 미발행",IF($Q272="부분","작지 일부 미발행",IF(AND($S272&lt;&gt;"",$S272&gt;$N272),"소재입고 마감("&amp;TEXT($N272,"MM/DD")&amp;") 초과",IF($Q272="","발행여부 확인 필요",IF($S272="","소재 입고일정 확인 필요","정상"))))))</f>
        <v/>
      </c>
      <c r="AF272" s="19">
        <f>IF($K272="","",IF(OR(LEFT($AE272,2)="작지",LEFT($AE272,4)="소재입고"),IF(LEFT($G272,1)="S","★ 납기위험(S코드)","◆ 지연주의"),IF($AE272="정상","✓ 정상","? 확인필요")))</f>
        <v/>
      </c>
      <c r="AG272" s="21" t="n"/>
      <c r="AH272" s="28" t="n"/>
    </row>
    <row r="273">
      <c r="A273" s="19" t="n">
        <v>269</v>
      </c>
      <c r="B273" s="20" t="inlineStr">
        <is>
          <t>박지인</t>
        </is>
      </c>
      <c r="C273" s="20" t="inlineStr">
        <is>
          <t>이다영</t>
        </is>
      </c>
      <c r="D273" s="20" t="inlineStr">
        <is>
          <t>JKVAM27372</t>
        </is>
      </c>
      <c r="E273" s="20" t="inlineStr">
        <is>
          <t>여성 에그라이트 후드형 베스트</t>
        </is>
      </c>
      <c r="F273" s="20" t="inlineStr">
        <is>
          <t>CRE-1, BLK(BLACK)</t>
        </is>
      </c>
      <c r="G273" s="19">
        <f>IF($D273="","",IF(MID($D273,5,1)="S","S(봄)",IF(MID($D273,5,1)="M","M(여름)",IF(MID($D273,5,1)="X","X(사계절)",MID($D273,5,1)))))</f>
        <v/>
      </c>
      <c r="H273" s="20" t="inlineStr">
        <is>
          <t>CMT</t>
        </is>
      </c>
      <c r="I273" s="19" t="inlineStr">
        <is>
          <t>SM2</t>
        </is>
      </c>
      <c r="J273" s="21" t="inlineStr">
        <is>
          <t>3월4주</t>
        </is>
      </c>
      <c r="K273" s="22">
        <f>IF($J273="","",IFERROR(DATE(IF(VALUE(LEFT($J273,FIND("월",$J273)-1))&gt;=9,기준정보!$C$7-1,기준정보!$C$7),VALUE(LEFT($J273,FIND("월",$J273)-1)),1+7*(VALUE(SUBSTITUTE(MID($J273,FIND("월",$J273)+1,5),"주",""))-1)),""))</f>
        <v/>
      </c>
      <c r="L273" s="22">
        <f>IF($K273="","",IF(AND($K273-기준정보!$C$5&gt;=기준정보!$C$10,$K273-기준정보!$C$5&lt;=기준정보!$C$11),기준정보!$C$10-1,$K273-기준정보!$C$5))</f>
        <v/>
      </c>
      <c r="M273" s="23">
        <f>IF($L273="","",IF(OR(ISNUMBER(SEARCH("중국",$W273)),ISNUMBER(SEARCH("베트남",$W273))),MAX(0,MIN($L273,기준정보!$C$9)-MAX($L273-기준정보!$C$6,기준정보!$C$8)+1),IF(ISNUMBER(SEARCH("한국",$W273)),MAX(0,MIN($L273,기준정보!$C$11)-MAX($L273-기준정보!$C$6,기준정보!$C$10)+1),0)))</f>
        <v/>
      </c>
      <c r="N273" s="22">
        <f>IF($L273="","",$L273-기준정보!$C$6-$M273)</f>
        <v/>
      </c>
      <c r="O273" s="24">
        <f>IF($N273="","",$N273-기준정보!$C$4)</f>
        <v/>
      </c>
      <c r="P273" s="21" t="n"/>
      <c r="Q273" s="21" t="inlineStr">
        <is>
          <t>O</t>
        </is>
      </c>
      <c r="R273" s="19">
        <f>IF(COUNTIF(EDW_RAW!$A$2:$A$1500,$D273)=0,"",IF(COUNTIFS(EDW_RAW!$A$2:$A$1500,$D273,EDW_RAW!$U$2:$U$1500,"&lt;&gt;~",EDW_RAW!$U$2:$U$1500,"&lt;&gt;")=COUNTIF(EDW_RAW!$A$2:$A$1500,$D273),"O",IF(COUNTIFS(EDW_RAW!$A$2:$A$1500,$D273,EDW_RAW!$U$2:$U$1500,"&lt;&gt;~",EDW_RAW!$U$2:$U$1500,"&lt;&gt;")&gt;0,"부분","X")))</f>
        <v/>
      </c>
      <c r="S273" s="25" t="n"/>
      <c r="T273" s="20">
        <f>IF($H273="","",IF(AND(ISNUMBER(SEARCH("CMT",$H273)),OR(ISNUMBER(SEARCH("완사입",$H273)),ISNUMBER(SEARCH("ODM",$H273)))),"본사/생산처 혼재",IF(ISNUMBER(SEARCH("CMT",$H273)),"본사(소재팀)","생산처")))</f>
        <v/>
      </c>
      <c r="U273" s="20" t="inlineStr">
        <is>
          <t>포마트</t>
        </is>
      </c>
      <c r="V273" s="20">
        <f>IFERROR(TEXTJOIN(" / ",TRUE,UNIQUE(FILTER(소재DB_RAW!$K$3:$K$2000,(소재DB_RAW!$G$3:$G$2000=$D273)*ISERROR(SEARCH("drop",소재DB_RAW!$C$3:$C$2000))))),"")</f>
        <v/>
      </c>
      <c r="W273" s="20" t="inlineStr">
        <is>
          <t>베트남</t>
        </is>
      </c>
      <c r="X273" s="20">
        <f>IFERROR(TEXTJOIN(" / ",TRUE,UNIQUE(FILTER(소재DB_RAW!$N$3:$N$2000,(소재DB_RAW!$G$3:$G$2000=$D273)*ISERROR(SEARCH("drop",소재DB_RAW!$C$3:$C$2000))))),"")</f>
        <v/>
      </c>
      <c r="Y273" s="26">
        <f>IFERROR(TEXTJOIN(CHAR(10),TRUE,UNIQUE(FILTER(소재DB_RAW!$N$3:$N$2000&amp;") "&amp;소재DB_RAW!$O$3:$O$2000,(소재DB_RAW!$G$3:$G$2000=$D273)*ISNUMBER(SEARCH("겉감",소재DB_RAW!$M$3:$M$2000))*ISERROR(SEARCH("drop",소재DB_RAW!$C$3:$C$2000))))),"")</f>
        <v/>
      </c>
      <c r="Z273" s="26">
        <f>IFERROR(TEXTJOIN(CHAR(10),TRUE,UNIQUE(FILTER(소재DB_RAW!$N$3:$N$2000&amp;") "&amp;소재DB_RAW!$O$3:$O$2000,(소재DB_RAW!$G$3:$G$2000=$D273)*ISNUMBER(SEARCH("안감",소재DB_RAW!$M$3:$M$2000))*ISERROR(SEARCH("drop",소재DB_RAW!$C$3:$C$2000))))),"")</f>
        <v/>
      </c>
      <c r="AA273" s="27" t="n">
        <v>2000</v>
      </c>
      <c r="AB273" s="27" t="n">
        <v>58488000</v>
      </c>
      <c r="AC273" s="27" t="n">
        <v>296000000</v>
      </c>
      <c r="AD273" s="20" t="inlineStr">
        <is>
          <t>3월4주</t>
        </is>
      </c>
      <c r="AE273" s="20">
        <f>IF($K273="","출고일 미정",IF($Q273="X","작지 미발행",IF($Q273="부분","작지 일부 미발행",IF(AND($S273&lt;&gt;"",$S273&gt;$N273),"소재입고 마감("&amp;TEXT($N273,"MM/DD")&amp;") 초과",IF($Q273="","발행여부 확인 필요",IF($S273="","소재 입고일정 확인 필요","정상"))))))</f>
        <v/>
      </c>
      <c r="AF273" s="19">
        <f>IF($K273="","",IF(OR(LEFT($AE273,2)="작지",LEFT($AE273,4)="소재입고"),IF(LEFT($G273,1)="S","★ 납기위험(S코드)","◆ 지연주의"),IF($AE273="정상","✓ 정상","? 확인필요")))</f>
        <v/>
      </c>
      <c r="AG273" s="21" t="n"/>
      <c r="AH273" s="28" t="n"/>
    </row>
    <row r="274">
      <c r="A274" s="19" t="n">
        <v>270</v>
      </c>
      <c r="B274" s="20" t="inlineStr">
        <is>
          <t>이재헌</t>
        </is>
      </c>
      <c r="C274" s="20" t="inlineStr">
        <is>
          <t>정은진</t>
        </is>
      </c>
      <c r="D274" s="20" t="inlineStr">
        <is>
          <t>JWJJM27165</t>
        </is>
      </c>
      <c r="E274" s="20" t="inlineStr">
        <is>
          <t>남성 트레이닝 재킷 (SET UP)</t>
        </is>
      </c>
      <c r="F274" s="20" t="inlineStr">
        <is>
          <t>BLK(BLACK), DGY(D/GRAY)</t>
        </is>
      </c>
      <c r="G274" s="19">
        <f>IF($D274="","",IF(MID($D274,5,1)="S","S(봄)",IF(MID($D274,5,1)="M","M(여름)",IF(MID($D274,5,1)="X","X(사계절)",MID($D274,5,1)))))</f>
        <v/>
      </c>
      <c r="H274" s="20" t="inlineStr">
        <is>
          <t>완사입</t>
        </is>
      </c>
      <c r="I274" s="19" t="inlineStr"/>
      <c r="J274" s="21" t="inlineStr">
        <is>
          <t>3월4주</t>
        </is>
      </c>
      <c r="K274" s="22">
        <f>IF($J274="","",IFERROR(DATE(IF(VALUE(LEFT($J274,FIND("월",$J274)-1))&gt;=9,기준정보!$C$7-1,기준정보!$C$7),VALUE(LEFT($J274,FIND("월",$J274)-1)),1+7*(VALUE(SUBSTITUTE(MID($J274,FIND("월",$J274)+1,5),"주",""))-1)),""))</f>
        <v/>
      </c>
      <c r="L274" s="22">
        <f>IF($K274="","",IF(AND($K274-기준정보!$C$5&gt;=기준정보!$C$10,$K274-기준정보!$C$5&lt;=기준정보!$C$11),기준정보!$C$10-1,$K274-기준정보!$C$5))</f>
        <v/>
      </c>
      <c r="M274" s="23">
        <f>IF($L274="","",IF(OR(ISNUMBER(SEARCH("중국",$W274)),ISNUMBER(SEARCH("베트남",$W274))),MAX(0,MIN($L274,기준정보!$C$9)-MAX($L274-기준정보!$C$6,기준정보!$C$8)+1),IF(ISNUMBER(SEARCH("한국",$W274)),MAX(0,MIN($L274,기준정보!$C$11)-MAX($L274-기준정보!$C$6,기준정보!$C$10)+1),0)))</f>
        <v/>
      </c>
      <c r="N274" s="22">
        <f>IF($L274="","",$L274-기준정보!$C$6-$M274)</f>
        <v/>
      </c>
      <c r="O274" s="24">
        <f>IF($N274="","",$N274-기준정보!$C$4)</f>
        <v/>
      </c>
      <c r="P274" s="21" t="n"/>
      <c r="Q274" s="21" t="inlineStr">
        <is>
          <t>O</t>
        </is>
      </c>
      <c r="R274" s="19">
        <f>IF(COUNTIF(EDW_RAW!$A$2:$A$1500,$D274)=0,"",IF(COUNTIFS(EDW_RAW!$A$2:$A$1500,$D274,EDW_RAW!$U$2:$U$1500,"&lt;&gt;~",EDW_RAW!$U$2:$U$1500,"&lt;&gt;")=COUNTIF(EDW_RAW!$A$2:$A$1500,$D274),"O",IF(COUNTIFS(EDW_RAW!$A$2:$A$1500,$D274,EDW_RAW!$U$2:$U$1500,"&lt;&gt;~",EDW_RAW!$U$2:$U$1500,"&lt;&gt;")&gt;0,"부분","X")))</f>
        <v/>
      </c>
      <c r="S274" s="25" t="n"/>
      <c r="T274" s="20">
        <f>IF($H274="","",IF(AND(ISNUMBER(SEARCH("CMT",$H274)),OR(ISNUMBER(SEARCH("완사입",$H274)),ISNUMBER(SEARCH("ODM",$H274)))),"본사/생산처 혼재",IF(ISNUMBER(SEARCH("CMT",$H274)),"본사(소재팀)","생산처")))</f>
        <v/>
      </c>
      <c r="U274" s="20" t="inlineStr">
        <is>
          <t>기도</t>
        </is>
      </c>
      <c r="V274" s="20">
        <f>IFERROR(TEXTJOIN(" / ",TRUE,UNIQUE(FILTER(소재DB_RAW!$K$3:$K$2000,(소재DB_RAW!$G$3:$G$2000=$D274)*ISERROR(SEARCH("drop",소재DB_RAW!$C$3:$C$2000))))),"")</f>
        <v/>
      </c>
      <c r="W274" s="20" t="inlineStr">
        <is>
          <t>베트남</t>
        </is>
      </c>
      <c r="X274" s="20">
        <f>IFERROR(TEXTJOIN(" / ",TRUE,UNIQUE(FILTER(소재DB_RAW!$N$3:$N$2000,(소재DB_RAW!$G$3:$G$2000=$D274)*ISERROR(SEARCH("drop",소재DB_RAW!$C$3:$C$2000))))),"")</f>
        <v/>
      </c>
      <c r="Y274" s="26">
        <f>IFERROR(TEXTJOIN(CHAR(10),TRUE,UNIQUE(FILTER(소재DB_RAW!$N$3:$N$2000&amp;") "&amp;소재DB_RAW!$O$3:$O$2000,(소재DB_RAW!$G$3:$G$2000=$D274)*ISNUMBER(SEARCH("겉감",소재DB_RAW!$M$3:$M$2000))*ISERROR(SEARCH("drop",소재DB_RAW!$C$3:$C$2000))))),"")</f>
        <v/>
      </c>
      <c r="Z274" s="26">
        <f>IFERROR(TEXTJOIN(CHAR(10),TRUE,UNIQUE(FILTER(소재DB_RAW!$N$3:$N$2000&amp;") "&amp;소재DB_RAW!$O$3:$O$2000,(소재DB_RAW!$G$3:$G$2000=$D274)*ISNUMBER(SEARCH("안감",소재DB_RAW!$M$3:$M$2000))*ISERROR(SEARCH("drop",소재DB_RAW!$C$3:$C$2000))))),"")</f>
        <v/>
      </c>
      <c r="AA274" s="27" t="n">
        <v>16000</v>
      </c>
      <c r="AB274" s="27" t="n">
        <v>448000000</v>
      </c>
      <c r="AC274" s="27" t="n">
        <v>2688000000</v>
      </c>
      <c r="AD274" s="20" t="n"/>
      <c r="AE274" s="20">
        <f>IF($K274="","출고일 미정",IF($Q274="X","작지 미발행",IF($Q274="부분","작지 일부 미발행",IF(AND($S274&lt;&gt;"",$S274&gt;$N274),"소재입고 마감("&amp;TEXT($N274,"MM/DD")&amp;") 초과",IF($Q274="","발행여부 확인 필요",IF($S274="","소재 입고일정 확인 필요","정상"))))))</f>
        <v/>
      </c>
      <c r="AF274" s="19">
        <f>IF($K274="","",IF(OR(LEFT($AE274,2)="작지",LEFT($AE274,4)="소재입고"),IF(LEFT($G274,1)="S","★ 납기위험(S코드)","◆ 지연주의"),IF($AE274="정상","✓ 정상","? 확인필요")))</f>
        <v/>
      </c>
      <c r="AG274" s="21" t="n"/>
      <c r="AH274" s="28" t="n"/>
    </row>
    <row r="275">
      <c r="A275" s="19" t="n">
        <v>271</v>
      </c>
      <c r="B275" s="20" t="inlineStr">
        <is>
          <t>박지인</t>
        </is>
      </c>
      <c r="C275" s="20" t="inlineStr">
        <is>
          <t>이다영</t>
        </is>
      </c>
      <c r="D275" s="20" t="inlineStr">
        <is>
          <t>JWJJM27301</t>
        </is>
      </c>
      <c r="E275" s="20" t="inlineStr">
        <is>
          <t>남녀공용 커버업 방수 재킷</t>
        </is>
      </c>
      <c r="F275" s="20" t="inlineStr">
        <is>
          <t>NAY</t>
        </is>
      </c>
      <c r="G275" s="19">
        <f>IF($D275="","",IF(MID($D275,5,1)="S","S(봄)",IF(MID($D275,5,1)="M","M(여름)",IF(MID($D275,5,1)="X","X(사계절)",MID($D275,5,1)))))</f>
        <v/>
      </c>
      <c r="H275" s="20" t="inlineStr">
        <is>
          <t>완사입</t>
        </is>
      </c>
      <c r="I275" s="19" t="inlineStr">
        <is>
          <t>SM2</t>
        </is>
      </c>
      <c r="J275" s="21" t="inlineStr">
        <is>
          <t>3월4주</t>
        </is>
      </c>
      <c r="K275" s="22">
        <f>IF($J275="","",IFERROR(DATE(IF(VALUE(LEFT($J275,FIND("월",$J275)-1))&gt;=9,기준정보!$C$7-1,기준정보!$C$7),VALUE(LEFT($J275,FIND("월",$J275)-1)),1+7*(VALUE(SUBSTITUTE(MID($J275,FIND("월",$J275)+1,5),"주",""))-1)),""))</f>
        <v/>
      </c>
      <c r="L275" s="22">
        <f>IF($K275="","",IF(AND($K275-기준정보!$C$5&gt;=기준정보!$C$10,$K275-기준정보!$C$5&lt;=기준정보!$C$11),기준정보!$C$10-1,$K275-기준정보!$C$5))</f>
        <v/>
      </c>
      <c r="M275" s="23">
        <f>IF($L275="","",IF(OR(ISNUMBER(SEARCH("중국",$W275)),ISNUMBER(SEARCH("베트남",$W275))),MAX(0,MIN($L275,기준정보!$C$9)-MAX($L275-기준정보!$C$6,기준정보!$C$8)+1),IF(ISNUMBER(SEARCH("한국",$W275)),MAX(0,MIN($L275,기준정보!$C$11)-MAX($L275-기준정보!$C$6,기준정보!$C$10)+1),0)))</f>
        <v/>
      </c>
      <c r="N275" s="22">
        <f>IF($L275="","",$L275-기준정보!$C$6-$M275)</f>
        <v/>
      </c>
      <c r="O275" s="24">
        <f>IF($N275="","",$N275-기준정보!$C$4)</f>
        <v/>
      </c>
      <c r="P275" s="21" t="n"/>
      <c r="Q275" s="21" t="inlineStr">
        <is>
          <t>O</t>
        </is>
      </c>
      <c r="R275" s="19">
        <f>IF(COUNTIF(EDW_RAW!$A$2:$A$1500,$D275)=0,"",IF(COUNTIFS(EDW_RAW!$A$2:$A$1500,$D275,EDW_RAW!$U$2:$U$1500,"&lt;&gt;~",EDW_RAW!$U$2:$U$1500,"&lt;&gt;")=COUNTIF(EDW_RAW!$A$2:$A$1500,$D275),"O",IF(COUNTIFS(EDW_RAW!$A$2:$A$1500,$D275,EDW_RAW!$U$2:$U$1500,"&lt;&gt;~",EDW_RAW!$U$2:$U$1500,"&lt;&gt;")&gt;0,"부분","X")))</f>
        <v/>
      </c>
      <c r="S275" s="25" t="n"/>
      <c r="T275" s="20">
        <f>IF($H275="","",IF(AND(ISNUMBER(SEARCH("CMT",$H275)),OR(ISNUMBER(SEARCH("완사입",$H275)),ISNUMBER(SEARCH("ODM",$H275)))),"본사/생산처 혼재",IF(ISNUMBER(SEARCH("CMT",$H275)),"본사(소재팀)","생산처")))</f>
        <v/>
      </c>
      <c r="U275" s="20" t="inlineStr">
        <is>
          <t>포마트</t>
        </is>
      </c>
      <c r="V275" s="20">
        <f>IFERROR(TEXTJOIN(" / ",TRUE,UNIQUE(FILTER(소재DB_RAW!$K$3:$K$2000,(소재DB_RAW!$G$3:$G$2000=$D275)*ISERROR(SEARCH("drop",소재DB_RAW!$C$3:$C$2000))))),"")</f>
        <v/>
      </c>
      <c r="W275" s="20" t="inlineStr">
        <is>
          <t>베트남</t>
        </is>
      </c>
      <c r="X275" s="20">
        <f>IFERROR(TEXTJOIN(" / ",TRUE,UNIQUE(FILTER(소재DB_RAW!$N$3:$N$2000,(소재DB_RAW!$G$3:$G$2000=$D275)*ISERROR(SEARCH("drop",소재DB_RAW!$C$3:$C$2000))))),"")</f>
        <v/>
      </c>
      <c r="Y275" s="26">
        <f>IFERROR(TEXTJOIN(CHAR(10),TRUE,UNIQUE(FILTER(소재DB_RAW!$N$3:$N$2000&amp;") "&amp;소재DB_RAW!$O$3:$O$2000,(소재DB_RAW!$G$3:$G$2000=$D275)*ISNUMBER(SEARCH("겉감",소재DB_RAW!$M$3:$M$2000))*ISERROR(SEARCH("drop",소재DB_RAW!$C$3:$C$2000))))),"")</f>
        <v/>
      </c>
      <c r="Z275" s="26">
        <f>IFERROR(TEXTJOIN(CHAR(10),TRUE,UNIQUE(FILTER(소재DB_RAW!$N$3:$N$2000&amp;") "&amp;소재DB_RAW!$O$3:$O$2000,(소재DB_RAW!$G$3:$G$2000=$D275)*ISNUMBER(SEARCH("안감",소재DB_RAW!$M$3:$M$2000))*ISERROR(SEARCH("drop",소재DB_RAW!$C$3:$C$2000))))),"")</f>
        <v/>
      </c>
      <c r="AA275" s="27" t="n">
        <v>400</v>
      </c>
      <c r="AB275" s="27" t="n">
        <v>39419200</v>
      </c>
      <c r="AC275" s="27" t="n">
        <v>180000000</v>
      </c>
      <c r="AD275" s="20" t="inlineStr">
        <is>
          <t>3월4주</t>
        </is>
      </c>
      <c r="AE275" s="20">
        <f>IF($K275="","출고일 미정",IF($Q275="X","작지 미발행",IF($Q275="부분","작지 일부 미발행",IF(AND($S275&lt;&gt;"",$S275&gt;$N275),"소재입고 마감("&amp;TEXT($N275,"MM/DD")&amp;") 초과",IF($Q275="","발행여부 확인 필요",IF($S275="","소재 입고일정 확인 필요","정상"))))))</f>
        <v/>
      </c>
      <c r="AF275" s="19">
        <f>IF($K275="","",IF(OR(LEFT($AE275,2)="작지",LEFT($AE275,4)="소재입고"),IF(LEFT($G275,1)="S","★ 납기위험(S코드)","◆ 지연주의"),IF($AE275="정상","✓ 정상","? 확인필요")))</f>
        <v/>
      </c>
      <c r="AG275" s="21" t="n"/>
      <c r="AH275" s="28" t="n"/>
    </row>
    <row r="276">
      <c r="A276" s="19" t="n">
        <v>272</v>
      </c>
      <c r="B276" s="20" t="inlineStr">
        <is>
          <t>박지인</t>
        </is>
      </c>
      <c r="C276" s="20" t="inlineStr">
        <is>
          <t>이다영</t>
        </is>
      </c>
      <c r="D276" s="20" t="inlineStr">
        <is>
          <t>JWJJM27371</t>
        </is>
      </c>
      <c r="E276" s="20" t="inlineStr">
        <is>
          <t>남성 에그라이트 방풍 재킷</t>
        </is>
      </c>
      <c r="F276" s="20" t="inlineStr">
        <is>
          <t>IVO(IVORY), BGY-1, BLK(BLACK)</t>
        </is>
      </c>
      <c r="G276" s="19">
        <f>IF($D276="","",IF(MID($D276,5,1)="S","S(봄)",IF(MID($D276,5,1)="M","M(여름)",IF(MID($D276,5,1)="X","X(사계절)",MID($D276,5,1)))))</f>
        <v/>
      </c>
      <c r="H276" s="20" t="inlineStr">
        <is>
          <t>CMT</t>
        </is>
      </c>
      <c r="I276" s="19" t="inlineStr">
        <is>
          <t>SM2</t>
        </is>
      </c>
      <c r="J276" s="21" t="inlineStr">
        <is>
          <t>3월4주</t>
        </is>
      </c>
      <c r="K276" s="22">
        <f>IF($J276="","",IFERROR(DATE(IF(VALUE(LEFT($J276,FIND("월",$J276)-1))&gt;=9,기준정보!$C$7-1,기준정보!$C$7),VALUE(LEFT($J276,FIND("월",$J276)-1)),1+7*(VALUE(SUBSTITUTE(MID($J276,FIND("월",$J276)+1,5),"주",""))-1)),""))</f>
        <v/>
      </c>
      <c r="L276" s="22">
        <f>IF($K276="","",IF(AND($K276-기준정보!$C$5&gt;=기준정보!$C$10,$K276-기준정보!$C$5&lt;=기준정보!$C$11),기준정보!$C$10-1,$K276-기준정보!$C$5))</f>
        <v/>
      </c>
      <c r="M276" s="23">
        <f>IF($L276="","",IF(OR(ISNUMBER(SEARCH("중국",$W276)),ISNUMBER(SEARCH("베트남",$W276))),MAX(0,MIN($L276,기준정보!$C$9)-MAX($L276-기준정보!$C$6,기준정보!$C$8)+1),IF(ISNUMBER(SEARCH("한국",$W276)),MAX(0,MIN($L276,기준정보!$C$11)-MAX($L276-기준정보!$C$6,기준정보!$C$10)+1),0)))</f>
        <v/>
      </c>
      <c r="N276" s="22">
        <f>IF($L276="","",$L276-기준정보!$C$6-$M276)</f>
        <v/>
      </c>
      <c r="O276" s="24">
        <f>IF($N276="","",$N276-기준정보!$C$4)</f>
        <v/>
      </c>
      <c r="P276" s="21" t="n"/>
      <c r="Q276" s="21" t="inlineStr">
        <is>
          <t>O</t>
        </is>
      </c>
      <c r="R276" s="19">
        <f>IF(COUNTIF(EDW_RAW!$A$2:$A$1500,$D276)=0,"",IF(COUNTIFS(EDW_RAW!$A$2:$A$1500,$D276,EDW_RAW!$U$2:$U$1500,"&lt;&gt;~",EDW_RAW!$U$2:$U$1500,"&lt;&gt;")=COUNTIF(EDW_RAW!$A$2:$A$1500,$D276),"O",IF(COUNTIFS(EDW_RAW!$A$2:$A$1500,$D276,EDW_RAW!$U$2:$U$1500,"&lt;&gt;~",EDW_RAW!$U$2:$U$1500,"&lt;&gt;")&gt;0,"부분","X")))</f>
        <v/>
      </c>
      <c r="S276" s="25" t="n"/>
      <c r="T276" s="20">
        <f>IF($H276="","",IF(AND(ISNUMBER(SEARCH("CMT",$H276)),OR(ISNUMBER(SEARCH("완사입",$H276)),ISNUMBER(SEARCH("ODM",$H276)))),"본사/생산처 혼재",IF(ISNUMBER(SEARCH("CMT",$H276)),"본사(소재팀)","생산처")))</f>
        <v/>
      </c>
      <c r="U276" s="20" t="inlineStr">
        <is>
          <t>포마트</t>
        </is>
      </c>
      <c r="V276" s="20">
        <f>IFERROR(TEXTJOIN(" / ",TRUE,UNIQUE(FILTER(소재DB_RAW!$K$3:$K$2000,(소재DB_RAW!$G$3:$G$2000=$D276)*ISERROR(SEARCH("drop",소재DB_RAW!$C$3:$C$2000))))),"")</f>
        <v/>
      </c>
      <c r="W276" s="20" t="inlineStr">
        <is>
          <t>베트남</t>
        </is>
      </c>
      <c r="X276" s="20">
        <f>IFERROR(TEXTJOIN(" / ",TRUE,UNIQUE(FILTER(소재DB_RAW!$N$3:$N$2000,(소재DB_RAW!$G$3:$G$2000=$D276)*ISERROR(SEARCH("drop",소재DB_RAW!$C$3:$C$2000))))),"")</f>
        <v/>
      </c>
      <c r="Y276" s="26">
        <f>IFERROR(TEXTJOIN(CHAR(10),TRUE,UNIQUE(FILTER(소재DB_RAW!$N$3:$N$2000&amp;") "&amp;소재DB_RAW!$O$3:$O$2000,(소재DB_RAW!$G$3:$G$2000=$D276)*ISNUMBER(SEARCH("겉감",소재DB_RAW!$M$3:$M$2000))*ISERROR(SEARCH("drop",소재DB_RAW!$C$3:$C$2000))))),"")</f>
        <v/>
      </c>
      <c r="Z276" s="26">
        <f>IFERROR(TEXTJOIN(CHAR(10),TRUE,UNIQUE(FILTER(소재DB_RAW!$N$3:$N$2000&amp;") "&amp;소재DB_RAW!$O$3:$O$2000,(소재DB_RAW!$G$3:$G$2000=$D276)*ISNUMBER(SEARCH("안감",소재DB_RAW!$M$3:$M$2000))*ISERROR(SEARCH("drop",소재DB_RAW!$C$3:$C$2000))))),"")</f>
        <v/>
      </c>
      <c r="AA276" s="27" t="n">
        <v>3500</v>
      </c>
      <c r="AB276" s="27" t="n">
        <v>166491500</v>
      </c>
      <c r="AC276" s="27" t="n">
        <v>770000000</v>
      </c>
      <c r="AD276" s="20" t="inlineStr">
        <is>
          <t>3월4주</t>
        </is>
      </c>
      <c r="AE276" s="20">
        <f>IF($K276="","출고일 미정",IF($Q276="X","작지 미발행",IF($Q276="부분","작지 일부 미발행",IF(AND($S276&lt;&gt;"",$S276&gt;$N276),"소재입고 마감("&amp;TEXT($N276,"MM/DD")&amp;") 초과",IF($Q276="","발행여부 확인 필요",IF($S276="","소재 입고일정 확인 필요","정상"))))))</f>
        <v/>
      </c>
      <c r="AF276" s="19">
        <f>IF($K276="","",IF(OR(LEFT($AE276,2)="작지",LEFT($AE276,4)="소재입고"),IF(LEFT($G276,1)="S","★ 납기위험(S코드)","◆ 지연주의"),IF($AE276="정상","✓ 정상","? 확인필요")))</f>
        <v/>
      </c>
      <c r="AG276" s="21" t="n"/>
      <c r="AH276" s="28" t="n"/>
    </row>
    <row r="277">
      <c r="A277" s="19" t="n">
        <v>273</v>
      </c>
      <c r="B277" s="20" t="inlineStr">
        <is>
          <t>박지인</t>
        </is>
      </c>
      <c r="C277" s="20" t="inlineStr">
        <is>
          <t>이다영</t>
        </is>
      </c>
      <c r="D277" s="20" t="inlineStr">
        <is>
          <t>JWJJM27373</t>
        </is>
      </c>
      <c r="E277" s="20" t="inlineStr">
        <is>
          <t>남성 에그라이트 방수 재킷</t>
        </is>
      </c>
      <c r="F277" s="20" t="inlineStr">
        <is>
          <t>SGY, BGY-2</t>
        </is>
      </c>
      <c r="G277" s="19">
        <f>IF($D277="","",IF(MID($D277,5,1)="S","S(봄)",IF(MID($D277,5,1)="M","M(여름)",IF(MID($D277,5,1)="X","X(사계절)",MID($D277,5,1)))))</f>
        <v/>
      </c>
      <c r="H277" s="20" t="inlineStr">
        <is>
          <t>CMT</t>
        </is>
      </c>
      <c r="I277" s="19" t="inlineStr">
        <is>
          <t>SM2</t>
        </is>
      </c>
      <c r="J277" s="21" t="inlineStr">
        <is>
          <t>3월4주</t>
        </is>
      </c>
      <c r="K277" s="22">
        <f>IF($J277="","",IFERROR(DATE(IF(VALUE(LEFT($J277,FIND("월",$J277)-1))&gt;=9,기준정보!$C$7-1,기준정보!$C$7),VALUE(LEFT($J277,FIND("월",$J277)-1)),1+7*(VALUE(SUBSTITUTE(MID($J277,FIND("월",$J277)+1,5),"주",""))-1)),""))</f>
        <v/>
      </c>
      <c r="L277" s="22">
        <f>IF($K277="","",IF(AND($K277-기준정보!$C$5&gt;=기준정보!$C$10,$K277-기준정보!$C$5&lt;=기준정보!$C$11),기준정보!$C$10-1,$K277-기준정보!$C$5))</f>
        <v/>
      </c>
      <c r="M277" s="23">
        <f>IF($L277="","",IF(OR(ISNUMBER(SEARCH("중국",$W277)),ISNUMBER(SEARCH("베트남",$W277))),MAX(0,MIN($L277,기준정보!$C$9)-MAX($L277-기준정보!$C$6,기준정보!$C$8)+1),IF(ISNUMBER(SEARCH("한국",$W277)),MAX(0,MIN($L277,기준정보!$C$11)-MAX($L277-기준정보!$C$6,기준정보!$C$10)+1),0)))</f>
        <v/>
      </c>
      <c r="N277" s="22">
        <f>IF($L277="","",$L277-기준정보!$C$6-$M277)</f>
        <v/>
      </c>
      <c r="O277" s="24">
        <f>IF($N277="","",$N277-기준정보!$C$4)</f>
        <v/>
      </c>
      <c r="P277" s="21" t="n"/>
      <c r="Q277" s="21" t="inlineStr">
        <is>
          <t>O</t>
        </is>
      </c>
      <c r="R277" s="19">
        <f>IF(COUNTIF(EDW_RAW!$A$2:$A$1500,$D277)=0,"",IF(COUNTIFS(EDW_RAW!$A$2:$A$1500,$D277,EDW_RAW!$U$2:$U$1500,"&lt;&gt;~",EDW_RAW!$U$2:$U$1500,"&lt;&gt;")=COUNTIF(EDW_RAW!$A$2:$A$1500,$D277),"O",IF(COUNTIFS(EDW_RAW!$A$2:$A$1500,$D277,EDW_RAW!$U$2:$U$1500,"&lt;&gt;~",EDW_RAW!$U$2:$U$1500,"&lt;&gt;")&gt;0,"부분","X")))</f>
        <v/>
      </c>
      <c r="S277" s="25" t="n"/>
      <c r="T277" s="20">
        <f>IF($H277="","",IF(AND(ISNUMBER(SEARCH("CMT",$H277)),OR(ISNUMBER(SEARCH("완사입",$H277)),ISNUMBER(SEARCH("ODM",$H277)))),"본사/생산처 혼재",IF(ISNUMBER(SEARCH("CMT",$H277)),"본사(소재팀)","생산처")))</f>
        <v/>
      </c>
      <c r="U277" s="20" t="inlineStr">
        <is>
          <t>포마트</t>
        </is>
      </c>
      <c r="V277" s="20">
        <f>IFERROR(TEXTJOIN(" / ",TRUE,UNIQUE(FILTER(소재DB_RAW!$K$3:$K$2000,(소재DB_RAW!$G$3:$G$2000=$D277)*ISERROR(SEARCH("drop",소재DB_RAW!$C$3:$C$2000))))),"")</f>
        <v/>
      </c>
      <c r="W277" s="20" t="inlineStr">
        <is>
          <t>베트남</t>
        </is>
      </c>
      <c r="X277" s="20">
        <f>IFERROR(TEXTJOIN(" / ",TRUE,UNIQUE(FILTER(소재DB_RAW!$N$3:$N$2000,(소재DB_RAW!$G$3:$G$2000=$D277)*ISERROR(SEARCH("drop",소재DB_RAW!$C$3:$C$2000))))),"")</f>
        <v/>
      </c>
      <c r="Y277" s="26">
        <f>IFERROR(TEXTJOIN(CHAR(10),TRUE,UNIQUE(FILTER(소재DB_RAW!$N$3:$N$2000&amp;") "&amp;소재DB_RAW!$O$3:$O$2000,(소재DB_RAW!$G$3:$G$2000=$D277)*ISNUMBER(SEARCH("겉감",소재DB_RAW!$M$3:$M$2000))*ISERROR(SEARCH("drop",소재DB_RAW!$C$3:$C$2000))))),"")</f>
        <v/>
      </c>
      <c r="Z277" s="26">
        <f>IFERROR(TEXTJOIN(CHAR(10),TRUE,UNIQUE(FILTER(소재DB_RAW!$N$3:$N$2000&amp;") "&amp;소재DB_RAW!$O$3:$O$2000,(소재DB_RAW!$G$3:$G$2000=$D277)*ISNUMBER(SEARCH("안감",소재DB_RAW!$M$3:$M$2000))*ISERROR(SEARCH("drop",소재DB_RAW!$C$3:$C$2000))))),"")</f>
        <v/>
      </c>
      <c r="AA277" s="27" t="n">
        <v>2400</v>
      </c>
      <c r="AB277" s="27" t="n">
        <v>190140000</v>
      </c>
      <c r="AC277" s="27" t="n">
        <v>840000000</v>
      </c>
      <c r="AD277" s="20" t="inlineStr">
        <is>
          <t>3월4주</t>
        </is>
      </c>
      <c r="AE277" s="20">
        <f>IF($K277="","출고일 미정",IF($Q277="X","작지 미발행",IF($Q277="부분","작지 일부 미발행",IF(AND($S277&lt;&gt;"",$S277&gt;$N277),"소재입고 마감("&amp;TEXT($N277,"MM/DD")&amp;") 초과",IF($Q277="","발행여부 확인 필요",IF($S277="","소재 입고일정 확인 필요","정상"))))))</f>
        <v/>
      </c>
      <c r="AF277" s="19">
        <f>IF($K277="","",IF(OR(LEFT($AE277,2)="작지",LEFT($AE277,4)="소재입고"),IF(LEFT($G277,1)="S","★ 납기위험(S코드)","◆ 지연주의"),IF($AE277="정상","✓ 정상","? 확인필요")))</f>
        <v/>
      </c>
      <c r="AG277" s="21" t="n"/>
      <c r="AH277" s="28" t="n"/>
    </row>
    <row r="278">
      <c r="A278" s="19" t="n">
        <v>274</v>
      </c>
      <c r="B278" s="20" t="inlineStr">
        <is>
          <t>박지인</t>
        </is>
      </c>
      <c r="C278" s="20" t="inlineStr">
        <is>
          <t>이다영</t>
        </is>
      </c>
      <c r="D278" s="20" t="inlineStr">
        <is>
          <t>JWJJM27375</t>
        </is>
      </c>
      <c r="E278" s="20" t="inlineStr">
        <is>
          <t>남성 에그라이트 스탠드넥 방풍 재킷</t>
        </is>
      </c>
      <c r="F278" s="20" t="inlineStr">
        <is>
          <t>DBE-1, NAY-1</t>
        </is>
      </c>
      <c r="G278" s="19">
        <f>IF($D278="","",IF(MID($D278,5,1)="S","S(봄)",IF(MID($D278,5,1)="M","M(여름)",IF(MID($D278,5,1)="X","X(사계절)",MID($D278,5,1)))))</f>
        <v/>
      </c>
      <c r="H278" s="20" t="inlineStr">
        <is>
          <t>CMT</t>
        </is>
      </c>
      <c r="I278" s="19" t="inlineStr">
        <is>
          <t>SM2</t>
        </is>
      </c>
      <c r="J278" s="21" t="inlineStr">
        <is>
          <t>3월4주</t>
        </is>
      </c>
      <c r="K278" s="22">
        <f>IF($J278="","",IFERROR(DATE(IF(VALUE(LEFT($J278,FIND("월",$J278)-1))&gt;=9,기준정보!$C$7-1,기준정보!$C$7),VALUE(LEFT($J278,FIND("월",$J278)-1)),1+7*(VALUE(SUBSTITUTE(MID($J278,FIND("월",$J278)+1,5),"주",""))-1)),""))</f>
        <v/>
      </c>
      <c r="L278" s="22">
        <f>IF($K278="","",IF(AND($K278-기준정보!$C$5&gt;=기준정보!$C$10,$K278-기준정보!$C$5&lt;=기준정보!$C$11),기준정보!$C$10-1,$K278-기준정보!$C$5))</f>
        <v/>
      </c>
      <c r="M278" s="23">
        <f>IF($L278="","",IF(OR(ISNUMBER(SEARCH("중국",$W278)),ISNUMBER(SEARCH("베트남",$W278))),MAX(0,MIN($L278,기준정보!$C$9)-MAX($L278-기준정보!$C$6,기준정보!$C$8)+1),IF(ISNUMBER(SEARCH("한국",$W278)),MAX(0,MIN($L278,기준정보!$C$11)-MAX($L278-기준정보!$C$6,기준정보!$C$10)+1),0)))</f>
        <v/>
      </c>
      <c r="N278" s="22">
        <f>IF($L278="","",$L278-기준정보!$C$6-$M278)</f>
        <v/>
      </c>
      <c r="O278" s="24">
        <f>IF($N278="","",$N278-기준정보!$C$4)</f>
        <v/>
      </c>
      <c r="P278" s="21" t="n"/>
      <c r="Q278" s="21" t="inlineStr">
        <is>
          <t>O</t>
        </is>
      </c>
      <c r="R278" s="19">
        <f>IF(COUNTIF(EDW_RAW!$A$2:$A$1500,$D278)=0,"",IF(COUNTIFS(EDW_RAW!$A$2:$A$1500,$D278,EDW_RAW!$U$2:$U$1500,"&lt;&gt;~",EDW_RAW!$U$2:$U$1500,"&lt;&gt;")=COUNTIF(EDW_RAW!$A$2:$A$1500,$D278),"O",IF(COUNTIFS(EDW_RAW!$A$2:$A$1500,$D278,EDW_RAW!$U$2:$U$1500,"&lt;&gt;~",EDW_RAW!$U$2:$U$1500,"&lt;&gt;")&gt;0,"부분","X")))</f>
        <v/>
      </c>
      <c r="S278" s="25" t="n"/>
      <c r="T278" s="20">
        <f>IF($H278="","",IF(AND(ISNUMBER(SEARCH("CMT",$H278)),OR(ISNUMBER(SEARCH("완사입",$H278)),ISNUMBER(SEARCH("ODM",$H278)))),"본사/생산처 혼재",IF(ISNUMBER(SEARCH("CMT",$H278)),"본사(소재팀)","생산처")))</f>
        <v/>
      </c>
      <c r="U278" s="20" t="inlineStr">
        <is>
          <t>포마트</t>
        </is>
      </c>
      <c r="V278" s="20">
        <f>IFERROR(TEXTJOIN(" / ",TRUE,UNIQUE(FILTER(소재DB_RAW!$K$3:$K$2000,(소재DB_RAW!$G$3:$G$2000=$D278)*ISERROR(SEARCH("drop",소재DB_RAW!$C$3:$C$2000))))),"")</f>
        <v/>
      </c>
      <c r="W278" s="20" t="inlineStr">
        <is>
          <t>베트남</t>
        </is>
      </c>
      <c r="X278" s="20">
        <f>IFERROR(TEXTJOIN(" / ",TRUE,UNIQUE(FILTER(소재DB_RAW!$N$3:$N$2000,(소재DB_RAW!$G$3:$G$2000=$D278)*ISERROR(SEARCH("drop",소재DB_RAW!$C$3:$C$2000))))),"")</f>
        <v/>
      </c>
      <c r="Y278" s="26">
        <f>IFERROR(TEXTJOIN(CHAR(10),TRUE,UNIQUE(FILTER(소재DB_RAW!$N$3:$N$2000&amp;") "&amp;소재DB_RAW!$O$3:$O$2000,(소재DB_RAW!$G$3:$G$2000=$D278)*ISNUMBER(SEARCH("겉감",소재DB_RAW!$M$3:$M$2000))*ISERROR(SEARCH("drop",소재DB_RAW!$C$3:$C$2000))))),"")</f>
        <v/>
      </c>
      <c r="Z278" s="26">
        <f>IFERROR(TEXTJOIN(CHAR(10),TRUE,UNIQUE(FILTER(소재DB_RAW!$N$3:$N$2000&amp;") "&amp;소재DB_RAW!$O$3:$O$2000,(소재DB_RAW!$G$3:$G$2000=$D278)*ISNUMBER(SEARCH("안감",소재DB_RAW!$M$3:$M$2000))*ISERROR(SEARCH("drop",소재DB_RAW!$C$3:$C$2000))))),"")</f>
        <v/>
      </c>
      <c r="AA278" s="27" t="n">
        <v>3500</v>
      </c>
      <c r="AB278" s="27" t="n">
        <v>154192500</v>
      </c>
      <c r="AC278" s="27" t="n">
        <v>693000000</v>
      </c>
      <c r="AD278" s="20" t="inlineStr">
        <is>
          <t>3월4주</t>
        </is>
      </c>
      <c r="AE278" s="20">
        <f>IF($K278="","출고일 미정",IF($Q278="X","작지 미발행",IF($Q278="부분","작지 일부 미발행",IF(AND($S278&lt;&gt;"",$S278&gt;$N278),"소재입고 마감("&amp;TEXT($N278,"MM/DD")&amp;") 초과",IF($Q278="","발행여부 확인 필요",IF($S278="","소재 입고일정 확인 필요","정상"))))))</f>
        <v/>
      </c>
      <c r="AF278" s="19">
        <f>IF($K278="","",IF(OR(LEFT($AE278,2)="작지",LEFT($AE278,4)="소재입고"),IF(LEFT($G278,1)="S","★ 납기위험(S코드)","◆ 지연주의"),IF($AE278="정상","✓ 정상","? 확인필요")))</f>
        <v/>
      </c>
      <c r="AG278" s="21" t="n"/>
      <c r="AH278" s="28" t="n"/>
    </row>
    <row r="279">
      <c r="A279" s="19" t="n">
        <v>275</v>
      </c>
      <c r="B279" s="20" t="inlineStr">
        <is>
          <t>박술홍</t>
        </is>
      </c>
      <c r="C279" s="20" t="inlineStr">
        <is>
          <t>엄창용</t>
        </is>
      </c>
      <c r="D279" s="20" t="inlineStr">
        <is>
          <t>JWPOM27161</t>
        </is>
      </c>
      <c r="E279" s="20" t="inlineStr">
        <is>
          <t>유통특화_하절 남성 7부 솔리드 팬츠(ODM)</t>
        </is>
      </c>
      <c r="F279" s="20" t="inlineStr">
        <is>
          <t>DGY-2, CIN(CINDER)</t>
        </is>
      </c>
      <c r="G279" s="19">
        <f>IF($D279="","",IF(MID($D279,5,1)="S","S(봄)",IF(MID($D279,5,1)="M","M(여름)",IF(MID($D279,5,1)="X","X(사계절)",MID($D279,5,1)))))</f>
        <v/>
      </c>
      <c r="H279" s="20" t="inlineStr">
        <is>
          <t>CMT</t>
        </is>
      </c>
      <c r="I279" s="19" t="inlineStr">
        <is>
          <t>SM2</t>
        </is>
      </c>
      <c r="J279" s="21" t="inlineStr">
        <is>
          <t>3월4주</t>
        </is>
      </c>
      <c r="K279" s="22">
        <f>IF($J279="","",IFERROR(DATE(IF(VALUE(LEFT($J279,FIND("월",$J279)-1))&gt;=9,기준정보!$C$7-1,기준정보!$C$7),VALUE(LEFT($J279,FIND("월",$J279)-1)),1+7*(VALUE(SUBSTITUTE(MID($J279,FIND("월",$J279)+1,5),"주",""))-1)),""))</f>
        <v/>
      </c>
      <c r="L279" s="22">
        <f>IF($K279="","",IF(AND($K279-기준정보!$C$5&gt;=기준정보!$C$10,$K279-기준정보!$C$5&lt;=기준정보!$C$11),기준정보!$C$10-1,$K279-기준정보!$C$5))</f>
        <v/>
      </c>
      <c r="M279" s="23">
        <f>IF($L279="","",IF(OR(ISNUMBER(SEARCH("중국",$W279)),ISNUMBER(SEARCH("베트남",$W279))),MAX(0,MIN($L279,기준정보!$C$9)-MAX($L279-기준정보!$C$6,기준정보!$C$8)+1),IF(ISNUMBER(SEARCH("한국",$W279)),MAX(0,MIN($L279,기준정보!$C$11)-MAX($L279-기준정보!$C$6,기준정보!$C$10)+1),0)))</f>
        <v/>
      </c>
      <c r="N279" s="22">
        <f>IF($L279="","",$L279-기준정보!$C$6-$M279)</f>
        <v/>
      </c>
      <c r="O279" s="24">
        <f>IF($N279="","",$N279-기준정보!$C$4)</f>
        <v/>
      </c>
      <c r="P279" s="21" t="n"/>
      <c r="Q279" s="21" t="inlineStr">
        <is>
          <t>O</t>
        </is>
      </c>
      <c r="R279" s="19">
        <f>IF(COUNTIF(EDW_RAW!$A$2:$A$1500,$D279)=0,"",IF(COUNTIFS(EDW_RAW!$A$2:$A$1500,$D279,EDW_RAW!$U$2:$U$1500,"&lt;&gt;~",EDW_RAW!$U$2:$U$1500,"&lt;&gt;")=COUNTIF(EDW_RAW!$A$2:$A$1500,$D279),"O",IF(COUNTIFS(EDW_RAW!$A$2:$A$1500,$D279,EDW_RAW!$U$2:$U$1500,"&lt;&gt;~",EDW_RAW!$U$2:$U$1500,"&lt;&gt;")&gt;0,"부분","X")))</f>
        <v/>
      </c>
      <c r="S279" s="25" t="n"/>
      <c r="T279" s="20">
        <f>IF($H279="","",IF(AND(ISNUMBER(SEARCH("CMT",$H279)),OR(ISNUMBER(SEARCH("완사입",$H279)),ISNUMBER(SEARCH("ODM",$H279)))),"본사/생산처 혼재",IF(ISNUMBER(SEARCH("CMT",$H279)),"본사(소재팀)","생산처")))</f>
        <v/>
      </c>
      <c r="U279" s="20" t="inlineStr">
        <is>
          <t>디코드</t>
        </is>
      </c>
      <c r="V279" s="20">
        <f>IFERROR(TEXTJOIN(" / ",TRUE,UNIQUE(FILTER(소재DB_RAW!$K$3:$K$2000,(소재DB_RAW!$G$3:$G$2000=$D279)*ISERROR(SEARCH("drop",소재DB_RAW!$C$3:$C$2000))))),"")</f>
        <v/>
      </c>
      <c r="W279" s="20" t="inlineStr">
        <is>
          <t>베트남</t>
        </is>
      </c>
      <c r="X279" s="20">
        <f>IFERROR(TEXTJOIN(" / ",TRUE,UNIQUE(FILTER(소재DB_RAW!$N$3:$N$2000,(소재DB_RAW!$G$3:$G$2000=$D279)*ISERROR(SEARCH("drop",소재DB_RAW!$C$3:$C$2000))))),"")</f>
        <v/>
      </c>
      <c r="Y279" s="26">
        <f>IFERROR(TEXTJOIN(CHAR(10),TRUE,UNIQUE(FILTER(소재DB_RAW!$N$3:$N$2000&amp;") "&amp;소재DB_RAW!$O$3:$O$2000,(소재DB_RAW!$G$3:$G$2000=$D279)*ISNUMBER(SEARCH("겉감",소재DB_RAW!$M$3:$M$2000))*ISERROR(SEARCH("drop",소재DB_RAW!$C$3:$C$2000))))),"")</f>
        <v/>
      </c>
      <c r="Z279" s="26">
        <f>IFERROR(TEXTJOIN(CHAR(10),TRUE,UNIQUE(FILTER(소재DB_RAW!$N$3:$N$2000&amp;") "&amp;소재DB_RAW!$O$3:$O$2000,(소재DB_RAW!$G$3:$G$2000=$D279)*ISNUMBER(SEARCH("안감",소재DB_RAW!$M$3:$M$2000))*ISERROR(SEARCH("drop",소재DB_RAW!$C$3:$C$2000))))),"")</f>
        <v/>
      </c>
      <c r="AA279" s="27" t="n">
        <v>3500</v>
      </c>
      <c r="AB279" s="27" t="n">
        <v>94500000</v>
      </c>
      <c r="AC279" s="27" t="n">
        <v>518000000</v>
      </c>
      <c r="AD279" s="20" t="inlineStr">
        <is>
          <t>3월4주</t>
        </is>
      </c>
      <c r="AE279" s="20">
        <f>IF($K279="","출고일 미정",IF($Q279="X","작지 미발행",IF($Q279="부분","작지 일부 미발행",IF(AND($S279&lt;&gt;"",$S279&gt;$N279),"소재입고 마감("&amp;TEXT($N279,"MM/DD")&amp;") 초과",IF($Q279="","발행여부 확인 필요",IF($S279="","소재 입고일정 확인 필요","정상"))))))</f>
        <v/>
      </c>
      <c r="AF279" s="19">
        <f>IF($K279="","",IF(OR(LEFT($AE279,2)="작지",LEFT($AE279,4)="소재입고"),IF(LEFT($G279,1)="S","★ 납기위험(S코드)","◆ 지연주의"),IF($AE279="정상","✓ 정상","? 확인필요")))</f>
        <v/>
      </c>
      <c r="AG279" s="21" t="n"/>
      <c r="AH279" s="28" t="n"/>
    </row>
    <row r="280">
      <c r="A280" s="19" t="n">
        <v>276</v>
      </c>
      <c r="B280" s="20" t="inlineStr">
        <is>
          <t>박술홍</t>
        </is>
      </c>
      <c r="C280" s="20" t="inlineStr">
        <is>
          <t>엄창용</t>
        </is>
      </c>
      <c r="D280" s="20" t="inlineStr">
        <is>
          <t>JWPOM27171</t>
        </is>
      </c>
      <c r="E280" s="20" t="inlineStr">
        <is>
          <t>하절 남성 마운틴 카고 7부 팬츠</t>
        </is>
      </c>
      <c r="F280" s="20" t="inlineStr">
        <is>
          <t>BLK(BLACK), GBR(G/BROWN)</t>
        </is>
      </c>
      <c r="G280" s="19">
        <f>IF($D280="","",IF(MID($D280,5,1)="S","S(봄)",IF(MID($D280,5,1)="M","M(여름)",IF(MID($D280,5,1)="X","X(사계절)",MID($D280,5,1)))))</f>
        <v/>
      </c>
      <c r="H280" s="20" t="inlineStr">
        <is>
          <t>완사입</t>
        </is>
      </c>
      <c r="I280" s="19" t="inlineStr">
        <is>
          <t>SM2</t>
        </is>
      </c>
      <c r="J280" s="21" t="inlineStr">
        <is>
          <t>3월4주</t>
        </is>
      </c>
      <c r="K280" s="22">
        <f>IF($J280="","",IFERROR(DATE(IF(VALUE(LEFT($J280,FIND("월",$J280)-1))&gt;=9,기준정보!$C$7-1,기준정보!$C$7),VALUE(LEFT($J280,FIND("월",$J280)-1)),1+7*(VALUE(SUBSTITUTE(MID($J280,FIND("월",$J280)+1,5),"주",""))-1)),""))</f>
        <v/>
      </c>
      <c r="L280" s="22">
        <f>IF($K280="","",IF(AND($K280-기준정보!$C$5&gt;=기준정보!$C$10,$K280-기준정보!$C$5&lt;=기준정보!$C$11),기준정보!$C$10-1,$K280-기준정보!$C$5))</f>
        <v/>
      </c>
      <c r="M280" s="23">
        <f>IF($L280="","",IF(OR(ISNUMBER(SEARCH("중국",$W280)),ISNUMBER(SEARCH("베트남",$W280))),MAX(0,MIN($L280,기준정보!$C$9)-MAX($L280-기준정보!$C$6,기준정보!$C$8)+1),IF(ISNUMBER(SEARCH("한국",$W280)),MAX(0,MIN($L280,기준정보!$C$11)-MAX($L280-기준정보!$C$6,기준정보!$C$10)+1),0)))</f>
        <v/>
      </c>
      <c r="N280" s="22">
        <f>IF($L280="","",$L280-기준정보!$C$6-$M280)</f>
        <v/>
      </c>
      <c r="O280" s="24">
        <f>IF($N280="","",$N280-기준정보!$C$4)</f>
        <v/>
      </c>
      <c r="P280" s="21" t="n"/>
      <c r="Q280" s="21" t="inlineStr">
        <is>
          <t>O</t>
        </is>
      </c>
      <c r="R280" s="19">
        <f>IF(COUNTIF(EDW_RAW!$A$2:$A$1500,$D280)=0,"",IF(COUNTIFS(EDW_RAW!$A$2:$A$1500,$D280,EDW_RAW!$U$2:$U$1500,"&lt;&gt;~",EDW_RAW!$U$2:$U$1500,"&lt;&gt;")=COUNTIF(EDW_RAW!$A$2:$A$1500,$D280),"O",IF(COUNTIFS(EDW_RAW!$A$2:$A$1500,$D280,EDW_RAW!$U$2:$U$1500,"&lt;&gt;~",EDW_RAW!$U$2:$U$1500,"&lt;&gt;")&gt;0,"부분","X")))</f>
        <v/>
      </c>
      <c r="S280" s="25" t="n"/>
      <c r="T280" s="20">
        <f>IF($H280="","",IF(AND(ISNUMBER(SEARCH("CMT",$H280)),OR(ISNUMBER(SEARCH("완사입",$H280)),ISNUMBER(SEARCH("ODM",$H280)))),"본사/생산처 혼재",IF(ISNUMBER(SEARCH("CMT",$H280)),"본사(소재팀)","생산처")))</f>
        <v/>
      </c>
      <c r="U280" s="20" t="inlineStr">
        <is>
          <t>YIC</t>
        </is>
      </c>
      <c r="V280" s="20">
        <f>IFERROR(TEXTJOIN(" / ",TRUE,UNIQUE(FILTER(소재DB_RAW!$K$3:$K$2000,(소재DB_RAW!$G$3:$G$2000=$D280)*ISERROR(SEARCH("drop",소재DB_RAW!$C$3:$C$2000))))),"")</f>
        <v/>
      </c>
      <c r="W280" s="20" t="inlineStr">
        <is>
          <t>베트남</t>
        </is>
      </c>
      <c r="X280" s="20">
        <f>IFERROR(TEXTJOIN(" / ",TRUE,UNIQUE(FILTER(소재DB_RAW!$N$3:$N$2000,(소재DB_RAW!$G$3:$G$2000=$D280)*ISERROR(SEARCH("drop",소재DB_RAW!$C$3:$C$2000))))),"")</f>
        <v/>
      </c>
      <c r="Y280" s="26">
        <f>IFERROR(TEXTJOIN(CHAR(10),TRUE,UNIQUE(FILTER(소재DB_RAW!$N$3:$N$2000&amp;") "&amp;소재DB_RAW!$O$3:$O$2000,(소재DB_RAW!$G$3:$G$2000=$D280)*ISNUMBER(SEARCH("겉감",소재DB_RAW!$M$3:$M$2000))*ISERROR(SEARCH("drop",소재DB_RAW!$C$3:$C$2000))))),"")</f>
        <v/>
      </c>
      <c r="Z280" s="26">
        <f>IFERROR(TEXTJOIN(CHAR(10),TRUE,UNIQUE(FILTER(소재DB_RAW!$N$3:$N$2000&amp;") "&amp;소재DB_RAW!$O$3:$O$2000,(소재DB_RAW!$G$3:$G$2000=$D280)*ISNUMBER(SEARCH("안감",소재DB_RAW!$M$3:$M$2000))*ISERROR(SEARCH("drop",소재DB_RAW!$C$3:$C$2000))))),"")</f>
        <v/>
      </c>
      <c r="AA280" s="27" t="n">
        <v>7000</v>
      </c>
      <c r="AB280" s="27" t="n">
        <v>224476000</v>
      </c>
      <c r="AC280" s="27" t="n">
        <v>1106000000</v>
      </c>
      <c r="AD280" s="20" t="inlineStr">
        <is>
          <t>3월4주</t>
        </is>
      </c>
      <c r="AE280" s="20">
        <f>IF($K280="","출고일 미정",IF($Q280="X","작지 미발행",IF($Q280="부분","작지 일부 미발행",IF(AND($S280&lt;&gt;"",$S280&gt;$N280),"소재입고 마감("&amp;TEXT($N280,"MM/DD")&amp;") 초과",IF($Q280="","발행여부 확인 필요",IF($S280="","소재 입고일정 확인 필요","정상"))))))</f>
        <v/>
      </c>
      <c r="AF280" s="19">
        <f>IF($K280="","",IF(OR(LEFT($AE280,2)="작지",LEFT($AE280,4)="소재입고"),IF(LEFT($G280,1)="S","★ 납기위험(S코드)","◆ 지연주의"),IF($AE280="정상","✓ 정상","? 확인필요")))</f>
        <v/>
      </c>
      <c r="AG280" s="21" t="n"/>
      <c r="AH280" s="28" t="n"/>
    </row>
    <row r="281">
      <c r="A281" s="19" t="n">
        <v>277</v>
      </c>
      <c r="B281" s="20" t="inlineStr">
        <is>
          <t>박술홍</t>
        </is>
      </c>
      <c r="C281" s="20" t="inlineStr">
        <is>
          <t>엄창용</t>
        </is>
      </c>
      <c r="D281" s="20" t="inlineStr">
        <is>
          <t>JWSCM27183</t>
        </is>
      </c>
      <c r="E281" s="20" t="inlineStr">
        <is>
          <t>하절 남성 에어도트 반팔 셔츠</t>
        </is>
      </c>
      <c r="F281" s="20" t="inlineStr">
        <is>
          <t>BLK(BLACK), KHA(KHAKI)</t>
        </is>
      </c>
      <c r="G281" s="19">
        <f>IF($D281="","",IF(MID($D281,5,1)="S","S(봄)",IF(MID($D281,5,1)="M","M(여름)",IF(MID($D281,5,1)="X","X(사계절)",MID($D281,5,1)))))</f>
        <v/>
      </c>
      <c r="H281" s="20" t="inlineStr">
        <is>
          <t>완사입</t>
        </is>
      </c>
      <c r="I281" s="19" t="inlineStr">
        <is>
          <t>SM2</t>
        </is>
      </c>
      <c r="J281" s="21" t="inlineStr">
        <is>
          <t>3월4주</t>
        </is>
      </c>
      <c r="K281" s="22">
        <f>IF($J281="","",IFERROR(DATE(IF(VALUE(LEFT($J281,FIND("월",$J281)-1))&gt;=9,기준정보!$C$7-1,기준정보!$C$7),VALUE(LEFT($J281,FIND("월",$J281)-1)),1+7*(VALUE(SUBSTITUTE(MID($J281,FIND("월",$J281)+1,5),"주",""))-1)),""))</f>
        <v/>
      </c>
      <c r="L281" s="22">
        <f>IF($K281="","",IF(AND($K281-기준정보!$C$5&gt;=기준정보!$C$10,$K281-기준정보!$C$5&lt;=기준정보!$C$11),기준정보!$C$10-1,$K281-기준정보!$C$5))</f>
        <v/>
      </c>
      <c r="M281" s="23">
        <f>IF($L281="","",IF(OR(ISNUMBER(SEARCH("중국",$W281)),ISNUMBER(SEARCH("베트남",$W281))),MAX(0,MIN($L281,기준정보!$C$9)-MAX($L281-기준정보!$C$6,기준정보!$C$8)+1),IF(ISNUMBER(SEARCH("한국",$W281)),MAX(0,MIN($L281,기준정보!$C$11)-MAX($L281-기준정보!$C$6,기준정보!$C$10)+1),0)))</f>
        <v/>
      </c>
      <c r="N281" s="22">
        <f>IF($L281="","",$L281-기준정보!$C$6-$M281)</f>
        <v/>
      </c>
      <c r="O281" s="24">
        <f>IF($N281="","",$N281-기준정보!$C$4)</f>
        <v/>
      </c>
      <c r="P281" s="21" t="n"/>
      <c r="Q281" s="21" t="inlineStr">
        <is>
          <t>O</t>
        </is>
      </c>
      <c r="R281" s="19">
        <f>IF(COUNTIF(EDW_RAW!$A$2:$A$1500,$D281)=0,"",IF(COUNTIFS(EDW_RAW!$A$2:$A$1500,$D281,EDW_RAW!$U$2:$U$1500,"&lt;&gt;~",EDW_RAW!$U$2:$U$1500,"&lt;&gt;")=COUNTIF(EDW_RAW!$A$2:$A$1500,$D281),"O",IF(COUNTIFS(EDW_RAW!$A$2:$A$1500,$D281,EDW_RAW!$U$2:$U$1500,"&lt;&gt;~",EDW_RAW!$U$2:$U$1500,"&lt;&gt;")&gt;0,"부분","X")))</f>
        <v/>
      </c>
      <c r="S281" s="25" t="n"/>
      <c r="T281" s="20">
        <f>IF($H281="","",IF(AND(ISNUMBER(SEARCH("CMT",$H281)),OR(ISNUMBER(SEARCH("완사입",$H281)),ISNUMBER(SEARCH("ODM",$H281)))),"본사/생산처 혼재",IF(ISNUMBER(SEARCH("CMT",$H281)),"본사(소재팀)","생산처")))</f>
        <v/>
      </c>
      <c r="U281" s="20" t="inlineStr">
        <is>
          <t>성원</t>
        </is>
      </c>
      <c r="V281" s="20">
        <f>IFERROR(TEXTJOIN(" / ",TRUE,UNIQUE(FILTER(소재DB_RAW!$K$3:$K$2000,(소재DB_RAW!$G$3:$G$2000=$D281)*ISERROR(SEARCH("drop",소재DB_RAW!$C$3:$C$2000))))),"")</f>
        <v/>
      </c>
      <c r="W281" s="20" t="inlineStr">
        <is>
          <t>베트남</t>
        </is>
      </c>
      <c r="X281" s="20">
        <f>IFERROR(TEXTJOIN(" / ",TRUE,UNIQUE(FILTER(소재DB_RAW!$N$3:$N$2000,(소재DB_RAW!$G$3:$G$2000=$D281)*ISERROR(SEARCH("drop",소재DB_RAW!$C$3:$C$2000))))),"")</f>
        <v/>
      </c>
      <c r="Y281" s="26">
        <f>IFERROR(TEXTJOIN(CHAR(10),TRUE,UNIQUE(FILTER(소재DB_RAW!$N$3:$N$2000&amp;") "&amp;소재DB_RAW!$O$3:$O$2000,(소재DB_RAW!$G$3:$G$2000=$D281)*ISNUMBER(SEARCH("겉감",소재DB_RAW!$M$3:$M$2000))*ISERROR(SEARCH("drop",소재DB_RAW!$C$3:$C$2000))))),"")</f>
        <v/>
      </c>
      <c r="Z281" s="26">
        <f>IFERROR(TEXTJOIN(CHAR(10),TRUE,UNIQUE(FILTER(소재DB_RAW!$N$3:$N$2000&amp;") "&amp;소재DB_RAW!$O$3:$O$2000,(소재DB_RAW!$G$3:$G$2000=$D281)*ISNUMBER(SEARCH("안감",소재DB_RAW!$M$3:$M$2000))*ISERROR(SEARCH("drop",소재DB_RAW!$C$3:$C$2000))))),"")</f>
        <v/>
      </c>
      <c r="AA281" s="27" t="n">
        <v>3000</v>
      </c>
      <c r="AB281" s="27" t="n">
        <v>97056000</v>
      </c>
      <c r="AC281" s="27" t="n">
        <v>444000000</v>
      </c>
      <c r="AD281" s="20" t="n"/>
      <c r="AE281" s="20">
        <f>IF($K281="","출고일 미정",IF($Q281="X","작지 미발행",IF($Q281="부분","작지 일부 미발행",IF(AND($S281&lt;&gt;"",$S281&gt;$N281),"소재입고 마감("&amp;TEXT($N281,"MM/DD")&amp;") 초과",IF($Q281="","발행여부 확인 필요",IF($S281="","소재 입고일정 확인 필요","정상"))))))</f>
        <v/>
      </c>
      <c r="AF281" s="19">
        <f>IF($K281="","",IF(OR(LEFT($AE281,2)="작지",LEFT($AE281,4)="소재입고"),IF(LEFT($G281,1)="S","★ 납기위험(S코드)","◆ 지연주의"),IF($AE281="정상","✓ 정상","? 확인필요")))</f>
        <v/>
      </c>
      <c r="AG281" s="21" t="n"/>
      <c r="AH281" s="28" t="n"/>
    </row>
    <row r="282">
      <c r="A282" s="19" t="n">
        <v>278</v>
      </c>
      <c r="B282" s="20" t="inlineStr">
        <is>
          <t>박지인</t>
        </is>
      </c>
      <c r="C282" s="20" t="inlineStr">
        <is>
          <t>이다영</t>
        </is>
      </c>
      <c r="D282" s="20" t="inlineStr">
        <is>
          <t>JWTBM27301</t>
        </is>
      </c>
      <c r="E282" s="20" t="inlineStr">
        <is>
          <t>남성 썬 후디 긴팔 티셔츠</t>
        </is>
      </c>
      <c r="F282" s="20" t="inlineStr">
        <is>
          <t>ABL(A/BLUE), SGY</t>
        </is>
      </c>
      <c r="G282" s="19">
        <f>IF($D282="","",IF(MID($D282,5,1)="S","S(봄)",IF(MID($D282,5,1)="M","M(여름)",IF(MID($D282,5,1)="X","X(사계절)",MID($D282,5,1)))))</f>
        <v/>
      </c>
      <c r="H282" s="20" t="inlineStr">
        <is>
          <t>완사입</t>
        </is>
      </c>
      <c r="I282" s="19" t="inlineStr">
        <is>
          <t>SM2</t>
        </is>
      </c>
      <c r="J282" s="21" t="inlineStr">
        <is>
          <t>3월4주</t>
        </is>
      </c>
      <c r="K282" s="22">
        <f>IF($J282="","",IFERROR(DATE(IF(VALUE(LEFT($J282,FIND("월",$J282)-1))&gt;=9,기준정보!$C$7-1,기준정보!$C$7),VALUE(LEFT($J282,FIND("월",$J282)-1)),1+7*(VALUE(SUBSTITUTE(MID($J282,FIND("월",$J282)+1,5),"주",""))-1)),""))</f>
        <v/>
      </c>
      <c r="L282" s="22">
        <f>IF($K282="","",IF(AND($K282-기준정보!$C$5&gt;=기준정보!$C$10,$K282-기준정보!$C$5&lt;=기준정보!$C$11),기준정보!$C$10-1,$K282-기준정보!$C$5))</f>
        <v/>
      </c>
      <c r="M282" s="23">
        <f>IF($L282="","",IF(OR(ISNUMBER(SEARCH("중국",$W282)),ISNUMBER(SEARCH("베트남",$W282))),MAX(0,MIN($L282,기준정보!$C$9)-MAX($L282-기준정보!$C$6,기준정보!$C$8)+1),IF(ISNUMBER(SEARCH("한국",$W282)),MAX(0,MIN($L282,기준정보!$C$11)-MAX($L282-기준정보!$C$6,기준정보!$C$10)+1),0)))</f>
        <v/>
      </c>
      <c r="N282" s="22">
        <f>IF($L282="","",$L282-기준정보!$C$6-$M282)</f>
        <v/>
      </c>
      <c r="O282" s="24">
        <f>IF($N282="","",$N282-기준정보!$C$4)</f>
        <v/>
      </c>
      <c r="P282" s="21" t="n"/>
      <c r="Q282" s="21" t="inlineStr">
        <is>
          <t>O</t>
        </is>
      </c>
      <c r="R282" s="19">
        <f>IF(COUNTIF(EDW_RAW!$A$2:$A$1500,$D282)=0,"",IF(COUNTIFS(EDW_RAW!$A$2:$A$1500,$D282,EDW_RAW!$U$2:$U$1500,"&lt;&gt;~",EDW_RAW!$U$2:$U$1500,"&lt;&gt;")=COUNTIF(EDW_RAW!$A$2:$A$1500,$D282),"O",IF(COUNTIFS(EDW_RAW!$A$2:$A$1500,$D282,EDW_RAW!$U$2:$U$1500,"&lt;&gt;~",EDW_RAW!$U$2:$U$1500,"&lt;&gt;")&gt;0,"부분","X")))</f>
        <v/>
      </c>
      <c r="S282" s="25" t="n"/>
      <c r="T282" s="20">
        <f>IF($H282="","",IF(AND(ISNUMBER(SEARCH("CMT",$H282)),OR(ISNUMBER(SEARCH("완사입",$H282)),ISNUMBER(SEARCH("ODM",$H282)))),"본사/생산처 혼재",IF(ISNUMBER(SEARCH("CMT",$H282)),"본사(소재팀)","생산처")))</f>
        <v/>
      </c>
      <c r="U282" s="20" t="inlineStr">
        <is>
          <t>장안</t>
        </is>
      </c>
      <c r="V282" s="20">
        <f>IFERROR(TEXTJOIN(" / ",TRUE,UNIQUE(FILTER(소재DB_RAW!$K$3:$K$2000,(소재DB_RAW!$G$3:$G$2000=$D282)*ISERROR(SEARCH("drop",소재DB_RAW!$C$3:$C$2000))))),"")</f>
        <v/>
      </c>
      <c r="W282" s="20" t="inlineStr">
        <is>
          <t>베트남</t>
        </is>
      </c>
      <c r="X282" s="20">
        <f>IFERROR(TEXTJOIN(" / ",TRUE,UNIQUE(FILTER(소재DB_RAW!$N$3:$N$2000,(소재DB_RAW!$G$3:$G$2000=$D282)*ISERROR(SEARCH("drop",소재DB_RAW!$C$3:$C$2000))))),"")</f>
        <v/>
      </c>
      <c r="Y282" s="26">
        <f>IFERROR(TEXTJOIN(CHAR(10),TRUE,UNIQUE(FILTER(소재DB_RAW!$N$3:$N$2000&amp;") "&amp;소재DB_RAW!$O$3:$O$2000,(소재DB_RAW!$G$3:$G$2000=$D282)*ISNUMBER(SEARCH("겉감",소재DB_RAW!$M$3:$M$2000))*ISERROR(SEARCH("drop",소재DB_RAW!$C$3:$C$2000))))),"")</f>
        <v/>
      </c>
      <c r="Z282" s="26">
        <f>IFERROR(TEXTJOIN(CHAR(10),TRUE,UNIQUE(FILTER(소재DB_RAW!$N$3:$N$2000&amp;") "&amp;소재DB_RAW!$O$3:$O$2000,(소재DB_RAW!$G$3:$G$2000=$D282)*ISNUMBER(SEARCH("안감",소재DB_RAW!$M$3:$M$2000))*ISERROR(SEARCH("drop",소재DB_RAW!$C$3:$C$2000))))),"")</f>
        <v/>
      </c>
      <c r="AA282" s="27" t="n">
        <v>1600</v>
      </c>
      <c r="AB282" s="27" t="n">
        <v>57788800</v>
      </c>
      <c r="AC282" s="27" t="n">
        <v>252800000</v>
      </c>
      <c r="AD282" s="20" t="inlineStr">
        <is>
          <t>3월4주</t>
        </is>
      </c>
      <c r="AE282" s="20">
        <f>IF($K282="","출고일 미정",IF($Q282="X","작지 미발행",IF($Q282="부분","작지 일부 미발행",IF(AND($S282&lt;&gt;"",$S282&gt;$N282),"소재입고 마감("&amp;TEXT($N282,"MM/DD")&amp;") 초과",IF($Q282="","발행여부 확인 필요",IF($S282="","소재 입고일정 확인 필요","정상"))))))</f>
        <v/>
      </c>
      <c r="AF282" s="19">
        <f>IF($K282="","",IF(OR(LEFT($AE282,2)="작지",LEFT($AE282,4)="소재입고"),IF(LEFT($G282,1)="S","★ 납기위험(S코드)","◆ 지연주의"),IF($AE282="정상","✓ 정상","? 확인필요")))</f>
        <v/>
      </c>
      <c r="AG282" s="21" t="n"/>
      <c r="AH282" s="28" t="n"/>
    </row>
    <row r="283">
      <c r="A283" s="19" t="n">
        <v>279</v>
      </c>
      <c r="B283" s="20" t="inlineStr">
        <is>
          <t>박지인</t>
        </is>
      </c>
      <c r="C283" s="20" t="inlineStr">
        <is>
          <t>이다영</t>
        </is>
      </c>
      <c r="D283" s="20" t="inlineStr">
        <is>
          <t>JWTBM27311</t>
        </is>
      </c>
      <c r="E283" s="20" t="inlineStr">
        <is>
          <t>남성 패커블 그래픽 긴팔 티셔츠</t>
        </is>
      </c>
      <c r="F283" s="20" t="inlineStr">
        <is>
          <t>BGY-2, BLK(BLACK)</t>
        </is>
      </c>
      <c r="G283" s="19">
        <f>IF($D283="","",IF(MID($D283,5,1)="S","S(봄)",IF(MID($D283,5,1)="M","M(여름)",IF(MID($D283,5,1)="X","X(사계절)",MID($D283,5,1)))))</f>
        <v/>
      </c>
      <c r="H283" s="20" t="inlineStr">
        <is>
          <t>완사입</t>
        </is>
      </c>
      <c r="I283" s="19" t="inlineStr">
        <is>
          <t>SM2</t>
        </is>
      </c>
      <c r="J283" s="21" t="inlineStr">
        <is>
          <t>3월4주</t>
        </is>
      </c>
      <c r="K283" s="22">
        <f>IF($J283="","",IFERROR(DATE(IF(VALUE(LEFT($J283,FIND("월",$J283)-1))&gt;=9,기준정보!$C$7-1,기준정보!$C$7),VALUE(LEFT($J283,FIND("월",$J283)-1)),1+7*(VALUE(SUBSTITUTE(MID($J283,FIND("월",$J283)+1,5),"주",""))-1)),""))</f>
        <v/>
      </c>
      <c r="L283" s="22">
        <f>IF($K283="","",IF(AND($K283-기준정보!$C$5&gt;=기준정보!$C$10,$K283-기준정보!$C$5&lt;=기준정보!$C$11),기준정보!$C$10-1,$K283-기준정보!$C$5))</f>
        <v/>
      </c>
      <c r="M283" s="23">
        <f>IF($L283="","",IF(OR(ISNUMBER(SEARCH("중국",$W283)),ISNUMBER(SEARCH("베트남",$W283))),MAX(0,MIN($L283,기준정보!$C$9)-MAX($L283-기준정보!$C$6,기준정보!$C$8)+1),IF(ISNUMBER(SEARCH("한국",$W283)),MAX(0,MIN($L283,기준정보!$C$11)-MAX($L283-기준정보!$C$6,기준정보!$C$10)+1),0)))</f>
        <v/>
      </c>
      <c r="N283" s="22">
        <f>IF($L283="","",$L283-기준정보!$C$6-$M283)</f>
        <v/>
      </c>
      <c r="O283" s="24">
        <f>IF($N283="","",$N283-기준정보!$C$4)</f>
        <v/>
      </c>
      <c r="P283" s="21" t="n"/>
      <c r="Q283" s="21" t="inlineStr">
        <is>
          <t>O</t>
        </is>
      </c>
      <c r="R283" s="19">
        <f>IF(COUNTIF(EDW_RAW!$A$2:$A$1500,$D283)=0,"",IF(COUNTIFS(EDW_RAW!$A$2:$A$1500,$D283,EDW_RAW!$U$2:$U$1500,"&lt;&gt;~",EDW_RAW!$U$2:$U$1500,"&lt;&gt;")=COUNTIF(EDW_RAW!$A$2:$A$1500,$D283),"O",IF(COUNTIFS(EDW_RAW!$A$2:$A$1500,$D283,EDW_RAW!$U$2:$U$1500,"&lt;&gt;~",EDW_RAW!$U$2:$U$1500,"&lt;&gt;")&gt;0,"부분","X")))</f>
        <v/>
      </c>
      <c r="S283" s="25" t="n"/>
      <c r="T283" s="20">
        <f>IF($H283="","",IF(AND(ISNUMBER(SEARCH("CMT",$H283)),OR(ISNUMBER(SEARCH("완사입",$H283)),ISNUMBER(SEARCH("ODM",$H283)))),"본사/생산처 혼재",IF(ISNUMBER(SEARCH("CMT",$H283)),"본사(소재팀)","생산처")))</f>
        <v/>
      </c>
      <c r="U283" s="20" t="inlineStr">
        <is>
          <t>IKG</t>
        </is>
      </c>
      <c r="V283" s="20">
        <f>IFERROR(TEXTJOIN(" / ",TRUE,UNIQUE(FILTER(소재DB_RAW!$K$3:$K$2000,(소재DB_RAW!$G$3:$G$2000=$D283)*ISERROR(SEARCH("drop",소재DB_RAW!$C$3:$C$2000))))),"")</f>
        <v/>
      </c>
      <c r="W283" s="20" t="inlineStr">
        <is>
          <t>인도네시아</t>
        </is>
      </c>
      <c r="X283" s="20">
        <f>IFERROR(TEXTJOIN(" / ",TRUE,UNIQUE(FILTER(소재DB_RAW!$N$3:$N$2000,(소재DB_RAW!$G$3:$G$2000=$D283)*ISERROR(SEARCH("drop",소재DB_RAW!$C$3:$C$2000))))),"")</f>
        <v/>
      </c>
      <c r="Y283" s="26">
        <f>IFERROR(TEXTJOIN(CHAR(10),TRUE,UNIQUE(FILTER(소재DB_RAW!$N$3:$N$2000&amp;") "&amp;소재DB_RAW!$O$3:$O$2000,(소재DB_RAW!$G$3:$G$2000=$D283)*ISNUMBER(SEARCH("겉감",소재DB_RAW!$M$3:$M$2000))*ISERROR(SEARCH("drop",소재DB_RAW!$C$3:$C$2000))))),"")</f>
        <v/>
      </c>
      <c r="Z283" s="26">
        <f>IFERROR(TEXTJOIN(CHAR(10),TRUE,UNIQUE(FILTER(소재DB_RAW!$N$3:$N$2000&amp;") "&amp;소재DB_RAW!$O$3:$O$2000,(소재DB_RAW!$G$3:$G$2000=$D283)*ISNUMBER(SEARCH("안감",소재DB_RAW!$M$3:$M$2000))*ISERROR(SEARCH("drop",소재DB_RAW!$C$3:$C$2000))))),"")</f>
        <v/>
      </c>
      <c r="AA283" s="27" t="n">
        <v>1200</v>
      </c>
      <c r="AB283" s="27" t="n">
        <v>31116000</v>
      </c>
      <c r="AC283" s="27" t="n">
        <v>153600000</v>
      </c>
      <c r="AD283" s="20" t="inlineStr">
        <is>
          <t>3월4주</t>
        </is>
      </c>
      <c r="AE283" s="20">
        <f>IF($K283="","출고일 미정",IF($Q283="X","작지 미발행",IF($Q283="부분","작지 일부 미발행",IF(AND($S283&lt;&gt;"",$S283&gt;$N283),"소재입고 마감("&amp;TEXT($N283,"MM/DD")&amp;") 초과",IF($Q283="","발행여부 확인 필요",IF($S283="","소재 입고일정 확인 필요","정상"))))))</f>
        <v/>
      </c>
      <c r="AF283" s="19">
        <f>IF($K283="","",IF(OR(LEFT($AE283,2)="작지",LEFT($AE283,4)="소재입고"),IF(LEFT($G283,1)="S","★ 납기위험(S코드)","◆ 지연주의"),IF($AE283="정상","✓ 정상","? 확인필요")))</f>
        <v/>
      </c>
      <c r="AG283" s="21" t="n"/>
      <c r="AH283" s="28" t="n"/>
    </row>
    <row r="284">
      <c r="A284" s="19" t="n">
        <v>280</v>
      </c>
      <c r="B284" s="20" t="inlineStr">
        <is>
          <t>이재헌</t>
        </is>
      </c>
      <c r="C284" s="20" t="inlineStr">
        <is>
          <t>엄창용</t>
        </is>
      </c>
      <c r="D284" s="20" t="inlineStr">
        <is>
          <t>JWTCM27131</t>
        </is>
      </c>
      <c r="E284" s="20" t="inlineStr">
        <is>
          <t>남녀공용 소로나 릴렉스핏 그래픽 티셔츠</t>
        </is>
      </c>
      <c r="F284" s="20" t="inlineStr">
        <is>
          <t>OWH, DMI(D/MINT), BLK(BLACK)</t>
        </is>
      </c>
      <c r="G284" s="19">
        <f>IF($D284="","",IF(MID($D284,5,1)="S","S(봄)",IF(MID($D284,5,1)="M","M(여름)",IF(MID($D284,5,1)="X","X(사계절)",MID($D284,5,1)))))</f>
        <v/>
      </c>
      <c r="H284" s="20" t="inlineStr">
        <is>
          <t>완사입</t>
        </is>
      </c>
      <c r="I284" s="19" t="inlineStr"/>
      <c r="J284" s="21" t="inlineStr">
        <is>
          <t>3월4주</t>
        </is>
      </c>
      <c r="K284" s="22">
        <f>IF($J284="","",IFERROR(DATE(IF(VALUE(LEFT($J284,FIND("월",$J284)-1))&gt;=9,기준정보!$C$7-1,기준정보!$C$7),VALUE(LEFT($J284,FIND("월",$J284)-1)),1+7*(VALUE(SUBSTITUTE(MID($J284,FIND("월",$J284)+1,5),"주",""))-1)),""))</f>
        <v/>
      </c>
      <c r="L284" s="22">
        <f>IF($K284="","",IF(AND($K284-기준정보!$C$5&gt;=기준정보!$C$10,$K284-기준정보!$C$5&lt;=기준정보!$C$11),기준정보!$C$10-1,$K284-기준정보!$C$5))</f>
        <v/>
      </c>
      <c r="M284" s="23">
        <f>IF($L284="","",IF(OR(ISNUMBER(SEARCH("중국",$W284)),ISNUMBER(SEARCH("베트남",$W284))),MAX(0,MIN($L284,기준정보!$C$9)-MAX($L284-기준정보!$C$6,기준정보!$C$8)+1),IF(ISNUMBER(SEARCH("한국",$W284)),MAX(0,MIN($L284,기준정보!$C$11)-MAX($L284-기준정보!$C$6,기준정보!$C$10)+1),0)))</f>
        <v/>
      </c>
      <c r="N284" s="22">
        <f>IF($L284="","",$L284-기준정보!$C$6-$M284)</f>
        <v/>
      </c>
      <c r="O284" s="24">
        <f>IF($N284="","",$N284-기준정보!$C$4)</f>
        <v/>
      </c>
      <c r="P284" s="21" t="n"/>
      <c r="Q284" s="21" t="inlineStr">
        <is>
          <t>O</t>
        </is>
      </c>
      <c r="R284" s="19">
        <f>IF(COUNTIF(EDW_RAW!$A$2:$A$1500,$D284)=0,"",IF(COUNTIFS(EDW_RAW!$A$2:$A$1500,$D284,EDW_RAW!$U$2:$U$1500,"&lt;&gt;~",EDW_RAW!$U$2:$U$1500,"&lt;&gt;")=COUNTIF(EDW_RAW!$A$2:$A$1500,$D284),"O",IF(COUNTIFS(EDW_RAW!$A$2:$A$1500,$D284,EDW_RAW!$U$2:$U$1500,"&lt;&gt;~",EDW_RAW!$U$2:$U$1500,"&lt;&gt;")&gt;0,"부분","X")))</f>
        <v/>
      </c>
      <c r="S284" s="25" t="n"/>
      <c r="T284" s="20">
        <f>IF($H284="","",IF(AND(ISNUMBER(SEARCH("CMT",$H284)),OR(ISNUMBER(SEARCH("완사입",$H284)),ISNUMBER(SEARCH("ODM",$H284)))),"본사/생산처 혼재",IF(ISNUMBER(SEARCH("CMT",$H284)),"본사(소재팀)","생산처")))</f>
        <v/>
      </c>
      <c r="U284" s="20" t="inlineStr">
        <is>
          <t>IKG</t>
        </is>
      </c>
      <c r="V284" s="20">
        <f>IFERROR(TEXTJOIN(" / ",TRUE,UNIQUE(FILTER(소재DB_RAW!$K$3:$K$2000,(소재DB_RAW!$G$3:$G$2000=$D284)*ISERROR(SEARCH("drop",소재DB_RAW!$C$3:$C$2000))))),"")</f>
        <v/>
      </c>
      <c r="W284" s="20" t="inlineStr">
        <is>
          <t>인도네시아</t>
        </is>
      </c>
      <c r="X284" s="20">
        <f>IFERROR(TEXTJOIN(" / ",TRUE,UNIQUE(FILTER(소재DB_RAW!$N$3:$N$2000,(소재DB_RAW!$G$3:$G$2000=$D284)*ISERROR(SEARCH("drop",소재DB_RAW!$C$3:$C$2000))))),"")</f>
        <v/>
      </c>
      <c r="Y284" s="26">
        <f>IFERROR(TEXTJOIN(CHAR(10),TRUE,UNIQUE(FILTER(소재DB_RAW!$N$3:$N$2000&amp;") "&amp;소재DB_RAW!$O$3:$O$2000,(소재DB_RAW!$G$3:$G$2000=$D284)*ISNUMBER(SEARCH("겉감",소재DB_RAW!$M$3:$M$2000))*ISERROR(SEARCH("drop",소재DB_RAW!$C$3:$C$2000))))),"")</f>
        <v/>
      </c>
      <c r="Z284" s="26">
        <f>IFERROR(TEXTJOIN(CHAR(10),TRUE,UNIQUE(FILTER(소재DB_RAW!$N$3:$N$2000&amp;") "&amp;소재DB_RAW!$O$3:$O$2000,(소재DB_RAW!$G$3:$G$2000=$D284)*ISNUMBER(SEARCH("안감",소재DB_RAW!$M$3:$M$2000))*ISERROR(SEARCH("drop",소재DB_RAW!$C$3:$C$2000))))),"")</f>
        <v/>
      </c>
      <c r="AA284" s="27" t="n">
        <v>35000</v>
      </c>
      <c r="AB284" s="27" t="n">
        <v>527730000</v>
      </c>
      <c r="AC284" s="27" t="n">
        <v>3080000000</v>
      </c>
      <c r="AD284" s="20" t="inlineStr">
        <is>
          <t>3월4주</t>
        </is>
      </c>
      <c r="AE284" s="20">
        <f>IF($K284="","출고일 미정",IF($Q284="X","작지 미발행",IF($Q284="부분","작지 일부 미발행",IF(AND($S284&lt;&gt;"",$S284&gt;$N284),"소재입고 마감("&amp;TEXT($N284,"MM/DD")&amp;") 초과",IF($Q284="","발행여부 확인 필요",IF($S284="","소재 입고일정 확인 필요","정상"))))))</f>
        <v/>
      </c>
      <c r="AF284" s="19">
        <f>IF($K284="","",IF(OR(LEFT($AE284,2)="작지",LEFT($AE284,4)="소재입고"),IF(LEFT($G284,1)="S","★ 납기위험(S코드)","◆ 지연주의"),IF($AE284="정상","✓ 정상","? 확인필요")))</f>
        <v/>
      </c>
      <c r="AG284" s="21" t="n"/>
      <c r="AH284" s="28" t="n"/>
    </row>
    <row r="285">
      <c r="A285" s="19" t="n">
        <v>281</v>
      </c>
      <c r="B285" s="20" t="inlineStr">
        <is>
          <t>이재헌</t>
        </is>
      </c>
      <c r="C285" s="20" t="inlineStr">
        <is>
          <t>조이슬</t>
        </is>
      </c>
      <c r="D285" s="20" t="inlineStr">
        <is>
          <t>JWTCM27133</t>
        </is>
      </c>
      <c r="E285" s="20" t="inlineStr">
        <is>
          <t>남녀공용 에어론 릴렉스핏 그래픽 티셔츠</t>
        </is>
      </c>
      <c r="F285" s="20" t="inlineStr">
        <is>
          <t>CRE(CREAM), GBR(G/BROWN)</t>
        </is>
      </c>
      <c r="G285" s="19">
        <f>IF($D285="","",IF(MID($D285,5,1)="S","S(봄)",IF(MID($D285,5,1)="M","M(여름)",IF(MID($D285,5,1)="X","X(사계절)",MID($D285,5,1)))))</f>
        <v/>
      </c>
      <c r="H285" s="20" t="inlineStr">
        <is>
          <t>완사입</t>
        </is>
      </c>
      <c r="I285" s="19" t="inlineStr"/>
      <c r="J285" s="21" t="inlineStr">
        <is>
          <t>3월4주</t>
        </is>
      </c>
      <c r="K285" s="22">
        <f>IF($J285="","",IFERROR(DATE(IF(VALUE(LEFT($J285,FIND("월",$J285)-1))&gt;=9,기준정보!$C$7-1,기준정보!$C$7),VALUE(LEFT($J285,FIND("월",$J285)-1)),1+7*(VALUE(SUBSTITUTE(MID($J285,FIND("월",$J285)+1,5),"주",""))-1)),""))</f>
        <v/>
      </c>
      <c r="L285" s="22">
        <f>IF($K285="","",IF(AND($K285-기준정보!$C$5&gt;=기준정보!$C$10,$K285-기준정보!$C$5&lt;=기준정보!$C$11),기준정보!$C$10-1,$K285-기준정보!$C$5))</f>
        <v/>
      </c>
      <c r="M285" s="23">
        <f>IF($L285="","",IF(OR(ISNUMBER(SEARCH("중국",$W285)),ISNUMBER(SEARCH("베트남",$W285))),MAX(0,MIN($L285,기준정보!$C$9)-MAX($L285-기준정보!$C$6,기준정보!$C$8)+1),IF(ISNUMBER(SEARCH("한국",$W285)),MAX(0,MIN($L285,기준정보!$C$11)-MAX($L285-기준정보!$C$6,기준정보!$C$10)+1),0)))</f>
        <v/>
      </c>
      <c r="N285" s="22">
        <f>IF($L285="","",$L285-기준정보!$C$6-$M285)</f>
        <v/>
      </c>
      <c r="O285" s="24">
        <f>IF($N285="","",$N285-기준정보!$C$4)</f>
        <v/>
      </c>
      <c r="P285" s="21" t="n"/>
      <c r="Q285" s="21" t="inlineStr">
        <is>
          <t>O</t>
        </is>
      </c>
      <c r="R285" s="19">
        <f>IF(COUNTIF(EDW_RAW!$A$2:$A$1500,$D285)=0,"",IF(COUNTIFS(EDW_RAW!$A$2:$A$1500,$D285,EDW_RAW!$U$2:$U$1500,"&lt;&gt;~",EDW_RAW!$U$2:$U$1500,"&lt;&gt;")=COUNTIF(EDW_RAW!$A$2:$A$1500,$D285),"O",IF(COUNTIFS(EDW_RAW!$A$2:$A$1500,$D285,EDW_RAW!$U$2:$U$1500,"&lt;&gt;~",EDW_RAW!$U$2:$U$1500,"&lt;&gt;")&gt;0,"부분","X")))</f>
        <v/>
      </c>
      <c r="S285" s="25" t="n"/>
      <c r="T285" s="20">
        <f>IF($H285="","",IF(AND(ISNUMBER(SEARCH("CMT",$H285)),OR(ISNUMBER(SEARCH("완사입",$H285)),ISNUMBER(SEARCH("ODM",$H285)))),"본사/생산처 혼재",IF(ISNUMBER(SEARCH("CMT",$H285)),"본사(소재팀)","생산처")))</f>
        <v/>
      </c>
      <c r="U285" s="20" t="inlineStr">
        <is>
          <t>IKG</t>
        </is>
      </c>
      <c r="V285" s="20">
        <f>IFERROR(TEXTJOIN(" / ",TRUE,UNIQUE(FILTER(소재DB_RAW!$K$3:$K$2000,(소재DB_RAW!$G$3:$G$2000=$D285)*ISERROR(SEARCH("drop",소재DB_RAW!$C$3:$C$2000))))),"")</f>
        <v/>
      </c>
      <c r="W285" s="20" t="inlineStr">
        <is>
          <t>인도네시아</t>
        </is>
      </c>
      <c r="X285" s="20">
        <f>IFERROR(TEXTJOIN(" / ",TRUE,UNIQUE(FILTER(소재DB_RAW!$N$3:$N$2000,(소재DB_RAW!$G$3:$G$2000=$D285)*ISERROR(SEARCH("drop",소재DB_RAW!$C$3:$C$2000))))),"")</f>
        <v/>
      </c>
      <c r="Y285" s="26">
        <f>IFERROR(TEXTJOIN(CHAR(10),TRUE,UNIQUE(FILTER(소재DB_RAW!$N$3:$N$2000&amp;") "&amp;소재DB_RAW!$O$3:$O$2000,(소재DB_RAW!$G$3:$G$2000=$D285)*ISNUMBER(SEARCH("겉감",소재DB_RAW!$M$3:$M$2000))*ISERROR(SEARCH("drop",소재DB_RAW!$C$3:$C$2000))))),"")</f>
        <v/>
      </c>
      <c r="Z285" s="26">
        <f>IFERROR(TEXTJOIN(CHAR(10),TRUE,UNIQUE(FILTER(소재DB_RAW!$N$3:$N$2000&amp;") "&amp;소재DB_RAW!$O$3:$O$2000,(소재DB_RAW!$G$3:$G$2000=$D285)*ISNUMBER(SEARCH("안감",소재DB_RAW!$M$3:$M$2000))*ISERROR(SEARCH("drop",소재DB_RAW!$C$3:$C$2000))))),"")</f>
        <v/>
      </c>
      <c r="AA285" s="27" t="n">
        <v>3500</v>
      </c>
      <c r="AB285" s="27" t="n">
        <v>60399500</v>
      </c>
      <c r="AC285" s="27" t="n">
        <v>308000000</v>
      </c>
      <c r="AD285" s="20" t="inlineStr">
        <is>
          <t>3월4주</t>
        </is>
      </c>
      <c r="AE285" s="20">
        <f>IF($K285="","출고일 미정",IF($Q285="X","작지 미발행",IF($Q285="부분","작지 일부 미발행",IF(AND($S285&lt;&gt;"",$S285&gt;$N285),"소재입고 마감("&amp;TEXT($N285,"MM/DD")&amp;") 초과",IF($Q285="","발행여부 확인 필요",IF($S285="","소재 입고일정 확인 필요","정상"))))))</f>
        <v/>
      </c>
      <c r="AF285" s="19">
        <f>IF($K285="","",IF(OR(LEFT($AE285,2)="작지",LEFT($AE285,4)="소재입고"),IF(LEFT($G285,1)="S","★ 납기위험(S코드)","◆ 지연주의"),IF($AE285="정상","✓ 정상","? 확인필요")))</f>
        <v/>
      </c>
      <c r="AG285" s="21" t="n"/>
      <c r="AH285" s="28" t="n"/>
    </row>
    <row r="286">
      <c r="A286" s="19" t="n">
        <v>282</v>
      </c>
      <c r="B286" s="20" t="inlineStr">
        <is>
          <t>이재헌</t>
        </is>
      </c>
      <c r="C286" s="20" t="inlineStr">
        <is>
          <t>엄창용</t>
        </is>
      </c>
      <c r="D286" s="20" t="inlineStr">
        <is>
          <t>JWTCM27135</t>
        </is>
      </c>
      <c r="E286" s="20" t="inlineStr">
        <is>
          <t>남녀공용 소로나 오버핏 그래픽 티셔츠</t>
        </is>
      </c>
      <c r="F286" s="20" t="inlineStr">
        <is>
          <t>BLK(BLACK), BGY(B/GRAY)</t>
        </is>
      </c>
      <c r="G286" s="19">
        <f>IF($D286="","",IF(MID($D286,5,1)="S","S(봄)",IF(MID($D286,5,1)="M","M(여름)",IF(MID($D286,5,1)="X","X(사계절)",MID($D286,5,1)))))</f>
        <v/>
      </c>
      <c r="H286" s="20" t="inlineStr">
        <is>
          <t>완사입</t>
        </is>
      </c>
      <c r="I286" s="19" t="inlineStr"/>
      <c r="J286" s="21" t="inlineStr">
        <is>
          <t>3월4주</t>
        </is>
      </c>
      <c r="K286" s="22">
        <f>IF($J286="","",IFERROR(DATE(IF(VALUE(LEFT($J286,FIND("월",$J286)-1))&gt;=9,기준정보!$C$7-1,기준정보!$C$7),VALUE(LEFT($J286,FIND("월",$J286)-1)),1+7*(VALUE(SUBSTITUTE(MID($J286,FIND("월",$J286)+1,5),"주",""))-1)),""))</f>
        <v/>
      </c>
      <c r="L286" s="22">
        <f>IF($K286="","",IF(AND($K286-기준정보!$C$5&gt;=기준정보!$C$10,$K286-기준정보!$C$5&lt;=기준정보!$C$11),기준정보!$C$10-1,$K286-기준정보!$C$5))</f>
        <v/>
      </c>
      <c r="M286" s="23">
        <f>IF($L286="","",IF(OR(ISNUMBER(SEARCH("중국",$W286)),ISNUMBER(SEARCH("베트남",$W286))),MAX(0,MIN($L286,기준정보!$C$9)-MAX($L286-기준정보!$C$6,기준정보!$C$8)+1),IF(ISNUMBER(SEARCH("한국",$W286)),MAX(0,MIN($L286,기준정보!$C$11)-MAX($L286-기준정보!$C$6,기준정보!$C$10)+1),0)))</f>
        <v/>
      </c>
      <c r="N286" s="22">
        <f>IF($L286="","",$L286-기준정보!$C$6-$M286)</f>
        <v/>
      </c>
      <c r="O286" s="24">
        <f>IF($N286="","",$N286-기준정보!$C$4)</f>
        <v/>
      </c>
      <c r="P286" s="21" t="n"/>
      <c r="Q286" s="21" t="inlineStr">
        <is>
          <t>O</t>
        </is>
      </c>
      <c r="R286" s="19">
        <f>IF(COUNTIF(EDW_RAW!$A$2:$A$1500,$D286)=0,"",IF(COUNTIFS(EDW_RAW!$A$2:$A$1500,$D286,EDW_RAW!$U$2:$U$1500,"&lt;&gt;~",EDW_RAW!$U$2:$U$1500,"&lt;&gt;")=COUNTIF(EDW_RAW!$A$2:$A$1500,$D286),"O",IF(COUNTIFS(EDW_RAW!$A$2:$A$1500,$D286,EDW_RAW!$U$2:$U$1500,"&lt;&gt;~",EDW_RAW!$U$2:$U$1500,"&lt;&gt;")&gt;0,"부분","X")))</f>
        <v/>
      </c>
      <c r="S286" s="25" t="n"/>
      <c r="T286" s="20">
        <f>IF($H286="","",IF(AND(ISNUMBER(SEARCH("CMT",$H286)),OR(ISNUMBER(SEARCH("완사입",$H286)),ISNUMBER(SEARCH("ODM",$H286)))),"본사/생산처 혼재",IF(ISNUMBER(SEARCH("CMT",$H286)),"본사(소재팀)","생산처")))</f>
        <v/>
      </c>
      <c r="U286" s="20" t="inlineStr">
        <is>
          <t>IKG</t>
        </is>
      </c>
      <c r="V286" s="20">
        <f>IFERROR(TEXTJOIN(" / ",TRUE,UNIQUE(FILTER(소재DB_RAW!$K$3:$K$2000,(소재DB_RAW!$G$3:$G$2000=$D286)*ISERROR(SEARCH("drop",소재DB_RAW!$C$3:$C$2000))))),"")</f>
        <v/>
      </c>
      <c r="W286" s="20" t="inlineStr">
        <is>
          <t>인도네시아</t>
        </is>
      </c>
      <c r="X286" s="20">
        <f>IFERROR(TEXTJOIN(" / ",TRUE,UNIQUE(FILTER(소재DB_RAW!$N$3:$N$2000,(소재DB_RAW!$G$3:$G$2000=$D286)*ISERROR(SEARCH("drop",소재DB_RAW!$C$3:$C$2000))))),"")</f>
        <v/>
      </c>
      <c r="Y286" s="26">
        <f>IFERROR(TEXTJOIN(CHAR(10),TRUE,UNIQUE(FILTER(소재DB_RAW!$N$3:$N$2000&amp;") "&amp;소재DB_RAW!$O$3:$O$2000,(소재DB_RAW!$G$3:$G$2000=$D286)*ISNUMBER(SEARCH("겉감",소재DB_RAW!$M$3:$M$2000))*ISERROR(SEARCH("drop",소재DB_RAW!$C$3:$C$2000))))),"")</f>
        <v/>
      </c>
      <c r="Z286" s="26">
        <f>IFERROR(TEXTJOIN(CHAR(10),TRUE,UNIQUE(FILTER(소재DB_RAW!$N$3:$N$2000&amp;") "&amp;소재DB_RAW!$O$3:$O$2000,(소재DB_RAW!$G$3:$G$2000=$D286)*ISNUMBER(SEARCH("안감",소재DB_RAW!$M$3:$M$2000))*ISERROR(SEARCH("drop",소재DB_RAW!$C$3:$C$2000))))),"")</f>
        <v/>
      </c>
      <c r="AA286" s="27" t="n">
        <v>3000</v>
      </c>
      <c r="AB286" s="27" t="n">
        <v>43143000</v>
      </c>
      <c r="AC286" s="27" t="n">
        <v>264000000</v>
      </c>
      <c r="AD286" s="20" t="inlineStr">
        <is>
          <t>3월4주</t>
        </is>
      </c>
      <c r="AE286" s="20">
        <f>IF($K286="","출고일 미정",IF($Q286="X","작지 미발행",IF($Q286="부분","작지 일부 미발행",IF(AND($S286&lt;&gt;"",$S286&gt;$N286),"소재입고 마감("&amp;TEXT($N286,"MM/DD")&amp;") 초과",IF($Q286="","발행여부 확인 필요",IF($S286="","소재 입고일정 확인 필요","정상"))))))</f>
        <v/>
      </c>
      <c r="AF286" s="19">
        <f>IF($K286="","",IF(OR(LEFT($AE286,2)="작지",LEFT($AE286,4)="소재입고"),IF(LEFT($G286,1)="S","★ 납기위험(S코드)","◆ 지연주의"),IF($AE286="정상","✓ 정상","? 확인필요")))</f>
        <v/>
      </c>
      <c r="AG286" s="21" t="n"/>
      <c r="AH286" s="28" t="n"/>
    </row>
    <row r="287">
      <c r="A287" s="19" t="n">
        <v>283</v>
      </c>
      <c r="B287" s="20" t="inlineStr">
        <is>
          <t>이재헌</t>
        </is>
      </c>
      <c r="C287" s="20" t="inlineStr">
        <is>
          <t>조이슬</t>
        </is>
      </c>
      <c r="D287" s="20" t="inlineStr">
        <is>
          <t>JWTCM27137</t>
        </is>
      </c>
      <c r="E287" s="20" t="inlineStr">
        <is>
          <t>남녀공용 소로나쿨(CP) 릴렉스핏 그래픽 티셔츠</t>
        </is>
      </c>
      <c r="F287" s="20" t="inlineStr">
        <is>
          <t>OWH, BLK(BLACK)</t>
        </is>
      </c>
      <c r="G287" s="19">
        <f>IF($D287="","",IF(MID($D287,5,1)="S","S(봄)",IF(MID($D287,5,1)="M","M(여름)",IF(MID($D287,5,1)="X","X(사계절)",MID($D287,5,1)))))</f>
        <v/>
      </c>
      <c r="H287" s="20" t="inlineStr">
        <is>
          <t>완사입</t>
        </is>
      </c>
      <c r="I287" s="19" t="inlineStr"/>
      <c r="J287" s="21" t="inlineStr">
        <is>
          <t>3월4주</t>
        </is>
      </c>
      <c r="K287" s="22">
        <f>IF($J287="","",IFERROR(DATE(IF(VALUE(LEFT($J287,FIND("월",$J287)-1))&gt;=9,기준정보!$C$7-1,기준정보!$C$7),VALUE(LEFT($J287,FIND("월",$J287)-1)),1+7*(VALUE(SUBSTITUTE(MID($J287,FIND("월",$J287)+1,5),"주",""))-1)),""))</f>
        <v/>
      </c>
      <c r="L287" s="22">
        <f>IF($K287="","",IF(AND($K287-기준정보!$C$5&gt;=기준정보!$C$10,$K287-기준정보!$C$5&lt;=기준정보!$C$11),기준정보!$C$10-1,$K287-기준정보!$C$5))</f>
        <v/>
      </c>
      <c r="M287" s="23">
        <f>IF($L287="","",IF(OR(ISNUMBER(SEARCH("중국",$W287)),ISNUMBER(SEARCH("베트남",$W287))),MAX(0,MIN($L287,기준정보!$C$9)-MAX($L287-기준정보!$C$6,기준정보!$C$8)+1),IF(ISNUMBER(SEARCH("한국",$W287)),MAX(0,MIN($L287,기준정보!$C$11)-MAX($L287-기준정보!$C$6,기준정보!$C$10)+1),0)))</f>
        <v/>
      </c>
      <c r="N287" s="22">
        <f>IF($L287="","",$L287-기준정보!$C$6-$M287)</f>
        <v/>
      </c>
      <c r="O287" s="24">
        <f>IF($N287="","",$N287-기준정보!$C$4)</f>
        <v/>
      </c>
      <c r="P287" s="21" t="n"/>
      <c r="Q287" s="21" t="inlineStr">
        <is>
          <t>O</t>
        </is>
      </c>
      <c r="R287" s="19">
        <f>IF(COUNTIF(EDW_RAW!$A$2:$A$1500,$D287)=0,"",IF(COUNTIFS(EDW_RAW!$A$2:$A$1500,$D287,EDW_RAW!$U$2:$U$1500,"&lt;&gt;~",EDW_RAW!$U$2:$U$1500,"&lt;&gt;")=COUNTIF(EDW_RAW!$A$2:$A$1500,$D287),"O",IF(COUNTIFS(EDW_RAW!$A$2:$A$1500,$D287,EDW_RAW!$U$2:$U$1500,"&lt;&gt;~",EDW_RAW!$U$2:$U$1500,"&lt;&gt;")&gt;0,"부분","X")))</f>
        <v/>
      </c>
      <c r="S287" s="25" t="n"/>
      <c r="T287" s="20">
        <f>IF($H287="","",IF(AND(ISNUMBER(SEARCH("CMT",$H287)),OR(ISNUMBER(SEARCH("완사입",$H287)),ISNUMBER(SEARCH("ODM",$H287)))),"본사/생산처 혼재",IF(ISNUMBER(SEARCH("CMT",$H287)),"본사(소재팀)","생산처")))</f>
        <v/>
      </c>
      <c r="U287" s="20" t="inlineStr">
        <is>
          <t>IKG</t>
        </is>
      </c>
      <c r="V287" s="20">
        <f>IFERROR(TEXTJOIN(" / ",TRUE,UNIQUE(FILTER(소재DB_RAW!$K$3:$K$2000,(소재DB_RAW!$G$3:$G$2000=$D287)*ISERROR(SEARCH("drop",소재DB_RAW!$C$3:$C$2000))))),"")</f>
        <v/>
      </c>
      <c r="W287" s="20" t="inlineStr">
        <is>
          <t>인도네시아</t>
        </is>
      </c>
      <c r="X287" s="20">
        <f>IFERROR(TEXTJOIN(" / ",TRUE,UNIQUE(FILTER(소재DB_RAW!$N$3:$N$2000,(소재DB_RAW!$G$3:$G$2000=$D287)*ISERROR(SEARCH("drop",소재DB_RAW!$C$3:$C$2000))))),"")</f>
        <v/>
      </c>
      <c r="Y287" s="26">
        <f>IFERROR(TEXTJOIN(CHAR(10),TRUE,UNIQUE(FILTER(소재DB_RAW!$N$3:$N$2000&amp;") "&amp;소재DB_RAW!$O$3:$O$2000,(소재DB_RAW!$G$3:$G$2000=$D287)*ISNUMBER(SEARCH("겉감",소재DB_RAW!$M$3:$M$2000))*ISERROR(SEARCH("drop",소재DB_RAW!$C$3:$C$2000))))),"")</f>
        <v/>
      </c>
      <c r="Z287" s="26">
        <f>IFERROR(TEXTJOIN(CHAR(10),TRUE,UNIQUE(FILTER(소재DB_RAW!$N$3:$N$2000&amp;") "&amp;소재DB_RAW!$O$3:$O$2000,(소재DB_RAW!$G$3:$G$2000=$D287)*ISNUMBER(SEARCH("안감",소재DB_RAW!$M$3:$M$2000))*ISERROR(SEARCH("drop",소재DB_RAW!$C$3:$C$2000))))),"")</f>
        <v/>
      </c>
      <c r="AA287" s="27" t="n">
        <v>2000</v>
      </c>
      <c r="AB287" s="27" t="n">
        <v>36166000</v>
      </c>
      <c r="AC287" s="27" t="n">
        <v>176000000</v>
      </c>
      <c r="AD287" s="20" t="inlineStr">
        <is>
          <t>3월4주</t>
        </is>
      </c>
      <c r="AE287" s="20">
        <f>IF($K287="","출고일 미정",IF($Q287="X","작지 미발행",IF($Q287="부분","작지 일부 미발행",IF(AND($S287&lt;&gt;"",$S287&gt;$N287),"소재입고 마감("&amp;TEXT($N287,"MM/DD")&amp;") 초과",IF($Q287="","발행여부 확인 필요",IF($S287="","소재 입고일정 확인 필요","정상"))))))</f>
        <v/>
      </c>
      <c r="AF287" s="19">
        <f>IF($K287="","",IF(OR(LEFT($AE287,2)="작지",LEFT($AE287,4)="소재입고"),IF(LEFT($G287,1)="S","★ 납기위험(S코드)","◆ 지연주의"),IF($AE287="정상","✓ 정상","? 확인필요")))</f>
        <v/>
      </c>
      <c r="AG287" s="21" t="n"/>
      <c r="AH287" s="28" t="n"/>
    </row>
    <row r="288">
      <c r="A288" s="19" t="n">
        <v>284</v>
      </c>
      <c r="B288" s="20" t="inlineStr">
        <is>
          <t>이재헌</t>
        </is>
      </c>
      <c r="C288" s="20" t="inlineStr">
        <is>
          <t>엄창용</t>
        </is>
      </c>
      <c r="D288" s="20" t="inlineStr">
        <is>
          <t>JWTCM27153</t>
        </is>
      </c>
      <c r="E288" s="20" t="inlineStr">
        <is>
          <t>남성 메쉬 하이브리드 반팔 라운드 티셔츠</t>
        </is>
      </c>
      <c r="F288" s="20" t="inlineStr">
        <is>
          <t>BLK(BLACK), CRE(CREAM)</t>
        </is>
      </c>
      <c r="G288" s="19">
        <f>IF($D288="","",IF(MID($D288,5,1)="S","S(봄)",IF(MID($D288,5,1)="M","M(여름)",IF(MID($D288,5,1)="X","X(사계절)",MID($D288,5,1)))))</f>
        <v/>
      </c>
      <c r="H288" s="20" t="inlineStr">
        <is>
          <t>완사입</t>
        </is>
      </c>
      <c r="I288" s="19" t="inlineStr"/>
      <c r="J288" s="21" t="inlineStr">
        <is>
          <t>3월4주</t>
        </is>
      </c>
      <c r="K288" s="22">
        <f>IF($J288="","",IFERROR(DATE(IF(VALUE(LEFT($J288,FIND("월",$J288)-1))&gt;=9,기준정보!$C$7-1,기준정보!$C$7),VALUE(LEFT($J288,FIND("월",$J288)-1)),1+7*(VALUE(SUBSTITUTE(MID($J288,FIND("월",$J288)+1,5),"주",""))-1)),""))</f>
        <v/>
      </c>
      <c r="L288" s="22">
        <f>IF($K288="","",IF(AND($K288-기준정보!$C$5&gt;=기준정보!$C$10,$K288-기준정보!$C$5&lt;=기준정보!$C$11),기준정보!$C$10-1,$K288-기준정보!$C$5))</f>
        <v/>
      </c>
      <c r="M288" s="23">
        <f>IF($L288="","",IF(OR(ISNUMBER(SEARCH("중국",$W288)),ISNUMBER(SEARCH("베트남",$W288))),MAX(0,MIN($L288,기준정보!$C$9)-MAX($L288-기준정보!$C$6,기준정보!$C$8)+1),IF(ISNUMBER(SEARCH("한국",$W288)),MAX(0,MIN($L288,기준정보!$C$11)-MAX($L288-기준정보!$C$6,기준정보!$C$10)+1),0)))</f>
        <v/>
      </c>
      <c r="N288" s="22">
        <f>IF($L288="","",$L288-기준정보!$C$6-$M288)</f>
        <v/>
      </c>
      <c r="O288" s="24">
        <f>IF($N288="","",$N288-기준정보!$C$4)</f>
        <v/>
      </c>
      <c r="P288" s="21" t="n"/>
      <c r="Q288" s="21" t="inlineStr">
        <is>
          <t>O</t>
        </is>
      </c>
      <c r="R288" s="19">
        <f>IF(COUNTIF(EDW_RAW!$A$2:$A$1500,$D288)=0,"",IF(COUNTIFS(EDW_RAW!$A$2:$A$1500,$D288,EDW_RAW!$U$2:$U$1500,"&lt;&gt;~",EDW_RAW!$U$2:$U$1500,"&lt;&gt;")=COUNTIF(EDW_RAW!$A$2:$A$1500,$D288),"O",IF(COUNTIFS(EDW_RAW!$A$2:$A$1500,$D288,EDW_RAW!$U$2:$U$1500,"&lt;&gt;~",EDW_RAW!$U$2:$U$1500,"&lt;&gt;")&gt;0,"부분","X")))</f>
        <v/>
      </c>
      <c r="S288" s="25" t="n"/>
      <c r="T288" s="20">
        <f>IF($H288="","",IF(AND(ISNUMBER(SEARCH("CMT",$H288)),OR(ISNUMBER(SEARCH("완사입",$H288)),ISNUMBER(SEARCH("ODM",$H288)))),"본사/생산처 혼재",IF(ISNUMBER(SEARCH("CMT",$H288)),"본사(소재팀)","생산처")))</f>
        <v/>
      </c>
      <c r="U288" s="20" t="inlineStr">
        <is>
          <t>장안</t>
        </is>
      </c>
      <c r="V288" s="20">
        <f>IFERROR(TEXTJOIN(" / ",TRUE,UNIQUE(FILTER(소재DB_RAW!$K$3:$K$2000,(소재DB_RAW!$G$3:$G$2000=$D288)*ISERROR(SEARCH("drop",소재DB_RAW!$C$3:$C$2000))))),"")</f>
        <v/>
      </c>
      <c r="W288" s="20" t="inlineStr">
        <is>
          <t>베트남</t>
        </is>
      </c>
      <c r="X288" s="20">
        <f>IFERROR(TEXTJOIN(" / ",TRUE,UNIQUE(FILTER(소재DB_RAW!$N$3:$N$2000,(소재DB_RAW!$G$3:$G$2000=$D288)*ISERROR(SEARCH("drop",소재DB_RAW!$C$3:$C$2000))))),"")</f>
        <v/>
      </c>
      <c r="Y288" s="26">
        <f>IFERROR(TEXTJOIN(CHAR(10),TRUE,UNIQUE(FILTER(소재DB_RAW!$N$3:$N$2000&amp;") "&amp;소재DB_RAW!$O$3:$O$2000,(소재DB_RAW!$G$3:$G$2000=$D288)*ISNUMBER(SEARCH("겉감",소재DB_RAW!$M$3:$M$2000))*ISERROR(SEARCH("drop",소재DB_RAW!$C$3:$C$2000))))),"")</f>
        <v/>
      </c>
      <c r="Z288" s="26">
        <f>IFERROR(TEXTJOIN(CHAR(10),TRUE,UNIQUE(FILTER(소재DB_RAW!$N$3:$N$2000&amp;") "&amp;소재DB_RAW!$O$3:$O$2000,(소재DB_RAW!$G$3:$G$2000=$D288)*ISNUMBER(SEARCH("안감",소재DB_RAW!$M$3:$M$2000))*ISERROR(SEARCH("drop",소재DB_RAW!$C$3:$C$2000))))),"")</f>
        <v/>
      </c>
      <c r="AA288" s="27" t="n">
        <v>2800</v>
      </c>
      <c r="AB288" s="27" t="n">
        <v>50372000</v>
      </c>
      <c r="AC288" s="27" t="n">
        <v>274400000</v>
      </c>
      <c r="AD288" s="20" t="inlineStr">
        <is>
          <t>44511</t>
        </is>
      </c>
      <c r="AE288" s="20">
        <f>IF($K288="","출고일 미정",IF($Q288="X","작지 미발행",IF($Q288="부분","작지 일부 미발행",IF(AND($S288&lt;&gt;"",$S288&gt;$N288),"소재입고 마감("&amp;TEXT($N288,"MM/DD")&amp;") 초과",IF($Q288="","발행여부 확인 필요",IF($S288="","소재 입고일정 확인 필요","정상"))))))</f>
        <v/>
      </c>
      <c r="AF288" s="19">
        <f>IF($K288="","",IF(OR(LEFT($AE288,2)="작지",LEFT($AE288,4)="소재입고"),IF(LEFT($G288,1)="S","★ 납기위험(S코드)","◆ 지연주의"),IF($AE288="정상","✓ 정상","? 확인필요")))</f>
        <v/>
      </c>
      <c r="AG288" s="21" t="n"/>
      <c r="AH288" s="28" t="n"/>
    </row>
    <row r="289">
      <c r="A289" s="19" t="n">
        <v>285</v>
      </c>
      <c r="B289" s="20" t="inlineStr">
        <is>
          <t>이재헌</t>
        </is>
      </c>
      <c r="C289" s="20" t="inlineStr">
        <is>
          <t>엄창용</t>
        </is>
      </c>
      <c r="D289" s="20" t="inlineStr">
        <is>
          <t>JWTCM27183</t>
        </is>
      </c>
      <c r="E289" s="20" t="inlineStr">
        <is>
          <t>남성 솔솔 에어도트 반팔 폴로 티셔츠</t>
        </is>
      </c>
      <c r="F289" s="20" t="inlineStr">
        <is>
          <t>BLK(BLACK), BGY(B/GRAY)</t>
        </is>
      </c>
      <c r="G289" s="19">
        <f>IF($D289="","",IF(MID($D289,5,1)="S","S(봄)",IF(MID($D289,5,1)="M","M(여름)",IF(MID($D289,5,1)="X","X(사계절)",MID($D289,5,1)))))</f>
        <v/>
      </c>
      <c r="H289" s="20" t="inlineStr">
        <is>
          <t>완사입</t>
        </is>
      </c>
      <c r="I289" s="19" t="inlineStr"/>
      <c r="J289" s="21" t="inlineStr">
        <is>
          <t>3월4주</t>
        </is>
      </c>
      <c r="K289" s="22">
        <f>IF($J289="","",IFERROR(DATE(IF(VALUE(LEFT($J289,FIND("월",$J289)-1))&gt;=9,기준정보!$C$7-1,기준정보!$C$7),VALUE(LEFT($J289,FIND("월",$J289)-1)),1+7*(VALUE(SUBSTITUTE(MID($J289,FIND("월",$J289)+1,5),"주",""))-1)),""))</f>
        <v/>
      </c>
      <c r="L289" s="22">
        <f>IF($K289="","",IF(AND($K289-기준정보!$C$5&gt;=기준정보!$C$10,$K289-기준정보!$C$5&lt;=기준정보!$C$11),기준정보!$C$10-1,$K289-기준정보!$C$5))</f>
        <v/>
      </c>
      <c r="M289" s="23">
        <f>IF($L289="","",IF(OR(ISNUMBER(SEARCH("중국",$W289)),ISNUMBER(SEARCH("베트남",$W289))),MAX(0,MIN($L289,기준정보!$C$9)-MAX($L289-기준정보!$C$6,기준정보!$C$8)+1),IF(ISNUMBER(SEARCH("한국",$W289)),MAX(0,MIN($L289,기준정보!$C$11)-MAX($L289-기준정보!$C$6,기준정보!$C$10)+1),0)))</f>
        <v/>
      </c>
      <c r="N289" s="22">
        <f>IF($L289="","",$L289-기준정보!$C$6-$M289)</f>
        <v/>
      </c>
      <c r="O289" s="24">
        <f>IF($N289="","",$N289-기준정보!$C$4)</f>
        <v/>
      </c>
      <c r="P289" s="21" t="n"/>
      <c r="Q289" s="21" t="inlineStr">
        <is>
          <t>O</t>
        </is>
      </c>
      <c r="R289" s="19">
        <f>IF(COUNTIF(EDW_RAW!$A$2:$A$1500,$D289)=0,"",IF(COUNTIFS(EDW_RAW!$A$2:$A$1500,$D289,EDW_RAW!$U$2:$U$1500,"&lt;&gt;~",EDW_RAW!$U$2:$U$1500,"&lt;&gt;")=COUNTIF(EDW_RAW!$A$2:$A$1500,$D289),"O",IF(COUNTIFS(EDW_RAW!$A$2:$A$1500,$D289,EDW_RAW!$U$2:$U$1500,"&lt;&gt;~",EDW_RAW!$U$2:$U$1500,"&lt;&gt;")&gt;0,"부분","X")))</f>
        <v/>
      </c>
      <c r="S289" s="25" t="n"/>
      <c r="T289" s="20">
        <f>IF($H289="","",IF(AND(ISNUMBER(SEARCH("CMT",$H289)),OR(ISNUMBER(SEARCH("완사입",$H289)),ISNUMBER(SEARCH("ODM",$H289)))),"본사/생산처 혼재",IF(ISNUMBER(SEARCH("CMT",$H289)),"본사(소재팀)","생산처")))</f>
        <v/>
      </c>
      <c r="U289" s="20" t="inlineStr">
        <is>
          <t>장안</t>
        </is>
      </c>
      <c r="V289" s="20">
        <f>IFERROR(TEXTJOIN(" / ",TRUE,UNIQUE(FILTER(소재DB_RAW!$K$3:$K$2000,(소재DB_RAW!$G$3:$G$2000=$D289)*ISERROR(SEARCH("drop",소재DB_RAW!$C$3:$C$2000))))),"")</f>
        <v/>
      </c>
      <c r="W289" s="20" t="inlineStr">
        <is>
          <t>베트남</t>
        </is>
      </c>
      <c r="X289" s="20">
        <f>IFERROR(TEXTJOIN(" / ",TRUE,UNIQUE(FILTER(소재DB_RAW!$N$3:$N$2000,(소재DB_RAW!$G$3:$G$2000=$D289)*ISERROR(SEARCH("drop",소재DB_RAW!$C$3:$C$2000))))),"")</f>
        <v/>
      </c>
      <c r="Y289" s="26">
        <f>IFERROR(TEXTJOIN(CHAR(10),TRUE,UNIQUE(FILTER(소재DB_RAW!$N$3:$N$2000&amp;") "&amp;소재DB_RAW!$O$3:$O$2000,(소재DB_RAW!$G$3:$G$2000=$D289)*ISNUMBER(SEARCH("겉감",소재DB_RAW!$M$3:$M$2000))*ISERROR(SEARCH("drop",소재DB_RAW!$C$3:$C$2000))))),"")</f>
        <v/>
      </c>
      <c r="Z289" s="26">
        <f>IFERROR(TEXTJOIN(CHAR(10),TRUE,UNIQUE(FILTER(소재DB_RAW!$N$3:$N$2000&amp;") "&amp;소재DB_RAW!$O$3:$O$2000,(소재DB_RAW!$G$3:$G$2000=$D289)*ISNUMBER(SEARCH("안감",소재DB_RAW!$M$3:$M$2000))*ISERROR(SEARCH("drop",소재DB_RAW!$C$3:$C$2000))))),"")</f>
        <v/>
      </c>
      <c r="AA289" s="27" t="n">
        <v>14000</v>
      </c>
      <c r="AB289" s="27" t="n">
        <v>294532000</v>
      </c>
      <c r="AC289" s="27" t="n">
        <v>1792000000</v>
      </c>
      <c r="AD289" s="20" t="n"/>
      <c r="AE289" s="20">
        <f>IF($K289="","출고일 미정",IF($Q289="X","작지 미발행",IF($Q289="부분","작지 일부 미발행",IF(AND($S289&lt;&gt;"",$S289&gt;$N289),"소재입고 마감("&amp;TEXT($N289,"MM/DD")&amp;") 초과",IF($Q289="","발행여부 확인 필요",IF($S289="","소재 입고일정 확인 필요","정상"))))))</f>
        <v/>
      </c>
      <c r="AF289" s="19">
        <f>IF($K289="","",IF(OR(LEFT($AE289,2)="작지",LEFT($AE289,4)="소재입고"),IF(LEFT($G289,1)="S","★ 납기위험(S코드)","◆ 지연주의"),IF($AE289="정상","✓ 정상","? 확인필요")))</f>
        <v/>
      </c>
      <c r="AG289" s="21" t="n"/>
      <c r="AH289" s="28" t="n"/>
    </row>
    <row r="290">
      <c r="A290" s="19" t="n">
        <v>286</v>
      </c>
      <c r="B290" s="20" t="inlineStr">
        <is>
          <t>이재헌</t>
        </is>
      </c>
      <c r="C290" s="20" t="inlineStr">
        <is>
          <t>엄창용</t>
        </is>
      </c>
      <c r="D290" s="20" t="inlineStr">
        <is>
          <t>JWTCM27185</t>
        </is>
      </c>
      <c r="E290" s="20" t="inlineStr">
        <is>
          <t>남성 솔솔 에어도트 반팔 라운드 티셔츠</t>
        </is>
      </c>
      <c r="F290" s="20" t="inlineStr">
        <is>
          <t>BLK(BLACK), BGY(B/GRAY)</t>
        </is>
      </c>
      <c r="G290" s="19">
        <f>IF($D290="","",IF(MID($D290,5,1)="S","S(봄)",IF(MID($D290,5,1)="M","M(여름)",IF(MID($D290,5,1)="X","X(사계절)",MID($D290,5,1)))))</f>
        <v/>
      </c>
      <c r="H290" s="20" t="inlineStr">
        <is>
          <t>완사입</t>
        </is>
      </c>
      <c r="I290" s="19" t="inlineStr"/>
      <c r="J290" s="21" t="inlineStr">
        <is>
          <t>3월4주</t>
        </is>
      </c>
      <c r="K290" s="22">
        <f>IF($J290="","",IFERROR(DATE(IF(VALUE(LEFT($J290,FIND("월",$J290)-1))&gt;=9,기준정보!$C$7-1,기준정보!$C$7),VALUE(LEFT($J290,FIND("월",$J290)-1)),1+7*(VALUE(SUBSTITUTE(MID($J290,FIND("월",$J290)+1,5),"주",""))-1)),""))</f>
        <v/>
      </c>
      <c r="L290" s="22">
        <f>IF($K290="","",IF(AND($K290-기준정보!$C$5&gt;=기준정보!$C$10,$K290-기준정보!$C$5&lt;=기준정보!$C$11),기준정보!$C$10-1,$K290-기준정보!$C$5))</f>
        <v/>
      </c>
      <c r="M290" s="23">
        <f>IF($L290="","",IF(OR(ISNUMBER(SEARCH("중국",$W290)),ISNUMBER(SEARCH("베트남",$W290))),MAX(0,MIN($L290,기준정보!$C$9)-MAX($L290-기준정보!$C$6,기준정보!$C$8)+1),IF(ISNUMBER(SEARCH("한국",$W290)),MAX(0,MIN($L290,기준정보!$C$11)-MAX($L290-기준정보!$C$6,기준정보!$C$10)+1),0)))</f>
        <v/>
      </c>
      <c r="N290" s="22">
        <f>IF($L290="","",$L290-기준정보!$C$6-$M290)</f>
        <v/>
      </c>
      <c r="O290" s="24">
        <f>IF($N290="","",$N290-기준정보!$C$4)</f>
        <v/>
      </c>
      <c r="P290" s="21" t="n"/>
      <c r="Q290" s="21" t="inlineStr">
        <is>
          <t>O</t>
        </is>
      </c>
      <c r="R290" s="19">
        <f>IF(COUNTIF(EDW_RAW!$A$2:$A$1500,$D290)=0,"",IF(COUNTIFS(EDW_RAW!$A$2:$A$1500,$D290,EDW_RAW!$U$2:$U$1500,"&lt;&gt;~",EDW_RAW!$U$2:$U$1500,"&lt;&gt;")=COUNTIF(EDW_RAW!$A$2:$A$1500,$D290),"O",IF(COUNTIFS(EDW_RAW!$A$2:$A$1500,$D290,EDW_RAW!$U$2:$U$1500,"&lt;&gt;~",EDW_RAW!$U$2:$U$1500,"&lt;&gt;")&gt;0,"부분","X")))</f>
        <v/>
      </c>
      <c r="S290" s="25" t="n"/>
      <c r="T290" s="20">
        <f>IF($H290="","",IF(AND(ISNUMBER(SEARCH("CMT",$H290)),OR(ISNUMBER(SEARCH("완사입",$H290)),ISNUMBER(SEARCH("ODM",$H290)))),"본사/생산처 혼재",IF(ISNUMBER(SEARCH("CMT",$H290)),"본사(소재팀)","생산처")))</f>
        <v/>
      </c>
      <c r="U290" s="20" t="inlineStr">
        <is>
          <t>태화</t>
        </is>
      </c>
      <c r="V290" s="20">
        <f>IFERROR(TEXTJOIN(" / ",TRUE,UNIQUE(FILTER(소재DB_RAW!$K$3:$K$2000,(소재DB_RAW!$G$3:$G$2000=$D290)*ISERROR(SEARCH("drop",소재DB_RAW!$C$3:$C$2000))))),"")</f>
        <v/>
      </c>
      <c r="W290" s="20" t="inlineStr">
        <is>
          <t>베트남</t>
        </is>
      </c>
      <c r="X290" s="20">
        <f>IFERROR(TEXTJOIN(" / ",TRUE,UNIQUE(FILTER(소재DB_RAW!$N$3:$N$2000,(소재DB_RAW!$G$3:$G$2000=$D290)*ISERROR(SEARCH("drop",소재DB_RAW!$C$3:$C$2000))))),"")</f>
        <v/>
      </c>
      <c r="Y290" s="26">
        <f>IFERROR(TEXTJOIN(CHAR(10),TRUE,UNIQUE(FILTER(소재DB_RAW!$N$3:$N$2000&amp;") "&amp;소재DB_RAW!$O$3:$O$2000,(소재DB_RAW!$G$3:$G$2000=$D290)*ISNUMBER(SEARCH("겉감",소재DB_RAW!$M$3:$M$2000))*ISERROR(SEARCH("drop",소재DB_RAW!$C$3:$C$2000))))),"")</f>
        <v/>
      </c>
      <c r="Z290" s="26">
        <f>IFERROR(TEXTJOIN(CHAR(10),TRUE,UNIQUE(FILTER(소재DB_RAW!$N$3:$N$2000&amp;") "&amp;소재DB_RAW!$O$3:$O$2000,(소재DB_RAW!$G$3:$G$2000=$D290)*ISNUMBER(SEARCH("안감",소재DB_RAW!$M$3:$M$2000))*ISERROR(SEARCH("drop",소재DB_RAW!$C$3:$C$2000))))),"")</f>
        <v/>
      </c>
      <c r="AA290" s="27" t="n">
        <v>4000</v>
      </c>
      <c r="AB290" s="27" t="n">
        <v>102236000</v>
      </c>
      <c r="AC290" s="27" t="n">
        <v>512000000</v>
      </c>
      <c r="AD290" s="20" t="n"/>
      <c r="AE290" s="20">
        <f>IF($K290="","출고일 미정",IF($Q290="X","작지 미발행",IF($Q290="부분","작지 일부 미발행",IF(AND($S290&lt;&gt;"",$S290&gt;$N290),"소재입고 마감("&amp;TEXT($N290,"MM/DD")&amp;") 초과",IF($Q290="","발행여부 확인 필요",IF($S290="","소재 입고일정 확인 필요","정상"))))))</f>
        <v/>
      </c>
      <c r="AF290" s="19">
        <f>IF($K290="","",IF(OR(LEFT($AE290,2)="작지",LEFT($AE290,4)="소재입고"),IF(LEFT($G290,1)="S","★ 납기위험(S코드)","◆ 지연주의"),IF($AE290="정상","✓ 정상","? 확인필요")))</f>
        <v/>
      </c>
      <c r="AG290" s="21" t="n"/>
      <c r="AH290" s="28" t="n"/>
    </row>
    <row r="291">
      <c r="A291" s="19" t="n">
        <v>287</v>
      </c>
      <c r="B291" s="20" t="inlineStr">
        <is>
          <t>이재헌</t>
        </is>
      </c>
      <c r="C291" s="20" t="inlineStr">
        <is>
          <t>엄창용</t>
        </is>
      </c>
      <c r="D291" s="20" t="inlineStr">
        <is>
          <t>JWTCM27187</t>
        </is>
      </c>
      <c r="E291" s="20" t="inlineStr">
        <is>
          <t>남성 솔솔 에어도트 반집업 반팔 티셔츠</t>
        </is>
      </c>
      <c r="F291" s="20" t="inlineStr">
        <is>
          <t>BLK(BLACK), KHA(KHAKI)</t>
        </is>
      </c>
      <c r="G291" s="19">
        <f>IF($D291="","",IF(MID($D291,5,1)="S","S(봄)",IF(MID($D291,5,1)="M","M(여름)",IF(MID($D291,5,1)="X","X(사계절)",MID($D291,5,1)))))</f>
        <v/>
      </c>
      <c r="H291" s="20" t="inlineStr">
        <is>
          <t>완사입</t>
        </is>
      </c>
      <c r="I291" s="19" t="inlineStr"/>
      <c r="J291" s="21" t="inlineStr">
        <is>
          <t>3월4주</t>
        </is>
      </c>
      <c r="K291" s="22">
        <f>IF($J291="","",IFERROR(DATE(IF(VALUE(LEFT($J291,FIND("월",$J291)-1))&gt;=9,기준정보!$C$7-1,기준정보!$C$7),VALUE(LEFT($J291,FIND("월",$J291)-1)),1+7*(VALUE(SUBSTITUTE(MID($J291,FIND("월",$J291)+1,5),"주",""))-1)),""))</f>
        <v/>
      </c>
      <c r="L291" s="22">
        <f>IF($K291="","",IF(AND($K291-기준정보!$C$5&gt;=기준정보!$C$10,$K291-기준정보!$C$5&lt;=기준정보!$C$11),기준정보!$C$10-1,$K291-기준정보!$C$5))</f>
        <v/>
      </c>
      <c r="M291" s="23">
        <f>IF($L291="","",IF(OR(ISNUMBER(SEARCH("중국",$W291)),ISNUMBER(SEARCH("베트남",$W291))),MAX(0,MIN($L291,기준정보!$C$9)-MAX($L291-기준정보!$C$6,기준정보!$C$8)+1),IF(ISNUMBER(SEARCH("한국",$W291)),MAX(0,MIN($L291,기준정보!$C$11)-MAX($L291-기준정보!$C$6,기준정보!$C$10)+1),0)))</f>
        <v/>
      </c>
      <c r="N291" s="22">
        <f>IF($L291="","",$L291-기준정보!$C$6-$M291)</f>
        <v/>
      </c>
      <c r="O291" s="24">
        <f>IF($N291="","",$N291-기준정보!$C$4)</f>
        <v/>
      </c>
      <c r="P291" s="21" t="n"/>
      <c r="Q291" s="21" t="inlineStr">
        <is>
          <t>O</t>
        </is>
      </c>
      <c r="R291" s="19">
        <f>IF(COUNTIF(EDW_RAW!$A$2:$A$1500,$D291)=0,"",IF(COUNTIFS(EDW_RAW!$A$2:$A$1500,$D291,EDW_RAW!$U$2:$U$1500,"&lt;&gt;~",EDW_RAW!$U$2:$U$1500,"&lt;&gt;")=COUNTIF(EDW_RAW!$A$2:$A$1500,$D291),"O",IF(COUNTIFS(EDW_RAW!$A$2:$A$1500,$D291,EDW_RAW!$U$2:$U$1500,"&lt;&gt;~",EDW_RAW!$U$2:$U$1500,"&lt;&gt;")&gt;0,"부분","X")))</f>
        <v/>
      </c>
      <c r="S291" s="25" t="n"/>
      <c r="T291" s="20">
        <f>IF($H291="","",IF(AND(ISNUMBER(SEARCH("CMT",$H291)),OR(ISNUMBER(SEARCH("완사입",$H291)),ISNUMBER(SEARCH("ODM",$H291)))),"본사/생산처 혼재",IF(ISNUMBER(SEARCH("CMT",$H291)),"본사(소재팀)","생산처")))</f>
        <v/>
      </c>
      <c r="U291" s="20" t="inlineStr">
        <is>
          <t>태화</t>
        </is>
      </c>
      <c r="V291" s="20">
        <f>IFERROR(TEXTJOIN(" / ",TRUE,UNIQUE(FILTER(소재DB_RAW!$K$3:$K$2000,(소재DB_RAW!$G$3:$G$2000=$D291)*ISERROR(SEARCH("drop",소재DB_RAW!$C$3:$C$2000))))),"")</f>
        <v/>
      </c>
      <c r="W291" s="20" t="inlineStr">
        <is>
          <t>베트남</t>
        </is>
      </c>
      <c r="X291" s="20">
        <f>IFERROR(TEXTJOIN(" / ",TRUE,UNIQUE(FILTER(소재DB_RAW!$N$3:$N$2000,(소재DB_RAW!$G$3:$G$2000=$D291)*ISERROR(SEARCH("drop",소재DB_RAW!$C$3:$C$2000))))),"")</f>
        <v/>
      </c>
      <c r="Y291" s="26">
        <f>IFERROR(TEXTJOIN(CHAR(10),TRUE,UNIQUE(FILTER(소재DB_RAW!$N$3:$N$2000&amp;") "&amp;소재DB_RAW!$O$3:$O$2000,(소재DB_RAW!$G$3:$G$2000=$D291)*ISNUMBER(SEARCH("겉감",소재DB_RAW!$M$3:$M$2000))*ISERROR(SEARCH("drop",소재DB_RAW!$C$3:$C$2000))))),"")</f>
        <v/>
      </c>
      <c r="Z291" s="26">
        <f>IFERROR(TEXTJOIN(CHAR(10),TRUE,UNIQUE(FILTER(소재DB_RAW!$N$3:$N$2000&amp;") "&amp;소재DB_RAW!$O$3:$O$2000,(소재DB_RAW!$G$3:$G$2000=$D291)*ISNUMBER(SEARCH("안감",소재DB_RAW!$M$3:$M$2000))*ISERROR(SEARCH("drop",소재DB_RAW!$C$3:$C$2000))))),"")</f>
        <v/>
      </c>
      <c r="AA291" s="27" t="n">
        <v>5000</v>
      </c>
      <c r="AB291" s="27" t="n">
        <v>119830000</v>
      </c>
      <c r="AC291" s="27" t="n">
        <v>690000000</v>
      </c>
      <c r="AD291" s="20" t="n"/>
      <c r="AE291" s="20">
        <f>IF($K291="","출고일 미정",IF($Q291="X","작지 미발행",IF($Q291="부분","작지 일부 미발행",IF(AND($S291&lt;&gt;"",$S291&gt;$N291),"소재입고 마감("&amp;TEXT($N291,"MM/DD")&amp;") 초과",IF($Q291="","발행여부 확인 필요",IF($S291="","소재 입고일정 확인 필요","정상"))))))</f>
        <v/>
      </c>
      <c r="AF291" s="19">
        <f>IF($K291="","",IF(OR(LEFT($AE291,2)="작지",LEFT($AE291,4)="소재입고"),IF(LEFT($G291,1)="S","★ 납기위험(S코드)","◆ 지연주의"),IF($AE291="정상","✓ 정상","? 확인필요")))</f>
        <v/>
      </c>
      <c r="AG291" s="21" t="n"/>
      <c r="AH291" s="28" t="n"/>
    </row>
    <row r="292">
      <c r="A292" s="19" t="n">
        <v>288</v>
      </c>
      <c r="B292" s="20" t="inlineStr">
        <is>
          <t>박지인</t>
        </is>
      </c>
      <c r="C292" s="20" t="inlineStr">
        <is>
          <t>이다영</t>
        </is>
      </c>
      <c r="D292" s="20" t="inlineStr">
        <is>
          <t>JWTCM27321</t>
        </is>
      </c>
      <c r="E292" s="20" t="inlineStr">
        <is>
          <t>남녀공용 패커블 반팔 티셔츠</t>
        </is>
      </c>
      <c r="F292" s="20" t="inlineStr">
        <is>
          <t>LIM, IVO(IVORY)</t>
        </is>
      </c>
      <c r="G292" s="19">
        <f>IF($D292="","",IF(MID($D292,5,1)="S","S(봄)",IF(MID($D292,5,1)="M","M(여름)",IF(MID($D292,5,1)="X","X(사계절)",MID($D292,5,1)))))</f>
        <v/>
      </c>
      <c r="H292" s="20" t="inlineStr">
        <is>
          <t>완사입</t>
        </is>
      </c>
      <c r="I292" s="19" t="inlineStr">
        <is>
          <t>SM2</t>
        </is>
      </c>
      <c r="J292" s="21" t="inlineStr">
        <is>
          <t>3월4주</t>
        </is>
      </c>
      <c r="K292" s="22">
        <f>IF($J292="","",IFERROR(DATE(IF(VALUE(LEFT($J292,FIND("월",$J292)-1))&gt;=9,기준정보!$C$7-1,기준정보!$C$7),VALUE(LEFT($J292,FIND("월",$J292)-1)),1+7*(VALUE(SUBSTITUTE(MID($J292,FIND("월",$J292)+1,5),"주",""))-1)),""))</f>
        <v/>
      </c>
      <c r="L292" s="22">
        <f>IF($K292="","",IF(AND($K292-기준정보!$C$5&gt;=기준정보!$C$10,$K292-기준정보!$C$5&lt;=기준정보!$C$11),기준정보!$C$10-1,$K292-기준정보!$C$5))</f>
        <v/>
      </c>
      <c r="M292" s="23">
        <f>IF($L292="","",IF(OR(ISNUMBER(SEARCH("중국",$W292)),ISNUMBER(SEARCH("베트남",$W292))),MAX(0,MIN($L292,기준정보!$C$9)-MAX($L292-기준정보!$C$6,기준정보!$C$8)+1),IF(ISNUMBER(SEARCH("한국",$W292)),MAX(0,MIN($L292,기준정보!$C$11)-MAX($L292-기준정보!$C$6,기준정보!$C$10)+1),0)))</f>
        <v/>
      </c>
      <c r="N292" s="22">
        <f>IF($L292="","",$L292-기준정보!$C$6-$M292)</f>
        <v/>
      </c>
      <c r="O292" s="24">
        <f>IF($N292="","",$N292-기준정보!$C$4)</f>
        <v/>
      </c>
      <c r="P292" s="21" t="n"/>
      <c r="Q292" s="21" t="inlineStr">
        <is>
          <t>O</t>
        </is>
      </c>
      <c r="R292" s="19">
        <f>IF(COUNTIF(EDW_RAW!$A$2:$A$1500,$D292)=0,"",IF(COUNTIFS(EDW_RAW!$A$2:$A$1500,$D292,EDW_RAW!$U$2:$U$1500,"&lt;&gt;~",EDW_RAW!$U$2:$U$1500,"&lt;&gt;")=COUNTIF(EDW_RAW!$A$2:$A$1500,$D292),"O",IF(COUNTIFS(EDW_RAW!$A$2:$A$1500,$D292,EDW_RAW!$U$2:$U$1500,"&lt;&gt;~",EDW_RAW!$U$2:$U$1500,"&lt;&gt;")&gt;0,"부분","X")))</f>
        <v/>
      </c>
      <c r="S292" s="25" t="n"/>
      <c r="T292" s="20">
        <f>IF($H292="","",IF(AND(ISNUMBER(SEARCH("CMT",$H292)),OR(ISNUMBER(SEARCH("완사입",$H292)),ISNUMBER(SEARCH("ODM",$H292)))),"본사/생산처 혼재",IF(ISNUMBER(SEARCH("CMT",$H292)),"본사(소재팀)","생산처")))</f>
        <v/>
      </c>
      <c r="U292" s="20" t="inlineStr">
        <is>
          <t>IKG</t>
        </is>
      </c>
      <c r="V292" s="20">
        <f>IFERROR(TEXTJOIN(" / ",TRUE,UNIQUE(FILTER(소재DB_RAW!$K$3:$K$2000,(소재DB_RAW!$G$3:$G$2000=$D292)*ISERROR(SEARCH("drop",소재DB_RAW!$C$3:$C$2000))))),"")</f>
        <v/>
      </c>
      <c r="W292" s="20" t="inlineStr">
        <is>
          <t>인도네시아</t>
        </is>
      </c>
      <c r="X292" s="20">
        <f>IFERROR(TEXTJOIN(" / ",TRUE,UNIQUE(FILTER(소재DB_RAW!$N$3:$N$2000,(소재DB_RAW!$G$3:$G$2000=$D292)*ISERROR(SEARCH("drop",소재DB_RAW!$C$3:$C$2000))))),"")</f>
        <v/>
      </c>
      <c r="Y292" s="26">
        <f>IFERROR(TEXTJOIN(CHAR(10),TRUE,UNIQUE(FILTER(소재DB_RAW!$N$3:$N$2000&amp;") "&amp;소재DB_RAW!$O$3:$O$2000,(소재DB_RAW!$G$3:$G$2000=$D292)*ISNUMBER(SEARCH("겉감",소재DB_RAW!$M$3:$M$2000))*ISERROR(SEARCH("drop",소재DB_RAW!$C$3:$C$2000))))),"")</f>
        <v/>
      </c>
      <c r="Z292" s="26">
        <f>IFERROR(TEXTJOIN(CHAR(10),TRUE,UNIQUE(FILTER(소재DB_RAW!$N$3:$N$2000&amp;") "&amp;소재DB_RAW!$O$3:$O$2000,(소재DB_RAW!$G$3:$G$2000=$D292)*ISNUMBER(SEARCH("안감",소재DB_RAW!$M$3:$M$2000))*ISERROR(SEARCH("drop",소재DB_RAW!$C$3:$C$2000))))),"")</f>
        <v/>
      </c>
      <c r="AA292" s="27" t="n">
        <v>1800</v>
      </c>
      <c r="AB292" s="27" t="n">
        <v>30929400</v>
      </c>
      <c r="AC292" s="27" t="n">
        <v>176400000</v>
      </c>
      <c r="AD292" s="20" t="inlineStr">
        <is>
          <t>3월4주</t>
        </is>
      </c>
      <c r="AE292" s="20">
        <f>IF($K292="","출고일 미정",IF($Q292="X","작지 미발행",IF($Q292="부분","작지 일부 미발행",IF(AND($S292&lt;&gt;"",$S292&gt;$N292),"소재입고 마감("&amp;TEXT($N292,"MM/DD")&amp;") 초과",IF($Q292="","발행여부 확인 필요",IF($S292="","소재 입고일정 확인 필요","정상"))))))</f>
        <v/>
      </c>
      <c r="AF292" s="19">
        <f>IF($K292="","",IF(OR(LEFT($AE292,2)="작지",LEFT($AE292,4)="소재입고"),IF(LEFT($G292,1)="S","★ 납기위험(S코드)","◆ 지연주의"),IF($AE292="정상","✓ 정상","? 확인필요")))</f>
        <v/>
      </c>
      <c r="AG292" s="21" t="n"/>
      <c r="AH292" s="28" t="n"/>
    </row>
    <row r="293">
      <c r="A293" s="19" t="n">
        <v>289</v>
      </c>
      <c r="B293" s="20" t="inlineStr">
        <is>
          <t>박지인</t>
        </is>
      </c>
      <c r="C293" s="20" t="inlineStr">
        <is>
          <t>이다영</t>
        </is>
      </c>
      <c r="D293" s="20" t="inlineStr">
        <is>
          <t>JWVAM27371</t>
        </is>
      </c>
      <c r="E293" s="20" t="inlineStr">
        <is>
          <t>남성 에그라이트 스탠드넥 베스트</t>
        </is>
      </c>
      <c r="F293" s="20" t="inlineStr">
        <is>
          <t>DBE-1, NAY-1</t>
        </is>
      </c>
      <c r="G293" s="19">
        <f>IF($D293="","",IF(MID($D293,5,1)="S","S(봄)",IF(MID($D293,5,1)="M","M(여름)",IF(MID($D293,5,1)="X","X(사계절)",MID($D293,5,1)))))</f>
        <v/>
      </c>
      <c r="H293" s="20" t="inlineStr">
        <is>
          <t>CMT</t>
        </is>
      </c>
      <c r="I293" s="19" t="inlineStr">
        <is>
          <t>SM2</t>
        </is>
      </c>
      <c r="J293" s="21" t="inlineStr">
        <is>
          <t>3월4주</t>
        </is>
      </c>
      <c r="K293" s="22">
        <f>IF($J293="","",IFERROR(DATE(IF(VALUE(LEFT($J293,FIND("월",$J293)-1))&gt;=9,기준정보!$C$7-1,기준정보!$C$7),VALUE(LEFT($J293,FIND("월",$J293)-1)),1+7*(VALUE(SUBSTITUTE(MID($J293,FIND("월",$J293)+1,5),"주",""))-1)),""))</f>
        <v/>
      </c>
      <c r="L293" s="22">
        <f>IF($K293="","",IF(AND($K293-기준정보!$C$5&gt;=기준정보!$C$10,$K293-기준정보!$C$5&lt;=기준정보!$C$11),기준정보!$C$10-1,$K293-기준정보!$C$5))</f>
        <v/>
      </c>
      <c r="M293" s="23">
        <f>IF($L293="","",IF(OR(ISNUMBER(SEARCH("중국",$W293)),ISNUMBER(SEARCH("베트남",$W293))),MAX(0,MIN($L293,기준정보!$C$9)-MAX($L293-기준정보!$C$6,기준정보!$C$8)+1),IF(ISNUMBER(SEARCH("한국",$W293)),MAX(0,MIN($L293,기준정보!$C$11)-MAX($L293-기준정보!$C$6,기준정보!$C$10)+1),0)))</f>
        <v/>
      </c>
      <c r="N293" s="22">
        <f>IF($L293="","",$L293-기준정보!$C$6-$M293)</f>
        <v/>
      </c>
      <c r="O293" s="24">
        <f>IF($N293="","",$N293-기준정보!$C$4)</f>
        <v/>
      </c>
      <c r="P293" s="21" t="n"/>
      <c r="Q293" s="21" t="inlineStr">
        <is>
          <t>O</t>
        </is>
      </c>
      <c r="R293" s="19">
        <f>IF(COUNTIF(EDW_RAW!$A$2:$A$1500,$D293)=0,"",IF(COUNTIFS(EDW_RAW!$A$2:$A$1500,$D293,EDW_RAW!$U$2:$U$1500,"&lt;&gt;~",EDW_RAW!$U$2:$U$1500,"&lt;&gt;")=COUNTIF(EDW_RAW!$A$2:$A$1500,$D293),"O",IF(COUNTIFS(EDW_RAW!$A$2:$A$1500,$D293,EDW_RAW!$U$2:$U$1500,"&lt;&gt;~",EDW_RAW!$U$2:$U$1500,"&lt;&gt;")&gt;0,"부분","X")))</f>
        <v/>
      </c>
      <c r="S293" s="25" t="n"/>
      <c r="T293" s="20">
        <f>IF($H293="","",IF(AND(ISNUMBER(SEARCH("CMT",$H293)),OR(ISNUMBER(SEARCH("완사입",$H293)),ISNUMBER(SEARCH("ODM",$H293)))),"본사/생산처 혼재",IF(ISNUMBER(SEARCH("CMT",$H293)),"본사(소재팀)","생산처")))</f>
        <v/>
      </c>
      <c r="U293" s="20" t="inlineStr">
        <is>
          <t>포마트</t>
        </is>
      </c>
      <c r="V293" s="20">
        <f>IFERROR(TEXTJOIN(" / ",TRUE,UNIQUE(FILTER(소재DB_RAW!$K$3:$K$2000,(소재DB_RAW!$G$3:$G$2000=$D293)*ISERROR(SEARCH("drop",소재DB_RAW!$C$3:$C$2000))))),"")</f>
        <v/>
      </c>
      <c r="W293" s="20" t="inlineStr">
        <is>
          <t>베트남</t>
        </is>
      </c>
      <c r="X293" s="20">
        <f>IFERROR(TEXTJOIN(" / ",TRUE,UNIQUE(FILTER(소재DB_RAW!$N$3:$N$2000,(소재DB_RAW!$G$3:$G$2000=$D293)*ISERROR(SEARCH("drop",소재DB_RAW!$C$3:$C$2000))))),"")</f>
        <v/>
      </c>
      <c r="Y293" s="26">
        <f>IFERROR(TEXTJOIN(CHAR(10),TRUE,UNIQUE(FILTER(소재DB_RAW!$N$3:$N$2000&amp;") "&amp;소재DB_RAW!$O$3:$O$2000,(소재DB_RAW!$G$3:$G$2000=$D293)*ISNUMBER(SEARCH("겉감",소재DB_RAW!$M$3:$M$2000))*ISERROR(SEARCH("drop",소재DB_RAW!$C$3:$C$2000))))),"")</f>
        <v/>
      </c>
      <c r="Z293" s="26">
        <f>IFERROR(TEXTJOIN(CHAR(10),TRUE,UNIQUE(FILTER(소재DB_RAW!$N$3:$N$2000&amp;") "&amp;소재DB_RAW!$O$3:$O$2000,(소재DB_RAW!$G$3:$G$2000=$D293)*ISNUMBER(SEARCH("안감",소재DB_RAW!$M$3:$M$2000))*ISERROR(SEARCH("drop",소재DB_RAW!$C$3:$C$2000))))),"")</f>
        <v/>
      </c>
      <c r="AA293" s="27" t="n">
        <v>1400</v>
      </c>
      <c r="AB293" s="27" t="n">
        <v>43400000</v>
      </c>
      <c r="AC293" s="27" t="n">
        <v>207200000</v>
      </c>
      <c r="AD293" s="20" t="inlineStr">
        <is>
          <t>3월4주</t>
        </is>
      </c>
      <c r="AE293" s="20">
        <f>IF($K293="","출고일 미정",IF($Q293="X","작지 미발행",IF($Q293="부분","작지 일부 미발행",IF(AND($S293&lt;&gt;"",$S293&gt;$N293),"소재입고 마감("&amp;TEXT($N293,"MM/DD")&amp;") 초과",IF($Q293="","발행여부 확인 필요",IF($S293="","소재 입고일정 확인 필요","정상"))))))</f>
        <v/>
      </c>
      <c r="AF293" s="19">
        <f>IF($K293="","",IF(OR(LEFT($AE293,2)="작지",LEFT($AE293,4)="소재입고"),IF(LEFT($G293,1)="S","★ 납기위험(S코드)","◆ 지연주의"),IF($AE293="정상","✓ 정상","? 확인필요")))</f>
        <v/>
      </c>
      <c r="AG293" s="21" t="n"/>
      <c r="AH293" s="28" t="n"/>
    </row>
    <row r="294">
      <c r="A294" s="19" t="n">
        <v>290</v>
      </c>
      <c r="B294" s="20" t="inlineStr">
        <is>
          <t>최지희</t>
        </is>
      </c>
      <c r="C294" s="20" t="inlineStr">
        <is>
          <t>조은선</t>
        </is>
      </c>
      <c r="D294" s="20" t="inlineStr">
        <is>
          <t>QEAAM27301</t>
        </is>
      </c>
      <c r="E294" s="20" t="inlineStr">
        <is>
          <t>남녀공용 에어도트 사하라 쉐이드</t>
        </is>
      </c>
      <c r="F294" s="20" t="inlineStr">
        <is>
          <t>BLK(BLACK)</t>
        </is>
      </c>
      <c r="G294" s="19">
        <f>IF($D294="","",IF(MID($D294,5,1)="S","S(봄)",IF(MID($D294,5,1)="M","M(여름)",IF(MID($D294,5,1)="X","X(사계절)",MID($D294,5,1)))))</f>
        <v/>
      </c>
      <c r="H294" s="20" t="inlineStr">
        <is>
          <t>완사입</t>
        </is>
      </c>
      <c r="I294" s="19" t="inlineStr"/>
      <c r="J294" s="21" t="inlineStr">
        <is>
          <t>3월4주</t>
        </is>
      </c>
      <c r="K294" s="22">
        <f>IF($J294="","",IFERROR(DATE(IF(VALUE(LEFT($J294,FIND("월",$J294)-1))&gt;=9,기준정보!$C$7-1,기준정보!$C$7),VALUE(LEFT($J294,FIND("월",$J294)-1)),1+7*(VALUE(SUBSTITUTE(MID($J294,FIND("월",$J294)+1,5),"주",""))-1)),""))</f>
        <v/>
      </c>
      <c r="L294" s="22">
        <f>IF($K294="","",IF(AND($K294-기준정보!$C$5&gt;=기준정보!$C$10,$K294-기준정보!$C$5&lt;=기준정보!$C$11),기준정보!$C$10-1,$K294-기준정보!$C$5))</f>
        <v/>
      </c>
      <c r="M294" s="23">
        <f>IF($L294="","",IF(OR(ISNUMBER(SEARCH("중국",$W294)),ISNUMBER(SEARCH("베트남",$W294))),MAX(0,MIN($L294,기준정보!$C$9)-MAX($L294-기준정보!$C$6,기준정보!$C$8)+1),IF(ISNUMBER(SEARCH("한국",$W294)),MAX(0,MIN($L294,기준정보!$C$11)-MAX($L294-기준정보!$C$6,기준정보!$C$10)+1),0)))</f>
        <v/>
      </c>
      <c r="N294" s="22">
        <f>IF($L294="","",$L294-기준정보!$C$6-$M294)</f>
        <v/>
      </c>
      <c r="O294" s="24">
        <f>IF($N294="","",$N294-기준정보!$C$4)</f>
        <v/>
      </c>
      <c r="P294" s="21" t="n"/>
      <c r="Q294" s="21" t="inlineStr">
        <is>
          <t>X</t>
        </is>
      </c>
      <c r="R294" s="19">
        <f>IF(COUNTIF(EDW_RAW!$A$2:$A$1500,$D294)=0,"",IF(COUNTIFS(EDW_RAW!$A$2:$A$1500,$D294,EDW_RAW!$U$2:$U$1500,"&lt;&gt;~",EDW_RAW!$U$2:$U$1500,"&lt;&gt;")=COUNTIF(EDW_RAW!$A$2:$A$1500,$D294),"O",IF(COUNTIFS(EDW_RAW!$A$2:$A$1500,$D294,EDW_RAW!$U$2:$U$1500,"&lt;&gt;~",EDW_RAW!$U$2:$U$1500,"&lt;&gt;")&gt;0,"부분","X")))</f>
        <v/>
      </c>
      <c r="S294" s="25" t="n"/>
      <c r="T294" s="20">
        <f>IF($H294="","",IF(AND(ISNUMBER(SEARCH("CMT",$H294)),OR(ISNUMBER(SEARCH("완사입",$H294)),ISNUMBER(SEARCH("ODM",$H294)))),"본사/생산처 혼재",IF(ISNUMBER(SEARCH("CMT",$H294)),"본사(소재팀)","생산처")))</f>
        <v/>
      </c>
      <c r="U294" s="20" t="inlineStr">
        <is>
          <t>PNG</t>
        </is>
      </c>
      <c r="V294" s="20">
        <f>IFERROR(TEXTJOIN(" / ",TRUE,UNIQUE(FILTER(소재DB_RAW!$K$3:$K$2000,(소재DB_RAW!$G$3:$G$2000=$D294)*ISERROR(SEARCH("drop",소재DB_RAW!$C$3:$C$2000))))),"")</f>
        <v/>
      </c>
      <c r="W294" s="20" t="inlineStr">
        <is>
          <t>베트남</t>
        </is>
      </c>
      <c r="X294" s="20">
        <f>IFERROR(TEXTJOIN(" / ",TRUE,UNIQUE(FILTER(소재DB_RAW!$N$3:$N$2000,(소재DB_RAW!$G$3:$G$2000=$D294)*ISERROR(SEARCH("drop",소재DB_RAW!$C$3:$C$2000))))),"")</f>
        <v/>
      </c>
      <c r="Y294" s="26">
        <f>IFERROR(TEXTJOIN(CHAR(10),TRUE,UNIQUE(FILTER(소재DB_RAW!$N$3:$N$2000&amp;") "&amp;소재DB_RAW!$O$3:$O$2000,(소재DB_RAW!$G$3:$G$2000=$D294)*ISNUMBER(SEARCH("겉감",소재DB_RAW!$M$3:$M$2000))*ISERROR(SEARCH("drop",소재DB_RAW!$C$3:$C$2000))))),"")</f>
        <v/>
      </c>
      <c r="Z294" s="26">
        <f>IFERROR(TEXTJOIN(CHAR(10),TRUE,UNIQUE(FILTER(소재DB_RAW!$N$3:$N$2000&amp;") "&amp;소재DB_RAW!$O$3:$O$2000,(소재DB_RAW!$G$3:$G$2000=$D294)*ISNUMBER(SEARCH("안감",소재DB_RAW!$M$3:$M$2000))*ISERROR(SEARCH("drop",소재DB_RAW!$C$3:$C$2000))))),"")</f>
        <v/>
      </c>
      <c r="AA294" s="27" t="n">
        <v>500</v>
      </c>
      <c r="AB294" s="27" t="n">
        <v>3130000</v>
      </c>
      <c r="AC294" s="27" t="n">
        <v>15000000</v>
      </c>
      <c r="AD294" s="20" t="n"/>
      <c r="AE294" s="20">
        <f>IF($K294="","출고일 미정",IF($Q294="X","작지 미발행",IF($Q294="부분","작지 일부 미발행",IF(AND($S294&lt;&gt;"",$S294&gt;$N294),"소재입고 마감("&amp;TEXT($N294,"MM/DD")&amp;") 초과",IF($Q294="","발행여부 확인 필요",IF($S294="","소재 입고일정 확인 필요","정상"))))))</f>
        <v/>
      </c>
      <c r="AF294" s="19">
        <f>IF($K294="","",IF(OR(LEFT($AE294,2)="작지",LEFT($AE294,4)="소재입고"),IF(LEFT($G294,1)="S","★ 납기위험(S코드)","◆ 지연주의"),IF($AE294="정상","✓ 정상","? 확인필요")))</f>
        <v/>
      </c>
      <c r="AG294" s="21" t="n"/>
      <c r="AH294" s="28" t="n"/>
    </row>
    <row r="295">
      <c r="A295" s="19" t="n">
        <v>291</v>
      </c>
      <c r="B295" s="20" t="inlineStr">
        <is>
          <t>최지희</t>
        </is>
      </c>
      <c r="C295" s="20" t="inlineStr">
        <is>
          <t>조은선</t>
        </is>
      </c>
      <c r="D295" s="20" t="inlineStr">
        <is>
          <t>QEAAM27303</t>
        </is>
      </c>
      <c r="E295" s="20" t="inlineStr">
        <is>
          <t>남녀공용 메쉬 프린트 사하라 쉐이드</t>
        </is>
      </c>
      <c r="F295" s="20" t="inlineStr">
        <is>
          <t>GRY-1</t>
        </is>
      </c>
      <c r="G295" s="19">
        <f>IF($D295="","",IF(MID($D295,5,1)="S","S(봄)",IF(MID($D295,5,1)="M","M(여름)",IF(MID($D295,5,1)="X","X(사계절)",MID($D295,5,1)))))</f>
        <v/>
      </c>
      <c r="H295" s="20" t="inlineStr">
        <is>
          <t>완사입</t>
        </is>
      </c>
      <c r="I295" s="19" t="inlineStr"/>
      <c r="J295" s="21" t="inlineStr">
        <is>
          <t>3월4주</t>
        </is>
      </c>
      <c r="K295" s="22">
        <f>IF($J295="","",IFERROR(DATE(IF(VALUE(LEFT($J295,FIND("월",$J295)-1))&gt;=9,기준정보!$C$7-1,기준정보!$C$7),VALUE(LEFT($J295,FIND("월",$J295)-1)),1+7*(VALUE(SUBSTITUTE(MID($J295,FIND("월",$J295)+1,5),"주",""))-1)),""))</f>
        <v/>
      </c>
      <c r="L295" s="22">
        <f>IF($K295="","",IF(AND($K295-기준정보!$C$5&gt;=기준정보!$C$10,$K295-기준정보!$C$5&lt;=기준정보!$C$11),기준정보!$C$10-1,$K295-기준정보!$C$5))</f>
        <v/>
      </c>
      <c r="M295" s="23">
        <f>IF($L295="","",IF(OR(ISNUMBER(SEARCH("중국",$W295)),ISNUMBER(SEARCH("베트남",$W295))),MAX(0,MIN($L295,기준정보!$C$9)-MAX($L295-기준정보!$C$6,기준정보!$C$8)+1),IF(ISNUMBER(SEARCH("한국",$W295)),MAX(0,MIN($L295,기준정보!$C$11)-MAX($L295-기준정보!$C$6,기준정보!$C$10)+1),0)))</f>
        <v/>
      </c>
      <c r="N295" s="22">
        <f>IF($L295="","",$L295-기준정보!$C$6-$M295)</f>
        <v/>
      </c>
      <c r="O295" s="24">
        <f>IF($N295="","",$N295-기준정보!$C$4)</f>
        <v/>
      </c>
      <c r="P295" s="21" t="n"/>
      <c r="Q295" s="21" t="inlineStr">
        <is>
          <t>X</t>
        </is>
      </c>
      <c r="R295" s="19">
        <f>IF(COUNTIF(EDW_RAW!$A$2:$A$1500,$D295)=0,"",IF(COUNTIFS(EDW_RAW!$A$2:$A$1500,$D295,EDW_RAW!$U$2:$U$1500,"&lt;&gt;~",EDW_RAW!$U$2:$U$1500,"&lt;&gt;")=COUNTIF(EDW_RAW!$A$2:$A$1500,$D295),"O",IF(COUNTIFS(EDW_RAW!$A$2:$A$1500,$D295,EDW_RAW!$U$2:$U$1500,"&lt;&gt;~",EDW_RAW!$U$2:$U$1500,"&lt;&gt;")&gt;0,"부분","X")))</f>
        <v/>
      </c>
      <c r="S295" s="25" t="n"/>
      <c r="T295" s="20">
        <f>IF($H295="","",IF(AND(ISNUMBER(SEARCH("CMT",$H295)),OR(ISNUMBER(SEARCH("완사입",$H295)),ISNUMBER(SEARCH("ODM",$H295)))),"본사/생산처 혼재",IF(ISNUMBER(SEARCH("CMT",$H295)),"본사(소재팀)","생산처")))</f>
        <v/>
      </c>
      <c r="U295" s="20" t="inlineStr">
        <is>
          <t>PNG</t>
        </is>
      </c>
      <c r="V295" s="20">
        <f>IFERROR(TEXTJOIN(" / ",TRUE,UNIQUE(FILTER(소재DB_RAW!$K$3:$K$2000,(소재DB_RAW!$G$3:$G$2000=$D295)*ISERROR(SEARCH("drop",소재DB_RAW!$C$3:$C$2000))))),"")</f>
        <v/>
      </c>
      <c r="W295" s="20" t="inlineStr">
        <is>
          <t>베트남</t>
        </is>
      </c>
      <c r="X295" s="20">
        <f>IFERROR(TEXTJOIN(" / ",TRUE,UNIQUE(FILTER(소재DB_RAW!$N$3:$N$2000,(소재DB_RAW!$G$3:$G$2000=$D295)*ISERROR(SEARCH("drop",소재DB_RAW!$C$3:$C$2000))))),"")</f>
        <v/>
      </c>
      <c r="Y295" s="26">
        <f>IFERROR(TEXTJOIN(CHAR(10),TRUE,UNIQUE(FILTER(소재DB_RAW!$N$3:$N$2000&amp;") "&amp;소재DB_RAW!$O$3:$O$2000,(소재DB_RAW!$G$3:$G$2000=$D295)*ISNUMBER(SEARCH("겉감",소재DB_RAW!$M$3:$M$2000))*ISERROR(SEARCH("drop",소재DB_RAW!$C$3:$C$2000))))),"")</f>
        <v/>
      </c>
      <c r="Z295" s="26">
        <f>IFERROR(TEXTJOIN(CHAR(10),TRUE,UNIQUE(FILTER(소재DB_RAW!$N$3:$N$2000&amp;") "&amp;소재DB_RAW!$O$3:$O$2000,(소재DB_RAW!$G$3:$G$2000=$D295)*ISNUMBER(SEARCH("안감",소재DB_RAW!$M$3:$M$2000))*ISERROR(SEARCH("drop",소재DB_RAW!$C$3:$C$2000))))),"")</f>
        <v/>
      </c>
      <c r="AA295" s="27" t="n">
        <v>300</v>
      </c>
      <c r="AB295" s="27" t="n">
        <v>3078600</v>
      </c>
      <c r="AC295" s="27" t="n">
        <v>12000000</v>
      </c>
      <c r="AD295" s="20" t="n"/>
      <c r="AE295" s="20">
        <f>IF($K295="","출고일 미정",IF($Q295="X","작지 미발행",IF($Q295="부분","작지 일부 미발행",IF(AND($S295&lt;&gt;"",$S295&gt;$N295),"소재입고 마감("&amp;TEXT($N295,"MM/DD")&amp;") 초과",IF($Q295="","발행여부 확인 필요",IF($S295="","소재 입고일정 확인 필요","정상"))))))</f>
        <v/>
      </c>
      <c r="AF295" s="19">
        <f>IF($K295="","",IF(OR(LEFT($AE295,2)="작지",LEFT($AE295,4)="소재입고"),IF(LEFT($G295,1)="S","★ 납기위험(S코드)","◆ 지연주의"),IF($AE295="정상","✓ 정상","? 확인필요")))</f>
        <v/>
      </c>
      <c r="AG295" s="21" t="n"/>
      <c r="AH295" s="28" t="n"/>
    </row>
    <row r="296">
      <c r="A296" s="19" t="n">
        <v>292</v>
      </c>
      <c r="B296" s="20" t="inlineStr">
        <is>
          <t>최지희</t>
        </is>
      </c>
      <c r="C296" s="20" t="inlineStr">
        <is>
          <t>조은선</t>
        </is>
      </c>
      <c r="D296" s="20" t="inlineStr">
        <is>
          <t>QEAKM27103</t>
        </is>
      </c>
      <c r="E296" s="20" t="inlineStr">
        <is>
          <t>남녀공용 봉제형 이어 멀티 쿨 마스크</t>
        </is>
      </c>
      <c r="F296" s="20" t="inlineStr">
        <is>
          <t>BLK(BLACK), WHX, LGY(L/GRAY)</t>
        </is>
      </c>
      <c r="G296" s="19">
        <f>IF($D296="","",IF(MID($D296,5,1)="S","S(봄)",IF(MID($D296,5,1)="M","M(여름)",IF(MID($D296,5,1)="X","X(사계절)",MID($D296,5,1)))))</f>
        <v/>
      </c>
      <c r="H296" s="20" t="inlineStr">
        <is>
          <t>완사입</t>
        </is>
      </c>
      <c r="I296" s="19" t="inlineStr"/>
      <c r="J296" s="21" t="inlineStr">
        <is>
          <t>3월4주</t>
        </is>
      </c>
      <c r="K296" s="22">
        <f>IF($J296="","",IFERROR(DATE(IF(VALUE(LEFT($J296,FIND("월",$J296)-1))&gt;=9,기준정보!$C$7-1,기준정보!$C$7),VALUE(LEFT($J296,FIND("월",$J296)-1)),1+7*(VALUE(SUBSTITUTE(MID($J296,FIND("월",$J296)+1,5),"주",""))-1)),""))</f>
        <v/>
      </c>
      <c r="L296" s="22">
        <f>IF($K296="","",IF(AND($K296-기준정보!$C$5&gt;=기준정보!$C$10,$K296-기준정보!$C$5&lt;=기준정보!$C$11),기준정보!$C$10-1,$K296-기준정보!$C$5))</f>
        <v/>
      </c>
      <c r="M296" s="23">
        <f>IF($L296="","",IF(OR(ISNUMBER(SEARCH("중국",$W296)),ISNUMBER(SEARCH("베트남",$W296))),MAX(0,MIN($L296,기준정보!$C$9)-MAX($L296-기준정보!$C$6,기준정보!$C$8)+1),IF(ISNUMBER(SEARCH("한국",$W296)),MAX(0,MIN($L296,기준정보!$C$11)-MAX($L296-기준정보!$C$6,기준정보!$C$10)+1),0)))</f>
        <v/>
      </c>
      <c r="N296" s="22">
        <f>IF($L296="","",$L296-기준정보!$C$6-$M296)</f>
        <v/>
      </c>
      <c r="O296" s="24">
        <f>IF($N296="","",$N296-기준정보!$C$4)</f>
        <v/>
      </c>
      <c r="P296" s="21" t="n"/>
      <c r="Q296" s="21" t="inlineStr">
        <is>
          <t>X</t>
        </is>
      </c>
      <c r="R296" s="19">
        <f>IF(COUNTIF(EDW_RAW!$A$2:$A$1500,$D296)=0,"",IF(COUNTIFS(EDW_RAW!$A$2:$A$1500,$D296,EDW_RAW!$U$2:$U$1500,"&lt;&gt;~",EDW_RAW!$U$2:$U$1500,"&lt;&gt;")=COUNTIF(EDW_RAW!$A$2:$A$1500,$D296),"O",IF(COUNTIFS(EDW_RAW!$A$2:$A$1500,$D296,EDW_RAW!$U$2:$U$1500,"&lt;&gt;~",EDW_RAW!$U$2:$U$1500,"&lt;&gt;")&gt;0,"부분","X")))</f>
        <v/>
      </c>
      <c r="S296" s="25" t="n"/>
      <c r="T296" s="20">
        <f>IF($H296="","",IF(AND(ISNUMBER(SEARCH("CMT",$H296)),OR(ISNUMBER(SEARCH("완사입",$H296)),ISNUMBER(SEARCH("ODM",$H296)))),"본사/생산처 혼재",IF(ISNUMBER(SEARCH("CMT",$H296)),"본사(소재팀)","생산처")))</f>
        <v/>
      </c>
      <c r="U296" s="20" t="inlineStr">
        <is>
          <t>아이앤지</t>
        </is>
      </c>
      <c r="V296" s="20">
        <f>IFERROR(TEXTJOIN(" / ",TRUE,UNIQUE(FILTER(소재DB_RAW!$K$3:$K$2000,(소재DB_RAW!$G$3:$G$2000=$D296)*ISERROR(SEARCH("drop",소재DB_RAW!$C$3:$C$2000))))),"")</f>
        <v/>
      </c>
      <c r="W296" s="20" t="inlineStr">
        <is>
          <t>한국</t>
        </is>
      </c>
      <c r="X296" s="20">
        <f>IFERROR(TEXTJOIN(" / ",TRUE,UNIQUE(FILTER(소재DB_RAW!$N$3:$N$2000,(소재DB_RAW!$G$3:$G$2000=$D296)*ISERROR(SEARCH("drop",소재DB_RAW!$C$3:$C$2000))))),"")</f>
        <v/>
      </c>
      <c r="Y296" s="26">
        <f>IFERROR(TEXTJOIN(CHAR(10),TRUE,UNIQUE(FILTER(소재DB_RAW!$N$3:$N$2000&amp;") "&amp;소재DB_RAW!$O$3:$O$2000,(소재DB_RAW!$G$3:$G$2000=$D296)*ISNUMBER(SEARCH("겉감",소재DB_RAW!$M$3:$M$2000))*ISERROR(SEARCH("drop",소재DB_RAW!$C$3:$C$2000))))),"")</f>
        <v/>
      </c>
      <c r="Z296" s="26">
        <f>IFERROR(TEXTJOIN(CHAR(10),TRUE,UNIQUE(FILTER(소재DB_RAW!$N$3:$N$2000&amp;") "&amp;소재DB_RAW!$O$3:$O$2000,(소재DB_RAW!$G$3:$G$2000=$D296)*ISNUMBER(SEARCH("안감",소재DB_RAW!$M$3:$M$2000))*ISERROR(SEARCH("drop",소재DB_RAW!$C$3:$C$2000))))),"")</f>
        <v/>
      </c>
      <c r="AA296" s="27" t="n">
        <v>9900</v>
      </c>
      <c r="AB296" s="27" t="n">
        <v>69300000</v>
      </c>
      <c r="AC296" s="27" t="n">
        <v>396000000</v>
      </c>
      <c r="AD296" s="20" t="n"/>
      <c r="AE296" s="20">
        <f>IF($K296="","출고일 미정",IF($Q296="X","작지 미발행",IF($Q296="부분","작지 일부 미발행",IF(AND($S296&lt;&gt;"",$S296&gt;$N296),"소재입고 마감("&amp;TEXT($N296,"MM/DD")&amp;") 초과",IF($Q296="","발행여부 확인 필요",IF($S296="","소재 입고일정 확인 필요","정상"))))))</f>
        <v/>
      </c>
      <c r="AF296" s="19">
        <f>IF($K296="","",IF(OR(LEFT($AE296,2)="작지",LEFT($AE296,4)="소재입고"),IF(LEFT($G296,1)="S","★ 납기위험(S코드)","◆ 지연주의"),IF($AE296="정상","✓ 정상","? 확인필요")))</f>
        <v/>
      </c>
      <c r="AG296" s="21" t="n"/>
      <c r="AH296" s="28" t="n"/>
    </row>
    <row r="297">
      <c r="A297" s="19" t="n">
        <v>293</v>
      </c>
      <c r="B297" s="20" t="inlineStr">
        <is>
          <t>최지희</t>
        </is>
      </c>
      <c r="C297" s="20" t="inlineStr">
        <is>
          <t>조은선</t>
        </is>
      </c>
      <c r="D297" s="20" t="inlineStr">
        <is>
          <t>QEHEM27103</t>
        </is>
      </c>
      <c r="E297" s="20" t="inlineStr">
        <is>
          <t>남녀공용 모스드라이 심리스 팔토시</t>
        </is>
      </c>
      <c r="F297" s="20" t="inlineStr">
        <is>
          <t>BLK(BLACK), WHX</t>
        </is>
      </c>
      <c r="G297" s="19">
        <f>IF($D297="","",IF(MID($D297,5,1)="S","S(봄)",IF(MID($D297,5,1)="M","M(여름)",IF(MID($D297,5,1)="X","X(사계절)",MID($D297,5,1)))))</f>
        <v/>
      </c>
      <c r="H297" s="20" t="inlineStr">
        <is>
          <t>완사입</t>
        </is>
      </c>
      <c r="I297" s="19" t="inlineStr"/>
      <c r="J297" s="21" t="inlineStr">
        <is>
          <t>3월4주</t>
        </is>
      </c>
      <c r="K297" s="22">
        <f>IF($J297="","",IFERROR(DATE(IF(VALUE(LEFT($J297,FIND("월",$J297)-1))&gt;=9,기준정보!$C$7-1,기준정보!$C$7),VALUE(LEFT($J297,FIND("월",$J297)-1)),1+7*(VALUE(SUBSTITUTE(MID($J297,FIND("월",$J297)+1,5),"주",""))-1)),""))</f>
        <v/>
      </c>
      <c r="L297" s="22">
        <f>IF($K297="","",IF(AND($K297-기준정보!$C$5&gt;=기준정보!$C$10,$K297-기준정보!$C$5&lt;=기준정보!$C$11),기준정보!$C$10-1,$K297-기준정보!$C$5))</f>
        <v/>
      </c>
      <c r="M297" s="23">
        <f>IF($L297="","",IF(OR(ISNUMBER(SEARCH("중국",$W297)),ISNUMBER(SEARCH("베트남",$W297))),MAX(0,MIN($L297,기준정보!$C$9)-MAX($L297-기준정보!$C$6,기준정보!$C$8)+1),IF(ISNUMBER(SEARCH("한국",$W297)),MAX(0,MIN($L297,기준정보!$C$11)-MAX($L297-기준정보!$C$6,기준정보!$C$10)+1),0)))</f>
        <v/>
      </c>
      <c r="N297" s="22">
        <f>IF($L297="","",$L297-기준정보!$C$6-$M297)</f>
        <v/>
      </c>
      <c r="O297" s="24">
        <f>IF($N297="","",$N297-기준정보!$C$4)</f>
        <v/>
      </c>
      <c r="P297" s="21" t="n"/>
      <c r="Q297" s="21" t="inlineStr">
        <is>
          <t>X</t>
        </is>
      </c>
      <c r="R297" s="19">
        <f>IF(COUNTIF(EDW_RAW!$A$2:$A$1500,$D297)=0,"",IF(COUNTIFS(EDW_RAW!$A$2:$A$1500,$D297,EDW_RAW!$U$2:$U$1500,"&lt;&gt;~",EDW_RAW!$U$2:$U$1500,"&lt;&gt;")=COUNTIF(EDW_RAW!$A$2:$A$1500,$D297),"O",IF(COUNTIFS(EDW_RAW!$A$2:$A$1500,$D297,EDW_RAW!$U$2:$U$1500,"&lt;&gt;~",EDW_RAW!$U$2:$U$1500,"&lt;&gt;")&gt;0,"부분","X")))</f>
        <v/>
      </c>
      <c r="S297" s="25" t="n"/>
      <c r="T297" s="20">
        <f>IF($H297="","",IF(AND(ISNUMBER(SEARCH("CMT",$H297)),OR(ISNUMBER(SEARCH("완사입",$H297)),ISNUMBER(SEARCH("ODM",$H297)))),"본사/생산처 혼재",IF(ISNUMBER(SEARCH("CMT",$H297)),"본사(소재팀)","생산처")))</f>
        <v/>
      </c>
      <c r="U297" s="20" t="inlineStr">
        <is>
          <t>아이앤지</t>
        </is>
      </c>
      <c r="V297" s="20">
        <f>IFERROR(TEXTJOIN(" / ",TRUE,UNIQUE(FILTER(소재DB_RAW!$K$3:$K$2000,(소재DB_RAW!$G$3:$G$2000=$D297)*ISERROR(SEARCH("drop",소재DB_RAW!$C$3:$C$2000))))),"")</f>
        <v/>
      </c>
      <c r="W297" s="20" t="inlineStr">
        <is>
          <t>중국</t>
        </is>
      </c>
      <c r="X297" s="20">
        <f>IFERROR(TEXTJOIN(" / ",TRUE,UNIQUE(FILTER(소재DB_RAW!$N$3:$N$2000,(소재DB_RAW!$G$3:$G$2000=$D297)*ISERROR(SEARCH("drop",소재DB_RAW!$C$3:$C$2000))))),"")</f>
        <v/>
      </c>
      <c r="Y297" s="26">
        <f>IFERROR(TEXTJOIN(CHAR(10),TRUE,UNIQUE(FILTER(소재DB_RAW!$N$3:$N$2000&amp;") "&amp;소재DB_RAW!$O$3:$O$2000,(소재DB_RAW!$G$3:$G$2000=$D297)*ISNUMBER(SEARCH("겉감",소재DB_RAW!$M$3:$M$2000))*ISERROR(SEARCH("drop",소재DB_RAW!$C$3:$C$2000))))),"")</f>
        <v/>
      </c>
      <c r="Z297" s="26">
        <f>IFERROR(TEXTJOIN(CHAR(10),TRUE,UNIQUE(FILTER(소재DB_RAW!$N$3:$N$2000&amp;") "&amp;소재DB_RAW!$O$3:$O$2000,(소재DB_RAW!$G$3:$G$2000=$D297)*ISNUMBER(SEARCH("안감",소재DB_RAW!$M$3:$M$2000))*ISERROR(SEARCH("drop",소재DB_RAW!$C$3:$C$2000))))),"")</f>
        <v/>
      </c>
      <c r="AA297" s="27" t="n">
        <v>10500</v>
      </c>
      <c r="AB297" s="27" t="n">
        <v>65992500</v>
      </c>
      <c r="AC297" s="27" t="n">
        <v>315000000</v>
      </c>
      <c r="AD297" s="20" t="n"/>
      <c r="AE297" s="20">
        <f>IF($K297="","출고일 미정",IF($Q297="X","작지 미발행",IF($Q297="부분","작지 일부 미발행",IF(AND($S297&lt;&gt;"",$S297&gt;$N297),"소재입고 마감("&amp;TEXT($N297,"MM/DD")&amp;") 초과",IF($Q297="","발행여부 확인 필요",IF($S297="","소재 입고일정 확인 필요","정상"))))))</f>
        <v/>
      </c>
      <c r="AF297" s="19">
        <f>IF($K297="","",IF(OR(LEFT($AE297,2)="작지",LEFT($AE297,4)="소재입고"),IF(LEFT($G297,1)="S","★ 납기위험(S코드)","◆ 지연주의"),IF($AE297="정상","✓ 정상","? 확인필요")))</f>
        <v/>
      </c>
      <c r="AG297" s="21" t="n"/>
      <c r="AH297" s="28" t="n"/>
    </row>
    <row r="298">
      <c r="A298" s="19" t="n">
        <v>294</v>
      </c>
      <c r="B298" s="20" t="inlineStr">
        <is>
          <t>최지희</t>
        </is>
      </c>
      <c r="C298" s="20" t="inlineStr">
        <is>
          <t>조은선</t>
        </is>
      </c>
      <c r="D298" s="20" t="inlineStr">
        <is>
          <t>QEHEM27105</t>
        </is>
      </c>
      <c r="E298" s="20" t="inlineStr">
        <is>
          <t>남녀공용 모스드라이 손등 팔토시</t>
        </is>
      </c>
      <c r="F298" s="20" t="inlineStr">
        <is>
          <t>WHX, BLK(BLACK)</t>
        </is>
      </c>
      <c r="G298" s="19">
        <f>IF($D298="","",IF(MID($D298,5,1)="S","S(봄)",IF(MID($D298,5,1)="M","M(여름)",IF(MID($D298,5,1)="X","X(사계절)",MID($D298,5,1)))))</f>
        <v/>
      </c>
      <c r="H298" s="20" t="inlineStr">
        <is>
          <t>완사입</t>
        </is>
      </c>
      <c r="I298" s="19" t="inlineStr"/>
      <c r="J298" s="21" t="inlineStr">
        <is>
          <t>3월4주</t>
        </is>
      </c>
      <c r="K298" s="22">
        <f>IF($J298="","",IFERROR(DATE(IF(VALUE(LEFT($J298,FIND("월",$J298)-1))&gt;=9,기준정보!$C$7-1,기준정보!$C$7),VALUE(LEFT($J298,FIND("월",$J298)-1)),1+7*(VALUE(SUBSTITUTE(MID($J298,FIND("월",$J298)+1,5),"주",""))-1)),""))</f>
        <v/>
      </c>
      <c r="L298" s="22">
        <f>IF($K298="","",IF(AND($K298-기준정보!$C$5&gt;=기준정보!$C$10,$K298-기준정보!$C$5&lt;=기준정보!$C$11),기준정보!$C$10-1,$K298-기준정보!$C$5))</f>
        <v/>
      </c>
      <c r="M298" s="23">
        <f>IF($L298="","",IF(OR(ISNUMBER(SEARCH("중국",$W298)),ISNUMBER(SEARCH("베트남",$W298))),MAX(0,MIN($L298,기준정보!$C$9)-MAX($L298-기준정보!$C$6,기준정보!$C$8)+1),IF(ISNUMBER(SEARCH("한국",$W298)),MAX(0,MIN($L298,기준정보!$C$11)-MAX($L298-기준정보!$C$6,기준정보!$C$10)+1),0)))</f>
        <v/>
      </c>
      <c r="N298" s="22">
        <f>IF($L298="","",$L298-기준정보!$C$6-$M298)</f>
        <v/>
      </c>
      <c r="O298" s="24">
        <f>IF($N298="","",$N298-기준정보!$C$4)</f>
        <v/>
      </c>
      <c r="P298" s="21" t="n"/>
      <c r="Q298" s="21" t="inlineStr">
        <is>
          <t>X</t>
        </is>
      </c>
      <c r="R298" s="19">
        <f>IF(COUNTIF(EDW_RAW!$A$2:$A$1500,$D298)=0,"",IF(COUNTIFS(EDW_RAW!$A$2:$A$1500,$D298,EDW_RAW!$U$2:$U$1500,"&lt;&gt;~",EDW_RAW!$U$2:$U$1500,"&lt;&gt;")=COUNTIF(EDW_RAW!$A$2:$A$1500,$D298),"O",IF(COUNTIFS(EDW_RAW!$A$2:$A$1500,$D298,EDW_RAW!$U$2:$U$1500,"&lt;&gt;~",EDW_RAW!$U$2:$U$1500,"&lt;&gt;")&gt;0,"부분","X")))</f>
        <v/>
      </c>
      <c r="S298" s="25" t="n"/>
      <c r="T298" s="20">
        <f>IF($H298="","",IF(AND(ISNUMBER(SEARCH("CMT",$H298)),OR(ISNUMBER(SEARCH("완사입",$H298)),ISNUMBER(SEARCH("ODM",$H298)))),"본사/생산처 혼재",IF(ISNUMBER(SEARCH("CMT",$H298)),"본사(소재팀)","생산처")))</f>
        <v/>
      </c>
      <c r="U298" s="20" t="inlineStr">
        <is>
          <t>아이앤지</t>
        </is>
      </c>
      <c r="V298" s="20">
        <f>IFERROR(TEXTJOIN(" / ",TRUE,UNIQUE(FILTER(소재DB_RAW!$K$3:$K$2000,(소재DB_RAW!$G$3:$G$2000=$D298)*ISERROR(SEARCH("drop",소재DB_RAW!$C$3:$C$2000))))),"")</f>
        <v/>
      </c>
      <c r="W298" s="20" t="inlineStr">
        <is>
          <t>베트남</t>
        </is>
      </c>
      <c r="X298" s="20">
        <f>IFERROR(TEXTJOIN(" / ",TRUE,UNIQUE(FILTER(소재DB_RAW!$N$3:$N$2000,(소재DB_RAW!$G$3:$G$2000=$D298)*ISERROR(SEARCH("drop",소재DB_RAW!$C$3:$C$2000))))),"")</f>
        <v/>
      </c>
      <c r="Y298" s="26">
        <f>IFERROR(TEXTJOIN(CHAR(10),TRUE,UNIQUE(FILTER(소재DB_RAW!$N$3:$N$2000&amp;") "&amp;소재DB_RAW!$O$3:$O$2000,(소재DB_RAW!$G$3:$G$2000=$D298)*ISNUMBER(SEARCH("겉감",소재DB_RAW!$M$3:$M$2000))*ISERROR(SEARCH("drop",소재DB_RAW!$C$3:$C$2000))))),"")</f>
        <v/>
      </c>
      <c r="Z298" s="26">
        <f>IFERROR(TEXTJOIN(CHAR(10),TRUE,UNIQUE(FILTER(소재DB_RAW!$N$3:$N$2000&amp;") "&amp;소재DB_RAW!$O$3:$O$2000,(소재DB_RAW!$G$3:$G$2000=$D298)*ISNUMBER(SEARCH("안감",소재DB_RAW!$M$3:$M$2000))*ISERROR(SEARCH("drop",소재DB_RAW!$C$3:$C$2000))))),"")</f>
        <v/>
      </c>
      <c r="AA298" s="27" t="n">
        <v>5000</v>
      </c>
      <c r="AB298" s="27" t="n">
        <v>33210000</v>
      </c>
      <c r="AC298" s="27" t="n">
        <v>175000000</v>
      </c>
      <c r="AD298" s="20" t="n"/>
      <c r="AE298" s="20">
        <f>IF($K298="","출고일 미정",IF($Q298="X","작지 미발행",IF($Q298="부분","작지 일부 미발행",IF(AND($S298&lt;&gt;"",$S298&gt;$N298),"소재입고 마감("&amp;TEXT($N298,"MM/DD")&amp;") 초과",IF($Q298="","발행여부 확인 필요",IF($S298="","소재 입고일정 확인 필요","정상"))))))</f>
        <v/>
      </c>
      <c r="AF298" s="19">
        <f>IF($K298="","",IF(OR(LEFT($AE298,2)="작지",LEFT($AE298,4)="소재입고"),IF(LEFT($G298,1)="S","★ 납기위험(S코드)","◆ 지연주의"),IF($AE298="정상","✓ 정상","? 확인필요")))</f>
        <v/>
      </c>
      <c r="AG298" s="21" t="n"/>
      <c r="AH298" s="28" t="n"/>
    </row>
    <row r="299">
      <c r="A299" s="19" t="n">
        <v>295</v>
      </c>
      <c r="B299" s="20" t="inlineStr">
        <is>
          <t>최지희</t>
        </is>
      </c>
      <c r="C299" s="20" t="inlineStr">
        <is>
          <t>강지은</t>
        </is>
      </c>
      <c r="D299" s="20" t="inlineStr">
        <is>
          <t>QEREM27171</t>
        </is>
      </c>
      <c r="E299" s="20" t="inlineStr">
        <is>
          <t>남녀공용 애어도트 사하라캡</t>
        </is>
      </c>
      <c r="F299" s="20" t="inlineStr">
        <is>
          <t>BLK(BLACK), LGY(L/GRAY)</t>
        </is>
      </c>
      <c r="G299" s="19">
        <f>IF($D299="","",IF(MID($D299,5,1)="S","S(봄)",IF(MID($D299,5,1)="M","M(여름)",IF(MID($D299,5,1)="X","X(사계절)",MID($D299,5,1)))))</f>
        <v/>
      </c>
      <c r="H299" s="20" t="inlineStr">
        <is>
          <t>완사입</t>
        </is>
      </c>
      <c r="I299" s="19" t="inlineStr"/>
      <c r="J299" s="21" t="inlineStr">
        <is>
          <t>3월4주</t>
        </is>
      </c>
      <c r="K299" s="22">
        <f>IF($J299="","",IFERROR(DATE(IF(VALUE(LEFT($J299,FIND("월",$J299)-1))&gt;=9,기준정보!$C$7-1,기준정보!$C$7),VALUE(LEFT($J299,FIND("월",$J299)-1)),1+7*(VALUE(SUBSTITUTE(MID($J299,FIND("월",$J299)+1,5),"주",""))-1)),""))</f>
        <v/>
      </c>
      <c r="L299" s="22">
        <f>IF($K299="","",IF(AND($K299-기준정보!$C$5&gt;=기준정보!$C$10,$K299-기준정보!$C$5&lt;=기준정보!$C$11),기준정보!$C$10-1,$K299-기준정보!$C$5))</f>
        <v/>
      </c>
      <c r="M299" s="23">
        <f>IF($L299="","",IF(OR(ISNUMBER(SEARCH("중국",$W299)),ISNUMBER(SEARCH("베트남",$W299))),MAX(0,MIN($L299,기준정보!$C$9)-MAX($L299-기준정보!$C$6,기준정보!$C$8)+1),IF(ISNUMBER(SEARCH("한국",$W299)),MAX(0,MIN($L299,기준정보!$C$11)-MAX($L299-기준정보!$C$6,기준정보!$C$10)+1),0)))</f>
        <v/>
      </c>
      <c r="N299" s="22">
        <f>IF($L299="","",$L299-기준정보!$C$6-$M299)</f>
        <v/>
      </c>
      <c r="O299" s="24">
        <f>IF($N299="","",$N299-기준정보!$C$4)</f>
        <v/>
      </c>
      <c r="P299" s="21" t="n"/>
      <c r="Q299" s="21" t="inlineStr">
        <is>
          <t>X</t>
        </is>
      </c>
      <c r="R299" s="19">
        <f>IF(COUNTIF(EDW_RAW!$A$2:$A$1500,$D299)=0,"",IF(COUNTIFS(EDW_RAW!$A$2:$A$1500,$D299,EDW_RAW!$U$2:$U$1500,"&lt;&gt;~",EDW_RAW!$U$2:$U$1500,"&lt;&gt;")=COUNTIF(EDW_RAW!$A$2:$A$1500,$D299),"O",IF(COUNTIFS(EDW_RAW!$A$2:$A$1500,$D299,EDW_RAW!$U$2:$U$1500,"&lt;&gt;~",EDW_RAW!$U$2:$U$1500,"&lt;&gt;")&gt;0,"부분","X")))</f>
        <v/>
      </c>
      <c r="S299" s="25" t="n"/>
      <c r="T299" s="20">
        <f>IF($H299="","",IF(AND(ISNUMBER(SEARCH("CMT",$H299)),OR(ISNUMBER(SEARCH("완사입",$H299)),ISNUMBER(SEARCH("ODM",$H299)))),"본사/생산처 혼재",IF(ISNUMBER(SEARCH("CMT",$H299)),"본사(소재팀)","생산처")))</f>
        <v/>
      </c>
      <c r="U299" s="20" t="inlineStr">
        <is>
          <t>PNG</t>
        </is>
      </c>
      <c r="V299" s="20">
        <f>IFERROR(TEXTJOIN(" / ",TRUE,UNIQUE(FILTER(소재DB_RAW!$K$3:$K$2000,(소재DB_RAW!$G$3:$G$2000=$D299)*ISERROR(SEARCH("drop",소재DB_RAW!$C$3:$C$2000))))),"")</f>
        <v/>
      </c>
      <c r="W299" s="20" t="inlineStr">
        <is>
          <t>베트남</t>
        </is>
      </c>
      <c r="X299" s="20">
        <f>IFERROR(TEXTJOIN(" / ",TRUE,UNIQUE(FILTER(소재DB_RAW!$N$3:$N$2000,(소재DB_RAW!$G$3:$G$2000=$D299)*ISERROR(SEARCH("drop",소재DB_RAW!$C$3:$C$2000))))),"")</f>
        <v/>
      </c>
      <c r="Y299" s="26">
        <f>IFERROR(TEXTJOIN(CHAR(10),TRUE,UNIQUE(FILTER(소재DB_RAW!$N$3:$N$2000&amp;") "&amp;소재DB_RAW!$O$3:$O$2000,(소재DB_RAW!$G$3:$G$2000=$D299)*ISNUMBER(SEARCH("겉감",소재DB_RAW!$M$3:$M$2000))*ISERROR(SEARCH("drop",소재DB_RAW!$C$3:$C$2000))))),"")</f>
        <v/>
      </c>
      <c r="Z299" s="26">
        <f>IFERROR(TEXTJOIN(CHAR(10),TRUE,UNIQUE(FILTER(소재DB_RAW!$N$3:$N$2000&amp;") "&amp;소재DB_RAW!$O$3:$O$2000,(소재DB_RAW!$G$3:$G$2000=$D299)*ISNUMBER(SEARCH("안감",소재DB_RAW!$M$3:$M$2000))*ISERROR(SEARCH("drop",소재DB_RAW!$C$3:$C$2000))))),"")</f>
        <v/>
      </c>
      <c r="AA299" s="27" t="n">
        <v>3500</v>
      </c>
      <c r="AB299" s="27" t="n">
        <v>55335000</v>
      </c>
      <c r="AC299" s="27" t="n">
        <v>273000000</v>
      </c>
      <c r="AD299" s="20" t="n"/>
      <c r="AE299" s="20">
        <f>IF($K299="","출고일 미정",IF($Q299="X","작지 미발행",IF($Q299="부분","작지 일부 미발행",IF(AND($S299&lt;&gt;"",$S299&gt;$N299),"소재입고 마감("&amp;TEXT($N299,"MM/DD")&amp;") 초과",IF($Q299="","발행여부 확인 필요",IF($S299="","소재 입고일정 확인 필요","정상"))))))</f>
        <v/>
      </c>
      <c r="AF299" s="19">
        <f>IF($K299="","",IF(OR(LEFT($AE299,2)="작지",LEFT($AE299,4)="소재입고"),IF(LEFT($G299,1)="S","★ 납기위험(S코드)","◆ 지연주의"),IF($AE299="정상","✓ 정상","? 확인필요")))</f>
        <v/>
      </c>
      <c r="AG299" s="21" t="n"/>
      <c r="AH299" s="28" t="n"/>
    </row>
    <row r="300">
      <c r="A300" s="19" t="n">
        <v>296</v>
      </c>
      <c r="B300" s="20" t="inlineStr">
        <is>
          <t>최지희</t>
        </is>
      </c>
      <c r="C300" s="20" t="inlineStr">
        <is>
          <t>강지은</t>
        </is>
      </c>
      <c r="D300" s="20" t="inlineStr">
        <is>
          <t>QEREM27301</t>
        </is>
      </c>
      <c r="E300" s="20" t="inlineStr">
        <is>
          <t>남녀공용 BPL 프린트 폴더블 캡</t>
        </is>
      </c>
      <c r="F300" s="20" t="inlineStr">
        <is>
          <t>GRY-1</t>
        </is>
      </c>
      <c r="G300" s="19">
        <f>IF($D300="","",IF(MID($D300,5,1)="S","S(봄)",IF(MID($D300,5,1)="M","M(여름)",IF(MID($D300,5,1)="X","X(사계절)",MID($D300,5,1)))))</f>
        <v/>
      </c>
      <c r="H300" s="20" t="inlineStr">
        <is>
          <t>완사입</t>
        </is>
      </c>
      <c r="I300" s="19" t="inlineStr">
        <is>
          <t>SM2</t>
        </is>
      </c>
      <c r="J300" s="21" t="inlineStr">
        <is>
          <t>3월4주</t>
        </is>
      </c>
      <c r="K300" s="22">
        <f>IF($J300="","",IFERROR(DATE(IF(VALUE(LEFT($J300,FIND("월",$J300)-1))&gt;=9,기준정보!$C$7-1,기준정보!$C$7),VALUE(LEFT($J300,FIND("월",$J300)-1)),1+7*(VALUE(SUBSTITUTE(MID($J300,FIND("월",$J300)+1,5),"주",""))-1)),""))</f>
        <v/>
      </c>
      <c r="L300" s="22">
        <f>IF($K300="","",IF(AND($K300-기준정보!$C$5&gt;=기준정보!$C$10,$K300-기준정보!$C$5&lt;=기준정보!$C$11),기준정보!$C$10-1,$K300-기준정보!$C$5))</f>
        <v/>
      </c>
      <c r="M300" s="23">
        <f>IF($L300="","",IF(OR(ISNUMBER(SEARCH("중국",$W300)),ISNUMBER(SEARCH("베트남",$W300))),MAX(0,MIN($L300,기준정보!$C$9)-MAX($L300-기준정보!$C$6,기준정보!$C$8)+1),IF(ISNUMBER(SEARCH("한국",$W300)),MAX(0,MIN($L300,기준정보!$C$11)-MAX($L300-기준정보!$C$6,기준정보!$C$10)+1),0)))</f>
        <v/>
      </c>
      <c r="N300" s="22">
        <f>IF($L300="","",$L300-기준정보!$C$6-$M300)</f>
        <v/>
      </c>
      <c r="O300" s="24">
        <f>IF($N300="","",$N300-기준정보!$C$4)</f>
        <v/>
      </c>
      <c r="P300" s="21" t="n"/>
      <c r="Q300" s="21" t="inlineStr">
        <is>
          <t>X</t>
        </is>
      </c>
      <c r="R300" s="19">
        <f>IF(COUNTIF(EDW_RAW!$A$2:$A$1500,$D300)=0,"",IF(COUNTIFS(EDW_RAW!$A$2:$A$1500,$D300,EDW_RAW!$U$2:$U$1500,"&lt;&gt;~",EDW_RAW!$U$2:$U$1500,"&lt;&gt;")=COUNTIF(EDW_RAW!$A$2:$A$1500,$D300),"O",IF(COUNTIFS(EDW_RAW!$A$2:$A$1500,$D300,EDW_RAW!$U$2:$U$1500,"&lt;&gt;~",EDW_RAW!$U$2:$U$1500,"&lt;&gt;")&gt;0,"부분","X")))</f>
        <v/>
      </c>
      <c r="S300" s="25" t="n"/>
      <c r="T300" s="20">
        <f>IF($H300="","",IF(AND(ISNUMBER(SEARCH("CMT",$H300)),OR(ISNUMBER(SEARCH("완사입",$H300)),ISNUMBER(SEARCH("ODM",$H300)))),"본사/생산처 혼재",IF(ISNUMBER(SEARCH("CMT",$H300)),"본사(소재팀)","생산처")))</f>
        <v/>
      </c>
      <c r="U300" s="20" t="inlineStr">
        <is>
          <t>PNG</t>
        </is>
      </c>
      <c r="V300" s="20">
        <f>IFERROR(TEXTJOIN(" / ",TRUE,UNIQUE(FILTER(소재DB_RAW!$K$3:$K$2000,(소재DB_RAW!$G$3:$G$2000=$D300)*ISERROR(SEARCH("drop",소재DB_RAW!$C$3:$C$2000))))),"")</f>
        <v/>
      </c>
      <c r="W300" s="20" t="inlineStr">
        <is>
          <t>베트남</t>
        </is>
      </c>
      <c r="X300" s="20">
        <f>IFERROR(TEXTJOIN(" / ",TRUE,UNIQUE(FILTER(소재DB_RAW!$N$3:$N$2000,(소재DB_RAW!$G$3:$G$2000=$D300)*ISERROR(SEARCH("drop",소재DB_RAW!$C$3:$C$2000))))),"")</f>
        <v/>
      </c>
      <c r="Y300" s="26">
        <f>IFERROR(TEXTJOIN(CHAR(10),TRUE,UNIQUE(FILTER(소재DB_RAW!$N$3:$N$2000&amp;") "&amp;소재DB_RAW!$O$3:$O$2000,(소재DB_RAW!$G$3:$G$2000=$D300)*ISNUMBER(SEARCH("겉감",소재DB_RAW!$M$3:$M$2000))*ISERROR(SEARCH("drop",소재DB_RAW!$C$3:$C$2000))))),"")</f>
        <v/>
      </c>
      <c r="Z300" s="26">
        <f>IFERROR(TEXTJOIN(CHAR(10),TRUE,UNIQUE(FILTER(소재DB_RAW!$N$3:$N$2000&amp;") "&amp;소재DB_RAW!$O$3:$O$2000,(소재DB_RAW!$G$3:$G$2000=$D300)*ISNUMBER(SEARCH("안감",소재DB_RAW!$M$3:$M$2000))*ISERROR(SEARCH("drop",소재DB_RAW!$C$3:$C$2000))))),"")</f>
        <v/>
      </c>
      <c r="AA300" s="27" t="n">
        <v>500</v>
      </c>
      <c r="AB300" s="27" t="n">
        <v>5533500</v>
      </c>
      <c r="AC300" s="27" t="n">
        <v>30000000</v>
      </c>
      <c r="AD300" s="20" t="n"/>
      <c r="AE300" s="20">
        <f>IF($K300="","출고일 미정",IF($Q300="X","작지 미발행",IF($Q300="부분","작지 일부 미발행",IF(AND($S300&lt;&gt;"",$S300&gt;$N300),"소재입고 마감("&amp;TEXT($N300,"MM/DD")&amp;") 초과",IF($Q300="","발행여부 확인 필요",IF($S300="","소재 입고일정 확인 필요","정상"))))))</f>
        <v/>
      </c>
      <c r="AF300" s="19">
        <f>IF($K300="","",IF(OR(LEFT($AE300,2)="작지",LEFT($AE300,4)="소재입고"),IF(LEFT($G300,1)="S","★ 납기위험(S코드)","◆ 지연주의"),IF($AE300="정상","✓ 정상","? 확인필요")))</f>
        <v/>
      </c>
      <c r="AG300" s="21" t="n"/>
      <c r="AH300" s="28" t="n"/>
    </row>
    <row r="301">
      <c r="A301" s="19" t="n">
        <v>297</v>
      </c>
      <c r="B301" s="20" t="inlineStr">
        <is>
          <t>최지희</t>
        </is>
      </c>
      <c r="C301" s="20" t="inlineStr">
        <is>
          <t>강지은</t>
        </is>
      </c>
      <c r="D301" s="20" t="inlineStr">
        <is>
          <t>QEREM27311</t>
        </is>
      </c>
      <c r="E301" s="20" t="inlineStr">
        <is>
          <t>남녀공용 BPL 폴더블 캡</t>
        </is>
      </c>
      <c r="F301" s="20" t="inlineStr">
        <is>
          <t>ABL(A/BLUE), BGY-2</t>
        </is>
      </c>
      <c r="G301" s="19">
        <f>IF($D301="","",IF(MID($D301,5,1)="S","S(봄)",IF(MID($D301,5,1)="M","M(여름)",IF(MID($D301,5,1)="X","X(사계절)",MID($D301,5,1)))))</f>
        <v/>
      </c>
      <c r="H301" s="20" t="inlineStr">
        <is>
          <t>완사입</t>
        </is>
      </c>
      <c r="I301" s="19" t="inlineStr">
        <is>
          <t>SM2</t>
        </is>
      </c>
      <c r="J301" s="21" t="inlineStr">
        <is>
          <t>3월4주</t>
        </is>
      </c>
      <c r="K301" s="22">
        <f>IF($J301="","",IFERROR(DATE(IF(VALUE(LEFT($J301,FIND("월",$J301)-1))&gt;=9,기준정보!$C$7-1,기준정보!$C$7),VALUE(LEFT($J301,FIND("월",$J301)-1)),1+7*(VALUE(SUBSTITUTE(MID($J301,FIND("월",$J301)+1,5),"주",""))-1)),""))</f>
        <v/>
      </c>
      <c r="L301" s="22">
        <f>IF($K301="","",IF(AND($K301-기준정보!$C$5&gt;=기준정보!$C$10,$K301-기준정보!$C$5&lt;=기준정보!$C$11),기준정보!$C$10-1,$K301-기준정보!$C$5))</f>
        <v/>
      </c>
      <c r="M301" s="23">
        <f>IF($L301="","",IF(OR(ISNUMBER(SEARCH("중국",$W301)),ISNUMBER(SEARCH("베트남",$W301))),MAX(0,MIN($L301,기준정보!$C$9)-MAX($L301-기준정보!$C$6,기준정보!$C$8)+1),IF(ISNUMBER(SEARCH("한국",$W301)),MAX(0,MIN($L301,기준정보!$C$11)-MAX($L301-기준정보!$C$6,기준정보!$C$10)+1),0)))</f>
        <v/>
      </c>
      <c r="N301" s="22">
        <f>IF($L301="","",$L301-기준정보!$C$6-$M301)</f>
        <v/>
      </c>
      <c r="O301" s="24">
        <f>IF($N301="","",$N301-기준정보!$C$4)</f>
        <v/>
      </c>
      <c r="P301" s="21" t="n"/>
      <c r="Q301" s="21" t="inlineStr">
        <is>
          <t>X</t>
        </is>
      </c>
      <c r="R301" s="19">
        <f>IF(COUNTIF(EDW_RAW!$A$2:$A$1500,$D301)=0,"",IF(COUNTIFS(EDW_RAW!$A$2:$A$1500,$D301,EDW_RAW!$U$2:$U$1500,"&lt;&gt;~",EDW_RAW!$U$2:$U$1500,"&lt;&gt;")=COUNTIF(EDW_RAW!$A$2:$A$1500,$D301),"O",IF(COUNTIFS(EDW_RAW!$A$2:$A$1500,$D301,EDW_RAW!$U$2:$U$1500,"&lt;&gt;~",EDW_RAW!$U$2:$U$1500,"&lt;&gt;")&gt;0,"부분","X")))</f>
        <v/>
      </c>
      <c r="S301" s="25" t="n"/>
      <c r="T301" s="20">
        <f>IF($H301="","",IF(AND(ISNUMBER(SEARCH("CMT",$H301)),OR(ISNUMBER(SEARCH("완사입",$H301)),ISNUMBER(SEARCH("ODM",$H301)))),"본사/생산처 혼재",IF(ISNUMBER(SEARCH("CMT",$H301)),"본사(소재팀)","생산처")))</f>
        <v/>
      </c>
      <c r="U301" s="20" t="inlineStr">
        <is>
          <t>PNG</t>
        </is>
      </c>
      <c r="V301" s="20">
        <f>IFERROR(TEXTJOIN(" / ",TRUE,UNIQUE(FILTER(소재DB_RAW!$K$3:$K$2000,(소재DB_RAW!$G$3:$G$2000=$D301)*ISERROR(SEARCH("drop",소재DB_RAW!$C$3:$C$2000))))),"")</f>
        <v/>
      </c>
      <c r="W301" s="20" t="inlineStr">
        <is>
          <t>베트남</t>
        </is>
      </c>
      <c r="X301" s="20">
        <f>IFERROR(TEXTJOIN(" / ",TRUE,UNIQUE(FILTER(소재DB_RAW!$N$3:$N$2000,(소재DB_RAW!$G$3:$G$2000=$D301)*ISERROR(SEARCH("drop",소재DB_RAW!$C$3:$C$2000))))),"")</f>
        <v/>
      </c>
      <c r="Y301" s="26">
        <f>IFERROR(TEXTJOIN(CHAR(10),TRUE,UNIQUE(FILTER(소재DB_RAW!$N$3:$N$2000&amp;") "&amp;소재DB_RAW!$O$3:$O$2000,(소재DB_RAW!$G$3:$G$2000=$D301)*ISNUMBER(SEARCH("겉감",소재DB_RAW!$M$3:$M$2000))*ISERROR(SEARCH("drop",소재DB_RAW!$C$3:$C$2000))))),"")</f>
        <v/>
      </c>
      <c r="Z301" s="26">
        <f>IFERROR(TEXTJOIN(CHAR(10),TRUE,UNIQUE(FILTER(소재DB_RAW!$N$3:$N$2000&amp;") "&amp;소재DB_RAW!$O$3:$O$2000,(소재DB_RAW!$G$3:$G$2000=$D301)*ISNUMBER(SEARCH("안감",소재DB_RAW!$M$3:$M$2000))*ISERROR(SEARCH("drop",소재DB_RAW!$C$3:$C$2000))))),"")</f>
        <v/>
      </c>
      <c r="AA301" s="27" t="n">
        <v>900</v>
      </c>
      <c r="AB301" s="27" t="n">
        <v>9960300</v>
      </c>
      <c r="AC301" s="27" t="n">
        <v>54000000</v>
      </c>
      <c r="AD301" s="20" t="n"/>
      <c r="AE301" s="20">
        <f>IF($K301="","출고일 미정",IF($Q301="X","작지 미발행",IF($Q301="부분","작지 일부 미발행",IF(AND($S301&lt;&gt;"",$S301&gt;$N301),"소재입고 마감("&amp;TEXT($N301,"MM/DD")&amp;") 초과",IF($Q301="","발행여부 확인 필요",IF($S301="","소재 입고일정 확인 필요","정상"))))))</f>
        <v/>
      </c>
      <c r="AF301" s="19">
        <f>IF($K301="","",IF(OR(LEFT($AE301,2)="작지",LEFT($AE301,4)="소재입고"),IF(LEFT($G301,1)="S","★ 납기위험(S코드)","◆ 지연주의"),IF($AE301="정상","✓ 정상","? 확인필요")))</f>
        <v/>
      </c>
      <c r="AG301" s="21" t="n"/>
      <c r="AH301" s="28" t="n"/>
    </row>
    <row r="302">
      <c r="A302" s="19" t="n">
        <v>298</v>
      </c>
      <c r="B302" s="20" t="inlineStr">
        <is>
          <t>최지희</t>
        </is>
      </c>
      <c r="C302" s="20" t="inlineStr">
        <is>
          <t>강지은</t>
        </is>
      </c>
      <c r="D302" s="20" t="inlineStr">
        <is>
          <t>QERFM27171</t>
        </is>
      </c>
      <c r="E302" s="20" t="inlineStr">
        <is>
          <t>남녀공용 사하라 버킷햇</t>
        </is>
      </c>
      <c r="F302" s="20" t="inlineStr">
        <is>
          <t>WGY</t>
        </is>
      </c>
      <c r="G302" s="19">
        <f>IF($D302="","",IF(MID($D302,5,1)="S","S(봄)",IF(MID($D302,5,1)="M","M(여름)",IF(MID($D302,5,1)="X","X(사계절)",MID($D302,5,1)))))</f>
        <v/>
      </c>
      <c r="H302" s="20" t="inlineStr">
        <is>
          <t>완사입</t>
        </is>
      </c>
      <c r="I302" s="19" t="inlineStr"/>
      <c r="J302" s="21" t="inlineStr">
        <is>
          <t>3월4주</t>
        </is>
      </c>
      <c r="K302" s="22">
        <f>IF($J302="","",IFERROR(DATE(IF(VALUE(LEFT($J302,FIND("월",$J302)-1))&gt;=9,기준정보!$C$7-1,기준정보!$C$7),VALUE(LEFT($J302,FIND("월",$J302)-1)),1+7*(VALUE(SUBSTITUTE(MID($J302,FIND("월",$J302)+1,5),"주",""))-1)),""))</f>
        <v/>
      </c>
      <c r="L302" s="22">
        <f>IF($K302="","",IF(AND($K302-기준정보!$C$5&gt;=기준정보!$C$10,$K302-기준정보!$C$5&lt;=기준정보!$C$11),기준정보!$C$10-1,$K302-기준정보!$C$5))</f>
        <v/>
      </c>
      <c r="M302" s="23">
        <f>IF($L302="","",IF(OR(ISNUMBER(SEARCH("중국",$W302)),ISNUMBER(SEARCH("베트남",$W302))),MAX(0,MIN($L302,기준정보!$C$9)-MAX($L302-기준정보!$C$6,기준정보!$C$8)+1),IF(ISNUMBER(SEARCH("한국",$W302)),MAX(0,MIN($L302,기준정보!$C$11)-MAX($L302-기준정보!$C$6,기준정보!$C$10)+1),0)))</f>
        <v/>
      </c>
      <c r="N302" s="22">
        <f>IF($L302="","",$L302-기준정보!$C$6-$M302)</f>
        <v/>
      </c>
      <c r="O302" s="24">
        <f>IF($N302="","",$N302-기준정보!$C$4)</f>
        <v/>
      </c>
      <c r="P302" s="21" t="n"/>
      <c r="Q302" s="21" t="inlineStr">
        <is>
          <t>X</t>
        </is>
      </c>
      <c r="R302" s="19">
        <f>IF(COUNTIF(EDW_RAW!$A$2:$A$1500,$D302)=0,"",IF(COUNTIFS(EDW_RAW!$A$2:$A$1500,$D302,EDW_RAW!$U$2:$U$1500,"&lt;&gt;~",EDW_RAW!$U$2:$U$1500,"&lt;&gt;")=COUNTIF(EDW_RAW!$A$2:$A$1500,$D302),"O",IF(COUNTIFS(EDW_RAW!$A$2:$A$1500,$D302,EDW_RAW!$U$2:$U$1500,"&lt;&gt;~",EDW_RAW!$U$2:$U$1500,"&lt;&gt;")&gt;0,"부분","X")))</f>
        <v/>
      </c>
      <c r="S302" s="25" t="n"/>
      <c r="T302" s="20">
        <f>IF($H302="","",IF(AND(ISNUMBER(SEARCH("CMT",$H302)),OR(ISNUMBER(SEARCH("완사입",$H302)),ISNUMBER(SEARCH("ODM",$H302)))),"본사/생산처 혼재",IF(ISNUMBER(SEARCH("CMT",$H302)),"본사(소재팀)","생산처")))</f>
        <v/>
      </c>
      <c r="U302" s="20" t="inlineStr">
        <is>
          <t>PNG</t>
        </is>
      </c>
      <c r="V302" s="20">
        <f>IFERROR(TEXTJOIN(" / ",TRUE,UNIQUE(FILTER(소재DB_RAW!$K$3:$K$2000,(소재DB_RAW!$G$3:$G$2000=$D302)*ISERROR(SEARCH("drop",소재DB_RAW!$C$3:$C$2000))))),"")</f>
        <v/>
      </c>
      <c r="W302" s="20" t="inlineStr">
        <is>
          <t>베트남</t>
        </is>
      </c>
      <c r="X302" s="20">
        <f>IFERROR(TEXTJOIN(" / ",TRUE,UNIQUE(FILTER(소재DB_RAW!$N$3:$N$2000,(소재DB_RAW!$G$3:$G$2000=$D302)*ISERROR(SEARCH("drop",소재DB_RAW!$C$3:$C$2000))))),"")</f>
        <v/>
      </c>
      <c r="Y302" s="26">
        <f>IFERROR(TEXTJOIN(CHAR(10),TRUE,UNIQUE(FILTER(소재DB_RAW!$N$3:$N$2000&amp;") "&amp;소재DB_RAW!$O$3:$O$2000,(소재DB_RAW!$G$3:$G$2000=$D302)*ISNUMBER(SEARCH("겉감",소재DB_RAW!$M$3:$M$2000))*ISERROR(SEARCH("drop",소재DB_RAW!$C$3:$C$2000))))),"")</f>
        <v/>
      </c>
      <c r="Z302" s="26">
        <f>IFERROR(TEXTJOIN(CHAR(10),TRUE,UNIQUE(FILTER(소재DB_RAW!$N$3:$N$2000&amp;") "&amp;소재DB_RAW!$O$3:$O$2000,(소재DB_RAW!$G$3:$G$2000=$D302)*ISNUMBER(SEARCH("안감",소재DB_RAW!$M$3:$M$2000))*ISERROR(SEARCH("drop",소재DB_RAW!$C$3:$C$2000))))),"")</f>
        <v/>
      </c>
      <c r="AA302" s="27" t="n">
        <v>1500</v>
      </c>
      <c r="AB302" s="27" t="n">
        <v>28906500</v>
      </c>
      <c r="AC302" s="27" t="n">
        <v>132000000</v>
      </c>
      <c r="AD302" s="20" t="n"/>
      <c r="AE302" s="20">
        <f>IF($K302="","출고일 미정",IF($Q302="X","작지 미발행",IF($Q302="부분","작지 일부 미발행",IF(AND($S302&lt;&gt;"",$S302&gt;$N302),"소재입고 마감("&amp;TEXT($N302,"MM/DD")&amp;") 초과",IF($Q302="","발행여부 확인 필요",IF($S302="","소재 입고일정 확인 필요","정상"))))))</f>
        <v/>
      </c>
      <c r="AF302" s="19">
        <f>IF($K302="","",IF(OR(LEFT($AE302,2)="작지",LEFT($AE302,4)="소재입고"),IF(LEFT($G302,1)="S","★ 납기위험(S코드)","◆ 지연주의"),IF($AE302="정상","✓ 정상","? 확인필요")))</f>
        <v/>
      </c>
      <c r="AG302" s="21" t="n"/>
      <c r="AH302" s="28" t="n"/>
    </row>
    <row r="303">
      <c r="A303" s="19" t="n">
        <v>299</v>
      </c>
      <c r="B303" s="20" t="inlineStr">
        <is>
          <t>최지희</t>
        </is>
      </c>
      <c r="C303" s="20" t="inlineStr">
        <is>
          <t>강지은</t>
        </is>
      </c>
      <c r="D303" s="20" t="inlineStr">
        <is>
          <t>QERFM27501</t>
        </is>
      </c>
      <c r="E303" s="20" t="inlineStr">
        <is>
          <t>남녀공용 데이팩 버킷햇</t>
        </is>
      </c>
      <c r="F303" s="20" t="inlineStr">
        <is>
          <t>GRI(GREIGE), LKH, BLK(BLACK)</t>
        </is>
      </c>
      <c r="G303" s="19">
        <f>IF($D303="","",IF(MID($D303,5,1)="S","S(봄)",IF(MID($D303,5,1)="M","M(여름)",IF(MID($D303,5,1)="X","X(사계절)",MID($D303,5,1)))))</f>
        <v/>
      </c>
      <c r="H303" s="20" t="inlineStr">
        <is>
          <t>완사입</t>
        </is>
      </c>
      <c r="I303" s="19" t="inlineStr"/>
      <c r="J303" s="21" t="inlineStr">
        <is>
          <t>3월4주</t>
        </is>
      </c>
      <c r="K303" s="22">
        <f>IF($J303="","",IFERROR(DATE(IF(VALUE(LEFT($J303,FIND("월",$J303)-1))&gt;=9,기준정보!$C$7-1,기준정보!$C$7),VALUE(LEFT($J303,FIND("월",$J303)-1)),1+7*(VALUE(SUBSTITUTE(MID($J303,FIND("월",$J303)+1,5),"주",""))-1)),""))</f>
        <v/>
      </c>
      <c r="L303" s="22">
        <f>IF($K303="","",IF(AND($K303-기준정보!$C$5&gt;=기준정보!$C$10,$K303-기준정보!$C$5&lt;=기준정보!$C$11),기준정보!$C$10-1,$K303-기준정보!$C$5))</f>
        <v/>
      </c>
      <c r="M303" s="23">
        <f>IF($L303="","",IF(OR(ISNUMBER(SEARCH("중국",$W303)),ISNUMBER(SEARCH("베트남",$W303))),MAX(0,MIN($L303,기준정보!$C$9)-MAX($L303-기준정보!$C$6,기준정보!$C$8)+1),IF(ISNUMBER(SEARCH("한국",$W303)),MAX(0,MIN($L303,기준정보!$C$11)-MAX($L303-기준정보!$C$6,기준정보!$C$10)+1),0)))</f>
        <v/>
      </c>
      <c r="N303" s="22">
        <f>IF($L303="","",$L303-기준정보!$C$6-$M303)</f>
        <v/>
      </c>
      <c r="O303" s="24">
        <f>IF($N303="","",$N303-기준정보!$C$4)</f>
        <v/>
      </c>
      <c r="P303" s="21" t="n"/>
      <c r="Q303" s="21" t="inlineStr">
        <is>
          <t>X</t>
        </is>
      </c>
      <c r="R303" s="19">
        <f>IF(COUNTIF(EDW_RAW!$A$2:$A$1500,$D303)=0,"",IF(COUNTIFS(EDW_RAW!$A$2:$A$1500,$D303,EDW_RAW!$U$2:$U$1500,"&lt;&gt;~",EDW_RAW!$U$2:$U$1500,"&lt;&gt;")=COUNTIF(EDW_RAW!$A$2:$A$1500,$D303),"O",IF(COUNTIFS(EDW_RAW!$A$2:$A$1500,$D303,EDW_RAW!$U$2:$U$1500,"&lt;&gt;~",EDW_RAW!$U$2:$U$1500,"&lt;&gt;")&gt;0,"부분","X")))</f>
        <v/>
      </c>
      <c r="S303" s="25" t="n"/>
      <c r="T303" s="20">
        <f>IF($H303="","",IF(AND(ISNUMBER(SEARCH("CMT",$H303)),OR(ISNUMBER(SEARCH("완사입",$H303)),ISNUMBER(SEARCH("ODM",$H303)))),"본사/생산처 혼재",IF(ISNUMBER(SEARCH("CMT",$H303)),"본사(소재팀)","생산처")))</f>
        <v/>
      </c>
      <c r="U303" s="20" t="inlineStr">
        <is>
          <t>캐비야</t>
        </is>
      </c>
      <c r="V303" s="20">
        <f>IFERROR(TEXTJOIN(" / ",TRUE,UNIQUE(FILTER(소재DB_RAW!$K$3:$K$2000,(소재DB_RAW!$G$3:$G$2000=$D303)*ISERROR(SEARCH("drop",소재DB_RAW!$C$3:$C$2000))))),"")</f>
        <v/>
      </c>
      <c r="W303" s="20" t="inlineStr">
        <is>
          <t>국내</t>
        </is>
      </c>
      <c r="X303" s="20">
        <f>IFERROR(TEXTJOIN(" / ",TRUE,UNIQUE(FILTER(소재DB_RAW!$N$3:$N$2000,(소재DB_RAW!$G$3:$G$2000=$D303)*ISERROR(SEARCH("drop",소재DB_RAW!$C$3:$C$2000))))),"")</f>
        <v/>
      </c>
      <c r="Y303" s="26">
        <f>IFERROR(TEXTJOIN(CHAR(10),TRUE,UNIQUE(FILTER(소재DB_RAW!$N$3:$N$2000&amp;") "&amp;소재DB_RAW!$O$3:$O$2000,(소재DB_RAW!$G$3:$G$2000=$D303)*ISNUMBER(SEARCH("겉감",소재DB_RAW!$M$3:$M$2000))*ISERROR(SEARCH("drop",소재DB_RAW!$C$3:$C$2000))))),"")</f>
        <v/>
      </c>
      <c r="Z303" s="26">
        <f>IFERROR(TEXTJOIN(CHAR(10),TRUE,UNIQUE(FILTER(소재DB_RAW!$N$3:$N$2000&amp;") "&amp;소재DB_RAW!$O$3:$O$2000,(소재DB_RAW!$G$3:$G$2000=$D303)*ISNUMBER(SEARCH("안감",소재DB_RAW!$M$3:$M$2000))*ISERROR(SEARCH("drop",소재DB_RAW!$C$3:$C$2000))))),"")</f>
        <v/>
      </c>
      <c r="AA303" s="27" t="n">
        <v>6000</v>
      </c>
      <c r="AB303" s="27" t="n">
        <v>78000000</v>
      </c>
      <c r="AC303" s="27" t="n">
        <v>420000000</v>
      </c>
      <c r="AD303" s="20" t="n"/>
      <c r="AE303" s="20">
        <f>IF($K303="","출고일 미정",IF($Q303="X","작지 미발행",IF($Q303="부분","작지 일부 미발행",IF(AND($S303&lt;&gt;"",$S303&gt;$N303),"소재입고 마감("&amp;TEXT($N303,"MM/DD")&amp;") 초과",IF($Q303="","발행여부 확인 필요",IF($S303="","소재 입고일정 확인 필요","정상"))))))</f>
        <v/>
      </c>
      <c r="AF303" s="19">
        <f>IF($K303="","",IF(OR(LEFT($AE303,2)="작지",LEFT($AE303,4)="소재입고"),IF(LEFT($G303,1)="S","★ 납기위험(S코드)","◆ 지연주의"),IF($AE303="정상","✓ 정상","? 확인필요")))</f>
        <v/>
      </c>
      <c r="AG303" s="21" t="n"/>
      <c r="AH303" s="28" t="n"/>
    </row>
    <row r="304">
      <c r="A304" s="19" t="n">
        <v>300</v>
      </c>
      <c r="B304" s="20" t="inlineStr">
        <is>
          <t>최지희</t>
        </is>
      </c>
      <c r="C304" s="20" t="inlineStr">
        <is>
          <t>강지은</t>
        </is>
      </c>
      <c r="D304" s="20" t="inlineStr">
        <is>
          <t>QERHM27902</t>
        </is>
      </c>
      <c r="E304" s="20" t="inlineStr">
        <is>
          <t>여성 UV CUT 썬바이저</t>
        </is>
      </c>
      <c r="F304" s="20" t="inlineStr">
        <is>
          <t>BLK(BLACK), LPI</t>
        </is>
      </c>
      <c r="G304" s="19">
        <f>IF($D304="","",IF(MID($D304,5,1)="S","S(봄)",IF(MID($D304,5,1)="M","M(여름)",IF(MID($D304,5,1)="X","X(사계절)",MID($D304,5,1)))))</f>
        <v/>
      </c>
      <c r="H304" s="20" t="inlineStr">
        <is>
          <t>완사입</t>
        </is>
      </c>
      <c r="I304" s="19" t="inlineStr"/>
      <c r="J304" s="21" t="inlineStr">
        <is>
          <t>3월4주</t>
        </is>
      </c>
      <c r="K304" s="22">
        <f>IF($J304="","",IFERROR(DATE(IF(VALUE(LEFT($J304,FIND("월",$J304)-1))&gt;=9,기준정보!$C$7-1,기준정보!$C$7),VALUE(LEFT($J304,FIND("월",$J304)-1)),1+7*(VALUE(SUBSTITUTE(MID($J304,FIND("월",$J304)+1,5),"주",""))-1)),""))</f>
        <v/>
      </c>
      <c r="L304" s="22">
        <f>IF($K304="","",IF(AND($K304-기준정보!$C$5&gt;=기준정보!$C$10,$K304-기준정보!$C$5&lt;=기준정보!$C$11),기준정보!$C$10-1,$K304-기준정보!$C$5))</f>
        <v/>
      </c>
      <c r="M304" s="23">
        <f>IF($L304="","",IF(OR(ISNUMBER(SEARCH("중국",$W304)),ISNUMBER(SEARCH("베트남",$W304))),MAX(0,MIN($L304,기준정보!$C$9)-MAX($L304-기준정보!$C$6,기준정보!$C$8)+1),IF(ISNUMBER(SEARCH("한국",$W304)),MAX(0,MIN($L304,기준정보!$C$11)-MAX($L304-기준정보!$C$6,기준정보!$C$10)+1),0)))</f>
        <v/>
      </c>
      <c r="N304" s="22">
        <f>IF($L304="","",$L304-기준정보!$C$6-$M304)</f>
        <v/>
      </c>
      <c r="O304" s="24">
        <f>IF($N304="","",$N304-기준정보!$C$4)</f>
        <v/>
      </c>
      <c r="P304" s="21" t="n"/>
      <c r="Q304" s="21" t="inlineStr">
        <is>
          <t>X</t>
        </is>
      </c>
      <c r="R304" s="19">
        <f>IF(COUNTIF(EDW_RAW!$A$2:$A$1500,$D304)=0,"",IF(COUNTIFS(EDW_RAW!$A$2:$A$1500,$D304,EDW_RAW!$U$2:$U$1500,"&lt;&gt;~",EDW_RAW!$U$2:$U$1500,"&lt;&gt;")=COUNTIF(EDW_RAW!$A$2:$A$1500,$D304),"O",IF(COUNTIFS(EDW_RAW!$A$2:$A$1500,$D304,EDW_RAW!$U$2:$U$1500,"&lt;&gt;~",EDW_RAW!$U$2:$U$1500,"&lt;&gt;")&gt;0,"부분","X")))</f>
        <v/>
      </c>
      <c r="S304" s="25" t="n"/>
      <c r="T304" s="20">
        <f>IF($H304="","",IF(AND(ISNUMBER(SEARCH("CMT",$H304)),OR(ISNUMBER(SEARCH("완사입",$H304)),ISNUMBER(SEARCH("ODM",$H304)))),"본사/생산처 혼재",IF(ISNUMBER(SEARCH("CMT",$H304)),"본사(소재팀)","생산처")))</f>
        <v/>
      </c>
      <c r="U304" s="20" t="inlineStr">
        <is>
          <t>PNG</t>
        </is>
      </c>
      <c r="V304" s="20">
        <f>IFERROR(TEXTJOIN(" / ",TRUE,UNIQUE(FILTER(소재DB_RAW!$K$3:$K$2000,(소재DB_RAW!$G$3:$G$2000=$D304)*ISERROR(SEARCH("drop",소재DB_RAW!$C$3:$C$2000))))),"")</f>
        <v/>
      </c>
      <c r="W304" s="20" t="inlineStr">
        <is>
          <t>베트남</t>
        </is>
      </c>
      <c r="X304" s="20">
        <f>IFERROR(TEXTJOIN(" / ",TRUE,UNIQUE(FILTER(소재DB_RAW!$N$3:$N$2000,(소재DB_RAW!$G$3:$G$2000=$D304)*ISERROR(SEARCH("drop",소재DB_RAW!$C$3:$C$2000))))),"")</f>
        <v/>
      </c>
      <c r="Y304" s="26">
        <f>IFERROR(TEXTJOIN(CHAR(10),TRUE,UNIQUE(FILTER(소재DB_RAW!$N$3:$N$2000&amp;") "&amp;소재DB_RAW!$O$3:$O$2000,(소재DB_RAW!$G$3:$G$2000=$D304)*ISNUMBER(SEARCH("겉감",소재DB_RAW!$M$3:$M$2000))*ISERROR(SEARCH("drop",소재DB_RAW!$C$3:$C$2000))))),"")</f>
        <v/>
      </c>
      <c r="Z304" s="26">
        <f>IFERROR(TEXTJOIN(CHAR(10),TRUE,UNIQUE(FILTER(소재DB_RAW!$N$3:$N$2000&amp;") "&amp;소재DB_RAW!$O$3:$O$2000,(소재DB_RAW!$G$3:$G$2000=$D304)*ISNUMBER(SEARCH("안감",소재DB_RAW!$M$3:$M$2000))*ISERROR(SEARCH("drop",소재DB_RAW!$C$3:$C$2000))))),"")</f>
        <v/>
      </c>
      <c r="AA304" s="27" t="n">
        <v>7500</v>
      </c>
      <c r="AB304" s="27" t="n">
        <v>66750000</v>
      </c>
      <c r="AC304" s="27" t="n">
        <v>375000000</v>
      </c>
      <c r="AD304" s="20" t="n"/>
      <c r="AE304" s="20">
        <f>IF($K304="","출고일 미정",IF($Q304="X","작지 미발행",IF($Q304="부분","작지 일부 미발행",IF(AND($S304&lt;&gt;"",$S304&gt;$N304),"소재입고 마감("&amp;TEXT($N304,"MM/DD")&amp;") 초과",IF($Q304="","발행여부 확인 필요",IF($S304="","소재 입고일정 확인 필요","정상"))))))</f>
        <v/>
      </c>
      <c r="AF304" s="19">
        <f>IF($K304="","",IF(OR(LEFT($AE304,2)="작지",LEFT($AE304,4)="소재입고"),IF(LEFT($G304,1)="S","★ 납기위험(S코드)","◆ 지연주의"),IF($AE304="정상","✓ 정상","? 확인필요")))</f>
        <v/>
      </c>
      <c r="AG304" s="21" t="n"/>
      <c r="AH304" s="28" t="n"/>
    </row>
    <row r="305">
      <c r="A305" s="19" t="n">
        <v>301</v>
      </c>
      <c r="B305" s="20" t="inlineStr">
        <is>
          <t>문도혁</t>
        </is>
      </c>
      <c r="C305" s="20" t="inlineStr">
        <is>
          <t>정희영</t>
        </is>
      </c>
      <c r="D305" s="20" t="inlineStr">
        <is>
          <t>TLPNM27693</t>
        </is>
      </c>
      <c r="E305" s="20" t="inlineStr">
        <is>
          <t>하절 남성 데이팩 루즈핏 팬츠</t>
        </is>
      </c>
      <c r="F305" s="20" t="inlineStr">
        <is>
          <t>DKH(D/KHAKI), DNA(D/NAVY)</t>
        </is>
      </c>
      <c r="G305" s="19">
        <f>IF($D305="","",IF(MID($D305,5,1)="S","S(봄)",IF(MID($D305,5,1)="M","M(여름)",IF(MID($D305,5,1)="X","X(사계절)",MID($D305,5,1)))))</f>
        <v/>
      </c>
      <c r="H305" s="20" t="inlineStr">
        <is>
          <t>CMT</t>
        </is>
      </c>
      <c r="I305" s="19" t="inlineStr">
        <is>
          <t>m1</t>
        </is>
      </c>
      <c r="J305" s="21" t="inlineStr">
        <is>
          <t>3월4주</t>
        </is>
      </c>
      <c r="K305" s="22">
        <f>IF($J305="","",IFERROR(DATE(IF(VALUE(LEFT($J305,FIND("월",$J305)-1))&gt;=9,기준정보!$C$7-1,기준정보!$C$7),VALUE(LEFT($J305,FIND("월",$J305)-1)),1+7*(VALUE(SUBSTITUTE(MID($J305,FIND("월",$J305)+1,5),"주",""))-1)),""))</f>
        <v/>
      </c>
      <c r="L305" s="22">
        <f>IF($K305="","",IF(AND($K305-기준정보!$C$5&gt;=기준정보!$C$10,$K305-기준정보!$C$5&lt;=기준정보!$C$11),기준정보!$C$10-1,$K305-기준정보!$C$5))</f>
        <v/>
      </c>
      <c r="M305" s="23">
        <f>IF($L305="","",IF(OR(ISNUMBER(SEARCH("중국",$W305)),ISNUMBER(SEARCH("베트남",$W305))),MAX(0,MIN($L305,기준정보!$C$9)-MAX($L305-기준정보!$C$6,기준정보!$C$8)+1),IF(ISNUMBER(SEARCH("한국",$W305)),MAX(0,MIN($L305,기준정보!$C$11)-MAX($L305-기준정보!$C$6,기준정보!$C$10)+1),0)))</f>
        <v/>
      </c>
      <c r="N305" s="22">
        <f>IF($L305="","",$L305-기준정보!$C$6-$M305)</f>
        <v/>
      </c>
      <c r="O305" s="24">
        <f>IF($N305="","",$N305-기준정보!$C$4)</f>
        <v/>
      </c>
      <c r="P305" s="21" t="n"/>
      <c r="Q305" s="21" t="inlineStr">
        <is>
          <t>O</t>
        </is>
      </c>
      <c r="R305" s="19">
        <f>IF(COUNTIF(EDW_RAW!$A$2:$A$1500,$D305)=0,"",IF(COUNTIFS(EDW_RAW!$A$2:$A$1500,$D305,EDW_RAW!$U$2:$U$1500,"&lt;&gt;~",EDW_RAW!$U$2:$U$1500,"&lt;&gt;")=COUNTIF(EDW_RAW!$A$2:$A$1500,$D305),"O",IF(COUNTIFS(EDW_RAW!$A$2:$A$1500,$D305,EDW_RAW!$U$2:$U$1500,"&lt;&gt;~",EDW_RAW!$U$2:$U$1500,"&lt;&gt;")&gt;0,"부분","X")))</f>
        <v/>
      </c>
      <c r="S305" s="25" t="n"/>
      <c r="T305" s="20">
        <f>IF($H305="","",IF(AND(ISNUMBER(SEARCH("CMT",$H305)),OR(ISNUMBER(SEARCH("완사입",$H305)),ISNUMBER(SEARCH("ODM",$H305)))),"본사/생산처 혼재",IF(ISNUMBER(SEARCH("CMT",$H305)),"본사(소재팀)","생산처")))</f>
        <v/>
      </c>
      <c r="U305" s="20" t="inlineStr">
        <is>
          <t>TBO</t>
        </is>
      </c>
      <c r="V305" s="20">
        <f>IFERROR(TEXTJOIN(" / ",TRUE,UNIQUE(FILTER(소재DB_RAW!$K$3:$K$2000,(소재DB_RAW!$G$3:$G$2000=$D305)*ISERROR(SEARCH("drop",소재DB_RAW!$C$3:$C$2000))))),"")</f>
        <v/>
      </c>
      <c r="W305" s="20" t="inlineStr">
        <is>
          <t>베트남</t>
        </is>
      </c>
      <c r="X305" s="20">
        <f>IFERROR(TEXTJOIN(" / ",TRUE,UNIQUE(FILTER(소재DB_RAW!$N$3:$N$2000,(소재DB_RAW!$G$3:$G$2000=$D305)*ISERROR(SEARCH("drop",소재DB_RAW!$C$3:$C$2000))))),"")</f>
        <v/>
      </c>
      <c r="Y305" s="26">
        <f>IFERROR(TEXTJOIN(CHAR(10),TRUE,UNIQUE(FILTER(소재DB_RAW!$N$3:$N$2000&amp;") "&amp;소재DB_RAW!$O$3:$O$2000,(소재DB_RAW!$G$3:$G$2000=$D305)*ISNUMBER(SEARCH("겉감",소재DB_RAW!$M$3:$M$2000))*ISERROR(SEARCH("drop",소재DB_RAW!$C$3:$C$2000))))),"")</f>
        <v/>
      </c>
      <c r="Z305" s="26">
        <f>IFERROR(TEXTJOIN(CHAR(10),TRUE,UNIQUE(FILTER(소재DB_RAW!$N$3:$N$2000&amp;") "&amp;소재DB_RAW!$O$3:$O$2000,(소재DB_RAW!$G$3:$G$2000=$D305)*ISNUMBER(SEARCH("안감",소재DB_RAW!$M$3:$M$2000))*ISERROR(SEARCH("drop",소재DB_RAW!$C$3:$C$2000))))),"")</f>
        <v/>
      </c>
      <c r="AA305" s="27" t="n">
        <v>2500</v>
      </c>
      <c r="AB305" s="27" t="n">
        <v>81705000</v>
      </c>
      <c r="AC305" s="27" t="n">
        <v>420000000</v>
      </c>
      <c r="AD305" s="20" t="n"/>
      <c r="AE305" s="20">
        <f>IF($K305="","출고일 미정",IF($Q305="X","작지 미발행",IF($Q305="부분","작지 일부 미발행",IF(AND($S305&lt;&gt;"",$S305&gt;$N305),"소재입고 마감("&amp;TEXT($N305,"MM/DD")&amp;") 초과",IF($Q305="","발행여부 확인 필요",IF($S305="","소재 입고일정 확인 필요","정상"))))))</f>
        <v/>
      </c>
      <c r="AF305" s="19">
        <f>IF($K305="","",IF(OR(LEFT($AE305,2)="작지",LEFT($AE305,4)="소재입고"),IF(LEFT($G305,1)="S","★ 납기위험(S코드)","◆ 지연주의"),IF($AE305="정상","✓ 정상","? 확인필요")))</f>
        <v/>
      </c>
      <c r="AG305" s="21" t="n"/>
      <c r="AH305" s="28" t="n"/>
    </row>
    <row r="306">
      <c r="A306" s="19" t="n">
        <v>302</v>
      </c>
      <c r="B306" s="20" t="inlineStr">
        <is>
          <t>문도혁</t>
        </is>
      </c>
      <c r="C306" s="20" t="inlineStr">
        <is>
          <t>정희영</t>
        </is>
      </c>
      <c r="D306" s="20" t="inlineStr">
        <is>
          <t>TLPOM27531</t>
        </is>
      </c>
      <c r="E306" s="20" t="inlineStr">
        <is>
          <t>하절 남성 나일론 버뮤다 쇼츠</t>
        </is>
      </c>
      <c r="F306" s="20" t="inlineStr">
        <is>
          <t>GBU(G/BLUE), BLK(BLACK)</t>
        </is>
      </c>
      <c r="G306" s="19">
        <f>IF($D306="","",IF(MID($D306,5,1)="S","S(봄)",IF(MID($D306,5,1)="M","M(여름)",IF(MID($D306,5,1)="X","X(사계절)",MID($D306,5,1)))))</f>
        <v/>
      </c>
      <c r="H306" s="20" t="inlineStr">
        <is>
          <t>CMT</t>
        </is>
      </c>
      <c r="I306" s="19" t="inlineStr">
        <is>
          <t>m2</t>
        </is>
      </c>
      <c r="J306" s="21" t="inlineStr">
        <is>
          <t>3월4주</t>
        </is>
      </c>
      <c r="K306" s="22">
        <f>IF($J306="","",IFERROR(DATE(IF(VALUE(LEFT($J306,FIND("월",$J306)-1))&gt;=9,기준정보!$C$7-1,기준정보!$C$7),VALUE(LEFT($J306,FIND("월",$J306)-1)),1+7*(VALUE(SUBSTITUTE(MID($J306,FIND("월",$J306)+1,5),"주",""))-1)),""))</f>
        <v/>
      </c>
      <c r="L306" s="22">
        <f>IF($K306="","",IF(AND($K306-기준정보!$C$5&gt;=기준정보!$C$10,$K306-기준정보!$C$5&lt;=기준정보!$C$11),기준정보!$C$10-1,$K306-기준정보!$C$5))</f>
        <v/>
      </c>
      <c r="M306" s="23">
        <f>IF($L306="","",IF(OR(ISNUMBER(SEARCH("중국",$W306)),ISNUMBER(SEARCH("베트남",$W306))),MAX(0,MIN($L306,기준정보!$C$9)-MAX($L306-기준정보!$C$6,기준정보!$C$8)+1),IF(ISNUMBER(SEARCH("한국",$W306)),MAX(0,MIN($L306,기준정보!$C$11)-MAX($L306-기준정보!$C$6,기준정보!$C$10)+1),0)))</f>
        <v/>
      </c>
      <c r="N306" s="22">
        <f>IF($L306="","",$L306-기준정보!$C$6-$M306)</f>
        <v/>
      </c>
      <c r="O306" s="24">
        <f>IF($N306="","",$N306-기준정보!$C$4)</f>
        <v/>
      </c>
      <c r="P306" s="21" t="n"/>
      <c r="Q306" s="21" t="inlineStr">
        <is>
          <t>O</t>
        </is>
      </c>
      <c r="R306" s="19">
        <f>IF(COUNTIF(EDW_RAW!$A$2:$A$1500,$D306)=0,"",IF(COUNTIFS(EDW_RAW!$A$2:$A$1500,$D306,EDW_RAW!$U$2:$U$1500,"&lt;&gt;~",EDW_RAW!$U$2:$U$1500,"&lt;&gt;")=COUNTIF(EDW_RAW!$A$2:$A$1500,$D306),"O",IF(COUNTIFS(EDW_RAW!$A$2:$A$1500,$D306,EDW_RAW!$U$2:$U$1500,"&lt;&gt;~",EDW_RAW!$U$2:$U$1500,"&lt;&gt;")&gt;0,"부분","X")))</f>
        <v/>
      </c>
      <c r="S306" s="25" t="n"/>
      <c r="T306" s="20">
        <f>IF($H306="","",IF(AND(ISNUMBER(SEARCH("CMT",$H306)),OR(ISNUMBER(SEARCH("완사입",$H306)),ISNUMBER(SEARCH("ODM",$H306)))),"본사/생산처 혼재",IF(ISNUMBER(SEARCH("CMT",$H306)),"본사(소재팀)","생산처")))</f>
        <v/>
      </c>
      <c r="U306" s="20" t="inlineStr">
        <is>
          <t>거림</t>
        </is>
      </c>
      <c r="V306" s="20">
        <f>IFERROR(TEXTJOIN(" / ",TRUE,UNIQUE(FILTER(소재DB_RAW!$K$3:$K$2000,(소재DB_RAW!$G$3:$G$2000=$D306)*ISERROR(SEARCH("drop",소재DB_RAW!$C$3:$C$2000))))),"")</f>
        <v/>
      </c>
      <c r="W306" s="20" t="inlineStr">
        <is>
          <t>베트남</t>
        </is>
      </c>
      <c r="X306" s="20">
        <f>IFERROR(TEXTJOIN(" / ",TRUE,UNIQUE(FILTER(소재DB_RAW!$N$3:$N$2000,(소재DB_RAW!$G$3:$G$2000=$D306)*ISERROR(SEARCH("drop",소재DB_RAW!$C$3:$C$2000))))),"")</f>
        <v/>
      </c>
      <c r="Y306" s="26">
        <f>IFERROR(TEXTJOIN(CHAR(10),TRUE,UNIQUE(FILTER(소재DB_RAW!$N$3:$N$2000&amp;") "&amp;소재DB_RAW!$O$3:$O$2000,(소재DB_RAW!$G$3:$G$2000=$D306)*ISNUMBER(SEARCH("겉감",소재DB_RAW!$M$3:$M$2000))*ISERROR(SEARCH("drop",소재DB_RAW!$C$3:$C$2000))))),"")</f>
        <v/>
      </c>
      <c r="Z306" s="26">
        <f>IFERROR(TEXTJOIN(CHAR(10),TRUE,UNIQUE(FILTER(소재DB_RAW!$N$3:$N$2000&amp;") "&amp;소재DB_RAW!$O$3:$O$2000,(소재DB_RAW!$G$3:$G$2000=$D306)*ISNUMBER(SEARCH("안감",소재DB_RAW!$M$3:$M$2000))*ISERROR(SEARCH("drop",소재DB_RAW!$C$3:$C$2000))))),"")</f>
        <v/>
      </c>
      <c r="AA306" s="27" t="n">
        <v>1600</v>
      </c>
      <c r="AB306" s="27" t="n">
        <v>60500000</v>
      </c>
      <c r="AC306" s="27" t="n">
        <v>335000000</v>
      </c>
      <c r="AD306" s="20" t="n"/>
      <c r="AE306" s="20">
        <f>IF($K306="","출고일 미정",IF($Q306="X","작지 미발행",IF($Q306="부분","작지 일부 미발행",IF(AND($S306&lt;&gt;"",$S306&gt;$N306),"소재입고 마감("&amp;TEXT($N306,"MM/DD")&amp;") 초과",IF($Q306="","발행여부 확인 필요",IF($S306="","소재 입고일정 확인 필요","정상"))))))</f>
        <v/>
      </c>
      <c r="AF306" s="19">
        <f>IF($K306="","",IF(OR(LEFT($AE306,2)="작지",LEFT($AE306,4)="소재입고"),IF(LEFT($G306,1)="S","★ 납기위험(S코드)","◆ 지연주의"),IF($AE306="정상","✓ 정상","? 확인필요")))</f>
        <v/>
      </c>
      <c r="AG306" s="21" t="n"/>
      <c r="AH306" s="28" t="n"/>
    </row>
    <row r="307">
      <c r="A307" s="19" t="n">
        <v>303</v>
      </c>
      <c r="B307" s="20" t="inlineStr">
        <is>
          <t>문도혁</t>
        </is>
      </c>
      <c r="C307" s="20" t="inlineStr">
        <is>
          <t>권혁일</t>
        </is>
      </c>
      <c r="D307" s="20" t="inlineStr">
        <is>
          <t>TLTCM27507</t>
        </is>
      </c>
      <c r="E307" s="20" t="inlineStr">
        <is>
          <t>하절 남성 리노쿨 피케 폴로 티셔츠</t>
        </is>
      </c>
      <c r="F307" s="20" t="inlineStr">
        <is>
          <t>CO1, CO2, CO3</t>
        </is>
      </c>
      <c r="G307" s="19">
        <f>IF($D307="","",IF(MID($D307,5,1)="S","S(봄)",IF(MID($D307,5,1)="M","M(여름)",IF(MID($D307,5,1)="X","X(사계절)",MID($D307,5,1)))))</f>
        <v/>
      </c>
      <c r="H307" s="20" t="inlineStr">
        <is>
          <t>완사입</t>
        </is>
      </c>
      <c r="I307" s="19" t="inlineStr">
        <is>
          <t>m1</t>
        </is>
      </c>
      <c r="J307" s="21" t="inlineStr">
        <is>
          <t>3월4주</t>
        </is>
      </c>
      <c r="K307" s="22">
        <f>IF($J307="","",IFERROR(DATE(IF(VALUE(LEFT($J307,FIND("월",$J307)-1))&gt;=9,기준정보!$C$7-1,기준정보!$C$7),VALUE(LEFT($J307,FIND("월",$J307)-1)),1+7*(VALUE(SUBSTITUTE(MID($J307,FIND("월",$J307)+1,5),"주",""))-1)),""))</f>
        <v/>
      </c>
      <c r="L307" s="22">
        <f>IF($K307="","",IF(AND($K307-기준정보!$C$5&gt;=기준정보!$C$10,$K307-기준정보!$C$5&lt;=기준정보!$C$11),기준정보!$C$10-1,$K307-기준정보!$C$5))</f>
        <v/>
      </c>
      <c r="M307" s="23">
        <f>IF($L307="","",IF(OR(ISNUMBER(SEARCH("중국",$W307)),ISNUMBER(SEARCH("베트남",$W307))),MAX(0,MIN($L307,기준정보!$C$9)-MAX($L307-기준정보!$C$6,기준정보!$C$8)+1),IF(ISNUMBER(SEARCH("한국",$W307)),MAX(0,MIN($L307,기준정보!$C$11)-MAX($L307-기준정보!$C$6,기준정보!$C$10)+1),0)))</f>
        <v/>
      </c>
      <c r="N307" s="22">
        <f>IF($L307="","",$L307-기준정보!$C$6-$M307)</f>
        <v/>
      </c>
      <c r="O307" s="24">
        <f>IF($N307="","",$N307-기준정보!$C$4)</f>
        <v/>
      </c>
      <c r="P307" s="21" t="n"/>
      <c r="Q307" s="21" t="inlineStr">
        <is>
          <t>O</t>
        </is>
      </c>
      <c r="R307" s="19">
        <f>IF(COUNTIF(EDW_RAW!$A$2:$A$1500,$D307)=0,"",IF(COUNTIFS(EDW_RAW!$A$2:$A$1500,$D307,EDW_RAW!$U$2:$U$1500,"&lt;&gt;~",EDW_RAW!$U$2:$U$1500,"&lt;&gt;")=COUNTIF(EDW_RAW!$A$2:$A$1500,$D307),"O",IF(COUNTIFS(EDW_RAW!$A$2:$A$1500,$D307,EDW_RAW!$U$2:$U$1500,"&lt;&gt;~",EDW_RAW!$U$2:$U$1500,"&lt;&gt;")&gt;0,"부분","X")))</f>
        <v/>
      </c>
      <c r="S307" s="25" t="n"/>
      <c r="T307" s="20">
        <f>IF($H307="","",IF(AND(ISNUMBER(SEARCH("CMT",$H307)),OR(ISNUMBER(SEARCH("완사입",$H307)),ISNUMBER(SEARCH("ODM",$H307)))),"본사/생산처 혼재",IF(ISNUMBER(SEARCH("CMT",$H307)),"본사(소재팀)","생산처")))</f>
        <v/>
      </c>
      <c r="U307" s="20" t="inlineStr">
        <is>
          <t>IKG</t>
        </is>
      </c>
      <c r="V307" s="20">
        <f>IFERROR(TEXTJOIN(" / ",TRUE,UNIQUE(FILTER(소재DB_RAW!$K$3:$K$2000,(소재DB_RAW!$G$3:$G$2000=$D307)*ISERROR(SEARCH("drop",소재DB_RAW!$C$3:$C$2000))))),"")</f>
        <v/>
      </c>
      <c r="W307" s="20" t="inlineStr">
        <is>
          <t>베트남</t>
        </is>
      </c>
      <c r="X307" s="20">
        <f>IFERROR(TEXTJOIN(" / ",TRUE,UNIQUE(FILTER(소재DB_RAW!$N$3:$N$2000,(소재DB_RAW!$G$3:$G$2000=$D307)*ISERROR(SEARCH("drop",소재DB_RAW!$C$3:$C$2000))))),"")</f>
        <v/>
      </c>
      <c r="Y307" s="26">
        <f>IFERROR(TEXTJOIN(CHAR(10),TRUE,UNIQUE(FILTER(소재DB_RAW!$N$3:$N$2000&amp;") "&amp;소재DB_RAW!$O$3:$O$2000,(소재DB_RAW!$G$3:$G$2000=$D307)*ISNUMBER(SEARCH("겉감",소재DB_RAW!$M$3:$M$2000))*ISERROR(SEARCH("drop",소재DB_RAW!$C$3:$C$2000))))),"")</f>
        <v/>
      </c>
      <c r="Z307" s="26">
        <f>IFERROR(TEXTJOIN(CHAR(10),TRUE,UNIQUE(FILTER(소재DB_RAW!$N$3:$N$2000&amp;") "&amp;소재DB_RAW!$O$3:$O$2000,(소재DB_RAW!$G$3:$G$2000=$D307)*ISNUMBER(SEARCH("안감",소재DB_RAW!$M$3:$M$2000))*ISERROR(SEARCH("drop",소재DB_RAW!$C$3:$C$2000))))),"")</f>
        <v/>
      </c>
      <c r="AA307" s="27" t="n">
        <v>6000</v>
      </c>
      <c r="AB307" s="27" t="n">
        <v>139110000</v>
      </c>
      <c r="AC307" s="27" t="n">
        <v>708000000</v>
      </c>
      <c r="AD307" s="20" t="n"/>
      <c r="AE307" s="20">
        <f>IF($K307="","출고일 미정",IF($Q307="X","작지 미발행",IF($Q307="부분","작지 일부 미발행",IF(AND($S307&lt;&gt;"",$S307&gt;$N307),"소재입고 마감("&amp;TEXT($N307,"MM/DD")&amp;") 초과",IF($Q307="","발행여부 확인 필요",IF($S307="","소재 입고일정 확인 필요","정상"))))))</f>
        <v/>
      </c>
      <c r="AF307" s="19">
        <f>IF($K307="","",IF(OR(LEFT($AE307,2)="작지",LEFT($AE307,4)="소재입고"),IF(LEFT($G307,1)="S","★ 납기위험(S코드)","◆ 지연주의"),IF($AE307="정상","✓ 정상","? 확인필요")))</f>
        <v/>
      </c>
      <c r="AG307" s="21" t="n"/>
      <c r="AH307" s="28" t="n"/>
    </row>
    <row r="308">
      <c r="A308" s="19" t="n">
        <v>304</v>
      </c>
      <c r="B308" s="20" t="inlineStr">
        <is>
          <t>김준래</t>
        </is>
      </c>
      <c r="C308" s="20" t="inlineStr">
        <is>
          <t>권혁일</t>
        </is>
      </c>
      <c r="D308" s="20" t="inlineStr">
        <is>
          <t>TLTCM27511</t>
        </is>
      </c>
      <c r="E308" s="20" t="inlineStr">
        <is>
          <t>하절 남녀공용 CP소로나쿨 릴렉스핏 상록수 그래픽 반팔 티셔츠</t>
        </is>
      </c>
      <c r="F308" s="20" t="inlineStr">
        <is>
          <t>IVO(IVORY), BLK(BLACK)</t>
        </is>
      </c>
      <c r="G308" s="19">
        <f>IF($D308="","",IF(MID($D308,5,1)="S","S(봄)",IF(MID($D308,5,1)="M","M(여름)",IF(MID($D308,5,1)="X","X(사계절)",MID($D308,5,1)))))</f>
        <v/>
      </c>
      <c r="H308" s="20" t="inlineStr">
        <is>
          <t>완사입</t>
        </is>
      </c>
      <c r="I308" s="19" t="inlineStr"/>
      <c r="J308" s="21" t="inlineStr">
        <is>
          <t>3월4주</t>
        </is>
      </c>
      <c r="K308" s="22">
        <f>IF($J308="","",IFERROR(DATE(IF(VALUE(LEFT($J308,FIND("월",$J308)-1))&gt;=9,기준정보!$C$7-1,기준정보!$C$7),VALUE(LEFT($J308,FIND("월",$J308)-1)),1+7*(VALUE(SUBSTITUTE(MID($J308,FIND("월",$J308)+1,5),"주",""))-1)),""))</f>
        <v/>
      </c>
      <c r="L308" s="22">
        <f>IF($K308="","",IF(AND($K308-기준정보!$C$5&gt;=기준정보!$C$10,$K308-기준정보!$C$5&lt;=기준정보!$C$11),기준정보!$C$10-1,$K308-기준정보!$C$5))</f>
        <v/>
      </c>
      <c r="M308" s="23">
        <f>IF($L308="","",IF(OR(ISNUMBER(SEARCH("중국",$W308)),ISNUMBER(SEARCH("베트남",$W308))),MAX(0,MIN($L308,기준정보!$C$9)-MAX($L308-기준정보!$C$6,기준정보!$C$8)+1),IF(ISNUMBER(SEARCH("한국",$W308)),MAX(0,MIN($L308,기준정보!$C$11)-MAX($L308-기준정보!$C$6,기준정보!$C$10)+1),0)))</f>
        <v/>
      </c>
      <c r="N308" s="22">
        <f>IF($L308="","",$L308-기준정보!$C$6-$M308)</f>
        <v/>
      </c>
      <c r="O308" s="24">
        <f>IF($N308="","",$N308-기준정보!$C$4)</f>
        <v/>
      </c>
      <c r="P308" s="21" t="n"/>
      <c r="Q308" s="21" t="inlineStr">
        <is>
          <t>O</t>
        </is>
      </c>
      <c r="R308" s="19">
        <f>IF(COUNTIF(EDW_RAW!$A$2:$A$1500,$D308)=0,"",IF(COUNTIFS(EDW_RAW!$A$2:$A$1500,$D308,EDW_RAW!$U$2:$U$1500,"&lt;&gt;~",EDW_RAW!$U$2:$U$1500,"&lt;&gt;")=COUNTIF(EDW_RAW!$A$2:$A$1500,$D308),"O",IF(COUNTIFS(EDW_RAW!$A$2:$A$1500,$D308,EDW_RAW!$U$2:$U$1500,"&lt;&gt;~",EDW_RAW!$U$2:$U$1500,"&lt;&gt;")&gt;0,"부분","X")))</f>
        <v/>
      </c>
      <c r="S308" s="25" t="n"/>
      <c r="T308" s="20">
        <f>IF($H308="","",IF(AND(ISNUMBER(SEARCH("CMT",$H308)),OR(ISNUMBER(SEARCH("완사입",$H308)),ISNUMBER(SEARCH("ODM",$H308)))),"본사/생산처 혼재",IF(ISNUMBER(SEARCH("CMT",$H308)),"본사(소재팀)","생산처")))</f>
        <v/>
      </c>
      <c r="U308" s="20" t="inlineStr">
        <is>
          <t>IKG</t>
        </is>
      </c>
      <c r="V308" s="20">
        <f>IFERROR(TEXTJOIN(" / ",TRUE,UNIQUE(FILTER(소재DB_RAW!$K$3:$K$2000,(소재DB_RAW!$G$3:$G$2000=$D308)*ISERROR(SEARCH("drop",소재DB_RAW!$C$3:$C$2000))))),"")</f>
        <v/>
      </c>
      <c r="W308" s="20" t="inlineStr">
        <is>
          <t>인도네시아</t>
        </is>
      </c>
      <c r="X308" s="20">
        <f>IFERROR(TEXTJOIN(" / ",TRUE,UNIQUE(FILTER(소재DB_RAW!$N$3:$N$2000,(소재DB_RAW!$G$3:$G$2000=$D308)*ISERROR(SEARCH("drop",소재DB_RAW!$C$3:$C$2000))))),"")</f>
        <v/>
      </c>
      <c r="Y308" s="26">
        <f>IFERROR(TEXTJOIN(CHAR(10),TRUE,UNIQUE(FILTER(소재DB_RAW!$N$3:$N$2000&amp;") "&amp;소재DB_RAW!$O$3:$O$2000,(소재DB_RAW!$G$3:$G$2000=$D308)*ISNUMBER(SEARCH("겉감",소재DB_RAW!$M$3:$M$2000))*ISERROR(SEARCH("drop",소재DB_RAW!$C$3:$C$2000))))),"")</f>
        <v/>
      </c>
      <c r="Z308" s="26">
        <f>IFERROR(TEXTJOIN(CHAR(10),TRUE,UNIQUE(FILTER(소재DB_RAW!$N$3:$N$2000&amp;") "&amp;소재DB_RAW!$O$3:$O$2000,(소재DB_RAW!$G$3:$G$2000=$D308)*ISNUMBER(SEARCH("안감",소재DB_RAW!$M$3:$M$2000))*ISERROR(SEARCH("drop",소재DB_RAW!$C$3:$C$2000))))),"")</f>
        <v/>
      </c>
      <c r="AA308" s="27" t="n">
        <v>10000</v>
      </c>
      <c r="AB308" s="27" t="n">
        <v>202530000</v>
      </c>
      <c r="AC308" s="27" t="n">
        <v>880000000</v>
      </c>
      <c r="AD308" s="20" t="inlineStr">
        <is>
          <t>3월4주</t>
        </is>
      </c>
      <c r="AE308" s="20">
        <f>IF($K308="","출고일 미정",IF($Q308="X","작지 미발행",IF($Q308="부분","작지 일부 미발행",IF(AND($S308&lt;&gt;"",$S308&gt;$N308),"소재입고 마감("&amp;TEXT($N308,"MM/DD")&amp;") 초과",IF($Q308="","발행여부 확인 필요",IF($S308="","소재 입고일정 확인 필요","정상"))))))</f>
        <v/>
      </c>
      <c r="AF308" s="19">
        <f>IF($K308="","",IF(OR(LEFT($AE308,2)="작지",LEFT($AE308,4)="소재입고"),IF(LEFT($G308,1)="S","★ 납기위험(S코드)","◆ 지연주의"),IF($AE308="정상","✓ 정상","? 확인필요")))</f>
        <v/>
      </c>
      <c r="AG308" s="21" t="n"/>
      <c r="AH308" s="28" t="n"/>
    </row>
    <row r="309">
      <c r="A309" s="19" t="n">
        <v>305</v>
      </c>
      <c r="B309" s="20" t="inlineStr">
        <is>
          <t>문도혁</t>
        </is>
      </c>
      <c r="C309" s="20" t="inlineStr">
        <is>
          <t>서은미</t>
        </is>
      </c>
      <c r="D309" s="20" t="inlineStr">
        <is>
          <t>TLTCM27695</t>
        </is>
      </c>
      <c r="E309" s="20" t="inlineStr">
        <is>
          <t>하절 남성 데이팩 하프집업 티셔츠</t>
        </is>
      </c>
      <c r="F309" s="20" t="inlineStr">
        <is>
          <t>RBU, BLK(BLACK)</t>
        </is>
      </c>
      <c r="G309" s="19">
        <f>IF($D309="","",IF(MID($D309,5,1)="S","S(봄)",IF(MID($D309,5,1)="M","M(여름)",IF(MID($D309,5,1)="X","X(사계절)",MID($D309,5,1)))))</f>
        <v/>
      </c>
      <c r="H309" s="20" t="inlineStr">
        <is>
          <t>CMT</t>
        </is>
      </c>
      <c r="I309" s="19" t="inlineStr">
        <is>
          <t>m1</t>
        </is>
      </c>
      <c r="J309" s="21" t="inlineStr">
        <is>
          <t>3월4주</t>
        </is>
      </c>
      <c r="K309" s="22">
        <f>IF($J309="","",IFERROR(DATE(IF(VALUE(LEFT($J309,FIND("월",$J309)-1))&gt;=9,기준정보!$C$7-1,기준정보!$C$7),VALUE(LEFT($J309,FIND("월",$J309)-1)),1+7*(VALUE(SUBSTITUTE(MID($J309,FIND("월",$J309)+1,5),"주",""))-1)),""))</f>
        <v/>
      </c>
      <c r="L309" s="22">
        <f>IF($K309="","",IF(AND($K309-기준정보!$C$5&gt;=기준정보!$C$10,$K309-기준정보!$C$5&lt;=기준정보!$C$11),기준정보!$C$10-1,$K309-기준정보!$C$5))</f>
        <v/>
      </c>
      <c r="M309" s="23">
        <f>IF($L309="","",IF(OR(ISNUMBER(SEARCH("중국",$W309)),ISNUMBER(SEARCH("베트남",$W309))),MAX(0,MIN($L309,기준정보!$C$9)-MAX($L309-기준정보!$C$6,기준정보!$C$8)+1),IF(ISNUMBER(SEARCH("한국",$W309)),MAX(0,MIN($L309,기준정보!$C$11)-MAX($L309-기준정보!$C$6,기준정보!$C$10)+1),0)))</f>
        <v/>
      </c>
      <c r="N309" s="22">
        <f>IF($L309="","",$L309-기준정보!$C$6-$M309)</f>
        <v/>
      </c>
      <c r="O309" s="24">
        <f>IF($N309="","",$N309-기준정보!$C$4)</f>
        <v/>
      </c>
      <c r="P309" s="21" t="n"/>
      <c r="Q309" s="21" t="inlineStr">
        <is>
          <t>O</t>
        </is>
      </c>
      <c r="R309" s="19">
        <f>IF(COUNTIF(EDW_RAW!$A$2:$A$1500,$D309)=0,"",IF(COUNTIFS(EDW_RAW!$A$2:$A$1500,$D309,EDW_RAW!$U$2:$U$1500,"&lt;&gt;~",EDW_RAW!$U$2:$U$1500,"&lt;&gt;")=COUNTIF(EDW_RAW!$A$2:$A$1500,$D309),"O",IF(COUNTIFS(EDW_RAW!$A$2:$A$1500,$D309,EDW_RAW!$U$2:$U$1500,"&lt;&gt;~",EDW_RAW!$U$2:$U$1500,"&lt;&gt;")&gt;0,"부분","X")))</f>
        <v/>
      </c>
      <c r="S309" s="25" t="n"/>
      <c r="T309" s="20">
        <f>IF($H309="","",IF(AND(ISNUMBER(SEARCH("CMT",$H309)),OR(ISNUMBER(SEARCH("완사입",$H309)),ISNUMBER(SEARCH("ODM",$H309)))),"본사/생산처 혼재",IF(ISNUMBER(SEARCH("CMT",$H309)),"본사(소재팀)","생산처")))</f>
        <v/>
      </c>
      <c r="U309" s="20" t="inlineStr">
        <is>
          <t>IKG</t>
        </is>
      </c>
      <c r="V309" s="20">
        <f>IFERROR(TEXTJOIN(" / ",TRUE,UNIQUE(FILTER(소재DB_RAW!$K$3:$K$2000,(소재DB_RAW!$G$3:$G$2000=$D309)*ISERROR(SEARCH("drop",소재DB_RAW!$C$3:$C$2000))))),"")</f>
        <v/>
      </c>
      <c r="W309" s="20" t="inlineStr">
        <is>
          <t>인도네시아</t>
        </is>
      </c>
      <c r="X309" s="20">
        <f>IFERROR(TEXTJOIN(" / ",TRUE,UNIQUE(FILTER(소재DB_RAW!$N$3:$N$2000,(소재DB_RAW!$G$3:$G$2000=$D309)*ISERROR(SEARCH("drop",소재DB_RAW!$C$3:$C$2000))))),"")</f>
        <v/>
      </c>
      <c r="Y309" s="26">
        <f>IFERROR(TEXTJOIN(CHAR(10),TRUE,UNIQUE(FILTER(소재DB_RAW!$N$3:$N$2000&amp;") "&amp;소재DB_RAW!$O$3:$O$2000,(소재DB_RAW!$G$3:$G$2000=$D309)*ISNUMBER(SEARCH("겉감",소재DB_RAW!$M$3:$M$2000))*ISERROR(SEARCH("drop",소재DB_RAW!$C$3:$C$2000))))),"")</f>
        <v/>
      </c>
      <c r="Z309" s="26">
        <f>IFERROR(TEXTJOIN(CHAR(10),TRUE,UNIQUE(FILTER(소재DB_RAW!$N$3:$N$2000&amp;") "&amp;소재DB_RAW!$O$3:$O$2000,(소재DB_RAW!$G$3:$G$2000=$D309)*ISNUMBER(SEARCH("안감",소재DB_RAW!$M$3:$M$2000))*ISERROR(SEARCH("drop",소재DB_RAW!$C$3:$C$2000))))),"")</f>
        <v/>
      </c>
      <c r="AA309" s="27" t="n">
        <v>2300</v>
      </c>
      <c r="AB309" s="27" t="n">
        <v>57750700</v>
      </c>
      <c r="AC309" s="27" t="n">
        <v>271400000</v>
      </c>
      <c r="AD309" s="20" t="n"/>
      <c r="AE309" s="20">
        <f>IF($K309="","출고일 미정",IF($Q309="X","작지 미발행",IF($Q309="부분","작지 일부 미발행",IF(AND($S309&lt;&gt;"",$S309&gt;$N309),"소재입고 마감("&amp;TEXT($N309,"MM/DD")&amp;") 초과",IF($Q309="","발행여부 확인 필요",IF($S309="","소재 입고일정 확인 필요","정상"))))))</f>
        <v/>
      </c>
      <c r="AF309" s="19">
        <f>IF($K309="","",IF(OR(LEFT($AE309,2)="작지",LEFT($AE309,4)="소재입고"),IF(LEFT($G309,1)="S","★ 납기위험(S코드)","◆ 지연주의"),IF($AE309="정상","✓ 정상","? 확인필요")))</f>
        <v/>
      </c>
      <c r="AG309" s="21" t="n"/>
      <c r="AH309" s="28" t="n"/>
    </row>
    <row r="310">
      <c r="A310" s="19" t="n">
        <v>306</v>
      </c>
      <c r="B310" s="20" t="inlineStr">
        <is>
          <t>정영준</t>
        </is>
      </c>
      <c r="C310" s="20" t="inlineStr">
        <is>
          <t>서은미</t>
        </is>
      </c>
      <c r="D310" s="20" t="inlineStr">
        <is>
          <t>TVPOM27512</t>
        </is>
      </c>
      <c r="E310" s="20" t="inlineStr">
        <is>
          <t>하절 여성 버뮤다 팬츠</t>
        </is>
      </c>
      <c r="F310" s="20" t="inlineStr">
        <is>
          <t>DGY-1, GRI(GREIGE)</t>
        </is>
      </c>
      <c r="G310" s="19">
        <f>IF($D310="","",IF(MID($D310,5,1)="S","S(봄)",IF(MID($D310,5,1)="M","M(여름)",IF(MID($D310,5,1)="X","X(사계절)",MID($D310,5,1)))))</f>
        <v/>
      </c>
      <c r="H310" s="20" t="inlineStr">
        <is>
          <t>CMT</t>
        </is>
      </c>
      <c r="I310" s="19" t="inlineStr"/>
      <c r="J310" s="21" t="inlineStr">
        <is>
          <t>3월4주</t>
        </is>
      </c>
      <c r="K310" s="22">
        <f>IF($J310="","",IFERROR(DATE(IF(VALUE(LEFT($J310,FIND("월",$J310)-1))&gt;=9,기준정보!$C$7-1,기준정보!$C$7),VALUE(LEFT($J310,FIND("월",$J310)-1)),1+7*(VALUE(SUBSTITUTE(MID($J310,FIND("월",$J310)+1,5),"주",""))-1)),""))</f>
        <v/>
      </c>
      <c r="L310" s="22">
        <f>IF($K310="","",IF(AND($K310-기준정보!$C$5&gt;=기준정보!$C$10,$K310-기준정보!$C$5&lt;=기준정보!$C$11),기준정보!$C$10-1,$K310-기준정보!$C$5))</f>
        <v/>
      </c>
      <c r="M310" s="23">
        <f>IF($L310="","",IF(OR(ISNUMBER(SEARCH("중국",$W310)),ISNUMBER(SEARCH("베트남",$W310))),MAX(0,MIN($L310,기준정보!$C$9)-MAX($L310-기준정보!$C$6,기준정보!$C$8)+1),IF(ISNUMBER(SEARCH("한국",$W310)),MAX(0,MIN($L310,기준정보!$C$11)-MAX($L310-기준정보!$C$6,기준정보!$C$10)+1),0)))</f>
        <v/>
      </c>
      <c r="N310" s="22">
        <f>IF($L310="","",$L310-기준정보!$C$6-$M310)</f>
        <v/>
      </c>
      <c r="O310" s="24">
        <f>IF($N310="","",$N310-기준정보!$C$4)</f>
        <v/>
      </c>
      <c r="P310" s="21" t="n"/>
      <c r="Q310" s="21" t="inlineStr">
        <is>
          <t>O</t>
        </is>
      </c>
      <c r="R310" s="19">
        <f>IF(COUNTIF(EDW_RAW!$A$2:$A$1500,$D310)=0,"",IF(COUNTIFS(EDW_RAW!$A$2:$A$1500,$D310,EDW_RAW!$U$2:$U$1500,"&lt;&gt;~",EDW_RAW!$U$2:$U$1500,"&lt;&gt;")=COUNTIF(EDW_RAW!$A$2:$A$1500,$D310),"O",IF(COUNTIFS(EDW_RAW!$A$2:$A$1500,$D310,EDW_RAW!$U$2:$U$1500,"&lt;&gt;~",EDW_RAW!$U$2:$U$1500,"&lt;&gt;")&gt;0,"부분","X")))</f>
        <v/>
      </c>
      <c r="S310" s="25" t="n"/>
      <c r="T310" s="20">
        <f>IF($H310="","",IF(AND(ISNUMBER(SEARCH("CMT",$H310)),OR(ISNUMBER(SEARCH("완사입",$H310)),ISNUMBER(SEARCH("ODM",$H310)))),"본사/생산처 혼재",IF(ISNUMBER(SEARCH("CMT",$H310)),"본사(소재팀)","생산처")))</f>
        <v/>
      </c>
      <c r="U310" s="20" t="inlineStr">
        <is>
          <t>TBO</t>
        </is>
      </c>
      <c r="V310" s="20">
        <f>IFERROR(TEXTJOIN(" / ",TRUE,UNIQUE(FILTER(소재DB_RAW!$K$3:$K$2000,(소재DB_RAW!$G$3:$G$2000=$D310)*ISERROR(SEARCH("drop",소재DB_RAW!$C$3:$C$2000))))),"")</f>
        <v/>
      </c>
      <c r="W310" s="20" t="inlineStr">
        <is>
          <t>베트남</t>
        </is>
      </c>
      <c r="X310" s="20">
        <f>IFERROR(TEXTJOIN(" / ",TRUE,UNIQUE(FILTER(소재DB_RAW!$N$3:$N$2000,(소재DB_RAW!$G$3:$G$2000=$D310)*ISERROR(SEARCH("drop",소재DB_RAW!$C$3:$C$2000))))),"")</f>
        <v/>
      </c>
      <c r="Y310" s="26">
        <f>IFERROR(TEXTJOIN(CHAR(10),TRUE,UNIQUE(FILTER(소재DB_RAW!$N$3:$N$2000&amp;") "&amp;소재DB_RAW!$O$3:$O$2000,(소재DB_RAW!$G$3:$G$2000=$D310)*ISNUMBER(SEARCH("겉감",소재DB_RAW!$M$3:$M$2000))*ISERROR(SEARCH("drop",소재DB_RAW!$C$3:$C$2000))))),"")</f>
        <v/>
      </c>
      <c r="Z310" s="26">
        <f>IFERROR(TEXTJOIN(CHAR(10),TRUE,UNIQUE(FILTER(소재DB_RAW!$N$3:$N$2000&amp;") "&amp;소재DB_RAW!$O$3:$O$2000,(소재DB_RAW!$G$3:$G$2000=$D310)*ISNUMBER(SEARCH("안감",소재DB_RAW!$M$3:$M$2000))*ISERROR(SEARCH("drop",소재DB_RAW!$C$3:$C$2000))))),"")</f>
        <v/>
      </c>
      <c r="AA310" s="27" t="n">
        <v>1600</v>
      </c>
      <c r="AB310" s="27" t="n">
        <v>41675200</v>
      </c>
      <c r="AC310" s="27" t="n">
        <v>252800000</v>
      </c>
      <c r="AD310" s="20" t="inlineStr">
        <is>
          <t>3월4주</t>
        </is>
      </c>
      <c r="AE310" s="20">
        <f>IF($K310="","출고일 미정",IF($Q310="X","작지 미발행",IF($Q310="부분","작지 일부 미발행",IF(AND($S310&lt;&gt;"",$S310&gt;$N310),"소재입고 마감("&amp;TEXT($N310,"MM/DD")&amp;") 초과",IF($Q310="","발행여부 확인 필요",IF($S310="","소재 입고일정 확인 필요","정상"))))))</f>
        <v/>
      </c>
      <c r="AF310" s="19">
        <f>IF($K310="","",IF(OR(LEFT($AE310,2)="작지",LEFT($AE310,4)="소재입고"),IF(LEFT($G310,1)="S","★ 납기위험(S코드)","◆ 지연주의"),IF($AE310="정상","✓ 정상","? 확인필요")))</f>
        <v/>
      </c>
      <c r="AG310" s="21" t="n"/>
      <c r="AH310" s="28" t="n"/>
    </row>
    <row r="311">
      <c r="A311" s="19" t="n">
        <v>307</v>
      </c>
      <c r="B311" s="20" t="inlineStr">
        <is>
          <t>정영준</t>
        </is>
      </c>
      <c r="C311" s="20" t="inlineStr">
        <is>
          <t>서은미</t>
        </is>
      </c>
      <c r="D311" s="20" t="inlineStr">
        <is>
          <t>TVPOM27694</t>
        </is>
      </c>
      <c r="E311" s="20" t="inlineStr">
        <is>
          <t>하절 여성 데이팩 롱 더블플랩 스커트 (립)</t>
        </is>
      </c>
      <c r="F311" s="20" t="inlineStr">
        <is>
          <t>BLK(BLACK), GRI(GREIGE)</t>
        </is>
      </c>
      <c r="G311" s="19">
        <f>IF($D311="","",IF(MID($D311,5,1)="S","S(봄)",IF(MID($D311,5,1)="M","M(여름)",IF(MID($D311,5,1)="X","X(사계절)",MID($D311,5,1)))))</f>
        <v/>
      </c>
      <c r="H311" s="20" t="inlineStr">
        <is>
          <t>CMT</t>
        </is>
      </c>
      <c r="I311" s="19" t="inlineStr"/>
      <c r="J311" s="21" t="inlineStr">
        <is>
          <t>3월4주</t>
        </is>
      </c>
      <c r="K311" s="22">
        <f>IF($J311="","",IFERROR(DATE(IF(VALUE(LEFT($J311,FIND("월",$J311)-1))&gt;=9,기준정보!$C$7-1,기준정보!$C$7),VALUE(LEFT($J311,FIND("월",$J311)-1)),1+7*(VALUE(SUBSTITUTE(MID($J311,FIND("월",$J311)+1,5),"주",""))-1)),""))</f>
        <v/>
      </c>
      <c r="L311" s="22">
        <f>IF($K311="","",IF(AND($K311-기준정보!$C$5&gt;=기준정보!$C$10,$K311-기준정보!$C$5&lt;=기준정보!$C$11),기준정보!$C$10-1,$K311-기준정보!$C$5))</f>
        <v/>
      </c>
      <c r="M311" s="23">
        <f>IF($L311="","",IF(OR(ISNUMBER(SEARCH("중국",$W311)),ISNUMBER(SEARCH("베트남",$W311))),MAX(0,MIN($L311,기준정보!$C$9)-MAX($L311-기준정보!$C$6,기준정보!$C$8)+1),IF(ISNUMBER(SEARCH("한국",$W311)),MAX(0,MIN($L311,기준정보!$C$11)-MAX($L311-기준정보!$C$6,기준정보!$C$10)+1),0)))</f>
        <v/>
      </c>
      <c r="N311" s="22">
        <f>IF($L311="","",$L311-기준정보!$C$6-$M311)</f>
        <v/>
      </c>
      <c r="O311" s="24">
        <f>IF($N311="","",$N311-기준정보!$C$4)</f>
        <v/>
      </c>
      <c r="P311" s="21" t="n"/>
      <c r="Q311" s="21" t="inlineStr">
        <is>
          <t>O</t>
        </is>
      </c>
      <c r="R311" s="19">
        <f>IF(COUNTIF(EDW_RAW!$A$2:$A$1500,$D311)=0,"",IF(COUNTIFS(EDW_RAW!$A$2:$A$1500,$D311,EDW_RAW!$U$2:$U$1500,"&lt;&gt;~",EDW_RAW!$U$2:$U$1500,"&lt;&gt;")=COUNTIF(EDW_RAW!$A$2:$A$1500,$D311),"O",IF(COUNTIFS(EDW_RAW!$A$2:$A$1500,$D311,EDW_RAW!$U$2:$U$1500,"&lt;&gt;~",EDW_RAW!$U$2:$U$1500,"&lt;&gt;")&gt;0,"부분","X")))</f>
        <v/>
      </c>
      <c r="S311" s="25" t="n"/>
      <c r="T311" s="20">
        <f>IF($H311="","",IF(AND(ISNUMBER(SEARCH("CMT",$H311)),OR(ISNUMBER(SEARCH("완사입",$H311)),ISNUMBER(SEARCH("ODM",$H311)))),"본사/생산처 혼재",IF(ISNUMBER(SEARCH("CMT",$H311)),"본사(소재팀)","생산처")))</f>
        <v/>
      </c>
      <c r="U311" s="20" t="inlineStr">
        <is>
          <t>YIC</t>
        </is>
      </c>
      <c r="V311" s="20">
        <f>IFERROR(TEXTJOIN(" / ",TRUE,UNIQUE(FILTER(소재DB_RAW!$K$3:$K$2000,(소재DB_RAW!$G$3:$G$2000=$D311)*ISERROR(SEARCH("drop",소재DB_RAW!$C$3:$C$2000))))),"")</f>
        <v/>
      </c>
      <c r="W311" s="20" t="inlineStr">
        <is>
          <t>베트남</t>
        </is>
      </c>
      <c r="X311" s="20">
        <f>IFERROR(TEXTJOIN(" / ",TRUE,UNIQUE(FILTER(소재DB_RAW!$N$3:$N$2000,(소재DB_RAW!$G$3:$G$2000=$D311)*ISERROR(SEARCH("drop",소재DB_RAW!$C$3:$C$2000))))),"")</f>
        <v/>
      </c>
      <c r="Y311" s="26">
        <f>IFERROR(TEXTJOIN(CHAR(10),TRUE,UNIQUE(FILTER(소재DB_RAW!$N$3:$N$2000&amp;") "&amp;소재DB_RAW!$O$3:$O$2000,(소재DB_RAW!$G$3:$G$2000=$D311)*ISNUMBER(SEARCH("겉감",소재DB_RAW!$M$3:$M$2000))*ISERROR(SEARCH("drop",소재DB_RAW!$C$3:$C$2000))))),"")</f>
        <v/>
      </c>
      <c r="Z311" s="26">
        <f>IFERROR(TEXTJOIN(CHAR(10),TRUE,UNIQUE(FILTER(소재DB_RAW!$N$3:$N$2000&amp;") "&amp;소재DB_RAW!$O$3:$O$2000,(소재DB_RAW!$G$3:$G$2000=$D311)*ISNUMBER(SEARCH("안감",소재DB_RAW!$M$3:$M$2000))*ISERROR(SEARCH("drop",소재DB_RAW!$C$3:$C$2000))))),"")</f>
        <v/>
      </c>
      <c r="AA311" s="27" t="n">
        <v>3000</v>
      </c>
      <c r="AB311" s="27" t="n">
        <v>99888000</v>
      </c>
      <c r="AC311" s="27" t="n">
        <v>474000000</v>
      </c>
      <c r="AD311" s="20" t="inlineStr">
        <is>
          <t>3월4주</t>
        </is>
      </c>
      <c r="AE311" s="20">
        <f>IF($K311="","출고일 미정",IF($Q311="X","작지 미발행",IF($Q311="부분","작지 일부 미발행",IF(AND($S311&lt;&gt;"",$S311&gt;$N311),"소재입고 마감("&amp;TEXT($N311,"MM/DD")&amp;") 초과",IF($Q311="","발행여부 확인 필요",IF($S311="","소재 입고일정 확인 필요","정상"))))))</f>
        <v/>
      </c>
      <c r="AF311" s="19">
        <f>IF($K311="","",IF(OR(LEFT($AE311,2)="작지",LEFT($AE311,4)="소재입고"),IF(LEFT($G311,1)="S","★ 납기위험(S코드)","◆ 지연주의"),IF($AE311="정상","✓ 정상","? 확인필요")))</f>
        <v/>
      </c>
      <c r="AG311" s="21" t="n"/>
      <c r="AH311" s="28" t="n"/>
    </row>
    <row r="312">
      <c r="A312" s="19" t="n">
        <v>308</v>
      </c>
      <c r="B312" s="20" t="inlineStr">
        <is>
          <t>문도혁</t>
        </is>
      </c>
      <c r="C312" s="20" t="inlineStr">
        <is>
          <t>권혁일</t>
        </is>
      </c>
      <c r="D312" s="20" t="inlineStr">
        <is>
          <t>TVTCM27512</t>
        </is>
      </c>
      <c r="E312" s="20" t="inlineStr">
        <is>
          <t>하절 여성 리노쿨 피케 크롭 폴로 티셔츠</t>
        </is>
      </c>
      <c r="F312" s="20" t="inlineStr">
        <is>
          <t>CO1, CO2, CO3</t>
        </is>
      </c>
      <c r="G312" s="19">
        <f>IF($D312="","",IF(MID($D312,5,1)="S","S(봄)",IF(MID($D312,5,1)="M","M(여름)",IF(MID($D312,5,1)="X","X(사계절)",MID($D312,5,1)))))</f>
        <v/>
      </c>
      <c r="H312" s="20" t="inlineStr">
        <is>
          <t>완사입</t>
        </is>
      </c>
      <c r="I312" s="19" t="inlineStr">
        <is>
          <t>m1</t>
        </is>
      </c>
      <c r="J312" s="21" t="inlineStr">
        <is>
          <t>3월4주</t>
        </is>
      </c>
      <c r="K312" s="22">
        <f>IF($J312="","",IFERROR(DATE(IF(VALUE(LEFT($J312,FIND("월",$J312)-1))&gt;=9,기준정보!$C$7-1,기준정보!$C$7),VALUE(LEFT($J312,FIND("월",$J312)-1)),1+7*(VALUE(SUBSTITUTE(MID($J312,FIND("월",$J312)+1,5),"주",""))-1)),""))</f>
        <v/>
      </c>
      <c r="L312" s="22">
        <f>IF($K312="","",IF(AND($K312-기준정보!$C$5&gt;=기준정보!$C$10,$K312-기준정보!$C$5&lt;=기준정보!$C$11),기준정보!$C$10-1,$K312-기준정보!$C$5))</f>
        <v/>
      </c>
      <c r="M312" s="23">
        <f>IF($L312="","",IF(OR(ISNUMBER(SEARCH("중국",$W312)),ISNUMBER(SEARCH("베트남",$W312))),MAX(0,MIN($L312,기준정보!$C$9)-MAX($L312-기준정보!$C$6,기준정보!$C$8)+1),IF(ISNUMBER(SEARCH("한국",$W312)),MAX(0,MIN($L312,기준정보!$C$11)-MAX($L312-기준정보!$C$6,기준정보!$C$10)+1),0)))</f>
        <v/>
      </c>
      <c r="N312" s="22">
        <f>IF($L312="","",$L312-기준정보!$C$6-$M312)</f>
        <v/>
      </c>
      <c r="O312" s="24">
        <f>IF($N312="","",$N312-기준정보!$C$4)</f>
        <v/>
      </c>
      <c r="P312" s="21" t="n"/>
      <c r="Q312" s="21" t="inlineStr">
        <is>
          <t>O</t>
        </is>
      </c>
      <c r="R312" s="19">
        <f>IF(COUNTIF(EDW_RAW!$A$2:$A$1500,$D312)=0,"",IF(COUNTIFS(EDW_RAW!$A$2:$A$1500,$D312,EDW_RAW!$U$2:$U$1500,"&lt;&gt;~",EDW_RAW!$U$2:$U$1500,"&lt;&gt;")=COUNTIF(EDW_RAW!$A$2:$A$1500,$D312),"O",IF(COUNTIFS(EDW_RAW!$A$2:$A$1500,$D312,EDW_RAW!$U$2:$U$1500,"&lt;&gt;~",EDW_RAW!$U$2:$U$1500,"&lt;&gt;")&gt;0,"부분","X")))</f>
        <v/>
      </c>
      <c r="S312" s="25" t="n"/>
      <c r="T312" s="20">
        <f>IF($H312="","",IF(AND(ISNUMBER(SEARCH("CMT",$H312)),OR(ISNUMBER(SEARCH("완사입",$H312)),ISNUMBER(SEARCH("ODM",$H312)))),"본사/생산처 혼재",IF(ISNUMBER(SEARCH("CMT",$H312)),"본사(소재팀)","생산처")))</f>
        <v/>
      </c>
      <c r="U312" s="20" t="inlineStr">
        <is>
          <t>IKG</t>
        </is>
      </c>
      <c r="V312" s="20">
        <f>IFERROR(TEXTJOIN(" / ",TRUE,UNIQUE(FILTER(소재DB_RAW!$K$3:$K$2000,(소재DB_RAW!$G$3:$G$2000=$D312)*ISERROR(SEARCH("drop",소재DB_RAW!$C$3:$C$2000))))),"")</f>
        <v/>
      </c>
      <c r="W312" s="20" t="inlineStr">
        <is>
          <t>베트남</t>
        </is>
      </c>
      <c r="X312" s="20">
        <f>IFERROR(TEXTJOIN(" / ",TRUE,UNIQUE(FILTER(소재DB_RAW!$N$3:$N$2000,(소재DB_RAW!$G$3:$G$2000=$D312)*ISERROR(SEARCH("drop",소재DB_RAW!$C$3:$C$2000))))),"")</f>
        <v/>
      </c>
      <c r="Y312" s="26">
        <f>IFERROR(TEXTJOIN(CHAR(10),TRUE,UNIQUE(FILTER(소재DB_RAW!$N$3:$N$2000&amp;") "&amp;소재DB_RAW!$O$3:$O$2000,(소재DB_RAW!$G$3:$G$2000=$D312)*ISNUMBER(SEARCH("겉감",소재DB_RAW!$M$3:$M$2000))*ISERROR(SEARCH("drop",소재DB_RAW!$C$3:$C$2000))))),"")</f>
        <v/>
      </c>
      <c r="Z312" s="26">
        <f>IFERROR(TEXTJOIN(CHAR(10),TRUE,UNIQUE(FILTER(소재DB_RAW!$N$3:$N$2000&amp;") "&amp;소재DB_RAW!$O$3:$O$2000,(소재DB_RAW!$G$3:$G$2000=$D312)*ISNUMBER(SEARCH("안감",소재DB_RAW!$M$3:$M$2000))*ISERROR(SEARCH("drop",소재DB_RAW!$C$3:$C$2000))))),"")</f>
        <v/>
      </c>
      <c r="AA312" s="27" t="n">
        <v>3000</v>
      </c>
      <c r="AB312" s="27" t="n">
        <v>63000000</v>
      </c>
      <c r="AC312" s="27" t="n">
        <v>354000000</v>
      </c>
      <c r="AD312" s="20" t="n"/>
      <c r="AE312" s="20">
        <f>IF($K312="","출고일 미정",IF($Q312="X","작지 미발행",IF($Q312="부분","작지 일부 미발행",IF(AND($S312&lt;&gt;"",$S312&gt;$N312),"소재입고 마감("&amp;TEXT($N312,"MM/DD")&amp;") 초과",IF($Q312="","발행여부 확인 필요",IF($S312="","소재 입고일정 확인 필요","정상"))))))</f>
        <v/>
      </c>
      <c r="AF312" s="19">
        <f>IF($K312="","",IF(OR(LEFT($AE312,2)="작지",LEFT($AE312,4)="소재입고"),IF(LEFT($G312,1)="S","★ 납기위험(S코드)","◆ 지연주의"),IF($AE312="정상","✓ 정상","? 확인필요")))</f>
        <v/>
      </c>
      <c r="AG312" s="21" t="n"/>
      <c r="AH312" s="28" t="n"/>
    </row>
    <row r="313">
      <c r="A313" s="19" t="n">
        <v>309</v>
      </c>
      <c r="B313" s="20" t="inlineStr">
        <is>
          <t>김준래</t>
        </is>
      </c>
      <c r="C313" s="20" t="inlineStr">
        <is>
          <t>권혁일</t>
        </is>
      </c>
      <c r="D313" s="20" t="inlineStr">
        <is>
          <t>TVTCM27564</t>
        </is>
      </c>
      <c r="E313" s="20" t="inlineStr">
        <is>
          <t>하절 여성 우븐 하이브리드 크롭 반팔 티셔츠</t>
        </is>
      </c>
      <c r="F313" s="20" t="inlineStr">
        <is>
          <t>LGY-1, GBU-3</t>
        </is>
      </c>
      <c r="G313" s="19">
        <f>IF($D313="","",IF(MID($D313,5,1)="S","S(봄)",IF(MID($D313,5,1)="M","M(여름)",IF(MID($D313,5,1)="X","X(사계절)",MID($D313,5,1)))))</f>
        <v/>
      </c>
      <c r="H313" s="20" t="inlineStr">
        <is>
          <t>완사입</t>
        </is>
      </c>
      <c r="I313" s="19" t="inlineStr"/>
      <c r="J313" s="21" t="inlineStr">
        <is>
          <t>3월4주</t>
        </is>
      </c>
      <c r="K313" s="22">
        <f>IF($J313="","",IFERROR(DATE(IF(VALUE(LEFT($J313,FIND("월",$J313)-1))&gt;=9,기준정보!$C$7-1,기준정보!$C$7),VALUE(LEFT($J313,FIND("월",$J313)-1)),1+7*(VALUE(SUBSTITUTE(MID($J313,FIND("월",$J313)+1,5),"주",""))-1)),""))</f>
        <v/>
      </c>
      <c r="L313" s="22">
        <f>IF($K313="","",IF(AND($K313-기준정보!$C$5&gt;=기준정보!$C$10,$K313-기준정보!$C$5&lt;=기준정보!$C$11),기준정보!$C$10-1,$K313-기준정보!$C$5))</f>
        <v/>
      </c>
      <c r="M313" s="23">
        <f>IF($L313="","",IF(OR(ISNUMBER(SEARCH("중국",$W313)),ISNUMBER(SEARCH("베트남",$W313))),MAX(0,MIN($L313,기준정보!$C$9)-MAX($L313-기준정보!$C$6,기준정보!$C$8)+1),IF(ISNUMBER(SEARCH("한국",$W313)),MAX(0,MIN($L313,기준정보!$C$11)-MAX($L313-기준정보!$C$6,기준정보!$C$10)+1),0)))</f>
        <v/>
      </c>
      <c r="N313" s="22">
        <f>IF($L313="","",$L313-기준정보!$C$6-$M313)</f>
        <v/>
      </c>
      <c r="O313" s="24">
        <f>IF($N313="","",$N313-기준정보!$C$4)</f>
        <v/>
      </c>
      <c r="P313" s="21" t="n"/>
      <c r="Q313" s="21" t="inlineStr">
        <is>
          <t>O</t>
        </is>
      </c>
      <c r="R313" s="19">
        <f>IF(COUNTIF(EDW_RAW!$A$2:$A$1500,$D313)=0,"",IF(COUNTIFS(EDW_RAW!$A$2:$A$1500,$D313,EDW_RAW!$U$2:$U$1500,"&lt;&gt;~",EDW_RAW!$U$2:$U$1500,"&lt;&gt;")=COUNTIF(EDW_RAW!$A$2:$A$1500,$D313),"O",IF(COUNTIFS(EDW_RAW!$A$2:$A$1500,$D313,EDW_RAW!$U$2:$U$1500,"&lt;&gt;~",EDW_RAW!$U$2:$U$1500,"&lt;&gt;")&gt;0,"부분","X")))</f>
        <v/>
      </c>
      <c r="S313" s="25" t="n"/>
      <c r="T313" s="20">
        <f>IF($H313="","",IF(AND(ISNUMBER(SEARCH("CMT",$H313)),OR(ISNUMBER(SEARCH("완사입",$H313)),ISNUMBER(SEARCH("ODM",$H313)))),"본사/생산처 혼재",IF(ISNUMBER(SEARCH("CMT",$H313)),"본사(소재팀)","생산처")))</f>
        <v/>
      </c>
      <c r="U313" s="20" t="inlineStr">
        <is>
          <t>IKG</t>
        </is>
      </c>
      <c r="V313" s="20">
        <f>IFERROR(TEXTJOIN(" / ",TRUE,UNIQUE(FILTER(소재DB_RAW!$K$3:$K$2000,(소재DB_RAW!$G$3:$G$2000=$D313)*ISERROR(SEARCH("drop",소재DB_RAW!$C$3:$C$2000))))),"")</f>
        <v/>
      </c>
      <c r="W313" s="20" t="inlineStr">
        <is>
          <t>인도네시아</t>
        </is>
      </c>
      <c r="X313" s="20">
        <f>IFERROR(TEXTJOIN(" / ",TRUE,UNIQUE(FILTER(소재DB_RAW!$N$3:$N$2000,(소재DB_RAW!$G$3:$G$2000=$D313)*ISERROR(SEARCH("drop",소재DB_RAW!$C$3:$C$2000))))),"")</f>
        <v/>
      </c>
      <c r="Y313" s="26">
        <f>IFERROR(TEXTJOIN(CHAR(10),TRUE,UNIQUE(FILTER(소재DB_RAW!$N$3:$N$2000&amp;") "&amp;소재DB_RAW!$O$3:$O$2000,(소재DB_RAW!$G$3:$G$2000=$D313)*ISNUMBER(SEARCH("겉감",소재DB_RAW!$M$3:$M$2000))*ISERROR(SEARCH("drop",소재DB_RAW!$C$3:$C$2000))))),"")</f>
        <v/>
      </c>
      <c r="Z313" s="26">
        <f>IFERROR(TEXTJOIN(CHAR(10),TRUE,UNIQUE(FILTER(소재DB_RAW!$N$3:$N$2000&amp;") "&amp;소재DB_RAW!$O$3:$O$2000,(소재DB_RAW!$G$3:$G$2000=$D313)*ISNUMBER(SEARCH("안감",소재DB_RAW!$M$3:$M$2000))*ISERROR(SEARCH("drop",소재DB_RAW!$C$3:$C$2000))))),"")</f>
        <v/>
      </c>
      <c r="AA313" s="27" t="n">
        <v>1600</v>
      </c>
      <c r="AB313" s="27" t="n">
        <v>34251200</v>
      </c>
      <c r="AC313" s="27" t="n">
        <v>156800000</v>
      </c>
      <c r="AD313" s="20" t="inlineStr">
        <is>
          <t>3월 4주</t>
        </is>
      </c>
      <c r="AE313" s="20">
        <f>IF($K313="","출고일 미정",IF($Q313="X","작지 미발행",IF($Q313="부분","작지 일부 미발행",IF(AND($S313&lt;&gt;"",$S313&gt;$N313),"소재입고 마감("&amp;TEXT($N313,"MM/DD")&amp;") 초과",IF($Q313="","발행여부 확인 필요",IF($S313="","소재 입고일정 확인 필요","정상"))))))</f>
        <v/>
      </c>
      <c r="AF313" s="19">
        <f>IF($K313="","",IF(OR(LEFT($AE313,2)="작지",LEFT($AE313,4)="소재입고"),IF(LEFT($G313,1)="S","★ 납기위험(S코드)","◆ 지연주의"),IF($AE313="정상","✓ 정상","? 확인필요")))</f>
        <v/>
      </c>
      <c r="AG313" s="21" t="n"/>
      <c r="AH313" s="28" t="n"/>
    </row>
    <row r="314">
      <c r="A314" s="19" t="n">
        <v>310</v>
      </c>
      <c r="B314" s="20" t="inlineStr">
        <is>
          <t>정영준</t>
        </is>
      </c>
      <c r="C314" s="20" t="inlineStr">
        <is>
          <t>권혁일</t>
        </is>
      </c>
      <c r="D314" s="20" t="inlineStr">
        <is>
          <t>TVTCM27692</t>
        </is>
      </c>
      <c r="E314" s="20" t="inlineStr">
        <is>
          <t>하절 여성 데이팩 반팔 티셔츠 (립)</t>
        </is>
      </c>
      <c r="F314" s="20" t="inlineStr">
        <is>
          <t>BLK(BLACK), GRI(GREIGE)</t>
        </is>
      </c>
      <c r="G314" s="19">
        <f>IF($D314="","",IF(MID($D314,5,1)="S","S(봄)",IF(MID($D314,5,1)="M","M(여름)",IF(MID($D314,5,1)="X","X(사계절)",MID($D314,5,1)))))</f>
        <v/>
      </c>
      <c r="H314" s="20" t="inlineStr">
        <is>
          <t>완사입</t>
        </is>
      </c>
      <c r="I314" s="19" t="inlineStr"/>
      <c r="J314" s="21" t="inlineStr">
        <is>
          <t>3월4주</t>
        </is>
      </c>
      <c r="K314" s="22">
        <f>IF($J314="","",IFERROR(DATE(IF(VALUE(LEFT($J314,FIND("월",$J314)-1))&gt;=9,기준정보!$C$7-1,기준정보!$C$7),VALUE(LEFT($J314,FIND("월",$J314)-1)),1+7*(VALUE(SUBSTITUTE(MID($J314,FIND("월",$J314)+1,5),"주",""))-1)),""))</f>
        <v/>
      </c>
      <c r="L314" s="22">
        <f>IF($K314="","",IF(AND($K314-기준정보!$C$5&gt;=기준정보!$C$10,$K314-기준정보!$C$5&lt;=기준정보!$C$11),기준정보!$C$10-1,$K314-기준정보!$C$5))</f>
        <v/>
      </c>
      <c r="M314" s="23">
        <f>IF($L314="","",IF(OR(ISNUMBER(SEARCH("중국",$W314)),ISNUMBER(SEARCH("베트남",$W314))),MAX(0,MIN($L314,기준정보!$C$9)-MAX($L314-기준정보!$C$6,기준정보!$C$8)+1),IF(ISNUMBER(SEARCH("한국",$W314)),MAX(0,MIN($L314,기준정보!$C$11)-MAX($L314-기준정보!$C$6,기준정보!$C$10)+1),0)))</f>
        <v/>
      </c>
      <c r="N314" s="22">
        <f>IF($L314="","",$L314-기준정보!$C$6-$M314)</f>
        <v/>
      </c>
      <c r="O314" s="24">
        <f>IF($N314="","",$N314-기준정보!$C$4)</f>
        <v/>
      </c>
      <c r="P314" s="21" t="n"/>
      <c r="Q314" s="21" t="inlineStr">
        <is>
          <t>O</t>
        </is>
      </c>
      <c r="R314" s="19">
        <f>IF(COUNTIF(EDW_RAW!$A$2:$A$1500,$D314)=0,"",IF(COUNTIFS(EDW_RAW!$A$2:$A$1500,$D314,EDW_RAW!$U$2:$U$1500,"&lt;&gt;~",EDW_RAW!$U$2:$U$1500,"&lt;&gt;")=COUNTIF(EDW_RAW!$A$2:$A$1500,$D314),"O",IF(COUNTIFS(EDW_RAW!$A$2:$A$1500,$D314,EDW_RAW!$U$2:$U$1500,"&lt;&gt;~",EDW_RAW!$U$2:$U$1500,"&lt;&gt;")&gt;0,"부분","X")))</f>
        <v/>
      </c>
      <c r="S314" s="25" t="n"/>
      <c r="T314" s="20">
        <f>IF($H314="","",IF(AND(ISNUMBER(SEARCH("CMT",$H314)),OR(ISNUMBER(SEARCH("완사입",$H314)),ISNUMBER(SEARCH("ODM",$H314)))),"본사/생산처 혼재",IF(ISNUMBER(SEARCH("CMT",$H314)),"본사(소재팀)","생산처")))</f>
        <v/>
      </c>
      <c r="U314" s="20" t="inlineStr">
        <is>
          <t>IKG</t>
        </is>
      </c>
      <c r="V314" s="20">
        <f>IFERROR(TEXTJOIN(" / ",TRUE,UNIQUE(FILTER(소재DB_RAW!$K$3:$K$2000,(소재DB_RAW!$G$3:$G$2000=$D314)*ISERROR(SEARCH("drop",소재DB_RAW!$C$3:$C$2000))))),"")</f>
        <v/>
      </c>
      <c r="W314" s="20" t="inlineStr">
        <is>
          <t>인도네시아</t>
        </is>
      </c>
      <c r="X314" s="20">
        <f>IFERROR(TEXTJOIN(" / ",TRUE,UNIQUE(FILTER(소재DB_RAW!$N$3:$N$2000,(소재DB_RAW!$G$3:$G$2000=$D314)*ISERROR(SEARCH("drop",소재DB_RAW!$C$3:$C$2000))))),"")</f>
        <v/>
      </c>
      <c r="Y314" s="26">
        <f>IFERROR(TEXTJOIN(CHAR(10),TRUE,UNIQUE(FILTER(소재DB_RAW!$N$3:$N$2000&amp;") "&amp;소재DB_RAW!$O$3:$O$2000,(소재DB_RAW!$G$3:$G$2000=$D314)*ISNUMBER(SEARCH("겉감",소재DB_RAW!$M$3:$M$2000))*ISERROR(SEARCH("drop",소재DB_RAW!$C$3:$C$2000))))),"")</f>
        <v/>
      </c>
      <c r="Z314" s="26">
        <f>IFERROR(TEXTJOIN(CHAR(10),TRUE,UNIQUE(FILTER(소재DB_RAW!$N$3:$N$2000&amp;") "&amp;소재DB_RAW!$O$3:$O$2000,(소재DB_RAW!$G$3:$G$2000=$D314)*ISNUMBER(SEARCH("안감",소재DB_RAW!$M$3:$M$2000))*ISERROR(SEARCH("drop",소재DB_RAW!$C$3:$C$2000))))),"")</f>
        <v/>
      </c>
      <c r="AA314" s="27" t="n">
        <v>2100</v>
      </c>
      <c r="AB314" s="27" t="n">
        <v>46200000</v>
      </c>
      <c r="AC314" s="27" t="n">
        <v>205800000</v>
      </c>
      <c r="AD314" s="20" t="inlineStr">
        <is>
          <t>3월4주</t>
        </is>
      </c>
      <c r="AE314" s="20">
        <f>IF($K314="","출고일 미정",IF($Q314="X","작지 미발행",IF($Q314="부분","작지 일부 미발행",IF(AND($S314&lt;&gt;"",$S314&gt;$N314),"소재입고 마감("&amp;TEXT($N314,"MM/DD")&amp;") 초과",IF($Q314="","발행여부 확인 필요",IF($S314="","소재 입고일정 확인 필요","정상"))))))</f>
        <v/>
      </c>
      <c r="AF314" s="19">
        <f>IF($K314="","",IF(OR(LEFT($AE314,2)="작지",LEFT($AE314,4)="소재입고"),IF(LEFT($G314,1)="S","★ 납기위험(S코드)","◆ 지연주의"),IF($AE314="정상","✓ 정상","? 확인필요")))</f>
        <v/>
      </c>
      <c r="AG314" s="21" t="n"/>
      <c r="AH314" s="28" t="n"/>
    </row>
    <row r="315">
      <c r="A315" s="19" t="n">
        <v>311</v>
      </c>
      <c r="B315" s="20" t="inlineStr">
        <is>
          <t>박술홍</t>
        </is>
      </c>
      <c r="C315" s="20" t="inlineStr">
        <is>
          <t>엄창용</t>
        </is>
      </c>
      <c r="D315" s="20" t="inlineStr">
        <is>
          <t>JWPOM27141</t>
        </is>
      </c>
      <c r="E315" s="20" t="inlineStr">
        <is>
          <t>하절 남성 소프트쉘 쇼츠 (SET UP)</t>
        </is>
      </c>
      <c r="F315" s="20" t="inlineStr">
        <is>
          <t>BLK(BLACK), BGY(B/GRAY)</t>
        </is>
      </c>
      <c r="G315" s="19">
        <f>IF($D315="","",IF(MID($D315,5,1)="S","S(봄)",IF(MID($D315,5,1)="M","M(여름)",IF(MID($D315,5,1)="X","X(사계절)",MID($D315,5,1)))))</f>
        <v/>
      </c>
      <c r="H315" s="20" t="inlineStr">
        <is>
          <t>완사입</t>
        </is>
      </c>
      <c r="I315" s="19" t="inlineStr">
        <is>
          <t>SM2</t>
        </is>
      </c>
      <c r="J315" s="21" t="inlineStr">
        <is>
          <t>4월1주</t>
        </is>
      </c>
      <c r="K315" s="22">
        <f>IF($J315="","",IFERROR(DATE(IF(VALUE(LEFT($J315,FIND("월",$J315)-1))&gt;=9,기준정보!$C$7-1,기준정보!$C$7),VALUE(LEFT($J315,FIND("월",$J315)-1)),1+7*(VALUE(SUBSTITUTE(MID($J315,FIND("월",$J315)+1,5),"주",""))-1)),""))</f>
        <v/>
      </c>
      <c r="L315" s="22">
        <f>IF($K315="","",IF(AND($K315-기준정보!$C$5&gt;=기준정보!$C$10,$K315-기준정보!$C$5&lt;=기준정보!$C$11),기준정보!$C$10-1,$K315-기준정보!$C$5))</f>
        <v/>
      </c>
      <c r="M315" s="23">
        <f>IF($L315="","",IF(OR(ISNUMBER(SEARCH("중국",$W315)),ISNUMBER(SEARCH("베트남",$W315))),MAX(0,MIN($L315,기준정보!$C$9)-MAX($L315-기준정보!$C$6,기준정보!$C$8)+1),IF(ISNUMBER(SEARCH("한국",$W315)),MAX(0,MIN($L315,기준정보!$C$11)-MAX($L315-기준정보!$C$6,기준정보!$C$10)+1),0)))</f>
        <v/>
      </c>
      <c r="N315" s="22">
        <f>IF($L315="","",$L315-기준정보!$C$6-$M315)</f>
        <v/>
      </c>
      <c r="O315" s="24">
        <f>IF($N315="","",$N315-기준정보!$C$4)</f>
        <v/>
      </c>
      <c r="P315" s="21" t="n"/>
      <c r="Q315" s="21" t="inlineStr">
        <is>
          <t>O</t>
        </is>
      </c>
      <c r="R315" s="19">
        <f>IF(COUNTIF(EDW_RAW!$A$2:$A$1500,$D315)=0,"",IF(COUNTIFS(EDW_RAW!$A$2:$A$1500,$D315,EDW_RAW!$U$2:$U$1500,"&lt;&gt;~",EDW_RAW!$U$2:$U$1500,"&lt;&gt;")=COUNTIF(EDW_RAW!$A$2:$A$1500,$D315),"O",IF(COUNTIFS(EDW_RAW!$A$2:$A$1500,$D315,EDW_RAW!$U$2:$U$1500,"&lt;&gt;~",EDW_RAW!$U$2:$U$1500,"&lt;&gt;")&gt;0,"부분","X")))</f>
        <v/>
      </c>
      <c r="S315" s="25" t="n"/>
      <c r="T315" s="20">
        <f>IF($H315="","",IF(AND(ISNUMBER(SEARCH("CMT",$H315)),OR(ISNUMBER(SEARCH("완사입",$H315)),ISNUMBER(SEARCH("ODM",$H315)))),"본사/생산처 혼재",IF(ISNUMBER(SEARCH("CMT",$H315)),"본사(소재팀)","생산처")))</f>
        <v/>
      </c>
      <c r="U315" s="20" t="inlineStr">
        <is>
          <t>YIC</t>
        </is>
      </c>
      <c r="V315" s="20">
        <f>IFERROR(TEXTJOIN(" / ",TRUE,UNIQUE(FILTER(소재DB_RAW!$K$3:$K$2000,(소재DB_RAW!$G$3:$G$2000=$D315)*ISERROR(SEARCH("drop",소재DB_RAW!$C$3:$C$2000))))),"")</f>
        <v/>
      </c>
      <c r="W315" s="20" t="inlineStr">
        <is>
          <t>베트남</t>
        </is>
      </c>
      <c r="X315" s="20">
        <f>IFERROR(TEXTJOIN(" / ",TRUE,UNIQUE(FILTER(소재DB_RAW!$N$3:$N$2000,(소재DB_RAW!$G$3:$G$2000=$D315)*ISERROR(SEARCH("drop",소재DB_RAW!$C$3:$C$2000))))),"")</f>
        <v/>
      </c>
      <c r="Y315" s="26">
        <f>IFERROR(TEXTJOIN(CHAR(10),TRUE,UNIQUE(FILTER(소재DB_RAW!$N$3:$N$2000&amp;") "&amp;소재DB_RAW!$O$3:$O$2000,(소재DB_RAW!$G$3:$G$2000=$D315)*ISNUMBER(SEARCH("겉감",소재DB_RAW!$M$3:$M$2000))*ISERROR(SEARCH("drop",소재DB_RAW!$C$3:$C$2000))))),"")</f>
        <v/>
      </c>
      <c r="Z315" s="26">
        <f>IFERROR(TEXTJOIN(CHAR(10),TRUE,UNIQUE(FILTER(소재DB_RAW!$N$3:$N$2000&amp;") "&amp;소재DB_RAW!$O$3:$O$2000,(소재DB_RAW!$G$3:$G$2000=$D315)*ISNUMBER(SEARCH("안감",소재DB_RAW!$M$3:$M$2000))*ISERROR(SEARCH("drop",소재DB_RAW!$C$3:$C$2000))))),"")</f>
        <v/>
      </c>
      <c r="AA315" s="27" t="n">
        <v>1660</v>
      </c>
      <c r="AB315" s="27" t="n">
        <v>51792000</v>
      </c>
      <c r="AC315" s="27" t="n">
        <v>229080000</v>
      </c>
      <c r="AD315" s="20" t="inlineStr">
        <is>
          <t>4월1주</t>
        </is>
      </c>
      <c r="AE315" s="20">
        <f>IF($K315="","출고일 미정",IF($Q315="X","작지 미발행",IF($Q315="부분","작지 일부 미발행",IF(AND($S315&lt;&gt;"",$S315&gt;$N315),"소재입고 마감("&amp;TEXT($N315,"MM/DD")&amp;") 초과",IF($Q315="","발행여부 확인 필요",IF($S315="","소재 입고일정 확인 필요","정상"))))))</f>
        <v/>
      </c>
      <c r="AF315" s="19">
        <f>IF($K315="","",IF(OR(LEFT($AE315,2)="작지",LEFT($AE315,4)="소재입고"),IF(LEFT($G315,1)="S","★ 납기위험(S코드)","◆ 지연주의"),IF($AE315="정상","✓ 정상","? 확인필요")))</f>
        <v/>
      </c>
      <c r="AG315" s="21" t="n"/>
      <c r="AH315" s="28" t="n"/>
    </row>
    <row r="316">
      <c r="A316" s="19" t="n">
        <v>312</v>
      </c>
      <c r="B316" s="20" t="inlineStr">
        <is>
          <t>박술홍</t>
        </is>
      </c>
      <c r="C316" s="20" t="inlineStr">
        <is>
          <t>엄창용</t>
        </is>
      </c>
      <c r="D316" s="20" t="inlineStr">
        <is>
          <t>JWPOM27181</t>
        </is>
      </c>
      <c r="E316" s="20" t="inlineStr">
        <is>
          <t>하절 남성 에어도트 쇼츠 (SET-UP)</t>
        </is>
      </c>
      <c r="F316" s="20" t="inlineStr">
        <is>
          <t>BLK(BLACK), KHA(KHAKI)</t>
        </is>
      </c>
      <c r="G316" s="19">
        <f>IF($D316="","",IF(MID($D316,5,1)="S","S(봄)",IF(MID($D316,5,1)="M","M(여름)",IF(MID($D316,5,1)="X","X(사계절)",MID($D316,5,1)))))</f>
        <v/>
      </c>
      <c r="H316" s="20" t="inlineStr">
        <is>
          <t>완사입</t>
        </is>
      </c>
      <c r="I316" s="19" t="inlineStr">
        <is>
          <t>SM2</t>
        </is>
      </c>
      <c r="J316" s="21" t="inlineStr">
        <is>
          <t>4월1주</t>
        </is>
      </c>
      <c r="K316" s="22">
        <f>IF($J316="","",IFERROR(DATE(IF(VALUE(LEFT($J316,FIND("월",$J316)-1))&gt;=9,기준정보!$C$7-1,기준정보!$C$7),VALUE(LEFT($J316,FIND("월",$J316)-1)),1+7*(VALUE(SUBSTITUTE(MID($J316,FIND("월",$J316)+1,5),"주",""))-1)),""))</f>
        <v/>
      </c>
      <c r="L316" s="22">
        <f>IF($K316="","",IF(AND($K316-기준정보!$C$5&gt;=기준정보!$C$10,$K316-기준정보!$C$5&lt;=기준정보!$C$11),기준정보!$C$10-1,$K316-기준정보!$C$5))</f>
        <v/>
      </c>
      <c r="M316" s="23">
        <f>IF($L316="","",IF(OR(ISNUMBER(SEARCH("중국",$W316)),ISNUMBER(SEARCH("베트남",$W316))),MAX(0,MIN($L316,기준정보!$C$9)-MAX($L316-기준정보!$C$6,기준정보!$C$8)+1),IF(ISNUMBER(SEARCH("한국",$W316)),MAX(0,MIN($L316,기준정보!$C$11)-MAX($L316-기준정보!$C$6,기준정보!$C$10)+1),0)))</f>
        <v/>
      </c>
      <c r="N316" s="22">
        <f>IF($L316="","",$L316-기준정보!$C$6-$M316)</f>
        <v/>
      </c>
      <c r="O316" s="24">
        <f>IF($N316="","",$N316-기준정보!$C$4)</f>
        <v/>
      </c>
      <c r="P316" s="21" t="n"/>
      <c r="Q316" s="21" t="inlineStr">
        <is>
          <t>O</t>
        </is>
      </c>
      <c r="R316" s="19">
        <f>IF(COUNTIF(EDW_RAW!$A$2:$A$1500,$D316)=0,"",IF(COUNTIFS(EDW_RAW!$A$2:$A$1500,$D316,EDW_RAW!$U$2:$U$1500,"&lt;&gt;~",EDW_RAW!$U$2:$U$1500,"&lt;&gt;")=COUNTIF(EDW_RAW!$A$2:$A$1500,$D316),"O",IF(COUNTIFS(EDW_RAW!$A$2:$A$1500,$D316,EDW_RAW!$U$2:$U$1500,"&lt;&gt;~",EDW_RAW!$U$2:$U$1500,"&lt;&gt;")&gt;0,"부분","X")))</f>
        <v/>
      </c>
      <c r="S316" s="25" t="n"/>
      <c r="T316" s="20">
        <f>IF($H316="","",IF(AND(ISNUMBER(SEARCH("CMT",$H316)),OR(ISNUMBER(SEARCH("완사입",$H316)),ISNUMBER(SEARCH("ODM",$H316)))),"본사/생산처 혼재",IF(ISNUMBER(SEARCH("CMT",$H316)),"본사(소재팀)","생산처")))</f>
        <v/>
      </c>
      <c r="U316" s="20" t="inlineStr">
        <is>
          <t>TBO</t>
        </is>
      </c>
      <c r="V316" s="20">
        <f>IFERROR(TEXTJOIN(" / ",TRUE,UNIQUE(FILTER(소재DB_RAW!$K$3:$K$2000,(소재DB_RAW!$G$3:$G$2000=$D316)*ISERROR(SEARCH("drop",소재DB_RAW!$C$3:$C$2000))))),"")</f>
        <v/>
      </c>
      <c r="W316" s="20" t="inlineStr">
        <is>
          <t>베트남</t>
        </is>
      </c>
      <c r="X316" s="20">
        <f>IFERROR(TEXTJOIN(" / ",TRUE,UNIQUE(FILTER(소재DB_RAW!$N$3:$N$2000,(소재DB_RAW!$G$3:$G$2000=$D316)*ISERROR(SEARCH("drop",소재DB_RAW!$C$3:$C$2000))))),"")</f>
        <v/>
      </c>
      <c r="Y316" s="26">
        <f>IFERROR(TEXTJOIN(CHAR(10),TRUE,UNIQUE(FILTER(소재DB_RAW!$N$3:$N$2000&amp;") "&amp;소재DB_RAW!$O$3:$O$2000,(소재DB_RAW!$G$3:$G$2000=$D316)*ISNUMBER(SEARCH("겉감",소재DB_RAW!$M$3:$M$2000))*ISERROR(SEARCH("drop",소재DB_RAW!$C$3:$C$2000))))),"")</f>
        <v/>
      </c>
      <c r="Z316" s="26">
        <f>IFERROR(TEXTJOIN(CHAR(10),TRUE,UNIQUE(FILTER(소재DB_RAW!$N$3:$N$2000&amp;") "&amp;소재DB_RAW!$O$3:$O$2000,(소재DB_RAW!$G$3:$G$2000=$D316)*ISNUMBER(SEARCH("안감",소재DB_RAW!$M$3:$M$2000))*ISERROR(SEARCH("drop",소재DB_RAW!$C$3:$C$2000))))),"")</f>
        <v/>
      </c>
      <c r="AA316" s="27" t="n">
        <v>2000</v>
      </c>
      <c r="AB316" s="27" t="n">
        <v>42762000</v>
      </c>
      <c r="AC316" s="27" t="n">
        <v>236000000</v>
      </c>
      <c r="AD316" s="20" t="inlineStr">
        <is>
          <t>4월1주</t>
        </is>
      </c>
      <c r="AE316" s="20">
        <f>IF($K316="","출고일 미정",IF($Q316="X","작지 미발행",IF($Q316="부분","작지 일부 미발행",IF(AND($S316&lt;&gt;"",$S316&gt;$N316),"소재입고 마감("&amp;TEXT($N316,"MM/DD")&amp;") 초과",IF($Q316="","발행여부 확인 필요",IF($S316="","소재 입고일정 확인 필요","정상"))))))</f>
        <v/>
      </c>
      <c r="AF316" s="19">
        <f>IF($K316="","",IF(OR(LEFT($AE316,2)="작지",LEFT($AE316,4)="소재입고"),IF(LEFT($G316,1)="S","★ 납기위험(S코드)","◆ 지연주의"),IF($AE316="정상","✓ 정상","? 확인필요")))</f>
        <v/>
      </c>
      <c r="AG316" s="21" t="n"/>
      <c r="AH316" s="28" t="n"/>
    </row>
    <row r="317">
      <c r="A317" s="19" t="n">
        <v>313</v>
      </c>
      <c r="B317" s="20" t="inlineStr">
        <is>
          <t>박술홍</t>
        </is>
      </c>
      <c r="C317" s="20" t="inlineStr">
        <is>
          <t>엄창용</t>
        </is>
      </c>
      <c r="D317" s="20" t="inlineStr">
        <is>
          <t>JWPOM27191</t>
        </is>
      </c>
      <c r="E317" s="20" t="inlineStr">
        <is>
          <t>하절 남성 카고 쇼츠 (DS 제안)</t>
        </is>
      </c>
      <c r="F317" s="20" t="inlineStr">
        <is>
          <t>BLK(BLACK), KHA(KHAKI)</t>
        </is>
      </c>
      <c r="G317" s="19">
        <f>IF($D317="","",IF(MID($D317,5,1)="S","S(봄)",IF(MID($D317,5,1)="M","M(여름)",IF(MID($D317,5,1)="X","X(사계절)",MID($D317,5,1)))))</f>
        <v/>
      </c>
      <c r="H317" s="20" t="inlineStr">
        <is>
          <t>완사입</t>
        </is>
      </c>
      <c r="I317" s="19" t="inlineStr">
        <is>
          <t>SM2</t>
        </is>
      </c>
      <c r="J317" s="21" t="inlineStr">
        <is>
          <t>4월1주</t>
        </is>
      </c>
      <c r="K317" s="22">
        <f>IF($J317="","",IFERROR(DATE(IF(VALUE(LEFT($J317,FIND("월",$J317)-1))&gt;=9,기준정보!$C$7-1,기준정보!$C$7),VALUE(LEFT($J317,FIND("월",$J317)-1)),1+7*(VALUE(SUBSTITUTE(MID($J317,FIND("월",$J317)+1,5),"주",""))-1)),""))</f>
        <v/>
      </c>
      <c r="L317" s="22">
        <f>IF($K317="","",IF(AND($K317-기준정보!$C$5&gt;=기준정보!$C$10,$K317-기준정보!$C$5&lt;=기준정보!$C$11),기준정보!$C$10-1,$K317-기준정보!$C$5))</f>
        <v/>
      </c>
      <c r="M317" s="23">
        <f>IF($L317="","",IF(OR(ISNUMBER(SEARCH("중국",$W317)),ISNUMBER(SEARCH("베트남",$W317))),MAX(0,MIN($L317,기준정보!$C$9)-MAX($L317-기준정보!$C$6,기준정보!$C$8)+1),IF(ISNUMBER(SEARCH("한국",$W317)),MAX(0,MIN($L317,기준정보!$C$11)-MAX($L317-기준정보!$C$6,기준정보!$C$10)+1),0)))</f>
        <v/>
      </c>
      <c r="N317" s="22">
        <f>IF($L317="","",$L317-기준정보!$C$6-$M317)</f>
        <v/>
      </c>
      <c r="O317" s="24">
        <f>IF($N317="","",$N317-기준정보!$C$4)</f>
        <v/>
      </c>
      <c r="P317" s="21" t="n"/>
      <c r="Q317" s="21" t="inlineStr">
        <is>
          <t>O</t>
        </is>
      </c>
      <c r="R317" s="19">
        <f>IF(COUNTIF(EDW_RAW!$A$2:$A$1500,$D317)=0,"",IF(COUNTIFS(EDW_RAW!$A$2:$A$1500,$D317,EDW_RAW!$U$2:$U$1500,"&lt;&gt;~",EDW_RAW!$U$2:$U$1500,"&lt;&gt;")=COUNTIF(EDW_RAW!$A$2:$A$1500,$D317),"O",IF(COUNTIFS(EDW_RAW!$A$2:$A$1500,$D317,EDW_RAW!$U$2:$U$1500,"&lt;&gt;~",EDW_RAW!$U$2:$U$1500,"&lt;&gt;")&gt;0,"부분","X")))</f>
        <v/>
      </c>
      <c r="S317" s="25" t="n"/>
      <c r="T317" s="20">
        <f>IF($H317="","",IF(AND(ISNUMBER(SEARCH("CMT",$H317)),OR(ISNUMBER(SEARCH("완사입",$H317)),ISNUMBER(SEARCH("ODM",$H317)))),"본사/생산처 혼재",IF(ISNUMBER(SEARCH("CMT",$H317)),"본사(소재팀)","생산처")))</f>
        <v/>
      </c>
      <c r="U317" s="20" t="inlineStr">
        <is>
          <t>TBO</t>
        </is>
      </c>
      <c r="V317" s="20">
        <f>IFERROR(TEXTJOIN(" / ",TRUE,UNIQUE(FILTER(소재DB_RAW!$K$3:$K$2000,(소재DB_RAW!$G$3:$G$2000=$D317)*ISERROR(SEARCH("drop",소재DB_RAW!$C$3:$C$2000))))),"")</f>
        <v/>
      </c>
      <c r="W317" s="20" t="inlineStr">
        <is>
          <t>베트남</t>
        </is>
      </c>
      <c r="X317" s="20">
        <f>IFERROR(TEXTJOIN(" / ",TRUE,UNIQUE(FILTER(소재DB_RAW!$N$3:$N$2000,(소재DB_RAW!$G$3:$G$2000=$D317)*ISERROR(SEARCH("drop",소재DB_RAW!$C$3:$C$2000))))),"")</f>
        <v/>
      </c>
      <c r="Y317" s="26">
        <f>IFERROR(TEXTJOIN(CHAR(10),TRUE,UNIQUE(FILTER(소재DB_RAW!$N$3:$N$2000&amp;") "&amp;소재DB_RAW!$O$3:$O$2000,(소재DB_RAW!$G$3:$G$2000=$D317)*ISNUMBER(SEARCH("겉감",소재DB_RAW!$M$3:$M$2000))*ISERROR(SEARCH("drop",소재DB_RAW!$C$3:$C$2000))))),"")</f>
        <v/>
      </c>
      <c r="Z317" s="26">
        <f>IFERROR(TEXTJOIN(CHAR(10),TRUE,UNIQUE(FILTER(소재DB_RAW!$N$3:$N$2000&amp;") "&amp;소재DB_RAW!$O$3:$O$2000,(소재DB_RAW!$G$3:$G$2000=$D317)*ISNUMBER(SEARCH("안감",소재DB_RAW!$M$3:$M$2000))*ISERROR(SEARCH("drop",소재DB_RAW!$C$3:$C$2000))))),"")</f>
        <v/>
      </c>
      <c r="AA317" s="27" t="n">
        <v>1960</v>
      </c>
      <c r="AB317" s="27" t="n">
        <v>50985480</v>
      </c>
      <c r="AC317" s="27" t="n">
        <v>290080000</v>
      </c>
      <c r="AD317" s="20" t="inlineStr">
        <is>
          <t>4월1주</t>
        </is>
      </c>
      <c r="AE317" s="20">
        <f>IF($K317="","출고일 미정",IF($Q317="X","작지 미발행",IF($Q317="부분","작지 일부 미발행",IF(AND($S317&lt;&gt;"",$S317&gt;$N317),"소재입고 마감("&amp;TEXT($N317,"MM/DD")&amp;") 초과",IF($Q317="","발행여부 확인 필요",IF($S317="","소재 입고일정 확인 필요","정상"))))))</f>
        <v/>
      </c>
      <c r="AF317" s="19">
        <f>IF($K317="","",IF(OR(LEFT($AE317,2)="작지",LEFT($AE317,4)="소재입고"),IF(LEFT($G317,1)="S","★ 납기위험(S코드)","◆ 지연주의"),IF($AE317="정상","✓ 정상","? 확인필요")))</f>
        <v/>
      </c>
      <c r="AG317" s="21" t="n"/>
      <c r="AH317" s="28" t="n"/>
    </row>
    <row r="318">
      <c r="A318" s="19" t="n">
        <v>314</v>
      </c>
      <c r="B318" s="20" t="inlineStr">
        <is>
          <t>이재헌</t>
        </is>
      </c>
      <c r="C318" s="20" t="inlineStr">
        <is>
          <t>엄창용</t>
        </is>
      </c>
      <c r="D318" s="20" t="inlineStr">
        <is>
          <t>JWTCM27191</t>
        </is>
      </c>
      <c r="E318" s="20" t="inlineStr">
        <is>
          <t>남성 슬리브리스</t>
        </is>
      </c>
      <c r="F318" s="20" t="inlineStr">
        <is>
          <t>BLK(BLACK), KHA(KHAKI)</t>
        </is>
      </c>
      <c r="G318" s="19">
        <f>IF($D318="","",IF(MID($D318,5,1)="S","S(봄)",IF(MID($D318,5,1)="M","M(여름)",IF(MID($D318,5,1)="X","X(사계절)",MID($D318,5,1)))))</f>
        <v/>
      </c>
      <c r="H318" s="20" t="inlineStr">
        <is>
          <t>완사입</t>
        </is>
      </c>
      <c r="I318" s="19" t="inlineStr"/>
      <c r="J318" s="21" t="inlineStr">
        <is>
          <t>4월1주</t>
        </is>
      </c>
      <c r="K318" s="22">
        <f>IF($J318="","",IFERROR(DATE(IF(VALUE(LEFT($J318,FIND("월",$J318)-1))&gt;=9,기준정보!$C$7-1,기준정보!$C$7),VALUE(LEFT($J318,FIND("월",$J318)-1)),1+7*(VALUE(SUBSTITUTE(MID($J318,FIND("월",$J318)+1,5),"주",""))-1)),""))</f>
        <v/>
      </c>
      <c r="L318" s="22">
        <f>IF($K318="","",IF(AND($K318-기준정보!$C$5&gt;=기준정보!$C$10,$K318-기준정보!$C$5&lt;=기준정보!$C$11),기준정보!$C$10-1,$K318-기준정보!$C$5))</f>
        <v/>
      </c>
      <c r="M318" s="23">
        <f>IF($L318="","",IF(OR(ISNUMBER(SEARCH("중국",$W318)),ISNUMBER(SEARCH("베트남",$W318))),MAX(0,MIN($L318,기준정보!$C$9)-MAX($L318-기준정보!$C$6,기준정보!$C$8)+1),IF(ISNUMBER(SEARCH("한국",$W318)),MAX(0,MIN($L318,기준정보!$C$11)-MAX($L318-기준정보!$C$6,기준정보!$C$10)+1),0)))</f>
        <v/>
      </c>
      <c r="N318" s="22">
        <f>IF($L318="","",$L318-기준정보!$C$6-$M318)</f>
        <v/>
      </c>
      <c r="O318" s="24">
        <f>IF($N318="","",$N318-기준정보!$C$4)</f>
        <v/>
      </c>
      <c r="P318" s="21" t="n"/>
      <c r="Q318" s="21" t="inlineStr">
        <is>
          <t>O</t>
        </is>
      </c>
      <c r="R318" s="19">
        <f>IF(COUNTIF(EDW_RAW!$A$2:$A$1500,$D318)=0,"",IF(COUNTIFS(EDW_RAW!$A$2:$A$1500,$D318,EDW_RAW!$U$2:$U$1500,"&lt;&gt;~",EDW_RAW!$U$2:$U$1500,"&lt;&gt;")=COUNTIF(EDW_RAW!$A$2:$A$1500,$D318),"O",IF(COUNTIFS(EDW_RAW!$A$2:$A$1500,$D318,EDW_RAW!$U$2:$U$1500,"&lt;&gt;~",EDW_RAW!$U$2:$U$1500,"&lt;&gt;")&gt;0,"부분","X")))</f>
        <v/>
      </c>
      <c r="S318" s="25" t="n"/>
      <c r="T318" s="20">
        <f>IF($H318="","",IF(AND(ISNUMBER(SEARCH("CMT",$H318)),OR(ISNUMBER(SEARCH("완사입",$H318)),ISNUMBER(SEARCH("ODM",$H318)))),"본사/생산처 혼재",IF(ISNUMBER(SEARCH("CMT",$H318)),"본사(소재팀)","생산처")))</f>
        <v/>
      </c>
      <c r="U318" s="20" t="inlineStr">
        <is>
          <t>장안</t>
        </is>
      </c>
      <c r="V318" s="20">
        <f>IFERROR(TEXTJOIN(" / ",TRUE,UNIQUE(FILTER(소재DB_RAW!$K$3:$K$2000,(소재DB_RAW!$G$3:$G$2000=$D318)*ISERROR(SEARCH("drop",소재DB_RAW!$C$3:$C$2000))))),"")</f>
        <v/>
      </c>
      <c r="W318" s="20" t="inlineStr">
        <is>
          <t>베트남</t>
        </is>
      </c>
      <c r="X318" s="20">
        <f>IFERROR(TEXTJOIN(" / ",TRUE,UNIQUE(FILTER(소재DB_RAW!$N$3:$N$2000,(소재DB_RAW!$G$3:$G$2000=$D318)*ISERROR(SEARCH("drop",소재DB_RAW!$C$3:$C$2000))))),"")</f>
        <v/>
      </c>
      <c r="Y318" s="26">
        <f>IFERROR(TEXTJOIN(CHAR(10),TRUE,UNIQUE(FILTER(소재DB_RAW!$N$3:$N$2000&amp;") "&amp;소재DB_RAW!$O$3:$O$2000,(소재DB_RAW!$G$3:$G$2000=$D318)*ISNUMBER(SEARCH("겉감",소재DB_RAW!$M$3:$M$2000))*ISERROR(SEARCH("drop",소재DB_RAW!$C$3:$C$2000))))),"")</f>
        <v/>
      </c>
      <c r="Z318" s="26">
        <f>IFERROR(TEXTJOIN(CHAR(10),TRUE,UNIQUE(FILTER(소재DB_RAW!$N$3:$N$2000&amp;") "&amp;소재DB_RAW!$O$3:$O$2000,(소재DB_RAW!$G$3:$G$2000=$D318)*ISNUMBER(SEARCH("안감",소재DB_RAW!$M$3:$M$2000))*ISERROR(SEARCH("drop",소재DB_RAW!$C$3:$C$2000))))),"")</f>
        <v/>
      </c>
      <c r="AA318" s="27" t="n">
        <v>1000</v>
      </c>
      <c r="AB318" s="27" t="n">
        <v>20952000</v>
      </c>
      <c r="AC318" s="27" t="n">
        <v>78000000</v>
      </c>
      <c r="AD318" s="20" t="n"/>
      <c r="AE318" s="20">
        <f>IF($K318="","출고일 미정",IF($Q318="X","작지 미발행",IF($Q318="부분","작지 일부 미발행",IF(AND($S318&lt;&gt;"",$S318&gt;$N318),"소재입고 마감("&amp;TEXT($N318,"MM/DD")&amp;") 초과",IF($Q318="","발행여부 확인 필요",IF($S318="","소재 입고일정 확인 필요","정상"))))))</f>
        <v/>
      </c>
      <c r="AF318" s="19">
        <f>IF($K318="","",IF(OR(LEFT($AE318,2)="작지",LEFT($AE318,4)="소재입고"),IF(LEFT($G318,1)="S","★ 납기위험(S코드)","◆ 지연주의"),IF($AE318="정상","✓ 정상","? 확인필요")))</f>
        <v/>
      </c>
      <c r="AG318" s="21" t="n"/>
      <c r="AH318" s="28" t="n"/>
    </row>
    <row r="319">
      <c r="A319" s="19" t="n">
        <v>315</v>
      </c>
      <c r="B319" s="20" t="inlineStr">
        <is>
          <t>신인철</t>
        </is>
      </c>
      <c r="C319" s="20" t="inlineStr">
        <is>
          <t>안세진</t>
        </is>
      </c>
      <c r="D319" s="20" t="inlineStr">
        <is>
          <t>8GPFM27101</t>
        </is>
      </c>
      <c r="E319" s="20" t="inlineStr">
        <is>
          <t>[WM] 남성 익스퍼트 레깅스</t>
        </is>
      </c>
      <c r="F319" s="20" t="inlineStr">
        <is>
          <t>BLK(BLACK)</t>
        </is>
      </c>
      <c r="G319" s="19">
        <f>IF($D319="","",IF(MID($D319,5,1)="S","S(봄)",IF(MID($D319,5,1)="M","M(여름)",IF(MID($D319,5,1)="X","X(사계절)",MID($D319,5,1)))))</f>
        <v/>
      </c>
      <c r="H319" s="20" t="inlineStr">
        <is>
          <t>완사입</t>
        </is>
      </c>
      <c r="I319" s="19" t="inlineStr">
        <is>
          <t>2차</t>
        </is>
      </c>
      <c r="J319" s="21" t="inlineStr">
        <is>
          <t>4월2주</t>
        </is>
      </c>
      <c r="K319" s="22">
        <f>IF($J319="","",IFERROR(DATE(IF(VALUE(LEFT($J319,FIND("월",$J319)-1))&gt;=9,기준정보!$C$7-1,기준정보!$C$7),VALUE(LEFT($J319,FIND("월",$J319)-1)),1+7*(VALUE(SUBSTITUTE(MID($J319,FIND("월",$J319)+1,5),"주",""))-1)),""))</f>
        <v/>
      </c>
      <c r="L319" s="22">
        <f>IF($K319="","",IF(AND($K319-기준정보!$C$5&gt;=기준정보!$C$10,$K319-기준정보!$C$5&lt;=기준정보!$C$11),기준정보!$C$10-1,$K319-기준정보!$C$5))</f>
        <v/>
      </c>
      <c r="M319" s="23">
        <f>IF($L319="","",IF(OR(ISNUMBER(SEARCH("중국",$W319)),ISNUMBER(SEARCH("베트남",$W319))),MAX(0,MIN($L319,기준정보!$C$9)-MAX($L319-기준정보!$C$6,기준정보!$C$8)+1),IF(ISNUMBER(SEARCH("한국",$W319)),MAX(0,MIN($L319,기준정보!$C$11)-MAX($L319-기준정보!$C$6,기준정보!$C$10)+1),0)))</f>
        <v/>
      </c>
      <c r="N319" s="22">
        <f>IF($L319="","",$L319-기준정보!$C$6-$M319)</f>
        <v/>
      </c>
      <c r="O319" s="24">
        <f>IF($N319="","",$N319-기준정보!$C$4)</f>
        <v/>
      </c>
      <c r="P319" s="21" t="n"/>
      <c r="Q319" s="21" t="inlineStr">
        <is>
          <t>X</t>
        </is>
      </c>
      <c r="R319" s="19">
        <f>IF(COUNTIF(EDW_RAW!$A$2:$A$1500,$D319)=0,"",IF(COUNTIFS(EDW_RAW!$A$2:$A$1500,$D319,EDW_RAW!$U$2:$U$1500,"&lt;&gt;~",EDW_RAW!$U$2:$U$1500,"&lt;&gt;")=COUNTIF(EDW_RAW!$A$2:$A$1500,$D319),"O",IF(COUNTIFS(EDW_RAW!$A$2:$A$1500,$D319,EDW_RAW!$U$2:$U$1500,"&lt;&gt;~",EDW_RAW!$U$2:$U$1500,"&lt;&gt;")&gt;0,"부분","X")))</f>
        <v/>
      </c>
      <c r="S319" s="25" t="n"/>
      <c r="T319" s="20">
        <f>IF($H319="","",IF(AND(ISNUMBER(SEARCH("CMT",$H319)),OR(ISNUMBER(SEARCH("완사입",$H319)),ISNUMBER(SEARCH("ODM",$H319)))),"본사/생산처 혼재",IF(ISNUMBER(SEARCH("CMT",$H319)),"본사(소재팀)","생산처")))</f>
        <v/>
      </c>
      <c r="U319" s="20" t="inlineStr">
        <is>
          <t>IKG</t>
        </is>
      </c>
      <c r="V319" s="20">
        <f>IFERROR(TEXTJOIN(" / ",TRUE,UNIQUE(FILTER(소재DB_RAW!$K$3:$K$2000,(소재DB_RAW!$G$3:$G$2000=$D319)*ISERROR(SEARCH("drop",소재DB_RAW!$C$3:$C$2000))))),"")</f>
        <v/>
      </c>
      <c r="W319" s="20" t="inlineStr">
        <is>
          <t>베트남</t>
        </is>
      </c>
      <c r="X319" s="20">
        <f>IFERROR(TEXTJOIN(" / ",TRUE,UNIQUE(FILTER(소재DB_RAW!$N$3:$N$2000,(소재DB_RAW!$G$3:$G$2000=$D319)*ISERROR(SEARCH("drop",소재DB_RAW!$C$3:$C$2000))))),"")</f>
        <v/>
      </c>
      <c r="Y319" s="26">
        <f>IFERROR(TEXTJOIN(CHAR(10),TRUE,UNIQUE(FILTER(소재DB_RAW!$N$3:$N$2000&amp;") "&amp;소재DB_RAW!$O$3:$O$2000,(소재DB_RAW!$G$3:$G$2000=$D319)*ISNUMBER(SEARCH("겉감",소재DB_RAW!$M$3:$M$2000))*ISERROR(SEARCH("drop",소재DB_RAW!$C$3:$C$2000))))),"")</f>
        <v/>
      </c>
      <c r="Z319" s="26">
        <f>IFERROR(TEXTJOIN(CHAR(10),TRUE,UNIQUE(FILTER(소재DB_RAW!$N$3:$N$2000&amp;") "&amp;소재DB_RAW!$O$3:$O$2000,(소재DB_RAW!$G$3:$G$2000=$D319)*ISNUMBER(SEARCH("안감",소재DB_RAW!$M$3:$M$2000))*ISERROR(SEARCH("drop",소재DB_RAW!$C$3:$C$2000))))),"")</f>
        <v/>
      </c>
      <c r="AA319" s="27" t="n">
        <v>0</v>
      </c>
      <c r="AB319" s="27" t="n">
        <v>3000000</v>
      </c>
      <c r="AC319" s="27" t="n">
        <v>9800000</v>
      </c>
      <c r="AD319" s="20" t="n"/>
      <c r="AE319" s="20">
        <f>IF($K319="","출고일 미정",IF($Q319="X","작지 미발행",IF($Q319="부분","작지 일부 미발행",IF(AND($S319&lt;&gt;"",$S319&gt;$N319),"소재입고 마감("&amp;TEXT($N319,"MM/DD")&amp;") 초과",IF($Q319="","발행여부 확인 필요",IF($S319="","소재 입고일정 확인 필요","정상"))))))</f>
        <v/>
      </c>
      <c r="AF319" s="19">
        <f>IF($K319="","",IF(OR(LEFT($AE319,2)="작지",LEFT($AE319,4)="소재입고"),IF(LEFT($G319,1)="S","★ 납기위험(S코드)","◆ 지연주의"),IF($AE319="정상","✓ 정상","? 확인필요")))</f>
        <v/>
      </c>
      <c r="AG319" s="21" t="n"/>
      <c r="AH319" s="28" t="n"/>
    </row>
    <row r="320">
      <c r="A320" s="19" t="n">
        <v>316</v>
      </c>
      <c r="B320" s="20" t="inlineStr">
        <is>
          <t>신인철</t>
        </is>
      </c>
      <c r="C320" s="20" t="inlineStr">
        <is>
          <t>안세진</t>
        </is>
      </c>
      <c r="D320" s="20" t="inlineStr">
        <is>
          <t>8GPOM27103</t>
        </is>
      </c>
      <c r="E320" s="20" t="inlineStr">
        <is>
          <t>[WM] 남성 라이트 립스탑 숏츠</t>
        </is>
      </c>
      <c r="F320" s="20" t="inlineStr">
        <is>
          <t>TBU, BLK(BLACK)</t>
        </is>
      </c>
      <c r="G320" s="19">
        <f>IF($D320="","",IF(MID($D320,5,1)="S","S(봄)",IF(MID($D320,5,1)="M","M(여름)",IF(MID($D320,5,1)="X","X(사계절)",MID($D320,5,1)))))</f>
        <v/>
      </c>
      <c r="H320" s="20" t="inlineStr">
        <is>
          <t>완사입</t>
        </is>
      </c>
      <c r="I320" s="19" t="inlineStr">
        <is>
          <t>2차</t>
        </is>
      </c>
      <c r="J320" s="21" t="inlineStr">
        <is>
          <t>4월2주</t>
        </is>
      </c>
      <c r="K320" s="22">
        <f>IF($J320="","",IFERROR(DATE(IF(VALUE(LEFT($J320,FIND("월",$J320)-1))&gt;=9,기준정보!$C$7-1,기준정보!$C$7),VALUE(LEFT($J320,FIND("월",$J320)-1)),1+7*(VALUE(SUBSTITUTE(MID($J320,FIND("월",$J320)+1,5),"주",""))-1)),""))</f>
        <v/>
      </c>
      <c r="L320" s="22">
        <f>IF($K320="","",IF(AND($K320-기준정보!$C$5&gt;=기준정보!$C$10,$K320-기준정보!$C$5&lt;=기준정보!$C$11),기준정보!$C$10-1,$K320-기준정보!$C$5))</f>
        <v/>
      </c>
      <c r="M320" s="23">
        <f>IF($L320="","",IF(OR(ISNUMBER(SEARCH("중국",$W320)),ISNUMBER(SEARCH("베트남",$W320))),MAX(0,MIN($L320,기준정보!$C$9)-MAX($L320-기준정보!$C$6,기준정보!$C$8)+1),IF(ISNUMBER(SEARCH("한국",$W320)),MAX(0,MIN($L320,기준정보!$C$11)-MAX($L320-기준정보!$C$6,기준정보!$C$10)+1),0)))</f>
        <v/>
      </c>
      <c r="N320" s="22">
        <f>IF($L320="","",$L320-기준정보!$C$6-$M320)</f>
        <v/>
      </c>
      <c r="O320" s="24">
        <f>IF($N320="","",$N320-기준정보!$C$4)</f>
        <v/>
      </c>
      <c r="P320" s="21" t="n"/>
      <c r="Q320" s="21" t="inlineStr">
        <is>
          <t>X</t>
        </is>
      </c>
      <c r="R320" s="19">
        <f>IF(COUNTIF(EDW_RAW!$A$2:$A$1500,$D320)=0,"",IF(COUNTIFS(EDW_RAW!$A$2:$A$1500,$D320,EDW_RAW!$U$2:$U$1500,"&lt;&gt;~",EDW_RAW!$U$2:$U$1500,"&lt;&gt;")=COUNTIF(EDW_RAW!$A$2:$A$1500,$D320),"O",IF(COUNTIFS(EDW_RAW!$A$2:$A$1500,$D320,EDW_RAW!$U$2:$U$1500,"&lt;&gt;~",EDW_RAW!$U$2:$U$1500,"&lt;&gt;")&gt;0,"부분","X")))</f>
        <v/>
      </c>
      <c r="S320" s="25" t="n"/>
      <c r="T320" s="20">
        <f>IF($H320="","",IF(AND(ISNUMBER(SEARCH("CMT",$H320)),OR(ISNUMBER(SEARCH("완사입",$H320)),ISNUMBER(SEARCH("ODM",$H320)))),"본사/생산처 혼재",IF(ISNUMBER(SEARCH("CMT",$H320)),"본사(소재팀)","생산처")))</f>
        <v/>
      </c>
      <c r="U320" s="20" t="inlineStr">
        <is>
          <t>TBO</t>
        </is>
      </c>
      <c r="V320" s="20">
        <f>IFERROR(TEXTJOIN(" / ",TRUE,UNIQUE(FILTER(소재DB_RAW!$K$3:$K$2000,(소재DB_RAW!$G$3:$G$2000=$D320)*ISERROR(SEARCH("drop",소재DB_RAW!$C$3:$C$2000))))),"")</f>
        <v/>
      </c>
      <c r="W320" s="20" t="inlineStr">
        <is>
          <t>베트남</t>
        </is>
      </c>
      <c r="X320" s="20">
        <f>IFERROR(TEXTJOIN(" / ",TRUE,UNIQUE(FILTER(소재DB_RAW!$N$3:$N$2000,(소재DB_RAW!$G$3:$G$2000=$D320)*ISERROR(SEARCH("drop",소재DB_RAW!$C$3:$C$2000))))),"")</f>
        <v/>
      </c>
      <c r="Y320" s="26">
        <f>IFERROR(TEXTJOIN(CHAR(10),TRUE,UNIQUE(FILTER(소재DB_RAW!$N$3:$N$2000&amp;") "&amp;소재DB_RAW!$O$3:$O$2000,(소재DB_RAW!$G$3:$G$2000=$D320)*ISNUMBER(SEARCH("겉감",소재DB_RAW!$M$3:$M$2000))*ISERROR(SEARCH("drop",소재DB_RAW!$C$3:$C$2000))))),"")</f>
        <v/>
      </c>
      <c r="Z320" s="26">
        <f>IFERROR(TEXTJOIN(CHAR(10),TRUE,UNIQUE(FILTER(소재DB_RAW!$N$3:$N$2000&amp;") "&amp;소재DB_RAW!$O$3:$O$2000,(소재DB_RAW!$G$3:$G$2000=$D320)*ISNUMBER(SEARCH("안감",소재DB_RAW!$M$3:$M$2000))*ISERROR(SEARCH("drop",소재DB_RAW!$C$3:$C$2000))))),"")</f>
        <v/>
      </c>
      <c r="AA320" s="27" t="n">
        <v>0</v>
      </c>
      <c r="AB320" s="27" t="n">
        <v>14775000</v>
      </c>
      <c r="AC320" s="27" t="n">
        <v>39500000</v>
      </c>
      <c r="AD320" s="20" t="n"/>
      <c r="AE320" s="20">
        <f>IF($K320="","출고일 미정",IF($Q320="X","작지 미발행",IF($Q320="부분","작지 일부 미발행",IF(AND($S320&lt;&gt;"",$S320&gt;$N320),"소재입고 마감("&amp;TEXT($N320,"MM/DD")&amp;") 초과",IF($Q320="","발행여부 확인 필요",IF($S320="","소재 입고일정 확인 필요","정상"))))))</f>
        <v/>
      </c>
      <c r="AF320" s="19">
        <f>IF($K320="","",IF(OR(LEFT($AE320,2)="작지",LEFT($AE320,4)="소재입고"),IF(LEFT($G320,1)="S","★ 납기위험(S코드)","◆ 지연주의"),IF($AE320="정상","✓ 정상","? 확인필요")))</f>
        <v/>
      </c>
      <c r="AG320" s="21" t="n"/>
      <c r="AH320" s="28" t="n"/>
    </row>
    <row r="321">
      <c r="A321" s="19" t="n">
        <v>317</v>
      </c>
      <c r="B321" s="20" t="inlineStr">
        <is>
          <t>신인철</t>
        </is>
      </c>
      <c r="C321" s="20" t="inlineStr">
        <is>
          <t>장지은</t>
        </is>
      </c>
      <c r="D321" s="20" t="inlineStr">
        <is>
          <t>8HJJM27102</t>
        </is>
      </c>
      <c r="E321" s="20" t="inlineStr">
        <is>
          <t>[WM] 여성 메쉬 크롭 재킷</t>
        </is>
      </c>
      <c r="F321" s="20" t="inlineStr">
        <is>
          <t>PIN, BLK(BLACK)</t>
        </is>
      </c>
      <c r="G321" s="19">
        <f>IF($D321="","",IF(MID($D321,5,1)="S","S(봄)",IF(MID($D321,5,1)="M","M(여름)",IF(MID($D321,5,1)="X","X(사계절)",MID($D321,5,1)))))</f>
        <v/>
      </c>
      <c r="H321" s="20" t="inlineStr">
        <is>
          <t>완사입</t>
        </is>
      </c>
      <c r="I321" s="19" t="inlineStr">
        <is>
          <t>2차</t>
        </is>
      </c>
      <c r="J321" s="21" t="inlineStr">
        <is>
          <t>4월2주</t>
        </is>
      </c>
      <c r="K321" s="22">
        <f>IF($J321="","",IFERROR(DATE(IF(VALUE(LEFT($J321,FIND("월",$J321)-1))&gt;=9,기준정보!$C$7-1,기준정보!$C$7),VALUE(LEFT($J321,FIND("월",$J321)-1)),1+7*(VALUE(SUBSTITUTE(MID($J321,FIND("월",$J321)+1,5),"주",""))-1)),""))</f>
        <v/>
      </c>
      <c r="L321" s="22">
        <f>IF($K321="","",IF(AND($K321-기준정보!$C$5&gt;=기준정보!$C$10,$K321-기준정보!$C$5&lt;=기준정보!$C$11),기준정보!$C$10-1,$K321-기준정보!$C$5))</f>
        <v/>
      </c>
      <c r="M321" s="23">
        <f>IF($L321="","",IF(OR(ISNUMBER(SEARCH("중국",$W321)),ISNUMBER(SEARCH("베트남",$W321))),MAX(0,MIN($L321,기준정보!$C$9)-MAX($L321-기준정보!$C$6,기준정보!$C$8)+1),IF(ISNUMBER(SEARCH("한국",$W321)),MAX(0,MIN($L321,기준정보!$C$11)-MAX($L321-기준정보!$C$6,기준정보!$C$10)+1),0)))</f>
        <v/>
      </c>
      <c r="N321" s="22">
        <f>IF($L321="","",$L321-기준정보!$C$6-$M321)</f>
        <v/>
      </c>
      <c r="O321" s="24">
        <f>IF($N321="","",$N321-기준정보!$C$4)</f>
        <v/>
      </c>
      <c r="P321" s="21" t="n"/>
      <c r="Q321" s="21" t="inlineStr">
        <is>
          <t>X</t>
        </is>
      </c>
      <c r="R321" s="19">
        <f>IF(COUNTIF(EDW_RAW!$A$2:$A$1500,$D321)=0,"",IF(COUNTIFS(EDW_RAW!$A$2:$A$1500,$D321,EDW_RAW!$U$2:$U$1500,"&lt;&gt;~",EDW_RAW!$U$2:$U$1500,"&lt;&gt;")=COUNTIF(EDW_RAW!$A$2:$A$1500,$D321),"O",IF(COUNTIFS(EDW_RAW!$A$2:$A$1500,$D321,EDW_RAW!$U$2:$U$1500,"&lt;&gt;~",EDW_RAW!$U$2:$U$1500,"&lt;&gt;")&gt;0,"부분","X")))</f>
        <v/>
      </c>
      <c r="S321" s="25" t="n"/>
      <c r="T321" s="20">
        <f>IF($H321="","",IF(AND(ISNUMBER(SEARCH("CMT",$H321)),OR(ISNUMBER(SEARCH("완사입",$H321)),ISNUMBER(SEARCH("ODM",$H321)))),"본사/생산처 혼재",IF(ISNUMBER(SEARCH("CMT",$H321)),"본사(소재팀)","생산처")))</f>
        <v/>
      </c>
      <c r="U321" s="20" t="inlineStr">
        <is>
          <t>원전</t>
        </is>
      </c>
      <c r="V321" s="20">
        <f>IFERROR(TEXTJOIN(" / ",TRUE,UNIQUE(FILTER(소재DB_RAW!$K$3:$K$2000,(소재DB_RAW!$G$3:$G$2000=$D321)*ISERROR(SEARCH("drop",소재DB_RAW!$C$3:$C$2000))))),"")</f>
        <v/>
      </c>
      <c r="W321" s="20" t="inlineStr">
        <is>
          <t>베트남</t>
        </is>
      </c>
      <c r="X321" s="20">
        <f>IFERROR(TEXTJOIN(" / ",TRUE,UNIQUE(FILTER(소재DB_RAW!$N$3:$N$2000,(소재DB_RAW!$G$3:$G$2000=$D321)*ISERROR(SEARCH("drop",소재DB_RAW!$C$3:$C$2000))))),"")</f>
        <v/>
      </c>
      <c r="Y321" s="26">
        <f>IFERROR(TEXTJOIN(CHAR(10),TRUE,UNIQUE(FILTER(소재DB_RAW!$N$3:$N$2000&amp;") "&amp;소재DB_RAW!$O$3:$O$2000,(소재DB_RAW!$G$3:$G$2000=$D321)*ISNUMBER(SEARCH("겉감",소재DB_RAW!$M$3:$M$2000))*ISERROR(SEARCH("drop",소재DB_RAW!$C$3:$C$2000))))),"")</f>
        <v/>
      </c>
      <c r="Z321" s="26">
        <f>IFERROR(TEXTJOIN(CHAR(10),TRUE,UNIQUE(FILTER(소재DB_RAW!$N$3:$N$2000&amp;") "&amp;소재DB_RAW!$O$3:$O$2000,(소재DB_RAW!$G$3:$G$2000=$D321)*ISNUMBER(SEARCH("안감",소재DB_RAW!$M$3:$M$2000))*ISERROR(SEARCH("drop",소재DB_RAW!$C$3:$C$2000))))),"")</f>
        <v/>
      </c>
      <c r="AA321" s="27" t="n">
        <v>0</v>
      </c>
      <c r="AB321" s="27" t="n">
        <v>64442700</v>
      </c>
      <c r="AC321" s="27" t="n">
        <v>203000000</v>
      </c>
      <c r="AD321" s="20" t="n"/>
      <c r="AE321" s="20">
        <f>IF($K321="","출고일 미정",IF($Q321="X","작지 미발행",IF($Q321="부분","작지 일부 미발행",IF(AND($S321&lt;&gt;"",$S321&gt;$N321),"소재입고 마감("&amp;TEXT($N321,"MM/DD")&amp;") 초과",IF($Q321="","발행여부 확인 필요",IF($S321="","소재 입고일정 확인 필요","정상"))))))</f>
        <v/>
      </c>
      <c r="AF321" s="19">
        <f>IF($K321="","",IF(OR(LEFT($AE321,2)="작지",LEFT($AE321,4)="소재입고"),IF(LEFT($G321,1)="S","★ 납기위험(S코드)","◆ 지연주의"),IF($AE321="정상","✓ 정상","? 확인필요")))</f>
        <v/>
      </c>
      <c r="AG321" s="21" t="n"/>
      <c r="AH321" s="28" t="n"/>
    </row>
    <row r="322">
      <c r="A322" s="19" t="n">
        <v>318</v>
      </c>
      <c r="B322" s="20" t="inlineStr">
        <is>
          <t>신인철</t>
        </is>
      </c>
      <c r="C322" s="20" t="inlineStr">
        <is>
          <t>안세진/장지은</t>
        </is>
      </c>
      <c r="D322" s="20" t="inlineStr">
        <is>
          <t>8HPOM27102</t>
        </is>
      </c>
      <c r="E322" s="20" t="inlineStr">
        <is>
          <t>[WM] 여성 라이트 립스탑 숏츠</t>
        </is>
      </c>
      <c r="F322" s="20" t="inlineStr">
        <is>
          <t>TBU, BLK(BLACK)</t>
        </is>
      </c>
      <c r="G322" s="19">
        <f>IF($D322="","",IF(MID($D322,5,1)="S","S(봄)",IF(MID($D322,5,1)="M","M(여름)",IF(MID($D322,5,1)="X","X(사계절)",MID($D322,5,1)))))</f>
        <v/>
      </c>
      <c r="H322" s="20" t="inlineStr">
        <is>
          <t>완사입</t>
        </is>
      </c>
      <c r="I322" s="19" t="inlineStr">
        <is>
          <t>2차</t>
        </is>
      </c>
      <c r="J322" s="21" t="inlineStr">
        <is>
          <t>4월2주</t>
        </is>
      </c>
      <c r="K322" s="22">
        <f>IF($J322="","",IFERROR(DATE(IF(VALUE(LEFT($J322,FIND("월",$J322)-1))&gt;=9,기준정보!$C$7-1,기준정보!$C$7),VALUE(LEFT($J322,FIND("월",$J322)-1)),1+7*(VALUE(SUBSTITUTE(MID($J322,FIND("월",$J322)+1,5),"주",""))-1)),""))</f>
        <v/>
      </c>
      <c r="L322" s="22">
        <f>IF($K322="","",IF(AND($K322-기준정보!$C$5&gt;=기준정보!$C$10,$K322-기준정보!$C$5&lt;=기준정보!$C$11),기준정보!$C$10-1,$K322-기준정보!$C$5))</f>
        <v/>
      </c>
      <c r="M322" s="23">
        <f>IF($L322="","",IF(OR(ISNUMBER(SEARCH("중국",$W322)),ISNUMBER(SEARCH("베트남",$W322))),MAX(0,MIN($L322,기준정보!$C$9)-MAX($L322-기준정보!$C$6,기준정보!$C$8)+1),IF(ISNUMBER(SEARCH("한국",$W322)),MAX(0,MIN($L322,기준정보!$C$11)-MAX($L322-기준정보!$C$6,기준정보!$C$10)+1),0)))</f>
        <v/>
      </c>
      <c r="N322" s="22">
        <f>IF($L322="","",$L322-기준정보!$C$6-$M322)</f>
        <v/>
      </c>
      <c r="O322" s="24">
        <f>IF($N322="","",$N322-기준정보!$C$4)</f>
        <v/>
      </c>
      <c r="P322" s="21" t="n"/>
      <c r="Q322" s="21" t="inlineStr">
        <is>
          <t>X</t>
        </is>
      </c>
      <c r="R322" s="19">
        <f>IF(COUNTIF(EDW_RAW!$A$2:$A$1500,$D322)=0,"",IF(COUNTIFS(EDW_RAW!$A$2:$A$1500,$D322,EDW_RAW!$U$2:$U$1500,"&lt;&gt;~",EDW_RAW!$U$2:$U$1500,"&lt;&gt;")=COUNTIF(EDW_RAW!$A$2:$A$1500,$D322),"O",IF(COUNTIFS(EDW_RAW!$A$2:$A$1500,$D322,EDW_RAW!$U$2:$U$1500,"&lt;&gt;~",EDW_RAW!$U$2:$U$1500,"&lt;&gt;")&gt;0,"부분","X")))</f>
        <v/>
      </c>
      <c r="S322" s="25" t="n"/>
      <c r="T322" s="20">
        <f>IF($H322="","",IF(AND(ISNUMBER(SEARCH("CMT",$H322)),OR(ISNUMBER(SEARCH("완사입",$H322)),ISNUMBER(SEARCH("ODM",$H322)))),"본사/생산처 혼재",IF(ISNUMBER(SEARCH("CMT",$H322)),"본사(소재팀)","생산처")))</f>
        <v/>
      </c>
      <c r="U322" s="20" t="inlineStr">
        <is>
          <t>TBO</t>
        </is>
      </c>
      <c r="V322" s="20">
        <f>IFERROR(TEXTJOIN(" / ",TRUE,UNIQUE(FILTER(소재DB_RAW!$K$3:$K$2000,(소재DB_RAW!$G$3:$G$2000=$D322)*ISERROR(SEARCH("drop",소재DB_RAW!$C$3:$C$2000))))),"")</f>
        <v/>
      </c>
      <c r="W322" s="20" t="inlineStr">
        <is>
          <t>베트남</t>
        </is>
      </c>
      <c r="X322" s="20">
        <f>IFERROR(TEXTJOIN(" / ",TRUE,UNIQUE(FILTER(소재DB_RAW!$N$3:$N$2000,(소재DB_RAW!$G$3:$G$2000=$D322)*ISERROR(SEARCH("drop",소재DB_RAW!$C$3:$C$2000))))),"")</f>
        <v/>
      </c>
      <c r="Y322" s="26">
        <f>IFERROR(TEXTJOIN(CHAR(10),TRUE,UNIQUE(FILTER(소재DB_RAW!$N$3:$N$2000&amp;") "&amp;소재DB_RAW!$O$3:$O$2000,(소재DB_RAW!$G$3:$G$2000=$D322)*ISNUMBER(SEARCH("겉감",소재DB_RAW!$M$3:$M$2000))*ISERROR(SEARCH("drop",소재DB_RAW!$C$3:$C$2000))))),"")</f>
        <v/>
      </c>
      <c r="Z322" s="26">
        <f>IFERROR(TEXTJOIN(CHAR(10),TRUE,UNIQUE(FILTER(소재DB_RAW!$N$3:$N$2000&amp;") "&amp;소재DB_RAW!$O$3:$O$2000,(소재DB_RAW!$G$3:$G$2000=$D322)*ISNUMBER(SEARCH("안감",소재DB_RAW!$M$3:$M$2000))*ISERROR(SEARCH("drop",소재DB_RAW!$C$3:$C$2000))))),"")</f>
        <v/>
      </c>
      <c r="AA322" s="27" t="n">
        <v>0</v>
      </c>
      <c r="AB322" s="27" t="n">
        <v>14190000</v>
      </c>
      <c r="AC322" s="27" t="n">
        <v>41400000</v>
      </c>
      <c r="AD322" s="20" t="n"/>
      <c r="AE322" s="20">
        <f>IF($K322="","출고일 미정",IF($Q322="X","작지 미발행",IF($Q322="부분","작지 일부 미발행",IF(AND($S322&lt;&gt;"",$S322&gt;$N322),"소재입고 마감("&amp;TEXT($N322,"MM/DD")&amp;") 초과",IF($Q322="","발행여부 확인 필요",IF($S322="","소재 입고일정 확인 필요","정상"))))))</f>
        <v/>
      </c>
      <c r="AF322" s="19">
        <f>IF($K322="","",IF(OR(LEFT($AE322,2)="작지",LEFT($AE322,4)="소재입고"),IF(LEFT($G322,1)="S","★ 납기위험(S코드)","◆ 지연주의"),IF($AE322="정상","✓ 정상","? 확인필요")))</f>
        <v/>
      </c>
      <c r="AG322" s="21" t="n"/>
      <c r="AH322" s="28" t="n"/>
    </row>
    <row r="323">
      <c r="A323" s="19" t="n">
        <v>319</v>
      </c>
      <c r="B323" s="20" t="inlineStr">
        <is>
          <t>신인철</t>
        </is>
      </c>
      <c r="C323" s="20" t="inlineStr">
        <is>
          <t>장지은</t>
        </is>
      </c>
      <c r="D323" s="20" t="inlineStr">
        <is>
          <t>8HTCM27102</t>
        </is>
      </c>
      <c r="E323" s="20" t="inlineStr">
        <is>
          <t>[WM] 여성 프린트 반팔티</t>
        </is>
      </c>
      <c r="F323" s="20" t="inlineStr">
        <is>
          <t>OWH, PIN, BLK(BLACK)</t>
        </is>
      </c>
      <c r="G323" s="19">
        <f>IF($D323="","",IF(MID($D323,5,1)="S","S(봄)",IF(MID($D323,5,1)="M","M(여름)",IF(MID($D323,5,1)="X","X(사계절)",MID($D323,5,1)))))</f>
        <v/>
      </c>
      <c r="H323" s="20" t="inlineStr">
        <is>
          <t>완사입</t>
        </is>
      </c>
      <c r="I323" s="19" t="inlineStr">
        <is>
          <t>2차</t>
        </is>
      </c>
      <c r="J323" s="21" t="inlineStr">
        <is>
          <t>4월2주</t>
        </is>
      </c>
      <c r="K323" s="22">
        <f>IF($J323="","",IFERROR(DATE(IF(VALUE(LEFT($J323,FIND("월",$J323)-1))&gt;=9,기준정보!$C$7-1,기준정보!$C$7),VALUE(LEFT($J323,FIND("월",$J323)-1)),1+7*(VALUE(SUBSTITUTE(MID($J323,FIND("월",$J323)+1,5),"주",""))-1)),""))</f>
        <v/>
      </c>
      <c r="L323" s="22">
        <f>IF($K323="","",IF(AND($K323-기준정보!$C$5&gt;=기준정보!$C$10,$K323-기준정보!$C$5&lt;=기준정보!$C$11),기준정보!$C$10-1,$K323-기준정보!$C$5))</f>
        <v/>
      </c>
      <c r="M323" s="23">
        <f>IF($L323="","",IF(OR(ISNUMBER(SEARCH("중국",$W323)),ISNUMBER(SEARCH("베트남",$W323))),MAX(0,MIN($L323,기준정보!$C$9)-MAX($L323-기준정보!$C$6,기준정보!$C$8)+1),IF(ISNUMBER(SEARCH("한국",$W323)),MAX(0,MIN($L323,기준정보!$C$11)-MAX($L323-기준정보!$C$6,기준정보!$C$10)+1),0)))</f>
        <v/>
      </c>
      <c r="N323" s="22">
        <f>IF($L323="","",$L323-기준정보!$C$6-$M323)</f>
        <v/>
      </c>
      <c r="O323" s="24">
        <f>IF($N323="","",$N323-기준정보!$C$4)</f>
        <v/>
      </c>
      <c r="P323" s="21" t="n"/>
      <c r="Q323" s="21" t="inlineStr">
        <is>
          <t>X</t>
        </is>
      </c>
      <c r="R323" s="19">
        <f>IF(COUNTIF(EDW_RAW!$A$2:$A$1500,$D323)=0,"",IF(COUNTIFS(EDW_RAW!$A$2:$A$1500,$D323,EDW_RAW!$U$2:$U$1500,"&lt;&gt;~",EDW_RAW!$U$2:$U$1500,"&lt;&gt;")=COUNTIF(EDW_RAW!$A$2:$A$1500,$D323),"O",IF(COUNTIFS(EDW_RAW!$A$2:$A$1500,$D323,EDW_RAW!$U$2:$U$1500,"&lt;&gt;~",EDW_RAW!$U$2:$U$1500,"&lt;&gt;")&gt;0,"부분","X")))</f>
        <v/>
      </c>
      <c r="S323" s="25" t="n"/>
      <c r="T323" s="20">
        <f>IF($H323="","",IF(AND(ISNUMBER(SEARCH("CMT",$H323)),OR(ISNUMBER(SEARCH("완사입",$H323)),ISNUMBER(SEARCH("ODM",$H323)))),"본사/생산처 혼재",IF(ISNUMBER(SEARCH("CMT",$H323)),"본사(소재팀)","생산처")))</f>
        <v/>
      </c>
      <c r="U323" s="20" t="inlineStr">
        <is>
          <t>주연</t>
        </is>
      </c>
      <c r="V323" s="20">
        <f>IFERROR(TEXTJOIN(" / ",TRUE,UNIQUE(FILTER(소재DB_RAW!$K$3:$K$2000,(소재DB_RAW!$G$3:$G$2000=$D323)*ISERROR(SEARCH("drop",소재DB_RAW!$C$3:$C$2000))))),"")</f>
        <v/>
      </c>
      <c r="W323" s="20" t="inlineStr">
        <is>
          <t>중국</t>
        </is>
      </c>
      <c r="X323" s="20">
        <f>IFERROR(TEXTJOIN(" / ",TRUE,UNIQUE(FILTER(소재DB_RAW!$N$3:$N$2000,(소재DB_RAW!$G$3:$G$2000=$D323)*ISERROR(SEARCH("drop",소재DB_RAW!$C$3:$C$2000))))),"")</f>
        <v/>
      </c>
      <c r="Y323" s="26">
        <f>IFERROR(TEXTJOIN(CHAR(10),TRUE,UNIQUE(FILTER(소재DB_RAW!$N$3:$N$2000&amp;") "&amp;소재DB_RAW!$O$3:$O$2000,(소재DB_RAW!$G$3:$G$2000=$D323)*ISNUMBER(SEARCH("겉감",소재DB_RAW!$M$3:$M$2000))*ISERROR(SEARCH("drop",소재DB_RAW!$C$3:$C$2000))))),"")</f>
        <v/>
      </c>
      <c r="Z323" s="26">
        <f>IFERROR(TEXTJOIN(CHAR(10),TRUE,UNIQUE(FILTER(소재DB_RAW!$N$3:$N$2000&amp;") "&amp;소재DB_RAW!$O$3:$O$2000,(소재DB_RAW!$G$3:$G$2000=$D323)*ISNUMBER(SEARCH("안감",소재DB_RAW!$M$3:$M$2000))*ISERROR(SEARCH("drop",소재DB_RAW!$C$3:$C$2000))))),"")</f>
        <v/>
      </c>
      <c r="AA323" s="27" t="n">
        <v>0</v>
      </c>
      <c r="AB323" s="27" t="n">
        <v>11279950</v>
      </c>
      <c r="AC323" s="27" t="n">
        <v>42900000</v>
      </c>
      <c r="AD323" s="20" t="n"/>
      <c r="AE323" s="20">
        <f>IF($K323="","출고일 미정",IF($Q323="X","작지 미발행",IF($Q323="부분","작지 일부 미발행",IF(AND($S323&lt;&gt;"",$S323&gt;$N323),"소재입고 마감("&amp;TEXT($N323,"MM/DD")&amp;") 초과",IF($Q323="","발행여부 확인 필요",IF($S323="","소재 입고일정 확인 필요","정상"))))))</f>
        <v/>
      </c>
      <c r="AF323" s="19">
        <f>IF($K323="","",IF(OR(LEFT($AE323,2)="작지",LEFT($AE323,4)="소재입고"),IF(LEFT($G323,1)="S","★ 납기위험(S코드)","◆ 지연주의"),IF($AE323="정상","✓ 정상","? 확인필요")))</f>
        <v/>
      </c>
      <c r="AG323" s="21" t="n"/>
      <c r="AH323" s="28" t="n"/>
    </row>
    <row r="324">
      <c r="A324" s="19" t="n">
        <v>320</v>
      </c>
      <c r="B324" s="20" t="inlineStr">
        <is>
          <t>신인철</t>
        </is>
      </c>
      <c r="C324" s="20" t="inlineStr">
        <is>
          <t>장지은</t>
        </is>
      </c>
      <c r="D324" s="20" t="inlineStr">
        <is>
          <t>8NAAM27101</t>
        </is>
      </c>
      <c r="E324" s="20" t="inlineStr">
        <is>
          <t>[WM] 남녀공용 쿨 멀티 스카프</t>
        </is>
      </c>
      <c r="F324" s="20" t="inlineStr">
        <is>
          <t>BLK(BLACK)</t>
        </is>
      </c>
      <c r="G324" s="19">
        <f>IF($D324="","",IF(MID($D324,5,1)="S","S(봄)",IF(MID($D324,5,1)="M","M(여름)",IF(MID($D324,5,1)="X","X(사계절)",MID($D324,5,1)))))</f>
        <v/>
      </c>
      <c r="H324" s="20" t="inlineStr">
        <is>
          <t>완사입</t>
        </is>
      </c>
      <c r="I324" s="19" t="inlineStr">
        <is>
          <t>2차</t>
        </is>
      </c>
      <c r="J324" s="21" t="inlineStr">
        <is>
          <t>4월2주</t>
        </is>
      </c>
      <c r="K324" s="22">
        <f>IF($J324="","",IFERROR(DATE(IF(VALUE(LEFT($J324,FIND("월",$J324)-1))&gt;=9,기준정보!$C$7-1,기준정보!$C$7),VALUE(LEFT($J324,FIND("월",$J324)-1)),1+7*(VALUE(SUBSTITUTE(MID($J324,FIND("월",$J324)+1,5),"주",""))-1)),""))</f>
        <v/>
      </c>
      <c r="L324" s="22">
        <f>IF($K324="","",IF(AND($K324-기준정보!$C$5&gt;=기준정보!$C$10,$K324-기준정보!$C$5&lt;=기준정보!$C$11),기준정보!$C$10-1,$K324-기준정보!$C$5))</f>
        <v/>
      </c>
      <c r="M324" s="23">
        <f>IF($L324="","",IF(OR(ISNUMBER(SEARCH("중국",$W324)),ISNUMBER(SEARCH("베트남",$W324))),MAX(0,MIN($L324,기준정보!$C$9)-MAX($L324-기준정보!$C$6,기준정보!$C$8)+1),IF(ISNUMBER(SEARCH("한국",$W324)),MAX(0,MIN($L324,기준정보!$C$11)-MAX($L324-기준정보!$C$6,기준정보!$C$10)+1),0)))</f>
        <v/>
      </c>
      <c r="N324" s="22">
        <f>IF($L324="","",$L324-기준정보!$C$6-$M324)</f>
        <v/>
      </c>
      <c r="O324" s="24">
        <f>IF($N324="","",$N324-기준정보!$C$4)</f>
        <v/>
      </c>
      <c r="P324" s="21" t="n"/>
      <c r="Q324" s="21" t="inlineStr">
        <is>
          <t>X</t>
        </is>
      </c>
      <c r="R324" s="19">
        <f>IF(COUNTIF(EDW_RAW!$A$2:$A$1500,$D324)=0,"",IF(COUNTIFS(EDW_RAW!$A$2:$A$1500,$D324,EDW_RAW!$U$2:$U$1500,"&lt;&gt;~",EDW_RAW!$U$2:$U$1500,"&lt;&gt;")=COUNTIF(EDW_RAW!$A$2:$A$1500,$D324),"O",IF(COUNTIFS(EDW_RAW!$A$2:$A$1500,$D324,EDW_RAW!$U$2:$U$1500,"&lt;&gt;~",EDW_RAW!$U$2:$U$1500,"&lt;&gt;")&gt;0,"부분","X")))</f>
        <v/>
      </c>
      <c r="S324" s="25" t="n"/>
      <c r="T324" s="20">
        <f>IF($H324="","",IF(AND(ISNUMBER(SEARCH("CMT",$H324)),OR(ISNUMBER(SEARCH("완사입",$H324)),ISNUMBER(SEARCH("ODM",$H324)))),"본사/생산처 혼재",IF(ISNUMBER(SEARCH("CMT",$H324)),"본사(소재팀)","생산처")))</f>
        <v/>
      </c>
      <c r="U324" s="20" t="inlineStr">
        <is>
          <t>ING</t>
        </is>
      </c>
      <c r="V324" s="20">
        <f>IFERROR(TEXTJOIN(" / ",TRUE,UNIQUE(FILTER(소재DB_RAW!$K$3:$K$2000,(소재DB_RAW!$G$3:$G$2000=$D324)*ISERROR(SEARCH("drop",소재DB_RAW!$C$3:$C$2000))))),"")</f>
        <v/>
      </c>
      <c r="W324" s="20" t="inlineStr">
        <is>
          <t>베트남</t>
        </is>
      </c>
      <c r="X324" s="20">
        <f>IFERROR(TEXTJOIN(" / ",TRUE,UNIQUE(FILTER(소재DB_RAW!$N$3:$N$2000,(소재DB_RAW!$G$3:$G$2000=$D324)*ISERROR(SEARCH("drop",소재DB_RAW!$C$3:$C$2000))))),"")</f>
        <v/>
      </c>
      <c r="Y324" s="26">
        <f>IFERROR(TEXTJOIN(CHAR(10),TRUE,UNIQUE(FILTER(소재DB_RAW!$N$3:$N$2000&amp;") "&amp;소재DB_RAW!$O$3:$O$2000,(소재DB_RAW!$G$3:$G$2000=$D324)*ISNUMBER(SEARCH("겉감",소재DB_RAW!$M$3:$M$2000))*ISERROR(SEARCH("drop",소재DB_RAW!$C$3:$C$2000))))),"")</f>
        <v/>
      </c>
      <c r="Z324" s="26">
        <f>IFERROR(TEXTJOIN(CHAR(10),TRUE,UNIQUE(FILTER(소재DB_RAW!$N$3:$N$2000&amp;") "&amp;소재DB_RAW!$O$3:$O$2000,(소재DB_RAW!$G$3:$G$2000=$D324)*ISNUMBER(SEARCH("안감",소재DB_RAW!$M$3:$M$2000))*ISERROR(SEARCH("drop",소재DB_RAW!$C$3:$C$2000))))),"")</f>
        <v/>
      </c>
      <c r="AA324" s="27" t="n">
        <v>0</v>
      </c>
      <c r="AB324" s="27" t="n">
        <v>4264706</v>
      </c>
      <c r="AC324" s="27" t="n">
        <v>14500000</v>
      </c>
      <c r="AD324" s="20" t="n"/>
      <c r="AE324" s="20">
        <f>IF($K324="","출고일 미정",IF($Q324="X","작지 미발행",IF($Q324="부분","작지 일부 미발행",IF(AND($S324&lt;&gt;"",$S324&gt;$N324),"소재입고 마감("&amp;TEXT($N324,"MM/DD")&amp;") 초과",IF($Q324="","발행여부 확인 필요",IF($S324="","소재 입고일정 확인 필요","정상"))))))</f>
        <v/>
      </c>
      <c r="AF324" s="19">
        <f>IF($K324="","",IF(OR(LEFT($AE324,2)="작지",LEFT($AE324,4)="소재입고"),IF(LEFT($G324,1)="S","★ 납기위험(S코드)","◆ 지연주의"),IF($AE324="정상","✓ 정상","? 확인필요")))</f>
        <v/>
      </c>
      <c r="AG324" s="21" t="n"/>
      <c r="AH324" s="28" t="n"/>
    </row>
    <row r="325">
      <c r="A325" s="19" t="n">
        <v>321</v>
      </c>
      <c r="B325" s="20" t="inlineStr">
        <is>
          <t>신인철</t>
        </is>
      </c>
      <c r="C325" s="20" t="inlineStr">
        <is>
          <t>장지은</t>
        </is>
      </c>
      <c r="D325" s="20" t="inlineStr">
        <is>
          <t>8NHAM27102</t>
        </is>
      </c>
      <c r="E325" s="20" t="inlineStr">
        <is>
          <t>[WM] 남녀공용 3지 라이트 익스퍼트 장갑</t>
        </is>
      </c>
      <c r="F325" s="20" t="inlineStr">
        <is>
          <t>BLK(BLACK)</t>
        </is>
      </c>
      <c r="G325" s="19">
        <f>IF($D325="","",IF(MID($D325,5,1)="S","S(봄)",IF(MID($D325,5,1)="M","M(여름)",IF(MID($D325,5,1)="X","X(사계절)",MID($D325,5,1)))))</f>
        <v/>
      </c>
      <c r="H325" s="20" t="inlineStr">
        <is>
          <t>완사입</t>
        </is>
      </c>
      <c r="I325" s="19" t="inlineStr">
        <is>
          <t>2차</t>
        </is>
      </c>
      <c r="J325" s="21" t="inlineStr">
        <is>
          <t>4월2주</t>
        </is>
      </c>
      <c r="K325" s="22">
        <f>IF($J325="","",IFERROR(DATE(IF(VALUE(LEFT($J325,FIND("월",$J325)-1))&gt;=9,기준정보!$C$7-1,기준정보!$C$7),VALUE(LEFT($J325,FIND("월",$J325)-1)),1+7*(VALUE(SUBSTITUTE(MID($J325,FIND("월",$J325)+1,5),"주",""))-1)),""))</f>
        <v/>
      </c>
      <c r="L325" s="22">
        <f>IF($K325="","",IF(AND($K325-기준정보!$C$5&gt;=기준정보!$C$10,$K325-기준정보!$C$5&lt;=기준정보!$C$11),기준정보!$C$10-1,$K325-기준정보!$C$5))</f>
        <v/>
      </c>
      <c r="M325" s="23">
        <f>IF($L325="","",IF(OR(ISNUMBER(SEARCH("중국",$W325)),ISNUMBER(SEARCH("베트남",$W325))),MAX(0,MIN($L325,기준정보!$C$9)-MAX($L325-기준정보!$C$6,기준정보!$C$8)+1),IF(ISNUMBER(SEARCH("한국",$W325)),MAX(0,MIN($L325,기준정보!$C$11)-MAX($L325-기준정보!$C$6,기준정보!$C$10)+1),0)))</f>
        <v/>
      </c>
      <c r="N325" s="22">
        <f>IF($L325="","",$L325-기준정보!$C$6-$M325)</f>
        <v/>
      </c>
      <c r="O325" s="24">
        <f>IF($N325="","",$N325-기준정보!$C$4)</f>
        <v/>
      </c>
      <c r="P325" s="21" t="n"/>
      <c r="Q325" s="21" t="inlineStr">
        <is>
          <t>X</t>
        </is>
      </c>
      <c r="R325" s="19">
        <f>IF(COUNTIF(EDW_RAW!$A$2:$A$1500,$D325)=0,"",IF(COUNTIFS(EDW_RAW!$A$2:$A$1500,$D325,EDW_RAW!$U$2:$U$1500,"&lt;&gt;~",EDW_RAW!$U$2:$U$1500,"&lt;&gt;")=COUNTIF(EDW_RAW!$A$2:$A$1500,$D325),"O",IF(COUNTIFS(EDW_RAW!$A$2:$A$1500,$D325,EDW_RAW!$U$2:$U$1500,"&lt;&gt;~",EDW_RAW!$U$2:$U$1500,"&lt;&gt;")&gt;0,"부분","X")))</f>
        <v/>
      </c>
      <c r="S325" s="25" t="n"/>
      <c r="T325" s="20">
        <f>IF($H325="","",IF(AND(ISNUMBER(SEARCH("CMT",$H325)),OR(ISNUMBER(SEARCH("완사입",$H325)),ISNUMBER(SEARCH("ODM",$H325)))),"본사/생산처 혼재",IF(ISNUMBER(SEARCH("CMT",$H325)),"본사(소재팀)","생산처")))</f>
        <v/>
      </c>
      <c r="U325" s="20" t="inlineStr">
        <is>
          <t>시즈</t>
        </is>
      </c>
      <c r="V325" s="20">
        <f>IFERROR(TEXTJOIN(" / ",TRUE,UNIQUE(FILTER(소재DB_RAW!$K$3:$K$2000,(소재DB_RAW!$G$3:$G$2000=$D325)*ISERROR(SEARCH("drop",소재DB_RAW!$C$3:$C$2000))))),"")</f>
        <v/>
      </c>
      <c r="W325" s="20" t="inlineStr">
        <is>
          <t>베트남</t>
        </is>
      </c>
      <c r="X325" s="20">
        <f>IFERROR(TEXTJOIN(" / ",TRUE,UNIQUE(FILTER(소재DB_RAW!$N$3:$N$2000,(소재DB_RAW!$G$3:$G$2000=$D325)*ISERROR(SEARCH("drop",소재DB_RAW!$C$3:$C$2000))))),"")</f>
        <v/>
      </c>
      <c r="Y325" s="26">
        <f>IFERROR(TEXTJOIN(CHAR(10),TRUE,UNIQUE(FILTER(소재DB_RAW!$N$3:$N$2000&amp;") "&amp;소재DB_RAW!$O$3:$O$2000,(소재DB_RAW!$G$3:$G$2000=$D325)*ISNUMBER(SEARCH("겉감",소재DB_RAW!$M$3:$M$2000))*ISERROR(SEARCH("drop",소재DB_RAW!$C$3:$C$2000))))),"")</f>
        <v/>
      </c>
      <c r="Z325" s="26">
        <f>IFERROR(TEXTJOIN(CHAR(10),TRUE,UNIQUE(FILTER(소재DB_RAW!$N$3:$N$2000&amp;") "&amp;소재DB_RAW!$O$3:$O$2000,(소재DB_RAW!$G$3:$G$2000=$D325)*ISNUMBER(SEARCH("안감",소재DB_RAW!$M$3:$M$2000))*ISERROR(SEARCH("drop",소재DB_RAW!$C$3:$C$2000))))),"")</f>
        <v/>
      </c>
      <c r="AA325" s="27" t="n">
        <v>0</v>
      </c>
      <c r="AB325" s="27" t="n">
        <v>3411765</v>
      </c>
      <c r="AC325" s="27" t="n">
        <v>11600000</v>
      </c>
      <c r="AD325" s="20" t="n"/>
      <c r="AE325" s="20">
        <f>IF($K325="","출고일 미정",IF($Q325="X","작지 미발행",IF($Q325="부분","작지 일부 미발행",IF(AND($S325&lt;&gt;"",$S325&gt;$N325),"소재입고 마감("&amp;TEXT($N325,"MM/DD")&amp;") 초과",IF($Q325="","발행여부 확인 필요",IF($S325="","소재 입고일정 확인 필요","정상"))))))</f>
        <v/>
      </c>
      <c r="AF325" s="19">
        <f>IF($K325="","",IF(OR(LEFT($AE325,2)="작지",LEFT($AE325,4)="소재입고"),IF(LEFT($G325,1)="S","★ 납기위험(S코드)","◆ 지연주의"),IF($AE325="정상","✓ 정상","? 확인필요")))</f>
        <v/>
      </c>
      <c r="AG325" s="21" t="n"/>
      <c r="AH325" s="28" t="n"/>
    </row>
    <row r="326">
      <c r="A326" s="19" t="n">
        <v>322</v>
      </c>
      <c r="B326" s="20" t="inlineStr">
        <is>
          <t>신인철</t>
        </is>
      </c>
      <c r="C326" s="20" t="inlineStr">
        <is>
          <t>장지은</t>
        </is>
      </c>
      <c r="D326" s="20" t="inlineStr">
        <is>
          <t>8NHEM27101</t>
        </is>
      </c>
      <c r="E326" s="20" t="inlineStr">
        <is>
          <t>[WM] 남녀공용 UV 피싱 암슬리브</t>
        </is>
      </c>
      <c r="F326" s="20" t="inlineStr">
        <is>
          <t>OWH, BLK(BLACK)</t>
        </is>
      </c>
      <c r="G326" s="19">
        <f>IF($D326="","",IF(MID($D326,5,1)="S","S(봄)",IF(MID($D326,5,1)="M","M(여름)",IF(MID($D326,5,1)="X","X(사계절)",MID($D326,5,1)))))</f>
        <v/>
      </c>
      <c r="H326" s="20" t="inlineStr">
        <is>
          <t>완사입</t>
        </is>
      </c>
      <c r="I326" s="19" t="inlineStr">
        <is>
          <t>2차</t>
        </is>
      </c>
      <c r="J326" s="21" t="inlineStr">
        <is>
          <t>4월2주</t>
        </is>
      </c>
      <c r="K326" s="22">
        <f>IF($J326="","",IFERROR(DATE(IF(VALUE(LEFT($J326,FIND("월",$J326)-1))&gt;=9,기준정보!$C$7-1,기준정보!$C$7),VALUE(LEFT($J326,FIND("월",$J326)-1)),1+7*(VALUE(SUBSTITUTE(MID($J326,FIND("월",$J326)+1,5),"주",""))-1)),""))</f>
        <v/>
      </c>
      <c r="L326" s="22">
        <f>IF($K326="","",IF(AND($K326-기준정보!$C$5&gt;=기준정보!$C$10,$K326-기준정보!$C$5&lt;=기준정보!$C$11),기준정보!$C$10-1,$K326-기준정보!$C$5))</f>
        <v/>
      </c>
      <c r="M326" s="23">
        <f>IF($L326="","",IF(OR(ISNUMBER(SEARCH("중국",$W326)),ISNUMBER(SEARCH("베트남",$W326))),MAX(0,MIN($L326,기준정보!$C$9)-MAX($L326-기준정보!$C$6,기준정보!$C$8)+1),IF(ISNUMBER(SEARCH("한국",$W326)),MAX(0,MIN($L326,기준정보!$C$11)-MAX($L326-기준정보!$C$6,기준정보!$C$10)+1),0)))</f>
        <v/>
      </c>
      <c r="N326" s="22">
        <f>IF($L326="","",$L326-기준정보!$C$6-$M326)</f>
        <v/>
      </c>
      <c r="O326" s="24">
        <f>IF($N326="","",$N326-기준정보!$C$4)</f>
        <v/>
      </c>
      <c r="P326" s="21" t="n"/>
      <c r="Q326" s="21" t="inlineStr">
        <is>
          <t>X</t>
        </is>
      </c>
      <c r="R326" s="19">
        <f>IF(COUNTIF(EDW_RAW!$A$2:$A$1500,$D326)=0,"",IF(COUNTIFS(EDW_RAW!$A$2:$A$1500,$D326,EDW_RAW!$U$2:$U$1500,"&lt;&gt;~",EDW_RAW!$U$2:$U$1500,"&lt;&gt;")=COUNTIF(EDW_RAW!$A$2:$A$1500,$D326),"O",IF(COUNTIFS(EDW_RAW!$A$2:$A$1500,$D326,EDW_RAW!$U$2:$U$1500,"&lt;&gt;~",EDW_RAW!$U$2:$U$1500,"&lt;&gt;")&gt;0,"부분","X")))</f>
        <v/>
      </c>
      <c r="S326" s="25" t="n"/>
      <c r="T326" s="20">
        <f>IF($H326="","",IF(AND(ISNUMBER(SEARCH("CMT",$H326)),OR(ISNUMBER(SEARCH("완사입",$H326)),ISNUMBER(SEARCH("ODM",$H326)))),"본사/생산처 혼재",IF(ISNUMBER(SEARCH("CMT",$H326)),"본사(소재팀)","생산처")))</f>
        <v/>
      </c>
      <c r="U326" s="20" t="inlineStr">
        <is>
          <t>시즈</t>
        </is>
      </c>
      <c r="V326" s="20">
        <f>IFERROR(TEXTJOIN(" / ",TRUE,UNIQUE(FILTER(소재DB_RAW!$K$3:$K$2000,(소재DB_RAW!$G$3:$G$2000=$D326)*ISERROR(SEARCH("drop",소재DB_RAW!$C$3:$C$2000))))),"")</f>
        <v/>
      </c>
      <c r="W326" s="20" t="inlineStr">
        <is>
          <t>베트남</t>
        </is>
      </c>
      <c r="X326" s="20">
        <f>IFERROR(TEXTJOIN(" / ",TRUE,UNIQUE(FILTER(소재DB_RAW!$N$3:$N$2000,(소재DB_RAW!$G$3:$G$2000=$D326)*ISERROR(SEARCH("drop",소재DB_RAW!$C$3:$C$2000))))),"")</f>
        <v/>
      </c>
      <c r="Y326" s="26">
        <f>IFERROR(TEXTJOIN(CHAR(10),TRUE,UNIQUE(FILTER(소재DB_RAW!$N$3:$N$2000&amp;") "&amp;소재DB_RAW!$O$3:$O$2000,(소재DB_RAW!$G$3:$G$2000=$D326)*ISNUMBER(SEARCH("겉감",소재DB_RAW!$M$3:$M$2000))*ISERROR(SEARCH("drop",소재DB_RAW!$C$3:$C$2000))))),"")</f>
        <v/>
      </c>
      <c r="Z326" s="26">
        <f>IFERROR(TEXTJOIN(CHAR(10),TRUE,UNIQUE(FILTER(소재DB_RAW!$N$3:$N$2000&amp;") "&amp;소재DB_RAW!$O$3:$O$2000,(소재DB_RAW!$G$3:$G$2000=$D326)*ISNUMBER(SEARCH("안감",소재DB_RAW!$M$3:$M$2000))*ISERROR(SEARCH("drop",소재DB_RAW!$C$3:$C$2000))))),"")</f>
        <v/>
      </c>
      <c r="AA326" s="27" t="n">
        <v>0</v>
      </c>
      <c r="AB326" s="27" t="n">
        <v>3752941</v>
      </c>
      <c r="AC326" s="27" t="n">
        <v>12760000</v>
      </c>
      <c r="AD326" s="20" t="n"/>
      <c r="AE326" s="20">
        <f>IF($K326="","출고일 미정",IF($Q326="X","작지 미발행",IF($Q326="부분","작지 일부 미발행",IF(AND($S326&lt;&gt;"",$S326&gt;$N326),"소재입고 마감("&amp;TEXT($N326,"MM/DD")&amp;") 초과",IF($Q326="","발행여부 확인 필요",IF($S326="","소재 입고일정 확인 필요","정상"))))))</f>
        <v/>
      </c>
      <c r="AF326" s="19">
        <f>IF($K326="","",IF(OR(LEFT($AE326,2)="작지",LEFT($AE326,4)="소재입고"),IF(LEFT($G326,1)="S","★ 납기위험(S코드)","◆ 지연주의"),IF($AE326="정상","✓ 정상","? 확인필요")))</f>
        <v/>
      </c>
      <c r="AG326" s="21" t="n"/>
      <c r="AH326" s="28" t="n"/>
    </row>
    <row r="327">
      <c r="A327" s="19" t="n">
        <v>323</v>
      </c>
      <c r="B327" s="20" t="inlineStr">
        <is>
          <t>신인철</t>
        </is>
      </c>
      <c r="C327" s="20" t="inlineStr">
        <is>
          <t>장지은</t>
        </is>
      </c>
      <c r="D327" s="20" t="inlineStr">
        <is>
          <t>8NREM27102</t>
        </is>
      </c>
      <c r="E327" s="20" t="inlineStr">
        <is>
          <t>[WM] 남녀공용 유틸리티 메쉬 캡</t>
        </is>
      </c>
      <c r="F327" s="20" t="inlineStr">
        <is>
          <t>BLK(BLACK), LGY(L/GRAY), TNA</t>
        </is>
      </c>
      <c r="G327" s="19">
        <f>IF($D327="","",IF(MID($D327,5,1)="S","S(봄)",IF(MID($D327,5,1)="M","M(여름)",IF(MID($D327,5,1)="X","X(사계절)",MID($D327,5,1)))))</f>
        <v/>
      </c>
      <c r="H327" s="20" t="inlineStr">
        <is>
          <t>완사입</t>
        </is>
      </c>
      <c r="I327" s="19" t="inlineStr">
        <is>
          <t>2차</t>
        </is>
      </c>
      <c r="J327" s="21" t="inlineStr">
        <is>
          <t>4월2주</t>
        </is>
      </c>
      <c r="K327" s="22">
        <f>IF($J327="","",IFERROR(DATE(IF(VALUE(LEFT($J327,FIND("월",$J327)-1))&gt;=9,기준정보!$C$7-1,기준정보!$C$7),VALUE(LEFT($J327,FIND("월",$J327)-1)),1+7*(VALUE(SUBSTITUTE(MID($J327,FIND("월",$J327)+1,5),"주",""))-1)),""))</f>
        <v/>
      </c>
      <c r="L327" s="22">
        <f>IF($K327="","",IF(AND($K327-기준정보!$C$5&gt;=기준정보!$C$10,$K327-기준정보!$C$5&lt;=기준정보!$C$11),기준정보!$C$10-1,$K327-기준정보!$C$5))</f>
        <v/>
      </c>
      <c r="M327" s="23">
        <f>IF($L327="","",IF(OR(ISNUMBER(SEARCH("중국",$W327)),ISNUMBER(SEARCH("베트남",$W327))),MAX(0,MIN($L327,기준정보!$C$9)-MAX($L327-기준정보!$C$6,기준정보!$C$8)+1),IF(ISNUMBER(SEARCH("한국",$W327)),MAX(0,MIN($L327,기준정보!$C$11)-MAX($L327-기준정보!$C$6,기준정보!$C$10)+1),0)))</f>
        <v/>
      </c>
      <c r="N327" s="22">
        <f>IF($L327="","",$L327-기준정보!$C$6-$M327)</f>
        <v/>
      </c>
      <c r="O327" s="24">
        <f>IF($N327="","",$N327-기준정보!$C$4)</f>
        <v/>
      </c>
      <c r="P327" s="21" t="n"/>
      <c r="Q327" s="21" t="inlineStr">
        <is>
          <t>X</t>
        </is>
      </c>
      <c r="R327" s="19">
        <f>IF(COUNTIF(EDW_RAW!$A$2:$A$1500,$D327)=0,"",IF(COUNTIFS(EDW_RAW!$A$2:$A$1500,$D327,EDW_RAW!$U$2:$U$1500,"&lt;&gt;~",EDW_RAW!$U$2:$U$1500,"&lt;&gt;")=COUNTIF(EDW_RAW!$A$2:$A$1500,$D327),"O",IF(COUNTIFS(EDW_RAW!$A$2:$A$1500,$D327,EDW_RAW!$U$2:$U$1500,"&lt;&gt;~",EDW_RAW!$U$2:$U$1500,"&lt;&gt;")&gt;0,"부분","X")))</f>
        <v/>
      </c>
      <c r="S327" s="25" t="n"/>
      <c r="T327" s="20">
        <f>IF($H327="","",IF(AND(ISNUMBER(SEARCH("CMT",$H327)),OR(ISNUMBER(SEARCH("완사입",$H327)),ISNUMBER(SEARCH("ODM",$H327)))),"본사/생산처 혼재",IF(ISNUMBER(SEARCH("CMT",$H327)),"본사(소재팀)","생산처")))</f>
        <v/>
      </c>
      <c r="U327" s="20" t="inlineStr">
        <is>
          <t>캐비야</t>
        </is>
      </c>
      <c r="V327" s="20">
        <f>IFERROR(TEXTJOIN(" / ",TRUE,UNIQUE(FILTER(소재DB_RAW!$K$3:$K$2000,(소재DB_RAW!$G$3:$G$2000=$D327)*ISERROR(SEARCH("drop",소재DB_RAW!$C$3:$C$2000))))),"")</f>
        <v/>
      </c>
      <c r="W327" s="20" t="inlineStr">
        <is>
          <t>국내</t>
        </is>
      </c>
      <c r="X327" s="20">
        <f>IFERROR(TEXTJOIN(" / ",TRUE,UNIQUE(FILTER(소재DB_RAW!$N$3:$N$2000,(소재DB_RAW!$G$3:$G$2000=$D327)*ISERROR(SEARCH("drop",소재DB_RAW!$C$3:$C$2000))))),"")</f>
        <v/>
      </c>
      <c r="Y327" s="26">
        <f>IFERROR(TEXTJOIN(CHAR(10),TRUE,UNIQUE(FILTER(소재DB_RAW!$N$3:$N$2000&amp;") "&amp;소재DB_RAW!$O$3:$O$2000,(소재DB_RAW!$G$3:$G$2000=$D327)*ISNUMBER(SEARCH("겉감",소재DB_RAW!$M$3:$M$2000))*ISERROR(SEARCH("drop",소재DB_RAW!$C$3:$C$2000))))),"")</f>
        <v/>
      </c>
      <c r="Z327" s="26">
        <f>IFERROR(TEXTJOIN(CHAR(10),TRUE,UNIQUE(FILTER(소재DB_RAW!$N$3:$N$2000&amp;") "&amp;소재DB_RAW!$O$3:$O$2000,(소재DB_RAW!$G$3:$G$2000=$D327)*ISNUMBER(SEARCH("안감",소재DB_RAW!$M$3:$M$2000))*ISERROR(SEARCH("drop",소재DB_RAW!$C$3:$C$2000))))),"")</f>
        <v/>
      </c>
      <c r="AA327" s="27" t="n">
        <v>0</v>
      </c>
      <c r="AB327" s="27" t="n">
        <v>10000000</v>
      </c>
      <c r="AC327" s="27" t="n">
        <v>34000000</v>
      </c>
      <c r="AD327" s="20" t="n"/>
      <c r="AE327" s="20">
        <f>IF($K327="","출고일 미정",IF($Q327="X","작지 미발행",IF($Q327="부분","작지 일부 미발행",IF(AND($S327&lt;&gt;"",$S327&gt;$N327),"소재입고 마감("&amp;TEXT($N327,"MM/DD")&amp;") 초과",IF($Q327="","발행여부 확인 필요",IF($S327="","소재 입고일정 확인 필요","정상"))))))</f>
        <v/>
      </c>
      <c r="AF327" s="19">
        <f>IF($K327="","",IF(OR(LEFT($AE327,2)="작지",LEFT($AE327,4)="소재입고"),IF(LEFT($G327,1)="S","★ 납기위험(S코드)","◆ 지연주의"),IF($AE327="정상","✓ 정상","? 확인필요")))</f>
        <v/>
      </c>
      <c r="AG327" s="21" t="n"/>
      <c r="AH327" s="28" t="n"/>
    </row>
    <row r="328">
      <c r="A328" s="19" t="n">
        <v>324</v>
      </c>
      <c r="B328" s="20" t="inlineStr">
        <is>
          <t>신인철</t>
        </is>
      </c>
      <c r="C328" s="20" t="inlineStr">
        <is>
          <t>장지은</t>
        </is>
      </c>
      <c r="D328" s="20" t="inlineStr">
        <is>
          <t>8NREM27105</t>
        </is>
      </c>
      <c r="E328" s="20" t="inlineStr">
        <is>
          <t>[WM] 남녀공용 라이트 쉘 캡</t>
        </is>
      </c>
      <c r="F328" s="20" t="inlineStr">
        <is>
          <t>BLK(BLACK), LGY(L/GRAY)</t>
        </is>
      </c>
      <c r="G328" s="19">
        <f>IF($D328="","",IF(MID($D328,5,1)="S","S(봄)",IF(MID($D328,5,1)="M","M(여름)",IF(MID($D328,5,1)="X","X(사계절)",MID($D328,5,1)))))</f>
        <v/>
      </c>
      <c r="H328" s="20" t="inlineStr">
        <is>
          <t>완사입</t>
        </is>
      </c>
      <c r="I328" s="19" t="inlineStr">
        <is>
          <t>2차</t>
        </is>
      </c>
      <c r="J328" s="21" t="inlineStr">
        <is>
          <t>4월2주</t>
        </is>
      </c>
      <c r="K328" s="22">
        <f>IF($J328="","",IFERROR(DATE(IF(VALUE(LEFT($J328,FIND("월",$J328)-1))&gt;=9,기준정보!$C$7-1,기준정보!$C$7),VALUE(LEFT($J328,FIND("월",$J328)-1)),1+7*(VALUE(SUBSTITUTE(MID($J328,FIND("월",$J328)+1,5),"주",""))-1)),""))</f>
        <v/>
      </c>
      <c r="L328" s="22">
        <f>IF($K328="","",IF(AND($K328-기준정보!$C$5&gt;=기준정보!$C$10,$K328-기준정보!$C$5&lt;=기준정보!$C$11),기준정보!$C$10-1,$K328-기준정보!$C$5))</f>
        <v/>
      </c>
      <c r="M328" s="23">
        <f>IF($L328="","",IF(OR(ISNUMBER(SEARCH("중국",$W328)),ISNUMBER(SEARCH("베트남",$W328))),MAX(0,MIN($L328,기준정보!$C$9)-MAX($L328-기준정보!$C$6,기준정보!$C$8)+1),IF(ISNUMBER(SEARCH("한국",$W328)),MAX(0,MIN($L328,기준정보!$C$11)-MAX($L328-기준정보!$C$6,기준정보!$C$10)+1),0)))</f>
        <v/>
      </c>
      <c r="N328" s="22">
        <f>IF($L328="","",$L328-기준정보!$C$6-$M328)</f>
        <v/>
      </c>
      <c r="O328" s="24">
        <f>IF($N328="","",$N328-기준정보!$C$4)</f>
        <v/>
      </c>
      <c r="P328" s="21" t="n"/>
      <c r="Q328" s="21" t="inlineStr">
        <is>
          <t>X</t>
        </is>
      </c>
      <c r="R328" s="19">
        <f>IF(COUNTIF(EDW_RAW!$A$2:$A$1500,$D328)=0,"",IF(COUNTIFS(EDW_RAW!$A$2:$A$1500,$D328,EDW_RAW!$U$2:$U$1500,"&lt;&gt;~",EDW_RAW!$U$2:$U$1500,"&lt;&gt;")=COUNTIF(EDW_RAW!$A$2:$A$1500,$D328),"O",IF(COUNTIFS(EDW_RAW!$A$2:$A$1500,$D328,EDW_RAW!$U$2:$U$1500,"&lt;&gt;~",EDW_RAW!$U$2:$U$1500,"&lt;&gt;")&gt;0,"부분","X")))</f>
        <v/>
      </c>
      <c r="S328" s="25" t="n"/>
      <c r="T328" s="20">
        <f>IF($H328="","",IF(AND(ISNUMBER(SEARCH("CMT",$H328)),OR(ISNUMBER(SEARCH("완사입",$H328)),ISNUMBER(SEARCH("ODM",$H328)))),"본사/생산처 혼재",IF(ISNUMBER(SEARCH("CMT",$H328)),"본사(소재팀)","생산처")))</f>
        <v/>
      </c>
      <c r="U328" s="20" t="inlineStr">
        <is>
          <t>피앤지</t>
        </is>
      </c>
      <c r="V328" s="20">
        <f>IFERROR(TEXTJOIN(" / ",TRUE,UNIQUE(FILTER(소재DB_RAW!$K$3:$K$2000,(소재DB_RAW!$G$3:$G$2000=$D328)*ISERROR(SEARCH("drop",소재DB_RAW!$C$3:$C$2000))))),"")</f>
        <v/>
      </c>
      <c r="W328" s="20" t="inlineStr">
        <is>
          <t>베트남</t>
        </is>
      </c>
      <c r="X328" s="20">
        <f>IFERROR(TEXTJOIN(" / ",TRUE,UNIQUE(FILTER(소재DB_RAW!$N$3:$N$2000,(소재DB_RAW!$G$3:$G$2000=$D328)*ISERROR(SEARCH("drop",소재DB_RAW!$C$3:$C$2000))))),"")</f>
        <v/>
      </c>
      <c r="Y328" s="26">
        <f>IFERROR(TEXTJOIN(CHAR(10),TRUE,UNIQUE(FILTER(소재DB_RAW!$N$3:$N$2000&amp;") "&amp;소재DB_RAW!$O$3:$O$2000,(소재DB_RAW!$G$3:$G$2000=$D328)*ISNUMBER(SEARCH("겉감",소재DB_RAW!$M$3:$M$2000))*ISERROR(SEARCH("drop",소재DB_RAW!$C$3:$C$2000))))),"")</f>
        <v/>
      </c>
      <c r="Z328" s="26">
        <f>IFERROR(TEXTJOIN(CHAR(10),TRUE,UNIQUE(FILTER(소재DB_RAW!$N$3:$N$2000&amp;") "&amp;소재DB_RAW!$O$3:$O$2000,(소재DB_RAW!$G$3:$G$2000=$D328)*ISNUMBER(SEARCH("안감",소재DB_RAW!$M$3:$M$2000))*ISERROR(SEARCH("drop",소재DB_RAW!$C$3:$C$2000))))),"")</f>
        <v/>
      </c>
      <c r="AA328" s="27" t="n">
        <v>0</v>
      </c>
      <c r="AB328" s="27" t="n">
        <v>4588235</v>
      </c>
      <c r="AC328" s="27" t="n">
        <v>15600000</v>
      </c>
      <c r="AD328" s="20" t="n"/>
      <c r="AE328" s="20">
        <f>IF($K328="","출고일 미정",IF($Q328="X","작지 미발행",IF($Q328="부분","작지 일부 미발행",IF(AND($S328&lt;&gt;"",$S328&gt;$N328),"소재입고 마감("&amp;TEXT($N328,"MM/DD")&amp;") 초과",IF($Q328="","발행여부 확인 필요",IF($S328="","소재 입고일정 확인 필요","정상"))))))</f>
        <v/>
      </c>
      <c r="AF328" s="19">
        <f>IF($K328="","",IF(OR(LEFT($AE328,2)="작지",LEFT($AE328,4)="소재입고"),IF(LEFT($G328,1)="S","★ 납기위험(S코드)","◆ 지연주의"),IF($AE328="정상","✓ 정상","? 확인필요")))</f>
        <v/>
      </c>
      <c r="AG328" s="21" t="n"/>
      <c r="AH328" s="28" t="n"/>
    </row>
    <row r="329">
      <c r="A329" s="19" t="n">
        <v>325</v>
      </c>
      <c r="B329" s="20" t="inlineStr">
        <is>
          <t>신인철</t>
        </is>
      </c>
      <c r="C329" s="20" t="inlineStr">
        <is>
          <t>장지은</t>
        </is>
      </c>
      <c r="D329" s="20" t="inlineStr">
        <is>
          <t>8UJJM27101</t>
        </is>
      </c>
      <c r="E329" s="20" t="inlineStr">
        <is>
          <t>[WM] 남녀공용 다이아몬드 퓨즈 패커블 재킷</t>
        </is>
      </c>
      <c r="F329" s="20" t="inlineStr">
        <is>
          <t>LGY(L/GRAY), BLK(BLACK)</t>
        </is>
      </c>
      <c r="G329" s="19">
        <f>IF($D329="","",IF(MID($D329,5,1)="S","S(봄)",IF(MID($D329,5,1)="M","M(여름)",IF(MID($D329,5,1)="X","X(사계절)",MID($D329,5,1)))))</f>
        <v/>
      </c>
      <c r="H329" s="20" t="inlineStr">
        <is>
          <t>완사입</t>
        </is>
      </c>
      <c r="I329" s="19" t="inlineStr">
        <is>
          <t>2차</t>
        </is>
      </c>
      <c r="J329" s="21" t="inlineStr">
        <is>
          <t>4월2주</t>
        </is>
      </c>
      <c r="K329" s="22">
        <f>IF($J329="","",IFERROR(DATE(IF(VALUE(LEFT($J329,FIND("월",$J329)-1))&gt;=9,기준정보!$C$7-1,기준정보!$C$7),VALUE(LEFT($J329,FIND("월",$J329)-1)),1+7*(VALUE(SUBSTITUTE(MID($J329,FIND("월",$J329)+1,5),"주",""))-1)),""))</f>
        <v/>
      </c>
      <c r="L329" s="22">
        <f>IF($K329="","",IF(AND($K329-기준정보!$C$5&gt;=기준정보!$C$10,$K329-기준정보!$C$5&lt;=기준정보!$C$11),기준정보!$C$10-1,$K329-기준정보!$C$5))</f>
        <v/>
      </c>
      <c r="M329" s="23">
        <f>IF($L329="","",IF(OR(ISNUMBER(SEARCH("중국",$W329)),ISNUMBER(SEARCH("베트남",$W329))),MAX(0,MIN($L329,기준정보!$C$9)-MAX($L329-기준정보!$C$6,기준정보!$C$8)+1),IF(ISNUMBER(SEARCH("한국",$W329)),MAX(0,MIN($L329,기준정보!$C$11)-MAX($L329-기준정보!$C$6,기준정보!$C$10)+1),0)))</f>
        <v/>
      </c>
      <c r="N329" s="22">
        <f>IF($L329="","",$L329-기준정보!$C$6-$M329)</f>
        <v/>
      </c>
      <c r="O329" s="24">
        <f>IF($N329="","",$N329-기준정보!$C$4)</f>
        <v/>
      </c>
      <c r="P329" s="21" t="n"/>
      <c r="Q329" s="21" t="inlineStr">
        <is>
          <t>X</t>
        </is>
      </c>
      <c r="R329" s="19">
        <f>IF(COUNTIF(EDW_RAW!$A$2:$A$1500,$D329)=0,"",IF(COUNTIFS(EDW_RAW!$A$2:$A$1500,$D329,EDW_RAW!$U$2:$U$1500,"&lt;&gt;~",EDW_RAW!$U$2:$U$1500,"&lt;&gt;")=COUNTIF(EDW_RAW!$A$2:$A$1500,$D329),"O",IF(COUNTIFS(EDW_RAW!$A$2:$A$1500,$D329,EDW_RAW!$U$2:$U$1500,"&lt;&gt;~",EDW_RAW!$U$2:$U$1500,"&lt;&gt;")&gt;0,"부분","X")))</f>
        <v/>
      </c>
      <c r="S329" s="25" t="n"/>
      <c r="T329" s="20">
        <f>IF($H329="","",IF(AND(ISNUMBER(SEARCH("CMT",$H329)),OR(ISNUMBER(SEARCH("완사입",$H329)),ISNUMBER(SEARCH("ODM",$H329)))),"본사/생산처 혼재",IF(ISNUMBER(SEARCH("CMT",$H329)),"본사(소재팀)","생산처")))</f>
        <v/>
      </c>
      <c r="U329" s="20" t="inlineStr">
        <is>
          <t>아이블</t>
        </is>
      </c>
      <c r="V329" s="20">
        <f>IFERROR(TEXTJOIN(" / ",TRUE,UNIQUE(FILTER(소재DB_RAW!$K$3:$K$2000,(소재DB_RAW!$G$3:$G$2000=$D329)*ISERROR(SEARCH("drop",소재DB_RAW!$C$3:$C$2000))))),"")</f>
        <v/>
      </c>
      <c r="W329" s="20" t="inlineStr">
        <is>
          <t>베트남</t>
        </is>
      </c>
      <c r="X329" s="20">
        <f>IFERROR(TEXTJOIN(" / ",TRUE,UNIQUE(FILTER(소재DB_RAW!$N$3:$N$2000,(소재DB_RAW!$G$3:$G$2000=$D329)*ISERROR(SEARCH("drop",소재DB_RAW!$C$3:$C$2000))))),"")</f>
        <v/>
      </c>
      <c r="Y329" s="26">
        <f>IFERROR(TEXTJOIN(CHAR(10),TRUE,UNIQUE(FILTER(소재DB_RAW!$N$3:$N$2000&amp;") "&amp;소재DB_RAW!$O$3:$O$2000,(소재DB_RAW!$G$3:$G$2000=$D329)*ISNUMBER(SEARCH("겉감",소재DB_RAW!$M$3:$M$2000))*ISERROR(SEARCH("drop",소재DB_RAW!$C$3:$C$2000))))),"")</f>
        <v/>
      </c>
      <c r="Z329" s="26">
        <f>IFERROR(TEXTJOIN(CHAR(10),TRUE,UNIQUE(FILTER(소재DB_RAW!$N$3:$N$2000&amp;") "&amp;소재DB_RAW!$O$3:$O$2000,(소재DB_RAW!$G$3:$G$2000=$D329)*ISNUMBER(SEARCH("안감",소재DB_RAW!$M$3:$M$2000))*ISERROR(SEARCH("drop",소재DB_RAW!$C$3:$C$2000))))),"")</f>
        <v/>
      </c>
      <c r="AA329" s="27" t="n">
        <v>0</v>
      </c>
      <c r="AB329" s="27" t="n">
        <v>43884050</v>
      </c>
      <c r="AC329" s="27" t="n">
        <v>98000000</v>
      </c>
      <c r="AD329" s="20" t="n"/>
      <c r="AE329" s="20">
        <f>IF($K329="","출고일 미정",IF($Q329="X","작지 미발행",IF($Q329="부분","작지 일부 미발행",IF(AND($S329&lt;&gt;"",$S329&gt;$N329),"소재입고 마감("&amp;TEXT($N329,"MM/DD")&amp;") 초과",IF($Q329="","발행여부 확인 필요",IF($S329="","소재 입고일정 확인 필요","정상"))))))</f>
        <v/>
      </c>
      <c r="AF329" s="19">
        <f>IF($K329="","",IF(OR(LEFT($AE329,2)="작지",LEFT($AE329,4)="소재입고"),IF(LEFT($G329,1)="S","★ 납기위험(S코드)","◆ 지연주의"),IF($AE329="정상","✓ 정상","? 확인필요")))</f>
        <v/>
      </c>
      <c r="AG329" s="21" t="n"/>
      <c r="AH329" s="28" t="n"/>
    </row>
    <row r="330">
      <c r="A330" s="19" t="n">
        <v>326</v>
      </c>
      <c r="B330" s="20" t="inlineStr">
        <is>
          <t>신인철</t>
        </is>
      </c>
      <c r="C330" s="20" t="inlineStr">
        <is>
          <t>안세진</t>
        </is>
      </c>
      <c r="D330" s="20" t="inlineStr">
        <is>
          <t>8UPNM27101</t>
        </is>
      </c>
      <c r="E330" s="20" t="inlineStr">
        <is>
          <t>[WM] 남녀공용 우븐 벤틸레이션 팬츠</t>
        </is>
      </c>
      <c r="F330" s="20" t="inlineStr">
        <is>
          <t>TNA, BLK(BLACK)</t>
        </is>
      </c>
      <c r="G330" s="19">
        <f>IF($D330="","",IF(MID($D330,5,1)="S","S(봄)",IF(MID($D330,5,1)="M","M(여름)",IF(MID($D330,5,1)="X","X(사계절)",MID($D330,5,1)))))</f>
        <v/>
      </c>
      <c r="H330" s="20" t="inlineStr">
        <is>
          <t>완사입</t>
        </is>
      </c>
      <c r="I330" s="19" t="inlineStr">
        <is>
          <t>2차</t>
        </is>
      </c>
      <c r="J330" s="21" t="inlineStr">
        <is>
          <t>4월2주</t>
        </is>
      </c>
      <c r="K330" s="22">
        <f>IF($J330="","",IFERROR(DATE(IF(VALUE(LEFT($J330,FIND("월",$J330)-1))&gt;=9,기준정보!$C$7-1,기준정보!$C$7),VALUE(LEFT($J330,FIND("월",$J330)-1)),1+7*(VALUE(SUBSTITUTE(MID($J330,FIND("월",$J330)+1,5),"주",""))-1)),""))</f>
        <v/>
      </c>
      <c r="L330" s="22">
        <f>IF($K330="","",IF(AND($K330-기준정보!$C$5&gt;=기준정보!$C$10,$K330-기준정보!$C$5&lt;=기준정보!$C$11),기준정보!$C$10-1,$K330-기준정보!$C$5))</f>
        <v/>
      </c>
      <c r="M330" s="23">
        <f>IF($L330="","",IF(OR(ISNUMBER(SEARCH("중국",$W330)),ISNUMBER(SEARCH("베트남",$W330))),MAX(0,MIN($L330,기준정보!$C$9)-MAX($L330-기준정보!$C$6,기준정보!$C$8)+1),IF(ISNUMBER(SEARCH("한국",$W330)),MAX(0,MIN($L330,기준정보!$C$11)-MAX($L330-기준정보!$C$6,기준정보!$C$10)+1),0)))</f>
        <v/>
      </c>
      <c r="N330" s="22">
        <f>IF($L330="","",$L330-기준정보!$C$6-$M330)</f>
        <v/>
      </c>
      <c r="O330" s="24">
        <f>IF($N330="","",$N330-기준정보!$C$4)</f>
        <v/>
      </c>
      <c r="P330" s="21" t="n"/>
      <c r="Q330" s="21" t="inlineStr">
        <is>
          <t>X</t>
        </is>
      </c>
      <c r="R330" s="19">
        <f>IF(COUNTIF(EDW_RAW!$A$2:$A$1500,$D330)=0,"",IF(COUNTIFS(EDW_RAW!$A$2:$A$1500,$D330,EDW_RAW!$U$2:$U$1500,"&lt;&gt;~",EDW_RAW!$U$2:$U$1500,"&lt;&gt;")=COUNTIF(EDW_RAW!$A$2:$A$1500,$D330),"O",IF(COUNTIFS(EDW_RAW!$A$2:$A$1500,$D330,EDW_RAW!$U$2:$U$1500,"&lt;&gt;~",EDW_RAW!$U$2:$U$1500,"&lt;&gt;")&gt;0,"부분","X")))</f>
        <v/>
      </c>
      <c r="S330" s="25" t="n"/>
      <c r="T330" s="20">
        <f>IF($H330="","",IF(AND(ISNUMBER(SEARCH("CMT",$H330)),OR(ISNUMBER(SEARCH("완사입",$H330)),ISNUMBER(SEARCH("ODM",$H330)))),"본사/생산처 혼재",IF(ISNUMBER(SEARCH("CMT",$H330)),"본사(소재팀)","생산처")))</f>
        <v/>
      </c>
      <c r="U330" s="20" t="inlineStr">
        <is>
          <t>YIC</t>
        </is>
      </c>
      <c r="V330" s="20">
        <f>IFERROR(TEXTJOIN(" / ",TRUE,UNIQUE(FILTER(소재DB_RAW!$K$3:$K$2000,(소재DB_RAW!$G$3:$G$2000=$D330)*ISERROR(SEARCH("drop",소재DB_RAW!$C$3:$C$2000))))),"")</f>
        <v/>
      </c>
      <c r="W330" s="20" t="inlineStr">
        <is>
          <t>베트남</t>
        </is>
      </c>
      <c r="X330" s="20">
        <f>IFERROR(TEXTJOIN(" / ",TRUE,UNIQUE(FILTER(소재DB_RAW!$N$3:$N$2000,(소재DB_RAW!$G$3:$G$2000=$D330)*ISERROR(SEARCH("drop",소재DB_RAW!$C$3:$C$2000))))),"")</f>
        <v/>
      </c>
      <c r="Y330" s="26">
        <f>IFERROR(TEXTJOIN(CHAR(10),TRUE,UNIQUE(FILTER(소재DB_RAW!$N$3:$N$2000&amp;") "&amp;소재DB_RAW!$O$3:$O$2000,(소재DB_RAW!$G$3:$G$2000=$D330)*ISNUMBER(SEARCH("겉감",소재DB_RAW!$M$3:$M$2000))*ISERROR(SEARCH("drop",소재DB_RAW!$C$3:$C$2000))))),"")</f>
        <v/>
      </c>
      <c r="Z330" s="26">
        <f>IFERROR(TEXTJOIN(CHAR(10),TRUE,UNIQUE(FILTER(소재DB_RAW!$N$3:$N$2000&amp;") "&amp;소재DB_RAW!$O$3:$O$2000,(소재DB_RAW!$G$3:$G$2000=$D330)*ISNUMBER(SEARCH("안감",소재DB_RAW!$M$3:$M$2000))*ISERROR(SEARCH("drop",소재DB_RAW!$C$3:$C$2000))))),"")</f>
        <v/>
      </c>
      <c r="AA330" s="27" t="n">
        <v>0</v>
      </c>
      <c r="AB330" s="27" t="n">
        <v>19950000</v>
      </c>
      <c r="AC330" s="27" t="n">
        <v>57500000</v>
      </c>
      <c r="AD330" s="20" t="n"/>
      <c r="AE330" s="20">
        <f>IF($K330="","출고일 미정",IF($Q330="X","작지 미발행",IF($Q330="부분","작지 일부 미발행",IF(AND($S330&lt;&gt;"",$S330&gt;$N330),"소재입고 마감("&amp;TEXT($N330,"MM/DD")&amp;") 초과",IF($Q330="","발행여부 확인 필요",IF($S330="","소재 입고일정 확인 필요","정상"))))))</f>
        <v/>
      </c>
      <c r="AF330" s="19">
        <f>IF($K330="","",IF(OR(LEFT($AE330,2)="작지",LEFT($AE330,4)="소재입고"),IF(LEFT($G330,1)="S","★ 납기위험(S코드)","◆ 지연주의"),IF($AE330="정상","✓ 정상","? 확인필요")))</f>
        <v/>
      </c>
      <c r="AG330" s="21" t="n"/>
      <c r="AH330" s="28" t="n"/>
    </row>
    <row r="331">
      <c r="A331" s="19" t="n">
        <v>327</v>
      </c>
      <c r="B331" s="20" t="inlineStr">
        <is>
          <t>신인철</t>
        </is>
      </c>
      <c r="C331" s="20" t="inlineStr">
        <is>
          <t>안세진</t>
        </is>
      </c>
      <c r="D331" s="20" t="inlineStr">
        <is>
          <t>8UPOM27101</t>
        </is>
      </c>
      <c r="E331" s="20" t="inlineStr">
        <is>
          <t>[WM] 남녀공용 익스퍼트 라이트 숏츠</t>
        </is>
      </c>
      <c r="F331" s="20" t="inlineStr">
        <is>
          <t>TNA, BLK(BLACK)</t>
        </is>
      </c>
      <c r="G331" s="19">
        <f>IF($D331="","",IF(MID($D331,5,1)="S","S(봄)",IF(MID($D331,5,1)="M","M(여름)",IF(MID($D331,5,1)="X","X(사계절)",MID($D331,5,1)))))</f>
        <v/>
      </c>
      <c r="H331" s="20" t="inlineStr">
        <is>
          <t>완사입</t>
        </is>
      </c>
      <c r="I331" s="19" t="inlineStr">
        <is>
          <t>2차</t>
        </is>
      </c>
      <c r="J331" s="21" t="inlineStr">
        <is>
          <t>4월2주</t>
        </is>
      </c>
      <c r="K331" s="22">
        <f>IF($J331="","",IFERROR(DATE(IF(VALUE(LEFT($J331,FIND("월",$J331)-1))&gt;=9,기준정보!$C$7-1,기준정보!$C$7),VALUE(LEFT($J331,FIND("월",$J331)-1)),1+7*(VALUE(SUBSTITUTE(MID($J331,FIND("월",$J331)+1,5),"주",""))-1)),""))</f>
        <v/>
      </c>
      <c r="L331" s="22">
        <f>IF($K331="","",IF(AND($K331-기준정보!$C$5&gt;=기준정보!$C$10,$K331-기준정보!$C$5&lt;=기준정보!$C$11),기준정보!$C$10-1,$K331-기준정보!$C$5))</f>
        <v/>
      </c>
      <c r="M331" s="23">
        <f>IF($L331="","",IF(OR(ISNUMBER(SEARCH("중국",$W331)),ISNUMBER(SEARCH("베트남",$W331))),MAX(0,MIN($L331,기준정보!$C$9)-MAX($L331-기준정보!$C$6,기준정보!$C$8)+1),IF(ISNUMBER(SEARCH("한국",$W331)),MAX(0,MIN($L331,기준정보!$C$11)-MAX($L331-기준정보!$C$6,기준정보!$C$10)+1),0)))</f>
        <v/>
      </c>
      <c r="N331" s="22">
        <f>IF($L331="","",$L331-기준정보!$C$6-$M331)</f>
        <v/>
      </c>
      <c r="O331" s="24">
        <f>IF($N331="","",$N331-기준정보!$C$4)</f>
        <v/>
      </c>
      <c r="P331" s="21" t="n"/>
      <c r="Q331" s="21" t="inlineStr">
        <is>
          <t>X</t>
        </is>
      </c>
      <c r="R331" s="19">
        <f>IF(COUNTIF(EDW_RAW!$A$2:$A$1500,$D331)=0,"",IF(COUNTIFS(EDW_RAW!$A$2:$A$1500,$D331,EDW_RAW!$U$2:$U$1500,"&lt;&gt;~",EDW_RAW!$U$2:$U$1500,"&lt;&gt;")=COUNTIF(EDW_RAW!$A$2:$A$1500,$D331),"O",IF(COUNTIFS(EDW_RAW!$A$2:$A$1500,$D331,EDW_RAW!$U$2:$U$1500,"&lt;&gt;~",EDW_RAW!$U$2:$U$1500,"&lt;&gt;")&gt;0,"부분","X")))</f>
        <v/>
      </c>
      <c r="S331" s="25" t="n"/>
      <c r="T331" s="20">
        <f>IF($H331="","",IF(AND(ISNUMBER(SEARCH("CMT",$H331)),OR(ISNUMBER(SEARCH("완사입",$H331)),ISNUMBER(SEARCH("ODM",$H331)))),"본사/생산처 혼재",IF(ISNUMBER(SEARCH("CMT",$H331)),"본사(소재팀)","생산처")))</f>
        <v/>
      </c>
      <c r="U331" s="20" t="inlineStr">
        <is>
          <t>YIC</t>
        </is>
      </c>
      <c r="V331" s="20">
        <f>IFERROR(TEXTJOIN(" / ",TRUE,UNIQUE(FILTER(소재DB_RAW!$K$3:$K$2000,(소재DB_RAW!$G$3:$G$2000=$D331)*ISERROR(SEARCH("drop",소재DB_RAW!$C$3:$C$2000))))),"")</f>
        <v/>
      </c>
      <c r="W331" s="20" t="inlineStr">
        <is>
          <t>베트남</t>
        </is>
      </c>
      <c r="X331" s="20">
        <f>IFERROR(TEXTJOIN(" / ",TRUE,UNIQUE(FILTER(소재DB_RAW!$N$3:$N$2000,(소재DB_RAW!$G$3:$G$2000=$D331)*ISERROR(SEARCH("drop",소재DB_RAW!$C$3:$C$2000))))),"")</f>
        <v/>
      </c>
      <c r="Y331" s="26">
        <f>IFERROR(TEXTJOIN(CHAR(10),TRUE,UNIQUE(FILTER(소재DB_RAW!$N$3:$N$2000&amp;") "&amp;소재DB_RAW!$O$3:$O$2000,(소재DB_RAW!$G$3:$G$2000=$D331)*ISNUMBER(SEARCH("겉감",소재DB_RAW!$M$3:$M$2000))*ISERROR(SEARCH("drop",소재DB_RAW!$C$3:$C$2000))))),"")</f>
        <v/>
      </c>
      <c r="Z331" s="26">
        <f>IFERROR(TEXTJOIN(CHAR(10),TRUE,UNIQUE(FILTER(소재DB_RAW!$N$3:$N$2000&amp;") "&amp;소재DB_RAW!$O$3:$O$2000,(소재DB_RAW!$G$3:$G$2000=$D331)*ISNUMBER(SEARCH("안감",소재DB_RAW!$M$3:$M$2000))*ISERROR(SEARCH("drop",소재DB_RAW!$C$3:$C$2000))))),"")</f>
        <v/>
      </c>
      <c r="AA331" s="27" t="n">
        <v>0</v>
      </c>
      <c r="AB331" s="27" t="n">
        <v>14388000</v>
      </c>
      <c r="AC331" s="27" t="n">
        <v>34760000</v>
      </c>
      <c r="AD331" s="20" t="n"/>
      <c r="AE331" s="20">
        <f>IF($K331="","출고일 미정",IF($Q331="X","작지 미발행",IF($Q331="부분","작지 일부 미발행",IF(AND($S331&lt;&gt;"",$S331&gt;$N331),"소재입고 마감("&amp;TEXT($N331,"MM/DD")&amp;") 초과",IF($Q331="","발행여부 확인 필요",IF($S331="","소재 입고일정 확인 필요","정상"))))))</f>
        <v/>
      </c>
      <c r="AF331" s="19">
        <f>IF($K331="","",IF(OR(LEFT($AE331,2)="작지",LEFT($AE331,4)="소재입고"),IF(LEFT($G331,1)="S","★ 납기위험(S코드)","◆ 지연주의"),IF($AE331="정상","✓ 정상","? 확인필요")))</f>
        <v/>
      </c>
      <c r="AG331" s="21" t="n"/>
      <c r="AH331" s="28" t="n"/>
    </row>
    <row r="332">
      <c r="A332" s="19" t="n">
        <v>328</v>
      </c>
      <c r="B332" s="20" t="inlineStr">
        <is>
          <t>신인철</t>
        </is>
      </c>
      <c r="C332" s="20" t="inlineStr">
        <is>
          <t>장지은</t>
        </is>
      </c>
      <c r="D332" s="20" t="inlineStr">
        <is>
          <t>8UPOM27102</t>
        </is>
      </c>
      <c r="E332" s="20" t="inlineStr">
        <is>
          <t>[WM] 남녀공용 메쉬 벤틸 숏츠</t>
        </is>
      </c>
      <c r="F332" s="20" t="inlineStr">
        <is>
          <t>BLK(BLACK)</t>
        </is>
      </c>
      <c r="G332" s="19">
        <f>IF($D332="","",IF(MID($D332,5,1)="S","S(봄)",IF(MID($D332,5,1)="M","M(여름)",IF(MID($D332,5,1)="X","X(사계절)",MID($D332,5,1)))))</f>
        <v/>
      </c>
      <c r="H332" s="20" t="inlineStr">
        <is>
          <t>완사입</t>
        </is>
      </c>
      <c r="I332" s="19" t="inlineStr">
        <is>
          <t>2차</t>
        </is>
      </c>
      <c r="J332" s="21" t="inlineStr">
        <is>
          <t>4월2주</t>
        </is>
      </c>
      <c r="K332" s="22">
        <f>IF($J332="","",IFERROR(DATE(IF(VALUE(LEFT($J332,FIND("월",$J332)-1))&gt;=9,기준정보!$C$7-1,기준정보!$C$7),VALUE(LEFT($J332,FIND("월",$J332)-1)),1+7*(VALUE(SUBSTITUTE(MID($J332,FIND("월",$J332)+1,5),"주",""))-1)),""))</f>
        <v/>
      </c>
      <c r="L332" s="22">
        <f>IF($K332="","",IF(AND($K332-기준정보!$C$5&gt;=기준정보!$C$10,$K332-기준정보!$C$5&lt;=기준정보!$C$11),기준정보!$C$10-1,$K332-기준정보!$C$5))</f>
        <v/>
      </c>
      <c r="M332" s="23">
        <f>IF($L332="","",IF(OR(ISNUMBER(SEARCH("중국",$W332)),ISNUMBER(SEARCH("베트남",$W332))),MAX(0,MIN($L332,기준정보!$C$9)-MAX($L332-기준정보!$C$6,기준정보!$C$8)+1),IF(ISNUMBER(SEARCH("한국",$W332)),MAX(0,MIN($L332,기준정보!$C$11)-MAX($L332-기준정보!$C$6,기준정보!$C$10)+1),0)))</f>
        <v/>
      </c>
      <c r="N332" s="22">
        <f>IF($L332="","",$L332-기준정보!$C$6-$M332)</f>
        <v/>
      </c>
      <c r="O332" s="24">
        <f>IF($N332="","",$N332-기준정보!$C$4)</f>
        <v/>
      </c>
      <c r="P332" s="21" t="n"/>
      <c r="Q332" s="21" t="inlineStr">
        <is>
          <t>X</t>
        </is>
      </c>
      <c r="R332" s="19">
        <f>IF(COUNTIF(EDW_RAW!$A$2:$A$1500,$D332)=0,"",IF(COUNTIFS(EDW_RAW!$A$2:$A$1500,$D332,EDW_RAW!$U$2:$U$1500,"&lt;&gt;~",EDW_RAW!$U$2:$U$1500,"&lt;&gt;")=COUNTIF(EDW_RAW!$A$2:$A$1500,$D332),"O",IF(COUNTIFS(EDW_RAW!$A$2:$A$1500,$D332,EDW_RAW!$U$2:$U$1500,"&lt;&gt;~",EDW_RAW!$U$2:$U$1500,"&lt;&gt;")&gt;0,"부분","X")))</f>
        <v/>
      </c>
      <c r="S332" s="25" t="n"/>
      <c r="T332" s="20">
        <f>IF($H332="","",IF(AND(ISNUMBER(SEARCH("CMT",$H332)),OR(ISNUMBER(SEARCH("완사입",$H332)),ISNUMBER(SEARCH("ODM",$H332)))),"본사/생산처 혼재",IF(ISNUMBER(SEARCH("CMT",$H332)),"본사(소재팀)","생산처")))</f>
        <v/>
      </c>
      <c r="U332" s="20" t="inlineStr">
        <is>
          <t>TBO</t>
        </is>
      </c>
      <c r="V332" s="20">
        <f>IFERROR(TEXTJOIN(" / ",TRUE,UNIQUE(FILTER(소재DB_RAW!$K$3:$K$2000,(소재DB_RAW!$G$3:$G$2000=$D332)*ISERROR(SEARCH("drop",소재DB_RAW!$C$3:$C$2000))))),"")</f>
        <v/>
      </c>
      <c r="W332" s="20" t="inlineStr">
        <is>
          <t>베트남</t>
        </is>
      </c>
      <c r="X332" s="20">
        <f>IFERROR(TEXTJOIN(" / ",TRUE,UNIQUE(FILTER(소재DB_RAW!$N$3:$N$2000,(소재DB_RAW!$G$3:$G$2000=$D332)*ISERROR(SEARCH("drop",소재DB_RAW!$C$3:$C$2000))))),"")</f>
        <v/>
      </c>
      <c r="Y332" s="26">
        <f>IFERROR(TEXTJOIN(CHAR(10),TRUE,UNIQUE(FILTER(소재DB_RAW!$N$3:$N$2000&amp;") "&amp;소재DB_RAW!$O$3:$O$2000,(소재DB_RAW!$G$3:$G$2000=$D332)*ISNUMBER(SEARCH("겉감",소재DB_RAW!$M$3:$M$2000))*ISERROR(SEARCH("drop",소재DB_RAW!$C$3:$C$2000))))),"")</f>
        <v/>
      </c>
      <c r="Z332" s="26">
        <f>IFERROR(TEXTJOIN(CHAR(10),TRUE,UNIQUE(FILTER(소재DB_RAW!$N$3:$N$2000&amp;") "&amp;소재DB_RAW!$O$3:$O$2000,(소재DB_RAW!$G$3:$G$2000=$D332)*ISNUMBER(SEARCH("안감",소재DB_RAW!$M$3:$M$2000))*ISERROR(SEARCH("drop",소재DB_RAW!$C$3:$C$2000))))),"")</f>
        <v/>
      </c>
      <c r="AA332" s="27" t="n">
        <v>0</v>
      </c>
      <c r="AB332" s="27" t="n">
        <v>8010000</v>
      </c>
      <c r="AC332" s="27" t="n">
        <v>23700000</v>
      </c>
      <c r="AD332" s="20" t="n"/>
      <c r="AE332" s="20">
        <f>IF($K332="","출고일 미정",IF($Q332="X","작지 미발행",IF($Q332="부분","작지 일부 미발행",IF(AND($S332&lt;&gt;"",$S332&gt;$N332),"소재입고 마감("&amp;TEXT($N332,"MM/DD")&amp;") 초과",IF($Q332="","발행여부 확인 필요",IF($S332="","소재 입고일정 확인 필요","정상"))))))</f>
        <v/>
      </c>
      <c r="AF332" s="19">
        <f>IF($K332="","",IF(OR(LEFT($AE332,2)="작지",LEFT($AE332,4)="소재입고"),IF(LEFT($G332,1)="S","★ 납기위험(S코드)","◆ 지연주의"),IF($AE332="정상","✓ 정상","? 확인필요")))</f>
        <v/>
      </c>
      <c r="AG332" s="21" t="n"/>
      <c r="AH332" s="28" t="n"/>
    </row>
    <row r="333">
      <c r="A333" s="19" t="n">
        <v>329</v>
      </c>
      <c r="B333" s="20" t="inlineStr">
        <is>
          <t>신인철</t>
        </is>
      </c>
      <c r="C333" s="20" t="inlineStr">
        <is>
          <t>안세진</t>
        </is>
      </c>
      <c r="D333" s="20" t="inlineStr">
        <is>
          <t>8UPOM27103</t>
        </is>
      </c>
      <c r="E333" s="20" t="inlineStr">
        <is>
          <t>[WM] 남녀공용 피싱 카고 숏츠</t>
        </is>
      </c>
      <c r="F333" s="20" t="inlineStr">
        <is>
          <t>BLK(BLACK), KHA(KHAKI)</t>
        </is>
      </c>
      <c r="G333" s="19">
        <f>IF($D333="","",IF(MID($D333,5,1)="S","S(봄)",IF(MID($D333,5,1)="M","M(여름)",IF(MID($D333,5,1)="X","X(사계절)",MID($D333,5,1)))))</f>
        <v/>
      </c>
      <c r="H333" s="20" t="inlineStr">
        <is>
          <t>완사입</t>
        </is>
      </c>
      <c r="I333" s="19" t="inlineStr">
        <is>
          <t>2차</t>
        </is>
      </c>
      <c r="J333" s="21" t="inlineStr">
        <is>
          <t>4월2주</t>
        </is>
      </c>
      <c r="K333" s="22">
        <f>IF($J333="","",IFERROR(DATE(IF(VALUE(LEFT($J333,FIND("월",$J333)-1))&gt;=9,기준정보!$C$7-1,기준정보!$C$7),VALUE(LEFT($J333,FIND("월",$J333)-1)),1+7*(VALUE(SUBSTITUTE(MID($J333,FIND("월",$J333)+1,5),"주",""))-1)),""))</f>
        <v/>
      </c>
      <c r="L333" s="22">
        <f>IF($K333="","",IF(AND($K333-기준정보!$C$5&gt;=기준정보!$C$10,$K333-기준정보!$C$5&lt;=기준정보!$C$11),기준정보!$C$10-1,$K333-기준정보!$C$5))</f>
        <v/>
      </c>
      <c r="M333" s="23">
        <f>IF($L333="","",IF(OR(ISNUMBER(SEARCH("중국",$W333)),ISNUMBER(SEARCH("베트남",$W333))),MAX(0,MIN($L333,기준정보!$C$9)-MAX($L333-기준정보!$C$6,기준정보!$C$8)+1),IF(ISNUMBER(SEARCH("한국",$W333)),MAX(0,MIN($L333,기준정보!$C$11)-MAX($L333-기준정보!$C$6,기준정보!$C$10)+1),0)))</f>
        <v/>
      </c>
      <c r="N333" s="22">
        <f>IF($L333="","",$L333-기준정보!$C$6-$M333)</f>
        <v/>
      </c>
      <c r="O333" s="24">
        <f>IF($N333="","",$N333-기준정보!$C$4)</f>
        <v/>
      </c>
      <c r="P333" s="21" t="n"/>
      <c r="Q333" s="21" t="inlineStr">
        <is>
          <t>X</t>
        </is>
      </c>
      <c r="R333" s="19">
        <f>IF(COUNTIF(EDW_RAW!$A$2:$A$1500,$D333)=0,"",IF(COUNTIFS(EDW_RAW!$A$2:$A$1500,$D333,EDW_RAW!$U$2:$U$1500,"&lt;&gt;~",EDW_RAW!$U$2:$U$1500,"&lt;&gt;")=COUNTIF(EDW_RAW!$A$2:$A$1500,$D333),"O",IF(COUNTIFS(EDW_RAW!$A$2:$A$1500,$D333,EDW_RAW!$U$2:$U$1500,"&lt;&gt;~",EDW_RAW!$U$2:$U$1500,"&lt;&gt;")&gt;0,"부분","X")))</f>
        <v/>
      </c>
      <c r="S333" s="25" t="n"/>
      <c r="T333" s="20">
        <f>IF($H333="","",IF(AND(ISNUMBER(SEARCH("CMT",$H333)),OR(ISNUMBER(SEARCH("완사입",$H333)),ISNUMBER(SEARCH("ODM",$H333)))),"본사/생산처 혼재",IF(ISNUMBER(SEARCH("CMT",$H333)),"본사(소재팀)","생산처")))</f>
        <v/>
      </c>
      <c r="U333" s="20" t="inlineStr">
        <is>
          <t>YIC</t>
        </is>
      </c>
      <c r="V333" s="20">
        <f>IFERROR(TEXTJOIN(" / ",TRUE,UNIQUE(FILTER(소재DB_RAW!$K$3:$K$2000,(소재DB_RAW!$G$3:$G$2000=$D333)*ISERROR(SEARCH("drop",소재DB_RAW!$C$3:$C$2000))))),"")</f>
        <v/>
      </c>
      <c r="W333" s="20" t="inlineStr">
        <is>
          <t>베트남</t>
        </is>
      </c>
      <c r="X333" s="20">
        <f>IFERROR(TEXTJOIN(" / ",TRUE,UNIQUE(FILTER(소재DB_RAW!$N$3:$N$2000,(소재DB_RAW!$G$3:$G$2000=$D333)*ISERROR(SEARCH("drop",소재DB_RAW!$C$3:$C$2000))))),"")</f>
        <v/>
      </c>
      <c r="Y333" s="26">
        <f>IFERROR(TEXTJOIN(CHAR(10),TRUE,UNIQUE(FILTER(소재DB_RAW!$N$3:$N$2000&amp;") "&amp;소재DB_RAW!$O$3:$O$2000,(소재DB_RAW!$G$3:$G$2000=$D333)*ISNUMBER(SEARCH("겉감",소재DB_RAW!$M$3:$M$2000))*ISERROR(SEARCH("drop",소재DB_RAW!$C$3:$C$2000))))),"")</f>
        <v/>
      </c>
      <c r="Z333" s="26">
        <f>IFERROR(TEXTJOIN(CHAR(10),TRUE,UNIQUE(FILTER(소재DB_RAW!$N$3:$N$2000&amp;") "&amp;소재DB_RAW!$O$3:$O$2000,(소재DB_RAW!$G$3:$G$2000=$D333)*ISNUMBER(SEARCH("안감",소재DB_RAW!$M$3:$M$2000))*ISERROR(SEARCH("drop",소재DB_RAW!$C$3:$C$2000))))),"")</f>
        <v/>
      </c>
      <c r="AA333" s="27" t="n">
        <v>0</v>
      </c>
      <c r="AB333" s="27" t="n">
        <v>16900000</v>
      </c>
      <c r="AC333" s="27" t="n">
        <v>33600000</v>
      </c>
      <c r="AD333" s="20" t="n"/>
      <c r="AE333" s="20">
        <f>IF($K333="","출고일 미정",IF($Q333="X","작지 미발행",IF($Q333="부분","작지 일부 미발행",IF(AND($S333&lt;&gt;"",$S333&gt;$N333),"소재입고 마감("&amp;TEXT($N333,"MM/DD")&amp;") 초과",IF($Q333="","발행여부 확인 필요",IF($S333="","소재 입고일정 확인 필요","정상"))))))</f>
        <v/>
      </c>
      <c r="AF333" s="19">
        <f>IF($K333="","",IF(OR(LEFT($AE333,2)="작지",LEFT($AE333,4)="소재입고"),IF(LEFT($G333,1)="S","★ 납기위험(S코드)","◆ 지연주의"),IF($AE333="정상","✓ 정상","? 확인필요")))</f>
        <v/>
      </c>
      <c r="AG333" s="21" t="n"/>
      <c r="AH333" s="28" t="n"/>
    </row>
    <row r="334">
      <c r="A334" s="19" t="n">
        <v>330</v>
      </c>
      <c r="B334" s="20" t="inlineStr">
        <is>
          <t>신인철</t>
        </is>
      </c>
      <c r="C334" s="20" t="inlineStr">
        <is>
          <t>안세진</t>
        </is>
      </c>
      <c r="D334" s="20" t="inlineStr">
        <is>
          <t>8USCM27101</t>
        </is>
      </c>
      <c r="E334" s="20" t="inlineStr">
        <is>
          <t>[WM] 남녀공용 에어도트 피싱 셔츠</t>
        </is>
      </c>
      <c r="F334" s="20" t="inlineStr">
        <is>
          <t>TNA, BLK(BLACK)</t>
        </is>
      </c>
      <c r="G334" s="19">
        <f>IF($D334="","",IF(MID($D334,5,1)="S","S(봄)",IF(MID($D334,5,1)="M","M(여름)",IF(MID($D334,5,1)="X","X(사계절)",MID($D334,5,1)))))</f>
        <v/>
      </c>
      <c r="H334" s="20" t="inlineStr">
        <is>
          <t>완사입</t>
        </is>
      </c>
      <c r="I334" s="19" t="inlineStr">
        <is>
          <t>2차</t>
        </is>
      </c>
      <c r="J334" s="21" t="inlineStr">
        <is>
          <t>4월2주</t>
        </is>
      </c>
      <c r="K334" s="22">
        <f>IF($J334="","",IFERROR(DATE(IF(VALUE(LEFT($J334,FIND("월",$J334)-1))&gt;=9,기준정보!$C$7-1,기준정보!$C$7),VALUE(LEFT($J334,FIND("월",$J334)-1)),1+7*(VALUE(SUBSTITUTE(MID($J334,FIND("월",$J334)+1,5),"주",""))-1)),""))</f>
        <v/>
      </c>
      <c r="L334" s="22">
        <f>IF($K334="","",IF(AND($K334-기준정보!$C$5&gt;=기준정보!$C$10,$K334-기준정보!$C$5&lt;=기준정보!$C$11),기준정보!$C$10-1,$K334-기준정보!$C$5))</f>
        <v/>
      </c>
      <c r="M334" s="23">
        <f>IF($L334="","",IF(OR(ISNUMBER(SEARCH("중국",$W334)),ISNUMBER(SEARCH("베트남",$W334))),MAX(0,MIN($L334,기준정보!$C$9)-MAX($L334-기준정보!$C$6,기준정보!$C$8)+1),IF(ISNUMBER(SEARCH("한국",$W334)),MAX(0,MIN($L334,기준정보!$C$11)-MAX($L334-기준정보!$C$6,기준정보!$C$10)+1),0)))</f>
        <v/>
      </c>
      <c r="N334" s="22">
        <f>IF($L334="","",$L334-기준정보!$C$6-$M334)</f>
        <v/>
      </c>
      <c r="O334" s="24">
        <f>IF($N334="","",$N334-기준정보!$C$4)</f>
        <v/>
      </c>
      <c r="P334" s="21" t="n"/>
      <c r="Q334" s="21" t="inlineStr">
        <is>
          <t>X</t>
        </is>
      </c>
      <c r="R334" s="19">
        <f>IF(COUNTIF(EDW_RAW!$A$2:$A$1500,$D334)=0,"",IF(COUNTIFS(EDW_RAW!$A$2:$A$1500,$D334,EDW_RAW!$U$2:$U$1500,"&lt;&gt;~",EDW_RAW!$U$2:$U$1500,"&lt;&gt;")=COUNTIF(EDW_RAW!$A$2:$A$1500,$D334),"O",IF(COUNTIFS(EDW_RAW!$A$2:$A$1500,$D334,EDW_RAW!$U$2:$U$1500,"&lt;&gt;~",EDW_RAW!$U$2:$U$1500,"&lt;&gt;")&gt;0,"부분","X")))</f>
        <v/>
      </c>
      <c r="S334" s="25" t="n"/>
      <c r="T334" s="20">
        <f>IF($H334="","",IF(AND(ISNUMBER(SEARCH("CMT",$H334)),OR(ISNUMBER(SEARCH("완사입",$H334)),ISNUMBER(SEARCH("ODM",$H334)))),"본사/생산처 혼재",IF(ISNUMBER(SEARCH("CMT",$H334)),"본사(소재팀)","생산처")))</f>
        <v/>
      </c>
      <c r="U334" s="20" t="inlineStr">
        <is>
          <t>아이블</t>
        </is>
      </c>
      <c r="V334" s="20">
        <f>IFERROR(TEXTJOIN(" / ",TRUE,UNIQUE(FILTER(소재DB_RAW!$K$3:$K$2000,(소재DB_RAW!$G$3:$G$2000=$D334)*ISERROR(SEARCH("drop",소재DB_RAW!$C$3:$C$2000))))),"")</f>
        <v/>
      </c>
      <c r="W334" s="20" t="inlineStr">
        <is>
          <t>베트남</t>
        </is>
      </c>
      <c r="X334" s="20">
        <f>IFERROR(TEXTJOIN(" / ",TRUE,UNIQUE(FILTER(소재DB_RAW!$N$3:$N$2000,(소재DB_RAW!$G$3:$G$2000=$D334)*ISERROR(SEARCH("drop",소재DB_RAW!$C$3:$C$2000))))),"")</f>
        <v/>
      </c>
      <c r="Y334" s="26">
        <f>IFERROR(TEXTJOIN(CHAR(10),TRUE,UNIQUE(FILTER(소재DB_RAW!$N$3:$N$2000&amp;") "&amp;소재DB_RAW!$O$3:$O$2000,(소재DB_RAW!$G$3:$G$2000=$D334)*ISNUMBER(SEARCH("겉감",소재DB_RAW!$M$3:$M$2000))*ISERROR(SEARCH("drop",소재DB_RAW!$C$3:$C$2000))))),"")</f>
        <v/>
      </c>
      <c r="Z334" s="26">
        <f>IFERROR(TEXTJOIN(CHAR(10),TRUE,UNIQUE(FILTER(소재DB_RAW!$N$3:$N$2000&amp;") "&amp;소재DB_RAW!$O$3:$O$2000,(소재DB_RAW!$G$3:$G$2000=$D334)*ISNUMBER(SEARCH("안감",소재DB_RAW!$M$3:$M$2000))*ISERROR(SEARCH("drop",소재DB_RAW!$C$3:$C$2000))))),"")</f>
        <v/>
      </c>
      <c r="AA334" s="27" t="n">
        <v>0</v>
      </c>
      <c r="AB334" s="27" t="n">
        <v>25353600</v>
      </c>
      <c r="AC334" s="27" t="n">
        <v>56400000</v>
      </c>
      <c r="AD334" s="20" t="n"/>
      <c r="AE334" s="20">
        <f>IF($K334="","출고일 미정",IF($Q334="X","작지 미발행",IF($Q334="부분","작지 일부 미발행",IF(AND($S334&lt;&gt;"",$S334&gt;$N334),"소재입고 마감("&amp;TEXT($N334,"MM/DD")&amp;") 초과",IF($Q334="","발행여부 확인 필요",IF($S334="","소재 입고일정 확인 필요","정상"))))))</f>
        <v/>
      </c>
      <c r="AF334" s="19">
        <f>IF($K334="","",IF(OR(LEFT($AE334,2)="작지",LEFT($AE334,4)="소재입고"),IF(LEFT($G334,1)="S","★ 납기위험(S코드)","◆ 지연주의"),IF($AE334="정상","✓ 정상","? 확인필요")))</f>
        <v/>
      </c>
      <c r="AG334" s="21" t="n"/>
      <c r="AH334" s="28" t="n"/>
    </row>
    <row r="335">
      <c r="A335" s="19" t="n">
        <v>331</v>
      </c>
      <c r="B335" s="20" t="inlineStr">
        <is>
          <t>신인철</t>
        </is>
      </c>
      <c r="C335" s="20" t="inlineStr">
        <is>
          <t>장지은</t>
        </is>
      </c>
      <c r="D335" s="20" t="inlineStr">
        <is>
          <t>8UTBM27101</t>
        </is>
      </c>
      <c r="E335" s="20" t="inlineStr">
        <is>
          <t>[WM] 남녀공용 메쉬 프린트 긴팔티</t>
        </is>
      </c>
      <c r="F335" s="20" t="inlineStr">
        <is>
          <t>LGY(L/GRAY), BLK(BLACK)</t>
        </is>
      </c>
      <c r="G335" s="19">
        <f>IF($D335="","",IF(MID($D335,5,1)="S","S(봄)",IF(MID($D335,5,1)="M","M(여름)",IF(MID($D335,5,1)="X","X(사계절)",MID($D335,5,1)))))</f>
        <v/>
      </c>
      <c r="H335" s="20" t="inlineStr">
        <is>
          <t>완사입</t>
        </is>
      </c>
      <c r="I335" s="19" t="inlineStr">
        <is>
          <t>2차</t>
        </is>
      </c>
      <c r="J335" s="21" t="inlineStr">
        <is>
          <t>4월2주</t>
        </is>
      </c>
      <c r="K335" s="22">
        <f>IF($J335="","",IFERROR(DATE(IF(VALUE(LEFT($J335,FIND("월",$J335)-1))&gt;=9,기준정보!$C$7-1,기준정보!$C$7),VALUE(LEFT($J335,FIND("월",$J335)-1)),1+7*(VALUE(SUBSTITUTE(MID($J335,FIND("월",$J335)+1,5),"주",""))-1)),""))</f>
        <v/>
      </c>
      <c r="L335" s="22">
        <f>IF($K335="","",IF(AND($K335-기준정보!$C$5&gt;=기준정보!$C$10,$K335-기준정보!$C$5&lt;=기준정보!$C$11),기준정보!$C$10-1,$K335-기준정보!$C$5))</f>
        <v/>
      </c>
      <c r="M335" s="23">
        <f>IF($L335="","",IF(OR(ISNUMBER(SEARCH("중국",$W335)),ISNUMBER(SEARCH("베트남",$W335))),MAX(0,MIN($L335,기준정보!$C$9)-MAX($L335-기준정보!$C$6,기준정보!$C$8)+1),IF(ISNUMBER(SEARCH("한국",$W335)),MAX(0,MIN($L335,기준정보!$C$11)-MAX($L335-기준정보!$C$6,기준정보!$C$10)+1),0)))</f>
        <v/>
      </c>
      <c r="N335" s="22">
        <f>IF($L335="","",$L335-기준정보!$C$6-$M335)</f>
        <v/>
      </c>
      <c r="O335" s="24">
        <f>IF($N335="","",$N335-기준정보!$C$4)</f>
        <v/>
      </c>
      <c r="P335" s="21" t="n"/>
      <c r="Q335" s="21" t="inlineStr">
        <is>
          <t>X</t>
        </is>
      </c>
      <c r="R335" s="19">
        <f>IF(COUNTIF(EDW_RAW!$A$2:$A$1500,$D335)=0,"",IF(COUNTIFS(EDW_RAW!$A$2:$A$1500,$D335,EDW_RAW!$U$2:$U$1500,"&lt;&gt;~",EDW_RAW!$U$2:$U$1500,"&lt;&gt;")=COUNTIF(EDW_RAW!$A$2:$A$1500,$D335),"O",IF(COUNTIFS(EDW_RAW!$A$2:$A$1500,$D335,EDW_RAW!$U$2:$U$1500,"&lt;&gt;~",EDW_RAW!$U$2:$U$1500,"&lt;&gt;")&gt;0,"부분","X")))</f>
        <v/>
      </c>
      <c r="S335" s="25" t="n"/>
      <c r="T335" s="20">
        <f>IF($H335="","",IF(AND(ISNUMBER(SEARCH("CMT",$H335)),OR(ISNUMBER(SEARCH("완사입",$H335)),ISNUMBER(SEARCH("ODM",$H335)))),"본사/생산처 혼재",IF(ISNUMBER(SEARCH("CMT",$H335)),"본사(소재팀)","생산처")))</f>
        <v/>
      </c>
      <c r="U335" s="20" t="inlineStr">
        <is>
          <t>주연</t>
        </is>
      </c>
      <c r="V335" s="20">
        <f>IFERROR(TEXTJOIN(" / ",TRUE,UNIQUE(FILTER(소재DB_RAW!$K$3:$K$2000,(소재DB_RAW!$G$3:$G$2000=$D335)*ISERROR(SEARCH("drop",소재DB_RAW!$C$3:$C$2000))))),"")</f>
        <v/>
      </c>
      <c r="W335" s="20" t="inlineStr">
        <is>
          <t>국내</t>
        </is>
      </c>
      <c r="X335" s="20">
        <f>IFERROR(TEXTJOIN(" / ",TRUE,UNIQUE(FILTER(소재DB_RAW!$N$3:$N$2000,(소재DB_RAW!$G$3:$G$2000=$D335)*ISERROR(SEARCH("drop",소재DB_RAW!$C$3:$C$2000))))),"")</f>
        <v/>
      </c>
      <c r="Y335" s="26">
        <f>IFERROR(TEXTJOIN(CHAR(10),TRUE,UNIQUE(FILTER(소재DB_RAW!$N$3:$N$2000&amp;") "&amp;소재DB_RAW!$O$3:$O$2000,(소재DB_RAW!$G$3:$G$2000=$D335)*ISNUMBER(SEARCH("겉감",소재DB_RAW!$M$3:$M$2000))*ISERROR(SEARCH("drop",소재DB_RAW!$C$3:$C$2000))))),"")</f>
        <v/>
      </c>
      <c r="Z335" s="26">
        <f>IFERROR(TEXTJOIN(CHAR(10),TRUE,UNIQUE(FILTER(소재DB_RAW!$N$3:$N$2000&amp;") "&amp;소재DB_RAW!$O$3:$O$2000,(소재DB_RAW!$G$3:$G$2000=$D335)*ISNUMBER(SEARCH("안감",소재DB_RAW!$M$3:$M$2000))*ISERROR(SEARCH("drop",소재DB_RAW!$C$3:$C$2000))))),"")</f>
        <v/>
      </c>
      <c r="AA335" s="27" t="n">
        <v>0</v>
      </c>
      <c r="AB335" s="27" t="n">
        <v>14170800</v>
      </c>
      <c r="AC335" s="27" t="n">
        <v>32400000</v>
      </c>
      <c r="AD335" s="20" t="n"/>
      <c r="AE335" s="20">
        <f>IF($K335="","출고일 미정",IF($Q335="X","작지 미발행",IF($Q335="부분","작지 일부 미발행",IF(AND($S335&lt;&gt;"",$S335&gt;$N335),"소재입고 마감("&amp;TEXT($N335,"MM/DD")&amp;") 초과",IF($Q335="","발행여부 확인 필요",IF($S335="","소재 입고일정 확인 필요","정상"))))))</f>
        <v/>
      </c>
      <c r="AF335" s="19">
        <f>IF($K335="","",IF(OR(LEFT($AE335,2)="작지",LEFT($AE335,4)="소재입고"),IF(LEFT($G335,1)="S","★ 납기위험(S코드)","◆ 지연주의"),IF($AE335="정상","✓ 정상","? 확인필요")))</f>
        <v/>
      </c>
      <c r="AG335" s="21" t="n"/>
      <c r="AH335" s="28" t="n"/>
    </row>
    <row r="336">
      <c r="A336" s="19" t="n">
        <v>332</v>
      </c>
      <c r="B336" s="20" t="inlineStr">
        <is>
          <t>신인철</t>
        </is>
      </c>
      <c r="C336" s="20" t="inlineStr">
        <is>
          <t>안세진</t>
        </is>
      </c>
      <c r="D336" s="20" t="inlineStr">
        <is>
          <t>8UTBM27111</t>
        </is>
      </c>
      <c r="E336" s="20" t="inlineStr">
        <is>
          <t>[WM] 남녀공용 UV CUT 익스퍼트 후드티</t>
        </is>
      </c>
      <c r="F336" s="20" t="inlineStr">
        <is>
          <t>OWH, AQU(AQUA), BLK(BLACK)</t>
        </is>
      </c>
      <c r="G336" s="19">
        <f>IF($D336="","",IF(MID($D336,5,1)="S","S(봄)",IF(MID($D336,5,1)="M","M(여름)",IF(MID($D336,5,1)="X","X(사계절)",MID($D336,5,1)))))</f>
        <v/>
      </c>
      <c r="H336" s="20" t="inlineStr">
        <is>
          <t>완사입</t>
        </is>
      </c>
      <c r="I336" s="19" t="inlineStr">
        <is>
          <t>2차</t>
        </is>
      </c>
      <c r="J336" s="21" t="inlineStr">
        <is>
          <t>4월2주</t>
        </is>
      </c>
      <c r="K336" s="22">
        <f>IF($J336="","",IFERROR(DATE(IF(VALUE(LEFT($J336,FIND("월",$J336)-1))&gt;=9,기준정보!$C$7-1,기준정보!$C$7),VALUE(LEFT($J336,FIND("월",$J336)-1)),1+7*(VALUE(SUBSTITUTE(MID($J336,FIND("월",$J336)+1,5),"주",""))-1)),""))</f>
        <v/>
      </c>
      <c r="L336" s="22">
        <f>IF($K336="","",IF(AND($K336-기준정보!$C$5&gt;=기준정보!$C$10,$K336-기준정보!$C$5&lt;=기준정보!$C$11),기준정보!$C$10-1,$K336-기준정보!$C$5))</f>
        <v/>
      </c>
      <c r="M336" s="23">
        <f>IF($L336="","",IF(OR(ISNUMBER(SEARCH("중국",$W336)),ISNUMBER(SEARCH("베트남",$W336))),MAX(0,MIN($L336,기준정보!$C$9)-MAX($L336-기준정보!$C$6,기준정보!$C$8)+1),IF(ISNUMBER(SEARCH("한국",$W336)),MAX(0,MIN($L336,기준정보!$C$11)-MAX($L336-기준정보!$C$6,기준정보!$C$10)+1),0)))</f>
        <v/>
      </c>
      <c r="N336" s="22">
        <f>IF($L336="","",$L336-기준정보!$C$6-$M336)</f>
        <v/>
      </c>
      <c r="O336" s="24">
        <f>IF($N336="","",$N336-기준정보!$C$4)</f>
        <v/>
      </c>
      <c r="P336" s="21" t="n"/>
      <c r="Q336" s="21" t="inlineStr">
        <is>
          <t>X</t>
        </is>
      </c>
      <c r="R336" s="19">
        <f>IF(COUNTIF(EDW_RAW!$A$2:$A$1500,$D336)=0,"",IF(COUNTIFS(EDW_RAW!$A$2:$A$1500,$D336,EDW_RAW!$U$2:$U$1500,"&lt;&gt;~",EDW_RAW!$U$2:$U$1500,"&lt;&gt;")=COUNTIF(EDW_RAW!$A$2:$A$1500,$D336),"O",IF(COUNTIFS(EDW_RAW!$A$2:$A$1500,$D336,EDW_RAW!$U$2:$U$1500,"&lt;&gt;~",EDW_RAW!$U$2:$U$1500,"&lt;&gt;")&gt;0,"부분","X")))</f>
        <v/>
      </c>
      <c r="S336" s="25" t="n"/>
      <c r="T336" s="20">
        <f>IF($H336="","",IF(AND(ISNUMBER(SEARCH("CMT",$H336)),OR(ISNUMBER(SEARCH("완사입",$H336)),ISNUMBER(SEARCH("ODM",$H336)))),"본사/생산처 혼재",IF(ISNUMBER(SEARCH("CMT",$H336)),"본사(소재팀)","생산처")))</f>
        <v/>
      </c>
      <c r="U336" s="20" t="inlineStr">
        <is>
          <t>주연</t>
        </is>
      </c>
      <c r="V336" s="20">
        <f>IFERROR(TEXTJOIN(" / ",TRUE,UNIQUE(FILTER(소재DB_RAW!$K$3:$K$2000,(소재DB_RAW!$G$3:$G$2000=$D336)*ISERROR(SEARCH("drop",소재DB_RAW!$C$3:$C$2000))))),"")</f>
        <v/>
      </c>
      <c r="W336" s="20" t="inlineStr">
        <is>
          <t>국내</t>
        </is>
      </c>
      <c r="X336" s="20">
        <f>IFERROR(TEXTJOIN(" / ",TRUE,UNIQUE(FILTER(소재DB_RAW!$N$3:$N$2000,(소재DB_RAW!$G$3:$G$2000=$D336)*ISERROR(SEARCH("drop",소재DB_RAW!$C$3:$C$2000))))),"")</f>
        <v/>
      </c>
      <c r="Y336" s="26">
        <f>IFERROR(TEXTJOIN(CHAR(10),TRUE,UNIQUE(FILTER(소재DB_RAW!$N$3:$N$2000&amp;") "&amp;소재DB_RAW!$O$3:$O$2000,(소재DB_RAW!$G$3:$G$2000=$D336)*ISNUMBER(SEARCH("겉감",소재DB_RAW!$M$3:$M$2000))*ISERROR(SEARCH("drop",소재DB_RAW!$C$3:$C$2000))))),"")</f>
        <v/>
      </c>
      <c r="Z336" s="26">
        <f>IFERROR(TEXTJOIN(CHAR(10),TRUE,UNIQUE(FILTER(소재DB_RAW!$N$3:$N$2000&amp;") "&amp;소재DB_RAW!$O$3:$O$2000,(소재DB_RAW!$G$3:$G$2000=$D336)*ISNUMBER(SEARCH("안감",소재DB_RAW!$M$3:$M$2000))*ISERROR(SEARCH("drop",소재DB_RAW!$C$3:$C$2000))))),"")</f>
        <v/>
      </c>
      <c r="AA336" s="27" t="n">
        <v>0</v>
      </c>
      <c r="AB336" s="27" t="n">
        <v>19205600</v>
      </c>
      <c r="AC336" s="27" t="n">
        <v>59200000</v>
      </c>
      <c r="AD336" s="20" t="n"/>
      <c r="AE336" s="20">
        <f>IF($K336="","출고일 미정",IF($Q336="X","작지 미발행",IF($Q336="부분","작지 일부 미발행",IF(AND($S336&lt;&gt;"",$S336&gt;$N336),"소재입고 마감("&amp;TEXT($N336,"MM/DD")&amp;") 초과",IF($Q336="","발행여부 확인 필요",IF($S336="","소재 입고일정 확인 필요","정상"))))))</f>
        <v/>
      </c>
      <c r="AF336" s="19">
        <f>IF($K336="","",IF(OR(LEFT($AE336,2)="작지",LEFT($AE336,4)="소재입고"),IF(LEFT($G336,1)="S","★ 납기위험(S코드)","◆ 지연주의"),IF($AE336="정상","✓ 정상","? 확인필요")))</f>
        <v/>
      </c>
      <c r="AG336" s="21" t="n"/>
      <c r="AH336" s="28" t="n"/>
    </row>
    <row r="337">
      <c r="A337" s="19" t="n">
        <v>333</v>
      </c>
      <c r="B337" s="20" t="inlineStr">
        <is>
          <t>신인철</t>
        </is>
      </c>
      <c r="C337" s="20" t="inlineStr">
        <is>
          <t>장지은</t>
        </is>
      </c>
      <c r="D337" s="20" t="inlineStr">
        <is>
          <t>8UTCM27105</t>
        </is>
      </c>
      <c r="E337" s="20" t="inlineStr">
        <is>
          <t>[WM] 공용 프린트 반팔티</t>
        </is>
      </c>
      <c r="F337" s="20" t="inlineStr">
        <is>
          <t>OWH, AQU(AQUA), BLK(BLACK)</t>
        </is>
      </c>
      <c r="G337" s="19">
        <f>IF($D337="","",IF(MID($D337,5,1)="S","S(봄)",IF(MID($D337,5,1)="M","M(여름)",IF(MID($D337,5,1)="X","X(사계절)",MID($D337,5,1)))))</f>
        <v/>
      </c>
      <c r="H337" s="20" t="inlineStr">
        <is>
          <t>완사입</t>
        </is>
      </c>
      <c r="I337" s="19" t="inlineStr">
        <is>
          <t>2차</t>
        </is>
      </c>
      <c r="J337" s="21" t="inlineStr">
        <is>
          <t>4월2주</t>
        </is>
      </c>
      <c r="K337" s="22">
        <f>IF($J337="","",IFERROR(DATE(IF(VALUE(LEFT($J337,FIND("월",$J337)-1))&gt;=9,기준정보!$C$7-1,기준정보!$C$7),VALUE(LEFT($J337,FIND("월",$J337)-1)),1+7*(VALUE(SUBSTITUTE(MID($J337,FIND("월",$J337)+1,5),"주",""))-1)),""))</f>
        <v/>
      </c>
      <c r="L337" s="22">
        <f>IF($K337="","",IF(AND($K337-기준정보!$C$5&gt;=기준정보!$C$10,$K337-기준정보!$C$5&lt;=기준정보!$C$11),기준정보!$C$10-1,$K337-기준정보!$C$5))</f>
        <v/>
      </c>
      <c r="M337" s="23">
        <f>IF($L337="","",IF(OR(ISNUMBER(SEARCH("중국",$W337)),ISNUMBER(SEARCH("베트남",$W337))),MAX(0,MIN($L337,기준정보!$C$9)-MAX($L337-기준정보!$C$6,기준정보!$C$8)+1),IF(ISNUMBER(SEARCH("한국",$W337)),MAX(0,MIN($L337,기준정보!$C$11)-MAX($L337-기준정보!$C$6,기준정보!$C$10)+1),0)))</f>
        <v/>
      </c>
      <c r="N337" s="22">
        <f>IF($L337="","",$L337-기준정보!$C$6-$M337)</f>
        <v/>
      </c>
      <c r="O337" s="24">
        <f>IF($N337="","",$N337-기준정보!$C$4)</f>
        <v/>
      </c>
      <c r="P337" s="21" t="n"/>
      <c r="Q337" s="21" t="inlineStr">
        <is>
          <t>X</t>
        </is>
      </c>
      <c r="R337" s="19">
        <f>IF(COUNTIF(EDW_RAW!$A$2:$A$1500,$D337)=0,"",IF(COUNTIFS(EDW_RAW!$A$2:$A$1500,$D337,EDW_RAW!$U$2:$U$1500,"&lt;&gt;~",EDW_RAW!$U$2:$U$1500,"&lt;&gt;")=COUNTIF(EDW_RAW!$A$2:$A$1500,$D337),"O",IF(COUNTIFS(EDW_RAW!$A$2:$A$1500,$D337,EDW_RAW!$U$2:$U$1500,"&lt;&gt;~",EDW_RAW!$U$2:$U$1500,"&lt;&gt;")&gt;0,"부분","X")))</f>
        <v/>
      </c>
      <c r="S337" s="25" t="n"/>
      <c r="T337" s="20">
        <f>IF($H337="","",IF(AND(ISNUMBER(SEARCH("CMT",$H337)),OR(ISNUMBER(SEARCH("완사입",$H337)),ISNUMBER(SEARCH("ODM",$H337)))),"본사/생산처 혼재",IF(ISNUMBER(SEARCH("CMT",$H337)),"본사(소재팀)","생산처")))</f>
        <v/>
      </c>
      <c r="U337" s="20" t="inlineStr">
        <is>
          <t>주연</t>
        </is>
      </c>
      <c r="V337" s="20">
        <f>IFERROR(TEXTJOIN(" / ",TRUE,UNIQUE(FILTER(소재DB_RAW!$K$3:$K$2000,(소재DB_RAW!$G$3:$G$2000=$D337)*ISERROR(SEARCH("drop",소재DB_RAW!$C$3:$C$2000))))),"")</f>
        <v/>
      </c>
      <c r="W337" s="20" t="inlineStr">
        <is>
          <t>중국</t>
        </is>
      </c>
      <c r="X337" s="20">
        <f>IFERROR(TEXTJOIN(" / ",TRUE,UNIQUE(FILTER(소재DB_RAW!$N$3:$N$2000,(소재DB_RAW!$G$3:$G$2000=$D337)*ISERROR(SEARCH("drop",소재DB_RAW!$C$3:$C$2000))))),"")</f>
        <v/>
      </c>
      <c r="Y337" s="26">
        <f>IFERROR(TEXTJOIN(CHAR(10),TRUE,UNIQUE(FILTER(소재DB_RAW!$N$3:$N$2000&amp;") "&amp;소재DB_RAW!$O$3:$O$2000,(소재DB_RAW!$G$3:$G$2000=$D337)*ISNUMBER(SEARCH("겉감",소재DB_RAW!$M$3:$M$2000))*ISERROR(SEARCH("drop",소재DB_RAW!$C$3:$C$2000))))),"")</f>
        <v/>
      </c>
      <c r="Z337" s="26">
        <f>IFERROR(TEXTJOIN(CHAR(10),TRUE,UNIQUE(FILTER(소재DB_RAW!$N$3:$N$2000&amp;") "&amp;소재DB_RAW!$O$3:$O$2000,(소재DB_RAW!$G$3:$G$2000=$D337)*ISNUMBER(SEARCH("안감",소재DB_RAW!$M$3:$M$2000))*ISERROR(SEARCH("drop",소재DB_RAW!$C$3:$C$2000))))),"")</f>
        <v/>
      </c>
      <c r="AA337" s="27" t="n">
        <v>0</v>
      </c>
      <c r="AB337" s="27" t="n">
        <v>9513420</v>
      </c>
      <c r="AC337" s="27" t="n">
        <v>36960000</v>
      </c>
      <c r="AD337" s="20" t="n"/>
      <c r="AE337" s="20">
        <f>IF($K337="","출고일 미정",IF($Q337="X","작지 미발행",IF($Q337="부분","작지 일부 미발행",IF(AND($S337&lt;&gt;"",$S337&gt;$N337),"소재입고 마감("&amp;TEXT($N337,"MM/DD")&amp;") 초과",IF($Q337="","발행여부 확인 필요",IF($S337="","소재 입고일정 확인 필요","정상"))))))</f>
        <v/>
      </c>
      <c r="AF337" s="19">
        <f>IF($K337="","",IF(OR(LEFT($AE337,2)="작지",LEFT($AE337,4)="소재입고"),IF(LEFT($G337,1)="S","★ 납기위험(S코드)","◆ 지연주의"),IF($AE337="정상","✓ 정상","? 확인필요")))</f>
        <v/>
      </c>
      <c r="AG337" s="21" t="n"/>
      <c r="AH337" s="28" t="n"/>
    </row>
    <row r="338">
      <c r="A338" s="19" t="n">
        <v>334</v>
      </c>
      <c r="B338" s="20" t="inlineStr">
        <is>
          <t>신인철</t>
        </is>
      </c>
      <c r="C338" s="20" t="inlineStr">
        <is>
          <t>안세진</t>
        </is>
      </c>
      <c r="D338" s="20" t="inlineStr">
        <is>
          <t>8UTCM27111</t>
        </is>
      </c>
      <c r="E338" s="20" t="inlineStr">
        <is>
          <t>[WM] 남녀공용 익스퍼트 반팔티</t>
        </is>
      </c>
      <c r="F338" s="20" t="inlineStr">
        <is>
          <t>BLK(BLACK)</t>
        </is>
      </c>
      <c r="G338" s="19">
        <f>IF($D338="","",IF(MID($D338,5,1)="S","S(봄)",IF(MID($D338,5,1)="M","M(여름)",IF(MID($D338,5,1)="X","X(사계절)",MID($D338,5,1)))))</f>
        <v/>
      </c>
      <c r="H338" s="20" t="inlineStr">
        <is>
          <t>완사입</t>
        </is>
      </c>
      <c r="I338" s="19" t="inlineStr">
        <is>
          <t>2차</t>
        </is>
      </c>
      <c r="J338" s="21" t="inlineStr">
        <is>
          <t>4월2주</t>
        </is>
      </c>
      <c r="K338" s="22">
        <f>IF($J338="","",IFERROR(DATE(IF(VALUE(LEFT($J338,FIND("월",$J338)-1))&gt;=9,기준정보!$C$7-1,기준정보!$C$7),VALUE(LEFT($J338,FIND("월",$J338)-1)),1+7*(VALUE(SUBSTITUTE(MID($J338,FIND("월",$J338)+1,5),"주",""))-1)),""))</f>
        <v/>
      </c>
      <c r="L338" s="22">
        <f>IF($K338="","",IF(AND($K338-기준정보!$C$5&gt;=기준정보!$C$10,$K338-기준정보!$C$5&lt;=기준정보!$C$11),기준정보!$C$10-1,$K338-기준정보!$C$5))</f>
        <v/>
      </c>
      <c r="M338" s="23">
        <f>IF($L338="","",IF(OR(ISNUMBER(SEARCH("중국",$W338)),ISNUMBER(SEARCH("베트남",$W338))),MAX(0,MIN($L338,기준정보!$C$9)-MAX($L338-기준정보!$C$6,기준정보!$C$8)+1),IF(ISNUMBER(SEARCH("한국",$W338)),MAX(0,MIN($L338,기준정보!$C$11)-MAX($L338-기준정보!$C$6,기준정보!$C$10)+1),0)))</f>
        <v/>
      </c>
      <c r="N338" s="22">
        <f>IF($L338="","",$L338-기준정보!$C$6-$M338)</f>
        <v/>
      </c>
      <c r="O338" s="24">
        <f>IF($N338="","",$N338-기준정보!$C$4)</f>
        <v/>
      </c>
      <c r="P338" s="21" t="n"/>
      <c r="Q338" s="21" t="inlineStr">
        <is>
          <t>X</t>
        </is>
      </c>
      <c r="R338" s="19">
        <f>IF(COUNTIF(EDW_RAW!$A$2:$A$1500,$D338)=0,"",IF(COUNTIFS(EDW_RAW!$A$2:$A$1500,$D338,EDW_RAW!$U$2:$U$1500,"&lt;&gt;~",EDW_RAW!$U$2:$U$1500,"&lt;&gt;")=COUNTIF(EDW_RAW!$A$2:$A$1500,$D338),"O",IF(COUNTIFS(EDW_RAW!$A$2:$A$1500,$D338,EDW_RAW!$U$2:$U$1500,"&lt;&gt;~",EDW_RAW!$U$2:$U$1500,"&lt;&gt;")&gt;0,"부분","X")))</f>
        <v/>
      </c>
      <c r="S338" s="25" t="n"/>
      <c r="T338" s="20">
        <f>IF($H338="","",IF(AND(ISNUMBER(SEARCH("CMT",$H338)),OR(ISNUMBER(SEARCH("완사입",$H338)),ISNUMBER(SEARCH("ODM",$H338)))),"본사/생산처 혼재",IF(ISNUMBER(SEARCH("CMT",$H338)),"본사(소재팀)","생산처")))</f>
        <v/>
      </c>
      <c r="U338" s="20" t="inlineStr">
        <is>
          <t>장안</t>
        </is>
      </c>
      <c r="V338" s="20">
        <f>IFERROR(TEXTJOIN(" / ",TRUE,UNIQUE(FILTER(소재DB_RAW!$K$3:$K$2000,(소재DB_RAW!$G$3:$G$2000=$D338)*ISERROR(SEARCH("drop",소재DB_RAW!$C$3:$C$2000))))),"")</f>
        <v/>
      </c>
      <c r="W338" s="20" t="inlineStr">
        <is>
          <t>베트남</t>
        </is>
      </c>
      <c r="X338" s="20">
        <f>IFERROR(TEXTJOIN(" / ",TRUE,UNIQUE(FILTER(소재DB_RAW!$N$3:$N$2000,(소재DB_RAW!$G$3:$G$2000=$D338)*ISERROR(SEARCH("drop",소재DB_RAW!$C$3:$C$2000))))),"")</f>
        <v/>
      </c>
      <c r="Y338" s="26">
        <f>IFERROR(TEXTJOIN(CHAR(10),TRUE,UNIQUE(FILTER(소재DB_RAW!$N$3:$N$2000&amp;") "&amp;소재DB_RAW!$O$3:$O$2000,(소재DB_RAW!$G$3:$G$2000=$D338)*ISNUMBER(SEARCH("겉감",소재DB_RAW!$M$3:$M$2000))*ISERROR(SEARCH("drop",소재DB_RAW!$C$3:$C$2000))))),"")</f>
        <v/>
      </c>
      <c r="Z338" s="26">
        <f>IFERROR(TEXTJOIN(CHAR(10),TRUE,UNIQUE(FILTER(소재DB_RAW!$N$3:$N$2000&amp;") "&amp;소재DB_RAW!$O$3:$O$2000,(소재DB_RAW!$G$3:$G$2000=$D338)*ISNUMBER(SEARCH("안감",소재DB_RAW!$M$3:$M$2000))*ISERROR(SEARCH("drop",소재DB_RAW!$C$3:$C$2000))))),"")</f>
        <v/>
      </c>
      <c r="AA338" s="27" t="n">
        <v>0</v>
      </c>
      <c r="AB338" s="27" t="n">
        <v>0</v>
      </c>
      <c r="AC338" s="27" t="n">
        <v>9800000</v>
      </c>
      <c r="AD338" s="20" t="n"/>
      <c r="AE338" s="20">
        <f>IF($K338="","출고일 미정",IF($Q338="X","작지 미발행",IF($Q338="부분","작지 일부 미발행",IF(AND($S338&lt;&gt;"",$S338&gt;$N338),"소재입고 마감("&amp;TEXT($N338,"MM/DD")&amp;") 초과",IF($Q338="","발행여부 확인 필요",IF($S338="","소재 입고일정 확인 필요","정상"))))))</f>
        <v/>
      </c>
      <c r="AF338" s="19">
        <f>IF($K338="","",IF(OR(LEFT($AE338,2)="작지",LEFT($AE338,4)="소재입고"),IF(LEFT($G338,1)="S","★ 납기위험(S코드)","◆ 지연주의"),IF($AE338="정상","✓ 정상","? 확인필요")))</f>
        <v/>
      </c>
      <c r="AG338" s="21" t="n"/>
      <c r="AH338" s="28" t="n"/>
    </row>
    <row r="339">
      <c r="A339" s="19" t="n">
        <v>335</v>
      </c>
      <c r="B339" s="20" t="inlineStr">
        <is>
          <t>신인철</t>
        </is>
      </c>
      <c r="C339" s="20" t="inlineStr">
        <is>
          <t>안세진</t>
        </is>
      </c>
      <c r="D339" s="20" t="inlineStr">
        <is>
          <t>8UTCM27113</t>
        </is>
      </c>
      <c r="E339" s="20" t="inlineStr">
        <is>
          <t>[WM] 남녀공용 EGI 그래픽 티셔츠</t>
        </is>
      </c>
      <c r="F339" s="20" t="inlineStr">
        <is>
          <t>MML, KHA(KHAKI), BLK(BLACK)</t>
        </is>
      </c>
      <c r="G339" s="19">
        <f>IF($D339="","",IF(MID($D339,5,1)="S","S(봄)",IF(MID($D339,5,1)="M","M(여름)",IF(MID($D339,5,1)="X","X(사계절)",MID($D339,5,1)))))</f>
        <v/>
      </c>
      <c r="H339" s="20" t="inlineStr">
        <is>
          <t>완사입</t>
        </is>
      </c>
      <c r="I339" s="19" t="inlineStr">
        <is>
          <t>2차</t>
        </is>
      </c>
      <c r="J339" s="21" t="inlineStr">
        <is>
          <t>4월2주</t>
        </is>
      </c>
      <c r="K339" s="22">
        <f>IF($J339="","",IFERROR(DATE(IF(VALUE(LEFT($J339,FIND("월",$J339)-1))&gt;=9,기준정보!$C$7-1,기준정보!$C$7),VALUE(LEFT($J339,FIND("월",$J339)-1)),1+7*(VALUE(SUBSTITUTE(MID($J339,FIND("월",$J339)+1,5),"주",""))-1)),""))</f>
        <v/>
      </c>
      <c r="L339" s="22">
        <f>IF($K339="","",IF(AND($K339-기준정보!$C$5&gt;=기준정보!$C$10,$K339-기준정보!$C$5&lt;=기준정보!$C$11),기준정보!$C$10-1,$K339-기준정보!$C$5))</f>
        <v/>
      </c>
      <c r="M339" s="23">
        <f>IF($L339="","",IF(OR(ISNUMBER(SEARCH("중국",$W339)),ISNUMBER(SEARCH("베트남",$W339))),MAX(0,MIN($L339,기준정보!$C$9)-MAX($L339-기준정보!$C$6,기준정보!$C$8)+1),IF(ISNUMBER(SEARCH("한국",$W339)),MAX(0,MIN($L339,기준정보!$C$11)-MAX($L339-기준정보!$C$6,기준정보!$C$10)+1),0)))</f>
        <v/>
      </c>
      <c r="N339" s="22">
        <f>IF($L339="","",$L339-기준정보!$C$6-$M339)</f>
        <v/>
      </c>
      <c r="O339" s="24">
        <f>IF($N339="","",$N339-기준정보!$C$4)</f>
        <v/>
      </c>
      <c r="P339" s="21" t="n"/>
      <c r="Q339" s="21" t="inlineStr">
        <is>
          <t>X</t>
        </is>
      </c>
      <c r="R339" s="19">
        <f>IF(COUNTIF(EDW_RAW!$A$2:$A$1500,$D339)=0,"",IF(COUNTIFS(EDW_RAW!$A$2:$A$1500,$D339,EDW_RAW!$U$2:$U$1500,"&lt;&gt;~",EDW_RAW!$U$2:$U$1500,"&lt;&gt;")=COUNTIF(EDW_RAW!$A$2:$A$1500,$D339),"O",IF(COUNTIFS(EDW_RAW!$A$2:$A$1500,$D339,EDW_RAW!$U$2:$U$1500,"&lt;&gt;~",EDW_RAW!$U$2:$U$1500,"&lt;&gt;")&gt;0,"부분","X")))</f>
        <v/>
      </c>
      <c r="S339" s="25" t="n"/>
      <c r="T339" s="20">
        <f>IF($H339="","",IF(AND(ISNUMBER(SEARCH("CMT",$H339)),OR(ISNUMBER(SEARCH("완사입",$H339)),ISNUMBER(SEARCH("ODM",$H339)))),"본사/생산처 혼재",IF(ISNUMBER(SEARCH("CMT",$H339)),"본사(소재팀)","생산처")))</f>
        <v/>
      </c>
      <c r="U339" s="20" t="inlineStr">
        <is>
          <t>주연</t>
        </is>
      </c>
      <c r="V339" s="20">
        <f>IFERROR(TEXTJOIN(" / ",TRUE,UNIQUE(FILTER(소재DB_RAW!$K$3:$K$2000,(소재DB_RAW!$G$3:$G$2000=$D339)*ISERROR(SEARCH("drop",소재DB_RAW!$C$3:$C$2000))))),"")</f>
        <v/>
      </c>
      <c r="W339" s="20" t="inlineStr">
        <is>
          <t>국내</t>
        </is>
      </c>
      <c r="X339" s="20">
        <f>IFERROR(TEXTJOIN(" / ",TRUE,UNIQUE(FILTER(소재DB_RAW!$N$3:$N$2000,(소재DB_RAW!$G$3:$G$2000=$D339)*ISERROR(SEARCH("drop",소재DB_RAW!$C$3:$C$2000))))),"")</f>
        <v/>
      </c>
      <c r="Y339" s="26">
        <f>IFERROR(TEXTJOIN(CHAR(10),TRUE,UNIQUE(FILTER(소재DB_RAW!$N$3:$N$2000&amp;") "&amp;소재DB_RAW!$O$3:$O$2000,(소재DB_RAW!$G$3:$G$2000=$D339)*ISNUMBER(SEARCH("겉감",소재DB_RAW!$M$3:$M$2000))*ISERROR(SEARCH("drop",소재DB_RAW!$C$3:$C$2000))))),"")</f>
        <v/>
      </c>
      <c r="Z339" s="26">
        <f>IFERROR(TEXTJOIN(CHAR(10),TRUE,UNIQUE(FILTER(소재DB_RAW!$N$3:$N$2000&amp;") "&amp;소재DB_RAW!$O$3:$O$2000,(소재DB_RAW!$G$3:$G$2000=$D339)*ISNUMBER(SEARCH("안감",소재DB_RAW!$M$3:$M$2000))*ISERROR(SEARCH("drop",소재DB_RAW!$C$3:$C$2000))))),"")</f>
        <v/>
      </c>
      <c r="AA339" s="27" t="n">
        <v>0</v>
      </c>
      <c r="AB339" s="27" t="n">
        <v>10725000</v>
      </c>
      <c r="AC339" s="27" t="n">
        <v>42900000</v>
      </c>
      <c r="AD339" s="20" t="n"/>
      <c r="AE339" s="20">
        <f>IF($K339="","출고일 미정",IF($Q339="X","작지 미발행",IF($Q339="부분","작지 일부 미발행",IF(AND($S339&lt;&gt;"",$S339&gt;$N339),"소재입고 마감("&amp;TEXT($N339,"MM/DD")&amp;") 초과",IF($Q339="","발행여부 확인 필요",IF($S339="","소재 입고일정 확인 필요","정상"))))))</f>
        <v/>
      </c>
      <c r="AF339" s="19">
        <f>IF($K339="","",IF(OR(LEFT($AE339,2)="작지",LEFT($AE339,4)="소재입고"),IF(LEFT($G339,1)="S","★ 납기위험(S코드)","◆ 지연주의"),IF($AE339="정상","✓ 정상","? 확인필요")))</f>
        <v/>
      </c>
      <c r="AG339" s="21" t="n"/>
      <c r="AH339" s="28" t="n"/>
    </row>
    <row r="340">
      <c r="A340" s="19" t="n">
        <v>336</v>
      </c>
      <c r="B340" s="20" t="inlineStr">
        <is>
          <t>신인철</t>
        </is>
      </c>
      <c r="C340" s="20" t="inlineStr">
        <is>
          <t>안세진</t>
        </is>
      </c>
      <c r="D340" s="20" t="inlineStr">
        <is>
          <t>8UTCM27115</t>
        </is>
      </c>
      <c r="E340" s="20" t="inlineStr">
        <is>
          <t>[WM] 남녀공용 AORI 그래픽 티셔츠</t>
        </is>
      </c>
      <c r="F340" s="20" t="inlineStr">
        <is>
          <t>OWH, BLK(BLACK)</t>
        </is>
      </c>
      <c r="G340" s="19">
        <f>IF($D340="","",IF(MID($D340,5,1)="S","S(봄)",IF(MID($D340,5,1)="M","M(여름)",IF(MID($D340,5,1)="X","X(사계절)",MID($D340,5,1)))))</f>
        <v/>
      </c>
      <c r="H340" s="20" t="inlineStr">
        <is>
          <t>완사입</t>
        </is>
      </c>
      <c r="I340" s="19" t="inlineStr">
        <is>
          <t>2차</t>
        </is>
      </c>
      <c r="J340" s="21" t="inlineStr">
        <is>
          <t>4월2주</t>
        </is>
      </c>
      <c r="K340" s="22">
        <f>IF($J340="","",IFERROR(DATE(IF(VALUE(LEFT($J340,FIND("월",$J340)-1))&gt;=9,기준정보!$C$7-1,기준정보!$C$7),VALUE(LEFT($J340,FIND("월",$J340)-1)),1+7*(VALUE(SUBSTITUTE(MID($J340,FIND("월",$J340)+1,5),"주",""))-1)),""))</f>
        <v/>
      </c>
      <c r="L340" s="22">
        <f>IF($K340="","",IF(AND($K340-기준정보!$C$5&gt;=기준정보!$C$10,$K340-기준정보!$C$5&lt;=기준정보!$C$11),기준정보!$C$10-1,$K340-기준정보!$C$5))</f>
        <v/>
      </c>
      <c r="M340" s="23">
        <f>IF($L340="","",IF(OR(ISNUMBER(SEARCH("중국",$W340)),ISNUMBER(SEARCH("베트남",$W340))),MAX(0,MIN($L340,기준정보!$C$9)-MAX($L340-기준정보!$C$6,기준정보!$C$8)+1),IF(ISNUMBER(SEARCH("한국",$W340)),MAX(0,MIN($L340,기준정보!$C$11)-MAX($L340-기준정보!$C$6,기준정보!$C$10)+1),0)))</f>
        <v/>
      </c>
      <c r="N340" s="22">
        <f>IF($L340="","",$L340-기준정보!$C$6-$M340)</f>
        <v/>
      </c>
      <c r="O340" s="24">
        <f>IF($N340="","",$N340-기준정보!$C$4)</f>
        <v/>
      </c>
      <c r="P340" s="21" t="n"/>
      <c r="Q340" s="21" t="inlineStr">
        <is>
          <t>X</t>
        </is>
      </c>
      <c r="R340" s="19">
        <f>IF(COUNTIF(EDW_RAW!$A$2:$A$1500,$D340)=0,"",IF(COUNTIFS(EDW_RAW!$A$2:$A$1500,$D340,EDW_RAW!$U$2:$U$1500,"&lt;&gt;~",EDW_RAW!$U$2:$U$1500,"&lt;&gt;")=COUNTIF(EDW_RAW!$A$2:$A$1500,$D340),"O",IF(COUNTIFS(EDW_RAW!$A$2:$A$1500,$D340,EDW_RAW!$U$2:$U$1500,"&lt;&gt;~",EDW_RAW!$U$2:$U$1500,"&lt;&gt;")&gt;0,"부분","X")))</f>
        <v/>
      </c>
      <c r="S340" s="25" t="n"/>
      <c r="T340" s="20">
        <f>IF($H340="","",IF(AND(ISNUMBER(SEARCH("CMT",$H340)),OR(ISNUMBER(SEARCH("완사입",$H340)),ISNUMBER(SEARCH("ODM",$H340)))),"본사/생산처 혼재",IF(ISNUMBER(SEARCH("CMT",$H340)),"본사(소재팀)","생산처")))</f>
        <v/>
      </c>
      <c r="U340" s="20" t="inlineStr">
        <is>
          <t>주연</t>
        </is>
      </c>
      <c r="V340" s="20">
        <f>IFERROR(TEXTJOIN(" / ",TRUE,UNIQUE(FILTER(소재DB_RAW!$K$3:$K$2000,(소재DB_RAW!$G$3:$G$2000=$D340)*ISERROR(SEARCH("drop",소재DB_RAW!$C$3:$C$2000))))),"")</f>
        <v/>
      </c>
      <c r="W340" s="20" t="inlineStr">
        <is>
          <t>국내</t>
        </is>
      </c>
      <c r="X340" s="20">
        <f>IFERROR(TEXTJOIN(" / ",TRUE,UNIQUE(FILTER(소재DB_RAW!$N$3:$N$2000,(소재DB_RAW!$G$3:$G$2000=$D340)*ISERROR(SEARCH("drop",소재DB_RAW!$C$3:$C$2000))))),"")</f>
        <v/>
      </c>
      <c r="Y340" s="26">
        <f>IFERROR(TEXTJOIN(CHAR(10),TRUE,UNIQUE(FILTER(소재DB_RAW!$N$3:$N$2000&amp;") "&amp;소재DB_RAW!$O$3:$O$2000,(소재DB_RAW!$G$3:$G$2000=$D340)*ISNUMBER(SEARCH("겉감",소재DB_RAW!$M$3:$M$2000))*ISERROR(SEARCH("drop",소재DB_RAW!$C$3:$C$2000))))),"")</f>
        <v/>
      </c>
      <c r="Z340" s="26">
        <f>IFERROR(TEXTJOIN(CHAR(10),TRUE,UNIQUE(FILTER(소재DB_RAW!$N$3:$N$2000&amp;") "&amp;소재DB_RAW!$O$3:$O$2000,(소재DB_RAW!$G$3:$G$2000=$D340)*ISNUMBER(SEARCH("안감",소재DB_RAW!$M$3:$M$2000))*ISERROR(SEARCH("drop",소재DB_RAW!$C$3:$C$2000))))),"")</f>
        <v/>
      </c>
      <c r="AA340" s="27" t="n">
        <v>0</v>
      </c>
      <c r="AB340" s="27" t="n">
        <v>8775000</v>
      </c>
      <c r="AC340" s="27" t="n">
        <v>35100000</v>
      </c>
      <c r="AD340" s="20" t="n"/>
      <c r="AE340" s="20">
        <f>IF($K340="","출고일 미정",IF($Q340="X","작지 미발행",IF($Q340="부분","작지 일부 미발행",IF(AND($S340&lt;&gt;"",$S340&gt;$N340),"소재입고 마감("&amp;TEXT($N340,"MM/DD")&amp;") 초과",IF($Q340="","발행여부 확인 필요",IF($S340="","소재 입고일정 확인 필요","정상"))))))</f>
        <v/>
      </c>
      <c r="AF340" s="19">
        <f>IF($K340="","",IF(OR(LEFT($AE340,2)="작지",LEFT($AE340,4)="소재입고"),IF(LEFT($G340,1)="S","★ 납기위험(S코드)","◆ 지연주의"),IF($AE340="정상","✓ 정상","? 확인필요")))</f>
        <v/>
      </c>
      <c r="AG340" s="21" t="n"/>
      <c r="AH340" s="28" t="n"/>
    </row>
    <row r="341">
      <c r="A341" s="19" t="n">
        <v>337</v>
      </c>
      <c r="B341" s="20" t="inlineStr">
        <is>
          <t>신인철</t>
        </is>
      </c>
      <c r="C341" s="20" t="inlineStr">
        <is>
          <t>안세진</t>
        </is>
      </c>
      <c r="D341" s="20" t="inlineStr">
        <is>
          <t>8UTCM27117</t>
        </is>
      </c>
      <c r="E341" s="20" t="inlineStr">
        <is>
          <t>[WM] 남녀공용 HOT SUMMER 그래픽 소로나 티셔츠</t>
        </is>
      </c>
      <c r="F341" s="20" t="inlineStr">
        <is>
          <t>OWH, BLK(BLACK), TBU</t>
        </is>
      </c>
      <c r="G341" s="19">
        <f>IF($D341="","",IF(MID($D341,5,1)="S","S(봄)",IF(MID($D341,5,1)="M","M(여름)",IF(MID($D341,5,1)="X","X(사계절)",MID($D341,5,1)))))</f>
        <v/>
      </c>
      <c r="H341" s="20" t="inlineStr"/>
      <c r="I341" s="19" t="inlineStr">
        <is>
          <t>2차</t>
        </is>
      </c>
      <c r="J341" s="21" t="inlineStr">
        <is>
          <t>4월2주</t>
        </is>
      </c>
      <c r="K341" s="22">
        <f>IF($J341="","",IFERROR(DATE(IF(VALUE(LEFT($J341,FIND("월",$J341)-1))&gt;=9,기준정보!$C$7-1,기준정보!$C$7),VALUE(LEFT($J341,FIND("월",$J341)-1)),1+7*(VALUE(SUBSTITUTE(MID($J341,FIND("월",$J341)+1,5),"주",""))-1)),""))</f>
        <v/>
      </c>
      <c r="L341" s="22">
        <f>IF($K341="","",IF(AND($K341-기준정보!$C$5&gt;=기준정보!$C$10,$K341-기준정보!$C$5&lt;=기준정보!$C$11),기준정보!$C$10-1,$K341-기준정보!$C$5))</f>
        <v/>
      </c>
      <c r="M341" s="23">
        <f>IF($L341="","",IF(OR(ISNUMBER(SEARCH("중국",$W341)),ISNUMBER(SEARCH("베트남",$W341))),MAX(0,MIN($L341,기준정보!$C$9)-MAX($L341-기준정보!$C$6,기준정보!$C$8)+1),IF(ISNUMBER(SEARCH("한국",$W341)),MAX(0,MIN($L341,기준정보!$C$11)-MAX($L341-기준정보!$C$6,기준정보!$C$10)+1),0)))</f>
        <v/>
      </c>
      <c r="N341" s="22">
        <f>IF($L341="","",$L341-기준정보!$C$6-$M341)</f>
        <v/>
      </c>
      <c r="O341" s="24">
        <f>IF($N341="","",$N341-기준정보!$C$4)</f>
        <v/>
      </c>
      <c r="P341" s="21" t="n"/>
      <c r="Q341" s="21" t="inlineStr">
        <is>
          <t>X</t>
        </is>
      </c>
      <c r="R341" s="19">
        <f>IF(COUNTIF(EDW_RAW!$A$2:$A$1500,$D341)=0,"",IF(COUNTIFS(EDW_RAW!$A$2:$A$1500,$D341,EDW_RAW!$U$2:$U$1500,"&lt;&gt;~",EDW_RAW!$U$2:$U$1500,"&lt;&gt;")=COUNTIF(EDW_RAW!$A$2:$A$1500,$D341),"O",IF(COUNTIFS(EDW_RAW!$A$2:$A$1500,$D341,EDW_RAW!$U$2:$U$1500,"&lt;&gt;~",EDW_RAW!$U$2:$U$1500,"&lt;&gt;")&gt;0,"부분","X")))</f>
        <v/>
      </c>
      <c r="S341" s="25" t="n"/>
      <c r="T341" s="20">
        <f>IF($H341="","",IF(AND(ISNUMBER(SEARCH("CMT",$H341)),OR(ISNUMBER(SEARCH("완사입",$H341)),ISNUMBER(SEARCH("ODM",$H341)))),"본사/생산처 혼재",IF(ISNUMBER(SEARCH("CMT",$H341)),"본사(소재팀)","생산처")))</f>
        <v/>
      </c>
      <c r="U341" s="20" t="inlineStr"/>
      <c r="V341" s="20">
        <f>IFERROR(TEXTJOIN(" / ",TRUE,UNIQUE(FILTER(소재DB_RAW!$K$3:$K$2000,(소재DB_RAW!$G$3:$G$2000=$D341)*ISERROR(SEARCH("drop",소재DB_RAW!$C$3:$C$2000))))),"")</f>
        <v/>
      </c>
      <c r="W341" s="20" t="inlineStr"/>
      <c r="X341" s="20">
        <f>IFERROR(TEXTJOIN(" / ",TRUE,UNIQUE(FILTER(소재DB_RAW!$N$3:$N$2000,(소재DB_RAW!$G$3:$G$2000=$D341)*ISERROR(SEARCH("drop",소재DB_RAW!$C$3:$C$2000))))),"")</f>
        <v/>
      </c>
      <c r="Y341" s="26">
        <f>IFERROR(TEXTJOIN(CHAR(10),TRUE,UNIQUE(FILTER(소재DB_RAW!$N$3:$N$2000&amp;") "&amp;소재DB_RAW!$O$3:$O$2000,(소재DB_RAW!$G$3:$G$2000=$D341)*ISNUMBER(SEARCH("겉감",소재DB_RAW!$M$3:$M$2000))*ISERROR(SEARCH("drop",소재DB_RAW!$C$3:$C$2000))))),"")</f>
        <v/>
      </c>
      <c r="Z341" s="26">
        <f>IFERROR(TEXTJOIN(CHAR(10),TRUE,UNIQUE(FILTER(소재DB_RAW!$N$3:$N$2000&amp;") "&amp;소재DB_RAW!$O$3:$O$2000,(소재DB_RAW!$G$3:$G$2000=$D341)*ISNUMBER(SEARCH("안감",소재DB_RAW!$M$3:$M$2000))*ISERROR(SEARCH("drop",소재DB_RAW!$C$3:$C$2000))))),"")</f>
        <v/>
      </c>
      <c r="AA341" s="27" t="n">
        <v>0</v>
      </c>
      <c r="AB341" s="27" t="n">
        <v>52260000</v>
      </c>
      <c r="AC341" s="27" t="n">
        <v>241800000</v>
      </c>
      <c r="AD341" s="20" t="n"/>
      <c r="AE341" s="20">
        <f>IF($K341="","출고일 미정",IF($Q341="X","작지 미발행",IF($Q341="부분","작지 일부 미발행",IF(AND($S341&lt;&gt;"",$S341&gt;$N341),"소재입고 마감("&amp;TEXT($N341,"MM/DD")&amp;") 초과",IF($Q341="","발행여부 확인 필요",IF($S341="","소재 입고일정 확인 필요","정상"))))))</f>
        <v/>
      </c>
      <c r="AF341" s="19">
        <f>IF($K341="","",IF(OR(LEFT($AE341,2)="작지",LEFT($AE341,4)="소재입고"),IF(LEFT($G341,1)="S","★ 납기위험(S코드)","◆ 지연주의"),IF($AE341="정상","✓ 정상","? 확인필요")))</f>
        <v/>
      </c>
      <c r="AG341" s="21" t="n"/>
      <c r="AH341" s="28" t="n"/>
    </row>
    <row r="342">
      <c r="A342" s="19" t="n">
        <v>338</v>
      </c>
      <c r="B342" s="20" t="inlineStr">
        <is>
          <t>신인철</t>
        </is>
      </c>
      <c r="C342" s="20" t="inlineStr">
        <is>
          <t>안세진</t>
        </is>
      </c>
      <c r="D342" s="20" t="inlineStr">
        <is>
          <t>8UTCM27119</t>
        </is>
      </c>
      <c r="E342" s="20" t="inlineStr">
        <is>
          <t>[WM] 남녀공용 OCEAN BREEZE 그래픽 소로나 티셔츠</t>
        </is>
      </c>
      <c r="F342" s="20" t="inlineStr">
        <is>
          <t>BLK(BLACK), OWH, DLM</t>
        </is>
      </c>
      <c r="G342" s="19">
        <f>IF($D342="","",IF(MID($D342,5,1)="S","S(봄)",IF(MID($D342,5,1)="M","M(여름)",IF(MID($D342,5,1)="X","X(사계절)",MID($D342,5,1)))))</f>
        <v/>
      </c>
      <c r="H342" s="20" t="inlineStr"/>
      <c r="I342" s="19" t="inlineStr">
        <is>
          <t>2차</t>
        </is>
      </c>
      <c r="J342" s="21" t="inlineStr">
        <is>
          <t>4월2주</t>
        </is>
      </c>
      <c r="K342" s="22">
        <f>IF($J342="","",IFERROR(DATE(IF(VALUE(LEFT($J342,FIND("월",$J342)-1))&gt;=9,기준정보!$C$7-1,기준정보!$C$7),VALUE(LEFT($J342,FIND("월",$J342)-1)),1+7*(VALUE(SUBSTITUTE(MID($J342,FIND("월",$J342)+1,5),"주",""))-1)),""))</f>
        <v/>
      </c>
      <c r="L342" s="22">
        <f>IF($K342="","",IF(AND($K342-기준정보!$C$5&gt;=기준정보!$C$10,$K342-기준정보!$C$5&lt;=기준정보!$C$11),기준정보!$C$10-1,$K342-기준정보!$C$5))</f>
        <v/>
      </c>
      <c r="M342" s="23">
        <f>IF($L342="","",IF(OR(ISNUMBER(SEARCH("중국",$W342)),ISNUMBER(SEARCH("베트남",$W342))),MAX(0,MIN($L342,기준정보!$C$9)-MAX($L342-기준정보!$C$6,기준정보!$C$8)+1),IF(ISNUMBER(SEARCH("한국",$W342)),MAX(0,MIN($L342,기준정보!$C$11)-MAX($L342-기준정보!$C$6,기준정보!$C$10)+1),0)))</f>
        <v/>
      </c>
      <c r="N342" s="22">
        <f>IF($L342="","",$L342-기준정보!$C$6-$M342)</f>
        <v/>
      </c>
      <c r="O342" s="24">
        <f>IF($N342="","",$N342-기준정보!$C$4)</f>
        <v/>
      </c>
      <c r="P342" s="21" t="n"/>
      <c r="Q342" s="21" t="inlineStr">
        <is>
          <t>X</t>
        </is>
      </c>
      <c r="R342" s="19">
        <f>IF(COUNTIF(EDW_RAW!$A$2:$A$1500,$D342)=0,"",IF(COUNTIFS(EDW_RAW!$A$2:$A$1500,$D342,EDW_RAW!$U$2:$U$1500,"&lt;&gt;~",EDW_RAW!$U$2:$U$1500,"&lt;&gt;")=COUNTIF(EDW_RAW!$A$2:$A$1500,$D342),"O",IF(COUNTIFS(EDW_RAW!$A$2:$A$1500,$D342,EDW_RAW!$U$2:$U$1500,"&lt;&gt;~",EDW_RAW!$U$2:$U$1500,"&lt;&gt;")&gt;0,"부분","X")))</f>
        <v/>
      </c>
      <c r="S342" s="25" t="n"/>
      <c r="T342" s="20">
        <f>IF($H342="","",IF(AND(ISNUMBER(SEARCH("CMT",$H342)),OR(ISNUMBER(SEARCH("완사입",$H342)),ISNUMBER(SEARCH("ODM",$H342)))),"본사/생산처 혼재",IF(ISNUMBER(SEARCH("CMT",$H342)),"본사(소재팀)","생산처")))</f>
        <v/>
      </c>
      <c r="U342" s="20" t="inlineStr"/>
      <c r="V342" s="20">
        <f>IFERROR(TEXTJOIN(" / ",TRUE,UNIQUE(FILTER(소재DB_RAW!$K$3:$K$2000,(소재DB_RAW!$G$3:$G$2000=$D342)*ISERROR(SEARCH("drop",소재DB_RAW!$C$3:$C$2000))))),"")</f>
        <v/>
      </c>
      <c r="W342" s="20" t="inlineStr"/>
      <c r="X342" s="20">
        <f>IFERROR(TEXTJOIN(" / ",TRUE,UNIQUE(FILTER(소재DB_RAW!$N$3:$N$2000,(소재DB_RAW!$G$3:$G$2000=$D342)*ISERROR(SEARCH("drop",소재DB_RAW!$C$3:$C$2000))))),"")</f>
        <v/>
      </c>
      <c r="Y342" s="26">
        <f>IFERROR(TEXTJOIN(CHAR(10),TRUE,UNIQUE(FILTER(소재DB_RAW!$N$3:$N$2000&amp;") "&amp;소재DB_RAW!$O$3:$O$2000,(소재DB_RAW!$G$3:$G$2000=$D342)*ISNUMBER(SEARCH("겉감",소재DB_RAW!$M$3:$M$2000))*ISERROR(SEARCH("drop",소재DB_RAW!$C$3:$C$2000))))),"")</f>
        <v/>
      </c>
      <c r="Z342" s="26">
        <f>IFERROR(TEXTJOIN(CHAR(10),TRUE,UNIQUE(FILTER(소재DB_RAW!$N$3:$N$2000&amp;") "&amp;소재DB_RAW!$O$3:$O$2000,(소재DB_RAW!$G$3:$G$2000=$D342)*ISNUMBER(SEARCH("안감",소재DB_RAW!$M$3:$M$2000))*ISERROR(SEARCH("drop",소재DB_RAW!$C$3:$C$2000))))),"")</f>
        <v/>
      </c>
      <c r="AA342" s="27" t="n">
        <v>0</v>
      </c>
      <c r="AB342" s="27" t="n">
        <v>48360000</v>
      </c>
      <c r="AC342" s="27" t="n">
        <v>241800000</v>
      </c>
      <c r="AD342" s="20" t="n"/>
      <c r="AE342" s="20">
        <f>IF($K342="","출고일 미정",IF($Q342="X","작지 미발행",IF($Q342="부분","작지 일부 미발행",IF(AND($S342&lt;&gt;"",$S342&gt;$N342),"소재입고 마감("&amp;TEXT($N342,"MM/DD")&amp;") 초과",IF($Q342="","발행여부 확인 필요",IF($S342="","소재 입고일정 확인 필요","정상"))))))</f>
        <v/>
      </c>
      <c r="AF342" s="19">
        <f>IF($K342="","",IF(OR(LEFT($AE342,2)="작지",LEFT($AE342,4)="소재입고"),IF(LEFT($G342,1)="S","★ 납기위험(S코드)","◆ 지연주의"),IF($AE342="정상","✓ 정상","? 확인필요")))</f>
        <v/>
      </c>
      <c r="AG342" s="21" t="n"/>
      <c r="AH342" s="28" t="n"/>
    </row>
    <row r="343">
      <c r="A343" s="19" t="n">
        <v>339</v>
      </c>
      <c r="B343" s="20" t="inlineStr">
        <is>
          <t>신인철</t>
        </is>
      </c>
      <c r="C343" s="20" t="inlineStr">
        <is>
          <t>안세진</t>
        </is>
      </c>
      <c r="D343" s="20" t="inlineStr">
        <is>
          <t>8UTCM27121</t>
        </is>
      </c>
      <c r="E343" s="20" t="inlineStr">
        <is>
          <t>[WM] 남녀공용 OCEAN ANGLERS 그래픽 소로나 티셔츠</t>
        </is>
      </c>
      <c r="F343" s="20" t="inlineStr">
        <is>
          <t>BLK(BLACK), OWH, DLM</t>
        </is>
      </c>
      <c r="G343" s="19">
        <f>IF($D343="","",IF(MID($D343,5,1)="S","S(봄)",IF(MID($D343,5,1)="M","M(여름)",IF(MID($D343,5,1)="X","X(사계절)",MID($D343,5,1)))))</f>
        <v/>
      </c>
      <c r="H343" s="20" t="inlineStr"/>
      <c r="I343" s="19" t="inlineStr">
        <is>
          <t>2차</t>
        </is>
      </c>
      <c r="J343" s="21" t="inlineStr">
        <is>
          <t>4월2주</t>
        </is>
      </c>
      <c r="K343" s="22">
        <f>IF($J343="","",IFERROR(DATE(IF(VALUE(LEFT($J343,FIND("월",$J343)-1))&gt;=9,기준정보!$C$7-1,기준정보!$C$7),VALUE(LEFT($J343,FIND("월",$J343)-1)),1+7*(VALUE(SUBSTITUTE(MID($J343,FIND("월",$J343)+1,5),"주",""))-1)),""))</f>
        <v/>
      </c>
      <c r="L343" s="22">
        <f>IF($K343="","",IF(AND($K343-기준정보!$C$5&gt;=기준정보!$C$10,$K343-기준정보!$C$5&lt;=기준정보!$C$11),기준정보!$C$10-1,$K343-기준정보!$C$5))</f>
        <v/>
      </c>
      <c r="M343" s="23">
        <f>IF($L343="","",IF(OR(ISNUMBER(SEARCH("중국",$W343)),ISNUMBER(SEARCH("베트남",$W343))),MAX(0,MIN($L343,기준정보!$C$9)-MAX($L343-기준정보!$C$6,기준정보!$C$8)+1),IF(ISNUMBER(SEARCH("한국",$W343)),MAX(0,MIN($L343,기준정보!$C$11)-MAX($L343-기준정보!$C$6,기준정보!$C$10)+1),0)))</f>
        <v/>
      </c>
      <c r="N343" s="22">
        <f>IF($L343="","",$L343-기준정보!$C$6-$M343)</f>
        <v/>
      </c>
      <c r="O343" s="24">
        <f>IF($N343="","",$N343-기준정보!$C$4)</f>
        <v/>
      </c>
      <c r="P343" s="21" t="n"/>
      <c r="Q343" s="21" t="inlineStr">
        <is>
          <t>X</t>
        </is>
      </c>
      <c r="R343" s="19">
        <f>IF(COUNTIF(EDW_RAW!$A$2:$A$1500,$D343)=0,"",IF(COUNTIFS(EDW_RAW!$A$2:$A$1500,$D343,EDW_RAW!$U$2:$U$1500,"&lt;&gt;~",EDW_RAW!$U$2:$U$1500,"&lt;&gt;")=COUNTIF(EDW_RAW!$A$2:$A$1500,$D343),"O",IF(COUNTIFS(EDW_RAW!$A$2:$A$1500,$D343,EDW_RAW!$U$2:$U$1500,"&lt;&gt;~",EDW_RAW!$U$2:$U$1500,"&lt;&gt;")&gt;0,"부분","X")))</f>
        <v/>
      </c>
      <c r="S343" s="25" t="n"/>
      <c r="T343" s="20">
        <f>IF($H343="","",IF(AND(ISNUMBER(SEARCH("CMT",$H343)),OR(ISNUMBER(SEARCH("완사입",$H343)),ISNUMBER(SEARCH("ODM",$H343)))),"본사/생산처 혼재",IF(ISNUMBER(SEARCH("CMT",$H343)),"본사(소재팀)","생산처")))</f>
        <v/>
      </c>
      <c r="U343" s="20" t="inlineStr"/>
      <c r="V343" s="20">
        <f>IFERROR(TEXTJOIN(" / ",TRUE,UNIQUE(FILTER(소재DB_RAW!$K$3:$K$2000,(소재DB_RAW!$G$3:$G$2000=$D343)*ISERROR(SEARCH("drop",소재DB_RAW!$C$3:$C$2000))))),"")</f>
        <v/>
      </c>
      <c r="W343" s="20" t="inlineStr"/>
      <c r="X343" s="20">
        <f>IFERROR(TEXTJOIN(" / ",TRUE,UNIQUE(FILTER(소재DB_RAW!$N$3:$N$2000,(소재DB_RAW!$G$3:$G$2000=$D343)*ISERROR(SEARCH("drop",소재DB_RAW!$C$3:$C$2000))))),"")</f>
        <v/>
      </c>
      <c r="Y343" s="26">
        <f>IFERROR(TEXTJOIN(CHAR(10),TRUE,UNIQUE(FILTER(소재DB_RAW!$N$3:$N$2000&amp;") "&amp;소재DB_RAW!$O$3:$O$2000,(소재DB_RAW!$G$3:$G$2000=$D343)*ISNUMBER(SEARCH("겉감",소재DB_RAW!$M$3:$M$2000))*ISERROR(SEARCH("drop",소재DB_RAW!$C$3:$C$2000))))),"")</f>
        <v/>
      </c>
      <c r="Z343" s="26">
        <f>IFERROR(TEXTJOIN(CHAR(10),TRUE,UNIQUE(FILTER(소재DB_RAW!$N$3:$N$2000&amp;") "&amp;소재DB_RAW!$O$3:$O$2000,(소재DB_RAW!$G$3:$G$2000=$D343)*ISNUMBER(SEARCH("안감",소재DB_RAW!$M$3:$M$2000))*ISERROR(SEARCH("drop",소재DB_RAW!$C$3:$C$2000))))),"")</f>
        <v/>
      </c>
      <c r="AA343" s="27" t="n">
        <v>0</v>
      </c>
      <c r="AB343" s="27" t="n">
        <v>48360000</v>
      </c>
      <c r="AC343" s="27" t="n">
        <v>241800000</v>
      </c>
      <c r="AD343" s="20" t="n"/>
      <c r="AE343" s="20">
        <f>IF($K343="","출고일 미정",IF($Q343="X","작지 미발행",IF($Q343="부분","작지 일부 미발행",IF(AND($S343&lt;&gt;"",$S343&gt;$N343),"소재입고 마감("&amp;TEXT($N343,"MM/DD")&amp;") 초과",IF($Q343="","발행여부 확인 필요",IF($S343="","소재 입고일정 확인 필요","정상"))))))</f>
        <v/>
      </c>
      <c r="AF343" s="19">
        <f>IF($K343="","",IF(OR(LEFT($AE343,2)="작지",LEFT($AE343,4)="소재입고"),IF(LEFT($G343,1)="S","★ 납기위험(S코드)","◆ 지연주의"),IF($AE343="정상","✓ 정상","? 확인필요")))</f>
        <v/>
      </c>
      <c r="AG343" s="21" t="n"/>
      <c r="AH343" s="28" t="n"/>
    </row>
    <row r="344">
      <c r="A344" s="19" t="n">
        <v>340</v>
      </c>
      <c r="B344" s="20" t="inlineStr">
        <is>
          <t>박지인</t>
        </is>
      </c>
      <c r="C344" s="20" t="inlineStr">
        <is>
          <t>이다영</t>
        </is>
      </c>
      <c r="D344" s="20" t="inlineStr">
        <is>
          <t>JWJJM27351</t>
        </is>
      </c>
      <c r="E344" s="20" t="inlineStr">
        <is>
          <t>남녀공용 그래픽 매쉬 재킷</t>
        </is>
      </c>
      <c r="F344" s="20" t="inlineStr">
        <is>
          <t>GRY-1, BLK(BLACK)</t>
        </is>
      </c>
      <c r="G344" s="19">
        <f>IF($D344="","",IF(MID($D344,5,1)="S","S(봄)",IF(MID($D344,5,1)="M","M(여름)",IF(MID($D344,5,1)="X","X(사계절)",MID($D344,5,1)))))</f>
        <v/>
      </c>
      <c r="H344" s="20" t="inlineStr">
        <is>
          <t>CMT</t>
        </is>
      </c>
      <c r="I344" s="19" t="inlineStr">
        <is>
          <t>SM2</t>
        </is>
      </c>
      <c r="J344" s="21" t="inlineStr">
        <is>
          <t>4월2주</t>
        </is>
      </c>
      <c r="K344" s="22">
        <f>IF($J344="","",IFERROR(DATE(IF(VALUE(LEFT($J344,FIND("월",$J344)-1))&gt;=9,기준정보!$C$7-1,기준정보!$C$7),VALUE(LEFT($J344,FIND("월",$J344)-1)),1+7*(VALUE(SUBSTITUTE(MID($J344,FIND("월",$J344)+1,5),"주",""))-1)),""))</f>
        <v/>
      </c>
      <c r="L344" s="22">
        <f>IF($K344="","",IF(AND($K344-기준정보!$C$5&gt;=기준정보!$C$10,$K344-기준정보!$C$5&lt;=기준정보!$C$11),기준정보!$C$10-1,$K344-기준정보!$C$5))</f>
        <v/>
      </c>
      <c r="M344" s="23">
        <f>IF($L344="","",IF(OR(ISNUMBER(SEARCH("중국",$W344)),ISNUMBER(SEARCH("베트남",$W344))),MAX(0,MIN($L344,기준정보!$C$9)-MAX($L344-기준정보!$C$6,기준정보!$C$8)+1),IF(ISNUMBER(SEARCH("한국",$W344)),MAX(0,MIN($L344,기준정보!$C$11)-MAX($L344-기준정보!$C$6,기준정보!$C$10)+1),0)))</f>
        <v/>
      </c>
      <c r="N344" s="22">
        <f>IF($L344="","",$L344-기준정보!$C$6-$M344)</f>
        <v/>
      </c>
      <c r="O344" s="24">
        <f>IF($N344="","",$N344-기준정보!$C$4)</f>
        <v/>
      </c>
      <c r="P344" s="21" t="n"/>
      <c r="Q344" s="21" t="inlineStr">
        <is>
          <t>O</t>
        </is>
      </c>
      <c r="R344" s="19">
        <f>IF(COUNTIF(EDW_RAW!$A$2:$A$1500,$D344)=0,"",IF(COUNTIFS(EDW_RAW!$A$2:$A$1500,$D344,EDW_RAW!$U$2:$U$1500,"&lt;&gt;~",EDW_RAW!$U$2:$U$1500,"&lt;&gt;")=COUNTIF(EDW_RAW!$A$2:$A$1500,$D344),"O",IF(COUNTIFS(EDW_RAW!$A$2:$A$1500,$D344,EDW_RAW!$U$2:$U$1500,"&lt;&gt;~",EDW_RAW!$U$2:$U$1500,"&lt;&gt;")&gt;0,"부분","X")))</f>
        <v/>
      </c>
      <c r="S344" s="25" t="n"/>
      <c r="T344" s="20">
        <f>IF($H344="","",IF(AND(ISNUMBER(SEARCH("CMT",$H344)),OR(ISNUMBER(SEARCH("완사입",$H344)),ISNUMBER(SEARCH("ODM",$H344)))),"본사/생산처 혼재",IF(ISNUMBER(SEARCH("CMT",$H344)),"본사(소재팀)","생산처")))</f>
        <v/>
      </c>
      <c r="U344" s="20" t="inlineStr">
        <is>
          <t>포마트</t>
        </is>
      </c>
      <c r="V344" s="20">
        <f>IFERROR(TEXTJOIN(" / ",TRUE,UNIQUE(FILTER(소재DB_RAW!$K$3:$K$2000,(소재DB_RAW!$G$3:$G$2000=$D344)*ISERROR(SEARCH("drop",소재DB_RAW!$C$3:$C$2000))))),"")</f>
        <v/>
      </c>
      <c r="W344" s="20" t="inlineStr">
        <is>
          <t>베트남</t>
        </is>
      </c>
      <c r="X344" s="20">
        <f>IFERROR(TEXTJOIN(" / ",TRUE,UNIQUE(FILTER(소재DB_RAW!$N$3:$N$2000,(소재DB_RAW!$G$3:$G$2000=$D344)*ISERROR(SEARCH("drop",소재DB_RAW!$C$3:$C$2000))))),"")</f>
        <v/>
      </c>
      <c r="Y344" s="26">
        <f>IFERROR(TEXTJOIN(CHAR(10),TRUE,UNIQUE(FILTER(소재DB_RAW!$N$3:$N$2000&amp;") "&amp;소재DB_RAW!$O$3:$O$2000,(소재DB_RAW!$G$3:$G$2000=$D344)*ISNUMBER(SEARCH("겉감",소재DB_RAW!$M$3:$M$2000))*ISERROR(SEARCH("drop",소재DB_RAW!$C$3:$C$2000))))),"")</f>
        <v/>
      </c>
      <c r="Z344" s="26">
        <f>IFERROR(TEXTJOIN(CHAR(10),TRUE,UNIQUE(FILTER(소재DB_RAW!$N$3:$N$2000&amp;") "&amp;소재DB_RAW!$O$3:$O$2000,(소재DB_RAW!$G$3:$G$2000=$D344)*ISNUMBER(SEARCH("안감",소재DB_RAW!$M$3:$M$2000))*ISERROR(SEARCH("drop",소재DB_RAW!$C$3:$C$2000))))),"")</f>
        <v/>
      </c>
      <c r="AA344" s="27" t="n">
        <v>1800</v>
      </c>
      <c r="AB344" s="27" t="n">
        <v>86045400</v>
      </c>
      <c r="AC344" s="27" t="n">
        <v>396000000</v>
      </c>
      <c r="AD344" s="20" t="inlineStr">
        <is>
          <t>4월2주</t>
        </is>
      </c>
      <c r="AE344" s="20">
        <f>IF($K344="","출고일 미정",IF($Q344="X","작지 미발행",IF($Q344="부분","작지 일부 미발행",IF(AND($S344&lt;&gt;"",$S344&gt;$N344),"소재입고 마감("&amp;TEXT($N344,"MM/DD")&amp;") 초과",IF($Q344="","발행여부 확인 필요",IF($S344="","소재 입고일정 확인 필요","정상"))))))</f>
        <v/>
      </c>
      <c r="AF344" s="19">
        <f>IF($K344="","",IF(OR(LEFT($AE344,2)="작지",LEFT($AE344,4)="소재입고"),IF(LEFT($G344,1)="S","★ 납기위험(S코드)","◆ 지연주의"),IF($AE344="정상","✓ 정상","? 확인필요")))</f>
        <v/>
      </c>
      <c r="AG344" s="21" t="n"/>
      <c r="AH344" s="28" t="n"/>
    </row>
    <row r="345">
      <c r="A345" s="19" t="n">
        <v>341</v>
      </c>
      <c r="B345" s="20" t="inlineStr">
        <is>
          <t>박지인</t>
        </is>
      </c>
      <c r="C345" s="20" t="inlineStr">
        <is>
          <t>이다영</t>
        </is>
      </c>
      <c r="D345" s="20" t="inlineStr">
        <is>
          <t>JWPNM27351</t>
        </is>
      </c>
      <c r="E345" s="20" t="inlineStr">
        <is>
          <t>남녀공용 메쉬 디테처블 팬츠</t>
        </is>
      </c>
      <c r="F345" s="20" t="inlineStr">
        <is>
          <t>BLK(BLACK)</t>
        </is>
      </c>
      <c r="G345" s="19">
        <f>IF($D345="","",IF(MID($D345,5,1)="S","S(봄)",IF(MID($D345,5,1)="M","M(여름)",IF(MID($D345,5,1)="X","X(사계절)",MID($D345,5,1)))))</f>
        <v/>
      </c>
      <c r="H345" s="20" t="inlineStr">
        <is>
          <t>CMT</t>
        </is>
      </c>
      <c r="I345" s="19" t="inlineStr">
        <is>
          <t>SM2</t>
        </is>
      </c>
      <c r="J345" s="21" t="inlineStr">
        <is>
          <t>4월2주</t>
        </is>
      </c>
      <c r="K345" s="22">
        <f>IF($J345="","",IFERROR(DATE(IF(VALUE(LEFT($J345,FIND("월",$J345)-1))&gt;=9,기준정보!$C$7-1,기준정보!$C$7),VALUE(LEFT($J345,FIND("월",$J345)-1)),1+7*(VALUE(SUBSTITUTE(MID($J345,FIND("월",$J345)+1,5),"주",""))-1)),""))</f>
        <v/>
      </c>
      <c r="L345" s="22">
        <f>IF($K345="","",IF(AND($K345-기준정보!$C$5&gt;=기준정보!$C$10,$K345-기준정보!$C$5&lt;=기준정보!$C$11),기준정보!$C$10-1,$K345-기준정보!$C$5))</f>
        <v/>
      </c>
      <c r="M345" s="23">
        <f>IF($L345="","",IF(OR(ISNUMBER(SEARCH("중국",$W345)),ISNUMBER(SEARCH("베트남",$W345))),MAX(0,MIN($L345,기준정보!$C$9)-MAX($L345-기준정보!$C$6,기준정보!$C$8)+1),IF(ISNUMBER(SEARCH("한국",$W345)),MAX(0,MIN($L345,기준정보!$C$11)-MAX($L345-기준정보!$C$6,기준정보!$C$10)+1),0)))</f>
        <v/>
      </c>
      <c r="N345" s="22">
        <f>IF($L345="","",$L345-기준정보!$C$6-$M345)</f>
        <v/>
      </c>
      <c r="O345" s="24">
        <f>IF($N345="","",$N345-기준정보!$C$4)</f>
        <v/>
      </c>
      <c r="P345" s="21" t="n"/>
      <c r="Q345" s="21" t="inlineStr">
        <is>
          <t>O</t>
        </is>
      </c>
      <c r="R345" s="19">
        <f>IF(COUNTIF(EDW_RAW!$A$2:$A$1500,$D345)=0,"",IF(COUNTIFS(EDW_RAW!$A$2:$A$1500,$D345,EDW_RAW!$U$2:$U$1500,"&lt;&gt;~",EDW_RAW!$U$2:$U$1500,"&lt;&gt;")=COUNTIF(EDW_RAW!$A$2:$A$1500,$D345),"O",IF(COUNTIFS(EDW_RAW!$A$2:$A$1500,$D345,EDW_RAW!$U$2:$U$1500,"&lt;&gt;~",EDW_RAW!$U$2:$U$1500,"&lt;&gt;")&gt;0,"부분","X")))</f>
        <v/>
      </c>
      <c r="S345" s="25" t="n"/>
      <c r="T345" s="20">
        <f>IF($H345="","",IF(AND(ISNUMBER(SEARCH("CMT",$H345)),OR(ISNUMBER(SEARCH("완사입",$H345)),ISNUMBER(SEARCH("ODM",$H345)))),"본사/생산처 혼재",IF(ISNUMBER(SEARCH("CMT",$H345)),"본사(소재팀)","생산처")))</f>
        <v/>
      </c>
      <c r="U345" s="20" t="inlineStr">
        <is>
          <t>거림</t>
        </is>
      </c>
      <c r="V345" s="20">
        <f>IFERROR(TEXTJOIN(" / ",TRUE,UNIQUE(FILTER(소재DB_RAW!$K$3:$K$2000,(소재DB_RAW!$G$3:$G$2000=$D345)*ISERROR(SEARCH("drop",소재DB_RAW!$C$3:$C$2000))))),"")</f>
        <v/>
      </c>
      <c r="W345" s="20" t="inlineStr">
        <is>
          <t>베트남</t>
        </is>
      </c>
      <c r="X345" s="20">
        <f>IFERROR(TEXTJOIN(" / ",TRUE,UNIQUE(FILTER(소재DB_RAW!$N$3:$N$2000,(소재DB_RAW!$G$3:$G$2000=$D345)*ISERROR(SEARCH("drop",소재DB_RAW!$C$3:$C$2000))))),"")</f>
        <v/>
      </c>
      <c r="Y345" s="26">
        <f>IFERROR(TEXTJOIN(CHAR(10),TRUE,UNIQUE(FILTER(소재DB_RAW!$N$3:$N$2000&amp;") "&amp;소재DB_RAW!$O$3:$O$2000,(소재DB_RAW!$G$3:$G$2000=$D345)*ISNUMBER(SEARCH("겉감",소재DB_RAW!$M$3:$M$2000))*ISERROR(SEARCH("drop",소재DB_RAW!$C$3:$C$2000))))),"")</f>
        <v/>
      </c>
      <c r="Z345" s="26">
        <f>IFERROR(TEXTJOIN(CHAR(10),TRUE,UNIQUE(FILTER(소재DB_RAW!$N$3:$N$2000&amp;") "&amp;소재DB_RAW!$O$3:$O$2000,(소재DB_RAW!$G$3:$G$2000=$D345)*ISNUMBER(SEARCH("안감",소재DB_RAW!$M$3:$M$2000))*ISERROR(SEARCH("drop",소재DB_RAW!$C$3:$C$2000))))),"")</f>
        <v/>
      </c>
      <c r="AA345" s="27" t="n">
        <v>800</v>
      </c>
      <c r="AB345" s="27" t="n">
        <v>28512000</v>
      </c>
      <c r="AC345" s="27" t="n">
        <v>126400000</v>
      </c>
      <c r="AD345" s="20" t="inlineStr">
        <is>
          <t>4월2주</t>
        </is>
      </c>
      <c r="AE345" s="20">
        <f>IF($K345="","출고일 미정",IF($Q345="X","작지 미발행",IF($Q345="부분","작지 일부 미발행",IF(AND($S345&lt;&gt;"",$S345&gt;$N345),"소재입고 마감("&amp;TEXT($N345,"MM/DD")&amp;") 초과",IF($Q345="","발행여부 확인 필요",IF($S345="","소재 입고일정 확인 필요","정상"))))))</f>
        <v/>
      </c>
      <c r="AF345" s="19">
        <f>IF($K345="","",IF(OR(LEFT($AE345,2)="작지",LEFT($AE345,4)="소재입고"),IF(LEFT($G345,1)="S","★ 납기위험(S코드)","◆ 지연주의"),IF($AE345="정상","✓ 정상","? 확인필요")))</f>
        <v/>
      </c>
      <c r="AG345" s="21" t="n"/>
      <c r="AH345" s="28" t="n"/>
    </row>
    <row r="346">
      <c r="A346" s="19" t="n">
        <v>342</v>
      </c>
      <c r="B346" s="20" t="inlineStr">
        <is>
          <t>박지인</t>
        </is>
      </c>
      <c r="C346" s="20" t="inlineStr">
        <is>
          <t>이다영</t>
        </is>
      </c>
      <c r="D346" s="20" t="inlineStr">
        <is>
          <t>JWTBM27351</t>
        </is>
      </c>
      <c r="E346" s="20" t="inlineStr">
        <is>
          <t>남녀공용 그래픽 매쉬 긴팔 티셔츠</t>
        </is>
      </c>
      <c r="F346" s="20" t="inlineStr">
        <is>
          <t>GRY-1, BLK(BLACK)</t>
        </is>
      </c>
      <c r="G346" s="19">
        <f>IF($D346="","",IF(MID($D346,5,1)="S","S(봄)",IF(MID($D346,5,1)="M","M(여름)",IF(MID($D346,5,1)="X","X(사계절)",MID($D346,5,1)))))</f>
        <v/>
      </c>
      <c r="H346" s="20" t="inlineStr">
        <is>
          <t>CMT</t>
        </is>
      </c>
      <c r="I346" s="19" t="inlineStr">
        <is>
          <t>SM2</t>
        </is>
      </c>
      <c r="J346" s="21" t="inlineStr">
        <is>
          <t>4월2주</t>
        </is>
      </c>
      <c r="K346" s="22">
        <f>IF($J346="","",IFERROR(DATE(IF(VALUE(LEFT($J346,FIND("월",$J346)-1))&gt;=9,기준정보!$C$7-1,기준정보!$C$7),VALUE(LEFT($J346,FIND("월",$J346)-1)),1+7*(VALUE(SUBSTITUTE(MID($J346,FIND("월",$J346)+1,5),"주",""))-1)),""))</f>
        <v/>
      </c>
      <c r="L346" s="22">
        <f>IF($K346="","",IF(AND($K346-기준정보!$C$5&gt;=기준정보!$C$10,$K346-기준정보!$C$5&lt;=기준정보!$C$11),기준정보!$C$10-1,$K346-기준정보!$C$5))</f>
        <v/>
      </c>
      <c r="M346" s="23">
        <f>IF($L346="","",IF(OR(ISNUMBER(SEARCH("중국",$W346)),ISNUMBER(SEARCH("베트남",$W346))),MAX(0,MIN($L346,기준정보!$C$9)-MAX($L346-기준정보!$C$6,기준정보!$C$8)+1),IF(ISNUMBER(SEARCH("한국",$W346)),MAX(0,MIN($L346,기준정보!$C$11)-MAX($L346-기준정보!$C$6,기준정보!$C$10)+1),0)))</f>
        <v/>
      </c>
      <c r="N346" s="22">
        <f>IF($L346="","",$L346-기준정보!$C$6-$M346)</f>
        <v/>
      </c>
      <c r="O346" s="24">
        <f>IF($N346="","",$N346-기준정보!$C$4)</f>
        <v/>
      </c>
      <c r="P346" s="21" t="n"/>
      <c r="Q346" s="21" t="inlineStr">
        <is>
          <t>O</t>
        </is>
      </c>
      <c r="R346" s="19">
        <f>IF(COUNTIF(EDW_RAW!$A$2:$A$1500,$D346)=0,"",IF(COUNTIFS(EDW_RAW!$A$2:$A$1500,$D346,EDW_RAW!$U$2:$U$1500,"&lt;&gt;~",EDW_RAW!$U$2:$U$1500,"&lt;&gt;")=COUNTIF(EDW_RAW!$A$2:$A$1500,$D346),"O",IF(COUNTIFS(EDW_RAW!$A$2:$A$1500,$D346,EDW_RAW!$U$2:$U$1500,"&lt;&gt;~",EDW_RAW!$U$2:$U$1500,"&lt;&gt;")&gt;0,"부분","X")))</f>
        <v/>
      </c>
      <c r="S346" s="25" t="n"/>
      <c r="T346" s="20">
        <f>IF($H346="","",IF(AND(ISNUMBER(SEARCH("CMT",$H346)),OR(ISNUMBER(SEARCH("완사입",$H346)),ISNUMBER(SEARCH("ODM",$H346)))),"본사/생산처 혼재",IF(ISNUMBER(SEARCH("CMT",$H346)),"본사(소재팀)","생산처")))</f>
        <v/>
      </c>
      <c r="U346" s="20" t="inlineStr">
        <is>
          <t>호전실업</t>
        </is>
      </c>
      <c r="V346" s="20">
        <f>IFERROR(TEXTJOIN(" / ",TRUE,UNIQUE(FILTER(소재DB_RAW!$K$3:$K$2000,(소재DB_RAW!$G$3:$G$2000=$D346)*ISERROR(SEARCH("drop",소재DB_RAW!$C$3:$C$2000))))),"")</f>
        <v/>
      </c>
      <c r="W346" s="20" t="inlineStr">
        <is>
          <t>베트남</t>
        </is>
      </c>
      <c r="X346" s="20">
        <f>IFERROR(TEXTJOIN(" / ",TRUE,UNIQUE(FILTER(소재DB_RAW!$N$3:$N$2000,(소재DB_RAW!$G$3:$G$2000=$D346)*ISERROR(SEARCH("drop",소재DB_RAW!$C$3:$C$2000))))),"")</f>
        <v/>
      </c>
      <c r="Y346" s="26">
        <f>IFERROR(TEXTJOIN(CHAR(10),TRUE,UNIQUE(FILTER(소재DB_RAW!$N$3:$N$2000&amp;") "&amp;소재DB_RAW!$O$3:$O$2000,(소재DB_RAW!$G$3:$G$2000=$D346)*ISNUMBER(SEARCH("겉감",소재DB_RAW!$M$3:$M$2000))*ISERROR(SEARCH("drop",소재DB_RAW!$C$3:$C$2000))))),"")</f>
        <v/>
      </c>
      <c r="Z346" s="26">
        <f>IFERROR(TEXTJOIN(CHAR(10),TRUE,UNIQUE(FILTER(소재DB_RAW!$N$3:$N$2000&amp;") "&amp;소재DB_RAW!$O$3:$O$2000,(소재DB_RAW!$G$3:$G$2000=$D346)*ISNUMBER(SEARCH("안감",소재DB_RAW!$M$3:$M$2000))*ISERROR(SEARCH("drop",소재DB_RAW!$C$3:$C$2000))))),"")</f>
        <v/>
      </c>
      <c r="AA346" s="27" t="n">
        <v>950</v>
      </c>
      <c r="AB346" s="27" t="n">
        <v>35150000</v>
      </c>
      <c r="AC346" s="27" t="n">
        <v>140600000</v>
      </c>
      <c r="AD346" s="20" t="inlineStr">
        <is>
          <t>4월2주</t>
        </is>
      </c>
      <c r="AE346" s="20">
        <f>IF($K346="","출고일 미정",IF($Q346="X","작지 미발행",IF($Q346="부분","작지 일부 미발행",IF(AND($S346&lt;&gt;"",$S346&gt;$N346),"소재입고 마감("&amp;TEXT($N346,"MM/DD")&amp;") 초과",IF($Q346="","발행여부 확인 필요",IF($S346="","소재 입고일정 확인 필요","정상"))))))</f>
        <v/>
      </c>
      <c r="AF346" s="19">
        <f>IF($K346="","",IF(OR(LEFT($AE346,2)="작지",LEFT($AE346,4)="소재입고"),IF(LEFT($G346,1)="S","★ 납기위험(S코드)","◆ 지연주의"),IF($AE346="정상","✓ 정상","? 확인필요")))</f>
        <v/>
      </c>
      <c r="AG346" s="21" t="n"/>
      <c r="AH346" s="28" t="n"/>
    </row>
    <row r="347">
      <c r="A347" s="19" t="n">
        <v>343</v>
      </c>
      <c r="B347" s="20" t="inlineStr">
        <is>
          <t>김준래</t>
        </is>
      </c>
      <c r="C347" s="20" t="inlineStr">
        <is>
          <t>권혁일</t>
        </is>
      </c>
      <c r="D347" s="20" t="inlineStr">
        <is>
          <t>TLTCM27517</t>
        </is>
      </c>
      <c r="E347" s="20" t="inlineStr">
        <is>
          <t>하절 남성 소로나 릴렉스핏 그래픽 반팔 티셔츠</t>
        </is>
      </c>
      <c r="F347" s="20" t="inlineStr">
        <is>
          <t>MUD, BLK(BLACK)</t>
        </is>
      </c>
      <c r="G347" s="19">
        <f>IF($D347="","",IF(MID($D347,5,1)="S","S(봄)",IF(MID($D347,5,1)="M","M(여름)",IF(MID($D347,5,1)="X","X(사계절)",MID($D347,5,1)))))</f>
        <v/>
      </c>
      <c r="H347" s="20" t="inlineStr">
        <is>
          <t>완사입</t>
        </is>
      </c>
      <c r="I347" s="19" t="inlineStr"/>
      <c r="J347" s="21" t="inlineStr">
        <is>
          <t>4월2주</t>
        </is>
      </c>
      <c r="K347" s="22">
        <f>IF($J347="","",IFERROR(DATE(IF(VALUE(LEFT($J347,FIND("월",$J347)-1))&gt;=9,기준정보!$C$7-1,기준정보!$C$7),VALUE(LEFT($J347,FIND("월",$J347)-1)),1+7*(VALUE(SUBSTITUTE(MID($J347,FIND("월",$J347)+1,5),"주",""))-1)),""))</f>
        <v/>
      </c>
      <c r="L347" s="22">
        <f>IF($K347="","",IF(AND($K347-기준정보!$C$5&gt;=기준정보!$C$10,$K347-기준정보!$C$5&lt;=기준정보!$C$11),기준정보!$C$10-1,$K347-기준정보!$C$5))</f>
        <v/>
      </c>
      <c r="M347" s="23">
        <f>IF($L347="","",IF(OR(ISNUMBER(SEARCH("중국",$W347)),ISNUMBER(SEARCH("베트남",$W347))),MAX(0,MIN($L347,기준정보!$C$9)-MAX($L347-기준정보!$C$6,기준정보!$C$8)+1),IF(ISNUMBER(SEARCH("한국",$W347)),MAX(0,MIN($L347,기준정보!$C$11)-MAX($L347-기준정보!$C$6,기준정보!$C$10)+1),0)))</f>
        <v/>
      </c>
      <c r="N347" s="22">
        <f>IF($L347="","",$L347-기준정보!$C$6-$M347)</f>
        <v/>
      </c>
      <c r="O347" s="24">
        <f>IF($N347="","",$N347-기준정보!$C$4)</f>
        <v/>
      </c>
      <c r="P347" s="21" t="n"/>
      <c r="Q347" s="21" t="inlineStr">
        <is>
          <t>O</t>
        </is>
      </c>
      <c r="R347" s="19">
        <f>IF(COUNTIF(EDW_RAW!$A$2:$A$1500,$D347)=0,"",IF(COUNTIFS(EDW_RAW!$A$2:$A$1500,$D347,EDW_RAW!$U$2:$U$1500,"&lt;&gt;~",EDW_RAW!$U$2:$U$1500,"&lt;&gt;")=COUNTIF(EDW_RAW!$A$2:$A$1500,$D347),"O",IF(COUNTIFS(EDW_RAW!$A$2:$A$1500,$D347,EDW_RAW!$U$2:$U$1500,"&lt;&gt;~",EDW_RAW!$U$2:$U$1500,"&lt;&gt;")&gt;0,"부분","X")))</f>
        <v/>
      </c>
      <c r="S347" s="25" t="n"/>
      <c r="T347" s="20">
        <f>IF($H347="","",IF(AND(ISNUMBER(SEARCH("CMT",$H347)),OR(ISNUMBER(SEARCH("완사입",$H347)),ISNUMBER(SEARCH("ODM",$H347)))),"본사/생산처 혼재",IF(ISNUMBER(SEARCH("CMT",$H347)),"본사(소재팀)","생산처")))</f>
        <v/>
      </c>
      <c r="U347" s="20" t="inlineStr">
        <is>
          <t>장안</t>
        </is>
      </c>
      <c r="V347" s="20">
        <f>IFERROR(TEXTJOIN(" / ",TRUE,UNIQUE(FILTER(소재DB_RAW!$K$3:$K$2000,(소재DB_RAW!$G$3:$G$2000=$D347)*ISERROR(SEARCH("drop",소재DB_RAW!$C$3:$C$2000))))),"")</f>
        <v/>
      </c>
      <c r="W347" s="20" t="inlineStr">
        <is>
          <t>베트남</t>
        </is>
      </c>
      <c r="X347" s="20">
        <f>IFERROR(TEXTJOIN(" / ",TRUE,UNIQUE(FILTER(소재DB_RAW!$N$3:$N$2000,(소재DB_RAW!$G$3:$G$2000=$D347)*ISERROR(SEARCH("drop",소재DB_RAW!$C$3:$C$2000))))),"")</f>
        <v/>
      </c>
      <c r="Y347" s="26">
        <f>IFERROR(TEXTJOIN(CHAR(10),TRUE,UNIQUE(FILTER(소재DB_RAW!$N$3:$N$2000&amp;") "&amp;소재DB_RAW!$O$3:$O$2000,(소재DB_RAW!$G$3:$G$2000=$D347)*ISNUMBER(SEARCH("겉감",소재DB_RAW!$M$3:$M$2000))*ISERROR(SEARCH("drop",소재DB_RAW!$C$3:$C$2000))))),"")</f>
        <v/>
      </c>
      <c r="Z347" s="26">
        <f>IFERROR(TEXTJOIN(CHAR(10),TRUE,UNIQUE(FILTER(소재DB_RAW!$N$3:$N$2000&amp;") "&amp;소재DB_RAW!$O$3:$O$2000,(소재DB_RAW!$G$3:$G$2000=$D347)*ISNUMBER(SEARCH("안감",소재DB_RAW!$M$3:$M$2000))*ISERROR(SEARCH("drop",소재DB_RAW!$C$3:$C$2000))))),"")</f>
        <v/>
      </c>
      <c r="AA347" s="27" t="n">
        <v>3000</v>
      </c>
      <c r="AB347" s="27" t="n">
        <v>36069000</v>
      </c>
      <c r="AC347" s="27" t="n">
        <v>234000000</v>
      </c>
      <c r="AD347" s="20" t="inlineStr">
        <is>
          <t>4월 2주</t>
        </is>
      </c>
      <c r="AE347" s="20">
        <f>IF($K347="","출고일 미정",IF($Q347="X","작지 미발행",IF($Q347="부분","작지 일부 미발행",IF(AND($S347&lt;&gt;"",$S347&gt;$N347),"소재입고 마감("&amp;TEXT($N347,"MM/DD")&amp;") 초과",IF($Q347="","발행여부 확인 필요",IF($S347="","소재 입고일정 확인 필요","정상"))))))</f>
        <v/>
      </c>
      <c r="AF347" s="19">
        <f>IF($K347="","",IF(OR(LEFT($AE347,2)="작지",LEFT($AE347,4)="소재입고"),IF(LEFT($G347,1)="S","★ 납기위험(S코드)","◆ 지연주의"),IF($AE347="정상","✓ 정상","? 확인필요")))</f>
        <v/>
      </c>
      <c r="AG347" s="21" t="n"/>
      <c r="AH347" s="28" t="n"/>
    </row>
    <row r="348">
      <c r="A348" s="19" t="n">
        <v>344</v>
      </c>
      <c r="B348" s="20" t="inlineStr">
        <is>
          <t>김준래</t>
        </is>
      </c>
      <c r="C348" s="20" t="inlineStr">
        <is>
          <t>권혁일</t>
        </is>
      </c>
      <c r="D348" s="20" t="inlineStr">
        <is>
          <t>TLTCM27519</t>
        </is>
      </c>
      <c r="E348" s="20" t="inlineStr">
        <is>
          <t>하절 남녀공용 소로나쿨(NP) 릴렉스핏 그래픽 반팔 티셔츠</t>
        </is>
      </c>
      <c r="F348" s="20" t="inlineStr">
        <is>
          <t>LGI(L/GREIGE), DGY-3</t>
        </is>
      </c>
      <c r="G348" s="19">
        <f>IF($D348="","",IF(MID($D348,5,1)="S","S(봄)",IF(MID($D348,5,1)="M","M(여름)",IF(MID($D348,5,1)="X","X(사계절)",MID($D348,5,1)))))</f>
        <v/>
      </c>
      <c r="H348" s="20" t="inlineStr">
        <is>
          <t>완사입</t>
        </is>
      </c>
      <c r="I348" s="19" t="inlineStr"/>
      <c r="J348" s="21" t="inlineStr">
        <is>
          <t>4월2주</t>
        </is>
      </c>
      <c r="K348" s="22">
        <f>IF($J348="","",IFERROR(DATE(IF(VALUE(LEFT($J348,FIND("월",$J348)-1))&gt;=9,기준정보!$C$7-1,기준정보!$C$7),VALUE(LEFT($J348,FIND("월",$J348)-1)),1+7*(VALUE(SUBSTITUTE(MID($J348,FIND("월",$J348)+1,5),"주",""))-1)),""))</f>
        <v/>
      </c>
      <c r="L348" s="22">
        <f>IF($K348="","",IF(AND($K348-기준정보!$C$5&gt;=기준정보!$C$10,$K348-기준정보!$C$5&lt;=기준정보!$C$11),기준정보!$C$10-1,$K348-기준정보!$C$5))</f>
        <v/>
      </c>
      <c r="M348" s="23">
        <f>IF($L348="","",IF(OR(ISNUMBER(SEARCH("중국",$W348)),ISNUMBER(SEARCH("베트남",$W348))),MAX(0,MIN($L348,기준정보!$C$9)-MAX($L348-기준정보!$C$6,기준정보!$C$8)+1),IF(ISNUMBER(SEARCH("한국",$W348)),MAX(0,MIN($L348,기준정보!$C$11)-MAX($L348-기준정보!$C$6,기준정보!$C$10)+1),0)))</f>
        <v/>
      </c>
      <c r="N348" s="22">
        <f>IF($L348="","",$L348-기준정보!$C$6-$M348)</f>
        <v/>
      </c>
      <c r="O348" s="24">
        <f>IF($N348="","",$N348-기준정보!$C$4)</f>
        <v/>
      </c>
      <c r="P348" s="21" t="n"/>
      <c r="Q348" s="21" t="inlineStr">
        <is>
          <t>O</t>
        </is>
      </c>
      <c r="R348" s="19">
        <f>IF(COUNTIF(EDW_RAW!$A$2:$A$1500,$D348)=0,"",IF(COUNTIFS(EDW_RAW!$A$2:$A$1500,$D348,EDW_RAW!$U$2:$U$1500,"&lt;&gt;~",EDW_RAW!$U$2:$U$1500,"&lt;&gt;")=COUNTIF(EDW_RAW!$A$2:$A$1500,$D348),"O",IF(COUNTIFS(EDW_RAW!$A$2:$A$1500,$D348,EDW_RAW!$U$2:$U$1500,"&lt;&gt;~",EDW_RAW!$U$2:$U$1500,"&lt;&gt;")&gt;0,"부분","X")))</f>
        <v/>
      </c>
      <c r="S348" s="25" t="n"/>
      <c r="T348" s="20">
        <f>IF($H348="","",IF(AND(ISNUMBER(SEARCH("CMT",$H348)),OR(ISNUMBER(SEARCH("완사입",$H348)),ISNUMBER(SEARCH("ODM",$H348)))),"본사/생산처 혼재",IF(ISNUMBER(SEARCH("CMT",$H348)),"본사(소재팀)","생산처")))</f>
        <v/>
      </c>
      <c r="U348" s="20" t="inlineStr">
        <is>
          <t>장안</t>
        </is>
      </c>
      <c r="V348" s="20">
        <f>IFERROR(TEXTJOIN(" / ",TRUE,UNIQUE(FILTER(소재DB_RAW!$K$3:$K$2000,(소재DB_RAW!$G$3:$G$2000=$D348)*ISERROR(SEARCH("drop",소재DB_RAW!$C$3:$C$2000))))),"")</f>
        <v/>
      </c>
      <c r="W348" s="20" t="inlineStr">
        <is>
          <t>베트남</t>
        </is>
      </c>
      <c r="X348" s="20">
        <f>IFERROR(TEXTJOIN(" / ",TRUE,UNIQUE(FILTER(소재DB_RAW!$N$3:$N$2000,(소재DB_RAW!$G$3:$G$2000=$D348)*ISERROR(SEARCH("drop",소재DB_RAW!$C$3:$C$2000))))),"")</f>
        <v/>
      </c>
      <c r="Y348" s="26">
        <f>IFERROR(TEXTJOIN(CHAR(10),TRUE,UNIQUE(FILTER(소재DB_RAW!$N$3:$N$2000&amp;") "&amp;소재DB_RAW!$O$3:$O$2000,(소재DB_RAW!$G$3:$G$2000=$D348)*ISNUMBER(SEARCH("겉감",소재DB_RAW!$M$3:$M$2000))*ISERROR(SEARCH("drop",소재DB_RAW!$C$3:$C$2000))))),"")</f>
        <v/>
      </c>
      <c r="Z348" s="26">
        <f>IFERROR(TEXTJOIN(CHAR(10),TRUE,UNIQUE(FILTER(소재DB_RAW!$N$3:$N$2000&amp;") "&amp;소재DB_RAW!$O$3:$O$2000,(소재DB_RAW!$G$3:$G$2000=$D348)*ISNUMBER(SEARCH("안감",소재DB_RAW!$M$3:$M$2000))*ISERROR(SEARCH("drop",소재DB_RAW!$C$3:$C$2000))))),"")</f>
        <v/>
      </c>
      <c r="AA348" s="27" t="n">
        <v>3000</v>
      </c>
      <c r="AB348" s="27" t="n">
        <v>45762000</v>
      </c>
      <c r="AC348" s="27" t="n">
        <v>264000000</v>
      </c>
      <c r="AD348" s="20" t="inlineStr">
        <is>
          <t>4월 2주</t>
        </is>
      </c>
      <c r="AE348" s="20">
        <f>IF($K348="","출고일 미정",IF($Q348="X","작지 미발행",IF($Q348="부분","작지 일부 미발행",IF(AND($S348&lt;&gt;"",$S348&gt;$N348),"소재입고 마감("&amp;TEXT($N348,"MM/DD")&amp;") 초과",IF($Q348="","발행여부 확인 필요",IF($S348="","소재 입고일정 확인 필요","정상"))))))</f>
        <v/>
      </c>
      <c r="AF348" s="19">
        <f>IF($K348="","",IF(OR(LEFT($AE348,2)="작지",LEFT($AE348,4)="소재입고"),IF(LEFT($G348,1)="S","★ 납기위험(S코드)","◆ 지연주의"),IF($AE348="정상","✓ 정상","? 확인필요")))</f>
        <v/>
      </c>
      <c r="AG348" s="21" t="n"/>
      <c r="AH348" s="28" t="n"/>
    </row>
    <row r="349">
      <c r="A349" s="19" t="n">
        <v>345</v>
      </c>
      <c r="B349" s="20" t="inlineStr">
        <is>
          <t>김준래</t>
        </is>
      </c>
      <c r="C349" s="20" t="inlineStr">
        <is>
          <t>권혁일</t>
        </is>
      </c>
      <c r="D349" s="20" t="inlineStr">
        <is>
          <t>TVTCM27514</t>
        </is>
      </c>
      <c r="E349" s="20" t="inlineStr">
        <is>
          <t>하절 여성 CP소로나쿨 그래픽 크롭 반팔 티셔츠</t>
        </is>
      </c>
      <c r="F349" s="20" t="inlineStr">
        <is>
          <t>IVO(IVORY), DNA(D/NAVY)</t>
        </is>
      </c>
      <c r="G349" s="19">
        <f>IF($D349="","",IF(MID($D349,5,1)="S","S(봄)",IF(MID($D349,5,1)="M","M(여름)",IF(MID($D349,5,1)="X","X(사계절)",MID($D349,5,1)))))</f>
        <v/>
      </c>
      <c r="H349" s="20" t="inlineStr">
        <is>
          <t>완사입</t>
        </is>
      </c>
      <c r="I349" s="19" t="inlineStr"/>
      <c r="J349" s="21" t="inlineStr">
        <is>
          <t>4월2주</t>
        </is>
      </c>
      <c r="K349" s="22">
        <f>IF($J349="","",IFERROR(DATE(IF(VALUE(LEFT($J349,FIND("월",$J349)-1))&gt;=9,기준정보!$C$7-1,기준정보!$C$7),VALUE(LEFT($J349,FIND("월",$J349)-1)),1+7*(VALUE(SUBSTITUTE(MID($J349,FIND("월",$J349)+1,5),"주",""))-1)),""))</f>
        <v/>
      </c>
      <c r="L349" s="22">
        <f>IF($K349="","",IF(AND($K349-기준정보!$C$5&gt;=기준정보!$C$10,$K349-기준정보!$C$5&lt;=기준정보!$C$11),기준정보!$C$10-1,$K349-기준정보!$C$5))</f>
        <v/>
      </c>
      <c r="M349" s="23">
        <f>IF($L349="","",IF(OR(ISNUMBER(SEARCH("중국",$W349)),ISNUMBER(SEARCH("베트남",$W349))),MAX(0,MIN($L349,기준정보!$C$9)-MAX($L349-기준정보!$C$6,기준정보!$C$8)+1),IF(ISNUMBER(SEARCH("한국",$W349)),MAX(0,MIN($L349,기준정보!$C$11)-MAX($L349-기준정보!$C$6,기준정보!$C$10)+1),0)))</f>
        <v/>
      </c>
      <c r="N349" s="22">
        <f>IF($L349="","",$L349-기준정보!$C$6-$M349)</f>
        <v/>
      </c>
      <c r="O349" s="24">
        <f>IF($N349="","",$N349-기준정보!$C$4)</f>
        <v/>
      </c>
      <c r="P349" s="21" t="n"/>
      <c r="Q349" s="21" t="inlineStr">
        <is>
          <t>O</t>
        </is>
      </c>
      <c r="R349" s="19">
        <f>IF(COUNTIF(EDW_RAW!$A$2:$A$1500,$D349)=0,"",IF(COUNTIFS(EDW_RAW!$A$2:$A$1500,$D349,EDW_RAW!$U$2:$U$1500,"&lt;&gt;~",EDW_RAW!$U$2:$U$1500,"&lt;&gt;")=COUNTIF(EDW_RAW!$A$2:$A$1500,$D349),"O",IF(COUNTIFS(EDW_RAW!$A$2:$A$1500,$D349,EDW_RAW!$U$2:$U$1500,"&lt;&gt;~",EDW_RAW!$U$2:$U$1500,"&lt;&gt;")&gt;0,"부분","X")))</f>
        <v/>
      </c>
      <c r="S349" s="25" t="n"/>
      <c r="T349" s="20">
        <f>IF($H349="","",IF(AND(ISNUMBER(SEARCH("CMT",$H349)),OR(ISNUMBER(SEARCH("완사입",$H349)),ISNUMBER(SEARCH("ODM",$H349)))),"본사/생산처 혼재",IF(ISNUMBER(SEARCH("CMT",$H349)),"본사(소재팀)","생산처")))</f>
        <v/>
      </c>
      <c r="U349" s="20" t="inlineStr">
        <is>
          <t>IKG</t>
        </is>
      </c>
      <c r="V349" s="20">
        <f>IFERROR(TEXTJOIN(" / ",TRUE,UNIQUE(FILTER(소재DB_RAW!$K$3:$K$2000,(소재DB_RAW!$G$3:$G$2000=$D349)*ISERROR(SEARCH("drop",소재DB_RAW!$C$3:$C$2000))))),"")</f>
        <v/>
      </c>
      <c r="W349" s="20" t="inlineStr">
        <is>
          <t>인도네시아</t>
        </is>
      </c>
      <c r="X349" s="20">
        <f>IFERROR(TEXTJOIN(" / ",TRUE,UNIQUE(FILTER(소재DB_RAW!$N$3:$N$2000,(소재DB_RAW!$G$3:$G$2000=$D349)*ISERROR(SEARCH("drop",소재DB_RAW!$C$3:$C$2000))))),"")</f>
        <v/>
      </c>
      <c r="Y349" s="26">
        <f>IFERROR(TEXTJOIN(CHAR(10),TRUE,UNIQUE(FILTER(소재DB_RAW!$N$3:$N$2000&amp;") "&amp;소재DB_RAW!$O$3:$O$2000,(소재DB_RAW!$G$3:$G$2000=$D349)*ISNUMBER(SEARCH("겉감",소재DB_RAW!$M$3:$M$2000))*ISERROR(SEARCH("drop",소재DB_RAW!$C$3:$C$2000))))),"")</f>
        <v/>
      </c>
      <c r="Z349" s="26">
        <f>IFERROR(TEXTJOIN(CHAR(10),TRUE,UNIQUE(FILTER(소재DB_RAW!$N$3:$N$2000&amp;") "&amp;소재DB_RAW!$O$3:$O$2000,(소재DB_RAW!$G$3:$G$2000=$D349)*ISNUMBER(SEARCH("안감",소재DB_RAW!$M$3:$M$2000))*ISERROR(SEARCH("drop",소재DB_RAW!$C$3:$C$2000))))),"")</f>
        <v/>
      </c>
      <c r="AA349" s="27" t="n">
        <v>3000</v>
      </c>
      <c r="AB349" s="27" t="n">
        <v>35889000</v>
      </c>
      <c r="AC349" s="27" t="n">
        <v>234000000</v>
      </c>
      <c r="AD349" s="20" t="inlineStr">
        <is>
          <t>4월 2주</t>
        </is>
      </c>
      <c r="AE349" s="20">
        <f>IF($K349="","출고일 미정",IF($Q349="X","작지 미발행",IF($Q349="부분","작지 일부 미발행",IF(AND($S349&lt;&gt;"",$S349&gt;$N349),"소재입고 마감("&amp;TEXT($N349,"MM/DD")&amp;") 초과",IF($Q349="","발행여부 확인 필요",IF($S349="","소재 입고일정 확인 필요","정상"))))))</f>
        <v/>
      </c>
      <c r="AF349" s="19">
        <f>IF($K349="","",IF(OR(LEFT($AE349,2)="작지",LEFT($AE349,4)="소재입고"),IF(LEFT($G349,1)="S","★ 납기위험(S코드)","◆ 지연주의"),IF($AE349="정상","✓ 정상","? 확인필요")))</f>
        <v/>
      </c>
      <c r="AG349" s="21" t="n"/>
      <c r="AH349" s="28" t="n"/>
    </row>
    <row r="350">
      <c r="A350" s="19" t="n">
        <v>346</v>
      </c>
      <c r="B350" s="20" t="inlineStr">
        <is>
          <t>박진아</t>
        </is>
      </c>
      <c r="C350" s="20" t="inlineStr">
        <is>
          <t>조이슬</t>
        </is>
      </c>
      <c r="D350" s="20" t="inlineStr">
        <is>
          <t>JKPOM27172</t>
        </is>
      </c>
      <c r="E350" s="20" t="inlineStr">
        <is>
          <t>하절 여성 7부 카고 팬츠</t>
        </is>
      </c>
      <c r="F350" s="20" t="inlineStr">
        <is>
          <t>BLK(BLACK), WBE</t>
        </is>
      </c>
      <c r="G350" s="19">
        <f>IF($D350="","",IF(MID($D350,5,1)="S","S(봄)",IF(MID($D350,5,1)="M","M(여름)",IF(MID($D350,5,1)="X","X(사계절)",MID($D350,5,1)))))</f>
        <v/>
      </c>
      <c r="H350" s="20" t="inlineStr">
        <is>
          <t>CMT</t>
        </is>
      </c>
      <c r="I350" s="19" t="inlineStr"/>
      <c r="J350" s="21" t="inlineStr">
        <is>
          <t>4월3주</t>
        </is>
      </c>
      <c r="K350" s="22">
        <f>IF($J350="","",IFERROR(DATE(IF(VALUE(LEFT($J350,FIND("월",$J350)-1))&gt;=9,기준정보!$C$7-1,기준정보!$C$7),VALUE(LEFT($J350,FIND("월",$J350)-1)),1+7*(VALUE(SUBSTITUTE(MID($J350,FIND("월",$J350)+1,5),"주",""))-1)),""))</f>
        <v/>
      </c>
      <c r="L350" s="22">
        <f>IF($K350="","",IF(AND($K350-기준정보!$C$5&gt;=기준정보!$C$10,$K350-기준정보!$C$5&lt;=기준정보!$C$11),기준정보!$C$10-1,$K350-기준정보!$C$5))</f>
        <v/>
      </c>
      <c r="M350" s="23">
        <f>IF($L350="","",IF(OR(ISNUMBER(SEARCH("중국",$W350)),ISNUMBER(SEARCH("베트남",$W350))),MAX(0,MIN($L350,기준정보!$C$9)-MAX($L350-기준정보!$C$6,기준정보!$C$8)+1),IF(ISNUMBER(SEARCH("한국",$W350)),MAX(0,MIN($L350,기준정보!$C$11)-MAX($L350-기준정보!$C$6,기준정보!$C$10)+1),0)))</f>
        <v/>
      </c>
      <c r="N350" s="22">
        <f>IF($L350="","",$L350-기준정보!$C$6-$M350)</f>
        <v/>
      </c>
      <c r="O350" s="24">
        <f>IF($N350="","",$N350-기준정보!$C$4)</f>
        <v/>
      </c>
      <c r="P350" s="21" t="n"/>
      <c r="Q350" s="21" t="inlineStr">
        <is>
          <t>O</t>
        </is>
      </c>
      <c r="R350" s="19">
        <f>IF(COUNTIF(EDW_RAW!$A$2:$A$1500,$D350)=0,"",IF(COUNTIFS(EDW_RAW!$A$2:$A$1500,$D350,EDW_RAW!$U$2:$U$1500,"&lt;&gt;~",EDW_RAW!$U$2:$U$1500,"&lt;&gt;")=COUNTIF(EDW_RAW!$A$2:$A$1500,$D350),"O",IF(COUNTIFS(EDW_RAW!$A$2:$A$1500,$D350,EDW_RAW!$U$2:$U$1500,"&lt;&gt;~",EDW_RAW!$U$2:$U$1500,"&lt;&gt;")&gt;0,"부분","X")))</f>
        <v/>
      </c>
      <c r="S350" s="25" t="n"/>
      <c r="T350" s="20">
        <f>IF($H350="","",IF(AND(ISNUMBER(SEARCH("CMT",$H350)),OR(ISNUMBER(SEARCH("완사입",$H350)),ISNUMBER(SEARCH("ODM",$H350)))),"본사/생산처 혼재",IF(ISNUMBER(SEARCH("CMT",$H350)),"본사(소재팀)","생산처")))</f>
        <v/>
      </c>
      <c r="U350" s="20" t="inlineStr">
        <is>
          <t>YIC</t>
        </is>
      </c>
      <c r="V350" s="20">
        <f>IFERROR(TEXTJOIN(" / ",TRUE,UNIQUE(FILTER(소재DB_RAW!$K$3:$K$2000,(소재DB_RAW!$G$3:$G$2000=$D350)*ISERROR(SEARCH("drop",소재DB_RAW!$C$3:$C$2000))))),"")</f>
        <v/>
      </c>
      <c r="W350" s="20" t="inlineStr">
        <is>
          <t>베트남</t>
        </is>
      </c>
      <c r="X350" s="20">
        <f>IFERROR(TEXTJOIN(" / ",TRUE,UNIQUE(FILTER(소재DB_RAW!$N$3:$N$2000,(소재DB_RAW!$G$3:$G$2000=$D350)*ISERROR(SEARCH("drop",소재DB_RAW!$C$3:$C$2000))))),"")</f>
        <v/>
      </c>
      <c r="Y350" s="26">
        <f>IFERROR(TEXTJOIN(CHAR(10),TRUE,UNIQUE(FILTER(소재DB_RAW!$N$3:$N$2000&amp;") "&amp;소재DB_RAW!$O$3:$O$2000,(소재DB_RAW!$G$3:$G$2000=$D350)*ISNUMBER(SEARCH("겉감",소재DB_RAW!$M$3:$M$2000))*ISERROR(SEARCH("drop",소재DB_RAW!$C$3:$C$2000))))),"")</f>
        <v/>
      </c>
      <c r="Z350" s="26">
        <f>IFERROR(TEXTJOIN(CHAR(10),TRUE,UNIQUE(FILTER(소재DB_RAW!$N$3:$N$2000&amp;") "&amp;소재DB_RAW!$O$3:$O$2000,(소재DB_RAW!$G$3:$G$2000=$D350)*ISNUMBER(SEARCH("안감",소재DB_RAW!$M$3:$M$2000))*ISERROR(SEARCH("drop",소재DB_RAW!$C$3:$C$2000))))),"")</f>
        <v/>
      </c>
      <c r="AA350" s="27" t="n">
        <v>3000</v>
      </c>
      <c r="AB350" s="27" t="n">
        <v>87753000</v>
      </c>
      <c r="AC350" s="27" t="n">
        <v>474000000</v>
      </c>
      <c r="AD350" s="20" t="inlineStr">
        <is>
          <t>4월3주</t>
        </is>
      </c>
      <c r="AE350" s="20">
        <f>IF($K350="","출고일 미정",IF($Q350="X","작지 미발행",IF($Q350="부분","작지 일부 미발행",IF(AND($S350&lt;&gt;"",$S350&gt;$N350),"소재입고 마감("&amp;TEXT($N350,"MM/DD")&amp;") 초과",IF($Q350="","발행여부 확인 필요",IF($S350="","소재 입고일정 확인 필요","정상"))))))</f>
        <v/>
      </c>
      <c r="AF350" s="19">
        <f>IF($K350="","",IF(OR(LEFT($AE350,2)="작지",LEFT($AE350,4)="소재입고"),IF(LEFT($G350,1)="S","★ 납기위험(S코드)","◆ 지연주의"),IF($AE350="정상","✓ 정상","? 확인필요")))</f>
        <v/>
      </c>
      <c r="AG350" s="21" t="n"/>
      <c r="AH350" s="28" t="n"/>
    </row>
    <row r="351">
      <c r="A351" s="19" t="n">
        <v>347</v>
      </c>
      <c r="B351" s="20" t="inlineStr">
        <is>
          <t>박진아</t>
        </is>
      </c>
      <c r="C351" s="20" t="inlineStr">
        <is>
          <t>조이슬</t>
        </is>
      </c>
      <c r="D351" s="20" t="inlineStr">
        <is>
          <t>JKPOM27174</t>
        </is>
      </c>
      <c r="E351" s="20" t="inlineStr">
        <is>
          <t>하절 여성 8부 스탠다드 팬츠</t>
        </is>
      </c>
      <c r="F351" s="20" t="inlineStr">
        <is>
          <t>CIN(CINDER), WGY</t>
        </is>
      </c>
      <c r="G351" s="19">
        <f>IF($D351="","",IF(MID($D351,5,1)="S","S(봄)",IF(MID($D351,5,1)="M","M(여름)",IF(MID($D351,5,1)="X","X(사계절)",MID($D351,5,1)))))</f>
        <v/>
      </c>
      <c r="H351" s="20" t="inlineStr">
        <is>
          <t>CMT</t>
        </is>
      </c>
      <c r="I351" s="19" t="inlineStr"/>
      <c r="J351" s="21" t="inlineStr">
        <is>
          <t>4월3주</t>
        </is>
      </c>
      <c r="K351" s="22">
        <f>IF($J351="","",IFERROR(DATE(IF(VALUE(LEFT($J351,FIND("월",$J351)-1))&gt;=9,기준정보!$C$7-1,기준정보!$C$7),VALUE(LEFT($J351,FIND("월",$J351)-1)),1+7*(VALUE(SUBSTITUTE(MID($J351,FIND("월",$J351)+1,5),"주",""))-1)),""))</f>
        <v/>
      </c>
      <c r="L351" s="22">
        <f>IF($K351="","",IF(AND($K351-기준정보!$C$5&gt;=기준정보!$C$10,$K351-기준정보!$C$5&lt;=기준정보!$C$11),기준정보!$C$10-1,$K351-기준정보!$C$5))</f>
        <v/>
      </c>
      <c r="M351" s="23">
        <f>IF($L351="","",IF(OR(ISNUMBER(SEARCH("중국",$W351)),ISNUMBER(SEARCH("베트남",$W351))),MAX(0,MIN($L351,기준정보!$C$9)-MAX($L351-기준정보!$C$6,기준정보!$C$8)+1),IF(ISNUMBER(SEARCH("한국",$W351)),MAX(0,MIN($L351,기준정보!$C$11)-MAX($L351-기준정보!$C$6,기준정보!$C$10)+1),0)))</f>
        <v/>
      </c>
      <c r="N351" s="22">
        <f>IF($L351="","",$L351-기준정보!$C$6-$M351)</f>
        <v/>
      </c>
      <c r="O351" s="24">
        <f>IF($N351="","",$N351-기준정보!$C$4)</f>
        <v/>
      </c>
      <c r="P351" s="21" t="n"/>
      <c r="Q351" s="21" t="inlineStr">
        <is>
          <t>O</t>
        </is>
      </c>
      <c r="R351" s="19">
        <f>IF(COUNTIF(EDW_RAW!$A$2:$A$1500,$D351)=0,"",IF(COUNTIFS(EDW_RAW!$A$2:$A$1500,$D351,EDW_RAW!$U$2:$U$1500,"&lt;&gt;~",EDW_RAW!$U$2:$U$1500,"&lt;&gt;")=COUNTIF(EDW_RAW!$A$2:$A$1500,$D351),"O",IF(COUNTIFS(EDW_RAW!$A$2:$A$1500,$D351,EDW_RAW!$U$2:$U$1500,"&lt;&gt;~",EDW_RAW!$U$2:$U$1500,"&lt;&gt;")&gt;0,"부분","X")))</f>
        <v/>
      </c>
      <c r="S351" s="25" t="n"/>
      <c r="T351" s="20">
        <f>IF($H351="","",IF(AND(ISNUMBER(SEARCH("CMT",$H351)),OR(ISNUMBER(SEARCH("완사입",$H351)),ISNUMBER(SEARCH("ODM",$H351)))),"본사/생산처 혼재",IF(ISNUMBER(SEARCH("CMT",$H351)),"본사(소재팀)","생산처")))</f>
        <v/>
      </c>
      <c r="U351" s="20" t="inlineStr">
        <is>
          <t>디코드</t>
        </is>
      </c>
      <c r="V351" s="20">
        <f>IFERROR(TEXTJOIN(" / ",TRUE,UNIQUE(FILTER(소재DB_RAW!$K$3:$K$2000,(소재DB_RAW!$G$3:$G$2000=$D351)*ISERROR(SEARCH("drop",소재DB_RAW!$C$3:$C$2000))))),"")</f>
        <v/>
      </c>
      <c r="W351" s="20" t="inlineStr">
        <is>
          <t>베트남</t>
        </is>
      </c>
      <c r="X351" s="20">
        <f>IFERROR(TEXTJOIN(" / ",TRUE,UNIQUE(FILTER(소재DB_RAW!$N$3:$N$2000,(소재DB_RAW!$G$3:$G$2000=$D351)*ISERROR(SEARCH("drop",소재DB_RAW!$C$3:$C$2000))))),"")</f>
        <v/>
      </c>
      <c r="Y351" s="26">
        <f>IFERROR(TEXTJOIN(CHAR(10),TRUE,UNIQUE(FILTER(소재DB_RAW!$N$3:$N$2000&amp;") "&amp;소재DB_RAW!$O$3:$O$2000,(소재DB_RAW!$G$3:$G$2000=$D351)*ISNUMBER(SEARCH("겉감",소재DB_RAW!$M$3:$M$2000))*ISERROR(SEARCH("drop",소재DB_RAW!$C$3:$C$2000))))),"")</f>
        <v/>
      </c>
      <c r="Z351" s="26">
        <f>IFERROR(TEXTJOIN(CHAR(10),TRUE,UNIQUE(FILTER(소재DB_RAW!$N$3:$N$2000&amp;") "&amp;소재DB_RAW!$O$3:$O$2000,(소재DB_RAW!$G$3:$G$2000=$D351)*ISNUMBER(SEARCH("안감",소재DB_RAW!$M$3:$M$2000))*ISERROR(SEARCH("drop",소재DB_RAW!$C$3:$C$2000))))),"")</f>
        <v/>
      </c>
      <c r="AA351" s="27" t="n">
        <v>7500</v>
      </c>
      <c r="AB351" s="27" t="n">
        <v>168255000</v>
      </c>
      <c r="AC351" s="27" t="n">
        <v>1110000000</v>
      </c>
      <c r="AD351" s="20" t="inlineStr">
        <is>
          <t>4월3주</t>
        </is>
      </c>
      <c r="AE351" s="20">
        <f>IF($K351="","출고일 미정",IF($Q351="X","작지 미발행",IF($Q351="부분","작지 일부 미발행",IF(AND($S351&lt;&gt;"",$S351&gt;$N351),"소재입고 마감("&amp;TEXT($N351,"MM/DD")&amp;") 초과",IF($Q351="","발행여부 확인 필요",IF($S351="","소재 입고일정 확인 필요","정상"))))))</f>
        <v/>
      </c>
      <c r="AF351" s="19">
        <f>IF($K351="","",IF(OR(LEFT($AE351,2)="작지",LEFT($AE351,4)="소재입고"),IF(LEFT($G351,1)="S","★ 납기위험(S코드)","◆ 지연주의"),IF($AE351="정상","✓ 정상","? 확인필요")))</f>
        <v/>
      </c>
      <c r="AG351" s="21" t="n"/>
      <c r="AH351" s="28" t="n"/>
    </row>
    <row r="352">
      <c r="A352" s="19" t="n">
        <v>348</v>
      </c>
      <c r="B352" s="20" t="inlineStr">
        <is>
          <t>박진아</t>
        </is>
      </c>
      <c r="C352" s="20" t="inlineStr">
        <is>
          <t>조아슬</t>
        </is>
      </c>
      <c r="D352" s="20" t="inlineStr">
        <is>
          <t>JKTCM27148</t>
        </is>
      </c>
      <c r="E352" s="20" t="inlineStr">
        <is>
          <t>여성 소로나쿨(NP) 레귤러핏 그래픽 티셔츠</t>
        </is>
      </c>
      <c r="F352" s="20" t="inlineStr">
        <is>
          <t>LSL, MIN</t>
        </is>
      </c>
      <c r="G352" s="19">
        <f>IF($D352="","",IF(MID($D352,5,1)="S","S(봄)",IF(MID($D352,5,1)="M","M(여름)",IF(MID($D352,5,1)="X","X(사계절)",MID($D352,5,1)))))</f>
        <v/>
      </c>
      <c r="H352" s="20" t="inlineStr">
        <is>
          <t>완사입</t>
        </is>
      </c>
      <c r="I352" s="19" t="inlineStr"/>
      <c r="J352" s="21" t="inlineStr">
        <is>
          <t>4월3주</t>
        </is>
      </c>
      <c r="K352" s="22">
        <f>IF($J352="","",IFERROR(DATE(IF(VALUE(LEFT($J352,FIND("월",$J352)-1))&gt;=9,기준정보!$C$7-1,기준정보!$C$7),VALUE(LEFT($J352,FIND("월",$J352)-1)),1+7*(VALUE(SUBSTITUTE(MID($J352,FIND("월",$J352)+1,5),"주",""))-1)),""))</f>
        <v/>
      </c>
      <c r="L352" s="22">
        <f>IF($K352="","",IF(AND($K352-기준정보!$C$5&gt;=기준정보!$C$10,$K352-기준정보!$C$5&lt;=기준정보!$C$11),기준정보!$C$10-1,$K352-기준정보!$C$5))</f>
        <v/>
      </c>
      <c r="M352" s="23">
        <f>IF($L352="","",IF(OR(ISNUMBER(SEARCH("중국",$W352)),ISNUMBER(SEARCH("베트남",$W352))),MAX(0,MIN($L352,기준정보!$C$9)-MAX($L352-기준정보!$C$6,기준정보!$C$8)+1),IF(ISNUMBER(SEARCH("한국",$W352)),MAX(0,MIN($L352,기준정보!$C$11)-MAX($L352-기준정보!$C$6,기준정보!$C$10)+1),0)))</f>
        <v/>
      </c>
      <c r="N352" s="22">
        <f>IF($L352="","",$L352-기준정보!$C$6-$M352)</f>
        <v/>
      </c>
      <c r="O352" s="24">
        <f>IF($N352="","",$N352-기준정보!$C$4)</f>
        <v/>
      </c>
      <c r="P352" s="21" t="n"/>
      <c r="Q352" s="21" t="inlineStr">
        <is>
          <t>O</t>
        </is>
      </c>
      <c r="R352" s="19">
        <f>IF(COUNTIF(EDW_RAW!$A$2:$A$1500,$D352)=0,"",IF(COUNTIFS(EDW_RAW!$A$2:$A$1500,$D352,EDW_RAW!$U$2:$U$1500,"&lt;&gt;~",EDW_RAW!$U$2:$U$1500,"&lt;&gt;")=COUNTIF(EDW_RAW!$A$2:$A$1500,$D352),"O",IF(COUNTIFS(EDW_RAW!$A$2:$A$1500,$D352,EDW_RAW!$U$2:$U$1500,"&lt;&gt;~",EDW_RAW!$U$2:$U$1500,"&lt;&gt;")&gt;0,"부분","X")))</f>
        <v/>
      </c>
      <c r="S352" s="25" t="n"/>
      <c r="T352" s="20">
        <f>IF($H352="","",IF(AND(ISNUMBER(SEARCH("CMT",$H352)),OR(ISNUMBER(SEARCH("완사입",$H352)),ISNUMBER(SEARCH("ODM",$H352)))),"본사/생산처 혼재",IF(ISNUMBER(SEARCH("CMT",$H352)),"본사(소재팀)","생산처")))</f>
        <v/>
      </c>
      <c r="U352" s="20" t="inlineStr">
        <is>
          <t>장안</t>
        </is>
      </c>
      <c r="V352" s="20">
        <f>IFERROR(TEXTJOIN(" / ",TRUE,UNIQUE(FILTER(소재DB_RAW!$K$3:$K$2000,(소재DB_RAW!$G$3:$G$2000=$D352)*ISERROR(SEARCH("drop",소재DB_RAW!$C$3:$C$2000))))),"")</f>
        <v/>
      </c>
      <c r="W352" s="20" t="inlineStr">
        <is>
          <t>베트남</t>
        </is>
      </c>
      <c r="X352" s="20">
        <f>IFERROR(TEXTJOIN(" / ",TRUE,UNIQUE(FILTER(소재DB_RAW!$N$3:$N$2000,(소재DB_RAW!$G$3:$G$2000=$D352)*ISERROR(SEARCH("drop",소재DB_RAW!$C$3:$C$2000))))),"")</f>
        <v/>
      </c>
      <c r="Y352" s="26">
        <f>IFERROR(TEXTJOIN(CHAR(10),TRUE,UNIQUE(FILTER(소재DB_RAW!$N$3:$N$2000&amp;") "&amp;소재DB_RAW!$O$3:$O$2000,(소재DB_RAW!$G$3:$G$2000=$D352)*ISNUMBER(SEARCH("겉감",소재DB_RAW!$M$3:$M$2000))*ISERROR(SEARCH("drop",소재DB_RAW!$C$3:$C$2000))))),"")</f>
        <v/>
      </c>
      <c r="Z352" s="26">
        <f>IFERROR(TEXTJOIN(CHAR(10),TRUE,UNIQUE(FILTER(소재DB_RAW!$N$3:$N$2000&amp;") "&amp;소재DB_RAW!$O$3:$O$2000,(소재DB_RAW!$G$3:$G$2000=$D352)*ISNUMBER(SEARCH("안감",소재DB_RAW!$M$3:$M$2000))*ISERROR(SEARCH("drop",소재DB_RAW!$C$3:$C$2000))))),"")</f>
        <v/>
      </c>
      <c r="AA352" s="27" t="n">
        <v>4000</v>
      </c>
      <c r="AB352" s="27" t="n">
        <v>51756000</v>
      </c>
      <c r="AC352" s="27" t="n">
        <v>312000000</v>
      </c>
      <c r="AD352" s="20" t="inlineStr">
        <is>
          <t>4월3주</t>
        </is>
      </c>
      <c r="AE352" s="20">
        <f>IF($K352="","출고일 미정",IF($Q352="X","작지 미발행",IF($Q352="부분","작지 일부 미발행",IF(AND($S352&lt;&gt;"",$S352&gt;$N352),"소재입고 마감("&amp;TEXT($N352,"MM/DD")&amp;") 초과",IF($Q352="","발행여부 확인 필요",IF($S352="","소재 입고일정 확인 필요","정상"))))))</f>
        <v/>
      </c>
      <c r="AF352" s="19">
        <f>IF($K352="","",IF(OR(LEFT($AE352,2)="작지",LEFT($AE352,4)="소재입고"),IF(LEFT($G352,1)="S","★ 납기위험(S코드)","◆ 지연주의"),IF($AE352="정상","✓ 정상","? 확인필요")))</f>
        <v/>
      </c>
      <c r="AG352" s="21" t="n"/>
      <c r="AH352" s="28" t="n"/>
    </row>
    <row r="353">
      <c r="A353" s="19" t="n">
        <v>349</v>
      </c>
      <c r="B353" s="20" t="inlineStr">
        <is>
          <t>박진아</t>
        </is>
      </c>
      <c r="C353" s="20" t="inlineStr">
        <is>
          <t>조이슬</t>
        </is>
      </c>
      <c r="D353" s="20" t="inlineStr">
        <is>
          <t>JWTCM27139</t>
        </is>
      </c>
      <c r="E353" s="20" t="inlineStr">
        <is>
          <t>남녀공용 에어론 레귤러핏 그래픽 티셔츠</t>
        </is>
      </c>
      <c r="F353" s="20" t="inlineStr">
        <is>
          <t>MUS, BLK(BLACK)</t>
        </is>
      </c>
      <c r="G353" s="19">
        <f>IF($D353="","",IF(MID($D353,5,1)="S","S(봄)",IF(MID($D353,5,1)="M","M(여름)",IF(MID($D353,5,1)="X","X(사계절)",MID($D353,5,1)))))</f>
        <v/>
      </c>
      <c r="H353" s="20" t="inlineStr">
        <is>
          <t>완사입</t>
        </is>
      </c>
      <c r="I353" s="19" t="inlineStr"/>
      <c r="J353" s="21" t="inlineStr">
        <is>
          <t>4월3주</t>
        </is>
      </c>
      <c r="K353" s="22">
        <f>IF($J353="","",IFERROR(DATE(IF(VALUE(LEFT($J353,FIND("월",$J353)-1))&gt;=9,기준정보!$C$7-1,기준정보!$C$7),VALUE(LEFT($J353,FIND("월",$J353)-1)),1+7*(VALUE(SUBSTITUTE(MID($J353,FIND("월",$J353)+1,5),"주",""))-1)),""))</f>
        <v/>
      </c>
      <c r="L353" s="22">
        <f>IF($K353="","",IF(AND($K353-기준정보!$C$5&gt;=기준정보!$C$10,$K353-기준정보!$C$5&lt;=기준정보!$C$11),기준정보!$C$10-1,$K353-기준정보!$C$5))</f>
        <v/>
      </c>
      <c r="M353" s="23">
        <f>IF($L353="","",IF(OR(ISNUMBER(SEARCH("중국",$W353)),ISNUMBER(SEARCH("베트남",$W353))),MAX(0,MIN($L353,기준정보!$C$9)-MAX($L353-기준정보!$C$6,기준정보!$C$8)+1),IF(ISNUMBER(SEARCH("한국",$W353)),MAX(0,MIN($L353,기준정보!$C$11)-MAX($L353-기준정보!$C$6,기준정보!$C$10)+1),0)))</f>
        <v/>
      </c>
      <c r="N353" s="22">
        <f>IF($L353="","",$L353-기준정보!$C$6-$M353)</f>
        <v/>
      </c>
      <c r="O353" s="24">
        <f>IF($N353="","",$N353-기준정보!$C$4)</f>
        <v/>
      </c>
      <c r="P353" s="21" t="n"/>
      <c r="Q353" s="21" t="inlineStr">
        <is>
          <t>O</t>
        </is>
      </c>
      <c r="R353" s="19">
        <f>IF(COUNTIF(EDW_RAW!$A$2:$A$1500,$D353)=0,"",IF(COUNTIFS(EDW_RAW!$A$2:$A$1500,$D353,EDW_RAW!$U$2:$U$1500,"&lt;&gt;~",EDW_RAW!$U$2:$U$1500,"&lt;&gt;")=COUNTIF(EDW_RAW!$A$2:$A$1500,$D353),"O",IF(COUNTIFS(EDW_RAW!$A$2:$A$1500,$D353,EDW_RAW!$U$2:$U$1500,"&lt;&gt;~",EDW_RAW!$U$2:$U$1500,"&lt;&gt;")&gt;0,"부분","X")))</f>
        <v/>
      </c>
      <c r="S353" s="25" t="n"/>
      <c r="T353" s="20">
        <f>IF($H353="","",IF(AND(ISNUMBER(SEARCH("CMT",$H353)),OR(ISNUMBER(SEARCH("완사입",$H353)),ISNUMBER(SEARCH("ODM",$H353)))),"본사/생산처 혼재",IF(ISNUMBER(SEARCH("CMT",$H353)),"본사(소재팀)","생산처")))</f>
        <v/>
      </c>
      <c r="U353" s="20" t="inlineStr">
        <is>
          <t>IKG</t>
        </is>
      </c>
      <c r="V353" s="20">
        <f>IFERROR(TEXTJOIN(" / ",TRUE,UNIQUE(FILTER(소재DB_RAW!$K$3:$K$2000,(소재DB_RAW!$G$3:$G$2000=$D353)*ISERROR(SEARCH("drop",소재DB_RAW!$C$3:$C$2000))))),"")</f>
        <v/>
      </c>
      <c r="W353" s="20" t="inlineStr">
        <is>
          <t>인도네시아</t>
        </is>
      </c>
      <c r="X353" s="20">
        <f>IFERROR(TEXTJOIN(" / ",TRUE,UNIQUE(FILTER(소재DB_RAW!$N$3:$N$2000,(소재DB_RAW!$G$3:$G$2000=$D353)*ISERROR(SEARCH("drop",소재DB_RAW!$C$3:$C$2000))))),"")</f>
        <v/>
      </c>
      <c r="Y353" s="26">
        <f>IFERROR(TEXTJOIN(CHAR(10),TRUE,UNIQUE(FILTER(소재DB_RAW!$N$3:$N$2000&amp;") "&amp;소재DB_RAW!$O$3:$O$2000,(소재DB_RAW!$G$3:$G$2000=$D353)*ISNUMBER(SEARCH("겉감",소재DB_RAW!$M$3:$M$2000))*ISERROR(SEARCH("drop",소재DB_RAW!$C$3:$C$2000))))),"")</f>
        <v/>
      </c>
      <c r="Z353" s="26">
        <f>IFERROR(TEXTJOIN(CHAR(10),TRUE,UNIQUE(FILTER(소재DB_RAW!$N$3:$N$2000&amp;") "&amp;소재DB_RAW!$O$3:$O$2000,(소재DB_RAW!$G$3:$G$2000=$D353)*ISNUMBER(SEARCH("안감",소재DB_RAW!$M$3:$M$2000))*ISERROR(SEARCH("drop",소재DB_RAW!$C$3:$C$2000))))),"")</f>
        <v/>
      </c>
      <c r="AA353" s="27" t="n">
        <v>3500</v>
      </c>
      <c r="AB353" s="27" t="n">
        <v>57221500</v>
      </c>
      <c r="AC353" s="27" t="n">
        <v>308000000</v>
      </c>
      <c r="AD353" s="20" t="inlineStr">
        <is>
          <t>4월3주</t>
        </is>
      </c>
      <c r="AE353" s="20">
        <f>IF($K353="","출고일 미정",IF($Q353="X","작지 미발행",IF($Q353="부분","작지 일부 미발행",IF(AND($S353&lt;&gt;"",$S353&gt;$N353),"소재입고 마감("&amp;TEXT($N353,"MM/DD")&amp;") 초과",IF($Q353="","발행여부 확인 필요",IF($S353="","소재 입고일정 확인 필요","정상"))))))</f>
        <v/>
      </c>
      <c r="AF353" s="19">
        <f>IF($K353="","",IF(OR(LEFT($AE353,2)="작지",LEFT($AE353,4)="소재입고"),IF(LEFT($G353,1)="S","★ 납기위험(S코드)","◆ 지연주의"),IF($AE353="정상","✓ 정상","? 확인필요")))</f>
        <v/>
      </c>
      <c r="AG353" s="21" t="n"/>
      <c r="AH353" s="28" t="n"/>
    </row>
    <row r="354">
      <c r="A354" s="19" t="n">
        <v>350</v>
      </c>
      <c r="B354" s="20" t="inlineStr">
        <is>
          <t>박진아</t>
        </is>
      </c>
      <c r="C354" s="20" t="inlineStr">
        <is>
          <t>엄창용</t>
        </is>
      </c>
      <c r="D354" s="20" t="inlineStr">
        <is>
          <t>JWTCM27141</t>
        </is>
      </c>
      <c r="E354" s="20" t="inlineStr">
        <is>
          <t>남녀공용 에어론 레귤러핏 그래픽 티셔츠</t>
        </is>
      </c>
      <c r="F354" s="20" t="inlineStr">
        <is>
          <t>KHA(KHAKI), DBU(D/BLUE)</t>
        </is>
      </c>
      <c r="G354" s="19">
        <f>IF($D354="","",IF(MID($D354,5,1)="S","S(봄)",IF(MID($D354,5,1)="M","M(여름)",IF(MID($D354,5,1)="X","X(사계절)",MID($D354,5,1)))))</f>
        <v/>
      </c>
      <c r="H354" s="20" t="inlineStr">
        <is>
          <t>완사입</t>
        </is>
      </c>
      <c r="I354" s="19" t="inlineStr"/>
      <c r="J354" s="21" t="inlineStr">
        <is>
          <t>4월3주</t>
        </is>
      </c>
      <c r="K354" s="22">
        <f>IF($J354="","",IFERROR(DATE(IF(VALUE(LEFT($J354,FIND("월",$J354)-1))&gt;=9,기준정보!$C$7-1,기준정보!$C$7),VALUE(LEFT($J354,FIND("월",$J354)-1)),1+7*(VALUE(SUBSTITUTE(MID($J354,FIND("월",$J354)+1,5),"주",""))-1)),""))</f>
        <v/>
      </c>
      <c r="L354" s="22">
        <f>IF($K354="","",IF(AND($K354-기준정보!$C$5&gt;=기준정보!$C$10,$K354-기준정보!$C$5&lt;=기준정보!$C$11),기준정보!$C$10-1,$K354-기준정보!$C$5))</f>
        <v/>
      </c>
      <c r="M354" s="23">
        <f>IF($L354="","",IF(OR(ISNUMBER(SEARCH("중국",$W354)),ISNUMBER(SEARCH("베트남",$W354))),MAX(0,MIN($L354,기준정보!$C$9)-MAX($L354-기준정보!$C$6,기준정보!$C$8)+1),IF(ISNUMBER(SEARCH("한국",$W354)),MAX(0,MIN($L354,기준정보!$C$11)-MAX($L354-기준정보!$C$6,기준정보!$C$10)+1),0)))</f>
        <v/>
      </c>
      <c r="N354" s="22">
        <f>IF($L354="","",$L354-기준정보!$C$6-$M354)</f>
        <v/>
      </c>
      <c r="O354" s="24">
        <f>IF($N354="","",$N354-기준정보!$C$4)</f>
        <v/>
      </c>
      <c r="P354" s="21" t="n"/>
      <c r="Q354" s="21" t="inlineStr">
        <is>
          <t>O</t>
        </is>
      </c>
      <c r="R354" s="19">
        <f>IF(COUNTIF(EDW_RAW!$A$2:$A$1500,$D354)=0,"",IF(COUNTIFS(EDW_RAW!$A$2:$A$1500,$D354,EDW_RAW!$U$2:$U$1500,"&lt;&gt;~",EDW_RAW!$U$2:$U$1500,"&lt;&gt;")=COUNTIF(EDW_RAW!$A$2:$A$1500,$D354),"O",IF(COUNTIFS(EDW_RAW!$A$2:$A$1500,$D354,EDW_RAW!$U$2:$U$1500,"&lt;&gt;~",EDW_RAW!$U$2:$U$1500,"&lt;&gt;")&gt;0,"부분","X")))</f>
        <v/>
      </c>
      <c r="S354" s="25" t="n"/>
      <c r="T354" s="20">
        <f>IF($H354="","",IF(AND(ISNUMBER(SEARCH("CMT",$H354)),OR(ISNUMBER(SEARCH("완사입",$H354)),ISNUMBER(SEARCH("ODM",$H354)))),"본사/생산처 혼재",IF(ISNUMBER(SEARCH("CMT",$H354)),"본사(소재팀)","생산처")))</f>
        <v/>
      </c>
      <c r="U354" s="20" t="inlineStr">
        <is>
          <t>IKG</t>
        </is>
      </c>
      <c r="V354" s="20">
        <f>IFERROR(TEXTJOIN(" / ",TRUE,UNIQUE(FILTER(소재DB_RAW!$K$3:$K$2000,(소재DB_RAW!$G$3:$G$2000=$D354)*ISERROR(SEARCH("drop",소재DB_RAW!$C$3:$C$2000))))),"")</f>
        <v/>
      </c>
      <c r="W354" s="20" t="inlineStr">
        <is>
          <t>인도네시아</t>
        </is>
      </c>
      <c r="X354" s="20">
        <f>IFERROR(TEXTJOIN(" / ",TRUE,UNIQUE(FILTER(소재DB_RAW!$N$3:$N$2000,(소재DB_RAW!$G$3:$G$2000=$D354)*ISERROR(SEARCH("drop",소재DB_RAW!$C$3:$C$2000))))),"")</f>
        <v/>
      </c>
      <c r="Y354" s="26">
        <f>IFERROR(TEXTJOIN(CHAR(10),TRUE,UNIQUE(FILTER(소재DB_RAW!$N$3:$N$2000&amp;") "&amp;소재DB_RAW!$O$3:$O$2000,(소재DB_RAW!$G$3:$G$2000=$D354)*ISNUMBER(SEARCH("겉감",소재DB_RAW!$M$3:$M$2000))*ISERROR(SEARCH("drop",소재DB_RAW!$C$3:$C$2000))))),"")</f>
        <v/>
      </c>
      <c r="Z354" s="26">
        <f>IFERROR(TEXTJOIN(CHAR(10),TRUE,UNIQUE(FILTER(소재DB_RAW!$N$3:$N$2000&amp;") "&amp;소재DB_RAW!$O$3:$O$2000,(소재DB_RAW!$G$3:$G$2000=$D354)*ISNUMBER(SEARCH("안감",소재DB_RAW!$M$3:$M$2000))*ISERROR(SEARCH("drop",소재DB_RAW!$C$3:$C$2000))))),"")</f>
        <v/>
      </c>
      <c r="AA354" s="27" t="n">
        <v>2500</v>
      </c>
      <c r="AB354" s="27" t="n">
        <v>41857500</v>
      </c>
      <c r="AC354" s="27" t="n">
        <v>220000000</v>
      </c>
      <c r="AD354" s="20" t="inlineStr">
        <is>
          <t>4월3주</t>
        </is>
      </c>
      <c r="AE354" s="20">
        <f>IF($K354="","출고일 미정",IF($Q354="X","작지 미발행",IF($Q354="부분","작지 일부 미발행",IF(AND($S354&lt;&gt;"",$S354&gt;$N354),"소재입고 마감("&amp;TEXT($N354,"MM/DD")&amp;") 초과",IF($Q354="","발행여부 확인 필요",IF($S354="","소재 입고일정 확인 필요","정상"))))))</f>
        <v/>
      </c>
      <c r="AF354" s="19">
        <f>IF($K354="","",IF(OR(LEFT($AE354,2)="작지",LEFT($AE354,4)="소재입고"),IF(LEFT($G354,1)="S","★ 납기위험(S코드)","◆ 지연주의"),IF($AE354="정상","✓ 정상","? 확인필요")))</f>
        <v/>
      </c>
      <c r="AG354" s="21" t="n"/>
      <c r="AH354" s="28" t="n"/>
    </row>
    <row r="355">
      <c r="A355" s="19" t="n">
        <v>351</v>
      </c>
      <c r="B355" s="20" t="inlineStr">
        <is>
          <t>박진아</t>
        </is>
      </c>
      <c r="C355" s="20" t="inlineStr">
        <is>
          <t>엄창용</t>
        </is>
      </c>
      <c r="D355" s="20" t="inlineStr">
        <is>
          <t>JWTCM27143</t>
        </is>
      </c>
      <c r="E355" s="20" t="inlineStr">
        <is>
          <t>남녀공용 폴리(CC DRY) 세미오버핏 그래픽 티셔츠</t>
        </is>
      </c>
      <c r="F355" s="20" t="inlineStr">
        <is>
          <t>OWH, BLK(BLACK)</t>
        </is>
      </c>
      <c r="G355" s="19">
        <f>IF($D355="","",IF(MID($D355,5,1)="S","S(봄)",IF(MID($D355,5,1)="M","M(여름)",IF(MID($D355,5,1)="X","X(사계절)",MID($D355,5,1)))))</f>
        <v/>
      </c>
      <c r="H355" s="20" t="inlineStr">
        <is>
          <t>완사입</t>
        </is>
      </c>
      <c r="I355" s="19" t="inlineStr"/>
      <c r="J355" s="21" t="inlineStr">
        <is>
          <t>4월3주</t>
        </is>
      </c>
      <c r="K355" s="22">
        <f>IF($J355="","",IFERROR(DATE(IF(VALUE(LEFT($J355,FIND("월",$J355)-1))&gt;=9,기준정보!$C$7-1,기준정보!$C$7),VALUE(LEFT($J355,FIND("월",$J355)-1)),1+7*(VALUE(SUBSTITUTE(MID($J355,FIND("월",$J355)+1,5),"주",""))-1)),""))</f>
        <v/>
      </c>
      <c r="L355" s="22">
        <f>IF($K355="","",IF(AND($K355-기준정보!$C$5&gt;=기준정보!$C$10,$K355-기준정보!$C$5&lt;=기준정보!$C$11),기준정보!$C$10-1,$K355-기준정보!$C$5))</f>
        <v/>
      </c>
      <c r="M355" s="23">
        <f>IF($L355="","",IF(OR(ISNUMBER(SEARCH("중국",$W355)),ISNUMBER(SEARCH("베트남",$W355))),MAX(0,MIN($L355,기준정보!$C$9)-MAX($L355-기준정보!$C$6,기준정보!$C$8)+1),IF(ISNUMBER(SEARCH("한국",$W355)),MAX(0,MIN($L355,기준정보!$C$11)-MAX($L355-기준정보!$C$6,기준정보!$C$10)+1),0)))</f>
        <v/>
      </c>
      <c r="N355" s="22">
        <f>IF($L355="","",$L355-기준정보!$C$6-$M355)</f>
        <v/>
      </c>
      <c r="O355" s="24">
        <f>IF($N355="","",$N355-기준정보!$C$4)</f>
        <v/>
      </c>
      <c r="P355" s="21" t="n"/>
      <c r="Q355" s="21" t="inlineStr">
        <is>
          <t>O</t>
        </is>
      </c>
      <c r="R355" s="19">
        <f>IF(COUNTIF(EDW_RAW!$A$2:$A$1500,$D355)=0,"",IF(COUNTIFS(EDW_RAW!$A$2:$A$1500,$D355,EDW_RAW!$U$2:$U$1500,"&lt;&gt;~",EDW_RAW!$U$2:$U$1500,"&lt;&gt;")=COUNTIF(EDW_RAW!$A$2:$A$1500,$D355),"O",IF(COUNTIFS(EDW_RAW!$A$2:$A$1500,$D355,EDW_RAW!$U$2:$U$1500,"&lt;&gt;~",EDW_RAW!$U$2:$U$1500,"&lt;&gt;")&gt;0,"부분","X")))</f>
        <v/>
      </c>
      <c r="S355" s="25" t="n"/>
      <c r="T355" s="20">
        <f>IF($H355="","",IF(AND(ISNUMBER(SEARCH("CMT",$H355)),OR(ISNUMBER(SEARCH("완사입",$H355)),ISNUMBER(SEARCH("ODM",$H355)))),"본사/생산처 혼재",IF(ISNUMBER(SEARCH("CMT",$H355)),"본사(소재팀)","생산처")))</f>
        <v/>
      </c>
      <c r="U355" s="20" t="inlineStr">
        <is>
          <t>장안</t>
        </is>
      </c>
      <c r="V355" s="20">
        <f>IFERROR(TEXTJOIN(" / ",TRUE,UNIQUE(FILTER(소재DB_RAW!$K$3:$K$2000,(소재DB_RAW!$G$3:$G$2000=$D355)*ISERROR(SEARCH("drop",소재DB_RAW!$C$3:$C$2000))))),"")</f>
        <v/>
      </c>
      <c r="W355" s="20" t="inlineStr">
        <is>
          <t>베트남</t>
        </is>
      </c>
      <c r="X355" s="20">
        <f>IFERROR(TEXTJOIN(" / ",TRUE,UNIQUE(FILTER(소재DB_RAW!$N$3:$N$2000,(소재DB_RAW!$G$3:$G$2000=$D355)*ISERROR(SEARCH("drop",소재DB_RAW!$C$3:$C$2000))))),"")</f>
        <v/>
      </c>
      <c r="Y355" s="26">
        <f>IFERROR(TEXTJOIN(CHAR(10),TRUE,UNIQUE(FILTER(소재DB_RAW!$N$3:$N$2000&amp;") "&amp;소재DB_RAW!$O$3:$O$2000,(소재DB_RAW!$G$3:$G$2000=$D355)*ISNUMBER(SEARCH("겉감",소재DB_RAW!$M$3:$M$2000))*ISERROR(SEARCH("drop",소재DB_RAW!$C$3:$C$2000))))),"")</f>
        <v/>
      </c>
      <c r="Z355" s="26">
        <f>IFERROR(TEXTJOIN(CHAR(10),TRUE,UNIQUE(FILTER(소재DB_RAW!$N$3:$N$2000&amp;") "&amp;소재DB_RAW!$O$3:$O$2000,(소재DB_RAW!$G$3:$G$2000=$D355)*ISNUMBER(SEARCH("안감",소재DB_RAW!$M$3:$M$2000))*ISERROR(SEARCH("drop",소재DB_RAW!$C$3:$C$2000))))),"")</f>
        <v/>
      </c>
      <c r="AA355" s="27" t="n">
        <v>5000</v>
      </c>
      <c r="AB355" s="27" t="n">
        <v>84510000</v>
      </c>
      <c r="AC355" s="27" t="n">
        <v>440000000</v>
      </c>
      <c r="AD355" s="20" t="inlineStr">
        <is>
          <t>4월3주</t>
        </is>
      </c>
      <c r="AE355" s="20">
        <f>IF($K355="","출고일 미정",IF($Q355="X","작지 미발행",IF($Q355="부분","작지 일부 미발행",IF(AND($S355&lt;&gt;"",$S355&gt;$N355),"소재입고 마감("&amp;TEXT($N355,"MM/DD")&amp;") 초과",IF($Q355="","발행여부 확인 필요",IF($S355="","소재 입고일정 확인 필요","정상"))))))</f>
        <v/>
      </c>
      <c r="AF355" s="19">
        <f>IF($K355="","",IF(OR(LEFT($AE355,2)="작지",LEFT($AE355,4)="소재입고"),IF(LEFT($G355,1)="S","★ 납기위험(S코드)","◆ 지연주의"),IF($AE355="정상","✓ 정상","? 확인필요")))</f>
        <v/>
      </c>
      <c r="AG355" s="21" t="n"/>
      <c r="AH355" s="28" t="n"/>
    </row>
    <row r="356">
      <c r="A356" s="19" t="n">
        <v>352</v>
      </c>
      <c r="B356" s="20" t="inlineStr">
        <is>
          <t>박진아</t>
        </is>
      </c>
      <c r="C356" s="20" t="inlineStr">
        <is>
          <t>조이슬</t>
        </is>
      </c>
      <c r="D356" s="20" t="inlineStr">
        <is>
          <t>JWTCM27145</t>
        </is>
      </c>
      <c r="E356" s="20" t="inlineStr">
        <is>
          <t>남녀공용 폴리(CC DRY) 레귤러핏 그래픽 티셔츠</t>
        </is>
      </c>
      <c r="F356" s="20" t="inlineStr">
        <is>
          <t>WGY, NAY</t>
        </is>
      </c>
      <c r="G356" s="19">
        <f>IF($D356="","",IF(MID($D356,5,1)="S","S(봄)",IF(MID($D356,5,1)="M","M(여름)",IF(MID($D356,5,1)="X","X(사계절)",MID($D356,5,1)))))</f>
        <v/>
      </c>
      <c r="H356" s="20" t="inlineStr">
        <is>
          <t>완사입</t>
        </is>
      </c>
      <c r="I356" s="19" t="inlineStr"/>
      <c r="J356" s="21" t="inlineStr">
        <is>
          <t>4월3주</t>
        </is>
      </c>
      <c r="K356" s="22">
        <f>IF($J356="","",IFERROR(DATE(IF(VALUE(LEFT($J356,FIND("월",$J356)-1))&gt;=9,기준정보!$C$7-1,기준정보!$C$7),VALUE(LEFT($J356,FIND("월",$J356)-1)),1+7*(VALUE(SUBSTITUTE(MID($J356,FIND("월",$J356)+1,5),"주",""))-1)),""))</f>
        <v/>
      </c>
      <c r="L356" s="22">
        <f>IF($K356="","",IF(AND($K356-기준정보!$C$5&gt;=기준정보!$C$10,$K356-기준정보!$C$5&lt;=기준정보!$C$11),기준정보!$C$10-1,$K356-기준정보!$C$5))</f>
        <v/>
      </c>
      <c r="M356" s="23">
        <f>IF($L356="","",IF(OR(ISNUMBER(SEARCH("중국",$W356)),ISNUMBER(SEARCH("베트남",$W356))),MAX(0,MIN($L356,기준정보!$C$9)-MAX($L356-기준정보!$C$6,기준정보!$C$8)+1),IF(ISNUMBER(SEARCH("한국",$W356)),MAX(0,MIN($L356,기준정보!$C$11)-MAX($L356-기준정보!$C$6,기준정보!$C$10)+1),0)))</f>
        <v/>
      </c>
      <c r="N356" s="22">
        <f>IF($L356="","",$L356-기준정보!$C$6-$M356)</f>
        <v/>
      </c>
      <c r="O356" s="24">
        <f>IF($N356="","",$N356-기준정보!$C$4)</f>
        <v/>
      </c>
      <c r="P356" s="21" t="n"/>
      <c r="Q356" s="21" t="inlineStr">
        <is>
          <t>O</t>
        </is>
      </c>
      <c r="R356" s="19">
        <f>IF(COUNTIF(EDW_RAW!$A$2:$A$1500,$D356)=0,"",IF(COUNTIFS(EDW_RAW!$A$2:$A$1500,$D356,EDW_RAW!$U$2:$U$1500,"&lt;&gt;~",EDW_RAW!$U$2:$U$1500,"&lt;&gt;")=COUNTIF(EDW_RAW!$A$2:$A$1500,$D356),"O",IF(COUNTIFS(EDW_RAW!$A$2:$A$1500,$D356,EDW_RAW!$U$2:$U$1500,"&lt;&gt;~",EDW_RAW!$U$2:$U$1500,"&lt;&gt;")&gt;0,"부분","X")))</f>
        <v/>
      </c>
      <c r="S356" s="25" t="n"/>
      <c r="T356" s="20">
        <f>IF($H356="","",IF(AND(ISNUMBER(SEARCH("CMT",$H356)),OR(ISNUMBER(SEARCH("완사입",$H356)),ISNUMBER(SEARCH("ODM",$H356)))),"본사/생산처 혼재",IF(ISNUMBER(SEARCH("CMT",$H356)),"본사(소재팀)","생산처")))</f>
        <v/>
      </c>
      <c r="U356" s="20" t="inlineStr">
        <is>
          <t>장안</t>
        </is>
      </c>
      <c r="V356" s="20">
        <f>IFERROR(TEXTJOIN(" / ",TRUE,UNIQUE(FILTER(소재DB_RAW!$K$3:$K$2000,(소재DB_RAW!$G$3:$G$2000=$D356)*ISERROR(SEARCH("drop",소재DB_RAW!$C$3:$C$2000))))),"")</f>
        <v/>
      </c>
      <c r="W356" s="20" t="inlineStr">
        <is>
          <t>베트남</t>
        </is>
      </c>
      <c r="X356" s="20">
        <f>IFERROR(TEXTJOIN(" / ",TRUE,UNIQUE(FILTER(소재DB_RAW!$N$3:$N$2000,(소재DB_RAW!$G$3:$G$2000=$D356)*ISERROR(SEARCH("drop",소재DB_RAW!$C$3:$C$2000))))),"")</f>
        <v/>
      </c>
      <c r="Y356" s="26">
        <f>IFERROR(TEXTJOIN(CHAR(10),TRUE,UNIQUE(FILTER(소재DB_RAW!$N$3:$N$2000&amp;") "&amp;소재DB_RAW!$O$3:$O$2000,(소재DB_RAW!$G$3:$G$2000=$D356)*ISNUMBER(SEARCH("겉감",소재DB_RAW!$M$3:$M$2000))*ISERROR(SEARCH("drop",소재DB_RAW!$C$3:$C$2000))))),"")</f>
        <v/>
      </c>
      <c r="Z356" s="26">
        <f>IFERROR(TEXTJOIN(CHAR(10),TRUE,UNIQUE(FILTER(소재DB_RAW!$N$3:$N$2000&amp;") "&amp;소재DB_RAW!$O$3:$O$2000,(소재DB_RAW!$G$3:$G$2000=$D356)*ISNUMBER(SEARCH("안감",소재DB_RAW!$M$3:$M$2000))*ISERROR(SEARCH("drop",소재DB_RAW!$C$3:$C$2000))))),"")</f>
        <v/>
      </c>
      <c r="AA356" s="27" t="n">
        <v>2500</v>
      </c>
      <c r="AB356" s="27" t="n">
        <v>41855000</v>
      </c>
      <c r="AC356" s="27" t="n">
        <v>195000000</v>
      </c>
      <c r="AD356" s="20" t="inlineStr">
        <is>
          <t>4월3주</t>
        </is>
      </c>
      <c r="AE356" s="20">
        <f>IF($K356="","출고일 미정",IF($Q356="X","작지 미발행",IF($Q356="부분","작지 일부 미발행",IF(AND($S356&lt;&gt;"",$S356&gt;$N356),"소재입고 마감("&amp;TEXT($N356,"MM/DD")&amp;") 초과",IF($Q356="","발행여부 확인 필요",IF($S356="","소재 입고일정 확인 필요","정상"))))))</f>
        <v/>
      </c>
      <c r="AF356" s="19">
        <f>IF($K356="","",IF(OR(LEFT($AE356,2)="작지",LEFT($AE356,4)="소재입고"),IF(LEFT($G356,1)="S","★ 납기위험(S코드)","◆ 지연주의"),IF($AE356="정상","✓ 정상","? 확인필요")))</f>
        <v/>
      </c>
      <c r="AG356" s="21" t="n"/>
      <c r="AH356" s="28" t="n"/>
    </row>
    <row r="357">
      <c r="A357" s="19" t="n">
        <v>353</v>
      </c>
      <c r="B357" s="20" t="inlineStr">
        <is>
          <t>신인철</t>
        </is>
      </c>
      <c r="C357" s="20" t="inlineStr">
        <is>
          <t>안세진</t>
        </is>
      </c>
      <c r="D357" s="20" t="inlineStr">
        <is>
          <t>8NAAX27101</t>
        </is>
      </c>
      <c r="E357" s="20" t="inlineStr">
        <is>
          <t>[WM] 남녀공용 X-PAC 피싱 타올</t>
        </is>
      </c>
      <c r="F357" s="20" t="inlineStr">
        <is>
          <t>BLK(BLACK)</t>
        </is>
      </c>
      <c r="G357" s="19">
        <f>IF($D357="","",IF(MID($D357,5,1)="S","S(봄)",IF(MID($D357,5,1)="M","M(여름)",IF(MID($D357,5,1)="X","X(사계절)",MID($D357,5,1)))))</f>
        <v/>
      </c>
      <c r="H357" s="20" t="inlineStr">
        <is>
          <t>완사입</t>
        </is>
      </c>
      <c r="I357" s="19" t="inlineStr">
        <is>
          <t>1차</t>
        </is>
      </c>
      <c r="J357" s="21" t="inlineStr">
        <is>
          <t>1월3주</t>
        </is>
      </c>
      <c r="K357" s="22">
        <f>IF($J357="","",IFERROR(DATE(IF(VALUE(LEFT($J357,FIND("월",$J357)-1))&gt;=9,기준정보!$C$7-1,기준정보!$C$7),VALUE(LEFT($J357,FIND("월",$J357)-1)),1+7*(VALUE(SUBSTITUTE(MID($J357,FIND("월",$J357)+1,5),"주",""))-1)),""))</f>
        <v/>
      </c>
      <c r="L357" s="22">
        <f>IF($K357="","",IF(AND($K357-기준정보!$C$5&gt;=기준정보!$C$10,$K357-기준정보!$C$5&lt;=기준정보!$C$11),기준정보!$C$10-1,$K357-기준정보!$C$5))</f>
        <v/>
      </c>
      <c r="M357" s="23">
        <f>IF($L357="","",IF(OR(ISNUMBER(SEARCH("중국",$W357)),ISNUMBER(SEARCH("베트남",$W357))),MAX(0,MIN($L357,기준정보!$C$9)-MAX($L357-기준정보!$C$6,기준정보!$C$8)+1),IF(ISNUMBER(SEARCH("한국",$W357)),MAX(0,MIN($L357,기준정보!$C$11)-MAX($L357-기준정보!$C$6,기준정보!$C$10)+1),0)))</f>
        <v/>
      </c>
      <c r="N357" s="22">
        <f>IF($L357="","",$L357-기준정보!$C$6-$M357)</f>
        <v/>
      </c>
      <c r="O357" s="24">
        <f>IF($N357="","",$N357-기준정보!$C$4)</f>
        <v/>
      </c>
      <c r="P357" s="21" t="n"/>
      <c r="Q357" s="21" t="inlineStr">
        <is>
          <t>X</t>
        </is>
      </c>
      <c r="R357" s="19">
        <f>IF(COUNTIF(EDW_RAW!$A$2:$A$1500,$D357)=0,"",IF(COUNTIFS(EDW_RAW!$A$2:$A$1500,$D357,EDW_RAW!$U$2:$U$1500,"&lt;&gt;~",EDW_RAW!$U$2:$U$1500,"&lt;&gt;")=COUNTIF(EDW_RAW!$A$2:$A$1500,$D357),"O",IF(COUNTIFS(EDW_RAW!$A$2:$A$1500,$D357,EDW_RAW!$U$2:$U$1500,"&lt;&gt;~",EDW_RAW!$U$2:$U$1500,"&lt;&gt;")&gt;0,"부분","X")))</f>
        <v/>
      </c>
      <c r="S357" s="25" t="n"/>
      <c r="T357" s="20">
        <f>IF($H357="","",IF(AND(ISNUMBER(SEARCH("CMT",$H357)),OR(ISNUMBER(SEARCH("완사입",$H357)),ISNUMBER(SEARCH("ODM",$H357)))),"본사/생산처 혼재",IF(ISNUMBER(SEARCH("CMT",$H357)),"본사(소재팀)","생산처")))</f>
        <v/>
      </c>
      <c r="U357" s="20" t="inlineStr">
        <is>
          <t>시즈</t>
        </is>
      </c>
      <c r="V357" s="20">
        <f>IFERROR(TEXTJOIN(" / ",TRUE,UNIQUE(FILTER(소재DB_RAW!$K$3:$K$2000,(소재DB_RAW!$G$3:$G$2000=$D357)*ISERROR(SEARCH("drop",소재DB_RAW!$C$3:$C$2000))))),"")</f>
        <v/>
      </c>
      <c r="W357" s="20" t="inlineStr">
        <is>
          <t>베트남</t>
        </is>
      </c>
      <c r="X357" s="20">
        <f>IFERROR(TEXTJOIN(" / ",TRUE,UNIQUE(FILTER(소재DB_RAW!$N$3:$N$2000,(소재DB_RAW!$G$3:$G$2000=$D357)*ISERROR(SEARCH("drop",소재DB_RAW!$C$3:$C$2000))))),"")</f>
        <v/>
      </c>
      <c r="Y357" s="26">
        <f>IFERROR(TEXTJOIN(CHAR(10),TRUE,UNIQUE(FILTER(소재DB_RAW!$N$3:$N$2000&amp;") "&amp;소재DB_RAW!$O$3:$O$2000,(소재DB_RAW!$G$3:$G$2000=$D357)*ISNUMBER(SEARCH("겉감",소재DB_RAW!$M$3:$M$2000))*ISERROR(SEARCH("drop",소재DB_RAW!$C$3:$C$2000))))),"")</f>
        <v/>
      </c>
      <c r="Z357" s="26">
        <f>IFERROR(TEXTJOIN(CHAR(10),TRUE,UNIQUE(FILTER(소재DB_RAW!$N$3:$N$2000&amp;") "&amp;소재DB_RAW!$O$3:$O$2000,(소재DB_RAW!$G$3:$G$2000=$D357)*ISNUMBER(SEARCH("안감",소재DB_RAW!$M$3:$M$2000))*ISERROR(SEARCH("drop",소재DB_RAW!$C$3:$C$2000))))),"")</f>
        <v/>
      </c>
      <c r="AA357" s="27" t="n">
        <v>0</v>
      </c>
      <c r="AB357" s="27" t="n">
        <v>2470588</v>
      </c>
      <c r="AC357" s="27" t="n">
        <v>8400000</v>
      </c>
      <c r="AD357" s="20" t="n"/>
      <c r="AE357" s="20">
        <f>IF($K357="","출고일 미정",IF($Q357="X","작지 미발행",IF($Q357="부분","작지 일부 미발행",IF(AND($S357&lt;&gt;"",$S357&gt;$N357),"소재입고 마감("&amp;TEXT($N357,"MM/DD")&amp;") 초과",IF($Q357="","발행여부 확인 필요",IF($S357="","소재 입고일정 확인 필요","정상"))))))</f>
        <v/>
      </c>
      <c r="AF357" s="19">
        <f>IF($K357="","",IF(OR(LEFT($AE357,2)="작지",LEFT($AE357,4)="소재입고"),IF(LEFT($G357,1)="S","★ 납기위험(S코드)","◆ 지연주의"),IF($AE357="정상","✓ 정상","? 확인필요")))</f>
        <v/>
      </c>
      <c r="AG357" s="21" t="n"/>
      <c r="AH357" s="28" t="n"/>
    </row>
    <row r="358">
      <c r="A358" s="19" t="n">
        <v>354</v>
      </c>
      <c r="B358" s="20" t="inlineStr">
        <is>
          <t>신인철</t>
        </is>
      </c>
      <c r="C358" s="20" t="inlineStr">
        <is>
          <t>안세진</t>
        </is>
      </c>
      <c r="D358" s="20" t="inlineStr">
        <is>
          <t>8NBDX26301</t>
        </is>
      </c>
      <c r="E358" s="20" t="inlineStr">
        <is>
          <t>[WM] 익스퍼트 X-PAC 사코슈백</t>
        </is>
      </c>
      <c r="F358" s="20" t="inlineStr">
        <is>
          <t>BLK(BLACK)</t>
        </is>
      </c>
      <c r="G358" s="19">
        <f>IF($D358="","",IF(MID($D358,5,1)="S","S(봄)",IF(MID($D358,5,1)="M","M(여름)",IF(MID($D358,5,1)="X","X(사계절)",MID($D358,5,1)))))</f>
        <v/>
      </c>
      <c r="H358" s="20" t="inlineStr">
        <is>
          <t>완사입</t>
        </is>
      </c>
      <c r="I358" s="19" t="inlineStr">
        <is>
          <t>1차</t>
        </is>
      </c>
      <c r="J358" s="21" t="inlineStr">
        <is>
          <t>1월3주</t>
        </is>
      </c>
      <c r="K358" s="22">
        <f>IF($J358="","",IFERROR(DATE(IF(VALUE(LEFT($J358,FIND("월",$J358)-1))&gt;=9,기준정보!$C$7-1,기준정보!$C$7),VALUE(LEFT($J358,FIND("월",$J358)-1)),1+7*(VALUE(SUBSTITUTE(MID($J358,FIND("월",$J358)+1,5),"주",""))-1)),""))</f>
        <v/>
      </c>
      <c r="L358" s="22">
        <f>IF($K358="","",IF(AND($K358-기준정보!$C$5&gt;=기준정보!$C$10,$K358-기준정보!$C$5&lt;=기준정보!$C$11),기준정보!$C$10-1,$K358-기준정보!$C$5))</f>
        <v/>
      </c>
      <c r="M358" s="23">
        <f>IF($L358="","",IF(OR(ISNUMBER(SEARCH("중국",$W358)),ISNUMBER(SEARCH("베트남",$W358))),MAX(0,MIN($L358,기준정보!$C$9)-MAX($L358-기준정보!$C$6,기준정보!$C$8)+1),IF(ISNUMBER(SEARCH("한국",$W358)),MAX(0,MIN($L358,기준정보!$C$11)-MAX($L358-기준정보!$C$6,기준정보!$C$10)+1),0)))</f>
        <v/>
      </c>
      <c r="N358" s="22">
        <f>IF($L358="","",$L358-기준정보!$C$6-$M358)</f>
        <v/>
      </c>
      <c r="O358" s="24">
        <f>IF($N358="","",$N358-기준정보!$C$4)</f>
        <v/>
      </c>
      <c r="P358" s="21" t="n"/>
      <c r="Q358" s="21" t="inlineStr">
        <is>
          <t>X</t>
        </is>
      </c>
      <c r="R358" s="19">
        <f>IF(COUNTIF(EDW_RAW!$A$2:$A$1500,$D358)=0,"",IF(COUNTIFS(EDW_RAW!$A$2:$A$1500,$D358,EDW_RAW!$U$2:$U$1500,"&lt;&gt;~",EDW_RAW!$U$2:$U$1500,"&lt;&gt;")=COUNTIF(EDW_RAW!$A$2:$A$1500,$D358),"O",IF(COUNTIFS(EDW_RAW!$A$2:$A$1500,$D358,EDW_RAW!$U$2:$U$1500,"&lt;&gt;~",EDW_RAW!$U$2:$U$1500,"&lt;&gt;")&gt;0,"부분","X")))</f>
        <v/>
      </c>
      <c r="S358" s="25" t="n"/>
      <c r="T358" s="20">
        <f>IF($H358="","",IF(AND(ISNUMBER(SEARCH("CMT",$H358)),OR(ISNUMBER(SEARCH("완사입",$H358)),ISNUMBER(SEARCH("ODM",$H358)))),"본사/생산처 혼재",IF(ISNUMBER(SEARCH("CMT",$H358)),"본사(소재팀)","생산처")))</f>
        <v/>
      </c>
      <c r="U358" s="20" t="inlineStr">
        <is>
          <t>신일</t>
        </is>
      </c>
      <c r="V358" s="20">
        <f>IFERROR(TEXTJOIN(" / ",TRUE,UNIQUE(FILTER(소재DB_RAW!$K$3:$K$2000,(소재DB_RAW!$G$3:$G$2000=$D358)*ISERROR(SEARCH("drop",소재DB_RAW!$C$3:$C$2000))))),"")</f>
        <v/>
      </c>
      <c r="W358" s="20" t="inlineStr">
        <is>
          <t>중국</t>
        </is>
      </c>
      <c r="X358" s="20">
        <f>IFERROR(TEXTJOIN(" / ",TRUE,UNIQUE(FILTER(소재DB_RAW!$N$3:$N$2000,(소재DB_RAW!$G$3:$G$2000=$D358)*ISERROR(SEARCH("drop",소재DB_RAW!$C$3:$C$2000))))),"")</f>
        <v/>
      </c>
      <c r="Y358" s="26">
        <f>IFERROR(TEXTJOIN(CHAR(10),TRUE,UNIQUE(FILTER(소재DB_RAW!$N$3:$N$2000&amp;") "&amp;소재DB_RAW!$O$3:$O$2000,(소재DB_RAW!$G$3:$G$2000=$D358)*ISNUMBER(SEARCH("겉감",소재DB_RAW!$M$3:$M$2000))*ISERROR(SEARCH("drop",소재DB_RAW!$C$3:$C$2000))))),"")</f>
        <v/>
      </c>
      <c r="Z358" s="26">
        <f>IFERROR(TEXTJOIN(CHAR(10),TRUE,UNIQUE(FILTER(소재DB_RAW!$N$3:$N$2000&amp;") "&amp;소재DB_RAW!$O$3:$O$2000,(소재DB_RAW!$G$3:$G$2000=$D358)*ISNUMBER(SEARCH("안감",소재DB_RAW!$M$3:$M$2000))*ISERROR(SEARCH("drop",소재DB_RAW!$C$3:$C$2000))))),"")</f>
        <v/>
      </c>
      <c r="AA358" s="27" t="n">
        <v>0</v>
      </c>
      <c r="AB358" s="27" t="n">
        <v>0</v>
      </c>
      <c r="AC358" s="27" t="n">
        <v>0</v>
      </c>
      <c r="AD358" s="20" t="n"/>
      <c r="AE358" s="20">
        <f>IF($K358="","출고일 미정",IF($Q358="X","작지 미발행",IF($Q358="부분","작지 일부 미발행",IF(AND($S358&lt;&gt;"",$S358&gt;$N358),"소재입고 마감("&amp;TEXT($N358,"MM/DD")&amp;") 초과",IF($Q358="","발행여부 확인 필요",IF($S358="","소재 입고일정 확인 필요","정상"))))))</f>
        <v/>
      </c>
      <c r="AF358" s="19">
        <f>IF($K358="","",IF(OR(LEFT($AE358,2)="작지",LEFT($AE358,4)="소재입고"),IF(LEFT($G358,1)="S","★ 납기위험(S코드)","◆ 지연주의"),IF($AE358="정상","✓ 정상","? 확인필요")))</f>
        <v/>
      </c>
      <c r="AG358" s="21" t="n"/>
      <c r="AH358" s="28" t="n"/>
    </row>
    <row r="359">
      <c r="A359" s="19" t="n">
        <v>355</v>
      </c>
      <c r="B359" s="20" t="inlineStr">
        <is>
          <t>신인철</t>
        </is>
      </c>
      <c r="C359" s="20" t="inlineStr">
        <is>
          <t>안세진</t>
        </is>
      </c>
      <c r="D359" s="20" t="inlineStr">
        <is>
          <t>8NBDX27101</t>
        </is>
      </c>
      <c r="E359" s="20" t="inlineStr">
        <is>
          <t>[WM] 익스퍼트 X-PAC 슬링백</t>
        </is>
      </c>
      <c r="F359" s="20" t="inlineStr">
        <is>
          <t>BLK(BLACK)</t>
        </is>
      </c>
      <c r="G359" s="19">
        <f>IF($D359="","",IF(MID($D359,5,1)="S","S(봄)",IF(MID($D359,5,1)="M","M(여름)",IF(MID($D359,5,1)="X","X(사계절)",MID($D359,5,1)))))</f>
        <v/>
      </c>
      <c r="H359" s="20" t="inlineStr">
        <is>
          <t>완사입</t>
        </is>
      </c>
      <c r="I359" s="19" t="inlineStr">
        <is>
          <t>1차</t>
        </is>
      </c>
      <c r="J359" s="21" t="inlineStr">
        <is>
          <t>1월3주</t>
        </is>
      </c>
      <c r="K359" s="22">
        <f>IF($J359="","",IFERROR(DATE(IF(VALUE(LEFT($J359,FIND("월",$J359)-1))&gt;=9,기준정보!$C$7-1,기준정보!$C$7),VALUE(LEFT($J359,FIND("월",$J359)-1)),1+7*(VALUE(SUBSTITUTE(MID($J359,FIND("월",$J359)+1,5),"주",""))-1)),""))</f>
        <v/>
      </c>
      <c r="L359" s="22">
        <f>IF($K359="","",IF(AND($K359-기준정보!$C$5&gt;=기준정보!$C$10,$K359-기준정보!$C$5&lt;=기준정보!$C$11),기준정보!$C$10-1,$K359-기준정보!$C$5))</f>
        <v/>
      </c>
      <c r="M359" s="23">
        <f>IF($L359="","",IF(OR(ISNUMBER(SEARCH("중국",$W359)),ISNUMBER(SEARCH("베트남",$W359))),MAX(0,MIN($L359,기준정보!$C$9)-MAX($L359-기준정보!$C$6,기준정보!$C$8)+1),IF(ISNUMBER(SEARCH("한국",$W359)),MAX(0,MIN($L359,기준정보!$C$11)-MAX($L359-기준정보!$C$6,기준정보!$C$10)+1),0)))</f>
        <v/>
      </c>
      <c r="N359" s="22">
        <f>IF($L359="","",$L359-기준정보!$C$6-$M359)</f>
        <v/>
      </c>
      <c r="O359" s="24">
        <f>IF($N359="","",$N359-기준정보!$C$4)</f>
        <v/>
      </c>
      <c r="P359" s="21" t="n"/>
      <c r="Q359" s="21" t="inlineStr">
        <is>
          <t>X</t>
        </is>
      </c>
      <c r="R359" s="19">
        <f>IF(COUNTIF(EDW_RAW!$A$2:$A$1500,$D359)=0,"",IF(COUNTIFS(EDW_RAW!$A$2:$A$1500,$D359,EDW_RAW!$U$2:$U$1500,"&lt;&gt;~",EDW_RAW!$U$2:$U$1500,"&lt;&gt;")=COUNTIF(EDW_RAW!$A$2:$A$1500,$D359),"O",IF(COUNTIFS(EDW_RAW!$A$2:$A$1500,$D359,EDW_RAW!$U$2:$U$1500,"&lt;&gt;~",EDW_RAW!$U$2:$U$1500,"&lt;&gt;")&gt;0,"부분","X")))</f>
        <v/>
      </c>
      <c r="S359" s="25" t="n"/>
      <c r="T359" s="20">
        <f>IF($H359="","",IF(AND(ISNUMBER(SEARCH("CMT",$H359)),OR(ISNUMBER(SEARCH("완사입",$H359)),ISNUMBER(SEARCH("ODM",$H359)))),"본사/생산처 혼재",IF(ISNUMBER(SEARCH("CMT",$H359)),"본사(소재팀)","생산처")))</f>
        <v/>
      </c>
      <c r="U359" s="20" t="inlineStr">
        <is>
          <t>신일</t>
        </is>
      </c>
      <c r="V359" s="20">
        <f>IFERROR(TEXTJOIN(" / ",TRUE,UNIQUE(FILTER(소재DB_RAW!$K$3:$K$2000,(소재DB_RAW!$G$3:$G$2000=$D359)*ISERROR(SEARCH("drop",소재DB_RAW!$C$3:$C$2000))))),"")</f>
        <v/>
      </c>
      <c r="W359" s="20" t="inlineStr">
        <is>
          <t>중국</t>
        </is>
      </c>
      <c r="X359" s="20">
        <f>IFERROR(TEXTJOIN(" / ",TRUE,UNIQUE(FILTER(소재DB_RAW!$N$3:$N$2000,(소재DB_RAW!$G$3:$G$2000=$D359)*ISERROR(SEARCH("drop",소재DB_RAW!$C$3:$C$2000))))),"")</f>
        <v/>
      </c>
      <c r="Y359" s="26">
        <f>IFERROR(TEXTJOIN(CHAR(10),TRUE,UNIQUE(FILTER(소재DB_RAW!$N$3:$N$2000&amp;") "&amp;소재DB_RAW!$O$3:$O$2000,(소재DB_RAW!$G$3:$G$2000=$D359)*ISNUMBER(SEARCH("겉감",소재DB_RAW!$M$3:$M$2000))*ISERROR(SEARCH("drop",소재DB_RAW!$C$3:$C$2000))))),"")</f>
        <v/>
      </c>
      <c r="Z359" s="26">
        <f>IFERROR(TEXTJOIN(CHAR(10),TRUE,UNIQUE(FILTER(소재DB_RAW!$N$3:$N$2000&amp;") "&amp;소재DB_RAW!$O$3:$O$2000,(소재DB_RAW!$G$3:$G$2000=$D359)*ISNUMBER(SEARCH("안감",소재DB_RAW!$M$3:$M$2000))*ISERROR(SEARCH("drop",소재DB_RAW!$C$3:$C$2000))))),"")</f>
        <v/>
      </c>
      <c r="AA359" s="27" t="n">
        <v>0</v>
      </c>
      <c r="AB359" s="27" t="n">
        <v>8735294</v>
      </c>
      <c r="AC359" s="27" t="n">
        <v>29700000</v>
      </c>
      <c r="AD359" s="20" t="n"/>
      <c r="AE359" s="20">
        <f>IF($K359="","출고일 미정",IF($Q359="X","작지 미발행",IF($Q359="부분","작지 일부 미발행",IF(AND($S359&lt;&gt;"",$S359&gt;$N359),"소재입고 마감("&amp;TEXT($N359,"MM/DD")&amp;") 초과",IF($Q359="","발행여부 확인 필요",IF($S359="","소재 입고일정 확인 필요","정상"))))))</f>
        <v/>
      </c>
      <c r="AF359" s="19">
        <f>IF($K359="","",IF(OR(LEFT($AE359,2)="작지",LEFT($AE359,4)="소재입고"),IF(LEFT($G359,1)="S","★ 납기위험(S코드)","◆ 지연주의"),IF($AE359="정상","✓ 정상","? 확인필요")))</f>
        <v/>
      </c>
      <c r="AG359" s="21" t="n"/>
      <c r="AH359" s="28" t="n"/>
    </row>
    <row r="360">
      <c r="A360" s="19" t="n">
        <v>356</v>
      </c>
      <c r="B360" s="20" t="inlineStr">
        <is>
          <t>신인철</t>
        </is>
      </c>
      <c r="C360" s="20" t="inlineStr">
        <is>
          <t>안세진</t>
        </is>
      </c>
      <c r="D360" s="20" t="inlineStr">
        <is>
          <t>8NREX27101</t>
        </is>
      </c>
      <c r="E360" s="20" t="inlineStr">
        <is>
          <t>[WM] 남녀공용 익스퍼트 고어 3L 캡</t>
        </is>
      </c>
      <c r="F360" s="20" t="inlineStr">
        <is>
          <t>BLK(BLACK)</t>
        </is>
      </c>
      <c r="G360" s="19">
        <f>IF($D360="","",IF(MID($D360,5,1)="S","S(봄)",IF(MID($D360,5,1)="M","M(여름)",IF(MID($D360,5,1)="X","X(사계절)",MID($D360,5,1)))))</f>
        <v/>
      </c>
      <c r="H360" s="20" t="inlineStr">
        <is>
          <t>완사입</t>
        </is>
      </c>
      <c r="I360" s="19" t="inlineStr">
        <is>
          <t>1차</t>
        </is>
      </c>
      <c r="J360" s="21" t="inlineStr">
        <is>
          <t>1월3주</t>
        </is>
      </c>
      <c r="K360" s="22">
        <f>IF($J360="","",IFERROR(DATE(IF(VALUE(LEFT($J360,FIND("월",$J360)-1))&gt;=9,기준정보!$C$7-1,기준정보!$C$7),VALUE(LEFT($J360,FIND("월",$J360)-1)),1+7*(VALUE(SUBSTITUTE(MID($J360,FIND("월",$J360)+1,5),"주",""))-1)),""))</f>
        <v/>
      </c>
      <c r="L360" s="22">
        <f>IF($K360="","",IF(AND($K360-기준정보!$C$5&gt;=기준정보!$C$10,$K360-기준정보!$C$5&lt;=기준정보!$C$11),기준정보!$C$10-1,$K360-기준정보!$C$5))</f>
        <v/>
      </c>
      <c r="M360" s="23">
        <f>IF($L360="","",IF(OR(ISNUMBER(SEARCH("중국",$W360)),ISNUMBER(SEARCH("베트남",$W360))),MAX(0,MIN($L360,기준정보!$C$9)-MAX($L360-기준정보!$C$6,기준정보!$C$8)+1),IF(ISNUMBER(SEARCH("한국",$W360)),MAX(0,MIN($L360,기준정보!$C$11)-MAX($L360-기준정보!$C$6,기준정보!$C$10)+1),0)))</f>
        <v/>
      </c>
      <c r="N360" s="22">
        <f>IF($L360="","",$L360-기준정보!$C$6-$M360)</f>
        <v/>
      </c>
      <c r="O360" s="24">
        <f>IF($N360="","",$N360-기준정보!$C$4)</f>
        <v/>
      </c>
      <c r="P360" s="21" t="n"/>
      <c r="Q360" s="21" t="inlineStr">
        <is>
          <t>X</t>
        </is>
      </c>
      <c r="R360" s="19">
        <f>IF(COUNTIF(EDW_RAW!$A$2:$A$1500,$D360)=0,"",IF(COUNTIFS(EDW_RAW!$A$2:$A$1500,$D360,EDW_RAW!$U$2:$U$1500,"&lt;&gt;~",EDW_RAW!$U$2:$U$1500,"&lt;&gt;")=COUNTIF(EDW_RAW!$A$2:$A$1500,$D360),"O",IF(COUNTIFS(EDW_RAW!$A$2:$A$1500,$D360,EDW_RAW!$U$2:$U$1500,"&lt;&gt;~",EDW_RAW!$U$2:$U$1500,"&lt;&gt;")&gt;0,"부분","X")))</f>
        <v/>
      </c>
      <c r="S360" s="25" t="n"/>
      <c r="T360" s="20">
        <f>IF($H360="","",IF(AND(ISNUMBER(SEARCH("CMT",$H360)),OR(ISNUMBER(SEARCH("완사입",$H360)),ISNUMBER(SEARCH("ODM",$H360)))),"본사/생산처 혼재",IF(ISNUMBER(SEARCH("CMT",$H360)),"본사(소재팀)","생산처")))</f>
        <v/>
      </c>
      <c r="U360" s="20" t="inlineStr">
        <is>
          <t>캐비야</t>
        </is>
      </c>
      <c r="V360" s="20">
        <f>IFERROR(TEXTJOIN(" / ",TRUE,UNIQUE(FILTER(소재DB_RAW!$K$3:$K$2000,(소재DB_RAW!$G$3:$G$2000=$D360)*ISERROR(SEARCH("drop",소재DB_RAW!$C$3:$C$2000))))),"")</f>
        <v/>
      </c>
      <c r="W360" s="20" t="inlineStr">
        <is>
          <t>국내</t>
        </is>
      </c>
      <c r="X360" s="20">
        <f>IFERROR(TEXTJOIN(" / ",TRUE,UNIQUE(FILTER(소재DB_RAW!$N$3:$N$2000,(소재DB_RAW!$G$3:$G$2000=$D360)*ISERROR(SEARCH("drop",소재DB_RAW!$C$3:$C$2000))))),"")</f>
        <v/>
      </c>
      <c r="Y360" s="26">
        <f>IFERROR(TEXTJOIN(CHAR(10),TRUE,UNIQUE(FILTER(소재DB_RAW!$N$3:$N$2000&amp;") "&amp;소재DB_RAW!$O$3:$O$2000,(소재DB_RAW!$G$3:$G$2000=$D360)*ISNUMBER(SEARCH("겉감",소재DB_RAW!$M$3:$M$2000))*ISERROR(SEARCH("drop",소재DB_RAW!$C$3:$C$2000))))),"")</f>
        <v/>
      </c>
      <c r="Z360" s="26">
        <f>IFERROR(TEXTJOIN(CHAR(10),TRUE,UNIQUE(FILTER(소재DB_RAW!$N$3:$N$2000&amp;") "&amp;소재DB_RAW!$O$3:$O$2000,(소재DB_RAW!$G$3:$G$2000=$D360)*ISNUMBER(SEARCH("안감",소재DB_RAW!$M$3:$M$2000))*ISERROR(SEARCH("drop",소재DB_RAW!$C$3:$C$2000))))),"")</f>
        <v/>
      </c>
      <c r="AA360" s="27" t="n">
        <v>0</v>
      </c>
      <c r="AB360" s="27" t="n">
        <v>3764706</v>
      </c>
      <c r="AC360" s="27" t="n">
        <v>12800000</v>
      </c>
      <c r="AD360" s="20" t="n"/>
      <c r="AE360" s="20">
        <f>IF($K360="","출고일 미정",IF($Q360="X","작지 미발행",IF($Q360="부분","작지 일부 미발행",IF(AND($S360&lt;&gt;"",$S360&gt;$N360),"소재입고 마감("&amp;TEXT($N360,"MM/DD")&amp;") 초과",IF($Q360="","발행여부 확인 필요",IF($S360="","소재 입고일정 확인 필요","정상"))))))</f>
        <v/>
      </c>
      <c r="AF360" s="19">
        <f>IF($K360="","",IF(OR(LEFT($AE360,2)="작지",LEFT($AE360,4)="소재입고"),IF(LEFT($G360,1)="S","★ 납기위험(S코드)","◆ 지연주의"),IF($AE360="정상","✓ 정상","? 확인필요")))</f>
        <v/>
      </c>
      <c r="AG360" s="21" t="n"/>
      <c r="AH360" s="28" t="n"/>
    </row>
    <row r="361">
      <c r="A361" s="19" t="n">
        <v>357</v>
      </c>
      <c r="B361" s="20" t="inlineStr">
        <is>
          <t>신인철</t>
        </is>
      </c>
      <c r="C361" s="20" t="inlineStr">
        <is>
          <t>안세진</t>
        </is>
      </c>
      <c r="D361" s="20" t="inlineStr">
        <is>
          <t>8NREX27103</t>
        </is>
      </c>
      <c r="E361" s="20" t="inlineStr">
        <is>
          <t>[WM] 남녀공용 익스퍼트 베이직 3L 캡</t>
        </is>
      </c>
      <c r="F361" s="20" t="inlineStr">
        <is>
          <t>BLK(BLACK), KHA(KHAKI)</t>
        </is>
      </c>
      <c r="G361" s="19">
        <f>IF($D361="","",IF(MID($D361,5,1)="S","S(봄)",IF(MID($D361,5,1)="M","M(여름)",IF(MID($D361,5,1)="X","X(사계절)",MID($D361,5,1)))))</f>
        <v/>
      </c>
      <c r="H361" s="20" t="inlineStr">
        <is>
          <t>완사입</t>
        </is>
      </c>
      <c r="I361" s="19" t="inlineStr">
        <is>
          <t>1차</t>
        </is>
      </c>
      <c r="J361" s="21" t="inlineStr">
        <is>
          <t>1월3주</t>
        </is>
      </c>
      <c r="K361" s="22">
        <f>IF($J361="","",IFERROR(DATE(IF(VALUE(LEFT($J361,FIND("월",$J361)-1))&gt;=9,기준정보!$C$7-1,기준정보!$C$7),VALUE(LEFT($J361,FIND("월",$J361)-1)),1+7*(VALUE(SUBSTITUTE(MID($J361,FIND("월",$J361)+1,5),"주",""))-1)),""))</f>
        <v/>
      </c>
      <c r="L361" s="22">
        <f>IF($K361="","",IF(AND($K361-기준정보!$C$5&gt;=기준정보!$C$10,$K361-기준정보!$C$5&lt;=기준정보!$C$11),기준정보!$C$10-1,$K361-기준정보!$C$5))</f>
        <v/>
      </c>
      <c r="M361" s="23">
        <f>IF($L361="","",IF(OR(ISNUMBER(SEARCH("중국",$W361)),ISNUMBER(SEARCH("베트남",$W361))),MAX(0,MIN($L361,기준정보!$C$9)-MAX($L361-기준정보!$C$6,기준정보!$C$8)+1),IF(ISNUMBER(SEARCH("한국",$W361)),MAX(0,MIN($L361,기준정보!$C$11)-MAX($L361-기준정보!$C$6,기준정보!$C$10)+1),0)))</f>
        <v/>
      </c>
      <c r="N361" s="22">
        <f>IF($L361="","",$L361-기준정보!$C$6-$M361)</f>
        <v/>
      </c>
      <c r="O361" s="24">
        <f>IF($N361="","",$N361-기준정보!$C$4)</f>
        <v/>
      </c>
      <c r="P361" s="21" t="n"/>
      <c r="Q361" s="21" t="inlineStr">
        <is>
          <t>X</t>
        </is>
      </c>
      <c r="R361" s="19">
        <f>IF(COUNTIF(EDW_RAW!$A$2:$A$1500,$D361)=0,"",IF(COUNTIFS(EDW_RAW!$A$2:$A$1500,$D361,EDW_RAW!$U$2:$U$1500,"&lt;&gt;~",EDW_RAW!$U$2:$U$1500,"&lt;&gt;")=COUNTIF(EDW_RAW!$A$2:$A$1500,$D361),"O",IF(COUNTIFS(EDW_RAW!$A$2:$A$1500,$D361,EDW_RAW!$U$2:$U$1500,"&lt;&gt;~",EDW_RAW!$U$2:$U$1500,"&lt;&gt;")&gt;0,"부분","X")))</f>
        <v/>
      </c>
      <c r="S361" s="25" t="n"/>
      <c r="T361" s="20">
        <f>IF($H361="","",IF(AND(ISNUMBER(SEARCH("CMT",$H361)),OR(ISNUMBER(SEARCH("완사입",$H361)),ISNUMBER(SEARCH("ODM",$H361)))),"본사/생산처 혼재",IF(ISNUMBER(SEARCH("CMT",$H361)),"본사(소재팀)","생산처")))</f>
        <v/>
      </c>
      <c r="U361" s="20" t="inlineStr">
        <is>
          <t>캐비야</t>
        </is>
      </c>
      <c r="V361" s="20">
        <f>IFERROR(TEXTJOIN(" / ",TRUE,UNIQUE(FILTER(소재DB_RAW!$K$3:$K$2000,(소재DB_RAW!$G$3:$G$2000=$D361)*ISERROR(SEARCH("drop",소재DB_RAW!$C$3:$C$2000))))),"")</f>
        <v/>
      </c>
      <c r="W361" s="20" t="inlineStr">
        <is>
          <t>국내</t>
        </is>
      </c>
      <c r="X361" s="20">
        <f>IFERROR(TEXTJOIN(" / ",TRUE,UNIQUE(FILTER(소재DB_RAW!$N$3:$N$2000,(소재DB_RAW!$G$3:$G$2000=$D361)*ISERROR(SEARCH("drop",소재DB_RAW!$C$3:$C$2000))))),"")</f>
        <v/>
      </c>
      <c r="Y361" s="26">
        <f>IFERROR(TEXTJOIN(CHAR(10),TRUE,UNIQUE(FILTER(소재DB_RAW!$N$3:$N$2000&amp;") "&amp;소재DB_RAW!$O$3:$O$2000,(소재DB_RAW!$G$3:$G$2000=$D361)*ISNUMBER(SEARCH("겉감",소재DB_RAW!$M$3:$M$2000))*ISERROR(SEARCH("drop",소재DB_RAW!$C$3:$C$2000))))),"")</f>
        <v/>
      </c>
      <c r="Z361" s="26">
        <f>IFERROR(TEXTJOIN(CHAR(10),TRUE,UNIQUE(FILTER(소재DB_RAW!$N$3:$N$2000&amp;") "&amp;소재DB_RAW!$O$3:$O$2000,(소재DB_RAW!$G$3:$G$2000=$D361)*ISNUMBER(SEARCH("안감",소재DB_RAW!$M$3:$M$2000))*ISERROR(SEARCH("drop",소재DB_RAW!$C$3:$C$2000))))),"")</f>
        <v/>
      </c>
      <c r="AA361" s="27" t="n">
        <v>0</v>
      </c>
      <c r="AB361" s="27" t="n">
        <v>6470588</v>
      </c>
      <c r="AC361" s="27" t="n">
        <v>22000000</v>
      </c>
      <c r="AD361" s="20" t="n"/>
      <c r="AE361" s="20">
        <f>IF($K361="","출고일 미정",IF($Q361="X","작지 미발행",IF($Q361="부분","작지 일부 미발행",IF(AND($S361&lt;&gt;"",$S361&gt;$N361),"소재입고 마감("&amp;TEXT($N361,"MM/DD")&amp;") 초과",IF($Q361="","발행여부 확인 필요",IF($S361="","소재 입고일정 확인 필요","정상"))))))</f>
        <v/>
      </c>
      <c r="AF361" s="19">
        <f>IF($K361="","",IF(OR(LEFT($AE361,2)="작지",LEFT($AE361,4)="소재입고"),IF(LEFT($G361,1)="S","★ 납기위험(S코드)","◆ 지연주의"),IF($AE361="정상","✓ 정상","? 확인필요")))</f>
        <v/>
      </c>
      <c r="AG361" s="21" t="n"/>
      <c r="AH361" s="28" t="n"/>
    </row>
    <row r="362">
      <c r="A362" s="19" t="n">
        <v>358</v>
      </c>
      <c r="B362" s="20" t="inlineStr">
        <is>
          <t>신인철</t>
        </is>
      </c>
      <c r="C362" s="20" t="inlineStr">
        <is>
          <t>안세진</t>
        </is>
      </c>
      <c r="D362" s="20" t="inlineStr">
        <is>
          <t>8UJGX27101</t>
        </is>
      </c>
      <c r="E362" s="20" t="inlineStr">
        <is>
          <t>[WM] 남녀공용 익스퍼트 스톰 3L 고어 재킷</t>
        </is>
      </c>
      <c r="F362" s="20" t="inlineStr">
        <is>
          <t>BLK(BLACK)</t>
        </is>
      </c>
      <c r="G362" s="19">
        <f>IF($D362="","",IF(MID($D362,5,1)="S","S(봄)",IF(MID($D362,5,1)="M","M(여름)",IF(MID($D362,5,1)="X","X(사계절)",MID($D362,5,1)))))</f>
        <v/>
      </c>
      <c r="H362" s="20" t="inlineStr">
        <is>
          <t>완사입</t>
        </is>
      </c>
      <c r="I362" s="19" t="inlineStr">
        <is>
          <t>1차</t>
        </is>
      </c>
      <c r="J362" s="21" t="inlineStr">
        <is>
          <t>1월3주</t>
        </is>
      </c>
      <c r="K362" s="22">
        <f>IF($J362="","",IFERROR(DATE(IF(VALUE(LEFT($J362,FIND("월",$J362)-1))&gt;=9,기준정보!$C$7-1,기준정보!$C$7),VALUE(LEFT($J362,FIND("월",$J362)-1)),1+7*(VALUE(SUBSTITUTE(MID($J362,FIND("월",$J362)+1,5),"주",""))-1)),""))</f>
        <v/>
      </c>
      <c r="L362" s="22">
        <f>IF($K362="","",IF(AND($K362-기준정보!$C$5&gt;=기준정보!$C$10,$K362-기준정보!$C$5&lt;=기준정보!$C$11),기준정보!$C$10-1,$K362-기준정보!$C$5))</f>
        <v/>
      </c>
      <c r="M362" s="23">
        <f>IF($L362="","",IF(OR(ISNUMBER(SEARCH("중국",$W362)),ISNUMBER(SEARCH("베트남",$W362))),MAX(0,MIN($L362,기준정보!$C$9)-MAX($L362-기준정보!$C$6,기준정보!$C$8)+1),IF(ISNUMBER(SEARCH("한국",$W362)),MAX(0,MIN($L362,기준정보!$C$11)-MAX($L362-기준정보!$C$6,기준정보!$C$10)+1),0)))</f>
        <v/>
      </c>
      <c r="N362" s="22">
        <f>IF($L362="","",$L362-기준정보!$C$6-$M362)</f>
        <v/>
      </c>
      <c r="O362" s="24">
        <f>IF($N362="","",$N362-기준정보!$C$4)</f>
        <v/>
      </c>
      <c r="P362" s="21" t="n"/>
      <c r="Q362" s="21" t="inlineStr">
        <is>
          <t>X</t>
        </is>
      </c>
      <c r="R362" s="19">
        <f>IF(COUNTIF(EDW_RAW!$A$2:$A$1500,$D362)=0,"",IF(COUNTIFS(EDW_RAW!$A$2:$A$1500,$D362,EDW_RAW!$U$2:$U$1500,"&lt;&gt;~",EDW_RAW!$U$2:$U$1500,"&lt;&gt;")=COUNTIF(EDW_RAW!$A$2:$A$1500,$D362),"O",IF(COUNTIFS(EDW_RAW!$A$2:$A$1500,$D362,EDW_RAW!$U$2:$U$1500,"&lt;&gt;~",EDW_RAW!$U$2:$U$1500,"&lt;&gt;")&gt;0,"부분","X")))</f>
        <v/>
      </c>
      <c r="S362" s="25" t="n"/>
      <c r="T362" s="20">
        <f>IF($H362="","",IF(AND(ISNUMBER(SEARCH("CMT",$H362)),OR(ISNUMBER(SEARCH("완사입",$H362)),ISNUMBER(SEARCH("ODM",$H362)))),"본사/생산처 혼재",IF(ISNUMBER(SEARCH("CMT",$H362)),"본사(소재팀)","생산처")))</f>
        <v/>
      </c>
      <c r="U362" s="20" t="inlineStr">
        <is>
          <t>기도</t>
        </is>
      </c>
      <c r="V362" s="20">
        <f>IFERROR(TEXTJOIN(" / ",TRUE,UNIQUE(FILTER(소재DB_RAW!$K$3:$K$2000,(소재DB_RAW!$G$3:$G$2000=$D362)*ISERROR(SEARCH("drop",소재DB_RAW!$C$3:$C$2000))))),"")</f>
        <v/>
      </c>
      <c r="W362" s="20" t="inlineStr">
        <is>
          <t>베트남</t>
        </is>
      </c>
      <c r="X362" s="20">
        <f>IFERROR(TEXTJOIN(" / ",TRUE,UNIQUE(FILTER(소재DB_RAW!$N$3:$N$2000,(소재DB_RAW!$G$3:$G$2000=$D362)*ISERROR(SEARCH("drop",소재DB_RAW!$C$3:$C$2000))))),"")</f>
        <v/>
      </c>
      <c r="Y362" s="26">
        <f>IFERROR(TEXTJOIN(CHAR(10),TRUE,UNIQUE(FILTER(소재DB_RAW!$N$3:$N$2000&amp;") "&amp;소재DB_RAW!$O$3:$O$2000,(소재DB_RAW!$G$3:$G$2000=$D362)*ISNUMBER(SEARCH("겉감",소재DB_RAW!$M$3:$M$2000))*ISERROR(SEARCH("drop",소재DB_RAW!$C$3:$C$2000))))),"")</f>
        <v/>
      </c>
      <c r="Z362" s="26">
        <f>IFERROR(TEXTJOIN(CHAR(10),TRUE,UNIQUE(FILTER(소재DB_RAW!$N$3:$N$2000&amp;") "&amp;소재DB_RAW!$O$3:$O$2000,(소재DB_RAW!$G$3:$G$2000=$D362)*ISNUMBER(SEARCH("안감",소재DB_RAW!$M$3:$M$2000))*ISERROR(SEARCH("drop",소재DB_RAW!$C$3:$C$2000))))),"")</f>
        <v/>
      </c>
      <c r="AA362" s="27" t="n">
        <v>0</v>
      </c>
      <c r="AB362" s="27" t="n">
        <v>34016700</v>
      </c>
      <c r="AC362" s="27" t="n">
        <v>99000000</v>
      </c>
      <c r="AD362" s="20" t="n"/>
      <c r="AE362" s="20">
        <f>IF($K362="","출고일 미정",IF($Q362="X","작지 미발행",IF($Q362="부분","작지 일부 미발행",IF(AND($S362&lt;&gt;"",$S362&gt;$N362),"소재입고 마감("&amp;TEXT($N362,"MM/DD")&amp;") 초과",IF($Q362="","발행여부 확인 필요",IF($S362="","소재 입고일정 확인 필요","정상"))))))</f>
        <v/>
      </c>
      <c r="AF362" s="19">
        <f>IF($K362="","",IF(OR(LEFT($AE362,2)="작지",LEFT($AE362,4)="소재입고"),IF(LEFT($G362,1)="S","★ 납기위험(S코드)","◆ 지연주의"),IF($AE362="정상","✓ 정상","? 확인필요")))</f>
        <v/>
      </c>
      <c r="AG362" s="21" t="n"/>
      <c r="AH362" s="28" t="n"/>
    </row>
    <row r="363">
      <c r="A363" s="19" t="n">
        <v>359</v>
      </c>
      <c r="B363" s="20" t="inlineStr">
        <is>
          <t>신인철</t>
        </is>
      </c>
      <c r="C363" s="20" t="inlineStr">
        <is>
          <t>안세진</t>
        </is>
      </c>
      <c r="D363" s="20" t="inlineStr">
        <is>
          <t>8UJJX27101</t>
        </is>
      </c>
      <c r="E363" s="20" t="inlineStr">
        <is>
          <t>[WM] 남녀공용 스톰 에센셜 3L 재킷</t>
        </is>
      </c>
      <c r="F363" s="20" t="inlineStr">
        <is>
          <t>LGY(L/GRAY), KHA(KHAKI), BLK(BLACK)</t>
        </is>
      </c>
      <c r="G363" s="19">
        <f>IF($D363="","",IF(MID($D363,5,1)="S","S(봄)",IF(MID($D363,5,1)="M","M(여름)",IF(MID($D363,5,1)="X","X(사계절)",MID($D363,5,1)))))</f>
        <v/>
      </c>
      <c r="H363" s="20" t="inlineStr">
        <is>
          <t>완사입</t>
        </is>
      </c>
      <c r="I363" s="19" t="inlineStr">
        <is>
          <t>1차</t>
        </is>
      </c>
      <c r="J363" s="21" t="inlineStr">
        <is>
          <t>1월3주</t>
        </is>
      </c>
      <c r="K363" s="22">
        <f>IF($J363="","",IFERROR(DATE(IF(VALUE(LEFT($J363,FIND("월",$J363)-1))&gt;=9,기준정보!$C$7-1,기준정보!$C$7),VALUE(LEFT($J363,FIND("월",$J363)-1)),1+7*(VALUE(SUBSTITUTE(MID($J363,FIND("월",$J363)+1,5),"주",""))-1)),""))</f>
        <v/>
      </c>
      <c r="L363" s="22">
        <f>IF($K363="","",IF(AND($K363-기준정보!$C$5&gt;=기준정보!$C$10,$K363-기준정보!$C$5&lt;=기준정보!$C$11),기준정보!$C$10-1,$K363-기준정보!$C$5))</f>
        <v/>
      </c>
      <c r="M363" s="23">
        <f>IF($L363="","",IF(OR(ISNUMBER(SEARCH("중국",$W363)),ISNUMBER(SEARCH("베트남",$W363))),MAX(0,MIN($L363,기준정보!$C$9)-MAX($L363-기준정보!$C$6,기준정보!$C$8)+1),IF(ISNUMBER(SEARCH("한국",$W363)),MAX(0,MIN($L363,기준정보!$C$11)-MAX($L363-기준정보!$C$6,기준정보!$C$10)+1),0)))</f>
        <v/>
      </c>
      <c r="N363" s="22">
        <f>IF($L363="","",$L363-기준정보!$C$6-$M363)</f>
        <v/>
      </c>
      <c r="O363" s="24">
        <f>IF($N363="","",$N363-기준정보!$C$4)</f>
        <v/>
      </c>
      <c r="P363" s="21" t="n"/>
      <c r="Q363" s="21" t="inlineStr">
        <is>
          <t>X</t>
        </is>
      </c>
      <c r="R363" s="19">
        <f>IF(COUNTIF(EDW_RAW!$A$2:$A$1500,$D363)=0,"",IF(COUNTIFS(EDW_RAW!$A$2:$A$1500,$D363,EDW_RAW!$U$2:$U$1500,"&lt;&gt;~",EDW_RAW!$U$2:$U$1500,"&lt;&gt;")=COUNTIF(EDW_RAW!$A$2:$A$1500,$D363),"O",IF(COUNTIFS(EDW_RAW!$A$2:$A$1500,$D363,EDW_RAW!$U$2:$U$1500,"&lt;&gt;~",EDW_RAW!$U$2:$U$1500,"&lt;&gt;")&gt;0,"부분","X")))</f>
        <v/>
      </c>
      <c r="S363" s="25" t="n"/>
      <c r="T363" s="20">
        <f>IF($H363="","",IF(AND(ISNUMBER(SEARCH("CMT",$H363)),OR(ISNUMBER(SEARCH("완사입",$H363)),ISNUMBER(SEARCH("ODM",$H363)))),"본사/생산처 혼재",IF(ISNUMBER(SEARCH("CMT",$H363)),"본사(소재팀)","생산처")))</f>
        <v/>
      </c>
      <c r="U363" s="20" t="inlineStr">
        <is>
          <t>기도</t>
        </is>
      </c>
      <c r="V363" s="20">
        <f>IFERROR(TEXTJOIN(" / ",TRUE,UNIQUE(FILTER(소재DB_RAW!$K$3:$K$2000,(소재DB_RAW!$G$3:$G$2000=$D363)*ISERROR(SEARCH("drop",소재DB_RAW!$C$3:$C$2000))))),"")</f>
        <v/>
      </c>
      <c r="W363" s="20" t="inlineStr">
        <is>
          <t>베트남</t>
        </is>
      </c>
      <c r="X363" s="20">
        <f>IFERROR(TEXTJOIN(" / ",TRUE,UNIQUE(FILTER(소재DB_RAW!$N$3:$N$2000,(소재DB_RAW!$G$3:$G$2000=$D363)*ISERROR(SEARCH("drop",소재DB_RAW!$C$3:$C$2000))))),"")</f>
        <v/>
      </c>
      <c r="Y363" s="26">
        <f>IFERROR(TEXTJOIN(CHAR(10),TRUE,UNIQUE(FILTER(소재DB_RAW!$N$3:$N$2000&amp;") "&amp;소재DB_RAW!$O$3:$O$2000,(소재DB_RAW!$G$3:$G$2000=$D363)*ISNUMBER(SEARCH("겉감",소재DB_RAW!$M$3:$M$2000))*ISERROR(SEARCH("drop",소재DB_RAW!$C$3:$C$2000))))),"")</f>
        <v/>
      </c>
      <c r="Z363" s="26">
        <f>IFERROR(TEXTJOIN(CHAR(10),TRUE,UNIQUE(FILTER(소재DB_RAW!$N$3:$N$2000&amp;") "&amp;소재DB_RAW!$O$3:$O$2000,(소재DB_RAW!$G$3:$G$2000=$D363)*ISNUMBER(SEARCH("안감",소재DB_RAW!$M$3:$M$2000))*ISERROR(SEARCH("drop",소재DB_RAW!$C$3:$C$2000))))),"")</f>
        <v/>
      </c>
      <c r="AA363" s="27" t="n">
        <v>0</v>
      </c>
      <c r="AB363" s="27" t="n">
        <v>74330850</v>
      </c>
      <c r="AC363" s="27" t="n">
        <v>236500000</v>
      </c>
      <c r="AD363" s="20" t="n"/>
      <c r="AE363" s="20">
        <f>IF($K363="","출고일 미정",IF($Q363="X","작지 미발행",IF($Q363="부분","작지 일부 미발행",IF(AND($S363&lt;&gt;"",$S363&gt;$N363),"소재입고 마감("&amp;TEXT($N363,"MM/DD")&amp;") 초과",IF($Q363="","발행여부 확인 필요",IF($S363="","소재 입고일정 확인 필요","정상"))))))</f>
        <v/>
      </c>
      <c r="AF363" s="19">
        <f>IF($K363="","",IF(OR(LEFT($AE363,2)="작지",LEFT($AE363,4)="소재입고"),IF(LEFT($G363,1)="S","★ 납기위험(S코드)","◆ 지연주의"),IF($AE363="정상","✓ 정상","? 확인필요")))</f>
        <v/>
      </c>
      <c r="AG363" s="21" t="n"/>
      <c r="AH363" s="28" t="n"/>
    </row>
    <row r="364">
      <c r="A364" s="19" t="n">
        <v>360</v>
      </c>
      <c r="B364" s="20" t="inlineStr">
        <is>
          <t>신인철</t>
        </is>
      </c>
      <c r="C364" s="20" t="inlineStr">
        <is>
          <t>장지은</t>
        </is>
      </c>
      <c r="D364" s="20" t="inlineStr">
        <is>
          <t>8UJJX27102</t>
        </is>
      </c>
      <c r="E364" s="20" t="inlineStr">
        <is>
          <t>[WM] 남녀공용 프리마로프트 미드레이어 재킷</t>
        </is>
      </c>
      <c r="F364" s="20" t="inlineStr">
        <is>
          <t>DLM, BLK(BLACK)</t>
        </is>
      </c>
      <c r="G364" s="19">
        <f>IF($D364="","",IF(MID($D364,5,1)="S","S(봄)",IF(MID($D364,5,1)="M","M(여름)",IF(MID($D364,5,1)="X","X(사계절)",MID($D364,5,1)))))</f>
        <v/>
      </c>
      <c r="H364" s="20" t="inlineStr">
        <is>
          <t>완사입</t>
        </is>
      </c>
      <c r="I364" s="19" t="inlineStr">
        <is>
          <t>1차</t>
        </is>
      </c>
      <c r="J364" s="21" t="inlineStr">
        <is>
          <t>1월3주</t>
        </is>
      </c>
      <c r="K364" s="22">
        <f>IF($J364="","",IFERROR(DATE(IF(VALUE(LEFT($J364,FIND("월",$J364)-1))&gt;=9,기준정보!$C$7-1,기준정보!$C$7),VALUE(LEFT($J364,FIND("월",$J364)-1)),1+7*(VALUE(SUBSTITUTE(MID($J364,FIND("월",$J364)+1,5),"주",""))-1)),""))</f>
        <v/>
      </c>
      <c r="L364" s="22">
        <f>IF($K364="","",IF(AND($K364-기준정보!$C$5&gt;=기준정보!$C$10,$K364-기준정보!$C$5&lt;=기준정보!$C$11),기준정보!$C$10-1,$K364-기준정보!$C$5))</f>
        <v/>
      </c>
      <c r="M364" s="23">
        <f>IF($L364="","",IF(OR(ISNUMBER(SEARCH("중국",$W364)),ISNUMBER(SEARCH("베트남",$W364))),MAX(0,MIN($L364,기준정보!$C$9)-MAX($L364-기준정보!$C$6,기준정보!$C$8)+1),IF(ISNUMBER(SEARCH("한국",$W364)),MAX(0,MIN($L364,기준정보!$C$11)-MAX($L364-기준정보!$C$6,기준정보!$C$10)+1),0)))</f>
        <v/>
      </c>
      <c r="N364" s="22">
        <f>IF($L364="","",$L364-기준정보!$C$6-$M364)</f>
        <v/>
      </c>
      <c r="O364" s="24">
        <f>IF($N364="","",$N364-기준정보!$C$4)</f>
        <v/>
      </c>
      <c r="P364" s="21" t="n"/>
      <c r="Q364" s="21" t="inlineStr">
        <is>
          <t>X</t>
        </is>
      </c>
      <c r="R364" s="19">
        <f>IF(COUNTIF(EDW_RAW!$A$2:$A$1500,$D364)=0,"",IF(COUNTIFS(EDW_RAW!$A$2:$A$1500,$D364,EDW_RAW!$U$2:$U$1500,"&lt;&gt;~",EDW_RAW!$U$2:$U$1500,"&lt;&gt;")=COUNTIF(EDW_RAW!$A$2:$A$1500,$D364),"O",IF(COUNTIFS(EDW_RAW!$A$2:$A$1500,$D364,EDW_RAW!$U$2:$U$1500,"&lt;&gt;~",EDW_RAW!$U$2:$U$1500,"&lt;&gt;")&gt;0,"부분","X")))</f>
        <v/>
      </c>
      <c r="S364" s="25" t="n"/>
      <c r="T364" s="20">
        <f>IF($H364="","",IF(AND(ISNUMBER(SEARCH("CMT",$H364)),OR(ISNUMBER(SEARCH("완사입",$H364)),ISNUMBER(SEARCH("ODM",$H364)))),"본사/생산처 혼재",IF(ISNUMBER(SEARCH("CMT",$H364)),"본사(소재팀)","생산처")))</f>
        <v/>
      </c>
      <c r="U364" s="20" t="inlineStr">
        <is>
          <t>원전</t>
        </is>
      </c>
      <c r="V364" s="20">
        <f>IFERROR(TEXTJOIN(" / ",TRUE,UNIQUE(FILTER(소재DB_RAW!$K$3:$K$2000,(소재DB_RAW!$G$3:$G$2000=$D364)*ISERROR(SEARCH("drop",소재DB_RAW!$C$3:$C$2000))))),"")</f>
        <v/>
      </c>
      <c r="W364" s="20" t="inlineStr">
        <is>
          <t>베트남</t>
        </is>
      </c>
      <c r="X364" s="20">
        <f>IFERROR(TEXTJOIN(" / ",TRUE,UNIQUE(FILTER(소재DB_RAW!$N$3:$N$2000,(소재DB_RAW!$G$3:$G$2000=$D364)*ISERROR(SEARCH("drop",소재DB_RAW!$C$3:$C$2000))))),"")</f>
        <v/>
      </c>
      <c r="Y364" s="26">
        <f>IFERROR(TEXTJOIN(CHAR(10),TRUE,UNIQUE(FILTER(소재DB_RAW!$N$3:$N$2000&amp;") "&amp;소재DB_RAW!$O$3:$O$2000,(소재DB_RAW!$G$3:$G$2000=$D364)*ISNUMBER(SEARCH("겉감",소재DB_RAW!$M$3:$M$2000))*ISERROR(SEARCH("drop",소재DB_RAW!$C$3:$C$2000))))),"")</f>
        <v/>
      </c>
      <c r="Z364" s="26">
        <f>IFERROR(TEXTJOIN(CHAR(10),TRUE,UNIQUE(FILTER(소재DB_RAW!$N$3:$N$2000&amp;") "&amp;소재DB_RAW!$O$3:$O$2000,(소재DB_RAW!$G$3:$G$2000=$D364)*ISNUMBER(SEARCH("안감",소재DB_RAW!$M$3:$M$2000))*ISERROR(SEARCH("drop",소재DB_RAW!$C$3:$C$2000))))),"")</f>
        <v/>
      </c>
      <c r="AA364" s="27" t="n">
        <v>0</v>
      </c>
      <c r="AB364" s="27" t="n">
        <v>34084400</v>
      </c>
      <c r="AC364" s="27" t="n">
        <v>109200000</v>
      </c>
      <c r="AD364" s="20" t="n"/>
      <c r="AE364" s="20">
        <f>IF($K364="","출고일 미정",IF($Q364="X","작지 미발행",IF($Q364="부분","작지 일부 미발행",IF(AND($S364&lt;&gt;"",$S364&gt;$N364),"소재입고 마감("&amp;TEXT($N364,"MM/DD")&amp;") 초과",IF($Q364="","발행여부 확인 필요",IF($S364="","소재 입고일정 확인 필요","정상"))))))</f>
        <v/>
      </c>
      <c r="AF364" s="19">
        <f>IF($K364="","",IF(OR(LEFT($AE364,2)="작지",LEFT($AE364,4)="소재입고"),IF(LEFT($G364,1)="S","★ 납기위험(S코드)","◆ 지연주의"),IF($AE364="정상","✓ 정상","? 확인필요")))</f>
        <v/>
      </c>
      <c r="AG364" s="21" t="n"/>
      <c r="AH364" s="28" t="n"/>
    </row>
    <row r="365">
      <c r="A365" s="19" t="n">
        <v>361</v>
      </c>
      <c r="B365" s="20" t="inlineStr">
        <is>
          <t>신인철</t>
        </is>
      </c>
      <c r="C365" s="20" t="inlineStr">
        <is>
          <t>안세진</t>
        </is>
      </c>
      <c r="D365" s="20" t="inlineStr">
        <is>
          <t>8UPNX27101</t>
        </is>
      </c>
      <c r="E365" s="20" t="inlineStr">
        <is>
          <t>[WM] 남녀공용 익스퍼트 스톰 3L 고어 팬츠</t>
        </is>
      </c>
      <c r="F365" s="20" t="inlineStr">
        <is>
          <t>BLK(BLACK)</t>
        </is>
      </c>
      <c r="G365" s="19">
        <f>IF($D365="","",IF(MID($D365,5,1)="S","S(봄)",IF(MID($D365,5,1)="M","M(여름)",IF(MID($D365,5,1)="X","X(사계절)",MID($D365,5,1)))))</f>
        <v/>
      </c>
      <c r="H365" s="20" t="inlineStr">
        <is>
          <t>완사입</t>
        </is>
      </c>
      <c r="I365" s="19" t="inlineStr">
        <is>
          <t>1차</t>
        </is>
      </c>
      <c r="J365" s="21" t="inlineStr">
        <is>
          <t>1월3주</t>
        </is>
      </c>
      <c r="K365" s="22">
        <f>IF($J365="","",IFERROR(DATE(IF(VALUE(LEFT($J365,FIND("월",$J365)-1))&gt;=9,기준정보!$C$7-1,기준정보!$C$7),VALUE(LEFT($J365,FIND("월",$J365)-1)),1+7*(VALUE(SUBSTITUTE(MID($J365,FIND("월",$J365)+1,5),"주",""))-1)),""))</f>
        <v/>
      </c>
      <c r="L365" s="22">
        <f>IF($K365="","",IF(AND($K365-기준정보!$C$5&gt;=기준정보!$C$10,$K365-기준정보!$C$5&lt;=기준정보!$C$11),기준정보!$C$10-1,$K365-기준정보!$C$5))</f>
        <v/>
      </c>
      <c r="M365" s="23">
        <f>IF($L365="","",IF(OR(ISNUMBER(SEARCH("중국",$W365)),ISNUMBER(SEARCH("베트남",$W365))),MAX(0,MIN($L365,기준정보!$C$9)-MAX($L365-기준정보!$C$6,기준정보!$C$8)+1),IF(ISNUMBER(SEARCH("한국",$W365)),MAX(0,MIN($L365,기준정보!$C$11)-MAX($L365-기준정보!$C$6,기준정보!$C$10)+1),0)))</f>
        <v/>
      </c>
      <c r="N365" s="22">
        <f>IF($L365="","",$L365-기준정보!$C$6-$M365)</f>
        <v/>
      </c>
      <c r="O365" s="24">
        <f>IF($N365="","",$N365-기준정보!$C$4)</f>
        <v/>
      </c>
      <c r="P365" s="21" t="n"/>
      <c r="Q365" s="21" t="inlineStr">
        <is>
          <t>X</t>
        </is>
      </c>
      <c r="R365" s="19">
        <f>IF(COUNTIF(EDW_RAW!$A$2:$A$1500,$D365)=0,"",IF(COUNTIFS(EDW_RAW!$A$2:$A$1500,$D365,EDW_RAW!$U$2:$U$1500,"&lt;&gt;~",EDW_RAW!$U$2:$U$1500,"&lt;&gt;")=COUNTIF(EDW_RAW!$A$2:$A$1500,$D365),"O",IF(COUNTIFS(EDW_RAW!$A$2:$A$1500,$D365,EDW_RAW!$U$2:$U$1500,"&lt;&gt;~",EDW_RAW!$U$2:$U$1500,"&lt;&gt;")&gt;0,"부분","X")))</f>
        <v/>
      </c>
      <c r="S365" s="25" t="n"/>
      <c r="T365" s="20">
        <f>IF($H365="","",IF(AND(ISNUMBER(SEARCH("CMT",$H365)),OR(ISNUMBER(SEARCH("완사입",$H365)),ISNUMBER(SEARCH("ODM",$H365)))),"본사/생산처 혼재",IF(ISNUMBER(SEARCH("CMT",$H365)),"본사(소재팀)","생산처")))</f>
        <v/>
      </c>
      <c r="U365" s="20" t="inlineStr">
        <is>
          <t>기도</t>
        </is>
      </c>
      <c r="V365" s="20">
        <f>IFERROR(TEXTJOIN(" / ",TRUE,UNIQUE(FILTER(소재DB_RAW!$K$3:$K$2000,(소재DB_RAW!$G$3:$G$2000=$D365)*ISERROR(SEARCH("drop",소재DB_RAW!$C$3:$C$2000))))),"")</f>
        <v/>
      </c>
      <c r="W365" s="20" t="inlineStr">
        <is>
          <t>베트남</t>
        </is>
      </c>
      <c r="X365" s="20">
        <f>IFERROR(TEXTJOIN(" / ",TRUE,UNIQUE(FILTER(소재DB_RAW!$N$3:$N$2000,(소재DB_RAW!$G$3:$G$2000=$D365)*ISERROR(SEARCH("drop",소재DB_RAW!$C$3:$C$2000))))),"")</f>
        <v/>
      </c>
      <c r="Y365" s="26">
        <f>IFERROR(TEXTJOIN(CHAR(10),TRUE,UNIQUE(FILTER(소재DB_RAW!$N$3:$N$2000&amp;") "&amp;소재DB_RAW!$O$3:$O$2000,(소재DB_RAW!$G$3:$G$2000=$D365)*ISNUMBER(SEARCH("겉감",소재DB_RAW!$M$3:$M$2000))*ISERROR(SEARCH("drop",소재DB_RAW!$C$3:$C$2000))))),"")</f>
        <v/>
      </c>
      <c r="Z365" s="26">
        <f>IFERROR(TEXTJOIN(CHAR(10),TRUE,UNIQUE(FILTER(소재DB_RAW!$N$3:$N$2000&amp;") "&amp;소재DB_RAW!$O$3:$O$2000,(소재DB_RAW!$G$3:$G$2000=$D365)*ISNUMBER(SEARCH("안감",소재DB_RAW!$M$3:$M$2000))*ISERROR(SEARCH("drop",소재DB_RAW!$C$3:$C$2000))))),"")</f>
        <v/>
      </c>
      <c r="AA365" s="27" t="n">
        <v>0</v>
      </c>
      <c r="AB365" s="27" t="n">
        <v>14295580</v>
      </c>
      <c r="AC365" s="27" t="n">
        <v>44850000</v>
      </c>
      <c r="AD365" s="20" t="n"/>
      <c r="AE365" s="20">
        <f>IF($K365="","출고일 미정",IF($Q365="X","작지 미발행",IF($Q365="부분","작지 일부 미발행",IF(AND($S365&lt;&gt;"",$S365&gt;$N365),"소재입고 마감("&amp;TEXT($N365,"MM/DD")&amp;") 초과",IF($Q365="","발행여부 확인 필요",IF($S365="","소재 입고일정 확인 필요","정상"))))))</f>
        <v/>
      </c>
      <c r="AF365" s="19">
        <f>IF($K365="","",IF(OR(LEFT($AE365,2)="작지",LEFT($AE365,4)="소재입고"),IF(LEFT($G365,1)="S","★ 납기위험(S코드)","◆ 지연주의"),IF($AE365="정상","✓ 정상","? 확인필요")))</f>
        <v/>
      </c>
      <c r="AG365" s="21" t="n"/>
      <c r="AH365" s="28" t="n"/>
    </row>
    <row r="366">
      <c r="A366" s="19" t="n">
        <v>362</v>
      </c>
      <c r="B366" s="20" t="inlineStr">
        <is>
          <t>신인철</t>
        </is>
      </c>
      <c r="C366" s="20" t="inlineStr">
        <is>
          <t>안세진</t>
        </is>
      </c>
      <c r="D366" s="20" t="inlineStr">
        <is>
          <t>8UPNX27102</t>
        </is>
      </c>
      <c r="E366" s="20" t="inlineStr">
        <is>
          <t>[WM] 남녀공용 스톰 에센셜 3L 팬츠</t>
        </is>
      </c>
      <c r="F366" s="20" t="inlineStr">
        <is>
          <t>KHA(KHAKI), BLK(BLACK)</t>
        </is>
      </c>
      <c r="G366" s="19">
        <f>IF($D366="","",IF(MID($D366,5,1)="S","S(봄)",IF(MID($D366,5,1)="M","M(여름)",IF(MID($D366,5,1)="X","X(사계절)",MID($D366,5,1)))))</f>
        <v/>
      </c>
      <c r="H366" s="20" t="inlineStr">
        <is>
          <t>완사입</t>
        </is>
      </c>
      <c r="I366" s="19" t="inlineStr">
        <is>
          <t>1차</t>
        </is>
      </c>
      <c r="J366" s="21" t="inlineStr">
        <is>
          <t>1월3주</t>
        </is>
      </c>
      <c r="K366" s="22">
        <f>IF($J366="","",IFERROR(DATE(IF(VALUE(LEFT($J366,FIND("월",$J366)-1))&gt;=9,기준정보!$C$7-1,기준정보!$C$7),VALUE(LEFT($J366,FIND("월",$J366)-1)),1+7*(VALUE(SUBSTITUTE(MID($J366,FIND("월",$J366)+1,5),"주",""))-1)),""))</f>
        <v/>
      </c>
      <c r="L366" s="22">
        <f>IF($K366="","",IF(AND($K366-기준정보!$C$5&gt;=기준정보!$C$10,$K366-기준정보!$C$5&lt;=기준정보!$C$11),기준정보!$C$10-1,$K366-기준정보!$C$5))</f>
        <v/>
      </c>
      <c r="M366" s="23">
        <f>IF($L366="","",IF(OR(ISNUMBER(SEARCH("중국",$W366)),ISNUMBER(SEARCH("베트남",$W366))),MAX(0,MIN($L366,기준정보!$C$9)-MAX($L366-기준정보!$C$6,기준정보!$C$8)+1),IF(ISNUMBER(SEARCH("한국",$W366)),MAX(0,MIN($L366,기준정보!$C$11)-MAX($L366-기준정보!$C$6,기준정보!$C$10)+1),0)))</f>
        <v/>
      </c>
      <c r="N366" s="22">
        <f>IF($L366="","",$L366-기준정보!$C$6-$M366)</f>
        <v/>
      </c>
      <c r="O366" s="24">
        <f>IF($N366="","",$N366-기준정보!$C$4)</f>
        <v/>
      </c>
      <c r="P366" s="21" t="n"/>
      <c r="Q366" s="21" t="inlineStr">
        <is>
          <t>X</t>
        </is>
      </c>
      <c r="R366" s="19">
        <f>IF(COUNTIF(EDW_RAW!$A$2:$A$1500,$D366)=0,"",IF(COUNTIFS(EDW_RAW!$A$2:$A$1500,$D366,EDW_RAW!$U$2:$U$1500,"&lt;&gt;~",EDW_RAW!$U$2:$U$1500,"&lt;&gt;")=COUNTIF(EDW_RAW!$A$2:$A$1500,$D366),"O",IF(COUNTIFS(EDW_RAW!$A$2:$A$1500,$D366,EDW_RAW!$U$2:$U$1500,"&lt;&gt;~",EDW_RAW!$U$2:$U$1500,"&lt;&gt;")&gt;0,"부분","X")))</f>
        <v/>
      </c>
      <c r="S366" s="25" t="n"/>
      <c r="T366" s="20">
        <f>IF($H366="","",IF(AND(ISNUMBER(SEARCH("CMT",$H366)),OR(ISNUMBER(SEARCH("완사입",$H366)),ISNUMBER(SEARCH("ODM",$H366)))),"본사/생산처 혼재",IF(ISNUMBER(SEARCH("CMT",$H366)),"본사(소재팀)","생산처")))</f>
        <v/>
      </c>
      <c r="U366" s="20" t="inlineStr">
        <is>
          <t>기도</t>
        </is>
      </c>
      <c r="V366" s="20">
        <f>IFERROR(TEXTJOIN(" / ",TRUE,UNIQUE(FILTER(소재DB_RAW!$K$3:$K$2000,(소재DB_RAW!$G$3:$G$2000=$D366)*ISERROR(SEARCH("drop",소재DB_RAW!$C$3:$C$2000))))),"")</f>
        <v/>
      </c>
      <c r="W366" s="20" t="inlineStr">
        <is>
          <t>베트남</t>
        </is>
      </c>
      <c r="X366" s="20">
        <f>IFERROR(TEXTJOIN(" / ",TRUE,UNIQUE(FILTER(소재DB_RAW!$N$3:$N$2000,(소재DB_RAW!$G$3:$G$2000=$D366)*ISERROR(SEARCH("drop",소재DB_RAW!$C$3:$C$2000))))),"")</f>
        <v/>
      </c>
      <c r="Y366" s="26">
        <f>IFERROR(TEXTJOIN(CHAR(10),TRUE,UNIQUE(FILTER(소재DB_RAW!$N$3:$N$2000&amp;") "&amp;소재DB_RAW!$O$3:$O$2000,(소재DB_RAW!$G$3:$G$2000=$D366)*ISNUMBER(SEARCH("겉감",소재DB_RAW!$M$3:$M$2000))*ISERROR(SEARCH("drop",소재DB_RAW!$C$3:$C$2000))))),"")</f>
        <v/>
      </c>
      <c r="Z366" s="26">
        <f>IFERROR(TEXTJOIN(CHAR(10),TRUE,UNIQUE(FILTER(소재DB_RAW!$N$3:$N$2000&amp;") "&amp;소재DB_RAW!$O$3:$O$2000,(소재DB_RAW!$G$3:$G$2000=$D366)*ISNUMBER(SEARCH("안감",소재DB_RAW!$M$3:$M$2000))*ISERROR(SEARCH("drop",소재DB_RAW!$C$3:$C$2000))))),"")</f>
        <v/>
      </c>
      <c r="AA366" s="27" t="n">
        <v>0</v>
      </c>
      <c r="AB366" s="27" t="n">
        <v>36809150</v>
      </c>
      <c r="AC366" s="27" t="n">
        <v>112000000</v>
      </c>
      <c r="AD366" s="20" t="n"/>
      <c r="AE366" s="20">
        <f>IF($K366="","출고일 미정",IF($Q366="X","작지 미발행",IF($Q366="부분","작지 일부 미발행",IF(AND($S366&lt;&gt;"",$S366&gt;$N366),"소재입고 마감("&amp;TEXT($N366,"MM/DD")&amp;") 초과",IF($Q366="","발행여부 확인 필요",IF($S366="","소재 입고일정 확인 필요","정상"))))))</f>
        <v/>
      </c>
      <c r="AF366" s="19">
        <f>IF($K366="","",IF(OR(LEFT($AE366,2)="작지",LEFT($AE366,4)="소재입고"),IF(LEFT($G366,1)="S","★ 납기위험(S코드)","◆ 지연주의"),IF($AE366="정상","✓ 정상","? 확인필요")))</f>
        <v/>
      </c>
      <c r="AG366" s="21" t="n"/>
      <c r="AH366" s="28" t="n"/>
    </row>
    <row r="367">
      <c r="A367" s="19" t="n">
        <v>363</v>
      </c>
      <c r="B367" s="20" t="inlineStr">
        <is>
          <t>최지희</t>
        </is>
      </c>
      <c r="C367" s="20" t="inlineStr">
        <is>
          <t>조은선</t>
        </is>
      </c>
      <c r="D367" s="20" t="inlineStr">
        <is>
          <t>QEBDX27501</t>
        </is>
      </c>
      <c r="E367" s="20" t="inlineStr">
        <is>
          <t>남녀공용 에브리데이 토트백</t>
        </is>
      </c>
      <c r="F367" s="20" t="inlineStr">
        <is>
          <t>BLK(BLACK), MUD</t>
        </is>
      </c>
      <c r="G367" s="19">
        <f>IF($D367="","",IF(MID($D367,5,1)="S","S(봄)",IF(MID($D367,5,1)="M","M(여름)",IF(MID($D367,5,1)="X","X(사계절)",MID($D367,5,1)))))</f>
        <v/>
      </c>
      <c r="H367" s="20" t="inlineStr">
        <is>
          <t>완사입</t>
        </is>
      </c>
      <c r="I367" s="19" t="inlineStr"/>
      <c r="J367" s="21" t="inlineStr">
        <is>
          <t>1월3주</t>
        </is>
      </c>
      <c r="K367" s="22">
        <f>IF($J367="","",IFERROR(DATE(IF(VALUE(LEFT($J367,FIND("월",$J367)-1))&gt;=9,기준정보!$C$7-1,기준정보!$C$7),VALUE(LEFT($J367,FIND("월",$J367)-1)),1+7*(VALUE(SUBSTITUTE(MID($J367,FIND("월",$J367)+1,5),"주",""))-1)),""))</f>
        <v/>
      </c>
      <c r="L367" s="22">
        <f>IF($K367="","",IF(AND($K367-기준정보!$C$5&gt;=기준정보!$C$10,$K367-기준정보!$C$5&lt;=기준정보!$C$11),기준정보!$C$10-1,$K367-기준정보!$C$5))</f>
        <v/>
      </c>
      <c r="M367" s="23">
        <f>IF($L367="","",IF(OR(ISNUMBER(SEARCH("중국",$W367)),ISNUMBER(SEARCH("베트남",$W367))),MAX(0,MIN($L367,기준정보!$C$9)-MAX($L367-기준정보!$C$6,기준정보!$C$8)+1),IF(ISNUMBER(SEARCH("한국",$W367)),MAX(0,MIN($L367,기준정보!$C$11)-MAX($L367-기준정보!$C$6,기준정보!$C$10)+1),0)))</f>
        <v/>
      </c>
      <c r="N367" s="22">
        <f>IF($L367="","",$L367-기준정보!$C$6-$M367)</f>
        <v/>
      </c>
      <c r="O367" s="24">
        <f>IF($N367="","",$N367-기준정보!$C$4)</f>
        <v/>
      </c>
      <c r="P367" s="21" t="n"/>
      <c r="Q367" s="21" t="inlineStr">
        <is>
          <t>X</t>
        </is>
      </c>
      <c r="R367" s="19">
        <f>IF(COUNTIF(EDW_RAW!$A$2:$A$1500,$D367)=0,"",IF(COUNTIFS(EDW_RAW!$A$2:$A$1500,$D367,EDW_RAW!$U$2:$U$1500,"&lt;&gt;~",EDW_RAW!$U$2:$U$1500,"&lt;&gt;")=COUNTIF(EDW_RAW!$A$2:$A$1500,$D367),"O",IF(COUNTIFS(EDW_RAW!$A$2:$A$1500,$D367,EDW_RAW!$U$2:$U$1500,"&lt;&gt;~",EDW_RAW!$U$2:$U$1500,"&lt;&gt;")&gt;0,"부분","X")))</f>
        <v/>
      </c>
      <c r="S367" s="25" t="n"/>
      <c r="T367" s="20">
        <f>IF($H367="","",IF(AND(ISNUMBER(SEARCH("CMT",$H367)),OR(ISNUMBER(SEARCH("완사입",$H367)),ISNUMBER(SEARCH("ODM",$H367)))),"본사/생산처 혼재",IF(ISNUMBER(SEARCH("CMT",$H367)),"본사(소재팀)","생산처")))</f>
        <v/>
      </c>
      <c r="U367" s="20" t="inlineStr">
        <is>
          <t>인투잇플러스</t>
        </is>
      </c>
      <c r="V367" s="20">
        <f>IFERROR(TEXTJOIN(" / ",TRUE,UNIQUE(FILTER(소재DB_RAW!$K$3:$K$2000,(소재DB_RAW!$G$3:$G$2000=$D367)*ISERROR(SEARCH("drop",소재DB_RAW!$C$3:$C$2000))))),"")</f>
        <v/>
      </c>
      <c r="W367" s="20" t="inlineStr">
        <is>
          <t>중국</t>
        </is>
      </c>
      <c r="X367" s="20">
        <f>IFERROR(TEXTJOIN(" / ",TRUE,UNIQUE(FILTER(소재DB_RAW!$N$3:$N$2000,(소재DB_RAW!$G$3:$G$2000=$D367)*ISERROR(SEARCH("drop",소재DB_RAW!$C$3:$C$2000))))),"")</f>
        <v/>
      </c>
      <c r="Y367" s="26">
        <f>IFERROR(TEXTJOIN(CHAR(10),TRUE,UNIQUE(FILTER(소재DB_RAW!$N$3:$N$2000&amp;") "&amp;소재DB_RAW!$O$3:$O$2000,(소재DB_RAW!$G$3:$G$2000=$D367)*ISNUMBER(SEARCH("겉감",소재DB_RAW!$M$3:$M$2000))*ISERROR(SEARCH("drop",소재DB_RAW!$C$3:$C$2000))))),"")</f>
        <v/>
      </c>
      <c r="Z367" s="26">
        <f>IFERROR(TEXTJOIN(CHAR(10),TRUE,UNIQUE(FILTER(소재DB_RAW!$N$3:$N$2000&amp;") "&amp;소재DB_RAW!$O$3:$O$2000,(소재DB_RAW!$G$3:$G$2000=$D367)*ISNUMBER(SEARCH("안감",소재DB_RAW!$M$3:$M$2000))*ISERROR(SEARCH("drop",소재DB_RAW!$C$3:$C$2000))))),"")</f>
        <v/>
      </c>
      <c r="AA367" s="27" t="n">
        <v>800</v>
      </c>
      <c r="AB367" s="27" t="n">
        <v>23200000</v>
      </c>
      <c r="AC367" s="27" t="n">
        <v>118400000</v>
      </c>
      <c r="AD367" s="20" t="n"/>
      <c r="AE367" s="20">
        <f>IF($K367="","출고일 미정",IF($Q367="X","작지 미발행",IF($Q367="부분","작지 일부 미발행",IF(AND($S367&lt;&gt;"",$S367&gt;$N367),"소재입고 마감("&amp;TEXT($N367,"MM/DD")&amp;") 초과",IF($Q367="","발행여부 확인 필요",IF($S367="","소재 입고일정 확인 필요","정상"))))))</f>
        <v/>
      </c>
      <c r="AF367" s="19">
        <f>IF($K367="","",IF(OR(LEFT($AE367,2)="작지",LEFT($AE367,4)="소재입고"),IF(LEFT($G367,1)="S","★ 납기위험(S코드)","◆ 지연주의"),IF($AE367="정상","✓ 정상","? 확인필요")))</f>
        <v/>
      </c>
      <c r="AG367" s="21" t="n"/>
      <c r="AH367" s="28" t="n"/>
    </row>
    <row r="368">
      <c r="A368" s="19" t="n">
        <v>364</v>
      </c>
      <c r="B368" s="20" t="inlineStr">
        <is>
          <t>최지희</t>
        </is>
      </c>
      <c r="C368" s="20" t="inlineStr">
        <is>
          <t>조은선</t>
        </is>
      </c>
      <c r="D368" s="20" t="inlineStr">
        <is>
          <t>QEBDX27511</t>
        </is>
      </c>
      <c r="E368" s="20" t="inlineStr">
        <is>
          <t>남녀공용 에브리데이 슬링백 (3L)</t>
        </is>
      </c>
      <c r="F368" s="20" t="inlineStr">
        <is>
          <t>BLK(BLACK), MUD</t>
        </is>
      </c>
      <c r="G368" s="19">
        <f>IF($D368="","",IF(MID($D368,5,1)="S","S(봄)",IF(MID($D368,5,1)="M","M(여름)",IF(MID($D368,5,1)="X","X(사계절)",MID($D368,5,1)))))</f>
        <v/>
      </c>
      <c r="H368" s="20" t="inlineStr">
        <is>
          <t>완사입</t>
        </is>
      </c>
      <c r="I368" s="19" t="inlineStr"/>
      <c r="J368" s="21" t="inlineStr">
        <is>
          <t>1월3주</t>
        </is>
      </c>
      <c r="K368" s="22">
        <f>IF($J368="","",IFERROR(DATE(IF(VALUE(LEFT($J368,FIND("월",$J368)-1))&gt;=9,기준정보!$C$7-1,기준정보!$C$7),VALUE(LEFT($J368,FIND("월",$J368)-1)),1+7*(VALUE(SUBSTITUTE(MID($J368,FIND("월",$J368)+1,5),"주",""))-1)),""))</f>
        <v/>
      </c>
      <c r="L368" s="22">
        <f>IF($K368="","",IF(AND($K368-기준정보!$C$5&gt;=기준정보!$C$10,$K368-기준정보!$C$5&lt;=기준정보!$C$11),기준정보!$C$10-1,$K368-기준정보!$C$5))</f>
        <v/>
      </c>
      <c r="M368" s="23">
        <f>IF($L368="","",IF(OR(ISNUMBER(SEARCH("중국",$W368)),ISNUMBER(SEARCH("베트남",$W368))),MAX(0,MIN($L368,기준정보!$C$9)-MAX($L368-기준정보!$C$6,기준정보!$C$8)+1),IF(ISNUMBER(SEARCH("한국",$W368)),MAX(0,MIN($L368,기준정보!$C$11)-MAX($L368-기준정보!$C$6,기준정보!$C$10)+1),0)))</f>
        <v/>
      </c>
      <c r="N368" s="22">
        <f>IF($L368="","",$L368-기준정보!$C$6-$M368)</f>
        <v/>
      </c>
      <c r="O368" s="24">
        <f>IF($N368="","",$N368-기준정보!$C$4)</f>
        <v/>
      </c>
      <c r="P368" s="21" t="n"/>
      <c r="Q368" s="21" t="inlineStr">
        <is>
          <t>X</t>
        </is>
      </c>
      <c r="R368" s="19">
        <f>IF(COUNTIF(EDW_RAW!$A$2:$A$1500,$D368)=0,"",IF(COUNTIFS(EDW_RAW!$A$2:$A$1500,$D368,EDW_RAW!$U$2:$U$1500,"&lt;&gt;~",EDW_RAW!$U$2:$U$1500,"&lt;&gt;")=COUNTIF(EDW_RAW!$A$2:$A$1500,$D368),"O",IF(COUNTIFS(EDW_RAW!$A$2:$A$1500,$D368,EDW_RAW!$U$2:$U$1500,"&lt;&gt;~",EDW_RAW!$U$2:$U$1500,"&lt;&gt;")&gt;0,"부분","X")))</f>
        <v/>
      </c>
      <c r="S368" s="25" t="n"/>
      <c r="T368" s="20">
        <f>IF($H368="","",IF(AND(ISNUMBER(SEARCH("CMT",$H368)),OR(ISNUMBER(SEARCH("완사입",$H368)),ISNUMBER(SEARCH("ODM",$H368)))),"본사/생산처 혼재",IF(ISNUMBER(SEARCH("CMT",$H368)),"본사(소재팀)","생산처")))</f>
        <v/>
      </c>
      <c r="U368" s="20" t="inlineStr">
        <is>
          <t>인투잇플러스</t>
        </is>
      </c>
      <c r="V368" s="20">
        <f>IFERROR(TEXTJOIN(" / ",TRUE,UNIQUE(FILTER(소재DB_RAW!$K$3:$K$2000,(소재DB_RAW!$G$3:$G$2000=$D368)*ISERROR(SEARCH("drop",소재DB_RAW!$C$3:$C$2000))))),"")</f>
        <v/>
      </c>
      <c r="W368" s="20" t="inlineStr">
        <is>
          <t>중국</t>
        </is>
      </c>
      <c r="X368" s="20">
        <f>IFERROR(TEXTJOIN(" / ",TRUE,UNIQUE(FILTER(소재DB_RAW!$N$3:$N$2000,(소재DB_RAW!$G$3:$G$2000=$D368)*ISERROR(SEARCH("drop",소재DB_RAW!$C$3:$C$2000))))),"")</f>
        <v/>
      </c>
      <c r="Y368" s="26">
        <f>IFERROR(TEXTJOIN(CHAR(10),TRUE,UNIQUE(FILTER(소재DB_RAW!$N$3:$N$2000&amp;") "&amp;소재DB_RAW!$O$3:$O$2000,(소재DB_RAW!$G$3:$G$2000=$D368)*ISNUMBER(SEARCH("겉감",소재DB_RAW!$M$3:$M$2000))*ISERROR(SEARCH("drop",소재DB_RAW!$C$3:$C$2000))))),"")</f>
        <v/>
      </c>
      <c r="Z368" s="26">
        <f>IFERROR(TEXTJOIN(CHAR(10),TRUE,UNIQUE(FILTER(소재DB_RAW!$N$3:$N$2000&amp;") "&amp;소재DB_RAW!$O$3:$O$2000,(소재DB_RAW!$G$3:$G$2000=$D368)*ISNUMBER(SEARCH("안감",소재DB_RAW!$M$3:$M$2000))*ISERROR(SEARCH("drop",소재DB_RAW!$C$3:$C$2000))))),"")</f>
        <v/>
      </c>
      <c r="AA368" s="27" t="n">
        <v>1300</v>
      </c>
      <c r="AB368" s="27" t="n">
        <v>21450000</v>
      </c>
      <c r="AC368" s="27" t="n">
        <v>114400000</v>
      </c>
      <c r="AD368" s="20" t="n"/>
      <c r="AE368" s="20">
        <f>IF($K368="","출고일 미정",IF($Q368="X","작지 미발행",IF($Q368="부분","작지 일부 미발행",IF(AND($S368&lt;&gt;"",$S368&gt;$N368),"소재입고 마감("&amp;TEXT($N368,"MM/DD")&amp;") 초과",IF($Q368="","발행여부 확인 필요",IF($S368="","소재 입고일정 확인 필요","정상"))))))</f>
        <v/>
      </c>
      <c r="AF368" s="19">
        <f>IF($K368="","",IF(OR(LEFT($AE368,2)="작지",LEFT($AE368,4)="소재입고"),IF(LEFT($G368,1)="S","★ 납기위험(S코드)","◆ 지연주의"),IF($AE368="정상","✓ 정상","? 확인필요")))</f>
        <v/>
      </c>
      <c r="AG368" s="21" t="n"/>
      <c r="AH368" s="28" t="n"/>
    </row>
    <row r="369">
      <c r="A369" s="19" t="n">
        <v>365</v>
      </c>
      <c r="B369" s="20" t="inlineStr">
        <is>
          <t>최지희</t>
        </is>
      </c>
      <c r="C369" s="20" t="inlineStr">
        <is>
          <t>조은선</t>
        </is>
      </c>
      <c r="D369" s="20" t="inlineStr">
        <is>
          <t>QEBDX27513</t>
        </is>
      </c>
      <c r="E369" s="20" t="inlineStr">
        <is>
          <t>남녀공용 에브리데이 슬링백 (3L)</t>
        </is>
      </c>
      <c r="F369" s="20" t="inlineStr">
        <is>
          <t>BLK(BLACK), BGY-1</t>
        </is>
      </c>
      <c r="G369" s="19">
        <f>IF($D369="","",IF(MID($D369,5,1)="S","S(봄)",IF(MID($D369,5,1)="M","M(여름)",IF(MID($D369,5,1)="X","X(사계절)",MID($D369,5,1)))))</f>
        <v/>
      </c>
      <c r="H369" s="20" t="inlineStr">
        <is>
          <t>완사입</t>
        </is>
      </c>
      <c r="I369" s="19" t="inlineStr"/>
      <c r="J369" s="21" t="inlineStr">
        <is>
          <t>1월3주</t>
        </is>
      </c>
      <c r="K369" s="22">
        <f>IF($J369="","",IFERROR(DATE(IF(VALUE(LEFT($J369,FIND("월",$J369)-1))&gt;=9,기준정보!$C$7-1,기준정보!$C$7),VALUE(LEFT($J369,FIND("월",$J369)-1)),1+7*(VALUE(SUBSTITUTE(MID($J369,FIND("월",$J369)+1,5),"주",""))-1)),""))</f>
        <v/>
      </c>
      <c r="L369" s="22">
        <f>IF($K369="","",IF(AND($K369-기준정보!$C$5&gt;=기준정보!$C$10,$K369-기준정보!$C$5&lt;=기준정보!$C$11),기준정보!$C$10-1,$K369-기준정보!$C$5))</f>
        <v/>
      </c>
      <c r="M369" s="23">
        <f>IF($L369="","",IF(OR(ISNUMBER(SEARCH("중국",$W369)),ISNUMBER(SEARCH("베트남",$W369))),MAX(0,MIN($L369,기준정보!$C$9)-MAX($L369-기준정보!$C$6,기준정보!$C$8)+1),IF(ISNUMBER(SEARCH("한국",$W369)),MAX(0,MIN($L369,기준정보!$C$11)-MAX($L369-기준정보!$C$6,기준정보!$C$10)+1),0)))</f>
        <v/>
      </c>
      <c r="N369" s="22">
        <f>IF($L369="","",$L369-기준정보!$C$6-$M369)</f>
        <v/>
      </c>
      <c r="O369" s="24">
        <f>IF($N369="","",$N369-기준정보!$C$4)</f>
        <v/>
      </c>
      <c r="P369" s="21" t="n"/>
      <c r="Q369" s="21" t="inlineStr">
        <is>
          <t>X</t>
        </is>
      </c>
      <c r="R369" s="19">
        <f>IF(COUNTIF(EDW_RAW!$A$2:$A$1500,$D369)=0,"",IF(COUNTIFS(EDW_RAW!$A$2:$A$1500,$D369,EDW_RAW!$U$2:$U$1500,"&lt;&gt;~",EDW_RAW!$U$2:$U$1500,"&lt;&gt;")=COUNTIF(EDW_RAW!$A$2:$A$1500,$D369),"O",IF(COUNTIFS(EDW_RAW!$A$2:$A$1500,$D369,EDW_RAW!$U$2:$U$1500,"&lt;&gt;~",EDW_RAW!$U$2:$U$1500,"&lt;&gt;")&gt;0,"부분","X")))</f>
        <v/>
      </c>
      <c r="S369" s="25" t="n"/>
      <c r="T369" s="20">
        <f>IF($H369="","",IF(AND(ISNUMBER(SEARCH("CMT",$H369)),OR(ISNUMBER(SEARCH("완사입",$H369)),ISNUMBER(SEARCH("ODM",$H369)))),"본사/생산처 혼재",IF(ISNUMBER(SEARCH("CMT",$H369)),"본사(소재팀)","생산처")))</f>
        <v/>
      </c>
      <c r="U369" s="20" t="inlineStr">
        <is>
          <t>인투잇플러스</t>
        </is>
      </c>
      <c r="V369" s="20">
        <f>IFERROR(TEXTJOIN(" / ",TRUE,UNIQUE(FILTER(소재DB_RAW!$K$3:$K$2000,(소재DB_RAW!$G$3:$G$2000=$D369)*ISERROR(SEARCH("drop",소재DB_RAW!$C$3:$C$2000))))),"")</f>
        <v/>
      </c>
      <c r="W369" s="20" t="inlineStr">
        <is>
          <t>중국</t>
        </is>
      </c>
      <c r="X369" s="20">
        <f>IFERROR(TEXTJOIN(" / ",TRUE,UNIQUE(FILTER(소재DB_RAW!$N$3:$N$2000,(소재DB_RAW!$G$3:$G$2000=$D369)*ISERROR(SEARCH("drop",소재DB_RAW!$C$3:$C$2000))))),"")</f>
        <v/>
      </c>
      <c r="Y369" s="26">
        <f>IFERROR(TEXTJOIN(CHAR(10),TRUE,UNIQUE(FILTER(소재DB_RAW!$N$3:$N$2000&amp;") "&amp;소재DB_RAW!$O$3:$O$2000,(소재DB_RAW!$G$3:$G$2000=$D369)*ISNUMBER(SEARCH("겉감",소재DB_RAW!$M$3:$M$2000))*ISERROR(SEARCH("drop",소재DB_RAW!$C$3:$C$2000))))),"")</f>
        <v/>
      </c>
      <c r="Z369" s="26">
        <f>IFERROR(TEXTJOIN(CHAR(10),TRUE,UNIQUE(FILTER(소재DB_RAW!$N$3:$N$2000&amp;") "&amp;소재DB_RAW!$O$3:$O$2000,(소재DB_RAW!$G$3:$G$2000=$D369)*ISNUMBER(SEARCH("안감",소재DB_RAW!$M$3:$M$2000))*ISERROR(SEARCH("drop",소재DB_RAW!$C$3:$C$2000))))),"")</f>
        <v/>
      </c>
      <c r="AA369" s="27" t="n">
        <v>8000</v>
      </c>
      <c r="AB369" s="27" t="n">
        <v>156000000</v>
      </c>
      <c r="AC369" s="27" t="n">
        <v>704000000</v>
      </c>
      <c r="AD369" s="20" t="n"/>
      <c r="AE369" s="20">
        <f>IF($K369="","출고일 미정",IF($Q369="X","작지 미발행",IF($Q369="부분","작지 일부 미발행",IF(AND($S369&lt;&gt;"",$S369&gt;$N369),"소재입고 마감("&amp;TEXT($N369,"MM/DD")&amp;") 초과",IF($Q369="","발행여부 확인 필요",IF($S369="","소재 입고일정 확인 필요","정상"))))))</f>
        <v/>
      </c>
      <c r="AF369" s="19">
        <f>IF($K369="","",IF(OR(LEFT($AE369,2)="작지",LEFT($AE369,4)="소재입고"),IF(LEFT($G369,1)="S","★ 납기위험(S코드)","◆ 지연주의"),IF($AE369="정상","✓ 정상","? 확인필요")))</f>
        <v/>
      </c>
      <c r="AG369" s="21" t="n"/>
      <c r="AH369" s="28" t="n"/>
    </row>
    <row r="370">
      <c r="A370" s="19" t="n">
        <v>366</v>
      </c>
      <c r="B370" s="20" t="inlineStr">
        <is>
          <t>최지희</t>
        </is>
      </c>
      <c r="C370" s="20" t="inlineStr">
        <is>
          <t>조은선</t>
        </is>
      </c>
      <c r="D370" s="20" t="inlineStr">
        <is>
          <t>QEBXX27501</t>
        </is>
      </c>
      <c r="E370" s="20" t="inlineStr">
        <is>
          <t>남녀공용 에브리데이 백팩 (15L)</t>
        </is>
      </c>
      <c r="F370" s="20" t="inlineStr">
        <is>
          <t>BLK(BLACK), MUD</t>
        </is>
      </c>
      <c r="G370" s="19">
        <f>IF($D370="","",IF(MID($D370,5,1)="S","S(봄)",IF(MID($D370,5,1)="M","M(여름)",IF(MID($D370,5,1)="X","X(사계절)",MID($D370,5,1)))))</f>
        <v/>
      </c>
      <c r="H370" s="20" t="inlineStr">
        <is>
          <t>완사입</t>
        </is>
      </c>
      <c r="I370" s="19" t="inlineStr"/>
      <c r="J370" s="21" t="inlineStr">
        <is>
          <t>1월3주</t>
        </is>
      </c>
      <c r="K370" s="22">
        <f>IF($J370="","",IFERROR(DATE(IF(VALUE(LEFT($J370,FIND("월",$J370)-1))&gt;=9,기준정보!$C$7-1,기준정보!$C$7),VALUE(LEFT($J370,FIND("월",$J370)-1)),1+7*(VALUE(SUBSTITUTE(MID($J370,FIND("월",$J370)+1,5),"주",""))-1)),""))</f>
        <v/>
      </c>
      <c r="L370" s="22">
        <f>IF($K370="","",IF(AND($K370-기준정보!$C$5&gt;=기준정보!$C$10,$K370-기준정보!$C$5&lt;=기준정보!$C$11),기준정보!$C$10-1,$K370-기준정보!$C$5))</f>
        <v/>
      </c>
      <c r="M370" s="23">
        <f>IF($L370="","",IF(OR(ISNUMBER(SEARCH("중국",$W370)),ISNUMBER(SEARCH("베트남",$W370))),MAX(0,MIN($L370,기준정보!$C$9)-MAX($L370-기준정보!$C$6,기준정보!$C$8)+1),IF(ISNUMBER(SEARCH("한국",$W370)),MAX(0,MIN($L370,기준정보!$C$11)-MAX($L370-기준정보!$C$6,기준정보!$C$10)+1),0)))</f>
        <v/>
      </c>
      <c r="N370" s="22">
        <f>IF($L370="","",$L370-기준정보!$C$6-$M370)</f>
        <v/>
      </c>
      <c r="O370" s="24">
        <f>IF($N370="","",$N370-기준정보!$C$4)</f>
        <v/>
      </c>
      <c r="P370" s="21" t="n"/>
      <c r="Q370" s="21" t="inlineStr">
        <is>
          <t>X</t>
        </is>
      </c>
      <c r="R370" s="19">
        <f>IF(COUNTIF(EDW_RAW!$A$2:$A$1500,$D370)=0,"",IF(COUNTIFS(EDW_RAW!$A$2:$A$1500,$D370,EDW_RAW!$U$2:$U$1500,"&lt;&gt;~",EDW_RAW!$U$2:$U$1500,"&lt;&gt;")=COUNTIF(EDW_RAW!$A$2:$A$1500,$D370),"O",IF(COUNTIFS(EDW_RAW!$A$2:$A$1500,$D370,EDW_RAW!$U$2:$U$1500,"&lt;&gt;~",EDW_RAW!$U$2:$U$1500,"&lt;&gt;")&gt;0,"부분","X")))</f>
        <v/>
      </c>
      <c r="S370" s="25" t="n"/>
      <c r="T370" s="20">
        <f>IF($H370="","",IF(AND(ISNUMBER(SEARCH("CMT",$H370)),OR(ISNUMBER(SEARCH("완사입",$H370)),ISNUMBER(SEARCH("ODM",$H370)))),"본사/생산처 혼재",IF(ISNUMBER(SEARCH("CMT",$H370)),"본사(소재팀)","생산처")))</f>
        <v/>
      </c>
      <c r="U370" s="20" t="inlineStr">
        <is>
          <t>인투잇플러스</t>
        </is>
      </c>
      <c r="V370" s="20">
        <f>IFERROR(TEXTJOIN(" / ",TRUE,UNIQUE(FILTER(소재DB_RAW!$K$3:$K$2000,(소재DB_RAW!$G$3:$G$2000=$D370)*ISERROR(SEARCH("drop",소재DB_RAW!$C$3:$C$2000))))),"")</f>
        <v/>
      </c>
      <c r="W370" s="20" t="inlineStr">
        <is>
          <t>중국</t>
        </is>
      </c>
      <c r="X370" s="20">
        <f>IFERROR(TEXTJOIN(" / ",TRUE,UNIQUE(FILTER(소재DB_RAW!$N$3:$N$2000,(소재DB_RAW!$G$3:$G$2000=$D370)*ISERROR(SEARCH("drop",소재DB_RAW!$C$3:$C$2000))))),"")</f>
        <v/>
      </c>
      <c r="Y370" s="26">
        <f>IFERROR(TEXTJOIN(CHAR(10),TRUE,UNIQUE(FILTER(소재DB_RAW!$N$3:$N$2000&amp;") "&amp;소재DB_RAW!$O$3:$O$2000,(소재DB_RAW!$G$3:$G$2000=$D370)*ISNUMBER(SEARCH("겉감",소재DB_RAW!$M$3:$M$2000))*ISERROR(SEARCH("drop",소재DB_RAW!$C$3:$C$2000))))),"")</f>
        <v/>
      </c>
      <c r="Z370" s="26">
        <f>IFERROR(TEXTJOIN(CHAR(10),TRUE,UNIQUE(FILTER(소재DB_RAW!$N$3:$N$2000&amp;") "&amp;소재DB_RAW!$O$3:$O$2000,(소재DB_RAW!$G$3:$G$2000=$D370)*ISNUMBER(SEARCH("안감",소재DB_RAW!$M$3:$M$2000))*ISERROR(SEARCH("drop",소재DB_RAW!$C$3:$C$2000))))),"")</f>
        <v/>
      </c>
      <c r="AA370" s="27" t="n">
        <v>800</v>
      </c>
      <c r="AB370" s="27" t="n">
        <v>25600000</v>
      </c>
      <c r="AC370" s="27" t="n">
        <v>134400000</v>
      </c>
      <c r="AD370" s="20" t="n"/>
      <c r="AE370" s="20">
        <f>IF($K370="","출고일 미정",IF($Q370="X","작지 미발행",IF($Q370="부분","작지 일부 미발행",IF(AND($S370&lt;&gt;"",$S370&gt;$N370),"소재입고 마감("&amp;TEXT($N370,"MM/DD")&amp;") 초과",IF($Q370="","발행여부 확인 필요",IF($S370="","소재 입고일정 확인 필요","정상"))))))</f>
        <v/>
      </c>
      <c r="AF370" s="19">
        <f>IF($K370="","",IF(OR(LEFT($AE370,2)="작지",LEFT($AE370,4)="소재입고"),IF(LEFT($G370,1)="S","★ 납기위험(S코드)","◆ 지연주의"),IF($AE370="정상","✓ 정상","? 확인필요")))</f>
        <v/>
      </c>
      <c r="AG370" s="21" t="n"/>
      <c r="AH370" s="28" t="n"/>
    </row>
    <row r="371">
      <c r="A371" s="19" t="n">
        <v>367</v>
      </c>
      <c r="B371" s="20" t="inlineStr">
        <is>
          <t>박진아</t>
        </is>
      </c>
      <c r="C371" s="20" t="inlineStr">
        <is>
          <t>조은선</t>
        </is>
      </c>
      <c r="D371" s="20" t="inlineStr">
        <is>
          <t>QEHFX27103</t>
        </is>
      </c>
      <c r="E371" s="20" t="inlineStr">
        <is>
          <t>남녀공용 에어도트 긴장갑</t>
        </is>
      </c>
      <c r="F371" s="20" t="inlineStr">
        <is>
          <t>BLK(BLACK), KHA(KHAKI)</t>
        </is>
      </c>
      <c r="G371" s="19">
        <f>IF($D371="","",IF(MID($D371,5,1)="S","S(봄)",IF(MID($D371,5,1)="M","M(여름)",IF(MID($D371,5,1)="X","X(사계절)",MID($D371,5,1)))))</f>
        <v/>
      </c>
      <c r="H371" s="20" t="inlineStr">
        <is>
          <t>완사입</t>
        </is>
      </c>
      <c r="I371" s="19" t="inlineStr"/>
      <c r="J371" s="21" t="inlineStr">
        <is>
          <t>1월3주</t>
        </is>
      </c>
      <c r="K371" s="22">
        <f>IF($J371="","",IFERROR(DATE(IF(VALUE(LEFT($J371,FIND("월",$J371)-1))&gt;=9,기준정보!$C$7-1,기준정보!$C$7),VALUE(LEFT($J371,FIND("월",$J371)-1)),1+7*(VALUE(SUBSTITUTE(MID($J371,FIND("월",$J371)+1,5),"주",""))-1)),""))</f>
        <v/>
      </c>
      <c r="L371" s="22">
        <f>IF($K371="","",IF(AND($K371-기준정보!$C$5&gt;=기준정보!$C$10,$K371-기준정보!$C$5&lt;=기준정보!$C$11),기준정보!$C$10-1,$K371-기준정보!$C$5))</f>
        <v/>
      </c>
      <c r="M371" s="23">
        <f>IF($L371="","",IF(OR(ISNUMBER(SEARCH("중국",$W371)),ISNUMBER(SEARCH("베트남",$W371))),MAX(0,MIN($L371,기준정보!$C$9)-MAX($L371-기준정보!$C$6,기준정보!$C$8)+1),IF(ISNUMBER(SEARCH("한국",$W371)),MAX(0,MIN($L371,기준정보!$C$11)-MAX($L371-기준정보!$C$6,기준정보!$C$10)+1),0)))</f>
        <v/>
      </c>
      <c r="N371" s="22">
        <f>IF($L371="","",$L371-기준정보!$C$6-$M371)</f>
        <v/>
      </c>
      <c r="O371" s="24">
        <f>IF($N371="","",$N371-기준정보!$C$4)</f>
        <v/>
      </c>
      <c r="P371" s="21" t="n"/>
      <c r="Q371" s="21" t="inlineStr">
        <is>
          <t>X</t>
        </is>
      </c>
      <c r="R371" s="19">
        <f>IF(COUNTIF(EDW_RAW!$A$2:$A$1500,$D371)=0,"",IF(COUNTIFS(EDW_RAW!$A$2:$A$1500,$D371,EDW_RAW!$U$2:$U$1500,"&lt;&gt;~",EDW_RAW!$U$2:$U$1500,"&lt;&gt;")=COUNTIF(EDW_RAW!$A$2:$A$1500,$D371),"O",IF(COUNTIFS(EDW_RAW!$A$2:$A$1500,$D371,EDW_RAW!$U$2:$U$1500,"&lt;&gt;~",EDW_RAW!$U$2:$U$1500,"&lt;&gt;")&gt;0,"부분","X")))</f>
        <v/>
      </c>
      <c r="S371" s="25" t="n"/>
      <c r="T371" s="20">
        <f>IF($H371="","",IF(AND(ISNUMBER(SEARCH("CMT",$H371)),OR(ISNUMBER(SEARCH("완사입",$H371)),ISNUMBER(SEARCH("ODM",$H371)))),"본사/생산처 혼재",IF(ISNUMBER(SEARCH("CMT",$H371)),"본사(소재팀)","생산처")))</f>
        <v/>
      </c>
      <c r="U371" s="20" t="inlineStr">
        <is>
          <t>시즈글로벌</t>
        </is>
      </c>
      <c r="V371" s="20">
        <f>IFERROR(TEXTJOIN(" / ",TRUE,UNIQUE(FILTER(소재DB_RAW!$K$3:$K$2000,(소재DB_RAW!$G$3:$G$2000=$D371)*ISERROR(SEARCH("drop",소재DB_RAW!$C$3:$C$2000))))),"")</f>
        <v/>
      </c>
      <c r="W371" s="20" t="inlineStr">
        <is>
          <t>베트남</t>
        </is>
      </c>
      <c r="X371" s="20">
        <f>IFERROR(TEXTJOIN(" / ",TRUE,UNIQUE(FILTER(소재DB_RAW!$N$3:$N$2000,(소재DB_RAW!$G$3:$G$2000=$D371)*ISERROR(SEARCH("drop",소재DB_RAW!$C$3:$C$2000))))),"")</f>
        <v/>
      </c>
      <c r="Y371" s="26">
        <f>IFERROR(TEXTJOIN(CHAR(10),TRUE,UNIQUE(FILTER(소재DB_RAW!$N$3:$N$2000&amp;") "&amp;소재DB_RAW!$O$3:$O$2000,(소재DB_RAW!$G$3:$G$2000=$D371)*ISNUMBER(SEARCH("겉감",소재DB_RAW!$M$3:$M$2000))*ISERROR(SEARCH("drop",소재DB_RAW!$C$3:$C$2000))))),"")</f>
        <v/>
      </c>
      <c r="Z371" s="26">
        <f>IFERROR(TEXTJOIN(CHAR(10),TRUE,UNIQUE(FILTER(소재DB_RAW!$N$3:$N$2000&amp;") "&amp;소재DB_RAW!$O$3:$O$2000,(소재DB_RAW!$G$3:$G$2000=$D371)*ISNUMBER(SEARCH("안감",소재DB_RAW!$M$3:$M$2000))*ISERROR(SEARCH("drop",소재DB_RAW!$C$3:$C$2000))))),"")</f>
        <v/>
      </c>
      <c r="AA371" s="27" t="n">
        <v>3000</v>
      </c>
      <c r="AB371" s="27" t="n">
        <v>29130000</v>
      </c>
      <c r="AC371" s="27" t="n">
        <v>165000000</v>
      </c>
      <c r="AD371" s="20" t="n"/>
      <c r="AE371" s="20">
        <f>IF($K371="","출고일 미정",IF($Q371="X","작지 미발행",IF($Q371="부분","작지 일부 미발행",IF(AND($S371&lt;&gt;"",$S371&gt;$N371),"소재입고 마감("&amp;TEXT($N371,"MM/DD")&amp;") 초과",IF($Q371="","발행여부 확인 필요",IF($S371="","소재 입고일정 확인 필요","정상"))))))</f>
        <v/>
      </c>
      <c r="AF371" s="19">
        <f>IF($K371="","",IF(OR(LEFT($AE371,2)="작지",LEFT($AE371,4)="소재입고"),IF(LEFT($G371,1)="S","★ 납기위험(S코드)","◆ 지연주의"),IF($AE371="정상","✓ 정상","? 확인필요")))</f>
        <v/>
      </c>
      <c r="AG371" s="21" t="n"/>
      <c r="AH371" s="28" t="n"/>
    </row>
    <row r="372">
      <c r="A372" s="19" t="n">
        <v>368</v>
      </c>
      <c r="B372" s="20" t="inlineStr">
        <is>
          <t>최지희</t>
        </is>
      </c>
      <c r="C372" s="20" t="inlineStr">
        <is>
          <t>강지은</t>
        </is>
      </c>
      <c r="D372" s="20" t="inlineStr">
        <is>
          <t>QELAX27111</t>
        </is>
      </c>
      <c r="E372" s="20" t="inlineStr">
        <is>
          <t>남녀공용 메리노울 하이킹 크루 삭스</t>
        </is>
      </c>
      <c r="F372" s="20" t="inlineStr">
        <is>
          <t>LBE(L/BEIGE), LGY(L/GRAY)</t>
        </is>
      </c>
      <c r="G372" s="19">
        <f>IF($D372="","",IF(MID($D372,5,1)="S","S(봄)",IF(MID($D372,5,1)="M","M(여름)",IF(MID($D372,5,1)="X","X(사계절)",MID($D372,5,1)))))</f>
        <v/>
      </c>
      <c r="H372" s="20" t="inlineStr">
        <is>
          <t>완사입</t>
        </is>
      </c>
      <c r="I372" s="19" t="inlineStr"/>
      <c r="J372" s="21" t="inlineStr">
        <is>
          <t>1월3주</t>
        </is>
      </c>
      <c r="K372" s="22">
        <f>IF($J372="","",IFERROR(DATE(IF(VALUE(LEFT($J372,FIND("월",$J372)-1))&gt;=9,기준정보!$C$7-1,기준정보!$C$7),VALUE(LEFT($J372,FIND("월",$J372)-1)),1+7*(VALUE(SUBSTITUTE(MID($J372,FIND("월",$J372)+1,5),"주",""))-1)),""))</f>
        <v/>
      </c>
      <c r="L372" s="22">
        <f>IF($K372="","",IF(AND($K372-기준정보!$C$5&gt;=기준정보!$C$10,$K372-기준정보!$C$5&lt;=기준정보!$C$11),기준정보!$C$10-1,$K372-기준정보!$C$5))</f>
        <v/>
      </c>
      <c r="M372" s="23">
        <f>IF($L372="","",IF(OR(ISNUMBER(SEARCH("중국",$W372)),ISNUMBER(SEARCH("베트남",$W372))),MAX(0,MIN($L372,기준정보!$C$9)-MAX($L372-기준정보!$C$6,기준정보!$C$8)+1),IF(ISNUMBER(SEARCH("한국",$W372)),MAX(0,MIN($L372,기준정보!$C$11)-MAX($L372-기준정보!$C$6,기준정보!$C$10)+1),0)))</f>
        <v/>
      </c>
      <c r="N372" s="22">
        <f>IF($L372="","",$L372-기준정보!$C$6-$M372)</f>
        <v/>
      </c>
      <c r="O372" s="24">
        <f>IF($N372="","",$N372-기준정보!$C$4)</f>
        <v/>
      </c>
      <c r="P372" s="21" t="n"/>
      <c r="Q372" s="21" t="inlineStr">
        <is>
          <t>X</t>
        </is>
      </c>
      <c r="R372" s="19">
        <f>IF(COUNTIF(EDW_RAW!$A$2:$A$1500,$D372)=0,"",IF(COUNTIFS(EDW_RAW!$A$2:$A$1500,$D372,EDW_RAW!$U$2:$U$1500,"&lt;&gt;~",EDW_RAW!$U$2:$U$1500,"&lt;&gt;")=COUNTIF(EDW_RAW!$A$2:$A$1500,$D372),"O",IF(COUNTIFS(EDW_RAW!$A$2:$A$1500,$D372,EDW_RAW!$U$2:$U$1500,"&lt;&gt;~",EDW_RAW!$U$2:$U$1500,"&lt;&gt;")&gt;0,"부분","X")))</f>
        <v/>
      </c>
      <c r="S372" s="25" t="n"/>
      <c r="T372" s="20">
        <f>IF($H372="","",IF(AND(ISNUMBER(SEARCH("CMT",$H372)),OR(ISNUMBER(SEARCH("완사입",$H372)),ISNUMBER(SEARCH("ODM",$H372)))),"본사/생산처 혼재",IF(ISNUMBER(SEARCH("CMT",$H372)),"본사(소재팀)","생산처")))</f>
        <v/>
      </c>
      <c r="U372" s="20" t="inlineStr">
        <is>
          <t>크리스</t>
        </is>
      </c>
      <c r="V372" s="20">
        <f>IFERROR(TEXTJOIN(" / ",TRUE,UNIQUE(FILTER(소재DB_RAW!$K$3:$K$2000,(소재DB_RAW!$G$3:$G$2000=$D372)*ISERROR(SEARCH("drop",소재DB_RAW!$C$3:$C$2000))))),"")</f>
        <v/>
      </c>
      <c r="W372" s="20" t="inlineStr">
        <is>
          <t>국내</t>
        </is>
      </c>
      <c r="X372" s="20">
        <f>IFERROR(TEXTJOIN(" / ",TRUE,UNIQUE(FILTER(소재DB_RAW!$N$3:$N$2000,(소재DB_RAW!$G$3:$G$2000=$D372)*ISERROR(SEARCH("drop",소재DB_RAW!$C$3:$C$2000))))),"")</f>
        <v/>
      </c>
      <c r="Y372" s="26">
        <f>IFERROR(TEXTJOIN(CHAR(10),TRUE,UNIQUE(FILTER(소재DB_RAW!$N$3:$N$2000&amp;") "&amp;소재DB_RAW!$O$3:$O$2000,(소재DB_RAW!$G$3:$G$2000=$D372)*ISNUMBER(SEARCH("겉감",소재DB_RAW!$M$3:$M$2000))*ISERROR(SEARCH("drop",소재DB_RAW!$C$3:$C$2000))))),"")</f>
        <v/>
      </c>
      <c r="Z372" s="26">
        <f>IFERROR(TEXTJOIN(CHAR(10),TRUE,UNIQUE(FILTER(소재DB_RAW!$N$3:$N$2000&amp;") "&amp;소재DB_RAW!$O$3:$O$2000,(소재DB_RAW!$G$3:$G$2000=$D372)*ISNUMBER(SEARCH("안감",소재DB_RAW!$M$3:$M$2000))*ISERROR(SEARCH("drop",소재DB_RAW!$C$3:$C$2000))))),"")</f>
        <v/>
      </c>
      <c r="AA372" s="27" t="n">
        <v>1000</v>
      </c>
      <c r="AB372" s="27" t="n">
        <v>3997000</v>
      </c>
      <c r="AC372" s="27" t="n">
        <v>30000000</v>
      </c>
      <c r="AD372" s="20" t="n"/>
      <c r="AE372" s="20">
        <f>IF($K372="","출고일 미정",IF($Q372="X","작지 미발행",IF($Q372="부분","작지 일부 미발행",IF(AND($S372&lt;&gt;"",$S372&gt;$N372),"소재입고 마감("&amp;TEXT($N372,"MM/DD")&amp;") 초과",IF($Q372="","발행여부 확인 필요",IF($S372="","소재 입고일정 확인 필요","정상"))))))</f>
        <v/>
      </c>
      <c r="AF372" s="19">
        <f>IF($K372="","",IF(OR(LEFT($AE372,2)="작지",LEFT($AE372,4)="소재입고"),IF(LEFT($G372,1)="S","★ 납기위험(S코드)","◆ 지연주의"),IF($AE372="정상","✓ 정상","? 확인필요")))</f>
        <v/>
      </c>
      <c r="AG372" s="21" t="n"/>
      <c r="AH372" s="28" t="n"/>
    </row>
    <row r="373">
      <c r="A373" s="19" t="n">
        <v>369</v>
      </c>
      <c r="B373" s="20" t="inlineStr">
        <is>
          <t>최지희</t>
        </is>
      </c>
      <c r="C373" s="20" t="inlineStr">
        <is>
          <t>강지은</t>
        </is>
      </c>
      <c r="D373" s="20" t="inlineStr">
        <is>
          <t>QELAX27121</t>
        </is>
      </c>
      <c r="E373" s="20" t="inlineStr">
        <is>
          <t>남녀공용 메리노울 하이킹 컴프레션 크루 삭스</t>
        </is>
      </c>
      <c r="F373" s="20" t="inlineStr">
        <is>
          <t>DGY(D/GRAY), GBU(G/BLUE), DGR(D/GREEN)</t>
        </is>
      </c>
      <c r="G373" s="19">
        <f>IF($D373="","",IF(MID($D373,5,1)="S","S(봄)",IF(MID($D373,5,1)="M","M(여름)",IF(MID($D373,5,1)="X","X(사계절)",MID($D373,5,1)))))</f>
        <v/>
      </c>
      <c r="H373" s="20" t="inlineStr">
        <is>
          <t>완사입</t>
        </is>
      </c>
      <c r="I373" s="19" t="inlineStr"/>
      <c r="J373" s="21" t="inlineStr">
        <is>
          <t>1월3주</t>
        </is>
      </c>
      <c r="K373" s="22">
        <f>IF($J373="","",IFERROR(DATE(IF(VALUE(LEFT($J373,FIND("월",$J373)-1))&gt;=9,기준정보!$C$7-1,기준정보!$C$7),VALUE(LEFT($J373,FIND("월",$J373)-1)),1+7*(VALUE(SUBSTITUTE(MID($J373,FIND("월",$J373)+1,5),"주",""))-1)),""))</f>
        <v/>
      </c>
      <c r="L373" s="22">
        <f>IF($K373="","",IF(AND($K373-기준정보!$C$5&gt;=기준정보!$C$10,$K373-기준정보!$C$5&lt;=기준정보!$C$11),기준정보!$C$10-1,$K373-기준정보!$C$5))</f>
        <v/>
      </c>
      <c r="M373" s="23">
        <f>IF($L373="","",IF(OR(ISNUMBER(SEARCH("중국",$W373)),ISNUMBER(SEARCH("베트남",$W373))),MAX(0,MIN($L373,기준정보!$C$9)-MAX($L373-기준정보!$C$6,기준정보!$C$8)+1),IF(ISNUMBER(SEARCH("한국",$W373)),MAX(0,MIN($L373,기준정보!$C$11)-MAX($L373-기준정보!$C$6,기준정보!$C$10)+1),0)))</f>
        <v/>
      </c>
      <c r="N373" s="22">
        <f>IF($L373="","",$L373-기준정보!$C$6-$M373)</f>
        <v/>
      </c>
      <c r="O373" s="24">
        <f>IF($N373="","",$N373-기준정보!$C$4)</f>
        <v/>
      </c>
      <c r="P373" s="21" t="n"/>
      <c r="Q373" s="21" t="inlineStr">
        <is>
          <t>X</t>
        </is>
      </c>
      <c r="R373" s="19">
        <f>IF(COUNTIF(EDW_RAW!$A$2:$A$1500,$D373)=0,"",IF(COUNTIFS(EDW_RAW!$A$2:$A$1500,$D373,EDW_RAW!$U$2:$U$1500,"&lt;&gt;~",EDW_RAW!$U$2:$U$1500,"&lt;&gt;")=COUNTIF(EDW_RAW!$A$2:$A$1500,$D373),"O",IF(COUNTIFS(EDW_RAW!$A$2:$A$1500,$D373,EDW_RAW!$U$2:$U$1500,"&lt;&gt;~",EDW_RAW!$U$2:$U$1500,"&lt;&gt;")&gt;0,"부분","X")))</f>
        <v/>
      </c>
      <c r="S373" s="25" t="n"/>
      <c r="T373" s="20">
        <f>IF($H373="","",IF(AND(ISNUMBER(SEARCH("CMT",$H373)),OR(ISNUMBER(SEARCH("완사입",$H373)),ISNUMBER(SEARCH("ODM",$H373)))),"본사/생산처 혼재",IF(ISNUMBER(SEARCH("CMT",$H373)),"본사(소재팀)","생산처")))</f>
        <v/>
      </c>
      <c r="U373" s="20" t="inlineStr">
        <is>
          <t>크리스</t>
        </is>
      </c>
      <c r="V373" s="20">
        <f>IFERROR(TEXTJOIN(" / ",TRUE,UNIQUE(FILTER(소재DB_RAW!$K$3:$K$2000,(소재DB_RAW!$G$3:$G$2000=$D373)*ISERROR(SEARCH("drop",소재DB_RAW!$C$3:$C$2000))))),"")</f>
        <v/>
      </c>
      <c r="W373" s="20" t="inlineStr">
        <is>
          <t>국내</t>
        </is>
      </c>
      <c r="X373" s="20">
        <f>IFERROR(TEXTJOIN(" / ",TRUE,UNIQUE(FILTER(소재DB_RAW!$N$3:$N$2000,(소재DB_RAW!$G$3:$G$2000=$D373)*ISERROR(SEARCH("drop",소재DB_RAW!$C$3:$C$2000))))),"")</f>
        <v/>
      </c>
      <c r="Y373" s="26">
        <f>IFERROR(TEXTJOIN(CHAR(10),TRUE,UNIQUE(FILTER(소재DB_RAW!$N$3:$N$2000&amp;") "&amp;소재DB_RAW!$O$3:$O$2000,(소재DB_RAW!$G$3:$G$2000=$D373)*ISNUMBER(SEARCH("겉감",소재DB_RAW!$M$3:$M$2000))*ISERROR(SEARCH("drop",소재DB_RAW!$C$3:$C$2000))))),"")</f>
        <v/>
      </c>
      <c r="Z373" s="26">
        <f>IFERROR(TEXTJOIN(CHAR(10),TRUE,UNIQUE(FILTER(소재DB_RAW!$N$3:$N$2000&amp;") "&amp;소재DB_RAW!$O$3:$O$2000,(소재DB_RAW!$G$3:$G$2000=$D373)*ISNUMBER(SEARCH("안감",소재DB_RAW!$M$3:$M$2000))*ISERROR(SEARCH("drop",소재DB_RAW!$C$3:$C$2000))))),"")</f>
        <v/>
      </c>
      <c r="AA373" s="27" t="n">
        <v>4000</v>
      </c>
      <c r="AB373" s="27" t="n">
        <v>13720000</v>
      </c>
      <c r="AC373" s="27" t="n">
        <v>120000000</v>
      </c>
      <c r="AD373" s="20" t="n"/>
      <c r="AE373" s="20">
        <f>IF($K373="","출고일 미정",IF($Q373="X","작지 미발행",IF($Q373="부분","작지 일부 미발행",IF(AND($S373&lt;&gt;"",$S373&gt;$N373),"소재입고 마감("&amp;TEXT($N373,"MM/DD")&amp;") 초과",IF($Q373="","발행여부 확인 필요",IF($S373="","소재 입고일정 확인 필요","정상"))))))</f>
        <v/>
      </c>
      <c r="AF373" s="19">
        <f>IF($K373="","",IF(OR(LEFT($AE373,2)="작지",LEFT($AE373,4)="소재입고"),IF(LEFT($G373,1)="S","★ 납기위험(S코드)","◆ 지연주의"),IF($AE373="정상","✓ 정상","? 확인필요")))</f>
        <v/>
      </c>
      <c r="AG373" s="21" t="n"/>
      <c r="AH373" s="28" t="n"/>
    </row>
    <row r="374">
      <c r="A374" s="19" t="n">
        <v>370</v>
      </c>
      <c r="B374" s="20" t="inlineStr">
        <is>
          <t>최지희</t>
        </is>
      </c>
      <c r="C374" s="20" t="inlineStr">
        <is>
          <t>강지은</t>
        </is>
      </c>
      <c r="D374" s="20" t="inlineStr">
        <is>
          <t>QELAX27131</t>
        </is>
      </c>
      <c r="E374" s="20" t="inlineStr">
        <is>
          <t>남녀공용 메리노울 컴프레션 크루 삭스</t>
        </is>
      </c>
      <c r="F374" s="20" t="inlineStr">
        <is>
          <t>LML, LIL(LILAC), MUS</t>
        </is>
      </c>
      <c r="G374" s="19">
        <f>IF($D374="","",IF(MID($D374,5,1)="S","S(봄)",IF(MID($D374,5,1)="M","M(여름)",IF(MID($D374,5,1)="X","X(사계절)",MID($D374,5,1)))))</f>
        <v/>
      </c>
      <c r="H374" s="20" t="inlineStr">
        <is>
          <t>완사입</t>
        </is>
      </c>
      <c r="I374" s="19" t="inlineStr"/>
      <c r="J374" s="21" t="inlineStr">
        <is>
          <t>1월3주</t>
        </is>
      </c>
      <c r="K374" s="22">
        <f>IF($J374="","",IFERROR(DATE(IF(VALUE(LEFT($J374,FIND("월",$J374)-1))&gt;=9,기준정보!$C$7-1,기준정보!$C$7),VALUE(LEFT($J374,FIND("월",$J374)-1)),1+7*(VALUE(SUBSTITUTE(MID($J374,FIND("월",$J374)+1,5),"주",""))-1)),""))</f>
        <v/>
      </c>
      <c r="L374" s="22">
        <f>IF($K374="","",IF(AND($K374-기준정보!$C$5&gt;=기준정보!$C$10,$K374-기준정보!$C$5&lt;=기준정보!$C$11),기준정보!$C$10-1,$K374-기준정보!$C$5))</f>
        <v/>
      </c>
      <c r="M374" s="23">
        <f>IF($L374="","",IF(OR(ISNUMBER(SEARCH("중국",$W374)),ISNUMBER(SEARCH("베트남",$W374))),MAX(0,MIN($L374,기준정보!$C$9)-MAX($L374-기준정보!$C$6,기준정보!$C$8)+1),IF(ISNUMBER(SEARCH("한국",$W374)),MAX(0,MIN($L374,기준정보!$C$11)-MAX($L374-기준정보!$C$6,기준정보!$C$10)+1),0)))</f>
        <v/>
      </c>
      <c r="N374" s="22">
        <f>IF($L374="","",$L374-기준정보!$C$6-$M374)</f>
        <v/>
      </c>
      <c r="O374" s="24">
        <f>IF($N374="","",$N374-기준정보!$C$4)</f>
        <v/>
      </c>
      <c r="P374" s="21" t="n"/>
      <c r="Q374" s="21" t="inlineStr">
        <is>
          <t>X</t>
        </is>
      </c>
      <c r="R374" s="19">
        <f>IF(COUNTIF(EDW_RAW!$A$2:$A$1500,$D374)=0,"",IF(COUNTIFS(EDW_RAW!$A$2:$A$1500,$D374,EDW_RAW!$U$2:$U$1500,"&lt;&gt;~",EDW_RAW!$U$2:$U$1500,"&lt;&gt;")=COUNTIF(EDW_RAW!$A$2:$A$1500,$D374),"O",IF(COUNTIFS(EDW_RAW!$A$2:$A$1500,$D374,EDW_RAW!$U$2:$U$1500,"&lt;&gt;~",EDW_RAW!$U$2:$U$1500,"&lt;&gt;")&gt;0,"부분","X")))</f>
        <v/>
      </c>
      <c r="S374" s="25" t="n"/>
      <c r="T374" s="20">
        <f>IF($H374="","",IF(AND(ISNUMBER(SEARCH("CMT",$H374)),OR(ISNUMBER(SEARCH("완사입",$H374)),ISNUMBER(SEARCH("ODM",$H374)))),"본사/생산처 혼재",IF(ISNUMBER(SEARCH("CMT",$H374)),"본사(소재팀)","생산처")))</f>
        <v/>
      </c>
      <c r="U374" s="20" t="inlineStr">
        <is>
          <t>크리스</t>
        </is>
      </c>
      <c r="V374" s="20">
        <f>IFERROR(TEXTJOIN(" / ",TRUE,UNIQUE(FILTER(소재DB_RAW!$K$3:$K$2000,(소재DB_RAW!$G$3:$G$2000=$D374)*ISERROR(SEARCH("drop",소재DB_RAW!$C$3:$C$2000))))),"")</f>
        <v/>
      </c>
      <c r="W374" s="20" t="inlineStr">
        <is>
          <t>국내</t>
        </is>
      </c>
      <c r="X374" s="20">
        <f>IFERROR(TEXTJOIN(" / ",TRUE,UNIQUE(FILTER(소재DB_RAW!$N$3:$N$2000,(소재DB_RAW!$G$3:$G$2000=$D374)*ISERROR(SEARCH("drop",소재DB_RAW!$C$3:$C$2000))))),"")</f>
        <v/>
      </c>
      <c r="Y374" s="26">
        <f>IFERROR(TEXTJOIN(CHAR(10),TRUE,UNIQUE(FILTER(소재DB_RAW!$N$3:$N$2000&amp;") "&amp;소재DB_RAW!$O$3:$O$2000,(소재DB_RAW!$G$3:$G$2000=$D374)*ISNUMBER(SEARCH("겉감",소재DB_RAW!$M$3:$M$2000))*ISERROR(SEARCH("drop",소재DB_RAW!$C$3:$C$2000))))),"")</f>
        <v/>
      </c>
      <c r="Z374" s="26">
        <f>IFERROR(TEXTJOIN(CHAR(10),TRUE,UNIQUE(FILTER(소재DB_RAW!$N$3:$N$2000&amp;") "&amp;소재DB_RAW!$O$3:$O$2000,(소재DB_RAW!$G$3:$G$2000=$D374)*ISNUMBER(SEARCH("안감",소재DB_RAW!$M$3:$M$2000))*ISERROR(SEARCH("drop",소재DB_RAW!$C$3:$C$2000))))),"")</f>
        <v/>
      </c>
      <c r="AA374" s="27" t="n">
        <v>1500</v>
      </c>
      <c r="AB374" s="27" t="n">
        <v>5940000</v>
      </c>
      <c r="AC374" s="27" t="n">
        <v>37500000</v>
      </c>
      <c r="AD374" s="20" t="n"/>
      <c r="AE374" s="20">
        <f>IF($K374="","출고일 미정",IF($Q374="X","작지 미발행",IF($Q374="부분","작지 일부 미발행",IF(AND($S374&lt;&gt;"",$S374&gt;$N374),"소재입고 마감("&amp;TEXT($N374,"MM/DD")&amp;") 초과",IF($Q374="","발행여부 확인 필요",IF($S374="","소재 입고일정 확인 필요","정상"))))))</f>
        <v/>
      </c>
      <c r="AF374" s="19">
        <f>IF($K374="","",IF(OR(LEFT($AE374,2)="작지",LEFT($AE374,4)="소재입고"),IF(LEFT($G374,1)="S","★ 납기위험(S코드)","◆ 지연주의"),IF($AE374="정상","✓ 정상","? 확인필요")))</f>
        <v/>
      </c>
      <c r="AG374" s="21" t="n"/>
      <c r="AH374" s="28" t="n"/>
    </row>
    <row r="375">
      <c r="A375" s="19" t="n">
        <v>371</v>
      </c>
      <c r="B375" s="20" t="inlineStr">
        <is>
          <t>최지희</t>
        </is>
      </c>
      <c r="C375" s="20" t="inlineStr">
        <is>
          <t>강지은</t>
        </is>
      </c>
      <c r="D375" s="20" t="inlineStr">
        <is>
          <t>QELAX27141</t>
        </is>
      </c>
      <c r="E375" s="20" t="inlineStr">
        <is>
          <t>남녀공용 하이킹 딥다잉 컴프레션 크루 삭스</t>
        </is>
      </c>
      <c r="F375" s="20" t="inlineStr">
        <is>
          <t>AQU(AQUA), CPI(C/PINK)</t>
        </is>
      </c>
      <c r="G375" s="19">
        <f>IF($D375="","",IF(MID($D375,5,1)="S","S(봄)",IF(MID($D375,5,1)="M","M(여름)",IF(MID($D375,5,1)="X","X(사계절)",MID($D375,5,1)))))</f>
        <v/>
      </c>
      <c r="H375" s="20" t="inlineStr">
        <is>
          <t>완사입</t>
        </is>
      </c>
      <c r="I375" s="19" t="inlineStr"/>
      <c r="J375" s="21" t="inlineStr">
        <is>
          <t>1월3주</t>
        </is>
      </c>
      <c r="K375" s="22">
        <f>IF($J375="","",IFERROR(DATE(IF(VALUE(LEFT($J375,FIND("월",$J375)-1))&gt;=9,기준정보!$C$7-1,기준정보!$C$7),VALUE(LEFT($J375,FIND("월",$J375)-1)),1+7*(VALUE(SUBSTITUTE(MID($J375,FIND("월",$J375)+1,5),"주",""))-1)),""))</f>
        <v/>
      </c>
      <c r="L375" s="22">
        <f>IF($K375="","",IF(AND($K375-기준정보!$C$5&gt;=기준정보!$C$10,$K375-기준정보!$C$5&lt;=기준정보!$C$11),기준정보!$C$10-1,$K375-기준정보!$C$5))</f>
        <v/>
      </c>
      <c r="M375" s="23">
        <f>IF($L375="","",IF(OR(ISNUMBER(SEARCH("중국",$W375)),ISNUMBER(SEARCH("베트남",$W375))),MAX(0,MIN($L375,기준정보!$C$9)-MAX($L375-기준정보!$C$6,기준정보!$C$8)+1),IF(ISNUMBER(SEARCH("한국",$W375)),MAX(0,MIN($L375,기준정보!$C$11)-MAX($L375-기준정보!$C$6,기준정보!$C$10)+1),0)))</f>
        <v/>
      </c>
      <c r="N375" s="22">
        <f>IF($L375="","",$L375-기준정보!$C$6-$M375)</f>
        <v/>
      </c>
      <c r="O375" s="24">
        <f>IF($N375="","",$N375-기준정보!$C$4)</f>
        <v/>
      </c>
      <c r="P375" s="21" t="n"/>
      <c r="Q375" s="21" t="inlineStr">
        <is>
          <t>X</t>
        </is>
      </c>
      <c r="R375" s="19">
        <f>IF(COUNTIF(EDW_RAW!$A$2:$A$1500,$D375)=0,"",IF(COUNTIFS(EDW_RAW!$A$2:$A$1500,$D375,EDW_RAW!$U$2:$U$1500,"&lt;&gt;~",EDW_RAW!$U$2:$U$1500,"&lt;&gt;")=COUNTIF(EDW_RAW!$A$2:$A$1500,$D375),"O",IF(COUNTIFS(EDW_RAW!$A$2:$A$1500,$D375,EDW_RAW!$U$2:$U$1500,"&lt;&gt;~",EDW_RAW!$U$2:$U$1500,"&lt;&gt;")&gt;0,"부분","X")))</f>
        <v/>
      </c>
      <c r="S375" s="25" t="n"/>
      <c r="T375" s="20">
        <f>IF($H375="","",IF(AND(ISNUMBER(SEARCH("CMT",$H375)),OR(ISNUMBER(SEARCH("완사입",$H375)),ISNUMBER(SEARCH("ODM",$H375)))),"본사/생산처 혼재",IF(ISNUMBER(SEARCH("CMT",$H375)),"본사(소재팀)","생산처")))</f>
        <v/>
      </c>
      <c r="U375" s="20" t="inlineStr">
        <is>
          <t>크리스</t>
        </is>
      </c>
      <c r="V375" s="20">
        <f>IFERROR(TEXTJOIN(" / ",TRUE,UNIQUE(FILTER(소재DB_RAW!$K$3:$K$2000,(소재DB_RAW!$G$3:$G$2000=$D375)*ISERROR(SEARCH("drop",소재DB_RAW!$C$3:$C$2000))))),"")</f>
        <v/>
      </c>
      <c r="W375" s="20" t="inlineStr">
        <is>
          <t>국내</t>
        </is>
      </c>
      <c r="X375" s="20">
        <f>IFERROR(TEXTJOIN(" / ",TRUE,UNIQUE(FILTER(소재DB_RAW!$N$3:$N$2000,(소재DB_RAW!$G$3:$G$2000=$D375)*ISERROR(SEARCH("drop",소재DB_RAW!$C$3:$C$2000))))),"")</f>
        <v/>
      </c>
      <c r="Y375" s="26">
        <f>IFERROR(TEXTJOIN(CHAR(10),TRUE,UNIQUE(FILTER(소재DB_RAW!$N$3:$N$2000&amp;") "&amp;소재DB_RAW!$O$3:$O$2000,(소재DB_RAW!$G$3:$G$2000=$D375)*ISNUMBER(SEARCH("겉감",소재DB_RAW!$M$3:$M$2000))*ISERROR(SEARCH("drop",소재DB_RAW!$C$3:$C$2000))))),"")</f>
        <v/>
      </c>
      <c r="Z375" s="26">
        <f>IFERROR(TEXTJOIN(CHAR(10),TRUE,UNIQUE(FILTER(소재DB_RAW!$N$3:$N$2000&amp;") "&amp;소재DB_RAW!$O$3:$O$2000,(소재DB_RAW!$G$3:$G$2000=$D375)*ISNUMBER(SEARCH("안감",소재DB_RAW!$M$3:$M$2000))*ISERROR(SEARCH("drop",소재DB_RAW!$C$3:$C$2000))))),"")</f>
        <v/>
      </c>
      <c r="AA375" s="27" t="n">
        <v>1600</v>
      </c>
      <c r="AB375" s="27" t="n">
        <v>5488000</v>
      </c>
      <c r="AC375" s="27" t="n">
        <v>48000000</v>
      </c>
      <c r="AD375" s="20" t="n"/>
      <c r="AE375" s="20">
        <f>IF($K375="","출고일 미정",IF($Q375="X","작지 미발행",IF($Q375="부분","작지 일부 미발행",IF(AND($S375&lt;&gt;"",$S375&gt;$N375),"소재입고 마감("&amp;TEXT($N375,"MM/DD")&amp;") 초과",IF($Q375="","발행여부 확인 필요",IF($S375="","소재 입고일정 확인 필요","정상"))))))</f>
        <v/>
      </c>
      <c r="AF375" s="19">
        <f>IF($K375="","",IF(OR(LEFT($AE375,2)="작지",LEFT($AE375,4)="소재입고"),IF(LEFT($G375,1)="S","★ 납기위험(S코드)","◆ 지연주의"),IF($AE375="정상","✓ 정상","? 확인필요")))</f>
        <v/>
      </c>
      <c r="AG375" s="21" t="n"/>
      <c r="AH375" s="28" t="n"/>
    </row>
    <row r="376">
      <c r="A376" s="19" t="n">
        <v>372</v>
      </c>
      <c r="B376" s="20" t="inlineStr">
        <is>
          <t>최지희</t>
        </is>
      </c>
      <c r="C376" s="20" t="inlineStr">
        <is>
          <t>강지은</t>
        </is>
      </c>
      <c r="D376" s="20" t="inlineStr">
        <is>
          <t>QELAX27501</t>
        </is>
      </c>
      <c r="E376" s="20" t="inlineStr">
        <is>
          <t>남녀공용 바이오맥스 니삭스</t>
        </is>
      </c>
      <c r="F376" s="20" t="inlineStr">
        <is>
          <t>BLK(BLACK), OWH</t>
        </is>
      </c>
      <c r="G376" s="19">
        <f>IF($D376="","",IF(MID($D376,5,1)="S","S(봄)",IF(MID($D376,5,1)="M","M(여름)",IF(MID($D376,5,1)="X","X(사계절)",MID($D376,5,1)))))</f>
        <v/>
      </c>
      <c r="H376" s="20" t="inlineStr">
        <is>
          <t>완사입</t>
        </is>
      </c>
      <c r="I376" s="19" t="inlineStr"/>
      <c r="J376" s="21" t="inlineStr">
        <is>
          <t>1월3주</t>
        </is>
      </c>
      <c r="K376" s="22">
        <f>IF($J376="","",IFERROR(DATE(IF(VALUE(LEFT($J376,FIND("월",$J376)-1))&gt;=9,기준정보!$C$7-1,기준정보!$C$7),VALUE(LEFT($J376,FIND("월",$J376)-1)),1+7*(VALUE(SUBSTITUTE(MID($J376,FIND("월",$J376)+1,5),"주",""))-1)),""))</f>
        <v/>
      </c>
      <c r="L376" s="22">
        <f>IF($K376="","",IF(AND($K376-기준정보!$C$5&gt;=기준정보!$C$10,$K376-기준정보!$C$5&lt;=기준정보!$C$11),기준정보!$C$10-1,$K376-기준정보!$C$5))</f>
        <v/>
      </c>
      <c r="M376" s="23">
        <f>IF($L376="","",IF(OR(ISNUMBER(SEARCH("중국",$W376)),ISNUMBER(SEARCH("베트남",$W376))),MAX(0,MIN($L376,기준정보!$C$9)-MAX($L376-기준정보!$C$6,기준정보!$C$8)+1),IF(ISNUMBER(SEARCH("한국",$W376)),MAX(0,MIN($L376,기준정보!$C$11)-MAX($L376-기준정보!$C$6,기준정보!$C$10)+1),0)))</f>
        <v/>
      </c>
      <c r="N376" s="22">
        <f>IF($L376="","",$L376-기준정보!$C$6-$M376)</f>
        <v/>
      </c>
      <c r="O376" s="24">
        <f>IF($N376="","",$N376-기준정보!$C$4)</f>
        <v/>
      </c>
      <c r="P376" s="21" t="n"/>
      <c r="Q376" s="21" t="inlineStr">
        <is>
          <t>X</t>
        </is>
      </c>
      <c r="R376" s="19">
        <f>IF(COUNTIF(EDW_RAW!$A$2:$A$1500,$D376)=0,"",IF(COUNTIFS(EDW_RAW!$A$2:$A$1500,$D376,EDW_RAW!$U$2:$U$1500,"&lt;&gt;~",EDW_RAW!$U$2:$U$1500,"&lt;&gt;")=COUNTIF(EDW_RAW!$A$2:$A$1500,$D376),"O",IF(COUNTIFS(EDW_RAW!$A$2:$A$1500,$D376,EDW_RAW!$U$2:$U$1500,"&lt;&gt;~",EDW_RAW!$U$2:$U$1500,"&lt;&gt;")&gt;0,"부분","X")))</f>
        <v/>
      </c>
      <c r="S376" s="25" t="n"/>
      <c r="T376" s="20">
        <f>IF($H376="","",IF(AND(ISNUMBER(SEARCH("CMT",$H376)),OR(ISNUMBER(SEARCH("완사입",$H376)),ISNUMBER(SEARCH("ODM",$H376)))),"본사/생산처 혼재",IF(ISNUMBER(SEARCH("CMT",$H376)),"본사(소재팀)","생산처")))</f>
        <v/>
      </c>
      <c r="U376" s="20" t="inlineStr">
        <is>
          <t>건우</t>
        </is>
      </c>
      <c r="V376" s="20">
        <f>IFERROR(TEXTJOIN(" / ",TRUE,UNIQUE(FILTER(소재DB_RAW!$K$3:$K$2000,(소재DB_RAW!$G$3:$G$2000=$D376)*ISERROR(SEARCH("drop",소재DB_RAW!$C$3:$C$2000))))),"")</f>
        <v/>
      </c>
      <c r="W376" s="20" t="inlineStr">
        <is>
          <t>국내</t>
        </is>
      </c>
      <c r="X376" s="20">
        <f>IFERROR(TEXTJOIN(" / ",TRUE,UNIQUE(FILTER(소재DB_RAW!$N$3:$N$2000,(소재DB_RAW!$G$3:$G$2000=$D376)*ISERROR(SEARCH("drop",소재DB_RAW!$C$3:$C$2000))))),"")</f>
        <v/>
      </c>
      <c r="Y376" s="26">
        <f>IFERROR(TEXTJOIN(CHAR(10),TRUE,UNIQUE(FILTER(소재DB_RAW!$N$3:$N$2000&amp;") "&amp;소재DB_RAW!$O$3:$O$2000,(소재DB_RAW!$G$3:$G$2000=$D376)*ISNUMBER(SEARCH("겉감",소재DB_RAW!$M$3:$M$2000))*ISERROR(SEARCH("drop",소재DB_RAW!$C$3:$C$2000))))),"")</f>
        <v/>
      </c>
      <c r="Z376" s="26">
        <f>IFERROR(TEXTJOIN(CHAR(10),TRUE,UNIQUE(FILTER(소재DB_RAW!$N$3:$N$2000&amp;") "&amp;소재DB_RAW!$O$3:$O$2000,(소재DB_RAW!$G$3:$G$2000=$D376)*ISNUMBER(SEARCH("안감",소재DB_RAW!$M$3:$M$2000))*ISERROR(SEARCH("drop",소재DB_RAW!$C$3:$C$2000))))),"")</f>
        <v/>
      </c>
      <c r="AA376" s="27" t="n">
        <v>2000</v>
      </c>
      <c r="AB376" s="27" t="n">
        <v>7714000</v>
      </c>
      <c r="AC376" s="27" t="n">
        <v>50000000</v>
      </c>
      <c r="AD376" s="20" t="n"/>
      <c r="AE376" s="20">
        <f>IF($K376="","출고일 미정",IF($Q376="X","작지 미발행",IF($Q376="부분","작지 일부 미발행",IF(AND($S376&lt;&gt;"",$S376&gt;$N376),"소재입고 마감("&amp;TEXT($N376,"MM/DD")&amp;") 초과",IF($Q376="","발행여부 확인 필요",IF($S376="","소재 입고일정 확인 필요","정상"))))))</f>
        <v/>
      </c>
      <c r="AF376" s="19">
        <f>IF($K376="","",IF(OR(LEFT($AE376,2)="작지",LEFT($AE376,4)="소재입고"),IF(LEFT($G376,1)="S","★ 납기위험(S코드)","◆ 지연주의"),IF($AE376="정상","✓ 정상","? 확인필요")))</f>
        <v/>
      </c>
      <c r="AG376" s="21" t="n"/>
      <c r="AH376" s="28" t="n"/>
    </row>
    <row r="377">
      <c r="A377" s="19" t="n">
        <v>373</v>
      </c>
      <c r="B377" s="20" t="inlineStr">
        <is>
          <t>최지희</t>
        </is>
      </c>
      <c r="C377" s="20" t="inlineStr">
        <is>
          <t>강지은</t>
        </is>
      </c>
      <c r="D377" s="20" t="inlineStr">
        <is>
          <t>QEREX27101</t>
        </is>
      </c>
      <c r="E377" s="20" t="inlineStr">
        <is>
          <t>남녀공용 고어텍스 3L 볼캡</t>
        </is>
      </c>
      <c r="F377" s="20" t="inlineStr">
        <is>
          <t>BLK(BLACK), GBU-1</t>
        </is>
      </c>
      <c r="G377" s="19">
        <f>IF($D377="","",IF(MID($D377,5,1)="S","S(봄)",IF(MID($D377,5,1)="M","M(여름)",IF(MID($D377,5,1)="X","X(사계절)",MID($D377,5,1)))))</f>
        <v/>
      </c>
      <c r="H377" s="20" t="inlineStr">
        <is>
          <t>CMT</t>
        </is>
      </c>
      <c r="I377" s="19" t="inlineStr">
        <is>
          <t>SP1</t>
        </is>
      </c>
      <c r="J377" s="21" t="inlineStr">
        <is>
          <t>1월3주</t>
        </is>
      </c>
      <c r="K377" s="22">
        <f>IF($J377="","",IFERROR(DATE(IF(VALUE(LEFT($J377,FIND("월",$J377)-1))&gt;=9,기준정보!$C$7-1,기준정보!$C$7),VALUE(LEFT($J377,FIND("월",$J377)-1)),1+7*(VALUE(SUBSTITUTE(MID($J377,FIND("월",$J377)+1,5),"주",""))-1)),""))</f>
        <v/>
      </c>
      <c r="L377" s="22">
        <f>IF($K377="","",IF(AND($K377-기준정보!$C$5&gt;=기준정보!$C$10,$K377-기준정보!$C$5&lt;=기준정보!$C$11),기준정보!$C$10-1,$K377-기준정보!$C$5))</f>
        <v/>
      </c>
      <c r="M377" s="23">
        <f>IF($L377="","",IF(OR(ISNUMBER(SEARCH("중국",$W377)),ISNUMBER(SEARCH("베트남",$W377))),MAX(0,MIN($L377,기준정보!$C$9)-MAX($L377-기준정보!$C$6,기준정보!$C$8)+1),IF(ISNUMBER(SEARCH("한국",$W377)),MAX(0,MIN($L377,기준정보!$C$11)-MAX($L377-기준정보!$C$6,기준정보!$C$10)+1),0)))</f>
        <v/>
      </c>
      <c r="N377" s="22">
        <f>IF($L377="","",$L377-기준정보!$C$6-$M377)</f>
        <v/>
      </c>
      <c r="O377" s="24">
        <f>IF($N377="","",$N377-기준정보!$C$4)</f>
        <v/>
      </c>
      <c r="P377" s="21" t="n"/>
      <c r="Q377" s="21" t="inlineStr">
        <is>
          <t>X</t>
        </is>
      </c>
      <c r="R377" s="19">
        <f>IF(COUNTIF(EDW_RAW!$A$2:$A$1500,$D377)=0,"",IF(COUNTIFS(EDW_RAW!$A$2:$A$1500,$D377,EDW_RAW!$U$2:$U$1500,"&lt;&gt;~",EDW_RAW!$U$2:$U$1500,"&lt;&gt;")=COUNTIF(EDW_RAW!$A$2:$A$1500,$D377),"O",IF(COUNTIFS(EDW_RAW!$A$2:$A$1500,$D377,EDW_RAW!$U$2:$U$1500,"&lt;&gt;~",EDW_RAW!$U$2:$U$1500,"&lt;&gt;")&gt;0,"부분","X")))</f>
        <v/>
      </c>
      <c r="S377" s="25" t="n"/>
      <c r="T377" s="20">
        <f>IF($H377="","",IF(AND(ISNUMBER(SEARCH("CMT",$H377)),OR(ISNUMBER(SEARCH("완사입",$H377)),ISNUMBER(SEARCH("ODM",$H377)))),"본사/생산처 혼재",IF(ISNUMBER(SEARCH("CMT",$H377)),"본사(소재팀)","생산처")))</f>
        <v/>
      </c>
      <c r="U377" s="20" t="inlineStr">
        <is>
          <t>캐비야</t>
        </is>
      </c>
      <c r="V377" s="20">
        <f>IFERROR(TEXTJOIN(" / ",TRUE,UNIQUE(FILTER(소재DB_RAW!$K$3:$K$2000,(소재DB_RAW!$G$3:$G$2000=$D377)*ISERROR(SEARCH("drop",소재DB_RAW!$C$3:$C$2000))))),"")</f>
        <v/>
      </c>
      <c r="W377" s="20" t="inlineStr">
        <is>
          <t>국내</t>
        </is>
      </c>
      <c r="X377" s="20">
        <f>IFERROR(TEXTJOIN(" / ",TRUE,UNIQUE(FILTER(소재DB_RAW!$N$3:$N$2000,(소재DB_RAW!$G$3:$G$2000=$D377)*ISERROR(SEARCH("drop",소재DB_RAW!$C$3:$C$2000))))),"")</f>
        <v/>
      </c>
      <c r="Y377" s="26">
        <f>IFERROR(TEXTJOIN(CHAR(10),TRUE,UNIQUE(FILTER(소재DB_RAW!$N$3:$N$2000&amp;") "&amp;소재DB_RAW!$O$3:$O$2000,(소재DB_RAW!$G$3:$G$2000=$D377)*ISNUMBER(SEARCH("겉감",소재DB_RAW!$M$3:$M$2000))*ISERROR(SEARCH("drop",소재DB_RAW!$C$3:$C$2000))))),"")</f>
        <v/>
      </c>
      <c r="Z377" s="26">
        <f>IFERROR(TEXTJOIN(CHAR(10),TRUE,UNIQUE(FILTER(소재DB_RAW!$N$3:$N$2000&amp;") "&amp;소재DB_RAW!$O$3:$O$2000,(소재DB_RAW!$G$3:$G$2000=$D377)*ISNUMBER(SEARCH("안감",소재DB_RAW!$M$3:$M$2000))*ISERROR(SEARCH("drop",소재DB_RAW!$C$3:$C$2000))))),"")</f>
        <v/>
      </c>
      <c r="AA377" s="27" t="n">
        <v>7000</v>
      </c>
      <c r="AB377" s="27" t="n">
        <v>96761000</v>
      </c>
      <c r="AC377" s="27" t="n">
        <v>616000000</v>
      </c>
      <c r="AD377" s="20" t="n"/>
      <c r="AE377" s="20">
        <f>IF($K377="","출고일 미정",IF($Q377="X","작지 미발행",IF($Q377="부분","작지 일부 미발행",IF(AND($S377&lt;&gt;"",$S377&gt;$N377),"소재입고 마감("&amp;TEXT($N377,"MM/DD")&amp;") 초과",IF($Q377="","발행여부 확인 필요",IF($S377="","소재 입고일정 확인 필요","정상"))))))</f>
        <v/>
      </c>
      <c r="AF377" s="19">
        <f>IF($K377="","",IF(OR(LEFT($AE377,2)="작지",LEFT($AE377,4)="소재입고"),IF(LEFT($G377,1)="S","★ 납기위험(S코드)","◆ 지연주의"),IF($AE377="정상","✓ 정상","? 확인필요")))</f>
        <v/>
      </c>
      <c r="AG377" s="21" t="n"/>
      <c r="AH377" s="28" t="n"/>
    </row>
    <row r="378">
      <c r="A378" s="19" t="n">
        <v>374</v>
      </c>
      <c r="B378" s="20" t="inlineStr">
        <is>
          <t>최지희</t>
        </is>
      </c>
      <c r="C378" s="20" t="inlineStr">
        <is>
          <t>강지은</t>
        </is>
      </c>
      <c r="D378" s="20" t="inlineStr">
        <is>
          <t>QEREX27111</t>
        </is>
      </c>
      <c r="E378" s="20" t="inlineStr">
        <is>
          <t>남녀공용 고어텍스 2L 캠프캡</t>
        </is>
      </c>
      <c r="F378" s="20" t="inlineStr">
        <is>
          <t>CRE-1, DGR(D/GREEN), DGY-1</t>
        </is>
      </c>
      <c r="G378" s="19">
        <f>IF($D378="","",IF(MID($D378,5,1)="S","S(봄)",IF(MID($D378,5,1)="M","M(여름)",IF(MID($D378,5,1)="X","X(사계절)",MID($D378,5,1)))))</f>
        <v/>
      </c>
      <c r="H378" s="20" t="inlineStr">
        <is>
          <t>CMT</t>
        </is>
      </c>
      <c r="I378" s="19" t="inlineStr">
        <is>
          <t>SP1</t>
        </is>
      </c>
      <c r="J378" s="21" t="inlineStr">
        <is>
          <t>1월3주</t>
        </is>
      </c>
      <c r="K378" s="22">
        <f>IF($J378="","",IFERROR(DATE(IF(VALUE(LEFT($J378,FIND("월",$J378)-1))&gt;=9,기준정보!$C$7-1,기준정보!$C$7),VALUE(LEFT($J378,FIND("월",$J378)-1)),1+7*(VALUE(SUBSTITUTE(MID($J378,FIND("월",$J378)+1,5),"주",""))-1)),""))</f>
        <v/>
      </c>
      <c r="L378" s="22">
        <f>IF($K378="","",IF(AND($K378-기준정보!$C$5&gt;=기준정보!$C$10,$K378-기준정보!$C$5&lt;=기준정보!$C$11),기준정보!$C$10-1,$K378-기준정보!$C$5))</f>
        <v/>
      </c>
      <c r="M378" s="23">
        <f>IF($L378="","",IF(OR(ISNUMBER(SEARCH("중국",$W378)),ISNUMBER(SEARCH("베트남",$W378))),MAX(0,MIN($L378,기준정보!$C$9)-MAX($L378-기준정보!$C$6,기준정보!$C$8)+1),IF(ISNUMBER(SEARCH("한국",$W378)),MAX(0,MIN($L378,기준정보!$C$11)-MAX($L378-기준정보!$C$6,기준정보!$C$10)+1),0)))</f>
        <v/>
      </c>
      <c r="N378" s="22">
        <f>IF($L378="","",$L378-기준정보!$C$6-$M378)</f>
        <v/>
      </c>
      <c r="O378" s="24">
        <f>IF($N378="","",$N378-기준정보!$C$4)</f>
        <v/>
      </c>
      <c r="P378" s="21" t="n"/>
      <c r="Q378" s="21" t="inlineStr">
        <is>
          <t>X</t>
        </is>
      </c>
      <c r="R378" s="19">
        <f>IF(COUNTIF(EDW_RAW!$A$2:$A$1500,$D378)=0,"",IF(COUNTIFS(EDW_RAW!$A$2:$A$1500,$D378,EDW_RAW!$U$2:$U$1500,"&lt;&gt;~",EDW_RAW!$U$2:$U$1500,"&lt;&gt;")=COUNTIF(EDW_RAW!$A$2:$A$1500,$D378),"O",IF(COUNTIFS(EDW_RAW!$A$2:$A$1500,$D378,EDW_RAW!$U$2:$U$1500,"&lt;&gt;~",EDW_RAW!$U$2:$U$1500,"&lt;&gt;")&gt;0,"부분","X")))</f>
        <v/>
      </c>
      <c r="S378" s="25" t="n"/>
      <c r="T378" s="20">
        <f>IF($H378="","",IF(AND(ISNUMBER(SEARCH("CMT",$H378)),OR(ISNUMBER(SEARCH("완사입",$H378)),ISNUMBER(SEARCH("ODM",$H378)))),"본사/생산처 혼재",IF(ISNUMBER(SEARCH("CMT",$H378)),"본사(소재팀)","생산처")))</f>
        <v/>
      </c>
      <c r="U378" s="20" t="inlineStr">
        <is>
          <t>캐비야</t>
        </is>
      </c>
      <c r="V378" s="20">
        <f>IFERROR(TEXTJOIN(" / ",TRUE,UNIQUE(FILTER(소재DB_RAW!$K$3:$K$2000,(소재DB_RAW!$G$3:$G$2000=$D378)*ISERROR(SEARCH("drop",소재DB_RAW!$C$3:$C$2000))))),"")</f>
        <v/>
      </c>
      <c r="W378" s="20" t="inlineStr">
        <is>
          <t>국내</t>
        </is>
      </c>
      <c r="X378" s="20">
        <f>IFERROR(TEXTJOIN(" / ",TRUE,UNIQUE(FILTER(소재DB_RAW!$N$3:$N$2000,(소재DB_RAW!$G$3:$G$2000=$D378)*ISERROR(SEARCH("drop",소재DB_RAW!$C$3:$C$2000))))),"")</f>
        <v/>
      </c>
      <c r="Y378" s="26">
        <f>IFERROR(TEXTJOIN(CHAR(10),TRUE,UNIQUE(FILTER(소재DB_RAW!$N$3:$N$2000&amp;") "&amp;소재DB_RAW!$O$3:$O$2000,(소재DB_RAW!$G$3:$G$2000=$D378)*ISNUMBER(SEARCH("겉감",소재DB_RAW!$M$3:$M$2000))*ISERROR(SEARCH("drop",소재DB_RAW!$C$3:$C$2000))))),"")</f>
        <v/>
      </c>
      <c r="Z378" s="26">
        <f>IFERROR(TEXTJOIN(CHAR(10),TRUE,UNIQUE(FILTER(소재DB_RAW!$N$3:$N$2000&amp;") "&amp;소재DB_RAW!$O$3:$O$2000,(소재DB_RAW!$G$3:$G$2000=$D378)*ISNUMBER(SEARCH("안감",소재DB_RAW!$M$3:$M$2000))*ISERROR(SEARCH("drop",소재DB_RAW!$C$3:$C$2000))))),"")</f>
        <v/>
      </c>
      <c r="AA378" s="27" t="n">
        <v>6000</v>
      </c>
      <c r="AB378" s="27" t="n">
        <v>73590000</v>
      </c>
      <c r="AC378" s="27" t="n">
        <v>420000000</v>
      </c>
      <c r="AD378" s="20" t="n"/>
      <c r="AE378" s="20">
        <f>IF($K378="","출고일 미정",IF($Q378="X","작지 미발행",IF($Q378="부분","작지 일부 미발행",IF(AND($S378&lt;&gt;"",$S378&gt;$N378),"소재입고 마감("&amp;TEXT($N378,"MM/DD")&amp;") 초과",IF($Q378="","발행여부 확인 필요",IF($S378="","소재 입고일정 확인 필요","정상"))))))</f>
        <v/>
      </c>
      <c r="AF378" s="19">
        <f>IF($K378="","",IF(OR(LEFT($AE378,2)="작지",LEFT($AE378,4)="소재입고"),IF(LEFT($G378,1)="S","★ 납기위험(S코드)","◆ 지연주의"),IF($AE378="정상","✓ 정상","? 확인필요")))</f>
        <v/>
      </c>
      <c r="AG378" s="21" t="n"/>
      <c r="AH378" s="28" t="n"/>
    </row>
    <row r="379">
      <c r="A379" s="19" t="n">
        <v>375</v>
      </c>
      <c r="B379" s="20" t="inlineStr">
        <is>
          <t>최지희</t>
        </is>
      </c>
      <c r="C379" s="20" t="inlineStr">
        <is>
          <t>강지은</t>
        </is>
      </c>
      <c r="D379" s="20" t="inlineStr">
        <is>
          <t>QERFX27101</t>
        </is>
      </c>
      <c r="E379" s="20" t="inlineStr">
        <is>
          <t>남녀공용 고어텍스 버킷햇</t>
        </is>
      </c>
      <c r="F379" s="20" t="inlineStr">
        <is>
          <t>CRE-1, LSL-1, BLK(BLACK)</t>
        </is>
      </c>
      <c r="G379" s="19">
        <f>IF($D379="","",IF(MID($D379,5,1)="S","S(봄)",IF(MID($D379,5,1)="M","M(여름)",IF(MID($D379,5,1)="X","X(사계절)",MID($D379,5,1)))))</f>
        <v/>
      </c>
      <c r="H379" s="20" t="inlineStr">
        <is>
          <t>CMT</t>
        </is>
      </c>
      <c r="I379" s="19" t="inlineStr">
        <is>
          <t>SP1</t>
        </is>
      </c>
      <c r="J379" s="21" t="inlineStr">
        <is>
          <t>1월3주</t>
        </is>
      </c>
      <c r="K379" s="22">
        <f>IF($J379="","",IFERROR(DATE(IF(VALUE(LEFT($J379,FIND("월",$J379)-1))&gt;=9,기준정보!$C$7-1,기준정보!$C$7),VALUE(LEFT($J379,FIND("월",$J379)-1)),1+7*(VALUE(SUBSTITUTE(MID($J379,FIND("월",$J379)+1,5),"주",""))-1)),""))</f>
        <v/>
      </c>
      <c r="L379" s="22">
        <f>IF($K379="","",IF(AND($K379-기준정보!$C$5&gt;=기준정보!$C$10,$K379-기준정보!$C$5&lt;=기준정보!$C$11),기준정보!$C$10-1,$K379-기준정보!$C$5))</f>
        <v/>
      </c>
      <c r="M379" s="23">
        <f>IF($L379="","",IF(OR(ISNUMBER(SEARCH("중국",$W379)),ISNUMBER(SEARCH("베트남",$W379))),MAX(0,MIN($L379,기준정보!$C$9)-MAX($L379-기준정보!$C$6,기준정보!$C$8)+1),IF(ISNUMBER(SEARCH("한국",$W379)),MAX(0,MIN($L379,기준정보!$C$11)-MAX($L379-기준정보!$C$6,기준정보!$C$10)+1),0)))</f>
        <v/>
      </c>
      <c r="N379" s="22">
        <f>IF($L379="","",$L379-기준정보!$C$6-$M379)</f>
        <v/>
      </c>
      <c r="O379" s="24">
        <f>IF($N379="","",$N379-기준정보!$C$4)</f>
        <v/>
      </c>
      <c r="P379" s="21" t="n"/>
      <c r="Q379" s="21" t="inlineStr">
        <is>
          <t>X</t>
        </is>
      </c>
      <c r="R379" s="19">
        <f>IF(COUNTIF(EDW_RAW!$A$2:$A$1500,$D379)=0,"",IF(COUNTIFS(EDW_RAW!$A$2:$A$1500,$D379,EDW_RAW!$U$2:$U$1500,"&lt;&gt;~",EDW_RAW!$U$2:$U$1500,"&lt;&gt;")=COUNTIF(EDW_RAW!$A$2:$A$1500,$D379),"O",IF(COUNTIFS(EDW_RAW!$A$2:$A$1500,$D379,EDW_RAW!$U$2:$U$1500,"&lt;&gt;~",EDW_RAW!$U$2:$U$1500,"&lt;&gt;")&gt;0,"부분","X")))</f>
        <v/>
      </c>
      <c r="S379" s="25" t="n"/>
      <c r="T379" s="20">
        <f>IF($H379="","",IF(AND(ISNUMBER(SEARCH("CMT",$H379)),OR(ISNUMBER(SEARCH("완사입",$H379)),ISNUMBER(SEARCH("ODM",$H379)))),"본사/생산처 혼재",IF(ISNUMBER(SEARCH("CMT",$H379)),"본사(소재팀)","생산처")))</f>
        <v/>
      </c>
      <c r="U379" s="20" t="inlineStr">
        <is>
          <t>캐비야</t>
        </is>
      </c>
      <c r="V379" s="20">
        <f>IFERROR(TEXTJOIN(" / ",TRUE,UNIQUE(FILTER(소재DB_RAW!$K$3:$K$2000,(소재DB_RAW!$G$3:$G$2000=$D379)*ISERROR(SEARCH("drop",소재DB_RAW!$C$3:$C$2000))))),"")</f>
        <v/>
      </c>
      <c r="W379" s="20" t="inlineStr">
        <is>
          <t>국내</t>
        </is>
      </c>
      <c r="X379" s="20">
        <f>IFERROR(TEXTJOIN(" / ",TRUE,UNIQUE(FILTER(소재DB_RAW!$N$3:$N$2000,(소재DB_RAW!$G$3:$G$2000=$D379)*ISERROR(SEARCH("drop",소재DB_RAW!$C$3:$C$2000))))),"")</f>
        <v/>
      </c>
      <c r="Y379" s="26">
        <f>IFERROR(TEXTJOIN(CHAR(10),TRUE,UNIQUE(FILTER(소재DB_RAW!$N$3:$N$2000&amp;") "&amp;소재DB_RAW!$O$3:$O$2000,(소재DB_RAW!$G$3:$G$2000=$D379)*ISNUMBER(SEARCH("겉감",소재DB_RAW!$M$3:$M$2000))*ISERROR(SEARCH("drop",소재DB_RAW!$C$3:$C$2000))))),"")</f>
        <v/>
      </c>
      <c r="Z379" s="26">
        <f>IFERROR(TEXTJOIN(CHAR(10),TRUE,UNIQUE(FILTER(소재DB_RAW!$N$3:$N$2000&amp;") "&amp;소재DB_RAW!$O$3:$O$2000,(소재DB_RAW!$G$3:$G$2000=$D379)*ISNUMBER(SEARCH("안감",소재DB_RAW!$M$3:$M$2000))*ISERROR(SEARCH("drop",소재DB_RAW!$C$3:$C$2000))))),"")</f>
        <v/>
      </c>
      <c r="AA379" s="27" t="n">
        <v>10000</v>
      </c>
      <c r="AB379" s="27" t="n">
        <v>149010000</v>
      </c>
      <c r="AC379" s="27" t="n">
        <v>880000000</v>
      </c>
      <c r="AD379" s="20" t="n"/>
      <c r="AE379" s="20">
        <f>IF($K379="","출고일 미정",IF($Q379="X","작지 미발행",IF($Q379="부분","작지 일부 미발행",IF(AND($S379&lt;&gt;"",$S379&gt;$N379),"소재입고 마감("&amp;TEXT($N379,"MM/DD")&amp;") 초과",IF($Q379="","발행여부 확인 필요",IF($S379="","소재 입고일정 확인 필요","정상"))))))</f>
        <v/>
      </c>
      <c r="AF379" s="19">
        <f>IF($K379="","",IF(OR(LEFT($AE379,2)="작지",LEFT($AE379,4)="소재입고"),IF(LEFT($G379,1)="S","★ 납기위험(S코드)","◆ 지연주의"),IF($AE379="정상","✓ 정상","? 확인필요")))</f>
        <v/>
      </c>
      <c r="AG379" s="21" t="n"/>
      <c r="AH379" s="28" t="n"/>
    </row>
    <row r="380">
      <c r="A380" s="19" t="n">
        <v>376</v>
      </c>
      <c r="B380" s="20" t="inlineStr">
        <is>
          <t>최지희</t>
        </is>
      </c>
      <c r="C380" s="20" t="inlineStr">
        <is>
          <t>강지은</t>
        </is>
      </c>
      <c r="D380" s="20" t="inlineStr">
        <is>
          <t>QERFX27111</t>
        </is>
      </c>
      <c r="E380" s="20" t="inlineStr">
        <is>
          <t>남녀공용 고어텍스 브림햇</t>
        </is>
      </c>
      <c r="F380" s="20" t="inlineStr">
        <is>
          <t>WGY, DGY-1</t>
        </is>
      </c>
      <c r="G380" s="19">
        <f>IF($D380="","",IF(MID($D380,5,1)="S","S(봄)",IF(MID($D380,5,1)="M","M(여름)",IF(MID($D380,5,1)="X","X(사계절)",MID($D380,5,1)))))</f>
        <v/>
      </c>
      <c r="H380" s="20" t="inlineStr">
        <is>
          <t>CMT</t>
        </is>
      </c>
      <c r="I380" s="19" t="inlineStr">
        <is>
          <t>SP1</t>
        </is>
      </c>
      <c r="J380" s="21" t="inlineStr">
        <is>
          <t>1월3주</t>
        </is>
      </c>
      <c r="K380" s="22">
        <f>IF($J380="","",IFERROR(DATE(IF(VALUE(LEFT($J380,FIND("월",$J380)-1))&gt;=9,기준정보!$C$7-1,기준정보!$C$7),VALUE(LEFT($J380,FIND("월",$J380)-1)),1+7*(VALUE(SUBSTITUTE(MID($J380,FIND("월",$J380)+1,5),"주",""))-1)),""))</f>
        <v/>
      </c>
      <c r="L380" s="22">
        <f>IF($K380="","",IF(AND($K380-기준정보!$C$5&gt;=기준정보!$C$10,$K380-기준정보!$C$5&lt;=기준정보!$C$11),기준정보!$C$10-1,$K380-기준정보!$C$5))</f>
        <v/>
      </c>
      <c r="M380" s="23">
        <f>IF($L380="","",IF(OR(ISNUMBER(SEARCH("중국",$W380)),ISNUMBER(SEARCH("베트남",$W380))),MAX(0,MIN($L380,기준정보!$C$9)-MAX($L380-기준정보!$C$6,기준정보!$C$8)+1),IF(ISNUMBER(SEARCH("한국",$W380)),MAX(0,MIN($L380,기준정보!$C$11)-MAX($L380-기준정보!$C$6,기준정보!$C$10)+1),0)))</f>
        <v/>
      </c>
      <c r="N380" s="22">
        <f>IF($L380="","",$L380-기준정보!$C$6-$M380)</f>
        <v/>
      </c>
      <c r="O380" s="24">
        <f>IF($N380="","",$N380-기준정보!$C$4)</f>
        <v/>
      </c>
      <c r="P380" s="21" t="n"/>
      <c r="Q380" s="21" t="inlineStr">
        <is>
          <t>X</t>
        </is>
      </c>
      <c r="R380" s="19">
        <f>IF(COUNTIF(EDW_RAW!$A$2:$A$1500,$D380)=0,"",IF(COUNTIFS(EDW_RAW!$A$2:$A$1500,$D380,EDW_RAW!$U$2:$U$1500,"&lt;&gt;~",EDW_RAW!$U$2:$U$1500,"&lt;&gt;")=COUNTIF(EDW_RAW!$A$2:$A$1500,$D380),"O",IF(COUNTIFS(EDW_RAW!$A$2:$A$1500,$D380,EDW_RAW!$U$2:$U$1500,"&lt;&gt;~",EDW_RAW!$U$2:$U$1500,"&lt;&gt;")&gt;0,"부분","X")))</f>
        <v/>
      </c>
      <c r="S380" s="25" t="n"/>
      <c r="T380" s="20">
        <f>IF($H380="","",IF(AND(ISNUMBER(SEARCH("CMT",$H380)),OR(ISNUMBER(SEARCH("완사입",$H380)),ISNUMBER(SEARCH("ODM",$H380)))),"본사/생산처 혼재",IF(ISNUMBER(SEARCH("CMT",$H380)),"본사(소재팀)","생산처")))</f>
        <v/>
      </c>
      <c r="U380" s="20" t="inlineStr">
        <is>
          <t>캐비야</t>
        </is>
      </c>
      <c r="V380" s="20">
        <f>IFERROR(TEXTJOIN(" / ",TRUE,UNIQUE(FILTER(소재DB_RAW!$K$3:$K$2000,(소재DB_RAW!$G$3:$G$2000=$D380)*ISERROR(SEARCH("drop",소재DB_RAW!$C$3:$C$2000))))),"")</f>
        <v/>
      </c>
      <c r="W380" s="20" t="inlineStr">
        <is>
          <t>국내</t>
        </is>
      </c>
      <c r="X380" s="20">
        <f>IFERROR(TEXTJOIN(" / ",TRUE,UNIQUE(FILTER(소재DB_RAW!$N$3:$N$2000,(소재DB_RAW!$G$3:$G$2000=$D380)*ISERROR(SEARCH("drop",소재DB_RAW!$C$3:$C$2000))))),"")</f>
        <v/>
      </c>
      <c r="Y380" s="26">
        <f>IFERROR(TEXTJOIN(CHAR(10),TRUE,UNIQUE(FILTER(소재DB_RAW!$N$3:$N$2000&amp;") "&amp;소재DB_RAW!$O$3:$O$2000,(소재DB_RAW!$G$3:$G$2000=$D380)*ISNUMBER(SEARCH("겉감",소재DB_RAW!$M$3:$M$2000))*ISERROR(SEARCH("drop",소재DB_RAW!$C$3:$C$2000))))),"")</f>
        <v/>
      </c>
      <c r="Z380" s="26">
        <f>IFERROR(TEXTJOIN(CHAR(10),TRUE,UNIQUE(FILTER(소재DB_RAW!$N$3:$N$2000&amp;") "&amp;소재DB_RAW!$O$3:$O$2000,(소재DB_RAW!$G$3:$G$2000=$D380)*ISNUMBER(SEARCH("안감",소재DB_RAW!$M$3:$M$2000))*ISERROR(SEARCH("drop",소재DB_RAW!$C$3:$C$2000))))),"")</f>
        <v/>
      </c>
      <c r="AA380" s="27" t="n">
        <v>5500</v>
      </c>
      <c r="AB380" s="27" t="n">
        <v>102118500</v>
      </c>
      <c r="AC380" s="27" t="n">
        <v>484000000</v>
      </c>
      <c r="AD380" s="20" t="n"/>
      <c r="AE380" s="20">
        <f>IF($K380="","출고일 미정",IF($Q380="X","작지 미발행",IF($Q380="부분","작지 일부 미발행",IF(AND($S380&lt;&gt;"",$S380&gt;$N380),"소재입고 마감("&amp;TEXT($N380,"MM/DD")&amp;") 초과",IF($Q380="","발행여부 확인 필요",IF($S380="","소재 입고일정 확인 필요","정상"))))))</f>
        <v/>
      </c>
      <c r="AF380" s="19">
        <f>IF($K380="","",IF(OR(LEFT($AE380,2)="작지",LEFT($AE380,4)="소재입고"),IF(LEFT($G380,1)="S","★ 납기위험(S코드)","◆ 지연주의"),IF($AE380="정상","✓ 정상","? 확인필요")))</f>
        <v/>
      </c>
      <c r="AG380" s="21" t="n"/>
      <c r="AH380" s="28" t="n"/>
    </row>
    <row r="381">
      <c r="A381" s="19" t="n">
        <v>377</v>
      </c>
      <c r="B381" s="20" t="inlineStr">
        <is>
          <t>박술홍</t>
        </is>
      </c>
      <c r="C381" s="20" t="inlineStr">
        <is>
          <t>조은선</t>
        </is>
      </c>
      <c r="D381" s="20" t="inlineStr">
        <is>
          <t>QEBDX27041</t>
        </is>
      </c>
      <c r="E381" s="20" t="inlineStr">
        <is>
          <t>남녀공용 히어로 더플백 40L</t>
        </is>
      </c>
      <c r="F381" s="20" t="inlineStr">
        <is>
          <t>BLK(BLACK)</t>
        </is>
      </c>
      <c r="G381" s="19">
        <f>IF($D381="","",IF(MID($D381,5,1)="S","S(봄)",IF(MID($D381,5,1)="M","M(여름)",IF(MID($D381,5,1)="X","X(사계절)",MID($D381,5,1)))))</f>
        <v/>
      </c>
      <c r="H381" s="20" t="inlineStr">
        <is>
          <t>완사입</t>
        </is>
      </c>
      <c r="I381" s="19" t="inlineStr"/>
      <c r="J381" s="21" t="inlineStr">
        <is>
          <t>1월4주</t>
        </is>
      </c>
      <c r="K381" s="22">
        <f>IF($J381="","",IFERROR(DATE(IF(VALUE(LEFT($J381,FIND("월",$J381)-1))&gt;=9,기준정보!$C$7-1,기준정보!$C$7),VALUE(LEFT($J381,FIND("월",$J381)-1)),1+7*(VALUE(SUBSTITUTE(MID($J381,FIND("월",$J381)+1,5),"주",""))-1)),""))</f>
        <v/>
      </c>
      <c r="L381" s="22">
        <f>IF($K381="","",IF(AND($K381-기준정보!$C$5&gt;=기준정보!$C$10,$K381-기준정보!$C$5&lt;=기준정보!$C$11),기준정보!$C$10-1,$K381-기준정보!$C$5))</f>
        <v/>
      </c>
      <c r="M381" s="23">
        <f>IF($L381="","",IF(OR(ISNUMBER(SEARCH("중국",$W381)),ISNUMBER(SEARCH("베트남",$W381))),MAX(0,MIN($L381,기준정보!$C$9)-MAX($L381-기준정보!$C$6,기준정보!$C$8)+1),IF(ISNUMBER(SEARCH("한국",$W381)),MAX(0,MIN($L381,기준정보!$C$11)-MAX($L381-기준정보!$C$6,기준정보!$C$10)+1),0)))</f>
        <v/>
      </c>
      <c r="N381" s="22">
        <f>IF($L381="","",$L381-기준정보!$C$6-$M381)</f>
        <v/>
      </c>
      <c r="O381" s="24">
        <f>IF($N381="","",$N381-기준정보!$C$4)</f>
        <v/>
      </c>
      <c r="P381" s="21" t="n"/>
      <c r="Q381" s="21" t="inlineStr">
        <is>
          <t>X</t>
        </is>
      </c>
      <c r="R381" s="19">
        <f>IF(COUNTIF(EDW_RAW!$A$2:$A$1500,$D381)=0,"",IF(COUNTIFS(EDW_RAW!$A$2:$A$1500,$D381,EDW_RAW!$U$2:$U$1500,"&lt;&gt;~",EDW_RAW!$U$2:$U$1500,"&lt;&gt;")=COUNTIF(EDW_RAW!$A$2:$A$1500,$D381),"O",IF(COUNTIFS(EDW_RAW!$A$2:$A$1500,$D381,EDW_RAW!$U$2:$U$1500,"&lt;&gt;~",EDW_RAW!$U$2:$U$1500,"&lt;&gt;")&gt;0,"부분","X")))</f>
        <v/>
      </c>
      <c r="S381" s="25" t="n"/>
      <c r="T381" s="20">
        <f>IF($H381="","",IF(AND(ISNUMBER(SEARCH("CMT",$H381)),OR(ISNUMBER(SEARCH("완사입",$H381)),ISNUMBER(SEARCH("ODM",$H381)))),"본사/생산처 혼재",IF(ISNUMBER(SEARCH("CMT",$H381)),"본사(소재팀)","생산처")))</f>
        <v/>
      </c>
      <c r="U381" s="20" t="inlineStr">
        <is>
          <t>풍국산업</t>
        </is>
      </c>
      <c r="V381" s="20">
        <f>IFERROR(TEXTJOIN(" / ",TRUE,UNIQUE(FILTER(소재DB_RAW!$K$3:$K$2000,(소재DB_RAW!$G$3:$G$2000=$D381)*ISERROR(SEARCH("drop",소재DB_RAW!$C$3:$C$2000))))),"")</f>
        <v/>
      </c>
      <c r="W381" s="20" t="inlineStr">
        <is>
          <t>베트남</t>
        </is>
      </c>
      <c r="X381" s="20">
        <f>IFERROR(TEXTJOIN(" / ",TRUE,UNIQUE(FILTER(소재DB_RAW!$N$3:$N$2000,(소재DB_RAW!$G$3:$G$2000=$D381)*ISERROR(SEARCH("drop",소재DB_RAW!$C$3:$C$2000))))),"")</f>
        <v/>
      </c>
      <c r="Y381" s="26">
        <f>IFERROR(TEXTJOIN(CHAR(10),TRUE,UNIQUE(FILTER(소재DB_RAW!$N$3:$N$2000&amp;") "&amp;소재DB_RAW!$O$3:$O$2000,(소재DB_RAW!$G$3:$G$2000=$D381)*ISNUMBER(SEARCH("겉감",소재DB_RAW!$M$3:$M$2000))*ISERROR(SEARCH("drop",소재DB_RAW!$C$3:$C$2000))))),"")</f>
        <v/>
      </c>
      <c r="Z381" s="26">
        <f>IFERROR(TEXTJOIN(CHAR(10),TRUE,UNIQUE(FILTER(소재DB_RAW!$N$3:$N$2000&amp;") "&amp;소재DB_RAW!$O$3:$O$2000,(소재DB_RAW!$G$3:$G$2000=$D381)*ISNUMBER(SEARCH("안감",소재DB_RAW!$M$3:$M$2000))*ISERROR(SEARCH("drop",소재DB_RAW!$C$3:$C$2000))))),"")</f>
        <v/>
      </c>
      <c r="AA381" s="27" t="n">
        <v>440</v>
      </c>
      <c r="AB381" s="27" t="n">
        <v>22000000</v>
      </c>
      <c r="AC381" s="27" t="n">
        <v>87120000</v>
      </c>
      <c r="AD381" s="20" t="inlineStr">
        <is>
          <t>1월4주</t>
        </is>
      </c>
      <c r="AE381" s="20">
        <f>IF($K381="","출고일 미정",IF($Q381="X","작지 미발행",IF($Q381="부분","작지 일부 미발행",IF(AND($S381&lt;&gt;"",$S381&gt;$N381),"소재입고 마감("&amp;TEXT($N381,"MM/DD")&amp;") 초과",IF($Q381="","발행여부 확인 필요",IF($S381="","소재 입고일정 확인 필요","정상"))))))</f>
        <v/>
      </c>
      <c r="AF381" s="19">
        <f>IF($K381="","",IF(OR(LEFT($AE381,2)="작지",LEFT($AE381,4)="소재입고"),IF(LEFT($G381,1)="S","★ 납기위험(S코드)","◆ 지연주의"),IF($AE381="정상","✓ 정상","? 확인필요")))</f>
        <v/>
      </c>
      <c r="AG381" s="21" t="n"/>
      <c r="AH381" s="28" t="n"/>
    </row>
    <row r="382">
      <c r="A382" s="19" t="n">
        <v>378</v>
      </c>
      <c r="B382" s="20" t="inlineStr">
        <is>
          <t>박술홍</t>
        </is>
      </c>
      <c r="C382" s="20" t="inlineStr">
        <is>
          <t>조은선</t>
        </is>
      </c>
      <c r="D382" s="20" t="inlineStr">
        <is>
          <t>QEBDX27091</t>
        </is>
      </c>
      <c r="E382" s="20" t="inlineStr">
        <is>
          <t>남녀공용 히어로 더플백 120L</t>
        </is>
      </c>
      <c r="F382" s="20" t="inlineStr">
        <is>
          <t>BLK(BLACK)</t>
        </is>
      </c>
      <c r="G382" s="19">
        <f>IF($D382="","",IF(MID($D382,5,1)="S","S(봄)",IF(MID($D382,5,1)="M","M(여름)",IF(MID($D382,5,1)="X","X(사계절)",MID($D382,5,1)))))</f>
        <v/>
      </c>
      <c r="H382" s="20" t="inlineStr">
        <is>
          <t>완사입</t>
        </is>
      </c>
      <c r="I382" s="19" t="inlineStr"/>
      <c r="J382" s="21" t="inlineStr">
        <is>
          <t>1월4주</t>
        </is>
      </c>
      <c r="K382" s="22">
        <f>IF($J382="","",IFERROR(DATE(IF(VALUE(LEFT($J382,FIND("월",$J382)-1))&gt;=9,기준정보!$C$7-1,기준정보!$C$7),VALUE(LEFT($J382,FIND("월",$J382)-1)),1+7*(VALUE(SUBSTITUTE(MID($J382,FIND("월",$J382)+1,5),"주",""))-1)),""))</f>
        <v/>
      </c>
      <c r="L382" s="22">
        <f>IF($K382="","",IF(AND($K382-기준정보!$C$5&gt;=기준정보!$C$10,$K382-기준정보!$C$5&lt;=기준정보!$C$11),기준정보!$C$10-1,$K382-기준정보!$C$5))</f>
        <v/>
      </c>
      <c r="M382" s="23">
        <f>IF($L382="","",IF(OR(ISNUMBER(SEARCH("중국",$W382)),ISNUMBER(SEARCH("베트남",$W382))),MAX(0,MIN($L382,기준정보!$C$9)-MAX($L382-기준정보!$C$6,기준정보!$C$8)+1),IF(ISNUMBER(SEARCH("한국",$W382)),MAX(0,MIN($L382,기준정보!$C$11)-MAX($L382-기준정보!$C$6,기준정보!$C$10)+1),0)))</f>
        <v/>
      </c>
      <c r="N382" s="22">
        <f>IF($L382="","",$L382-기준정보!$C$6-$M382)</f>
        <v/>
      </c>
      <c r="O382" s="24">
        <f>IF($N382="","",$N382-기준정보!$C$4)</f>
        <v/>
      </c>
      <c r="P382" s="21" t="n"/>
      <c r="Q382" s="21" t="inlineStr">
        <is>
          <t>X</t>
        </is>
      </c>
      <c r="R382" s="19">
        <f>IF(COUNTIF(EDW_RAW!$A$2:$A$1500,$D382)=0,"",IF(COUNTIFS(EDW_RAW!$A$2:$A$1500,$D382,EDW_RAW!$U$2:$U$1500,"&lt;&gt;~",EDW_RAW!$U$2:$U$1500,"&lt;&gt;")=COUNTIF(EDW_RAW!$A$2:$A$1500,$D382),"O",IF(COUNTIFS(EDW_RAW!$A$2:$A$1500,$D382,EDW_RAW!$U$2:$U$1500,"&lt;&gt;~",EDW_RAW!$U$2:$U$1500,"&lt;&gt;")&gt;0,"부분","X")))</f>
        <v/>
      </c>
      <c r="S382" s="25" t="n"/>
      <c r="T382" s="20">
        <f>IF($H382="","",IF(AND(ISNUMBER(SEARCH("CMT",$H382)),OR(ISNUMBER(SEARCH("완사입",$H382)),ISNUMBER(SEARCH("ODM",$H382)))),"본사/생산처 혼재",IF(ISNUMBER(SEARCH("CMT",$H382)),"본사(소재팀)","생산처")))</f>
        <v/>
      </c>
      <c r="U382" s="20" t="inlineStr">
        <is>
          <t>풍국산업</t>
        </is>
      </c>
      <c r="V382" s="20">
        <f>IFERROR(TEXTJOIN(" / ",TRUE,UNIQUE(FILTER(소재DB_RAW!$K$3:$K$2000,(소재DB_RAW!$G$3:$G$2000=$D382)*ISERROR(SEARCH("drop",소재DB_RAW!$C$3:$C$2000))))),"")</f>
        <v/>
      </c>
      <c r="W382" s="20" t="inlineStr">
        <is>
          <t>베트남</t>
        </is>
      </c>
      <c r="X382" s="20">
        <f>IFERROR(TEXTJOIN(" / ",TRUE,UNIQUE(FILTER(소재DB_RAW!$N$3:$N$2000,(소재DB_RAW!$G$3:$G$2000=$D382)*ISERROR(SEARCH("drop",소재DB_RAW!$C$3:$C$2000))))),"")</f>
        <v/>
      </c>
      <c r="Y382" s="26">
        <f>IFERROR(TEXTJOIN(CHAR(10),TRUE,UNIQUE(FILTER(소재DB_RAW!$N$3:$N$2000&amp;") "&amp;소재DB_RAW!$O$3:$O$2000,(소재DB_RAW!$G$3:$G$2000=$D382)*ISNUMBER(SEARCH("겉감",소재DB_RAW!$M$3:$M$2000))*ISERROR(SEARCH("drop",소재DB_RAW!$C$3:$C$2000))))),"")</f>
        <v/>
      </c>
      <c r="Z382" s="26">
        <f>IFERROR(TEXTJOIN(CHAR(10),TRUE,UNIQUE(FILTER(소재DB_RAW!$N$3:$N$2000&amp;") "&amp;소재DB_RAW!$O$3:$O$2000,(소재DB_RAW!$G$3:$G$2000=$D382)*ISNUMBER(SEARCH("안감",소재DB_RAW!$M$3:$M$2000))*ISERROR(SEARCH("drop",소재DB_RAW!$C$3:$C$2000))))),"")</f>
        <v/>
      </c>
      <c r="AA382" s="27" t="n">
        <v>300</v>
      </c>
      <c r="AB382" s="27" t="n">
        <v>25500000</v>
      </c>
      <c r="AC382" s="27" t="n">
        <v>87000000</v>
      </c>
      <c r="AD382" s="20" t="inlineStr">
        <is>
          <t>1월4주</t>
        </is>
      </c>
      <c r="AE382" s="20">
        <f>IF($K382="","출고일 미정",IF($Q382="X","작지 미발행",IF($Q382="부분","작지 일부 미발행",IF(AND($S382&lt;&gt;"",$S382&gt;$N382),"소재입고 마감("&amp;TEXT($N382,"MM/DD")&amp;") 초과",IF($Q382="","발행여부 확인 필요",IF($S382="","소재 입고일정 확인 필요","정상"))))))</f>
        <v/>
      </c>
      <c r="AF382" s="19">
        <f>IF($K382="","",IF(OR(LEFT($AE382,2)="작지",LEFT($AE382,4)="소재입고"),IF(LEFT($G382,1)="S","★ 납기위험(S코드)","◆ 지연주의"),IF($AE382="정상","✓ 정상","? 확인필요")))</f>
        <v/>
      </c>
      <c r="AG382" s="21" t="n"/>
      <c r="AH382" s="28" t="n"/>
    </row>
    <row r="383">
      <c r="A383" s="19" t="n">
        <v>379</v>
      </c>
      <c r="B383" s="20" t="inlineStr">
        <is>
          <t>박술홍</t>
        </is>
      </c>
      <c r="C383" s="20" t="inlineStr">
        <is>
          <t>조은선</t>
        </is>
      </c>
      <c r="D383" s="20" t="inlineStr">
        <is>
          <t>QEBDX27111</t>
        </is>
      </c>
      <c r="E383" s="20" t="inlineStr">
        <is>
          <t>남녀공용 하이킹 슬링백</t>
        </is>
      </c>
      <c r="F383" s="20" t="inlineStr">
        <is>
          <t>DGY-1, DGR(D/GREEN)</t>
        </is>
      </c>
      <c r="G383" s="19">
        <f>IF($D383="","",IF(MID($D383,5,1)="S","S(봄)",IF(MID($D383,5,1)="M","M(여름)",IF(MID($D383,5,1)="X","X(사계절)",MID($D383,5,1)))))</f>
        <v/>
      </c>
      <c r="H383" s="20" t="inlineStr">
        <is>
          <t>완사입</t>
        </is>
      </c>
      <c r="I383" s="19" t="inlineStr"/>
      <c r="J383" s="21" t="inlineStr">
        <is>
          <t>1월4주</t>
        </is>
      </c>
      <c r="K383" s="22">
        <f>IF($J383="","",IFERROR(DATE(IF(VALUE(LEFT($J383,FIND("월",$J383)-1))&gt;=9,기준정보!$C$7-1,기준정보!$C$7),VALUE(LEFT($J383,FIND("월",$J383)-1)),1+7*(VALUE(SUBSTITUTE(MID($J383,FIND("월",$J383)+1,5),"주",""))-1)),""))</f>
        <v/>
      </c>
      <c r="L383" s="22">
        <f>IF($K383="","",IF(AND($K383-기준정보!$C$5&gt;=기준정보!$C$10,$K383-기준정보!$C$5&lt;=기준정보!$C$11),기준정보!$C$10-1,$K383-기준정보!$C$5))</f>
        <v/>
      </c>
      <c r="M383" s="23">
        <f>IF($L383="","",IF(OR(ISNUMBER(SEARCH("중국",$W383)),ISNUMBER(SEARCH("베트남",$W383))),MAX(0,MIN($L383,기준정보!$C$9)-MAX($L383-기준정보!$C$6,기준정보!$C$8)+1),IF(ISNUMBER(SEARCH("한국",$W383)),MAX(0,MIN($L383,기준정보!$C$11)-MAX($L383-기준정보!$C$6,기준정보!$C$10)+1),0)))</f>
        <v/>
      </c>
      <c r="N383" s="22">
        <f>IF($L383="","",$L383-기준정보!$C$6-$M383)</f>
        <v/>
      </c>
      <c r="O383" s="24">
        <f>IF($N383="","",$N383-기준정보!$C$4)</f>
        <v/>
      </c>
      <c r="P383" s="21" t="n"/>
      <c r="Q383" s="21" t="inlineStr">
        <is>
          <t>X</t>
        </is>
      </c>
      <c r="R383" s="19">
        <f>IF(COUNTIF(EDW_RAW!$A$2:$A$1500,$D383)=0,"",IF(COUNTIFS(EDW_RAW!$A$2:$A$1500,$D383,EDW_RAW!$U$2:$U$1500,"&lt;&gt;~",EDW_RAW!$U$2:$U$1500,"&lt;&gt;")=COUNTIF(EDW_RAW!$A$2:$A$1500,$D383),"O",IF(COUNTIFS(EDW_RAW!$A$2:$A$1500,$D383,EDW_RAW!$U$2:$U$1500,"&lt;&gt;~",EDW_RAW!$U$2:$U$1500,"&lt;&gt;")&gt;0,"부분","X")))</f>
        <v/>
      </c>
      <c r="S383" s="25" t="n"/>
      <c r="T383" s="20">
        <f>IF($H383="","",IF(AND(ISNUMBER(SEARCH("CMT",$H383)),OR(ISNUMBER(SEARCH("완사입",$H383)),ISNUMBER(SEARCH("ODM",$H383)))),"본사/생산처 혼재",IF(ISNUMBER(SEARCH("CMT",$H383)),"본사(소재팀)","생산처")))</f>
        <v/>
      </c>
      <c r="U383" s="20" t="inlineStr">
        <is>
          <t>인투잇플러스</t>
        </is>
      </c>
      <c r="V383" s="20">
        <f>IFERROR(TEXTJOIN(" / ",TRUE,UNIQUE(FILTER(소재DB_RAW!$K$3:$K$2000,(소재DB_RAW!$G$3:$G$2000=$D383)*ISERROR(SEARCH("drop",소재DB_RAW!$C$3:$C$2000))))),"")</f>
        <v/>
      </c>
      <c r="W383" s="20" t="inlineStr">
        <is>
          <t>중국</t>
        </is>
      </c>
      <c r="X383" s="20">
        <f>IFERROR(TEXTJOIN(" / ",TRUE,UNIQUE(FILTER(소재DB_RAW!$N$3:$N$2000,(소재DB_RAW!$G$3:$G$2000=$D383)*ISERROR(SEARCH("drop",소재DB_RAW!$C$3:$C$2000))))),"")</f>
        <v/>
      </c>
      <c r="Y383" s="26">
        <f>IFERROR(TEXTJOIN(CHAR(10),TRUE,UNIQUE(FILTER(소재DB_RAW!$N$3:$N$2000&amp;") "&amp;소재DB_RAW!$O$3:$O$2000,(소재DB_RAW!$G$3:$G$2000=$D383)*ISNUMBER(SEARCH("겉감",소재DB_RAW!$M$3:$M$2000))*ISERROR(SEARCH("drop",소재DB_RAW!$C$3:$C$2000))))),"")</f>
        <v/>
      </c>
      <c r="Z383" s="26">
        <f>IFERROR(TEXTJOIN(CHAR(10),TRUE,UNIQUE(FILTER(소재DB_RAW!$N$3:$N$2000&amp;") "&amp;소재DB_RAW!$O$3:$O$2000,(소재DB_RAW!$G$3:$G$2000=$D383)*ISNUMBER(SEARCH("안감",소재DB_RAW!$M$3:$M$2000))*ISERROR(SEARCH("drop",소재DB_RAW!$C$3:$C$2000))))),"")</f>
        <v/>
      </c>
      <c r="AA383" s="27" t="n">
        <v>1800</v>
      </c>
      <c r="AB383" s="27" t="n">
        <v>30240000</v>
      </c>
      <c r="AC383" s="27" t="n">
        <v>158400000</v>
      </c>
      <c r="AD383" s="20" t="n"/>
      <c r="AE383" s="20">
        <f>IF($K383="","출고일 미정",IF($Q383="X","작지 미발행",IF($Q383="부분","작지 일부 미발행",IF(AND($S383&lt;&gt;"",$S383&gt;$N383),"소재입고 마감("&amp;TEXT($N383,"MM/DD")&amp;") 초과",IF($Q383="","발행여부 확인 필요",IF($S383="","소재 입고일정 확인 필요","정상"))))))</f>
        <v/>
      </c>
      <c r="AF383" s="19">
        <f>IF($K383="","",IF(OR(LEFT($AE383,2)="작지",LEFT($AE383,4)="소재입고"),IF(LEFT($G383,1)="S","★ 납기위험(S코드)","◆ 지연주의"),IF($AE383="정상","✓ 정상","? 확인필요")))</f>
        <v/>
      </c>
      <c r="AG383" s="21" t="n"/>
      <c r="AH383" s="28" t="n"/>
    </row>
    <row r="384">
      <c r="A384" s="19" t="n">
        <v>380</v>
      </c>
      <c r="B384" s="20" t="inlineStr">
        <is>
          <t>박술홍</t>
        </is>
      </c>
      <c r="C384" s="20" t="inlineStr">
        <is>
          <t>조은선</t>
        </is>
      </c>
      <c r="D384" s="20" t="inlineStr">
        <is>
          <t>QEBDX27123</t>
        </is>
      </c>
      <c r="E384" s="20" t="inlineStr">
        <is>
          <t>남녀공용 백패킹 사코슈백</t>
        </is>
      </c>
      <c r="F384" s="20" t="inlineStr">
        <is>
          <t>CRE-1, DBU-2</t>
        </is>
      </c>
      <c r="G384" s="19">
        <f>IF($D384="","",IF(MID($D384,5,1)="S","S(봄)",IF(MID($D384,5,1)="M","M(여름)",IF(MID($D384,5,1)="X","X(사계절)",MID($D384,5,1)))))</f>
        <v/>
      </c>
      <c r="H384" s="20" t="inlineStr">
        <is>
          <t>완사입</t>
        </is>
      </c>
      <c r="I384" s="19" t="inlineStr"/>
      <c r="J384" s="21" t="inlineStr">
        <is>
          <t>1월4주</t>
        </is>
      </c>
      <c r="K384" s="22">
        <f>IF($J384="","",IFERROR(DATE(IF(VALUE(LEFT($J384,FIND("월",$J384)-1))&gt;=9,기준정보!$C$7-1,기준정보!$C$7),VALUE(LEFT($J384,FIND("월",$J384)-1)),1+7*(VALUE(SUBSTITUTE(MID($J384,FIND("월",$J384)+1,5),"주",""))-1)),""))</f>
        <v/>
      </c>
      <c r="L384" s="22">
        <f>IF($K384="","",IF(AND($K384-기준정보!$C$5&gt;=기준정보!$C$10,$K384-기준정보!$C$5&lt;=기준정보!$C$11),기준정보!$C$10-1,$K384-기준정보!$C$5))</f>
        <v/>
      </c>
      <c r="M384" s="23">
        <f>IF($L384="","",IF(OR(ISNUMBER(SEARCH("중국",$W384)),ISNUMBER(SEARCH("베트남",$W384))),MAX(0,MIN($L384,기준정보!$C$9)-MAX($L384-기준정보!$C$6,기준정보!$C$8)+1),IF(ISNUMBER(SEARCH("한국",$W384)),MAX(0,MIN($L384,기준정보!$C$11)-MAX($L384-기준정보!$C$6,기준정보!$C$10)+1),0)))</f>
        <v/>
      </c>
      <c r="N384" s="22">
        <f>IF($L384="","",$L384-기준정보!$C$6-$M384)</f>
        <v/>
      </c>
      <c r="O384" s="24">
        <f>IF($N384="","",$N384-기준정보!$C$4)</f>
        <v/>
      </c>
      <c r="P384" s="21" t="n"/>
      <c r="Q384" s="21" t="inlineStr">
        <is>
          <t>X</t>
        </is>
      </c>
      <c r="R384" s="19">
        <f>IF(COUNTIF(EDW_RAW!$A$2:$A$1500,$D384)=0,"",IF(COUNTIFS(EDW_RAW!$A$2:$A$1500,$D384,EDW_RAW!$U$2:$U$1500,"&lt;&gt;~",EDW_RAW!$U$2:$U$1500,"&lt;&gt;")=COUNTIF(EDW_RAW!$A$2:$A$1500,$D384),"O",IF(COUNTIFS(EDW_RAW!$A$2:$A$1500,$D384,EDW_RAW!$U$2:$U$1500,"&lt;&gt;~",EDW_RAW!$U$2:$U$1500,"&lt;&gt;")&gt;0,"부분","X")))</f>
        <v/>
      </c>
      <c r="S384" s="25" t="n"/>
      <c r="T384" s="20">
        <f>IF($H384="","",IF(AND(ISNUMBER(SEARCH("CMT",$H384)),OR(ISNUMBER(SEARCH("완사입",$H384)),ISNUMBER(SEARCH("ODM",$H384)))),"본사/생산처 혼재",IF(ISNUMBER(SEARCH("CMT",$H384)),"본사(소재팀)","생산처")))</f>
        <v/>
      </c>
      <c r="U384" s="20" t="inlineStr">
        <is>
          <t>인투잇플러스</t>
        </is>
      </c>
      <c r="V384" s="20">
        <f>IFERROR(TEXTJOIN(" / ",TRUE,UNIQUE(FILTER(소재DB_RAW!$K$3:$K$2000,(소재DB_RAW!$G$3:$G$2000=$D384)*ISERROR(SEARCH("drop",소재DB_RAW!$C$3:$C$2000))))),"")</f>
        <v/>
      </c>
      <c r="W384" s="20" t="inlineStr">
        <is>
          <t>중국</t>
        </is>
      </c>
      <c r="X384" s="20">
        <f>IFERROR(TEXTJOIN(" / ",TRUE,UNIQUE(FILTER(소재DB_RAW!$N$3:$N$2000,(소재DB_RAW!$G$3:$G$2000=$D384)*ISERROR(SEARCH("drop",소재DB_RAW!$C$3:$C$2000))))),"")</f>
        <v/>
      </c>
      <c r="Y384" s="26">
        <f>IFERROR(TEXTJOIN(CHAR(10),TRUE,UNIQUE(FILTER(소재DB_RAW!$N$3:$N$2000&amp;") "&amp;소재DB_RAW!$O$3:$O$2000,(소재DB_RAW!$G$3:$G$2000=$D384)*ISNUMBER(SEARCH("겉감",소재DB_RAW!$M$3:$M$2000))*ISERROR(SEARCH("drop",소재DB_RAW!$C$3:$C$2000))))),"")</f>
        <v/>
      </c>
      <c r="Z384" s="26">
        <f>IFERROR(TEXTJOIN(CHAR(10),TRUE,UNIQUE(FILTER(소재DB_RAW!$N$3:$N$2000&amp;") "&amp;소재DB_RAW!$O$3:$O$2000,(소재DB_RAW!$G$3:$G$2000=$D384)*ISNUMBER(SEARCH("안감",소재DB_RAW!$M$3:$M$2000))*ISERROR(SEARCH("drop",소재DB_RAW!$C$3:$C$2000))))),"")</f>
        <v/>
      </c>
      <c r="AA384" s="27" t="n">
        <v>1000</v>
      </c>
      <c r="AB384" s="27" t="n">
        <v>11000000</v>
      </c>
      <c r="AC384" s="27" t="n">
        <v>55000000</v>
      </c>
      <c r="AD384" s="20" t="n"/>
      <c r="AE384" s="20">
        <f>IF($K384="","출고일 미정",IF($Q384="X","작지 미발행",IF($Q384="부분","작지 일부 미발행",IF(AND($S384&lt;&gt;"",$S384&gt;$N384),"소재입고 마감("&amp;TEXT($N384,"MM/DD")&amp;") 초과",IF($Q384="","발행여부 확인 필요",IF($S384="","소재 입고일정 확인 필요","정상"))))))</f>
        <v/>
      </c>
      <c r="AF384" s="19">
        <f>IF($K384="","",IF(OR(LEFT($AE384,2)="작지",LEFT($AE384,4)="소재입고"),IF(LEFT($G384,1)="S","★ 납기위험(S코드)","◆ 지연주의"),IF($AE384="정상","✓ 정상","? 확인필요")))</f>
        <v/>
      </c>
      <c r="AG384" s="21" t="n"/>
      <c r="AH384" s="28" t="n"/>
    </row>
    <row r="385">
      <c r="A385" s="19" t="n">
        <v>381</v>
      </c>
      <c r="B385" s="20" t="inlineStr">
        <is>
          <t>박술홍</t>
        </is>
      </c>
      <c r="C385" s="20" t="inlineStr">
        <is>
          <t>조은선</t>
        </is>
      </c>
      <c r="D385" s="20" t="inlineStr">
        <is>
          <t>QEBDX27133</t>
        </is>
      </c>
      <c r="E385" s="20" t="inlineStr">
        <is>
          <t>남녀공용 하이킹 미니 웨이스트백</t>
        </is>
      </c>
      <c r="F385" s="20" t="inlineStr">
        <is>
          <t>AQU(AQUA), BGY-2</t>
        </is>
      </c>
      <c r="G385" s="19">
        <f>IF($D385="","",IF(MID($D385,5,1)="S","S(봄)",IF(MID($D385,5,1)="M","M(여름)",IF(MID($D385,5,1)="X","X(사계절)",MID($D385,5,1)))))</f>
        <v/>
      </c>
      <c r="H385" s="20" t="inlineStr">
        <is>
          <t>완사입</t>
        </is>
      </c>
      <c r="I385" s="19" t="inlineStr"/>
      <c r="J385" s="21" t="inlineStr">
        <is>
          <t>1월4주</t>
        </is>
      </c>
      <c r="K385" s="22">
        <f>IF($J385="","",IFERROR(DATE(IF(VALUE(LEFT($J385,FIND("월",$J385)-1))&gt;=9,기준정보!$C$7-1,기준정보!$C$7),VALUE(LEFT($J385,FIND("월",$J385)-1)),1+7*(VALUE(SUBSTITUTE(MID($J385,FIND("월",$J385)+1,5),"주",""))-1)),""))</f>
        <v/>
      </c>
      <c r="L385" s="22">
        <f>IF($K385="","",IF(AND($K385-기준정보!$C$5&gt;=기준정보!$C$10,$K385-기준정보!$C$5&lt;=기준정보!$C$11),기준정보!$C$10-1,$K385-기준정보!$C$5))</f>
        <v/>
      </c>
      <c r="M385" s="23">
        <f>IF($L385="","",IF(OR(ISNUMBER(SEARCH("중국",$W385)),ISNUMBER(SEARCH("베트남",$W385))),MAX(0,MIN($L385,기준정보!$C$9)-MAX($L385-기준정보!$C$6,기준정보!$C$8)+1),IF(ISNUMBER(SEARCH("한국",$W385)),MAX(0,MIN($L385,기준정보!$C$11)-MAX($L385-기준정보!$C$6,기준정보!$C$10)+1),0)))</f>
        <v/>
      </c>
      <c r="N385" s="22">
        <f>IF($L385="","",$L385-기준정보!$C$6-$M385)</f>
        <v/>
      </c>
      <c r="O385" s="24">
        <f>IF($N385="","",$N385-기준정보!$C$4)</f>
        <v/>
      </c>
      <c r="P385" s="21" t="n"/>
      <c r="Q385" s="21" t="inlineStr">
        <is>
          <t>X</t>
        </is>
      </c>
      <c r="R385" s="19">
        <f>IF(COUNTIF(EDW_RAW!$A$2:$A$1500,$D385)=0,"",IF(COUNTIFS(EDW_RAW!$A$2:$A$1500,$D385,EDW_RAW!$U$2:$U$1500,"&lt;&gt;~",EDW_RAW!$U$2:$U$1500,"&lt;&gt;")=COUNTIF(EDW_RAW!$A$2:$A$1500,$D385),"O",IF(COUNTIFS(EDW_RAW!$A$2:$A$1500,$D385,EDW_RAW!$U$2:$U$1500,"&lt;&gt;~",EDW_RAW!$U$2:$U$1500,"&lt;&gt;")&gt;0,"부분","X")))</f>
        <v/>
      </c>
      <c r="S385" s="25" t="n"/>
      <c r="T385" s="20">
        <f>IF($H385="","",IF(AND(ISNUMBER(SEARCH("CMT",$H385)),OR(ISNUMBER(SEARCH("완사입",$H385)),ISNUMBER(SEARCH("ODM",$H385)))),"본사/생산처 혼재",IF(ISNUMBER(SEARCH("CMT",$H385)),"본사(소재팀)","생산처")))</f>
        <v/>
      </c>
      <c r="U385" s="20" t="inlineStr">
        <is>
          <t>인투잇플러스</t>
        </is>
      </c>
      <c r="V385" s="20">
        <f>IFERROR(TEXTJOIN(" / ",TRUE,UNIQUE(FILTER(소재DB_RAW!$K$3:$K$2000,(소재DB_RAW!$G$3:$G$2000=$D385)*ISERROR(SEARCH("drop",소재DB_RAW!$C$3:$C$2000))))),"")</f>
        <v/>
      </c>
      <c r="W385" s="20" t="inlineStr">
        <is>
          <t>중국</t>
        </is>
      </c>
      <c r="X385" s="20">
        <f>IFERROR(TEXTJOIN(" / ",TRUE,UNIQUE(FILTER(소재DB_RAW!$N$3:$N$2000,(소재DB_RAW!$G$3:$G$2000=$D385)*ISERROR(SEARCH("drop",소재DB_RAW!$C$3:$C$2000))))),"")</f>
        <v/>
      </c>
      <c r="Y385" s="26">
        <f>IFERROR(TEXTJOIN(CHAR(10),TRUE,UNIQUE(FILTER(소재DB_RAW!$N$3:$N$2000&amp;") "&amp;소재DB_RAW!$O$3:$O$2000,(소재DB_RAW!$G$3:$G$2000=$D385)*ISNUMBER(SEARCH("겉감",소재DB_RAW!$M$3:$M$2000))*ISERROR(SEARCH("drop",소재DB_RAW!$C$3:$C$2000))))),"")</f>
        <v/>
      </c>
      <c r="Z385" s="26">
        <f>IFERROR(TEXTJOIN(CHAR(10),TRUE,UNIQUE(FILTER(소재DB_RAW!$N$3:$N$2000&amp;") "&amp;소재DB_RAW!$O$3:$O$2000,(소재DB_RAW!$G$3:$G$2000=$D385)*ISNUMBER(SEARCH("안감",소재DB_RAW!$M$3:$M$2000))*ISERROR(SEARCH("drop",소재DB_RAW!$C$3:$C$2000))))),"")</f>
        <v/>
      </c>
      <c r="AA385" s="27" t="n">
        <v>1600</v>
      </c>
      <c r="AB385" s="27" t="n">
        <v>17600000</v>
      </c>
      <c r="AC385" s="27" t="n">
        <v>88000000</v>
      </c>
      <c r="AD385" s="20" t="inlineStr">
        <is>
          <t>1월4주</t>
        </is>
      </c>
      <c r="AE385" s="20">
        <f>IF($K385="","출고일 미정",IF($Q385="X","작지 미발행",IF($Q385="부분","작지 일부 미발행",IF(AND($S385&lt;&gt;"",$S385&gt;$N385),"소재입고 마감("&amp;TEXT($N385,"MM/DD")&amp;") 초과",IF($Q385="","발행여부 확인 필요",IF($S385="","소재 입고일정 확인 필요","정상"))))))</f>
        <v/>
      </c>
      <c r="AF385" s="19">
        <f>IF($K385="","",IF(OR(LEFT($AE385,2)="작지",LEFT($AE385,4)="소재입고"),IF(LEFT($G385,1)="S","★ 납기위험(S코드)","◆ 지연주의"),IF($AE385="정상","✓ 정상","? 확인필요")))</f>
        <v/>
      </c>
      <c r="AG385" s="21" t="n"/>
      <c r="AH385" s="28" t="n"/>
    </row>
    <row r="386">
      <c r="A386" s="19" t="n">
        <v>382</v>
      </c>
      <c r="B386" s="20" t="inlineStr">
        <is>
          <t>박술홍</t>
        </is>
      </c>
      <c r="C386" s="20" t="inlineStr">
        <is>
          <t>조은선</t>
        </is>
      </c>
      <c r="D386" s="20" t="inlineStr">
        <is>
          <t>QEBDX27135</t>
        </is>
      </c>
      <c r="E386" s="20" t="inlineStr">
        <is>
          <t>남녀공용 백패킹 보틀 홀더</t>
        </is>
      </c>
      <c r="F386" s="20" t="inlineStr">
        <is>
          <t>CRE-1</t>
        </is>
      </c>
      <c r="G386" s="19">
        <f>IF($D386="","",IF(MID($D386,5,1)="S","S(봄)",IF(MID($D386,5,1)="M","M(여름)",IF(MID($D386,5,1)="X","X(사계절)",MID($D386,5,1)))))</f>
        <v/>
      </c>
      <c r="H386" s="20" t="inlineStr">
        <is>
          <t>완사입</t>
        </is>
      </c>
      <c r="I386" s="19" t="inlineStr"/>
      <c r="J386" s="21" t="inlineStr">
        <is>
          <t>1월4주</t>
        </is>
      </c>
      <c r="K386" s="22">
        <f>IF($J386="","",IFERROR(DATE(IF(VALUE(LEFT($J386,FIND("월",$J386)-1))&gt;=9,기준정보!$C$7-1,기준정보!$C$7),VALUE(LEFT($J386,FIND("월",$J386)-1)),1+7*(VALUE(SUBSTITUTE(MID($J386,FIND("월",$J386)+1,5),"주",""))-1)),""))</f>
        <v/>
      </c>
      <c r="L386" s="22">
        <f>IF($K386="","",IF(AND($K386-기준정보!$C$5&gt;=기준정보!$C$10,$K386-기준정보!$C$5&lt;=기준정보!$C$11),기준정보!$C$10-1,$K386-기준정보!$C$5))</f>
        <v/>
      </c>
      <c r="M386" s="23">
        <f>IF($L386="","",IF(OR(ISNUMBER(SEARCH("중국",$W386)),ISNUMBER(SEARCH("베트남",$W386))),MAX(0,MIN($L386,기준정보!$C$9)-MAX($L386-기준정보!$C$6,기준정보!$C$8)+1),IF(ISNUMBER(SEARCH("한국",$W386)),MAX(0,MIN($L386,기준정보!$C$11)-MAX($L386-기준정보!$C$6,기준정보!$C$10)+1),0)))</f>
        <v/>
      </c>
      <c r="N386" s="22">
        <f>IF($L386="","",$L386-기준정보!$C$6-$M386)</f>
        <v/>
      </c>
      <c r="O386" s="24">
        <f>IF($N386="","",$N386-기준정보!$C$4)</f>
        <v/>
      </c>
      <c r="P386" s="21" t="n"/>
      <c r="Q386" s="21" t="inlineStr">
        <is>
          <t>X</t>
        </is>
      </c>
      <c r="R386" s="19">
        <f>IF(COUNTIF(EDW_RAW!$A$2:$A$1500,$D386)=0,"",IF(COUNTIFS(EDW_RAW!$A$2:$A$1500,$D386,EDW_RAW!$U$2:$U$1500,"&lt;&gt;~",EDW_RAW!$U$2:$U$1500,"&lt;&gt;")=COUNTIF(EDW_RAW!$A$2:$A$1500,$D386),"O",IF(COUNTIFS(EDW_RAW!$A$2:$A$1500,$D386,EDW_RAW!$U$2:$U$1500,"&lt;&gt;~",EDW_RAW!$U$2:$U$1500,"&lt;&gt;")&gt;0,"부분","X")))</f>
        <v/>
      </c>
      <c r="S386" s="25" t="n"/>
      <c r="T386" s="20">
        <f>IF($H386="","",IF(AND(ISNUMBER(SEARCH("CMT",$H386)),OR(ISNUMBER(SEARCH("완사입",$H386)),ISNUMBER(SEARCH("ODM",$H386)))),"본사/생산처 혼재",IF(ISNUMBER(SEARCH("CMT",$H386)),"본사(소재팀)","생산처")))</f>
        <v/>
      </c>
      <c r="U386" s="20" t="inlineStr">
        <is>
          <t>인투잇플러스</t>
        </is>
      </c>
      <c r="V386" s="20">
        <f>IFERROR(TEXTJOIN(" / ",TRUE,UNIQUE(FILTER(소재DB_RAW!$K$3:$K$2000,(소재DB_RAW!$G$3:$G$2000=$D386)*ISERROR(SEARCH("drop",소재DB_RAW!$C$3:$C$2000))))),"")</f>
        <v/>
      </c>
      <c r="W386" s="20" t="inlineStr">
        <is>
          <t>중국</t>
        </is>
      </c>
      <c r="X386" s="20">
        <f>IFERROR(TEXTJOIN(" / ",TRUE,UNIQUE(FILTER(소재DB_RAW!$N$3:$N$2000,(소재DB_RAW!$G$3:$G$2000=$D386)*ISERROR(SEARCH("drop",소재DB_RAW!$C$3:$C$2000))))),"")</f>
        <v/>
      </c>
      <c r="Y386" s="26">
        <f>IFERROR(TEXTJOIN(CHAR(10),TRUE,UNIQUE(FILTER(소재DB_RAW!$N$3:$N$2000&amp;") "&amp;소재DB_RAW!$O$3:$O$2000,(소재DB_RAW!$G$3:$G$2000=$D386)*ISNUMBER(SEARCH("겉감",소재DB_RAW!$M$3:$M$2000))*ISERROR(SEARCH("drop",소재DB_RAW!$C$3:$C$2000))))),"")</f>
        <v/>
      </c>
      <c r="Z386" s="26">
        <f>IFERROR(TEXTJOIN(CHAR(10),TRUE,UNIQUE(FILTER(소재DB_RAW!$N$3:$N$2000&amp;") "&amp;소재DB_RAW!$O$3:$O$2000,(소재DB_RAW!$G$3:$G$2000=$D386)*ISNUMBER(SEARCH("안감",소재DB_RAW!$M$3:$M$2000))*ISERROR(SEARCH("drop",소재DB_RAW!$C$3:$C$2000))))),"")</f>
        <v/>
      </c>
      <c r="AA386" s="27" t="n">
        <v>400</v>
      </c>
      <c r="AB386" s="27" t="n">
        <v>4400000</v>
      </c>
      <c r="AC386" s="27" t="n">
        <v>22000000</v>
      </c>
      <c r="AD386" s="20" t="inlineStr">
        <is>
          <t>1월4주</t>
        </is>
      </c>
      <c r="AE386" s="20">
        <f>IF($K386="","출고일 미정",IF($Q386="X","작지 미발행",IF($Q386="부분","작지 일부 미발행",IF(AND($S386&lt;&gt;"",$S386&gt;$N386),"소재입고 마감("&amp;TEXT($N386,"MM/DD")&amp;") 초과",IF($Q386="","발행여부 확인 필요",IF($S386="","소재 입고일정 확인 필요","정상"))))))</f>
        <v/>
      </c>
      <c r="AF386" s="19">
        <f>IF($K386="","",IF(OR(LEFT($AE386,2)="작지",LEFT($AE386,4)="소재입고"),IF(LEFT($G386,1)="S","★ 납기위험(S코드)","◆ 지연주의"),IF($AE386="정상","✓ 정상","? 확인필요")))</f>
        <v/>
      </c>
      <c r="AG386" s="21" t="n"/>
      <c r="AH386" s="28" t="n"/>
    </row>
    <row r="387">
      <c r="A387" s="19" t="n">
        <v>383</v>
      </c>
      <c r="B387" s="20" t="inlineStr">
        <is>
          <t>박술홍</t>
        </is>
      </c>
      <c r="C387" s="20" t="inlineStr">
        <is>
          <t>조은선</t>
        </is>
      </c>
      <c r="D387" s="20" t="inlineStr">
        <is>
          <t>QEBDX27137</t>
        </is>
      </c>
      <c r="E387" s="20" t="inlineStr">
        <is>
          <t>남녀공용 하이킹 미니 파우치</t>
        </is>
      </c>
      <c r="F387" s="20" t="inlineStr">
        <is>
          <t>DGY-1, DGR(D/GREEN), DYL(D/YELLOW)</t>
        </is>
      </c>
      <c r="G387" s="19">
        <f>IF($D387="","",IF(MID($D387,5,1)="S","S(봄)",IF(MID($D387,5,1)="M","M(여름)",IF(MID($D387,5,1)="X","X(사계절)",MID($D387,5,1)))))</f>
        <v/>
      </c>
      <c r="H387" s="20" t="inlineStr">
        <is>
          <t>완사입</t>
        </is>
      </c>
      <c r="I387" s="19" t="inlineStr"/>
      <c r="J387" s="21" t="inlineStr">
        <is>
          <t>1월4주</t>
        </is>
      </c>
      <c r="K387" s="22">
        <f>IF($J387="","",IFERROR(DATE(IF(VALUE(LEFT($J387,FIND("월",$J387)-1))&gt;=9,기준정보!$C$7-1,기준정보!$C$7),VALUE(LEFT($J387,FIND("월",$J387)-1)),1+7*(VALUE(SUBSTITUTE(MID($J387,FIND("월",$J387)+1,5),"주",""))-1)),""))</f>
        <v/>
      </c>
      <c r="L387" s="22">
        <f>IF($K387="","",IF(AND($K387-기준정보!$C$5&gt;=기준정보!$C$10,$K387-기준정보!$C$5&lt;=기준정보!$C$11),기준정보!$C$10-1,$K387-기준정보!$C$5))</f>
        <v/>
      </c>
      <c r="M387" s="23">
        <f>IF($L387="","",IF(OR(ISNUMBER(SEARCH("중국",$W387)),ISNUMBER(SEARCH("베트남",$W387))),MAX(0,MIN($L387,기준정보!$C$9)-MAX($L387-기준정보!$C$6,기준정보!$C$8)+1),IF(ISNUMBER(SEARCH("한국",$W387)),MAX(0,MIN($L387,기준정보!$C$11)-MAX($L387-기준정보!$C$6,기준정보!$C$10)+1),0)))</f>
        <v/>
      </c>
      <c r="N387" s="22">
        <f>IF($L387="","",$L387-기준정보!$C$6-$M387)</f>
        <v/>
      </c>
      <c r="O387" s="24">
        <f>IF($N387="","",$N387-기준정보!$C$4)</f>
        <v/>
      </c>
      <c r="P387" s="21" t="n"/>
      <c r="Q387" s="21" t="inlineStr">
        <is>
          <t>X</t>
        </is>
      </c>
      <c r="R387" s="19">
        <f>IF(COUNTIF(EDW_RAW!$A$2:$A$1500,$D387)=0,"",IF(COUNTIFS(EDW_RAW!$A$2:$A$1500,$D387,EDW_RAW!$U$2:$U$1500,"&lt;&gt;~",EDW_RAW!$U$2:$U$1500,"&lt;&gt;")=COUNTIF(EDW_RAW!$A$2:$A$1500,$D387),"O",IF(COUNTIFS(EDW_RAW!$A$2:$A$1500,$D387,EDW_RAW!$U$2:$U$1500,"&lt;&gt;~",EDW_RAW!$U$2:$U$1500,"&lt;&gt;")&gt;0,"부분","X")))</f>
        <v/>
      </c>
      <c r="S387" s="25" t="n"/>
      <c r="T387" s="20">
        <f>IF($H387="","",IF(AND(ISNUMBER(SEARCH("CMT",$H387)),OR(ISNUMBER(SEARCH("완사입",$H387)),ISNUMBER(SEARCH("ODM",$H387)))),"본사/생산처 혼재",IF(ISNUMBER(SEARCH("CMT",$H387)),"본사(소재팀)","생산처")))</f>
        <v/>
      </c>
      <c r="U387" s="20" t="inlineStr">
        <is>
          <t>인투잇플러스</t>
        </is>
      </c>
      <c r="V387" s="20">
        <f>IFERROR(TEXTJOIN(" / ",TRUE,UNIQUE(FILTER(소재DB_RAW!$K$3:$K$2000,(소재DB_RAW!$G$3:$G$2000=$D387)*ISERROR(SEARCH("drop",소재DB_RAW!$C$3:$C$2000))))),"")</f>
        <v/>
      </c>
      <c r="W387" s="20" t="inlineStr">
        <is>
          <t>중국</t>
        </is>
      </c>
      <c r="X387" s="20">
        <f>IFERROR(TEXTJOIN(" / ",TRUE,UNIQUE(FILTER(소재DB_RAW!$N$3:$N$2000,(소재DB_RAW!$G$3:$G$2000=$D387)*ISERROR(SEARCH("drop",소재DB_RAW!$C$3:$C$2000))))),"")</f>
        <v/>
      </c>
      <c r="Y387" s="26">
        <f>IFERROR(TEXTJOIN(CHAR(10),TRUE,UNIQUE(FILTER(소재DB_RAW!$N$3:$N$2000&amp;") "&amp;소재DB_RAW!$O$3:$O$2000,(소재DB_RAW!$G$3:$G$2000=$D387)*ISNUMBER(SEARCH("겉감",소재DB_RAW!$M$3:$M$2000))*ISERROR(SEARCH("drop",소재DB_RAW!$C$3:$C$2000))))),"")</f>
        <v/>
      </c>
      <c r="Z387" s="26">
        <f>IFERROR(TEXTJOIN(CHAR(10),TRUE,UNIQUE(FILTER(소재DB_RAW!$N$3:$N$2000&amp;") "&amp;소재DB_RAW!$O$3:$O$2000,(소재DB_RAW!$G$3:$G$2000=$D387)*ISNUMBER(SEARCH("안감",소재DB_RAW!$M$3:$M$2000))*ISERROR(SEARCH("drop",소재DB_RAW!$C$3:$C$2000))))),"")</f>
        <v/>
      </c>
      <c r="AA387" s="27" t="n">
        <v>3700</v>
      </c>
      <c r="AB387" s="27" t="n">
        <v>40700000</v>
      </c>
      <c r="AC387" s="27" t="n">
        <v>203500000</v>
      </c>
      <c r="AD387" s="20" t="inlineStr">
        <is>
          <t>1월4주</t>
        </is>
      </c>
      <c r="AE387" s="20">
        <f>IF($K387="","출고일 미정",IF($Q387="X","작지 미발행",IF($Q387="부분","작지 일부 미발행",IF(AND($S387&lt;&gt;"",$S387&gt;$N387),"소재입고 마감("&amp;TEXT($N387,"MM/DD")&amp;") 초과",IF($Q387="","발행여부 확인 필요",IF($S387="","소재 입고일정 확인 필요","정상"))))))</f>
        <v/>
      </c>
      <c r="AF387" s="19">
        <f>IF($K387="","",IF(OR(LEFT($AE387,2)="작지",LEFT($AE387,4)="소재입고"),IF(LEFT($G387,1)="S","★ 납기위험(S코드)","◆ 지연주의"),IF($AE387="정상","✓ 정상","? 확인필요")))</f>
        <v/>
      </c>
      <c r="AG387" s="21" t="n"/>
      <c r="AH387" s="28" t="n"/>
    </row>
    <row r="388">
      <c r="A388" s="19" t="n">
        <v>384</v>
      </c>
      <c r="B388" s="20" t="inlineStr">
        <is>
          <t>박술홍</t>
        </is>
      </c>
      <c r="C388" s="20" t="inlineStr">
        <is>
          <t>조은선</t>
        </is>
      </c>
      <c r="D388" s="20" t="inlineStr">
        <is>
          <t>QEBXX27111</t>
        </is>
      </c>
      <c r="E388" s="20" t="inlineStr">
        <is>
          <t>남녀공용 티어드롭형 AXIOM 10L</t>
        </is>
      </c>
      <c r="F388" s="20" t="inlineStr">
        <is>
          <t>DGY-1, COR(CORAL), GBR(G/BROWN)</t>
        </is>
      </c>
      <c r="G388" s="19">
        <f>IF($D388="","",IF(MID($D388,5,1)="S","S(봄)",IF(MID($D388,5,1)="M","M(여름)",IF(MID($D388,5,1)="X","X(사계절)",MID($D388,5,1)))))</f>
        <v/>
      </c>
      <c r="H388" s="20" t="inlineStr">
        <is>
          <t>완사입</t>
        </is>
      </c>
      <c r="I388" s="19" t="inlineStr">
        <is>
          <t>X</t>
        </is>
      </c>
      <c r="J388" s="21" t="inlineStr">
        <is>
          <t>1월4주</t>
        </is>
      </c>
      <c r="K388" s="22">
        <f>IF($J388="","",IFERROR(DATE(IF(VALUE(LEFT($J388,FIND("월",$J388)-1))&gt;=9,기준정보!$C$7-1,기준정보!$C$7),VALUE(LEFT($J388,FIND("월",$J388)-1)),1+7*(VALUE(SUBSTITUTE(MID($J388,FIND("월",$J388)+1,5),"주",""))-1)),""))</f>
        <v/>
      </c>
      <c r="L388" s="22">
        <f>IF($K388="","",IF(AND($K388-기준정보!$C$5&gt;=기준정보!$C$10,$K388-기준정보!$C$5&lt;=기준정보!$C$11),기준정보!$C$10-1,$K388-기준정보!$C$5))</f>
        <v/>
      </c>
      <c r="M388" s="23">
        <f>IF($L388="","",IF(OR(ISNUMBER(SEARCH("중국",$W388)),ISNUMBER(SEARCH("베트남",$W388))),MAX(0,MIN($L388,기준정보!$C$9)-MAX($L388-기준정보!$C$6,기준정보!$C$8)+1),IF(ISNUMBER(SEARCH("한국",$W388)),MAX(0,MIN($L388,기준정보!$C$11)-MAX($L388-기준정보!$C$6,기준정보!$C$10)+1),0)))</f>
        <v/>
      </c>
      <c r="N388" s="22">
        <f>IF($L388="","",$L388-기준정보!$C$6-$M388)</f>
        <v/>
      </c>
      <c r="O388" s="24">
        <f>IF($N388="","",$N388-기준정보!$C$4)</f>
        <v/>
      </c>
      <c r="P388" s="21" t="n"/>
      <c r="Q388" s="21" t="inlineStr">
        <is>
          <t>X</t>
        </is>
      </c>
      <c r="R388" s="19">
        <f>IF(COUNTIF(EDW_RAW!$A$2:$A$1500,$D388)=0,"",IF(COUNTIFS(EDW_RAW!$A$2:$A$1500,$D388,EDW_RAW!$U$2:$U$1500,"&lt;&gt;~",EDW_RAW!$U$2:$U$1500,"&lt;&gt;")=COUNTIF(EDW_RAW!$A$2:$A$1500,$D388),"O",IF(COUNTIFS(EDW_RAW!$A$2:$A$1500,$D388,EDW_RAW!$U$2:$U$1500,"&lt;&gt;~",EDW_RAW!$U$2:$U$1500,"&lt;&gt;")&gt;0,"부분","X")))</f>
        <v/>
      </c>
      <c r="S388" s="25" t="n"/>
      <c r="T388" s="20">
        <f>IF($H388="","",IF(AND(ISNUMBER(SEARCH("CMT",$H388)),OR(ISNUMBER(SEARCH("완사입",$H388)),ISNUMBER(SEARCH("ODM",$H388)))),"본사/생산처 혼재",IF(ISNUMBER(SEARCH("CMT",$H388)),"본사(소재팀)","생산처")))</f>
        <v/>
      </c>
      <c r="U388" s="20" t="inlineStr">
        <is>
          <t>인투잇플러스</t>
        </is>
      </c>
      <c r="V388" s="20">
        <f>IFERROR(TEXTJOIN(" / ",TRUE,UNIQUE(FILTER(소재DB_RAW!$K$3:$K$2000,(소재DB_RAW!$G$3:$G$2000=$D388)*ISERROR(SEARCH("drop",소재DB_RAW!$C$3:$C$2000))))),"")</f>
        <v/>
      </c>
      <c r="W388" s="20" t="inlineStr">
        <is>
          <t>중국</t>
        </is>
      </c>
      <c r="X388" s="20">
        <f>IFERROR(TEXTJOIN(" / ",TRUE,UNIQUE(FILTER(소재DB_RAW!$N$3:$N$2000,(소재DB_RAW!$G$3:$G$2000=$D388)*ISERROR(SEARCH("drop",소재DB_RAW!$C$3:$C$2000))))),"")</f>
        <v/>
      </c>
      <c r="Y388" s="26">
        <f>IFERROR(TEXTJOIN(CHAR(10),TRUE,UNIQUE(FILTER(소재DB_RAW!$N$3:$N$2000&amp;") "&amp;소재DB_RAW!$O$3:$O$2000,(소재DB_RAW!$G$3:$G$2000=$D388)*ISNUMBER(SEARCH("겉감",소재DB_RAW!$M$3:$M$2000))*ISERROR(SEARCH("drop",소재DB_RAW!$C$3:$C$2000))))),"")</f>
        <v/>
      </c>
      <c r="Z388" s="26">
        <f>IFERROR(TEXTJOIN(CHAR(10),TRUE,UNIQUE(FILTER(소재DB_RAW!$N$3:$N$2000&amp;") "&amp;소재DB_RAW!$O$3:$O$2000,(소재DB_RAW!$G$3:$G$2000=$D388)*ISNUMBER(SEARCH("안감",소재DB_RAW!$M$3:$M$2000))*ISERROR(SEARCH("drop",소재DB_RAW!$C$3:$C$2000))))),"")</f>
        <v/>
      </c>
      <c r="AA388" s="27" t="n">
        <v>4300</v>
      </c>
      <c r="AB388" s="27" t="n">
        <v>122369400</v>
      </c>
      <c r="AC388" s="27" t="n">
        <v>550400000</v>
      </c>
      <c r="AD388" s="20" t="inlineStr">
        <is>
          <t>1월4주</t>
        </is>
      </c>
      <c r="AE388" s="20">
        <f>IF($K388="","출고일 미정",IF($Q388="X","작지 미발행",IF($Q388="부분","작지 일부 미발행",IF(AND($S388&lt;&gt;"",$S388&gt;$N388),"소재입고 마감("&amp;TEXT($N388,"MM/DD")&amp;") 초과",IF($Q388="","발행여부 확인 필요",IF($S388="","소재 입고일정 확인 필요","정상"))))))</f>
        <v/>
      </c>
      <c r="AF388" s="19">
        <f>IF($K388="","",IF(OR(LEFT($AE388,2)="작지",LEFT($AE388,4)="소재입고"),IF(LEFT($G388,1)="S","★ 납기위험(S코드)","◆ 지연주의"),IF($AE388="정상","✓ 정상","? 확인필요")))</f>
        <v/>
      </c>
      <c r="AG388" s="21" t="n"/>
      <c r="AH388" s="28" t="n"/>
    </row>
    <row r="389">
      <c r="A389" s="19" t="n">
        <v>385</v>
      </c>
      <c r="B389" s="20" t="inlineStr">
        <is>
          <t>박술홍</t>
        </is>
      </c>
      <c r="C389" s="20" t="inlineStr">
        <is>
          <t>조은선</t>
        </is>
      </c>
      <c r="D389" s="20" t="inlineStr">
        <is>
          <t>QEBXX27121</t>
        </is>
      </c>
      <c r="E389" s="20" t="inlineStr">
        <is>
          <t>남녀공용 티어드롭형 AXIOM 20L</t>
        </is>
      </c>
      <c r="F389" s="20" t="inlineStr">
        <is>
          <t>BLK(BLACK), DGR(D/GREEN), DYL(D/YELLOW)</t>
        </is>
      </c>
      <c r="G389" s="19">
        <f>IF($D389="","",IF(MID($D389,5,1)="S","S(봄)",IF(MID($D389,5,1)="M","M(여름)",IF(MID($D389,5,1)="X","X(사계절)",MID($D389,5,1)))))</f>
        <v/>
      </c>
      <c r="H389" s="20" t="inlineStr">
        <is>
          <t>완사입</t>
        </is>
      </c>
      <c r="I389" s="19" t="inlineStr">
        <is>
          <t>X</t>
        </is>
      </c>
      <c r="J389" s="21" t="inlineStr">
        <is>
          <t>1월4주</t>
        </is>
      </c>
      <c r="K389" s="22">
        <f>IF($J389="","",IFERROR(DATE(IF(VALUE(LEFT($J389,FIND("월",$J389)-1))&gt;=9,기준정보!$C$7-1,기준정보!$C$7),VALUE(LEFT($J389,FIND("월",$J389)-1)),1+7*(VALUE(SUBSTITUTE(MID($J389,FIND("월",$J389)+1,5),"주",""))-1)),""))</f>
        <v/>
      </c>
      <c r="L389" s="22">
        <f>IF($K389="","",IF(AND($K389-기준정보!$C$5&gt;=기준정보!$C$10,$K389-기준정보!$C$5&lt;=기준정보!$C$11),기준정보!$C$10-1,$K389-기준정보!$C$5))</f>
        <v/>
      </c>
      <c r="M389" s="23">
        <f>IF($L389="","",IF(OR(ISNUMBER(SEARCH("중국",$W389)),ISNUMBER(SEARCH("베트남",$W389))),MAX(0,MIN($L389,기준정보!$C$9)-MAX($L389-기준정보!$C$6,기준정보!$C$8)+1),IF(ISNUMBER(SEARCH("한국",$W389)),MAX(0,MIN($L389,기준정보!$C$11)-MAX($L389-기준정보!$C$6,기준정보!$C$10)+1),0)))</f>
        <v/>
      </c>
      <c r="N389" s="22">
        <f>IF($L389="","",$L389-기준정보!$C$6-$M389)</f>
        <v/>
      </c>
      <c r="O389" s="24">
        <f>IF($N389="","",$N389-기준정보!$C$4)</f>
        <v/>
      </c>
      <c r="P389" s="21" t="n"/>
      <c r="Q389" s="21" t="inlineStr">
        <is>
          <t>X</t>
        </is>
      </c>
      <c r="R389" s="19">
        <f>IF(COUNTIF(EDW_RAW!$A$2:$A$1500,$D389)=0,"",IF(COUNTIFS(EDW_RAW!$A$2:$A$1500,$D389,EDW_RAW!$U$2:$U$1500,"&lt;&gt;~",EDW_RAW!$U$2:$U$1500,"&lt;&gt;")=COUNTIF(EDW_RAW!$A$2:$A$1500,$D389),"O",IF(COUNTIFS(EDW_RAW!$A$2:$A$1500,$D389,EDW_RAW!$U$2:$U$1500,"&lt;&gt;~",EDW_RAW!$U$2:$U$1500,"&lt;&gt;")&gt;0,"부분","X")))</f>
        <v/>
      </c>
      <c r="S389" s="25" t="n"/>
      <c r="T389" s="20">
        <f>IF($H389="","",IF(AND(ISNUMBER(SEARCH("CMT",$H389)),OR(ISNUMBER(SEARCH("완사입",$H389)),ISNUMBER(SEARCH("ODM",$H389)))),"본사/생산처 혼재",IF(ISNUMBER(SEARCH("CMT",$H389)),"본사(소재팀)","생산처")))</f>
        <v/>
      </c>
      <c r="U389" s="20" t="inlineStr">
        <is>
          <t>인투잇플러스</t>
        </is>
      </c>
      <c r="V389" s="20">
        <f>IFERROR(TEXTJOIN(" / ",TRUE,UNIQUE(FILTER(소재DB_RAW!$K$3:$K$2000,(소재DB_RAW!$G$3:$G$2000=$D389)*ISERROR(SEARCH("drop",소재DB_RAW!$C$3:$C$2000))))),"")</f>
        <v/>
      </c>
      <c r="W389" s="20" t="inlineStr">
        <is>
          <t>중국</t>
        </is>
      </c>
      <c r="X389" s="20">
        <f>IFERROR(TEXTJOIN(" / ",TRUE,UNIQUE(FILTER(소재DB_RAW!$N$3:$N$2000,(소재DB_RAW!$G$3:$G$2000=$D389)*ISERROR(SEARCH("drop",소재DB_RAW!$C$3:$C$2000))))),"")</f>
        <v/>
      </c>
      <c r="Y389" s="26">
        <f>IFERROR(TEXTJOIN(CHAR(10),TRUE,UNIQUE(FILTER(소재DB_RAW!$N$3:$N$2000&amp;") "&amp;소재DB_RAW!$O$3:$O$2000,(소재DB_RAW!$G$3:$G$2000=$D389)*ISNUMBER(SEARCH("겉감",소재DB_RAW!$M$3:$M$2000))*ISERROR(SEARCH("drop",소재DB_RAW!$C$3:$C$2000))))),"")</f>
        <v/>
      </c>
      <c r="Z389" s="26">
        <f>IFERROR(TEXTJOIN(CHAR(10),TRUE,UNIQUE(FILTER(소재DB_RAW!$N$3:$N$2000&amp;") "&amp;소재DB_RAW!$O$3:$O$2000,(소재DB_RAW!$G$3:$G$2000=$D389)*ISNUMBER(SEARCH("안감",소재DB_RAW!$M$3:$M$2000))*ISERROR(SEARCH("drop",소재DB_RAW!$C$3:$C$2000))))),"")</f>
        <v/>
      </c>
      <c r="AA389" s="27" t="n">
        <v>4100</v>
      </c>
      <c r="AB389" s="27" t="n">
        <v>150884100</v>
      </c>
      <c r="AC389" s="27" t="n">
        <v>688800000</v>
      </c>
      <c r="AD389" s="20" t="inlineStr">
        <is>
          <t>1월4주</t>
        </is>
      </c>
      <c r="AE389" s="20">
        <f>IF($K389="","출고일 미정",IF($Q389="X","작지 미발행",IF($Q389="부분","작지 일부 미발행",IF(AND($S389&lt;&gt;"",$S389&gt;$N389),"소재입고 마감("&amp;TEXT($N389,"MM/DD")&amp;") 초과",IF($Q389="","발행여부 확인 필요",IF($S389="","소재 입고일정 확인 필요","정상"))))))</f>
        <v/>
      </c>
      <c r="AF389" s="19">
        <f>IF($K389="","",IF(OR(LEFT($AE389,2)="작지",LEFT($AE389,4)="소재입고"),IF(LEFT($G389,1)="S","★ 납기위험(S코드)","◆ 지연주의"),IF($AE389="정상","✓ 정상","? 확인필요")))</f>
        <v/>
      </c>
      <c r="AG389" s="21" t="n"/>
      <c r="AH389" s="28" t="n"/>
    </row>
    <row r="390">
      <c r="A390" s="19" t="n">
        <v>386</v>
      </c>
      <c r="B390" s="20" t="inlineStr">
        <is>
          <t>박술홍</t>
        </is>
      </c>
      <c r="C390" s="20" t="inlineStr">
        <is>
          <t>조은선</t>
        </is>
      </c>
      <c r="D390" s="20" t="inlineStr">
        <is>
          <t>QEBXX27123</t>
        </is>
      </c>
      <c r="E390" s="20" t="inlineStr">
        <is>
          <t>남녀공용 롤탑형 AXIOM 25L(+7L)</t>
        </is>
      </c>
      <c r="F390" s="20" t="inlineStr">
        <is>
          <t>AQU(AQUA), BGY-2</t>
        </is>
      </c>
      <c r="G390" s="19">
        <f>IF($D390="","",IF(MID($D390,5,1)="S","S(봄)",IF(MID($D390,5,1)="M","M(여름)",IF(MID($D390,5,1)="X","X(사계절)",MID($D390,5,1)))))</f>
        <v/>
      </c>
      <c r="H390" s="20" t="inlineStr">
        <is>
          <t>완사입</t>
        </is>
      </c>
      <c r="I390" s="19" t="inlineStr">
        <is>
          <t>X</t>
        </is>
      </c>
      <c r="J390" s="21" t="inlineStr">
        <is>
          <t>1월4주</t>
        </is>
      </c>
      <c r="K390" s="22">
        <f>IF($J390="","",IFERROR(DATE(IF(VALUE(LEFT($J390,FIND("월",$J390)-1))&gt;=9,기준정보!$C$7-1,기준정보!$C$7),VALUE(LEFT($J390,FIND("월",$J390)-1)),1+7*(VALUE(SUBSTITUTE(MID($J390,FIND("월",$J390)+1,5),"주",""))-1)),""))</f>
        <v/>
      </c>
      <c r="L390" s="22">
        <f>IF($K390="","",IF(AND($K390-기준정보!$C$5&gt;=기준정보!$C$10,$K390-기준정보!$C$5&lt;=기준정보!$C$11),기준정보!$C$10-1,$K390-기준정보!$C$5))</f>
        <v/>
      </c>
      <c r="M390" s="23">
        <f>IF($L390="","",IF(OR(ISNUMBER(SEARCH("중국",$W390)),ISNUMBER(SEARCH("베트남",$W390))),MAX(0,MIN($L390,기준정보!$C$9)-MAX($L390-기준정보!$C$6,기준정보!$C$8)+1),IF(ISNUMBER(SEARCH("한국",$W390)),MAX(0,MIN($L390,기준정보!$C$11)-MAX($L390-기준정보!$C$6,기준정보!$C$10)+1),0)))</f>
        <v/>
      </c>
      <c r="N390" s="22">
        <f>IF($L390="","",$L390-기준정보!$C$6-$M390)</f>
        <v/>
      </c>
      <c r="O390" s="24">
        <f>IF($N390="","",$N390-기준정보!$C$4)</f>
        <v/>
      </c>
      <c r="P390" s="21" t="n"/>
      <c r="Q390" s="21" t="inlineStr">
        <is>
          <t>X</t>
        </is>
      </c>
      <c r="R390" s="19">
        <f>IF(COUNTIF(EDW_RAW!$A$2:$A$1500,$D390)=0,"",IF(COUNTIFS(EDW_RAW!$A$2:$A$1500,$D390,EDW_RAW!$U$2:$U$1500,"&lt;&gt;~",EDW_RAW!$U$2:$U$1500,"&lt;&gt;")=COUNTIF(EDW_RAW!$A$2:$A$1500,$D390),"O",IF(COUNTIFS(EDW_RAW!$A$2:$A$1500,$D390,EDW_RAW!$U$2:$U$1500,"&lt;&gt;~",EDW_RAW!$U$2:$U$1500,"&lt;&gt;")&gt;0,"부분","X")))</f>
        <v/>
      </c>
      <c r="S390" s="25" t="n"/>
      <c r="T390" s="20">
        <f>IF($H390="","",IF(AND(ISNUMBER(SEARCH("CMT",$H390)),OR(ISNUMBER(SEARCH("완사입",$H390)),ISNUMBER(SEARCH("ODM",$H390)))),"본사/생산처 혼재",IF(ISNUMBER(SEARCH("CMT",$H390)),"본사(소재팀)","생산처")))</f>
        <v/>
      </c>
      <c r="U390" s="20" t="inlineStr">
        <is>
          <t>인투잇플러스</t>
        </is>
      </c>
      <c r="V390" s="20">
        <f>IFERROR(TEXTJOIN(" / ",TRUE,UNIQUE(FILTER(소재DB_RAW!$K$3:$K$2000,(소재DB_RAW!$G$3:$G$2000=$D390)*ISERROR(SEARCH("drop",소재DB_RAW!$C$3:$C$2000))))),"")</f>
        <v/>
      </c>
      <c r="W390" s="20" t="inlineStr">
        <is>
          <t>중국</t>
        </is>
      </c>
      <c r="X390" s="20">
        <f>IFERROR(TEXTJOIN(" / ",TRUE,UNIQUE(FILTER(소재DB_RAW!$N$3:$N$2000,(소재DB_RAW!$G$3:$G$2000=$D390)*ISERROR(SEARCH("drop",소재DB_RAW!$C$3:$C$2000))))),"")</f>
        <v/>
      </c>
      <c r="Y390" s="26">
        <f>IFERROR(TEXTJOIN(CHAR(10),TRUE,UNIQUE(FILTER(소재DB_RAW!$N$3:$N$2000&amp;") "&amp;소재DB_RAW!$O$3:$O$2000,(소재DB_RAW!$G$3:$G$2000=$D390)*ISNUMBER(SEARCH("겉감",소재DB_RAW!$M$3:$M$2000))*ISERROR(SEARCH("drop",소재DB_RAW!$C$3:$C$2000))))),"")</f>
        <v/>
      </c>
      <c r="Z390" s="26">
        <f>IFERROR(TEXTJOIN(CHAR(10),TRUE,UNIQUE(FILTER(소재DB_RAW!$N$3:$N$2000&amp;") "&amp;소재DB_RAW!$O$3:$O$2000,(소재DB_RAW!$G$3:$G$2000=$D390)*ISNUMBER(SEARCH("안감",소재DB_RAW!$M$3:$M$2000))*ISERROR(SEARCH("drop",소재DB_RAW!$C$3:$C$2000))))),"")</f>
        <v/>
      </c>
      <c r="AA390" s="27" t="n">
        <v>1600</v>
      </c>
      <c r="AB390" s="27" t="n">
        <v>72000000</v>
      </c>
      <c r="AC390" s="27" t="n">
        <v>316800000</v>
      </c>
      <c r="AD390" s="20" t="inlineStr">
        <is>
          <t>1월4주</t>
        </is>
      </c>
      <c r="AE390" s="20">
        <f>IF($K390="","출고일 미정",IF($Q390="X","작지 미발행",IF($Q390="부분","작지 일부 미발행",IF(AND($S390&lt;&gt;"",$S390&gt;$N390),"소재입고 마감("&amp;TEXT($N390,"MM/DD")&amp;") 초과",IF($Q390="","발행여부 확인 필요",IF($S390="","소재 입고일정 확인 필요","정상"))))))</f>
        <v/>
      </c>
      <c r="AF390" s="19">
        <f>IF($K390="","",IF(OR(LEFT($AE390,2)="작지",LEFT($AE390,4)="소재입고"),IF(LEFT($G390,1)="S","★ 납기위험(S코드)","◆ 지연주의"),IF($AE390="정상","✓ 정상","? 확인필요")))</f>
        <v/>
      </c>
      <c r="AG390" s="21" t="n"/>
      <c r="AH390" s="28" t="n"/>
    </row>
    <row r="391">
      <c r="A391" s="19" t="n">
        <v>387</v>
      </c>
      <c r="B391" s="20" t="inlineStr">
        <is>
          <t>박술홍</t>
        </is>
      </c>
      <c r="C391" s="20" t="inlineStr">
        <is>
          <t>조은선</t>
        </is>
      </c>
      <c r="D391" s="20" t="inlineStr">
        <is>
          <t>QEBXX27131</t>
        </is>
      </c>
      <c r="E391" s="20" t="inlineStr">
        <is>
          <t>남녀공용 티어드롭형 AXIOM 30L</t>
        </is>
      </c>
      <c r="F391" s="20" t="inlineStr">
        <is>
          <t>BLK(BLACK)</t>
        </is>
      </c>
      <c r="G391" s="19">
        <f>IF($D391="","",IF(MID($D391,5,1)="S","S(봄)",IF(MID($D391,5,1)="M","M(여름)",IF(MID($D391,5,1)="X","X(사계절)",MID($D391,5,1)))))</f>
        <v/>
      </c>
      <c r="H391" s="20" t="inlineStr">
        <is>
          <t>완사입</t>
        </is>
      </c>
      <c r="I391" s="19" t="inlineStr">
        <is>
          <t>X</t>
        </is>
      </c>
      <c r="J391" s="21" t="inlineStr">
        <is>
          <t>1월4주</t>
        </is>
      </c>
      <c r="K391" s="22">
        <f>IF($J391="","",IFERROR(DATE(IF(VALUE(LEFT($J391,FIND("월",$J391)-1))&gt;=9,기준정보!$C$7-1,기준정보!$C$7),VALUE(LEFT($J391,FIND("월",$J391)-1)),1+7*(VALUE(SUBSTITUTE(MID($J391,FIND("월",$J391)+1,5),"주",""))-1)),""))</f>
        <v/>
      </c>
      <c r="L391" s="22">
        <f>IF($K391="","",IF(AND($K391-기준정보!$C$5&gt;=기준정보!$C$10,$K391-기준정보!$C$5&lt;=기준정보!$C$11),기준정보!$C$10-1,$K391-기준정보!$C$5))</f>
        <v/>
      </c>
      <c r="M391" s="23">
        <f>IF($L391="","",IF(OR(ISNUMBER(SEARCH("중국",$W391)),ISNUMBER(SEARCH("베트남",$W391))),MAX(0,MIN($L391,기준정보!$C$9)-MAX($L391-기준정보!$C$6,기준정보!$C$8)+1),IF(ISNUMBER(SEARCH("한국",$W391)),MAX(0,MIN($L391,기준정보!$C$11)-MAX($L391-기준정보!$C$6,기준정보!$C$10)+1),0)))</f>
        <v/>
      </c>
      <c r="N391" s="22">
        <f>IF($L391="","",$L391-기준정보!$C$6-$M391)</f>
        <v/>
      </c>
      <c r="O391" s="24">
        <f>IF($N391="","",$N391-기준정보!$C$4)</f>
        <v/>
      </c>
      <c r="P391" s="21" t="n"/>
      <c r="Q391" s="21" t="inlineStr">
        <is>
          <t>X</t>
        </is>
      </c>
      <c r="R391" s="19">
        <f>IF(COUNTIF(EDW_RAW!$A$2:$A$1500,$D391)=0,"",IF(COUNTIFS(EDW_RAW!$A$2:$A$1500,$D391,EDW_RAW!$U$2:$U$1500,"&lt;&gt;~",EDW_RAW!$U$2:$U$1500,"&lt;&gt;")=COUNTIF(EDW_RAW!$A$2:$A$1500,$D391),"O",IF(COUNTIFS(EDW_RAW!$A$2:$A$1500,$D391,EDW_RAW!$U$2:$U$1500,"&lt;&gt;~",EDW_RAW!$U$2:$U$1500,"&lt;&gt;")&gt;0,"부분","X")))</f>
        <v/>
      </c>
      <c r="S391" s="25" t="n"/>
      <c r="T391" s="20">
        <f>IF($H391="","",IF(AND(ISNUMBER(SEARCH("CMT",$H391)),OR(ISNUMBER(SEARCH("완사입",$H391)),ISNUMBER(SEARCH("ODM",$H391)))),"본사/생산처 혼재",IF(ISNUMBER(SEARCH("CMT",$H391)),"본사(소재팀)","생산처")))</f>
        <v/>
      </c>
      <c r="U391" s="20" t="inlineStr">
        <is>
          <t>인투잇플러스</t>
        </is>
      </c>
      <c r="V391" s="20">
        <f>IFERROR(TEXTJOIN(" / ",TRUE,UNIQUE(FILTER(소재DB_RAW!$K$3:$K$2000,(소재DB_RAW!$G$3:$G$2000=$D391)*ISERROR(SEARCH("drop",소재DB_RAW!$C$3:$C$2000))))),"")</f>
        <v/>
      </c>
      <c r="W391" s="20" t="inlineStr">
        <is>
          <t>중국</t>
        </is>
      </c>
      <c r="X391" s="20">
        <f>IFERROR(TEXTJOIN(" / ",TRUE,UNIQUE(FILTER(소재DB_RAW!$N$3:$N$2000,(소재DB_RAW!$G$3:$G$2000=$D391)*ISERROR(SEARCH("drop",소재DB_RAW!$C$3:$C$2000))))),"")</f>
        <v/>
      </c>
      <c r="Y391" s="26">
        <f>IFERROR(TEXTJOIN(CHAR(10),TRUE,UNIQUE(FILTER(소재DB_RAW!$N$3:$N$2000&amp;") "&amp;소재DB_RAW!$O$3:$O$2000,(소재DB_RAW!$G$3:$G$2000=$D391)*ISNUMBER(SEARCH("겉감",소재DB_RAW!$M$3:$M$2000))*ISERROR(SEARCH("drop",소재DB_RAW!$C$3:$C$2000))))),"")</f>
        <v/>
      </c>
      <c r="Z391" s="26">
        <f>IFERROR(TEXTJOIN(CHAR(10),TRUE,UNIQUE(FILTER(소재DB_RAW!$N$3:$N$2000&amp;") "&amp;소재DB_RAW!$O$3:$O$2000,(소재DB_RAW!$G$3:$G$2000=$D391)*ISNUMBER(SEARCH("안감",소재DB_RAW!$M$3:$M$2000))*ISERROR(SEARCH("drop",소재DB_RAW!$C$3:$C$2000))))),"")</f>
        <v/>
      </c>
      <c r="AA391" s="27" t="n">
        <v>1000</v>
      </c>
      <c r="AB391" s="27" t="n">
        <v>52738000</v>
      </c>
      <c r="AC391" s="27" t="n">
        <v>220000000</v>
      </c>
      <c r="AD391" s="20" t="inlineStr">
        <is>
          <t>1월4주</t>
        </is>
      </c>
      <c r="AE391" s="20">
        <f>IF($K391="","출고일 미정",IF($Q391="X","작지 미발행",IF($Q391="부분","작지 일부 미발행",IF(AND($S391&lt;&gt;"",$S391&gt;$N391),"소재입고 마감("&amp;TEXT($N391,"MM/DD")&amp;") 초과",IF($Q391="","발행여부 확인 필요",IF($S391="","소재 입고일정 확인 필요","정상"))))))</f>
        <v/>
      </c>
      <c r="AF391" s="19">
        <f>IF($K391="","",IF(OR(LEFT($AE391,2)="작지",LEFT($AE391,4)="소재입고"),IF(LEFT($G391,1)="S","★ 납기위험(S코드)","◆ 지연주의"),IF($AE391="정상","✓ 정상","? 확인필요")))</f>
        <v/>
      </c>
      <c r="AG391" s="21" t="n"/>
      <c r="AH391" s="28" t="n"/>
    </row>
    <row r="392">
      <c r="A392" s="19" t="n">
        <v>388</v>
      </c>
      <c r="B392" s="20" t="inlineStr">
        <is>
          <t>박술홍</t>
        </is>
      </c>
      <c r="C392" s="20" t="inlineStr">
        <is>
          <t>조은선</t>
        </is>
      </c>
      <c r="D392" s="20" t="inlineStr">
        <is>
          <t>QEBXX27141</t>
        </is>
      </c>
      <c r="E392" s="20" t="inlineStr">
        <is>
          <t>남여공용 롤탑형 AXIOM 백패킹 백팩</t>
        </is>
      </c>
      <c r="F392" s="20" t="inlineStr">
        <is>
          <t>OWH</t>
        </is>
      </c>
      <c r="G392" s="19">
        <f>IF($D392="","",IF(MID($D392,5,1)="S","S(봄)",IF(MID($D392,5,1)="M","M(여름)",IF(MID($D392,5,1)="X","X(사계절)",MID($D392,5,1)))))</f>
        <v/>
      </c>
      <c r="H392" s="20" t="inlineStr">
        <is>
          <t>완사입</t>
        </is>
      </c>
      <c r="I392" s="19" t="inlineStr">
        <is>
          <t>X</t>
        </is>
      </c>
      <c r="J392" s="21" t="inlineStr">
        <is>
          <t>1월4주</t>
        </is>
      </c>
      <c r="K392" s="22">
        <f>IF($J392="","",IFERROR(DATE(IF(VALUE(LEFT($J392,FIND("월",$J392)-1))&gt;=9,기준정보!$C$7-1,기준정보!$C$7),VALUE(LEFT($J392,FIND("월",$J392)-1)),1+7*(VALUE(SUBSTITUTE(MID($J392,FIND("월",$J392)+1,5),"주",""))-1)),""))</f>
        <v/>
      </c>
      <c r="L392" s="22">
        <f>IF($K392="","",IF(AND($K392-기준정보!$C$5&gt;=기준정보!$C$10,$K392-기준정보!$C$5&lt;=기준정보!$C$11),기준정보!$C$10-1,$K392-기준정보!$C$5))</f>
        <v/>
      </c>
      <c r="M392" s="23">
        <f>IF($L392="","",IF(OR(ISNUMBER(SEARCH("중국",$W392)),ISNUMBER(SEARCH("베트남",$W392))),MAX(0,MIN($L392,기준정보!$C$9)-MAX($L392-기준정보!$C$6,기준정보!$C$8)+1),IF(ISNUMBER(SEARCH("한국",$W392)),MAX(0,MIN($L392,기준정보!$C$11)-MAX($L392-기준정보!$C$6,기준정보!$C$10)+1),0)))</f>
        <v/>
      </c>
      <c r="N392" s="22">
        <f>IF($L392="","",$L392-기준정보!$C$6-$M392)</f>
        <v/>
      </c>
      <c r="O392" s="24">
        <f>IF($N392="","",$N392-기준정보!$C$4)</f>
        <v/>
      </c>
      <c r="P392" s="21" t="n"/>
      <c r="Q392" s="21" t="inlineStr">
        <is>
          <t>X</t>
        </is>
      </c>
      <c r="R392" s="19">
        <f>IF(COUNTIF(EDW_RAW!$A$2:$A$1500,$D392)=0,"",IF(COUNTIFS(EDW_RAW!$A$2:$A$1500,$D392,EDW_RAW!$U$2:$U$1500,"&lt;&gt;~",EDW_RAW!$U$2:$U$1500,"&lt;&gt;")=COUNTIF(EDW_RAW!$A$2:$A$1500,$D392),"O",IF(COUNTIFS(EDW_RAW!$A$2:$A$1500,$D392,EDW_RAW!$U$2:$U$1500,"&lt;&gt;~",EDW_RAW!$U$2:$U$1500,"&lt;&gt;")&gt;0,"부분","X")))</f>
        <v/>
      </c>
      <c r="S392" s="25" t="n"/>
      <c r="T392" s="20">
        <f>IF($H392="","",IF(AND(ISNUMBER(SEARCH("CMT",$H392)),OR(ISNUMBER(SEARCH("완사입",$H392)),ISNUMBER(SEARCH("ODM",$H392)))),"본사/생산처 혼재",IF(ISNUMBER(SEARCH("CMT",$H392)),"본사(소재팀)","생산처")))</f>
        <v/>
      </c>
      <c r="U392" s="20" t="inlineStr">
        <is>
          <t>인투잇플러스</t>
        </is>
      </c>
      <c r="V392" s="20">
        <f>IFERROR(TEXTJOIN(" / ",TRUE,UNIQUE(FILTER(소재DB_RAW!$K$3:$K$2000,(소재DB_RAW!$G$3:$G$2000=$D392)*ISERROR(SEARCH("drop",소재DB_RAW!$C$3:$C$2000))))),"")</f>
        <v/>
      </c>
      <c r="W392" s="20" t="inlineStr">
        <is>
          <t>중국</t>
        </is>
      </c>
      <c r="X392" s="20">
        <f>IFERROR(TEXTJOIN(" / ",TRUE,UNIQUE(FILTER(소재DB_RAW!$N$3:$N$2000,(소재DB_RAW!$G$3:$G$2000=$D392)*ISERROR(SEARCH("drop",소재DB_RAW!$C$3:$C$2000))))),"")</f>
        <v/>
      </c>
      <c r="Y392" s="26">
        <f>IFERROR(TEXTJOIN(CHAR(10),TRUE,UNIQUE(FILTER(소재DB_RAW!$N$3:$N$2000&amp;") "&amp;소재DB_RAW!$O$3:$O$2000,(소재DB_RAW!$G$3:$G$2000=$D392)*ISNUMBER(SEARCH("겉감",소재DB_RAW!$M$3:$M$2000))*ISERROR(SEARCH("drop",소재DB_RAW!$C$3:$C$2000))))),"")</f>
        <v/>
      </c>
      <c r="Z392" s="26">
        <f>IFERROR(TEXTJOIN(CHAR(10),TRUE,UNIQUE(FILTER(소재DB_RAW!$N$3:$N$2000&amp;") "&amp;소재DB_RAW!$O$3:$O$2000,(소재DB_RAW!$G$3:$G$2000=$D392)*ISNUMBER(SEARCH("안감",소재DB_RAW!$M$3:$M$2000))*ISERROR(SEARCH("drop",소재DB_RAW!$C$3:$C$2000))))),"")</f>
        <v/>
      </c>
      <c r="AA392" s="27" t="n">
        <v>1000</v>
      </c>
      <c r="AB392" s="27" t="n">
        <v>71579000</v>
      </c>
      <c r="AC392" s="27" t="n">
        <v>350000000</v>
      </c>
      <c r="AD392" s="20" t="inlineStr">
        <is>
          <t>1월4주</t>
        </is>
      </c>
      <c r="AE392" s="20">
        <f>IF($K392="","출고일 미정",IF($Q392="X","작지 미발행",IF($Q392="부분","작지 일부 미발행",IF(AND($S392&lt;&gt;"",$S392&gt;$N392),"소재입고 마감("&amp;TEXT($N392,"MM/DD")&amp;") 초과",IF($Q392="","발행여부 확인 필요",IF($S392="","소재 입고일정 확인 필요","정상"))))))</f>
        <v/>
      </c>
      <c r="AF392" s="19">
        <f>IF($K392="","",IF(OR(LEFT($AE392,2)="작지",LEFT($AE392,4)="소재입고"),IF(LEFT($G392,1)="S","★ 납기위험(S코드)","◆ 지연주의"),IF($AE392="정상","✓ 정상","? 확인필요")))</f>
        <v/>
      </c>
      <c r="AG392" s="21" t="n"/>
      <c r="AH392" s="28" t="n"/>
    </row>
    <row r="393">
      <c r="A393" s="19" t="n">
        <v>389</v>
      </c>
      <c r="B393" s="20" t="inlineStr">
        <is>
          <t>박술홍</t>
        </is>
      </c>
      <c r="C393" s="20" t="inlineStr">
        <is>
          <t>조은선</t>
        </is>
      </c>
      <c r="D393" s="20" t="inlineStr">
        <is>
          <t>QEBXX27511</t>
        </is>
      </c>
      <c r="E393" s="20" t="inlineStr">
        <is>
          <t>남녀공용 스트링형 단거리 근교산행용 패커블 백팩 10L</t>
        </is>
      </c>
      <c r="F393" s="20" t="inlineStr">
        <is>
          <t>CRE-1, DBU-2</t>
        </is>
      </c>
      <c r="G393" s="19">
        <f>IF($D393="","",IF(MID($D393,5,1)="S","S(봄)",IF(MID($D393,5,1)="M","M(여름)",IF(MID($D393,5,1)="X","X(사계절)",MID($D393,5,1)))))</f>
        <v/>
      </c>
      <c r="H393" s="20" t="inlineStr">
        <is>
          <t>완사입</t>
        </is>
      </c>
      <c r="I393" s="19" t="inlineStr"/>
      <c r="J393" s="21" t="inlineStr">
        <is>
          <t>1월4주</t>
        </is>
      </c>
      <c r="K393" s="22">
        <f>IF($J393="","",IFERROR(DATE(IF(VALUE(LEFT($J393,FIND("월",$J393)-1))&gt;=9,기준정보!$C$7-1,기준정보!$C$7),VALUE(LEFT($J393,FIND("월",$J393)-1)),1+7*(VALUE(SUBSTITUTE(MID($J393,FIND("월",$J393)+1,5),"주",""))-1)),""))</f>
        <v/>
      </c>
      <c r="L393" s="22">
        <f>IF($K393="","",IF(AND($K393-기준정보!$C$5&gt;=기준정보!$C$10,$K393-기준정보!$C$5&lt;=기준정보!$C$11),기준정보!$C$10-1,$K393-기준정보!$C$5))</f>
        <v/>
      </c>
      <c r="M393" s="23">
        <f>IF($L393="","",IF(OR(ISNUMBER(SEARCH("중국",$W393)),ISNUMBER(SEARCH("베트남",$W393))),MAX(0,MIN($L393,기준정보!$C$9)-MAX($L393-기준정보!$C$6,기준정보!$C$8)+1),IF(ISNUMBER(SEARCH("한국",$W393)),MAX(0,MIN($L393,기준정보!$C$11)-MAX($L393-기준정보!$C$6,기준정보!$C$10)+1),0)))</f>
        <v/>
      </c>
      <c r="N393" s="22">
        <f>IF($L393="","",$L393-기준정보!$C$6-$M393)</f>
        <v/>
      </c>
      <c r="O393" s="24">
        <f>IF($N393="","",$N393-기준정보!$C$4)</f>
        <v/>
      </c>
      <c r="P393" s="21" t="n"/>
      <c r="Q393" s="21" t="inlineStr">
        <is>
          <t>X</t>
        </is>
      </c>
      <c r="R393" s="19">
        <f>IF(COUNTIF(EDW_RAW!$A$2:$A$1500,$D393)=0,"",IF(COUNTIFS(EDW_RAW!$A$2:$A$1500,$D393,EDW_RAW!$U$2:$U$1500,"&lt;&gt;~",EDW_RAW!$U$2:$U$1500,"&lt;&gt;")=COUNTIF(EDW_RAW!$A$2:$A$1500,$D393),"O",IF(COUNTIFS(EDW_RAW!$A$2:$A$1500,$D393,EDW_RAW!$U$2:$U$1500,"&lt;&gt;~",EDW_RAW!$U$2:$U$1500,"&lt;&gt;")&gt;0,"부분","X")))</f>
        <v/>
      </c>
      <c r="S393" s="25" t="n"/>
      <c r="T393" s="20">
        <f>IF($H393="","",IF(AND(ISNUMBER(SEARCH("CMT",$H393)),OR(ISNUMBER(SEARCH("완사입",$H393)),ISNUMBER(SEARCH("ODM",$H393)))),"본사/생산처 혼재",IF(ISNUMBER(SEARCH("CMT",$H393)),"본사(소재팀)","생산처")))</f>
        <v/>
      </c>
      <c r="U393" s="20" t="inlineStr">
        <is>
          <t>인투잇플러스</t>
        </is>
      </c>
      <c r="V393" s="20">
        <f>IFERROR(TEXTJOIN(" / ",TRUE,UNIQUE(FILTER(소재DB_RAW!$K$3:$K$2000,(소재DB_RAW!$G$3:$G$2000=$D393)*ISERROR(SEARCH("drop",소재DB_RAW!$C$3:$C$2000))))),"")</f>
        <v/>
      </c>
      <c r="W393" s="20" t="inlineStr">
        <is>
          <t>중국</t>
        </is>
      </c>
      <c r="X393" s="20">
        <f>IFERROR(TEXTJOIN(" / ",TRUE,UNIQUE(FILTER(소재DB_RAW!$N$3:$N$2000,(소재DB_RAW!$G$3:$G$2000=$D393)*ISERROR(SEARCH("drop",소재DB_RAW!$C$3:$C$2000))))),"")</f>
        <v/>
      </c>
      <c r="Y393" s="26">
        <f>IFERROR(TEXTJOIN(CHAR(10),TRUE,UNIQUE(FILTER(소재DB_RAW!$N$3:$N$2000&amp;") "&amp;소재DB_RAW!$O$3:$O$2000,(소재DB_RAW!$G$3:$G$2000=$D393)*ISNUMBER(SEARCH("겉감",소재DB_RAW!$M$3:$M$2000))*ISERROR(SEARCH("drop",소재DB_RAW!$C$3:$C$2000))))),"")</f>
        <v/>
      </c>
      <c r="Z393" s="26">
        <f>IFERROR(TEXTJOIN(CHAR(10),TRUE,UNIQUE(FILTER(소재DB_RAW!$N$3:$N$2000&amp;") "&amp;소재DB_RAW!$O$3:$O$2000,(소재DB_RAW!$G$3:$G$2000=$D393)*ISNUMBER(SEARCH("안감",소재DB_RAW!$M$3:$M$2000))*ISERROR(SEARCH("drop",소재DB_RAW!$C$3:$C$2000))))),"")</f>
        <v/>
      </c>
      <c r="AA393" s="27" t="n">
        <v>2500</v>
      </c>
      <c r="AB393" s="27" t="n">
        <v>57500000</v>
      </c>
      <c r="AC393" s="27" t="n">
        <v>270000000</v>
      </c>
      <c r="AD393" s="20" t="n"/>
      <c r="AE393" s="20">
        <f>IF($K393="","출고일 미정",IF($Q393="X","작지 미발행",IF($Q393="부분","작지 일부 미발행",IF(AND($S393&lt;&gt;"",$S393&gt;$N393),"소재입고 마감("&amp;TEXT($N393,"MM/DD")&amp;") 초과",IF($Q393="","발행여부 확인 필요",IF($S393="","소재 입고일정 확인 필요","정상"))))))</f>
        <v/>
      </c>
      <c r="AF393" s="19">
        <f>IF($K393="","",IF(OR(LEFT($AE393,2)="작지",LEFT($AE393,4)="소재입고"),IF(LEFT($G393,1)="S","★ 납기위험(S코드)","◆ 지연주의"),IF($AE393="정상","✓ 정상","? 확인필요")))</f>
        <v/>
      </c>
      <c r="AG393" s="21" t="n"/>
      <c r="AH393" s="28" t="n"/>
    </row>
    <row r="394">
      <c r="A394" s="19" t="n">
        <v>390</v>
      </c>
      <c r="B394" s="20" t="inlineStr">
        <is>
          <t>박술홍</t>
        </is>
      </c>
      <c r="C394" s="20" t="inlineStr">
        <is>
          <t>조은선</t>
        </is>
      </c>
      <c r="D394" s="20" t="inlineStr">
        <is>
          <t>QEBXX27513</t>
        </is>
      </c>
      <c r="E394" s="20" t="inlineStr">
        <is>
          <t>남녀공용 티어드롭형 단거리 근교산행용 패커블 백팩 10L</t>
        </is>
      </c>
      <c r="F394" s="20" t="inlineStr">
        <is>
          <t>CO1, CO2</t>
        </is>
      </c>
      <c r="G394" s="19">
        <f>IF($D394="","",IF(MID($D394,5,1)="S","S(봄)",IF(MID($D394,5,1)="M","M(여름)",IF(MID($D394,5,1)="X","X(사계절)",MID($D394,5,1)))))</f>
        <v/>
      </c>
      <c r="H394" s="20" t="inlineStr">
        <is>
          <t>완사입</t>
        </is>
      </c>
      <c r="I394" s="19" t="inlineStr">
        <is>
          <t>SPOT</t>
        </is>
      </c>
      <c r="J394" s="21" t="inlineStr">
        <is>
          <t>1월4주</t>
        </is>
      </c>
      <c r="K394" s="22">
        <f>IF($J394="","",IFERROR(DATE(IF(VALUE(LEFT($J394,FIND("월",$J394)-1))&gt;=9,기준정보!$C$7-1,기준정보!$C$7),VALUE(LEFT($J394,FIND("월",$J394)-1)),1+7*(VALUE(SUBSTITUTE(MID($J394,FIND("월",$J394)+1,5),"주",""))-1)),""))</f>
        <v/>
      </c>
      <c r="L394" s="22">
        <f>IF($K394="","",IF(AND($K394-기준정보!$C$5&gt;=기준정보!$C$10,$K394-기준정보!$C$5&lt;=기준정보!$C$11),기준정보!$C$10-1,$K394-기준정보!$C$5))</f>
        <v/>
      </c>
      <c r="M394" s="23">
        <f>IF($L394="","",IF(OR(ISNUMBER(SEARCH("중국",$W394)),ISNUMBER(SEARCH("베트남",$W394))),MAX(0,MIN($L394,기준정보!$C$9)-MAX($L394-기준정보!$C$6,기준정보!$C$8)+1),IF(ISNUMBER(SEARCH("한국",$W394)),MAX(0,MIN($L394,기준정보!$C$11)-MAX($L394-기준정보!$C$6,기준정보!$C$10)+1),0)))</f>
        <v/>
      </c>
      <c r="N394" s="22">
        <f>IF($L394="","",$L394-기준정보!$C$6-$M394)</f>
        <v/>
      </c>
      <c r="O394" s="24">
        <f>IF($N394="","",$N394-기준정보!$C$4)</f>
        <v/>
      </c>
      <c r="P394" s="21" t="n"/>
      <c r="Q394" s="21" t="inlineStr">
        <is>
          <t>X</t>
        </is>
      </c>
      <c r="R394" s="19">
        <f>IF(COUNTIF(EDW_RAW!$A$2:$A$1500,$D394)=0,"",IF(COUNTIFS(EDW_RAW!$A$2:$A$1500,$D394,EDW_RAW!$U$2:$U$1500,"&lt;&gt;~",EDW_RAW!$U$2:$U$1500,"&lt;&gt;")=COUNTIF(EDW_RAW!$A$2:$A$1500,$D394),"O",IF(COUNTIFS(EDW_RAW!$A$2:$A$1500,$D394,EDW_RAW!$U$2:$U$1500,"&lt;&gt;~",EDW_RAW!$U$2:$U$1500,"&lt;&gt;")&gt;0,"부분","X")))</f>
        <v/>
      </c>
      <c r="S394" s="25" t="n"/>
      <c r="T394" s="20">
        <f>IF($H394="","",IF(AND(ISNUMBER(SEARCH("CMT",$H394)),OR(ISNUMBER(SEARCH("완사입",$H394)),ISNUMBER(SEARCH("ODM",$H394)))),"본사/생산처 혼재",IF(ISNUMBER(SEARCH("CMT",$H394)),"본사(소재팀)","생산처")))</f>
        <v/>
      </c>
      <c r="U394" s="20" t="inlineStr">
        <is>
          <t>풍국산업</t>
        </is>
      </c>
      <c r="V394" s="20">
        <f>IFERROR(TEXTJOIN(" / ",TRUE,UNIQUE(FILTER(소재DB_RAW!$K$3:$K$2000,(소재DB_RAW!$G$3:$G$2000=$D394)*ISERROR(SEARCH("drop",소재DB_RAW!$C$3:$C$2000))))),"")</f>
        <v/>
      </c>
      <c r="W394" s="20" t="inlineStr">
        <is>
          <t>베트남</t>
        </is>
      </c>
      <c r="X394" s="20">
        <f>IFERROR(TEXTJOIN(" / ",TRUE,UNIQUE(FILTER(소재DB_RAW!$N$3:$N$2000,(소재DB_RAW!$G$3:$G$2000=$D394)*ISERROR(SEARCH("drop",소재DB_RAW!$C$3:$C$2000))))),"")</f>
        <v/>
      </c>
      <c r="Y394" s="26">
        <f>IFERROR(TEXTJOIN(CHAR(10),TRUE,UNIQUE(FILTER(소재DB_RAW!$N$3:$N$2000&amp;") "&amp;소재DB_RAW!$O$3:$O$2000,(소재DB_RAW!$G$3:$G$2000=$D394)*ISNUMBER(SEARCH("겉감",소재DB_RAW!$M$3:$M$2000))*ISERROR(SEARCH("drop",소재DB_RAW!$C$3:$C$2000))))),"")</f>
        <v/>
      </c>
      <c r="Z394" s="26">
        <f>IFERROR(TEXTJOIN(CHAR(10),TRUE,UNIQUE(FILTER(소재DB_RAW!$N$3:$N$2000&amp;") "&amp;소재DB_RAW!$O$3:$O$2000,(소재DB_RAW!$G$3:$G$2000=$D394)*ISNUMBER(SEARCH("안감",소재DB_RAW!$M$3:$M$2000))*ISERROR(SEARCH("drop",소재DB_RAW!$C$3:$C$2000))))),"")</f>
        <v/>
      </c>
      <c r="AA394" s="27" t="n">
        <v>2000</v>
      </c>
      <c r="AB394" s="27" t="n">
        <v>46000000</v>
      </c>
      <c r="AC394" s="27" t="n">
        <v>216000000</v>
      </c>
      <c r="AD394" s="20" t="n"/>
      <c r="AE394" s="20">
        <f>IF($K394="","출고일 미정",IF($Q394="X","작지 미발행",IF($Q394="부분","작지 일부 미발행",IF(AND($S394&lt;&gt;"",$S394&gt;$N394),"소재입고 마감("&amp;TEXT($N394,"MM/DD")&amp;") 초과",IF($Q394="","발행여부 확인 필요",IF($S394="","소재 입고일정 확인 필요","정상"))))))</f>
        <v/>
      </c>
      <c r="AF394" s="19">
        <f>IF($K394="","",IF(OR(LEFT($AE394,2)="작지",LEFT($AE394,4)="소재입고"),IF(LEFT($G394,1)="S","★ 납기위험(S코드)","◆ 지연주의"),IF($AE394="정상","✓ 정상","? 확인필요")))</f>
        <v/>
      </c>
      <c r="AG394" s="21" t="n"/>
      <c r="AH394" s="28" t="n"/>
    </row>
    <row r="395">
      <c r="A395" s="19" t="n">
        <v>391</v>
      </c>
      <c r="B395" s="20" t="inlineStr">
        <is>
          <t>박진아</t>
        </is>
      </c>
      <c r="C395" s="20" t="inlineStr">
        <is>
          <t>조은선</t>
        </is>
      </c>
      <c r="D395" s="20" t="inlineStr">
        <is>
          <t>QEHFX27101</t>
        </is>
      </c>
      <c r="E395" s="20" t="inlineStr">
        <is>
          <t>남녀공용 모스드라이 하이킹 스트레치 장갑</t>
        </is>
      </c>
      <c r="F395" s="20" t="inlineStr">
        <is>
          <t>BLK(BLACK), LSL, VBU</t>
        </is>
      </c>
      <c r="G395" s="19">
        <f>IF($D395="","",IF(MID($D395,5,1)="S","S(봄)",IF(MID($D395,5,1)="M","M(여름)",IF(MID($D395,5,1)="X","X(사계절)",MID($D395,5,1)))))</f>
        <v/>
      </c>
      <c r="H395" s="20" t="inlineStr">
        <is>
          <t>완사입</t>
        </is>
      </c>
      <c r="I395" s="19" t="inlineStr"/>
      <c r="J395" s="21" t="inlineStr">
        <is>
          <t>1월4주</t>
        </is>
      </c>
      <c r="K395" s="22">
        <f>IF($J395="","",IFERROR(DATE(IF(VALUE(LEFT($J395,FIND("월",$J395)-1))&gt;=9,기준정보!$C$7-1,기준정보!$C$7),VALUE(LEFT($J395,FIND("월",$J395)-1)),1+7*(VALUE(SUBSTITUTE(MID($J395,FIND("월",$J395)+1,5),"주",""))-1)),""))</f>
        <v/>
      </c>
      <c r="L395" s="22">
        <f>IF($K395="","",IF(AND($K395-기준정보!$C$5&gt;=기준정보!$C$10,$K395-기준정보!$C$5&lt;=기준정보!$C$11),기준정보!$C$10-1,$K395-기준정보!$C$5))</f>
        <v/>
      </c>
      <c r="M395" s="23">
        <f>IF($L395="","",IF(OR(ISNUMBER(SEARCH("중국",$W395)),ISNUMBER(SEARCH("베트남",$W395))),MAX(0,MIN($L395,기준정보!$C$9)-MAX($L395-기준정보!$C$6,기준정보!$C$8)+1),IF(ISNUMBER(SEARCH("한국",$W395)),MAX(0,MIN($L395,기준정보!$C$11)-MAX($L395-기준정보!$C$6,기준정보!$C$10)+1),0)))</f>
        <v/>
      </c>
      <c r="N395" s="22">
        <f>IF($L395="","",$L395-기준정보!$C$6-$M395)</f>
        <v/>
      </c>
      <c r="O395" s="24">
        <f>IF($N395="","",$N395-기준정보!$C$4)</f>
        <v/>
      </c>
      <c r="P395" s="21" t="n"/>
      <c r="Q395" s="21" t="inlineStr">
        <is>
          <t>X</t>
        </is>
      </c>
      <c r="R395" s="19">
        <f>IF(COUNTIF(EDW_RAW!$A$2:$A$1500,$D395)=0,"",IF(COUNTIFS(EDW_RAW!$A$2:$A$1500,$D395,EDW_RAW!$U$2:$U$1500,"&lt;&gt;~",EDW_RAW!$U$2:$U$1500,"&lt;&gt;")=COUNTIF(EDW_RAW!$A$2:$A$1500,$D395),"O",IF(COUNTIFS(EDW_RAW!$A$2:$A$1500,$D395,EDW_RAW!$U$2:$U$1500,"&lt;&gt;~",EDW_RAW!$U$2:$U$1500,"&lt;&gt;")&gt;0,"부분","X")))</f>
        <v/>
      </c>
      <c r="S395" s="25" t="n"/>
      <c r="T395" s="20">
        <f>IF($H395="","",IF(AND(ISNUMBER(SEARCH("CMT",$H395)),OR(ISNUMBER(SEARCH("완사입",$H395)),ISNUMBER(SEARCH("ODM",$H395)))),"본사/생산처 혼재",IF(ISNUMBER(SEARCH("CMT",$H395)),"본사(소재팀)","생산처")))</f>
        <v/>
      </c>
      <c r="U395" s="20" t="inlineStr">
        <is>
          <t>시즈글로벌</t>
        </is>
      </c>
      <c r="V395" s="20">
        <f>IFERROR(TEXTJOIN(" / ",TRUE,UNIQUE(FILTER(소재DB_RAW!$K$3:$K$2000,(소재DB_RAW!$G$3:$G$2000=$D395)*ISERROR(SEARCH("drop",소재DB_RAW!$C$3:$C$2000))))),"")</f>
        <v/>
      </c>
      <c r="W395" s="20" t="inlineStr">
        <is>
          <t>베트남</t>
        </is>
      </c>
      <c r="X395" s="20">
        <f>IFERROR(TEXTJOIN(" / ",TRUE,UNIQUE(FILTER(소재DB_RAW!$N$3:$N$2000,(소재DB_RAW!$G$3:$G$2000=$D395)*ISERROR(SEARCH("drop",소재DB_RAW!$C$3:$C$2000))))),"")</f>
        <v/>
      </c>
      <c r="Y395" s="26">
        <f>IFERROR(TEXTJOIN(CHAR(10),TRUE,UNIQUE(FILTER(소재DB_RAW!$N$3:$N$2000&amp;") "&amp;소재DB_RAW!$O$3:$O$2000,(소재DB_RAW!$G$3:$G$2000=$D395)*ISNUMBER(SEARCH("겉감",소재DB_RAW!$M$3:$M$2000))*ISERROR(SEARCH("drop",소재DB_RAW!$C$3:$C$2000))))),"")</f>
        <v/>
      </c>
      <c r="Z395" s="26">
        <f>IFERROR(TEXTJOIN(CHAR(10),TRUE,UNIQUE(FILTER(소재DB_RAW!$N$3:$N$2000&amp;") "&amp;소재DB_RAW!$O$3:$O$2000,(소재DB_RAW!$G$3:$G$2000=$D395)*ISNUMBER(SEARCH("안감",소재DB_RAW!$M$3:$M$2000))*ISERROR(SEARCH("drop",소재DB_RAW!$C$3:$C$2000))))),"")</f>
        <v/>
      </c>
      <c r="AA395" s="27" t="n">
        <v>5500</v>
      </c>
      <c r="AB395" s="27" t="n">
        <v>51066500</v>
      </c>
      <c r="AC395" s="27" t="n">
        <v>302500000</v>
      </c>
      <c r="AD395" s="20" t="n"/>
      <c r="AE395" s="20">
        <f>IF($K395="","출고일 미정",IF($Q395="X","작지 미발행",IF($Q395="부분","작지 일부 미발행",IF(AND($S395&lt;&gt;"",$S395&gt;$N395),"소재입고 마감("&amp;TEXT($N395,"MM/DD")&amp;") 초과",IF($Q395="","발행여부 확인 필요",IF($S395="","소재 입고일정 확인 필요","정상"))))))</f>
        <v/>
      </c>
      <c r="AF395" s="19">
        <f>IF($K395="","",IF(OR(LEFT($AE395,2)="작지",LEFT($AE395,4)="소재입고"),IF(LEFT($G395,1)="S","★ 납기위험(S코드)","◆ 지연주의"),IF($AE395="정상","✓ 정상","? 확인필요")))</f>
        <v/>
      </c>
      <c r="AG395" s="21" t="n"/>
      <c r="AH395" s="28" t="n"/>
    </row>
    <row r="396">
      <c r="A396" s="19" t="n">
        <v>392</v>
      </c>
      <c r="B396" s="20" t="inlineStr">
        <is>
          <t>박진아</t>
        </is>
      </c>
      <c r="C396" s="20" t="inlineStr">
        <is>
          <t>조은선</t>
        </is>
      </c>
      <c r="D396" s="20" t="inlineStr">
        <is>
          <t>QEHFX27105</t>
        </is>
      </c>
      <c r="E396" s="20" t="inlineStr">
        <is>
          <t>남녀공용 하이킹 메쉬 긴장갑</t>
        </is>
      </c>
      <c r="F396" s="20" t="inlineStr">
        <is>
          <t>WGY, DGY(D/GRAY), LAV(LAVENDER)</t>
        </is>
      </c>
      <c r="G396" s="19">
        <f>IF($D396="","",IF(MID($D396,5,1)="S","S(봄)",IF(MID($D396,5,1)="M","M(여름)",IF(MID($D396,5,1)="X","X(사계절)",MID($D396,5,1)))))</f>
        <v/>
      </c>
      <c r="H396" s="20" t="inlineStr">
        <is>
          <t>완사입</t>
        </is>
      </c>
      <c r="I396" s="19" t="inlineStr"/>
      <c r="J396" s="21" t="inlineStr">
        <is>
          <t>1월4주</t>
        </is>
      </c>
      <c r="K396" s="22">
        <f>IF($J396="","",IFERROR(DATE(IF(VALUE(LEFT($J396,FIND("월",$J396)-1))&gt;=9,기준정보!$C$7-1,기준정보!$C$7),VALUE(LEFT($J396,FIND("월",$J396)-1)),1+7*(VALUE(SUBSTITUTE(MID($J396,FIND("월",$J396)+1,5),"주",""))-1)),""))</f>
        <v/>
      </c>
      <c r="L396" s="22">
        <f>IF($K396="","",IF(AND($K396-기준정보!$C$5&gt;=기준정보!$C$10,$K396-기준정보!$C$5&lt;=기준정보!$C$11),기준정보!$C$10-1,$K396-기준정보!$C$5))</f>
        <v/>
      </c>
      <c r="M396" s="23">
        <f>IF($L396="","",IF(OR(ISNUMBER(SEARCH("중국",$W396)),ISNUMBER(SEARCH("베트남",$W396))),MAX(0,MIN($L396,기준정보!$C$9)-MAX($L396-기준정보!$C$6,기준정보!$C$8)+1),IF(ISNUMBER(SEARCH("한국",$W396)),MAX(0,MIN($L396,기준정보!$C$11)-MAX($L396-기준정보!$C$6,기준정보!$C$10)+1),0)))</f>
        <v/>
      </c>
      <c r="N396" s="22">
        <f>IF($L396="","",$L396-기준정보!$C$6-$M396)</f>
        <v/>
      </c>
      <c r="O396" s="24">
        <f>IF($N396="","",$N396-기준정보!$C$4)</f>
        <v/>
      </c>
      <c r="P396" s="21" t="n"/>
      <c r="Q396" s="21" t="inlineStr">
        <is>
          <t>X</t>
        </is>
      </c>
      <c r="R396" s="19">
        <f>IF(COUNTIF(EDW_RAW!$A$2:$A$1500,$D396)=0,"",IF(COUNTIFS(EDW_RAW!$A$2:$A$1500,$D396,EDW_RAW!$U$2:$U$1500,"&lt;&gt;~",EDW_RAW!$U$2:$U$1500,"&lt;&gt;")=COUNTIF(EDW_RAW!$A$2:$A$1500,$D396),"O",IF(COUNTIFS(EDW_RAW!$A$2:$A$1500,$D396,EDW_RAW!$U$2:$U$1500,"&lt;&gt;~",EDW_RAW!$U$2:$U$1500,"&lt;&gt;")&gt;0,"부분","X")))</f>
        <v/>
      </c>
      <c r="S396" s="25" t="n"/>
      <c r="T396" s="20">
        <f>IF($H396="","",IF(AND(ISNUMBER(SEARCH("CMT",$H396)),OR(ISNUMBER(SEARCH("완사입",$H396)),ISNUMBER(SEARCH("ODM",$H396)))),"본사/생산처 혼재",IF(ISNUMBER(SEARCH("CMT",$H396)),"본사(소재팀)","생산처")))</f>
        <v/>
      </c>
      <c r="U396" s="20" t="inlineStr">
        <is>
          <t>시즈글로벌</t>
        </is>
      </c>
      <c r="V396" s="20">
        <f>IFERROR(TEXTJOIN(" / ",TRUE,UNIQUE(FILTER(소재DB_RAW!$K$3:$K$2000,(소재DB_RAW!$G$3:$G$2000=$D396)*ISERROR(SEARCH("drop",소재DB_RAW!$C$3:$C$2000))))),"")</f>
        <v/>
      </c>
      <c r="W396" s="20" t="inlineStr">
        <is>
          <t>베트남</t>
        </is>
      </c>
      <c r="X396" s="20">
        <f>IFERROR(TEXTJOIN(" / ",TRUE,UNIQUE(FILTER(소재DB_RAW!$N$3:$N$2000,(소재DB_RAW!$G$3:$G$2000=$D396)*ISERROR(SEARCH("drop",소재DB_RAW!$C$3:$C$2000))))),"")</f>
        <v/>
      </c>
      <c r="Y396" s="26">
        <f>IFERROR(TEXTJOIN(CHAR(10),TRUE,UNIQUE(FILTER(소재DB_RAW!$N$3:$N$2000&amp;") "&amp;소재DB_RAW!$O$3:$O$2000,(소재DB_RAW!$G$3:$G$2000=$D396)*ISNUMBER(SEARCH("겉감",소재DB_RAW!$M$3:$M$2000))*ISERROR(SEARCH("drop",소재DB_RAW!$C$3:$C$2000))))),"")</f>
        <v/>
      </c>
      <c r="Z396" s="26">
        <f>IFERROR(TEXTJOIN(CHAR(10),TRUE,UNIQUE(FILTER(소재DB_RAW!$N$3:$N$2000&amp;") "&amp;소재DB_RAW!$O$3:$O$2000,(소재DB_RAW!$G$3:$G$2000=$D396)*ISNUMBER(SEARCH("안감",소재DB_RAW!$M$3:$M$2000))*ISERROR(SEARCH("drop",소재DB_RAW!$C$3:$C$2000))))),"")</f>
        <v/>
      </c>
      <c r="AA396" s="27" t="n">
        <v>5100</v>
      </c>
      <c r="AB396" s="27" t="n">
        <v>56747700</v>
      </c>
      <c r="AC396" s="27" t="n">
        <v>280500000</v>
      </c>
      <c r="AD396" s="20" t="n"/>
      <c r="AE396" s="20">
        <f>IF($K396="","출고일 미정",IF($Q396="X","작지 미발행",IF($Q396="부분","작지 일부 미발행",IF(AND($S396&lt;&gt;"",$S396&gt;$N396),"소재입고 마감("&amp;TEXT($N396,"MM/DD")&amp;") 초과",IF($Q396="","발행여부 확인 필요",IF($S396="","소재 입고일정 확인 필요","정상"))))))</f>
        <v/>
      </c>
      <c r="AF396" s="19">
        <f>IF($K396="","",IF(OR(LEFT($AE396,2)="작지",LEFT($AE396,4)="소재입고"),IF(LEFT($G396,1)="S","★ 납기위험(S코드)","◆ 지연주의"),IF($AE396="정상","✓ 정상","? 확인필요")))</f>
        <v/>
      </c>
      <c r="AG396" s="21" t="n"/>
      <c r="AH396" s="28" t="n"/>
    </row>
    <row r="397">
      <c r="A397" s="19" t="n">
        <v>393</v>
      </c>
      <c r="B397" s="20" t="inlineStr">
        <is>
          <t>최지희</t>
        </is>
      </c>
      <c r="C397" s="20" t="inlineStr"/>
      <c r="D397" s="20" t="inlineStr">
        <is>
          <t>JKIBX27902</t>
        </is>
      </c>
      <c r="E397" s="20" t="inlineStr">
        <is>
          <t>유통특화_여성 냉감 브리프</t>
        </is>
      </c>
      <c r="F397" s="20" t="inlineStr">
        <is>
          <t>BLK(BLACK), SBE</t>
        </is>
      </c>
      <c r="G397" s="19">
        <f>IF($D397="","",IF(MID($D397,5,1)="S","S(봄)",IF(MID($D397,5,1)="M","M(여름)",IF(MID($D397,5,1)="X","X(사계절)",MID($D397,5,1)))))</f>
        <v/>
      </c>
      <c r="H397" s="20" t="inlineStr">
        <is>
          <t>완사입</t>
        </is>
      </c>
      <c r="I397" s="19" t="inlineStr"/>
      <c r="J397" s="21" t="inlineStr">
        <is>
          <t>2월4주</t>
        </is>
      </c>
      <c r="K397" s="22">
        <f>IF($J397="","",IFERROR(DATE(IF(VALUE(LEFT($J397,FIND("월",$J397)-1))&gt;=9,기준정보!$C$7-1,기준정보!$C$7),VALUE(LEFT($J397,FIND("월",$J397)-1)),1+7*(VALUE(SUBSTITUTE(MID($J397,FIND("월",$J397)+1,5),"주",""))-1)),""))</f>
        <v/>
      </c>
      <c r="L397" s="22">
        <f>IF($K397="","",IF(AND($K397-기준정보!$C$5&gt;=기준정보!$C$10,$K397-기준정보!$C$5&lt;=기준정보!$C$11),기준정보!$C$10-1,$K397-기준정보!$C$5))</f>
        <v/>
      </c>
      <c r="M397" s="23">
        <f>IF($L397="","",IF(OR(ISNUMBER(SEARCH("중국",$W397)),ISNUMBER(SEARCH("베트남",$W397))),MAX(0,MIN($L397,기준정보!$C$9)-MAX($L397-기준정보!$C$6,기준정보!$C$8)+1),IF(ISNUMBER(SEARCH("한국",$W397)),MAX(0,MIN($L397,기준정보!$C$11)-MAX($L397-기준정보!$C$6,기준정보!$C$10)+1),0)))</f>
        <v/>
      </c>
      <c r="N397" s="22">
        <f>IF($L397="","",$L397-기준정보!$C$6-$M397)</f>
        <v/>
      </c>
      <c r="O397" s="24">
        <f>IF($N397="","",$N397-기준정보!$C$4)</f>
        <v/>
      </c>
      <c r="P397" s="21" t="n"/>
      <c r="Q397" s="21" t="inlineStr">
        <is>
          <t>X</t>
        </is>
      </c>
      <c r="R397" s="19">
        <f>IF(COUNTIF(EDW_RAW!$A$2:$A$1500,$D397)=0,"",IF(COUNTIFS(EDW_RAW!$A$2:$A$1500,$D397,EDW_RAW!$U$2:$U$1500,"&lt;&gt;~",EDW_RAW!$U$2:$U$1500,"&lt;&gt;")=COUNTIF(EDW_RAW!$A$2:$A$1500,$D397),"O",IF(COUNTIFS(EDW_RAW!$A$2:$A$1500,$D397,EDW_RAW!$U$2:$U$1500,"&lt;&gt;~",EDW_RAW!$U$2:$U$1500,"&lt;&gt;")&gt;0,"부분","X")))</f>
        <v/>
      </c>
      <c r="S397" s="25" t="n"/>
      <c r="T397" s="20">
        <f>IF($H397="","",IF(AND(ISNUMBER(SEARCH("CMT",$H397)),OR(ISNUMBER(SEARCH("완사입",$H397)),ISNUMBER(SEARCH("ODM",$H397)))),"본사/생산처 혼재",IF(ISNUMBER(SEARCH("CMT",$H397)),"본사(소재팀)","생산처")))</f>
        <v/>
      </c>
      <c r="U397" s="20" t="inlineStr"/>
      <c r="V397" s="20">
        <f>IFERROR(TEXTJOIN(" / ",TRUE,UNIQUE(FILTER(소재DB_RAW!$K$3:$K$2000,(소재DB_RAW!$G$3:$G$2000=$D397)*ISERROR(SEARCH("drop",소재DB_RAW!$C$3:$C$2000))))),"")</f>
        <v/>
      </c>
      <c r="W397" s="20" t="inlineStr"/>
      <c r="X397" s="20">
        <f>IFERROR(TEXTJOIN(" / ",TRUE,UNIQUE(FILTER(소재DB_RAW!$N$3:$N$2000,(소재DB_RAW!$G$3:$G$2000=$D397)*ISERROR(SEARCH("drop",소재DB_RAW!$C$3:$C$2000))))),"")</f>
        <v/>
      </c>
      <c r="Y397" s="26">
        <f>IFERROR(TEXTJOIN(CHAR(10),TRUE,UNIQUE(FILTER(소재DB_RAW!$N$3:$N$2000&amp;") "&amp;소재DB_RAW!$O$3:$O$2000,(소재DB_RAW!$G$3:$G$2000=$D397)*ISNUMBER(SEARCH("겉감",소재DB_RAW!$M$3:$M$2000))*ISERROR(SEARCH("drop",소재DB_RAW!$C$3:$C$2000))))),"")</f>
        <v/>
      </c>
      <c r="Z397" s="26">
        <f>IFERROR(TEXTJOIN(CHAR(10),TRUE,UNIQUE(FILTER(소재DB_RAW!$N$3:$N$2000&amp;") "&amp;소재DB_RAW!$O$3:$O$2000,(소재DB_RAW!$G$3:$G$2000=$D397)*ISNUMBER(SEARCH("안감",소재DB_RAW!$M$3:$M$2000))*ISERROR(SEARCH("drop",소재DB_RAW!$C$3:$C$2000))))),"")</f>
        <v/>
      </c>
      <c r="AA397" s="27" t="n">
        <v>2000</v>
      </c>
      <c r="AB397" s="27" t="n">
        <v>13000000</v>
      </c>
      <c r="AC397" s="27" t="n">
        <v>70000000</v>
      </c>
      <c r="AD397" s="20" t="n"/>
      <c r="AE397" s="20">
        <f>IF($K397="","출고일 미정",IF($Q397="X","작지 미발행",IF($Q397="부분","작지 일부 미발행",IF(AND($S397&lt;&gt;"",$S397&gt;$N397),"소재입고 마감("&amp;TEXT($N397,"MM/DD")&amp;") 초과",IF($Q397="","발행여부 확인 필요",IF($S397="","소재 입고일정 확인 필요","정상"))))))</f>
        <v/>
      </c>
      <c r="AF397" s="19">
        <f>IF($K397="","",IF(OR(LEFT($AE397,2)="작지",LEFT($AE397,4)="소재입고"),IF(LEFT($G397,1)="S","★ 납기위험(S코드)","◆ 지연주의"),IF($AE397="정상","✓ 정상","? 확인필요")))</f>
        <v/>
      </c>
      <c r="AG397" s="21" t="n"/>
      <c r="AH397" s="28" t="n"/>
    </row>
    <row r="398">
      <c r="A398" s="19" t="n">
        <v>394</v>
      </c>
      <c r="B398" s="20" t="inlineStr">
        <is>
          <t>최지희</t>
        </is>
      </c>
      <c r="C398" s="20" t="inlineStr"/>
      <c r="D398" s="20" t="inlineStr">
        <is>
          <t>JKICX27102</t>
        </is>
      </c>
      <c r="E398" s="20" t="inlineStr">
        <is>
          <t>여성 하이브리드 냉감 터틀넥 티셔츠</t>
        </is>
      </c>
      <c r="F398" s="20" t="inlineStr">
        <is>
          <t>CO1, CO2</t>
        </is>
      </c>
      <c r="G398" s="19">
        <f>IF($D398="","",IF(MID($D398,5,1)="S","S(봄)",IF(MID($D398,5,1)="M","M(여름)",IF(MID($D398,5,1)="X","X(사계절)",MID($D398,5,1)))))</f>
        <v/>
      </c>
      <c r="H398" s="20" t="inlineStr">
        <is>
          <t>완사입</t>
        </is>
      </c>
      <c r="I398" s="19" t="inlineStr"/>
      <c r="J398" s="21" t="inlineStr">
        <is>
          <t>2월4주</t>
        </is>
      </c>
      <c r="K398" s="22">
        <f>IF($J398="","",IFERROR(DATE(IF(VALUE(LEFT($J398,FIND("월",$J398)-1))&gt;=9,기준정보!$C$7-1,기준정보!$C$7),VALUE(LEFT($J398,FIND("월",$J398)-1)),1+7*(VALUE(SUBSTITUTE(MID($J398,FIND("월",$J398)+1,5),"주",""))-1)),""))</f>
        <v/>
      </c>
      <c r="L398" s="22">
        <f>IF($K398="","",IF(AND($K398-기준정보!$C$5&gt;=기준정보!$C$10,$K398-기준정보!$C$5&lt;=기준정보!$C$11),기준정보!$C$10-1,$K398-기준정보!$C$5))</f>
        <v/>
      </c>
      <c r="M398" s="23">
        <f>IF($L398="","",IF(OR(ISNUMBER(SEARCH("중국",$W398)),ISNUMBER(SEARCH("베트남",$W398))),MAX(0,MIN($L398,기준정보!$C$9)-MAX($L398-기준정보!$C$6,기준정보!$C$8)+1),IF(ISNUMBER(SEARCH("한국",$W398)),MAX(0,MIN($L398,기준정보!$C$11)-MAX($L398-기준정보!$C$6,기준정보!$C$10)+1),0)))</f>
        <v/>
      </c>
      <c r="N398" s="22">
        <f>IF($L398="","",$L398-기준정보!$C$6-$M398)</f>
        <v/>
      </c>
      <c r="O398" s="24">
        <f>IF($N398="","",$N398-기준정보!$C$4)</f>
        <v/>
      </c>
      <c r="P398" s="21" t="n"/>
      <c r="Q398" s="21" t="inlineStr">
        <is>
          <t>X</t>
        </is>
      </c>
      <c r="R398" s="19">
        <f>IF(COUNTIF(EDW_RAW!$A$2:$A$1500,$D398)=0,"",IF(COUNTIFS(EDW_RAW!$A$2:$A$1500,$D398,EDW_RAW!$U$2:$U$1500,"&lt;&gt;~",EDW_RAW!$U$2:$U$1500,"&lt;&gt;")=COUNTIF(EDW_RAW!$A$2:$A$1500,$D398),"O",IF(COUNTIFS(EDW_RAW!$A$2:$A$1500,$D398,EDW_RAW!$U$2:$U$1500,"&lt;&gt;~",EDW_RAW!$U$2:$U$1500,"&lt;&gt;")&gt;0,"부분","X")))</f>
        <v/>
      </c>
      <c r="S398" s="25" t="n"/>
      <c r="T398" s="20">
        <f>IF($H398="","",IF(AND(ISNUMBER(SEARCH("CMT",$H398)),OR(ISNUMBER(SEARCH("완사입",$H398)),ISNUMBER(SEARCH("ODM",$H398)))),"본사/생산처 혼재",IF(ISNUMBER(SEARCH("CMT",$H398)),"본사(소재팀)","생산처")))</f>
        <v/>
      </c>
      <c r="U398" s="20" t="inlineStr"/>
      <c r="V398" s="20">
        <f>IFERROR(TEXTJOIN(" / ",TRUE,UNIQUE(FILTER(소재DB_RAW!$K$3:$K$2000,(소재DB_RAW!$G$3:$G$2000=$D398)*ISERROR(SEARCH("drop",소재DB_RAW!$C$3:$C$2000))))),"")</f>
        <v/>
      </c>
      <c r="W398" s="20" t="inlineStr"/>
      <c r="X398" s="20">
        <f>IFERROR(TEXTJOIN(" / ",TRUE,UNIQUE(FILTER(소재DB_RAW!$N$3:$N$2000,(소재DB_RAW!$G$3:$G$2000=$D398)*ISERROR(SEARCH("drop",소재DB_RAW!$C$3:$C$2000))))),"")</f>
        <v/>
      </c>
      <c r="Y398" s="26">
        <f>IFERROR(TEXTJOIN(CHAR(10),TRUE,UNIQUE(FILTER(소재DB_RAW!$N$3:$N$2000&amp;") "&amp;소재DB_RAW!$O$3:$O$2000,(소재DB_RAW!$G$3:$G$2000=$D398)*ISNUMBER(SEARCH("겉감",소재DB_RAW!$M$3:$M$2000))*ISERROR(SEARCH("drop",소재DB_RAW!$C$3:$C$2000))))),"")</f>
        <v/>
      </c>
      <c r="Z398" s="26">
        <f>IFERROR(TEXTJOIN(CHAR(10),TRUE,UNIQUE(FILTER(소재DB_RAW!$N$3:$N$2000&amp;") "&amp;소재DB_RAW!$O$3:$O$2000,(소재DB_RAW!$G$3:$G$2000=$D398)*ISNUMBER(SEARCH("안감",소재DB_RAW!$M$3:$M$2000))*ISERROR(SEARCH("drop",소재DB_RAW!$C$3:$C$2000))))),"")</f>
        <v/>
      </c>
      <c r="AA398" s="27" t="n">
        <v>3500</v>
      </c>
      <c r="AB398" s="27" t="n">
        <v>57974000</v>
      </c>
      <c r="AC398" s="27" t="n">
        <v>273000000</v>
      </c>
      <c r="AD398" s="20" t="n"/>
      <c r="AE398" s="20">
        <f>IF($K398="","출고일 미정",IF($Q398="X","작지 미발행",IF($Q398="부분","작지 일부 미발행",IF(AND($S398&lt;&gt;"",$S398&gt;$N398),"소재입고 마감("&amp;TEXT($N398,"MM/DD")&amp;") 초과",IF($Q398="","발행여부 확인 필요",IF($S398="","소재 입고일정 확인 필요","정상"))))))</f>
        <v/>
      </c>
      <c r="AF398" s="19">
        <f>IF($K398="","",IF(OR(LEFT($AE398,2)="작지",LEFT($AE398,4)="소재입고"),IF(LEFT($G398,1)="S","★ 납기위험(S코드)","◆ 지연주의"),IF($AE398="정상","✓ 정상","? 확인필요")))</f>
        <v/>
      </c>
      <c r="AG398" s="21" t="n"/>
      <c r="AH398" s="28" t="n"/>
    </row>
    <row r="399">
      <c r="A399" s="19" t="n">
        <v>395</v>
      </c>
      <c r="B399" s="20" t="inlineStr">
        <is>
          <t>최지희</t>
        </is>
      </c>
      <c r="C399" s="20" t="inlineStr"/>
      <c r="D399" s="20" t="inlineStr">
        <is>
          <t>JKICX27112</t>
        </is>
      </c>
      <c r="E399" s="20" t="inlineStr">
        <is>
          <t>여성 냉감 슬리브리스</t>
        </is>
      </c>
      <c r="F399" s="20" t="inlineStr">
        <is>
          <t>CO1, CO2</t>
        </is>
      </c>
      <c r="G399" s="19">
        <f>IF($D399="","",IF(MID($D399,5,1)="S","S(봄)",IF(MID($D399,5,1)="M","M(여름)",IF(MID($D399,5,1)="X","X(사계절)",MID($D399,5,1)))))</f>
        <v/>
      </c>
      <c r="H399" s="20" t="inlineStr">
        <is>
          <t>완사입</t>
        </is>
      </c>
      <c r="I399" s="19" t="inlineStr"/>
      <c r="J399" s="21" t="inlineStr">
        <is>
          <t>2월4주</t>
        </is>
      </c>
      <c r="K399" s="22">
        <f>IF($J399="","",IFERROR(DATE(IF(VALUE(LEFT($J399,FIND("월",$J399)-1))&gt;=9,기준정보!$C$7-1,기준정보!$C$7),VALUE(LEFT($J399,FIND("월",$J399)-1)),1+7*(VALUE(SUBSTITUTE(MID($J399,FIND("월",$J399)+1,5),"주",""))-1)),""))</f>
        <v/>
      </c>
      <c r="L399" s="22">
        <f>IF($K399="","",IF(AND($K399-기준정보!$C$5&gt;=기준정보!$C$10,$K399-기준정보!$C$5&lt;=기준정보!$C$11),기준정보!$C$10-1,$K399-기준정보!$C$5))</f>
        <v/>
      </c>
      <c r="M399" s="23">
        <f>IF($L399="","",IF(OR(ISNUMBER(SEARCH("중국",$W399)),ISNUMBER(SEARCH("베트남",$W399))),MAX(0,MIN($L399,기준정보!$C$9)-MAX($L399-기준정보!$C$6,기준정보!$C$8)+1),IF(ISNUMBER(SEARCH("한국",$W399)),MAX(0,MIN($L399,기준정보!$C$11)-MAX($L399-기준정보!$C$6,기준정보!$C$10)+1),0)))</f>
        <v/>
      </c>
      <c r="N399" s="22">
        <f>IF($L399="","",$L399-기준정보!$C$6-$M399)</f>
        <v/>
      </c>
      <c r="O399" s="24">
        <f>IF($N399="","",$N399-기준정보!$C$4)</f>
        <v/>
      </c>
      <c r="P399" s="21" t="n"/>
      <c r="Q399" s="21" t="inlineStr">
        <is>
          <t>X</t>
        </is>
      </c>
      <c r="R399" s="19">
        <f>IF(COUNTIF(EDW_RAW!$A$2:$A$1500,$D399)=0,"",IF(COUNTIFS(EDW_RAW!$A$2:$A$1500,$D399,EDW_RAW!$U$2:$U$1500,"&lt;&gt;~",EDW_RAW!$U$2:$U$1500,"&lt;&gt;")=COUNTIF(EDW_RAW!$A$2:$A$1500,$D399),"O",IF(COUNTIFS(EDW_RAW!$A$2:$A$1500,$D399,EDW_RAW!$U$2:$U$1500,"&lt;&gt;~",EDW_RAW!$U$2:$U$1500,"&lt;&gt;")&gt;0,"부분","X")))</f>
        <v/>
      </c>
      <c r="S399" s="25" t="n"/>
      <c r="T399" s="20">
        <f>IF($H399="","",IF(AND(ISNUMBER(SEARCH("CMT",$H399)),OR(ISNUMBER(SEARCH("완사입",$H399)),ISNUMBER(SEARCH("ODM",$H399)))),"본사/생산처 혼재",IF(ISNUMBER(SEARCH("CMT",$H399)),"본사(소재팀)","생산처")))</f>
        <v/>
      </c>
      <c r="U399" s="20" t="inlineStr"/>
      <c r="V399" s="20">
        <f>IFERROR(TEXTJOIN(" / ",TRUE,UNIQUE(FILTER(소재DB_RAW!$K$3:$K$2000,(소재DB_RAW!$G$3:$G$2000=$D399)*ISERROR(SEARCH("drop",소재DB_RAW!$C$3:$C$2000))))),"")</f>
        <v/>
      </c>
      <c r="W399" s="20" t="inlineStr"/>
      <c r="X399" s="20">
        <f>IFERROR(TEXTJOIN(" / ",TRUE,UNIQUE(FILTER(소재DB_RAW!$N$3:$N$2000,(소재DB_RAW!$G$3:$G$2000=$D399)*ISERROR(SEARCH("drop",소재DB_RAW!$C$3:$C$2000))))),"")</f>
        <v/>
      </c>
      <c r="Y399" s="26">
        <f>IFERROR(TEXTJOIN(CHAR(10),TRUE,UNIQUE(FILTER(소재DB_RAW!$N$3:$N$2000&amp;") "&amp;소재DB_RAW!$O$3:$O$2000,(소재DB_RAW!$G$3:$G$2000=$D399)*ISNUMBER(SEARCH("겉감",소재DB_RAW!$M$3:$M$2000))*ISERROR(SEARCH("drop",소재DB_RAW!$C$3:$C$2000))))),"")</f>
        <v/>
      </c>
      <c r="Z399" s="26">
        <f>IFERROR(TEXTJOIN(CHAR(10),TRUE,UNIQUE(FILTER(소재DB_RAW!$N$3:$N$2000&amp;") "&amp;소재DB_RAW!$O$3:$O$2000,(소재DB_RAW!$G$3:$G$2000=$D399)*ISNUMBER(SEARCH("안감",소재DB_RAW!$M$3:$M$2000))*ISERROR(SEARCH("drop",소재DB_RAW!$C$3:$C$2000))))),"")</f>
        <v/>
      </c>
      <c r="AA399" s="27" t="n">
        <v>2000</v>
      </c>
      <c r="AB399" s="27" t="n">
        <v>24000000</v>
      </c>
      <c r="AC399" s="27" t="n">
        <v>110000000</v>
      </c>
      <c r="AD399" s="20" t="n"/>
      <c r="AE399" s="20">
        <f>IF($K399="","출고일 미정",IF($Q399="X","작지 미발행",IF($Q399="부분","작지 일부 미발행",IF(AND($S399&lt;&gt;"",$S399&gt;$N399),"소재입고 마감("&amp;TEXT($N399,"MM/DD")&amp;") 초과",IF($Q399="","발행여부 확인 필요",IF($S399="","소재 입고일정 확인 필요","정상"))))))</f>
        <v/>
      </c>
      <c r="AF399" s="19">
        <f>IF($K399="","",IF(OR(LEFT($AE399,2)="작지",LEFT($AE399,4)="소재입고"),IF(LEFT($G399,1)="S","★ 납기위험(S코드)","◆ 지연주의"),IF($AE399="정상","✓ 정상","? 확인필요")))</f>
        <v/>
      </c>
      <c r="AG399" s="21" t="n"/>
      <c r="AH399" s="28" t="n"/>
    </row>
    <row r="400">
      <c r="A400" s="19" t="n">
        <v>396</v>
      </c>
      <c r="B400" s="20" t="inlineStr">
        <is>
          <t>최지희</t>
        </is>
      </c>
      <c r="C400" s="20" t="inlineStr"/>
      <c r="D400" s="20" t="inlineStr">
        <is>
          <t>JKICX27122</t>
        </is>
      </c>
      <c r="E400" s="20" t="inlineStr">
        <is>
          <t>여성 하이킹 브라탑</t>
        </is>
      </c>
      <c r="F400" s="20" t="inlineStr">
        <is>
          <t>CO1, CO2</t>
        </is>
      </c>
      <c r="G400" s="19">
        <f>IF($D400="","",IF(MID($D400,5,1)="S","S(봄)",IF(MID($D400,5,1)="M","M(여름)",IF(MID($D400,5,1)="X","X(사계절)",MID($D400,5,1)))))</f>
        <v/>
      </c>
      <c r="H400" s="20" t="inlineStr">
        <is>
          <t>완사입</t>
        </is>
      </c>
      <c r="I400" s="19" t="inlineStr"/>
      <c r="J400" s="21" t="inlineStr">
        <is>
          <t>2월4주</t>
        </is>
      </c>
      <c r="K400" s="22">
        <f>IF($J400="","",IFERROR(DATE(IF(VALUE(LEFT($J400,FIND("월",$J400)-1))&gt;=9,기준정보!$C$7-1,기준정보!$C$7),VALUE(LEFT($J400,FIND("월",$J400)-1)),1+7*(VALUE(SUBSTITUTE(MID($J400,FIND("월",$J400)+1,5),"주",""))-1)),""))</f>
        <v/>
      </c>
      <c r="L400" s="22">
        <f>IF($K400="","",IF(AND($K400-기준정보!$C$5&gt;=기준정보!$C$10,$K400-기준정보!$C$5&lt;=기준정보!$C$11),기준정보!$C$10-1,$K400-기준정보!$C$5))</f>
        <v/>
      </c>
      <c r="M400" s="23">
        <f>IF($L400="","",IF(OR(ISNUMBER(SEARCH("중국",$W400)),ISNUMBER(SEARCH("베트남",$W400))),MAX(0,MIN($L400,기준정보!$C$9)-MAX($L400-기준정보!$C$6,기준정보!$C$8)+1),IF(ISNUMBER(SEARCH("한국",$W400)),MAX(0,MIN($L400,기준정보!$C$11)-MAX($L400-기준정보!$C$6,기준정보!$C$10)+1),0)))</f>
        <v/>
      </c>
      <c r="N400" s="22">
        <f>IF($L400="","",$L400-기준정보!$C$6-$M400)</f>
        <v/>
      </c>
      <c r="O400" s="24">
        <f>IF($N400="","",$N400-기준정보!$C$4)</f>
        <v/>
      </c>
      <c r="P400" s="21" t="n"/>
      <c r="Q400" s="21" t="inlineStr">
        <is>
          <t>X</t>
        </is>
      </c>
      <c r="R400" s="19">
        <f>IF(COUNTIF(EDW_RAW!$A$2:$A$1500,$D400)=0,"",IF(COUNTIFS(EDW_RAW!$A$2:$A$1500,$D400,EDW_RAW!$U$2:$U$1500,"&lt;&gt;~",EDW_RAW!$U$2:$U$1500,"&lt;&gt;")=COUNTIF(EDW_RAW!$A$2:$A$1500,$D400),"O",IF(COUNTIFS(EDW_RAW!$A$2:$A$1500,$D400,EDW_RAW!$U$2:$U$1500,"&lt;&gt;~",EDW_RAW!$U$2:$U$1500,"&lt;&gt;")&gt;0,"부분","X")))</f>
        <v/>
      </c>
      <c r="S400" s="25" t="n"/>
      <c r="T400" s="20">
        <f>IF($H400="","",IF(AND(ISNUMBER(SEARCH("CMT",$H400)),OR(ISNUMBER(SEARCH("완사입",$H400)),ISNUMBER(SEARCH("ODM",$H400)))),"본사/생산처 혼재",IF(ISNUMBER(SEARCH("CMT",$H400)),"본사(소재팀)","생산처")))</f>
        <v/>
      </c>
      <c r="U400" s="20" t="inlineStr"/>
      <c r="V400" s="20">
        <f>IFERROR(TEXTJOIN(" / ",TRUE,UNIQUE(FILTER(소재DB_RAW!$K$3:$K$2000,(소재DB_RAW!$G$3:$G$2000=$D400)*ISERROR(SEARCH("drop",소재DB_RAW!$C$3:$C$2000))))),"")</f>
        <v/>
      </c>
      <c r="W400" s="20" t="inlineStr"/>
      <c r="X400" s="20">
        <f>IFERROR(TEXTJOIN(" / ",TRUE,UNIQUE(FILTER(소재DB_RAW!$N$3:$N$2000,(소재DB_RAW!$G$3:$G$2000=$D400)*ISERROR(SEARCH("drop",소재DB_RAW!$C$3:$C$2000))))),"")</f>
        <v/>
      </c>
      <c r="Y400" s="26">
        <f>IFERROR(TEXTJOIN(CHAR(10),TRUE,UNIQUE(FILTER(소재DB_RAW!$N$3:$N$2000&amp;") "&amp;소재DB_RAW!$O$3:$O$2000,(소재DB_RAW!$G$3:$G$2000=$D400)*ISNUMBER(SEARCH("겉감",소재DB_RAW!$M$3:$M$2000))*ISERROR(SEARCH("drop",소재DB_RAW!$C$3:$C$2000))))),"")</f>
        <v/>
      </c>
      <c r="Z400" s="26">
        <f>IFERROR(TEXTJOIN(CHAR(10),TRUE,UNIQUE(FILTER(소재DB_RAW!$N$3:$N$2000&amp;") "&amp;소재DB_RAW!$O$3:$O$2000,(소재DB_RAW!$G$3:$G$2000=$D400)*ISNUMBER(SEARCH("안감",소재DB_RAW!$M$3:$M$2000))*ISERROR(SEARCH("drop",소재DB_RAW!$C$3:$C$2000))))),"")</f>
        <v/>
      </c>
      <c r="AA400" s="27" t="n">
        <v>1500</v>
      </c>
      <c r="AB400" s="27" t="n">
        <v>26250000</v>
      </c>
      <c r="AC400" s="27" t="n">
        <v>117000000</v>
      </c>
      <c r="AD400" s="20" t="n"/>
      <c r="AE400" s="20">
        <f>IF($K400="","출고일 미정",IF($Q400="X","작지 미발행",IF($Q400="부분","작지 일부 미발행",IF(AND($S400&lt;&gt;"",$S400&gt;$N400),"소재입고 마감("&amp;TEXT($N400,"MM/DD")&amp;") 초과",IF($Q400="","발행여부 확인 필요",IF($S400="","소재 입고일정 확인 필요","정상"))))))</f>
        <v/>
      </c>
      <c r="AF400" s="19">
        <f>IF($K400="","",IF(OR(LEFT($AE400,2)="작지",LEFT($AE400,4)="소재입고"),IF(LEFT($G400,1)="S","★ 납기위험(S코드)","◆ 지연주의"),IF($AE400="정상","✓ 정상","? 확인필요")))</f>
        <v/>
      </c>
      <c r="AG400" s="21" t="n"/>
      <c r="AH400" s="28" t="n"/>
    </row>
    <row r="401">
      <c r="A401" s="19" t="n">
        <v>397</v>
      </c>
      <c r="B401" s="20" t="inlineStr">
        <is>
          <t>최지희</t>
        </is>
      </c>
      <c r="C401" s="20" t="inlineStr"/>
      <c r="D401" s="20" t="inlineStr">
        <is>
          <t>JKICX27902</t>
        </is>
      </c>
      <c r="E401" s="20" t="inlineStr">
        <is>
          <t>유통특화_여성 냉감 브래지어</t>
        </is>
      </c>
      <c r="F401" s="20" t="inlineStr">
        <is>
          <t>BLK(BLACK), SBE</t>
        </is>
      </c>
      <c r="G401" s="19">
        <f>IF($D401="","",IF(MID($D401,5,1)="S","S(봄)",IF(MID($D401,5,1)="M","M(여름)",IF(MID($D401,5,1)="X","X(사계절)",MID($D401,5,1)))))</f>
        <v/>
      </c>
      <c r="H401" s="20" t="inlineStr">
        <is>
          <t>완사입</t>
        </is>
      </c>
      <c r="I401" s="19" t="inlineStr"/>
      <c r="J401" s="21" t="inlineStr">
        <is>
          <t>2월4주</t>
        </is>
      </c>
      <c r="K401" s="22">
        <f>IF($J401="","",IFERROR(DATE(IF(VALUE(LEFT($J401,FIND("월",$J401)-1))&gt;=9,기준정보!$C$7-1,기준정보!$C$7),VALUE(LEFT($J401,FIND("월",$J401)-1)),1+7*(VALUE(SUBSTITUTE(MID($J401,FIND("월",$J401)+1,5),"주",""))-1)),""))</f>
        <v/>
      </c>
      <c r="L401" s="22">
        <f>IF($K401="","",IF(AND($K401-기준정보!$C$5&gt;=기준정보!$C$10,$K401-기준정보!$C$5&lt;=기준정보!$C$11),기준정보!$C$10-1,$K401-기준정보!$C$5))</f>
        <v/>
      </c>
      <c r="M401" s="23">
        <f>IF($L401="","",IF(OR(ISNUMBER(SEARCH("중국",$W401)),ISNUMBER(SEARCH("베트남",$W401))),MAX(0,MIN($L401,기준정보!$C$9)-MAX($L401-기준정보!$C$6,기준정보!$C$8)+1),IF(ISNUMBER(SEARCH("한국",$W401)),MAX(0,MIN($L401,기준정보!$C$11)-MAX($L401-기준정보!$C$6,기준정보!$C$10)+1),0)))</f>
        <v/>
      </c>
      <c r="N401" s="22">
        <f>IF($L401="","",$L401-기준정보!$C$6-$M401)</f>
        <v/>
      </c>
      <c r="O401" s="24">
        <f>IF($N401="","",$N401-기준정보!$C$4)</f>
        <v/>
      </c>
      <c r="P401" s="21" t="n"/>
      <c r="Q401" s="21" t="inlineStr">
        <is>
          <t>X</t>
        </is>
      </c>
      <c r="R401" s="19">
        <f>IF(COUNTIF(EDW_RAW!$A$2:$A$1500,$D401)=0,"",IF(COUNTIFS(EDW_RAW!$A$2:$A$1500,$D401,EDW_RAW!$U$2:$U$1500,"&lt;&gt;~",EDW_RAW!$U$2:$U$1500,"&lt;&gt;")=COUNTIF(EDW_RAW!$A$2:$A$1500,$D401),"O",IF(COUNTIFS(EDW_RAW!$A$2:$A$1500,$D401,EDW_RAW!$U$2:$U$1500,"&lt;&gt;~",EDW_RAW!$U$2:$U$1500,"&lt;&gt;")&gt;0,"부분","X")))</f>
        <v/>
      </c>
      <c r="S401" s="25" t="n"/>
      <c r="T401" s="20">
        <f>IF($H401="","",IF(AND(ISNUMBER(SEARCH("CMT",$H401)),OR(ISNUMBER(SEARCH("완사입",$H401)),ISNUMBER(SEARCH("ODM",$H401)))),"본사/생산처 혼재",IF(ISNUMBER(SEARCH("CMT",$H401)),"본사(소재팀)","생산처")))</f>
        <v/>
      </c>
      <c r="U401" s="20" t="inlineStr"/>
      <c r="V401" s="20">
        <f>IFERROR(TEXTJOIN(" / ",TRUE,UNIQUE(FILTER(소재DB_RAW!$K$3:$K$2000,(소재DB_RAW!$G$3:$G$2000=$D401)*ISERROR(SEARCH("drop",소재DB_RAW!$C$3:$C$2000))))),"")</f>
        <v/>
      </c>
      <c r="W401" s="20" t="inlineStr"/>
      <c r="X401" s="20">
        <f>IFERROR(TEXTJOIN(" / ",TRUE,UNIQUE(FILTER(소재DB_RAW!$N$3:$N$2000,(소재DB_RAW!$G$3:$G$2000=$D401)*ISERROR(SEARCH("drop",소재DB_RAW!$C$3:$C$2000))))),"")</f>
        <v/>
      </c>
      <c r="Y401" s="26">
        <f>IFERROR(TEXTJOIN(CHAR(10),TRUE,UNIQUE(FILTER(소재DB_RAW!$N$3:$N$2000&amp;") "&amp;소재DB_RAW!$O$3:$O$2000,(소재DB_RAW!$G$3:$G$2000=$D401)*ISNUMBER(SEARCH("겉감",소재DB_RAW!$M$3:$M$2000))*ISERROR(SEARCH("drop",소재DB_RAW!$C$3:$C$2000))))),"")</f>
        <v/>
      </c>
      <c r="Z401" s="26">
        <f>IFERROR(TEXTJOIN(CHAR(10),TRUE,UNIQUE(FILTER(소재DB_RAW!$N$3:$N$2000&amp;") "&amp;소재DB_RAW!$O$3:$O$2000,(소재DB_RAW!$G$3:$G$2000=$D401)*ISNUMBER(SEARCH("안감",소재DB_RAW!$M$3:$M$2000))*ISERROR(SEARCH("drop",소재DB_RAW!$C$3:$C$2000))))),"")</f>
        <v/>
      </c>
      <c r="AA401" s="27" t="n">
        <v>2000</v>
      </c>
      <c r="AB401" s="27" t="n">
        <v>30000000</v>
      </c>
      <c r="AC401" s="27" t="n">
        <v>120000000</v>
      </c>
      <c r="AD401" s="20" t="n"/>
      <c r="AE401" s="20">
        <f>IF($K401="","출고일 미정",IF($Q401="X","작지 미발행",IF($Q401="부분","작지 일부 미발행",IF(AND($S401&lt;&gt;"",$S401&gt;$N401),"소재입고 마감("&amp;TEXT($N401,"MM/DD")&amp;") 초과",IF($Q401="","발행여부 확인 필요",IF($S401="","소재 입고일정 확인 필요","정상"))))))</f>
        <v/>
      </c>
      <c r="AF401" s="19">
        <f>IF($K401="","",IF(OR(LEFT($AE401,2)="작지",LEFT($AE401,4)="소재입고"),IF(LEFT($G401,1)="S","★ 납기위험(S코드)","◆ 지연주의"),IF($AE401="정상","✓ 정상","? 확인필요")))</f>
        <v/>
      </c>
      <c r="AG401" s="21" t="n"/>
      <c r="AH401" s="28" t="n"/>
    </row>
    <row r="402">
      <c r="A402" s="19" t="n">
        <v>398</v>
      </c>
      <c r="B402" s="20" t="inlineStr">
        <is>
          <t>최지희</t>
        </is>
      </c>
      <c r="C402" s="20" t="inlineStr"/>
      <c r="D402" s="20" t="inlineStr">
        <is>
          <t>JWIBX27101</t>
        </is>
      </c>
      <c r="E402" s="20" t="inlineStr">
        <is>
          <t>남성 냉감 아웃밴드 드로즈</t>
        </is>
      </c>
      <c r="F402" s="20" t="inlineStr">
        <is>
          <t>DGY-1, DBU-1</t>
        </is>
      </c>
      <c r="G402" s="19">
        <f>IF($D402="","",IF(MID($D402,5,1)="S","S(봄)",IF(MID($D402,5,1)="M","M(여름)",IF(MID($D402,5,1)="X","X(사계절)",MID($D402,5,1)))))</f>
        <v/>
      </c>
      <c r="H402" s="20" t="inlineStr">
        <is>
          <t>완사입</t>
        </is>
      </c>
      <c r="I402" s="19" t="inlineStr"/>
      <c r="J402" s="21" t="inlineStr">
        <is>
          <t>2월4주</t>
        </is>
      </c>
      <c r="K402" s="22">
        <f>IF($J402="","",IFERROR(DATE(IF(VALUE(LEFT($J402,FIND("월",$J402)-1))&gt;=9,기준정보!$C$7-1,기준정보!$C$7),VALUE(LEFT($J402,FIND("월",$J402)-1)),1+7*(VALUE(SUBSTITUTE(MID($J402,FIND("월",$J402)+1,5),"주",""))-1)),""))</f>
        <v/>
      </c>
      <c r="L402" s="22">
        <f>IF($K402="","",IF(AND($K402-기준정보!$C$5&gt;=기준정보!$C$10,$K402-기준정보!$C$5&lt;=기준정보!$C$11),기준정보!$C$10-1,$K402-기준정보!$C$5))</f>
        <v/>
      </c>
      <c r="M402" s="23">
        <f>IF($L402="","",IF(OR(ISNUMBER(SEARCH("중국",$W402)),ISNUMBER(SEARCH("베트남",$W402))),MAX(0,MIN($L402,기준정보!$C$9)-MAX($L402-기준정보!$C$6,기준정보!$C$8)+1),IF(ISNUMBER(SEARCH("한국",$W402)),MAX(0,MIN($L402,기준정보!$C$11)-MAX($L402-기준정보!$C$6,기준정보!$C$10)+1),0)))</f>
        <v/>
      </c>
      <c r="N402" s="22">
        <f>IF($L402="","",$L402-기준정보!$C$6-$M402)</f>
        <v/>
      </c>
      <c r="O402" s="24">
        <f>IF($N402="","",$N402-기준정보!$C$4)</f>
        <v/>
      </c>
      <c r="P402" s="21" t="n"/>
      <c r="Q402" s="21" t="inlineStr">
        <is>
          <t>X</t>
        </is>
      </c>
      <c r="R402" s="19">
        <f>IF(COUNTIF(EDW_RAW!$A$2:$A$1500,$D402)=0,"",IF(COUNTIFS(EDW_RAW!$A$2:$A$1500,$D402,EDW_RAW!$U$2:$U$1500,"&lt;&gt;~",EDW_RAW!$U$2:$U$1500,"&lt;&gt;")=COUNTIF(EDW_RAW!$A$2:$A$1500,$D402),"O",IF(COUNTIFS(EDW_RAW!$A$2:$A$1500,$D402,EDW_RAW!$U$2:$U$1500,"&lt;&gt;~",EDW_RAW!$U$2:$U$1500,"&lt;&gt;")&gt;0,"부분","X")))</f>
        <v/>
      </c>
      <c r="S402" s="25" t="n"/>
      <c r="T402" s="20">
        <f>IF($H402="","",IF(AND(ISNUMBER(SEARCH("CMT",$H402)),OR(ISNUMBER(SEARCH("완사입",$H402)),ISNUMBER(SEARCH("ODM",$H402)))),"본사/생산처 혼재",IF(ISNUMBER(SEARCH("CMT",$H402)),"본사(소재팀)","생산처")))</f>
        <v/>
      </c>
      <c r="U402" s="20" t="inlineStr"/>
      <c r="V402" s="20">
        <f>IFERROR(TEXTJOIN(" / ",TRUE,UNIQUE(FILTER(소재DB_RAW!$K$3:$K$2000,(소재DB_RAW!$G$3:$G$2000=$D402)*ISERROR(SEARCH("drop",소재DB_RAW!$C$3:$C$2000))))),"")</f>
        <v/>
      </c>
      <c r="W402" s="20" t="inlineStr"/>
      <c r="X402" s="20">
        <f>IFERROR(TEXTJOIN(" / ",TRUE,UNIQUE(FILTER(소재DB_RAW!$N$3:$N$2000,(소재DB_RAW!$G$3:$G$2000=$D402)*ISERROR(SEARCH("drop",소재DB_RAW!$C$3:$C$2000))))),"")</f>
        <v/>
      </c>
      <c r="Y402" s="26">
        <f>IFERROR(TEXTJOIN(CHAR(10),TRUE,UNIQUE(FILTER(소재DB_RAW!$N$3:$N$2000&amp;") "&amp;소재DB_RAW!$O$3:$O$2000,(소재DB_RAW!$G$3:$G$2000=$D402)*ISNUMBER(SEARCH("겉감",소재DB_RAW!$M$3:$M$2000))*ISERROR(SEARCH("drop",소재DB_RAW!$C$3:$C$2000))))),"")</f>
        <v/>
      </c>
      <c r="Z402" s="26">
        <f>IFERROR(TEXTJOIN(CHAR(10),TRUE,UNIQUE(FILTER(소재DB_RAW!$N$3:$N$2000&amp;") "&amp;소재DB_RAW!$O$3:$O$2000,(소재DB_RAW!$G$3:$G$2000=$D402)*ISNUMBER(SEARCH("안감",소재DB_RAW!$M$3:$M$2000))*ISERROR(SEARCH("drop",소재DB_RAW!$C$3:$C$2000))))),"")</f>
        <v/>
      </c>
      <c r="AA402" s="27" t="n">
        <v>3000</v>
      </c>
      <c r="AB402" s="27" t="n">
        <v>31680000</v>
      </c>
      <c r="AC402" s="27" t="n">
        <v>135000000</v>
      </c>
      <c r="AD402" s="20" t="n"/>
      <c r="AE402" s="20">
        <f>IF($K402="","출고일 미정",IF($Q402="X","작지 미발행",IF($Q402="부분","작지 일부 미발행",IF(AND($S402&lt;&gt;"",$S402&gt;$N402),"소재입고 마감("&amp;TEXT($N402,"MM/DD")&amp;") 초과",IF($Q402="","발행여부 확인 필요",IF($S402="","소재 입고일정 확인 필요","정상"))))))</f>
        <v/>
      </c>
      <c r="AF402" s="19">
        <f>IF($K402="","",IF(OR(LEFT($AE402,2)="작지",LEFT($AE402,4)="소재입고"),IF(LEFT($G402,1)="S","★ 납기위험(S코드)","◆ 지연주의"),IF($AE402="정상","✓ 정상","? 확인필요")))</f>
        <v/>
      </c>
      <c r="AG402" s="21" t="n"/>
      <c r="AH402" s="28" t="n"/>
    </row>
    <row r="403">
      <c r="A403" s="19" t="n">
        <v>399</v>
      </c>
      <c r="B403" s="20" t="inlineStr">
        <is>
          <t>최지희</t>
        </is>
      </c>
      <c r="C403" s="20" t="inlineStr"/>
      <c r="D403" s="20" t="inlineStr">
        <is>
          <t>JWIBX27111</t>
        </is>
      </c>
      <c r="E403" s="20" t="inlineStr">
        <is>
          <t>남성 냉감 인밴드 드로즈 (SET UP)</t>
        </is>
      </c>
      <c r="F403" s="20" t="inlineStr">
        <is>
          <t>DGY-1, BGY(B/GRAY)</t>
        </is>
      </c>
      <c r="G403" s="19">
        <f>IF($D403="","",IF(MID($D403,5,1)="S","S(봄)",IF(MID($D403,5,1)="M","M(여름)",IF(MID($D403,5,1)="X","X(사계절)",MID($D403,5,1)))))</f>
        <v/>
      </c>
      <c r="H403" s="20" t="inlineStr">
        <is>
          <t>완사입</t>
        </is>
      </c>
      <c r="I403" s="19" t="inlineStr"/>
      <c r="J403" s="21" t="inlineStr">
        <is>
          <t>2월4주</t>
        </is>
      </c>
      <c r="K403" s="22">
        <f>IF($J403="","",IFERROR(DATE(IF(VALUE(LEFT($J403,FIND("월",$J403)-1))&gt;=9,기준정보!$C$7-1,기준정보!$C$7),VALUE(LEFT($J403,FIND("월",$J403)-1)),1+7*(VALUE(SUBSTITUTE(MID($J403,FIND("월",$J403)+1,5),"주",""))-1)),""))</f>
        <v/>
      </c>
      <c r="L403" s="22">
        <f>IF($K403="","",IF(AND($K403-기준정보!$C$5&gt;=기준정보!$C$10,$K403-기준정보!$C$5&lt;=기준정보!$C$11),기준정보!$C$10-1,$K403-기준정보!$C$5))</f>
        <v/>
      </c>
      <c r="M403" s="23">
        <f>IF($L403="","",IF(OR(ISNUMBER(SEARCH("중국",$W403)),ISNUMBER(SEARCH("베트남",$W403))),MAX(0,MIN($L403,기준정보!$C$9)-MAX($L403-기준정보!$C$6,기준정보!$C$8)+1),IF(ISNUMBER(SEARCH("한국",$W403)),MAX(0,MIN($L403,기준정보!$C$11)-MAX($L403-기준정보!$C$6,기준정보!$C$10)+1),0)))</f>
        <v/>
      </c>
      <c r="N403" s="22">
        <f>IF($L403="","",$L403-기준정보!$C$6-$M403)</f>
        <v/>
      </c>
      <c r="O403" s="24">
        <f>IF($N403="","",$N403-기준정보!$C$4)</f>
        <v/>
      </c>
      <c r="P403" s="21" t="n"/>
      <c r="Q403" s="21" t="inlineStr">
        <is>
          <t>X</t>
        </is>
      </c>
      <c r="R403" s="19">
        <f>IF(COUNTIF(EDW_RAW!$A$2:$A$1500,$D403)=0,"",IF(COUNTIFS(EDW_RAW!$A$2:$A$1500,$D403,EDW_RAW!$U$2:$U$1500,"&lt;&gt;~",EDW_RAW!$U$2:$U$1500,"&lt;&gt;")=COUNTIF(EDW_RAW!$A$2:$A$1500,$D403),"O",IF(COUNTIFS(EDW_RAW!$A$2:$A$1500,$D403,EDW_RAW!$U$2:$U$1500,"&lt;&gt;~",EDW_RAW!$U$2:$U$1500,"&lt;&gt;")&gt;0,"부분","X")))</f>
        <v/>
      </c>
      <c r="S403" s="25" t="n"/>
      <c r="T403" s="20">
        <f>IF($H403="","",IF(AND(ISNUMBER(SEARCH("CMT",$H403)),OR(ISNUMBER(SEARCH("완사입",$H403)),ISNUMBER(SEARCH("ODM",$H403)))),"본사/생산처 혼재",IF(ISNUMBER(SEARCH("CMT",$H403)),"본사(소재팀)","생산처")))</f>
        <v/>
      </c>
      <c r="U403" s="20" t="inlineStr"/>
      <c r="V403" s="20">
        <f>IFERROR(TEXTJOIN(" / ",TRUE,UNIQUE(FILTER(소재DB_RAW!$K$3:$K$2000,(소재DB_RAW!$G$3:$G$2000=$D403)*ISERROR(SEARCH("drop",소재DB_RAW!$C$3:$C$2000))))),"")</f>
        <v/>
      </c>
      <c r="W403" s="20" t="inlineStr"/>
      <c r="X403" s="20">
        <f>IFERROR(TEXTJOIN(" / ",TRUE,UNIQUE(FILTER(소재DB_RAW!$N$3:$N$2000,(소재DB_RAW!$G$3:$G$2000=$D403)*ISERROR(SEARCH("drop",소재DB_RAW!$C$3:$C$2000))))),"")</f>
        <v/>
      </c>
      <c r="Y403" s="26">
        <f>IFERROR(TEXTJOIN(CHAR(10),TRUE,UNIQUE(FILTER(소재DB_RAW!$N$3:$N$2000&amp;") "&amp;소재DB_RAW!$O$3:$O$2000,(소재DB_RAW!$G$3:$G$2000=$D403)*ISNUMBER(SEARCH("겉감",소재DB_RAW!$M$3:$M$2000))*ISERROR(SEARCH("drop",소재DB_RAW!$C$3:$C$2000))))),"")</f>
        <v/>
      </c>
      <c r="Z403" s="26">
        <f>IFERROR(TEXTJOIN(CHAR(10),TRUE,UNIQUE(FILTER(소재DB_RAW!$N$3:$N$2000&amp;") "&amp;소재DB_RAW!$O$3:$O$2000,(소재DB_RAW!$G$3:$G$2000=$D403)*ISNUMBER(SEARCH("안감",소재DB_RAW!$M$3:$M$2000))*ISERROR(SEARCH("drop",소재DB_RAW!$C$3:$C$2000))))),"")</f>
        <v/>
      </c>
      <c r="AA403" s="27" t="n">
        <v>4000</v>
      </c>
      <c r="AB403" s="27" t="n">
        <v>38084000</v>
      </c>
      <c r="AC403" s="27" t="n">
        <v>160000000</v>
      </c>
      <c r="AD403" s="20" t="n"/>
      <c r="AE403" s="20">
        <f>IF($K403="","출고일 미정",IF($Q403="X","작지 미발행",IF($Q403="부분","작지 일부 미발행",IF(AND($S403&lt;&gt;"",$S403&gt;$N403),"소재입고 마감("&amp;TEXT($N403,"MM/DD")&amp;") 초과",IF($Q403="","발행여부 확인 필요",IF($S403="","소재 입고일정 확인 필요","정상"))))))</f>
        <v/>
      </c>
      <c r="AF403" s="19">
        <f>IF($K403="","",IF(OR(LEFT($AE403,2)="작지",LEFT($AE403,4)="소재입고"),IF(LEFT($G403,1)="S","★ 납기위험(S코드)","◆ 지연주의"),IF($AE403="정상","✓ 정상","? 확인필요")))</f>
        <v/>
      </c>
      <c r="AG403" s="21" t="n"/>
      <c r="AH403" s="28" t="n"/>
    </row>
    <row r="404">
      <c r="A404" s="19" t="n">
        <v>400</v>
      </c>
      <c r="B404" s="20" t="inlineStr">
        <is>
          <t>최지희</t>
        </is>
      </c>
      <c r="C404" s="20" t="inlineStr"/>
      <c r="D404" s="20" t="inlineStr">
        <is>
          <t>JWIBX27131</t>
        </is>
      </c>
      <c r="E404" s="20" t="inlineStr">
        <is>
          <t>남성 메쉬 아웃밴드 드로즈</t>
        </is>
      </c>
      <c r="F404" s="20" t="inlineStr">
        <is>
          <t>CO1</t>
        </is>
      </c>
      <c r="G404" s="19">
        <f>IF($D404="","",IF(MID($D404,5,1)="S","S(봄)",IF(MID($D404,5,1)="M","M(여름)",IF(MID($D404,5,1)="X","X(사계절)",MID($D404,5,1)))))</f>
        <v/>
      </c>
      <c r="H404" s="20" t="inlineStr">
        <is>
          <t>완사입</t>
        </is>
      </c>
      <c r="I404" s="19" t="inlineStr"/>
      <c r="J404" s="21" t="inlineStr">
        <is>
          <t>2월4주</t>
        </is>
      </c>
      <c r="K404" s="22">
        <f>IF($J404="","",IFERROR(DATE(IF(VALUE(LEFT($J404,FIND("월",$J404)-1))&gt;=9,기준정보!$C$7-1,기준정보!$C$7),VALUE(LEFT($J404,FIND("월",$J404)-1)),1+7*(VALUE(SUBSTITUTE(MID($J404,FIND("월",$J404)+1,5),"주",""))-1)),""))</f>
        <v/>
      </c>
      <c r="L404" s="22">
        <f>IF($K404="","",IF(AND($K404-기준정보!$C$5&gt;=기준정보!$C$10,$K404-기준정보!$C$5&lt;=기준정보!$C$11),기준정보!$C$10-1,$K404-기준정보!$C$5))</f>
        <v/>
      </c>
      <c r="M404" s="23">
        <f>IF($L404="","",IF(OR(ISNUMBER(SEARCH("중국",$W404)),ISNUMBER(SEARCH("베트남",$W404))),MAX(0,MIN($L404,기준정보!$C$9)-MAX($L404-기준정보!$C$6,기준정보!$C$8)+1),IF(ISNUMBER(SEARCH("한국",$W404)),MAX(0,MIN($L404,기준정보!$C$11)-MAX($L404-기준정보!$C$6,기준정보!$C$10)+1),0)))</f>
        <v/>
      </c>
      <c r="N404" s="22">
        <f>IF($L404="","",$L404-기준정보!$C$6-$M404)</f>
        <v/>
      </c>
      <c r="O404" s="24">
        <f>IF($N404="","",$N404-기준정보!$C$4)</f>
        <v/>
      </c>
      <c r="P404" s="21" t="n"/>
      <c r="Q404" s="21" t="inlineStr">
        <is>
          <t>X</t>
        </is>
      </c>
      <c r="R404" s="19">
        <f>IF(COUNTIF(EDW_RAW!$A$2:$A$1500,$D404)=0,"",IF(COUNTIFS(EDW_RAW!$A$2:$A$1500,$D404,EDW_RAW!$U$2:$U$1500,"&lt;&gt;~",EDW_RAW!$U$2:$U$1500,"&lt;&gt;")=COUNTIF(EDW_RAW!$A$2:$A$1500,$D404),"O",IF(COUNTIFS(EDW_RAW!$A$2:$A$1500,$D404,EDW_RAW!$U$2:$U$1500,"&lt;&gt;~",EDW_RAW!$U$2:$U$1500,"&lt;&gt;")&gt;0,"부분","X")))</f>
        <v/>
      </c>
      <c r="S404" s="25" t="n"/>
      <c r="T404" s="20">
        <f>IF($H404="","",IF(AND(ISNUMBER(SEARCH("CMT",$H404)),OR(ISNUMBER(SEARCH("완사입",$H404)),ISNUMBER(SEARCH("ODM",$H404)))),"본사/생산처 혼재",IF(ISNUMBER(SEARCH("CMT",$H404)),"본사(소재팀)","생산처")))</f>
        <v/>
      </c>
      <c r="U404" s="20" t="inlineStr"/>
      <c r="V404" s="20">
        <f>IFERROR(TEXTJOIN(" / ",TRUE,UNIQUE(FILTER(소재DB_RAW!$K$3:$K$2000,(소재DB_RAW!$G$3:$G$2000=$D404)*ISERROR(SEARCH("drop",소재DB_RAW!$C$3:$C$2000))))),"")</f>
        <v/>
      </c>
      <c r="W404" s="20" t="inlineStr"/>
      <c r="X404" s="20">
        <f>IFERROR(TEXTJOIN(" / ",TRUE,UNIQUE(FILTER(소재DB_RAW!$N$3:$N$2000,(소재DB_RAW!$G$3:$G$2000=$D404)*ISERROR(SEARCH("drop",소재DB_RAW!$C$3:$C$2000))))),"")</f>
        <v/>
      </c>
      <c r="Y404" s="26">
        <f>IFERROR(TEXTJOIN(CHAR(10),TRUE,UNIQUE(FILTER(소재DB_RAW!$N$3:$N$2000&amp;") "&amp;소재DB_RAW!$O$3:$O$2000,(소재DB_RAW!$G$3:$G$2000=$D404)*ISNUMBER(SEARCH("겉감",소재DB_RAW!$M$3:$M$2000))*ISERROR(SEARCH("drop",소재DB_RAW!$C$3:$C$2000))))),"")</f>
        <v/>
      </c>
      <c r="Z404" s="26">
        <f>IFERROR(TEXTJOIN(CHAR(10),TRUE,UNIQUE(FILTER(소재DB_RAW!$N$3:$N$2000&amp;") "&amp;소재DB_RAW!$O$3:$O$2000,(소재DB_RAW!$G$3:$G$2000=$D404)*ISNUMBER(SEARCH("안감",소재DB_RAW!$M$3:$M$2000))*ISERROR(SEARCH("drop",소재DB_RAW!$C$3:$C$2000))))),"")</f>
        <v/>
      </c>
      <c r="AA404" s="27" t="n">
        <v>2000</v>
      </c>
      <c r="AB404" s="27" t="n">
        <v>22000000</v>
      </c>
      <c r="AC404" s="27" t="n">
        <v>110000000</v>
      </c>
      <c r="AD404" s="20" t="n"/>
      <c r="AE404" s="20">
        <f>IF($K404="","출고일 미정",IF($Q404="X","작지 미발행",IF($Q404="부분","작지 일부 미발행",IF(AND($S404&lt;&gt;"",$S404&gt;$N404),"소재입고 마감("&amp;TEXT($N404,"MM/DD")&amp;") 초과",IF($Q404="","발행여부 확인 필요",IF($S404="","소재 입고일정 확인 필요","정상"))))))</f>
        <v/>
      </c>
      <c r="AF404" s="19">
        <f>IF($K404="","",IF(OR(LEFT($AE404,2)="작지",LEFT($AE404,4)="소재입고"),IF(LEFT($G404,1)="S","★ 납기위험(S코드)","◆ 지연주의"),IF($AE404="정상","✓ 정상","? 확인필요")))</f>
        <v/>
      </c>
      <c r="AG404" s="21" t="n"/>
      <c r="AH404" s="28" t="n"/>
    </row>
    <row r="405">
      <c r="A405" s="19" t="n">
        <v>401</v>
      </c>
      <c r="B405" s="20" t="inlineStr">
        <is>
          <t>최지희</t>
        </is>
      </c>
      <c r="C405" s="20" t="inlineStr"/>
      <c r="D405" s="20" t="inlineStr">
        <is>
          <t>JWICX27101</t>
        </is>
      </c>
      <c r="E405" s="20" t="inlineStr">
        <is>
          <t>남성 하이브리드 냉감 라운드넥 티셔츠</t>
        </is>
      </c>
      <c r="F405" s="20" t="inlineStr">
        <is>
          <t>CO1, CO2</t>
        </is>
      </c>
      <c r="G405" s="19">
        <f>IF($D405="","",IF(MID($D405,5,1)="S","S(봄)",IF(MID($D405,5,1)="M","M(여름)",IF(MID($D405,5,1)="X","X(사계절)",MID($D405,5,1)))))</f>
        <v/>
      </c>
      <c r="H405" s="20" t="inlineStr">
        <is>
          <t>완사입</t>
        </is>
      </c>
      <c r="I405" s="19" t="inlineStr"/>
      <c r="J405" s="21" t="inlineStr">
        <is>
          <t>2월4주</t>
        </is>
      </c>
      <c r="K405" s="22">
        <f>IF($J405="","",IFERROR(DATE(IF(VALUE(LEFT($J405,FIND("월",$J405)-1))&gt;=9,기준정보!$C$7-1,기준정보!$C$7),VALUE(LEFT($J405,FIND("월",$J405)-1)),1+7*(VALUE(SUBSTITUTE(MID($J405,FIND("월",$J405)+1,5),"주",""))-1)),""))</f>
        <v/>
      </c>
      <c r="L405" s="22">
        <f>IF($K405="","",IF(AND($K405-기준정보!$C$5&gt;=기준정보!$C$10,$K405-기준정보!$C$5&lt;=기준정보!$C$11),기준정보!$C$10-1,$K405-기준정보!$C$5))</f>
        <v/>
      </c>
      <c r="M405" s="23">
        <f>IF($L405="","",IF(OR(ISNUMBER(SEARCH("중국",$W405)),ISNUMBER(SEARCH("베트남",$W405))),MAX(0,MIN($L405,기준정보!$C$9)-MAX($L405-기준정보!$C$6,기준정보!$C$8)+1),IF(ISNUMBER(SEARCH("한국",$W405)),MAX(0,MIN($L405,기준정보!$C$11)-MAX($L405-기준정보!$C$6,기준정보!$C$10)+1),0)))</f>
        <v/>
      </c>
      <c r="N405" s="22">
        <f>IF($L405="","",$L405-기준정보!$C$6-$M405)</f>
        <v/>
      </c>
      <c r="O405" s="24">
        <f>IF($N405="","",$N405-기준정보!$C$4)</f>
        <v/>
      </c>
      <c r="P405" s="21" t="n"/>
      <c r="Q405" s="21" t="inlineStr">
        <is>
          <t>X</t>
        </is>
      </c>
      <c r="R405" s="19">
        <f>IF(COUNTIF(EDW_RAW!$A$2:$A$1500,$D405)=0,"",IF(COUNTIFS(EDW_RAW!$A$2:$A$1500,$D405,EDW_RAW!$U$2:$U$1500,"&lt;&gt;~",EDW_RAW!$U$2:$U$1500,"&lt;&gt;")=COUNTIF(EDW_RAW!$A$2:$A$1500,$D405),"O",IF(COUNTIFS(EDW_RAW!$A$2:$A$1500,$D405,EDW_RAW!$U$2:$U$1500,"&lt;&gt;~",EDW_RAW!$U$2:$U$1500,"&lt;&gt;")&gt;0,"부분","X")))</f>
        <v/>
      </c>
      <c r="S405" s="25" t="n"/>
      <c r="T405" s="20">
        <f>IF($H405="","",IF(AND(ISNUMBER(SEARCH("CMT",$H405)),OR(ISNUMBER(SEARCH("완사입",$H405)),ISNUMBER(SEARCH("ODM",$H405)))),"본사/생산처 혼재",IF(ISNUMBER(SEARCH("CMT",$H405)),"본사(소재팀)","생산처")))</f>
        <v/>
      </c>
      <c r="U405" s="20" t="inlineStr"/>
      <c r="V405" s="20">
        <f>IFERROR(TEXTJOIN(" / ",TRUE,UNIQUE(FILTER(소재DB_RAW!$K$3:$K$2000,(소재DB_RAW!$G$3:$G$2000=$D405)*ISERROR(SEARCH("drop",소재DB_RAW!$C$3:$C$2000))))),"")</f>
        <v/>
      </c>
      <c r="W405" s="20" t="inlineStr"/>
      <c r="X405" s="20">
        <f>IFERROR(TEXTJOIN(" / ",TRUE,UNIQUE(FILTER(소재DB_RAW!$N$3:$N$2000,(소재DB_RAW!$G$3:$G$2000=$D405)*ISERROR(SEARCH("drop",소재DB_RAW!$C$3:$C$2000))))),"")</f>
        <v/>
      </c>
      <c r="Y405" s="26">
        <f>IFERROR(TEXTJOIN(CHAR(10),TRUE,UNIQUE(FILTER(소재DB_RAW!$N$3:$N$2000&amp;") "&amp;소재DB_RAW!$O$3:$O$2000,(소재DB_RAW!$G$3:$G$2000=$D405)*ISNUMBER(SEARCH("겉감",소재DB_RAW!$M$3:$M$2000))*ISERROR(SEARCH("drop",소재DB_RAW!$C$3:$C$2000))))),"")</f>
        <v/>
      </c>
      <c r="Z405" s="26">
        <f>IFERROR(TEXTJOIN(CHAR(10),TRUE,UNIQUE(FILTER(소재DB_RAW!$N$3:$N$2000&amp;") "&amp;소재DB_RAW!$O$3:$O$2000,(소재DB_RAW!$G$3:$G$2000=$D405)*ISNUMBER(SEARCH("안감",소재DB_RAW!$M$3:$M$2000))*ISERROR(SEARCH("drop",소재DB_RAW!$C$3:$C$2000))))),"")</f>
        <v/>
      </c>
      <c r="AA405" s="27" t="n">
        <v>3000</v>
      </c>
      <c r="AB405" s="27" t="n">
        <v>51000000</v>
      </c>
      <c r="AC405" s="27" t="n">
        <v>234000000</v>
      </c>
      <c r="AD405" s="20" t="n"/>
      <c r="AE405" s="20">
        <f>IF($K405="","출고일 미정",IF($Q405="X","작지 미발행",IF($Q405="부분","작지 일부 미발행",IF(AND($S405&lt;&gt;"",$S405&gt;$N405),"소재입고 마감("&amp;TEXT($N405,"MM/DD")&amp;") 초과",IF($Q405="","발행여부 확인 필요",IF($S405="","소재 입고일정 확인 필요","정상"))))))</f>
        <v/>
      </c>
      <c r="AF405" s="19">
        <f>IF($K405="","",IF(OR(LEFT($AE405,2)="작지",LEFT($AE405,4)="소재입고"),IF(LEFT($G405,1)="S","★ 납기위험(S코드)","◆ 지연주의"),IF($AE405="정상","✓ 정상","? 확인필요")))</f>
        <v/>
      </c>
      <c r="AG405" s="21" t="n"/>
      <c r="AH405" s="28" t="n"/>
    </row>
    <row r="406">
      <c r="A406" s="19" t="n">
        <v>402</v>
      </c>
      <c r="B406" s="20" t="inlineStr">
        <is>
          <t>최지희</t>
        </is>
      </c>
      <c r="C406" s="20" t="inlineStr"/>
      <c r="D406" s="20" t="inlineStr">
        <is>
          <t>JWICX27111</t>
        </is>
      </c>
      <c r="E406" s="20" t="inlineStr">
        <is>
          <t>남성 냉감 슬리브리스 (SET UP)</t>
        </is>
      </c>
      <c r="F406" s="20" t="inlineStr">
        <is>
          <t>DGY-1, BGY(B/GRAY)</t>
        </is>
      </c>
      <c r="G406" s="19">
        <f>IF($D406="","",IF(MID($D406,5,1)="S","S(봄)",IF(MID($D406,5,1)="M","M(여름)",IF(MID($D406,5,1)="X","X(사계절)",MID($D406,5,1)))))</f>
        <v/>
      </c>
      <c r="H406" s="20" t="inlineStr">
        <is>
          <t>완사입</t>
        </is>
      </c>
      <c r="I406" s="19" t="inlineStr"/>
      <c r="J406" s="21" t="inlineStr">
        <is>
          <t>2월4주</t>
        </is>
      </c>
      <c r="K406" s="22">
        <f>IF($J406="","",IFERROR(DATE(IF(VALUE(LEFT($J406,FIND("월",$J406)-1))&gt;=9,기준정보!$C$7-1,기준정보!$C$7),VALUE(LEFT($J406,FIND("월",$J406)-1)),1+7*(VALUE(SUBSTITUTE(MID($J406,FIND("월",$J406)+1,5),"주",""))-1)),""))</f>
        <v/>
      </c>
      <c r="L406" s="22">
        <f>IF($K406="","",IF(AND($K406-기준정보!$C$5&gt;=기준정보!$C$10,$K406-기준정보!$C$5&lt;=기준정보!$C$11),기준정보!$C$10-1,$K406-기준정보!$C$5))</f>
        <v/>
      </c>
      <c r="M406" s="23">
        <f>IF($L406="","",IF(OR(ISNUMBER(SEARCH("중국",$W406)),ISNUMBER(SEARCH("베트남",$W406))),MAX(0,MIN($L406,기준정보!$C$9)-MAX($L406-기준정보!$C$6,기준정보!$C$8)+1),IF(ISNUMBER(SEARCH("한국",$W406)),MAX(0,MIN($L406,기준정보!$C$11)-MAX($L406-기준정보!$C$6,기준정보!$C$10)+1),0)))</f>
        <v/>
      </c>
      <c r="N406" s="22">
        <f>IF($L406="","",$L406-기준정보!$C$6-$M406)</f>
        <v/>
      </c>
      <c r="O406" s="24">
        <f>IF($N406="","",$N406-기준정보!$C$4)</f>
        <v/>
      </c>
      <c r="P406" s="21" t="n"/>
      <c r="Q406" s="21" t="inlineStr">
        <is>
          <t>X</t>
        </is>
      </c>
      <c r="R406" s="19">
        <f>IF(COUNTIF(EDW_RAW!$A$2:$A$1500,$D406)=0,"",IF(COUNTIFS(EDW_RAW!$A$2:$A$1500,$D406,EDW_RAW!$U$2:$U$1500,"&lt;&gt;~",EDW_RAW!$U$2:$U$1500,"&lt;&gt;")=COUNTIF(EDW_RAW!$A$2:$A$1500,$D406),"O",IF(COUNTIFS(EDW_RAW!$A$2:$A$1500,$D406,EDW_RAW!$U$2:$U$1500,"&lt;&gt;~",EDW_RAW!$U$2:$U$1500,"&lt;&gt;")&gt;0,"부분","X")))</f>
        <v/>
      </c>
      <c r="S406" s="25" t="n"/>
      <c r="T406" s="20">
        <f>IF($H406="","",IF(AND(ISNUMBER(SEARCH("CMT",$H406)),OR(ISNUMBER(SEARCH("완사입",$H406)),ISNUMBER(SEARCH("ODM",$H406)))),"본사/생산처 혼재",IF(ISNUMBER(SEARCH("CMT",$H406)),"본사(소재팀)","생산처")))</f>
        <v/>
      </c>
      <c r="U406" s="20" t="inlineStr"/>
      <c r="V406" s="20">
        <f>IFERROR(TEXTJOIN(" / ",TRUE,UNIQUE(FILTER(소재DB_RAW!$K$3:$K$2000,(소재DB_RAW!$G$3:$G$2000=$D406)*ISERROR(SEARCH("drop",소재DB_RAW!$C$3:$C$2000))))),"")</f>
        <v/>
      </c>
      <c r="W406" s="20" t="inlineStr"/>
      <c r="X406" s="20">
        <f>IFERROR(TEXTJOIN(" / ",TRUE,UNIQUE(FILTER(소재DB_RAW!$N$3:$N$2000,(소재DB_RAW!$G$3:$G$2000=$D406)*ISERROR(SEARCH("drop",소재DB_RAW!$C$3:$C$2000))))),"")</f>
        <v/>
      </c>
      <c r="Y406" s="26">
        <f>IFERROR(TEXTJOIN(CHAR(10),TRUE,UNIQUE(FILTER(소재DB_RAW!$N$3:$N$2000&amp;") "&amp;소재DB_RAW!$O$3:$O$2000,(소재DB_RAW!$G$3:$G$2000=$D406)*ISNUMBER(SEARCH("겉감",소재DB_RAW!$M$3:$M$2000))*ISERROR(SEARCH("drop",소재DB_RAW!$C$3:$C$2000))))),"")</f>
        <v/>
      </c>
      <c r="Z406" s="26">
        <f>IFERROR(TEXTJOIN(CHAR(10),TRUE,UNIQUE(FILTER(소재DB_RAW!$N$3:$N$2000&amp;") "&amp;소재DB_RAW!$O$3:$O$2000,(소재DB_RAW!$G$3:$G$2000=$D406)*ISNUMBER(SEARCH("안감",소재DB_RAW!$M$3:$M$2000))*ISERROR(SEARCH("drop",소재DB_RAW!$C$3:$C$2000))))),"")</f>
        <v/>
      </c>
      <c r="AA406" s="27" t="n">
        <v>4000</v>
      </c>
      <c r="AB406" s="27" t="n">
        <v>44908000</v>
      </c>
      <c r="AC406" s="27" t="n">
        <v>220000000</v>
      </c>
      <c r="AD406" s="20" t="n"/>
      <c r="AE406" s="20">
        <f>IF($K406="","출고일 미정",IF($Q406="X","작지 미발행",IF($Q406="부분","작지 일부 미발행",IF(AND($S406&lt;&gt;"",$S406&gt;$N406),"소재입고 마감("&amp;TEXT($N406,"MM/DD")&amp;") 초과",IF($Q406="","발행여부 확인 필요",IF($S406="","소재 입고일정 확인 필요","정상"))))))</f>
        <v/>
      </c>
      <c r="AF406" s="19">
        <f>IF($K406="","",IF(OR(LEFT($AE406,2)="작지",LEFT($AE406,4)="소재입고"),IF(LEFT($G406,1)="S","★ 납기위험(S코드)","◆ 지연주의"),IF($AE406="정상","✓ 정상","? 확인필요")))</f>
        <v/>
      </c>
      <c r="AG406" s="21" t="n"/>
      <c r="AH406" s="28" t="n"/>
    </row>
    <row r="407">
      <c r="A407" s="19" t="n">
        <v>403</v>
      </c>
      <c r="B407" s="20" t="inlineStr">
        <is>
          <t>최지희</t>
        </is>
      </c>
      <c r="C407" s="20" t="inlineStr">
        <is>
          <t>조은선</t>
        </is>
      </c>
      <c r="D407" s="20" t="inlineStr">
        <is>
          <t>QEAAX27111</t>
        </is>
      </c>
      <c r="E407" s="20" t="inlineStr">
        <is>
          <t>남녀공용 그래픽 반다나</t>
        </is>
      </c>
      <c r="F407" s="20" t="inlineStr">
        <is>
          <t>KHA(KHAKI), MUS, LIM, DLI</t>
        </is>
      </c>
      <c r="G407" s="19">
        <f>IF($D407="","",IF(MID($D407,5,1)="S","S(봄)",IF(MID($D407,5,1)="M","M(여름)",IF(MID($D407,5,1)="X","X(사계절)",MID($D407,5,1)))))</f>
        <v/>
      </c>
      <c r="H407" s="20" t="inlineStr">
        <is>
          <t>완사입</t>
        </is>
      </c>
      <c r="I407" s="19" t="inlineStr"/>
      <c r="J407" s="21" t="inlineStr">
        <is>
          <t>2월4주</t>
        </is>
      </c>
      <c r="K407" s="22">
        <f>IF($J407="","",IFERROR(DATE(IF(VALUE(LEFT($J407,FIND("월",$J407)-1))&gt;=9,기준정보!$C$7-1,기준정보!$C$7),VALUE(LEFT($J407,FIND("월",$J407)-1)),1+7*(VALUE(SUBSTITUTE(MID($J407,FIND("월",$J407)+1,5),"주",""))-1)),""))</f>
        <v/>
      </c>
      <c r="L407" s="22">
        <f>IF($K407="","",IF(AND($K407-기준정보!$C$5&gt;=기준정보!$C$10,$K407-기준정보!$C$5&lt;=기준정보!$C$11),기준정보!$C$10-1,$K407-기준정보!$C$5))</f>
        <v/>
      </c>
      <c r="M407" s="23">
        <f>IF($L407="","",IF(OR(ISNUMBER(SEARCH("중국",$W407)),ISNUMBER(SEARCH("베트남",$W407))),MAX(0,MIN($L407,기준정보!$C$9)-MAX($L407-기준정보!$C$6,기준정보!$C$8)+1),IF(ISNUMBER(SEARCH("한국",$W407)),MAX(0,MIN($L407,기준정보!$C$11)-MAX($L407-기준정보!$C$6,기준정보!$C$10)+1),0)))</f>
        <v/>
      </c>
      <c r="N407" s="22">
        <f>IF($L407="","",$L407-기준정보!$C$6-$M407)</f>
        <v/>
      </c>
      <c r="O407" s="24">
        <f>IF($N407="","",$N407-기준정보!$C$4)</f>
        <v/>
      </c>
      <c r="P407" s="21" t="n"/>
      <c r="Q407" s="21" t="inlineStr">
        <is>
          <t>X</t>
        </is>
      </c>
      <c r="R407" s="19">
        <f>IF(COUNTIF(EDW_RAW!$A$2:$A$1500,$D407)=0,"",IF(COUNTIFS(EDW_RAW!$A$2:$A$1500,$D407,EDW_RAW!$U$2:$U$1500,"&lt;&gt;~",EDW_RAW!$U$2:$U$1500,"&lt;&gt;")=COUNTIF(EDW_RAW!$A$2:$A$1500,$D407),"O",IF(COUNTIFS(EDW_RAW!$A$2:$A$1500,$D407,EDW_RAW!$U$2:$U$1500,"&lt;&gt;~",EDW_RAW!$U$2:$U$1500,"&lt;&gt;")&gt;0,"부분","X")))</f>
        <v/>
      </c>
      <c r="S407" s="25" t="n"/>
      <c r="T407" s="20">
        <f>IF($H407="","",IF(AND(ISNUMBER(SEARCH("CMT",$H407)),OR(ISNUMBER(SEARCH("완사입",$H407)),ISNUMBER(SEARCH("ODM",$H407)))),"본사/생산처 혼재",IF(ISNUMBER(SEARCH("CMT",$H407)),"본사(소재팀)","생산처")))</f>
        <v/>
      </c>
      <c r="U407" s="20" t="inlineStr">
        <is>
          <t>아이앤지</t>
        </is>
      </c>
      <c r="V407" s="20">
        <f>IFERROR(TEXTJOIN(" / ",TRUE,UNIQUE(FILTER(소재DB_RAW!$K$3:$K$2000,(소재DB_RAW!$G$3:$G$2000=$D407)*ISERROR(SEARCH("drop",소재DB_RAW!$C$3:$C$2000))))),"")</f>
        <v/>
      </c>
      <c r="W407" s="20" t="inlineStr">
        <is>
          <t>한국</t>
        </is>
      </c>
      <c r="X407" s="20">
        <f>IFERROR(TEXTJOIN(" / ",TRUE,UNIQUE(FILTER(소재DB_RAW!$N$3:$N$2000,(소재DB_RAW!$G$3:$G$2000=$D407)*ISERROR(SEARCH("drop",소재DB_RAW!$C$3:$C$2000))))),"")</f>
        <v/>
      </c>
      <c r="Y407" s="26">
        <f>IFERROR(TEXTJOIN(CHAR(10),TRUE,UNIQUE(FILTER(소재DB_RAW!$N$3:$N$2000&amp;") "&amp;소재DB_RAW!$O$3:$O$2000,(소재DB_RAW!$G$3:$G$2000=$D407)*ISNUMBER(SEARCH("겉감",소재DB_RAW!$M$3:$M$2000))*ISERROR(SEARCH("drop",소재DB_RAW!$C$3:$C$2000))))),"")</f>
        <v/>
      </c>
      <c r="Z407" s="26">
        <f>IFERROR(TEXTJOIN(CHAR(10),TRUE,UNIQUE(FILTER(소재DB_RAW!$N$3:$N$2000&amp;") "&amp;소재DB_RAW!$O$3:$O$2000,(소재DB_RAW!$G$3:$G$2000=$D407)*ISNUMBER(SEARCH("안감",소재DB_RAW!$M$3:$M$2000))*ISERROR(SEARCH("drop",소재DB_RAW!$C$3:$C$2000))))),"")</f>
        <v/>
      </c>
      <c r="AA407" s="27" t="n">
        <v>7000</v>
      </c>
      <c r="AB407" s="27" t="n">
        <v>25998000</v>
      </c>
      <c r="AC407" s="27" t="n">
        <v>112000000</v>
      </c>
      <c r="AD407" s="20" t="n"/>
      <c r="AE407" s="20">
        <f>IF($K407="","출고일 미정",IF($Q407="X","작지 미발행",IF($Q407="부분","작지 일부 미발행",IF(AND($S407&lt;&gt;"",$S407&gt;$N407),"소재입고 마감("&amp;TEXT($N407,"MM/DD")&amp;") 초과",IF($Q407="","발행여부 확인 필요",IF($S407="","소재 입고일정 확인 필요","정상"))))))</f>
        <v/>
      </c>
      <c r="AF407" s="19">
        <f>IF($K407="","",IF(OR(LEFT($AE407,2)="작지",LEFT($AE407,4)="소재입고"),IF(LEFT($G407,1)="S","★ 납기위험(S코드)","◆ 지연주의"),IF($AE407="정상","✓ 정상","? 확인필요")))</f>
        <v/>
      </c>
      <c r="AG407" s="21" t="n"/>
      <c r="AH407" s="28" t="n"/>
    </row>
    <row r="408">
      <c r="A408" s="19" t="n">
        <v>404</v>
      </c>
      <c r="B408" s="20" t="inlineStr">
        <is>
          <t>최지희</t>
        </is>
      </c>
      <c r="C408" s="20" t="inlineStr">
        <is>
          <t>조은선</t>
        </is>
      </c>
      <c r="D408" s="20" t="inlineStr">
        <is>
          <t>QEAKX27111</t>
        </is>
      </c>
      <c r="E408" s="20" t="inlineStr">
        <is>
          <t>남녀공용 그래픽 스카프</t>
        </is>
      </c>
      <c r="F408" s="20" t="inlineStr">
        <is>
          <t>AQU(AQUA), GRY(GRAY)</t>
        </is>
      </c>
      <c r="G408" s="19">
        <f>IF($D408="","",IF(MID($D408,5,1)="S","S(봄)",IF(MID($D408,5,1)="M","M(여름)",IF(MID($D408,5,1)="X","X(사계절)",MID($D408,5,1)))))</f>
        <v/>
      </c>
      <c r="H408" s="20" t="inlineStr">
        <is>
          <t>완사입</t>
        </is>
      </c>
      <c r="I408" s="19" t="inlineStr"/>
      <c r="J408" s="21" t="inlineStr">
        <is>
          <t>2월4주</t>
        </is>
      </c>
      <c r="K408" s="22">
        <f>IF($J408="","",IFERROR(DATE(IF(VALUE(LEFT($J408,FIND("월",$J408)-1))&gt;=9,기준정보!$C$7-1,기준정보!$C$7),VALUE(LEFT($J408,FIND("월",$J408)-1)),1+7*(VALUE(SUBSTITUTE(MID($J408,FIND("월",$J408)+1,5),"주",""))-1)),""))</f>
        <v/>
      </c>
      <c r="L408" s="22">
        <f>IF($K408="","",IF(AND($K408-기준정보!$C$5&gt;=기준정보!$C$10,$K408-기준정보!$C$5&lt;=기준정보!$C$11),기준정보!$C$10-1,$K408-기준정보!$C$5))</f>
        <v/>
      </c>
      <c r="M408" s="23">
        <f>IF($L408="","",IF(OR(ISNUMBER(SEARCH("중국",$W408)),ISNUMBER(SEARCH("베트남",$W408))),MAX(0,MIN($L408,기준정보!$C$9)-MAX($L408-기준정보!$C$6,기준정보!$C$8)+1),IF(ISNUMBER(SEARCH("한국",$W408)),MAX(0,MIN($L408,기준정보!$C$11)-MAX($L408-기준정보!$C$6,기준정보!$C$10)+1),0)))</f>
        <v/>
      </c>
      <c r="N408" s="22">
        <f>IF($L408="","",$L408-기준정보!$C$6-$M408)</f>
        <v/>
      </c>
      <c r="O408" s="24">
        <f>IF($N408="","",$N408-기준정보!$C$4)</f>
        <v/>
      </c>
      <c r="P408" s="21" t="n"/>
      <c r="Q408" s="21" t="inlineStr">
        <is>
          <t>X</t>
        </is>
      </c>
      <c r="R408" s="19">
        <f>IF(COUNTIF(EDW_RAW!$A$2:$A$1500,$D408)=0,"",IF(COUNTIFS(EDW_RAW!$A$2:$A$1500,$D408,EDW_RAW!$U$2:$U$1500,"&lt;&gt;~",EDW_RAW!$U$2:$U$1500,"&lt;&gt;")=COUNTIF(EDW_RAW!$A$2:$A$1500,$D408),"O",IF(COUNTIFS(EDW_RAW!$A$2:$A$1500,$D408,EDW_RAW!$U$2:$U$1500,"&lt;&gt;~",EDW_RAW!$U$2:$U$1500,"&lt;&gt;")&gt;0,"부분","X")))</f>
        <v/>
      </c>
      <c r="S408" s="25" t="n"/>
      <c r="T408" s="20">
        <f>IF($H408="","",IF(AND(ISNUMBER(SEARCH("CMT",$H408)),OR(ISNUMBER(SEARCH("완사입",$H408)),ISNUMBER(SEARCH("ODM",$H408)))),"본사/생산처 혼재",IF(ISNUMBER(SEARCH("CMT",$H408)),"본사(소재팀)","생산처")))</f>
        <v/>
      </c>
      <c r="U408" s="20" t="inlineStr">
        <is>
          <t>아이앤지</t>
        </is>
      </c>
      <c r="V408" s="20">
        <f>IFERROR(TEXTJOIN(" / ",TRUE,UNIQUE(FILTER(소재DB_RAW!$K$3:$K$2000,(소재DB_RAW!$G$3:$G$2000=$D408)*ISERROR(SEARCH("drop",소재DB_RAW!$C$3:$C$2000))))),"")</f>
        <v/>
      </c>
      <c r="W408" s="20" t="inlineStr">
        <is>
          <t>한국</t>
        </is>
      </c>
      <c r="X408" s="20">
        <f>IFERROR(TEXTJOIN(" / ",TRUE,UNIQUE(FILTER(소재DB_RAW!$N$3:$N$2000,(소재DB_RAW!$G$3:$G$2000=$D408)*ISERROR(SEARCH("drop",소재DB_RAW!$C$3:$C$2000))))),"")</f>
        <v/>
      </c>
      <c r="Y408" s="26">
        <f>IFERROR(TEXTJOIN(CHAR(10),TRUE,UNIQUE(FILTER(소재DB_RAW!$N$3:$N$2000&amp;") "&amp;소재DB_RAW!$O$3:$O$2000,(소재DB_RAW!$G$3:$G$2000=$D408)*ISNUMBER(SEARCH("겉감",소재DB_RAW!$M$3:$M$2000))*ISERROR(SEARCH("drop",소재DB_RAW!$C$3:$C$2000))))),"")</f>
        <v/>
      </c>
      <c r="Z408" s="26">
        <f>IFERROR(TEXTJOIN(CHAR(10),TRUE,UNIQUE(FILTER(소재DB_RAW!$N$3:$N$2000&amp;") "&amp;소재DB_RAW!$O$3:$O$2000,(소재DB_RAW!$G$3:$G$2000=$D408)*ISNUMBER(SEARCH("안감",소재DB_RAW!$M$3:$M$2000))*ISERROR(SEARCH("drop",소재DB_RAW!$C$3:$C$2000))))),"")</f>
        <v/>
      </c>
      <c r="AA408" s="27" t="n">
        <v>1400</v>
      </c>
      <c r="AB408" s="27" t="n">
        <v>4393200</v>
      </c>
      <c r="AC408" s="27" t="n">
        <v>28000000</v>
      </c>
      <c r="AD408" s="20" t="n"/>
      <c r="AE408" s="20">
        <f>IF($K408="","출고일 미정",IF($Q408="X","작지 미발행",IF($Q408="부분","작지 일부 미발행",IF(AND($S408&lt;&gt;"",$S408&gt;$N408),"소재입고 마감("&amp;TEXT($N408,"MM/DD")&amp;") 초과",IF($Q408="","발행여부 확인 필요",IF($S408="","소재 입고일정 확인 필요","정상"))))))</f>
        <v/>
      </c>
      <c r="AF408" s="19">
        <f>IF($K408="","",IF(OR(LEFT($AE408,2)="작지",LEFT($AE408,4)="소재입고"),IF(LEFT($G408,1)="S","★ 납기위험(S코드)","◆ 지연주의"),IF($AE408="정상","✓ 정상","? 확인필요")))</f>
        <v/>
      </c>
      <c r="AG408" s="21" t="n"/>
      <c r="AH408" s="28" t="n"/>
    </row>
    <row r="409">
      <c r="A409" s="19" t="n">
        <v>405</v>
      </c>
      <c r="B409" s="20" t="inlineStr">
        <is>
          <t>최지희</t>
        </is>
      </c>
      <c r="C409" s="20" t="inlineStr">
        <is>
          <t>강지은</t>
        </is>
      </c>
      <c r="D409" s="20" t="inlineStr">
        <is>
          <t>QELAX27511</t>
        </is>
      </c>
      <c r="E409" s="20" t="inlineStr">
        <is>
          <t>남녀공용 그래픽 크루 삭스</t>
        </is>
      </c>
      <c r="F409" s="20" t="inlineStr">
        <is>
          <t>DNA(D/NAVY), DMI(D/MINT), GBR(G/BROWN)</t>
        </is>
      </c>
      <c r="G409" s="19">
        <f>IF($D409="","",IF(MID($D409,5,1)="S","S(봄)",IF(MID($D409,5,1)="M","M(여름)",IF(MID($D409,5,1)="X","X(사계절)",MID($D409,5,1)))))</f>
        <v/>
      </c>
      <c r="H409" s="20" t="inlineStr">
        <is>
          <t>완사입</t>
        </is>
      </c>
      <c r="I409" s="19" t="inlineStr"/>
      <c r="J409" s="21" t="inlineStr">
        <is>
          <t>2월4주</t>
        </is>
      </c>
      <c r="K409" s="22">
        <f>IF($J409="","",IFERROR(DATE(IF(VALUE(LEFT($J409,FIND("월",$J409)-1))&gt;=9,기준정보!$C$7-1,기준정보!$C$7),VALUE(LEFT($J409,FIND("월",$J409)-1)),1+7*(VALUE(SUBSTITUTE(MID($J409,FIND("월",$J409)+1,5),"주",""))-1)),""))</f>
        <v/>
      </c>
      <c r="L409" s="22">
        <f>IF($K409="","",IF(AND($K409-기준정보!$C$5&gt;=기준정보!$C$10,$K409-기준정보!$C$5&lt;=기준정보!$C$11),기준정보!$C$10-1,$K409-기준정보!$C$5))</f>
        <v/>
      </c>
      <c r="M409" s="23">
        <f>IF($L409="","",IF(OR(ISNUMBER(SEARCH("중국",$W409)),ISNUMBER(SEARCH("베트남",$W409))),MAX(0,MIN($L409,기준정보!$C$9)-MAX($L409-기준정보!$C$6,기준정보!$C$8)+1),IF(ISNUMBER(SEARCH("한국",$W409)),MAX(0,MIN($L409,기준정보!$C$11)-MAX($L409-기준정보!$C$6,기준정보!$C$10)+1),0)))</f>
        <v/>
      </c>
      <c r="N409" s="22">
        <f>IF($L409="","",$L409-기준정보!$C$6-$M409)</f>
        <v/>
      </c>
      <c r="O409" s="24">
        <f>IF($N409="","",$N409-기준정보!$C$4)</f>
        <v/>
      </c>
      <c r="P409" s="21" t="n"/>
      <c r="Q409" s="21" t="inlineStr">
        <is>
          <t>X</t>
        </is>
      </c>
      <c r="R409" s="19">
        <f>IF(COUNTIF(EDW_RAW!$A$2:$A$1500,$D409)=0,"",IF(COUNTIFS(EDW_RAW!$A$2:$A$1500,$D409,EDW_RAW!$U$2:$U$1500,"&lt;&gt;~",EDW_RAW!$U$2:$U$1500,"&lt;&gt;")=COUNTIF(EDW_RAW!$A$2:$A$1500,$D409),"O",IF(COUNTIFS(EDW_RAW!$A$2:$A$1500,$D409,EDW_RAW!$U$2:$U$1500,"&lt;&gt;~",EDW_RAW!$U$2:$U$1500,"&lt;&gt;")&gt;0,"부분","X")))</f>
        <v/>
      </c>
      <c r="S409" s="25" t="n"/>
      <c r="T409" s="20">
        <f>IF($H409="","",IF(AND(ISNUMBER(SEARCH("CMT",$H409)),OR(ISNUMBER(SEARCH("완사입",$H409)),ISNUMBER(SEARCH("ODM",$H409)))),"본사/생산처 혼재",IF(ISNUMBER(SEARCH("CMT",$H409)),"본사(소재팀)","생산처")))</f>
        <v/>
      </c>
      <c r="U409" s="20" t="inlineStr">
        <is>
          <t>건우</t>
        </is>
      </c>
      <c r="V409" s="20">
        <f>IFERROR(TEXTJOIN(" / ",TRUE,UNIQUE(FILTER(소재DB_RAW!$K$3:$K$2000,(소재DB_RAW!$G$3:$G$2000=$D409)*ISERROR(SEARCH("drop",소재DB_RAW!$C$3:$C$2000))))),"")</f>
        <v/>
      </c>
      <c r="W409" s="20" t="inlineStr">
        <is>
          <t>국내</t>
        </is>
      </c>
      <c r="X409" s="20">
        <f>IFERROR(TEXTJOIN(" / ",TRUE,UNIQUE(FILTER(소재DB_RAW!$N$3:$N$2000,(소재DB_RAW!$G$3:$G$2000=$D409)*ISERROR(SEARCH("drop",소재DB_RAW!$C$3:$C$2000))))),"")</f>
        <v/>
      </c>
      <c r="Y409" s="26">
        <f>IFERROR(TEXTJOIN(CHAR(10),TRUE,UNIQUE(FILTER(소재DB_RAW!$N$3:$N$2000&amp;") "&amp;소재DB_RAW!$O$3:$O$2000,(소재DB_RAW!$G$3:$G$2000=$D409)*ISNUMBER(SEARCH("겉감",소재DB_RAW!$M$3:$M$2000))*ISERROR(SEARCH("drop",소재DB_RAW!$C$3:$C$2000))))),"")</f>
        <v/>
      </c>
      <c r="Z409" s="26">
        <f>IFERROR(TEXTJOIN(CHAR(10),TRUE,UNIQUE(FILTER(소재DB_RAW!$N$3:$N$2000&amp;") "&amp;소재DB_RAW!$O$3:$O$2000,(소재DB_RAW!$G$3:$G$2000=$D409)*ISNUMBER(SEARCH("안감",소재DB_RAW!$M$3:$M$2000))*ISERROR(SEARCH("drop",소재DB_RAW!$C$3:$C$2000))))),"")</f>
        <v/>
      </c>
      <c r="AA409" s="27" t="n">
        <v>4700</v>
      </c>
      <c r="AB409" s="27" t="n">
        <v>15792000</v>
      </c>
      <c r="AC409" s="27" t="n">
        <v>94000000</v>
      </c>
      <c r="AD409" s="20" t="n"/>
      <c r="AE409" s="20">
        <f>IF($K409="","출고일 미정",IF($Q409="X","작지 미발행",IF($Q409="부분","작지 일부 미발행",IF(AND($S409&lt;&gt;"",$S409&gt;$N409),"소재입고 마감("&amp;TEXT($N409,"MM/DD")&amp;") 초과",IF($Q409="","발행여부 확인 필요",IF($S409="","소재 입고일정 확인 필요","정상"))))))</f>
        <v/>
      </c>
      <c r="AF409" s="19">
        <f>IF($K409="","",IF(OR(LEFT($AE409,2)="작지",LEFT($AE409,4)="소재입고"),IF(LEFT($G409,1)="S","★ 납기위험(S코드)","◆ 지연주의"),IF($AE409="정상","✓ 정상","? 확인필요")))</f>
        <v/>
      </c>
      <c r="AG409" s="21" t="n"/>
      <c r="AH409" s="28" t="n"/>
    </row>
    <row r="410">
      <c r="A410" s="19" t="n">
        <v>406</v>
      </c>
      <c r="B410" s="20" t="inlineStr">
        <is>
          <t>최지희</t>
        </is>
      </c>
      <c r="C410" s="20" t="inlineStr">
        <is>
          <t>강지은</t>
        </is>
      </c>
      <c r="D410" s="20" t="inlineStr">
        <is>
          <t>QELAX27521</t>
        </is>
      </c>
      <c r="E410" s="20" t="inlineStr">
        <is>
          <t>남녀공용 레트로 크루 삭스</t>
        </is>
      </c>
      <c r="F410" s="20" t="inlineStr">
        <is>
          <t>BLK(BLACK), ORA, NAY</t>
        </is>
      </c>
      <c r="G410" s="19">
        <f>IF($D410="","",IF(MID($D410,5,1)="S","S(봄)",IF(MID($D410,5,1)="M","M(여름)",IF(MID($D410,5,1)="X","X(사계절)",MID($D410,5,1)))))</f>
        <v/>
      </c>
      <c r="H410" s="20" t="inlineStr">
        <is>
          <t>완사입</t>
        </is>
      </c>
      <c r="I410" s="19" t="inlineStr"/>
      <c r="J410" s="21" t="inlineStr">
        <is>
          <t>2월4주</t>
        </is>
      </c>
      <c r="K410" s="22">
        <f>IF($J410="","",IFERROR(DATE(IF(VALUE(LEFT($J410,FIND("월",$J410)-1))&gt;=9,기준정보!$C$7-1,기준정보!$C$7),VALUE(LEFT($J410,FIND("월",$J410)-1)),1+7*(VALUE(SUBSTITUTE(MID($J410,FIND("월",$J410)+1,5),"주",""))-1)),""))</f>
        <v/>
      </c>
      <c r="L410" s="22">
        <f>IF($K410="","",IF(AND($K410-기준정보!$C$5&gt;=기준정보!$C$10,$K410-기준정보!$C$5&lt;=기준정보!$C$11),기준정보!$C$10-1,$K410-기준정보!$C$5))</f>
        <v/>
      </c>
      <c r="M410" s="23">
        <f>IF($L410="","",IF(OR(ISNUMBER(SEARCH("중국",$W410)),ISNUMBER(SEARCH("베트남",$W410))),MAX(0,MIN($L410,기준정보!$C$9)-MAX($L410-기준정보!$C$6,기준정보!$C$8)+1),IF(ISNUMBER(SEARCH("한국",$W410)),MAX(0,MIN($L410,기준정보!$C$11)-MAX($L410-기준정보!$C$6,기준정보!$C$10)+1),0)))</f>
        <v/>
      </c>
      <c r="N410" s="22">
        <f>IF($L410="","",$L410-기준정보!$C$6-$M410)</f>
        <v/>
      </c>
      <c r="O410" s="24">
        <f>IF($N410="","",$N410-기준정보!$C$4)</f>
        <v/>
      </c>
      <c r="P410" s="21" t="n"/>
      <c r="Q410" s="21" t="inlineStr">
        <is>
          <t>X</t>
        </is>
      </c>
      <c r="R410" s="19">
        <f>IF(COUNTIF(EDW_RAW!$A$2:$A$1500,$D410)=0,"",IF(COUNTIFS(EDW_RAW!$A$2:$A$1500,$D410,EDW_RAW!$U$2:$U$1500,"&lt;&gt;~",EDW_RAW!$U$2:$U$1500,"&lt;&gt;")=COUNTIF(EDW_RAW!$A$2:$A$1500,$D410),"O",IF(COUNTIFS(EDW_RAW!$A$2:$A$1500,$D410,EDW_RAW!$U$2:$U$1500,"&lt;&gt;~",EDW_RAW!$U$2:$U$1500,"&lt;&gt;")&gt;0,"부분","X")))</f>
        <v/>
      </c>
      <c r="S410" s="25" t="n"/>
      <c r="T410" s="20">
        <f>IF($H410="","",IF(AND(ISNUMBER(SEARCH("CMT",$H410)),OR(ISNUMBER(SEARCH("완사입",$H410)),ISNUMBER(SEARCH("ODM",$H410)))),"본사/생산처 혼재",IF(ISNUMBER(SEARCH("CMT",$H410)),"본사(소재팀)","생산처")))</f>
        <v/>
      </c>
      <c r="U410" s="20" t="inlineStr">
        <is>
          <t>건우</t>
        </is>
      </c>
      <c r="V410" s="20">
        <f>IFERROR(TEXTJOIN(" / ",TRUE,UNIQUE(FILTER(소재DB_RAW!$K$3:$K$2000,(소재DB_RAW!$G$3:$G$2000=$D410)*ISERROR(SEARCH("drop",소재DB_RAW!$C$3:$C$2000))))),"")</f>
        <v/>
      </c>
      <c r="W410" s="20" t="inlineStr">
        <is>
          <t>국내</t>
        </is>
      </c>
      <c r="X410" s="20">
        <f>IFERROR(TEXTJOIN(" / ",TRUE,UNIQUE(FILTER(소재DB_RAW!$N$3:$N$2000,(소재DB_RAW!$G$3:$G$2000=$D410)*ISERROR(SEARCH("drop",소재DB_RAW!$C$3:$C$2000))))),"")</f>
        <v/>
      </c>
      <c r="Y410" s="26">
        <f>IFERROR(TEXTJOIN(CHAR(10),TRUE,UNIQUE(FILTER(소재DB_RAW!$N$3:$N$2000&amp;") "&amp;소재DB_RAW!$O$3:$O$2000,(소재DB_RAW!$G$3:$G$2000=$D410)*ISNUMBER(SEARCH("겉감",소재DB_RAW!$M$3:$M$2000))*ISERROR(SEARCH("drop",소재DB_RAW!$C$3:$C$2000))))),"")</f>
        <v/>
      </c>
      <c r="Z410" s="26">
        <f>IFERROR(TEXTJOIN(CHAR(10),TRUE,UNIQUE(FILTER(소재DB_RAW!$N$3:$N$2000&amp;") "&amp;소재DB_RAW!$O$3:$O$2000,(소재DB_RAW!$G$3:$G$2000=$D410)*ISNUMBER(SEARCH("안감",소재DB_RAW!$M$3:$M$2000))*ISERROR(SEARCH("drop",소재DB_RAW!$C$3:$C$2000))))),"")</f>
        <v/>
      </c>
      <c r="AA410" s="27" t="n">
        <v>6000</v>
      </c>
      <c r="AB410" s="27" t="n">
        <v>18972000</v>
      </c>
      <c r="AC410" s="27" t="n">
        <v>120000000</v>
      </c>
      <c r="AD410" s="20" t="n"/>
      <c r="AE410" s="20">
        <f>IF($K410="","출고일 미정",IF($Q410="X","작지 미발행",IF($Q410="부분","작지 일부 미발행",IF(AND($S410&lt;&gt;"",$S410&gt;$N410),"소재입고 마감("&amp;TEXT($N410,"MM/DD")&amp;") 초과",IF($Q410="","발행여부 확인 필요",IF($S410="","소재 입고일정 확인 필요","정상"))))))</f>
        <v/>
      </c>
      <c r="AF410" s="19">
        <f>IF($K410="","",IF(OR(LEFT($AE410,2)="작지",LEFT($AE410,4)="소재입고"),IF(LEFT($G410,1)="S","★ 납기위험(S코드)","◆ 지연주의"),IF($AE410="정상","✓ 정상","? 확인필요")))</f>
        <v/>
      </c>
      <c r="AG410" s="21" t="n"/>
      <c r="AH410" s="28" t="n"/>
    </row>
    <row r="411">
      <c r="A411" s="19" t="n">
        <v>407</v>
      </c>
      <c r="B411" s="20" t="inlineStr">
        <is>
          <t>최지희</t>
        </is>
      </c>
      <c r="C411" s="20" t="inlineStr">
        <is>
          <t>강지은</t>
        </is>
      </c>
      <c r="D411" s="20" t="inlineStr">
        <is>
          <t>QELAX27531</t>
        </is>
      </c>
      <c r="E411" s="20" t="inlineStr">
        <is>
          <t>남녀공용 에센셜 크루 삭스</t>
        </is>
      </c>
      <c r="F411" s="20" t="inlineStr">
        <is>
          <t>BLK(BLACK), OWH</t>
        </is>
      </c>
      <c r="G411" s="19">
        <f>IF($D411="","",IF(MID($D411,5,1)="S","S(봄)",IF(MID($D411,5,1)="M","M(여름)",IF(MID($D411,5,1)="X","X(사계절)",MID($D411,5,1)))))</f>
        <v/>
      </c>
      <c r="H411" s="20" t="inlineStr">
        <is>
          <t>완사입</t>
        </is>
      </c>
      <c r="I411" s="19" t="inlineStr"/>
      <c r="J411" s="21" t="inlineStr">
        <is>
          <t>2월4주</t>
        </is>
      </c>
      <c r="K411" s="22">
        <f>IF($J411="","",IFERROR(DATE(IF(VALUE(LEFT($J411,FIND("월",$J411)-1))&gt;=9,기준정보!$C$7-1,기준정보!$C$7),VALUE(LEFT($J411,FIND("월",$J411)-1)),1+7*(VALUE(SUBSTITUTE(MID($J411,FIND("월",$J411)+1,5),"주",""))-1)),""))</f>
        <v/>
      </c>
      <c r="L411" s="22">
        <f>IF($K411="","",IF(AND($K411-기준정보!$C$5&gt;=기준정보!$C$10,$K411-기준정보!$C$5&lt;=기준정보!$C$11),기준정보!$C$10-1,$K411-기준정보!$C$5))</f>
        <v/>
      </c>
      <c r="M411" s="23">
        <f>IF($L411="","",IF(OR(ISNUMBER(SEARCH("중국",$W411)),ISNUMBER(SEARCH("베트남",$W411))),MAX(0,MIN($L411,기준정보!$C$9)-MAX($L411-기준정보!$C$6,기준정보!$C$8)+1),IF(ISNUMBER(SEARCH("한국",$W411)),MAX(0,MIN($L411,기준정보!$C$11)-MAX($L411-기준정보!$C$6,기준정보!$C$10)+1),0)))</f>
        <v/>
      </c>
      <c r="N411" s="22">
        <f>IF($L411="","",$L411-기준정보!$C$6-$M411)</f>
        <v/>
      </c>
      <c r="O411" s="24">
        <f>IF($N411="","",$N411-기준정보!$C$4)</f>
        <v/>
      </c>
      <c r="P411" s="21" t="n"/>
      <c r="Q411" s="21" t="inlineStr">
        <is>
          <t>X</t>
        </is>
      </c>
      <c r="R411" s="19">
        <f>IF(COUNTIF(EDW_RAW!$A$2:$A$1500,$D411)=0,"",IF(COUNTIFS(EDW_RAW!$A$2:$A$1500,$D411,EDW_RAW!$U$2:$U$1500,"&lt;&gt;~",EDW_RAW!$U$2:$U$1500,"&lt;&gt;")=COUNTIF(EDW_RAW!$A$2:$A$1500,$D411),"O",IF(COUNTIFS(EDW_RAW!$A$2:$A$1500,$D411,EDW_RAW!$U$2:$U$1500,"&lt;&gt;~",EDW_RAW!$U$2:$U$1500,"&lt;&gt;")&gt;0,"부분","X")))</f>
        <v/>
      </c>
      <c r="S411" s="25" t="n"/>
      <c r="T411" s="20">
        <f>IF($H411="","",IF(AND(ISNUMBER(SEARCH("CMT",$H411)),OR(ISNUMBER(SEARCH("완사입",$H411)),ISNUMBER(SEARCH("ODM",$H411)))),"본사/생산처 혼재",IF(ISNUMBER(SEARCH("CMT",$H411)),"본사(소재팀)","생산처")))</f>
        <v/>
      </c>
      <c r="U411" s="20" t="inlineStr">
        <is>
          <t>범창</t>
        </is>
      </c>
      <c r="V411" s="20">
        <f>IFERROR(TEXTJOIN(" / ",TRUE,UNIQUE(FILTER(소재DB_RAW!$K$3:$K$2000,(소재DB_RAW!$G$3:$G$2000=$D411)*ISERROR(SEARCH("drop",소재DB_RAW!$C$3:$C$2000))))),"")</f>
        <v/>
      </c>
      <c r="W411" s="20" t="inlineStr">
        <is>
          <t>국내</t>
        </is>
      </c>
      <c r="X411" s="20">
        <f>IFERROR(TEXTJOIN(" / ",TRUE,UNIQUE(FILTER(소재DB_RAW!$N$3:$N$2000,(소재DB_RAW!$G$3:$G$2000=$D411)*ISERROR(SEARCH("drop",소재DB_RAW!$C$3:$C$2000))))),"")</f>
        <v/>
      </c>
      <c r="Y411" s="26">
        <f>IFERROR(TEXTJOIN(CHAR(10),TRUE,UNIQUE(FILTER(소재DB_RAW!$N$3:$N$2000&amp;") "&amp;소재DB_RAW!$O$3:$O$2000,(소재DB_RAW!$G$3:$G$2000=$D411)*ISNUMBER(SEARCH("겉감",소재DB_RAW!$M$3:$M$2000))*ISERROR(SEARCH("drop",소재DB_RAW!$C$3:$C$2000))))),"")</f>
        <v/>
      </c>
      <c r="Z411" s="26">
        <f>IFERROR(TEXTJOIN(CHAR(10),TRUE,UNIQUE(FILTER(소재DB_RAW!$N$3:$N$2000&amp;") "&amp;소재DB_RAW!$O$3:$O$2000,(소재DB_RAW!$G$3:$G$2000=$D411)*ISNUMBER(SEARCH("안감",소재DB_RAW!$M$3:$M$2000))*ISERROR(SEARCH("drop",소재DB_RAW!$C$3:$C$2000))))),"")</f>
        <v/>
      </c>
      <c r="AA411" s="27" t="n">
        <v>4000</v>
      </c>
      <c r="AB411" s="27" t="n">
        <v>10400000</v>
      </c>
      <c r="AC411" s="27" t="n">
        <v>64000000</v>
      </c>
      <c r="AD411" s="20" t="n"/>
      <c r="AE411" s="20">
        <f>IF($K411="","출고일 미정",IF($Q411="X","작지 미발행",IF($Q411="부분","작지 일부 미발행",IF(AND($S411&lt;&gt;"",$S411&gt;$N411),"소재입고 마감("&amp;TEXT($N411,"MM/DD")&amp;") 초과",IF($Q411="","발행여부 확인 필요",IF($S411="","소재 입고일정 확인 필요","정상"))))))</f>
        <v/>
      </c>
      <c r="AF411" s="19">
        <f>IF($K411="","",IF(OR(LEFT($AE411,2)="작지",LEFT($AE411,4)="소재입고"),IF(LEFT($G411,1)="S","★ 납기위험(S코드)","◆ 지연주의"),IF($AE411="정상","✓ 정상","? 확인필요")))</f>
        <v/>
      </c>
      <c r="AG411" s="21" t="n"/>
      <c r="AH411" s="28" t="n"/>
    </row>
    <row r="412">
      <c r="A412" s="19" t="n">
        <v>408</v>
      </c>
      <c r="B412" s="20" t="inlineStr">
        <is>
          <t>최지희</t>
        </is>
      </c>
      <c r="C412" s="20" t="inlineStr">
        <is>
          <t>강지은</t>
        </is>
      </c>
      <c r="D412" s="20" t="inlineStr">
        <is>
          <t>QELAX27541</t>
        </is>
      </c>
      <c r="E412" s="20" t="inlineStr">
        <is>
          <t>남녀공용 베이직 앵클 삭스</t>
        </is>
      </c>
      <c r="F412" s="20" t="inlineStr">
        <is>
          <t>WHX, GBR(G/BROWN), GMI(G/MINT), BLK(BLACK)</t>
        </is>
      </c>
      <c r="G412" s="19">
        <f>IF($D412="","",IF(MID($D412,5,1)="S","S(봄)",IF(MID($D412,5,1)="M","M(여름)",IF(MID($D412,5,1)="X","X(사계절)",MID($D412,5,1)))))</f>
        <v/>
      </c>
      <c r="H412" s="20" t="inlineStr">
        <is>
          <t>완사입</t>
        </is>
      </c>
      <c r="I412" s="19" t="inlineStr"/>
      <c r="J412" s="21" t="inlineStr">
        <is>
          <t>2월4주</t>
        </is>
      </c>
      <c r="K412" s="22">
        <f>IF($J412="","",IFERROR(DATE(IF(VALUE(LEFT($J412,FIND("월",$J412)-1))&gt;=9,기준정보!$C$7-1,기준정보!$C$7),VALUE(LEFT($J412,FIND("월",$J412)-1)),1+7*(VALUE(SUBSTITUTE(MID($J412,FIND("월",$J412)+1,5),"주",""))-1)),""))</f>
        <v/>
      </c>
      <c r="L412" s="22">
        <f>IF($K412="","",IF(AND($K412-기준정보!$C$5&gt;=기준정보!$C$10,$K412-기준정보!$C$5&lt;=기준정보!$C$11),기준정보!$C$10-1,$K412-기준정보!$C$5))</f>
        <v/>
      </c>
      <c r="M412" s="23">
        <f>IF($L412="","",IF(OR(ISNUMBER(SEARCH("중국",$W412)),ISNUMBER(SEARCH("베트남",$W412))),MAX(0,MIN($L412,기준정보!$C$9)-MAX($L412-기준정보!$C$6,기준정보!$C$8)+1),IF(ISNUMBER(SEARCH("한국",$W412)),MAX(0,MIN($L412,기준정보!$C$11)-MAX($L412-기준정보!$C$6,기준정보!$C$10)+1),0)))</f>
        <v/>
      </c>
      <c r="N412" s="22">
        <f>IF($L412="","",$L412-기준정보!$C$6-$M412)</f>
        <v/>
      </c>
      <c r="O412" s="24">
        <f>IF($N412="","",$N412-기준정보!$C$4)</f>
        <v/>
      </c>
      <c r="P412" s="21" t="n"/>
      <c r="Q412" s="21" t="inlineStr">
        <is>
          <t>X</t>
        </is>
      </c>
      <c r="R412" s="19">
        <f>IF(COUNTIF(EDW_RAW!$A$2:$A$1500,$D412)=0,"",IF(COUNTIFS(EDW_RAW!$A$2:$A$1500,$D412,EDW_RAW!$U$2:$U$1500,"&lt;&gt;~",EDW_RAW!$U$2:$U$1500,"&lt;&gt;")=COUNTIF(EDW_RAW!$A$2:$A$1500,$D412),"O",IF(COUNTIFS(EDW_RAW!$A$2:$A$1500,$D412,EDW_RAW!$U$2:$U$1500,"&lt;&gt;~",EDW_RAW!$U$2:$U$1500,"&lt;&gt;")&gt;0,"부분","X")))</f>
        <v/>
      </c>
      <c r="S412" s="25" t="n"/>
      <c r="T412" s="20">
        <f>IF($H412="","",IF(AND(ISNUMBER(SEARCH("CMT",$H412)),OR(ISNUMBER(SEARCH("완사입",$H412)),ISNUMBER(SEARCH("ODM",$H412)))),"본사/생산처 혼재",IF(ISNUMBER(SEARCH("CMT",$H412)),"본사(소재팀)","생산처")))</f>
        <v/>
      </c>
      <c r="U412" s="20" t="inlineStr">
        <is>
          <t>건우</t>
        </is>
      </c>
      <c r="V412" s="20">
        <f>IFERROR(TEXTJOIN(" / ",TRUE,UNIQUE(FILTER(소재DB_RAW!$K$3:$K$2000,(소재DB_RAW!$G$3:$G$2000=$D412)*ISERROR(SEARCH("drop",소재DB_RAW!$C$3:$C$2000))))),"")</f>
        <v/>
      </c>
      <c r="W412" s="20" t="inlineStr">
        <is>
          <t>국내</t>
        </is>
      </c>
      <c r="X412" s="20">
        <f>IFERROR(TEXTJOIN(" / ",TRUE,UNIQUE(FILTER(소재DB_RAW!$N$3:$N$2000,(소재DB_RAW!$G$3:$G$2000=$D412)*ISERROR(SEARCH("drop",소재DB_RAW!$C$3:$C$2000))))),"")</f>
        <v/>
      </c>
      <c r="Y412" s="26">
        <f>IFERROR(TEXTJOIN(CHAR(10),TRUE,UNIQUE(FILTER(소재DB_RAW!$N$3:$N$2000&amp;") "&amp;소재DB_RAW!$O$3:$O$2000,(소재DB_RAW!$G$3:$G$2000=$D412)*ISNUMBER(SEARCH("겉감",소재DB_RAW!$M$3:$M$2000))*ISERROR(SEARCH("drop",소재DB_RAW!$C$3:$C$2000))))),"")</f>
        <v/>
      </c>
      <c r="Z412" s="26">
        <f>IFERROR(TEXTJOIN(CHAR(10),TRUE,UNIQUE(FILTER(소재DB_RAW!$N$3:$N$2000&amp;") "&amp;소재DB_RAW!$O$3:$O$2000,(소재DB_RAW!$G$3:$G$2000=$D412)*ISNUMBER(SEARCH("안감",소재DB_RAW!$M$3:$M$2000))*ISERROR(SEARCH("drop",소재DB_RAW!$C$3:$C$2000))))),"")</f>
        <v/>
      </c>
      <c r="AA412" s="27" t="n">
        <v>7000</v>
      </c>
      <c r="AB412" s="27" t="n">
        <v>19600000</v>
      </c>
      <c r="AC412" s="27" t="n">
        <v>91000000</v>
      </c>
      <c r="AD412" s="20" t="n"/>
      <c r="AE412" s="20">
        <f>IF($K412="","출고일 미정",IF($Q412="X","작지 미발행",IF($Q412="부분","작지 일부 미발행",IF(AND($S412&lt;&gt;"",$S412&gt;$N412),"소재입고 마감("&amp;TEXT($N412,"MM/DD")&amp;") 초과",IF($Q412="","발행여부 확인 필요",IF($S412="","소재 입고일정 확인 필요","정상"))))))</f>
        <v/>
      </c>
      <c r="AF412" s="19">
        <f>IF($K412="","",IF(OR(LEFT($AE412,2)="작지",LEFT($AE412,4)="소재입고"),IF(LEFT($G412,1)="S","★ 납기위험(S코드)","◆ 지연주의"),IF($AE412="정상","✓ 정상","? 확인필요")))</f>
        <v/>
      </c>
      <c r="AG412" s="21" t="n"/>
      <c r="AH412" s="28" t="n"/>
    </row>
    <row r="413">
      <c r="A413" s="19" t="n">
        <v>409</v>
      </c>
      <c r="B413" s="20" t="inlineStr">
        <is>
          <t>최지희</t>
        </is>
      </c>
      <c r="C413" s="20" t="inlineStr">
        <is>
          <t>강지은</t>
        </is>
      </c>
      <c r="D413" s="20" t="inlineStr">
        <is>
          <t>QELAX27551</t>
        </is>
      </c>
      <c r="E413" s="20" t="inlineStr">
        <is>
          <t>남녀공용 에센셜 쿠셔닝 인비저블 삭스 3PACK</t>
        </is>
      </c>
      <c r="F413" s="20" t="inlineStr">
        <is>
          <t>OWH, BLK(BLACK), OTX</t>
        </is>
      </c>
      <c r="G413" s="19">
        <f>IF($D413="","",IF(MID($D413,5,1)="S","S(봄)",IF(MID($D413,5,1)="M","M(여름)",IF(MID($D413,5,1)="X","X(사계절)",MID($D413,5,1)))))</f>
        <v/>
      </c>
      <c r="H413" s="20" t="inlineStr">
        <is>
          <t>완사입</t>
        </is>
      </c>
      <c r="I413" s="19" t="inlineStr"/>
      <c r="J413" s="21" t="inlineStr">
        <is>
          <t>2월4주</t>
        </is>
      </c>
      <c r="K413" s="22">
        <f>IF($J413="","",IFERROR(DATE(IF(VALUE(LEFT($J413,FIND("월",$J413)-1))&gt;=9,기준정보!$C$7-1,기준정보!$C$7),VALUE(LEFT($J413,FIND("월",$J413)-1)),1+7*(VALUE(SUBSTITUTE(MID($J413,FIND("월",$J413)+1,5),"주",""))-1)),""))</f>
        <v/>
      </c>
      <c r="L413" s="22">
        <f>IF($K413="","",IF(AND($K413-기준정보!$C$5&gt;=기준정보!$C$10,$K413-기준정보!$C$5&lt;=기준정보!$C$11),기준정보!$C$10-1,$K413-기준정보!$C$5))</f>
        <v/>
      </c>
      <c r="M413" s="23">
        <f>IF($L413="","",IF(OR(ISNUMBER(SEARCH("중국",$W413)),ISNUMBER(SEARCH("베트남",$W413))),MAX(0,MIN($L413,기준정보!$C$9)-MAX($L413-기준정보!$C$6,기준정보!$C$8)+1),IF(ISNUMBER(SEARCH("한국",$W413)),MAX(0,MIN($L413,기준정보!$C$11)-MAX($L413-기준정보!$C$6,기준정보!$C$10)+1),0)))</f>
        <v/>
      </c>
      <c r="N413" s="22">
        <f>IF($L413="","",$L413-기준정보!$C$6-$M413)</f>
        <v/>
      </c>
      <c r="O413" s="24">
        <f>IF($N413="","",$N413-기준정보!$C$4)</f>
        <v/>
      </c>
      <c r="P413" s="21" t="n"/>
      <c r="Q413" s="21" t="inlineStr">
        <is>
          <t>X</t>
        </is>
      </c>
      <c r="R413" s="19">
        <f>IF(COUNTIF(EDW_RAW!$A$2:$A$1500,$D413)=0,"",IF(COUNTIFS(EDW_RAW!$A$2:$A$1500,$D413,EDW_RAW!$U$2:$U$1500,"&lt;&gt;~",EDW_RAW!$U$2:$U$1500,"&lt;&gt;")=COUNTIF(EDW_RAW!$A$2:$A$1500,$D413),"O",IF(COUNTIFS(EDW_RAW!$A$2:$A$1500,$D413,EDW_RAW!$U$2:$U$1500,"&lt;&gt;~",EDW_RAW!$U$2:$U$1500,"&lt;&gt;")&gt;0,"부분","X")))</f>
        <v/>
      </c>
      <c r="S413" s="25" t="n"/>
      <c r="T413" s="20">
        <f>IF($H413="","",IF(AND(ISNUMBER(SEARCH("CMT",$H413)),OR(ISNUMBER(SEARCH("완사입",$H413)),ISNUMBER(SEARCH("ODM",$H413)))),"본사/생산처 혼재",IF(ISNUMBER(SEARCH("CMT",$H413)),"본사(소재팀)","생산처")))</f>
        <v/>
      </c>
      <c r="U413" s="20" t="inlineStr">
        <is>
          <t>범창</t>
        </is>
      </c>
      <c r="V413" s="20">
        <f>IFERROR(TEXTJOIN(" / ",TRUE,UNIQUE(FILTER(소재DB_RAW!$K$3:$K$2000,(소재DB_RAW!$G$3:$G$2000=$D413)*ISERROR(SEARCH("drop",소재DB_RAW!$C$3:$C$2000))))),"")</f>
        <v/>
      </c>
      <c r="W413" s="20" t="inlineStr">
        <is>
          <t>국내</t>
        </is>
      </c>
      <c r="X413" s="20">
        <f>IFERROR(TEXTJOIN(" / ",TRUE,UNIQUE(FILTER(소재DB_RAW!$N$3:$N$2000,(소재DB_RAW!$G$3:$G$2000=$D413)*ISERROR(SEARCH("drop",소재DB_RAW!$C$3:$C$2000))))),"")</f>
        <v/>
      </c>
      <c r="Y413" s="26">
        <f>IFERROR(TEXTJOIN(CHAR(10),TRUE,UNIQUE(FILTER(소재DB_RAW!$N$3:$N$2000&amp;") "&amp;소재DB_RAW!$O$3:$O$2000,(소재DB_RAW!$G$3:$G$2000=$D413)*ISNUMBER(SEARCH("겉감",소재DB_RAW!$M$3:$M$2000))*ISERROR(SEARCH("drop",소재DB_RAW!$C$3:$C$2000))))),"")</f>
        <v/>
      </c>
      <c r="Z413" s="26">
        <f>IFERROR(TEXTJOIN(CHAR(10),TRUE,UNIQUE(FILTER(소재DB_RAW!$N$3:$N$2000&amp;") "&amp;소재DB_RAW!$O$3:$O$2000,(소재DB_RAW!$G$3:$G$2000=$D413)*ISNUMBER(SEARCH("안감",소재DB_RAW!$M$3:$M$2000))*ISERROR(SEARCH("drop",소재DB_RAW!$C$3:$C$2000))))),"")</f>
        <v/>
      </c>
      <c r="AA413" s="27" t="n">
        <v>4500</v>
      </c>
      <c r="AB413" s="27" t="n">
        <v>29700000</v>
      </c>
      <c r="AC413" s="27" t="n">
        <v>135000000</v>
      </c>
      <c r="AD413" s="20" t="n"/>
      <c r="AE413" s="20">
        <f>IF($K413="","출고일 미정",IF($Q413="X","작지 미발행",IF($Q413="부분","작지 일부 미발행",IF(AND($S413&lt;&gt;"",$S413&gt;$N413),"소재입고 마감("&amp;TEXT($N413,"MM/DD")&amp;") 초과",IF($Q413="","발행여부 확인 필요",IF($S413="","소재 입고일정 확인 필요","정상"))))))</f>
        <v/>
      </c>
      <c r="AF413" s="19">
        <f>IF($K413="","",IF(OR(LEFT($AE413,2)="작지",LEFT($AE413,4)="소재입고"),IF(LEFT($G413,1)="S","★ 납기위험(S코드)","◆ 지연주의"),IF($AE413="정상","✓ 정상","? 확인필요")))</f>
        <v/>
      </c>
      <c r="AG413" s="21" t="n"/>
      <c r="AH413" s="28" t="n"/>
    </row>
    <row r="414">
      <c r="A414" s="19" t="n">
        <v>410</v>
      </c>
      <c r="B414" s="20" t="inlineStr">
        <is>
          <t>최지희</t>
        </is>
      </c>
      <c r="C414" s="20" t="inlineStr">
        <is>
          <t>강지은</t>
        </is>
      </c>
      <c r="D414" s="20" t="inlineStr">
        <is>
          <t>QELAX27561</t>
        </is>
      </c>
      <c r="E414" s="20" t="inlineStr">
        <is>
          <t>남녀공용 상록수 그래픽 크루 삭스</t>
        </is>
      </c>
      <c r="F414" s="20" t="inlineStr">
        <is>
          <t>BLK(BLACK), OWH</t>
        </is>
      </c>
      <c r="G414" s="19">
        <f>IF($D414="","",IF(MID($D414,5,1)="S","S(봄)",IF(MID($D414,5,1)="M","M(여름)",IF(MID($D414,5,1)="X","X(사계절)",MID($D414,5,1)))))</f>
        <v/>
      </c>
      <c r="H414" s="20" t="inlineStr">
        <is>
          <t>완사입</t>
        </is>
      </c>
      <c r="I414" s="19" t="inlineStr"/>
      <c r="J414" s="21" t="inlineStr">
        <is>
          <t>2월4주</t>
        </is>
      </c>
      <c r="K414" s="22">
        <f>IF($J414="","",IFERROR(DATE(IF(VALUE(LEFT($J414,FIND("월",$J414)-1))&gt;=9,기준정보!$C$7-1,기준정보!$C$7),VALUE(LEFT($J414,FIND("월",$J414)-1)),1+7*(VALUE(SUBSTITUTE(MID($J414,FIND("월",$J414)+1,5),"주",""))-1)),""))</f>
        <v/>
      </c>
      <c r="L414" s="22">
        <f>IF($K414="","",IF(AND($K414-기준정보!$C$5&gt;=기준정보!$C$10,$K414-기준정보!$C$5&lt;=기준정보!$C$11),기준정보!$C$10-1,$K414-기준정보!$C$5))</f>
        <v/>
      </c>
      <c r="M414" s="23">
        <f>IF($L414="","",IF(OR(ISNUMBER(SEARCH("중국",$W414)),ISNUMBER(SEARCH("베트남",$W414))),MAX(0,MIN($L414,기준정보!$C$9)-MAX($L414-기준정보!$C$6,기준정보!$C$8)+1),IF(ISNUMBER(SEARCH("한국",$W414)),MAX(0,MIN($L414,기준정보!$C$11)-MAX($L414-기준정보!$C$6,기준정보!$C$10)+1),0)))</f>
        <v/>
      </c>
      <c r="N414" s="22">
        <f>IF($L414="","",$L414-기준정보!$C$6-$M414)</f>
        <v/>
      </c>
      <c r="O414" s="24">
        <f>IF($N414="","",$N414-기준정보!$C$4)</f>
        <v/>
      </c>
      <c r="P414" s="21" t="n"/>
      <c r="Q414" s="21" t="inlineStr">
        <is>
          <t>X</t>
        </is>
      </c>
      <c r="R414" s="19">
        <f>IF(COUNTIF(EDW_RAW!$A$2:$A$1500,$D414)=0,"",IF(COUNTIFS(EDW_RAW!$A$2:$A$1500,$D414,EDW_RAW!$U$2:$U$1500,"&lt;&gt;~",EDW_RAW!$U$2:$U$1500,"&lt;&gt;")=COUNTIF(EDW_RAW!$A$2:$A$1500,$D414),"O",IF(COUNTIFS(EDW_RAW!$A$2:$A$1500,$D414,EDW_RAW!$U$2:$U$1500,"&lt;&gt;~",EDW_RAW!$U$2:$U$1500,"&lt;&gt;")&gt;0,"부분","X")))</f>
        <v/>
      </c>
      <c r="S414" s="25" t="n"/>
      <c r="T414" s="20">
        <f>IF($H414="","",IF(AND(ISNUMBER(SEARCH("CMT",$H414)),OR(ISNUMBER(SEARCH("완사입",$H414)),ISNUMBER(SEARCH("ODM",$H414)))),"본사/생산처 혼재",IF(ISNUMBER(SEARCH("CMT",$H414)),"본사(소재팀)","생산처")))</f>
        <v/>
      </c>
      <c r="U414" s="20" t="inlineStr">
        <is>
          <t>범창</t>
        </is>
      </c>
      <c r="V414" s="20">
        <f>IFERROR(TEXTJOIN(" / ",TRUE,UNIQUE(FILTER(소재DB_RAW!$K$3:$K$2000,(소재DB_RAW!$G$3:$G$2000=$D414)*ISERROR(SEARCH("drop",소재DB_RAW!$C$3:$C$2000))))),"")</f>
        <v/>
      </c>
      <c r="W414" s="20" t="inlineStr">
        <is>
          <t>국내</t>
        </is>
      </c>
      <c r="X414" s="20">
        <f>IFERROR(TEXTJOIN(" / ",TRUE,UNIQUE(FILTER(소재DB_RAW!$N$3:$N$2000,(소재DB_RAW!$G$3:$G$2000=$D414)*ISERROR(SEARCH("drop",소재DB_RAW!$C$3:$C$2000))))),"")</f>
        <v/>
      </c>
      <c r="Y414" s="26">
        <f>IFERROR(TEXTJOIN(CHAR(10),TRUE,UNIQUE(FILTER(소재DB_RAW!$N$3:$N$2000&amp;") "&amp;소재DB_RAW!$O$3:$O$2000,(소재DB_RAW!$G$3:$G$2000=$D414)*ISNUMBER(SEARCH("겉감",소재DB_RAW!$M$3:$M$2000))*ISERROR(SEARCH("drop",소재DB_RAW!$C$3:$C$2000))))),"")</f>
        <v/>
      </c>
      <c r="Z414" s="26">
        <f>IFERROR(TEXTJOIN(CHAR(10),TRUE,UNIQUE(FILTER(소재DB_RAW!$N$3:$N$2000&amp;") "&amp;소재DB_RAW!$O$3:$O$2000,(소재DB_RAW!$G$3:$G$2000=$D414)*ISNUMBER(SEARCH("안감",소재DB_RAW!$M$3:$M$2000))*ISERROR(SEARCH("drop",소재DB_RAW!$C$3:$C$2000))))),"")</f>
        <v/>
      </c>
      <c r="AA414" s="27" t="n">
        <v>3500</v>
      </c>
      <c r="AB414" s="27" t="n">
        <v>9800000</v>
      </c>
      <c r="AC414" s="27" t="n">
        <v>56000000</v>
      </c>
      <c r="AD414" s="20" t="n"/>
      <c r="AE414" s="20">
        <f>IF($K414="","출고일 미정",IF($Q414="X","작지 미발행",IF($Q414="부분","작지 일부 미발행",IF(AND($S414&lt;&gt;"",$S414&gt;$N414),"소재입고 마감("&amp;TEXT($N414,"MM/DD")&amp;") 초과",IF($Q414="","발행여부 확인 필요",IF($S414="","소재 입고일정 확인 필요","정상"))))))</f>
        <v/>
      </c>
      <c r="AF414" s="19">
        <f>IF($K414="","",IF(OR(LEFT($AE414,2)="작지",LEFT($AE414,4)="소재입고"),IF(LEFT($G414,1)="S","★ 납기위험(S코드)","◆ 지연주의"),IF($AE414="정상","✓ 정상","? 확인필요")))</f>
        <v/>
      </c>
      <c r="AG414" s="21" t="n"/>
      <c r="AH414" s="28" t="n"/>
    </row>
    <row r="415">
      <c r="A415" s="19" t="n">
        <v>411</v>
      </c>
      <c r="B415" s="20" t="inlineStr">
        <is>
          <t>최지희</t>
        </is>
      </c>
      <c r="C415" s="20" t="inlineStr">
        <is>
          <t>강지은</t>
        </is>
      </c>
      <c r="D415" s="20" t="inlineStr">
        <is>
          <t>QELAX27571</t>
        </is>
      </c>
      <c r="E415" s="20" t="inlineStr">
        <is>
          <t>남녀공용 레터링 크루 삭스</t>
        </is>
      </c>
      <c r="F415" s="20" t="inlineStr">
        <is>
          <t>LBE(L/BEIGE), WHX</t>
        </is>
      </c>
      <c r="G415" s="19">
        <f>IF($D415="","",IF(MID($D415,5,1)="S","S(봄)",IF(MID($D415,5,1)="M","M(여름)",IF(MID($D415,5,1)="X","X(사계절)",MID($D415,5,1)))))</f>
        <v/>
      </c>
      <c r="H415" s="20" t="inlineStr">
        <is>
          <t>완사입</t>
        </is>
      </c>
      <c r="I415" s="19" t="inlineStr"/>
      <c r="J415" s="21" t="inlineStr">
        <is>
          <t>2월4주</t>
        </is>
      </c>
      <c r="K415" s="22">
        <f>IF($J415="","",IFERROR(DATE(IF(VALUE(LEFT($J415,FIND("월",$J415)-1))&gt;=9,기준정보!$C$7-1,기준정보!$C$7),VALUE(LEFT($J415,FIND("월",$J415)-1)),1+7*(VALUE(SUBSTITUTE(MID($J415,FIND("월",$J415)+1,5),"주",""))-1)),""))</f>
        <v/>
      </c>
      <c r="L415" s="22">
        <f>IF($K415="","",IF(AND($K415-기준정보!$C$5&gt;=기준정보!$C$10,$K415-기준정보!$C$5&lt;=기준정보!$C$11),기준정보!$C$10-1,$K415-기준정보!$C$5))</f>
        <v/>
      </c>
      <c r="M415" s="23">
        <f>IF($L415="","",IF(OR(ISNUMBER(SEARCH("중국",$W415)),ISNUMBER(SEARCH("베트남",$W415))),MAX(0,MIN($L415,기준정보!$C$9)-MAX($L415-기준정보!$C$6,기준정보!$C$8)+1),IF(ISNUMBER(SEARCH("한국",$W415)),MAX(0,MIN($L415,기준정보!$C$11)-MAX($L415-기준정보!$C$6,기준정보!$C$10)+1),0)))</f>
        <v/>
      </c>
      <c r="N415" s="22">
        <f>IF($L415="","",$L415-기준정보!$C$6-$M415)</f>
        <v/>
      </c>
      <c r="O415" s="24">
        <f>IF($N415="","",$N415-기준정보!$C$4)</f>
        <v/>
      </c>
      <c r="P415" s="21" t="n"/>
      <c r="Q415" s="21" t="inlineStr">
        <is>
          <t>X</t>
        </is>
      </c>
      <c r="R415" s="19">
        <f>IF(COUNTIF(EDW_RAW!$A$2:$A$1500,$D415)=0,"",IF(COUNTIFS(EDW_RAW!$A$2:$A$1500,$D415,EDW_RAW!$U$2:$U$1500,"&lt;&gt;~",EDW_RAW!$U$2:$U$1500,"&lt;&gt;")=COUNTIF(EDW_RAW!$A$2:$A$1500,$D415),"O",IF(COUNTIFS(EDW_RAW!$A$2:$A$1500,$D415,EDW_RAW!$U$2:$U$1500,"&lt;&gt;~",EDW_RAW!$U$2:$U$1500,"&lt;&gt;")&gt;0,"부분","X")))</f>
        <v/>
      </c>
      <c r="S415" s="25" t="n"/>
      <c r="T415" s="20">
        <f>IF($H415="","",IF(AND(ISNUMBER(SEARCH("CMT",$H415)),OR(ISNUMBER(SEARCH("완사입",$H415)),ISNUMBER(SEARCH("ODM",$H415)))),"본사/생산처 혼재",IF(ISNUMBER(SEARCH("CMT",$H415)),"본사(소재팀)","생산처")))</f>
        <v/>
      </c>
      <c r="U415" s="20" t="inlineStr">
        <is>
          <t>범창</t>
        </is>
      </c>
      <c r="V415" s="20">
        <f>IFERROR(TEXTJOIN(" / ",TRUE,UNIQUE(FILTER(소재DB_RAW!$K$3:$K$2000,(소재DB_RAW!$G$3:$G$2000=$D415)*ISERROR(SEARCH("drop",소재DB_RAW!$C$3:$C$2000))))),"")</f>
        <v/>
      </c>
      <c r="W415" s="20" t="inlineStr">
        <is>
          <t>국내</t>
        </is>
      </c>
      <c r="X415" s="20">
        <f>IFERROR(TEXTJOIN(" / ",TRUE,UNIQUE(FILTER(소재DB_RAW!$N$3:$N$2000,(소재DB_RAW!$G$3:$G$2000=$D415)*ISERROR(SEARCH("drop",소재DB_RAW!$C$3:$C$2000))))),"")</f>
        <v/>
      </c>
      <c r="Y415" s="26">
        <f>IFERROR(TEXTJOIN(CHAR(10),TRUE,UNIQUE(FILTER(소재DB_RAW!$N$3:$N$2000&amp;") "&amp;소재DB_RAW!$O$3:$O$2000,(소재DB_RAW!$G$3:$G$2000=$D415)*ISNUMBER(SEARCH("겉감",소재DB_RAW!$M$3:$M$2000))*ISERROR(SEARCH("drop",소재DB_RAW!$C$3:$C$2000))))),"")</f>
        <v/>
      </c>
      <c r="Z415" s="26">
        <f>IFERROR(TEXTJOIN(CHAR(10),TRUE,UNIQUE(FILTER(소재DB_RAW!$N$3:$N$2000&amp;") "&amp;소재DB_RAW!$O$3:$O$2000,(소재DB_RAW!$G$3:$G$2000=$D415)*ISNUMBER(SEARCH("안감",소재DB_RAW!$M$3:$M$2000))*ISERROR(SEARCH("drop",소재DB_RAW!$C$3:$C$2000))))),"")</f>
        <v/>
      </c>
      <c r="AA415" s="27" t="n">
        <v>4500</v>
      </c>
      <c r="AB415" s="27" t="n">
        <v>14229000</v>
      </c>
      <c r="AC415" s="27" t="n">
        <v>90000000</v>
      </c>
      <c r="AD415" s="20" t="n"/>
      <c r="AE415" s="20">
        <f>IF($K415="","출고일 미정",IF($Q415="X","작지 미발행",IF($Q415="부분","작지 일부 미발행",IF(AND($S415&lt;&gt;"",$S415&gt;$N415),"소재입고 마감("&amp;TEXT($N415,"MM/DD")&amp;") 초과",IF($Q415="","발행여부 확인 필요",IF($S415="","소재 입고일정 확인 필요","정상"))))))</f>
        <v/>
      </c>
      <c r="AF415" s="19">
        <f>IF($K415="","",IF(OR(LEFT($AE415,2)="작지",LEFT($AE415,4)="소재입고"),IF(LEFT($G415,1)="S","★ 납기위험(S코드)","◆ 지연주의"),IF($AE415="정상","✓ 정상","? 확인필요")))</f>
        <v/>
      </c>
      <c r="AG415" s="21" t="n"/>
      <c r="AH415" s="28" t="n"/>
    </row>
    <row r="416">
      <c r="A416" s="19" t="n">
        <v>412</v>
      </c>
      <c r="B416" s="20" t="inlineStr">
        <is>
          <t>박술홍</t>
        </is>
      </c>
      <c r="C416" s="20" t="inlineStr">
        <is>
          <t>강지은</t>
        </is>
      </c>
      <c r="D416" s="20" t="inlineStr">
        <is>
          <t>QEAAX27741</t>
        </is>
      </c>
      <c r="E416" s="20" t="inlineStr">
        <is>
          <t>[TRAIL] 남녀공용 트레일러닝 스트레치 헤어밴드</t>
        </is>
      </c>
      <c r="F416" s="20" t="inlineStr">
        <is>
          <t>BLK(BLACK), IVO(IVORY), LSE</t>
        </is>
      </c>
      <c r="G416" s="19">
        <f>IF($D416="","",IF(MID($D416,5,1)="S","S(봄)",IF(MID($D416,5,1)="M","M(여름)",IF(MID($D416,5,1)="X","X(사계절)",MID($D416,5,1)))))</f>
        <v/>
      </c>
      <c r="H416" s="20" t="inlineStr">
        <is>
          <t>완사입</t>
        </is>
      </c>
      <c r="I416" s="19" t="inlineStr">
        <is>
          <t>SM1</t>
        </is>
      </c>
      <c r="J416" s="21" t="inlineStr">
        <is>
          <t>3월1주</t>
        </is>
      </c>
      <c r="K416" s="22">
        <f>IF($J416="","",IFERROR(DATE(IF(VALUE(LEFT($J416,FIND("월",$J416)-1))&gt;=9,기준정보!$C$7-1,기준정보!$C$7),VALUE(LEFT($J416,FIND("월",$J416)-1)),1+7*(VALUE(SUBSTITUTE(MID($J416,FIND("월",$J416)+1,5),"주",""))-1)),""))</f>
        <v/>
      </c>
      <c r="L416" s="22">
        <f>IF($K416="","",IF(AND($K416-기준정보!$C$5&gt;=기준정보!$C$10,$K416-기준정보!$C$5&lt;=기준정보!$C$11),기준정보!$C$10-1,$K416-기준정보!$C$5))</f>
        <v/>
      </c>
      <c r="M416" s="23">
        <f>IF($L416="","",IF(OR(ISNUMBER(SEARCH("중국",$W416)),ISNUMBER(SEARCH("베트남",$W416))),MAX(0,MIN($L416,기준정보!$C$9)-MAX($L416-기준정보!$C$6,기준정보!$C$8)+1),IF(ISNUMBER(SEARCH("한국",$W416)),MAX(0,MIN($L416,기준정보!$C$11)-MAX($L416-기준정보!$C$6,기준정보!$C$10)+1),0)))</f>
        <v/>
      </c>
      <c r="N416" s="22">
        <f>IF($L416="","",$L416-기준정보!$C$6-$M416)</f>
        <v/>
      </c>
      <c r="O416" s="24">
        <f>IF($N416="","",$N416-기준정보!$C$4)</f>
        <v/>
      </c>
      <c r="P416" s="21" t="n"/>
      <c r="Q416" s="21" t="inlineStr">
        <is>
          <t>X</t>
        </is>
      </c>
      <c r="R416" s="19">
        <f>IF(COUNTIF(EDW_RAW!$A$2:$A$1500,$D416)=0,"",IF(COUNTIFS(EDW_RAW!$A$2:$A$1500,$D416,EDW_RAW!$U$2:$U$1500,"&lt;&gt;~",EDW_RAW!$U$2:$U$1500,"&lt;&gt;")=COUNTIF(EDW_RAW!$A$2:$A$1500,$D416),"O",IF(COUNTIFS(EDW_RAW!$A$2:$A$1500,$D416,EDW_RAW!$U$2:$U$1500,"&lt;&gt;~",EDW_RAW!$U$2:$U$1500,"&lt;&gt;")&gt;0,"부분","X")))</f>
        <v/>
      </c>
      <c r="S416" s="25" t="n"/>
      <c r="T416" s="20">
        <f>IF($H416="","",IF(AND(ISNUMBER(SEARCH("CMT",$H416)),OR(ISNUMBER(SEARCH("완사입",$H416)),ISNUMBER(SEARCH("ODM",$H416)))),"본사/생산처 혼재",IF(ISNUMBER(SEARCH("CMT",$H416)),"본사(소재팀)","생산처")))</f>
        <v/>
      </c>
      <c r="U416" s="20" t="inlineStr">
        <is>
          <t>신기SB</t>
        </is>
      </c>
      <c r="V416" s="20">
        <f>IFERROR(TEXTJOIN(" / ",TRUE,UNIQUE(FILTER(소재DB_RAW!$K$3:$K$2000,(소재DB_RAW!$G$3:$G$2000=$D416)*ISERROR(SEARCH("drop",소재DB_RAW!$C$3:$C$2000))))),"")</f>
        <v/>
      </c>
      <c r="W416" s="20" t="inlineStr">
        <is>
          <t>국내</t>
        </is>
      </c>
      <c r="X416" s="20">
        <f>IFERROR(TEXTJOIN(" / ",TRUE,UNIQUE(FILTER(소재DB_RAW!$N$3:$N$2000,(소재DB_RAW!$G$3:$G$2000=$D416)*ISERROR(SEARCH("drop",소재DB_RAW!$C$3:$C$2000))))),"")</f>
        <v/>
      </c>
      <c r="Y416" s="26">
        <f>IFERROR(TEXTJOIN(CHAR(10),TRUE,UNIQUE(FILTER(소재DB_RAW!$N$3:$N$2000&amp;") "&amp;소재DB_RAW!$O$3:$O$2000,(소재DB_RAW!$G$3:$G$2000=$D416)*ISNUMBER(SEARCH("겉감",소재DB_RAW!$M$3:$M$2000))*ISERROR(SEARCH("drop",소재DB_RAW!$C$3:$C$2000))))),"")</f>
        <v/>
      </c>
      <c r="Z416" s="26">
        <f>IFERROR(TEXTJOIN(CHAR(10),TRUE,UNIQUE(FILTER(소재DB_RAW!$N$3:$N$2000&amp;") "&amp;소재DB_RAW!$O$3:$O$2000,(소재DB_RAW!$G$3:$G$2000=$D416)*ISNUMBER(SEARCH("안감",소재DB_RAW!$M$3:$M$2000))*ISERROR(SEARCH("drop",소재DB_RAW!$C$3:$C$2000))))),"")</f>
        <v/>
      </c>
      <c r="AA416" s="27" t="n">
        <v>1100</v>
      </c>
      <c r="AB416" s="27" t="n">
        <v>11550000</v>
      </c>
      <c r="AC416" s="27" t="n">
        <v>49500000</v>
      </c>
      <c r="AD416" s="20" t="inlineStr">
        <is>
          <t>3월1주</t>
        </is>
      </c>
      <c r="AE416" s="20">
        <f>IF($K416="","출고일 미정",IF($Q416="X","작지 미발행",IF($Q416="부분","작지 일부 미발행",IF(AND($S416&lt;&gt;"",$S416&gt;$N416),"소재입고 마감("&amp;TEXT($N416,"MM/DD")&amp;") 초과",IF($Q416="","발행여부 확인 필요",IF($S416="","소재 입고일정 확인 필요","정상"))))))</f>
        <v/>
      </c>
      <c r="AF416" s="19">
        <f>IF($K416="","",IF(OR(LEFT($AE416,2)="작지",LEFT($AE416,4)="소재입고"),IF(LEFT($G416,1)="S","★ 납기위험(S코드)","◆ 지연주의"),IF($AE416="정상","✓ 정상","? 확인필요")))</f>
        <v/>
      </c>
      <c r="AG416" s="21" t="n"/>
      <c r="AH416" s="28" t="n"/>
    </row>
    <row r="417">
      <c r="A417" s="19" t="n">
        <v>413</v>
      </c>
      <c r="B417" s="20" t="inlineStr">
        <is>
          <t>박술홍</t>
        </is>
      </c>
      <c r="C417" s="20" t="inlineStr">
        <is>
          <t>강지은</t>
        </is>
      </c>
      <c r="D417" s="20" t="inlineStr">
        <is>
          <t>QEBDX27731</t>
        </is>
      </c>
      <c r="E417" s="20" t="inlineStr">
        <is>
          <t>[TRAIL] 남녀공용 트레일러닝 힙벨트</t>
        </is>
      </c>
      <c r="F417" s="20" t="inlineStr">
        <is>
          <t>BLK(BLACK)</t>
        </is>
      </c>
      <c r="G417" s="19">
        <f>IF($D417="","",IF(MID($D417,5,1)="S","S(봄)",IF(MID($D417,5,1)="M","M(여름)",IF(MID($D417,5,1)="X","X(사계절)",MID($D417,5,1)))))</f>
        <v/>
      </c>
      <c r="H417" s="20" t="inlineStr">
        <is>
          <t>완사입</t>
        </is>
      </c>
      <c r="I417" s="19" t="inlineStr">
        <is>
          <t>SM1</t>
        </is>
      </c>
      <c r="J417" s="21" t="inlineStr">
        <is>
          <t>3월1주</t>
        </is>
      </c>
      <c r="K417" s="22">
        <f>IF($J417="","",IFERROR(DATE(IF(VALUE(LEFT($J417,FIND("월",$J417)-1))&gt;=9,기준정보!$C$7-1,기준정보!$C$7),VALUE(LEFT($J417,FIND("월",$J417)-1)),1+7*(VALUE(SUBSTITUTE(MID($J417,FIND("월",$J417)+1,5),"주",""))-1)),""))</f>
        <v/>
      </c>
      <c r="L417" s="22">
        <f>IF($K417="","",IF(AND($K417-기준정보!$C$5&gt;=기준정보!$C$10,$K417-기준정보!$C$5&lt;=기준정보!$C$11),기준정보!$C$10-1,$K417-기준정보!$C$5))</f>
        <v/>
      </c>
      <c r="M417" s="23">
        <f>IF($L417="","",IF(OR(ISNUMBER(SEARCH("중국",$W417)),ISNUMBER(SEARCH("베트남",$W417))),MAX(0,MIN($L417,기준정보!$C$9)-MAX($L417-기준정보!$C$6,기준정보!$C$8)+1),IF(ISNUMBER(SEARCH("한국",$W417)),MAX(0,MIN($L417,기준정보!$C$11)-MAX($L417-기준정보!$C$6,기준정보!$C$10)+1),0)))</f>
        <v/>
      </c>
      <c r="N417" s="22">
        <f>IF($L417="","",$L417-기준정보!$C$6-$M417)</f>
        <v/>
      </c>
      <c r="O417" s="24">
        <f>IF($N417="","",$N417-기준정보!$C$4)</f>
        <v/>
      </c>
      <c r="P417" s="21" t="n"/>
      <c r="Q417" s="21" t="inlineStr">
        <is>
          <t>X</t>
        </is>
      </c>
      <c r="R417" s="19">
        <f>IF(COUNTIF(EDW_RAW!$A$2:$A$1500,$D417)=0,"",IF(COUNTIFS(EDW_RAW!$A$2:$A$1500,$D417,EDW_RAW!$U$2:$U$1500,"&lt;&gt;~",EDW_RAW!$U$2:$U$1500,"&lt;&gt;")=COUNTIF(EDW_RAW!$A$2:$A$1500,$D417),"O",IF(COUNTIFS(EDW_RAW!$A$2:$A$1500,$D417,EDW_RAW!$U$2:$U$1500,"&lt;&gt;~",EDW_RAW!$U$2:$U$1500,"&lt;&gt;")&gt;0,"부분","X")))</f>
        <v/>
      </c>
      <c r="S417" s="25" t="n"/>
      <c r="T417" s="20">
        <f>IF($H417="","",IF(AND(ISNUMBER(SEARCH("CMT",$H417)),OR(ISNUMBER(SEARCH("완사입",$H417)),ISNUMBER(SEARCH("ODM",$H417)))),"본사/생산처 혼재",IF(ISNUMBER(SEARCH("CMT",$H417)),"본사(소재팀)","생산처")))</f>
        <v/>
      </c>
      <c r="U417" s="20" t="inlineStr">
        <is>
          <t>풍국산업</t>
        </is>
      </c>
      <c r="V417" s="20">
        <f>IFERROR(TEXTJOIN(" / ",TRUE,UNIQUE(FILTER(소재DB_RAW!$K$3:$K$2000,(소재DB_RAW!$G$3:$G$2000=$D417)*ISERROR(SEARCH("drop",소재DB_RAW!$C$3:$C$2000))))),"")</f>
        <v/>
      </c>
      <c r="W417" s="20" t="inlineStr">
        <is>
          <t>베트남</t>
        </is>
      </c>
      <c r="X417" s="20">
        <f>IFERROR(TEXTJOIN(" / ",TRUE,UNIQUE(FILTER(소재DB_RAW!$N$3:$N$2000,(소재DB_RAW!$G$3:$G$2000=$D417)*ISERROR(SEARCH("drop",소재DB_RAW!$C$3:$C$2000))))),"")</f>
        <v/>
      </c>
      <c r="Y417" s="26">
        <f>IFERROR(TEXTJOIN(CHAR(10),TRUE,UNIQUE(FILTER(소재DB_RAW!$N$3:$N$2000&amp;") "&amp;소재DB_RAW!$O$3:$O$2000,(소재DB_RAW!$G$3:$G$2000=$D417)*ISNUMBER(SEARCH("겉감",소재DB_RAW!$M$3:$M$2000))*ISERROR(SEARCH("drop",소재DB_RAW!$C$3:$C$2000))))),"")</f>
        <v/>
      </c>
      <c r="Z417" s="26">
        <f>IFERROR(TEXTJOIN(CHAR(10),TRUE,UNIQUE(FILTER(소재DB_RAW!$N$3:$N$2000&amp;") "&amp;소재DB_RAW!$O$3:$O$2000,(소재DB_RAW!$G$3:$G$2000=$D417)*ISNUMBER(SEARCH("안감",소재DB_RAW!$M$3:$M$2000))*ISERROR(SEARCH("drop",소재DB_RAW!$C$3:$C$2000))))),"")</f>
        <v/>
      </c>
      <c r="AA417" s="27" t="n">
        <v>1600</v>
      </c>
      <c r="AB417" s="27" t="n">
        <v>24337400</v>
      </c>
      <c r="AC417" s="27" t="n">
        <v>88800000</v>
      </c>
      <c r="AD417" s="20" t="n"/>
      <c r="AE417" s="20">
        <f>IF($K417="","출고일 미정",IF($Q417="X","작지 미발행",IF($Q417="부분","작지 일부 미발행",IF(AND($S417&lt;&gt;"",$S417&gt;$N417),"소재입고 마감("&amp;TEXT($N417,"MM/DD")&amp;") 초과",IF($Q417="","발행여부 확인 필요",IF($S417="","소재 입고일정 확인 필요","정상"))))))</f>
        <v/>
      </c>
      <c r="AF417" s="19">
        <f>IF($K417="","",IF(OR(LEFT($AE417,2)="작지",LEFT($AE417,4)="소재입고"),IF(LEFT($G417,1)="S","★ 납기위험(S코드)","◆ 지연주의"),IF($AE417="정상","✓ 정상","? 확인필요")))</f>
        <v/>
      </c>
      <c r="AG417" s="21" t="n"/>
      <c r="AH417" s="28" t="n"/>
    </row>
    <row r="418">
      <c r="A418" s="19" t="n">
        <v>414</v>
      </c>
      <c r="B418" s="20" t="inlineStr">
        <is>
          <t>박술홍</t>
        </is>
      </c>
      <c r="C418" s="20" t="inlineStr">
        <is>
          <t>강지은</t>
        </is>
      </c>
      <c r="D418" s="20" t="inlineStr">
        <is>
          <t>QEBDX27733</t>
        </is>
      </c>
      <c r="E418" s="20" t="inlineStr">
        <is>
          <t>[TRAIL] 남녀공용 트레일러닝 퀴버백</t>
        </is>
      </c>
      <c r="F418" s="20" t="inlineStr">
        <is>
          <t>BLK(BLACK)</t>
        </is>
      </c>
      <c r="G418" s="19">
        <f>IF($D418="","",IF(MID($D418,5,1)="S","S(봄)",IF(MID($D418,5,1)="M","M(여름)",IF(MID($D418,5,1)="X","X(사계절)",MID($D418,5,1)))))</f>
        <v/>
      </c>
      <c r="H418" s="20" t="inlineStr">
        <is>
          <t>완사입</t>
        </is>
      </c>
      <c r="I418" s="19" t="inlineStr">
        <is>
          <t>SM1</t>
        </is>
      </c>
      <c r="J418" s="21" t="inlineStr">
        <is>
          <t>3월1주</t>
        </is>
      </c>
      <c r="K418" s="22">
        <f>IF($J418="","",IFERROR(DATE(IF(VALUE(LEFT($J418,FIND("월",$J418)-1))&gt;=9,기준정보!$C$7-1,기준정보!$C$7),VALUE(LEFT($J418,FIND("월",$J418)-1)),1+7*(VALUE(SUBSTITUTE(MID($J418,FIND("월",$J418)+1,5),"주",""))-1)),""))</f>
        <v/>
      </c>
      <c r="L418" s="22">
        <f>IF($K418="","",IF(AND($K418-기준정보!$C$5&gt;=기준정보!$C$10,$K418-기준정보!$C$5&lt;=기준정보!$C$11),기준정보!$C$10-1,$K418-기준정보!$C$5))</f>
        <v/>
      </c>
      <c r="M418" s="23">
        <f>IF($L418="","",IF(OR(ISNUMBER(SEARCH("중국",$W418)),ISNUMBER(SEARCH("베트남",$W418))),MAX(0,MIN($L418,기준정보!$C$9)-MAX($L418-기준정보!$C$6,기준정보!$C$8)+1),IF(ISNUMBER(SEARCH("한국",$W418)),MAX(0,MIN($L418,기준정보!$C$11)-MAX($L418-기준정보!$C$6,기준정보!$C$10)+1),0)))</f>
        <v/>
      </c>
      <c r="N418" s="22">
        <f>IF($L418="","",$L418-기준정보!$C$6-$M418)</f>
        <v/>
      </c>
      <c r="O418" s="24">
        <f>IF($N418="","",$N418-기준정보!$C$4)</f>
        <v/>
      </c>
      <c r="P418" s="21" t="n"/>
      <c r="Q418" s="21" t="inlineStr">
        <is>
          <t>X</t>
        </is>
      </c>
      <c r="R418" s="19">
        <f>IF(COUNTIF(EDW_RAW!$A$2:$A$1500,$D418)=0,"",IF(COUNTIFS(EDW_RAW!$A$2:$A$1500,$D418,EDW_RAW!$U$2:$U$1500,"&lt;&gt;~",EDW_RAW!$U$2:$U$1500,"&lt;&gt;")=COUNTIF(EDW_RAW!$A$2:$A$1500,$D418),"O",IF(COUNTIFS(EDW_RAW!$A$2:$A$1500,$D418,EDW_RAW!$U$2:$U$1500,"&lt;&gt;~",EDW_RAW!$U$2:$U$1500,"&lt;&gt;")&gt;0,"부분","X")))</f>
        <v/>
      </c>
      <c r="S418" s="25" t="n"/>
      <c r="T418" s="20">
        <f>IF($H418="","",IF(AND(ISNUMBER(SEARCH("CMT",$H418)),OR(ISNUMBER(SEARCH("완사입",$H418)),ISNUMBER(SEARCH("ODM",$H418)))),"본사/생산처 혼재",IF(ISNUMBER(SEARCH("CMT",$H418)),"본사(소재팀)","생산처")))</f>
        <v/>
      </c>
      <c r="U418" s="20" t="inlineStr">
        <is>
          <t>풍국산업</t>
        </is>
      </c>
      <c r="V418" s="20">
        <f>IFERROR(TEXTJOIN(" / ",TRUE,UNIQUE(FILTER(소재DB_RAW!$K$3:$K$2000,(소재DB_RAW!$G$3:$G$2000=$D418)*ISERROR(SEARCH("drop",소재DB_RAW!$C$3:$C$2000))))),"")</f>
        <v/>
      </c>
      <c r="W418" s="20" t="inlineStr">
        <is>
          <t>베트남</t>
        </is>
      </c>
      <c r="X418" s="20">
        <f>IFERROR(TEXTJOIN(" / ",TRUE,UNIQUE(FILTER(소재DB_RAW!$N$3:$N$2000,(소재DB_RAW!$G$3:$G$2000=$D418)*ISERROR(SEARCH("drop",소재DB_RAW!$C$3:$C$2000))))),"")</f>
        <v/>
      </c>
      <c r="Y418" s="26">
        <f>IFERROR(TEXTJOIN(CHAR(10),TRUE,UNIQUE(FILTER(소재DB_RAW!$N$3:$N$2000&amp;") "&amp;소재DB_RAW!$O$3:$O$2000,(소재DB_RAW!$G$3:$G$2000=$D418)*ISNUMBER(SEARCH("겉감",소재DB_RAW!$M$3:$M$2000))*ISERROR(SEARCH("drop",소재DB_RAW!$C$3:$C$2000))))),"")</f>
        <v/>
      </c>
      <c r="Z418" s="26">
        <f>IFERROR(TEXTJOIN(CHAR(10),TRUE,UNIQUE(FILTER(소재DB_RAW!$N$3:$N$2000&amp;") "&amp;소재DB_RAW!$O$3:$O$2000,(소재DB_RAW!$G$3:$G$2000=$D418)*ISNUMBER(SEARCH("안감",소재DB_RAW!$M$3:$M$2000))*ISERROR(SEARCH("drop",소재DB_RAW!$C$3:$C$2000))))),"")</f>
        <v/>
      </c>
      <c r="AA418" s="27" t="n">
        <v>500</v>
      </c>
      <c r="AB418" s="27" t="n">
        <v>9000000</v>
      </c>
      <c r="AC418" s="27" t="n">
        <v>30000000</v>
      </c>
      <c r="AD418" s="20" t="n"/>
      <c r="AE418" s="20">
        <f>IF($K418="","출고일 미정",IF($Q418="X","작지 미발행",IF($Q418="부분","작지 일부 미발행",IF(AND($S418&lt;&gt;"",$S418&gt;$N418),"소재입고 마감("&amp;TEXT($N418,"MM/DD")&amp;") 초과",IF($Q418="","발행여부 확인 필요",IF($S418="","소재 입고일정 확인 필요","정상"))))))</f>
        <v/>
      </c>
      <c r="AF418" s="19">
        <f>IF($K418="","",IF(OR(LEFT($AE418,2)="작지",LEFT($AE418,4)="소재입고"),IF(LEFT($G418,1)="S","★ 납기위험(S코드)","◆ 지연주의"),IF($AE418="정상","✓ 정상","? 확인필요")))</f>
        <v/>
      </c>
      <c r="AG418" s="21" t="n"/>
      <c r="AH418" s="28" t="n"/>
    </row>
    <row r="419">
      <c r="A419" s="19" t="n">
        <v>415</v>
      </c>
      <c r="B419" s="20" t="inlineStr">
        <is>
          <t>박술홍</t>
        </is>
      </c>
      <c r="C419" s="20" t="inlineStr">
        <is>
          <t>강지은</t>
        </is>
      </c>
      <c r="D419" s="20" t="inlineStr">
        <is>
          <t>QEBXX27701</t>
        </is>
      </c>
      <c r="E419" s="20" t="inlineStr">
        <is>
          <t>[TRAIL] 남녀공용 트레일러닝 베스트 5L</t>
        </is>
      </c>
      <c r="F419" s="20" t="inlineStr">
        <is>
          <t>BLK(BLACK), IVO(IVORY)</t>
        </is>
      </c>
      <c r="G419" s="19">
        <f>IF($D419="","",IF(MID($D419,5,1)="S","S(봄)",IF(MID($D419,5,1)="M","M(여름)",IF(MID($D419,5,1)="X","X(사계절)",MID($D419,5,1)))))</f>
        <v/>
      </c>
      <c r="H419" s="20" t="inlineStr">
        <is>
          <t>완사입</t>
        </is>
      </c>
      <c r="I419" s="19" t="inlineStr">
        <is>
          <t>SM1</t>
        </is>
      </c>
      <c r="J419" s="21" t="inlineStr">
        <is>
          <t>3월1주</t>
        </is>
      </c>
      <c r="K419" s="22">
        <f>IF($J419="","",IFERROR(DATE(IF(VALUE(LEFT($J419,FIND("월",$J419)-1))&gt;=9,기준정보!$C$7-1,기준정보!$C$7),VALUE(LEFT($J419,FIND("월",$J419)-1)),1+7*(VALUE(SUBSTITUTE(MID($J419,FIND("월",$J419)+1,5),"주",""))-1)),""))</f>
        <v/>
      </c>
      <c r="L419" s="22">
        <f>IF($K419="","",IF(AND($K419-기준정보!$C$5&gt;=기준정보!$C$10,$K419-기준정보!$C$5&lt;=기준정보!$C$11),기준정보!$C$10-1,$K419-기준정보!$C$5))</f>
        <v/>
      </c>
      <c r="M419" s="23">
        <f>IF($L419="","",IF(OR(ISNUMBER(SEARCH("중국",$W419)),ISNUMBER(SEARCH("베트남",$W419))),MAX(0,MIN($L419,기준정보!$C$9)-MAX($L419-기준정보!$C$6,기준정보!$C$8)+1),IF(ISNUMBER(SEARCH("한국",$W419)),MAX(0,MIN($L419,기준정보!$C$11)-MAX($L419-기준정보!$C$6,기준정보!$C$10)+1),0)))</f>
        <v/>
      </c>
      <c r="N419" s="22">
        <f>IF($L419="","",$L419-기준정보!$C$6-$M419)</f>
        <v/>
      </c>
      <c r="O419" s="24">
        <f>IF($N419="","",$N419-기준정보!$C$4)</f>
        <v/>
      </c>
      <c r="P419" s="21" t="n"/>
      <c r="Q419" s="21" t="inlineStr">
        <is>
          <t>X</t>
        </is>
      </c>
      <c r="R419" s="19">
        <f>IF(COUNTIF(EDW_RAW!$A$2:$A$1500,$D419)=0,"",IF(COUNTIFS(EDW_RAW!$A$2:$A$1500,$D419,EDW_RAW!$U$2:$U$1500,"&lt;&gt;~",EDW_RAW!$U$2:$U$1500,"&lt;&gt;")=COUNTIF(EDW_RAW!$A$2:$A$1500,$D419),"O",IF(COUNTIFS(EDW_RAW!$A$2:$A$1500,$D419,EDW_RAW!$U$2:$U$1500,"&lt;&gt;~",EDW_RAW!$U$2:$U$1500,"&lt;&gt;")&gt;0,"부분","X")))</f>
        <v/>
      </c>
      <c r="S419" s="25" t="n"/>
      <c r="T419" s="20">
        <f>IF($H419="","",IF(AND(ISNUMBER(SEARCH("CMT",$H419)),OR(ISNUMBER(SEARCH("완사입",$H419)),ISNUMBER(SEARCH("ODM",$H419)))),"본사/생산처 혼재",IF(ISNUMBER(SEARCH("CMT",$H419)),"본사(소재팀)","생산처")))</f>
        <v/>
      </c>
      <c r="U419" s="20" t="inlineStr">
        <is>
          <t>풍국산업</t>
        </is>
      </c>
      <c r="V419" s="20">
        <f>IFERROR(TEXTJOIN(" / ",TRUE,UNIQUE(FILTER(소재DB_RAW!$K$3:$K$2000,(소재DB_RAW!$G$3:$G$2000=$D419)*ISERROR(SEARCH("drop",소재DB_RAW!$C$3:$C$2000))))),"")</f>
        <v/>
      </c>
      <c r="W419" s="20" t="inlineStr">
        <is>
          <t>베트남</t>
        </is>
      </c>
      <c r="X419" s="20">
        <f>IFERROR(TEXTJOIN(" / ",TRUE,UNIQUE(FILTER(소재DB_RAW!$N$3:$N$2000,(소재DB_RAW!$G$3:$G$2000=$D419)*ISERROR(SEARCH("drop",소재DB_RAW!$C$3:$C$2000))))),"")</f>
        <v/>
      </c>
      <c r="Y419" s="26">
        <f>IFERROR(TEXTJOIN(CHAR(10),TRUE,UNIQUE(FILTER(소재DB_RAW!$N$3:$N$2000&amp;") "&amp;소재DB_RAW!$O$3:$O$2000,(소재DB_RAW!$G$3:$G$2000=$D419)*ISNUMBER(SEARCH("겉감",소재DB_RAW!$M$3:$M$2000))*ISERROR(SEARCH("drop",소재DB_RAW!$C$3:$C$2000))))),"")</f>
        <v/>
      </c>
      <c r="Z419" s="26">
        <f>IFERROR(TEXTJOIN(CHAR(10),TRUE,UNIQUE(FILTER(소재DB_RAW!$N$3:$N$2000&amp;") "&amp;소재DB_RAW!$O$3:$O$2000,(소재DB_RAW!$G$3:$G$2000=$D419)*ISNUMBER(SEARCH("안감",소재DB_RAW!$M$3:$M$2000))*ISERROR(SEARCH("drop",소재DB_RAW!$C$3:$C$2000))))),"")</f>
        <v/>
      </c>
      <c r="AA419" s="27" t="n">
        <v>1200</v>
      </c>
      <c r="AB419" s="27" t="n">
        <v>70542000</v>
      </c>
      <c r="AC419" s="27" t="n">
        <v>237600000</v>
      </c>
      <c r="AD419" s="20" t="n"/>
      <c r="AE419" s="20">
        <f>IF($K419="","출고일 미정",IF($Q419="X","작지 미발행",IF($Q419="부분","작지 일부 미발행",IF(AND($S419&lt;&gt;"",$S419&gt;$N419),"소재입고 마감("&amp;TEXT($N419,"MM/DD")&amp;") 초과",IF($Q419="","발행여부 확인 필요",IF($S419="","소재 입고일정 확인 필요","정상"))))))</f>
        <v/>
      </c>
      <c r="AF419" s="19">
        <f>IF($K419="","",IF(OR(LEFT($AE419,2)="작지",LEFT($AE419,4)="소재입고"),IF(LEFT($G419,1)="S","★ 납기위험(S코드)","◆ 지연주의"),IF($AE419="정상","✓ 정상","? 확인필요")))</f>
        <v/>
      </c>
      <c r="AG419" s="21" t="n"/>
      <c r="AH419" s="28" t="n"/>
    </row>
    <row r="420">
      <c r="A420" s="19" t="n">
        <v>416</v>
      </c>
      <c r="B420" s="20" t="inlineStr">
        <is>
          <t>박술홍</t>
        </is>
      </c>
      <c r="C420" s="20" t="inlineStr">
        <is>
          <t>강지은</t>
        </is>
      </c>
      <c r="D420" s="20" t="inlineStr">
        <is>
          <t>QEBXX27711</t>
        </is>
      </c>
      <c r="E420" s="20" t="inlineStr">
        <is>
          <t>[TRAIL] 남녀공용 트레일러닝 베스트 10L</t>
        </is>
      </c>
      <c r="F420" s="20" t="inlineStr">
        <is>
          <t>BLK(BLACK), LSE</t>
        </is>
      </c>
      <c r="G420" s="19">
        <f>IF($D420="","",IF(MID($D420,5,1)="S","S(봄)",IF(MID($D420,5,1)="M","M(여름)",IF(MID($D420,5,1)="X","X(사계절)",MID($D420,5,1)))))</f>
        <v/>
      </c>
      <c r="H420" s="20" t="inlineStr">
        <is>
          <t>완사입</t>
        </is>
      </c>
      <c r="I420" s="19" t="inlineStr">
        <is>
          <t>SM1</t>
        </is>
      </c>
      <c r="J420" s="21" t="inlineStr">
        <is>
          <t>3월1주</t>
        </is>
      </c>
      <c r="K420" s="22">
        <f>IF($J420="","",IFERROR(DATE(IF(VALUE(LEFT($J420,FIND("월",$J420)-1))&gt;=9,기준정보!$C$7-1,기준정보!$C$7),VALUE(LEFT($J420,FIND("월",$J420)-1)),1+7*(VALUE(SUBSTITUTE(MID($J420,FIND("월",$J420)+1,5),"주",""))-1)),""))</f>
        <v/>
      </c>
      <c r="L420" s="22">
        <f>IF($K420="","",IF(AND($K420-기준정보!$C$5&gt;=기준정보!$C$10,$K420-기준정보!$C$5&lt;=기준정보!$C$11),기준정보!$C$10-1,$K420-기준정보!$C$5))</f>
        <v/>
      </c>
      <c r="M420" s="23">
        <f>IF($L420="","",IF(OR(ISNUMBER(SEARCH("중국",$W420)),ISNUMBER(SEARCH("베트남",$W420))),MAX(0,MIN($L420,기준정보!$C$9)-MAX($L420-기준정보!$C$6,기준정보!$C$8)+1),IF(ISNUMBER(SEARCH("한국",$W420)),MAX(0,MIN($L420,기준정보!$C$11)-MAX($L420-기준정보!$C$6,기준정보!$C$10)+1),0)))</f>
        <v/>
      </c>
      <c r="N420" s="22">
        <f>IF($L420="","",$L420-기준정보!$C$6-$M420)</f>
        <v/>
      </c>
      <c r="O420" s="24">
        <f>IF($N420="","",$N420-기준정보!$C$4)</f>
        <v/>
      </c>
      <c r="P420" s="21" t="n"/>
      <c r="Q420" s="21" t="inlineStr">
        <is>
          <t>X</t>
        </is>
      </c>
      <c r="R420" s="19">
        <f>IF(COUNTIF(EDW_RAW!$A$2:$A$1500,$D420)=0,"",IF(COUNTIFS(EDW_RAW!$A$2:$A$1500,$D420,EDW_RAW!$U$2:$U$1500,"&lt;&gt;~",EDW_RAW!$U$2:$U$1500,"&lt;&gt;")=COUNTIF(EDW_RAW!$A$2:$A$1500,$D420),"O",IF(COUNTIFS(EDW_RAW!$A$2:$A$1500,$D420,EDW_RAW!$U$2:$U$1500,"&lt;&gt;~",EDW_RAW!$U$2:$U$1500,"&lt;&gt;")&gt;0,"부분","X")))</f>
        <v/>
      </c>
      <c r="S420" s="25" t="n"/>
      <c r="T420" s="20">
        <f>IF($H420="","",IF(AND(ISNUMBER(SEARCH("CMT",$H420)),OR(ISNUMBER(SEARCH("완사입",$H420)),ISNUMBER(SEARCH("ODM",$H420)))),"본사/생산처 혼재",IF(ISNUMBER(SEARCH("CMT",$H420)),"본사(소재팀)","생산처")))</f>
        <v/>
      </c>
      <c r="U420" s="20" t="inlineStr">
        <is>
          <t>풍국산업</t>
        </is>
      </c>
      <c r="V420" s="20">
        <f>IFERROR(TEXTJOIN(" / ",TRUE,UNIQUE(FILTER(소재DB_RAW!$K$3:$K$2000,(소재DB_RAW!$G$3:$G$2000=$D420)*ISERROR(SEARCH("drop",소재DB_RAW!$C$3:$C$2000))))),"")</f>
        <v/>
      </c>
      <c r="W420" s="20" t="inlineStr">
        <is>
          <t>베트남</t>
        </is>
      </c>
      <c r="X420" s="20">
        <f>IFERROR(TEXTJOIN(" / ",TRUE,UNIQUE(FILTER(소재DB_RAW!$N$3:$N$2000,(소재DB_RAW!$G$3:$G$2000=$D420)*ISERROR(SEARCH("drop",소재DB_RAW!$C$3:$C$2000))))),"")</f>
        <v/>
      </c>
      <c r="Y420" s="26">
        <f>IFERROR(TEXTJOIN(CHAR(10),TRUE,UNIQUE(FILTER(소재DB_RAW!$N$3:$N$2000&amp;") "&amp;소재DB_RAW!$O$3:$O$2000,(소재DB_RAW!$G$3:$G$2000=$D420)*ISNUMBER(SEARCH("겉감",소재DB_RAW!$M$3:$M$2000))*ISERROR(SEARCH("drop",소재DB_RAW!$C$3:$C$2000))))),"")</f>
        <v/>
      </c>
      <c r="Z420" s="26">
        <f>IFERROR(TEXTJOIN(CHAR(10),TRUE,UNIQUE(FILTER(소재DB_RAW!$N$3:$N$2000&amp;") "&amp;소재DB_RAW!$O$3:$O$2000,(소재DB_RAW!$G$3:$G$2000=$D420)*ISNUMBER(SEARCH("안감",소재DB_RAW!$M$3:$M$2000))*ISERROR(SEARCH("drop",소재DB_RAW!$C$3:$C$2000))))),"")</f>
        <v/>
      </c>
      <c r="AA420" s="27" t="n">
        <v>1300</v>
      </c>
      <c r="AB420" s="27" t="n">
        <v>76420500</v>
      </c>
      <c r="AC420" s="27" t="n">
        <v>286000000</v>
      </c>
      <c r="AD420" s="20" t="n"/>
      <c r="AE420" s="20">
        <f>IF($K420="","출고일 미정",IF($Q420="X","작지 미발행",IF($Q420="부분","작지 일부 미발행",IF(AND($S420&lt;&gt;"",$S420&gt;$N420),"소재입고 마감("&amp;TEXT($N420,"MM/DD")&amp;") 초과",IF($Q420="","발행여부 확인 필요",IF($S420="","소재 입고일정 확인 필요","정상"))))))</f>
        <v/>
      </c>
      <c r="AF420" s="19">
        <f>IF($K420="","",IF(OR(LEFT($AE420,2)="작지",LEFT($AE420,4)="소재입고"),IF(LEFT($G420,1)="S","★ 납기위험(S코드)","◆ 지연주의"),IF($AE420="정상","✓ 정상","? 확인필요")))</f>
        <v/>
      </c>
      <c r="AG420" s="21" t="n"/>
      <c r="AH420" s="28" t="n"/>
    </row>
    <row r="421">
      <c r="A421" s="19" t="n">
        <v>417</v>
      </c>
      <c r="B421" s="20" t="inlineStr">
        <is>
          <t>박술홍</t>
        </is>
      </c>
      <c r="C421" s="20" t="inlineStr">
        <is>
          <t>강지은</t>
        </is>
      </c>
      <c r="D421" s="20" t="inlineStr">
        <is>
          <t>QELAX27701</t>
        </is>
      </c>
      <c r="E421" s="20" t="inlineStr">
        <is>
          <t>[TRAIL] 남녀공용 트레일러닝 크루 삭스</t>
        </is>
      </c>
      <c r="F421" s="20" t="inlineStr">
        <is>
          <t>LSE, IVO(IVORY), DGY(D/GRAY)</t>
        </is>
      </c>
      <c r="G421" s="19">
        <f>IF($D421="","",IF(MID($D421,5,1)="S","S(봄)",IF(MID($D421,5,1)="M","M(여름)",IF(MID($D421,5,1)="X","X(사계절)",MID($D421,5,1)))))</f>
        <v/>
      </c>
      <c r="H421" s="20" t="inlineStr">
        <is>
          <t>완사입</t>
        </is>
      </c>
      <c r="I421" s="19" t="inlineStr">
        <is>
          <t>SM1</t>
        </is>
      </c>
      <c r="J421" s="21" t="inlineStr">
        <is>
          <t>3월1주</t>
        </is>
      </c>
      <c r="K421" s="22">
        <f>IF($J421="","",IFERROR(DATE(IF(VALUE(LEFT($J421,FIND("월",$J421)-1))&gt;=9,기준정보!$C$7-1,기준정보!$C$7),VALUE(LEFT($J421,FIND("월",$J421)-1)),1+7*(VALUE(SUBSTITUTE(MID($J421,FIND("월",$J421)+1,5),"주",""))-1)),""))</f>
        <v/>
      </c>
      <c r="L421" s="22">
        <f>IF($K421="","",IF(AND($K421-기준정보!$C$5&gt;=기준정보!$C$10,$K421-기준정보!$C$5&lt;=기준정보!$C$11),기준정보!$C$10-1,$K421-기준정보!$C$5))</f>
        <v/>
      </c>
      <c r="M421" s="23">
        <f>IF($L421="","",IF(OR(ISNUMBER(SEARCH("중국",$W421)),ISNUMBER(SEARCH("베트남",$W421))),MAX(0,MIN($L421,기준정보!$C$9)-MAX($L421-기준정보!$C$6,기준정보!$C$8)+1),IF(ISNUMBER(SEARCH("한국",$W421)),MAX(0,MIN($L421,기준정보!$C$11)-MAX($L421-기준정보!$C$6,기준정보!$C$10)+1),0)))</f>
        <v/>
      </c>
      <c r="N421" s="22">
        <f>IF($L421="","",$L421-기준정보!$C$6-$M421)</f>
        <v/>
      </c>
      <c r="O421" s="24">
        <f>IF($N421="","",$N421-기준정보!$C$4)</f>
        <v/>
      </c>
      <c r="P421" s="21" t="n"/>
      <c r="Q421" s="21" t="inlineStr">
        <is>
          <t>X</t>
        </is>
      </c>
      <c r="R421" s="19">
        <f>IF(COUNTIF(EDW_RAW!$A$2:$A$1500,$D421)=0,"",IF(COUNTIFS(EDW_RAW!$A$2:$A$1500,$D421,EDW_RAW!$U$2:$U$1500,"&lt;&gt;~",EDW_RAW!$U$2:$U$1500,"&lt;&gt;")=COUNTIF(EDW_RAW!$A$2:$A$1500,$D421),"O",IF(COUNTIFS(EDW_RAW!$A$2:$A$1500,$D421,EDW_RAW!$U$2:$U$1500,"&lt;&gt;~",EDW_RAW!$U$2:$U$1500,"&lt;&gt;")&gt;0,"부분","X")))</f>
        <v/>
      </c>
      <c r="S421" s="25" t="n"/>
      <c r="T421" s="20">
        <f>IF($H421="","",IF(AND(ISNUMBER(SEARCH("CMT",$H421)),OR(ISNUMBER(SEARCH("완사입",$H421)),ISNUMBER(SEARCH("ODM",$H421)))),"본사/생산처 혼재",IF(ISNUMBER(SEARCH("CMT",$H421)),"본사(소재팀)","생산처")))</f>
        <v/>
      </c>
      <c r="U421" s="20" t="inlineStr">
        <is>
          <t>크리스</t>
        </is>
      </c>
      <c r="V421" s="20">
        <f>IFERROR(TEXTJOIN(" / ",TRUE,UNIQUE(FILTER(소재DB_RAW!$K$3:$K$2000,(소재DB_RAW!$G$3:$G$2000=$D421)*ISERROR(SEARCH("drop",소재DB_RAW!$C$3:$C$2000))))),"")</f>
        <v/>
      </c>
      <c r="W421" s="20" t="inlineStr">
        <is>
          <t>국내</t>
        </is>
      </c>
      <c r="X421" s="20">
        <f>IFERROR(TEXTJOIN(" / ",TRUE,UNIQUE(FILTER(소재DB_RAW!$N$3:$N$2000,(소재DB_RAW!$G$3:$G$2000=$D421)*ISERROR(SEARCH("drop",소재DB_RAW!$C$3:$C$2000))))),"")</f>
        <v/>
      </c>
      <c r="Y421" s="26">
        <f>IFERROR(TEXTJOIN(CHAR(10),TRUE,UNIQUE(FILTER(소재DB_RAW!$N$3:$N$2000&amp;") "&amp;소재DB_RAW!$O$3:$O$2000,(소재DB_RAW!$G$3:$G$2000=$D421)*ISNUMBER(SEARCH("겉감",소재DB_RAW!$M$3:$M$2000))*ISERROR(SEARCH("drop",소재DB_RAW!$C$3:$C$2000))))),"")</f>
        <v/>
      </c>
      <c r="Z421" s="26">
        <f>IFERROR(TEXTJOIN(CHAR(10),TRUE,UNIQUE(FILTER(소재DB_RAW!$N$3:$N$2000&amp;") "&amp;소재DB_RAW!$O$3:$O$2000,(소재DB_RAW!$G$3:$G$2000=$D421)*ISNUMBER(SEARCH("안감",소재DB_RAW!$M$3:$M$2000))*ISERROR(SEARCH("drop",소재DB_RAW!$C$3:$C$2000))))),"")</f>
        <v/>
      </c>
      <c r="AA421" s="27" t="n">
        <v>1600</v>
      </c>
      <c r="AB421" s="27" t="n">
        <v>5566400</v>
      </c>
      <c r="AC421" s="27" t="n">
        <v>40000000</v>
      </c>
      <c r="AD421" s="20" t="n"/>
      <c r="AE421" s="20">
        <f>IF($K421="","출고일 미정",IF($Q421="X","작지 미발행",IF($Q421="부분","작지 일부 미발행",IF(AND($S421&lt;&gt;"",$S421&gt;$N421),"소재입고 마감("&amp;TEXT($N421,"MM/DD")&amp;") 초과",IF($Q421="","발행여부 확인 필요",IF($S421="","소재 입고일정 확인 필요","정상"))))))</f>
        <v/>
      </c>
      <c r="AF421" s="19">
        <f>IF($K421="","",IF(OR(LEFT($AE421,2)="작지",LEFT($AE421,4)="소재입고"),IF(LEFT($G421,1)="S","★ 납기위험(S코드)","◆ 지연주의"),IF($AE421="정상","✓ 정상","? 확인필요")))</f>
        <v/>
      </c>
      <c r="AG421" s="21" t="n"/>
      <c r="AH421" s="28" t="n"/>
    </row>
    <row r="422">
      <c r="A422" s="19" t="n">
        <v>418</v>
      </c>
      <c r="B422" s="20" t="inlineStr">
        <is>
          <t>박술홍</t>
        </is>
      </c>
      <c r="C422" s="20" t="inlineStr">
        <is>
          <t>강지은</t>
        </is>
      </c>
      <c r="D422" s="20" t="inlineStr">
        <is>
          <t>QEREX27711</t>
        </is>
      </c>
      <c r="E422" s="20" t="inlineStr">
        <is>
          <t>[TRAIL] 남녀공용 트레일러닝 메쉬 캠프캡</t>
        </is>
      </c>
      <c r="F422" s="20" t="inlineStr">
        <is>
          <t>DGY(D/GRAY), DBE(DARK BEIGE)</t>
        </is>
      </c>
      <c r="G422" s="19">
        <f>IF($D422="","",IF(MID($D422,5,1)="S","S(봄)",IF(MID($D422,5,1)="M","M(여름)",IF(MID($D422,5,1)="X","X(사계절)",MID($D422,5,1)))))</f>
        <v/>
      </c>
      <c r="H422" s="20" t="inlineStr">
        <is>
          <t>완사입</t>
        </is>
      </c>
      <c r="I422" s="19" t="inlineStr">
        <is>
          <t>SM1</t>
        </is>
      </c>
      <c r="J422" s="21" t="inlineStr">
        <is>
          <t>3월1주</t>
        </is>
      </c>
      <c r="K422" s="22">
        <f>IF($J422="","",IFERROR(DATE(IF(VALUE(LEFT($J422,FIND("월",$J422)-1))&gt;=9,기준정보!$C$7-1,기준정보!$C$7),VALUE(LEFT($J422,FIND("월",$J422)-1)),1+7*(VALUE(SUBSTITUTE(MID($J422,FIND("월",$J422)+1,5),"주",""))-1)),""))</f>
        <v/>
      </c>
      <c r="L422" s="22">
        <f>IF($K422="","",IF(AND($K422-기준정보!$C$5&gt;=기준정보!$C$10,$K422-기준정보!$C$5&lt;=기준정보!$C$11),기준정보!$C$10-1,$K422-기준정보!$C$5))</f>
        <v/>
      </c>
      <c r="M422" s="23">
        <f>IF($L422="","",IF(OR(ISNUMBER(SEARCH("중국",$W422)),ISNUMBER(SEARCH("베트남",$W422))),MAX(0,MIN($L422,기준정보!$C$9)-MAX($L422-기준정보!$C$6,기준정보!$C$8)+1),IF(ISNUMBER(SEARCH("한국",$W422)),MAX(0,MIN($L422,기준정보!$C$11)-MAX($L422-기준정보!$C$6,기준정보!$C$10)+1),0)))</f>
        <v/>
      </c>
      <c r="N422" s="22">
        <f>IF($L422="","",$L422-기준정보!$C$6-$M422)</f>
        <v/>
      </c>
      <c r="O422" s="24">
        <f>IF($N422="","",$N422-기준정보!$C$4)</f>
        <v/>
      </c>
      <c r="P422" s="21" t="n"/>
      <c r="Q422" s="21" t="inlineStr">
        <is>
          <t>X</t>
        </is>
      </c>
      <c r="R422" s="19">
        <f>IF(COUNTIF(EDW_RAW!$A$2:$A$1500,$D422)=0,"",IF(COUNTIFS(EDW_RAW!$A$2:$A$1500,$D422,EDW_RAW!$U$2:$U$1500,"&lt;&gt;~",EDW_RAW!$U$2:$U$1500,"&lt;&gt;")=COUNTIF(EDW_RAW!$A$2:$A$1500,$D422),"O",IF(COUNTIFS(EDW_RAW!$A$2:$A$1500,$D422,EDW_RAW!$U$2:$U$1500,"&lt;&gt;~",EDW_RAW!$U$2:$U$1500,"&lt;&gt;")&gt;0,"부분","X")))</f>
        <v/>
      </c>
      <c r="S422" s="25" t="n"/>
      <c r="T422" s="20">
        <f>IF($H422="","",IF(AND(ISNUMBER(SEARCH("CMT",$H422)),OR(ISNUMBER(SEARCH("완사입",$H422)),ISNUMBER(SEARCH("ODM",$H422)))),"본사/생산처 혼재",IF(ISNUMBER(SEARCH("CMT",$H422)),"본사(소재팀)","생산처")))</f>
        <v/>
      </c>
      <c r="U422" s="20" t="inlineStr">
        <is>
          <t>피앤지</t>
        </is>
      </c>
      <c r="V422" s="20">
        <f>IFERROR(TEXTJOIN(" / ",TRUE,UNIQUE(FILTER(소재DB_RAW!$K$3:$K$2000,(소재DB_RAW!$G$3:$G$2000=$D422)*ISERROR(SEARCH("drop",소재DB_RAW!$C$3:$C$2000))))),"")</f>
        <v/>
      </c>
      <c r="W422" s="20" t="inlineStr">
        <is>
          <t>베트남</t>
        </is>
      </c>
      <c r="X422" s="20">
        <f>IFERROR(TEXTJOIN(" / ",TRUE,UNIQUE(FILTER(소재DB_RAW!$N$3:$N$2000,(소재DB_RAW!$G$3:$G$2000=$D422)*ISERROR(SEARCH("drop",소재DB_RAW!$C$3:$C$2000))))),"")</f>
        <v/>
      </c>
      <c r="Y422" s="26">
        <f>IFERROR(TEXTJOIN(CHAR(10),TRUE,UNIQUE(FILTER(소재DB_RAW!$N$3:$N$2000&amp;") "&amp;소재DB_RAW!$O$3:$O$2000,(소재DB_RAW!$G$3:$G$2000=$D422)*ISNUMBER(SEARCH("겉감",소재DB_RAW!$M$3:$M$2000))*ISERROR(SEARCH("drop",소재DB_RAW!$C$3:$C$2000))))),"")</f>
        <v/>
      </c>
      <c r="Z422" s="26">
        <f>IFERROR(TEXTJOIN(CHAR(10),TRUE,UNIQUE(FILTER(소재DB_RAW!$N$3:$N$2000&amp;") "&amp;소재DB_RAW!$O$3:$O$2000,(소재DB_RAW!$G$3:$G$2000=$D422)*ISNUMBER(SEARCH("안감",소재DB_RAW!$M$3:$M$2000))*ISERROR(SEARCH("drop",소재DB_RAW!$C$3:$C$2000))))),"")</f>
        <v/>
      </c>
      <c r="AA422" s="27" t="n">
        <v>1200</v>
      </c>
      <c r="AB422" s="27" t="n">
        <v>16401600</v>
      </c>
      <c r="AC422" s="27" t="n">
        <v>78000000</v>
      </c>
      <c r="AD422" s="20" t="n"/>
      <c r="AE422" s="20">
        <f>IF($K422="","출고일 미정",IF($Q422="X","작지 미발행",IF($Q422="부분","작지 일부 미발행",IF(AND($S422&lt;&gt;"",$S422&gt;$N422),"소재입고 마감("&amp;TEXT($N422,"MM/DD")&amp;") 초과",IF($Q422="","발행여부 확인 필요",IF($S422="","소재 입고일정 확인 필요","정상"))))))</f>
        <v/>
      </c>
      <c r="AF422" s="19">
        <f>IF($K422="","",IF(OR(LEFT($AE422,2)="작지",LEFT($AE422,4)="소재입고"),IF(LEFT($G422,1)="S","★ 납기위험(S코드)","◆ 지연주의"),IF($AE422="정상","✓ 정상","? 확인필요")))</f>
        <v/>
      </c>
      <c r="AG422" s="21" t="n"/>
      <c r="AH422" s="28" t="n"/>
    </row>
    <row r="423">
      <c r="A423" s="19" t="n">
        <v>419</v>
      </c>
      <c r="B423" s="20" t="inlineStr">
        <is>
          <t>박술홍</t>
        </is>
      </c>
      <c r="C423" s="20" t="inlineStr">
        <is>
          <t>강지은</t>
        </is>
      </c>
      <c r="D423" s="20" t="inlineStr">
        <is>
          <t>QEREX27721</t>
        </is>
      </c>
      <c r="E423" s="20" t="inlineStr">
        <is>
          <t>[TRAIL] 남녀공용 트레일러닝 에어도트 볼캡</t>
        </is>
      </c>
      <c r="F423" s="20" t="inlineStr">
        <is>
          <t>BLK(BLACK), IVO(IVORY)</t>
        </is>
      </c>
      <c r="G423" s="19">
        <f>IF($D423="","",IF(MID($D423,5,1)="S","S(봄)",IF(MID($D423,5,1)="M","M(여름)",IF(MID($D423,5,1)="X","X(사계절)",MID($D423,5,1)))))</f>
        <v/>
      </c>
      <c r="H423" s="20" t="inlineStr">
        <is>
          <t>완사입</t>
        </is>
      </c>
      <c r="I423" s="19" t="inlineStr">
        <is>
          <t>SM1</t>
        </is>
      </c>
      <c r="J423" s="21" t="inlineStr">
        <is>
          <t>3월1주</t>
        </is>
      </c>
      <c r="K423" s="22">
        <f>IF($J423="","",IFERROR(DATE(IF(VALUE(LEFT($J423,FIND("월",$J423)-1))&gt;=9,기준정보!$C$7-1,기준정보!$C$7),VALUE(LEFT($J423,FIND("월",$J423)-1)),1+7*(VALUE(SUBSTITUTE(MID($J423,FIND("월",$J423)+1,5),"주",""))-1)),""))</f>
        <v/>
      </c>
      <c r="L423" s="22">
        <f>IF($K423="","",IF(AND($K423-기준정보!$C$5&gt;=기준정보!$C$10,$K423-기준정보!$C$5&lt;=기준정보!$C$11),기준정보!$C$10-1,$K423-기준정보!$C$5))</f>
        <v/>
      </c>
      <c r="M423" s="23">
        <f>IF($L423="","",IF(OR(ISNUMBER(SEARCH("중국",$W423)),ISNUMBER(SEARCH("베트남",$W423))),MAX(0,MIN($L423,기준정보!$C$9)-MAX($L423-기준정보!$C$6,기준정보!$C$8)+1),IF(ISNUMBER(SEARCH("한국",$W423)),MAX(0,MIN($L423,기준정보!$C$11)-MAX($L423-기준정보!$C$6,기준정보!$C$10)+1),0)))</f>
        <v/>
      </c>
      <c r="N423" s="22">
        <f>IF($L423="","",$L423-기준정보!$C$6-$M423)</f>
        <v/>
      </c>
      <c r="O423" s="24">
        <f>IF($N423="","",$N423-기준정보!$C$4)</f>
        <v/>
      </c>
      <c r="P423" s="21" t="n"/>
      <c r="Q423" s="21" t="inlineStr">
        <is>
          <t>X</t>
        </is>
      </c>
      <c r="R423" s="19">
        <f>IF(COUNTIF(EDW_RAW!$A$2:$A$1500,$D423)=0,"",IF(COUNTIFS(EDW_RAW!$A$2:$A$1500,$D423,EDW_RAW!$U$2:$U$1500,"&lt;&gt;~",EDW_RAW!$U$2:$U$1500,"&lt;&gt;")=COUNTIF(EDW_RAW!$A$2:$A$1500,$D423),"O",IF(COUNTIFS(EDW_RAW!$A$2:$A$1500,$D423,EDW_RAW!$U$2:$U$1500,"&lt;&gt;~",EDW_RAW!$U$2:$U$1500,"&lt;&gt;")&gt;0,"부분","X")))</f>
        <v/>
      </c>
      <c r="S423" s="25" t="n"/>
      <c r="T423" s="20">
        <f>IF($H423="","",IF(AND(ISNUMBER(SEARCH("CMT",$H423)),OR(ISNUMBER(SEARCH("완사입",$H423)),ISNUMBER(SEARCH("ODM",$H423)))),"본사/생산처 혼재",IF(ISNUMBER(SEARCH("CMT",$H423)),"본사(소재팀)","생산처")))</f>
        <v/>
      </c>
      <c r="U423" s="20" t="inlineStr">
        <is>
          <t>피앤지</t>
        </is>
      </c>
      <c r="V423" s="20">
        <f>IFERROR(TEXTJOIN(" / ",TRUE,UNIQUE(FILTER(소재DB_RAW!$K$3:$K$2000,(소재DB_RAW!$G$3:$G$2000=$D423)*ISERROR(SEARCH("drop",소재DB_RAW!$C$3:$C$2000))))),"")</f>
        <v/>
      </c>
      <c r="W423" s="20" t="inlineStr">
        <is>
          <t>베트남</t>
        </is>
      </c>
      <c r="X423" s="20">
        <f>IFERROR(TEXTJOIN(" / ",TRUE,UNIQUE(FILTER(소재DB_RAW!$N$3:$N$2000,(소재DB_RAW!$G$3:$G$2000=$D423)*ISERROR(SEARCH("drop",소재DB_RAW!$C$3:$C$2000))))),"")</f>
        <v/>
      </c>
      <c r="Y423" s="26">
        <f>IFERROR(TEXTJOIN(CHAR(10),TRUE,UNIQUE(FILTER(소재DB_RAW!$N$3:$N$2000&amp;") "&amp;소재DB_RAW!$O$3:$O$2000,(소재DB_RAW!$G$3:$G$2000=$D423)*ISNUMBER(SEARCH("겉감",소재DB_RAW!$M$3:$M$2000))*ISERROR(SEARCH("drop",소재DB_RAW!$C$3:$C$2000))))),"")</f>
        <v/>
      </c>
      <c r="Z423" s="26">
        <f>IFERROR(TEXTJOIN(CHAR(10),TRUE,UNIQUE(FILTER(소재DB_RAW!$N$3:$N$2000&amp;") "&amp;소재DB_RAW!$O$3:$O$2000,(소재DB_RAW!$G$3:$G$2000=$D423)*ISNUMBER(SEARCH("안감",소재DB_RAW!$M$3:$M$2000))*ISERROR(SEARCH("drop",소재DB_RAW!$C$3:$C$2000))))),"")</f>
        <v/>
      </c>
      <c r="AA423" s="27" t="n">
        <v>900</v>
      </c>
      <c r="AB423" s="27" t="n">
        <v>12301200</v>
      </c>
      <c r="AC423" s="27" t="n">
        <v>58500000</v>
      </c>
      <c r="AD423" s="20" t="n"/>
      <c r="AE423" s="20">
        <f>IF($K423="","출고일 미정",IF($Q423="X","작지 미발행",IF($Q423="부분","작지 일부 미발행",IF(AND($S423&lt;&gt;"",$S423&gt;$N423),"소재입고 마감("&amp;TEXT($N423,"MM/DD")&amp;") 초과",IF($Q423="","발행여부 확인 필요",IF($S423="","소재 입고일정 확인 필요","정상"))))))</f>
        <v/>
      </c>
      <c r="AF423" s="19">
        <f>IF($K423="","",IF(OR(LEFT($AE423,2)="작지",LEFT($AE423,4)="소재입고"),IF(LEFT($G423,1)="S","★ 납기위험(S코드)","◆ 지연주의"),IF($AE423="정상","✓ 정상","? 확인필요")))</f>
        <v/>
      </c>
      <c r="AG423" s="21" t="n"/>
      <c r="AH423" s="28" t="n"/>
    </row>
    <row r="424">
      <c r="A424" s="19" t="n">
        <v>420</v>
      </c>
      <c r="B424" s="20" t="inlineStr">
        <is>
          <t>최지희</t>
        </is>
      </c>
      <c r="C424" s="20" t="inlineStr">
        <is>
          <t>조은선</t>
        </is>
      </c>
      <c r="D424" s="20" t="inlineStr">
        <is>
          <t>QEAKX27101</t>
        </is>
      </c>
      <c r="E424" s="20" t="inlineStr">
        <is>
          <t>남녀공용 심리스 멀티 스카프</t>
        </is>
      </c>
      <c r="F424" s="20" t="inlineStr">
        <is>
          <t>BLK(BLACK), GBR(G/BROWN)</t>
        </is>
      </c>
      <c r="G424" s="19">
        <f>IF($D424="","",IF(MID($D424,5,1)="S","S(봄)",IF(MID($D424,5,1)="M","M(여름)",IF(MID($D424,5,1)="X","X(사계절)",MID($D424,5,1)))))</f>
        <v/>
      </c>
      <c r="H424" s="20" t="inlineStr">
        <is>
          <t>완사입</t>
        </is>
      </c>
      <c r="I424" s="19" t="inlineStr"/>
      <c r="J424" s="21" t="inlineStr">
        <is>
          <t>3월2주</t>
        </is>
      </c>
      <c r="K424" s="22">
        <f>IF($J424="","",IFERROR(DATE(IF(VALUE(LEFT($J424,FIND("월",$J424)-1))&gt;=9,기준정보!$C$7-1,기준정보!$C$7),VALUE(LEFT($J424,FIND("월",$J424)-1)),1+7*(VALUE(SUBSTITUTE(MID($J424,FIND("월",$J424)+1,5),"주",""))-1)),""))</f>
        <v/>
      </c>
      <c r="L424" s="22">
        <f>IF($K424="","",IF(AND($K424-기준정보!$C$5&gt;=기준정보!$C$10,$K424-기준정보!$C$5&lt;=기준정보!$C$11),기준정보!$C$10-1,$K424-기준정보!$C$5))</f>
        <v/>
      </c>
      <c r="M424" s="23">
        <f>IF($L424="","",IF(OR(ISNUMBER(SEARCH("중국",$W424)),ISNUMBER(SEARCH("베트남",$W424))),MAX(0,MIN($L424,기준정보!$C$9)-MAX($L424-기준정보!$C$6,기준정보!$C$8)+1),IF(ISNUMBER(SEARCH("한국",$W424)),MAX(0,MIN($L424,기준정보!$C$11)-MAX($L424-기준정보!$C$6,기준정보!$C$10)+1),0)))</f>
        <v/>
      </c>
      <c r="N424" s="22">
        <f>IF($L424="","",$L424-기준정보!$C$6-$M424)</f>
        <v/>
      </c>
      <c r="O424" s="24">
        <f>IF($N424="","",$N424-기준정보!$C$4)</f>
        <v/>
      </c>
      <c r="P424" s="21" t="n"/>
      <c r="Q424" s="21" t="inlineStr">
        <is>
          <t>X</t>
        </is>
      </c>
      <c r="R424" s="19">
        <f>IF(COUNTIF(EDW_RAW!$A$2:$A$1500,$D424)=0,"",IF(COUNTIFS(EDW_RAW!$A$2:$A$1500,$D424,EDW_RAW!$U$2:$U$1500,"&lt;&gt;~",EDW_RAW!$U$2:$U$1500,"&lt;&gt;")=COUNTIF(EDW_RAW!$A$2:$A$1500,$D424),"O",IF(COUNTIFS(EDW_RAW!$A$2:$A$1500,$D424,EDW_RAW!$U$2:$U$1500,"&lt;&gt;~",EDW_RAW!$U$2:$U$1500,"&lt;&gt;")&gt;0,"부분","X")))</f>
        <v/>
      </c>
      <c r="S424" s="25" t="n"/>
      <c r="T424" s="20">
        <f>IF($H424="","",IF(AND(ISNUMBER(SEARCH("CMT",$H424)),OR(ISNUMBER(SEARCH("완사입",$H424)),ISNUMBER(SEARCH("ODM",$H424)))),"본사/생산처 혼재",IF(ISNUMBER(SEARCH("CMT",$H424)),"본사(소재팀)","생산처")))</f>
        <v/>
      </c>
      <c r="U424" s="20" t="inlineStr">
        <is>
          <t>아이앤지</t>
        </is>
      </c>
      <c r="V424" s="20">
        <f>IFERROR(TEXTJOIN(" / ",TRUE,UNIQUE(FILTER(소재DB_RAW!$K$3:$K$2000,(소재DB_RAW!$G$3:$G$2000=$D424)*ISERROR(SEARCH("drop",소재DB_RAW!$C$3:$C$2000))))),"")</f>
        <v/>
      </c>
      <c r="W424" s="20" t="inlineStr">
        <is>
          <t>한국</t>
        </is>
      </c>
      <c r="X424" s="20">
        <f>IFERROR(TEXTJOIN(" / ",TRUE,UNIQUE(FILTER(소재DB_RAW!$N$3:$N$2000,(소재DB_RAW!$G$3:$G$2000=$D424)*ISERROR(SEARCH("drop",소재DB_RAW!$C$3:$C$2000))))),"")</f>
        <v/>
      </c>
      <c r="Y424" s="26">
        <f>IFERROR(TEXTJOIN(CHAR(10),TRUE,UNIQUE(FILTER(소재DB_RAW!$N$3:$N$2000&amp;") "&amp;소재DB_RAW!$O$3:$O$2000,(소재DB_RAW!$G$3:$G$2000=$D424)*ISNUMBER(SEARCH("겉감",소재DB_RAW!$M$3:$M$2000))*ISERROR(SEARCH("drop",소재DB_RAW!$C$3:$C$2000))))),"")</f>
        <v/>
      </c>
      <c r="Z424" s="26">
        <f>IFERROR(TEXTJOIN(CHAR(10),TRUE,UNIQUE(FILTER(소재DB_RAW!$N$3:$N$2000&amp;") "&amp;소재DB_RAW!$O$3:$O$2000,(소재DB_RAW!$G$3:$G$2000=$D424)*ISNUMBER(SEARCH("안감",소재DB_RAW!$M$3:$M$2000))*ISERROR(SEARCH("drop",소재DB_RAW!$C$3:$C$2000))))),"")</f>
        <v/>
      </c>
      <c r="AA424" s="27" t="n">
        <v>2000</v>
      </c>
      <c r="AB424" s="27" t="n">
        <v>8800000</v>
      </c>
      <c r="AC424" s="27" t="n">
        <v>60000000</v>
      </c>
      <c r="AD424" s="20" t="n"/>
      <c r="AE424" s="20">
        <f>IF($K424="","출고일 미정",IF($Q424="X","작지 미발행",IF($Q424="부분","작지 일부 미발행",IF(AND($S424&lt;&gt;"",$S424&gt;$N424),"소재입고 마감("&amp;TEXT($N424,"MM/DD")&amp;") 초과",IF($Q424="","발행여부 확인 필요",IF($S424="","소재 입고일정 확인 필요","정상"))))))</f>
        <v/>
      </c>
      <c r="AF424" s="19">
        <f>IF($K424="","",IF(OR(LEFT($AE424,2)="작지",LEFT($AE424,4)="소재입고"),IF(LEFT($G424,1)="S","★ 납기위험(S코드)","◆ 지연주의"),IF($AE424="정상","✓ 정상","? 확인필요")))</f>
        <v/>
      </c>
      <c r="AG424" s="21" t="n"/>
      <c r="AH424" s="28" t="n"/>
    </row>
    <row r="425">
      <c r="A425" s="19" t="n">
        <v>421</v>
      </c>
      <c r="B425" s="20" t="inlineStr">
        <is>
          <t>최지희</t>
        </is>
      </c>
      <c r="C425" s="20" t="inlineStr">
        <is>
          <t>강지은</t>
        </is>
      </c>
      <c r="D425" s="20" t="inlineStr">
        <is>
          <t>QERFX27141</t>
        </is>
      </c>
      <c r="E425" s="20" t="inlineStr">
        <is>
          <t>남녀공용 경량 우븐 벤틸레이션 브림햇</t>
        </is>
      </c>
      <c r="F425" s="20" t="inlineStr">
        <is>
          <t>DGY(D/GRAY), GBR(G/BROWN)</t>
        </is>
      </c>
      <c r="G425" s="19">
        <f>IF($D425="","",IF(MID($D425,5,1)="S","S(봄)",IF(MID($D425,5,1)="M","M(여름)",IF(MID($D425,5,1)="X","X(사계절)",MID($D425,5,1)))))</f>
        <v/>
      </c>
      <c r="H425" s="20" t="inlineStr">
        <is>
          <t>완사입</t>
        </is>
      </c>
      <c r="I425" s="19" t="inlineStr">
        <is>
          <t>SM2</t>
        </is>
      </c>
      <c r="J425" s="21" t="inlineStr">
        <is>
          <t>3월2주</t>
        </is>
      </c>
      <c r="K425" s="22">
        <f>IF($J425="","",IFERROR(DATE(IF(VALUE(LEFT($J425,FIND("월",$J425)-1))&gt;=9,기준정보!$C$7-1,기준정보!$C$7),VALUE(LEFT($J425,FIND("월",$J425)-1)),1+7*(VALUE(SUBSTITUTE(MID($J425,FIND("월",$J425)+1,5),"주",""))-1)),""))</f>
        <v/>
      </c>
      <c r="L425" s="22">
        <f>IF($K425="","",IF(AND($K425-기준정보!$C$5&gt;=기준정보!$C$10,$K425-기준정보!$C$5&lt;=기준정보!$C$11),기준정보!$C$10-1,$K425-기준정보!$C$5))</f>
        <v/>
      </c>
      <c r="M425" s="23">
        <f>IF($L425="","",IF(OR(ISNUMBER(SEARCH("중국",$W425)),ISNUMBER(SEARCH("베트남",$W425))),MAX(0,MIN($L425,기준정보!$C$9)-MAX($L425-기준정보!$C$6,기준정보!$C$8)+1),IF(ISNUMBER(SEARCH("한국",$W425)),MAX(0,MIN($L425,기준정보!$C$11)-MAX($L425-기준정보!$C$6,기준정보!$C$10)+1),0)))</f>
        <v/>
      </c>
      <c r="N425" s="22">
        <f>IF($L425="","",$L425-기준정보!$C$6-$M425)</f>
        <v/>
      </c>
      <c r="O425" s="24">
        <f>IF($N425="","",$N425-기준정보!$C$4)</f>
        <v/>
      </c>
      <c r="P425" s="21" t="n"/>
      <c r="Q425" s="21" t="inlineStr">
        <is>
          <t>X</t>
        </is>
      </c>
      <c r="R425" s="19">
        <f>IF(COUNTIF(EDW_RAW!$A$2:$A$1500,$D425)=0,"",IF(COUNTIFS(EDW_RAW!$A$2:$A$1500,$D425,EDW_RAW!$U$2:$U$1500,"&lt;&gt;~",EDW_RAW!$U$2:$U$1500,"&lt;&gt;")=COUNTIF(EDW_RAW!$A$2:$A$1500,$D425),"O",IF(COUNTIFS(EDW_RAW!$A$2:$A$1500,$D425,EDW_RAW!$U$2:$U$1500,"&lt;&gt;~",EDW_RAW!$U$2:$U$1500,"&lt;&gt;")&gt;0,"부분","X")))</f>
        <v/>
      </c>
      <c r="S425" s="25" t="n"/>
      <c r="T425" s="20">
        <f>IF($H425="","",IF(AND(ISNUMBER(SEARCH("CMT",$H425)),OR(ISNUMBER(SEARCH("완사입",$H425)),ISNUMBER(SEARCH("ODM",$H425)))),"본사/생산처 혼재",IF(ISNUMBER(SEARCH("CMT",$H425)),"본사(소재팀)","생산처")))</f>
        <v/>
      </c>
      <c r="U425" s="20" t="inlineStr">
        <is>
          <t>캐비야</t>
        </is>
      </c>
      <c r="V425" s="20">
        <f>IFERROR(TEXTJOIN(" / ",TRUE,UNIQUE(FILTER(소재DB_RAW!$K$3:$K$2000,(소재DB_RAW!$G$3:$G$2000=$D425)*ISERROR(SEARCH("drop",소재DB_RAW!$C$3:$C$2000))))),"")</f>
        <v/>
      </c>
      <c r="W425" s="20" t="inlineStr">
        <is>
          <t>국내</t>
        </is>
      </c>
      <c r="X425" s="20">
        <f>IFERROR(TEXTJOIN(" / ",TRUE,UNIQUE(FILTER(소재DB_RAW!$N$3:$N$2000,(소재DB_RAW!$G$3:$G$2000=$D425)*ISERROR(SEARCH("drop",소재DB_RAW!$C$3:$C$2000))))),"")</f>
        <v/>
      </c>
      <c r="Y425" s="26">
        <f>IFERROR(TEXTJOIN(CHAR(10),TRUE,UNIQUE(FILTER(소재DB_RAW!$N$3:$N$2000&amp;") "&amp;소재DB_RAW!$O$3:$O$2000,(소재DB_RAW!$G$3:$G$2000=$D425)*ISNUMBER(SEARCH("겉감",소재DB_RAW!$M$3:$M$2000))*ISERROR(SEARCH("drop",소재DB_RAW!$C$3:$C$2000))))),"")</f>
        <v/>
      </c>
      <c r="Z425" s="26">
        <f>IFERROR(TEXTJOIN(CHAR(10),TRUE,UNIQUE(FILTER(소재DB_RAW!$N$3:$N$2000&amp;") "&amp;소재DB_RAW!$O$3:$O$2000,(소재DB_RAW!$G$3:$G$2000=$D425)*ISNUMBER(SEARCH("안감",소재DB_RAW!$M$3:$M$2000))*ISERROR(SEARCH("drop",소재DB_RAW!$C$3:$C$2000))))),"")</f>
        <v/>
      </c>
      <c r="AA425" s="27" t="n">
        <v>5500</v>
      </c>
      <c r="AB425" s="27" t="n">
        <v>90750000</v>
      </c>
      <c r="AC425" s="27" t="n">
        <v>429000000</v>
      </c>
      <c r="AD425" s="20" t="n"/>
      <c r="AE425" s="20">
        <f>IF($K425="","출고일 미정",IF($Q425="X","작지 미발행",IF($Q425="부분","작지 일부 미발행",IF(AND($S425&lt;&gt;"",$S425&gt;$N425),"소재입고 마감("&amp;TEXT($N425,"MM/DD")&amp;") 초과",IF($Q425="","발행여부 확인 필요",IF($S425="","소재 입고일정 확인 필요","정상"))))))</f>
        <v/>
      </c>
      <c r="AF425" s="19">
        <f>IF($K425="","",IF(OR(LEFT($AE425,2)="작지",LEFT($AE425,4)="소재입고"),IF(LEFT($G425,1)="S","★ 납기위험(S코드)","◆ 지연주의"),IF($AE425="정상","✓ 정상","? 확인필요")))</f>
        <v/>
      </c>
      <c r="AG425" s="21" t="n"/>
      <c r="AH425" s="28" t="n"/>
    </row>
    <row r="426">
      <c r="A426" s="19" t="n">
        <v>422</v>
      </c>
      <c r="B426" s="20" t="inlineStr">
        <is>
          <t>최지희</t>
        </is>
      </c>
      <c r="C426" s="20" t="inlineStr">
        <is>
          <t>조은선</t>
        </is>
      </c>
      <c r="D426" s="20" t="inlineStr">
        <is>
          <t>QEBDX27691</t>
        </is>
      </c>
      <c r="E426" s="20" t="inlineStr">
        <is>
          <t>남녀공용 데이팩 토트백</t>
        </is>
      </c>
      <c r="F426" s="20" t="inlineStr">
        <is>
          <t>BLK(BLACK), LGI(L/GREIGE)</t>
        </is>
      </c>
      <c r="G426" s="19">
        <f>IF($D426="","",IF(MID($D426,5,1)="S","S(봄)",IF(MID($D426,5,1)="M","M(여름)",IF(MID($D426,5,1)="X","X(사계절)",MID($D426,5,1)))))</f>
        <v/>
      </c>
      <c r="H426" s="20" t="inlineStr">
        <is>
          <t>완사입</t>
        </is>
      </c>
      <c r="I426" s="19" t="inlineStr"/>
      <c r="J426" s="21" t="inlineStr">
        <is>
          <t>3월4주</t>
        </is>
      </c>
      <c r="K426" s="22">
        <f>IF($J426="","",IFERROR(DATE(IF(VALUE(LEFT($J426,FIND("월",$J426)-1))&gt;=9,기준정보!$C$7-1,기준정보!$C$7),VALUE(LEFT($J426,FIND("월",$J426)-1)),1+7*(VALUE(SUBSTITUTE(MID($J426,FIND("월",$J426)+1,5),"주",""))-1)),""))</f>
        <v/>
      </c>
      <c r="L426" s="22">
        <f>IF($K426="","",IF(AND($K426-기준정보!$C$5&gt;=기준정보!$C$10,$K426-기준정보!$C$5&lt;=기준정보!$C$11),기준정보!$C$10-1,$K426-기준정보!$C$5))</f>
        <v/>
      </c>
      <c r="M426" s="23">
        <f>IF($L426="","",IF(OR(ISNUMBER(SEARCH("중국",$W426)),ISNUMBER(SEARCH("베트남",$W426))),MAX(0,MIN($L426,기준정보!$C$9)-MAX($L426-기준정보!$C$6,기준정보!$C$8)+1),IF(ISNUMBER(SEARCH("한국",$W426)),MAX(0,MIN($L426,기준정보!$C$11)-MAX($L426-기준정보!$C$6,기준정보!$C$10)+1),0)))</f>
        <v/>
      </c>
      <c r="N426" s="22">
        <f>IF($L426="","",$L426-기준정보!$C$6-$M426)</f>
        <v/>
      </c>
      <c r="O426" s="24">
        <f>IF($N426="","",$N426-기준정보!$C$4)</f>
        <v/>
      </c>
      <c r="P426" s="21" t="n"/>
      <c r="Q426" s="21" t="inlineStr">
        <is>
          <t>X</t>
        </is>
      </c>
      <c r="R426" s="19">
        <f>IF(COUNTIF(EDW_RAW!$A$2:$A$1500,$D426)=0,"",IF(COUNTIFS(EDW_RAW!$A$2:$A$1500,$D426,EDW_RAW!$U$2:$U$1500,"&lt;&gt;~",EDW_RAW!$U$2:$U$1500,"&lt;&gt;")=COUNTIF(EDW_RAW!$A$2:$A$1500,$D426),"O",IF(COUNTIFS(EDW_RAW!$A$2:$A$1500,$D426,EDW_RAW!$U$2:$U$1500,"&lt;&gt;~",EDW_RAW!$U$2:$U$1500,"&lt;&gt;")&gt;0,"부분","X")))</f>
        <v/>
      </c>
      <c r="S426" s="25" t="n"/>
      <c r="T426" s="20">
        <f>IF($H426="","",IF(AND(ISNUMBER(SEARCH("CMT",$H426)),OR(ISNUMBER(SEARCH("완사입",$H426)),ISNUMBER(SEARCH("ODM",$H426)))),"본사/생산처 혼재",IF(ISNUMBER(SEARCH("CMT",$H426)),"본사(소재팀)","생산처")))</f>
        <v/>
      </c>
      <c r="U426" s="20" t="inlineStr">
        <is>
          <t>인투잇플러스</t>
        </is>
      </c>
      <c r="V426" s="20">
        <f>IFERROR(TEXTJOIN(" / ",TRUE,UNIQUE(FILTER(소재DB_RAW!$K$3:$K$2000,(소재DB_RAW!$G$3:$G$2000=$D426)*ISERROR(SEARCH("drop",소재DB_RAW!$C$3:$C$2000))))),"")</f>
        <v/>
      </c>
      <c r="W426" s="20" t="inlineStr">
        <is>
          <t>중국</t>
        </is>
      </c>
      <c r="X426" s="20">
        <f>IFERROR(TEXTJOIN(" / ",TRUE,UNIQUE(FILTER(소재DB_RAW!$N$3:$N$2000,(소재DB_RAW!$G$3:$G$2000=$D426)*ISERROR(SEARCH("drop",소재DB_RAW!$C$3:$C$2000))))),"")</f>
        <v/>
      </c>
      <c r="Y426" s="26">
        <f>IFERROR(TEXTJOIN(CHAR(10),TRUE,UNIQUE(FILTER(소재DB_RAW!$N$3:$N$2000&amp;") "&amp;소재DB_RAW!$O$3:$O$2000,(소재DB_RAW!$G$3:$G$2000=$D426)*ISNUMBER(SEARCH("겉감",소재DB_RAW!$M$3:$M$2000))*ISERROR(SEARCH("drop",소재DB_RAW!$C$3:$C$2000))))),"")</f>
        <v/>
      </c>
      <c r="Z426" s="26">
        <f>IFERROR(TEXTJOIN(CHAR(10),TRUE,UNIQUE(FILTER(소재DB_RAW!$N$3:$N$2000&amp;") "&amp;소재DB_RAW!$O$3:$O$2000,(소재DB_RAW!$G$3:$G$2000=$D426)*ISNUMBER(SEARCH("안감",소재DB_RAW!$M$3:$M$2000))*ISERROR(SEARCH("drop",소재DB_RAW!$C$3:$C$2000))))),"")</f>
        <v/>
      </c>
      <c r="AA426" s="27" t="n">
        <v>900</v>
      </c>
      <c r="AB426" s="27" t="n">
        <v>14400000</v>
      </c>
      <c r="AC426" s="27" t="n">
        <v>70200000</v>
      </c>
      <c r="AD426" s="20" t="n"/>
      <c r="AE426" s="20">
        <f>IF($K426="","출고일 미정",IF($Q426="X","작지 미발행",IF($Q426="부분","작지 일부 미발행",IF(AND($S426&lt;&gt;"",$S426&gt;$N426),"소재입고 마감("&amp;TEXT($N426,"MM/DD")&amp;") 초과",IF($Q426="","발행여부 확인 필요",IF($S426="","소재 입고일정 확인 필요","정상"))))))</f>
        <v/>
      </c>
      <c r="AF426" s="19">
        <f>IF($K426="","",IF(OR(LEFT($AE426,2)="작지",LEFT($AE426,4)="소재입고"),IF(LEFT($G426,1)="S","★ 납기위험(S코드)","◆ 지연주의"),IF($AE426="정상","✓ 정상","? 확인필요")))</f>
        <v/>
      </c>
      <c r="AG426" s="21" t="n"/>
      <c r="AH426" s="28" t="n"/>
    </row>
    <row r="427">
      <c r="A427" s="19" t="n">
        <v>423</v>
      </c>
      <c r="B427" s="20" t="inlineStr">
        <is>
          <t>최지희</t>
        </is>
      </c>
      <c r="C427" s="20" t="inlineStr">
        <is>
          <t>조은선</t>
        </is>
      </c>
      <c r="D427" s="20" t="inlineStr">
        <is>
          <t>QEBXX27691</t>
        </is>
      </c>
      <c r="E427" s="20" t="inlineStr">
        <is>
          <t>남녀공용 데이팩 백팩</t>
        </is>
      </c>
      <c r="F427" s="20" t="inlineStr">
        <is>
          <t>BLK(BLACK)</t>
        </is>
      </c>
      <c r="G427" s="19">
        <f>IF($D427="","",IF(MID($D427,5,1)="S","S(봄)",IF(MID($D427,5,1)="M","M(여름)",IF(MID($D427,5,1)="X","X(사계절)",MID($D427,5,1)))))</f>
        <v/>
      </c>
      <c r="H427" s="20" t="inlineStr">
        <is>
          <t>완사입</t>
        </is>
      </c>
      <c r="I427" s="19" t="inlineStr"/>
      <c r="J427" s="21" t="inlineStr">
        <is>
          <t>3월4주</t>
        </is>
      </c>
      <c r="K427" s="22">
        <f>IF($J427="","",IFERROR(DATE(IF(VALUE(LEFT($J427,FIND("월",$J427)-1))&gt;=9,기준정보!$C$7-1,기준정보!$C$7),VALUE(LEFT($J427,FIND("월",$J427)-1)),1+7*(VALUE(SUBSTITUTE(MID($J427,FIND("월",$J427)+1,5),"주",""))-1)),""))</f>
        <v/>
      </c>
      <c r="L427" s="22">
        <f>IF($K427="","",IF(AND($K427-기준정보!$C$5&gt;=기준정보!$C$10,$K427-기준정보!$C$5&lt;=기준정보!$C$11),기준정보!$C$10-1,$K427-기준정보!$C$5))</f>
        <v/>
      </c>
      <c r="M427" s="23">
        <f>IF($L427="","",IF(OR(ISNUMBER(SEARCH("중국",$W427)),ISNUMBER(SEARCH("베트남",$W427))),MAX(0,MIN($L427,기준정보!$C$9)-MAX($L427-기준정보!$C$6,기준정보!$C$8)+1),IF(ISNUMBER(SEARCH("한국",$W427)),MAX(0,MIN($L427,기준정보!$C$11)-MAX($L427-기준정보!$C$6,기준정보!$C$10)+1),0)))</f>
        <v/>
      </c>
      <c r="N427" s="22">
        <f>IF($L427="","",$L427-기준정보!$C$6-$M427)</f>
        <v/>
      </c>
      <c r="O427" s="24">
        <f>IF($N427="","",$N427-기준정보!$C$4)</f>
        <v/>
      </c>
      <c r="P427" s="21" t="n"/>
      <c r="Q427" s="21" t="inlineStr">
        <is>
          <t>X</t>
        </is>
      </c>
      <c r="R427" s="19">
        <f>IF(COUNTIF(EDW_RAW!$A$2:$A$1500,$D427)=0,"",IF(COUNTIFS(EDW_RAW!$A$2:$A$1500,$D427,EDW_RAW!$U$2:$U$1500,"&lt;&gt;~",EDW_RAW!$U$2:$U$1500,"&lt;&gt;")=COUNTIF(EDW_RAW!$A$2:$A$1500,$D427),"O",IF(COUNTIFS(EDW_RAW!$A$2:$A$1500,$D427,EDW_RAW!$U$2:$U$1500,"&lt;&gt;~",EDW_RAW!$U$2:$U$1500,"&lt;&gt;")&gt;0,"부분","X")))</f>
        <v/>
      </c>
      <c r="S427" s="25" t="n"/>
      <c r="T427" s="20">
        <f>IF($H427="","",IF(AND(ISNUMBER(SEARCH("CMT",$H427)),OR(ISNUMBER(SEARCH("완사입",$H427)),ISNUMBER(SEARCH("ODM",$H427)))),"본사/생산처 혼재",IF(ISNUMBER(SEARCH("CMT",$H427)),"본사(소재팀)","생산처")))</f>
        <v/>
      </c>
      <c r="U427" s="20" t="inlineStr">
        <is>
          <t>인투잇플러스</t>
        </is>
      </c>
      <c r="V427" s="20">
        <f>IFERROR(TEXTJOIN(" / ",TRUE,UNIQUE(FILTER(소재DB_RAW!$K$3:$K$2000,(소재DB_RAW!$G$3:$G$2000=$D427)*ISERROR(SEARCH("drop",소재DB_RAW!$C$3:$C$2000))))),"")</f>
        <v/>
      </c>
      <c r="W427" s="20" t="inlineStr">
        <is>
          <t>중국</t>
        </is>
      </c>
      <c r="X427" s="20">
        <f>IFERROR(TEXTJOIN(" / ",TRUE,UNIQUE(FILTER(소재DB_RAW!$N$3:$N$2000,(소재DB_RAW!$G$3:$G$2000=$D427)*ISERROR(SEARCH("drop",소재DB_RAW!$C$3:$C$2000))))),"")</f>
        <v/>
      </c>
      <c r="Y427" s="26">
        <f>IFERROR(TEXTJOIN(CHAR(10),TRUE,UNIQUE(FILTER(소재DB_RAW!$N$3:$N$2000&amp;") "&amp;소재DB_RAW!$O$3:$O$2000,(소재DB_RAW!$G$3:$G$2000=$D427)*ISNUMBER(SEARCH("겉감",소재DB_RAW!$M$3:$M$2000))*ISERROR(SEARCH("drop",소재DB_RAW!$C$3:$C$2000))))),"")</f>
        <v/>
      </c>
      <c r="Z427" s="26">
        <f>IFERROR(TEXTJOIN(CHAR(10),TRUE,UNIQUE(FILTER(소재DB_RAW!$N$3:$N$2000&amp;") "&amp;소재DB_RAW!$O$3:$O$2000,(소재DB_RAW!$G$3:$G$2000=$D427)*ISNUMBER(SEARCH("안감",소재DB_RAW!$M$3:$M$2000))*ISERROR(SEARCH("drop",소재DB_RAW!$C$3:$C$2000))))),"")</f>
        <v/>
      </c>
      <c r="AA427" s="27" t="n">
        <v>800</v>
      </c>
      <c r="AB427" s="27" t="n">
        <v>22800000</v>
      </c>
      <c r="AC427" s="27" t="n">
        <v>102400000</v>
      </c>
      <c r="AD427" s="20" t="n"/>
      <c r="AE427" s="20">
        <f>IF($K427="","출고일 미정",IF($Q427="X","작지 미발행",IF($Q427="부분","작지 일부 미발행",IF(AND($S427&lt;&gt;"",$S427&gt;$N427),"소재입고 마감("&amp;TEXT($N427,"MM/DD")&amp;") 초과",IF($Q427="","발행여부 확인 필요",IF($S427="","소재 입고일정 확인 필요","정상"))))))</f>
        <v/>
      </c>
      <c r="AF427" s="19">
        <f>IF($K427="","",IF(OR(LEFT($AE427,2)="작지",LEFT($AE427,4)="소재입고"),IF(LEFT($G427,1)="S","★ 납기위험(S코드)","◆ 지연주의"),IF($AE427="정상","✓ 정상","? 확인필요")))</f>
        <v/>
      </c>
      <c r="AG427" s="21" t="n"/>
      <c r="AH427" s="28" t="n"/>
    </row>
    <row r="428">
      <c r="A428" s="19" t="n">
        <v>424</v>
      </c>
      <c r="B428" s="20" t="inlineStr">
        <is>
          <t>최지희</t>
        </is>
      </c>
      <c r="C428" s="20" t="inlineStr">
        <is>
          <t>강지은</t>
        </is>
      </c>
      <c r="D428" s="20" t="inlineStr">
        <is>
          <t>QEREX27401</t>
        </is>
      </c>
      <c r="E428" s="20" t="inlineStr">
        <is>
          <t>남녀공용 면 트윌 볼캡</t>
        </is>
      </c>
      <c r="F428" s="20" t="inlineStr">
        <is>
          <t>BLK(BLACK), PIS, LPI, WHX</t>
        </is>
      </c>
      <c r="G428" s="19">
        <f>IF($D428="","",IF(MID($D428,5,1)="S","S(봄)",IF(MID($D428,5,1)="M","M(여름)",IF(MID($D428,5,1)="X","X(사계절)",MID($D428,5,1)))))</f>
        <v/>
      </c>
      <c r="H428" s="20" t="inlineStr">
        <is>
          <t>완사입</t>
        </is>
      </c>
      <c r="I428" s="19" t="inlineStr">
        <is>
          <t>SM2</t>
        </is>
      </c>
      <c r="J428" s="21" t="inlineStr">
        <is>
          <t>3월4주</t>
        </is>
      </c>
      <c r="K428" s="22">
        <f>IF($J428="","",IFERROR(DATE(IF(VALUE(LEFT($J428,FIND("월",$J428)-1))&gt;=9,기준정보!$C$7-1,기준정보!$C$7),VALUE(LEFT($J428,FIND("월",$J428)-1)),1+7*(VALUE(SUBSTITUTE(MID($J428,FIND("월",$J428)+1,5),"주",""))-1)),""))</f>
        <v/>
      </c>
      <c r="L428" s="22">
        <f>IF($K428="","",IF(AND($K428-기준정보!$C$5&gt;=기준정보!$C$10,$K428-기준정보!$C$5&lt;=기준정보!$C$11),기준정보!$C$10-1,$K428-기준정보!$C$5))</f>
        <v/>
      </c>
      <c r="M428" s="23">
        <f>IF($L428="","",IF(OR(ISNUMBER(SEARCH("중국",$W428)),ISNUMBER(SEARCH("베트남",$W428))),MAX(0,MIN($L428,기준정보!$C$9)-MAX($L428-기준정보!$C$6,기준정보!$C$8)+1),IF(ISNUMBER(SEARCH("한국",$W428)),MAX(0,MIN($L428,기준정보!$C$11)-MAX($L428-기준정보!$C$6,기준정보!$C$10)+1),0)))</f>
        <v/>
      </c>
      <c r="N428" s="22">
        <f>IF($L428="","",$L428-기준정보!$C$6-$M428)</f>
        <v/>
      </c>
      <c r="O428" s="24">
        <f>IF($N428="","",$N428-기준정보!$C$4)</f>
        <v/>
      </c>
      <c r="P428" s="21" t="n"/>
      <c r="Q428" s="21" t="inlineStr">
        <is>
          <t>X</t>
        </is>
      </c>
      <c r="R428" s="19">
        <f>IF(COUNTIF(EDW_RAW!$A$2:$A$1500,$D428)=0,"",IF(COUNTIFS(EDW_RAW!$A$2:$A$1500,$D428,EDW_RAW!$U$2:$U$1500,"&lt;&gt;~",EDW_RAW!$U$2:$U$1500,"&lt;&gt;")=COUNTIF(EDW_RAW!$A$2:$A$1500,$D428),"O",IF(COUNTIFS(EDW_RAW!$A$2:$A$1500,$D428,EDW_RAW!$U$2:$U$1500,"&lt;&gt;~",EDW_RAW!$U$2:$U$1500,"&lt;&gt;")&gt;0,"부분","X")))</f>
        <v/>
      </c>
      <c r="S428" s="25" t="n"/>
      <c r="T428" s="20">
        <f>IF($H428="","",IF(AND(ISNUMBER(SEARCH("CMT",$H428)),OR(ISNUMBER(SEARCH("완사입",$H428)),ISNUMBER(SEARCH("ODM",$H428)))),"본사/생산처 혼재",IF(ISNUMBER(SEARCH("CMT",$H428)),"본사(소재팀)","생산처")))</f>
        <v/>
      </c>
      <c r="U428" s="20" t="inlineStr">
        <is>
          <t>PNG</t>
        </is>
      </c>
      <c r="V428" s="20">
        <f>IFERROR(TEXTJOIN(" / ",TRUE,UNIQUE(FILTER(소재DB_RAW!$K$3:$K$2000,(소재DB_RAW!$G$3:$G$2000=$D428)*ISERROR(SEARCH("drop",소재DB_RAW!$C$3:$C$2000))))),"")</f>
        <v/>
      </c>
      <c r="W428" s="20" t="inlineStr">
        <is>
          <t>베트남</t>
        </is>
      </c>
      <c r="X428" s="20">
        <f>IFERROR(TEXTJOIN(" / ",TRUE,UNIQUE(FILTER(소재DB_RAW!$N$3:$N$2000,(소재DB_RAW!$G$3:$G$2000=$D428)*ISERROR(SEARCH("drop",소재DB_RAW!$C$3:$C$2000))))),"")</f>
        <v/>
      </c>
      <c r="Y428" s="26">
        <f>IFERROR(TEXTJOIN(CHAR(10),TRUE,UNIQUE(FILTER(소재DB_RAW!$N$3:$N$2000&amp;") "&amp;소재DB_RAW!$O$3:$O$2000,(소재DB_RAW!$G$3:$G$2000=$D428)*ISNUMBER(SEARCH("겉감",소재DB_RAW!$M$3:$M$2000))*ISERROR(SEARCH("drop",소재DB_RAW!$C$3:$C$2000))))),"")</f>
        <v/>
      </c>
      <c r="Z428" s="26">
        <f>IFERROR(TEXTJOIN(CHAR(10),TRUE,UNIQUE(FILTER(소재DB_RAW!$N$3:$N$2000&amp;") "&amp;소재DB_RAW!$O$3:$O$2000,(소재DB_RAW!$G$3:$G$2000=$D428)*ISNUMBER(SEARCH("안감",소재DB_RAW!$M$3:$M$2000))*ISERROR(SEARCH("drop",소재DB_RAW!$C$3:$C$2000))))),"")</f>
        <v/>
      </c>
      <c r="AA428" s="27" t="n">
        <v>2600</v>
      </c>
      <c r="AB428" s="27" t="n">
        <v>27739400</v>
      </c>
      <c r="AC428" s="27" t="n">
        <v>143000000</v>
      </c>
      <c r="AD428" s="20" t="n"/>
      <c r="AE428" s="20">
        <f>IF($K428="","출고일 미정",IF($Q428="X","작지 미발행",IF($Q428="부분","작지 일부 미발행",IF(AND($S428&lt;&gt;"",$S428&gt;$N428),"소재입고 마감("&amp;TEXT($N428,"MM/DD")&amp;") 초과",IF($Q428="","발행여부 확인 필요",IF($S428="","소재 입고일정 확인 필요","정상"))))))</f>
        <v/>
      </c>
      <c r="AF428" s="19">
        <f>IF($K428="","",IF(OR(LEFT($AE428,2)="작지",LEFT($AE428,4)="소재입고"),IF(LEFT($G428,1)="S","★ 납기위험(S코드)","◆ 지연주의"),IF($AE428="정상","✓ 정상","? 확인필요")))</f>
        <v/>
      </c>
      <c r="AG428" s="21" t="n"/>
      <c r="AH428" s="28" t="n"/>
    </row>
  </sheetData>
  <autoFilter ref="A4:AH428"/>
  <conditionalFormatting sqref="AF5:AF428">
    <cfRule type="containsText" priority="1" operator="containsText" dxfId="0" text="★">
      <formula>NOT(ISERROR(SEARCH("★",AF5)))</formula>
    </cfRule>
    <cfRule type="containsText" priority="2" operator="containsText" dxfId="1" text="◆">
      <formula>NOT(ISERROR(SEARCH("◆",AF5)))</formula>
    </cfRule>
    <cfRule type="containsText" priority="3" operator="containsText" dxfId="2" text="✓">
      <formula>NOT(ISERROR(SEARCH("✓",AF5)))</formula>
    </cfRule>
    <cfRule type="containsText" priority="4" operator="containsText" dxfId="3" text="?">
      <formula>NOT(ISERROR(SEARCH("?",AF5)))</formula>
    </cfRule>
  </conditionalFormatting>
  <conditionalFormatting sqref="V5:V428">
    <cfRule type="expression" priority="5" dxfId="4">
      <formula>AND($V5&lt;&gt;"",$U5&lt;&gt;"",ISERROR(SEARCH($U5,$V5)))</formula>
    </cfRule>
  </conditionalFormatting>
  <conditionalFormatting sqref="P5:P428">
    <cfRule type="containsText" priority="6" operator="containsText" dxfId="5" text="O">
      <formula>NOT(ISERROR(SEARCH("O",P5)))</formula>
    </cfRule>
  </conditionalFormatting>
  <dataValidations count="3">
    <dataValidation sqref="P5:P428" showDropDown="0" showInputMessage="0" showErrorMessage="0" allowBlank="1" type="list">
      <formula1>"O,X"</formula1>
    </dataValidation>
    <dataValidation sqref="Q5:Q428" showDropDown="0" showInputMessage="0" showErrorMessage="0" allowBlank="1" type="list">
      <formula1>"O,부분,X"</formula1>
    </dataValidation>
    <dataValidation sqref="AG5:AG428" showDropDown="0" showInputMessage="0" showErrorMessage="0" allowBlank="1" type="list">
      <formula1>"미조율,조율중,조율완료"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27SS_소재DB &gt; Merged Data 실시간 연동 (IMPORTRANGE). 최초 1회 A3 셀에서 '액세스 허용'을 클릭해야 합니다. 이 탭은 수정하지 마세요.</t>
        </is>
      </c>
    </row>
    <row r="3">
      <c r="A3">
        <f>IMPORTRANGE("https://docs.google.com/spreadsheets/d/1_LNPz9XGRmRAJ9Y4cqtFF8NtZTLSIld4vtzLJlOcka0","Merged Data!A3:P2000")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'27SS 생산 프로세스 진척현황(자동화)' &gt; EDW_RAW 실시간 연동. 최초 1회 A2 셀에서 '액세스 허용' 클릭 필요. 이 탭은 수정하지 마세요.</t>
        </is>
      </c>
    </row>
    <row r="2">
      <c r="A2">
        <f>IMPORTRANGE("https://docs.google.com/spreadsheets/d/1iSDzZFUv3855k9Zh-tNZALH8z3gY7dTw9j8RlHpJETg","EDW_RAW!A2:U1500")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1" customWidth="1" min="3" max="3"/>
    <col width="14" customWidth="1" min="4" max="4"/>
    <col width="18" customWidth="1" min="5" max="5"/>
    <col width="19" customWidth="1" min="6" max="6"/>
    <col width="13" customWidth="1" min="7" max="7"/>
  </cols>
  <sheetData>
    <row r="2">
      <c r="B2" s="14" t="inlineStr">
        <is>
          <t>27SS 구분별 금액 요약 — 원가합 · 소매가합</t>
        </is>
      </c>
    </row>
    <row r="3">
      <c r="B3" s="5" t="inlineStr">
        <is>
          <t>구분: 의류(J/T 등) · 용품(품번 Q로 시작) · WM/피싱(품번 8로 시작). 트래커 값 수정 시 자동 갱신됩니다.</t>
        </is>
      </c>
    </row>
    <row r="5">
      <c r="B5" s="30" t="inlineStr">
        <is>
          <t>구분</t>
        </is>
      </c>
      <c r="C5" s="30" t="inlineStr">
        <is>
          <t>스타일 수</t>
        </is>
      </c>
      <c r="D5" s="30" t="inlineStr">
        <is>
          <t>기획수량 (장)</t>
        </is>
      </c>
      <c r="E5" s="30" t="inlineStr">
        <is>
          <t>원가합 (원)</t>
        </is>
      </c>
      <c r="F5" s="30" t="inlineStr">
        <is>
          <t>소매가합 (원)</t>
        </is>
      </c>
      <c r="G5" s="30" t="inlineStr">
        <is>
          <t>소매가합 비중</t>
        </is>
      </c>
    </row>
    <row r="6">
      <c r="B6" s="31" t="inlineStr">
        <is>
          <t>의류</t>
        </is>
      </c>
      <c r="C6" s="32">
        <f>SUMPRODUCT((LEFT('소재역산 트래커'!$D$5:$D$428,1)&lt;&gt;"Q")*(LEFT('소재역산 트래커'!$D$5:$D$428,1)&lt;&gt;"8")*('소재역산 트래커'!$D$5:$D$428&lt;&gt;""))</f>
        <v/>
      </c>
      <c r="D6" s="32">
        <f>SUMPRODUCT((LEFT('소재역산 트래커'!$D$5:$D$428,1)&lt;&gt;"Q")*(LEFT('소재역산 트래커'!$D$5:$D$428,1)&lt;&gt;"8")*('소재역산 트래커'!$D$5:$D$428&lt;&gt;"")*'소재역산 트래커'!$AA$5:$AA$428)</f>
        <v/>
      </c>
      <c r="E6" s="32">
        <f>SUMPRODUCT((LEFT('소재역산 트래커'!$D$5:$D$428,1)&lt;&gt;"Q")*(LEFT('소재역산 트래커'!$D$5:$D$428,1)&lt;&gt;"8")*('소재역산 트래커'!$D$5:$D$428&lt;&gt;"")*'소재역산 트래커'!$AB$5:$AB$428)</f>
        <v/>
      </c>
      <c r="F6" s="32">
        <f>SUMPRODUCT((LEFT('소재역산 트래커'!$D$5:$D$428,1)&lt;&gt;"Q")*(LEFT('소재역산 트래커'!$D$5:$D$428,1)&lt;&gt;"8")*('소재역산 트래커'!$D$5:$D$428&lt;&gt;"")*'소재역산 트래커'!$AC$5:$AC$428)</f>
        <v/>
      </c>
      <c r="G6" s="33">
        <f>IF($F$9=0,"",F6/$F$9)</f>
        <v/>
      </c>
    </row>
    <row r="7">
      <c r="B7" s="31" t="inlineStr">
        <is>
          <t>용품 (Q)</t>
        </is>
      </c>
      <c r="C7" s="32">
        <f>SUMPRODUCT((LEFT('소재역산 트래커'!$D$5:$D$428,1)="Q")*1)</f>
        <v/>
      </c>
      <c r="D7" s="32">
        <f>SUMPRODUCT((LEFT('소재역산 트래커'!$D$5:$D$428,1)="Q")*1*'소재역산 트래커'!$AA$5:$AA$428)</f>
        <v/>
      </c>
      <c r="E7" s="32">
        <f>SUMPRODUCT((LEFT('소재역산 트래커'!$D$5:$D$428,1)="Q")*1*'소재역산 트래커'!$AB$5:$AB$428)</f>
        <v/>
      </c>
      <c r="F7" s="32">
        <f>SUMPRODUCT((LEFT('소재역산 트래커'!$D$5:$D$428,1)="Q")*1*'소재역산 트래커'!$AC$5:$AC$428)</f>
        <v/>
      </c>
      <c r="G7" s="33">
        <f>IF($F$9=0,"",F7/$F$9)</f>
        <v/>
      </c>
    </row>
    <row r="8">
      <c r="B8" s="31" t="inlineStr">
        <is>
          <t>WM/피싱 (8)</t>
        </is>
      </c>
      <c r="C8" s="32">
        <f>SUMPRODUCT((LEFT('소재역산 트래커'!$D$5:$D$428,1)="8")*1)</f>
        <v/>
      </c>
      <c r="D8" s="32">
        <f>SUMPRODUCT((LEFT('소재역산 트래커'!$D$5:$D$428,1)="8")*1*'소재역산 트래커'!$AA$5:$AA$428)</f>
        <v/>
      </c>
      <c r="E8" s="32">
        <f>SUMPRODUCT((LEFT('소재역산 트래커'!$D$5:$D$428,1)="8")*1*'소재역산 트래커'!$AB$5:$AB$428)</f>
        <v/>
      </c>
      <c r="F8" s="32">
        <f>SUMPRODUCT((LEFT('소재역산 트래커'!$D$5:$D$428,1)="8")*1*'소재역산 트래커'!$AC$5:$AC$428)</f>
        <v/>
      </c>
      <c r="G8" s="33">
        <f>IF($F$9=0,"",F8/$F$9)</f>
        <v/>
      </c>
    </row>
    <row r="9">
      <c r="B9" s="34" t="inlineStr">
        <is>
          <t>합계</t>
        </is>
      </c>
      <c r="C9" s="35">
        <f>SUM(C6:C8)</f>
        <v/>
      </c>
      <c r="D9" s="35">
        <f>SUM(D6:D8)</f>
        <v/>
      </c>
      <c r="E9" s="35">
        <f>SUM(E6:E8)</f>
        <v/>
      </c>
      <c r="F9" s="35">
        <f>SUM(F6:F8)</f>
        <v/>
      </c>
      <c r="G9" s="36">
        <f>IF(F9=0,"",1)</f>
        <v/>
      </c>
    </row>
    <row r="12">
      <c r="B12" s="6" t="inlineStr">
        <is>
          <t>의류 내 비수기 선정 비중</t>
        </is>
      </c>
    </row>
    <row r="13">
      <c r="B13" s="5" t="inlineStr">
        <is>
          <t>비수기 = KS_비수기 선정 27SS비수기 탭 N열 'O' 확정 스타일 (트래커 '비수기 선정' 열 기준)</t>
        </is>
      </c>
    </row>
    <row r="15">
      <c r="B15" s="30" t="inlineStr">
        <is>
          <t>구분</t>
        </is>
      </c>
      <c r="C15" s="30" t="inlineStr">
        <is>
          <t>스타일 수</t>
        </is>
      </c>
      <c r="D15" s="30" t="inlineStr">
        <is>
          <t>기획수량 (장)</t>
        </is>
      </c>
      <c r="E15" s="30" t="inlineStr">
        <is>
          <t>원가합 (원)</t>
        </is>
      </c>
      <c r="F15" s="30" t="inlineStr">
        <is>
          <t>소매가합 (원)</t>
        </is>
      </c>
    </row>
    <row r="16">
      <c r="B16" s="31" t="inlineStr">
        <is>
          <t>의류 전체</t>
        </is>
      </c>
      <c r="C16" s="32">
        <f>C6</f>
        <v/>
      </c>
      <c r="D16" s="32">
        <f>D6</f>
        <v/>
      </c>
      <c r="E16" s="32">
        <f>E6</f>
        <v/>
      </c>
      <c r="F16" s="32">
        <f>F6</f>
        <v/>
      </c>
    </row>
    <row r="17">
      <c r="B17" s="31" t="inlineStr">
        <is>
          <t>비수기 선정 (의류)</t>
        </is>
      </c>
      <c r="C17" s="32">
        <f>SUMPRODUCT((LEFT('소재역산 트래커'!$D$5:$D$428,1)&lt;&gt;"Q")*(LEFT('소재역산 트래커'!$D$5:$D$428,1)&lt;&gt;"8")*('소재역산 트래커'!$D$5:$D$428&lt;&gt;"")*('소재역산 트래커'!$P$5:$P$428="O"))</f>
        <v/>
      </c>
      <c r="D17" s="32">
        <f>SUMPRODUCT((LEFT('소재역산 트래커'!$D$5:$D$428,1)&lt;&gt;"Q")*(LEFT('소재역산 트래커'!$D$5:$D$428,1)&lt;&gt;"8")*('소재역산 트래커'!$D$5:$D$428&lt;&gt;"")*('소재역산 트래커'!$P$5:$P$428="O")*'소재역산 트래커'!$AA$5:$AA$428)</f>
        <v/>
      </c>
      <c r="E17" s="32">
        <f>SUMPRODUCT((LEFT('소재역산 트래커'!$D$5:$D$428,1)&lt;&gt;"Q")*(LEFT('소재역산 트래커'!$D$5:$D$428,1)&lt;&gt;"8")*('소재역산 트래커'!$D$5:$D$428&lt;&gt;"")*('소재역산 트래커'!$P$5:$P$428="O")*'소재역산 트래커'!$AB$5:$AB$428)</f>
        <v/>
      </c>
      <c r="F17" s="32">
        <f>SUMPRODUCT((LEFT('소재역산 트래커'!$D$5:$D$428,1)&lt;&gt;"Q")*(LEFT('소재역산 트래커'!$D$5:$D$428,1)&lt;&gt;"8")*('소재역산 트래커'!$D$5:$D$428&lt;&gt;"")*('소재역산 트래커'!$P$5:$P$428="O")*'소재역산 트래커'!$AC$5:$AC$428)</f>
        <v/>
      </c>
    </row>
    <row r="18">
      <c r="B18" s="37" t="inlineStr">
        <is>
          <t>비수기 비중</t>
        </is>
      </c>
      <c r="C18" s="38">
        <f>IF(C16=0,"",C17/C16)</f>
        <v/>
      </c>
      <c r="D18" s="38">
        <f>IF(D16=0,"",D17/D16)</f>
        <v/>
      </c>
      <c r="E18" s="38">
        <f>IF(E16=0,"",E17/E16)</f>
        <v/>
      </c>
      <c r="F18" s="38">
        <f>IF(F16=0,"",F17/F16)</f>
        <v/>
      </c>
    </row>
    <row r="20">
      <c r="B20" s="9" t="inlineStr">
        <is>
          <t>* 원가합 = Σ(기획수량×입고원가), 소매가합 = Σ(기획수량×예상소매가) — 0808 원본 총원가·총공급가 기준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12" customWidth="1" min="4" max="4"/>
    <col width="18" customWidth="1" min="5" max="5"/>
    <col width="19" customWidth="1" min="6" max="6"/>
    <col width="12" customWidth="1" min="7" max="7"/>
    <col width="13" customWidth="1" min="8" max="8"/>
    <col width="12" customWidth="1" min="9" max="9"/>
  </cols>
  <sheetData>
    <row r="2">
      <c r="B2" s="14" t="inlineStr">
        <is>
          <t>27SS 소재일정 리스크 요약 (0808 원본 · 설/춘절 보정 · 비수기 선정)</t>
        </is>
      </c>
    </row>
    <row r="3">
      <c r="B3" s="5">
        <f>"기준일: "&amp;TEXT(기준정보!$C$4,"YYYY-MM-DD")&amp;"  ·  소재마감 = 출고일 − "&amp;(기준정보!$C$5+기준정보!$C$6)&amp;"일 − 휴무보정"&amp;"  ·  S "&amp;COUNTIF('소재역산 트래커'!$G$5:$G$428,"S(봄)")&amp;" / M "&amp;COUNTIF('소재역산 트래커'!$G$5:$G$428,"M(여름)")&amp;" / X "&amp;COUNTIF('소재역산 트래커'!$G$5:$G$428,"X(사계절)")</f>
        <v/>
      </c>
    </row>
    <row r="5">
      <c r="B5" s="5" t="inlineStr">
        <is>
          <t>전체 스타일</t>
        </is>
      </c>
      <c r="D5" s="5" t="inlineStr">
        <is>
          <t>S코드(봄) 스타일</t>
        </is>
      </c>
      <c r="F5" s="5" t="inlineStr">
        <is>
          <t>★ 납기위험(S코드)</t>
        </is>
      </c>
      <c r="H5" s="5" t="inlineStr">
        <is>
          <t>◆ 지연주의(M/X)</t>
        </is>
      </c>
      <c r="J5" s="5" t="inlineStr">
        <is>
          <t>비수기 선정 스타일</t>
        </is>
      </c>
    </row>
    <row r="6">
      <c r="B6" s="39">
        <f>COUNTA('소재역산 트래커'!$D$5:$D$428)</f>
        <v/>
      </c>
      <c r="D6" s="39">
        <f>COUNTIF('소재역산 트래커'!$G$5:$G$428,"S(봄)")</f>
        <v/>
      </c>
      <c r="F6" s="40">
        <f>COUNTIF('소재역산 트래커'!$AF$5:$AF$428,"★*")</f>
        <v/>
      </c>
      <c r="H6" s="41">
        <f>COUNTIF('소재역산 트래커'!$AF$5:$AF$428,"◆*")</f>
        <v/>
      </c>
      <c r="J6" s="42">
        <f>COUNTIF('소재역산 트래커'!$P$5:$P$428,"O")</f>
        <v/>
      </c>
    </row>
    <row r="9">
      <c r="B9" s="11" t="inlineStr">
        <is>
          <t>MD별 현황</t>
        </is>
      </c>
    </row>
    <row r="10">
      <c r="B10" s="30" t="inlineStr">
        <is>
          <t>MD</t>
        </is>
      </c>
      <c r="C10" s="30" t="inlineStr">
        <is>
          <t>스타일 수</t>
        </is>
      </c>
      <c r="D10" s="30" t="inlineStr">
        <is>
          <t>S코드</t>
        </is>
      </c>
      <c r="E10" s="30" t="inlineStr">
        <is>
          <t>작지 미발행(X/부분)</t>
        </is>
      </c>
      <c r="F10" s="30" t="inlineStr">
        <is>
          <t>사양확정 미완(X/부분)</t>
        </is>
      </c>
      <c r="G10" s="30" t="inlineStr">
        <is>
          <t>비수기 선정</t>
        </is>
      </c>
      <c r="H10" s="30" t="inlineStr">
        <is>
          <t>★ 납기위험</t>
        </is>
      </c>
      <c r="I10" s="30" t="inlineStr">
        <is>
          <t>조율완료</t>
        </is>
      </c>
    </row>
    <row r="11">
      <c r="B11" s="20" t="inlineStr">
        <is>
          <t>김준래</t>
        </is>
      </c>
      <c r="C11" s="19">
        <f>COUNTIF('소재역산 트래커'!$B$5:$B$428,$B11)</f>
        <v/>
      </c>
      <c r="D11" s="19">
        <f>COUNTIFS('소재역산 트래커'!$B$5:$B$428,$B11,'소재역산 트래커'!$G$5:$G$428,"S(봄)")</f>
        <v/>
      </c>
      <c r="E11" s="19">
        <f>COUNTIFS('소재역산 트래커'!$B$5:$B$428,$B11,'소재역산 트래커'!$Q$5:$Q$428,"X")+COUNTIFS('소재역산 트래커'!$B$5:$B$428,$B11,'소재역산 트래커'!$Q$5:$Q$428,"부분")</f>
        <v/>
      </c>
      <c r="F11" s="19">
        <f>COUNTIFS('소재역산 트래커'!$B$5:$B$428,$B11,'소재역산 트래커'!$R$5:$R$428,"X")+COUNTIFS('소재역산 트래커'!$B$5:$B$428,$B11,'소재역산 트래커'!$R$5:$R$428,"부분")</f>
        <v/>
      </c>
      <c r="G11" s="19">
        <f>COUNTIFS('소재역산 트래커'!$B$5:$B$428,$B11,'소재역산 트래커'!$P$5:$P$428,"O")</f>
        <v/>
      </c>
      <c r="H11" s="19">
        <f>COUNTIFS('소재역산 트래커'!$B$5:$B$428,$B11,'소재역산 트래커'!$AF$5:$AF$428,"★*")</f>
        <v/>
      </c>
      <c r="I11" s="19">
        <f>COUNTIFS('소재역산 트래커'!$B$5:$B$428,$B11,'소재역산 트래커'!$AG$5:$AG$428,"조율완료")</f>
        <v/>
      </c>
    </row>
    <row r="12">
      <c r="B12" s="20" t="inlineStr">
        <is>
          <t>문도혁</t>
        </is>
      </c>
      <c r="C12" s="19">
        <f>COUNTIF('소재역산 트래커'!$B$5:$B$428,$B12)</f>
        <v/>
      </c>
      <c r="D12" s="19">
        <f>COUNTIFS('소재역산 트래커'!$B$5:$B$428,$B12,'소재역산 트래커'!$G$5:$G$428,"S(봄)")</f>
        <v/>
      </c>
      <c r="E12" s="19">
        <f>COUNTIFS('소재역산 트래커'!$B$5:$B$428,$B12,'소재역산 트래커'!$Q$5:$Q$428,"X")+COUNTIFS('소재역산 트래커'!$B$5:$B$428,$B12,'소재역산 트래커'!$Q$5:$Q$428,"부분")</f>
        <v/>
      </c>
      <c r="F12" s="19">
        <f>COUNTIFS('소재역산 트래커'!$B$5:$B$428,$B12,'소재역산 트래커'!$R$5:$R$428,"X")+COUNTIFS('소재역산 트래커'!$B$5:$B$428,$B12,'소재역산 트래커'!$R$5:$R$428,"부분")</f>
        <v/>
      </c>
      <c r="G12" s="19">
        <f>COUNTIFS('소재역산 트래커'!$B$5:$B$428,$B12,'소재역산 트래커'!$P$5:$P$428,"O")</f>
        <v/>
      </c>
      <c r="H12" s="19">
        <f>COUNTIFS('소재역산 트래커'!$B$5:$B$428,$B12,'소재역산 트래커'!$AF$5:$AF$428,"★*")</f>
        <v/>
      </c>
      <c r="I12" s="19">
        <f>COUNTIFS('소재역산 트래커'!$B$5:$B$428,$B12,'소재역산 트래커'!$AG$5:$AG$428,"조율완료")</f>
        <v/>
      </c>
    </row>
    <row r="13">
      <c r="B13" s="20" t="inlineStr">
        <is>
          <t>박술홍</t>
        </is>
      </c>
      <c r="C13" s="19">
        <f>COUNTIF('소재역산 트래커'!$B$5:$B$428,$B13)</f>
        <v/>
      </c>
      <c r="D13" s="19">
        <f>COUNTIFS('소재역산 트래커'!$B$5:$B$428,$B13,'소재역산 트래커'!$G$5:$G$428,"S(봄)")</f>
        <v/>
      </c>
      <c r="E13" s="19">
        <f>COUNTIFS('소재역산 트래커'!$B$5:$B$428,$B13,'소재역산 트래커'!$Q$5:$Q$428,"X")+COUNTIFS('소재역산 트래커'!$B$5:$B$428,$B13,'소재역산 트래커'!$Q$5:$Q$428,"부분")</f>
        <v/>
      </c>
      <c r="F13" s="19">
        <f>COUNTIFS('소재역산 트래커'!$B$5:$B$428,$B13,'소재역산 트래커'!$R$5:$R$428,"X")+COUNTIFS('소재역산 트래커'!$B$5:$B$428,$B13,'소재역산 트래커'!$R$5:$R$428,"부분")</f>
        <v/>
      </c>
      <c r="G13" s="19">
        <f>COUNTIFS('소재역산 트래커'!$B$5:$B$428,$B13,'소재역산 트래커'!$P$5:$P$428,"O")</f>
        <v/>
      </c>
      <c r="H13" s="19">
        <f>COUNTIFS('소재역산 트래커'!$B$5:$B$428,$B13,'소재역산 트래커'!$AF$5:$AF$428,"★*")</f>
        <v/>
      </c>
      <c r="I13" s="19">
        <f>COUNTIFS('소재역산 트래커'!$B$5:$B$428,$B13,'소재역산 트래커'!$AG$5:$AG$428,"조율완료")</f>
        <v/>
      </c>
    </row>
    <row r="14">
      <c r="B14" s="20" t="inlineStr">
        <is>
          <t>박지인</t>
        </is>
      </c>
      <c r="C14" s="19">
        <f>COUNTIF('소재역산 트래커'!$B$5:$B$428,$B14)</f>
        <v/>
      </c>
      <c r="D14" s="19">
        <f>COUNTIFS('소재역산 트래커'!$B$5:$B$428,$B14,'소재역산 트래커'!$G$5:$G$428,"S(봄)")</f>
        <v/>
      </c>
      <c r="E14" s="19">
        <f>COUNTIFS('소재역산 트래커'!$B$5:$B$428,$B14,'소재역산 트래커'!$Q$5:$Q$428,"X")+COUNTIFS('소재역산 트래커'!$B$5:$B$428,$B14,'소재역산 트래커'!$Q$5:$Q$428,"부분")</f>
        <v/>
      </c>
      <c r="F14" s="19">
        <f>COUNTIFS('소재역산 트래커'!$B$5:$B$428,$B14,'소재역산 트래커'!$R$5:$R$428,"X")+COUNTIFS('소재역산 트래커'!$B$5:$B$428,$B14,'소재역산 트래커'!$R$5:$R$428,"부분")</f>
        <v/>
      </c>
      <c r="G14" s="19">
        <f>COUNTIFS('소재역산 트래커'!$B$5:$B$428,$B14,'소재역산 트래커'!$P$5:$P$428,"O")</f>
        <v/>
      </c>
      <c r="H14" s="19">
        <f>COUNTIFS('소재역산 트래커'!$B$5:$B$428,$B14,'소재역산 트래커'!$AF$5:$AF$428,"★*")</f>
        <v/>
      </c>
      <c r="I14" s="19">
        <f>COUNTIFS('소재역산 트래커'!$B$5:$B$428,$B14,'소재역산 트래커'!$AG$5:$AG$428,"조율완료")</f>
        <v/>
      </c>
    </row>
    <row r="15">
      <c r="B15" s="20" t="inlineStr">
        <is>
          <t>박진아</t>
        </is>
      </c>
      <c r="C15" s="19">
        <f>COUNTIF('소재역산 트래커'!$B$5:$B$428,$B15)</f>
        <v/>
      </c>
      <c r="D15" s="19">
        <f>COUNTIFS('소재역산 트래커'!$B$5:$B$428,$B15,'소재역산 트래커'!$G$5:$G$428,"S(봄)")</f>
        <v/>
      </c>
      <c r="E15" s="19">
        <f>COUNTIFS('소재역산 트래커'!$B$5:$B$428,$B15,'소재역산 트래커'!$Q$5:$Q$428,"X")+COUNTIFS('소재역산 트래커'!$B$5:$B$428,$B15,'소재역산 트래커'!$Q$5:$Q$428,"부분")</f>
        <v/>
      </c>
      <c r="F15" s="19">
        <f>COUNTIFS('소재역산 트래커'!$B$5:$B$428,$B15,'소재역산 트래커'!$R$5:$R$428,"X")+COUNTIFS('소재역산 트래커'!$B$5:$B$428,$B15,'소재역산 트래커'!$R$5:$R$428,"부분")</f>
        <v/>
      </c>
      <c r="G15" s="19">
        <f>COUNTIFS('소재역산 트래커'!$B$5:$B$428,$B15,'소재역산 트래커'!$P$5:$P$428,"O")</f>
        <v/>
      </c>
      <c r="H15" s="19">
        <f>COUNTIFS('소재역산 트래커'!$B$5:$B$428,$B15,'소재역산 트래커'!$AF$5:$AF$428,"★*")</f>
        <v/>
      </c>
      <c r="I15" s="19">
        <f>COUNTIFS('소재역산 트래커'!$B$5:$B$428,$B15,'소재역산 트래커'!$AG$5:$AG$428,"조율완료")</f>
        <v/>
      </c>
    </row>
    <row r="16">
      <c r="B16" s="20" t="inlineStr">
        <is>
          <t>신인철</t>
        </is>
      </c>
      <c r="C16" s="19">
        <f>COUNTIF('소재역산 트래커'!$B$5:$B$428,$B16)</f>
        <v/>
      </c>
      <c r="D16" s="19">
        <f>COUNTIFS('소재역산 트래커'!$B$5:$B$428,$B16,'소재역산 트래커'!$G$5:$G$428,"S(봄)")</f>
        <v/>
      </c>
      <c r="E16" s="19">
        <f>COUNTIFS('소재역산 트래커'!$B$5:$B$428,$B16,'소재역산 트래커'!$Q$5:$Q$428,"X")+COUNTIFS('소재역산 트래커'!$B$5:$B$428,$B16,'소재역산 트래커'!$Q$5:$Q$428,"부분")</f>
        <v/>
      </c>
      <c r="F16" s="19">
        <f>COUNTIFS('소재역산 트래커'!$B$5:$B$428,$B16,'소재역산 트래커'!$R$5:$R$428,"X")+COUNTIFS('소재역산 트래커'!$B$5:$B$428,$B16,'소재역산 트래커'!$R$5:$R$428,"부분")</f>
        <v/>
      </c>
      <c r="G16" s="19">
        <f>COUNTIFS('소재역산 트래커'!$B$5:$B$428,$B16,'소재역산 트래커'!$P$5:$P$428,"O")</f>
        <v/>
      </c>
      <c r="H16" s="19">
        <f>COUNTIFS('소재역산 트래커'!$B$5:$B$428,$B16,'소재역산 트래커'!$AF$5:$AF$428,"★*")</f>
        <v/>
      </c>
      <c r="I16" s="19">
        <f>COUNTIFS('소재역산 트래커'!$B$5:$B$428,$B16,'소재역산 트래커'!$AG$5:$AG$428,"조율완료")</f>
        <v/>
      </c>
    </row>
    <row r="17">
      <c r="B17" s="20" t="inlineStr">
        <is>
          <t>이재헌</t>
        </is>
      </c>
      <c r="C17" s="19">
        <f>COUNTIF('소재역산 트래커'!$B$5:$B$428,$B17)</f>
        <v/>
      </c>
      <c r="D17" s="19">
        <f>COUNTIFS('소재역산 트래커'!$B$5:$B$428,$B17,'소재역산 트래커'!$G$5:$G$428,"S(봄)")</f>
        <v/>
      </c>
      <c r="E17" s="19">
        <f>COUNTIFS('소재역산 트래커'!$B$5:$B$428,$B17,'소재역산 트래커'!$Q$5:$Q$428,"X")+COUNTIFS('소재역산 트래커'!$B$5:$B$428,$B17,'소재역산 트래커'!$Q$5:$Q$428,"부분")</f>
        <v/>
      </c>
      <c r="F17" s="19">
        <f>COUNTIFS('소재역산 트래커'!$B$5:$B$428,$B17,'소재역산 트래커'!$R$5:$R$428,"X")+COUNTIFS('소재역산 트래커'!$B$5:$B$428,$B17,'소재역산 트래커'!$R$5:$R$428,"부분")</f>
        <v/>
      </c>
      <c r="G17" s="19">
        <f>COUNTIFS('소재역산 트래커'!$B$5:$B$428,$B17,'소재역산 트래커'!$P$5:$P$428,"O")</f>
        <v/>
      </c>
      <c r="H17" s="19">
        <f>COUNTIFS('소재역산 트래커'!$B$5:$B$428,$B17,'소재역산 트래커'!$AF$5:$AF$428,"★*")</f>
        <v/>
      </c>
      <c r="I17" s="19">
        <f>COUNTIFS('소재역산 트래커'!$B$5:$B$428,$B17,'소재역산 트래커'!$AG$5:$AG$428,"조율완료")</f>
        <v/>
      </c>
    </row>
    <row r="18">
      <c r="B18" s="20" t="inlineStr">
        <is>
          <t>정영준</t>
        </is>
      </c>
      <c r="C18" s="19">
        <f>COUNTIF('소재역산 트래커'!$B$5:$B$428,$B18)</f>
        <v/>
      </c>
      <c r="D18" s="19">
        <f>COUNTIFS('소재역산 트래커'!$B$5:$B$428,$B18,'소재역산 트래커'!$G$5:$G$428,"S(봄)")</f>
        <v/>
      </c>
      <c r="E18" s="19">
        <f>COUNTIFS('소재역산 트래커'!$B$5:$B$428,$B18,'소재역산 트래커'!$Q$5:$Q$428,"X")+COUNTIFS('소재역산 트래커'!$B$5:$B$428,$B18,'소재역산 트래커'!$Q$5:$Q$428,"부분")</f>
        <v/>
      </c>
      <c r="F18" s="19">
        <f>COUNTIFS('소재역산 트래커'!$B$5:$B$428,$B18,'소재역산 트래커'!$R$5:$R$428,"X")+COUNTIFS('소재역산 트래커'!$B$5:$B$428,$B18,'소재역산 트래커'!$R$5:$R$428,"부분")</f>
        <v/>
      </c>
      <c r="G18" s="19">
        <f>COUNTIFS('소재역산 트래커'!$B$5:$B$428,$B18,'소재역산 트래커'!$P$5:$P$428,"O")</f>
        <v/>
      </c>
      <c r="H18" s="19">
        <f>COUNTIFS('소재역산 트래커'!$B$5:$B$428,$B18,'소재역산 트래커'!$AF$5:$AF$428,"★*")</f>
        <v/>
      </c>
      <c r="I18" s="19">
        <f>COUNTIFS('소재역산 트래커'!$B$5:$B$428,$B18,'소재역산 트래커'!$AG$5:$AG$428,"조율완료")</f>
        <v/>
      </c>
    </row>
    <row r="19">
      <c r="B19" s="20" t="inlineStr">
        <is>
          <t>최지희</t>
        </is>
      </c>
      <c r="C19" s="19">
        <f>COUNTIF('소재역산 트래커'!$B$5:$B$428,$B19)</f>
        <v/>
      </c>
      <c r="D19" s="19">
        <f>COUNTIFS('소재역산 트래커'!$B$5:$B$428,$B19,'소재역산 트래커'!$G$5:$G$428,"S(봄)")</f>
        <v/>
      </c>
      <c r="E19" s="19">
        <f>COUNTIFS('소재역산 트래커'!$B$5:$B$428,$B19,'소재역산 트래커'!$Q$5:$Q$428,"X")+COUNTIFS('소재역산 트래커'!$B$5:$B$428,$B19,'소재역산 트래커'!$Q$5:$Q$428,"부분")</f>
        <v/>
      </c>
      <c r="F19" s="19">
        <f>COUNTIFS('소재역산 트래커'!$B$5:$B$428,$B19,'소재역산 트래커'!$R$5:$R$428,"X")+COUNTIFS('소재역산 트래커'!$B$5:$B$428,$B19,'소재역산 트래커'!$R$5:$R$428,"부분")</f>
        <v/>
      </c>
      <c r="G19" s="19">
        <f>COUNTIFS('소재역산 트래커'!$B$5:$B$428,$B19,'소재역산 트래커'!$P$5:$P$428,"O")</f>
        <v/>
      </c>
      <c r="H19" s="19">
        <f>COUNTIFS('소재역산 트래커'!$B$5:$B$428,$B19,'소재역산 트래커'!$AF$5:$AF$428,"★*")</f>
        <v/>
      </c>
      <c r="I19" s="19">
        <f>COUNTIFS('소재역산 트래커'!$B$5:$B$428,$B19,'소재역산 트래커'!$AG$5:$AG$428,"조율완료")</f>
        <v/>
      </c>
    </row>
    <row r="20">
      <c r="B20" s="20" t="inlineStr">
        <is>
          <t>최진민</t>
        </is>
      </c>
      <c r="C20" s="19">
        <f>COUNTIF('소재역산 트래커'!$B$5:$B$428,$B20)</f>
        <v/>
      </c>
      <c r="D20" s="19">
        <f>COUNTIFS('소재역산 트래커'!$B$5:$B$428,$B20,'소재역산 트래커'!$G$5:$G$428,"S(봄)")</f>
        <v/>
      </c>
      <c r="E20" s="19">
        <f>COUNTIFS('소재역산 트래커'!$B$5:$B$428,$B20,'소재역산 트래커'!$Q$5:$Q$428,"X")+COUNTIFS('소재역산 트래커'!$B$5:$B$428,$B20,'소재역산 트래커'!$Q$5:$Q$428,"부분")</f>
        <v/>
      </c>
      <c r="F20" s="19">
        <f>COUNTIFS('소재역산 트래커'!$B$5:$B$428,$B20,'소재역산 트래커'!$R$5:$R$428,"X")+COUNTIFS('소재역산 트래커'!$B$5:$B$428,$B20,'소재역산 트래커'!$R$5:$R$428,"부분")</f>
        <v/>
      </c>
      <c r="G20" s="19">
        <f>COUNTIFS('소재역산 트래커'!$B$5:$B$428,$B20,'소재역산 트래커'!$P$5:$P$428,"O")</f>
        <v/>
      </c>
      <c r="H20" s="19">
        <f>COUNTIFS('소재역산 트래커'!$B$5:$B$428,$B20,'소재역산 트래커'!$AF$5:$AF$428,"★*")</f>
        <v/>
      </c>
      <c r="I20" s="19">
        <f>COUNTIFS('소재역산 트래커'!$B$5:$B$428,$B20,'소재역산 트래커'!$AG$5:$AG$428,"조율완료")</f>
        <v/>
      </c>
    </row>
    <row r="21">
      <c r="B21" s="43" t="inlineStr">
        <is>
          <t>합계</t>
        </is>
      </c>
      <c r="C21" s="44">
        <f>SUM(C11:C20)</f>
        <v/>
      </c>
      <c r="D21" s="44">
        <f>SUM(D11:D20)</f>
        <v/>
      </c>
      <c r="E21" s="44">
        <f>SUM(E11:E20)</f>
        <v/>
      </c>
      <c r="F21" s="44">
        <f>SUM(F11:F20)</f>
        <v/>
      </c>
      <c r="G21" s="44">
        <f>SUM(G11:G20)</f>
        <v/>
      </c>
      <c r="H21" s="44">
        <f>SUM(H11:H20)</f>
        <v/>
      </c>
      <c r="I21" s="44">
        <f>SUM(I11:I20)</f>
        <v/>
      </c>
    </row>
    <row r="24">
      <c r="B24" s="11" t="inlineStr">
        <is>
          <t>공유 메시지 (관계부서 발송용)</t>
        </is>
      </c>
    </row>
    <row r="25">
      <c r="B25" s="45" t="inlineStr">
        <is>
          <t>27SS 영업MD 출고계획은 기획MD 출고계획과 거의 일치하게 운영되며, 생산도 동 일정에 맞춰야 합니다. 관건은 소재일정의 정확성입니다. 출고일 2주 전에는 제품이 입고되어야 하고(27년 설 연휴 2/5~2/8 입고 불가 반영), 제품입고 기준 90일 전에는 소재가 입고되어야 합니다. 중국·베트남 공장은 춘절 휴무(2/1~2/15 가정)로 생산기간이 겹치는 만큼 소재 마감이 추가로 앞당겨집니다. 이 마감까지 소재 입고가 확인되지 않았거나, 현시점 작업지시서가 발행되지 않은 S코드(봄상품)는 납기 준수가 어렵습니다. 비수기 1차 확정 스타일(의류 소매가 기준 약 28%)은 BT 컨펌·8월말 원단 도착 일정 준수가 전제이므로 소재 일정 회신 1순위로 요청드립니다. CMT는 본사(소재팀), 완사입·ODM은 생산처에서 소재 입고 가능일을 회신해 주시기 바랍니다.</t>
        </is>
      </c>
    </row>
    <row r="26"/>
    <row r="27"/>
    <row r="28"/>
    <row r="29"/>
    <row r="30"/>
  </sheetData>
  <mergeCells count="1">
    <mergeCell ref="B25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2026-08-10T05:18:11Z</dcterms:created>
  <dcterms:modified xsi:type="dcterms:W3CDTF">2026-08-10T05:18:12Z</dcterms:modified>
</cp:coreProperties>
</file>