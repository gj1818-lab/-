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소재DB_RAW" sheetId="4" state="hidden" r:id="rId4"/>
    <sheet name="금액 요약" sheetId="5" state="visible" r:id="rId5"/>
    <sheet name="리스크 요약" sheetId="6" state="visible" r:id="rId6"/>
  </sheets>
  <definedNames>
    <definedName name="_xlnm._FilterDatabase" localSheetId="2" hidden="1">'소재역산 트래커'!$A$4:$AH$428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E8474C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8" fillId="0" borderId="0" pivotButton="0" quotePrefix="0" xfId="0"/>
    <xf numFmtId="0" fontId="16" fillId="2" borderId="1" applyAlignment="1" pivotButton="0" quotePrefix="0" xfId="0">
      <alignment horizontal="center"/>
    </xf>
    <xf numFmtId="0" fontId="19" fillId="0" borderId="1" pivotButton="0" quotePrefix="0" xfId="0"/>
    <xf numFmtId="3" fontId="19" fillId="0" borderId="1" applyAlignment="1" pivotButton="0" quotePrefix="0" xfId="0">
      <alignment horizontal="right"/>
    </xf>
    <xf numFmtId="167" fontId="19" fillId="0" borderId="1" applyAlignment="1" pivotButton="0" quotePrefix="0" xfId="0">
      <alignment horizontal="right"/>
    </xf>
    <xf numFmtId="0" fontId="21" fillId="5" borderId="1" pivotButton="0" quotePrefix="0" xfId="0"/>
    <xf numFmtId="3" fontId="21" fillId="5" borderId="1" applyAlignment="1" pivotButton="0" quotePrefix="0" xfId="0">
      <alignment horizontal="right"/>
    </xf>
    <xf numFmtId="167" fontId="21" fillId="5" borderId="1" applyAlignment="1" pivotButton="0" quotePrefix="0" xfId="0">
      <alignment horizontal="right"/>
    </xf>
    <xf numFmtId="0" fontId="22" fillId="6" borderId="1" pivotButton="0" quotePrefix="0" xfId="0"/>
    <xf numFmtId="167" fontId="22" fillId="6" borderId="1" applyAlignment="1" pivotButton="0" quotePrefix="0" xfId="0">
      <alignment horizontal="right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5" borderId="1" pivotButton="0" quotePrefix="0" xfId="0"/>
    <xf numFmtId="0" fontId="27" fillId="5" borderId="1" applyAlignment="1" pivotButton="0" quotePrefix="0" xfId="0">
      <alignment horizontal="center"/>
    </xf>
    <xf numFmtId="0" fontId="19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9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원단처/겉감/안감/생산처(소재DB): '27SS_소재DB' Merged Data 탭과 IMPORTRANGE 실시간 연동 (숨김 탭 '소재DB_RAW')</t>
        </is>
      </c>
    </row>
    <row r="36">
      <c r="B36" s="5" t="inlineStr">
        <is>
          <t>· 최초 1회: 시트를 열고 '소재DB_RAW' 탭(숨김 해제)에서 A3 셀의 '액세스 허용' 클릭 필요 — 이후 자동 갱신</t>
        </is>
      </c>
    </row>
    <row r="37">
      <c r="B37" s="5" t="inlineStr">
        <is>
          <t>· 생산처(소재DB) 열은 크로스체크용 — 0808 생산처와 다르면 빨간색 표시 (픽스처/픽스쳐 같은 표기 차이도 포함되니 확인 필요)</t>
        </is>
      </c>
    </row>
    <row r="38">
      <c r="B38" s="5" t="inlineStr">
        <is>
          <t>· WM/피싱(8로 시작)은 0808 원본에 기획수량 0으로 입력되어 수량 합계 공란 — 금액은 원본 총원가/총공급가 기준</t>
        </is>
      </c>
    </row>
    <row r="39">
      <c r="B39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9" customWidth="1" min="27" max="27"/>
    <col width="14" customWidth="1" min="28" max="28"/>
    <col width="15" customWidth="1" min="29" max="29"/>
    <col width="13" customWidth="1" min="30" max="30"/>
    <col width="26" customWidth="1" min="31" max="31"/>
    <col width="15" customWidth="1" min="32" max="32"/>
    <col width="9" customWidth="1" min="33" max="33"/>
    <col width="24" customWidth="1" min="34" max="34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</t>
        </is>
      </c>
      <c r="R4" s="18" t="inlineStr">
        <is>
          <t>사양확정 (전산 8/6)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기획수량</t>
        </is>
      </c>
      <c r="AB4" s="18" t="inlineStr">
        <is>
          <t>원가합 (원)</t>
        </is>
      </c>
      <c r="AC4" s="18" t="inlineStr">
        <is>
          <t>소매가합 (원)</t>
        </is>
      </c>
      <c r="AD4" s="18" t="inlineStr">
        <is>
          <t>납기1차 (전산참고)</t>
        </is>
      </c>
      <c r="AE4" s="18" t="inlineStr">
        <is>
          <t>리스크 사유</t>
        </is>
      </c>
      <c r="AF4" s="18" t="inlineStr">
        <is>
          <t>판정</t>
        </is>
      </c>
      <c r="AG4" s="18" t="inlineStr">
        <is>
          <t>조율상태</t>
        </is>
      </c>
      <c r="AH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21" t="inlineStr">
        <is>
          <t>O</t>
        </is>
      </c>
      <c r="R5" s="21" t="inlineStr">
        <is>
          <t>X</t>
        </is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>
        <f>IFERROR(TEXTJOIN(" / ",TRUE,UNIQUE(FILTER(소재DB_RAW!$K$3:$K$2000,소재DB_RAW!$G$3:$G$2000=$D5))),"")</f>
        <v/>
      </c>
      <c r="W5" s="20" t="inlineStr">
        <is>
          <t>베트남</t>
        </is>
      </c>
      <c r="X5" s="20">
        <f>IFERROR(TEXTJOIN(" / ",TRUE,UNIQUE(FILTER(소재DB_RAW!$N$3:$N$2000,소재DB_RAW!$G$3:$G$2000=$D5))),"")</f>
        <v/>
      </c>
      <c r="Y5" s="26">
        <f>IFERROR(TEXTJOIN(CHAR(10),TRUE,UNIQUE(FILTER(소재DB_RAW!$N$3:$N$2000&amp;") "&amp;소재DB_RAW!$O$3:$O$2000,(소재DB_RAW!$G$3:$G$2000=$D5)*ISNUMBER(SEARCH("겉감",소재DB_RAW!$M$3:$M$2000))))),"")</f>
        <v/>
      </c>
      <c r="Z5" s="26">
        <f>IFERROR(TEXTJOIN(CHAR(10),TRUE,UNIQUE(FILTER(소재DB_RAW!$N$3:$N$2000&amp;") "&amp;소재DB_RAW!$O$3:$O$2000,(소재DB_RAW!$G$3:$G$2000=$D5)*ISNUMBER(SEARCH("안감",소재DB_RAW!$M$3:$M$2000))))),"")</f>
        <v/>
      </c>
      <c r="AA5" s="27" t="n">
        <v>190</v>
      </c>
      <c r="AB5" s="27" t="n">
        <v>47398730</v>
      </c>
      <c r="AC5" s="27" t="n">
        <v>188100000</v>
      </c>
      <c r="AD5" s="20" t="n"/>
      <c r="AE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F5" s="19">
        <f>IF($K5="","",IF(OR(LEFT($AE5,2)="작지",LEFT($AE5,4)="소재입고"),IF(LEFT($G5,1)="S","★ 납기위험(S코드)","◆ 지연주의"),IF($AE5="정상","✓ 정상","? 확인필요")))</f>
        <v/>
      </c>
      <c r="AG5" s="21" t="n"/>
      <c r="AH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21" t="inlineStr">
        <is>
          <t>O</t>
        </is>
      </c>
      <c r="R6" s="21" t="inlineStr">
        <is>
          <t>X</t>
        </is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>
        <f>IFERROR(TEXTJOIN(" / ",TRUE,UNIQUE(FILTER(소재DB_RAW!$K$3:$K$2000,소재DB_RAW!$G$3:$G$2000=$D6))),"")</f>
        <v/>
      </c>
      <c r="W6" s="20" t="inlineStr">
        <is>
          <t>인도네시아</t>
        </is>
      </c>
      <c r="X6" s="20">
        <f>IFERROR(TEXTJOIN(" / ",TRUE,UNIQUE(FILTER(소재DB_RAW!$N$3:$N$2000,소재DB_RAW!$G$3:$G$2000=$D6))),"")</f>
        <v/>
      </c>
      <c r="Y6" s="26">
        <f>IFERROR(TEXTJOIN(CHAR(10),TRUE,UNIQUE(FILTER(소재DB_RAW!$N$3:$N$2000&amp;") "&amp;소재DB_RAW!$O$3:$O$2000,(소재DB_RAW!$G$3:$G$2000=$D6)*ISNUMBER(SEARCH("겉감",소재DB_RAW!$M$3:$M$2000))))),"")</f>
        <v/>
      </c>
      <c r="Z6" s="26">
        <f>IFERROR(TEXTJOIN(CHAR(10),TRUE,UNIQUE(FILTER(소재DB_RAW!$N$3:$N$2000&amp;") "&amp;소재DB_RAW!$O$3:$O$2000,(소재DB_RAW!$G$3:$G$2000=$D6)*ISNUMBER(SEARCH("안감",소재DB_RAW!$M$3:$M$2000))))),"")</f>
        <v/>
      </c>
      <c r="AA6" s="27" t="n">
        <v>550</v>
      </c>
      <c r="AB6" s="27" t="n">
        <v>46312750</v>
      </c>
      <c r="AC6" s="27" t="n">
        <v>214500000</v>
      </c>
      <c r="AD6" s="20" t="n"/>
      <c r="AE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F6" s="19">
        <f>IF($K6="","",IF(OR(LEFT($AE6,2)="작지",LEFT($AE6,4)="소재입고"),IF(LEFT($G6,1)="S","★ 납기위험(S코드)","◆ 지연주의"),IF($AE6="정상","✓ 정상","? 확인필요")))</f>
        <v/>
      </c>
      <c r="AG6" s="21" t="n"/>
      <c r="AH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21" t="inlineStr">
        <is>
          <t>O</t>
        </is>
      </c>
      <c r="R7" s="21" t="inlineStr">
        <is>
          <t>X</t>
        </is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>
        <f>IFERROR(TEXTJOIN(" / ",TRUE,UNIQUE(FILTER(소재DB_RAW!$K$3:$K$2000,소재DB_RAW!$G$3:$G$2000=$D7))),"")</f>
        <v/>
      </c>
      <c r="W7" s="20" t="inlineStr">
        <is>
          <t>인도네시아</t>
        </is>
      </c>
      <c r="X7" s="20">
        <f>IFERROR(TEXTJOIN(" / ",TRUE,UNIQUE(FILTER(소재DB_RAW!$N$3:$N$2000,소재DB_RAW!$G$3:$G$2000=$D7))),"")</f>
        <v/>
      </c>
      <c r="Y7" s="26">
        <f>IFERROR(TEXTJOIN(CHAR(10),TRUE,UNIQUE(FILTER(소재DB_RAW!$N$3:$N$2000&amp;") "&amp;소재DB_RAW!$O$3:$O$2000,(소재DB_RAW!$G$3:$G$2000=$D7)*ISNUMBER(SEARCH("겉감",소재DB_RAW!$M$3:$M$2000))))),"")</f>
        <v/>
      </c>
      <c r="Z7" s="26">
        <f>IFERROR(TEXTJOIN(CHAR(10),TRUE,UNIQUE(FILTER(소재DB_RAW!$N$3:$N$2000&amp;") "&amp;소재DB_RAW!$O$3:$O$2000,(소재DB_RAW!$G$3:$G$2000=$D7)*ISNUMBER(SEARCH("안감",소재DB_RAW!$M$3:$M$2000))))),"")</f>
        <v/>
      </c>
      <c r="AA7" s="27" t="n">
        <v>600</v>
      </c>
      <c r="AB7" s="27" t="n">
        <v>46083000</v>
      </c>
      <c r="AC7" s="27" t="n">
        <v>210000000</v>
      </c>
      <c r="AD7" s="20" t="n"/>
      <c r="AE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F7" s="19">
        <f>IF($K7="","",IF(OR(LEFT($AE7,2)="작지",LEFT($AE7,4)="소재입고"),IF(LEFT($G7,1)="S","★ 납기위험(S코드)","◆ 지연주의"),IF($AE7="정상","✓ 정상","? 확인필요")))</f>
        <v/>
      </c>
      <c r="AG7" s="21" t="n"/>
      <c r="AH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21" t="inlineStr">
        <is>
          <t>O</t>
        </is>
      </c>
      <c r="R8" s="21" t="inlineStr">
        <is>
          <t>O</t>
        </is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>
        <f>IFERROR(TEXTJOIN(" / ",TRUE,UNIQUE(FILTER(소재DB_RAW!$K$3:$K$2000,소재DB_RAW!$G$3:$G$2000=$D8))),"")</f>
        <v/>
      </c>
      <c r="W8" s="20" t="inlineStr">
        <is>
          <t>인도네시아</t>
        </is>
      </c>
      <c r="X8" s="20">
        <f>IFERROR(TEXTJOIN(" / ",TRUE,UNIQUE(FILTER(소재DB_RAW!$N$3:$N$2000,소재DB_RAW!$G$3:$G$2000=$D8))),"")</f>
        <v/>
      </c>
      <c r="Y8" s="26">
        <f>IFERROR(TEXTJOIN(CHAR(10),TRUE,UNIQUE(FILTER(소재DB_RAW!$N$3:$N$2000&amp;") "&amp;소재DB_RAW!$O$3:$O$2000,(소재DB_RAW!$G$3:$G$2000=$D8)*ISNUMBER(SEARCH("겉감",소재DB_RAW!$M$3:$M$2000))))),"")</f>
        <v/>
      </c>
      <c r="Z8" s="26">
        <f>IFERROR(TEXTJOIN(CHAR(10),TRUE,UNIQUE(FILTER(소재DB_RAW!$N$3:$N$2000&amp;") "&amp;소재DB_RAW!$O$3:$O$2000,(소재DB_RAW!$G$3:$G$2000=$D8)*ISNUMBER(SEARCH("안감",소재DB_RAW!$M$3:$M$2000))))),"")</f>
        <v/>
      </c>
      <c r="AA8" s="27" t="n">
        <v>400</v>
      </c>
      <c r="AB8" s="27" t="n">
        <v>24726400</v>
      </c>
      <c r="AC8" s="27" t="n">
        <v>128000000</v>
      </c>
      <c r="AD8" s="20" t="n"/>
      <c r="AE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F8" s="19">
        <f>IF($K8="","",IF(OR(LEFT($AE8,2)="작지",LEFT($AE8,4)="소재입고"),IF(LEFT($G8,1)="S","★ 납기위험(S코드)","◆ 지연주의"),IF($AE8="정상","✓ 정상","? 확인필요")))</f>
        <v/>
      </c>
      <c r="AG8" s="21" t="n"/>
      <c r="AH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21" t="inlineStr">
        <is>
          <t>O</t>
        </is>
      </c>
      <c r="R9" s="21" t="inlineStr">
        <is>
          <t>X</t>
        </is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>
        <f>IFERROR(TEXTJOIN(" / ",TRUE,UNIQUE(FILTER(소재DB_RAW!$K$3:$K$2000,소재DB_RAW!$G$3:$G$2000=$D9))),"")</f>
        <v/>
      </c>
      <c r="W9" s="20" t="inlineStr">
        <is>
          <t>베트남</t>
        </is>
      </c>
      <c r="X9" s="20">
        <f>IFERROR(TEXTJOIN(" / ",TRUE,UNIQUE(FILTER(소재DB_RAW!$N$3:$N$2000,소재DB_RAW!$G$3:$G$2000=$D9))),"")</f>
        <v/>
      </c>
      <c r="Y9" s="26">
        <f>IFERROR(TEXTJOIN(CHAR(10),TRUE,UNIQUE(FILTER(소재DB_RAW!$N$3:$N$2000&amp;") "&amp;소재DB_RAW!$O$3:$O$2000,(소재DB_RAW!$G$3:$G$2000=$D9)*ISNUMBER(SEARCH("겉감",소재DB_RAW!$M$3:$M$2000))))),"")</f>
        <v/>
      </c>
      <c r="Z9" s="26">
        <f>IFERROR(TEXTJOIN(CHAR(10),TRUE,UNIQUE(FILTER(소재DB_RAW!$N$3:$N$2000&amp;") "&amp;소재DB_RAW!$O$3:$O$2000,(소재DB_RAW!$G$3:$G$2000=$D9)*ISNUMBER(SEARCH("안감",소재DB_RAW!$M$3:$M$2000))))),"")</f>
        <v/>
      </c>
      <c r="AA9" s="27" t="n">
        <v>350</v>
      </c>
      <c r="AB9" s="27" t="n">
        <v>20101900</v>
      </c>
      <c r="AC9" s="27" t="n">
        <v>94500000</v>
      </c>
      <c r="AD9" s="20" t="n"/>
      <c r="AE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F9" s="19">
        <f>IF($K9="","",IF(OR(LEFT($AE9,2)="작지",LEFT($AE9,4)="소재입고"),IF(LEFT($G9,1)="S","★ 납기위험(S코드)","◆ 지연주의"),IF($AE9="정상","✓ 정상","? 확인필요")))</f>
        <v/>
      </c>
      <c r="AG9" s="21" t="n"/>
      <c r="AH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21" t="inlineStr">
        <is>
          <t>O</t>
        </is>
      </c>
      <c r="R10" s="21" t="inlineStr">
        <is>
          <t>X</t>
        </is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>
        <f>IFERROR(TEXTJOIN(" / ",TRUE,UNIQUE(FILTER(소재DB_RAW!$K$3:$K$2000,소재DB_RAW!$G$3:$G$2000=$D10))),"")</f>
        <v/>
      </c>
      <c r="W10" s="20" t="inlineStr">
        <is>
          <t>베트남</t>
        </is>
      </c>
      <c r="X10" s="20">
        <f>IFERROR(TEXTJOIN(" / ",TRUE,UNIQUE(FILTER(소재DB_RAW!$N$3:$N$2000,소재DB_RAW!$G$3:$G$2000=$D10))),"")</f>
        <v/>
      </c>
      <c r="Y10" s="26">
        <f>IFERROR(TEXTJOIN(CHAR(10),TRUE,UNIQUE(FILTER(소재DB_RAW!$N$3:$N$2000&amp;") "&amp;소재DB_RAW!$O$3:$O$2000,(소재DB_RAW!$G$3:$G$2000=$D10)*ISNUMBER(SEARCH("겉감",소재DB_RAW!$M$3:$M$2000))))),"")</f>
        <v/>
      </c>
      <c r="Z10" s="26">
        <f>IFERROR(TEXTJOIN(CHAR(10),TRUE,UNIQUE(FILTER(소재DB_RAW!$N$3:$N$2000&amp;") "&amp;소재DB_RAW!$O$3:$O$2000,(소재DB_RAW!$G$3:$G$2000=$D10)*ISNUMBER(SEARCH("안감",소재DB_RAW!$M$3:$M$2000))))),"")</f>
        <v/>
      </c>
      <c r="AA10" s="27" t="n">
        <v>200</v>
      </c>
      <c r="AB10" s="27" t="n">
        <v>16675200</v>
      </c>
      <c r="AC10" s="27" t="n">
        <v>64000000</v>
      </c>
      <c r="AD10" s="20" t="n"/>
      <c r="AE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F10" s="19">
        <f>IF($K10="","",IF(OR(LEFT($AE10,2)="작지",LEFT($AE10,4)="소재입고"),IF(LEFT($G10,1)="S","★ 납기위험(S코드)","◆ 지연주의"),IF($AE10="정상","✓ 정상","? 확인필요")))</f>
        <v/>
      </c>
      <c r="AG10" s="21" t="n"/>
      <c r="AH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21" t="inlineStr">
        <is>
          <t>O</t>
        </is>
      </c>
      <c r="R11" s="21" t="inlineStr">
        <is>
          <t>X</t>
        </is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>
        <f>IFERROR(TEXTJOIN(" / ",TRUE,UNIQUE(FILTER(소재DB_RAW!$K$3:$K$2000,소재DB_RAW!$G$3:$G$2000=$D11))),"")</f>
        <v/>
      </c>
      <c r="W11" s="20" t="inlineStr">
        <is>
          <t>베트남</t>
        </is>
      </c>
      <c r="X11" s="20">
        <f>IFERROR(TEXTJOIN(" / ",TRUE,UNIQUE(FILTER(소재DB_RAW!$N$3:$N$2000,소재DB_RAW!$G$3:$G$2000=$D11))),"")</f>
        <v/>
      </c>
      <c r="Y11" s="26">
        <f>IFERROR(TEXTJOIN(CHAR(10),TRUE,UNIQUE(FILTER(소재DB_RAW!$N$3:$N$2000&amp;") "&amp;소재DB_RAW!$O$3:$O$2000,(소재DB_RAW!$G$3:$G$2000=$D11)*ISNUMBER(SEARCH("겉감",소재DB_RAW!$M$3:$M$2000))))),"")</f>
        <v/>
      </c>
      <c r="Z11" s="26">
        <f>IFERROR(TEXTJOIN(CHAR(10),TRUE,UNIQUE(FILTER(소재DB_RAW!$N$3:$N$2000&amp;") "&amp;소재DB_RAW!$O$3:$O$2000,(소재DB_RAW!$G$3:$G$2000=$D11)*ISNUMBER(SEARCH("안감",소재DB_RAW!$M$3:$M$2000))))),"")</f>
        <v/>
      </c>
      <c r="AA11" s="27" t="n">
        <v>180</v>
      </c>
      <c r="AB11" s="27" t="n">
        <v>4716720</v>
      </c>
      <c r="AC11" s="27" t="n">
        <v>24840000</v>
      </c>
      <c r="AD11" s="20" t="n"/>
      <c r="AE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F11" s="19">
        <f>IF($K11="","",IF(OR(LEFT($AE11,2)="작지",LEFT($AE11,4)="소재입고"),IF(LEFT($G11,1)="S","★ 납기위험(S코드)","◆ 지연주의"),IF($AE11="정상","✓ 정상","? 확인필요")))</f>
        <v/>
      </c>
      <c r="AG11" s="21" t="n"/>
      <c r="AH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21" t="inlineStr">
        <is>
          <t>O</t>
        </is>
      </c>
      <c r="R12" s="21" t="inlineStr">
        <is>
          <t>X</t>
        </is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>
        <f>IFERROR(TEXTJOIN(" / ",TRUE,UNIQUE(FILTER(소재DB_RAW!$K$3:$K$2000,소재DB_RAW!$G$3:$G$2000=$D12))),"")</f>
        <v/>
      </c>
      <c r="W12" s="20" t="inlineStr">
        <is>
          <t>베트남</t>
        </is>
      </c>
      <c r="X12" s="20">
        <f>IFERROR(TEXTJOIN(" / ",TRUE,UNIQUE(FILTER(소재DB_RAW!$N$3:$N$2000,소재DB_RAW!$G$3:$G$2000=$D12))),"")</f>
        <v/>
      </c>
      <c r="Y12" s="26">
        <f>IFERROR(TEXTJOIN(CHAR(10),TRUE,UNIQUE(FILTER(소재DB_RAW!$N$3:$N$2000&amp;") "&amp;소재DB_RAW!$O$3:$O$2000,(소재DB_RAW!$G$3:$G$2000=$D12)*ISNUMBER(SEARCH("겉감",소재DB_RAW!$M$3:$M$2000))))),"")</f>
        <v/>
      </c>
      <c r="Z12" s="26">
        <f>IFERROR(TEXTJOIN(CHAR(10),TRUE,UNIQUE(FILTER(소재DB_RAW!$N$3:$N$2000&amp;") "&amp;소재DB_RAW!$O$3:$O$2000,(소재DB_RAW!$G$3:$G$2000=$D12)*ISNUMBER(SEARCH("안감",소재DB_RAW!$M$3:$M$2000))))),"")</f>
        <v/>
      </c>
      <c r="AA12" s="27" t="n">
        <v>250</v>
      </c>
      <c r="AB12" s="27" t="n">
        <v>68675250</v>
      </c>
      <c r="AC12" s="27" t="n">
        <v>247500000</v>
      </c>
      <c r="AD12" s="20" t="n"/>
      <c r="AE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F12" s="19">
        <f>IF($K12="","",IF(OR(LEFT($AE12,2)="작지",LEFT($AE12,4)="소재입고"),IF(LEFT($G12,1)="S","★ 납기위험(S코드)","◆ 지연주의"),IF($AE12="정상","✓ 정상","? 확인필요")))</f>
        <v/>
      </c>
      <c r="AG12" s="21" t="n"/>
      <c r="AH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21" t="inlineStr">
        <is>
          <t>O</t>
        </is>
      </c>
      <c r="R13" s="21" t="inlineStr">
        <is>
          <t>X</t>
        </is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>
        <f>IFERROR(TEXTJOIN(" / ",TRUE,UNIQUE(FILTER(소재DB_RAW!$K$3:$K$2000,소재DB_RAW!$G$3:$G$2000=$D13))),"")</f>
        <v/>
      </c>
      <c r="W13" s="20" t="inlineStr">
        <is>
          <t>인도네시아</t>
        </is>
      </c>
      <c r="X13" s="20">
        <f>IFERROR(TEXTJOIN(" / ",TRUE,UNIQUE(FILTER(소재DB_RAW!$N$3:$N$2000,소재DB_RAW!$G$3:$G$2000=$D13))),"")</f>
        <v/>
      </c>
      <c r="Y13" s="26">
        <f>IFERROR(TEXTJOIN(CHAR(10),TRUE,UNIQUE(FILTER(소재DB_RAW!$N$3:$N$2000&amp;") "&amp;소재DB_RAW!$O$3:$O$2000,(소재DB_RAW!$G$3:$G$2000=$D13)*ISNUMBER(SEARCH("겉감",소재DB_RAW!$M$3:$M$2000))))),"")</f>
        <v/>
      </c>
      <c r="Z13" s="26">
        <f>IFERROR(TEXTJOIN(CHAR(10),TRUE,UNIQUE(FILTER(소재DB_RAW!$N$3:$N$2000&amp;") "&amp;소재DB_RAW!$O$3:$O$2000,(소재DB_RAW!$G$3:$G$2000=$D13)*ISNUMBER(SEARCH("안감",소재DB_RAW!$M$3:$M$2000))))),"")</f>
        <v/>
      </c>
      <c r="AA13" s="27" t="n">
        <v>2350</v>
      </c>
      <c r="AB13" s="27" t="n">
        <v>215013250</v>
      </c>
      <c r="AC13" s="27" t="n">
        <v>916500000</v>
      </c>
      <c r="AD13" s="20" t="n"/>
      <c r="AE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F13" s="19">
        <f>IF($K13="","",IF(OR(LEFT($AE13,2)="작지",LEFT($AE13,4)="소재입고"),IF(LEFT($G13,1)="S","★ 납기위험(S코드)","◆ 지연주의"),IF($AE13="정상","✓ 정상","? 확인필요")))</f>
        <v/>
      </c>
      <c r="AG13" s="21" t="n"/>
      <c r="AH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21" t="inlineStr">
        <is>
          <t>O</t>
        </is>
      </c>
      <c r="R14" s="21" t="inlineStr">
        <is>
          <t>X</t>
        </is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>
        <f>IFERROR(TEXTJOIN(" / ",TRUE,UNIQUE(FILTER(소재DB_RAW!$K$3:$K$2000,소재DB_RAW!$G$3:$G$2000=$D14))),"")</f>
        <v/>
      </c>
      <c r="W14" s="20" t="inlineStr">
        <is>
          <t>인도네시아</t>
        </is>
      </c>
      <c r="X14" s="20">
        <f>IFERROR(TEXTJOIN(" / ",TRUE,UNIQUE(FILTER(소재DB_RAW!$N$3:$N$2000,소재DB_RAW!$G$3:$G$2000=$D14))),"")</f>
        <v/>
      </c>
      <c r="Y14" s="26">
        <f>IFERROR(TEXTJOIN(CHAR(10),TRUE,UNIQUE(FILTER(소재DB_RAW!$N$3:$N$2000&amp;") "&amp;소재DB_RAW!$O$3:$O$2000,(소재DB_RAW!$G$3:$G$2000=$D14)*ISNUMBER(SEARCH("겉감",소재DB_RAW!$M$3:$M$2000))))),"")</f>
        <v/>
      </c>
      <c r="Z14" s="26">
        <f>IFERROR(TEXTJOIN(CHAR(10),TRUE,UNIQUE(FILTER(소재DB_RAW!$N$3:$N$2000&amp;") "&amp;소재DB_RAW!$O$3:$O$2000,(소재DB_RAW!$G$3:$G$2000=$D14)*ISNUMBER(SEARCH("안감",소재DB_RAW!$M$3:$M$2000))))),"")</f>
        <v/>
      </c>
      <c r="AA14" s="27" t="n">
        <v>2250</v>
      </c>
      <c r="AB14" s="27" t="n">
        <v>186752250</v>
      </c>
      <c r="AC14" s="27" t="n">
        <v>787500000</v>
      </c>
      <c r="AD14" s="20" t="n"/>
      <c r="AE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F14" s="19">
        <f>IF($K14="","",IF(OR(LEFT($AE14,2)="작지",LEFT($AE14,4)="소재입고"),IF(LEFT($G14,1)="S","★ 납기위험(S코드)","◆ 지연주의"),IF($AE14="정상","✓ 정상","? 확인필요")))</f>
        <v/>
      </c>
      <c r="AG14" s="21" t="n"/>
      <c r="AH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21" t="inlineStr">
        <is>
          <t>O</t>
        </is>
      </c>
      <c r="R15" s="21" t="inlineStr">
        <is>
          <t>X</t>
        </is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>
        <f>IFERROR(TEXTJOIN(" / ",TRUE,UNIQUE(FILTER(소재DB_RAW!$K$3:$K$2000,소재DB_RAW!$G$3:$G$2000=$D15))),"")</f>
        <v/>
      </c>
      <c r="W15" s="20" t="inlineStr">
        <is>
          <t>인도네시아</t>
        </is>
      </c>
      <c r="X15" s="20">
        <f>IFERROR(TEXTJOIN(" / ",TRUE,UNIQUE(FILTER(소재DB_RAW!$N$3:$N$2000,소재DB_RAW!$G$3:$G$2000=$D15))),"")</f>
        <v/>
      </c>
      <c r="Y15" s="26">
        <f>IFERROR(TEXTJOIN(CHAR(10),TRUE,UNIQUE(FILTER(소재DB_RAW!$N$3:$N$2000&amp;") "&amp;소재DB_RAW!$O$3:$O$2000,(소재DB_RAW!$G$3:$G$2000=$D15)*ISNUMBER(SEARCH("겉감",소재DB_RAW!$M$3:$M$2000))))),"")</f>
        <v/>
      </c>
      <c r="Z15" s="26">
        <f>IFERROR(TEXTJOIN(CHAR(10),TRUE,UNIQUE(FILTER(소재DB_RAW!$N$3:$N$2000&amp;") "&amp;소재DB_RAW!$O$3:$O$2000,(소재DB_RAW!$G$3:$G$2000=$D15)*ISNUMBER(SEARCH("안감",소재DB_RAW!$M$3:$M$2000))))),"")</f>
        <v/>
      </c>
      <c r="AA15" s="27" t="n">
        <v>3000</v>
      </c>
      <c r="AB15" s="27" t="n">
        <v>199377000</v>
      </c>
      <c r="AC15" s="27" t="n">
        <v>960000000</v>
      </c>
      <c r="AD15" s="20" t="n"/>
      <c r="AE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F15" s="19">
        <f>IF($K15="","",IF(OR(LEFT($AE15,2)="작지",LEFT($AE15,4)="소재입고"),IF(LEFT($G15,1)="S","★ 납기위험(S코드)","◆ 지연주의"),IF($AE15="정상","✓ 정상","? 확인필요")))</f>
        <v/>
      </c>
      <c r="AG15" s="21" t="n"/>
      <c r="AH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21" t="inlineStr">
        <is>
          <t>O</t>
        </is>
      </c>
      <c r="R16" s="21" t="inlineStr">
        <is>
          <t>X</t>
        </is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>
        <f>IFERROR(TEXTJOIN(" / ",TRUE,UNIQUE(FILTER(소재DB_RAW!$K$3:$K$2000,소재DB_RAW!$G$3:$G$2000=$D16))),"")</f>
        <v/>
      </c>
      <c r="W16" s="20" t="inlineStr">
        <is>
          <t>베트남</t>
        </is>
      </c>
      <c r="X16" s="20">
        <f>IFERROR(TEXTJOIN(" / ",TRUE,UNIQUE(FILTER(소재DB_RAW!$N$3:$N$2000,소재DB_RAW!$G$3:$G$2000=$D16))),"")</f>
        <v/>
      </c>
      <c r="Y16" s="26">
        <f>IFERROR(TEXTJOIN(CHAR(10),TRUE,UNIQUE(FILTER(소재DB_RAW!$N$3:$N$2000&amp;") "&amp;소재DB_RAW!$O$3:$O$2000,(소재DB_RAW!$G$3:$G$2000=$D16)*ISNUMBER(SEARCH("겉감",소재DB_RAW!$M$3:$M$2000))))),"")</f>
        <v/>
      </c>
      <c r="Z16" s="26">
        <f>IFERROR(TEXTJOIN(CHAR(10),TRUE,UNIQUE(FILTER(소재DB_RAW!$N$3:$N$2000&amp;") "&amp;소재DB_RAW!$O$3:$O$2000,(소재DB_RAW!$G$3:$G$2000=$D16)*ISNUMBER(SEARCH("안감",소재DB_RAW!$M$3:$M$2000))))),"")</f>
        <v/>
      </c>
      <c r="AA16" s="27" t="n">
        <v>1100</v>
      </c>
      <c r="AB16" s="27" t="n">
        <v>61816700</v>
      </c>
      <c r="AC16" s="27" t="n">
        <v>297000000</v>
      </c>
      <c r="AD16" s="20" t="n"/>
      <c r="AE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F16" s="19">
        <f>IF($K16="","",IF(OR(LEFT($AE16,2)="작지",LEFT($AE16,4)="소재입고"),IF(LEFT($G16,1)="S","★ 납기위험(S코드)","◆ 지연주의"),IF($AE16="정상","✓ 정상","? 확인필요")))</f>
        <v/>
      </c>
      <c r="AG16" s="21" t="n"/>
      <c r="AH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21" t="inlineStr">
        <is>
          <t>O</t>
        </is>
      </c>
      <c r="R17" s="21" t="inlineStr">
        <is>
          <t>X</t>
        </is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>
        <f>IFERROR(TEXTJOIN(" / ",TRUE,UNIQUE(FILTER(소재DB_RAW!$K$3:$K$2000,소재DB_RAW!$G$3:$G$2000=$D17))),"")</f>
        <v/>
      </c>
      <c r="W17" s="20" t="inlineStr">
        <is>
          <t>베트남</t>
        </is>
      </c>
      <c r="X17" s="20">
        <f>IFERROR(TEXTJOIN(" / ",TRUE,UNIQUE(FILTER(소재DB_RAW!$N$3:$N$2000,소재DB_RAW!$G$3:$G$2000=$D17))),"")</f>
        <v/>
      </c>
      <c r="Y17" s="26">
        <f>IFERROR(TEXTJOIN(CHAR(10),TRUE,UNIQUE(FILTER(소재DB_RAW!$N$3:$N$2000&amp;") "&amp;소재DB_RAW!$O$3:$O$2000,(소재DB_RAW!$G$3:$G$2000=$D17)*ISNUMBER(SEARCH("겉감",소재DB_RAW!$M$3:$M$2000))))),"")</f>
        <v/>
      </c>
      <c r="Z17" s="26">
        <f>IFERROR(TEXTJOIN(CHAR(10),TRUE,UNIQUE(FILTER(소재DB_RAW!$N$3:$N$2000&amp;") "&amp;소재DB_RAW!$O$3:$O$2000,(소재DB_RAW!$G$3:$G$2000=$D17)*ISNUMBER(SEARCH("안감",소재DB_RAW!$M$3:$M$2000))))),"")</f>
        <v/>
      </c>
      <c r="AA17" s="27" t="n">
        <v>300</v>
      </c>
      <c r="AB17" s="27" t="n">
        <v>25478700</v>
      </c>
      <c r="AC17" s="27" t="n">
        <v>96000000</v>
      </c>
      <c r="AD17" s="20" t="n"/>
      <c r="AE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F17" s="19">
        <f>IF($K17="","",IF(OR(LEFT($AE17,2)="작지",LEFT($AE17,4)="소재입고"),IF(LEFT($G17,1)="S","★ 납기위험(S코드)","◆ 지연주의"),IF($AE17="정상","✓ 정상","? 확인필요")))</f>
        <v/>
      </c>
      <c r="AG17" s="21" t="n"/>
      <c r="AH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21" t="inlineStr">
        <is>
          <t>O</t>
        </is>
      </c>
      <c r="R18" s="21" t="inlineStr">
        <is>
          <t>X</t>
        </is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>
        <f>IFERROR(TEXTJOIN(" / ",TRUE,UNIQUE(FILTER(소재DB_RAW!$K$3:$K$2000,소재DB_RAW!$G$3:$G$2000=$D18))),"")</f>
        <v/>
      </c>
      <c r="W18" s="20" t="inlineStr">
        <is>
          <t>베트남</t>
        </is>
      </c>
      <c r="X18" s="20">
        <f>IFERROR(TEXTJOIN(" / ",TRUE,UNIQUE(FILTER(소재DB_RAW!$N$3:$N$2000,소재DB_RAW!$G$3:$G$2000=$D18))),"")</f>
        <v/>
      </c>
      <c r="Y18" s="26">
        <f>IFERROR(TEXTJOIN(CHAR(10),TRUE,UNIQUE(FILTER(소재DB_RAW!$N$3:$N$2000&amp;") "&amp;소재DB_RAW!$O$3:$O$2000,(소재DB_RAW!$G$3:$G$2000=$D18)*ISNUMBER(SEARCH("겉감",소재DB_RAW!$M$3:$M$2000))))),"")</f>
        <v/>
      </c>
      <c r="Z18" s="26">
        <f>IFERROR(TEXTJOIN(CHAR(10),TRUE,UNIQUE(FILTER(소재DB_RAW!$N$3:$N$2000&amp;") "&amp;소재DB_RAW!$O$3:$O$2000,(소재DB_RAW!$G$3:$G$2000=$D18)*ISNUMBER(SEARCH("안감",소재DB_RAW!$M$3:$M$2000))))),"")</f>
        <v/>
      </c>
      <c r="AA18" s="27" t="n">
        <v>300</v>
      </c>
      <c r="AB18" s="27" t="n">
        <v>8055900</v>
      </c>
      <c r="AC18" s="27" t="n">
        <v>41400000</v>
      </c>
      <c r="AD18" s="20" t="n"/>
      <c r="AE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F18" s="19">
        <f>IF($K18="","",IF(OR(LEFT($AE18,2)="작지",LEFT($AE18,4)="소재입고"),IF(LEFT($G18,1)="S","★ 납기위험(S코드)","◆ 지연주의"),IF($AE18="정상","✓ 정상","? 확인필요")))</f>
        <v/>
      </c>
      <c r="AG18" s="21" t="n"/>
      <c r="AH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21" t="inlineStr">
        <is>
          <t>O</t>
        </is>
      </c>
      <c r="R19" s="21" t="inlineStr">
        <is>
          <t>X</t>
        </is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>
        <f>IFERROR(TEXTJOIN(" / ",TRUE,UNIQUE(FILTER(소재DB_RAW!$K$3:$K$2000,소재DB_RAW!$G$3:$G$2000=$D19))),"")</f>
        <v/>
      </c>
      <c r="W19" s="20" t="inlineStr">
        <is>
          <t>중국</t>
        </is>
      </c>
      <c r="X19" s="20">
        <f>IFERROR(TEXTJOIN(" / ",TRUE,UNIQUE(FILTER(소재DB_RAW!$N$3:$N$2000,소재DB_RAW!$G$3:$G$2000=$D19))),"")</f>
        <v/>
      </c>
      <c r="Y19" s="26">
        <f>IFERROR(TEXTJOIN(CHAR(10),TRUE,UNIQUE(FILTER(소재DB_RAW!$N$3:$N$2000&amp;") "&amp;소재DB_RAW!$O$3:$O$2000,(소재DB_RAW!$G$3:$G$2000=$D19)*ISNUMBER(SEARCH("겉감",소재DB_RAW!$M$3:$M$2000))))),"")</f>
        <v/>
      </c>
      <c r="Z19" s="26">
        <f>IFERROR(TEXTJOIN(CHAR(10),TRUE,UNIQUE(FILTER(소재DB_RAW!$N$3:$N$2000&amp;") "&amp;소재DB_RAW!$O$3:$O$2000,(소재DB_RAW!$G$3:$G$2000=$D19)*ISNUMBER(SEARCH("안감",소재DB_RAW!$M$3:$M$2000))))),"")</f>
        <v/>
      </c>
      <c r="AA19" s="27" t="n">
        <v>8000</v>
      </c>
      <c r="AB19" s="27" t="n">
        <v>188464000</v>
      </c>
      <c r="AC19" s="27" t="n">
        <v>1024000000</v>
      </c>
      <c r="AD19" s="20" t="n"/>
      <c r="AE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F19" s="19">
        <f>IF($K19="","",IF(OR(LEFT($AE19,2)="작지",LEFT($AE19,4)="소재입고"),IF(LEFT($G19,1)="S","★ 납기위험(S코드)","◆ 지연주의"),IF($AE19="정상","✓ 정상","? 확인필요")))</f>
        <v/>
      </c>
      <c r="AG19" s="21" t="n"/>
      <c r="AH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21" t="inlineStr">
        <is>
          <t>O</t>
        </is>
      </c>
      <c r="R20" s="21" t="inlineStr">
        <is>
          <t>X</t>
        </is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>
        <f>IFERROR(TEXTJOIN(" / ",TRUE,UNIQUE(FILTER(소재DB_RAW!$K$3:$K$2000,소재DB_RAW!$G$3:$G$2000=$D20))),"")</f>
        <v/>
      </c>
      <c r="W20" s="20" t="inlineStr">
        <is>
          <t>베트남</t>
        </is>
      </c>
      <c r="X20" s="20">
        <f>IFERROR(TEXTJOIN(" / ",TRUE,UNIQUE(FILTER(소재DB_RAW!$N$3:$N$2000,소재DB_RAW!$G$3:$G$2000=$D20))),"")</f>
        <v/>
      </c>
      <c r="Y20" s="26">
        <f>IFERROR(TEXTJOIN(CHAR(10),TRUE,UNIQUE(FILTER(소재DB_RAW!$N$3:$N$2000&amp;") "&amp;소재DB_RAW!$O$3:$O$2000,(소재DB_RAW!$G$3:$G$2000=$D20)*ISNUMBER(SEARCH("겉감",소재DB_RAW!$M$3:$M$2000))))),"")</f>
        <v/>
      </c>
      <c r="Z20" s="26">
        <f>IFERROR(TEXTJOIN(CHAR(10),TRUE,UNIQUE(FILTER(소재DB_RAW!$N$3:$N$2000&amp;") "&amp;소재DB_RAW!$O$3:$O$2000,(소재DB_RAW!$G$3:$G$2000=$D20)*ISNUMBER(SEARCH("안감",소재DB_RAW!$M$3:$M$2000))))),"")</f>
        <v/>
      </c>
      <c r="AA20" s="27" t="n">
        <v>2000</v>
      </c>
      <c r="AB20" s="27" t="n">
        <v>106628000</v>
      </c>
      <c r="AC20" s="27" t="n">
        <v>440000000</v>
      </c>
      <c r="AD20" s="20" t="inlineStr">
        <is>
          <t>1월2주</t>
        </is>
      </c>
      <c r="AE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F20" s="19">
        <f>IF($K20="","",IF(OR(LEFT($AE20,2)="작지",LEFT($AE20,4)="소재입고"),IF(LEFT($G20,1)="S","★ 납기위험(S코드)","◆ 지연주의"),IF($AE20="정상","✓ 정상","? 확인필요")))</f>
        <v/>
      </c>
      <c r="AG20" s="21" t="n"/>
      <c r="AH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21" t="inlineStr">
        <is>
          <t>O</t>
        </is>
      </c>
      <c r="R21" s="21" t="inlineStr">
        <is>
          <t>X</t>
        </is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>
        <f>IFERROR(TEXTJOIN(" / ",TRUE,UNIQUE(FILTER(소재DB_RAW!$K$3:$K$2000,소재DB_RAW!$G$3:$G$2000=$D21))),"")</f>
        <v/>
      </c>
      <c r="W21" s="20" t="inlineStr">
        <is>
          <t>베트남</t>
        </is>
      </c>
      <c r="X21" s="20">
        <f>IFERROR(TEXTJOIN(" / ",TRUE,UNIQUE(FILTER(소재DB_RAW!$N$3:$N$2000,소재DB_RAW!$G$3:$G$2000=$D21))),"")</f>
        <v/>
      </c>
      <c r="Y21" s="26">
        <f>IFERROR(TEXTJOIN(CHAR(10),TRUE,UNIQUE(FILTER(소재DB_RAW!$N$3:$N$2000&amp;") "&amp;소재DB_RAW!$O$3:$O$2000,(소재DB_RAW!$G$3:$G$2000=$D21)*ISNUMBER(SEARCH("겉감",소재DB_RAW!$M$3:$M$2000))))),"")</f>
        <v/>
      </c>
      <c r="Z21" s="26">
        <f>IFERROR(TEXTJOIN(CHAR(10),TRUE,UNIQUE(FILTER(소재DB_RAW!$N$3:$N$2000&amp;") "&amp;소재DB_RAW!$O$3:$O$2000,(소재DB_RAW!$G$3:$G$2000=$D21)*ISNUMBER(SEARCH("안감",소재DB_RAW!$M$3:$M$2000))))),"")</f>
        <v/>
      </c>
      <c r="AA21" s="27" t="n">
        <v>3700</v>
      </c>
      <c r="AB21" s="27" t="n">
        <v>81736700</v>
      </c>
      <c r="AC21" s="27" t="n">
        <v>473600000</v>
      </c>
      <c r="AD21" s="20" t="n"/>
      <c r="AE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F21" s="19">
        <f>IF($K21="","",IF(OR(LEFT($AE21,2)="작지",LEFT($AE21,4)="소재입고"),IF(LEFT($G21,1)="S","★ 납기위험(S코드)","◆ 지연주의"),IF($AE21="정상","✓ 정상","? 확인필요")))</f>
        <v/>
      </c>
      <c r="AG21" s="21" t="n"/>
      <c r="AH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21" t="inlineStr">
        <is>
          <t>O</t>
        </is>
      </c>
      <c r="R22" s="21" t="inlineStr">
        <is>
          <t>X</t>
        </is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>
        <f>IFERROR(TEXTJOIN(" / ",TRUE,UNIQUE(FILTER(소재DB_RAW!$K$3:$K$2000,소재DB_RAW!$G$3:$G$2000=$D22))),"")</f>
        <v/>
      </c>
      <c r="W22" s="20" t="inlineStr">
        <is>
          <t>베트남</t>
        </is>
      </c>
      <c r="X22" s="20">
        <f>IFERROR(TEXTJOIN(" / ",TRUE,UNIQUE(FILTER(소재DB_RAW!$N$3:$N$2000,소재DB_RAW!$G$3:$G$2000=$D22))),"")</f>
        <v/>
      </c>
      <c r="Y22" s="26">
        <f>IFERROR(TEXTJOIN(CHAR(10),TRUE,UNIQUE(FILTER(소재DB_RAW!$N$3:$N$2000&amp;") "&amp;소재DB_RAW!$O$3:$O$2000,(소재DB_RAW!$G$3:$G$2000=$D22)*ISNUMBER(SEARCH("겉감",소재DB_RAW!$M$3:$M$2000))))),"")</f>
        <v/>
      </c>
      <c r="Z22" s="26">
        <f>IFERROR(TEXTJOIN(CHAR(10),TRUE,UNIQUE(FILTER(소재DB_RAW!$N$3:$N$2000&amp;") "&amp;소재DB_RAW!$O$3:$O$2000,(소재DB_RAW!$G$3:$G$2000=$D22)*ISNUMBER(SEARCH("안감",소재DB_RAW!$M$3:$M$2000))))),"")</f>
        <v/>
      </c>
      <c r="AA22" s="27" t="n">
        <v>1200</v>
      </c>
      <c r="AB22" s="27" t="n">
        <v>58612800</v>
      </c>
      <c r="AC22" s="27" t="n">
        <v>237600000</v>
      </c>
      <c r="AD22" s="20" t="inlineStr">
        <is>
          <t>1월2주</t>
        </is>
      </c>
      <c r="AE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F22" s="19">
        <f>IF($K22="","",IF(OR(LEFT($AE22,2)="작지",LEFT($AE22,4)="소재입고"),IF(LEFT($G22,1)="S","★ 납기위험(S코드)","◆ 지연주의"),IF($AE22="정상","✓ 정상","? 확인필요")))</f>
        <v/>
      </c>
      <c r="AG22" s="21" t="n"/>
      <c r="AH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21" t="inlineStr">
        <is>
          <t>X</t>
        </is>
      </c>
      <c r="R23" s="21" t="inlineStr">
        <is>
          <t>X</t>
        </is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>
        <f>IFERROR(TEXTJOIN(" / ",TRUE,UNIQUE(FILTER(소재DB_RAW!$K$3:$K$2000,소재DB_RAW!$G$3:$G$2000=$D23))),"")</f>
        <v/>
      </c>
      <c r="W23" s="20" t="inlineStr">
        <is>
          <t>베트남</t>
        </is>
      </c>
      <c r="X23" s="20">
        <f>IFERROR(TEXTJOIN(" / ",TRUE,UNIQUE(FILTER(소재DB_RAW!$N$3:$N$2000,소재DB_RAW!$G$3:$G$2000=$D23))),"")</f>
        <v/>
      </c>
      <c r="Y23" s="26">
        <f>IFERROR(TEXTJOIN(CHAR(10),TRUE,UNIQUE(FILTER(소재DB_RAW!$N$3:$N$2000&amp;") "&amp;소재DB_RAW!$O$3:$O$2000,(소재DB_RAW!$G$3:$G$2000=$D23)*ISNUMBER(SEARCH("겉감",소재DB_RAW!$M$3:$M$2000))))),"")</f>
        <v/>
      </c>
      <c r="Z23" s="26">
        <f>IFERROR(TEXTJOIN(CHAR(10),TRUE,UNIQUE(FILTER(소재DB_RAW!$N$3:$N$2000&amp;") "&amp;소재DB_RAW!$O$3:$O$2000,(소재DB_RAW!$G$3:$G$2000=$D23)*ISNUMBER(SEARCH("안감",소재DB_RAW!$M$3:$M$2000))))),"")</f>
        <v/>
      </c>
      <c r="AA23" s="27" t="n">
        <v>0</v>
      </c>
      <c r="AB23" s="27" t="n">
        <v>64250000</v>
      </c>
      <c r="AC23" s="27" t="n">
        <v>180000000</v>
      </c>
      <c r="AD23" s="20" t="n"/>
      <c r="AE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F23" s="19">
        <f>IF($K23="","",IF(OR(LEFT($AE23,2)="작지",LEFT($AE23,4)="소재입고"),IF(LEFT($G23,1)="S","★ 납기위험(S코드)","◆ 지연주의"),IF($AE23="정상","✓ 정상","? 확인필요")))</f>
        <v/>
      </c>
      <c r="AG23" s="21" t="n"/>
      <c r="AH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21" t="inlineStr">
        <is>
          <t>X</t>
        </is>
      </c>
      <c r="R24" s="21" t="inlineStr">
        <is>
          <t>X</t>
        </is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>
        <f>IFERROR(TEXTJOIN(" / ",TRUE,UNIQUE(FILTER(소재DB_RAW!$K$3:$K$2000,소재DB_RAW!$G$3:$G$2000=$D24))),"")</f>
        <v/>
      </c>
      <c r="W24" s="20" t="inlineStr">
        <is>
          <t>베트남</t>
        </is>
      </c>
      <c r="X24" s="20">
        <f>IFERROR(TEXTJOIN(" / ",TRUE,UNIQUE(FILTER(소재DB_RAW!$N$3:$N$2000,소재DB_RAW!$G$3:$G$2000=$D24))),"")</f>
        <v/>
      </c>
      <c r="Y24" s="26">
        <f>IFERROR(TEXTJOIN(CHAR(10),TRUE,UNIQUE(FILTER(소재DB_RAW!$N$3:$N$2000&amp;") "&amp;소재DB_RAW!$O$3:$O$2000,(소재DB_RAW!$G$3:$G$2000=$D24)*ISNUMBER(SEARCH("겉감",소재DB_RAW!$M$3:$M$2000))))),"")</f>
        <v/>
      </c>
      <c r="Z24" s="26">
        <f>IFERROR(TEXTJOIN(CHAR(10),TRUE,UNIQUE(FILTER(소재DB_RAW!$N$3:$N$2000&amp;") "&amp;소재DB_RAW!$O$3:$O$2000,(소재DB_RAW!$G$3:$G$2000=$D24)*ISNUMBER(SEARCH("안감",소재DB_RAW!$M$3:$M$2000))))),"")</f>
        <v/>
      </c>
      <c r="AA24" s="27" t="n">
        <v>0</v>
      </c>
      <c r="AB24" s="27" t="n">
        <v>34930000</v>
      </c>
      <c r="AC24" s="27" t="n">
        <v>87500000</v>
      </c>
      <c r="AD24" s="20" t="n"/>
      <c r="AE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F24" s="19">
        <f>IF($K24="","",IF(OR(LEFT($AE24,2)="작지",LEFT($AE24,4)="소재입고"),IF(LEFT($G24,1)="S","★ 납기위험(S코드)","◆ 지연주의"),IF($AE24="정상","✓ 정상","? 확인필요")))</f>
        <v/>
      </c>
      <c r="AG24" s="21" t="n"/>
      <c r="AH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21" t="inlineStr">
        <is>
          <t>X</t>
        </is>
      </c>
      <c r="R25" s="21" t="inlineStr">
        <is>
          <t>X</t>
        </is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>
        <f>IFERROR(TEXTJOIN(" / ",TRUE,UNIQUE(FILTER(소재DB_RAW!$K$3:$K$2000,소재DB_RAW!$G$3:$G$2000=$D25))),"")</f>
        <v/>
      </c>
      <c r="W25" s="20" t="inlineStr">
        <is>
          <t>베트남</t>
        </is>
      </c>
      <c r="X25" s="20">
        <f>IFERROR(TEXTJOIN(" / ",TRUE,UNIQUE(FILTER(소재DB_RAW!$N$3:$N$2000,소재DB_RAW!$G$3:$G$2000=$D25))),"")</f>
        <v/>
      </c>
      <c r="Y25" s="26">
        <f>IFERROR(TEXTJOIN(CHAR(10),TRUE,UNIQUE(FILTER(소재DB_RAW!$N$3:$N$2000&amp;") "&amp;소재DB_RAW!$O$3:$O$2000,(소재DB_RAW!$G$3:$G$2000=$D25)*ISNUMBER(SEARCH("겉감",소재DB_RAW!$M$3:$M$2000))))),"")</f>
        <v/>
      </c>
      <c r="Z25" s="26">
        <f>IFERROR(TEXTJOIN(CHAR(10),TRUE,UNIQUE(FILTER(소재DB_RAW!$N$3:$N$2000&amp;") "&amp;소재DB_RAW!$O$3:$O$2000,(소재DB_RAW!$G$3:$G$2000=$D25)*ISNUMBER(SEARCH("안감",소재DB_RAW!$M$3:$M$2000))))),"")</f>
        <v/>
      </c>
      <c r="AA25" s="27" t="n">
        <v>0</v>
      </c>
      <c r="AB25" s="27" t="n">
        <v>56850000</v>
      </c>
      <c r="AC25" s="27" t="n">
        <v>180000000</v>
      </c>
      <c r="AD25" s="20" t="n"/>
      <c r="AE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F25" s="19">
        <f>IF($K25="","",IF(OR(LEFT($AE25,2)="작지",LEFT($AE25,4)="소재입고"),IF(LEFT($G25,1)="S","★ 납기위험(S코드)","◆ 지연주의"),IF($AE25="정상","✓ 정상","? 확인필요")))</f>
        <v/>
      </c>
      <c r="AG25" s="21" t="n"/>
      <c r="AH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21" t="inlineStr">
        <is>
          <t>X</t>
        </is>
      </c>
      <c r="R26" s="21" t="inlineStr">
        <is>
          <t>X</t>
        </is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>
        <f>IFERROR(TEXTJOIN(" / ",TRUE,UNIQUE(FILTER(소재DB_RAW!$K$3:$K$2000,소재DB_RAW!$G$3:$G$2000=$D26))),"")</f>
        <v/>
      </c>
      <c r="W26" s="20" t="inlineStr">
        <is>
          <t>베트남</t>
        </is>
      </c>
      <c r="X26" s="20">
        <f>IFERROR(TEXTJOIN(" / ",TRUE,UNIQUE(FILTER(소재DB_RAW!$N$3:$N$2000,소재DB_RAW!$G$3:$G$2000=$D26))),"")</f>
        <v/>
      </c>
      <c r="Y26" s="26">
        <f>IFERROR(TEXTJOIN(CHAR(10),TRUE,UNIQUE(FILTER(소재DB_RAW!$N$3:$N$2000&amp;") "&amp;소재DB_RAW!$O$3:$O$2000,(소재DB_RAW!$G$3:$G$2000=$D26)*ISNUMBER(SEARCH("겉감",소재DB_RAW!$M$3:$M$2000))))),"")</f>
        <v/>
      </c>
      <c r="Z26" s="26">
        <f>IFERROR(TEXTJOIN(CHAR(10),TRUE,UNIQUE(FILTER(소재DB_RAW!$N$3:$N$2000&amp;") "&amp;소재DB_RAW!$O$3:$O$2000,(소재DB_RAW!$G$3:$G$2000=$D26)*ISNUMBER(SEARCH("안감",소재DB_RAW!$M$3:$M$2000))))),"")</f>
        <v/>
      </c>
      <c r="AA26" s="27" t="n">
        <v>0</v>
      </c>
      <c r="AB26" s="27" t="n">
        <v>44500000</v>
      </c>
      <c r="AC26" s="27" t="n">
        <v>125000000</v>
      </c>
      <c r="AD26" s="20" t="n"/>
      <c r="AE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F26" s="19">
        <f>IF($K26="","",IF(OR(LEFT($AE26,2)="작지",LEFT($AE26,4)="소재입고"),IF(LEFT($G26,1)="S","★ 납기위험(S코드)","◆ 지연주의"),IF($AE26="정상","✓ 정상","? 확인필요")))</f>
        <v/>
      </c>
      <c r="AG26" s="21" t="n"/>
      <c r="AH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21" t="inlineStr">
        <is>
          <t>X</t>
        </is>
      </c>
      <c r="R27" s="21" t="inlineStr">
        <is>
          <t>X</t>
        </is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>
        <f>IFERROR(TEXTJOIN(" / ",TRUE,UNIQUE(FILTER(소재DB_RAW!$K$3:$K$2000,소재DB_RAW!$G$3:$G$2000=$D27))),"")</f>
        <v/>
      </c>
      <c r="W27" s="20" t="inlineStr">
        <is>
          <t>베트남</t>
        </is>
      </c>
      <c r="X27" s="20">
        <f>IFERROR(TEXTJOIN(" / ",TRUE,UNIQUE(FILTER(소재DB_RAW!$N$3:$N$2000,소재DB_RAW!$G$3:$G$2000=$D27))),"")</f>
        <v/>
      </c>
      <c r="Y27" s="26">
        <f>IFERROR(TEXTJOIN(CHAR(10),TRUE,UNIQUE(FILTER(소재DB_RAW!$N$3:$N$2000&amp;") "&amp;소재DB_RAW!$O$3:$O$2000,(소재DB_RAW!$G$3:$G$2000=$D27)*ISNUMBER(SEARCH("겉감",소재DB_RAW!$M$3:$M$2000))))),"")</f>
        <v/>
      </c>
      <c r="Z27" s="26">
        <f>IFERROR(TEXTJOIN(CHAR(10),TRUE,UNIQUE(FILTER(소재DB_RAW!$N$3:$N$2000&amp;") "&amp;소재DB_RAW!$O$3:$O$2000,(소재DB_RAW!$G$3:$G$2000=$D27)*ISNUMBER(SEARCH("안감",소재DB_RAW!$M$3:$M$2000))))),"")</f>
        <v/>
      </c>
      <c r="AA27" s="27" t="n">
        <v>0</v>
      </c>
      <c r="AB27" s="27" t="n">
        <v>2558824</v>
      </c>
      <c r="AC27" s="27" t="n">
        <v>8700000</v>
      </c>
      <c r="AD27" s="20" t="n"/>
      <c r="AE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F27" s="19">
        <f>IF($K27="","",IF(OR(LEFT($AE27,2)="작지",LEFT($AE27,4)="소재입고"),IF(LEFT($G27,1)="S","★ 납기위험(S코드)","◆ 지연주의"),IF($AE27="정상","✓ 정상","? 확인필요")))</f>
        <v/>
      </c>
      <c r="AG27" s="21" t="n"/>
      <c r="AH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21" t="inlineStr">
        <is>
          <t>X</t>
        </is>
      </c>
      <c r="R28" s="21" t="inlineStr">
        <is>
          <t>X</t>
        </is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>
        <f>IFERROR(TEXTJOIN(" / ",TRUE,UNIQUE(FILTER(소재DB_RAW!$K$3:$K$2000,소재DB_RAW!$G$3:$G$2000=$D28))),"")</f>
        <v/>
      </c>
      <c r="W28" s="20" t="inlineStr">
        <is>
          <t>국내</t>
        </is>
      </c>
      <c r="X28" s="20">
        <f>IFERROR(TEXTJOIN(" / ",TRUE,UNIQUE(FILTER(소재DB_RAW!$N$3:$N$2000,소재DB_RAW!$G$3:$G$2000=$D28))),"")</f>
        <v/>
      </c>
      <c r="Y28" s="26">
        <f>IFERROR(TEXTJOIN(CHAR(10),TRUE,UNIQUE(FILTER(소재DB_RAW!$N$3:$N$2000&amp;") "&amp;소재DB_RAW!$O$3:$O$2000,(소재DB_RAW!$G$3:$G$2000=$D28)*ISNUMBER(SEARCH("겉감",소재DB_RAW!$M$3:$M$2000))))),"")</f>
        <v/>
      </c>
      <c r="Z28" s="26">
        <f>IFERROR(TEXTJOIN(CHAR(10),TRUE,UNIQUE(FILTER(소재DB_RAW!$N$3:$N$2000&amp;") "&amp;소재DB_RAW!$O$3:$O$2000,(소재DB_RAW!$G$3:$G$2000=$D28)*ISNUMBER(SEARCH("안감",소재DB_RAW!$M$3:$M$2000))))),"")</f>
        <v/>
      </c>
      <c r="AA28" s="27" t="n">
        <v>0</v>
      </c>
      <c r="AB28" s="27" t="n">
        <v>2647059</v>
      </c>
      <c r="AC28" s="27" t="n">
        <v>9000000</v>
      </c>
      <c r="AD28" s="20" t="n"/>
      <c r="AE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F28" s="19">
        <f>IF($K28="","",IF(OR(LEFT($AE28,2)="작지",LEFT($AE28,4)="소재입고"),IF(LEFT($G28,1)="S","★ 납기위험(S코드)","◆ 지연주의"),IF($AE28="정상","✓ 정상","? 확인필요")))</f>
        <v/>
      </c>
      <c r="AG28" s="21" t="n"/>
      <c r="AH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21" t="inlineStr">
        <is>
          <t>X</t>
        </is>
      </c>
      <c r="R29" s="21" t="inlineStr">
        <is>
          <t>X</t>
        </is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>
        <f>IFERROR(TEXTJOIN(" / ",TRUE,UNIQUE(FILTER(소재DB_RAW!$K$3:$K$2000,소재DB_RAW!$G$3:$G$2000=$D29))),"")</f>
        <v/>
      </c>
      <c r="W29" s="20" t="inlineStr">
        <is>
          <t>베트남</t>
        </is>
      </c>
      <c r="X29" s="20">
        <f>IFERROR(TEXTJOIN(" / ",TRUE,UNIQUE(FILTER(소재DB_RAW!$N$3:$N$2000,소재DB_RAW!$G$3:$G$2000=$D29))),"")</f>
        <v/>
      </c>
      <c r="Y29" s="26">
        <f>IFERROR(TEXTJOIN(CHAR(10),TRUE,UNIQUE(FILTER(소재DB_RAW!$N$3:$N$2000&amp;") "&amp;소재DB_RAW!$O$3:$O$2000,(소재DB_RAW!$G$3:$G$2000=$D29)*ISNUMBER(SEARCH("겉감",소재DB_RAW!$M$3:$M$2000))))),"")</f>
        <v/>
      </c>
      <c r="Z29" s="26">
        <f>IFERROR(TEXTJOIN(CHAR(10),TRUE,UNIQUE(FILTER(소재DB_RAW!$N$3:$N$2000&amp;") "&amp;소재DB_RAW!$O$3:$O$2000,(소재DB_RAW!$G$3:$G$2000=$D29)*ISNUMBER(SEARCH("안감",소재DB_RAW!$M$3:$M$2000))))),"")</f>
        <v/>
      </c>
      <c r="AA29" s="27" t="n">
        <v>0</v>
      </c>
      <c r="AB29" s="27" t="n">
        <v>5735294</v>
      </c>
      <c r="AC29" s="27" t="n">
        <v>19500000</v>
      </c>
      <c r="AD29" s="20" t="n"/>
      <c r="AE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F29" s="19">
        <f>IF($K29="","",IF(OR(LEFT($AE29,2)="작지",LEFT($AE29,4)="소재입고"),IF(LEFT($G29,1)="S","★ 납기위험(S코드)","◆ 지연주의"),IF($AE29="정상","✓ 정상","? 확인필요")))</f>
        <v/>
      </c>
      <c r="AG29" s="21" t="n"/>
      <c r="AH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21" t="inlineStr">
        <is>
          <t>X</t>
        </is>
      </c>
      <c r="R30" s="21" t="inlineStr">
        <is>
          <t>X</t>
        </is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>
        <f>IFERROR(TEXTJOIN(" / ",TRUE,UNIQUE(FILTER(소재DB_RAW!$K$3:$K$2000,소재DB_RAW!$G$3:$G$2000=$D30))),"")</f>
        <v/>
      </c>
      <c r="W30" s="20" t="inlineStr">
        <is>
          <t>베트남</t>
        </is>
      </c>
      <c r="X30" s="20">
        <f>IFERROR(TEXTJOIN(" / ",TRUE,UNIQUE(FILTER(소재DB_RAW!$N$3:$N$2000,소재DB_RAW!$G$3:$G$2000=$D30))),"")</f>
        <v/>
      </c>
      <c r="Y30" s="26">
        <f>IFERROR(TEXTJOIN(CHAR(10),TRUE,UNIQUE(FILTER(소재DB_RAW!$N$3:$N$2000&amp;") "&amp;소재DB_RAW!$O$3:$O$2000,(소재DB_RAW!$G$3:$G$2000=$D30)*ISNUMBER(SEARCH("겉감",소재DB_RAW!$M$3:$M$2000))))),"")</f>
        <v/>
      </c>
      <c r="Z30" s="26">
        <f>IFERROR(TEXTJOIN(CHAR(10),TRUE,UNIQUE(FILTER(소재DB_RAW!$N$3:$N$2000&amp;") "&amp;소재DB_RAW!$O$3:$O$2000,(소재DB_RAW!$G$3:$G$2000=$D30)*ISNUMBER(SEARCH("안감",소재DB_RAW!$M$3:$M$2000))))),"")</f>
        <v/>
      </c>
      <c r="AA30" s="27" t="n">
        <v>0</v>
      </c>
      <c r="AB30" s="27" t="n">
        <v>6000000</v>
      </c>
      <c r="AC30" s="27" t="n">
        <v>20400000</v>
      </c>
      <c r="AD30" s="20" t="n"/>
      <c r="AE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F30" s="19">
        <f>IF($K30="","",IF(OR(LEFT($AE30,2)="작지",LEFT($AE30,4)="소재입고"),IF(LEFT($G30,1)="S","★ 납기위험(S코드)","◆ 지연주의"),IF($AE30="정상","✓ 정상","? 확인필요")))</f>
        <v/>
      </c>
      <c r="AG30" s="21" t="n"/>
      <c r="AH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21" t="inlineStr">
        <is>
          <t>X</t>
        </is>
      </c>
      <c r="R31" s="21" t="inlineStr">
        <is>
          <t>X</t>
        </is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>
        <f>IFERROR(TEXTJOIN(" / ",TRUE,UNIQUE(FILTER(소재DB_RAW!$K$3:$K$2000,소재DB_RAW!$G$3:$G$2000=$D31))),"")</f>
        <v/>
      </c>
      <c r="W31" s="20" t="inlineStr">
        <is>
          <t>베트남</t>
        </is>
      </c>
      <c r="X31" s="20">
        <f>IFERROR(TEXTJOIN(" / ",TRUE,UNIQUE(FILTER(소재DB_RAW!$N$3:$N$2000,소재DB_RAW!$G$3:$G$2000=$D31))),"")</f>
        <v/>
      </c>
      <c r="Y31" s="26">
        <f>IFERROR(TEXTJOIN(CHAR(10),TRUE,UNIQUE(FILTER(소재DB_RAW!$N$3:$N$2000&amp;") "&amp;소재DB_RAW!$O$3:$O$2000,(소재DB_RAW!$G$3:$G$2000=$D31)*ISNUMBER(SEARCH("겉감",소재DB_RAW!$M$3:$M$2000))))),"")</f>
        <v/>
      </c>
      <c r="Z31" s="26">
        <f>IFERROR(TEXTJOIN(CHAR(10),TRUE,UNIQUE(FILTER(소재DB_RAW!$N$3:$N$2000&amp;") "&amp;소재DB_RAW!$O$3:$O$2000,(소재DB_RAW!$G$3:$G$2000=$D31)*ISNUMBER(SEARCH("안감",소재DB_RAW!$M$3:$M$2000))))),"")</f>
        <v/>
      </c>
      <c r="AA31" s="27" t="n">
        <v>0</v>
      </c>
      <c r="AB31" s="27" t="n">
        <v>5735294</v>
      </c>
      <c r="AC31" s="27" t="n">
        <v>19500000</v>
      </c>
      <c r="AD31" s="20" t="n"/>
      <c r="AE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F31" s="19">
        <f>IF($K31="","",IF(OR(LEFT($AE31,2)="작지",LEFT($AE31,4)="소재입고"),IF(LEFT($G31,1)="S","★ 납기위험(S코드)","◆ 지연주의"),IF($AE31="정상","✓ 정상","? 확인필요")))</f>
        <v/>
      </c>
      <c r="AG31" s="21" t="n"/>
      <c r="AH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21" t="inlineStr">
        <is>
          <t>X</t>
        </is>
      </c>
      <c r="R32" s="21" t="inlineStr">
        <is>
          <t>X</t>
        </is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>
        <f>IFERROR(TEXTJOIN(" / ",TRUE,UNIQUE(FILTER(소재DB_RAW!$K$3:$K$2000,소재DB_RAW!$G$3:$G$2000=$D32))),"")</f>
        <v/>
      </c>
      <c r="W32" s="20" t="inlineStr">
        <is>
          <t>베트남</t>
        </is>
      </c>
      <c r="X32" s="20">
        <f>IFERROR(TEXTJOIN(" / ",TRUE,UNIQUE(FILTER(소재DB_RAW!$N$3:$N$2000,소재DB_RAW!$G$3:$G$2000=$D32))),"")</f>
        <v/>
      </c>
      <c r="Y32" s="26">
        <f>IFERROR(TEXTJOIN(CHAR(10),TRUE,UNIQUE(FILTER(소재DB_RAW!$N$3:$N$2000&amp;") "&amp;소재DB_RAW!$O$3:$O$2000,(소재DB_RAW!$G$3:$G$2000=$D32)*ISNUMBER(SEARCH("겉감",소재DB_RAW!$M$3:$M$2000))))),"")</f>
        <v/>
      </c>
      <c r="Z32" s="26">
        <f>IFERROR(TEXTJOIN(CHAR(10),TRUE,UNIQUE(FILTER(소재DB_RAW!$N$3:$N$2000&amp;") "&amp;소재DB_RAW!$O$3:$O$2000,(소재DB_RAW!$G$3:$G$2000=$D32)*ISNUMBER(SEARCH("안감",소재DB_RAW!$M$3:$M$2000))))),"")</f>
        <v/>
      </c>
      <c r="AA32" s="27" t="n">
        <v>0</v>
      </c>
      <c r="AB32" s="27" t="n">
        <v>13764706</v>
      </c>
      <c r="AC32" s="27" t="n">
        <v>46800000</v>
      </c>
      <c r="AD32" s="20" t="n"/>
      <c r="AE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F32" s="19">
        <f>IF($K32="","",IF(OR(LEFT($AE32,2)="작지",LEFT($AE32,4)="소재입고"),IF(LEFT($G32,1)="S","★ 납기위험(S코드)","◆ 지연주의"),IF($AE32="정상","✓ 정상","? 확인필요")))</f>
        <v/>
      </c>
      <c r="AG32" s="21" t="n"/>
      <c r="AH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21" t="inlineStr">
        <is>
          <t>X</t>
        </is>
      </c>
      <c r="R33" s="21" t="n"/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>
        <f>IFERROR(TEXTJOIN(" / ",TRUE,UNIQUE(FILTER(소재DB_RAW!$K$3:$K$2000,소재DB_RAW!$G$3:$G$2000=$D33))),"")</f>
        <v/>
      </c>
      <c r="W33" s="20" t="inlineStr">
        <is>
          <t>베트남</t>
        </is>
      </c>
      <c r="X33" s="20">
        <f>IFERROR(TEXTJOIN(" / ",TRUE,UNIQUE(FILTER(소재DB_RAW!$N$3:$N$2000,소재DB_RAW!$G$3:$G$2000=$D33))),"")</f>
        <v/>
      </c>
      <c r="Y33" s="26">
        <f>IFERROR(TEXTJOIN(CHAR(10),TRUE,UNIQUE(FILTER(소재DB_RAW!$N$3:$N$2000&amp;") "&amp;소재DB_RAW!$O$3:$O$2000,(소재DB_RAW!$G$3:$G$2000=$D33)*ISNUMBER(SEARCH("겉감",소재DB_RAW!$M$3:$M$2000))))),"")</f>
        <v/>
      </c>
      <c r="Z33" s="26">
        <f>IFERROR(TEXTJOIN(CHAR(10),TRUE,UNIQUE(FILTER(소재DB_RAW!$N$3:$N$2000&amp;") "&amp;소재DB_RAW!$O$3:$O$2000,(소재DB_RAW!$G$3:$G$2000=$D33)*ISNUMBER(SEARCH("안감",소재DB_RAW!$M$3:$M$2000))))),"")</f>
        <v/>
      </c>
      <c r="AA33" s="27" t="n">
        <v>0</v>
      </c>
      <c r="AB33" s="27" t="n">
        <v>0</v>
      </c>
      <c r="AC33" s="27" t="n">
        <v>0</v>
      </c>
      <c r="AD33" s="20" t="n"/>
      <c r="AE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F33" s="19">
        <f>IF($K33="","",IF(OR(LEFT($AE33,2)="작지",LEFT($AE33,4)="소재입고"),IF(LEFT($G33,1)="S","★ 납기위험(S코드)","◆ 지연주의"),IF($AE33="정상","✓ 정상","? 확인필요")))</f>
        <v/>
      </c>
      <c r="AG33" s="21" t="n"/>
      <c r="AH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21" t="inlineStr">
        <is>
          <t>X</t>
        </is>
      </c>
      <c r="R34" s="21" t="inlineStr">
        <is>
          <t>X</t>
        </is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>
        <f>IFERROR(TEXTJOIN(" / ",TRUE,UNIQUE(FILTER(소재DB_RAW!$K$3:$K$2000,소재DB_RAW!$G$3:$G$2000=$D34))),"")</f>
        <v/>
      </c>
      <c r="W34" s="20" t="inlineStr">
        <is>
          <t>베트남</t>
        </is>
      </c>
      <c r="X34" s="20">
        <f>IFERROR(TEXTJOIN(" / ",TRUE,UNIQUE(FILTER(소재DB_RAW!$N$3:$N$2000,소재DB_RAW!$G$3:$G$2000=$D34))),"")</f>
        <v/>
      </c>
      <c r="Y34" s="26">
        <f>IFERROR(TEXTJOIN(CHAR(10),TRUE,UNIQUE(FILTER(소재DB_RAW!$N$3:$N$2000&amp;") "&amp;소재DB_RAW!$O$3:$O$2000,(소재DB_RAW!$G$3:$G$2000=$D34)*ISNUMBER(SEARCH("겉감",소재DB_RAW!$M$3:$M$2000))))),"")</f>
        <v/>
      </c>
      <c r="Z34" s="26">
        <f>IFERROR(TEXTJOIN(CHAR(10),TRUE,UNIQUE(FILTER(소재DB_RAW!$N$3:$N$2000&amp;") "&amp;소재DB_RAW!$O$3:$O$2000,(소재DB_RAW!$G$3:$G$2000=$D34)*ISNUMBER(SEARCH("안감",소재DB_RAW!$M$3:$M$2000))))),"")</f>
        <v/>
      </c>
      <c r="AA34" s="27" t="n">
        <v>0</v>
      </c>
      <c r="AB34" s="27" t="n">
        <v>39819200</v>
      </c>
      <c r="AC34" s="27" t="n">
        <v>140000000</v>
      </c>
      <c r="AD34" s="20" t="n"/>
      <c r="AE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F34" s="19">
        <f>IF($K34="","",IF(OR(LEFT($AE34,2)="작지",LEFT($AE34,4)="소재입고"),IF(LEFT($G34,1)="S","★ 납기위험(S코드)","◆ 지연주의"),IF($AE34="정상","✓ 정상","? 확인필요")))</f>
        <v/>
      </c>
      <c r="AG34" s="21" t="n"/>
      <c r="AH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21" t="inlineStr">
        <is>
          <t>X</t>
        </is>
      </c>
      <c r="R35" s="21" t="inlineStr">
        <is>
          <t>X</t>
        </is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>
        <f>IFERROR(TEXTJOIN(" / ",TRUE,UNIQUE(FILTER(소재DB_RAW!$K$3:$K$2000,소재DB_RAW!$G$3:$G$2000=$D35))),"")</f>
        <v/>
      </c>
      <c r="W35" s="20" t="inlineStr">
        <is>
          <t>베트남</t>
        </is>
      </c>
      <c r="X35" s="20">
        <f>IFERROR(TEXTJOIN(" / ",TRUE,UNIQUE(FILTER(소재DB_RAW!$N$3:$N$2000,소재DB_RAW!$G$3:$G$2000=$D35))),"")</f>
        <v/>
      </c>
      <c r="Y35" s="26">
        <f>IFERROR(TEXTJOIN(CHAR(10),TRUE,UNIQUE(FILTER(소재DB_RAW!$N$3:$N$2000&amp;") "&amp;소재DB_RAW!$O$3:$O$2000,(소재DB_RAW!$G$3:$G$2000=$D35)*ISNUMBER(SEARCH("겉감",소재DB_RAW!$M$3:$M$2000))))),"")</f>
        <v/>
      </c>
      <c r="Z35" s="26">
        <f>IFERROR(TEXTJOIN(CHAR(10),TRUE,UNIQUE(FILTER(소재DB_RAW!$N$3:$N$2000&amp;") "&amp;소재DB_RAW!$O$3:$O$2000,(소재DB_RAW!$G$3:$G$2000=$D35)*ISNUMBER(SEARCH("안감",소재DB_RAW!$M$3:$M$2000))))),"")</f>
        <v/>
      </c>
      <c r="AA35" s="27" t="n">
        <v>0</v>
      </c>
      <c r="AB35" s="27" t="n">
        <v>40147059</v>
      </c>
      <c r="AC35" s="27" t="n">
        <v>136500000</v>
      </c>
      <c r="AD35" s="20" t="n"/>
      <c r="AE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F35" s="19">
        <f>IF($K35="","",IF(OR(LEFT($AE35,2)="작지",LEFT($AE35,4)="소재입고"),IF(LEFT($G35,1)="S","★ 납기위험(S코드)","◆ 지연주의"),IF($AE35="정상","✓ 정상","? 확인필요")))</f>
        <v/>
      </c>
      <c r="AG35" s="21" t="n"/>
      <c r="AH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21" t="inlineStr">
        <is>
          <t>X</t>
        </is>
      </c>
      <c r="R36" s="21" t="n"/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>
        <f>IFERROR(TEXTJOIN(" / ",TRUE,UNIQUE(FILTER(소재DB_RAW!$K$3:$K$2000,소재DB_RAW!$G$3:$G$2000=$D36))),"")</f>
        <v/>
      </c>
      <c r="W36" s="20" t="inlineStr">
        <is>
          <t>베트남</t>
        </is>
      </c>
      <c r="X36" s="20">
        <f>IFERROR(TEXTJOIN(" / ",TRUE,UNIQUE(FILTER(소재DB_RAW!$N$3:$N$2000,소재DB_RAW!$G$3:$G$2000=$D36))),"")</f>
        <v/>
      </c>
      <c r="Y36" s="26">
        <f>IFERROR(TEXTJOIN(CHAR(10),TRUE,UNIQUE(FILTER(소재DB_RAW!$N$3:$N$2000&amp;") "&amp;소재DB_RAW!$O$3:$O$2000,(소재DB_RAW!$G$3:$G$2000=$D36)*ISNUMBER(SEARCH("겉감",소재DB_RAW!$M$3:$M$2000))))),"")</f>
        <v/>
      </c>
      <c r="Z36" s="26">
        <f>IFERROR(TEXTJOIN(CHAR(10),TRUE,UNIQUE(FILTER(소재DB_RAW!$N$3:$N$2000&amp;") "&amp;소재DB_RAW!$O$3:$O$2000,(소재DB_RAW!$G$3:$G$2000=$D36)*ISNUMBER(SEARCH("안감",소재DB_RAW!$M$3:$M$2000))))),"")</f>
        <v/>
      </c>
      <c r="AA36" s="27" t="n">
        <v>0</v>
      </c>
      <c r="AB36" s="27" t="n">
        <v>0</v>
      </c>
      <c r="AC36" s="27" t="n">
        <v>0</v>
      </c>
      <c r="AD36" s="20" t="n"/>
      <c r="AE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F36" s="19">
        <f>IF($K36="","",IF(OR(LEFT($AE36,2)="작지",LEFT($AE36,4)="소재입고"),IF(LEFT($G36,1)="S","★ 납기위험(S코드)","◆ 지연주의"),IF($AE36="정상","✓ 정상","? 확인필요")))</f>
        <v/>
      </c>
      <c r="AG36" s="21" t="n"/>
      <c r="AH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21" t="inlineStr">
        <is>
          <t>X</t>
        </is>
      </c>
      <c r="R37" s="21" t="inlineStr">
        <is>
          <t>X</t>
        </is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>
        <f>IFERROR(TEXTJOIN(" / ",TRUE,UNIQUE(FILTER(소재DB_RAW!$K$3:$K$2000,소재DB_RAW!$G$3:$G$2000=$D37))),"")</f>
        <v/>
      </c>
      <c r="W37" s="20" t="inlineStr">
        <is>
          <t>베트남</t>
        </is>
      </c>
      <c r="X37" s="20">
        <f>IFERROR(TEXTJOIN(" / ",TRUE,UNIQUE(FILTER(소재DB_RAW!$N$3:$N$2000,소재DB_RAW!$G$3:$G$2000=$D37))),"")</f>
        <v/>
      </c>
      <c r="Y37" s="26">
        <f>IFERROR(TEXTJOIN(CHAR(10),TRUE,UNIQUE(FILTER(소재DB_RAW!$N$3:$N$2000&amp;") "&amp;소재DB_RAW!$O$3:$O$2000,(소재DB_RAW!$G$3:$G$2000=$D37)*ISNUMBER(SEARCH("겉감",소재DB_RAW!$M$3:$M$2000))))),"")</f>
        <v/>
      </c>
      <c r="Z37" s="26">
        <f>IFERROR(TEXTJOIN(CHAR(10),TRUE,UNIQUE(FILTER(소재DB_RAW!$N$3:$N$2000&amp;") "&amp;소재DB_RAW!$O$3:$O$2000,(소재DB_RAW!$G$3:$G$2000=$D37)*ISNUMBER(SEARCH("안감",소재DB_RAW!$M$3:$M$2000))))),"")</f>
        <v/>
      </c>
      <c r="AA37" s="27" t="n">
        <v>0</v>
      </c>
      <c r="AB37" s="27" t="n">
        <v>31419850</v>
      </c>
      <c r="AC37" s="27" t="n">
        <v>101500000</v>
      </c>
      <c r="AD37" s="20" t="n"/>
      <c r="AE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F37" s="19">
        <f>IF($K37="","",IF(OR(LEFT($AE37,2)="작지",LEFT($AE37,4)="소재입고"),IF(LEFT($G37,1)="S","★ 납기위험(S코드)","◆ 지연주의"),IF($AE37="정상","✓ 정상","? 확인필요")))</f>
        <v/>
      </c>
      <c r="AG37" s="21" t="n"/>
      <c r="AH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21" t="inlineStr">
        <is>
          <t>X</t>
        </is>
      </c>
      <c r="R38" s="21" t="inlineStr">
        <is>
          <t>X</t>
        </is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>
        <f>IFERROR(TEXTJOIN(" / ",TRUE,UNIQUE(FILTER(소재DB_RAW!$K$3:$K$2000,소재DB_RAW!$G$3:$G$2000=$D38))),"")</f>
        <v/>
      </c>
      <c r="W38" s="20" t="inlineStr">
        <is>
          <t>베트남</t>
        </is>
      </c>
      <c r="X38" s="20">
        <f>IFERROR(TEXTJOIN(" / ",TRUE,UNIQUE(FILTER(소재DB_RAW!$N$3:$N$2000,소재DB_RAW!$G$3:$G$2000=$D38))),"")</f>
        <v/>
      </c>
      <c r="Y38" s="26">
        <f>IFERROR(TEXTJOIN(CHAR(10),TRUE,UNIQUE(FILTER(소재DB_RAW!$N$3:$N$2000&amp;") "&amp;소재DB_RAW!$O$3:$O$2000,(소재DB_RAW!$G$3:$G$2000=$D38)*ISNUMBER(SEARCH("겉감",소재DB_RAW!$M$3:$M$2000))))),"")</f>
        <v/>
      </c>
      <c r="Z38" s="26">
        <f>IFERROR(TEXTJOIN(CHAR(10),TRUE,UNIQUE(FILTER(소재DB_RAW!$N$3:$N$2000&amp;") "&amp;소재DB_RAW!$O$3:$O$2000,(소재DB_RAW!$G$3:$G$2000=$D38)*ISNUMBER(SEARCH("안감",소재DB_RAW!$M$3:$M$2000))))),"")</f>
        <v/>
      </c>
      <c r="AA38" s="27" t="n">
        <v>0</v>
      </c>
      <c r="AB38" s="27" t="n">
        <v>18491120</v>
      </c>
      <c r="AC38" s="27" t="n">
        <v>58460000</v>
      </c>
      <c r="AD38" s="20" t="n"/>
      <c r="AE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F38" s="19">
        <f>IF($K38="","",IF(OR(LEFT($AE38,2)="작지",LEFT($AE38,4)="소재입고"),IF(LEFT($G38,1)="S","★ 납기위험(S코드)","◆ 지연주의"),IF($AE38="정상","✓ 정상","? 확인필요")))</f>
        <v/>
      </c>
      <c r="AG38" s="21" t="n"/>
      <c r="AH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21" t="inlineStr">
        <is>
          <t>X</t>
        </is>
      </c>
      <c r="R39" s="21" t="inlineStr">
        <is>
          <t>X</t>
        </is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>
        <f>IFERROR(TEXTJOIN(" / ",TRUE,UNIQUE(FILTER(소재DB_RAW!$K$3:$K$2000,소재DB_RAW!$G$3:$G$2000=$D39))),"")</f>
        <v/>
      </c>
      <c r="W39" s="20" t="inlineStr">
        <is>
          <t>중국</t>
        </is>
      </c>
      <c r="X39" s="20">
        <f>IFERROR(TEXTJOIN(" / ",TRUE,UNIQUE(FILTER(소재DB_RAW!$N$3:$N$2000,소재DB_RAW!$G$3:$G$2000=$D39))),"")</f>
        <v/>
      </c>
      <c r="Y39" s="26">
        <f>IFERROR(TEXTJOIN(CHAR(10),TRUE,UNIQUE(FILTER(소재DB_RAW!$N$3:$N$2000&amp;") "&amp;소재DB_RAW!$O$3:$O$2000,(소재DB_RAW!$G$3:$G$2000=$D39)*ISNUMBER(SEARCH("겉감",소재DB_RAW!$M$3:$M$2000))))),"")</f>
        <v/>
      </c>
      <c r="Z39" s="26">
        <f>IFERROR(TEXTJOIN(CHAR(10),TRUE,UNIQUE(FILTER(소재DB_RAW!$N$3:$N$2000&amp;") "&amp;소재DB_RAW!$O$3:$O$2000,(소재DB_RAW!$G$3:$G$2000=$D39)*ISNUMBER(SEARCH("안감",소재DB_RAW!$M$3:$M$2000))))),"")</f>
        <v/>
      </c>
      <c r="AA39" s="27" t="n">
        <v>0</v>
      </c>
      <c r="AB39" s="27" t="n">
        <v>11507400</v>
      </c>
      <c r="AC39" s="27" t="n">
        <v>48600000</v>
      </c>
      <c r="AD39" s="20" t="n"/>
      <c r="AE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F39" s="19">
        <f>IF($K39="","",IF(OR(LEFT($AE39,2)="작지",LEFT($AE39,4)="소재입고"),IF(LEFT($G39,1)="S","★ 납기위험(S코드)","◆ 지연주의"),IF($AE39="정상","✓ 정상","? 확인필요")))</f>
        <v/>
      </c>
      <c r="AG39" s="21" t="n"/>
      <c r="AH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21" t="inlineStr">
        <is>
          <t>O</t>
        </is>
      </c>
      <c r="R40" s="21" t="inlineStr">
        <is>
          <t>X</t>
        </is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>
        <f>IFERROR(TEXTJOIN(" / ",TRUE,UNIQUE(FILTER(소재DB_RAW!$K$3:$K$2000,소재DB_RAW!$G$3:$G$2000=$D40))),"")</f>
        <v/>
      </c>
      <c r="W40" s="20" t="inlineStr"/>
      <c r="X40" s="20">
        <f>IFERROR(TEXTJOIN(" / ",TRUE,UNIQUE(FILTER(소재DB_RAW!$N$3:$N$2000,소재DB_RAW!$G$3:$G$2000=$D40))),"")</f>
        <v/>
      </c>
      <c r="Y40" s="26">
        <f>IFERROR(TEXTJOIN(CHAR(10),TRUE,UNIQUE(FILTER(소재DB_RAW!$N$3:$N$2000&amp;") "&amp;소재DB_RAW!$O$3:$O$2000,(소재DB_RAW!$G$3:$G$2000=$D40)*ISNUMBER(SEARCH("겉감",소재DB_RAW!$M$3:$M$2000))))),"")</f>
        <v/>
      </c>
      <c r="Z40" s="26">
        <f>IFERROR(TEXTJOIN(CHAR(10),TRUE,UNIQUE(FILTER(소재DB_RAW!$N$3:$N$2000&amp;") "&amp;소재DB_RAW!$O$3:$O$2000,(소재DB_RAW!$G$3:$G$2000=$D40)*ISNUMBER(SEARCH("안감",소재DB_RAW!$M$3:$M$2000))))),"")</f>
        <v/>
      </c>
      <c r="AA40" s="27" t="n">
        <v>2000</v>
      </c>
      <c r="AB40" s="27" t="n">
        <v>114028000</v>
      </c>
      <c r="AC40" s="27" t="n">
        <v>540000000</v>
      </c>
      <c r="AD40" s="20" t="inlineStr">
        <is>
          <t>1월3주</t>
        </is>
      </c>
      <c r="AE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F40" s="19">
        <f>IF($K40="","",IF(OR(LEFT($AE40,2)="작지",LEFT($AE40,4)="소재입고"),IF(LEFT($G40,1)="S","★ 납기위험(S코드)","◆ 지연주의"),IF($AE40="정상","✓ 정상","? 확인필요")))</f>
        <v/>
      </c>
      <c r="AG40" s="21" t="n"/>
      <c r="AH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21" t="inlineStr">
        <is>
          <t>O</t>
        </is>
      </c>
      <c r="R41" s="21" t="inlineStr">
        <is>
          <t>X</t>
        </is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>
        <f>IFERROR(TEXTJOIN(" / ",TRUE,UNIQUE(FILTER(소재DB_RAW!$K$3:$K$2000,소재DB_RAW!$G$3:$G$2000=$D41))),"")</f>
        <v/>
      </c>
      <c r="W41" s="20" t="inlineStr">
        <is>
          <t>베트남</t>
        </is>
      </c>
      <c r="X41" s="20">
        <f>IFERROR(TEXTJOIN(" / ",TRUE,UNIQUE(FILTER(소재DB_RAW!$N$3:$N$2000,소재DB_RAW!$G$3:$G$2000=$D41))),"")</f>
        <v/>
      </c>
      <c r="Y41" s="26">
        <f>IFERROR(TEXTJOIN(CHAR(10),TRUE,UNIQUE(FILTER(소재DB_RAW!$N$3:$N$2000&amp;") "&amp;소재DB_RAW!$O$3:$O$2000,(소재DB_RAW!$G$3:$G$2000=$D41)*ISNUMBER(SEARCH("겉감",소재DB_RAW!$M$3:$M$2000))))),"")</f>
        <v/>
      </c>
      <c r="Z41" s="26">
        <f>IFERROR(TEXTJOIN(CHAR(10),TRUE,UNIQUE(FILTER(소재DB_RAW!$N$3:$N$2000&amp;") "&amp;소재DB_RAW!$O$3:$O$2000,(소재DB_RAW!$G$3:$G$2000=$D41)*ISNUMBER(SEARCH("안감",소재DB_RAW!$M$3:$M$2000))))),"")</f>
        <v/>
      </c>
      <c r="AA41" s="27" t="n">
        <v>4000</v>
      </c>
      <c r="AB41" s="27" t="n">
        <v>113760000</v>
      </c>
      <c r="AC41" s="27" t="n">
        <v>712000000</v>
      </c>
      <c r="AD41" s="20" t="inlineStr">
        <is>
          <t>1월3주</t>
        </is>
      </c>
      <c r="AE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F41" s="19">
        <f>IF($K41="","",IF(OR(LEFT($AE41,2)="작지",LEFT($AE41,4)="소재입고"),IF(LEFT($G41,1)="S","★ 납기위험(S코드)","◆ 지연주의"),IF($AE41="정상","✓ 정상","? 확인필요")))</f>
        <v/>
      </c>
      <c r="AG41" s="21" t="n"/>
      <c r="AH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21" t="inlineStr">
        <is>
          <t>O</t>
        </is>
      </c>
      <c r="R42" s="21" t="inlineStr">
        <is>
          <t>X</t>
        </is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>
        <f>IFERROR(TEXTJOIN(" / ",TRUE,UNIQUE(FILTER(소재DB_RAW!$K$3:$K$2000,소재DB_RAW!$G$3:$G$2000=$D42))),"")</f>
        <v/>
      </c>
      <c r="W42" s="20" t="inlineStr">
        <is>
          <t>베트남</t>
        </is>
      </c>
      <c r="X42" s="20">
        <f>IFERROR(TEXTJOIN(" / ",TRUE,UNIQUE(FILTER(소재DB_RAW!$N$3:$N$2000,소재DB_RAW!$G$3:$G$2000=$D42))),"")</f>
        <v/>
      </c>
      <c r="Y42" s="26">
        <f>IFERROR(TEXTJOIN(CHAR(10),TRUE,UNIQUE(FILTER(소재DB_RAW!$N$3:$N$2000&amp;") "&amp;소재DB_RAW!$O$3:$O$2000,(소재DB_RAW!$G$3:$G$2000=$D42)*ISNUMBER(SEARCH("겉감",소재DB_RAW!$M$3:$M$2000))))),"")</f>
        <v/>
      </c>
      <c r="Z42" s="26">
        <f>IFERROR(TEXTJOIN(CHAR(10),TRUE,UNIQUE(FILTER(소재DB_RAW!$N$3:$N$2000&amp;") "&amp;소재DB_RAW!$O$3:$O$2000,(소재DB_RAW!$G$3:$G$2000=$D42)*ISNUMBER(SEARCH("안감",소재DB_RAW!$M$3:$M$2000))))),"")</f>
        <v/>
      </c>
      <c r="AA42" s="27" t="n">
        <v>2500</v>
      </c>
      <c r="AB42" s="27" t="n">
        <v>47250000</v>
      </c>
      <c r="AC42" s="27" t="n">
        <v>370000000</v>
      </c>
      <c r="AD42" s="20" t="inlineStr">
        <is>
          <t>1월3주</t>
        </is>
      </c>
      <c r="AE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F42" s="19">
        <f>IF($K42="","",IF(OR(LEFT($AE42,2)="작지",LEFT($AE42,4)="소재입고"),IF(LEFT($G42,1)="S","★ 납기위험(S코드)","◆ 지연주의"),IF($AE42="정상","✓ 정상","? 확인필요")))</f>
        <v/>
      </c>
      <c r="AG42" s="21" t="n"/>
      <c r="AH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21" t="inlineStr">
        <is>
          <t>O</t>
        </is>
      </c>
      <c r="R43" s="21" t="inlineStr">
        <is>
          <t>X</t>
        </is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>
        <f>IFERROR(TEXTJOIN(" / ",TRUE,UNIQUE(FILTER(소재DB_RAW!$K$3:$K$2000,소재DB_RAW!$G$3:$G$2000=$D43))),"")</f>
        <v/>
      </c>
      <c r="W43" s="20" t="inlineStr">
        <is>
          <t>베트남</t>
        </is>
      </c>
      <c r="X43" s="20">
        <f>IFERROR(TEXTJOIN(" / ",TRUE,UNIQUE(FILTER(소재DB_RAW!$N$3:$N$2000,소재DB_RAW!$G$3:$G$2000=$D43))),"")</f>
        <v/>
      </c>
      <c r="Y43" s="26">
        <f>IFERROR(TEXTJOIN(CHAR(10),TRUE,UNIQUE(FILTER(소재DB_RAW!$N$3:$N$2000&amp;") "&amp;소재DB_RAW!$O$3:$O$2000,(소재DB_RAW!$G$3:$G$2000=$D43)*ISNUMBER(SEARCH("겉감",소재DB_RAW!$M$3:$M$2000))))),"")</f>
        <v/>
      </c>
      <c r="Z43" s="26">
        <f>IFERROR(TEXTJOIN(CHAR(10),TRUE,UNIQUE(FILTER(소재DB_RAW!$N$3:$N$2000&amp;") "&amp;소재DB_RAW!$O$3:$O$2000,(소재DB_RAW!$G$3:$G$2000=$D43)*ISNUMBER(SEARCH("안감",소재DB_RAW!$M$3:$M$2000))))),"")</f>
        <v/>
      </c>
      <c r="AA43" s="27" t="n">
        <v>1400</v>
      </c>
      <c r="AB43" s="27" t="n">
        <v>24915800</v>
      </c>
      <c r="AC43" s="27" t="n">
        <v>207200000</v>
      </c>
      <c r="AD43" s="20" t="inlineStr">
        <is>
          <t>1월3주</t>
        </is>
      </c>
      <c r="AE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F43" s="19">
        <f>IF($K43="","",IF(OR(LEFT($AE43,2)="작지",LEFT($AE43,4)="소재입고"),IF(LEFT($G43,1)="S","★ 납기위험(S코드)","◆ 지연주의"),IF($AE43="정상","✓ 정상","? 확인필요")))</f>
        <v/>
      </c>
      <c r="AG43" s="21" t="n"/>
      <c r="AH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21" t="inlineStr">
        <is>
          <t>O</t>
        </is>
      </c>
      <c r="R44" s="21" t="inlineStr">
        <is>
          <t>X</t>
        </is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>
        <f>IFERROR(TEXTJOIN(" / ",TRUE,UNIQUE(FILTER(소재DB_RAW!$K$3:$K$2000,소재DB_RAW!$G$3:$G$2000=$D44))),"")</f>
        <v/>
      </c>
      <c r="W44" s="20" t="inlineStr"/>
      <c r="X44" s="20">
        <f>IFERROR(TEXTJOIN(" / ",TRUE,UNIQUE(FILTER(소재DB_RAW!$N$3:$N$2000,소재DB_RAW!$G$3:$G$2000=$D44))),"")</f>
        <v/>
      </c>
      <c r="Y44" s="26">
        <f>IFERROR(TEXTJOIN(CHAR(10),TRUE,UNIQUE(FILTER(소재DB_RAW!$N$3:$N$2000&amp;") "&amp;소재DB_RAW!$O$3:$O$2000,(소재DB_RAW!$G$3:$G$2000=$D44)*ISNUMBER(SEARCH("겉감",소재DB_RAW!$M$3:$M$2000))))),"")</f>
        <v/>
      </c>
      <c r="Z44" s="26">
        <f>IFERROR(TEXTJOIN(CHAR(10),TRUE,UNIQUE(FILTER(소재DB_RAW!$N$3:$N$2000&amp;") "&amp;소재DB_RAW!$O$3:$O$2000,(소재DB_RAW!$G$3:$G$2000=$D44)*ISNUMBER(SEARCH("안감",소재DB_RAW!$M$3:$M$2000))))),"")</f>
        <v/>
      </c>
      <c r="AA44" s="27" t="n">
        <v>1000</v>
      </c>
      <c r="AB44" s="27" t="n">
        <v>38169000</v>
      </c>
      <c r="AC44" s="27" t="n">
        <v>198000000</v>
      </c>
      <c r="AD44" s="20" t="inlineStr">
        <is>
          <t>1월3주</t>
        </is>
      </c>
      <c r="AE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F44" s="19">
        <f>IF($K44="","",IF(OR(LEFT($AE44,2)="작지",LEFT($AE44,4)="소재입고"),IF(LEFT($G44,1)="S","★ 납기위험(S코드)","◆ 지연주의"),IF($AE44="정상","✓ 정상","? 확인필요")))</f>
        <v/>
      </c>
      <c r="AG44" s="21" t="n"/>
      <c r="AH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21" t="inlineStr">
        <is>
          <t>O</t>
        </is>
      </c>
      <c r="R45" s="21" t="inlineStr">
        <is>
          <t>X</t>
        </is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>
        <f>IFERROR(TEXTJOIN(" / ",TRUE,UNIQUE(FILTER(소재DB_RAW!$K$3:$K$2000,소재DB_RAW!$G$3:$G$2000=$D45))),"")</f>
        <v/>
      </c>
      <c r="W45" s="20" t="inlineStr">
        <is>
          <t>인도네시아</t>
        </is>
      </c>
      <c r="X45" s="20">
        <f>IFERROR(TEXTJOIN(" / ",TRUE,UNIQUE(FILTER(소재DB_RAW!$N$3:$N$2000,소재DB_RAW!$G$3:$G$2000=$D45))),"")</f>
        <v/>
      </c>
      <c r="Y45" s="26">
        <f>IFERROR(TEXTJOIN(CHAR(10),TRUE,UNIQUE(FILTER(소재DB_RAW!$N$3:$N$2000&amp;") "&amp;소재DB_RAW!$O$3:$O$2000,(소재DB_RAW!$G$3:$G$2000=$D45)*ISNUMBER(SEARCH("겉감",소재DB_RAW!$M$3:$M$2000))))),"")</f>
        <v/>
      </c>
      <c r="Z45" s="26">
        <f>IFERROR(TEXTJOIN(CHAR(10),TRUE,UNIQUE(FILTER(소재DB_RAW!$N$3:$N$2000&amp;") "&amp;소재DB_RAW!$O$3:$O$2000,(소재DB_RAW!$G$3:$G$2000=$D45)*ISNUMBER(SEARCH("안감",소재DB_RAW!$M$3:$M$2000))))),"")</f>
        <v/>
      </c>
      <c r="AA45" s="27" t="n">
        <v>2500</v>
      </c>
      <c r="AB45" s="27" t="n">
        <v>151025000</v>
      </c>
      <c r="AC45" s="27" t="n">
        <v>725000000</v>
      </c>
      <c r="AD45" s="20" t="n"/>
      <c r="AE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F45" s="19">
        <f>IF($K45="","",IF(OR(LEFT($AE45,2)="작지",LEFT($AE45,4)="소재입고"),IF(LEFT($G45,1)="S","★ 납기위험(S코드)","◆ 지연주의"),IF($AE45="정상","✓ 정상","? 확인필요")))</f>
        <v/>
      </c>
      <c r="AG45" s="21" t="n"/>
      <c r="AH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21" t="inlineStr">
        <is>
          <t>O</t>
        </is>
      </c>
      <c r="R46" s="21" t="inlineStr">
        <is>
          <t>X</t>
        </is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>
        <f>IFERROR(TEXTJOIN(" / ",TRUE,UNIQUE(FILTER(소재DB_RAW!$K$3:$K$2000,소재DB_RAW!$G$3:$G$2000=$D46))),"")</f>
        <v/>
      </c>
      <c r="W46" s="20" t="inlineStr">
        <is>
          <t>베트남</t>
        </is>
      </c>
      <c r="X46" s="20">
        <f>IFERROR(TEXTJOIN(" / ",TRUE,UNIQUE(FILTER(소재DB_RAW!$N$3:$N$2000,소재DB_RAW!$G$3:$G$2000=$D46))),"")</f>
        <v/>
      </c>
      <c r="Y46" s="26">
        <f>IFERROR(TEXTJOIN(CHAR(10),TRUE,UNIQUE(FILTER(소재DB_RAW!$N$3:$N$2000&amp;") "&amp;소재DB_RAW!$O$3:$O$2000,(소재DB_RAW!$G$3:$G$2000=$D46)*ISNUMBER(SEARCH("겉감",소재DB_RAW!$M$3:$M$2000))))),"")</f>
        <v/>
      </c>
      <c r="Z46" s="26">
        <f>IFERROR(TEXTJOIN(CHAR(10),TRUE,UNIQUE(FILTER(소재DB_RAW!$N$3:$N$2000&amp;") "&amp;소재DB_RAW!$O$3:$O$2000,(소재DB_RAW!$G$3:$G$2000=$D46)*ISNUMBER(SEARCH("안감",소재DB_RAW!$M$3:$M$2000))))),"")</f>
        <v/>
      </c>
      <c r="AA46" s="27" t="n">
        <v>5500</v>
      </c>
      <c r="AB46" s="27" t="n">
        <v>155397000</v>
      </c>
      <c r="AC46" s="27" t="n">
        <v>979000000</v>
      </c>
      <c r="AD46" s="20" t="n"/>
      <c r="AE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F46" s="19">
        <f>IF($K46="","",IF(OR(LEFT($AE46,2)="작지",LEFT($AE46,4)="소재입고"),IF(LEFT($G46,1)="S","★ 납기위험(S코드)","◆ 지연주의"),IF($AE46="정상","✓ 정상","? 확인필요")))</f>
        <v/>
      </c>
      <c r="AG46" s="21" t="n"/>
      <c r="AH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21" t="inlineStr">
        <is>
          <t>O</t>
        </is>
      </c>
      <c r="R47" s="21" t="inlineStr">
        <is>
          <t>X</t>
        </is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>
        <f>IFERROR(TEXTJOIN(" / ",TRUE,UNIQUE(FILTER(소재DB_RAW!$K$3:$K$2000,소재DB_RAW!$G$3:$G$2000=$D47))),"")</f>
        <v/>
      </c>
      <c r="W47" s="20" t="inlineStr">
        <is>
          <t>베트남</t>
        </is>
      </c>
      <c r="X47" s="20">
        <f>IFERROR(TEXTJOIN(" / ",TRUE,UNIQUE(FILTER(소재DB_RAW!$N$3:$N$2000,소재DB_RAW!$G$3:$G$2000=$D47))),"")</f>
        <v/>
      </c>
      <c r="Y47" s="26">
        <f>IFERROR(TEXTJOIN(CHAR(10),TRUE,UNIQUE(FILTER(소재DB_RAW!$N$3:$N$2000&amp;") "&amp;소재DB_RAW!$O$3:$O$2000,(소재DB_RAW!$G$3:$G$2000=$D47)*ISNUMBER(SEARCH("겉감",소재DB_RAW!$M$3:$M$2000))))),"")</f>
        <v/>
      </c>
      <c r="Z47" s="26">
        <f>IFERROR(TEXTJOIN(CHAR(10),TRUE,UNIQUE(FILTER(소재DB_RAW!$N$3:$N$2000&amp;") "&amp;소재DB_RAW!$O$3:$O$2000,(소재DB_RAW!$G$3:$G$2000=$D47)*ISNUMBER(SEARCH("안감",소재DB_RAW!$M$3:$M$2000))))),"")</f>
        <v/>
      </c>
      <c r="AA47" s="27" t="n">
        <v>8000</v>
      </c>
      <c r="AB47" s="27" t="n">
        <v>210024000</v>
      </c>
      <c r="AC47" s="27" t="n">
        <v>1424000000</v>
      </c>
      <c r="AD47" s="20" t="n"/>
      <c r="AE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F47" s="19">
        <f>IF($K47="","",IF(OR(LEFT($AE47,2)="작지",LEFT($AE47,4)="소재입고"),IF(LEFT($G47,1)="S","★ 납기위험(S코드)","◆ 지연주의"),IF($AE47="정상","✓ 정상","? 확인필요")))</f>
        <v/>
      </c>
      <c r="AG47" s="21" t="n"/>
      <c r="AH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21" t="inlineStr">
        <is>
          <t>O</t>
        </is>
      </c>
      <c r="R48" s="21" t="inlineStr">
        <is>
          <t>X</t>
        </is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>
        <f>IFERROR(TEXTJOIN(" / ",TRUE,UNIQUE(FILTER(소재DB_RAW!$K$3:$K$2000,소재DB_RAW!$G$3:$G$2000=$D48))),"")</f>
        <v/>
      </c>
      <c r="W48" s="20" t="inlineStr">
        <is>
          <t>베트남</t>
        </is>
      </c>
      <c r="X48" s="20">
        <f>IFERROR(TEXTJOIN(" / ",TRUE,UNIQUE(FILTER(소재DB_RAW!$N$3:$N$2000,소재DB_RAW!$G$3:$G$2000=$D48))),"")</f>
        <v/>
      </c>
      <c r="Y48" s="26">
        <f>IFERROR(TEXTJOIN(CHAR(10),TRUE,UNIQUE(FILTER(소재DB_RAW!$N$3:$N$2000&amp;") "&amp;소재DB_RAW!$O$3:$O$2000,(소재DB_RAW!$G$3:$G$2000=$D48)*ISNUMBER(SEARCH("겉감",소재DB_RAW!$M$3:$M$2000))))),"")</f>
        <v/>
      </c>
      <c r="Z48" s="26">
        <f>IFERROR(TEXTJOIN(CHAR(10),TRUE,UNIQUE(FILTER(소재DB_RAW!$N$3:$N$2000&amp;") "&amp;소재DB_RAW!$O$3:$O$2000,(소재DB_RAW!$G$3:$G$2000=$D48)*ISNUMBER(SEARCH("안감",소재DB_RAW!$M$3:$M$2000))))),"")</f>
        <v/>
      </c>
      <c r="AA48" s="27" t="n">
        <v>1800</v>
      </c>
      <c r="AB48" s="27" t="n">
        <v>70093800</v>
      </c>
      <c r="AC48" s="27" t="n">
        <v>356400000</v>
      </c>
      <c r="AD48" s="20" t="inlineStr">
        <is>
          <t>1월3주</t>
        </is>
      </c>
      <c r="AE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F48" s="19">
        <f>IF($K48="","",IF(OR(LEFT($AE48,2)="작지",LEFT($AE48,4)="소재입고"),IF(LEFT($G48,1)="S","★ 납기위험(S코드)","◆ 지연주의"),IF($AE48="정상","✓ 정상","? 확인필요")))</f>
        <v/>
      </c>
      <c r="AG48" s="21" t="n"/>
      <c r="AH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21" t="inlineStr">
        <is>
          <t>O</t>
        </is>
      </c>
      <c r="R49" s="21" t="inlineStr">
        <is>
          <t>X</t>
        </is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>
        <f>IFERROR(TEXTJOIN(" / ",TRUE,UNIQUE(FILTER(소재DB_RAW!$K$3:$K$2000,소재DB_RAW!$G$3:$G$2000=$D49))),"")</f>
        <v/>
      </c>
      <c r="W49" s="20" t="inlineStr">
        <is>
          <t>베트남</t>
        </is>
      </c>
      <c r="X49" s="20">
        <f>IFERROR(TEXTJOIN(" / ",TRUE,UNIQUE(FILTER(소재DB_RAW!$N$3:$N$2000,소재DB_RAW!$G$3:$G$2000=$D49))),"")</f>
        <v/>
      </c>
      <c r="Y49" s="26">
        <f>IFERROR(TEXTJOIN(CHAR(10),TRUE,UNIQUE(FILTER(소재DB_RAW!$N$3:$N$2000&amp;") "&amp;소재DB_RAW!$O$3:$O$2000,(소재DB_RAW!$G$3:$G$2000=$D49)*ISNUMBER(SEARCH("겉감",소재DB_RAW!$M$3:$M$2000))))),"")</f>
        <v/>
      </c>
      <c r="Z49" s="26">
        <f>IFERROR(TEXTJOIN(CHAR(10),TRUE,UNIQUE(FILTER(소재DB_RAW!$N$3:$N$2000&amp;") "&amp;소재DB_RAW!$O$3:$O$2000,(소재DB_RAW!$G$3:$G$2000=$D49)*ISNUMBER(SEARCH("안감",소재DB_RAW!$M$3:$M$2000))))),"")</f>
        <v/>
      </c>
      <c r="AA49" s="27" t="n">
        <v>1600</v>
      </c>
      <c r="AB49" s="27" t="n">
        <v>77996800</v>
      </c>
      <c r="AC49" s="27" t="n">
        <v>352000000</v>
      </c>
      <c r="AD49" s="20" t="n"/>
      <c r="AE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F49" s="19">
        <f>IF($K49="","",IF(OR(LEFT($AE49,2)="작지",LEFT($AE49,4)="소재입고"),IF(LEFT($G49,1)="S","★ 납기위험(S코드)","◆ 지연주의"),IF($AE49="정상","✓ 정상","? 확인필요")))</f>
        <v/>
      </c>
      <c r="AG49" s="21" t="n"/>
      <c r="AH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21" t="inlineStr">
        <is>
          <t>O</t>
        </is>
      </c>
      <c r="R50" s="21" t="inlineStr">
        <is>
          <t>X</t>
        </is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>
        <f>IFERROR(TEXTJOIN(" / ",TRUE,UNIQUE(FILTER(소재DB_RAW!$K$3:$K$2000,소재DB_RAW!$G$3:$G$2000=$D50))),"")</f>
        <v/>
      </c>
      <c r="W50" s="20" t="inlineStr">
        <is>
          <t>인도네시아</t>
        </is>
      </c>
      <c r="X50" s="20">
        <f>IFERROR(TEXTJOIN(" / ",TRUE,UNIQUE(FILTER(소재DB_RAW!$N$3:$N$2000,소재DB_RAW!$G$3:$G$2000=$D50))),"")</f>
        <v/>
      </c>
      <c r="Y50" s="26">
        <f>IFERROR(TEXTJOIN(CHAR(10),TRUE,UNIQUE(FILTER(소재DB_RAW!$N$3:$N$2000&amp;") "&amp;소재DB_RAW!$O$3:$O$2000,(소재DB_RAW!$G$3:$G$2000=$D50)*ISNUMBER(SEARCH("겉감",소재DB_RAW!$M$3:$M$2000))))),"")</f>
        <v/>
      </c>
      <c r="Z50" s="26">
        <f>IFERROR(TEXTJOIN(CHAR(10),TRUE,UNIQUE(FILTER(소재DB_RAW!$N$3:$N$2000&amp;") "&amp;소재DB_RAW!$O$3:$O$2000,(소재DB_RAW!$G$3:$G$2000=$D50)*ISNUMBER(SEARCH("안감",소재DB_RAW!$M$3:$M$2000))))),"")</f>
        <v/>
      </c>
      <c r="AA50" s="27" t="n">
        <v>3000</v>
      </c>
      <c r="AB50" s="27" t="n">
        <v>79905000</v>
      </c>
      <c r="AC50" s="27" t="n">
        <v>444000000</v>
      </c>
      <c r="AD50" s="20" t="n"/>
      <c r="AE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F50" s="19">
        <f>IF($K50="","",IF(OR(LEFT($AE50,2)="작지",LEFT($AE50,4)="소재입고"),IF(LEFT($G50,1)="S","★ 납기위험(S코드)","◆ 지연주의"),IF($AE50="정상","✓ 정상","? 확인필요")))</f>
        <v/>
      </c>
      <c r="AG50" s="21" t="n"/>
      <c r="AH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21" t="inlineStr">
        <is>
          <t>O</t>
        </is>
      </c>
      <c r="R51" s="21" t="inlineStr">
        <is>
          <t>X</t>
        </is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>
        <f>IFERROR(TEXTJOIN(" / ",TRUE,UNIQUE(FILTER(소재DB_RAW!$K$3:$K$2000,소재DB_RAW!$G$3:$G$2000=$D51))),"")</f>
        <v/>
      </c>
      <c r="W51" s="20" t="inlineStr">
        <is>
          <t>인도네시아</t>
        </is>
      </c>
      <c r="X51" s="20">
        <f>IFERROR(TEXTJOIN(" / ",TRUE,UNIQUE(FILTER(소재DB_RAW!$N$3:$N$2000,소재DB_RAW!$G$3:$G$2000=$D51))),"")</f>
        <v/>
      </c>
      <c r="Y51" s="26">
        <f>IFERROR(TEXTJOIN(CHAR(10),TRUE,UNIQUE(FILTER(소재DB_RAW!$N$3:$N$2000&amp;") "&amp;소재DB_RAW!$O$3:$O$2000,(소재DB_RAW!$G$3:$G$2000=$D51)*ISNUMBER(SEARCH("겉감",소재DB_RAW!$M$3:$M$2000))))),"")</f>
        <v/>
      </c>
      <c r="Z51" s="26">
        <f>IFERROR(TEXTJOIN(CHAR(10),TRUE,UNIQUE(FILTER(소재DB_RAW!$N$3:$N$2000&amp;") "&amp;소재DB_RAW!$O$3:$O$2000,(소재DB_RAW!$G$3:$G$2000=$D51)*ISNUMBER(SEARCH("안감",소재DB_RAW!$M$3:$M$2000))))),"")</f>
        <v/>
      </c>
      <c r="AA51" s="27" t="n">
        <v>2000</v>
      </c>
      <c r="AB51" s="27" t="n">
        <v>53650000</v>
      </c>
      <c r="AC51" s="27" t="n">
        <v>256000000</v>
      </c>
      <c r="AD51" s="20" t="n"/>
      <c r="AE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F51" s="19">
        <f>IF($K51="","",IF(OR(LEFT($AE51,2)="작지",LEFT($AE51,4)="소재입고"),IF(LEFT($G51,1)="S","★ 납기위험(S코드)","◆ 지연주의"),IF($AE51="정상","✓ 정상","? 확인필요")))</f>
        <v/>
      </c>
      <c r="AG51" s="21" t="n"/>
      <c r="AH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21" t="inlineStr">
        <is>
          <t>O</t>
        </is>
      </c>
      <c r="R52" s="21" t="inlineStr">
        <is>
          <t>X</t>
        </is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>
        <f>IFERROR(TEXTJOIN(" / ",TRUE,UNIQUE(FILTER(소재DB_RAW!$K$3:$K$2000,소재DB_RAW!$G$3:$G$2000=$D52))),"")</f>
        <v/>
      </c>
      <c r="W52" s="20" t="inlineStr">
        <is>
          <t>인도네시아</t>
        </is>
      </c>
      <c r="X52" s="20">
        <f>IFERROR(TEXTJOIN(" / ",TRUE,UNIQUE(FILTER(소재DB_RAW!$N$3:$N$2000,소재DB_RAW!$G$3:$G$2000=$D52))),"")</f>
        <v/>
      </c>
      <c r="Y52" s="26">
        <f>IFERROR(TEXTJOIN(CHAR(10),TRUE,UNIQUE(FILTER(소재DB_RAW!$N$3:$N$2000&amp;") "&amp;소재DB_RAW!$O$3:$O$2000,(소재DB_RAW!$G$3:$G$2000=$D52)*ISNUMBER(SEARCH("겉감",소재DB_RAW!$M$3:$M$2000))))),"")</f>
        <v/>
      </c>
      <c r="Z52" s="26">
        <f>IFERROR(TEXTJOIN(CHAR(10),TRUE,UNIQUE(FILTER(소재DB_RAW!$N$3:$N$2000&amp;") "&amp;소재DB_RAW!$O$3:$O$2000,(소재DB_RAW!$G$3:$G$2000=$D52)*ISNUMBER(SEARCH("안감",소재DB_RAW!$M$3:$M$2000))))),"")</f>
        <v/>
      </c>
      <c r="AA52" s="27" t="n">
        <v>2000</v>
      </c>
      <c r="AB52" s="27" t="n">
        <v>58964800</v>
      </c>
      <c r="AC52" s="27" t="n">
        <v>276000000</v>
      </c>
      <c r="AD52" s="20" t="n"/>
      <c r="AE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F52" s="19">
        <f>IF($K52="","",IF(OR(LEFT($AE52,2)="작지",LEFT($AE52,4)="소재입고"),IF(LEFT($G52,1)="S","★ 납기위험(S코드)","◆ 지연주의"),IF($AE52="정상","✓ 정상","? 확인필요")))</f>
        <v/>
      </c>
      <c r="AG52" s="21" t="n"/>
      <c r="AH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21" t="inlineStr">
        <is>
          <t>O</t>
        </is>
      </c>
      <c r="R53" s="21" t="inlineStr">
        <is>
          <t>X</t>
        </is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>
        <f>IFERROR(TEXTJOIN(" / ",TRUE,UNIQUE(FILTER(소재DB_RAW!$K$3:$K$2000,소재DB_RAW!$G$3:$G$2000=$D53))),"")</f>
        <v/>
      </c>
      <c r="W53" s="20" t="inlineStr">
        <is>
          <t>인도네시아</t>
        </is>
      </c>
      <c r="X53" s="20">
        <f>IFERROR(TEXTJOIN(" / ",TRUE,UNIQUE(FILTER(소재DB_RAW!$N$3:$N$2000,소재DB_RAW!$G$3:$G$2000=$D53))),"")</f>
        <v/>
      </c>
      <c r="Y53" s="26">
        <f>IFERROR(TEXTJOIN(CHAR(10),TRUE,UNIQUE(FILTER(소재DB_RAW!$N$3:$N$2000&amp;") "&amp;소재DB_RAW!$O$3:$O$2000,(소재DB_RAW!$G$3:$G$2000=$D53)*ISNUMBER(SEARCH("겉감",소재DB_RAW!$M$3:$M$2000))))),"")</f>
        <v/>
      </c>
      <c r="Z53" s="26">
        <f>IFERROR(TEXTJOIN(CHAR(10),TRUE,UNIQUE(FILTER(소재DB_RAW!$N$3:$N$2000&amp;") "&amp;소재DB_RAW!$O$3:$O$2000,(소재DB_RAW!$G$3:$G$2000=$D53)*ISNUMBER(SEARCH("안감",소재DB_RAW!$M$3:$M$2000))))),"")</f>
        <v/>
      </c>
      <c r="AA53" s="27" t="n">
        <v>1200</v>
      </c>
      <c r="AB53" s="27" t="n">
        <v>51517200</v>
      </c>
      <c r="AC53" s="27" t="n">
        <v>264000000</v>
      </c>
      <c r="AD53" s="20" t="n"/>
      <c r="AE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F53" s="19">
        <f>IF($K53="","",IF(OR(LEFT($AE53,2)="작지",LEFT($AE53,4)="소재입고"),IF(LEFT($G53,1)="S","★ 납기위험(S코드)","◆ 지연주의"),IF($AE53="정상","✓ 정상","? 확인필요")))</f>
        <v/>
      </c>
      <c r="AG53" s="21" t="n"/>
      <c r="AH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21" t="inlineStr">
        <is>
          <t>O</t>
        </is>
      </c>
      <c r="R54" s="21" t="inlineStr">
        <is>
          <t>X</t>
        </is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>
        <f>IFERROR(TEXTJOIN(" / ",TRUE,UNIQUE(FILTER(소재DB_RAW!$K$3:$K$2000,소재DB_RAW!$G$3:$G$2000=$D54))),"")</f>
        <v/>
      </c>
      <c r="W54" s="20" t="inlineStr">
        <is>
          <t>베트남</t>
        </is>
      </c>
      <c r="X54" s="20">
        <f>IFERROR(TEXTJOIN(" / ",TRUE,UNIQUE(FILTER(소재DB_RAW!$N$3:$N$2000,소재DB_RAW!$G$3:$G$2000=$D54))),"")</f>
        <v/>
      </c>
      <c r="Y54" s="26">
        <f>IFERROR(TEXTJOIN(CHAR(10),TRUE,UNIQUE(FILTER(소재DB_RAW!$N$3:$N$2000&amp;") "&amp;소재DB_RAW!$O$3:$O$2000,(소재DB_RAW!$G$3:$G$2000=$D54)*ISNUMBER(SEARCH("겉감",소재DB_RAW!$M$3:$M$2000))))),"")</f>
        <v/>
      </c>
      <c r="Z54" s="26">
        <f>IFERROR(TEXTJOIN(CHAR(10),TRUE,UNIQUE(FILTER(소재DB_RAW!$N$3:$N$2000&amp;") "&amp;소재DB_RAW!$O$3:$O$2000,(소재DB_RAW!$G$3:$G$2000=$D54)*ISNUMBER(SEARCH("안감",소재DB_RAW!$M$3:$M$2000))))),"")</f>
        <v/>
      </c>
      <c r="AA54" s="27" t="n">
        <v>3000</v>
      </c>
      <c r="AB54" s="27" t="n">
        <v>186354000</v>
      </c>
      <c r="AC54" s="27" t="n">
        <v>960000000</v>
      </c>
      <c r="AD54" s="20" t="inlineStr">
        <is>
          <t>1월3주</t>
        </is>
      </c>
      <c r="AE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F54" s="19">
        <f>IF($K54="","",IF(OR(LEFT($AE54,2)="작지",LEFT($AE54,4)="소재입고"),IF(LEFT($G54,1)="S","★ 납기위험(S코드)","◆ 지연주의"),IF($AE54="정상","✓ 정상","? 확인필요")))</f>
        <v/>
      </c>
      <c r="AG54" s="21" t="n"/>
      <c r="AH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21" t="inlineStr">
        <is>
          <t>O</t>
        </is>
      </c>
      <c r="R55" s="21" t="inlineStr">
        <is>
          <t>X</t>
        </is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>
        <f>IFERROR(TEXTJOIN(" / ",TRUE,UNIQUE(FILTER(소재DB_RAW!$K$3:$K$2000,소재DB_RAW!$G$3:$G$2000=$D55))),"")</f>
        <v/>
      </c>
      <c r="W55" s="20" t="inlineStr">
        <is>
          <t>베트남</t>
        </is>
      </c>
      <c r="X55" s="20">
        <f>IFERROR(TEXTJOIN(" / ",TRUE,UNIQUE(FILTER(소재DB_RAW!$N$3:$N$2000,소재DB_RAW!$G$3:$G$2000=$D55))),"")</f>
        <v/>
      </c>
      <c r="Y55" s="26">
        <f>IFERROR(TEXTJOIN(CHAR(10),TRUE,UNIQUE(FILTER(소재DB_RAW!$N$3:$N$2000&amp;") "&amp;소재DB_RAW!$O$3:$O$2000,(소재DB_RAW!$G$3:$G$2000=$D55)*ISNUMBER(SEARCH("겉감",소재DB_RAW!$M$3:$M$2000))))),"")</f>
        <v/>
      </c>
      <c r="Z55" s="26">
        <f>IFERROR(TEXTJOIN(CHAR(10),TRUE,UNIQUE(FILTER(소재DB_RAW!$N$3:$N$2000&amp;") "&amp;소재DB_RAW!$O$3:$O$2000,(소재DB_RAW!$G$3:$G$2000=$D55)*ISNUMBER(SEARCH("안감",소재DB_RAW!$M$3:$M$2000))))),"")</f>
        <v/>
      </c>
      <c r="AA55" s="27" t="n">
        <v>1700</v>
      </c>
      <c r="AB55" s="27" t="n">
        <v>166685000</v>
      </c>
      <c r="AC55" s="27" t="n">
        <v>663000000</v>
      </c>
      <c r="AD55" s="20" t="inlineStr">
        <is>
          <t>1월3주</t>
        </is>
      </c>
      <c r="AE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F55" s="19">
        <f>IF($K55="","",IF(OR(LEFT($AE55,2)="작지",LEFT($AE55,4)="소재입고"),IF(LEFT($G55,1)="S","★ 납기위험(S코드)","◆ 지연주의"),IF($AE55="정상","✓ 정상","? 확인필요")))</f>
        <v/>
      </c>
      <c r="AG55" s="21" t="n"/>
      <c r="AH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21" t="inlineStr">
        <is>
          <t>O</t>
        </is>
      </c>
      <c r="R56" s="21" t="inlineStr">
        <is>
          <t>X</t>
        </is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>
        <f>IFERROR(TEXTJOIN(" / ",TRUE,UNIQUE(FILTER(소재DB_RAW!$K$3:$K$2000,소재DB_RAW!$G$3:$G$2000=$D56))),"")</f>
        <v/>
      </c>
      <c r="W56" s="20" t="inlineStr">
        <is>
          <t>베트남</t>
        </is>
      </c>
      <c r="X56" s="20">
        <f>IFERROR(TEXTJOIN(" / ",TRUE,UNIQUE(FILTER(소재DB_RAW!$N$3:$N$2000,소재DB_RAW!$G$3:$G$2000=$D56))),"")</f>
        <v/>
      </c>
      <c r="Y56" s="26">
        <f>IFERROR(TEXTJOIN(CHAR(10),TRUE,UNIQUE(FILTER(소재DB_RAW!$N$3:$N$2000&amp;") "&amp;소재DB_RAW!$O$3:$O$2000,(소재DB_RAW!$G$3:$G$2000=$D56)*ISNUMBER(SEARCH("겉감",소재DB_RAW!$M$3:$M$2000))))),"")</f>
        <v/>
      </c>
      <c r="Z56" s="26">
        <f>IFERROR(TEXTJOIN(CHAR(10),TRUE,UNIQUE(FILTER(소재DB_RAW!$N$3:$N$2000&amp;") "&amp;소재DB_RAW!$O$3:$O$2000,(소재DB_RAW!$G$3:$G$2000=$D56)*ISNUMBER(SEARCH("안감",소재DB_RAW!$M$3:$M$2000))))),"")</f>
        <v/>
      </c>
      <c r="AA56" s="27" t="n">
        <v>2600</v>
      </c>
      <c r="AB56" s="27" t="n">
        <v>151426800</v>
      </c>
      <c r="AC56" s="27" t="n">
        <v>702000000</v>
      </c>
      <c r="AD56" s="20" t="n"/>
      <c r="AE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F56" s="19">
        <f>IF($K56="","",IF(OR(LEFT($AE56,2)="작지",LEFT($AE56,4)="소재입고"),IF(LEFT($G56,1)="S","★ 납기위험(S코드)","◆ 지연주의"),IF($AE56="정상","✓ 정상","? 확인필요")))</f>
        <v/>
      </c>
      <c r="AG56" s="21" t="n"/>
      <c r="AH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21" t="inlineStr">
        <is>
          <t>O</t>
        </is>
      </c>
      <c r="R57" s="21" t="inlineStr">
        <is>
          <t>X</t>
        </is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>
        <f>IFERROR(TEXTJOIN(" / ",TRUE,UNIQUE(FILTER(소재DB_RAW!$K$3:$K$2000,소재DB_RAW!$G$3:$G$2000=$D57))),"")</f>
        <v/>
      </c>
      <c r="W57" s="20" t="inlineStr">
        <is>
          <t>베트남</t>
        </is>
      </c>
      <c r="X57" s="20">
        <f>IFERROR(TEXTJOIN(" / ",TRUE,UNIQUE(FILTER(소재DB_RAW!$N$3:$N$2000,소재DB_RAW!$G$3:$G$2000=$D57))),"")</f>
        <v/>
      </c>
      <c r="Y57" s="26">
        <f>IFERROR(TEXTJOIN(CHAR(10),TRUE,UNIQUE(FILTER(소재DB_RAW!$N$3:$N$2000&amp;") "&amp;소재DB_RAW!$O$3:$O$2000,(소재DB_RAW!$G$3:$G$2000=$D57)*ISNUMBER(SEARCH("겉감",소재DB_RAW!$M$3:$M$2000))))),"")</f>
        <v/>
      </c>
      <c r="Z57" s="26">
        <f>IFERROR(TEXTJOIN(CHAR(10),TRUE,UNIQUE(FILTER(소재DB_RAW!$N$3:$N$2000&amp;") "&amp;소재DB_RAW!$O$3:$O$2000,(소재DB_RAW!$G$3:$G$2000=$D57)*ISNUMBER(SEARCH("안감",소재DB_RAW!$M$3:$M$2000))))),"")</f>
        <v/>
      </c>
      <c r="AA57" s="27" t="n">
        <v>2500</v>
      </c>
      <c r="AB57" s="27" t="n">
        <v>104250000</v>
      </c>
      <c r="AC57" s="27" t="n">
        <v>495000000</v>
      </c>
      <c r="AD57" s="20" t="n"/>
      <c r="AE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F57" s="19">
        <f>IF($K57="","",IF(OR(LEFT($AE57,2)="작지",LEFT($AE57,4)="소재입고"),IF(LEFT($G57,1)="S","★ 납기위험(S코드)","◆ 지연주의"),IF($AE57="정상","✓ 정상","? 확인필요")))</f>
        <v/>
      </c>
      <c r="AG57" s="21" t="n"/>
      <c r="AH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21" t="inlineStr">
        <is>
          <t>O</t>
        </is>
      </c>
      <c r="R58" s="21" t="inlineStr">
        <is>
          <t>X</t>
        </is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>
        <f>IFERROR(TEXTJOIN(" / ",TRUE,UNIQUE(FILTER(소재DB_RAW!$K$3:$K$2000,소재DB_RAW!$G$3:$G$2000=$D58))),"")</f>
        <v/>
      </c>
      <c r="W58" s="20" t="inlineStr">
        <is>
          <t>베트남</t>
        </is>
      </c>
      <c r="X58" s="20">
        <f>IFERROR(TEXTJOIN(" / ",TRUE,UNIQUE(FILTER(소재DB_RAW!$N$3:$N$2000,소재DB_RAW!$G$3:$G$2000=$D58))),"")</f>
        <v/>
      </c>
      <c r="Y58" s="26">
        <f>IFERROR(TEXTJOIN(CHAR(10),TRUE,UNIQUE(FILTER(소재DB_RAW!$N$3:$N$2000&amp;") "&amp;소재DB_RAW!$O$3:$O$2000,(소재DB_RAW!$G$3:$G$2000=$D58)*ISNUMBER(SEARCH("겉감",소재DB_RAW!$M$3:$M$2000))))),"")</f>
        <v/>
      </c>
      <c r="Z58" s="26">
        <f>IFERROR(TEXTJOIN(CHAR(10),TRUE,UNIQUE(FILTER(소재DB_RAW!$N$3:$N$2000&amp;") "&amp;소재DB_RAW!$O$3:$O$2000,(소재DB_RAW!$G$3:$G$2000=$D58)*ISNUMBER(SEARCH("안감",소재DB_RAW!$M$3:$M$2000))))),"")</f>
        <v/>
      </c>
      <c r="AA58" s="27" t="n">
        <v>1400</v>
      </c>
      <c r="AB58" s="27" t="n">
        <v>54159000</v>
      </c>
      <c r="AC58" s="27" t="n">
        <v>277200000</v>
      </c>
      <c r="AD58" s="20" t="n"/>
      <c r="AE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F58" s="19">
        <f>IF($K58="","",IF(OR(LEFT($AE58,2)="작지",LEFT($AE58,4)="소재입고"),IF(LEFT($G58,1)="S","★ 납기위험(S코드)","◆ 지연주의"),IF($AE58="정상","✓ 정상","? 확인필요")))</f>
        <v/>
      </c>
      <c r="AG58" s="21" t="n"/>
      <c r="AH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21" t="inlineStr">
        <is>
          <t>O</t>
        </is>
      </c>
      <c r="R59" s="21" t="inlineStr">
        <is>
          <t>X</t>
        </is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>
        <f>IFERROR(TEXTJOIN(" / ",TRUE,UNIQUE(FILTER(소재DB_RAW!$K$3:$K$2000,소재DB_RAW!$G$3:$G$2000=$D59))),"")</f>
        <v/>
      </c>
      <c r="W59" s="20" t="inlineStr">
        <is>
          <t>베트남</t>
        </is>
      </c>
      <c r="X59" s="20">
        <f>IFERROR(TEXTJOIN(" / ",TRUE,UNIQUE(FILTER(소재DB_RAW!$N$3:$N$2000,소재DB_RAW!$G$3:$G$2000=$D59))),"")</f>
        <v/>
      </c>
      <c r="Y59" s="26">
        <f>IFERROR(TEXTJOIN(CHAR(10),TRUE,UNIQUE(FILTER(소재DB_RAW!$N$3:$N$2000&amp;") "&amp;소재DB_RAW!$O$3:$O$2000,(소재DB_RAW!$G$3:$G$2000=$D59)*ISNUMBER(SEARCH("겉감",소재DB_RAW!$M$3:$M$2000))))),"")</f>
        <v/>
      </c>
      <c r="Z59" s="26">
        <f>IFERROR(TEXTJOIN(CHAR(10),TRUE,UNIQUE(FILTER(소재DB_RAW!$N$3:$N$2000&amp;") "&amp;소재DB_RAW!$O$3:$O$2000,(소재DB_RAW!$G$3:$G$2000=$D59)*ISNUMBER(SEARCH("안감",소재DB_RAW!$M$3:$M$2000))))),"")</f>
        <v/>
      </c>
      <c r="AA59" s="27" t="n">
        <v>2200</v>
      </c>
      <c r="AB59" s="27" t="n">
        <v>160008200</v>
      </c>
      <c r="AC59" s="27" t="n">
        <v>704000000</v>
      </c>
      <c r="AD59" s="20" t="n"/>
      <c r="AE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F59" s="19">
        <f>IF($K59="","",IF(OR(LEFT($AE59,2)="작지",LEFT($AE59,4)="소재입고"),IF(LEFT($G59,1)="S","★ 납기위험(S코드)","◆ 지연주의"),IF($AE59="정상","✓ 정상","? 확인필요")))</f>
        <v/>
      </c>
      <c r="AG59" s="21" t="n"/>
      <c r="AH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21" t="inlineStr">
        <is>
          <t>O</t>
        </is>
      </c>
      <c r="R60" s="21" t="n"/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>
        <f>IFERROR(TEXTJOIN(" / ",TRUE,UNIQUE(FILTER(소재DB_RAW!$K$3:$K$2000,소재DB_RAW!$G$3:$G$2000=$D60))),"")</f>
        <v/>
      </c>
      <c r="W60" s="20" t="inlineStr"/>
      <c r="X60" s="20">
        <f>IFERROR(TEXTJOIN(" / ",TRUE,UNIQUE(FILTER(소재DB_RAW!$N$3:$N$2000,소재DB_RAW!$G$3:$G$2000=$D60))),"")</f>
        <v/>
      </c>
      <c r="Y60" s="26">
        <f>IFERROR(TEXTJOIN(CHAR(10),TRUE,UNIQUE(FILTER(소재DB_RAW!$N$3:$N$2000&amp;") "&amp;소재DB_RAW!$O$3:$O$2000,(소재DB_RAW!$G$3:$G$2000=$D60)*ISNUMBER(SEARCH("겉감",소재DB_RAW!$M$3:$M$2000))))),"")</f>
        <v/>
      </c>
      <c r="Z60" s="26">
        <f>IFERROR(TEXTJOIN(CHAR(10),TRUE,UNIQUE(FILTER(소재DB_RAW!$N$3:$N$2000&amp;") "&amp;소재DB_RAW!$O$3:$O$2000,(소재DB_RAW!$G$3:$G$2000=$D60)*ISNUMBER(SEARCH("안감",소재DB_RAW!$M$3:$M$2000))))),"")</f>
        <v/>
      </c>
      <c r="AA60" s="27" t="n">
        <v>3000</v>
      </c>
      <c r="AB60" s="27" t="n">
        <v>165927000</v>
      </c>
      <c r="AC60" s="27" t="n">
        <v>810000000</v>
      </c>
      <c r="AD60" s="20" t="inlineStr">
        <is>
          <t>1월3주</t>
        </is>
      </c>
      <c r="AE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F60" s="19">
        <f>IF($K60="","",IF(OR(LEFT($AE60,2)="작지",LEFT($AE60,4)="소재입고"),IF(LEFT($G60,1)="S","★ 납기위험(S코드)","◆ 지연주의"),IF($AE60="정상","✓ 정상","? 확인필요")))</f>
        <v/>
      </c>
      <c r="AG60" s="21" t="n"/>
      <c r="AH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21" t="inlineStr">
        <is>
          <t>O</t>
        </is>
      </c>
      <c r="R61" s="21" t="inlineStr">
        <is>
          <t>X</t>
        </is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>
        <f>IFERROR(TEXTJOIN(" / ",TRUE,UNIQUE(FILTER(소재DB_RAW!$K$3:$K$2000,소재DB_RAW!$G$3:$G$2000=$D61))),"")</f>
        <v/>
      </c>
      <c r="W61" s="20" t="inlineStr">
        <is>
          <t>베트남</t>
        </is>
      </c>
      <c r="X61" s="20">
        <f>IFERROR(TEXTJOIN(" / ",TRUE,UNIQUE(FILTER(소재DB_RAW!$N$3:$N$2000,소재DB_RAW!$G$3:$G$2000=$D61))),"")</f>
        <v/>
      </c>
      <c r="Y61" s="26">
        <f>IFERROR(TEXTJOIN(CHAR(10),TRUE,UNIQUE(FILTER(소재DB_RAW!$N$3:$N$2000&amp;") "&amp;소재DB_RAW!$O$3:$O$2000,(소재DB_RAW!$G$3:$G$2000=$D61)*ISNUMBER(SEARCH("겉감",소재DB_RAW!$M$3:$M$2000))))),"")</f>
        <v/>
      </c>
      <c r="Z61" s="26">
        <f>IFERROR(TEXTJOIN(CHAR(10),TRUE,UNIQUE(FILTER(소재DB_RAW!$N$3:$N$2000&amp;") "&amp;소재DB_RAW!$O$3:$O$2000,(소재DB_RAW!$G$3:$G$2000=$D61)*ISNUMBER(SEARCH("안감",소재DB_RAW!$M$3:$M$2000))))),"")</f>
        <v/>
      </c>
      <c r="AA61" s="27" t="n">
        <v>2500</v>
      </c>
      <c r="AB61" s="27" t="n">
        <v>239177500</v>
      </c>
      <c r="AC61" s="27" t="n">
        <v>975000000</v>
      </c>
      <c r="AD61" s="20" t="n"/>
      <c r="AE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F61" s="19">
        <f>IF($K61="","",IF(OR(LEFT($AE61,2)="작지",LEFT($AE61,4)="소재입고"),IF(LEFT($G61,1)="S","★ 납기위험(S코드)","◆ 지연주의"),IF($AE61="정상","✓ 정상","? 확인필요")))</f>
        <v/>
      </c>
      <c r="AG61" s="21" t="n"/>
      <c r="AH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21" t="inlineStr">
        <is>
          <t>O</t>
        </is>
      </c>
      <c r="R62" s="21" t="inlineStr">
        <is>
          <t>X</t>
        </is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>
        <f>IFERROR(TEXTJOIN(" / ",TRUE,UNIQUE(FILTER(소재DB_RAW!$K$3:$K$2000,소재DB_RAW!$G$3:$G$2000=$D62))),"")</f>
        <v/>
      </c>
      <c r="W62" s="20" t="inlineStr">
        <is>
          <t>베트남</t>
        </is>
      </c>
      <c r="X62" s="20">
        <f>IFERROR(TEXTJOIN(" / ",TRUE,UNIQUE(FILTER(소재DB_RAW!$N$3:$N$2000,소재DB_RAW!$G$3:$G$2000=$D62))),"")</f>
        <v/>
      </c>
      <c r="Y62" s="26">
        <f>IFERROR(TEXTJOIN(CHAR(10),TRUE,UNIQUE(FILTER(소재DB_RAW!$N$3:$N$2000&amp;") "&amp;소재DB_RAW!$O$3:$O$2000,(소재DB_RAW!$G$3:$G$2000=$D62)*ISNUMBER(SEARCH("겉감",소재DB_RAW!$M$3:$M$2000))))),"")</f>
        <v/>
      </c>
      <c r="Z62" s="26">
        <f>IFERROR(TEXTJOIN(CHAR(10),TRUE,UNIQUE(FILTER(소재DB_RAW!$N$3:$N$2000&amp;") "&amp;소재DB_RAW!$O$3:$O$2000,(소재DB_RAW!$G$3:$G$2000=$D62)*ISNUMBER(SEARCH("안감",소재DB_RAW!$M$3:$M$2000))))),"")</f>
        <v/>
      </c>
      <c r="AA62" s="27" t="n">
        <v>1800</v>
      </c>
      <c r="AB62" s="27" t="n">
        <v>160255800</v>
      </c>
      <c r="AC62" s="27" t="n">
        <v>702000000</v>
      </c>
      <c r="AD62" s="20" t="n"/>
      <c r="AE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F62" s="19">
        <f>IF($K62="","",IF(OR(LEFT($AE62,2)="작지",LEFT($AE62,4)="소재입고"),IF(LEFT($G62,1)="S","★ 납기위험(S코드)","◆ 지연주의"),IF($AE62="정상","✓ 정상","? 확인필요")))</f>
        <v/>
      </c>
      <c r="AG62" s="21" t="n"/>
      <c r="AH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21" t="inlineStr">
        <is>
          <t>O</t>
        </is>
      </c>
      <c r="R63" s="21" t="inlineStr">
        <is>
          <t>X</t>
        </is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>
        <f>IFERROR(TEXTJOIN(" / ",TRUE,UNIQUE(FILTER(소재DB_RAW!$K$3:$K$2000,소재DB_RAW!$G$3:$G$2000=$D63))),"")</f>
        <v/>
      </c>
      <c r="W63" s="20" t="inlineStr">
        <is>
          <t>베트남</t>
        </is>
      </c>
      <c r="X63" s="20">
        <f>IFERROR(TEXTJOIN(" / ",TRUE,UNIQUE(FILTER(소재DB_RAW!$N$3:$N$2000,소재DB_RAW!$G$3:$G$2000=$D63))),"")</f>
        <v/>
      </c>
      <c r="Y63" s="26">
        <f>IFERROR(TEXTJOIN(CHAR(10),TRUE,UNIQUE(FILTER(소재DB_RAW!$N$3:$N$2000&amp;") "&amp;소재DB_RAW!$O$3:$O$2000,(소재DB_RAW!$G$3:$G$2000=$D63)*ISNUMBER(SEARCH("겉감",소재DB_RAW!$M$3:$M$2000))))),"")</f>
        <v/>
      </c>
      <c r="Z63" s="26">
        <f>IFERROR(TEXTJOIN(CHAR(10),TRUE,UNIQUE(FILTER(소재DB_RAW!$N$3:$N$2000&amp;") "&amp;소재DB_RAW!$O$3:$O$2000,(소재DB_RAW!$G$3:$G$2000=$D63)*ISNUMBER(SEARCH("안감",소재DB_RAW!$M$3:$M$2000))))),"")</f>
        <v/>
      </c>
      <c r="AA63" s="27" t="n">
        <v>4000</v>
      </c>
      <c r="AB63" s="27" t="n">
        <v>223356000</v>
      </c>
      <c r="AC63" s="27" t="n">
        <v>1160000000</v>
      </c>
      <c r="AD63" s="20" t="n"/>
      <c r="AE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F63" s="19">
        <f>IF($K63="","",IF(OR(LEFT($AE63,2)="작지",LEFT($AE63,4)="소재입고"),IF(LEFT($G63,1)="S","★ 납기위험(S코드)","◆ 지연주의"),IF($AE63="정상","✓ 정상","? 확인필요")))</f>
        <v/>
      </c>
      <c r="AG63" s="21" t="n"/>
      <c r="AH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21" t="inlineStr">
        <is>
          <t>O</t>
        </is>
      </c>
      <c r="R64" s="21" t="inlineStr">
        <is>
          <t>X</t>
        </is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>
        <f>IFERROR(TEXTJOIN(" / ",TRUE,UNIQUE(FILTER(소재DB_RAW!$K$3:$K$2000,소재DB_RAW!$G$3:$G$2000=$D64))),"")</f>
        <v/>
      </c>
      <c r="W64" s="20" t="inlineStr">
        <is>
          <t>베트남</t>
        </is>
      </c>
      <c r="X64" s="20">
        <f>IFERROR(TEXTJOIN(" / ",TRUE,UNIQUE(FILTER(소재DB_RAW!$N$3:$N$2000,소재DB_RAW!$G$3:$G$2000=$D64))),"")</f>
        <v/>
      </c>
      <c r="Y64" s="26">
        <f>IFERROR(TEXTJOIN(CHAR(10),TRUE,UNIQUE(FILTER(소재DB_RAW!$N$3:$N$2000&amp;") "&amp;소재DB_RAW!$O$3:$O$2000,(소재DB_RAW!$G$3:$G$2000=$D64)*ISNUMBER(SEARCH("겉감",소재DB_RAW!$M$3:$M$2000))))),"")</f>
        <v/>
      </c>
      <c r="Z64" s="26">
        <f>IFERROR(TEXTJOIN(CHAR(10),TRUE,UNIQUE(FILTER(소재DB_RAW!$N$3:$N$2000&amp;") "&amp;소재DB_RAW!$O$3:$O$2000,(소재DB_RAW!$G$3:$G$2000=$D64)*ISNUMBER(SEARCH("안감",소재DB_RAW!$M$3:$M$2000))))),"")</f>
        <v/>
      </c>
      <c r="AA64" s="27" t="n">
        <v>2100</v>
      </c>
      <c r="AB64" s="27" t="n">
        <v>106062600</v>
      </c>
      <c r="AC64" s="27" t="n">
        <v>525000000</v>
      </c>
      <c r="AD64" s="20" t="n"/>
      <c r="AE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F64" s="19">
        <f>IF($K64="","",IF(OR(LEFT($AE64,2)="작지",LEFT($AE64,4)="소재입고"),IF(LEFT($G64,1)="S","★ 납기위험(S코드)","◆ 지연주의"),IF($AE64="정상","✓ 정상","? 확인필요")))</f>
        <v/>
      </c>
      <c r="AG64" s="21" t="n"/>
      <c r="AH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21" t="inlineStr">
        <is>
          <t>O</t>
        </is>
      </c>
      <c r="R65" s="21" t="inlineStr">
        <is>
          <t>X</t>
        </is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>
        <f>IFERROR(TEXTJOIN(" / ",TRUE,UNIQUE(FILTER(소재DB_RAW!$K$3:$K$2000,소재DB_RAW!$G$3:$G$2000=$D65))),"")</f>
        <v/>
      </c>
      <c r="W65" s="20" t="inlineStr">
        <is>
          <t>베트남</t>
        </is>
      </c>
      <c r="X65" s="20">
        <f>IFERROR(TEXTJOIN(" / ",TRUE,UNIQUE(FILTER(소재DB_RAW!$N$3:$N$2000,소재DB_RAW!$G$3:$G$2000=$D65))),"")</f>
        <v/>
      </c>
      <c r="Y65" s="26">
        <f>IFERROR(TEXTJOIN(CHAR(10),TRUE,UNIQUE(FILTER(소재DB_RAW!$N$3:$N$2000&amp;") "&amp;소재DB_RAW!$O$3:$O$2000,(소재DB_RAW!$G$3:$G$2000=$D65)*ISNUMBER(SEARCH("겉감",소재DB_RAW!$M$3:$M$2000))))),"")</f>
        <v/>
      </c>
      <c r="Z65" s="26">
        <f>IFERROR(TEXTJOIN(CHAR(10),TRUE,UNIQUE(FILTER(소재DB_RAW!$N$3:$N$2000&amp;") "&amp;소재DB_RAW!$O$3:$O$2000,(소재DB_RAW!$G$3:$G$2000=$D65)*ISNUMBER(SEARCH("안감",소재DB_RAW!$M$3:$M$2000))))),"")</f>
        <v/>
      </c>
      <c r="AA65" s="27" t="n">
        <v>2200</v>
      </c>
      <c r="AB65" s="27" t="n">
        <v>84143400</v>
      </c>
      <c r="AC65" s="27" t="n">
        <v>413600000</v>
      </c>
      <c r="AD65" s="20" t="inlineStr">
        <is>
          <t>1월3주</t>
        </is>
      </c>
      <c r="AE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F65" s="19">
        <f>IF($K65="","",IF(OR(LEFT($AE65,2)="작지",LEFT($AE65,4)="소재입고"),IF(LEFT($G65,1)="S","★ 납기위험(S코드)","◆ 지연주의"),IF($AE65="정상","✓ 정상","? 확인필요")))</f>
        <v/>
      </c>
      <c r="AG65" s="21" t="n"/>
      <c r="AH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21" t="inlineStr">
        <is>
          <t>O</t>
        </is>
      </c>
      <c r="R66" s="21" t="inlineStr">
        <is>
          <t>X</t>
        </is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>
        <f>IFERROR(TEXTJOIN(" / ",TRUE,UNIQUE(FILTER(소재DB_RAW!$K$3:$K$2000,소재DB_RAW!$G$3:$G$2000=$D66))),"")</f>
        <v/>
      </c>
      <c r="W66" s="20" t="inlineStr">
        <is>
          <t>베트남</t>
        </is>
      </c>
      <c r="X66" s="20">
        <f>IFERROR(TEXTJOIN(" / ",TRUE,UNIQUE(FILTER(소재DB_RAW!$N$3:$N$2000,소재DB_RAW!$G$3:$G$2000=$D66))),"")</f>
        <v/>
      </c>
      <c r="Y66" s="26">
        <f>IFERROR(TEXTJOIN(CHAR(10),TRUE,UNIQUE(FILTER(소재DB_RAW!$N$3:$N$2000&amp;") "&amp;소재DB_RAW!$O$3:$O$2000,(소재DB_RAW!$G$3:$G$2000=$D66)*ISNUMBER(SEARCH("겉감",소재DB_RAW!$M$3:$M$2000))))),"")</f>
        <v/>
      </c>
      <c r="Z66" s="26">
        <f>IFERROR(TEXTJOIN(CHAR(10),TRUE,UNIQUE(FILTER(소재DB_RAW!$N$3:$N$2000&amp;") "&amp;소재DB_RAW!$O$3:$O$2000,(소재DB_RAW!$G$3:$G$2000=$D66)*ISNUMBER(SEARCH("안감",소재DB_RAW!$M$3:$M$2000))))),"")</f>
        <v/>
      </c>
      <c r="AA66" s="27" t="n">
        <v>1800</v>
      </c>
      <c r="AB66" s="27" t="n">
        <v>62686800</v>
      </c>
      <c r="AC66" s="27" t="n">
        <v>338400000</v>
      </c>
      <c r="AD66" s="20" t="inlineStr">
        <is>
          <t>1월3주</t>
        </is>
      </c>
      <c r="AE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F66" s="19">
        <f>IF($K66="","",IF(OR(LEFT($AE66,2)="작지",LEFT($AE66,4)="소재입고"),IF(LEFT($G66,1)="S","★ 납기위험(S코드)","◆ 지연주의"),IF($AE66="정상","✓ 정상","? 확인필요")))</f>
        <v/>
      </c>
      <c r="AG66" s="21" t="n"/>
      <c r="AH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21" t="inlineStr">
        <is>
          <t>O</t>
        </is>
      </c>
      <c r="R67" s="21" t="inlineStr">
        <is>
          <t>X</t>
        </is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>
        <f>IFERROR(TEXTJOIN(" / ",TRUE,UNIQUE(FILTER(소재DB_RAW!$K$3:$K$2000,소재DB_RAW!$G$3:$G$2000=$D67))),"")</f>
        <v/>
      </c>
      <c r="W67" s="20" t="inlineStr">
        <is>
          <t>베트남</t>
        </is>
      </c>
      <c r="X67" s="20">
        <f>IFERROR(TEXTJOIN(" / ",TRUE,UNIQUE(FILTER(소재DB_RAW!$N$3:$N$2000,소재DB_RAW!$G$3:$G$2000=$D67))),"")</f>
        <v/>
      </c>
      <c r="Y67" s="26">
        <f>IFERROR(TEXTJOIN(CHAR(10),TRUE,UNIQUE(FILTER(소재DB_RAW!$N$3:$N$2000&amp;") "&amp;소재DB_RAW!$O$3:$O$2000,(소재DB_RAW!$G$3:$G$2000=$D67)*ISNUMBER(SEARCH("겉감",소재DB_RAW!$M$3:$M$2000))))),"")</f>
        <v/>
      </c>
      <c r="Z67" s="26">
        <f>IFERROR(TEXTJOIN(CHAR(10),TRUE,UNIQUE(FILTER(소재DB_RAW!$N$3:$N$2000&amp;") "&amp;소재DB_RAW!$O$3:$O$2000,(소재DB_RAW!$G$3:$G$2000=$D67)*ISNUMBER(SEARCH("안감",소재DB_RAW!$M$3:$M$2000))))),"")</f>
        <v/>
      </c>
      <c r="AA67" s="27" t="n">
        <v>1800</v>
      </c>
      <c r="AB67" s="27" t="n">
        <v>55549800</v>
      </c>
      <c r="AC67" s="27" t="n">
        <v>320400000</v>
      </c>
      <c r="AD67" s="20" t="inlineStr">
        <is>
          <t>1월3주</t>
        </is>
      </c>
      <c r="AE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F67" s="19">
        <f>IF($K67="","",IF(OR(LEFT($AE67,2)="작지",LEFT($AE67,4)="소재입고"),IF(LEFT($G67,1)="S","★ 납기위험(S코드)","◆ 지연주의"),IF($AE67="정상","✓ 정상","? 확인필요")))</f>
        <v/>
      </c>
      <c r="AG67" s="21" t="n"/>
      <c r="AH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21" t="inlineStr">
        <is>
          <t>O</t>
        </is>
      </c>
      <c r="R68" s="21" t="inlineStr">
        <is>
          <t>X</t>
        </is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>
        <f>IFERROR(TEXTJOIN(" / ",TRUE,UNIQUE(FILTER(소재DB_RAW!$K$3:$K$2000,소재DB_RAW!$G$3:$G$2000=$D68))),"")</f>
        <v/>
      </c>
      <c r="W68" s="20" t="inlineStr">
        <is>
          <t>베트남</t>
        </is>
      </c>
      <c r="X68" s="20">
        <f>IFERROR(TEXTJOIN(" / ",TRUE,UNIQUE(FILTER(소재DB_RAW!$N$3:$N$2000,소재DB_RAW!$G$3:$G$2000=$D68))),"")</f>
        <v/>
      </c>
      <c r="Y68" s="26">
        <f>IFERROR(TEXTJOIN(CHAR(10),TRUE,UNIQUE(FILTER(소재DB_RAW!$N$3:$N$2000&amp;") "&amp;소재DB_RAW!$O$3:$O$2000,(소재DB_RAW!$G$3:$G$2000=$D68)*ISNUMBER(SEARCH("겉감",소재DB_RAW!$M$3:$M$2000))))),"")</f>
        <v/>
      </c>
      <c r="Z68" s="26">
        <f>IFERROR(TEXTJOIN(CHAR(10),TRUE,UNIQUE(FILTER(소재DB_RAW!$N$3:$N$2000&amp;") "&amp;소재DB_RAW!$O$3:$O$2000,(소재DB_RAW!$G$3:$G$2000=$D68)*ISNUMBER(SEARCH("안감",소재DB_RAW!$M$3:$M$2000))))),"")</f>
        <v/>
      </c>
      <c r="AA68" s="27" t="n">
        <v>2200</v>
      </c>
      <c r="AB68" s="27" t="n">
        <v>84966200</v>
      </c>
      <c r="AC68" s="27" t="n">
        <v>413600000</v>
      </c>
      <c r="AD68" s="20" t="inlineStr">
        <is>
          <t>1월3주</t>
        </is>
      </c>
      <c r="AE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F68" s="19">
        <f>IF($K68="","",IF(OR(LEFT($AE68,2)="작지",LEFT($AE68,4)="소재입고"),IF(LEFT($G68,1)="S","★ 납기위험(S코드)","◆ 지연주의"),IF($AE68="정상","✓ 정상","? 확인필요")))</f>
        <v/>
      </c>
      <c r="AG68" s="21" t="n"/>
      <c r="AH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21" t="inlineStr">
        <is>
          <t>O</t>
        </is>
      </c>
      <c r="R69" s="21" t="inlineStr">
        <is>
          <t>X</t>
        </is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>
        <f>IFERROR(TEXTJOIN(" / ",TRUE,UNIQUE(FILTER(소재DB_RAW!$K$3:$K$2000,소재DB_RAW!$G$3:$G$2000=$D69))),"")</f>
        <v/>
      </c>
      <c r="W69" s="20" t="inlineStr">
        <is>
          <t>인도네시아</t>
        </is>
      </c>
      <c r="X69" s="20">
        <f>IFERROR(TEXTJOIN(" / ",TRUE,UNIQUE(FILTER(소재DB_RAW!$N$3:$N$2000,소재DB_RAW!$G$3:$G$2000=$D69))),"")</f>
        <v/>
      </c>
      <c r="Y69" s="26">
        <f>IFERROR(TEXTJOIN(CHAR(10),TRUE,UNIQUE(FILTER(소재DB_RAW!$N$3:$N$2000&amp;") "&amp;소재DB_RAW!$O$3:$O$2000,(소재DB_RAW!$G$3:$G$2000=$D69)*ISNUMBER(SEARCH("겉감",소재DB_RAW!$M$3:$M$2000))))),"")</f>
        <v/>
      </c>
      <c r="Z69" s="26">
        <f>IFERROR(TEXTJOIN(CHAR(10),TRUE,UNIQUE(FILTER(소재DB_RAW!$N$3:$N$2000&amp;") "&amp;소재DB_RAW!$O$3:$O$2000,(소재DB_RAW!$G$3:$G$2000=$D69)*ISNUMBER(SEARCH("안감",소재DB_RAW!$M$3:$M$2000))))),"")</f>
        <v/>
      </c>
      <c r="AA69" s="27" t="n">
        <v>1200</v>
      </c>
      <c r="AB69" s="27" t="n">
        <v>36117600</v>
      </c>
      <c r="AC69" s="27" t="n">
        <v>225600000</v>
      </c>
      <c r="AD69" s="20" t="inlineStr">
        <is>
          <t>1월3주</t>
        </is>
      </c>
      <c r="AE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F69" s="19">
        <f>IF($K69="","",IF(OR(LEFT($AE69,2)="작지",LEFT($AE69,4)="소재입고"),IF(LEFT($G69,1)="S","★ 납기위험(S코드)","◆ 지연주의"),IF($AE69="정상","✓ 정상","? 확인필요")))</f>
        <v/>
      </c>
      <c r="AG69" s="21" t="n"/>
      <c r="AH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21" t="inlineStr">
        <is>
          <t>O</t>
        </is>
      </c>
      <c r="R70" s="21" t="inlineStr">
        <is>
          <t>X</t>
        </is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>
        <f>IFERROR(TEXTJOIN(" / ",TRUE,UNIQUE(FILTER(소재DB_RAW!$K$3:$K$2000,소재DB_RAW!$G$3:$G$2000=$D70))),"")</f>
        <v/>
      </c>
      <c r="W70" s="20" t="inlineStr">
        <is>
          <t>베트남</t>
        </is>
      </c>
      <c r="X70" s="20">
        <f>IFERROR(TEXTJOIN(" / ",TRUE,UNIQUE(FILTER(소재DB_RAW!$N$3:$N$2000,소재DB_RAW!$G$3:$G$2000=$D70))),"")</f>
        <v/>
      </c>
      <c r="Y70" s="26">
        <f>IFERROR(TEXTJOIN(CHAR(10),TRUE,UNIQUE(FILTER(소재DB_RAW!$N$3:$N$2000&amp;") "&amp;소재DB_RAW!$O$3:$O$2000,(소재DB_RAW!$G$3:$G$2000=$D70)*ISNUMBER(SEARCH("겉감",소재DB_RAW!$M$3:$M$2000))))),"")</f>
        <v/>
      </c>
      <c r="Z70" s="26">
        <f>IFERROR(TEXTJOIN(CHAR(10),TRUE,UNIQUE(FILTER(소재DB_RAW!$N$3:$N$2000&amp;") "&amp;소재DB_RAW!$O$3:$O$2000,(소재DB_RAW!$G$3:$G$2000=$D70)*ISNUMBER(SEARCH("안감",소재DB_RAW!$M$3:$M$2000))))),"")</f>
        <v/>
      </c>
      <c r="AA70" s="27" t="n">
        <v>450</v>
      </c>
      <c r="AB70" s="27" t="n">
        <v>24435450</v>
      </c>
      <c r="AC70" s="27" t="n">
        <v>130500000</v>
      </c>
      <c r="AD70" s="20" t="n"/>
      <c r="AE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F70" s="19">
        <f>IF($K70="","",IF(OR(LEFT($AE70,2)="작지",LEFT($AE70,4)="소재입고"),IF(LEFT($G70,1)="S","★ 납기위험(S코드)","◆ 지연주의"),IF($AE70="정상","✓ 정상","? 확인필요")))</f>
        <v/>
      </c>
      <c r="AG70" s="21" t="n"/>
      <c r="AH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21" t="inlineStr">
        <is>
          <t>O</t>
        </is>
      </c>
      <c r="R71" s="21" t="inlineStr">
        <is>
          <t>X</t>
        </is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>
        <f>IFERROR(TEXTJOIN(" / ",TRUE,UNIQUE(FILTER(소재DB_RAW!$K$3:$K$2000,소재DB_RAW!$G$3:$G$2000=$D71))),"")</f>
        <v/>
      </c>
      <c r="W71" s="20" t="inlineStr">
        <is>
          <t>베트남</t>
        </is>
      </c>
      <c r="X71" s="20">
        <f>IFERROR(TEXTJOIN(" / ",TRUE,UNIQUE(FILTER(소재DB_RAW!$N$3:$N$2000,소재DB_RAW!$G$3:$G$2000=$D71))),"")</f>
        <v/>
      </c>
      <c r="Y71" s="26">
        <f>IFERROR(TEXTJOIN(CHAR(10),TRUE,UNIQUE(FILTER(소재DB_RAW!$N$3:$N$2000&amp;") "&amp;소재DB_RAW!$O$3:$O$2000,(소재DB_RAW!$G$3:$G$2000=$D71)*ISNUMBER(SEARCH("겉감",소재DB_RAW!$M$3:$M$2000))))),"")</f>
        <v/>
      </c>
      <c r="Z71" s="26">
        <f>IFERROR(TEXTJOIN(CHAR(10),TRUE,UNIQUE(FILTER(소재DB_RAW!$N$3:$N$2000&amp;") "&amp;소재DB_RAW!$O$3:$O$2000,(소재DB_RAW!$G$3:$G$2000=$D71)*ISNUMBER(SEARCH("안감",소재DB_RAW!$M$3:$M$2000))))),"")</f>
        <v/>
      </c>
      <c r="AA71" s="27" t="n">
        <v>400</v>
      </c>
      <c r="AB71" s="27" t="n">
        <v>13356000</v>
      </c>
      <c r="AC71" s="27" t="n">
        <v>59200000</v>
      </c>
      <c r="AD71" s="20" t="n"/>
      <c r="AE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F71" s="19">
        <f>IF($K71="","",IF(OR(LEFT($AE71,2)="작지",LEFT($AE71,4)="소재입고"),IF(LEFT($G71,1)="S","★ 납기위험(S코드)","◆ 지연주의"),IF($AE71="정상","✓ 정상","? 확인필요")))</f>
        <v/>
      </c>
      <c r="AG71" s="21" t="n"/>
      <c r="AH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21" t="inlineStr">
        <is>
          <t>O</t>
        </is>
      </c>
      <c r="R72" s="21" t="inlineStr">
        <is>
          <t>X</t>
        </is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>
        <f>IFERROR(TEXTJOIN(" / ",TRUE,UNIQUE(FILTER(소재DB_RAW!$K$3:$K$2000,소재DB_RAW!$G$3:$G$2000=$D72))),"")</f>
        <v/>
      </c>
      <c r="W72" s="20" t="inlineStr">
        <is>
          <t>인도네시아</t>
        </is>
      </c>
      <c r="X72" s="20">
        <f>IFERROR(TEXTJOIN(" / ",TRUE,UNIQUE(FILTER(소재DB_RAW!$N$3:$N$2000,소재DB_RAW!$G$3:$G$2000=$D72))),"")</f>
        <v/>
      </c>
      <c r="Y72" s="26">
        <f>IFERROR(TEXTJOIN(CHAR(10),TRUE,UNIQUE(FILTER(소재DB_RAW!$N$3:$N$2000&amp;") "&amp;소재DB_RAW!$O$3:$O$2000,(소재DB_RAW!$G$3:$G$2000=$D72)*ISNUMBER(SEARCH("겉감",소재DB_RAW!$M$3:$M$2000))))),"")</f>
        <v/>
      </c>
      <c r="Z72" s="26">
        <f>IFERROR(TEXTJOIN(CHAR(10),TRUE,UNIQUE(FILTER(소재DB_RAW!$N$3:$N$2000&amp;") "&amp;소재DB_RAW!$O$3:$O$2000,(소재DB_RAW!$G$3:$G$2000=$D72)*ISNUMBER(SEARCH("안감",소재DB_RAW!$M$3:$M$2000))))),"")</f>
        <v/>
      </c>
      <c r="AA72" s="27" t="n">
        <v>305</v>
      </c>
      <c r="AB72" s="27" t="n">
        <v>17391405</v>
      </c>
      <c r="AC72" s="27" t="n">
        <v>76250000</v>
      </c>
      <c r="AD72" s="20" t="n"/>
      <c r="AE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F72" s="19">
        <f>IF($K72="","",IF(OR(LEFT($AE72,2)="작지",LEFT($AE72,4)="소재입고"),IF(LEFT($G72,1)="S","★ 납기위험(S코드)","◆ 지연주의"),IF($AE72="정상","✓ 정상","? 확인필요")))</f>
        <v/>
      </c>
      <c r="AG72" s="21" t="n"/>
      <c r="AH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21" t="inlineStr">
        <is>
          <t>O</t>
        </is>
      </c>
      <c r="R73" s="21" t="inlineStr">
        <is>
          <t>X</t>
        </is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>
        <f>IFERROR(TEXTJOIN(" / ",TRUE,UNIQUE(FILTER(소재DB_RAW!$K$3:$K$2000,소재DB_RAW!$G$3:$G$2000=$D73))),"")</f>
        <v/>
      </c>
      <c r="W73" s="20" t="inlineStr">
        <is>
          <t>베트남</t>
        </is>
      </c>
      <c r="X73" s="20">
        <f>IFERROR(TEXTJOIN(" / ",TRUE,UNIQUE(FILTER(소재DB_RAW!$N$3:$N$2000,소재DB_RAW!$G$3:$G$2000=$D73))),"")</f>
        <v/>
      </c>
      <c r="Y73" s="26">
        <f>IFERROR(TEXTJOIN(CHAR(10),TRUE,UNIQUE(FILTER(소재DB_RAW!$N$3:$N$2000&amp;") "&amp;소재DB_RAW!$O$3:$O$2000,(소재DB_RAW!$G$3:$G$2000=$D73)*ISNUMBER(SEARCH("겉감",소재DB_RAW!$M$3:$M$2000))))),"")</f>
        <v/>
      </c>
      <c r="Z73" s="26">
        <f>IFERROR(TEXTJOIN(CHAR(10),TRUE,UNIQUE(FILTER(소재DB_RAW!$N$3:$N$2000&amp;") "&amp;소재DB_RAW!$O$3:$O$2000,(소재DB_RAW!$G$3:$G$2000=$D73)*ISNUMBER(SEARCH("안감",소재DB_RAW!$M$3:$M$2000))))),"")</f>
        <v/>
      </c>
      <c r="AA73" s="27" t="n">
        <v>650</v>
      </c>
      <c r="AB73" s="27" t="n">
        <v>36090600</v>
      </c>
      <c r="AC73" s="27" t="n">
        <v>188500000</v>
      </c>
      <c r="AD73" s="20" t="n"/>
      <c r="AE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F73" s="19">
        <f>IF($K73="","",IF(OR(LEFT($AE73,2)="작지",LEFT($AE73,4)="소재입고"),IF(LEFT($G73,1)="S","★ 납기위험(S코드)","◆ 지연주의"),IF($AE73="정상","✓ 정상","? 확인필요")))</f>
        <v/>
      </c>
      <c r="AG73" s="21" t="n"/>
      <c r="AH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21" t="inlineStr">
        <is>
          <t>O</t>
        </is>
      </c>
      <c r="R74" s="21" t="inlineStr">
        <is>
          <t>X</t>
        </is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>
        <f>IFERROR(TEXTJOIN(" / ",TRUE,UNIQUE(FILTER(소재DB_RAW!$K$3:$K$2000,소재DB_RAW!$G$3:$G$2000=$D74))),"")</f>
        <v/>
      </c>
      <c r="W74" s="20" t="inlineStr">
        <is>
          <t>인도네시아</t>
        </is>
      </c>
      <c r="X74" s="20">
        <f>IFERROR(TEXTJOIN(" / ",TRUE,UNIQUE(FILTER(소재DB_RAW!$N$3:$N$2000,소재DB_RAW!$G$3:$G$2000=$D74))),"")</f>
        <v/>
      </c>
      <c r="Y74" s="26">
        <f>IFERROR(TEXTJOIN(CHAR(10),TRUE,UNIQUE(FILTER(소재DB_RAW!$N$3:$N$2000&amp;") "&amp;소재DB_RAW!$O$3:$O$2000,(소재DB_RAW!$G$3:$G$2000=$D74)*ISNUMBER(SEARCH("겉감",소재DB_RAW!$M$3:$M$2000))))),"")</f>
        <v/>
      </c>
      <c r="Z74" s="26">
        <f>IFERROR(TEXTJOIN(CHAR(10),TRUE,UNIQUE(FILTER(소재DB_RAW!$N$3:$N$2000&amp;") "&amp;소재DB_RAW!$O$3:$O$2000,(소재DB_RAW!$G$3:$G$2000=$D74)*ISNUMBER(SEARCH("안감",소재DB_RAW!$M$3:$M$2000))))),"")</f>
        <v/>
      </c>
      <c r="AA74" s="27" t="n">
        <v>1000</v>
      </c>
      <c r="AB74" s="27" t="n">
        <v>34655000</v>
      </c>
      <c r="AC74" s="27" t="n">
        <v>168000000</v>
      </c>
      <c r="AD74" s="20" t="n"/>
      <c r="AE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F74" s="19">
        <f>IF($K74="","",IF(OR(LEFT($AE74,2)="작지",LEFT($AE74,4)="소재입고"),IF(LEFT($G74,1)="S","★ 납기위험(S코드)","◆ 지연주의"),IF($AE74="정상","✓ 정상","? 확인필요")))</f>
        <v/>
      </c>
      <c r="AG74" s="21" t="n"/>
      <c r="AH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21" t="inlineStr">
        <is>
          <t>O</t>
        </is>
      </c>
      <c r="R75" s="21" t="inlineStr">
        <is>
          <t>X</t>
        </is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>
        <f>IFERROR(TEXTJOIN(" / ",TRUE,UNIQUE(FILTER(소재DB_RAW!$K$3:$K$2000,소재DB_RAW!$G$3:$G$2000=$D75))),"")</f>
        <v/>
      </c>
      <c r="W75" s="20" t="inlineStr">
        <is>
          <t>베트남</t>
        </is>
      </c>
      <c r="X75" s="20">
        <f>IFERROR(TEXTJOIN(" / ",TRUE,UNIQUE(FILTER(소재DB_RAW!$N$3:$N$2000,소재DB_RAW!$G$3:$G$2000=$D75))),"")</f>
        <v/>
      </c>
      <c r="Y75" s="26">
        <f>IFERROR(TEXTJOIN(CHAR(10),TRUE,UNIQUE(FILTER(소재DB_RAW!$N$3:$N$2000&amp;") "&amp;소재DB_RAW!$O$3:$O$2000,(소재DB_RAW!$G$3:$G$2000=$D75)*ISNUMBER(SEARCH("겉감",소재DB_RAW!$M$3:$M$2000))))),"")</f>
        <v/>
      </c>
      <c r="Z75" s="26">
        <f>IFERROR(TEXTJOIN(CHAR(10),TRUE,UNIQUE(FILTER(소재DB_RAW!$N$3:$N$2000&amp;") "&amp;소재DB_RAW!$O$3:$O$2000,(소재DB_RAW!$G$3:$G$2000=$D75)*ISNUMBER(SEARCH("안감",소재DB_RAW!$M$3:$M$2000))))),"")</f>
        <v/>
      </c>
      <c r="AA75" s="27" t="n">
        <v>2000</v>
      </c>
      <c r="AB75" s="27" t="n">
        <v>66580000</v>
      </c>
      <c r="AC75" s="27" t="n">
        <v>316000000</v>
      </c>
      <c r="AD75" s="20" t="n"/>
      <c r="AE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F75" s="19">
        <f>IF($K75="","",IF(OR(LEFT($AE75,2)="작지",LEFT($AE75,4)="소재입고"),IF(LEFT($G75,1)="S","★ 납기위험(S코드)","◆ 지연주의"),IF($AE75="정상","✓ 정상","? 확인필요")))</f>
        <v/>
      </c>
      <c r="AG75" s="21" t="n"/>
      <c r="AH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21" t="inlineStr">
        <is>
          <t>O</t>
        </is>
      </c>
      <c r="R76" s="21" t="inlineStr">
        <is>
          <t>X</t>
        </is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>
        <f>IFERROR(TEXTJOIN(" / ",TRUE,UNIQUE(FILTER(소재DB_RAW!$K$3:$K$2000,소재DB_RAW!$G$3:$G$2000=$D76))),"")</f>
        <v/>
      </c>
      <c r="W76" s="20" t="inlineStr">
        <is>
          <t>베트남</t>
        </is>
      </c>
      <c r="X76" s="20">
        <f>IFERROR(TEXTJOIN(" / ",TRUE,UNIQUE(FILTER(소재DB_RAW!$N$3:$N$2000,소재DB_RAW!$G$3:$G$2000=$D76))),"")</f>
        <v/>
      </c>
      <c r="Y76" s="26">
        <f>IFERROR(TEXTJOIN(CHAR(10),TRUE,UNIQUE(FILTER(소재DB_RAW!$N$3:$N$2000&amp;") "&amp;소재DB_RAW!$O$3:$O$2000,(소재DB_RAW!$G$3:$G$2000=$D76)*ISNUMBER(SEARCH("겉감",소재DB_RAW!$M$3:$M$2000))))),"")</f>
        <v/>
      </c>
      <c r="Z76" s="26">
        <f>IFERROR(TEXTJOIN(CHAR(10),TRUE,UNIQUE(FILTER(소재DB_RAW!$N$3:$N$2000&amp;") "&amp;소재DB_RAW!$O$3:$O$2000,(소재DB_RAW!$G$3:$G$2000=$D76)*ISNUMBER(SEARCH("안감",소재DB_RAW!$M$3:$M$2000))))),"")</f>
        <v/>
      </c>
      <c r="AA76" s="27" t="n">
        <v>500</v>
      </c>
      <c r="AB76" s="27" t="n">
        <v>19151000</v>
      </c>
      <c r="AC76" s="27" t="n">
        <v>74000000</v>
      </c>
      <c r="AD76" s="20" t="n"/>
      <c r="AE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F76" s="19">
        <f>IF($K76="","",IF(OR(LEFT($AE76,2)="작지",LEFT($AE76,4)="소재입고"),IF(LEFT($G76,1)="S","★ 납기위험(S코드)","◆ 지연주의"),IF($AE76="정상","✓ 정상","? 확인필요")))</f>
        <v/>
      </c>
      <c r="AG76" s="21" t="n"/>
      <c r="AH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21" t="inlineStr">
        <is>
          <t>O</t>
        </is>
      </c>
      <c r="R77" s="21" t="inlineStr">
        <is>
          <t>X</t>
        </is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>
        <f>IFERROR(TEXTJOIN(" / ",TRUE,UNIQUE(FILTER(소재DB_RAW!$K$3:$K$2000,소재DB_RAW!$G$3:$G$2000=$D77))),"")</f>
        <v/>
      </c>
      <c r="W77" s="20" t="inlineStr">
        <is>
          <t>인도네시아</t>
        </is>
      </c>
      <c r="X77" s="20">
        <f>IFERROR(TEXTJOIN(" / ",TRUE,UNIQUE(FILTER(소재DB_RAW!$N$3:$N$2000,소재DB_RAW!$G$3:$G$2000=$D77))),"")</f>
        <v/>
      </c>
      <c r="Y77" s="26">
        <f>IFERROR(TEXTJOIN(CHAR(10),TRUE,UNIQUE(FILTER(소재DB_RAW!$N$3:$N$2000&amp;") "&amp;소재DB_RAW!$O$3:$O$2000,(소재DB_RAW!$G$3:$G$2000=$D77)*ISNUMBER(SEARCH("겉감",소재DB_RAW!$M$3:$M$2000))))),"")</f>
        <v/>
      </c>
      <c r="Z77" s="26">
        <f>IFERROR(TEXTJOIN(CHAR(10),TRUE,UNIQUE(FILTER(소재DB_RAW!$N$3:$N$2000&amp;") "&amp;소재DB_RAW!$O$3:$O$2000,(소재DB_RAW!$G$3:$G$2000=$D77)*ISNUMBER(SEARCH("안감",소재DB_RAW!$M$3:$M$2000))))),"")</f>
        <v/>
      </c>
      <c r="AA77" s="27" t="n">
        <v>870</v>
      </c>
      <c r="AB77" s="27" t="n">
        <v>53128290</v>
      </c>
      <c r="AC77" s="27" t="n">
        <v>217500000</v>
      </c>
      <c r="AD77" s="20" t="n"/>
      <c r="AE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F77" s="19">
        <f>IF($K77="","",IF(OR(LEFT($AE77,2)="작지",LEFT($AE77,4)="소재입고"),IF(LEFT($G77,1)="S","★ 납기위험(S코드)","◆ 지연주의"),IF($AE77="정상","✓ 정상","? 확인필요")))</f>
        <v/>
      </c>
      <c r="AG77" s="21" t="n"/>
      <c r="AH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21" t="inlineStr">
        <is>
          <t>O</t>
        </is>
      </c>
      <c r="R78" s="21" t="inlineStr">
        <is>
          <t>X</t>
        </is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>
        <f>IFERROR(TEXTJOIN(" / ",TRUE,UNIQUE(FILTER(소재DB_RAW!$K$3:$K$2000,소재DB_RAW!$G$3:$G$2000=$D78))),"")</f>
        <v/>
      </c>
      <c r="W78" s="20" t="inlineStr">
        <is>
          <t>베트남</t>
        </is>
      </c>
      <c r="X78" s="20">
        <f>IFERROR(TEXTJOIN(" / ",TRUE,UNIQUE(FILTER(소재DB_RAW!$N$3:$N$2000,소재DB_RAW!$G$3:$G$2000=$D78))),"")</f>
        <v/>
      </c>
      <c r="Y78" s="26">
        <f>IFERROR(TEXTJOIN(CHAR(10),TRUE,UNIQUE(FILTER(소재DB_RAW!$N$3:$N$2000&amp;") "&amp;소재DB_RAW!$O$3:$O$2000,(소재DB_RAW!$G$3:$G$2000=$D78)*ISNUMBER(SEARCH("겉감",소재DB_RAW!$M$3:$M$2000))))),"")</f>
        <v/>
      </c>
      <c r="Z78" s="26">
        <f>IFERROR(TEXTJOIN(CHAR(10),TRUE,UNIQUE(FILTER(소재DB_RAW!$N$3:$N$2000&amp;") "&amp;소재DB_RAW!$O$3:$O$2000,(소재DB_RAW!$G$3:$G$2000=$D78)*ISNUMBER(SEARCH("안감",소재DB_RAW!$M$3:$M$2000))))),"")</f>
        <v/>
      </c>
      <c r="AA78" s="27" t="n">
        <v>2500</v>
      </c>
      <c r="AB78" s="27" t="n">
        <v>248750000</v>
      </c>
      <c r="AC78" s="27" t="n">
        <v>1125000000</v>
      </c>
      <c r="AD78" s="20" t="n"/>
      <c r="AE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F78" s="19">
        <f>IF($K78="","",IF(OR(LEFT($AE78,2)="작지",LEFT($AE78,4)="소재입고"),IF(LEFT($G78,1)="S","★ 납기위험(S코드)","◆ 지연주의"),IF($AE78="정상","✓ 정상","? 확인필요")))</f>
        <v/>
      </c>
      <c r="AG78" s="21" t="n"/>
      <c r="AH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21" t="inlineStr">
        <is>
          <t>O</t>
        </is>
      </c>
      <c r="R79" s="21" t="inlineStr">
        <is>
          <t>X</t>
        </is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>
        <f>IFERROR(TEXTJOIN(" / ",TRUE,UNIQUE(FILTER(소재DB_RAW!$K$3:$K$2000,소재DB_RAW!$G$3:$G$2000=$D79))),"")</f>
        <v/>
      </c>
      <c r="W79" s="20" t="inlineStr">
        <is>
          <t>미얀마</t>
        </is>
      </c>
      <c r="X79" s="20">
        <f>IFERROR(TEXTJOIN(" / ",TRUE,UNIQUE(FILTER(소재DB_RAW!$N$3:$N$2000,소재DB_RAW!$G$3:$G$2000=$D79))),"")</f>
        <v/>
      </c>
      <c r="Y79" s="26">
        <f>IFERROR(TEXTJOIN(CHAR(10),TRUE,UNIQUE(FILTER(소재DB_RAW!$N$3:$N$2000&amp;") "&amp;소재DB_RAW!$O$3:$O$2000,(소재DB_RAW!$G$3:$G$2000=$D79)*ISNUMBER(SEARCH("겉감",소재DB_RAW!$M$3:$M$2000))))),"")</f>
        <v/>
      </c>
      <c r="Z79" s="26">
        <f>IFERROR(TEXTJOIN(CHAR(10),TRUE,UNIQUE(FILTER(소재DB_RAW!$N$3:$N$2000&amp;") "&amp;소재DB_RAW!$O$3:$O$2000,(소재DB_RAW!$G$3:$G$2000=$D79)*ISNUMBER(SEARCH("안감",소재DB_RAW!$M$3:$M$2000))))),"")</f>
        <v/>
      </c>
      <c r="AA79" s="27" t="n">
        <v>7000</v>
      </c>
      <c r="AB79" s="27" t="n">
        <v>624813000</v>
      </c>
      <c r="AC79" s="27" t="n">
        <v>2730000000</v>
      </c>
      <c r="AD79" s="20" t="n"/>
      <c r="AE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F79" s="19">
        <f>IF($K79="","",IF(OR(LEFT($AE79,2)="작지",LEFT($AE79,4)="소재입고"),IF(LEFT($G79,1)="S","★ 납기위험(S코드)","◆ 지연주의"),IF($AE79="정상","✓ 정상","? 확인필요")))</f>
        <v/>
      </c>
      <c r="AG79" s="21" t="n"/>
      <c r="AH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21" t="inlineStr">
        <is>
          <t>O</t>
        </is>
      </c>
      <c r="R80" s="21" t="inlineStr">
        <is>
          <t>X</t>
        </is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>
        <f>IFERROR(TEXTJOIN(" / ",TRUE,UNIQUE(FILTER(소재DB_RAW!$K$3:$K$2000,소재DB_RAW!$G$3:$G$2000=$D80))),"")</f>
        <v/>
      </c>
      <c r="W80" s="20" t="inlineStr"/>
      <c r="X80" s="20">
        <f>IFERROR(TEXTJOIN(" / ",TRUE,UNIQUE(FILTER(소재DB_RAW!$N$3:$N$2000,소재DB_RAW!$G$3:$G$2000=$D80))),"")</f>
        <v/>
      </c>
      <c r="Y80" s="26">
        <f>IFERROR(TEXTJOIN(CHAR(10),TRUE,UNIQUE(FILTER(소재DB_RAW!$N$3:$N$2000&amp;") "&amp;소재DB_RAW!$O$3:$O$2000,(소재DB_RAW!$G$3:$G$2000=$D80)*ISNUMBER(SEARCH("겉감",소재DB_RAW!$M$3:$M$2000))))),"")</f>
        <v/>
      </c>
      <c r="Z80" s="26">
        <f>IFERROR(TEXTJOIN(CHAR(10),TRUE,UNIQUE(FILTER(소재DB_RAW!$N$3:$N$2000&amp;") "&amp;소재DB_RAW!$O$3:$O$2000,(소재DB_RAW!$G$3:$G$2000=$D80)*ISNUMBER(SEARCH("안감",소재DB_RAW!$M$3:$M$2000))))),"")</f>
        <v/>
      </c>
      <c r="AA80" s="27" t="n">
        <v>800</v>
      </c>
      <c r="AB80" s="27" t="n">
        <v>53180800</v>
      </c>
      <c r="AC80" s="27" t="n">
        <v>256000000</v>
      </c>
      <c r="AD80" s="20" t="inlineStr">
        <is>
          <t>2월1주</t>
        </is>
      </c>
      <c r="AE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F80" s="19">
        <f>IF($K80="","",IF(OR(LEFT($AE80,2)="작지",LEFT($AE80,4)="소재입고"),IF(LEFT($G80,1)="S","★ 납기위험(S코드)","◆ 지연주의"),IF($AE80="정상","✓ 정상","? 확인필요")))</f>
        <v/>
      </c>
      <c r="AG80" s="21" t="n"/>
      <c r="AH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21" t="inlineStr">
        <is>
          <t>O</t>
        </is>
      </c>
      <c r="R81" s="21" t="inlineStr">
        <is>
          <t>X</t>
        </is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>
        <f>IFERROR(TEXTJOIN(" / ",TRUE,UNIQUE(FILTER(소재DB_RAW!$K$3:$K$2000,소재DB_RAW!$G$3:$G$2000=$D81))),"")</f>
        <v/>
      </c>
      <c r="W81" s="20" t="inlineStr">
        <is>
          <t>인도네시아</t>
        </is>
      </c>
      <c r="X81" s="20">
        <f>IFERROR(TEXTJOIN(" / ",TRUE,UNIQUE(FILTER(소재DB_RAW!$N$3:$N$2000,소재DB_RAW!$G$3:$G$2000=$D81))),"")</f>
        <v/>
      </c>
      <c r="Y81" s="26">
        <f>IFERROR(TEXTJOIN(CHAR(10),TRUE,UNIQUE(FILTER(소재DB_RAW!$N$3:$N$2000&amp;") "&amp;소재DB_RAW!$O$3:$O$2000,(소재DB_RAW!$G$3:$G$2000=$D81)*ISNUMBER(SEARCH("겉감",소재DB_RAW!$M$3:$M$2000))))),"")</f>
        <v/>
      </c>
      <c r="Z81" s="26">
        <f>IFERROR(TEXTJOIN(CHAR(10),TRUE,UNIQUE(FILTER(소재DB_RAW!$N$3:$N$2000&amp;") "&amp;소재DB_RAW!$O$3:$O$2000,(소재DB_RAW!$G$3:$G$2000=$D81)*ISNUMBER(SEARCH("안감",소재DB_RAW!$M$3:$M$2000))))),"")</f>
        <v/>
      </c>
      <c r="AA81" s="27" t="n">
        <v>4000</v>
      </c>
      <c r="AB81" s="27" t="n">
        <v>282392800</v>
      </c>
      <c r="AC81" s="27" t="n">
        <v>1280000000</v>
      </c>
      <c r="AD81" s="20" t="n"/>
      <c r="AE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F81" s="19">
        <f>IF($K81="","",IF(OR(LEFT($AE81,2)="작지",LEFT($AE81,4)="소재입고"),IF(LEFT($G81,1)="S","★ 납기위험(S코드)","◆ 지연주의"),IF($AE81="정상","✓ 정상","? 확인필요")))</f>
        <v/>
      </c>
      <c r="AG81" s="21" t="n"/>
      <c r="AH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21" t="inlineStr">
        <is>
          <t>O</t>
        </is>
      </c>
      <c r="R82" s="21" t="inlineStr">
        <is>
          <t>X</t>
        </is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>
        <f>IFERROR(TEXTJOIN(" / ",TRUE,UNIQUE(FILTER(소재DB_RAW!$K$3:$K$2000,소재DB_RAW!$G$3:$G$2000=$D82))),"")</f>
        <v/>
      </c>
      <c r="W82" s="20" t="inlineStr">
        <is>
          <t>베트남</t>
        </is>
      </c>
      <c r="X82" s="20">
        <f>IFERROR(TEXTJOIN(" / ",TRUE,UNIQUE(FILTER(소재DB_RAW!$N$3:$N$2000,소재DB_RAW!$G$3:$G$2000=$D82))),"")</f>
        <v/>
      </c>
      <c r="Y82" s="26">
        <f>IFERROR(TEXTJOIN(CHAR(10),TRUE,UNIQUE(FILTER(소재DB_RAW!$N$3:$N$2000&amp;") "&amp;소재DB_RAW!$O$3:$O$2000,(소재DB_RAW!$G$3:$G$2000=$D82)*ISNUMBER(SEARCH("겉감",소재DB_RAW!$M$3:$M$2000))))),"")</f>
        <v/>
      </c>
      <c r="Z82" s="26">
        <f>IFERROR(TEXTJOIN(CHAR(10),TRUE,UNIQUE(FILTER(소재DB_RAW!$N$3:$N$2000&amp;") "&amp;소재DB_RAW!$O$3:$O$2000,(소재DB_RAW!$G$3:$G$2000=$D82)*ISNUMBER(SEARCH("안감",소재DB_RAW!$M$3:$M$2000))))),"")</f>
        <v/>
      </c>
      <c r="AA82" s="27" t="n">
        <v>1800</v>
      </c>
      <c r="AB82" s="27" t="n">
        <v>62179200</v>
      </c>
      <c r="AC82" s="27" t="n">
        <v>356400000</v>
      </c>
      <c r="AD82" s="20" t="inlineStr">
        <is>
          <t>2월1주</t>
        </is>
      </c>
      <c r="AE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F82" s="19">
        <f>IF($K82="","",IF(OR(LEFT($AE82,2)="작지",LEFT($AE82,4)="소재입고"),IF(LEFT($G82,1)="S","★ 납기위험(S코드)","◆ 지연주의"),IF($AE82="정상","✓ 정상","? 확인필요")))</f>
        <v/>
      </c>
      <c r="AG82" s="21" t="n"/>
      <c r="AH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21" t="inlineStr">
        <is>
          <t>O</t>
        </is>
      </c>
      <c r="R83" s="21" t="inlineStr">
        <is>
          <t>X</t>
        </is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>
        <f>IFERROR(TEXTJOIN(" / ",TRUE,UNIQUE(FILTER(소재DB_RAW!$K$3:$K$2000,소재DB_RAW!$G$3:$G$2000=$D83))),"")</f>
        <v/>
      </c>
      <c r="W83" s="20" t="inlineStr">
        <is>
          <t>인도네시아</t>
        </is>
      </c>
      <c r="X83" s="20">
        <f>IFERROR(TEXTJOIN(" / ",TRUE,UNIQUE(FILTER(소재DB_RAW!$N$3:$N$2000,소재DB_RAW!$G$3:$G$2000=$D83))),"")</f>
        <v/>
      </c>
      <c r="Y83" s="26">
        <f>IFERROR(TEXTJOIN(CHAR(10),TRUE,UNIQUE(FILTER(소재DB_RAW!$N$3:$N$2000&amp;") "&amp;소재DB_RAW!$O$3:$O$2000,(소재DB_RAW!$G$3:$G$2000=$D83)*ISNUMBER(SEARCH("겉감",소재DB_RAW!$M$3:$M$2000))))),"")</f>
        <v/>
      </c>
      <c r="Z83" s="26">
        <f>IFERROR(TEXTJOIN(CHAR(10),TRUE,UNIQUE(FILTER(소재DB_RAW!$N$3:$N$2000&amp;") "&amp;소재DB_RAW!$O$3:$O$2000,(소재DB_RAW!$G$3:$G$2000=$D83)*ISNUMBER(SEARCH("안감",소재DB_RAW!$M$3:$M$2000))))),"")</f>
        <v/>
      </c>
      <c r="AA83" s="27" t="n">
        <v>2000</v>
      </c>
      <c r="AB83" s="27" t="n">
        <v>52250000</v>
      </c>
      <c r="AC83" s="27" t="n">
        <v>296000000</v>
      </c>
      <c r="AD83" s="20" t="inlineStr">
        <is>
          <t>2월1주</t>
        </is>
      </c>
      <c r="AE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F83" s="19">
        <f>IF($K83="","",IF(OR(LEFT($AE83,2)="작지",LEFT($AE83,4)="소재입고"),IF(LEFT($G83,1)="S","★ 납기위험(S코드)","◆ 지연주의"),IF($AE83="정상","✓ 정상","? 확인필요")))</f>
        <v/>
      </c>
      <c r="AG83" s="21" t="n"/>
      <c r="AH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21" t="inlineStr">
        <is>
          <t>O</t>
        </is>
      </c>
      <c r="R84" s="21" t="inlineStr">
        <is>
          <t>X</t>
        </is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>
        <f>IFERROR(TEXTJOIN(" / ",TRUE,UNIQUE(FILTER(소재DB_RAW!$K$3:$K$2000,소재DB_RAW!$G$3:$G$2000=$D84))),"")</f>
        <v/>
      </c>
      <c r="W84" s="20" t="inlineStr">
        <is>
          <t>인도네시아</t>
        </is>
      </c>
      <c r="X84" s="20">
        <f>IFERROR(TEXTJOIN(" / ",TRUE,UNIQUE(FILTER(소재DB_RAW!$N$3:$N$2000,소재DB_RAW!$G$3:$G$2000=$D84))),"")</f>
        <v/>
      </c>
      <c r="Y84" s="26">
        <f>IFERROR(TEXTJOIN(CHAR(10),TRUE,UNIQUE(FILTER(소재DB_RAW!$N$3:$N$2000&amp;") "&amp;소재DB_RAW!$O$3:$O$2000,(소재DB_RAW!$G$3:$G$2000=$D84)*ISNUMBER(SEARCH("겉감",소재DB_RAW!$M$3:$M$2000))))),"")</f>
        <v/>
      </c>
      <c r="Z84" s="26">
        <f>IFERROR(TEXTJOIN(CHAR(10),TRUE,UNIQUE(FILTER(소재DB_RAW!$N$3:$N$2000&amp;") "&amp;소재DB_RAW!$O$3:$O$2000,(소재DB_RAW!$G$3:$G$2000=$D84)*ISNUMBER(SEARCH("안감",소재DB_RAW!$M$3:$M$2000))))),"")</f>
        <v/>
      </c>
      <c r="AA84" s="27" t="n">
        <v>1300</v>
      </c>
      <c r="AB84" s="27" t="n">
        <v>27060800</v>
      </c>
      <c r="AC84" s="27" t="n">
        <v>166400000</v>
      </c>
      <c r="AD84" s="20" t="inlineStr">
        <is>
          <t>2월1주</t>
        </is>
      </c>
      <c r="AE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F84" s="19">
        <f>IF($K84="","",IF(OR(LEFT($AE84,2)="작지",LEFT($AE84,4)="소재입고"),IF(LEFT($G84,1)="S","★ 납기위험(S코드)","◆ 지연주의"),IF($AE84="정상","✓ 정상","? 확인필요")))</f>
        <v/>
      </c>
      <c r="AG84" s="21" t="n"/>
      <c r="AH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21" t="inlineStr">
        <is>
          <t>O</t>
        </is>
      </c>
      <c r="R85" s="21" t="inlineStr">
        <is>
          <t>X</t>
        </is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>
        <f>IFERROR(TEXTJOIN(" / ",TRUE,UNIQUE(FILTER(소재DB_RAW!$K$3:$K$2000,소재DB_RAW!$G$3:$G$2000=$D85))),"")</f>
        <v/>
      </c>
      <c r="W85" s="20" t="inlineStr">
        <is>
          <t>인도네시아</t>
        </is>
      </c>
      <c r="X85" s="20">
        <f>IFERROR(TEXTJOIN(" / ",TRUE,UNIQUE(FILTER(소재DB_RAW!$N$3:$N$2000,소재DB_RAW!$G$3:$G$2000=$D85))),"")</f>
        <v/>
      </c>
      <c r="Y85" s="26">
        <f>IFERROR(TEXTJOIN(CHAR(10),TRUE,UNIQUE(FILTER(소재DB_RAW!$N$3:$N$2000&amp;") "&amp;소재DB_RAW!$O$3:$O$2000,(소재DB_RAW!$G$3:$G$2000=$D85)*ISNUMBER(SEARCH("겉감",소재DB_RAW!$M$3:$M$2000))))),"")</f>
        <v/>
      </c>
      <c r="Z85" s="26">
        <f>IFERROR(TEXTJOIN(CHAR(10),TRUE,UNIQUE(FILTER(소재DB_RAW!$N$3:$N$2000&amp;") "&amp;소재DB_RAW!$O$3:$O$2000,(소재DB_RAW!$G$3:$G$2000=$D85)*ISNUMBER(SEARCH("안감",소재DB_RAW!$M$3:$M$2000))))),"")</f>
        <v/>
      </c>
      <c r="AA85" s="27" t="n">
        <v>1200</v>
      </c>
      <c r="AB85" s="27" t="n">
        <v>32727600</v>
      </c>
      <c r="AC85" s="27" t="n">
        <v>201600000</v>
      </c>
      <c r="AD85" s="20" t="inlineStr">
        <is>
          <t>2월1주</t>
        </is>
      </c>
      <c r="AE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F85" s="19">
        <f>IF($K85="","",IF(OR(LEFT($AE85,2)="작지",LEFT($AE85,4)="소재입고"),IF(LEFT($G85,1)="S","★ 납기위험(S코드)","◆ 지연주의"),IF($AE85="정상","✓ 정상","? 확인필요")))</f>
        <v/>
      </c>
      <c r="AG85" s="21" t="n"/>
      <c r="AH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21" t="inlineStr">
        <is>
          <t>O</t>
        </is>
      </c>
      <c r="R86" s="21" t="inlineStr">
        <is>
          <t>X</t>
        </is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>
        <f>IFERROR(TEXTJOIN(" / ",TRUE,UNIQUE(FILTER(소재DB_RAW!$K$3:$K$2000,소재DB_RAW!$G$3:$G$2000=$D86))),"")</f>
        <v/>
      </c>
      <c r="W86" s="20" t="inlineStr">
        <is>
          <t>인도네시아</t>
        </is>
      </c>
      <c r="X86" s="20">
        <f>IFERROR(TEXTJOIN(" / ",TRUE,UNIQUE(FILTER(소재DB_RAW!$N$3:$N$2000,소재DB_RAW!$G$3:$G$2000=$D86))),"")</f>
        <v/>
      </c>
      <c r="Y86" s="26">
        <f>IFERROR(TEXTJOIN(CHAR(10),TRUE,UNIQUE(FILTER(소재DB_RAW!$N$3:$N$2000&amp;") "&amp;소재DB_RAW!$O$3:$O$2000,(소재DB_RAW!$G$3:$G$2000=$D86)*ISNUMBER(SEARCH("겉감",소재DB_RAW!$M$3:$M$2000))))),"")</f>
        <v/>
      </c>
      <c r="Z86" s="26">
        <f>IFERROR(TEXTJOIN(CHAR(10),TRUE,UNIQUE(FILTER(소재DB_RAW!$N$3:$N$2000&amp;") "&amp;소재DB_RAW!$O$3:$O$2000,(소재DB_RAW!$G$3:$G$2000=$D86)*ISNUMBER(SEARCH("안감",소재DB_RAW!$M$3:$M$2000))))),"")</f>
        <v/>
      </c>
      <c r="AA86" s="27" t="n">
        <v>3000</v>
      </c>
      <c r="AB86" s="27" t="n">
        <v>114219000</v>
      </c>
      <c r="AC86" s="27" t="n">
        <v>504000000</v>
      </c>
      <c r="AD86" s="20" t="inlineStr">
        <is>
          <t>2월1주</t>
        </is>
      </c>
      <c r="AE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F86" s="19">
        <f>IF($K86="","",IF(OR(LEFT($AE86,2)="작지",LEFT($AE86,4)="소재입고"),IF(LEFT($G86,1)="S","★ 납기위험(S코드)","◆ 지연주의"),IF($AE86="정상","✓ 정상","? 확인필요")))</f>
        <v/>
      </c>
      <c r="AG86" s="21" t="n"/>
      <c r="AH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21" t="inlineStr">
        <is>
          <t>O</t>
        </is>
      </c>
      <c r="R87" s="21" t="inlineStr">
        <is>
          <t>X</t>
        </is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>
        <f>IFERROR(TEXTJOIN(" / ",TRUE,UNIQUE(FILTER(소재DB_RAW!$K$3:$K$2000,소재DB_RAW!$G$3:$G$2000=$D87))),"")</f>
        <v/>
      </c>
      <c r="W87" s="20" t="inlineStr">
        <is>
          <t>인도네시아</t>
        </is>
      </c>
      <c r="X87" s="20">
        <f>IFERROR(TEXTJOIN(" / ",TRUE,UNIQUE(FILTER(소재DB_RAW!$N$3:$N$2000,소재DB_RAW!$G$3:$G$2000=$D87))),"")</f>
        <v/>
      </c>
      <c r="Y87" s="26">
        <f>IFERROR(TEXTJOIN(CHAR(10),TRUE,UNIQUE(FILTER(소재DB_RAW!$N$3:$N$2000&amp;") "&amp;소재DB_RAW!$O$3:$O$2000,(소재DB_RAW!$G$3:$G$2000=$D87)*ISNUMBER(SEARCH("겉감",소재DB_RAW!$M$3:$M$2000))))),"")</f>
        <v/>
      </c>
      <c r="Z87" s="26">
        <f>IFERROR(TEXTJOIN(CHAR(10),TRUE,UNIQUE(FILTER(소재DB_RAW!$N$3:$N$2000&amp;") "&amp;소재DB_RAW!$O$3:$O$2000,(소재DB_RAW!$G$3:$G$2000=$D87)*ISNUMBER(SEARCH("안감",소재DB_RAW!$M$3:$M$2000))))),"")</f>
        <v/>
      </c>
      <c r="AA87" s="27" t="n">
        <v>1400</v>
      </c>
      <c r="AB87" s="27" t="n">
        <v>31536400</v>
      </c>
      <c r="AC87" s="27" t="n">
        <v>207200000</v>
      </c>
      <c r="AD87" s="20" t="inlineStr">
        <is>
          <t>2월1주</t>
        </is>
      </c>
      <c r="AE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F87" s="19">
        <f>IF($K87="","",IF(OR(LEFT($AE87,2)="작지",LEFT($AE87,4)="소재입고"),IF(LEFT($G87,1)="S","★ 납기위험(S코드)","◆ 지연주의"),IF($AE87="정상","✓ 정상","? 확인필요")))</f>
        <v/>
      </c>
      <c r="AG87" s="21" t="n"/>
      <c r="AH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21" t="inlineStr">
        <is>
          <t>O</t>
        </is>
      </c>
      <c r="R88" s="21" t="inlineStr">
        <is>
          <t>X</t>
        </is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>
        <f>IFERROR(TEXTJOIN(" / ",TRUE,UNIQUE(FILTER(소재DB_RAW!$K$3:$K$2000,소재DB_RAW!$G$3:$G$2000=$D88))),"")</f>
        <v/>
      </c>
      <c r="W88" s="20" t="inlineStr">
        <is>
          <t>베트남</t>
        </is>
      </c>
      <c r="X88" s="20">
        <f>IFERROR(TEXTJOIN(" / ",TRUE,UNIQUE(FILTER(소재DB_RAW!$N$3:$N$2000,소재DB_RAW!$G$3:$G$2000=$D88))),"")</f>
        <v/>
      </c>
      <c r="Y88" s="26">
        <f>IFERROR(TEXTJOIN(CHAR(10),TRUE,UNIQUE(FILTER(소재DB_RAW!$N$3:$N$2000&amp;") "&amp;소재DB_RAW!$O$3:$O$2000,(소재DB_RAW!$G$3:$G$2000=$D88)*ISNUMBER(SEARCH("겉감",소재DB_RAW!$M$3:$M$2000))))),"")</f>
        <v/>
      </c>
      <c r="Z88" s="26">
        <f>IFERROR(TEXTJOIN(CHAR(10),TRUE,UNIQUE(FILTER(소재DB_RAW!$N$3:$N$2000&amp;") "&amp;소재DB_RAW!$O$3:$O$2000,(소재DB_RAW!$G$3:$G$2000=$D88)*ISNUMBER(SEARCH("안감",소재DB_RAW!$M$3:$M$2000))))),"")</f>
        <v/>
      </c>
      <c r="AA88" s="27" t="n">
        <v>2500</v>
      </c>
      <c r="AB88" s="27" t="n">
        <v>273335000</v>
      </c>
      <c r="AC88" s="27" t="n">
        <v>1125000000</v>
      </c>
      <c r="AD88" s="20" t="n"/>
      <c r="AE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F88" s="19">
        <f>IF($K88="","",IF(OR(LEFT($AE88,2)="작지",LEFT($AE88,4)="소재입고"),IF(LEFT($G88,1)="S","★ 납기위험(S코드)","◆ 지연주의"),IF($AE88="정상","✓ 정상","? 확인필요")))</f>
        <v/>
      </c>
      <c r="AG88" s="21" t="n"/>
      <c r="AH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21" t="inlineStr">
        <is>
          <t>O</t>
        </is>
      </c>
      <c r="R89" s="21" t="inlineStr">
        <is>
          <t>X</t>
        </is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>
        <f>IFERROR(TEXTJOIN(" / ",TRUE,UNIQUE(FILTER(소재DB_RAW!$K$3:$K$2000,소재DB_RAW!$G$3:$G$2000=$D89))),"")</f>
        <v/>
      </c>
      <c r="W89" s="20" t="inlineStr">
        <is>
          <t>미얀마</t>
        </is>
      </c>
      <c r="X89" s="20">
        <f>IFERROR(TEXTJOIN(" / ",TRUE,UNIQUE(FILTER(소재DB_RAW!$N$3:$N$2000,소재DB_RAW!$G$3:$G$2000=$D89))),"")</f>
        <v/>
      </c>
      <c r="Y89" s="26">
        <f>IFERROR(TEXTJOIN(CHAR(10),TRUE,UNIQUE(FILTER(소재DB_RAW!$N$3:$N$2000&amp;") "&amp;소재DB_RAW!$O$3:$O$2000,(소재DB_RAW!$G$3:$G$2000=$D89)*ISNUMBER(SEARCH("겉감",소재DB_RAW!$M$3:$M$2000))))),"")</f>
        <v/>
      </c>
      <c r="Z89" s="26">
        <f>IFERROR(TEXTJOIN(CHAR(10),TRUE,UNIQUE(FILTER(소재DB_RAW!$N$3:$N$2000&amp;") "&amp;소재DB_RAW!$O$3:$O$2000,(소재DB_RAW!$G$3:$G$2000=$D89)*ISNUMBER(SEARCH("안감",소재DB_RAW!$M$3:$M$2000))))),"")</f>
        <v/>
      </c>
      <c r="AA89" s="27" t="n">
        <v>7640</v>
      </c>
      <c r="AB89" s="27" t="n">
        <v>753495000</v>
      </c>
      <c r="AC89" s="27" t="n">
        <v>2979600000</v>
      </c>
      <c r="AD89" s="20" t="n"/>
      <c r="AE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F89" s="19">
        <f>IF($K89="","",IF(OR(LEFT($AE89,2)="작지",LEFT($AE89,4)="소재입고"),IF(LEFT($G89,1)="S","★ 납기위험(S코드)","◆ 지연주의"),IF($AE89="정상","✓ 정상","? 확인필요")))</f>
        <v/>
      </c>
      <c r="AG89" s="21" t="n"/>
      <c r="AH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21" t="inlineStr">
        <is>
          <t>O</t>
        </is>
      </c>
      <c r="R90" s="21" t="inlineStr">
        <is>
          <t>X</t>
        </is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>
        <f>IFERROR(TEXTJOIN(" / ",TRUE,UNIQUE(FILTER(소재DB_RAW!$K$3:$K$2000,소재DB_RAW!$G$3:$G$2000=$D90))),"")</f>
        <v/>
      </c>
      <c r="W90" s="20" t="inlineStr">
        <is>
          <t>인도네시아</t>
        </is>
      </c>
      <c r="X90" s="20">
        <f>IFERROR(TEXTJOIN(" / ",TRUE,UNIQUE(FILTER(소재DB_RAW!$N$3:$N$2000,소재DB_RAW!$G$3:$G$2000=$D90))),"")</f>
        <v/>
      </c>
      <c r="Y90" s="26">
        <f>IFERROR(TEXTJOIN(CHAR(10),TRUE,UNIQUE(FILTER(소재DB_RAW!$N$3:$N$2000&amp;") "&amp;소재DB_RAW!$O$3:$O$2000,(소재DB_RAW!$G$3:$G$2000=$D90)*ISNUMBER(SEARCH("겉감",소재DB_RAW!$M$3:$M$2000))))),"")</f>
        <v/>
      </c>
      <c r="Z90" s="26">
        <f>IFERROR(TEXTJOIN(CHAR(10),TRUE,UNIQUE(FILTER(소재DB_RAW!$N$3:$N$2000&amp;") "&amp;소재DB_RAW!$O$3:$O$2000,(소재DB_RAW!$G$3:$G$2000=$D90)*ISNUMBER(SEARCH("안감",소재DB_RAW!$M$3:$M$2000))))),"")</f>
        <v/>
      </c>
      <c r="AA90" s="27" t="n">
        <v>2200</v>
      </c>
      <c r="AB90" s="27" t="n">
        <v>169224000</v>
      </c>
      <c r="AC90" s="27" t="n">
        <v>704000000</v>
      </c>
      <c r="AD90" s="20" t="n"/>
      <c r="AE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F90" s="19">
        <f>IF($K90="","",IF(OR(LEFT($AE90,2)="작지",LEFT($AE90,4)="소재입고"),IF(LEFT($G90,1)="S","★ 납기위험(S코드)","◆ 지연주의"),IF($AE90="정상","✓ 정상","? 확인필요")))</f>
        <v/>
      </c>
      <c r="AG90" s="21" t="n"/>
      <c r="AH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21" t="inlineStr">
        <is>
          <t>O</t>
        </is>
      </c>
      <c r="R91" s="21" t="inlineStr">
        <is>
          <t>X</t>
        </is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>
        <f>IFERROR(TEXTJOIN(" / ",TRUE,UNIQUE(FILTER(소재DB_RAW!$K$3:$K$2000,소재DB_RAW!$G$3:$G$2000=$D91))),"")</f>
        <v/>
      </c>
      <c r="W91" s="20" t="inlineStr">
        <is>
          <t>인도네시아</t>
        </is>
      </c>
      <c r="X91" s="20">
        <f>IFERROR(TEXTJOIN(" / ",TRUE,UNIQUE(FILTER(소재DB_RAW!$N$3:$N$2000,소재DB_RAW!$G$3:$G$2000=$D91))),"")</f>
        <v/>
      </c>
      <c r="Y91" s="26">
        <f>IFERROR(TEXTJOIN(CHAR(10),TRUE,UNIQUE(FILTER(소재DB_RAW!$N$3:$N$2000&amp;") "&amp;소재DB_RAW!$O$3:$O$2000,(소재DB_RAW!$G$3:$G$2000=$D91)*ISNUMBER(SEARCH("겉감",소재DB_RAW!$M$3:$M$2000))))),"")</f>
        <v/>
      </c>
      <c r="Z91" s="26">
        <f>IFERROR(TEXTJOIN(CHAR(10),TRUE,UNIQUE(FILTER(소재DB_RAW!$N$3:$N$2000&amp;") "&amp;소재DB_RAW!$O$3:$O$2000,(소재DB_RAW!$G$3:$G$2000=$D91)*ISNUMBER(SEARCH("안감",소재DB_RAW!$M$3:$M$2000))))),"")</f>
        <v/>
      </c>
      <c r="AA91" s="27" t="n">
        <v>7000</v>
      </c>
      <c r="AB91" s="27" t="n">
        <v>566366500</v>
      </c>
      <c r="AC91" s="27" t="n">
        <v>2240000000</v>
      </c>
      <c r="AD91" s="20" t="n"/>
      <c r="AE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F91" s="19">
        <f>IF($K91="","",IF(OR(LEFT($AE91,2)="작지",LEFT($AE91,4)="소재입고"),IF(LEFT($G91,1)="S","★ 납기위험(S코드)","◆ 지연주의"),IF($AE91="정상","✓ 정상","? 확인필요")))</f>
        <v/>
      </c>
      <c r="AG91" s="21" t="n"/>
      <c r="AH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21" t="inlineStr">
        <is>
          <t>O</t>
        </is>
      </c>
      <c r="R92" s="21" t="inlineStr">
        <is>
          <t>X</t>
        </is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>
        <f>IFERROR(TEXTJOIN(" / ",TRUE,UNIQUE(FILTER(소재DB_RAW!$K$3:$K$2000,소재DB_RAW!$G$3:$G$2000=$D92))),"")</f>
        <v/>
      </c>
      <c r="W92" s="20" t="inlineStr">
        <is>
          <t>베트남</t>
        </is>
      </c>
      <c r="X92" s="20">
        <f>IFERROR(TEXTJOIN(" / ",TRUE,UNIQUE(FILTER(소재DB_RAW!$N$3:$N$2000,소재DB_RAW!$G$3:$G$2000=$D92))),"")</f>
        <v/>
      </c>
      <c r="Y92" s="26">
        <f>IFERROR(TEXTJOIN(CHAR(10),TRUE,UNIQUE(FILTER(소재DB_RAW!$N$3:$N$2000&amp;") "&amp;소재DB_RAW!$O$3:$O$2000,(소재DB_RAW!$G$3:$G$2000=$D92)*ISNUMBER(SEARCH("겉감",소재DB_RAW!$M$3:$M$2000))))),"")</f>
        <v/>
      </c>
      <c r="Z92" s="26">
        <f>IFERROR(TEXTJOIN(CHAR(10),TRUE,UNIQUE(FILTER(소재DB_RAW!$N$3:$N$2000&amp;") "&amp;소재DB_RAW!$O$3:$O$2000,(소재DB_RAW!$G$3:$G$2000=$D92)*ISNUMBER(SEARCH("안감",소재DB_RAW!$M$3:$M$2000))))),"")</f>
        <v/>
      </c>
      <c r="AA92" s="27" t="n">
        <v>2800</v>
      </c>
      <c r="AB92" s="27" t="n">
        <v>226968000</v>
      </c>
      <c r="AC92" s="27" t="n">
        <v>896000000</v>
      </c>
      <c r="AD92" s="20" t="inlineStr">
        <is>
          <t>2월1주</t>
        </is>
      </c>
      <c r="AE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F92" s="19">
        <f>IF($K92="","",IF(OR(LEFT($AE92,2)="작지",LEFT($AE92,4)="소재입고"),IF(LEFT($G92,1)="S","★ 납기위험(S코드)","◆ 지연주의"),IF($AE92="정상","✓ 정상","? 확인필요")))</f>
        <v/>
      </c>
      <c r="AG92" s="21" t="n"/>
      <c r="AH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21" t="inlineStr">
        <is>
          <t>O</t>
        </is>
      </c>
      <c r="R93" s="21" t="inlineStr">
        <is>
          <t>X</t>
        </is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>
        <f>IFERROR(TEXTJOIN(" / ",TRUE,UNIQUE(FILTER(소재DB_RAW!$K$3:$K$2000,소재DB_RAW!$G$3:$G$2000=$D93))),"")</f>
        <v/>
      </c>
      <c r="W93" s="20" t="inlineStr">
        <is>
          <t>베트남</t>
        </is>
      </c>
      <c r="X93" s="20">
        <f>IFERROR(TEXTJOIN(" / ",TRUE,UNIQUE(FILTER(소재DB_RAW!$N$3:$N$2000,소재DB_RAW!$G$3:$G$2000=$D93))),"")</f>
        <v/>
      </c>
      <c r="Y93" s="26">
        <f>IFERROR(TEXTJOIN(CHAR(10),TRUE,UNIQUE(FILTER(소재DB_RAW!$N$3:$N$2000&amp;") "&amp;소재DB_RAW!$O$3:$O$2000,(소재DB_RAW!$G$3:$G$2000=$D93)*ISNUMBER(SEARCH("겉감",소재DB_RAW!$M$3:$M$2000))))),"")</f>
        <v/>
      </c>
      <c r="Z93" s="26">
        <f>IFERROR(TEXTJOIN(CHAR(10),TRUE,UNIQUE(FILTER(소재DB_RAW!$N$3:$N$2000&amp;") "&amp;소재DB_RAW!$O$3:$O$2000,(소재DB_RAW!$G$3:$G$2000=$D93)*ISNUMBER(SEARCH("안감",소재DB_RAW!$M$3:$M$2000))))),"")</f>
        <v/>
      </c>
      <c r="AA93" s="27" t="n">
        <v>1700</v>
      </c>
      <c r="AB93" s="27" t="n">
        <v>118962600</v>
      </c>
      <c r="AC93" s="27" t="n">
        <v>544000000</v>
      </c>
      <c r="AD93" s="20" t="n"/>
      <c r="AE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F93" s="19">
        <f>IF($K93="","",IF(OR(LEFT($AE93,2)="작지",LEFT($AE93,4)="소재입고"),IF(LEFT($G93,1)="S","★ 납기위험(S코드)","◆ 지연주의"),IF($AE93="정상","✓ 정상","? 확인필요")))</f>
        <v/>
      </c>
      <c r="AG93" s="21" t="n"/>
      <c r="AH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21" t="inlineStr">
        <is>
          <t>O</t>
        </is>
      </c>
      <c r="R94" s="21" t="inlineStr">
        <is>
          <t>X</t>
        </is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>
        <f>IFERROR(TEXTJOIN(" / ",TRUE,UNIQUE(FILTER(소재DB_RAW!$K$3:$K$2000,소재DB_RAW!$G$3:$G$2000=$D94))),"")</f>
        <v/>
      </c>
      <c r="W94" s="20" t="inlineStr">
        <is>
          <t>인도네시아</t>
        </is>
      </c>
      <c r="X94" s="20">
        <f>IFERROR(TEXTJOIN(" / ",TRUE,UNIQUE(FILTER(소재DB_RAW!$N$3:$N$2000,소재DB_RAW!$G$3:$G$2000=$D94))),"")</f>
        <v/>
      </c>
      <c r="Y94" s="26">
        <f>IFERROR(TEXTJOIN(CHAR(10),TRUE,UNIQUE(FILTER(소재DB_RAW!$N$3:$N$2000&amp;") "&amp;소재DB_RAW!$O$3:$O$2000,(소재DB_RAW!$G$3:$G$2000=$D94)*ISNUMBER(SEARCH("겉감",소재DB_RAW!$M$3:$M$2000))))),"")</f>
        <v/>
      </c>
      <c r="Z94" s="26">
        <f>IFERROR(TEXTJOIN(CHAR(10),TRUE,UNIQUE(FILTER(소재DB_RAW!$N$3:$N$2000&amp;") "&amp;소재DB_RAW!$O$3:$O$2000,(소재DB_RAW!$G$3:$G$2000=$D94)*ISNUMBER(SEARCH("안감",소재DB_RAW!$M$3:$M$2000))))),"")</f>
        <v/>
      </c>
      <c r="AA94" s="27" t="n">
        <v>1400</v>
      </c>
      <c r="AB94" s="27" t="n">
        <v>55910400</v>
      </c>
      <c r="AC94" s="27" t="n">
        <v>249200000</v>
      </c>
      <c r="AD94" s="20" t="n"/>
      <c r="AE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F94" s="19">
        <f>IF($K94="","",IF(OR(LEFT($AE94,2)="작지",LEFT($AE94,4)="소재입고"),IF(LEFT($G94,1)="S","★ 납기위험(S코드)","◆ 지연주의"),IF($AE94="정상","✓ 정상","? 확인필요")))</f>
        <v/>
      </c>
      <c r="AG94" s="21" t="n"/>
      <c r="AH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21" t="inlineStr">
        <is>
          <t>O</t>
        </is>
      </c>
      <c r="R95" s="21" t="inlineStr">
        <is>
          <t>X</t>
        </is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>
        <f>IFERROR(TEXTJOIN(" / ",TRUE,UNIQUE(FILTER(소재DB_RAW!$K$3:$K$2000,소재DB_RAW!$G$3:$G$2000=$D95))),"")</f>
        <v/>
      </c>
      <c r="W95" s="20" t="inlineStr">
        <is>
          <t>베트남</t>
        </is>
      </c>
      <c r="X95" s="20">
        <f>IFERROR(TEXTJOIN(" / ",TRUE,UNIQUE(FILTER(소재DB_RAW!$N$3:$N$2000,소재DB_RAW!$G$3:$G$2000=$D95))),"")</f>
        <v/>
      </c>
      <c r="Y95" s="26">
        <f>IFERROR(TEXTJOIN(CHAR(10),TRUE,UNIQUE(FILTER(소재DB_RAW!$N$3:$N$2000&amp;") "&amp;소재DB_RAW!$O$3:$O$2000,(소재DB_RAW!$G$3:$G$2000=$D95)*ISNUMBER(SEARCH("겉감",소재DB_RAW!$M$3:$M$2000))))),"")</f>
        <v/>
      </c>
      <c r="Z95" s="26">
        <f>IFERROR(TEXTJOIN(CHAR(10),TRUE,UNIQUE(FILTER(소재DB_RAW!$N$3:$N$2000&amp;") "&amp;소재DB_RAW!$O$3:$O$2000,(소재DB_RAW!$G$3:$G$2000=$D95)*ISNUMBER(SEARCH("안감",소재DB_RAW!$M$3:$M$2000))))),"")</f>
        <v/>
      </c>
      <c r="AA95" s="27" t="n">
        <v>1200</v>
      </c>
      <c r="AB95" s="27" t="n">
        <v>84998400</v>
      </c>
      <c r="AC95" s="27" t="n">
        <v>420000000</v>
      </c>
      <c r="AD95" s="20" t="n"/>
      <c r="AE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F95" s="19">
        <f>IF($K95="","",IF(OR(LEFT($AE95,2)="작지",LEFT($AE95,4)="소재입고"),IF(LEFT($G95,1)="S","★ 납기위험(S코드)","◆ 지연주의"),IF($AE95="정상","✓ 정상","? 확인필요")))</f>
        <v/>
      </c>
      <c r="AG95" s="21" t="n"/>
      <c r="AH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21" t="inlineStr">
        <is>
          <t>O</t>
        </is>
      </c>
      <c r="R96" s="21" t="inlineStr">
        <is>
          <t>X</t>
        </is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>
        <f>IFERROR(TEXTJOIN(" / ",TRUE,UNIQUE(FILTER(소재DB_RAW!$K$3:$K$2000,소재DB_RAW!$G$3:$G$2000=$D96))),"")</f>
        <v/>
      </c>
      <c r="W96" s="20" t="inlineStr">
        <is>
          <t>미얀마</t>
        </is>
      </c>
      <c r="X96" s="20">
        <f>IFERROR(TEXTJOIN(" / ",TRUE,UNIQUE(FILTER(소재DB_RAW!$N$3:$N$2000,소재DB_RAW!$G$3:$G$2000=$D96))),"")</f>
        <v/>
      </c>
      <c r="Y96" s="26">
        <f>IFERROR(TEXTJOIN(CHAR(10),TRUE,UNIQUE(FILTER(소재DB_RAW!$N$3:$N$2000&amp;") "&amp;소재DB_RAW!$O$3:$O$2000,(소재DB_RAW!$G$3:$G$2000=$D96)*ISNUMBER(SEARCH("겉감",소재DB_RAW!$M$3:$M$2000))))),"")</f>
        <v/>
      </c>
      <c r="Z96" s="26">
        <f>IFERROR(TEXTJOIN(CHAR(10),TRUE,UNIQUE(FILTER(소재DB_RAW!$N$3:$N$2000&amp;") "&amp;소재DB_RAW!$O$3:$O$2000,(소재DB_RAW!$G$3:$G$2000=$D96)*ISNUMBER(SEARCH("안감",소재DB_RAW!$M$3:$M$2000))))),"")</f>
        <v/>
      </c>
      <c r="AA96" s="27" t="n">
        <v>5000</v>
      </c>
      <c r="AB96" s="27" t="n">
        <v>283061400</v>
      </c>
      <c r="AC96" s="27" t="n">
        <v>1250000000</v>
      </c>
      <c r="AD96" s="20" t="n"/>
      <c r="AE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F96" s="19">
        <f>IF($K96="","",IF(OR(LEFT($AE96,2)="작지",LEFT($AE96,4)="소재입고"),IF(LEFT($G96,1)="S","★ 납기위험(S코드)","◆ 지연주의"),IF($AE96="정상","✓ 정상","? 확인필요")))</f>
        <v/>
      </c>
      <c r="AG96" s="21" t="n"/>
      <c r="AH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21" t="inlineStr">
        <is>
          <t>O</t>
        </is>
      </c>
      <c r="R97" s="21" t="inlineStr">
        <is>
          <t>X</t>
        </is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>
        <f>IFERROR(TEXTJOIN(" / ",TRUE,UNIQUE(FILTER(소재DB_RAW!$K$3:$K$2000,소재DB_RAW!$G$3:$G$2000=$D97))),"")</f>
        <v/>
      </c>
      <c r="W97" s="20" t="inlineStr">
        <is>
          <t>베트남</t>
        </is>
      </c>
      <c r="X97" s="20">
        <f>IFERROR(TEXTJOIN(" / ",TRUE,UNIQUE(FILTER(소재DB_RAW!$N$3:$N$2000,소재DB_RAW!$G$3:$G$2000=$D97))),"")</f>
        <v/>
      </c>
      <c r="Y97" s="26">
        <f>IFERROR(TEXTJOIN(CHAR(10),TRUE,UNIQUE(FILTER(소재DB_RAW!$N$3:$N$2000&amp;") "&amp;소재DB_RAW!$O$3:$O$2000,(소재DB_RAW!$G$3:$G$2000=$D97)*ISNUMBER(SEARCH("겉감",소재DB_RAW!$M$3:$M$2000))))),"")</f>
        <v/>
      </c>
      <c r="Z97" s="26">
        <f>IFERROR(TEXTJOIN(CHAR(10),TRUE,UNIQUE(FILTER(소재DB_RAW!$N$3:$N$2000&amp;") "&amp;소재DB_RAW!$O$3:$O$2000,(소재DB_RAW!$G$3:$G$2000=$D97)*ISNUMBER(SEARCH("안감",소재DB_RAW!$M$3:$M$2000))))),"")</f>
        <v/>
      </c>
      <c r="AA97" s="27" t="n">
        <v>1600</v>
      </c>
      <c r="AB97" s="27" t="n">
        <v>81600000</v>
      </c>
      <c r="AC97" s="27" t="n">
        <v>352000000</v>
      </c>
      <c r="AD97" s="20" t="n"/>
      <c r="AE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F97" s="19">
        <f>IF($K97="","",IF(OR(LEFT($AE97,2)="작지",LEFT($AE97,4)="소재입고"),IF(LEFT($G97,1)="S","★ 납기위험(S코드)","◆ 지연주의"),IF($AE97="정상","✓ 정상","? 확인필요")))</f>
        <v/>
      </c>
      <c r="AG97" s="21" t="n"/>
      <c r="AH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21" t="inlineStr">
        <is>
          <t>O</t>
        </is>
      </c>
      <c r="R98" s="21" t="inlineStr">
        <is>
          <t>X</t>
        </is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>
        <f>IFERROR(TEXTJOIN(" / ",TRUE,UNIQUE(FILTER(소재DB_RAW!$K$3:$K$2000,소재DB_RAW!$G$3:$G$2000=$D98))),"")</f>
        <v/>
      </c>
      <c r="W98" s="20" t="inlineStr">
        <is>
          <t>베트남</t>
        </is>
      </c>
      <c r="X98" s="20">
        <f>IFERROR(TEXTJOIN(" / ",TRUE,UNIQUE(FILTER(소재DB_RAW!$N$3:$N$2000,소재DB_RAW!$G$3:$G$2000=$D98))),"")</f>
        <v/>
      </c>
      <c r="Y98" s="26">
        <f>IFERROR(TEXTJOIN(CHAR(10),TRUE,UNIQUE(FILTER(소재DB_RAW!$N$3:$N$2000&amp;") "&amp;소재DB_RAW!$O$3:$O$2000,(소재DB_RAW!$G$3:$G$2000=$D98)*ISNUMBER(SEARCH("겉감",소재DB_RAW!$M$3:$M$2000))))),"")</f>
        <v/>
      </c>
      <c r="Z98" s="26">
        <f>IFERROR(TEXTJOIN(CHAR(10),TRUE,UNIQUE(FILTER(소재DB_RAW!$N$3:$N$2000&amp;") "&amp;소재DB_RAW!$O$3:$O$2000,(소재DB_RAW!$G$3:$G$2000=$D98)*ISNUMBER(SEARCH("안감",소재DB_RAW!$M$3:$M$2000))))),"")</f>
        <v/>
      </c>
      <c r="AA98" s="27" t="n">
        <v>2200</v>
      </c>
      <c r="AB98" s="27" t="n">
        <v>94773800</v>
      </c>
      <c r="AC98" s="27" t="n">
        <v>594000000</v>
      </c>
      <c r="AD98" s="20" t="inlineStr">
        <is>
          <t>2월1주</t>
        </is>
      </c>
      <c r="AE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F98" s="19">
        <f>IF($K98="","",IF(OR(LEFT($AE98,2)="작지",LEFT($AE98,4)="소재입고"),IF(LEFT($G98,1)="S","★ 납기위험(S코드)","◆ 지연주의"),IF($AE98="정상","✓ 정상","? 확인필요")))</f>
        <v/>
      </c>
      <c r="AG98" s="21" t="n"/>
      <c r="AH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21" t="inlineStr">
        <is>
          <t>O</t>
        </is>
      </c>
      <c r="R99" s="21" t="inlineStr">
        <is>
          <t>X</t>
        </is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>
        <f>IFERROR(TEXTJOIN(" / ",TRUE,UNIQUE(FILTER(소재DB_RAW!$K$3:$K$2000,소재DB_RAW!$G$3:$G$2000=$D99))),"")</f>
        <v/>
      </c>
      <c r="W99" s="20" t="inlineStr">
        <is>
          <t>인도네시아</t>
        </is>
      </c>
      <c r="X99" s="20">
        <f>IFERROR(TEXTJOIN(" / ",TRUE,UNIQUE(FILTER(소재DB_RAW!$N$3:$N$2000,소재DB_RAW!$G$3:$G$2000=$D99))),"")</f>
        <v/>
      </c>
      <c r="Y99" s="26">
        <f>IFERROR(TEXTJOIN(CHAR(10),TRUE,UNIQUE(FILTER(소재DB_RAW!$N$3:$N$2000&amp;") "&amp;소재DB_RAW!$O$3:$O$2000,(소재DB_RAW!$G$3:$G$2000=$D99)*ISNUMBER(SEARCH("겉감",소재DB_RAW!$M$3:$M$2000))))),"")</f>
        <v/>
      </c>
      <c r="Z99" s="26">
        <f>IFERROR(TEXTJOIN(CHAR(10),TRUE,UNIQUE(FILTER(소재DB_RAW!$N$3:$N$2000&amp;") "&amp;소재DB_RAW!$O$3:$O$2000,(소재DB_RAW!$G$3:$G$2000=$D99)*ISNUMBER(SEARCH("안감",소재DB_RAW!$M$3:$M$2000))))),"")</f>
        <v/>
      </c>
      <c r="AA99" s="27" t="n">
        <v>1200</v>
      </c>
      <c r="AB99" s="27" t="n">
        <v>36000000</v>
      </c>
      <c r="AC99" s="27" t="n">
        <v>189600000</v>
      </c>
      <c r="AD99" s="20" t="inlineStr">
        <is>
          <t>2월1주</t>
        </is>
      </c>
      <c r="AE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F99" s="19">
        <f>IF($K99="","",IF(OR(LEFT($AE99,2)="작지",LEFT($AE99,4)="소재입고"),IF(LEFT($G99,1)="S","★ 납기위험(S코드)","◆ 지연주의"),IF($AE99="정상","✓ 정상","? 확인필요")))</f>
        <v/>
      </c>
      <c r="AG99" s="21" t="n"/>
      <c r="AH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21" t="inlineStr">
        <is>
          <t>O</t>
        </is>
      </c>
      <c r="R100" s="21" t="inlineStr">
        <is>
          <t>X</t>
        </is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>
        <f>IFERROR(TEXTJOIN(" / ",TRUE,UNIQUE(FILTER(소재DB_RAW!$K$3:$K$2000,소재DB_RAW!$G$3:$G$2000=$D100))),"")</f>
        <v/>
      </c>
      <c r="W100" s="20" t="inlineStr">
        <is>
          <t>베트남</t>
        </is>
      </c>
      <c r="X100" s="20">
        <f>IFERROR(TEXTJOIN(" / ",TRUE,UNIQUE(FILTER(소재DB_RAW!$N$3:$N$2000,소재DB_RAW!$G$3:$G$2000=$D100))),"")</f>
        <v/>
      </c>
      <c r="Y100" s="26">
        <f>IFERROR(TEXTJOIN(CHAR(10),TRUE,UNIQUE(FILTER(소재DB_RAW!$N$3:$N$2000&amp;") "&amp;소재DB_RAW!$O$3:$O$2000,(소재DB_RAW!$G$3:$G$2000=$D100)*ISNUMBER(SEARCH("겉감",소재DB_RAW!$M$3:$M$2000))))),"")</f>
        <v/>
      </c>
      <c r="Z100" s="26">
        <f>IFERROR(TEXTJOIN(CHAR(10),TRUE,UNIQUE(FILTER(소재DB_RAW!$N$3:$N$2000&amp;") "&amp;소재DB_RAW!$O$3:$O$2000,(소재DB_RAW!$G$3:$G$2000=$D100)*ISNUMBER(SEARCH("안감",소재DB_RAW!$M$3:$M$2000))))),"")</f>
        <v/>
      </c>
      <c r="AA100" s="27" t="n">
        <v>1000</v>
      </c>
      <c r="AB100" s="27" t="n">
        <v>28000000</v>
      </c>
      <c r="AC100" s="27" t="n">
        <v>158000000</v>
      </c>
      <c r="AD100" s="20" t="n"/>
      <c r="AE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F100" s="19">
        <f>IF($K100="","",IF(OR(LEFT($AE100,2)="작지",LEFT($AE100,4)="소재입고"),IF(LEFT($G100,1)="S","★ 납기위험(S코드)","◆ 지연주의"),IF($AE100="정상","✓ 정상","? 확인필요")))</f>
        <v/>
      </c>
      <c r="AG100" s="21" t="n"/>
      <c r="AH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21" t="inlineStr">
        <is>
          <t>O</t>
        </is>
      </c>
      <c r="R101" s="21" t="inlineStr">
        <is>
          <t>X</t>
        </is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>
        <f>IFERROR(TEXTJOIN(" / ",TRUE,UNIQUE(FILTER(소재DB_RAW!$K$3:$K$2000,소재DB_RAW!$G$3:$G$2000=$D101))),"")</f>
        <v/>
      </c>
      <c r="W101" s="20" t="inlineStr">
        <is>
          <t>베트남</t>
        </is>
      </c>
      <c r="X101" s="20">
        <f>IFERROR(TEXTJOIN(" / ",TRUE,UNIQUE(FILTER(소재DB_RAW!$N$3:$N$2000,소재DB_RAW!$G$3:$G$2000=$D101))),"")</f>
        <v/>
      </c>
      <c r="Y101" s="26">
        <f>IFERROR(TEXTJOIN(CHAR(10),TRUE,UNIQUE(FILTER(소재DB_RAW!$N$3:$N$2000&amp;") "&amp;소재DB_RAW!$O$3:$O$2000,(소재DB_RAW!$G$3:$G$2000=$D101)*ISNUMBER(SEARCH("겉감",소재DB_RAW!$M$3:$M$2000))))),"")</f>
        <v/>
      </c>
      <c r="Z101" s="26">
        <f>IFERROR(TEXTJOIN(CHAR(10),TRUE,UNIQUE(FILTER(소재DB_RAW!$N$3:$N$2000&amp;") "&amp;소재DB_RAW!$O$3:$O$2000,(소재DB_RAW!$G$3:$G$2000=$D101)*ISNUMBER(SEARCH("안감",소재DB_RAW!$M$3:$M$2000))))),"")</f>
        <v/>
      </c>
      <c r="AA101" s="27" t="n">
        <v>1500</v>
      </c>
      <c r="AB101" s="27" t="n">
        <v>46137000</v>
      </c>
      <c r="AC101" s="27" t="n">
        <v>252000000</v>
      </c>
      <c r="AD101" s="20" t="inlineStr">
        <is>
          <t>2월1주</t>
        </is>
      </c>
      <c r="AE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F101" s="19">
        <f>IF($K101="","",IF(OR(LEFT($AE101,2)="작지",LEFT($AE101,4)="소재입고"),IF(LEFT($G101,1)="S","★ 납기위험(S코드)","◆ 지연주의"),IF($AE101="정상","✓ 정상","? 확인필요")))</f>
        <v/>
      </c>
      <c r="AG101" s="21" t="n"/>
      <c r="AH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21" t="inlineStr">
        <is>
          <t>O</t>
        </is>
      </c>
      <c r="R102" s="21" t="inlineStr">
        <is>
          <t>X</t>
        </is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>
        <f>IFERROR(TEXTJOIN(" / ",TRUE,UNIQUE(FILTER(소재DB_RAW!$K$3:$K$2000,소재DB_RAW!$G$3:$G$2000=$D102))),"")</f>
        <v/>
      </c>
      <c r="W102" s="20" t="inlineStr">
        <is>
          <t>베트남</t>
        </is>
      </c>
      <c r="X102" s="20">
        <f>IFERROR(TEXTJOIN(" / ",TRUE,UNIQUE(FILTER(소재DB_RAW!$N$3:$N$2000,소재DB_RAW!$G$3:$G$2000=$D102))),"")</f>
        <v/>
      </c>
      <c r="Y102" s="26">
        <f>IFERROR(TEXTJOIN(CHAR(10),TRUE,UNIQUE(FILTER(소재DB_RAW!$N$3:$N$2000&amp;") "&amp;소재DB_RAW!$O$3:$O$2000,(소재DB_RAW!$G$3:$G$2000=$D102)*ISNUMBER(SEARCH("겉감",소재DB_RAW!$M$3:$M$2000))))),"")</f>
        <v/>
      </c>
      <c r="Z102" s="26">
        <f>IFERROR(TEXTJOIN(CHAR(10),TRUE,UNIQUE(FILTER(소재DB_RAW!$N$3:$N$2000&amp;") "&amp;소재DB_RAW!$O$3:$O$2000,(소재DB_RAW!$G$3:$G$2000=$D102)*ISNUMBER(SEARCH("안감",소재DB_RAW!$M$3:$M$2000))))),"")</f>
        <v/>
      </c>
      <c r="AA102" s="27" t="n">
        <v>2000</v>
      </c>
      <c r="AB102" s="27" t="n">
        <v>67386000</v>
      </c>
      <c r="AC102" s="27" t="n">
        <v>396000000</v>
      </c>
      <c r="AD102" s="20" t="n"/>
      <c r="AE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F102" s="19">
        <f>IF($K102="","",IF(OR(LEFT($AE102,2)="작지",LEFT($AE102,4)="소재입고"),IF(LEFT($G102,1)="S","★ 납기위험(S코드)","◆ 지연주의"),IF($AE102="정상","✓ 정상","? 확인필요")))</f>
        <v/>
      </c>
      <c r="AG102" s="21" t="n"/>
      <c r="AH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21" t="inlineStr">
        <is>
          <t>O</t>
        </is>
      </c>
      <c r="R103" s="21" t="inlineStr">
        <is>
          <t>X</t>
        </is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>
        <f>IFERROR(TEXTJOIN(" / ",TRUE,UNIQUE(FILTER(소재DB_RAW!$K$3:$K$2000,소재DB_RAW!$G$3:$G$2000=$D103))),"")</f>
        <v/>
      </c>
      <c r="W103" s="20" t="inlineStr">
        <is>
          <t>베트남</t>
        </is>
      </c>
      <c r="X103" s="20">
        <f>IFERROR(TEXTJOIN(" / ",TRUE,UNIQUE(FILTER(소재DB_RAW!$N$3:$N$2000,소재DB_RAW!$G$3:$G$2000=$D103))),"")</f>
        <v/>
      </c>
      <c r="Y103" s="26">
        <f>IFERROR(TEXTJOIN(CHAR(10),TRUE,UNIQUE(FILTER(소재DB_RAW!$N$3:$N$2000&amp;") "&amp;소재DB_RAW!$O$3:$O$2000,(소재DB_RAW!$G$3:$G$2000=$D103)*ISNUMBER(SEARCH("겉감",소재DB_RAW!$M$3:$M$2000))))),"")</f>
        <v/>
      </c>
      <c r="Z103" s="26">
        <f>IFERROR(TEXTJOIN(CHAR(10),TRUE,UNIQUE(FILTER(소재DB_RAW!$N$3:$N$2000&amp;") "&amp;소재DB_RAW!$O$3:$O$2000,(소재DB_RAW!$G$3:$G$2000=$D103)*ISNUMBER(SEARCH("안감",소재DB_RAW!$M$3:$M$2000))))),"")</f>
        <v/>
      </c>
      <c r="AA103" s="27" t="n">
        <v>1200</v>
      </c>
      <c r="AB103" s="27" t="n">
        <v>32350800</v>
      </c>
      <c r="AC103" s="27" t="n">
        <v>225600000</v>
      </c>
      <c r="AD103" s="20" t="n"/>
      <c r="AE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F103" s="19">
        <f>IF($K103="","",IF(OR(LEFT($AE103,2)="작지",LEFT($AE103,4)="소재입고"),IF(LEFT($G103,1)="S","★ 납기위험(S코드)","◆ 지연주의"),IF($AE103="정상","✓ 정상","? 확인필요")))</f>
        <v/>
      </c>
      <c r="AG103" s="21" t="n"/>
      <c r="AH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21" t="inlineStr">
        <is>
          <t>O</t>
        </is>
      </c>
      <c r="R104" s="21" t="inlineStr">
        <is>
          <t>X</t>
        </is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>
        <f>IFERROR(TEXTJOIN(" / ",TRUE,UNIQUE(FILTER(소재DB_RAW!$K$3:$K$2000,소재DB_RAW!$G$3:$G$2000=$D104))),"")</f>
        <v/>
      </c>
      <c r="W104" s="20" t="inlineStr"/>
      <c r="X104" s="20">
        <f>IFERROR(TEXTJOIN(" / ",TRUE,UNIQUE(FILTER(소재DB_RAW!$N$3:$N$2000,소재DB_RAW!$G$3:$G$2000=$D104))),"")</f>
        <v/>
      </c>
      <c r="Y104" s="26">
        <f>IFERROR(TEXTJOIN(CHAR(10),TRUE,UNIQUE(FILTER(소재DB_RAW!$N$3:$N$2000&amp;") "&amp;소재DB_RAW!$O$3:$O$2000,(소재DB_RAW!$G$3:$G$2000=$D104)*ISNUMBER(SEARCH("겉감",소재DB_RAW!$M$3:$M$2000))))),"")</f>
        <v/>
      </c>
      <c r="Z104" s="26">
        <f>IFERROR(TEXTJOIN(CHAR(10),TRUE,UNIQUE(FILTER(소재DB_RAW!$N$3:$N$2000&amp;") "&amp;소재DB_RAW!$O$3:$O$2000,(소재DB_RAW!$G$3:$G$2000=$D104)*ISNUMBER(SEARCH("안감",소재DB_RAW!$M$3:$M$2000))))),"")</f>
        <v/>
      </c>
      <c r="AA104" s="27" t="n">
        <v>2000</v>
      </c>
      <c r="AB104" s="27" t="n">
        <v>78566000</v>
      </c>
      <c r="AC104" s="27" t="n">
        <v>356000000</v>
      </c>
      <c r="AD104" s="20" t="n"/>
      <c r="AE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F104" s="19">
        <f>IF($K104="","",IF(OR(LEFT($AE104,2)="작지",LEFT($AE104,4)="소재입고"),IF(LEFT($G104,1)="S","★ 납기위험(S코드)","◆ 지연주의"),IF($AE104="정상","✓ 정상","? 확인필요")))</f>
        <v/>
      </c>
      <c r="AG104" s="21" t="n"/>
      <c r="AH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21" t="inlineStr">
        <is>
          <t>O</t>
        </is>
      </c>
      <c r="R105" s="21" t="inlineStr">
        <is>
          <t>O</t>
        </is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>
        <f>IFERROR(TEXTJOIN(" / ",TRUE,UNIQUE(FILTER(소재DB_RAW!$K$3:$K$2000,소재DB_RAW!$G$3:$G$2000=$D105))),"")</f>
        <v/>
      </c>
      <c r="W105" s="20" t="inlineStr"/>
      <c r="X105" s="20">
        <f>IFERROR(TEXTJOIN(" / ",TRUE,UNIQUE(FILTER(소재DB_RAW!$N$3:$N$2000,소재DB_RAW!$G$3:$G$2000=$D105))),"")</f>
        <v/>
      </c>
      <c r="Y105" s="26">
        <f>IFERROR(TEXTJOIN(CHAR(10),TRUE,UNIQUE(FILTER(소재DB_RAW!$N$3:$N$2000&amp;") "&amp;소재DB_RAW!$O$3:$O$2000,(소재DB_RAW!$G$3:$G$2000=$D105)*ISNUMBER(SEARCH("겉감",소재DB_RAW!$M$3:$M$2000))))),"")</f>
        <v/>
      </c>
      <c r="Z105" s="26">
        <f>IFERROR(TEXTJOIN(CHAR(10),TRUE,UNIQUE(FILTER(소재DB_RAW!$N$3:$N$2000&amp;") "&amp;소재DB_RAW!$O$3:$O$2000,(소재DB_RAW!$G$3:$G$2000=$D105)*ISNUMBER(SEARCH("안감",소재DB_RAW!$M$3:$M$2000))))),"")</f>
        <v/>
      </c>
      <c r="AA105" s="27" t="n">
        <v>1400</v>
      </c>
      <c r="AB105" s="27" t="n">
        <v>50358000</v>
      </c>
      <c r="AC105" s="27" t="n">
        <v>263200000</v>
      </c>
      <c r="AD105" s="20" t="n"/>
      <c r="AE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F105" s="19">
        <f>IF($K105="","",IF(OR(LEFT($AE105,2)="작지",LEFT($AE105,4)="소재입고"),IF(LEFT($G105,1)="S","★ 납기위험(S코드)","◆ 지연주의"),IF($AE105="정상","✓ 정상","? 확인필요")))</f>
        <v/>
      </c>
      <c r="AG105" s="21" t="n"/>
      <c r="AH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21" t="inlineStr">
        <is>
          <t>O</t>
        </is>
      </c>
      <c r="R106" s="21" t="inlineStr">
        <is>
          <t>X</t>
        </is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>
        <f>IFERROR(TEXTJOIN(" / ",TRUE,UNIQUE(FILTER(소재DB_RAW!$K$3:$K$2000,소재DB_RAW!$G$3:$G$2000=$D106))),"")</f>
        <v/>
      </c>
      <c r="W106" s="20" t="inlineStr">
        <is>
          <t>베트남</t>
        </is>
      </c>
      <c r="X106" s="20">
        <f>IFERROR(TEXTJOIN(" / ",TRUE,UNIQUE(FILTER(소재DB_RAW!$N$3:$N$2000,소재DB_RAW!$G$3:$G$2000=$D106))),"")</f>
        <v/>
      </c>
      <c r="Y106" s="26">
        <f>IFERROR(TEXTJOIN(CHAR(10),TRUE,UNIQUE(FILTER(소재DB_RAW!$N$3:$N$2000&amp;") "&amp;소재DB_RAW!$O$3:$O$2000,(소재DB_RAW!$G$3:$G$2000=$D106)*ISNUMBER(SEARCH("겉감",소재DB_RAW!$M$3:$M$2000))))),"")</f>
        <v/>
      </c>
      <c r="Z106" s="26">
        <f>IFERROR(TEXTJOIN(CHAR(10),TRUE,UNIQUE(FILTER(소재DB_RAW!$N$3:$N$2000&amp;") "&amp;소재DB_RAW!$O$3:$O$2000,(소재DB_RAW!$G$3:$G$2000=$D106)*ISNUMBER(SEARCH("안감",소재DB_RAW!$M$3:$M$2000))))),"")</f>
        <v/>
      </c>
      <c r="AA106" s="27" t="n">
        <v>1800</v>
      </c>
      <c r="AB106" s="27" t="n">
        <v>67595400</v>
      </c>
      <c r="AC106" s="27" t="n">
        <v>284400000</v>
      </c>
      <c r="AD106" s="20" t="n"/>
      <c r="AE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F106" s="19">
        <f>IF($K106="","",IF(OR(LEFT($AE106,2)="작지",LEFT($AE106,4)="소재입고"),IF(LEFT($G106,1)="S","★ 납기위험(S코드)","◆ 지연주의"),IF($AE106="정상","✓ 정상","? 확인필요")))</f>
        <v/>
      </c>
      <c r="AG106" s="21" t="n"/>
      <c r="AH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21" t="inlineStr">
        <is>
          <t>O</t>
        </is>
      </c>
      <c r="R107" s="21" t="inlineStr">
        <is>
          <t>X</t>
        </is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>
        <f>IFERROR(TEXTJOIN(" / ",TRUE,UNIQUE(FILTER(소재DB_RAW!$K$3:$K$2000,소재DB_RAW!$G$3:$G$2000=$D107))),"")</f>
        <v/>
      </c>
      <c r="W107" s="20" t="inlineStr">
        <is>
          <t>베트남</t>
        </is>
      </c>
      <c r="X107" s="20">
        <f>IFERROR(TEXTJOIN(" / ",TRUE,UNIQUE(FILTER(소재DB_RAW!$N$3:$N$2000,소재DB_RAW!$G$3:$G$2000=$D107))),"")</f>
        <v/>
      </c>
      <c r="Y107" s="26">
        <f>IFERROR(TEXTJOIN(CHAR(10),TRUE,UNIQUE(FILTER(소재DB_RAW!$N$3:$N$2000&amp;") "&amp;소재DB_RAW!$O$3:$O$2000,(소재DB_RAW!$G$3:$G$2000=$D107)*ISNUMBER(SEARCH("겉감",소재DB_RAW!$M$3:$M$2000))))),"")</f>
        <v/>
      </c>
      <c r="Z107" s="26">
        <f>IFERROR(TEXTJOIN(CHAR(10),TRUE,UNIQUE(FILTER(소재DB_RAW!$N$3:$N$2000&amp;") "&amp;소재DB_RAW!$O$3:$O$2000,(소재DB_RAW!$G$3:$G$2000=$D107)*ISNUMBER(SEARCH("안감",소재DB_RAW!$M$3:$M$2000))))),"")</f>
        <v/>
      </c>
      <c r="AA107" s="27" t="n">
        <v>1800</v>
      </c>
      <c r="AB107" s="27" t="n">
        <v>64155600</v>
      </c>
      <c r="AC107" s="27" t="n">
        <v>302400000</v>
      </c>
      <c r="AD107" s="20" t="n"/>
      <c r="AE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F107" s="19">
        <f>IF($K107="","",IF(OR(LEFT($AE107,2)="작지",LEFT($AE107,4)="소재입고"),IF(LEFT($G107,1)="S","★ 납기위험(S코드)","◆ 지연주의"),IF($AE107="정상","✓ 정상","? 확인필요")))</f>
        <v/>
      </c>
      <c r="AG107" s="21" t="n"/>
      <c r="AH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21" t="inlineStr">
        <is>
          <t>O</t>
        </is>
      </c>
      <c r="R108" s="21" t="inlineStr">
        <is>
          <t>X</t>
        </is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>
        <f>IFERROR(TEXTJOIN(" / ",TRUE,UNIQUE(FILTER(소재DB_RAW!$K$3:$K$2000,소재DB_RAW!$G$3:$G$2000=$D108))),"")</f>
        <v/>
      </c>
      <c r="W108" s="20" t="inlineStr">
        <is>
          <t>베트남</t>
        </is>
      </c>
      <c r="X108" s="20">
        <f>IFERROR(TEXTJOIN(" / ",TRUE,UNIQUE(FILTER(소재DB_RAW!$N$3:$N$2000,소재DB_RAW!$G$3:$G$2000=$D108))),"")</f>
        <v/>
      </c>
      <c r="Y108" s="26">
        <f>IFERROR(TEXTJOIN(CHAR(10),TRUE,UNIQUE(FILTER(소재DB_RAW!$N$3:$N$2000&amp;") "&amp;소재DB_RAW!$O$3:$O$2000,(소재DB_RAW!$G$3:$G$2000=$D108)*ISNUMBER(SEARCH("겉감",소재DB_RAW!$M$3:$M$2000))))),"")</f>
        <v/>
      </c>
      <c r="Z108" s="26">
        <f>IFERROR(TEXTJOIN(CHAR(10),TRUE,UNIQUE(FILTER(소재DB_RAW!$N$3:$N$2000&amp;") "&amp;소재DB_RAW!$O$3:$O$2000,(소재DB_RAW!$G$3:$G$2000=$D108)*ISNUMBER(SEARCH("안감",소재DB_RAW!$M$3:$M$2000))))),"")</f>
        <v/>
      </c>
      <c r="AA108" s="27" t="n">
        <v>1000</v>
      </c>
      <c r="AB108" s="27" t="n">
        <v>65000000</v>
      </c>
      <c r="AC108" s="27" t="n">
        <v>250000000</v>
      </c>
      <c r="AD108" s="20" t="n"/>
      <c r="AE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F108" s="19">
        <f>IF($K108="","",IF(OR(LEFT($AE108,2)="작지",LEFT($AE108,4)="소재입고"),IF(LEFT($G108,1)="S","★ 납기위험(S코드)","◆ 지연주의"),IF($AE108="정상","✓ 정상","? 확인필요")))</f>
        <v/>
      </c>
      <c r="AG108" s="21" t="n"/>
      <c r="AH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21" t="inlineStr">
        <is>
          <t>O</t>
        </is>
      </c>
      <c r="R109" s="21" t="inlineStr">
        <is>
          <t>X</t>
        </is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>
        <f>IFERROR(TEXTJOIN(" / ",TRUE,UNIQUE(FILTER(소재DB_RAW!$K$3:$K$2000,소재DB_RAW!$G$3:$G$2000=$D109))),"")</f>
        <v/>
      </c>
      <c r="W109" s="20" t="inlineStr">
        <is>
          <t>베트남</t>
        </is>
      </c>
      <c r="X109" s="20">
        <f>IFERROR(TEXTJOIN(" / ",TRUE,UNIQUE(FILTER(소재DB_RAW!$N$3:$N$2000,소재DB_RAW!$G$3:$G$2000=$D109))),"")</f>
        <v/>
      </c>
      <c r="Y109" s="26">
        <f>IFERROR(TEXTJOIN(CHAR(10),TRUE,UNIQUE(FILTER(소재DB_RAW!$N$3:$N$2000&amp;") "&amp;소재DB_RAW!$O$3:$O$2000,(소재DB_RAW!$G$3:$G$2000=$D109)*ISNUMBER(SEARCH("겉감",소재DB_RAW!$M$3:$M$2000))))),"")</f>
        <v/>
      </c>
      <c r="Z109" s="26">
        <f>IFERROR(TEXTJOIN(CHAR(10),TRUE,UNIQUE(FILTER(소재DB_RAW!$N$3:$N$2000&amp;") "&amp;소재DB_RAW!$O$3:$O$2000,(소재DB_RAW!$G$3:$G$2000=$D109)*ISNUMBER(SEARCH("안감",소재DB_RAW!$M$3:$M$2000))))),"")</f>
        <v/>
      </c>
      <c r="AA109" s="27" t="n">
        <v>4500</v>
      </c>
      <c r="AB109" s="27" t="n">
        <v>103500000</v>
      </c>
      <c r="AC109" s="27" t="n">
        <v>531000000</v>
      </c>
      <c r="AD109" s="20" t="n"/>
      <c r="AE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F109" s="19">
        <f>IF($K109="","",IF(OR(LEFT($AE109,2)="작지",LEFT($AE109,4)="소재입고"),IF(LEFT($G109,1)="S","★ 납기위험(S코드)","◆ 지연주의"),IF($AE109="정상","✓ 정상","? 확인필요")))</f>
        <v/>
      </c>
      <c r="AG109" s="21" t="n"/>
      <c r="AH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21" t="inlineStr">
        <is>
          <t>O</t>
        </is>
      </c>
      <c r="R110" s="21" t="inlineStr">
        <is>
          <t>X</t>
        </is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>
        <f>IFERROR(TEXTJOIN(" / ",TRUE,UNIQUE(FILTER(소재DB_RAW!$K$3:$K$2000,소재DB_RAW!$G$3:$G$2000=$D110))),"")</f>
        <v/>
      </c>
      <c r="W110" s="20" t="inlineStr">
        <is>
          <t>인도네시아</t>
        </is>
      </c>
      <c r="X110" s="20">
        <f>IFERROR(TEXTJOIN(" / ",TRUE,UNIQUE(FILTER(소재DB_RAW!$N$3:$N$2000,소재DB_RAW!$G$3:$G$2000=$D110))),"")</f>
        <v/>
      </c>
      <c r="Y110" s="26">
        <f>IFERROR(TEXTJOIN(CHAR(10),TRUE,UNIQUE(FILTER(소재DB_RAW!$N$3:$N$2000&amp;") "&amp;소재DB_RAW!$O$3:$O$2000,(소재DB_RAW!$G$3:$G$2000=$D110)*ISNUMBER(SEARCH("겉감",소재DB_RAW!$M$3:$M$2000))))),"")</f>
        <v/>
      </c>
      <c r="Z110" s="26">
        <f>IFERROR(TEXTJOIN(CHAR(10),TRUE,UNIQUE(FILTER(소재DB_RAW!$N$3:$N$2000&amp;") "&amp;소재DB_RAW!$O$3:$O$2000,(소재DB_RAW!$G$3:$G$2000=$D110)*ISNUMBER(SEARCH("안감",소재DB_RAW!$M$3:$M$2000))))),"")</f>
        <v/>
      </c>
      <c r="AA110" s="27" t="n">
        <v>2000</v>
      </c>
      <c r="AB110" s="27" t="n">
        <v>42000000</v>
      </c>
      <c r="AC110" s="27" t="n">
        <v>216000000</v>
      </c>
      <c r="AD110" s="20" t="n"/>
      <c r="AE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F110" s="19">
        <f>IF($K110="","",IF(OR(LEFT($AE110,2)="작지",LEFT($AE110,4)="소재입고"),IF(LEFT($G110,1)="S","★ 납기위험(S코드)","◆ 지연주의"),IF($AE110="정상","✓ 정상","? 확인필요")))</f>
        <v/>
      </c>
      <c r="AG110" s="21" t="n"/>
      <c r="AH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21" t="inlineStr">
        <is>
          <t>O</t>
        </is>
      </c>
      <c r="R111" s="21" t="inlineStr">
        <is>
          <t>X</t>
        </is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>
        <f>IFERROR(TEXTJOIN(" / ",TRUE,UNIQUE(FILTER(소재DB_RAW!$K$3:$K$2000,소재DB_RAW!$G$3:$G$2000=$D111))),"")</f>
        <v/>
      </c>
      <c r="W111" s="20" t="inlineStr">
        <is>
          <t>베트남</t>
        </is>
      </c>
      <c r="X111" s="20">
        <f>IFERROR(TEXTJOIN(" / ",TRUE,UNIQUE(FILTER(소재DB_RAW!$N$3:$N$2000,소재DB_RAW!$G$3:$G$2000=$D111))),"")</f>
        <v/>
      </c>
      <c r="Y111" s="26">
        <f>IFERROR(TEXTJOIN(CHAR(10),TRUE,UNIQUE(FILTER(소재DB_RAW!$N$3:$N$2000&amp;") "&amp;소재DB_RAW!$O$3:$O$2000,(소재DB_RAW!$G$3:$G$2000=$D111)*ISNUMBER(SEARCH("겉감",소재DB_RAW!$M$3:$M$2000))))),"")</f>
        <v/>
      </c>
      <c r="Z111" s="26">
        <f>IFERROR(TEXTJOIN(CHAR(10),TRUE,UNIQUE(FILTER(소재DB_RAW!$N$3:$N$2000&amp;") "&amp;소재DB_RAW!$O$3:$O$2000,(소재DB_RAW!$G$3:$G$2000=$D111)*ISNUMBER(SEARCH("안감",소재DB_RAW!$M$3:$M$2000))))),"")</f>
        <v/>
      </c>
      <c r="AA111" s="27" t="n">
        <v>1500</v>
      </c>
      <c r="AB111" s="27" t="n">
        <v>80445000</v>
      </c>
      <c r="AC111" s="27" t="n">
        <v>330000000</v>
      </c>
      <c r="AD111" s="20" t="n"/>
      <c r="AE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F111" s="19">
        <f>IF($K111="","",IF(OR(LEFT($AE111,2)="작지",LEFT($AE111,4)="소재입고"),IF(LEFT($G111,1)="S","★ 납기위험(S코드)","◆ 지연주의"),IF($AE111="정상","✓ 정상","? 확인필요")))</f>
        <v/>
      </c>
      <c r="AG111" s="21" t="n"/>
      <c r="AH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21" t="inlineStr">
        <is>
          <t>O</t>
        </is>
      </c>
      <c r="R112" s="21" t="inlineStr">
        <is>
          <t>X</t>
        </is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>
        <f>IFERROR(TEXTJOIN(" / ",TRUE,UNIQUE(FILTER(소재DB_RAW!$K$3:$K$2000,소재DB_RAW!$G$3:$G$2000=$D112))),"")</f>
        <v/>
      </c>
      <c r="W112" s="20" t="inlineStr">
        <is>
          <t>베트남</t>
        </is>
      </c>
      <c r="X112" s="20">
        <f>IFERROR(TEXTJOIN(" / ",TRUE,UNIQUE(FILTER(소재DB_RAW!$N$3:$N$2000,소재DB_RAW!$G$3:$G$2000=$D112))),"")</f>
        <v/>
      </c>
      <c r="Y112" s="26">
        <f>IFERROR(TEXTJOIN(CHAR(10),TRUE,UNIQUE(FILTER(소재DB_RAW!$N$3:$N$2000&amp;") "&amp;소재DB_RAW!$O$3:$O$2000,(소재DB_RAW!$G$3:$G$2000=$D112)*ISNUMBER(SEARCH("겉감",소재DB_RAW!$M$3:$M$2000))))),"")</f>
        <v/>
      </c>
      <c r="Z112" s="26">
        <f>IFERROR(TEXTJOIN(CHAR(10),TRUE,UNIQUE(FILTER(소재DB_RAW!$N$3:$N$2000&amp;") "&amp;소재DB_RAW!$O$3:$O$2000,(소재DB_RAW!$G$3:$G$2000=$D112)*ISNUMBER(SEARCH("안감",소재DB_RAW!$M$3:$M$2000))))),"")</f>
        <v/>
      </c>
      <c r="AA112" s="27" t="n">
        <v>2000</v>
      </c>
      <c r="AB112" s="27" t="n">
        <v>99288000</v>
      </c>
      <c r="AC112" s="27" t="n">
        <v>396000000</v>
      </c>
      <c r="AD112" s="20" t="n"/>
      <c r="AE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F112" s="19">
        <f>IF($K112="","",IF(OR(LEFT($AE112,2)="작지",LEFT($AE112,4)="소재입고"),IF(LEFT($G112,1)="S","★ 납기위험(S코드)","◆ 지연주의"),IF($AE112="정상","✓ 정상","? 확인필요")))</f>
        <v/>
      </c>
      <c r="AG112" s="21" t="n"/>
      <c r="AH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21" t="inlineStr">
        <is>
          <t>O</t>
        </is>
      </c>
      <c r="R113" s="21" t="inlineStr">
        <is>
          <t>X</t>
        </is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>
        <f>IFERROR(TEXTJOIN(" / ",TRUE,UNIQUE(FILTER(소재DB_RAW!$K$3:$K$2000,소재DB_RAW!$G$3:$G$2000=$D113))),"")</f>
        <v/>
      </c>
      <c r="W113" s="20" t="inlineStr">
        <is>
          <t>베트남</t>
        </is>
      </c>
      <c r="X113" s="20">
        <f>IFERROR(TEXTJOIN(" / ",TRUE,UNIQUE(FILTER(소재DB_RAW!$N$3:$N$2000,소재DB_RAW!$G$3:$G$2000=$D113))),"")</f>
        <v/>
      </c>
      <c r="Y113" s="26">
        <f>IFERROR(TEXTJOIN(CHAR(10),TRUE,UNIQUE(FILTER(소재DB_RAW!$N$3:$N$2000&amp;") "&amp;소재DB_RAW!$O$3:$O$2000,(소재DB_RAW!$G$3:$G$2000=$D113)*ISNUMBER(SEARCH("겉감",소재DB_RAW!$M$3:$M$2000))))),"")</f>
        <v/>
      </c>
      <c r="Z113" s="26">
        <f>IFERROR(TEXTJOIN(CHAR(10),TRUE,UNIQUE(FILTER(소재DB_RAW!$N$3:$N$2000&amp;") "&amp;소재DB_RAW!$O$3:$O$2000,(소재DB_RAW!$G$3:$G$2000=$D113)*ISNUMBER(SEARCH("안감",소재DB_RAW!$M$3:$M$2000))))),"")</f>
        <v/>
      </c>
      <c r="AA113" s="27" t="n">
        <v>67000</v>
      </c>
      <c r="AB113" s="27" t="n">
        <v>1474000000</v>
      </c>
      <c r="AC113" s="27" t="n">
        <v>7906000000</v>
      </c>
      <c r="AD113" s="20" t="inlineStr">
        <is>
          <t>1월 4주</t>
        </is>
      </c>
      <c r="AE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F113" s="19">
        <f>IF($K113="","",IF(OR(LEFT($AE113,2)="작지",LEFT($AE113,4)="소재입고"),IF(LEFT($G113,1)="S","★ 납기위험(S코드)","◆ 지연주의"),IF($AE113="정상","✓ 정상","? 확인필요")))</f>
        <v/>
      </c>
      <c r="AG113" s="21" t="n"/>
      <c r="AH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21" t="inlineStr">
        <is>
          <t>O</t>
        </is>
      </c>
      <c r="R114" s="21" t="inlineStr">
        <is>
          <t>X</t>
        </is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>
        <f>IFERROR(TEXTJOIN(" / ",TRUE,UNIQUE(FILTER(소재DB_RAW!$K$3:$K$2000,소재DB_RAW!$G$3:$G$2000=$D114))),"")</f>
        <v/>
      </c>
      <c r="W114" s="20" t="inlineStr">
        <is>
          <t>베트남</t>
        </is>
      </c>
      <c r="X114" s="20">
        <f>IFERROR(TEXTJOIN(" / ",TRUE,UNIQUE(FILTER(소재DB_RAW!$N$3:$N$2000,소재DB_RAW!$G$3:$G$2000=$D114))),"")</f>
        <v/>
      </c>
      <c r="Y114" s="26">
        <f>IFERROR(TEXTJOIN(CHAR(10),TRUE,UNIQUE(FILTER(소재DB_RAW!$N$3:$N$2000&amp;") "&amp;소재DB_RAW!$O$3:$O$2000,(소재DB_RAW!$G$3:$G$2000=$D114)*ISNUMBER(SEARCH("겉감",소재DB_RAW!$M$3:$M$2000))))),"")</f>
        <v/>
      </c>
      <c r="Z114" s="26">
        <f>IFERROR(TEXTJOIN(CHAR(10),TRUE,UNIQUE(FILTER(소재DB_RAW!$N$3:$N$2000&amp;") "&amp;소재DB_RAW!$O$3:$O$2000,(소재DB_RAW!$G$3:$G$2000=$D114)*ISNUMBER(SEARCH("안감",소재DB_RAW!$M$3:$M$2000))))),"")</f>
        <v/>
      </c>
      <c r="AA114" s="27" t="n">
        <v>6500</v>
      </c>
      <c r="AB114" s="27" t="n">
        <v>136578000</v>
      </c>
      <c r="AC114" s="27" t="n">
        <v>767000000</v>
      </c>
      <c r="AD114" s="20" t="inlineStr">
        <is>
          <t>1월 4주</t>
        </is>
      </c>
      <c r="AE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F114" s="19">
        <f>IF($K114="","",IF(OR(LEFT($AE114,2)="작지",LEFT($AE114,4)="소재입고"),IF(LEFT($G114,1)="S","★ 납기위험(S코드)","◆ 지연주의"),IF($AE114="정상","✓ 정상","? 확인필요")))</f>
        <v/>
      </c>
      <c r="AG114" s="21" t="n"/>
      <c r="AH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21" t="inlineStr">
        <is>
          <t>O</t>
        </is>
      </c>
      <c r="R115" s="21" t="inlineStr">
        <is>
          <t>X</t>
        </is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>
        <f>IFERROR(TEXTJOIN(" / ",TRUE,UNIQUE(FILTER(소재DB_RAW!$K$3:$K$2000,소재DB_RAW!$G$3:$G$2000=$D115))),"")</f>
        <v/>
      </c>
      <c r="W115" s="20" t="inlineStr">
        <is>
          <t>베트남</t>
        </is>
      </c>
      <c r="X115" s="20">
        <f>IFERROR(TEXTJOIN(" / ",TRUE,UNIQUE(FILTER(소재DB_RAW!$N$3:$N$2000,소재DB_RAW!$G$3:$G$2000=$D115))),"")</f>
        <v/>
      </c>
      <c r="Y115" s="26">
        <f>IFERROR(TEXTJOIN(CHAR(10),TRUE,UNIQUE(FILTER(소재DB_RAW!$N$3:$N$2000&amp;") "&amp;소재DB_RAW!$O$3:$O$2000,(소재DB_RAW!$G$3:$G$2000=$D115)*ISNUMBER(SEARCH("겉감",소재DB_RAW!$M$3:$M$2000))))),"")</f>
        <v/>
      </c>
      <c r="Z115" s="26">
        <f>IFERROR(TEXTJOIN(CHAR(10),TRUE,UNIQUE(FILTER(소재DB_RAW!$N$3:$N$2000&amp;") "&amp;소재DB_RAW!$O$3:$O$2000,(소재DB_RAW!$G$3:$G$2000=$D115)*ISNUMBER(SEARCH("안감",소재DB_RAW!$M$3:$M$2000))))),"")</f>
        <v/>
      </c>
      <c r="AA115" s="27" t="n">
        <v>2200</v>
      </c>
      <c r="AB115" s="27" t="n">
        <v>53836200</v>
      </c>
      <c r="AC115" s="27" t="n">
        <v>325600000</v>
      </c>
      <c r="AD115" s="20" t="inlineStr">
        <is>
          <t>2월4주</t>
        </is>
      </c>
      <c r="AE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F115" s="19">
        <f>IF($K115="","",IF(OR(LEFT($AE115,2)="작지",LEFT($AE115,4)="소재입고"),IF(LEFT($G115,1)="S","★ 납기위험(S코드)","◆ 지연주의"),IF($AE115="정상","✓ 정상","? 확인필요")))</f>
        <v/>
      </c>
      <c r="AG115" s="21" t="n"/>
      <c r="AH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21" t="inlineStr">
        <is>
          <t>O</t>
        </is>
      </c>
      <c r="R116" s="21" t="inlineStr">
        <is>
          <t>X</t>
        </is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>
        <f>IFERROR(TEXTJOIN(" / ",TRUE,UNIQUE(FILTER(소재DB_RAW!$K$3:$K$2000,소재DB_RAW!$G$3:$G$2000=$D116))),"")</f>
        <v/>
      </c>
      <c r="W116" s="20" t="inlineStr">
        <is>
          <t>베트남</t>
        </is>
      </c>
      <c r="X116" s="20">
        <f>IFERROR(TEXTJOIN(" / ",TRUE,UNIQUE(FILTER(소재DB_RAW!$N$3:$N$2000,소재DB_RAW!$G$3:$G$2000=$D116))),"")</f>
        <v/>
      </c>
      <c r="Y116" s="26">
        <f>IFERROR(TEXTJOIN(CHAR(10),TRUE,UNIQUE(FILTER(소재DB_RAW!$N$3:$N$2000&amp;") "&amp;소재DB_RAW!$O$3:$O$2000,(소재DB_RAW!$G$3:$G$2000=$D116)*ISNUMBER(SEARCH("겉감",소재DB_RAW!$M$3:$M$2000))))),"")</f>
        <v/>
      </c>
      <c r="Z116" s="26">
        <f>IFERROR(TEXTJOIN(CHAR(10),TRUE,UNIQUE(FILTER(소재DB_RAW!$N$3:$N$2000&amp;") "&amp;소재DB_RAW!$O$3:$O$2000,(소재DB_RAW!$G$3:$G$2000=$D116)*ISNUMBER(SEARCH("안감",소재DB_RAW!$M$3:$M$2000))))),"")</f>
        <v/>
      </c>
      <c r="AA116" s="27" t="n">
        <v>4500</v>
      </c>
      <c r="AB116" s="27" t="n">
        <v>106897500</v>
      </c>
      <c r="AC116" s="27" t="n">
        <v>576000000</v>
      </c>
      <c r="AD116" s="20" t="inlineStr">
        <is>
          <t>2월4주</t>
        </is>
      </c>
      <c r="AE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F116" s="19">
        <f>IF($K116="","",IF(OR(LEFT($AE116,2)="작지",LEFT($AE116,4)="소재입고"),IF(LEFT($G116,1)="S","★ 납기위험(S코드)","◆ 지연주의"),IF($AE116="정상","✓ 정상","? 확인필요")))</f>
        <v/>
      </c>
      <c r="AG116" s="21" t="n"/>
      <c r="AH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21" t="inlineStr">
        <is>
          <t>O</t>
        </is>
      </c>
      <c r="R117" s="21" t="inlineStr">
        <is>
          <t>X</t>
        </is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>
        <f>IFERROR(TEXTJOIN(" / ",TRUE,UNIQUE(FILTER(소재DB_RAW!$K$3:$K$2000,소재DB_RAW!$G$3:$G$2000=$D117))),"")</f>
        <v/>
      </c>
      <c r="W117" s="20" t="inlineStr">
        <is>
          <t>베트남</t>
        </is>
      </c>
      <c r="X117" s="20">
        <f>IFERROR(TEXTJOIN(" / ",TRUE,UNIQUE(FILTER(소재DB_RAW!$N$3:$N$2000,소재DB_RAW!$G$3:$G$2000=$D117))),"")</f>
        <v/>
      </c>
      <c r="Y117" s="26">
        <f>IFERROR(TEXTJOIN(CHAR(10),TRUE,UNIQUE(FILTER(소재DB_RAW!$N$3:$N$2000&amp;") "&amp;소재DB_RAW!$O$3:$O$2000,(소재DB_RAW!$G$3:$G$2000=$D117)*ISNUMBER(SEARCH("겉감",소재DB_RAW!$M$3:$M$2000))))),"")</f>
        <v/>
      </c>
      <c r="Z117" s="26">
        <f>IFERROR(TEXTJOIN(CHAR(10),TRUE,UNIQUE(FILTER(소재DB_RAW!$N$3:$N$2000&amp;") "&amp;소재DB_RAW!$O$3:$O$2000,(소재DB_RAW!$G$3:$G$2000=$D117)*ISNUMBER(SEARCH("안감",소재DB_RAW!$M$3:$M$2000))))),"")</f>
        <v/>
      </c>
      <c r="AA117" s="27" t="n">
        <v>5000</v>
      </c>
      <c r="AB117" s="27" t="n">
        <v>207055000</v>
      </c>
      <c r="AC117" s="27" t="n">
        <v>990000000</v>
      </c>
      <c r="AD117" s="20" t="n"/>
      <c r="AE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F117" s="19">
        <f>IF($K117="","",IF(OR(LEFT($AE117,2)="작지",LEFT($AE117,4)="소재입고"),IF(LEFT($G117,1)="S","★ 납기위험(S코드)","◆ 지연주의"),IF($AE117="정상","✓ 정상","? 확인필요")))</f>
        <v/>
      </c>
      <c r="AG117" s="21" t="n"/>
      <c r="AH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21" t="inlineStr">
        <is>
          <t>O</t>
        </is>
      </c>
      <c r="R118" s="21" t="inlineStr">
        <is>
          <t>X</t>
        </is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>
        <f>IFERROR(TEXTJOIN(" / ",TRUE,UNIQUE(FILTER(소재DB_RAW!$K$3:$K$2000,소재DB_RAW!$G$3:$G$2000=$D118))),"")</f>
        <v/>
      </c>
      <c r="W118" s="20" t="inlineStr">
        <is>
          <t>인도네시아</t>
        </is>
      </c>
      <c r="X118" s="20">
        <f>IFERROR(TEXTJOIN(" / ",TRUE,UNIQUE(FILTER(소재DB_RAW!$N$3:$N$2000,소재DB_RAW!$G$3:$G$2000=$D118))),"")</f>
        <v/>
      </c>
      <c r="Y118" s="26">
        <f>IFERROR(TEXTJOIN(CHAR(10),TRUE,UNIQUE(FILTER(소재DB_RAW!$N$3:$N$2000&amp;") "&amp;소재DB_RAW!$O$3:$O$2000,(소재DB_RAW!$G$3:$G$2000=$D118)*ISNUMBER(SEARCH("겉감",소재DB_RAW!$M$3:$M$2000))))),"")</f>
        <v/>
      </c>
      <c r="Z118" s="26">
        <f>IFERROR(TEXTJOIN(CHAR(10),TRUE,UNIQUE(FILTER(소재DB_RAW!$N$3:$N$2000&amp;") "&amp;소재DB_RAW!$O$3:$O$2000,(소재DB_RAW!$G$3:$G$2000=$D118)*ISNUMBER(SEARCH("안감",소재DB_RAW!$M$3:$M$2000))))),"")</f>
        <v/>
      </c>
      <c r="AA118" s="27" t="n">
        <v>10000</v>
      </c>
      <c r="AB118" s="27" t="n">
        <v>142150000</v>
      </c>
      <c r="AC118" s="27" t="n">
        <v>780000000</v>
      </c>
      <c r="AD118" s="20" t="n"/>
      <c r="AE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F118" s="19">
        <f>IF($K118="","",IF(OR(LEFT($AE118,2)="작지",LEFT($AE118,4)="소재입고"),IF(LEFT($G118,1)="S","★ 납기위험(S코드)","◆ 지연주의"),IF($AE118="정상","✓ 정상","? 확인필요")))</f>
        <v/>
      </c>
      <c r="AG118" s="21" t="n"/>
      <c r="AH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21" t="inlineStr">
        <is>
          <t>O</t>
        </is>
      </c>
      <c r="R119" s="21" t="inlineStr">
        <is>
          <t>X</t>
        </is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>
        <f>IFERROR(TEXTJOIN(" / ",TRUE,UNIQUE(FILTER(소재DB_RAW!$K$3:$K$2000,소재DB_RAW!$G$3:$G$2000=$D119))),"")</f>
        <v/>
      </c>
      <c r="W119" s="20" t="inlineStr">
        <is>
          <t>베트남</t>
        </is>
      </c>
      <c r="X119" s="20">
        <f>IFERROR(TEXTJOIN(" / ",TRUE,UNIQUE(FILTER(소재DB_RAW!$N$3:$N$2000,소재DB_RAW!$G$3:$G$2000=$D119))),"")</f>
        <v/>
      </c>
      <c r="Y119" s="26">
        <f>IFERROR(TEXTJOIN(CHAR(10),TRUE,UNIQUE(FILTER(소재DB_RAW!$N$3:$N$2000&amp;") "&amp;소재DB_RAW!$O$3:$O$2000,(소재DB_RAW!$G$3:$G$2000=$D119)*ISNUMBER(SEARCH("겉감",소재DB_RAW!$M$3:$M$2000))))),"")</f>
        <v/>
      </c>
      <c r="Z119" s="26">
        <f>IFERROR(TEXTJOIN(CHAR(10),TRUE,UNIQUE(FILTER(소재DB_RAW!$N$3:$N$2000&amp;") "&amp;소재DB_RAW!$O$3:$O$2000,(소재DB_RAW!$G$3:$G$2000=$D119)*ISNUMBER(SEARCH("안감",소재DB_RAW!$M$3:$M$2000))))),"")</f>
        <v/>
      </c>
      <c r="AA119" s="27" t="n">
        <v>3500</v>
      </c>
      <c r="AB119" s="27" t="n">
        <v>157279500</v>
      </c>
      <c r="AC119" s="27" t="n">
        <v>770000000</v>
      </c>
      <c r="AD119" s="20" t="n"/>
      <c r="AE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F119" s="19">
        <f>IF($K119="","",IF(OR(LEFT($AE119,2)="작지",LEFT($AE119,4)="소재입고"),IF(LEFT($G119,1)="S","★ 납기위험(S코드)","◆ 지연주의"),IF($AE119="정상","✓ 정상","? 확인필요")))</f>
        <v/>
      </c>
      <c r="AG119" s="21" t="n"/>
      <c r="AH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21" t="inlineStr">
        <is>
          <t>O</t>
        </is>
      </c>
      <c r="R120" s="21" t="inlineStr">
        <is>
          <t>X</t>
        </is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>
        <f>IFERROR(TEXTJOIN(" / ",TRUE,UNIQUE(FILTER(소재DB_RAW!$K$3:$K$2000,소재DB_RAW!$G$3:$G$2000=$D120))),"")</f>
        <v/>
      </c>
      <c r="W120" s="20" t="inlineStr">
        <is>
          <t>베트남</t>
        </is>
      </c>
      <c r="X120" s="20">
        <f>IFERROR(TEXTJOIN(" / ",TRUE,UNIQUE(FILTER(소재DB_RAW!$N$3:$N$2000,소재DB_RAW!$G$3:$G$2000=$D120))),"")</f>
        <v/>
      </c>
      <c r="Y120" s="26">
        <f>IFERROR(TEXTJOIN(CHAR(10),TRUE,UNIQUE(FILTER(소재DB_RAW!$N$3:$N$2000&amp;") "&amp;소재DB_RAW!$O$3:$O$2000,(소재DB_RAW!$G$3:$G$2000=$D120)*ISNUMBER(SEARCH("겉감",소재DB_RAW!$M$3:$M$2000))))),"")</f>
        <v/>
      </c>
      <c r="Z120" s="26">
        <f>IFERROR(TEXTJOIN(CHAR(10),TRUE,UNIQUE(FILTER(소재DB_RAW!$N$3:$N$2000&amp;") "&amp;소재DB_RAW!$O$3:$O$2000,(소재DB_RAW!$G$3:$G$2000=$D120)*ISNUMBER(SEARCH("안감",소재DB_RAW!$M$3:$M$2000))))),"")</f>
        <v/>
      </c>
      <c r="AA120" s="27" t="n">
        <v>2000</v>
      </c>
      <c r="AB120" s="27" t="n">
        <v>32048000</v>
      </c>
      <c r="AC120" s="27" t="n">
        <v>156000000</v>
      </c>
      <c r="AD120" s="20" t="n"/>
      <c r="AE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F120" s="19">
        <f>IF($K120="","",IF(OR(LEFT($AE120,2)="작지",LEFT($AE120,4)="소재입고"),IF(LEFT($G120,1)="S","★ 납기위험(S코드)","◆ 지연주의"),IF($AE120="정상","✓ 정상","? 확인필요")))</f>
        <v/>
      </c>
      <c r="AG120" s="21" t="n"/>
      <c r="AH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21" t="inlineStr">
        <is>
          <t>O</t>
        </is>
      </c>
      <c r="R121" s="21" t="inlineStr">
        <is>
          <t>X</t>
        </is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>
        <f>IFERROR(TEXTJOIN(" / ",TRUE,UNIQUE(FILTER(소재DB_RAW!$K$3:$K$2000,소재DB_RAW!$G$3:$G$2000=$D121))),"")</f>
        <v/>
      </c>
      <c r="W121" s="20" t="inlineStr"/>
      <c r="X121" s="20">
        <f>IFERROR(TEXTJOIN(" / ",TRUE,UNIQUE(FILTER(소재DB_RAW!$N$3:$N$2000,소재DB_RAW!$G$3:$G$2000=$D121))),"")</f>
        <v/>
      </c>
      <c r="Y121" s="26">
        <f>IFERROR(TEXTJOIN(CHAR(10),TRUE,UNIQUE(FILTER(소재DB_RAW!$N$3:$N$2000&amp;") "&amp;소재DB_RAW!$O$3:$O$2000,(소재DB_RAW!$G$3:$G$2000=$D121)*ISNUMBER(SEARCH("겉감",소재DB_RAW!$M$3:$M$2000))))),"")</f>
        <v/>
      </c>
      <c r="Z121" s="26">
        <f>IFERROR(TEXTJOIN(CHAR(10),TRUE,UNIQUE(FILTER(소재DB_RAW!$N$3:$N$2000&amp;") "&amp;소재DB_RAW!$O$3:$O$2000,(소재DB_RAW!$G$3:$G$2000=$D121)*ISNUMBER(SEARCH("안감",소재DB_RAW!$M$3:$M$2000))))),"")</f>
        <v/>
      </c>
      <c r="AA121" s="27" t="n">
        <v>15000</v>
      </c>
      <c r="AB121" s="27" t="n">
        <v>569850000</v>
      </c>
      <c r="AC121" s="27" t="n">
        <v>2970000000</v>
      </c>
      <c r="AD121" s="20" t="inlineStr">
        <is>
          <t>3월1주</t>
        </is>
      </c>
      <c r="AE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F121" s="19">
        <f>IF($K121="","",IF(OR(LEFT($AE121,2)="작지",LEFT($AE121,4)="소재입고"),IF(LEFT($G121,1)="S","★ 납기위험(S코드)","◆ 지연주의"),IF($AE121="정상","✓ 정상","? 확인필요")))</f>
        <v/>
      </c>
      <c r="AG121" s="21" t="n"/>
      <c r="AH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21" t="inlineStr">
        <is>
          <t>O</t>
        </is>
      </c>
      <c r="R122" s="21" t="inlineStr">
        <is>
          <t>X</t>
        </is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>
        <f>IFERROR(TEXTJOIN(" / ",TRUE,UNIQUE(FILTER(소재DB_RAW!$K$3:$K$2000,소재DB_RAW!$G$3:$G$2000=$D122))),"")</f>
        <v/>
      </c>
      <c r="W122" s="20" t="inlineStr">
        <is>
          <t>인도네시아</t>
        </is>
      </c>
      <c r="X122" s="20">
        <f>IFERROR(TEXTJOIN(" / ",TRUE,UNIQUE(FILTER(소재DB_RAW!$N$3:$N$2000,소재DB_RAW!$G$3:$G$2000=$D122))),"")</f>
        <v/>
      </c>
      <c r="Y122" s="26">
        <f>IFERROR(TEXTJOIN(CHAR(10),TRUE,UNIQUE(FILTER(소재DB_RAW!$N$3:$N$2000&amp;") "&amp;소재DB_RAW!$O$3:$O$2000,(소재DB_RAW!$G$3:$G$2000=$D122)*ISNUMBER(SEARCH("겉감",소재DB_RAW!$M$3:$M$2000))))),"")</f>
        <v/>
      </c>
      <c r="Z122" s="26">
        <f>IFERROR(TEXTJOIN(CHAR(10),TRUE,UNIQUE(FILTER(소재DB_RAW!$N$3:$N$2000&amp;") "&amp;소재DB_RAW!$O$3:$O$2000,(소재DB_RAW!$G$3:$G$2000=$D122)*ISNUMBER(SEARCH("안감",소재DB_RAW!$M$3:$M$2000))))),"")</f>
        <v/>
      </c>
      <c r="AA122" s="27" t="n">
        <v>27500</v>
      </c>
      <c r="AB122" s="27" t="n">
        <v>1237500000</v>
      </c>
      <c r="AC122" s="27" t="n">
        <v>5445000000</v>
      </c>
      <c r="AD122" s="20" t="n"/>
      <c r="AE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F122" s="19">
        <f>IF($K122="","",IF(OR(LEFT($AE122,2)="작지",LEFT($AE122,4)="소재입고"),IF(LEFT($G122,1)="S","★ 납기위험(S코드)","◆ 지연주의"),IF($AE122="정상","✓ 정상","? 확인필요")))</f>
        <v/>
      </c>
      <c r="AG122" s="21" t="n"/>
      <c r="AH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21" t="inlineStr">
        <is>
          <t>O</t>
        </is>
      </c>
      <c r="R123" s="21" t="inlineStr">
        <is>
          <t>X</t>
        </is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>
        <f>IFERROR(TEXTJOIN(" / ",TRUE,UNIQUE(FILTER(소재DB_RAW!$K$3:$K$2000,소재DB_RAW!$G$3:$G$2000=$D123))),"")</f>
        <v/>
      </c>
      <c r="W123" s="20" t="inlineStr">
        <is>
          <t>베트남</t>
        </is>
      </c>
      <c r="X123" s="20">
        <f>IFERROR(TEXTJOIN(" / ",TRUE,UNIQUE(FILTER(소재DB_RAW!$N$3:$N$2000,소재DB_RAW!$G$3:$G$2000=$D123))),"")</f>
        <v/>
      </c>
      <c r="Y123" s="26">
        <f>IFERROR(TEXTJOIN(CHAR(10),TRUE,UNIQUE(FILTER(소재DB_RAW!$N$3:$N$2000&amp;") "&amp;소재DB_RAW!$O$3:$O$2000,(소재DB_RAW!$G$3:$G$2000=$D123)*ISNUMBER(SEARCH("겉감",소재DB_RAW!$M$3:$M$2000))))),"")</f>
        <v/>
      </c>
      <c r="Z123" s="26">
        <f>IFERROR(TEXTJOIN(CHAR(10),TRUE,UNIQUE(FILTER(소재DB_RAW!$N$3:$N$2000&amp;") "&amp;소재DB_RAW!$O$3:$O$2000,(소재DB_RAW!$G$3:$G$2000=$D123)*ISNUMBER(SEARCH("안감",소재DB_RAW!$M$3:$M$2000))))),"")</f>
        <v/>
      </c>
      <c r="AA123" s="27" t="n">
        <v>12500</v>
      </c>
      <c r="AB123" s="27" t="n">
        <v>572725000</v>
      </c>
      <c r="AC123" s="27" t="n">
        <v>2750000000</v>
      </c>
      <c r="AD123" s="20" t="inlineStr">
        <is>
          <t>3월1주</t>
        </is>
      </c>
      <c r="AE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F123" s="19">
        <f>IF($K123="","",IF(OR(LEFT($AE123,2)="작지",LEFT($AE123,4)="소재입고"),IF(LEFT($G123,1)="S","★ 납기위험(S코드)","◆ 지연주의"),IF($AE123="정상","✓ 정상","? 확인필요")))</f>
        <v/>
      </c>
      <c r="AG123" s="21" t="n"/>
      <c r="AH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21" t="inlineStr">
        <is>
          <t>O</t>
        </is>
      </c>
      <c r="R124" s="21" t="inlineStr">
        <is>
          <t>X</t>
        </is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>
        <f>IFERROR(TEXTJOIN(" / ",TRUE,UNIQUE(FILTER(소재DB_RAW!$K$3:$K$2000,소재DB_RAW!$G$3:$G$2000=$D124))),"")</f>
        <v/>
      </c>
      <c r="W124" s="20" t="inlineStr"/>
      <c r="X124" s="20">
        <f>IFERROR(TEXTJOIN(" / ",TRUE,UNIQUE(FILTER(소재DB_RAW!$N$3:$N$2000,소재DB_RAW!$G$3:$G$2000=$D124))),"")</f>
        <v/>
      </c>
      <c r="Y124" s="26">
        <f>IFERROR(TEXTJOIN(CHAR(10),TRUE,UNIQUE(FILTER(소재DB_RAW!$N$3:$N$2000&amp;") "&amp;소재DB_RAW!$O$3:$O$2000,(소재DB_RAW!$G$3:$G$2000=$D124)*ISNUMBER(SEARCH("겉감",소재DB_RAW!$M$3:$M$2000))))),"")</f>
        <v/>
      </c>
      <c r="Z124" s="26">
        <f>IFERROR(TEXTJOIN(CHAR(10),TRUE,UNIQUE(FILTER(소재DB_RAW!$N$3:$N$2000&amp;") "&amp;소재DB_RAW!$O$3:$O$2000,(소재DB_RAW!$G$3:$G$2000=$D124)*ISNUMBER(SEARCH("안감",소재DB_RAW!$M$3:$M$2000))))),"")</f>
        <v/>
      </c>
      <c r="AA124" s="27" t="n">
        <v>9000</v>
      </c>
      <c r="AB124" s="27" t="n">
        <v>454095500</v>
      </c>
      <c r="AC124" s="27" t="n">
        <v>1602000000</v>
      </c>
      <c r="AD124" s="20" t="inlineStr">
        <is>
          <t>3월2주</t>
        </is>
      </c>
      <c r="AE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F124" s="19">
        <f>IF($K124="","",IF(OR(LEFT($AE124,2)="작지",LEFT($AE124,4)="소재입고"),IF(LEFT($G124,1)="S","★ 납기위험(S코드)","◆ 지연주의"),IF($AE124="정상","✓ 정상","? 확인필요")))</f>
        <v/>
      </c>
      <c r="AG124" s="21" t="n"/>
      <c r="AH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21" t="inlineStr">
        <is>
          <t>O</t>
        </is>
      </c>
      <c r="R125" s="21" t="inlineStr">
        <is>
          <t>X</t>
        </is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>
        <f>IFERROR(TEXTJOIN(" / ",TRUE,UNIQUE(FILTER(소재DB_RAW!$K$3:$K$2000,소재DB_RAW!$G$3:$G$2000=$D125))),"")</f>
        <v/>
      </c>
      <c r="W125" s="20" t="inlineStr">
        <is>
          <t>베트남</t>
        </is>
      </c>
      <c r="X125" s="20">
        <f>IFERROR(TEXTJOIN(" / ",TRUE,UNIQUE(FILTER(소재DB_RAW!$N$3:$N$2000,소재DB_RAW!$G$3:$G$2000=$D125))),"")</f>
        <v/>
      </c>
      <c r="Y125" s="26">
        <f>IFERROR(TEXTJOIN(CHAR(10),TRUE,UNIQUE(FILTER(소재DB_RAW!$N$3:$N$2000&amp;") "&amp;소재DB_RAW!$O$3:$O$2000,(소재DB_RAW!$G$3:$G$2000=$D125)*ISNUMBER(SEARCH("겉감",소재DB_RAW!$M$3:$M$2000))))),"")</f>
        <v/>
      </c>
      <c r="Z125" s="26">
        <f>IFERROR(TEXTJOIN(CHAR(10),TRUE,UNIQUE(FILTER(소재DB_RAW!$N$3:$N$2000&amp;") "&amp;소재DB_RAW!$O$3:$O$2000,(소재DB_RAW!$G$3:$G$2000=$D125)*ISNUMBER(SEARCH("안감",소재DB_RAW!$M$3:$M$2000))))),"")</f>
        <v/>
      </c>
      <c r="AA125" s="27" t="n">
        <v>5700</v>
      </c>
      <c r="AB125" s="27" t="n">
        <v>135403500</v>
      </c>
      <c r="AC125" s="27" t="n">
        <v>729600000</v>
      </c>
      <c r="AD125" s="20" t="inlineStr">
        <is>
          <t>3월2주</t>
        </is>
      </c>
      <c r="AE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F125" s="19">
        <f>IF($K125="","",IF(OR(LEFT($AE125,2)="작지",LEFT($AE125,4)="소재입고"),IF(LEFT($G125,1)="S","★ 납기위험(S코드)","◆ 지연주의"),IF($AE125="정상","✓ 정상","? 확인필요")))</f>
        <v/>
      </c>
      <c r="AG125" s="21" t="n"/>
      <c r="AH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21" t="inlineStr">
        <is>
          <t>O</t>
        </is>
      </c>
      <c r="R126" s="21" t="inlineStr">
        <is>
          <t>X</t>
        </is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>
        <f>IFERROR(TEXTJOIN(" / ",TRUE,UNIQUE(FILTER(소재DB_RAW!$K$3:$K$2000,소재DB_RAW!$G$3:$G$2000=$D126))),"")</f>
        <v/>
      </c>
      <c r="W126" s="20" t="inlineStr">
        <is>
          <t>인도네시아</t>
        </is>
      </c>
      <c r="X126" s="20">
        <f>IFERROR(TEXTJOIN(" / ",TRUE,UNIQUE(FILTER(소재DB_RAW!$N$3:$N$2000,소재DB_RAW!$G$3:$G$2000=$D126))),"")</f>
        <v/>
      </c>
      <c r="Y126" s="26">
        <f>IFERROR(TEXTJOIN(CHAR(10),TRUE,UNIQUE(FILTER(소재DB_RAW!$N$3:$N$2000&amp;") "&amp;소재DB_RAW!$O$3:$O$2000,(소재DB_RAW!$G$3:$G$2000=$D126)*ISNUMBER(SEARCH("겉감",소재DB_RAW!$M$3:$M$2000))))),"")</f>
        <v/>
      </c>
      <c r="Z126" s="26">
        <f>IFERROR(TEXTJOIN(CHAR(10),TRUE,UNIQUE(FILTER(소재DB_RAW!$N$3:$N$2000&amp;") "&amp;소재DB_RAW!$O$3:$O$2000,(소재DB_RAW!$G$3:$G$2000=$D126)*ISNUMBER(SEARCH("안감",소재DB_RAW!$M$3:$M$2000))))),"")</f>
        <v/>
      </c>
      <c r="AA126" s="27" t="n">
        <v>1600</v>
      </c>
      <c r="AB126" s="27" t="n">
        <v>25153600</v>
      </c>
      <c r="AC126" s="27" t="n">
        <v>140800000</v>
      </c>
      <c r="AD126" s="20" t="inlineStr">
        <is>
          <t>3월2주</t>
        </is>
      </c>
      <c r="AE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F126" s="19">
        <f>IF($K126="","",IF(OR(LEFT($AE126,2)="작지",LEFT($AE126,4)="소재입고"),IF(LEFT($G126,1)="S","★ 납기위험(S코드)","◆ 지연주의"),IF($AE126="정상","✓ 정상","? 확인필요")))</f>
        <v/>
      </c>
      <c r="AG126" s="21" t="n"/>
      <c r="AH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21" t="inlineStr">
        <is>
          <t>O</t>
        </is>
      </c>
      <c r="R127" s="21" t="inlineStr">
        <is>
          <t>X</t>
        </is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>
        <f>IFERROR(TEXTJOIN(" / ",TRUE,UNIQUE(FILTER(소재DB_RAW!$K$3:$K$2000,소재DB_RAW!$G$3:$G$2000=$D127))),"")</f>
        <v/>
      </c>
      <c r="W127" s="20" t="inlineStr"/>
      <c r="X127" s="20">
        <f>IFERROR(TEXTJOIN(" / ",TRUE,UNIQUE(FILTER(소재DB_RAW!$N$3:$N$2000,소재DB_RAW!$G$3:$G$2000=$D127))),"")</f>
        <v/>
      </c>
      <c r="Y127" s="26">
        <f>IFERROR(TEXTJOIN(CHAR(10),TRUE,UNIQUE(FILTER(소재DB_RAW!$N$3:$N$2000&amp;") "&amp;소재DB_RAW!$O$3:$O$2000,(소재DB_RAW!$G$3:$G$2000=$D127)*ISNUMBER(SEARCH("겉감",소재DB_RAW!$M$3:$M$2000))))),"")</f>
        <v/>
      </c>
      <c r="Z127" s="26">
        <f>IFERROR(TEXTJOIN(CHAR(10),TRUE,UNIQUE(FILTER(소재DB_RAW!$N$3:$N$2000&amp;") "&amp;소재DB_RAW!$O$3:$O$2000,(소재DB_RAW!$G$3:$G$2000=$D127)*ISNUMBER(SEARCH("안감",소재DB_RAW!$M$3:$M$2000))))),"")</f>
        <v/>
      </c>
      <c r="AA127" s="27" t="n">
        <v>5500</v>
      </c>
      <c r="AB127" s="27" t="n">
        <v>184420500</v>
      </c>
      <c r="AC127" s="27" t="n">
        <v>869000000</v>
      </c>
      <c r="AD127" s="20" t="inlineStr">
        <is>
          <t>3월2주</t>
        </is>
      </c>
      <c r="AE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F127" s="19">
        <f>IF($K127="","",IF(OR(LEFT($AE127,2)="작지",LEFT($AE127,4)="소재입고"),IF(LEFT($G127,1)="S","★ 납기위험(S코드)","◆ 지연주의"),IF($AE127="정상","✓ 정상","? 확인필요")))</f>
        <v/>
      </c>
      <c r="AG127" s="21" t="n"/>
      <c r="AH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21" t="inlineStr">
        <is>
          <t>O</t>
        </is>
      </c>
      <c r="R128" s="21" t="inlineStr">
        <is>
          <t>X</t>
        </is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>
        <f>IFERROR(TEXTJOIN(" / ",TRUE,UNIQUE(FILTER(소재DB_RAW!$K$3:$K$2000,소재DB_RAW!$G$3:$G$2000=$D128))),"")</f>
        <v/>
      </c>
      <c r="W128" s="20" t="inlineStr">
        <is>
          <t>베트남</t>
        </is>
      </c>
      <c r="X128" s="20">
        <f>IFERROR(TEXTJOIN(" / ",TRUE,UNIQUE(FILTER(소재DB_RAW!$N$3:$N$2000,소재DB_RAW!$G$3:$G$2000=$D128))),"")</f>
        <v/>
      </c>
      <c r="Y128" s="26">
        <f>IFERROR(TEXTJOIN(CHAR(10),TRUE,UNIQUE(FILTER(소재DB_RAW!$N$3:$N$2000&amp;") "&amp;소재DB_RAW!$O$3:$O$2000,(소재DB_RAW!$G$3:$G$2000=$D128)*ISNUMBER(SEARCH("겉감",소재DB_RAW!$M$3:$M$2000))))),"")</f>
        <v/>
      </c>
      <c r="Z128" s="26">
        <f>IFERROR(TEXTJOIN(CHAR(10),TRUE,UNIQUE(FILTER(소재DB_RAW!$N$3:$N$2000&amp;") "&amp;소재DB_RAW!$O$3:$O$2000,(소재DB_RAW!$G$3:$G$2000=$D128)*ISNUMBER(SEARCH("안감",소재DB_RAW!$M$3:$M$2000))))),"")</f>
        <v/>
      </c>
      <c r="AA128" s="27" t="n">
        <v>13500</v>
      </c>
      <c r="AB128" s="27" t="n">
        <v>628464000</v>
      </c>
      <c r="AC128" s="27" t="n">
        <v>2403000000</v>
      </c>
      <c r="AD128" s="20" t="n"/>
      <c r="AE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F128" s="19">
        <f>IF($K128="","",IF(OR(LEFT($AE128,2)="작지",LEFT($AE128,4)="소재입고"),IF(LEFT($G128,1)="S","★ 납기위험(S코드)","◆ 지연주의"),IF($AE128="정상","✓ 정상","? 확인필요")))</f>
        <v/>
      </c>
      <c r="AG128" s="21" t="n"/>
      <c r="AH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21" t="inlineStr">
        <is>
          <t>O</t>
        </is>
      </c>
      <c r="R129" s="21" t="inlineStr">
        <is>
          <t>X</t>
        </is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>
        <f>IFERROR(TEXTJOIN(" / ",TRUE,UNIQUE(FILTER(소재DB_RAW!$K$3:$K$2000,소재DB_RAW!$G$3:$G$2000=$D129))),"")</f>
        <v/>
      </c>
      <c r="W129" s="20" t="inlineStr">
        <is>
          <t>베트남</t>
        </is>
      </c>
      <c r="X129" s="20">
        <f>IFERROR(TEXTJOIN(" / ",TRUE,UNIQUE(FILTER(소재DB_RAW!$N$3:$N$2000,소재DB_RAW!$G$3:$G$2000=$D129))),"")</f>
        <v/>
      </c>
      <c r="Y129" s="26">
        <f>IFERROR(TEXTJOIN(CHAR(10),TRUE,UNIQUE(FILTER(소재DB_RAW!$N$3:$N$2000&amp;") "&amp;소재DB_RAW!$O$3:$O$2000,(소재DB_RAW!$G$3:$G$2000=$D129)*ISNUMBER(SEARCH("겉감",소재DB_RAW!$M$3:$M$2000))))),"")</f>
        <v/>
      </c>
      <c r="Z129" s="26">
        <f>IFERROR(TEXTJOIN(CHAR(10),TRUE,UNIQUE(FILTER(소재DB_RAW!$N$3:$N$2000&amp;") "&amp;소재DB_RAW!$O$3:$O$2000,(소재DB_RAW!$G$3:$G$2000=$D129)*ISNUMBER(SEARCH("안감",소재DB_RAW!$M$3:$M$2000))))),"")</f>
        <v/>
      </c>
      <c r="AA129" s="27" t="n">
        <v>1000</v>
      </c>
      <c r="AB129" s="27" t="n">
        <v>35722000</v>
      </c>
      <c r="AC129" s="27" t="n">
        <v>188000000</v>
      </c>
      <c r="AD129" s="20" t="inlineStr">
        <is>
          <t>3월2주</t>
        </is>
      </c>
      <c r="AE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F129" s="19">
        <f>IF($K129="","",IF(OR(LEFT($AE129,2)="작지",LEFT($AE129,4)="소재입고"),IF(LEFT($G129,1)="S","★ 납기위험(S코드)","◆ 지연주의"),IF($AE129="정상","✓ 정상","? 확인필요")))</f>
        <v/>
      </c>
      <c r="AG129" s="21" t="n"/>
      <c r="AH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21" t="inlineStr">
        <is>
          <t>O</t>
        </is>
      </c>
      <c r="R130" s="21" t="inlineStr">
        <is>
          <t>X</t>
        </is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>
        <f>IFERROR(TEXTJOIN(" / ",TRUE,UNIQUE(FILTER(소재DB_RAW!$K$3:$K$2000,소재DB_RAW!$G$3:$G$2000=$D130))),"")</f>
        <v/>
      </c>
      <c r="W130" s="20" t="inlineStr">
        <is>
          <t>베트남</t>
        </is>
      </c>
      <c r="X130" s="20">
        <f>IFERROR(TEXTJOIN(" / ",TRUE,UNIQUE(FILTER(소재DB_RAW!$N$3:$N$2000,소재DB_RAW!$G$3:$G$2000=$D130))),"")</f>
        <v/>
      </c>
      <c r="Y130" s="26">
        <f>IFERROR(TEXTJOIN(CHAR(10),TRUE,UNIQUE(FILTER(소재DB_RAW!$N$3:$N$2000&amp;") "&amp;소재DB_RAW!$O$3:$O$2000,(소재DB_RAW!$G$3:$G$2000=$D130)*ISNUMBER(SEARCH("겉감",소재DB_RAW!$M$3:$M$2000))))),"")</f>
        <v/>
      </c>
      <c r="Z130" s="26">
        <f>IFERROR(TEXTJOIN(CHAR(10),TRUE,UNIQUE(FILTER(소재DB_RAW!$N$3:$N$2000&amp;") "&amp;소재DB_RAW!$O$3:$O$2000,(소재DB_RAW!$G$3:$G$2000=$D130)*ISNUMBER(SEARCH("안감",소재DB_RAW!$M$3:$M$2000))))),"")</f>
        <v/>
      </c>
      <c r="AA130" s="27" t="n">
        <v>7000</v>
      </c>
      <c r="AB130" s="27" t="n">
        <v>214991000</v>
      </c>
      <c r="AC130" s="27" t="n">
        <v>1036000000</v>
      </c>
      <c r="AD130" s="20" t="n"/>
      <c r="AE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F130" s="19">
        <f>IF($K130="","",IF(OR(LEFT($AE130,2)="작지",LEFT($AE130,4)="소재입고"),IF(LEFT($G130,1)="S","★ 납기위험(S코드)","◆ 지연주의"),IF($AE130="정상","✓ 정상","? 확인필요")))</f>
        <v/>
      </c>
      <c r="AG130" s="21" t="n"/>
      <c r="AH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21" t="inlineStr">
        <is>
          <t>O</t>
        </is>
      </c>
      <c r="R131" s="21" t="inlineStr">
        <is>
          <t>X</t>
        </is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>
        <f>IFERROR(TEXTJOIN(" / ",TRUE,UNIQUE(FILTER(소재DB_RAW!$K$3:$K$2000,소재DB_RAW!$G$3:$G$2000=$D131))),"")</f>
        <v/>
      </c>
      <c r="W131" s="20" t="inlineStr">
        <is>
          <t>베트남</t>
        </is>
      </c>
      <c r="X131" s="20">
        <f>IFERROR(TEXTJOIN(" / ",TRUE,UNIQUE(FILTER(소재DB_RAW!$N$3:$N$2000,소재DB_RAW!$G$3:$G$2000=$D131))),"")</f>
        <v/>
      </c>
      <c r="Y131" s="26">
        <f>IFERROR(TEXTJOIN(CHAR(10),TRUE,UNIQUE(FILTER(소재DB_RAW!$N$3:$N$2000&amp;") "&amp;소재DB_RAW!$O$3:$O$2000,(소재DB_RAW!$G$3:$G$2000=$D131)*ISNUMBER(SEARCH("겉감",소재DB_RAW!$M$3:$M$2000))))),"")</f>
        <v/>
      </c>
      <c r="Z131" s="26">
        <f>IFERROR(TEXTJOIN(CHAR(10),TRUE,UNIQUE(FILTER(소재DB_RAW!$N$3:$N$2000&amp;") "&amp;소재DB_RAW!$O$3:$O$2000,(소재DB_RAW!$G$3:$G$2000=$D131)*ISNUMBER(SEARCH("안감",소재DB_RAW!$M$3:$M$2000))))),"")</f>
        <v/>
      </c>
      <c r="AA131" s="27" t="n">
        <v>3500</v>
      </c>
      <c r="AB131" s="27" t="n">
        <v>102490500</v>
      </c>
      <c r="AC131" s="27" t="n">
        <v>623000000</v>
      </c>
      <c r="AD131" s="20" t="n"/>
      <c r="AE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F131" s="19">
        <f>IF($K131="","",IF(OR(LEFT($AE131,2)="작지",LEFT($AE131,4)="소재입고"),IF(LEFT($G131,1)="S","★ 납기위험(S코드)","◆ 지연주의"),IF($AE131="정상","✓ 정상","? 확인필요")))</f>
        <v/>
      </c>
      <c r="AG131" s="21" t="n"/>
      <c r="AH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21" t="inlineStr">
        <is>
          <t>O</t>
        </is>
      </c>
      <c r="R132" s="21" t="inlineStr">
        <is>
          <t>X</t>
        </is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>
        <f>IFERROR(TEXTJOIN(" / ",TRUE,UNIQUE(FILTER(소재DB_RAW!$K$3:$K$2000,소재DB_RAW!$G$3:$G$2000=$D132))),"")</f>
        <v/>
      </c>
      <c r="W132" s="20" t="inlineStr">
        <is>
          <t>베트남</t>
        </is>
      </c>
      <c r="X132" s="20">
        <f>IFERROR(TEXTJOIN(" / ",TRUE,UNIQUE(FILTER(소재DB_RAW!$N$3:$N$2000,소재DB_RAW!$G$3:$G$2000=$D132))),"")</f>
        <v/>
      </c>
      <c r="Y132" s="26">
        <f>IFERROR(TEXTJOIN(CHAR(10),TRUE,UNIQUE(FILTER(소재DB_RAW!$N$3:$N$2000&amp;") "&amp;소재DB_RAW!$O$3:$O$2000,(소재DB_RAW!$G$3:$G$2000=$D132)*ISNUMBER(SEARCH("겉감",소재DB_RAW!$M$3:$M$2000))))),"")</f>
        <v/>
      </c>
      <c r="Z132" s="26">
        <f>IFERROR(TEXTJOIN(CHAR(10),TRUE,UNIQUE(FILTER(소재DB_RAW!$N$3:$N$2000&amp;") "&amp;소재DB_RAW!$O$3:$O$2000,(소재DB_RAW!$G$3:$G$2000=$D132)*ISNUMBER(SEARCH("안감",소재DB_RAW!$M$3:$M$2000))))),"")</f>
        <v/>
      </c>
      <c r="AA132" s="27" t="n">
        <v>3500</v>
      </c>
      <c r="AB132" s="27" t="n">
        <v>94146500</v>
      </c>
      <c r="AC132" s="27" t="n">
        <v>658000000</v>
      </c>
      <c r="AD132" s="20" t="n"/>
      <c r="AE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F132" s="19">
        <f>IF($K132="","",IF(OR(LEFT($AE132,2)="작지",LEFT($AE132,4)="소재입고"),IF(LEFT($G132,1)="S","★ 납기위험(S코드)","◆ 지연주의"),IF($AE132="정상","✓ 정상","? 확인필요")))</f>
        <v/>
      </c>
      <c r="AG132" s="21" t="n"/>
      <c r="AH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21" t="inlineStr">
        <is>
          <t>O</t>
        </is>
      </c>
      <c r="R133" s="21" t="inlineStr">
        <is>
          <t>X</t>
        </is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>
        <f>IFERROR(TEXTJOIN(" / ",TRUE,UNIQUE(FILTER(소재DB_RAW!$K$3:$K$2000,소재DB_RAW!$G$3:$G$2000=$D133))),"")</f>
        <v/>
      </c>
      <c r="W133" s="20" t="inlineStr">
        <is>
          <t>베트남</t>
        </is>
      </c>
      <c r="X133" s="20">
        <f>IFERROR(TEXTJOIN(" / ",TRUE,UNIQUE(FILTER(소재DB_RAW!$N$3:$N$2000,소재DB_RAW!$G$3:$G$2000=$D133))),"")</f>
        <v/>
      </c>
      <c r="Y133" s="26">
        <f>IFERROR(TEXTJOIN(CHAR(10),TRUE,UNIQUE(FILTER(소재DB_RAW!$N$3:$N$2000&amp;") "&amp;소재DB_RAW!$O$3:$O$2000,(소재DB_RAW!$G$3:$G$2000=$D133)*ISNUMBER(SEARCH("겉감",소재DB_RAW!$M$3:$M$2000))))),"")</f>
        <v/>
      </c>
      <c r="Z133" s="26">
        <f>IFERROR(TEXTJOIN(CHAR(10),TRUE,UNIQUE(FILTER(소재DB_RAW!$N$3:$N$2000&amp;") "&amp;소재DB_RAW!$O$3:$O$2000,(소재DB_RAW!$G$3:$G$2000=$D133)*ISNUMBER(SEARCH("안감",소재DB_RAW!$M$3:$M$2000))))),"")</f>
        <v/>
      </c>
      <c r="AA133" s="27" t="n">
        <v>5500</v>
      </c>
      <c r="AB133" s="27" t="n">
        <v>149985000</v>
      </c>
      <c r="AC133" s="27" t="n">
        <v>814000000</v>
      </c>
      <c r="AD133" s="20" t="inlineStr">
        <is>
          <t>3월2주</t>
        </is>
      </c>
      <c r="AE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F133" s="19">
        <f>IF($K133="","",IF(OR(LEFT($AE133,2)="작지",LEFT($AE133,4)="소재입고"),IF(LEFT($G133,1)="S","★ 납기위험(S코드)","◆ 지연주의"),IF($AE133="정상","✓ 정상","? 확인필요")))</f>
        <v/>
      </c>
      <c r="AG133" s="21" t="n"/>
      <c r="AH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21" t="inlineStr">
        <is>
          <t>O</t>
        </is>
      </c>
      <c r="R134" s="21" t="inlineStr">
        <is>
          <t>X</t>
        </is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>
        <f>IFERROR(TEXTJOIN(" / ",TRUE,UNIQUE(FILTER(소재DB_RAW!$K$3:$K$2000,소재DB_RAW!$G$3:$G$2000=$D134))),"")</f>
        <v/>
      </c>
      <c r="W134" s="20" t="inlineStr">
        <is>
          <t>베트남</t>
        </is>
      </c>
      <c r="X134" s="20">
        <f>IFERROR(TEXTJOIN(" / ",TRUE,UNIQUE(FILTER(소재DB_RAW!$N$3:$N$2000,소재DB_RAW!$G$3:$G$2000=$D134))),"")</f>
        <v/>
      </c>
      <c r="Y134" s="26">
        <f>IFERROR(TEXTJOIN(CHAR(10),TRUE,UNIQUE(FILTER(소재DB_RAW!$N$3:$N$2000&amp;") "&amp;소재DB_RAW!$O$3:$O$2000,(소재DB_RAW!$G$3:$G$2000=$D134)*ISNUMBER(SEARCH("겉감",소재DB_RAW!$M$3:$M$2000))))),"")</f>
        <v/>
      </c>
      <c r="Z134" s="26">
        <f>IFERROR(TEXTJOIN(CHAR(10),TRUE,UNIQUE(FILTER(소재DB_RAW!$N$3:$N$2000&amp;") "&amp;소재DB_RAW!$O$3:$O$2000,(소재DB_RAW!$G$3:$G$2000=$D134)*ISNUMBER(SEARCH("안감",소재DB_RAW!$M$3:$M$2000))))),"")</f>
        <v/>
      </c>
      <c r="AA134" s="27" t="n">
        <v>4000</v>
      </c>
      <c r="AB134" s="27" t="n">
        <v>163668000</v>
      </c>
      <c r="AC134" s="27" t="n">
        <v>552000000</v>
      </c>
      <c r="AD134" s="20" t="n"/>
      <c r="AE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F134" s="19">
        <f>IF($K134="","",IF(OR(LEFT($AE134,2)="작지",LEFT($AE134,4)="소재입고"),IF(LEFT($G134,1)="S","★ 납기위험(S코드)","◆ 지연주의"),IF($AE134="정상","✓ 정상","? 확인필요")))</f>
        <v/>
      </c>
      <c r="AG134" s="21" t="n"/>
      <c r="AH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21" t="inlineStr">
        <is>
          <t>O</t>
        </is>
      </c>
      <c r="R135" s="21" t="inlineStr">
        <is>
          <t>X</t>
        </is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>
        <f>IFERROR(TEXTJOIN(" / ",TRUE,UNIQUE(FILTER(소재DB_RAW!$K$3:$K$2000,소재DB_RAW!$G$3:$G$2000=$D135))),"")</f>
        <v/>
      </c>
      <c r="W135" s="20" t="inlineStr">
        <is>
          <t>베트남</t>
        </is>
      </c>
      <c r="X135" s="20">
        <f>IFERROR(TEXTJOIN(" / ",TRUE,UNIQUE(FILTER(소재DB_RAW!$N$3:$N$2000,소재DB_RAW!$G$3:$G$2000=$D135))),"")</f>
        <v/>
      </c>
      <c r="Y135" s="26">
        <f>IFERROR(TEXTJOIN(CHAR(10),TRUE,UNIQUE(FILTER(소재DB_RAW!$N$3:$N$2000&amp;") "&amp;소재DB_RAW!$O$3:$O$2000,(소재DB_RAW!$G$3:$G$2000=$D135)*ISNUMBER(SEARCH("겉감",소재DB_RAW!$M$3:$M$2000))))),"")</f>
        <v/>
      </c>
      <c r="Z135" s="26">
        <f>IFERROR(TEXTJOIN(CHAR(10),TRUE,UNIQUE(FILTER(소재DB_RAW!$N$3:$N$2000&amp;") "&amp;소재DB_RAW!$O$3:$O$2000,(소재DB_RAW!$G$3:$G$2000=$D135)*ISNUMBER(SEARCH("안감",소재DB_RAW!$M$3:$M$2000))))),"")</f>
        <v/>
      </c>
      <c r="AA135" s="27" t="n">
        <v>3500</v>
      </c>
      <c r="AB135" s="27" t="n">
        <v>108528000</v>
      </c>
      <c r="AC135" s="27" t="n">
        <v>483000000</v>
      </c>
      <c r="AD135" s="20" t="inlineStr">
        <is>
          <t>3월2주</t>
        </is>
      </c>
      <c r="AE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F135" s="19">
        <f>IF($K135="","",IF(OR(LEFT($AE135,2)="작지",LEFT($AE135,4)="소재입고"),IF(LEFT($G135,1)="S","★ 납기위험(S코드)","◆ 지연주의"),IF($AE135="정상","✓ 정상","? 확인필요")))</f>
        <v/>
      </c>
      <c r="AG135" s="21" t="n"/>
      <c r="AH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21" t="inlineStr">
        <is>
          <t>O</t>
        </is>
      </c>
      <c r="R136" s="21" t="inlineStr">
        <is>
          <t>X</t>
        </is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>
        <f>IFERROR(TEXTJOIN(" / ",TRUE,UNIQUE(FILTER(소재DB_RAW!$K$3:$K$2000,소재DB_RAW!$G$3:$G$2000=$D136))),"")</f>
        <v/>
      </c>
      <c r="W136" s="20" t="inlineStr">
        <is>
          <t>베트남</t>
        </is>
      </c>
      <c r="X136" s="20">
        <f>IFERROR(TEXTJOIN(" / ",TRUE,UNIQUE(FILTER(소재DB_RAW!$N$3:$N$2000,소재DB_RAW!$G$3:$G$2000=$D136))),"")</f>
        <v/>
      </c>
      <c r="Y136" s="26">
        <f>IFERROR(TEXTJOIN(CHAR(10),TRUE,UNIQUE(FILTER(소재DB_RAW!$N$3:$N$2000&amp;") "&amp;소재DB_RAW!$O$3:$O$2000,(소재DB_RAW!$G$3:$G$2000=$D136)*ISNUMBER(SEARCH("겉감",소재DB_RAW!$M$3:$M$2000))))),"")</f>
        <v/>
      </c>
      <c r="Z136" s="26">
        <f>IFERROR(TEXTJOIN(CHAR(10),TRUE,UNIQUE(FILTER(소재DB_RAW!$N$3:$N$2000&amp;") "&amp;소재DB_RAW!$O$3:$O$2000,(소재DB_RAW!$G$3:$G$2000=$D136)*ISNUMBER(SEARCH("안감",소재DB_RAW!$M$3:$M$2000))))),"")</f>
        <v/>
      </c>
      <c r="AA136" s="27" t="n">
        <v>3000</v>
      </c>
      <c r="AB136" s="27" t="n">
        <v>107781000</v>
      </c>
      <c r="AC136" s="27" t="n">
        <v>474000000</v>
      </c>
      <c r="AD136" s="20" t="n"/>
      <c r="AE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F136" s="19">
        <f>IF($K136="","",IF(OR(LEFT($AE136,2)="작지",LEFT($AE136,4)="소재입고"),IF(LEFT($G136,1)="S","★ 납기위험(S코드)","◆ 지연주의"),IF($AE136="정상","✓ 정상","? 확인필요")))</f>
        <v/>
      </c>
      <c r="AG136" s="21" t="n"/>
      <c r="AH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21" t="inlineStr">
        <is>
          <t>O</t>
        </is>
      </c>
      <c r="R137" s="21" t="inlineStr">
        <is>
          <t>X</t>
        </is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>
        <f>IFERROR(TEXTJOIN(" / ",TRUE,UNIQUE(FILTER(소재DB_RAW!$K$3:$K$2000,소재DB_RAW!$G$3:$G$2000=$D137))),"")</f>
        <v/>
      </c>
      <c r="W137" s="20" t="inlineStr">
        <is>
          <t>베트남</t>
        </is>
      </c>
      <c r="X137" s="20">
        <f>IFERROR(TEXTJOIN(" / ",TRUE,UNIQUE(FILTER(소재DB_RAW!$N$3:$N$2000,소재DB_RAW!$G$3:$G$2000=$D137))),"")</f>
        <v/>
      </c>
      <c r="Y137" s="26">
        <f>IFERROR(TEXTJOIN(CHAR(10),TRUE,UNIQUE(FILTER(소재DB_RAW!$N$3:$N$2000&amp;") "&amp;소재DB_RAW!$O$3:$O$2000,(소재DB_RAW!$G$3:$G$2000=$D137)*ISNUMBER(SEARCH("겉감",소재DB_RAW!$M$3:$M$2000))))),"")</f>
        <v/>
      </c>
      <c r="Z137" s="26">
        <f>IFERROR(TEXTJOIN(CHAR(10),TRUE,UNIQUE(FILTER(소재DB_RAW!$N$3:$N$2000&amp;") "&amp;소재DB_RAW!$O$3:$O$2000,(소재DB_RAW!$G$3:$G$2000=$D137)*ISNUMBER(SEARCH("안감",소재DB_RAW!$M$3:$M$2000))))),"")</f>
        <v/>
      </c>
      <c r="AA137" s="27" t="n">
        <v>12000</v>
      </c>
      <c r="AB137" s="27" t="n">
        <v>300696000</v>
      </c>
      <c r="AC137" s="27" t="n">
        <v>1536000000</v>
      </c>
      <c r="AD137" s="20" t="inlineStr">
        <is>
          <t>3월2주</t>
        </is>
      </c>
      <c r="AE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F137" s="19">
        <f>IF($K137="","",IF(OR(LEFT($AE137,2)="작지",LEFT($AE137,4)="소재입고"),IF(LEFT($G137,1)="S","★ 납기위험(S코드)","◆ 지연주의"),IF($AE137="정상","✓ 정상","? 확인필요")))</f>
        <v/>
      </c>
      <c r="AG137" s="21" t="n"/>
      <c r="AH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21" t="inlineStr">
        <is>
          <t>O</t>
        </is>
      </c>
      <c r="R138" s="21" t="inlineStr">
        <is>
          <t>X</t>
        </is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>
        <f>IFERROR(TEXTJOIN(" / ",TRUE,UNIQUE(FILTER(소재DB_RAW!$K$3:$K$2000,소재DB_RAW!$G$3:$G$2000=$D138))),"")</f>
        <v/>
      </c>
      <c r="W138" s="20" t="inlineStr">
        <is>
          <t>베트남</t>
        </is>
      </c>
      <c r="X138" s="20">
        <f>IFERROR(TEXTJOIN(" / ",TRUE,UNIQUE(FILTER(소재DB_RAW!$N$3:$N$2000,소재DB_RAW!$G$3:$G$2000=$D138))),"")</f>
        <v/>
      </c>
      <c r="Y138" s="26">
        <f>IFERROR(TEXTJOIN(CHAR(10),TRUE,UNIQUE(FILTER(소재DB_RAW!$N$3:$N$2000&amp;") "&amp;소재DB_RAW!$O$3:$O$2000,(소재DB_RAW!$G$3:$G$2000=$D138)*ISNUMBER(SEARCH("겉감",소재DB_RAW!$M$3:$M$2000))))),"")</f>
        <v/>
      </c>
      <c r="Z138" s="26">
        <f>IFERROR(TEXTJOIN(CHAR(10),TRUE,UNIQUE(FILTER(소재DB_RAW!$N$3:$N$2000&amp;") "&amp;소재DB_RAW!$O$3:$O$2000,(소재DB_RAW!$G$3:$G$2000=$D138)*ISNUMBER(SEARCH("안감",소재DB_RAW!$M$3:$M$2000))))),"")</f>
        <v/>
      </c>
      <c r="AA138" s="27" t="n">
        <v>3000</v>
      </c>
      <c r="AB138" s="27" t="n">
        <v>67437000</v>
      </c>
      <c r="AC138" s="27" t="n">
        <v>354000000</v>
      </c>
      <c r="AD138" s="20" t="inlineStr">
        <is>
          <t>3월2주</t>
        </is>
      </c>
      <c r="AE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F138" s="19">
        <f>IF($K138="","",IF(OR(LEFT($AE138,2)="작지",LEFT($AE138,4)="소재입고"),IF(LEFT($G138,1)="S","★ 납기위험(S코드)","◆ 지연주의"),IF($AE138="정상","✓ 정상","? 확인필요")))</f>
        <v/>
      </c>
      <c r="AG138" s="21" t="n"/>
      <c r="AH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21" t="inlineStr">
        <is>
          <t>O</t>
        </is>
      </c>
      <c r="R139" s="21" t="inlineStr">
        <is>
          <t>X</t>
        </is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>
        <f>IFERROR(TEXTJOIN(" / ",TRUE,UNIQUE(FILTER(소재DB_RAW!$K$3:$K$2000,소재DB_RAW!$G$3:$G$2000=$D139))),"")</f>
        <v/>
      </c>
      <c r="W139" s="20" t="inlineStr">
        <is>
          <t>베트남</t>
        </is>
      </c>
      <c r="X139" s="20">
        <f>IFERROR(TEXTJOIN(" / ",TRUE,UNIQUE(FILTER(소재DB_RAW!$N$3:$N$2000,소재DB_RAW!$G$3:$G$2000=$D139))),"")</f>
        <v/>
      </c>
      <c r="Y139" s="26">
        <f>IFERROR(TEXTJOIN(CHAR(10),TRUE,UNIQUE(FILTER(소재DB_RAW!$N$3:$N$2000&amp;") "&amp;소재DB_RAW!$O$3:$O$2000,(소재DB_RAW!$G$3:$G$2000=$D139)*ISNUMBER(SEARCH("겉감",소재DB_RAW!$M$3:$M$2000))))),"")</f>
        <v/>
      </c>
      <c r="Z139" s="26">
        <f>IFERROR(TEXTJOIN(CHAR(10),TRUE,UNIQUE(FILTER(소재DB_RAW!$N$3:$N$2000&amp;") "&amp;소재DB_RAW!$O$3:$O$2000,(소재DB_RAW!$G$3:$G$2000=$D139)*ISNUMBER(SEARCH("안감",소재DB_RAW!$M$3:$M$2000))))),"")</f>
        <v/>
      </c>
      <c r="AA139" s="27" t="n">
        <v>3000</v>
      </c>
      <c r="AB139" s="27" t="n">
        <v>116118000</v>
      </c>
      <c r="AC139" s="27" t="n">
        <v>660000000</v>
      </c>
      <c r="AD139" s="20" t="n"/>
      <c r="AE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F139" s="19">
        <f>IF($K139="","",IF(OR(LEFT($AE139,2)="작지",LEFT($AE139,4)="소재입고"),IF(LEFT($G139,1)="S","★ 납기위험(S코드)","◆ 지연주의"),IF($AE139="정상","✓ 정상","? 확인필요")))</f>
        <v/>
      </c>
      <c r="AG139" s="21" t="n"/>
      <c r="AH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21" t="inlineStr">
        <is>
          <t>O</t>
        </is>
      </c>
      <c r="R140" s="21" t="inlineStr">
        <is>
          <t>X</t>
        </is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>
        <f>IFERROR(TEXTJOIN(" / ",TRUE,UNIQUE(FILTER(소재DB_RAW!$K$3:$K$2000,소재DB_RAW!$G$3:$G$2000=$D140))),"")</f>
        <v/>
      </c>
      <c r="W140" s="20" t="inlineStr">
        <is>
          <t>베트남</t>
        </is>
      </c>
      <c r="X140" s="20">
        <f>IFERROR(TEXTJOIN(" / ",TRUE,UNIQUE(FILTER(소재DB_RAW!$N$3:$N$2000,소재DB_RAW!$G$3:$G$2000=$D140))),"")</f>
        <v/>
      </c>
      <c r="Y140" s="26">
        <f>IFERROR(TEXTJOIN(CHAR(10),TRUE,UNIQUE(FILTER(소재DB_RAW!$N$3:$N$2000&amp;") "&amp;소재DB_RAW!$O$3:$O$2000,(소재DB_RAW!$G$3:$G$2000=$D140)*ISNUMBER(SEARCH("겉감",소재DB_RAW!$M$3:$M$2000))))),"")</f>
        <v/>
      </c>
      <c r="Z140" s="26">
        <f>IFERROR(TEXTJOIN(CHAR(10),TRUE,UNIQUE(FILTER(소재DB_RAW!$N$3:$N$2000&amp;") "&amp;소재DB_RAW!$O$3:$O$2000,(소재DB_RAW!$G$3:$G$2000=$D140)*ISNUMBER(SEARCH("안감",소재DB_RAW!$M$3:$M$2000))))),"")</f>
        <v/>
      </c>
      <c r="AA140" s="27" t="n">
        <v>2700</v>
      </c>
      <c r="AB140" s="27" t="n">
        <v>69635700</v>
      </c>
      <c r="AC140" s="27" t="n">
        <v>453600000</v>
      </c>
      <c r="AD140" s="20" t="inlineStr">
        <is>
          <t>3월2주</t>
        </is>
      </c>
      <c r="AE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F140" s="19">
        <f>IF($K140="","",IF(OR(LEFT($AE140,2)="작지",LEFT($AE140,4)="소재입고"),IF(LEFT($G140,1)="S","★ 납기위험(S코드)","◆ 지연주의"),IF($AE140="정상","✓ 정상","? 확인필요")))</f>
        <v/>
      </c>
      <c r="AG140" s="21" t="n"/>
      <c r="AH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21" t="inlineStr">
        <is>
          <t>O</t>
        </is>
      </c>
      <c r="R141" s="21" t="inlineStr">
        <is>
          <t>X</t>
        </is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>
        <f>IFERROR(TEXTJOIN(" / ",TRUE,UNIQUE(FILTER(소재DB_RAW!$K$3:$K$2000,소재DB_RAW!$G$3:$G$2000=$D141))),"")</f>
        <v/>
      </c>
      <c r="W141" s="20" t="inlineStr">
        <is>
          <t>베트남</t>
        </is>
      </c>
      <c r="X141" s="20">
        <f>IFERROR(TEXTJOIN(" / ",TRUE,UNIQUE(FILTER(소재DB_RAW!$N$3:$N$2000,소재DB_RAW!$G$3:$G$2000=$D141))),"")</f>
        <v/>
      </c>
      <c r="Y141" s="26">
        <f>IFERROR(TEXTJOIN(CHAR(10),TRUE,UNIQUE(FILTER(소재DB_RAW!$N$3:$N$2000&amp;") "&amp;소재DB_RAW!$O$3:$O$2000,(소재DB_RAW!$G$3:$G$2000=$D141)*ISNUMBER(SEARCH("겉감",소재DB_RAW!$M$3:$M$2000))))),"")</f>
        <v/>
      </c>
      <c r="Z141" s="26">
        <f>IFERROR(TEXTJOIN(CHAR(10),TRUE,UNIQUE(FILTER(소재DB_RAW!$N$3:$N$2000&amp;") "&amp;소재DB_RAW!$O$3:$O$2000,(소재DB_RAW!$G$3:$G$2000=$D141)*ISNUMBER(SEARCH("안감",소재DB_RAW!$M$3:$M$2000))))),"")</f>
        <v/>
      </c>
      <c r="AA141" s="27" t="n">
        <v>2300</v>
      </c>
      <c r="AB141" s="27" t="n">
        <v>51520000</v>
      </c>
      <c r="AC141" s="27" t="n">
        <v>248400000</v>
      </c>
      <c r="AD141" s="20" t="inlineStr">
        <is>
          <t>3월2주</t>
        </is>
      </c>
      <c r="AE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F141" s="19">
        <f>IF($K141="","",IF(OR(LEFT($AE141,2)="작지",LEFT($AE141,4)="소재입고"),IF(LEFT($G141,1)="S","★ 납기위험(S코드)","◆ 지연주의"),IF($AE141="정상","✓ 정상","? 확인필요")))</f>
        <v/>
      </c>
      <c r="AG141" s="21" t="n"/>
      <c r="AH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21" t="inlineStr">
        <is>
          <t>O</t>
        </is>
      </c>
      <c r="R142" s="21" t="inlineStr">
        <is>
          <t>X</t>
        </is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>
        <f>IFERROR(TEXTJOIN(" / ",TRUE,UNIQUE(FILTER(소재DB_RAW!$K$3:$K$2000,소재DB_RAW!$G$3:$G$2000=$D142))),"")</f>
        <v/>
      </c>
      <c r="W142" s="20" t="inlineStr">
        <is>
          <t>베트남</t>
        </is>
      </c>
      <c r="X142" s="20">
        <f>IFERROR(TEXTJOIN(" / ",TRUE,UNIQUE(FILTER(소재DB_RAW!$N$3:$N$2000,소재DB_RAW!$G$3:$G$2000=$D142))),"")</f>
        <v/>
      </c>
      <c r="Y142" s="26">
        <f>IFERROR(TEXTJOIN(CHAR(10),TRUE,UNIQUE(FILTER(소재DB_RAW!$N$3:$N$2000&amp;") "&amp;소재DB_RAW!$O$3:$O$2000,(소재DB_RAW!$G$3:$G$2000=$D142)*ISNUMBER(SEARCH("겉감",소재DB_RAW!$M$3:$M$2000))))),"")</f>
        <v/>
      </c>
      <c r="Z142" s="26">
        <f>IFERROR(TEXTJOIN(CHAR(10),TRUE,UNIQUE(FILTER(소재DB_RAW!$N$3:$N$2000&amp;") "&amp;소재DB_RAW!$O$3:$O$2000,(소재DB_RAW!$G$3:$G$2000=$D142)*ISNUMBER(SEARCH("안감",소재DB_RAW!$M$3:$M$2000))))),"")</f>
        <v/>
      </c>
      <c r="AA142" s="27" t="n">
        <v>5000</v>
      </c>
      <c r="AB142" s="27" t="n">
        <v>147115000</v>
      </c>
      <c r="AC142" s="27" t="n">
        <v>640000000</v>
      </c>
      <c r="AD142" s="20" t="inlineStr">
        <is>
          <t>3월2주</t>
        </is>
      </c>
      <c r="AE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F142" s="19">
        <f>IF($K142="","",IF(OR(LEFT($AE142,2)="작지",LEFT($AE142,4)="소재입고"),IF(LEFT($G142,1)="S","★ 납기위험(S코드)","◆ 지연주의"),IF($AE142="정상","✓ 정상","? 확인필요")))</f>
        <v/>
      </c>
      <c r="AG142" s="21" t="n"/>
      <c r="AH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21" t="inlineStr">
        <is>
          <t>O</t>
        </is>
      </c>
      <c r="R143" s="21" t="inlineStr">
        <is>
          <t>X</t>
        </is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>
        <f>IFERROR(TEXTJOIN(" / ",TRUE,UNIQUE(FILTER(소재DB_RAW!$K$3:$K$2000,소재DB_RAW!$G$3:$G$2000=$D143))),"")</f>
        <v/>
      </c>
      <c r="W143" s="20" t="inlineStr">
        <is>
          <t>베트남</t>
        </is>
      </c>
      <c r="X143" s="20">
        <f>IFERROR(TEXTJOIN(" / ",TRUE,UNIQUE(FILTER(소재DB_RAW!$N$3:$N$2000,소재DB_RAW!$G$3:$G$2000=$D143))),"")</f>
        <v/>
      </c>
      <c r="Y143" s="26">
        <f>IFERROR(TEXTJOIN(CHAR(10),TRUE,UNIQUE(FILTER(소재DB_RAW!$N$3:$N$2000&amp;") "&amp;소재DB_RAW!$O$3:$O$2000,(소재DB_RAW!$G$3:$G$2000=$D143)*ISNUMBER(SEARCH("겉감",소재DB_RAW!$M$3:$M$2000))))),"")</f>
        <v/>
      </c>
      <c r="Z143" s="26">
        <f>IFERROR(TEXTJOIN(CHAR(10),TRUE,UNIQUE(FILTER(소재DB_RAW!$N$3:$N$2000&amp;") "&amp;소재DB_RAW!$O$3:$O$2000,(소재DB_RAW!$G$3:$G$2000=$D143)*ISNUMBER(SEARCH("안감",소재DB_RAW!$M$3:$M$2000))))),"")</f>
        <v/>
      </c>
      <c r="AA143" s="27" t="n">
        <v>4000</v>
      </c>
      <c r="AB143" s="27" t="n">
        <v>87048000</v>
      </c>
      <c r="AC143" s="27" t="n">
        <v>512000000</v>
      </c>
      <c r="AD143" s="20" t="inlineStr">
        <is>
          <t>3월2주</t>
        </is>
      </c>
      <c r="AE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F143" s="19">
        <f>IF($K143="","",IF(OR(LEFT($AE143,2)="작지",LEFT($AE143,4)="소재입고"),IF(LEFT($G143,1)="S","★ 납기위험(S코드)","◆ 지연주의"),IF($AE143="정상","✓ 정상","? 확인필요")))</f>
        <v/>
      </c>
      <c r="AG143" s="21" t="n"/>
      <c r="AH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21" t="inlineStr">
        <is>
          <t>O</t>
        </is>
      </c>
      <c r="R144" s="21" t="inlineStr">
        <is>
          <t>X</t>
        </is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>
        <f>IFERROR(TEXTJOIN(" / ",TRUE,UNIQUE(FILTER(소재DB_RAW!$K$3:$K$2000,소재DB_RAW!$G$3:$G$2000=$D144))),"")</f>
        <v/>
      </c>
      <c r="W144" s="20" t="inlineStr">
        <is>
          <t>베트남</t>
        </is>
      </c>
      <c r="X144" s="20">
        <f>IFERROR(TEXTJOIN(" / ",TRUE,UNIQUE(FILTER(소재DB_RAW!$N$3:$N$2000,소재DB_RAW!$G$3:$G$2000=$D144))),"")</f>
        <v/>
      </c>
      <c r="Y144" s="26">
        <f>IFERROR(TEXTJOIN(CHAR(10),TRUE,UNIQUE(FILTER(소재DB_RAW!$N$3:$N$2000&amp;") "&amp;소재DB_RAW!$O$3:$O$2000,(소재DB_RAW!$G$3:$G$2000=$D144)*ISNUMBER(SEARCH("겉감",소재DB_RAW!$M$3:$M$2000))))),"")</f>
        <v/>
      </c>
      <c r="Z144" s="26">
        <f>IFERROR(TEXTJOIN(CHAR(10),TRUE,UNIQUE(FILTER(소재DB_RAW!$N$3:$N$2000&amp;") "&amp;소재DB_RAW!$O$3:$O$2000,(소재DB_RAW!$G$3:$G$2000=$D144)*ISNUMBER(SEARCH("안감",소재DB_RAW!$M$3:$M$2000))))),"")</f>
        <v/>
      </c>
      <c r="AA144" s="27" t="n">
        <v>5500</v>
      </c>
      <c r="AB144" s="27" t="n">
        <v>181296500</v>
      </c>
      <c r="AC144" s="27" t="n">
        <v>924000000</v>
      </c>
      <c r="AD144" s="20" t="n"/>
      <c r="AE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F144" s="19">
        <f>IF($K144="","",IF(OR(LEFT($AE144,2)="작지",LEFT($AE144,4)="소재입고"),IF(LEFT($G144,1)="S","★ 납기위험(S코드)","◆ 지연주의"),IF($AE144="정상","✓ 정상","? 확인필요")))</f>
        <v/>
      </c>
      <c r="AG144" s="21" t="n"/>
      <c r="AH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21" t="inlineStr">
        <is>
          <t>O</t>
        </is>
      </c>
      <c r="R145" s="21" t="inlineStr">
        <is>
          <t>X</t>
        </is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>
        <f>IFERROR(TEXTJOIN(" / ",TRUE,UNIQUE(FILTER(소재DB_RAW!$K$3:$K$2000,소재DB_RAW!$G$3:$G$2000=$D145))),"")</f>
        <v/>
      </c>
      <c r="W145" s="20" t="inlineStr">
        <is>
          <t>베트남</t>
        </is>
      </c>
      <c r="X145" s="20">
        <f>IFERROR(TEXTJOIN(" / ",TRUE,UNIQUE(FILTER(소재DB_RAW!$N$3:$N$2000,소재DB_RAW!$G$3:$G$2000=$D145))),"")</f>
        <v/>
      </c>
      <c r="Y145" s="26">
        <f>IFERROR(TEXTJOIN(CHAR(10),TRUE,UNIQUE(FILTER(소재DB_RAW!$N$3:$N$2000&amp;") "&amp;소재DB_RAW!$O$3:$O$2000,(소재DB_RAW!$G$3:$G$2000=$D145)*ISNUMBER(SEARCH("겉감",소재DB_RAW!$M$3:$M$2000))))),"")</f>
        <v/>
      </c>
      <c r="Z145" s="26">
        <f>IFERROR(TEXTJOIN(CHAR(10),TRUE,UNIQUE(FILTER(소재DB_RAW!$N$3:$N$2000&amp;") "&amp;소재DB_RAW!$O$3:$O$2000,(소재DB_RAW!$G$3:$G$2000=$D145)*ISNUMBER(SEARCH("안감",소재DB_RAW!$M$3:$M$2000))))),"")</f>
        <v/>
      </c>
      <c r="AA145" s="27" t="n">
        <v>6000</v>
      </c>
      <c r="AB145" s="27" t="n">
        <v>142842000</v>
      </c>
      <c r="AC145" s="27" t="n">
        <v>888000000</v>
      </c>
      <c r="AD145" s="20" t="n"/>
      <c r="AE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F145" s="19">
        <f>IF($K145="","",IF(OR(LEFT($AE145,2)="작지",LEFT($AE145,4)="소재입고"),IF(LEFT($G145,1)="S","★ 납기위험(S코드)","◆ 지연주의"),IF($AE145="정상","✓ 정상","? 확인필요")))</f>
        <v/>
      </c>
      <c r="AG145" s="21" t="n"/>
      <c r="AH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21" t="inlineStr">
        <is>
          <t>O</t>
        </is>
      </c>
      <c r="R146" s="21" t="inlineStr">
        <is>
          <t>X</t>
        </is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>
        <f>IFERROR(TEXTJOIN(" / ",TRUE,UNIQUE(FILTER(소재DB_RAW!$K$3:$K$2000,소재DB_RAW!$G$3:$G$2000=$D146))),"")</f>
        <v/>
      </c>
      <c r="W146" s="20" t="inlineStr">
        <is>
          <t>베트남</t>
        </is>
      </c>
      <c r="X146" s="20">
        <f>IFERROR(TEXTJOIN(" / ",TRUE,UNIQUE(FILTER(소재DB_RAW!$N$3:$N$2000,소재DB_RAW!$G$3:$G$2000=$D146))),"")</f>
        <v/>
      </c>
      <c r="Y146" s="26">
        <f>IFERROR(TEXTJOIN(CHAR(10),TRUE,UNIQUE(FILTER(소재DB_RAW!$N$3:$N$2000&amp;") "&amp;소재DB_RAW!$O$3:$O$2000,(소재DB_RAW!$G$3:$G$2000=$D146)*ISNUMBER(SEARCH("겉감",소재DB_RAW!$M$3:$M$2000))))),"")</f>
        <v/>
      </c>
      <c r="Z146" s="26">
        <f>IFERROR(TEXTJOIN(CHAR(10),TRUE,UNIQUE(FILTER(소재DB_RAW!$N$3:$N$2000&amp;") "&amp;소재DB_RAW!$O$3:$O$2000,(소재DB_RAW!$G$3:$G$2000=$D146)*ISNUMBER(SEARCH("안감",소재DB_RAW!$M$3:$M$2000))))),"")</f>
        <v/>
      </c>
      <c r="AA146" s="27" t="n">
        <v>2000</v>
      </c>
      <c r="AB146" s="27" t="n">
        <v>47624000</v>
      </c>
      <c r="AC146" s="27" t="n">
        <v>256000000</v>
      </c>
      <c r="AD146" s="20" t="n"/>
      <c r="AE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F146" s="19">
        <f>IF($K146="","",IF(OR(LEFT($AE146,2)="작지",LEFT($AE146,4)="소재입고"),IF(LEFT($G146,1)="S","★ 납기위험(S코드)","◆ 지연주의"),IF($AE146="정상","✓ 정상","? 확인필요")))</f>
        <v/>
      </c>
      <c r="AG146" s="21" t="n"/>
      <c r="AH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21" t="inlineStr">
        <is>
          <t>O</t>
        </is>
      </c>
      <c r="R147" s="21" t="inlineStr">
        <is>
          <t>X</t>
        </is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>
        <f>IFERROR(TEXTJOIN(" / ",TRUE,UNIQUE(FILTER(소재DB_RAW!$K$3:$K$2000,소재DB_RAW!$G$3:$G$2000=$D147))),"")</f>
        <v/>
      </c>
      <c r="W147" s="20" t="inlineStr">
        <is>
          <t>베트남</t>
        </is>
      </c>
      <c r="X147" s="20">
        <f>IFERROR(TEXTJOIN(" / ",TRUE,UNIQUE(FILTER(소재DB_RAW!$N$3:$N$2000,소재DB_RAW!$G$3:$G$2000=$D147))),"")</f>
        <v/>
      </c>
      <c r="Y147" s="26">
        <f>IFERROR(TEXTJOIN(CHAR(10),TRUE,UNIQUE(FILTER(소재DB_RAW!$N$3:$N$2000&amp;") "&amp;소재DB_RAW!$O$3:$O$2000,(소재DB_RAW!$G$3:$G$2000=$D147)*ISNUMBER(SEARCH("겉감",소재DB_RAW!$M$3:$M$2000))))),"")</f>
        <v/>
      </c>
      <c r="Z147" s="26">
        <f>IFERROR(TEXTJOIN(CHAR(10),TRUE,UNIQUE(FILTER(소재DB_RAW!$N$3:$N$2000&amp;") "&amp;소재DB_RAW!$O$3:$O$2000,(소재DB_RAW!$G$3:$G$2000=$D147)*ISNUMBER(SEARCH("안감",소재DB_RAW!$M$3:$M$2000))))),"")</f>
        <v/>
      </c>
      <c r="AA147" s="27" t="n">
        <v>14000</v>
      </c>
      <c r="AB147" s="27" t="n">
        <v>277676000</v>
      </c>
      <c r="AC147" s="27" t="n">
        <v>1232000000</v>
      </c>
      <c r="AD147" s="20" t="n"/>
      <c r="AE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F147" s="19">
        <f>IF($K147="","",IF(OR(LEFT($AE147,2)="작지",LEFT($AE147,4)="소재입고"),IF(LEFT($G147,1)="S","★ 납기위험(S코드)","◆ 지연주의"),IF($AE147="정상","✓ 정상","? 확인필요")))</f>
        <v/>
      </c>
      <c r="AG147" s="21" t="n"/>
      <c r="AH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21" t="inlineStr">
        <is>
          <t>O</t>
        </is>
      </c>
      <c r="R148" s="21" t="inlineStr">
        <is>
          <t>X</t>
        </is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>
        <f>IFERROR(TEXTJOIN(" / ",TRUE,UNIQUE(FILTER(소재DB_RAW!$K$3:$K$2000,소재DB_RAW!$G$3:$G$2000=$D148))),"")</f>
        <v/>
      </c>
      <c r="W148" s="20" t="inlineStr">
        <is>
          <t>베트남</t>
        </is>
      </c>
      <c r="X148" s="20">
        <f>IFERROR(TEXTJOIN(" / ",TRUE,UNIQUE(FILTER(소재DB_RAW!$N$3:$N$2000,소재DB_RAW!$G$3:$G$2000=$D148))),"")</f>
        <v/>
      </c>
      <c r="Y148" s="26">
        <f>IFERROR(TEXTJOIN(CHAR(10),TRUE,UNIQUE(FILTER(소재DB_RAW!$N$3:$N$2000&amp;") "&amp;소재DB_RAW!$O$3:$O$2000,(소재DB_RAW!$G$3:$G$2000=$D148)*ISNUMBER(SEARCH("겉감",소재DB_RAW!$M$3:$M$2000))))),"")</f>
        <v/>
      </c>
      <c r="Z148" s="26">
        <f>IFERROR(TEXTJOIN(CHAR(10),TRUE,UNIQUE(FILTER(소재DB_RAW!$N$3:$N$2000&amp;") "&amp;소재DB_RAW!$O$3:$O$2000,(소재DB_RAW!$G$3:$G$2000=$D148)*ISNUMBER(SEARCH("안감",소재DB_RAW!$M$3:$M$2000))))),"")</f>
        <v/>
      </c>
      <c r="AA148" s="27" t="n">
        <v>5500</v>
      </c>
      <c r="AB148" s="27" t="n">
        <v>115170000</v>
      </c>
      <c r="AC148" s="27" t="n">
        <v>594000000</v>
      </c>
      <c r="AD148" s="20" t="n"/>
      <c r="AE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F148" s="19">
        <f>IF($K148="","",IF(OR(LEFT($AE148,2)="작지",LEFT($AE148,4)="소재입고"),IF(LEFT($G148,1)="S","★ 납기위험(S코드)","◆ 지연주의"),IF($AE148="정상","✓ 정상","? 확인필요")))</f>
        <v/>
      </c>
      <c r="AG148" s="21" t="n"/>
      <c r="AH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21" t="inlineStr">
        <is>
          <t>O</t>
        </is>
      </c>
      <c r="R149" s="21" t="inlineStr">
        <is>
          <t>X</t>
        </is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>
        <f>IFERROR(TEXTJOIN(" / ",TRUE,UNIQUE(FILTER(소재DB_RAW!$K$3:$K$2000,소재DB_RAW!$G$3:$G$2000=$D149))),"")</f>
        <v/>
      </c>
      <c r="W149" s="20" t="inlineStr">
        <is>
          <t>베트남</t>
        </is>
      </c>
      <c r="X149" s="20">
        <f>IFERROR(TEXTJOIN(" / ",TRUE,UNIQUE(FILTER(소재DB_RAW!$N$3:$N$2000,소재DB_RAW!$G$3:$G$2000=$D149))),"")</f>
        <v/>
      </c>
      <c r="Y149" s="26">
        <f>IFERROR(TEXTJOIN(CHAR(10),TRUE,UNIQUE(FILTER(소재DB_RAW!$N$3:$N$2000&amp;") "&amp;소재DB_RAW!$O$3:$O$2000,(소재DB_RAW!$G$3:$G$2000=$D149)*ISNUMBER(SEARCH("겉감",소재DB_RAW!$M$3:$M$2000))))),"")</f>
        <v/>
      </c>
      <c r="Z149" s="26">
        <f>IFERROR(TEXTJOIN(CHAR(10),TRUE,UNIQUE(FILTER(소재DB_RAW!$N$3:$N$2000&amp;") "&amp;소재DB_RAW!$O$3:$O$2000,(소재DB_RAW!$G$3:$G$2000=$D149)*ISNUMBER(SEARCH("안감",소재DB_RAW!$M$3:$M$2000))))),"")</f>
        <v/>
      </c>
      <c r="AA149" s="27" t="n">
        <v>2800</v>
      </c>
      <c r="AB149" s="27" t="n">
        <v>79357600</v>
      </c>
      <c r="AC149" s="27" t="n">
        <v>414400000</v>
      </c>
      <c r="AD149" s="20" t="n"/>
      <c r="AE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F149" s="19">
        <f>IF($K149="","",IF(OR(LEFT($AE149,2)="작지",LEFT($AE149,4)="소재입고"),IF(LEFT($G149,1)="S","★ 납기위험(S코드)","◆ 지연주의"),IF($AE149="정상","✓ 정상","? 확인필요")))</f>
        <v/>
      </c>
      <c r="AG149" s="21" t="n"/>
      <c r="AH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21" t="inlineStr">
        <is>
          <t>O</t>
        </is>
      </c>
      <c r="R150" s="21" t="inlineStr">
        <is>
          <t>X</t>
        </is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>
        <f>IFERROR(TEXTJOIN(" / ",TRUE,UNIQUE(FILTER(소재DB_RAW!$K$3:$K$2000,소재DB_RAW!$G$3:$G$2000=$D150))),"")</f>
        <v/>
      </c>
      <c r="W150" s="20" t="inlineStr">
        <is>
          <t>베트남</t>
        </is>
      </c>
      <c r="X150" s="20">
        <f>IFERROR(TEXTJOIN(" / ",TRUE,UNIQUE(FILTER(소재DB_RAW!$N$3:$N$2000,소재DB_RAW!$G$3:$G$2000=$D150))),"")</f>
        <v/>
      </c>
      <c r="Y150" s="26">
        <f>IFERROR(TEXTJOIN(CHAR(10),TRUE,UNIQUE(FILTER(소재DB_RAW!$N$3:$N$2000&amp;") "&amp;소재DB_RAW!$O$3:$O$2000,(소재DB_RAW!$G$3:$G$2000=$D150)*ISNUMBER(SEARCH("겉감",소재DB_RAW!$M$3:$M$2000))))),"")</f>
        <v/>
      </c>
      <c r="Z150" s="26">
        <f>IFERROR(TEXTJOIN(CHAR(10),TRUE,UNIQUE(FILTER(소재DB_RAW!$N$3:$N$2000&amp;") "&amp;소재DB_RAW!$O$3:$O$2000,(소재DB_RAW!$G$3:$G$2000=$D150)*ISNUMBER(SEARCH("안감",소재DB_RAW!$M$3:$M$2000))))),"")</f>
        <v/>
      </c>
      <c r="AA150" s="27" t="n">
        <v>7700</v>
      </c>
      <c r="AB150" s="27" t="n">
        <v>173712000</v>
      </c>
      <c r="AC150" s="27" t="n">
        <v>754600000</v>
      </c>
      <c r="AD150" s="20" t="n"/>
      <c r="AE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F150" s="19">
        <f>IF($K150="","",IF(OR(LEFT($AE150,2)="작지",LEFT($AE150,4)="소재입고"),IF(LEFT($G150,1)="S","★ 납기위험(S코드)","◆ 지연주의"),IF($AE150="정상","✓ 정상","? 확인필요")))</f>
        <v/>
      </c>
      <c r="AG150" s="21" t="n"/>
      <c r="AH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21" t="inlineStr">
        <is>
          <t>O</t>
        </is>
      </c>
      <c r="R151" s="21" t="inlineStr">
        <is>
          <t>X</t>
        </is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>
        <f>IFERROR(TEXTJOIN(" / ",TRUE,UNIQUE(FILTER(소재DB_RAW!$K$3:$K$2000,소재DB_RAW!$G$3:$G$2000=$D151))),"")</f>
        <v/>
      </c>
      <c r="W151" s="20" t="inlineStr">
        <is>
          <t>베트남</t>
        </is>
      </c>
      <c r="X151" s="20">
        <f>IFERROR(TEXTJOIN(" / ",TRUE,UNIQUE(FILTER(소재DB_RAW!$N$3:$N$2000,소재DB_RAW!$G$3:$G$2000=$D151))),"")</f>
        <v/>
      </c>
      <c r="Y151" s="26">
        <f>IFERROR(TEXTJOIN(CHAR(10),TRUE,UNIQUE(FILTER(소재DB_RAW!$N$3:$N$2000&amp;") "&amp;소재DB_RAW!$O$3:$O$2000,(소재DB_RAW!$G$3:$G$2000=$D151)*ISNUMBER(SEARCH("겉감",소재DB_RAW!$M$3:$M$2000))))),"")</f>
        <v/>
      </c>
      <c r="Z151" s="26">
        <f>IFERROR(TEXTJOIN(CHAR(10),TRUE,UNIQUE(FILTER(소재DB_RAW!$N$3:$N$2000&amp;") "&amp;소재DB_RAW!$O$3:$O$2000,(소재DB_RAW!$G$3:$G$2000=$D151)*ISNUMBER(SEARCH("안감",소재DB_RAW!$M$3:$M$2000))))),"")</f>
        <v/>
      </c>
      <c r="AA151" s="27" t="n">
        <v>3500</v>
      </c>
      <c r="AB151" s="27" t="n">
        <v>95494000</v>
      </c>
      <c r="AC151" s="27" t="n">
        <v>553000000</v>
      </c>
      <c r="AD151" s="20" t="inlineStr">
        <is>
          <t>3월4주</t>
        </is>
      </c>
      <c r="AE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F151" s="19">
        <f>IF($K151="","",IF(OR(LEFT($AE151,2)="작지",LEFT($AE151,4)="소재입고"),IF(LEFT($G151,1)="S","★ 납기위험(S코드)","◆ 지연주의"),IF($AE151="정상","✓ 정상","? 확인필요")))</f>
        <v/>
      </c>
      <c r="AG151" s="21" t="n"/>
      <c r="AH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21" t="inlineStr">
        <is>
          <t>O</t>
        </is>
      </c>
      <c r="R152" s="21" t="inlineStr">
        <is>
          <t>X</t>
        </is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>
        <f>IFERROR(TEXTJOIN(" / ",TRUE,UNIQUE(FILTER(소재DB_RAW!$K$3:$K$2000,소재DB_RAW!$G$3:$G$2000=$D152))),"")</f>
        <v/>
      </c>
      <c r="W152" s="20" t="inlineStr">
        <is>
          <t>베트남</t>
        </is>
      </c>
      <c r="X152" s="20">
        <f>IFERROR(TEXTJOIN(" / ",TRUE,UNIQUE(FILTER(소재DB_RAW!$N$3:$N$2000,소재DB_RAW!$G$3:$G$2000=$D152))),"")</f>
        <v/>
      </c>
      <c r="Y152" s="26">
        <f>IFERROR(TEXTJOIN(CHAR(10),TRUE,UNIQUE(FILTER(소재DB_RAW!$N$3:$N$2000&amp;") "&amp;소재DB_RAW!$O$3:$O$2000,(소재DB_RAW!$G$3:$G$2000=$D152)*ISNUMBER(SEARCH("겉감",소재DB_RAW!$M$3:$M$2000))))),"")</f>
        <v/>
      </c>
      <c r="Z152" s="26">
        <f>IFERROR(TEXTJOIN(CHAR(10),TRUE,UNIQUE(FILTER(소재DB_RAW!$N$3:$N$2000&amp;") "&amp;소재DB_RAW!$O$3:$O$2000,(소재DB_RAW!$G$3:$G$2000=$D152)*ISNUMBER(SEARCH("안감",소재DB_RAW!$M$3:$M$2000))))),"")</f>
        <v/>
      </c>
      <c r="AA152" s="27" t="n">
        <v>2000</v>
      </c>
      <c r="AB152" s="27" t="n">
        <v>52978000</v>
      </c>
      <c r="AC152" s="27" t="n">
        <v>296000000</v>
      </c>
      <c r="AD152" s="20" t="inlineStr">
        <is>
          <t>3월4주</t>
        </is>
      </c>
      <c r="AE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F152" s="19">
        <f>IF($K152="","",IF(OR(LEFT($AE152,2)="작지",LEFT($AE152,4)="소재입고"),IF(LEFT($G152,1)="S","★ 납기위험(S코드)","◆ 지연주의"),IF($AE152="정상","✓ 정상","? 확인필요")))</f>
        <v/>
      </c>
      <c r="AG152" s="21" t="n"/>
      <c r="AH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21" t="inlineStr">
        <is>
          <t>O</t>
        </is>
      </c>
      <c r="R153" s="21" t="inlineStr">
        <is>
          <t>X</t>
        </is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>
        <f>IFERROR(TEXTJOIN(" / ",TRUE,UNIQUE(FILTER(소재DB_RAW!$K$3:$K$2000,소재DB_RAW!$G$3:$G$2000=$D153))),"")</f>
        <v/>
      </c>
      <c r="W153" s="20" t="inlineStr">
        <is>
          <t>베트남</t>
        </is>
      </c>
      <c r="X153" s="20">
        <f>IFERROR(TEXTJOIN(" / ",TRUE,UNIQUE(FILTER(소재DB_RAW!$N$3:$N$2000,소재DB_RAW!$G$3:$G$2000=$D153))),"")</f>
        <v/>
      </c>
      <c r="Y153" s="26">
        <f>IFERROR(TEXTJOIN(CHAR(10),TRUE,UNIQUE(FILTER(소재DB_RAW!$N$3:$N$2000&amp;") "&amp;소재DB_RAW!$O$3:$O$2000,(소재DB_RAW!$G$3:$G$2000=$D153)*ISNUMBER(SEARCH("겉감",소재DB_RAW!$M$3:$M$2000))))),"")</f>
        <v/>
      </c>
      <c r="Z153" s="26">
        <f>IFERROR(TEXTJOIN(CHAR(10),TRUE,UNIQUE(FILTER(소재DB_RAW!$N$3:$N$2000&amp;") "&amp;소재DB_RAW!$O$3:$O$2000,(소재DB_RAW!$G$3:$G$2000=$D153)*ISNUMBER(SEARCH("안감",소재DB_RAW!$M$3:$M$2000))))),"")</f>
        <v/>
      </c>
      <c r="AA153" s="27" t="n">
        <v>5500</v>
      </c>
      <c r="AB153" s="27" t="n">
        <v>112744500</v>
      </c>
      <c r="AC153" s="27" t="n">
        <v>484000000</v>
      </c>
      <c r="AD153" s="20" t="inlineStr">
        <is>
          <t>3월4주</t>
        </is>
      </c>
      <c r="AE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F153" s="19">
        <f>IF($K153="","",IF(OR(LEFT($AE153,2)="작지",LEFT($AE153,4)="소재입고"),IF(LEFT($G153,1)="S","★ 납기위험(S코드)","◆ 지연주의"),IF($AE153="정상","✓ 정상","? 확인필요")))</f>
        <v/>
      </c>
      <c r="AG153" s="21" t="n"/>
      <c r="AH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21" t="inlineStr">
        <is>
          <t>O</t>
        </is>
      </c>
      <c r="R154" s="21" t="inlineStr">
        <is>
          <t>X</t>
        </is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>
        <f>IFERROR(TEXTJOIN(" / ",TRUE,UNIQUE(FILTER(소재DB_RAW!$K$3:$K$2000,소재DB_RAW!$G$3:$G$2000=$D154))),"")</f>
        <v/>
      </c>
      <c r="W154" s="20" t="inlineStr">
        <is>
          <t>베트남</t>
        </is>
      </c>
      <c r="X154" s="20">
        <f>IFERROR(TEXTJOIN(" / ",TRUE,UNIQUE(FILTER(소재DB_RAW!$N$3:$N$2000,소재DB_RAW!$G$3:$G$2000=$D154))),"")</f>
        <v/>
      </c>
      <c r="Y154" s="26">
        <f>IFERROR(TEXTJOIN(CHAR(10),TRUE,UNIQUE(FILTER(소재DB_RAW!$N$3:$N$2000&amp;") "&amp;소재DB_RAW!$O$3:$O$2000,(소재DB_RAW!$G$3:$G$2000=$D154)*ISNUMBER(SEARCH("겉감",소재DB_RAW!$M$3:$M$2000))))),"")</f>
        <v/>
      </c>
      <c r="Z154" s="26">
        <f>IFERROR(TEXTJOIN(CHAR(10),TRUE,UNIQUE(FILTER(소재DB_RAW!$N$3:$N$2000&amp;") "&amp;소재DB_RAW!$O$3:$O$2000,(소재DB_RAW!$G$3:$G$2000=$D154)*ISNUMBER(SEARCH("안감",소재DB_RAW!$M$3:$M$2000))))),"")</f>
        <v/>
      </c>
      <c r="AA154" s="27" t="n">
        <v>5200</v>
      </c>
      <c r="AB154" s="27" t="n">
        <v>93600000</v>
      </c>
      <c r="AC154" s="27" t="n">
        <v>509600000</v>
      </c>
      <c r="AD154" s="20" t="inlineStr">
        <is>
          <t>3월4주</t>
        </is>
      </c>
      <c r="AE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F154" s="19">
        <f>IF($K154="","",IF(OR(LEFT($AE154,2)="작지",LEFT($AE154,4)="소재입고"),IF(LEFT($G154,1)="S","★ 납기위험(S코드)","◆ 지연주의"),IF($AE154="정상","✓ 정상","? 확인필요")))</f>
        <v/>
      </c>
      <c r="AG154" s="21" t="n"/>
      <c r="AH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21" t="inlineStr">
        <is>
          <t>O</t>
        </is>
      </c>
      <c r="R155" s="21" t="inlineStr">
        <is>
          <t>X</t>
        </is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>
        <f>IFERROR(TEXTJOIN(" / ",TRUE,UNIQUE(FILTER(소재DB_RAW!$K$3:$K$2000,소재DB_RAW!$G$3:$G$2000=$D155))),"")</f>
        <v/>
      </c>
      <c r="W155" s="20" t="inlineStr">
        <is>
          <t>베트남</t>
        </is>
      </c>
      <c r="X155" s="20">
        <f>IFERROR(TEXTJOIN(" / ",TRUE,UNIQUE(FILTER(소재DB_RAW!$N$3:$N$2000,소재DB_RAW!$G$3:$G$2000=$D155))),"")</f>
        <v/>
      </c>
      <c r="Y155" s="26">
        <f>IFERROR(TEXTJOIN(CHAR(10),TRUE,UNIQUE(FILTER(소재DB_RAW!$N$3:$N$2000&amp;") "&amp;소재DB_RAW!$O$3:$O$2000,(소재DB_RAW!$G$3:$G$2000=$D155)*ISNUMBER(SEARCH("겉감",소재DB_RAW!$M$3:$M$2000))))),"")</f>
        <v/>
      </c>
      <c r="Z155" s="26">
        <f>IFERROR(TEXTJOIN(CHAR(10),TRUE,UNIQUE(FILTER(소재DB_RAW!$N$3:$N$2000&amp;") "&amp;소재DB_RAW!$O$3:$O$2000,(소재DB_RAW!$G$3:$G$2000=$D155)*ISNUMBER(SEARCH("안감",소재DB_RAW!$M$3:$M$2000))))),"")</f>
        <v/>
      </c>
      <c r="AA155" s="27" t="n">
        <v>2100</v>
      </c>
      <c r="AB155" s="27" t="n">
        <v>56966700</v>
      </c>
      <c r="AC155" s="27" t="n">
        <v>310800000</v>
      </c>
      <c r="AD155" s="20" t="inlineStr">
        <is>
          <t>3월4주</t>
        </is>
      </c>
      <c r="AE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F155" s="19">
        <f>IF($K155="","",IF(OR(LEFT($AE155,2)="작지",LEFT($AE155,4)="소재입고"),IF(LEFT($G155,1)="S","★ 납기위험(S코드)","◆ 지연주의"),IF($AE155="정상","✓ 정상","? 확인필요")))</f>
        <v/>
      </c>
      <c r="AG155" s="21" t="n"/>
      <c r="AH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21" t="inlineStr">
        <is>
          <t>O</t>
        </is>
      </c>
      <c r="R156" s="21" t="inlineStr">
        <is>
          <t>X</t>
        </is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>
        <f>IFERROR(TEXTJOIN(" / ",TRUE,UNIQUE(FILTER(소재DB_RAW!$K$3:$K$2000,소재DB_RAW!$G$3:$G$2000=$D156))),"")</f>
        <v/>
      </c>
      <c r="W156" s="20" t="inlineStr">
        <is>
          <t>베트남</t>
        </is>
      </c>
      <c r="X156" s="20">
        <f>IFERROR(TEXTJOIN(" / ",TRUE,UNIQUE(FILTER(소재DB_RAW!$N$3:$N$2000,소재DB_RAW!$G$3:$G$2000=$D156))),"")</f>
        <v/>
      </c>
      <c r="Y156" s="26">
        <f>IFERROR(TEXTJOIN(CHAR(10),TRUE,UNIQUE(FILTER(소재DB_RAW!$N$3:$N$2000&amp;") "&amp;소재DB_RAW!$O$3:$O$2000,(소재DB_RAW!$G$3:$G$2000=$D156)*ISNUMBER(SEARCH("겉감",소재DB_RAW!$M$3:$M$2000))))),"")</f>
        <v/>
      </c>
      <c r="Z156" s="26">
        <f>IFERROR(TEXTJOIN(CHAR(10),TRUE,UNIQUE(FILTER(소재DB_RAW!$N$3:$N$2000&amp;") "&amp;소재DB_RAW!$O$3:$O$2000,(소재DB_RAW!$G$3:$G$2000=$D156)*ISNUMBER(SEARCH("안감",소재DB_RAW!$M$3:$M$2000))))),"")</f>
        <v/>
      </c>
      <c r="AA156" s="27" t="n">
        <v>1800</v>
      </c>
      <c r="AB156" s="27" t="n">
        <v>36117000</v>
      </c>
      <c r="AC156" s="27" t="n">
        <v>176400000</v>
      </c>
      <c r="AD156" s="20" t="inlineStr">
        <is>
          <t>3월 4주</t>
        </is>
      </c>
      <c r="AE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F156" s="19">
        <f>IF($K156="","",IF(OR(LEFT($AE156,2)="작지",LEFT($AE156,4)="소재입고"),IF(LEFT($G156,1)="S","★ 납기위험(S코드)","◆ 지연주의"),IF($AE156="정상","✓ 정상","? 확인필요")))</f>
        <v/>
      </c>
      <c r="AG156" s="21" t="n"/>
      <c r="AH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21" t="inlineStr">
        <is>
          <t>O</t>
        </is>
      </c>
      <c r="R157" s="21" t="inlineStr">
        <is>
          <t>X</t>
        </is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>
        <f>IFERROR(TEXTJOIN(" / ",TRUE,UNIQUE(FILTER(소재DB_RAW!$K$3:$K$2000,소재DB_RAW!$G$3:$G$2000=$D157))),"")</f>
        <v/>
      </c>
      <c r="W157" s="20" t="inlineStr">
        <is>
          <t>인도네시아</t>
        </is>
      </c>
      <c r="X157" s="20">
        <f>IFERROR(TEXTJOIN(" / ",TRUE,UNIQUE(FILTER(소재DB_RAW!$N$3:$N$2000,소재DB_RAW!$G$3:$G$2000=$D157))),"")</f>
        <v/>
      </c>
      <c r="Y157" s="26">
        <f>IFERROR(TEXTJOIN(CHAR(10),TRUE,UNIQUE(FILTER(소재DB_RAW!$N$3:$N$2000&amp;") "&amp;소재DB_RAW!$O$3:$O$2000,(소재DB_RAW!$G$3:$G$2000=$D157)*ISNUMBER(SEARCH("겉감",소재DB_RAW!$M$3:$M$2000))))),"")</f>
        <v/>
      </c>
      <c r="Z157" s="26">
        <f>IFERROR(TEXTJOIN(CHAR(10),TRUE,UNIQUE(FILTER(소재DB_RAW!$N$3:$N$2000&amp;") "&amp;소재DB_RAW!$O$3:$O$2000,(소재DB_RAW!$G$3:$G$2000=$D157)*ISNUMBER(SEARCH("안감",소재DB_RAW!$M$3:$M$2000))))),"")</f>
        <v/>
      </c>
      <c r="AA157" s="27" t="n">
        <v>6600</v>
      </c>
      <c r="AB157" s="27" t="n">
        <v>129300000</v>
      </c>
      <c r="AC157" s="27" t="n">
        <v>646800000</v>
      </c>
      <c r="AD157" s="20" t="inlineStr">
        <is>
          <t>3월4주</t>
        </is>
      </c>
      <c r="AE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F157" s="19">
        <f>IF($K157="","",IF(OR(LEFT($AE157,2)="작지",LEFT($AE157,4)="소재입고"),IF(LEFT($G157,1)="S","★ 납기위험(S코드)","◆ 지연주의"),IF($AE157="정상","✓ 정상","? 확인필요")))</f>
        <v/>
      </c>
      <c r="AG157" s="21" t="n"/>
      <c r="AH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21" t="inlineStr">
        <is>
          <t>O</t>
        </is>
      </c>
      <c r="R158" s="21" t="inlineStr">
        <is>
          <t>X</t>
        </is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>
        <f>IFERROR(TEXTJOIN(" / ",TRUE,UNIQUE(FILTER(소재DB_RAW!$K$3:$K$2000,소재DB_RAW!$G$3:$G$2000=$D158))),"")</f>
        <v/>
      </c>
      <c r="W158" s="20" t="inlineStr">
        <is>
          <t>베트남</t>
        </is>
      </c>
      <c r="X158" s="20">
        <f>IFERROR(TEXTJOIN(" / ",TRUE,UNIQUE(FILTER(소재DB_RAW!$N$3:$N$2000,소재DB_RAW!$G$3:$G$2000=$D158))),"")</f>
        <v/>
      </c>
      <c r="Y158" s="26">
        <f>IFERROR(TEXTJOIN(CHAR(10),TRUE,UNIQUE(FILTER(소재DB_RAW!$N$3:$N$2000&amp;") "&amp;소재DB_RAW!$O$3:$O$2000,(소재DB_RAW!$G$3:$G$2000=$D158)*ISNUMBER(SEARCH("겉감",소재DB_RAW!$M$3:$M$2000))))),"")</f>
        <v/>
      </c>
      <c r="Z158" s="26">
        <f>IFERROR(TEXTJOIN(CHAR(10),TRUE,UNIQUE(FILTER(소재DB_RAW!$N$3:$N$2000&amp;") "&amp;소재DB_RAW!$O$3:$O$2000,(소재DB_RAW!$G$3:$G$2000=$D158)*ISNUMBER(SEARCH("안감",소재DB_RAW!$M$3:$M$2000))))),"")</f>
        <v/>
      </c>
      <c r="AA158" s="27" t="n">
        <v>10500</v>
      </c>
      <c r="AB158" s="27" t="n">
        <v>273000000</v>
      </c>
      <c r="AC158" s="27" t="n">
        <v>1659000000</v>
      </c>
      <c r="AD158" s="20" t="inlineStr">
        <is>
          <t>3월4주</t>
        </is>
      </c>
      <c r="AE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F158" s="19">
        <f>IF($K158="","",IF(OR(LEFT($AE158,2)="작지",LEFT($AE158,4)="소재입고"),IF(LEFT($G158,1)="S","★ 납기위험(S코드)","◆ 지연주의"),IF($AE158="정상","✓ 정상","? 확인필요")))</f>
        <v/>
      </c>
      <c r="AG158" s="21" t="n"/>
      <c r="AH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21" t="inlineStr">
        <is>
          <t>O</t>
        </is>
      </c>
      <c r="R159" s="21" t="inlineStr">
        <is>
          <t>X</t>
        </is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>
        <f>IFERROR(TEXTJOIN(" / ",TRUE,UNIQUE(FILTER(소재DB_RAW!$K$3:$K$2000,소재DB_RAW!$G$3:$G$2000=$D159))),"")</f>
        <v/>
      </c>
      <c r="W159" s="20" t="inlineStr">
        <is>
          <t>베트남</t>
        </is>
      </c>
      <c r="X159" s="20">
        <f>IFERROR(TEXTJOIN(" / ",TRUE,UNIQUE(FILTER(소재DB_RAW!$N$3:$N$2000,소재DB_RAW!$G$3:$G$2000=$D159))),"")</f>
        <v/>
      </c>
      <c r="Y159" s="26">
        <f>IFERROR(TEXTJOIN(CHAR(10),TRUE,UNIQUE(FILTER(소재DB_RAW!$N$3:$N$2000&amp;") "&amp;소재DB_RAW!$O$3:$O$2000,(소재DB_RAW!$G$3:$G$2000=$D159)*ISNUMBER(SEARCH("겉감",소재DB_RAW!$M$3:$M$2000))))),"")</f>
        <v/>
      </c>
      <c r="Z159" s="26">
        <f>IFERROR(TEXTJOIN(CHAR(10),TRUE,UNIQUE(FILTER(소재DB_RAW!$N$3:$N$2000&amp;") "&amp;소재DB_RAW!$O$3:$O$2000,(소재DB_RAW!$G$3:$G$2000=$D159)*ISNUMBER(SEARCH("안감",소재DB_RAW!$M$3:$M$2000))))),"")</f>
        <v/>
      </c>
      <c r="AA159" s="27" t="n">
        <v>2600</v>
      </c>
      <c r="AB159" s="27" t="n">
        <v>80600000</v>
      </c>
      <c r="AC159" s="27" t="n">
        <v>436800000</v>
      </c>
      <c r="AD159" s="20" t="inlineStr">
        <is>
          <t>3월4주</t>
        </is>
      </c>
      <c r="AE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F159" s="19">
        <f>IF($K159="","",IF(OR(LEFT($AE159,2)="작지",LEFT($AE159,4)="소재입고"),IF(LEFT($G159,1)="S","★ 납기위험(S코드)","◆ 지연주의"),IF($AE159="정상","✓ 정상","? 확인필요")))</f>
        <v/>
      </c>
      <c r="AG159" s="21" t="n"/>
      <c r="AH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21" t="inlineStr">
        <is>
          <t>O</t>
        </is>
      </c>
      <c r="R160" s="21" t="inlineStr">
        <is>
          <t>X</t>
        </is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>
        <f>IFERROR(TEXTJOIN(" / ",TRUE,UNIQUE(FILTER(소재DB_RAW!$K$3:$K$2000,소재DB_RAW!$G$3:$G$2000=$D160))),"")</f>
        <v/>
      </c>
      <c r="W160" s="20" t="inlineStr">
        <is>
          <t>베트남</t>
        </is>
      </c>
      <c r="X160" s="20">
        <f>IFERROR(TEXTJOIN(" / ",TRUE,UNIQUE(FILTER(소재DB_RAW!$N$3:$N$2000,소재DB_RAW!$G$3:$G$2000=$D160))),"")</f>
        <v/>
      </c>
      <c r="Y160" s="26">
        <f>IFERROR(TEXTJOIN(CHAR(10),TRUE,UNIQUE(FILTER(소재DB_RAW!$N$3:$N$2000&amp;") "&amp;소재DB_RAW!$O$3:$O$2000,(소재DB_RAW!$G$3:$G$2000=$D160)*ISNUMBER(SEARCH("겉감",소재DB_RAW!$M$3:$M$2000))))),"")</f>
        <v/>
      </c>
      <c r="Z160" s="26">
        <f>IFERROR(TEXTJOIN(CHAR(10),TRUE,UNIQUE(FILTER(소재DB_RAW!$N$3:$N$2000&amp;") "&amp;소재DB_RAW!$O$3:$O$2000,(소재DB_RAW!$G$3:$G$2000=$D160)*ISNUMBER(SEARCH("안감",소재DB_RAW!$M$3:$M$2000))))),"")</f>
        <v/>
      </c>
      <c r="AA160" s="27" t="n">
        <v>2000</v>
      </c>
      <c r="AB160" s="27" t="n">
        <v>37006000</v>
      </c>
      <c r="AC160" s="27" t="n">
        <v>196000000</v>
      </c>
      <c r="AD160" s="20" t="n"/>
      <c r="AE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F160" s="19">
        <f>IF($K160="","",IF(OR(LEFT($AE160,2)="작지",LEFT($AE160,4)="소재입고"),IF(LEFT($G160,1)="S","★ 납기위험(S코드)","◆ 지연주의"),IF($AE160="정상","✓ 정상","? 확인필요")))</f>
        <v/>
      </c>
      <c r="AG160" s="21" t="n"/>
      <c r="AH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21" t="inlineStr">
        <is>
          <t>X</t>
        </is>
      </c>
      <c r="R161" s="21" t="inlineStr">
        <is>
          <t>X</t>
        </is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>
        <f>IFERROR(TEXTJOIN(" / ",TRUE,UNIQUE(FILTER(소재DB_RAW!$K$3:$K$2000,소재DB_RAW!$G$3:$G$2000=$D161))),"")</f>
        <v/>
      </c>
      <c r="W161" s="20" t="inlineStr">
        <is>
          <t>베트남</t>
        </is>
      </c>
      <c r="X161" s="20">
        <f>IFERROR(TEXTJOIN(" / ",TRUE,UNIQUE(FILTER(소재DB_RAW!$N$3:$N$2000,소재DB_RAW!$G$3:$G$2000=$D161))),"")</f>
        <v/>
      </c>
      <c r="Y161" s="26">
        <f>IFERROR(TEXTJOIN(CHAR(10),TRUE,UNIQUE(FILTER(소재DB_RAW!$N$3:$N$2000&amp;") "&amp;소재DB_RAW!$O$3:$O$2000,(소재DB_RAW!$G$3:$G$2000=$D161)*ISNUMBER(SEARCH("겉감",소재DB_RAW!$M$3:$M$2000))))),"")</f>
        <v/>
      </c>
      <c r="Z161" s="26">
        <f>IFERROR(TEXTJOIN(CHAR(10),TRUE,UNIQUE(FILTER(소재DB_RAW!$N$3:$N$2000&amp;") "&amp;소재DB_RAW!$O$3:$O$2000,(소재DB_RAW!$G$3:$G$2000=$D161)*ISNUMBER(SEARCH("안감",소재DB_RAW!$M$3:$M$2000))))),"")</f>
        <v/>
      </c>
      <c r="AA161" s="27" t="n">
        <v>0</v>
      </c>
      <c r="AB161" s="27" t="n">
        <v>10993250</v>
      </c>
      <c r="AC161" s="27" t="n">
        <v>32000000</v>
      </c>
      <c r="AD161" s="20" t="n"/>
      <c r="AE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F161" s="19">
        <f>IF($K161="","",IF(OR(LEFT($AE161,2)="작지",LEFT($AE161,4)="소재입고"),IF(LEFT($G161,1)="S","★ 납기위험(S코드)","◆ 지연주의"),IF($AE161="정상","✓ 정상","? 확인필요")))</f>
        <v/>
      </c>
      <c r="AG161" s="21" t="n"/>
      <c r="AH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21" t="inlineStr">
        <is>
          <t>O</t>
        </is>
      </c>
      <c r="R162" s="21" t="inlineStr">
        <is>
          <t>X</t>
        </is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>
        <f>IFERROR(TEXTJOIN(" / ",TRUE,UNIQUE(FILTER(소재DB_RAW!$K$3:$K$2000,소재DB_RAW!$G$3:$G$2000=$D162))),"")</f>
        <v/>
      </c>
      <c r="W162" s="20" t="inlineStr">
        <is>
          <t>인도네시아</t>
        </is>
      </c>
      <c r="X162" s="20">
        <f>IFERROR(TEXTJOIN(" / ",TRUE,UNIQUE(FILTER(소재DB_RAW!$N$3:$N$2000,소재DB_RAW!$G$3:$G$2000=$D162))),"")</f>
        <v/>
      </c>
      <c r="Y162" s="26">
        <f>IFERROR(TEXTJOIN(CHAR(10),TRUE,UNIQUE(FILTER(소재DB_RAW!$N$3:$N$2000&amp;") "&amp;소재DB_RAW!$O$3:$O$2000,(소재DB_RAW!$G$3:$G$2000=$D162)*ISNUMBER(SEARCH("겉감",소재DB_RAW!$M$3:$M$2000))))),"")</f>
        <v/>
      </c>
      <c r="Z162" s="26">
        <f>IFERROR(TEXTJOIN(CHAR(10),TRUE,UNIQUE(FILTER(소재DB_RAW!$N$3:$N$2000&amp;") "&amp;소재DB_RAW!$O$3:$O$2000,(소재DB_RAW!$G$3:$G$2000=$D162)*ISNUMBER(SEARCH("안감",소재DB_RAW!$M$3:$M$2000))))),"")</f>
        <v/>
      </c>
      <c r="AA162" s="27" t="n">
        <v>850</v>
      </c>
      <c r="AB162" s="27" t="n">
        <v>34453050</v>
      </c>
      <c r="AC162" s="27" t="n">
        <v>142800000</v>
      </c>
      <c r="AD162" s="20" t="inlineStr">
        <is>
          <t>1월3주</t>
        </is>
      </c>
      <c r="AE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F162" s="19">
        <f>IF($K162="","",IF(OR(LEFT($AE162,2)="작지",LEFT($AE162,4)="소재입고"),IF(LEFT($G162,1)="S","★ 납기위험(S코드)","◆ 지연주의"),IF($AE162="정상","✓ 정상","? 확인필요")))</f>
        <v/>
      </c>
      <c r="AG162" s="21" t="n"/>
      <c r="AH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21" t="inlineStr">
        <is>
          <t>O</t>
        </is>
      </c>
      <c r="R163" s="21" t="inlineStr">
        <is>
          <t>X</t>
        </is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>
        <f>IFERROR(TEXTJOIN(" / ",TRUE,UNIQUE(FILTER(소재DB_RAW!$K$3:$K$2000,소재DB_RAW!$G$3:$G$2000=$D163))),"")</f>
        <v/>
      </c>
      <c r="W163" s="20" t="inlineStr">
        <is>
          <t>인도네시아</t>
        </is>
      </c>
      <c r="X163" s="20">
        <f>IFERROR(TEXTJOIN(" / ",TRUE,UNIQUE(FILTER(소재DB_RAW!$N$3:$N$2000,소재DB_RAW!$G$3:$G$2000=$D163))),"")</f>
        <v/>
      </c>
      <c r="Y163" s="26">
        <f>IFERROR(TEXTJOIN(CHAR(10),TRUE,UNIQUE(FILTER(소재DB_RAW!$N$3:$N$2000&amp;") "&amp;소재DB_RAW!$O$3:$O$2000,(소재DB_RAW!$G$3:$G$2000=$D163)*ISNUMBER(SEARCH("겉감",소재DB_RAW!$M$3:$M$2000))))),"")</f>
        <v/>
      </c>
      <c r="Z163" s="26">
        <f>IFERROR(TEXTJOIN(CHAR(10),TRUE,UNIQUE(FILTER(소재DB_RAW!$N$3:$N$2000&amp;") "&amp;소재DB_RAW!$O$3:$O$2000,(소재DB_RAW!$G$3:$G$2000=$D163)*ISNUMBER(SEARCH("안감",소재DB_RAW!$M$3:$M$2000))))),"")</f>
        <v/>
      </c>
      <c r="AA163" s="27" t="n">
        <v>70000</v>
      </c>
      <c r="AB163" s="27" t="n">
        <v>644000000</v>
      </c>
      <c r="AC163" s="27" t="n">
        <v>4760000000</v>
      </c>
      <c r="AD163" s="20" t="n"/>
      <c r="AE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F163" s="19">
        <f>IF($K163="","",IF(OR(LEFT($AE163,2)="작지",LEFT($AE163,4)="소재입고"),IF(LEFT($G163,1)="S","★ 납기위험(S코드)","◆ 지연주의"),IF($AE163="정상","✓ 정상","? 확인필요")))</f>
        <v/>
      </c>
      <c r="AG163" s="21" t="n"/>
      <c r="AH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21" t="inlineStr">
        <is>
          <t>O</t>
        </is>
      </c>
      <c r="R164" s="21" t="inlineStr">
        <is>
          <t>X</t>
        </is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>
        <f>IFERROR(TEXTJOIN(" / ",TRUE,UNIQUE(FILTER(소재DB_RAW!$K$3:$K$2000,소재DB_RAW!$G$3:$G$2000=$D164))),"")</f>
        <v/>
      </c>
      <c r="W164" s="20" t="inlineStr">
        <is>
          <t>인도네시아</t>
        </is>
      </c>
      <c r="X164" s="20">
        <f>IFERROR(TEXTJOIN(" / ",TRUE,UNIQUE(FILTER(소재DB_RAW!$N$3:$N$2000,소재DB_RAW!$G$3:$G$2000=$D164))),"")</f>
        <v/>
      </c>
      <c r="Y164" s="26">
        <f>IFERROR(TEXTJOIN(CHAR(10),TRUE,UNIQUE(FILTER(소재DB_RAW!$N$3:$N$2000&amp;") "&amp;소재DB_RAW!$O$3:$O$2000,(소재DB_RAW!$G$3:$G$2000=$D164)*ISNUMBER(SEARCH("겉감",소재DB_RAW!$M$3:$M$2000))))),"")</f>
        <v/>
      </c>
      <c r="Z164" s="26">
        <f>IFERROR(TEXTJOIN(CHAR(10),TRUE,UNIQUE(FILTER(소재DB_RAW!$N$3:$N$2000&amp;") "&amp;소재DB_RAW!$O$3:$O$2000,(소재DB_RAW!$G$3:$G$2000=$D164)*ISNUMBER(SEARCH("안감",소재DB_RAW!$M$3:$M$2000))))),"")</f>
        <v/>
      </c>
      <c r="AA164" s="27" t="n">
        <v>24000</v>
      </c>
      <c r="AB164" s="27" t="n">
        <v>189600000</v>
      </c>
      <c r="AC164" s="27" t="n">
        <v>1632000000</v>
      </c>
      <c r="AD164" s="20" t="n"/>
      <c r="AE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F164" s="19">
        <f>IF($K164="","",IF(OR(LEFT($AE164,2)="작지",LEFT($AE164,4)="소재입고"),IF(LEFT($G164,1)="S","★ 납기위험(S코드)","◆ 지연주의"),IF($AE164="정상","✓ 정상","? 확인필요")))</f>
        <v/>
      </c>
      <c r="AG164" s="21" t="n"/>
      <c r="AH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21" t="inlineStr">
        <is>
          <t>O</t>
        </is>
      </c>
      <c r="R165" s="21" t="inlineStr">
        <is>
          <t>X</t>
        </is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>
        <f>IFERROR(TEXTJOIN(" / ",TRUE,UNIQUE(FILTER(소재DB_RAW!$K$3:$K$2000,소재DB_RAW!$G$3:$G$2000=$D165))),"")</f>
        <v/>
      </c>
      <c r="W165" s="20" t="inlineStr">
        <is>
          <t>베트남</t>
        </is>
      </c>
      <c r="X165" s="20">
        <f>IFERROR(TEXTJOIN(" / ",TRUE,UNIQUE(FILTER(소재DB_RAW!$N$3:$N$2000,소재DB_RAW!$G$3:$G$2000=$D165))),"")</f>
        <v/>
      </c>
      <c r="Y165" s="26">
        <f>IFERROR(TEXTJOIN(CHAR(10),TRUE,UNIQUE(FILTER(소재DB_RAW!$N$3:$N$2000&amp;") "&amp;소재DB_RAW!$O$3:$O$2000,(소재DB_RAW!$G$3:$G$2000=$D165)*ISNUMBER(SEARCH("겉감",소재DB_RAW!$M$3:$M$2000))))),"")</f>
        <v/>
      </c>
      <c r="Z165" s="26">
        <f>IFERROR(TEXTJOIN(CHAR(10),TRUE,UNIQUE(FILTER(소재DB_RAW!$N$3:$N$2000&amp;") "&amp;소재DB_RAW!$O$3:$O$2000,(소재DB_RAW!$G$3:$G$2000=$D165)*ISNUMBER(SEARCH("안감",소재DB_RAW!$M$3:$M$2000))))),"")</f>
        <v/>
      </c>
      <c r="AA165" s="27" t="n">
        <v>1500</v>
      </c>
      <c r="AB165" s="27" t="n">
        <v>89790000</v>
      </c>
      <c r="AC165" s="27" t="n">
        <v>375000000</v>
      </c>
      <c r="AD165" s="20" t="inlineStr">
        <is>
          <t>2월1주</t>
        </is>
      </c>
      <c r="AE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F165" s="19">
        <f>IF($K165="","",IF(OR(LEFT($AE165,2)="작지",LEFT($AE165,4)="소재입고"),IF(LEFT($G165,1)="S","★ 납기위험(S코드)","◆ 지연주의"),IF($AE165="정상","✓ 정상","? 확인필요")))</f>
        <v/>
      </c>
      <c r="AG165" s="21" t="n"/>
      <c r="AH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21" t="inlineStr">
        <is>
          <t>O</t>
        </is>
      </c>
      <c r="R166" s="21" t="inlineStr">
        <is>
          <t>X</t>
        </is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>
        <f>IFERROR(TEXTJOIN(" / ",TRUE,UNIQUE(FILTER(소재DB_RAW!$K$3:$K$2000,소재DB_RAW!$G$3:$G$2000=$D166))),"")</f>
        <v/>
      </c>
      <c r="W166" s="20" t="inlineStr">
        <is>
          <t>베트남</t>
        </is>
      </c>
      <c r="X166" s="20">
        <f>IFERROR(TEXTJOIN(" / ",TRUE,UNIQUE(FILTER(소재DB_RAW!$N$3:$N$2000,소재DB_RAW!$G$3:$G$2000=$D166))),"")</f>
        <v/>
      </c>
      <c r="Y166" s="26">
        <f>IFERROR(TEXTJOIN(CHAR(10),TRUE,UNIQUE(FILTER(소재DB_RAW!$N$3:$N$2000&amp;") "&amp;소재DB_RAW!$O$3:$O$2000,(소재DB_RAW!$G$3:$G$2000=$D166)*ISNUMBER(SEARCH("겉감",소재DB_RAW!$M$3:$M$2000))))),"")</f>
        <v/>
      </c>
      <c r="Z166" s="26">
        <f>IFERROR(TEXTJOIN(CHAR(10),TRUE,UNIQUE(FILTER(소재DB_RAW!$N$3:$N$2000&amp;") "&amp;소재DB_RAW!$O$3:$O$2000,(소재DB_RAW!$G$3:$G$2000=$D166)*ISNUMBER(SEARCH("안감",소재DB_RAW!$M$3:$M$2000))))),"")</f>
        <v/>
      </c>
      <c r="AA166" s="27" t="n">
        <v>1900</v>
      </c>
      <c r="AB166" s="27" t="n">
        <v>60925400</v>
      </c>
      <c r="AC166" s="27" t="n">
        <v>357200000</v>
      </c>
      <c r="AD166" s="20" t="inlineStr">
        <is>
          <t>2월1주</t>
        </is>
      </c>
      <c r="AE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F166" s="19">
        <f>IF($K166="","",IF(OR(LEFT($AE166,2)="작지",LEFT($AE166,4)="소재입고"),IF(LEFT($G166,1)="S","★ 납기위험(S코드)","◆ 지연주의"),IF($AE166="정상","✓ 정상","? 확인필요")))</f>
        <v/>
      </c>
      <c r="AG166" s="21" t="n"/>
      <c r="AH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21" t="inlineStr">
        <is>
          <t>O</t>
        </is>
      </c>
      <c r="R167" s="21" t="inlineStr">
        <is>
          <t>X</t>
        </is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>
        <f>IFERROR(TEXTJOIN(" / ",TRUE,UNIQUE(FILTER(소재DB_RAW!$K$3:$K$2000,소재DB_RAW!$G$3:$G$2000=$D167))),"")</f>
        <v/>
      </c>
      <c r="W167" s="20" t="inlineStr">
        <is>
          <t>인도네시아</t>
        </is>
      </c>
      <c r="X167" s="20">
        <f>IFERROR(TEXTJOIN(" / ",TRUE,UNIQUE(FILTER(소재DB_RAW!$N$3:$N$2000,소재DB_RAW!$G$3:$G$2000=$D167))),"")</f>
        <v/>
      </c>
      <c r="Y167" s="26">
        <f>IFERROR(TEXTJOIN(CHAR(10),TRUE,UNIQUE(FILTER(소재DB_RAW!$N$3:$N$2000&amp;") "&amp;소재DB_RAW!$O$3:$O$2000,(소재DB_RAW!$G$3:$G$2000=$D167)*ISNUMBER(SEARCH("겉감",소재DB_RAW!$M$3:$M$2000))))),"")</f>
        <v/>
      </c>
      <c r="Z167" s="26">
        <f>IFERROR(TEXTJOIN(CHAR(10),TRUE,UNIQUE(FILTER(소재DB_RAW!$N$3:$N$2000&amp;") "&amp;소재DB_RAW!$O$3:$O$2000,(소재DB_RAW!$G$3:$G$2000=$D167)*ISNUMBER(SEARCH("안감",소재DB_RAW!$M$3:$M$2000))))),"")</f>
        <v/>
      </c>
      <c r="AA167" s="27" t="n">
        <v>3000</v>
      </c>
      <c r="AB167" s="27" t="n">
        <v>105000000</v>
      </c>
      <c r="AC167" s="27" t="n">
        <v>564000000</v>
      </c>
      <c r="AD167" s="20" t="inlineStr">
        <is>
          <t>2월4주</t>
        </is>
      </c>
      <c r="AE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F167" s="19">
        <f>IF($K167="","",IF(OR(LEFT($AE167,2)="작지",LEFT($AE167,4)="소재입고"),IF(LEFT($G167,1)="S","★ 납기위험(S코드)","◆ 지연주의"),IF($AE167="정상","✓ 정상","? 확인필요")))</f>
        <v/>
      </c>
      <c r="AG167" s="21" t="n"/>
      <c r="AH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21" t="inlineStr">
        <is>
          <t>O</t>
        </is>
      </c>
      <c r="R168" s="21" t="inlineStr">
        <is>
          <t>X</t>
        </is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>
        <f>IFERROR(TEXTJOIN(" / ",TRUE,UNIQUE(FILTER(소재DB_RAW!$K$3:$K$2000,소재DB_RAW!$G$3:$G$2000=$D168))),"")</f>
        <v/>
      </c>
      <c r="W168" s="20" t="inlineStr">
        <is>
          <t>베트남</t>
        </is>
      </c>
      <c r="X168" s="20">
        <f>IFERROR(TEXTJOIN(" / ",TRUE,UNIQUE(FILTER(소재DB_RAW!$N$3:$N$2000,소재DB_RAW!$G$3:$G$2000=$D168))),"")</f>
        <v/>
      </c>
      <c r="Y168" s="26">
        <f>IFERROR(TEXTJOIN(CHAR(10),TRUE,UNIQUE(FILTER(소재DB_RAW!$N$3:$N$2000&amp;") "&amp;소재DB_RAW!$O$3:$O$2000,(소재DB_RAW!$G$3:$G$2000=$D168)*ISNUMBER(SEARCH("겉감",소재DB_RAW!$M$3:$M$2000))))),"")</f>
        <v/>
      </c>
      <c r="Z168" s="26">
        <f>IFERROR(TEXTJOIN(CHAR(10),TRUE,UNIQUE(FILTER(소재DB_RAW!$N$3:$N$2000&amp;") "&amp;소재DB_RAW!$O$3:$O$2000,(소재DB_RAW!$G$3:$G$2000=$D168)*ISNUMBER(SEARCH("안감",소재DB_RAW!$M$3:$M$2000))))),"")</f>
        <v/>
      </c>
      <c r="AA168" s="27" t="n">
        <v>1800</v>
      </c>
      <c r="AB168" s="27" t="n">
        <v>43592400</v>
      </c>
      <c r="AC168" s="27" t="n">
        <v>230400000</v>
      </c>
      <c r="AD168" s="20" t="inlineStr">
        <is>
          <t>2월4주</t>
        </is>
      </c>
      <c r="AE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F168" s="19">
        <f>IF($K168="","",IF(OR(LEFT($AE168,2)="작지",LEFT($AE168,4)="소재입고"),IF(LEFT($G168,1)="S","★ 납기위험(S코드)","◆ 지연주의"),IF($AE168="정상","✓ 정상","? 확인필요")))</f>
        <v/>
      </c>
      <c r="AG168" s="21" t="n"/>
      <c r="AH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21" t="inlineStr">
        <is>
          <t>O</t>
        </is>
      </c>
      <c r="R169" s="21" t="inlineStr">
        <is>
          <t>X</t>
        </is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>
        <f>IFERROR(TEXTJOIN(" / ",TRUE,UNIQUE(FILTER(소재DB_RAW!$K$3:$K$2000,소재DB_RAW!$G$3:$G$2000=$D169))),"")</f>
        <v/>
      </c>
      <c r="W169" s="20" t="inlineStr">
        <is>
          <t>인도네시아</t>
        </is>
      </c>
      <c r="X169" s="20">
        <f>IFERROR(TEXTJOIN(" / ",TRUE,UNIQUE(FILTER(소재DB_RAW!$N$3:$N$2000,소재DB_RAW!$G$3:$G$2000=$D169))),"")</f>
        <v/>
      </c>
      <c r="Y169" s="26">
        <f>IFERROR(TEXTJOIN(CHAR(10),TRUE,UNIQUE(FILTER(소재DB_RAW!$N$3:$N$2000&amp;") "&amp;소재DB_RAW!$O$3:$O$2000,(소재DB_RAW!$G$3:$G$2000=$D169)*ISNUMBER(SEARCH("겉감",소재DB_RAW!$M$3:$M$2000))))),"")</f>
        <v/>
      </c>
      <c r="Z169" s="26">
        <f>IFERROR(TEXTJOIN(CHAR(10),TRUE,UNIQUE(FILTER(소재DB_RAW!$N$3:$N$2000&amp;") "&amp;소재DB_RAW!$O$3:$O$2000,(소재DB_RAW!$G$3:$G$2000=$D169)*ISNUMBER(SEARCH("안감",소재DB_RAW!$M$3:$M$2000))))),"")</f>
        <v/>
      </c>
      <c r="AA169" s="27" t="n">
        <v>1600</v>
      </c>
      <c r="AB169" s="27" t="n">
        <v>36735400</v>
      </c>
      <c r="AC169" s="27" t="n">
        <v>188800000</v>
      </c>
      <c r="AD169" s="20" t="inlineStr">
        <is>
          <t>2월4주</t>
        </is>
      </c>
      <c r="AE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F169" s="19">
        <f>IF($K169="","",IF(OR(LEFT($AE169,2)="작지",LEFT($AE169,4)="소재입고"),IF(LEFT($G169,1)="S","★ 납기위험(S코드)","◆ 지연주의"),IF($AE169="정상","✓ 정상","? 확인필요")))</f>
        <v/>
      </c>
      <c r="AG169" s="21" t="n"/>
      <c r="AH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21" t="inlineStr">
        <is>
          <t>O</t>
        </is>
      </c>
      <c r="R170" s="21" t="inlineStr">
        <is>
          <t>X</t>
        </is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>
        <f>IFERROR(TEXTJOIN(" / ",TRUE,UNIQUE(FILTER(소재DB_RAW!$K$3:$K$2000,소재DB_RAW!$G$3:$G$2000=$D170))),"")</f>
        <v/>
      </c>
      <c r="W170" s="20" t="inlineStr">
        <is>
          <t>베트남</t>
        </is>
      </c>
      <c r="X170" s="20">
        <f>IFERROR(TEXTJOIN(" / ",TRUE,UNIQUE(FILTER(소재DB_RAW!$N$3:$N$2000,소재DB_RAW!$G$3:$G$2000=$D170))),"")</f>
        <v/>
      </c>
      <c r="Y170" s="26">
        <f>IFERROR(TEXTJOIN(CHAR(10),TRUE,UNIQUE(FILTER(소재DB_RAW!$N$3:$N$2000&amp;") "&amp;소재DB_RAW!$O$3:$O$2000,(소재DB_RAW!$G$3:$G$2000=$D170)*ISNUMBER(SEARCH("겉감",소재DB_RAW!$M$3:$M$2000))))),"")</f>
        <v/>
      </c>
      <c r="Z170" s="26">
        <f>IFERROR(TEXTJOIN(CHAR(10),TRUE,UNIQUE(FILTER(소재DB_RAW!$N$3:$N$2000&amp;") "&amp;소재DB_RAW!$O$3:$O$2000,(소재DB_RAW!$G$3:$G$2000=$D170)*ISNUMBER(SEARCH("안감",소재DB_RAW!$M$3:$M$2000))))),"")</f>
        <v/>
      </c>
      <c r="AA170" s="27" t="n">
        <v>3000</v>
      </c>
      <c r="AB170" s="27" t="n">
        <v>57300000</v>
      </c>
      <c r="AC170" s="27" t="n">
        <v>354000000</v>
      </c>
      <c r="AD170" s="20" t="inlineStr">
        <is>
          <t>2월4주</t>
        </is>
      </c>
      <c r="AE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F170" s="19">
        <f>IF($K170="","",IF(OR(LEFT($AE170,2)="작지",LEFT($AE170,4)="소재입고"),IF(LEFT($G170,1)="S","★ 납기위험(S코드)","◆ 지연주의"),IF($AE170="정상","✓ 정상","? 확인필요")))</f>
        <v/>
      </c>
      <c r="AG170" s="21" t="n"/>
      <c r="AH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21" t="inlineStr">
        <is>
          <t>O</t>
        </is>
      </c>
      <c r="R171" s="21" t="inlineStr">
        <is>
          <t>X</t>
        </is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>
        <f>IFERROR(TEXTJOIN(" / ",TRUE,UNIQUE(FILTER(소재DB_RAW!$K$3:$K$2000,소재DB_RAW!$G$3:$G$2000=$D171))),"")</f>
        <v/>
      </c>
      <c r="W171" s="20" t="inlineStr">
        <is>
          <t>베트남</t>
        </is>
      </c>
      <c r="X171" s="20">
        <f>IFERROR(TEXTJOIN(" / ",TRUE,UNIQUE(FILTER(소재DB_RAW!$N$3:$N$2000,소재DB_RAW!$G$3:$G$2000=$D171))),"")</f>
        <v/>
      </c>
      <c r="Y171" s="26">
        <f>IFERROR(TEXTJOIN(CHAR(10),TRUE,UNIQUE(FILTER(소재DB_RAW!$N$3:$N$2000&amp;") "&amp;소재DB_RAW!$O$3:$O$2000,(소재DB_RAW!$G$3:$G$2000=$D171)*ISNUMBER(SEARCH("겉감",소재DB_RAW!$M$3:$M$2000))))),"")</f>
        <v/>
      </c>
      <c r="Z171" s="26">
        <f>IFERROR(TEXTJOIN(CHAR(10),TRUE,UNIQUE(FILTER(소재DB_RAW!$N$3:$N$2000&amp;") "&amp;소재DB_RAW!$O$3:$O$2000,(소재DB_RAW!$G$3:$G$2000=$D171)*ISNUMBER(SEARCH("안감",소재DB_RAW!$M$3:$M$2000))))),"")</f>
        <v/>
      </c>
      <c r="AA171" s="27" t="n">
        <v>2000</v>
      </c>
      <c r="AB171" s="27" t="n">
        <v>81136000</v>
      </c>
      <c r="AC171" s="27" t="n">
        <v>336000000</v>
      </c>
      <c r="AD171" s="20" t="inlineStr">
        <is>
          <t>2월4주</t>
        </is>
      </c>
      <c r="AE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F171" s="19">
        <f>IF($K171="","",IF(OR(LEFT($AE171,2)="작지",LEFT($AE171,4)="소재입고"),IF(LEFT($G171,1)="S","★ 납기위험(S코드)","◆ 지연주의"),IF($AE171="정상","✓ 정상","? 확인필요")))</f>
        <v/>
      </c>
      <c r="AG171" s="21" t="n"/>
      <c r="AH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21" t="inlineStr">
        <is>
          <t>O</t>
        </is>
      </c>
      <c r="R172" s="21" t="inlineStr">
        <is>
          <t>X</t>
        </is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>
        <f>IFERROR(TEXTJOIN(" / ",TRUE,UNIQUE(FILTER(소재DB_RAW!$K$3:$K$2000,소재DB_RAW!$G$3:$G$2000=$D172))),"")</f>
        <v/>
      </c>
      <c r="W172" s="20" t="inlineStr">
        <is>
          <t>베트남</t>
        </is>
      </c>
      <c r="X172" s="20">
        <f>IFERROR(TEXTJOIN(" / ",TRUE,UNIQUE(FILTER(소재DB_RAW!$N$3:$N$2000,소재DB_RAW!$G$3:$G$2000=$D172))),"")</f>
        <v/>
      </c>
      <c r="Y172" s="26">
        <f>IFERROR(TEXTJOIN(CHAR(10),TRUE,UNIQUE(FILTER(소재DB_RAW!$N$3:$N$2000&amp;") "&amp;소재DB_RAW!$O$3:$O$2000,(소재DB_RAW!$G$3:$G$2000=$D172)*ISNUMBER(SEARCH("겉감",소재DB_RAW!$M$3:$M$2000))))),"")</f>
        <v/>
      </c>
      <c r="Z172" s="26">
        <f>IFERROR(TEXTJOIN(CHAR(10),TRUE,UNIQUE(FILTER(소재DB_RAW!$N$3:$N$2000&amp;") "&amp;소재DB_RAW!$O$3:$O$2000,(소재DB_RAW!$G$3:$G$2000=$D172)*ISNUMBER(SEARCH("안감",소재DB_RAW!$M$3:$M$2000))))),"")</f>
        <v/>
      </c>
      <c r="AA172" s="27" t="n">
        <v>2500</v>
      </c>
      <c r="AB172" s="27" t="n">
        <v>45000000</v>
      </c>
      <c r="AC172" s="27" t="n">
        <v>270000000</v>
      </c>
      <c r="AD172" s="20" t="inlineStr">
        <is>
          <t>2월4주</t>
        </is>
      </c>
      <c r="AE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F172" s="19">
        <f>IF($K172="","",IF(OR(LEFT($AE172,2)="작지",LEFT($AE172,4)="소재입고"),IF(LEFT($G172,1)="S","★ 납기위험(S코드)","◆ 지연주의"),IF($AE172="정상","✓ 정상","? 확인필요")))</f>
        <v/>
      </c>
      <c r="AG172" s="21" t="n"/>
      <c r="AH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21" t="inlineStr">
        <is>
          <t>O</t>
        </is>
      </c>
      <c r="R173" s="21" t="inlineStr">
        <is>
          <t>X</t>
        </is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>
        <f>IFERROR(TEXTJOIN(" / ",TRUE,UNIQUE(FILTER(소재DB_RAW!$K$3:$K$2000,소재DB_RAW!$G$3:$G$2000=$D173))),"")</f>
        <v/>
      </c>
      <c r="W173" s="20" t="inlineStr">
        <is>
          <t>베트남</t>
        </is>
      </c>
      <c r="X173" s="20">
        <f>IFERROR(TEXTJOIN(" / ",TRUE,UNIQUE(FILTER(소재DB_RAW!$N$3:$N$2000,소재DB_RAW!$G$3:$G$2000=$D173))),"")</f>
        <v/>
      </c>
      <c r="Y173" s="26">
        <f>IFERROR(TEXTJOIN(CHAR(10),TRUE,UNIQUE(FILTER(소재DB_RAW!$N$3:$N$2000&amp;") "&amp;소재DB_RAW!$O$3:$O$2000,(소재DB_RAW!$G$3:$G$2000=$D173)*ISNUMBER(SEARCH("겉감",소재DB_RAW!$M$3:$M$2000))))),"")</f>
        <v/>
      </c>
      <c r="Z173" s="26">
        <f>IFERROR(TEXTJOIN(CHAR(10),TRUE,UNIQUE(FILTER(소재DB_RAW!$N$3:$N$2000&amp;") "&amp;소재DB_RAW!$O$3:$O$2000,(소재DB_RAW!$G$3:$G$2000=$D173)*ISNUMBER(SEARCH("안감",소재DB_RAW!$M$3:$M$2000))))),"")</f>
        <v/>
      </c>
      <c r="AA173" s="27" t="n">
        <v>1700</v>
      </c>
      <c r="AB173" s="27" t="n">
        <v>105396600</v>
      </c>
      <c r="AC173" s="27" t="n">
        <v>493000000</v>
      </c>
      <c r="AD173" s="20" t="inlineStr">
        <is>
          <t>2월4주</t>
        </is>
      </c>
      <c r="AE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F173" s="19">
        <f>IF($K173="","",IF(OR(LEFT($AE173,2)="작지",LEFT($AE173,4)="소재입고"),IF(LEFT($G173,1)="S","★ 납기위험(S코드)","◆ 지연주의"),IF($AE173="정상","✓ 정상","? 확인필요")))</f>
        <v/>
      </c>
      <c r="AG173" s="21" t="n"/>
      <c r="AH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21" t="inlineStr">
        <is>
          <t>O</t>
        </is>
      </c>
      <c r="R174" s="21" t="inlineStr">
        <is>
          <t>X</t>
        </is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>
        <f>IFERROR(TEXTJOIN(" / ",TRUE,UNIQUE(FILTER(소재DB_RAW!$K$3:$K$2000,소재DB_RAW!$G$3:$G$2000=$D174))),"")</f>
        <v/>
      </c>
      <c r="W174" s="20" t="inlineStr">
        <is>
          <t>베트남</t>
        </is>
      </c>
      <c r="X174" s="20">
        <f>IFERROR(TEXTJOIN(" / ",TRUE,UNIQUE(FILTER(소재DB_RAW!$N$3:$N$2000,소재DB_RAW!$G$3:$G$2000=$D174))),"")</f>
        <v/>
      </c>
      <c r="Y174" s="26">
        <f>IFERROR(TEXTJOIN(CHAR(10),TRUE,UNIQUE(FILTER(소재DB_RAW!$N$3:$N$2000&amp;") "&amp;소재DB_RAW!$O$3:$O$2000,(소재DB_RAW!$G$3:$G$2000=$D174)*ISNUMBER(SEARCH("겉감",소재DB_RAW!$M$3:$M$2000))))),"")</f>
        <v/>
      </c>
      <c r="Z174" s="26">
        <f>IFERROR(TEXTJOIN(CHAR(10),TRUE,UNIQUE(FILTER(소재DB_RAW!$N$3:$N$2000&amp;") "&amp;소재DB_RAW!$O$3:$O$2000,(소재DB_RAW!$G$3:$G$2000=$D174)*ISNUMBER(SEARCH("안감",소재DB_RAW!$M$3:$M$2000))))),"")</f>
        <v/>
      </c>
      <c r="AA174" s="27" t="n">
        <v>11000</v>
      </c>
      <c r="AB174" s="27" t="n">
        <v>319022000</v>
      </c>
      <c r="AC174" s="27" t="n">
        <v>1958000000</v>
      </c>
      <c r="AD174" s="20" t="inlineStr">
        <is>
          <t>2월4주</t>
        </is>
      </c>
      <c r="AE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F174" s="19">
        <f>IF($K174="","",IF(OR(LEFT($AE174,2)="작지",LEFT($AE174,4)="소재입고"),IF(LEFT($G174,1)="S","★ 납기위험(S코드)","◆ 지연주의"),IF($AE174="정상","✓ 정상","? 확인필요")))</f>
        <v/>
      </c>
      <c r="AG174" s="21" t="n"/>
      <c r="AH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21" t="inlineStr">
        <is>
          <t>O</t>
        </is>
      </c>
      <c r="R175" s="21" t="inlineStr">
        <is>
          <t>X</t>
        </is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>
        <f>IFERROR(TEXTJOIN(" / ",TRUE,UNIQUE(FILTER(소재DB_RAW!$K$3:$K$2000,소재DB_RAW!$G$3:$G$2000=$D175))),"")</f>
        <v/>
      </c>
      <c r="W175" s="20" t="inlineStr">
        <is>
          <t>베트남</t>
        </is>
      </c>
      <c r="X175" s="20">
        <f>IFERROR(TEXTJOIN(" / ",TRUE,UNIQUE(FILTER(소재DB_RAW!$N$3:$N$2000,소재DB_RAW!$G$3:$G$2000=$D175))),"")</f>
        <v/>
      </c>
      <c r="Y175" s="26">
        <f>IFERROR(TEXTJOIN(CHAR(10),TRUE,UNIQUE(FILTER(소재DB_RAW!$N$3:$N$2000&amp;") "&amp;소재DB_RAW!$O$3:$O$2000,(소재DB_RAW!$G$3:$G$2000=$D175)*ISNUMBER(SEARCH("겉감",소재DB_RAW!$M$3:$M$2000))))),"")</f>
        <v/>
      </c>
      <c r="Z175" s="26">
        <f>IFERROR(TEXTJOIN(CHAR(10),TRUE,UNIQUE(FILTER(소재DB_RAW!$N$3:$N$2000&amp;") "&amp;소재DB_RAW!$O$3:$O$2000,(소재DB_RAW!$G$3:$G$2000=$D175)*ISNUMBER(SEARCH("안감",소재DB_RAW!$M$3:$M$2000))))),"")</f>
        <v/>
      </c>
      <c r="AA175" s="27" t="n">
        <v>14000</v>
      </c>
      <c r="AB175" s="27" t="n">
        <v>395080000</v>
      </c>
      <c r="AC175" s="27" t="n">
        <v>2492000000</v>
      </c>
      <c r="AD175" s="20" t="inlineStr">
        <is>
          <t>2월4주</t>
        </is>
      </c>
      <c r="AE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F175" s="19">
        <f>IF($K175="","",IF(OR(LEFT($AE175,2)="작지",LEFT($AE175,4)="소재입고"),IF(LEFT($G175,1)="S","★ 납기위험(S코드)","◆ 지연주의"),IF($AE175="정상","✓ 정상","? 확인필요")))</f>
        <v/>
      </c>
      <c r="AG175" s="21" t="n"/>
      <c r="AH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21" t="inlineStr">
        <is>
          <t>O</t>
        </is>
      </c>
      <c r="R176" s="21" t="inlineStr">
        <is>
          <t>X</t>
        </is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>
        <f>IFERROR(TEXTJOIN(" / ",TRUE,UNIQUE(FILTER(소재DB_RAW!$K$3:$K$2000,소재DB_RAW!$G$3:$G$2000=$D176))),"")</f>
        <v/>
      </c>
      <c r="W176" s="20" t="inlineStr">
        <is>
          <t>인도네시아</t>
        </is>
      </c>
      <c r="X176" s="20">
        <f>IFERROR(TEXTJOIN(" / ",TRUE,UNIQUE(FILTER(소재DB_RAW!$N$3:$N$2000,소재DB_RAW!$G$3:$G$2000=$D176))),"")</f>
        <v/>
      </c>
      <c r="Y176" s="26">
        <f>IFERROR(TEXTJOIN(CHAR(10),TRUE,UNIQUE(FILTER(소재DB_RAW!$N$3:$N$2000&amp;") "&amp;소재DB_RAW!$O$3:$O$2000,(소재DB_RAW!$G$3:$G$2000=$D176)*ISNUMBER(SEARCH("겉감",소재DB_RAW!$M$3:$M$2000))))),"")</f>
        <v/>
      </c>
      <c r="Z176" s="26">
        <f>IFERROR(TEXTJOIN(CHAR(10),TRUE,UNIQUE(FILTER(소재DB_RAW!$N$3:$N$2000&amp;") "&amp;소재DB_RAW!$O$3:$O$2000,(소재DB_RAW!$G$3:$G$2000=$D176)*ISNUMBER(SEARCH("안감",소재DB_RAW!$M$3:$M$2000))))),"")</f>
        <v/>
      </c>
      <c r="AA176" s="27" t="n">
        <v>1200</v>
      </c>
      <c r="AB176" s="27" t="n">
        <v>44798400</v>
      </c>
      <c r="AC176" s="27" t="n">
        <v>201600000</v>
      </c>
      <c r="AD176" s="20" t="inlineStr">
        <is>
          <t>44511</t>
        </is>
      </c>
      <c r="AE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F176" s="19">
        <f>IF($K176="","",IF(OR(LEFT($AE176,2)="작지",LEFT($AE176,4)="소재입고"),IF(LEFT($G176,1)="S","★ 납기위험(S코드)","◆ 지연주의"),IF($AE176="정상","✓ 정상","? 확인필요")))</f>
        <v/>
      </c>
      <c r="AG176" s="21" t="n"/>
      <c r="AH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21" t="inlineStr">
        <is>
          <t>O</t>
        </is>
      </c>
      <c r="R177" s="21" t="inlineStr">
        <is>
          <t>X</t>
        </is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>
        <f>IFERROR(TEXTJOIN(" / ",TRUE,UNIQUE(FILTER(소재DB_RAW!$K$3:$K$2000,소재DB_RAW!$G$3:$G$2000=$D177))),"")</f>
        <v/>
      </c>
      <c r="W177" s="20" t="inlineStr">
        <is>
          <t>베트남</t>
        </is>
      </c>
      <c r="X177" s="20">
        <f>IFERROR(TEXTJOIN(" / ",TRUE,UNIQUE(FILTER(소재DB_RAW!$N$3:$N$2000,소재DB_RAW!$G$3:$G$2000=$D177))),"")</f>
        <v/>
      </c>
      <c r="Y177" s="26">
        <f>IFERROR(TEXTJOIN(CHAR(10),TRUE,UNIQUE(FILTER(소재DB_RAW!$N$3:$N$2000&amp;") "&amp;소재DB_RAW!$O$3:$O$2000,(소재DB_RAW!$G$3:$G$2000=$D177)*ISNUMBER(SEARCH("겉감",소재DB_RAW!$M$3:$M$2000))))),"")</f>
        <v/>
      </c>
      <c r="Z177" s="26">
        <f>IFERROR(TEXTJOIN(CHAR(10),TRUE,UNIQUE(FILTER(소재DB_RAW!$N$3:$N$2000&amp;") "&amp;소재DB_RAW!$O$3:$O$2000,(소재DB_RAW!$G$3:$G$2000=$D177)*ISNUMBER(SEARCH("안감",소재DB_RAW!$M$3:$M$2000))))),"")</f>
        <v/>
      </c>
      <c r="AA177" s="27" t="n">
        <v>12000</v>
      </c>
      <c r="AB177" s="27" t="n">
        <v>216000000</v>
      </c>
      <c r="AC177" s="27" t="n">
        <v>1416000000</v>
      </c>
      <c r="AD177" s="20" t="inlineStr">
        <is>
          <t>44511</t>
        </is>
      </c>
      <c r="AE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F177" s="19">
        <f>IF($K177="","",IF(OR(LEFT($AE177,2)="작지",LEFT($AE177,4)="소재입고"),IF(LEFT($G177,1)="S","★ 납기위험(S코드)","◆ 지연주의"),IF($AE177="정상","✓ 정상","? 확인필요")))</f>
        <v/>
      </c>
      <c r="AG177" s="21" t="n"/>
      <c r="AH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21" t="inlineStr">
        <is>
          <t>X</t>
        </is>
      </c>
      <c r="R178" s="21" t="inlineStr">
        <is>
          <t>X</t>
        </is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>
        <f>IFERROR(TEXTJOIN(" / ",TRUE,UNIQUE(FILTER(소재DB_RAW!$K$3:$K$2000,소재DB_RAW!$G$3:$G$2000=$D178))),"")</f>
        <v/>
      </c>
      <c r="W178" s="20" t="inlineStr">
        <is>
          <t>베트남</t>
        </is>
      </c>
      <c r="X178" s="20">
        <f>IFERROR(TEXTJOIN(" / ",TRUE,UNIQUE(FILTER(소재DB_RAW!$N$3:$N$2000,소재DB_RAW!$G$3:$G$2000=$D178))),"")</f>
        <v/>
      </c>
      <c r="Y178" s="26">
        <f>IFERROR(TEXTJOIN(CHAR(10),TRUE,UNIQUE(FILTER(소재DB_RAW!$N$3:$N$2000&amp;") "&amp;소재DB_RAW!$O$3:$O$2000,(소재DB_RAW!$G$3:$G$2000=$D178)*ISNUMBER(SEARCH("겉감",소재DB_RAW!$M$3:$M$2000))))),"")</f>
        <v/>
      </c>
      <c r="Z178" s="26">
        <f>IFERROR(TEXTJOIN(CHAR(10),TRUE,UNIQUE(FILTER(소재DB_RAW!$N$3:$N$2000&amp;") "&amp;소재DB_RAW!$O$3:$O$2000,(소재DB_RAW!$G$3:$G$2000=$D178)*ISNUMBER(SEARCH("안감",소재DB_RAW!$M$3:$M$2000))))),"")</f>
        <v/>
      </c>
      <c r="AA178" s="27" t="n">
        <v>4700</v>
      </c>
      <c r="AB178" s="27" t="n">
        <v>47972900</v>
      </c>
      <c r="AC178" s="27" t="n">
        <v>235000000</v>
      </c>
      <c r="AD178" s="20" t="n"/>
      <c r="AE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F178" s="19">
        <f>IF($K178="","",IF(OR(LEFT($AE178,2)="작지",LEFT($AE178,4)="소재입고"),IF(LEFT($G178,1)="S","★ 납기위험(S코드)","◆ 지연주의"),IF($AE178="정상","✓ 정상","? 확인필요")))</f>
        <v/>
      </c>
      <c r="AG178" s="21" t="n"/>
      <c r="AH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21" t="inlineStr">
        <is>
          <t>X</t>
        </is>
      </c>
      <c r="R179" s="21" t="inlineStr">
        <is>
          <t>X</t>
        </is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>
        <f>IFERROR(TEXTJOIN(" / ",TRUE,UNIQUE(FILTER(소재DB_RAW!$K$3:$K$2000,소재DB_RAW!$G$3:$G$2000=$D179))),"")</f>
        <v/>
      </c>
      <c r="W179" s="20" t="inlineStr">
        <is>
          <t>베트남</t>
        </is>
      </c>
      <c r="X179" s="20">
        <f>IFERROR(TEXTJOIN(" / ",TRUE,UNIQUE(FILTER(소재DB_RAW!$N$3:$N$2000,소재DB_RAW!$G$3:$G$2000=$D179))),"")</f>
        <v/>
      </c>
      <c r="Y179" s="26">
        <f>IFERROR(TEXTJOIN(CHAR(10),TRUE,UNIQUE(FILTER(소재DB_RAW!$N$3:$N$2000&amp;") "&amp;소재DB_RAW!$O$3:$O$2000,(소재DB_RAW!$G$3:$G$2000=$D179)*ISNUMBER(SEARCH("겉감",소재DB_RAW!$M$3:$M$2000))))),"")</f>
        <v/>
      </c>
      <c r="Z179" s="26">
        <f>IFERROR(TEXTJOIN(CHAR(10),TRUE,UNIQUE(FILTER(소재DB_RAW!$N$3:$N$2000&amp;") "&amp;소재DB_RAW!$O$3:$O$2000,(소재DB_RAW!$G$3:$G$2000=$D179)*ISNUMBER(SEARCH("안감",소재DB_RAW!$M$3:$M$2000))))),"")</f>
        <v/>
      </c>
      <c r="AA179" s="27" t="n">
        <v>4500</v>
      </c>
      <c r="AB179" s="27" t="n">
        <v>34879500</v>
      </c>
      <c r="AC179" s="27" t="n">
        <v>202500000</v>
      </c>
      <c r="AD179" s="20" t="n"/>
      <c r="AE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F179" s="19">
        <f>IF($K179="","",IF(OR(LEFT($AE179,2)="작지",LEFT($AE179,4)="소재입고"),IF(LEFT($G179,1)="S","★ 납기위험(S코드)","◆ 지연주의"),IF($AE179="정상","✓ 정상","? 확인필요")))</f>
        <v/>
      </c>
      <c r="AG179" s="21" t="n"/>
      <c r="AH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21" t="inlineStr">
        <is>
          <t>부분</t>
        </is>
      </c>
      <c r="R180" s="21" t="inlineStr">
        <is>
          <t>X</t>
        </is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>
        <f>IFERROR(TEXTJOIN(" / ",TRUE,UNIQUE(FILTER(소재DB_RAW!$K$3:$K$2000,소재DB_RAW!$G$3:$G$2000=$D180))),"")</f>
        <v/>
      </c>
      <c r="W180" s="20" t="inlineStr">
        <is>
          <t>베트남</t>
        </is>
      </c>
      <c r="X180" s="20">
        <f>IFERROR(TEXTJOIN(" / ",TRUE,UNIQUE(FILTER(소재DB_RAW!$N$3:$N$2000,소재DB_RAW!$G$3:$G$2000=$D180))),"")</f>
        <v/>
      </c>
      <c r="Y180" s="26">
        <f>IFERROR(TEXTJOIN(CHAR(10),TRUE,UNIQUE(FILTER(소재DB_RAW!$N$3:$N$2000&amp;") "&amp;소재DB_RAW!$O$3:$O$2000,(소재DB_RAW!$G$3:$G$2000=$D180)*ISNUMBER(SEARCH("겉감",소재DB_RAW!$M$3:$M$2000))))),"")</f>
        <v/>
      </c>
      <c r="Z180" s="26">
        <f>IFERROR(TEXTJOIN(CHAR(10),TRUE,UNIQUE(FILTER(소재DB_RAW!$N$3:$N$2000&amp;") "&amp;소재DB_RAW!$O$3:$O$2000,(소재DB_RAW!$G$3:$G$2000=$D180)*ISNUMBER(SEARCH("안감",소재DB_RAW!$M$3:$M$2000))))),"")</f>
        <v/>
      </c>
      <c r="AA180" s="27" t="n">
        <v>1500</v>
      </c>
      <c r="AB180" s="27" t="n">
        <v>55500000</v>
      </c>
      <c r="AC180" s="27" t="n">
        <v>297000000</v>
      </c>
      <c r="AD180" s="20" t="n"/>
      <c r="AE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F180" s="19">
        <f>IF($K180="","",IF(OR(LEFT($AE180,2)="작지",LEFT($AE180,4)="소재입고"),IF(LEFT($G180,1)="S","★ 납기위험(S코드)","◆ 지연주의"),IF($AE180="정상","✓ 정상","? 확인필요")))</f>
        <v/>
      </c>
      <c r="AG180" s="21" t="n"/>
      <c r="AH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21" t="inlineStr">
        <is>
          <t>O</t>
        </is>
      </c>
      <c r="R181" s="21" t="inlineStr">
        <is>
          <t>X</t>
        </is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>
        <f>IFERROR(TEXTJOIN(" / ",TRUE,UNIQUE(FILTER(소재DB_RAW!$K$3:$K$2000,소재DB_RAW!$G$3:$G$2000=$D181))),"")</f>
        <v/>
      </c>
      <c r="W181" s="20" t="inlineStr">
        <is>
          <t>베트남</t>
        </is>
      </c>
      <c r="X181" s="20">
        <f>IFERROR(TEXTJOIN(" / ",TRUE,UNIQUE(FILTER(소재DB_RAW!$N$3:$N$2000,소재DB_RAW!$G$3:$G$2000=$D181))),"")</f>
        <v/>
      </c>
      <c r="Y181" s="26">
        <f>IFERROR(TEXTJOIN(CHAR(10),TRUE,UNIQUE(FILTER(소재DB_RAW!$N$3:$N$2000&amp;") "&amp;소재DB_RAW!$O$3:$O$2000,(소재DB_RAW!$G$3:$G$2000=$D181)*ISNUMBER(SEARCH("겉감",소재DB_RAW!$M$3:$M$2000))))),"")</f>
        <v/>
      </c>
      <c r="Z181" s="26">
        <f>IFERROR(TEXTJOIN(CHAR(10),TRUE,UNIQUE(FILTER(소재DB_RAW!$N$3:$N$2000&amp;") "&amp;소재DB_RAW!$O$3:$O$2000,(소재DB_RAW!$G$3:$G$2000=$D181)*ISNUMBER(SEARCH("안감",소재DB_RAW!$M$3:$M$2000))))),"")</f>
        <v/>
      </c>
      <c r="AA181" s="27" t="n">
        <v>2000</v>
      </c>
      <c r="AB181" s="27" t="n">
        <v>78808000</v>
      </c>
      <c r="AC181" s="27" t="n">
        <v>376000000</v>
      </c>
      <c r="AD181" s="20" t="inlineStr">
        <is>
          <t>2월4주</t>
        </is>
      </c>
      <c r="AE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F181" s="19">
        <f>IF($K181="","",IF(OR(LEFT($AE181,2)="작지",LEFT($AE181,4)="소재입고"),IF(LEFT($G181,1)="S","★ 납기위험(S코드)","◆ 지연주의"),IF($AE181="정상","✓ 정상","? 확인필요")))</f>
        <v/>
      </c>
      <c r="AG181" s="21" t="n"/>
      <c r="AH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21" t="inlineStr">
        <is>
          <t>O</t>
        </is>
      </c>
      <c r="R182" s="21" t="inlineStr">
        <is>
          <t>X</t>
        </is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>
        <f>IFERROR(TEXTJOIN(" / ",TRUE,UNIQUE(FILTER(소재DB_RAW!$K$3:$K$2000,소재DB_RAW!$G$3:$G$2000=$D182))),"")</f>
        <v/>
      </c>
      <c r="W182" s="20" t="inlineStr">
        <is>
          <t>베트남</t>
        </is>
      </c>
      <c r="X182" s="20">
        <f>IFERROR(TEXTJOIN(" / ",TRUE,UNIQUE(FILTER(소재DB_RAW!$N$3:$N$2000,소재DB_RAW!$G$3:$G$2000=$D182))),"")</f>
        <v/>
      </c>
      <c r="Y182" s="26">
        <f>IFERROR(TEXTJOIN(CHAR(10),TRUE,UNIQUE(FILTER(소재DB_RAW!$N$3:$N$2000&amp;") "&amp;소재DB_RAW!$O$3:$O$2000,(소재DB_RAW!$G$3:$G$2000=$D182)*ISNUMBER(SEARCH("겉감",소재DB_RAW!$M$3:$M$2000))))),"")</f>
        <v/>
      </c>
      <c r="Z182" s="26">
        <f>IFERROR(TEXTJOIN(CHAR(10),TRUE,UNIQUE(FILTER(소재DB_RAW!$N$3:$N$2000&amp;") "&amp;소재DB_RAW!$O$3:$O$2000,(소재DB_RAW!$G$3:$G$2000=$D182)*ISNUMBER(SEARCH("안감",소재DB_RAW!$M$3:$M$2000))))),"")</f>
        <v/>
      </c>
      <c r="AA182" s="27" t="n">
        <v>1600</v>
      </c>
      <c r="AB182" s="27" t="n">
        <v>61387200</v>
      </c>
      <c r="AC182" s="27" t="n">
        <v>284800000</v>
      </c>
      <c r="AD182" s="20" t="inlineStr">
        <is>
          <t>3</t>
        </is>
      </c>
      <c r="AE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F182" s="19">
        <f>IF($K182="","",IF(OR(LEFT($AE182,2)="작지",LEFT($AE182,4)="소재입고"),IF(LEFT($G182,1)="S","★ 납기위험(S코드)","◆ 지연주의"),IF($AE182="정상","✓ 정상","? 확인필요")))</f>
        <v/>
      </c>
      <c r="AG182" s="21" t="n"/>
      <c r="AH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21" t="inlineStr">
        <is>
          <t>O</t>
        </is>
      </c>
      <c r="R183" s="21" t="inlineStr">
        <is>
          <t>X</t>
        </is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>
        <f>IFERROR(TEXTJOIN(" / ",TRUE,UNIQUE(FILTER(소재DB_RAW!$K$3:$K$2000,소재DB_RAW!$G$3:$G$2000=$D183))),"")</f>
        <v/>
      </c>
      <c r="W183" s="20" t="inlineStr">
        <is>
          <t>인도네시아</t>
        </is>
      </c>
      <c r="X183" s="20">
        <f>IFERROR(TEXTJOIN(" / ",TRUE,UNIQUE(FILTER(소재DB_RAW!$N$3:$N$2000,소재DB_RAW!$G$3:$G$2000=$D183))),"")</f>
        <v/>
      </c>
      <c r="Y183" s="26">
        <f>IFERROR(TEXTJOIN(CHAR(10),TRUE,UNIQUE(FILTER(소재DB_RAW!$N$3:$N$2000&amp;") "&amp;소재DB_RAW!$O$3:$O$2000,(소재DB_RAW!$G$3:$G$2000=$D183)*ISNUMBER(SEARCH("겉감",소재DB_RAW!$M$3:$M$2000))))),"")</f>
        <v/>
      </c>
      <c r="Z183" s="26">
        <f>IFERROR(TEXTJOIN(CHAR(10),TRUE,UNIQUE(FILTER(소재DB_RAW!$N$3:$N$2000&amp;") "&amp;소재DB_RAW!$O$3:$O$2000,(소재DB_RAW!$G$3:$G$2000=$D183)*ISNUMBER(SEARCH("안감",소재DB_RAW!$M$3:$M$2000))))),"")</f>
        <v/>
      </c>
      <c r="AA183" s="27" t="n">
        <v>1600</v>
      </c>
      <c r="AB183" s="27" t="n">
        <v>30280000</v>
      </c>
      <c r="AC183" s="27" t="n">
        <v>188800000</v>
      </c>
      <c r="AD183" s="20" t="inlineStr">
        <is>
          <t>2월4주</t>
        </is>
      </c>
      <c r="AE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F183" s="19">
        <f>IF($K183="","",IF(OR(LEFT($AE183,2)="작지",LEFT($AE183,4)="소재입고"),IF(LEFT($G183,1)="S","★ 납기위험(S코드)","◆ 지연주의"),IF($AE183="정상","✓ 정상","? 확인필요")))</f>
        <v/>
      </c>
      <c r="AG183" s="21" t="n"/>
      <c r="AH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21" t="inlineStr">
        <is>
          <t>O</t>
        </is>
      </c>
      <c r="R184" s="21" t="inlineStr">
        <is>
          <t>X</t>
        </is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>
        <f>IFERROR(TEXTJOIN(" / ",TRUE,UNIQUE(FILTER(소재DB_RAW!$K$3:$K$2000,소재DB_RAW!$G$3:$G$2000=$D184))),"")</f>
        <v/>
      </c>
      <c r="W184" s="20" t="inlineStr">
        <is>
          <t>베트남</t>
        </is>
      </c>
      <c r="X184" s="20">
        <f>IFERROR(TEXTJOIN(" / ",TRUE,UNIQUE(FILTER(소재DB_RAW!$N$3:$N$2000,소재DB_RAW!$G$3:$G$2000=$D184))),"")</f>
        <v/>
      </c>
      <c r="Y184" s="26">
        <f>IFERROR(TEXTJOIN(CHAR(10),TRUE,UNIQUE(FILTER(소재DB_RAW!$N$3:$N$2000&amp;") "&amp;소재DB_RAW!$O$3:$O$2000,(소재DB_RAW!$G$3:$G$2000=$D184)*ISNUMBER(SEARCH("겉감",소재DB_RAW!$M$3:$M$2000))))),"")</f>
        <v/>
      </c>
      <c r="Z184" s="26">
        <f>IFERROR(TEXTJOIN(CHAR(10),TRUE,UNIQUE(FILTER(소재DB_RAW!$N$3:$N$2000&amp;") "&amp;소재DB_RAW!$O$3:$O$2000,(소재DB_RAW!$G$3:$G$2000=$D184)*ISNUMBER(SEARCH("안감",소재DB_RAW!$M$3:$M$2000))))),"")</f>
        <v/>
      </c>
      <c r="AA184" s="27" t="n">
        <v>3000</v>
      </c>
      <c r="AB184" s="27" t="n">
        <v>158886000</v>
      </c>
      <c r="AC184" s="27" t="n">
        <v>750000000</v>
      </c>
      <c r="AD184" s="20" t="n"/>
      <c r="AE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F184" s="19">
        <f>IF($K184="","",IF(OR(LEFT($AE184,2)="작지",LEFT($AE184,4)="소재입고"),IF(LEFT($G184,1)="S","★ 납기위험(S코드)","◆ 지연주의"),IF($AE184="정상","✓ 정상","? 확인필요")))</f>
        <v/>
      </c>
      <c r="AG184" s="21" t="n"/>
      <c r="AH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21" t="inlineStr">
        <is>
          <t>O</t>
        </is>
      </c>
      <c r="R185" s="21" t="n"/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>
        <f>IFERROR(TEXTJOIN(" / ",TRUE,UNIQUE(FILTER(소재DB_RAW!$K$3:$K$2000,소재DB_RAW!$G$3:$G$2000=$D185))),"")</f>
        <v/>
      </c>
      <c r="W185" s="20" t="inlineStr"/>
      <c r="X185" s="20">
        <f>IFERROR(TEXTJOIN(" / ",TRUE,UNIQUE(FILTER(소재DB_RAW!$N$3:$N$2000,소재DB_RAW!$G$3:$G$2000=$D185))),"")</f>
        <v/>
      </c>
      <c r="Y185" s="26">
        <f>IFERROR(TEXTJOIN(CHAR(10),TRUE,UNIQUE(FILTER(소재DB_RAW!$N$3:$N$2000&amp;") "&amp;소재DB_RAW!$O$3:$O$2000,(소재DB_RAW!$G$3:$G$2000=$D185)*ISNUMBER(SEARCH("겉감",소재DB_RAW!$M$3:$M$2000))))),"")</f>
        <v/>
      </c>
      <c r="Z185" s="26">
        <f>IFERROR(TEXTJOIN(CHAR(10),TRUE,UNIQUE(FILTER(소재DB_RAW!$N$3:$N$2000&amp;") "&amp;소재DB_RAW!$O$3:$O$2000,(소재DB_RAW!$G$3:$G$2000=$D185)*ISNUMBER(SEARCH("안감",소재DB_RAW!$M$3:$M$2000))))),"")</f>
        <v/>
      </c>
      <c r="AA185" s="27" t="n">
        <v>3000</v>
      </c>
      <c r="AB185" s="27" t="n">
        <v>120000000</v>
      </c>
      <c r="AC185" s="27" t="n">
        <v>594000000</v>
      </c>
      <c r="AD185" s="20" t="inlineStr">
        <is>
          <t>2월4주</t>
        </is>
      </c>
      <c r="AE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F185" s="19">
        <f>IF($K185="","",IF(OR(LEFT($AE185,2)="작지",LEFT($AE185,4)="소재입고"),IF(LEFT($G185,1)="S","★ 납기위험(S코드)","◆ 지연주의"),IF($AE185="정상","✓ 정상","? 확인필요")))</f>
        <v/>
      </c>
      <c r="AG185" s="21" t="n"/>
      <c r="AH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21" t="inlineStr">
        <is>
          <t>O</t>
        </is>
      </c>
      <c r="R186" s="21" t="inlineStr">
        <is>
          <t>X</t>
        </is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>
        <f>IFERROR(TEXTJOIN(" / ",TRUE,UNIQUE(FILTER(소재DB_RAW!$K$3:$K$2000,소재DB_RAW!$G$3:$G$2000=$D186))),"")</f>
        <v/>
      </c>
      <c r="W186" s="20" t="inlineStr">
        <is>
          <t>중국</t>
        </is>
      </c>
      <c r="X186" s="20">
        <f>IFERROR(TEXTJOIN(" / ",TRUE,UNIQUE(FILTER(소재DB_RAW!$N$3:$N$2000,소재DB_RAW!$G$3:$G$2000=$D186))),"")</f>
        <v/>
      </c>
      <c r="Y186" s="26">
        <f>IFERROR(TEXTJOIN(CHAR(10),TRUE,UNIQUE(FILTER(소재DB_RAW!$N$3:$N$2000&amp;") "&amp;소재DB_RAW!$O$3:$O$2000,(소재DB_RAW!$G$3:$G$2000=$D186)*ISNUMBER(SEARCH("겉감",소재DB_RAW!$M$3:$M$2000))))),"")</f>
        <v/>
      </c>
      <c r="Z186" s="26">
        <f>IFERROR(TEXTJOIN(CHAR(10),TRUE,UNIQUE(FILTER(소재DB_RAW!$N$3:$N$2000&amp;") "&amp;소재DB_RAW!$O$3:$O$2000,(소재DB_RAW!$G$3:$G$2000=$D186)*ISNUMBER(SEARCH("안감",소재DB_RAW!$M$3:$M$2000))))),"")</f>
        <v/>
      </c>
      <c r="AA186" s="27" t="n">
        <v>9500</v>
      </c>
      <c r="AB186" s="27" t="n">
        <v>162868000</v>
      </c>
      <c r="AC186" s="27" t="n">
        <v>1026000000</v>
      </c>
      <c r="AD186" s="20" t="inlineStr">
        <is>
          <t>2월4주</t>
        </is>
      </c>
      <c r="AE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F186" s="19">
        <f>IF($K186="","",IF(OR(LEFT($AE186,2)="작지",LEFT($AE186,4)="소재입고"),IF(LEFT($G186,1)="S","★ 납기위험(S코드)","◆ 지연주의"),IF($AE186="정상","✓ 정상","? 확인필요")))</f>
        <v/>
      </c>
      <c r="AG186" s="21" t="n"/>
      <c r="AH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21" t="inlineStr">
        <is>
          <t>O</t>
        </is>
      </c>
      <c r="R187" s="21" t="inlineStr">
        <is>
          <t>X</t>
        </is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>
        <f>IFERROR(TEXTJOIN(" / ",TRUE,UNIQUE(FILTER(소재DB_RAW!$K$3:$K$2000,소재DB_RAW!$G$3:$G$2000=$D187))),"")</f>
        <v/>
      </c>
      <c r="W187" s="20" t="inlineStr"/>
      <c r="X187" s="20">
        <f>IFERROR(TEXTJOIN(" / ",TRUE,UNIQUE(FILTER(소재DB_RAW!$N$3:$N$2000,소재DB_RAW!$G$3:$G$2000=$D187))),"")</f>
        <v/>
      </c>
      <c r="Y187" s="26">
        <f>IFERROR(TEXTJOIN(CHAR(10),TRUE,UNIQUE(FILTER(소재DB_RAW!$N$3:$N$2000&amp;") "&amp;소재DB_RAW!$O$3:$O$2000,(소재DB_RAW!$G$3:$G$2000=$D187)*ISNUMBER(SEARCH("겉감",소재DB_RAW!$M$3:$M$2000))))),"")</f>
        <v/>
      </c>
      <c r="Z187" s="26">
        <f>IFERROR(TEXTJOIN(CHAR(10),TRUE,UNIQUE(FILTER(소재DB_RAW!$N$3:$N$2000&amp;") "&amp;소재DB_RAW!$O$3:$O$2000,(소재DB_RAW!$G$3:$G$2000=$D187)*ISNUMBER(SEARCH("안감",소재DB_RAW!$M$3:$M$2000))))),"")</f>
        <v/>
      </c>
      <c r="AA187" s="27" t="n">
        <v>1800</v>
      </c>
      <c r="AB187" s="27" t="n">
        <v>95065200</v>
      </c>
      <c r="AC187" s="27" t="n">
        <v>450000000</v>
      </c>
      <c r="AD187" s="20" t="inlineStr">
        <is>
          <t>3월1주</t>
        </is>
      </c>
      <c r="AE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F187" s="19">
        <f>IF($K187="","",IF(OR(LEFT($AE187,2)="작지",LEFT($AE187,4)="소재입고"),IF(LEFT($G187,1)="S","★ 납기위험(S코드)","◆ 지연주의"),IF($AE187="정상","✓ 정상","? 확인필요")))</f>
        <v/>
      </c>
      <c r="AG187" s="21" t="n"/>
      <c r="AH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21" t="inlineStr">
        <is>
          <t>O</t>
        </is>
      </c>
      <c r="R188" s="21" t="inlineStr">
        <is>
          <t>X</t>
        </is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>
        <f>IFERROR(TEXTJOIN(" / ",TRUE,UNIQUE(FILTER(소재DB_RAW!$K$3:$K$2000,소재DB_RAW!$G$3:$G$2000=$D188))),"")</f>
        <v/>
      </c>
      <c r="W188" s="20" t="inlineStr"/>
      <c r="X188" s="20">
        <f>IFERROR(TEXTJOIN(" / ",TRUE,UNIQUE(FILTER(소재DB_RAW!$N$3:$N$2000,소재DB_RAW!$G$3:$G$2000=$D188))),"")</f>
        <v/>
      </c>
      <c r="Y188" s="26">
        <f>IFERROR(TEXTJOIN(CHAR(10),TRUE,UNIQUE(FILTER(소재DB_RAW!$N$3:$N$2000&amp;") "&amp;소재DB_RAW!$O$3:$O$2000,(소재DB_RAW!$G$3:$G$2000=$D188)*ISNUMBER(SEARCH("겉감",소재DB_RAW!$M$3:$M$2000))))),"")</f>
        <v/>
      </c>
      <c r="Z188" s="26">
        <f>IFERROR(TEXTJOIN(CHAR(10),TRUE,UNIQUE(FILTER(소재DB_RAW!$N$3:$N$2000&amp;") "&amp;소재DB_RAW!$O$3:$O$2000,(소재DB_RAW!$G$3:$G$2000=$D188)*ISNUMBER(SEARCH("안감",소재DB_RAW!$M$3:$M$2000))))),"")</f>
        <v/>
      </c>
      <c r="AA188" s="27" t="n">
        <v>6500</v>
      </c>
      <c r="AB188" s="27" t="n">
        <v>292500000</v>
      </c>
      <c r="AC188" s="27" t="n">
        <v>1430000000</v>
      </c>
      <c r="AD188" s="20" t="inlineStr">
        <is>
          <t>3월1주</t>
        </is>
      </c>
      <c r="AE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F188" s="19">
        <f>IF($K188="","",IF(OR(LEFT($AE188,2)="작지",LEFT($AE188,4)="소재입고"),IF(LEFT($G188,1)="S","★ 납기위험(S코드)","◆ 지연주의"),IF($AE188="정상","✓ 정상","? 확인필요")))</f>
        <v/>
      </c>
      <c r="AG188" s="21" t="n"/>
      <c r="AH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21" t="inlineStr">
        <is>
          <t>O</t>
        </is>
      </c>
      <c r="R189" s="21" t="inlineStr">
        <is>
          <t>X</t>
        </is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>
        <f>IFERROR(TEXTJOIN(" / ",TRUE,UNIQUE(FILTER(소재DB_RAW!$K$3:$K$2000,소재DB_RAW!$G$3:$G$2000=$D189))),"")</f>
        <v/>
      </c>
      <c r="W189" s="20" t="inlineStr">
        <is>
          <t>인도네시아</t>
        </is>
      </c>
      <c r="X189" s="20">
        <f>IFERROR(TEXTJOIN(" / ",TRUE,UNIQUE(FILTER(소재DB_RAW!$N$3:$N$2000,소재DB_RAW!$G$3:$G$2000=$D189))),"")</f>
        <v/>
      </c>
      <c r="Y189" s="26">
        <f>IFERROR(TEXTJOIN(CHAR(10),TRUE,UNIQUE(FILTER(소재DB_RAW!$N$3:$N$2000&amp;") "&amp;소재DB_RAW!$O$3:$O$2000,(소재DB_RAW!$G$3:$G$2000=$D189)*ISNUMBER(SEARCH("겉감",소재DB_RAW!$M$3:$M$2000))))),"")</f>
        <v/>
      </c>
      <c r="Z189" s="26">
        <f>IFERROR(TEXTJOIN(CHAR(10),TRUE,UNIQUE(FILTER(소재DB_RAW!$N$3:$N$2000&amp;") "&amp;소재DB_RAW!$O$3:$O$2000,(소재DB_RAW!$G$3:$G$2000=$D189)*ISNUMBER(SEARCH("안감",소재DB_RAW!$M$3:$M$2000))))),"")</f>
        <v/>
      </c>
      <c r="AA189" s="27" t="n">
        <v>1600</v>
      </c>
      <c r="AB189" s="27" t="n">
        <v>92974400</v>
      </c>
      <c r="AC189" s="27" t="n">
        <v>432000000</v>
      </c>
      <c r="AD189" s="20" t="n"/>
      <c r="AE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F189" s="19">
        <f>IF($K189="","",IF(OR(LEFT($AE189,2)="작지",LEFT($AE189,4)="소재입고"),IF(LEFT($G189,1)="S","★ 납기위험(S코드)","◆ 지연주의"),IF($AE189="정상","✓ 정상","? 확인필요")))</f>
        <v/>
      </c>
      <c r="AG189" s="21" t="n"/>
      <c r="AH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21" t="inlineStr">
        <is>
          <t>O</t>
        </is>
      </c>
      <c r="R190" s="21" t="inlineStr">
        <is>
          <t>X</t>
        </is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>
        <f>IFERROR(TEXTJOIN(" / ",TRUE,UNIQUE(FILTER(소재DB_RAW!$K$3:$K$2000,소재DB_RAW!$G$3:$G$2000=$D190))),"")</f>
        <v/>
      </c>
      <c r="W190" s="20" t="inlineStr">
        <is>
          <t>인도네시아</t>
        </is>
      </c>
      <c r="X190" s="20">
        <f>IFERROR(TEXTJOIN(" / ",TRUE,UNIQUE(FILTER(소재DB_RAW!$N$3:$N$2000,소재DB_RAW!$G$3:$G$2000=$D190))),"")</f>
        <v/>
      </c>
      <c r="Y190" s="26">
        <f>IFERROR(TEXTJOIN(CHAR(10),TRUE,UNIQUE(FILTER(소재DB_RAW!$N$3:$N$2000&amp;") "&amp;소재DB_RAW!$O$3:$O$2000,(소재DB_RAW!$G$3:$G$2000=$D190)*ISNUMBER(SEARCH("겉감",소재DB_RAW!$M$3:$M$2000))))),"")</f>
        <v/>
      </c>
      <c r="Z190" s="26">
        <f>IFERROR(TEXTJOIN(CHAR(10),TRUE,UNIQUE(FILTER(소재DB_RAW!$N$3:$N$2000&amp;") "&amp;소재DB_RAW!$O$3:$O$2000,(소재DB_RAW!$G$3:$G$2000=$D190)*ISNUMBER(SEARCH("안감",소재DB_RAW!$M$3:$M$2000))))),"")</f>
        <v/>
      </c>
      <c r="AA190" s="27" t="n">
        <v>4000</v>
      </c>
      <c r="AB190" s="27" t="n">
        <v>55224000</v>
      </c>
      <c r="AC190" s="27" t="n">
        <v>352000000</v>
      </c>
      <c r="AD190" s="20" t="inlineStr">
        <is>
          <t>3월1주</t>
        </is>
      </c>
      <c r="AE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F190" s="19">
        <f>IF($K190="","",IF(OR(LEFT($AE190,2)="작지",LEFT($AE190,4)="소재입고"),IF(LEFT($G190,1)="S","★ 납기위험(S코드)","◆ 지연주의"),IF($AE190="정상","✓ 정상","? 확인필요")))</f>
        <v/>
      </c>
      <c r="AG190" s="21" t="n"/>
      <c r="AH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21" t="inlineStr">
        <is>
          <t>O</t>
        </is>
      </c>
      <c r="R191" s="21" t="inlineStr">
        <is>
          <t>X</t>
        </is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>
        <f>IFERROR(TEXTJOIN(" / ",TRUE,UNIQUE(FILTER(소재DB_RAW!$K$3:$K$2000,소재DB_RAW!$G$3:$G$2000=$D191))),"")</f>
        <v/>
      </c>
      <c r="W191" s="20" t="inlineStr">
        <is>
          <t>인도네시아</t>
        </is>
      </c>
      <c r="X191" s="20">
        <f>IFERROR(TEXTJOIN(" / ",TRUE,UNIQUE(FILTER(소재DB_RAW!$N$3:$N$2000,소재DB_RAW!$G$3:$G$2000=$D191))),"")</f>
        <v/>
      </c>
      <c r="Y191" s="26">
        <f>IFERROR(TEXTJOIN(CHAR(10),TRUE,UNIQUE(FILTER(소재DB_RAW!$N$3:$N$2000&amp;") "&amp;소재DB_RAW!$O$3:$O$2000,(소재DB_RAW!$G$3:$G$2000=$D191)*ISNUMBER(SEARCH("겉감",소재DB_RAW!$M$3:$M$2000))))),"")</f>
        <v/>
      </c>
      <c r="Z191" s="26">
        <f>IFERROR(TEXTJOIN(CHAR(10),TRUE,UNIQUE(FILTER(소재DB_RAW!$N$3:$N$2000&amp;") "&amp;소재DB_RAW!$O$3:$O$2000,(소재DB_RAW!$G$3:$G$2000=$D191)*ISNUMBER(SEARCH("안감",소재DB_RAW!$M$3:$M$2000))))),"")</f>
        <v/>
      </c>
      <c r="AA191" s="27" t="n">
        <v>4000</v>
      </c>
      <c r="AB191" s="27" t="n">
        <v>46872000</v>
      </c>
      <c r="AC191" s="27" t="n">
        <v>312000000</v>
      </c>
      <c r="AD191" s="20" t="inlineStr">
        <is>
          <t>3월1주</t>
        </is>
      </c>
      <c r="AE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F191" s="19">
        <f>IF($K191="","",IF(OR(LEFT($AE191,2)="작지",LEFT($AE191,4)="소재입고"),IF(LEFT($G191,1)="S","★ 납기위험(S코드)","◆ 지연주의"),IF($AE191="정상","✓ 정상","? 확인필요")))</f>
        <v/>
      </c>
      <c r="AG191" s="21" t="n"/>
      <c r="AH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21" t="inlineStr">
        <is>
          <t>O</t>
        </is>
      </c>
      <c r="R192" s="21" t="inlineStr">
        <is>
          <t>X</t>
        </is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>
        <f>IFERROR(TEXTJOIN(" / ",TRUE,UNIQUE(FILTER(소재DB_RAW!$K$3:$K$2000,소재DB_RAW!$G$3:$G$2000=$D192))),"")</f>
        <v/>
      </c>
      <c r="W192" s="20" t="inlineStr">
        <is>
          <t>베트남</t>
        </is>
      </c>
      <c r="X192" s="20">
        <f>IFERROR(TEXTJOIN(" / ",TRUE,UNIQUE(FILTER(소재DB_RAW!$N$3:$N$2000,소재DB_RAW!$G$3:$G$2000=$D192))),"")</f>
        <v/>
      </c>
      <c r="Y192" s="26">
        <f>IFERROR(TEXTJOIN(CHAR(10),TRUE,UNIQUE(FILTER(소재DB_RAW!$N$3:$N$2000&amp;") "&amp;소재DB_RAW!$O$3:$O$2000,(소재DB_RAW!$G$3:$G$2000=$D192)*ISNUMBER(SEARCH("겉감",소재DB_RAW!$M$3:$M$2000))))),"")</f>
        <v/>
      </c>
      <c r="Z192" s="26">
        <f>IFERROR(TEXTJOIN(CHAR(10),TRUE,UNIQUE(FILTER(소재DB_RAW!$N$3:$N$2000&amp;") "&amp;소재DB_RAW!$O$3:$O$2000,(소재DB_RAW!$G$3:$G$2000=$D192)*ISNUMBER(SEARCH("안감",소재DB_RAW!$M$3:$M$2000))))),"")</f>
        <v/>
      </c>
      <c r="AA192" s="27" t="n">
        <v>3000</v>
      </c>
      <c r="AB192" s="27" t="n">
        <v>51627000</v>
      </c>
      <c r="AC192" s="27" t="n">
        <v>234000000</v>
      </c>
      <c r="AD192" s="20" t="inlineStr">
        <is>
          <t>3월1주</t>
        </is>
      </c>
      <c r="AE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F192" s="19">
        <f>IF($K192="","",IF(OR(LEFT($AE192,2)="작지",LEFT($AE192,4)="소재입고"),IF(LEFT($G192,1)="S","★ 납기위험(S코드)","◆ 지연주의"),IF($AE192="정상","✓ 정상","? 확인필요")))</f>
        <v/>
      </c>
      <c r="AG192" s="21" t="n"/>
      <c r="AH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21" t="inlineStr">
        <is>
          <t>O</t>
        </is>
      </c>
      <c r="R193" s="21" t="inlineStr">
        <is>
          <t>X</t>
        </is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>
        <f>IFERROR(TEXTJOIN(" / ",TRUE,UNIQUE(FILTER(소재DB_RAW!$K$3:$K$2000,소재DB_RAW!$G$3:$G$2000=$D193))),"")</f>
        <v/>
      </c>
      <c r="W193" s="20" t="inlineStr">
        <is>
          <t>미얀마</t>
        </is>
      </c>
      <c r="X193" s="20">
        <f>IFERROR(TEXTJOIN(" / ",TRUE,UNIQUE(FILTER(소재DB_RAW!$N$3:$N$2000,소재DB_RAW!$G$3:$G$2000=$D193))),"")</f>
        <v/>
      </c>
      <c r="Y193" s="26">
        <f>IFERROR(TEXTJOIN(CHAR(10),TRUE,UNIQUE(FILTER(소재DB_RAW!$N$3:$N$2000&amp;") "&amp;소재DB_RAW!$O$3:$O$2000,(소재DB_RAW!$G$3:$G$2000=$D193)*ISNUMBER(SEARCH("겉감",소재DB_RAW!$M$3:$M$2000))))),"")</f>
        <v/>
      </c>
      <c r="Z193" s="26">
        <f>IFERROR(TEXTJOIN(CHAR(10),TRUE,UNIQUE(FILTER(소재DB_RAW!$N$3:$N$2000&amp;") "&amp;소재DB_RAW!$O$3:$O$2000,(소재DB_RAW!$G$3:$G$2000=$D193)*ISNUMBER(SEARCH("안감",소재DB_RAW!$M$3:$M$2000))))),"")</f>
        <v/>
      </c>
      <c r="AA193" s="27" t="n">
        <v>3200</v>
      </c>
      <c r="AB193" s="27" t="n">
        <v>158576000</v>
      </c>
      <c r="AC193" s="27" t="n">
        <v>740000000</v>
      </c>
      <c r="AD193" s="20" t="inlineStr">
        <is>
          <t>3월1주</t>
        </is>
      </c>
      <c r="AE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F193" s="19">
        <f>IF($K193="","",IF(OR(LEFT($AE193,2)="작지",LEFT($AE193,4)="소재입고"),IF(LEFT($G193,1)="S","★ 납기위험(S코드)","◆ 지연주의"),IF($AE193="정상","✓ 정상","? 확인필요")))</f>
        <v/>
      </c>
      <c r="AG193" s="21" t="n"/>
      <c r="AH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21" t="inlineStr">
        <is>
          <t>O</t>
        </is>
      </c>
      <c r="R194" s="21" t="inlineStr">
        <is>
          <t>X</t>
        </is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>
        <f>IFERROR(TEXTJOIN(" / ",TRUE,UNIQUE(FILTER(소재DB_RAW!$K$3:$K$2000,소재DB_RAW!$G$3:$G$2000=$D194))),"")</f>
        <v/>
      </c>
      <c r="W194" s="20" t="inlineStr">
        <is>
          <t>베트남</t>
        </is>
      </c>
      <c r="X194" s="20">
        <f>IFERROR(TEXTJOIN(" / ",TRUE,UNIQUE(FILTER(소재DB_RAW!$N$3:$N$2000,소재DB_RAW!$G$3:$G$2000=$D194))),"")</f>
        <v/>
      </c>
      <c r="Y194" s="26">
        <f>IFERROR(TEXTJOIN(CHAR(10),TRUE,UNIQUE(FILTER(소재DB_RAW!$N$3:$N$2000&amp;") "&amp;소재DB_RAW!$O$3:$O$2000,(소재DB_RAW!$G$3:$G$2000=$D194)*ISNUMBER(SEARCH("겉감",소재DB_RAW!$M$3:$M$2000))))),"")</f>
        <v/>
      </c>
      <c r="Z194" s="26">
        <f>IFERROR(TEXTJOIN(CHAR(10),TRUE,UNIQUE(FILTER(소재DB_RAW!$N$3:$N$2000&amp;") "&amp;소재DB_RAW!$O$3:$O$2000,(소재DB_RAW!$G$3:$G$2000=$D194)*ISNUMBER(SEARCH("안감",소재DB_RAW!$M$3:$M$2000))))),"")</f>
        <v/>
      </c>
      <c r="AA194" s="27" t="n">
        <v>250</v>
      </c>
      <c r="AB194" s="27" t="n">
        <v>26584750</v>
      </c>
      <c r="AC194" s="27" t="n">
        <v>97500000</v>
      </c>
      <c r="AD194" s="20" t="n"/>
      <c r="AE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F194" s="19">
        <f>IF($K194="","",IF(OR(LEFT($AE194,2)="작지",LEFT($AE194,4)="소재입고"),IF(LEFT($G194,1)="S","★ 납기위험(S코드)","◆ 지연주의"),IF($AE194="정상","✓ 정상","? 확인필요")))</f>
        <v/>
      </c>
      <c r="AG194" s="21" t="n"/>
      <c r="AH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21" t="inlineStr">
        <is>
          <t>O</t>
        </is>
      </c>
      <c r="R195" s="21" t="inlineStr">
        <is>
          <t>X</t>
        </is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>
        <f>IFERROR(TEXTJOIN(" / ",TRUE,UNIQUE(FILTER(소재DB_RAW!$K$3:$K$2000,소재DB_RAW!$G$3:$G$2000=$D195))),"")</f>
        <v/>
      </c>
      <c r="W195" s="20" t="inlineStr">
        <is>
          <t>베트남</t>
        </is>
      </c>
      <c r="X195" s="20">
        <f>IFERROR(TEXTJOIN(" / ",TRUE,UNIQUE(FILTER(소재DB_RAW!$N$3:$N$2000,소재DB_RAW!$G$3:$G$2000=$D195))),"")</f>
        <v/>
      </c>
      <c r="Y195" s="26">
        <f>IFERROR(TEXTJOIN(CHAR(10),TRUE,UNIQUE(FILTER(소재DB_RAW!$N$3:$N$2000&amp;") "&amp;소재DB_RAW!$O$3:$O$2000,(소재DB_RAW!$G$3:$G$2000=$D195)*ISNUMBER(SEARCH("겉감",소재DB_RAW!$M$3:$M$2000))))),"")</f>
        <v/>
      </c>
      <c r="Z195" s="26">
        <f>IFERROR(TEXTJOIN(CHAR(10),TRUE,UNIQUE(FILTER(소재DB_RAW!$N$3:$N$2000&amp;") "&amp;소재DB_RAW!$O$3:$O$2000,(소재DB_RAW!$G$3:$G$2000=$D195)*ISNUMBER(SEARCH("안감",소재DB_RAW!$M$3:$M$2000))))),"")</f>
        <v/>
      </c>
      <c r="AA195" s="27" t="n">
        <v>250</v>
      </c>
      <c r="AB195" s="27" t="n">
        <v>13647750</v>
      </c>
      <c r="AC195" s="27" t="n">
        <v>55000000</v>
      </c>
      <c r="AD195" s="20" t="n"/>
      <c r="AE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F195" s="19">
        <f>IF($K195="","",IF(OR(LEFT($AE195,2)="작지",LEFT($AE195,4)="소재입고"),IF(LEFT($G195,1)="S","★ 납기위험(S코드)","◆ 지연주의"),IF($AE195="정상","✓ 정상","? 확인필요")))</f>
        <v/>
      </c>
      <c r="AG195" s="21" t="n"/>
      <c r="AH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21" t="inlineStr">
        <is>
          <t>O</t>
        </is>
      </c>
      <c r="R196" s="21" t="inlineStr">
        <is>
          <t>X</t>
        </is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>
        <f>IFERROR(TEXTJOIN(" / ",TRUE,UNIQUE(FILTER(소재DB_RAW!$K$3:$K$2000,소재DB_RAW!$G$3:$G$2000=$D196))),"")</f>
        <v/>
      </c>
      <c r="W196" s="20" t="inlineStr">
        <is>
          <t>베트남</t>
        </is>
      </c>
      <c r="X196" s="20">
        <f>IFERROR(TEXTJOIN(" / ",TRUE,UNIQUE(FILTER(소재DB_RAW!$N$3:$N$2000,소재DB_RAW!$G$3:$G$2000=$D196))),"")</f>
        <v/>
      </c>
      <c r="Y196" s="26">
        <f>IFERROR(TEXTJOIN(CHAR(10),TRUE,UNIQUE(FILTER(소재DB_RAW!$N$3:$N$2000&amp;") "&amp;소재DB_RAW!$O$3:$O$2000,(소재DB_RAW!$G$3:$G$2000=$D196)*ISNUMBER(SEARCH("겉감",소재DB_RAW!$M$3:$M$2000))))),"")</f>
        <v/>
      </c>
      <c r="Z196" s="26">
        <f>IFERROR(TEXTJOIN(CHAR(10),TRUE,UNIQUE(FILTER(소재DB_RAW!$N$3:$N$2000&amp;") "&amp;소재DB_RAW!$O$3:$O$2000,(소재DB_RAW!$G$3:$G$2000=$D196)*ISNUMBER(SEARCH("안감",소재DB_RAW!$M$3:$M$2000))))),"")</f>
        <v/>
      </c>
      <c r="AA196" s="27" t="n">
        <v>400</v>
      </c>
      <c r="AB196" s="27" t="n">
        <v>11000000</v>
      </c>
      <c r="AC196" s="27" t="n">
        <v>47200000</v>
      </c>
      <c r="AD196" s="20" t="n"/>
      <c r="AE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F196" s="19">
        <f>IF($K196="","",IF(OR(LEFT($AE196,2)="작지",LEFT($AE196,4)="소재입고"),IF(LEFT($G196,1)="S","★ 납기위험(S코드)","◆ 지연주의"),IF($AE196="정상","✓ 정상","? 확인필요")))</f>
        <v/>
      </c>
      <c r="AG196" s="21" t="n"/>
      <c r="AH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21" t="inlineStr">
        <is>
          <t>O</t>
        </is>
      </c>
      <c r="R197" s="21" t="inlineStr">
        <is>
          <t>X</t>
        </is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>
        <f>IFERROR(TEXTJOIN(" / ",TRUE,UNIQUE(FILTER(소재DB_RAW!$K$3:$K$2000,소재DB_RAW!$G$3:$G$2000=$D197))),"")</f>
        <v/>
      </c>
      <c r="W197" s="20" t="inlineStr">
        <is>
          <t>베트남</t>
        </is>
      </c>
      <c r="X197" s="20">
        <f>IFERROR(TEXTJOIN(" / ",TRUE,UNIQUE(FILTER(소재DB_RAW!$N$3:$N$2000,소재DB_RAW!$G$3:$G$2000=$D197))),"")</f>
        <v/>
      </c>
      <c r="Y197" s="26">
        <f>IFERROR(TEXTJOIN(CHAR(10),TRUE,UNIQUE(FILTER(소재DB_RAW!$N$3:$N$2000&amp;") "&amp;소재DB_RAW!$O$3:$O$2000,(소재DB_RAW!$G$3:$G$2000=$D197)*ISNUMBER(SEARCH("겉감",소재DB_RAW!$M$3:$M$2000))))),"")</f>
        <v/>
      </c>
      <c r="Z197" s="26">
        <f>IFERROR(TEXTJOIN(CHAR(10),TRUE,UNIQUE(FILTER(소재DB_RAW!$N$3:$N$2000&amp;") "&amp;소재DB_RAW!$O$3:$O$2000,(소재DB_RAW!$G$3:$G$2000=$D197)*ISNUMBER(SEARCH("안감",소재DB_RAW!$M$3:$M$2000))))),"")</f>
        <v/>
      </c>
      <c r="AA197" s="27" t="n">
        <v>900</v>
      </c>
      <c r="AB197" s="27" t="n">
        <v>28644300</v>
      </c>
      <c r="AC197" s="27" t="n">
        <v>124200000</v>
      </c>
      <c r="AD197" s="20" t="n"/>
      <c r="AE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F197" s="19">
        <f>IF($K197="","",IF(OR(LEFT($AE197,2)="작지",LEFT($AE197,4)="소재입고"),IF(LEFT($G197,1)="S","★ 납기위험(S코드)","◆ 지연주의"),IF($AE197="정상","✓ 정상","? 확인필요")))</f>
        <v/>
      </c>
      <c r="AG197" s="21" t="n"/>
      <c r="AH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21" t="inlineStr">
        <is>
          <t>O</t>
        </is>
      </c>
      <c r="R198" s="21" t="inlineStr">
        <is>
          <t>X</t>
        </is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>
        <f>IFERROR(TEXTJOIN(" / ",TRUE,UNIQUE(FILTER(소재DB_RAW!$K$3:$K$2000,소재DB_RAW!$G$3:$G$2000=$D198))),"")</f>
        <v/>
      </c>
      <c r="W198" s="20" t="inlineStr">
        <is>
          <t>베트남</t>
        </is>
      </c>
      <c r="X198" s="20">
        <f>IFERROR(TEXTJOIN(" / ",TRUE,UNIQUE(FILTER(소재DB_RAW!$N$3:$N$2000,소재DB_RAW!$G$3:$G$2000=$D198))),"")</f>
        <v/>
      </c>
      <c r="Y198" s="26">
        <f>IFERROR(TEXTJOIN(CHAR(10),TRUE,UNIQUE(FILTER(소재DB_RAW!$N$3:$N$2000&amp;") "&amp;소재DB_RAW!$O$3:$O$2000,(소재DB_RAW!$G$3:$G$2000=$D198)*ISNUMBER(SEARCH("겉감",소재DB_RAW!$M$3:$M$2000))))),"")</f>
        <v/>
      </c>
      <c r="Z198" s="26">
        <f>IFERROR(TEXTJOIN(CHAR(10),TRUE,UNIQUE(FILTER(소재DB_RAW!$N$3:$N$2000&amp;") "&amp;소재DB_RAW!$O$3:$O$2000,(소재DB_RAW!$G$3:$G$2000=$D198)*ISNUMBER(SEARCH("안감",소재DB_RAW!$M$3:$M$2000))))),"")</f>
        <v/>
      </c>
      <c r="AA198" s="27" t="n">
        <v>350</v>
      </c>
      <c r="AB198" s="27" t="n">
        <v>10039050</v>
      </c>
      <c r="AC198" s="27" t="n">
        <v>44800000</v>
      </c>
      <c r="AD198" s="20" t="n"/>
      <c r="AE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F198" s="19">
        <f>IF($K198="","",IF(OR(LEFT($AE198,2)="작지",LEFT($AE198,4)="소재입고"),IF(LEFT($G198,1)="S","★ 납기위험(S코드)","◆ 지연주의"),IF($AE198="정상","✓ 정상","? 확인필요")))</f>
        <v/>
      </c>
      <c r="AG198" s="21" t="n"/>
      <c r="AH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21" t="inlineStr">
        <is>
          <t>O</t>
        </is>
      </c>
      <c r="R199" s="21" t="inlineStr">
        <is>
          <t>X</t>
        </is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>
        <f>IFERROR(TEXTJOIN(" / ",TRUE,UNIQUE(FILTER(소재DB_RAW!$K$3:$K$2000,소재DB_RAW!$G$3:$G$2000=$D199))),"")</f>
        <v/>
      </c>
      <c r="W199" s="20" t="inlineStr">
        <is>
          <t>베트남</t>
        </is>
      </c>
      <c r="X199" s="20">
        <f>IFERROR(TEXTJOIN(" / ",TRUE,UNIQUE(FILTER(소재DB_RAW!$N$3:$N$2000,소재DB_RAW!$G$3:$G$2000=$D199))),"")</f>
        <v/>
      </c>
      <c r="Y199" s="26">
        <f>IFERROR(TEXTJOIN(CHAR(10),TRUE,UNIQUE(FILTER(소재DB_RAW!$N$3:$N$2000&amp;") "&amp;소재DB_RAW!$O$3:$O$2000,(소재DB_RAW!$G$3:$G$2000=$D199)*ISNUMBER(SEARCH("겉감",소재DB_RAW!$M$3:$M$2000))))),"")</f>
        <v/>
      </c>
      <c r="Z199" s="26">
        <f>IFERROR(TEXTJOIN(CHAR(10),TRUE,UNIQUE(FILTER(소재DB_RAW!$N$3:$N$2000&amp;") "&amp;소재DB_RAW!$O$3:$O$2000,(소재DB_RAW!$G$3:$G$2000=$D199)*ISNUMBER(SEARCH("안감",소재DB_RAW!$M$3:$M$2000))))),"")</f>
        <v/>
      </c>
      <c r="AA199" s="27" t="n">
        <v>1870</v>
      </c>
      <c r="AB199" s="27" t="n">
        <v>45901020</v>
      </c>
      <c r="AC199" s="27" t="n">
        <v>183260000</v>
      </c>
      <c r="AD199" s="20" t="n"/>
      <c r="AE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F199" s="19">
        <f>IF($K199="","",IF(OR(LEFT($AE199,2)="작지",LEFT($AE199,4)="소재입고"),IF(LEFT($G199,1)="S","★ 납기위험(S코드)","◆ 지연주의"),IF($AE199="정상","✓ 정상","? 확인필요")))</f>
        <v/>
      </c>
      <c r="AG199" s="21" t="n"/>
      <c r="AH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21" t="inlineStr">
        <is>
          <t>O</t>
        </is>
      </c>
      <c r="R200" s="21" t="inlineStr">
        <is>
          <t>X</t>
        </is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>
        <f>IFERROR(TEXTJOIN(" / ",TRUE,UNIQUE(FILTER(소재DB_RAW!$K$3:$K$2000,소재DB_RAW!$G$3:$G$2000=$D200))),"")</f>
        <v/>
      </c>
      <c r="W200" s="20" t="inlineStr">
        <is>
          <t>베트남</t>
        </is>
      </c>
      <c r="X200" s="20">
        <f>IFERROR(TEXTJOIN(" / ",TRUE,UNIQUE(FILTER(소재DB_RAW!$N$3:$N$2000,소재DB_RAW!$G$3:$G$2000=$D200))),"")</f>
        <v/>
      </c>
      <c r="Y200" s="26">
        <f>IFERROR(TEXTJOIN(CHAR(10),TRUE,UNIQUE(FILTER(소재DB_RAW!$N$3:$N$2000&amp;") "&amp;소재DB_RAW!$O$3:$O$2000,(소재DB_RAW!$G$3:$G$2000=$D200)*ISNUMBER(SEARCH("겉감",소재DB_RAW!$M$3:$M$2000))))),"")</f>
        <v/>
      </c>
      <c r="Z200" s="26">
        <f>IFERROR(TEXTJOIN(CHAR(10),TRUE,UNIQUE(FILTER(소재DB_RAW!$N$3:$N$2000&amp;") "&amp;소재DB_RAW!$O$3:$O$2000,(소재DB_RAW!$G$3:$G$2000=$D200)*ISNUMBER(SEARCH("안감",소재DB_RAW!$M$3:$M$2000))))),"")</f>
        <v/>
      </c>
      <c r="AA200" s="27" t="n">
        <v>500</v>
      </c>
      <c r="AB200" s="27" t="n">
        <v>16777000</v>
      </c>
      <c r="AC200" s="27" t="n">
        <v>59000000</v>
      </c>
      <c r="AD200" s="20" t="n"/>
      <c r="AE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F200" s="19">
        <f>IF($K200="","",IF(OR(LEFT($AE200,2)="작지",LEFT($AE200,4)="소재입고"),IF(LEFT($G200,1)="S","★ 납기위험(S코드)","◆ 지연주의"),IF($AE200="정상","✓ 정상","? 확인필요")))</f>
        <v/>
      </c>
      <c r="AG200" s="21" t="n"/>
      <c r="AH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21" t="inlineStr">
        <is>
          <t>O</t>
        </is>
      </c>
      <c r="R201" s="21" t="inlineStr">
        <is>
          <t>X</t>
        </is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>
        <f>IFERROR(TEXTJOIN(" / ",TRUE,UNIQUE(FILTER(소재DB_RAW!$K$3:$K$2000,소재DB_RAW!$G$3:$G$2000=$D201))),"")</f>
        <v/>
      </c>
      <c r="W201" s="20" t="inlineStr">
        <is>
          <t>베트남</t>
        </is>
      </c>
      <c r="X201" s="20">
        <f>IFERROR(TEXTJOIN(" / ",TRUE,UNIQUE(FILTER(소재DB_RAW!$N$3:$N$2000,소재DB_RAW!$G$3:$G$2000=$D201))),"")</f>
        <v/>
      </c>
      <c r="Y201" s="26">
        <f>IFERROR(TEXTJOIN(CHAR(10),TRUE,UNIQUE(FILTER(소재DB_RAW!$N$3:$N$2000&amp;") "&amp;소재DB_RAW!$O$3:$O$2000,(소재DB_RAW!$G$3:$G$2000=$D201)*ISNUMBER(SEARCH("겉감",소재DB_RAW!$M$3:$M$2000))))),"")</f>
        <v/>
      </c>
      <c r="Z201" s="26">
        <f>IFERROR(TEXTJOIN(CHAR(10),TRUE,UNIQUE(FILTER(소재DB_RAW!$N$3:$N$2000&amp;") "&amp;소재DB_RAW!$O$3:$O$2000,(소재DB_RAW!$G$3:$G$2000=$D201)*ISNUMBER(SEARCH("안감",소재DB_RAW!$M$3:$M$2000))))),"")</f>
        <v/>
      </c>
      <c r="AA201" s="27" t="n">
        <v>900</v>
      </c>
      <c r="AB201" s="27" t="n">
        <v>22674600</v>
      </c>
      <c r="AC201" s="27" t="n">
        <v>88200000</v>
      </c>
      <c r="AD201" s="20" t="n"/>
      <c r="AE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F201" s="19">
        <f>IF($K201="","",IF(OR(LEFT($AE201,2)="작지",LEFT($AE201,4)="소재입고"),IF(LEFT($G201,1)="S","★ 납기위험(S코드)","◆ 지연주의"),IF($AE201="정상","✓ 정상","? 확인필요")))</f>
        <v/>
      </c>
      <c r="AG201" s="21" t="n"/>
      <c r="AH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21" t="inlineStr">
        <is>
          <t>O</t>
        </is>
      </c>
      <c r="R202" s="21" t="inlineStr">
        <is>
          <t>X</t>
        </is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>
        <f>IFERROR(TEXTJOIN(" / ",TRUE,UNIQUE(FILTER(소재DB_RAW!$K$3:$K$2000,소재DB_RAW!$G$3:$G$2000=$D202))),"")</f>
        <v/>
      </c>
      <c r="W202" s="20" t="inlineStr">
        <is>
          <t>베트남</t>
        </is>
      </c>
      <c r="X202" s="20">
        <f>IFERROR(TEXTJOIN(" / ",TRUE,UNIQUE(FILTER(소재DB_RAW!$N$3:$N$2000,소재DB_RAW!$G$3:$G$2000=$D202))),"")</f>
        <v/>
      </c>
      <c r="Y202" s="26">
        <f>IFERROR(TEXTJOIN(CHAR(10),TRUE,UNIQUE(FILTER(소재DB_RAW!$N$3:$N$2000&amp;") "&amp;소재DB_RAW!$O$3:$O$2000,(소재DB_RAW!$G$3:$G$2000=$D202)*ISNUMBER(SEARCH("겉감",소재DB_RAW!$M$3:$M$2000))))),"")</f>
        <v/>
      </c>
      <c r="Z202" s="26">
        <f>IFERROR(TEXTJOIN(CHAR(10),TRUE,UNIQUE(FILTER(소재DB_RAW!$N$3:$N$2000&amp;") "&amp;소재DB_RAW!$O$3:$O$2000,(소재DB_RAW!$G$3:$G$2000=$D202)*ISNUMBER(SEARCH("안감",소재DB_RAW!$M$3:$M$2000))))),"")</f>
        <v/>
      </c>
      <c r="AA202" s="27" t="n">
        <v>300</v>
      </c>
      <c r="AB202" s="27" t="n">
        <v>31205400</v>
      </c>
      <c r="AC202" s="27" t="n">
        <v>117000000</v>
      </c>
      <c r="AD202" s="20" t="n"/>
      <c r="AE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F202" s="19">
        <f>IF($K202="","",IF(OR(LEFT($AE202,2)="작지",LEFT($AE202,4)="소재입고"),IF(LEFT($G202,1)="S","★ 납기위험(S코드)","◆ 지연주의"),IF($AE202="정상","✓ 정상","? 확인필요")))</f>
        <v/>
      </c>
      <c r="AG202" s="21" t="n"/>
      <c r="AH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21" t="inlineStr">
        <is>
          <t>O</t>
        </is>
      </c>
      <c r="R203" s="21" t="inlineStr">
        <is>
          <t>X</t>
        </is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>
        <f>IFERROR(TEXTJOIN(" / ",TRUE,UNIQUE(FILTER(소재DB_RAW!$K$3:$K$2000,소재DB_RAW!$G$3:$G$2000=$D203))),"")</f>
        <v/>
      </c>
      <c r="W203" s="20" t="inlineStr">
        <is>
          <t>베트남</t>
        </is>
      </c>
      <c r="X203" s="20">
        <f>IFERROR(TEXTJOIN(" / ",TRUE,UNIQUE(FILTER(소재DB_RAW!$N$3:$N$2000,소재DB_RAW!$G$3:$G$2000=$D203))),"")</f>
        <v/>
      </c>
      <c r="Y203" s="26">
        <f>IFERROR(TEXTJOIN(CHAR(10),TRUE,UNIQUE(FILTER(소재DB_RAW!$N$3:$N$2000&amp;") "&amp;소재DB_RAW!$O$3:$O$2000,(소재DB_RAW!$G$3:$G$2000=$D203)*ISNUMBER(SEARCH("겉감",소재DB_RAW!$M$3:$M$2000))))),"")</f>
        <v/>
      </c>
      <c r="Z203" s="26">
        <f>IFERROR(TEXTJOIN(CHAR(10),TRUE,UNIQUE(FILTER(소재DB_RAW!$N$3:$N$2000&amp;") "&amp;소재DB_RAW!$O$3:$O$2000,(소재DB_RAW!$G$3:$G$2000=$D203)*ISNUMBER(SEARCH("안감",소재DB_RAW!$M$3:$M$2000))))),"")</f>
        <v/>
      </c>
      <c r="AA203" s="27" t="n">
        <v>300</v>
      </c>
      <c r="AB203" s="27" t="n">
        <v>14763900</v>
      </c>
      <c r="AC203" s="27" t="n">
        <v>66000000</v>
      </c>
      <c r="AD203" s="20" t="n"/>
      <c r="AE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F203" s="19">
        <f>IF($K203="","",IF(OR(LEFT($AE203,2)="작지",LEFT($AE203,4)="소재입고"),IF(LEFT($G203,1)="S","★ 납기위험(S코드)","◆ 지연주의"),IF($AE203="정상","✓ 정상","? 확인필요")))</f>
        <v/>
      </c>
      <c r="AG203" s="21" t="n"/>
      <c r="AH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21" t="inlineStr">
        <is>
          <t>O</t>
        </is>
      </c>
      <c r="R204" s="21" t="inlineStr">
        <is>
          <t>X</t>
        </is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>
        <f>IFERROR(TEXTJOIN(" / ",TRUE,UNIQUE(FILTER(소재DB_RAW!$K$3:$K$2000,소재DB_RAW!$G$3:$G$2000=$D204))),"")</f>
        <v/>
      </c>
      <c r="W204" s="20" t="inlineStr">
        <is>
          <t>베트남</t>
        </is>
      </c>
      <c r="X204" s="20">
        <f>IFERROR(TEXTJOIN(" / ",TRUE,UNIQUE(FILTER(소재DB_RAW!$N$3:$N$2000,소재DB_RAW!$G$3:$G$2000=$D204))),"")</f>
        <v/>
      </c>
      <c r="Y204" s="26">
        <f>IFERROR(TEXTJOIN(CHAR(10),TRUE,UNIQUE(FILTER(소재DB_RAW!$N$3:$N$2000&amp;") "&amp;소재DB_RAW!$O$3:$O$2000,(소재DB_RAW!$G$3:$G$2000=$D204)*ISNUMBER(SEARCH("겉감",소재DB_RAW!$M$3:$M$2000))))),"")</f>
        <v/>
      </c>
      <c r="Z204" s="26">
        <f>IFERROR(TEXTJOIN(CHAR(10),TRUE,UNIQUE(FILTER(소재DB_RAW!$N$3:$N$2000&amp;") "&amp;소재DB_RAW!$O$3:$O$2000,(소재DB_RAW!$G$3:$G$2000=$D204)*ISNUMBER(SEARCH("안감",소재DB_RAW!$M$3:$M$2000))))),"")</f>
        <v/>
      </c>
      <c r="AA204" s="27" t="n">
        <v>5000</v>
      </c>
      <c r="AB204" s="27" t="n">
        <v>177260000</v>
      </c>
      <c r="AC204" s="27" t="n">
        <v>890000000</v>
      </c>
      <c r="AD204" s="20" t="inlineStr">
        <is>
          <t>3월1주</t>
        </is>
      </c>
      <c r="AE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F204" s="19">
        <f>IF($K204="","",IF(OR(LEFT($AE204,2)="작지",LEFT($AE204,4)="소재입고"),IF(LEFT($G204,1)="S","★ 납기위험(S코드)","◆ 지연주의"),IF($AE204="정상","✓ 정상","? 확인필요")))</f>
        <v/>
      </c>
      <c r="AG204" s="21" t="n"/>
      <c r="AH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21" t="inlineStr">
        <is>
          <t>O</t>
        </is>
      </c>
      <c r="R205" s="21" t="inlineStr">
        <is>
          <t>X</t>
        </is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>
        <f>IFERROR(TEXTJOIN(" / ",TRUE,UNIQUE(FILTER(소재DB_RAW!$K$3:$K$2000,소재DB_RAW!$G$3:$G$2000=$D205))),"")</f>
        <v/>
      </c>
      <c r="W205" s="20" t="inlineStr">
        <is>
          <t>베트남</t>
        </is>
      </c>
      <c r="X205" s="20">
        <f>IFERROR(TEXTJOIN(" / ",TRUE,UNIQUE(FILTER(소재DB_RAW!$N$3:$N$2000,소재DB_RAW!$G$3:$G$2000=$D205))),"")</f>
        <v/>
      </c>
      <c r="Y205" s="26">
        <f>IFERROR(TEXTJOIN(CHAR(10),TRUE,UNIQUE(FILTER(소재DB_RAW!$N$3:$N$2000&amp;") "&amp;소재DB_RAW!$O$3:$O$2000,(소재DB_RAW!$G$3:$G$2000=$D205)*ISNUMBER(SEARCH("겉감",소재DB_RAW!$M$3:$M$2000))))),"")</f>
        <v/>
      </c>
      <c r="Z205" s="26">
        <f>IFERROR(TEXTJOIN(CHAR(10),TRUE,UNIQUE(FILTER(소재DB_RAW!$N$3:$N$2000&amp;") "&amp;소재DB_RAW!$O$3:$O$2000,(소재DB_RAW!$G$3:$G$2000=$D205)*ISNUMBER(SEARCH("안감",소재DB_RAW!$M$3:$M$2000))))),"")</f>
        <v/>
      </c>
      <c r="AA205" s="27" t="n">
        <v>3000</v>
      </c>
      <c r="AB205" s="27" t="n">
        <v>112215000</v>
      </c>
      <c r="AC205" s="27" t="n">
        <v>564000000</v>
      </c>
      <c r="AD205" s="20" t="inlineStr">
        <is>
          <t>3월1주</t>
        </is>
      </c>
      <c r="AE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F205" s="19">
        <f>IF($K205="","",IF(OR(LEFT($AE205,2)="작지",LEFT($AE205,4)="소재입고"),IF(LEFT($G205,1)="S","★ 납기위험(S코드)","◆ 지연주의"),IF($AE205="정상","✓ 정상","? 확인필요")))</f>
        <v/>
      </c>
      <c r="AG205" s="21" t="n"/>
      <c r="AH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21" t="inlineStr">
        <is>
          <t>O</t>
        </is>
      </c>
      <c r="R206" s="21" t="inlineStr">
        <is>
          <t>X</t>
        </is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>
        <f>IFERROR(TEXTJOIN(" / ",TRUE,UNIQUE(FILTER(소재DB_RAW!$K$3:$K$2000,소재DB_RAW!$G$3:$G$2000=$D206))),"")</f>
        <v/>
      </c>
      <c r="W206" s="20" t="inlineStr">
        <is>
          <t>베트남</t>
        </is>
      </c>
      <c r="X206" s="20">
        <f>IFERROR(TEXTJOIN(" / ",TRUE,UNIQUE(FILTER(소재DB_RAW!$N$3:$N$2000,소재DB_RAW!$G$3:$G$2000=$D206))),"")</f>
        <v/>
      </c>
      <c r="Y206" s="26">
        <f>IFERROR(TEXTJOIN(CHAR(10),TRUE,UNIQUE(FILTER(소재DB_RAW!$N$3:$N$2000&amp;") "&amp;소재DB_RAW!$O$3:$O$2000,(소재DB_RAW!$G$3:$G$2000=$D206)*ISNUMBER(SEARCH("겉감",소재DB_RAW!$M$3:$M$2000))))),"")</f>
        <v/>
      </c>
      <c r="Z206" s="26">
        <f>IFERROR(TEXTJOIN(CHAR(10),TRUE,UNIQUE(FILTER(소재DB_RAW!$N$3:$N$2000&amp;") "&amp;소재DB_RAW!$O$3:$O$2000,(소재DB_RAW!$G$3:$G$2000=$D206)*ISNUMBER(SEARCH("안감",소재DB_RAW!$M$3:$M$2000))))),"")</f>
        <v/>
      </c>
      <c r="AA206" s="27" t="n">
        <v>3000</v>
      </c>
      <c r="AB206" s="27" t="n">
        <v>127404000</v>
      </c>
      <c r="AC206" s="27" t="n">
        <v>594000000</v>
      </c>
      <c r="AD206" s="20" t="inlineStr">
        <is>
          <t>3월1주</t>
        </is>
      </c>
      <c r="AE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F206" s="19">
        <f>IF($K206="","",IF(OR(LEFT($AE206,2)="작지",LEFT($AE206,4)="소재입고"),IF(LEFT($G206,1)="S","★ 납기위험(S코드)","◆ 지연주의"),IF($AE206="정상","✓ 정상","? 확인필요")))</f>
        <v/>
      </c>
      <c r="AG206" s="21" t="n"/>
      <c r="AH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21" t="inlineStr">
        <is>
          <t>O</t>
        </is>
      </c>
      <c r="R207" s="21" t="inlineStr">
        <is>
          <t>X</t>
        </is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>
        <f>IFERROR(TEXTJOIN(" / ",TRUE,UNIQUE(FILTER(소재DB_RAW!$K$3:$K$2000,소재DB_RAW!$G$3:$G$2000=$D207))),"")</f>
        <v/>
      </c>
      <c r="W207" s="20" t="inlineStr">
        <is>
          <t>베트남</t>
        </is>
      </c>
      <c r="X207" s="20">
        <f>IFERROR(TEXTJOIN(" / ",TRUE,UNIQUE(FILTER(소재DB_RAW!$N$3:$N$2000,소재DB_RAW!$G$3:$G$2000=$D207))),"")</f>
        <v/>
      </c>
      <c r="Y207" s="26">
        <f>IFERROR(TEXTJOIN(CHAR(10),TRUE,UNIQUE(FILTER(소재DB_RAW!$N$3:$N$2000&amp;") "&amp;소재DB_RAW!$O$3:$O$2000,(소재DB_RAW!$G$3:$G$2000=$D207)*ISNUMBER(SEARCH("겉감",소재DB_RAW!$M$3:$M$2000))))),"")</f>
        <v/>
      </c>
      <c r="Z207" s="26">
        <f>IFERROR(TEXTJOIN(CHAR(10),TRUE,UNIQUE(FILTER(소재DB_RAW!$N$3:$N$2000&amp;") "&amp;소재DB_RAW!$O$3:$O$2000,(소재DB_RAW!$G$3:$G$2000=$D207)*ISNUMBER(SEARCH("안감",소재DB_RAW!$M$3:$M$2000))))),"")</f>
        <v/>
      </c>
      <c r="AA207" s="27" t="n">
        <v>1200</v>
      </c>
      <c r="AB207" s="27" t="n">
        <v>36000000</v>
      </c>
      <c r="AC207" s="27" t="n">
        <v>213600000</v>
      </c>
      <c r="AD207" s="20" t="inlineStr">
        <is>
          <t>3월1주</t>
        </is>
      </c>
      <c r="AE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F207" s="19">
        <f>IF($K207="","",IF(OR(LEFT($AE207,2)="작지",LEFT($AE207,4)="소재입고"),IF(LEFT($G207,1)="S","★ 납기위험(S코드)","◆ 지연주의"),IF($AE207="정상","✓ 정상","? 확인필요")))</f>
        <v/>
      </c>
      <c r="AG207" s="21" t="n"/>
      <c r="AH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21" t="inlineStr">
        <is>
          <t>O</t>
        </is>
      </c>
      <c r="R208" s="21" t="inlineStr">
        <is>
          <t>X</t>
        </is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>
        <f>IFERROR(TEXTJOIN(" / ",TRUE,UNIQUE(FILTER(소재DB_RAW!$K$3:$K$2000,소재DB_RAW!$G$3:$G$2000=$D208))),"")</f>
        <v/>
      </c>
      <c r="W208" s="20" t="inlineStr">
        <is>
          <t>베트남</t>
        </is>
      </c>
      <c r="X208" s="20">
        <f>IFERROR(TEXTJOIN(" / ",TRUE,UNIQUE(FILTER(소재DB_RAW!$N$3:$N$2000,소재DB_RAW!$G$3:$G$2000=$D208))),"")</f>
        <v/>
      </c>
      <c r="Y208" s="26">
        <f>IFERROR(TEXTJOIN(CHAR(10),TRUE,UNIQUE(FILTER(소재DB_RAW!$N$3:$N$2000&amp;") "&amp;소재DB_RAW!$O$3:$O$2000,(소재DB_RAW!$G$3:$G$2000=$D208)*ISNUMBER(SEARCH("겉감",소재DB_RAW!$M$3:$M$2000))))),"")</f>
        <v/>
      </c>
      <c r="Z208" s="26">
        <f>IFERROR(TEXTJOIN(CHAR(10),TRUE,UNIQUE(FILTER(소재DB_RAW!$N$3:$N$2000&amp;") "&amp;소재DB_RAW!$O$3:$O$2000,(소재DB_RAW!$G$3:$G$2000=$D208)*ISNUMBER(SEARCH("안감",소재DB_RAW!$M$3:$M$2000))))),"")</f>
        <v/>
      </c>
      <c r="AA208" s="27" t="n">
        <v>500</v>
      </c>
      <c r="AB208" s="27" t="n">
        <v>13550000</v>
      </c>
      <c r="AC208" s="27" t="n">
        <v>59000000</v>
      </c>
      <c r="AD208" s="20" t="n"/>
      <c r="AE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F208" s="19">
        <f>IF($K208="","",IF(OR(LEFT($AE208,2)="작지",LEFT($AE208,4)="소재입고"),IF(LEFT($G208,1)="S","★ 납기위험(S코드)","◆ 지연주의"),IF($AE208="정상","✓ 정상","? 확인필요")))</f>
        <v/>
      </c>
      <c r="AG208" s="21" t="n"/>
      <c r="AH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21" t="inlineStr">
        <is>
          <t>O</t>
        </is>
      </c>
      <c r="R209" s="21" t="inlineStr">
        <is>
          <t>X</t>
        </is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>
        <f>IFERROR(TEXTJOIN(" / ",TRUE,UNIQUE(FILTER(소재DB_RAW!$K$3:$K$2000,소재DB_RAW!$G$3:$G$2000=$D209))),"")</f>
        <v/>
      </c>
      <c r="W209" s="20" t="inlineStr">
        <is>
          <t>베트남</t>
        </is>
      </c>
      <c r="X209" s="20">
        <f>IFERROR(TEXTJOIN(" / ",TRUE,UNIQUE(FILTER(소재DB_RAW!$N$3:$N$2000,소재DB_RAW!$G$3:$G$2000=$D209))),"")</f>
        <v/>
      </c>
      <c r="Y209" s="26">
        <f>IFERROR(TEXTJOIN(CHAR(10),TRUE,UNIQUE(FILTER(소재DB_RAW!$N$3:$N$2000&amp;") "&amp;소재DB_RAW!$O$3:$O$2000,(소재DB_RAW!$G$3:$G$2000=$D209)*ISNUMBER(SEARCH("겉감",소재DB_RAW!$M$3:$M$2000))))),"")</f>
        <v/>
      </c>
      <c r="Z209" s="26">
        <f>IFERROR(TEXTJOIN(CHAR(10),TRUE,UNIQUE(FILTER(소재DB_RAW!$N$3:$N$2000&amp;") "&amp;소재DB_RAW!$O$3:$O$2000,(소재DB_RAW!$G$3:$G$2000=$D209)*ISNUMBER(SEARCH("안감",소재DB_RAW!$M$3:$M$2000))))),"")</f>
        <v/>
      </c>
      <c r="AA209" s="27" t="n">
        <v>500</v>
      </c>
      <c r="AB209" s="27" t="n">
        <v>18200000</v>
      </c>
      <c r="AC209" s="27" t="n">
        <v>69000000</v>
      </c>
      <c r="AD209" s="20" t="n"/>
      <c r="AE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F209" s="19">
        <f>IF($K209="","",IF(OR(LEFT($AE209,2)="작지",LEFT($AE209,4)="소재입고"),IF(LEFT($G209,1)="S","★ 납기위험(S코드)","◆ 지연주의"),IF($AE209="정상","✓ 정상","? 확인필요")))</f>
        <v/>
      </c>
      <c r="AG209" s="21" t="n"/>
      <c r="AH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21" t="inlineStr">
        <is>
          <t>O</t>
        </is>
      </c>
      <c r="R210" s="21" t="inlineStr">
        <is>
          <t>X</t>
        </is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>
        <f>IFERROR(TEXTJOIN(" / ",TRUE,UNIQUE(FILTER(소재DB_RAW!$K$3:$K$2000,소재DB_RAW!$G$3:$G$2000=$D210))),"")</f>
        <v/>
      </c>
      <c r="W210" s="20" t="inlineStr">
        <is>
          <t>베트남</t>
        </is>
      </c>
      <c r="X210" s="20">
        <f>IFERROR(TEXTJOIN(" / ",TRUE,UNIQUE(FILTER(소재DB_RAW!$N$3:$N$2000,소재DB_RAW!$G$3:$G$2000=$D210))),"")</f>
        <v/>
      </c>
      <c r="Y210" s="26">
        <f>IFERROR(TEXTJOIN(CHAR(10),TRUE,UNIQUE(FILTER(소재DB_RAW!$N$3:$N$2000&amp;") "&amp;소재DB_RAW!$O$3:$O$2000,(소재DB_RAW!$G$3:$G$2000=$D210)*ISNUMBER(SEARCH("겉감",소재DB_RAW!$M$3:$M$2000))))),"")</f>
        <v/>
      </c>
      <c r="Z210" s="26">
        <f>IFERROR(TEXTJOIN(CHAR(10),TRUE,UNIQUE(FILTER(소재DB_RAW!$N$3:$N$2000&amp;") "&amp;소재DB_RAW!$O$3:$O$2000,(소재DB_RAW!$G$3:$G$2000=$D210)*ISNUMBER(SEARCH("안감",소재DB_RAW!$M$3:$M$2000))))),"")</f>
        <v/>
      </c>
      <c r="AA210" s="27" t="n">
        <v>250</v>
      </c>
      <c r="AB210" s="27" t="n">
        <v>6420750</v>
      </c>
      <c r="AC210" s="27" t="n">
        <v>29500000</v>
      </c>
      <c r="AD210" s="20" t="n"/>
      <c r="AE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F210" s="19">
        <f>IF($K210="","",IF(OR(LEFT($AE210,2)="작지",LEFT($AE210,4)="소재입고"),IF(LEFT($G210,1)="S","★ 납기위험(S코드)","◆ 지연주의"),IF($AE210="정상","✓ 정상","? 확인필요")))</f>
        <v/>
      </c>
      <c r="AG210" s="21" t="n"/>
      <c r="AH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21" t="inlineStr">
        <is>
          <t>O</t>
        </is>
      </c>
      <c r="R211" s="21" t="inlineStr">
        <is>
          <t>X</t>
        </is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>
        <f>IFERROR(TEXTJOIN(" / ",TRUE,UNIQUE(FILTER(소재DB_RAW!$K$3:$K$2000,소재DB_RAW!$G$3:$G$2000=$D211))),"")</f>
        <v/>
      </c>
      <c r="W211" s="20" t="inlineStr">
        <is>
          <t>베트남</t>
        </is>
      </c>
      <c r="X211" s="20">
        <f>IFERROR(TEXTJOIN(" / ",TRUE,UNIQUE(FILTER(소재DB_RAW!$N$3:$N$2000,소재DB_RAW!$G$3:$G$2000=$D211))),"")</f>
        <v/>
      </c>
      <c r="Y211" s="26">
        <f>IFERROR(TEXTJOIN(CHAR(10),TRUE,UNIQUE(FILTER(소재DB_RAW!$N$3:$N$2000&amp;") "&amp;소재DB_RAW!$O$3:$O$2000,(소재DB_RAW!$G$3:$G$2000=$D211)*ISNUMBER(SEARCH("겉감",소재DB_RAW!$M$3:$M$2000))))),"")</f>
        <v/>
      </c>
      <c r="Z211" s="26">
        <f>IFERROR(TEXTJOIN(CHAR(10),TRUE,UNIQUE(FILTER(소재DB_RAW!$N$3:$N$2000&amp;") "&amp;소재DB_RAW!$O$3:$O$2000,(소재DB_RAW!$G$3:$G$2000=$D211)*ISNUMBER(SEARCH("안감",소재DB_RAW!$M$3:$M$2000))))),"")</f>
        <v/>
      </c>
      <c r="AA211" s="27" t="n">
        <v>3000</v>
      </c>
      <c r="AB211" s="27" t="n">
        <v>114000000</v>
      </c>
      <c r="AC211" s="27" t="n">
        <v>504000000</v>
      </c>
      <c r="AD211" s="20" t="inlineStr">
        <is>
          <t>3월1주</t>
        </is>
      </c>
      <c r="AE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F211" s="19">
        <f>IF($K211="","",IF(OR(LEFT($AE211,2)="작지",LEFT($AE211,4)="소재입고"),IF(LEFT($G211,1)="S","★ 납기위험(S코드)","◆ 지연주의"),IF($AE211="정상","✓ 정상","? 확인필요")))</f>
        <v/>
      </c>
      <c r="AG211" s="21" t="n"/>
      <c r="AH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21" t="inlineStr">
        <is>
          <t>O</t>
        </is>
      </c>
      <c r="R212" s="21" t="inlineStr">
        <is>
          <t>X</t>
        </is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>
        <f>IFERROR(TEXTJOIN(" / ",TRUE,UNIQUE(FILTER(소재DB_RAW!$K$3:$K$2000,소재DB_RAW!$G$3:$G$2000=$D212))),"")</f>
        <v/>
      </c>
      <c r="W212" s="20" t="inlineStr">
        <is>
          <t>베트남</t>
        </is>
      </c>
      <c r="X212" s="20">
        <f>IFERROR(TEXTJOIN(" / ",TRUE,UNIQUE(FILTER(소재DB_RAW!$N$3:$N$2000,소재DB_RAW!$G$3:$G$2000=$D212))),"")</f>
        <v/>
      </c>
      <c r="Y212" s="26">
        <f>IFERROR(TEXTJOIN(CHAR(10),TRUE,UNIQUE(FILTER(소재DB_RAW!$N$3:$N$2000&amp;") "&amp;소재DB_RAW!$O$3:$O$2000,(소재DB_RAW!$G$3:$G$2000=$D212)*ISNUMBER(SEARCH("겉감",소재DB_RAW!$M$3:$M$2000))))),"")</f>
        <v/>
      </c>
      <c r="Z212" s="26">
        <f>IFERROR(TEXTJOIN(CHAR(10),TRUE,UNIQUE(FILTER(소재DB_RAW!$N$3:$N$2000&amp;") "&amp;소재DB_RAW!$O$3:$O$2000,(소재DB_RAW!$G$3:$G$2000=$D212)*ISNUMBER(SEARCH("안감",소재DB_RAW!$M$3:$M$2000))))),"")</f>
        <v/>
      </c>
      <c r="AA212" s="27" t="n">
        <v>1010</v>
      </c>
      <c r="AB212" s="27" t="n">
        <v>24791460</v>
      </c>
      <c r="AC212" s="27" t="n">
        <v>98980000</v>
      </c>
      <c r="AD212" s="20" t="n"/>
      <c r="AE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F212" s="19">
        <f>IF($K212="","",IF(OR(LEFT($AE212,2)="작지",LEFT($AE212,4)="소재입고"),IF(LEFT($G212,1)="S","★ 납기위험(S코드)","◆ 지연주의"),IF($AE212="정상","✓ 정상","? 확인필요")))</f>
        <v/>
      </c>
      <c r="AG212" s="21" t="n"/>
      <c r="AH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21" t="inlineStr">
        <is>
          <t>O</t>
        </is>
      </c>
      <c r="R213" s="21" t="inlineStr">
        <is>
          <t>X</t>
        </is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>
        <f>IFERROR(TEXTJOIN(" / ",TRUE,UNIQUE(FILTER(소재DB_RAW!$K$3:$K$2000,소재DB_RAW!$G$3:$G$2000=$D213))),"")</f>
        <v/>
      </c>
      <c r="W213" s="20" t="inlineStr">
        <is>
          <t>베트남</t>
        </is>
      </c>
      <c r="X213" s="20">
        <f>IFERROR(TEXTJOIN(" / ",TRUE,UNIQUE(FILTER(소재DB_RAW!$N$3:$N$2000,소재DB_RAW!$G$3:$G$2000=$D213))),"")</f>
        <v/>
      </c>
      <c r="Y213" s="26">
        <f>IFERROR(TEXTJOIN(CHAR(10),TRUE,UNIQUE(FILTER(소재DB_RAW!$N$3:$N$2000&amp;") "&amp;소재DB_RAW!$O$3:$O$2000,(소재DB_RAW!$G$3:$G$2000=$D213)*ISNUMBER(SEARCH("겉감",소재DB_RAW!$M$3:$M$2000))))),"")</f>
        <v/>
      </c>
      <c r="Z213" s="26">
        <f>IFERROR(TEXTJOIN(CHAR(10),TRUE,UNIQUE(FILTER(소재DB_RAW!$N$3:$N$2000&amp;") "&amp;소재DB_RAW!$O$3:$O$2000,(소재DB_RAW!$G$3:$G$2000=$D213)*ISNUMBER(SEARCH("안감",소재DB_RAW!$M$3:$M$2000))))),"")</f>
        <v/>
      </c>
      <c r="AA213" s="27" t="n">
        <v>700</v>
      </c>
      <c r="AB213" s="27" t="n">
        <v>19282200</v>
      </c>
      <c r="AC213" s="27" t="n">
        <v>75600000</v>
      </c>
      <c r="AD213" s="20" t="n"/>
      <c r="AE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F213" s="19">
        <f>IF($K213="","",IF(OR(LEFT($AE213,2)="작지",LEFT($AE213,4)="소재입고"),IF(LEFT($G213,1)="S","★ 납기위험(S코드)","◆ 지연주의"),IF($AE213="정상","✓ 정상","? 확인필요")))</f>
        <v/>
      </c>
      <c r="AG213" s="21" t="n"/>
      <c r="AH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21" t="inlineStr">
        <is>
          <t>O</t>
        </is>
      </c>
      <c r="R214" s="21" t="inlineStr">
        <is>
          <t>X</t>
        </is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>
        <f>IFERROR(TEXTJOIN(" / ",TRUE,UNIQUE(FILTER(소재DB_RAW!$K$3:$K$2000,소재DB_RAW!$G$3:$G$2000=$D214))),"")</f>
        <v/>
      </c>
      <c r="W214" s="20" t="inlineStr">
        <is>
          <t>베트남</t>
        </is>
      </c>
      <c r="X214" s="20">
        <f>IFERROR(TEXTJOIN(" / ",TRUE,UNIQUE(FILTER(소재DB_RAW!$N$3:$N$2000,소재DB_RAW!$G$3:$G$2000=$D214))),"")</f>
        <v/>
      </c>
      <c r="Y214" s="26">
        <f>IFERROR(TEXTJOIN(CHAR(10),TRUE,UNIQUE(FILTER(소재DB_RAW!$N$3:$N$2000&amp;") "&amp;소재DB_RAW!$O$3:$O$2000,(소재DB_RAW!$G$3:$G$2000=$D214)*ISNUMBER(SEARCH("겉감",소재DB_RAW!$M$3:$M$2000))))),"")</f>
        <v/>
      </c>
      <c r="Z214" s="26">
        <f>IFERROR(TEXTJOIN(CHAR(10),TRUE,UNIQUE(FILTER(소재DB_RAW!$N$3:$N$2000&amp;") "&amp;소재DB_RAW!$O$3:$O$2000,(소재DB_RAW!$G$3:$G$2000=$D214)*ISNUMBER(SEARCH("안감",소재DB_RAW!$M$3:$M$2000))))),"")</f>
        <v/>
      </c>
      <c r="AA214" s="27" t="n">
        <v>300</v>
      </c>
      <c r="AB214" s="27" t="n">
        <v>12766200</v>
      </c>
      <c r="AC214" s="27" t="n">
        <v>35400000</v>
      </c>
      <c r="AD214" s="20" t="n"/>
      <c r="AE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F214" s="19">
        <f>IF($K214="","",IF(OR(LEFT($AE214,2)="작지",LEFT($AE214,4)="소재입고"),IF(LEFT($G214,1)="S","★ 납기위험(S코드)","◆ 지연주의"),IF($AE214="정상","✓ 정상","? 확인필요")))</f>
        <v/>
      </c>
      <c r="AG214" s="21" t="n"/>
      <c r="AH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21" t="inlineStr">
        <is>
          <t>O</t>
        </is>
      </c>
      <c r="R215" s="21" t="inlineStr">
        <is>
          <t>X</t>
        </is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>
        <f>IFERROR(TEXTJOIN(" / ",TRUE,UNIQUE(FILTER(소재DB_RAW!$K$3:$K$2000,소재DB_RAW!$G$3:$G$2000=$D215))),"")</f>
        <v/>
      </c>
      <c r="W215" s="20" t="inlineStr">
        <is>
          <t>베트남</t>
        </is>
      </c>
      <c r="X215" s="20">
        <f>IFERROR(TEXTJOIN(" / ",TRUE,UNIQUE(FILTER(소재DB_RAW!$N$3:$N$2000,소재DB_RAW!$G$3:$G$2000=$D215))),"")</f>
        <v/>
      </c>
      <c r="Y215" s="26">
        <f>IFERROR(TEXTJOIN(CHAR(10),TRUE,UNIQUE(FILTER(소재DB_RAW!$N$3:$N$2000&amp;") "&amp;소재DB_RAW!$O$3:$O$2000,(소재DB_RAW!$G$3:$G$2000=$D215)*ISNUMBER(SEARCH("겉감",소재DB_RAW!$M$3:$M$2000))))),"")</f>
        <v/>
      </c>
      <c r="Z215" s="26">
        <f>IFERROR(TEXTJOIN(CHAR(10),TRUE,UNIQUE(FILTER(소재DB_RAW!$N$3:$N$2000&amp;") "&amp;소재DB_RAW!$O$3:$O$2000,(소재DB_RAW!$G$3:$G$2000=$D215)*ISNUMBER(SEARCH("안감",소재DB_RAW!$M$3:$M$2000))))),"")</f>
        <v/>
      </c>
      <c r="AA215" s="27" t="n">
        <v>500</v>
      </c>
      <c r="AB215" s="27" t="n">
        <v>13989500</v>
      </c>
      <c r="AC215" s="27" t="n">
        <v>54000000</v>
      </c>
      <c r="AD215" s="20" t="n"/>
      <c r="AE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F215" s="19">
        <f>IF($K215="","",IF(OR(LEFT($AE215,2)="작지",LEFT($AE215,4)="소재입고"),IF(LEFT($G215,1)="S","★ 납기위험(S코드)","◆ 지연주의"),IF($AE215="정상","✓ 정상","? 확인필요")))</f>
        <v/>
      </c>
      <c r="AG215" s="21" t="n"/>
      <c r="AH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21" t="inlineStr">
        <is>
          <t>O</t>
        </is>
      </c>
      <c r="R216" s="21" t="inlineStr">
        <is>
          <t>X</t>
        </is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>
        <f>IFERROR(TEXTJOIN(" / ",TRUE,UNIQUE(FILTER(소재DB_RAW!$K$3:$K$2000,소재DB_RAW!$G$3:$G$2000=$D216))),"")</f>
        <v/>
      </c>
      <c r="W216" s="20" t="inlineStr"/>
      <c r="X216" s="20">
        <f>IFERROR(TEXTJOIN(" / ",TRUE,UNIQUE(FILTER(소재DB_RAW!$N$3:$N$2000,소재DB_RAW!$G$3:$G$2000=$D216))),"")</f>
        <v/>
      </c>
      <c r="Y216" s="26">
        <f>IFERROR(TEXTJOIN(CHAR(10),TRUE,UNIQUE(FILTER(소재DB_RAW!$N$3:$N$2000&amp;") "&amp;소재DB_RAW!$O$3:$O$2000,(소재DB_RAW!$G$3:$G$2000=$D216)*ISNUMBER(SEARCH("겉감",소재DB_RAW!$M$3:$M$2000))))),"")</f>
        <v/>
      </c>
      <c r="Z216" s="26">
        <f>IFERROR(TEXTJOIN(CHAR(10),TRUE,UNIQUE(FILTER(소재DB_RAW!$N$3:$N$2000&amp;") "&amp;소재DB_RAW!$O$3:$O$2000,(소재DB_RAW!$G$3:$G$2000=$D216)*ISNUMBER(SEARCH("안감",소재DB_RAW!$M$3:$M$2000))))),"")</f>
        <v/>
      </c>
      <c r="AA216" s="27" t="n">
        <v>2200</v>
      </c>
      <c r="AB216" s="27" t="n">
        <v>123200000</v>
      </c>
      <c r="AC216" s="27" t="n">
        <v>594000000</v>
      </c>
      <c r="AD216" s="20" t="inlineStr">
        <is>
          <t>3월2주</t>
        </is>
      </c>
      <c r="AE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F216" s="19">
        <f>IF($K216="","",IF(OR(LEFT($AE216,2)="작지",LEFT($AE216,4)="소재입고"),IF(LEFT($G216,1)="S","★ 납기위험(S코드)","◆ 지연주의"),IF($AE216="정상","✓ 정상","? 확인필요")))</f>
        <v/>
      </c>
      <c r="AG216" s="21" t="n"/>
      <c r="AH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21" t="inlineStr">
        <is>
          <t>O</t>
        </is>
      </c>
      <c r="R217" s="21" t="inlineStr">
        <is>
          <t>X</t>
        </is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>
        <f>IFERROR(TEXTJOIN(" / ",TRUE,UNIQUE(FILTER(소재DB_RAW!$K$3:$K$2000,소재DB_RAW!$G$3:$G$2000=$D217))),"")</f>
        <v/>
      </c>
      <c r="W217" s="20" t="inlineStr"/>
      <c r="X217" s="20">
        <f>IFERROR(TEXTJOIN(" / ",TRUE,UNIQUE(FILTER(소재DB_RAW!$N$3:$N$2000,소재DB_RAW!$G$3:$G$2000=$D217))),"")</f>
        <v/>
      </c>
      <c r="Y217" s="26">
        <f>IFERROR(TEXTJOIN(CHAR(10),TRUE,UNIQUE(FILTER(소재DB_RAW!$N$3:$N$2000&amp;") "&amp;소재DB_RAW!$O$3:$O$2000,(소재DB_RAW!$G$3:$G$2000=$D217)*ISNUMBER(SEARCH("겉감",소재DB_RAW!$M$3:$M$2000))))),"")</f>
        <v/>
      </c>
      <c r="Z217" s="26">
        <f>IFERROR(TEXTJOIN(CHAR(10),TRUE,UNIQUE(FILTER(소재DB_RAW!$N$3:$N$2000&amp;") "&amp;소재DB_RAW!$O$3:$O$2000,(소재DB_RAW!$G$3:$G$2000=$D217)*ISNUMBER(SEARCH("안감",소재DB_RAW!$M$3:$M$2000))))),"")</f>
        <v/>
      </c>
      <c r="AA217" s="27" t="n">
        <v>2000</v>
      </c>
      <c r="AB217" s="27" t="n">
        <v>82986000</v>
      </c>
      <c r="AC217" s="27" t="n">
        <v>396000000</v>
      </c>
      <c r="AD217" s="20" t="inlineStr">
        <is>
          <t>3월2주</t>
        </is>
      </c>
      <c r="AE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F217" s="19">
        <f>IF($K217="","",IF(OR(LEFT($AE217,2)="작지",LEFT($AE217,4)="소재입고"),IF(LEFT($G217,1)="S","★ 납기위험(S코드)","◆ 지연주의"),IF($AE217="정상","✓ 정상","? 확인필요")))</f>
        <v/>
      </c>
      <c r="AG217" s="21" t="n"/>
      <c r="AH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21" t="inlineStr">
        <is>
          <t>O</t>
        </is>
      </c>
      <c r="R218" s="21" t="inlineStr">
        <is>
          <t>X</t>
        </is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>
        <f>IFERROR(TEXTJOIN(" / ",TRUE,UNIQUE(FILTER(소재DB_RAW!$K$3:$K$2000,소재DB_RAW!$G$3:$G$2000=$D218))),"")</f>
        <v/>
      </c>
      <c r="W218" s="20" t="inlineStr">
        <is>
          <t>베트남</t>
        </is>
      </c>
      <c r="X218" s="20">
        <f>IFERROR(TEXTJOIN(" / ",TRUE,UNIQUE(FILTER(소재DB_RAW!$N$3:$N$2000,소재DB_RAW!$G$3:$G$2000=$D218))),"")</f>
        <v/>
      </c>
      <c r="Y218" s="26">
        <f>IFERROR(TEXTJOIN(CHAR(10),TRUE,UNIQUE(FILTER(소재DB_RAW!$N$3:$N$2000&amp;") "&amp;소재DB_RAW!$O$3:$O$2000,(소재DB_RAW!$G$3:$G$2000=$D218)*ISNUMBER(SEARCH("겉감",소재DB_RAW!$M$3:$M$2000))))),"")</f>
        <v/>
      </c>
      <c r="Z218" s="26">
        <f>IFERROR(TEXTJOIN(CHAR(10),TRUE,UNIQUE(FILTER(소재DB_RAW!$N$3:$N$2000&amp;") "&amp;소재DB_RAW!$O$3:$O$2000,(소재DB_RAW!$G$3:$G$2000=$D218)*ISNUMBER(SEARCH("안감",소재DB_RAW!$M$3:$M$2000))))),"")</f>
        <v/>
      </c>
      <c r="AA218" s="27" t="n">
        <v>6000</v>
      </c>
      <c r="AB218" s="27" t="n">
        <v>144954000</v>
      </c>
      <c r="AC218" s="27" t="n">
        <v>1068000000</v>
      </c>
      <c r="AD218" s="20" t="inlineStr">
        <is>
          <t>3월2주</t>
        </is>
      </c>
      <c r="AE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F218" s="19">
        <f>IF($K218="","",IF(OR(LEFT($AE218,2)="작지",LEFT($AE218,4)="소재입고"),IF(LEFT($G218,1)="S","★ 납기위험(S코드)","◆ 지연주의"),IF($AE218="정상","✓ 정상","? 확인필요")))</f>
        <v/>
      </c>
      <c r="AG218" s="21" t="n"/>
      <c r="AH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21" t="inlineStr">
        <is>
          <t>O</t>
        </is>
      </c>
      <c r="R219" s="21" t="inlineStr">
        <is>
          <t>X</t>
        </is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>
        <f>IFERROR(TEXTJOIN(" / ",TRUE,UNIQUE(FILTER(소재DB_RAW!$K$3:$K$2000,소재DB_RAW!$G$3:$G$2000=$D219))),"")</f>
        <v/>
      </c>
      <c r="W219" s="20" t="inlineStr">
        <is>
          <t>베트남</t>
        </is>
      </c>
      <c r="X219" s="20">
        <f>IFERROR(TEXTJOIN(" / ",TRUE,UNIQUE(FILTER(소재DB_RAW!$N$3:$N$2000,소재DB_RAW!$G$3:$G$2000=$D219))),"")</f>
        <v/>
      </c>
      <c r="Y219" s="26">
        <f>IFERROR(TEXTJOIN(CHAR(10),TRUE,UNIQUE(FILTER(소재DB_RAW!$N$3:$N$2000&amp;") "&amp;소재DB_RAW!$O$3:$O$2000,(소재DB_RAW!$G$3:$G$2000=$D219)*ISNUMBER(SEARCH("겉감",소재DB_RAW!$M$3:$M$2000))))),"")</f>
        <v/>
      </c>
      <c r="Z219" s="26">
        <f>IFERROR(TEXTJOIN(CHAR(10),TRUE,UNIQUE(FILTER(소재DB_RAW!$N$3:$N$2000&amp;") "&amp;소재DB_RAW!$O$3:$O$2000,(소재DB_RAW!$G$3:$G$2000=$D219)*ISNUMBER(SEARCH("안감",소재DB_RAW!$M$3:$M$2000))))),"")</f>
        <v/>
      </c>
      <c r="AA219" s="27" t="n">
        <v>3700</v>
      </c>
      <c r="AB219" s="27" t="n">
        <v>109449700</v>
      </c>
      <c r="AC219" s="27" t="n">
        <v>621600000</v>
      </c>
      <c r="AD219" s="20" t="inlineStr">
        <is>
          <t>3월2주</t>
        </is>
      </c>
      <c r="AE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F219" s="19">
        <f>IF($K219="","",IF(OR(LEFT($AE219,2)="작지",LEFT($AE219,4)="소재입고"),IF(LEFT($G219,1)="S","★ 납기위험(S코드)","◆ 지연주의"),IF($AE219="정상","✓ 정상","? 확인필요")))</f>
        <v/>
      </c>
      <c r="AG219" s="21" t="n"/>
      <c r="AH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21" t="inlineStr">
        <is>
          <t>O</t>
        </is>
      </c>
      <c r="R220" s="21" t="inlineStr">
        <is>
          <t>X</t>
        </is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>
        <f>IFERROR(TEXTJOIN(" / ",TRUE,UNIQUE(FILTER(소재DB_RAW!$K$3:$K$2000,소재DB_RAW!$G$3:$G$2000=$D220))),"")</f>
        <v/>
      </c>
      <c r="W220" s="20" t="inlineStr">
        <is>
          <t>베트남</t>
        </is>
      </c>
      <c r="X220" s="20">
        <f>IFERROR(TEXTJOIN(" / ",TRUE,UNIQUE(FILTER(소재DB_RAW!$N$3:$N$2000,소재DB_RAW!$G$3:$G$2000=$D220))),"")</f>
        <v/>
      </c>
      <c r="Y220" s="26">
        <f>IFERROR(TEXTJOIN(CHAR(10),TRUE,UNIQUE(FILTER(소재DB_RAW!$N$3:$N$2000&amp;") "&amp;소재DB_RAW!$O$3:$O$2000,(소재DB_RAW!$G$3:$G$2000=$D220)*ISNUMBER(SEARCH("겉감",소재DB_RAW!$M$3:$M$2000))))),"")</f>
        <v/>
      </c>
      <c r="Z220" s="26">
        <f>IFERROR(TEXTJOIN(CHAR(10),TRUE,UNIQUE(FILTER(소재DB_RAW!$N$3:$N$2000&amp;") "&amp;소재DB_RAW!$O$3:$O$2000,(소재DB_RAW!$G$3:$G$2000=$D220)*ISNUMBER(SEARCH("안감",소재DB_RAW!$M$3:$M$2000))))),"")</f>
        <v/>
      </c>
      <c r="AA220" s="27" t="n">
        <v>2000</v>
      </c>
      <c r="AB220" s="27" t="n">
        <v>70766000</v>
      </c>
      <c r="AC220" s="27" t="n">
        <v>336000000</v>
      </c>
      <c r="AD220" s="20" t="inlineStr">
        <is>
          <t>3월2주</t>
        </is>
      </c>
      <c r="AE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F220" s="19">
        <f>IF($K220="","",IF(OR(LEFT($AE220,2)="작지",LEFT($AE220,4)="소재입고"),IF(LEFT($G220,1)="S","★ 납기위험(S코드)","◆ 지연주의"),IF($AE220="정상","✓ 정상","? 확인필요")))</f>
        <v/>
      </c>
      <c r="AG220" s="21" t="n"/>
      <c r="AH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21" t="inlineStr">
        <is>
          <t>O</t>
        </is>
      </c>
      <c r="R221" s="21" t="inlineStr">
        <is>
          <t>X</t>
        </is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>
        <f>IFERROR(TEXTJOIN(" / ",TRUE,UNIQUE(FILTER(소재DB_RAW!$K$3:$K$2000,소재DB_RAW!$G$3:$G$2000=$D221))),"")</f>
        <v/>
      </c>
      <c r="W221" s="20" t="inlineStr">
        <is>
          <t>베트남</t>
        </is>
      </c>
      <c r="X221" s="20">
        <f>IFERROR(TEXTJOIN(" / ",TRUE,UNIQUE(FILTER(소재DB_RAW!$N$3:$N$2000,소재DB_RAW!$G$3:$G$2000=$D221))),"")</f>
        <v/>
      </c>
      <c r="Y221" s="26">
        <f>IFERROR(TEXTJOIN(CHAR(10),TRUE,UNIQUE(FILTER(소재DB_RAW!$N$3:$N$2000&amp;") "&amp;소재DB_RAW!$O$3:$O$2000,(소재DB_RAW!$G$3:$G$2000=$D221)*ISNUMBER(SEARCH("겉감",소재DB_RAW!$M$3:$M$2000))))),"")</f>
        <v/>
      </c>
      <c r="Z221" s="26">
        <f>IFERROR(TEXTJOIN(CHAR(10),TRUE,UNIQUE(FILTER(소재DB_RAW!$N$3:$N$2000&amp;") "&amp;소재DB_RAW!$O$3:$O$2000,(소재DB_RAW!$G$3:$G$2000=$D221)*ISNUMBER(SEARCH("안감",소재DB_RAW!$M$3:$M$2000))))),"")</f>
        <v/>
      </c>
      <c r="AA221" s="27" t="n">
        <v>2000</v>
      </c>
      <c r="AB221" s="27" t="n">
        <v>74858000</v>
      </c>
      <c r="AC221" s="27" t="n">
        <v>336000000</v>
      </c>
      <c r="AD221" s="20" t="inlineStr">
        <is>
          <t>3월2주</t>
        </is>
      </c>
      <c r="AE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F221" s="19">
        <f>IF($K221="","",IF(OR(LEFT($AE221,2)="작지",LEFT($AE221,4)="소재입고"),IF(LEFT($G221,1)="S","★ 납기위험(S코드)","◆ 지연주의"),IF($AE221="정상","✓ 정상","? 확인필요")))</f>
        <v/>
      </c>
      <c r="AG221" s="21" t="n"/>
      <c r="AH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21" t="inlineStr">
        <is>
          <t>O</t>
        </is>
      </c>
      <c r="R222" s="21" t="inlineStr">
        <is>
          <t>X</t>
        </is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>
        <f>IFERROR(TEXTJOIN(" / ",TRUE,UNIQUE(FILTER(소재DB_RAW!$K$3:$K$2000,소재DB_RAW!$G$3:$G$2000=$D222))),"")</f>
        <v/>
      </c>
      <c r="W222" s="20" t="inlineStr">
        <is>
          <t>베트남</t>
        </is>
      </c>
      <c r="X222" s="20">
        <f>IFERROR(TEXTJOIN(" / ",TRUE,UNIQUE(FILTER(소재DB_RAW!$N$3:$N$2000,소재DB_RAW!$G$3:$G$2000=$D222))),"")</f>
        <v/>
      </c>
      <c r="Y222" s="26">
        <f>IFERROR(TEXTJOIN(CHAR(10),TRUE,UNIQUE(FILTER(소재DB_RAW!$N$3:$N$2000&amp;") "&amp;소재DB_RAW!$O$3:$O$2000,(소재DB_RAW!$G$3:$G$2000=$D222)*ISNUMBER(SEARCH("겉감",소재DB_RAW!$M$3:$M$2000))))),"")</f>
        <v/>
      </c>
      <c r="Z222" s="26">
        <f>IFERROR(TEXTJOIN(CHAR(10),TRUE,UNIQUE(FILTER(소재DB_RAW!$N$3:$N$2000&amp;") "&amp;소재DB_RAW!$O$3:$O$2000,(소재DB_RAW!$G$3:$G$2000=$D222)*ISNUMBER(SEARCH("안감",소재DB_RAW!$M$3:$M$2000))))),"")</f>
        <v/>
      </c>
      <c r="AA222" s="27" t="n">
        <v>1500</v>
      </c>
      <c r="AB222" s="27" t="n">
        <v>21750000</v>
      </c>
      <c r="AC222" s="27" t="n">
        <v>177000000</v>
      </c>
      <c r="AD222" s="20" t="inlineStr">
        <is>
          <t>3월2주</t>
        </is>
      </c>
      <c r="AE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F222" s="19">
        <f>IF($K222="","",IF(OR(LEFT($AE222,2)="작지",LEFT($AE222,4)="소재입고"),IF(LEFT($G222,1)="S","★ 납기위험(S코드)","◆ 지연주의"),IF($AE222="정상","✓ 정상","? 확인필요")))</f>
        <v/>
      </c>
      <c r="AG222" s="21" t="n"/>
      <c r="AH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21" t="inlineStr">
        <is>
          <t>O</t>
        </is>
      </c>
      <c r="R223" s="21" t="inlineStr">
        <is>
          <t>X</t>
        </is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>
        <f>IFERROR(TEXTJOIN(" / ",TRUE,UNIQUE(FILTER(소재DB_RAW!$K$3:$K$2000,소재DB_RAW!$G$3:$G$2000=$D223))),"")</f>
        <v/>
      </c>
      <c r="W223" s="20" t="inlineStr">
        <is>
          <t>베트남</t>
        </is>
      </c>
      <c r="X223" s="20">
        <f>IFERROR(TEXTJOIN(" / ",TRUE,UNIQUE(FILTER(소재DB_RAW!$N$3:$N$2000,소재DB_RAW!$G$3:$G$2000=$D223))),"")</f>
        <v/>
      </c>
      <c r="Y223" s="26">
        <f>IFERROR(TEXTJOIN(CHAR(10),TRUE,UNIQUE(FILTER(소재DB_RAW!$N$3:$N$2000&amp;") "&amp;소재DB_RAW!$O$3:$O$2000,(소재DB_RAW!$G$3:$G$2000=$D223)*ISNUMBER(SEARCH("겉감",소재DB_RAW!$M$3:$M$2000))))),"")</f>
        <v/>
      </c>
      <c r="Z223" s="26">
        <f>IFERROR(TEXTJOIN(CHAR(10),TRUE,UNIQUE(FILTER(소재DB_RAW!$N$3:$N$2000&amp;") "&amp;소재DB_RAW!$O$3:$O$2000,(소재DB_RAW!$G$3:$G$2000=$D223)*ISNUMBER(SEARCH("안감",소재DB_RAW!$M$3:$M$2000))))),"")</f>
        <v/>
      </c>
      <c r="AA223" s="27" t="n">
        <v>6300</v>
      </c>
      <c r="AB223" s="27" t="n">
        <v>59850000</v>
      </c>
      <c r="AC223" s="27" t="n">
        <v>428400000</v>
      </c>
      <c r="AD223" s="20" t="inlineStr">
        <is>
          <t>3월2주</t>
        </is>
      </c>
      <c r="AE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F223" s="19">
        <f>IF($K223="","",IF(OR(LEFT($AE223,2)="작지",LEFT($AE223,4)="소재입고"),IF(LEFT($G223,1)="S","★ 납기위험(S코드)","◆ 지연주의"),IF($AE223="정상","✓ 정상","? 확인필요")))</f>
        <v/>
      </c>
      <c r="AG223" s="21" t="n"/>
      <c r="AH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21" t="inlineStr">
        <is>
          <t>O</t>
        </is>
      </c>
      <c r="R224" s="21" t="inlineStr">
        <is>
          <t>X</t>
        </is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>
        <f>IFERROR(TEXTJOIN(" / ",TRUE,UNIQUE(FILTER(소재DB_RAW!$K$3:$K$2000,소재DB_RAW!$G$3:$G$2000=$D224))),"")</f>
        <v/>
      </c>
      <c r="W224" s="20" t="inlineStr">
        <is>
          <t>베트남</t>
        </is>
      </c>
      <c r="X224" s="20">
        <f>IFERROR(TEXTJOIN(" / ",TRUE,UNIQUE(FILTER(소재DB_RAW!$N$3:$N$2000,소재DB_RAW!$G$3:$G$2000=$D224))),"")</f>
        <v/>
      </c>
      <c r="Y224" s="26">
        <f>IFERROR(TEXTJOIN(CHAR(10),TRUE,UNIQUE(FILTER(소재DB_RAW!$N$3:$N$2000&amp;") "&amp;소재DB_RAW!$O$3:$O$2000,(소재DB_RAW!$G$3:$G$2000=$D224)*ISNUMBER(SEARCH("겉감",소재DB_RAW!$M$3:$M$2000))))),"")</f>
        <v/>
      </c>
      <c r="Z224" s="26">
        <f>IFERROR(TEXTJOIN(CHAR(10),TRUE,UNIQUE(FILTER(소재DB_RAW!$N$3:$N$2000&amp;") "&amp;소재DB_RAW!$O$3:$O$2000,(소재DB_RAW!$G$3:$G$2000=$D224)*ISNUMBER(SEARCH("안감",소재DB_RAW!$M$3:$M$2000))))),"")</f>
        <v/>
      </c>
      <c r="AA224" s="27" t="n">
        <v>2500</v>
      </c>
      <c r="AB224" s="27" t="n">
        <v>50685000</v>
      </c>
      <c r="AC224" s="27" t="n">
        <v>345000000</v>
      </c>
      <c r="AD224" s="20" t="inlineStr">
        <is>
          <t>3월2주</t>
        </is>
      </c>
      <c r="AE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F224" s="19">
        <f>IF($K224="","",IF(OR(LEFT($AE224,2)="작지",LEFT($AE224,4)="소재입고"),IF(LEFT($G224,1)="S","★ 납기위험(S코드)","◆ 지연주의"),IF($AE224="정상","✓ 정상","? 확인필요")))</f>
        <v/>
      </c>
      <c r="AG224" s="21" t="n"/>
      <c r="AH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21" t="inlineStr">
        <is>
          <t>O</t>
        </is>
      </c>
      <c r="R225" s="21" t="inlineStr">
        <is>
          <t>X</t>
        </is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>
        <f>IFERROR(TEXTJOIN(" / ",TRUE,UNIQUE(FILTER(소재DB_RAW!$K$3:$K$2000,소재DB_RAW!$G$3:$G$2000=$D225))),"")</f>
        <v/>
      </c>
      <c r="W225" s="20" t="inlineStr">
        <is>
          <t>베트남</t>
        </is>
      </c>
      <c r="X225" s="20">
        <f>IFERROR(TEXTJOIN(" / ",TRUE,UNIQUE(FILTER(소재DB_RAW!$N$3:$N$2000,소재DB_RAW!$G$3:$G$2000=$D225))),"")</f>
        <v/>
      </c>
      <c r="Y225" s="26">
        <f>IFERROR(TEXTJOIN(CHAR(10),TRUE,UNIQUE(FILTER(소재DB_RAW!$N$3:$N$2000&amp;") "&amp;소재DB_RAW!$O$3:$O$2000,(소재DB_RAW!$G$3:$G$2000=$D225)*ISNUMBER(SEARCH("겉감",소재DB_RAW!$M$3:$M$2000))))),"")</f>
        <v/>
      </c>
      <c r="Z225" s="26">
        <f>IFERROR(TEXTJOIN(CHAR(10),TRUE,UNIQUE(FILTER(소재DB_RAW!$N$3:$N$2000&amp;") "&amp;소재DB_RAW!$O$3:$O$2000,(소재DB_RAW!$G$3:$G$2000=$D225)*ISNUMBER(SEARCH("안감",소재DB_RAW!$M$3:$M$2000))))),"")</f>
        <v/>
      </c>
      <c r="AA225" s="27" t="n">
        <v>4500</v>
      </c>
      <c r="AB225" s="27" t="n">
        <v>126063000</v>
      </c>
      <c r="AC225" s="27" t="n">
        <v>621000000</v>
      </c>
      <c r="AD225" s="20" t="inlineStr">
        <is>
          <t>3월2주</t>
        </is>
      </c>
      <c r="AE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F225" s="19">
        <f>IF($K225="","",IF(OR(LEFT($AE225,2)="작지",LEFT($AE225,4)="소재입고"),IF(LEFT($G225,1)="S","★ 납기위험(S코드)","◆ 지연주의"),IF($AE225="정상","✓ 정상","? 확인필요")))</f>
        <v/>
      </c>
      <c r="AG225" s="21" t="n"/>
      <c r="AH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21" t="inlineStr">
        <is>
          <t>O</t>
        </is>
      </c>
      <c r="R226" s="21" t="inlineStr">
        <is>
          <t>X</t>
        </is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>
        <f>IFERROR(TEXTJOIN(" / ",TRUE,UNIQUE(FILTER(소재DB_RAW!$K$3:$K$2000,소재DB_RAW!$G$3:$G$2000=$D226))),"")</f>
        <v/>
      </c>
      <c r="W226" s="20" t="inlineStr">
        <is>
          <t>인도네시아</t>
        </is>
      </c>
      <c r="X226" s="20">
        <f>IFERROR(TEXTJOIN(" / ",TRUE,UNIQUE(FILTER(소재DB_RAW!$N$3:$N$2000,소재DB_RAW!$G$3:$G$2000=$D226))),"")</f>
        <v/>
      </c>
      <c r="Y226" s="26">
        <f>IFERROR(TEXTJOIN(CHAR(10),TRUE,UNIQUE(FILTER(소재DB_RAW!$N$3:$N$2000&amp;") "&amp;소재DB_RAW!$O$3:$O$2000,(소재DB_RAW!$G$3:$G$2000=$D226)*ISNUMBER(SEARCH("겉감",소재DB_RAW!$M$3:$M$2000))))),"")</f>
        <v/>
      </c>
      <c r="Z226" s="26">
        <f>IFERROR(TEXTJOIN(CHAR(10),TRUE,UNIQUE(FILTER(소재DB_RAW!$N$3:$N$2000&amp;") "&amp;소재DB_RAW!$O$3:$O$2000,(소재DB_RAW!$G$3:$G$2000=$D226)*ISNUMBER(SEARCH("안감",소재DB_RAW!$M$3:$M$2000))))),"")</f>
        <v/>
      </c>
      <c r="AA226" s="27" t="n">
        <v>3200</v>
      </c>
      <c r="AB226" s="27" t="n">
        <v>192000000</v>
      </c>
      <c r="AC226" s="27" t="n">
        <v>928000000</v>
      </c>
      <c r="AD226" s="20" t="n"/>
      <c r="AE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F226" s="19">
        <f>IF($K226="","",IF(OR(LEFT($AE226,2)="작지",LEFT($AE226,4)="소재입고"),IF(LEFT($G226,1)="S","★ 납기위험(S코드)","◆ 지연주의"),IF($AE226="정상","✓ 정상","? 확인필요")))</f>
        <v/>
      </c>
      <c r="AG226" s="21" t="n"/>
      <c r="AH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21" t="inlineStr">
        <is>
          <t>O</t>
        </is>
      </c>
      <c r="R227" s="21" t="inlineStr">
        <is>
          <t>X</t>
        </is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>
        <f>IFERROR(TEXTJOIN(" / ",TRUE,UNIQUE(FILTER(소재DB_RAW!$K$3:$K$2000,소재DB_RAW!$G$3:$G$2000=$D227))),"")</f>
        <v/>
      </c>
      <c r="W227" s="20" t="inlineStr">
        <is>
          <t>베트남</t>
        </is>
      </c>
      <c r="X227" s="20">
        <f>IFERROR(TEXTJOIN(" / ",TRUE,UNIQUE(FILTER(소재DB_RAW!$N$3:$N$2000,소재DB_RAW!$G$3:$G$2000=$D227))),"")</f>
        <v/>
      </c>
      <c r="Y227" s="26">
        <f>IFERROR(TEXTJOIN(CHAR(10),TRUE,UNIQUE(FILTER(소재DB_RAW!$N$3:$N$2000&amp;") "&amp;소재DB_RAW!$O$3:$O$2000,(소재DB_RAW!$G$3:$G$2000=$D227)*ISNUMBER(SEARCH("겉감",소재DB_RAW!$M$3:$M$2000))))),"")</f>
        <v/>
      </c>
      <c r="Z227" s="26">
        <f>IFERROR(TEXTJOIN(CHAR(10),TRUE,UNIQUE(FILTER(소재DB_RAW!$N$3:$N$2000&amp;") "&amp;소재DB_RAW!$O$3:$O$2000,(소재DB_RAW!$G$3:$G$2000=$D227)*ISNUMBER(SEARCH("안감",소재DB_RAW!$M$3:$M$2000))))),"")</f>
        <v/>
      </c>
      <c r="AA227" s="27" t="n">
        <v>1616</v>
      </c>
      <c r="AB227" s="27" t="n">
        <v>45248000</v>
      </c>
      <c r="AC227" s="27" t="n">
        <v>287648000</v>
      </c>
      <c r="AD227" s="20" t="inlineStr">
        <is>
          <t>3월2주</t>
        </is>
      </c>
      <c r="AE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F227" s="19">
        <f>IF($K227="","",IF(OR(LEFT($AE227,2)="작지",LEFT($AE227,4)="소재입고"),IF(LEFT($G227,1)="S","★ 납기위험(S코드)","◆ 지연주의"),IF($AE227="정상","✓ 정상","? 확인필요")))</f>
        <v/>
      </c>
      <c r="AG227" s="21" t="n"/>
      <c r="AH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21" t="inlineStr">
        <is>
          <t>O</t>
        </is>
      </c>
      <c r="R228" s="21" t="inlineStr">
        <is>
          <t>X</t>
        </is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>
        <f>IFERROR(TEXTJOIN(" / ",TRUE,UNIQUE(FILTER(소재DB_RAW!$K$3:$K$2000,소재DB_RAW!$G$3:$G$2000=$D228))),"")</f>
        <v/>
      </c>
      <c r="W228" s="20" t="inlineStr">
        <is>
          <t>베트남</t>
        </is>
      </c>
      <c r="X228" s="20">
        <f>IFERROR(TEXTJOIN(" / ",TRUE,UNIQUE(FILTER(소재DB_RAW!$N$3:$N$2000,소재DB_RAW!$G$3:$G$2000=$D228))),"")</f>
        <v/>
      </c>
      <c r="Y228" s="26">
        <f>IFERROR(TEXTJOIN(CHAR(10),TRUE,UNIQUE(FILTER(소재DB_RAW!$N$3:$N$2000&amp;") "&amp;소재DB_RAW!$O$3:$O$2000,(소재DB_RAW!$G$3:$G$2000=$D228)*ISNUMBER(SEARCH("겉감",소재DB_RAW!$M$3:$M$2000))))),"")</f>
        <v/>
      </c>
      <c r="Z228" s="26">
        <f>IFERROR(TEXTJOIN(CHAR(10),TRUE,UNIQUE(FILTER(소재DB_RAW!$N$3:$N$2000&amp;") "&amp;소재DB_RAW!$O$3:$O$2000,(소재DB_RAW!$G$3:$G$2000=$D228)*ISNUMBER(SEARCH("안감",소재DB_RAW!$M$3:$M$2000))))),"")</f>
        <v/>
      </c>
      <c r="AA228" s="27" t="n">
        <v>6500</v>
      </c>
      <c r="AB228" s="27" t="n">
        <v>151599500</v>
      </c>
      <c r="AC228" s="27" t="n">
        <v>1027000000</v>
      </c>
      <c r="AD228" s="20" t="inlineStr">
        <is>
          <t>3월2주</t>
        </is>
      </c>
      <c r="AE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F228" s="19">
        <f>IF($K228="","",IF(OR(LEFT($AE228,2)="작지",LEFT($AE228,4)="소재입고"),IF(LEFT($G228,1)="S","★ 납기위험(S코드)","◆ 지연주의"),IF($AE228="정상","✓ 정상","? 확인필요")))</f>
        <v/>
      </c>
      <c r="AG228" s="21" t="n"/>
      <c r="AH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21" t="inlineStr">
        <is>
          <t>O</t>
        </is>
      </c>
      <c r="R229" s="21" t="inlineStr">
        <is>
          <t>X</t>
        </is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>
        <f>IFERROR(TEXTJOIN(" / ",TRUE,UNIQUE(FILTER(소재DB_RAW!$K$3:$K$2000,소재DB_RAW!$G$3:$G$2000=$D229))),"")</f>
        <v/>
      </c>
      <c r="W229" s="20" t="inlineStr">
        <is>
          <t>베트남</t>
        </is>
      </c>
      <c r="X229" s="20">
        <f>IFERROR(TEXTJOIN(" / ",TRUE,UNIQUE(FILTER(소재DB_RAW!$N$3:$N$2000,소재DB_RAW!$G$3:$G$2000=$D229))),"")</f>
        <v/>
      </c>
      <c r="Y229" s="26">
        <f>IFERROR(TEXTJOIN(CHAR(10),TRUE,UNIQUE(FILTER(소재DB_RAW!$N$3:$N$2000&amp;") "&amp;소재DB_RAW!$O$3:$O$2000,(소재DB_RAW!$G$3:$G$2000=$D229)*ISNUMBER(SEARCH("겉감",소재DB_RAW!$M$3:$M$2000))))),"")</f>
        <v/>
      </c>
      <c r="Z229" s="26">
        <f>IFERROR(TEXTJOIN(CHAR(10),TRUE,UNIQUE(FILTER(소재DB_RAW!$N$3:$N$2000&amp;") "&amp;소재DB_RAW!$O$3:$O$2000,(소재DB_RAW!$G$3:$G$2000=$D229)*ISNUMBER(SEARCH("안감",소재DB_RAW!$M$3:$M$2000))))),"")</f>
        <v/>
      </c>
      <c r="AA229" s="27" t="n">
        <v>2000</v>
      </c>
      <c r="AB229" s="27" t="n">
        <v>73354000</v>
      </c>
      <c r="AC229" s="27" t="n">
        <v>376000000</v>
      </c>
      <c r="AD229" s="20" t="inlineStr">
        <is>
          <t>3월2주</t>
        </is>
      </c>
      <c r="AE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F229" s="19">
        <f>IF($K229="","",IF(OR(LEFT($AE229,2)="작지",LEFT($AE229,4)="소재입고"),IF(LEFT($G229,1)="S","★ 납기위험(S코드)","◆ 지연주의"),IF($AE229="정상","✓ 정상","? 확인필요")))</f>
        <v/>
      </c>
      <c r="AG229" s="21" t="n"/>
      <c r="AH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21" t="inlineStr">
        <is>
          <t>O</t>
        </is>
      </c>
      <c r="R230" s="21" t="inlineStr">
        <is>
          <t>X</t>
        </is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>
        <f>IFERROR(TEXTJOIN(" / ",TRUE,UNIQUE(FILTER(소재DB_RAW!$K$3:$K$2000,소재DB_RAW!$G$3:$G$2000=$D230))),"")</f>
        <v/>
      </c>
      <c r="W230" s="20" t="inlineStr">
        <is>
          <t>베트남</t>
        </is>
      </c>
      <c r="X230" s="20">
        <f>IFERROR(TEXTJOIN(" / ",TRUE,UNIQUE(FILTER(소재DB_RAW!$N$3:$N$2000,소재DB_RAW!$G$3:$G$2000=$D230))),"")</f>
        <v/>
      </c>
      <c r="Y230" s="26">
        <f>IFERROR(TEXTJOIN(CHAR(10),TRUE,UNIQUE(FILTER(소재DB_RAW!$N$3:$N$2000&amp;") "&amp;소재DB_RAW!$O$3:$O$2000,(소재DB_RAW!$G$3:$G$2000=$D230)*ISNUMBER(SEARCH("겉감",소재DB_RAW!$M$3:$M$2000))))),"")</f>
        <v/>
      </c>
      <c r="Z230" s="26">
        <f>IFERROR(TEXTJOIN(CHAR(10),TRUE,UNIQUE(FILTER(소재DB_RAW!$N$3:$N$2000&amp;") "&amp;소재DB_RAW!$O$3:$O$2000,(소재DB_RAW!$G$3:$G$2000=$D230)*ISNUMBER(SEARCH("안감",소재DB_RAW!$M$3:$M$2000))))),"")</f>
        <v/>
      </c>
      <c r="AA230" s="27" t="n">
        <v>9012</v>
      </c>
      <c r="AB230" s="27" t="n">
        <v>241458516</v>
      </c>
      <c r="AC230" s="27" t="n">
        <v>1604136000</v>
      </c>
      <c r="AD230" s="20" t="inlineStr">
        <is>
          <t>3월2주</t>
        </is>
      </c>
      <c r="AE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F230" s="19">
        <f>IF($K230="","",IF(OR(LEFT($AE230,2)="작지",LEFT($AE230,4)="소재입고"),IF(LEFT($G230,1)="S","★ 납기위험(S코드)","◆ 지연주의"),IF($AE230="정상","✓ 정상","? 확인필요")))</f>
        <v/>
      </c>
      <c r="AG230" s="21" t="n"/>
      <c r="AH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21" t="inlineStr">
        <is>
          <t>O</t>
        </is>
      </c>
      <c r="R231" s="21" t="inlineStr">
        <is>
          <t>X</t>
        </is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>
        <f>IFERROR(TEXTJOIN(" / ",TRUE,UNIQUE(FILTER(소재DB_RAW!$K$3:$K$2000,소재DB_RAW!$G$3:$G$2000=$D231))),"")</f>
        <v/>
      </c>
      <c r="W231" s="20" t="inlineStr">
        <is>
          <t>베트남</t>
        </is>
      </c>
      <c r="X231" s="20">
        <f>IFERROR(TEXTJOIN(" / ",TRUE,UNIQUE(FILTER(소재DB_RAW!$N$3:$N$2000,소재DB_RAW!$G$3:$G$2000=$D231))),"")</f>
        <v/>
      </c>
      <c r="Y231" s="26">
        <f>IFERROR(TEXTJOIN(CHAR(10),TRUE,UNIQUE(FILTER(소재DB_RAW!$N$3:$N$2000&amp;") "&amp;소재DB_RAW!$O$3:$O$2000,(소재DB_RAW!$G$3:$G$2000=$D231)*ISNUMBER(SEARCH("겉감",소재DB_RAW!$M$3:$M$2000))))),"")</f>
        <v/>
      </c>
      <c r="Z231" s="26">
        <f>IFERROR(TEXTJOIN(CHAR(10),TRUE,UNIQUE(FILTER(소재DB_RAW!$N$3:$N$2000&amp;") "&amp;소재DB_RAW!$O$3:$O$2000,(소재DB_RAW!$G$3:$G$2000=$D231)*ISNUMBER(SEARCH("안감",소재DB_RAW!$M$3:$M$2000))))),"")</f>
        <v/>
      </c>
      <c r="AA231" s="27" t="n">
        <v>1800</v>
      </c>
      <c r="AB231" s="27" t="n">
        <v>66821400</v>
      </c>
      <c r="AC231" s="27" t="n">
        <v>338400000</v>
      </c>
      <c r="AD231" s="20" t="inlineStr">
        <is>
          <t>3월2주</t>
        </is>
      </c>
      <c r="AE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F231" s="19">
        <f>IF($K231="","",IF(OR(LEFT($AE231,2)="작지",LEFT($AE231,4)="소재입고"),IF(LEFT($G231,1)="S","★ 납기위험(S코드)","◆ 지연주의"),IF($AE231="정상","✓ 정상","? 확인필요")))</f>
        <v/>
      </c>
      <c r="AG231" s="21" t="n"/>
      <c r="AH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21" t="inlineStr">
        <is>
          <t>O</t>
        </is>
      </c>
      <c r="R232" s="21" t="inlineStr">
        <is>
          <t>X</t>
        </is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>
        <f>IFERROR(TEXTJOIN(" / ",TRUE,UNIQUE(FILTER(소재DB_RAW!$K$3:$K$2000,소재DB_RAW!$G$3:$G$2000=$D232))),"")</f>
        <v/>
      </c>
      <c r="W232" s="20" t="inlineStr">
        <is>
          <t>베트남</t>
        </is>
      </c>
      <c r="X232" s="20">
        <f>IFERROR(TEXTJOIN(" / ",TRUE,UNIQUE(FILTER(소재DB_RAW!$N$3:$N$2000,소재DB_RAW!$G$3:$G$2000=$D232))),"")</f>
        <v/>
      </c>
      <c r="Y232" s="26">
        <f>IFERROR(TEXTJOIN(CHAR(10),TRUE,UNIQUE(FILTER(소재DB_RAW!$N$3:$N$2000&amp;") "&amp;소재DB_RAW!$O$3:$O$2000,(소재DB_RAW!$G$3:$G$2000=$D232)*ISNUMBER(SEARCH("겉감",소재DB_RAW!$M$3:$M$2000))))),"")</f>
        <v/>
      </c>
      <c r="Z232" s="26">
        <f>IFERROR(TEXTJOIN(CHAR(10),TRUE,UNIQUE(FILTER(소재DB_RAW!$N$3:$N$2000&amp;") "&amp;소재DB_RAW!$O$3:$O$2000,(소재DB_RAW!$G$3:$G$2000=$D232)*ISNUMBER(SEARCH("안감",소재DB_RAW!$M$3:$M$2000))))),"")</f>
        <v/>
      </c>
      <c r="AA232" s="27" t="n">
        <v>1400</v>
      </c>
      <c r="AB232" s="27" t="n">
        <v>48518400</v>
      </c>
      <c r="AC232" s="27" t="n">
        <v>235200000</v>
      </c>
      <c r="AD232" s="20" t="n"/>
      <c r="AE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F232" s="19">
        <f>IF($K232="","",IF(OR(LEFT($AE232,2)="작지",LEFT($AE232,4)="소재입고"),IF(LEFT($G232,1)="S","★ 납기위험(S코드)","◆ 지연주의"),IF($AE232="정상","✓ 정상","? 확인필요")))</f>
        <v/>
      </c>
      <c r="AG232" s="21" t="n"/>
      <c r="AH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21" t="inlineStr">
        <is>
          <t>O</t>
        </is>
      </c>
      <c r="R233" s="21" t="inlineStr">
        <is>
          <t>X</t>
        </is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>
        <f>IFERROR(TEXTJOIN(" / ",TRUE,UNIQUE(FILTER(소재DB_RAW!$K$3:$K$2000,소재DB_RAW!$G$3:$G$2000=$D233))),"")</f>
        <v/>
      </c>
      <c r="W233" s="20" t="inlineStr">
        <is>
          <t>베트남</t>
        </is>
      </c>
      <c r="X233" s="20">
        <f>IFERROR(TEXTJOIN(" / ",TRUE,UNIQUE(FILTER(소재DB_RAW!$N$3:$N$2000,소재DB_RAW!$G$3:$G$2000=$D233))),"")</f>
        <v/>
      </c>
      <c r="Y233" s="26">
        <f>IFERROR(TEXTJOIN(CHAR(10),TRUE,UNIQUE(FILTER(소재DB_RAW!$N$3:$N$2000&amp;") "&amp;소재DB_RAW!$O$3:$O$2000,(소재DB_RAW!$G$3:$G$2000=$D233)*ISNUMBER(SEARCH("겉감",소재DB_RAW!$M$3:$M$2000))))),"")</f>
        <v/>
      </c>
      <c r="Z233" s="26">
        <f>IFERROR(TEXTJOIN(CHAR(10),TRUE,UNIQUE(FILTER(소재DB_RAW!$N$3:$N$2000&amp;") "&amp;소재DB_RAW!$O$3:$O$2000,(소재DB_RAW!$G$3:$G$2000=$D233)*ISNUMBER(SEARCH("안감",소재DB_RAW!$M$3:$M$2000))))),"")</f>
        <v/>
      </c>
      <c r="AA233" s="27" t="n">
        <v>6000</v>
      </c>
      <c r="AB233" s="27" t="n">
        <v>133728000</v>
      </c>
      <c r="AC233" s="27" t="n">
        <v>888000000</v>
      </c>
      <c r="AD233" s="20" t="n"/>
      <c r="AE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F233" s="19">
        <f>IF($K233="","",IF(OR(LEFT($AE233,2)="작지",LEFT($AE233,4)="소재입고"),IF(LEFT($G233,1)="S","★ 납기위험(S코드)","◆ 지연주의"),IF($AE233="정상","✓ 정상","? 확인필요")))</f>
        <v/>
      </c>
      <c r="AG233" s="21" t="n"/>
      <c r="AH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21" t="inlineStr">
        <is>
          <t>O</t>
        </is>
      </c>
      <c r="R234" s="21" t="inlineStr">
        <is>
          <t>X</t>
        </is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>
        <f>IFERROR(TEXTJOIN(" / ",TRUE,UNIQUE(FILTER(소재DB_RAW!$K$3:$K$2000,소재DB_RAW!$G$3:$G$2000=$D234))),"")</f>
        <v/>
      </c>
      <c r="W234" s="20" t="inlineStr">
        <is>
          <t>베트남</t>
        </is>
      </c>
      <c r="X234" s="20">
        <f>IFERROR(TEXTJOIN(" / ",TRUE,UNIQUE(FILTER(소재DB_RAW!$N$3:$N$2000,소재DB_RAW!$G$3:$G$2000=$D234))),"")</f>
        <v/>
      </c>
      <c r="Y234" s="26">
        <f>IFERROR(TEXTJOIN(CHAR(10),TRUE,UNIQUE(FILTER(소재DB_RAW!$N$3:$N$2000&amp;") "&amp;소재DB_RAW!$O$3:$O$2000,(소재DB_RAW!$G$3:$G$2000=$D234)*ISNUMBER(SEARCH("겉감",소재DB_RAW!$M$3:$M$2000))))),"")</f>
        <v/>
      </c>
      <c r="Z234" s="26">
        <f>IFERROR(TEXTJOIN(CHAR(10),TRUE,UNIQUE(FILTER(소재DB_RAW!$N$3:$N$2000&amp;") "&amp;소재DB_RAW!$O$3:$O$2000,(소재DB_RAW!$G$3:$G$2000=$D234)*ISNUMBER(SEARCH("안감",소재DB_RAW!$M$3:$M$2000))))),"")</f>
        <v/>
      </c>
      <c r="AA234" s="27" t="n">
        <v>1400</v>
      </c>
      <c r="AB234" s="27" t="n">
        <v>49487200</v>
      </c>
      <c r="AC234" s="27" t="n">
        <v>221200000</v>
      </c>
      <c r="AD234" s="20" t="n"/>
      <c r="AE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F234" s="19">
        <f>IF($K234="","",IF(OR(LEFT($AE234,2)="작지",LEFT($AE234,4)="소재입고"),IF(LEFT($G234,1)="S","★ 납기위험(S코드)","◆ 지연주의"),IF($AE234="정상","✓ 정상","? 확인필요")))</f>
        <v/>
      </c>
      <c r="AG234" s="21" t="n"/>
      <c r="AH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21" t="inlineStr">
        <is>
          <t>O</t>
        </is>
      </c>
      <c r="R235" s="21" t="inlineStr">
        <is>
          <t>X</t>
        </is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>
        <f>IFERROR(TEXTJOIN(" / ",TRUE,UNIQUE(FILTER(소재DB_RAW!$K$3:$K$2000,소재DB_RAW!$G$3:$G$2000=$D235))),"")</f>
        <v/>
      </c>
      <c r="W235" s="20" t="inlineStr">
        <is>
          <t>베트남</t>
        </is>
      </c>
      <c r="X235" s="20">
        <f>IFERROR(TEXTJOIN(" / ",TRUE,UNIQUE(FILTER(소재DB_RAW!$N$3:$N$2000,소재DB_RAW!$G$3:$G$2000=$D235))),"")</f>
        <v/>
      </c>
      <c r="Y235" s="26">
        <f>IFERROR(TEXTJOIN(CHAR(10),TRUE,UNIQUE(FILTER(소재DB_RAW!$N$3:$N$2000&amp;") "&amp;소재DB_RAW!$O$3:$O$2000,(소재DB_RAW!$G$3:$G$2000=$D235)*ISNUMBER(SEARCH("겉감",소재DB_RAW!$M$3:$M$2000))))),"")</f>
        <v/>
      </c>
      <c r="Z235" s="26">
        <f>IFERROR(TEXTJOIN(CHAR(10),TRUE,UNIQUE(FILTER(소재DB_RAW!$N$3:$N$2000&amp;") "&amp;소재DB_RAW!$O$3:$O$2000,(소재DB_RAW!$G$3:$G$2000=$D235)*ISNUMBER(SEARCH("안감",소재DB_RAW!$M$3:$M$2000))))),"")</f>
        <v/>
      </c>
      <c r="AA235" s="27" t="n">
        <v>15000</v>
      </c>
      <c r="AB235" s="27" t="n">
        <v>255000000</v>
      </c>
      <c r="AC235" s="27" t="n">
        <v>1620000000</v>
      </c>
      <c r="AD235" s="20" t="inlineStr">
        <is>
          <t>44511</t>
        </is>
      </c>
      <c r="AE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F235" s="19">
        <f>IF($K235="","",IF(OR(LEFT($AE235,2)="작지",LEFT($AE235,4)="소재입고"),IF(LEFT($G235,1)="S","★ 납기위험(S코드)","◆ 지연주의"),IF($AE235="정상","✓ 정상","? 확인필요")))</f>
        <v/>
      </c>
      <c r="AG235" s="21" t="n"/>
      <c r="AH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21" t="inlineStr">
        <is>
          <t>O</t>
        </is>
      </c>
      <c r="R236" s="21" t="inlineStr">
        <is>
          <t>X</t>
        </is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>
        <f>IFERROR(TEXTJOIN(" / ",TRUE,UNIQUE(FILTER(소재DB_RAW!$K$3:$K$2000,소재DB_RAW!$G$3:$G$2000=$D236))),"")</f>
        <v/>
      </c>
      <c r="W236" s="20" t="inlineStr">
        <is>
          <t>베트남</t>
        </is>
      </c>
      <c r="X236" s="20">
        <f>IFERROR(TEXTJOIN(" / ",TRUE,UNIQUE(FILTER(소재DB_RAW!$N$3:$N$2000,소재DB_RAW!$G$3:$G$2000=$D236))),"")</f>
        <v/>
      </c>
      <c r="Y236" s="26">
        <f>IFERROR(TEXTJOIN(CHAR(10),TRUE,UNIQUE(FILTER(소재DB_RAW!$N$3:$N$2000&amp;") "&amp;소재DB_RAW!$O$3:$O$2000,(소재DB_RAW!$G$3:$G$2000=$D236)*ISNUMBER(SEARCH("겉감",소재DB_RAW!$M$3:$M$2000))))),"")</f>
        <v/>
      </c>
      <c r="Z236" s="26">
        <f>IFERROR(TEXTJOIN(CHAR(10),TRUE,UNIQUE(FILTER(소재DB_RAW!$N$3:$N$2000&amp;") "&amp;소재DB_RAW!$O$3:$O$2000,(소재DB_RAW!$G$3:$G$2000=$D236)*ISNUMBER(SEARCH("안감",소재DB_RAW!$M$3:$M$2000))))),"")</f>
        <v/>
      </c>
      <c r="AA236" s="27" t="n">
        <v>23000</v>
      </c>
      <c r="AB236" s="27" t="n">
        <v>230000000</v>
      </c>
      <c r="AC236" s="27" t="n">
        <v>1564000000</v>
      </c>
      <c r="AD236" s="20" t="inlineStr">
        <is>
          <t>44511</t>
        </is>
      </c>
      <c r="AE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F236" s="19">
        <f>IF($K236="","",IF(OR(LEFT($AE236,2)="작지",LEFT($AE236,4)="소재입고"),IF(LEFT($G236,1)="S","★ 납기위험(S코드)","◆ 지연주의"),IF($AE236="정상","✓ 정상","? 확인필요")))</f>
        <v/>
      </c>
      <c r="AG236" s="21" t="n"/>
      <c r="AH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21" t="inlineStr">
        <is>
          <t>X</t>
        </is>
      </c>
      <c r="R237" s="21" t="inlineStr">
        <is>
          <t>X</t>
        </is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>
        <f>IFERROR(TEXTJOIN(" / ",TRUE,UNIQUE(FILTER(소재DB_RAW!$K$3:$K$2000,소재DB_RAW!$G$3:$G$2000=$D237))),"")</f>
        <v/>
      </c>
      <c r="W237" s="20" t="inlineStr">
        <is>
          <t>국내</t>
        </is>
      </c>
      <c r="X237" s="20">
        <f>IFERROR(TEXTJOIN(" / ",TRUE,UNIQUE(FILTER(소재DB_RAW!$N$3:$N$2000,소재DB_RAW!$G$3:$G$2000=$D237))),"")</f>
        <v/>
      </c>
      <c r="Y237" s="26">
        <f>IFERROR(TEXTJOIN(CHAR(10),TRUE,UNIQUE(FILTER(소재DB_RAW!$N$3:$N$2000&amp;") "&amp;소재DB_RAW!$O$3:$O$2000,(소재DB_RAW!$G$3:$G$2000=$D237)*ISNUMBER(SEARCH("겉감",소재DB_RAW!$M$3:$M$2000))))),"")</f>
        <v/>
      </c>
      <c r="Z237" s="26">
        <f>IFERROR(TEXTJOIN(CHAR(10),TRUE,UNIQUE(FILTER(소재DB_RAW!$N$3:$N$2000&amp;") "&amp;소재DB_RAW!$O$3:$O$2000,(소재DB_RAW!$G$3:$G$2000=$D237)*ISNUMBER(SEARCH("안감",소재DB_RAW!$M$3:$M$2000))))),"")</f>
        <v/>
      </c>
      <c r="AA237" s="27" t="n">
        <v>3000</v>
      </c>
      <c r="AB237" s="27" t="n">
        <v>37044000</v>
      </c>
      <c r="AC237" s="27" t="n">
        <v>180000000</v>
      </c>
      <c r="AD237" s="20" t="n"/>
      <c r="AE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F237" s="19">
        <f>IF($K237="","",IF(OR(LEFT($AE237,2)="작지",LEFT($AE237,4)="소재입고"),IF(LEFT($G237,1)="S","★ 납기위험(S코드)","◆ 지연주의"),IF($AE237="정상","✓ 정상","? 확인필요")))</f>
        <v/>
      </c>
      <c r="AG237" s="21" t="n"/>
      <c r="AH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21" t="inlineStr">
        <is>
          <t>X</t>
        </is>
      </c>
      <c r="R238" s="21" t="inlineStr">
        <is>
          <t>X</t>
        </is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>
        <f>IFERROR(TEXTJOIN(" / ",TRUE,UNIQUE(FILTER(소재DB_RAW!$K$3:$K$2000,소재DB_RAW!$G$3:$G$2000=$D238))),"")</f>
        <v/>
      </c>
      <c r="W238" s="20" t="inlineStr">
        <is>
          <t>국내</t>
        </is>
      </c>
      <c r="X238" s="20">
        <f>IFERROR(TEXTJOIN(" / ",TRUE,UNIQUE(FILTER(소재DB_RAW!$N$3:$N$2000,소재DB_RAW!$G$3:$G$2000=$D238))),"")</f>
        <v/>
      </c>
      <c r="Y238" s="26">
        <f>IFERROR(TEXTJOIN(CHAR(10),TRUE,UNIQUE(FILTER(소재DB_RAW!$N$3:$N$2000&amp;") "&amp;소재DB_RAW!$O$3:$O$2000,(소재DB_RAW!$G$3:$G$2000=$D238)*ISNUMBER(SEARCH("겉감",소재DB_RAW!$M$3:$M$2000))))),"")</f>
        <v/>
      </c>
      <c r="Z238" s="26">
        <f>IFERROR(TEXTJOIN(CHAR(10),TRUE,UNIQUE(FILTER(소재DB_RAW!$N$3:$N$2000&amp;") "&amp;소재DB_RAW!$O$3:$O$2000,(소재DB_RAW!$G$3:$G$2000=$D238)*ISNUMBER(SEARCH("안감",소재DB_RAW!$M$3:$M$2000))))),"")</f>
        <v/>
      </c>
      <c r="AA238" s="27" t="n">
        <v>12000</v>
      </c>
      <c r="AB238" s="27" t="n">
        <v>150000000</v>
      </c>
      <c r="AC238" s="27" t="n">
        <v>720000000</v>
      </c>
      <c r="AD238" s="20" t="n"/>
      <c r="AE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F238" s="19">
        <f>IF($K238="","",IF(OR(LEFT($AE238,2)="작지",LEFT($AE238,4)="소재입고"),IF(LEFT($G238,1)="S","★ 납기위험(S코드)","◆ 지연주의"),IF($AE238="정상","✓ 정상","? 확인필요")))</f>
        <v/>
      </c>
      <c r="AG238" s="21" t="n"/>
      <c r="AH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21" t="inlineStr">
        <is>
          <t>X</t>
        </is>
      </c>
      <c r="R239" s="21" t="inlineStr">
        <is>
          <t>X</t>
        </is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>
        <f>IFERROR(TEXTJOIN(" / ",TRUE,UNIQUE(FILTER(소재DB_RAW!$K$3:$K$2000,소재DB_RAW!$G$3:$G$2000=$D239))),"")</f>
        <v/>
      </c>
      <c r="W239" s="20" t="inlineStr">
        <is>
          <t>국내</t>
        </is>
      </c>
      <c r="X239" s="20">
        <f>IFERROR(TEXTJOIN(" / ",TRUE,UNIQUE(FILTER(소재DB_RAW!$N$3:$N$2000,소재DB_RAW!$G$3:$G$2000=$D239))),"")</f>
        <v/>
      </c>
      <c r="Y239" s="26">
        <f>IFERROR(TEXTJOIN(CHAR(10),TRUE,UNIQUE(FILTER(소재DB_RAW!$N$3:$N$2000&amp;") "&amp;소재DB_RAW!$O$3:$O$2000,(소재DB_RAW!$G$3:$G$2000=$D239)*ISNUMBER(SEARCH("겉감",소재DB_RAW!$M$3:$M$2000))))),"")</f>
        <v/>
      </c>
      <c r="Z239" s="26">
        <f>IFERROR(TEXTJOIN(CHAR(10),TRUE,UNIQUE(FILTER(소재DB_RAW!$N$3:$N$2000&amp;") "&amp;소재DB_RAW!$O$3:$O$2000,(소재DB_RAW!$G$3:$G$2000=$D239)*ISNUMBER(SEARCH("안감",소재DB_RAW!$M$3:$M$2000))))),"")</f>
        <v/>
      </c>
      <c r="AA239" s="27" t="n">
        <v>2000</v>
      </c>
      <c r="AB239" s="27" t="n">
        <v>28936000</v>
      </c>
      <c r="AC239" s="27" t="n">
        <v>140000000</v>
      </c>
      <c r="AD239" s="20" t="n"/>
      <c r="AE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F239" s="19">
        <f>IF($K239="","",IF(OR(LEFT($AE239,2)="작지",LEFT($AE239,4)="소재입고"),IF(LEFT($G239,1)="S","★ 납기위험(S코드)","◆ 지연주의"),IF($AE239="정상","✓ 정상","? 확인필요")))</f>
        <v/>
      </c>
      <c r="AG239" s="21" t="n"/>
      <c r="AH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21" t="inlineStr">
        <is>
          <t>X</t>
        </is>
      </c>
      <c r="R240" s="21" t="inlineStr">
        <is>
          <t>X</t>
        </is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>
        <f>IFERROR(TEXTJOIN(" / ",TRUE,UNIQUE(FILTER(소재DB_RAW!$K$3:$K$2000,소재DB_RAW!$G$3:$G$2000=$D240))),"")</f>
        <v/>
      </c>
      <c r="W240" s="20" t="inlineStr">
        <is>
          <t>국내</t>
        </is>
      </c>
      <c r="X240" s="20">
        <f>IFERROR(TEXTJOIN(" / ",TRUE,UNIQUE(FILTER(소재DB_RAW!$N$3:$N$2000,소재DB_RAW!$G$3:$G$2000=$D240))),"")</f>
        <v/>
      </c>
      <c r="Y240" s="26">
        <f>IFERROR(TEXTJOIN(CHAR(10),TRUE,UNIQUE(FILTER(소재DB_RAW!$N$3:$N$2000&amp;") "&amp;소재DB_RAW!$O$3:$O$2000,(소재DB_RAW!$G$3:$G$2000=$D240)*ISNUMBER(SEARCH("겉감",소재DB_RAW!$M$3:$M$2000))))),"")</f>
        <v/>
      </c>
      <c r="Z240" s="26">
        <f>IFERROR(TEXTJOIN(CHAR(10),TRUE,UNIQUE(FILTER(소재DB_RAW!$N$3:$N$2000&amp;") "&amp;소재DB_RAW!$O$3:$O$2000,(소재DB_RAW!$G$3:$G$2000=$D240)*ISNUMBER(SEARCH("안감",소재DB_RAW!$M$3:$M$2000))))),"")</f>
        <v/>
      </c>
      <c r="AA240" s="27" t="n">
        <v>3000</v>
      </c>
      <c r="AB240" s="27" t="n">
        <v>41259000</v>
      </c>
      <c r="AC240" s="27" t="n">
        <v>210000000</v>
      </c>
      <c r="AD240" s="20" t="n"/>
      <c r="AE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F240" s="19">
        <f>IF($K240="","",IF(OR(LEFT($AE240,2)="작지",LEFT($AE240,4)="소재입고"),IF(LEFT($G240,1)="S","★ 납기위험(S코드)","◆ 지연주의"),IF($AE240="정상","✓ 정상","? 확인필요")))</f>
        <v/>
      </c>
      <c r="AG240" s="21" t="n"/>
      <c r="AH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21" t="inlineStr">
        <is>
          <t>X</t>
        </is>
      </c>
      <c r="R241" s="21" t="inlineStr">
        <is>
          <t>X</t>
        </is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>
        <f>IFERROR(TEXTJOIN(" / ",TRUE,UNIQUE(FILTER(소재DB_RAW!$K$3:$K$2000,소재DB_RAW!$G$3:$G$2000=$D241))),"")</f>
        <v/>
      </c>
      <c r="W241" s="20" t="inlineStr">
        <is>
          <t>국내</t>
        </is>
      </c>
      <c r="X241" s="20">
        <f>IFERROR(TEXTJOIN(" / ",TRUE,UNIQUE(FILTER(소재DB_RAW!$N$3:$N$2000,소재DB_RAW!$G$3:$G$2000=$D241))),"")</f>
        <v/>
      </c>
      <c r="Y241" s="26">
        <f>IFERROR(TEXTJOIN(CHAR(10),TRUE,UNIQUE(FILTER(소재DB_RAW!$N$3:$N$2000&amp;") "&amp;소재DB_RAW!$O$3:$O$2000,(소재DB_RAW!$G$3:$G$2000=$D241)*ISNUMBER(SEARCH("겉감",소재DB_RAW!$M$3:$M$2000))))),"")</f>
        <v/>
      </c>
      <c r="Z241" s="26">
        <f>IFERROR(TEXTJOIN(CHAR(10),TRUE,UNIQUE(FILTER(소재DB_RAW!$N$3:$N$2000&amp;") "&amp;소재DB_RAW!$O$3:$O$2000,(소재DB_RAW!$G$3:$G$2000=$D241)*ISNUMBER(SEARCH("안감",소재DB_RAW!$M$3:$M$2000))))),"")</f>
        <v/>
      </c>
      <c r="AA241" s="27" t="n">
        <v>1600</v>
      </c>
      <c r="AB241" s="27" t="n">
        <v>23148800</v>
      </c>
      <c r="AC241" s="27" t="n">
        <v>112000000</v>
      </c>
      <c r="AD241" s="20" t="n"/>
      <c r="AE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F241" s="19">
        <f>IF($K241="","",IF(OR(LEFT($AE241,2)="작지",LEFT($AE241,4)="소재입고"),IF(LEFT($G241,1)="S","★ 납기위험(S코드)","◆ 지연주의"),IF($AE241="정상","✓ 정상","? 확인필요")))</f>
        <v/>
      </c>
      <c r="AG241" s="21" t="n"/>
      <c r="AH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21" t="inlineStr">
        <is>
          <t>X</t>
        </is>
      </c>
      <c r="R242" s="21" t="inlineStr">
        <is>
          <t>X</t>
        </is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>
        <f>IFERROR(TEXTJOIN(" / ",TRUE,UNIQUE(FILTER(소재DB_RAW!$K$3:$K$2000,소재DB_RAW!$G$3:$G$2000=$D242))),"")</f>
        <v/>
      </c>
      <c r="W242" s="20" t="inlineStr">
        <is>
          <t>국내</t>
        </is>
      </c>
      <c r="X242" s="20">
        <f>IFERROR(TEXTJOIN(" / ",TRUE,UNIQUE(FILTER(소재DB_RAW!$N$3:$N$2000,소재DB_RAW!$G$3:$G$2000=$D242))),"")</f>
        <v/>
      </c>
      <c r="Y242" s="26">
        <f>IFERROR(TEXTJOIN(CHAR(10),TRUE,UNIQUE(FILTER(소재DB_RAW!$N$3:$N$2000&amp;") "&amp;소재DB_RAW!$O$3:$O$2000,(소재DB_RAW!$G$3:$G$2000=$D242)*ISNUMBER(SEARCH("겉감",소재DB_RAW!$M$3:$M$2000))))),"")</f>
        <v/>
      </c>
      <c r="Z242" s="26">
        <f>IFERROR(TEXTJOIN(CHAR(10),TRUE,UNIQUE(FILTER(소재DB_RAW!$N$3:$N$2000&amp;") "&amp;소재DB_RAW!$O$3:$O$2000,(소재DB_RAW!$G$3:$G$2000=$D242)*ISNUMBER(SEARCH("안감",소재DB_RAW!$M$3:$M$2000))))),"")</f>
        <v/>
      </c>
      <c r="AA242" s="27" t="n">
        <v>1100</v>
      </c>
      <c r="AB242" s="27" t="n">
        <v>15914800</v>
      </c>
      <c r="AC242" s="27" t="n">
        <v>77000000</v>
      </c>
      <c r="AD242" s="20" t="n"/>
      <c r="AE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F242" s="19">
        <f>IF($K242="","",IF(OR(LEFT($AE242,2)="작지",LEFT($AE242,4)="소재입고"),IF(LEFT($G242,1)="S","★ 납기위험(S코드)","◆ 지연주의"),IF($AE242="정상","✓ 정상","? 확인필요")))</f>
        <v/>
      </c>
      <c r="AG242" s="21" t="n"/>
      <c r="AH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21" t="inlineStr">
        <is>
          <t>O</t>
        </is>
      </c>
      <c r="R243" s="21" t="inlineStr">
        <is>
          <t>X</t>
        </is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>
        <f>IFERROR(TEXTJOIN(" / ",TRUE,UNIQUE(FILTER(소재DB_RAW!$K$3:$K$2000,소재DB_RAW!$G$3:$G$2000=$D243))),"")</f>
        <v/>
      </c>
      <c r="W243" s="20" t="inlineStr">
        <is>
          <t>베트남</t>
        </is>
      </c>
      <c r="X243" s="20">
        <f>IFERROR(TEXTJOIN(" / ",TRUE,UNIQUE(FILTER(소재DB_RAW!$N$3:$N$2000,소재DB_RAW!$G$3:$G$2000=$D243))),"")</f>
        <v/>
      </c>
      <c r="Y243" s="26">
        <f>IFERROR(TEXTJOIN(CHAR(10),TRUE,UNIQUE(FILTER(소재DB_RAW!$N$3:$N$2000&amp;") "&amp;소재DB_RAW!$O$3:$O$2000,(소재DB_RAW!$G$3:$G$2000=$D243)*ISNUMBER(SEARCH("겉감",소재DB_RAW!$M$3:$M$2000))))),"")</f>
        <v/>
      </c>
      <c r="Z243" s="26">
        <f>IFERROR(TEXTJOIN(CHAR(10),TRUE,UNIQUE(FILTER(소재DB_RAW!$N$3:$N$2000&amp;") "&amp;소재DB_RAW!$O$3:$O$2000,(소재DB_RAW!$G$3:$G$2000=$D243)*ISNUMBER(SEARCH("안감",소재DB_RAW!$M$3:$M$2000))))),"")</f>
        <v/>
      </c>
      <c r="AA243" s="27" t="n">
        <v>2000</v>
      </c>
      <c r="AB243" s="27" t="n">
        <v>53600000</v>
      </c>
      <c r="AC243" s="27" t="n">
        <v>276000000</v>
      </c>
      <c r="AD243" s="20" t="n"/>
      <c r="AE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F243" s="19">
        <f>IF($K243="","",IF(OR(LEFT($AE243,2)="작지",LEFT($AE243,4)="소재입고"),IF(LEFT($G243,1)="S","★ 납기위험(S코드)","◆ 지연주의"),IF($AE243="정상","✓ 정상","? 확인필요")))</f>
        <v/>
      </c>
      <c r="AG243" s="21" t="n"/>
      <c r="AH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21" t="inlineStr">
        <is>
          <t>O</t>
        </is>
      </c>
      <c r="R244" s="21" t="n"/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>
        <f>IFERROR(TEXTJOIN(" / ",TRUE,UNIQUE(FILTER(소재DB_RAW!$K$3:$K$2000,소재DB_RAW!$G$3:$G$2000=$D244))),"")</f>
        <v/>
      </c>
      <c r="W244" s="20" t="inlineStr"/>
      <c r="X244" s="20">
        <f>IFERROR(TEXTJOIN(" / ",TRUE,UNIQUE(FILTER(소재DB_RAW!$N$3:$N$2000,소재DB_RAW!$G$3:$G$2000=$D244))),"")</f>
        <v/>
      </c>
      <c r="Y244" s="26">
        <f>IFERROR(TEXTJOIN(CHAR(10),TRUE,UNIQUE(FILTER(소재DB_RAW!$N$3:$N$2000&amp;") "&amp;소재DB_RAW!$O$3:$O$2000,(소재DB_RAW!$G$3:$G$2000=$D244)*ISNUMBER(SEARCH("겉감",소재DB_RAW!$M$3:$M$2000))))),"")</f>
        <v/>
      </c>
      <c r="Z244" s="26">
        <f>IFERROR(TEXTJOIN(CHAR(10),TRUE,UNIQUE(FILTER(소재DB_RAW!$N$3:$N$2000&amp;") "&amp;소재DB_RAW!$O$3:$O$2000,(소재DB_RAW!$G$3:$G$2000=$D244)*ISNUMBER(SEARCH("안감",소재DB_RAW!$M$3:$M$2000))))),"")</f>
        <v/>
      </c>
      <c r="AA244" s="27" t="n">
        <v>2500</v>
      </c>
      <c r="AB244" s="27" t="n">
        <v>70000000</v>
      </c>
      <c r="AC244" s="27" t="n">
        <v>370000000</v>
      </c>
      <c r="AD244" s="20" t="n"/>
      <c r="AE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F244" s="19">
        <f>IF($K244="","",IF(OR(LEFT($AE244,2)="작지",LEFT($AE244,4)="소재입고"),IF(LEFT($G244,1)="S","★ 납기위험(S코드)","◆ 지연주의"),IF($AE244="정상","✓ 정상","? 확인필요")))</f>
        <v/>
      </c>
      <c r="AG244" s="21" t="n"/>
      <c r="AH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21" t="inlineStr">
        <is>
          <t>O</t>
        </is>
      </c>
      <c r="R245" s="21" t="inlineStr">
        <is>
          <t>X</t>
        </is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>
        <f>IFERROR(TEXTJOIN(" / ",TRUE,UNIQUE(FILTER(소재DB_RAW!$K$3:$K$2000,소재DB_RAW!$G$3:$G$2000=$D245))),"")</f>
        <v/>
      </c>
      <c r="W245" s="20" t="inlineStr">
        <is>
          <t>베트남</t>
        </is>
      </c>
      <c r="X245" s="20">
        <f>IFERROR(TEXTJOIN(" / ",TRUE,UNIQUE(FILTER(소재DB_RAW!$N$3:$N$2000,소재DB_RAW!$G$3:$G$2000=$D245))),"")</f>
        <v/>
      </c>
      <c r="Y245" s="26">
        <f>IFERROR(TEXTJOIN(CHAR(10),TRUE,UNIQUE(FILTER(소재DB_RAW!$N$3:$N$2000&amp;") "&amp;소재DB_RAW!$O$3:$O$2000,(소재DB_RAW!$G$3:$G$2000=$D245)*ISNUMBER(SEARCH("겉감",소재DB_RAW!$M$3:$M$2000))))),"")</f>
        <v/>
      </c>
      <c r="Z245" s="26">
        <f>IFERROR(TEXTJOIN(CHAR(10),TRUE,UNIQUE(FILTER(소재DB_RAW!$N$3:$N$2000&amp;") "&amp;소재DB_RAW!$O$3:$O$2000,(소재DB_RAW!$G$3:$G$2000=$D245)*ISNUMBER(SEARCH("안감",소재DB_RAW!$M$3:$M$2000))))),"")</f>
        <v/>
      </c>
      <c r="AA245" s="27" t="n">
        <v>24000</v>
      </c>
      <c r="AB245" s="27" t="n">
        <v>396576000</v>
      </c>
      <c r="AC245" s="27" t="n">
        <v>2592000000</v>
      </c>
      <c r="AD245" s="20" t="inlineStr">
        <is>
          <t>3월2주</t>
        </is>
      </c>
      <c r="AE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F245" s="19">
        <f>IF($K245="","",IF(OR(LEFT($AE245,2)="작지",LEFT($AE245,4)="소재입고"),IF(LEFT($G245,1)="S","★ 납기위험(S코드)","◆ 지연주의"),IF($AE245="정상","✓ 정상","? 확인필요")))</f>
        <v/>
      </c>
      <c r="AG245" s="21" t="n"/>
      <c r="AH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21" t="inlineStr">
        <is>
          <t>O</t>
        </is>
      </c>
      <c r="R246" s="21" t="inlineStr">
        <is>
          <t>X</t>
        </is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>
        <f>IFERROR(TEXTJOIN(" / ",TRUE,UNIQUE(FILTER(소재DB_RAW!$K$3:$K$2000,소재DB_RAW!$G$3:$G$2000=$D246))),"")</f>
        <v/>
      </c>
      <c r="W246" s="20" t="inlineStr">
        <is>
          <t>베트남</t>
        </is>
      </c>
      <c r="X246" s="20">
        <f>IFERROR(TEXTJOIN(" / ",TRUE,UNIQUE(FILTER(소재DB_RAW!$N$3:$N$2000,소재DB_RAW!$G$3:$G$2000=$D246))),"")</f>
        <v/>
      </c>
      <c r="Y246" s="26">
        <f>IFERROR(TEXTJOIN(CHAR(10),TRUE,UNIQUE(FILTER(소재DB_RAW!$N$3:$N$2000&amp;") "&amp;소재DB_RAW!$O$3:$O$2000,(소재DB_RAW!$G$3:$G$2000=$D246)*ISNUMBER(SEARCH("겉감",소재DB_RAW!$M$3:$M$2000))))),"")</f>
        <v/>
      </c>
      <c r="Z246" s="26">
        <f>IFERROR(TEXTJOIN(CHAR(10),TRUE,UNIQUE(FILTER(소재DB_RAW!$N$3:$N$2000&amp;") "&amp;소재DB_RAW!$O$3:$O$2000,(소재DB_RAW!$G$3:$G$2000=$D246)*ISNUMBER(SEARCH("안감",소재DB_RAW!$M$3:$M$2000))))),"")</f>
        <v/>
      </c>
      <c r="AA246" s="27" t="n">
        <v>6000</v>
      </c>
      <c r="AB246" s="27" t="n">
        <v>165174000</v>
      </c>
      <c r="AC246" s="27" t="n">
        <v>708000000</v>
      </c>
      <c r="AD246" s="20" t="inlineStr">
        <is>
          <t>3월2주</t>
        </is>
      </c>
      <c r="AE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F246" s="19">
        <f>IF($K246="","",IF(OR(LEFT($AE246,2)="작지",LEFT($AE246,4)="소재입고"),IF(LEFT($G246,1)="S","★ 납기위험(S코드)","◆ 지연주의"),IF($AE246="정상","✓ 정상","? 확인필요")))</f>
        <v/>
      </c>
      <c r="AG246" s="21" t="n"/>
      <c r="AH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21" t="inlineStr">
        <is>
          <t>O</t>
        </is>
      </c>
      <c r="R247" s="21" t="n"/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>
        <f>IFERROR(TEXTJOIN(" / ",TRUE,UNIQUE(FILTER(소재DB_RAW!$K$3:$K$2000,소재DB_RAW!$G$3:$G$2000=$D247))),"")</f>
        <v/>
      </c>
      <c r="W247" s="20" t="inlineStr"/>
      <c r="X247" s="20">
        <f>IFERROR(TEXTJOIN(" / ",TRUE,UNIQUE(FILTER(소재DB_RAW!$N$3:$N$2000,소재DB_RAW!$G$3:$G$2000=$D247))),"")</f>
        <v/>
      </c>
      <c r="Y247" s="26">
        <f>IFERROR(TEXTJOIN(CHAR(10),TRUE,UNIQUE(FILTER(소재DB_RAW!$N$3:$N$2000&amp;") "&amp;소재DB_RAW!$O$3:$O$2000,(소재DB_RAW!$G$3:$G$2000=$D247)*ISNUMBER(SEARCH("겉감",소재DB_RAW!$M$3:$M$2000))))),"")</f>
        <v/>
      </c>
      <c r="Z247" s="26">
        <f>IFERROR(TEXTJOIN(CHAR(10),TRUE,UNIQUE(FILTER(소재DB_RAW!$N$3:$N$2000&amp;") "&amp;소재DB_RAW!$O$3:$O$2000,(소재DB_RAW!$G$3:$G$2000=$D247)*ISNUMBER(SEARCH("안감",소재DB_RAW!$M$3:$M$2000))))),"")</f>
        <v/>
      </c>
      <c r="AA247" s="27" t="n">
        <v>1800</v>
      </c>
      <c r="AB247" s="27" t="n">
        <v>42300000</v>
      </c>
      <c r="AC247" s="27" t="n">
        <v>212400000</v>
      </c>
      <c r="AD247" s="20" t="n"/>
      <c r="AE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F247" s="19">
        <f>IF($K247="","",IF(OR(LEFT($AE247,2)="작지",LEFT($AE247,4)="소재입고"),IF(LEFT($G247,1)="S","★ 납기위험(S코드)","◆ 지연주의"),IF($AE247="정상","✓ 정상","? 확인필요")))</f>
        <v/>
      </c>
      <c r="AG247" s="21" t="n"/>
      <c r="AH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21" t="inlineStr">
        <is>
          <t>O</t>
        </is>
      </c>
      <c r="R248" s="21" t="n"/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>
        <f>IFERROR(TEXTJOIN(" / ",TRUE,UNIQUE(FILTER(소재DB_RAW!$K$3:$K$2000,소재DB_RAW!$G$3:$G$2000=$D248))),"")</f>
        <v/>
      </c>
      <c r="W248" s="20" t="inlineStr"/>
      <c r="X248" s="20">
        <f>IFERROR(TEXTJOIN(" / ",TRUE,UNIQUE(FILTER(소재DB_RAW!$N$3:$N$2000,소재DB_RAW!$G$3:$G$2000=$D248))),"")</f>
        <v/>
      </c>
      <c r="Y248" s="26">
        <f>IFERROR(TEXTJOIN(CHAR(10),TRUE,UNIQUE(FILTER(소재DB_RAW!$N$3:$N$2000&amp;") "&amp;소재DB_RAW!$O$3:$O$2000,(소재DB_RAW!$G$3:$G$2000=$D248)*ISNUMBER(SEARCH("겉감",소재DB_RAW!$M$3:$M$2000))))),"")</f>
        <v/>
      </c>
      <c r="Z248" s="26">
        <f>IFERROR(TEXTJOIN(CHAR(10),TRUE,UNIQUE(FILTER(소재DB_RAW!$N$3:$N$2000&amp;") "&amp;소재DB_RAW!$O$3:$O$2000,(소재DB_RAW!$G$3:$G$2000=$D248)*ISNUMBER(SEARCH("안감",소재DB_RAW!$M$3:$M$2000))))),"")</f>
        <v/>
      </c>
      <c r="AA248" s="27" t="n">
        <v>3200</v>
      </c>
      <c r="AB248" s="27" t="n">
        <v>81600000</v>
      </c>
      <c r="AC248" s="27" t="n">
        <v>409600000</v>
      </c>
      <c r="AD248" s="20" t="n"/>
      <c r="AE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F248" s="19">
        <f>IF($K248="","",IF(OR(LEFT($AE248,2)="작지",LEFT($AE248,4)="소재입고"),IF(LEFT($G248,1)="S","★ 납기위험(S코드)","◆ 지연주의"),IF($AE248="정상","✓ 정상","? 확인필요")))</f>
        <v/>
      </c>
      <c r="AG248" s="21" t="n"/>
      <c r="AH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21" t="inlineStr">
        <is>
          <t>O</t>
        </is>
      </c>
      <c r="R249" s="21" t="inlineStr">
        <is>
          <t>X</t>
        </is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>
        <f>IFERROR(TEXTJOIN(" / ",TRUE,UNIQUE(FILTER(소재DB_RAW!$K$3:$K$2000,소재DB_RAW!$G$3:$G$2000=$D249))),"")</f>
        <v/>
      </c>
      <c r="W249" s="20" t="inlineStr">
        <is>
          <t>베트남</t>
        </is>
      </c>
      <c r="X249" s="20">
        <f>IFERROR(TEXTJOIN(" / ",TRUE,UNIQUE(FILTER(소재DB_RAW!$N$3:$N$2000,소재DB_RAW!$G$3:$G$2000=$D249))),"")</f>
        <v/>
      </c>
      <c r="Y249" s="26">
        <f>IFERROR(TEXTJOIN(CHAR(10),TRUE,UNIQUE(FILTER(소재DB_RAW!$N$3:$N$2000&amp;") "&amp;소재DB_RAW!$O$3:$O$2000,(소재DB_RAW!$G$3:$G$2000=$D249)*ISNUMBER(SEARCH("겉감",소재DB_RAW!$M$3:$M$2000))))),"")</f>
        <v/>
      </c>
      <c r="Z249" s="26">
        <f>IFERROR(TEXTJOIN(CHAR(10),TRUE,UNIQUE(FILTER(소재DB_RAW!$N$3:$N$2000&amp;") "&amp;소재DB_RAW!$O$3:$O$2000,(소재DB_RAW!$G$3:$G$2000=$D249)*ISNUMBER(SEARCH("안감",소재DB_RAW!$M$3:$M$2000))))),"")</f>
        <v/>
      </c>
      <c r="AA249" s="27" t="n">
        <v>1500</v>
      </c>
      <c r="AB249" s="27" t="n">
        <v>38922000</v>
      </c>
      <c r="AC249" s="27" t="n">
        <v>237000000</v>
      </c>
      <c r="AD249" s="20" t="inlineStr">
        <is>
          <t>3월2주</t>
        </is>
      </c>
      <c r="AE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F249" s="19">
        <f>IF($K249="","",IF(OR(LEFT($AE249,2)="작지",LEFT($AE249,4)="소재입고"),IF(LEFT($G249,1)="S","★ 납기위험(S코드)","◆ 지연주의"),IF($AE249="정상","✓ 정상","? 확인필요")))</f>
        <v/>
      </c>
      <c r="AG249" s="21" t="n"/>
      <c r="AH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21" t="inlineStr">
        <is>
          <t>O</t>
        </is>
      </c>
      <c r="R250" s="21" t="inlineStr">
        <is>
          <t>X</t>
        </is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>
        <f>IFERROR(TEXTJOIN(" / ",TRUE,UNIQUE(FILTER(소재DB_RAW!$K$3:$K$2000,소재DB_RAW!$G$3:$G$2000=$D250))),"")</f>
        <v/>
      </c>
      <c r="W250" s="20" t="inlineStr">
        <is>
          <t>베트남</t>
        </is>
      </c>
      <c r="X250" s="20">
        <f>IFERROR(TEXTJOIN(" / ",TRUE,UNIQUE(FILTER(소재DB_RAW!$N$3:$N$2000,소재DB_RAW!$G$3:$G$2000=$D250))),"")</f>
        <v/>
      </c>
      <c r="Y250" s="26">
        <f>IFERROR(TEXTJOIN(CHAR(10),TRUE,UNIQUE(FILTER(소재DB_RAW!$N$3:$N$2000&amp;") "&amp;소재DB_RAW!$O$3:$O$2000,(소재DB_RAW!$G$3:$G$2000=$D250)*ISNUMBER(SEARCH("겉감",소재DB_RAW!$M$3:$M$2000))))),"")</f>
        <v/>
      </c>
      <c r="Z250" s="26">
        <f>IFERROR(TEXTJOIN(CHAR(10),TRUE,UNIQUE(FILTER(소재DB_RAW!$N$3:$N$2000&amp;") "&amp;소재DB_RAW!$O$3:$O$2000,(소재DB_RAW!$G$3:$G$2000=$D250)*ISNUMBER(SEARCH("안감",소재DB_RAW!$M$3:$M$2000))))),"")</f>
        <v/>
      </c>
      <c r="AA250" s="27" t="n">
        <v>2000</v>
      </c>
      <c r="AB250" s="27" t="n">
        <v>82328000</v>
      </c>
      <c r="AC250" s="27" t="n">
        <v>440000000</v>
      </c>
      <c r="AD250" s="20" t="n"/>
      <c r="AE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F250" s="19">
        <f>IF($K250="","",IF(OR(LEFT($AE250,2)="작지",LEFT($AE250,4)="소재입고"),IF(LEFT($G250,1)="S","★ 납기위험(S코드)","◆ 지연주의"),IF($AE250="정상","✓ 정상","? 확인필요")))</f>
        <v/>
      </c>
      <c r="AG250" s="21" t="n"/>
      <c r="AH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21" t="inlineStr">
        <is>
          <t>O</t>
        </is>
      </c>
      <c r="R251" s="21" t="inlineStr">
        <is>
          <t>X</t>
        </is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>
        <f>IFERROR(TEXTJOIN(" / ",TRUE,UNIQUE(FILTER(소재DB_RAW!$K$3:$K$2000,소재DB_RAW!$G$3:$G$2000=$D251))),"")</f>
        <v/>
      </c>
      <c r="W251" s="20" t="inlineStr">
        <is>
          <t>베트남</t>
        </is>
      </c>
      <c r="X251" s="20">
        <f>IFERROR(TEXTJOIN(" / ",TRUE,UNIQUE(FILTER(소재DB_RAW!$N$3:$N$2000,소재DB_RAW!$G$3:$G$2000=$D251))),"")</f>
        <v/>
      </c>
      <c r="Y251" s="26">
        <f>IFERROR(TEXTJOIN(CHAR(10),TRUE,UNIQUE(FILTER(소재DB_RAW!$N$3:$N$2000&amp;") "&amp;소재DB_RAW!$O$3:$O$2000,(소재DB_RAW!$G$3:$G$2000=$D251)*ISNUMBER(SEARCH("겉감",소재DB_RAW!$M$3:$M$2000))))),"")</f>
        <v/>
      </c>
      <c r="Z251" s="26">
        <f>IFERROR(TEXTJOIN(CHAR(10),TRUE,UNIQUE(FILTER(소재DB_RAW!$N$3:$N$2000&amp;") "&amp;소재DB_RAW!$O$3:$O$2000,(소재DB_RAW!$G$3:$G$2000=$D251)*ISNUMBER(SEARCH("안감",소재DB_RAW!$M$3:$M$2000))))),"")</f>
        <v/>
      </c>
      <c r="AA251" s="27" t="n">
        <v>3500</v>
      </c>
      <c r="AB251" s="27" t="n">
        <v>146688500</v>
      </c>
      <c r="AC251" s="27" t="n">
        <v>770000000</v>
      </c>
      <c r="AD251" s="20" t="n"/>
      <c r="AE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F251" s="19">
        <f>IF($K251="","",IF(OR(LEFT($AE251,2)="작지",LEFT($AE251,4)="소재입고"),IF(LEFT($G251,1)="S","★ 납기위험(S코드)","◆ 지연주의"),IF($AE251="정상","✓ 정상","? 확인필요")))</f>
        <v/>
      </c>
      <c r="AG251" s="21" t="n"/>
      <c r="AH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21" t="inlineStr">
        <is>
          <t>O</t>
        </is>
      </c>
      <c r="R252" s="21" t="inlineStr">
        <is>
          <t>X</t>
        </is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>
        <f>IFERROR(TEXTJOIN(" / ",TRUE,UNIQUE(FILTER(소재DB_RAW!$K$3:$K$2000,소재DB_RAW!$G$3:$G$2000=$D252))),"")</f>
        <v/>
      </c>
      <c r="W252" s="20" t="inlineStr">
        <is>
          <t>베트남</t>
        </is>
      </c>
      <c r="X252" s="20">
        <f>IFERROR(TEXTJOIN(" / ",TRUE,UNIQUE(FILTER(소재DB_RAW!$N$3:$N$2000,소재DB_RAW!$G$3:$G$2000=$D252))),"")</f>
        <v/>
      </c>
      <c r="Y252" s="26">
        <f>IFERROR(TEXTJOIN(CHAR(10),TRUE,UNIQUE(FILTER(소재DB_RAW!$N$3:$N$2000&amp;") "&amp;소재DB_RAW!$O$3:$O$2000,(소재DB_RAW!$G$3:$G$2000=$D252)*ISNUMBER(SEARCH("겉감",소재DB_RAW!$M$3:$M$2000))))),"")</f>
        <v/>
      </c>
      <c r="Z252" s="26">
        <f>IFERROR(TEXTJOIN(CHAR(10),TRUE,UNIQUE(FILTER(소재DB_RAW!$N$3:$N$2000&amp;") "&amp;소재DB_RAW!$O$3:$O$2000,(소재DB_RAW!$G$3:$G$2000=$D252)*ISNUMBER(SEARCH("안감",소재DB_RAW!$M$3:$M$2000))))),"")</f>
        <v/>
      </c>
      <c r="AA252" s="27" t="n">
        <v>3500</v>
      </c>
      <c r="AB252" s="27" t="n">
        <v>122696000</v>
      </c>
      <c r="AC252" s="27" t="n">
        <v>553000000</v>
      </c>
      <c r="AD252" s="20" t="inlineStr">
        <is>
          <t>3월2주</t>
        </is>
      </c>
      <c r="AE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F252" s="19">
        <f>IF($K252="","",IF(OR(LEFT($AE252,2)="작지",LEFT($AE252,4)="소재입고"),IF(LEFT($G252,1)="S","★ 납기위험(S코드)","◆ 지연주의"),IF($AE252="정상","✓ 정상","? 확인필요")))</f>
        <v/>
      </c>
      <c r="AG252" s="21" t="n"/>
      <c r="AH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21" t="inlineStr">
        <is>
          <t>O</t>
        </is>
      </c>
      <c r="R253" s="21" t="inlineStr">
        <is>
          <t>X</t>
        </is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>
        <f>IFERROR(TEXTJOIN(" / ",TRUE,UNIQUE(FILTER(소재DB_RAW!$K$3:$K$2000,소재DB_RAW!$G$3:$G$2000=$D253))),"")</f>
        <v/>
      </c>
      <c r="W253" s="20" t="inlineStr">
        <is>
          <t>베트남</t>
        </is>
      </c>
      <c r="X253" s="20">
        <f>IFERROR(TEXTJOIN(" / ",TRUE,UNIQUE(FILTER(소재DB_RAW!$N$3:$N$2000,소재DB_RAW!$G$3:$G$2000=$D253))),"")</f>
        <v/>
      </c>
      <c r="Y253" s="26">
        <f>IFERROR(TEXTJOIN(CHAR(10),TRUE,UNIQUE(FILTER(소재DB_RAW!$N$3:$N$2000&amp;") "&amp;소재DB_RAW!$O$3:$O$2000,(소재DB_RAW!$G$3:$G$2000=$D253)*ISNUMBER(SEARCH("겉감",소재DB_RAW!$M$3:$M$2000))))),"")</f>
        <v/>
      </c>
      <c r="Z253" s="26">
        <f>IFERROR(TEXTJOIN(CHAR(10),TRUE,UNIQUE(FILTER(소재DB_RAW!$N$3:$N$2000&amp;") "&amp;소재DB_RAW!$O$3:$O$2000,(소재DB_RAW!$G$3:$G$2000=$D253)*ISNUMBER(SEARCH("안감",소재DB_RAW!$M$3:$M$2000))))),"")</f>
        <v/>
      </c>
      <c r="AA253" s="27" t="n">
        <v>3000</v>
      </c>
      <c r="AB253" s="27" t="n">
        <v>110343000</v>
      </c>
      <c r="AC253" s="27" t="n">
        <v>534000000</v>
      </c>
      <c r="AD253" s="20" t="inlineStr">
        <is>
          <t>3월2주</t>
        </is>
      </c>
      <c r="AE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F253" s="19">
        <f>IF($K253="","",IF(OR(LEFT($AE253,2)="작지",LEFT($AE253,4)="소재입고"),IF(LEFT($G253,1)="S","★ 납기위험(S코드)","◆ 지연주의"),IF($AE253="정상","✓ 정상","? 확인필요")))</f>
        <v/>
      </c>
      <c r="AG253" s="21" t="n"/>
      <c r="AH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21" t="inlineStr">
        <is>
          <t>O</t>
        </is>
      </c>
      <c r="R254" s="21" t="inlineStr">
        <is>
          <t>X</t>
        </is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>
        <f>IFERROR(TEXTJOIN(" / ",TRUE,UNIQUE(FILTER(소재DB_RAW!$K$3:$K$2000,소재DB_RAW!$G$3:$G$2000=$D254))),"")</f>
        <v/>
      </c>
      <c r="W254" s="20" t="inlineStr">
        <is>
          <t>베트남</t>
        </is>
      </c>
      <c r="X254" s="20">
        <f>IFERROR(TEXTJOIN(" / ",TRUE,UNIQUE(FILTER(소재DB_RAW!$N$3:$N$2000,소재DB_RAW!$G$3:$G$2000=$D254))),"")</f>
        <v/>
      </c>
      <c r="Y254" s="26">
        <f>IFERROR(TEXTJOIN(CHAR(10),TRUE,UNIQUE(FILTER(소재DB_RAW!$N$3:$N$2000&amp;") "&amp;소재DB_RAW!$O$3:$O$2000,(소재DB_RAW!$G$3:$G$2000=$D254)*ISNUMBER(SEARCH("겉감",소재DB_RAW!$M$3:$M$2000))))),"")</f>
        <v/>
      </c>
      <c r="Z254" s="26">
        <f>IFERROR(TEXTJOIN(CHAR(10),TRUE,UNIQUE(FILTER(소재DB_RAW!$N$3:$N$2000&amp;") "&amp;소재DB_RAW!$O$3:$O$2000,(소재DB_RAW!$G$3:$G$2000=$D254)*ISNUMBER(SEARCH("안감",소재DB_RAW!$M$3:$M$2000))))),"")</f>
        <v/>
      </c>
      <c r="AA254" s="27" t="n">
        <v>3000</v>
      </c>
      <c r="AB254" s="27" t="n">
        <v>94791000</v>
      </c>
      <c r="AC254" s="27" t="n">
        <v>474000000</v>
      </c>
      <c r="AD254" s="20" t="n"/>
      <c r="AE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F254" s="19">
        <f>IF($K254="","",IF(OR(LEFT($AE254,2)="작지",LEFT($AE254,4)="소재입고"),IF(LEFT($G254,1)="S","★ 납기위험(S코드)","◆ 지연주의"),IF($AE254="정상","✓ 정상","? 확인필요")))</f>
        <v/>
      </c>
      <c r="AG254" s="21" t="n"/>
      <c r="AH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21" t="inlineStr">
        <is>
          <t>O</t>
        </is>
      </c>
      <c r="R255" s="21" t="inlineStr">
        <is>
          <t>X</t>
        </is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>
        <f>IFERROR(TEXTJOIN(" / ",TRUE,UNIQUE(FILTER(소재DB_RAW!$K$3:$K$2000,소재DB_RAW!$G$3:$G$2000=$D255))),"")</f>
        <v/>
      </c>
      <c r="W255" s="20" t="inlineStr">
        <is>
          <t>베트남</t>
        </is>
      </c>
      <c r="X255" s="20">
        <f>IFERROR(TEXTJOIN(" / ",TRUE,UNIQUE(FILTER(소재DB_RAW!$N$3:$N$2000,소재DB_RAW!$G$3:$G$2000=$D255))),"")</f>
        <v/>
      </c>
      <c r="Y255" s="26">
        <f>IFERROR(TEXTJOIN(CHAR(10),TRUE,UNIQUE(FILTER(소재DB_RAW!$N$3:$N$2000&amp;") "&amp;소재DB_RAW!$O$3:$O$2000,(소재DB_RAW!$G$3:$G$2000=$D255)*ISNUMBER(SEARCH("겉감",소재DB_RAW!$M$3:$M$2000))))),"")</f>
        <v/>
      </c>
      <c r="Z255" s="26">
        <f>IFERROR(TEXTJOIN(CHAR(10),TRUE,UNIQUE(FILTER(소재DB_RAW!$N$3:$N$2000&amp;") "&amp;소재DB_RAW!$O$3:$O$2000,(소재DB_RAW!$G$3:$G$2000=$D255)*ISNUMBER(SEARCH("안감",소재DB_RAW!$M$3:$M$2000))))),"")</f>
        <v/>
      </c>
      <c r="AA255" s="27" t="n">
        <v>5500</v>
      </c>
      <c r="AB255" s="27" t="n">
        <v>127193000</v>
      </c>
      <c r="AC255" s="27" t="n">
        <v>649000000</v>
      </c>
      <c r="AD255" s="20" t="inlineStr">
        <is>
          <t>3월2주</t>
        </is>
      </c>
      <c r="AE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F255" s="19">
        <f>IF($K255="","",IF(OR(LEFT($AE255,2)="작지",LEFT($AE255,4)="소재입고"),IF(LEFT($G255,1)="S","★ 납기위험(S코드)","◆ 지연주의"),IF($AE255="정상","✓ 정상","? 확인필요")))</f>
        <v/>
      </c>
      <c r="AG255" s="21" t="n"/>
      <c r="AH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21" t="inlineStr">
        <is>
          <t>O</t>
        </is>
      </c>
      <c r="R256" s="21" t="n"/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>
        <f>IFERROR(TEXTJOIN(" / ",TRUE,UNIQUE(FILTER(소재DB_RAW!$K$3:$K$2000,소재DB_RAW!$G$3:$G$2000=$D256))),"")</f>
        <v/>
      </c>
      <c r="W256" s="20" t="inlineStr"/>
      <c r="X256" s="20">
        <f>IFERROR(TEXTJOIN(" / ",TRUE,UNIQUE(FILTER(소재DB_RAW!$N$3:$N$2000,소재DB_RAW!$G$3:$G$2000=$D256))),"")</f>
        <v/>
      </c>
      <c r="Y256" s="26">
        <f>IFERROR(TEXTJOIN(CHAR(10),TRUE,UNIQUE(FILTER(소재DB_RAW!$N$3:$N$2000&amp;") "&amp;소재DB_RAW!$O$3:$O$2000,(소재DB_RAW!$G$3:$G$2000=$D256)*ISNUMBER(SEARCH("겉감",소재DB_RAW!$M$3:$M$2000))))),"")</f>
        <v/>
      </c>
      <c r="Z256" s="26">
        <f>IFERROR(TEXTJOIN(CHAR(10),TRUE,UNIQUE(FILTER(소재DB_RAW!$N$3:$N$2000&amp;") "&amp;소재DB_RAW!$O$3:$O$2000,(소재DB_RAW!$G$3:$G$2000=$D256)*ISNUMBER(SEARCH("안감",소재DB_RAW!$M$3:$M$2000))))),"")</f>
        <v/>
      </c>
      <c r="AA256" s="27" t="n">
        <v>1500</v>
      </c>
      <c r="AB256" s="27" t="n">
        <v>31500000</v>
      </c>
      <c r="AC256" s="27" t="n">
        <v>177000000</v>
      </c>
      <c r="AD256" s="20" t="n"/>
      <c r="AE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F256" s="19">
        <f>IF($K256="","",IF(OR(LEFT($AE256,2)="작지",LEFT($AE256,4)="소재입고"),IF(LEFT($G256,1)="S","★ 납기위험(S코드)","◆ 지연주의"),IF($AE256="정상","✓ 정상","? 확인필요")))</f>
        <v/>
      </c>
      <c r="AG256" s="21" t="n"/>
      <c r="AH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21" t="inlineStr">
        <is>
          <t>O</t>
        </is>
      </c>
      <c r="R257" s="21" t="n"/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>
        <f>IFERROR(TEXTJOIN(" / ",TRUE,UNIQUE(FILTER(소재DB_RAW!$K$3:$K$2000,소재DB_RAW!$G$3:$G$2000=$D257))),"")</f>
        <v/>
      </c>
      <c r="W257" s="20" t="inlineStr"/>
      <c r="X257" s="20">
        <f>IFERROR(TEXTJOIN(" / ",TRUE,UNIQUE(FILTER(소재DB_RAW!$N$3:$N$2000,소재DB_RAW!$G$3:$G$2000=$D257))),"")</f>
        <v/>
      </c>
      <c r="Y257" s="26">
        <f>IFERROR(TEXTJOIN(CHAR(10),TRUE,UNIQUE(FILTER(소재DB_RAW!$N$3:$N$2000&amp;") "&amp;소재DB_RAW!$O$3:$O$2000,(소재DB_RAW!$G$3:$G$2000=$D257)*ISNUMBER(SEARCH("겉감",소재DB_RAW!$M$3:$M$2000))))),"")</f>
        <v/>
      </c>
      <c r="Z257" s="26">
        <f>IFERROR(TEXTJOIN(CHAR(10),TRUE,UNIQUE(FILTER(소재DB_RAW!$N$3:$N$2000&amp;") "&amp;소재DB_RAW!$O$3:$O$2000,(소재DB_RAW!$G$3:$G$2000=$D257)*ISNUMBER(SEARCH("안감",소재DB_RAW!$M$3:$M$2000))))),"")</f>
        <v/>
      </c>
      <c r="AA257" s="27" t="n">
        <v>2000</v>
      </c>
      <c r="AB257" s="27" t="n">
        <v>46000000</v>
      </c>
      <c r="AC257" s="27" t="n">
        <v>256000000</v>
      </c>
      <c r="AD257" s="20" t="n"/>
      <c r="AE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F257" s="19">
        <f>IF($K257="","",IF(OR(LEFT($AE257,2)="작지",LEFT($AE257,4)="소재입고"),IF(LEFT($G257,1)="S","★ 납기위험(S코드)","◆ 지연주의"),IF($AE257="정상","✓ 정상","? 확인필요")))</f>
        <v/>
      </c>
      <c r="AG257" s="21" t="n"/>
      <c r="AH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21" t="inlineStr">
        <is>
          <t>O</t>
        </is>
      </c>
      <c r="R258" s="21" t="inlineStr">
        <is>
          <t>X</t>
        </is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>
        <f>IFERROR(TEXTJOIN(" / ",TRUE,UNIQUE(FILTER(소재DB_RAW!$K$3:$K$2000,소재DB_RAW!$G$3:$G$2000=$D258))),"")</f>
        <v/>
      </c>
      <c r="W258" s="20" t="inlineStr">
        <is>
          <t>베트남</t>
        </is>
      </c>
      <c r="X258" s="20">
        <f>IFERROR(TEXTJOIN(" / ",TRUE,UNIQUE(FILTER(소재DB_RAW!$N$3:$N$2000,소재DB_RAW!$G$3:$G$2000=$D258))),"")</f>
        <v/>
      </c>
      <c r="Y258" s="26">
        <f>IFERROR(TEXTJOIN(CHAR(10),TRUE,UNIQUE(FILTER(소재DB_RAW!$N$3:$N$2000&amp;") "&amp;소재DB_RAW!$O$3:$O$2000,(소재DB_RAW!$G$3:$G$2000=$D258)*ISNUMBER(SEARCH("겉감",소재DB_RAW!$M$3:$M$2000))))),"")</f>
        <v/>
      </c>
      <c r="Z258" s="26">
        <f>IFERROR(TEXTJOIN(CHAR(10),TRUE,UNIQUE(FILTER(소재DB_RAW!$N$3:$N$2000&amp;") "&amp;소재DB_RAW!$O$3:$O$2000,(소재DB_RAW!$G$3:$G$2000=$D258)*ISNUMBER(SEARCH("안감",소재DB_RAW!$M$3:$M$2000))))),"")</f>
        <v/>
      </c>
      <c r="AA258" s="27" t="n">
        <v>2500</v>
      </c>
      <c r="AB258" s="27" t="n">
        <v>82302500</v>
      </c>
      <c r="AC258" s="27" t="n">
        <v>420000000</v>
      </c>
      <c r="AD258" s="20" t="n"/>
      <c r="AE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F258" s="19">
        <f>IF($K258="","",IF(OR(LEFT($AE258,2)="작지",LEFT($AE258,4)="소재입고"),IF(LEFT($G258,1)="S","★ 납기위험(S코드)","◆ 지연주의"),IF($AE258="정상","✓ 정상","? 확인필요")))</f>
        <v/>
      </c>
      <c r="AG258" s="21" t="n"/>
      <c r="AH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21" t="inlineStr">
        <is>
          <t>O</t>
        </is>
      </c>
      <c r="R259" s="21" t="inlineStr">
        <is>
          <t>X</t>
        </is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>
        <f>IFERROR(TEXTJOIN(" / ",TRUE,UNIQUE(FILTER(소재DB_RAW!$K$3:$K$2000,소재DB_RAW!$G$3:$G$2000=$D259))),"")</f>
        <v/>
      </c>
      <c r="W259" s="20" t="inlineStr">
        <is>
          <t>인도네시아</t>
        </is>
      </c>
      <c r="X259" s="20">
        <f>IFERROR(TEXTJOIN(" / ",TRUE,UNIQUE(FILTER(소재DB_RAW!$N$3:$N$2000,소재DB_RAW!$G$3:$G$2000=$D259))),"")</f>
        <v/>
      </c>
      <c r="Y259" s="26">
        <f>IFERROR(TEXTJOIN(CHAR(10),TRUE,UNIQUE(FILTER(소재DB_RAW!$N$3:$N$2000&amp;") "&amp;소재DB_RAW!$O$3:$O$2000,(소재DB_RAW!$G$3:$G$2000=$D259)*ISNUMBER(SEARCH("겉감",소재DB_RAW!$M$3:$M$2000))))),"")</f>
        <v/>
      </c>
      <c r="Z259" s="26">
        <f>IFERROR(TEXTJOIN(CHAR(10),TRUE,UNIQUE(FILTER(소재DB_RAW!$N$3:$N$2000&amp;") "&amp;소재DB_RAW!$O$3:$O$2000,(소재DB_RAW!$G$3:$G$2000=$D259)*ISNUMBER(SEARCH("안감",소재DB_RAW!$M$3:$M$2000))))),"")</f>
        <v/>
      </c>
      <c r="AA259" s="27" t="n">
        <v>3000</v>
      </c>
      <c r="AB259" s="27" t="n">
        <v>56277000</v>
      </c>
      <c r="AC259" s="27" t="n">
        <v>354000000</v>
      </c>
      <c r="AD259" s="20" t="inlineStr">
        <is>
          <t>44511</t>
        </is>
      </c>
      <c r="AE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F259" s="19">
        <f>IF($K259="","",IF(OR(LEFT($AE259,2)="작지",LEFT($AE259,4)="소재입고"),IF(LEFT($G259,1)="S","★ 납기위험(S코드)","◆ 지연주의"),IF($AE259="정상","✓ 정상","? 확인필요")))</f>
        <v/>
      </c>
      <c r="AG259" s="21" t="n"/>
      <c r="AH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21" t="inlineStr">
        <is>
          <t>O</t>
        </is>
      </c>
      <c r="R260" s="21" t="inlineStr">
        <is>
          <t>X</t>
        </is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>
        <f>IFERROR(TEXTJOIN(" / ",TRUE,UNIQUE(FILTER(소재DB_RAW!$K$3:$K$2000,소재DB_RAW!$G$3:$G$2000=$D260))),"")</f>
        <v/>
      </c>
      <c r="W260" s="20" t="inlineStr">
        <is>
          <t>베트남</t>
        </is>
      </c>
      <c r="X260" s="20">
        <f>IFERROR(TEXTJOIN(" / ",TRUE,UNIQUE(FILTER(소재DB_RAW!$N$3:$N$2000,소재DB_RAW!$G$3:$G$2000=$D260))),"")</f>
        <v/>
      </c>
      <c r="Y260" s="26">
        <f>IFERROR(TEXTJOIN(CHAR(10),TRUE,UNIQUE(FILTER(소재DB_RAW!$N$3:$N$2000&amp;") "&amp;소재DB_RAW!$O$3:$O$2000,(소재DB_RAW!$G$3:$G$2000=$D260)*ISNUMBER(SEARCH("겉감",소재DB_RAW!$M$3:$M$2000))))),"")</f>
        <v/>
      </c>
      <c r="Z260" s="26">
        <f>IFERROR(TEXTJOIN(CHAR(10),TRUE,UNIQUE(FILTER(소재DB_RAW!$N$3:$N$2000&amp;") "&amp;소재DB_RAW!$O$3:$O$2000,(소재DB_RAW!$G$3:$G$2000=$D260)*ISNUMBER(SEARCH("안감",소재DB_RAW!$M$3:$M$2000))))),"")</f>
        <v/>
      </c>
      <c r="AA260" s="27" t="n">
        <v>4000</v>
      </c>
      <c r="AB260" s="27" t="n">
        <v>173964000</v>
      </c>
      <c r="AC260" s="27" t="n">
        <v>880000000</v>
      </c>
      <c r="AD260" s="20" t="inlineStr">
        <is>
          <t>3월4주</t>
        </is>
      </c>
      <c r="AE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F260" s="19">
        <f>IF($K260="","",IF(OR(LEFT($AE260,2)="작지",LEFT($AE260,4)="소재입고"),IF(LEFT($G260,1)="S","★ 납기위험(S코드)","◆ 지연주의"),IF($AE260="정상","✓ 정상","? 확인필요")))</f>
        <v/>
      </c>
      <c r="AG260" s="21" t="n"/>
      <c r="AH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21" t="inlineStr">
        <is>
          <t>O</t>
        </is>
      </c>
      <c r="R261" s="21" t="inlineStr">
        <is>
          <t>X</t>
        </is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>
        <f>IFERROR(TEXTJOIN(" / ",TRUE,UNIQUE(FILTER(소재DB_RAW!$K$3:$K$2000,소재DB_RAW!$G$3:$G$2000=$D261))),"")</f>
        <v/>
      </c>
      <c r="W261" s="20" t="inlineStr">
        <is>
          <t>베트남</t>
        </is>
      </c>
      <c r="X261" s="20">
        <f>IFERROR(TEXTJOIN(" / ",TRUE,UNIQUE(FILTER(소재DB_RAW!$N$3:$N$2000,소재DB_RAW!$G$3:$G$2000=$D261))),"")</f>
        <v/>
      </c>
      <c r="Y261" s="26">
        <f>IFERROR(TEXTJOIN(CHAR(10),TRUE,UNIQUE(FILTER(소재DB_RAW!$N$3:$N$2000&amp;") "&amp;소재DB_RAW!$O$3:$O$2000,(소재DB_RAW!$G$3:$G$2000=$D261)*ISNUMBER(SEARCH("겉감",소재DB_RAW!$M$3:$M$2000))))),"")</f>
        <v/>
      </c>
      <c r="Z261" s="26">
        <f>IFERROR(TEXTJOIN(CHAR(10),TRUE,UNIQUE(FILTER(소재DB_RAW!$N$3:$N$2000&amp;") "&amp;소재DB_RAW!$O$3:$O$2000,(소재DB_RAW!$G$3:$G$2000=$D261)*ISNUMBER(SEARCH("안감",소재DB_RAW!$M$3:$M$2000))))),"")</f>
        <v/>
      </c>
      <c r="AA261" s="27" t="n">
        <v>1800</v>
      </c>
      <c r="AB261" s="27" t="n">
        <v>118872000</v>
      </c>
      <c r="AC261" s="27" t="n">
        <v>630000000</v>
      </c>
      <c r="AD261" s="20" t="inlineStr">
        <is>
          <t>3월4주</t>
        </is>
      </c>
      <c r="AE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F261" s="19">
        <f>IF($K261="","",IF(OR(LEFT($AE261,2)="작지",LEFT($AE261,4)="소재입고"),IF(LEFT($G261,1)="S","★ 납기위험(S코드)","◆ 지연주의"),IF($AE261="정상","✓ 정상","? 확인필요")))</f>
        <v/>
      </c>
      <c r="AG261" s="21" t="n"/>
      <c r="AH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21" t="inlineStr">
        <is>
          <t>O</t>
        </is>
      </c>
      <c r="R262" s="21" t="inlineStr">
        <is>
          <t>X</t>
        </is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>
        <f>IFERROR(TEXTJOIN(" / ",TRUE,UNIQUE(FILTER(소재DB_RAW!$K$3:$K$2000,소재DB_RAW!$G$3:$G$2000=$D262))),"")</f>
        <v/>
      </c>
      <c r="W262" s="20" t="inlineStr">
        <is>
          <t>베트남</t>
        </is>
      </c>
      <c r="X262" s="20">
        <f>IFERROR(TEXTJOIN(" / ",TRUE,UNIQUE(FILTER(소재DB_RAW!$N$3:$N$2000,소재DB_RAW!$G$3:$G$2000=$D262))),"")</f>
        <v/>
      </c>
      <c r="Y262" s="26">
        <f>IFERROR(TEXTJOIN(CHAR(10),TRUE,UNIQUE(FILTER(소재DB_RAW!$N$3:$N$2000&amp;") "&amp;소재DB_RAW!$O$3:$O$2000,(소재DB_RAW!$G$3:$G$2000=$D262)*ISNUMBER(SEARCH("겉감",소재DB_RAW!$M$3:$M$2000))))),"")</f>
        <v/>
      </c>
      <c r="Z262" s="26">
        <f>IFERROR(TEXTJOIN(CHAR(10),TRUE,UNIQUE(FILTER(소재DB_RAW!$N$3:$N$2000&amp;") "&amp;소재DB_RAW!$O$3:$O$2000,(소재DB_RAW!$G$3:$G$2000=$D262)*ISNUMBER(SEARCH("안감",소재DB_RAW!$M$3:$M$2000))))),"")</f>
        <v/>
      </c>
      <c r="AA262" s="27" t="n">
        <v>3000</v>
      </c>
      <c r="AB262" s="27" t="n">
        <v>119295000</v>
      </c>
      <c r="AC262" s="27" t="n">
        <v>594000000</v>
      </c>
      <c r="AD262" s="20" t="inlineStr">
        <is>
          <t>3월4주</t>
        </is>
      </c>
      <c r="AE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F262" s="19">
        <f>IF($K262="","",IF(OR(LEFT($AE262,2)="작지",LEFT($AE262,4)="소재입고"),IF(LEFT($G262,1)="S","★ 납기위험(S코드)","◆ 지연주의"),IF($AE262="정상","✓ 정상","? 확인필요")))</f>
        <v/>
      </c>
      <c r="AG262" s="21" t="n"/>
      <c r="AH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21" t="inlineStr">
        <is>
          <t>O</t>
        </is>
      </c>
      <c r="R263" s="21" t="inlineStr">
        <is>
          <t>X</t>
        </is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>
        <f>IFERROR(TEXTJOIN(" / ",TRUE,UNIQUE(FILTER(소재DB_RAW!$K$3:$K$2000,소재DB_RAW!$G$3:$G$2000=$D263))),"")</f>
        <v/>
      </c>
      <c r="W263" s="20" t="inlineStr">
        <is>
          <t>베트남</t>
        </is>
      </c>
      <c r="X263" s="20">
        <f>IFERROR(TEXTJOIN(" / ",TRUE,UNIQUE(FILTER(소재DB_RAW!$N$3:$N$2000,소재DB_RAW!$G$3:$G$2000=$D263))),"")</f>
        <v/>
      </c>
      <c r="Y263" s="26">
        <f>IFERROR(TEXTJOIN(CHAR(10),TRUE,UNIQUE(FILTER(소재DB_RAW!$N$3:$N$2000&amp;") "&amp;소재DB_RAW!$O$3:$O$2000,(소재DB_RAW!$G$3:$G$2000=$D263)*ISNUMBER(SEARCH("겉감",소재DB_RAW!$M$3:$M$2000))))),"")</f>
        <v/>
      </c>
      <c r="Z263" s="26">
        <f>IFERROR(TEXTJOIN(CHAR(10),TRUE,UNIQUE(FILTER(소재DB_RAW!$N$3:$N$2000&amp;") "&amp;소재DB_RAW!$O$3:$O$2000,(소재DB_RAW!$G$3:$G$2000=$D263)*ISNUMBER(SEARCH("안감",소재DB_RAW!$M$3:$M$2000))))),"")</f>
        <v/>
      </c>
      <c r="AA263" s="27" t="n">
        <v>1800</v>
      </c>
      <c r="AB263" s="27" t="n">
        <v>68529600</v>
      </c>
      <c r="AC263" s="27" t="n">
        <v>356400000</v>
      </c>
      <c r="AD263" s="20" t="inlineStr">
        <is>
          <t>3월4주</t>
        </is>
      </c>
      <c r="AE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F263" s="19">
        <f>IF($K263="","",IF(OR(LEFT($AE263,2)="작지",LEFT($AE263,4)="소재입고"),IF(LEFT($G263,1)="S","★ 납기위험(S코드)","◆ 지연주의"),IF($AE263="정상","✓ 정상","? 확인필요")))</f>
        <v/>
      </c>
      <c r="AG263" s="21" t="n"/>
      <c r="AH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21" t="inlineStr">
        <is>
          <t>O</t>
        </is>
      </c>
      <c r="R264" s="21" t="inlineStr">
        <is>
          <t>X</t>
        </is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>
        <f>IFERROR(TEXTJOIN(" / ",TRUE,UNIQUE(FILTER(소재DB_RAW!$K$3:$K$2000,소재DB_RAW!$G$3:$G$2000=$D264))),"")</f>
        <v/>
      </c>
      <c r="W264" s="20" t="inlineStr">
        <is>
          <t>베트남</t>
        </is>
      </c>
      <c r="X264" s="20">
        <f>IFERROR(TEXTJOIN(" / ",TRUE,UNIQUE(FILTER(소재DB_RAW!$N$3:$N$2000,소재DB_RAW!$G$3:$G$2000=$D264))),"")</f>
        <v/>
      </c>
      <c r="Y264" s="26">
        <f>IFERROR(TEXTJOIN(CHAR(10),TRUE,UNIQUE(FILTER(소재DB_RAW!$N$3:$N$2000&amp;") "&amp;소재DB_RAW!$O$3:$O$2000,(소재DB_RAW!$G$3:$G$2000=$D264)*ISNUMBER(SEARCH("겉감",소재DB_RAW!$M$3:$M$2000))))),"")</f>
        <v/>
      </c>
      <c r="Z264" s="26">
        <f>IFERROR(TEXTJOIN(CHAR(10),TRUE,UNIQUE(FILTER(소재DB_RAW!$N$3:$N$2000&amp;") "&amp;소재DB_RAW!$O$3:$O$2000,(소재DB_RAW!$G$3:$G$2000=$D264)*ISNUMBER(SEARCH("안감",소재DB_RAW!$M$3:$M$2000))))),"")</f>
        <v/>
      </c>
      <c r="AA264" s="27" t="n">
        <v>3200</v>
      </c>
      <c r="AB264" s="27" t="n">
        <v>107529600</v>
      </c>
      <c r="AC264" s="27" t="n">
        <v>633600000</v>
      </c>
      <c r="AD264" s="20" t="inlineStr">
        <is>
          <t>3월4주</t>
        </is>
      </c>
      <c r="AE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F264" s="19">
        <f>IF($K264="","",IF(OR(LEFT($AE264,2)="작지",LEFT($AE264,4)="소재입고"),IF(LEFT($G264,1)="S","★ 납기위험(S코드)","◆ 지연주의"),IF($AE264="정상","✓ 정상","? 확인필요")))</f>
        <v/>
      </c>
      <c r="AG264" s="21" t="n"/>
      <c r="AH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21" t="inlineStr">
        <is>
          <t>O</t>
        </is>
      </c>
      <c r="R265" s="21" t="inlineStr">
        <is>
          <t>X</t>
        </is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>
        <f>IFERROR(TEXTJOIN(" / ",TRUE,UNIQUE(FILTER(소재DB_RAW!$K$3:$K$2000,소재DB_RAW!$G$3:$G$2000=$D265))),"")</f>
        <v/>
      </c>
      <c r="W265" s="20" t="inlineStr">
        <is>
          <t>베트남</t>
        </is>
      </c>
      <c r="X265" s="20">
        <f>IFERROR(TEXTJOIN(" / ",TRUE,UNIQUE(FILTER(소재DB_RAW!$N$3:$N$2000,소재DB_RAW!$G$3:$G$2000=$D265))),"")</f>
        <v/>
      </c>
      <c r="Y265" s="26">
        <f>IFERROR(TEXTJOIN(CHAR(10),TRUE,UNIQUE(FILTER(소재DB_RAW!$N$3:$N$2000&amp;") "&amp;소재DB_RAW!$O$3:$O$2000,(소재DB_RAW!$G$3:$G$2000=$D265)*ISNUMBER(SEARCH("겉감",소재DB_RAW!$M$3:$M$2000))))),"")</f>
        <v/>
      </c>
      <c r="Z265" s="26">
        <f>IFERROR(TEXTJOIN(CHAR(10),TRUE,UNIQUE(FILTER(소재DB_RAW!$N$3:$N$2000&amp;") "&amp;소재DB_RAW!$O$3:$O$2000,(소재DB_RAW!$G$3:$G$2000=$D265)*ISNUMBER(SEARCH("안감",소재DB_RAW!$M$3:$M$2000))))),"")</f>
        <v/>
      </c>
      <c r="AA265" s="27" t="n">
        <v>1500</v>
      </c>
      <c r="AB265" s="27" t="n">
        <v>35835000</v>
      </c>
      <c r="AC265" s="27" t="n">
        <v>192000000</v>
      </c>
      <c r="AD265" s="20" t="inlineStr">
        <is>
          <t>3월4주</t>
        </is>
      </c>
      <c r="AE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F265" s="19">
        <f>IF($K265="","",IF(OR(LEFT($AE265,2)="작지",LEFT($AE265,4)="소재입고"),IF(LEFT($G265,1)="S","★ 납기위험(S코드)","◆ 지연주의"),IF($AE265="정상","✓ 정상","? 확인필요")))</f>
        <v/>
      </c>
      <c r="AG265" s="21" t="n"/>
      <c r="AH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21" t="inlineStr">
        <is>
          <t>O</t>
        </is>
      </c>
      <c r="R266" s="21" t="inlineStr">
        <is>
          <t>X</t>
        </is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>
        <f>IFERROR(TEXTJOIN(" / ",TRUE,UNIQUE(FILTER(소재DB_RAW!$K$3:$K$2000,소재DB_RAW!$G$3:$G$2000=$D266))),"")</f>
        <v/>
      </c>
      <c r="W266" s="20" t="inlineStr">
        <is>
          <t>베트남</t>
        </is>
      </c>
      <c r="X266" s="20">
        <f>IFERROR(TEXTJOIN(" / ",TRUE,UNIQUE(FILTER(소재DB_RAW!$N$3:$N$2000,소재DB_RAW!$G$3:$G$2000=$D266))),"")</f>
        <v/>
      </c>
      <c r="Y266" s="26">
        <f>IFERROR(TEXTJOIN(CHAR(10),TRUE,UNIQUE(FILTER(소재DB_RAW!$N$3:$N$2000&amp;") "&amp;소재DB_RAW!$O$3:$O$2000,(소재DB_RAW!$G$3:$G$2000=$D266)*ISNUMBER(SEARCH("겉감",소재DB_RAW!$M$3:$M$2000))))),"")</f>
        <v/>
      </c>
      <c r="Z266" s="26">
        <f>IFERROR(TEXTJOIN(CHAR(10),TRUE,UNIQUE(FILTER(소재DB_RAW!$N$3:$N$2000&amp;") "&amp;소재DB_RAW!$O$3:$O$2000,(소재DB_RAW!$G$3:$G$2000=$D266)*ISNUMBER(SEARCH("안감",소재DB_RAW!$M$3:$M$2000))))),"")</f>
        <v/>
      </c>
      <c r="AA266" s="27" t="n">
        <v>800</v>
      </c>
      <c r="AB266" s="27" t="n">
        <v>23959200</v>
      </c>
      <c r="AC266" s="27" t="n">
        <v>94400000</v>
      </c>
      <c r="AD266" s="20" t="inlineStr">
        <is>
          <t>3월4주</t>
        </is>
      </c>
      <c r="AE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F266" s="19">
        <f>IF($K266="","",IF(OR(LEFT($AE266,2)="작지",LEFT($AE266,4)="소재입고"),IF(LEFT($G266,1)="S","★ 납기위험(S코드)","◆ 지연주의"),IF($AE266="정상","✓ 정상","? 확인필요")))</f>
        <v/>
      </c>
      <c r="AG266" s="21" t="n"/>
      <c r="AH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21" t="inlineStr">
        <is>
          <t>O</t>
        </is>
      </c>
      <c r="R267" s="21" t="inlineStr">
        <is>
          <t>X</t>
        </is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>
        <f>IFERROR(TEXTJOIN(" / ",TRUE,UNIQUE(FILTER(소재DB_RAW!$K$3:$K$2000,소재DB_RAW!$G$3:$G$2000=$D267))),"")</f>
        <v/>
      </c>
      <c r="W267" s="20" t="inlineStr">
        <is>
          <t>베트남</t>
        </is>
      </c>
      <c r="X267" s="20">
        <f>IFERROR(TEXTJOIN(" / ",TRUE,UNIQUE(FILTER(소재DB_RAW!$N$3:$N$2000,소재DB_RAW!$G$3:$G$2000=$D267))),"")</f>
        <v/>
      </c>
      <c r="Y267" s="26">
        <f>IFERROR(TEXTJOIN(CHAR(10),TRUE,UNIQUE(FILTER(소재DB_RAW!$N$3:$N$2000&amp;") "&amp;소재DB_RAW!$O$3:$O$2000,(소재DB_RAW!$G$3:$G$2000=$D267)*ISNUMBER(SEARCH("겉감",소재DB_RAW!$M$3:$M$2000))))),"")</f>
        <v/>
      </c>
      <c r="Z267" s="26">
        <f>IFERROR(TEXTJOIN(CHAR(10),TRUE,UNIQUE(FILTER(소재DB_RAW!$N$3:$N$2000&amp;") "&amp;소재DB_RAW!$O$3:$O$2000,(소재DB_RAW!$G$3:$G$2000=$D267)*ISNUMBER(SEARCH("안감",소재DB_RAW!$M$3:$M$2000))))),"")</f>
        <v/>
      </c>
      <c r="AA267" s="27" t="n">
        <v>4000</v>
      </c>
      <c r="AB267" s="27" t="n">
        <v>113600000</v>
      </c>
      <c r="AC267" s="27" t="n">
        <v>592000000</v>
      </c>
      <c r="AD267" s="20" t="inlineStr">
        <is>
          <t>3월4주</t>
        </is>
      </c>
      <c r="AE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F267" s="19">
        <f>IF($K267="","",IF(OR(LEFT($AE267,2)="작지",LEFT($AE267,4)="소재입고"),IF(LEFT($G267,1)="S","★ 납기위험(S코드)","◆ 지연주의"),IF($AE267="정상","✓ 정상","? 확인필요")))</f>
        <v/>
      </c>
      <c r="AG267" s="21" t="n"/>
      <c r="AH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21" t="inlineStr">
        <is>
          <t>O</t>
        </is>
      </c>
      <c r="R268" s="21" t="inlineStr">
        <is>
          <t>X</t>
        </is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>
        <f>IFERROR(TEXTJOIN(" / ",TRUE,UNIQUE(FILTER(소재DB_RAW!$K$3:$K$2000,소재DB_RAW!$G$3:$G$2000=$D268))),"")</f>
        <v/>
      </c>
      <c r="W268" s="20" t="inlineStr">
        <is>
          <t>베트남</t>
        </is>
      </c>
      <c r="X268" s="20">
        <f>IFERROR(TEXTJOIN(" / ",TRUE,UNIQUE(FILTER(소재DB_RAW!$N$3:$N$2000,소재DB_RAW!$G$3:$G$2000=$D268))),"")</f>
        <v/>
      </c>
      <c r="Y268" s="26">
        <f>IFERROR(TEXTJOIN(CHAR(10),TRUE,UNIQUE(FILTER(소재DB_RAW!$N$3:$N$2000&amp;") "&amp;소재DB_RAW!$O$3:$O$2000,(소재DB_RAW!$G$3:$G$2000=$D268)*ISNUMBER(SEARCH("겉감",소재DB_RAW!$M$3:$M$2000))))),"")</f>
        <v/>
      </c>
      <c r="Z268" s="26">
        <f>IFERROR(TEXTJOIN(CHAR(10),TRUE,UNIQUE(FILTER(소재DB_RAW!$N$3:$N$2000&amp;") "&amp;소재DB_RAW!$O$3:$O$2000,(소재DB_RAW!$G$3:$G$2000=$D268)*ISNUMBER(SEARCH("안감",소재DB_RAW!$M$3:$M$2000))))),"")</f>
        <v/>
      </c>
      <c r="AA268" s="27" t="n">
        <v>2000</v>
      </c>
      <c r="AB268" s="27" t="n">
        <v>55000000</v>
      </c>
      <c r="AC268" s="27" t="n">
        <v>296000000</v>
      </c>
      <c r="AD268" s="20" t="inlineStr">
        <is>
          <t>3월4주</t>
        </is>
      </c>
      <c r="AE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F268" s="19">
        <f>IF($K268="","",IF(OR(LEFT($AE268,2)="작지",LEFT($AE268,4)="소재입고"),IF(LEFT($G268,1)="S","★ 납기위험(S코드)","◆ 지연주의"),IF($AE268="정상","✓ 정상","? 확인필요")))</f>
        <v/>
      </c>
      <c r="AG268" s="21" t="n"/>
      <c r="AH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21" t="inlineStr">
        <is>
          <t>O</t>
        </is>
      </c>
      <c r="R269" s="21" t="inlineStr">
        <is>
          <t>X</t>
        </is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>
        <f>IFERROR(TEXTJOIN(" / ",TRUE,UNIQUE(FILTER(소재DB_RAW!$K$3:$K$2000,소재DB_RAW!$G$3:$G$2000=$D269))),"")</f>
        <v/>
      </c>
      <c r="W269" s="20" t="inlineStr">
        <is>
          <t>베트남</t>
        </is>
      </c>
      <c r="X269" s="20">
        <f>IFERROR(TEXTJOIN(" / ",TRUE,UNIQUE(FILTER(소재DB_RAW!$N$3:$N$2000,소재DB_RAW!$G$3:$G$2000=$D269))),"")</f>
        <v/>
      </c>
      <c r="Y269" s="26">
        <f>IFERROR(TEXTJOIN(CHAR(10),TRUE,UNIQUE(FILTER(소재DB_RAW!$N$3:$N$2000&amp;") "&amp;소재DB_RAW!$O$3:$O$2000,(소재DB_RAW!$G$3:$G$2000=$D269)*ISNUMBER(SEARCH("겉감",소재DB_RAW!$M$3:$M$2000))))),"")</f>
        <v/>
      </c>
      <c r="Z269" s="26">
        <f>IFERROR(TEXTJOIN(CHAR(10),TRUE,UNIQUE(FILTER(소재DB_RAW!$N$3:$N$2000&amp;") "&amp;소재DB_RAW!$O$3:$O$2000,(소재DB_RAW!$G$3:$G$2000=$D269)*ISNUMBER(SEARCH("안감",소재DB_RAW!$M$3:$M$2000))))),"")</f>
        <v/>
      </c>
      <c r="AA269" s="27" t="n">
        <v>1600</v>
      </c>
      <c r="AB269" s="27" t="n">
        <v>51097600</v>
      </c>
      <c r="AC269" s="27" t="n">
        <v>252800000</v>
      </c>
      <c r="AD269" s="20" t="inlineStr">
        <is>
          <t>3월4주</t>
        </is>
      </c>
      <c r="AE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F269" s="19">
        <f>IF($K269="","",IF(OR(LEFT($AE269,2)="작지",LEFT($AE269,4)="소재입고"),IF(LEFT($G269,1)="S","★ 납기위험(S코드)","◆ 지연주의"),IF($AE269="정상","✓ 정상","? 확인필요")))</f>
        <v/>
      </c>
      <c r="AG269" s="21" t="n"/>
      <c r="AH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21" t="inlineStr">
        <is>
          <t>O</t>
        </is>
      </c>
      <c r="R270" s="21" t="inlineStr">
        <is>
          <t>X</t>
        </is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>
        <f>IFERROR(TEXTJOIN(" / ",TRUE,UNIQUE(FILTER(소재DB_RAW!$K$3:$K$2000,소재DB_RAW!$G$3:$G$2000=$D270))),"")</f>
        <v/>
      </c>
      <c r="W270" s="20" t="inlineStr">
        <is>
          <t>인도네시아</t>
        </is>
      </c>
      <c r="X270" s="20">
        <f>IFERROR(TEXTJOIN(" / ",TRUE,UNIQUE(FILTER(소재DB_RAW!$N$3:$N$2000,소재DB_RAW!$G$3:$G$2000=$D270))),"")</f>
        <v/>
      </c>
      <c r="Y270" s="26">
        <f>IFERROR(TEXTJOIN(CHAR(10),TRUE,UNIQUE(FILTER(소재DB_RAW!$N$3:$N$2000&amp;") "&amp;소재DB_RAW!$O$3:$O$2000,(소재DB_RAW!$G$3:$G$2000=$D270)*ISNUMBER(SEARCH("겉감",소재DB_RAW!$M$3:$M$2000))))),"")</f>
        <v/>
      </c>
      <c r="Z270" s="26">
        <f>IFERROR(TEXTJOIN(CHAR(10),TRUE,UNIQUE(FILTER(소재DB_RAW!$N$3:$N$2000&amp;") "&amp;소재DB_RAW!$O$3:$O$2000,(소재DB_RAW!$G$3:$G$2000=$D270)*ISNUMBER(SEARCH("안감",소재DB_RAW!$M$3:$M$2000))))),"")</f>
        <v/>
      </c>
      <c r="AA270" s="27" t="n">
        <v>1200</v>
      </c>
      <c r="AB270" s="27" t="n">
        <v>29907600</v>
      </c>
      <c r="AC270" s="27" t="n">
        <v>153600000</v>
      </c>
      <c r="AD270" s="20" t="inlineStr">
        <is>
          <t>3월4주</t>
        </is>
      </c>
      <c r="AE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F270" s="19">
        <f>IF($K270="","",IF(OR(LEFT($AE270,2)="작지",LEFT($AE270,4)="소재입고"),IF(LEFT($G270,1)="S","★ 납기위험(S코드)","◆ 지연주의"),IF($AE270="정상","✓ 정상","? 확인필요")))</f>
        <v/>
      </c>
      <c r="AG270" s="21" t="n"/>
      <c r="AH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21" t="inlineStr">
        <is>
          <t>O</t>
        </is>
      </c>
      <c r="R271" s="21" t="inlineStr">
        <is>
          <t>X</t>
        </is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>
        <f>IFERROR(TEXTJOIN(" / ",TRUE,UNIQUE(FILTER(소재DB_RAW!$K$3:$K$2000,소재DB_RAW!$G$3:$G$2000=$D271))),"")</f>
        <v/>
      </c>
      <c r="W271" s="20" t="inlineStr">
        <is>
          <t>인도네시아</t>
        </is>
      </c>
      <c r="X271" s="20">
        <f>IFERROR(TEXTJOIN(" / ",TRUE,UNIQUE(FILTER(소재DB_RAW!$N$3:$N$2000,소재DB_RAW!$G$3:$G$2000=$D271))),"")</f>
        <v/>
      </c>
      <c r="Y271" s="26">
        <f>IFERROR(TEXTJOIN(CHAR(10),TRUE,UNIQUE(FILTER(소재DB_RAW!$N$3:$N$2000&amp;") "&amp;소재DB_RAW!$O$3:$O$2000,(소재DB_RAW!$G$3:$G$2000=$D271)*ISNUMBER(SEARCH("겉감",소재DB_RAW!$M$3:$M$2000))))),"")</f>
        <v/>
      </c>
      <c r="Z271" s="26">
        <f>IFERROR(TEXTJOIN(CHAR(10),TRUE,UNIQUE(FILTER(소재DB_RAW!$N$3:$N$2000&amp;") "&amp;소재DB_RAW!$O$3:$O$2000,(소재DB_RAW!$G$3:$G$2000=$D271)*ISNUMBER(SEARCH("안감",소재DB_RAW!$M$3:$M$2000))))),"")</f>
        <v/>
      </c>
      <c r="AA271" s="27" t="n">
        <v>2500</v>
      </c>
      <c r="AB271" s="27" t="n">
        <v>39347500</v>
      </c>
      <c r="AC271" s="27" t="n">
        <v>320000000</v>
      </c>
      <c r="AD271" s="20" t="inlineStr">
        <is>
          <t>3월4주</t>
        </is>
      </c>
      <c r="AE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F271" s="19">
        <f>IF($K271="","",IF(OR(LEFT($AE271,2)="작지",LEFT($AE271,4)="소재입고"),IF(LEFT($G271,1)="S","★ 납기위험(S코드)","◆ 지연주의"),IF($AE271="정상","✓ 정상","? 확인필요")))</f>
        <v/>
      </c>
      <c r="AG271" s="21" t="n"/>
      <c r="AH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21" t="inlineStr">
        <is>
          <t>O</t>
        </is>
      </c>
      <c r="R272" s="21" t="inlineStr">
        <is>
          <t>X</t>
        </is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>
        <f>IFERROR(TEXTJOIN(" / ",TRUE,UNIQUE(FILTER(소재DB_RAW!$K$3:$K$2000,소재DB_RAW!$G$3:$G$2000=$D272))),"")</f>
        <v/>
      </c>
      <c r="W272" s="20" t="inlineStr">
        <is>
          <t>베트남</t>
        </is>
      </c>
      <c r="X272" s="20">
        <f>IFERROR(TEXTJOIN(" / ",TRUE,UNIQUE(FILTER(소재DB_RAW!$N$3:$N$2000,소재DB_RAW!$G$3:$G$2000=$D272))),"")</f>
        <v/>
      </c>
      <c r="Y272" s="26">
        <f>IFERROR(TEXTJOIN(CHAR(10),TRUE,UNIQUE(FILTER(소재DB_RAW!$N$3:$N$2000&amp;") "&amp;소재DB_RAW!$O$3:$O$2000,(소재DB_RAW!$G$3:$G$2000=$D272)*ISNUMBER(SEARCH("겉감",소재DB_RAW!$M$3:$M$2000))))),"")</f>
        <v/>
      </c>
      <c r="Z272" s="26">
        <f>IFERROR(TEXTJOIN(CHAR(10),TRUE,UNIQUE(FILTER(소재DB_RAW!$N$3:$N$2000&amp;") "&amp;소재DB_RAW!$O$3:$O$2000,(소재DB_RAW!$G$3:$G$2000=$D272)*ISNUMBER(SEARCH("안감",소재DB_RAW!$M$3:$M$2000))))),"")</f>
        <v/>
      </c>
      <c r="AA272" s="27" t="n">
        <v>1200</v>
      </c>
      <c r="AB272" s="27" t="n">
        <v>15933600</v>
      </c>
      <c r="AC272" s="27" t="n">
        <v>81600000</v>
      </c>
      <c r="AD272" s="20" t="inlineStr">
        <is>
          <t>3월4주</t>
        </is>
      </c>
      <c r="AE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F272" s="19">
        <f>IF($K272="","",IF(OR(LEFT($AE272,2)="작지",LEFT($AE272,4)="소재입고"),IF(LEFT($G272,1)="S","★ 납기위험(S코드)","◆ 지연주의"),IF($AE272="정상","✓ 정상","? 확인필요")))</f>
        <v/>
      </c>
      <c r="AG272" s="21" t="n"/>
      <c r="AH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21" t="inlineStr">
        <is>
          <t>O</t>
        </is>
      </c>
      <c r="R273" s="21" t="inlineStr">
        <is>
          <t>X</t>
        </is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>
        <f>IFERROR(TEXTJOIN(" / ",TRUE,UNIQUE(FILTER(소재DB_RAW!$K$3:$K$2000,소재DB_RAW!$G$3:$G$2000=$D273))),"")</f>
        <v/>
      </c>
      <c r="W273" s="20" t="inlineStr">
        <is>
          <t>베트남</t>
        </is>
      </c>
      <c r="X273" s="20">
        <f>IFERROR(TEXTJOIN(" / ",TRUE,UNIQUE(FILTER(소재DB_RAW!$N$3:$N$2000,소재DB_RAW!$G$3:$G$2000=$D273))),"")</f>
        <v/>
      </c>
      <c r="Y273" s="26">
        <f>IFERROR(TEXTJOIN(CHAR(10),TRUE,UNIQUE(FILTER(소재DB_RAW!$N$3:$N$2000&amp;") "&amp;소재DB_RAW!$O$3:$O$2000,(소재DB_RAW!$G$3:$G$2000=$D273)*ISNUMBER(SEARCH("겉감",소재DB_RAW!$M$3:$M$2000))))),"")</f>
        <v/>
      </c>
      <c r="Z273" s="26">
        <f>IFERROR(TEXTJOIN(CHAR(10),TRUE,UNIQUE(FILTER(소재DB_RAW!$N$3:$N$2000&amp;") "&amp;소재DB_RAW!$O$3:$O$2000,(소재DB_RAW!$G$3:$G$2000=$D273)*ISNUMBER(SEARCH("안감",소재DB_RAW!$M$3:$M$2000))))),"")</f>
        <v/>
      </c>
      <c r="AA273" s="27" t="n">
        <v>2000</v>
      </c>
      <c r="AB273" s="27" t="n">
        <v>58488000</v>
      </c>
      <c r="AC273" s="27" t="n">
        <v>296000000</v>
      </c>
      <c r="AD273" s="20" t="inlineStr">
        <is>
          <t>3월4주</t>
        </is>
      </c>
      <c r="AE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F273" s="19">
        <f>IF($K273="","",IF(OR(LEFT($AE273,2)="작지",LEFT($AE273,4)="소재입고"),IF(LEFT($G273,1)="S","★ 납기위험(S코드)","◆ 지연주의"),IF($AE273="정상","✓ 정상","? 확인필요")))</f>
        <v/>
      </c>
      <c r="AG273" s="21" t="n"/>
      <c r="AH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21" t="inlineStr">
        <is>
          <t>O</t>
        </is>
      </c>
      <c r="R274" s="21" t="inlineStr">
        <is>
          <t>X</t>
        </is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>
        <f>IFERROR(TEXTJOIN(" / ",TRUE,UNIQUE(FILTER(소재DB_RAW!$K$3:$K$2000,소재DB_RAW!$G$3:$G$2000=$D274))),"")</f>
        <v/>
      </c>
      <c r="W274" s="20" t="inlineStr">
        <is>
          <t>베트남</t>
        </is>
      </c>
      <c r="X274" s="20">
        <f>IFERROR(TEXTJOIN(" / ",TRUE,UNIQUE(FILTER(소재DB_RAW!$N$3:$N$2000,소재DB_RAW!$G$3:$G$2000=$D274))),"")</f>
        <v/>
      </c>
      <c r="Y274" s="26">
        <f>IFERROR(TEXTJOIN(CHAR(10),TRUE,UNIQUE(FILTER(소재DB_RAW!$N$3:$N$2000&amp;") "&amp;소재DB_RAW!$O$3:$O$2000,(소재DB_RAW!$G$3:$G$2000=$D274)*ISNUMBER(SEARCH("겉감",소재DB_RAW!$M$3:$M$2000))))),"")</f>
        <v/>
      </c>
      <c r="Z274" s="26">
        <f>IFERROR(TEXTJOIN(CHAR(10),TRUE,UNIQUE(FILTER(소재DB_RAW!$N$3:$N$2000&amp;") "&amp;소재DB_RAW!$O$3:$O$2000,(소재DB_RAW!$G$3:$G$2000=$D274)*ISNUMBER(SEARCH("안감",소재DB_RAW!$M$3:$M$2000))))),"")</f>
        <v/>
      </c>
      <c r="AA274" s="27" t="n">
        <v>16000</v>
      </c>
      <c r="AB274" s="27" t="n">
        <v>448000000</v>
      </c>
      <c r="AC274" s="27" t="n">
        <v>2688000000</v>
      </c>
      <c r="AD274" s="20" t="n"/>
      <c r="AE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F274" s="19">
        <f>IF($K274="","",IF(OR(LEFT($AE274,2)="작지",LEFT($AE274,4)="소재입고"),IF(LEFT($G274,1)="S","★ 납기위험(S코드)","◆ 지연주의"),IF($AE274="정상","✓ 정상","? 확인필요")))</f>
        <v/>
      </c>
      <c r="AG274" s="21" t="n"/>
      <c r="AH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21" t="inlineStr">
        <is>
          <t>O</t>
        </is>
      </c>
      <c r="R275" s="21" t="inlineStr">
        <is>
          <t>X</t>
        </is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>
        <f>IFERROR(TEXTJOIN(" / ",TRUE,UNIQUE(FILTER(소재DB_RAW!$K$3:$K$2000,소재DB_RAW!$G$3:$G$2000=$D275))),"")</f>
        <v/>
      </c>
      <c r="W275" s="20" t="inlineStr">
        <is>
          <t>베트남</t>
        </is>
      </c>
      <c r="X275" s="20">
        <f>IFERROR(TEXTJOIN(" / ",TRUE,UNIQUE(FILTER(소재DB_RAW!$N$3:$N$2000,소재DB_RAW!$G$3:$G$2000=$D275))),"")</f>
        <v/>
      </c>
      <c r="Y275" s="26">
        <f>IFERROR(TEXTJOIN(CHAR(10),TRUE,UNIQUE(FILTER(소재DB_RAW!$N$3:$N$2000&amp;") "&amp;소재DB_RAW!$O$3:$O$2000,(소재DB_RAW!$G$3:$G$2000=$D275)*ISNUMBER(SEARCH("겉감",소재DB_RAW!$M$3:$M$2000))))),"")</f>
        <v/>
      </c>
      <c r="Z275" s="26">
        <f>IFERROR(TEXTJOIN(CHAR(10),TRUE,UNIQUE(FILTER(소재DB_RAW!$N$3:$N$2000&amp;") "&amp;소재DB_RAW!$O$3:$O$2000,(소재DB_RAW!$G$3:$G$2000=$D275)*ISNUMBER(SEARCH("안감",소재DB_RAW!$M$3:$M$2000))))),"")</f>
        <v/>
      </c>
      <c r="AA275" s="27" t="n">
        <v>400</v>
      </c>
      <c r="AB275" s="27" t="n">
        <v>39419200</v>
      </c>
      <c r="AC275" s="27" t="n">
        <v>180000000</v>
      </c>
      <c r="AD275" s="20" t="inlineStr">
        <is>
          <t>3월4주</t>
        </is>
      </c>
      <c r="AE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F275" s="19">
        <f>IF($K275="","",IF(OR(LEFT($AE275,2)="작지",LEFT($AE275,4)="소재입고"),IF(LEFT($G275,1)="S","★ 납기위험(S코드)","◆ 지연주의"),IF($AE275="정상","✓ 정상","? 확인필요")))</f>
        <v/>
      </c>
      <c r="AG275" s="21" t="n"/>
      <c r="AH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21" t="inlineStr">
        <is>
          <t>O</t>
        </is>
      </c>
      <c r="R276" s="21" t="inlineStr">
        <is>
          <t>X</t>
        </is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>
        <f>IFERROR(TEXTJOIN(" / ",TRUE,UNIQUE(FILTER(소재DB_RAW!$K$3:$K$2000,소재DB_RAW!$G$3:$G$2000=$D276))),"")</f>
        <v/>
      </c>
      <c r="W276" s="20" t="inlineStr">
        <is>
          <t>베트남</t>
        </is>
      </c>
      <c r="X276" s="20">
        <f>IFERROR(TEXTJOIN(" / ",TRUE,UNIQUE(FILTER(소재DB_RAW!$N$3:$N$2000,소재DB_RAW!$G$3:$G$2000=$D276))),"")</f>
        <v/>
      </c>
      <c r="Y276" s="26">
        <f>IFERROR(TEXTJOIN(CHAR(10),TRUE,UNIQUE(FILTER(소재DB_RAW!$N$3:$N$2000&amp;") "&amp;소재DB_RAW!$O$3:$O$2000,(소재DB_RAW!$G$3:$G$2000=$D276)*ISNUMBER(SEARCH("겉감",소재DB_RAW!$M$3:$M$2000))))),"")</f>
        <v/>
      </c>
      <c r="Z276" s="26">
        <f>IFERROR(TEXTJOIN(CHAR(10),TRUE,UNIQUE(FILTER(소재DB_RAW!$N$3:$N$2000&amp;") "&amp;소재DB_RAW!$O$3:$O$2000,(소재DB_RAW!$G$3:$G$2000=$D276)*ISNUMBER(SEARCH("안감",소재DB_RAW!$M$3:$M$2000))))),"")</f>
        <v/>
      </c>
      <c r="AA276" s="27" t="n">
        <v>3500</v>
      </c>
      <c r="AB276" s="27" t="n">
        <v>166491500</v>
      </c>
      <c r="AC276" s="27" t="n">
        <v>770000000</v>
      </c>
      <c r="AD276" s="20" t="inlineStr">
        <is>
          <t>3월4주</t>
        </is>
      </c>
      <c r="AE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F276" s="19">
        <f>IF($K276="","",IF(OR(LEFT($AE276,2)="작지",LEFT($AE276,4)="소재입고"),IF(LEFT($G276,1)="S","★ 납기위험(S코드)","◆ 지연주의"),IF($AE276="정상","✓ 정상","? 확인필요")))</f>
        <v/>
      </c>
      <c r="AG276" s="21" t="n"/>
      <c r="AH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21" t="inlineStr">
        <is>
          <t>O</t>
        </is>
      </c>
      <c r="R277" s="21" t="inlineStr">
        <is>
          <t>X</t>
        </is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>
        <f>IFERROR(TEXTJOIN(" / ",TRUE,UNIQUE(FILTER(소재DB_RAW!$K$3:$K$2000,소재DB_RAW!$G$3:$G$2000=$D277))),"")</f>
        <v/>
      </c>
      <c r="W277" s="20" t="inlineStr">
        <is>
          <t>베트남</t>
        </is>
      </c>
      <c r="X277" s="20">
        <f>IFERROR(TEXTJOIN(" / ",TRUE,UNIQUE(FILTER(소재DB_RAW!$N$3:$N$2000,소재DB_RAW!$G$3:$G$2000=$D277))),"")</f>
        <v/>
      </c>
      <c r="Y277" s="26">
        <f>IFERROR(TEXTJOIN(CHAR(10),TRUE,UNIQUE(FILTER(소재DB_RAW!$N$3:$N$2000&amp;") "&amp;소재DB_RAW!$O$3:$O$2000,(소재DB_RAW!$G$3:$G$2000=$D277)*ISNUMBER(SEARCH("겉감",소재DB_RAW!$M$3:$M$2000))))),"")</f>
        <v/>
      </c>
      <c r="Z277" s="26">
        <f>IFERROR(TEXTJOIN(CHAR(10),TRUE,UNIQUE(FILTER(소재DB_RAW!$N$3:$N$2000&amp;") "&amp;소재DB_RAW!$O$3:$O$2000,(소재DB_RAW!$G$3:$G$2000=$D277)*ISNUMBER(SEARCH("안감",소재DB_RAW!$M$3:$M$2000))))),"")</f>
        <v/>
      </c>
      <c r="AA277" s="27" t="n">
        <v>2400</v>
      </c>
      <c r="AB277" s="27" t="n">
        <v>190140000</v>
      </c>
      <c r="AC277" s="27" t="n">
        <v>840000000</v>
      </c>
      <c r="AD277" s="20" t="inlineStr">
        <is>
          <t>3월4주</t>
        </is>
      </c>
      <c r="AE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F277" s="19">
        <f>IF($K277="","",IF(OR(LEFT($AE277,2)="작지",LEFT($AE277,4)="소재입고"),IF(LEFT($G277,1)="S","★ 납기위험(S코드)","◆ 지연주의"),IF($AE277="정상","✓ 정상","? 확인필요")))</f>
        <v/>
      </c>
      <c r="AG277" s="21" t="n"/>
      <c r="AH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21" t="inlineStr">
        <is>
          <t>O</t>
        </is>
      </c>
      <c r="R278" s="21" t="inlineStr">
        <is>
          <t>X</t>
        </is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>
        <f>IFERROR(TEXTJOIN(" / ",TRUE,UNIQUE(FILTER(소재DB_RAW!$K$3:$K$2000,소재DB_RAW!$G$3:$G$2000=$D278))),"")</f>
        <v/>
      </c>
      <c r="W278" s="20" t="inlineStr">
        <is>
          <t>베트남</t>
        </is>
      </c>
      <c r="X278" s="20">
        <f>IFERROR(TEXTJOIN(" / ",TRUE,UNIQUE(FILTER(소재DB_RAW!$N$3:$N$2000,소재DB_RAW!$G$3:$G$2000=$D278))),"")</f>
        <v/>
      </c>
      <c r="Y278" s="26">
        <f>IFERROR(TEXTJOIN(CHAR(10),TRUE,UNIQUE(FILTER(소재DB_RAW!$N$3:$N$2000&amp;") "&amp;소재DB_RAW!$O$3:$O$2000,(소재DB_RAW!$G$3:$G$2000=$D278)*ISNUMBER(SEARCH("겉감",소재DB_RAW!$M$3:$M$2000))))),"")</f>
        <v/>
      </c>
      <c r="Z278" s="26">
        <f>IFERROR(TEXTJOIN(CHAR(10),TRUE,UNIQUE(FILTER(소재DB_RAW!$N$3:$N$2000&amp;") "&amp;소재DB_RAW!$O$3:$O$2000,(소재DB_RAW!$G$3:$G$2000=$D278)*ISNUMBER(SEARCH("안감",소재DB_RAW!$M$3:$M$2000))))),"")</f>
        <v/>
      </c>
      <c r="AA278" s="27" t="n">
        <v>3500</v>
      </c>
      <c r="AB278" s="27" t="n">
        <v>154192500</v>
      </c>
      <c r="AC278" s="27" t="n">
        <v>693000000</v>
      </c>
      <c r="AD278" s="20" t="inlineStr">
        <is>
          <t>3월4주</t>
        </is>
      </c>
      <c r="AE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F278" s="19">
        <f>IF($K278="","",IF(OR(LEFT($AE278,2)="작지",LEFT($AE278,4)="소재입고"),IF(LEFT($G278,1)="S","★ 납기위험(S코드)","◆ 지연주의"),IF($AE278="정상","✓ 정상","? 확인필요")))</f>
        <v/>
      </c>
      <c r="AG278" s="21" t="n"/>
      <c r="AH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21" t="inlineStr">
        <is>
          <t>O</t>
        </is>
      </c>
      <c r="R279" s="21" t="inlineStr">
        <is>
          <t>X</t>
        </is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>
        <f>IFERROR(TEXTJOIN(" / ",TRUE,UNIQUE(FILTER(소재DB_RAW!$K$3:$K$2000,소재DB_RAW!$G$3:$G$2000=$D279))),"")</f>
        <v/>
      </c>
      <c r="W279" s="20" t="inlineStr">
        <is>
          <t>베트남</t>
        </is>
      </c>
      <c r="X279" s="20">
        <f>IFERROR(TEXTJOIN(" / ",TRUE,UNIQUE(FILTER(소재DB_RAW!$N$3:$N$2000,소재DB_RAW!$G$3:$G$2000=$D279))),"")</f>
        <v/>
      </c>
      <c r="Y279" s="26">
        <f>IFERROR(TEXTJOIN(CHAR(10),TRUE,UNIQUE(FILTER(소재DB_RAW!$N$3:$N$2000&amp;") "&amp;소재DB_RAW!$O$3:$O$2000,(소재DB_RAW!$G$3:$G$2000=$D279)*ISNUMBER(SEARCH("겉감",소재DB_RAW!$M$3:$M$2000))))),"")</f>
        <v/>
      </c>
      <c r="Z279" s="26">
        <f>IFERROR(TEXTJOIN(CHAR(10),TRUE,UNIQUE(FILTER(소재DB_RAW!$N$3:$N$2000&amp;") "&amp;소재DB_RAW!$O$3:$O$2000,(소재DB_RAW!$G$3:$G$2000=$D279)*ISNUMBER(SEARCH("안감",소재DB_RAW!$M$3:$M$2000))))),"")</f>
        <v/>
      </c>
      <c r="AA279" s="27" t="n">
        <v>3500</v>
      </c>
      <c r="AB279" s="27" t="n">
        <v>94500000</v>
      </c>
      <c r="AC279" s="27" t="n">
        <v>518000000</v>
      </c>
      <c r="AD279" s="20" t="inlineStr">
        <is>
          <t>3월4주</t>
        </is>
      </c>
      <c r="AE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F279" s="19">
        <f>IF($K279="","",IF(OR(LEFT($AE279,2)="작지",LEFT($AE279,4)="소재입고"),IF(LEFT($G279,1)="S","★ 납기위험(S코드)","◆ 지연주의"),IF($AE279="정상","✓ 정상","? 확인필요")))</f>
        <v/>
      </c>
      <c r="AG279" s="21" t="n"/>
      <c r="AH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21" t="inlineStr">
        <is>
          <t>O</t>
        </is>
      </c>
      <c r="R280" s="21" t="inlineStr">
        <is>
          <t>X</t>
        </is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>
        <f>IFERROR(TEXTJOIN(" / ",TRUE,UNIQUE(FILTER(소재DB_RAW!$K$3:$K$2000,소재DB_RAW!$G$3:$G$2000=$D280))),"")</f>
        <v/>
      </c>
      <c r="W280" s="20" t="inlineStr">
        <is>
          <t>베트남</t>
        </is>
      </c>
      <c r="X280" s="20">
        <f>IFERROR(TEXTJOIN(" / ",TRUE,UNIQUE(FILTER(소재DB_RAW!$N$3:$N$2000,소재DB_RAW!$G$3:$G$2000=$D280))),"")</f>
        <v/>
      </c>
      <c r="Y280" s="26">
        <f>IFERROR(TEXTJOIN(CHAR(10),TRUE,UNIQUE(FILTER(소재DB_RAW!$N$3:$N$2000&amp;") "&amp;소재DB_RAW!$O$3:$O$2000,(소재DB_RAW!$G$3:$G$2000=$D280)*ISNUMBER(SEARCH("겉감",소재DB_RAW!$M$3:$M$2000))))),"")</f>
        <v/>
      </c>
      <c r="Z280" s="26">
        <f>IFERROR(TEXTJOIN(CHAR(10),TRUE,UNIQUE(FILTER(소재DB_RAW!$N$3:$N$2000&amp;") "&amp;소재DB_RAW!$O$3:$O$2000,(소재DB_RAW!$G$3:$G$2000=$D280)*ISNUMBER(SEARCH("안감",소재DB_RAW!$M$3:$M$2000))))),"")</f>
        <v/>
      </c>
      <c r="AA280" s="27" t="n">
        <v>7000</v>
      </c>
      <c r="AB280" s="27" t="n">
        <v>224476000</v>
      </c>
      <c r="AC280" s="27" t="n">
        <v>1106000000</v>
      </c>
      <c r="AD280" s="20" t="inlineStr">
        <is>
          <t>3월4주</t>
        </is>
      </c>
      <c r="AE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F280" s="19">
        <f>IF($K280="","",IF(OR(LEFT($AE280,2)="작지",LEFT($AE280,4)="소재입고"),IF(LEFT($G280,1)="S","★ 납기위험(S코드)","◆ 지연주의"),IF($AE280="정상","✓ 정상","? 확인필요")))</f>
        <v/>
      </c>
      <c r="AG280" s="21" t="n"/>
      <c r="AH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21" t="inlineStr">
        <is>
          <t>O</t>
        </is>
      </c>
      <c r="R281" s="21" t="inlineStr">
        <is>
          <t>X</t>
        </is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>
        <f>IFERROR(TEXTJOIN(" / ",TRUE,UNIQUE(FILTER(소재DB_RAW!$K$3:$K$2000,소재DB_RAW!$G$3:$G$2000=$D281))),"")</f>
        <v/>
      </c>
      <c r="W281" s="20" t="inlineStr">
        <is>
          <t>베트남</t>
        </is>
      </c>
      <c r="X281" s="20">
        <f>IFERROR(TEXTJOIN(" / ",TRUE,UNIQUE(FILTER(소재DB_RAW!$N$3:$N$2000,소재DB_RAW!$G$3:$G$2000=$D281))),"")</f>
        <v/>
      </c>
      <c r="Y281" s="26">
        <f>IFERROR(TEXTJOIN(CHAR(10),TRUE,UNIQUE(FILTER(소재DB_RAW!$N$3:$N$2000&amp;") "&amp;소재DB_RAW!$O$3:$O$2000,(소재DB_RAW!$G$3:$G$2000=$D281)*ISNUMBER(SEARCH("겉감",소재DB_RAW!$M$3:$M$2000))))),"")</f>
        <v/>
      </c>
      <c r="Z281" s="26">
        <f>IFERROR(TEXTJOIN(CHAR(10),TRUE,UNIQUE(FILTER(소재DB_RAW!$N$3:$N$2000&amp;") "&amp;소재DB_RAW!$O$3:$O$2000,(소재DB_RAW!$G$3:$G$2000=$D281)*ISNUMBER(SEARCH("안감",소재DB_RAW!$M$3:$M$2000))))),"")</f>
        <v/>
      </c>
      <c r="AA281" s="27" t="n">
        <v>3000</v>
      </c>
      <c r="AB281" s="27" t="n">
        <v>97056000</v>
      </c>
      <c r="AC281" s="27" t="n">
        <v>444000000</v>
      </c>
      <c r="AD281" s="20" t="n"/>
      <c r="AE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F281" s="19">
        <f>IF($K281="","",IF(OR(LEFT($AE281,2)="작지",LEFT($AE281,4)="소재입고"),IF(LEFT($G281,1)="S","★ 납기위험(S코드)","◆ 지연주의"),IF($AE281="정상","✓ 정상","? 확인필요")))</f>
        <v/>
      </c>
      <c r="AG281" s="21" t="n"/>
      <c r="AH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21" t="inlineStr">
        <is>
          <t>O</t>
        </is>
      </c>
      <c r="R282" s="21" t="inlineStr">
        <is>
          <t>X</t>
        </is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>
        <f>IFERROR(TEXTJOIN(" / ",TRUE,UNIQUE(FILTER(소재DB_RAW!$K$3:$K$2000,소재DB_RAW!$G$3:$G$2000=$D282))),"")</f>
        <v/>
      </c>
      <c r="W282" s="20" t="inlineStr">
        <is>
          <t>베트남</t>
        </is>
      </c>
      <c r="X282" s="20">
        <f>IFERROR(TEXTJOIN(" / ",TRUE,UNIQUE(FILTER(소재DB_RAW!$N$3:$N$2000,소재DB_RAW!$G$3:$G$2000=$D282))),"")</f>
        <v/>
      </c>
      <c r="Y282" s="26">
        <f>IFERROR(TEXTJOIN(CHAR(10),TRUE,UNIQUE(FILTER(소재DB_RAW!$N$3:$N$2000&amp;") "&amp;소재DB_RAW!$O$3:$O$2000,(소재DB_RAW!$G$3:$G$2000=$D282)*ISNUMBER(SEARCH("겉감",소재DB_RAW!$M$3:$M$2000))))),"")</f>
        <v/>
      </c>
      <c r="Z282" s="26">
        <f>IFERROR(TEXTJOIN(CHAR(10),TRUE,UNIQUE(FILTER(소재DB_RAW!$N$3:$N$2000&amp;") "&amp;소재DB_RAW!$O$3:$O$2000,(소재DB_RAW!$G$3:$G$2000=$D282)*ISNUMBER(SEARCH("안감",소재DB_RAW!$M$3:$M$2000))))),"")</f>
        <v/>
      </c>
      <c r="AA282" s="27" t="n">
        <v>1600</v>
      </c>
      <c r="AB282" s="27" t="n">
        <v>57788800</v>
      </c>
      <c r="AC282" s="27" t="n">
        <v>252800000</v>
      </c>
      <c r="AD282" s="20" t="inlineStr">
        <is>
          <t>3월4주</t>
        </is>
      </c>
      <c r="AE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F282" s="19">
        <f>IF($K282="","",IF(OR(LEFT($AE282,2)="작지",LEFT($AE282,4)="소재입고"),IF(LEFT($G282,1)="S","★ 납기위험(S코드)","◆ 지연주의"),IF($AE282="정상","✓ 정상","? 확인필요")))</f>
        <v/>
      </c>
      <c r="AG282" s="21" t="n"/>
      <c r="AH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21" t="inlineStr">
        <is>
          <t>O</t>
        </is>
      </c>
      <c r="R283" s="21" t="inlineStr">
        <is>
          <t>X</t>
        </is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>
        <f>IFERROR(TEXTJOIN(" / ",TRUE,UNIQUE(FILTER(소재DB_RAW!$K$3:$K$2000,소재DB_RAW!$G$3:$G$2000=$D283))),"")</f>
        <v/>
      </c>
      <c r="W283" s="20" t="inlineStr">
        <is>
          <t>인도네시아</t>
        </is>
      </c>
      <c r="X283" s="20">
        <f>IFERROR(TEXTJOIN(" / ",TRUE,UNIQUE(FILTER(소재DB_RAW!$N$3:$N$2000,소재DB_RAW!$G$3:$G$2000=$D283))),"")</f>
        <v/>
      </c>
      <c r="Y283" s="26">
        <f>IFERROR(TEXTJOIN(CHAR(10),TRUE,UNIQUE(FILTER(소재DB_RAW!$N$3:$N$2000&amp;") "&amp;소재DB_RAW!$O$3:$O$2000,(소재DB_RAW!$G$3:$G$2000=$D283)*ISNUMBER(SEARCH("겉감",소재DB_RAW!$M$3:$M$2000))))),"")</f>
        <v/>
      </c>
      <c r="Z283" s="26">
        <f>IFERROR(TEXTJOIN(CHAR(10),TRUE,UNIQUE(FILTER(소재DB_RAW!$N$3:$N$2000&amp;") "&amp;소재DB_RAW!$O$3:$O$2000,(소재DB_RAW!$G$3:$G$2000=$D283)*ISNUMBER(SEARCH("안감",소재DB_RAW!$M$3:$M$2000))))),"")</f>
        <v/>
      </c>
      <c r="AA283" s="27" t="n">
        <v>1200</v>
      </c>
      <c r="AB283" s="27" t="n">
        <v>31116000</v>
      </c>
      <c r="AC283" s="27" t="n">
        <v>153600000</v>
      </c>
      <c r="AD283" s="20" t="inlineStr">
        <is>
          <t>3월4주</t>
        </is>
      </c>
      <c r="AE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F283" s="19">
        <f>IF($K283="","",IF(OR(LEFT($AE283,2)="작지",LEFT($AE283,4)="소재입고"),IF(LEFT($G283,1)="S","★ 납기위험(S코드)","◆ 지연주의"),IF($AE283="정상","✓ 정상","? 확인필요")))</f>
        <v/>
      </c>
      <c r="AG283" s="21" t="n"/>
      <c r="AH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21" t="inlineStr">
        <is>
          <t>O</t>
        </is>
      </c>
      <c r="R284" s="21" t="inlineStr">
        <is>
          <t>X</t>
        </is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>
        <f>IFERROR(TEXTJOIN(" / ",TRUE,UNIQUE(FILTER(소재DB_RAW!$K$3:$K$2000,소재DB_RAW!$G$3:$G$2000=$D284))),"")</f>
        <v/>
      </c>
      <c r="W284" s="20" t="inlineStr">
        <is>
          <t>인도네시아</t>
        </is>
      </c>
      <c r="X284" s="20">
        <f>IFERROR(TEXTJOIN(" / ",TRUE,UNIQUE(FILTER(소재DB_RAW!$N$3:$N$2000,소재DB_RAW!$G$3:$G$2000=$D284))),"")</f>
        <v/>
      </c>
      <c r="Y284" s="26">
        <f>IFERROR(TEXTJOIN(CHAR(10),TRUE,UNIQUE(FILTER(소재DB_RAW!$N$3:$N$2000&amp;") "&amp;소재DB_RAW!$O$3:$O$2000,(소재DB_RAW!$G$3:$G$2000=$D284)*ISNUMBER(SEARCH("겉감",소재DB_RAW!$M$3:$M$2000))))),"")</f>
        <v/>
      </c>
      <c r="Z284" s="26">
        <f>IFERROR(TEXTJOIN(CHAR(10),TRUE,UNIQUE(FILTER(소재DB_RAW!$N$3:$N$2000&amp;") "&amp;소재DB_RAW!$O$3:$O$2000,(소재DB_RAW!$G$3:$G$2000=$D284)*ISNUMBER(SEARCH("안감",소재DB_RAW!$M$3:$M$2000))))),"")</f>
        <v/>
      </c>
      <c r="AA284" s="27" t="n">
        <v>35000</v>
      </c>
      <c r="AB284" s="27" t="n">
        <v>527730000</v>
      </c>
      <c r="AC284" s="27" t="n">
        <v>3080000000</v>
      </c>
      <c r="AD284" s="20" t="inlineStr">
        <is>
          <t>3월4주</t>
        </is>
      </c>
      <c r="AE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F284" s="19">
        <f>IF($K284="","",IF(OR(LEFT($AE284,2)="작지",LEFT($AE284,4)="소재입고"),IF(LEFT($G284,1)="S","★ 납기위험(S코드)","◆ 지연주의"),IF($AE284="정상","✓ 정상","? 확인필요")))</f>
        <v/>
      </c>
      <c r="AG284" s="21" t="n"/>
      <c r="AH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21" t="inlineStr">
        <is>
          <t>O</t>
        </is>
      </c>
      <c r="R285" s="21" t="inlineStr">
        <is>
          <t>X</t>
        </is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>
        <f>IFERROR(TEXTJOIN(" / ",TRUE,UNIQUE(FILTER(소재DB_RAW!$K$3:$K$2000,소재DB_RAW!$G$3:$G$2000=$D285))),"")</f>
        <v/>
      </c>
      <c r="W285" s="20" t="inlineStr">
        <is>
          <t>인도네시아</t>
        </is>
      </c>
      <c r="X285" s="20">
        <f>IFERROR(TEXTJOIN(" / ",TRUE,UNIQUE(FILTER(소재DB_RAW!$N$3:$N$2000,소재DB_RAW!$G$3:$G$2000=$D285))),"")</f>
        <v/>
      </c>
      <c r="Y285" s="26">
        <f>IFERROR(TEXTJOIN(CHAR(10),TRUE,UNIQUE(FILTER(소재DB_RAW!$N$3:$N$2000&amp;") "&amp;소재DB_RAW!$O$3:$O$2000,(소재DB_RAW!$G$3:$G$2000=$D285)*ISNUMBER(SEARCH("겉감",소재DB_RAW!$M$3:$M$2000))))),"")</f>
        <v/>
      </c>
      <c r="Z285" s="26">
        <f>IFERROR(TEXTJOIN(CHAR(10),TRUE,UNIQUE(FILTER(소재DB_RAW!$N$3:$N$2000&amp;") "&amp;소재DB_RAW!$O$3:$O$2000,(소재DB_RAW!$G$3:$G$2000=$D285)*ISNUMBER(SEARCH("안감",소재DB_RAW!$M$3:$M$2000))))),"")</f>
        <v/>
      </c>
      <c r="AA285" s="27" t="n">
        <v>3500</v>
      </c>
      <c r="AB285" s="27" t="n">
        <v>60399500</v>
      </c>
      <c r="AC285" s="27" t="n">
        <v>308000000</v>
      </c>
      <c r="AD285" s="20" t="inlineStr">
        <is>
          <t>3월4주</t>
        </is>
      </c>
      <c r="AE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F285" s="19">
        <f>IF($K285="","",IF(OR(LEFT($AE285,2)="작지",LEFT($AE285,4)="소재입고"),IF(LEFT($G285,1)="S","★ 납기위험(S코드)","◆ 지연주의"),IF($AE285="정상","✓ 정상","? 확인필요")))</f>
        <v/>
      </c>
      <c r="AG285" s="21" t="n"/>
      <c r="AH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21" t="inlineStr">
        <is>
          <t>O</t>
        </is>
      </c>
      <c r="R286" s="21" t="inlineStr">
        <is>
          <t>X</t>
        </is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>
        <f>IFERROR(TEXTJOIN(" / ",TRUE,UNIQUE(FILTER(소재DB_RAW!$K$3:$K$2000,소재DB_RAW!$G$3:$G$2000=$D286))),"")</f>
        <v/>
      </c>
      <c r="W286" s="20" t="inlineStr">
        <is>
          <t>인도네시아</t>
        </is>
      </c>
      <c r="X286" s="20">
        <f>IFERROR(TEXTJOIN(" / ",TRUE,UNIQUE(FILTER(소재DB_RAW!$N$3:$N$2000,소재DB_RAW!$G$3:$G$2000=$D286))),"")</f>
        <v/>
      </c>
      <c r="Y286" s="26">
        <f>IFERROR(TEXTJOIN(CHAR(10),TRUE,UNIQUE(FILTER(소재DB_RAW!$N$3:$N$2000&amp;") "&amp;소재DB_RAW!$O$3:$O$2000,(소재DB_RAW!$G$3:$G$2000=$D286)*ISNUMBER(SEARCH("겉감",소재DB_RAW!$M$3:$M$2000))))),"")</f>
        <v/>
      </c>
      <c r="Z286" s="26">
        <f>IFERROR(TEXTJOIN(CHAR(10),TRUE,UNIQUE(FILTER(소재DB_RAW!$N$3:$N$2000&amp;") "&amp;소재DB_RAW!$O$3:$O$2000,(소재DB_RAW!$G$3:$G$2000=$D286)*ISNUMBER(SEARCH("안감",소재DB_RAW!$M$3:$M$2000))))),"")</f>
        <v/>
      </c>
      <c r="AA286" s="27" t="n">
        <v>3000</v>
      </c>
      <c r="AB286" s="27" t="n">
        <v>43143000</v>
      </c>
      <c r="AC286" s="27" t="n">
        <v>264000000</v>
      </c>
      <c r="AD286" s="20" t="inlineStr">
        <is>
          <t>3월4주</t>
        </is>
      </c>
      <c r="AE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F286" s="19">
        <f>IF($K286="","",IF(OR(LEFT($AE286,2)="작지",LEFT($AE286,4)="소재입고"),IF(LEFT($G286,1)="S","★ 납기위험(S코드)","◆ 지연주의"),IF($AE286="정상","✓ 정상","? 확인필요")))</f>
        <v/>
      </c>
      <c r="AG286" s="21" t="n"/>
      <c r="AH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21" t="inlineStr">
        <is>
          <t>O</t>
        </is>
      </c>
      <c r="R287" s="21" t="inlineStr">
        <is>
          <t>X</t>
        </is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>
        <f>IFERROR(TEXTJOIN(" / ",TRUE,UNIQUE(FILTER(소재DB_RAW!$K$3:$K$2000,소재DB_RAW!$G$3:$G$2000=$D287))),"")</f>
        <v/>
      </c>
      <c r="W287" s="20" t="inlineStr">
        <is>
          <t>인도네시아</t>
        </is>
      </c>
      <c r="X287" s="20">
        <f>IFERROR(TEXTJOIN(" / ",TRUE,UNIQUE(FILTER(소재DB_RAW!$N$3:$N$2000,소재DB_RAW!$G$3:$G$2000=$D287))),"")</f>
        <v/>
      </c>
      <c r="Y287" s="26">
        <f>IFERROR(TEXTJOIN(CHAR(10),TRUE,UNIQUE(FILTER(소재DB_RAW!$N$3:$N$2000&amp;") "&amp;소재DB_RAW!$O$3:$O$2000,(소재DB_RAW!$G$3:$G$2000=$D287)*ISNUMBER(SEARCH("겉감",소재DB_RAW!$M$3:$M$2000))))),"")</f>
        <v/>
      </c>
      <c r="Z287" s="26">
        <f>IFERROR(TEXTJOIN(CHAR(10),TRUE,UNIQUE(FILTER(소재DB_RAW!$N$3:$N$2000&amp;") "&amp;소재DB_RAW!$O$3:$O$2000,(소재DB_RAW!$G$3:$G$2000=$D287)*ISNUMBER(SEARCH("안감",소재DB_RAW!$M$3:$M$2000))))),"")</f>
        <v/>
      </c>
      <c r="AA287" s="27" t="n">
        <v>2000</v>
      </c>
      <c r="AB287" s="27" t="n">
        <v>36166000</v>
      </c>
      <c r="AC287" s="27" t="n">
        <v>176000000</v>
      </c>
      <c r="AD287" s="20" t="inlineStr">
        <is>
          <t>3월4주</t>
        </is>
      </c>
      <c r="AE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F287" s="19">
        <f>IF($K287="","",IF(OR(LEFT($AE287,2)="작지",LEFT($AE287,4)="소재입고"),IF(LEFT($G287,1)="S","★ 납기위험(S코드)","◆ 지연주의"),IF($AE287="정상","✓ 정상","? 확인필요")))</f>
        <v/>
      </c>
      <c r="AG287" s="21" t="n"/>
      <c r="AH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21" t="inlineStr">
        <is>
          <t>O</t>
        </is>
      </c>
      <c r="R288" s="21" t="inlineStr">
        <is>
          <t>X</t>
        </is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>
        <f>IFERROR(TEXTJOIN(" / ",TRUE,UNIQUE(FILTER(소재DB_RAW!$K$3:$K$2000,소재DB_RAW!$G$3:$G$2000=$D288))),"")</f>
        <v/>
      </c>
      <c r="W288" s="20" t="inlineStr">
        <is>
          <t>베트남</t>
        </is>
      </c>
      <c r="X288" s="20">
        <f>IFERROR(TEXTJOIN(" / ",TRUE,UNIQUE(FILTER(소재DB_RAW!$N$3:$N$2000,소재DB_RAW!$G$3:$G$2000=$D288))),"")</f>
        <v/>
      </c>
      <c r="Y288" s="26">
        <f>IFERROR(TEXTJOIN(CHAR(10),TRUE,UNIQUE(FILTER(소재DB_RAW!$N$3:$N$2000&amp;") "&amp;소재DB_RAW!$O$3:$O$2000,(소재DB_RAW!$G$3:$G$2000=$D288)*ISNUMBER(SEARCH("겉감",소재DB_RAW!$M$3:$M$2000))))),"")</f>
        <v/>
      </c>
      <c r="Z288" s="26">
        <f>IFERROR(TEXTJOIN(CHAR(10),TRUE,UNIQUE(FILTER(소재DB_RAW!$N$3:$N$2000&amp;") "&amp;소재DB_RAW!$O$3:$O$2000,(소재DB_RAW!$G$3:$G$2000=$D288)*ISNUMBER(SEARCH("안감",소재DB_RAW!$M$3:$M$2000))))),"")</f>
        <v/>
      </c>
      <c r="AA288" s="27" t="n">
        <v>2800</v>
      </c>
      <c r="AB288" s="27" t="n">
        <v>50372000</v>
      </c>
      <c r="AC288" s="27" t="n">
        <v>274400000</v>
      </c>
      <c r="AD288" s="20" t="inlineStr">
        <is>
          <t>44511</t>
        </is>
      </c>
      <c r="AE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F288" s="19">
        <f>IF($K288="","",IF(OR(LEFT($AE288,2)="작지",LEFT($AE288,4)="소재입고"),IF(LEFT($G288,1)="S","★ 납기위험(S코드)","◆ 지연주의"),IF($AE288="정상","✓ 정상","? 확인필요")))</f>
        <v/>
      </c>
      <c r="AG288" s="21" t="n"/>
      <c r="AH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21" t="inlineStr">
        <is>
          <t>O</t>
        </is>
      </c>
      <c r="R289" s="21" t="inlineStr">
        <is>
          <t>X</t>
        </is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>
        <f>IFERROR(TEXTJOIN(" / ",TRUE,UNIQUE(FILTER(소재DB_RAW!$K$3:$K$2000,소재DB_RAW!$G$3:$G$2000=$D289))),"")</f>
        <v/>
      </c>
      <c r="W289" s="20" t="inlineStr">
        <is>
          <t>베트남</t>
        </is>
      </c>
      <c r="X289" s="20">
        <f>IFERROR(TEXTJOIN(" / ",TRUE,UNIQUE(FILTER(소재DB_RAW!$N$3:$N$2000,소재DB_RAW!$G$3:$G$2000=$D289))),"")</f>
        <v/>
      </c>
      <c r="Y289" s="26">
        <f>IFERROR(TEXTJOIN(CHAR(10),TRUE,UNIQUE(FILTER(소재DB_RAW!$N$3:$N$2000&amp;") "&amp;소재DB_RAW!$O$3:$O$2000,(소재DB_RAW!$G$3:$G$2000=$D289)*ISNUMBER(SEARCH("겉감",소재DB_RAW!$M$3:$M$2000))))),"")</f>
        <v/>
      </c>
      <c r="Z289" s="26">
        <f>IFERROR(TEXTJOIN(CHAR(10),TRUE,UNIQUE(FILTER(소재DB_RAW!$N$3:$N$2000&amp;") "&amp;소재DB_RAW!$O$3:$O$2000,(소재DB_RAW!$G$3:$G$2000=$D289)*ISNUMBER(SEARCH("안감",소재DB_RAW!$M$3:$M$2000))))),"")</f>
        <v/>
      </c>
      <c r="AA289" s="27" t="n">
        <v>14000</v>
      </c>
      <c r="AB289" s="27" t="n">
        <v>294532000</v>
      </c>
      <c r="AC289" s="27" t="n">
        <v>1792000000</v>
      </c>
      <c r="AD289" s="20" t="n"/>
      <c r="AE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F289" s="19">
        <f>IF($K289="","",IF(OR(LEFT($AE289,2)="작지",LEFT($AE289,4)="소재입고"),IF(LEFT($G289,1)="S","★ 납기위험(S코드)","◆ 지연주의"),IF($AE289="정상","✓ 정상","? 확인필요")))</f>
        <v/>
      </c>
      <c r="AG289" s="21" t="n"/>
      <c r="AH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21" t="inlineStr">
        <is>
          <t>O</t>
        </is>
      </c>
      <c r="R290" s="21" t="inlineStr">
        <is>
          <t>X</t>
        </is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>
        <f>IFERROR(TEXTJOIN(" / ",TRUE,UNIQUE(FILTER(소재DB_RAW!$K$3:$K$2000,소재DB_RAW!$G$3:$G$2000=$D290))),"")</f>
        <v/>
      </c>
      <c r="W290" s="20" t="inlineStr">
        <is>
          <t>베트남</t>
        </is>
      </c>
      <c r="X290" s="20">
        <f>IFERROR(TEXTJOIN(" / ",TRUE,UNIQUE(FILTER(소재DB_RAW!$N$3:$N$2000,소재DB_RAW!$G$3:$G$2000=$D290))),"")</f>
        <v/>
      </c>
      <c r="Y290" s="26">
        <f>IFERROR(TEXTJOIN(CHAR(10),TRUE,UNIQUE(FILTER(소재DB_RAW!$N$3:$N$2000&amp;") "&amp;소재DB_RAW!$O$3:$O$2000,(소재DB_RAW!$G$3:$G$2000=$D290)*ISNUMBER(SEARCH("겉감",소재DB_RAW!$M$3:$M$2000))))),"")</f>
        <v/>
      </c>
      <c r="Z290" s="26">
        <f>IFERROR(TEXTJOIN(CHAR(10),TRUE,UNIQUE(FILTER(소재DB_RAW!$N$3:$N$2000&amp;") "&amp;소재DB_RAW!$O$3:$O$2000,(소재DB_RAW!$G$3:$G$2000=$D290)*ISNUMBER(SEARCH("안감",소재DB_RAW!$M$3:$M$2000))))),"")</f>
        <v/>
      </c>
      <c r="AA290" s="27" t="n">
        <v>4000</v>
      </c>
      <c r="AB290" s="27" t="n">
        <v>102236000</v>
      </c>
      <c r="AC290" s="27" t="n">
        <v>512000000</v>
      </c>
      <c r="AD290" s="20" t="n"/>
      <c r="AE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F290" s="19">
        <f>IF($K290="","",IF(OR(LEFT($AE290,2)="작지",LEFT($AE290,4)="소재입고"),IF(LEFT($G290,1)="S","★ 납기위험(S코드)","◆ 지연주의"),IF($AE290="정상","✓ 정상","? 확인필요")))</f>
        <v/>
      </c>
      <c r="AG290" s="21" t="n"/>
      <c r="AH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21" t="inlineStr">
        <is>
          <t>O</t>
        </is>
      </c>
      <c r="R291" s="21" t="inlineStr">
        <is>
          <t>X</t>
        </is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>
        <f>IFERROR(TEXTJOIN(" / ",TRUE,UNIQUE(FILTER(소재DB_RAW!$K$3:$K$2000,소재DB_RAW!$G$3:$G$2000=$D291))),"")</f>
        <v/>
      </c>
      <c r="W291" s="20" t="inlineStr">
        <is>
          <t>베트남</t>
        </is>
      </c>
      <c r="X291" s="20">
        <f>IFERROR(TEXTJOIN(" / ",TRUE,UNIQUE(FILTER(소재DB_RAW!$N$3:$N$2000,소재DB_RAW!$G$3:$G$2000=$D291))),"")</f>
        <v/>
      </c>
      <c r="Y291" s="26">
        <f>IFERROR(TEXTJOIN(CHAR(10),TRUE,UNIQUE(FILTER(소재DB_RAW!$N$3:$N$2000&amp;") "&amp;소재DB_RAW!$O$3:$O$2000,(소재DB_RAW!$G$3:$G$2000=$D291)*ISNUMBER(SEARCH("겉감",소재DB_RAW!$M$3:$M$2000))))),"")</f>
        <v/>
      </c>
      <c r="Z291" s="26">
        <f>IFERROR(TEXTJOIN(CHAR(10),TRUE,UNIQUE(FILTER(소재DB_RAW!$N$3:$N$2000&amp;") "&amp;소재DB_RAW!$O$3:$O$2000,(소재DB_RAW!$G$3:$G$2000=$D291)*ISNUMBER(SEARCH("안감",소재DB_RAW!$M$3:$M$2000))))),"")</f>
        <v/>
      </c>
      <c r="AA291" s="27" t="n">
        <v>5000</v>
      </c>
      <c r="AB291" s="27" t="n">
        <v>119830000</v>
      </c>
      <c r="AC291" s="27" t="n">
        <v>690000000</v>
      </c>
      <c r="AD291" s="20" t="n"/>
      <c r="AE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F291" s="19">
        <f>IF($K291="","",IF(OR(LEFT($AE291,2)="작지",LEFT($AE291,4)="소재입고"),IF(LEFT($G291,1)="S","★ 납기위험(S코드)","◆ 지연주의"),IF($AE291="정상","✓ 정상","? 확인필요")))</f>
        <v/>
      </c>
      <c r="AG291" s="21" t="n"/>
      <c r="AH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21" t="inlineStr">
        <is>
          <t>O</t>
        </is>
      </c>
      <c r="R292" s="21" t="inlineStr">
        <is>
          <t>X</t>
        </is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>
        <f>IFERROR(TEXTJOIN(" / ",TRUE,UNIQUE(FILTER(소재DB_RAW!$K$3:$K$2000,소재DB_RAW!$G$3:$G$2000=$D292))),"")</f>
        <v/>
      </c>
      <c r="W292" s="20" t="inlineStr">
        <is>
          <t>인도네시아</t>
        </is>
      </c>
      <c r="X292" s="20">
        <f>IFERROR(TEXTJOIN(" / ",TRUE,UNIQUE(FILTER(소재DB_RAW!$N$3:$N$2000,소재DB_RAW!$G$3:$G$2000=$D292))),"")</f>
        <v/>
      </c>
      <c r="Y292" s="26">
        <f>IFERROR(TEXTJOIN(CHAR(10),TRUE,UNIQUE(FILTER(소재DB_RAW!$N$3:$N$2000&amp;") "&amp;소재DB_RAW!$O$3:$O$2000,(소재DB_RAW!$G$3:$G$2000=$D292)*ISNUMBER(SEARCH("겉감",소재DB_RAW!$M$3:$M$2000))))),"")</f>
        <v/>
      </c>
      <c r="Z292" s="26">
        <f>IFERROR(TEXTJOIN(CHAR(10),TRUE,UNIQUE(FILTER(소재DB_RAW!$N$3:$N$2000&amp;") "&amp;소재DB_RAW!$O$3:$O$2000,(소재DB_RAW!$G$3:$G$2000=$D292)*ISNUMBER(SEARCH("안감",소재DB_RAW!$M$3:$M$2000))))),"")</f>
        <v/>
      </c>
      <c r="AA292" s="27" t="n">
        <v>1800</v>
      </c>
      <c r="AB292" s="27" t="n">
        <v>30929400</v>
      </c>
      <c r="AC292" s="27" t="n">
        <v>176400000</v>
      </c>
      <c r="AD292" s="20" t="inlineStr">
        <is>
          <t>3월4주</t>
        </is>
      </c>
      <c r="AE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F292" s="19">
        <f>IF($K292="","",IF(OR(LEFT($AE292,2)="작지",LEFT($AE292,4)="소재입고"),IF(LEFT($G292,1)="S","★ 납기위험(S코드)","◆ 지연주의"),IF($AE292="정상","✓ 정상","? 확인필요")))</f>
        <v/>
      </c>
      <c r="AG292" s="21" t="n"/>
      <c r="AH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21" t="inlineStr">
        <is>
          <t>O</t>
        </is>
      </c>
      <c r="R293" s="21" t="inlineStr">
        <is>
          <t>X</t>
        </is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>
        <f>IFERROR(TEXTJOIN(" / ",TRUE,UNIQUE(FILTER(소재DB_RAW!$K$3:$K$2000,소재DB_RAW!$G$3:$G$2000=$D293))),"")</f>
        <v/>
      </c>
      <c r="W293" s="20" t="inlineStr">
        <is>
          <t>베트남</t>
        </is>
      </c>
      <c r="X293" s="20">
        <f>IFERROR(TEXTJOIN(" / ",TRUE,UNIQUE(FILTER(소재DB_RAW!$N$3:$N$2000,소재DB_RAW!$G$3:$G$2000=$D293))),"")</f>
        <v/>
      </c>
      <c r="Y293" s="26">
        <f>IFERROR(TEXTJOIN(CHAR(10),TRUE,UNIQUE(FILTER(소재DB_RAW!$N$3:$N$2000&amp;") "&amp;소재DB_RAW!$O$3:$O$2000,(소재DB_RAW!$G$3:$G$2000=$D293)*ISNUMBER(SEARCH("겉감",소재DB_RAW!$M$3:$M$2000))))),"")</f>
        <v/>
      </c>
      <c r="Z293" s="26">
        <f>IFERROR(TEXTJOIN(CHAR(10),TRUE,UNIQUE(FILTER(소재DB_RAW!$N$3:$N$2000&amp;") "&amp;소재DB_RAW!$O$3:$O$2000,(소재DB_RAW!$G$3:$G$2000=$D293)*ISNUMBER(SEARCH("안감",소재DB_RAW!$M$3:$M$2000))))),"")</f>
        <v/>
      </c>
      <c r="AA293" s="27" t="n">
        <v>1400</v>
      </c>
      <c r="AB293" s="27" t="n">
        <v>43400000</v>
      </c>
      <c r="AC293" s="27" t="n">
        <v>207200000</v>
      </c>
      <c r="AD293" s="20" t="inlineStr">
        <is>
          <t>3월4주</t>
        </is>
      </c>
      <c r="AE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F293" s="19">
        <f>IF($K293="","",IF(OR(LEFT($AE293,2)="작지",LEFT($AE293,4)="소재입고"),IF(LEFT($G293,1)="S","★ 납기위험(S코드)","◆ 지연주의"),IF($AE293="정상","✓ 정상","? 확인필요")))</f>
        <v/>
      </c>
      <c r="AG293" s="21" t="n"/>
      <c r="AH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21" t="inlineStr">
        <is>
          <t>X</t>
        </is>
      </c>
      <c r="R294" s="21" t="inlineStr">
        <is>
          <t>X</t>
        </is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>
        <f>IFERROR(TEXTJOIN(" / ",TRUE,UNIQUE(FILTER(소재DB_RAW!$K$3:$K$2000,소재DB_RAW!$G$3:$G$2000=$D294))),"")</f>
        <v/>
      </c>
      <c r="W294" s="20" t="inlineStr">
        <is>
          <t>베트남</t>
        </is>
      </c>
      <c r="X294" s="20">
        <f>IFERROR(TEXTJOIN(" / ",TRUE,UNIQUE(FILTER(소재DB_RAW!$N$3:$N$2000,소재DB_RAW!$G$3:$G$2000=$D294))),"")</f>
        <v/>
      </c>
      <c r="Y294" s="26">
        <f>IFERROR(TEXTJOIN(CHAR(10),TRUE,UNIQUE(FILTER(소재DB_RAW!$N$3:$N$2000&amp;") "&amp;소재DB_RAW!$O$3:$O$2000,(소재DB_RAW!$G$3:$G$2000=$D294)*ISNUMBER(SEARCH("겉감",소재DB_RAW!$M$3:$M$2000))))),"")</f>
        <v/>
      </c>
      <c r="Z294" s="26">
        <f>IFERROR(TEXTJOIN(CHAR(10),TRUE,UNIQUE(FILTER(소재DB_RAW!$N$3:$N$2000&amp;") "&amp;소재DB_RAW!$O$3:$O$2000,(소재DB_RAW!$G$3:$G$2000=$D294)*ISNUMBER(SEARCH("안감",소재DB_RAW!$M$3:$M$2000))))),"")</f>
        <v/>
      </c>
      <c r="AA294" s="27" t="n">
        <v>500</v>
      </c>
      <c r="AB294" s="27" t="n">
        <v>3130000</v>
      </c>
      <c r="AC294" s="27" t="n">
        <v>15000000</v>
      </c>
      <c r="AD294" s="20" t="n"/>
      <c r="AE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F294" s="19">
        <f>IF($K294="","",IF(OR(LEFT($AE294,2)="작지",LEFT($AE294,4)="소재입고"),IF(LEFT($G294,1)="S","★ 납기위험(S코드)","◆ 지연주의"),IF($AE294="정상","✓ 정상","? 확인필요")))</f>
        <v/>
      </c>
      <c r="AG294" s="21" t="n"/>
      <c r="AH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21" t="inlineStr">
        <is>
          <t>X</t>
        </is>
      </c>
      <c r="R295" s="21" t="inlineStr">
        <is>
          <t>X</t>
        </is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>
        <f>IFERROR(TEXTJOIN(" / ",TRUE,UNIQUE(FILTER(소재DB_RAW!$K$3:$K$2000,소재DB_RAW!$G$3:$G$2000=$D295))),"")</f>
        <v/>
      </c>
      <c r="W295" s="20" t="inlineStr">
        <is>
          <t>베트남</t>
        </is>
      </c>
      <c r="X295" s="20">
        <f>IFERROR(TEXTJOIN(" / ",TRUE,UNIQUE(FILTER(소재DB_RAW!$N$3:$N$2000,소재DB_RAW!$G$3:$G$2000=$D295))),"")</f>
        <v/>
      </c>
      <c r="Y295" s="26">
        <f>IFERROR(TEXTJOIN(CHAR(10),TRUE,UNIQUE(FILTER(소재DB_RAW!$N$3:$N$2000&amp;") "&amp;소재DB_RAW!$O$3:$O$2000,(소재DB_RAW!$G$3:$G$2000=$D295)*ISNUMBER(SEARCH("겉감",소재DB_RAW!$M$3:$M$2000))))),"")</f>
        <v/>
      </c>
      <c r="Z295" s="26">
        <f>IFERROR(TEXTJOIN(CHAR(10),TRUE,UNIQUE(FILTER(소재DB_RAW!$N$3:$N$2000&amp;") "&amp;소재DB_RAW!$O$3:$O$2000,(소재DB_RAW!$G$3:$G$2000=$D295)*ISNUMBER(SEARCH("안감",소재DB_RAW!$M$3:$M$2000))))),"")</f>
        <v/>
      </c>
      <c r="AA295" s="27" t="n">
        <v>300</v>
      </c>
      <c r="AB295" s="27" t="n">
        <v>3078600</v>
      </c>
      <c r="AC295" s="27" t="n">
        <v>12000000</v>
      </c>
      <c r="AD295" s="20" t="n"/>
      <c r="AE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F295" s="19">
        <f>IF($K295="","",IF(OR(LEFT($AE295,2)="작지",LEFT($AE295,4)="소재입고"),IF(LEFT($G295,1)="S","★ 납기위험(S코드)","◆ 지연주의"),IF($AE295="정상","✓ 정상","? 확인필요")))</f>
        <v/>
      </c>
      <c r="AG295" s="21" t="n"/>
      <c r="AH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21" t="inlineStr">
        <is>
          <t>X</t>
        </is>
      </c>
      <c r="R296" s="21" t="inlineStr">
        <is>
          <t>X</t>
        </is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>
        <f>IFERROR(TEXTJOIN(" / ",TRUE,UNIQUE(FILTER(소재DB_RAW!$K$3:$K$2000,소재DB_RAW!$G$3:$G$2000=$D296))),"")</f>
        <v/>
      </c>
      <c r="W296" s="20" t="inlineStr">
        <is>
          <t>한국</t>
        </is>
      </c>
      <c r="X296" s="20">
        <f>IFERROR(TEXTJOIN(" / ",TRUE,UNIQUE(FILTER(소재DB_RAW!$N$3:$N$2000,소재DB_RAW!$G$3:$G$2000=$D296))),"")</f>
        <v/>
      </c>
      <c r="Y296" s="26">
        <f>IFERROR(TEXTJOIN(CHAR(10),TRUE,UNIQUE(FILTER(소재DB_RAW!$N$3:$N$2000&amp;") "&amp;소재DB_RAW!$O$3:$O$2000,(소재DB_RAW!$G$3:$G$2000=$D296)*ISNUMBER(SEARCH("겉감",소재DB_RAW!$M$3:$M$2000))))),"")</f>
        <v/>
      </c>
      <c r="Z296" s="26">
        <f>IFERROR(TEXTJOIN(CHAR(10),TRUE,UNIQUE(FILTER(소재DB_RAW!$N$3:$N$2000&amp;") "&amp;소재DB_RAW!$O$3:$O$2000,(소재DB_RAW!$G$3:$G$2000=$D296)*ISNUMBER(SEARCH("안감",소재DB_RAW!$M$3:$M$2000))))),"")</f>
        <v/>
      </c>
      <c r="AA296" s="27" t="n">
        <v>9900</v>
      </c>
      <c r="AB296" s="27" t="n">
        <v>69300000</v>
      </c>
      <c r="AC296" s="27" t="n">
        <v>396000000</v>
      </c>
      <c r="AD296" s="20" t="n"/>
      <c r="AE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F296" s="19">
        <f>IF($K296="","",IF(OR(LEFT($AE296,2)="작지",LEFT($AE296,4)="소재입고"),IF(LEFT($G296,1)="S","★ 납기위험(S코드)","◆ 지연주의"),IF($AE296="정상","✓ 정상","? 확인필요")))</f>
        <v/>
      </c>
      <c r="AG296" s="21" t="n"/>
      <c r="AH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21" t="inlineStr">
        <is>
          <t>X</t>
        </is>
      </c>
      <c r="R297" s="21" t="inlineStr">
        <is>
          <t>X</t>
        </is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>
        <f>IFERROR(TEXTJOIN(" / ",TRUE,UNIQUE(FILTER(소재DB_RAW!$K$3:$K$2000,소재DB_RAW!$G$3:$G$2000=$D297))),"")</f>
        <v/>
      </c>
      <c r="W297" s="20" t="inlineStr">
        <is>
          <t>중국</t>
        </is>
      </c>
      <c r="X297" s="20">
        <f>IFERROR(TEXTJOIN(" / ",TRUE,UNIQUE(FILTER(소재DB_RAW!$N$3:$N$2000,소재DB_RAW!$G$3:$G$2000=$D297))),"")</f>
        <v/>
      </c>
      <c r="Y297" s="26">
        <f>IFERROR(TEXTJOIN(CHAR(10),TRUE,UNIQUE(FILTER(소재DB_RAW!$N$3:$N$2000&amp;") "&amp;소재DB_RAW!$O$3:$O$2000,(소재DB_RAW!$G$3:$G$2000=$D297)*ISNUMBER(SEARCH("겉감",소재DB_RAW!$M$3:$M$2000))))),"")</f>
        <v/>
      </c>
      <c r="Z297" s="26">
        <f>IFERROR(TEXTJOIN(CHAR(10),TRUE,UNIQUE(FILTER(소재DB_RAW!$N$3:$N$2000&amp;") "&amp;소재DB_RAW!$O$3:$O$2000,(소재DB_RAW!$G$3:$G$2000=$D297)*ISNUMBER(SEARCH("안감",소재DB_RAW!$M$3:$M$2000))))),"")</f>
        <v/>
      </c>
      <c r="AA297" s="27" t="n">
        <v>10500</v>
      </c>
      <c r="AB297" s="27" t="n">
        <v>65992500</v>
      </c>
      <c r="AC297" s="27" t="n">
        <v>315000000</v>
      </c>
      <c r="AD297" s="20" t="n"/>
      <c r="AE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F297" s="19">
        <f>IF($K297="","",IF(OR(LEFT($AE297,2)="작지",LEFT($AE297,4)="소재입고"),IF(LEFT($G297,1)="S","★ 납기위험(S코드)","◆ 지연주의"),IF($AE297="정상","✓ 정상","? 확인필요")))</f>
        <v/>
      </c>
      <c r="AG297" s="21" t="n"/>
      <c r="AH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21" t="inlineStr">
        <is>
          <t>X</t>
        </is>
      </c>
      <c r="R298" s="21" t="inlineStr">
        <is>
          <t>X</t>
        </is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>
        <f>IFERROR(TEXTJOIN(" / ",TRUE,UNIQUE(FILTER(소재DB_RAW!$K$3:$K$2000,소재DB_RAW!$G$3:$G$2000=$D298))),"")</f>
        <v/>
      </c>
      <c r="W298" s="20" t="inlineStr">
        <is>
          <t>베트남</t>
        </is>
      </c>
      <c r="X298" s="20">
        <f>IFERROR(TEXTJOIN(" / ",TRUE,UNIQUE(FILTER(소재DB_RAW!$N$3:$N$2000,소재DB_RAW!$G$3:$G$2000=$D298))),"")</f>
        <v/>
      </c>
      <c r="Y298" s="26">
        <f>IFERROR(TEXTJOIN(CHAR(10),TRUE,UNIQUE(FILTER(소재DB_RAW!$N$3:$N$2000&amp;") "&amp;소재DB_RAW!$O$3:$O$2000,(소재DB_RAW!$G$3:$G$2000=$D298)*ISNUMBER(SEARCH("겉감",소재DB_RAW!$M$3:$M$2000))))),"")</f>
        <v/>
      </c>
      <c r="Z298" s="26">
        <f>IFERROR(TEXTJOIN(CHAR(10),TRUE,UNIQUE(FILTER(소재DB_RAW!$N$3:$N$2000&amp;") "&amp;소재DB_RAW!$O$3:$O$2000,(소재DB_RAW!$G$3:$G$2000=$D298)*ISNUMBER(SEARCH("안감",소재DB_RAW!$M$3:$M$2000))))),"")</f>
        <v/>
      </c>
      <c r="AA298" s="27" t="n">
        <v>5000</v>
      </c>
      <c r="AB298" s="27" t="n">
        <v>33210000</v>
      </c>
      <c r="AC298" s="27" t="n">
        <v>175000000</v>
      </c>
      <c r="AD298" s="20" t="n"/>
      <c r="AE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F298" s="19">
        <f>IF($K298="","",IF(OR(LEFT($AE298,2)="작지",LEFT($AE298,4)="소재입고"),IF(LEFT($G298,1)="S","★ 납기위험(S코드)","◆ 지연주의"),IF($AE298="정상","✓ 정상","? 확인필요")))</f>
        <v/>
      </c>
      <c r="AG298" s="21" t="n"/>
      <c r="AH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21" t="inlineStr">
        <is>
          <t>X</t>
        </is>
      </c>
      <c r="R299" s="21" t="inlineStr">
        <is>
          <t>X</t>
        </is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>
        <f>IFERROR(TEXTJOIN(" / ",TRUE,UNIQUE(FILTER(소재DB_RAW!$K$3:$K$2000,소재DB_RAW!$G$3:$G$2000=$D299))),"")</f>
        <v/>
      </c>
      <c r="W299" s="20" t="inlineStr">
        <is>
          <t>베트남</t>
        </is>
      </c>
      <c r="X299" s="20">
        <f>IFERROR(TEXTJOIN(" / ",TRUE,UNIQUE(FILTER(소재DB_RAW!$N$3:$N$2000,소재DB_RAW!$G$3:$G$2000=$D299))),"")</f>
        <v/>
      </c>
      <c r="Y299" s="26">
        <f>IFERROR(TEXTJOIN(CHAR(10),TRUE,UNIQUE(FILTER(소재DB_RAW!$N$3:$N$2000&amp;") "&amp;소재DB_RAW!$O$3:$O$2000,(소재DB_RAW!$G$3:$G$2000=$D299)*ISNUMBER(SEARCH("겉감",소재DB_RAW!$M$3:$M$2000))))),"")</f>
        <v/>
      </c>
      <c r="Z299" s="26">
        <f>IFERROR(TEXTJOIN(CHAR(10),TRUE,UNIQUE(FILTER(소재DB_RAW!$N$3:$N$2000&amp;") "&amp;소재DB_RAW!$O$3:$O$2000,(소재DB_RAW!$G$3:$G$2000=$D299)*ISNUMBER(SEARCH("안감",소재DB_RAW!$M$3:$M$2000))))),"")</f>
        <v/>
      </c>
      <c r="AA299" s="27" t="n">
        <v>3500</v>
      </c>
      <c r="AB299" s="27" t="n">
        <v>55335000</v>
      </c>
      <c r="AC299" s="27" t="n">
        <v>273000000</v>
      </c>
      <c r="AD299" s="20" t="n"/>
      <c r="AE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F299" s="19">
        <f>IF($K299="","",IF(OR(LEFT($AE299,2)="작지",LEFT($AE299,4)="소재입고"),IF(LEFT($G299,1)="S","★ 납기위험(S코드)","◆ 지연주의"),IF($AE299="정상","✓ 정상","? 확인필요")))</f>
        <v/>
      </c>
      <c r="AG299" s="21" t="n"/>
      <c r="AH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21" t="inlineStr">
        <is>
          <t>X</t>
        </is>
      </c>
      <c r="R300" s="21" t="inlineStr">
        <is>
          <t>X</t>
        </is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>
        <f>IFERROR(TEXTJOIN(" / ",TRUE,UNIQUE(FILTER(소재DB_RAW!$K$3:$K$2000,소재DB_RAW!$G$3:$G$2000=$D300))),"")</f>
        <v/>
      </c>
      <c r="W300" s="20" t="inlineStr">
        <is>
          <t>베트남</t>
        </is>
      </c>
      <c r="X300" s="20">
        <f>IFERROR(TEXTJOIN(" / ",TRUE,UNIQUE(FILTER(소재DB_RAW!$N$3:$N$2000,소재DB_RAW!$G$3:$G$2000=$D300))),"")</f>
        <v/>
      </c>
      <c r="Y300" s="26">
        <f>IFERROR(TEXTJOIN(CHAR(10),TRUE,UNIQUE(FILTER(소재DB_RAW!$N$3:$N$2000&amp;") "&amp;소재DB_RAW!$O$3:$O$2000,(소재DB_RAW!$G$3:$G$2000=$D300)*ISNUMBER(SEARCH("겉감",소재DB_RAW!$M$3:$M$2000))))),"")</f>
        <v/>
      </c>
      <c r="Z300" s="26">
        <f>IFERROR(TEXTJOIN(CHAR(10),TRUE,UNIQUE(FILTER(소재DB_RAW!$N$3:$N$2000&amp;") "&amp;소재DB_RAW!$O$3:$O$2000,(소재DB_RAW!$G$3:$G$2000=$D300)*ISNUMBER(SEARCH("안감",소재DB_RAW!$M$3:$M$2000))))),"")</f>
        <v/>
      </c>
      <c r="AA300" s="27" t="n">
        <v>500</v>
      </c>
      <c r="AB300" s="27" t="n">
        <v>5533500</v>
      </c>
      <c r="AC300" s="27" t="n">
        <v>30000000</v>
      </c>
      <c r="AD300" s="20" t="n"/>
      <c r="AE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F300" s="19">
        <f>IF($K300="","",IF(OR(LEFT($AE300,2)="작지",LEFT($AE300,4)="소재입고"),IF(LEFT($G300,1)="S","★ 납기위험(S코드)","◆ 지연주의"),IF($AE300="정상","✓ 정상","? 확인필요")))</f>
        <v/>
      </c>
      <c r="AG300" s="21" t="n"/>
      <c r="AH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21" t="inlineStr">
        <is>
          <t>X</t>
        </is>
      </c>
      <c r="R301" s="21" t="inlineStr">
        <is>
          <t>X</t>
        </is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>
        <f>IFERROR(TEXTJOIN(" / ",TRUE,UNIQUE(FILTER(소재DB_RAW!$K$3:$K$2000,소재DB_RAW!$G$3:$G$2000=$D301))),"")</f>
        <v/>
      </c>
      <c r="W301" s="20" t="inlineStr">
        <is>
          <t>베트남</t>
        </is>
      </c>
      <c r="X301" s="20">
        <f>IFERROR(TEXTJOIN(" / ",TRUE,UNIQUE(FILTER(소재DB_RAW!$N$3:$N$2000,소재DB_RAW!$G$3:$G$2000=$D301))),"")</f>
        <v/>
      </c>
      <c r="Y301" s="26">
        <f>IFERROR(TEXTJOIN(CHAR(10),TRUE,UNIQUE(FILTER(소재DB_RAW!$N$3:$N$2000&amp;") "&amp;소재DB_RAW!$O$3:$O$2000,(소재DB_RAW!$G$3:$G$2000=$D301)*ISNUMBER(SEARCH("겉감",소재DB_RAW!$M$3:$M$2000))))),"")</f>
        <v/>
      </c>
      <c r="Z301" s="26">
        <f>IFERROR(TEXTJOIN(CHAR(10),TRUE,UNIQUE(FILTER(소재DB_RAW!$N$3:$N$2000&amp;") "&amp;소재DB_RAW!$O$3:$O$2000,(소재DB_RAW!$G$3:$G$2000=$D301)*ISNUMBER(SEARCH("안감",소재DB_RAW!$M$3:$M$2000))))),"")</f>
        <v/>
      </c>
      <c r="AA301" s="27" t="n">
        <v>900</v>
      </c>
      <c r="AB301" s="27" t="n">
        <v>9960300</v>
      </c>
      <c r="AC301" s="27" t="n">
        <v>54000000</v>
      </c>
      <c r="AD301" s="20" t="n"/>
      <c r="AE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F301" s="19">
        <f>IF($K301="","",IF(OR(LEFT($AE301,2)="작지",LEFT($AE301,4)="소재입고"),IF(LEFT($G301,1)="S","★ 납기위험(S코드)","◆ 지연주의"),IF($AE301="정상","✓ 정상","? 확인필요")))</f>
        <v/>
      </c>
      <c r="AG301" s="21" t="n"/>
      <c r="AH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21" t="inlineStr">
        <is>
          <t>X</t>
        </is>
      </c>
      <c r="R302" s="21" t="n"/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>
        <f>IFERROR(TEXTJOIN(" / ",TRUE,UNIQUE(FILTER(소재DB_RAW!$K$3:$K$2000,소재DB_RAW!$G$3:$G$2000=$D302))),"")</f>
        <v/>
      </c>
      <c r="W302" s="20" t="inlineStr">
        <is>
          <t>베트남</t>
        </is>
      </c>
      <c r="X302" s="20">
        <f>IFERROR(TEXTJOIN(" / ",TRUE,UNIQUE(FILTER(소재DB_RAW!$N$3:$N$2000,소재DB_RAW!$G$3:$G$2000=$D302))),"")</f>
        <v/>
      </c>
      <c r="Y302" s="26">
        <f>IFERROR(TEXTJOIN(CHAR(10),TRUE,UNIQUE(FILTER(소재DB_RAW!$N$3:$N$2000&amp;") "&amp;소재DB_RAW!$O$3:$O$2000,(소재DB_RAW!$G$3:$G$2000=$D302)*ISNUMBER(SEARCH("겉감",소재DB_RAW!$M$3:$M$2000))))),"")</f>
        <v/>
      </c>
      <c r="Z302" s="26">
        <f>IFERROR(TEXTJOIN(CHAR(10),TRUE,UNIQUE(FILTER(소재DB_RAW!$N$3:$N$2000&amp;") "&amp;소재DB_RAW!$O$3:$O$2000,(소재DB_RAW!$G$3:$G$2000=$D302)*ISNUMBER(SEARCH("안감",소재DB_RAW!$M$3:$M$2000))))),"")</f>
        <v/>
      </c>
      <c r="AA302" s="27" t="n">
        <v>1500</v>
      </c>
      <c r="AB302" s="27" t="n">
        <v>28906500</v>
      </c>
      <c r="AC302" s="27" t="n">
        <v>132000000</v>
      </c>
      <c r="AD302" s="20" t="n"/>
      <c r="AE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F302" s="19">
        <f>IF($K302="","",IF(OR(LEFT($AE302,2)="작지",LEFT($AE302,4)="소재입고"),IF(LEFT($G302,1)="S","★ 납기위험(S코드)","◆ 지연주의"),IF($AE302="정상","✓ 정상","? 확인필요")))</f>
        <v/>
      </c>
      <c r="AG302" s="21" t="n"/>
      <c r="AH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21" t="inlineStr">
        <is>
          <t>X</t>
        </is>
      </c>
      <c r="R303" s="21" t="inlineStr">
        <is>
          <t>O</t>
        </is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>
        <f>IFERROR(TEXTJOIN(" / ",TRUE,UNIQUE(FILTER(소재DB_RAW!$K$3:$K$2000,소재DB_RAW!$G$3:$G$2000=$D303))),"")</f>
        <v/>
      </c>
      <c r="W303" s="20" t="inlineStr">
        <is>
          <t>국내</t>
        </is>
      </c>
      <c r="X303" s="20">
        <f>IFERROR(TEXTJOIN(" / ",TRUE,UNIQUE(FILTER(소재DB_RAW!$N$3:$N$2000,소재DB_RAW!$G$3:$G$2000=$D303))),"")</f>
        <v/>
      </c>
      <c r="Y303" s="26">
        <f>IFERROR(TEXTJOIN(CHAR(10),TRUE,UNIQUE(FILTER(소재DB_RAW!$N$3:$N$2000&amp;") "&amp;소재DB_RAW!$O$3:$O$2000,(소재DB_RAW!$G$3:$G$2000=$D303)*ISNUMBER(SEARCH("겉감",소재DB_RAW!$M$3:$M$2000))))),"")</f>
        <v/>
      </c>
      <c r="Z303" s="26">
        <f>IFERROR(TEXTJOIN(CHAR(10),TRUE,UNIQUE(FILTER(소재DB_RAW!$N$3:$N$2000&amp;") "&amp;소재DB_RAW!$O$3:$O$2000,(소재DB_RAW!$G$3:$G$2000=$D303)*ISNUMBER(SEARCH("안감",소재DB_RAW!$M$3:$M$2000))))),"")</f>
        <v/>
      </c>
      <c r="AA303" s="27" t="n">
        <v>6000</v>
      </c>
      <c r="AB303" s="27" t="n">
        <v>78000000</v>
      </c>
      <c r="AC303" s="27" t="n">
        <v>420000000</v>
      </c>
      <c r="AD303" s="20" t="n"/>
      <c r="AE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F303" s="19">
        <f>IF($K303="","",IF(OR(LEFT($AE303,2)="작지",LEFT($AE303,4)="소재입고"),IF(LEFT($G303,1)="S","★ 납기위험(S코드)","◆ 지연주의"),IF($AE303="정상","✓ 정상","? 확인필요")))</f>
        <v/>
      </c>
      <c r="AG303" s="21" t="n"/>
      <c r="AH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21" t="inlineStr">
        <is>
          <t>X</t>
        </is>
      </c>
      <c r="R304" s="21" t="n"/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>
        <f>IFERROR(TEXTJOIN(" / ",TRUE,UNIQUE(FILTER(소재DB_RAW!$K$3:$K$2000,소재DB_RAW!$G$3:$G$2000=$D304))),"")</f>
        <v/>
      </c>
      <c r="W304" s="20" t="inlineStr">
        <is>
          <t>베트남</t>
        </is>
      </c>
      <c r="X304" s="20">
        <f>IFERROR(TEXTJOIN(" / ",TRUE,UNIQUE(FILTER(소재DB_RAW!$N$3:$N$2000,소재DB_RAW!$G$3:$G$2000=$D304))),"")</f>
        <v/>
      </c>
      <c r="Y304" s="26">
        <f>IFERROR(TEXTJOIN(CHAR(10),TRUE,UNIQUE(FILTER(소재DB_RAW!$N$3:$N$2000&amp;") "&amp;소재DB_RAW!$O$3:$O$2000,(소재DB_RAW!$G$3:$G$2000=$D304)*ISNUMBER(SEARCH("겉감",소재DB_RAW!$M$3:$M$2000))))),"")</f>
        <v/>
      </c>
      <c r="Z304" s="26">
        <f>IFERROR(TEXTJOIN(CHAR(10),TRUE,UNIQUE(FILTER(소재DB_RAW!$N$3:$N$2000&amp;") "&amp;소재DB_RAW!$O$3:$O$2000,(소재DB_RAW!$G$3:$G$2000=$D304)*ISNUMBER(SEARCH("안감",소재DB_RAW!$M$3:$M$2000))))),"")</f>
        <v/>
      </c>
      <c r="AA304" s="27" t="n">
        <v>7500</v>
      </c>
      <c r="AB304" s="27" t="n">
        <v>66750000</v>
      </c>
      <c r="AC304" s="27" t="n">
        <v>375000000</v>
      </c>
      <c r="AD304" s="20" t="n"/>
      <c r="AE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F304" s="19">
        <f>IF($K304="","",IF(OR(LEFT($AE304,2)="작지",LEFT($AE304,4)="소재입고"),IF(LEFT($G304,1)="S","★ 납기위험(S코드)","◆ 지연주의"),IF($AE304="정상","✓ 정상","? 확인필요")))</f>
        <v/>
      </c>
      <c r="AG304" s="21" t="n"/>
      <c r="AH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21" t="inlineStr">
        <is>
          <t>O</t>
        </is>
      </c>
      <c r="R305" s="21" t="inlineStr">
        <is>
          <t>X</t>
        </is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>
        <f>IFERROR(TEXTJOIN(" / ",TRUE,UNIQUE(FILTER(소재DB_RAW!$K$3:$K$2000,소재DB_RAW!$G$3:$G$2000=$D305))),"")</f>
        <v/>
      </c>
      <c r="W305" s="20" t="inlineStr">
        <is>
          <t>베트남</t>
        </is>
      </c>
      <c r="X305" s="20">
        <f>IFERROR(TEXTJOIN(" / ",TRUE,UNIQUE(FILTER(소재DB_RAW!$N$3:$N$2000,소재DB_RAW!$G$3:$G$2000=$D305))),"")</f>
        <v/>
      </c>
      <c r="Y305" s="26">
        <f>IFERROR(TEXTJOIN(CHAR(10),TRUE,UNIQUE(FILTER(소재DB_RAW!$N$3:$N$2000&amp;") "&amp;소재DB_RAW!$O$3:$O$2000,(소재DB_RAW!$G$3:$G$2000=$D305)*ISNUMBER(SEARCH("겉감",소재DB_RAW!$M$3:$M$2000))))),"")</f>
        <v/>
      </c>
      <c r="Z305" s="26">
        <f>IFERROR(TEXTJOIN(CHAR(10),TRUE,UNIQUE(FILTER(소재DB_RAW!$N$3:$N$2000&amp;") "&amp;소재DB_RAW!$O$3:$O$2000,(소재DB_RAW!$G$3:$G$2000=$D305)*ISNUMBER(SEARCH("안감",소재DB_RAW!$M$3:$M$2000))))),"")</f>
        <v/>
      </c>
      <c r="AA305" s="27" t="n">
        <v>2500</v>
      </c>
      <c r="AB305" s="27" t="n">
        <v>81705000</v>
      </c>
      <c r="AC305" s="27" t="n">
        <v>420000000</v>
      </c>
      <c r="AD305" s="20" t="n"/>
      <c r="AE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F305" s="19">
        <f>IF($K305="","",IF(OR(LEFT($AE305,2)="작지",LEFT($AE305,4)="소재입고"),IF(LEFT($G305,1)="S","★ 납기위험(S코드)","◆ 지연주의"),IF($AE305="정상","✓ 정상","? 확인필요")))</f>
        <v/>
      </c>
      <c r="AG305" s="21" t="n"/>
      <c r="AH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21" t="inlineStr">
        <is>
          <t>O</t>
        </is>
      </c>
      <c r="R306" s="21" t="inlineStr">
        <is>
          <t>X</t>
        </is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>
        <f>IFERROR(TEXTJOIN(" / ",TRUE,UNIQUE(FILTER(소재DB_RAW!$K$3:$K$2000,소재DB_RAW!$G$3:$G$2000=$D306))),"")</f>
        <v/>
      </c>
      <c r="W306" s="20" t="inlineStr">
        <is>
          <t>베트남</t>
        </is>
      </c>
      <c r="X306" s="20">
        <f>IFERROR(TEXTJOIN(" / ",TRUE,UNIQUE(FILTER(소재DB_RAW!$N$3:$N$2000,소재DB_RAW!$G$3:$G$2000=$D306))),"")</f>
        <v/>
      </c>
      <c r="Y306" s="26">
        <f>IFERROR(TEXTJOIN(CHAR(10),TRUE,UNIQUE(FILTER(소재DB_RAW!$N$3:$N$2000&amp;") "&amp;소재DB_RAW!$O$3:$O$2000,(소재DB_RAW!$G$3:$G$2000=$D306)*ISNUMBER(SEARCH("겉감",소재DB_RAW!$M$3:$M$2000))))),"")</f>
        <v/>
      </c>
      <c r="Z306" s="26">
        <f>IFERROR(TEXTJOIN(CHAR(10),TRUE,UNIQUE(FILTER(소재DB_RAW!$N$3:$N$2000&amp;") "&amp;소재DB_RAW!$O$3:$O$2000,(소재DB_RAW!$G$3:$G$2000=$D306)*ISNUMBER(SEARCH("안감",소재DB_RAW!$M$3:$M$2000))))),"")</f>
        <v/>
      </c>
      <c r="AA306" s="27" t="n">
        <v>1600</v>
      </c>
      <c r="AB306" s="27" t="n">
        <v>60500000</v>
      </c>
      <c r="AC306" s="27" t="n">
        <v>335000000</v>
      </c>
      <c r="AD306" s="20" t="n"/>
      <c r="AE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F306" s="19">
        <f>IF($K306="","",IF(OR(LEFT($AE306,2)="작지",LEFT($AE306,4)="소재입고"),IF(LEFT($G306,1)="S","★ 납기위험(S코드)","◆ 지연주의"),IF($AE306="정상","✓ 정상","? 확인필요")))</f>
        <v/>
      </c>
      <c r="AG306" s="21" t="n"/>
      <c r="AH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21" t="inlineStr">
        <is>
          <t>O</t>
        </is>
      </c>
      <c r="R307" s="21" t="n"/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>
        <f>IFERROR(TEXTJOIN(" / ",TRUE,UNIQUE(FILTER(소재DB_RAW!$K$3:$K$2000,소재DB_RAW!$G$3:$G$2000=$D307))),"")</f>
        <v/>
      </c>
      <c r="W307" s="20" t="inlineStr">
        <is>
          <t>베트남</t>
        </is>
      </c>
      <c r="X307" s="20">
        <f>IFERROR(TEXTJOIN(" / ",TRUE,UNIQUE(FILTER(소재DB_RAW!$N$3:$N$2000,소재DB_RAW!$G$3:$G$2000=$D307))),"")</f>
        <v/>
      </c>
      <c r="Y307" s="26">
        <f>IFERROR(TEXTJOIN(CHAR(10),TRUE,UNIQUE(FILTER(소재DB_RAW!$N$3:$N$2000&amp;") "&amp;소재DB_RAW!$O$3:$O$2000,(소재DB_RAW!$G$3:$G$2000=$D307)*ISNUMBER(SEARCH("겉감",소재DB_RAW!$M$3:$M$2000))))),"")</f>
        <v/>
      </c>
      <c r="Z307" s="26">
        <f>IFERROR(TEXTJOIN(CHAR(10),TRUE,UNIQUE(FILTER(소재DB_RAW!$N$3:$N$2000&amp;") "&amp;소재DB_RAW!$O$3:$O$2000,(소재DB_RAW!$G$3:$G$2000=$D307)*ISNUMBER(SEARCH("안감",소재DB_RAW!$M$3:$M$2000))))),"")</f>
        <v/>
      </c>
      <c r="AA307" s="27" t="n">
        <v>6000</v>
      </c>
      <c r="AB307" s="27" t="n">
        <v>139110000</v>
      </c>
      <c r="AC307" s="27" t="n">
        <v>708000000</v>
      </c>
      <c r="AD307" s="20" t="n"/>
      <c r="AE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F307" s="19">
        <f>IF($K307="","",IF(OR(LEFT($AE307,2)="작지",LEFT($AE307,4)="소재입고"),IF(LEFT($G307,1)="S","★ 납기위험(S코드)","◆ 지연주의"),IF($AE307="정상","✓ 정상","? 확인필요")))</f>
        <v/>
      </c>
      <c r="AG307" s="21" t="n"/>
      <c r="AH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21" t="inlineStr">
        <is>
          <t>O</t>
        </is>
      </c>
      <c r="R308" s="21" t="inlineStr">
        <is>
          <t>X</t>
        </is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>
        <f>IFERROR(TEXTJOIN(" / ",TRUE,UNIQUE(FILTER(소재DB_RAW!$K$3:$K$2000,소재DB_RAW!$G$3:$G$2000=$D308))),"")</f>
        <v/>
      </c>
      <c r="W308" s="20" t="inlineStr">
        <is>
          <t>인도네시아</t>
        </is>
      </c>
      <c r="X308" s="20">
        <f>IFERROR(TEXTJOIN(" / ",TRUE,UNIQUE(FILTER(소재DB_RAW!$N$3:$N$2000,소재DB_RAW!$G$3:$G$2000=$D308))),"")</f>
        <v/>
      </c>
      <c r="Y308" s="26">
        <f>IFERROR(TEXTJOIN(CHAR(10),TRUE,UNIQUE(FILTER(소재DB_RAW!$N$3:$N$2000&amp;") "&amp;소재DB_RAW!$O$3:$O$2000,(소재DB_RAW!$G$3:$G$2000=$D308)*ISNUMBER(SEARCH("겉감",소재DB_RAW!$M$3:$M$2000))))),"")</f>
        <v/>
      </c>
      <c r="Z308" s="26">
        <f>IFERROR(TEXTJOIN(CHAR(10),TRUE,UNIQUE(FILTER(소재DB_RAW!$N$3:$N$2000&amp;") "&amp;소재DB_RAW!$O$3:$O$2000,(소재DB_RAW!$G$3:$G$2000=$D308)*ISNUMBER(SEARCH("안감",소재DB_RAW!$M$3:$M$2000))))),"")</f>
        <v/>
      </c>
      <c r="AA308" s="27" t="n">
        <v>10000</v>
      </c>
      <c r="AB308" s="27" t="n">
        <v>202530000</v>
      </c>
      <c r="AC308" s="27" t="n">
        <v>880000000</v>
      </c>
      <c r="AD308" s="20" t="inlineStr">
        <is>
          <t>3월4주</t>
        </is>
      </c>
      <c r="AE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F308" s="19">
        <f>IF($K308="","",IF(OR(LEFT($AE308,2)="작지",LEFT($AE308,4)="소재입고"),IF(LEFT($G308,1)="S","★ 납기위험(S코드)","◆ 지연주의"),IF($AE308="정상","✓ 정상","? 확인필요")))</f>
        <v/>
      </c>
      <c r="AG308" s="21" t="n"/>
      <c r="AH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21" t="inlineStr">
        <is>
          <t>O</t>
        </is>
      </c>
      <c r="R309" s="21" t="inlineStr">
        <is>
          <t>X</t>
        </is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>
        <f>IFERROR(TEXTJOIN(" / ",TRUE,UNIQUE(FILTER(소재DB_RAW!$K$3:$K$2000,소재DB_RAW!$G$3:$G$2000=$D309))),"")</f>
        <v/>
      </c>
      <c r="W309" s="20" t="inlineStr">
        <is>
          <t>인도네시아</t>
        </is>
      </c>
      <c r="X309" s="20">
        <f>IFERROR(TEXTJOIN(" / ",TRUE,UNIQUE(FILTER(소재DB_RAW!$N$3:$N$2000,소재DB_RAW!$G$3:$G$2000=$D309))),"")</f>
        <v/>
      </c>
      <c r="Y309" s="26">
        <f>IFERROR(TEXTJOIN(CHAR(10),TRUE,UNIQUE(FILTER(소재DB_RAW!$N$3:$N$2000&amp;") "&amp;소재DB_RAW!$O$3:$O$2000,(소재DB_RAW!$G$3:$G$2000=$D309)*ISNUMBER(SEARCH("겉감",소재DB_RAW!$M$3:$M$2000))))),"")</f>
        <v/>
      </c>
      <c r="Z309" s="26">
        <f>IFERROR(TEXTJOIN(CHAR(10),TRUE,UNIQUE(FILTER(소재DB_RAW!$N$3:$N$2000&amp;") "&amp;소재DB_RAW!$O$3:$O$2000,(소재DB_RAW!$G$3:$G$2000=$D309)*ISNUMBER(SEARCH("안감",소재DB_RAW!$M$3:$M$2000))))),"")</f>
        <v/>
      </c>
      <c r="AA309" s="27" t="n">
        <v>2300</v>
      </c>
      <c r="AB309" s="27" t="n">
        <v>57750700</v>
      </c>
      <c r="AC309" s="27" t="n">
        <v>271400000</v>
      </c>
      <c r="AD309" s="20" t="n"/>
      <c r="AE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F309" s="19">
        <f>IF($K309="","",IF(OR(LEFT($AE309,2)="작지",LEFT($AE309,4)="소재입고"),IF(LEFT($G309,1)="S","★ 납기위험(S코드)","◆ 지연주의"),IF($AE309="정상","✓ 정상","? 확인필요")))</f>
        <v/>
      </c>
      <c r="AG309" s="21" t="n"/>
      <c r="AH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21" t="inlineStr">
        <is>
          <t>O</t>
        </is>
      </c>
      <c r="R310" s="21" t="inlineStr">
        <is>
          <t>X</t>
        </is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>
        <f>IFERROR(TEXTJOIN(" / ",TRUE,UNIQUE(FILTER(소재DB_RAW!$K$3:$K$2000,소재DB_RAW!$G$3:$G$2000=$D310))),"")</f>
        <v/>
      </c>
      <c r="W310" s="20" t="inlineStr">
        <is>
          <t>베트남</t>
        </is>
      </c>
      <c r="X310" s="20">
        <f>IFERROR(TEXTJOIN(" / ",TRUE,UNIQUE(FILTER(소재DB_RAW!$N$3:$N$2000,소재DB_RAW!$G$3:$G$2000=$D310))),"")</f>
        <v/>
      </c>
      <c r="Y310" s="26">
        <f>IFERROR(TEXTJOIN(CHAR(10),TRUE,UNIQUE(FILTER(소재DB_RAW!$N$3:$N$2000&amp;") "&amp;소재DB_RAW!$O$3:$O$2000,(소재DB_RAW!$G$3:$G$2000=$D310)*ISNUMBER(SEARCH("겉감",소재DB_RAW!$M$3:$M$2000))))),"")</f>
        <v/>
      </c>
      <c r="Z310" s="26">
        <f>IFERROR(TEXTJOIN(CHAR(10),TRUE,UNIQUE(FILTER(소재DB_RAW!$N$3:$N$2000&amp;") "&amp;소재DB_RAW!$O$3:$O$2000,(소재DB_RAW!$G$3:$G$2000=$D310)*ISNUMBER(SEARCH("안감",소재DB_RAW!$M$3:$M$2000))))),"")</f>
        <v/>
      </c>
      <c r="AA310" s="27" t="n">
        <v>1600</v>
      </c>
      <c r="AB310" s="27" t="n">
        <v>41675200</v>
      </c>
      <c r="AC310" s="27" t="n">
        <v>252800000</v>
      </c>
      <c r="AD310" s="20" t="inlineStr">
        <is>
          <t>3월4주</t>
        </is>
      </c>
      <c r="AE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F310" s="19">
        <f>IF($K310="","",IF(OR(LEFT($AE310,2)="작지",LEFT($AE310,4)="소재입고"),IF(LEFT($G310,1)="S","★ 납기위험(S코드)","◆ 지연주의"),IF($AE310="정상","✓ 정상","? 확인필요")))</f>
        <v/>
      </c>
      <c r="AG310" s="21" t="n"/>
      <c r="AH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21" t="inlineStr">
        <is>
          <t>O</t>
        </is>
      </c>
      <c r="R311" s="21" t="inlineStr">
        <is>
          <t>X</t>
        </is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>
        <f>IFERROR(TEXTJOIN(" / ",TRUE,UNIQUE(FILTER(소재DB_RAW!$K$3:$K$2000,소재DB_RAW!$G$3:$G$2000=$D311))),"")</f>
        <v/>
      </c>
      <c r="W311" s="20" t="inlineStr">
        <is>
          <t>베트남</t>
        </is>
      </c>
      <c r="X311" s="20">
        <f>IFERROR(TEXTJOIN(" / ",TRUE,UNIQUE(FILTER(소재DB_RAW!$N$3:$N$2000,소재DB_RAW!$G$3:$G$2000=$D311))),"")</f>
        <v/>
      </c>
      <c r="Y311" s="26">
        <f>IFERROR(TEXTJOIN(CHAR(10),TRUE,UNIQUE(FILTER(소재DB_RAW!$N$3:$N$2000&amp;") "&amp;소재DB_RAW!$O$3:$O$2000,(소재DB_RAW!$G$3:$G$2000=$D311)*ISNUMBER(SEARCH("겉감",소재DB_RAW!$M$3:$M$2000))))),"")</f>
        <v/>
      </c>
      <c r="Z311" s="26">
        <f>IFERROR(TEXTJOIN(CHAR(10),TRUE,UNIQUE(FILTER(소재DB_RAW!$N$3:$N$2000&amp;") "&amp;소재DB_RAW!$O$3:$O$2000,(소재DB_RAW!$G$3:$G$2000=$D311)*ISNUMBER(SEARCH("안감",소재DB_RAW!$M$3:$M$2000))))),"")</f>
        <v/>
      </c>
      <c r="AA311" s="27" t="n">
        <v>3000</v>
      </c>
      <c r="AB311" s="27" t="n">
        <v>99888000</v>
      </c>
      <c r="AC311" s="27" t="n">
        <v>474000000</v>
      </c>
      <c r="AD311" s="20" t="inlineStr">
        <is>
          <t>3월4주</t>
        </is>
      </c>
      <c r="AE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F311" s="19">
        <f>IF($K311="","",IF(OR(LEFT($AE311,2)="작지",LEFT($AE311,4)="소재입고"),IF(LEFT($G311,1)="S","★ 납기위험(S코드)","◆ 지연주의"),IF($AE311="정상","✓ 정상","? 확인필요")))</f>
        <v/>
      </c>
      <c r="AG311" s="21" t="n"/>
      <c r="AH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21" t="inlineStr">
        <is>
          <t>O</t>
        </is>
      </c>
      <c r="R312" s="21" t="n"/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>
        <f>IFERROR(TEXTJOIN(" / ",TRUE,UNIQUE(FILTER(소재DB_RAW!$K$3:$K$2000,소재DB_RAW!$G$3:$G$2000=$D312))),"")</f>
        <v/>
      </c>
      <c r="W312" s="20" t="inlineStr">
        <is>
          <t>베트남</t>
        </is>
      </c>
      <c r="X312" s="20">
        <f>IFERROR(TEXTJOIN(" / ",TRUE,UNIQUE(FILTER(소재DB_RAW!$N$3:$N$2000,소재DB_RAW!$G$3:$G$2000=$D312))),"")</f>
        <v/>
      </c>
      <c r="Y312" s="26">
        <f>IFERROR(TEXTJOIN(CHAR(10),TRUE,UNIQUE(FILTER(소재DB_RAW!$N$3:$N$2000&amp;") "&amp;소재DB_RAW!$O$3:$O$2000,(소재DB_RAW!$G$3:$G$2000=$D312)*ISNUMBER(SEARCH("겉감",소재DB_RAW!$M$3:$M$2000))))),"")</f>
        <v/>
      </c>
      <c r="Z312" s="26">
        <f>IFERROR(TEXTJOIN(CHAR(10),TRUE,UNIQUE(FILTER(소재DB_RAW!$N$3:$N$2000&amp;") "&amp;소재DB_RAW!$O$3:$O$2000,(소재DB_RAW!$G$3:$G$2000=$D312)*ISNUMBER(SEARCH("안감",소재DB_RAW!$M$3:$M$2000))))),"")</f>
        <v/>
      </c>
      <c r="AA312" s="27" t="n">
        <v>3000</v>
      </c>
      <c r="AB312" s="27" t="n">
        <v>63000000</v>
      </c>
      <c r="AC312" s="27" t="n">
        <v>354000000</v>
      </c>
      <c r="AD312" s="20" t="n"/>
      <c r="AE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F312" s="19">
        <f>IF($K312="","",IF(OR(LEFT($AE312,2)="작지",LEFT($AE312,4)="소재입고"),IF(LEFT($G312,1)="S","★ 납기위험(S코드)","◆ 지연주의"),IF($AE312="정상","✓ 정상","? 확인필요")))</f>
        <v/>
      </c>
      <c r="AG312" s="21" t="n"/>
      <c r="AH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21" t="inlineStr">
        <is>
          <t>O</t>
        </is>
      </c>
      <c r="R313" s="21" t="inlineStr">
        <is>
          <t>X</t>
        </is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>
        <f>IFERROR(TEXTJOIN(" / ",TRUE,UNIQUE(FILTER(소재DB_RAW!$K$3:$K$2000,소재DB_RAW!$G$3:$G$2000=$D313))),"")</f>
        <v/>
      </c>
      <c r="W313" s="20" t="inlineStr">
        <is>
          <t>인도네시아</t>
        </is>
      </c>
      <c r="X313" s="20">
        <f>IFERROR(TEXTJOIN(" / ",TRUE,UNIQUE(FILTER(소재DB_RAW!$N$3:$N$2000,소재DB_RAW!$G$3:$G$2000=$D313))),"")</f>
        <v/>
      </c>
      <c r="Y313" s="26">
        <f>IFERROR(TEXTJOIN(CHAR(10),TRUE,UNIQUE(FILTER(소재DB_RAW!$N$3:$N$2000&amp;") "&amp;소재DB_RAW!$O$3:$O$2000,(소재DB_RAW!$G$3:$G$2000=$D313)*ISNUMBER(SEARCH("겉감",소재DB_RAW!$M$3:$M$2000))))),"")</f>
        <v/>
      </c>
      <c r="Z313" s="26">
        <f>IFERROR(TEXTJOIN(CHAR(10),TRUE,UNIQUE(FILTER(소재DB_RAW!$N$3:$N$2000&amp;") "&amp;소재DB_RAW!$O$3:$O$2000,(소재DB_RAW!$G$3:$G$2000=$D313)*ISNUMBER(SEARCH("안감",소재DB_RAW!$M$3:$M$2000))))),"")</f>
        <v/>
      </c>
      <c r="AA313" s="27" t="n">
        <v>1600</v>
      </c>
      <c r="AB313" s="27" t="n">
        <v>34251200</v>
      </c>
      <c r="AC313" s="27" t="n">
        <v>156800000</v>
      </c>
      <c r="AD313" s="20" t="inlineStr">
        <is>
          <t>3월 4주</t>
        </is>
      </c>
      <c r="AE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F313" s="19">
        <f>IF($K313="","",IF(OR(LEFT($AE313,2)="작지",LEFT($AE313,4)="소재입고"),IF(LEFT($G313,1)="S","★ 납기위험(S코드)","◆ 지연주의"),IF($AE313="정상","✓ 정상","? 확인필요")))</f>
        <v/>
      </c>
      <c r="AG313" s="21" t="n"/>
      <c r="AH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21" t="inlineStr">
        <is>
          <t>O</t>
        </is>
      </c>
      <c r="R314" s="21" t="inlineStr">
        <is>
          <t>X</t>
        </is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>
        <f>IFERROR(TEXTJOIN(" / ",TRUE,UNIQUE(FILTER(소재DB_RAW!$K$3:$K$2000,소재DB_RAW!$G$3:$G$2000=$D314))),"")</f>
        <v/>
      </c>
      <c r="W314" s="20" t="inlineStr">
        <is>
          <t>인도네시아</t>
        </is>
      </c>
      <c r="X314" s="20">
        <f>IFERROR(TEXTJOIN(" / ",TRUE,UNIQUE(FILTER(소재DB_RAW!$N$3:$N$2000,소재DB_RAW!$G$3:$G$2000=$D314))),"")</f>
        <v/>
      </c>
      <c r="Y314" s="26">
        <f>IFERROR(TEXTJOIN(CHAR(10),TRUE,UNIQUE(FILTER(소재DB_RAW!$N$3:$N$2000&amp;") "&amp;소재DB_RAW!$O$3:$O$2000,(소재DB_RAW!$G$3:$G$2000=$D314)*ISNUMBER(SEARCH("겉감",소재DB_RAW!$M$3:$M$2000))))),"")</f>
        <v/>
      </c>
      <c r="Z314" s="26">
        <f>IFERROR(TEXTJOIN(CHAR(10),TRUE,UNIQUE(FILTER(소재DB_RAW!$N$3:$N$2000&amp;") "&amp;소재DB_RAW!$O$3:$O$2000,(소재DB_RAW!$G$3:$G$2000=$D314)*ISNUMBER(SEARCH("안감",소재DB_RAW!$M$3:$M$2000))))),"")</f>
        <v/>
      </c>
      <c r="AA314" s="27" t="n">
        <v>2100</v>
      </c>
      <c r="AB314" s="27" t="n">
        <v>46200000</v>
      </c>
      <c r="AC314" s="27" t="n">
        <v>205800000</v>
      </c>
      <c r="AD314" s="20" t="inlineStr">
        <is>
          <t>3월4주</t>
        </is>
      </c>
      <c r="AE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F314" s="19">
        <f>IF($K314="","",IF(OR(LEFT($AE314,2)="작지",LEFT($AE314,4)="소재입고"),IF(LEFT($G314,1)="S","★ 납기위험(S코드)","◆ 지연주의"),IF($AE314="정상","✓ 정상","? 확인필요")))</f>
        <v/>
      </c>
      <c r="AG314" s="21" t="n"/>
      <c r="AH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21" t="inlineStr">
        <is>
          <t>O</t>
        </is>
      </c>
      <c r="R315" s="21" t="inlineStr">
        <is>
          <t>X</t>
        </is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>
        <f>IFERROR(TEXTJOIN(" / ",TRUE,UNIQUE(FILTER(소재DB_RAW!$K$3:$K$2000,소재DB_RAW!$G$3:$G$2000=$D315))),"")</f>
        <v/>
      </c>
      <c r="W315" s="20" t="inlineStr">
        <is>
          <t>베트남</t>
        </is>
      </c>
      <c r="X315" s="20">
        <f>IFERROR(TEXTJOIN(" / ",TRUE,UNIQUE(FILTER(소재DB_RAW!$N$3:$N$2000,소재DB_RAW!$G$3:$G$2000=$D315))),"")</f>
        <v/>
      </c>
      <c r="Y315" s="26">
        <f>IFERROR(TEXTJOIN(CHAR(10),TRUE,UNIQUE(FILTER(소재DB_RAW!$N$3:$N$2000&amp;") "&amp;소재DB_RAW!$O$3:$O$2000,(소재DB_RAW!$G$3:$G$2000=$D315)*ISNUMBER(SEARCH("겉감",소재DB_RAW!$M$3:$M$2000))))),"")</f>
        <v/>
      </c>
      <c r="Z315" s="26">
        <f>IFERROR(TEXTJOIN(CHAR(10),TRUE,UNIQUE(FILTER(소재DB_RAW!$N$3:$N$2000&amp;") "&amp;소재DB_RAW!$O$3:$O$2000,(소재DB_RAW!$G$3:$G$2000=$D315)*ISNUMBER(SEARCH("안감",소재DB_RAW!$M$3:$M$2000))))),"")</f>
        <v/>
      </c>
      <c r="AA315" s="27" t="n">
        <v>1660</v>
      </c>
      <c r="AB315" s="27" t="n">
        <v>51792000</v>
      </c>
      <c r="AC315" s="27" t="n">
        <v>229080000</v>
      </c>
      <c r="AD315" s="20" t="inlineStr">
        <is>
          <t>4월1주</t>
        </is>
      </c>
      <c r="AE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F315" s="19">
        <f>IF($K315="","",IF(OR(LEFT($AE315,2)="작지",LEFT($AE315,4)="소재입고"),IF(LEFT($G315,1)="S","★ 납기위험(S코드)","◆ 지연주의"),IF($AE315="정상","✓ 정상","? 확인필요")))</f>
        <v/>
      </c>
      <c r="AG315" s="21" t="n"/>
      <c r="AH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21" t="inlineStr">
        <is>
          <t>O</t>
        </is>
      </c>
      <c r="R316" s="21" t="inlineStr">
        <is>
          <t>X</t>
        </is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>
        <f>IFERROR(TEXTJOIN(" / ",TRUE,UNIQUE(FILTER(소재DB_RAW!$K$3:$K$2000,소재DB_RAW!$G$3:$G$2000=$D316))),"")</f>
        <v/>
      </c>
      <c r="W316" s="20" t="inlineStr">
        <is>
          <t>베트남</t>
        </is>
      </c>
      <c r="X316" s="20">
        <f>IFERROR(TEXTJOIN(" / ",TRUE,UNIQUE(FILTER(소재DB_RAW!$N$3:$N$2000,소재DB_RAW!$G$3:$G$2000=$D316))),"")</f>
        <v/>
      </c>
      <c r="Y316" s="26">
        <f>IFERROR(TEXTJOIN(CHAR(10),TRUE,UNIQUE(FILTER(소재DB_RAW!$N$3:$N$2000&amp;") "&amp;소재DB_RAW!$O$3:$O$2000,(소재DB_RAW!$G$3:$G$2000=$D316)*ISNUMBER(SEARCH("겉감",소재DB_RAW!$M$3:$M$2000))))),"")</f>
        <v/>
      </c>
      <c r="Z316" s="26">
        <f>IFERROR(TEXTJOIN(CHAR(10),TRUE,UNIQUE(FILTER(소재DB_RAW!$N$3:$N$2000&amp;") "&amp;소재DB_RAW!$O$3:$O$2000,(소재DB_RAW!$G$3:$G$2000=$D316)*ISNUMBER(SEARCH("안감",소재DB_RAW!$M$3:$M$2000))))),"")</f>
        <v/>
      </c>
      <c r="AA316" s="27" t="n">
        <v>2000</v>
      </c>
      <c r="AB316" s="27" t="n">
        <v>42762000</v>
      </c>
      <c r="AC316" s="27" t="n">
        <v>236000000</v>
      </c>
      <c r="AD316" s="20" t="inlineStr">
        <is>
          <t>4월1주</t>
        </is>
      </c>
      <c r="AE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F316" s="19">
        <f>IF($K316="","",IF(OR(LEFT($AE316,2)="작지",LEFT($AE316,4)="소재입고"),IF(LEFT($G316,1)="S","★ 납기위험(S코드)","◆ 지연주의"),IF($AE316="정상","✓ 정상","? 확인필요")))</f>
        <v/>
      </c>
      <c r="AG316" s="21" t="n"/>
      <c r="AH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21" t="inlineStr">
        <is>
          <t>O</t>
        </is>
      </c>
      <c r="R317" s="21" t="inlineStr">
        <is>
          <t>X</t>
        </is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>
        <f>IFERROR(TEXTJOIN(" / ",TRUE,UNIQUE(FILTER(소재DB_RAW!$K$3:$K$2000,소재DB_RAW!$G$3:$G$2000=$D317))),"")</f>
        <v/>
      </c>
      <c r="W317" s="20" t="inlineStr">
        <is>
          <t>베트남</t>
        </is>
      </c>
      <c r="X317" s="20">
        <f>IFERROR(TEXTJOIN(" / ",TRUE,UNIQUE(FILTER(소재DB_RAW!$N$3:$N$2000,소재DB_RAW!$G$3:$G$2000=$D317))),"")</f>
        <v/>
      </c>
      <c r="Y317" s="26">
        <f>IFERROR(TEXTJOIN(CHAR(10),TRUE,UNIQUE(FILTER(소재DB_RAW!$N$3:$N$2000&amp;") "&amp;소재DB_RAW!$O$3:$O$2000,(소재DB_RAW!$G$3:$G$2000=$D317)*ISNUMBER(SEARCH("겉감",소재DB_RAW!$M$3:$M$2000))))),"")</f>
        <v/>
      </c>
      <c r="Z317" s="26">
        <f>IFERROR(TEXTJOIN(CHAR(10),TRUE,UNIQUE(FILTER(소재DB_RAW!$N$3:$N$2000&amp;") "&amp;소재DB_RAW!$O$3:$O$2000,(소재DB_RAW!$G$3:$G$2000=$D317)*ISNUMBER(SEARCH("안감",소재DB_RAW!$M$3:$M$2000))))),"")</f>
        <v/>
      </c>
      <c r="AA317" s="27" t="n">
        <v>1960</v>
      </c>
      <c r="AB317" s="27" t="n">
        <v>50985480</v>
      </c>
      <c r="AC317" s="27" t="n">
        <v>290080000</v>
      </c>
      <c r="AD317" s="20" t="inlineStr">
        <is>
          <t>4월1주</t>
        </is>
      </c>
      <c r="AE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F317" s="19">
        <f>IF($K317="","",IF(OR(LEFT($AE317,2)="작지",LEFT($AE317,4)="소재입고"),IF(LEFT($G317,1)="S","★ 납기위험(S코드)","◆ 지연주의"),IF($AE317="정상","✓ 정상","? 확인필요")))</f>
        <v/>
      </c>
      <c r="AG317" s="21" t="n"/>
      <c r="AH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21" t="inlineStr">
        <is>
          <t>O</t>
        </is>
      </c>
      <c r="R318" s="21" t="inlineStr">
        <is>
          <t>X</t>
        </is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>
        <f>IFERROR(TEXTJOIN(" / ",TRUE,UNIQUE(FILTER(소재DB_RAW!$K$3:$K$2000,소재DB_RAW!$G$3:$G$2000=$D318))),"")</f>
        <v/>
      </c>
      <c r="W318" s="20" t="inlineStr">
        <is>
          <t>베트남</t>
        </is>
      </c>
      <c r="X318" s="20">
        <f>IFERROR(TEXTJOIN(" / ",TRUE,UNIQUE(FILTER(소재DB_RAW!$N$3:$N$2000,소재DB_RAW!$G$3:$G$2000=$D318))),"")</f>
        <v/>
      </c>
      <c r="Y318" s="26">
        <f>IFERROR(TEXTJOIN(CHAR(10),TRUE,UNIQUE(FILTER(소재DB_RAW!$N$3:$N$2000&amp;") "&amp;소재DB_RAW!$O$3:$O$2000,(소재DB_RAW!$G$3:$G$2000=$D318)*ISNUMBER(SEARCH("겉감",소재DB_RAW!$M$3:$M$2000))))),"")</f>
        <v/>
      </c>
      <c r="Z318" s="26">
        <f>IFERROR(TEXTJOIN(CHAR(10),TRUE,UNIQUE(FILTER(소재DB_RAW!$N$3:$N$2000&amp;") "&amp;소재DB_RAW!$O$3:$O$2000,(소재DB_RAW!$G$3:$G$2000=$D318)*ISNUMBER(SEARCH("안감",소재DB_RAW!$M$3:$M$2000))))),"")</f>
        <v/>
      </c>
      <c r="AA318" s="27" t="n">
        <v>1000</v>
      </c>
      <c r="AB318" s="27" t="n">
        <v>20952000</v>
      </c>
      <c r="AC318" s="27" t="n">
        <v>78000000</v>
      </c>
      <c r="AD318" s="20" t="n"/>
      <c r="AE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F318" s="19">
        <f>IF($K318="","",IF(OR(LEFT($AE318,2)="작지",LEFT($AE318,4)="소재입고"),IF(LEFT($G318,1)="S","★ 납기위험(S코드)","◆ 지연주의"),IF($AE318="정상","✓ 정상","? 확인필요")))</f>
        <v/>
      </c>
      <c r="AG318" s="21" t="n"/>
      <c r="AH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21" t="inlineStr">
        <is>
          <t>X</t>
        </is>
      </c>
      <c r="R319" s="21" t="inlineStr">
        <is>
          <t>X</t>
        </is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>
        <f>IFERROR(TEXTJOIN(" / ",TRUE,UNIQUE(FILTER(소재DB_RAW!$K$3:$K$2000,소재DB_RAW!$G$3:$G$2000=$D319))),"")</f>
        <v/>
      </c>
      <c r="W319" s="20" t="inlineStr">
        <is>
          <t>베트남</t>
        </is>
      </c>
      <c r="X319" s="20">
        <f>IFERROR(TEXTJOIN(" / ",TRUE,UNIQUE(FILTER(소재DB_RAW!$N$3:$N$2000,소재DB_RAW!$G$3:$G$2000=$D319))),"")</f>
        <v/>
      </c>
      <c r="Y319" s="26">
        <f>IFERROR(TEXTJOIN(CHAR(10),TRUE,UNIQUE(FILTER(소재DB_RAW!$N$3:$N$2000&amp;") "&amp;소재DB_RAW!$O$3:$O$2000,(소재DB_RAW!$G$3:$G$2000=$D319)*ISNUMBER(SEARCH("겉감",소재DB_RAW!$M$3:$M$2000))))),"")</f>
        <v/>
      </c>
      <c r="Z319" s="26">
        <f>IFERROR(TEXTJOIN(CHAR(10),TRUE,UNIQUE(FILTER(소재DB_RAW!$N$3:$N$2000&amp;") "&amp;소재DB_RAW!$O$3:$O$2000,(소재DB_RAW!$G$3:$G$2000=$D319)*ISNUMBER(SEARCH("안감",소재DB_RAW!$M$3:$M$2000))))),"")</f>
        <v/>
      </c>
      <c r="AA319" s="27" t="n">
        <v>0</v>
      </c>
      <c r="AB319" s="27" t="n">
        <v>3000000</v>
      </c>
      <c r="AC319" s="27" t="n">
        <v>9800000</v>
      </c>
      <c r="AD319" s="20" t="n"/>
      <c r="AE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F319" s="19">
        <f>IF($K319="","",IF(OR(LEFT($AE319,2)="작지",LEFT($AE319,4)="소재입고"),IF(LEFT($G319,1)="S","★ 납기위험(S코드)","◆ 지연주의"),IF($AE319="정상","✓ 정상","? 확인필요")))</f>
        <v/>
      </c>
      <c r="AG319" s="21" t="n"/>
      <c r="AH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21" t="inlineStr">
        <is>
          <t>X</t>
        </is>
      </c>
      <c r="R320" s="21" t="inlineStr">
        <is>
          <t>X</t>
        </is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>
        <f>IFERROR(TEXTJOIN(" / ",TRUE,UNIQUE(FILTER(소재DB_RAW!$K$3:$K$2000,소재DB_RAW!$G$3:$G$2000=$D320))),"")</f>
        <v/>
      </c>
      <c r="W320" s="20" t="inlineStr">
        <is>
          <t>베트남</t>
        </is>
      </c>
      <c r="X320" s="20">
        <f>IFERROR(TEXTJOIN(" / ",TRUE,UNIQUE(FILTER(소재DB_RAW!$N$3:$N$2000,소재DB_RAW!$G$3:$G$2000=$D320))),"")</f>
        <v/>
      </c>
      <c r="Y320" s="26">
        <f>IFERROR(TEXTJOIN(CHAR(10),TRUE,UNIQUE(FILTER(소재DB_RAW!$N$3:$N$2000&amp;") "&amp;소재DB_RAW!$O$3:$O$2000,(소재DB_RAW!$G$3:$G$2000=$D320)*ISNUMBER(SEARCH("겉감",소재DB_RAW!$M$3:$M$2000))))),"")</f>
        <v/>
      </c>
      <c r="Z320" s="26">
        <f>IFERROR(TEXTJOIN(CHAR(10),TRUE,UNIQUE(FILTER(소재DB_RAW!$N$3:$N$2000&amp;") "&amp;소재DB_RAW!$O$3:$O$2000,(소재DB_RAW!$G$3:$G$2000=$D320)*ISNUMBER(SEARCH("안감",소재DB_RAW!$M$3:$M$2000))))),"")</f>
        <v/>
      </c>
      <c r="AA320" s="27" t="n">
        <v>0</v>
      </c>
      <c r="AB320" s="27" t="n">
        <v>14775000</v>
      </c>
      <c r="AC320" s="27" t="n">
        <v>39500000</v>
      </c>
      <c r="AD320" s="20" t="n"/>
      <c r="AE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F320" s="19">
        <f>IF($K320="","",IF(OR(LEFT($AE320,2)="작지",LEFT($AE320,4)="소재입고"),IF(LEFT($G320,1)="S","★ 납기위험(S코드)","◆ 지연주의"),IF($AE320="정상","✓ 정상","? 확인필요")))</f>
        <v/>
      </c>
      <c r="AG320" s="21" t="n"/>
      <c r="AH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21" t="inlineStr">
        <is>
          <t>X</t>
        </is>
      </c>
      <c r="R321" s="21" t="inlineStr">
        <is>
          <t>X</t>
        </is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>
        <f>IFERROR(TEXTJOIN(" / ",TRUE,UNIQUE(FILTER(소재DB_RAW!$K$3:$K$2000,소재DB_RAW!$G$3:$G$2000=$D321))),"")</f>
        <v/>
      </c>
      <c r="W321" s="20" t="inlineStr">
        <is>
          <t>베트남</t>
        </is>
      </c>
      <c r="X321" s="20">
        <f>IFERROR(TEXTJOIN(" / ",TRUE,UNIQUE(FILTER(소재DB_RAW!$N$3:$N$2000,소재DB_RAW!$G$3:$G$2000=$D321))),"")</f>
        <v/>
      </c>
      <c r="Y321" s="26">
        <f>IFERROR(TEXTJOIN(CHAR(10),TRUE,UNIQUE(FILTER(소재DB_RAW!$N$3:$N$2000&amp;") "&amp;소재DB_RAW!$O$3:$O$2000,(소재DB_RAW!$G$3:$G$2000=$D321)*ISNUMBER(SEARCH("겉감",소재DB_RAW!$M$3:$M$2000))))),"")</f>
        <v/>
      </c>
      <c r="Z321" s="26">
        <f>IFERROR(TEXTJOIN(CHAR(10),TRUE,UNIQUE(FILTER(소재DB_RAW!$N$3:$N$2000&amp;") "&amp;소재DB_RAW!$O$3:$O$2000,(소재DB_RAW!$G$3:$G$2000=$D321)*ISNUMBER(SEARCH("안감",소재DB_RAW!$M$3:$M$2000))))),"")</f>
        <v/>
      </c>
      <c r="AA321" s="27" t="n">
        <v>0</v>
      </c>
      <c r="AB321" s="27" t="n">
        <v>64442700</v>
      </c>
      <c r="AC321" s="27" t="n">
        <v>203000000</v>
      </c>
      <c r="AD321" s="20" t="n"/>
      <c r="AE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F321" s="19">
        <f>IF($K321="","",IF(OR(LEFT($AE321,2)="작지",LEFT($AE321,4)="소재입고"),IF(LEFT($G321,1)="S","★ 납기위험(S코드)","◆ 지연주의"),IF($AE321="정상","✓ 정상","? 확인필요")))</f>
        <v/>
      </c>
      <c r="AG321" s="21" t="n"/>
      <c r="AH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21" t="inlineStr">
        <is>
          <t>X</t>
        </is>
      </c>
      <c r="R322" s="21" t="inlineStr">
        <is>
          <t>X</t>
        </is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>
        <f>IFERROR(TEXTJOIN(" / ",TRUE,UNIQUE(FILTER(소재DB_RAW!$K$3:$K$2000,소재DB_RAW!$G$3:$G$2000=$D322))),"")</f>
        <v/>
      </c>
      <c r="W322" s="20" t="inlineStr">
        <is>
          <t>베트남</t>
        </is>
      </c>
      <c r="X322" s="20">
        <f>IFERROR(TEXTJOIN(" / ",TRUE,UNIQUE(FILTER(소재DB_RAW!$N$3:$N$2000,소재DB_RAW!$G$3:$G$2000=$D322))),"")</f>
        <v/>
      </c>
      <c r="Y322" s="26">
        <f>IFERROR(TEXTJOIN(CHAR(10),TRUE,UNIQUE(FILTER(소재DB_RAW!$N$3:$N$2000&amp;") "&amp;소재DB_RAW!$O$3:$O$2000,(소재DB_RAW!$G$3:$G$2000=$D322)*ISNUMBER(SEARCH("겉감",소재DB_RAW!$M$3:$M$2000))))),"")</f>
        <v/>
      </c>
      <c r="Z322" s="26">
        <f>IFERROR(TEXTJOIN(CHAR(10),TRUE,UNIQUE(FILTER(소재DB_RAW!$N$3:$N$2000&amp;") "&amp;소재DB_RAW!$O$3:$O$2000,(소재DB_RAW!$G$3:$G$2000=$D322)*ISNUMBER(SEARCH("안감",소재DB_RAW!$M$3:$M$2000))))),"")</f>
        <v/>
      </c>
      <c r="AA322" s="27" t="n">
        <v>0</v>
      </c>
      <c r="AB322" s="27" t="n">
        <v>14190000</v>
      </c>
      <c r="AC322" s="27" t="n">
        <v>41400000</v>
      </c>
      <c r="AD322" s="20" t="n"/>
      <c r="AE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F322" s="19">
        <f>IF($K322="","",IF(OR(LEFT($AE322,2)="작지",LEFT($AE322,4)="소재입고"),IF(LEFT($G322,1)="S","★ 납기위험(S코드)","◆ 지연주의"),IF($AE322="정상","✓ 정상","? 확인필요")))</f>
        <v/>
      </c>
      <c r="AG322" s="21" t="n"/>
      <c r="AH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21" t="inlineStr">
        <is>
          <t>X</t>
        </is>
      </c>
      <c r="R323" s="21" t="inlineStr">
        <is>
          <t>X</t>
        </is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>
        <f>IFERROR(TEXTJOIN(" / ",TRUE,UNIQUE(FILTER(소재DB_RAW!$K$3:$K$2000,소재DB_RAW!$G$3:$G$2000=$D323))),"")</f>
        <v/>
      </c>
      <c r="W323" s="20" t="inlineStr">
        <is>
          <t>중국</t>
        </is>
      </c>
      <c r="X323" s="20">
        <f>IFERROR(TEXTJOIN(" / ",TRUE,UNIQUE(FILTER(소재DB_RAW!$N$3:$N$2000,소재DB_RAW!$G$3:$G$2000=$D323))),"")</f>
        <v/>
      </c>
      <c r="Y323" s="26">
        <f>IFERROR(TEXTJOIN(CHAR(10),TRUE,UNIQUE(FILTER(소재DB_RAW!$N$3:$N$2000&amp;") "&amp;소재DB_RAW!$O$3:$O$2000,(소재DB_RAW!$G$3:$G$2000=$D323)*ISNUMBER(SEARCH("겉감",소재DB_RAW!$M$3:$M$2000))))),"")</f>
        <v/>
      </c>
      <c r="Z323" s="26">
        <f>IFERROR(TEXTJOIN(CHAR(10),TRUE,UNIQUE(FILTER(소재DB_RAW!$N$3:$N$2000&amp;") "&amp;소재DB_RAW!$O$3:$O$2000,(소재DB_RAW!$G$3:$G$2000=$D323)*ISNUMBER(SEARCH("안감",소재DB_RAW!$M$3:$M$2000))))),"")</f>
        <v/>
      </c>
      <c r="AA323" s="27" t="n">
        <v>0</v>
      </c>
      <c r="AB323" s="27" t="n">
        <v>11279950</v>
      </c>
      <c r="AC323" s="27" t="n">
        <v>42900000</v>
      </c>
      <c r="AD323" s="20" t="n"/>
      <c r="AE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F323" s="19">
        <f>IF($K323="","",IF(OR(LEFT($AE323,2)="작지",LEFT($AE323,4)="소재입고"),IF(LEFT($G323,1)="S","★ 납기위험(S코드)","◆ 지연주의"),IF($AE323="정상","✓ 정상","? 확인필요")))</f>
        <v/>
      </c>
      <c r="AG323" s="21" t="n"/>
      <c r="AH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21" t="inlineStr">
        <is>
          <t>X</t>
        </is>
      </c>
      <c r="R324" s="21" t="inlineStr">
        <is>
          <t>X</t>
        </is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>
        <f>IFERROR(TEXTJOIN(" / ",TRUE,UNIQUE(FILTER(소재DB_RAW!$K$3:$K$2000,소재DB_RAW!$G$3:$G$2000=$D324))),"")</f>
        <v/>
      </c>
      <c r="W324" s="20" t="inlineStr">
        <is>
          <t>베트남</t>
        </is>
      </c>
      <c r="X324" s="20">
        <f>IFERROR(TEXTJOIN(" / ",TRUE,UNIQUE(FILTER(소재DB_RAW!$N$3:$N$2000,소재DB_RAW!$G$3:$G$2000=$D324))),"")</f>
        <v/>
      </c>
      <c r="Y324" s="26">
        <f>IFERROR(TEXTJOIN(CHAR(10),TRUE,UNIQUE(FILTER(소재DB_RAW!$N$3:$N$2000&amp;") "&amp;소재DB_RAW!$O$3:$O$2000,(소재DB_RAW!$G$3:$G$2000=$D324)*ISNUMBER(SEARCH("겉감",소재DB_RAW!$M$3:$M$2000))))),"")</f>
        <v/>
      </c>
      <c r="Z324" s="26">
        <f>IFERROR(TEXTJOIN(CHAR(10),TRUE,UNIQUE(FILTER(소재DB_RAW!$N$3:$N$2000&amp;") "&amp;소재DB_RAW!$O$3:$O$2000,(소재DB_RAW!$G$3:$G$2000=$D324)*ISNUMBER(SEARCH("안감",소재DB_RAW!$M$3:$M$2000))))),"")</f>
        <v/>
      </c>
      <c r="AA324" s="27" t="n">
        <v>0</v>
      </c>
      <c r="AB324" s="27" t="n">
        <v>4264706</v>
      </c>
      <c r="AC324" s="27" t="n">
        <v>14500000</v>
      </c>
      <c r="AD324" s="20" t="n"/>
      <c r="AE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F324" s="19">
        <f>IF($K324="","",IF(OR(LEFT($AE324,2)="작지",LEFT($AE324,4)="소재입고"),IF(LEFT($G324,1)="S","★ 납기위험(S코드)","◆ 지연주의"),IF($AE324="정상","✓ 정상","? 확인필요")))</f>
        <v/>
      </c>
      <c r="AG324" s="21" t="n"/>
      <c r="AH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21" t="inlineStr">
        <is>
          <t>X</t>
        </is>
      </c>
      <c r="R325" s="21" t="inlineStr">
        <is>
          <t>X</t>
        </is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>
        <f>IFERROR(TEXTJOIN(" / ",TRUE,UNIQUE(FILTER(소재DB_RAW!$K$3:$K$2000,소재DB_RAW!$G$3:$G$2000=$D325))),"")</f>
        <v/>
      </c>
      <c r="W325" s="20" t="inlineStr">
        <is>
          <t>베트남</t>
        </is>
      </c>
      <c r="X325" s="20">
        <f>IFERROR(TEXTJOIN(" / ",TRUE,UNIQUE(FILTER(소재DB_RAW!$N$3:$N$2000,소재DB_RAW!$G$3:$G$2000=$D325))),"")</f>
        <v/>
      </c>
      <c r="Y325" s="26">
        <f>IFERROR(TEXTJOIN(CHAR(10),TRUE,UNIQUE(FILTER(소재DB_RAW!$N$3:$N$2000&amp;") "&amp;소재DB_RAW!$O$3:$O$2000,(소재DB_RAW!$G$3:$G$2000=$D325)*ISNUMBER(SEARCH("겉감",소재DB_RAW!$M$3:$M$2000))))),"")</f>
        <v/>
      </c>
      <c r="Z325" s="26">
        <f>IFERROR(TEXTJOIN(CHAR(10),TRUE,UNIQUE(FILTER(소재DB_RAW!$N$3:$N$2000&amp;") "&amp;소재DB_RAW!$O$3:$O$2000,(소재DB_RAW!$G$3:$G$2000=$D325)*ISNUMBER(SEARCH("안감",소재DB_RAW!$M$3:$M$2000))))),"")</f>
        <v/>
      </c>
      <c r="AA325" s="27" t="n">
        <v>0</v>
      </c>
      <c r="AB325" s="27" t="n">
        <v>3411765</v>
      </c>
      <c r="AC325" s="27" t="n">
        <v>11600000</v>
      </c>
      <c r="AD325" s="20" t="n"/>
      <c r="AE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F325" s="19">
        <f>IF($K325="","",IF(OR(LEFT($AE325,2)="작지",LEFT($AE325,4)="소재입고"),IF(LEFT($G325,1)="S","★ 납기위험(S코드)","◆ 지연주의"),IF($AE325="정상","✓ 정상","? 확인필요")))</f>
        <v/>
      </c>
      <c r="AG325" s="21" t="n"/>
      <c r="AH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21" t="inlineStr">
        <is>
          <t>X</t>
        </is>
      </c>
      <c r="R326" s="21" t="inlineStr">
        <is>
          <t>X</t>
        </is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>
        <f>IFERROR(TEXTJOIN(" / ",TRUE,UNIQUE(FILTER(소재DB_RAW!$K$3:$K$2000,소재DB_RAW!$G$3:$G$2000=$D326))),"")</f>
        <v/>
      </c>
      <c r="W326" s="20" t="inlineStr">
        <is>
          <t>베트남</t>
        </is>
      </c>
      <c r="X326" s="20">
        <f>IFERROR(TEXTJOIN(" / ",TRUE,UNIQUE(FILTER(소재DB_RAW!$N$3:$N$2000,소재DB_RAW!$G$3:$G$2000=$D326))),"")</f>
        <v/>
      </c>
      <c r="Y326" s="26">
        <f>IFERROR(TEXTJOIN(CHAR(10),TRUE,UNIQUE(FILTER(소재DB_RAW!$N$3:$N$2000&amp;") "&amp;소재DB_RAW!$O$3:$O$2000,(소재DB_RAW!$G$3:$G$2000=$D326)*ISNUMBER(SEARCH("겉감",소재DB_RAW!$M$3:$M$2000))))),"")</f>
        <v/>
      </c>
      <c r="Z326" s="26">
        <f>IFERROR(TEXTJOIN(CHAR(10),TRUE,UNIQUE(FILTER(소재DB_RAW!$N$3:$N$2000&amp;") "&amp;소재DB_RAW!$O$3:$O$2000,(소재DB_RAW!$G$3:$G$2000=$D326)*ISNUMBER(SEARCH("안감",소재DB_RAW!$M$3:$M$2000))))),"")</f>
        <v/>
      </c>
      <c r="AA326" s="27" t="n">
        <v>0</v>
      </c>
      <c r="AB326" s="27" t="n">
        <v>3752941</v>
      </c>
      <c r="AC326" s="27" t="n">
        <v>12760000</v>
      </c>
      <c r="AD326" s="20" t="n"/>
      <c r="AE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F326" s="19">
        <f>IF($K326="","",IF(OR(LEFT($AE326,2)="작지",LEFT($AE326,4)="소재입고"),IF(LEFT($G326,1)="S","★ 납기위험(S코드)","◆ 지연주의"),IF($AE326="정상","✓ 정상","? 확인필요")))</f>
        <v/>
      </c>
      <c r="AG326" s="21" t="n"/>
      <c r="AH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21" t="inlineStr">
        <is>
          <t>X</t>
        </is>
      </c>
      <c r="R327" s="21" t="inlineStr">
        <is>
          <t>X</t>
        </is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>
        <f>IFERROR(TEXTJOIN(" / ",TRUE,UNIQUE(FILTER(소재DB_RAW!$K$3:$K$2000,소재DB_RAW!$G$3:$G$2000=$D327))),"")</f>
        <v/>
      </c>
      <c r="W327" s="20" t="inlineStr">
        <is>
          <t>국내</t>
        </is>
      </c>
      <c r="X327" s="20">
        <f>IFERROR(TEXTJOIN(" / ",TRUE,UNIQUE(FILTER(소재DB_RAW!$N$3:$N$2000,소재DB_RAW!$G$3:$G$2000=$D327))),"")</f>
        <v/>
      </c>
      <c r="Y327" s="26">
        <f>IFERROR(TEXTJOIN(CHAR(10),TRUE,UNIQUE(FILTER(소재DB_RAW!$N$3:$N$2000&amp;") "&amp;소재DB_RAW!$O$3:$O$2000,(소재DB_RAW!$G$3:$G$2000=$D327)*ISNUMBER(SEARCH("겉감",소재DB_RAW!$M$3:$M$2000))))),"")</f>
        <v/>
      </c>
      <c r="Z327" s="26">
        <f>IFERROR(TEXTJOIN(CHAR(10),TRUE,UNIQUE(FILTER(소재DB_RAW!$N$3:$N$2000&amp;") "&amp;소재DB_RAW!$O$3:$O$2000,(소재DB_RAW!$G$3:$G$2000=$D327)*ISNUMBER(SEARCH("안감",소재DB_RAW!$M$3:$M$2000))))),"")</f>
        <v/>
      </c>
      <c r="AA327" s="27" t="n">
        <v>0</v>
      </c>
      <c r="AB327" s="27" t="n">
        <v>10000000</v>
      </c>
      <c r="AC327" s="27" t="n">
        <v>34000000</v>
      </c>
      <c r="AD327" s="20" t="n"/>
      <c r="AE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F327" s="19">
        <f>IF($K327="","",IF(OR(LEFT($AE327,2)="작지",LEFT($AE327,4)="소재입고"),IF(LEFT($G327,1)="S","★ 납기위험(S코드)","◆ 지연주의"),IF($AE327="정상","✓ 정상","? 확인필요")))</f>
        <v/>
      </c>
      <c r="AG327" s="21" t="n"/>
      <c r="AH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21" t="inlineStr">
        <is>
          <t>X</t>
        </is>
      </c>
      <c r="R328" s="21" t="inlineStr">
        <is>
          <t>X</t>
        </is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>
        <f>IFERROR(TEXTJOIN(" / ",TRUE,UNIQUE(FILTER(소재DB_RAW!$K$3:$K$2000,소재DB_RAW!$G$3:$G$2000=$D328))),"")</f>
        <v/>
      </c>
      <c r="W328" s="20" t="inlineStr">
        <is>
          <t>베트남</t>
        </is>
      </c>
      <c r="X328" s="20">
        <f>IFERROR(TEXTJOIN(" / ",TRUE,UNIQUE(FILTER(소재DB_RAW!$N$3:$N$2000,소재DB_RAW!$G$3:$G$2000=$D328))),"")</f>
        <v/>
      </c>
      <c r="Y328" s="26">
        <f>IFERROR(TEXTJOIN(CHAR(10),TRUE,UNIQUE(FILTER(소재DB_RAW!$N$3:$N$2000&amp;") "&amp;소재DB_RAW!$O$3:$O$2000,(소재DB_RAW!$G$3:$G$2000=$D328)*ISNUMBER(SEARCH("겉감",소재DB_RAW!$M$3:$M$2000))))),"")</f>
        <v/>
      </c>
      <c r="Z328" s="26">
        <f>IFERROR(TEXTJOIN(CHAR(10),TRUE,UNIQUE(FILTER(소재DB_RAW!$N$3:$N$2000&amp;") "&amp;소재DB_RAW!$O$3:$O$2000,(소재DB_RAW!$G$3:$G$2000=$D328)*ISNUMBER(SEARCH("안감",소재DB_RAW!$M$3:$M$2000))))),"")</f>
        <v/>
      </c>
      <c r="AA328" s="27" t="n">
        <v>0</v>
      </c>
      <c r="AB328" s="27" t="n">
        <v>4588235</v>
      </c>
      <c r="AC328" s="27" t="n">
        <v>15600000</v>
      </c>
      <c r="AD328" s="20" t="n"/>
      <c r="AE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F328" s="19">
        <f>IF($K328="","",IF(OR(LEFT($AE328,2)="작지",LEFT($AE328,4)="소재입고"),IF(LEFT($G328,1)="S","★ 납기위험(S코드)","◆ 지연주의"),IF($AE328="정상","✓ 정상","? 확인필요")))</f>
        <v/>
      </c>
      <c r="AG328" s="21" t="n"/>
      <c r="AH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21" t="inlineStr">
        <is>
          <t>X</t>
        </is>
      </c>
      <c r="R329" s="21" t="inlineStr">
        <is>
          <t>X</t>
        </is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>
        <f>IFERROR(TEXTJOIN(" / ",TRUE,UNIQUE(FILTER(소재DB_RAW!$K$3:$K$2000,소재DB_RAW!$G$3:$G$2000=$D329))),"")</f>
        <v/>
      </c>
      <c r="W329" s="20" t="inlineStr">
        <is>
          <t>베트남</t>
        </is>
      </c>
      <c r="X329" s="20">
        <f>IFERROR(TEXTJOIN(" / ",TRUE,UNIQUE(FILTER(소재DB_RAW!$N$3:$N$2000,소재DB_RAW!$G$3:$G$2000=$D329))),"")</f>
        <v/>
      </c>
      <c r="Y329" s="26">
        <f>IFERROR(TEXTJOIN(CHAR(10),TRUE,UNIQUE(FILTER(소재DB_RAW!$N$3:$N$2000&amp;") "&amp;소재DB_RAW!$O$3:$O$2000,(소재DB_RAW!$G$3:$G$2000=$D329)*ISNUMBER(SEARCH("겉감",소재DB_RAW!$M$3:$M$2000))))),"")</f>
        <v/>
      </c>
      <c r="Z329" s="26">
        <f>IFERROR(TEXTJOIN(CHAR(10),TRUE,UNIQUE(FILTER(소재DB_RAW!$N$3:$N$2000&amp;") "&amp;소재DB_RAW!$O$3:$O$2000,(소재DB_RAW!$G$3:$G$2000=$D329)*ISNUMBER(SEARCH("안감",소재DB_RAW!$M$3:$M$2000))))),"")</f>
        <v/>
      </c>
      <c r="AA329" s="27" t="n">
        <v>0</v>
      </c>
      <c r="AB329" s="27" t="n">
        <v>43884050</v>
      </c>
      <c r="AC329" s="27" t="n">
        <v>98000000</v>
      </c>
      <c r="AD329" s="20" t="n"/>
      <c r="AE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F329" s="19">
        <f>IF($K329="","",IF(OR(LEFT($AE329,2)="작지",LEFT($AE329,4)="소재입고"),IF(LEFT($G329,1)="S","★ 납기위험(S코드)","◆ 지연주의"),IF($AE329="정상","✓ 정상","? 확인필요")))</f>
        <v/>
      </c>
      <c r="AG329" s="21" t="n"/>
      <c r="AH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21" t="inlineStr">
        <is>
          <t>X</t>
        </is>
      </c>
      <c r="R330" s="21" t="inlineStr">
        <is>
          <t>X</t>
        </is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>
        <f>IFERROR(TEXTJOIN(" / ",TRUE,UNIQUE(FILTER(소재DB_RAW!$K$3:$K$2000,소재DB_RAW!$G$3:$G$2000=$D330))),"")</f>
        <v/>
      </c>
      <c r="W330" s="20" t="inlineStr">
        <is>
          <t>베트남</t>
        </is>
      </c>
      <c r="X330" s="20">
        <f>IFERROR(TEXTJOIN(" / ",TRUE,UNIQUE(FILTER(소재DB_RAW!$N$3:$N$2000,소재DB_RAW!$G$3:$G$2000=$D330))),"")</f>
        <v/>
      </c>
      <c r="Y330" s="26">
        <f>IFERROR(TEXTJOIN(CHAR(10),TRUE,UNIQUE(FILTER(소재DB_RAW!$N$3:$N$2000&amp;") "&amp;소재DB_RAW!$O$3:$O$2000,(소재DB_RAW!$G$3:$G$2000=$D330)*ISNUMBER(SEARCH("겉감",소재DB_RAW!$M$3:$M$2000))))),"")</f>
        <v/>
      </c>
      <c r="Z330" s="26">
        <f>IFERROR(TEXTJOIN(CHAR(10),TRUE,UNIQUE(FILTER(소재DB_RAW!$N$3:$N$2000&amp;") "&amp;소재DB_RAW!$O$3:$O$2000,(소재DB_RAW!$G$3:$G$2000=$D330)*ISNUMBER(SEARCH("안감",소재DB_RAW!$M$3:$M$2000))))),"")</f>
        <v/>
      </c>
      <c r="AA330" s="27" t="n">
        <v>0</v>
      </c>
      <c r="AB330" s="27" t="n">
        <v>19950000</v>
      </c>
      <c r="AC330" s="27" t="n">
        <v>57500000</v>
      </c>
      <c r="AD330" s="20" t="n"/>
      <c r="AE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F330" s="19">
        <f>IF($K330="","",IF(OR(LEFT($AE330,2)="작지",LEFT($AE330,4)="소재입고"),IF(LEFT($G330,1)="S","★ 납기위험(S코드)","◆ 지연주의"),IF($AE330="정상","✓ 정상","? 확인필요")))</f>
        <v/>
      </c>
      <c r="AG330" s="21" t="n"/>
      <c r="AH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21" t="inlineStr">
        <is>
          <t>X</t>
        </is>
      </c>
      <c r="R331" s="21" t="inlineStr">
        <is>
          <t>X</t>
        </is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>
        <f>IFERROR(TEXTJOIN(" / ",TRUE,UNIQUE(FILTER(소재DB_RAW!$K$3:$K$2000,소재DB_RAW!$G$3:$G$2000=$D331))),"")</f>
        <v/>
      </c>
      <c r="W331" s="20" t="inlineStr">
        <is>
          <t>베트남</t>
        </is>
      </c>
      <c r="X331" s="20">
        <f>IFERROR(TEXTJOIN(" / ",TRUE,UNIQUE(FILTER(소재DB_RAW!$N$3:$N$2000,소재DB_RAW!$G$3:$G$2000=$D331))),"")</f>
        <v/>
      </c>
      <c r="Y331" s="26">
        <f>IFERROR(TEXTJOIN(CHAR(10),TRUE,UNIQUE(FILTER(소재DB_RAW!$N$3:$N$2000&amp;") "&amp;소재DB_RAW!$O$3:$O$2000,(소재DB_RAW!$G$3:$G$2000=$D331)*ISNUMBER(SEARCH("겉감",소재DB_RAW!$M$3:$M$2000))))),"")</f>
        <v/>
      </c>
      <c r="Z331" s="26">
        <f>IFERROR(TEXTJOIN(CHAR(10),TRUE,UNIQUE(FILTER(소재DB_RAW!$N$3:$N$2000&amp;") "&amp;소재DB_RAW!$O$3:$O$2000,(소재DB_RAW!$G$3:$G$2000=$D331)*ISNUMBER(SEARCH("안감",소재DB_RAW!$M$3:$M$2000))))),"")</f>
        <v/>
      </c>
      <c r="AA331" s="27" t="n">
        <v>0</v>
      </c>
      <c r="AB331" s="27" t="n">
        <v>14388000</v>
      </c>
      <c r="AC331" s="27" t="n">
        <v>34760000</v>
      </c>
      <c r="AD331" s="20" t="n"/>
      <c r="AE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F331" s="19">
        <f>IF($K331="","",IF(OR(LEFT($AE331,2)="작지",LEFT($AE331,4)="소재입고"),IF(LEFT($G331,1)="S","★ 납기위험(S코드)","◆ 지연주의"),IF($AE331="정상","✓ 정상","? 확인필요")))</f>
        <v/>
      </c>
      <c r="AG331" s="21" t="n"/>
      <c r="AH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21" t="inlineStr">
        <is>
          <t>X</t>
        </is>
      </c>
      <c r="R332" s="21" t="inlineStr">
        <is>
          <t>X</t>
        </is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>
        <f>IFERROR(TEXTJOIN(" / ",TRUE,UNIQUE(FILTER(소재DB_RAW!$K$3:$K$2000,소재DB_RAW!$G$3:$G$2000=$D332))),"")</f>
        <v/>
      </c>
      <c r="W332" s="20" t="inlineStr">
        <is>
          <t>베트남</t>
        </is>
      </c>
      <c r="X332" s="20">
        <f>IFERROR(TEXTJOIN(" / ",TRUE,UNIQUE(FILTER(소재DB_RAW!$N$3:$N$2000,소재DB_RAW!$G$3:$G$2000=$D332))),"")</f>
        <v/>
      </c>
      <c r="Y332" s="26">
        <f>IFERROR(TEXTJOIN(CHAR(10),TRUE,UNIQUE(FILTER(소재DB_RAW!$N$3:$N$2000&amp;") "&amp;소재DB_RAW!$O$3:$O$2000,(소재DB_RAW!$G$3:$G$2000=$D332)*ISNUMBER(SEARCH("겉감",소재DB_RAW!$M$3:$M$2000))))),"")</f>
        <v/>
      </c>
      <c r="Z332" s="26">
        <f>IFERROR(TEXTJOIN(CHAR(10),TRUE,UNIQUE(FILTER(소재DB_RAW!$N$3:$N$2000&amp;") "&amp;소재DB_RAW!$O$3:$O$2000,(소재DB_RAW!$G$3:$G$2000=$D332)*ISNUMBER(SEARCH("안감",소재DB_RAW!$M$3:$M$2000))))),"")</f>
        <v/>
      </c>
      <c r="AA332" s="27" t="n">
        <v>0</v>
      </c>
      <c r="AB332" s="27" t="n">
        <v>8010000</v>
      </c>
      <c r="AC332" s="27" t="n">
        <v>23700000</v>
      </c>
      <c r="AD332" s="20" t="n"/>
      <c r="AE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F332" s="19">
        <f>IF($K332="","",IF(OR(LEFT($AE332,2)="작지",LEFT($AE332,4)="소재입고"),IF(LEFT($G332,1)="S","★ 납기위험(S코드)","◆ 지연주의"),IF($AE332="정상","✓ 정상","? 확인필요")))</f>
        <v/>
      </c>
      <c r="AG332" s="21" t="n"/>
      <c r="AH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21" t="inlineStr">
        <is>
          <t>X</t>
        </is>
      </c>
      <c r="R333" s="21" t="inlineStr">
        <is>
          <t>X</t>
        </is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>
        <f>IFERROR(TEXTJOIN(" / ",TRUE,UNIQUE(FILTER(소재DB_RAW!$K$3:$K$2000,소재DB_RAW!$G$3:$G$2000=$D333))),"")</f>
        <v/>
      </c>
      <c r="W333" s="20" t="inlineStr">
        <is>
          <t>베트남</t>
        </is>
      </c>
      <c r="X333" s="20">
        <f>IFERROR(TEXTJOIN(" / ",TRUE,UNIQUE(FILTER(소재DB_RAW!$N$3:$N$2000,소재DB_RAW!$G$3:$G$2000=$D333))),"")</f>
        <v/>
      </c>
      <c r="Y333" s="26">
        <f>IFERROR(TEXTJOIN(CHAR(10),TRUE,UNIQUE(FILTER(소재DB_RAW!$N$3:$N$2000&amp;") "&amp;소재DB_RAW!$O$3:$O$2000,(소재DB_RAW!$G$3:$G$2000=$D333)*ISNUMBER(SEARCH("겉감",소재DB_RAW!$M$3:$M$2000))))),"")</f>
        <v/>
      </c>
      <c r="Z333" s="26">
        <f>IFERROR(TEXTJOIN(CHAR(10),TRUE,UNIQUE(FILTER(소재DB_RAW!$N$3:$N$2000&amp;") "&amp;소재DB_RAW!$O$3:$O$2000,(소재DB_RAW!$G$3:$G$2000=$D333)*ISNUMBER(SEARCH("안감",소재DB_RAW!$M$3:$M$2000))))),"")</f>
        <v/>
      </c>
      <c r="AA333" s="27" t="n">
        <v>0</v>
      </c>
      <c r="AB333" s="27" t="n">
        <v>16900000</v>
      </c>
      <c r="AC333" s="27" t="n">
        <v>33600000</v>
      </c>
      <c r="AD333" s="20" t="n"/>
      <c r="AE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F333" s="19">
        <f>IF($K333="","",IF(OR(LEFT($AE333,2)="작지",LEFT($AE333,4)="소재입고"),IF(LEFT($G333,1)="S","★ 납기위험(S코드)","◆ 지연주의"),IF($AE333="정상","✓ 정상","? 확인필요")))</f>
        <v/>
      </c>
      <c r="AG333" s="21" t="n"/>
      <c r="AH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21" t="inlineStr">
        <is>
          <t>X</t>
        </is>
      </c>
      <c r="R334" s="21" t="inlineStr">
        <is>
          <t>X</t>
        </is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>
        <f>IFERROR(TEXTJOIN(" / ",TRUE,UNIQUE(FILTER(소재DB_RAW!$K$3:$K$2000,소재DB_RAW!$G$3:$G$2000=$D334))),"")</f>
        <v/>
      </c>
      <c r="W334" s="20" t="inlineStr">
        <is>
          <t>베트남</t>
        </is>
      </c>
      <c r="X334" s="20">
        <f>IFERROR(TEXTJOIN(" / ",TRUE,UNIQUE(FILTER(소재DB_RAW!$N$3:$N$2000,소재DB_RAW!$G$3:$G$2000=$D334))),"")</f>
        <v/>
      </c>
      <c r="Y334" s="26">
        <f>IFERROR(TEXTJOIN(CHAR(10),TRUE,UNIQUE(FILTER(소재DB_RAW!$N$3:$N$2000&amp;") "&amp;소재DB_RAW!$O$3:$O$2000,(소재DB_RAW!$G$3:$G$2000=$D334)*ISNUMBER(SEARCH("겉감",소재DB_RAW!$M$3:$M$2000))))),"")</f>
        <v/>
      </c>
      <c r="Z334" s="26">
        <f>IFERROR(TEXTJOIN(CHAR(10),TRUE,UNIQUE(FILTER(소재DB_RAW!$N$3:$N$2000&amp;") "&amp;소재DB_RAW!$O$3:$O$2000,(소재DB_RAW!$G$3:$G$2000=$D334)*ISNUMBER(SEARCH("안감",소재DB_RAW!$M$3:$M$2000))))),"")</f>
        <v/>
      </c>
      <c r="AA334" s="27" t="n">
        <v>0</v>
      </c>
      <c r="AB334" s="27" t="n">
        <v>25353600</v>
      </c>
      <c r="AC334" s="27" t="n">
        <v>56400000</v>
      </c>
      <c r="AD334" s="20" t="n"/>
      <c r="AE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F334" s="19">
        <f>IF($K334="","",IF(OR(LEFT($AE334,2)="작지",LEFT($AE334,4)="소재입고"),IF(LEFT($G334,1)="S","★ 납기위험(S코드)","◆ 지연주의"),IF($AE334="정상","✓ 정상","? 확인필요")))</f>
        <v/>
      </c>
      <c r="AG334" s="21" t="n"/>
      <c r="AH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21" t="inlineStr">
        <is>
          <t>X</t>
        </is>
      </c>
      <c r="R335" s="21" t="inlineStr">
        <is>
          <t>X</t>
        </is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>
        <f>IFERROR(TEXTJOIN(" / ",TRUE,UNIQUE(FILTER(소재DB_RAW!$K$3:$K$2000,소재DB_RAW!$G$3:$G$2000=$D335))),"")</f>
        <v/>
      </c>
      <c r="W335" s="20" t="inlineStr">
        <is>
          <t>국내</t>
        </is>
      </c>
      <c r="X335" s="20">
        <f>IFERROR(TEXTJOIN(" / ",TRUE,UNIQUE(FILTER(소재DB_RAW!$N$3:$N$2000,소재DB_RAW!$G$3:$G$2000=$D335))),"")</f>
        <v/>
      </c>
      <c r="Y335" s="26">
        <f>IFERROR(TEXTJOIN(CHAR(10),TRUE,UNIQUE(FILTER(소재DB_RAW!$N$3:$N$2000&amp;") "&amp;소재DB_RAW!$O$3:$O$2000,(소재DB_RAW!$G$3:$G$2000=$D335)*ISNUMBER(SEARCH("겉감",소재DB_RAW!$M$3:$M$2000))))),"")</f>
        <v/>
      </c>
      <c r="Z335" s="26">
        <f>IFERROR(TEXTJOIN(CHAR(10),TRUE,UNIQUE(FILTER(소재DB_RAW!$N$3:$N$2000&amp;") "&amp;소재DB_RAW!$O$3:$O$2000,(소재DB_RAW!$G$3:$G$2000=$D335)*ISNUMBER(SEARCH("안감",소재DB_RAW!$M$3:$M$2000))))),"")</f>
        <v/>
      </c>
      <c r="AA335" s="27" t="n">
        <v>0</v>
      </c>
      <c r="AB335" s="27" t="n">
        <v>14170800</v>
      </c>
      <c r="AC335" s="27" t="n">
        <v>32400000</v>
      </c>
      <c r="AD335" s="20" t="n"/>
      <c r="AE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F335" s="19">
        <f>IF($K335="","",IF(OR(LEFT($AE335,2)="작지",LEFT($AE335,4)="소재입고"),IF(LEFT($G335,1)="S","★ 납기위험(S코드)","◆ 지연주의"),IF($AE335="정상","✓ 정상","? 확인필요")))</f>
        <v/>
      </c>
      <c r="AG335" s="21" t="n"/>
      <c r="AH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21" t="inlineStr">
        <is>
          <t>X</t>
        </is>
      </c>
      <c r="R336" s="21" t="inlineStr">
        <is>
          <t>X</t>
        </is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>
        <f>IFERROR(TEXTJOIN(" / ",TRUE,UNIQUE(FILTER(소재DB_RAW!$K$3:$K$2000,소재DB_RAW!$G$3:$G$2000=$D336))),"")</f>
        <v/>
      </c>
      <c r="W336" s="20" t="inlineStr">
        <is>
          <t>국내</t>
        </is>
      </c>
      <c r="X336" s="20">
        <f>IFERROR(TEXTJOIN(" / ",TRUE,UNIQUE(FILTER(소재DB_RAW!$N$3:$N$2000,소재DB_RAW!$G$3:$G$2000=$D336))),"")</f>
        <v/>
      </c>
      <c r="Y336" s="26">
        <f>IFERROR(TEXTJOIN(CHAR(10),TRUE,UNIQUE(FILTER(소재DB_RAW!$N$3:$N$2000&amp;") "&amp;소재DB_RAW!$O$3:$O$2000,(소재DB_RAW!$G$3:$G$2000=$D336)*ISNUMBER(SEARCH("겉감",소재DB_RAW!$M$3:$M$2000))))),"")</f>
        <v/>
      </c>
      <c r="Z336" s="26">
        <f>IFERROR(TEXTJOIN(CHAR(10),TRUE,UNIQUE(FILTER(소재DB_RAW!$N$3:$N$2000&amp;") "&amp;소재DB_RAW!$O$3:$O$2000,(소재DB_RAW!$G$3:$G$2000=$D336)*ISNUMBER(SEARCH("안감",소재DB_RAW!$M$3:$M$2000))))),"")</f>
        <v/>
      </c>
      <c r="AA336" s="27" t="n">
        <v>0</v>
      </c>
      <c r="AB336" s="27" t="n">
        <v>19205600</v>
      </c>
      <c r="AC336" s="27" t="n">
        <v>59200000</v>
      </c>
      <c r="AD336" s="20" t="n"/>
      <c r="AE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F336" s="19">
        <f>IF($K336="","",IF(OR(LEFT($AE336,2)="작지",LEFT($AE336,4)="소재입고"),IF(LEFT($G336,1)="S","★ 납기위험(S코드)","◆ 지연주의"),IF($AE336="정상","✓ 정상","? 확인필요")))</f>
        <v/>
      </c>
      <c r="AG336" s="21" t="n"/>
      <c r="AH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21" t="inlineStr">
        <is>
          <t>X</t>
        </is>
      </c>
      <c r="R337" s="21" t="inlineStr">
        <is>
          <t>X</t>
        </is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>
        <f>IFERROR(TEXTJOIN(" / ",TRUE,UNIQUE(FILTER(소재DB_RAW!$K$3:$K$2000,소재DB_RAW!$G$3:$G$2000=$D337))),"")</f>
        <v/>
      </c>
      <c r="W337" s="20" t="inlineStr">
        <is>
          <t>중국</t>
        </is>
      </c>
      <c r="X337" s="20">
        <f>IFERROR(TEXTJOIN(" / ",TRUE,UNIQUE(FILTER(소재DB_RAW!$N$3:$N$2000,소재DB_RAW!$G$3:$G$2000=$D337))),"")</f>
        <v/>
      </c>
      <c r="Y337" s="26">
        <f>IFERROR(TEXTJOIN(CHAR(10),TRUE,UNIQUE(FILTER(소재DB_RAW!$N$3:$N$2000&amp;") "&amp;소재DB_RAW!$O$3:$O$2000,(소재DB_RAW!$G$3:$G$2000=$D337)*ISNUMBER(SEARCH("겉감",소재DB_RAW!$M$3:$M$2000))))),"")</f>
        <v/>
      </c>
      <c r="Z337" s="26">
        <f>IFERROR(TEXTJOIN(CHAR(10),TRUE,UNIQUE(FILTER(소재DB_RAW!$N$3:$N$2000&amp;") "&amp;소재DB_RAW!$O$3:$O$2000,(소재DB_RAW!$G$3:$G$2000=$D337)*ISNUMBER(SEARCH("안감",소재DB_RAW!$M$3:$M$2000))))),"")</f>
        <v/>
      </c>
      <c r="AA337" s="27" t="n">
        <v>0</v>
      </c>
      <c r="AB337" s="27" t="n">
        <v>9513420</v>
      </c>
      <c r="AC337" s="27" t="n">
        <v>36960000</v>
      </c>
      <c r="AD337" s="20" t="n"/>
      <c r="AE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F337" s="19">
        <f>IF($K337="","",IF(OR(LEFT($AE337,2)="작지",LEFT($AE337,4)="소재입고"),IF(LEFT($G337,1)="S","★ 납기위험(S코드)","◆ 지연주의"),IF($AE337="정상","✓ 정상","? 확인필요")))</f>
        <v/>
      </c>
      <c r="AG337" s="21" t="n"/>
      <c r="AH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21" t="inlineStr">
        <is>
          <t>X</t>
        </is>
      </c>
      <c r="R338" s="21" t="inlineStr">
        <is>
          <t>X</t>
        </is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>
        <f>IFERROR(TEXTJOIN(" / ",TRUE,UNIQUE(FILTER(소재DB_RAW!$K$3:$K$2000,소재DB_RAW!$G$3:$G$2000=$D338))),"")</f>
        <v/>
      </c>
      <c r="W338" s="20" t="inlineStr">
        <is>
          <t>베트남</t>
        </is>
      </c>
      <c r="X338" s="20">
        <f>IFERROR(TEXTJOIN(" / ",TRUE,UNIQUE(FILTER(소재DB_RAW!$N$3:$N$2000,소재DB_RAW!$G$3:$G$2000=$D338))),"")</f>
        <v/>
      </c>
      <c r="Y338" s="26">
        <f>IFERROR(TEXTJOIN(CHAR(10),TRUE,UNIQUE(FILTER(소재DB_RAW!$N$3:$N$2000&amp;") "&amp;소재DB_RAW!$O$3:$O$2000,(소재DB_RAW!$G$3:$G$2000=$D338)*ISNUMBER(SEARCH("겉감",소재DB_RAW!$M$3:$M$2000))))),"")</f>
        <v/>
      </c>
      <c r="Z338" s="26">
        <f>IFERROR(TEXTJOIN(CHAR(10),TRUE,UNIQUE(FILTER(소재DB_RAW!$N$3:$N$2000&amp;") "&amp;소재DB_RAW!$O$3:$O$2000,(소재DB_RAW!$G$3:$G$2000=$D338)*ISNUMBER(SEARCH("안감",소재DB_RAW!$M$3:$M$2000))))),"")</f>
        <v/>
      </c>
      <c r="AA338" s="27" t="n">
        <v>0</v>
      </c>
      <c r="AB338" s="27" t="n">
        <v>0</v>
      </c>
      <c r="AC338" s="27" t="n">
        <v>9800000</v>
      </c>
      <c r="AD338" s="20" t="n"/>
      <c r="AE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F338" s="19">
        <f>IF($K338="","",IF(OR(LEFT($AE338,2)="작지",LEFT($AE338,4)="소재입고"),IF(LEFT($G338,1)="S","★ 납기위험(S코드)","◆ 지연주의"),IF($AE338="정상","✓ 정상","? 확인필요")))</f>
        <v/>
      </c>
      <c r="AG338" s="21" t="n"/>
      <c r="AH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21" t="inlineStr">
        <is>
          <t>X</t>
        </is>
      </c>
      <c r="R339" s="21" t="inlineStr">
        <is>
          <t>X</t>
        </is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>
        <f>IFERROR(TEXTJOIN(" / ",TRUE,UNIQUE(FILTER(소재DB_RAW!$K$3:$K$2000,소재DB_RAW!$G$3:$G$2000=$D339))),"")</f>
        <v/>
      </c>
      <c r="W339" s="20" t="inlineStr">
        <is>
          <t>국내</t>
        </is>
      </c>
      <c r="X339" s="20">
        <f>IFERROR(TEXTJOIN(" / ",TRUE,UNIQUE(FILTER(소재DB_RAW!$N$3:$N$2000,소재DB_RAW!$G$3:$G$2000=$D339))),"")</f>
        <v/>
      </c>
      <c r="Y339" s="26">
        <f>IFERROR(TEXTJOIN(CHAR(10),TRUE,UNIQUE(FILTER(소재DB_RAW!$N$3:$N$2000&amp;") "&amp;소재DB_RAW!$O$3:$O$2000,(소재DB_RAW!$G$3:$G$2000=$D339)*ISNUMBER(SEARCH("겉감",소재DB_RAW!$M$3:$M$2000))))),"")</f>
        <v/>
      </c>
      <c r="Z339" s="26">
        <f>IFERROR(TEXTJOIN(CHAR(10),TRUE,UNIQUE(FILTER(소재DB_RAW!$N$3:$N$2000&amp;") "&amp;소재DB_RAW!$O$3:$O$2000,(소재DB_RAW!$G$3:$G$2000=$D339)*ISNUMBER(SEARCH("안감",소재DB_RAW!$M$3:$M$2000))))),"")</f>
        <v/>
      </c>
      <c r="AA339" s="27" t="n">
        <v>0</v>
      </c>
      <c r="AB339" s="27" t="n">
        <v>10725000</v>
      </c>
      <c r="AC339" s="27" t="n">
        <v>42900000</v>
      </c>
      <c r="AD339" s="20" t="n"/>
      <c r="AE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F339" s="19">
        <f>IF($K339="","",IF(OR(LEFT($AE339,2)="작지",LEFT($AE339,4)="소재입고"),IF(LEFT($G339,1)="S","★ 납기위험(S코드)","◆ 지연주의"),IF($AE339="정상","✓ 정상","? 확인필요")))</f>
        <v/>
      </c>
      <c r="AG339" s="21" t="n"/>
      <c r="AH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21" t="inlineStr">
        <is>
          <t>X</t>
        </is>
      </c>
      <c r="R340" s="21" t="inlineStr">
        <is>
          <t>X</t>
        </is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>
        <f>IFERROR(TEXTJOIN(" / ",TRUE,UNIQUE(FILTER(소재DB_RAW!$K$3:$K$2000,소재DB_RAW!$G$3:$G$2000=$D340))),"")</f>
        <v/>
      </c>
      <c r="W340" s="20" t="inlineStr">
        <is>
          <t>국내</t>
        </is>
      </c>
      <c r="X340" s="20">
        <f>IFERROR(TEXTJOIN(" / ",TRUE,UNIQUE(FILTER(소재DB_RAW!$N$3:$N$2000,소재DB_RAW!$G$3:$G$2000=$D340))),"")</f>
        <v/>
      </c>
      <c r="Y340" s="26">
        <f>IFERROR(TEXTJOIN(CHAR(10),TRUE,UNIQUE(FILTER(소재DB_RAW!$N$3:$N$2000&amp;") "&amp;소재DB_RAW!$O$3:$O$2000,(소재DB_RAW!$G$3:$G$2000=$D340)*ISNUMBER(SEARCH("겉감",소재DB_RAW!$M$3:$M$2000))))),"")</f>
        <v/>
      </c>
      <c r="Z340" s="26">
        <f>IFERROR(TEXTJOIN(CHAR(10),TRUE,UNIQUE(FILTER(소재DB_RAW!$N$3:$N$2000&amp;") "&amp;소재DB_RAW!$O$3:$O$2000,(소재DB_RAW!$G$3:$G$2000=$D340)*ISNUMBER(SEARCH("안감",소재DB_RAW!$M$3:$M$2000))))),"")</f>
        <v/>
      </c>
      <c r="AA340" s="27" t="n">
        <v>0</v>
      </c>
      <c r="AB340" s="27" t="n">
        <v>8775000</v>
      </c>
      <c r="AC340" s="27" t="n">
        <v>35100000</v>
      </c>
      <c r="AD340" s="20" t="n"/>
      <c r="AE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F340" s="19">
        <f>IF($K340="","",IF(OR(LEFT($AE340,2)="작지",LEFT($AE340,4)="소재입고"),IF(LEFT($G340,1)="S","★ 납기위험(S코드)","◆ 지연주의"),IF($AE340="정상","✓ 정상","? 확인필요")))</f>
        <v/>
      </c>
      <c r="AG340" s="21" t="n"/>
      <c r="AH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21" t="inlineStr">
        <is>
          <t>X</t>
        </is>
      </c>
      <c r="R341" s="21" t="n"/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>
        <f>IFERROR(TEXTJOIN(" / ",TRUE,UNIQUE(FILTER(소재DB_RAW!$K$3:$K$2000,소재DB_RAW!$G$3:$G$2000=$D341))),"")</f>
        <v/>
      </c>
      <c r="W341" s="20" t="inlineStr"/>
      <c r="X341" s="20">
        <f>IFERROR(TEXTJOIN(" / ",TRUE,UNIQUE(FILTER(소재DB_RAW!$N$3:$N$2000,소재DB_RAW!$G$3:$G$2000=$D341))),"")</f>
        <v/>
      </c>
      <c r="Y341" s="26">
        <f>IFERROR(TEXTJOIN(CHAR(10),TRUE,UNIQUE(FILTER(소재DB_RAW!$N$3:$N$2000&amp;") "&amp;소재DB_RAW!$O$3:$O$2000,(소재DB_RAW!$G$3:$G$2000=$D341)*ISNUMBER(SEARCH("겉감",소재DB_RAW!$M$3:$M$2000))))),"")</f>
        <v/>
      </c>
      <c r="Z341" s="26">
        <f>IFERROR(TEXTJOIN(CHAR(10),TRUE,UNIQUE(FILTER(소재DB_RAW!$N$3:$N$2000&amp;") "&amp;소재DB_RAW!$O$3:$O$2000,(소재DB_RAW!$G$3:$G$2000=$D341)*ISNUMBER(SEARCH("안감",소재DB_RAW!$M$3:$M$2000))))),"")</f>
        <v/>
      </c>
      <c r="AA341" s="27" t="n">
        <v>0</v>
      </c>
      <c r="AB341" s="27" t="n">
        <v>52260000</v>
      </c>
      <c r="AC341" s="27" t="n">
        <v>241800000</v>
      </c>
      <c r="AD341" s="20" t="n"/>
      <c r="AE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F341" s="19">
        <f>IF($K341="","",IF(OR(LEFT($AE341,2)="작지",LEFT($AE341,4)="소재입고"),IF(LEFT($G341,1)="S","★ 납기위험(S코드)","◆ 지연주의"),IF($AE341="정상","✓ 정상","? 확인필요")))</f>
        <v/>
      </c>
      <c r="AG341" s="21" t="n"/>
      <c r="AH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21" t="inlineStr">
        <is>
          <t>X</t>
        </is>
      </c>
      <c r="R342" s="21" t="n"/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>
        <f>IFERROR(TEXTJOIN(" / ",TRUE,UNIQUE(FILTER(소재DB_RAW!$K$3:$K$2000,소재DB_RAW!$G$3:$G$2000=$D342))),"")</f>
        <v/>
      </c>
      <c r="W342" s="20" t="inlineStr"/>
      <c r="X342" s="20">
        <f>IFERROR(TEXTJOIN(" / ",TRUE,UNIQUE(FILTER(소재DB_RAW!$N$3:$N$2000,소재DB_RAW!$G$3:$G$2000=$D342))),"")</f>
        <v/>
      </c>
      <c r="Y342" s="26">
        <f>IFERROR(TEXTJOIN(CHAR(10),TRUE,UNIQUE(FILTER(소재DB_RAW!$N$3:$N$2000&amp;") "&amp;소재DB_RAW!$O$3:$O$2000,(소재DB_RAW!$G$3:$G$2000=$D342)*ISNUMBER(SEARCH("겉감",소재DB_RAW!$M$3:$M$2000))))),"")</f>
        <v/>
      </c>
      <c r="Z342" s="26">
        <f>IFERROR(TEXTJOIN(CHAR(10),TRUE,UNIQUE(FILTER(소재DB_RAW!$N$3:$N$2000&amp;") "&amp;소재DB_RAW!$O$3:$O$2000,(소재DB_RAW!$G$3:$G$2000=$D342)*ISNUMBER(SEARCH("안감",소재DB_RAW!$M$3:$M$2000))))),"")</f>
        <v/>
      </c>
      <c r="AA342" s="27" t="n">
        <v>0</v>
      </c>
      <c r="AB342" s="27" t="n">
        <v>48360000</v>
      </c>
      <c r="AC342" s="27" t="n">
        <v>241800000</v>
      </c>
      <c r="AD342" s="20" t="n"/>
      <c r="AE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F342" s="19">
        <f>IF($K342="","",IF(OR(LEFT($AE342,2)="작지",LEFT($AE342,4)="소재입고"),IF(LEFT($G342,1)="S","★ 납기위험(S코드)","◆ 지연주의"),IF($AE342="정상","✓ 정상","? 확인필요")))</f>
        <v/>
      </c>
      <c r="AG342" s="21" t="n"/>
      <c r="AH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21" t="inlineStr">
        <is>
          <t>X</t>
        </is>
      </c>
      <c r="R343" s="21" t="n"/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>
        <f>IFERROR(TEXTJOIN(" / ",TRUE,UNIQUE(FILTER(소재DB_RAW!$K$3:$K$2000,소재DB_RAW!$G$3:$G$2000=$D343))),"")</f>
        <v/>
      </c>
      <c r="W343" s="20" t="inlineStr"/>
      <c r="X343" s="20">
        <f>IFERROR(TEXTJOIN(" / ",TRUE,UNIQUE(FILTER(소재DB_RAW!$N$3:$N$2000,소재DB_RAW!$G$3:$G$2000=$D343))),"")</f>
        <v/>
      </c>
      <c r="Y343" s="26">
        <f>IFERROR(TEXTJOIN(CHAR(10),TRUE,UNIQUE(FILTER(소재DB_RAW!$N$3:$N$2000&amp;") "&amp;소재DB_RAW!$O$3:$O$2000,(소재DB_RAW!$G$3:$G$2000=$D343)*ISNUMBER(SEARCH("겉감",소재DB_RAW!$M$3:$M$2000))))),"")</f>
        <v/>
      </c>
      <c r="Z343" s="26">
        <f>IFERROR(TEXTJOIN(CHAR(10),TRUE,UNIQUE(FILTER(소재DB_RAW!$N$3:$N$2000&amp;") "&amp;소재DB_RAW!$O$3:$O$2000,(소재DB_RAW!$G$3:$G$2000=$D343)*ISNUMBER(SEARCH("안감",소재DB_RAW!$M$3:$M$2000))))),"")</f>
        <v/>
      </c>
      <c r="AA343" s="27" t="n">
        <v>0</v>
      </c>
      <c r="AB343" s="27" t="n">
        <v>48360000</v>
      </c>
      <c r="AC343" s="27" t="n">
        <v>241800000</v>
      </c>
      <c r="AD343" s="20" t="n"/>
      <c r="AE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F343" s="19">
        <f>IF($K343="","",IF(OR(LEFT($AE343,2)="작지",LEFT($AE343,4)="소재입고"),IF(LEFT($G343,1)="S","★ 납기위험(S코드)","◆ 지연주의"),IF($AE343="정상","✓ 정상","? 확인필요")))</f>
        <v/>
      </c>
      <c r="AG343" s="21" t="n"/>
      <c r="AH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21" t="inlineStr">
        <is>
          <t>O</t>
        </is>
      </c>
      <c r="R344" s="21" t="inlineStr">
        <is>
          <t>X</t>
        </is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>
        <f>IFERROR(TEXTJOIN(" / ",TRUE,UNIQUE(FILTER(소재DB_RAW!$K$3:$K$2000,소재DB_RAW!$G$3:$G$2000=$D344))),"")</f>
        <v/>
      </c>
      <c r="W344" s="20" t="inlineStr">
        <is>
          <t>베트남</t>
        </is>
      </c>
      <c r="X344" s="20">
        <f>IFERROR(TEXTJOIN(" / ",TRUE,UNIQUE(FILTER(소재DB_RAW!$N$3:$N$2000,소재DB_RAW!$G$3:$G$2000=$D344))),"")</f>
        <v/>
      </c>
      <c r="Y344" s="26">
        <f>IFERROR(TEXTJOIN(CHAR(10),TRUE,UNIQUE(FILTER(소재DB_RAW!$N$3:$N$2000&amp;") "&amp;소재DB_RAW!$O$3:$O$2000,(소재DB_RAW!$G$3:$G$2000=$D344)*ISNUMBER(SEARCH("겉감",소재DB_RAW!$M$3:$M$2000))))),"")</f>
        <v/>
      </c>
      <c r="Z344" s="26">
        <f>IFERROR(TEXTJOIN(CHAR(10),TRUE,UNIQUE(FILTER(소재DB_RAW!$N$3:$N$2000&amp;") "&amp;소재DB_RAW!$O$3:$O$2000,(소재DB_RAW!$G$3:$G$2000=$D344)*ISNUMBER(SEARCH("안감",소재DB_RAW!$M$3:$M$2000))))),"")</f>
        <v/>
      </c>
      <c r="AA344" s="27" t="n">
        <v>1800</v>
      </c>
      <c r="AB344" s="27" t="n">
        <v>86045400</v>
      </c>
      <c r="AC344" s="27" t="n">
        <v>396000000</v>
      </c>
      <c r="AD344" s="20" t="inlineStr">
        <is>
          <t>4월2주</t>
        </is>
      </c>
      <c r="AE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F344" s="19">
        <f>IF($K344="","",IF(OR(LEFT($AE344,2)="작지",LEFT($AE344,4)="소재입고"),IF(LEFT($G344,1)="S","★ 납기위험(S코드)","◆ 지연주의"),IF($AE344="정상","✓ 정상","? 확인필요")))</f>
        <v/>
      </c>
      <c r="AG344" s="21" t="n"/>
      <c r="AH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21" t="inlineStr">
        <is>
          <t>O</t>
        </is>
      </c>
      <c r="R345" s="21" t="inlineStr">
        <is>
          <t>X</t>
        </is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>
        <f>IFERROR(TEXTJOIN(" / ",TRUE,UNIQUE(FILTER(소재DB_RAW!$K$3:$K$2000,소재DB_RAW!$G$3:$G$2000=$D345))),"")</f>
        <v/>
      </c>
      <c r="W345" s="20" t="inlineStr">
        <is>
          <t>베트남</t>
        </is>
      </c>
      <c r="X345" s="20">
        <f>IFERROR(TEXTJOIN(" / ",TRUE,UNIQUE(FILTER(소재DB_RAW!$N$3:$N$2000,소재DB_RAW!$G$3:$G$2000=$D345))),"")</f>
        <v/>
      </c>
      <c r="Y345" s="26">
        <f>IFERROR(TEXTJOIN(CHAR(10),TRUE,UNIQUE(FILTER(소재DB_RAW!$N$3:$N$2000&amp;") "&amp;소재DB_RAW!$O$3:$O$2000,(소재DB_RAW!$G$3:$G$2000=$D345)*ISNUMBER(SEARCH("겉감",소재DB_RAW!$M$3:$M$2000))))),"")</f>
        <v/>
      </c>
      <c r="Z345" s="26">
        <f>IFERROR(TEXTJOIN(CHAR(10),TRUE,UNIQUE(FILTER(소재DB_RAW!$N$3:$N$2000&amp;") "&amp;소재DB_RAW!$O$3:$O$2000,(소재DB_RAW!$G$3:$G$2000=$D345)*ISNUMBER(SEARCH("안감",소재DB_RAW!$M$3:$M$2000))))),"")</f>
        <v/>
      </c>
      <c r="AA345" s="27" t="n">
        <v>800</v>
      </c>
      <c r="AB345" s="27" t="n">
        <v>28512000</v>
      </c>
      <c r="AC345" s="27" t="n">
        <v>126400000</v>
      </c>
      <c r="AD345" s="20" t="inlineStr">
        <is>
          <t>4월2주</t>
        </is>
      </c>
      <c r="AE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F345" s="19">
        <f>IF($K345="","",IF(OR(LEFT($AE345,2)="작지",LEFT($AE345,4)="소재입고"),IF(LEFT($G345,1)="S","★ 납기위험(S코드)","◆ 지연주의"),IF($AE345="정상","✓ 정상","? 확인필요")))</f>
        <v/>
      </c>
      <c r="AG345" s="21" t="n"/>
      <c r="AH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21" t="inlineStr">
        <is>
          <t>O</t>
        </is>
      </c>
      <c r="R346" s="21" t="inlineStr">
        <is>
          <t>X</t>
        </is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>
        <f>IFERROR(TEXTJOIN(" / ",TRUE,UNIQUE(FILTER(소재DB_RAW!$K$3:$K$2000,소재DB_RAW!$G$3:$G$2000=$D346))),"")</f>
        <v/>
      </c>
      <c r="W346" s="20" t="inlineStr">
        <is>
          <t>베트남</t>
        </is>
      </c>
      <c r="X346" s="20">
        <f>IFERROR(TEXTJOIN(" / ",TRUE,UNIQUE(FILTER(소재DB_RAW!$N$3:$N$2000,소재DB_RAW!$G$3:$G$2000=$D346))),"")</f>
        <v/>
      </c>
      <c r="Y346" s="26">
        <f>IFERROR(TEXTJOIN(CHAR(10),TRUE,UNIQUE(FILTER(소재DB_RAW!$N$3:$N$2000&amp;") "&amp;소재DB_RAW!$O$3:$O$2000,(소재DB_RAW!$G$3:$G$2000=$D346)*ISNUMBER(SEARCH("겉감",소재DB_RAW!$M$3:$M$2000))))),"")</f>
        <v/>
      </c>
      <c r="Z346" s="26">
        <f>IFERROR(TEXTJOIN(CHAR(10),TRUE,UNIQUE(FILTER(소재DB_RAW!$N$3:$N$2000&amp;") "&amp;소재DB_RAW!$O$3:$O$2000,(소재DB_RAW!$G$3:$G$2000=$D346)*ISNUMBER(SEARCH("안감",소재DB_RAW!$M$3:$M$2000))))),"")</f>
        <v/>
      </c>
      <c r="AA346" s="27" t="n">
        <v>950</v>
      </c>
      <c r="AB346" s="27" t="n">
        <v>35150000</v>
      </c>
      <c r="AC346" s="27" t="n">
        <v>140600000</v>
      </c>
      <c r="AD346" s="20" t="inlineStr">
        <is>
          <t>4월2주</t>
        </is>
      </c>
      <c r="AE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F346" s="19">
        <f>IF($K346="","",IF(OR(LEFT($AE346,2)="작지",LEFT($AE346,4)="소재입고"),IF(LEFT($G346,1)="S","★ 납기위험(S코드)","◆ 지연주의"),IF($AE346="정상","✓ 정상","? 확인필요")))</f>
        <v/>
      </c>
      <c r="AG346" s="21" t="n"/>
      <c r="AH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21" t="inlineStr">
        <is>
          <t>O</t>
        </is>
      </c>
      <c r="R347" s="21" t="inlineStr">
        <is>
          <t>X</t>
        </is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>
        <f>IFERROR(TEXTJOIN(" / ",TRUE,UNIQUE(FILTER(소재DB_RAW!$K$3:$K$2000,소재DB_RAW!$G$3:$G$2000=$D347))),"")</f>
        <v/>
      </c>
      <c r="W347" s="20" t="inlineStr">
        <is>
          <t>베트남</t>
        </is>
      </c>
      <c r="X347" s="20">
        <f>IFERROR(TEXTJOIN(" / ",TRUE,UNIQUE(FILTER(소재DB_RAW!$N$3:$N$2000,소재DB_RAW!$G$3:$G$2000=$D347))),"")</f>
        <v/>
      </c>
      <c r="Y347" s="26">
        <f>IFERROR(TEXTJOIN(CHAR(10),TRUE,UNIQUE(FILTER(소재DB_RAW!$N$3:$N$2000&amp;") "&amp;소재DB_RAW!$O$3:$O$2000,(소재DB_RAW!$G$3:$G$2000=$D347)*ISNUMBER(SEARCH("겉감",소재DB_RAW!$M$3:$M$2000))))),"")</f>
        <v/>
      </c>
      <c r="Z347" s="26">
        <f>IFERROR(TEXTJOIN(CHAR(10),TRUE,UNIQUE(FILTER(소재DB_RAW!$N$3:$N$2000&amp;") "&amp;소재DB_RAW!$O$3:$O$2000,(소재DB_RAW!$G$3:$G$2000=$D347)*ISNUMBER(SEARCH("안감",소재DB_RAW!$M$3:$M$2000))))),"")</f>
        <v/>
      </c>
      <c r="AA347" s="27" t="n">
        <v>3000</v>
      </c>
      <c r="AB347" s="27" t="n">
        <v>36069000</v>
      </c>
      <c r="AC347" s="27" t="n">
        <v>234000000</v>
      </c>
      <c r="AD347" s="20" t="inlineStr">
        <is>
          <t>4월 2주</t>
        </is>
      </c>
      <c r="AE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F347" s="19">
        <f>IF($K347="","",IF(OR(LEFT($AE347,2)="작지",LEFT($AE347,4)="소재입고"),IF(LEFT($G347,1)="S","★ 납기위험(S코드)","◆ 지연주의"),IF($AE347="정상","✓ 정상","? 확인필요")))</f>
        <v/>
      </c>
      <c r="AG347" s="21" t="n"/>
      <c r="AH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21" t="inlineStr">
        <is>
          <t>O</t>
        </is>
      </c>
      <c r="R348" s="21" t="inlineStr">
        <is>
          <t>X</t>
        </is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>
        <f>IFERROR(TEXTJOIN(" / ",TRUE,UNIQUE(FILTER(소재DB_RAW!$K$3:$K$2000,소재DB_RAW!$G$3:$G$2000=$D348))),"")</f>
        <v/>
      </c>
      <c r="W348" s="20" t="inlineStr">
        <is>
          <t>베트남</t>
        </is>
      </c>
      <c r="X348" s="20">
        <f>IFERROR(TEXTJOIN(" / ",TRUE,UNIQUE(FILTER(소재DB_RAW!$N$3:$N$2000,소재DB_RAW!$G$3:$G$2000=$D348))),"")</f>
        <v/>
      </c>
      <c r="Y348" s="26">
        <f>IFERROR(TEXTJOIN(CHAR(10),TRUE,UNIQUE(FILTER(소재DB_RAW!$N$3:$N$2000&amp;") "&amp;소재DB_RAW!$O$3:$O$2000,(소재DB_RAW!$G$3:$G$2000=$D348)*ISNUMBER(SEARCH("겉감",소재DB_RAW!$M$3:$M$2000))))),"")</f>
        <v/>
      </c>
      <c r="Z348" s="26">
        <f>IFERROR(TEXTJOIN(CHAR(10),TRUE,UNIQUE(FILTER(소재DB_RAW!$N$3:$N$2000&amp;") "&amp;소재DB_RAW!$O$3:$O$2000,(소재DB_RAW!$G$3:$G$2000=$D348)*ISNUMBER(SEARCH("안감",소재DB_RAW!$M$3:$M$2000))))),"")</f>
        <v/>
      </c>
      <c r="AA348" s="27" t="n">
        <v>3000</v>
      </c>
      <c r="AB348" s="27" t="n">
        <v>45762000</v>
      </c>
      <c r="AC348" s="27" t="n">
        <v>264000000</v>
      </c>
      <c r="AD348" s="20" t="inlineStr">
        <is>
          <t>4월 2주</t>
        </is>
      </c>
      <c r="AE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F348" s="19">
        <f>IF($K348="","",IF(OR(LEFT($AE348,2)="작지",LEFT($AE348,4)="소재입고"),IF(LEFT($G348,1)="S","★ 납기위험(S코드)","◆ 지연주의"),IF($AE348="정상","✓ 정상","? 확인필요")))</f>
        <v/>
      </c>
      <c r="AG348" s="21" t="n"/>
      <c r="AH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21" t="inlineStr">
        <is>
          <t>O</t>
        </is>
      </c>
      <c r="R349" s="21" t="inlineStr">
        <is>
          <t>X</t>
        </is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>
        <f>IFERROR(TEXTJOIN(" / ",TRUE,UNIQUE(FILTER(소재DB_RAW!$K$3:$K$2000,소재DB_RAW!$G$3:$G$2000=$D349))),"")</f>
        <v/>
      </c>
      <c r="W349" s="20" t="inlineStr">
        <is>
          <t>인도네시아</t>
        </is>
      </c>
      <c r="X349" s="20">
        <f>IFERROR(TEXTJOIN(" / ",TRUE,UNIQUE(FILTER(소재DB_RAW!$N$3:$N$2000,소재DB_RAW!$G$3:$G$2000=$D349))),"")</f>
        <v/>
      </c>
      <c r="Y349" s="26">
        <f>IFERROR(TEXTJOIN(CHAR(10),TRUE,UNIQUE(FILTER(소재DB_RAW!$N$3:$N$2000&amp;") "&amp;소재DB_RAW!$O$3:$O$2000,(소재DB_RAW!$G$3:$G$2000=$D349)*ISNUMBER(SEARCH("겉감",소재DB_RAW!$M$3:$M$2000))))),"")</f>
        <v/>
      </c>
      <c r="Z349" s="26">
        <f>IFERROR(TEXTJOIN(CHAR(10),TRUE,UNIQUE(FILTER(소재DB_RAW!$N$3:$N$2000&amp;") "&amp;소재DB_RAW!$O$3:$O$2000,(소재DB_RAW!$G$3:$G$2000=$D349)*ISNUMBER(SEARCH("안감",소재DB_RAW!$M$3:$M$2000))))),"")</f>
        <v/>
      </c>
      <c r="AA349" s="27" t="n">
        <v>3000</v>
      </c>
      <c r="AB349" s="27" t="n">
        <v>35889000</v>
      </c>
      <c r="AC349" s="27" t="n">
        <v>234000000</v>
      </c>
      <c r="AD349" s="20" t="inlineStr">
        <is>
          <t>4월 2주</t>
        </is>
      </c>
      <c r="AE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F349" s="19">
        <f>IF($K349="","",IF(OR(LEFT($AE349,2)="작지",LEFT($AE349,4)="소재입고"),IF(LEFT($G349,1)="S","★ 납기위험(S코드)","◆ 지연주의"),IF($AE349="정상","✓ 정상","? 확인필요")))</f>
        <v/>
      </c>
      <c r="AG349" s="21" t="n"/>
      <c r="AH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21" t="inlineStr">
        <is>
          <t>O</t>
        </is>
      </c>
      <c r="R350" s="21" t="inlineStr">
        <is>
          <t>X</t>
        </is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>
        <f>IFERROR(TEXTJOIN(" / ",TRUE,UNIQUE(FILTER(소재DB_RAW!$K$3:$K$2000,소재DB_RAW!$G$3:$G$2000=$D350))),"")</f>
        <v/>
      </c>
      <c r="W350" s="20" t="inlineStr">
        <is>
          <t>베트남</t>
        </is>
      </c>
      <c r="X350" s="20">
        <f>IFERROR(TEXTJOIN(" / ",TRUE,UNIQUE(FILTER(소재DB_RAW!$N$3:$N$2000,소재DB_RAW!$G$3:$G$2000=$D350))),"")</f>
        <v/>
      </c>
      <c r="Y350" s="26">
        <f>IFERROR(TEXTJOIN(CHAR(10),TRUE,UNIQUE(FILTER(소재DB_RAW!$N$3:$N$2000&amp;") "&amp;소재DB_RAW!$O$3:$O$2000,(소재DB_RAW!$G$3:$G$2000=$D350)*ISNUMBER(SEARCH("겉감",소재DB_RAW!$M$3:$M$2000))))),"")</f>
        <v/>
      </c>
      <c r="Z350" s="26">
        <f>IFERROR(TEXTJOIN(CHAR(10),TRUE,UNIQUE(FILTER(소재DB_RAW!$N$3:$N$2000&amp;") "&amp;소재DB_RAW!$O$3:$O$2000,(소재DB_RAW!$G$3:$G$2000=$D350)*ISNUMBER(SEARCH("안감",소재DB_RAW!$M$3:$M$2000))))),"")</f>
        <v/>
      </c>
      <c r="AA350" s="27" t="n">
        <v>3000</v>
      </c>
      <c r="AB350" s="27" t="n">
        <v>87753000</v>
      </c>
      <c r="AC350" s="27" t="n">
        <v>474000000</v>
      </c>
      <c r="AD350" s="20" t="inlineStr">
        <is>
          <t>4월3주</t>
        </is>
      </c>
      <c r="AE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F350" s="19">
        <f>IF($K350="","",IF(OR(LEFT($AE350,2)="작지",LEFT($AE350,4)="소재입고"),IF(LEFT($G350,1)="S","★ 납기위험(S코드)","◆ 지연주의"),IF($AE350="정상","✓ 정상","? 확인필요")))</f>
        <v/>
      </c>
      <c r="AG350" s="21" t="n"/>
      <c r="AH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21" t="inlineStr">
        <is>
          <t>O</t>
        </is>
      </c>
      <c r="R351" s="21" t="inlineStr">
        <is>
          <t>X</t>
        </is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>
        <f>IFERROR(TEXTJOIN(" / ",TRUE,UNIQUE(FILTER(소재DB_RAW!$K$3:$K$2000,소재DB_RAW!$G$3:$G$2000=$D351))),"")</f>
        <v/>
      </c>
      <c r="W351" s="20" t="inlineStr">
        <is>
          <t>베트남</t>
        </is>
      </c>
      <c r="X351" s="20">
        <f>IFERROR(TEXTJOIN(" / ",TRUE,UNIQUE(FILTER(소재DB_RAW!$N$3:$N$2000,소재DB_RAW!$G$3:$G$2000=$D351))),"")</f>
        <v/>
      </c>
      <c r="Y351" s="26">
        <f>IFERROR(TEXTJOIN(CHAR(10),TRUE,UNIQUE(FILTER(소재DB_RAW!$N$3:$N$2000&amp;") "&amp;소재DB_RAW!$O$3:$O$2000,(소재DB_RAW!$G$3:$G$2000=$D351)*ISNUMBER(SEARCH("겉감",소재DB_RAW!$M$3:$M$2000))))),"")</f>
        <v/>
      </c>
      <c r="Z351" s="26">
        <f>IFERROR(TEXTJOIN(CHAR(10),TRUE,UNIQUE(FILTER(소재DB_RAW!$N$3:$N$2000&amp;") "&amp;소재DB_RAW!$O$3:$O$2000,(소재DB_RAW!$G$3:$G$2000=$D351)*ISNUMBER(SEARCH("안감",소재DB_RAW!$M$3:$M$2000))))),"")</f>
        <v/>
      </c>
      <c r="AA351" s="27" t="n">
        <v>7500</v>
      </c>
      <c r="AB351" s="27" t="n">
        <v>168255000</v>
      </c>
      <c r="AC351" s="27" t="n">
        <v>1110000000</v>
      </c>
      <c r="AD351" s="20" t="inlineStr">
        <is>
          <t>4월3주</t>
        </is>
      </c>
      <c r="AE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F351" s="19">
        <f>IF($K351="","",IF(OR(LEFT($AE351,2)="작지",LEFT($AE351,4)="소재입고"),IF(LEFT($G351,1)="S","★ 납기위험(S코드)","◆ 지연주의"),IF($AE351="정상","✓ 정상","? 확인필요")))</f>
        <v/>
      </c>
      <c r="AG351" s="21" t="n"/>
      <c r="AH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21" t="inlineStr">
        <is>
          <t>O</t>
        </is>
      </c>
      <c r="R352" s="21" t="inlineStr">
        <is>
          <t>X</t>
        </is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>
        <f>IFERROR(TEXTJOIN(" / ",TRUE,UNIQUE(FILTER(소재DB_RAW!$K$3:$K$2000,소재DB_RAW!$G$3:$G$2000=$D352))),"")</f>
        <v/>
      </c>
      <c r="W352" s="20" t="inlineStr">
        <is>
          <t>베트남</t>
        </is>
      </c>
      <c r="X352" s="20">
        <f>IFERROR(TEXTJOIN(" / ",TRUE,UNIQUE(FILTER(소재DB_RAW!$N$3:$N$2000,소재DB_RAW!$G$3:$G$2000=$D352))),"")</f>
        <v/>
      </c>
      <c r="Y352" s="26">
        <f>IFERROR(TEXTJOIN(CHAR(10),TRUE,UNIQUE(FILTER(소재DB_RAW!$N$3:$N$2000&amp;") "&amp;소재DB_RAW!$O$3:$O$2000,(소재DB_RAW!$G$3:$G$2000=$D352)*ISNUMBER(SEARCH("겉감",소재DB_RAW!$M$3:$M$2000))))),"")</f>
        <v/>
      </c>
      <c r="Z352" s="26">
        <f>IFERROR(TEXTJOIN(CHAR(10),TRUE,UNIQUE(FILTER(소재DB_RAW!$N$3:$N$2000&amp;") "&amp;소재DB_RAW!$O$3:$O$2000,(소재DB_RAW!$G$3:$G$2000=$D352)*ISNUMBER(SEARCH("안감",소재DB_RAW!$M$3:$M$2000))))),"")</f>
        <v/>
      </c>
      <c r="AA352" s="27" t="n">
        <v>4000</v>
      </c>
      <c r="AB352" s="27" t="n">
        <v>51756000</v>
      </c>
      <c r="AC352" s="27" t="n">
        <v>312000000</v>
      </c>
      <c r="AD352" s="20" t="inlineStr">
        <is>
          <t>4월3주</t>
        </is>
      </c>
      <c r="AE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F352" s="19">
        <f>IF($K352="","",IF(OR(LEFT($AE352,2)="작지",LEFT($AE352,4)="소재입고"),IF(LEFT($G352,1)="S","★ 납기위험(S코드)","◆ 지연주의"),IF($AE352="정상","✓ 정상","? 확인필요")))</f>
        <v/>
      </c>
      <c r="AG352" s="21" t="n"/>
      <c r="AH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21" t="inlineStr">
        <is>
          <t>O</t>
        </is>
      </c>
      <c r="R353" s="21" t="inlineStr">
        <is>
          <t>X</t>
        </is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>
        <f>IFERROR(TEXTJOIN(" / ",TRUE,UNIQUE(FILTER(소재DB_RAW!$K$3:$K$2000,소재DB_RAW!$G$3:$G$2000=$D353))),"")</f>
        <v/>
      </c>
      <c r="W353" s="20" t="inlineStr">
        <is>
          <t>인도네시아</t>
        </is>
      </c>
      <c r="X353" s="20">
        <f>IFERROR(TEXTJOIN(" / ",TRUE,UNIQUE(FILTER(소재DB_RAW!$N$3:$N$2000,소재DB_RAW!$G$3:$G$2000=$D353))),"")</f>
        <v/>
      </c>
      <c r="Y353" s="26">
        <f>IFERROR(TEXTJOIN(CHAR(10),TRUE,UNIQUE(FILTER(소재DB_RAW!$N$3:$N$2000&amp;") "&amp;소재DB_RAW!$O$3:$O$2000,(소재DB_RAW!$G$3:$G$2000=$D353)*ISNUMBER(SEARCH("겉감",소재DB_RAW!$M$3:$M$2000))))),"")</f>
        <v/>
      </c>
      <c r="Z353" s="26">
        <f>IFERROR(TEXTJOIN(CHAR(10),TRUE,UNIQUE(FILTER(소재DB_RAW!$N$3:$N$2000&amp;") "&amp;소재DB_RAW!$O$3:$O$2000,(소재DB_RAW!$G$3:$G$2000=$D353)*ISNUMBER(SEARCH("안감",소재DB_RAW!$M$3:$M$2000))))),"")</f>
        <v/>
      </c>
      <c r="AA353" s="27" t="n">
        <v>3500</v>
      </c>
      <c r="AB353" s="27" t="n">
        <v>57221500</v>
      </c>
      <c r="AC353" s="27" t="n">
        <v>308000000</v>
      </c>
      <c r="AD353" s="20" t="inlineStr">
        <is>
          <t>4월3주</t>
        </is>
      </c>
      <c r="AE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F353" s="19">
        <f>IF($K353="","",IF(OR(LEFT($AE353,2)="작지",LEFT($AE353,4)="소재입고"),IF(LEFT($G353,1)="S","★ 납기위험(S코드)","◆ 지연주의"),IF($AE353="정상","✓ 정상","? 확인필요")))</f>
        <v/>
      </c>
      <c r="AG353" s="21" t="n"/>
      <c r="AH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21" t="inlineStr">
        <is>
          <t>O</t>
        </is>
      </c>
      <c r="R354" s="21" t="inlineStr">
        <is>
          <t>X</t>
        </is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>
        <f>IFERROR(TEXTJOIN(" / ",TRUE,UNIQUE(FILTER(소재DB_RAW!$K$3:$K$2000,소재DB_RAW!$G$3:$G$2000=$D354))),"")</f>
        <v/>
      </c>
      <c r="W354" s="20" t="inlineStr">
        <is>
          <t>인도네시아</t>
        </is>
      </c>
      <c r="X354" s="20">
        <f>IFERROR(TEXTJOIN(" / ",TRUE,UNIQUE(FILTER(소재DB_RAW!$N$3:$N$2000,소재DB_RAW!$G$3:$G$2000=$D354))),"")</f>
        <v/>
      </c>
      <c r="Y354" s="26">
        <f>IFERROR(TEXTJOIN(CHAR(10),TRUE,UNIQUE(FILTER(소재DB_RAW!$N$3:$N$2000&amp;") "&amp;소재DB_RAW!$O$3:$O$2000,(소재DB_RAW!$G$3:$G$2000=$D354)*ISNUMBER(SEARCH("겉감",소재DB_RAW!$M$3:$M$2000))))),"")</f>
        <v/>
      </c>
      <c r="Z354" s="26">
        <f>IFERROR(TEXTJOIN(CHAR(10),TRUE,UNIQUE(FILTER(소재DB_RAW!$N$3:$N$2000&amp;") "&amp;소재DB_RAW!$O$3:$O$2000,(소재DB_RAW!$G$3:$G$2000=$D354)*ISNUMBER(SEARCH("안감",소재DB_RAW!$M$3:$M$2000))))),"")</f>
        <v/>
      </c>
      <c r="AA354" s="27" t="n">
        <v>2500</v>
      </c>
      <c r="AB354" s="27" t="n">
        <v>41857500</v>
      </c>
      <c r="AC354" s="27" t="n">
        <v>220000000</v>
      </c>
      <c r="AD354" s="20" t="inlineStr">
        <is>
          <t>4월3주</t>
        </is>
      </c>
      <c r="AE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F354" s="19">
        <f>IF($K354="","",IF(OR(LEFT($AE354,2)="작지",LEFT($AE354,4)="소재입고"),IF(LEFT($G354,1)="S","★ 납기위험(S코드)","◆ 지연주의"),IF($AE354="정상","✓ 정상","? 확인필요")))</f>
        <v/>
      </c>
      <c r="AG354" s="21" t="n"/>
      <c r="AH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21" t="inlineStr">
        <is>
          <t>O</t>
        </is>
      </c>
      <c r="R355" s="21" t="inlineStr">
        <is>
          <t>X</t>
        </is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>
        <f>IFERROR(TEXTJOIN(" / ",TRUE,UNIQUE(FILTER(소재DB_RAW!$K$3:$K$2000,소재DB_RAW!$G$3:$G$2000=$D355))),"")</f>
        <v/>
      </c>
      <c r="W355" s="20" t="inlineStr">
        <is>
          <t>베트남</t>
        </is>
      </c>
      <c r="X355" s="20">
        <f>IFERROR(TEXTJOIN(" / ",TRUE,UNIQUE(FILTER(소재DB_RAW!$N$3:$N$2000,소재DB_RAW!$G$3:$G$2000=$D355))),"")</f>
        <v/>
      </c>
      <c r="Y355" s="26">
        <f>IFERROR(TEXTJOIN(CHAR(10),TRUE,UNIQUE(FILTER(소재DB_RAW!$N$3:$N$2000&amp;") "&amp;소재DB_RAW!$O$3:$O$2000,(소재DB_RAW!$G$3:$G$2000=$D355)*ISNUMBER(SEARCH("겉감",소재DB_RAW!$M$3:$M$2000))))),"")</f>
        <v/>
      </c>
      <c r="Z355" s="26">
        <f>IFERROR(TEXTJOIN(CHAR(10),TRUE,UNIQUE(FILTER(소재DB_RAW!$N$3:$N$2000&amp;") "&amp;소재DB_RAW!$O$3:$O$2000,(소재DB_RAW!$G$3:$G$2000=$D355)*ISNUMBER(SEARCH("안감",소재DB_RAW!$M$3:$M$2000))))),"")</f>
        <v/>
      </c>
      <c r="AA355" s="27" t="n">
        <v>5000</v>
      </c>
      <c r="AB355" s="27" t="n">
        <v>84510000</v>
      </c>
      <c r="AC355" s="27" t="n">
        <v>440000000</v>
      </c>
      <c r="AD355" s="20" t="inlineStr">
        <is>
          <t>4월3주</t>
        </is>
      </c>
      <c r="AE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F355" s="19">
        <f>IF($K355="","",IF(OR(LEFT($AE355,2)="작지",LEFT($AE355,4)="소재입고"),IF(LEFT($G355,1)="S","★ 납기위험(S코드)","◆ 지연주의"),IF($AE355="정상","✓ 정상","? 확인필요")))</f>
        <v/>
      </c>
      <c r="AG355" s="21" t="n"/>
      <c r="AH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21" t="inlineStr">
        <is>
          <t>O</t>
        </is>
      </c>
      <c r="R356" s="21" t="inlineStr">
        <is>
          <t>X</t>
        </is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>
        <f>IFERROR(TEXTJOIN(" / ",TRUE,UNIQUE(FILTER(소재DB_RAW!$K$3:$K$2000,소재DB_RAW!$G$3:$G$2000=$D356))),"")</f>
        <v/>
      </c>
      <c r="W356" s="20" t="inlineStr">
        <is>
          <t>베트남</t>
        </is>
      </c>
      <c r="X356" s="20">
        <f>IFERROR(TEXTJOIN(" / ",TRUE,UNIQUE(FILTER(소재DB_RAW!$N$3:$N$2000,소재DB_RAW!$G$3:$G$2000=$D356))),"")</f>
        <v/>
      </c>
      <c r="Y356" s="26">
        <f>IFERROR(TEXTJOIN(CHAR(10),TRUE,UNIQUE(FILTER(소재DB_RAW!$N$3:$N$2000&amp;") "&amp;소재DB_RAW!$O$3:$O$2000,(소재DB_RAW!$G$3:$G$2000=$D356)*ISNUMBER(SEARCH("겉감",소재DB_RAW!$M$3:$M$2000))))),"")</f>
        <v/>
      </c>
      <c r="Z356" s="26">
        <f>IFERROR(TEXTJOIN(CHAR(10),TRUE,UNIQUE(FILTER(소재DB_RAW!$N$3:$N$2000&amp;") "&amp;소재DB_RAW!$O$3:$O$2000,(소재DB_RAW!$G$3:$G$2000=$D356)*ISNUMBER(SEARCH("안감",소재DB_RAW!$M$3:$M$2000))))),"")</f>
        <v/>
      </c>
      <c r="AA356" s="27" t="n">
        <v>2500</v>
      </c>
      <c r="AB356" s="27" t="n">
        <v>41855000</v>
      </c>
      <c r="AC356" s="27" t="n">
        <v>195000000</v>
      </c>
      <c r="AD356" s="20" t="inlineStr">
        <is>
          <t>4월3주</t>
        </is>
      </c>
      <c r="AE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F356" s="19">
        <f>IF($K356="","",IF(OR(LEFT($AE356,2)="작지",LEFT($AE356,4)="소재입고"),IF(LEFT($G356,1)="S","★ 납기위험(S코드)","◆ 지연주의"),IF($AE356="정상","✓ 정상","? 확인필요")))</f>
        <v/>
      </c>
      <c r="AG356" s="21" t="n"/>
      <c r="AH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21" t="inlineStr">
        <is>
          <t>X</t>
        </is>
      </c>
      <c r="R357" s="21" t="inlineStr">
        <is>
          <t>X</t>
        </is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>
        <f>IFERROR(TEXTJOIN(" / ",TRUE,UNIQUE(FILTER(소재DB_RAW!$K$3:$K$2000,소재DB_RAW!$G$3:$G$2000=$D357))),"")</f>
        <v/>
      </c>
      <c r="W357" s="20" t="inlineStr">
        <is>
          <t>베트남</t>
        </is>
      </c>
      <c r="X357" s="20">
        <f>IFERROR(TEXTJOIN(" / ",TRUE,UNIQUE(FILTER(소재DB_RAW!$N$3:$N$2000,소재DB_RAW!$G$3:$G$2000=$D357))),"")</f>
        <v/>
      </c>
      <c r="Y357" s="26">
        <f>IFERROR(TEXTJOIN(CHAR(10),TRUE,UNIQUE(FILTER(소재DB_RAW!$N$3:$N$2000&amp;") "&amp;소재DB_RAW!$O$3:$O$2000,(소재DB_RAW!$G$3:$G$2000=$D357)*ISNUMBER(SEARCH("겉감",소재DB_RAW!$M$3:$M$2000))))),"")</f>
        <v/>
      </c>
      <c r="Z357" s="26">
        <f>IFERROR(TEXTJOIN(CHAR(10),TRUE,UNIQUE(FILTER(소재DB_RAW!$N$3:$N$2000&amp;") "&amp;소재DB_RAW!$O$3:$O$2000,(소재DB_RAW!$G$3:$G$2000=$D357)*ISNUMBER(SEARCH("안감",소재DB_RAW!$M$3:$M$2000))))),"")</f>
        <v/>
      </c>
      <c r="AA357" s="27" t="n">
        <v>0</v>
      </c>
      <c r="AB357" s="27" t="n">
        <v>2470588</v>
      </c>
      <c r="AC357" s="27" t="n">
        <v>8400000</v>
      </c>
      <c r="AD357" s="20" t="n"/>
      <c r="AE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F357" s="19">
        <f>IF($K357="","",IF(OR(LEFT($AE357,2)="작지",LEFT($AE357,4)="소재입고"),IF(LEFT($G357,1)="S","★ 납기위험(S코드)","◆ 지연주의"),IF($AE357="정상","✓ 정상","? 확인필요")))</f>
        <v/>
      </c>
      <c r="AG357" s="21" t="n"/>
      <c r="AH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21" t="inlineStr">
        <is>
          <t>X</t>
        </is>
      </c>
      <c r="R358" s="21" t="n"/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>
        <f>IFERROR(TEXTJOIN(" / ",TRUE,UNIQUE(FILTER(소재DB_RAW!$K$3:$K$2000,소재DB_RAW!$G$3:$G$2000=$D358))),"")</f>
        <v/>
      </c>
      <c r="W358" s="20" t="inlineStr">
        <is>
          <t>중국</t>
        </is>
      </c>
      <c r="X358" s="20">
        <f>IFERROR(TEXTJOIN(" / ",TRUE,UNIQUE(FILTER(소재DB_RAW!$N$3:$N$2000,소재DB_RAW!$G$3:$G$2000=$D358))),"")</f>
        <v/>
      </c>
      <c r="Y358" s="26">
        <f>IFERROR(TEXTJOIN(CHAR(10),TRUE,UNIQUE(FILTER(소재DB_RAW!$N$3:$N$2000&amp;") "&amp;소재DB_RAW!$O$3:$O$2000,(소재DB_RAW!$G$3:$G$2000=$D358)*ISNUMBER(SEARCH("겉감",소재DB_RAW!$M$3:$M$2000))))),"")</f>
        <v/>
      </c>
      <c r="Z358" s="26">
        <f>IFERROR(TEXTJOIN(CHAR(10),TRUE,UNIQUE(FILTER(소재DB_RAW!$N$3:$N$2000&amp;") "&amp;소재DB_RAW!$O$3:$O$2000,(소재DB_RAW!$G$3:$G$2000=$D358)*ISNUMBER(SEARCH("안감",소재DB_RAW!$M$3:$M$2000))))),"")</f>
        <v/>
      </c>
      <c r="AA358" s="27" t="n">
        <v>0</v>
      </c>
      <c r="AB358" s="27" t="n">
        <v>0</v>
      </c>
      <c r="AC358" s="27" t="n">
        <v>0</v>
      </c>
      <c r="AD358" s="20" t="n"/>
      <c r="AE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F358" s="19">
        <f>IF($K358="","",IF(OR(LEFT($AE358,2)="작지",LEFT($AE358,4)="소재입고"),IF(LEFT($G358,1)="S","★ 납기위험(S코드)","◆ 지연주의"),IF($AE358="정상","✓ 정상","? 확인필요")))</f>
        <v/>
      </c>
      <c r="AG358" s="21" t="n"/>
      <c r="AH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21" t="inlineStr">
        <is>
          <t>X</t>
        </is>
      </c>
      <c r="R359" s="21" t="inlineStr">
        <is>
          <t>X</t>
        </is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>
        <f>IFERROR(TEXTJOIN(" / ",TRUE,UNIQUE(FILTER(소재DB_RAW!$K$3:$K$2000,소재DB_RAW!$G$3:$G$2000=$D359))),"")</f>
        <v/>
      </c>
      <c r="W359" s="20" t="inlineStr">
        <is>
          <t>중국</t>
        </is>
      </c>
      <c r="X359" s="20">
        <f>IFERROR(TEXTJOIN(" / ",TRUE,UNIQUE(FILTER(소재DB_RAW!$N$3:$N$2000,소재DB_RAW!$G$3:$G$2000=$D359))),"")</f>
        <v/>
      </c>
      <c r="Y359" s="26">
        <f>IFERROR(TEXTJOIN(CHAR(10),TRUE,UNIQUE(FILTER(소재DB_RAW!$N$3:$N$2000&amp;") "&amp;소재DB_RAW!$O$3:$O$2000,(소재DB_RAW!$G$3:$G$2000=$D359)*ISNUMBER(SEARCH("겉감",소재DB_RAW!$M$3:$M$2000))))),"")</f>
        <v/>
      </c>
      <c r="Z359" s="26">
        <f>IFERROR(TEXTJOIN(CHAR(10),TRUE,UNIQUE(FILTER(소재DB_RAW!$N$3:$N$2000&amp;") "&amp;소재DB_RAW!$O$3:$O$2000,(소재DB_RAW!$G$3:$G$2000=$D359)*ISNUMBER(SEARCH("안감",소재DB_RAW!$M$3:$M$2000))))),"")</f>
        <v/>
      </c>
      <c r="AA359" s="27" t="n">
        <v>0</v>
      </c>
      <c r="AB359" s="27" t="n">
        <v>8735294</v>
      </c>
      <c r="AC359" s="27" t="n">
        <v>29700000</v>
      </c>
      <c r="AD359" s="20" t="n"/>
      <c r="AE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F359" s="19">
        <f>IF($K359="","",IF(OR(LEFT($AE359,2)="작지",LEFT($AE359,4)="소재입고"),IF(LEFT($G359,1)="S","★ 납기위험(S코드)","◆ 지연주의"),IF($AE359="정상","✓ 정상","? 확인필요")))</f>
        <v/>
      </c>
      <c r="AG359" s="21" t="n"/>
      <c r="AH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21" t="inlineStr">
        <is>
          <t>X</t>
        </is>
      </c>
      <c r="R360" s="21" t="inlineStr">
        <is>
          <t>X</t>
        </is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>
        <f>IFERROR(TEXTJOIN(" / ",TRUE,UNIQUE(FILTER(소재DB_RAW!$K$3:$K$2000,소재DB_RAW!$G$3:$G$2000=$D360))),"")</f>
        <v/>
      </c>
      <c r="W360" s="20" t="inlineStr">
        <is>
          <t>국내</t>
        </is>
      </c>
      <c r="X360" s="20">
        <f>IFERROR(TEXTJOIN(" / ",TRUE,UNIQUE(FILTER(소재DB_RAW!$N$3:$N$2000,소재DB_RAW!$G$3:$G$2000=$D360))),"")</f>
        <v/>
      </c>
      <c r="Y360" s="26">
        <f>IFERROR(TEXTJOIN(CHAR(10),TRUE,UNIQUE(FILTER(소재DB_RAW!$N$3:$N$2000&amp;") "&amp;소재DB_RAW!$O$3:$O$2000,(소재DB_RAW!$G$3:$G$2000=$D360)*ISNUMBER(SEARCH("겉감",소재DB_RAW!$M$3:$M$2000))))),"")</f>
        <v/>
      </c>
      <c r="Z360" s="26">
        <f>IFERROR(TEXTJOIN(CHAR(10),TRUE,UNIQUE(FILTER(소재DB_RAW!$N$3:$N$2000&amp;") "&amp;소재DB_RAW!$O$3:$O$2000,(소재DB_RAW!$G$3:$G$2000=$D360)*ISNUMBER(SEARCH("안감",소재DB_RAW!$M$3:$M$2000))))),"")</f>
        <v/>
      </c>
      <c r="AA360" s="27" t="n">
        <v>0</v>
      </c>
      <c r="AB360" s="27" t="n">
        <v>3764706</v>
      </c>
      <c r="AC360" s="27" t="n">
        <v>12800000</v>
      </c>
      <c r="AD360" s="20" t="n"/>
      <c r="AE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F360" s="19">
        <f>IF($K360="","",IF(OR(LEFT($AE360,2)="작지",LEFT($AE360,4)="소재입고"),IF(LEFT($G360,1)="S","★ 납기위험(S코드)","◆ 지연주의"),IF($AE360="정상","✓ 정상","? 확인필요")))</f>
        <v/>
      </c>
      <c r="AG360" s="21" t="n"/>
      <c r="AH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21" t="inlineStr">
        <is>
          <t>X</t>
        </is>
      </c>
      <c r="R361" s="21" t="inlineStr">
        <is>
          <t>X</t>
        </is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>
        <f>IFERROR(TEXTJOIN(" / ",TRUE,UNIQUE(FILTER(소재DB_RAW!$K$3:$K$2000,소재DB_RAW!$G$3:$G$2000=$D361))),"")</f>
        <v/>
      </c>
      <c r="W361" s="20" t="inlineStr">
        <is>
          <t>국내</t>
        </is>
      </c>
      <c r="X361" s="20">
        <f>IFERROR(TEXTJOIN(" / ",TRUE,UNIQUE(FILTER(소재DB_RAW!$N$3:$N$2000,소재DB_RAW!$G$3:$G$2000=$D361))),"")</f>
        <v/>
      </c>
      <c r="Y361" s="26">
        <f>IFERROR(TEXTJOIN(CHAR(10),TRUE,UNIQUE(FILTER(소재DB_RAW!$N$3:$N$2000&amp;") "&amp;소재DB_RAW!$O$3:$O$2000,(소재DB_RAW!$G$3:$G$2000=$D361)*ISNUMBER(SEARCH("겉감",소재DB_RAW!$M$3:$M$2000))))),"")</f>
        <v/>
      </c>
      <c r="Z361" s="26">
        <f>IFERROR(TEXTJOIN(CHAR(10),TRUE,UNIQUE(FILTER(소재DB_RAW!$N$3:$N$2000&amp;") "&amp;소재DB_RAW!$O$3:$O$2000,(소재DB_RAW!$G$3:$G$2000=$D361)*ISNUMBER(SEARCH("안감",소재DB_RAW!$M$3:$M$2000))))),"")</f>
        <v/>
      </c>
      <c r="AA361" s="27" t="n">
        <v>0</v>
      </c>
      <c r="AB361" s="27" t="n">
        <v>6470588</v>
      </c>
      <c r="AC361" s="27" t="n">
        <v>22000000</v>
      </c>
      <c r="AD361" s="20" t="n"/>
      <c r="AE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F361" s="19">
        <f>IF($K361="","",IF(OR(LEFT($AE361,2)="작지",LEFT($AE361,4)="소재입고"),IF(LEFT($G361,1)="S","★ 납기위험(S코드)","◆ 지연주의"),IF($AE361="정상","✓ 정상","? 확인필요")))</f>
        <v/>
      </c>
      <c r="AG361" s="21" t="n"/>
      <c r="AH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21" t="inlineStr">
        <is>
          <t>X</t>
        </is>
      </c>
      <c r="R362" s="21" t="inlineStr">
        <is>
          <t>O</t>
        </is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>
        <f>IFERROR(TEXTJOIN(" / ",TRUE,UNIQUE(FILTER(소재DB_RAW!$K$3:$K$2000,소재DB_RAW!$G$3:$G$2000=$D362))),"")</f>
        <v/>
      </c>
      <c r="W362" s="20" t="inlineStr">
        <is>
          <t>베트남</t>
        </is>
      </c>
      <c r="X362" s="20">
        <f>IFERROR(TEXTJOIN(" / ",TRUE,UNIQUE(FILTER(소재DB_RAW!$N$3:$N$2000,소재DB_RAW!$G$3:$G$2000=$D362))),"")</f>
        <v/>
      </c>
      <c r="Y362" s="26">
        <f>IFERROR(TEXTJOIN(CHAR(10),TRUE,UNIQUE(FILTER(소재DB_RAW!$N$3:$N$2000&amp;") "&amp;소재DB_RAW!$O$3:$O$2000,(소재DB_RAW!$G$3:$G$2000=$D362)*ISNUMBER(SEARCH("겉감",소재DB_RAW!$M$3:$M$2000))))),"")</f>
        <v/>
      </c>
      <c r="Z362" s="26">
        <f>IFERROR(TEXTJOIN(CHAR(10),TRUE,UNIQUE(FILTER(소재DB_RAW!$N$3:$N$2000&amp;") "&amp;소재DB_RAW!$O$3:$O$2000,(소재DB_RAW!$G$3:$G$2000=$D362)*ISNUMBER(SEARCH("안감",소재DB_RAW!$M$3:$M$2000))))),"")</f>
        <v/>
      </c>
      <c r="AA362" s="27" t="n">
        <v>0</v>
      </c>
      <c r="AB362" s="27" t="n">
        <v>34016700</v>
      </c>
      <c r="AC362" s="27" t="n">
        <v>99000000</v>
      </c>
      <c r="AD362" s="20" t="n"/>
      <c r="AE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F362" s="19">
        <f>IF($K362="","",IF(OR(LEFT($AE362,2)="작지",LEFT($AE362,4)="소재입고"),IF(LEFT($G362,1)="S","★ 납기위험(S코드)","◆ 지연주의"),IF($AE362="정상","✓ 정상","? 확인필요")))</f>
        <v/>
      </c>
      <c r="AG362" s="21" t="n"/>
      <c r="AH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21" t="inlineStr">
        <is>
          <t>X</t>
        </is>
      </c>
      <c r="R363" s="21" t="inlineStr">
        <is>
          <t>X</t>
        </is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>
        <f>IFERROR(TEXTJOIN(" / ",TRUE,UNIQUE(FILTER(소재DB_RAW!$K$3:$K$2000,소재DB_RAW!$G$3:$G$2000=$D363))),"")</f>
        <v/>
      </c>
      <c r="W363" s="20" t="inlineStr">
        <is>
          <t>베트남</t>
        </is>
      </c>
      <c r="X363" s="20">
        <f>IFERROR(TEXTJOIN(" / ",TRUE,UNIQUE(FILTER(소재DB_RAW!$N$3:$N$2000,소재DB_RAW!$G$3:$G$2000=$D363))),"")</f>
        <v/>
      </c>
      <c r="Y363" s="26">
        <f>IFERROR(TEXTJOIN(CHAR(10),TRUE,UNIQUE(FILTER(소재DB_RAW!$N$3:$N$2000&amp;") "&amp;소재DB_RAW!$O$3:$O$2000,(소재DB_RAW!$G$3:$G$2000=$D363)*ISNUMBER(SEARCH("겉감",소재DB_RAW!$M$3:$M$2000))))),"")</f>
        <v/>
      </c>
      <c r="Z363" s="26">
        <f>IFERROR(TEXTJOIN(CHAR(10),TRUE,UNIQUE(FILTER(소재DB_RAW!$N$3:$N$2000&amp;") "&amp;소재DB_RAW!$O$3:$O$2000,(소재DB_RAW!$G$3:$G$2000=$D363)*ISNUMBER(SEARCH("안감",소재DB_RAW!$M$3:$M$2000))))),"")</f>
        <v/>
      </c>
      <c r="AA363" s="27" t="n">
        <v>0</v>
      </c>
      <c r="AB363" s="27" t="n">
        <v>74330850</v>
      </c>
      <c r="AC363" s="27" t="n">
        <v>236500000</v>
      </c>
      <c r="AD363" s="20" t="n"/>
      <c r="AE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F363" s="19">
        <f>IF($K363="","",IF(OR(LEFT($AE363,2)="작지",LEFT($AE363,4)="소재입고"),IF(LEFT($G363,1)="S","★ 납기위험(S코드)","◆ 지연주의"),IF($AE363="정상","✓ 정상","? 확인필요")))</f>
        <v/>
      </c>
      <c r="AG363" s="21" t="n"/>
      <c r="AH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21" t="inlineStr">
        <is>
          <t>X</t>
        </is>
      </c>
      <c r="R364" s="21" t="inlineStr">
        <is>
          <t>X</t>
        </is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>
        <f>IFERROR(TEXTJOIN(" / ",TRUE,UNIQUE(FILTER(소재DB_RAW!$K$3:$K$2000,소재DB_RAW!$G$3:$G$2000=$D364))),"")</f>
        <v/>
      </c>
      <c r="W364" s="20" t="inlineStr">
        <is>
          <t>베트남</t>
        </is>
      </c>
      <c r="X364" s="20">
        <f>IFERROR(TEXTJOIN(" / ",TRUE,UNIQUE(FILTER(소재DB_RAW!$N$3:$N$2000,소재DB_RAW!$G$3:$G$2000=$D364))),"")</f>
        <v/>
      </c>
      <c r="Y364" s="26">
        <f>IFERROR(TEXTJOIN(CHAR(10),TRUE,UNIQUE(FILTER(소재DB_RAW!$N$3:$N$2000&amp;") "&amp;소재DB_RAW!$O$3:$O$2000,(소재DB_RAW!$G$3:$G$2000=$D364)*ISNUMBER(SEARCH("겉감",소재DB_RAW!$M$3:$M$2000))))),"")</f>
        <v/>
      </c>
      <c r="Z364" s="26">
        <f>IFERROR(TEXTJOIN(CHAR(10),TRUE,UNIQUE(FILTER(소재DB_RAW!$N$3:$N$2000&amp;") "&amp;소재DB_RAW!$O$3:$O$2000,(소재DB_RAW!$G$3:$G$2000=$D364)*ISNUMBER(SEARCH("안감",소재DB_RAW!$M$3:$M$2000))))),"")</f>
        <v/>
      </c>
      <c r="AA364" s="27" t="n">
        <v>0</v>
      </c>
      <c r="AB364" s="27" t="n">
        <v>34084400</v>
      </c>
      <c r="AC364" s="27" t="n">
        <v>109200000</v>
      </c>
      <c r="AD364" s="20" t="n"/>
      <c r="AE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F364" s="19">
        <f>IF($K364="","",IF(OR(LEFT($AE364,2)="작지",LEFT($AE364,4)="소재입고"),IF(LEFT($G364,1)="S","★ 납기위험(S코드)","◆ 지연주의"),IF($AE364="정상","✓ 정상","? 확인필요")))</f>
        <v/>
      </c>
      <c r="AG364" s="21" t="n"/>
      <c r="AH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21" t="inlineStr">
        <is>
          <t>X</t>
        </is>
      </c>
      <c r="R365" s="21" t="inlineStr">
        <is>
          <t>X</t>
        </is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>
        <f>IFERROR(TEXTJOIN(" / ",TRUE,UNIQUE(FILTER(소재DB_RAW!$K$3:$K$2000,소재DB_RAW!$G$3:$G$2000=$D365))),"")</f>
        <v/>
      </c>
      <c r="W365" s="20" t="inlineStr">
        <is>
          <t>베트남</t>
        </is>
      </c>
      <c r="X365" s="20">
        <f>IFERROR(TEXTJOIN(" / ",TRUE,UNIQUE(FILTER(소재DB_RAW!$N$3:$N$2000,소재DB_RAW!$G$3:$G$2000=$D365))),"")</f>
        <v/>
      </c>
      <c r="Y365" s="26">
        <f>IFERROR(TEXTJOIN(CHAR(10),TRUE,UNIQUE(FILTER(소재DB_RAW!$N$3:$N$2000&amp;") "&amp;소재DB_RAW!$O$3:$O$2000,(소재DB_RAW!$G$3:$G$2000=$D365)*ISNUMBER(SEARCH("겉감",소재DB_RAW!$M$3:$M$2000))))),"")</f>
        <v/>
      </c>
      <c r="Z365" s="26">
        <f>IFERROR(TEXTJOIN(CHAR(10),TRUE,UNIQUE(FILTER(소재DB_RAW!$N$3:$N$2000&amp;") "&amp;소재DB_RAW!$O$3:$O$2000,(소재DB_RAW!$G$3:$G$2000=$D365)*ISNUMBER(SEARCH("안감",소재DB_RAW!$M$3:$M$2000))))),"")</f>
        <v/>
      </c>
      <c r="AA365" s="27" t="n">
        <v>0</v>
      </c>
      <c r="AB365" s="27" t="n">
        <v>14295580</v>
      </c>
      <c r="AC365" s="27" t="n">
        <v>44850000</v>
      </c>
      <c r="AD365" s="20" t="n"/>
      <c r="AE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F365" s="19">
        <f>IF($K365="","",IF(OR(LEFT($AE365,2)="작지",LEFT($AE365,4)="소재입고"),IF(LEFT($G365,1)="S","★ 납기위험(S코드)","◆ 지연주의"),IF($AE365="정상","✓ 정상","? 확인필요")))</f>
        <v/>
      </c>
      <c r="AG365" s="21" t="n"/>
      <c r="AH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21" t="inlineStr">
        <is>
          <t>X</t>
        </is>
      </c>
      <c r="R366" s="21" t="inlineStr">
        <is>
          <t>X</t>
        </is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>
        <f>IFERROR(TEXTJOIN(" / ",TRUE,UNIQUE(FILTER(소재DB_RAW!$K$3:$K$2000,소재DB_RAW!$G$3:$G$2000=$D366))),"")</f>
        <v/>
      </c>
      <c r="W366" s="20" t="inlineStr">
        <is>
          <t>베트남</t>
        </is>
      </c>
      <c r="X366" s="20">
        <f>IFERROR(TEXTJOIN(" / ",TRUE,UNIQUE(FILTER(소재DB_RAW!$N$3:$N$2000,소재DB_RAW!$G$3:$G$2000=$D366))),"")</f>
        <v/>
      </c>
      <c r="Y366" s="26">
        <f>IFERROR(TEXTJOIN(CHAR(10),TRUE,UNIQUE(FILTER(소재DB_RAW!$N$3:$N$2000&amp;") "&amp;소재DB_RAW!$O$3:$O$2000,(소재DB_RAW!$G$3:$G$2000=$D366)*ISNUMBER(SEARCH("겉감",소재DB_RAW!$M$3:$M$2000))))),"")</f>
        <v/>
      </c>
      <c r="Z366" s="26">
        <f>IFERROR(TEXTJOIN(CHAR(10),TRUE,UNIQUE(FILTER(소재DB_RAW!$N$3:$N$2000&amp;") "&amp;소재DB_RAW!$O$3:$O$2000,(소재DB_RAW!$G$3:$G$2000=$D366)*ISNUMBER(SEARCH("안감",소재DB_RAW!$M$3:$M$2000))))),"")</f>
        <v/>
      </c>
      <c r="AA366" s="27" t="n">
        <v>0</v>
      </c>
      <c r="AB366" s="27" t="n">
        <v>36809150</v>
      </c>
      <c r="AC366" s="27" t="n">
        <v>112000000</v>
      </c>
      <c r="AD366" s="20" t="n"/>
      <c r="AE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F366" s="19">
        <f>IF($K366="","",IF(OR(LEFT($AE366,2)="작지",LEFT($AE366,4)="소재입고"),IF(LEFT($G366,1)="S","★ 납기위험(S코드)","◆ 지연주의"),IF($AE366="정상","✓ 정상","? 확인필요")))</f>
        <v/>
      </c>
      <c r="AG366" s="21" t="n"/>
      <c r="AH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21" t="inlineStr">
        <is>
          <t>X</t>
        </is>
      </c>
      <c r="R367" s="21" t="inlineStr">
        <is>
          <t>X</t>
        </is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>
        <f>IFERROR(TEXTJOIN(" / ",TRUE,UNIQUE(FILTER(소재DB_RAW!$K$3:$K$2000,소재DB_RAW!$G$3:$G$2000=$D367))),"")</f>
        <v/>
      </c>
      <c r="W367" s="20" t="inlineStr">
        <is>
          <t>중국</t>
        </is>
      </c>
      <c r="X367" s="20">
        <f>IFERROR(TEXTJOIN(" / ",TRUE,UNIQUE(FILTER(소재DB_RAW!$N$3:$N$2000,소재DB_RAW!$G$3:$G$2000=$D367))),"")</f>
        <v/>
      </c>
      <c r="Y367" s="26">
        <f>IFERROR(TEXTJOIN(CHAR(10),TRUE,UNIQUE(FILTER(소재DB_RAW!$N$3:$N$2000&amp;") "&amp;소재DB_RAW!$O$3:$O$2000,(소재DB_RAW!$G$3:$G$2000=$D367)*ISNUMBER(SEARCH("겉감",소재DB_RAW!$M$3:$M$2000))))),"")</f>
        <v/>
      </c>
      <c r="Z367" s="26">
        <f>IFERROR(TEXTJOIN(CHAR(10),TRUE,UNIQUE(FILTER(소재DB_RAW!$N$3:$N$2000&amp;") "&amp;소재DB_RAW!$O$3:$O$2000,(소재DB_RAW!$G$3:$G$2000=$D367)*ISNUMBER(SEARCH("안감",소재DB_RAW!$M$3:$M$2000))))),"")</f>
        <v/>
      </c>
      <c r="AA367" s="27" t="n">
        <v>800</v>
      </c>
      <c r="AB367" s="27" t="n">
        <v>23200000</v>
      </c>
      <c r="AC367" s="27" t="n">
        <v>118400000</v>
      </c>
      <c r="AD367" s="20" t="n"/>
      <c r="AE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F367" s="19">
        <f>IF($K367="","",IF(OR(LEFT($AE367,2)="작지",LEFT($AE367,4)="소재입고"),IF(LEFT($G367,1)="S","★ 납기위험(S코드)","◆ 지연주의"),IF($AE367="정상","✓ 정상","? 확인필요")))</f>
        <v/>
      </c>
      <c r="AG367" s="21" t="n"/>
      <c r="AH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21" t="inlineStr">
        <is>
          <t>X</t>
        </is>
      </c>
      <c r="R368" s="21" t="inlineStr">
        <is>
          <t>X</t>
        </is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>
        <f>IFERROR(TEXTJOIN(" / ",TRUE,UNIQUE(FILTER(소재DB_RAW!$K$3:$K$2000,소재DB_RAW!$G$3:$G$2000=$D368))),"")</f>
        <v/>
      </c>
      <c r="W368" s="20" t="inlineStr">
        <is>
          <t>중국</t>
        </is>
      </c>
      <c r="X368" s="20">
        <f>IFERROR(TEXTJOIN(" / ",TRUE,UNIQUE(FILTER(소재DB_RAW!$N$3:$N$2000,소재DB_RAW!$G$3:$G$2000=$D368))),"")</f>
        <v/>
      </c>
      <c r="Y368" s="26">
        <f>IFERROR(TEXTJOIN(CHAR(10),TRUE,UNIQUE(FILTER(소재DB_RAW!$N$3:$N$2000&amp;") "&amp;소재DB_RAW!$O$3:$O$2000,(소재DB_RAW!$G$3:$G$2000=$D368)*ISNUMBER(SEARCH("겉감",소재DB_RAW!$M$3:$M$2000))))),"")</f>
        <v/>
      </c>
      <c r="Z368" s="26">
        <f>IFERROR(TEXTJOIN(CHAR(10),TRUE,UNIQUE(FILTER(소재DB_RAW!$N$3:$N$2000&amp;") "&amp;소재DB_RAW!$O$3:$O$2000,(소재DB_RAW!$G$3:$G$2000=$D368)*ISNUMBER(SEARCH("안감",소재DB_RAW!$M$3:$M$2000))))),"")</f>
        <v/>
      </c>
      <c r="AA368" s="27" t="n">
        <v>1300</v>
      </c>
      <c r="AB368" s="27" t="n">
        <v>21450000</v>
      </c>
      <c r="AC368" s="27" t="n">
        <v>114400000</v>
      </c>
      <c r="AD368" s="20" t="n"/>
      <c r="AE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F368" s="19">
        <f>IF($K368="","",IF(OR(LEFT($AE368,2)="작지",LEFT($AE368,4)="소재입고"),IF(LEFT($G368,1)="S","★ 납기위험(S코드)","◆ 지연주의"),IF($AE368="정상","✓ 정상","? 확인필요")))</f>
        <v/>
      </c>
      <c r="AG368" s="21" t="n"/>
      <c r="AH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21" t="inlineStr">
        <is>
          <t>X</t>
        </is>
      </c>
      <c r="R369" s="21" t="inlineStr">
        <is>
          <t>X</t>
        </is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>
        <f>IFERROR(TEXTJOIN(" / ",TRUE,UNIQUE(FILTER(소재DB_RAW!$K$3:$K$2000,소재DB_RAW!$G$3:$G$2000=$D369))),"")</f>
        <v/>
      </c>
      <c r="W369" s="20" t="inlineStr">
        <is>
          <t>중국</t>
        </is>
      </c>
      <c r="X369" s="20">
        <f>IFERROR(TEXTJOIN(" / ",TRUE,UNIQUE(FILTER(소재DB_RAW!$N$3:$N$2000,소재DB_RAW!$G$3:$G$2000=$D369))),"")</f>
        <v/>
      </c>
      <c r="Y369" s="26">
        <f>IFERROR(TEXTJOIN(CHAR(10),TRUE,UNIQUE(FILTER(소재DB_RAW!$N$3:$N$2000&amp;") "&amp;소재DB_RAW!$O$3:$O$2000,(소재DB_RAW!$G$3:$G$2000=$D369)*ISNUMBER(SEARCH("겉감",소재DB_RAW!$M$3:$M$2000))))),"")</f>
        <v/>
      </c>
      <c r="Z369" s="26">
        <f>IFERROR(TEXTJOIN(CHAR(10),TRUE,UNIQUE(FILTER(소재DB_RAW!$N$3:$N$2000&amp;") "&amp;소재DB_RAW!$O$3:$O$2000,(소재DB_RAW!$G$3:$G$2000=$D369)*ISNUMBER(SEARCH("안감",소재DB_RAW!$M$3:$M$2000))))),"")</f>
        <v/>
      </c>
      <c r="AA369" s="27" t="n">
        <v>8000</v>
      </c>
      <c r="AB369" s="27" t="n">
        <v>156000000</v>
      </c>
      <c r="AC369" s="27" t="n">
        <v>704000000</v>
      </c>
      <c r="AD369" s="20" t="n"/>
      <c r="AE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F369" s="19">
        <f>IF($K369="","",IF(OR(LEFT($AE369,2)="작지",LEFT($AE369,4)="소재입고"),IF(LEFT($G369,1)="S","★ 납기위험(S코드)","◆ 지연주의"),IF($AE369="정상","✓ 정상","? 확인필요")))</f>
        <v/>
      </c>
      <c r="AG369" s="21" t="n"/>
      <c r="AH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21" t="inlineStr">
        <is>
          <t>X</t>
        </is>
      </c>
      <c r="R370" s="21" t="inlineStr">
        <is>
          <t>X</t>
        </is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>
        <f>IFERROR(TEXTJOIN(" / ",TRUE,UNIQUE(FILTER(소재DB_RAW!$K$3:$K$2000,소재DB_RAW!$G$3:$G$2000=$D370))),"")</f>
        <v/>
      </c>
      <c r="W370" s="20" t="inlineStr">
        <is>
          <t>중국</t>
        </is>
      </c>
      <c r="X370" s="20">
        <f>IFERROR(TEXTJOIN(" / ",TRUE,UNIQUE(FILTER(소재DB_RAW!$N$3:$N$2000,소재DB_RAW!$G$3:$G$2000=$D370))),"")</f>
        <v/>
      </c>
      <c r="Y370" s="26">
        <f>IFERROR(TEXTJOIN(CHAR(10),TRUE,UNIQUE(FILTER(소재DB_RAW!$N$3:$N$2000&amp;") "&amp;소재DB_RAW!$O$3:$O$2000,(소재DB_RAW!$G$3:$G$2000=$D370)*ISNUMBER(SEARCH("겉감",소재DB_RAW!$M$3:$M$2000))))),"")</f>
        <v/>
      </c>
      <c r="Z370" s="26">
        <f>IFERROR(TEXTJOIN(CHAR(10),TRUE,UNIQUE(FILTER(소재DB_RAW!$N$3:$N$2000&amp;") "&amp;소재DB_RAW!$O$3:$O$2000,(소재DB_RAW!$G$3:$G$2000=$D370)*ISNUMBER(SEARCH("안감",소재DB_RAW!$M$3:$M$2000))))),"")</f>
        <v/>
      </c>
      <c r="AA370" s="27" t="n">
        <v>800</v>
      </c>
      <c r="AB370" s="27" t="n">
        <v>25600000</v>
      </c>
      <c r="AC370" s="27" t="n">
        <v>134400000</v>
      </c>
      <c r="AD370" s="20" t="n"/>
      <c r="AE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F370" s="19">
        <f>IF($K370="","",IF(OR(LEFT($AE370,2)="작지",LEFT($AE370,4)="소재입고"),IF(LEFT($G370,1)="S","★ 납기위험(S코드)","◆ 지연주의"),IF($AE370="정상","✓ 정상","? 확인필요")))</f>
        <v/>
      </c>
      <c r="AG370" s="21" t="n"/>
      <c r="AH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21" t="inlineStr">
        <is>
          <t>X</t>
        </is>
      </c>
      <c r="R371" s="21" t="n"/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>
        <f>IFERROR(TEXTJOIN(" / ",TRUE,UNIQUE(FILTER(소재DB_RAW!$K$3:$K$2000,소재DB_RAW!$G$3:$G$2000=$D371))),"")</f>
        <v/>
      </c>
      <c r="W371" s="20" t="inlineStr">
        <is>
          <t>베트남</t>
        </is>
      </c>
      <c r="X371" s="20">
        <f>IFERROR(TEXTJOIN(" / ",TRUE,UNIQUE(FILTER(소재DB_RAW!$N$3:$N$2000,소재DB_RAW!$G$3:$G$2000=$D371))),"")</f>
        <v/>
      </c>
      <c r="Y371" s="26">
        <f>IFERROR(TEXTJOIN(CHAR(10),TRUE,UNIQUE(FILTER(소재DB_RAW!$N$3:$N$2000&amp;") "&amp;소재DB_RAW!$O$3:$O$2000,(소재DB_RAW!$G$3:$G$2000=$D371)*ISNUMBER(SEARCH("겉감",소재DB_RAW!$M$3:$M$2000))))),"")</f>
        <v/>
      </c>
      <c r="Z371" s="26">
        <f>IFERROR(TEXTJOIN(CHAR(10),TRUE,UNIQUE(FILTER(소재DB_RAW!$N$3:$N$2000&amp;") "&amp;소재DB_RAW!$O$3:$O$2000,(소재DB_RAW!$G$3:$G$2000=$D371)*ISNUMBER(SEARCH("안감",소재DB_RAW!$M$3:$M$2000))))),"")</f>
        <v/>
      </c>
      <c r="AA371" s="27" t="n">
        <v>3000</v>
      </c>
      <c r="AB371" s="27" t="n">
        <v>29130000</v>
      </c>
      <c r="AC371" s="27" t="n">
        <v>165000000</v>
      </c>
      <c r="AD371" s="20" t="n"/>
      <c r="AE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F371" s="19">
        <f>IF($K371="","",IF(OR(LEFT($AE371,2)="작지",LEFT($AE371,4)="소재입고"),IF(LEFT($G371,1)="S","★ 납기위험(S코드)","◆ 지연주의"),IF($AE371="정상","✓ 정상","? 확인필요")))</f>
        <v/>
      </c>
      <c r="AG371" s="21" t="n"/>
      <c r="AH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21" t="inlineStr">
        <is>
          <t>X</t>
        </is>
      </c>
      <c r="R372" s="21" t="inlineStr">
        <is>
          <t>X</t>
        </is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>
        <f>IFERROR(TEXTJOIN(" / ",TRUE,UNIQUE(FILTER(소재DB_RAW!$K$3:$K$2000,소재DB_RAW!$G$3:$G$2000=$D372))),"")</f>
        <v/>
      </c>
      <c r="W372" s="20" t="inlineStr">
        <is>
          <t>국내</t>
        </is>
      </c>
      <c r="X372" s="20">
        <f>IFERROR(TEXTJOIN(" / ",TRUE,UNIQUE(FILTER(소재DB_RAW!$N$3:$N$2000,소재DB_RAW!$G$3:$G$2000=$D372))),"")</f>
        <v/>
      </c>
      <c r="Y372" s="26">
        <f>IFERROR(TEXTJOIN(CHAR(10),TRUE,UNIQUE(FILTER(소재DB_RAW!$N$3:$N$2000&amp;") "&amp;소재DB_RAW!$O$3:$O$2000,(소재DB_RAW!$G$3:$G$2000=$D372)*ISNUMBER(SEARCH("겉감",소재DB_RAW!$M$3:$M$2000))))),"")</f>
        <v/>
      </c>
      <c r="Z372" s="26">
        <f>IFERROR(TEXTJOIN(CHAR(10),TRUE,UNIQUE(FILTER(소재DB_RAW!$N$3:$N$2000&amp;") "&amp;소재DB_RAW!$O$3:$O$2000,(소재DB_RAW!$G$3:$G$2000=$D372)*ISNUMBER(SEARCH("안감",소재DB_RAW!$M$3:$M$2000))))),"")</f>
        <v/>
      </c>
      <c r="AA372" s="27" t="n">
        <v>1000</v>
      </c>
      <c r="AB372" s="27" t="n">
        <v>3997000</v>
      </c>
      <c r="AC372" s="27" t="n">
        <v>30000000</v>
      </c>
      <c r="AD372" s="20" t="n"/>
      <c r="AE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F372" s="19">
        <f>IF($K372="","",IF(OR(LEFT($AE372,2)="작지",LEFT($AE372,4)="소재입고"),IF(LEFT($G372,1)="S","★ 납기위험(S코드)","◆ 지연주의"),IF($AE372="정상","✓ 정상","? 확인필요")))</f>
        <v/>
      </c>
      <c r="AG372" s="21" t="n"/>
      <c r="AH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21" t="inlineStr">
        <is>
          <t>X</t>
        </is>
      </c>
      <c r="R373" s="21" t="inlineStr">
        <is>
          <t>X</t>
        </is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>
        <f>IFERROR(TEXTJOIN(" / ",TRUE,UNIQUE(FILTER(소재DB_RAW!$K$3:$K$2000,소재DB_RAW!$G$3:$G$2000=$D373))),"")</f>
        <v/>
      </c>
      <c r="W373" s="20" t="inlineStr">
        <is>
          <t>국내</t>
        </is>
      </c>
      <c r="X373" s="20">
        <f>IFERROR(TEXTJOIN(" / ",TRUE,UNIQUE(FILTER(소재DB_RAW!$N$3:$N$2000,소재DB_RAW!$G$3:$G$2000=$D373))),"")</f>
        <v/>
      </c>
      <c r="Y373" s="26">
        <f>IFERROR(TEXTJOIN(CHAR(10),TRUE,UNIQUE(FILTER(소재DB_RAW!$N$3:$N$2000&amp;") "&amp;소재DB_RAW!$O$3:$O$2000,(소재DB_RAW!$G$3:$G$2000=$D373)*ISNUMBER(SEARCH("겉감",소재DB_RAW!$M$3:$M$2000))))),"")</f>
        <v/>
      </c>
      <c r="Z373" s="26">
        <f>IFERROR(TEXTJOIN(CHAR(10),TRUE,UNIQUE(FILTER(소재DB_RAW!$N$3:$N$2000&amp;") "&amp;소재DB_RAW!$O$3:$O$2000,(소재DB_RAW!$G$3:$G$2000=$D373)*ISNUMBER(SEARCH("안감",소재DB_RAW!$M$3:$M$2000))))),"")</f>
        <v/>
      </c>
      <c r="AA373" s="27" t="n">
        <v>4000</v>
      </c>
      <c r="AB373" s="27" t="n">
        <v>13720000</v>
      </c>
      <c r="AC373" s="27" t="n">
        <v>120000000</v>
      </c>
      <c r="AD373" s="20" t="n"/>
      <c r="AE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F373" s="19">
        <f>IF($K373="","",IF(OR(LEFT($AE373,2)="작지",LEFT($AE373,4)="소재입고"),IF(LEFT($G373,1)="S","★ 납기위험(S코드)","◆ 지연주의"),IF($AE373="정상","✓ 정상","? 확인필요")))</f>
        <v/>
      </c>
      <c r="AG373" s="21" t="n"/>
      <c r="AH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21" t="inlineStr">
        <is>
          <t>X</t>
        </is>
      </c>
      <c r="R374" s="21" t="inlineStr">
        <is>
          <t>X</t>
        </is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>
        <f>IFERROR(TEXTJOIN(" / ",TRUE,UNIQUE(FILTER(소재DB_RAW!$K$3:$K$2000,소재DB_RAW!$G$3:$G$2000=$D374))),"")</f>
        <v/>
      </c>
      <c r="W374" s="20" t="inlineStr">
        <is>
          <t>국내</t>
        </is>
      </c>
      <c r="X374" s="20">
        <f>IFERROR(TEXTJOIN(" / ",TRUE,UNIQUE(FILTER(소재DB_RAW!$N$3:$N$2000,소재DB_RAW!$G$3:$G$2000=$D374))),"")</f>
        <v/>
      </c>
      <c r="Y374" s="26">
        <f>IFERROR(TEXTJOIN(CHAR(10),TRUE,UNIQUE(FILTER(소재DB_RAW!$N$3:$N$2000&amp;") "&amp;소재DB_RAW!$O$3:$O$2000,(소재DB_RAW!$G$3:$G$2000=$D374)*ISNUMBER(SEARCH("겉감",소재DB_RAW!$M$3:$M$2000))))),"")</f>
        <v/>
      </c>
      <c r="Z374" s="26">
        <f>IFERROR(TEXTJOIN(CHAR(10),TRUE,UNIQUE(FILTER(소재DB_RAW!$N$3:$N$2000&amp;") "&amp;소재DB_RAW!$O$3:$O$2000,(소재DB_RAW!$G$3:$G$2000=$D374)*ISNUMBER(SEARCH("안감",소재DB_RAW!$M$3:$M$2000))))),"")</f>
        <v/>
      </c>
      <c r="AA374" s="27" t="n">
        <v>1500</v>
      </c>
      <c r="AB374" s="27" t="n">
        <v>5940000</v>
      </c>
      <c r="AC374" s="27" t="n">
        <v>37500000</v>
      </c>
      <c r="AD374" s="20" t="n"/>
      <c r="AE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F374" s="19">
        <f>IF($K374="","",IF(OR(LEFT($AE374,2)="작지",LEFT($AE374,4)="소재입고"),IF(LEFT($G374,1)="S","★ 납기위험(S코드)","◆ 지연주의"),IF($AE374="정상","✓ 정상","? 확인필요")))</f>
        <v/>
      </c>
      <c r="AG374" s="21" t="n"/>
      <c r="AH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21" t="inlineStr">
        <is>
          <t>X</t>
        </is>
      </c>
      <c r="R375" s="21" t="inlineStr">
        <is>
          <t>X</t>
        </is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>
        <f>IFERROR(TEXTJOIN(" / ",TRUE,UNIQUE(FILTER(소재DB_RAW!$K$3:$K$2000,소재DB_RAW!$G$3:$G$2000=$D375))),"")</f>
        <v/>
      </c>
      <c r="W375" s="20" t="inlineStr">
        <is>
          <t>국내</t>
        </is>
      </c>
      <c r="X375" s="20">
        <f>IFERROR(TEXTJOIN(" / ",TRUE,UNIQUE(FILTER(소재DB_RAW!$N$3:$N$2000,소재DB_RAW!$G$3:$G$2000=$D375))),"")</f>
        <v/>
      </c>
      <c r="Y375" s="26">
        <f>IFERROR(TEXTJOIN(CHAR(10),TRUE,UNIQUE(FILTER(소재DB_RAW!$N$3:$N$2000&amp;") "&amp;소재DB_RAW!$O$3:$O$2000,(소재DB_RAW!$G$3:$G$2000=$D375)*ISNUMBER(SEARCH("겉감",소재DB_RAW!$M$3:$M$2000))))),"")</f>
        <v/>
      </c>
      <c r="Z375" s="26">
        <f>IFERROR(TEXTJOIN(CHAR(10),TRUE,UNIQUE(FILTER(소재DB_RAW!$N$3:$N$2000&amp;") "&amp;소재DB_RAW!$O$3:$O$2000,(소재DB_RAW!$G$3:$G$2000=$D375)*ISNUMBER(SEARCH("안감",소재DB_RAW!$M$3:$M$2000))))),"")</f>
        <v/>
      </c>
      <c r="AA375" s="27" t="n">
        <v>1600</v>
      </c>
      <c r="AB375" s="27" t="n">
        <v>5488000</v>
      </c>
      <c r="AC375" s="27" t="n">
        <v>48000000</v>
      </c>
      <c r="AD375" s="20" t="n"/>
      <c r="AE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F375" s="19">
        <f>IF($K375="","",IF(OR(LEFT($AE375,2)="작지",LEFT($AE375,4)="소재입고"),IF(LEFT($G375,1)="S","★ 납기위험(S코드)","◆ 지연주의"),IF($AE375="정상","✓ 정상","? 확인필요")))</f>
        <v/>
      </c>
      <c r="AG375" s="21" t="n"/>
      <c r="AH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21" t="inlineStr">
        <is>
          <t>X</t>
        </is>
      </c>
      <c r="R376" s="21" t="inlineStr">
        <is>
          <t>X</t>
        </is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>
        <f>IFERROR(TEXTJOIN(" / ",TRUE,UNIQUE(FILTER(소재DB_RAW!$K$3:$K$2000,소재DB_RAW!$G$3:$G$2000=$D376))),"")</f>
        <v/>
      </c>
      <c r="W376" s="20" t="inlineStr">
        <is>
          <t>국내</t>
        </is>
      </c>
      <c r="X376" s="20">
        <f>IFERROR(TEXTJOIN(" / ",TRUE,UNIQUE(FILTER(소재DB_RAW!$N$3:$N$2000,소재DB_RAW!$G$3:$G$2000=$D376))),"")</f>
        <v/>
      </c>
      <c r="Y376" s="26">
        <f>IFERROR(TEXTJOIN(CHAR(10),TRUE,UNIQUE(FILTER(소재DB_RAW!$N$3:$N$2000&amp;") "&amp;소재DB_RAW!$O$3:$O$2000,(소재DB_RAW!$G$3:$G$2000=$D376)*ISNUMBER(SEARCH("겉감",소재DB_RAW!$M$3:$M$2000))))),"")</f>
        <v/>
      </c>
      <c r="Z376" s="26">
        <f>IFERROR(TEXTJOIN(CHAR(10),TRUE,UNIQUE(FILTER(소재DB_RAW!$N$3:$N$2000&amp;") "&amp;소재DB_RAW!$O$3:$O$2000,(소재DB_RAW!$G$3:$G$2000=$D376)*ISNUMBER(SEARCH("안감",소재DB_RAW!$M$3:$M$2000))))),"")</f>
        <v/>
      </c>
      <c r="AA376" s="27" t="n">
        <v>2000</v>
      </c>
      <c r="AB376" s="27" t="n">
        <v>7714000</v>
      </c>
      <c r="AC376" s="27" t="n">
        <v>50000000</v>
      </c>
      <c r="AD376" s="20" t="n"/>
      <c r="AE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F376" s="19">
        <f>IF($K376="","",IF(OR(LEFT($AE376,2)="작지",LEFT($AE376,4)="소재입고"),IF(LEFT($G376,1)="S","★ 납기위험(S코드)","◆ 지연주의"),IF($AE376="정상","✓ 정상","? 확인필요")))</f>
        <v/>
      </c>
      <c r="AG376" s="21" t="n"/>
      <c r="AH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21" t="inlineStr">
        <is>
          <t>X</t>
        </is>
      </c>
      <c r="R377" s="21" t="inlineStr">
        <is>
          <t>O</t>
        </is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>
        <f>IFERROR(TEXTJOIN(" / ",TRUE,UNIQUE(FILTER(소재DB_RAW!$K$3:$K$2000,소재DB_RAW!$G$3:$G$2000=$D377))),"")</f>
        <v/>
      </c>
      <c r="W377" s="20" t="inlineStr">
        <is>
          <t>국내</t>
        </is>
      </c>
      <c r="X377" s="20">
        <f>IFERROR(TEXTJOIN(" / ",TRUE,UNIQUE(FILTER(소재DB_RAW!$N$3:$N$2000,소재DB_RAW!$G$3:$G$2000=$D377))),"")</f>
        <v/>
      </c>
      <c r="Y377" s="26">
        <f>IFERROR(TEXTJOIN(CHAR(10),TRUE,UNIQUE(FILTER(소재DB_RAW!$N$3:$N$2000&amp;") "&amp;소재DB_RAW!$O$3:$O$2000,(소재DB_RAW!$G$3:$G$2000=$D377)*ISNUMBER(SEARCH("겉감",소재DB_RAW!$M$3:$M$2000))))),"")</f>
        <v/>
      </c>
      <c r="Z377" s="26">
        <f>IFERROR(TEXTJOIN(CHAR(10),TRUE,UNIQUE(FILTER(소재DB_RAW!$N$3:$N$2000&amp;") "&amp;소재DB_RAW!$O$3:$O$2000,(소재DB_RAW!$G$3:$G$2000=$D377)*ISNUMBER(SEARCH("안감",소재DB_RAW!$M$3:$M$2000))))),"")</f>
        <v/>
      </c>
      <c r="AA377" s="27" t="n">
        <v>7000</v>
      </c>
      <c r="AB377" s="27" t="n">
        <v>96761000</v>
      </c>
      <c r="AC377" s="27" t="n">
        <v>616000000</v>
      </c>
      <c r="AD377" s="20" t="n"/>
      <c r="AE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F377" s="19">
        <f>IF($K377="","",IF(OR(LEFT($AE377,2)="작지",LEFT($AE377,4)="소재입고"),IF(LEFT($G377,1)="S","★ 납기위험(S코드)","◆ 지연주의"),IF($AE377="정상","✓ 정상","? 확인필요")))</f>
        <v/>
      </c>
      <c r="AG377" s="21" t="n"/>
      <c r="AH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21" t="inlineStr">
        <is>
          <t>X</t>
        </is>
      </c>
      <c r="R378" s="21" t="inlineStr">
        <is>
          <t>O</t>
        </is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>
        <f>IFERROR(TEXTJOIN(" / ",TRUE,UNIQUE(FILTER(소재DB_RAW!$K$3:$K$2000,소재DB_RAW!$G$3:$G$2000=$D378))),"")</f>
        <v/>
      </c>
      <c r="W378" s="20" t="inlineStr">
        <is>
          <t>국내</t>
        </is>
      </c>
      <c r="X378" s="20">
        <f>IFERROR(TEXTJOIN(" / ",TRUE,UNIQUE(FILTER(소재DB_RAW!$N$3:$N$2000,소재DB_RAW!$G$3:$G$2000=$D378))),"")</f>
        <v/>
      </c>
      <c r="Y378" s="26">
        <f>IFERROR(TEXTJOIN(CHAR(10),TRUE,UNIQUE(FILTER(소재DB_RAW!$N$3:$N$2000&amp;") "&amp;소재DB_RAW!$O$3:$O$2000,(소재DB_RAW!$G$3:$G$2000=$D378)*ISNUMBER(SEARCH("겉감",소재DB_RAW!$M$3:$M$2000))))),"")</f>
        <v/>
      </c>
      <c r="Z378" s="26">
        <f>IFERROR(TEXTJOIN(CHAR(10),TRUE,UNIQUE(FILTER(소재DB_RAW!$N$3:$N$2000&amp;") "&amp;소재DB_RAW!$O$3:$O$2000,(소재DB_RAW!$G$3:$G$2000=$D378)*ISNUMBER(SEARCH("안감",소재DB_RAW!$M$3:$M$2000))))),"")</f>
        <v/>
      </c>
      <c r="AA378" s="27" t="n">
        <v>6000</v>
      </c>
      <c r="AB378" s="27" t="n">
        <v>73590000</v>
      </c>
      <c r="AC378" s="27" t="n">
        <v>420000000</v>
      </c>
      <c r="AD378" s="20" t="n"/>
      <c r="AE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F378" s="19">
        <f>IF($K378="","",IF(OR(LEFT($AE378,2)="작지",LEFT($AE378,4)="소재입고"),IF(LEFT($G378,1)="S","★ 납기위험(S코드)","◆ 지연주의"),IF($AE378="정상","✓ 정상","? 확인필요")))</f>
        <v/>
      </c>
      <c r="AG378" s="21" t="n"/>
      <c r="AH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21" t="inlineStr">
        <is>
          <t>X</t>
        </is>
      </c>
      <c r="R379" s="21" t="inlineStr">
        <is>
          <t>O</t>
        </is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>
        <f>IFERROR(TEXTJOIN(" / ",TRUE,UNIQUE(FILTER(소재DB_RAW!$K$3:$K$2000,소재DB_RAW!$G$3:$G$2000=$D379))),"")</f>
        <v/>
      </c>
      <c r="W379" s="20" t="inlineStr">
        <is>
          <t>국내</t>
        </is>
      </c>
      <c r="X379" s="20">
        <f>IFERROR(TEXTJOIN(" / ",TRUE,UNIQUE(FILTER(소재DB_RAW!$N$3:$N$2000,소재DB_RAW!$G$3:$G$2000=$D379))),"")</f>
        <v/>
      </c>
      <c r="Y379" s="26">
        <f>IFERROR(TEXTJOIN(CHAR(10),TRUE,UNIQUE(FILTER(소재DB_RAW!$N$3:$N$2000&amp;") "&amp;소재DB_RAW!$O$3:$O$2000,(소재DB_RAW!$G$3:$G$2000=$D379)*ISNUMBER(SEARCH("겉감",소재DB_RAW!$M$3:$M$2000))))),"")</f>
        <v/>
      </c>
      <c r="Z379" s="26">
        <f>IFERROR(TEXTJOIN(CHAR(10),TRUE,UNIQUE(FILTER(소재DB_RAW!$N$3:$N$2000&amp;") "&amp;소재DB_RAW!$O$3:$O$2000,(소재DB_RAW!$G$3:$G$2000=$D379)*ISNUMBER(SEARCH("안감",소재DB_RAW!$M$3:$M$2000))))),"")</f>
        <v/>
      </c>
      <c r="AA379" s="27" t="n">
        <v>10000</v>
      </c>
      <c r="AB379" s="27" t="n">
        <v>149010000</v>
      </c>
      <c r="AC379" s="27" t="n">
        <v>880000000</v>
      </c>
      <c r="AD379" s="20" t="n"/>
      <c r="AE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F379" s="19">
        <f>IF($K379="","",IF(OR(LEFT($AE379,2)="작지",LEFT($AE379,4)="소재입고"),IF(LEFT($G379,1)="S","★ 납기위험(S코드)","◆ 지연주의"),IF($AE379="정상","✓ 정상","? 확인필요")))</f>
        <v/>
      </c>
      <c r="AG379" s="21" t="n"/>
      <c r="AH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21" t="inlineStr">
        <is>
          <t>X</t>
        </is>
      </c>
      <c r="R380" s="21" t="inlineStr">
        <is>
          <t>O</t>
        </is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>
        <f>IFERROR(TEXTJOIN(" / ",TRUE,UNIQUE(FILTER(소재DB_RAW!$K$3:$K$2000,소재DB_RAW!$G$3:$G$2000=$D380))),"")</f>
        <v/>
      </c>
      <c r="W380" s="20" t="inlineStr">
        <is>
          <t>국내</t>
        </is>
      </c>
      <c r="X380" s="20">
        <f>IFERROR(TEXTJOIN(" / ",TRUE,UNIQUE(FILTER(소재DB_RAW!$N$3:$N$2000,소재DB_RAW!$G$3:$G$2000=$D380))),"")</f>
        <v/>
      </c>
      <c r="Y380" s="26">
        <f>IFERROR(TEXTJOIN(CHAR(10),TRUE,UNIQUE(FILTER(소재DB_RAW!$N$3:$N$2000&amp;") "&amp;소재DB_RAW!$O$3:$O$2000,(소재DB_RAW!$G$3:$G$2000=$D380)*ISNUMBER(SEARCH("겉감",소재DB_RAW!$M$3:$M$2000))))),"")</f>
        <v/>
      </c>
      <c r="Z380" s="26">
        <f>IFERROR(TEXTJOIN(CHAR(10),TRUE,UNIQUE(FILTER(소재DB_RAW!$N$3:$N$2000&amp;") "&amp;소재DB_RAW!$O$3:$O$2000,(소재DB_RAW!$G$3:$G$2000=$D380)*ISNUMBER(SEARCH("안감",소재DB_RAW!$M$3:$M$2000))))),"")</f>
        <v/>
      </c>
      <c r="AA380" s="27" t="n">
        <v>5500</v>
      </c>
      <c r="AB380" s="27" t="n">
        <v>102118500</v>
      </c>
      <c r="AC380" s="27" t="n">
        <v>484000000</v>
      </c>
      <c r="AD380" s="20" t="n"/>
      <c r="AE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F380" s="19">
        <f>IF($K380="","",IF(OR(LEFT($AE380,2)="작지",LEFT($AE380,4)="소재입고"),IF(LEFT($G380,1)="S","★ 납기위험(S코드)","◆ 지연주의"),IF($AE380="정상","✓ 정상","? 확인필요")))</f>
        <v/>
      </c>
      <c r="AG380" s="21" t="n"/>
      <c r="AH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21" t="inlineStr">
        <is>
          <t>X</t>
        </is>
      </c>
      <c r="R381" s="21" t="inlineStr">
        <is>
          <t>O</t>
        </is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>
        <f>IFERROR(TEXTJOIN(" / ",TRUE,UNIQUE(FILTER(소재DB_RAW!$K$3:$K$2000,소재DB_RAW!$G$3:$G$2000=$D381))),"")</f>
        <v/>
      </c>
      <c r="W381" s="20" t="inlineStr">
        <is>
          <t>베트남</t>
        </is>
      </c>
      <c r="X381" s="20">
        <f>IFERROR(TEXTJOIN(" / ",TRUE,UNIQUE(FILTER(소재DB_RAW!$N$3:$N$2000,소재DB_RAW!$G$3:$G$2000=$D381))),"")</f>
        <v/>
      </c>
      <c r="Y381" s="26">
        <f>IFERROR(TEXTJOIN(CHAR(10),TRUE,UNIQUE(FILTER(소재DB_RAW!$N$3:$N$2000&amp;") "&amp;소재DB_RAW!$O$3:$O$2000,(소재DB_RAW!$G$3:$G$2000=$D381)*ISNUMBER(SEARCH("겉감",소재DB_RAW!$M$3:$M$2000))))),"")</f>
        <v/>
      </c>
      <c r="Z381" s="26">
        <f>IFERROR(TEXTJOIN(CHAR(10),TRUE,UNIQUE(FILTER(소재DB_RAW!$N$3:$N$2000&amp;") "&amp;소재DB_RAW!$O$3:$O$2000,(소재DB_RAW!$G$3:$G$2000=$D381)*ISNUMBER(SEARCH("안감",소재DB_RAW!$M$3:$M$2000))))),"")</f>
        <v/>
      </c>
      <c r="AA381" s="27" t="n">
        <v>440</v>
      </c>
      <c r="AB381" s="27" t="n">
        <v>22000000</v>
      </c>
      <c r="AC381" s="27" t="n">
        <v>87120000</v>
      </c>
      <c r="AD381" s="20" t="inlineStr">
        <is>
          <t>1월4주</t>
        </is>
      </c>
      <c r="AE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F381" s="19">
        <f>IF($K381="","",IF(OR(LEFT($AE381,2)="작지",LEFT($AE381,4)="소재입고"),IF(LEFT($G381,1)="S","★ 납기위험(S코드)","◆ 지연주의"),IF($AE381="정상","✓ 정상","? 확인필요")))</f>
        <v/>
      </c>
      <c r="AG381" s="21" t="n"/>
      <c r="AH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21" t="inlineStr">
        <is>
          <t>X</t>
        </is>
      </c>
      <c r="R382" s="21" t="inlineStr">
        <is>
          <t>O</t>
        </is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>
        <f>IFERROR(TEXTJOIN(" / ",TRUE,UNIQUE(FILTER(소재DB_RAW!$K$3:$K$2000,소재DB_RAW!$G$3:$G$2000=$D382))),"")</f>
        <v/>
      </c>
      <c r="W382" s="20" t="inlineStr">
        <is>
          <t>베트남</t>
        </is>
      </c>
      <c r="X382" s="20">
        <f>IFERROR(TEXTJOIN(" / ",TRUE,UNIQUE(FILTER(소재DB_RAW!$N$3:$N$2000,소재DB_RAW!$G$3:$G$2000=$D382))),"")</f>
        <v/>
      </c>
      <c r="Y382" s="26">
        <f>IFERROR(TEXTJOIN(CHAR(10),TRUE,UNIQUE(FILTER(소재DB_RAW!$N$3:$N$2000&amp;") "&amp;소재DB_RAW!$O$3:$O$2000,(소재DB_RAW!$G$3:$G$2000=$D382)*ISNUMBER(SEARCH("겉감",소재DB_RAW!$M$3:$M$2000))))),"")</f>
        <v/>
      </c>
      <c r="Z382" s="26">
        <f>IFERROR(TEXTJOIN(CHAR(10),TRUE,UNIQUE(FILTER(소재DB_RAW!$N$3:$N$2000&amp;") "&amp;소재DB_RAW!$O$3:$O$2000,(소재DB_RAW!$G$3:$G$2000=$D382)*ISNUMBER(SEARCH("안감",소재DB_RAW!$M$3:$M$2000))))),"")</f>
        <v/>
      </c>
      <c r="AA382" s="27" t="n">
        <v>300</v>
      </c>
      <c r="AB382" s="27" t="n">
        <v>25500000</v>
      </c>
      <c r="AC382" s="27" t="n">
        <v>87000000</v>
      </c>
      <c r="AD382" s="20" t="inlineStr">
        <is>
          <t>1월4주</t>
        </is>
      </c>
      <c r="AE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F382" s="19">
        <f>IF($K382="","",IF(OR(LEFT($AE382,2)="작지",LEFT($AE382,4)="소재입고"),IF(LEFT($G382,1)="S","★ 납기위험(S코드)","◆ 지연주의"),IF($AE382="정상","✓ 정상","? 확인필요")))</f>
        <v/>
      </c>
      <c r="AG382" s="21" t="n"/>
      <c r="AH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21" t="inlineStr">
        <is>
          <t>X</t>
        </is>
      </c>
      <c r="R383" s="21" t="inlineStr">
        <is>
          <t>X</t>
        </is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>
        <f>IFERROR(TEXTJOIN(" / ",TRUE,UNIQUE(FILTER(소재DB_RAW!$K$3:$K$2000,소재DB_RAW!$G$3:$G$2000=$D383))),"")</f>
        <v/>
      </c>
      <c r="W383" s="20" t="inlineStr">
        <is>
          <t>중국</t>
        </is>
      </c>
      <c r="X383" s="20">
        <f>IFERROR(TEXTJOIN(" / ",TRUE,UNIQUE(FILTER(소재DB_RAW!$N$3:$N$2000,소재DB_RAW!$G$3:$G$2000=$D383))),"")</f>
        <v/>
      </c>
      <c r="Y383" s="26">
        <f>IFERROR(TEXTJOIN(CHAR(10),TRUE,UNIQUE(FILTER(소재DB_RAW!$N$3:$N$2000&amp;") "&amp;소재DB_RAW!$O$3:$O$2000,(소재DB_RAW!$G$3:$G$2000=$D383)*ISNUMBER(SEARCH("겉감",소재DB_RAW!$M$3:$M$2000))))),"")</f>
        <v/>
      </c>
      <c r="Z383" s="26">
        <f>IFERROR(TEXTJOIN(CHAR(10),TRUE,UNIQUE(FILTER(소재DB_RAW!$N$3:$N$2000&amp;") "&amp;소재DB_RAW!$O$3:$O$2000,(소재DB_RAW!$G$3:$G$2000=$D383)*ISNUMBER(SEARCH("안감",소재DB_RAW!$M$3:$M$2000))))),"")</f>
        <v/>
      </c>
      <c r="AA383" s="27" t="n">
        <v>1800</v>
      </c>
      <c r="AB383" s="27" t="n">
        <v>30240000</v>
      </c>
      <c r="AC383" s="27" t="n">
        <v>158400000</v>
      </c>
      <c r="AD383" s="20" t="n"/>
      <c r="AE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F383" s="19">
        <f>IF($K383="","",IF(OR(LEFT($AE383,2)="작지",LEFT($AE383,4)="소재입고"),IF(LEFT($G383,1)="S","★ 납기위험(S코드)","◆ 지연주의"),IF($AE383="정상","✓ 정상","? 확인필요")))</f>
        <v/>
      </c>
      <c r="AG383" s="21" t="n"/>
      <c r="AH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21" t="inlineStr">
        <is>
          <t>X</t>
        </is>
      </c>
      <c r="R384" s="21" t="inlineStr">
        <is>
          <t>X</t>
        </is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>
        <f>IFERROR(TEXTJOIN(" / ",TRUE,UNIQUE(FILTER(소재DB_RAW!$K$3:$K$2000,소재DB_RAW!$G$3:$G$2000=$D384))),"")</f>
        <v/>
      </c>
      <c r="W384" s="20" t="inlineStr">
        <is>
          <t>중국</t>
        </is>
      </c>
      <c r="X384" s="20">
        <f>IFERROR(TEXTJOIN(" / ",TRUE,UNIQUE(FILTER(소재DB_RAW!$N$3:$N$2000,소재DB_RAW!$G$3:$G$2000=$D384))),"")</f>
        <v/>
      </c>
      <c r="Y384" s="26">
        <f>IFERROR(TEXTJOIN(CHAR(10),TRUE,UNIQUE(FILTER(소재DB_RAW!$N$3:$N$2000&amp;") "&amp;소재DB_RAW!$O$3:$O$2000,(소재DB_RAW!$G$3:$G$2000=$D384)*ISNUMBER(SEARCH("겉감",소재DB_RAW!$M$3:$M$2000))))),"")</f>
        <v/>
      </c>
      <c r="Z384" s="26">
        <f>IFERROR(TEXTJOIN(CHAR(10),TRUE,UNIQUE(FILTER(소재DB_RAW!$N$3:$N$2000&amp;") "&amp;소재DB_RAW!$O$3:$O$2000,(소재DB_RAW!$G$3:$G$2000=$D384)*ISNUMBER(SEARCH("안감",소재DB_RAW!$M$3:$M$2000))))),"")</f>
        <v/>
      </c>
      <c r="AA384" s="27" t="n">
        <v>1000</v>
      </c>
      <c r="AB384" s="27" t="n">
        <v>11000000</v>
      </c>
      <c r="AC384" s="27" t="n">
        <v>55000000</v>
      </c>
      <c r="AD384" s="20" t="n"/>
      <c r="AE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F384" s="19">
        <f>IF($K384="","",IF(OR(LEFT($AE384,2)="작지",LEFT($AE384,4)="소재입고"),IF(LEFT($G384,1)="S","★ 납기위험(S코드)","◆ 지연주의"),IF($AE384="정상","✓ 정상","? 확인필요")))</f>
        <v/>
      </c>
      <c r="AG384" s="21" t="n"/>
      <c r="AH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21" t="inlineStr">
        <is>
          <t>X</t>
        </is>
      </c>
      <c r="R385" s="21" t="inlineStr">
        <is>
          <t>X</t>
        </is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>
        <f>IFERROR(TEXTJOIN(" / ",TRUE,UNIQUE(FILTER(소재DB_RAW!$K$3:$K$2000,소재DB_RAW!$G$3:$G$2000=$D385))),"")</f>
        <v/>
      </c>
      <c r="W385" s="20" t="inlineStr">
        <is>
          <t>중국</t>
        </is>
      </c>
      <c r="X385" s="20">
        <f>IFERROR(TEXTJOIN(" / ",TRUE,UNIQUE(FILTER(소재DB_RAW!$N$3:$N$2000,소재DB_RAW!$G$3:$G$2000=$D385))),"")</f>
        <v/>
      </c>
      <c r="Y385" s="26">
        <f>IFERROR(TEXTJOIN(CHAR(10),TRUE,UNIQUE(FILTER(소재DB_RAW!$N$3:$N$2000&amp;") "&amp;소재DB_RAW!$O$3:$O$2000,(소재DB_RAW!$G$3:$G$2000=$D385)*ISNUMBER(SEARCH("겉감",소재DB_RAW!$M$3:$M$2000))))),"")</f>
        <v/>
      </c>
      <c r="Z385" s="26">
        <f>IFERROR(TEXTJOIN(CHAR(10),TRUE,UNIQUE(FILTER(소재DB_RAW!$N$3:$N$2000&amp;") "&amp;소재DB_RAW!$O$3:$O$2000,(소재DB_RAW!$G$3:$G$2000=$D385)*ISNUMBER(SEARCH("안감",소재DB_RAW!$M$3:$M$2000))))),"")</f>
        <v/>
      </c>
      <c r="AA385" s="27" t="n">
        <v>1600</v>
      </c>
      <c r="AB385" s="27" t="n">
        <v>17600000</v>
      </c>
      <c r="AC385" s="27" t="n">
        <v>88000000</v>
      </c>
      <c r="AD385" s="20" t="inlineStr">
        <is>
          <t>1월4주</t>
        </is>
      </c>
      <c r="AE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F385" s="19">
        <f>IF($K385="","",IF(OR(LEFT($AE385,2)="작지",LEFT($AE385,4)="소재입고"),IF(LEFT($G385,1)="S","★ 납기위험(S코드)","◆ 지연주의"),IF($AE385="정상","✓ 정상","? 확인필요")))</f>
        <v/>
      </c>
      <c r="AG385" s="21" t="n"/>
      <c r="AH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21" t="inlineStr">
        <is>
          <t>X</t>
        </is>
      </c>
      <c r="R386" s="21" t="inlineStr">
        <is>
          <t>X</t>
        </is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>
        <f>IFERROR(TEXTJOIN(" / ",TRUE,UNIQUE(FILTER(소재DB_RAW!$K$3:$K$2000,소재DB_RAW!$G$3:$G$2000=$D386))),"")</f>
        <v/>
      </c>
      <c r="W386" s="20" t="inlineStr">
        <is>
          <t>중국</t>
        </is>
      </c>
      <c r="X386" s="20">
        <f>IFERROR(TEXTJOIN(" / ",TRUE,UNIQUE(FILTER(소재DB_RAW!$N$3:$N$2000,소재DB_RAW!$G$3:$G$2000=$D386))),"")</f>
        <v/>
      </c>
      <c r="Y386" s="26">
        <f>IFERROR(TEXTJOIN(CHAR(10),TRUE,UNIQUE(FILTER(소재DB_RAW!$N$3:$N$2000&amp;") "&amp;소재DB_RAW!$O$3:$O$2000,(소재DB_RAW!$G$3:$G$2000=$D386)*ISNUMBER(SEARCH("겉감",소재DB_RAW!$M$3:$M$2000))))),"")</f>
        <v/>
      </c>
      <c r="Z386" s="26">
        <f>IFERROR(TEXTJOIN(CHAR(10),TRUE,UNIQUE(FILTER(소재DB_RAW!$N$3:$N$2000&amp;") "&amp;소재DB_RAW!$O$3:$O$2000,(소재DB_RAW!$G$3:$G$2000=$D386)*ISNUMBER(SEARCH("안감",소재DB_RAW!$M$3:$M$2000))))),"")</f>
        <v/>
      </c>
      <c r="AA386" s="27" t="n">
        <v>400</v>
      </c>
      <c r="AB386" s="27" t="n">
        <v>4400000</v>
      </c>
      <c r="AC386" s="27" t="n">
        <v>22000000</v>
      </c>
      <c r="AD386" s="20" t="inlineStr">
        <is>
          <t>1월4주</t>
        </is>
      </c>
      <c r="AE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F386" s="19">
        <f>IF($K386="","",IF(OR(LEFT($AE386,2)="작지",LEFT($AE386,4)="소재입고"),IF(LEFT($G386,1)="S","★ 납기위험(S코드)","◆ 지연주의"),IF($AE386="정상","✓ 정상","? 확인필요")))</f>
        <v/>
      </c>
      <c r="AG386" s="21" t="n"/>
      <c r="AH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21" t="inlineStr">
        <is>
          <t>X</t>
        </is>
      </c>
      <c r="R387" s="21" t="inlineStr">
        <is>
          <t>X</t>
        </is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>
        <f>IFERROR(TEXTJOIN(" / ",TRUE,UNIQUE(FILTER(소재DB_RAW!$K$3:$K$2000,소재DB_RAW!$G$3:$G$2000=$D387))),"")</f>
        <v/>
      </c>
      <c r="W387" s="20" t="inlineStr">
        <is>
          <t>중국</t>
        </is>
      </c>
      <c r="X387" s="20">
        <f>IFERROR(TEXTJOIN(" / ",TRUE,UNIQUE(FILTER(소재DB_RAW!$N$3:$N$2000,소재DB_RAW!$G$3:$G$2000=$D387))),"")</f>
        <v/>
      </c>
      <c r="Y387" s="26">
        <f>IFERROR(TEXTJOIN(CHAR(10),TRUE,UNIQUE(FILTER(소재DB_RAW!$N$3:$N$2000&amp;") "&amp;소재DB_RAW!$O$3:$O$2000,(소재DB_RAW!$G$3:$G$2000=$D387)*ISNUMBER(SEARCH("겉감",소재DB_RAW!$M$3:$M$2000))))),"")</f>
        <v/>
      </c>
      <c r="Z387" s="26">
        <f>IFERROR(TEXTJOIN(CHAR(10),TRUE,UNIQUE(FILTER(소재DB_RAW!$N$3:$N$2000&amp;") "&amp;소재DB_RAW!$O$3:$O$2000,(소재DB_RAW!$G$3:$G$2000=$D387)*ISNUMBER(SEARCH("안감",소재DB_RAW!$M$3:$M$2000))))),"")</f>
        <v/>
      </c>
      <c r="AA387" s="27" t="n">
        <v>3700</v>
      </c>
      <c r="AB387" s="27" t="n">
        <v>40700000</v>
      </c>
      <c r="AC387" s="27" t="n">
        <v>203500000</v>
      </c>
      <c r="AD387" s="20" t="inlineStr">
        <is>
          <t>1월4주</t>
        </is>
      </c>
      <c r="AE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F387" s="19">
        <f>IF($K387="","",IF(OR(LEFT($AE387,2)="작지",LEFT($AE387,4)="소재입고"),IF(LEFT($G387,1)="S","★ 납기위험(S코드)","◆ 지연주의"),IF($AE387="정상","✓ 정상","? 확인필요")))</f>
        <v/>
      </c>
      <c r="AG387" s="21" t="n"/>
      <c r="AH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21" t="inlineStr">
        <is>
          <t>X</t>
        </is>
      </c>
      <c r="R388" s="21" t="inlineStr">
        <is>
          <t>X</t>
        </is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>
        <f>IFERROR(TEXTJOIN(" / ",TRUE,UNIQUE(FILTER(소재DB_RAW!$K$3:$K$2000,소재DB_RAW!$G$3:$G$2000=$D388))),"")</f>
        <v/>
      </c>
      <c r="W388" s="20" t="inlineStr">
        <is>
          <t>중국</t>
        </is>
      </c>
      <c r="X388" s="20">
        <f>IFERROR(TEXTJOIN(" / ",TRUE,UNIQUE(FILTER(소재DB_RAW!$N$3:$N$2000,소재DB_RAW!$G$3:$G$2000=$D388))),"")</f>
        <v/>
      </c>
      <c r="Y388" s="26">
        <f>IFERROR(TEXTJOIN(CHAR(10),TRUE,UNIQUE(FILTER(소재DB_RAW!$N$3:$N$2000&amp;") "&amp;소재DB_RAW!$O$3:$O$2000,(소재DB_RAW!$G$3:$G$2000=$D388)*ISNUMBER(SEARCH("겉감",소재DB_RAW!$M$3:$M$2000))))),"")</f>
        <v/>
      </c>
      <c r="Z388" s="26">
        <f>IFERROR(TEXTJOIN(CHAR(10),TRUE,UNIQUE(FILTER(소재DB_RAW!$N$3:$N$2000&amp;") "&amp;소재DB_RAW!$O$3:$O$2000,(소재DB_RAW!$G$3:$G$2000=$D388)*ISNUMBER(SEARCH("안감",소재DB_RAW!$M$3:$M$2000))))),"")</f>
        <v/>
      </c>
      <c r="AA388" s="27" t="n">
        <v>4300</v>
      </c>
      <c r="AB388" s="27" t="n">
        <v>122369400</v>
      </c>
      <c r="AC388" s="27" t="n">
        <v>550400000</v>
      </c>
      <c r="AD388" s="20" t="inlineStr">
        <is>
          <t>1월4주</t>
        </is>
      </c>
      <c r="AE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F388" s="19">
        <f>IF($K388="","",IF(OR(LEFT($AE388,2)="작지",LEFT($AE388,4)="소재입고"),IF(LEFT($G388,1)="S","★ 납기위험(S코드)","◆ 지연주의"),IF($AE388="정상","✓ 정상","? 확인필요")))</f>
        <v/>
      </c>
      <c r="AG388" s="21" t="n"/>
      <c r="AH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21" t="inlineStr">
        <is>
          <t>X</t>
        </is>
      </c>
      <c r="R389" s="21" t="inlineStr">
        <is>
          <t>X</t>
        </is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>
        <f>IFERROR(TEXTJOIN(" / ",TRUE,UNIQUE(FILTER(소재DB_RAW!$K$3:$K$2000,소재DB_RAW!$G$3:$G$2000=$D389))),"")</f>
        <v/>
      </c>
      <c r="W389" s="20" t="inlineStr">
        <is>
          <t>중국</t>
        </is>
      </c>
      <c r="X389" s="20">
        <f>IFERROR(TEXTJOIN(" / ",TRUE,UNIQUE(FILTER(소재DB_RAW!$N$3:$N$2000,소재DB_RAW!$G$3:$G$2000=$D389))),"")</f>
        <v/>
      </c>
      <c r="Y389" s="26">
        <f>IFERROR(TEXTJOIN(CHAR(10),TRUE,UNIQUE(FILTER(소재DB_RAW!$N$3:$N$2000&amp;") "&amp;소재DB_RAW!$O$3:$O$2000,(소재DB_RAW!$G$3:$G$2000=$D389)*ISNUMBER(SEARCH("겉감",소재DB_RAW!$M$3:$M$2000))))),"")</f>
        <v/>
      </c>
      <c r="Z389" s="26">
        <f>IFERROR(TEXTJOIN(CHAR(10),TRUE,UNIQUE(FILTER(소재DB_RAW!$N$3:$N$2000&amp;") "&amp;소재DB_RAW!$O$3:$O$2000,(소재DB_RAW!$G$3:$G$2000=$D389)*ISNUMBER(SEARCH("안감",소재DB_RAW!$M$3:$M$2000))))),"")</f>
        <v/>
      </c>
      <c r="AA389" s="27" t="n">
        <v>4100</v>
      </c>
      <c r="AB389" s="27" t="n">
        <v>150884100</v>
      </c>
      <c r="AC389" s="27" t="n">
        <v>688800000</v>
      </c>
      <c r="AD389" s="20" t="inlineStr">
        <is>
          <t>1월4주</t>
        </is>
      </c>
      <c r="AE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F389" s="19">
        <f>IF($K389="","",IF(OR(LEFT($AE389,2)="작지",LEFT($AE389,4)="소재입고"),IF(LEFT($G389,1)="S","★ 납기위험(S코드)","◆ 지연주의"),IF($AE389="정상","✓ 정상","? 확인필요")))</f>
        <v/>
      </c>
      <c r="AG389" s="21" t="n"/>
      <c r="AH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21" t="inlineStr">
        <is>
          <t>X</t>
        </is>
      </c>
      <c r="R390" s="21" t="inlineStr">
        <is>
          <t>X</t>
        </is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>
        <f>IFERROR(TEXTJOIN(" / ",TRUE,UNIQUE(FILTER(소재DB_RAW!$K$3:$K$2000,소재DB_RAW!$G$3:$G$2000=$D390))),"")</f>
        <v/>
      </c>
      <c r="W390" s="20" t="inlineStr">
        <is>
          <t>중국</t>
        </is>
      </c>
      <c r="X390" s="20">
        <f>IFERROR(TEXTJOIN(" / ",TRUE,UNIQUE(FILTER(소재DB_RAW!$N$3:$N$2000,소재DB_RAW!$G$3:$G$2000=$D390))),"")</f>
        <v/>
      </c>
      <c r="Y390" s="26">
        <f>IFERROR(TEXTJOIN(CHAR(10),TRUE,UNIQUE(FILTER(소재DB_RAW!$N$3:$N$2000&amp;") "&amp;소재DB_RAW!$O$3:$O$2000,(소재DB_RAW!$G$3:$G$2000=$D390)*ISNUMBER(SEARCH("겉감",소재DB_RAW!$M$3:$M$2000))))),"")</f>
        <v/>
      </c>
      <c r="Z390" s="26">
        <f>IFERROR(TEXTJOIN(CHAR(10),TRUE,UNIQUE(FILTER(소재DB_RAW!$N$3:$N$2000&amp;") "&amp;소재DB_RAW!$O$3:$O$2000,(소재DB_RAW!$G$3:$G$2000=$D390)*ISNUMBER(SEARCH("안감",소재DB_RAW!$M$3:$M$2000))))),"")</f>
        <v/>
      </c>
      <c r="AA390" s="27" t="n">
        <v>1600</v>
      </c>
      <c r="AB390" s="27" t="n">
        <v>72000000</v>
      </c>
      <c r="AC390" s="27" t="n">
        <v>316800000</v>
      </c>
      <c r="AD390" s="20" t="inlineStr">
        <is>
          <t>1월4주</t>
        </is>
      </c>
      <c r="AE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F390" s="19">
        <f>IF($K390="","",IF(OR(LEFT($AE390,2)="작지",LEFT($AE390,4)="소재입고"),IF(LEFT($G390,1)="S","★ 납기위험(S코드)","◆ 지연주의"),IF($AE390="정상","✓ 정상","? 확인필요")))</f>
        <v/>
      </c>
      <c r="AG390" s="21" t="n"/>
      <c r="AH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21" t="inlineStr">
        <is>
          <t>X</t>
        </is>
      </c>
      <c r="R391" s="21" t="inlineStr">
        <is>
          <t>X</t>
        </is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>
        <f>IFERROR(TEXTJOIN(" / ",TRUE,UNIQUE(FILTER(소재DB_RAW!$K$3:$K$2000,소재DB_RAW!$G$3:$G$2000=$D391))),"")</f>
        <v/>
      </c>
      <c r="W391" s="20" t="inlineStr">
        <is>
          <t>중국</t>
        </is>
      </c>
      <c r="X391" s="20">
        <f>IFERROR(TEXTJOIN(" / ",TRUE,UNIQUE(FILTER(소재DB_RAW!$N$3:$N$2000,소재DB_RAW!$G$3:$G$2000=$D391))),"")</f>
        <v/>
      </c>
      <c r="Y391" s="26">
        <f>IFERROR(TEXTJOIN(CHAR(10),TRUE,UNIQUE(FILTER(소재DB_RAW!$N$3:$N$2000&amp;") "&amp;소재DB_RAW!$O$3:$O$2000,(소재DB_RAW!$G$3:$G$2000=$D391)*ISNUMBER(SEARCH("겉감",소재DB_RAW!$M$3:$M$2000))))),"")</f>
        <v/>
      </c>
      <c r="Z391" s="26">
        <f>IFERROR(TEXTJOIN(CHAR(10),TRUE,UNIQUE(FILTER(소재DB_RAW!$N$3:$N$2000&amp;") "&amp;소재DB_RAW!$O$3:$O$2000,(소재DB_RAW!$G$3:$G$2000=$D391)*ISNUMBER(SEARCH("안감",소재DB_RAW!$M$3:$M$2000))))),"")</f>
        <v/>
      </c>
      <c r="AA391" s="27" t="n">
        <v>1000</v>
      </c>
      <c r="AB391" s="27" t="n">
        <v>52738000</v>
      </c>
      <c r="AC391" s="27" t="n">
        <v>220000000</v>
      </c>
      <c r="AD391" s="20" t="inlineStr">
        <is>
          <t>1월4주</t>
        </is>
      </c>
      <c r="AE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F391" s="19">
        <f>IF($K391="","",IF(OR(LEFT($AE391,2)="작지",LEFT($AE391,4)="소재입고"),IF(LEFT($G391,1)="S","★ 납기위험(S코드)","◆ 지연주의"),IF($AE391="정상","✓ 정상","? 확인필요")))</f>
        <v/>
      </c>
      <c r="AG391" s="21" t="n"/>
      <c r="AH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21" t="inlineStr">
        <is>
          <t>X</t>
        </is>
      </c>
      <c r="R392" s="21" t="inlineStr">
        <is>
          <t>X</t>
        </is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>
        <f>IFERROR(TEXTJOIN(" / ",TRUE,UNIQUE(FILTER(소재DB_RAW!$K$3:$K$2000,소재DB_RAW!$G$3:$G$2000=$D392))),"")</f>
        <v/>
      </c>
      <c r="W392" s="20" t="inlineStr">
        <is>
          <t>중국</t>
        </is>
      </c>
      <c r="X392" s="20">
        <f>IFERROR(TEXTJOIN(" / ",TRUE,UNIQUE(FILTER(소재DB_RAW!$N$3:$N$2000,소재DB_RAW!$G$3:$G$2000=$D392))),"")</f>
        <v/>
      </c>
      <c r="Y392" s="26">
        <f>IFERROR(TEXTJOIN(CHAR(10),TRUE,UNIQUE(FILTER(소재DB_RAW!$N$3:$N$2000&amp;") "&amp;소재DB_RAW!$O$3:$O$2000,(소재DB_RAW!$G$3:$G$2000=$D392)*ISNUMBER(SEARCH("겉감",소재DB_RAW!$M$3:$M$2000))))),"")</f>
        <v/>
      </c>
      <c r="Z392" s="26">
        <f>IFERROR(TEXTJOIN(CHAR(10),TRUE,UNIQUE(FILTER(소재DB_RAW!$N$3:$N$2000&amp;") "&amp;소재DB_RAW!$O$3:$O$2000,(소재DB_RAW!$G$3:$G$2000=$D392)*ISNUMBER(SEARCH("안감",소재DB_RAW!$M$3:$M$2000))))),"")</f>
        <v/>
      </c>
      <c r="AA392" s="27" t="n">
        <v>1000</v>
      </c>
      <c r="AB392" s="27" t="n">
        <v>71579000</v>
      </c>
      <c r="AC392" s="27" t="n">
        <v>350000000</v>
      </c>
      <c r="AD392" s="20" t="inlineStr">
        <is>
          <t>1월4주</t>
        </is>
      </c>
      <c r="AE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F392" s="19">
        <f>IF($K392="","",IF(OR(LEFT($AE392,2)="작지",LEFT($AE392,4)="소재입고"),IF(LEFT($G392,1)="S","★ 납기위험(S코드)","◆ 지연주의"),IF($AE392="정상","✓ 정상","? 확인필요")))</f>
        <v/>
      </c>
      <c r="AG392" s="21" t="n"/>
      <c r="AH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21" t="inlineStr">
        <is>
          <t>X</t>
        </is>
      </c>
      <c r="R393" s="21" t="inlineStr">
        <is>
          <t>X</t>
        </is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>
        <f>IFERROR(TEXTJOIN(" / ",TRUE,UNIQUE(FILTER(소재DB_RAW!$K$3:$K$2000,소재DB_RAW!$G$3:$G$2000=$D393))),"")</f>
        <v/>
      </c>
      <c r="W393" s="20" t="inlineStr">
        <is>
          <t>중국</t>
        </is>
      </c>
      <c r="X393" s="20">
        <f>IFERROR(TEXTJOIN(" / ",TRUE,UNIQUE(FILTER(소재DB_RAW!$N$3:$N$2000,소재DB_RAW!$G$3:$G$2000=$D393))),"")</f>
        <v/>
      </c>
      <c r="Y393" s="26">
        <f>IFERROR(TEXTJOIN(CHAR(10),TRUE,UNIQUE(FILTER(소재DB_RAW!$N$3:$N$2000&amp;") "&amp;소재DB_RAW!$O$3:$O$2000,(소재DB_RAW!$G$3:$G$2000=$D393)*ISNUMBER(SEARCH("겉감",소재DB_RAW!$M$3:$M$2000))))),"")</f>
        <v/>
      </c>
      <c r="Z393" s="26">
        <f>IFERROR(TEXTJOIN(CHAR(10),TRUE,UNIQUE(FILTER(소재DB_RAW!$N$3:$N$2000&amp;") "&amp;소재DB_RAW!$O$3:$O$2000,(소재DB_RAW!$G$3:$G$2000=$D393)*ISNUMBER(SEARCH("안감",소재DB_RAW!$M$3:$M$2000))))),"")</f>
        <v/>
      </c>
      <c r="AA393" s="27" t="n">
        <v>2500</v>
      </c>
      <c r="AB393" s="27" t="n">
        <v>57500000</v>
      </c>
      <c r="AC393" s="27" t="n">
        <v>270000000</v>
      </c>
      <c r="AD393" s="20" t="n"/>
      <c r="AE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F393" s="19">
        <f>IF($K393="","",IF(OR(LEFT($AE393,2)="작지",LEFT($AE393,4)="소재입고"),IF(LEFT($G393,1)="S","★ 납기위험(S코드)","◆ 지연주의"),IF($AE393="정상","✓ 정상","? 확인필요")))</f>
        <v/>
      </c>
      <c r="AG393" s="21" t="n"/>
      <c r="AH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21" t="inlineStr">
        <is>
          <t>X</t>
        </is>
      </c>
      <c r="R394" s="21" t="n"/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>
        <f>IFERROR(TEXTJOIN(" / ",TRUE,UNIQUE(FILTER(소재DB_RAW!$K$3:$K$2000,소재DB_RAW!$G$3:$G$2000=$D394))),"")</f>
        <v/>
      </c>
      <c r="W394" s="20" t="inlineStr">
        <is>
          <t>베트남</t>
        </is>
      </c>
      <c r="X394" s="20">
        <f>IFERROR(TEXTJOIN(" / ",TRUE,UNIQUE(FILTER(소재DB_RAW!$N$3:$N$2000,소재DB_RAW!$G$3:$G$2000=$D394))),"")</f>
        <v/>
      </c>
      <c r="Y394" s="26">
        <f>IFERROR(TEXTJOIN(CHAR(10),TRUE,UNIQUE(FILTER(소재DB_RAW!$N$3:$N$2000&amp;") "&amp;소재DB_RAW!$O$3:$O$2000,(소재DB_RAW!$G$3:$G$2000=$D394)*ISNUMBER(SEARCH("겉감",소재DB_RAW!$M$3:$M$2000))))),"")</f>
        <v/>
      </c>
      <c r="Z394" s="26">
        <f>IFERROR(TEXTJOIN(CHAR(10),TRUE,UNIQUE(FILTER(소재DB_RAW!$N$3:$N$2000&amp;") "&amp;소재DB_RAW!$O$3:$O$2000,(소재DB_RAW!$G$3:$G$2000=$D394)*ISNUMBER(SEARCH("안감",소재DB_RAW!$M$3:$M$2000))))),"")</f>
        <v/>
      </c>
      <c r="AA394" s="27" t="n">
        <v>2000</v>
      </c>
      <c r="AB394" s="27" t="n">
        <v>46000000</v>
      </c>
      <c r="AC394" s="27" t="n">
        <v>216000000</v>
      </c>
      <c r="AD394" s="20" t="n"/>
      <c r="AE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F394" s="19">
        <f>IF($K394="","",IF(OR(LEFT($AE394,2)="작지",LEFT($AE394,4)="소재입고"),IF(LEFT($G394,1)="S","★ 납기위험(S코드)","◆ 지연주의"),IF($AE394="정상","✓ 정상","? 확인필요")))</f>
        <v/>
      </c>
      <c r="AG394" s="21" t="n"/>
      <c r="AH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21" t="inlineStr">
        <is>
          <t>X</t>
        </is>
      </c>
      <c r="R395" s="21" t="inlineStr">
        <is>
          <t>X</t>
        </is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>
        <f>IFERROR(TEXTJOIN(" / ",TRUE,UNIQUE(FILTER(소재DB_RAW!$K$3:$K$2000,소재DB_RAW!$G$3:$G$2000=$D395))),"")</f>
        <v/>
      </c>
      <c r="W395" s="20" t="inlineStr">
        <is>
          <t>베트남</t>
        </is>
      </c>
      <c r="X395" s="20">
        <f>IFERROR(TEXTJOIN(" / ",TRUE,UNIQUE(FILTER(소재DB_RAW!$N$3:$N$2000,소재DB_RAW!$G$3:$G$2000=$D395))),"")</f>
        <v/>
      </c>
      <c r="Y395" s="26">
        <f>IFERROR(TEXTJOIN(CHAR(10),TRUE,UNIQUE(FILTER(소재DB_RAW!$N$3:$N$2000&amp;") "&amp;소재DB_RAW!$O$3:$O$2000,(소재DB_RAW!$G$3:$G$2000=$D395)*ISNUMBER(SEARCH("겉감",소재DB_RAW!$M$3:$M$2000))))),"")</f>
        <v/>
      </c>
      <c r="Z395" s="26">
        <f>IFERROR(TEXTJOIN(CHAR(10),TRUE,UNIQUE(FILTER(소재DB_RAW!$N$3:$N$2000&amp;") "&amp;소재DB_RAW!$O$3:$O$2000,(소재DB_RAW!$G$3:$G$2000=$D395)*ISNUMBER(SEARCH("안감",소재DB_RAW!$M$3:$M$2000))))),"")</f>
        <v/>
      </c>
      <c r="AA395" s="27" t="n">
        <v>5500</v>
      </c>
      <c r="AB395" s="27" t="n">
        <v>51066500</v>
      </c>
      <c r="AC395" s="27" t="n">
        <v>302500000</v>
      </c>
      <c r="AD395" s="20" t="n"/>
      <c r="AE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F395" s="19">
        <f>IF($K395="","",IF(OR(LEFT($AE395,2)="작지",LEFT($AE395,4)="소재입고"),IF(LEFT($G395,1)="S","★ 납기위험(S코드)","◆ 지연주의"),IF($AE395="정상","✓ 정상","? 확인필요")))</f>
        <v/>
      </c>
      <c r="AG395" s="21" t="n"/>
      <c r="AH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21" t="inlineStr">
        <is>
          <t>X</t>
        </is>
      </c>
      <c r="R396" s="21" t="n"/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>
        <f>IFERROR(TEXTJOIN(" / ",TRUE,UNIQUE(FILTER(소재DB_RAW!$K$3:$K$2000,소재DB_RAW!$G$3:$G$2000=$D396))),"")</f>
        <v/>
      </c>
      <c r="W396" s="20" t="inlineStr">
        <is>
          <t>베트남</t>
        </is>
      </c>
      <c r="X396" s="20">
        <f>IFERROR(TEXTJOIN(" / ",TRUE,UNIQUE(FILTER(소재DB_RAW!$N$3:$N$2000,소재DB_RAW!$G$3:$G$2000=$D396))),"")</f>
        <v/>
      </c>
      <c r="Y396" s="26">
        <f>IFERROR(TEXTJOIN(CHAR(10),TRUE,UNIQUE(FILTER(소재DB_RAW!$N$3:$N$2000&amp;") "&amp;소재DB_RAW!$O$3:$O$2000,(소재DB_RAW!$G$3:$G$2000=$D396)*ISNUMBER(SEARCH("겉감",소재DB_RAW!$M$3:$M$2000))))),"")</f>
        <v/>
      </c>
      <c r="Z396" s="26">
        <f>IFERROR(TEXTJOIN(CHAR(10),TRUE,UNIQUE(FILTER(소재DB_RAW!$N$3:$N$2000&amp;") "&amp;소재DB_RAW!$O$3:$O$2000,(소재DB_RAW!$G$3:$G$2000=$D396)*ISNUMBER(SEARCH("안감",소재DB_RAW!$M$3:$M$2000))))),"")</f>
        <v/>
      </c>
      <c r="AA396" s="27" t="n">
        <v>5100</v>
      </c>
      <c r="AB396" s="27" t="n">
        <v>56747700</v>
      </c>
      <c r="AC396" s="27" t="n">
        <v>280500000</v>
      </c>
      <c r="AD396" s="20" t="n"/>
      <c r="AE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F396" s="19">
        <f>IF($K396="","",IF(OR(LEFT($AE396,2)="작지",LEFT($AE396,4)="소재입고"),IF(LEFT($G396,1)="S","★ 납기위험(S코드)","◆ 지연주의"),IF($AE396="정상","✓ 정상","? 확인필요")))</f>
        <v/>
      </c>
      <c r="AG396" s="21" t="n"/>
      <c r="AH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21" t="inlineStr">
        <is>
          <t>X</t>
        </is>
      </c>
      <c r="R397" s="21" t="n"/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>
        <f>IFERROR(TEXTJOIN(" / ",TRUE,UNIQUE(FILTER(소재DB_RAW!$K$3:$K$2000,소재DB_RAW!$G$3:$G$2000=$D397))),"")</f>
        <v/>
      </c>
      <c r="W397" s="20" t="inlineStr"/>
      <c r="X397" s="20">
        <f>IFERROR(TEXTJOIN(" / ",TRUE,UNIQUE(FILTER(소재DB_RAW!$N$3:$N$2000,소재DB_RAW!$G$3:$G$2000=$D397))),"")</f>
        <v/>
      </c>
      <c r="Y397" s="26">
        <f>IFERROR(TEXTJOIN(CHAR(10),TRUE,UNIQUE(FILTER(소재DB_RAW!$N$3:$N$2000&amp;") "&amp;소재DB_RAW!$O$3:$O$2000,(소재DB_RAW!$G$3:$G$2000=$D397)*ISNUMBER(SEARCH("겉감",소재DB_RAW!$M$3:$M$2000))))),"")</f>
        <v/>
      </c>
      <c r="Z397" s="26">
        <f>IFERROR(TEXTJOIN(CHAR(10),TRUE,UNIQUE(FILTER(소재DB_RAW!$N$3:$N$2000&amp;") "&amp;소재DB_RAW!$O$3:$O$2000,(소재DB_RAW!$G$3:$G$2000=$D397)*ISNUMBER(SEARCH("안감",소재DB_RAW!$M$3:$M$2000))))),"")</f>
        <v/>
      </c>
      <c r="AA397" s="27" t="n">
        <v>2000</v>
      </c>
      <c r="AB397" s="27" t="n">
        <v>13000000</v>
      </c>
      <c r="AC397" s="27" t="n">
        <v>70000000</v>
      </c>
      <c r="AD397" s="20" t="n"/>
      <c r="AE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F397" s="19">
        <f>IF($K397="","",IF(OR(LEFT($AE397,2)="작지",LEFT($AE397,4)="소재입고"),IF(LEFT($G397,1)="S","★ 납기위험(S코드)","◆ 지연주의"),IF($AE397="정상","✓ 정상","? 확인필요")))</f>
        <v/>
      </c>
      <c r="AG397" s="21" t="n"/>
      <c r="AH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21" t="inlineStr">
        <is>
          <t>X</t>
        </is>
      </c>
      <c r="R398" s="21" t="n"/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>
        <f>IFERROR(TEXTJOIN(" / ",TRUE,UNIQUE(FILTER(소재DB_RAW!$K$3:$K$2000,소재DB_RAW!$G$3:$G$2000=$D398))),"")</f>
        <v/>
      </c>
      <c r="W398" s="20" t="inlineStr"/>
      <c r="X398" s="20">
        <f>IFERROR(TEXTJOIN(" / ",TRUE,UNIQUE(FILTER(소재DB_RAW!$N$3:$N$2000,소재DB_RAW!$G$3:$G$2000=$D398))),"")</f>
        <v/>
      </c>
      <c r="Y398" s="26">
        <f>IFERROR(TEXTJOIN(CHAR(10),TRUE,UNIQUE(FILTER(소재DB_RAW!$N$3:$N$2000&amp;") "&amp;소재DB_RAW!$O$3:$O$2000,(소재DB_RAW!$G$3:$G$2000=$D398)*ISNUMBER(SEARCH("겉감",소재DB_RAW!$M$3:$M$2000))))),"")</f>
        <v/>
      </c>
      <c r="Z398" s="26">
        <f>IFERROR(TEXTJOIN(CHAR(10),TRUE,UNIQUE(FILTER(소재DB_RAW!$N$3:$N$2000&amp;") "&amp;소재DB_RAW!$O$3:$O$2000,(소재DB_RAW!$G$3:$G$2000=$D398)*ISNUMBER(SEARCH("안감",소재DB_RAW!$M$3:$M$2000))))),"")</f>
        <v/>
      </c>
      <c r="AA398" s="27" t="n">
        <v>3500</v>
      </c>
      <c r="AB398" s="27" t="n">
        <v>57974000</v>
      </c>
      <c r="AC398" s="27" t="n">
        <v>273000000</v>
      </c>
      <c r="AD398" s="20" t="n"/>
      <c r="AE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F398" s="19">
        <f>IF($K398="","",IF(OR(LEFT($AE398,2)="작지",LEFT($AE398,4)="소재입고"),IF(LEFT($G398,1)="S","★ 납기위험(S코드)","◆ 지연주의"),IF($AE398="정상","✓ 정상","? 확인필요")))</f>
        <v/>
      </c>
      <c r="AG398" s="21" t="n"/>
      <c r="AH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21" t="inlineStr">
        <is>
          <t>X</t>
        </is>
      </c>
      <c r="R399" s="21" t="n"/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>
        <f>IFERROR(TEXTJOIN(" / ",TRUE,UNIQUE(FILTER(소재DB_RAW!$K$3:$K$2000,소재DB_RAW!$G$3:$G$2000=$D399))),"")</f>
        <v/>
      </c>
      <c r="W399" s="20" t="inlineStr"/>
      <c r="X399" s="20">
        <f>IFERROR(TEXTJOIN(" / ",TRUE,UNIQUE(FILTER(소재DB_RAW!$N$3:$N$2000,소재DB_RAW!$G$3:$G$2000=$D399))),"")</f>
        <v/>
      </c>
      <c r="Y399" s="26">
        <f>IFERROR(TEXTJOIN(CHAR(10),TRUE,UNIQUE(FILTER(소재DB_RAW!$N$3:$N$2000&amp;") "&amp;소재DB_RAW!$O$3:$O$2000,(소재DB_RAW!$G$3:$G$2000=$D399)*ISNUMBER(SEARCH("겉감",소재DB_RAW!$M$3:$M$2000))))),"")</f>
        <v/>
      </c>
      <c r="Z399" s="26">
        <f>IFERROR(TEXTJOIN(CHAR(10),TRUE,UNIQUE(FILTER(소재DB_RAW!$N$3:$N$2000&amp;") "&amp;소재DB_RAW!$O$3:$O$2000,(소재DB_RAW!$G$3:$G$2000=$D399)*ISNUMBER(SEARCH("안감",소재DB_RAW!$M$3:$M$2000))))),"")</f>
        <v/>
      </c>
      <c r="AA399" s="27" t="n">
        <v>2000</v>
      </c>
      <c r="AB399" s="27" t="n">
        <v>24000000</v>
      </c>
      <c r="AC399" s="27" t="n">
        <v>110000000</v>
      </c>
      <c r="AD399" s="20" t="n"/>
      <c r="AE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F399" s="19">
        <f>IF($K399="","",IF(OR(LEFT($AE399,2)="작지",LEFT($AE399,4)="소재입고"),IF(LEFT($G399,1)="S","★ 납기위험(S코드)","◆ 지연주의"),IF($AE399="정상","✓ 정상","? 확인필요")))</f>
        <v/>
      </c>
      <c r="AG399" s="21" t="n"/>
      <c r="AH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21" t="inlineStr">
        <is>
          <t>X</t>
        </is>
      </c>
      <c r="R400" s="21" t="n"/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>
        <f>IFERROR(TEXTJOIN(" / ",TRUE,UNIQUE(FILTER(소재DB_RAW!$K$3:$K$2000,소재DB_RAW!$G$3:$G$2000=$D400))),"")</f>
        <v/>
      </c>
      <c r="W400" s="20" t="inlineStr"/>
      <c r="X400" s="20">
        <f>IFERROR(TEXTJOIN(" / ",TRUE,UNIQUE(FILTER(소재DB_RAW!$N$3:$N$2000,소재DB_RAW!$G$3:$G$2000=$D400))),"")</f>
        <v/>
      </c>
      <c r="Y400" s="26">
        <f>IFERROR(TEXTJOIN(CHAR(10),TRUE,UNIQUE(FILTER(소재DB_RAW!$N$3:$N$2000&amp;") "&amp;소재DB_RAW!$O$3:$O$2000,(소재DB_RAW!$G$3:$G$2000=$D400)*ISNUMBER(SEARCH("겉감",소재DB_RAW!$M$3:$M$2000))))),"")</f>
        <v/>
      </c>
      <c r="Z400" s="26">
        <f>IFERROR(TEXTJOIN(CHAR(10),TRUE,UNIQUE(FILTER(소재DB_RAW!$N$3:$N$2000&amp;") "&amp;소재DB_RAW!$O$3:$O$2000,(소재DB_RAW!$G$3:$G$2000=$D400)*ISNUMBER(SEARCH("안감",소재DB_RAW!$M$3:$M$2000))))),"")</f>
        <v/>
      </c>
      <c r="AA400" s="27" t="n">
        <v>1500</v>
      </c>
      <c r="AB400" s="27" t="n">
        <v>26250000</v>
      </c>
      <c r="AC400" s="27" t="n">
        <v>117000000</v>
      </c>
      <c r="AD400" s="20" t="n"/>
      <c r="AE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F400" s="19">
        <f>IF($K400="","",IF(OR(LEFT($AE400,2)="작지",LEFT($AE400,4)="소재입고"),IF(LEFT($G400,1)="S","★ 납기위험(S코드)","◆ 지연주의"),IF($AE400="정상","✓ 정상","? 확인필요")))</f>
        <v/>
      </c>
      <c r="AG400" s="21" t="n"/>
      <c r="AH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21" t="inlineStr">
        <is>
          <t>X</t>
        </is>
      </c>
      <c r="R401" s="21" t="n"/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>
        <f>IFERROR(TEXTJOIN(" / ",TRUE,UNIQUE(FILTER(소재DB_RAW!$K$3:$K$2000,소재DB_RAW!$G$3:$G$2000=$D401))),"")</f>
        <v/>
      </c>
      <c r="W401" s="20" t="inlineStr"/>
      <c r="X401" s="20">
        <f>IFERROR(TEXTJOIN(" / ",TRUE,UNIQUE(FILTER(소재DB_RAW!$N$3:$N$2000,소재DB_RAW!$G$3:$G$2000=$D401))),"")</f>
        <v/>
      </c>
      <c r="Y401" s="26">
        <f>IFERROR(TEXTJOIN(CHAR(10),TRUE,UNIQUE(FILTER(소재DB_RAW!$N$3:$N$2000&amp;") "&amp;소재DB_RAW!$O$3:$O$2000,(소재DB_RAW!$G$3:$G$2000=$D401)*ISNUMBER(SEARCH("겉감",소재DB_RAW!$M$3:$M$2000))))),"")</f>
        <v/>
      </c>
      <c r="Z401" s="26">
        <f>IFERROR(TEXTJOIN(CHAR(10),TRUE,UNIQUE(FILTER(소재DB_RAW!$N$3:$N$2000&amp;") "&amp;소재DB_RAW!$O$3:$O$2000,(소재DB_RAW!$G$3:$G$2000=$D401)*ISNUMBER(SEARCH("안감",소재DB_RAW!$M$3:$M$2000))))),"")</f>
        <v/>
      </c>
      <c r="AA401" s="27" t="n">
        <v>2000</v>
      </c>
      <c r="AB401" s="27" t="n">
        <v>30000000</v>
      </c>
      <c r="AC401" s="27" t="n">
        <v>120000000</v>
      </c>
      <c r="AD401" s="20" t="n"/>
      <c r="AE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F401" s="19">
        <f>IF($K401="","",IF(OR(LEFT($AE401,2)="작지",LEFT($AE401,4)="소재입고"),IF(LEFT($G401,1)="S","★ 납기위험(S코드)","◆ 지연주의"),IF($AE401="정상","✓ 정상","? 확인필요")))</f>
        <v/>
      </c>
      <c r="AG401" s="21" t="n"/>
      <c r="AH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21" t="inlineStr">
        <is>
          <t>X</t>
        </is>
      </c>
      <c r="R402" s="21" t="n"/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>
        <f>IFERROR(TEXTJOIN(" / ",TRUE,UNIQUE(FILTER(소재DB_RAW!$K$3:$K$2000,소재DB_RAW!$G$3:$G$2000=$D402))),"")</f>
        <v/>
      </c>
      <c r="W402" s="20" t="inlineStr"/>
      <c r="X402" s="20">
        <f>IFERROR(TEXTJOIN(" / ",TRUE,UNIQUE(FILTER(소재DB_RAW!$N$3:$N$2000,소재DB_RAW!$G$3:$G$2000=$D402))),"")</f>
        <v/>
      </c>
      <c r="Y402" s="26">
        <f>IFERROR(TEXTJOIN(CHAR(10),TRUE,UNIQUE(FILTER(소재DB_RAW!$N$3:$N$2000&amp;") "&amp;소재DB_RAW!$O$3:$O$2000,(소재DB_RAW!$G$3:$G$2000=$D402)*ISNUMBER(SEARCH("겉감",소재DB_RAW!$M$3:$M$2000))))),"")</f>
        <v/>
      </c>
      <c r="Z402" s="26">
        <f>IFERROR(TEXTJOIN(CHAR(10),TRUE,UNIQUE(FILTER(소재DB_RAW!$N$3:$N$2000&amp;") "&amp;소재DB_RAW!$O$3:$O$2000,(소재DB_RAW!$G$3:$G$2000=$D402)*ISNUMBER(SEARCH("안감",소재DB_RAW!$M$3:$M$2000))))),"")</f>
        <v/>
      </c>
      <c r="AA402" s="27" t="n">
        <v>3000</v>
      </c>
      <c r="AB402" s="27" t="n">
        <v>31680000</v>
      </c>
      <c r="AC402" s="27" t="n">
        <v>135000000</v>
      </c>
      <c r="AD402" s="20" t="n"/>
      <c r="AE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F402" s="19">
        <f>IF($K402="","",IF(OR(LEFT($AE402,2)="작지",LEFT($AE402,4)="소재입고"),IF(LEFT($G402,1)="S","★ 납기위험(S코드)","◆ 지연주의"),IF($AE402="정상","✓ 정상","? 확인필요")))</f>
        <v/>
      </c>
      <c r="AG402" s="21" t="n"/>
      <c r="AH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21" t="inlineStr">
        <is>
          <t>X</t>
        </is>
      </c>
      <c r="R403" s="21" t="n"/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>
        <f>IFERROR(TEXTJOIN(" / ",TRUE,UNIQUE(FILTER(소재DB_RAW!$K$3:$K$2000,소재DB_RAW!$G$3:$G$2000=$D403))),"")</f>
        <v/>
      </c>
      <c r="W403" s="20" t="inlineStr"/>
      <c r="X403" s="20">
        <f>IFERROR(TEXTJOIN(" / ",TRUE,UNIQUE(FILTER(소재DB_RAW!$N$3:$N$2000,소재DB_RAW!$G$3:$G$2000=$D403))),"")</f>
        <v/>
      </c>
      <c r="Y403" s="26">
        <f>IFERROR(TEXTJOIN(CHAR(10),TRUE,UNIQUE(FILTER(소재DB_RAW!$N$3:$N$2000&amp;") "&amp;소재DB_RAW!$O$3:$O$2000,(소재DB_RAW!$G$3:$G$2000=$D403)*ISNUMBER(SEARCH("겉감",소재DB_RAW!$M$3:$M$2000))))),"")</f>
        <v/>
      </c>
      <c r="Z403" s="26">
        <f>IFERROR(TEXTJOIN(CHAR(10),TRUE,UNIQUE(FILTER(소재DB_RAW!$N$3:$N$2000&amp;") "&amp;소재DB_RAW!$O$3:$O$2000,(소재DB_RAW!$G$3:$G$2000=$D403)*ISNUMBER(SEARCH("안감",소재DB_RAW!$M$3:$M$2000))))),"")</f>
        <v/>
      </c>
      <c r="AA403" s="27" t="n">
        <v>4000</v>
      </c>
      <c r="AB403" s="27" t="n">
        <v>38084000</v>
      </c>
      <c r="AC403" s="27" t="n">
        <v>160000000</v>
      </c>
      <c r="AD403" s="20" t="n"/>
      <c r="AE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F403" s="19">
        <f>IF($K403="","",IF(OR(LEFT($AE403,2)="작지",LEFT($AE403,4)="소재입고"),IF(LEFT($G403,1)="S","★ 납기위험(S코드)","◆ 지연주의"),IF($AE403="정상","✓ 정상","? 확인필요")))</f>
        <v/>
      </c>
      <c r="AG403" s="21" t="n"/>
      <c r="AH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21" t="inlineStr">
        <is>
          <t>X</t>
        </is>
      </c>
      <c r="R404" s="21" t="n"/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>
        <f>IFERROR(TEXTJOIN(" / ",TRUE,UNIQUE(FILTER(소재DB_RAW!$K$3:$K$2000,소재DB_RAW!$G$3:$G$2000=$D404))),"")</f>
        <v/>
      </c>
      <c r="W404" s="20" t="inlineStr"/>
      <c r="X404" s="20">
        <f>IFERROR(TEXTJOIN(" / ",TRUE,UNIQUE(FILTER(소재DB_RAW!$N$3:$N$2000,소재DB_RAW!$G$3:$G$2000=$D404))),"")</f>
        <v/>
      </c>
      <c r="Y404" s="26">
        <f>IFERROR(TEXTJOIN(CHAR(10),TRUE,UNIQUE(FILTER(소재DB_RAW!$N$3:$N$2000&amp;") "&amp;소재DB_RAW!$O$3:$O$2000,(소재DB_RAW!$G$3:$G$2000=$D404)*ISNUMBER(SEARCH("겉감",소재DB_RAW!$M$3:$M$2000))))),"")</f>
        <v/>
      </c>
      <c r="Z404" s="26">
        <f>IFERROR(TEXTJOIN(CHAR(10),TRUE,UNIQUE(FILTER(소재DB_RAW!$N$3:$N$2000&amp;") "&amp;소재DB_RAW!$O$3:$O$2000,(소재DB_RAW!$G$3:$G$2000=$D404)*ISNUMBER(SEARCH("안감",소재DB_RAW!$M$3:$M$2000))))),"")</f>
        <v/>
      </c>
      <c r="AA404" s="27" t="n">
        <v>2000</v>
      </c>
      <c r="AB404" s="27" t="n">
        <v>22000000</v>
      </c>
      <c r="AC404" s="27" t="n">
        <v>110000000</v>
      </c>
      <c r="AD404" s="20" t="n"/>
      <c r="AE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F404" s="19">
        <f>IF($K404="","",IF(OR(LEFT($AE404,2)="작지",LEFT($AE404,4)="소재입고"),IF(LEFT($G404,1)="S","★ 납기위험(S코드)","◆ 지연주의"),IF($AE404="정상","✓ 정상","? 확인필요")))</f>
        <v/>
      </c>
      <c r="AG404" s="21" t="n"/>
      <c r="AH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21" t="inlineStr">
        <is>
          <t>X</t>
        </is>
      </c>
      <c r="R405" s="21" t="n"/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>
        <f>IFERROR(TEXTJOIN(" / ",TRUE,UNIQUE(FILTER(소재DB_RAW!$K$3:$K$2000,소재DB_RAW!$G$3:$G$2000=$D405))),"")</f>
        <v/>
      </c>
      <c r="W405" s="20" t="inlineStr"/>
      <c r="X405" s="20">
        <f>IFERROR(TEXTJOIN(" / ",TRUE,UNIQUE(FILTER(소재DB_RAW!$N$3:$N$2000,소재DB_RAW!$G$3:$G$2000=$D405))),"")</f>
        <v/>
      </c>
      <c r="Y405" s="26">
        <f>IFERROR(TEXTJOIN(CHAR(10),TRUE,UNIQUE(FILTER(소재DB_RAW!$N$3:$N$2000&amp;") "&amp;소재DB_RAW!$O$3:$O$2000,(소재DB_RAW!$G$3:$G$2000=$D405)*ISNUMBER(SEARCH("겉감",소재DB_RAW!$M$3:$M$2000))))),"")</f>
        <v/>
      </c>
      <c r="Z405" s="26">
        <f>IFERROR(TEXTJOIN(CHAR(10),TRUE,UNIQUE(FILTER(소재DB_RAW!$N$3:$N$2000&amp;") "&amp;소재DB_RAW!$O$3:$O$2000,(소재DB_RAW!$G$3:$G$2000=$D405)*ISNUMBER(SEARCH("안감",소재DB_RAW!$M$3:$M$2000))))),"")</f>
        <v/>
      </c>
      <c r="AA405" s="27" t="n">
        <v>3000</v>
      </c>
      <c r="AB405" s="27" t="n">
        <v>51000000</v>
      </c>
      <c r="AC405" s="27" t="n">
        <v>234000000</v>
      </c>
      <c r="AD405" s="20" t="n"/>
      <c r="AE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F405" s="19">
        <f>IF($K405="","",IF(OR(LEFT($AE405,2)="작지",LEFT($AE405,4)="소재입고"),IF(LEFT($G405,1)="S","★ 납기위험(S코드)","◆ 지연주의"),IF($AE405="정상","✓ 정상","? 확인필요")))</f>
        <v/>
      </c>
      <c r="AG405" s="21" t="n"/>
      <c r="AH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21" t="inlineStr">
        <is>
          <t>X</t>
        </is>
      </c>
      <c r="R406" s="21" t="n"/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>
        <f>IFERROR(TEXTJOIN(" / ",TRUE,UNIQUE(FILTER(소재DB_RAW!$K$3:$K$2000,소재DB_RAW!$G$3:$G$2000=$D406))),"")</f>
        <v/>
      </c>
      <c r="W406" s="20" t="inlineStr"/>
      <c r="X406" s="20">
        <f>IFERROR(TEXTJOIN(" / ",TRUE,UNIQUE(FILTER(소재DB_RAW!$N$3:$N$2000,소재DB_RAW!$G$3:$G$2000=$D406))),"")</f>
        <v/>
      </c>
      <c r="Y406" s="26">
        <f>IFERROR(TEXTJOIN(CHAR(10),TRUE,UNIQUE(FILTER(소재DB_RAW!$N$3:$N$2000&amp;") "&amp;소재DB_RAW!$O$3:$O$2000,(소재DB_RAW!$G$3:$G$2000=$D406)*ISNUMBER(SEARCH("겉감",소재DB_RAW!$M$3:$M$2000))))),"")</f>
        <v/>
      </c>
      <c r="Z406" s="26">
        <f>IFERROR(TEXTJOIN(CHAR(10),TRUE,UNIQUE(FILTER(소재DB_RAW!$N$3:$N$2000&amp;") "&amp;소재DB_RAW!$O$3:$O$2000,(소재DB_RAW!$G$3:$G$2000=$D406)*ISNUMBER(SEARCH("안감",소재DB_RAW!$M$3:$M$2000))))),"")</f>
        <v/>
      </c>
      <c r="AA406" s="27" t="n">
        <v>4000</v>
      </c>
      <c r="AB406" s="27" t="n">
        <v>44908000</v>
      </c>
      <c r="AC406" s="27" t="n">
        <v>220000000</v>
      </c>
      <c r="AD406" s="20" t="n"/>
      <c r="AE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F406" s="19">
        <f>IF($K406="","",IF(OR(LEFT($AE406,2)="작지",LEFT($AE406,4)="소재입고"),IF(LEFT($G406,1)="S","★ 납기위험(S코드)","◆ 지연주의"),IF($AE406="정상","✓ 정상","? 확인필요")))</f>
        <v/>
      </c>
      <c r="AG406" s="21" t="n"/>
      <c r="AH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21" t="inlineStr">
        <is>
          <t>X</t>
        </is>
      </c>
      <c r="R407" s="21" t="inlineStr">
        <is>
          <t>X</t>
        </is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>
        <f>IFERROR(TEXTJOIN(" / ",TRUE,UNIQUE(FILTER(소재DB_RAW!$K$3:$K$2000,소재DB_RAW!$G$3:$G$2000=$D407))),"")</f>
        <v/>
      </c>
      <c r="W407" s="20" t="inlineStr">
        <is>
          <t>한국</t>
        </is>
      </c>
      <c r="X407" s="20">
        <f>IFERROR(TEXTJOIN(" / ",TRUE,UNIQUE(FILTER(소재DB_RAW!$N$3:$N$2000,소재DB_RAW!$G$3:$G$2000=$D407))),"")</f>
        <v/>
      </c>
      <c r="Y407" s="26">
        <f>IFERROR(TEXTJOIN(CHAR(10),TRUE,UNIQUE(FILTER(소재DB_RAW!$N$3:$N$2000&amp;") "&amp;소재DB_RAW!$O$3:$O$2000,(소재DB_RAW!$G$3:$G$2000=$D407)*ISNUMBER(SEARCH("겉감",소재DB_RAW!$M$3:$M$2000))))),"")</f>
        <v/>
      </c>
      <c r="Z407" s="26">
        <f>IFERROR(TEXTJOIN(CHAR(10),TRUE,UNIQUE(FILTER(소재DB_RAW!$N$3:$N$2000&amp;") "&amp;소재DB_RAW!$O$3:$O$2000,(소재DB_RAW!$G$3:$G$2000=$D407)*ISNUMBER(SEARCH("안감",소재DB_RAW!$M$3:$M$2000))))),"")</f>
        <v/>
      </c>
      <c r="AA407" s="27" t="n">
        <v>7000</v>
      </c>
      <c r="AB407" s="27" t="n">
        <v>25998000</v>
      </c>
      <c r="AC407" s="27" t="n">
        <v>112000000</v>
      </c>
      <c r="AD407" s="20" t="n"/>
      <c r="AE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F407" s="19">
        <f>IF($K407="","",IF(OR(LEFT($AE407,2)="작지",LEFT($AE407,4)="소재입고"),IF(LEFT($G407,1)="S","★ 납기위험(S코드)","◆ 지연주의"),IF($AE407="정상","✓ 정상","? 확인필요")))</f>
        <v/>
      </c>
      <c r="AG407" s="21" t="n"/>
      <c r="AH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21" t="inlineStr">
        <is>
          <t>X</t>
        </is>
      </c>
      <c r="R408" s="21" t="inlineStr">
        <is>
          <t>X</t>
        </is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>
        <f>IFERROR(TEXTJOIN(" / ",TRUE,UNIQUE(FILTER(소재DB_RAW!$K$3:$K$2000,소재DB_RAW!$G$3:$G$2000=$D408))),"")</f>
        <v/>
      </c>
      <c r="W408" s="20" t="inlineStr">
        <is>
          <t>한국</t>
        </is>
      </c>
      <c r="X408" s="20">
        <f>IFERROR(TEXTJOIN(" / ",TRUE,UNIQUE(FILTER(소재DB_RAW!$N$3:$N$2000,소재DB_RAW!$G$3:$G$2000=$D408))),"")</f>
        <v/>
      </c>
      <c r="Y408" s="26">
        <f>IFERROR(TEXTJOIN(CHAR(10),TRUE,UNIQUE(FILTER(소재DB_RAW!$N$3:$N$2000&amp;") "&amp;소재DB_RAW!$O$3:$O$2000,(소재DB_RAW!$G$3:$G$2000=$D408)*ISNUMBER(SEARCH("겉감",소재DB_RAW!$M$3:$M$2000))))),"")</f>
        <v/>
      </c>
      <c r="Z408" s="26">
        <f>IFERROR(TEXTJOIN(CHAR(10),TRUE,UNIQUE(FILTER(소재DB_RAW!$N$3:$N$2000&amp;") "&amp;소재DB_RAW!$O$3:$O$2000,(소재DB_RAW!$G$3:$G$2000=$D408)*ISNUMBER(SEARCH("안감",소재DB_RAW!$M$3:$M$2000))))),"")</f>
        <v/>
      </c>
      <c r="AA408" s="27" t="n">
        <v>1400</v>
      </c>
      <c r="AB408" s="27" t="n">
        <v>4393200</v>
      </c>
      <c r="AC408" s="27" t="n">
        <v>28000000</v>
      </c>
      <c r="AD408" s="20" t="n"/>
      <c r="AE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F408" s="19">
        <f>IF($K408="","",IF(OR(LEFT($AE408,2)="작지",LEFT($AE408,4)="소재입고"),IF(LEFT($G408,1)="S","★ 납기위험(S코드)","◆ 지연주의"),IF($AE408="정상","✓ 정상","? 확인필요")))</f>
        <v/>
      </c>
      <c r="AG408" s="21" t="n"/>
      <c r="AH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21" t="inlineStr">
        <is>
          <t>X</t>
        </is>
      </c>
      <c r="R409" s="21" t="inlineStr">
        <is>
          <t>X</t>
        </is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>
        <f>IFERROR(TEXTJOIN(" / ",TRUE,UNIQUE(FILTER(소재DB_RAW!$K$3:$K$2000,소재DB_RAW!$G$3:$G$2000=$D409))),"")</f>
        <v/>
      </c>
      <c r="W409" s="20" t="inlineStr">
        <is>
          <t>국내</t>
        </is>
      </c>
      <c r="X409" s="20">
        <f>IFERROR(TEXTJOIN(" / ",TRUE,UNIQUE(FILTER(소재DB_RAW!$N$3:$N$2000,소재DB_RAW!$G$3:$G$2000=$D409))),"")</f>
        <v/>
      </c>
      <c r="Y409" s="26">
        <f>IFERROR(TEXTJOIN(CHAR(10),TRUE,UNIQUE(FILTER(소재DB_RAW!$N$3:$N$2000&amp;") "&amp;소재DB_RAW!$O$3:$O$2000,(소재DB_RAW!$G$3:$G$2000=$D409)*ISNUMBER(SEARCH("겉감",소재DB_RAW!$M$3:$M$2000))))),"")</f>
        <v/>
      </c>
      <c r="Z409" s="26">
        <f>IFERROR(TEXTJOIN(CHAR(10),TRUE,UNIQUE(FILTER(소재DB_RAW!$N$3:$N$2000&amp;") "&amp;소재DB_RAW!$O$3:$O$2000,(소재DB_RAW!$G$3:$G$2000=$D409)*ISNUMBER(SEARCH("안감",소재DB_RAW!$M$3:$M$2000))))),"")</f>
        <v/>
      </c>
      <c r="AA409" s="27" t="n">
        <v>4700</v>
      </c>
      <c r="AB409" s="27" t="n">
        <v>15792000</v>
      </c>
      <c r="AC409" s="27" t="n">
        <v>94000000</v>
      </c>
      <c r="AD409" s="20" t="n"/>
      <c r="AE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F409" s="19">
        <f>IF($K409="","",IF(OR(LEFT($AE409,2)="작지",LEFT($AE409,4)="소재입고"),IF(LEFT($G409,1)="S","★ 납기위험(S코드)","◆ 지연주의"),IF($AE409="정상","✓ 정상","? 확인필요")))</f>
        <v/>
      </c>
      <c r="AG409" s="21" t="n"/>
      <c r="AH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21" t="inlineStr">
        <is>
          <t>X</t>
        </is>
      </c>
      <c r="R410" s="21" t="inlineStr">
        <is>
          <t>X</t>
        </is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>
        <f>IFERROR(TEXTJOIN(" / ",TRUE,UNIQUE(FILTER(소재DB_RAW!$K$3:$K$2000,소재DB_RAW!$G$3:$G$2000=$D410))),"")</f>
        <v/>
      </c>
      <c r="W410" s="20" t="inlineStr">
        <is>
          <t>국내</t>
        </is>
      </c>
      <c r="X410" s="20">
        <f>IFERROR(TEXTJOIN(" / ",TRUE,UNIQUE(FILTER(소재DB_RAW!$N$3:$N$2000,소재DB_RAW!$G$3:$G$2000=$D410))),"")</f>
        <v/>
      </c>
      <c r="Y410" s="26">
        <f>IFERROR(TEXTJOIN(CHAR(10),TRUE,UNIQUE(FILTER(소재DB_RAW!$N$3:$N$2000&amp;") "&amp;소재DB_RAW!$O$3:$O$2000,(소재DB_RAW!$G$3:$G$2000=$D410)*ISNUMBER(SEARCH("겉감",소재DB_RAW!$M$3:$M$2000))))),"")</f>
        <v/>
      </c>
      <c r="Z410" s="26">
        <f>IFERROR(TEXTJOIN(CHAR(10),TRUE,UNIQUE(FILTER(소재DB_RAW!$N$3:$N$2000&amp;") "&amp;소재DB_RAW!$O$3:$O$2000,(소재DB_RAW!$G$3:$G$2000=$D410)*ISNUMBER(SEARCH("안감",소재DB_RAW!$M$3:$M$2000))))),"")</f>
        <v/>
      </c>
      <c r="AA410" s="27" t="n">
        <v>6000</v>
      </c>
      <c r="AB410" s="27" t="n">
        <v>18972000</v>
      </c>
      <c r="AC410" s="27" t="n">
        <v>120000000</v>
      </c>
      <c r="AD410" s="20" t="n"/>
      <c r="AE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F410" s="19">
        <f>IF($K410="","",IF(OR(LEFT($AE410,2)="작지",LEFT($AE410,4)="소재입고"),IF(LEFT($G410,1)="S","★ 납기위험(S코드)","◆ 지연주의"),IF($AE410="정상","✓ 정상","? 확인필요")))</f>
        <v/>
      </c>
      <c r="AG410" s="21" t="n"/>
      <c r="AH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21" t="inlineStr">
        <is>
          <t>X</t>
        </is>
      </c>
      <c r="R411" s="21" t="inlineStr">
        <is>
          <t>X</t>
        </is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>
        <f>IFERROR(TEXTJOIN(" / ",TRUE,UNIQUE(FILTER(소재DB_RAW!$K$3:$K$2000,소재DB_RAW!$G$3:$G$2000=$D411))),"")</f>
        <v/>
      </c>
      <c r="W411" s="20" t="inlineStr">
        <is>
          <t>국내</t>
        </is>
      </c>
      <c r="X411" s="20">
        <f>IFERROR(TEXTJOIN(" / ",TRUE,UNIQUE(FILTER(소재DB_RAW!$N$3:$N$2000,소재DB_RAW!$G$3:$G$2000=$D411))),"")</f>
        <v/>
      </c>
      <c r="Y411" s="26">
        <f>IFERROR(TEXTJOIN(CHAR(10),TRUE,UNIQUE(FILTER(소재DB_RAW!$N$3:$N$2000&amp;") "&amp;소재DB_RAW!$O$3:$O$2000,(소재DB_RAW!$G$3:$G$2000=$D411)*ISNUMBER(SEARCH("겉감",소재DB_RAW!$M$3:$M$2000))))),"")</f>
        <v/>
      </c>
      <c r="Z411" s="26">
        <f>IFERROR(TEXTJOIN(CHAR(10),TRUE,UNIQUE(FILTER(소재DB_RAW!$N$3:$N$2000&amp;") "&amp;소재DB_RAW!$O$3:$O$2000,(소재DB_RAW!$G$3:$G$2000=$D411)*ISNUMBER(SEARCH("안감",소재DB_RAW!$M$3:$M$2000))))),"")</f>
        <v/>
      </c>
      <c r="AA411" s="27" t="n">
        <v>4000</v>
      </c>
      <c r="AB411" s="27" t="n">
        <v>10400000</v>
      </c>
      <c r="AC411" s="27" t="n">
        <v>64000000</v>
      </c>
      <c r="AD411" s="20" t="n"/>
      <c r="AE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F411" s="19">
        <f>IF($K411="","",IF(OR(LEFT($AE411,2)="작지",LEFT($AE411,4)="소재입고"),IF(LEFT($G411,1)="S","★ 납기위험(S코드)","◆ 지연주의"),IF($AE411="정상","✓ 정상","? 확인필요")))</f>
        <v/>
      </c>
      <c r="AG411" s="21" t="n"/>
      <c r="AH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21" t="inlineStr">
        <is>
          <t>X</t>
        </is>
      </c>
      <c r="R412" s="21" t="inlineStr">
        <is>
          <t>X</t>
        </is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>
        <f>IFERROR(TEXTJOIN(" / ",TRUE,UNIQUE(FILTER(소재DB_RAW!$K$3:$K$2000,소재DB_RAW!$G$3:$G$2000=$D412))),"")</f>
        <v/>
      </c>
      <c r="W412" s="20" t="inlineStr">
        <is>
          <t>국내</t>
        </is>
      </c>
      <c r="X412" s="20">
        <f>IFERROR(TEXTJOIN(" / ",TRUE,UNIQUE(FILTER(소재DB_RAW!$N$3:$N$2000,소재DB_RAW!$G$3:$G$2000=$D412))),"")</f>
        <v/>
      </c>
      <c r="Y412" s="26">
        <f>IFERROR(TEXTJOIN(CHAR(10),TRUE,UNIQUE(FILTER(소재DB_RAW!$N$3:$N$2000&amp;") "&amp;소재DB_RAW!$O$3:$O$2000,(소재DB_RAW!$G$3:$G$2000=$D412)*ISNUMBER(SEARCH("겉감",소재DB_RAW!$M$3:$M$2000))))),"")</f>
        <v/>
      </c>
      <c r="Z412" s="26">
        <f>IFERROR(TEXTJOIN(CHAR(10),TRUE,UNIQUE(FILTER(소재DB_RAW!$N$3:$N$2000&amp;") "&amp;소재DB_RAW!$O$3:$O$2000,(소재DB_RAW!$G$3:$G$2000=$D412)*ISNUMBER(SEARCH("안감",소재DB_RAW!$M$3:$M$2000))))),"")</f>
        <v/>
      </c>
      <c r="AA412" s="27" t="n">
        <v>7000</v>
      </c>
      <c r="AB412" s="27" t="n">
        <v>19600000</v>
      </c>
      <c r="AC412" s="27" t="n">
        <v>91000000</v>
      </c>
      <c r="AD412" s="20" t="n"/>
      <c r="AE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F412" s="19">
        <f>IF($K412="","",IF(OR(LEFT($AE412,2)="작지",LEFT($AE412,4)="소재입고"),IF(LEFT($G412,1)="S","★ 납기위험(S코드)","◆ 지연주의"),IF($AE412="정상","✓ 정상","? 확인필요")))</f>
        <v/>
      </c>
      <c r="AG412" s="21" t="n"/>
      <c r="AH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21" t="inlineStr">
        <is>
          <t>X</t>
        </is>
      </c>
      <c r="R413" s="21" t="inlineStr">
        <is>
          <t>X</t>
        </is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>
        <f>IFERROR(TEXTJOIN(" / ",TRUE,UNIQUE(FILTER(소재DB_RAW!$K$3:$K$2000,소재DB_RAW!$G$3:$G$2000=$D413))),"")</f>
        <v/>
      </c>
      <c r="W413" s="20" t="inlineStr">
        <is>
          <t>국내</t>
        </is>
      </c>
      <c r="X413" s="20">
        <f>IFERROR(TEXTJOIN(" / ",TRUE,UNIQUE(FILTER(소재DB_RAW!$N$3:$N$2000,소재DB_RAW!$G$3:$G$2000=$D413))),"")</f>
        <v/>
      </c>
      <c r="Y413" s="26">
        <f>IFERROR(TEXTJOIN(CHAR(10),TRUE,UNIQUE(FILTER(소재DB_RAW!$N$3:$N$2000&amp;") "&amp;소재DB_RAW!$O$3:$O$2000,(소재DB_RAW!$G$3:$G$2000=$D413)*ISNUMBER(SEARCH("겉감",소재DB_RAW!$M$3:$M$2000))))),"")</f>
        <v/>
      </c>
      <c r="Z413" s="26">
        <f>IFERROR(TEXTJOIN(CHAR(10),TRUE,UNIQUE(FILTER(소재DB_RAW!$N$3:$N$2000&amp;") "&amp;소재DB_RAW!$O$3:$O$2000,(소재DB_RAW!$G$3:$G$2000=$D413)*ISNUMBER(SEARCH("안감",소재DB_RAW!$M$3:$M$2000))))),"")</f>
        <v/>
      </c>
      <c r="AA413" s="27" t="n">
        <v>4500</v>
      </c>
      <c r="AB413" s="27" t="n">
        <v>29700000</v>
      </c>
      <c r="AC413" s="27" t="n">
        <v>135000000</v>
      </c>
      <c r="AD413" s="20" t="n"/>
      <c r="AE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F413" s="19">
        <f>IF($K413="","",IF(OR(LEFT($AE413,2)="작지",LEFT($AE413,4)="소재입고"),IF(LEFT($G413,1)="S","★ 납기위험(S코드)","◆ 지연주의"),IF($AE413="정상","✓ 정상","? 확인필요")))</f>
        <v/>
      </c>
      <c r="AG413" s="21" t="n"/>
      <c r="AH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21" t="inlineStr">
        <is>
          <t>X</t>
        </is>
      </c>
      <c r="R414" s="21" t="inlineStr">
        <is>
          <t>X</t>
        </is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>
        <f>IFERROR(TEXTJOIN(" / ",TRUE,UNIQUE(FILTER(소재DB_RAW!$K$3:$K$2000,소재DB_RAW!$G$3:$G$2000=$D414))),"")</f>
        <v/>
      </c>
      <c r="W414" s="20" t="inlineStr">
        <is>
          <t>국내</t>
        </is>
      </c>
      <c r="X414" s="20">
        <f>IFERROR(TEXTJOIN(" / ",TRUE,UNIQUE(FILTER(소재DB_RAW!$N$3:$N$2000,소재DB_RAW!$G$3:$G$2000=$D414))),"")</f>
        <v/>
      </c>
      <c r="Y414" s="26">
        <f>IFERROR(TEXTJOIN(CHAR(10),TRUE,UNIQUE(FILTER(소재DB_RAW!$N$3:$N$2000&amp;") "&amp;소재DB_RAW!$O$3:$O$2000,(소재DB_RAW!$G$3:$G$2000=$D414)*ISNUMBER(SEARCH("겉감",소재DB_RAW!$M$3:$M$2000))))),"")</f>
        <v/>
      </c>
      <c r="Z414" s="26">
        <f>IFERROR(TEXTJOIN(CHAR(10),TRUE,UNIQUE(FILTER(소재DB_RAW!$N$3:$N$2000&amp;") "&amp;소재DB_RAW!$O$3:$O$2000,(소재DB_RAW!$G$3:$G$2000=$D414)*ISNUMBER(SEARCH("안감",소재DB_RAW!$M$3:$M$2000))))),"")</f>
        <v/>
      </c>
      <c r="AA414" s="27" t="n">
        <v>3500</v>
      </c>
      <c r="AB414" s="27" t="n">
        <v>9800000</v>
      </c>
      <c r="AC414" s="27" t="n">
        <v>56000000</v>
      </c>
      <c r="AD414" s="20" t="n"/>
      <c r="AE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F414" s="19">
        <f>IF($K414="","",IF(OR(LEFT($AE414,2)="작지",LEFT($AE414,4)="소재입고"),IF(LEFT($G414,1)="S","★ 납기위험(S코드)","◆ 지연주의"),IF($AE414="정상","✓ 정상","? 확인필요")))</f>
        <v/>
      </c>
      <c r="AG414" s="21" t="n"/>
      <c r="AH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21" t="inlineStr">
        <is>
          <t>X</t>
        </is>
      </c>
      <c r="R415" s="21" t="inlineStr">
        <is>
          <t>X</t>
        </is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>
        <f>IFERROR(TEXTJOIN(" / ",TRUE,UNIQUE(FILTER(소재DB_RAW!$K$3:$K$2000,소재DB_RAW!$G$3:$G$2000=$D415))),"")</f>
        <v/>
      </c>
      <c r="W415" s="20" t="inlineStr">
        <is>
          <t>국내</t>
        </is>
      </c>
      <c r="X415" s="20">
        <f>IFERROR(TEXTJOIN(" / ",TRUE,UNIQUE(FILTER(소재DB_RAW!$N$3:$N$2000,소재DB_RAW!$G$3:$G$2000=$D415))),"")</f>
        <v/>
      </c>
      <c r="Y415" s="26">
        <f>IFERROR(TEXTJOIN(CHAR(10),TRUE,UNIQUE(FILTER(소재DB_RAW!$N$3:$N$2000&amp;") "&amp;소재DB_RAW!$O$3:$O$2000,(소재DB_RAW!$G$3:$G$2000=$D415)*ISNUMBER(SEARCH("겉감",소재DB_RAW!$M$3:$M$2000))))),"")</f>
        <v/>
      </c>
      <c r="Z415" s="26">
        <f>IFERROR(TEXTJOIN(CHAR(10),TRUE,UNIQUE(FILTER(소재DB_RAW!$N$3:$N$2000&amp;") "&amp;소재DB_RAW!$O$3:$O$2000,(소재DB_RAW!$G$3:$G$2000=$D415)*ISNUMBER(SEARCH("안감",소재DB_RAW!$M$3:$M$2000))))),"")</f>
        <v/>
      </c>
      <c r="AA415" s="27" t="n">
        <v>4500</v>
      </c>
      <c r="AB415" s="27" t="n">
        <v>14229000</v>
      </c>
      <c r="AC415" s="27" t="n">
        <v>90000000</v>
      </c>
      <c r="AD415" s="20" t="n"/>
      <c r="AE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F415" s="19">
        <f>IF($K415="","",IF(OR(LEFT($AE415,2)="작지",LEFT($AE415,4)="소재입고"),IF(LEFT($G415,1)="S","★ 납기위험(S코드)","◆ 지연주의"),IF($AE415="정상","✓ 정상","? 확인필요")))</f>
        <v/>
      </c>
      <c r="AG415" s="21" t="n"/>
      <c r="AH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21" t="inlineStr">
        <is>
          <t>X</t>
        </is>
      </c>
      <c r="R416" s="21" t="inlineStr">
        <is>
          <t>X</t>
        </is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>
        <f>IFERROR(TEXTJOIN(" / ",TRUE,UNIQUE(FILTER(소재DB_RAW!$K$3:$K$2000,소재DB_RAW!$G$3:$G$2000=$D416))),"")</f>
        <v/>
      </c>
      <c r="W416" s="20" t="inlineStr">
        <is>
          <t>국내</t>
        </is>
      </c>
      <c r="X416" s="20">
        <f>IFERROR(TEXTJOIN(" / ",TRUE,UNIQUE(FILTER(소재DB_RAW!$N$3:$N$2000,소재DB_RAW!$G$3:$G$2000=$D416))),"")</f>
        <v/>
      </c>
      <c r="Y416" s="26">
        <f>IFERROR(TEXTJOIN(CHAR(10),TRUE,UNIQUE(FILTER(소재DB_RAW!$N$3:$N$2000&amp;") "&amp;소재DB_RAW!$O$3:$O$2000,(소재DB_RAW!$G$3:$G$2000=$D416)*ISNUMBER(SEARCH("겉감",소재DB_RAW!$M$3:$M$2000))))),"")</f>
        <v/>
      </c>
      <c r="Z416" s="26">
        <f>IFERROR(TEXTJOIN(CHAR(10),TRUE,UNIQUE(FILTER(소재DB_RAW!$N$3:$N$2000&amp;") "&amp;소재DB_RAW!$O$3:$O$2000,(소재DB_RAW!$G$3:$G$2000=$D416)*ISNUMBER(SEARCH("안감",소재DB_RAW!$M$3:$M$2000))))),"")</f>
        <v/>
      </c>
      <c r="AA416" s="27" t="n">
        <v>1100</v>
      </c>
      <c r="AB416" s="27" t="n">
        <v>11550000</v>
      </c>
      <c r="AC416" s="27" t="n">
        <v>49500000</v>
      </c>
      <c r="AD416" s="20" t="inlineStr">
        <is>
          <t>3월1주</t>
        </is>
      </c>
      <c r="AE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F416" s="19">
        <f>IF($K416="","",IF(OR(LEFT($AE416,2)="작지",LEFT($AE416,4)="소재입고"),IF(LEFT($G416,1)="S","★ 납기위험(S코드)","◆ 지연주의"),IF($AE416="정상","✓ 정상","? 확인필요")))</f>
        <v/>
      </c>
      <c r="AG416" s="21" t="n"/>
      <c r="AH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21" t="inlineStr">
        <is>
          <t>X</t>
        </is>
      </c>
      <c r="R417" s="21" t="inlineStr">
        <is>
          <t>O</t>
        </is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>
        <f>IFERROR(TEXTJOIN(" / ",TRUE,UNIQUE(FILTER(소재DB_RAW!$K$3:$K$2000,소재DB_RAW!$G$3:$G$2000=$D417))),"")</f>
        <v/>
      </c>
      <c r="W417" s="20" t="inlineStr">
        <is>
          <t>베트남</t>
        </is>
      </c>
      <c r="X417" s="20">
        <f>IFERROR(TEXTJOIN(" / ",TRUE,UNIQUE(FILTER(소재DB_RAW!$N$3:$N$2000,소재DB_RAW!$G$3:$G$2000=$D417))),"")</f>
        <v/>
      </c>
      <c r="Y417" s="26">
        <f>IFERROR(TEXTJOIN(CHAR(10),TRUE,UNIQUE(FILTER(소재DB_RAW!$N$3:$N$2000&amp;") "&amp;소재DB_RAW!$O$3:$O$2000,(소재DB_RAW!$G$3:$G$2000=$D417)*ISNUMBER(SEARCH("겉감",소재DB_RAW!$M$3:$M$2000))))),"")</f>
        <v/>
      </c>
      <c r="Z417" s="26">
        <f>IFERROR(TEXTJOIN(CHAR(10),TRUE,UNIQUE(FILTER(소재DB_RAW!$N$3:$N$2000&amp;") "&amp;소재DB_RAW!$O$3:$O$2000,(소재DB_RAW!$G$3:$G$2000=$D417)*ISNUMBER(SEARCH("안감",소재DB_RAW!$M$3:$M$2000))))),"")</f>
        <v/>
      </c>
      <c r="AA417" s="27" t="n">
        <v>1600</v>
      </c>
      <c r="AB417" s="27" t="n">
        <v>24337400</v>
      </c>
      <c r="AC417" s="27" t="n">
        <v>88800000</v>
      </c>
      <c r="AD417" s="20" t="n"/>
      <c r="AE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F417" s="19">
        <f>IF($K417="","",IF(OR(LEFT($AE417,2)="작지",LEFT($AE417,4)="소재입고"),IF(LEFT($G417,1)="S","★ 납기위험(S코드)","◆ 지연주의"),IF($AE417="정상","✓ 정상","? 확인필요")))</f>
        <v/>
      </c>
      <c r="AG417" s="21" t="n"/>
      <c r="AH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21" t="inlineStr">
        <is>
          <t>X</t>
        </is>
      </c>
      <c r="R418" s="21" t="n"/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>
        <f>IFERROR(TEXTJOIN(" / ",TRUE,UNIQUE(FILTER(소재DB_RAW!$K$3:$K$2000,소재DB_RAW!$G$3:$G$2000=$D418))),"")</f>
        <v/>
      </c>
      <c r="W418" s="20" t="inlineStr">
        <is>
          <t>베트남</t>
        </is>
      </c>
      <c r="X418" s="20">
        <f>IFERROR(TEXTJOIN(" / ",TRUE,UNIQUE(FILTER(소재DB_RAW!$N$3:$N$2000,소재DB_RAW!$G$3:$G$2000=$D418))),"")</f>
        <v/>
      </c>
      <c r="Y418" s="26">
        <f>IFERROR(TEXTJOIN(CHAR(10),TRUE,UNIQUE(FILTER(소재DB_RAW!$N$3:$N$2000&amp;") "&amp;소재DB_RAW!$O$3:$O$2000,(소재DB_RAW!$G$3:$G$2000=$D418)*ISNUMBER(SEARCH("겉감",소재DB_RAW!$M$3:$M$2000))))),"")</f>
        <v/>
      </c>
      <c r="Z418" s="26">
        <f>IFERROR(TEXTJOIN(CHAR(10),TRUE,UNIQUE(FILTER(소재DB_RAW!$N$3:$N$2000&amp;") "&amp;소재DB_RAW!$O$3:$O$2000,(소재DB_RAW!$G$3:$G$2000=$D418)*ISNUMBER(SEARCH("안감",소재DB_RAW!$M$3:$M$2000))))),"")</f>
        <v/>
      </c>
      <c r="AA418" s="27" t="n">
        <v>500</v>
      </c>
      <c r="AB418" s="27" t="n">
        <v>9000000</v>
      </c>
      <c r="AC418" s="27" t="n">
        <v>30000000</v>
      </c>
      <c r="AD418" s="20" t="n"/>
      <c r="AE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F418" s="19">
        <f>IF($K418="","",IF(OR(LEFT($AE418,2)="작지",LEFT($AE418,4)="소재입고"),IF(LEFT($G418,1)="S","★ 납기위험(S코드)","◆ 지연주의"),IF($AE418="정상","✓ 정상","? 확인필요")))</f>
        <v/>
      </c>
      <c r="AG418" s="21" t="n"/>
      <c r="AH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21" t="inlineStr">
        <is>
          <t>X</t>
        </is>
      </c>
      <c r="R419" s="21" t="inlineStr">
        <is>
          <t>O</t>
        </is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>
        <f>IFERROR(TEXTJOIN(" / ",TRUE,UNIQUE(FILTER(소재DB_RAW!$K$3:$K$2000,소재DB_RAW!$G$3:$G$2000=$D419))),"")</f>
        <v/>
      </c>
      <c r="W419" s="20" t="inlineStr">
        <is>
          <t>베트남</t>
        </is>
      </c>
      <c r="X419" s="20">
        <f>IFERROR(TEXTJOIN(" / ",TRUE,UNIQUE(FILTER(소재DB_RAW!$N$3:$N$2000,소재DB_RAW!$G$3:$G$2000=$D419))),"")</f>
        <v/>
      </c>
      <c r="Y419" s="26">
        <f>IFERROR(TEXTJOIN(CHAR(10),TRUE,UNIQUE(FILTER(소재DB_RAW!$N$3:$N$2000&amp;") "&amp;소재DB_RAW!$O$3:$O$2000,(소재DB_RAW!$G$3:$G$2000=$D419)*ISNUMBER(SEARCH("겉감",소재DB_RAW!$M$3:$M$2000))))),"")</f>
        <v/>
      </c>
      <c r="Z419" s="26">
        <f>IFERROR(TEXTJOIN(CHAR(10),TRUE,UNIQUE(FILTER(소재DB_RAW!$N$3:$N$2000&amp;") "&amp;소재DB_RAW!$O$3:$O$2000,(소재DB_RAW!$G$3:$G$2000=$D419)*ISNUMBER(SEARCH("안감",소재DB_RAW!$M$3:$M$2000))))),"")</f>
        <v/>
      </c>
      <c r="AA419" s="27" t="n">
        <v>1200</v>
      </c>
      <c r="AB419" s="27" t="n">
        <v>70542000</v>
      </c>
      <c r="AC419" s="27" t="n">
        <v>237600000</v>
      </c>
      <c r="AD419" s="20" t="n"/>
      <c r="AE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F419" s="19">
        <f>IF($K419="","",IF(OR(LEFT($AE419,2)="작지",LEFT($AE419,4)="소재입고"),IF(LEFT($G419,1)="S","★ 납기위험(S코드)","◆ 지연주의"),IF($AE419="정상","✓ 정상","? 확인필요")))</f>
        <v/>
      </c>
      <c r="AG419" s="21" t="n"/>
      <c r="AH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21" t="inlineStr">
        <is>
          <t>X</t>
        </is>
      </c>
      <c r="R420" s="21" t="inlineStr">
        <is>
          <t>O</t>
        </is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>
        <f>IFERROR(TEXTJOIN(" / ",TRUE,UNIQUE(FILTER(소재DB_RAW!$K$3:$K$2000,소재DB_RAW!$G$3:$G$2000=$D420))),"")</f>
        <v/>
      </c>
      <c r="W420" s="20" t="inlineStr">
        <is>
          <t>베트남</t>
        </is>
      </c>
      <c r="X420" s="20">
        <f>IFERROR(TEXTJOIN(" / ",TRUE,UNIQUE(FILTER(소재DB_RAW!$N$3:$N$2000,소재DB_RAW!$G$3:$G$2000=$D420))),"")</f>
        <v/>
      </c>
      <c r="Y420" s="26">
        <f>IFERROR(TEXTJOIN(CHAR(10),TRUE,UNIQUE(FILTER(소재DB_RAW!$N$3:$N$2000&amp;") "&amp;소재DB_RAW!$O$3:$O$2000,(소재DB_RAW!$G$3:$G$2000=$D420)*ISNUMBER(SEARCH("겉감",소재DB_RAW!$M$3:$M$2000))))),"")</f>
        <v/>
      </c>
      <c r="Z420" s="26">
        <f>IFERROR(TEXTJOIN(CHAR(10),TRUE,UNIQUE(FILTER(소재DB_RAW!$N$3:$N$2000&amp;") "&amp;소재DB_RAW!$O$3:$O$2000,(소재DB_RAW!$G$3:$G$2000=$D420)*ISNUMBER(SEARCH("안감",소재DB_RAW!$M$3:$M$2000))))),"")</f>
        <v/>
      </c>
      <c r="AA420" s="27" t="n">
        <v>1300</v>
      </c>
      <c r="AB420" s="27" t="n">
        <v>76420500</v>
      </c>
      <c r="AC420" s="27" t="n">
        <v>286000000</v>
      </c>
      <c r="AD420" s="20" t="n"/>
      <c r="AE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F420" s="19">
        <f>IF($K420="","",IF(OR(LEFT($AE420,2)="작지",LEFT($AE420,4)="소재입고"),IF(LEFT($G420,1)="S","★ 납기위험(S코드)","◆ 지연주의"),IF($AE420="정상","✓ 정상","? 확인필요")))</f>
        <v/>
      </c>
      <c r="AG420" s="21" t="n"/>
      <c r="AH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21" t="inlineStr">
        <is>
          <t>X</t>
        </is>
      </c>
      <c r="R421" s="21" t="inlineStr">
        <is>
          <t>X</t>
        </is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>
        <f>IFERROR(TEXTJOIN(" / ",TRUE,UNIQUE(FILTER(소재DB_RAW!$K$3:$K$2000,소재DB_RAW!$G$3:$G$2000=$D421))),"")</f>
        <v/>
      </c>
      <c r="W421" s="20" t="inlineStr">
        <is>
          <t>국내</t>
        </is>
      </c>
      <c r="X421" s="20">
        <f>IFERROR(TEXTJOIN(" / ",TRUE,UNIQUE(FILTER(소재DB_RAW!$N$3:$N$2000,소재DB_RAW!$G$3:$G$2000=$D421))),"")</f>
        <v/>
      </c>
      <c r="Y421" s="26">
        <f>IFERROR(TEXTJOIN(CHAR(10),TRUE,UNIQUE(FILTER(소재DB_RAW!$N$3:$N$2000&amp;") "&amp;소재DB_RAW!$O$3:$O$2000,(소재DB_RAW!$G$3:$G$2000=$D421)*ISNUMBER(SEARCH("겉감",소재DB_RAW!$M$3:$M$2000))))),"")</f>
        <v/>
      </c>
      <c r="Z421" s="26">
        <f>IFERROR(TEXTJOIN(CHAR(10),TRUE,UNIQUE(FILTER(소재DB_RAW!$N$3:$N$2000&amp;") "&amp;소재DB_RAW!$O$3:$O$2000,(소재DB_RAW!$G$3:$G$2000=$D421)*ISNUMBER(SEARCH("안감",소재DB_RAW!$M$3:$M$2000))))),"")</f>
        <v/>
      </c>
      <c r="AA421" s="27" t="n">
        <v>1600</v>
      </c>
      <c r="AB421" s="27" t="n">
        <v>5566400</v>
      </c>
      <c r="AC421" s="27" t="n">
        <v>40000000</v>
      </c>
      <c r="AD421" s="20" t="n"/>
      <c r="AE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F421" s="19">
        <f>IF($K421="","",IF(OR(LEFT($AE421,2)="작지",LEFT($AE421,4)="소재입고"),IF(LEFT($G421,1)="S","★ 납기위험(S코드)","◆ 지연주의"),IF($AE421="정상","✓ 정상","? 확인필요")))</f>
        <v/>
      </c>
      <c r="AG421" s="21" t="n"/>
      <c r="AH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21" t="inlineStr">
        <is>
          <t>X</t>
        </is>
      </c>
      <c r="R422" s="21" t="inlineStr">
        <is>
          <t>O</t>
        </is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>
        <f>IFERROR(TEXTJOIN(" / ",TRUE,UNIQUE(FILTER(소재DB_RAW!$K$3:$K$2000,소재DB_RAW!$G$3:$G$2000=$D422))),"")</f>
        <v/>
      </c>
      <c r="W422" s="20" t="inlineStr">
        <is>
          <t>베트남</t>
        </is>
      </c>
      <c r="X422" s="20">
        <f>IFERROR(TEXTJOIN(" / ",TRUE,UNIQUE(FILTER(소재DB_RAW!$N$3:$N$2000,소재DB_RAW!$G$3:$G$2000=$D422))),"")</f>
        <v/>
      </c>
      <c r="Y422" s="26">
        <f>IFERROR(TEXTJOIN(CHAR(10),TRUE,UNIQUE(FILTER(소재DB_RAW!$N$3:$N$2000&amp;") "&amp;소재DB_RAW!$O$3:$O$2000,(소재DB_RAW!$G$3:$G$2000=$D422)*ISNUMBER(SEARCH("겉감",소재DB_RAW!$M$3:$M$2000))))),"")</f>
        <v/>
      </c>
      <c r="Z422" s="26">
        <f>IFERROR(TEXTJOIN(CHAR(10),TRUE,UNIQUE(FILTER(소재DB_RAW!$N$3:$N$2000&amp;") "&amp;소재DB_RAW!$O$3:$O$2000,(소재DB_RAW!$G$3:$G$2000=$D422)*ISNUMBER(SEARCH("안감",소재DB_RAW!$M$3:$M$2000))))),"")</f>
        <v/>
      </c>
      <c r="AA422" s="27" t="n">
        <v>1200</v>
      </c>
      <c r="AB422" s="27" t="n">
        <v>16401600</v>
      </c>
      <c r="AC422" s="27" t="n">
        <v>78000000</v>
      </c>
      <c r="AD422" s="20" t="n"/>
      <c r="AE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F422" s="19">
        <f>IF($K422="","",IF(OR(LEFT($AE422,2)="작지",LEFT($AE422,4)="소재입고"),IF(LEFT($G422,1)="S","★ 납기위험(S코드)","◆ 지연주의"),IF($AE422="정상","✓ 정상","? 확인필요")))</f>
        <v/>
      </c>
      <c r="AG422" s="21" t="n"/>
      <c r="AH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21" t="inlineStr">
        <is>
          <t>X</t>
        </is>
      </c>
      <c r="R423" s="21" t="inlineStr">
        <is>
          <t>O</t>
        </is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>
        <f>IFERROR(TEXTJOIN(" / ",TRUE,UNIQUE(FILTER(소재DB_RAW!$K$3:$K$2000,소재DB_RAW!$G$3:$G$2000=$D423))),"")</f>
        <v/>
      </c>
      <c r="W423" s="20" t="inlineStr">
        <is>
          <t>베트남</t>
        </is>
      </c>
      <c r="X423" s="20">
        <f>IFERROR(TEXTJOIN(" / ",TRUE,UNIQUE(FILTER(소재DB_RAW!$N$3:$N$2000,소재DB_RAW!$G$3:$G$2000=$D423))),"")</f>
        <v/>
      </c>
      <c r="Y423" s="26">
        <f>IFERROR(TEXTJOIN(CHAR(10),TRUE,UNIQUE(FILTER(소재DB_RAW!$N$3:$N$2000&amp;") "&amp;소재DB_RAW!$O$3:$O$2000,(소재DB_RAW!$G$3:$G$2000=$D423)*ISNUMBER(SEARCH("겉감",소재DB_RAW!$M$3:$M$2000))))),"")</f>
        <v/>
      </c>
      <c r="Z423" s="26">
        <f>IFERROR(TEXTJOIN(CHAR(10),TRUE,UNIQUE(FILTER(소재DB_RAW!$N$3:$N$2000&amp;") "&amp;소재DB_RAW!$O$3:$O$2000,(소재DB_RAW!$G$3:$G$2000=$D423)*ISNUMBER(SEARCH("안감",소재DB_RAW!$M$3:$M$2000))))),"")</f>
        <v/>
      </c>
      <c r="AA423" s="27" t="n">
        <v>900</v>
      </c>
      <c r="AB423" s="27" t="n">
        <v>12301200</v>
      </c>
      <c r="AC423" s="27" t="n">
        <v>58500000</v>
      </c>
      <c r="AD423" s="20" t="n"/>
      <c r="AE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F423" s="19">
        <f>IF($K423="","",IF(OR(LEFT($AE423,2)="작지",LEFT($AE423,4)="소재입고"),IF(LEFT($G423,1)="S","★ 납기위험(S코드)","◆ 지연주의"),IF($AE423="정상","✓ 정상","? 확인필요")))</f>
        <v/>
      </c>
      <c r="AG423" s="21" t="n"/>
      <c r="AH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21" t="inlineStr">
        <is>
          <t>X</t>
        </is>
      </c>
      <c r="R424" s="21" t="inlineStr">
        <is>
          <t>X</t>
        </is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>
        <f>IFERROR(TEXTJOIN(" / ",TRUE,UNIQUE(FILTER(소재DB_RAW!$K$3:$K$2000,소재DB_RAW!$G$3:$G$2000=$D424))),"")</f>
        <v/>
      </c>
      <c r="W424" s="20" t="inlineStr">
        <is>
          <t>한국</t>
        </is>
      </c>
      <c r="X424" s="20">
        <f>IFERROR(TEXTJOIN(" / ",TRUE,UNIQUE(FILTER(소재DB_RAW!$N$3:$N$2000,소재DB_RAW!$G$3:$G$2000=$D424))),"")</f>
        <v/>
      </c>
      <c r="Y424" s="26">
        <f>IFERROR(TEXTJOIN(CHAR(10),TRUE,UNIQUE(FILTER(소재DB_RAW!$N$3:$N$2000&amp;") "&amp;소재DB_RAW!$O$3:$O$2000,(소재DB_RAW!$G$3:$G$2000=$D424)*ISNUMBER(SEARCH("겉감",소재DB_RAW!$M$3:$M$2000))))),"")</f>
        <v/>
      </c>
      <c r="Z424" s="26">
        <f>IFERROR(TEXTJOIN(CHAR(10),TRUE,UNIQUE(FILTER(소재DB_RAW!$N$3:$N$2000&amp;") "&amp;소재DB_RAW!$O$3:$O$2000,(소재DB_RAW!$G$3:$G$2000=$D424)*ISNUMBER(SEARCH("안감",소재DB_RAW!$M$3:$M$2000))))),"")</f>
        <v/>
      </c>
      <c r="AA424" s="27" t="n">
        <v>2000</v>
      </c>
      <c r="AB424" s="27" t="n">
        <v>8800000</v>
      </c>
      <c r="AC424" s="27" t="n">
        <v>60000000</v>
      </c>
      <c r="AD424" s="20" t="n"/>
      <c r="AE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F424" s="19">
        <f>IF($K424="","",IF(OR(LEFT($AE424,2)="작지",LEFT($AE424,4)="소재입고"),IF(LEFT($G424,1)="S","★ 납기위험(S코드)","◆ 지연주의"),IF($AE424="정상","✓ 정상","? 확인필요")))</f>
        <v/>
      </c>
      <c r="AG424" s="21" t="n"/>
      <c r="AH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21" t="inlineStr">
        <is>
          <t>X</t>
        </is>
      </c>
      <c r="R425" s="21" t="inlineStr">
        <is>
          <t>O</t>
        </is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>
        <f>IFERROR(TEXTJOIN(" / ",TRUE,UNIQUE(FILTER(소재DB_RAW!$K$3:$K$2000,소재DB_RAW!$G$3:$G$2000=$D425))),"")</f>
        <v/>
      </c>
      <c r="W425" s="20" t="inlineStr">
        <is>
          <t>국내</t>
        </is>
      </c>
      <c r="X425" s="20">
        <f>IFERROR(TEXTJOIN(" / ",TRUE,UNIQUE(FILTER(소재DB_RAW!$N$3:$N$2000,소재DB_RAW!$G$3:$G$2000=$D425))),"")</f>
        <v/>
      </c>
      <c r="Y425" s="26">
        <f>IFERROR(TEXTJOIN(CHAR(10),TRUE,UNIQUE(FILTER(소재DB_RAW!$N$3:$N$2000&amp;") "&amp;소재DB_RAW!$O$3:$O$2000,(소재DB_RAW!$G$3:$G$2000=$D425)*ISNUMBER(SEARCH("겉감",소재DB_RAW!$M$3:$M$2000))))),"")</f>
        <v/>
      </c>
      <c r="Z425" s="26">
        <f>IFERROR(TEXTJOIN(CHAR(10),TRUE,UNIQUE(FILTER(소재DB_RAW!$N$3:$N$2000&amp;") "&amp;소재DB_RAW!$O$3:$O$2000,(소재DB_RAW!$G$3:$G$2000=$D425)*ISNUMBER(SEARCH("안감",소재DB_RAW!$M$3:$M$2000))))),"")</f>
        <v/>
      </c>
      <c r="AA425" s="27" t="n">
        <v>5500</v>
      </c>
      <c r="AB425" s="27" t="n">
        <v>90750000</v>
      </c>
      <c r="AC425" s="27" t="n">
        <v>429000000</v>
      </c>
      <c r="AD425" s="20" t="n"/>
      <c r="AE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F425" s="19">
        <f>IF($K425="","",IF(OR(LEFT($AE425,2)="작지",LEFT($AE425,4)="소재입고"),IF(LEFT($G425,1)="S","★ 납기위험(S코드)","◆ 지연주의"),IF($AE425="정상","✓ 정상","? 확인필요")))</f>
        <v/>
      </c>
      <c r="AG425" s="21" t="n"/>
      <c r="AH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21" t="inlineStr">
        <is>
          <t>X</t>
        </is>
      </c>
      <c r="R426" s="21" t="inlineStr">
        <is>
          <t>X</t>
        </is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>
        <f>IFERROR(TEXTJOIN(" / ",TRUE,UNIQUE(FILTER(소재DB_RAW!$K$3:$K$2000,소재DB_RAW!$G$3:$G$2000=$D426))),"")</f>
        <v/>
      </c>
      <c r="W426" s="20" t="inlineStr">
        <is>
          <t>중국</t>
        </is>
      </c>
      <c r="X426" s="20">
        <f>IFERROR(TEXTJOIN(" / ",TRUE,UNIQUE(FILTER(소재DB_RAW!$N$3:$N$2000,소재DB_RAW!$G$3:$G$2000=$D426))),"")</f>
        <v/>
      </c>
      <c r="Y426" s="26">
        <f>IFERROR(TEXTJOIN(CHAR(10),TRUE,UNIQUE(FILTER(소재DB_RAW!$N$3:$N$2000&amp;") "&amp;소재DB_RAW!$O$3:$O$2000,(소재DB_RAW!$G$3:$G$2000=$D426)*ISNUMBER(SEARCH("겉감",소재DB_RAW!$M$3:$M$2000))))),"")</f>
        <v/>
      </c>
      <c r="Z426" s="26">
        <f>IFERROR(TEXTJOIN(CHAR(10),TRUE,UNIQUE(FILTER(소재DB_RAW!$N$3:$N$2000&amp;") "&amp;소재DB_RAW!$O$3:$O$2000,(소재DB_RAW!$G$3:$G$2000=$D426)*ISNUMBER(SEARCH("안감",소재DB_RAW!$M$3:$M$2000))))),"")</f>
        <v/>
      </c>
      <c r="AA426" s="27" t="n">
        <v>900</v>
      </c>
      <c r="AB426" s="27" t="n">
        <v>14400000</v>
      </c>
      <c r="AC426" s="27" t="n">
        <v>70200000</v>
      </c>
      <c r="AD426" s="20" t="n"/>
      <c r="AE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F426" s="19">
        <f>IF($K426="","",IF(OR(LEFT($AE426,2)="작지",LEFT($AE426,4)="소재입고"),IF(LEFT($G426,1)="S","★ 납기위험(S코드)","◆ 지연주의"),IF($AE426="정상","✓ 정상","? 확인필요")))</f>
        <v/>
      </c>
      <c r="AG426" s="21" t="n"/>
      <c r="AH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21" t="inlineStr">
        <is>
          <t>X</t>
        </is>
      </c>
      <c r="R427" s="21" t="inlineStr">
        <is>
          <t>X</t>
        </is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>
        <f>IFERROR(TEXTJOIN(" / ",TRUE,UNIQUE(FILTER(소재DB_RAW!$K$3:$K$2000,소재DB_RAW!$G$3:$G$2000=$D427))),"")</f>
        <v/>
      </c>
      <c r="W427" s="20" t="inlineStr">
        <is>
          <t>중국</t>
        </is>
      </c>
      <c r="X427" s="20">
        <f>IFERROR(TEXTJOIN(" / ",TRUE,UNIQUE(FILTER(소재DB_RAW!$N$3:$N$2000,소재DB_RAW!$G$3:$G$2000=$D427))),"")</f>
        <v/>
      </c>
      <c r="Y427" s="26">
        <f>IFERROR(TEXTJOIN(CHAR(10),TRUE,UNIQUE(FILTER(소재DB_RAW!$N$3:$N$2000&amp;") "&amp;소재DB_RAW!$O$3:$O$2000,(소재DB_RAW!$G$3:$G$2000=$D427)*ISNUMBER(SEARCH("겉감",소재DB_RAW!$M$3:$M$2000))))),"")</f>
        <v/>
      </c>
      <c r="Z427" s="26">
        <f>IFERROR(TEXTJOIN(CHAR(10),TRUE,UNIQUE(FILTER(소재DB_RAW!$N$3:$N$2000&amp;") "&amp;소재DB_RAW!$O$3:$O$2000,(소재DB_RAW!$G$3:$G$2000=$D427)*ISNUMBER(SEARCH("안감",소재DB_RAW!$M$3:$M$2000))))),"")</f>
        <v/>
      </c>
      <c r="AA427" s="27" t="n">
        <v>800</v>
      </c>
      <c r="AB427" s="27" t="n">
        <v>22800000</v>
      </c>
      <c r="AC427" s="27" t="n">
        <v>102400000</v>
      </c>
      <c r="AD427" s="20" t="n"/>
      <c r="AE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F427" s="19">
        <f>IF($K427="","",IF(OR(LEFT($AE427,2)="작지",LEFT($AE427,4)="소재입고"),IF(LEFT($G427,1)="S","★ 납기위험(S코드)","◆ 지연주의"),IF($AE427="정상","✓ 정상","? 확인필요")))</f>
        <v/>
      </c>
      <c r="AG427" s="21" t="n"/>
      <c r="AH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21" t="inlineStr">
        <is>
          <t>X</t>
        </is>
      </c>
      <c r="R428" s="21" t="inlineStr">
        <is>
          <t>O</t>
        </is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>
        <f>IFERROR(TEXTJOIN(" / ",TRUE,UNIQUE(FILTER(소재DB_RAW!$K$3:$K$2000,소재DB_RAW!$G$3:$G$2000=$D428))),"")</f>
        <v/>
      </c>
      <c r="W428" s="20" t="inlineStr">
        <is>
          <t>베트남</t>
        </is>
      </c>
      <c r="X428" s="20">
        <f>IFERROR(TEXTJOIN(" / ",TRUE,UNIQUE(FILTER(소재DB_RAW!$N$3:$N$2000,소재DB_RAW!$G$3:$G$2000=$D428))),"")</f>
        <v/>
      </c>
      <c r="Y428" s="26">
        <f>IFERROR(TEXTJOIN(CHAR(10),TRUE,UNIQUE(FILTER(소재DB_RAW!$N$3:$N$2000&amp;") "&amp;소재DB_RAW!$O$3:$O$2000,(소재DB_RAW!$G$3:$G$2000=$D428)*ISNUMBER(SEARCH("겉감",소재DB_RAW!$M$3:$M$2000))))),"")</f>
        <v/>
      </c>
      <c r="Z428" s="26">
        <f>IFERROR(TEXTJOIN(CHAR(10),TRUE,UNIQUE(FILTER(소재DB_RAW!$N$3:$N$2000&amp;") "&amp;소재DB_RAW!$O$3:$O$2000,(소재DB_RAW!$G$3:$G$2000=$D428)*ISNUMBER(SEARCH("안감",소재DB_RAW!$M$3:$M$2000))))),"")</f>
        <v/>
      </c>
      <c r="AA428" s="27" t="n">
        <v>2600</v>
      </c>
      <c r="AB428" s="27" t="n">
        <v>27739400</v>
      </c>
      <c r="AC428" s="27" t="n">
        <v>143000000</v>
      </c>
      <c r="AD428" s="20" t="n"/>
      <c r="AE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F428" s="19">
        <f>IF($K428="","",IF(OR(LEFT($AE428,2)="작지",LEFT($AE428,4)="소재입고"),IF(LEFT($G428,1)="S","★ 납기위험(S코드)","◆ 지연주의"),IF($AE428="정상","✓ 정상","? 확인필요")))</f>
        <v/>
      </c>
      <c r="AG428" s="21" t="n"/>
      <c r="AH428" s="28" t="n"/>
    </row>
  </sheetData>
  <autoFilter ref="A4:AH428"/>
  <conditionalFormatting sqref="AF5:AF428">
    <cfRule type="containsText" priority="1" operator="containsText" dxfId="0" text="★">
      <formula>NOT(ISERROR(SEARCH("★",AF5)))</formula>
    </cfRule>
    <cfRule type="containsText" priority="2" operator="containsText" dxfId="1" text="◆">
      <formula>NOT(ISERROR(SEARCH("◆",AF5)))</formula>
    </cfRule>
    <cfRule type="containsText" priority="3" operator="containsText" dxfId="2" text="✓">
      <formula>NOT(ISERROR(SEARCH("✓",AF5)))</formula>
    </cfRule>
    <cfRule type="containsText" priority="4" operator="containsText" dxfId="3" text="?">
      <formula>NOT(ISERROR(SEARCH("?",AF5)))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4">
    <dataValidation sqref="P5:P428" showDropDown="0" showInputMessage="0" showErrorMessage="0" allowBlank="1" type="list">
      <formula1>"O,X"</formula1>
    </dataValidation>
    <dataValidation sqref="Q5:Q428" showDropDown="0" showInputMessage="0" showErrorMessage="0" allowBlank="1" type="list">
      <formula1>"O,부분,X"</formula1>
    </dataValidation>
    <dataValidation sqref="R5:R428" showDropDown="0" showInputMessage="0" showErrorMessage="0" allowBlank="1" type="list">
      <formula1>"O,부분,X"</formula1>
    </dataValidation>
    <dataValidation sqref="AG5:AG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27SS_소재DB &gt; Merged Data 실시간 연동 (IMPORTRANGE). 최초 1회 A3 셀에서 '액세스 허용'을 클릭해야 합니다. 이 탭은 수정하지 마세요.</t>
        </is>
      </c>
    </row>
    <row r="3">
      <c r="A3">
        <f>IMPORTRANGE("https://docs.google.com/spreadsheets/d/1_LNPz9XGRmRAJ9Y4cqtFF8NtZTLSIld4vtzLJlOcka0","Merged Data!A3:P2000")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30" t="inlineStr">
        <is>
          <t>구분</t>
        </is>
      </c>
      <c r="C5" s="30" t="inlineStr">
        <is>
          <t>스타일 수</t>
        </is>
      </c>
      <c r="D5" s="30" t="inlineStr">
        <is>
          <t>기획수량 (장)</t>
        </is>
      </c>
      <c r="E5" s="30" t="inlineStr">
        <is>
          <t>원가합 (원)</t>
        </is>
      </c>
      <c r="F5" s="30" t="inlineStr">
        <is>
          <t>소매가합 (원)</t>
        </is>
      </c>
      <c r="G5" s="30" t="inlineStr">
        <is>
          <t>소매가합 비중</t>
        </is>
      </c>
    </row>
    <row r="6">
      <c r="B6" s="31" t="inlineStr">
        <is>
          <t>의류</t>
        </is>
      </c>
      <c r="C6" s="32">
        <f>SUMPRODUCT((LEFT('소재역산 트래커'!$D$5:$D$428,1)&lt;&gt;"Q")*(LEFT('소재역산 트래커'!$D$5:$D$428,1)&lt;&gt;"8")*('소재역산 트래커'!$D$5:$D$428&lt;&gt;""))</f>
        <v/>
      </c>
      <c r="D6" s="32">
        <f>SUMPRODUCT((LEFT('소재역산 트래커'!$D$5:$D$428,1)&lt;&gt;"Q")*(LEFT('소재역산 트래커'!$D$5:$D$428,1)&lt;&gt;"8")*('소재역산 트래커'!$D$5:$D$428&lt;&gt;"")*'소재역산 트래커'!$AA$5:$AA$428)</f>
        <v/>
      </c>
      <c r="E6" s="32">
        <f>SUMPRODUCT((LEFT('소재역산 트래커'!$D$5:$D$428,1)&lt;&gt;"Q")*(LEFT('소재역산 트래커'!$D$5:$D$428,1)&lt;&gt;"8")*('소재역산 트래커'!$D$5:$D$428&lt;&gt;"")*'소재역산 트래커'!$AB$5:$AB$428)</f>
        <v/>
      </c>
      <c r="F6" s="32">
        <f>SUMPRODUCT((LEFT('소재역산 트래커'!$D$5:$D$428,1)&lt;&gt;"Q")*(LEFT('소재역산 트래커'!$D$5:$D$428,1)&lt;&gt;"8")*('소재역산 트래커'!$D$5:$D$428&lt;&gt;"")*'소재역산 트래커'!$AC$5:$AC$428)</f>
        <v/>
      </c>
      <c r="G6" s="33">
        <f>IF($F$9=0,"",F6/$F$9)</f>
        <v/>
      </c>
    </row>
    <row r="7">
      <c r="B7" s="31" t="inlineStr">
        <is>
          <t>용품 (Q)</t>
        </is>
      </c>
      <c r="C7" s="32">
        <f>SUMPRODUCT((LEFT('소재역산 트래커'!$D$5:$D$428,1)="Q")*1)</f>
        <v/>
      </c>
      <c r="D7" s="32">
        <f>SUMPRODUCT((LEFT('소재역산 트래커'!$D$5:$D$428,1)="Q")*1*'소재역산 트래커'!$AA$5:$AA$428)</f>
        <v/>
      </c>
      <c r="E7" s="32">
        <f>SUMPRODUCT((LEFT('소재역산 트래커'!$D$5:$D$428,1)="Q")*1*'소재역산 트래커'!$AB$5:$AB$428)</f>
        <v/>
      </c>
      <c r="F7" s="32">
        <f>SUMPRODUCT((LEFT('소재역산 트래커'!$D$5:$D$428,1)="Q")*1*'소재역산 트래커'!$AC$5:$AC$428)</f>
        <v/>
      </c>
      <c r="G7" s="33">
        <f>IF($F$9=0,"",F7/$F$9)</f>
        <v/>
      </c>
    </row>
    <row r="8">
      <c r="B8" s="31" t="inlineStr">
        <is>
          <t>WM/피싱 (8)</t>
        </is>
      </c>
      <c r="C8" s="32">
        <f>SUMPRODUCT((LEFT('소재역산 트래커'!$D$5:$D$428,1)="8")*1)</f>
        <v/>
      </c>
      <c r="D8" s="32">
        <f>SUMPRODUCT((LEFT('소재역산 트래커'!$D$5:$D$428,1)="8")*1*'소재역산 트래커'!$AA$5:$AA$428)</f>
        <v/>
      </c>
      <c r="E8" s="32">
        <f>SUMPRODUCT((LEFT('소재역산 트래커'!$D$5:$D$428,1)="8")*1*'소재역산 트래커'!$AB$5:$AB$428)</f>
        <v/>
      </c>
      <c r="F8" s="32">
        <f>SUMPRODUCT((LEFT('소재역산 트래커'!$D$5:$D$428,1)="8")*1*'소재역산 트래커'!$AC$5:$AC$428)</f>
        <v/>
      </c>
      <c r="G8" s="33">
        <f>IF($F$9=0,"",F8/$F$9)</f>
        <v/>
      </c>
    </row>
    <row r="9">
      <c r="B9" s="34" t="inlineStr">
        <is>
          <t>합계</t>
        </is>
      </c>
      <c r="C9" s="35">
        <f>SUM(C6:C8)</f>
        <v/>
      </c>
      <c r="D9" s="35">
        <f>SUM(D6:D8)</f>
        <v/>
      </c>
      <c r="E9" s="35">
        <f>SUM(E6:E8)</f>
        <v/>
      </c>
      <c r="F9" s="35">
        <f>SUM(F6:F8)</f>
        <v/>
      </c>
      <c r="G9" s="36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30" t="inlineStr">
        <is>
          <t>구분</t>
        </is>
      </c>
      <c r="C15" s="30" t="inlineStr">
        <is>
          <t>스타일 수</t>
        </is>
      </c>
      <c r="D15" s="30" t="inlineStr">
        <is>
          <t>기획수량 (장)</t>
        </is>
      </c>
      <c r="E15" s="30" t="inlineStr">
        <is>
          <t>원가합 (원)</t>
        </is>
      </c>
      <c r="F15" s="30" t="inlineStr">
        <is>
          <t>소매가합 (원)</t>
        </is>
      </c>
    </row>
    <row r="16">
      <c r="B16" s="31" t="inlineStr">
        <is>
          <t>의류 전체</t>
        </is>
      </c>
      <c r="C16" s="32">
        <f>C6</f>
        <v/>
      </c>
      <c r="D16" s="32">
        <f>D6</f>
        <v/>
      </c>
      <c r="E16" s="32">
        <f>E6</f>
        <v/>
      </c>
      <c r="F16" s="32">
        <f>F6</f>
        <v/>
      </c>
    </row>
    <row r="17">
      <c r="B17" s="31" t="inlineStr">
        <is>
          <t>비수기 선정 (의류)</t>
        </is>
      </c>
      <c r="C17" s="32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2">
        <f>SUMPRODUCT((LEFT('소재역산 트래커'!$D$5:$D$428,1)&lt;&gt;"Q")*(LEFT('소재역산 트래커'!$D$5:$D$428,1)&lt;&gt;"8")*('소재역산 트래커'!$D$5:$D$428&lt;&gt;"")*('소재역산 트래커'!$P$5:$P$428="O")*'소재역산 트래커'!$AA$5:$AA$428)</f>
        <v/>
      </c>
      <c r="E17" s="32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F17" s="32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</row>
    <row r="18">
      <c r="B18" s="37" t="inlineStr">
        <is>
          <t>비수기 비중</t>
        </is>
      </c>
      <c r="C18" s="38">
        <f>IF(C16=0,"",C17/C16)</f>
        <v/>
      </c>
      <c r="D18" s="38">
        <f>IF(D16=0,"",D17/D16)</f>
        <v/>
      </c>
      <c r="E18" s="38">
        <f>IF(E16=0,"",E17/E16)</f>
        <v/>
      </c>
      <c r="F18" s="38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9">
        <f>COUNTA('소재역산 트래커'!$D$5:$D$428)</f>
        <v/>
      </c>
      <c r="D6" s="39">
        <f>COUNTIF('소재역산 트래커'!$G$5:$G$428,"S(봄)")</f>
        <v/>
      </c>
      <c r="F6" s="40">
        <f>COUNTIF('소재역산 트래커'!$AF$5:$AF$428,"★*")</f>
        <v/>
      </c>
      <c r="H6" s="41">
        <f>COUNTIF('소재역산 트래커'!$AF$5:$AF$428,"◆*")</f>
        <v/>
      </c>
      <c r="J6" s="42">
        <f>COUNTIF('소재역산 트래커'!$P$5:$P$428,"O")</f>
        <v/>
      </c>
    </row>
    <row r="9">
      <c r="B9" s="11" t="inlineStr">
        <is>
          <t>MD별 현황</t>
        </is>
      </c>
    </row>
    <row r="10">
      <c r="B10" s="30" t="inlineStr">
        <is>
          <t>MD</t>
        </is>
      </c>
      <c r="C10" s="30" t="inlineStr">
        <is>
          <t>스타일 수</t>
        </is>
      </c>
      <c r="D10" s="30" t="inlineStr">
        <is>
          <t>S코드</t>
        </is>
      </c>
      <c r="E10" s="30" t="inlineStr">
        <is>
          <t>작지 미발행(X/부분)</t>
        </is>
      </c>
      <c r="F10" s="30" t="inlineStr">
        <is>
          <t>사양확정 미완(X/부분)</t>
        </is>
      </c>
      <c r="G10" s="30" t="inlineStr">
        <is>
          <t>비수기 선정</t>
        </is>
      </c>
      <c r="H10" s="30" t="inlineStr">
        <is>
          <t>★ 납기위험</t>
        </is>
      </c>
      <c r="I10" s="30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트래커'!$AF$5:$AF$428,"★*")</f>
        <v/>
      </c>
      <c r="I11" s="19">
        <f>COUNTIFS('소재역산 트래커'!$B$5:$B$428,$B11,'소재역산 트래커'!$AG$5:$AG$428,"조율완료")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트래커'!$AF$5:$AF$428,"★*")</f>
        <v/>
      </c>
      <c r="I12" s="19">
        <f>COUNTIFS('소재역산 트래커'!$B$5:$B$428,$B12,'소재역산 트래커'!$AG$5:$AG$428,"조율완료")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트래커'!$AF$5:$AF$428,"★*")</f>
        <v/>
      </c>
      <c r="I13" s="19">
        <f>COUNTIFS('소재역산 트래커'!$B$5:$B$428,$B13,'소재역산 트래커'!$AG$5:$AG$428,"조율완료")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트래커'!$AF$5:$AF$428,"★*")</f>
        <v/>
      </c>
      <c r="I14" s="19">
        <f>COUNTIFS('소재역산 트래커'!$B$5:$B$428,$B14,'소재역산 트래커'!$AG$5:$AG$428,"조율완료")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트래커'!$AF$5:$AF$428,"★*")</f>
        <v/>
      </c>
      <c r="I15" s="19">
        <f>COUNTIFS('소재역산 트래커'!$B$5:$B$428,$B15,'소재역산 트래커'!$AG$5:$AG$428,"조율완료")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트래커'!$AF$5:$AF$428,"★*")</f>
        <v/>
      </c>
      <c r="I16" s="19">
        <f>COUNTIFS('소재역산 트래커'!$B$5:$B$428,$B16,'소재역산 트래커'!$AG$5:$AG$428,"조율완료")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트래커'!$AF$5:$AF$428,"★*")</f>
        <v/>
      </c>
      <c r="I17" s="19">
        <f>COUNTIFS('소재역산 트래커'!$B$5:$B$428,$B17,'소재역산 트래커'!$AG$5:$AG$428,"조율완료")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트래커'!$AF$5:$AF$428,"★*")</f>
        <v/>
      </c>
      <c r="I18" s="19">
        <f>COUNTIFS('소재역산 트래커'!$B$5:$B$428,$B18,'소재역산 트래커'!$AG$5:$AG$428,"조율완료")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트래커'!$AF$5:$AF$428,"★*")</f>
        <v/>
      </c>
      <c r="I19" s="19">
        <f>COUNTIFS('소재역산 트래커'!$B$5:$B$428,$B19,'소재역산 트래커'!$AG$5:$AG$428,"조율완료")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트래커'!$AF$5:$AF$428,"★*")</f>
        <v/>
      </c>
      <c r="I20" s="19">
        <f>COUNTIFS('소재역산 트래커'!$B$5:$B$428,$B20,'소재역산 트래커'!$AG$5:$AG$428,"조율완료")</f>
        <v/>
      </c>
    </row>
    <row r="21">
      <c r="B21" s="43" t="inlineStr">
        <is>
          <t>합계</t>
        </is>
      </c>
      <c r="C21" s="44">
        <f>SUM(C11:C20)</f>
        <v/>
      </c>
      <c r="D21" s="44">
        <f>SUM(D11:D20)</f>
        <v/>
      </c>
      <c r="E21" s="44">
        <f>SUM(E11:E20)</f>
        <v/>
      </c>
      <c r="F21" s="44">
        <f>SUM(F11:F20)</f>
        <v/>
      </c>
      <c r="G21" s="44">
        <f>SUM(G11:G20)</f>
        <v/>
      </c>
      <c r="H21" s="44">
        <f>SUM(H11:H20)</f>
        <v/>
      </c>
      <c r="I21" s="44">
        <f>SUM(I11:I20)</f>
        <v/>
      </c>
    </row>
    <row r="24">
      <c r="B24" s="11" t="inlineStr">
        <is>
          <t>공유 메시지 (관계부서 발송용)</t>
        </is>
      </c>
    </row>
    <row r="25">
      <c r="B25" s="45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2026-08-10T02:52:44Z</dcterms:created>
  <dcterms:modified xsi:type="dcterms:W3CDTF">2026-08-10T02:52:45Z</dcterms:modified>
</cp:coreProperties>
</file>