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리스크 요약" sheetId="4" state="visible" r:id="rId6"/>
  </sheets>
  <definedNames>
    <definedName function="false" hidden="true" localSheetId="2" name="_xlnm._FilterDatabase" vbProcedure="false">'소재역산 트래커'!$A$4:$X$428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<sst xmlns="http://schemas.openxmlformats.org/spreadsheetml/2006/main" count="4209" uniqueCount="1019">
  <si>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</si>
  <si>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</si>
  <si>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</si>
  <si>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  ← </t>
    </r>
    <r>
      <rPr>
        <sz val="11"/>
        <color rgb="FF212121"/>
        <rFont val="WenQuanYi Zen Hei"/>
        <family val="2"/>
      </rPr>
      <t xml:space="preserve">출고 전 물류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검품 리드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</si>
  <si>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 ← 생산 리드</t>
    </r>
  </si>
  <si>
    <r>
      <rPr>
        <sz val="11"/>
        <color rgb="FF212121"/>
        <rFont val="맑은 고딕"/>
        <family val="0"/>
        <charset val="1"/>
      </rPr>
      <t xml:space="preserve">   (</t>
    </r>
    <r>
      <rPr>
        <sz val="11"/>
        <color rgb="FF212121"/>
        <rFont val="WenQuanYi Zen Hei"/>
        <family val="2"/>
      </rPr>
      <t xml:space="preserve">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소재는 출고일 기준 </t>
    </r>
    <r>
      <rPr>
        <sz val="11"/>
        <color rgb="FF212121"/>
        <rFont val="맑은 고딕"/>
        <family val="0"/>
        <charset val="1"/>
      </rPr>
      <t xml:space="preserve">104</t>
    </r>
    <r>
      <rPr>
        <sz val="11"/>
        <color rgb="FF212121"/>
        <rFont val="WenQuanYi Zen Hei"/>
        <family val="2"/>
      </rPr>
      <t xml:space="preserve">일 전까지 입고되어야 함</t>
    </r>
    <r>
      <rPr>
        <sz val="11"/>
        <color rgb="FF212121"/>
        <rFont val="맑은 고딕"/>
        <family val="0"/>
        <charset val="1"/>
      </rPr>
      <t xml:space="preserve">. </t>
    </r>
    <r>
      <rPr>
        <sz val="11"/>
        <color rgb="FF212121"/>
        <rFont val="WenQuanYi Zen Hei"/>
        <family val="2"/>
      </rPr>
      <t xml:space="preserve">리드타임은 </t>
    </r>
    <r>
      <rPr>
        <sz val="11"/>
        <color rgb="FF212121"/>
        <rFont val="맑은 고딕"/>
        <family val="0"/>
        <charset val="1"/>
      </rPr>
      <t xml:space="preserve">[</t>
    </r>
    <r>
      <rPr>
        <sz val="11"/>
        <color rgb="FF212121"/>
        <rFont val="WenQuanYi Zen Hei"/>
        <family val="2"/>
      </rPr>
      <t xml:space="preserve">기준정보</t>
    </r>
    <r>
      <rPr>
        <sz val="11"/>
        <color rgb="FF212121"/>
        <rFont val="맑은 고딕"/>
        <family val="0"/>
        <charset val="1"/>
      </rPr>
      <t xml:space="preserve">]</t>
    </r>
    <r>
      <rPr>
        <sz val="11"/>
        <color rgb="FF212121"/>
        <rFont val="WenQuanYi Zen Hei"/>
        <family val="2"/>
      </rPr>
      <t xml:space="preserve">에서 조정 가능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</si>
  <si>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</si>
  <si>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</si>
  <si>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</si>
  <si>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): </t>
    </r>
    <r>
      <rPr>
        <sz val="11"/>
        <color rgb="FF212121"/>
        <rFont val="WenQuanYi Zen Hei"/>
        <family val="2"/>
      </rPr>
      <t xml:space="preserve">계획 변경 시 수정하면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판정이 자동 갱신됩니다</t>
    </r>
    <r>
      <rPr>
        <sz val="11"/>
        <color rgb="FF212121"/>
        <rFont val="맑은 고딕"/>
        <family val="0"/>
        <charset val="1"/>
      </rPr>
      <t xml:space="preserve">.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</si>
  <si>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(O/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/X): </t>
    </r>
    <r>
      <rPr>
        <sz val="11"/>
        <color rgb="FF212121"/>
        <rFont val="WenQuanYi Zen Hei"/>
        <family val="2"/>
      </rPr>
      <t xml:space="preserve">원본 </t>
    </r>
    <r>
      <rPr>
        <sz val="11"/>
        <color rgb="FF212121"/>
        <rFont val="맑은 고딕"/>
        <family val="0"/>
        <charset val="1"/>
      </rPr>
      <t xml:space="preserve">'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' </t>
    </r>
    <r>
      <rPr>
        <sz val="11"/>
        <color rgb="FF212121"/>
        <rFont val="WenQuanYi Zen Hei"/>
        <family val="2"/>
      </rPr>
      <t xml:space="preserve">건수 기준 초기값 — 실제 등록 현황으로 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</si>
  <si>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</si>
  <si>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</si>
  <si>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</si>
  <si>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컬러별 발행 건수 ≥</t>
    </r>
    <r>
      <rPr>
        <sz val="10"/>
        <color rgb="FF666666"/>
        <rFont val="맑은 고딕"/>
        <family val="0"/>
        <charset val="1"/>
      </rPr>
      <t xml:space="preserve">1 </t>
    </r>
    <r>
      <rPr>
        <sz val="10"/>
        <color rgb="FF666666"/>
        <rFont val="WenQuanYi Zen Hei"/>
        <family val="2"/>
      </rPr>
      <t xml:space="preserve">기준 — 전체 컬러 발행 시 </t>
    </r>
    <r>
      <rPr>
        <sz val="10"/>
        <color rgb="FF666666"/>
        <rFont val="맑은 고딕"/>
        <family val="0"/>
        <charset val="1"/>
      </rPr>
      <t xml:space="preserve">O, </t>
    </r>
    <r>
      <rPr>
        <sz val="10"/>
        <color rgb="FF666666"/>
        <rFont val="WenQuanYi Zen Hei"/>
        <family val="2"/>
      </rPr>
      <t xml:space="preserve">일부만 발행 시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부분</t>
    </r>
    <r>
      <rPr>
        <sz val="10"/>
        <color rgb="FF666666"/>
        <rFont val="맑은 고딕"/>
        <family val="0"/>
        <charset val="1"/>
      </rPr>
      <t xml:space="preserve">', </t>
    </r>
    <r>
      <rPr>
        <sz val="10"/>
        <color rgb="FF666666"/>
        <rFont val="WenQuanYi Zen Hei"/>
        <family val="2"/>
      </rPr>
      <t xml:space="preserve">미발행 시 </t>
    </r>
    <r>
      <rPr>
        <sz val="10"/>
        <color rgb="FF666666"/>
        <rFont val="맑은 고딕"/>
        <family val="0"/>
        <charset val="1"/>
      </rPr>
      <t xml:space="preserve">X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</si>
  <si>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출고일 주차가 컬러별로 다른 스타일</t>
    </r>
    <r>
      <rPr>
        <sz val="10"/>
        <color rgb="FF666666"/>
        <rFont val="맑은 고딕"/>
        <family val="0"/>
        <charset val="1"/>
      </rPr>
      <t xml:space="preserve">(8UTCM27101)</t>
    </r>
    <r>
      <rPr>
        <sz val="10"/>
        <color rgb="FF666666"/>
        <rFont val="WenQuanYi Zen Hei"/>
        <family val="2"/>
      </rPr>
      <t xml:space="preserve">은 다수 값을 적용했으니 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</si>
  <si>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</si>
  <si>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</si>
  <si>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</si>
  <si>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</si>
  <si>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</si>
  <si>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</si>
  <si>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</si>
  <si>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</si>
  <si>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</si>
  <si>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</si>
  <si>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</si>
  <si>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</si>
  <si>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</si>
  <si>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</si>
  <si>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출고일 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 </t>
    </r>
    <r>
      <rPr>
        <b val="true"/>
        <sz val="14"/>
        <color rgb="FFFFFFFF"/>
        <rFont val="맑은 고딕"/>
        <family val="0"/>
        <charset val="1"/>
      </rPr>
      <t xml:space="preserve">= </t>
    </r>
    <r>
      <rPr>
        <b val="true"/>
        <sz val="14"/>
        <color rgb="FFFFFFFF"/>
        <rFont val="WenQuanYi Zen Hei"/>
        <family val="2"/>
      </rPr>
      <t xml:space="preserve">제품입고</t>
    </r>
    <r>
      <rPr>
        <b val="true"/>
        <sz val="14"/>
        <color rgb="FFFFFFFF"/>
        <rFont val="맑은 고딕"/>
        <family val="0"/>
        <charset val="1"/>
      </rPr>
      <t xml:space="preserve">, </t>
    </r>
    <r>
      <rPr>
        <b val="true"/>
        <sz val="14"/>
        <color rgb="FFFFFFFF"/>
        <rFont val="WenQuanYi Zen Hei"/>
        <family val="2"/>
      </rPr>
      <t xml:space="preserve">입고 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맑은 고딕"/>
        <family val="0"/>
        <charset val="1"/>
      </rPr>
      <t xml:space="preserve">= </t>
    </r>
    <r>
      <rPr>
        <b val="true"/>
        <sz val="14"/>
        <color rgb="FFFFFFFF"/>
        <rFont val="WenQuanYi Zen Hei"/>
        <family val="2"/>
      </rPr>
      <t xml:space="preserve">소재마감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</si>
  <si>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</si>
  <si>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</si>
  <si>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/ </t>
    </r>
    <r>
      <rPr>
        <sz val="10"/>
        <color rgb="FFE8474C"/>
        <rFont val="WenQuanYi Zen Hei"/>
        <family val="2"/>
      </rPr>
      <t xml:space="preserve">나머지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자동계산  </t>
    </r>
    <r>
      <rPr>
        <sz val="10"/>
        <color rgb="FFE8474C"/>
        <rFont val="맑은 고딕"/>
        <family val="0"/>
        <charset val="1"/>
      </rPr>
      <t xml:space="preserve">·  ★ </t>
    </r>
    <r>
      <rPr>
        <sz val="10"/>
        <color rgb="FFE8474C"/>
        <rFont val="WenQuanYi Zen Hei"/>
        <family val="2"/>
      </rPr>
      <t xml:space="preserve">납기위험 </t>
    </r>
    <r>
      <rPr>
        <sz val="10"/>
        <color rgb="FFE8474C"/>
        <rFont val="맑은 고딕"/>
        <family val="0"/>
        <charset val="1"/>
      </rPr>
      <t xml:space="preserve">= S</t>
    </r>
    <r>
      <rPr>
        <sz val="10"/>
        <color rgb="FFE8474C"/>
        <rFont val="WenQuanYi Zen Hei"/>
        <family val="2"/>
      </rPr>
      <t xml:space="preserve">코드</t>
    </r>
    <r>
      <rPr>
        <sz val="10"/>
        <color rgb="FFE8474C"/>
        <rFont val="맑은 고딕"/>
        <family val="0"/>
        <charset val="1"/>
      </rPr>
      <t xml:space="preserve">(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) </t>
    </r>
    <r>
      <rPr>
        <sz val="10"/>
        <color rgb="FFE8474C"/>
        <rFont val="WenQuanYi Zen Hei"/>
        <family val="2"/>
      </rPr>
      <t xml:space="preserve">중 작지 미발행 또는 소재마감 초과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</si>
  <si>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</si>
  <si>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</si>
  <si>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</si>
  <si>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</si>
  <si>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</si>
  <si>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</si>
  <si>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</si>
  <si>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</si>
  <si>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</si>
  <si>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</si>
  <si>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</si>
  <si>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</si>
  <si>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</si>
  <si>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</si>
  <si>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</si>
  <si>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</si>
  <si>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</si>
  <si>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</si>
  <si>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</si>
  <si>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</si>
  <si>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</si>
  <si>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</si>
  <si>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</si>
  <si>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</si>
  <si>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</si>
  <si>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</si>
  <si>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</si>
  <si>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</si>
  <si>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</si>
  <si>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</si>
  <si>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</si>
  <si>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</si>
  <si>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</si>
  <si>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</si>
  <si>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</si>
  <si>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</si>
  <si>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</si>
  <si>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</si>
  <si>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</si>
  <si>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</si>
  <si>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</si>
  <si>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</si>
  <si>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</si>
  <si>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</si>
  <si>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</si>
  <si>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</si>
  <si>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</si>
  <si>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</si>
  <si>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JKTBS27058</t>
  </si>
  <si>
    <t xml:space="preserve">히어로 여성 니트도트 긴팔 라운드티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</si>
  <si>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</si>
  <si>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</si>
  <si>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</si>
  <si>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</si>
  <si>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</si>
  <si>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</si>
  <si>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</si>
  <si>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</si>
  <si>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</si>
  <si>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</si>
  <si>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</si>
  <si>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</si>
  <si>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</si>
  <si>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</si>
  <si>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</si>
  <si>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</si>
  <si>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</si>
  <si>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</si>
  <si>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</si>
  <si>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</si>
  <si>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</si>
  <si>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</si>
  <si>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</si>
  <si>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</si>
  <si>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어필코리아</t>
  </si>
  <si>
    <t xml:space="preserve">TVTBS27548</t>
  </si>
  <si>
    <t xml:space="preserve">여성 베이직 폴로 긴팔 티셔츠</t>
  </si>
  <si>
    <t xml:space="preserve">TVTBS27592</t>
  </si>
  <si>
    <t xml:space="preserve">춘절 여성 니트 폴로 긴팔 티셔츠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</si>
  <si>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</si>
  <si>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</si>
  <si>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</si>
  <si>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</si>
  <si>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</si>
  <si>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</si>
  <si>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X</t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</si>
  <si>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</si>
  <si>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</si>
  <si>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</si>
  <si>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</si>
  <si>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</si>
  <si>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</si>
  <si>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</si>
  <si>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</si>
  <si>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</si>
  <si>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</si>
  <si>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</si>
  <si>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</si>
  <si>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</si>
  <si>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</si>
  <si>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</si>
  <si>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</si>
  <si>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</si>
  <si>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</si>
  <si>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</si>
  <si>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</si>
  <si>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</si>
  <si>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</si>
  <si>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</si>
  <si>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</si>
  <si>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</si>
  <si>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</si>
  <si>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</si>
  <si>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</si>
  <si>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</si>
  <si>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</si>
  <si>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</si>
  <si>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</si>
  <si>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</si>
  <si>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</si>
  <si>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</si>
  <si>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</si>
  <si>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</si>
  <si>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</si>
  <si>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</si>
  <si>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</si>
  <si>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</si>
  <si>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</si>
  <si>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</si>
  <si>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</si>
  <si>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</si>
  <si>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</si>
  <si>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</si>
  <si>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</si>
  <si>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</si>
  <si>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</si>
  <si>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</si>
  <si>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JKTBS27104</t>
  </si>
  <si>
    <t xml:space="preserve">춘절 여성 베이직 긴팔 라운드 티셔츠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</si>
  <si>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</si>
  <si>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</si>
  <si>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</si>
  <si>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</si>
  <si>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</si>
  <si>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</si>
  <si>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</si>
  <si>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</si>
  <si>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</si>
  <si>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</si>
  <si>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</si>
  <si>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</si>
  <si>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JWPNS27113</t>
  </si>
  <si>
    <t xml:space="preserve">춘절 남성 레귤러핏 하이킹 팬츠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</si>
  <si>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</si>
  <si>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</si>
  <si>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</si>
  <si>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성원</t>
  </si>
  <si>
    <t xml:space="preserve">JWTBS27111</t>
  </si>
  <si>
    <t xml:space="preserve">남성 하이브리드 긴팔 집업 티셔츠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</si>
  <si>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</si>
  <si>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</si>
  <si>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</si>
  <si>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</si>
  <si>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</si>
  <si>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</si>
  <si>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</si>
  <si>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</si>
  <si>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</si>
  <si>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</si>
  <si>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</si>
  <si>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</si>
  <si>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</si>
  <si>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</si>
  <si>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서은미</t>
  </si>
  <si>
    <t xml:space="preserve">TLJJS27551</t>
  </si>
  <si>
    <t xml:space="preserve">춘절 남성 키퍼 스탠드넥 재킷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</si>
  <si>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</si>
  <si>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</si>
  <si>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</si>
  <si>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</si>
  <si>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</si>
  <si>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</si>
  <si>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</si>
  <si>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</si>
  <si>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</si>
  <si>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</si>
  <si>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</si>
  <si>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</si>
  <si>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TVJJS27522</t>
  </si>
  <si>
    <t xml:space="preserve">춘절 여성 웨더 중기장 재킷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</si>
  <si>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</si>
  <si>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</si>
  <si>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TVJJS27552</t>
  </si>
  <si>
    <t xml:space="preserve">춘절 여성 키퍼 중기장 벨티드 재킷</t>
  </si>
  <si>
    <t xml:space="preserve">TVJJS27562</t>
  </si>
  <si>
    <t xml:space="preserve">춘절 여성 키퍼 넥리스 재킷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</si>
  <si>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</si>
  <si>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</si>
  <si>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</si>
  <si>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</si>
  <si>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</si>
  <si>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</si>
  <si>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</si>
  <si>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</si>
  <si>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</si>
  <si>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</si>
  <si>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</si>
  <si>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</si>
  <si>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</si>
  <si>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</si>
  <si>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</si>
  <si>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</si>
  <si>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</si>
  <si>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</si>
  <si>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</si>
  <si>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</si>
  <si>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</si>
  <si>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</si>
  <si>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</si>
  <si>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</si>
  <si>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</si>
  <si>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</si>
  <si>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</si>
  <si>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</si>
  <si>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</si>
  <si>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</si>
  <si>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</si>
  <si>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</si>
  <si>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</si>
  <si>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</si>
  <si>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</si>
  <si>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</si>
  <si>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</si>
  <si>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</si>
  <si>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</si>
  <si>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</si>
  <si>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</si>
  <si>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</si>
  <si>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</si>
  <si>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</si>
  <si>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JKTBS27116</t>
  </si>
  <si>
    <t xml:space="preserve">춘절 여성 후드 티셔츠</t>
  </si>
  <si>
    <t xml:space="preserve">JKTBS27118</t>
  </si>
  <si>
    <t xml:space="preserve">춘절 여성 하이브리드 긴팔 후드 티셔츠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</si>
  <si>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</si>
  <si>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</si>
  <si>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</si>
  <si>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</si>
  <si>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JWJGS27103</t>
  </si>
  <si>
    <t xml:space="preserve">남성 고어텍스 후드 디테쳐블 방수 재킷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</si>
  <si>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</si>
  <si>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</si>
  <si>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</si>
  <si>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</si>
  <si>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TLJJS27503</t>
  </si>
  <si>
    <t xml:space="preserve">춘절 남성 소프트쉘 헤링턴 재킷</t>
  </si>
  <si>
    <t xml:space="preserve">TLJJS27511</t>
  </si>
  <si>
    <t xml:space="preserve">춘절 남성 소프트안감 드리즐러 재킷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</si>
  <si>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</si>
  <si>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</si>
  <si>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</si>
  <si>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</si>
  <si>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</si>
  <si>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</si>
  <si>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TLPNS27501</t>
  </si>
  <si>
    <t xml:space="preserve">춘절 루즈핏 커브드 팬츠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</si>
  <si>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</si>
  <si>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</si>
  <si>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</si>
  <si>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</si>
  <si>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</si>
  <si>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</si>
  <si>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</si>
  <si>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</si>
  <si>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</si>
  <si>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</si>
  <si>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</si>
  <si>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</si>
  <si>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</si>
  <si>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</si>
  <si>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</si>
  <si>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TLSXS27501</t>
  </si>
  <si>
    <t xml:space="preserve">남성 기본형 세미오버 긴팔 셔츠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</si>
  <si>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</si>
  <si>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</si>
  <si>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</si>
  <si>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TVSXS27502</t>
  </si>
  <si>
    <t xml:space="preserve">여성 기본형 세미오버 긴팔 셔츠</t>
  </si>
  <si>
    <t xml:space="preserve">TVSXS27522</t>
  </si>
  <si>
    <t xml:space="preserve">여성 아우터형 긴팔 셔츠</t>
  </si>
  <si>
    <t xml:space="preserve">JWJJS27109</t>
  </si>
  <si>
    <t xml:space="preserve">남녀공용 우의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</si>
  <si>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</si>
  <si>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</si>
  <si>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</si>
  <si>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</si>
  <si>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JWTBS27103</t>
  </si>
  <si>
    <t xml:space="preserve">남성 베이직 긴팔 라운드 티셔츠</t>
  </si>
  <si>
    <t xml:space="preserve">JWVAS27109</t>
  </si>
  <si>
    <t xml:space="preserve">남성 유틸리티 스탠드넥 베스트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</si>
  <si>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</si>
  <si>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</si>
  <si>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</si>
  <si>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</si>
  <si>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</si>
  <si>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</si>
  <si>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</si>
  <si>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</si>
  <si>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</si>
  <si>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</si>
  <si>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TLTCM27503</t>
  </si>
  <si>
    <t xml:space="preserve">하절 남성 핫멜트 폴로 반팔 티셔츠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</si>
  <si>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</si>
  <si>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</si>
  <si>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</si>
  <si>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TVTCM27504</t>
  </si>
  <si>
    <t xml:space="preserve">하절 여성 핫멜트 폴로 반팔 티셔츠</t>
  </si>
  <si>
    <t xml:space="preserve">TVTCM27506</t>
  </si>
  <si>
    <t xml:space="preserve">여성 소로나 라운드넥 반팔 티셔츠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</si>
  <si>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</si>
  <si>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</si>
  <si>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</si>
  <si>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</si>
  <si>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</si>
  <si>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</si>
  <si>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</si>
  <si>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</si>
  <si>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</si>
  <si>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</si>
  <si>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</si>
  <si>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</si>
  <si>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</si>
  <si>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</si>
  <si>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</si>
  <si>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JKTBM27168</t>
  </si>
  <si>
    <t xml:space="preserve">하절 여성 패턴 긴팔 집업 티셔츠</t>
  </si>
  <si>
    <t xml:space="preserve">JKTBM27182</t>
  </si>
  <si>
    <t xml:space="preserve">하절 여성 에어도트 하이브리드 긴팔 후드 티셔츠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</si>
  <si>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</si>
  <si>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</si>
  <si>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</si>
  <si>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</si>
  <si>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</si>
  <si>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</si>
  <si>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</si>
  <si>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</si>
  <si>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</si>
  <si>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</si>
  <si>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</si>
  <si>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</si>
  <si>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</si>
  <si>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</si>
  <si>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조은선</t>
  </si>
  <si>
    <t xml:space="preserve">QEHFM27301</t>
  </si>
  <si>
    <t xml:space="preserve">남녀공용 모스드라이 하이킹 스트레치 반장갑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</si>
  <si>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</si>
  <si>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</si>
  <si>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</si>
  <si>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TLPNM27511</t>
  </si>
  <si>
    <t xml:space="preserve">하절 남성 면 혼방 레귤러핏 테이퍼드 팬츠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</si>
  <si>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</si>
  <si>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</si>
  <si>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</si>
  <si>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</si>
  <si>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</si>
  <si>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</si>
  <si>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</si>
  <si>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</si>
  <si>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</si>
  <si>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</si>
  <si>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</si>
  <si>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</si>
  <si>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</si>
  <si>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TLTCM27561</t>
  </si>
  <si>
    <t xml:space="preserve">하절 남성 헨리넥 레귤러핏 반팔 티셔츠</t>
  </si>
  <si>
    <t xml:space="preserve">TVJJM27502</t>
  </si>
  <si>
    <t xml:space="preserve">하절 여성 스탠드넥 벤틸레이션 방풍 재킷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</si>
  <si>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</si>
  <si>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</si>
  <si>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TVJJM27542</t>
  </si>
  <si>
    <t xml:space="preserve">하절 여성 중기장 오버사이즈 재킷</t>
  </si>
  <si>
    <t xml:space="preserve">TVTCM27502</t>
  </si>
  <si>
    <t xml:space="preserve">하절 여성 베이직 폴로 반팔 티셔츠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</si>
  <si>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</si>
  <si>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</si>
  <si>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</si>
  <si>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</si>
  <si>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</si>
  <si>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</si>
  <si>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</si>
  <si>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JKJJM27182</t>
  </si>
  <si>
    <t xml:space="preserve">하절 여성 제노아 스트레치 중기장 인후드 재킷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</si>
  <si>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</si>
  <si>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</si>
  <si>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</si>
  <si>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</si>
  <si>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JWTCM27127</t>
  </si>
  <si>
    <t xml:space="preserve">남녀공용 소로나 릴렉스핏 그래픽 티셔츠</t>
  </si>
  <si>
    <t xml:space="preserve">JWTCM27147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</si>
  <si>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</si>
  <si>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</si>
  <si>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TLJJM27501</t>
  </si>
  <si>
    <t xml:space="preserve">하절 남성 경량 재킷</t>
  </si>
  <si>
    <t xml:space="preserve">TLJJM27511</t>
  </si>
  <si>
    <t xml:space="preserve">하절 남성 윈드포레스트 패커블 방풍 재킷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</si>
  <si>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</si>
  <si>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</si>
  <si>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</si>
  <si>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TLJJM27703</t>
  </si>
  <si>
    <t xml:space="preserve">남성 트레일러닝 패커블 초경량 방풍 자켓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</si>
  <si>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</si>
  <si>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</si>
  <si>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</si>
  <si>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</si>
  <si>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</si>
  <si>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</si>
  <si>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TLTCM27711</t>
  </si>
  <si>
    <t xml:space="preserve">남성 트레일러닝 흡습속건 라운드 반팔 티셔츠</t>
  </si>
  <si>
    <t xml:space="preserve">TLTCM27721</t>
  </si>
  <si>
    <t xml:space="preserve">남성 트레일러닝 자카드 라운드 슬리브리스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</si>
  <si>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</si>
  <si>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</si>
  <si>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</si>
  <si>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</si>
  <si>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</si>
  <si>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</si>
  <si>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</si>
  <si>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</si>
  <si>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TVPNM27522</t>
  </si>
  <si>
    <t xml:space="preserve">하절 여성 카고조거 팬츠</t>
  </si>
  <si>
    <t xml:space="preserve">TVPNM27532</t>
  </si>
  <si>
    <t xml:space="preserve">하절 여성 와이드 팬츠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</si>
  <si>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</si>
  <si>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</si>
  <si>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</si>
  <si>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</si>
  <si>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</si>
  <si>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</si>
  <si>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</si>
  <si>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</si>
  <si>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</si>
  <si>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</si>
  <si>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TVTCM27712</t>
  </si>
  <si>
    <t xml:space="preserve">여성 트레일러닝 흡습속건 라운드 반팔 티셔츠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</si>
  <si>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</si>
  <si>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</si>
  <si>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</si>
  <si>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</si>
  <si>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</si>
  <si>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</si>
  <si>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</si>
  <si>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</si>
  <si>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</si>
  <si>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</si>
  <si>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</si>
  <si>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</si>
  <si>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</si>
  <si>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</si>
  <si>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</si>
  <si>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</si>
  <si>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</si>
  <si>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</si>
  <si>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</si>
  <si>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</si>
  <si>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</si>
  <si>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</si>
  <si>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</si>
  <si>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</si>
  <si>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</si>
  <si>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JKTCM27182</t>
  </si>
  <si>
    <t xml:space="preserve">하절 여성 에어도트 반팔 집업 티셔츠</t>
  </si>
  <si>
    <t xml:space="preserve">JKTCM27184</t>
  </si>
  <si>
    <t xml:space="preserve">하절 여성 에어도트 반팔 폴로 티셔츠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</si>
  <si>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</si>
  <si>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</si>
  <si>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</si>
  <si>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</si>
  <si>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JKVAM27102</t>
  </si>
  <si>
    <t xml:space="preserve">하절 여성 에센셜 경량 베스트</t>
  </si>
  <si>
    <t xml:space="preserve">JWJJM27151</t>
  </si>
  <si>
    <t xml:space="preserve">남성 윈드케이 경량 방풍 재킷</t>
  </si>
  <si>
    <t xml:space="preserve">JWJJM27155</t>
  </si>
  <si>
    <t xml:space="preserve">남성 고강력사 방풍 재킷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</si>
  <si>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</si>
  <si>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</si>
  <si>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</si>
  <si>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</si>
  <si>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JWPNM27171</t>
  </si>
  <si>
    <t xml:space="preserve">하절 남성 루즈핏 파라슈트 팬츠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</si>
  <si>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</si>
  <si>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</si>
  <si>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</si>
  <si>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</si>
  <si>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</si>
  <si>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</si>
  <si>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</si>
  <si>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</si>
  <si>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</si>
  <si>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</si>
  <si>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JWTBM27181</t>
  </si>
  <si>
    <t xml:space="preserve">남녀공용 솔솔 에어도트 하이브리드 긴팔 티셔츠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</si>
  <si>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</si>
  <si>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</si>
  <si>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</si>
  <si>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</si>
  <si>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JWVAM27101</t>
  </si>
  <si>
    <t xml:space="preserve">남성 에센셜 경량 베스트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</si>
  <si>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</si>
  <si>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</si>
  <si>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</si>
  <si>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</si>
  <si>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</si>
  <si>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</si>
  <si>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</si>
  <si>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</si>
  <si>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</si>
  <si>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</si>
  <si>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</si>
  <si>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</si>
  <si>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</si>
  <si>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</si>
  <si>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</si>
  <si>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</si>
  <si>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</si>
  <si>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</si>
  <si>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</si>
  <si>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</si>
  <si>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</si>
  <si>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</si>
  <si>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</si>
  <si>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</si>
  <si>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TLSCM27511</t>
  </si>
  <si>
    <t xml:space="preserve">하절 남성 체크 반팔 셔츠</t>
  </si>
  <si>
    <t xml:space="preserve">-</t>
  </si>
  <si>
    <t xml:space="preserve">TLSCM27551</t>
  </si>
  <si>
    <t xml:space="preserve">하절 남성 멀티 스트라이프 반팔 셔츠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</si>
  <si>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</si>
  <si>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</si>
  <si>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</si>
  <si>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</si>
  <si>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TLTCM27501</t>
  </si>
  <si>
    <t xml:space="preserve">하절 남성 베이직 폴로 반팔 티셔츠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</si>
  <si>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</si>
  <si>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</si>
  <si>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</si>
  <si>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</si>
  <si>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</si>
  <si>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</si>
  <si>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</si>
  <si>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</si>
  <si>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</si>
  <si>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</si>
  <si>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</si>
  <si>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</si>
  <si>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TVJJM27512</t>
  </si>
  <si>
    <t xml:space="preserve">하절 여성 메쉬 하이브리드 라운드넥 재킷</t>
  </si>
  <si>
    <t xml:space="preserve">TVJJM27522</t>
  </si>
  <si>
    <t xml:space="preserve">하절 여성 중기장 후디드 방풍 재킷</t>
  </si>
  <si>
    <t xml:space="preserve">TVJJM27552</t>
  </si>
  <si>
    <t xml:space="preserve">하절 여성 메쉬 하이브리드 크롭 후디드 재킷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</si>
  <si>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</si>
  <si>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</si>
  <si>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</si>
  <si>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</si>
  <si>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</si>
  <si>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</si>
  <si>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</si>
  <si>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</si>
  <si>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</si>
  <si>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</si>
  <si>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TVTCM27528</t>
  </si>
  <si>
    <t xml:space="preserve">하절 여성 린넨 라이크 폴로 반팔 티셔츠</t>
  </si>
  <si>
    <t xml:space="preserve">TVTCM27538</t>
  </si>
  <si>
    <t xml:space="preserve">하절 여성 시어서커 반팔 폴로 티셔츠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</si>
  <si>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</si>
  <si>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</si>
  <si>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</si>
  <si>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</si>
  <si>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</si>
  <si>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</si>
  <si>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</si>
  <si>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</si>
  <si>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TVVAM27562</t>
  </si>
  <si>
    <t xml:space="preserve">하절 여성 경량 방풍 베스트</t>
  </si>
  <si>
    <t xml:space="preserve">JWTCM27151</t>
  </si>
  <si>
    <t xml:space="preserve">남성 소로나 메쉬 반팔 집업 티셔츠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</si>
  <si>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</si>
  <si>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</si>
  <si>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</si>
  <si>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</si>
  <si>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</si>
  <si>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</si>
  <si>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JKJJM27376</t>
  </si>
  <si>
    <t xml:space="preserve">여성 에그라이트 스탠드넥 방풍 재킷</t>
  </si>
  <si>
    <t xml:space="preserve">JKPNM27158</t>
  </si>
  <si>
    <t xml:space="preserve">하절 여성 레귤러핏 팬츠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</si>
  <si>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</si>
  <si>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</si>
  <si>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</si>
  <si>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</si>
  <si>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</si>
  <si>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</si>
  <si>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</si>
  <si>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</si>
  <si>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</si>
  <si>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</si>
  <si>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</si>
  <si>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</si>
  <si>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JKTBM27312</t>
  </si>
  <si>
    <t xml:space="preserve">여성 패커블 그래픽 긴팔 티셔츠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</si>
  <si>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</si>
  <si>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</si>
  <si>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JKTCM27312</t>
  </si>
  <si>
    <t xml:space="preserve">여성 슬리브리스</t>
  </si>
  <si>
    <t xml:space="preserve">JKVAM27372</t>
  </si>
  <si>
    <t xml:space="preserve">여성 에그라이트 후드형 베스트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</si>
  <si>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</si>
  <si>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</si>
  <si>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</si>
  <si>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</si>
  <si>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JWJJM27371</t>
  </si>
  <si>
    <t xml:space="preserve">남성 에그라이트 방풍 재킷</t>
  </si>
  <si>
    <t xml:space="preserve">JWJJM27373</t>
  </si>
  <si>
    <t xml:space="preserve">남성 에그라이트 방수 재킷</t>
  </si>
  <si>
    <t xml:space="preserve">JWJJM27375</t>
  </si>
  <si>
    <t xml:space="preserve">남성 에그라이트 스탠드넥 방풍 재킷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</si>
  <si>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</si>
  <si>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</si>
  <si>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</si>
  <si>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</si>
  <si>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</si>
  <si>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</si>
  <si>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</si>
  <si>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</si>
  <si>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</si>
  <si>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</si>
  <si>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JWTCM27131</t>
  </si>
  <si>
    <t xml:space="preserve">JWTCM27133</t>
  </si>
  <si>
    <t xml:space="preserve">남녀공용 에어론 릴렉스핏 그래픽 티셔츠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</si>
  <si>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</si>
  <si>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</si>
  <si>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</si>
  <si>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</si>
  <si>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</si>
  <si>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</si>
  <si>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</si>
  <si>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</si>
  <si>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</si>
  <si>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</si>
  <si>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</si>
  <si>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</si>
  <si>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</si>
  <si>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</si>
  <si>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</si>
  <si>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</si>
  <si>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</si>
  <si>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</si>
  <si>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</si>
  <si>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</si>
  <si>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QEAKM27103</t>
  </si>
  <si>
    <t xml:space="preserve">남녀공용 봉제형 이어 멀티 쿨 마스크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</si>
  <si>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</si>
  <si>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</si>
  <si>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</si>
  <si>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</si>
  <si>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QEHEM27105</t>
  </si>
  <si>
    <t xml:space="preserve">남녀공용 모스드라이 손등 팔토시</t>
  </si>
  <si>
    <t xml:space="preserve">QEREM27171</t>
  </si>
  <si>
    <t xml:space="preserve">남녀공용 애어도트 사하라캡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</si>
  <si>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</si>
  <si>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</si>
  <si>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</si>
  <si>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</si>
  <si>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QERFM27171</t>
  </si>
  <si>
    <t xml:space="preserve">남녀공용 사하라 버킷햇</t>
  </si>
  <si>
    <t xml:space="preserve">QERFM27501</t>
  </si>
  <si>
    <t xml:space="preserve">남녀공용 데이팩 버킷햇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</si>
  <si>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</si>
  <si>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</si>
  <si>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</si>
  <si>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</si>
  <si>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</si>
  <si>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</si>
  <si>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</si>
  <si>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</si>
  <si>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</si>
  <si>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</si>
  <si>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</si>
  <si>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</si>
  <si>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TLPOM27699</t>
  </si>
  <si>
    <t xml:space="preserve">하절 남성 데이팩 카고 쇼츠</t>
  </si>
  <si>
    <t xml:space="preserve">TLSCM27693</t>
  </si>
  <si>
    <t xml:space="preserve">하절 남성 데이팩 베이직 셔츠</t>
  </si>
  <si>
    <t xml:space="preserve">TLTCM27507</t>
  </si>
  <si>
    <t xml:space="preserve">하절 남성 리노쿨 피케 폴로 티셔츠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</si>
  <si>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</si>
  <si>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</si>
  <si>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</si>
  <si>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</si>
  <si>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</si>
  <si>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</si>
  <si>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TVPNM27694</t>
  </si>
  <si>
    <t xml:space="preserve">하절 여성 데이팩 루즈 팬츠</t>
  </si>
  <si>
    <t xml:space="preserve">TVPOM27512</t>
  </si>
  <si>
    <t xml:space="preserve">하절 여성 버뮤다 팬츠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</si>
  <si>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</si>
  <si>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</si>
  <si>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</si>
  <si>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</si>
  <si>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</si>
  <si>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</si>
  <si>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TVPOM27698</t>
  </si>
  <si>
    <t xml:space="preserve">하절 여성 데이팩 카고 쇼츠</t>
  </si>
  <si>
    <t xml:space="preserve">TVSCM27692</t>
  </si>
  <si>
    <t xml:space="preserve">하절 여성 데이팩 반팔 셔츠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</si>
  <si>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</si>
  <si>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</si>
  <si>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</si>
  <si>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</si>
  <si>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</si>
  <si>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</si>
  <si>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</si>
  <si>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</si>
  <si>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</si>
  <si>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</si>
  <si>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</si>
  <si>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</si>
  <si>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</si>
  <si>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</si>
  <si>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</si>
  <si>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</si>
  <si>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</si>
  <si>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</si>
  <si>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</si>
  <si>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</si>
  <si>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</si>
  <si>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</si>
  <si>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</si>
  <si>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</si>
  <si>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</si>
  <si>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</si>
  <si>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</si>
  <si>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</si>
  <si>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</si>
  <si>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</si>
  <si>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</si>
  <si>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</si>
  <si>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</si>
  <si>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</si>
  <si>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</si>
  <si>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</si>
  <si>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</si>
  <si>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</si>
  <si>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</si>
  <si>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</si>
  <si>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</si>
  <si>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</si>
  <si>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</si>
  <si>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</si>
  <si>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</si>
  <si>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</si>
  <si>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</si>
  <si>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</si>
  <si>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</si>
  <si>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</si>
  <si>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</si>
  <si>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</si>
  <si>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</si>
  <si>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</si>
  <si>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</si>
  <si>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</si>
  <si>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</si>
  <si>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</si>
  <si>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</si>
  <si>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</si>
  <si>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</si>
  <si>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</si>
  <si>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</si>
  <si>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</si>
  <si>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</si>
  <si>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</si>
  <si>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</si>
  <si>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</si>
  <si>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</si>
  <si>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</si>
  <si>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</si>
  <si>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</si>
  <si>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</si>
  <si>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</si>
  <si>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</si>
  <si>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</si>
  <si>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</si>
  <si>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</si>
  <si>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</si>
  <si>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</si>
  <si>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</si>
  <si>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</si>
  <si>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</si>
  <si>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</si>
  <si>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</si>
  <si>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</si>
  <si>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</si>
  <si>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</si>
  <si>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</si>
  <si>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</si>
  <si>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</si>
  <si>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</si>
  <si>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</si>
  <si>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</si>
  <si>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</si>
  <si>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</si>
  <si>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</si>
  <si>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</si>
  <si>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</si>
  <si>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</si>
  <si>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JWTCM27141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</si>
  <si>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</si>
  <si>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</si>
  <si>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</si>
  <si>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</si>
  <si>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</si>
  <si>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</si>
  <si>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</si>
  <si>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</si>
  <si>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</si>
  <si>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</si>
  <si>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</si>
  <si>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</si>
  <si>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</si>
  <si>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</si>
  <si>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</si>
  <si>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</si>
  <si>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</si>
  <si>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</si>
  <si>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</si>
  <si>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</si>
  <si>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</si>
  <si>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</si>
  <si>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</si>
  <si>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</si>
  <si>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</si>
  <si>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</si>
  <si>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</si>
  <si>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</si>
  <si>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</si>
  <si>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</si>
  <si>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</si>
  <si>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</si>
  <si>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</si>
  <si>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</si>
  <si>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</si>
  <si>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</si>
  <si>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</si>
  <si>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크리스</t>
  </si>
  <si>
    <t xml:space="preserve">QELAX27121</t>
  </si>
  <si>
    <t xml:space="preserve">남녀공용 메리노울 하이킹 컴프레션 크루 삭스</t>
  </si>
  <si>
    <t xml:space="preserve">QELAX27131</t>
  </si>
  <si>
    <t xml:space="preserve">남녀공용 메리노울 컴프레션 크루 삭스</t>
  </si>
  <si>
    <t xml:space="preserve">QELAX27141</t>
  </si>
  <si>
    <t xml:space="preserve">남녀공용 하이킹 딥다잉 컴프레션 크루 삭스</t>
  </si>
  <si>
    <t xml:space="preserve">QELAX27501</t>
  </si>
  <si>
    <t xml:space="preserve">남녀공용 바이오맥스 니삭스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</si>
  <si>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</si>
  <si>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</si>
  <si>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</si>
  <si>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</si>
  <si>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QERFX27101</t>
  </si>
  <si>
    <t xml:space="preserve">남녀공용 고어텍스 버킷햇</t>
  </si>
  <si>
    <t xml:space="preserve">QERFX27111</t>
  </si>
  <si>
    <t xml:space="preserve">남녀공용 고어텍스 브림햇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</si>
  <si>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</si>
  <si>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</si>
  <si>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</si>
  <si>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</si>
  <si>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</si>
  <si>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</si>
  <si>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</si>
  <si>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QEBDX27123</t>
  </si>
  <si>
    <t xml:space="preserve">남녀공용 백패킹 사코슈백</t>
  </si>
  <si>
    <t xml:space="preserve">QEBDX27133</t>
  </si>
  <si>
    <t xml:space="preserve">남녀공용 하이킹 미니 웨이스트백</t>
  </si>
  <si>
    <t xml:space="preserve">QEBDX27135</t>
  </si>
  <si>
    <t xml:space="preserve">남녀공용 백패킹 보틀 홀더</t>
  </si>
  <si>
    <t xml:space="preserve">QEBDX27137</t>
  </si>
  <si>
    <t xml:space="preserve">남녀공용 하이킹 미니 파우치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</si>
  <si>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</si>
  <si>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</si>
  <si>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</si>
  <si>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</si>
  <si>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</si>
  <si>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</si>
  <si>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</si>
  <si>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</si>
  <si>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</si>
  <si>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</si>
  <si>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</si>
  <si>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</si>
  <si>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</si>
  <si>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</si>
  <si>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</si>
  <si>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</si>
  <si>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</si>
  <si>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QEHFX27105</t>
  </si>
  <si>
    <t xml:space="preserve">남녀공용 하이킹 메쉬 긴장갑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</si>
  <si>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</si>
  <si>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</si>
  <si>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</si>
  <si>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</si>
  <si>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</si>
  <si>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</si>
  <si>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</si>
  <si>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</si>
  <si>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</si>
  <si>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</si>
  <si>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</si>
  <si>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</si>
  <si>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</si>
  <si>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</si>
  <si>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</si>
  <si>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</si>
  <si>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</si>
  <si>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</si>
  <si>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</si>
  <si>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</si>
  <si>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</si>
  <si>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</si>
  <si>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QEAKX27111</t>
  </si>
  <si>
    <t xml:space="preserve">남녀공용 그래픽 스카프</t>
  </si>
  <si>
    <t xml:space="preserve">QELAX27511</t>
  </si>
  <si>
    <t xml:space="preserve">남녀공용 그래픽 크루 삭스</t>
  </si>
  <si>
    <t xml:space="preserve">QELAX27521</t>
  </si>
  <si>
    <t xml:space="preserve">남녀공용 레트로 크루 삭스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</si>
  <si>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</si>
  <si>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</si>
  <si>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</si>
  <si>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</si>
  <si>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</si>
  <si>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</si>
  <si>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</si>
  <si>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</si>
  <si>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</si>
  <si>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</si>
  <si>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</si>
  <si>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</si>
  <si>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</si>
  <si>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</si>
  <si>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</si>
  <si>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</si>
  <si>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</si>
  <si>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</si>
  <si>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</si>
  <si>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</si>
  <si>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</si>
  <si>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</si>
  <si>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</si>
  <si>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</si>
  <si>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</si>
  <si>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</si>
  <si>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</si>
  <si>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</si>
  <si>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</si>
  <si>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</si>
  <si>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</si>
  <si>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</si>
  <si>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</si>
  <si>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</si>
  <si>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</si>
  <si>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</si>
  <si>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</si>
  <si>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</si>
  <si>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기준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</si>
  <si>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</si>
  <si>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</si>
  <si>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</si>
  <si>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</si>
  <si>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r>
      <rPr>
        <sz val="10"/>
        <color rgb="FF666666"/>
        <rFont val="맑은 고딕"/>
        <family val="0"/>
        <charset val="1"/>
      </rPr>
      <t xml:space="preserve">? </t>
    </r>
    <r>
      <rPr>
        <sz val="10"/>
        <color rgb="FF666666"/>
        <rFont val="WenQuanYi Zen Hei"/>
        <family val="2"/>
      </rPr>
      <t xml:space="preserve">확인필요</t>
    </r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</si>
  <si>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</si>
  <si>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t xml:space="preserve">스타일 수</t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</si>
  <si>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</si>
  <si>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</si>
  <si>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</si>
  <si>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</si>
  <si>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t xml:space="preserve">합계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</si>
  <si>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</si>
  <si>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즉 출고일 기준 </t>
    </r>
    <r>
      <rPr>
        <sz val="11"/>
        <rFont val="맑은 고딕"/>
        <family val="0"/>
        <charset val="1"/>
      </rPr>
      <t xml:space="preserve">104</t>
    </r>
    <r>
      <rPr>
        <sz val="11"/>
        <rFont val="WenQuanYi Zen Hei"/>
        <family val="2"/>
      </rPr>
      <t xml:space="preserve">일 전</t>
    </r>
    <r>
      <rPr>
        <sz val="11"/>
        <rFont val="맑은 고딕"/>
        <family val="0"/>
        <charset val="1"/>
      </rPr>
      <t xml:space="preserve">).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바라며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마감 초과가 예상되는 스타일은 출고차순 조정 등 사전조율을 요청드립니다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</si>
</sst>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;[RED]\-0"/>
    <numFmt numFmtId="167" formatCode="#,##0"/>
    <numFmt numFmtId="168" formatCode="General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666666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5F2D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5F5F5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C5F2D"/>
      <rgbColor rgb="FF9C5700"/>
      <rgbColor rgb="FF993366"/>
      <rgbColor rgb="FF333399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0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2" customFormat="false" ht="16.4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5" t="s">
        <v>12</v>
      </c>
    </row>
    <row r="18" customFormat="false" ht="15" hidden="false" customHeight="false" outlineLevel="0" collapsed="false">
      <c r="B18" s="6" t="s">
        <v>13</v>
      </c>
    </row>
    <row r="19" customFormat="false" ht="15" hidden="false" customHeight="false" outlineLevel="0" collapsed="false">
      <c r="B19" s="6" t="s">
        <v>14</v>
      </c>
    </row>
    <row r="20" customFormat="false" ht="15" hidden="false" customHeight="false" outlineLevel="0" collapsed="false">
      <c r="B20" s="6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16</v>
      </c>
    </row>
    <row r="4" customFormat="false" ht="15" hidden="false" customHeight="false" outlineLevel="0" collapsed="false">
      <c r="B4" s="8" t="s">
        <v>17</v>
      </c>
      <c r="C4" s="9" t="n">
        <f aca="true">TODAY()</f>
        <v>46242</v>
      </c>
      <c r="D4" s="10" t="s">
        <v>18</v>
      </c>
    </row>
    <row r="5" customFormat="false" ht="15" hidden="false" customHeight="false" outlineLevel="0" collapsed="false">
      <c r="B5" s="8" t="s">
        <v>19</v>
      </c>
      <c r="C5" s="11" t="n">
        <v>14</v>
      </c>
      <c r="D5" s="10" t="s">
        <v>20</v>
      </c>
    </row>
    <row r="6" customFormat="false" ht="15" hidden="false" customHeight="false" outlineLevel="0" collapsed="false">
      <c r="B6" s="8" t="s">
        <v>21</v>
      </c>
      <c r="C6" s="11" t="n">
        <v>90</v>
      </c>
      <c r="D6" s="10" t="s">
        <v>22</v>
      </c>
    </row>
    <row r="7" customFormat="false" ht="15" hidden="false" customHeight="false" outlineLevel="0" collapsed="false">
      <c r="B7" s="8" t="s">
        <v>23</v>
      </c>
      <c r="C7" s="11" t="n">
        <v>2027</v>
      </c>
      <c r="D7" s="12" t="s">
        <v>24</v>
      </c>
    </row>
    <row r="9" customFormat="false" ht="16.4" hidden="false" customHeight="false" outlineLevel="0" collapsed="false">
      <c r="B9" s="13" t="s">
        <v>25</v>
      </c>
    </row>
    <row r="10" customFormat="false" ht="15" hidden="false" customHeight="false" outlineLevel="0" collapsed="false">
      <c r="B10" s="14" t="s">
        <v>26</v>
      </c>
      <c r="C10" s="15" t="s">
        <v>27</v>
      </c>
    </row>
    <row r="11" customFormat="false" ht="15" hidden="false" customHeight="false" outlineLevel="0" collapsed="false">
      <c r="B11" s="16" t="s">
        <v>28</v>
      </c>
      <c r="C11" s="1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2" min="11" style="0" width="13"/>
    <col collapsed="false" customWidth="true" hidden="false" outlineLevel="0" max="14" min="13" style="0" width="9"/>
    <col collapsed="false" customWidth="true" hidden="false" outlineLevel="0" max="16" min="15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13"/>
    <col collapsed="false" customWidth="true" hidden="false" outlineLevel="0" max="21" min="21" style="0" width="26"/>
    <col collapsed="false" customWidth="true" hidden="false" outlineLevel="0" max="22" min="22" style="0" width="15"/>
    <col collapsed="false" customWidth="true" hidden="false" outlineLevel="0" max="23" min="23" style="0" width="9"/>
    <col collapsed="false" customWidth="true" hidden="false" outlineLevel="0" max="24" min="24" style="0" width="24"/>
  </cols>
  <sheetData>
    <row r="1" customFormat="false" ht="19.4" hidden="false" customHeight="false" outlineLevel="0" collapsed="false">
      <c r="A1" s="17" t="s">
        <v>30</v>
      </c>
    </row>
    <row r="2" customFormat="false" ht="15" hidden="false" customHeight="false" outlineLevel="0" collapsed="false">
      <c r="A2" s="18" t="s">
        <v>31</v>
      </c>
      <c r="B2" s="19" t="n">
        <f aca="false">기준정보!$C$4</f>
        <v>46242</v>
      </c>
      <c r="C2" s="18" t="s">
        <v>32</v>
      </c>
      <c r="D2" s="20" t="str">
        <f aca="false">"입고 "&amp;기준정보!$C$5&amp;"일 + 소재 "&amp;기준정보!$C$6&amp;"일"</f>
        <v>입고 14일 + 소재 90일</v>
      </c>
      <c r="G2" s="21" t="s">
        <v>33</v>
      </c>
    </row>
    <row r="4" customFormat="false" ht="39.55" hidden="false" customHeight="false" outlineLevel="0" collapsed="false">
      <c r="A4" s="22" t="s">
        <v>34</v>
      </c>
      <c r="B4" s="22" t="s">
        <v>35</v>
      </c>
      <c r="C4" s="22" t="s">
        <v>36</v>
      </c>
      <c r="D4" s="22" t="s">
        <v>37</v>
      </c>
      <c r="E4" s="23" t="s">
        <v>38</v>
      </c>
      <c r="F4" s="23" t="s">
        <v>39</v>
      </c>
      <c r="G4" s="23" t="s">
        <v>40</v>
      </c>
      <c r="H4" s="23" t="s">
        <v>41</v>
      </c>
      <c r="I4" s="23" t="s">
        <v>42</v>
      </c>
      <c r="J4" s="23" t="s">
        <v>43</v>
      </c>
      <c r="K4" s="23" t="s">
        <v>44</v>
      </c>
      <c r="L4" s="23" t="s">
        <v>45</v>
      </c>
      <c r="M4" s="23" t="s">
        <v>46</v>
      </c>
      <c r="N4" s="23" t="s">
        <v>47</v>
      </c>
      <c r="O4" s="23" t="s">
        <v>48</v>
      </c>
      <c r="P4" s="23" t="s">
        <v>49</v>
      </c>
      <c r="Q4" s="23" t="s">
        <v>50</v>
      </c>
      <c r="R4" s="23" t="s">
        <v>51</v>
      </c>
      <c r="S4" s="23" t="s">
        <v>52</v>
      </c>
      <c r="T4" s="23" t="s">
        <v>53</v>
      </c>
      <c r="U4" s="23" t="s">
        <v>54</v>
      </c>
      <c r="V4" s="23" t="s">
        <v>55</v>
      </c>
      <c r="W4" s="23" t="s">
        <v>56</v>
      </c>
      <c r="X4" s="23" t="s">
        <v>57</v>
      </c>
    </row>
    <row r="5" customFormat="false" ht="15" hidden="false" customHeight="false" outlineLevel="0" collapsed="false">
      <c r="A5" s="24" t="n">
        <v>1</v>
      </c>
      <c r="B5" s="25" t="s">
        <v>58</v>
      </c>
      <c r="C5" s="25" t="s">
        <v>59</v>
      </c>
      <c r="D5" s="26" t="s">
        <v>60</v>
      </c>
      <c r="E5" s="25" t="s">
        <v>61</v>
      </c>
      <c r="F5" s="24" t="str">
        <f aca="false">IF($D5="","",IF(MID($D5,5,1)="S","S(봄)",IF(MID($D5,5,1)="M","M(여름)",IF(MID($D5,5,1)="X","X(사계절)",MID($D5,5,1)))))</f>
        <v>S(봄)</v>
      </c>
      <c r="G5" s="25" t="s">
        <v>62</v>
      </c>
      <c r="H5" s="24" t="s">
        <v>63</v>
      </c>
      <c r="I5" s="27" t="s">
        <v>64</v>
      </c>
      <c r="J5" s="28" t="n">
        <f aca="false">IF($I5="","",IFERROR(DATE(IF(VALUE(LEFT($I5,FIND("월",$I5)-1))&gt;=9,기준정보!$C$7-1,기준정보!$C$7),VALUE(LEFT($I5,FIND("월",$I5)-1)),1+7*(VALUE(SUBSTITUTE(MID($I5,FIND("월",$I5)+1,5),"주",""))-1)),""))</f>
        <v>46395</v>
      </c>
      <c r="K5" s="28" t="n">
        <f aca="false">IF($J5="","",$J5-기준정보!$C$5)</f>
        <v>46381</v>
      </c>
      <c r="L5" s="28" t="n">
        <f aca="false">IF($K5="","",$K5-기준정보!$C$6)</f>
        <v>46291</v>
      </c>
      <c r="M5" s="29" t="n">
        <f aca="false">IF($L5="","",$L5-기준정보!$C$4)</f>
        <v>49</v>
      </c>
      <c r="N5" s="27" t="s">
        <v>65</v>
      </c>
      <c r="O5" s="30"/>
      <c r="P5" s="26" t="str">
        <f aca="false">IF($G5="","",IF(AND(ISNUMBER(SEARCH("CMT",$G5)),OR(ISNUMBER(SEARCH("완사입",$G5)),ISNUMBER(SEARCH("ODM",$G5)))),"본사/생산처 혼재",IF(ISNUMBER(SEARCH("CMT",$G5)),"본사(소재팀)","생산처")))</f>
        <v>생산처</v>
      </c>
      <c r="Q5" s="25" t="s">
        <v>66</v>
      </c>
      <c r="R5" s="25" t="s">
        <v>67</v>
      </c>
      <c r="S5" s="31" t="n">
        <v>190</v>
      </c>
      <c r="T5" s="26"/>
      <c r="U5" s="26" t="str">
        <f aca="false">IF($J5="","출고일 미정",IF($N5="X","작지 미발행",IF($N5="부분","작지 일부 미발행",IF(AND($O5&lt;&gt;"",$O5&gt;$L5),"소재입고 마감("&amp;TEXT($L5,"MM/DD")&amp;") 초과",IF($N5="","발행여부 확인 필요",IF($O5="","소재 입고일정 확인 필요","정상"))))))</f>
        <v>소재 입고일정 확인 필요</v>
      </c>
      <c r="V5" s="24" t="str">
        <f aca="false">IF($J5="","",IF(OR(LEFT($U5,2)="작지",LEFT($U5,4)="소재입고"),IF(LEFT($F5,1)="S","★ 납기위험(S코드)","◆ 지연주의"),IF($U5="정상","✓ 정상","? 확인필요")))</f>
        <v>? 확인필요</v>
      </c>
      <c r="W5" s="27"/>
      <c r="X5" s="32"/>
    </row>
    <row r="6" customFormat="false" ht="15" hidden="false" customHeight="false" outlineLevel="0" collapsed="false">
      <c r="A6" s="24" t="n">
        <v>2</v>
      </c>
      <c r="B6" s="25" t="s">
        <v>58</v>
      </c>
      <c r="C6" s="25" t="s">
        <v>59</v>
      </c>
      <c r="D6" s="26" t="s">
        <v>68</v>
      </c>
      <c r="E6" s="25" t="s">
        <v>69</v>
      </c>
      <c r="F6" s="24" t="str">
        <f aca="false">IF($D6="","",IF(MID($D6,5,1)="S","S(봄)",IF(MID($D6,5,1)="M","M(여름)",IF(MID($D6,5,1)="X","X(사계절)",MID($D6,5,1)))))</f>
        <v>S(봄)</v>
      </c>
      <c r="G6" s="25" t="s">
        <v>62</v>
      </c>
      <c r="H6" s="24" t="s">
        <v>63</v>
      </c>
      <c r="I6" s="27" t="s">
        <v>64</v>
      </c>
      <c r="J6" s="28" t="n">
        <f aca="false">IF($I6="","",IFERROR(DATE(IF(VALUE(LEFT($I6,FIND("월",$I6)-1))&gt;=9,기준정보!$C$7-1,기준정보!$C$7),VALUE(LEFT($I6,FIND("월",$I6)-1)),1+7*(VALUE(SUBSTITUTE(MID($I6,FIND("월",$I6)+1,5),"주",""))-1)),""))</f>
        <v>46395</v>
      </c>
      <c r="K6" s="28" t="n">
        <f aca="false">IF($J6="","",$J6-기준정보!$C$5)</f>
        <v>46381</v>
      </c>
      <c r="L6" s="28" t="n">
        <f aca="false">IF($K6="","",$K6-기준정보!$C$6)</f>
        <v>46291</v>
      </c>
      <c r="M6" s="29" t="n">
        <f aca="false">IF($L6="","",$L6-기준정보!$C$4)</f>
        <v>49</v>
      </c>
      <c r="N6" s="27" t="s">
        <v>65</v>
      </c>
      <c r="O6" s="30"/>
      <c r="P6" s="26" t="str">
        <f aca="false">IF($G6="","",IF(AND(ISNUMBER(SEARCH("CMT",$G6)),OR(ISNUMBER(SEARCH("완사입",$G6)),ISNUMBER(SEARCH("ODM",$G6)))),"본사/생산처 혼재",IF(ISNUMBER(SEARCH("CMT",$G6)),"본사(소재팀)","생산처")))</f>
        <v>생산처</v>
      </c>
      <c r="Q6" s="25" t="s">
        <v>70</v>
      </c>
      <c r="R6" s="25" t="s">
        <v>71</v>
      </c>
      <c r="S6" s="31" t="n">
        <v>550</v>
      </c>
      <c r="T6" s="26"/>
      <c r="U6" s="26" t="str">
        <f aca="false">IF($J6="","출고일 미정",IF($N6="X","작지 미발행",IF($N6="부분","작지 일부 미발행",IF(AND($O6&lt;&gt;"",$O6&gt;$L6),"소재입고 마감("&amp;TEXT($L6,"MM/DD")&amp;") 초과",IF($N6="","발행여부 확인 필요",IF($O6="","소재 입고일정 확인 필요","정상"))))))</f>
        <v>소재 입고일정 확인 필요</v>
      </c>
      <c r="V6" s="24" t="str">
        <f aca="false">IF($J6="","",IF(OR(LEFT($U6,2)="작지",LEFT($U6,4)="소재입고"),IF(LEFT($F6,1)="S","★ 납기위험(S코드)","◆ 지연주의"),IF($U6="정상","✓ 정상","? 확인필요")))</f>
        <v>? 확인필요</v>
      </c>
      <c r="W6" s="27"/>
      <c r="X6" s="32"/>
    </row>
    <row r="7" customFormat="false" ht="15" hidden="false" customHeight="false" outlineLevel="0" collapsed="false">
      <c r="A7" s="24" t="n">
        <v>3</v>
      </c>
      <c r="B7" s="25" t="s">
        <v>58</v>
      </c>
      <c r="C7" s="25" t="s">
        <v>59</v>
      </c>
      <c r="D7" s="26" t="s">
        <v>72</v>
      </c>
      <c r="E7" s="25" t="s">
        <v>73</v>
      </c>
      <c r="F7" s="24" t="str">
        <f aca="false">IF($D7="","",IF(MID($D7,5,1)="S","S(봄)",IF(MID($D7,5,1)="M","M(여름)",IF(MID($D7,5,1)="X","X(사계절)",MID($D7,5,1)))))</f>
        <v>S(봄)</v>
      </c>
      <c r="G7" s="25" t="s">
        <v>62</v>
      </c>
      <c r="H7" s="24" t="s">
        <v>63</v>
      </c>
      <c r="I7" s="27" t="s">
        <v>64</v>
      </c>
      <c r="J7" s="28" t="n">
        <f aca="false">IF($I7="","",IFERROR(DATE(IF(VALUE(LEFT($I7,FIND("월",$I7)-1))&gt;=9,기준정보!$C$7-1,기준정보!$C$7),VALUE(LEFT($I7,FIND("월",$I7)-1)),1+7*(VALUE(SUBSTITUTE(MID($I7,FIND("월",$I7)+1,5),"주",""))-1)),""))</f>
        <v>46395</v>
      </c>
      <c r="K7" s="28" t="n">
        <f aca="false">IF($J7="","",$J7-기준정보!$C$5)</f>
        <v>46381</v>
      </c>
      <c r="L7" s="28" t="n">
        <f aca="false">IF($K7="","",$K7-기준정보!$C$6)</f>
        <v>46291</v>
      </c>
      <c r="M7" s="29" t="n">
        <f aca="false">IF($L7="","",$L7-기준정보!$C$4)</f>
        <v>49</v>
      </c>
      <c r="N7" s="27" t="s">
        <v>65</v>
      </c>
      <c r="O7" s="30"/>
      <c r="P7" s="26" t="str">
        <f aca="false">IF($G7="","",IF(AND(ISNUMBER(SEARCH("CMT",$G7)),OR(ISNUMBER(SEARCH("완사입",$G7)),ISNUMBER(SEARCH("ODM",$G7)))),"본사/생산처 혼재",IF(ISNUMBER(SEARCH("CMT",$G7)),"본사(소재팀)","생산처")))</f>
        <v>생산처</v>
      </c>
      <c r="Q7" s="25" t="s">
        <v>70</v>
      </c>
      <c r="R7" s="25" t="s">
        <v>71</v>
      </c>
      <c r="S7" s="31" t="n">
        <v>600</v>
      </c>
      <c r="T7" s="26"/>
      <c r="U7" s="26" t="str">
        <f aca="false">IF($J7="","출고일 미정",IF($N7="X","작지 미발행",IF($N7="부분","작지 일부 미발행",IF(AND($O7&lt;&gt;"",$O7&gt;$L7),"소재입고 마감("&amp;TEXT($L7,"MM/DD")&amp;") 초과",IF($N7="","발행여부 확인 필요",IF($O7="","소재 입고일정 확인 필요","정상"))))))</f>
        <v>소재 입고일정 확인 필요</v>
      </c>
      <c r="V7" s="24" t="str">
        <f aca="false">IF($J7="","",IF(OR(LEFT($U7,2)="작지",LEFT($U7,4)="소재입고"),IF(LEFT($F7,1)="S","★ 납기위험(S코드)","◆ 지연주의"),IF($U7="정상","✓ 정상","? 확인필요")))</f>
        <v>? 확인필요</v>
      </c>
      <c r="W7" s="27"/>
      <c r="X7" s="32"/>
    </row>
    <row r="8" customFormat="false" ht="15" hidden="false" customHeight="false" outlineLevel="0" collapsed="false">
      <c r="A8" s="24" t="n">
        <v>4</v>
      </c>
      <c r="B8" s="25" t="s">
        <v>58</v>
      </c>
      <c r="C8" s="25" t="s">
        <v>74</v>
      </c>
      <c r="D8" s="26" t="s">
        <v>75</v>
      </c>
      <c r="E8" s="25" t="s">
        <v>76</v>
      </c>
      <c r="F8" s="24" t="str">
        <f aca="false">IF($D8="","",IF(MID($D8,5,1)="S","S(봄)",IF(MID($D8,5,1)="M","M(여름)",IF(MID($D8,5,1)="X","X(사계절)",MID($D8,5,1)))))</f>
        <v>S(봄)</v>
      </c>
      <c r="G8" s="25" t="s">
        <v>62</v>
      </c>
      <c r="H8" s="24" t="s">
        <v>63</v>
      </c>
      <c r="I8" s="27" t="s">
        <v>64</v>
      </c>
      <c r="J8" s="28" t="n">
        <f aca="false">IF($I8="","",IFERROR(DATE(IF(VALUE(LEFT($I8,FIND("월",$I8)-1))&gt;=9,기준정보!$C$7-1,기준정보!$C$7),VALUE(LEFT($I8,FIND("월",$I8)-1)),1+7*(VALUE(SUBSTITUTE(MID($I8,FIND("월",$I8)+1,5),"주",""))-1)),""))</f>
        <v>46395</v>
      </c>
      <c r="K8" s="28" t="n">
        <f aca="false">IF($J8="","",$J8-기준정보!$C$5)</f>
        <v>46381</v>
      </c>
      <c r="L8" s="28" t="n">
        <f aca="false">IF($K8="","",$K8-기준정보!$C$6)</f>
        <v>46291</v>
      </c>
      <c r="M8" s="29" t="n">
        <f aca="false">IF($L8="","",$L8-기준정보!$C$4)</f>
        <v>49</v>
      </c>
      <c r="N8" s="27" t="s">
        <v>65</v>
      </c>
      <c r="O8" s="30"/>
      <c r="P8" s="26" t="str">
        <f aca="false">IF($G8="","",IF(AND(ISNUMBER(SEARCH("CMT",$G8)),OR(ISNUMBER(SEARCH("완사입",$G8)),ISNUMBER(SEARCH("ODM",$G8)))),"본사/생산처 혼재",IF(ISNUMBER(SEARCH("CMT",$G8)),"본사(소재팀)","생산처")))</f>
        <v>생산처</v>
      </c>
      <c r="Q8" s="25" t="s">
        <v>70</v>
      </c>
      <c r="R8" s="25" t="s">
        <v>71</v>
      </c>
      <c r="S8" s="31" t="n">
        <v>400</v>
      </c>
      <c r="T8" s="26"/>
      <c r="U8" s="26" t="str">
        <f aca="false">IF($J8="","출고일 미정",IF($N8="X","작지 미발행",IF($N8="부분","작지 일부 미발행",IF(AND($O8&lt;&gt;"",$O8&gt;$L8),"소재입고 마감("&amp;TEXT($L8,"MM/DD")&amp;") 초과",IF($N8="","발행여부 확인 필요",IF($O8="","소재 입고일정 확인 필요","정상"))))))</f>
        <v>소재 입고일정 확인 필요</v>
      </c>
      <c r="V8" s="24" t="str">
        <f aca="false">IF($J8="","",IF(OR(LEFT($U8,2)="작지",LEFT($U8,4)="소재입고"),IF(LEFT($F8,1)="S","★ 납기위험(S코드)","◆ 지연주의"),IF($U8="정상","✓ 정상","? 확인필요")))</f>
        <v>? 확인필요</v>
      </c>
      <c r="W8" s="27"/>
      <c r="X8" s="32"/>
    </row>
    <row r="9" customFormat="false" ht="15" hidden="false" customHeight="false" outlineLevel="0" collapsed="false">
      <c r="A9" s="24" t="n">
        <v>5</v>
      </c>
      <c r="B9" s="25" t="s">
        <v>58</v>
      </c>
      <c r="C9" s="25" t="s">
        <v>74</v>
      </c>
      <c r="D9" s="26" t="s">
        <v>77</v>
      </c>
      <c r="E9" s="25" t="s">
        <v>78</v>
      </c>
      <c r="F9" s="24" t="str">
        <f aca="false">IF($D9="","",IF(MID($D9,5,1)="S","S(봄)",IF(MID($D9,5,1)="M","M(여름)",IF(MID($D9,5,1)="X","X(사계절)",MID($D9,5,1)))))</f>
        <v>S(봄)</v>
      </c>
      <c r="G9" s="25" t="s">
        <v>62</v>
      </c>
      <c r="H9" s="24" t="s">
        <v>63</v>
      </c>
      <c r="I9" s="27" t="s">
        <v>64</v>
      </c>
      <c r="J9" s="28" t="n">
        <f aca="false">IF($I9="","",IFERROR(DATE(IF(VALUE(LEFT($I9,FIND("월",$I9)-1))&gt;=9,기준정보!$C$7-1,기준정보!$C$7),VALUE(LEFT($I9,FIND("월",$I9)-1)),1+7*(VALUE(SUBSTITUTE(MID($I9,FIND("월",$I9)+1,5),"주",""))-1)),""))</f>
        <v>46395</v>
      </c>
      <c r="K9" s="28" t="n">
        <f aca="false">IF($J9="","",$J9-기준정보!$C$5)</f>
        <v>46381</v>
      </c>
      <c r="L9" s="28" t="n">
        <f aca="false">IF($K9="","",$K9-기준정보!$C$6)</f>
        <v>46291</v>
      </c>
      <c r="M9" s="29" t="n">
        <f aca="false">IF($L9="","",$L9-기준정보!$C$4)</f>
        <v>49</v>
      </c>
      <c r="N9" s="27" t="s">
        <v>65</v>
      </c>
      <c r="O9" s="30"/>
      <c r="P9" s="26" t="str">
        <f aca="false">IF($G9="","",IF(AND(ISNUMBER(SEARCH("CMT",$G9)),OR(ISNUMBER(SEARCH("완사입",$G9)),ISNUMBER(SEARCH("ODM",$G9)))),"본사/생산처 혼재",IF(ISNUMBER(SEARCH("CMT",$G9)),"본사(소재팀)","생산처")))</f>
        <v>생산처</v>
      </c>
      <c r="Q9" s="25" t="s">
        <v>79</v>
      </c>
      <c r="R9" s="25" t="s">
        <v>67</v>
      </c>
      <c r="S9" s="31" t="n">
        <v>350</v>
      </c>
      <c r="T9" s="26"/>
      <c r="U9" s="26" t="str">
        <f aca="false">IF($J9="","출고일 미정",IF($N9="X","작지 미발행",IF($N9="부분","작지 일부 미발행",IF(AND($O9&lt;&gt;"",$O9&gt;$L9),"소재입고 마감("&amp;TEXT($L9,"MM/DD")&amp;") 초과",IF($N9="","발행여부 확인 필요",IF($O9="","소재 입고일정 확인 필요","정상"))))))</f>
        <v>소재 입고일정 확인 필요</v>
      </c>
      <c r="V9" s="24" t="str">
        <f aca="false">IF($J9="","",IF(OR(LEFT($U9,2)="작지",LEFT($U9,4)="소재입고"),IF(LEFT($F9,1)="S","★ 납기위험(S코드)","◆ 지연주의"),IF($U9="정상","✓ 정상","? 확인필요")))</f>
        <v>? 확인필요</v>
      </c>
      <c r="W9" s="27"/>
      <c r="X9" s="32"/>
    </row>
    <row r="10" customFormat="false" ht="15" hidden="false" customHeight="false" outlineLevel="0" collapsed="false">
      <c r="A10" s="24" t="n">
        <v>6</v>
      </c>
      <c r="B10" s="25" t="s">
        <v>58</v>
      </c>
      <c r="C10" s="25" t="s">
        <v>74</v>
      </c>
      <c r="D10" s="26" t="s">
        <v>80</v>
      </c>
      <c r="E10" s="25" t="s">
        <v>81</v>
      </c>
      <c r="F10" s="24" t="str">
        <f aca="false">IF($D10="","",IF(MID($D10,5,1)="S","S(봄)",IF(MID($D10,5,1)="M","M(여름)",IF(MID($D10,5,1)="X","X(사계절)",MID($D10,5,1)))))</f>
        <v>S(봄)</v>
      </c>
      <c r="G10" s="25" t="s">
        <v>62</v>
      </c>
      <c r="H10" s="24" t="s">
        <v>63</v>
      </c>
      <c r="I10" s="27" t="s">
        <v>64</v>
      </c>
      <c r="J10" s="28" t="n">
        <f aca="false">IF($I10="","",IFERROR(DATE(IF(VALUE(LEFT($I10,FIND("월",$I10)-1))&gt;=9,기준정보!$C$7-1,기준정보!$C$7),VALUE(LEFT($I10,FIND("월",$I10)-1)),1+7*(VALUE(SUBSTITUTE(MID($I10,FIND("월",$I10)+1,5),"주",""))-1)),""))</f>
        <v>46395</v>
      </c>
      <c r="K10" s="28" t="n">
        <f aca="false">IF($J10="","",$J10-기준정보!$C$5)</f>
        <v>46381</v>
      </c>
      <c r="L10" s="28" t="n">
        <f aca="false">IF($K10="","",$K10-기준정보!$C$6)</f>
        <v>46291</v>
      </c>
      <c r="M10" s="29" t="n">
        <f aca="false">IF($L10="","",$L10-기준정보!$C$4)</f>
        <v>49</v>
      </c>
      <c r="N10" s="27" t="s">
        <v>65</v>
      </c>
      <c r="O10" s="30"/>
      <c r="P10" s="26" t="str">
        <f aca="false">IF($G10="","",IF(AND(ISNUMBER(SEARCH("CMT",$G10)),OR(ISNUMBER(SEARCH("완사입",$G10)),ISNUMBER(SEARCH("ODM",$G10)))),"본사/생산처 혼재",IF(ISNUMBER(SEARCH("CMT",$G10)),"본사(소재팀)","생산처")))</f>
        <v>생산처</v>
      </c>
      <c r="Q10" s="25" t="s">
        <v>79</v>
      </c>
      <c r="R10" s="25" t="s">
        <v>67</v>
      </c>
      <c r="S10" s="31" t="n">
        <v>200</v>
      </c>
      <c r="T10" s="26"/>
      <c r="U10" s="26" t="str">
        <f aca="false">IF($J10="","출고일 미정",IF($N10="X","작지 미발행",IF($N10="부분","작지 일부 미발행",IF(AND($O10&lt;&gt;"",$O10&gt;$L10),"소재입고 마감("&amp;TEXT($L10,"MM/DD")&amp;") 초과",IF($N10="","발행여부 확인 필요",IF($O10="","소재 입고일정 확인 필요","정상"))))))</f>
        <v>소재 입고일정 확인 필요</v>
      </c>
      <c r="V10" s="24" t="str">
        <f aca="false">IF($J10="","",IF(OR(LEFT($U10,2)="작지",LEFT($U10,4)="소재입고"),IF(LEFT($F10,1)="S","★ 납기위험(S코드)","◆ 지연주의"),IF($U10="정상","✓ 정상","? 확인필요")))</f>
        <v>? 확인필요</v>
      </c>
      <c r="W10" s="27"/>
      <c r="X10" s="32"/>
    </row>
    <row r="11" customFormat="false" ht="15" hidden="false" customHeight="false" outlineLevel="0" collapsed="false">
      <c r="A11" s="24" t="n">
        <v>7</v>
      </c>
      <c r="B11" s="25" t="s">
        <v>58</v>
      </c>
      <c r="C11" s="25" t="s">
        <v>74</v>
      </c>
      <c r="D11" s="26" t="s">
        <v>82</v>
      </c>
      <c r="E11" s="25" t="s">
        <v>83</v>
      </c>
      <c r="F11" s="24" t="str">
        <f aca="false">IF($D11="","",IF(MID($D11,5,1)="S","S(봄)",IF(MID($D11,5,1)="M","M(여름)",IF(MID($D11,5,1)="X","X(사계절)",MID($D11,5,1)))))</f>
        <v>S(봄)</v>
      </c>
      <c r="G11" s="25" t="s">
        <v>62</v>
      </c>
      <c r="H11" s="24" t="s">
        <v>63</v>
      </c>
      <c r="I11" s="27" t="s">
        <v>64</v>
      </c>
      <c r="J11" s="28" t="n">
        <f aca="false">IF($I11="","",IFERROR(DATE(IF(VALUE(LEFT($I11,FIND("월",$I11)-1))&gt;=9,기준정보!$C$7-1,기준정보!$C$7),VALUE(LEFT($I11,FIND("월",$I11)-1)),1+7*(VALUE(SUBSTITUTE(MID($I11,FIND("월",$I11)+1,5),"주",""))-1)),""))</f>
        <v>46395</v>
      </c>
      <c r="K11" s="28" t="n">
        <f aca="false">IF($J11="","",$J11-기준정보!$C$5)</f>
        <v>46381</v>
      </c>
      <c r="L11" s="28" t="n">
        <f aca="false">IF($K11="","",$K11-기준정보!$C$6)</f>
        <v>46291</v>
      </c>
      <c r="M11" s="29" t="n">
        <f aca="false">IF($L11="","",$L11-기준정보!$C$4)</f>
        <v>49</v>
      </c>
      <c r="N11" s="27" t="s">
        <v>65</v>
      </c>
      <c r="O11" s="30"/>
      <c r="P11" s="26" t="str">
        <f aca="false">IF($G11="","",IF(AND(ISNUMBER(SEARCH("CMT",$G11)),OR(ISNUMBER(SEARCH("완사입",$G11)),ISNUMBER(SEARCH("ODM",$G11)))),"본사/생산처 혼재",IF(ISNUMBER(SEARCH("CMT",$G11)),"본사(소재팀)","생산처")))</f>
        <v>생산처</v>
      </c>
      <c r="Q11" s="25" t="s">
        <v>84</v>
      </c>
      <c r="R11" s="25" t="s">
        <v>67</v>
      </c>
      <c r="S11" s="31" t="n">
        <v>180</v>
      </c>
      <c r="T11" s="26"/>
      <c r="U11" s="26" t="str">
        <f aca="false">IF($J11="","출고일 미정",IF($N11="X","작지 미발행",IF($N11="부분","작지 일부 미발행",IF(AND($O11&lt;&gt;"",$O11&gt;$L11),"소재입고 마감("&amp;TEXT($L11,"MM/DD")&amp;") 초과",IF($N11="","발행여부 확인 필요",IF($O11="","소재 입고일정 확인 필요","정상"))))))</f>
        <v>소재 입고일정 확인 필요</v>
      </c>
      <c r="V11" s="24" t="str">
        <f aca="false">IF($J11="","",IF(OR(LEFT($U11,2)="작지",LEFT($U11,4)="소재입고"),IF(LEFT($F11,1)="S","★ 납기위험(S코드)","◆ 지연주의"),IF($U11="정상","✓ 정상","? 확인필요")))</f>
        <v>? 확인필요</v>
      </c>
      <c r="W11" s="27"/>
      <c r="X11" s="32"/>
    </row>
    <row r="12" customFormat="false" ht="15" hidden="false" customHeight="false" outlineLevel="0" collapsed="false">
      <c r="A12" s="24" t="n">
        <v>8</v>
      </c>
      <c r="B12" s="25" t="s">
        <v>58</v>
      </c>
      <c r="C12" s="25" t="s">
        <v>59</v>
      </c>
      <c r="D12" s="26" t="s">
        <v>85</v>
      </c>
      <c r="E12" s="25" t="s">
        <v>86</v>
      </c>
      <c r="F12" s="24" t="str">
        <f aca="false">IF($D12="","",IF(MID($D12,5,1)="S","S(봄)",IF(MID($D12,5,1)="M","M(여름)",IF(MID($D12,5,1)="X","X(사계절)",MID($D12,5,1)))))</f>
        <v>S(봄)</v>
      </c>
      <c r="G12" s="25" t="s">
        <v>62</v>
      </c>
      <c r="H12" s="24" t="s">
        <v>63</v>
      </c>
      <c r="I12" s="27" t="s">
        <v>64</v>
      </c>
      <c r="J12" s="28" t="n">
        <f aca="false">IF($I12="","",IFERROR(DATE(IF(VALUE(LEFT($I12,FIND("월",$I12)-1))&gt;=9,기준정보!$C$7-1,기준정보!$C$7),VALUE(LEFT($I12,FIND("월",$I12)-1)),1+7*(VALUE(SUBSTITUTE(MID($I12,FIND("월",$I12)+1,5),"주",""))-1)),""))</f>
        <v>46395</v>
      </c>
      <c r="K12" s="28" t="n">
        <f aca="false">IF($J12="","",$J12-기준정보!$C$5)</f>
        <v>46381</v>
      </c>
      <c r="L12" s="28" t="n">
        <f aca="false">IF($K12="","",$K12-기준정보!$C$6)</f>
        <v>46291</v>
      </c>
      <c r="M12" s="29" t="n">
        <f aca="false">IF($L12="","",$L12-기준정보!$C$4)</f>
        <v>49</v>
      </c>
      <c r="N12" s="27" t="s">
        <v>65</v>
      </c>
      <c r="O12" s="30"/>
      <c r="P12" s="26" t="str">
        <f aca="false">IF($G12="","",IF(AND(ISNUMBER(SEARCH("CMT",$G12)),OR(ISNUMBER(SEARCH("완사입",$G12)),ISNUMBER(SEARCH("ODM",$G12)))),"본사/생산처 혼재",IF(ISNUMBER(SEARCH("CMT",$G12)),"본사(소재팀)","생산처")))</f>
        <v>생산처</v>
      </c>
      <c r="Q12" s="25" t="s">
        <v>66</v>
      </c>
      <c r="R12" s="25" t="s">
        <v>67</v>
      </c>
      <c r="S12" s="31" t="n">
        <v>250</v>
      </c>
      <c r="T12" s="26"/>
      <c r="U12" s="26" t="str">
        <f aca="false">IF($J12="","출고일 미정",IF($N12="X","작지 미발행",IF($N12="부분","작지 일부 미발행",IF(AND($O12&lt;&gt;"",$O12&gt;$L12),"소재입고 마감("&amp;TEXT($L12,"MM/DD")&amp;") 초과",IF($N12="","발행여부 확인 필요",IF($O12="","소재 입고일정 확인 필요","정상"))))))</f>
        <v>소재 입고일정 확인 필요</v>
      </c>
      <c r="V12" s="24" t="str">
        <f aca="false">IF($J12="","",IF(OR(LEFT($U12,2)="작지",LEFT($U12,4)="소재입고"),IF(LEFT($F12,1)="S","★ 납기위험(S코드)","◆ 지연주의"),IF($U12="정상","✓ 정상","? 확인필요")))</f>
        <v>? 확인필요</v>
      </c>
      <c r="W12" s="27"/>
      <c r="X12" s="32"/>
    </row>
    <row r="13" customFormat="false" ht="15" hidden="false" customHeight="false" outlineLevel="0" collapsed="false">
      <c r="A13" s="24" t="n">
        <v>9</v>
      </c>
      <c r="B13" s="25" t="s">
        <v>58</v>
      </c>
      <c r="C13" s="25" t="s">
        <v>59</v>
      </c>
      <c r="D13" s="26" t="s">
        <v>87</v>
      </c>
      <c r="E13" s="25" t="s">
        <v>88</v>
      </c>
      <c r="F13" s="24" t="str">
        <f aca="false">IF($D13="","",IF(MID($D13,5,1)="S","S(봄)",IF(MID($D13,5,1)="M","M(여름)",IF(MID($D13,5,1)="X","X(사계절)",MID($D13,5,1)))))</f>
        <v>S(봄)</v>
      </c>
      <c r="G13" s="25" t="s">
        <v>62</v>
      </c>
      <c r="H13" s="24" t="s">
        <v>63</v>
      </c>
      <c r="I13" s="27" t="s">
        <v>64</v>
      </c>
      <c r="J13" s="28" t="n">
        <f aca="false">IF($I13="","",IFERROR(DATE(IF(VALUE(LEFT($I13,FIND("월",$I13)-1))&gt;=9,기준정보!$C$7-1,기준정보!$C$7),VALUE(LEFT($I13,FIND("월",$I13)-1)),1+7*(VALUE(SUBSTITUTE(MID($I13,FIND("월",$I13)+1,5),"주",""))-1)),""))</f>
        <v>46395</v>
      </c>
      <c r="K13" s="28" t="n">
        <f aca="false">IF($J13="","",$J13-기준정보!$C$5)</f>
        <v>46381</v>
      </c>
      <c r="L13" s="28" t="n">
        <f aca="false">IF($K13="","",$K13-기준정보!$C$6)</f>
        <v>46291</v>
      </c>
      <c r="M13" s="29" t="n">
        <f aca="false">IF($L13="","",$L13-기준정보!$C$4)</f>
        <v>49</v>
      </c>
      <c r="N13" s="27" t="s">
        <v>65</v>
      </c>
      <c r="O13" s="30"/>
      <c r="P13" s="26" t="str">
        <f aca="false">IF($G13="","",IF(AND(ISNUMBER(SEARCH("CMT",$G13)),OR(ISNUMBER(SEARCH("완사입",$G13)),ISNUMBER(SEARCH("ODM",$G13)))),"본사/생산처 혼재",IF(ISNUMBER(SEARCH("CMT",$G13)),"본사(소재팀)","생산처")))</f>
        <v>생산처</v>
      </c>
      <c r="Q13" s="25" t="s">
        <v>70</v>
      </c>
      <c r="R13" s="25" t="s">
        <v>71</v>
      </c>
      <c r="S13" s="31" t="n">
        <v>2350</v>
      </c>
      <c r="T13" s="26"/>
      <c r="U13" s="26" t="str">
        <f aca="false">IF($J13="","출고일 미정",IF($N13="X","작지 미발행",IF($N13="부분","작지 일부 미발행",IF(AND($O13&lt;&gt;"",$O13&gt;$L13),"소재입고 마감("&amp;TEXT($L13,"MM/DD")&amp;") 초과",IF($N13="","발행여부 확인 필요",IF($O13="","소재 입고일정 확인 필요","정상"))))))</f>
        <v>소재 입고일정 확인 필요</v>
      </c>
      <c r="V13" s="24" t="str">
        <f aca="false">IF($J13="","",IF(OR(LEFT($U13,2)="작지",LEFT($U13,4)="소재입고"),IF(LEFT($F13,1)="S","★ 납기위험(S코드)","◆ 지연주의"),IF($U13="정상","✓ 정상","? 확인필요")))</f>
        <v>? 확인필요</v>
      </c>
      <c r="W13" s="27"/>
      <c r="X13" s="32"/>
    </row>
    <row r="14" customFormat="false" ht="15" hidden="false" customHeight="false" outlineLevel="0" collapsed="false">
      <c r="A14" s="24" t="n">
        <v>10</v>
      </c>
      <c r="B14" s="25" t="s">
        <v>58</v>
      </c>
      <c r="C14" s="25" t="s">
        <v>59</v>
      </c>
      <c r="D14" s="26" t="s">
        <v>89</v>
      </c>
      <c r="E14" s="25" t="s">
        <v>90</v>
      </c>
      <c r="F14" s="24" t="str">
        <f aca="false">IF($D14="","",IF(MID($D14,5,1)="S","S(봄)",IF(MID($D14,5,1)="M","M(여름)",IF(MID($D14,5,1)="X","X(사계절)",MID($D14,5,1)))))</f>
        <v>S(봄)</v>
      </c>
      <c r="G14" s="25" t="s">
        <v>62</v>
      </c>
      <c r="H14" s="24" t="s">
        <v>63</v>
      </c>
      <c r="I14" s="27" t="s">
        <v>64</v>
      </c>
      <c r="J14" s="28" t="n">
        <f aca="false">IF($I14="","",IFERROR(DATE(IF(VALUE(LEFT($I14,FIND("월",$I14)-1))&gt;=9,기준정보!$C$7-1,기준정보!$C$7),VALUE(LEFT($I14,FIND("월",$I14)-1)),1+7*(VALUE(SUBSTITUTE(MID($I14,FIND("월",$I14)+1,5),"주",""))-1)),""))</f>
        <v>46395</v>
      </c>
      <c r="K14" s="28" t="n">
        <f aca="false">IF($J14="","",$J14-기준정보!$C$5)</f>
        <v>46381</v>
      </c>
      <c r="L14" s="28" t="n">
        <f aca="false">IF($K14="","",$K14-기준정보!$C$6)</f>
        <v>46291</v>
      </c>
      <c r="M14" s="29" t="n">
        <f aca="false">IF($L14="","",$L14-기준정보!$C$4)</f>
        <v>49</v>
      </c>
      <c r="N14" s="27" t="s">
        <v>65</v>
      </c>
      <c r="O14" s="30"/>
      <c r="P14" s="26" t="str">
        <f aca="false">IF($G14="","",IF(AND(ISNUMBER(SEARCH("CMT",$G14)),OR(ISNUMBER(SEARCH("완사입",$G14)),ISNUMBER(SEARCH("ODM",$G14)))),"본사/생산처 혼재",IF(ISNUMBER(SEARCH("CMT",$G14)),"본사(소재팀)","생산처")))</f>
        <v>생산처</v>
      </c>
      <c r="Q14" s="25" t="s">
        <v>70</v>
      </c>
      <c r="R14" s="25" t="s">
        <v>71</v>
      </c>
      <c r="S14" s="31" t="n">
        <v>2250</v>
      </c>
      <c r="T14" s="26"/>
      <c r="U14" s="26" t="str">
        <f aca="false">IF($J14="","출고일 미정",IF($N14="X","작지 미발행",IF($N14="부분","작지 일부 미발행",IF(AND($O14&lt;&gt;"",$O14&gt;$L14),"소재입고 마감("&amp;TEXT($L14,"MM/DD")&amp;") 초과",IF($N14="","발행여부 확인 필요",IF($O14="","소재 입고일정 확인 필요","정상"))))))</f>
        <v>소재 입고일정 확인 필요</v>
      </c>
      <c r="V14" s="24" t="str">
        <f aca="false">IF($J14="","",IF(OR(LEFT($U14,2)="작지",LEFT($U14,4)="소재입고"),IF(LEFT($F14,1)="S","★ 납기위험(S코드)","◆ 지연주의"),IF($U14="정상","✓ 정상","? 확인필요")))</f>
        <v>? 확인필요</v>
      </c>
      <c r="W14" s="27"/>
      <c r="X14" s="32"/>
    </row>
    <row r="15" customFormat="false" ht="15" hidden="false" customHeight="false" outlineLevel="0" collapsed="false">
      <c r="A15" s="24" t="n">
        <v>11</v>
      </c>
      <c r="B15" s="25" t="s">
        <v>58</v>
      </c>
      <c r="C15" s="25" t="s">
        <v>74</v>
      </c>
      <c r="D15" s="26" t="s">
        <v>91</v>
      </c>
      <c r="E15" s="25" t="s">
        <v>92</v>
      </c>
      <c r="F15" s="24" t="str">
        <f aca="false">IF($D15="","",IF(MID($D15,5,1)="S","S(봄)",IF(MID($D15,5,1)="M","M(여름)",IF(MID($D15,5,1)="X","X(사계절)",MID($D15,5,1)))))</f>
        <v>S(봄)</v>
      </c>
      <c r="G15" s="25" t="s">
        <v>62</v>
      </c>
      <c r="H15" s="24" t="s">
        <v>63</v>
      </c>
      <c r="I15" s="27" t="s">
        <v>64</v>
      </c>
      <c r="J15" s="28" t="n">
        <f aca="false">IF($I15="","",IFERROR(DATE(IF(VALUE(LEFT($I15,FIND("월",$I15)-1))&gt;=9,기준정보!$C$7-1,기준정보!$C$7),VALUE(LEFT($I15,FIND("월",$I15)-1)),1+7*(VALUE(SUBSTITUTE(MID($I15,FIND("월",$I15)+1,5),"주",""))-1)),""))</f>
        <v>46395</v>
      </c>
      <c r="K15" s="28" t="n">
        <f aca="false">IF($J15="","",$J15-기준정보!$C$5)</f>
        <v>46381</v>
      </c>
      <c r="L15" s="28" t="n">
        <f aca="false">IF($K15="","",$K15-기준정보!$C$6)</f>
        <v>46291</v>
      </c>
      <c r="M15" s="29" t="n">
        <f aca="false">IF($L15="","",$L15-기준정보!$C$4)</f>
        <v>49</v>
      </c>
      <c r="N15" s="27" t="s">
        <v>65</v>
      </c>
      <c r="O15" s="30"/>
      <c r="P15" s="26" t="str">
        <f aca="false">IF($G15="","",IF(AND(ISNUMBER(SEARCH("CMT",$G15)),OR(ISNUMBER(SEARCH("완사입",$G15)),ISNUMBER(SEARCH("ODM",$G15)))),"본사/생산처 혼재",IF(ISNUMBER(SEARCH("CMT",$G15)),"본사(소재팀)","생산처")))</f>
        <v>생산처</v>
      </c>
      <c r="Q15" s="25" t="s">
        <v>70</v>
      </c>
      <c r="R15" s="25" t="s">
        <v>71</v>
      </c>
      <c r="S15" s="31" t="n">
        <v>3000</v>
      </c>
      <c r="T15" s="26"/>
      <c r="U15" s="26" t="str">
        <f aca="false">IF($J15="","출고일 미정",IF($N15="X","작지 미발행",IF($N15="부분","작지 일부 미발행",IF(AND($O15&lt;&gt;"",$O15&gt;$L15),"소재입고 마감("&amp;TEXT($L15,"MM/DD")&amp;") 초과",IF($N15="","발행여부 확인 필요",IF($O15="","소재 입고일정 확인 필요","정상"))))))</f>
        <v>소재 입고일정 확인 필요</v>
      </c>
      <c r="V15" s="24" t="str">
        <f aca="false">IF($J15="","",IF(OR(LEFT($U15,2)="작지",LEFT($U15,4)="소재입고"),IF(LEFT($F15,1)="S","★ 납기위험(S코드)","◆ 지연주의"),IF($U15="정상","✓ 정상","? 확인필요")))</f>
        <v>? 확인필요</v>
      </c>
      <c r="W15" s="27"/>
      <c r="X15" s="32"/>
    </row>
    <row r="16" customFormat="false" ht="15" hidden="false" customHeight="false" outlineLevel="0" collapsed="false">
      <c r="A16" s="24" t="n">
        <v>12</v>
      </c>
      <c r="B16" s="25" t="s">
        <v>58</v>
      </c>
      <c r="C16" s="25" t="s">
        <v>74</v>
      </c>
      <c r="D16" s="26" t="s">
        <v>93</v>
      </c>
      <c r="E16" s="25" t="s">
        <v>94</v>
      </c>
      <c r="F16" s="24" t="str">
        <f aca="false">IF($D16="","",IF(MID($D16,5,1)="S","S(봄)",IF(MID($D16,5,1)="M","M(여름)",IF(MID($D16,5,1)="X","X(사계절)",MID($D16,5,1)))))</f>
        <v>S(봄)</v>
      </c>
      <c r="G16" s="25" t="s">
        <v>62</v>
      </c>
      <c r="H16" s="24" t="s">
        <v>63</v>
      </c>
      <c r="I16" s="27" t="s">
        <v>64</v>
      </c>
      <c r="J16" s="28" t="n">
        <f aca="false">IF($I16="","",IFERROR(DATE(IF(VALUE(LEFT($I16,FIND("월",$I16)-1))&gt;=9,기준정보!$C$7-1,기준정보!$C$7),VALUE(LEFT($I16,FIND("월",$I16)-1)),1+7*(VALUE(SUBSTITUTE(MID($I16,FIND("월",$I16)+1,5),"주",""))-1)),""))</f>
        <v>46395</v>
      </c>
      <c r="K16" s="28" t="n">
        <f aca="false">IF($J16="","",$J16-기준정보!$C$5)</f>
        <v>46381</v>
      </c>
      <c r="L16" s="28" t="n">
        <f aca="false">IF($K16="","",$K16-기준정보!$C$6)</f>
        <v>46291</v>
      </c>
      <c r="M16" s="29" t="n">
        <f aca="false">IF($L16="","",$L16-기준정보!$C$4)</f>
        <v>49</v>
      </c>
      <c r="N16" s="27" t="s">
        <v>65</v>
      </c>
      <c r="O16" s="30"/>
      <c r="P16" s="26" t="str">
        <f aca="false">IF($G16="","",IF(AND(ISNUMBER(SEARCH("CMT",$G16)),OR(ISNUMBER(SEARCH("완사입",$G16)),ISNUMBER(SEARCH("ODM",$G16)))),"본사/생산처 혼재",IF(ISNUMBER(SEARCH("CMT",$G16)),"본사(소재팀)","생산처")))</f>
        <v>생산처</v>
      </c>
      <c r="Q16" s="25" t="s">
        <v>79</v>
      </c>
      <c r="R16" s="25" t="s">
        <v>67</v>
      </c>
      <c r="S16" s="31" t="n">
        <v>1100</v>
      </c>
      <c r="T16" s="26"/>
      <c r="U16" s="26" t="str">
        <f aca="false">IF($J16="","출고일 미정",IF($N16="X","작지 미발행",IF($N16="부분","작지 일부 미발행",IF(AND($O16&lt;&gt;"",$O16&gt;$L16),"소재입고 마감("&amp;TEXT($L16,"MM/DD")&amp;") 초과",IF($N16="","발행여부 확인 필요",IF($O16="","소재 입고일정 확인 필요","정상"))))))</f>
        <v>소재 입고일정 확인 필요</v>
      </c>
      <c r="V16" s="24" t="str">
        <f aca="false">IF($J16="","",IF(OR(LEFT($U16,2)="작지",LEFT($U16,4)="소재입고"),IF(LEFT($F16,1)="S","★ 납기위험(S코드)","◆ 지연주의"),IF($U16="정상","✓ 정상","? 확인필요")))</f>
        <v>? 확인필요</v>
      </c>
      <c r="W16" s="27"/>
      <c r="X16" s="32"/>
    </row>
    <row r="17" customFormat="false" ht="15" hidden="false" customHeight="false" outlineLevel="0" collapsed="false">
      <c r="A17" s="24" t="n">
        <v>13</v>
      </c>
      <c r="B17" s="25" t="s">
        <v>58</v>
      </c>
      <c r="C17" s="25" t="s">
        <v>74</v>
      </c>
      <c r="D17" s="26" t="s">
        <v>95</v>
      </c>
      <c r="E17" s="25" t="s">
        <v>96</v>
      </c>
      <c r="F17" s="24" t="str">
        <f aca="false">IF($D17="","",IF(MID($D17,5,1)="S","S(봄)",IF(MID($D17,5,1)="M","M(여름)",IF(MID($D17,5,1)="X","X(사계절)",MID($D17,5,1)))))</f>
        <v>S(봄)</v>
      </c>
      <c r="G17" s="25" t="s">
        <v>62</v>
      </c>
      <c r="H17" s="24" t="s">
        <v>63</v>
      </c>
      <c r="I17" s="27" t="s">
        <v>64</v>
      </c>
      <c r="J17" s="28" t="n">
        <f aca="false">IF($I17="","",IFERROR(DATE(IF(VALUE(LEFT($I17,FIND("월",$I17)-1))&gt;=9,기준정보!$C$7-1,기준정보!$C$7),VALUE(LEFT($I17,FIND("월",$I17)-1)),1+7*(VALUE(SUBSTITUTE(MID($I17,FIND("월",$I17)+1,5),"주",""))-1)),""))</f>
        <v>46395</v>
      </c>
      <c r="K17" s="28" t="n">
        <f aca="false">IF($J17="","",$J17-기준정보!$C$5)</f>
        <v>46381</v>
      </c>
      <c r="L17" s="28" t="n">
        <f aca="false">IF($K17="","",$K17-기준정보!$C$6)</f>
        <v>46291</v>
      </c>
      <c r="M17" s="29" t="n">
        <f aca="false">IF($L17="","",$L17-기준정보!$C$4)</f>
        <v>49</v>
      </c>
      <c r="N17" s="27" t="s">
        <v>65</v>
      </c>
      <c r="O17" s="30"/>
      <c r="P17" s="26" t="str">
        <f aca="false">IF($G17="","",IF(AND(ISNUMBER(SEARCH("CMT",$G17)),OR(ISNUMBER(SEARCH("완사입",$G17)),ISNUMBER(SEARCH("ODM",$G17)))),"본사/생산처 혼재",IF(ISNUMBER(SEARCH("CMT",$G17)),"본사(소재팀)","생산처")))</f>
        <v>생산처</v>
      </c>
      <c r="Q17" s="25" t="s">
        <v>79</v>
      </c>
      <c r="R17" s="25" t="s">
        <v>67</v>
      </c>
      <c r="S17" s="31" t="n">
        <v>300</v>
      </c>
      <c r="T17" s="26"/>
      <c r="U17" s="26" t="str">
        <f aca="false">IF($J17="","출고일 미정",IF($N17="X","작지 미발행",IF($N17="부분","작지 일부 미발행",IF(AND($O17&lt;&gt;"",$O17&gt;$L17),"소재입고 마감("&amp;TEXT($L17,"MM/DD")&amp;") 초과",IF($N17="","발행여부 확인 필요",IF($O17="","소재 입고일정 확인 필요","정상"))))))</f>
        <v>소재 입고일정 확인 필요</v>
      </c>
      <c r="V17" s="24" t="str">
        <f aca="false">IF($J17="","",IF(OR(LEFT($U17,2)="작지",LEFT($U17,4)="소재입고"),IF(LEFT($F17,1)="S","★ 납기위험(S코드)","◆ 지연주의"),IF($U17="정상","✓ 정상","? 확인필요")))</f>
        <v>? 확인필요</v>
      </c>
      <c r="W17" s="27"/>
      <c r="X17" s="32"/>
    </row>
    <row r="18" customFormat="false" ht="15" hidden="false" customHeight="false" outlineLevel="0" collapsed="false">
      <c r="A18" s="24" t="n">
        <v>14</v>
      </c>
      <c r="B18" s="25" t="s">
        <v>58</v>
      </c>
      <c r="C18" s="25" t="s">
        <v>74</v>
      </c>
      <c r="D18" s="26" t="s">
        <v>97</v>
      </c>
      <c r="E18" s="25" t="s">
        <v>98</v>
      </c>
      <c r="F18" s="24" t="str">
        <f aca="false">IF($D18="","",IF(MID($D18,5,1)="S","S(봄)",IF(MID($D18,5,1)="M","M(여름)",IF(MID($D18,5,1)="X","X(사계절)",MID($D18,5,1)))))</f>
        <v>S(봄)</v>
      </c>
      <c r="G18" s="25" t="s">
        <v>62</v>
      </c>
      <c r="H18" s="24" t="s">
        <v>63</v>
      </c>
      <c r="I18" s="27" t="s">
        <v>64</v>
      </c>
      <c r="J18" s="28" t="n">
        <f aca="false">IF($I18="","",IFERROR(DATE(IF(VALUE(LEFT($I18,FIND("월",$I18)-1))&gt;=9,기준정보!$C$7-1,기준정보!$C$7),VALUE(LEFT($I18,FIND("월",$I18)-1)),1+7*(VALUE(SUBSTITUTE(MID($I18,FIND("월",$I18)+1,5),"주",""))-1)),""))</f>
        <v>46395</v>
      </c>
      <c r="K18" s="28" t="n">
        <f aca="false">IF($J18="","",$J18-기준정보!$C$5)</f>
        <v>46381</v>
      </c>
      <c r="L18" s="28" t="n">
        <f aca="false">IF($K18="","",$K18-기준정보!$C$6)</f>
        <v>46291</v>
      </c>
      <c r="M18" s="29" t="n">
        <f aca="false">IF($L18="","",$L18-기준정보!$C$4)</f>
        <v>49</v>
      </c>
      <c r="N18" s="27" t="s">
        <v>65</v>
      </c>
      <c r="O18" s="30"/>
      <c r="P18" s="26" t="str">
        <f aca="false">IF($G18="","",IF(AND(ISNUMBER(SEARCH("CMT",$G18)),OR(ISNUMBER(SEARCH("완사입",$G18)),ISNUMBER(SEARCH("ODM",$G18)))),"본사/생산처 혼재",IF(ISNUMBER(SEARCH("CMT",$G18)),"본사(소재팀)","생산처")))</f>
        <v>생산처</v>
      </c>
      <c r="Q18" s="25" t="s">
        <v>84</v>
      </c>
      <c r="R18" s="25" t="s">
        <v>67</v>
      </c>
      <c r="S18" s="31" t="n">
        <v>300</v>
      </c>
      <c r="T18" s="26"/>
      <c r="U18" s="26" t="str">
        <f aca="false">IF($J18="","출고일 미정",IF($N18="X","작지 미발행",IF($N18="부분","작지 일부 미발행",IF(AND($O18&lt;&gt;"",$O18&gt;$L18),"소재입고 마감("&amp;TEXT($L18,"MM/DD")&amp;") 초과",IF($N18="","발행여부 확인 필요",IF($O18="","소재 입고일정 확인 필요","정상"))))))</f>
        <v>소재 입고일정 확인 필요</v>
      </c>
      <c r="V18" s="24" t="str">
        <f aca="false">IF($J18="","",IF(OR(LEFT($U18,2)="작지",LEFT($U18,4)="소재입고"),IF(LEFT($F18,1)="S","★ 납기위험(S코드)","◆ 지연주의"),IF($U18="정상","✓ 정상","? 확인필요")))</f>
        <v>? 확인필요</v>
      </c>
      <c r="W18" s="27"/>
      <c r="X18" s="32"/>
    </row>
    <row r="19" customFormat="false" ht="15" hidden="false" customHeight="false" outlineLevel="0" collapsed="false">
      <c r="A19" s="24" t="n">
        <v>15</v>
      </c>
      <c r="B19" s="25" t="s">
        <v>99</v>
      </c>
      <c r="C19" s="25" t="s">
        <v>100</v>
      </c>
      <c r="D19" s="26" t="s">
        <v>101</v>
      </c>
      <c r="E19" s="25" t="s">
        <v>102</v>
      </c>
      <c r="F19" s="24" t="str">
        <f aca="false">IF($D19="","",IF(MID($D19,5,1)="S","S(봄)",IF(MID($D19,5,1)="M","M(여름)",IF(MID($D19,5,1)="X","X(사계절)",MID($D19,5,1)))))</f>
        <v>S(봄)</v>
      </c>
      <c r="G19" s="26" t="s">
        <v>103</v>
      </c>
      <c r="H19" s="24"/>
      <c r="I19" s="27" t="s">
        <v>64</v>
      </c>
      <c r="J19" s="28" t="n">
        <f aca="false">IF($I19="","",IFERROR(DATE(IF(VALUE(LEFT($I19,FIND("월",$I19)-1))&gt;=9,기준정보!$C$7-1,기준정보!$C$7),VALUE(LEFT($I19,FIND("월",$I19)-1)),1+7*(VALUE(SUBSTITUTE(MID($I19,FIND("월",$I19)+1,5),"주",""))-1)),""))</f>
        <v>46395</v>
      </c>
      <c r="K19" s="28" t="n">
        <f aca="false">IF($J19="","",$J19-기준정보!$C$5)</f>
        <v>46381</v>
      </c>
      <c r="L19" s="28" t="n">
        <f aca="false">IF($K19="","",$K19-기준정보!$C$6)</f>
        <v>46291</v>
      </c>
      <c r="M19" s="29" t="n">
        <f aca="false">IF($L19="","",$L19-기준정보!$C$4)</f>
        <v>49</v>
      </c>
      <c r="N19" s="27" t="s">
        <v>65</v>
      </c>
      <c r="O19" s="30"/>
      <c r="P19" s="26" t="str">
        <f aca="false">IF($G19="","",IF(AND(ISNUMBER(SEARCH("CMT",$G19)),OR(ISNUMBER(SEARCH("완사입",$G19)),ISNUMBER(SEARCH("ODM",$G19)))),"본사/생산처 혼재",IF(ISNUMBER(SEARCH("CMT",$G19)),"본사(소재팀)","생산처")))</f>
        <v>생산처</v>
      </c>
      <c r="Q19" s="26" t="s">
        <v>104</v>
      </c>
      <c r="R19" s="25" t="s">
        <v>105</v>
      </c>
      <c r="S19" s="31" t="n">
        <v>8000</v>
      </c>
      <c r="T19" s="26"/>
      <c r="U19" s="26" t="str">
        <f aca="false">IF($J19="","출고일 미정",IF($N19="X","작지 미발행",IF($N19="부분","작지 일부 미발행",IF(AND($O19&lt;&gt;"",$O19&gt;$L19),"소재입고 마감("&amp;TEXT($L19,"MM/DD")&amp;") 초과",IF($N19="","발행여부 확인 필요",IF($O19="","소재 입고일정 확인 필요","정상"))))))</f>
        <v>소재 입고일정 확인 필요</v>
      </c>
      <c r="V19" s="24" t="str">
        <f aca="false">IF($J19="","",IF(OR(LEFT($U19,2)="작지",LEFT($U19,4)="소재입고"),IF(LEFT($F19,1)="S","★ 납기위험(S코드)","◆ 지연주의"),IF($U19="정상","✓ 정상","? 확인필요")))</f>
        <v>? 확인필요</v>
      </c>
      <c r="W19" s="27"/>
      <c r="X19" s="32"/>
    </row>
    <row r="20" customFormat="false" ht="15" hidden="false" customHeight="false" outlineLevel="0" collapsed="false">
      <c r="A20" s="24" t="n">
        <v>16</v>
      </c>
      <c r="B20" s="25" t="s">
        <v>99</v>
      </c>
      <c r="C20" s="25" t="s">
        <v>100</v>
      </c>
      <c r="D20" s="26" t="s">
        <v>106</v>
      </c>
      <c r="E20" s="25" t="s">
        <v>107</v>
      </c>
      <c r="F20" s="24" t="str">
        <f aca="false">IF($D20="","",IF(MID($D20,5,1)="S","S(봄)",IF(MID($D20,5,1)="M","M(여름)",IF(MID($D20,5,1)="X","X(사계절)",MID($D20,5,1)))))</f>
        <v>S(봄)</v>
      </c>
      <c r="G20" s="25" t="s">
        <v>62</v>
      </c>
      <c r="H20" s="24"/>
      <c r="I20" s="27" t="s">
        <v>64</v>
      </c>
      <c r="J20" s="28" t="n">
        <f aca="false">IF($I20="","",IFERROR(DATE(IF(VALUE(LEFT($I20,FIND("월",$I20)-1))&gt;=9,기준정보!$C$7-1,기준정보!$C$7),VALUE(LEFT($I20,FIND("월",$I20)-1)),1+7*(VALUE(SUBSTITUTE(MID($I20,FIND("월",$I20)+1,5),"주",""))-1)),""))</f>
        <v>46395</v>
      </c>
      <c r="K20" s="28" t="n">
        <f aca="false">IF($J20="","",$J20-기준정보!$C$5)</f>
        <v>46381</v>
      </c>
      <c r="L20" s="28" t="n">
        <f aca="false">IF($K20="","",$K20-기준정보!$C$6)</f>
        <v>46291</v>
      </c>
      <c r="M20" s="29" t="n">
        <f aca="false">IF($L20="","",$L20-기준정보!$C$4)</f>
        <v>49</v>
      </c>
      <c r="N20" s="27" t="s">
        <v>65</v>
      </c>
      <c r="O20" s="30"/>
      <c r="P20" s="26" t="str">
        <f aca="false">IF($G20="","",IF(AND(ISNUMBER(SEARCH("CMT",$G20)),OR(ISNUMBER(SEARCH("완사입",$G20)),ISNUMBER(SEARCH("ODM",$G20)))),"본사/생산처 혼재",IF(ISNUMBER(SEARCH("CMT",$G20)),"본사(소재팀)","생산처")))</f>
        <v>생산처</v>
      </c>
      <c r="Q20" s="25" t="s">
        <v>108</v>
      </c>
      <c r="R20" s="25" t="s">
        <v>67</v>
      </c>
      <c r="S20" s="31" t="n">
        <v>2000</v>
      </c>
      <c r="T20" s="26" t="s">
        <v>64</v>
      </c>
      <c r="U20" s="26" t="str">
        <f aca="false">IF($J20="","출고일 미정",IF($N20="X","작지 미발행",IF($N20="부분","작지 일부 미발행",IF(AND($O20&lt;&gt;"",$O20&gt;$L20),"소재입고 마감("&amp;TEXT($L20,"MM/DD")&amp;") 초과",IF($N20="","발행여부 확인 필요",IF($O20="","소재 입고일정 확인 필요","정상"))))))</f>
        <v>소재 입고일정 확인 필요</v>
      </c>
      <c r="V20" s="24" t="str">
        <f aca="false">IF($J20="","",IF(OR(LEFT($U20,2)="작지",LEFT($U20,4)="소재입고"),IF(LEFT($F20,1)="S","★ 납기위험(S코드)","◆ 지연주의"),IF($U20="정상","✓ 정상","? 확인필요")))</f>
        <v>? 확인필요</v>
      </c>
      <c r="W20" s="27"/>
      <c r="X20" s="32"/>
    </row>
    <row r="21" customFormat="false" ht="15" hidden="false" customHeight="false" outlineLevel="0" collapsed="false">
      <c r="A21" s="24" t="n">
        <v>17</v>
      </c>
      <c r="B21" s="25" t="s">
        <v>99</v>
      </c>
      <c r="C21" s="25" t="s">
        <v>100</v>
      </c>
      <c r="D21" s="26" t="s">
        <v>109</v>
      </c>
      <c r="E21" s="25" t="s">
        <v>110</v>
      </c>
      <c r="F21" s="24" t="str">
        <f aca="false">IF($D21="","",IF(MID($D21,5,1)="S","S(봄)",IF(MID($D21,5,1)="M","M(여름)",IF(MID($D21,5,1)="X","X(사계절)",MID($D21,5,1)))))</f>
        <v>S(봄)</v>
      </c>
      <c r="G21" s="26" t="s">
        <v>103</v>
      </c>
      <c r="H21" s="24"/>
      <c r="I21" s="27" t="s">
        <v>64</v>
      </c>
      <c r="J21" s="28" t="n">
        <f aca="false">IF($I21="","",IFERROR(DATE(IF(VALUE(LEFT($I21,FIND("월",$I21)-1))&gt;=9,기준정보!$C$7-1,기준정보!$C$7),VALUE(LEFT($I21,FIND("월",$I21)-1)),1+7*(VALUE(SUBSTITUTE(MID($I21,FIND("월",$I21)+1,5),"주",""))-1)),""))</f>
        <v>46395</v>
      </c>
      <c r="K21" s="28" t="n">
        <f aca="false">IF($J21="","",$J21-기준정보!$C$5)</f>
        <v>46381</v>
      </c>
      <c r="L21" s="28" t="n">
        <f aca="false">IF($K21="","",$K21-기준정보!$C$6)</f>
        <v>46291</v>
      </c>
      <c r="M21" s="29" t="n">
        <f aca="false">IF($L21="","",$L21-기준정보!$C$4)</f>
        <v>49</v>
      </c>
      <c r="N21" s="27" t="s">
        <v>65</v>
      </c>
      <c r="O21" s="30"/>
      <c r="P21" s="26" t="str">
        <f aca="false">IF($G21="","",IF(AND(ISNUMBER(SEARCH("CMT",$G21)),OR(ISNUMBER(SEARCH("완사입",$G21)),ISNUMBER(SEARCH("ODM",$G21)))),"본사/생산처 혼재",IF(ISNUMBER(SEARCH("CMT",$G21)),"본사(소재팀)","생산처")))</f>
        <v>생산처</v>
      </c>
      <c r="Q21" s="26" t="s">
        <v>104</v>
      </c>
      <c r="R21" s="25" t="s">
        <v>67</v>
      </c>
      <c r="S21" s="31" t="n">
        <v>3700</v>
      </c>
      <c r="T21" s="26"/>
      <c r="U21" s="26" t="str">
        <f aca="false">IF($J21="","출고일 미정",IF($N21="X","작지 미발행",IF($N21="부분","작지 일부 미발행",IF(AND($O21&lt;&gt;"",$O21&gt;$L21),"소재입고 마감("&amp;TEXT($L21,"MM/DD")&amp;") 초과",IF($N21="","발행여부 확인 필요",IF($O21="","소재 입고일정 확인 필요","정상"))))))</f>
        <v>소재 입고일정 확인 필요</v>
      </c>
      <c r="V21" s="24" t="str">
        <f aca="false">IF($J21="","",IF(OR(LEFT($U21,2)="작지",LEFT($U21,4)="소재입고"),IF(LEFT($F21,1)="S","★ 납기위험(S코드)","◆ 지연주의"),IF($U21="정상","✓ 정상","? 확인필요")))</f>
        <v>? 확인필요</v>
      </c>
      <c r="W21" s="27"/>
      <c r="X21" s="32"/>
    </row>
    <row r="22" customFormat="false" ht="15" hidden="false" customHeight="false" outlineLevel="0" collapsed="false">
      <c r="A22" s="24" t="n">
        <v>18</v>
      </c>
      <c r="B22" s="25" t="s">
        <v>99</v>
      </c>
      <c r="C22" s="25" t="s">
        <v>100</v>
      </c>
      <c r="D22" s="26" t="s">
        <v>111</v>
      </c>
      <c r="E22" s="25" t="s">
        <v>112</v>
      </c>
      <c r="F22" s="24" t="str">
        <f aca="false">IF($D22="","",IF(MID($D22,5,1)="S","S(봄)",IF(MID($D22,5,1)="M","M(여름)",IF(MID($D22,5,1)="X","X(사계절)",MID($D22,5,1)))))</f>
        <v>S(봄)</v>
      </c>
      <c r="G22" s="25" t="s">
        <v>62</v>
      </c>
      <c r="H22" s="24"/>
      <c r="I22" s="27" t="s">
        <v>64</v>
      </c>
      <c r="J22" s="28" t="n">
        <f aca="false">IF($I22="","",IFERROR(DATE(IF(VALUE(LEFT($I22,FIND("월",$I22)-1))&gt;=9,기준정보!$C$7-1,기준정보!$C$7),VALUE(LEFT($I22,FIND("월",$I22)-1)),1+7*(VALUE(SUBSTITUTE(MID($I22,FIND("월",$I22)+1,5),"주",""))-1)),""))</f>
        <v>46395</v>
      </c>
      <c r="K22" s="28" t="n">
        <f aca="false">IF($J22="","",$J22-기준정보!$C$5)</f>
        <v>46381</v>
      </c>
      <c r="L22" s="28" t="n">
        <f aca="false">IF($K22="","",$K22-기준정보!$C$6)</f>
        <v>46291</v>
      </c>
      <c r="M22" s="29" t="n">
        <f aca="false">IF($L22="","",$L22-기준정보!$C$4)</f>
        <v>49</v>
      </c>
      <c r="N22" s="27" t="s">
        <v>65</v>
      </c>
      <c r="O22" s="30"/>
      <c r="P22" s="26" t="str">
        <f aca="false">IF($G22="","",IF(AND(ISNUMBER(SEARCH("CMT",$G22)),OR(ISNUMBER(SEARCH("완사입",$G22)),ISNUMBER(SEARCH("ODM",$G22)))),"본사/생산처 혼재",IF(ISNUMBER(SEARCH("CMT",$G22)),"본사(소재팀)","생산처")))</f>
        <v>생산처</v>
      </c>
      <c r="Q22" s="25" t="s">
        <v>108</v>
      </c>
      <c r="R22" s="25" t="s">
        <v>67</v>
      </c>
      <c r="S22" s="31" t="n">
        <v>1200</v>
      </c>
      <c r="T22" s="26" t="s">
        <v>64</v>
      </c>
      <c r="U22" s="26" t="str">
        <f aca="false">IF($J22="","출고일 미정",IF($N22="X","작지 미발행",IF($N22="부분","작지 일부 미발행",IF(AND($O22&lt;&gt;"",$O22&gt;$L22),"소재입고 마감("&amp;TEXT($L22,"MM/DD")&amp;") 초과",IF($N22="","발행여부 확인 필요",IF($O22="","소재 입고일정 확인 필요","정상"))))))</f>
        <v>소재 입고일정 확인 필요</v>
      </c>
      <c r="V22" s="24" t="str">
        <f aca="false">IF($J22="","",IF(OR(LEFT($U22,2)="작지",LEFT($U22,4)="소재입고"),IF(LEFT($F22,1)="S","★ 납기위험(S코드)","◆ 지연주의"),IF($U22="정상","✓ 정상","? 확인필요")))</f>
        <v>? 확인필요</v>
      </c>
      <c r="W22" s="27"/>
      <c r="X22" s="32"/>
    </row>
    <row r="23" customFormat="false" ht="15" hidden="false" customHeight="false" outlineLevel="0" collapsed="false">
      <c r="A23" s="24" t="n">
        <v>19</v>
      </c>
      <c r="B23" s="25" t="s">
        <v>113</v>
      </c>
      <c r="C23" s="25" t="s">
        <v>114</v>
      </c>
      <c r="D23" s="26" t="s">
        <v>115</v>
      </c>
      <c r="E23" s="26" t="s">
        <v>116</v>
      </c>
      <c r="F23" s="24" t="str">
        <f aca="false">IF($D23="","",IF(MID($D23,5,1)="S","S(봄)",IF(MID($D23,5,1)="M","M(여름)",IF(MID($D23,5,1)="X","X(사계절)",MID($D23,5,1)))))</f>
        <v>S(봄)</v>
      </c>
      <c r="G23" s="25" t="s">
        <v>62</v>
      </c>
      <c r="H23" s="24" t="s">
        <v>117</v>
      </c>
      <c r="I23" s="27" t="s">
        <v>118</v>
      </c>
      <c r="J23" s="28" t="n">
        <f aca="false">IF($I23="","",IFERROR(DATE(IF(VALUE(LEFT($I23,FIND("월",$I23)-1))&gt;=9,기준정보!$C$7-1,기준정보!$C$7),VALUE(LEFT($I23,FIND("월",$I23)-1)),1+7*(VALUE(SUBSTITUTE(MID($I23,FIND("월",$I23)+1,5),"주",""))-1)),""))</f>
        <v>46402</v>
      </c>
      <c r="K23" s="28" t="n">
        <f aca="false">IF($J23="","",$J23-기준정보!$C$5)</f>
        <v>46388</v>
      </c>
      <c r="L23" s="28" t="n">
        <f aca="false">IF($K23="","",$K23-기준정보!$C$6)</f>
        <v>46298</v>
      </c>
      <c r="M23" s="29" t="n">
        <f aca="false">IF($L23="","",$L23-기준정보!$C$4)</f>
        <v>56</v>
      </c>
      <c r="N23" s="27" t="s">
        <v>119</v>
      </c>
      <c r="O23" s="30"/>
      <c r="P23" s="26" t="str">
        <f aca="false">IF($G23="","",IF(AND(ISNUMBER(SEARCH("CMT",$G23)),OR(ISNUMBER(SEARCH("완사입",$G23)),ISNUMBER(SEARCH("ODM",$G23)))),"본사/생산처 혼재",IF(ISNUMBER(SEARCH("CMT",$G23)),"본사(소재팀)","생산처")))</f>
        <v>생산처</v>
      </c>
      <c r="Q23" s="26" t="s">
        <v>120</v>
      </c>
      <c r="R23" s="25" t="s">
        <v>67</v>
      </c>
      <c r="S23" s="31" t="n">
        <v>0</v>
      </c>
      <c r="T23" s="26"/>
      <c r="U23" s="26" t="str">
        <f aca="false">IF($J23="","출고일 미정",IF($N23="X","작지 미발행",IF($N23="부분","작지 일부 미발행",IF(AND($O23&lt;&gt;"",$O23&gt;$L23),"소재입고 마감("&amp;TEXT($L23,"MM/DD")&amp;") 초과",IF($N23="","발행여부 확인 필요",IF($O23="","소재 입고일정 확인 필요","정상"))))))</f>
        <v>작지 미발행</v>
      </c>
      <c r="V23" s="24" t="str">
        <f aca="false">IF($J23="","",IF(OR(LEFT($U23,2)="작지",LEFT($U23,4)="소재입고"),IF(LEFT($F23,1)="S","★ 납기위험(S코드)","◆ 지연주의"),IF($U23="정상","✓ 정상","? 확인필요")))</f>
        <v>★ 납기위험(S코드)</v>
      </c>
      <c r="W23" s="27"/>
      <c r="X23" s="32"/>
    </row>
    <row r="24" customFormat="false" ht="15" hidden="false" customHeight="false" outlineLevel="0" collapsed="false">
      <c r="A24" s="24" t="n">
        <v>20</v>
      </c>
      <c r="B24" s="25" t="s">
        <v>113</v>
      </c>
      <c r="C24" s="25" t="s">
        <v>114</v>
      </c>
      <c r="D24" s="26" t="s">
        <v>121</v>
      </c>
      <c r="E24" s="26" t="s">
        <v>122</v>
      </c>
      <c r="F24" s="24" t="str">
        <f aca="false">IF($D24="","",IF(MID($D24,5,1)="S","S(봄)",IF(MID($D24,5,1)="M","M(여름)",IF(MID($D24,5,1)="X","X(사계절)",MID($D24,5,1)))))</f>
        <v>S(봄)</v>
      </c>
      <c r="G24" s="25" t="s">
        <v>62</v>
      </c>
      <c r="H24" s="24" t="s">
        <v>117</v>
      </c>
      <c r="I24" s="27" t="s">
        <v>118</v>
      </c>
      <c r="J24" s="28" t="n">
        <f aca="false">IF($I24="","",IFERROR(DATE(IF(VALUE(LEFT($I24,FIND("월",$I24)-1))&gt;=9,기준정보!$C$7-1,기준정보!$C$7),VALUE(LEFT($I24,FIND("월",$I24)-1)),1+7*(VALUE(SUBSTITUTE(MID($I24,FIND("월",$I24)+1,5),"주",""))-1)),""))</f>
        <v>46402</v>
      </c>
      <c r="K24" s="28" t="n">
        <f aca="false">IF($J24="","",$J24-기준정보!$C$5)</f>
        <v>46388</v>
      </c>
      <c r="L24" s="28" t="n">
        <f aca="false">IF($K24="","",$K24-기준정보!$C$6)</f>
        <v>46298</v>
      </c>
      <c r="M24" s="29" t="n">
        <f aca="false">IF($L24="","",$L24-기준정보!$C$4)</f>
        <v>56</v>
      </c>
      <c r="N24" s="27" t="s">
        <v>119</v>
      </c>
      <c r="O24" s="30"/>
      <c r="P24" s="26" t="str">
        <f aca="false">IF($G24="","",IF(AND(ISNUMBER(SEARCH("CMT",$G24)),OR(ISNUMBER(SEARCH("완사입",$G24)),ISNUMBER(SEARCH("ODM",$G24)))),"본사/생산처 혼재",IF(ISNUMBER(SEARCH("CMT",$G24)),"본사(소재팀)","생산처")))</f>
        <v>생산처</v>
      </c>
      <c r="Q24" s="26" t="s">
        <v>120</v>
      </c>
      <c r="R24" s="25" t="s">
        <v>67</v>
      </c>
      <c r="S24" s="31" t="n">
        <v>0</v>
      </c>
      <c r="T24" s="26"/>
      <c r="U24" s="26" t="str">
        <f aca="false">IF($J24="","출고일 미정",IF($N24="X","작지 미발행",IF($N24="부분","작지 일부 미발행",IF(AND($O24&lt;&gt;"",$O24&gt;$L24),"소재입고 마감("&amp;TEXT($L24,"MM/DD")&amp;") 초과",IF($N24="","발행여부 확인 필요",IF($O24="","소재 입고일정 확인 필요","정상"))))))</f>
        <v>작지 미발행</v>
      </c>
      <c r="V24" s="24" t="str">
        <f aca="false">IF($J24="","",IF(OR(LEFT($U24,2)="작지",LEFT($U24,4)="소재입고"),IF(LEFT($F24,1)="S","★ 납기위험(S코드)","◆ 지연주의"),IF($U24="정상","✓ 정상","? 확인필요")))</f>
        <v>★ 납기위험(S코드)</v>
      </c>
      <c r="W24" s="27"/>
      <c r="X24" s="32"/>
    </row>
    <row r="25" customFormat="false" ht="15" hidden="false" customHeight="false" outlineLevel="0" collapsed="false">
      <c r="A25" s="24" t="n">
        <v>21</v>
      </c>
      <c r="B25" s="25" t="s">
        <v>113</v>
      </c>
      <c r="C25" s="25" t="s">
        <v>123</v>
      </c>
      <c r="D25" s="26" t="s">
        <v>124</v>
      </c>
      <c r="E25" s="26" t="s">
        <v>125</v>
      </c>
      <c r="F25" s="24" t="str">
        <f aca="false">IF($D25="","",IF(MID($D25,5,1)="S","S(봄)",IF(MID($D25,5,1)="M","M(여름)",IF(MID($D25,5,1)="X","X(사계절)",MID($D25,5,1)))))</f>
        <v>S(봄)</v>
      </c>
      <c r="G25" s="25" t="s">
        <v>62</v>
      </c>
      <c r="H25" s="24" t="s">
        <v>117</v>
      </c>
      <c r="I25" s="27" t="s">
        <v>118</v>
      </c>
      <c r="J25" s="28" t="n">
        <f aca="false">IF($I25="","",IFERROR(DATE(IF(VALUE(LEFT($I25,FIND("월",$I25)-1))&gt;=9,기준정보!$C$7-1,기준정보!$C$7),VALUE(LEFT($I25,FIND("월",$I25)-1)),1+7*(VALUE(SUBSTITUTE(MID($I25,FIND("월",$I25)+1,5),"주",""))-1)),""))</f>
        <v>46402</v>
      </c>
      <c r="K25" s="28" t="n">
        <f aca="false">IF($J25="","",$J25-기준정보!$C$5)</f>
        <v>46388</v>
      </c>
      <c r="L25" s="28" t="n">
        <f aca="false">IF($K25="","",$K25-기준정보!$C$6)</f>
        <v>46298</v>
      </c>
      <c r="M25" s="29" t="n">
        <f aca="false">IF($L25="","",$L25-기준정보!$C$4)</f>
        <v>56</v>
      </c>
      <c r="N25" s="27" t="s">
        <v>119</v>
      </c>
      <c r="O25" s="30"/>
      <c r="P25" s="26" t="str">
        <f aca="false">IF($G25="","",IF(AND(ISNUMBER(SEARCH("CMT",$G25)),OR(ISNUMBER(SEARCH("완사입",$G25)),ISNUMBER(SEARCH("ODM",$G25)))),"본사/생산처 혼재",IF(ISNUMBER(SEARCH("CMT",$G25)),"본사(소재팀)","생산처")))</f>
        <v>생산처</v>
      </c>
      <c r="Q25" s="26" t="s">
        <v>120</v>
      </c>
      <c r="R25" s="25" t="s">
        <v>67</v>
      </c>
      <c r="S25" s="31" t="n">
        <v>0</v>
      </c>
      <c r="T25" s="26"/>
      <c r="U25" s="26" t="str">
        <f aca="false">IF($J25="","출고일 미정",IF($N25="X","작지 미발행",IF($N25="부분","작지 일부 미발행",IF(AND($O25&lt;&gt;"",$O25&gt;$L25),"소재입고 마감("&amp;TEXT($L25,"MM/DD")&amp;") 초과",IF($N25="","발행여부 확인 필요",IF($O25="","소재 입고일정 확인 필요","정상"))))))</f>
        <v>작지 미발행</v>
      </c>
      <c r="V25" s="24" t="str">
        <f aca="false">IF($J25="","",IF(OR(LEFT($U25,2)="작지",LEFT($U25,4)="소재입고"),IF(LEFT($F25,1)="S","★ 납기위험(S코드)","◆ 지연주의"),IF($U25="정상","✓ 정상","? 확인필요")))</f>
        <v>★ 납기위험(S코드)</v>
      </c>
      <c r="W25" s="27"/>
      <c r="X25" s="32"/>
    </row>
    <row r="26" customFormat="false" ht="15" hidden="false" customHeight="false" outlineLevel="0" collapsed="false">
      <c r="A26" s="24" t="n">
        <v>22</v>
      </c>
      <c r="B26" s="25" t="s">
        <v>113</v>
      </c>
      <c r="C26" s="25" t="s">
        <v>123</v>
      </c>
      <c r="D26" s="26" t="s">
        <v>126</v>
      </c>
      <c r="E26" s="26" t="s">
        <v>127</v>
      </c>
      <c r="F26" s="24" t="str">
        <f aca="false">IF($D26="","",IF(MID($D26,5,1)="S","S(봄)",IF(MID($D26,5,1)="M","M(여름)",IF(MID($D26,5,1)="X","X(사계절)",MID($D26,5,1)))))</f>
        <v>S(봄)</v>
      </c>
      <c r="G26" s="25" t="s">
        <v>62</v>
      </c>
      <c r="H26" s="24" t="s">
        <v>117</v>
      </c>
      <c r="I26" s="27" t="s">
        <v>118</v>
      </c>
      <c r="J26" s="28" t="n">
        <f aca="false">IF($I26="","",IFERROR(DATE(IF(VALUE(LEFT($I26,FIND("월",$I26)-1))&gt;=9,기준정보!$C$7-1,기준정보!$C$7),VALUE(LEFT($I26,FIND("월",$I26)-1)),1+7*(VALUE(SUBSTITUTE(MID($I26,FIND("월",$I26)+1,5),"주",""))-1)),""))</f>
        <v>46402</v>
      </c>
      <c r="K26" s="28" t="n">
        <f aca="false">IF($J26="","",$J26-기준정보!$C$5)</f>
        <v>46388</v>
      </c>
      <c r="L26" s="28" t="n">
        <f aca="false">IF($K26="","",$K26-기준정보!$C$6)</f>
        <v>46298</v>
      </c>
      <c r="M26" s="29" t="n">
        <f aca="false">IF($L26="","",$L26-기준정보!$C$4)</f>
        <v>56</v>
      </c>
      <c r="N26" s="27" t="s">
        <v>119</v>
      </c>
      <c r="O26" s="30"/>
      <c r="P26" s="26" t="str">
        <f aca="false">IF($G26="","",IF(AND(ISNUMBER(SEARCH("CMT",$G26)),OR(ISNUMBER(SEARCH("완사입",$G26)),ISNUMBER(SEARCH("ODM",$G26)))),"본사/생산처 혼재",IF(ISNUMBER(SEARCH("CMT",$G26)),"본사(소재팀)","생산처")))</f>
        <v>생산처</v>
      </c>
      <c r="Q26" s="26" t="s">
        <v>120</v>
      </c>
      <c r="R26" s="25" t="s">
        <v>67</v>
      </c>
      <c r="S26" s="31" t="n">
        <v>0</v>
      </c>
      <c r="T26" s="26"/>
      <c r="U26" s="26" t="str">
        <f aca="false">IF($J26="","출고일 미정",IF($N26="X","작지 미발행",IF($N26="부분","작지 일부 미발행",IF(AND($O26&lt;&gt;"",$O26&gt;$L26),"소재입고 마감("&amp;TEXT($L26,"MM/DD")&amp;") 초과",IF($N26="","발행여부 확인 필요",IF($O26="","소재 입고일정 확인 필요","정상"))))))</f>
        <v>작지 미발행</v>
      </c>
      <c r="V26" s="24" t="str">
        <f aca="false">IF($J26="","",IF(OR(LEFT($U26,2)="작지",LEFT($U26,4)="소재입고"),IF(LEFT($F26,1)="S","★ 납기위험(S코드)","◆ 지연주의"),IF($U26="정상","✓ 정상","? 확인필요")))</f>
        <v>★ 납기위험(S코드)</v>
      </c>
      <c r="W26" s="27"/>
      <c r="X26" s="32"/>
    </row>
    <row r="27" customFormat="false" ht="15" hidden="false" customHeight="false" outlineLevel="0" collapsed="false">
      <c r="A27" s="24" t="n">
        <v>23</v>
      </c>
      <c r="B27" s="25" t="s">
        <v>113</v>
      </c>
      <c r="C27" s="25" t="s">
        <v>114</v>
      </c>
      <c r="D27" s="26" t="s">
        <v>128</v>
      </c>
      <c r="E27" s="26" t="s">
        <v>129</v>
      </c>
      <c r="F27" s="24" t="str">
        <f aca="false">IF($D27="","",IF(MID($D27,5,1)="S","S(봄)",IF(MID($D27,5,1)="M","M(여름)",IF(MID($D27,5,1)="X","X(사계절)",MID($D27,5,1)))))</f>
        <v>S(봄)</v>
      </c>
      <c r="G27" s="25" t="s">
        <v>62</v>
      </c>
      <c r="H27" s="24" t="s">
        <v>117</v>
      </c>
      <c r="I27" s="27" t="s">
        <v>118</v>
      </c>
      <c r="J27" s="28" t="n">
        <f aca="false">IF($I27="","",IFERROR(DATE(IF(VALUE(LEFT($I27,FIND("월",$I27)-1))&gt;=9,기준정보!$C$7-1,기준정보!$C$7),VALUE(LEFT($I27,FIND("월",$I27)-1)),1+7*(VALUE(SUBSTITUTE(MID($I27,FIND("월",$I27)+1,5),"주",""))-1)),""))</f>
        <v>46402</v>
      </c>
      <c r="K27" s="28" t="n">
        <f aca="false">IF($J27="","",$J27-기준정보!$C$5)</f>
        <v>46388</v>
      </c>
      <c r="L27" s="28" t="n">
        <f aca="false">IF($K27="","",$K27-기준정보!$C$6)</f>
        <v>46298</v>
      </c>
      <c r="M27" s="29" t="n">
        <f aca="false">IF($L27="","",$L27-기준정보!$C$4)</f>
        <v>56</v>
      </c>
      <c r="N27" s="27" t="s">
        <v>119</v>
      </c>
      <c r="O27" s="30"/>
      <c r="P27" s="26" t="str">
        <f aca="false">IF($G27="","",IF(AND(ISNUMBER(SEARCH("CMT",$G27)),OR(ISNUMBER(SEARCH("완사입",$G27)),ISNUMBER(SEARCH("ODM",$G27)))),"본사/생산처 혼재",IF(ISNUMBER(SEARCH("CMT",$G27)),"본사(소재팀)","생산처")))</f>
        <v>생산처</v>
      </c>
      <c r="Q27" s="25" t="s">
        <v>130</v>
      </c>
      <c r="R27" s="25" t="s">
        <v>67</v>
      </c>
      <c r="S27" s="31" t="n">
        <v>0</v>
      </c>
      <c r="T27" s="26"/>
      <c r="U27" s="26" t="str">
        <f aca="false">IF($J27="","출고일 미정",IF($N27="X","작지 미발행",IF($N27="부분","작지 일부 미발행",IF(AND($O27&lt;&gt;"",$O27&gt;$L27),"소재입고 마감("&amp;TEXT($L27,"MM/DD")&amp;") 초과",IF($N27="","발행여부 확인 필요",IF($O27="","소재 입고일정 확인 필요","정상"))))))</f>
        <v>작지 미발행</v>
      </c>
      <c r="V27" s="24" t="str">
        <f aca="false">IF($J27="","",IF(OR(LEFT($U27,2)="작지",LEFT($U27,4)="소재입고"),IF(LEFT($F27,1)="S","★ 납기위험(S코드)","◆ 지연주의"),IF($U27="정상","✓ 정상","? 확인필요")))</f>
        <v>★ 납기위험(S코드)</v>
      </c>
      <c r="W27" s="27"/>
      <c r="X27" s="32"/>
    </row>
    <row r="28" customFormat="false" ht="15" hidden="false" customHeight="false" outlineLevel="0" collapsed="false">
      <c r="A28" s="24" t="n">
        <v>24</v>
      </c>
      <c r="B28" s="25" t="s">
        <v>113</v>
      </c>
      <c r="C28" s="25" t="s">
        <v>123</v>
      </c>
      <c r="D28" s="26" t="s">
        <v>131</v>
      </c>
      <c r="E28" s="26" t="s">
        <v>132</v>
      </c>
      <c r="F28" s="24" t="str">
        <f aca="false">IF($D28="","",IF(MID($D28,5,1)="S","S(봄)",IF(MID($D28,5,1)="M","M(여름)",IF(MID($D28,5,1)="X","X(사계절)",MID($D28,5,1)))))</f>
        <v>S(봄)</v>
      </c>
      <c r="G28" s="25" t="s">
        <v>62</v>
      </c>
      <c r="H28" s="24" t="s">
        <v>117</v>
      </c>
      <c r="I28" s="27" t="s">
        <v>118</v>
      </c>
      <c r="J28" s="28" t="n">
        <f aca="false">IF($I28="","",IFERROR(DATE(IF(VALUE(LEFT($I28,FIND("월",$I28)-1))&gt;=9,기준정보!$C$7-1,기준정보!$C$7),VALUE(LEFT($I28,FIND("월",$I28)-1)),1+7*(VALUE(SUBSTITUTE(MID($I28,FIND("월",$I28)+1,5),"주",""))-1)),""))</f>
        <v>46402</v>
      </c>
      <c r="K28" s="28" t="n">
        <f aca="false">IF($J28="","",$J28-기준정보!$C$5)</f>
        <v>46388</v>
      </c>
      <c r="L28" s="28" t="n">
        <f aca="false">IF($K28="","",$K28-기준정보!$C$6)</f>
        <v>46298</v>
      </c>
      <c r="M28" s="29" t="n">
        <f aca="false">IF($L28="","",$L28-기준정보!$C$4)</f>
        <v>56</v>
      </c>
      <c r="N28" s="27" t="s">
        <v>119</v>
      </c>
      <c r="O28" s="30"/>
      <c r="P28" s="26" t="str">
        <f aca="false">IF($G28="","",IF(AND(ISNUMBER(SEARCH("CMT",$G28)),OR(ISNUMBER(SEARCH("완사입",$G28)),ISNUMBER(SEARCH("ODM",$G28)))),"본사/생산처 혼재",IF(ISNUMBER(SEARCH("CMT",$G28)),"본사(소재팀)","생산처")))</f>
        <v>생산처</v>
      </c>
      <c r="Q28" s="25" t="s">
        <v>133</v>
      </c>
      <c r="R28" s="25" t="s">
        <v>134</v>
      </c>
      <c r="S28" s="31" t="n">
        <v>0</v>
      </c>
      <c r="T28" s="26"/>
      <c r="U28" s="26" t="str">
        <f aca="false">IF($J28="","출고일 미정",IF($N28="X","작지 미발행",IF($N28="부분","작지 일부 미발행",IF(AND($O28&lt;&gt;"",$O28&gt;$L28),"소재입고 마감("&amp;TEXT($L28,"MM/DD")&amp;") 초과",IF($N28="","발행여부 확인 필요",IF($O28="","소재 입고일정 확인 필요","정상"))))))</f>
        <v>작지 미발행</v>
      </c>
      <c r="V28" s="24" t="str">
        <f aca="false">IF($J28="","",IF(OR(LEFT($U28,2)="작지",LEFT($U28,4)="소재입고"),IF(LEFT($F28,1)="S","★ 납기위험(S코드)","◆ 지연주의"),IF($U28="정상","✓ 정상","? 확인필요")))</f>
        <v>★ 납기위험(S코드)</v>
      </c>
      <c r="W28" s="27"/>
      <c r="X28" s="32"/>
    </row>
    <row r="29" customFormat="false" ht="15" hidden="false" customHeight="false" outlineLevel="0" collapsed="false">
      <c r="A29" s="24" t="n">
        <v>25</v>
      </c>
      <c r="B29" s="25" t="s">
        <v>113</v>
      </c>
      <c r="C29" s="25" t="s">
        <v>123</v>
      </c>
      <c r="D29" s="26" t="s">
        <v>135</v>
      </c>
      <c r="E29" s="26" t="s">
        <v>136</v>
      </c>
      <c r="F29" s="24" t="str">
        <f aca="false">IF($D29="","",IF(MID($D29,5,1)="S","S(봄)",IF(MID($D29,5,1)="M","M(여름)",IF(MID($D29,5,1)="X","X(사계절)",MID($D29,5,1)))))</f>
        <v>S(봄)</v>
      </c>
      <c r="G29" s="25" t="s">
        <v>62</v>
      </c>
      <c r="H29" s="24" t="s">
        <v>117</v>
      </c>
      <c r="I29" s="27" t="s">
        <v>118</v>
      </c>
      <c r="J29" s="28" t="n">
        <f aca="false">IF($I29="","",IFERROR(DATE(IF(VALUE(LEFT($I29,FIND("월",$I29)-1))&gt;=9,기준정보!$C$7-1,기준정보!$C$7),VALUE(LEFT($I29,FIND("월",$I29)-1)),1+7*(VALUE(SUBSTITUTE(MID($I29,FIND("월",$I29)+1,5),"주",""))-1)),""))</f>
        <v>46402</v>
      </c>
      <c r="K29" s="28" t="n">
        <f aca="false">IF($J29="","",$J29-기준정보!$C$5)</f>
        <v>46388</v>
      </c>
      <c r="L29" s="28" t="n">
        <f aca="false">IF($K29="","",$K29-기준정보!$C$6)</f>
        <v>46298</v>
      </c>
      <c r="M29" s="29" t="n">
        <f aca="false">IF($L29="","",$L29-기준정보!$C$4)</f>
        <v>56</v>
      </c>
      <c r="N29" s="27" t="s">
        <v>119</v>
      </c>
      <c r="O29" s="30"/>
      <c r="P29" s="26" t="str">
        <f aca="false">IF($G29="","",IF(AND(ISNUMBER(SEARCH("CMT",$G29)),OR(ISNUMBER(SEARCH("완사입",$G29)),ISNUMBER(SEARCH("ODM",$G29)))),"본사/생산처 혼재",IF(ISNUMBER(SEARCH("CMT",$G29)),"본사(소재팀)","생산처")))</f>
        <v>생산처</v>
      </c>
      <c r="Q29" s="25" t="s">
        <v>137</v>
      </c>
      <c r="R29" s="25" t="s">
        <v>67</v>
      </c>
      <c r="S29" s="31" t="n">
        <v>0</v>
      </c>
      <c r="T29" s="26"/>
      <c r="U29" s="26" t="str">
        <f aca="false">IF($J29="","출고일 미정",IF($N29="X","작지 미발행",IF($N29="부분","작지 일부 미발행",IF(AND($O29&lt;&gt;"",$O29&gt;$L29),"소재입고 마감("&amp;TEXT($L29,"MM/DD")&amp;") 초과",IF($N29="","발행여부 확인 필요",IF($O29="","소재 입고일정 확인 필요","정상"))))))</f>
        <v>작지 미발행</v>
      </c>
      <c r="V29" s="24" t="str">
        <f aca="false">IF($J29="","",IF(OR(LEFT($U29,2)="작지",LEFT($U29,4)="소재입고"),IF(LEFT($F29,1)="S","★ 납기위험(S코드)","◆ 지연주의"),IF($U29="정상","✓ 정상","? 확인필요")))</f>
        <v>★ 납기위험(S코드)</v>
      </c>
      <c r="W29" s="27"/>
      <c r="X29" s="32"/>
    </row>
    <row r="30" customFormat="false" ht="15" hidden="false" customHeight="false" outlineLevel="0" collapsed="false">
      <c r="A30" s="24" t="n">
        <v>26</v>
      </c>
      <c r="B30" s="25" t="s">
        <v>113</v>
      </c>
      <c r="C30" s="25" t="s">
        <v>123</v>
      </c>
      <c r="D30" s="26" t="s">
        <v>138</v>
      </c>
      <c r="E30" s="26" t="s">
        <v>139</v>
      </c>
      <c r="F30" s="24" t="str">
        <f aca="false">IF($D30="","",IF(MID($D30,5,1)="S","S(봄)",IF(MID($D30,5,1)="M","M(여름)",IF(MID($D30,5,1)="X","X(사계절)",MID($D30,5,1)))))</f>
        <v>S(봄)</v>
      </c>
      <c r="G30" s="25" t="s">
        <v>62</v>
      </c>
      <c r="H30" s="24" t="s">
        <v>117</v>
      </c>
      <c r="I30" s="27" t="s">
        <v>118</v>
      </c>
      <c r="J30" s="28" t="n">
        <f aca="false">IF($I30="","",IFERROR(DATE(IF(VALUE(LEFT($I30,FIND("월",$I30)-1))&gt;=9,기준정보!$C$7-1,기준정보!$C$7),VALUE(LEFT($I30,FIND("월",$I30)-1)),1+7*(VALUE(SUBSTITUTE(MID($I30,FIND("월",$I30)+1,5),"주",""))-1)),""))</f>
        <v>46402</v>
      </c>
      <c r="K30" s="28" t="n">
        <f aca="false">IF($J30="","",$J30-기준정보!$C$5)</f>
        <v>46388</v>
      </c>
      <c r="L30" s="28" t="n">
        <f aca="false">IF($K30="","",$K30-기준정보!$C$6)</f>
        <v>46298</v>
      </c>
      <c r="M30" s="29" t="n">
        <f aca="false">IF($L30="","",$L30-기준정보!$C$4)</f>
        <v>56</v>
      </c>
      <c r="N30" s="27" t="s">
        <v>119</v>
      </c>
      <c r="O30" s="30"/>
      <c r="P30" s="26" t="str">
        <f aca="false">IF($G30="","",IF(AND(ISNUMBER(SEARCH("CMT",$G30)),OR(ISNUMBER(SEARCH("완사입",$G30)),ISNUMBER(SEARCH("ODM",$G30)))),"본사/생산처 혼재",IF(ISNUMBER(SEARCH("CMT",$G30)),"본사(소재팀)","생산처")))</f>
        <v>생산처</v>
      </c>
      <c r="Q30" s="25" t="s">
        <v>137</v>
      </c>
      <c r="R30" s="25" t="s">
        <v>67</v>
      </c>
      <c r="S30" s="31" t="n">
        <v>0</v>
      </c>
      <c r="T30" s="26"/>
      <c r="U30" s="26" t="str">
        <f aca="false">IF($J30="","출고일 미정",IF($N30="X","작지 미발행",IF($N30="부분","작지 일부 미발행",IF(AND($O30&lt;&gt;"",$O30&gt;$L30),"소재입고 마감("&amp;TEXT($L30,"MM/DD")&amp;") 초과",IF($N30="","발행여부 확인 필요",IF($O30="","소재 입고일정 확인 필요","정상"))))))</f>
        <v>작지 미발행</v>
      </c>
      <c r="V30" s="24" t="str">
        <f aca="false">IF($J30="","",IF(OR(LEFT($U30,2)="작지",LEFT($U30,4)="소재입고"),IF(LEFT($F30,1)="S","★ 납기위험(S코드)","◆ 지연주의"),IF($U30="정상","✓ 정상","? 확인필요")))</f>
        <v>★ 납기위험(S코드)</v>
      </c>
      <c r="W30" s="27"/>
      <c r="X30" s="32"/>
    </row>
    <row r="31" customFormat="false" ht="15" hidden="false" customHeight="false" outlineLevel="0" collapsed="false">
      <c r="A31" s="24" t="n">
        <v>27</v>
      </c>
      <c r="B31" s="25" t="s">
        <v>113</v>
      </c>
      <c r="C31" s="25" t="s">
        <v>123</v>
      </c>
      <c r="D31" s="26" t="s">
        <v>140</v>
      </c>
      <c r="E31" s="26" t="s">
        <v>141</v>
      </c>
      <c r="F31" s="24" t="str">
        <f aca="false">IF($D31="","",IF(MID($D31,5,1)="S","S(봄)",IF(MID($D31,5,1)="M","M(여름)",IF(MID($D31,5,1)="X","X(사계절)",MID($D31,5,1)))))</f>
        <v>S(봄)</v>
      </c>
      <c r="G31" s="25" t="s">
        <v>62</v>
      </c>
      <c r="H31" s="24" t="s">
        <v>117</v>
      </c>
      <c r="I31" s="27" t="s">
        <v>118</v>
      </c>
      <c r="J31" s="28" t="n">
        <f aca="false">IF($I31="","",IFERROR(DATE(IF(VALUE(LEFT($I31,FIND("월",$I31)-1))&gt;=9,기준정보!$C$7-1,기준정보!$C$7),VALUE(LEFT($I31,FIND("월",$I31)-1)),1+7*(VALUE(SUBSTITUTE(MID($I31,FIND("월",$I31)+1,5),"주",""))-1)),""))</f>
        <v>46402</v>
      </c>
      <c r="K31" s="28" t="n">
        <f aca="false">IF($J31="","",$J31-기준정보!$C$5)</f>
        <v>46388</v>
      </c>
      <c r="L31" s="28" t="n">
        <f aca="false">IF($K31="","",$K31-기준정보!$C$6)</f>
        <v>46298</v>
      </c>
      <c r="M31" s="29" t="n">
        <f aca="false">IF($L31="","",$L31-기준정보!$C$4)</f>
        <v>56</v>
      </c>
      <c r="N31" s="27" t="s">
        <v>119</v>
      </c>
      <c r="O31" s="30"/>
      <c r="P31" s="26" t="str">
        <f aca="false">IF($G31="","",IF(AND(ISNUMBER(SEARCH("CMT",$G31)),OR(ISNUMBER(SEARCH("완사입",$G31)),ISNUMBER(SEARCH("ODM",$G31)))),"본사/생산처 혼재",IF(ISNUMBER(SEARCH("CMT",$G31)),"본사(소재팀)","생산처")))</f>
        <v>생산처</v>
      </c>
      <c r="Q31" s="25" t="s">
        <v>137</v>
      </c>
      <c r="R31" s="25" t="s">
        <v>67</v>
      </c>
      <c r="S31" s="31" t="n">
        <v>0</v>
      </c>
      <c r="T31" s="26"/>
      <c r="U31" s="26" t="str">
        <f aca="false">IF($J31="","출고일 미정",IF($N31="X","작지 미발행",IF($N31="부분","작지 일부 미발행",IF(AND($O31&lt;&gt;"",$O31&gt;$L31),"소재입고 마감("&amp;TEXT($L31,"MM/DD")&amp;") 초과",IF($N31="","발행여부 확인 필요",IF($O31="","소재 입고일정 확인 필요","정상"))))))</f>
        <v>작지 미발행</v>
      </c>
      <c r="V31" s="24" t="str">
        <f aca="false">IF($J31="","",IF(OR(LEFT($U31,2)="작지",LEFT($U31,4)="소재입고"),IF(LEFT($F31,1)="S","★ 납기위험(S코드)","◆ 지연주의"),IF($U31="정상","✓ 정상","? 확인필요")))</f>
        <v>★ 납기위험(S코드)</v>
      </c>
      <c r="W31" s="27"/>
      <c r="X31" s="32"/>
    </row>
    <row r="32" customFormat="false" ht="15" hidden="false" customHeight="false" outlineLevel="0" collapsed="false">
      <c r="A32" s="24" t="n">
        <v>28</v>
      </c>
      <c r="B32" s="25" t="s">
        <v>113</v>
      </c>
      <c r="C32" s="25" t="s">
        <v>114</v>
      </c>
      <c r="D32" s="26" t="s">
        <v>142</v>
      </c>
      <c r="E32" s="26" t="s">
        <v>143</v>
      </c>
      <c r="F32" s="24" t="str">
        <f aca="false">IF($D32="","",IF(MID($D32,5,1)="S","S(봄)",IF(MID($D32,5,1)="M","M(여름)",IF(MID($D32,5,1)="X","X(사계절)",MID($D32,5,1)))))</f>
        <v>S(봄)</v>
      </c>
      <c r="G32" s="25" t="s">
        <v>62</v>
      </c>
      <c r="H32" s="24" t="s">
        <v>117</v>
      </c>
      <c r="I32" s="27" t="s">
        <v>118</v>
      </c>
      <c r="J32" s="28" t="n">
        <f aca="false">IF($I32="","",IFERROR(DATE(IF(VALUE(LEFT($I32,FIND("월",$I32)-1))&gt;=9,기준정보!$C$7-1,기준정보!$C$7),VALUE(LEFT($I32,FIND("월",$I32)-1)),1+7*(VALUE(SUBSTITUTE(MID($I32,FIND("월",$I32)+1,5),"주",""))-1)),""))</f>
        <v>46402</v>
      </c>
      <c r="K32" s="28" t="n">
        <f aca="false">IF($J32="","",$J32-기준정보!$C$5)</f>
        <v>46388</v>
      </c>
      <c r="L32" s="28" t="n">
        <f aca="false">IF($K32="","",$K32-기준정보!$C$6)</f>
        <v>46298</v>
      </c>
      <c r="M32" s="29" t="n">
        <f aca="false">IF($L32="","",$L32-기준정보!$C$4)</f>
        <v>56</v>
      </c>
      <c r="N32" s="27" t="s">
        <v>119</v>
      </c>
      <c r="O32" s="30"/>
      <c r="P32" s="26" t="str">
        <f aca="false">IF($G32="","",IF(AND(ISNUMBER(SEARCH("CMT",$G32)),OR(ISNUMBER(SEARCH("완사입",$G32)),ISNUMBER(SEARCH("ODM",$G32)))),"본사/생산처 혼재",IF(ISNUMBER(SEARCH("CMT",$G32)),"본사(소재팀)","생산처")))</f>
        <v>생산처</v>
      </c>
      <c r="Q32" s="25" t="s">
        <v>137</v>
      </c>
      <c r="R32" s="25" t="s">
        <v>67</v>
      </c>
      <c r="S32" s="31" t="n">
        <v>0</v>
      </c>
      <c r="T32" s="26"/>
      <c r="U32" s="26" t="str">
        <f aca="false">IF($J32="","출고일 미정",IF($N32="X","작지 미발행",IF($N32="부분","작지 일부 미발행",IF(AND($O32&lt;&gt;"",$O32&gt;$L32),"소재입고 마감("&amp;TEXT($L32,"MM/DD")&amp;") 초과",IF($N32="","발행여부 확인 필요",IF($O32="","소재 입고일정 확인 필요","정상"))))))</f>
        <v>작지 미발행</v>
      </c>
      <c r="V32" s="24" t="str">
        <f aca="false">IF($J32="","",IF(OR(LEFT($U32,2)="작지",LEFT($U32,4)="소재입고"),IF(LEFT($F32,1)="S","★ 납기위험(S코드)","◆ 지연주의"),IF($U32="정상","✓ 정상","? 확인필요")))</f>
        <v>★ 납기위험(S코드)</v>
      </c>
      <c r="W32" s="27"/>
      <c r="X32" s="32"/>
    </row>
    <row r="33" customFormat="false" ht="15" hidden="false" customHeight="false" outlineLevel="0" collapsed="false">
      <c r="A33" s="24" t="n">
        <v>29</v>
      </c>
      <c r="B33" s="25" t="s">
        <v>113</v>
      </c>
      <c r="C33" s="25" t="s">
        <v>123</v>
      </c>
      <c r="D33" s="26" t="s">
        <v>144</v>
      </c>
      <c r="E33" s="26" t="s">
        <v>145</v>
      </c>
      <c r="F33" s="24" t="str">
        <f aca="false">IF($D33="","",IF(MID($D33,5,1)="S","S(봄)",IF(MID($D33,5,1)="M","M(여름)",IF(MID($D33,5,1)="X","X(사계절)",MID($D33,5,1)))))</f>
        <v>S(봄)</v>
      </c>
      <c r="G33" s="25" t="s">
        <v>62</v>
      </c>
      <c r="H33" s="24" t="s">
        <v>117</v>
      </c>
      <c r="I33" s="27" t="s">
        <v>118</v>
      </c>
      <c r="J33" s="28" t="n">
        <f aca="false">IF($I33="","",IFERROR(DATE(IF(VALUE(LEFT($I33,FIND("월",$I33)-1))&gt;=9,기준정보!$C$7-1,기준정보!$C$7),VALUE(LEFT($I33,FIND("월",$I33)-1)),1+7*(VALUE(SUBSTITUTE(MID($I33,FIND("월",$I33)+1,5),"주",""))-1)),""))</f>
        <v>46402</v>
      </c>
      <c r="K33" s="28" t="n">
        <f aca="false">IF($J33="","",$J33-기준정보!$C$5)</f>
        <v>46388</v>
      </c>
      <c r="L33" s="28" t="n">
        <f aca="false">IF($K33="","",$K33-기준정보!$C$6)</f>
        <v>46298</v>
      </c>
      <c r="M33" s="29" t="n">
        <f aca="false">IF($L33="","",$L33-기준정보!$C$4)</f>
        <v>56</v>
      </c>
      <c r="N33" s="27" t="s">
        <v>119</v>
      </c>
      <c r="O33" s="30"/>
      <c r="P33" s="26" t="str">
        <f aca="false">IF($G33="","",IF(AND(ISNUMBER(SEARCH("CMT",$G33)),OR(ISNUMBER(SEARCH("완사입",$G33)),ISNUMBER(SEARCH("ODM",$G33)))),"본사/생산처 혼재",IF(ISNUMBER(SEARCH("CMT",$G33)),"본사(소재팀)","생산처")))</f>
        <v>생산처</v>
      </c>
      <c r="Q33" s="25" t="s">
        <v>70</v>
      </c>
      <c r="R33" s="25" t="s">
        <v>67</v>
      </c>
      <c r="S33" s="31" t="n">
        <v>0</v>
      </c>
      <c r="T33" s="26"/>
      <c r="U33" s="26" t="str">
        <f aca="false">IF($J33="","출고일 미정",IF($N33="X","작지 미발행",IF($N33="부분","작지 일부 미발행",IF(AND($O33&lt;&gt;"",$O33&gt;$L33),"소재입고 마감("&amp;TEXT($L33,"MM/DD")&amp;") 초과",IF($N33="","발행여부 확인 필요",IF($O33="","소재 입고일정 확인 필요","정상"))))))</f>
        <v>작지 미발행</v>
      </c>
      <c r="V33" s="24" t="str">
        <f aca="false">IF($J33="","",IF(OR(LEFT($U33,2)="작지",LEFT($U33,4)="소재입고"),IF(LEFT($F33,1)="S","★ 납기위험(S코드)","◆ 지연주의"),IF($U33="정상","✓ 정상","? 확인필요")))</f>
        <v>★ 납기위험(S코드)</v>
      </c>
      <c r="W33" s="27"/>
      <c r="X33" s="32"/>
    </row>
    <row r="34" customFormat="false" ht="15" hidden="false" customHeight="false" outlineLevel="0" collapsed="false">
      <c r="A34" s="24" t="n">
        <v>30</v>
      </c>
      <c r="B34" s="25" t="s">
        <v>113</v>
      </c>
      <c r="C34" s="25" t="s">
        <v>123</v>
      </c>
      <c r="D34" s="26" t="s">
        <v>146</v>
      </c>
      <c r="E34" s="26" t="s">
        <v>147</v>
      </c>
      <c r="F34" s="24" t="str">
        <f aca="false">IF($D34="","",IF(MID($D34,5,1)="S","S(봄)",IF(MID($D34,5,1)="M","M(여름)",IF(MID($D34,5,1)="X","X(사계절)",MID($D34,5,1)))))</f>
        <v>S(봄)</v>
      </c>
      <c r="G34" s="25" t="s">
        <v>62</v>
      </c>
      <c r="H34" s="24" t="s">
        <v>117</v>
      </c>
      <c r="I34" s="27" t="s">
        <v>118</v>
      </c>
      <c r="J34" s="28" t="n">
        <f aca="false">IF($I34="","",IFERROR(DATE(IF(VALUE(LEFT($I34,FIND("월",$I34)-1))&gt;=9,기준정보!$C$7-1,기준정보!$C$7),VALUE(LEFT($I34,FIND("월",$I34)-1)),1+7*(VALUE(SUBSTITUTE(MID($I34,FIND("월",$I34)+1,5),"주",""))-1)),""))</f>
        <v>46402</v>
      </c>
      <c r="K34" s="28" t="n">
        <f aca="false">IF($J34="","",$J34-기준정보!$C$5)</f>
        <v>46388</v>
      </c>
      <c r="L34" s="28" t="n">
        <f aca="false">IF($K34="","",$K34-기준정보!$C$6)</f>
        <v>46298</v>
      </c>
      <c r="M34" s="29" t="n">
        <f aca="false">IF($L34="","",$L34-기준정보!$C$4)</f>
        <v>56</v>
      </c>
      <c r="N34" s="27" t="s">
        <v>119</v>
      </c>
      <c r="O34" s="30"/>
      <c r="P34" s="26" t="str">
        <f aca="false">IF($G34="","",IF(AND(ISNUMBER(SEARCH("CMT",$G34)),OR(ISNUMBER(SEARCH("완사입",$G34)),ISNUMBER(SEARCH("ODM",$G34)))),"본사/생산처 혼재",IF(ISNUMBER(SEARCH("CMT",$G34)),"본사(소재팀)","생산처")))</f>
        <v>생산처</v>
      </c>
      <c r="Q34" s="25" t="s">
        <v>70</v>
      </c>
      <c r="R34" s="25" t="s">
        <v>67</v>
      </c>
      <c r="S34" s="31" t="n">
        <v>0</v>
      </c>
      <c r="T34" s="26"/>
      <c r="U34" s="26" t="str">
        <f aca="false">IF($J34="","출고일 미정",IF($N34="X","작지 미발행",IF($N34="부분","작지 일부 미발행",IF(AND($O34&lt;&gt;"",$O34&gt;$L34),"소재입고 마감("&amp;TEXT($L34,"MM/DD")&amp;") 초과",IF($N34="","발행여부 확인 필요",IF($O34="","소재 입고일정 확인 필요","정상"))))))</f>
        <v>작지 미발행</v>
      </c>
      <c r="V34" s="24" t="str">
        <f aca="false">IF($J34="","",IF(OR(LEFT($U34,2)="작지",LEFT($U34,4)="소재입고"),IF(LEFT($F34,1)="S","★ 납기위험(S코드)","◆ 지연주의"),IF($U34="정상","✓ 정상","? 확인필요")))</f>
        <v>★ 납기위험(S코드)</v>
      </c>
      <c r="W34" s="27"/>
      <c r="X34" s="32"/>
    </row>
    <row r="35" customFormat="false" ht="15" hidden="false" customHeight="false" outlineLevel="0" collapsed="false">
      <c r="A35" s="24" t="n">
        <v>31</v>
      </c>
      <c r="B35" s="25" t="s">
        <v>113</v>
      </c>
      <c r="C35" s="25" t="s">
        <v>123</v>
      </c>
      <c r="D35" s="26" t="s">
        <v>148</v>
      </c>
      <c r="E35" s="26" t="s">
        <v>149</v>
      </c>
      <c r="F35" s="24" t="str">
        <f aca="false">IF($D35="","",IF(MID($D35,5,1)="S","S(봄)",IF(MID($D35,5,1)="M","M(여름)",IF(MID($D35,5,1)="X","X(사계절)",MID($D35,5,1)))))</f>
        <v>S(봄)</v>
      </c>
      <c r="G35" s="25" t="s">
        <v>62</v>
      </c>
      <c r="H35" s="24" t="s">
        <v>117</v>
      </c>
      <c r="I35" s="27" t="s">
        <v>118</v>
      </c>
      <c r="J35" s="28" t="n">
        <f aca="false">IF($I35="","",IFERROR(DATE(IF(VALUE(LEFT($I35,FIND("월",$I35)-1))&gt;=9,기준정보!$C$7-1,기준정보!$C$7),VALUE(LEFT($I35,FIND("월",$I35)-1)),1+7*(VALUE(SUBSTITUTE(MID($I35,FIND("월",$I35)+1,5),"주",""))-1)),""))</f>
        <v>46402</v>
      </c>
      <c r="K35" s="28" t="n">
        <f aca="false">IF($J35="","",$J35-기준정보!$C$5)</f>
        <v>46388</v>
      </c>
      <c r="L35" s="28" t="n">
        <f aca="false">IF($K35="","",$K35-기준정보!$C$6)</f>
        <v>46298</v>
      </c>
      <c r="M35" s="29" t="n">
        <f aca="false">IF($L35="","",$L35-기준정보!$C$4)</f>
        <v>56</v>
      </c>
      <c r="N35" s="27" t="s">
        <v>119</v>
      </c>
      <c r="O35" s="30"/>
      <c r="P35" s="26" t="str">
        <f aca="false">IF($G35="","",IF(AND(ISNUMBER(SEARCH("CMT",$G35)),OR(ISNUMBER(SEARCH("완사입",$G35)),ISNUMBER(SEARCH("ODM",$G35)))),"본사/생산처 혼재",IF(ISNUMBER(SEARCH("CMT",$G35)),"본사(소재팀)","생산처")))</f>
        <v>생산처</v>
      </c>
      <c r="Q35" s="25" t="s">
        <v>70</v>
      </c>
      <c r="R35" s="25" t="s">
        <v>67</v>
      </c>
      <c r="S35" s="31" t="n">
        <v>0</v>
      </c>
      <c r="T35" s="26"/>
      <c r="U35" s="26" t="str">
        <f aca="false">IF($J35="","출고일 미정",IF($N35="X","작지 미발행",IF($N35="부분","작지 일부 미발행",IF(AND($O35&lt;&gt;"",$O35&gt;$L35),"소재입고 마감("&amp;TEXT($L35,"MM/DD")&amp;") 초과",IF($N35="","발행여부 확인 필요",IF($O35="","소재 입고일정 확인 필요","정상"))))))</f>
        <v>작지 미발행</v>
      </c>
      <c r="V35" s="24" t="str">
        <f aca="false">IF($J35="","",IF(OR(LEFT($U35,2)="작지",LEFT($U35,4)="소재입고"),IF(LEFT($F35,1)="S","★ 납기위험(S코드)","◆ 지연주의"),IF($U35="정상","✓ 정상","? 확인필요")))</f>
        <v>★ 납기위험(S코드)</v>
      </c>
      <c r="W35" s="27"/>
      <c r="X35" s="32"/>
    </row>
    <row r="36" customFormat="false" ht="15" hidden="false" customHeight="false" outlineLevel="0" collapsed="false">
      <c r="A36" s="24" t="n">
        <v>32</v>
      </c>
      <c r="B36" s="25" t="s">
        <v>113</v>
      </c>
      <c r="C36" s="25" t="s">
        <v>123</v>
      </c>
      <c r="D36" s="26" t="s">
        <v>150</v>
      </c>
      <c r="E36" s="26" t="s">
        <v>151</v>
      </c>
      <c r="F36" s="24" t="str">
        <f aca="false">IF($D36="","",IF(MID($D36,5,1)="S","S(봄)",IF(MID($D36,5,1)="M","M(여름)",IF(MID($D36,5,1)="X","X(사계절)",MID($D36,5,1)))))</f>
        <v>S(봄)</v>
      </c>
      <c r="G36" s="25" t="s">
        <v>62</v>
      </c>
      <c r="H36" s="24" t="s">
        <v>117</v>
      </c>
      <c r="I36" s="27" t="s">
        <v>118</v>
      </c>
      <c r="J36" s="28" t="n">
        <f aca="false">IF($I36="","",IFERROR(DATE(IF(VALUE(LEFT($I36,FIND("월",$I36)-1))&gt;=9,기준정보!$C$7-1,기준정보!$C$7),VALUE(LEFT($I36,FIND("월",$I36)-1)),1+7*(VALUE(SUBSTITUTE(MID($I36,FIND("월",$I36)+1,5),"주",""))-1)),""))</f>
        <v>46402</v>
      </c>
      <c r="K36" s="28" t="n">
        <f aca="false">IF($J36="","",$J36-기준정보!$C$5)</f>
        <v>46388</v>
      </c>
      <c r="L36" s="28" t="n">
        <f aca="false">IF($K36="","",$K36-기준정보!$C$6)</f>
        <v>46298</v>
      </c>
      <c r="M36" s="29" t="n">
        <f aca="false">IF($L36="","",$L36-기준정보!$C$4)</f>
        <v>56</v>
      </c>
      <c r="N36" s="27" t="s">
        <v>119</v>
      </c>
      <c r="O36" s="30"/>
      <c r="P36" s="26" t="str">
        <f aca="false">IF($G36="","",IF(AND(ISNUMBER(SEARCH("CMT",$G36)),OR(ISNUMBER(SEARCH("완사입",$G36)),ISNUMBER(SEARCH("ODM",$G36)))),"본사/생산처 혼재",IF(ISNUMBER(SEARCH("CMT",$G36)),"본사(소재팀)","생산처")))</f>
        <v>생산처</v>
      </c>
      <c r="Q36" s="25" t="s">
        <v>70</v>
      </c>
      <c r="R36" s="25" t="s">
        <v>67</v>
      </c>
      <c r="S36" s="31" t="n">
        <v>0</v>
      </c>
      <c r="T36" s="26"/>
      <c r="U36" s="26" t="str">
        <f aca="false">IF($J36="","출고일 미정",IF($N36="X","작지 미발행",IF($N36="부분","작지 일부 미발행",IF(AND($O36&lt;&gt;"",$O36&gt;$L36),"소재입고 마감("&amp;TEXT($L36,"MM/DD")&amp;") 초과",IF($N36="","발행여부 확인 필요",IF($O36="","소재 입고일정 확인 필요","정상"))))))</f>
        <v>작지 미발행</v>
      </c>
      <c r="V36" s="24" t="str">
        <f aca="false">IF($J36="","",IF(OR(LEFT($U36,2)="작지",LEFT($U36,4)="소재입고"),IF(LEFT($F36,1)="S","★ 납기위험(S코드)","◆ 지연주의"),IF($U36="정상","✓ 정상","? 확인필요")))</f>
        <v>★ 납기위험(S코드)</v>
      </c>
      <c r="W36" s="27"/>
      <c r="X36" s="32"/>
    </row>
    <row r="37" customFormat="false" ht="15" hidden="false" customHeight="false" outlineLevel="0" collapsed="false">
      <c r="A37" s="24" t="n">
        <v>33</v>
      </c>
      <c r="B37" s="25" t="s">
        <v>113</v>
      </c>
      <c r="C37" s="25" t="s">
        <v>123</v>
      </c>
      <c r="D37" s="26" t="s">
        <v>152</v>
      </c>
      <c r="E37" s="26" t="s">
        <v>153</v>
      </c>
      <c r="F37" s="24" t="str">
        <f aca="false">IF($D37="","",IF(MID($D37,5,1)="S","S(봄)",IF(MID($D37,5,1)="M","M(여름)",IF(MID($D37,5,1)="X","X(사계절)",MID($D37,5,1)))))</f>
        <v>S(봄)</v>
      </c>
      <c r="G37" s="25" t="s">
        <v>62</v>
      </c>
      <c r="H37" s="24" t="s">
        <v>117</v>
      </c>
      <c r="I37" s="27" t="s">
        <v>118</v>
      </c>
      <c r="J37" s="28" t="n">
        <f aca="false">IF($I37="","",IFERROR(DATE(IF(VALUE(LEFT($I37,FIND("월",$I37)-1))&gt;=9,기준정보!$C$7-1,기준정보!$C$7),VALUE(LEFT($I37,FIND("월",$I37)-1)),1+7*(VALUE(SUBSTITUTE(MID($I37,FIND("월",$I37)+1,5),"주",""))-1)),""))</f>
        <v>46402</v>
      </c>
      <c r="K37" s="28" t="n">
        <f aca="false">IF($J37="","",$J37-기준정보!$C$5)</f>
        <v>46388</v>
      </c>
      <c r="L37" s="28" t="n">
        <f aca="false">IF($K37="","",$K37-기준정보!$C$6)</f>
        <v>46298</v>
      </c>
      <c r="M37" s="29" t="n">
        <f aca="false">IF($L37="","",$L37-기준정보!$C$4)</f>
        <v>56</v>
      </c>
      <c r="N37" s="27" t="s">
        <v>119</v>
      </c>
      <c r="O37" s="30"/>
      <c r="P37" s="26" t="str">
        <f aca="false">IF($G37="","",IF(AND(ISNUMBER(SEARCH("CMT",$G37)),OR(ISNUMBER(SEARCH("완사입",$G37)),ISNUMBER(SEARCH("ODM",$G37)))),"본사/생산처 혼재",IF(ISNUMBER(SEARCH("CMT",$G37)),"본사(소재팀)","생산처")))</f>
        <v>생산처</v>
      </c>
      <c r="Q37" s="25" t="s">
        <v>70</v>
      </c>
      <c r="R37" s="25" t="s">
        <v>67</v>
      </c>
      <c r="S37" s="31" t="n">
        <v>0</v>
      </c>
      <c r="T37" s="26"/>
      <c r="U37" s="26" t="str">
        <f aca="false">IF($J37="","출고일 미정",IF($N37="X","작지 미발행",IF($N37="부분","작지 일부 미발행",IF(AND($O37&lt;&gt;"",$O37&gt;$L37),"소재입고 마감("&amp;TEXT($L37,"MM/DD")&amp;") 초과",IF($N37="","발행여부 확인 필요",IF($O37="","소재 입고일정 확인 필요","정상"))))))</f>
        <v>작지 미발행</v>
      </c>
      <c r="V37" s="24" t="str">
        <f aca="false">IF($J37="","",IF(OR(LEFT($U37,2)="작지",LEFT($U37,4)="소재입고"),IF(LEFT($F37,1)="S","★ 납기위험(S코드)","◆ 지연주의"),IF($U37="정상","✓ 정상","? 확인필요")))</f>
        <v>★ 납기위험(S코드)</v>
      </c>
      <c r="W37" s="27"/>
      <c r="X37" s="32"/>
    </row>
    <row r="38" customFormat="false" ht="15" hidden="false" customHeight="false" outlineLevel="0" collapsed="false">
      <c r="A38" s="24" t="n">
        <v>34</v>
      </c>
      <c r="B38" s="25" t="s">
        <v>113</v>
      </c>
      <c r="C38" s="25" t="s">
        <v>114</v>
      </c>
      <c r="D38" s="26" t="s">
        <v>154</v>
      </c>
      <c r="E38" s="26" t="s">
        <v>155</v>
      </c>
      <c r="F38" s="24" t="str">
        <f aca="false">IF($D38="","",IF(MID($D38,5,1)="S","S(봄)",IF(MID($D38,5,1)="M","M(여름)",IF(MID($D38,5,1)="X","X(사계절)",MID($D38,5,1)))))</f>
        <v>S(봄)</v>
      </c>
      <c r="G38" s="25" t="s">
        <v>62</v>
      </c>
      <c r="H38" s="24" t="s">
        <v>117</v>
      </c>
      <c r="I38" s="27" t="s">
        <v>118</v>
      </c>
      <c r="J38" s="28" t="n">
        <f aca="false">IF($I38="","",IFERROR(DATE(IF(VALUE(LEFT($I38,FIND("월",$I38)-1))&gt;=9,기준정보!$C$7-1,기준정보!$C$7),VALUE(LEFT($I38,FIND("월",$I38)-1)),1+7*(VALUE(SUBSTITUTE(MID($I38,FIND("월",$I38)+1,5),"주",""))-1)),""))</f>
        <v>46402</v>
      </c>
      <c r="K38" s="28" t="n">
        <f aca="false">IF($J38="","",$J38-기준정보!$C$5)</f>
        <v>46388</v>
      </c>
      <c r="L38" s="28" t="n">
        <f aca="false">IF($K38="","",$K38-기준정보!$C$6)</f>
        <v>46298</v>
      </c>
      <c r="M38" s="29" t="n">
        <f aca="false">IF($L38="","",$L38-기준정보!$C$4)</f>
        <v>56</v>
      </c>
      <c r="N38" s="27" t="s">
        <v>119</v>
      </c>
      <c r="O38" s="30"/>
      <c r="P38" s="26" t="str">
        <f aca="false">IF($G38="","",IF(AND(ISNUMBER(SEARCH("CMT",$G38)),OR(ISNUMBER(SEARCH("완사입",$G38)),ISNUMBER(SEARCH("ODM",$G38)))),"본사/생산처 혼재",IF(ISNUMBER(SEARCH("CMT",$G38)),"본사(소재팀)","생산처")))</f>
        <v>생산처</v>
      </c>
      <c r="Q38" s="25" t="s">
        <v>156</v>
      </c>
      <c r="R38" s="25" t="s">
        <v>67</v>
      </c>
      <c r="S38" s="31" t="n">
        <v>0</v>
      </c>
      <c r="T38" s="26"/>
      <c r="U38" s="26" t="str">
        <f aca="false">IF($J38="","출고일 미정",IF($N38="X","작지 미발행",IF($N38="부분","작지 일부 미발행",IF(AND($O38&lt;&gt;"",$O38&gt;$L38),"소재입고 마감("&amp;TEXT($L38,"MM/DD")&amp;") 초과",IF($N38="","발행여부 확인 필요",IF($O38="","소재 입고일정 확인 필요","정상"))))))</f>
        <v>작지 미발행</v>
      </c>
      <c r="V38" s="24" t="str">
        <f aca="false">IF($J38="","",IF(OR(LEFT($U38,2)="작지",LEFT($U38,4)="소재입고"),IF(LEFT($F38,1)="S","★ 납기위험(S코드)","◆ 지연주의"),IF($U38="정상","✓ 정상","? 확인필요")))</f>
        <v>★ 납기위험(S코드)</v>
      </c>
      <c r="W38" s="27"/>
      <c r="X38" s="32"/>
    </row>
    <row r="39" customFormat="false" ht="15" hidden="false" customHeight="false" outlineLevel="0" collapsed="false">
      <c r="A39" s="24" t="n">
        <v>35</v>
      </c>
      <c r="B39" s="25" t="s">
        <v>113</v>
      </c>
      <c r="C39" s="25" t="s">
        <v>123</v>
      </c>
      <c r="D39" s="26" t="s">
        <v>157</v>
      </c>
      <c r="E39" s="26" t="s">
        <v>158</v>
      </c>
      <c r="F39" s="24" t="str">
        <f aca="false">IF($D39="","",IF(MID($D39,5,1)="S","S(봄)",IF(MID($D39,5,1)="M","M(여름)",IF(MID($D39,5,1)="X","X(사계절)",MID($D39,5,1)))))</f>
        <v>S(봄)</v>
      </c>
      <c r="G39" s="25" t="s">
        <v>62</v>
      </c>
      <c r="H39" s="24" t="s">
        <v>117</v>
      </c>
      <c r="I39" s="27" t="s">
        <v>118</v>
      </c>
      <c r="J39" s="28" t="n">
        <f aca="false">IF($I39="","",IFERROR(DATE(IF(VALUE(LEFT($I39,FIND("월",$I39)-1))&gt;=9,기준정보!$C$7-1,기준정보!$C$7),VALUE(LEFT($I39,FIND("월",$I39)-1)),1+7*(VALUE(SUBSTITUTE(MID($I39,FIND("월",$I39)+1,5),"주",""))-1)),""))</f>
        <v>46402</v>
      </c>
      <c r="K39" s="28" t="n">
        <f aca="false">IF($J39="","",$J39-기준정보!$C$5)</f>
        <v>46388</v>
      </c>
      <c r="L39" s="28" t="n">
        <f aca="false">IF($K39="","",$K39-기준정보!$C$6)</f>
        <v>46298</v>
      </c>
      <c r="M39" s="29" t="n">
        <f aca="false">IF($L39="","",$L39-기준정보!$C$4)</f>
        <v>56</v>
      </c>
      <c r="N39" s="27" t="s">
        <v>119</v>
      </c>
      <c r="O39" s="30"/>
      <c r="P39" s="26" t="str">
        <f aca="false">IF($G39="","",IF(AND(ISNUMBER(SEARCH("CMT",$G39)),OR(ISNUMBER(SEARCH("완사입",$G39)),ISNUMBER(SEARCH("ODM",$G39)))),"본사/생산처 혼재",IF(ISNUMBER(SEARCH("CMT",$G39)),"본사(소재팀)","생산처")))</f>
        <v>생산처</v>
      </c>
      <c r="Q39" s="25" t="s">
        <v>156</v>
      </c>
      <c r="R39" s="25" t="s">
        <v>105</v>
      </c>
      <c r="S39" s="31" t="n">
        <v>0</v>
      </c>
      <c r="T39" s="26"/>
      <c r="U39" s="26" t="str">
        <f aca="false">IF($J39="","출고일 미정",IF($N39="X","작지 미발행",IF($N39="부분","작지 일부 미발행",IF(AND($O39&lt;&gt;"",$O39&gt;$L39),"소재입고 마감("&amp;TEXT($L39,"MM/DD")&amp;") 초과",IF($N39="","발행여부 확인 필요",IF($O39="","소재 입고일정 확인 필요","정상"))))))</f>
        <v>작지 미발행</v>
      </c>
      <c r="V39" s="24" t="str">
        <f aca="false">IF($J39="","",IF(OR(LEFT($U39,2)="작지",LEFT($U39,4)="소재입고"),IF(LEFT($F39,1)="S","★ 납기위험(S코드)","◆ 지연주의"),IF($U39="정상","✓ 정상","? 확인필요")))</f>
        <v>★ 납기위험(S코드)</v>
      </c>
      <c r="W39" s="27"/>
      <c r="X39" s="32"/>
    </row>
    <row r="40" customFormat="false" ht="15" hidden="false" customHeight="false" outlineLevel="0" collapsed="false">
      <c r="A40" s="24" t="n">
        <v>36</v>
      </c>
      <c r="B40" s="25" t="s">
        <v>159</v>
      </c>
      <c r="C40" s="25" t="s">
        <v>160</v>
      </c>
      <c r="D40" s="26" t="s">
        <v>161</v>
      </c>
      <c r="E40" s="25" t="s">
        <v>162</v>
      </c>
      <c r="F40" s="24" t="str">
        <f aca="false">IF($D40="","",IF(MID($D40,5,1)="S","S(봄)",IF(MID($D40,5,1)="M","M(여름)",IF(MID($D40,5,1)="X","X(사계절)",MID($D40,5,1)))))</f>
        <v>S(봄)</v>
      </c>
      <c r="G40" s="25" t="s">
        <v>62</v>
      </c>
      <c r="H40" s="24"/>
      <c r="I40" s="27" t="s">
        <v>118</v>
      </c>
      <c r="J40" s="28" t="n">
        <f aca="false">IF($I40="","",IFERROR(DATE(IF(VALUE(LEFT($I40,FIND("월",$I40)-1))&gt;=9,기준정보!$C$7-1,기준정보!$C$7),VALUE(LEFT($I40,FIND("월",$I40)-1)),1+7*(VALUE(SUBSTITUTE(MID($I40,FIND("월",$I40)+1,5),"주",""))-1)),""))</f>
        <v>46402</v>
      </c>
      <c r="K40" s="28" t="n">
        <f aca="false">IF($J40="","",$J40-기준정보!$C$5)</f>
        <v>46388</v>
      </c>
      <c r="L40" s="28" t="n">
        <f aca="false">IF($K40="","",$K40-기준정보!$C$6)</f>
        <v>46298</v>
      </c>
      <c r="M40" s="29" t="n">
        <f aca="false">IF($L40="","",$L40-기준정보!$C$4)</f>
        <v>56</v>
      </c>
      <c r="N40" s="27" t="s">
        <v>65</v>
      </c>
      <c r="O40" s="30"/>
      <c r="P40" s="26" t="str">
        <f aca="false">IF($G40="","",IF(AND(ISNUMBER(SEARCH("CMT",$G40)),OR(ISNUMBER(SEARCH("완사입",$G40)),ISNUMBER(SEARCH("ODM",$G40)))),"본사/생산처 혼재",IF(ISNUMBER(SEARCH("CMT",$G40)),"본사(소재팀)","생산처")))</f>
        <v>생산처</v>
      </c>
      <c r="Q40" s="25" t="s">
        <v>70</v>
      </c>
      <c r="R40" s="26"/>
      <c r="S40" s="31" t="n">
        <v>2000</v>
      </c>
      <c r="T40" s="26" t="s">
        <v>118</v>
      </c>
      <c r="U40" s="26" t="str">
        <f aca="false">IF($J40="","출고일 미정",IF($N40="X","작지 미발행",IF($N40="부분","작지 일부 미발행",IF(AND($O40&lt;&gt;"",$O40&gt;$L40),"소재입고 마감("&amp;TEXT($L40,"MM/DD")&amp;") 초과",IF($N40="","발행여부 확인 필요",IF($O40="","소재 입고일정 확인 필요","정상"))))))</f>
        <v>소재 입고일정 확인 필요</v>
      </c>
      <c r="V40" s="24" t="str">
        <f aca="false">IF($J40="","",IF(OR(LEFT($U40,2)="작지",LEFT($U40,4)="소재입고"),IF(LEFT($F40,1)="S","★ 납기위험(S코드)","◆ 지연주의"),IF($U40="정상","✓ 정상","? 확인필요")))</f>
        <v>? 확인필요</v>
      </c>
      <c r="W40" s="27"/>
      <c r="X40" s="32"/>
    </row>
    <row r="41" customFormat="false" ht="15" hidden="false" customHeight="false" outlineLevel="0" collapsed="false">
      <c r="A41" s="24" t="n">
        <v>37</v>
      </c>
      <c r="B41" s="25" t="s">
        <v>163</v>
      </c>
      <c r="C41" s="25" t="s">
        <v>164</v>
      </c>
      <c r="D41" s="26" t="s">
        <v>165</v>
      </c>
      <c r="E41" s="25" t="s">
        <v>166</v>
      </c>
      <c r="F41" s="24" t="str">
        <f aca="false">IF($D41="","",IF(MID($D41,5,1)="S","S(봄)",IF(MID($D41,5,1)="M","M(여름)",IF(MID($D41,5,1)="X","X(사계절)",MID($D41,5,1)))))</f>
        <v>S(봄)</v>
      </c>
      <c r="G41" s="26" t="s">
        <v>167</v>
      </c>
      <c r="H41" s="24"/>
      <c r="I41" s="27" t="s">
        <v>118</v>
      </c>
      <c r="J41" s="28" t="n">
        <f aca="false">IF($I41="","",IFERROR(DATE(IF(VALUE(LEFT($I41,FIND("월",$I41)-1))&gt;=9,기준정보!$C$7-1,기준정보!$C$7),VALUE(LEFT($I41,FIND("월",$I41)-1)),1+7*(VALUE(SUBSTITUTE(MID($I41,FIND("월",$I41)+1,5),"주",""))-1)),""))</f>
        <v>46402</v>
      </c>
      <c r="K41" s="28" t="n">
        <f aca="false">IF($J41="","",$J41-기준정보!$C$5)</f>
        <v>46388</v>
      </c>
      <c r="L41" s="28" t="n">
        <f aca="false">IF($K41="","",$K41-기준정보!$C$6)</f>
        <v>46298</v>
      </c>
      <c r="M41" s="29" t="n">
        <f aca="false">IF($L41="","",$L41-기준정보!$C$4)</f>
        <v>56</v>
      </c>
      <c r="N41" s="27" t="s">
        <v>65</v>
      </c>
      <c r="O41" s="30"/>
      <c r="P41" s="26" t="str">
        <f aca="false">IF($G41="","",IF(AND(ISNUMBER(SEARCH("CMT",$G41)),OR(ISNUMBER(SEARCH("완사입",$G41)),ISNUMBER(SEARCH("ODM",$G41)))),"본사/생산처 혼재",IF(ISNUMBER(SEARCH("CMT",$G41)),"본사(소재팀)","생산처")))</f>
        <v>본사(소재팀)</v>
      </c>
      <c r="Q41" s="25" t="s">
        <v>168</v>
      </c>
      <c r="R41" s="25" t="s">
        <v>67</v>
      </c>
      <c r="S41" s="31" t="n">
        <v>4000</v>
      </c>
      <c r="T41" s="26" t="s">
        <v>118</v>
      </c>
      <c r="U41" s="26" t="str">
        <f aca="false">IF($J41="","출고일 미정",IF($N41="X","작지 미발행",IF($N41="부분","작지 일부 미발행",IF(AND($O41&lt;&gt;"",$O41&gt;$L41),"소재입고 마감("&amp;TEXT($L41,"MM/DD")&amp;") 초과",IF($N41="","발행여부 확인 필요",IF($O41="","소재 입고일정 확인 필요","정상"))))))</f>
        <v>소재 입고일정 확인 필요</v>
      </c>
      <c r="V41" s="24" t="str">
        <f aca="false">IF($J41="","",IF(OR(LEFT($U41,2)="작지",LEFT($U41,4)="소재입고"),IF(LEFT($F41,1)="S","★ 납기위험(S코드)","◆ 지연주의"),IF($U41="정상","✓ 정상","? 확인필요")))</f>
        <v>? 확인필요</v>
      </c>
      <c r="W41" s="27"/>
      <c r="X41" s="32"/>
    </row>
    <row r="42" customFormat="false" ht="15" hidden="false" customHeight="false" outlineLevel="0" collapsed="false">
      <c r="A42" s="24" t="n">
        <v>38</v>
      </c>
      <c r="B42" s="25" t="s">
        <v>163</v>
      </c>
      <c r="C42" s="25" t="s">
        <v>164</v>
      </c>
      <c r="D42" s="26" t="s">
        <v>169</v>
      </c>
      <c r="E42" s="25" t="s">
        <v>170</v>
      </c>
      <c r="F42" s="24" t="str">
        <f aca="false">IF($D42="","",IF(MID($D42,5,1)="S","S(봄)",IF(MID($D42,5,1)="M","M(여름)",IF(MID($D42,5,1)="X","X(사계절)",MID($D42,5,1)))))</f>
        <v>S(봄)</v>
      </c>
      <c r="G42" s="25" t="s">
        <v>62</v>
      </c>
      <c r="H42" s="24"/>
      <c r="I42" s="27" t="s">
        <v>118</v>
      </c>
      <c r="J42" s="28" t="n">
        <f aca="false">IF($I42="","",IFERROR(DATE(IF(VALUE(LEFT($I42,FIND("월",$I42)-1))&gt;=9,기준정보!$C$7-1,기준정보!$C$7),VALUE(LEFT($I42,FIND("월",$I42)-1)),1+7*(VALUE(SUBSTITUTE(MID($I42,FIND("월",$I42)+1,5),"주",""))-1)),""))</f>
        <v>46402</v>
      </c>
      <c r="K42" s="28" t="n">
        <f aca="false">IF($J42="","",$J42-기준정보!$C$5)</f>
        <v>46388</v>
      </c>
      <c r="L42" s="28" t="n">
        <f aca="false">IF($K42="","",$K42-기준정보!$C$6)</f>
        <v>46298</v>
      </c>
      <c r="M42" s="29" t="n">
        <f aca="false">IF($L42="","",$L42-기준정보!$C$4)</f>
        <v>56</v>
      </c>
      <c r="N42" s="27" t="s">
        <v>65</v>
      </c>
      <c r="O42" s="30"/>
      <c r="P42" s="26" t="str">
        <f aca="false">IF($G42="","",IF(AND(ISNUMBER(SEARCH("CMT",$G42)),OR(ISNUMBER(SEARCH("완사입",$G42)),ISNUMBER(SEARCH("ODM",$G42)))),"본사/생산처 혼재",IF(ISNUMBER(SEARCH("CMT",$G42)),"본사(소재팀)","생산처")))</f>
        <v>생산처</v>
      </c>
      <c r="Q42" s="25" t="s">
        <v>84</v>
      </c>
      <c r="R42" s="25" t="s">
        <v>67</v>
      </c>
      <c r="S42" s="31" t="n">
        <v>2500</v>
      </c>
      <c r="T42" s="26" t="s">
        <v>118</v>
      </c>
      <c r="U42" s="26" t="str">
        <f aca="false">IF($J42="","출고일 미정",IF($N42="X","작지 미발행",IF($N42="부분","작지 일부 미발행",IF(AND($O42&lt;&gt;"",$O42&gt;$L42),"소재입고 마감("&amp;TEXT($L42,"MM/DD")&amp;") 초과",IF($N42="","발행여부 확인 필요",IF($O42="","소재 입고일정 확인 필요","정상"))))))</f>
        <v>소재 입고일정 확인 필요</v>
      </c>
      <c r="V42" s="24" t="str">
        <f aca="false">IF($J42="","",IF(OR(LEFT($U42,2)="작지",LEFT($U42,4)="소재입고"),IF(LEFT($F42,1)="S","★ 납기위험(S코드)","◆ 지연주의"),IF($U42="정상","✓ 정상","? 확인필요")))</f>
        <v>? 확인필요</v>
      </c>
      <c r="W42" s="27"/>
      <c r="X42" s="32"/>
    </row>
    <row r="43" customFormat="false" ht="15" hidden="false" customHeight="false" outlineLevel="0" collapsed="false">
      <c r="A43" s="24" t="n">
        <v>39</v>
      </c>
      <c r="B43" s="25" t="s">
        <v>163</v>
      </c>
      <c r="C43" s="25" t="s">
        <v>164</v>
      </c>
      <c r="D43" s="26" t="s">
        <v>171</v>
      </c>
      <c r="E43" s="25" t="s">
        <v>172</v>
      </c>
      <c r="F43" s="24" t="str">
        <f aca="false">IF($D43="","",IF(MID($D43,5,1)="S","S(봄)",IF(MID($D43,5,1)="M","M(여름)",IF(MID($D43,5,1)="X","X(사계절)",MID($D43,5,1)))))</f>
        <v>S(봄)</v>
      </c>
      <c r="G43" s="25" t="s">
        <v>62</v>
      </c>
      <c r="H43" s="24"/>
      <c r="I43" s="27" t="s">
        <v>118</v>
      </c>
      <c r="J43" s="28" t="n">
        <f aca="false">IF($I43="","",IFERROR(DATE(IF(VALUE(LEFT($I43,FIND("월",$I43)-1))&gt;=9,기준정보!$C$7-1,기준정보!$C$7),VALUE(LEFT($I43,FIND("월",$I43)-1)),1+7*(VALUE(SUBSTITUTE(MID($I43,FIND("월",$I43)+1,5),"주",""))-1)),""))</f>
        <v>46402</v>
      </c>
      <c r="K43" s="28" t="n">
        <f aca="false">IF($J43="","",$J43-기준정보!$C$5)</f>
        <v>46388</v>
      </c>
      <c r="L43" s="28" t="n">
        <f aca="false">IF($K43="","",$K43-기준정보!$C$6)</f>
        <v>46298</v>
      </c>
      <c r="M43" s="29" t="n">
        <f aca="false">IF($L43="","",$L43-기준정보!$C$4)</f>
        <v>56</v>
      </c>
      <c r="N43" s="27" t="s">
        <v>65</v>
      </c>
      <c r="O43" s="30"/>
      <c r="P43" s="26" t="str">
        <f aca="false">IF($G43="","",IF(AND(ISNUMBER(SEARCH("CMT",$G43)),OR(ISNUMBER(SEARCH("완사입",$G43)),ISNUMBER(SEARCH("ODM",$G43)))),"본사/생산처 혼재",IF(ISNUMBER(SEARCH("CMT",$G43)),"본사(소재팀)","생산처")))</f>
        <v>생산처</v>
      </c>
      <c r="Q43" s="25" t="s">
        <v>84</v>
      </c>
      <c r="R43" s="25" t="s">
        <v>67</v>
      </c>
      <c r="S43" s="31" t="n">
        <v>1400</v>
      </c>
      <c r="T43" s="26" t="s">
        <v>118</v>
      </c>
      <c r="U43" s="26" t="str">
        <f aca="false">IF($J43="","출고일 미정",IF($N43="X","작지 미발행",IF($N43="부분","작지 일부 미발행",IF(AND($O43&lt;&gt;"",$O43&gt;$L43),"소재입고 마감("&amp;TEXT($L43,"MM/DD")&amp;") 초과",IF($N43="","발행여부 확인 필요",IF($O43="","소재 입고일정 확인 필요","정상"))))))</f>
        <v>소재 입고일정 확인 필요</v>
      </c>
      <c r="V43" s="24" t="str">
        <f aca="false">IF($J43="","",IF(OR(LEFT($U43,2)="작지",LEFT($U43,4)="소재입고"),IF(LEFT($F43,1)="S","★ 납기위험(S코드)","◆ 지연주의"),IF($U43="정상","✓ 정상","? 확인필요")))</f>
        <v>? 확인필요</v>
      </c>
      <c r="W43" s="27"/>
      <c r="X43" s="32"/>
    </row>
    <row r="44" customFormat="false" ht="15" hidden="false" customHeight="false" outlineLevel="0" collapsed="false">
      <c r="A44" s="24" t="n">
        <v>40</v>
      </c>
      <c r="B44" s="25" t="s">
        <v>159</v>
      </c>
      <c r="C44" s="25" t="s">
        <v>164</v>
      </c>
      <c r="D44" s="26" t="s">
        <v>173</v>
      </c>
      <c r="E44" s="25" t="s">
        <v>174</v>
      </c>
      <c r="F44" s="24" t="str">
        <f aca="false">IF($D44="","",IF(MID($D44,5,1)="S","S(봄)",IF(MID($D44,5,1)="M","M(여름)",IF(MID($D44,5,1)="X","X(사계절)",MID($D44,5,1)))))</f>
        <v>S(봄)</v>
      </c>
      <c r="G44" s="25" t="s">
        <v>62</v>
      </c>
      <c r="H44" s="24"/>
      <c r="I44" s="27" t="s">
        <v>118</v>
      </c>
      <c r="J44" s="28" t="n">
        <f aca="false">IF($I44="","",IFERROR(DATE(IF(VALUE(LEFT($I44,FIND("월",$I44)-1))&gt;=9,기준정보!$C$7-1,기준정보!$C$7),VALUE(LEFT($I44,FIND("월",$I44)-1)),1+7*(VALUE(SUBSTITUTE(MID($I44,FIND("월",$I44)+1,5),"주",""))-1)),""))</f>
        <v>46402</v>
      </c>
      <c r="K44" s="28" t="n">
        <f aca="false">IF($J44="","",$J44-기준정보!$C$5)</f>
        <v>46388</v>
      </c>
      <c r="L44" s="28" t="n">
        <f aca="false">IF($K44="","",$K44-기준정보!$C$6)</f>
        <v>46298</v>
      </c>
      <c r="M44" s="29" t="n">
        <f aca="false">IF($L44="","",$L44-기준정보!$C$4)</f>
        <v>56</v>
      </c>
      <c r="N44" s="27" t="s">
        <v>65</v>
      </c>
      <c r="O44" s="30"/>
      <c r="P44" s="26" t="str">
        <f aca="false">IF($G44="","",IF(AND(ISNUMBER(SEARCH("CMT",$G44)),OR(ISNUMBER(SEARCH("완사입",$G44)),ISNUMBER(SEARCH("ODM",$G44)))),"본사/생산처 혼재",IF(ISNUMBER(SEARCH("CMT",$G44)),"본사(소재팀)","생산처")))</f>
        <v>생산처</v>
      </c>
      <c r="Q44" s="25" t="s">
        <v>70</v>
      </c>
      <c r="R44" s="26"/>
      <c r="S44" s="31" t="n">
        <v>1000</v>
      </c>
      <c r="T44" s="26" t="s">
        <v>118</v>
      </c>
      <c r="U44" s="26" t="str">
        <f aca="false">IF($J44="","출고일 미정",IF($N44="X","작지 미발행",IF($N44="부분","작지 일부 미발행",IF(AND($O44&lt;&gt;"",$O44&gt;$L44),"소재입고 마감("&amp;TEXT($L44,"MM/DD")&amp;") 초과",IF($N44="","발행여부 확인 필요",IF($O44="","소재 입고일정 확인 필요","정상"))))))</f>
        <v>소재 입고일정 확인 필요</v>
      </c>
      <c r="V44" s="24" t="str">
        <f aca="false">IF($J44="","",IF(OR(LEFT($U44,2)="작지",LEFT($U44,4)="소재입고"),IF(LEFT($F44,1)="S","★ 납기위험(S코드)","◆ 지연주의"),IF($U44="정상","✓ 정상","? 확인필요")))</f>
        <v>? 확인필요</v>
      </c>
      <c r="W44" s="27"/>
      <c r="X44" s="32"/>
    </row>
    <row r="45" customFormat="false" ht="15" hidden="false" customHeight="false" outlineLevel="0" collapsed="false">
      <c r="A45" s="24" t="n">
        <v>41</v>
      </c>
      <c r="B45" s="25" t="s">
        <v>175</v>
      </c>
      <c r="C45" s="25" t="s">
        <v>160</v>
      </c>
      <c r="D45" s="26" t="s">
        <v>176</v>
      </c>
      <c r="E45" s="25" t="s">
        <v>177</v>
      </c>
      <c r="F45" s="24" t="str">
        <f aca="false">IF($D45="","",IF(MID($D45,5,1)="S","S(봄)",IF(MID($D45,5,1)="M","M(여름)",IF(MID($D45,5,1)="X","X(사계절)",MID($D45,5,1)))))</f>
        <v>S(봄)</v>
      </c>
      <c r="G45" s="25" t="s">
        <v>62</v>
      </c>
      <c r="H45" s="24"/>
      <c r="I45" s="27" t="s">
        <v>118</v>
      </c>
      <c r="J45" s="28" t="n">
        <f aca="false">IF($I45="","",IFERROR(DATE(IF(VALUE(LEFT($I45,FIND("월",$I45)-1))&gt;=9,기준정보!$C$7-1,기준정보!$C$7),VALUE(LEFT($I45,FIND("월",$I45)-1)),1+7*(VALUE(SUBSTITUTE(MID($I45,FIND("월",$I45)+1,5),"주",""))-1)),""))</f>
        <v>46402</v>
      </c>
      <c r="K45" s="28" t="n">
        <f aca="false">IF($J45="","",$J45-기준정보!$C$5)</f>
        <v>46388</v>
      </c>
      <c r="L45" s="28" t="n">
        <f aca="false">IF($K45="","",$K45-기준정보!$C$6)</f>
        <v>46298</v>
      </c>
      <c r="M45" s="29" t="n">
        <f aca="false">IF($L45="","",$L45-기준정보!$C$4)</f>
        <v>56</v>
      </c>
      <c r="N45" s="27" t="s">
        <v>65</v>
      </c>
      <c r="O45" s="30"/>
      <c r="P45" s="26" t="str">
        <f aca="false">IF($G45="","",IF(AND(ISNUMBER(SEARCH("CMT",$G45)),OR(ISNUMBER(SEARCH("완사입",$G45)),ISNUMBER(SEARCH("ODM",$G45)))),"본사/생산처 혼재",IF(ISNUMBER(SEARCH("CMT",$G45)),"본사(소재팀)","생산처")))</f>
        <v>생산처</v>
      </c>
      <c r="Q45" s="25" t="s">
        <v>70</v>
      </c>
      <c r="R45" s="25" t="s">
        <v>71</v>
      </c>
      <c r="S45" s="31" t="n">
        <v>2500</v>
      </c>
      <c r="T45" s="26"/>
      <c r="U45" s="26" t="str">
        <f aca="false">IF($J45="","출고일 미정",IF($N45="X","작지 미발행",IF($N45="부분","작지 일부 미발행",IF(AND($O45&lt;&gt;"",$O45&gt;$L45),"소재입고 마감("&amp;TEXT($L45,"MM/DD")&amp;") 초과",IF($N45="","발행여부 확인 필요",IF($O45="","소재 입고일정 확인 필요","정상"))))))</f>
        <v>소재 입고일정 확인 필요</v>
      </c>
      <c r="V45" s="24" t="str">
        <f aca="false">IF($J45="","",IF(OR(LEFT($U45,2)="작지",LEFT($U45,4)="소재입고"),IF(LEFT($F45,1)="S","★ 납기위험(S코드)","◆ 지연주의"),IF($U45="정상","✓ 정상","? 확인필요")))</f>
        <v>? 확인필요</v>
      </c>
      <c r="W45" s="27"/>
      <c r="X45" s="32"/>
    </row>
    <row r="46" customFormat="false" ht="15" hidden="false" customHeight="false" outlineLevel="0" collapsed="false">
      <c r="A46" s="24" t="n">
        <v>42</v>
      </c>
      <c r="B46" s="25" t="s">
        <v>178</v>
      </c>
      <c r="C46" s="25" t="s">
        <v>179</v>
      </c>
      <c r="D46" s="26" t="s">
        <v>180</v>
      </c>
      <c r="E46" s="25" t="s">
        <v>181</v>
      </c>
      <c r="F46" s="24" t="str">
        <f aca="false">IF($D46="","",IF(MID($D46,5,1)="S","S(봄)",IF(MID($D46,5,1)="M","M(여름)",IF(MID($D46,5,1)="X","X(사계절)",MID($D46,5,1)))))</f>
        <v>S(봄)</v>
      </c>
      <c r="G46" s="26" t="s">
        <v>167</v>
      </c>
      <c r="H46" s="24" t="s">
        <v>182</v>
      </c>
      <c r="I46" s="27" t="s">
        <v>118</v>
      </c>
      <c r="J46" s="28" t="n">
        <f aca="false">IF($I46="","",IFERROR(DATE(IF(VALUE(LEFT($I46,FIND("월",$I46)-1))&gt;=9,기준정보!$C$7-1,기준정보!$C$7),VALUE(LEFT($I46,FIND("월",$I46)-1)),1+7*(VALUE(SUBSTITUTE(MID($I46,FIND("월",$I46)+1,5),"주",""))-1)),""))</f>
        <v>46402</v>
      </c>
      <c r="K46" s="28" t="n">
        <f aca="false">IF($J46="","",$J46-기준정보!$C$5)</f>
        <v>46388</v>
      </c>
      <c r="L46" s="28" t="n">
        <f aca="false">IF($K46="","",$K46-기준정보!$C$6)</f>
        <v>46298</v>
      </c>
      <c r="M46" s="29" t="n">
        <f aca="false">IF($L46="","",$L46-기준정보!$C$4)</f>
        <v>56</v>
      </c>
      <c r="N46" s="27" t="s">
        <v>65</v>
      </c>
      <c r="O46" s="30"/>
      <c r="P46" s="26" t="str">
        <f aca="false">IF($G46="","",IF(AND(ISNUMBER(SEARCH("CMT",$G46)),OR(ISNUMBER(SEARCH("완사입",$G46)),ISNUMBER(SEARCH("ODM",$G46)))),"본사/생산처 혼재",IF(ISNUMBER(SEARCH("CMT",$G46)),"본사(소재팀)","생산처")))</f>
        <v>본사(소재팀)</v>
      </c>
      <c r="Q46" s="25" t="s">
        <v>168</v>
      </c>
      <c r="R46" s="25" t="s">
        <v>67</v>
      </c>
      <c r="S46" s="31" t="n">
        <v>5500</v>
      </c>
      <c r="T46" s="26"/>
      <c r="U46" s="26" t="str">
        <f aca="false">IF($J46="","출고일 미정",IF($N46="X","작지 미발행",IF($N46="부분","작지 일부 미발행",IF(AND($O46&lt;&gt;"",$O46&gt;$L46),"소재입고 마감("&amp;TEXT($L46,"MM/DD")&amp;") 초과",IF($N46="","발행여부 확인 필요",IF($O46="","소재 입고일정 확인 필요","정상"))))))</f>
        <v>소재 입고일정 확인 필요</v>
      </c>
      <c r="V46" s="24" t="str">
        <f aca="false">IF($J46="","",IF(OR(LEFT($U46,2)="작지",LEFT($U46,4)="소재입고"),IF(LEFT($F46,1)="S","★ 납기위험(S코드)","◆ 지연주의"),IF($U46="정상","✓ 정상","? 확인필요")))</f>
        <v>? 확인필요</v>
      </c>
      <c r="W46" s="27"/>
      <c r="X46" s="32"/>
    </row>
    <row r="47" customFormat="false" ht="15" hidden="false" customHeight="false" outlineLevel="0" collapsed="false">
      <c r="A47" s="24" t="n">
        <v>43</v>
      </c>
      <c r="B47" s="25" t="s">
        <v>178</v>
      </c>
      <c r="C47" s="25" t="s">
        <v>179</v>
      </c>
      <c r="D47" s="26" t="s">
        <v>183</v>
      </c>
      <c r="E47" s="25" t="s">
        <v>184</v>
      </c>
      <c r="F47" s="24" t="str">
        <f aca="false">IF($D47="","",IF(MID($D47,5,1)="S","S(봄)",IF(MID($D47,5,1)="M","M(여름)",IF(MID($D47,5,1)="X","X(사계절)",MID($D47,5,1)))))</f>
        <v>S(봄)</v>
      </c>
      <c r="G47" s="26" t="s">
        <v>167</v>
      </c>
      <c r="H47" s="24" t="s">
        <v>182</v>
      </c>
      <c r="I47" s="27" t="s">
        <v>118</v>
      </c>
      <c r="J47" s="28" t="n">
        <f aca="false">IF($I47="","",IFERROR(DATE(IF(VALUE(LEFT($I47,FIND("월",$I47)-1))&gt;=9,기준정보!$C$7-1,기준정보!$C$7),VALUE(LEFT($I47,FIND("월",$I47)-1)),1+7*(VALUE(SUBSTITUTE(MID($I47,FIND("월",$I47)+1,5),"주",""))-1)),""))</f>
        <v>46402</v>
      </c>
      <c r="K47" s="28" t="n">
        <f aca="false">IF($J47="","",$J47-기준정보!$C$5)</f>
        <v>46388</v>
      </c>
      <c r="L47" s="28" t="n">
        <f aca="false">IF($K47="","",$K47-기준정보!$C$6)</f>
        <v>46298</v>
      </c>
      <c r="M47" s="29" t="n">
        <f aca="false">IF($L47="","",$L47-기준정보!$C$4)</f>
        <v>56</v>
      </c>
      <c r="N47" s="27" t="s">
        <v>65</v>
      </c>
      <c r="O47" s="30"/>
      <c r="P47" s="26" t="str">
        <f aca="false">IF($G47="","",IF(AND(ISNUMBER(SEARCH("CMT",$G47)),OR(ISNUMBER(SEARCH("완사입",$G47)),ISNUMBER(SEARCH("ODM",$G47)))),"본사/생산처 혼재",IF(ISNUMBER(SEARCH("CMT",$G47)),"본사(소재팀)","생산처")))</f>
        <v>본사(소재팀)</v>
      </c>
      <c r="Q47" s="25" t="s">
        <v>168</v>
      </c>
      <c r="R47" s="25" t="s">
        <v>67</v>
      </c>
      <c r="S47" s="31" t="n">
        <v>8000</v>
      </c>
      <c r="T47" s="26"/>
      <c r="U47" s="26" t="str">
        <f aca="false">IF($J47="","출고일 미정",IF($N47="X","작지 미발행",IF($N47="부분","작지 일부 미발행",IF(AND($O47&lt;&gt;"",$O47&gt;$L47),"소재입고 마감("&amp;TEXT($L47,"MM/DD")&amp;") 초과",IF($N47="","발행여부 확인 필요",IF($O47="","소재 입고일정 확인 필요","정상"))))))</f>
        <v>소재 입고일정 확인 필요</v>
      </c>
      <c r="V47" s="24" t="str">
        <f aca="false">IF($J47="","",IF(OR(LEFT($U47,2)="작지",LEFT($U47,4)="소재입고"),IF(LEFT($F47,1)="S","★ 납기위험(S코드)","◆ 지연주의"),IF($U47="정상","✓ 정상","? 확인필요")))</f>
        <v>? 확인필요</v>
      </c>
      <c r="W47" s="27"/>
      <c r="X47" s="32"/>
    </row>
    <row r="48" customFormat="false" ht="15" hidden="false" customHeight="false" outlineLevel="0" collapsed="false">
      <c r="A48" s="24" t="n">
        <v>44</v>
      </c>
      <c r="B48" s="25" t="s">
        <v>178</v>
      </c>
      <c r="C48" s="25" t="s">
        <v>179</v>
      </c>
      <c r="D48" s="26" t="s">
        <v>185</v>
      </c>
      <c r="E48" s="25" t="s">
        <v>186</v>
      </c>
      <c r="F48" s="24" t="str">
        <f aca="false">IF($D48="","",IF(MID($D48,5,1)="S","S(봄)",IF(MID($D48,5,1)="M","M(여름)",IF(MID($D48,5,1)="X","X(사계절)",MID($D48,5,1)))))</f>
        <v>S(봄)</v>
      </c>
      <c r="G48" s="25" t="s">
        <v>62</v>
      </c>
      <c r="H48" s="24" t="s">
        <v>182</v>
      </c>
      <c r="I48" s="27" t="s">
        <v>118</v>
      </c>
      <c r="J48" s="28" t="n">
        <f aca="false">IF($I48="","",IFERROR(DATE(IF(VALUE(LEFT($I48,FIND("월",$I48)-1))&gt;=9,기준정보!$C$7-1,기준정보!$C$7),VALUE(LEFT($I48,FIND("월",$I48)-1)),1+7*(VALUE(SUBSTITUTE(MID($I48,FIND("월",$I48)+1,5),"주",""))-1)),""))</f>
        <v>46402</v>
      </c>
      <c r="K48" s="28" t="n">
        <f aca="false">IF($J48="","",$J48-기준정보!$C$5)</f>
        <v>46388</v>
      </c>
      <c r="L48" s="28" t="n">
        <f aca="false">IF($K48="","",$K48-기준정보!$C$6)</f>
        <v>46298</v>
      </c>
      <c r="M48" s="29" t="n">
        <f aca="false">IF($L48="","",$L48-기준정보!$C$4)</f>
        <v>56</v>
      </c>
      <c r="N48" s="27" t="s">
        <v>65</v>
      </c>
      <c r="O48" s="30"/>
      <c r="P48" s="26" t="str">
        <f aca="false">IF($G48="","",IF(AND(ISNUMBER(SEARCH("CMT",$G48)),OR(ISNUMBER(SEARCH("완사입",$G48)),ISNUMBER(SEARCH("ODM",$G48)))),"본사/생산처 혼재",IF(ISNUMBER(SEARCH("CMT",$G48)),"본사(소재팀)","생산처")))</f>
        <v>생산처</v>
      </c>
      <c r="Q48" s="26" t="s">
        <v>187</v>
      </c>
      <c r="R48" s="25" t="s">
        <v>67</v>
      </c>
      <c r="S48" s="31" t="n">
        <v>1800</v>
      </c>
      <c r="T48" s="26" t="s">
        <v>118</v>
      </c>
      <c r="U48" s="26" t="str">
        <f aca="false">IF($J48="","출고일 미정",IF($N48="X","작지 미발행",IF($N48="부분","작지 일부 미발행",IF(AND($O48&lt;&gt;"",$O48&gt;$L48),"소재입고 마감("&amp;TEXT($L48,"MM/DD")&amp;") 초과",IF($N48="","발행여부 확인 필요",IF($O48="","소재 입고일정 확인 필요","정상"))))))</f>
        <v>소재 입고일정 확인 필요</v>
      </c>
      <c r="V48" s="24" t="str">
        <f aca="false">IF($J48="","",IF(OR(LEFT($U48,2)="작지",LEFT($U48,4)="소재입고"),IF(LEFT($F48,1)="S","★ 납기위험(S코드)","◆ 지연주의"),IF($U48="정상","✓ 정상","? 확인필요")))</f>
        <v>? 확인필요</v>
      </c>
      <c r="W48" s="27"/>
      <c r="X48" s="32"/>
    </row>
    <row r="49" customFormat="false" ht="15" hidden="false" customHeight="false" outlineLevel="0" collapsed="false">
      <c r="A49" s="24" t="n">
        <v>45</v>
      </c>
      <c r="B49" s="25" t="s">
        <v>178</v>
      </c>
      <c r="C49" s="25" t="s">
        <v>179</v>
      </c>
      <c r="D49" s="26" t="s">
        <v>188</v>
      </c>
      <c r="E49" s="25" t="s">
        <v>189</v>
      </c>
      <c r="F49" s="24" t="str">
        <f aca="false">IF($D49="","",IF(MID($D49,5,1)="S","S(봄)",IF(MID($D49,5,1)="M","M(여름)",IF(MID($D49,5,1)="X","X(사계절)",MID($D49,5,1)))))</f>
        <v>S(봄)</v>
      </c>
      <c r="G49" s="25" t="s">
        <v>62</v>
      </c>
      <c r="H49" s="24" t="s">
        <v>182</v>
      </c>
      <c r="I49" s="27" t="s">
        <v>118</v>
      </c>
      <c r="J49" s="28" t="n">
        <f aca="false">IF($I49="","",IFERROR(DATE(IF(VALUE(LEFT($I49,FIND("월",$I49)-1))&gt;=9,기준정보!$C$7-1,기준정보!$C$7),VALUE(LEFT($I49,FIND("월",$I49)-1)),1+7*(VALUE(SUBSTITUTE(MID($I49,FIND("월",$I49)+1,5),"주",""))-1)),""))</f>
        <v>46402</v>
      </c>
      <c r="K49" s="28" t="n">
        <f aca="false">IF($J49="","",$J49-기준정보!$C$5)</f>
        <v>46388</v>
      </c>
      <c r="L49" s="28" t="n">
        <f aca="false">IF($K49="","",$K49-기준정보!$C$6)</f>
        <v>46298</v>
      </c>
      <c r="M49" s="29" t="n">
        <f aca="false">IF($L49="","",$L49-기준정보!$C$4)</f>
        <v>56</v>
      </c>
      <c r="N49" s="27" t="s">
        <v>65</v>
      </c>
      <c r="O49" s="30"/>
      <c r="P49" s="26" t="str">
        <f aca="false">IF($G49="","",IF(AND(ISNUMBER(SEARCH("CMT",$G49)),OR(ISNUMBER(SEARCH("완사입",$G49)),ISNUMBER(SEARCH("ODM",$G49)))),"본사/생산처 혼재",IF(ISNUMBER(SEARCH("CMT",$G49)),"본사(소재팀)","생산처")))</f>
        <v>생산처</v>
      </c>
      <c r="Q49" s="25" t="s">
        <v>190</v>
      </c>
      <c r="R49" s="25" t="s">
        <v>67</v>
      </c>
      <c r="S49" s="31" t="n">
        <v>1600</v>
      </c>
      <c r="T49" s="26"/>
      <c r="U49" s="26" t="str">
        <f aca="false">IF($J49="","출고일 미정",IF($N49="X","작지 미발행",IF($N49="부분","작지 일부 미발행",IF(AND($O49&lt;&gt;"",$O49&gt;$L49),"소재입고 마감("&amp;TEXT($L49,"MM/DD")&amp;") 초과",IF($N49="","발행여부 확인 필요",IF($O49="","소재 입고일정 확인 필요","정상"))))))</f>
        <v>소재 입고일정 확인 필요</v>
      </c>
      <c r="V49" s="24" t="str">
        <f aca="false">IF($J49="","",IF(OR(LEFT($U49,2)="작지",LEFT($U49,4)="소재입고"),IF(LEFT($F49,1)="S","★ 납기위험(S코드)","◆ 지연주의"),IF($U49="정상","✓ 정상","? 확인필요")))</f>
        <v>? 확인필요</v>
      </c>
      <c r="W49" s="27"/>
      <c r="X49" s="32"/>
    </row>
    <row r="50" customFormat="false" ht="15" hidden="false" customHeight="false" outlineLevel="0" collapsed="false">
      <c r="A50" s="24" t="n">
        <v>46</v>
      </c>
      <c r="B50" s="25" t="s">
        <v>175</v>
      </c>
      <c r="C50" s="25" t="s">
        <v>179</v>
      </c>
      <c r="D50" s="26" t="s">
        <v>191</v>
      </c>
      <c r="E50" s="25" t="s">
        <v>192</v>
      </c>
      <c r="F50" s="24" t="str">
        <f aca="false">IF($D50="","",IF(MID($D50,5,1)="S","S(봄)",IF(MID($D50,5,1)="M","M(여름)",IF(MID($D50,5,1)="X","X(사계절)",MID($D50,5,1)))))</f>
        <v>S(봄)</v>
      </c>
      <c r="G50" s="25" t="s">
        <v>62</v>
      </c>
      <c r="H50" s="24"/>
      <c r="I50" s="27" t="s">
        <v>118</v>
      </c>
      <c r="J50" s="28" t="n">
        <f aca="false">IF($I50="","",IFERROR(DATE(IF(VALUE(LEFT($I50,FIND("월",$I50)-1))&gt;=9,기준정보!$C$7-1,기준정보!$C$7),VALUE(LEFT($I50,FIND("월",$I50)-1)),1+7*(VALUE(SUBSTITUTE(MID($I50,FIND("월",$I50)+1,5),"주",""))-1)),""))</f>
        <v>46402</v>
      </c>
      <c r="K50" s="28" t="n">
        <f aca="false">IF($J50="","",$J50-기준정보!$C$5)</f>
        <v>46388</v>
      </c>
      <c r="L50" s="28" t="n">
        <f aca="false">IF($K50="","",$K50-기준정보!$C$6)</f>
        <v>46298</v>
      </c>
      <c r="M50" s="29" t="n">
        <f aca="false">IF($L50="","",$L50-기준정보!$C$4)</f>
        <v>56</v>
      </c>
      <c r="N50" s="27" t="s">
        <v>65</v>
      </c>
      <c r="O50" s="30"/>
      <c r="P50" s="26" t="str">
        <f aca="false">IF($G50="","",IF(AND(ISNUMBER(SEARCH("CMT",$G50)),OR(ISNUMBER(SEARCH("완사입",$G50)),ISNUMBER(SEARCH("ODM",$G50)))),"본사/생산처 혼재",IF(ISNUMBER(SEARCH("CMT",$G50)),"본사(소재팀)","생산처")))</f>
        <v>생산처</v>
      </c>
      <c r="Q50" s="26" t="s">
        <v>193</v>
      </c>
      <c r="R50" s="25" t="s">
        <v>71</v>
      </c>
      <c r="S50" s="31" t="n">
        <v>3000</v>
      </c>
      <c r="T50" s="26"/>
      <c r="U50" s="26" t="str">
        <f aca="false">IF($J50="","출고일 미정",IF($N50="X","작지 미발행",IF($N50="부분","작지 일부 미발행",IF(AND($O50&lt;&gt;"",$O50&gt;$L50),"소재입고 마감("&amp;TEXT($L50,"MM/DD")&amp;") 초과",IF($N50="","발행여부 확인 필요",IF($O50="","소재 입고일정 확인 필요","정상"))))))</f>
        <v>소재 입고일정 확인 필요</v>
      </c>
      <c r="V50" s="24" t="str">
        <f aca="false">IF($J50="","",IF(OR(LEFT($U50,2)="작지",LEFT($U50,4)="소재입고"),IF(LEFT($F50,1)="S","★ 납기위험(S코드)","◆ 지연주의"),IF($U50="정상","✓ 정상","? 확인필요")))</f>
        <v>? 확인필요</v>
      </c>
      <c r="W50" s="27"/>
      <c r="X50" s="32"/>
    </row>
    <row r="51" customFormat="false" ht="15" hidden="false" customHeight="false" outlineLevel="0" collapsed="false">
      <c r="A51" s="24" t="n">
        <v>47</v>
      </c>
      <c r="B51" s="25" t="s">
        <v>175</v>
      </c>
      <c r="C51" s="25" t="s">
        <v>179</v>
      </c>
      <c r="D51" s="26" t="s">
        <v>194</v>
      </c>
      <c r="E51" s="25" t="s">
        <v>195</v>
      </c>
      <c r="F51" s="24" t="str">
        <f aca="false">IF($D51="","",IF(MID($D51,5,1)="S","S(봄)",IF(MID($D51,5,1)="M","M(여름)",IF(MID($D51,5,1)="X","X(사계절)",MID($D51,5,1)))))</f>
        <v>S(봄)</v>
      </c>
      <c r="G51" s="25" t="s">
        <v>62</v>
      </c>
      <c r="H51" s="24"/>
      <c r="I51" s="27" t="s">
        <v>118</v>
      </c>
      <c r="J51" s="28" t="n">
        <f aca="false">IF($I51="","",IFERROR(DATE(IF(VALUE(LEFT($I51,FIND("월",$I51)-1))&gt;=9,기준정보!$C$7-1,기준정보!$C$7),VALUE(LEFT($I51,FIND("월",$I51)-1)),1+7*(VALUE(SUBSTITUTE(MID($I51,FIND("월",$I51)+1,5),"주",""))-1)),""))</f>
        <v>46402</v>
      </c>
      <c r="K51" s="28" t="n">
        <f aca="false">IF($J51="","",$J51-기준정보!$C$5)</f>
        <v>46388</v>
      </c>
      <c r="L51" s="28" t="n">
        <f aca="false">IF($K51="","",$K51-기준정보!$C$6)</f>
        <v>46298</v>
      </c>
      <c r="M51" s="29" t="n">
        <f aca="false">IF($L51="","",$L51-기준정보!$C$4)</f>
        <v>56</v>
      </c>
      <c r="N51" s="27" t="s">
        <v>65</v>
      </c>
      <c r="O51" s="30"/>
      <c r="P51" s="26" t="str">
        <f aca="false">IF($G51="","",IF(AND(ISNUMBER(SEARCH("CMT",$G51)),OR(ISNUMBER(SEARCH("완사입",$G51)),ISNUMBER(SEARCH("ODM",$G51)))),"본사/생산처 혼재",IF(ISNUMBER(SEARCH("CMT",$G51)),"본사(소재팀)","생산처")))</f>
        <v>생산처</v>
      </c>
      <c r="Q51" s="26" t="s">
        <v>193</v>
      </c>
      <c r="R51" s="25" t="s">
        <v>71</v>
      </c>
      <c r="S51" s="31" t="n">
        <v>2000</v>
      </c>
      <c r="T51" s="26"/>
      <c r="U51" s="26" t="str">
        <f aca="false">IF($J51="","출고일 미정",IF($N51="X","작지 미발행",IF($N51="부분","작지 일부 미발행",IF(AND($O51&lt;&gt;"",$O51&gt;$L51),"소재입고 마감("&amp;TEXT($L51,"MM/DD")&amp;") 초과",IF($N51="","발행여부 확인 필요",IF($O51="","소재 입고일정 확인 필요","정상"))))))</f>
        <v>소재 입고일정 확인 필요</v>
      </c>
      <c r="V51" s="24" t="str">
        <f aca="false">IF($J51="","",IF(OR(LEFT($U51,2)="작지",LEFT($U51,4)="소재입고"),IF(LEFT($F51,1)="S","★ 납기위험(S코드)","◆ 지연주의"),IF($U51="정상","✓ 정상","? 확인필요")))</f>
        <v>? 확인필요</v>
      </c>
      <c r="W51" s="27"/>
      <c r="X51" s="32"/>
    </row>
    <row r="52" customFormat="false" ht="15" hidden="false" customHeight="false" outlineLevel="0" collapsed="false">
      <c r="A52" s="24" t="n">
        <v>48</v>
      </c>
      <c r="B52" s="25" t="s">
        <v>175</v>
      </c>
      <c r="C52" s="25" t="s">
        <v>179</v>
      </c>
      <c r="D52" s="26" t="s">
        <v>196</v>
      </c>
      <c r="E52" s="25" t="s">
        <v>197</v>
      </c>
      <c r="F52" s="24" t="str">
        <f aca="false">IF($D52="","",IF(MID($D52,5,1)="S","S(봄)",IF(MID($D52,5,1)="M","M(여름)",IF(MID($D52,5,1)="X","X(사계절)",MID($D52,5,1)))))</f>
        <v>S(봄)</v>
      </c>
      <c r="G52" s="25" t="s">
        <v>62</v>
      </c>
      <c r="H52" s="24"/>
      <c r="I52" s="27" t="s">
        <v>118</v>
      </c>
      <c r="J52" s="28" t="n">
        <f aca="false">IF($I52="","",IFERROR(DATE(IF(VALUE(LEFT($I52,FIND("월",$I52)-1))&gt;=9,기준정보!$C$7-1,기준정보!$C$7),VALUE(LEFT($I52,FIND("월",$I52)-1)),1+7*(VALUE(SUBSTITUTE(MID($I52,FIND("월",$I52)+1,5),"주",""))-1)),""))</f>
        <v>46402</v>
      </c>
      <c r="K52" s="28" t="n">
        <f aca="false">IF($J52="","",$J52-기준정보!$C$5)</f>
        <v>46388</v>
      </c>
      <c r="L52" s="28" t="n">
        <f aca="false">IF($K52="","",$K52-기준정보!$C$6)</f>
        <v>46298</v>
      </c>
      <c r="M52" s="29" t="n">
        <f aca="false">IF($L52="","",$L52-기준정보!$C$4)</f>
        <v>56</v>
      </c>
      <c r="N52" s="27" t="s">
        <v>65</v>
      </c>
      <c r="O52" s="30"/>
      <c r="P52" s="26" t="str">
        <f aca="false">IF($G52="","",IF(AND(ISNUMBER(SEARCH("CMT",$G52)),OR(ISNUMBER(SEARCH("완사입",$G52)),ISNUMBER(SEARCH("ODM",$G52)))),"본사/생산처 혼재",IF(ISNUMBER(SEARCH("CMT",$G52)),"본사(소재팀)","생산처")))</f>
        <v>생산처</v>
      </c>
      <c r="Q52" s="26" t="s">
        <v>193</v>
      </c>
      <c r="R52" s="25" t="s">
        <v>71</v>
      </c>
      <c r="S52" s="31" t="n">
        <v>2000</v>
      </c>
      <c r="T52" s="26"/>
      <c r="U52" s="26" t="str">
        <f aca="false">IF($J52="","출고일 미정",IF($N52="X","작지 미발행",IF($N52="부분","작지 일부 미발행",IF(AND($O52&lt;&gt;"",$O52&gt;$L52),"소재입고 마감("&amp;TEXT($L52,"MM/DD")&amp;") 초과",IF($N52="","발행여부 확인 필요",IF($O52="","소재 입고일정 확인 필요","정상"))))))</f>
        <v>소재 입고일정 확인 필요</v>
      </c>
      <c r="V52" s="24" t="str">
        <f aca="false">IF($J52="","",IF(OR(LEFT($U52,2)="작지",LEFT($U52,4)="소재입고"),IF(LEFT($F52,1)="S","★ 납기위험(S코드)","◆ 지연주의"),IF($U52="정상","✓ 정상","? 확인필요")))</f>
        <v>? 확인필요</v>
      </c>
      <c r="W52" s="27"/>
      <c r="X52" s="32"/>
    </row>
    <row r="53" customFormat="false" ht="15" hidden="false" customHeight="false" outlineLevel="0" collapsed="false">
      <c r="A53" s="24" t="n">
        <v>49</v>
      </c>
      <c r="B53" s="25" t="s">
        <v>175</v>
      </c>
      <c r="C53" s="25" t="s">
        <v>179</v>
      </c>
      <c r="D53" s="26" t="s">
        <v>198</v>
      </c>
      <c r="E53" s="25" t="s">
        <v>199</v>
      </c>
      <c r="F53" s="24" t="str">
        <f aca="false">IF($D53="","",IF(MID($D53,5,1)="S","S(봄)",IF(MID($D53,5,1)="M","M(여름)",IF(MID($D53,5,1)="X","X(사계절)",MID($D53,5,1)))))</f>
        <v>S(봄)</v>
      </c>
      <c r="G53" s="25" t="s">
        <v>62</v>
      </c>
      <c r="H53" s="24"/>
      <c r="I53" s="27" t="s">
        <v>118</v>
      </c>
      <c r="J53" s="28" t="n">
        <f aca="false">IF($I53="","",IFERROR(DATE(IF(VALUE(LEFT($I53,FIND("월",$I53)-1))&gt;=9,기준정보!$C$7-1,기준정보!$C$7),VALUE(LEFT($I53,FIND("월",$I53)-1)),1+7*(VALUE(SUBSTITUTE(MID($I53,FIND("월",$I53)+1,5),"주",""))-1)),""))</f>
        <v>46402</v>
      </c>
      <c r="K53" s="28" t="n">
        <f aca="false">IF($J53="","",$J53-기준정보!$C$5)</f>
        <v>46388</v>
      </c>
      <c r="L53" s="28" t="n">
        <f aca="false">IF($K53="","",$K53-기준정보!$C$6)</f>
        <v>46298</v>
      </c>
      <c r="M53" s="29" t="n">
        <f aca="false">IF($L53="","",$L53-기준정보!$C$4)</f>
        <v>56</v>
      </c>
      <c r="N53" s="27" t="s">
        <v>65</v>
      </c>
      <c r="O53" s="30"/>
      <c r="P53" s="26" t="str">
        <f aca="false">IF($G53="","",IF(AND(ISNUMBER(SEARCH("CMT",$G53)),OR(ISNUMBER(SEARCH("완사입",$G53)),ISNUMBER(SEARCH("ODM",$G53)))),"본사/생산처 혼재",IF(ISNUMBER(SEARCH("CMT",$G53)),"본사(소재팀)","생산처")))</f>
        <v>생산처</v>
      </c>
      <c r="Q53" s="25" t="s">
        <v>70</v>
      </c>
      <c r="R53" s="25" t="s">
        <v>71</v>
      </c>
      <c r="S53" s="31" t="n">
        <v>1200</v>
      </c>
      <c r="T53" s="26"/>
      <c r="U53" s="26" t="str">
        <f aca="false">IF($J53="","출고일 미정",IF($N53="X","작지 미발행",IF($N53="부분","작지 일부 미발행",IF(AND($O53&lt;&gt;"",$O53&gt;$L53),"소재입고 마감("&amp;TEXT($L53,"MM/DD")&amp;") 초과",IF($N53="","발행여부 확인 필요",IF($O53="","소재 입고일정 확인 필요","정상"))))))</f>
        <v>소재 입고일정 확인 필요</v>
      </c>
      <c r="V53" s="24" t="str">
        <f aca="false">IF($J53="","",IF(OR(LEFT($U53,2)="작지",LEFT($U53,4)="소재입고"),IF(LEFT($F53,1)="S","★ 납기위험(S코드)","◆ 지연주의"),IF($U53="정상","✓ 정상","? 확인필요")))</f>
        <v>? 확인필요</v>
      </c>
      <c r="W53" s="27"/>
      <c r="X53" s="32"/>
    </row>
    <row r="54" customFormat="false" ht="15" hidden="false" customHeight="false" outlineLevel="0" collapsed="false">
      <c r="A54" s="24" t="n">
        <v>50</v>
      </c>
      <c r="B54" s="25" t="s">
        <v>200</v>
      </c>
      <c r="C54" s="25" t="s">
        <v>201</v>
      </c>
      <c r="D54" s="26" t="s">
        <v>202</v>
      </c>
      <c r="E54" s="25" t="s">
        <v>203</v>
      </c>
      <c r="F54" s="24" t="str">
        <f aca="false">IF($D54="","",IF(MID($D54,5,1)="S","S(봄)",IF(MID($D54,5,1)="M","M(여름)",IF(MID($D54,5,1)="X","X(사계절)",MID($D54,5,1)))))</f>
        <v>S(봄)</v>
      </c>
      <c r="G54" s="25" t="s">
        <v>62</v>
      </c>
      <c r="H54" s="24"/>
      <c r="I54" s="27" t="s">
        <v>118</v>
      </c>
      <c r="J54" s="28" t="n">
        <f aca="false">IF($I54="","",IFERROR(DATE(IF(VALUE(LEFT($I54,FIND("월",$I54)-1))&gt;=9,기준정보!$C$7-1,기준정보!$C$7),VALUE(LEFT($I54,FIND("월",$I54)-1)),1+7*(VALUE(SUBSTITUTE(MID($I54,FIND("월",$I54)+1,5),"주",""))-1)),""))</f>
        <v>46402</v>
      </c>
      <c r="K54" s="28" t="n">
        <f aca="false">IF($J54="","",$J54-기준정보!$C$5)</f>
        <v>46388</v>
      </c>
      <c r="L54" s="28" t="n">
        <f aca="false">IF($K54="","",$K54-기준정보!$C$6)</f>
        <v>46298</v>
      </c>
      <c r="M54" s="29" t="n">
        <f aca="false">IF($L54="","",$L54-기준정보!$C$4)</f>
        <v>56</v>
      </c>
      <c r="N54" s="27" t="s">
        <v>65</v>
      </c>
      <c r="O54" s="30"/>
      <c r="P54" s="26" t="str">
        <f aca="false">IF($G54="","",IF(AND(ISNUMBER(SEARCH("CMT",$G54)),OR(ISNUMBER(SEARCH("완사입",$G54)),ISNUMBER(SEARCH("ODM",$G54)))),"본사/생산처 혼재",IF(ISNUMBER(SEARCH("CMT",$G54)),"본사(소재팀)","생산처")))</f>
        <v>생산처</v>
      </c>
      <c r="Q54" s="25" t="s">
        <v>204</v>
      </c>
      <c r="R54" s="25" t="s">
        <v>67</v>
      </c>
      <c r="S54" s="31" t="n">
        <v>3000</v>
      </c>
      <c r="T54" s="26" t="s">
        <v>118</v>
      </c>
      <c r="U54" s="26" t="str">
        <f aca="false">IF($J54="","출고일 미정",IF($N54="X","작지 미발행",IF($N54="부분","작지 일부 미발행",IF(AND($O54&lt;&gt;"",$O54&gt;$L54),"소재입고 마감("&amp;TEXT($L54,"MM/DD")&amp;") 초과",IF($N54="","발행여부 확인 필요",IF($O54="","소재 입고일정 확인 필요","정상"))))))</f>
        <v>소재 입고일정 확인 필요</v>
      </c>
      <c r="V54" s="24" t="str">
        <f aca="false">IF($J54="","",IF(OR(LEFT($U54,2)="작지",LEFT($U54,4)="소재입고"),IF(LEFT($F54,1)="S","★ 납기위험(S코드)","◆ 지연주의"),IF($U54="정상","✓ 정상","? 확인필요")))</f>
        <v>? 확인필요</v>
      </c>
      <c r="W54" s="27"/>
      <c r="X54" s="32"/>
    </row>
    <row r="55" customFormat="false" ht="15" hidden="false" customHeight="false" outlineLevel="0" collapsed="false">
      <c r="A55" s="24" t="n">
        <v>51</v>
      </c>
      <c r="B55" s="25" t="s">
        <v>200</v>
      </c>
      <c r="C55" s="25" t="s">
        <v>201</v>
      </c>
      <c r="D55" s="26" t="s">
        <v>205</v>
      </c>
      <c r="E55" s="25" t="s">
        <v>206</v>
      </c>
      <c r="F55" s="24" t="str">
        <f aca="false">IF($D55="","",IF(MID($D55,5,1)="S","S(봄)",IF(MID($D55,5,1)="M","M(여름)",IF(MID($D55,5,1)="X","X(사계절)",MID($D55,5,1)))))</f>
        <v>S(봄)</v>
      </c>
      <c r="G55" s="25" t="s">
        <v>62</v>
      </c>
      <c r="H55" s="24"/>
      <c r="I55" s="27" t="s">
        <v>118</v>
      </c>
      <c r="J55" s="28" t="n">
        <f aca="false">IF($I55="","",IFERROR(DATE(IF(VALUE(LEFT($I55,FIND("월",$I55)-1))&gt;=9,기준정보!$C$7-1,기준정보!$C$7),VALUE(LEFT($I55,FIND("월",$I55)-1)),1+7*(VALUE(SUBSTITUTE(MID($I55,FIND("월",$I55)+1,5),"주",""))-1)),""))</f>
        <v>46402</v>
      </c>
      <c r="K55" s="28" t="n">
        <f aca="false">IF($J55="","",$J55-기준정보!$C$5)</f>
        <v>46388</v>
      </c>
      <c r="L55" s="28" t="n">
        <f aca="false">IF($K55="","",$K55-기준정보!$C$6)</f>
        <v>46298</v>
      </c>
      <c r="M55" s="29" t="n">
        <f aca="false">IF($L55="","",$L55-기준정보!$C$4)</f>
        <v>56</v>
      </c>
      <c r="N55" s="27" t="s">
        <v>65</v>
      </c>
      <c r="O55" s="30"/>
      <c r="P55" s="26" t="str">
        <f aca="false">IF($G55="","",IF(AND(ISNUMBER(SEARCH("CMT",$G55)),OR(ISNUMBER(SEARCH("완사입",$G55)),ISNUMBER(SEARCH("ODM",$G55)))),"본사/생산처 혼재",IF(ISNUMBER(SEARCH("CMT",$G55)),"본사(소재팀)","생산처")))</f>
        <v>생산처</v>
      </c>
      <c r="Q55" s="25" t="s">
        <v>204</v>
      </c>
      <c r="R55" s="25" t="s">
        <v>67</v>
      </c>
      <c r="S55" s="31" t="n">
        <v>1700</v>
      </c>
      <c r="T55" s="26" t="s">
        <v>118</v>
      </c>
      <c r="U55" s="26" t="str">
        <f aca="false">IF($J55="","출고일 미정",IF($N55="X","작지 미발행",IF($N55="부분","작지 일부 미발행",IF(AND($O55&lt;&gt;"",$O55&gt;$L55),"소재입고 마감("&amp;TEXT($L55,"MM/DD")&amp;") 초과",IF($N55="","발행여부 확인 필요",IF($O55="","소재 입고일정 확인 필요","정상"))))))</f>
        <v>소재 입고일정 확인 필요</v>
      </c>
      <c r="V55" s="24" t="str">
        <f aca="false">IF($J55="","",IF(OR(LEFT($U55,2)="작지",LEFT($U55,4)="소재입고"),IF(LEFT($F55,1)="S","★ 납기위험(S코드)","◆ 지연주의"),IF($U55="정상","✓ 정상","? 확인필요")))</f>
        <v>? 확인필요</v>
      </c>
      <c r="W55" s="27"/>
      <c r="X55" s="32"/>
    </row>
    <row r="56" customFormat="false" ht="15" hidden="false" customHeight="false" outlineLevel="0" collapsed="false">
      <c r="A56" s="24" t="n">
        <v>52</v>
      </c>
      <c r="B56" s="25" t="s">
        <v>200</v>
      </c>
      <c r="C56" s="25" t="s">
        <v>207</v>
      </c>
      <c r="D56" s="26" t="s">
        <v>208</v>
      </c>
      <c r="E56" s="25" t="s">
        <v>209</v>
      </c>
      <c r="F56" s="24" t="str">
        <f aca="false">IF($D56="","",IF(MID($D56,5,1)="S","S(봄)",IF(MID($D56,5,1)="M","M(여름)",IF(MID($D56,5,1)="X","X(사계절)",MID($D56,5,1)))))</f>
        <v>S(봄)</v>
      </c>
      <c r="G56" s="25" t="s">
        <v>62</v>
      </c>
      <c r="H56" s="24"/>
      <c r="I56" s="27" t="s">
        <v>118</v>
      </c>
      <c r="J56" s="28" t="n">
        <f aca="false">IF($I56="","",IFERROR(DATE(IF(VALUE(LEFT($I56,FIND("월",$I56)-1))&gt;=9,기준정보!$C$7-1,기준정보!$C$7),VALUE(LEFT($I56,FIND("월",$I56)-1)),1+7*(VALUE(SUBSTITUTE(MID($I56,FIND("월",$I56)+1,5),"주",""))-1)),""))</f>
        <v>46402</v>
      </c>
      <c r="K56" s="28" t="n">
        <f aca="false">IF($J56="","",$J56-기준정보!$C$5)</f>
        <v>46388</v>
      </c>
      <c r="L56" s="28" t="n">
        <f aca="false">IF($K56="","",$K56-기준정보!$C$6)</f>
        <v>46298</v>
      </c>
      <c r="M56" s="29" t="n">
        <f aca="false">IF($L56="","",$L56-기준정보!$C$4)</f>
        <v>56</v>
      </c>
      <c r="N56" s="27" t="s">
        <v>65</v>
      </c>
      <c r="O56" s="30"/>
      <c r="P56" s="26" t="str">
        <f aca="false">IF($G56="","",IF(AND(ISNUMBER(SEARCH("CMT",$G56)),OR(ISNUMBER(SEARCH("완사입",$G56)),ISNUMBER(SEARCH("ODM",$G56)))),"본사/생산처 혼재",IF(ISNUMBER(SEARCH("CMT",$G56)),"본사(소재팀)","생산처")))</f>
        <v>생산처</v>
      </c>
      <c r="Q56" s="25" t="s">
        <v>210</v>
      </c>
      <c r="R56" s="25" t="s">
        <v>67</v>
      </c>
      <c r="S56" s="31" t="n">
        <v>2600</v>
      </c>
      <c r="T56" s="26"/>
      <c r="U56" s="26" t="str">
        <f aca="false">IF($J56="","출고일 미정",IF($N56="X","작지 미발행",IF($N56="부분","작지 일부 미발행",IF(AND($O56&lt;&gt;"",$O56&gt;$L56),"소재입고 마감("&amp;TEXT($L56,"MM/DD")&amp;") 초과",IF($N56="","발행여부 확인 필요",IF($O56="","소재 입고일정 확인 필요","정상"))))))</f>
        <v>소재 입고일정 확인 필요</v>
      </c>
      <c r="V56" s="24" t="str">
        <f aca="false">IF($J56="","",IF(OR(LEFT($U56,2)="작지",LEFT($U56,4)="소재입고"),IF(LEFT($F56,1)="S","★ 납기위험(S코드)","◆ 지연주의"),IF($U56="정상","✓ 정상","? 확인필요")))</f>
        <v>? 확인필요</v>
      </c>
      <c r="W56" s="27"/>
      <c r="X56" s="32"/>
    </row>
    <row r="57" customFormat="false" ht="15" hidden="false" customHeight="false" outlineLevel="0" collapsed="false">
      <c r="A57" s="24" t="n">
        <v>53</v>
      </c>
      <c r="B57" s="25" t="s">
        <v>211</v>
      </c>
      <c r="C57" s="25" t="s">
        <v>212</v>
      </c>
      <c r="D57" s="26" t="s">
        <v>213</v>
      </c>
      <c r="E57" s="25" t="s">
        <v>214</v>
      </c>
      <c r="F57" s="24" t="str">
        <f aca="false">IF($D57="","",IF(MID($D57,5,1)="S","S(봄)",IF(MID($D57,5,1)="M","M(여름)",IF(MID($D57,5,1)="X","X(사계절)",MID($D57,5,1)))))</f>
        <v>S(봄)</v>
      </c>
      <c r="G57" s="26" t="s">
        <v>167</v>
      </c>
      <c r="H57" s="24" t="s">
        <v>215</v>
      </c>
      <c r="I57" s="27" t="s">
        <v>118</v>
      </c>
      <c r="J57" s="28" t="n">
        <f aca="false">IF($I57="","",IFERROR(DATE(IF(VALUE(LEFT($I57,FIND("월",$I57)-1))&gt;=9,기준정보!$C$7-1,기준정보!$C$7),VALUE(LEFT($I57,FIND("월",$I57)-1)),1+7*(VALUE(SUBSTITUTE(MID($I57,FIND("월",$I57)+1,5),"주",""))-1)),""))</f>
        <v>46402</v>
      </c>
      <c r="K57" s="28" t="n">
        <f aca="false">IF($J57="","",$J57-기준정보!$C$5)</f>
        <v>46388</v>
      </c>
      <c r="L57" s="28" t="n">
        <f aca="false">IF($K57="","",$K57-기준정보!$C$6)</f>
        <v>46298</v>
      </c>
      <c r="M57" s="29" t="n">
        <f aca="false">IF($L57="","",$L57-기준정보!$C$4)</f>
        <v>56</v>
      </c>
      <c r="N57" s="27" t="s">
        <v>65</v>
      </c>
      <c r="O57" s="30"/>
      <c r="P57" s="26" t="str">
        <f aca="false">IF($G57="","",IF(AND(ISNUMBER(SEARCH("CMT",$G57)),OR(ISNUMBER(SEARCH("완사입",$G57)),ISNUMBER(SEARCH("ODM",$G57)))),"본사/생산처 혼재",IF(ISNUMBER(SEARCH("CMT",$G57)),"본사(소재팀)","생산처")))</f>
        <v>본사(소재팀)</v>
      </c>
      <c r="Q57" s="25" t="s">
        <v>79</v>
      </c>
      <c r="R57" s="25" t="s">
        <v>67</v>
      </c>
      <c r="S57" s="31" t="n">
        <v>2500</v>
      </c>
      <c r="T57" s="26"/>
      <c r="U57" s="26" t="str">
        <f aca="false">IF($J57="","출고일 미정",IF($N57="X","작지 미발행",IF($N57="부분","작지 일부 미발행",IF(AND($O57&lt;&gt;"",$O57&gt;$L57),"소재입고 마감("&amp;TEXT($L57,"MM/DD")&amp;") 초과",IF($N57="","발행여부 확인 필요",IF($O57="","소재 입고일정 확인 필요","정상"))))))</f>
        <v>소재 입고일정 확인 필요</v>
      </c>
      <c r="V57" s="24" t="str">
        <f aca="false">IF($J57="","",IF(OR(LEFT($U57,2)="작지",LEFT($U57,4)="소재입고"),IF(LEFT($F57,1)="S","★ 납기위험(S코드)","◆ 지연주의"),IF($U57="정상","✓ 정상","? 확인필요")))</f>
        <v>? 확인필요</v>
      </c>
      <c r="W57" s="27"/>
      <c r="X57" s="32"/>
    </row>
    <row r="58" customFormat="false" ht="15" hidden="false" customHeight="false" outlineLevel="0" collapsed="false">
      <c r="A58" s="24" t="n">
        <v>54</v>
      </c>
      <c r="B58" s="25" t="s">
        <v>211</v>
      </c>
      <c r="C58" s="25" t="s">
        <v>212</v>
      </c>
      <c r="D58" s="26" t="s">
        <v>216</v>
      </c>
      <c r="E58" s="25" t="s">
        <v>217</v>
      </c>
      <c r="F58" s="24" t="str">
        <f aca="false">IF($D58="","",IF(MID($D58,5,1)="S","S(봄)",IF(MID($D58,5,1)="M","M(여름)",IF(MID($D58,5,1)="X","X(사계절)",MID($D58,5,1)))))</f>
        <v>S(봄)</v>
      </c>
      <c r="G58" s="26" t="s">
        <v>167</v>
      </c>
      <c r="H58" s="24" t="s">
        <v>215</v>
      </c>
      <c r="I58" s="27" t="s">
        <v>118</v>
      </c>
      <c r="J58" s="28" t="n">
        <f aca="false">IF($I58="","",IFERROR(DATE(IF(VALUE(LEFT($I58,FIND("월",$I58)-1))&gt;=9,기준정보!$C$7-1,기준정보!$C$7),VALUE(LEFT($I58,FIND("월",$I58)-1)),1+7*(VALUE(SUBSTITUTE(MID($I58,FIND("월",$I58)+1,5),"주",""))-1)),""))</f>
        <v>46402</v>
      </c>
      <c r="K58" s="28" t="n">
        <f aca="false">IF($J58="","",$J58-기준정보!$C$5)</f>
        <v>46388</v>
      </c>
      <c r="L58" s="28" t="n">
        <f aca="false">IF($K58="","",$K58-기준정보!$C$6)</f>
        <v>46298</v>
      </c>
      <c r="M58" s="29" t="n">
        <f aca="false">IF($L58="","",$L58-기준정보!$C$4)</f>
        <v>56</v>
      </c>
      <c r="N58" s="27" t="s">
        <v>65</v>
      </c>
      <c r="O58" s="30"/>
      <c r="P58" s="26" t="str">
        <f aca="false">IF($G58="","",IF(AND(ISNUMBER(SEARCH("CMT",$G58)),OR(ISNUMBER(SEARCH("완사입",$G58)),ISNUMBER(SEARCH("ODM",$G58)))),"본사/생산처 혼재",IF(ISNUMBER(SEARCH("CMT",$G58)),"본사(소재팀)","생산처")))</f>
        <v>본사(소재팀)</v>
      </c>
      <c r="Q58" s="26" t="s">
        <v>193</v>
      </c>
      <c r="R58" s="25" t="s">
        <v>67</v>
      </c>
      <c r="S58" s="31" t="n">
        <v>1400</v>
      </c>
      <c r="T58" s="26"/>
      <c r="U58" s="26" t="str">
        <f aca="false">IF($J58="","출고일 미정",IF($N58="X","작지 미발행",IF($N58="부분","작지 일부 미발행",IF(AND($O58&lt;&gt;"",$O58&gt;$L58),"소재입고 마감("&amp;TEXT($L58,"MM/DD")&amp;") 초과",IF($N58="","발행여부 확인 필요",IF($O58="","소재 입고일정 확인 필요","정상"))))))</f>
        <v>소재 입고일정 확인 필요</v>
      </c>
      <c r="V58" s="24" t="str">
        <f aca="false">IF($J58="","",IF(OR(LEFT($U58,2)="작지",LEFT($U58,4)="소재입고"),IF(LEFT($F58,1)="S","★ 납기위험(S코드)","◆ 지연주의"),IF($U58="정상","✓ 정상","? 확인필요")))</f>
        <v>? 확인필요</v>
      </c>
      <c r="W58" s="27"/>
      <c r="X58" s="32"/>
    </row>
    <row r="59" customFormat="false" ht="15" hidden="false" customHeight="false" outlineLevel="0" collapsed="false">
      <c r="A59" s="24" t="n">
        <v>55</v>
      </c>
      <c r="B59" s="25" t="s">
        <v>211</v>
      </c>
      <c r="C59" s="25" t="s">
        <v>201</v>
      </c>
      <c r="D59" s="26" t="s">
        <v>218</v>
      </c>
      <c r="E59" s="25" t="s">
        <v>219</v>
      </c>
      <c r="F59" s="24" t="str">
        <f aca="false">IF($D59="","",IF(MID($D59,5,1)="S","S(봄)",IF(MID($D59,5,1)="M","M(여름)",IF(MID($D59,5,1)="X","X(사계절)",MID($D59,5,1)))))</f>
        <v>S(봄)</v>
      </c>
      <c r="G59" s="25" t="s">
        <v>62</v>
      </c>
      <c r="H59" s="24" t="s">
        <v>215</v>
      </c>
      <c r="I59" s="27" t="s">
        <v>118</v>
      </c>
      <c r="J59" s="28" t="n">
        <f aca="false">IF($I59="","",IFERROR(DATE(IF(VALUE(LEFT($I59,FIND("월",$I59)-1))&gt;=9,기준정보!$C$7-1,기준정보!$C$7),VALUE(LEFT($I59,FIND("월",$I59)-1)),1+7*(VALUE(SUBSTITUTE(MID($I59,FIND("월",$I59)+1,5),"주",""))-1)),""))</f>
        <v>46402</v>
      </c>
      <c r="K59" s="28" t="n">
        <f aca="false">IF($J59="","",$J59-기준정보!$C$5)</f>
        <v>46388</v>
      </c>
      <c r="L59" s="28" t="n">
        <f aca="false">IF($K59="","",$K59-기준정보!$C$6)</f>
        <v>46298</v>
      </c>
      <c r="M59" s="29" t="n">
        <f aca="false">IF($L59="","",$L59-기준정보!$C$4)</f>
        <v>56</v>
      </c>
      <c r="N59" s="27" t="s">
        <v>65</v>
      </c>
      <c r="O59" s="30"/>
      <c r="P59" s="26" t="str">
        <f aca="false">IF($G59="","",IF(AND(ISNUMBER(SEARCH("CMT",$G59)),OR(ISNUMBER(SEARCH("완사입",$G59)),ISNUMBER(SEARCH("ODM",$G59)))),"본사/생산처 혼재",IF(ISNUMBER(SEARCH("CMT",$G59)),"본사(소재팀)","생산처")))</f>
        <v>생산처</v>
      </c>
      <c r="Q59" s="25" t="s">
        <v>210</v>
      </c>
      <c r="R59" s="25" t="s">
        <v>67</v>
      </c>
      <c r="S59" s="31" t="n">
        <v>2200</v>
      </c>
      <c r="T59" s="26"/>
      <c r="U59" s="26" t="str">
        <f aca="false">IF($J59="","출고일 미정",IF($N59="X","작지 미발행",IF($N59="부분","작지 일부 미발행",IF(AND($O59&lt;&gt;"",$O59&gt;$L59),"소재입고 마감("&amp;TEXT($L59,"MM/DD")&amp;") 초과",IF($N59="","발행여부 확인 필요",IF($O59="","소재 입고일정 확인 필요","정상"))))))</f>
        <v>소재 입고일정 확인 필요</v>
      </c>
      <c r="V59" s="24" t="str">
        <f aca="false">IF($J59="","",IF(OR(LEFT($U59,2)="작지",LEFT($U59,4)="소재입고"),IF(LEFT($F59,1)="S","★ 납기위험(S코드)","◆ 지연주의"),IF($U59="정상","✓ 정상","? 확인필요")))</f>
        <v>? 확인필요</v>
      </c>
      <c r="W59" s="27"/>
      <c r="X59" s="32"/>
    </row>
    <row r="60" customFormat="false" ht="15" hidden="false" customHeight="false" outlineLevel="0" collapsed="false">
      <c r="A60" s="24" t="n">
        <v>56</v>
      </c>
      <c r="B60" s="25" t="s">
        <v>159</v>
      </c>
      <c r="C60" s="25" t="s">
        <v>201</v>
      </c>
      <c r="D60" s="26" t="s">
        <v>220</v>
      </c>
      <c r="E60" s="25" t="s">
        <v>221</v>
      </c>
      <c r="F60" s="24" t="str">
        <f aca="false">IF($D60="","",IF(MID($D60,5,1)="S","S(봄)",IF(MID($D60,5,1)="M","M(여름)",IF(MID($D60,5,1)="X","X(사계절)",MID($D60,5,1)))))</f>
        <v>S(봄)</v>
      </c>
      <c r="G60" s="25" t="s">
        <v>62</v>
      </c>
      <c r="H60" s="24"/>
      <c r="I60" s="27" t="s">
        <v>118</v>
      </c>
      <c r="J60" s="28" t="n">
        <f aca="false">IF($I60="","",IFERROR(DATE(IF(VALUE(LEFT($I60,FIND("월",$I60)-1))&gt;=9,기준정보!$C$7-1,기준정보!$C$7),VALUE(LEFT($I60,FIND("월",$I60)-1)),1+7*(VALUE(SUBSTITUTE(MID($I60,FIND("월",$I60)+1,5),"주",""))-1)),""))</f>
        <v>46402</v>
      </c>
      <c r="K60" s="28" t="n">
        <f aca="false">IF($J60="","",$J60-기준정보!$C$5)</f>
        <v>46388</v>
      </c>
      <c r="L60" s="28" t="n">
        <f aca="false">IF($K60="","",$K60-기준정보!$C$6)</f>
        <v>46298</v>
      </c>
      <c r="M60" s="29" t="n">
        <f aca="false">IF($L60="","",$L60-기준정보!$C$4)</f>
        <v>56</v>
      </c>
      <c r="N60" s="27" t="s">
        <v>65</v>
      </c>
      <c r="O60" s="30"/>
      <c r="P60" s="26" t="str">
        <f aca="false">IF($G60="","",IF(AND(ISNUMBER(SEARCH("CMT",$G60)),OR(ISNUMBER(SEARCH("완사입",$G60)),ISNUMBER(SEARCH("ODM",$G60)))),"본사/생산처 혼재",IF(ISNUMBER(SEARCH("CMT",$G60)),"본사(소재팀)","생산처")))</f>
        <v>생산처</v>
      </c>
      <c r="Q60" s="25" t="s">
        <v>210</v>
      </c>
      <c r="R60" s="26"/>
      <c r="S60" s="31" t="n">
        <v>3000</v>
      </c>
      <c r="T60" s="26" t="s">
        <v>118</v>
      </c>
      <c r="U60" s="26" t="str">
        <f aca="false">IF($J60="","출고일 미정",IF($N60="X","작지 미발행",IF($N60="부분","작지 일부 미발행",IF(AND($O60&lt;&gt;"",$O60&gt;$L60),"소재입고 마감("&amp;TEXT($L60,"MM/DD")&amp;") 초과",IF($N60="","발행여부 확인 필요",IF($O60="","소재 입고일정 확인 필요","정상"))))))</f>
        <v>소재 입고일정 확인 필요</v>
      </c>
      <c r="V60" s="24" t="str">
        <f aca="false">IF($J60="","",IF(OR(LEFT($U60,2)="작지",LEFT($U60,4)="소재입고"),IF(LEFT($F60,1)="S","★ 납기위험(S코드)","◆ 지연주의"),IF($U60="정상","✓ 정상","? 확인필요")))</f>
        <v>? 확인필요</v>
      </c>
      <c r="W60" s="27"/>
      <c r="X60" s="32"/>
    </row>
    <row r="61" customFormat="false" ht="15" hidden="false" customHeight="false" outlineLevel="0" collapsed="false">
      <c r="A61" s="24" t="n">
        <v>57</v>
      </c>
      <c r="B61" s="25" t="s">
        <v>211</v>
      </c>
      <c r="C61" s="25" t="s">
        <v>201</v>
      </c>
      <c r="D61" s="26" t="s">
        <v>222</v>
      </c>
      <c r="E61" s="25" t="s">
        <v>223</v>
      </c>
      <c r="F61" s="24" t="str">
        <f aca="false">IF($D61="","",IF(MID($D61,5,1)="S","S(봄)",IF(MID($D61,5,1)="M","M(여름)",IF(MID($D61,5,1)="X","X(사계절)",MID($D61,5,1)))))</f>
        <v>S(봄)</v>
      </c>
      <c r="G61" s="25" t="s">
        <v>62</v>
      </c>
      <c r="H61" s="24" t="s">
        <v>215</v>
      </c>
      <c r="I61" s="27" t="s">
        <v>118</v>
      </c>
      <c r="J61" s="28" t="n">
        <f aca="false">IF($I61="","",IFERROR(DATE(IF(VALUE(LEFT($I61,FIND("월",$I61)-1))&gt;=9,기준정보!$C$7-1,기준정보!$C$7),VALUE(LEFT($I61,FIND("월",$I61)-1)),1+7*(VALUE(SUBSTITUTE(MID($I61,FIND("월",$I61)+1,5),"주",""))-1)),""))</f>
        <v>46402</v>
      </c>
      <c r="K61" s="28" t="n">
        <f aca="false">IF($J61="","",$J61-기준정보!$C$5)</f>
        <v>46388</v>
      </c>
      <c r="L61" s="28" t="n">
        <f aca="false">IF($K61="","",$K61-기준정보!$C$6)</f>
        <v>46298</v>
      </c>
      <c r="M61" s="29" t="n">
        <f aca="false">IF($L61="","",$L61-기준정보!$C$4)</f>
        <v>56</v>
      </c>
      <c r="N61" s="27" t="s">
        <v>65</v>
      </c>
      <c r="O61" s="30"/>
      <c r="P61" s="26" t="str">
        <f aca="false">IF($G61="","",IF(AND(ISNUMBER(SEARCH("CMT",$G61)),OR(ISNUMBER(SEARCH("완사입",$G61)),ISNUMBER(SEARCH("ODM",$G61)))),"본사/생산처 혼재",IF(ISNUMBER(SEARCH("CMT",$G61)),"본사(소재팀)","생산처")))</f>
        <v>생산처</v>
      </c>
      <c r="Q61" s="25" t="s">
        <v>66</v>
      </c>
      <c r="R61" s="25" t="s">
        <v>67</v>
      </c>
      <c r="S61" s="31" t="n">
        <v>2500</v>
      </c>
      <c r="T61" s="26"/>
      <c r="U61" s="26" t="str">
        <f aca="false">IF($J61="","출고일 미정",IF($N61="X","작지 미발행",IF($N61="부분","작지 일부 미발행",IF(AND($O61&lt;&gt;"",$O61&gt;$L61),"소재입고 마감("&amp;TEXT($L61,"MM/DD")&amp;") 초과",IF($N61="","발행여부 확인 필요",IF($O61="","소재 입고일정 확인 필요","정상"))))))</f>
        <v>소재 입고일정 확인 필요</v>
      </c>
      <c r="V61" s="24" t="str">
        <f aca="false">IF($J61="","",IF(OR(LEFT($U61,2)="작지",LEFT($U61,4)="소재입고"),IF(LEFT($F61,1)="S","★ 납기위험(S코드)","◆ 지연주의"),IF($U61="정상","✓ 정상","? 확인필요")))</f>
        <v>? 확인필요</v>
      </c>
      <c r="W61" s="27"/>
      <c r="X61" s="32"/>
    </row>
    <row r="62" customFormat="false" ht="15" hidden="false" customHeight="false" outlineLevel="0" collapsed="false">
      <c r="A62" s="24" t="n">
        <v>58</v>
      </c>
      <c r="B62" s="25" t="s">
        <v>211</v>
      </c>
      <c r="C62" s="25" t="s">
        <v>201</v>
      </c>
      <c r="D62" s="26" t="s">
        <v>224</v>
      </c>
      <c r="E62" s="25" t="s">
        <v>225</v>
      </c>
      <c r="F62" s="24" t="str">
        <f aca="false">IF($D62="","",IF(MID($D62,5,1)="S","S(봄)",IF(MID($D62,5,1)="M","M(여름)",IF(MID($D62,5,1)="X","X(사계절)",MID($D62,5,1)))))</f>
        <v>S(봄)</v>
      </c>
      <c r="G62" s="25" t="s">
        <v>62</v>
      </c>
      <c r="H62" s="24" t="s">
        <v>63</v>
      </c>
      <c r="I62" s="27" t="s">
        <v>118</v>
      </c>
      <c r="J62" s="28" t="n">
        <f aca="false">IF($I62="","",IFERROR(DATE(IF(VALUE(LEFT($I62,FIND("월",$I62)-1))&gt;=9,기준정보!$C$7-1,기준정보!$C$7),VALUE(LEFT($I62,FIND("월",$I62)-1)),1+7*(VALUE(SUBSTITUTE(MID($I62,FIND("월",$I62)+1,5),"주",""))-1)),""))</f>
        <v>46402</v>
      </c>
      <c r="K62" s="28" t="n">
        <f aca="false">IF($J62="","",$J62-기준정보!$C$5)</f>
        <v>46388</v>
      </c>
      <c r="L62" s="28" t="n">
        <f aca="false">IF($K62="","",$K62-기준정보!$C$6)</f>
        <v>46298</v>
      </c>
      <c r="M62" s="29" t="n">
        <f aca="false">IF($L62="","",$L62-기준정보!$C$4)</f>
        <v>56</v>
      </c>
      <c r="N62" s="27" t="s">
        <v>65</v>
      </c>
      <c r="O62" s="30"/>
      <c r="P62" s="26" t="str">
        <f aca="false">IF($G62="","",IF(AND(ISNUMBER(SEARCH("CMT",$G62)),OR(ISNUMBER(SEARCH("완사입",$G62)),ISNUMBER(SEARCH("ODM",$G62)))),"본사/생산처 혼재",IF(ISNUMBER(SEARCH("CMT",$G62)),"본사(소재팀)","생산처")))</f>
        <v>생산처</v>
      </c>
      <c r="Q62" s="25" t="s">
        <v>204</v>
      </c>
      <c r="R62" s="25" t="s">
        <v>67</v>
      </c>
      <c r="S62" s="31" t="n">
        <v>1800</v>
      </c>
      <c r="T62" s="26"/>
      <c r="U62" s="26" t="str">
        <f aca="false">IF($J62="","출고일 미정",IF($N62="X","작지 미발행",IF($N62="부분","작지 일부 미발행",IF(AND($O62&lt;&gt;"",$O62&gt;$L62),"소재입고 마감("&amp;TEXT($L62,"MM/DD")&amp;") 초과",IF($N62="","발행여부 확인 필요",IF($O62="","소재 입고일정 확인 필요","정상"))))))</f>
        <v>소재 입고일정 확인 필요</v>
      </c>
      <c r="V62" s="24" t="str">
        <f aca="false">IF($J62="","",IF(OR(LEFT($U62,2)="작지",LEFT($U62,4)="소재입고"),IF(LEFT($F62,1)="S","★ 납기위험(S코드)","◆ 지연주의"),IF($U62="정상","✓ 정상","? 확인필요")))</f>
        <v>? 확인필요</v>
      </c>
      <c r="W62" s="27"/>
      <c r="X62" s="32"/>
    </row>
    <row r="63" customFormat="false" ht="15" hidden="false" customHeight="false" outlineLevel="0" collapsed="false">
      <c r="A63" s="24" t="n">
        <v>59</v>
      </c>
      <c r="B63" s="25" t="s">
        <v>211</v>
      </c>
      <c r="C63" s="25" t="s">
        <v>201</v>
      </c>
      <c r="D63" s="26" t="s">
        <v>226</v>
      </c>
      <c r="E63" s="25" t="s">
        <v>227</v>
      </c>
      <c r="F63" s="24" t="str">
        <f aca="false">IF($D63="","",IF(MID($D63,5,1)="S","S(봄)",IF(MID($D63,5,1)="M","M(여름)",IF(MID($D63,5,1)="X","X(사계절)",MID($D63,5,1)))))</f>
        <v>S(봄)</v>
      </c>
      <c r="G63" s="25" t="s">
        <v>62</v>
      </c>
      <c r="H63" s="24" t="s">
        <v>63</v>
      </c>
      <c r="I63" s="27" t="s">
        <v>118</v>
      </c>
      <c r="J63" s="28" t="n">
        <f aca="false">IF($I63="","",IFERROR(DATE(IF(VALUE(LEFT($I63,FIND("월",$I63)-1))&gt;=9,기준정보!$C$7-1,기준정보!$C$7),VALUE(LEFT($I63,FIND("월",$I63)-1)),1+7*(VALUE(SUBSTITUTE(MID($I63,FIND("월",$I63)+1,5),"주",""))-1)),""))</f>
        <v>46402</v>
      </c>
      <c r="K63" s="28" t="n">
        <f aca="false">IF($J63="","",$J63-기준정보!$C$5)</f>
        <v>46388</v>
      </c>
      <c r="L63" s="28" t="n">
        <f aca="false">IF($K63="","",$K63-기준정보!$C$6)</f>
        <v>46298</v>
      </c>
      <c r="M63" s="29" t="n">
        <f aca="false">IF($L63="","",$L63-기준정보!$C$4)</f>
        <v>56</v>
      </c>
      <c r="N63" s="27" t="s">
        <v>65</v>
      </c>
      <c r="O63" s="30"/>
      <c r="P63" s="26" t="str">
        <f aca="false">IF($G63="","",IF(AND(ISNUMBER(SEARCH("CMT",$G63)),OR(ISNUMBER(SEARCH("완사입",$G63)),ISNUMBER(SEARCH("ODM",$G63)))),"본사/생산처 혼재",IF(ISNUMBER(SEARCH("CMT",$G63)),"본사(소재팀)","생산처")))</f>
        <v>생산처</v>
      </c>
      <c r="Q63" s="25" t="s">
        <v>210</v>
      </c>
      <c r="R63" s="25" t="s">
        <v>67</v>
      </c>
      <c r="S63" s="31" t="n">
        <v>4000</v>
      </c>
      <c r="T63" s="26"/>
      <c r="U63" s="26" t="str">
        <f aca="false">IF($J63="","출고일 미정",IF($N63="X","작지 미발행",IF($N63="부분","작지 일부 미발행",IF(AND($O63&lt;&gt;"",$O63&gt;$L63),"소재입고 마감("&amp;TEXT($L63,"MM/DD")&amp;") 초과",IF($N63="","발행여부 확인 필요",IF($O63="","소재 입고일정 확인 필요","정상"))))))</f>
        <v>소재 입고일정 확인 필요</v>
      </c>
      <c r="V63" s="24" t="str">
        <f aca="false">IF($J63="","",IF(OR(LEFT($U63,2)="작지",LEFT($U63,4)="소재입고"),IF(LEFT($F63,1)="S","★ 납기위험(S코드)","◆ 지연주의"),IF($U63="정상","✓ 정상","? 확인필요")))</f>
        <v>? 확인필요</v>
      </c>
      <c r="W63" s="27"/>
      <c r="X63" s="32"/>
    </row>
    <row r="64" customFormat="false" ht="15" hidden="false" customHeight="false" outlineLevel="0" collapsed="false">
      <c r="A64" s="24" t="n">
        <v>60</v>
      </c>
      <c r="B64" s="25" t="s">
        <v>211</v>
      </c>
      <c r="C64" s="25" t="s">
        <v>201</v>
      </c>
      <c r="D64" s="26" t="s">
        <v>228</v>
      </c>
      <c r="E64" s="25" t="s">
        <v>229</v>
      </c>
      <c r="F64" s="24" t="str">
        <f aca="false">IF($D64="","",IF(MID($D64,5,1)="S","S(봄)",IF(MID($D64,5,1)="M","M(여름)",IF(MID($D64,5,1)="X","X(사계절)",MID($D64,5,1)))))</f>
        <v>S(봄)</v>
      </c>
      <c r="G64" s="25" t="s">
        <v>62</v>
      </c>
      <c r="H64" s="24" t="s">
        <v>63</v>
      </c>
      <c r="I64" s="27" t="s">
        <v>118</v>
      </c>
      <c r="J64" s="28" t="n">
        <f aca="false">IF($I64="","",IFERROR(DATE(IF(VALUE(LEFT($I64,FIND("월",$I64)-1))&gt;=9,기준정보!$C$7-1,기준정보!$C$7),VALUE(LEFT($I64,FIND("월",$I64)-1)),1+7*(VALUE(SUBSTITUTE(MID($I64,FIND("월",$I64)+1,5),"주",""))-1)),""))</f>
        <v>46402</v>
      </c>
      <c r="K64" s="28" t="n">
        <f aca="false">IF($J64="","",$J64-기준정보!$C$5)</f>
        <v>46388</v>
      </c>
      <c r="L64" s="28" t="n">
        <f aca="false">IF($K64="","",$K64-기준정보!$C$6)</f>
        <v>46298</v>
      </c>
      <c r="M64" s="29" t="n">
        <f aca="false">IF($L64="","",$L64-기준정보!$C$4)</f>
        <v>56</v>
      </c>
      <c r="N64" s="27" t="s">
        <v>65</v>
      </c>
      <c r="O64" s="30"/>
      <c r="P64" s="26" t="str">
        <f aca="false">IF($G64="","",IF(AND(ISNUMBER(SEARCH("CMT",$G64)),OR(ISNUMBER(SEARCH("완사입",$G64)),ISNUMBER(SEARCH("ODM",$G64)))),"본사/생산처 혼재",IF(ISNUMBER(SEARCH("CMT",$G64)),"본사(소재팀)","생산처")))</f>
        <v>생산처</v>
      </c>
      <c r="Q64" s="25" t="s">
        <v>210</v>
      </c>
      <c r="R64" s="25" t="s">
        <v>67</v>
      </c>
      <c r="S64" s="31" t="n">
        <v>2100</v>
      </c>
      <c r="T64" s="26"/>
      <c r="U64" s="26" t="str">
        <f aca="false">IF($J64="","출고일 미정",IF($N64="X","작지 미발행",IF($N64="부분","작지 일부 미발행",IF(AND($O64&lt;&gt;"",$O64&gt;$L64),"소재입고 마감("&amp;TEXT($L64,"MM/DD")&amp;") 초과",IF($N64="","발행여부 확인 필요",IF($O64="","소재 입고일정 확인 필요","정상"))))))</f>
        <v>소재 입고일정 확인 필요</v>
      </c>
      <c r="V64" s="24" t="str">
        <f aca="false">IF($J64="","",IF(OR(LEFT($U64,2)="작지",LEFT($U64,4)="소재입고"),IF(LEFT($F64,1)="S","★ 납기위험(S코드)","◆ 지연주의"),IF($U64="정상","✓ 정상","? 확인필요")))</f>
        <v>? 확인필요</v>
      </c>
      <c r="W64" s="27"/>
      <c r="X64" s="32"/>
    </row>
    <row r="65" customFormat="false" ht="15" hidden="false" customHeight="false" outlineLevel="0" collapsed="false">
      <c r="A65" s="24" t="n">
        <v>61</v>
      </c>
      <c r="B65" s="25" t="s">
        <v>200</v>
      </c>
      <c r="C65" s="25" t="s">
        <v>207</v>
      </c>
      <c r="D65" s="26" t="s">
        <v>230</v>
      </c>
      <c r="E65" s="25" t="s">
        <v>231</v>
      </c>
      <c r="F65" s="24" t="str">
        <f aca="false">IF($D65="","",IF(MID($D65,5,1)="S","S(봄)",IF(MID($D65,5,1)="M","M(여름)",IF(MID($D65,5,1)="X","X(사계절)",MID($D65,5,1)))))</f>
        <v>S(봄)</v>
      </c>
      <c r="G65" s="26" t="s">
        <v>167</v>
      </c>
      <c r="H65" s="24"/>
      <c r="I65" s="27" t="s">
        <v>118</v>
      </c>
      <c r="J65" s="28" t="n">
        <f aca="false">IF($I65="","",IFERROR(DATE(IF(VALUE(LEFT($I65,FIND("월",$I65)-1))&gt;=9,기준정보!$C$7-1,기준정보!$C$7),VALUE(LEFT($I65,FIND("월",$I65)-1)),1+7*(VALUE(SUBSTITUTE(MID($I65,FIND("월",$I65)+1,5),"주",""))-1)),""))</f>
        <v>46402</v>
      </c>
      <c r="K65" s="28" t="n">
        <f aca="false">IF($J65="","",$J65-기준정보!$C$5)</f>
        <v>46388</v>
      </c>
      <c r="L65" s="28" t="n">
        <f aca="false">IF($K65="","",$K65-기준정보!$C$6)</f>
        <v>46298</v>
      </c>
      <c r="M65" s="29" t="n">
        <f aca="false">IF($L65="","",$L65-기준정보!$C$4)</f>
        <v>56</v>
      </c>
      <c r="N65" s="27" t="s">
        <v>65</v>
      </c>
      <c r="O65" s="30"/>
      <c r="P65" s="26" t="str">
        <f aca="false">IF($G65="","",IF(AND(ISNUMBER(SEARCH("CMT",$G65)),OR(ISNUMBER(SEARCH("완사입",$G65)),ISNUMBER(SEARCH("ODM",$G65)))),"본사/생산처 혼재",IF(ISNUMBER(SEARCH("CMT",$G65)),"본사(소재팀)","생산처")))</f>
        <v>본사(소재팀)</v>
      </c>
      <c r="Q65" s="26" t="s">
        <v>120</v>
      </c>
      <c r="R65" s="25" t="s">
        <v>67</v>
      </c>
      <c r="S65" s="31" t="n">
        <v>2200</v>
      </c>
      <c r="T65" s="26" t="s">
        <v>118</v>
      </c>
      <c r="U65" s="26" t="str">
        <f aca="false">IF($J65="","출고일 미정",IF($N65="X","작지 미발행",IF($N65="부분","작지 일부 미발행",IF(AND($O65&lt;&gt;"",$O65&gt;$L65),"소재입고 마감("&amp;TEXT($L65,"MM/DD")&amp;") 초과",IF($N65="","발행여부 확인 필요",IF($O65="","소재 입고일정 확인 필요","정상"))))))</f>
        <v>소재 입고일정 확인 필요</v>
      </c>
      <c r="V65" s="24" t="str">
        <f aca="false">IF($J65="","",IF(OR(LEFT($U65,2)="작지",LEFT($U65,4)="소재입고"),IF(LEFT($F65,1)="S","★ 납기위험(S코드)","◆ 지연주의"),IF($U65="정상","✓ 정상","? 확인필요")))</f>
        <v>? 확인필요</v>
      </c>
      <c r="W65" s="27"/>
      <c r="X65" s="32"/>
    </row>
    <row r="66" customFormat="false" ht="15" hidden="false" customHeight="false" outlineLevel="0" collapsed="false">
      <c r="A66" s="24" t="n">
        <v>62</v>
      </c>
      <c r="B66" s="25" t="s">
        <v>200</v>
      </c>
      <c r="C66" s="25" t="s">
        <v>207</v>
      </c>
      <c r="D66" s="26" t="s">
        <v>232</v>
      </c>
      <c r="E66" s="25" t="s">
        <v>233</v>
      </c>
      <c r="F66" s="24" t="str">
        <f aca="false">IF($D66="","",IF(MID($D66,5,1)="S","S(봄)",IF(MID($D66,5,1)="M","M(여름)",IF(MID($D66,5,1)="X","X(사계절)",MID($D66,5,1)))))</f>
        <v>S(봄)</v>
      </c>
      <c r="G66" s="26" t="s">
        <v>167</v>
      </c>
      <c r="H66" s="24"/>
      <c r="I66" s="27" t="s">
        <v>118</v>
      </c>
      <c r="J66" s="28" t="n">
        <f aca="false">IF($I66="","",IFERROR(DATE(IF(VALUE(LEFT($I66,FIND("월",$I66)-1))&gt;=9,기준정보!$C$7-1,기준정보!$C$7),VALUE(LEFT($I66,FIND("월",$I66)-1)),1+7*(VALUE(SUBSTITUTE(MID($I66,FIND("월",$I66)+1,5),"주",""))-1)),""))</f>
        <v>46402</v>
      </c>
      <c r="K66" s="28" t="n">
        <f aca="false">IF($J66="","",$J66-기준정보!$C$5)</f>
        <v>46388</v>
      </c>
      <c r="L66" s="28" t="n">
        <f aca="false">IF($K66="","",$K66-기준정보!$C$6)</f>
        <v>46298</v>
      </c>
      <c r="M66" s="29" t="n">
        <f aca="false">IF($L66="","",$L66-기준정보!$C$4)</f>
        <v>56</v>
      </c>
      <c r="N66" s="27" t="s">
        <v>65</v>
      </c>
      <c r="O66" s="30"/>
      <c r="P66" s="26" t="str">
        <f aca="false">IF($G66="","",IF(AND(ISNUMBER(SEARCH("CMT",$G66)),OR(ISNUMBER(SEARCH("완사입",$G66)),ISNUMBER(SEARCH("ODM",$G66)))),"본사/생산처 혼재",IF(ISNUMBER(SEARCH("CMT",$G66)),"본사(소재팀)","생산처")))</f>
        <v>본사(소재팀)</v>
      </c>
      <c r="Q66" s="25" t="s">
        <v>79</v>
      </c>
      <c r="R66" s="25" t="s">
        <v>67</v>
      </c>
      <c r="S66" s="31" t="n">
        <v>1800</v>
      </c>
      <c r="T66" s="26" t="s">
        <v>118</v>
      </c>
      <c r="U66" s="26" t="str">
        <f aca="false">IF($J66="","출고일 미정",IF($N66="X","작지 미발행",IF($N66="부분","작지 일부 미발행",IF(AND($O66&lt;&gt;"",$O66&gt;$L66),"소재입고 마감("&amp;TEXT($L66,"MM/DD")&amp;") 초과",IF($N66="","발행여부 확인 필요",IF($O66="","소재 입고일정 확인 필요","정상"))))))</f>
        <v>소재 입고일정 확인 필요</v>
      </c>
      <c r="V66" s="24" t="str">
        <f aca="false">IF($J66="","",IF(OR(LEFT($U66,2)="작지",LEFT($U66,4)="소재입고"),IF(LEFT($F66,1)="S","★ 납기위험(S코드)","◆ 지연주의"),IF($U66="정상","✓ 정상","? 확인필요")))</f>
        <v>? 확인필요</v>
      </c>
      <c r="W66" s="27"/>
      <c r="X66" s="32"/>
    </row>
    <row r="67" customFormat="false" ht="15" hidden="false" customHeight="false" outlineLevel="0" collapsed="false">
      <c r="A67" s="24" t="n">
        <v>63</v>
      </c>
      <c r="B67" s="25" t="s">
        <v>200</v>
      </c>
      <c r="C67" s="25" t="s">
        <v>207</v>
      </c>
      <c r="D67" s="26" t="s">
        <v>234</v>
      </c>
      <c r="E67" s="25" t="s">
        <v>235</v>
      </c>
      <c r="F67" s="24" t="str">
        <f aca="false">IF($D67="","",IF(MID($D67,5,1)="S","S(봄)",IF(MID($D67,5,1)="M","M(여름)",IF(MID($D67,5,1)="X","X(사계절)",MID($D67,5,1)))))</f>
        <v>S(봄)</v>
      </c>
      <c r="G67" s="26" t="s">
        <v>167</v>
      </c>
      <c r="H67" s="24"/>
      <c r="I67" s="27" t="s">
        <v>118</v>
      </c>
      <c r="J67" s="28" t="n">
        <f aca="false">IF($I67="","",IFERROR(DATE(IF(VALUE(LEFT($I67,FIND("월",$I67)-1))&gt;=9,기준정보!$C$7-1,기준정보!$C$7),VALUE(LEFT($I67,FIND("월",$I67)-1)),1+7*(VALUE(SUBSTITUTE(MID($I67,FIND("월",$I67)+1,5),"주",""))-1)),""))</f>
        <v>46402</v>
      </c>
      <c r="K67" s="28" t="n">
        <f aca="false">IF($J67="","",$J67-기준정보!$C$5)</f>
        <v>46388</v>
      </c>
      <c r="L67" s="28" t="n">
        <f aca="false">IF($K67="","",$K67-기준정보!$C$6)</f>
        <v>46298</v>
      </c>
      <c r="M67" s="29" t="n">
        <f aca="false">IF($L67="","",$L67-기준정보!$C$4)</f>
        <v>56</v>
      </c>
      <c r="N67" s="27" t="s">
        <v>65</v>
      </c>
      <c r="O67" s="30"/>
      <c r="P67" s="26" t="str">
        <f aca="false">IF($G67="","",IF(AND(ISNUMBER(SEARCH("CMT",$G67)),OR(ISNUMBER(SEARCH("완사입",$G67)),ISNUMBER(SEARCH("ODM",$G67)))),"본사/생산처 혼재",IF(ISNUMBER(SEARCH("CMT",$G67)),"본사(소재팀)","생산처")))</f>
        <v>본사(소재팀)</v>
      </c>
      <c r="Q67" s="26" t="s">
        <v>187</v>
      </c>
      <c r="R67" s="25" t="s">
        <v>67</v>
      </c>
      <c r="S67" s="31" t="n">
        <v>1800</v>
      </c>
      <c r="T67" s="26" t="s">
        <v>118</v>
      </c>
      <c r="U67" s="26" t="str">
        <f aca="false">IF($J67="","출고일 미정",IF($N67="X","작지 미발행",IF($N67="부분","작지 일부 미발행",IF(AND($O67&lt;&gt;"",$O67&gt;$L67),"소재입고 마감("&amp;TEXT($L67,"MM/DD")&amp;") 초과",IF($N67="","발행여부 확인 필요",IF($O67="","소재 입고일정 확인 필요","정상"))))))</f>
        <v>소재 입고일정 확인 필요</v>
      </c>
      <c r="V67" s="24" t="str">
        <f aca="false">IF($J67="","",IF(OR(LEFT($U67,2)="작지",LEFT($U67,4)="소재입고"),IF(LEFT($F67,1)="S","★ 납기위험(S코드)","◆ 지연주의"),IF($U67="정상","✓ 정상","? 확인필요")))</f>
        <v>? 확인필요</v>
      </c>
      <c r="W67" s="27"/>
      <c r="X67" s="32"/>
    </row>
    <row r="68" customFormat="false" ht="15" hidden="false" customHeight="false" outlineLevel="0" collapsed="false">
      <c r="A68" s="24" t="n">
        <v>64</v>
      </c>
      <c r="B68" s="25" t="s">
        <v>200</v>
      </c>
      <c r="C68" s="25" t="s">
        <v>207</v>
      </c>
      <c r="D68" s="26" t="s">
        <v>236</v>
      </c>
      <c r="E68" s="25" t="s">
        <v>237</v>
      </c>
      <c r="F68" s="24" t="str">
        <f aca="false">IF($D68="","",IF(MID($D68,5,1)="S","S(봄)",IF(MID($D68,5,1)="M","M(여름)",IF(MID($D68,5,1)="X","X(사계절)",MID($D68,5,1)))))</f>
        <v>S(봄)</v>
      </c>
      <c r="G68" s="26" t="s">
        <v>167</v>
      </c>
      <c r="H68" s="24"/>
      <c r="I68" s="27" t="s">
        <v>118</v>
      </c>
      <c r="J68" s="28" t="n">
        <f aca="false">IF($I68="","",IFERROR(DATE(IF(VALUE(LEFT($I68,FIND("월",$I68)-1))&gt;=9,기준정보!$C$7-1,기준정보!$C$7),VALUE(LEFT($I68,FIND("월",$I68)-1)),1+7*(VALUE(SUBSTITUTE(MID($I68,FIND("월",$I68)+1,5),"주",""))-1)),""))</f>
        <v>46402</v>
      </c>
      <c r="K68" s="28" t="n">
        <f aca="false">IF($J68="","",$J68-기준정보!$C$5)</f>
        <v>46388</v>
      </c>
      <c r="L68" s="28" t="n">
        <f aca="false">IF($K68="","",$K68-기준정보!$C$6)</f>
        <v>46298</v>
      </c>
      <c r="M68" s="29" t="n">
        <f aca="false">IF($L68="","",$L68-기준정보!$C$4)</f>
        <v>56</v>
      </c>
      <c r="N68" s="27" t="s">
        <v>65</v>
      </c>
      <c r="O68" s="30"/>
      <c r="P68" s="26" t="str">
        <f aca="false">IF($G68="","",IF(AND(ISNUMBER(SEARCH("CMT",$G68)),OR(ISNUMBER(SEARCH("완사입",$G68)),ISNUMBER(SEARCH("ODM",$G68)))),"본사/생산처 혼재",IF(ISNUMBER(SEARCH("CMT",$G68)),"본사(소재팀)","생산처")))</f>
        <v>본사(소재팀)</v>
      </c>
      <c r="Q68" s="25" t="s">
        <v>79</v>
      </c>
      <c r="R68" s="25" t="s">
        <v>67</v>
      </c>
      <c r="S68" s="31" t="n">
        <v>2200</v>
      </c>
      <c r="T68" s="26" t="s">
        <v>118</v>
      </c>
      <c r="U68" s="26" t="str">
        <f aca="false">IF($J68="","출고일 미정",IF($N68="X","작지 미발행",IF($N68="부분","작지 일부 미발행",IF(AND($O68&lt;&gt;"",$O68&gt;$L68),"소재입고 마감("&amp;TEXT($L68,"MM/DD")&amp;") 초과",IF($N68="","발행여부 확인 필요",IF($O68="","소재 입고일정 확인 필요","정상"))))))</f>
        <v>소재 입고일정 확인 필요</v>
      </c>
      <c r="V68" s="24" t="str">
        <f aca="false">IF($J68="","",IF(OR(LEFT($U68,2)="작지",LEFT($U68,4)="소재입고"),IF(LEFT($F68,1)="S","★ 납기위험(S코드)","◆ 지연주의"),IF($U68="정상","✓ 정상","? 확인필요")))</f>
        <v>? 확인필요</v>
      </c>
      <c r="W68" s="27"/>
      <c r="X68" s="32"/>
    </row>
    <row r="69" customFormat="false" ht="15" hidden="false" customHeight="false" outlineLevel="0" collapsed="false">
      <c r="A69" s="24" t="n">
        <v>65</v>
      </c>
      <c r="B69" s="25" t="s">
        <v>99</v>
      </c>
      <c r="C69" s="25" t="s">
        <v>100</v>
      </c>
      <c r="D69" s="26" t="s">
        <v>238</v>
      </c>
      <c r="E69" s="25" t="s">
        <v>239</v>
      </c>
      <c r="F69" s="24" t="str">
        <f aca="false">IF($D69="","",IF(MID($D69,5,1)="S","S(봄)",IF(MID($D69,5,1)="M","M(여름)",IF(MID($D69,5,1)="X","X(사계절)",MID($D69,5,1)))))</f>
        <v>S(봄)</v>
      </c>
      <c r="G69" s="25" t="s">
        <v>62</v>
      </c>
      <c r="H69" s="24"/>
      <c r="I69" s="27" t="s">
        <v>118</v>
      </c>
      <c r="J69" s="28" t="n">
        <f aca="false">IF($I69="","",IFERROR(DATE(IF(VALUE(LEFT($I69,FIND("월",$I69)-1))&gt;=9,기준정보!$C$7-1,기준정보!$C$7),VALUE(LEFT($I69,FIND("월",$I69)-1)),1+7*(VALUE(SUBSTITUTE(MID($I69,FIND("월",$I69)+1,5),"주",""))-1)),""))</f>
        <v>46402</v>
      </c>
      <c r="K69" s="28" t="n">
        <f aca="false">IF($J69="","",$J69-기준정보!$C$5)</f>
        <v>46388</v>
      </c>
      <c r="L69" s="28" t="n">
        <f aca="false">IF($K69="","",$K69-기준정보!$C$6)</f>
        <v>46298</v>
      </c>
      <c r="M69" s="29" t="n">
        <f aca="false">IF($L69="","",$L69-기준정보!$C$4)</f>
        <v>56</v>
      </c>
      <c r="N69" s="27" t="s">
        <v>65</v>
      </c>
      <c r="O69" s="30"/>
      <c r="P69" s="26" t="str">
        <f aca="false">IF($G69="","",IF(AND(ISNUMBER(SEARCH("CMT",$G69)),OR(ISNUMBER(SEARCH("완사입",$G69)),ISNUMBER(SEARCH("ODM",$G69)))),"본사/생산처 혼재",IF(ISNUMBER(SEARCH("CMT",$G69)),"본사(소재팀)","생산처")))</f>
        <v>생산처</v>
      </c>
      <c r="Q69" s="26" t="s">
        <v>193</v>
      </c>
      <c r="R69" s="25" t="s">
        <v>71</v>
      </c>
      <c r="S69" s="31" t="n">
        <v>1200</v>
      </c>
      <c r="T69" s="26" t="s">
        <v>118</v>
      </c>
      <c r="U69" s="26" t="str">
        <f aca="false">IF($J69="","출고일 미정",IF($N69="X","작지 미발행",IF($N69="부분","작지 일부 미발행",IF(AND($O69&lt;&gt;"",$O69&gt;$L69),"소재입고 마감("&amp;TEXT($L69,"MM/DD")&amp;") 초과",IF($N69="","발행여부 확인 필요",IF($O69="","소재 입고일정 확인 필요","정상"))))))</f>
        <v>소재 입고일정 확인 필요</v>
      </c>
      <c r="V69" s="24" t="str">
        <f aca="false">IF($J69="","",IF(OR(LEFT($U69,2)="작지",LEFT($U69,4)="소재입고"),IF(LEFT($F69,1)="S","★ 납기위험(S코드)","◆ 지연주의"),IF($U69="정상","✓ 정상","? 확인필요")))</f>
        <v>? 확인필요</v>
      </c>
      <c r="W69" s="27"/>
      <c r="X69" s="32"/>
    </row>
    <row r="70" customFormat="false" ht="15" hidden="false" customHeight="false" outlineLevel="0" collapsed="false">
      <c r="A70" s="24" t="n">
        <v>66</v>
      </c>
      <c r="B70" s="25" t="s">
        <v>58</v>
      </c>
      <c r="C70" s="25" t="s">
        <v>59</v>
      </c>
      <c r="D70" s="26" t="s">
        <v>240</v>
      </c>
      <c r="E70" s="25" t="s">
        <v>241</v>
      </c>
      <c r="F70" s="24" t="str">
        <f aca="false">IF($D70="","",IF(MID($D70,5,1)="S","S(봄)",IF(MID($D70,5,1)="M","M(여름)",IF(MID($D70,5,1)="X","X(사계절)",MID($D70,5,1)))))</f>
        <v>S(봄)</v>
      </c>
      <c r="G70" s="25" t="s">
        <v>62</v>
      </c>
      <c r="H70" s="24" t="s">
        <v>63</v>
      </c>
      <c r="I70" s="27" t="s">
        <v>242</v>
      </c>
      <c r="J70" s="28" t="n">
        <f aca="false">IF($I70="","",IFERROR(DATE(IF(VALUE(LEFT($I70,FIND("월",$I70)-1))&gt;=9,기준정보!$C$7-1,기준정보!$C$7),VALUE(LEFT($I70,FIND("월",$I70)-1)),1+7*(VALUE(SUBSTITUTE(MID($I70,FIND("월",$I70)+1,5),"주",""))-1)),""))</f>
        <v>46409</v>
      </c>
      <c r="K70" s="28" t="n">
        <f aca="false">IF($J70="","",$J70-기준정보!$C$5)</f>
        <v>46395</v>
      </c>
      <c r="L70" s="28" t="n">
        <f aca="false">IF($K70="","",$K70-기준정보!$C$6)</f>
        <v>46305</v>
      </c>
      <c r="M70" s="29" t="n">
        <f aca="false">IF($L70="","",$L70-기준정보!$C$4)</f>
        <v>63</v>
      </c>
      <c r="N70" s="27" t="s">
        <v>65</v>
      </c>
      <c r="O70" s="30"/>
      <c r="P70" s="26" t="str">
        <f aca="false">IF($G70="","",IF(AND(ISNUMBER(SEARCH("CMT",$G70)),OR(ISNUMBER(SEARCH("완사입",$G70)),ISNUMBER(SEARCH("ODM",$G70)))),"본사/생산처 혼재",IF(ISNUMBER(SEARCH("CMT",$G70)),"본사(소재팀)","생산처")))</f>
        <v>생산처</v>
      </c>
      <c r="Q70" s="25" t="s">
        <v>84</v>
      </c>
      <c r="R70" s="25" t="s">
        <v>67</v>
      </c>
      <c r="S70" s="31" t="n">
        <v>450</v>
      </c>
      <c r="T70" s="26"/>
      <c r="U70" s="26" t="str">
        <f aca="false">IF($J70="","출고일 미정",IF($N70="X","작지 미발행",IF($N70="부분","작지 일부 미발행",IF(AND($O70&lt;&gt;"",$O70&gt;$L70),"소재입고 마감("&amp;TEXT($L70,"MM/DD")&amp;") 초과",IF($N70="","발행여부 확인 필요",IF($O70="","소재 입고일정 확인 필요","정상"))))))</f>
        <v>소재 입고일정 확인 필요</v>
      </c>
      <c r="V70" s="24" t="str">
        <f aca="false">IF($J70="","",IF(OR(LEFT($U70,2)="작지",LEFT($U70,4)="소재입고"),IF(LEFT($F70,1)="S","★ 납기위험(S코드)","◆ 지연주의"),IF($U70="정상","✓ 정상","? 확인필요")))</f>
        <v>? 확인필요</v>
      </c>
      <c r="W70" s="27"/>
      <c r="X70" s="32"/>
    </row>
    <row r="71" customFormat="false" ht="15" hidden="false" customHeight="false" outlineLevel="0" collapsed="false">
      <c r="A71" s="24" t="n">
        <v>67</v>
      </c>
      <c r="B71" s="25" t="s">
        <v>58</v>
      </c>
      <c r="C71" s="25" t="s">
        <v>74</v>
      </c>
      <c r="D71" s="26" t="s">
        <v>243</v>
      </c>
      <c r="E71" s="25" t="s">
        <v>244</v>
      </c>
      <c r="F71" s="24" t="str">
        <f aca="false">IF($D71="","",IF(MID($D71,5,1)="S","S(봄)",IF(MID($D71,5,1)="M","M(여름)",IF(MID($D71,5,1)="X","X(사계절)",MID($D71,5,1)))))</f>
        <v>S(봄)</v>
      </c>
      <c r="G71" s="25" t="s">
        <v>62</v>
      </c>
      <c r="H71" s="24" t="s">
        <v>63</v>
      </c>
      <c r="I71" s="27" t="s">
        <v>242</v>
      </c>
      <c r="J71" s="28" t="n">
        <f aca="false">IF($I71="","",IFERROR(DATE(IF(VALUE(LEFT($I71,FIND("월",$I71)-1))&gt;=9,기준정보!$C$7-1,기준정보!$C$7),VALUE(LEFT($I71,FIND("월",$I71)-1)),1+7*(VALUE(SUBSTITUTE(MID($I71,FIND("월",$I71)+1,5),"주",""))-1)),""))</f>
        <v>46409</v>
      </c>
      <c r="K71" s="28" t="n">
        <f aca="false">IF($J71="","",$J71-기준정보!$C$5)</f>
        <v>46395</v>
      </c>
      <c r="L71" s="28" t="n">
        <f aca="false">IF($K71="","",$K71-기준정보!$C$6)</f>
        <v>46305</v>
      </c>
      <c r="M71" s="29" t="n">
        <f aca="false">IF($L71="","",$L71-기준정보!$C$4)</f>
        <v>63</v>
      </c>
      <c r="N71" s="27" t="s">
        <v>65</v>
      </c>
      <c r="O71" s="30"/>
      <c r="P71" s="26" t="str">
        <f aca="false">IF($G71="","",IF(AND(ISNUMBER(SEARCH("CMT",$G71)),OR(ISNUMBER(SEARCH("완사입",$G71)),ISNUMBER(SEARCH("ODM",$G71)))),"본사/생산처 혼재",IF(ISNUMBER(SEARCH("CMT",$G71)),"본사(소재팀)","생산처")))</f>
        <v>생산처</v>
      </c>
      <c r="Q71" s="25" t="s">
        <v>245</v>
      </c>
      <c r="R71" s="25" t="s">
        <v>67</v>
      </c>
      <c r="S71" s="31" t="n">
        <v>400</v>
      </c>
      <c r="T71" s="26"/>
      <c r="U71" s="26" t="str">
        <f aca="false">IF($J71="","출고일 미정",IF($N71="X","작지 미발행",IF($N71="부분","작지 일부 미발행",IF(AND($O71&lt;&gt;"",$O71&gt;$L71),"소재입고 마감("&amp;TEXT($L71,"MM/DD")&amp;") 초과",IF($N71="","발행여부 확인 필요",IF($O71="","소재 입고일정 확인 필요","정상"))))))</f>
        <v>소재 입고일정 확인 필요</v>
      </c>
      <c r="V71" s="24" t="str">
        <f aca="false">IF($J71="","",IF(OR(LEFT($U71,2)="작지",LEFT($U71,4)="소재입고"),IF(LEFT($F71,1)="S","★ 납기위험(S코드)","◆ 지연주의"),IF($U71="정상","✓ 정상","? 확인필요")))</f>
        <v>? 확인필요</v>
      </c>
      <c r="W71" s="27"/>
      <c r="X71" s="32"/>
    </row>
    <row r="72" customFormat="false" ht="15" hidden="false" customHeight="false" outlineLevel="0" collapsed="false">
      <c r="A72" s="24" t="n">
        <v>68</v>
      </c>
      <c r="B72" s="25" t="s">
        <v>58</v>
      </c>
      <c r="C72" s="25" t="s">
        <v>59</v>
      </c>
      <c r="D72" s="26" t="s">
        <v>246</v>
      </c>
      <c r="E72" s="25" t="s">
        <v>247</v>
      </c>
      <c r="F72" s="24" t="str">
        <f aca="false">IF($D72="","",IF(MID($D72,5,1)="S","S(봄)",IF(MID($D72,5,1)="M","M(여름)",IF(MID($D72,5,1)="X","X(사계절)",MID($D72,5,1)))))</f>
        <v>S(봄)</v>
      </c>
      <c r="G72" s="25" t="s">
        <v>62</v>
      </c>
      <c r="H72" s="24" t="s">
        <v>63</v>
      </c>
      <c r="I72" s="27" t="s">
        <v>242</v>
      </c>
      <c r="J72" s="28" t="n">
        <f aca="false">IF($I72="","",IFERROR(DATE(IF(VALUE(LEFT($I72,FIND("월",$I72)-1))&gt;=9,기준정보!$C$7-1,기준정보!$C$7),VALUE(LEFT($I72,FIND("월",$I72)-1)),1+7*(VALUE(SUBSTITUTE(MID($I72,FIND("월",$I72)+1,5),"주",""))-1)),""))</f>
        <v>46409</v>
      </c>
      <c r="K72" s="28" t="n">
        <f aca="false">IF($J72="","",$J72-기준정보!$C$5)</f>
        <v>46395</v>
      </c>
      <c r="L72" s="28" t="n">
        <f aca="false">IF($K72="","",$K72-기준정보!$C$6)</f>
        <v>46305</v>
      </c>
      <c r="M72" s="29" t="n">
        <f aca="false">IF($L72="","",$L72-기준정보!$C$4)</f>
        <v>63</v>
      </c>
      <c r="N72" s="27" t="s">
        <v>65</v>
      </c>
      <c r="O72" s="30"/>
      <c r="P72" s="26" t="str">
        <f aca="false">IF($G72="","",IF(AND(ISNUMBER(SEARCH("CMT",$G72)),OR(ISNUMBER(SEARCH("완사입",$G72)),ISNUMBER(SEARCH("ODM",$G72)))),"본사/생산처 혼재",IF(ISNUMBER(SEARCH("CMT",$G72)),"본사(소재팀)","생산처")))</f>
        <v>생산처</v>
      </c>
      <c r="Q72" s="25" t="s">
        <v>70</v>
      </c>
      <c r="R72" s="25" t="s">
        <v>71</v>
      </c>
      <c r="S72" s="31" t="n">
        <v>305</v>
      </c>
      <c r="T72" s="26"/>
      <c r="U72" s="26" t="str">
        <f aca="false">IF($J72="","출고일 미정",IF($N72="X","작지 미발행",IF($N72="부분","작지 일부 미발행",IF(AND($O72&lt;&gt;"",$O72&gt;$L72),"소재입고 마감("&amp;TEXT($L72,"MM/DD")&amp;") 초과",IF($N72="","발행여부 확인 필요",IF($O72="","소재 입고일정 확인 필요","정상"))))))</f>
        <v>소재 입고일정 확인 필요</v>
      </c>
      <c r="V72" s="24" t="str">
        <f aca="false">IF($J72="","",IF(OR(LEFT($U72,2)="작지",LEFT($U72,4)="소재입고"),IF(LEFT($F72,1)="S","★ 납기위험(S코드)","◆ 지연주의"),IF($U72="정상","✓ 정상","? 확인필요")))</f>
        <v>? 확인필요</v>
      </c>
      <c r="W72" s="27"/>
      <c r="X72" s="32"/>
    </row>
    <row r="73" customFormat="false" ht="15" hidden="false" customHeight="false" outlineLevel="0" collapsed="false">
      <c r="A73" s="24" t="n">
        <v>69</v>
      </c>
      <c r="B73" s="25" t="s">
        <v>58</v>
      </c>
      <c r="C73" s="25" t="s">
        <v>59</v>
      </c>
      <c r="D73" s="26" t="s">
        <v>248</v>
      </c>
      <c r="E73" s="25" t="s">
        <v>249</v>
      </c>
      <c r="F73" s="24" t="str">
        <f aca="false">IF($D73="","",IF(MID($D73,5,1)="S","S(봄)",IF(MID($D73,5,1)="M","M(여름)",IF(MID($D73,5,1)="X","X(사계절)",MID($D73,5,1)))))</f>
        <v>S(봄)</v>
      </c>
      <c r="G73" s="25" t="s">
        <v>62</v>
      </c>
      <c r="H73" s="24" t="s">
        <v>63</v>
      </c>
      <c r="I73" s="27" t="s">
        <v>242</v>
      </c>
      <c r="J73" s="28" t="n">
        <f aca="false">IF($I73="","",IFERROR(DATE(IF(VALUE(LEFT($I73,FIND("월",$I73)-1))&gt;=9,기준정보!$C$7-1,기준정보!$C$7),VALUE(LEFT($I73,FIND("월",$I73)-1)),1+7*(VALUE(SUBSTITUTE(MID($I73,FIND("월",$I73)+1,5),"주",""))-1)),""))</f>
        <v>46409</v>
      </c>
      <c r="K73" s="28" t="n">
        <f aca="false">IF($J73="","",$J73-기준정보!$C$5)</f>
        <v>46395</v>
      </c>
      <c r="L73" s="28" t="n">
        <f aca="false">IF($K73="","",$K73-기준정보!$C$6)</f>
        <v>46305</v>
      </c>
      <c r="M73" s="29" t="n">
        <f aca="false">IF($L73="","",$L73-기준정보!$C$4)</f>
        <v>63</v>
      </c>
      <c r="N73" s="27" t="s">
        <v>65</v>
      </c>
      <c r="O73" s="30"/>
      <c r="P73" s="26" t="str">
        <f aca="false">IF($G73="","",IF(AND(ISNUMBER(SEARCH("CMT",$G73)),OR(ISNUMBER(SEARCH("완사입",$G73)),ISNUMBER(SEARCH("ODM",$G73)))),"본사/생산처 혼재",IF(ISNUMBER(SEARCH("CMT",$G73)),"본사(소재팀)","생산처")))</f>
        <v>생산처</v>
      </c>
      <c r="Q73" s="25" t="s">
        <v>84</v>
      </c>
      <c r="R73" s="25" t="s">
        <v>67</v>
      </c>
      <c r="S73" s="31" t="n">
        <v>650</v>
      </c>
      <c r="T73" s="26"/>
      <c r="U73" s="26" t="str">
        <f aca="false">IF($J73="","출고일 미정",IF($N73="X","작지 미발행",IF($N73="부분","작지 일부 미발행",IF(AND($O73&lt;&gt;"",$O73&gt;$L73),"소재입고 마감("&amp;TEXT($L73,"MM/DD")&amp;") 초과",IF($N73="","발행여부 확인 필요",IF($O73="","소재 입고일정 확인 필요","정상"))))))</f>
        <v>소재 입고일정 확인 필요</v>
      </c>
      <c r="V73" s="24" t="str">
        <f aca="false">IF($J73="","",IF(OR(LEFT($U73,2)="작지",LEFT($U73,4)="소재입고"),IF(LEFT($F73,1)="S","★ 납기위험(S코드)","◆ 지연주의"),IF($U73="정상","✓ 정상","? 확인필요")))</f>
        <v>? 확인필요</v>
      </c>
      <c r="W73" s="27"/>
      <c r="X73" s="32"/>
    </row>
    <row r="74" customFormat="false" ht="15" hidden="false" customHeight="false" outlineLevel="0" collapsed="false">
      <c r="A74" s="24" t="n">
        <v>70</v>
      </c>
      <c r="B74" s="25" t="s">
        <v>175</v>
      </c>
      <c r="C74" s="25" t="s">
        <v>179</v>
      </c>
      <c r="D74" s="26" t="s">
        <v>250</v>
      </c>
      <c r="E74" s="25" t="s">
        <v>251</v>
      </c>
      <c r="F74" s="24" t="str">
        <f aca="false">IF($D74="","",IF(MID($D74,5,1)="S","S(봄)",IF(MID($D74,5,1)="M","M(여름)",IF(MID($D74,5,1)="X","X(사계절)",MID($D74,5,1)))))</f>
        <v>S(봄)</v>
      </c>
      <c r="G74" s="25" t="s">
        <v>62</v>
      </c>
      <c r="H74" s="24"/>
      <c r="I74" s="27" t="s">
        <v>242</v>
      </c>
      <c r="J74" s="28" t="n">
        <f aca="false">IF($I74="","",IFERROR(DATE(IF(VALUE(LEFT($I74,FIND("월",$I74)-1))&gt;=9,기준정보!$C$7-1,기준정보!$C$7),VALUE(LEFT($I74,FIND("월",$I74)-1)),1+7*(VALUE(SUBSTITUTE(MID($I74,FIND("월",$I74)+1,5),"주",""))-1)),""))</f>
        <v>46409</v>
      </c>
      <c r="K74" s="28" t="n">
        <f aca="false">IF($J74="","",$J74-기준정보!$C$5)</f>
        <v>46395</v>
      </c>
      <c r="L74" s="28" t="n">
        <f aca="false">IF($K74="","",$K74-기준정보!$C$6)</f>
        <v>46305</v>
      </c>
      <c r="M74" s="29" t="n">
        <f aca="false">IF($L74="","",$L74-기준정보!$C$4)</f>
        <v>63</v>
      </c>
      <c r="N74" s="27" t="s">
        <v>65</v>
      </c>
      <c r="O74" s="30"/>
      <c r="P74" s="26" t="str">
        <f aca="false">IF($G74="","",IF(AND(ISNUMBER(SEARCH("CMT",$G74)),OR(ISNUMBER(SEARCH("완사입",$G74)),ISNUMBER(SEARCH("ODM",$G74)))),"본사/생산처 혼재",IF(ISNUMBER(SEARCH("CMT",$G74)),"본사(소재팀)","생산처")))</f>
        <v>생산처</v>
      </c>
      <c r="Q74" s="26" t="s">
        <v>193</v>
      </c>
      <c r="R74" s="25" t="s">
        <v>71</v>
      </c>
      <c r="S74" s="31" t="n">
        <v>1000</v>
      </c>
      <c r="T74" s="26"/>
      <c r="U74" s="26" t="str">
        <f aca="false">IF($J74="","출고일 미정",IF($N74="X","작지 미발행",IF($N74="부분","작지 일부 미발행",IF(AND($O74&lt;&gt;"",$O74&gt;$L74),"소재입고 마감("&amp;TEXT($L74,"MM/DD")&amp;") 초과",IF($N74="","발행여부 확인 필요",IF($O74="","소재 입고일정 확인 필요","정상"))))))</f>
        <v>소재 입고일정 확인 필요</v>
      </c>
      <c r="V74" s="24" t="str">
        <f aca="false">IF($J74="","",IF(OR(LEFT($U74,2)="작지",LEFT($U74,4)="소재입고"),IF(LEFT($F74,1)="S","★ 납기위험(S코드)","◆ 지연주의"),IF($U74="정상","✓ 정상","? 확인필요")))</f>
        <v>? 확인필요</v>
      </c>
      <c r="W74" s="27"/>
      <c r="X74" s="32"/>
    </row>
    <row r="75" customFormat="false" ht="15" hidden="false" customHeight="false" outlineLevel="0" collapsed="false">
      <c r="A75" s="24" t="n">
        <v>71</v>
      </c>
      <c r="B75" s="25" t="s">
        <v>175</v>
      </c>
      <c r="C75" s="25" t="s">
        <v>179</v>
      </c>
      <c r="D75" s="26" t="s">
        <v>252</v>
      </c>
      <c r="E75" s="25" t="s">
        <v>253</v>
      </c>
      <c r="F75" s="24" t="str">
        <f aca="false">IF($D75="","",IF(MID($D75,5,1)="S","S(봄)",IF(MID($D75,5,1)="M","M(여름)",IF(MID($D75,5,1)="X","X(사계절)",MID($D75,5,1)))))</f>
        <v>S(봄)</v>
      </c>
      <c r="G75" s="25" t="s">
        <v>62</v>
      </c>
      <c r="H75" s="24"/>
      <c r="I75" s="27" t="s">
        <v>242</v>
      </c>
      <c r="J75" s="28" t="n">
        <f aca="false">IF($I75="","",IFERROR(DATE(IF(VALUE(LEFT($I75,FIND("월",$I75)-1))&gt;=9,기준정보!$C$7-1,기준정보!$C$7),VALUE(LEFT($I75,FIND("월",$I75)-1)),1+7*(VALUE(SUBSTITUTE(MID($I75,FIND("월",$I75)+1,5),"주",""))-1)),""))</f>
        <v>46409</v>
      </c>
      <c r="K75" s="28" t="n">
        <f aca="false">IF($J75="","",$J75-기준정보!$C$5)</f>
        <v>46395</v>
      </c>
      <c r="L75" s="28" t="n">
        <f aca="false">IF($K75="","",$K75-기준정보!$C$6)</f>
        <v>46305</v>
      </c>
      <c r="M75" s="29" t="n">
        <f aca="false">IF($L75="","",$L75-기준정보!$C$4)</f>
        <v>63</v>
      </c>
      <c r="N75" s="27" t="s">
        <v>65</v>
      </c>
      <c r="O75" s="30"/>
      <c r="P75" s="26" t="str">
        <f aca="false">IF($G75="","",IF(AND(ISNUMBER(SEARCH("CMT",$G75)),OR(ISNUMBER(SEARCH("완사입",$G75)),ISNUMBER(SEARCH("ODM",$G75)))),"본사/생산처 혼재",IF(ISNUMBER(SEARCH("CMT",$G75)),"본사(소재팀)","생산처")))</f>
        <v>생산처</v>
      </c>
      <c r="Q75" s="25" t="s">
        <v>245</v>
      </c>
      <c r="R75" s="25" t="s">
        <v>67</v>
      </c>
      <c r="S75" s="31" t="n">
        <v>2000</v>
      </c>
      <c r="T75" s="26"/>
      <c r="U75" s="26" t="str">
        <f aca="false">IF($J75="","출고일 미정",IF($N75="X","작지 미발행",IF($N75="부분","작지 일부 미발행",IF(AND($O75&lt;&gt;"",$O75&gt;$L75),"소재입고 마감("&amp;TEXT($L75,"MM/DD")&amp;") 초과",IF($N75="","발행여부 확인 필요",IF($O75="","소재 입고일정 확인 필요","정상"))))))</f>
        <v>소재 입고일정 확인 필요</v>
      </c>
      <c r="V75" s="24" t="str">
        <f aca="false">IF($J75="","",IF(OR(LEFT($U75,2)="작지",LEFT($U75,4)="소재입고"),IF(LEFT($F75,1)="S","★ 납기위험(S코드)","◆ 지연주의"),IF($U75="정상","✓ 정상","? 확인필요")))</f>
        <v>? 확인필요</v>
      </c>
      <c r="W75" s="27"/>
      <c r="X75" s="32"/>
    </row>
    <row r="76" customFormat="false" ht="15" hidden="false" customHeight="false" outlineLevel="0" collapsed="false">
      <c r="A76" s="24" t="n">
        <v>72</v>
      </c>
      <c r="B76" s="25" t="s">
        <v>58</v>
      </c>
      <c r="C76" s="25" t="s">
        <v>74</v>
      </c>
      <c r="D76" s="26" t="s">
        <v>254</v>
      </c>
      <c r="E76" s="25" t="s">
        <v>255</v>
      </c>
      <c r="F76" s="24" t="str">
        <f aca="false">IF($D76="","",IF(MID($D76,5,1)="S","S(봄)",IF(MID($D76,5,1)="M","M(여름)",IF(MID($D76,5,1)="X","X(사계절)",MID($D76,5,1)))))</f>
        <v>S(봄)</v>
      </c>
      <c r="G76" s="25" t="s">
        <v>62</v>
      </c>
      <c r="H76" s="24" t="s">
        <v>63</v>
      </c>
      <c r="I76" s="27" t="s">
        <v>242</v>
      </c>
      <c r="J76" s="28" t="n">
        <f aca="false">IF($I76="","",IFERROR(DATE(IF(VALUE(LEFT($I76,FIND("월",$I76)-1))&gt;=9,기준정보!$C$7-1,기준정보!$C$7),VALUE(LEFT($I76,FIND("월",$I76)-1)),1+7*(VALUE(SUBSTITUTE(MID($I76,FIND("월",$I76)+1,5),"주",""))-1)),""))</f>
        <v>46409</v>
      </c>
      <c r="K76" s="28" t="n">
        <f aca="false">IF($J76="","",$J76-기준정보!$C$5)</f>
        <v>46395</v>
      </c>
      <c r="L76" s="28" t="n">
        <f aca="false">IF($K76="","",$K76-기준정보!$C$6)</f>
        <v>46305</v>
      </c>
      <c r="M76" s="29" t="n">
        <f aca="false">IF($L76="","",$L76-기준정보!$C$4)</f>
        <v>63</v>
      </c>
      <c r="N76" s="27" t="s">
        <v>65</v>
      </c>
      <c r="O76" s="30"/>
      <c r="P76" s="26" t="str">
        <f aca="false">IF($G76="","",IF(AND(ISNUMBER(SEARCH("CMT",$G76)),OR(ISNUMBER(SEARCH("완사입",$G76)),ISNUMBER(SEARCH("ODM",$G76)))),"본사/생산처 혼재",IF(ISNUMBER(SEARCH("CMT",$G76)),"본사(소재팀)","생산처")))</f>
        <v>생산처</v>
      </c>
      <c r="Q76" s="25" t="s">
        <v>245</v>
      </c>
      <c r="R76" s="25" t="s">
        <v>67</v>
      </c>
      <c r="S76" s="31" t="n">
        <v>500</v>
      </c>
      <c r="T76" s="26"/>
      <c r="U76" s="26" t="str">
        <f aca="false">IF($J76="","출고일 미정",IF($N76="X","작지 미발행",IF($N76="부분","작지 일부 미발행",IF(AND($O76&lt;&gt;"",$O76&gt;$L76),"소재입고 마감("&amp;TEXT($L76,"MM/DD")&amp;") 초과",IF($N76="","발행여부 확인 필요",IF($O76="","소재 입고일정 확인 필요","정상"))))))</f>
        <v>소재 입고일정 확인 필요</v>
      </c>
      <c r="V76" s="24" t="str">
        <f aca="false">IF($J76="","",IF(OR(LEFT($U76,2)="작지",LEFT($U76,4)="소재입고"),IF(LEFT($F76,1)="S","★ 납기위험(S코드)","◆ 지연주의"),IF($U76="정상","✓ 정상","? 확인필요")))</f>
        <v>? 확인필요</v>
      </c>
      <c r="W76" s="27"/>
      <c r="X76" s="32"/>
    </row>
    <row r="77" customFormat="false" ht="15" hidden="false" customHeight="false" outlineLevel="0" collapsed="false">
      <c r="A77" s="24" t="n">
        <v>73</v>
      </c>
      <c r="B77" s="25" t="s">
        <v>58</v>
      </c>
      <c r="C77" s="25" t="s">
        <v>59</v>
      </c>
      <c r="D77" s="26" t="s">
        <v>256</v>
      </c>
      <c r="E77" s="25" t="s">
        <v>257</v>
      </c>
      <c r="F77" s="24" t="str">
        <f aca="false">IF($D77="","",IF(MID($D77,5,1)="S","S(봄)",IF(MID($D77,5,1)="M","M(여름)",IF(MID($D77,5,1)="X","X(사계절)",MID($D77,5,1)))))</f>
        <v>S(봄)</v>
      </c>
      <c r="G77" s="25" t="s">
        <v>62</v>
      </c>
      <c r="H77" s="24" t="s">
        <v>63</v>
      </c>
      <c r="I77" s="27" t="s">
        <v>242</v>
      </c>
      <c r="J77" s="28" t="n">
        <f aca="false">IF($I77="","",IFERROR(DATE(IF(VALUE(LEFT($I77,FIND("월",$I77)-1))&gt;=9,기준정보!$C$7-1,기준정보!$C$7),VALUE(LEFT($I77,FIND("월",$I77)-1)),1+7*(VALUE(SUBSTITUTE(MID($I77,FIND("월",$I77)+1,5),"주",""))-1)),""))</f>
        <v>46409</v>
      </c>
      <c r="K77" s="28" t="n">
        <f aca="false">IF($J77="","",$J77-기준정보!$C$5)</f>
        <v>46395</v>
      </c>
      <c r="L77" s="28" t="n">
        <f aca="false">IF($K77="","",$K77-기준정보!$C$6)</f>
        <v>46305</v>
      </c>
      <c r="M77" s="29" t="n">
        <f aca="false">IF($L77="","",$L77-기준정보!$C$4)</f>
        <v>63</v>
      </c>
      <c r="N77" s="27" t="s">
        <v>65</v>
      </c>
      <c r="O77" s="30"/>
      <c r="P77" s="26" t="str">
        <f aca="false">IF($G77="","",IF(AND(ISNUMBER(SEARCH("CMT",$G77)),OR(ISNUMBER(SEARCH("완사입",$G77)),ISNUMBER(SEARCH("ODM",$G77)))),"본사/생산처 혼재",IF(ISNUMBER(SEARCH("CMT",$G77)),"본사(소재팀)","생산처")))</f>
        <v>생산처</v>
      </c>
      <c r="Q77" s="25" t="s">
        <v>70</v>
      </c>
      <c r="R77" s="25" t="s">
        <v>71</v>
      </c>
      <c r="S77" s="31" t="n">
        <v>870</v>
      </c>
      <c r="T77" s="26"/>
      <c r="U77" s="26" t="str">
        <f aca="false">IF($J77="","출고일 미정",IF($N77="X","작지 미발행",IF($N77="부분","작지 일부 미발행",IF(AND($O77&lt;&gt;"",$O77&gt;$L77),"소재입고 마감("&amp;TEXT($L77,"MM/DD")&amp;") 초과",IF($N77="","발행여부 확인 필요",IF($O77="","소재 입고일정 확인 필요","정상"))))))</f>
        <v>소재 입고일정 확인 필요</v>
      </c>
      <c r="V77" s="24" t="str">
        <f aca="false">IF($J77="","",IF(OR(LEFT($U77,2)="작지",LEFT($U77,4)="소재입고"),IF(LEFT($F77,1)="S","★ 납기위험(S코드)","◆ 지연주의"),IF($U77="정상","✓ 정상","? 확인필요")))</f>
        <v>? 확인필요</v>
      </c>
      <c r="W77" s="27"/>
      <c r="X77" s="32"/>
    </row>
    <row r="78" customFormat="false" ht="15" hidden="false" customHeight="false" outlineLevel="0" collapsed="false">
      <c r="A78" s="24" t="n">
        <v>74</v>
      </c>
      <c r="B78" s="25" t="s">
        <v>175</v>
      </c>
      <c r="C78" s="25" t="s">
        <v>160</v>
      </c>
      <c r="D78" s="26" t="s">
        <v>258</v>
      </c>
      <c r="E78" s="25" t="s">
        <v>259</v>
      </c>
      <c r="F78" s="24" t="str">
        <f aca="false">IF($D78="","",IF(MID($D78,5,1)="S","S(봄)",IF(MID($D78,5,1)="M","M(여름)",IF(MID($D78,5,1)="X","X(사계절)",MID($D78,5,1)))))</f>
        <v>S(봄)</v>
      </c>
      <c r="G78" s="26" t="s">
        <v>167</v>
      </c>
      <c r="H78" s="24" t="s">
        <v>182</v>
      </c>
      <c r="I78" s="27" t="s">
        <v>260</v>
      </c>
      <c r="J78" s="28" t="n">
        <f aca="false">IF($I78="","",IFERROR(DATE(IF(VALUE(LEFT($I78,FIND("월",$I78)-1))&gt;=9,기준정보!$C$7-1,기준정보!$C$7),VALUE(LEFT($I78,FIND("월",$I78)-1)),1+7*(VALUE(SUBSTITUTE(MID($I78,FIND("월",$I78)+1,5),"주",""))-1)),""))</f>
        <v>46419</v>
      </c>
      <c r="K78" s="28" t="n">
        <f aca="false">IF($J78="","",$J78-기준정보!$C$5)</f>
        <v>46405</v>
      </c>
      <c r="L78" s="28" t="n">
        <f aca="false">IF($K78="","",$K78-기준정보!$C$6)</f>
        <v>46315</v>
      </c>
      <c r="M78" s="29" t="n">
        <f aca="false">IF($L78="","",$L78-기준정보!$C$4)</f>
        <v>73</v>
      </c>
      <c r="N78" s="27" t="s">
        <v>65</v>
      </c>
      <c r="O78" s="30"/>
      <c r="P78" s="26" t="str">
        <f aca="false">IF($G78="","",IF(AND(ISNUMBER(SEARCH("CMT",$G78)),OR(ISNUMBER(SEARCH("완사입",$G78)),ISNUMBER(SEARCH("ODM",$G78)))),"본사/생산처 혼재",IF(ISNUMBER(SEARCH("CMT",$G78)),"본사(소재팀)","생산처")))</f>
        <v>본사(소재팀)</v>
      </c>
      <c r="Q78" s="25" t="s">
        <v>66</v>
      </c>
      <c r="R78" s="25" t="s">
        <v>67</v>
      </c>
      <c r="S78" s="31" t="n">
        <v>2500</v>
      </c>
      <c r="T78" s="26"/>
      <c r="U78" s="26" t="str">
        <f aca="false">IF($J78="","출고일 미정",IF($N78="X","작지 미발행",IF($N78="부분","작지 일부 미발행",IF(AND($O78&lt;&gt;"",$O78&gt;$L78),"소재입고 마감("&amp;TEXT($L78,"MM/DD")&amp;") 초과",IF($N78="","발행여부 확인 필요",IF($O78="","소재 입고일정 확인 필요","정상"))))))</f>
        <v>소재 입고일정 확인 필요</v>
      </c>
      <c r="V78" s="24" t="str">
        <f aca="false">IF($J78="","",IF(OR(LEFT($U78,2)="작지",LEFT($U78,4)="소재입고"),IF(LEFT($F78,1)="S","★ 납기위험(S코드)","◆ 지연주의"),IF($U78="정상","✓ 정상","? 확인필요")))</f>
        <v>? 확인필요</v>
      </c>
      <c r="W78" s="27"/>
      <c r="X78" s="32"/>
    </row>
    <row r="79" customFormat="false" ht="15" hidden="false" customHeight="false" outlineLevel="0" collapsed="false">
      <c r="A79" s="24" t="n">
        <v>75</v>
      </c>
      <c r="B79" s="25" t="s">
        <v>175</v>
      </c>
      <c r="C79" s="25" t="s">
        <v>160</v>
      </c>
      <c r="D79" s="26" t="s">
        <v>261</v>
      </c>
      <c r="E79" s="25" t="s">
        <v>262</v>
      </c>
      <c r="F79" s="24" t="str">
        <f aca="false">IF($D79="","",IF(MID($D79,5,1)="S","S(봄)",IF(MID($D79,5,1)="M","M(여름)",IF(MID($D79,5,1)="X","X(사계절)",MID($D79,5,1)))))</f>
        <v>S(봄)</v>
      </c>
      <c r="G79" s="26" t="s">
        <v>167</v>
      </c>
      <c r="H79" s="24" t="s">
        <v>182</v>
      </c>
      <c r="I79" s="27" t="s">
        <v>260</v>
      </c>
      <c r="J79" s="28" t="n">
        <f aca="false">IF($I79="","",IFERROR(DATE(IF(VALUE(LEFT($I79,FIND("월",$I79)-1))&gt;=9,기준정보!$C$7-1,기준정보!$C$7),VALUE(LEFT($I79,FIND("월",$I79)-1)),1+7*(VALUE(SUBSTITUTE(MID($I79,FIND("월",$I79)+1,5),"주",""))-1)),""))</f>
        <v>46419</v>
      </c>
      <c r="K79" s="28" t="n">
        <f aca="false">IF($J79="","",$J79-기준정보!$C$5)</f>
        <v>46405</v>
      </c>
      <c r="L79" s="28" t="n">
        <f aca="false">IF($K79="","",$K79-기준정보!$C$6)</f>
        <v>46315</v>
      </c>
      <c r="M79" s="29" t="n">
        <f aca="false">IF($L79="","",$L79-기준정보!$C$4)</f>
        <v>73</v>
      </c>
      <c r="N79" s="27" t="s">
        <v>65</v>
      </c>
      <c r="O79" s="30"/>
      <c r="P79" s="26" t="str">
        <f aca="false">IF($G79="","",IF(AND(ISNUMBER(SEARCH("CMT",$G79)),OR(ISNUMBER(SEARCH("완사입",$G79)),ISNUMBER(SEARCH("ODM",$G79)))),"본사/생산처 혼재",IF(ISNUMBER(SEARCH("CMT",$G79)),"본사(소재팀)","생산처")))</f>
        <v>본사(소재팀)</v>
      </c>
      <c r="Q79" s="25" t="s">
        <v>204</v>
      </c>
      <c r="R79" s="25" t="s">
        <v>263</v>
      </c>
      <c r="S79" s="31" t="n">
        <v>7000</v>
      </c>
      <c r="T79" s="26"/>
      <c r="U79" s="26" t="str">
        <f aca="false">IF($J79="","출고일 미정",IF($N79="X","작지 미발행",IF($N79="부분","작지 일부 미발행",IF(AND($O79&lt;&gt;"",$O79&gt;$L79),"소재입고 마감("&amp;TEXT($L79,"MM/DD")&amp;") 초과",IF($N79="","발행여부 확인 필요",IF($O79="","소재 입고일정 확인 필요","정상"))))))</f>
        <v>소재 입고일정 확인 필요</v>
      </c>
      <c r="V79" s="24" t="str">
        <f aca="false">IF($J79="","",IF(OR(LEFT($U79,2)="작지",LEFT($U79,4)="소재입고"),IF(LEFT($F79,1)="S","★ 납기위험(S코드)","◆ 지연주의"),IF($U79="정상","✓ 정상","? 확인필요")))</f>
        <v>? 확인필요</v>
      </c>
      <c r="W79" s="27"/>
      <c r="X79" s="32"/>
    </row>
    <row r="80" customFormat="false" ht="15" hidden="false" customHeight="false" outlineLevel="0" collapsed="false">
      <c r="A80" s="24" t="n">
        <v>76</v>
      </c>
      <c r="B80" s="25" t="s">
        <v>159</v>
      </c>
      <c r="C80" s="25" t="s">
        <v>160</v>
      </c>
      <c r="D80" s="26" t="s">
        <v>264</v>
      </c>
      <c r="E80" s="25" t="s">
        <v>265</v>
      </c>
      <c r="F80" s="24" t="str">
        <f aca="false">IF($D80="","",IF(MID($D80,5,1)="S","S(봄)",IF(MID($D80,5,1)="M","M(여름)",IF(MID($D80,5,1)="X","X(사계절)",MID($D80,5,1)))))</f>
        <v>S(봄)</v>
      </c>
      <c r="G80" s="25" t="s">
        <v>62</v>
      </c>
      <c r="H80" s="24"/>
      <c r="I80" s="27" t="s">
        <v>260</v>
      </c>
      <c r="J80" s="28" t="n">
        <f aca="false">IF($I80="","",IFERROR(DATE(IF(VALUE(LEFT($I80,FIND("월",$I80)-1))&gt;=9,기준정보!$C$7-1,기준정보!$C$7),VALUE(LEFT($I80,FIND("월",$I80)-1)),1+7*(VALUE(SUBSTITUTE(MID($I80,FIND("월",$I80)+1,5),"주",""))-1)),""))</f>
        <v>46419</v>
      </c>
      <c r="K80" s="28" t="n">
        <f aca="false">IF($J80="","",$J80-기준정보!$C$5)</f>
        <v>46405</v>
      </c>
      <c r="L80" s="28" t="n">
        <f aca="false">IF($K80="","",$K80-기준정보!$C$6)</f>
        <v>46315</v>
      </c>
      <c r="M80" s="29" t="n">
        <f aca="false">IF($L80="","",$L80-기준정보!$C$4)</f>
        <v>73</v>
      </c>
      <c r="N80" s="27" t="s">
        <v>65</v>
      </c>
      <c r="O80" s="30"/>
      <c r="P80" s="26" t="str">
        <f aca="false">IF($G80="","",IF(AND(ISNUMBER(SEARCH("CMT",$G80)),OR(ISNUMBER(SEARCH("완사입",$G80)),ISNUMBER(SEARCH("ODM",$G80)))),"본사/생산처 혼재",IF(ISNUMBER(SEARCH("CMT",$G80)),"본사(소재팀)","생산처")))</f>
        <v>생산처</v>
      </c>
      <c r="Q80" s="25" t="s">
        <v>70</v>
      </c>
      <c r="R80" s="26"/>
      <c r="S80" s="31" t="n">
        <v>800</v>
      </c>
      <c r="T80" s="26" t="s">
        <v>260</v>
      </c>
      <c r="U80" s="26" t="str">
        <f aca="false">IF($J80="","출고일 미정",IF($N80="X","작지 미발행",IF($N80="부분","작지 일부 미발행",IF(AND($O80&lt;&gt;"",$O80&gt;$L80),"소재입고 마감("&amp;TEXT($L80,"MM/DD")&amp;") 초과",IF($N80="","발행여부 확인 필요",IF($O80="","소재 입고일정 확인 필요","정상"))))))</f>
        <v>소재 입고일정 확인 필요</v>
      </c>
      <c r="V80" s="24" t="str">
        <f aca="false">IF($J80="","",IF(OR(LEFT($U80,2)="작지",LEFT($U80,4)="소재입고"),IF(LEFT($F80,1)="S","★ 납기위험(S코드)","◆ 지연주의"),IF($U80="정상","✓ 정상","? 확인필요")))</f>
        <v>? 확인필요</v>
      </c>
      <c r="W80" s="27"/>
      <c r="X80" s="32"/>
    </row>
    <row r="81" customFormat="false" ht="15" hidden="false" customHeight="false" outlineLevel="0" collapsed="false">
      <c r="A81" s="24" t="n">
        <v>77</v>
      </c>
      <c r="B81" s="25" t="s">
        <v>175</v>
      </c>
      <c r="C81" s="25" t="s">
        <v>160</v>
      </c>
      <c r="D81" s="26" t="s">
        <v>266</v>
      </c>
      <c r="E81" s="25" t="s">
        <v>267</v>
      </c>
      <c r="F81" s="24" t="str">
        <f aca="false">IF($D81="","",IF(MID($D81,5,1)="S","S(봄)",IF(MID($D81,5,1)="M","M(여름)",IF(MID($D81,5,1)="X","X(사계절)",MID($D81,5,1)))))</f>
        <v>S(봄)</v>
      </c>
      <c r="G81" s="26" t="s">
        <v>167</v>
      </c>
      <c r="H81" s="24" t="s">
        <v>182</v>
      </c>
      <c r="I81" s="27" t="s">
        <v>260</v>
      </c>
      <c r="J81" s="28" t="n">
        <f aca="false">IF($I81="","",IFERROR(DATE(IF(VALUE(LEFT($I81,FIND("월",$I81)-1))&gt;=9,기준정보!$C$7-1,기준정보!$C$7),VALUE(LEFT($I81,FIND("월",$I81)-1)),1+7*(VALUE(SUBSTITUTE(MID($I81,FIND("월",$I81)+1,5),"주",""))-1)),""))</f>
        <v>46419</v>
      </c>
      <c r="K81" s="28" t="n">
        <f aca="false">IF($J81="","",$J81-기준정보!$C$5)</f>
        <v>46405</v>
      </c>
      <c r="L81" s="28" t="n">
        <f aca="false">IF($K81="","",$K81-기준정보!$C$6)</f>
        <v>46315</v>
      </c>
      <c r="M81" s="29" t="n">
        <f aca="false">IF($L81="","",$L81-기준정보!$C$4)</f>
        <v>73</v>
      </c>
      <c r="N81" s="27" t="s">
        <v>65</v>
      </c>
      <c r="O81" s="30"/>
      <c r="P81" s="26" t="str">
        <f aca="false">IF($G81="","",IF(AND(ISNUMBER(SEARCH("CMT",$G81)),OR(ISNUMBER(SEARCH("완사입",$G81)),ISNUMBER(SEARCH("ODM",$G81)))),"본사/생산처 혼재",IF(ISNUMBER(SEARCH("CMT",$G81)),"본사(소재팀)","생산처")))</f>
        <v>본사(소재팀)</v>
      </c>
      <c r="Q81" s="25" t="s">
        <v>70</v>
      </c>
      <c r="R81" s="25" t="s">
        <v>71</v>
      </c>
      <c r="S81" s="31" t="n">
        <v>4000</v>
      </c>
      <c r="T81" s="26"/>
      <c r="U81" s="26" t="str">
        <f aca="false">IF($J81="","출고일 미정",IF($N81="X","작지 미발행",IF($N81="부분","작지 일부 미발행",IF(AND($O81&lt;&gt;"",$O81&gt;$L81),"소재입고 마감("&amp;TEXT($L81,"MM/DD")&amp;") 초과",IF($N81="","발행여부 확인 필요",IF($O81="","소재 입고일정 확인 필요","정상"))))))</f>
        <v>소재 입고일정 확인 필요</v>
      </c>
      <c r="V81" s="24" t="str">
        <f aca="false">IF($J81="","",IF(OR(LEFT($U81,2)="작지",LEFT($U81,4)="소재입고"),IF(LEFT($F81,1)="S","★ 납기위험(S코드)","◆ 지연주의"),IF($U81="정상","✓ 정상","? 확인필요")))</f>
        <v>? 확인필요</v>
      </c>
      <c r="W81" s="27"/>
      <c r="X81" s="32"/>
    </row>
    <row r="82" customFormat="false" ht="15" hidden="false" customHeight="false" outlineLevel="0" collapsed="false">
      <c r="A82" s="24" t="n">
        <v>78</v>
      </c>
      <c r="B82" s="25" t="s">
        <v>163</v>
      </c>
      <c r="C82" s="25" t="s">
        <v>164</v>
      </c>
      <c r="D82" s="26" t="s">
        <v>268</v>
      </c>
      <c r="E82" s="26" t="s">
        <v>269</v>
      </c>
      <c r="F82" s="24" t="str">
        <f aca="false">IF($D82="","",IF(MID($D82,5,1)="S","S(봄)",IF(MID($D82,5,1)="M","M(여름)",IF(MID($D82,5,1)="X","X(사계절)",MID($D82,5,1)))))</f>
        <v>S(봄)</v>
      </c>
      <c r="G82" s="26" t="s">
        <v>167</v>
      </c>
      <c r="H82" s="24"/>
      <c r="I82" s="27" t="s">
        <v>260</v>
      </c>
      <c r="J82" s="28" t="n">
        <f aca="false">IF($I82="","",IFERROR(DATE(IF(VALUE(LEFT($I82,FIND("월",$I82)-1))&gt;=9,기준정보!$C$7-1,기준정보!$C$7),VALUE(LEFT($I82,FIND("월",$I82)-1)),1+7*(VALUE(SUBSTITUTE(MID($I82,FIND("월",$I82)+1,5),"주",""))-1)),""))</f>
        <v>46419</v>
      </c>
      <c r="K82" s="28" t="n">
        <f aca="false">IF($J82="","",$J82-기준정보!$C$5)</f>
        <v>46405</v>
      </c>
      <c r="L82" s="28" t="n">
        <f aca="false">IF($K82="","",$K82-기준정보!$C$6)</f>
        <v>46315</v>
      </c>
      <c r="M82" s="29" t="n">
        <f aca="false">IF($L82="","",$L82-기준정보!$C$4)</f>
        <v>73</v>
      </c>
      <c r="N82" s="27" t="s">
        <v>65</v>
      </c>
      <c r="O82" s="30"/>
      <c r="P82" s="26" t="str">
        <f aca="false">IF($G82="","",IF(AND(ISNUMBER(SEARCH("CMT",$G82)),OR(ISNUMBER(SEARCH("완사입",$G82)),ISNUMBER(SEARCH("ODM",$G82)))),"본사/생산처 혼재",IF(ISNUMBER(SEARCH("CMT",$G82)),"본사(소재팀)","생산처")))</f>
        <v>본사(소재팀)</v>
      </c>
      <c r="Q82" s="26" t="s">
        <v>187</v>
      </c>
      <c r="R82" s="25" t="s">
        <v>67</v>
      </c>
      <c r="S82" s="31" t="n">
        <v>1800</v>
      </c>
      <c r="T82" s="26" t="s">
        <v>260</v>
      </c>
      <c r="U82" s="26" t="str">
        <f aca="false">IF($J82="","출고일 미정",IF($N82="X","작지 미발행",IF($N82="부분","작지 일부 미발행",IF(AND($O82&lt;&gt;"",$O82&gt;$L82),"소재입고 마감("&amp;TEXT($L82,"MM/DD")&amp;") 초과",IF($N82="","발행여부 확인 필요",IF($O82="","소재 입고일정 확인 필요","정상"))))))</f>
        <v>소재 입고일정 확인 필요</v>
      </c>
      <c r="V82" s="24" t="str">
        <f aca="false">IF($J82="","",IF(OR(LEFT($U82,2)="작지",LEFT($U82,4)="소재입고"),IF(LEFT($F82,1)="S","★ 납기위험(S코드)","◆ 지연주의"),IF($U82="정상","✓ 정상","? 확인필요")))</f>
        <v>? 확인필요</v>
      </c>
      <c r="W82" s="27"/>
      <c r="X82" s="32"/>
    </row>
    <row r="83" customFormat="false" ht="15" hidden="false" customHeight="false" outlineLevel="0" collapsed="false">
      <c r="A83" s="24" t="n">
        <v>79</v>
      </c>
      <c r="B83" s="25" t="s">
        <v>163</v>
      </c>
      <c r="C83" s="25" t="s">
        <v>164</v>
      </c>
      <c r="D83" s="26" t="s">
        <v>270</v>
      </c>
      <c r="E83" s="25" t="s">
        <v>271</v>
      </c>
      <c r="F83" s="24" t="str">
        <f aca="false">IF($D83="","",IF(MID($D83,5,1)="S","S(봄)",IF(MID($D83,5,1)="M","M(여름)",IF(MID($D83,5,1)="X","X(사계절)",MID($D83,5,1)))))</f>
        <v>S(봄)</v>
      </c>
      <c r="G83" s="25" t="s">
        <v>62</v>
      </c>
      <c r="H83" s="24"/>
      <c r="I83" s="27" t="s">
        <v>260</v>
      </c>
      <c r="J83" s="28" t="n">
        <f aca="false">IF($I83="","",IFERROR(DATE(IF(VALUE(LEFT($I83,FIND("월",$I83)-1))&gt;=9,기준정보!$C$7-1,기준정보!$C$7),VALUE(LEFT($I83,FIND("월",$I83)-1)),1+7*(VALUE(SUBSTITUTE(MID($I83,FIND("월",$I83)+1,5),"주",""))-1)),""))</f>
        <v>46419</v>
      </c>
      <c r="K83" s="28" t="n">
        <f aca="false">IF($J83="","",$J83-기준정보!$C$5)</f>
        <v>46405</v>
      </c>
      <c r="L83" s="28" t="n">
        <f aca="false">IF($K83="","",$K83-기준정보!$C$6)</f>
        <v>46315</v>
      </c>
      <c r="M83" s="29" t="n">
        <f aca="false">IF($L83="","",$L83-기준정보!$C$4)</f>
        <v>73</v>
      </c>
      <c r="N83" s="27" t="s">
        <v>65</v>
      </c>
      <c r="O83" s="30"/>
      <c r="P83" s="26" t="str">
        <f aca="false">IF($G83="","",IF(AND(ISNUMBER(SEARCH("CMT",$G83)),OR(ISNUMBER(SEARCH("완사입",$G83)),ISNUMBER(SEARCH("ODM",$G83)))),"본사/생산처 혼재",IF(ISNUMBER(SEARCH("CMT",$G83)),"본사(소재팀)","생산처")))</f>
        <v>생산처</v>
      </c>
      <c r="Q83" s="26" t="s">
        <v>193</v>
      </c>
      <c r="R83" s="25" t="s">
        <v>71</v>
      </c>
      <c r="S83" s="31" t="n">
        <v>2000</v>
      </c>
      <c r="T83" s="26" t="s">
        <v>260</v>
      </c>
      <c r="U83" s="26" t="str">
        <f aca="false">IF($J83="","출고일 미정",IF($N83="X","작지 미발행",IF($N83="부분","작지 일부 미발행",IF(AND($O83&lt;&gt;"",$O83&gt;$L83),"소재입고 마감("&amp;TEXT($L83,"MM/DD")&amp;") 초과",IF($N83="","발행여부 확인 필요",IF($O83="","소재 입고일정 확인 필요","정상"))))))</f>
        <v>소재 입고일정 확인 필요</v>
      </c>
      <c r="V83" s="24" t="str">
        <f aca="false">IF($J83="","",IF(OR(LEFT($U83,2)="작지",LEFT($U83,4)="소재입고"),IF(LEFT($F83,1)="S","★ 납기위험(S코드)","◆ 지연주의"),IF($U83="정상","✓ 정상","? 확인필요")))</f>
        <v>? 확인필요</v>
      </c>
      <c r="W83" s="27"/>
      <c r="X83" s="32"/>
    </row>
    <row r="84" customFormat="false" ht="15" hidden="false" customHeight="false" outlineLevel="0" collapsed="false">
      <c r="A84" s="24" t="n">
        <v>80</v>
      </c>
      <c r="B84" s="25" t="s">
        <v>163</v>
      </c>
      <c r="C84" s="25" t="s">
        <v>164</v>
      </c>
      <c r="D84" s="26" t="s">
        <v>272</v>
      </c>
      <c r="E84" s="25" t="s">
        <v>273</v>
      </c>
      <c r="F84" s="24" t="str">
        <f aca="false">IF($D84="","",IF(MID($D84,5,1)="S","S(봄)",IF(MID($D84,5,1)="M","M(여름)",IF(MID($D84,5,1)="X","X(사계절)",MID($D84,5,1)))))</f>
        <v>S(봄)</v>
      </c>
      <c r="G84" s="25" t="s">
        <v>62</v>
      </c>
      <c r="H84" s="24"/>
      <c r="I84" s="27" t="s">
        <v>260</v>
      </c>
      <c r="J84" s="28" t="n">
        <f aca="false">IF($I84="","",IFERROR(DATE(IF(VALUE(LEFT($I84,FIND("월",$I84)-1))&gt;=9,기준정보!$C$7-1,기준정보!$C$7),VALUE(LEFT($I84,FIND("월",$I84)-1)),1+7*(VALUE(SUBSTITUTE(MID($I84,FIND("월",$I84)+1,5),"주",""))-1)),""))</f>
        <v>46419</v>
      </c>
      <c r="K84" s="28" t="n">
        <f aca="false">IF($J84="","",$J84-기준정보!$C$5)</f>
        <v>46405</v>
      </c>
      <c r="L84" s="28" t="n">
        <f aca="false">IF($K84="","",$K84-기준정보!$C$6)</f>
        <v>46315</v>
      </c>
      <c r="M84" s="29" t="n">
        <f aca="false">IF($L84="","",$L84-기준정보!$C$4)</f>
        <v>73</v>
      </c>
      <c r="N84" s="27" t="s">
        <v>65</v>
      </c>
      <c r="O84" s="30"/>
      <c r="P84" s="26" t="str">
        <f aca="false">IF($G84="","",IF(AND(ISNUMBER(SEARCH("CMT",$G84)),OR(ISNUMBER(SEARCH("완사입",$G84)),ISNUMBER(SEARCH("ODM",$G84)))),"본사/생산처 혼재",IF(ISNUMBER(SEARCH("CMT",$G84)),"본사(소재팀)","생산처")))</f>
        <v>생산처</v>
      </c>
      <c r="Q84" s="26" t="s">
        <v>193</v>
      </c>
      <c r="R84" s="25" t="s">
        <v>71</v>
      </c>
      <c r="S84" s="31" t="n">
        <v>1300</v>
      </c>
      <c r="T84" s="26" t="s">
        <v>260</v>
      </c>
      <c r="U84" s="26" t="str">
        <f aca="false">IF($J84="","출고일 미정",IF($N84="X","작지 미발행",IF($N84="부분","작지 일부 미발행",IF(AND($O84&lt;&gt;"",$O84&gt;$L84),"소재입고 마감("&amp;TEXT($L84,"MM/DD")&amp;") 초과",IF($N84="","발행여부 확인 필요",IF($O84="","소재 입고일정 확인 필요","정상"))))))</f>
        <v>소재 입고일정 확인 필요</v>
      </c>
      <c r="V84" s="24" t="str">
        <f aca="false">IF($J84="","",IF(OR(LEFT($U84,2)="작지",LEFT($U84,4)="소재입고"),IF(LEFT($F84,1)="S","★ 납기위험(S코드)","◆ 지연주의"),IF($U84="정상","✓ 정상","? 확인필요")))</f>
        <v>? 확인필요</v>
      </c>
      <c r="W84" s="27"/>
      <c r="X84" s="32"/>
    </row>
    <row r="85" customFormat="false" ht="15" hidden="false" customHeight="false" outlineLevel="0" collapsed="false">
      <c r="A85" s="24" t="n">
        <v>81</v>
      </c>
      <c r="B85" s="25" t="s">
        <v>163</v>
      </c>
      <c r="C85" s="25" t="s">
        <v>164</v>
      </c>
      <c r="D85" s="26" t="s">
        <v>274</v>
      </c>
      <c r="E85" s="25" t="s">
        <v>275</v>
      </c>
      <c r="F85" s="24" t="str">
        <f aca="false">IF($D85="","",IF(MID($D85,5,1)="S","S(봄)",IF(MID($D85,5,1)="M","M(여름)",IF(MID($D85,5,1)="X","X(사계절)",MID($D85,5,1)))))</f>
        <v>S(봄)</v>
      </c>
      <c r="G85" s="25" t="s">
        <v>62</v>
      </c>
      <c r="H85" s="24"/>
      <c r="I85" s="27" t="s">
        <v>260</v>
      </c>
      <c r="J85" s="28" t="n">
        <f aca="false">IF($I85="","",IFERROR(DATE(IF(VALUE(LEFT($I85,FIND("월",$I85)-1))&gt;=9,기준정보!$C$7-1,기준정보!$C$7),VALUE(LEFT($I85,FIND("월",$I85)-1)),1+7*(VALUE(SUBSTITUTE(MID($I85,FIND("월",$I85)+1,5),"주",""))-1)),""))</f>
        <v>46419</v>
      </c>
      <c r="K85" s="28" t="n">
        <f aca="false">IF($J85="","",$J85-기준정보!$C$5)</f>
        <v>46405</v>
      </c>
      <c r="L85" s="28" t="n">
        <f aca="false">IF($K85="","",$K85-기준정보!$C$6)</f>
        <v>46315</v>
      </c>
      <c r="M85" s="29" t="n">
        <f aca="false">IF($L85="","",$L85-기준정보!$C$4)</f>
        <v>73</v>
      </c>
      <c r="N85" s="27" t="s">
        <v>65</v>
      </c>
      <c r="O85" s="30"/>
      <c r="P85" s="26" t="str">
        <f aca="false">IF($G85="","",IF(AND(ISNUMBER(SEARCH("CMT",$G85)),OR(ISNUMBER(SEARCH("완사입",$G85)),ISNUMBER(SEARCH("ODM",$G85)))),"본사/생산처 혼재",IF(ISNUMBER(SEARCH("CMT",$G85)),"본사(소재팀)","생산처")))</f>
        <v>생산처</v>
      </c>
      <c r="Q85" s="26" t="s">
        <v>193</v>
      </c>
      <c r="R85" s="25" t="s">
        <v>71</v>
      </c>
      <c r="S85" s="31" t="n">
        <v>1200</v>
      </c>
      <c r="T85" s="26" t="s">
        <v>260</v>
      </c>
      <c r="U85" s="26" t="str">
        <f aca="false">IF($J85="","출고일 미정",IF($N85="X","작지 미발행",IF($N85="부분","작지 일부 미발행",IF(AND($O85&lt;&gt;"",$O85&gt;$L85),"소재입고 마감("&amp;TEXT($L85,"MM/DD")&amp;") 초과",IF($N85="","발행여부 확인 필요",IF($O85="","소재 입고일정 확인 필요","정상"))))))</f>
        <v>소재 입고일정 확인 필요</v>
      </c>
      <c r="V85" s="24" t="str">
        <f aca="false">IF($J85="","",IF(OR(LEFT($U85,2)="작지",LEFT($U85,4)="소재입고"),IF(LEFT($F85,1)="S","★ 납기위험(S코드)","◆ 지연주의"),IF($U85="정상","✓ 정상","? 확인필요")))</f>
        <v>? 확인필요</v>
      </c>
      <c r="W85" s="27"/>
      <c r="X85" s="32"/>
    </row>
    <row r="86" customFormat="false" ht="15" hidden="false" customHeight="false" outlineLevel="0" collapsed="false">
      <c r="A86" s="24" t="n">
        <v>82</v>
      </c>
      <c r="B86" s="25" t="s">
        <v>163</v>
      </c>
      <c r="C86" s="25" t="s">
        <v>164</v>
      </c>
      <c r="D86" s="26" t="s">
        <v>276</v>
      </c>
      <c r="E86" s="25" t="s">
        <v>277</v>
      </c>
      <c r="F86" s="24" t="str">
        <f aca="false">IF($D86="","",IF(MID($D86,5,1)="S","S(봄)",IF(MID($D86,5,1)="M","M(여름)",IF(MID($D86,5,1)="X","X(사계절)",MID($D86,5,1)))))</f>
        <v>S(봄)</v>
      </c>
      <c r="G86" s="25" t="s">
        <v>62</v>
      </c>
      <c r="H86" s="24"/>
      <c r="I86" s="27" t="s">
        <v>260</v>
      </c>
      <c r="J86" s="28" t="n">
        <f aca="false">IF($I86="","",IFERROR(DATE(IF(VALUE(LEFT($I86,FIND("월",$I86)-1))&gt;=9,기준정보!$C$7-1,기준정보!$C$7),VALUE(LEFT($I86,FIND("월",$I86)-1)),1+7*(VALUE(SUBSTITUTE(MID($I86,FIND("월",$I86)+1,5),"주",""))-1)),""))</f>
        <v>46419</v>
      </c>
      <c r="K86" s="28" t="n">
        <f aca="false">IF($J86="","",$J86-기준정보!$C$5)</f>
        <v>46405</v>
      </c>
      <c r="L86" s="28" t="n">
        <f aca="false">IF($K86="","",$K86-기준정보!$C$6)</f>
        <v>46315</v>
      </c>
      <c r="M86" s="29" t="n">
        <f aca="false">IF($L86="","",$L86-기준정보!$C$4)</f>
        <v>73</v>
      </c>
      <c r="N86" s="27" t="s">
        <v>65</v>
      </c>
      <c r="O86" s="30"/>
      <c r="P86" s="26" t="str">
        <f aca="false">IF($G86="","",IF(AND(ISNUMBER(SEARCH("CMT",$G86)),OR(ISNUMBER(SEARCH("완사입",$G86)),ISNUMBER(SEARCH("ODM",$G86)))),"본사/생산처 혼재",IF(ISNUMBER(SEARCH("CMT",$G86)),"본사(소재팀)","생산처")))</f>
        <v>생산처</v>
      </c>
      <c r="Q86" s="25" t="s">
        <v>245</v>
      </c>
      <c r="R86" s="25" t="s">
        <v>71</v>
      </c>
      <c r="S86" s="31" t="n">
        <v>3000</v>
      </c>
      <c r="T86" s="26" t="s">
        <v>260</v>
      </c>
      <c r="U86" s="26" t="str">
        <f aca="false">IF($J86="","출고일 미정",IF($N86="X","작지 미발행",IF($N86="부분","작지 일부 미발행",IF(AND($O86&lt;&gt;"",$O86&gt;$L86),"소재입고 마감("&amp;TEXT($L86,"MM/DD")&amp;") 초과",IF($N86="","발행여부 확인 필요",IF($O86="","소재 입고일정 확인 필요","정상"))))))</f>
        <v>소재 입고일정 확인 필요</v>
      </c>
      <c r="V86" s="24" t="str">
        <f aca="false">IF($J86="","",IF(OR(LEFT($U86,2)="작지",LEFT($U86,4)="소재입고"),IF(LEFT($F86,1)="S","★ 납기위험(S코드)","◆ 지연주의"),IF($U86="정상","✓ 정상","? 확인필요")))</f>
        <v>? 확인필요</v>
      </c>
      <c r="W86" s="27"/>
      <c r="X86" s="32"/>
    </row>
    <row r="87" customFormat="false" ht="15" hidden="false" customHeight="false" outlineLevel="0" collapsed="false">
      <c r="A87" s="24" t="n">
        <v>83</v>
      </c>
      <c r="B87" s="25" t="s">
        <v>163</v>
      </c>
      <c r="C87" s="25" t="s">
        <v>164</v>
      </c>
      <c r="D87" s="26" t="s">
        <v>278</v>
      </c>
      <c r="E87" s="25" t="s">
        <v>279</v>
      </c>
      <c r="F87" s="24" t="str">
        <f aca="false">IF($D87="","",IF(MID($D87,5,1)="S","S(봄)",IF(MID($D87,5,1)="M","M(여름)",IF(MID($D87,5,1)="X","X(사계절)",MID($D87,5,1)))))</f>
        <v>S(봄)</v>
      </c>
      <c r="G87" s="25" t="s">
        <v>62</v>
      </c>
      <c r="H87" s="24"/>
      <c r="I87" s="27" t="s">
        <v>260</v>
      </c>
      <c r="J87" s="28" t="n">
        <f aca="false">IF($I87="","",IFERROR(DATE(IF(VALUE(LEFT($I87,FIND("월",$I87)-1))&gt;=9,기준정보!$C$7-1,기준정보!$C$7),VALUE(LEFT($I87,FIND("월",$I87)-1)),1+7*(VALUE(SUBSTITUTE(MID($I87,FIND("월",$I87)+1,5),"주",""))-1)),""))</f>
        <v>46419</v>
      </c>
      <c r="K87" s="28" t="n">
        <f aca="false">IF($J87="","",$J87-기준정보!$C$5)</f>
        <v>46405</v>
      </c>
      <c r="L87" s="28" t="n">
        <f aca="false">IF($K87="","",$K87-기준정보!$C$6)</f>
        <v>46315</v>
      </c>
      <c r="M87" s="29" t="n">
        <f aca="false">IF($L87="","",$L87-기준정보!$C$4)</f>
        <v>73</v>
      </c>
      <c r="N87" s="27" t="s">
        <v>65</v>
      </c>
      <c r="O87" s="30"/>
      <c r="P87" s="26" t="str">
        <f aca="false">IF($G87="","",IF(AND(ISNUMBER(SEARCH("CMT",$G87)),OR(ISNUMBER(SEARCH("완사입",$G87)),ISNUMBER(SEARCH("ODM",$G87)))),"본사/생산처 혼재",IF(ISNUMBER(SEARCH("CMT",$G87)),"본사(소재팀)","생산처")))</f>
        <v>생산처</v>
      </c>
      <c r="Q87" s="26" t="s">
        <v>193</v>
      </c>
      <c r="R87" s="25" t="s">
        <v>71</v>
      </c>
      <c r="S87" s="31" t="n">
        <v>1400</v>
      </c>
      <c r="T87" s="26" t="s">
        <v>260</v>
      </c>
      <c r="U87" s="26" t="str">
        <f aca="false">IF($J87="","출고일 미정",IF($N87="X","작지 미발행",IF($N87="부분","작지 일부 미발행",IF(AND($O87&lt;&gt;"",$O87&gt;$L87),"소재입고 마감("&amp;TEXT($L87,"MM/DD")&amp;") 초과",IF($N87="","발행여부 확인 필요",IF($O87="","소재 입고일정 확인 필요","정상"))))))</f>
        <v>소재 입고일정 확인 필요</v>
      </c>
      <c r="V87" s="24" t="str">
        <f aca="false">IF($J87="","",IF(OR(LEFT($U87,2)="작지",LEFT($U87,4)="소재입고"),IF(LEFT($F87,1)="S","★ 납기위험(S코드)","◆ 지연주의"),IF($U87="정상","✓ 정상","? 확인필요")))</f>
        <v>? 확인필요</v>
      </c>
      <c r="W87" s="27"/>
      <c r="X87" s="32"/>
    </row>
    <row r="88" customFormat="false" ht="15" hidden="false" customHeight="false" outlineLevel="0" collapsed="false">
      <c r="A88" s="24" t="n">
        <v>84</v>
      </c>
      <c r="B88" s="25" t="s">
        <v>175</v>
      </c>
      <c r="C88" s="25" t="s">
        <v>160</v>
      </c>
      <c r="D88" s="26" t="s">
        <v>280</v>
      </c>
      <c r="E88" s="25" t="s">
        <v>281</v>
      </c>
      <c r="F88" s="24" t="str">
        <f aca="false">IF($D88="","",IF(MID($D88,5,1)="S","S(봄)",IF(MID($D88,5,1)="M","M(여름)",IF(MID($D88,5,1)="X","X(사계절)",MID($D88,5,1)))))</f>
        <v>S(봄)</v>
      </c>
      <c r="G88" s="26" t="s">
        <v>167</v>
      </c>
      <c r="H88" s="24" t="s">
        <v>182</v>
      </c>
      <c r="I88" s="27" t="s">
        <v>260</v>
      </c>
      <c r="J88" s="28" t="n">
        <f aca="false">IF($I88="","",IFERROR(DATE(IF(VALUE(LEFT($I88,FIND("월",$I88)-1))&gt;=9,기준정보!$C$7-1,기준정보!$C$7),VALUE(LEFT($I88,FIND("월",$I88)-1)),1+7*(VALUE(SUBSTITUTE(MID($I88,FIND("월",$I88)+1,5),"주",""))-1)),""))</f>
        <v>46419</v>
      </c>
      <c r="K88" s="28" t="n">
        <f aca="false">IF($J88="","",$J88-기준정보!$C$5)</f>
        <v>46405</v>
      </c>
      <c r="L88" s="28" t="n">
        <f aca="false">IF($K88="","",$K88-기준정보!$C$6)</f>
        <v>46315</v>
      </c>
      <c r="M88" s="29" t="n">
        <f aca="false">IF($L88="","",$L88-기준정보!$C$4)</f>
        <v>73</v>
      </c>
      <c r="N88" s="27" t="s">
        <v>65</v>
      </c>
      <c r="O88" s="30"/>
      <c r="P88" s="26" t="str">
        <f aca="false">IF($G88="","",IF(AND(ISNUMBER(SEARCH("CMT",$G88)),OR(ISNUMBER(SEARCH("완사입",$G88)),ISNUMBER(SEARCH("ODM",$G88)))),"본사/생산처 혼재",IF(ISNUMBER(SEARCH("CMT",$G88)),"본사(소재팀)","생산처")))</f>
        <v>본사(소재팀)</v>
      </c>
      <c r="Q88" s="25" t="s">
        <v>66</v>
      </c>
      <c r="R88" s="25" t="s">
        <v>67</v>
      </c>
      <c r="S88" s="31" t="n">
        <v>2500</v>
      </c>
      <c r="T88" s="26"/>
      <c r="U88" s="26" t="str">
        <f aca="false">IF($J88="","출고일 미정",IF($N88="X","작지 미발행",IF($N88="부분","작지 일부 미발행",IF(AND($O88&lt;&gt;"",$O88&gt;$L88),"소재입고 마감("&amp;TEXT($L88,"MM/DD")&amp;") 초과",IF($N88="","발행여부 확인 필요",IF($O88="","소재 입고일정 확인 필요","정상"))))))</f>
        <v>소재 입고일정 확인 필요</v>
      </c>
      <c r="V88" s="24" t="str">
        <f aca="false">IF($J88="","",IF(OR(LEFT($U88,2)="작지",LEFT($U88,4)="소재입고"),IF(LEFT($F88,1)="S","★ 납기위험(S코드)","◆ 지연주의"),IF($U88="정상","✓ 정상","? 확인필요")))</f>
        <v>? 확인필요</v>
      </c>
      <c r="W88" s="27"/>
      <c r="X88" s="32"/>
    </row>
    <row r="89" customFormat="false" ht="15" hidden="false" customHeight="false" outlineLevel="0" collapsed="false">
      <c r="A89" s="24" t="n">
        <v>85</v>
      </c>
      <c r="B89" s="25" t="s">
        <v>175</v>
      </c>
      <c r="C89" s="25" t="s">
        <v>160</v>
      </c>
      <c r="D89" s="26" t="s">
        <v>282</v>
      </c>
      <c r="E89" s="25" t="s">
        <v>283</v>
      </c>
      <c r="F89" s="24" t="str">
        <f aca="false">IF($D89="","",IF(MID($D89,5,1)="S","S(봄)",IF(MID($D89,5,1)="M","M(여름)",IF(MID($D89,5,1)="X","X(사계절)",MID($D89,5,1)))))</f>
        <v>S(봄)</v>
      </c>
      <c r="G89" s="26" t="s">
        <v>167</v>
      </c>
      <c r="H89" s="24" t="s">
        <v>182</v>
      </c>
      <c r="I89" s="27" t="s">
        <v>260</v>
      </c>
      <c r="J89" s="28" t="n">
        <f aca="false">IF($I89="","",IFERROR(DATE(IF(VALUE(LEFT($I89,FIND("월",$I89)-1))&gt;=9,기준정보!$C$7-1,기준정보!$C$7),VALUE(LEFT($I89,FIND("월",$I89)-1)),1+7*(VALUE(SUBSTITUTE(MID($I89,FIND("월",$I89)+1,5),"주",""))-1)),""))</f>
        <v>46419</v>
      </c>
      <c r="K89" s="28" t="n">
        <f aca="false">IF($J89="","",$J89-기준정보!$C$5)</f>
        <v>46405</v>
      </c>
      <c r="L89" s="28" t="n">
        <f aca="false">IF($K89="","",$K89-기준정보!$C$6)</f>
        <v>46315</v>
      </c>
      <c r="M89" s="29" t="n">
        <f aca="false">IF($L89="","",$L89-기준정보!$C$4)</f>
        <v>73</v>
      </c>
      <c r="N89" s="27" t="s">
        <v>65</v>
      </c>
      <c r="O89" s="30"/>
      <c r="P89" s="26" t="str">
        <f aca="false">IF($G89="","",IF(AND(ISNUMBER(SEARCH("CMT",$G89)),OR(ISNUMBER(SEARCH("완사입",$G89)),ISNUMBER(SEARCH("ODM",$G89)))),"본사/생산처 혼재",IF(ISNUMBER(SEARCH("CMT",$G89)),"본사(소재팀)","생산처")))</f>
        <v>본사(소재팀)</v>
      </c>
      <c r="Q89" s="25" t="s">
        <v>204</v>
      </c>
      <c r="R89" s="25" t="s">
        <v>263</v>
      </c>
      <c r="S89" s="31" t="n">
        <v>7640</v>
      </c>
      <c r="T89" s="26"/>
      <c r="U89" s="26" t="str">
        <f aca="false">IF($J89="","출고일 미정",IF($N89="X","작지 미발행",IF($N89="부분","작지 일부 미발행",IF(AND($O89&lt;&gt;"",$O89&gt;$L89),"소재입고 마감("&amp;TEXT($L89,"MM/DD")&amp;") 초과",IF($N89="","발행여부 확인 필요",IF($O89="","소재 입고일정 확인 필요","정상"))))))</f>
        <v>소재 입고일정 확인 필요</v>
      </c>
      <c r="V89" s="24" t="str">
        <f aca="false">IF($J89="","",IF(OR(LEFT($U89,2)="작지",LEFT($U89,4)="소재입고"),IF(LEFT($F89,1)="S","★ 납기위험(S코드)","◆ 지연주의"),IF($U89="정상","✓ 정상","? 확인필요")))</f>
        <v>? 확인필요</v>
      </c>
      <c r="W89" s="27"/>
      <c r="X89" s="32"/>
    </row>
    <row r="90" customFormat="false" ht="15" hidden="false" customHeight="false" outlineLevel="0" collapsed="false">
      <c r="A90" s="24" t="n">
        <v>86</v>
      </c>
      <c r="B90" s="25" t="s">
        <v>175</v>
      </c>
      <c r="C90" s="25" t="s">
        <v>160</v>
      </c>
      <c r="D90" s="26" t="s">
        <v>284</v>
      </c>
      <c r="E90" s="25" t="s">
        <v>285</v>
      </c>
      <c r="F90" s="24" t="str">
        <f aca="false">IF($D90="","",IF(MID($D90,5,1)="S","S(봄)",IF(MID($D90,5,1)="M","M(여름)",IF(MID($D90,5,1)="X","X(사계절)",MID($D90,5,1)))))</f>
        <v>S(봄)</v>
      </c>
      <c r="G90" s="25" t="s">
        <v>62</v>
      </c>
      <c r="H90" s="24"/>
      <c r="I90" s="27" t="s">
        <v>260</v>
      </c>
      <c r="J90" s="28" t="n">
        <f aca="false">IF($I90="","",IFERROR(DATE(IF(VALUE(LEFT($I90,FIND("월",$I90)-1))&gt;=9,기준정보!$C$7-1,기준정보!$C$7),VALUE(LEFT($I90,FIND("월",$I90)-1)),1+7*(VALUE(SUBSTITUTE(MID($I90,FIND("월",$I90)+1,5),"주",""))-1)),""))</f>
        <v>46419</v>
      </c>
      <c r="K90" s="28" t="n">
        <f aca="false">IF($J90="","",$J90-기준정보!$C$5)</f>
        <v>46405</v>
      </c>
      <c r="L90" s="28" t="n">
        <f aca="false">IF($K90="","",$K90-기준정보!$C$6)</f>
        <v>46315</v>
      </c>
      <c r="M90" s="29" t="n">
        <f aca="false">IF($L90="","",$L90-기준정보!$C$4)</f>
        <v>73</v>
      </c>
      <c r="N90" s="27" t="s">
        <v>65</v>
      </c>
      <c r="O90" s="30"/>
      <c r="P90" s="26" t="str">
        <f aca="false">IF($G90="","",IF(AND(ISNUMBER(SEARCH("CMT",$G90)),OR(ISNUMBER(SEARCH("완사입",$G90)),ISNUMBER(SEARCH("ODM",$G90)))),"본사/생산처 혼재",IF(ISNUMBER(SEARCH("CMT",$G90)),"본사(소재팀)","생산처")))</f>
        <v>생산처</v>
      </c>
      <c r="Q90" s="25" t="s">
        <v>70</v>
      </c>
      <c r="R90" s="25" t="s">
        <v>71</v>
      </c>
      <c r="S90" s="31" t="n">
        <v>2200</v>
      </c>
      <c r="T90" s="26"/>
      <c r="U90" s="26" t="str">
        <f aca="false">IF($J90="","출고일 미정",IF($N90="X","작지 미발행",IF($N90="부분","작지 일부 미발행",IF(AND($O90&lt;&gt;"",$O90&gt;$L90),"소재입고 마감("&amp;TEXT($L90,"MM/DD")&amp;") 초과",IF($N90="","발행여부 확인 필요",IF($O90="","소재 입고일정 확인 필요","정상"))))))</f>
        <v>소재 입고일정 확인 필요</v>
      </c>
      <c r="V90" s="24" t="str">
        <f aca="false">IF($J90="","",IF(OR(LEFT($U90,2)="작지",LEFT($U90,4)="소재입고"),IF(LEFT($F90,1)="S","★ 납기위험(S코드)","◆ 지연주의"),IF($U90="정상","✓ 정상","? 확인필요")))</f>
        <v>? 확인필요</v>
      </c>
      <c r="W90" s="27"/>
      <c r="X90" s="32"/>
    </row>
    <row r="91" customFormat="false" ht="15" hidden="false" customHeight="false" outlineLevel="0" collapsed="false">
      <c r="A91" s="24" t="n">
        <v>87</v>
      </c>
      <c r="B91" s="25" t="s">
        <v>175</v>
      </c>
      <c r="C91" s="25" t="s">
        <v>160</v>
      </c>
      <c r="D91" s="26" t="s">
        <v>286</v>
      </c>
      <c r="E91" s="25" t="s">
        <v>287</v>
      </c>
      <c r="F91" s="24" t="str">
        <f aca="false">IF($D91="","",IF(MID($D91,5,1)="S","S(봄)",IF(MID($D91,5,1)="M","M(여름)",IF(MID($D91,5,1)="X","X(사계절)",MID($D91,5,1)))))</f>
        <v>S(봄)</v>
      </c>
      <c r="G91" s="26" t="s">
        <v>167</v>
      </c>
      <c r="H91" s="24" t="s">
        <v>182</v>
      </c>
      <c r="I91" s="27" t="s">
        <v>260</v>
      </c>
      <c r="J91" s="28" t="n">
        <f aca="false">IF($I91="","",IFERROR(DATE(IF(VALUE(LEFT($I91,FIND("월",$I91)-1))&gt;=9,기준정보!$C$7-1,기준정보!$C$7),VALUE(LEFT($I91,FIND("월",$I91)-1)),1+7*(VALUE(SUBSTITUTE(MID($I91,FIND("월",$I91)+1,5),"주",""))-1)),""))</f>
        <v>46419</v>
      </c>
      <c r="K91" s="28" t="n">
        <f aca="false">IF($J91="","",$J91-기준정보!$C$5)</f>
        <v>46405</v>
      </c>
      <c r="L91" s="28" t="n">
        <f aca="false">IF($K91="","",$K91-기준정보!$C$6)</f>
        <v>46315</v>
      </c>
      <c r="M91" s="29" t="n">
        <f aca="false">IF($L91="","",$L91-기준정보!$C$4)</f>
        <v>73</v>
      </c>
      <c r="N91" s="27" t="s">
        <v>65</v>
      </c>
      <c r="O91" s="30"/>
      <c r="P91" s="26" t="str">
        <f aca="false">IF($G91="","",IF(AND(ISNUMBER(SEARCH("CMT",$G91)),OR(ISNUMBER(SEARCH("완사입",$G91)),ISNUMBER(SEARCH("ODM",$G91)))),"본사/생산처 혼재",IF(ISNUMBER(SEARCH("CMT",$G91)),"본사(소재팀)","생산처")))</f>
        <v>본사(소재팀)</v>
      </c>
      <c r="Q91" s="25" t="s">
        <v>70</v>
      </c>
      <c r="R91" s="25" t="s">
        <v>71</v>
      </c>
      <c r="S91" s="31" t="n">
        <v>7000</v>
      </c>
      <c r="T91" s="26"/>
      <c r="U91" s="26" t="str">
        <f aca="false">IF($J91="","출고일 미정",IF($N91="X","작지 미발행",IF($N91="부분","작지 일부 미발행",IF(AND($O91&lt;&gt;"",$O91&gt;$L91),"소재입고 마감("&amp;TEXT($L91,"MM/DD")&amp;") 초과",IF($N91="","발행여부 확인 필요",IF($O91="","소재 입고일정 확인 필요","정상"))))))</f>
        <v>소재 입고일정 확인 필요</v>
      </c>
      <c r="V91" s="24" t="str">
        <f aca="false">IF($J91="","",IF(OR(LEFT($U91,2)="작지",LEFT($U91,4)="소재입고"),IF(LEFT($F91,1)="S","★ 납기위험(S코드)","◆ 지연주의"),IF($U91="정상","✓ 정상","? 확인필요")))</f>
        <v>? 확인필요</v>
      </c>
      <c r="W91" s="27"/>
      <c r="X91" s="32"/>
    </row>
    <row r="92" customFormat="false" ht="15" hidden="false" customHeight="false" outlineLevel="0" collapsed="false">
      <c r="A92" s="24" t="n">
        <v>88</v>
      </c>
      <c r="B92" s="25" t="s">
        <v>200</v>
      </c>
      <c r="C92" s="25" t="s">
        <v>201</v>
      </c>
      <c r="D92" s="26" t="s">
        <v>288</v>
      </c>
      <c r="E92" s="25" t="s">
        <v>289</v>
      </c>
      <c r="F92" s="24" t="str">
        <f aca="false">IF($D92="","",IF(MID($D92,5,1)="S","S(봄)",IF(MID($D92,5,1)="M","M(여름)",IF(MID($D92,5,1)="X","X(사계절)",MID($D92,5,1)))))</f>
        <v>S(봄)</v>
      </c>
      <c r="G92" s="25" t="s">
        <v>62</v>
      </c>
      <c r="H92" s="24"/>
      <c r="I92" s="27" t="s">
        <v>260</v>
      </c>
      <c r="J92" s="28" t="n">
        <f aca="false">IF($I92="","",IFERROR(DATE(IF(VALUE(LEFT($I92,FIND("월",$I92)-1))&gt;=9,기준정보!$C$7-1,기준정보!$C$7),VALUE(LEFT($I92,FIND("월",$I92)-1)),1+7*(VALUE(SUBSTITUTE(MID($I92,FIND("월",$I92)+1,5),"주",""))-1)),""))</f>
        <v>46419</v>
      </c>
      <c r="K92" s="28" t="n">
        <f aca="false">IF($J92="","",$J92-기준정보!$C$5)</f>
        <v>46405</v>
      </c>
      <c r="L92" s="28" t="n">
        <f aca="false">IF($K92="","",$K92-기준정보!$C$6)</f>
        <v>46315</v>
      </c>
      <c r="M92" s="29" t="n">
        <f aca="false">IF($L92="","",$L92-기준정보!$C$4)</f>
        <v>73</v>
      </c>
      <c r="N92" s="27" t="s">
        <v>65</v>
      </c>
      <c r="O92" s="30"/>
      <c r="P92" s="26" t="str">
        <f aca="false">IF($G92="","",IF(AND(ISNUMBER(SEARCH("CMT",$G92)),OR(ISNUMBER(SEARCH("완사입",$G92)),ISNUMBER(SEARCH("ODM",$G92)))),"본사/생산처 혼재",IF(ISNUMBER(SEARCH("CMT",$G92)),"본사(소재팀)","생산처")))</f>
        <v>생산처</v>
      </c>
      <c r="Q92" s="25" t="s">
        <v>66</v>
      </c>
      <c r="R92" s="25" t="s">
        <v>67</v>
      </c>
      <c r="S92" s="31" t="n">
        <v>2800</v>
      </c>
      <c r="T92" s="26" t="s">
        <v>260</v>
      </c>
      <c r="U92" s="26" t="str">
        <f aca="false">IF($J92="","출고일 미정",IF($N92="X","작지 미발행",IF($N92="부분","작지 일부 미발행",IF(AND($O92&lt;&gt;"",$O92&gt;$L92),"소재입고 마감("&amp;TEXT($L92,"MM/DD")&amp;") 초과",IF($N92="","발행여부 확인 필요",IF($O92="","소재 입고일정 확인 필요","정상"))))))</f>
        <v>소재 입고일정 확인 필요</v>
      </c>
      <c r="V92" s="24" t="str">
        <f aca="false">IF($J92="","",IF(OR(LEFT($U92,2)="작지",LEFT($U92,4)="소재입고"),IF(LEFT($F92,1)="S","★ 납기위험(S코드)","◆ 지연주의"),IF($U92="정상","✓ 정상","? 확인필요")))</f>
        <v>? 확인필요</v>
      </c>
      <c r="W92" s="27"/>
      <c r="X92" s="32"/>
    </row>
    <row r="93" customFormat="false" ht="15" hidden="false" customHeight="false" outlineLevel="0" collapsed="false">
      <c r="A93" s="24" t="n">
        <v>89</v>
      </c>
      <c r="B93" s="25" t="s">
        <v>200</v>
      </c>
      <c r="C93" s="25" t="s">
        <v>201</v>
      </c>
      <c r="D93" s="26" t="s">
        <v>290</v>
      </c>
      <c r="E93" s="25" t="s">
        <v>291</v>
      </c>
      <c r="F93" s="24" t="str">
        <f aca="false">IF($D93="","",IF(MID($D93,5,1)="S","S(봄)",IF(MID($D93,5,1)="M","M(여름)",IF(MID($D93,5,1)="X","X(사계절)",MID($D93,5,1)))))</f>
        <v>S(봄)</v>
      </c>
      <c r="G93" s="25" t="s">
        <v>62</v>
      </c>
      <c r="H93" s="24"/>
      <c r="I93" s="27" t="s">
        <v>260</v>
      </c>
      <c r="J93" s="28" t="n">
        <f aca="false">IF($I93="","",IFERROR(DATE(IF(VALUE(LEFT($I93,FIND("월",$I93)-1))&gt;=9,기준정보!$C$7-1,기준정보!$C$7),VALUE(LEFT($I93,FIND("월",$I93)-1)),1+7*(VALUE(SUBSTITUTE(MID($I93,FIND("월",$I93)+1,5),"주",""))-1)),""))</f>
        <v>46419</v>
      </c>
      <c r="K93" s="28" t="n">
        <f aca="false">IF($J93="","",$J93-기준정보!$C$5)</f>
        <v>46405</v>
      </c>
      <c r="L93" s="28" t="n">
        <f aca="false">IF($K93="","",$K93-기준정보!$C$6)</f>
        <v>46315</v>
      </c>
      <c r="M93" s="29" t="n">
        <f aca="false">IF($L93="","",$L93-기준정보!$C$4)</f>
        <v>73</v>
      </c>
      <c r="N93" s="27" t="s">
        <v>65</v>
      </c>
      <c r="O93" s="30"/>
      <c r="P93" s="26" t="str">
        <f aca="false">IF($G93="","",IF(AND(ISNUMBER(SEARCH("CMT",$G93)),OR(ISNUMBER(SEARCH("완사입",$G93)),ISNUMBER(SEARCH("ODM",$G93)))),"본사/생산처 혼재",IF(ISNUMBER(SEARCH("CMT",$G93)),"본사(소재팀)","생산처")))</f>
        <v>생산처</v>
      </c>
      <c r="Q93" s="25" t="s">
        <v>66</v>
      </c>
      <c r="R93" s="25" t="s">
        <v>67</v>
      </c>
      <c r="S93" s="31" t="n">
        <v>1700</v>
      </c>
      <c r="T93" s="26"/>
      <c r="U93" s="26" t="str">
        <f aca="false">IF($J93="","출고일 미정",IF($N93="X","작지 미발행",IF($N93="부분","작지 일부 미발행",IF(AND($O93&lt;&gt;"",$O93&gt;$L93),"소재입고 마감("&amp;TEXT($L93,"MM/DD")&amp;") 초과",IF($N93="","발행여부 확인 필요",IF($O93="","소재 입고일정 확인 필요","정상"))))))</f>
        <v>소재 입고일정 확인 필요</v>
      </c>
      <c r="V93" s="24" t="str">
        <f aca="false">IF($J93="","",IF(OR(LEFT($U93,2)="작지",LEFT($U93,4)="소재입고"),IF(LEFT($F93,1)="S","★ 납기위험(S코드)","◆ 지연주의"),IF($U93="정상","✓ 정상","? 확인필요")))</f>
        <v>? 확인필요</v>
      </c>
      <c r="W93" s="27"/>
      <c r="X93" s="32"/>
    </row>
    <row r="94" customFormat="false" ht="15" hidden="false" customHeight="false" outlineLevel="0" collapsed="false">
      <c r="A94" s="24" t="n">
        <v>90</v>
      </c>
      <c r="B94" s="25" t="s">
        <v>200</v>
      </c>
      <c r="C94" s="25" t="s">
        <v>201</v>
      </c>
      <c r="D94" s="26" t="s">
        <v>292</v>
      </c>
      <c r="E94" s="25" t="s">
        <v>293</v>
      </c>
      <c r="F94" s="24" t="str">
        <f aca="false">IF($D94="","",IF(MID($D94,5,1)="S","S(봄)",IF(MID($D94,5,1)="M","M(여름)",IF(MID($D94,5,1)="X","X(사계절)",MID($D94,5,1)))))</f>
        <v>S(봄)</v>
      </c>
      <c r="G94" s="25" t="s">
        <v>62</v>
      </c>
      <c r="H94" s="24"/>
      <c r="I94" s="27" t="s">
        <v>260</v>
      </c>
      <c r="J94" s="28" t="n">
        <f aca="false">IF($I94="","",IFERROR(DATE(IF(VALUE(LEFT($I94,FIND("월",$I94)-1))&gt;=9,기준정보!$C$7-1,기준정보!$C$7),VALUE(LEFT($I94,FIND("월",$I94)-1)),1+7*(VALUE(SUBSTITUTE(MID($I94,FIND("월",$I94)+1,5),"주",""))-1)),""))</f>
        <v>46419</v>
      </c>
      <c r="K94" s="28" t="n">
        <f aca="false">IF($J94="","",$J94-기준정보!$C$5)</f>
        <v>46405</v>
      </c>
      <c r="L94" s="28" t="n">
        <f aca="false">IF($K94="","",$K94-기준정보!$C$6)</f>
        <v>46315</v>
      </c>
      <c r="M94" s="29" t="n">
        <f aca="false">IF($L94="","",$L94-기준정보!$C$4)</f>
        <v>73</v>
      </c>
      <c r="N94" s="27" t="s">
        <v>65</v>
      </c>
      <c r="O94" s="30"/>
      <c r="P94" s="26" t="str">
        <f aca="false">IF($G94="","",IF(AND(ISNUMBER(SEARCH("CMT",$G94)),OR(ISNUMBER(SEARCH("완사입",$G94)),ISNUMBER(SEARCH("ODM",$G94)))),"본사/생산처 혼재",IF(ISNUMBER(SEARCH("CMT",$G94)),"본사(소재팀)","생산처")))</f>
        <v>생산처</v>
      </c>
      <c r="Q94" s="26" t="s">
        <v>193</v>
      </c>
      <c r="R94" s="25" t="s">
        <v>71</v>
      </c>
      <c r="S94" s="31" t="n">
        <v>1400</v>
      </c>
      <c r="T94" s="26"/>
      <c r="U94" s="26" t="str">
        <f aca="false">IF($J94="","출고일 미정",IF($N94="X","작지 미발행",IF($N94="부분","작지 일부 미발행",IF(AND($O94&lt;&gt;"",$O94&gt;$L94),"소재입고 마감("&amp;TEXT($L94,"MM/DD")&amp;") 초과",IF($N94="","발행여부 확인 필요",IF($O94="","소재 입고일정 확인 필요","정상"))))))</f>
        <v>소재 입고일정 확인 필요</v>
      </c>
      <c r="V94" s="24" t="str">
        <f aca="false">IF($J94="","",IF(OR(LEFT($U94,2)="작지",LEFT($U94,4)="소재입고"),IF(LEFT($F94,1)="S","★ 납기위험(S코드)","◆ 지연주의"),IF($U94="정상","✓ 정상","? 확인필요")))</f>
        <v>? 확인필요</v>
      </c>
      <c r="W94" s="27"/>
      <c r="X94" s="32"/>
    </row>
    <row r="95" customFormat="false" ht="15" hidden="false" customHeight="false" outlineLevel="0" collapsed="false">
      <c r="A95" s="24" t="n">
        <v>91</v>
      </c>
      <c r="B95" s="25" t="s">
        <v>200</v>
      </c>
      <c r="C95" s="25" t="s">
        <v>201</v>
      </c>
      <c r="D95" s="26" t="s">
        <v>294</v>
      </c>
      <c r="E95" s="25" t="s">
        <v>295</v>
      </c>
      <c r="F95" s="24" t="str">
        <f aca="false">IF($D95="","",IF(MID($D95,5,1)="S","S(봄)",IF(MID($D95,5,1)="M","M(여름)",IF(MID($D95,5,1)="X","X(사계절)",MID($D95,5,1)))))</f>
        <v>S(봄)</v>
      </c>
      <c r="G95" s="25" t="s">
        <v>62</v>
      </c>
      <c r="H95" s="24"/>
      <c r="I95" s="27" t="s">
        <v>260</v>
      </c>
      <c r="J95" s="28" t="n">
        <f aca="false">IF($I95="","",IFERROR(DATE(IF(VALUE(LEFT($I95,FIND("월",$I95)-1))&gt;=9,기준정보!$C$7-1,기준정보!$C$7),VALUE(LEFT($I95,FIND("월",$I95)-1)),1+7*(VALUE(SUBSTITUTE(MID($I95,FIND("월",$I95)+1,5),"주",""))-1)),""))</f>
        <v>46419</v>
      </c>
      <c r="K95" s="28" t="n">
        <f aca="false">IF($J95="","",$J95-기준정보!$C$5)</f>
        <v>46405</v>
      </c>
      <c r="L95" s="28" t="n">
        <f aca="false">IF($K95="","",$K95-기준정보!$C$6)</f>
        <v>46315</v>
      </c>
      <c r="M95" s="29" t="n">
        <f aca="false">IF($L95="","",$L95-기준정보!$C$4)</f>
        <v>73</v>
      </c>
      <c r="N95" s="27" t="s">
        <v>65</v>
      </c>
      <c r="O95" s="30"/>
      <c r="P95" s="26" t="str">
        <f aca="false">IF($G95="","",IF(AND(ISNUMBER(SEARCH("CMT",$G95)),OR(ISNUMBER(SEARCH("완사입",$G95)),ISNUMBER(SEARCH("ODM",$G95)))),"본사/생산처 혼재",IF(ISNUMBER(SEARCH("CMT",$G95)),"본사(소재팀)","생산처")))</f>
        <v>생산처</v>
      </c>
      <c r="Q95" s="25" t="s">
        <v>66</v>
      </c>
      <c r="R95" s="25" t="s">
        <v>67</v>
      </c>
      <c r="S95" s="31" t="n">
        <v>1200</v>
      </c>
      <c r="T95" s="26"/>
      <c r="U95" s="26" t="str">
        <f aca="false">IF($J95="","출고일 미정",IF($N95="X","작지 미발행",IF($N95="부분","작지 일부 미발행",IF(AND($O95&lt;&gt;"",$O95&gt;$L95),"소재입고 마감("&amp;TEXT($L95,"MM/DD")&amp;") 초과",IF($N95="","발행여부 확인 필요",IF($O95="","소재 입고일정 확인 필요","정상"))))))</f>
        <v>소재 입고일정 확인 필요</v>
      </c>
      <c r="V95" s="24" t="str">
        <f aca="false">IF($J95="","",IF(OR(LEFT($U95,2)="작지",LEFT($U95,4)="소재입고"),IF(LEFT($F95,1)="S","★ 납기위험(S코드)","◆ 지연주의"),IF($U95="정상","✓ 정상","? 확인필요")))</f>
        <v>? 확인필요</v>
      </c>
      <c r="W95" s="27"/>
      <c r="X95" s="32"/>
    </row>
    <row r="96" customFormat="false" ht="15" hidden="false" customHeight="false" outlineLevel="0" collapsed="false">
      <c r="A96" s="24" t="n">
        <v>92</v>
      </c>
      <c r="B96" s="25" t="s">
        <v>200</v>
      </c>
      <c r="C96" s="25" t="s">
        <v>207</v>
      </c>
      <c r="D96" s="26" t="s">
        <v>296</v>
      </c>
      <c r="E96" s="25" t="s">
        <v>297</v>
      </c>
      <c r="F96" s="24" t="str">
        <f aca="false">IF($D96="","",IF(MID($D96,5,1)="S","S(봄)",IF(MID($D96,5,1)="M","M(여름)",IF(MID($D96,5,1)="X","X(사계절)",MID($D96,5,1)))))</f>
        <v>S(봄)</v>
      </c>
      <c r="G96" s="25" t="s">
        <v>62</v>
      </c>
      <c r="H96" s="24"/>
      <c r="I96" s="27" t="s">
        <v>260</v>
      </c>
      <c r="J96" s="28" t="n">
        <f aca="false">IF($I96="","",IFERROR(DATE(IF(VALUE(LEFT($I96,FIND("월",$I96)-1))&gt;=9,기준정보!$C$7-1,기준정보!$C$7),VALUE(LEFT($I96,FIND("월",$I96)-1)),1+7*(VALUE(SUBSTITUTE(MID($I96,FIND("월",$I96)+1,5),"주",""))-1)),""))</f>
        <v>46419</v>
      </c>
      <c r="K96" s="28" t="n">
        <f aca="false">IF($J96="","",$J96-기준정보!$C$5)</f>
        <v>46405</v>
      </c>
      <c r="L96" s="28" t="n">
        <f aca="false">IF($K96="","",$K96-기준정보!$C$6)</f>
        <v>46315</v>
      </c>
      <c r="M96" s="29" t="n">
        <f aca="false">IF($L96="","",$L96-기준정보!$C$4)</f>
        <v>73</v>
      </c>
      <c r="N96" s="27" t="s">
        <v>65</v>
      </c>
      <c r="O96" s="30"/>
      <c r="P96" s="26" t="str">
        <f aca="false">IF($G96="","",IF(AND(ISNUMBER(SEARCH("CMT",$G96)),OR(ISNUMBER(SEARCH("완사입",$G96)),ISNUMBER(SEARCH("ODM",$G96)))),"본사/생산처 혼재",IF(ISNUMBER(SEARCH("CMT",$G96)),"본사(소재팀)","생산처")))</f>
        <v>생산처</v>
      </c>
      <c r="Q96" s="25" t="s">
        <v>70</v>
      </c>
      <c r="R96" s="25" t="s">
        <v>263</v>
      </c>
      <c r="S96" s="31" t="n">
        <v>5000</v>
      </c>
      <c r="T96" s="26"/>
      <c r="U96" s="26" t="str">
        <f aca="false">IF($J96="","출고일 미정",IF($N96="X","작지 미발행",IF($N96="부분","작지 일부 미발행",IF(AND($O96&lt;&gt;"",$O96&gt;$L96),"소재입고 마감("&amp;TEXT($L96,"MM/DD")&amp;") 초과",IF($N96="","발행여부 확인 필요",IF($O96="","소재 입고일정 확인 필요","정상"))))))</f>
        <v>소재 입고일정 확인 필요</v>
      </c>
      <c r="V96" s="24" t="str">
        <f aca="false">IF($J96="","",IF(OR(LEFT($U96,2)="작지",LEFT($U96,4)="소재입고"),IF(LEFT($F96,1)="S","★ 납기위험(S코드)","◆ 지연주의"),IF($U96="정상","✓ 정상","? 확인필요")))</f>
        <v>? 확인필요</v>
      </c>
      <c r="W96" s="27"/>
      <c r="X96" s="32"/>
    </row>
    <row r="97" customFormat="false" ht="15" hidden="false" customHeight="false" outlineLevel="0" collapsed="false">
      <c r="A97" s="24" t="n">
        <v>93</v>
      </c>
      <c r="B97" s="25" t="s">
        <v>211</v>
      </c>
      <c r="C97" s="25" t="s">
        <v>212</v>
      </c>
      <c r="D97" s="26" t="s">
        <v>298</v>
      </c>
      <c r="E97" s="25" t="s">
        <v>299</v>
      </c>
      <c r="F97" s="24" t="str">
        <f aca="false">IF($D97="","",IF(MID($D97,5,1)="S","S(봄)",IF(MID($D97,5,1)="M","M(여름)",IF(MID($D97,5,1)="X","X(사계절)",MID($D97,5,1)))))</f>
        <v>S(봄)</v>
      </c>
      <c r="G97" s="26" t="s">
        <v>167</v>
      </c>
      <c r="H97" s="24" t="s">
        <v>300</v>
      </c>
      <c r="I97" s="27" t="s">
        <v>260</v>
      </c>
      <c r="J97" s="28" t="n">
        <f aca="false">IF($I97="","",IFERROR(DATE(IF(VALUE(LEFT($I97,FIND("월",$I97)-1))&gt;=9,기준정보!$C$7-1,기준정보!$C$7),VALUE(LEFT($I97,FIND("월",$I97)-1)),1+7*(VALUE(SUBSTITUTE(MID($I97,FIND("월",$I97)+1,5),"주",""))-1)),""))</f>
        <v>46419</v>
      </c>
      <c r="K97" s="28" t="n">
        <f aca="false">IF($J97="","",$J97-기준정보!$C$5)</f>
        <v>46405</v>
      </c>
      <c r="L97" s="28" t="n">
        <f aca="false">IF($K97="","",$K97-기준정보!$C$6)</f>
        <v>46315</v>
      </c>
      <c r="M97" s="29" t="n">
        <f aca="false">IF($L97="","",$L97-기준정보!$C$4)</f>
        <v>73</v>
      </c>
      <c r="N97" s="27" t="s">
        <v>65</v>
      </c>
      <c r="O97" s="30"/>
      <c r="P97" s="26" t="str">
        <f aca="false">IF($G97="","",IF(AND(ISNUMBER(SEARCH("CMT",$G97)),OR(ISNUMBER(SEARCH("완사입",$G97)),ISNUMBER(SEARCH("ODM",$G97)))),"본사/생산처 혼재",IF(ISNUMBER(SEARCH("CMT",$G97)),"본사(소재팀)","생산처")))</f>
        <v>본사(소재팀)</v>
      </c>
      <c r="Q97" s="26" t="s">
        <v>120</v>
      </c>
      <c r="R97" s="25" t="s">
        <v>67</v>
      </c>
      <c r="S97" s="31" t="n">
        <v>1600</v>
      </c>
      <c r="T97" s="26"/>
      <c r="U97" s="26" t="str">
        <f aca="false">IF($J97="","출고일 미정",IF($N97="X","작지 미발행",IF($N97="부분","작지 일부 미발행",IF(AND($O97&lt;&gt;"",$O97&gt;$L97),"소재입고 마감("&amp;TEXT($L97,"MM/DD")&amp;") 초과",IF($N97="","발행여부 확인 필요",IF($O97="","소재 입고일정 확인 필요","정상"))))))</f>
        <v>소재 입고일정 확인 필요</v>
      </c>
      <c r="V97" s="24" t="str">
        <f aca="false">IF($J97="","",IF(OR(LEFT($U97,2)="작지",LEFT($U97,4)="소재입고"),IF(LEFT($F97,1)="S","★ 납기위험(S코드)","◆ 지연주의"),IF($U97="정상","✓ 정상","? 확인필요")))</f>
        <v>? 확인필요</v>
      </c>
      <c r="W97" s="27"/>
      <c r="X97" s="32"/>
    </row>
    <row r="98" customFormat="false" ht="15" hidden="false" customHeight="false" outlineLevel="0" collapsed="false">
      <c r="A98" s="24" t="n">
        <v>94</v>
      </c>
      <c r="B98" s="25" t="s">
        <v>211</v>
      </c>
      <c r="C98" s="25" t="s">
        <v>201</v>
      </c>
      <c r="D98" s="26" t="s">
        <v>301</v>
      </c>
      <c r="E98" s="25" t="s">
        <v>302</v>
      </c>
      <c r="F98" s="24" t="str">
        <f aca="false">IF($D98="","",IF(MID($D98,5,1)="S","S(봄)",IF(MID($D98,5,1)="M","M(여름)",IF(MID($D98,5,1)="X","X(사계절)",MID($D98,5,1)))))</f>
        <v>S(봄)</v>
      </c>
      <c r="G98" s="25" t="s">
        <v>62</v>
      </c>
      <c r="H98" s="24" t="s">
        <v>300</v>
      </c>
      <c r="I98" s="27" t="s">
        <v>260</v>
      </c>
      <c r="J98" s="28" t="n">
        <f aca="false">IF($I98="","",IFERROR(DATE(IF(VALUE(LEFT($I98,FIND("월",$I98)-1))&gt;=9,기준정보!$C$7-1,기준정보!$C$7),VALUE(LEFT($I98,FIND("월",$I98)-1)),1+7*(VALUE(SUBSTITUTE(MID($I98,FIND("월",$I98)+1,5),"주",""))-1)),""))</f>
        <v>46419</v>
      </c>
      <c r="K98" s="28" t="n">
        <f aca="false">IF($J98="","",$J98-기준정보!$C$5)</f>
        <v>46405</v>
      </c>
      <c r="L98" s="28" t="n">
        <f aca="false">IF($K98="","",$K98-기준정보!$C$6)</f>
        <v>46315</v>
      </c>
      <c r="M98" s="29" t="n">
        <f aca="false">IF($L98="","",$L98-기준정보!$C$4)</f>
        <v>73</v>
      </c>
      <c r="N98" s="27" t="s">
        <v>65</v>
      </c>
      <c r="O98" s="30"/>
      <c r="P98" s="26" t="str">
        <f aca="false">IF($G98="","",IF(AND(ISNUMBER(SEARCH("CMT",$G98)),OR(ISNUMBER(SEARCH("완사입",$G98)),ISNUMBER(SEARCH("ODM",$G98)))),"본사/생산처 혼재",IF(ISNUMBER(SEARCH("CMT",$G98)),"본사(소재팀)","생산처")))</f>
        <v>생산처</v>
      </c>
      <c r="Q98" s="25" t="s">
        <v>70</v>
      </c>
      <c r="R98" s="25" t="s">
        <v>67</v>
      </c>
      <c r="S98" s="31" t="n">
        <v>2200</v>
      </c>
      <c r="T98" s="26" t="s">
        <v>260</v>
      </c>
      <c r="U98" s="26" t="str">
        <f aca="false">IF($J98="","출고일 미정",IF($N98="X","작지 미발행",IF($N98="부분","작지 일부 미발행",IF(AND($O98&lt;&gt;"",$O98&gt;$L98),"소재입고 마감("&amp;TEXT($L98,"MM/DD")&amp;") 초과",IF($N98="","발행여부 확인 필요",IF($O98="","소재 입고일정 확인 필요","정상"))))))</f>
        <v>소재 입고일정 확인 필요</v>
      </c>
      <c r="V98" s="24" t="str">
        <f aca="false">IF($J98="","",IF(OR(LEFT($U98,2)="작지",LEFT($U98,4)="소재입고"),IF(LEFT($F98,1)="S","★ 납기위험(S코드)","◆ 지연주의"),IF($U98="정상","✓ 정상","? 확인필요")))</f>
        <v>? 확인필요</v>
      </c>
      <c r="W98" s="27"/>
      <c r="X98" s="32"/>
    </row>
    <row r="99" customFormat="false" ht="15" hidden="false" customHeight="false" outlineLevel="0" collapsed="false">
      <c r="A99" s="24" t="n">
        <v>95</v>
      </c>
      <c r="B99" s="25" t="s">
        <v>200</v>
      </c>
      <c r="C99" s="25" t="s">
        <v>207</v>
      </c>
      <c r="D99" s="26" t="s">
        <v>303</v>
      </c>
      <c r="E99" s="25" t="s">
        <v>304</v>
      </c>
      <c r="F99" s="24" t="str">
        <f aca="false">IF($D99="","",IF(MID($D99,5,1)="S","S(봄)",IF(MID($D99,5,1)="M","M(여름)",IF(MID($D99,5,1)="X","X(사계절)",MID($D99,5,1)))))</f>
        <v>S(봄)</v>
      </c>
      <c r="G99" s="25" t="s">
        <v>62</v>
      </c>
      <c r="H99" s="24"/>
      <c r="I99" s="27" t="s">
        <v>260</v>
      </c>
      <c r="J99" s="28" t="n">
        <f aca="false">IF($I99="","",IFERROR(DATE(IF(VALUE(LEFT($I99,FIND("월",$I99)-1))&gt;=9,기준정보!$C$7-1,기준정보!$C$7),VALUE(LEFT($I99,FIND("월",$I99)-1)),1+7*(VALUE(SUBSTITUTE(MID($I99,FIND("월",$I99)+1,5),"주",""))-1)),""))</f>
        <v>46419</v>
      </c>
      <c r="K99" s="28" t="n">
        <f aca="false">IF($J99="","",$J99-기준정보!$C$5)</f>
        <v>46405</v>
      </c>
      <c r="L99" s="28" t="n">
        <f aca="false">IF($K99="","",$K99-기준정보!$C$6)</f>
        <v>46315</v>
      </c>
      <c r="M99" s="29" t="n">
        <f aca="false">IF($L99="","",$L99-기준정보!$C$4)</f>
        <v>73</v>
      </c>
      <c r="N99" s="27" t="s">
        <v>65</v>
      </c>
      <c r="O99" s="30"/>
      <c r="P99" s="26" t="str">
        <f aca="false">IF($G99="","",IF(AND(ISNUMBER(SEARCH("CMT",$G99)),OR(ISNUMBER(SEARCH("완사입",$G99)),ISNUMBER(SEARCH("ODM",$G99)))),"본사/생산처 혼재",IF(ISNUMBER(SEARCH("CMT",$G99)),"본사(소재팀)","생산처")))</f>
        <v>생산처</v>
      </c>
      <c r="Q99" s="26" t="s">
        <v>193</v>
      </c>
      <c r="R99" s="25" t="s">
        <v>71</v>
      </c>
      <c r="S99" s="31" t="n">
        <v>1200</v>
      </c>
      <c r="T99" s="26" t="s">
        <v>260</v>
      </c>
      <c r="U99" s="26" t="str">
        <f aca="false">IF($J99="","출고일 미정",IF($N99="X","작지 미발행",IF($N99="부분","작지 일부 미발행",IF(AND($O99&lt;&gt;"",$O99&gt;$L99),"소재입고 마감("&amp;TEXT($L99,"MM/DD")&amp;") 초과",IF($N99="","발행여부 확인 필요",IF($O99="","소재 입고일정 확인 필요","정상"))))))</f>
        <v>소재 입고일정 확인 필요</v>
      </c>
      <c r="V99" s="24" t="str">
        <f aca="false">IF($J99="","",IF(OR(LEFT($U99,2)="작지",LEFT($U99,4)="소재입고"),IF(LEFT($F99,1)="S","★ 납기위험(S코드)","◆ 지연주의"),IF($U99="정상","✓ 정상","? 확인필요")))</f>
        <v>? 확인필요</v>
      </c>
      <c r="W99" s="27"/>
      <c r="X99" s="32"/>
    </row>
    <row r="100" customFormat="false" ht="15" hidden="false" customHeight="false" outlineLevel="0" collapsed="false">
      <c r="A100" s="24" t="n">
        <v>96</v>
      </c>
      <c r="B100" s="25" t="s">
        <v>200</v>
      </c>
      <c r="C100" s="25" t="s">
        <v>207</v>
      </c>
      <c r="D100" s="26" t="s">
        <v>305</v>
      </c>
      <c r="E100" s="25" t="s">
        <v>306</v>
      </c>
      <c r="F100" s="24" t="str">
        <f aca="false">IF($D100="","",IF(MID($D100,5,1)="S","S(봄)",IF(MID($D100,5,1)="M","M(여름)",IF(MID($D100,5,1)="X","X(사계절)",MID($D100,5,1)))))</f>
        <v>S(봄)</v>
      </c>
      <c r="G100" s="25" t="s">
        <v>62</v>
      </c>
      <c r="H100" s="24"/>
      <c r="I100" s="27" t="s">
        <v>260</v>
      </c>
      <c r="J100" s="28" t="n">
        <f aca="false">IF($I100="","",IFERROR(DATE(IF(VALUE(LEFT($I100,FIND("월",$I100)-1))&gt;=9,기준정보!$C$7-1,기준정보!$C$7),VALUE(LEFT($I100,FIND("월",$I100)-1)),1+7*(VALUE(SUBSTITUTE(MID($I100,FIND("월",$I100)+1,5),"주",""))-1)),""))</f>
        <v>46419</v>
      </c>
      <c r="K100" s="28" t="n">
        <f aca="false">IF($J100="","",$J100-기준정보!$C$5)</f>
        <v>46405</v>
      </c>
      <c r="L100" s="28" t="n">
        <f aca="false">IF($K100="","",$K100-기준정보!$C$6)</f>
        <v>46315</v>
      </c>
      <c r="M100" s="29" t="n">
        <f aca="false">IF($L100="","",$L100-기준정보!$C$4)</f>
        <v>73</v>
      </c>
      <c r="N100" s="27" t="s">
        <v>65</v>
      </c>
      <c r="O100" s="30"/>
      <c r="P100" s="26" t="str">
        <f aca="false">IF($G100="","",IF(AND(ISNUMBER(SEARCH("CMT",$G100)),OR(ISNUMBER(SEARCH("완사입",$G100)),ISNUMBER(SEARCH("ODM",$G100)))),"본사/생산처 혼재",IF(ISNUMBER(SEARCH("CMT",$G100)),"본사(소재팀)","생산처")))</f>
        <v>생산처</v>
      </c>
      <c r="Q100" s="25" t="s">
        <v>307</v>
      </c>
      <c r="R100" s="25" t="s">
        <v>67</v>
      </c>
      <c r="S100" s="31" t="n">
        <v>1000</v>
      </c>
      <c r="T100" s="26"/>
      <c r="U100" s="26" t="str">
        <f aca="false">IF($J100="","출고일 미정",IF($N100="X","작지 미발행",IF($N100="부분","작지 일부 미발행",IF(AND($O100&lt;&gt;"",$O100&gt;$L100),"소재입고 마감("&amp;TEXT($L100,"MM/DD")&amp;") 초과",IF($N100="","발행여부 확인 필요",IF($O100="","소재 입고일정 확인 필요","정상"))))))</f>
        <v>소재 입고일정 확인 필요</v>
      </c>
      <c r="V100" s="24" t="str">
        <f aca="false">IF($J100="","",IF(OR(LEFT($U100,2)="작지",LEFT($U100,4)="소재입고"),IF(LEFT($F100,1)="S","★ 납기위험(S코드)","◆ 지연주의"),IF($U100="정상","✓ 정상","? 확인필요")))</f>
        <v>? 확인필요</v>
      </c>
      <c r="W100" s="27"/>
      <c r="X100" s="32"/>
    </row>
    <row r="101" customFormat="false" ht="15" hidden="false" customHeight="false" outlineLevel="0" collapsed="false">
      <c r="A101" s="24" t="n">
        <v>97</v>
      </c>
      <c r="B101" s="25" t="s">
        <v>200</v>
      </c>
      <c r="C101" s="25" t="s">
        <v>207</v>
      </c>
      <c r="D101" s="26" t="s">
        <v>308</v>
      </c>
      <c r="E101" s="25" t="s">
        <v>309</v>
      </c>
      <c r="F101" s="24" t="str">
        <f aca="false">IF($D101="","",IF(MID($D101,5,1)="S","S(봄)",IF(MID($D101,5,1)="M","M(여름)",IF(MID($D101,5,1)="X","X(사계절)",MID($D101,5,1)))))</f>
        <v>S(봄)</v>
      </c>
      <c r="G101" s="25" t="s">
        <v>62</v>
      </c>
      <c r="H101" s="24"/>
      <c r="I101" s="27" t="s">
        <v>260</v>
      </c>
      <c r="J101" s="28" t="n">
        <f aca="false">IF($I101="","",IFERROR(DATE(IF(VALUE(LEFT($I101,FIND("월",$I101)-1))&gt;=9,기준정보!$C$7-1,기준정보!$C$7),VALUE(LEFT($I101,FIND("월",$I101)-1)),1+7*(VALUE(SUBSTITUTE(MID($I101,FIND("월",$I101)+1,5),"주",""))-1)),""))</f>
        <v>46419</v>
      </c>
      <c r="K101" s="28" t="n">
        <f aca="false">IF($J101="","",$J101-기준정보!$C$5)</f>
        <v>46405</v>
      </c>
      <c r="L101" s="28" t="n">
        <f aca="false">IF($K101="","",$K101-기준정보!$C$6)</f>
        <v>46315</v>
      </c>
      <c r="M101" s="29" t="n">
        <f aca="false">IF($L101="","",$L101-기준정보!$C$4)</f>
        <v>73</v>
      </c>
      <c r="N101" s="27" t="s">
        <v>65</v>
      </c>
      <c r="O101" s="30"/>
      <c r="P101" s="26" t="str">
        <f aca="false">IF($G101="","",IF(AND(ISNUMBER(SEARCH("CMT",$G101)),OR(ISNUMBER(SEARCH("완사입",$G101)),ISNUMBER(SEARCH("ODM",$G101)))),"본사/생산처 혼재",IF(ISNUMBER(SEARCH("CMT",$G101)),"본사(소재팀)","생산처")))</f>
        <v>생산처</v>
      </c>
      <c r="Q101" s="26" t="s">
        <v>120</v>
      </c>
      <c r="R101" s="25" t="s">
        <v>67</v>
      </c>
      <c r="S101" s="31" t="n">
        <v>1500</v>
      </c>
      <c r="T101" s="26" t="s">
        <v>260</v>
      </c>
      <c r="U101" s="26" t="str">
        <f aca="false">IF($J101="","출고일 미정",IF($N101="X","작지 미발행",IF($N101="부분","작지 일부 미발행",IF(AND($O101&lt;&gt;"",$O101&gt;$L101),"소재입고 마감("&amp;TEXT($L101,"MM/DD")&amp;") 초과",IF($N101="","발행여부 확인 필요",IF($O101="","소재 입고일정 확인 필요","정상"))))))</f>
        <v>소재 입고일정 확인 필요</v>
      </c>
      <c r="V101" s="24" t="str">
        <f aca="false">IF($J101="","",IF(OR(LEFT($U101,2)="작지",LEFT($U101,4)="소재입고"),IF(LEFT($F101,1)="S","★ 납기위험(S코드)","◆ 지연주의"),IF($U101="정상","✓ 정상","? 확인필요")))</f>
        <v>? 확인필요</v>
      </c>
      <c r="W101" s="27"/>
      <c r="X101" s="32"/>
    </row>
    <row r="102" customFormat="false" ht="15" hidden="false" customHeight="false" outlineLevel="0" collapsed="false">
      <c r="A102" s="24" t="n">
        <v>98</v>
      </c>
      <c r="B102" s="25" t="s">
        <v>211</v>
      </c>
      <c r="C102" s="25" t="s">
        <v>212</v>
      </c>
      <c r="D102" s="26" t="s">
        <v>310</v>
      </c>
      <c r="E102" s="25" t="s">
        <v>311</v>
      </c>
      <c r="F102" s="24" t="str">
        <f aca="false">IF($D102="","",IF(MID($D102,5,1)="S","S(봄)",IF(MID($D102,5,1)="M","M(여름)",IF(MID($D102,5,1)="X","X(사계절)",MID($D102,5,1)))))</f>
        <v>S(봄)</v>
      </c>
      <c r="G102" s="26" t="s">
        <v>167</v>
      </c>
      <c r="H102" s="24" t="s">
        <v>300</v>
      </c>
      <c r="I102" s="27" t="s">
        <v>312</v>
      </c>
      <c r="J102" s="28" t="n">
        <f aca="false">IF($I102="","",IFERROR(DATE(IF(VALUE(LEFT($I102,FIND("월",$I102)-1))&gt;=9,기준정보!$C$7-1,기준정보!$C$7),VALUE(LEFT($I102,FIND("월",$I102)-1)),1+7*(VALUE(SUBSTITUTE(MID($I102,FIND("월",$I102)+1,5),"주",""))-1)),""))</f>
        <v>46426</v>
      </c>
      <c r="K102" s="28" t="n">
        <f aca="false">IF($J102="","",$J102-기준정보!$C$5)</f>
        <v>46412</v>
      </c>
      <c r="L102" s="28" t="n">
        <f aca="false">IF($K102="","",$K102-기준정보!$C$6)</f>
        <v>46322</v>
      </c>
      <c r="M102" s="29" t="n">
        <f aca="false">IF($L102="","",$L102-기준정보!$C$4)</f>
        <v>80</v>
      </c>
      <c r="N102" s="27" t="s">
        <v>65</v>
      </c>
      <c r="O102" s="30"/>
      <c r="P102" s="26" t="str">
        <f aca="false">IF($G102="","",IF(AND(ISNUMBER(SEARCH("CMT",$G102)),OR(ISNUMBER(SEARCH("완사입",$G102)),ISNUMBER(SEARCH("ODM",$G102)))),"본사/생산처 혼재",IF(ISNUMBER(SEARCH("CMT",$G102)),"본사(소재팀)","생산처")))</f>
        <v>본사(소재팀)</v>
      </c>
      <c r="Q102" s="26" t="s">
        <v>120</v>
      </c>
      <c r="R102" s="25" t="s">
        <v>67</v>
      </c>
      <c r="S102" s="31" t="n">
        <v>2000</v>
      </c>
      <c r="T102" s="26"/>
      <c r="U102" s="26" t="str">
        <f aca="false">IF($J102="","출고일 미정",IF($N102="X","작지 미발행",IF($N102="부분","작지 일부 미발행",IF(AND($O102&lt;&gt;"",$O102&gt;$L102),"소재입고 마감("&amp;TEXT($L102,"MM/DD")&amp;") 초과",IF($N102="","발행여부 확인 필요",IF($O102="","소재 입고일정 확인 필요","정상"))))))</f>
        <v>소재 입고일정 확인 필요</v>
      </c>
      <c r="V102" s="24" t="str">
        <f aca="false">IF($J102="","",IF(OR(LEFT($U102,2)="작지",LEFT($U102,4)="소재입고"),IF(LEFT($F102,1)="S","★ 납기위험(S코드)","◆ 지연주의"),IF($U102="정상","✓ 정상","? 확인필요")))</f>
        <v>? 확인필요</v>
      </c>
      <c r="W102" s="27"/>
      <c r="X102" s="32"/>
    </row>
    <row r="103" customFormat="false" ht="15" hidden="false" customHeight="false" outlineLevel="0" collapsed="false">
      <c r="A103" s="24" t="n">
        <v>99</v>
      </c>
      <c r="B103" s="25" t="s">
        <v>211</v>
      </c>
      <c r="C103" s="25" t="s">
        <v>212</v>
      </c>
      <c r="D103" s="26" t="s">
        <v>313</v>
      </c>
      <c r="E103" s="25" t="s">
        <v>314</v>
      </c>
      <c r="F103" s="24" t="str">
        <f aca="false">IF($D103="","",IF(MID($D103,5,1)="S","S(봄)",IF(MID($D103,5,1)="M","M(여름)",IF(MID($D103,5,1)="X","X(사계절)",MID($D103,5,1)))))</f>
        <v>S(봄)</v>
      </c>
      <c r="G103" s="25" t="s">
        <v>62</v>
      </c>
      <c r="H103" s="24" t="s">
        <v>300</v>
      </c>
      <c r="I103" s="27" t="s">
        <v>312</v>
      </c>
      <c r="J103" s="28" t="n">
        <f aca="false">IF($I103="","",IFERROR(DATE(IF(VALUE(LEFT($I103,FIND("월",$I103)-1))&gt;=9,기준정보!$C$7-1,기준정보!$C$7),VALUE(LEFT($I103,FIND("월",$I103)-1)),1+7*(VALUE(SUBSTITUTE(MID($I103,FIND("월",$I103)+1,5),"주",""))-1)),""))</f>
        <v>46426</v>
      </c>
      <c r="K103" s="28" t="n">
        <f aca="false">IF($J103="","",$J103-기준정보!$C$5)</f>
        <v>46412</v>
      </c>
      <c r="L103" s="28" t="n">
        <f aca="false">IF($K103="","",$K103-기준정보!$C$6)</f>
        <v>46322</v>
      </c>
      <c r="M103" s="29" t="n">
        <f aca="false">IF($L103="","",$L103-기준정보!$C$4)</f>
        <v>80</v>
      </c>
      <c r="N103" s="27" t="s">
        <v>65</v>
      </c>
      <c r="O103" s="30"/>
      <c r="P103" s="26" t="str">
        <f aca="false">IF($G103="","",IF(AND(ISNUMBER(SEARCH("CMT",$G103)),OR(ISNUMBER(SEARCH("완사입",$G103)),ISNUMBER(SEARCH("ODM",$G103)))),"본사/생산처 혼재",IF(ISNUMBER(SEARCH("CMT",$G103)),"본사(소재팀)","생산처")))</f>
        <v>생산처</v>
      </c>
      <c r="Q103" s="25" t="s">
        <v>307</v>
      </c>
      <c r="R103" s="25" t="s">
        <v>67</v>
      </c>
      <c r="S103" s="31" t="n">
        <v>1200</v>
      </c>
      <c r="T103" s="26"/>
      <c r="U103" s="26" t="str">
        <f aca="false">IF($J103="","출고일 미정",IF($N103="X","작지 미발행",IF($N103="부분","작지 일부 미발행",IF(AND($O103&lt;&gt;"",$O103&gt;$L103),"소재입고 마감("&amp;TEXT($L103,"MM/DD")&amp;") 초과",IF($N103="","발행여부 확인 필요",IF($O103="","소재 입고일정 확인 필요","정상"))))))</f>
        <v>소재 입고일정 확인 필요</v>
      </c>
      <c r="V103" s="24" t="str">
        <f aca="false">IF($J103="","",IF(OR(LEFT($U103,2)="작지",LEFT($U103,4)="소재입고"),IF(LEFT($F103,1)="S","★ 납기위험(S코드)","◆ 지연주의"),IF($U103="정상","✓ 정상","? 확인필요")))</f>
        <v>? 확인필요</v>
      </c>
      <c r="W103" s="27"/>
      <c r="X103" s="32"/>
    </row>
    <row r="104" customFormat="false" ht="15" hidden="false" customHeight="false" outlineLevel="0" collapsed="false">
      <c r="A104" s="24" t="n">
        <v>100</v>
      </c>
      <c r="B104" s="25" t="s">
        <v>99</v>
      </c>
      <c r="C104" s="25" t="s">
        <v>212</v>
      </c>
      <c r="D104" s="26" t="s">
        <v>315</v>
      </c>
      <c r="E104" s="25" t="s">
        <v>316</v>
      </c>
      <c r="F104" s="24" t="str">
        <f aca="false">IF($D104="","",IF(MID($D104,5,1)="S","S(봄)",IF(MID($D104,5,1)="M","M(여름)",IF(MID($D104,5,1)="X","X(사계절)",MID($D104,5,1)))))</f>
        <v>S(봄)</v>
      </c>
      <c r="G104" s="25" t="s">
        <v>62</v>
      </c>
      <c r="H104" s="24"/>
      <c r="I104" s="27" t="s">
        <v>317</v>
      </c>
      <c r="J104" s="28" t="n">
        <f aca="false">IF($I104="","",IFERROR(DATE(IF(VALUE(LEFT($I104,FIND("월",$I104)-1))&gt;=9,기준정보!$C$7-1,기준정보!$C$7),VALUE(LEFT($I104,FIND("월",$I104)-1)),1+7*(VALUE(SUBSTITUTE(MID($I104,FIND("월",$I104)+1,5),"주",""))-1)),""))</f>
        <v>46433</v>
      </c>
      <c r="K104" s="28" t="n">
        <f aca="false">IF($J104="","",$J104-기준정보!$C$5)</f>
        <v>46419</v>
      </c>
      <c r="L104" s="28" t="n">
        <f aca="false">IF($K104="","",$K104-기준정보!$C$6)</f>
        <v>46329</v>
      </c>
      <c r="M104" s="29" t="n">
        <f aca="false">IF($L104="","",$L104-기준정보!$C$4)</f>
        <v>87</v>
      </c>
      <c r="N104" s="27" t="s">
        <v>65</v>
      </c>
      <c r="O104" s="30"/>
      <c r="P104" s="26" t="str">
        <f aca="false">IF($G104="","",IF(AND(ISNUMBER(SEARCH("CMT",$G104)),OR(ISNUMBER(SEARCH("완사입",$G104)),ISNUMBER(SEARCH("ODM",$G104)))),"본사/생산처 혼재",IF(ISNUMBER(SEARCH("CMT",$G104)),"본사(소재팀)","생산처")))</f>
        <v>생산처</v>
      </c>
      <c r="Q104" s="25" t="s">
        <v>190</v>
      </c>
      <c r="R104" s="26"/>
      <c r="S104" s="31" t="n">
        <v>2000</v>
      </c>
      <c r="T104" s="26"/>
      <c r="U104" s="26" t="str">
        <f aca="false">IF($J104="","출고일 미정",IF($N104="X","작지 미발행",IF($N104="부분","작지 일부 미발행",IF(AND($O104&lt;&gt;"",$O104&gt;$L104),"소재입고 마감("&amp;TEXT($L104,"MM/DD")&amp;") 초과",IF($N104="","발행여부 확인 필요",IF($O104="","소재 입고일정 확인 필요","정상"))))))</f>
        <v>소재 입고일정 확인 필요</v>
      </c>
      <c r="V104" s="24" t="str">
        <f aca="false">IF($J104="","",IF(OR(LEFT($U104,2)="작지",LEFT($U104,4)="소재입고"),IF(LEFT($F104,1)="S","★ 납기위험(S코드)","◆ 지연주의"),IF($U104="정상","✓ 정상","? 확인필요")))</f>
        <v>? 확인필요</v>
      </c>
      <c r="W104" s="27"/>
      <c r="X104" s="32"/>
    </row>
    <row r="105" customFormat="false" ht="15" hidden="false" customHeight="false" outlineLevel="0" collapsed="false">
      <c r="A105" s="24" t="n">
        <v>101</v>
      </c>
      <c r="B105" s="25" t="s">
        <v>99</v>
      </c>
      <c r="C105" s="25" t="s">
        <v>212</v>
      </c>
      <c r="D105" s="26" t="s">
        <v>318</v>
      </c>
      <c r="E105" s="25" t="s">
        <v>319</v>
      </c>
      <c r="F105" s="24" t="str">
        <f aca="false">IF($D105="","",IF(MID($D105,5,1)="S","S(봄)",IF(MID($D105,5,1)="M","M(여름)",IF(MID($D105,5,1)="X","X(사계절)",MID($D105,5,1)))))</f>
        <v>S(봄)</v>
      </c>
      <c r="G105" s="25" t="s">
        <v>62</v>
      </c>
      <c r="H105" s="24"/>
      <c r="I105" s="27" t="s">
        <v>317</v>
      </c>
      <c r="J105" s="28" t="n">
        <f aca="false">IF($I105="","",IFERROR(DATE(IF(VALUE(LEFT($I105,FIND("월",$I105)-1))&gt;=9,기준정보!$C$7-1,기준정보!$C$7),VALUE(LEFT($I105,FIND("월",$I105)-1)),1+7*(VALUE(SUBSTITUTE(MID($I105,FIND("월",$I105)+1,5),"주",""))-1)),""))</f>
        <v>46433</v>
      </c>
      <c r="K105" s="28" t="n">
        <f aca="false">IF($J105="","",$J105-기준정보!$C$5)</f>
        <v>46419</v>
      </c>
      <c r="L105" s="28" t="n">
        <f aca="false">IF($K105="","",$K105-기준정보!$C$6)</f>
        <v>46329</v>
      </c>
      <c r="M105" s="29" t="n">
        <f aca="false">IF($L105="","",$L105-기준정보!$C$4)</f>
        <v>87</v>
      </c>
      <c r="N105" s="27" t="s">
        <v>65</v>
      </c>
      <c r="O105" s="30"/>
      <c r="P105" s="26" t="str">
        <f aca="false">IF($G105="","",IF(AND(ISNUMBER(SEARCH("CMT",$G105)),OR(ISNUMBER(SEARCH("완사입",$G105)),ISNUMBER(SEARCH("ODM",$G105)))),"본사/생산처 혼재",IF(ISNUMBER(SEARCH("CMT",$G105)),"본사(소재팀)","생산처")))</f>
        <v>생산처</v>
      </c>
      <c r="Q105" s="25" t="s">
        <v>190</v>
      </c>
      <c r="R105" s="26"/>
      <c r="S105" s="31" t="n">
        <v>1400</v>
      </c>
      <c r="T105" s="26"/>
      <c r="U105" s="26" t="str">
        <f aca="false">IF($J105="","출고일 미정",IF($N105="X","작지 미발행",IF($N105="부분","작지 일부 미발행",IF(AND($O105&lt;&gt;"",$O105&gt;$L105),"소재입고 마감("&amp;TEXT($L105,"MM/DD")&amp;") 초과",IF($N105="","발행여부 확인 필요",IF($O105="","소재 입고일정 확인 필요","정상"))))))</f>
        <v>소재 입고일정 확인 필요</v>
      </c>
      <c r="V105" s="24" t="str">
        <f aca="false">IF($J105="","",IF(OR(LEFT($U105,2)="작지",LEFT($U105,4)="소재입고"),IF(LEFT($F105,1)="S","★ 납기위험(S코드)","◆ 지연주의"),IF($U105="정상","✓ 정상","? 확인필요")))</f>
        <v>? 확인필요</v>
      </c>
      <c r="W105" s="27"/>
      <c r="X105" s="32"/>
    </row>
    <row r="106" customFormat="false" ht="15" hidden="false" customHeight="false" outlineLevel="0" collapsed="false">
      <c r="A106" s="24" t="n">
        <v>102</v>
      </c>
      <c r="B106" s="25" t="s">
        <v>99</v>
      </c>
      <c r="C106" s="25" t="s">
        <v>207</v>
      </c>
      <c r="D106" s="26" t="s">
        <v>320</v>
      </c>
      <c r="E106" s="25" t="s">
        <v>321</v>
      </c>
      <c r="F106" s="24" t="str">
        <f aca="false">IF($D106="","",IF(MID($D106,5,1)="S","S(봄)",IF(MID($D106,5,1)="M","M(여름)",IF(MID($D106,5,1)="X","X(사계절)",MID($D106,5,1)))))</f>
        <v>S(봄)</v>
      </c>
      <c r="G106" s="25" t="s">
        <v>62</v>
      </c>
      <c r="H106" s="24"/>
      <c r="I106" s="27" t="s">
        <v>317</v>
      </c>
      <c r="J106" s="28" t="n">
        <f aca="false">IF($I106="","",IFERROR(DATE(IF(VALUE(LEFT($I106,FIND("월",$I106)-1))&gt;=9,기준정보!$C$7-1,기준정보!$C$7),VALUE(LEFT($I106,FIND("월",$I106)-1)),1+7*(VALUE(SUBSTITUTE(MID($I106,FIND("월",$I106)+1,5),"주",""))-1)),""))</f>
        <v>46433</v>
      </c>
      <c r="K106" s="28" t="n">
        <f aca="false">IF($J106="","",$J106-기준정보!$C$5)</f>
        <v>46419</v>
      </c>
      <c r="L106" s="28" t="n">
        <f aca="false">IF($K106="","",$K106-기준정보!$C$6)</f>
        <v>46329</v>
      </c>
      <c r="M106" s="29" t="n">
        <f aca="false">IF($L106="","",$L106-기준정보!$C$4)</f>
        <v>87</v>
      </c>
      <c r="N106" s="27" t="s">
        <v>65</v>
      </c>
      <c r="O106" s="30"/>
      <c r="P106" s="26" t="str">
        <f aca="false">IF($G106="","",IF(AND(ISNUMBER(SEARCH("CMT",$G106)),OR(ISNUMBER(SEARCH("완사입",$G106)),ISNUMBER(SEARCH("ODM",$G106)))),"본사/생산처 혼재",IF(ISNUMBER(SEARCH("CMT",$G106)),"본사(소재팀)","생산처")))</f>
        <v>생산처</v>
      </c>
      <c r="Q106" s="25" t="s">
        <v>190</v>
      </c>
      <c r="R106" s="25" t="s">
        <v>67</v>
      </c>
      <c r="S106" s="31" t="n">
        <v>1800</v>
      </c>
      <c r="T106" s="26"/>
      <c r="U106" s="26" t="str">
        <f aca="false">IF($J106="","출고일 미정",IF($N106="X","작지 미발행",IF($N106="부분","작지 일부 미발행",IF(AND($O106&lt;&gt;"",$O106&gt;$L106),"소재입고 마감("&amp;TEXT($L106,"MM/DD")&amp;") 초과",IF($N106="","발행여부 확인 필요",IF($O106="","소재 입고일정 확인 필요","정상"))))))</f>
        <v>소재 입고일정 확인 필요</v>
      </c>
      <c r="V106" s="24" t="str">
        <f aca="false">IF($J106="","",IF(OR(LEFT($U106,2)="작지",LEFT($U106,4)="소재입고"),IF(LEFT($F106,1)="S","★ 납기위험(S코드)","◆ 지연주의"),IF($U106="정상","✓ 정상","? 확인필요")))</f>
        <v>? 확인필요</v>
      </c>
      <c r="W106" s="27"/>
      <c r="X106" s="32"/>
    </row>
    <row r="107" customFormat="false" ht="15" hidden="false" customHeight="false" outlineLevel="0" collapsed="false">
      <c r="A107" s="24" t="n">
        <v>103</v>
      </c>
      <c r="B107" s="25" t="s">
        <v>99</v>
      </c>
      <c r="C107" s="25" t="s">
        <v>207</v>
      </c>
      <c r="D107" s="26" t="s">
        <v>322</v>
      </c>
      <c r="E107" s="25" t="s">
        <v>323</v>
      </c>
      <c r="F107" s="24" t="str">
        <f aca="false">IF($D107="","",IF(MID($D107,5,1)="S","S(봄)",IF(MID($D107,5,1)="M","M(여름)",IF(MID($D107,5,1)="X","X(사계절)",MID($D107,5,1)))))</f>
        <v>S(봄)</v>
      </c>
      <c r="G107" s="25" t="s">
        <v>62</v>
      </c>
      <c r="H107" s="24"/>
      <c r="I107" s="27" t="s">
        <v>317</v>
      </c>
      <c r="J107" s="28" t="n">
        <f aca="false">IF($I107="","",IFERROR(DATE(IF(VALUE(LEFT($I107,FIND("월",$I107)-1))&gt;=9,기준정보!$C$7-1,기준정보!$C$7),VALUE(LEFT($I107,FIND("월",$I107)-1)),1+7*(VALUE(SUBSTITUTE(MID($I107,FIND("월",$I107)+1,5),"주",""))-1)),""))</f>
        <v>46433</v>
      </c>
      <c r="K107" s="28" t="n">
        <f aca="false">IF($J107="","",$J107-기준정보!$C$5)</f>
        <v>46419</v>
      </c>
      <c r="L107" s="28" t="n">
        <f aca="false">IF($K107="","",$K107-기준정보!$C$6)</f>
        <v>46329</v>
      </c>
      <c r="M107" s="29" t="n">
        <f aca="false">IF($L107="","",$L107-기준정보!$C$4)</f>
        <v>87</v>
      </c>
      <c r="N107" s="27" t="s">
        <v>65</v>
      </c>
      <c r="O107" s="30"/>
      <c r="P107" s="26" t="str">
        <f aca="false">IF($G107="","",IF(AND(ISNUMBER(SEARCH("CMT",$G107)),OR(ISNUMBER(SEARCH("완사입",$G107)),ISNUMBER(SEARCH("ODM",$G107)))),"본사/생산처 혼재",IF(ISNUMBER(SEARCH("CMT",$G107)),"본사(소재팀)","생산처")))</f>
        <v>생산처</v>
      </c>
      <c r="Q107" s="25" t="s">
        <v>190</v>
      </c>
      <c r="R107" s="25" t="s">
        <v>67</v>
      </c>
      <c r="S107" s="31" t="n">
        <v>1800</v>
      </c>
      <c r="T107" s="26"/>
      <c r="U107" s="26" t="str">
        <f aca="false">IF($J107="","출고일 미정",IF($N107="X","작지 미발행",IF($N107="부분","작지 일부 미발행",IF(AND($O107&lt;&gt;"",$O107&gt;$L107),"소재입고 마감("&amp;TEXT($L107,"MM/DD")&amp;") 초과",IF($N107="","발행여부 확인 필요",IF($O107="","소재 입고일정 확인 필요","정상"))))))</f>
        <v>소재 입고일정 확인 필요</v>
      </c>
      <c r="V107" s="24" t="str">
        <f aca="false">IF($J107="","",IF(OR(LEFT($U107,2)="작지",LEFT($U107,4)="소재입고"),IF(LEFT($F107,1)="S","★ 납기위험(S코드)","◆ 지연주의"),IF($U107="정상","✓ 정상","? 확인필요")))</f>
        <v>? 확인필요</v>
      </c>
      <c r="W107" s="27"/>
      <c r="X107" s="32"/>
    </row>
    <row r="108" customFormat="false" ht="15" hidden="false" customHeight="false" outlineLevel="0" collapsed="false">
      <c r="A108" s="24" t="n">
        <v>104</v>
      </c>
      <c r="B108" s="25" t="s">
        <v>175</v>
      </c>
      <c r="C108" s="25" t="s">
        <v>160</v>
      </c>
      <c r="D108" s="26" t="s">
        <v>324</v>
      </c>
      <c r="E108" s="25" t="s">
        <v>325</v>
      </c>
      <c r="F108" s="24" t="str">
        <f aca="false">IF($D108="","",IF(MID($D108,5,1)="S","S(봄)",IF(MID($D108,5,1)="M","M(여름)",IF(MID($D108,5,1)="X","X(사계절)",MID($D108,5,1)))))</f>
        <v>S(봄)</v>
      </c>
      <c r="G108" s="25" t="s">
        <v>62</v>
      </c>
      <c r="H108" s="24" t="s">
        <v>326</v>
      </c>
      <c r="I108" s="27" t="s">
        <v>327</v>
      </c>
      <c r="J108" s="28" t="n">
        <f aca="false">IF($I108="","",IFERROR(DATE(IF(VALUE(LEFT($I108,FIND("월",$I108)-1))&gt;=9,기준정보!$C$7-1,기준정보!$C$7),VALUE(LEFT($I108,FIND("월",$I108)-1)),1+7*(VALUE(SUBSTITUTE(MID($I108,FIND("월",$I108)+1,5),"주",""))-1)),""))</f>
        <v>46478</v>
      </c>
      <c r="K108" s="28" t="n">
        <f aca="false">IF($J108="","",$J108-기준정보!$C$5)</f>
        <v>46464</v>
      </c>
      <c r="L108" s="28" t="n">
        <f aca="false">IF($K108="","",$K108-기준정보!$C$6)</f>
        <v>46374</v>
      </c>
      <c r="M108" s="29" t="n">
        <f aca="false">IF($L108="","",$L108-기준정보!$C$4)</f>
        <v>132</v>
      </c>
      <c r="N108" s="27" t="s">
        <v>65</v>
      </c>
      <c r="O108" s="30"/>
      <c r="P108" s="26" t="str">
        <f aca="false">IF($G108="","",IF(AND(ISNUMBER(SEARCH("CMT",$G108)),OR(ISNUMBER(SEARCH("완사입",$G108)),ISNUMBER(SEARCH("ODM",$G108)))),"본사/생산처 혼재",IF(ISNUMBER(SEARCH("CMT",$G108)),"본사(소재팀)","생산처")))</f>
        <v>생산처</v>
      </c>
      <c r="Q108" s="25" t="s">
        <v>204</v>
      </c>
      <c r="R108" s="25" t="s">
        <v>67</v>
      </c>
      <c r="S108" s="31" t="n">
        <v>1000</v>
      </c>
      <c r="T108" s="26"/>
      <c r="U108" s="26" t="str">
        <f aca="false">IF($J108="","출고일 미정",IF($N108="X","작지 미발행",IF($N108="부분","작지 일부 미발행",IF(AND($O108&lt;&gt;"",$O108&gt;$L108),"소재입고 마감("&amp;TEXT($L108,"MM/DD")&amp;") 초과",IF($N108="","발행여부 확인 필요",IF($O108="","소재 입고일정 확인 필요","정상"))))))</f>
        <v>소재 입고일정 확인 필요</v>
      </c>
      <c r="V108" s="24" t="str">
        <f aca="false">IF($J108="","",IF(OR(LEFT($U108,2)="작지",LEFT($U108,4)="소재입고"),IF(LEFT($F108,1)="S","★ 납기위험(S코드)","◆ 지연주의"),IF($U108="정상","✓ 정상","? 확인필요")))</f>
        <v>? 확인필요</v>
      </c>
      <c r="W108" s="27"/>
      <c r="X108" s="32"/>
    </row>
    <row r="109" customFormat="false" ht="15" hidden="false" customHeight="false" outlineLevel="0" collapsed="false">
      <c r="A109" s="24" t="n">
        <v>105</v>
      </c>
      <c r="B109" s="25" t="s">
        <v>175</v>
      </c>
      <c r="C109" s="25" t="s">
        <v>160</v>
      </c>
      <c r="D109" s="26" t="s">
        <v>328</v>
      </c>
      <c r="E109" s="25" t="s">
        <v>329</v>
      </c>
      <c r="F109" s="24" t="str">
        <f aca="false">IF($D109="","",IF(MID($D109,5,1)="S","S(봄)",IF(MID($D109,5,1)="M","M(여름)",IF(MID($D109,5,1)="X","X(사계절)",MID($D109,5,1)))))</f>
        <v>S(봄)</v>
      </c>
      <c r="G109" s="25" t="s">
        <v>62</v>
      </c>
      <c r="H109" s="24" t="s">
        <v>326</v>
      </c>
      <c r="I109" s="27" t="s">
        <v>327</v>
      </c>
      <c r="J109" s="28" t="n">
        <f aca="false">IF($I109="","",IFERROR(DATE(IF(VALUE(LEFT($I109,FIND("월",$I109)-1))&gt;=9,기준정보!$C$7-1,기준정보!$C$7),VALUE(LEFT($I109,FIND("월",$I109)-1)),1+7*(VALUE(SUBSTITUTE(MID($I109,FIND("월",$I109)+1,5),"주",""))-1)),""))</f>
        <v>46478</v>
      </c>
      <c r="K109" s="28" t="n">
        <f aca="false">IF($J109="","",$J109-기준정보!$C$5)</f>
        <v>46464</v>
      </c>
      <c r="L109" s="28" t="n">
        <f aca="false">IF($K109="","",$K109-기준정보!$C$6)</f>
        <v>46374</v>
      </c>
      <c r="M109" s="29" t="n">
        <f aca="false">IF($L109="","",$L109-기준정보!$C$4)</f>
        <v>132</v>
      </c>
      <c r="N109" s="27" t="s">
        <v>65</v>
      </c>
      <c r="O109" s="30"/>
      <c r="P109" s="26" t="str">
        <f aca="false">IF($G109="","",IF(AND(ISNUMBER(SEARCH("CMT",$G109)),OR(ISNUMBER(SEARCH("완사입",$G109)),ISNUMBER(SEARCH("ODM",$G109)))),"본사/생산처 혼재",IF(ISNUMBER(SEARCH("CMT",$G109)),"본사(소재팀)","생산처")))</f>
        <v>생산처</v>
      </c>
      <c r="Q109" s="25" t="s">
        <v>84</v>
      </c>
      <c r="R109" s="25" t="s">
        <v>67</v>
      </c>
      <c r="S109" s="31" t="n">
        <v>4500</v>
      </c>
      <c r="T109" s="26"/>
      <c r="U109" s="26" t="str">
        <f aca="false">IF($J109="","출고일 미정",IF($N109="X","작지 미발행",IF($N109="부분","작지 일부 미발행",IF(AND($O109&lt;&gt;"",$O109&gt;$L109),"소재입고 마감("&amp;TEXT($L109,"MM/DD")&amp;") 초과",IF($N109="","발행여부 확인 필요",IF($O109="","소재 입고일정 확인 필요","정상"))))))</f>
        <v>소재 입고일정 확인 필요</v>
      </c>
      <c r="V109" s="24" t="str">
        <f aca="false">IF($J109="","",IF(OR(LEFT($U109,2)="작지",LEFT($U109,4)="소재입고"),IF(LEFT($F109,1)="S","★ 납기위험(S코드)","◆ 지연주의"),IF($U109="정상","✓ 정상","? 확인필요")))</f>
        <v>? 확인필요</v>
      </c>
      <c r="W109" s="27"/>
      <c r="X109" s="32"/>
    </row>
    <row r="110" customFormat="false" ht="15" hidden="false" customHeight="false" outlineLevel="0" collapsed="false">
      <c r="A110" s="24" t="n">
        <v>106</v>
      </c>
      <c r="B110" s="25" t="s">
        <v>175</v>
      </c>
      <c r="C110" s="25" t="s">
        <v>160</v>
      </c>
      <c r="D110" s="26" t="s">
        <v>330</v>
      </c>
      <c r="E110" s="25" t="s">
        <v>331</v>
      </c>
      <c r="F110" s="24" t="str">
        <f aca="false">IF($D110="","",IF(MID($D110,5,1)="S","S(봄)",IF(MID($D110,5,1)="M","M(여름)",IF(MID($D110,5,1)="X","X(사계절)",MID($D110,5,1)))))</f>
        <v>S(봄)</v>
      </c>
      <c r="G110" s="25" t="s">
        <v>62</v>
      </c>
      <c r="H110" s="24" t="s">
        <v>326</v>
      </c>
      <c r="I110" s="27" t="s">
        <v>327</v>
      </c>
      <c r="J110" s="28" t="n">
        <f aca="false">IF($I110="","",IFERROR(DATE(IF(VALUE(LEFT($I110,FIND("월",$I110)-1))&gt;=9,기준정보!$C$7-1,기준정보!$C$7),VALUE(LEFT($I110,FIND("월",$I110)-1)),1+7*(VALUE(SUBSTITUTE(MID($I110,FIND("월",$I110)+1,5),"주",""))-1)),""))</f>
        <v>46478</v>
      </c>
      <c r="K110" s="28" t="n">
        <f aca="false">IF($J110="","",$J110-기준정보!$C$5)</f>
        <v>46464</v>
      </c>
      <c r="L110" s="28" t="n">
        <f aca="false">IF($K110="","",$K110-기준정보!$C$6)</f>
        <v>46374</v>
      </c>
      <c r="M110" s="29" t="n">
        <f aca="false">IF($L110="","",$L110-기준정보!$C$4)</f>
        <v>132</v>
      </c>
      <c r="N110" s="27" t="s">
        <v>65</v>
      </c>
      <c r="O110" s="30"/>
      <c r="P110" s="26" t="str">
        <f aca="false">IF($G110="","",IF(AND(ISNUMBER(SEARCH("CMT",$G110)),OR(ISNUMBER(SEARCH("완사입",$G110)),ISNUMBER(SEARCH("ODM",$G110)))),"본사/생산처 혼재",IF(ISNUMBER(SEARCH("CMT",$G110)),"본사(소재팀)","생산처")))</f>
        <v>생산처</v>
      </c>
      <c r="Q110" s="26" t="s">
        <v>193</v>
      </c>
      <c r="R110" s="25" t="s">
        <v>71</v>
      </c>
      <c r="S110" s="31" t="n">
        <v>2000</v>
      </c>
      <c r="T110" s="26"/>
      <c r="U110" s="26" t="str">
        <f aca="false">IF($J110="","출고일 미정",IF($N110="X","작지 미발행",IF($N110="부분","작지 일부 미발행",IF(AND($O110&lt;&gt;"",$O110&gt;$L110),"소재입고 마감("&amp;TEXT($L110,"MM/DD")&amp;") 초과",IF($N110="","발행여부 확인 필요",IF($O110="","소재 입고일정 확인 필요","정상"))))))</f>
        <v>소재 입고일정 확인 필요</v>
      </c>
      <c r="V110" s="24" t="str">
        <f aca="false">IF($J110="","",IF(OR(LEFT($U110,2)="작지",LEFT($U110,4)="소재입고"),IF(LEFT($F110,1)="S","★ 납기위험(S코드)","◆ 지연주의"),IF($U110="정상","✓ 정상","? 확인필요")))</f>
        <v>? 확인필요</v>
      </c>
      <c r="W110" s="27"/>
      <c r="X110" s="32"/>
    </row>
    <row r="111" customFormat="false" ht="15" hidden="false" customHeight="false" outlineLevel="0" collapsed="false">
      <c r="A111" s="24" t="n">
        <v>107</v>
      </c>
      <c r="B111" s="25" t="s">
        <v>175</v>
      </c>
      <c r="C111" s="25" t="s">
        <v>160</v>
      </c>
      <c r="D111" s="26" t="s">
        <v>332</v>
      </c>
      <c r="E111" s="25" t="s">
        <v>333</v>
      </c>
      <c r="F111" s="24" t="str">
        <f aca="false">IF($D111="","",IF(MID($D111,5,1)="S","S(봄)",IF(MID($D111,5,1)="M","M(여름)",IF(MID($D111,5,1)="X","X(사계절)",MID($D111,5,1)))))</f>
        <v>S(봄)</v>
      </c>
      <c r="G111" s="25" t="s">
        <v>62</v>
      </c>
      <c r="H111" s="24" t="s">
        <v>326</v>
      </c>
      <c r="I111" s="27" t="s">
        <v>327</v>
      </c>
      <c r="J111" s="28" t="n">
        <f aca="false">IF($I111="","",IFERROR(DATE(IF(VALUE(LEFT($I111,FIND("월",$I111)-1))&gt;=9,기준정보!$C$7-1,기준정보!$C$7),VALUE(LEFT($I111,FIND("월",$I111)-1)),1+7*(VALUE(SUBSTITUTE(MID($I111,FIND("월",$I111)+1,5),"주",""))-1)),""))</f>
        <v>46478</v>
      </c>
      <c r="K111" s="28" t="n">
        <f aca="false">IF($J111="","",$J111-기준정보!$C$5)</f>
        <v>46464</v>
      </c>
      <c r="L111" s="28" t="n">
        <f aca="false">IF($K111="","",$K111-기준정보!$C$6)</f>
        <v>46374</v>
      </c>
      <c r="M111" s="29" t="n">
        <f aca="false">IF($L111="","",$L111-기준정보!$C$4)</f>
        <v>132</v>
      </c>
      <c r="N111" s="27" t="s">
        <v>65</v>
      </c>
      <c r="O111" s="30"/>
      <c r="P111" s="26" t="str">
        <f aca="false">IF($G111="","",IF(AND(ISNUMBER(SEARCH("CMT",$G111)),OR(ISNUMBER(SEARCH("완사입",$G111)),ISNUMBER(SEARCH("ODM",$G111)))),"본사/생산처 혼재",IF(ISNUMBER(SEARCH("CMT",$G111)),"본사(소재팀)","생산처")))</f>
        <v>생산처</v>
      </c>
      <c r="Q111" s="25" t="s">
        <v>210</v>
      </c>
      <c r="R111" s="25" t="s">
        <v>67</v>
      </c>
      <c r="S111" s="31" t="n">
        <v>1500</v>
      </c>
      <c r="T111" s="26"/>
      <c r="U111" s="26" t="str">
        <f aca="false">IF($J111="","출고일 미정",IF($N111="X","작지 미발행",IF($N111="부분","작지 일부 미발행",IF(AND($O111&lt;&gt;"",$O111&gt;$L111),"소재입고 마감("&amp;TEXT($L111,"MM/DD")&amp;") 초과",IF($N111="","발행여부 확인 필요",IF($O111="","소재 입고일정 확인 필요","정상"))))))</f>
        <v>소재 입고일정 확인 필요</v>
      </c>
      <c r="V111" s="24" t="str">
        <f aca="false">IF($J111="","",IF(OR(LEFT($U111,2)="작지",LEFT($U111,4)="소재입고"),IF(LEFT($F111,1)="S","★ 납기위험(S코드)","◆ 지연주의"),IF($U111="정상","✓ 정상","? 확인필요")))</f>
        <v>? 확인필요</v>
      </c>
      <c r="W111" s="27"/>
      <c r="X111" s="32"/>
    </row>
    <row r="112" customFormat="false" ht="15" hidden="false" customHeight="false" outlineLevel="0" collapsed="false">
      <c r="A112" s="24" t="n">
        <v>108</v>
      </c>
      <c r="B112" s="25" t="s">
        <v>175</v>
      </c>
      <c r="C112" s="25" t="s">
        <v>160</v>
      </c>
      <c r="D112" s="26" t="s">
        <v>334</v>
      </c>
      <c r="E112" s="25" t="s">
        <v>335</v>
      </c>
      <c r="F112" s="24" t="str">
        <f aca="false">IF($D112="","",IF(MID($D112,5,1)="S","S(봄)",IF(MID($D112,5,1)="M","M(여름)",IF(MID($D112,5,1)="X","X(사계절)",MID($D112,5,1)))))</f>
        <v>S(봄)</v>
      </c>
      <c r="G112" s="25" t="s">
        <v>62</v>
      </c>
      <c r="H112" s="24" t="s">
        <v>326</v>
      </c>
      <c r="I112" s="27" t="s">
        <v>327</v>
      </c>
      <c r="J112" s="28" t="n">
        <f aca="false">IF($I112="","",IFERROR(DATE(IF(VALUE(LEFT($I112,FIND("월",$I112)-1))&gt;=9,기준정보!$C$7-1,기준정보!$C$7),VALUE(LEFT($I112,FIND("월",$I112)-1)),1+7*(VALUE(SUBSTITUTE(MID($I112,FIND("월",$I112)+1,5),"주",""))-1)),""))</f>
        <v>46478</v>
      </c>
      <c r="K112" s="28" t="n">
        <f aca="false">IF($J112="","",$J112-기준정보!$C$5)</f>
        <v>46464</v>
      </c>
      <c r="L112" s="28" t="n">
        <f aca="false">IF($K112="","",$K112-기준정보!$C$6)</f>
        <v>46374</v>
      </c>
      <c r="M112" s="29" t="n">
        <f aca="false">IF($L112="","",$L112-기준정보!$C$4)</f>
        <v>132</v>
      </c>
      <c r="N112" s="27" t="s">
        <v>65</v>
      </c>
      <c r="O112" s="30"/>
      <c r="P112" s="26" t="str">
        <f aca="false">IF($G112="","",IF(AND(ISNUMBER(SEARCH("CMT",$G112)),OR(ISNUMBER(SEARCH("완사입",$G112)),ISNUMBER(SEARCH("ODM",$G112)))),"본사/생산처 혼재",IF(ISNUMBER(SEARCH("CMT",$G112)),"본사(소재팀)","생산처")))</f>
        <v>생산처</v>
      </c>
      <c r="Q112" s="25" t="s">
        <v>210</v>
      </c>
      <c r="R112" s="25" t="s">
        <v>67</v>
      </c>
      <c r="S112" s="31" t="n">
        <v>2000</v>
      </c>
      <c r="T112" s="26"/>
      <c r="U112" s="26" t="str">
        <f aca="false">IF($J112="","출고일 미정",IF($N112="X","작지 미발행",IF($N112="부분","작지 일부 미발행",IF(AND($O112&lt;&gt;"",$O112&gt;$L112),"소재입고 마감("&amp;TEXT($L112,"MM/DD")&amp;") 초과",IF($N112="","발행여부 확인 필요",IF($O112="","소재 입고일정 확인 필요","정상"))))))</f>
        <v>소재 입고일정 확인 필요</v>
      </c>
      <c r="V112" s="24" t="str">
        <f aca="false">IF($J112="","",IF(OR(LEFT($U112,2)="작지",LEFT($U112,4)="소재입고"),IF(LEFT($F112,1)="S","★ 납기위험(S코드)","◆ 지연주의"),IF($U112="정상","✓ 정상","? 확인필요")))</f>
        <v>? 확인필요</v>
      </c>
      <c r="W112" s="27"/>
      <c r="X112" s="32"/>
    </row>
    <row r="113" customFormat="false" ht="15" hidden="false" customHeight="false" outlineLevel="0" collapsed="false">
      <c r="A113" s="24" t="n">
        <v>109</v>
      </c>
      <c r="B113" s="25" t="s">
        <v>99</v>
      </c>
      <c r="C113" s="25" t="s">
        <v>100</v>
      </c>
      <c r="D113" s="26" t="s">
        <v>336</v>
      </c>
      <c r="E113" s="25" t="s">
        <v>337</v>
      </c>
      <c r="F113" s="24" t="str">
        <f aca="false">IF($D113="","",IF(MID($D113,5,1)="S","S(봄)",IF(MID($D113,5,1)="M","M(여름)",IF(MID($D113,5,1)="X","X(사계절)",MID($D113,5,1)))))</f>
        <v>M(여름)</v>
      </c>
      <c r="G113" s="25" t="s">
        <v>62</v>
      </c>
      <c r="H113" s="24"/>
      <c r="I113" s="27" t="s">
        <v>64</v>
      </c>
      <c r="J113" s="28" t="n">
        <f aca="false">IF($I113="","",IFERROR(DATE(IF(VALUE(LEFT($I113,FIND("월",$I113)-1))&gt;=9,기준정보!$C$7-1,기준정보!$C$7),VALUE(LEFT($I113,FIND("월",$I113)-1)),1+7*(VALUE(SUBSTITUTE(MID($I113,FIND("월",$I113)+1,5),"주",""))-1)),""))</f>
        <v>46395</v>
      </c>
      <c r="K113" s="28" t="n">
        <f aca="false">IF($J113="","",$J113-기준정보!$C$5)</f>
        <v>46381</v>
      </c>
      <c r="L113" s="28" t="n">
        <f aca="false">IF($K113="","",$K113-기준정보!$C$6)</f>
        <v>46291</v>
      </c>
      <c r="M113" s="29" t="n">
        <f aca="false">IF($L113="","",$L113-기준정보!$C$4)</f>
        <v>49</v>
      </c>
      <c r="N113" s="27" t="s">
        <v>65</v>
      </c>
      <c r="O113" s="30"/>
      <c r="P113" s="26" t="str">
        <f aca="false">IF($G113="","",IF(AND(ISNUMBER(SEARCH("CMT",$G113)),OR(ISNUMBER(SEARCH("완사입",$G113)),ISNUMBER(SEARCH("ODM",$G113)))),"본사/생산처 혼재",IF(ISNUMBER(SEARCH("CMT",$G113)),"본사(소재팀)","생산처")))</f>
        <v>생산처</v>
      </c>
      <c r="Q113" s="26" t="s">
        <v>104</v>
      </c>
      <c r="R113" s="25" t="s">
        <v>67</v>
      </c>
      <c r="S113" s="31" t="n">
        <v>2000</v>
      </c>
      <c r="T113" s="26"/>
      <c r="U113" s="26" t="str">
        <f aca="false">IF($J113="","출고일 미정",IF($N113="X","작지 미발행",IF($N113="부분","작지 일부 미발행",IF(AND($O113&lt;&gt;"",$O113&gt;$L113),"소재입고 마감("&amp;TEXT($L113,"MM/DD")&amp;") 초과",IF($N113="","발행여부 확인 필요",IF($O113="","소재 입고일정 확인 필요","정상"))))))</f>
        <v>소재 입고일정 확인 필요</v>
      </c>
      <c r="V113" s="24" t="str">
        <f aca="false">IF($J113="","",IF(OR(LEFT($U113,2)="작지",LEFT($U113,4)="소재입고"),IF(LEFT($F113,1)="S","★ 납기위험(S코드)","◆ 지연주의"),IF($U113="정상","✓ 정상","? 확인필요")))</f>
        <v>? 확인필요</v>
      </c>
      <c r="W113" s="27"/>
      <c r="X113" s="32"/>
    </row>
    <row r="114" customFormat="false" ht="15" hidden="false" customHeight="false" outlineLevel="0" collapsed="false">
      <c r="A114" s="24" t="n">
        <v>110</v>
      </c>
      <c r="B114" s="25" t="s">
        <v>113</v>
      </c>
      <c r="C114" s="25" t="s">
        <v>114</v>
      </c>
      <c r="D114" s="26" t="s">
        <v>338</v>
      </c>
      <c r="E114" s="26" t="s">
        <v>339</v>
      </c>
      <c r="F114" s="24" t="str">
        <f aca="false">IF($D114="","",IF(MID($D114,5,1)="S","S(봄)",IF(MID($D114,5,1)="M","M(여름)",IF(MID($D114,5,1)="X","X(사계절)",MID($D114,5,1)))))</f>
        <v>M(여름)</v>
      </c>
      <c r="G114" s="25" t="s">
        <v>62</v>
      </c>
      <c r="H114" s="24" t="s">
        <v>340</v>
      </c>
      <c r="I114" s="27" t="s">
        <v>118</v>
      </c>
      <c r="J114" s="28" t="n">
        <f aca="false">IF($I114="","",IFERROR(DATE(IF(VALUE(LEFT($I114,FIND("월",$I114)-1))&gt;=9,기준정보!$C$7-1,기준정보!$C$7),VALUE(LEFT($I114,FIND("월",$I114)-1)),1+7*(VALUE(SUBSTITUTE(MID($I114,FIND("월",$I114)+1,5),"주",""))-1)),""))</f>
        <v>46402</v>
      </c>
      <c r="K114" s="28" t="n">
        <f aca="false">IF($J114="","",$J114-기준정보!$C$5)</f>
        <v>46388</v>
      </c>
      <c r="L114" s="28" t="n">
        <f aca="false">IF($K114="","",$K114-기준정보!$C$6)</f>
        <v>46298</v>
      </c>
      <c r="M114" s="29" t="n">
        <f aca="false">IF($L114="","",$L114-기준정보!$C$4)</f>
        <v>56</v>
      </c>
      <c r="N114" s="27" t="s">
        <v>119</v>
      </c>
      <c r="O114" s="30"/>
      <c r="P114" s="26" t="str">
        <f aca="false">IF($G114="","",IF(AND(ISNUMBER(SEARCH("CMT",$G114)),OR(ISNUMBER(SEARCH("완사입",$G114)),ISNUMBER(SEARCH("ODM",$G114)))),"본사/생산처 혼재",IF(ISNUMBER(SEARCH("CMT",$G114)),"본사(소재팀)","생산처")))</f>
        <v>생산처</v>
      </c>
      <c r="Q114" s="26" t="s">
        <v>193</v>
      </c>
      <c r="R114" s="25" t="s">
        <v>67</v>
      </c>
      <c r="S114" s="31" t="n">
        <v>0</v>
      </c>
      <c r="T114" s="26"/>
      <c r="U114" s="26" t="str">
        <f aca="false">IF($J114="","출고일 미정",IF($N114="X","작지 미발행",IF($N114="부분","작지 일부 미발행",IF(AND($O114&lt;&gt;"",$O114&gt;$L114),"소재입고 마감("&amp;TEXT($L114,"MM/DD")&amp;") 초과",IF($N114="","발행여부 확인 필요",IF($O114="","소재 입고일정 확인 필요","정상"))))))</f>
        <v>작지 미발행</v>
      </c>
      <c r="V114" s="24" t="str">
        <f aca="false">IF($J114="","",IF(OR(LEFT($U114,2)="작지",LEFT($U114,4)="소재입고"),IF(LEFT($F114,1)="S","★ 납기위험(S코드)","◆ 지연주의"),IF($U114="정상","✓ 정상","? 확인필요")))</f>
        <v>◆ 지연주의</v>
      </c>
      <c r="W114" s="27"/>
      <c r="X114" s="32"/>
    </row>
    <row r="115" customFormat="false" ht="15" hidden="false" customHeight="false" outlineLevel="0" collapsed="false">
      <c r="A115" s="24" t="n">
        <v>111</v>
      </c>
      <c r="B115" s="25" t="s">
        <v>159</v>
      </c>
      <c r="C115" s="25" t="s">
        <v>341</v>
      </c>
      <c r="D115" s="26" t="s">
        <v>342</v>
      </c>
      <c r="E115" s="25" t="s">
        <v>343</v>
      </c>
      <c r="F115" s="24" t="str">
        <f aca="false">IF($D115="","",IF(MID($D115,5,1)="S","S(봄)",IF(MID($D115,5,1)="M","M(여름)",IF(MID($D115,5,1)="X","X(사계절)",MID($D115,5,1)))))</f>
        <v>M(여름)</v>
      </c>
      <c r="G115" s="25" t="s">
        <v>62</v>
      </c>
      <c r="H115" s="24" t="s">
        <v>326</v>
      </c>
      <c r="I115" s="27" t="s">
        <v>118</v>
      </c>
      <c r="J115" s="28" t="n">
        <f aca="false">IF($I115="","",IFERROR(DATE(IF(VALUE(LEFT($I115,FIND("월",$I115)-1))&gt;=9,기준정보!$C$7-1,기준정보!$C$7),VALUE(LEFT($I115,FIND("월",$I115)-1)),1+7*(VALUE(SUBSTITUTE(MID($I115,FIND("월",$I115)+1,5),"주",""))-1)),""))</f>
        <v>46402</v>
      </c>
      <c r="K115" s="28" t="n">
        <f aca="false">IF($J115="","",$J115-기준정보!$C$5)</f>
        <v>46388</v>
      </c>
      <c r="L115" s="28" t="n">
        <f aca="false">IF($K115="","",$K115-기준정보!$C$6)</f>
        <v>46298</v>
      </c>
      <c r="M115" s="29" t="n">
        <f aca="false">IF($L115="","",$L115-기준정보!$C$4)</f>
        <v>56</v>
      </c>
      <c r="N115" s="27" t="s">
        <v>65</v>
      </c>
      <c r="O115" s="30"/>
      <c r="P115" s="26" t="str">
        <f aca="false">IF($G115="","",IF(AND(ISNUMBER(SEARCH("CMT",$G115)),OR(ISNUMBER(SEARCH("완사입",$G115)),ISNUMBER(SEARCH("ODM",$G115)))),"본사/생산처 혼재",IF(ISNUMBER(SEARCH("CMT",$G115)),"본사(소재팀)","생산처")))</f>
        <v>생산처</v>
      </c>
      <c r="Q115" s="26" t="s">
        <v>193</v>
      </c>
      <c r="R115" s="25" t="s">
        <v>71</v>
      </c>
      <c r="S115" s="31" t="n">
        <v>850</v>
      </c>
      <c r="T115" s="26" t="s">
        <v>118</v>
      </c>
      <c r="U115" s="26" t="str">
        <f aca="false">IF($J115="","출고일 미정",IF($N115="X","작지 미발행",IF($N115="부분","작지 일부 미발행",IF(AND($O115&lt;&gt;"",$O115&gt;$L115),"소재입고 마감("&amp;TEXT($L115,"MM/DD")&amp;") 초과",IF($N115="","발행여부 확인 필요",IF($O115="","소재 입고일정 확인 필요","정상"))))))</f>
        <v>소재 입고일정 확인 필요</v>
      </c>
      <c r="V115" s="24" t="str">
        <f aca="false">IF($J115="","",IF(OR(LEFT($U115,2)="작지",LEFT($U115,4)="소재입고"),IF(LEFT($F115,1)="S","★ 납기위험(S코드)","◆ 지연주의"),IF($U115="정상","✓ 정상","? 확인필요")))</f>
        <v>? 확인필요</v>
      </c>
      <c r="W115" s="27"/>
      <c r="X115" s="32"/>
    </row>
    <row r="116" customFormat="false" ht="15" hidden="false" customHeight="false" outlineLevel="0" collapsed="false">
      <c r="A116" s="24" t="n">
        <v>112</v>
      </c>
      <c r="B116" s="25" t="s">
        <v>99</v>
      </c>
      <c r="C116" s="25" t="s">
        <v>100</v>
      </c>
      <c r="D116" s="26" t="s">
        <v>344</v>
      </c>
      <c r="E116" s="25" t="s">
        <v>345</v>
      </c>
      <c r="F116" s="24" t="str">
        <f aca="false">IF($D116="","",IF(MID($D116,5,1)="S","S(봄)",IF(MID($D116,5,1)="M","M(여름)",IF(MID($D116,5,1)="X","X(사계절)",MID($D116,5,1)))))</f>
        <v>M(여름)</v>
      </c>
      <c r="G116" s="25" t="s">
        <v>62</v>
      </c>
      <c r="H116" s="24"/>
      <c r="I116" s="27" t="s">
        <v>242</v>
      </c>
      <c r="J116" s="28" t="n">
        <f aca="false">IF($I116="","",IFERROR(DATE(IF(VALUE(LEFT($I116,FIND("월",$I116)-1))&gt;=9,기준정보!$C$7-1,기준정보!$C$7),VALUE(LEFT($I116,FIND("월",$I116)-1)),1+7*(VALUE(SUBSTITUTE(MID($I116,FIND("월",$I116)+1,5),"주",""))-1)),""))</f>
        <v>46409</v>
      </c>
      <c r="K116" s="28" t="n">
        <f aca="false">IF($J116="","",$J116-기준정보!$C$5)</f>
        <v>46395</v>
      </c>
      <c r="L116" s="28" t="n">
        <f aca="false">IF($K116="","",$K116-기준정보!$C$6)</f>
        <v>46305</v>
      </c>
      <c r="M116" s="29" t="n">
        <f aca="false">IF($L116="","",$L116-기준정보!$C$4)</f>
        <v>63</v>
      </c>
      <c r="N116" s="27" t="s">
        <v>65</v>
      </c>
      <c r="O116" s="30"/>
      <c r="P116" s="26" t="str">
        <f aca="false">IF($G116="","",IF(AND(ISNUMBER(SEARCH("CMT",$G116)),OR(ISNUMBER(SEARCH("완사입",$G116)),ISNUMBER(SEARCH("ODM",$G116)))),"본사/생산처 혼재",IF(ISNUMBER(SEARCH("CMT",$G116)),"본사(소재팀)","생산처")))</f>
        <v>생산처</v>
      </c>
      <c r="Q116" s="25" t="s">
        <v>245</v>
      </c>
      <c r="R116" s="25" t="s">
        <v>67</v>
      </c>
      <c r="S116" s="31" t="n">
        <v>67000</v>
      </c>
      <c r="T116" s="26" t="s">
        <v>346</v>
      </c>
      <c r="U116" s="26" t="str">
        <f aca="false">IF($J116="","출고일 미정",IF($N116="X","작지 미발행",IF($N116="부분","작지 일부 미발행",IF(AND($O116&lt;&gt;"",$O116&gt;$L116),"소재입고 마감("&amp;TEXT($L116,"MM/DD")&amp;") 초과",IF($N116="","발행여부 확인 필요",IF($O116="","소재 입고일정 확인 필요","정상"))))))</f>
        <v>소재 입고일정 확인 필요</v>
      </c>
      <c r="V116" s="24" t="str">
        <f aca="false">IF($J116="","",IF(OR(LEFT($U116,2)="작지",LEFT($U116,4)="소재입고"),IF(LEFT($F116,1)="S","★ 납기위험(S코드)","◆ 지연주의"),IF($U116="정상","✓ 정상","? 확인필요")))</f>
        <v>? 확인필요</v>
      </c>
      <c r="W116" s="27"/>
      <c r="X116" s="32"/>
    </row>
    <row r="117" customFormat="false" ht="15" hidden="false" customHeight="false" outlineLevel="0" collapsed="false">
      <c r="A117" s="24" t="n">
        <v>113</v>
      </c>
      <c r="B117" s="25" t="s">
        <v>99</v>
      </c>
      <c r="C117" s="25" t="s">
        <v>100</v>
      </c>
      <c r="D117" s="26" t="s">
        <v>347</v>
      </c>
      <c r="E117" s="25" t="s">
        <v>348</v>
      </c>
      <c r="F117" s="24" t="str">
        <f aca="false">IF($D117="","",IF(MID($D117,5,1)="S","S(봄)",IF(MID($D117,5,1)="M","M(여름)",IF(MID($D117,5,1)="X","X(사계절)",MID($D117,5,1)))))</f>
        <v>M(여름)</v>
      </c>
      <c r="G117" s="26" t="s">
        <v>103</v>
      </c>
      <c r="H117" s="24"/>
      <c r="I117" s="27" t="s">
        <v>242</v>
      </c>
      <c r="J117" s="28" t="n">
        <f aca="false">IF($I117="","",IFERROR(DATE(IF(VALUE(LEFT($I117,FIND("월",$I117)-1))&gt;=9,기준정보!$C$7-1,기준정보!$C$7),VALUE(LEFT($I117,FIND("월",$I117)-1)),1+7*(VALUE(SUBSTITUTE(MID($I117,FIND("월",$I117)+1,5),"주",""))-1)),""))</f>
        <v>46409</v>
      </c>
      <c r="K117" s="28" t="n">
        <f aca="false">IF($J117="","",$J117-기준정보!$C$5)</f>
        <v>46395</v>
      </c>
      <c r="L117" s="28" t="n">
        <f aca="false">IF($K117="","",$K117-기준정보!$C$6)</f>
        <v>46305</v>
      </c>
      <c r="M117" s="29" t="n">
        <f aca="false">IF($L117="","",$L117-기준정보!$C$4)</f>
        <v>63</v>
      </c>
      <c r="N117" s="27" t="s">
        <v>65</v>
      </c>
      <c r="O117" s="30"/>
      <c r="P117" s="26" t="str">
        <f aca="false">IF($G117="","",IF(AND(ISNUMBER(SEARCH("CMT",$G117)),OR(ISNUMBER(SEARCH("완사입",$G117)),ISNUMBER(SEARCH("ODM",$G117)))),"본사/생산처 혼재",IF(ISNUMBER(SEARCH("CMT",$G117)),"본사(소재팀)","생산처")))</f>
        <v>생산처</v>
      </c>
      <c r="Q117" s="26" t="s">
        <v>193</v>
      </c>
      <c r="R117" s="25" t="s">
        <v>71</v>
      </c>
      <c r="S117" s="31" t="n">
        <v>70000</v>
      </c>
      <c r="T117" s="26"/>
      <c r="U117" s="26" t="str">
        <f aca="false">IF($J117="","출고일 미정",IF($N117="X","작지 미발행",IF($N117="부분","작지 일부 미발행",IF(AND($O117&lt;&gt;"",$O117&gt;$L117),"소재입고 마감("&amp;TEXT($L117,"MM/DD")&amp;") 초과",IF($N117="","발행여부 확인 필요",IF($O117="","소재 입고일정 확인 필요","정상"))))))</f>
        <v>소재 입고일정 확인 필요</v>
      </c>
      <c r="V117" s="24" t="str">
        <f aca="false">IF($J117="","",IF(OR(LEFT($U117,2)="작지",LEFT($U117,4)="소재입고"),IF(LEFT($F117,1)="S","★ 납기위험(S코드)","◆ 지연주의"),IF($U117="정상","✓ 정상","? 확인필요")))</f>
        <v>? 확인필요</v>
      </c>
      <c r="W117" s="27"/>
      <c r="X117" s="32"/>
    </row>
    <row r="118" customFormat="false" ht="15" hidden="false" customHeight="false" outlineLevel="0" collapsed="false">
      <c r="A118" s="24" t="n">
        <v>114</v>
      </c>
      <c r="B118" s="25" t="s">
        <v>99</v>
      </c>
      <c r="C118" s="25" t="s">
        <v>100</v>
      </c>
      <c r="D118" s="26" t="s">
        <v>349</v>
      </c>
      <c r="E118" s="25" t="s">
        <v>350</v>
      </c>
      <c r="F118" s="24" t="str">
        <f aca="false">IF($D118="","",IF(MID($D118,5,1)="S","S(봄)",IF(MID($D118,5,1)="M","M(여름)",IF(MID($D118,5,1)="X","X(사계절)",MID($D118,5,1)))))</f>
        <v>M(여름)</v>
      </c>
      <c r="G118" s="25" t="s">
        <v>62</v>
      </c>
      <c r="H118" s="24"/>
      <c r="I118" s="27" t="s">
        <v>242</v>
      </c>
      <c r="J118" s="28" t="n">
        <f aca="false">IF($I118="","",IFERROR(DATE(IF(VALUE(LEFT($I118,FIND("월",$I118)-1))&gt;=9,기준정보!$C$7-1,기준정보!$C$7),VALUE(LEFT($I118,FIND("월",$I118)-1)),1+7*(VALUE(SUBSTITUTE(MID($I118,FIND("월",$I118)+1,5),"주",""))-1)),""))</f>
        <v>46409</v>
      </c>
      <c r="K118" s="28" t="n">
        <f aca="false">IF($J118="","",$J118-기준정보!$C$5)</f>
        <v>46395</v>
      </c>
      <c r="L118" s="28" t="n">
        <f aca="false">IF($K118="","",$K118-기준정보!$C$6)</f>
        <v>46305</v>
      </c>
      <c r="M118" s="29" t="n">
        <f aca="false">IF($L118="","",$L118-기준정보!$C$4)</f>
        <v>63</v>
      </c>
      <c r="N118" s="27" t="s">
        <v>65</v>
      </c>
      <c r="O118" s="30"/>
      <c r="P118" s="26" t="str">
        <f aca="false">IF($G118="","",IF(AND(ISNUMBER(SEARCH("CMT",$G118)),OR(ISNUMBER(SEARCH("완사입",$G118)),ISNUMBER(SEARCH("ODM",$G118)))),"본사/생산처 혼재",IF(ISNUMBER(SEARCH("CMT",$G118)),"본사(소재팀)","생산처")))</f>
        <v>생산처</v>
      </c>
      <c r="Q118" s="25" t="s">
        <v>245</v>
      </c>
      <c r="R118" s="25" t="s">
        <v>67</v>
      </c>
      <c r="S118" s="31" t="n">
        <v>6500</v>
      </c>
      <c r="T118" s="26" t="s">
        <v>346</v>
      </c>
      <c r="U118" s="26" t="str">
        <f aca="false">IF($J118="","출고일 미정",IF($N118="X","작지 미발행",IF($N118="부분","작지 일부 미발행",IF(AND($O118&lt;&gt;"",$O118&gt;$L118),"소재입고 마감("&amp;TEXT($L118,"MM/DD")&amp;") 초과",IF($N118="","발행여부 확인 필요",IF($O118="","소재 입고일정 확인 필요","정상"))))))</f>
        <v>소재 입고일정 확인 필요</v>
      </c>
      <c r="V118" s="24" t="str">
        <f aca="false">IF($J118="","",IF(OR(LEFT($U118,2)="작지",LEFT($U118,4)="소재입고"),IF(LEFT($F118,1)="S","★ 납기위험(S코드)","◆ 지연주의"),IF($U118="정상","✓ 정상","? 확인필요")))</f>
        <v>? 확인필요</v>
      </c>
      <c r="W118" s="27"/>
      <c r="X118" s="32"/>
    </row>
    <row r="119" customFormat="false" ht="15" hidden="false" customHeight="false" outlineLevel="0" collapsed="false">
      <c r="A119" s="24" t="n">
        <v>115</v>
      </c>
      <c r="B119" s="25" t="s">
        <v>99</v>
      </c>
      <c r="C119" s="25" t="s">
        <v>100</v>
      </c>
      <c r="D119" s="26" t="s">
        <v>351</v>
      </c>
      <c r="E119" s="25" t="s">
        <v>352</v>
      </c>
      <c r="F119" s="24" t="str">
        <f aca="false">IF($D119="","",IF(MID($D119,5,1)="S","S(봄)",IF(MID($D119,5,1)="M","M(여름)",IF(MID($D119,5,1)="X","X(사계절)",MID($D119,5,1)))))</f>
        <v>M(여름)</v>
      </c>
      <c r="G119" s="26" t="s">
        <v>103</v>
      </c>
      <c r="H119" s="24"/>
      <c r="I119" s="27" t="s">
        <v>242</v>
      </c>
      <c r="J119" s="28" t="n">
        <f aca="false">IF($I119="","",IFERROR(DATE(IF(VALUE(LEFT($I119,FIND("월",$I119)-1))&gt;=9,기준정보!$C$7-1,기준정보!$C$7),VALUE(LEFT($I119,FIND("월",$I119)-1)),1+7*(VALUE(SUBSTITUTE(MID($I119,FIND("월",$I119)+1,5),"주",""))-1)),""))</f>
        <v>46409</v>
      </c>
      <c r="K119" s="28" t="n">
        <f aca="false">IF($J119="","",$J119-기준정보!$C$5)</f>
        <v>46395</v>
      </c>
      <c r="L119" s="28" t="n">
        <f aca="false">IF($K119="","",$K119-기준정보!$C$6)</f>
        <v>46305</v>
      </c>
      <c r="M119" s="29" t="n">
        <f aca="false">IF($L119="","",$L119-기준정보!$C$4)</f>
        <v>63</v>
      </c>
      <c r="N119" s="27" t="s">
        <v>65</v>
      </c>
      <c r="O119" s="30"/>
      <c r="P119" s="26" t="str">
        <f aca="false">IF($G119="","",IF(AND(ISNUMBER(SEARCH("CMT",$G119)),OR(ISNUMBER(SEARCH("완사입",$G119)),ISNUMBER(SEARCH("ODM",$G119)))),"본사/생산처 혼재",IF(ISNUMBER(SEARCH("CMT",$G119)),"본사(소재팀)","생산처")))</f>
        <v>생산처</v>
      </c>
      <c r="Q119" s="26" t="s">
        <v>193</v>
      </c>
      <c r="R119" s="25" t="s">
        <v>71</v>
      </c>
      <c r="S119" s="31" t="n">
        <v>24000</v>
      </c>
      <c r="T119" s="26"/>
      <c r="U119" s="26" t="str">
        <f aca="false">IF($J119="","출고일 미정",IF($N119="X","작지 미발행",IF($N119="부분","작지 일부 미발행",IF(AND($O119&lt;&gt;"",$O119&gt;$L119),"소재입고 마감("&amp;TEXT($L119,"MM/DD")&amp;") 초과",IF($N119="","발행여부 확인 필요",IF($O119="","소재 입고일정 확인 필요","정상"))))))</f>
        <v>소재 입고일정 확인 필요</v>
      </c>
      <c r="V119" s="24" t="str">
        <f aca="false">IF($J119="","",IF(OR(LEFT($U119,2)="작지",LEFT($U119,4)="소재입고"),IF(LEFT($F119,1)="S","★ 납기위험(S코드)","◆ 지연주의"),IF($U119="정상","✓ 정상","? 확인필요")))</f>
        <v>? 확인필요</v>
      </c>
      <c r="W119" s="27"/>
      <c r="X119" s="32"/>
    </row>
    <row r="120" customFormat="false" ht="15" hidden="false" customHeight="false" outlineLevel="0" collapsed="false">
      <c r="A120" s="24" t="n">
        <v>116</v>
      </c>
      <c r="B120" s="25" t="s">
        <v>163</v>
      </c>
      <c r="C120" s="25" t="s">
        <v>164</v>
      </c>
      <c r="D120" s="26" t="s">
        <v>353</v>
      </c>
      <c r="E120" s="25" t="s">
        <v>354</v>
      </c>
      <c r="F120" s="24" t="str">
        <f aca="false">IF($D120="","",IF(MID($D120,5,1)="S","S(봄)",IF(MID($D120,5,1)="M","M(여름)",IF(MID($D120,5,1)="X","X(사계절)",MID($D120,5,1)))))</f>
        <v>M(여름)</v>
      </c>
      <c r="G120" s="26" t="s">
        <v>167</v>
      </c>
      <c r="H120" s="24"/>
      <c r="I120" s="27" t="s">
        <v>260</v>
      </c>
      <c r="J120" s="28" t="n">
        <f aca="false">IF($I120="","",IFERROR(DATE(IF(VALUE(LEFT($I120,FIND("월",$I120)-1))&gt;=9,기준정보!$C$7-1,기준정보!$C$7),VALUE(LEFT($I120,FIND("월",$I120)-1)),1+7*(VALUE(SUBSTITUTE(MID($I120,FIND("월",$I120)+1,5),"주",""))-1)),""))</f>
        <v>46419</v>
      </c>
      <c r="K120" s="28" t="n">
        <f aca="false">IF($J120="","",$J120-기준정보!$C$5)</f>
        <v>46405</v>
      </c>
      <c r="L120" s="28" t="n">
        <f aca="false">IF($K120="","",$K120-기준정보!$C$6)</f>
        <v>46315</v>
      </c>
      <c r="M120" s="29" t="n">
        <f aca="false">IF($L120="","",$L120-기준정보!$C$4)</f>
        <v>73</v>
      </c>
      <c r="N120" s="27" t="s">
        <v>65</v>
      </c>
      <c r="O120" s="30"/>
      <c r="P120" s="26" t="str">
        <f aca="false">IF($G120="","",IF(AND(ISNUMBER(SEARCH("CMT",$G120)),OR(ISNUMBER(SEARCH("완사입",$G120)),ISNUMBER(SEARCH("ODM",$G120)))),"본사/생산처 혼재",IF(ISNUMBER(SEARCH("CMT",$G120)),"본사(소재팀)","생산처")))</f>
        <v>본사(소재팀)</v>
      </c>
      <c r="Q120" s="25" t="s">
        <v>79</v>
      </c>
      <c r="R120" s="25" t="s">
        <v>67</v>
      </c>
      <c r="S120" s="31" t="n">
        <v>1500</v>
      </c>
      <c r="T120" s="26" t="s">
        <v>260</v>
      </c>
      <c r="U120" s="26" t="str">
        <f aca="false">IF($J120="","출고일 미정",IF($N120="X","작지 미발행",IF($N120="부분","작지 일부 미발행",IF(AND($O120&lt;&gt;"",$O120&gt;$L120),"소재입고 마감("&amp;TEXT($L120,"MM/DD")&amp;") 초과",IF($N120="","발행여부 확인 필요",IF($O120="","소재 입고일정 확인 필요","정상"))))))</f>
        <v>소재 입고일정 확인 필요</v>
      </c>
      <c r="V120" s="24" t="str">
        <f aca="false">IF($J120="","",IF(OR(LEFT($U120,2)="작지",LEFT($U120,4)="소재입고"),IF(LEFT($F120,1)="S","★ 납기위험(S코드)","◆ 지연주의"),IF($U120="정상","✓ 정상","? 확인필요")))</f>
        <v>? 확인필요</v>
      </c>
      <c r="W120" s="27"/>
      <c r="X120" s="32"/>
    </row>
    <row r="121" customFormat="false" ht="15" hidden="false" customHeight="false" outlineLevel="0" collapsed="false">
      <c r="A121" s="24" t="n">
        <v>117</v>
      </c>
      <c r="B121" s="25" t="s">
        <v>163</v>
      </c>
      <c r="C121" s="25" t="s">
        <v>164</v>
      </c>
      <c r="D121" s="26" t="s">
        <v>355</v>
      </c>
      <c r="E121" s="25" t="s">
        <v>356</v>
      </c>
      <c r="F121" s="24" t="str">
        <f aca="false">IF($D121="","",IF(MID($D121,5,1)="S","S(봄)",IF(MID($D121,5,1)="M","M(여름)",IF(MID($D121,5,1)="X","X(사계절)",MID($D121,5,1)))))</f>
        <v>M(여름)</v>
      </c>
      <c r="G121" s="26" t="s">
        <v>167</v>
      </c>
      <c r="H121" s="24"/>
      <c r="I121" s="27" t="s">
        <v>260</v>
      </c>
      <c r="J121" s="28" t="n">
        <f aca="false">IF($I121="","",IFERROR(DATE(IF(VALUE(LEFT($I121,FIND("월",$I121)-1))&gt;=9,기준정보!$C$7-1,기준정보!$C$7),VALUE(LEFT($I121,FIND("월",$I121)-1)),1+7*(VALUE(SUBSTITUTE(MID($I121,FIND("월",$I121)+1,5),"주",""))-1)),""))</f>
        <v>46419</v>
      </c>
      <c r="K121" s="28" t="n">
        <f aca="false">IF($J121="","",$J121-기준정보!$C$5)</f>
        <v>46405</v>
      </c>
      <c r="L121" s="28" t="n">
        <f aca="false">IF($K121="","",$K121-기준정보!$C$6)</f>
        <v>46315</v>
      </c>
      <c r="M121" s="29" t="n">
        <f aca="false">IF($L121="","",$L121-기준정보!$C$4)</f>
        <v>73</v>
      </c>
      <c r="N121" s="27" t="s">
        <v>65</v>
      </c>
      <c r="O121" s="30"/>
      <c r="P121" s="26" t="str">
        <f aca="false">IF($G121="","",IF(AND(ISNUMBER(SEARCH("CMT",$G121)),OR(ISNUMBER(SEARCH("완사입",$G121)),ISNUMBER(SEARCH("ODM",$G121)))),"본사/생산처 혼재",IF(ISNUMBER(SEARCH("CMT",$G121)),"본사(소재팀)","생산처")))</f>
        <v>본사(소재팀)</v>
      </c>
      <c r="Q121" s="25" t="s">
        <v>79</v>
      </c>
      <c r="R121" s="25" t="s">
        <v>67</v>
      </c>
      <c r="S121" s="31" t="n">
        <v>1900</v>
      </c>
      <c r="T121" s="26" t="s">
        <v>260</v>
      </c>
      <c r="U121" s="26" t="str">
        <f aca="false">IF($J121="","출고일 미정",IF($N121="X","작지 미발행",IF($N121="부분","작지 일부 미발행",IF(AND($O121&lt;&gt;"",$O121&gt;$L121),"소재입고 마감("&amp;TEXT($L121,"MM/DD")&amp;") 초과",IF($N121="","발행여부 확인 필요",IF($O121="","소재 입고일정 확인 필요","정상"))))))</f>
        <v>소재 입고일정 확인 필요</v>
      </c>
      <c r="V121" s="24" t="str">
        <f aca="false">IF($J121="","",IF(OR(LEFT($U121,2)="작지",LEFT($U121,4)="소재입고"),IF(LEFT($F121,1)="S","★ 납기위험(S코드)","◆ 지연주의"),IF($U121="정상","✓ 정상","? 확인필요")))</f>
        <v>? 확인필요</v>
      </c>
      <c r="W121" s="27"/>
      <c r="X121" s="32"/>
    </row>
    <row r="122" customFormat="false" ht="15" hidden="false" customHeight="false" outlineLevel="0" collapsed="false">
      <c r="A122" s="24" t="n">
        <v>118</v>
      </c>
      <c r="B122" s="25" t="s">
        <v>159</v>
      </c>
      <c r="C122" s="25" t="s">
        <v>164</v>
      </c>
      <c r="D122" s="26" t="s">
        <v>357</v>
      </c>
      <c r="E122" s="25" t="s">
        <v>358</v>
      </c>
      <c r="F122" s="24" t="str">
        <f aca="false">IF($D122="","",IF(MID($D122,5,1)="S","S(봄)",IF(MID($D122,5,1)="M","M(여름)",IF(MID($D122,5,1)="X","X(사계절)",MID($D122,5,1)))))</f>
        <v>M(여름)</v>
      </c>
      <c r="G122" s="25" t="s">
        <v>62</v>
      </c>
      <c r="H122" s="24"/>
      <c r="I122" s="27" t="s">
        <v>359</v>
      </c>
      <c r="J122" s="28" t="n">
        <f aca="false">IF($I122="","",IFERROR(DATE(IF(VALUE(LEFT($I122,FIND("월",$I122)-1))&gt;=9,기준정보!$C$7-1,기준정보!$C$7),VALUE(LEFT($I122,FIND("월",$I122)-1)),1+7*(VALUE(SUBSTITUTE(MID($I122,FIND("월",$I122)+1,5),"주",""))-1)),""))</f>
        <v>46440</v>
      </c>
      <c r="K122" s="28" t="n">
        <f aca="false">IF($J122="","",$J122-기준정보!$C$5)</f>
        <v>46426</v>
      </c>
      <c r="L122" s="28" t="n">
        <f aca="false">IF($K122="","",$K122-기준정보!$C$6)</f>
        <v>46336</v>
      </c>
      <c r="M122" s="29" t="n">
        <f aca="false">IF($L122="","",$L122-기준정보!$C$4)</f>
        <v>94</v>
      </c>
      <c r="N122" s="27" t="s">
        <v>65</v>
      </c>
      <c r="O122" s="30"/>
      <c r="P122" s="26" t="str">
        <f aca="false">IF($G122="","",IF(AND(ISNUMBER(SEARCH("CMT",$G122)),OR(ISNUMBER(SEARCH("완사입",$G122)),ISNUMBER(SEARCH("ODM",$G122)))),"본사/생산처 혼재",IF(ISNUMBER(SEARCH("CMT",$G122)),"본사(소재팀)","생산처")))</f>
        <v>생산처</v>
      </c>
      <c r="Q122" s="26" t="s">
        <v>193</v>
      </c>
      <c r="R122" s="25" t="s">
        <v>71</v>
      </c>
      <c r="S122" s="31" t="n">
        <v>3000</v>
      </c>
      <c r="T122" s="26" t="s">
        <v>359</v>
      </c>
      <c r="U122" s="26" t="str">
        <f aca="false">IF($J122="","출고일 미정",IF($N122="X","작지 미발행",IF($N122="부분","작지 일부 미발행",IF(AND($O122&lt;&gt;"",$O122&gt;$L122),"소재입고 마감("&amp;TEXT($L122,"MM/DD")&amp;") 초과",IF($N122="","발행여부 확인 필요",IF($O122="","소재 입고일정 확인 필요","정상"))))))</f>
        <v>소재 입고일정 확인 필요</v>
      </c>
      <c r="V122" s="24" t="str">
        <f aca="false">IF($J122="","",IF(OR(LEFT($U122,2)="작지",LEFT($U122,4)="소재입고"),IF(LEFT($F122,1)="S","★ 납기위험(S코드)","◆ 지연주의"),IF($U122="정상","✓ 정상","? 확인필요")))</f>
        <v>? 확인필요</v>
      </c>
      <c r="W122" s="27"/>
      <c r="X122" s="32"/>
    </row>
    <row r="123" customFormat="false" ht="15" hidden="false" customHeight="false" outlineLevel="0" collapsed="false">
      <c r="A123" s="24" t="n">
        <v>119</v>
      </c>
      <c r="B123" s="25" t="s">
        <v>163</v>
      </c>
      <c r="C123" s="25" t="s">
        <v>164</v>
      </c>
      <c r="D123" s="26" t="s">
        <v>360</v>
      </c>
      <c r="E123" s="25" t="s">
        <v>361</v>
      </c>
      <c r="F123" s="24" t="str">
        <f aca="false">IF($D123="","",IF(MID($D123,5,1)="S","S(봄)",IF(MID($D123,5,1)="M","M(여름)",IF(MID($D123,5,1)="X","X(사계절)",MID($D123,5,1)))))</f>
        <v>M(여름)</v>
      </c>
      <c r="G123" s="26" t="s">
        <v>167</v>
      </c>
      <c r="H123" s="24"/>
      <c r="I123" s="27" t="s">
        <v>359</v>
      </c>
      <c r="J123" s="28" t="n">
        <f aca="false">IF($I123="","",IFERROR(DATE(IF(VALUE(LEFT($I123,FIND("월",$I123)-1))&gt;=9,기준정보!$C$7-1,기준정보!$C$7),VALUE(LEFT($I123,FIND("월",$I123)-1)),1+7*(VALUE(SUBSTITUTE(MID($I123,FIND("월",$I123)+1,5),"주",""))-1)),""))</f>
        <v>46440</v>
      </c>
      <c r="K123" s="28" t="n">
        <f aca="false">IF($J123="","",$J123-기준정보!$C$5)</f>
        <v>46426</v>
      </c>
      <c r="L123" s="28" t="n">
        <f aca="false">IF($K123="","",$K123-기준정보!$C$6)</f>
        <v>46336</v>
      </c>
      <c r="M123" s="29" t="n">
        <f aca="false">IF($L123="","",$L123-기준정보!$C$4)</f>
        <v>94</v>
      </c>
      <c r="N123" s="27" t="s">
        <v>65</v>
      </c>
      <c r="O123" s="30"/>
      <c r="P123" s="26" t="str">
        <f aca="false">IF($G123="","",IF(AND(ISNUMBER(SEARCH("CMT",$G123)),OR(ISNUMBER(SEARCH("완사입",$G123)),ISNUMBER(SEARCH("ODM",$G123)))),"본사/생산처 혼재",IF(ISNUMBER(SEARCH("CMT",$G123)),"본사(소재팀)","생산처")))</f>
        <v>본사(소재팀)</v>
      </c>
      <c r="Q123" s="26" t="s">
        <v>120</v>
      </c>
      <c r="R123" s="25" t="s">
        <v>67</v>
      </c>
      <c r="S123" s="31" t="n">
        <v>1800</v>
      </c>
      <c r="T123" s="26" t="s">
        <v>359</v>
      </c>
      <c r="U123" s="26" t="str">
        <f aca="false">IF($J123="","출고일 미정",IF($N123="X","작지 미발행",IF($N123="부분","작지 일부 미발행",IF(AND($O123&lt;&gt;"",$O123&gt;$L123),"소재입고 마감("&amp;TEXT($L123,"MM/DD")&amp;") 초과",IF($N123="","발행여부 확인 필요",IF($O123="","소재 입고일정 확인 필요","정상"))))))</f>
        <v>소재 입고일정 확인 필요</v>
      </c>
      <c r="V123" s="24" t="str">
        <f aca="false">IF($J123="","",IF(OR(LEFT($U123,2)="작지",LEFT($U123,4)="소재입고"),IF(LEFT($F123,1)="S","★ 납기위험(S코드)","◆ 지연주의"),IF($U123="정상","✓ 정상","? 확인필요")))</f>
        <v>? 확인필요</v>
      </c>
      <c r="W123" s="27"/>
      <c r="X123" s="32"/>
    </row>
    <row r="124" customFormat="false" ht="15" hidden="false" customHeight="false" outlineLevel="0" collapsed="false">
      <c r="A124" s="24" t="n">
        <v>120</v>
      </c>
      <c r="B124" s="25" t="s">
        <v>163</v>
      </c>
      <c r="C124" s="25" t="s">
        <v>164</v>
      </c>
      <c r="D124" s="26" t="s">
        <v>362</v>
      </c>
      <c r="E124" s="25" t="s">
        <v>363</v>
      </c>
      <c r="F124" s="24" t="str">
        <f aca="false">IF($D124="","",IF(MID($D124,5,1)="S","S(봄)",IF(MID($D124,5,1)="M","M(여름)",IF(MID($D124,5,1)="X","X(사계절)",MID($D124,5,1)))))</f>
        <v>M(여름)</v>
      </c>
      <c r="G124" s="25" t="s">
        <v>62</v>
      </c>
      <c r="H124" s="24"/>
      <c r="I124" s="27" t="s">
        <v>359</v>
      </c>
      <c r="J124" s="28" t="n">
        <f aca="false">IF($I124="","",IFERROR(DATE(IF(VALUE(LEFT($I124,FIND("월",$I124)-1))&gt;=9,기준정보!$C$7-1,기준정보!$C$7),VALUE(LEFT($I124,FIND("월",$I124)-1)),1+7*(VALUE(SUBSTITUTE(MID($I124,FIND("월",$I124)+1,5),"주",""))-1)),""))</f>
        <v>46440</v>
      </c>
      <c r="K124" s="28" t="n">
        <f aca="false">IF($J124="","",$J124-기준정보!$C$5)</f>
        <v>46426</v>
      </c>
      <c r="L124" s="28" t="n">
        <f aca="false">IF($K124="","",$K124-기준정보!$C$6)</f>
        <v>46336</v>
      </c>
      <c r="M124" s="29" t="n">
        <f aca="false">IF($L124="","",$L124-기준정보!$C$4)</f>
        <v>94</v>
      </c>
      <c r="N124" s="27" t="s">
        <v>65</v>
      </c>
      <c r="O124" s="30"/>
      <c r="P124" s="26" t="str">
        <f aca="false">IF($G124="","",IF(AND(ISNUMBER(SEARCH("CMT",$G124)),OR(ISNUMBER(SEARCH("완사입",$G124)),ISNUMBER(SEARCH("ODM",$G124)))),"본사/생산처 혼재",IF(ISNUMBER(SEARCH("CMT",$G124)),"본사(소재팀)","생산처")))</f>
        <v>생산처</v>
      </c>
      <c r="Q124" s="26" t="s">
        <v>193</v>
      </c>
      <c r="R124" s="25" t="s">
        <v>71</v>
      </c>
      <c r="S124" s="31" t="n">
        <v>1600</v>
      </c>
      <c r="T124" s="26" t="s">
        <v>359</v>
      </c>
      <c r="U124" s="26" t="str">
        <f aca="false">IF($J124="","출고일 미정",IF($N124="X","작지 미발행",IF($N124="부분","작지 일부 미발행",IF(AND($O124&lt;&gt;"",$O124&gt;$L124),"소재입고 마감("&amp;TEXT($L124,"MM/DD")&amp;") 초과",IF($N124="","발행여부 확인 필요",IF($O124="","소재 입고일정 확인 필요","정상"))))))</f>
        <v>소재 입고일정 확인 필요</v>
      </c>
      <c r="V124" s="24" t="str">
        <f aca="false">IF($J124="","",IF(OR(LEFT($U124,2)="작지",LEFT($U124,4)="소재입고"),IF(LEFT($F124,1)="S","★ 납기위험(S코드)","◆ 지연주의"),IF($U124="정상","✓ 정상","? 확인필요")))</f>
        <v>? 확인필요</v>
      </c>
      <c r="W124" s="27"/>
      <c r="X124" s="32"/>
    </row>
    <row r="125" customFormat="false" ht="15" hidden="false" customHeight="false" outlineLevel="0" collapsed="false">
      <c r="A125" s="24" t="n">
        <v>121</v>
      </c>
      <c r="B125" s="25" t="s">
        <v>163</v>
      </c>
      <c r="C125" s="25" t="s">
        <v>164</v>
      </c>
      <c r="D125" s="26" t="s">
        <v>364</v>
      </c>
      <c r="E125" s="25" t="s">
        <v>365</v>
      </c>
      <c r="F125" s="24" t="str">
        <f aca="false">IF($D125="","",IF(MID($D125,5,1)="S","S(봄)",IF(MID($D125,5,1)="M","M(여름)",IF(MID($D125,5,1)="X","X(사계절)",MID($D125,5,1)))))</f>
        <v>M(여름)</v>
      </c>
      <c r="G125" s="25" t="s">
        <v>62</v>
      </c>
      <c r="H125" s="24"/>
      <c r="I125" s="27" t="s">
        <v>359</v>
      </c>
      <c r="J125" s="28" t="n">
        <f aca="false">IF($I125="","",IFERROR(DATE(IF(VALUE(LEFT($I125,FIND("월",$I125)-1))&gt;=9,기준정보!$C$7-1,기준정보!$C$7),VALUE(LEFT($I125,FIND("월",$I125)-1)),1+7*(VALUE(SUBSTITUTE(MID($I125,FIND("월",$I125)+1,5),"주",""))-1)),""))</f>
        <v>46440</v>
      </c>
      <c r="K125" s="28" t="n">
        <f aca="false">IF($J125="","",$J125-기준정보!$C$5)</f>
        <v>46426</v>
      </c>
      <c r="L125" s="28" t="n">
        <f aca="false">IF($K125="","",$K125-기준정보!$C$6)</f>
        <v>46336</v>
      </c>
      <c r="M125" s="29" t="n">
        <f aca="false">IF($L125="","",$L125-기준정보!$C$4)</f>
        <v>94</v>
      </c>
      <c r="N125" s="27" t="s">
        <v>65</v>
      </c>
      <c r="O125" s="30"/>
      <c r="P125" s="26" t="str">
        <f aca="false">IF($G125="","",IF(AND(ISNUMBER(SEARCH("CMT",$G125)),OR(ISNUMBER(SEARCH("완사입",$G125)),ISNUMBER(SEARCH("ODM",$G125)))),"본사/생산처 혼재",IF(ISNUMBER(SEARCH("CMT",$G125)),"본사(소재팀)","생산처")))</f>
        <v>생산처</v>
      </c>
      <c r="Q125" s="26" t="s">
        <v>104</v>
      </c>
      <c r="R125" s="25" t="s">
        <v>67</v>
      </c>
      <c r="S125" s="31" t="n">
        <v>3000</v>
      </c>
      <c r="T125" s="26" t="s">
        <v>359</v>
      </c>
      <c r="U125" s="26" t="str">
        <f aca="false">IF($J125="","출고일 미정",IF($N125="X","작지 미발행",IF($N125="부분","작지 일부 미발행",IF(AND($O125&lt;&gt;"",$O125&gt;$L125),"소재입고 마감("&amp;TEXT($L125,"MM/DD")&amp;") 초과",IF($N125="","발행여부 확인 필요",IF($O125="","소재 입고일정 확인 필요","정상"))))))</f>
        <v>소재 입고일정 확인 필요</v>
      </c>
      <c r="V125" s="24" t="str">
        <f aca="false">IF($J125="","",IF(OR(LEFT($U125,2)="작지",LEFT($U125,4)="소재입고"),IF(LEFT($F125,1)="S","★ 납기위험(S코드)","◆ 지연주의"),IF($U125="정상","✓ 정상","? 확인필요")))</f>
        <v>? 확인필요</v>
      </c>
      <c r="W125" s="27"/>
      <c r="X125" s="32"/>
    </row>
    <row r="126" customFormat="false" ht="15" hidden="false" customHeight="false" outlineLevel="0" collapsed="false">
      <c r="A126" s="24" t="n">
        <v>122</v>
      </c>
      <c r="B126" s="25" t="s">
        <v>163</v>
      </c>
      <c r="C126" s="25" t="s">
        <v>164</v>
      </c>
      <c r="D126" s="26" t="s">
        <v>366</v>
      </c>
      <c r="E126" s="25" t="s">
        <v>367</v>
      </c>
      <c r="F126" s="24" t="str">
        <f aca="false">IF($D126="","",IF(MID($D126,5,1)="S","S(봄)",IF(MID($D126,5,1)="M","M(여름)",IF(MID($D126,5,1)="X","X(사계절)",MID($D126,5,1)))))</f>
        <v>M(여름)</v>
      </c>
      <c r="G126" s="25" t="s">
        <v>62</v>
      </c>
      <c r="H126" s="24"/>
      <c r="I126" s="27" t="s">
        <v>359</v>
      </c>
      <c r="J126" s="28" t="n">
        <f aca="false">IF($I126="","",IFERROR(DATE(IF(VALUE(LEFT($I126,FIND("월",$I126)-1))&gt;=9,기준정보!$C$7-1,기준정보!$C$7),VALUE(LEFT($I126,FIND("월",$I126)-1)),1+7*(VALUE(SUBSTITUTE(MID($I126,FIND("월",$I126)+1,5),"주",""))-1)),""))</f>
        <v>46440</v>
      </c>
      <c r="K126" s="28" t="n">
        <f aca="false">IF($J126="","",$J126-기준정보!$C$5)</f>
        <v>46426</v>
      </c>
      <c r="L126" s="28" t="n">
        <f aca="false">IF($K126="","",$K126-기준정보!$C$6)</f>
        <v>46336</v>
      </c>
      <c r="M126" s="29" t="n">
        <f aca="false">IF($L126="","",$L126-기준정보!$C$4)</f>
        <v>94</v>
      </c>
      <c r="N126" s="27" t="s">
        <v>65</v>
      </c>
      <c r="O126" s="30"/>
      <c r="P126" s="26" t="str">
        <f aca="false">IF($G126="","",IF(AND(ISNUMBER(SEARCH("CMT",$G126)),OR(ISNUMBER(SEARCH("완사입",$G126)),ISNUMBER(SEARCH("ODM",$G126)))),"본사/생산처 혼재",IF(ISNUMBER(SEARCH("CMT",$G126)),"본사(소재팀)","생산처")))</f>
        <v>생산처</v>
      </c>
      <c r="Q126" s="25" t="s">
        <v>84</v>
      </c>
      <c r="R126" s="25" t="s">
        <v>67</v>
      </c>
      <c r="S126" s="31" t="n">
        <v>2200</v>
      </c>
      <c r="T126" s="26" t="s">
        <v>359</v>
      </c>
      <c r="U126" s="26" t="str">
        <f aca="false">IF($J126="","출고일 미정",IF($N126="X","작지 미발행",IF($N126="부분","작지 일부 미발행",IF(AND($O126&lt;&gt;"",$O126&gt;$L126),"소재입고 마감("&amp;TEXT($L126,"MM/DD")&amp;") 초과",IF($N126="","발행여부 확인 필요",IF($O126="","소재 입고일정 확인 필요","정상"))))))</f>
        <v>소재 입고일정 확인 필요</v>
      </c>
      <c r="V126" s="24" t="str">
        <f aca="false">IF($J126="","",IF(OR(LEFT($U126,2)="작지",LEFT($U126,4)="소재입고"),IF(LEFT($F126,1)="S","★ 납기위험(S코드)","◆ 지연주의"),IF($U126="정상","✓ 정상","? 확인필요")))</f>
        <v>? 확인필요</v>
      </c>
      <c r="W126" s="27"/>
      <c r="X126" s="32"/>
    </row>
    <row r="127" customFormat="false" ht="15" hidden="false" customHeight="false" outlineLevel="0" collapsed="false">
      <c r="A127" s="24" t="n">
        <v>123</v>
      </c>
      <c r="B127" s="25" t="s">
        <v>163</v>
      </c>
      <c r="C127" s="25" t="s">
        <v>164</v>
      </c>
      <c r="D127" s="26" t="s">
        <v>368</v>
      </c>
      <c r="E127" s="25" t="s">
        <v>369</v>
      </c>
      <c r="F127" s="24" t="str">
        <f aca="false">IF($D127="","",IF(MID($D127,5,1)="S","S(봄)",IF(MID($D127,5,1)="M","M(여름)",IF(MID($D127,5,1)="X","X(사계절)",MID($D127,5,1)))))</f>
        <v>M(여름)</v>
      </c>
      <c r="G127" s="25" t="s">
        <v>62</v>
      </c>
      <c r="H127" s="24"/>
      <c r="I127" s="27" t="s">
        <v>359</v>
      </c>
      <c r="J127" s="28" t="n">
        <f aca="false">IF($I127="","",IFERROR(DATE(IF(VALUE(LEFT($I127,FIND("월",$I127)-1))&gt;=9,기준정보!$C$7-1,기준정보!$C$7),VALUE(LEFT($I127,FIND("월",$I127)-1)),1+7*(VALUE(SUBSTITUTE(MID($I127,FIND("월",$I127)+1,5),"주",""))-1)),""))</f>
        <v>46440</v>
      </c>
      <c r="K127" s="28" t="n">
        <f aca="false">IF($J127="","",$J127-기준정보!$C$5)</f>
        <v>46426</v>
      </c>
      <c r="L127" s="28" t="n">
        <f aca="false">IF($K127="","",$K127-기준정보!$C$6)</f>
        <v>46336</v>
      </c>
      <c r="M127" s="29" t="n">
        <f aca="false">IF($L127="","",$L127-기준정보!$C$4)</f>
        <v>94</v>
      </c>
      <c r="N127" s="27" t="s">
        <v>65</v>
      </c>
      <c r="O127" s="30"/>
      <c r="P127" s="26" t="str">
        <f aca="false">IF($G127="","",IF(AND(ISNUMBER(SEARCH("CMT",$G127)),OR(ISNUMBER(SEARCH("완사입",$G127)),ISNUMBER(SEARCH("ODM",$G127)))),"본사/생산처 혼재",IF(ISNUMBER(SEARCH("CMT",$G127)),"본사(소재팀)","생산처")))</f>
        <v>생산처</v>
      </c>
      <c r="Q127" s="25" t="s">
        <v>245</v>
      </c>
      <c r="R127" s="25" t="s">
        <v>67</v>
      </c>
      <c r="S127" s="31" t="n">
        <v>4500</v>
      </c>
      <c r="T127" s="26" t="s">
        <v>359</v>
      </c>
      <c r="U127" s="26" t="str">
        <f aca="false">IF($J127="","출고일 미정",IF($N127="X","작지 미발행",IF($N127="부분","작지 일부 미발행",IF(AND($O127&lt;&gt;"",$O127&gt;$L127),"소재입고 마감("&amp;TEXT($L127,"MM/DD")&amp;") 초과",IF($N127="","발행여부 확인 필요",IF($O127="","소재 입고일정 확인 필요","정상"))))))</f>
        <v>소재 입고일정 확인 필요</v>
      </c>
      <c r="V127" s="24" t="str">
        <f aca="false">IF($J127="","",IF(OR(LEFT($U127,2)="작지",LEFT($U127,4)="소재입고"),IF(LEFT($F127,1)="S","★ 납기위험(S코드)","◆ 지연주의"),IF($U127="정상","✓ 정상","? 확인필요")))</f>
        <v>? 확인필요</v>
      </c>
      <c r="W127" s="27"/>
      <c r="X127" s="32"/>
    </row>
    <row r="128" customFormat="false" ht="15" hidden="false" customHeight="false" outlineLevel="0" collapsed="false">
      <c r="A128" s="24" t="n">
        <v>124</v>
      </c>
      <c r="B128" s="25" t="s">
        <v>163</v>
      </c>
      <c r="C128" s="25" t="s">
        <v>164</v>
      </c>
      <c r="D128" s="26" t="s">
        <v>370</v>
      </c>
      <c r="E128" s="25" t="s">
        <v>371</v>
      </c>
      <c r="F128" s="24" t="str">
        <f aca="false">IF($D128="","",IF(MID($D128,5,1)="S","S(봄)",IF(MID($D128,5,1)="M","M(여름)",IF(MID($D128,5,1)="X","X(사계절)",MID($D128,5,1)))))</f>
        <v>M(여름)</v>
      </c>
      <c r="G128" s="25" t="s">
        <v>62</v>
      </c>
      <c r="H128" s="24"/>
      <c r="I128" s="27" t="s">
        <v>359</v>
      </c>
      <c r="J128" s="28" t="n">
        <f aca="false">IF($I128="","",IFERROR(DATE(IF(VALUE(LEFT($I128,FIND("월",$I128)-1))&gt;=9,기준정보!$C$7-1,기준정보!$C$7),VALUE(LEFT($I128,FIND("월",$I128)-1)),1+7*(VALUE(SUBSTITUTE(MID($I128,FIND("월",$I128)+1,5),"주",""))-1)),""))</f>
        <v>46440</v>
      </c>
      <c r="K128" s="28" t="n">
        <f aca="false">IF($J128="","",$J128-기준정보!$C$5)</f>
        <v>46426</v>
      </c>
      <c r="L128" s="28" t="n">
        <f aca="false">IF($K128="","",$K128-기준정보!$C$6)</f>
        <v>46336</v>
      </c>
      <c r="M128" s="29" t="n">
        <f aca="false">IF($L128="","",$L128-기준정보!$C$4)</f>
        <v>94</v>
      </c>
      <c r="N128" s="27" t="s">
        <v>65</v>
      </c>
      <c r="O128" s="30"/>
      <c r="P128" s="26" t="str">
        <f aca="false">IF($G128="","",IF(AND(ISNUMBER(SEARCH("CMT",$G128)),OR(ISNUMBER(SEARCH("완사입",$G128)),ISNUMBER(SEARCH("ODM",$G128)))),"본사/생산처 혼재",IF(ISNUMBER(SEARCH("CMT",$G128)),"본사(소재팀)","생산처")))</f>
        <v>생산처</v>
      </c>
      <c r="Q128" s="25" t="s">
        <v>245</v>
      </c>
      <c r="R128" s="25" t="s">
        <v>67</v>
      </c>
      <c r="S128" s="31" t="n">
        <v>2000</v>
      </c>
      <c r="T128" s="26" t="s">
        <v>359</v>
      </c>
      <c r="U128" s="26" t="str">
        <f aca="false">IF($J128="","출고일 미정",IF($N128="X","작지 미발행",IF($N128="부분","작지 일부 미발행",IF(AND($O128&lt;&gt;"",$O128&gt;$L128),"소재입고 마감("&amp;TEXT($L128,"MM/DD")&amp;") 초과",IF($N128="","발행여부 확인 필요",IF($O128="","소재 입고일정 확인 필요","정상"))))))</f>
        <v>소재 입고일정 확인 필요</v>
      </c>
      <c r="V128" s="24" t="str">
        <f aca="false">IF($J128="","",IF(OR(LEFT($U128,2)="작지",LEFT($U128,4)="소재입고"),IF(LEFT($F128,1)="S","★ 납기위험(S코드)","◆ 지연주의"),IF($U128="정상","✓ 정상","? 확인필요")))</f>
        <v>? 확인필요</v>
      </c>
      <c r="W128" s="27"/>
      <c r="X128" s="32"/>
    </row>
    <row r="129" customFormat="false" ht="15" hidden="false" customHeight="false" outlineLevel="0" collapsed="false">
      <c r="A129" s="24" t="n">
        <v>125</v>
      </c>
      <c r="B129" s="25" t="s">
        <v>163</v>
      </c>
      <c r="C129" s="25" t="s">
        <v>164</v>
      </c>
      <c r="D129" s="26" t="s">
        <v>372</v>
      </c>
      <c r="E129" s="26" t="s">
        <v>373</v>
      </c>
      <c r="F129" s="24" t="str">
        <f aca="false">IF($D129="","",IF(MID($D129,5,1)="S","S(봄)",IF(MID($D129,5,1)="M","M(여름)",IF(MID($D129,5,1)="X","X(사계절)",MID($D129,5,1)))))</f>
        <v>M(여름)</v>
      </c>
      <c r="G129" s="25" t="s">
        <v>62</v>
      </c>
      <c r="H129" s="24"/>
      <c r="I129" s="27" t="s">
        <v>359</v>
      </c>
      <c r="J129" s="28" t="n">
        <f aca="false">IF($I129="","",IFERROR(DATE(IF(VALUE(LEFT($I129,FIND("월",$I129)-1))&gt;=9,기준정보!$C$7-1,기준정보!$C$7),VALUE(LEFT($I129,FIND("월",$I129)-1)),1+7*(VALUE(SUBSTITUTE(MID($I129,FIND("월",$I129)+1,5),"주",""))-1)),""))</f>
        <v>46440</v>
      </c>
      <c r="K129" s="28" t="n">
        <f aca="false">IF($J129="","",$J129-기준정보!$C$5)</f>
        <v>46426</v>
      </c>
      <c r="L129" s="28" t="n">
        <f aca="false">IF($K129="","",$K129-기준정보!$C$6)</f>
        <v>46336</v>
      </c>
      <c r="M129" s="29" t="n">
        <f aca="false">IF($L129="","",$L129-기준정보!$C$4)</f>
        <v>94</v>
      </c>
      <c r="N129" s="27" t="s">
        <v>65</v>
      </c>
      <c r="O129" s="30"/>
      <c r="P129" s="26" t="str">
        <f aca="false">IF($G129="","",IF(AND(ISNUMBER(SEARCH("CMT",$G129)),OR(ISNUMBER(SEARCH("완사입",$G129)),ISNUMBER(SEARCH("ODM",$G129)))),"본사/생산처 혼재",IF(ISNUMBER(SEARCH("CMT",$G129)),"본사(소재팀)","생산처")))</f>
        <v>생산처</v>
      </c>
      <c r="Q129" s="25" t="s">
        <v>245</v>
      </c>
      <c r="R129" s="25" t="s">
        <v>67</v>
      </c>
      <c r="S129" s="31" t="n">
        <v>2500</v>
      </c>
      <c r="T129" s="26" t="s">
        <v>359</v>
      </c>
      <c r="U129" s="26" t="str">
        <f aca="false">IF($J129="","출고일 미정",IF($N129="X","작지 미발행",IF($N129="부분","작지 일부 미발행",IF(AND($O129&lt;&gt;"",$O129&gt;$L129),"소재입고 마감("&amp;TEXT($L129,"MM/DD")&amp;") 초과",IF($N129="","발행여부 확인 필요",IF($O129="","소재 입고일정 확인 필요","정상"))))))</f>
        <v>소재 입고일정 확인 필요</v>
      </c>
      <c r="V129" s="24" t="str">
        <f aca="false">IF($J129="","",IF(OR(LEFT($U129,2)="작지",LEFT($U129,4)="소재입고"),IF(LEFT($F129,1)="S","★ 납기위험(S코드)","◆ 지연주의"),IF($U129="정상","✓ 정상","? 확인필요")))</f>
        <v>? 확인필요</v>
      </c>
      <c r="W129" s="27"/>
      <c r="X129" s="32"/>
    </row>
    <row r="130" customFormat="false" ht="15" hidden="false" customHeight="false" outlineLevel="0" collapsed="false">
      <c r="A130" s="24" t="n">
        <v>126</v>
      </c>
      <c r="B130" s="25" t="s">
        <v>178</v>
      </c>
      <c r="C130" s="25" t="s">
        <v>179</v>
      </c>
      <c r="D130" s="26" t="s">
        <v>374</v>
      </c>
      <c r="E130" s="25" t="s">
        <v>375</v>
      </c>
      <c r="F130" s="24" t="str">
        <f aca="false">IF($D130="","",IF(MID($D130,5,1)="S","S(봄)",IF(MID($D130,5,1)="M","M(여름)",IF(MID($D130,5,1)="X","X(사계절)",MID($D130,5,1)))))</f>
        <v>M(여름)</v>
      </c>
      <c r="G130" s="25" t="s">
        <v>62</v>
      </c>
      <c r="H130" s="24" t="s">
        <v>376</v>
      </c>
      <c r="I130" s="27" t="s">
        <v>359</v>
      </c>
      <c r="J130" s="28" t="n">
        <f aca="false">IF($I130="","",IFERROR(DATE(IF(VALUE(LEFT($I130,FIND("월",$I130)-1))&gt;=9,기준정보!$C$7-1,기준정보!$C$7),VALUE(LEFT($I130,FIND("월",$I130)-1)),1+7*(VALUE(SUBSTITUTE(MID($I130,FIND("월",$I130)+1,5),"주",""))-1)),""))</f>
        <v>46440</v>
      </c>
      <c r="K130" s="28" t="n">
        <f aca="false">IF($J130="","",$J130-기준정보!$C$5)</f>
        <v>46426</v>
      </c>
      <c r="L130" s="28" t="n">
        <f aca="false">IF($K130="","",$K130-기준정보!$C$6)</f>
        <v>46336</v>
      </c>
      <c r="M130" s="29" t="n">
        <f aca="false">IF($L130="","",$L130-기준정보!$C$4)</f>
        <v>94</v>
      </c>
      <c r="N130" s="27" t="s">
        <v>65</v>
      </c>
      <c r="O130" s="30"/>
      <c r="P130" s="26" t="str">
        <f aca="false">IF($G130="","",IF(AND(ISNUMBER(SEARCH("CMT",$G130)),OR(ISNUMBER(SEARCH("완사입",$G130)),ISNUMBER(SEARCH("ODM",$G130)))),"본사/생산처 혼재",IF(ISNUMBER(SEARCH("CMT",$G130)),"본사(소재팀)","생산처")))</f>
        <v>생산처</v>
      </c>
      <c r="Q130" s="25" t="s">
        <v>79</v>
      </c>
      <c r="R130" s="25" t="s">
        <v>67</v>
      </c>
      <c r="S130" s="31" t="n">
        <v>1700</v>
      </c>
      <c r="T130" s="26" t="s">
        <v>359</v>
      </c>
      <c r="U130" s="26" t="str">
        <f aca="false">IF($J130="","출고일 미정",IF($N130="X","작지 미발행",IF($N130="부분","작지 일부 미발행",IF(AND($O130&lt;&gt;"",$O130&gt;$L130),"소재입고 마감("&amp;TEXT($L130,"MM/DD")&amp;") 초과",IF($N130="","발행여부 확인 필요",IF($O130="","소재 입고일정 확인 필요","정상"))))))</f>
        <v>소재 입고일정 확인 필요</v>
      </c>
      <c r="V130" s="24" t="str">
        <f aca="false">IF($J130="","",IF(OR(LEFT($U130,2)="작지",LEFT($U130,4)="소재입고"),IF(LEFT($F130,1)="S","★ 납기위험(S코드)","◆ 지연주의"),IF($U130="정상","✓ 정상","? 확인필요")))</f>
        <v>? 확인필요</v>
      </c>
      <c r="W130" s="27"/>
      <c r="X130" s="32"/>
    </row>
    <row r="131" customFormat="false" ht="15" hidden="false" customHeight="false" outlineLevel="0" collapsed="false">
      <c r="A131" s="24" t="n">
        <v>127</v>
      </c>
      <c r="B131" s="25" t="s">
        <v>178</v>
      </c>
      <c r="C131" s="25" t="s">
        <v>179</v>
      </c>
      <c r="D131" s="26" t="s">
        <v>377</v>
      </c>
      <c r="E131" s="25" t="s">
        <v>378</v>
      </c>
      <c r="F131" s="24" t="str">
        <f aca="false">IF($D131="","",IF(MID($D131,5,1)="S","S(봄)",IF(MID($D131,5,1)="M","M(여름)",IF(MID($D131,5,1)="X","X(사계절)",MID($D131,5,1)))))</f>
        <v>M(여름)</v>
      </c>
      <c r="G131" s="26" t="s">
        <v>167</v>
      </c>
      <c r="H131" s="24" t="s">
        <v>376</v>
      </c>
      <c r="I131" s="27" t="s">
        <v>359</v>
      </c>
      <c r="J131" s="28" t="n">
        <f aca="false">IF($I131="","",IFERROR(DATE(IF(VALUE(LEFT($I131,FIND("월",$I131)-1))&gt;=9,기준정보!$C$7-1,기준정보!$C$7),VALUE(LEFT($I131,FIND("월",$I131)-1)),1+7*(VALUE(SUBSTITUTE(MID($I131,FIND("월",$I131)+1,5),"주",""))-1)),""))</f>
        <v>46440</v>
      </c>
      <c r="K131" s="28" t="n">
        <f aca="false">IF($J131="","",$J131-기준정보!$C$5)</f>
        <v>46426</v>
      </c>
      <c r="L131" s="28" t="n">
        <f aca="false">IF($K131="","",$K131-기준정보!$C$6)</f>
        <v>46336</v>
      </c>
      <c r="M131" s="29" t="n">
        <f aca="false">IF($L131="","",$L131-기준정보!$C$4)</f>
        <v>94</v>
      </c>
      <c r="N131" s="27" t="s">
        <v>65</v>
      </c>
      <c r="O131" s="30"/>
      <c r="P131" s="26" t="str">
        <f aca="false">IF($G131="","",IF(AND(ISNUMBER(SEARCH("CMT",$G131)),OR(ISNUMBER(SEARCH("완사입",$G131)),ISNUMBER(SEARCH("ODM",$G131)))),"본사/생산처 혼재",IF(ISNUMBER(SEARCH("CMT",$G131)),"본사(소재팀)","생산처")))</f>
        <v>본사(소재팀)</v>
      </c>
      <c r="Q131" s="25" t="s">
        <v>168</v>
      </c>
      <c r="R131" s="25" t="s">
        <v>67</v>
      </c>
      <c r="S131" s="31" t="n">
        <v>11000</v>
      </c>
      <c r="T131" s="26" t="s">
        <v>359</v>
      </c>
      <c r="U131" s="26" t="str">
        <f aca="false">IF($J131="","출고일 미정",IF($N131="X","작지 미발행",IF($N131="부분","작지 일부 미발행",IF(AND($O131&lt;&gt;"",$O131&gt;$L131),"소재입고 마감("&amp;TEXT($L131,"MM/DD")&amp;") 초과",IF($N131="","발행여부 확인 필요",IF($O131="","소재 입고일정 확인 필요","정상"))))))</f>
        <v>소재 입고일정 확인 필요</v>
      </c>
      <c r="V131" s="24" t="str">
        <f aca="false">IF($J131="","",IF(OR(LEFT($U131,2)="작지",LEFT($U131,4)="소재입고"),IF(LEFT($F131,1)="S","★ 납기위험(S코드)","◆ 지연주의"),IF($U131="정상","✓ 정상","? 확인필요")))</f>
        <v>? 확인필요</v>
      </c>
      <c r="W131" s="27"/>
      <c r="X131" s="32"/>
    </row>
    <row r="132" customFormat="false" ht="15" hidden="false" customHeight="false" outlineLevel="0" collapsed="false">
      <c r="A132" s="24" t="n">
        <v>128</v>
      </c>
      <c r="B132" s="25" t="s">
        <v>178</v>
      </c>
      <c r="C132" s="25" t="s">
        <v>179</v>
      </c>
      <c r="D132" s="26" t="s">
        <v>379</v>
      </c>
      <c r="E132" s="25" t="s">
        <v>380</v>
      </c>
      <c r="F132" s="24" t="str">
        <f aca="false">IF($D132="","",IF(MID($D132,5,1)="S","S(봄)",IF(MID($D132,5,1)="M","M(여름)",IF(MID($D132,5,1)="X","X(사계절)",MID($D132,5,1)))))</f>
        <v>M(여름)</v>
      </c>
      <c r="G132" s="26" t="s">
        <v>167</v>
      </c>
      <c r="H132" s="24" t="s">
        <v>376</v>
      </c>
      <c r="I132" s="27" t="s">
        <v>359</v>
      </c>
      <c r="J132" s="28" t="n">
        <f aca="false">IF($I132="","",IFERROR(DATE(IF(VALUE(LEFT($I132,FIND("월",$I132)-1))&gt;=9,기준정보!$C$7-1,기준정보!$C$7),VALUE(LEFT($I132,FIND("월",$I132)-1)),1+7*(VALUE(SUBSTITUTE(MID($I132,FIND("월",$I132)+1,5),"주",""))-1)),""))</f>
        <v>46440</v>
      </c>
      <c r="K132" s="28" t="n">
        <f aca="false">IF($J132="","",$J132-기준정보!$C$5)</f>
        <v>46426</v>
      </c>
      <c r="L132" s="28" t="n">
        <f aca="false">IF($K132="","",$K132-기준정보!$C$6)</f>
        <v>46336</v>
      </c>
      <c r="M132" s="29" t="n">
        <f aca="false">IF($L132="","",$L132-기준정보!$C$4)</f>
        <v>94</v>
      </c>
      <c r="N132" s="27" t="s">
        <v>65</v>
      </c>
      <c r="O132" s="30"/>
      <c r="P132" s="26" t="str">
        <f aca="false">IF($G132="","",IF(AND(ISNUMBER(SEARCH("CMT",$G132)),OR(ISNUMBER(SEARCH("완사입",$G132)),ISNUMBER(SEARCH("ODM",$G132)))),"본사/생산처 혼재",IF(ISNUMBER(SEARCH("CMT",$G132)),"본사(소재팀)","생산처")))</f>
        <v>본사(소재팀)</v>
      </c>
      <c r="Q132" s="25" t="s">
        <v>168</v>
      </c>
      <c r="R132" s="25" t="s">
        <v>67</v>
      </c>
      <c r="S132" s="31" t="n">
        <v>14000</v>
      </c>
      <c r="T132" s="26" t="s">
        <v>359</v>
      </c>
      <c r="U132" s="26" t="str">
        <f aca="false">IF($J132="","출고일 미정",IF($N132="X","작지 미발행",IF($N132="부분","작지 일부 미발행",IF(AND($O132&lt;&gt;"",$O132&gt;$L132),"소재입고 마감("&amp;TEXT($L132,"MM/DD")&amp;") 초과",IF($N132="","발행여부 확인 필요",IF($O132="","소재 입고일정 확인 필요","정상"))))))</f>
        <v>소재 입고일정 확인 필요</v>
      </c>
      <c r="V132" s="24" t="str">
        <f aca="false">IF($J132="","",IF(OR(LEFT($U132,2)="작지",LEFT($U132,4)="소재입고"),IF(LEFT($F132,1)="S","★ 납기위험(S코드)","◆ 지연주의"),IF($U132="정상","✓ 정상","? 확인필요")))</f>
        <v>? 확인필요</v>
      </c>
      <c r="W132" s="27"/>
      <c r="X132" s="32"/>
    </row>
    <row r="133" customFormat="false" ht="15" hidden="false" customHeight="false" outlineLevel="0" collapsed="false">
      <c r="A133" s="24" t="n">
        <v>129</v>
      </c>
      <c r="B133" s="25" t="s">
        <v>175</v>
      </c>
      <c r="C133" s="25" t="s">
        <v>179</v>
      </c>
      <c r="D133" s="26" t="s">
        <v>381</v>
      </c>
      <c r="E133" s="25" t="s">
        <v>382</v>
      </c>
      <c r="F133" s="24" t="str">
        <f aca="false">IF($D133="","",IF(MID($D133,5,1)="S","S(봄)",IF(MID($D133,5,1)="M","M(여름)",IF(MID($D133,5,1)="X","X(사계절)",MID($D133,5,1)))))</f>
        <v>M(여름)</v>
      </c>
      <c r="G133" s="25" t="s">
        <v>62</v>
      </c>
      <c r="H133" s="24"/>
      <c r="I133" s="27" t="s">
        <v>359</v>
      </c>
      <c r="J133" s="28" t="n">
        <f aca="false">IF($I133="","",IFERROR(DATE(IF(VALUE(LEFT($I133,FIND("월",$I133)-1))&gt;=9,기준정보!$C$7-1,기준정보!$C$7),VALUE(LEFT($I133,FIND("월",$I133)-1)),1+7*(VALUE(SUBSTITUTE(MID($I133,FIND("월",$I133)+1,5),"주",""))-1)),""))</f>
        <v>46440</v>
      </c>
      <c r="K133" s="28" t="n">
        <f aca="false">IF($J133="","",$J133-기준정보!$C$5)</f>
        <v>46426</v>
      </c>
      <c r="L133" s="28" t="n">
        <f aca="false">IF($K133="","",$K133-기준정보!$C$6)</f>
        <v>46336</v>
      </c>
      <c r="M133" s="29" t="n">
        <f aca="false">IF($L133="","",$L133-기준정보!$C$4)</f>
        <v>94</v>
      </c>
      <c r="N133" s="27" t="s">
        <v>65</v>
      </c>
      <c r="O133" s="30"/>
      <c r="P133" s="26" t="str">
        <f aca="false">IF($G133="","",IF(AND(ISNUMBER(SEARCH("CMT",$G133)),OR(ISNUMBER(SEARCH("완사입",$G133)),ISNUMBER(SEARCH("ODM",$G133)))),"본사/생산처 혼재",IF(ISNUMBER(SEARCH("CMT",$G133)),"본사(소재팀)","생산처")))</f>
        <v>생산처</v>
      </c>
      <c r="Q133" s="26" t="s">
        <v>193</v>
      </c>
      <c r="R133" s="25" t="s">
        <v>71</v>
      </c>
      <c r="S133" s="31" t="n">
        <v>1200</v>
      </c>
      <c r="T133" s="26" t="s">
        <v>383</v>
      </c>
      <c r="U133" s="26" t="str">
        <f aca="false">IF($J133="","출고일 미정",IF($N133="X","작지 미발행",IF($N133="부분","작지 일부 미발행",IF(AND($O133&lt;&gt;"",$O133&gt;$L133),"소재입고 마감("&amp;TEXT($L133,"MM/DD")&amp;") 초과",IF($N133="","발행여부 확인 필요",IF($O133="","소재 입고일정 확인 필요","정상"))))))</f>
        <v>소재 입고일정 확인 필요</v>
      </c>
      <c r="V133" s="24" t="str">
        <f aca="false">IF($J133="","",IF(OR(LEFT($U133,2)="작지",LEFT($U133,4)="소재입고"),IF(LEFT($F133,1)="S","★ 납기위험(S코드)","◆ 지연주의"),IF($U133="정상","✓ 정상","? 확인필요")))</f>
        <v>? 확인필요</v>
      </c>
      <c r="W133" s="27"/>
      <c r="X133" s="32"/>
    </row>
    <row r="134" customFormat="false" ht="15" hidden="false" customHeight="false" outlineLevel="0" collapsed="false">
      <c r="A134" s="24" t="n">
        <v>130</v>
      </c>
      <c r="B134" s="25" t="s">
        <v>175</v>
      </c>
      <c r="C134" s="25" t="s">
        <v>179</v>
      </c>
      <c r="D134" s="26" t="s">
        <v>384</v>
      </c>
      <c r="E134" s="25" t="s">
        <v>385</v>
      </c>
      <c r="F134" s="24" t="str">
        <f aca="false">IF($D134="","",IF(MID($D134,5,1)="S","S(봄)",IF(MID($D134,5,1)="M","M(여름)",IF(MID($D134,5,1)="X","X(사계절)",MID($D134,5,1)))))</f>
        <v>M(여름)</v>
      </c>
      <c r="G134" s="25" t="s">
        <v>62</v>
      </c>
      <c r="H134" s="24"/>
      <c r="I134" s="27" t="s">
        <v>359</v>
      </c>
      <c r="J134" s="28" t="n">
        <f aca="false">IF($I134="","",IFERROR(DATE(IF(VALUE(LEFT($I134,FIND("월",$I134)-1))&gt;=9,기준정보!$C$7-1,기준정보!$C$7),VALUE(LEFT($I134,FIND("월",$I134)-1)),1+7*(VALUE(SUBSTITUTE(MID($I134,FIND("월",$I134)+1,5),"주",""))-1)),""))</f>
        <v>46440</v>
      </c>
      <c r="K134" s="28" t="n">
        <f aca="false">IF($J134="","",$J134-기준정보!$C$5)</f>
        <v>46426</v>
      </c>
      <c r="L134" s="28" t="n">
        <f aca="false">IF($K134="","",$K134-기준정보!$C$6)</f>
        <v>46336</v>
      </c>
      <c r="M134" s="29" t="n">
        <f aca="false">IF($L134="","",$L134-기준정보!$C$4)</f>
        <v>94</v>
      </c>
      <c r="N134" s="27" t="s">
        <v>65</v>
      </c>
      <c r="O134" s="30"/>
      <c r="P134" s="26" t="str">
        <f aca="false">IF($G134="","",IF(AND(ISNUMBER(SEARCH("CMT",$G134)),OR(ISNUMBER(SEARCH("완사입",$G134)),ISNUMBER(SEARCH("ODM",$G134)))),"본사/생산처 혼재",IF(ISNUMBER(SEARCH("CMT",$G134)),"본사(소재팀)","생산처")))</f>
        <v>생산처</v>
      </c>
      <c r="Q134" s="25" t="s">
        <v>84</v>
      </c>
      <c r="R134" s="25" t="s">
        <v>67</v>
      </c>
      <c r="S134" s="31" t="n">
        <v>12000</v>
      </c>
      <c r="T134" s="26" t="s">
        <v>383</v>
      </c>
      <c r="U134" s="26" t="str">
        <f aca="false">IF($J134="","출고일 미정",IF($N134="X","작지 미발행",IF($N134="부분","작지 일부 미발행",IF(AND($O134&lt;&gt;"",$O134&gt;$L134),"소재입고 마감("&amp;TEXT($L134,"MM/DD")&amp;") 초과",IF($N134="","발행여부 확인 필요",IF($O134="","소재 입고일정 확인 필요","정상"))))))</f>
        <v>소재 입고일정 확인 필요</v>
      </c>
      <c r="V134" s="24" t="str">
        <f aca="false">IF($J134="","",IF(OR(LEFT($U134,2)="작지",LEFT($U134,4)="소재입고"),IF(LEFT($F134,1)="S","★ 납기위험(S코드)","◆ 지연주의"),IF($U134="정상","✓ 정상","? 확인필요")))</f>
        <v>? 확인필요</v>
      </c>
      <c r="W134" s="27"/>
      <c r="X134" s="32"/>
    </row>
    <row r="135" customFormat="false" ht="15" hidden="false" customHeight="false" outlineLevel="0" collapsed="false">
      <c r="A135" s="24" t="n">
        <v>131</v>
      </c>
      <c r="B135" s="25" t="s">
        <v>163</v>
      </c>
      <c r="C135" s="25" t="s">
        <v>386</v>
      </c>
      <c r="D135" s="26" t="s">
        <v>387</v>
      </c>
      <c r="E135" s="25" t="s">
        <v>388</v>
      </c>
      <c r="F135" s="24" t="str">
        <f aca="false">IF($D135="","",IF(MID($D135,5,1)="S","S(봄)",IF(MID($D135,5,1)="M","M(여름)",IF(MID($D135,5,1)="X","X(사계절)",MID($D135,5,1)))))</f>
        <v>M(여름)</v>
      </c>
      <c r="G135" s="25" t="s">
        <v>62</v>
      </c>
      <c r="H135" s="24"/>
      <c r="I135" s="27" t="s">
        <v>359</v>
      </c>
      <c r="J135" s="28" t="n">
        <f aca="false">IF($I135="","",IFERROR(DATE(IF(VALUE(LEFT($I135,FIND("월",$I135)-1))&gt;=9,기준정보!$C$7-1,기준정보!$C$7),VALUE(LEFT($I135,FIND("월",$I135)-1)),1+7*(VALUE(SUBSTITUTE(MID($I135,FIND("월",$I135)+1,5),"주",""))-1)),""))</f>
        <v>46440</v>
      </c>
      <c r="K135" s="28" t="n">
        <f aca="false">IF($J135="","",$J135-기준정보!$C$5)</f>
        <v>46426</v>
      </c>
      <c r="L135" s="28" t="n">
        <f aca="false">IF($K135="","",$K135-기준정보!$C$6)</f>
        <v>46336</v>
      </c>
      <c r="M135" s="29" t="n">
        <f aca="false">IF($L135="","",$L135-기준정보!$C$4)</f>
        <v>94</v>
      </c>
      <c r="N135" s="27" t="s">
        <v>119</v>
      </c>
      <c r="O135" s="30"/>
      <c r="P135" s="26" t="str">
        <f aca="false">IF($G135="","",IF(AND(ISNUMBER(SEARCH("CMT",$G135)),OR(ISNUMBER(SEARCH("완사입",$G135)),ISNUMBER(SEARCH("ODM",$G135)))),"본사/생산처 혼재",IF(ISNUMBER(SEARCH("CMT",$G135)),"본사(소재팀)","생산처")))</f>
        <v>생산처</v>
      </c>
      <c r="Q135" s="25" t="s">
        <v>389</v>
      </c>
      <c r="R135" s="25" t="s">
        <v>67</v>
      </c>
      <c r="S135" s="31" t="n">
        <v>4700</v>
      </c>
      <c r="T135" s="26"/>
      <c r="U135" s="26" t="str">
        <f aca="false">IF($J135="","출고일 미정",IF($N135="X","작지 미발행",IF($N135="부분","작지 일부 미발행",IF(AND($O135&lt;&gt;"",$O135&gt;$L135),"소재입고 마감("&amp;TEXT($L135,"MM/DD")&amp;") 초과",IF($N135="","발행여부 확인 필요",IF($O135="","소재 입고일정 확인 필요","정상"))))))</f>
        <v>작지 미발행</v>
      </c>
      <c r="V135" s="24" t="str">
        <f aca="false">IF($J135="","",IF(OR(LEFT($U135,2)="작지",LEFT($U135,4)="소재입고"),IF(LEFT($F135,1)="S","★ 납기위험(S코드)","◆ 지연주의"),IF($U135="정상","✓ 정상","? 확인필요")))</f>
        <v>◆ 지연주의</v>
      </c>
      <c r="W135" s="27"/>
      <c r="X135" s="32"/>
    </row>
    <row r="136" customFormat="false" ht="15" hidden="false" customHeight="false" outlineLevel="0" collapsed="false">
      <c r="A136" s="24" t="n">
        <v>132</v>
      </c>
      <c r="B136" s="25" t="s">
        <v>163</v>
      </c>
      <c r="C136" s="25" t="s">
        <v>386</v>
      </c>
      <c r="D136" s="26" t="s">
        <v>390</v>
      </c>
      <c r="E136" s="25" t="s">
        <v>391</v>
      </c>
      <c r="F136" s="24" t="str">
        <f aca="false">IF($D136="","",IF(MID($D136,5,1)="S","S(봄)",IF(MID($D136,5,1)="M","M(여름)",IF(MID($D136,5,1)="X","X(사계절)",MID($D136,5,1)))))</f>
        <v>M(여름)</v>
      </c>
      <c r="G136" s="25" t="s">
        <v>62</v>
      </c>
      <c r="H136" s="24"/>
      <c r="I136" s="27" t="s">
        <v>359</v>
      </c>
      <c r="J136" s="28" t="n">
        <f aca="false">IF($I136="","",IFERROR(DATE(IF(VALUE(LEFT($I136,FIND("월",$I136)-1))&gt;=9,기준정보!$C$7-1,기준정보!$C$7),VALUE(LEFT($I136,FIND("월",$I136)-1)),1+7*(VALUE(SUBSTITUTE(MID($I136,FIND("월",$I136)+1,5),"주",""))-1)),""))</f>
        <v>46440</v>
      </c>
      <c r="K136" s="28" t="n">
        <f aca="false">IF($J136="","",$J136-기준정보!$C$5)</f>
        <v>46426</v>
      </c>
      <c r="L136" s="28" t="n">
        <f aca="false">IF($K136="","",$K136-기준정보!$C$6)</f>
        <v>46336</v>
      </c>
      <c r="M136" s="29" t="n">
        <f aca="false">IF($L136="","",$L136-기준정보!$C$4)</f>
        <v>94</v>
      </c>
      <c r="N136" s="27" t="s">
        <v>119</v>
      </c>
      <c r="O136" s="30"/>
      <c r="P136" s="26" t="str">
        <f aca="false">IF($G136="","",IF(AND(ISNUMBER(SEARCH("CMT",$G136)),OR(ISNUMBER(SEARCH("완사입",$G136)),ISNUMBER(SEARCH("ODM",$G136)))),"본사/생산처 혼재",IF(ISNUMBER(SEARCH("CMT",$G136)),"본사(소재팀)","생산처")))</f>
        <v>생산처</v>
      </c>
      <c r="Q136" s="25" t="s">
        <v>389</v>
      </c>
      <c r="R136" s="25" t="s">
        <v>67</v>
      </c>
      <c r="S136" s="31" t="n">
        <v>4500</v>
      </c>
      <c r="T136" s="26"/>
      <c r="U136" s="26" t="str">
        <f aca="false">IF($J136="","출고일 미정",IF($N136="X","작지 미발행",IF($N136="부분","작지 일부 미발행",IF(AND($O136&lt;&gt;"",$O136&gt;$L136),"소재입고 마감("&amp;TEXT($L136,"MM/DD")&amp;") 초과",IF($N136="","발행여부 확인 필요",IF($O136="","소재 입고일정 확인 필요","정상"))))))</f>
        <v>작지 미발행</v>
      </c>
      <c r="V136" s="24" t="str">
        <f aca="false">IF($J136="","",IF(OR(LEFT($U136,2)="작지",LEFT($U136,4)="소재입고"),IF(LEFT($F136,1)="S","★ 납기위험(S코드)","◆ 지연주의"),IF($U136="정상","✓ 정상","? 확인필요")))</f>
        <v>◆ 지연주의</v>
      </c>
      <c r="W136" s="27"/>
      <c r="X136" s="32"/>
    </row>
    <row r="137" customFormat="false" ht="15" hidden="false" customHeight="false" outlineLevel="0" collapsed="false">
      <c r="A137" s="24" t="n">
        <v>133</v>
      </c>
      <c r="B137" s="25" t="s">
        <v>211</v>
      </c>
      <c r="C137" s="25" t="s">
        <v>212</v>
      </c>
      <c r="D137" s="26" t="s">
        <v>392</v>
      </c>
      <c r="E137" s="25" t="s">
        <v>393</v>
      </c>
      <c r="F137" s="24" t="str">
        <f aca="false">IF($D137="","",IF(MID($D137,5,1)="S","S(봄)",IF(MID($D137,5,1)="M","M(여름)",IF(MID($D137,5,1)="X","X(사계절)",MID($D137,5,1)))))</f>
        <v>M(여름)</v>
      </c>
      <c r="G137" s="26" t="s">
        <v>167</v>
      </c>
      <c r="H137" s="24" t="s">
        <v>394</v>
      </c>
      <c r="I137" s="27" t="s">
        <v>359</v>
      </c>
      <c r="J137" s="28" t="n">
        <f aca="false">IF($I137="","",IFERROR(DATE(IF(VALUE(LEFT($I137,FIND("월",$I137)-1))&gt;=9,기준정보!$C$7-1,기준정보!$C$7),VALUE(LEFT($I137,FIND("월",$I137)-1)),1+7*(VALUE(SUBSTITUTE(MID($I137,FIND("월",$I137)+1,5),"주",""))-1)),""))</f>
        <v>46440</v>
      </c>
      <c r="K137" s="28" t="n">
        <f aca="false">IF($J137="","",$J137-기준정보!$C$5)</f>
        <v>46426</v>
      </c>
      <c r="L137" s="28" t="n">
        <f aca="false">IF($K137="","",$K137-기준정보!$C$6)</f>
        <v>46336</v>
      </c>
      <c r="M137" s="29" t="n">
        <f aca="false">IF($L137="","",$L137-기준정보!$C$4)</f>
        <v>94</v>
      </c>
      <c r="N137" s="27" t="s">
        <v>65</v>
      </c>
      <c r="O137" s="30"/>
      <c r="P137" s="26" t="str">
        <f aca="false">IF($G137="","",IF(AND(ISNUMBER(SEARCH("CMT",$G137)),OR(ISNUMBER(SEARCH("완사입",$G137)),ISNUMBER(SEARCH("ODM",$G137)))),"본사/생산처 혼재",IF(ISNUMBER(SEARCH("CMT",$G137)),"본사(소재팀)","생산처")))</f>
        <v>본사(소재팀)</v>
      </c>
      <c r="Q137" s="26" t="s">
        <v>120</v>
      </c>
      <c r="R137" s="25" t="s">
        <v>67</v>
      </c>
      <c r="S137" s="31" t="n">
        <v>5000</v>
      </c>
      <c r="T137" s="26"/>
      <c r="U137" s="26" t="str">
        <f aca="false">IF($J137="","출고일 미정",IF($N137="X","작지 미발행",IF($N137="부분","작지 일부 미발행",IF(AND($O137&lt;&gt;"",$O137&gt;$L137),"소재입고 마감("&amp;TEXT($L137,"MM/DD")&amp;") 초과",IF($N137="","발행여부 확인 필요",IF($O137="","소재 입고일정 확인 필요","정상"))))))</f>
        <v>소재 입고일정 확인 필요</v>
      </c>
      <c r="V137" s="24" t="str">
        <f aca="false">IF($J137="","",IF(OR(LEFT($U137,2)="작지",LEFT($U137,4)="소재입고"),IF(LEFT($F137,1)="S","★ 납기위험(S코드)","◆ 지연주의"),IF($U137="정상","✓ 정상","? 확인필요")))</f>
        <v>? 확인필요</v>
      </c>
      <c r="W137" s="27"/>
      <c r="X137" s="32"/>
    </row>
    <row r="138" customFormat="false" ht="15" hidden="false" customHeight="false" outlineLevel="0" collapsed="false">
      <c r="A138" s="24" t="n">
        <v>134</v>
      </c>
      <c r="B138" s="25" t="s">
        <v>211</v>
      </c>
      <c r="C138" s="25" t="s">
        <v>212</v>
      </c>
      <c r="D138" s="26" t="s">
        <v>395</v>
      </c>
      <c r="E138" s="25" t="s">
        <v>396</v>
      </c>
      <c r="F138" s="24" t="str">
        <f aca="false">IF($D138="","",IF(MID($D138,5,1)="S","S(봄)",IF(MID($D138,5,1)="M","M(여름)",IF(MID($D138,5,1)="X","X(사계절)",MID($D138,5,1)))))</f>
        <v>M(여름)</v>
      </c>
      <c r="G138" s="26" t="s">
        <v>167</v>
      </c>
      <c r="H138" s="24" t="s">
        <v>397</v>
      </c>
      <c r="I138" s="27" t="s">
        <v>359</v>
      </c>
      <c r="J138" s="28" t="n">
        <f aca="false">IF($I138="","",IFERROR(DATE(IF(VALUE(LEFT($I138,FIND("월",$I138)-1))&gt;=9,기준정보!$C$7-1,기준정보!$C$7),VALUE(LEFT($I138,FIND("월",$I138)-1)),1+7*(VALUE(SUBSTITUTE(MID($I138,FIND("월",$I138)+1,5),"주",""))-1)),""))</f>
        <v>46440</v>
      </c>
      <c r="K138" s="28" t="n">
        <f aca="false">IF($J138="","",$J138-기준정보!$C$5)</f>
        <v>46426</v>
      </c>
      <c r="L138" s="28" t="n">
        <f aca="false">IF($K138="","",$K138-기준정보!$C$6)</f>
        <v>46336</v>
      </c>
      <c r="M138" s="29" t="n">
        <f aca="false">IF($L138="","",$L138-기준정보!$C$4)</f>
        <v>94</v>
      </c>
      <c r="N138" s="33" t="s">
        <v>398</v>
      </c>
      <c r="O138" s="30"/>
      <c r="P138" s="26" t="str">
        <f aca="false">IF($G138="","",IF(AND(ISNUMBER(SEARCH("CMT",$G138)),OR(ISNUMBER(SEARCH("완사입",$G138)),ISNUMBER(SEARCH("ODM",$G138)))),"본사/생산처 혼재",IF(ISNUMBER(SEARCH("CMT",$G138)),"본사(소재팀)","생산처")))</f>
        <v>본사(소재팀)</v>
      </c>
      <c r="Q138" s="25" t="s">
        <v>79</v>
      </c>
      <c r="R138" s="25" t="s">
        <v>67</v>
      </c>
      <c r="S138" s="31" t="n">
        <v>1500</v>
      </c>
      <c r="T138" s="26"/>
      <c r="U138" s="26" t="str">
        <f aca="false">IF($J138="","출고일 미정",IF($N138="X","작지 미발행",IF($N138="부분","작지 일부 미발행",IF(AND($O138&lt;&gt;"",$O138&gt;$L138),"소재입고 마감("&amp;TEXT($L138,"MM/DD")&amp;") 초과",IF($N138="","발행여부 확인 필요",IF($O138="","소재 입고일정 확인 필요","정상"))))))</f>
        <v>작지 일부 미발행</v>
      </c>
      <c r="V138" s="24" t="str">
        <f aca="false">IF($J138="","",IF(OR(LEFT($U138,2)="작지",LEFT($U138,4)="소재입고"),IF(LEFT($F138,1)="S","★ 납기위험(S코드)","◆ 지연주의"),IF($U138="정상","✓ 정상","? 확인필요")))</f>
        <v>◆ 지연주의</v>
      </c>
      <c r="W138" s="27"/>
      <c r="X138" s="32"/>
    </row>
    <row r="139" customFormat="false" ht="15" hidden="false" customHeight="false" outlineLevel="0" collapsed="false">
      <c r="A139" s="24" t="n">
        <v>135</v>
      </c>
      <c r="B139" s="25" t="s">
        <v>99</v>
      </c>
      <c r="C139" s="25" t="s">
        <v>212</v>
      </c>
      <c r="D139" s="26" t="s">
        <v>399</v>
      </c>
      <c r="E139" s="25" t="s">
        <v>400</v>
      </c>
      <c r="F139" s="24" t="str">
        <f aca="false">IF($D139="","",IF(MID($D139,5,1)="S","S(봄)",IF(MID($D139,5,1)="M","M(여름)",IF(MID($D139,5,1)="X","X(사계절)",MID($D139,5,1)))))</f>
        <v>M(여름)</v>
      </c>
      <c r="G139" s="25" t="s">
        <v>62</v>
      </c>
      <c r="H139" s="24"/>
      <c r="I139" s="27" t="s">
        <v>359</v>
      </c>
      <c r="J139" s="28" t="n">
        <f aca="false">IF($I139="","",IFERROR(DATE(IF(VALUE(LEFT($I139,FIND("월",$I139)-1))&gt;=9,기준정보!$C$7-1,기준정보!$C$7),VALUE(LEFT($I139,FIND("월",$I139)-1)),1+7*(VALUE(SUBSTITUTE(MID($I139,FIND("월",$I139)+1,5),"주",""))-1)),""))</f>
        <v>46440</v>
      </c>
      <c r="K139" s="28" t="n">
        <f aca="false">IF($J139="","",$J139-기준정보!$C$5)</f>
        <v>46426</v>
      </c>
      <c r="L139" s="28" t="n">
        <f aca="false">IF($K139="","",$K139-기준정보!$C$6)</f>
        <v>46336</v>
      </c>
      <c r="M139" s="29" t="n">
        <f aca="false">IF($L139="","",$L139-기준정보!$C$4)</f>
        <v>94</v>
      </c>
      <c r="N139" s="27" t="s">
        <v>65</v>
      </c>
      <c r="O139" s="30"/>
      <c r="P139" s="26" t="str">
        <f aca="false">IF($G139="","",IF(AND(ISNUMBER(SEARCH("CMT",$G139)),OR(ISNUMBER(SEARCH("완사입",$G139)),ISNUMBER(SEARCH("ODM",$G139)))),"본사/생산처 혼재",IF(ISNUMBER(SEARCH("CMT",$G139)),"본사(소재팀)","생산처")))</f>
        <v>생산처</v>
      </c>
      <c r="Q139" s="25" t="s">
        <v>401</v>
      </c>
      <c r="R139" s="25" t="s">
        <v>67</v>
      </c>
      <c r="S139" s="31" t="n">
        <v>2000</v>
      </c>
      <c r="T139" s="26" t="s">
        <v>359</v>
      </c>
      <c r="U139" s="26" t="str">
        <f aca="false">IF($J139="","출고일 미정",IF($N139="X","작지 미발행",IF($N139="부분","작지 일부 미발행",IF(AND($O139&lt;&gt;"",$O139&gt;$L139),"소재입고 마감("&amp;TEXT($L139,"MM/DD")&amp;") 초과",IF($N139="","발행여부 확인 필요",IF($O139="","소재 입고일정 확인 필요","정상"))))))</f>
        <v>소재 입고일정 확인 필요</v>
      </c>
      <c r="V139" s="24" t="str">
        <f aca="false">IF($J139="","",IF(OR(LEFT($U139,2)="작지",LEFT($U139,4)="소재입고"),IF(LEFT($F139,1)="S","★ 납기위험(S코드)","◆ 지연주의"),IF($U139="정상","✓ 정상","? 확인필요")))</f>
        <v>? 확인필요</v>
      </c>
      <c r="W139" s="27"/>
      <c r="X139" s="32"/>
    </row>
    <row r="140" customFormat="false" ht="15" hidden="false" customHeight="false" outlineLevel="0" collapsed="false">
      <c r="A140" s="24" t="n">
        <v>136</v>
      </c>
      <c r="B140" s="25" t="s">
        <v>99</v>
      </c>
      <c r="C140" s="25" t="s">
        <v>212</v>
      </c>
      <c r="D140" s="26" t="s">
        <v>402</v>
      </c>
      <c r="E140" s="25" t="s">
        <v>403</v>
      </c>
      <c r="F140" s="24" t="str">
        <f aca="false">IF($D140="","",IF(MID($D140,5,1)="S","S(봄)",IF(MID($D140,5,1)="M","M(여름)",IF(MID($D140,5,1)="X","X(사계절)",MID($D140,5,1)))))</f>
        <v>M(여름)</v>
      </c>
      <c r="G140" s="25" t="s">
        <v>62</v>
      </c>
      <c r="H140" s="24"/>
      <c r="I140" s="27" t="s">
        <v>359</v>
      </c>
      <c r="J140" s="28" t="n">
        <f aca="false">IF($I140="","",IFERROR(DATE(IF(VALUE(LEFT($I140,FIND("월",$I140)-1))&gt;=9,기준정보!$C$7-1,기준정보!$C$7),VALUE(LEFT($I140,FIND("월",$I140)-1)),1+7*(VALUE(SUBSTITUTE(MID($I140,FIND("월",$I140)+1,5),"주",""))-1)),""))</f>
        <v>46440</v>
      </c>
      <c r="K140" s="28" t="n">
        <f aca="false">IF($J140="","",$J140-기준정보!$C$5)</f>
        <v>46426</v>
      </c>
      <c r="L140" s="28" t="n">
        <f aca="false">IF($K140="","",$K140-기준정보!$C$6)</f>
        <v>46336</v>
      </c>
      <c r="M140" s="29" t="n">
        <f aca="false">IF($L140="","",$L140-기준정보!$C$4)</f>
        <v>94</v>
      </c>
      <c r="N140" s="27" t="s">
        <v>65</v>
      </c>
      <c r="O140" s="30"/>
      <c r="P140" s="26" t="str">
        <f aca="false">IF($G140="","",IF(AND(ISNUMBER(SEARCH("CMT",$G140)),OR(ISNUMBER(SEARCH("완사입",$G140)),ISNUMBER(SEARCH("ODM",$G140)))),"본사/생산처 혼재",IF(ISNUMBER(SEARCH("CMT",$G140)),"본사(소재팀)","생산처")))</f>
        <v>생산처</v>
      </c>
      <c r="Q140" s="25" t="s">
        <v>401</v>
      </c>
      <c r="R140" s="25" t="s">
        <v>67</v>
      </c>
      <c r="S140" s="31" t="n">
        <v>1600</v>
      </c>
      <c r="T140" s="26" t="s">
        <v>404</v>
      </c>
      <c r="U140" s="26" t="str">
        <f aca="false">IF($J140="","출고일 미정",IF($N140="X","작지 미발행",IF($N140="부분","작지 일부 미발행",IF(AND($O140&lt;&gt;"",$O140&gt;$L140),"소재입고 마감("&amp;TEXT($L140,"MM/DD")&amp;") 초과",IF($N140="","발행여부 확인 필요",IF($O140="","소재 입고일정 확인 필요","정상"))))))</f>
        <v>소재 입고일정 확인 필요</v>
      </c>
      <c r="V140" s="24" t="str">
        <f aca="false">IF($J140="","",IF(OR(LEFT($U140,2)="작지",LEFT($U140,4)="소재입고"),IF(LEFT($F140,1)="S","★ 납기위험(S코드)","◆ 지연주의"),IF($U140="정상","✓ 정상","? 확인필요")))</f>
        <v>? 확인필요</v>
      </c>
      <c r="W140" s="27"/>
      <c r="X140" s="32"/>
    </row>
    <row r="141" customFormat="false" ht="15" hidden="false" customHeight="false" outlineLevel="0" collapsed="false">
      <c r="A141" s="24" t="n">
        <v>137</v>
      </c>
      <c r="B141" s="25" t="s">
        <v>99</v>
      </c>
      <c r="C141" s="25" t="s">
        <v>100</v>
      </c>
      <c r="D141" s="26" t="s">
        <v>405</v>
      </c>
      <c r="E141" s="25" t="s">
        <v>406</v>
      </c>
      <c r="F141" s="24" t="str">
        <f aca="false">IF($D141="","",IF(MID($D141,5,1)="S","S(봄)",IF(MID($D141,5,1)="M","M(여름)",IF(MID($D141,5,1)="X","X(사계절)",MID($D141,5,1)))))</f>
        <v>M(여름)</v>
      </c>
      <c r="G141" s="25" t="s">
        <v>62</v>
      </c>
      <c r="H141" s="24"/>
      <c r="I141" s="27" t="s">
        <v>359</v>
      </c>
      <c r="J141" s="28" t="n">
        <f aca="false">IF($I141="","",IFERROR(DATE(IF(VALUE(LEFT($I141,FIND("월",$I141)-1))&gt;=9,기준정보!$C$7-1,기준정보!$C$7),VALUE(LEFT($I141,FIND("월",$I141)-1)),1+7*(VALUE(SUBSTITUTE(MID($I141,FIND("월",$I141)+1,5),"주",""))-1)),""))</f>
        <v>46440</v>
      </c>
      <c r="K141" s="28" t="n">
        <f aca="false">IF($J141="","",$J141-기준정보!$C$5)</f>
        <v>46426</v>
      </c>
      <c r="L141" s="28" t="n">
        <f aca="false">IF($K141="","",$K141-기준정보!$C$6)</f>
        <v>46336</v>
      </c>
      <c r="M141" s="29" t="n">
        <f aca="false">IF($L141="","",$L141-기준정보!$C$4)</f>
        <v>94</v>
      </c>
      <c r="N141" s="27" t="s">
        <v>65</v>
      </c>
      <c r="O141" s="30"/>
      <c r="P141" s="26" t="str">
        <f aca="false">IF($G141="","",IF(AND(ISNUMBER(SEARCH("CMT",$G141)),OR(ISNUMBER(SEARCH("완사입",$G141)),ISNUMBER(SEARCH("ODM",$G141)))),"본사/생산처 혼재",IF(ISNUMBER(SEARCH("CMT",$G141)),"본사(소재팀)","생산처")))</f>
        <v>생산처</v>
      </c>
      <c r="Q141" s="26" t="s">
        <v>193</v>
      </c>
      <c r="R141" s="25" t="s">
        <v>71</v>
      </c>
      <c r="S141" s="31" t="n">
        <v>10000</v>
      </c>
      <c r="T141" s="26"/>
      <c r="U141" s="26" t="str">
        <f aca="false">IF($J141="","출고일 미정",IF($N141="X","작지 미발행",IF($N141="부분","작지 일부 미발행",IF(AND($O141&lt;&gt;"",$O141&gt;$L141),"소재입고 마감("&amp;TEXT($L141,"MM/DD")&amp;") 초과",IF($N141="","발행여부 확인 필요",IF($O141="","소재 입고일정 확인 필요","정상"))))))</f>
        <v>소재 입고일정 확인 필요</v>
      </c>
      <c r="V141" s="24" t="str">
        <f aca="false">IF($J141="","",IF(OR(LEFT($U141,2)="작지",LEFT($U141,4)="소재입고"),IF(LEFT($F141,1)="S","★ 납기위험(S코드)","◆ 지연주의"),IF($U141="정상","✓ 정상","? 확인필요")))</f>
        <v>? 확인필요</v>
      </c>
      <c r="W141" s="27"/>
      <c r="X141" s="32"/>
    </row>
    <row r="142" customFormat="false" ht="15" hidden="false" customHeight="false" outlineLevel="0" collapsed="false">
      <c r="A142" s="24" t="n">
        <v>138</v>
      </c>
      <c r="B142" s="25" t="s">
        <v>99</v>
      </c>
      <c r="C142" s="25" t="s">
        <v>100</v>
      </c>
      <c r="D142" s="26" t="s">
        <v>407</v>
      </c>
      <c r="E142" s="25" t="s">
        <v>408</v>
      </c>
      <c r="F142" s="24" t="str">
        <f aca="false">IF($D142="","",IF(MID($D142,5,1)="S","S(봄)",IF(MID($D142,5,1)="M","M(여름)",IF(MID($D142,5,1)="X","X(사계절)",MID($D142,5,1)))))</f>
        <v>M(여름)</v>
      </c>
      <c r="G142" s="25" t="s">
        <v>62</v>
      </c>
      <c r="H142" s="24"/>
      <c r="I142" s="27" t="s">
        <v>359</v>
      </c>
      <c r="J142" s="28" t="n">
        <f aca="false">IF($I142="","",IFERROR(DATE(IF(VALUE(LEFT($I142,FIND("월",$I142)-1))&gt;=9,기준정보!$C$7-1,기준정보!$C$7),VALUE(LEFT($I142,FIND("월",$I142)-1)),1+7*(VALUE(SUBSTITUTE(MID($I142,FIND("월",$I142)+1,5),"주",""))-1)),""))</f>
        <v>46440</v>
      </c>
      <c r="K142" s="28" t="n">
        <f aca="false">IF($J142="","",$J142-기준정보!$C$5)</f>
        <v>46426</v>
      </c>
      <c r="L142" s="28" t="n">
        <f aca="false">IF($K142="","",$K142-기준정보!$C$6)</f>
        <v>46336</v>
      </c>
      <c r="M142" s="29" t="n">
        <f aca="false">IF($L142="","",$L142-기준정보!$C$4)</f>
        <v>94</v>
      </c>
      <c r="N142" s="27" t="s">
        <v>65</v>
      </c>
      <c r="O142" s="30"/>
      <c r="P142" s="26" t="str">
        <f aca="false">IF($G142="","",IF(AND(ISNUMBER(SEARCH("CMT",$G142)),OR(ISNUMBER(SEARCH("완사입",$G142)),ISNUMBER(SEARCH("ODM",$G142)))),"본사/생산처 혼재",IF(ISNUMBER(SEARCH("CMT",$G142)),"본사(소재팀)","생산처")))</f>
        <v>생산처</v>
      </c>
      <c r="Q142" s="26" t="s">
        <v>193</v>
      </c>
      <c r="R142" s="25" t="s">
        <v>71</v>
      </c>
      <c r="S142" s="31" t="n">
        <v>1600</v>
      </c>
      <c r="T142" s="26" t="s">
        <v>359</v>
      </c>
      <c r="U142" s="26" t="str">
        <f aca="false">IF($J142="","출고일 미정",IF($N142="X","작지 미발행",IF($N142="부분","작지 일부 미발행",IF(AND($O142&lt;&gt;"",$O142&gt;$L142),"소재입고 마감("&amp;TEXT($L142,"MM/DD")&amp;") 초과",IF($N142="","발행여부 확인 필요",IF($O142="","소재 입고일정 확인 필요","정상"))))))</f>
        <v>소재 입고일정 확인 필요</v>
      </c>
      <c r="V142" s="24" t="str">
        <f aca="false">IF($J142="","",IF(OR(LEFT($U142,2)="작지",LEFT($U142,4)="소재입고"),IF(LEFT($F142,1)="S","★ 납기위험(S코드)","◆ 지연주의"),IF($U142="정상","✓ 정상","? 확인필요")))</f>
        <v>? 확인필요</v>
      </c>
      <c r="W142" s="27"/>
      <c r="X142" s="32"/>
    </row>
    <row r="143" customFormat="false" ht="15" hidden="false" customHeight="false" outlineLevel="0" collapsed="false">
      <c r="A143" s="24" t="n">
        <v>139</v>
      </c>
      <c r="B143" s="25" t="s">
        <v>211</v>
      </c>
      <c r="C143" s="25" t="s">
        <v>201</v>
      </c>
      <c r="D143" s="26" t="s">
        <v>409</v>
      </c>
      <c r="E143" s="25" t="s">
        <v>410</v>
      </c>
      <c r="F143" s="24" t="str">
        <f aca="false">IF($D143="","",IF(MID($D143,5,1)="S","S(봄)",IF(MID($D143,5,1)="M","M(여름)",IF(MID($D143,5,1)="X","X(사계절)",MID($D143,5,1)))))</f>
        <v>M(여름)</v>
      </c>
      <c r="G143" s="25" t="s">
        <v>62</v>
      </c>
      <c r="H143" s="24" t="s">
        <v>394</v>
      </c>
      <c r="I143" s="27" t="s">
        <v>359</v>
      </c>
      <c r="J143" s="28" t="n">
        <f aca="false">IF($I143="","",IFERROR(DATE(IF(VALUE(LEFT($I143,FIND("월",$I143)-1))&gt;=9,기준정보!$C$7-1,기준정보!$C$7),VALUE(LEFT($I143,FIND("월",$I143)-1)),1+7*(VALUE(SUBSTITUTE(MID($I143,FIND("월",$I143)+1,5),"주",""))-1)),""))</f>
        <v>46440</v>
      </c>
      <c r="K143" s="28" t="n">
        <f aca="false">IF($J143="","",$J143-기준정보!$C$5)</f>
        <v>46426</v>
      </c>
      <c r="L143" s="28" t="n">
        <f aca="false">IF($K143="","",$K143-기준정보!$C$6)</f>
        <v>46336</v>
      </c>
      <c r="M143" s="29" t="n">
        <f aca="false">IF($L143="","",$L143-기준정보!$C$4)</f>
        <v>94</v>
      </c>
      <c r="N143" s="27" t="s">
        <v>65</v>
      </c>
      <c r="O143" s="30"/>
      <c r="P143" s="26" t="str">
        <f aca="false">IF($G143="","",IF(AND(ISNUMBER(SEARCH("CMT",$G143)),OR(ISNUMBER(SEARCH("완사입",$G143)),ISNUMBER(SEARCH("ODM",$G143)))),"본사/생산처 혼재",IF(ISNUMBER(SEARCH("CMT",$G143)),"본사(소재팀)","생산처")))</f>
        <v>생산처</v>
      </c>
      <c r="Q143" s="25" t="s">
        <v>70</v>
      </c>
      <c r="R143" s="25" t="s">
        <v>67</v>
      </c>
      <c r="S143" s="31" t="n">
        <v>3000</v>
      </c>
      <c r="T143" s="26"/>
      <c r="U143" s="26" t="str">
        <f aca="false">IF($J143="","출고일 미정",IF($N143="X","작지 미발행",IF($N143="부분","작지 일부 미발행",IF(AND($O143&lt;&gt;"",$O143&gt;$L143),"소재입고 마감("&amp;TEXT($L143,"MM/DD")&amp;") 초과",IF($N143="","발행여부 확인 필요",IF($O143="","소재 입고일정 확인 필요","정상"))))))</f>
        <v>소재 입고일정 확인 필요</v>
      </c>
      <c r="V143" s="24" t="str">
        <f aca="false">IF($J143="","",IF(OR(LEFT($U143,2)="작지",LEFT($U143,4)="소재입고"),IF(LEFT($F143,1)="S","★ 납기위험(S코드)","◆ 지연주의"),IF($U143="정상","✓ 정상","? 확인필요")))</f>
        <v>? 확인필요</v>
      </c>
      <c r="W143" s="27"/>
      <c r="X143" s="32"/>
    </row>
    <row r="144" customFormat="false" ht="15" hidden="false" customHeight="false" outlineLevel="0" collapsed="false">
      <c r="A144" s="24" t="n">
        <v>140</v>
      </c>
      <c r="B144" s="25" t="s">
        <v>211</v>
      </c>
      <c r="C144" s="25" t="s">
        <v>201</v>
      </c>
      <c r="D144" s="26" t="s">
        <v>411</v>
      </c>
      <c r="E144" s="25" t="s">
        <v>412</v>
      </c>
      <c r="F144" s="24" t="str">
        <f aca="false">IF($D144="","",IF(MID($D144,5,1)="S","S(봄)",IF(MID($D144,5,1)="M","M(여름)",IF(MID($D144,5,1)="X","X(사계절)",MID($D144,5,1)))))</f>
        <v>M(여름)</v>
      </c>
      <c r="G144" s="25" t="s">
        <v>62</v>
      </c>
      <c r="H144" s="24" t="s">
        <v>394</v>
      </c>
      <c r="I144" s="27" t="s">
        <v>359</v>
      </c>
      <c r="J144" s="28" t="n">
        <f aca="false">IF($I144="","",IFERROR(DATE(IF(VALUE(LEFT($I144,FIND("월",$I144)-1))&gt;=9,기준정보!$C$7-1,기준정보!$C$7),VALUE(LEFT($I144,FIND("월",$I144)-1)),1+7*(VALUE(SUBSTITUTE(MID($I144,FIND("월",$I144)+1,5),"주",""))-1)),""))</f>
        <v>46440</v>
      </c>
      <c r="K144" s="28" t="n">
        <f aca="false">IF($J144="","",$J144-기준정보!$C$5)</f>
        <v>46426</v>
      </c>
      <c r="L144" s="28" t="n">
        <f aca="false">IF($K144="","",$K144-기준정보!$C$6)</f>
        <v>46336</v>
      </c>
      <c r="M144" s="29" t="n">
        <f aca="false">IF($L144="","",$L144-기준정보!$C$4)</f>
        <v>94</v>
      </c>
      <c r="N144" s="27" t="s">
        <v>65</v>
      </c>
      <c r="O144" s="30"/>
      <c r="P144" s="26" t="str">
        <f aca="false">IF($G144="","",IF(AND(ISNUMBER(SEARCH("CMT",$G144)),OR(ISNUMBER(SEARCH("완사입",$G144)),ISNUMBER(SEARCH("ODM",$G144)))),"본사/생산처 혼재",IF(ISNUMBER(SEARCH("CMT",$G144)),"본사(소재팀)","생산처")))</f>
        <v>생산처</v>
      </c>
      <c r="Q144" s="25" t="s">
        <v>210</v>
      </c>
      <c r="R144" s="25" t="s">
        <v>67</v>
      </c>
      <c r="S144" s="31" t="n">
        <v>3500</v>
      </c>
      <c r="T144" s="26"/>
      <c r="U144" s="26" t="str">
        <f aca="false">IF($J144="","출고일 미정",IF($N144="X","작지 미발행",IF($N144="부분","작지 일부 미발행",IF(AND($O144&lt;&gt;"",$O144&gt;$L144),"소재입고 마감("&amp;TEXT($L144,"MM/DD")&amp;") 초과",IF($N144="","발행여부 확인 필요",IF($O144="","소재 입고일정 확인 필요","정상"))))))</f>
        <v>소재 입고일정 확인 필요</v>
      </c>
      <c r="V144" s="24" t="str">
        <f aca="false">IF($J144="","",IF(OR(LEFT($U144,2)="작지",LEFT($U144,4)="소재입고"),IF(LEFT($F144,1)="S","★ 납기위험(S코드)","◆ 지연주의"),IF($U144="정상","✓ 정상","? 확인필요")))</f>
        <v>? 확인필요</v>
      </c>
      <c r="W144" s="27"/>
      <c r="X144" s="32"/>
    </row>
    <row r="145" customFormat="false" ht="15" hidden="false" customHeight="false" outlineLevel="0" collapsed="false">
      <c r="A145" s="24" t="n">
        <v>141</v>
      </c>
      <c r="B145" s="25" t="s">
        <v>159</v>
      </c>
      <c r="C145" s="25" t="s">
        <v>201</v>
      </c>
      <c r="D145" s="26" t="s">
        <v>413</v>
      </c>
      <c r="E145" s="25" t="s">
        <v>414</v>
      </c>
      <c r="F145" s="24" t="str">
        <f aca="false">IF($D145="","",IF(MID($D145,5,1)="S","S(봄)",IF(MID($D145,5,1)="M","M(여름)",IF(MID($D145,5,1)="X","X(사계절)",MID($D145,5,1)))))</f>
        <v>M(여름)</v>
      </c>
      <c r="G145" s="25" t="s">
        <v>62</v>
      </c>
      <c r="H145" s="24"/>
      <c r="I145" s="27" t="s">
        <v>359</v>
      </c>
      <c r="J145" s="28" t="n">
        <f aca="false">IF($I145="","",IFERROR(DATE(IF(VALUE(LEFT($I145,FIND("월",$I145)-1))&gt;=9,기준정보!$C$7-1,기준정보!$C$7),VALUE(LEFT($I145,FIND("월",$I145)-1)),1+7*(VALUE(SUBSTITUTE(MID($I145,FIND("월",$I145)+1,5),"주",""))-1)),""))</f>
        <v>46440</v>
      </c>
      <c r="K145" s="28" t="n">
        <f aca="false">IF($J145="","",$J145-기준정보!$C$5)</f>
        <v>46426</v>
      </c>
      <c r="L145" s="28" t="n">
        <f aca="false">IF($K145="","",$K145-기준정보!$C$6)</f>
        <v>46336</v>
      </c>
      <c r="M145" s="29" t="n">
        <f aca="false">IF($L145="","",$L145-기준정보!$C$4)</f>
        <v>94</v>
      </c>
      <c r="N145" s="27" t="s">
        <v>65</v>
      </c>
      <c r="O145" s="30"/>
      <c r="P145" s="26" t="str">
        <f aca="false">IF($G145="","",IF(AND(ISNUMBER(SEARCH("CMT",$G145)),OR(ISNUMBER(SEARCH("완사입",$G145)),ISNUMBER(SEARCH("ODM",$G145)))),"본사/생산처 혼재",IF(ISNUMBER(SEARCH("CMT",$G145)),"본사(소재팀)","생산처")))</f>
        <v>생산처</v>
      </c>
      <c r="Q145" s="25" t="s">
        <v>70</v>
      </c>
      <c r="R145" s="26"/>
      <c r="S145" s="31" t="n">
        <v>3000</v>
      </c>
      <c r="T145" s="26" t="s">
        <v>359</v>
      </c>
      <c r="U145" s="26" t="str">
        <f aca="false">IF($J145="","출고일 미정",IF($N145="X","작지 미발행",IF($N145="부분","작지 일부 미발행",IF(AND($O145&lt;&gt;"",$O145&gt;$L145),"소재입고 마감("&amp;TEXT($L145,"MM/DD")&amp;") 초과",IF($N145="","발행여부 확인 필요",IF($O145="","소재 입고일정 확인 필요","정상"))))))</f>
        <v>소재 입고일정 확인 필요</v>
      </c>
      <c r="V145" s="24" t="str">
        <f aca="false">IF($J145="","",IF(OR(LEFT($U145,2)="작지",LEFT($U145,4)="소재입고"),IF(LEFT($F145,1)="S","★ 납기위험(S코드)","◆ 지연주의"),IF($U145="정상","✓ 정상","? 확인필요")))</f>
        <v>? 확인필요</v>
      </c>
      <c r="W145" s="27"/>
      <c r="X145" s="32"/>
    </row>
    <row r="146" customFormat="false" ht="15" hidden="false" customHeight="false" outlineLevel="0" collapsed="false">
      <c r="A146" s="24" t="n">
        <v>142</v>
      </c>
      <c r="B146" s="25" t="s">
        <v>99</v>
      </c>
      <c r="C146" s="25" t="s">
        <v>100</v>
      </c>
      <c r="D146" s="26" t="s">
        <v>415</v>
      </c>
      <c r="E146" s="25" t="s">
        <v>416</v>
      </c>
      <c r="F146" s="24" t="str">
        <f aca="false">IF($D146="","",IF(MID($D146,5,1)="S","S(봄)",IF(MID($D146,5,1)="M","M(여름)",IF(MID($D146,5,1)="X","X(사계절)",MID($D146,5,1)))))</f>
        <v>M(여름)</v>
      </c>
      <c r="G146" s="26" t="s">
        <v>103</v>
      </c>
      <c r="H146" s="24"/>
      <c r="I146" s="27" t="s">
        <v>359</v>
      </c>
      <c r="J146" s="28" t="n">
        <f aca="false">IF($I146="","",IFERROR(DATE(IF(VALUE(LEFT($I146,FIND("월",$I146)-1))&gt;=9,기준정보!$C$7-1,기준정보!$C$7),VALUE(LEFT($I146,FIND("월",$I146)-1)),1+7*(VALUE(SUBSTITUTE(MID($I146,FIND("월",$I146)+1,5),"주",""))-1)),""))</f>
        <v>46440</v>
      </c>
      <c r="K146" s="28" t="n">
        <f aca="false">IF($J146="","",$J146-기준정보!$C$5)</f>
        <v>46426</v>
      </c>
      <c r="L146" s="28" t="n">
        <f aca="false">IF($K146="","",$K146-기준정보!$C$6)</f>
        <v>46336</v>
      </c>
      <c r="M146" s="29" t="n">
        <f aca="false">IF($L146="","",$L146-기준정보!$C$4)</f>
        <v>94</v>
      </c>
      <c r="N146" s="27" t="s">
        <v>65</v>
      </c>
      <c r="O146" s="30"/>
      <c r="P146" s="26" t="str">
        <f aca="false">IF($G146="","",IF(AND(ISNUMBER(SEARCH("CMT",$G146)),OR(ISNUMBER(SEARCH("완사입",$G146)),ISNUMBER(SEARCH("ODM",$G146)))),"본사/생산처 혼재",IF(ISNUMBER(SEARCH("CMT",$G146)),"본사(소재팀)","생산처")))</f>
        <v>생산처</v>
      </c>
      <c r="Q146" s="26" t="s">
        <v>104</v>
      </c>
      <c r="R146" s="25" t="s">
        <v>105</v>
      </c>
      <c r="S146" s="31" t="n">
        <v>9500</v>
      </c>
      <c r="T146" s="26" t="s">
        <v>359</v>
      </c>
      <c r="U146" s="26" t="str">
        <f aca="false">IF($J146="","출고일 미정",IF($N146="X","작지 미발행",IF($N146="부분","작지 일부 미발행",IF(AND($O146&lt;&gt;"",$O146&gt;$L146),"소재입고 마감("&amp;TEXT($L146,"MM/DD")&amp;") 초과",IF($N146="","발행여부 확인 필요",IF($O146="","소재 입고일정 확인 필요","정상"))))))</f>
        <v>소재 입고일정 확인 필요</v>
      </c>
      <c r="V146" s="24" t="str">
        <f aca="false">IF($J146="","",IF(OR(LEFT($U146,2)="작지",LEFT($U146,4)="소재입고"),IF(LEFT($F146,1)="S","★ 납기위험(S코드)","◆ 지연주의"),IF($U146="정상","✓ 정상","? 확인필요")))</f>
        <v>? 확인필요</v>
      </c>
      <c r="W146" s="27"/>
      <c r="X146" s="32"/>
    </row>
    <row r="147" customFormat="false" ht="15" hidden="false" customHeight="false" outlineLevel="0" collapsed="false">
      <c r="A147" s="24" t="n">
        <v>143</v>
      </c>
      <c r="B147" s="25" t="s">
        <v>99</v>
      </c>
      <c r="C147" s="25" t="s">
        <v>100</v>
      </c>
      <c r="D147" s="26" t="s">
        <v>417</v>
      </c>
      <c r="E147" s="25" t="s">
        <v>418</v>
      </c>
      <c r="F147" s="24" t="str">
        <f aca="false">IF($D147="","",IF(MID($D147,5,1)="S","S(봄)",IF(MID($D147,5,1)="M","M(여름)",IF(MID($D147,5,1)="X","X(사계절)",MID($D147,5,1)))))</f>
        <v>M(여름)</v>
      </c>
      <c r="G147" s="25" t="s">
        <v>62</v>
      </c>
      <c r="H147" s="24"/>
      <c r="I147" s="27" t="s">
        <v>359</v>
      </c>
      <c r="J147" s="28" t="n">
        <f aca="false">IF($I147="","",IFERROR(DATE(IF(VALUE(LEFT($I147,FIND("월",$I147)-1))&gt;=9,기준정보!$C$7-1,기준정보!$C$7),VALUE(LEFT($I147,FIND("월",$I147)-1)),1+7*(VALUE(SUBSTITUTE(MID($I147,FIND("월",$I147)+1,5),"주",""))-1)),""))</f>
        <v>46440</v>
      </c>
      <c r="K147" s="28" t="n">
        <f aca="false">IF($J147="","",$J147-기준정보!$C$5)</f>
        <v>46426</v>
      </c>
      <c r="L147" s="28" t="n">
        <f aca="false">IF($K147="","",$K147-기준정보!$C$6)</f>
        <v>46336</v>
      </c>
      <c r="M147" s="29" t="n">
        <f aca="false">IF($L147="","",$L147-기준정보!$C$4)</f>
        <v>94</v>
      </c>
      <c r="N147" s="27" t="s">
        <v>65</v>
      </c>
      <c r="O147" s="30"/>
      <c r="P147" s="26" t="str">
        <f aca="false">IF($G147="","",IF(AND(ISNUMBER(SEARCH("CMT",$G147)),OR(ISNUMBER(SEARCH("완사입",$G147)),ISNUMBER(SEARCH("ODM",$G147)))),"본사/생산처 혼재",IF(ISNUMBER(SEARCH("CMT",$G147)),"본사(소재팀)","생산처")))</f>
        <v>생산처</v>
      </c>
      <c r="Q147" s="25" t="s">
        <v>245</v>
      </c>
      <c r="R147" s="25" t="s">
        <v>67</v>
      </c>
      <c r="S147" s="31" t="n">
        <v>2000</v>
      </c>
      <c r="T147" s="26"/>
      <c r="U147" s="26" t="str">
        <f aca="false">IF($J147="","출고일 미정",IF($N147="X","작지 미발행",IF($N147="부분","작지 일부 미발행",IF(AND($O147&lt;&gt;"",$O147&gt;$L147),"소재입고 마감("&amp;TEXT($L147,"MM/DD")&amp;") 초과",IF($N147="","발행여부 확인 필요",IF($O147="","소재 입고일정 확인 필요","정상"))))))</f>
        <v>소재 입고일정 확인 필요</v>
      </c>
      <c r="V147" s="24" t="str">
        <f aca="false">IF($J147="","",IF(OR(LEFT($U147,2)="작지",LEFT($U147,4)="소재입고"),IF(LEFT($F147,1)="S","★ 납기위험(S코드)","◆ 지연주의"),IF($U147="정상","✓ 정상","? 확인필요")))</f>
        <v>? 확인필요</v>
      </c>
      <c r="W147" s="27"/>
      <c r="X147" s="32"/>
    </row>
    <row r="148" customFormat="false" ht="15" hidden="false" customHeight="false" outlineLevel="0" collapsed="false">
      <c r="A148" s="24" t="n">
        <v>144</v>
      </c>
      <c r="B148" s="25" t="s">
        <v>159</v>
      </c>
      <c r="C148" s="25" t="s">
        <v>160</v>
      </c>
      <c r="D148" s="26" t="s">
        <v>419</v>
      </c>
      <c r="E148" s="25" t="s">
        <v>420</v>
      </c>
      <c r="F148" s="24" t="str">
        <f aca="false">IF($D148="","",IF(MID($D148,5,1)="S","S(봄)",IF(MID($D148,5,1)="M","M(여름)",IF(MID($D148,5,1)="X","X(사계절)",MID($D148,5,1)))))</f>
        <v>M(여름)</v>
      </c>
      <c r="G148" s="25" t="s">
        <v>62</v>
      </c>
      <c r="H148" s="24"/>
      <c r="I148" s="27" t="s">
        <v>421</v>
      </c>
      <c r="J148" s="28" t="n">
        <f aca="false">IF($I148="","",IFERROR(DATE(IF(VALUE(LEFT($I148,FIND("월",$I148)-1))&gt;=9,기준정보!$C$7-1,기준정보!$C$7),VALUE(LEFT($I148,FIND("월",$I148)-1)),1+7*(VALUE(SUBSTITUTE(MID($I148,FIND("월",$I148)+1,5),"주",""))-1)),""))</f>
        <v>46447</v>
      </c>
      <c r="K148" s="28" t="n">
        <f aca="false">IF($J148="","",$J148-기준정보!$C$5)</f>
        <v>46433</v>
      </c>
      <c r="L148" s="28" t="n">
        <f aca="false">IF($K148="","",$K148-기준정보!$C$6)</f>
        <v>46343</v>
      </c>
      <c r="M148" s="29" t="n">
        <f aca="false">IF($L148="","",$L148-기준정보!$C$4)</f>
        <v>101</v>
      </c>
      <c r="N148" s="27" t="s">
        <v>65</v>
      </c>
      <c r="O148" s="30"/>
      <c r="P148" s="26" t="str">
        <f aca="false">IF($G148="","",IF(AND(ISNUMBER(SEARCH("CMT",$G148)),OR(ISNUMBER(SEARCH("완사입",$G148)),ISNUMBER(SEARCH("ODM",$G148)))),"본사/생산처 혼재",IF(ISNUMBER(SEARCH("CMT",$G148)),"본사(소재팀)","생산처")))</f>
        <v>생산처</v>
      </c>
      <c r="Q148" s="25" t="s">
        <v>70</v>
      </c>
      <c r="R148" s="26"/>
      <c r="S148" s="31" t="n">
        <v>1800</v>
      </c>
      <c r="T148" s="26" t="s">
        <v>421</v>
      </c>
      <c r="U148" s="26" t="str">
        <f aca="false">IF($J148="","출고일 미정",IF($N148="X","작지 미발행",IF($N148="부분","작지 일부 미발행",IF(AND($O148&lt;&gt;"",$O148&gt;$L148),"소재입고 마감("&amp;TEXT($L148,"MM/DD")&amp;") 초과",IF($N148="","발행여부 확인 필요",IF($O148="","소재 입고일정 확인 필요","정상"))))))</f>
        <v>소재 입고일정 확인 필요</v>
      </c>
      <c r="V148" s="24" t="str">
        <f aca="false">IF($J148="","",IF(OR(LEFT($U148,2)="작지",LEFT($U148,4)="소재입고"),IF(LEFT($F148,1)="S","★ 납기위험(S코드)","◆ 지연주의"),IF($U148="정상","✓ 정상","? 확인필요")))</f>
        <v>? 확인필요</v>
      </c>
      <c r="W148" s="27"/>
      <c r="X148" s="32"/>
    </row>
    <row r="149" customFormat="false" ht="15" hidden="false" customHeight="false" outlineLevel="0" collapsed="false">
      <c r="A149" s="24" t="n">
        <v>145</v>
      </c>
      <c r="B149" s="25" t="s">
        <v>159</v>
      </c>
      <c r="C149" s="25" t="s">
        <v>160</v>
      </c>
      <c r="D149" s="26" t="s">
        <v>422</v>
      </c>
      <c r="E149" s="25" t="s">
        <v>423</v>
      </c>
      <c r="F149" s="24" t="str">
        <f aca="false">IF($D149="","",IF(MID($D149,5,1)="S","S(봄)",IF(MID($D149,5,1)="M","M(여름)",IF(MID($D149,5,1)="X","X(사계절)",MID($D149,5,1)))))</f>
        <v>M(여름)</v>
      </c>
      <c r="G149" s="26" t="s">
        <v>167</v>
      </c>
      <c r="H149" s="24"/>
      <c r="I149" s="27" t="s">
        <v>421</v>
      </c>
      <c r="J149" s="28" t="n">
        <f aca="false">IF($I149="","",IFERROR(DATE(IF(VALUE(LEFT($I149,FIND("월",$I149)-1))&gt;=9,기준정보!$C$7-1,기준정보!$C$7),VALUE(LEFT($I149,FIND("월",$I149)-1)),1+7*(VALUE(SUBSTITUTE(MID($I149,FIND("월",$I149)+1,5),"주",""))-1)),""))</f>
        <v>46447</v>
      </c>
      <c r="K149" s="28" t="n">
        <f aca="false">IF($J149="","",$J149-기준정보!$C$5)</f>
        <v>46433</v>
      </c>
      <c r="L149" s="28" t="n">
        <f aca="false">IF($K149="","",$K149-기준정보!$C$6)</f>
        <v>46343</v>
      </c>
      <c r="M149" s="29" t="n">
        <f aca="false">IF($L149="","",$L149-기준정보!$C$4)</f>
        <v>101</v>
      </c>
      <c r="N149" s="27" t="s">
        <v>65</v>
      </c>
      <c r="O149" s="30"/>
      <c r="P149" s="26" t="str">
        <f aca="false">IF($G149="","",IF(AND(ISNUMBER(SEARCH("CMT",$G149)),OR(ISNUMBER(SEARCH("완사입",$G149)),ISNUMBER(SEARCH("ODM",$G149)))),"본사/생산처 혼재",IF(ISNUMBER(SEARCH("CMT",$G149)),"본사(소재팀)","생산처")))</f>
        <v>본사(소재팀)</v>
      </c>
      <c r="Q149" s="25" t="s">
        <v>70</v>
      </c>
      <c r="R149" s="26"/>
      <c r="S149" s="31" t="n">
        <v>15000</v>
      </c>
      <c r="T149" s="26" t="s">
        <v>421</v>
      </c>
      <c r="U149" s="26" t="str">
        <f aca="false">IF($J149="","출고일 미정",IF($N149="X","작지 미발행",IF($N149="부분","작지 일부 미발행",IF(AND($O149&lt;&gt;"",$O149&gt;$L149),"소재입고 마감("&amp;TEXT($L149,"MM/DD")&amp;") 초과",IF($N149="","발행여부 확인 필요",IF($O149="","소재 입고일정 확인 필요","정상"))))))</f>
        <v>소재 입고일정 확인 필요</v>
      </c>
      <c r="V149" s="24" t="str">
        <f aca="false">IF($J149="","",IF(OR(LEFT($U149,2)="작지",LEFT($U149,4)="소재입고"),IF(LEFT($F149,1)="S","★ 납기위험(S코드)","◆ 지연주의"),IF($U149="정상","✓ 정상","? 확인필요")))</f>
        <v>? 확인필요</v>
      </c>
      <c r="W149" s="27"/>
      <c r="X149" s="32"/>
    </row>
    <row r="150" customFormat="false" ht="15" hidden="false" customHeight="false" outlineLevel="0" collapsed="false">
      <c r="A150" s="24" t="n">
        <v>146</v>
      </c>
      <c r="B150" s="25" t="s">
        <v>159</v>
      </c>
      <c r="C150" s="25" t="s">
        <v>160</v>
      </c>
      <c r="D150" s="26" t="s">
        <v>424</v>
      </c>
      <c r="E150" s="25" t="s">
        <v>425</v>
      </c>
      <c r="F150" s="24" t="str">
        <f aca="false">IF($D150="","",IF(MID($D150,5,1)="S","S(봄)",IF(MID($D150,5,1)="M","M(여름)",IF(MID($D150,5,1)="X","X(사계절)",MID($D150,5,1)))))</f>
        <v>M(여름)</v>
      </c>
      <c r="G150" s="26" t="s">
        <v>167</v>
      </c>
      <c r="H150" s="24"/>
      <c r="I150" s="27" t="s">
        <v>421</v>
      </c>
      <c r="J150" s="28" t="n">
        <f aca="false">IF($I150="","",IFERROR(DATE(IF(VALUE(LEFT($I150,FIND("월",$I150)-1))&gt;=9,기준정보!$C$7-1,기준정보!$C$7),VALUE(LEFT($I150,FIND("월",$I150)-1)),1+7*(VALUE(SUBSTITUTE(MID($I150,FIND("월",$I150)+1,5),"주",""))-1)),""))</f>
        <v>46447</v>
      </c>
      <c r="K150" s="28" t="n">
        <f aca="false">IF($J150="","",$J150-기준정보!$C$5)</f>
        <v>46433</v>
      </c>
      <c r="L150" s="28" t="n">
        <f aca="false">IF($K150="","",$K150-기준정보!$C$6)</f>
        <v>46343</v>
      </c>
      <c r="M150" s="29" t="n">
        <f aca="false">IF($L150="","",$L150-기준정보!$C$4)</f>
        <v>101</v>
      </c>
      <c r="N150" s="27" t="s">
        <v>65</v>
      </c>
      <c r="O150" s="30"/>
      <c r="P150" s="26" t="str">
        <f aca="false">IF($G150="","",IF(AND(ISNUMBER(SEARCH("CMT",$G150)),OR(ISNUMBER(SEARCH("완사입",$G150)),ISNUMBER(SEARCH("ODM",$G150)))),"본사/생산처 혼재",IF(ISNUMBER(SEARCH("CMT",$G150)),"본사(소재팀)","생산처")))</f>
        <v>본사(소재팀)</v>
      </c>
      <c r="Q150" s="25" t="s">
        <v>70</v>
      </c>
      <c r="R150" s="26"/>
      <c r="S150" s="31" t="n">
        <v>6500</v>
      </c>
      <c r="T150" s="26" t="s">
        <v>421</v>
      </c>
      <c r="U150" s="26" t="str">
        <f aca="false">IF($J150="","출고일 미정",IF($N150="X","작지 미발행",IF($N150="부분","작지 일부 미발행",IF(AND($O150&lt;&gt;"",$O150&gt;$L150),"소재입고 마감("&amp;TEXT($L150,"MM/DD")&amp;") 초과",IF($N150="","발행여부 확인 필요",IF($O150="","소재 입고일정 확인 필요","정상"))))))</f>
        <v>소재 입고일정 확인 필요</v>
      </c>
      <c r="V150" s="24" t="str">
        <f aca="false">IF($J150="","",IF(OR(LEFT($U150,2)="작지",LEFT($U150,4)="소재입고"),IF(LEFT($F150,1)="S","★ 납기위험(S코드)","◆ 지연주의"),IF($U150="정상","✓ 정상","? 확인필요")))</f>
        <v>? 확인필요</v>
      </c>
      <c r="W150" s="27"/>
      <c r="X150" s="32"/>
    </row>
    <row r="151" customFormat="false" ht="15" hidden="false" customHeight="false" outlineLevel="0" collapsed="false">
      <c r="A151" s="24" t="n">
        <v>147</v>
      </c>
      <c r="B151" s="25" t="s">
        <v>175</v>
      </c>
      <c r="C151" s="25" t="s">
        <v>160</v>
      </c>
      <c r="D151" s="26" t="s">
        <v>426</v>
      </c>
      <c r="E151" s="25" t="s">
        <v>427</v>
      </c>
      <c r="F151" s="24" t="str">
        <f aca="false">IF($D151="","",IF(MID($D151,5,1)="S","S(봄)",IF(MID($D151,5,1)="M","M(여름)",IF(MID($D151,5,1)="X","X(사계절)",MID($D151,5,1)))))</f>
        <v>M(여름)</v>
      </c>
      <c r="G151" s="25" t="s">
        <v>62</v>
      </c>
      <c r="H151" s="24"/>
      <c r="I151" s="27" t="s">
        <v>421</v>
      </c>
      <c r="J151" s="28" t="n">
        <f aca="false">IF($I151="","",IFERROR(DATE(IF(VALUE(LEFT($I151,FIND("월",$I151)-1))&gt;=9,기준정보!$C$7-1,기준정보!$C$7),VALUE(LEFT($I151,FIND("월",$I151)-1)),1+7*(VALUE(SUBSTITUTE(MID($I151,FIND("월",$I151)+1,5),"주",""))-1)),""))</f>
        <v>46447</v>
      </c>
      <c r="K151" s="28" t="n">
        <f aca="false">IF($J151="","",$J151-기준정보!$C$5)</f>
        <v>46433</v>
      </c>
      <c r="L151" s="28" t="n">
        <f aca="false">IF($K151="","",$K151-기준정보!$C$6)</f>
        <v>46343</v>
      </c>
      <c r="M151" s="29" t="n">
        <f aca="false">IF($L151="","",$L151-기준정보!$C$4)</f>
        <v>101</v>
      </c>
      <c r="N151" s="27" t="s">
        <v>65</v>
      </c>
      <c r="O151" s="30"/>
      <c r="P151" s="26" t="str">
        <f aca="false">IF($G151="","",IF(AND(ISNUMBER(SEARCH("CMT",$G151)),OR(ISNUMBER(SEARCH("완사입",$G151)),ISNUMBER(SEARCH("ODM",$G151)))),"본사/생산처 혼재",IF(ISNUMBER(SEARCH("CMT",$G151)),"본사(소재팀)","생산처")))</f>
        <v>생산처</v>
      </c>
      <c r="Q151" s="25" t="s">
        <v>70</v>
      </c>
      <c r="R151" s="25" t="s">
        <v>71</v>
      </c>
      <c r="S151" s="31" t="n">
        <v>1600</v>
      </c>
      <c r="T151" s="26"/>
      <c r="U151" s="26" t="str">
        <f aca="false">IF($J151="","출고일 미정",IF($N151="X","작지 미발행",IF($N151="부분","작지 일부 미발행",IF(AND($O151&lt;&gt;"",$O151&gt;$L151),"소재입고 마감("&amp;TEXT($L151,"MM/DD")&amp;") 초과",IF($N151="","발행여부 확인 필요",IF($O151="","소재 입고일정 확인 필요","정상"))))))</f>
        <v>소재 입고일정 확인 필요</v>
      </c>
      <c r="V151" s="24" t="str">
        <f aca="false">IF($J151="","",IF(OR(LEFT($U151,2)="작지",LEFT($U151,4)="소재입고"),IF(LEFT($F151,1)="S","★ 납기위험(S코드)","◆ 지연주의"),IF($U151="정상","✓ 정상","? 확인필요")))</f>
        <v>? 확인필요</v>
      </c>
      <c r="W151" s="27"/>
      <c r="X151" s="32"/>
    </row>
    <row r="152" customFormat="false" ht="15" hidden="false" customHeight="false" outlineLevel="0" collapsed="false">
      <c r="A152" s="24" t="n">
        <v>148</v>
      </c>
      <c r="B152" s="25" t="s">
        <v>175</v>
      </c>
      <c r="C152" s="25" t="s">
        <v>160</v>
      </c>
      <c r="D152" s="26" t="s">
        <v>428</v>
      </c>
      <c r="E152" s="25" t="s">
        <v>429</v>
      </c>
      <c r="F152" s="24" t="str">
        <f aca="false">IF($D152="","",IF(MID($D152,5,1)="S","S(봄)",IF(MID($D152,5,1)="M","M(여름)",IF(MID($D152,5,1)="X","X(사계절)",MID($D152,5,1)))))</f>
        <v>M(여름)</v>
      </c>
      <c r="G152" s="26" t="s">
        <v>167</v>
      </c>
      <c r="H152" s="24"/>
      <c r="I152" s="27" t="s">
        <v>421</v>
      </c>
      <c r="J152" s="28" t="n">
        <f aca="false">IF($I152="","",IFERROR(DATE(IF(VALUE(LEFT($I152,FIND("월",$I152)-1))&gt;=9,기준정보!$C$7-1,기준정보!$C$7),VALUE(LEFT($I152,FIND("월",$I152)-1)),1+7*(VALUE(SUBSTITUTE(MID($I152,FIND("월",$I152)+1,5),"주",""))-1)),""))</f>
        <v>46447</v>
      </c>
      <c r="K152" s="28" t="n">
        <f aca="false">IF($J152="","",$J152-기준정보!$C$5)</f>
        <v>46433</v>
      </c>
      <c r="L152" s="28" t="n">
        <f aca="false">IF($K152="","",$K152-기준정보!$C$6)</f>
        <v>46343</v>
      </c>
      <c r="M152" s="29" t="n">
        <f aca="false">IF($L152="","",$L152-기준정보!$C$4)</f>
        <v>101</v>
      </c>
      <c r="N152" s="27" t="s">
        <v>65</v>
      </c>
      <c r="O152" s="30"/>
      <c r="P152" s="26" t="str">
        <f aca="false">IF($G152="","",IF(AND(ISNUMBER(SEARCH("CMT",$G152)),OR(ISNUMBER(SEARCH("완사입",$G152)),ISNUMBER(SEARCH("ODM",$G152)))),"본사/생산처 혼재",IF(ISNUMBER(SEARCH("CMT",$G152)),"본사(소재팀)","생산처")))</f>
        <v>본사(소재팀)</v>
      </c>
      <c r="Q152" s="25" t="s">
        <v>70</v>
      </c>
      <c r="R152" s="25" t="s">
        <v>71</v>
      </c>
      <c r="S152" s="31" t="n">
        <v>27500</v>
      </c>
      <c r="T152" s="26"/>
      <c r="U152" s="26" t="str">
        <f aca="false">IF($J152="","출고일 미정",IF($N152="X","작지 미발행",IF($N152="부분","작지 일부 미발행",IF(AND($O152&lt;&gt;"",$O152&gt;$L152),"소재입고 마감("&amp;TEXT($L152,"MM/DD")&amp;") 초과",IF($N152="","발행여부 확인 필요",IF($O152="","소재 입고일정 확인 필요","정상"))))))</f>
        <v>소재 입고일정 확인 필요</v>
      </c>
      <c r="V152" s="24" t="str">
        <f aca="false">IF($J152="","",IF(OR(LEFT($U152,2)="작지",LEFT($U152,4)="소재입고"),IF(LEFT($F152,1)="S","★ 납기위험(S코드)","◆ 지연주의"),IF($U152="정상","✓ 정상","? 확인필요")))</f>
        <v>? 확인필요</v>
      </c>
      <c r="W152" s="27"/>
      <c r="X152" s="32"/>
    </row>
    <row r="153" customFormat="false" ht="15" hidden="false" customHeight="false" outlineLevel="0" collapsed="false">
      <c r="A153" s="24" t="n">
        <v>149</v>
      </c>
      <c r="B153" s="25" t="s">
        <v>163</v>
      </c>
      <c r="C153" s="25" t="s">
        <v>179</v>
      </c>
      <c r="D153" s="26" t="s">
        <v>430</v>
      </c>
      <c r="E153" s="25" t="s">
        <v>431</v>
      </c>
      <c r="F153" s="24" t="str">
        <f aca="false">IF($D153="","",IF(MID($D153,5,1)="S","S(봄)",IF(MID($D153,5,1)="M","M(여름)",IF(MID($D153,5,1)="X","X(사계절)",MID($D153,5,1)))))</f>
        <v>M(여름)</v>
      </c>
      <c r="G153" s="25" t="s">
        <v>62</v>
      </c>
      <c r="H153" s="24"/>
      <c r="I153" s="27" t="s">
        <v>421</v>
      </c>
      <c r="J153" s="28" t="n">
        <f aca="false">IF($I153="","",IFERROR(DATE(IF(VALUE(LEFT($I153,FIND("월",$I153)-1))&gt;=9,기준정보!$C$7-1,기준정보!$C$7),VALUE(LEFT($I153,FIND("월",$I153)-1)),1+7*(VALUE(SUBSTITUTE(MID($I153,FIND("월",$I153)+1,5),"주",""))-1)),""))</f>
        <v>46447</v>
      </c>
      <c r="K153" s="28" t="n">
        <f aca="false">IF($J153="","",$J153-기준정보!$C$5)</f>
        <v>46433</v>
      </c>
      <c r="L153" s="28" t="n">
        <f aca="false">IF($K153="","",$K153-기준정보!$C$6)</f>
        <v>46343</v>
      </c>
      <c r="M153" s="29" t="n">
        <f aca="false">IF($L153="","",$L153-기준정보!$C$4)</f>
        <v>101</v>
      </c>
      <c r="N153" s="27" t="s">
        <v>65</v>
      </c>
      <c r="O153" s="30"/>
      <c r="P153" s="26" t="str">
        <f aca="false">IF($G153="","",IF(AND(ISNUMBER(SEARCH("CMT",$G153)),OR(ISNUMBER(SEARCH("완사입",$G153)),ISNUMBER(SEARCH("ODM",$G153)))),"본사/생산처 혼재",IF(ISNUMBER(SEARCH("CMT",$G153)),"본사(소재팀)","생산처")))</f>
        <v>생산처</v>
      </c>
      <c r="Q153" s="26" t="s">
        <v>193</v>
      </c>
      <c r="R153" s="25" t="s">
        <v>71</v>
      </c>
      <c r="S153" s="31" t="n">
        <v>4000</v>
      </c>
      <c r="T153" s="26" t="s">
        <v>421</v>
      </c>
      <c r="U153" s="26" t="str">
        <f aca="false">IF($J153="","출고일 미정",IF($N153="X","작지 미발행",IF($N153="부분","작지 일부 미발행",IF(AND($O153&lt;&gt;"",$O153&gt;$L153),"소재입고 마감("&amp;TEXT($L153,"MM/DD")&amp;") 초과",IF($N153="","발행여부 확인 필요",IF($O153="","소재 입고일정 확인 필요","정상"))))))</f>
        <v>소재 입고일정 확인 필요</v>
      </c>
      <c r="V153" s="24" t="str">
        <f aca="false">IF($J153="","",IF(OR(LEFT($U153,2)="작지",LEFT($U153,4)="소재입고"),IF(LEFT($F153,1)="S","★ 납기위험(S코드)","◆ 지연주의"),IF($U153="정상","✓ 정상","? 확인필요")))</f>
        <v>? 확인필요</v>
      </c>
      <c r="W153" s="27"/>
      <c r="X153" s="32"/>
    </row>
    <row r="154" customFormat="false" ht="15" hidden="false" customHeight="false" outlineLevel="0" collapsed="false">
      <c r="A154" s="24" t="n">
        <v>150</v>
      </c>
      <c r="B154" s="25" t="s">
        <v>163</v>
      </c>
      <c r="C154" s="25" t="s">
        <v>164</v>
      </c>
      <c r="D154" s="26" t="s">
        <v>432</v>
      </c>
      <c r="E154" s="25" t="s">
        <v>431</v>
      </c>
      <c r="F154" s="24" t="str">
        <f aca="false">IF($D154="","",IF(MID($D154,5,1)="S","S(봄)",IF(MID($D154,5,1)="M","M(여름)",IF(MID($D154,5,1)="X","X(사계절)",MID($D154,5,1)))))</f>
        <v>M(여름)</v>
      </c>
      <c r="G154" s="25" t="s">
        <v>62</v>
      </c>
      <c r="H154" s="24"/>
      <c r="I154" s="27" t="s">
        <v>421</v>
      </c>
      <c r="J154" s="28" t="n">
        <f aca="false">IF($I154="","",IFERROR(DATE(IF(VALUE(LEFT($I154,FIND("월",$I154)-1))&gt;=9,기준정보!$C$7-1,기준정보!$C$7),VALUE(LEFT($I154,FIND("월",$I154)-1)),1+7*(VALUE(SUBSTITUTE(MID($I154,FIND("월",$I154)+1,5),"주",""))-1)),""))</f>
        <v>46447</v>
      </c>
      <c r="K154" s="28" t="n">
        <f aca="false">IF($J154="","",$J154-기준정보!$C$5)</f>
        <v>46433</v>
      </c>
      <c r="L154" s="28" t="n">
        <f aca="false">IF($K154="","",$K154-기준정보!$C$6)</f>
        <v>46343</v>
      </c>
      <c r="M154" s="29" t="n">
        <f aca="false">IF($L154="","",$L154-기준정보!$C$4)</f>
        <v>101</v>
      </c>
      <c r="N154" s="27" t="s">
        <v>65</v>
      </c>
      <c r="O154" s="30"/>
      <c r="P154" s="26" t="str">
        <f aca="false">IF($G154="","",IF(AND(ISNUMBER(SEARCH("CMT",$G154)),OR(ISNUMBER(SEARCH("완사입",$G154)),ISNUMBER(SEARCH("ODM",$G154)))),"본사/생산처 혼재",IF(ISNUMBER(SEARCH("CMT",$G154)),"본사(소재팀)","생산처")))</f>
        <v>생산처</v>
      </c>
      <c r="Q154" s="26" t="s">
        <v>193</v>
      </c>
      <c r="R154" s="25" t="s">
        <v>71</v>
      </c>
      <c r="S154" s="31" t="n">
        <v>4000</v>
      </c>
      <c r="T154" s="26" t="s">
        <v>421</v>
      </c>
      <c r="U154" s="26" t="str">
        <f aca="false">IF($J154="","출고일 미정",IF($N154="X","작지 미발행",IF($N154="부분","작지 일부 미발행",IF(AND($O154&lt;&gt;"",$O154&gt;$L154),"소재입고 마감("&amp;TEXT($L154,"MM/DD")&amp;") 초과",IF($N154="","발행여부 확인 필요",IF($O154="","소재 입고일정 확인 필요","정상"))))))</f>
        <v>소재 입고일정 확인 필요</v>
      </c>
      <c r="V154" s="24" t="str">
        <f aca="false">IF($J154="","",IF(OR(LEFT($U154,2)="작지",LEFT($U154,4)="소재입고"),IF(LEFT($F154,1)="S","★ 납기위험(S코드)","◆ 지연주의"),IF($U154="정상","✓ 정상","? 확인필요")))</f>
        <v>? 확인필요</v>
      </c>
      <c r="W154" s="27"/>
      <c r="X154" s="32"/>
    </row>
    <row r="155" customFormat="false" ht="15" hidden="false" customHeight="false" outlineLevel="0" collapsed="false">
      <c r="A155" s="24" t="n">
        <v>151</v>
      </c>
      <c r="B155" s="25" t="s">
        <v>163</v>
      </c>
      <c r="C155" s="25" t="s">
        <v>179</v>
      </c>
      <c r="D155" s="26" t="s">
        <v>433</v>
      </c>
      <c r="E155" s="25" t="s">
        <v>434</v>
      </c>
      <c r="F155" s="24" t="str">
        <f aca="false">IF($D155="","",IF(MID($D155,5,1)="S","S(봄)",IF(MID($D155,5,1)="M","M(여름)",IF(MID($D155,5,1)="X","X(사계절)",MID($D155,5,1)))))</f>
        <v>M(여름)</v>
      </c>
      <c r="G155" s="25" t="s">
        <v>62</v>
      </c>
      <c r="H155" s="24"/>
      <c r="I155" s="27" t="s">
        <v>421</v>
      </c>
      <c r="J155" s="28" t="n">
        <f aca="false">IF($I155="","",IFERROR(DATE(IF(VALUE(LEFT($I155,FIND("월",$I155)-1))&gt;=9,기준정보!$C$7-1,기준정보!$C$7),VALUE(LEFT($I155,FIND("월",$I155)-1)),1+7*(VALUE(SUBSTITUTE(MID($I155,FIND("월",$I155)+1,5),"주",""))-1)),""))</f>
        <v>46447</v>
      </c>
      <c r="K155" s="28" t="n">
        <f aca="false">IF($J155="","",$J155-기준정보!$C$5)</f>
        <v>46433</v>
      </c>
      <c r="L155" s="28" t="n">
        <f aca="false">IF($K155="","",$K155-기준정보!$C$6)</f>
        <v>46343</v>
      </c>
      <c r="M155" s="29" t="n">
        <f aca="false">IF($L155="","",$L155-기준정보!$C$4)</f>
        <v>101</v>
      </c>
      <c r="N155" s="27" t="s">
        <v>65</v>
      </c>
      <c r="O155" s="30"/>
      <c r="P155" s="26" t="str">
        <f aca="false">IF($G155="","",IF(AND(ISNUMBER(SEARCH("CMT",$G155)),OR(ISNUMBER(SEARCH("완사입",$G155)),ISNUMBER(SEARCH("ODM",$G155)))),"본사/생산처 혼재",IF(ISNUMBER(SEARCH("CMT",$G155)),"본사(소재팀)","생산처")))</f>
        <v>생산처</v>
      </c>
      <c r="Q155" s="25" t="s">
        <v>84</v>
      </c>
      <c r="R155" s="25" t="s">
        <v>67</v>
      </c>
      <c r="S155" s="31" t="n">
        <v>3000</v>
      </c>
      <c r="T155" s="26" t="s">
        <v>421</v>
      </c>
      <c r="U155" s="26" t="str">
        <f aca="false">IF($J155="","출고일 미정",IF($N155="X","작지 미발행",IF($N155="부분","작지 일부 미발행",IF(AND($O155&lt;&gt;"",$O155&gt;$L155),"소재입고 마감("&amp;TEXT($L155,"MM/DD")&amp;") 초과",IF($N155="","발행여부 확인 필요",IF($O155="","소재 입고일정 확인 필요","정상"))))))</f>
        <v>소재 입고일정 확인 필요</v>
      </c>
      <c r="V155" s="24" t="str">
        <f aca="false">IF($J155="","",IF(OR(LEFT($U155,2)="작지",LEFT($U155,4)="소재입고"),IF(LEFT($F155,1)="S","★ 납기위험(S코드)","◆ 지연주의"),IF($U155="정상","✓ 정상","? 확인필요")))</f>
        <v>? 확인필요</v>
      </c>
      <c r="W155" s="27"/>
      <c r="X155" s="32"/>
    </row>
    <row r="156" customFormat="false" ht="15" hidden="false" customHeight="false" outlineLevel="0" collapsed="false">
      <c r="A156" s="24" t="n">
        <v>152</v>
      </c>
      <c r="B156" s="25" t="s">
        <v>200</v>
      </c>
      <c r="C156" s="25" t="s">
        <v>201</v>
      </c>
      <c r="D156" s="26" t="s">
        <v>435</v>
      </c>
      <c r="E156" s="25" t="s">
        <v>436</v>
      </c>
      <c r="F156" s="24" t="str">
        <f aca="false">IF($D156="","",IF(MID($D156,5,1)="S","S(봄)",IF(MID($D156,5,1)="M","M(여름)",IF(MID($D156,5,1)="X","X(사계절)",MID($D156,5,1)))))</f>
        <v>M(여름)</v>
      </c>
      <c r="G156" s="25" t="s">
        <v>62</v>
      </c>
      <c r="H156" s="24"/>
      <c r="I156" s="27" t="s">
        <v>421</v>
      </c>
      <c r="J156" s="28" t="n">
        <f aca="false">IF($I156="","",IFERROR(DATE(IF(VALUE(LEFT($I156,FIND("월",$I156)-1))&gt;=9,기준정보!$C$7-1,기준정보!$C$7),VALUE(LEFT($I156,FIND("월",$I156)-1)),1+7*(VALUE(SUBSTITUTE(MID($I156,FIND("월",$I156)+1,5),"주",""))-1)),""))</f>
        <v>46447</v>
      </c>
      <c r="K156" s="28" t="n">
        <f aca="false">IF($J156="","",$J156-기준정보!$C$5)</f>
        <v>46433</v>
      </c>
      <c r="L156" s="28" t="n">
        <f aca="false">IF($K156="","",$K156-기준정보!$C$6)</f>
        <v>46343</v>
      </c>
      <c r="M156" s="29" t="n">
        <f aca="false">IF($L156="","",$L156-기준정보!$C$4)</f>
        <v>101</v>
      </c>
      <c r="N156" s="27" t="s">
        <v>65</v>
      </c>
      <c r="O156" s="30"/>
      <c r="P156" s="26" t="str">
        <f aca="false">IF($G156="","",IF(AND(ISNUMBER(SEARCH("CMT",$G156)),OR(ISNUMBER(SEARCH("완사입",$G156)),ISNUMBER(SEARCH("ODM",$G156)))),"본사/생산처 혼재",IF(ISNUMBER(SEARCH("CMT",$G156)),"본사(소재팀)","생산처")))</f>
        <v>생산처</v>
      </c>
      <c r="Q156" s="25" t="s">
        <v>70</v>
      </c>
      <c r="R156" s="25" t="s">
        <v>263</v>
      </c>
      <c r="S156" s="31" t="n">
        <v>3200</v>
      </c>
      <c r="T156" s="26" t="s">
        <v>421</v>
      </c>
      <c r="U156" s="26" t="str">
        <f aca="false">IF($J156="","출고일 미정",IF($N156="X","작지 미발행",IF($N156="부분","작지 일부 미발행",IF(AND($O156&lt;&gt;"",$O156&gt;$L156),"소재입고 마감("&amp;TEXT($L156,"MM/DD")&amp;") 초과",IF($N156="","발행여부 확인 필요",IF($O156="","소재 입고일정 확인 필요","정상"))))))</f>
        <v>소재 입고일정 확인 필요</v>
      </c>
      <c r="V156" s="24" t="str">
        <f aca="false">IF($J156="","",IF(OR(LEFT($U156,2)="작지",LEFT($U156,4)="소재입고"),IF(LEFT($F156,1)="S","★ 납기위험(S코드)","◆ 지연주의"),IF($U156="정상","✓ 정상","? 확인필요")))</f>
        <v>? 확인필요</v>
      </c>
      <c r="W156" s="27"/>
      <c r="X156" s="32"/>
    </row>
    <row r="157" customFormat="false" ht="15" hidden="false" customHeight="false" outlineLevel="0" collapsed="false">
      <c r="A157" s="24" t="n">
        <v>153</v>
      </c>
      <c r="B157" s="25" t="s">
        <v>200</v>
      </c>
      <c r="C157" s="25" t="s">
        <v>207</v>
      </c>
      <c r="D157" s="26" t="s">
        <v>437</v>
      </c>
      <c r="E157" s="25" t="s">
        <v>438</v>
      </c>
      <c r="F157" s="24" t="str">
        <f aca="false">IF($D157="","",IF(MID($D157,5,1)="S","S(봄)",IF(MID($D157,5,1)="M","M(여름)",IF(MID($D157,5,1)="X","X(사계절)",MID($D157,5,1)))))</f>
        <v>M(여름)</v>
      </c>
      <c r="G157" s="25" t="s">
        <v>62</v>
      </c>
      <c r="H157" s="24"/>
      <c r="I157" s="27" t="s">
        <v>421</v>
      </c>
      <c r="J157" s="28" t="n">
        <f aca="false">IF($I157="","",IFERROR(DATE(IF(VALUE(LEFT($I157,FIND("월",$I157)-1))&gt;=9,기준정보!$C$7-1,기준정보!$C$7),VALUE(LEFT($I157,FIND("월",$I157)-1)),1+7*(VALUE(SUBSTITUTE(MID($I157,FIND("월",$I157)+1,5),"주",""))-1)),""))</f>
        <v>46447</v>
      </c>
      <c r="K157" s="28" t="n">
        <f aca="false">IF($J157="","",$J157-기준정보!$C$5)</f>
        <v>46433</v>
      </c>
      <c r="L157" s="28" t="n">
        <f aca="false">IF($K157="","",$K157-기준정보!$C$6)</f>
        <v>46343</v>
      </c>
      <c r="M157" s="29" t="n">
        <f aca="false">IF($L157="","",$L157-기준정보!$C$4)</f>
        <v>101</v>
      </c>
      <c r="N157" s="27" t="s">
        <v>65</v>
      </c>
      <c r="O157" s="30"/>
      <c r="P157" s="26" t="str">
        <f aca="false">IF($G157="","",IF(AND(ISNUMBER(SEARCH("CMT",$G157)),OR(ISNUMBER(SEARCH("완사입",$G157)),ISNUMBER(SEARCH("ODM",$G157)))),"본사/생산처 혼재",IF(ISNUMBER(SEARCH("CMT",$G157)),"본사(소재팀)","생산처")))</f>
        <v>생산처</v>
      </c>
      <c r="Q157" s="25" t="s">
        <v>210</v>
      </c>
      <c r="R157" s="25" t="s">
        <v>67</v>
      </c>
      <c r="S157" s="31" t="n">
        <v>12500</v>
      </c>
      <c r="T157" s="26" t="s">
        <v>421</v>
      </c>
      <c r="U157" s="26" t="str">
        <f aca="false">IF($J157="","출고일 미정",IF($N157="X","작지 미발행",IF($N157="부분","작지 일부 미발행",IF(AND($O157&lt;&gt;"",$O157&gt;$L157),"소재입고 마감("&amp;TEXT($L157,"MM/DD")&amp;") 초과",IF($N157="","발행여부 확인 필요",IF($O157="","소재 입고일정 확인 필요","정상"))))))</f>
        <v>소재 입고일정 확인 필요</v>
      </c>
      <c r="V157" s="24" t="str">
        <f aca="false">IF($J157="","",IF(OR(LEFT($U157,2)="작지",LEFT($U157,4)="소재입고"),IF(LEFT($F157,1)="S","★ 납기위험(S코드)","◆ 지연주의"),IF($U157="정상","✓ 정상","? 확인필요")))</f>
        <v>? 확인필요</v>
      </c>
      <c r="W157" s="27"/>
      <c r="X157" s="32"/>
    </row>
    <row r="158" customFormat="false" ht="15" hidden="false" customHeight="false" outlineLevel="0" collapsed="false">
      <c r="A158" s="24" t="n">
        <v>154</v>
      </c>
      <c r="B158" s="25" t="s">
        <v>178</v>
      </c>
      <c r="C158" s="25" t="s">
        <v>439</v>
      </c>
      <c r="D158" s="26" t="s">
        <v>440</v>
      </c>
      <c r="E158" s="25" t="s">
        <v>441</v>
      </c>
      <c r="F158" s="24" t="str">
        <f aca="false">IF($D158="","",IF(MID($D158,5,1)="S","S(봄)",IF(MID($D158,5,1)="M","M(여름)",IF(MID($D158,5,1)="X","X(사계절)",MID($D158,5,1)))))</f>
        <v>M(여름)</v>
      </c>
      <c r="G158" s="25" t="s">
        <v>62</v>
      </c>
      <c r="H158" s="24" t="s">
        <v>376</v>
      </c>
      <c r="I158" s="27" t="s">
        <v>421</v>
      </c>
      <c r="J158" s="28" t="n">
        <f aca="false">IF($I158="","",IFERROR(DATE(IF(VALUE(LEFT($I158,FIND("월",$I158)-1))&gt;=9,기준정보!$C$7-1,기준정보!$C$7),VALUE(LEFT($I158,FIND("월",$I158)-1)),1+7*(VALUE(SUBSTITUTE(MID($I158,FIND("월",$I158)+1,5),"주",""))-1)),""))</f>
        <v>46447</v>
      </c>
      <c r="K158" s="28" t="n">
        <f aca="false">IF($J158="","",$J158-기준정보!$C$5)</f>
        <v>46433</v>
      </c>
      <c r="L158" s="28" t="n">
        <f aca="false">IF($K158="","",$K158-기준정보!$C$6)</f>
        <v>46343</v>
      </c>
      <c r="M158" s="29" t="n">
        <f aca="false">IF($L158="","",$L158-기준정보!$C$4)</f>
        <v>101</v>
      </c>
      <c r="N158" s="27" t="s">
        <v>65</v>
      </c>
      <c r="O158" s="30"/>
      <c r="P158" s="26" t="str">
        <f aca="false">IF($G158="","",IF(AND(ISNUMBER(SEARCH("CMT",$G158)),OR(ISNUMBER(SEARCH("완사입",$G158)),ISNUMBER(SEARCH("ODM",$G158)))),"본사/생산처 혼재",IF(ISNUMBER(SEARCH("CMT",$G158)),"본사(소재팀)","생산처")))</f>
        <v>생산처</v>
      </c>
      <c r="Q158" s="25" t="s">
        <v>66</v>
      </c>
      <c r="R158" s="25" t="s">
        <v>67</v>
      </c>
      <c r="S158" s="31" t="n">
        <v>250</v>
      </c>
      <c r="T158" s="26"/>
      <c r="U158" s="26" t="str">
        <f aca="false">IF($J158="","출고일 미정",IF($N158="X","작지 미발행",IF($N158="부분","작지 일부 미발행",IF(AND($O158&lt;&gt;"",$O158&gt;$L158),"소재입고 마감("&amp;TEXT($L158,"MM/DD")&amp;") 초과",IF($N158="","발행여부 확인 필요",IF($O158="","소재 입고일정 확인 필요","정상"))))))</f>
        <v>소재 입고일정 확인 필요</v>
      </c>
      <c r="V158" s="24" t="str">
        <f aca="false">IF($J158="","",IF(OR(LEFT($U158,2)="작지",LEFT($U158,4)="소재입고"),IF(LEFT($F158,1)="S","★ 납기위험(S코드)","◆ 지연주의"),IF($U158="정상","✓ 정상","? 확인필요")))</f>
        <v>? 확인필요</v>
      </c>
      <c r="W158" s="27"/>
      <c r="X158" s="32"/>
    </row>
    <row r="159" customFormat="false" ht="15" hidden="false" customHeight="false" outlineLevel="0" collapsed="false">
      <c r="A159" s="24" t="n">
        <v>155</v>
      </c>
      <c r="B159" s="25" t="s">
        <v>178</v>
      </c>
      <c r="C159" s="25" t="s">
        <v>439</v>
      </c>
      <c r="D159" s="26" t="s">
        <v>442</v>
      </c>
      <c r="E159" s="25" t="s">
        <v>443</v>
      </c>
      <c r="F159" s="24" t="str">
        <f aca="false">IF($D159="","",IF(MID($D159,5,1)="S","S(봄)",IF(MID($D159,5,1)="M","M(여름)",IF(MID($D159,5,1)="X","X(사계절)",MID($D159,5,1)))))</f>
        <v>M(여름)</v>
      </c>
      <c r="G159" s="25" t="s">
        <v>62</v>
      </c>
      <c r="H159" s="24" t="s">
        <v>376</v>
      </c>
      <c r="I159" s="27" t="s">
        <v>421</v>
      </c>
      <c r="J159" s="28" t="n">
        <f aca="false">IF($I159="","",IFERROR(DATE(IF(VALUE(LEFT($I159,FIND("월",$I159)-1))&gt;=9,기준정보!$C$7-1,기준정보!$C$7),VALUE(LEFT($I159,FIND("월",$I159)-1)),1+7*(VALUE(SUBSTITUTE(MID($I159,FIND("월",$I159)+1,5),"주",""))-1)),""))</f>
        <v>46447</v>
      </c>
      <c r="K159" s="28" t="n">
        <f aca="false">IF($J159="","",$J159-기준정보!$C$5)</f>
        <v>46433</v>
      </c>
      <c r="L159" s="28" t="n">
        <f aca="false">IF($K159="","",$K159-기준정보!$C$6)</f>
        <v>46343</v>
      </c>
      <c r="M159" s="29" t="n">
        <f aca="false">IF($L159="","",$L159-기준정보!$C$4)</f>
        <v>101</v>
      </c>
      <c r="N159" s="27" t="s">
        <v>65</v>
      </c>
      <c r="O159" s="30"/>
      <c r="P159" s="26" t="str">
        <f aca="false">IF($G159="","",IF(AND(ISNUMBER(SEARCH("CMT",$G159)),OR(ISNUMBER(SEARCH("완사입",$G159)),ISNUMBER(SEARCH("ODM",$G159)))),"본사/생산처 혼재",IF(ISNUMBER(SEARCH("CMT",$G159)),"본사(소재팀)","생산처")))</f>
        <v>생산처</v>
      </c>
      <c r="Q159" s="25" t="s">
        <v>66</v>
      </c>
      <c r="R159" s="25" t="s">
        <v>67</v>
      </c>
      <c r="S159" s="31" t="n">
        <v>250</v>
      </c>
      <c r="T159" s="26"/>
      <c r="U159" s="26" t="str">
        <f aca="false">IF($J159="","출고일 미정",IF($N159="X","작지 미발행",IF($N159="부분","작지 일부 미발행",IF(AND($O159&lt;&gt;"",$O159&gt;$L159),"소재입고 마감("&amp;TEXT($L159,"MM/DD")&amp;") 초과",IF($N159="","발행여부 확인 필요",IF($O159="","소재 입고일정 확인 필요","정상"))))))</f>
        <v>소재 입고일정 확인 필요</v>
      </c>
      <c r="V159" s="24" t="str">
        <f aca="false">IF($J159="","",IF(OR(LEFT($U159,2)="작지",LEFT($U159,4)="소재입고"),IF(LEFT($F159,1)="S","★ 납기위험(S코드)","◆ 지연주의"),IF($U159="정상","✓ 정상","? 확인필요")))</f>
        <v>? 확인필요</v>
      </c>
      <c r="W159" s="27"/>
      <c r="X159" s="32"/>
    </row>
    <row r="160" customFormat="false" ht="15" hidden="false" customHeight="false" outlineLevel="0" collapsed="false">
      <c r="A160" s="24" t="n">
        <v>156</v>
      </c>
      <c r="B160" s="25" t="s">
        <v>178</v>
      </c>
      <c r="C160" s="25" t="s">
        <v>74</v>
      </c>
      <c r="D160" s="26" t="s">
        <v>444</v>
      </c>
      <c r="E160" s="25" t="s">
        <v>445</v>
      </c>
      <c r="F160" s="24" t="str">
        <f aca="false">IF($D160="","",IF(MID($D160,5,1)="S","S(봄)",IF(MID($D160,5,1)="M","M(여름)",IF(MID($D160,5,1)="X","X(사계절)",MID($D160,5,1)))))</f>
        <v>M(여름)</v>
      </c>
      <c r="G160" s="25" t="s">
        <v>62</v>
      </c>
      <c r="H160" s="24" t="s">
        <v>376</v>
      </c>
      <c r="I160" s="27" t="s">
        <v>421</v>
      </c>
      <c r="J160" s="28" t="n">
        <f aca="false">IF($I160="","",IFERROR(DATE(IF(VALUE(LEFT($I160,FIND("월",$I160)-1))&gt;=9,기준정보!$C$7-1,기준정보!$C$7),VALUE(LEFT($I160,FIND("월",$I160)-1)),1+7*(VALUE(SUBSTITUTE(MID($I160,FIND("월",$I160)+1,5),"주",""))-1)),""))</f>
        <v>46447</v>
      </c>
      <c r="K160" s="28" t="n">
        <f aca="false">IF($J160="","",$J160-기준정보!$C$5)</f>
        <v>46433</v>
      </c>
      <c r="L160" s="28" t="n">
        <f aca="false">IF($K160="","",$K160-기준정보!$C$6)</f>
        <v>46343</v>
      </c>
      <c r="M160" s="29" t="n">
        <f aca="false">IF($L160="","",$L160-기준정보!$C$4)</f>
        <v>101</v>
      </c>
      <c r="N160" s="27" t="s">
        <v>65</v>
      </c>
      <c r="O160" s="30"/>
      <c r="P160" s="26" t="str">
        <f aca="false">IF($G160="","",IF(AND(ISNUMBER(SEARCH("CMT",$G160)),OR(ISNUMBER(SEARCH("완사입",$G160)),ISNUMBER(SEARCH("ODM",$G160)))),"본사/생산처 혼재",IF(ISNUMBER(SEARCH("CMT",$G160)),"본사(소재팀)","생산처")))</f>
        <v>생산처</v>
      </c>
      <c r="Q160" s="26" t="s">
        <v>120</v>
      </c>
      <c r="R160" s="25" t="s">
        <v>67</v>
      </c>
      <c r="S160" s="31" t="n">
        <v>400</v>
      </c>
      <c r="T160" s="26"/>
      <c r="U160" s="26" t="str">
        <f aca="false">IF($J160="","출고일 미정",IF($N160="X","작지 미발행",IF($N160="부분","작지 일부 미발행",IF(AND($O160&lt;&gt;"",$O160&gt;$L160),"소재입고 마감("&amp;TEXT($L160,"MM/DD")&amp;") 초과",IF($N160="","발행여부 확인 필요",IF($O160="","소재 입고일정 확인 필요","정상"))))))</f>
        <v>소재 입고일정 확인 필요</v>
      </c>
      <c r="V160" s="24" t="str">
        <f aca="false">IF($J160="","",IF(OR(LEFT($U160,2)="작지",LEFT($U160,4)="소재입고"),IF(LEFT($F160,1)="S","★ 납기위험(S코드)","◆ 지연주의"),IF($U160="정상","✓ 정상","? 확인필요")))</f>
        <v>? 확인필요</v>
      </c>
      <c r="W160" s="27"/>
      <c r="X160" s="32"/>
    </row>
    <row r="161" customFormat="false" ht="15" hidden="false" customHeight="false" outlineLevel="0" collapsed="false">
      <c r="A161" s="24" t="n">
        <v>157</v>
      </c>
      <c r="B161" s="25" t="s">
        <v>178</v>
      </c>
      <c r="C161" s="25" t="s">
        <v>74</v>
      </c>
      <c r="D161" s="26" t="s">
        <v>446</v>
      </c>
      <c r="E161" s="25" t="s">
        <v>447</v>
      </c>
      <c r="F161" s="24" t="str">
        <f aca="false">IF($D161="","",IF(MID($D161,5,1)="S","S(봄)",IF(MID($D161,5,1)="M","M(여름)",IF(MID($D161,5,1)="X","X(사계절)",MID($D161,5,1)))))</f>
        <v>M(여름)</v>
      </c>
      <c r="G161" s="25" t="s">
        <v>62</v>
      </c>
      <c r="H161" s="24" t="s">
        <v>376</v>
      </c>
      <c r="I161" s="27" t="s">
        <v>421</v>
      </c>
      <c r="J161" s="28" t="n">
        <f aca="false">IF($I161="","",IFERROR(DATE(IF(VALUE(LEFT($I161,FIND("월",$I161)-1))&gt;=9,기준정보!$C$7-1,기준정보!$C$7),VALUE(LEFT($I161,FIND("월",$I161)-1)),1+7*(VALUE(SUBSTITUTE(MID($I161,FIND("월",$I161)+1,5),"주",""))-1)),""))</f>
        <v>46447</v>
      </c>
      <c r="K161" s="28" t="n">
        <f aca="false">IF($J161="","",$J161-기준정보!$C$5)</f>
        <v>46433</v>
      </c>
      <c r="L161" s="28" t="n">
        <f aca="false">IF($K161="","",$K161-기준정보!$C$6)</f>
        <v>46343</v>
      </c>
      <c r="M161" s="29" t="n">
        <f aca="false">IF($L161="","",$L161-기준정보!$C$4)</f>
        <v>101</v>
      </c>
      <c r="N161" s="27" t="s">
        <v>65</v>
      </c>
      <c r="O161" s="30"/>
      <c r="P161" s="26" t="str">
        <f aca="false">IF($G161="","",IF(AND(ISNUMBER(SEARCH("CMT",$G161)),OR(ISNUMBER(SEARCH("완사입",$G161)),ISNUMBER(SEARCH("ODM",$G161)))),"본사/생산처 혼재",IF(ISNUMBER(SEARCH("CMT",$G161)),"본사(소재팀)","생산처")))</f>
        <v>생산처</v>
      </c>
      <c r="Q161" s="26" t="s">
        <v>120</v>
      </c>
      <c r="R161" s="25" t="s">
        <v>67</v>
      </c>
      <c r="S161" s="31" t="n">
        <v>900</v>
      </c>
      <c r="T161" s="26"/>
      <c r="U161" s="26" t="str">
        <f aca="false">IF($J161="","출고일 미정",IF($N161="X","작지 미발행",IF($N161="부분","작지 일부 미발행",IF(AND($O161&lt;&gt;"",$O161&gt;$L161),"소재입고 마감("&amp;TEXT($L161,"MM/DD")&amp;") 초과",IF($N161="","발행여부 확인 필요",IF($O161="","소재 입고일정 확인 필요","정상"))))))</f>
        <v>소재 입고일정 확인 필요</v>
      </c>
      <c r="V161" s="24" t="str">
        <f aca="false">IF($J161="","",IF(OR(LEFT($U161,2)="작지",LEFT($U161,4)="소재입고"),IF(LEFT($F161,1)="S","★ 납기위험(S코드)","◆ 지연주의"),IF($U161="정상","✓ 정상","? 확인필요")))</f>
        <v>? 확인필요</v>
      </c>
      <c r="W161" s="27"/>
      <c r="X161" s="32"/>
    </row>
    <row r="162" customFormat="false" ht="15" hidden="false" customHeight="false" outlineLevel="0" collapsed="false">
      <c r="A162" s="24" t="n">
        <v>158</v>
      </c>
      <c r="B162" s="25" t="s">
        <v>178</v>
      </c>
      <c r="C162" s="25" t="s">
        <v>74</v>
      </c>
      <c r="D162" s="26" t="s">
        <v>448</v>
      </c>
      <c r="E162" s="25" t="s">
        <v>449</v>
      </c>
      <c r="F162" s="24" t="str">
        <f aca="false">IF($D162="","",IF(MID($D162,5,1)="S","S(봄)",IF(MID($D162,5,1)="M","M(여름)",IF(MID($D162,5,1)="X","X(사계절)",MID($D162,5,1)))))</f>
        <v>M(여름)</v>
      </c>
      <c r="G162" s="25" t="s">
        <v>62</v>
      </c>
      <c r="H162" s="24" t="s">
        <v>376</v>
      </c>
      <c r="I162" s="27" t="s">
        <v>421</v>
      </c>
      <c r="J162" s="28" t="n">
        <f aca="false">IF($I162="","",IFERROR(DATE(IF(VALUE(LEFT($I162,FIND("월",$I162)-1))&gt;=9,기준정보!$C$7-1,기준정보!$C$7),VALUE(LEFT($I162,FIND("월",$I162)-1)),1+7*(VALUE(SUBSTITUTE(MID($I162,FIND("월",$I162)+1,5),"주",""))-1)),""))</f>
        <v>46447</v>
      </c>
      <c r="K162" s="28" t="n">
        <f aca="false">IF($J162="","",$J162-기준정보!$C$5)</f>
        <v>46433</v>
      </c>
      <c r="L162" s="28" t="n">
        <f aca="false">IF($K162="","",$K162-기준정보!$C$6)</f>
        <v>46343</v>
      </c>
      <c r="M162" s="29" t="n">
        <f aca="false">IF($L162="","",$L162-기준정보!$C$4)</f>
        <v>101</v>
      </c>
      <c r="N162" s="27" t="s">
        <v>65</v>
      </c>
      <c r="O162" s="30"/>
      <c r="P162" s="26" t="str">
        <f aca="false">IF($G162="","",IF(AND(ISNUMBER(SEARCH("CMT",$G162)),OR(ISNUMBER(SEARCH("완사입",$G162)),ISNUMBER(SEARCH("ODM",$G162)))),"본사/생산처 혼재",IF(ISNUMBER(SEARCH("CMT",$G162)),"본사(소재팀)","생산처")))</f>
        <v>생산처</v>
      </c>
      <c r="Q162" s="26" t="s">
        <v>193</v>
      </c>
      <c r="R162" s="25" t="s">
        <v>67</v>
      </c>
      <c r="S162" s="31" t="n">
        <v>350</v>
      </c>
      <c r="T162" s="26"/>
      <c r="U162" s="26" t="str">
        <f aca="false">IF($J162="","출고일 미정",IF($N162="X","작지 미발행",IF($N162="부분","작지 일부 미발행",IF(AND($O162&lt;&gt;"",$O162&gt;$L162),"소재입고 마감("&amp;TEXT($L162,"MM/DD")&amp;") 초과",IF($N162="","발행여부 확인 필요",IF($O162="","소재 입고일정 확인 필요","정상"))))))</f>
        <v>소재 입고일정 확인 필요</v>
      </c>
      <c r="V162" s="24" t="str">
        <f aca="false">IF($J162="","",IF(OR(LEFT($U162,2)="작지",LEFT($U162,4)="소재입고"),IF(LEFT($F162,1)="S","★ 납기위험(S코드)","◆ 지연주의"),IF($U162="정상","✓ 정상","? 확인필요")))</f>
        <v>? 확인필요</v>
      </c>
      <c r="W162" s="27"/>
      <c r="X162" s="32"/>
    </row>
    <row r="163" customFormat="false" ht="15" hidden="false" customHeight="false" outlineLevel="0" collapsed="false">
      <c r="A163" s="24" t="n">
        <v>159</v>
      </c>
      <c r="B163" s="25" t="s">
        <v>178</v>
      </c>
      <c r="C163" s="25" t="s">
        <v>74</v>
      </c>
      <c r="D163" s="26" t="s">
        <v>450</v>
      </c>
      <c r="E163" s="25" t="s">
        <v>451</v>
      </c>
      <c r="F163" s="24" t="str">
        <f aca="false">IF($D163="","",IF(MID($D163,5,1)="S","S(봄)",IF(MID($D163,5,1)="M","M(여름)",IF(MID($D163,5,1)="X","X(사계절)",MID($D163,5,1)))))</f>
        <v>M(여름)</v>
      </c>
      <c r="G163" s="25" t="s">
        <v>62</v>
      </c>
      <c r="H163" s="24" t="s">
        <v>376</v>
      </c>
      <c r="I163" s="27" t="s">
        <v>421</v>
      </c>
      <c r="J163" s="28" t="n">
        <f aca="false">IF($I163="","",IFERROR(DATE(IF(VALUE(LEFT($I163,FIND("월",$I163)-1))&gt;=9,기준정보!$C$7-1,기준정보!$C$7),VALUE(LEFT($I163,FIND("월",$I163)-1)),1+7*(VALUE(SUBSTITUTE(MID($I163,FIND("월",$I163)+1,5),"주",""))-1)),""))</f>
        <v>46447</v>
      </c>
      <c r="K163" s="28" t="n">
        <f aca="false">IF($J163="","",$J163-기준정보!$C$5)</f>
        <v>46433</v>
      </c>
      <c r="L163" s="28" t="n">
        <f aca="false">IF($K163="","",$K163-기준정보!$C$6)</f>
        <v>46343</v>
      </c>
      <c r="M163" s="29" t="n">
        <f aca="false">IF($L163="","",$L163-기준정보!$C$4)</f>
        <v>101</v>
      </c>
      <c r="N163" s="27" t="s">
        <v>65</v>
      </c>
      <c r="O163" s="30"/>
      <c r="P163" s="26" t="str">
        <f aca="false">IF($G163="","",IF(AND(ISNUMBER(SEARCH("CMT",$G163)),OR(ISNUMBER(SEARCH("완사입",$G163)),ISNUMBER(SEARCH("ODM",$G163)))),"본사/생산처 혼재",IF(ISNUMBER(SEARCH("CMT",$G163)),"본사(소재팀)","생산처")))</f>
        <v>생산처</v>
      </c>
      <c r="Q163" s="25" t="s">
        <v>245</v>
      </c>
      <c r="R163" s="25" t="s">
        <v>67</v>
      </c>
      <c r="S163" s="31" t="n">
        <v>1870</v>
      </c>
      <c r="T163" s="26"/>
      <c r="U163" s="26" t="str">
        <f aca="false">IF($J163="","출고일 미정",IF($N163="X","작지 미발행",IF($N163="부분","작지 일부 미발행",IF(AND($O163&lt;&gt;"",$O163&gt;$L163),"소재입고 마감("&amp;TEXT($L163,"MM/DD")&amp;") 초과",IF($N163="","발행여부 확인 필요",IF($O163="","소재 입고일정 확인 필요","정상"))))))</f>
        <v>소재 입고일정 확인 필요</v>
      </c>
      <c r="V163" s="24" t="str">
        <f aca="false">IF($J163="","",IF(OR(LEFT($U163,2)="작지",LEFT($U163,4)="소재입고"),IF(LEFT($F163,1)="S","★ 납기위험(S코드)","◆ 지연주의"),IF($U163="정상","✓ 정상","? 확인필요")))</f>
        <v>? 확인필요</v>
      </c>
      <c r="W163" s="27"/>
      <c r="X163" s="32"/>
    </row>
    <row r="164" customFormat="false" ht="15" hidden="false" customHeight="false" outlineLevel="0" collapsed="false">
      <c r="A164" s="24" t="n">
        <v>160</v>
      </c>
      <c r="B164" s="25" t="s">
        <v>178</v>
      </c>
      <c r="C164" s="25" t="s">
        <v>74</v>
      </c>
      <c r="D164" s="26" t="s">
        <v>452</v>
      </c>
      <c r="E164" s="25" t="s">
        <v>453</v>
      </c>
      <c r="F164" s="24" t="str">
        <f aca="false">IF($D164="","",IF(MID($D164,5,1)="S","S(봄)",IF(MID($D164,5,1)="M","M(여름)",IF(MID($D164,5,1)="X","X(사계절)",MID($D164,5,1)))))</f>
        <v>M(여름)</v>
      </c>
      <c r="G164" s="25" t="s">
        <v>62</v>
      </c>
      <c r="H164" s="24" t="s">
        <v>376</v>
      </c>
      <c r="I164" s="27" t="s">
        <v>421</v>
      </c>
      <c r="J164" s="28" t="n">
        <f aca="false">IF($I164="","",IFERROR(DATE(IF(VALUE(LEFT($I164,FIND("월",$I164)-1))&gt;=9,기준정보!$C$7-1,기준정보!$C$7),VALUE(LEFT($I164,FIND("월",$I164)-1)),1+7*(VALUE(SUBSTITUTE(MID($I164,FIND("월",$I164)+1,5),"주",""))-1)),""))</f>
        <v>46447</v>
      </c>
      <c r="K164" s="28" t="n">
        <f aca="false">IF($J164="","",$J164-기준정보!$C$5)</f>
        <v>46433</v>
      </c>
      <c r="L164" s="28" t="n">
        <f aca="false">IF($K164="","",$K164-기준정보!$C$6)</f>
        <v>46343</v>
      </c>
      <c r="M164" s="29" t="n">
        <f aca="false">IF($L164="","",$L164-기준정보!$C$4)</f>
        <v>101</v>
      </c>
      <c r="N164" s="27" t="s">
        <v>65</v>
      </c>
      <c r="O164" s="30"/>
      <c r="P164" s="26" t="str">
        <f aca="false">IF($G164="","",IF(AND(ISNUMBER(SEARCH("CMT",$G164)),OR(ISNUMBER(SEARCH("완사입",$G164)),ISNUMBER(SEARCH("ODM",$G164)))),"본사/생산처 혼재",IF(ISNUMBER(SEARCH("CMT",$G164)),"본사(소재팀)","생산처")))</f>
        <v>생산처</v>
      </c>
      <c r="Q164" s="25" t="s">
        <v>245</v>
      </c>
      <c r="R164" s="25" t="s">
        <v>67</v>
      </c>
      <c r="S164" s="31" t="n">
        <v>500</v>
      </c>
      <c r="T164" s="26"/>
      <c r="U164" s="26" t="str">
        <f aca="false">IF($J164="","출고일 미정",IF($N164="X","작지 미발행",IF($N164="부분","작지 일부 미발행",IF(AND($O164&lt;&gt;"",$O164&gt;$L164),"소재입고 마감("&amp;TEXT($L164,"MM/DD")&amp;") 초과",IF($N164="","발행여부 확인 필요",IF($O164="","소재 입고일정 확인 필요","정상"))))))</f>
        <v>소재 입고일정 확인 필요</v>
      </c>
      <c r="V164" s="24" t="str">
        <f aca="false">IF($J164="","",IF(OR(LEFT($U164,2)="작지",LEFT($U164,4)="소재입고"),IF(LEFT($F164,1)="S","★ 납기위험(S코드)","◆ 지연주의"),IF($U164="정상","✓ 정상","? 확인필요")))</f>
        <v>? 확인필요</v>
      </c>
      <c r="W164" s="27"/>
      <c r="X164" s="32"/>
    </row>
    <row r="165" customFormat="false" ht="15" hidden="false" customHeight="false" outlineLevel="0" collapsed="false">
      <c r="A165" s="24" t="n">
        <v>161</v>
      </c>
      <c r="B165" s="25" t="s">
        <v>178</v>
      </c>
      <c r="C165" s="25" t="s">
        <v>74</v>
      </c>
      <c r="D165" s="26" t="s">
        <v>454</v>
      </c>
      <c r="E165" s="25" t="s">
        <v>455</v>
      </c>
      <c r="F165" s="24" t="str">
        <f aca="false">IF($D165="","",IF(MID($D165,5,1)="S","S(봄)",IF(MID($D165,5,1)="M","M(여름)",IF(MID($D165,5,1)="X","X(사계절)",MID($D165,5,1)))))</f>
        <v>M(여름)</v>
      </c>
      <c r="G165" s="25" t="s">
        <v>62</v>
      </c>
      <c r="H165" s="24" t="s">
        <v>376</v>
      </c>
      <c r="I165" s="27" t="s">
        <v>421</v>
      </c>
      <c r="J165" s="28" t="n">
        <f aca="false">IF($I165="","",IFERROR(DATE(IF(VALUE(LEFT($I165,FIND("월",$I165)-1))&gt;=9,기준정보!$C$7-1,기준정보!$C$7),VALUE(LEFT($I165,FIND("월",$I165)-1)),1+7*(VALUE(SUBSTITUTE(MID($I165,FIND("월",$I165)+1,5),"주",""))-1)),""))</f>
        <v>46447</v>
      </c>
      <c r="K165" s="28" t="n">
        <f aca="false">IF($J165="","",$J165-기준정보!$C$5)</f>
        <v>46433</v>
      </c>
      <c r="L165" s="28" t="n">
        <f aca="false">IF($K165="","",$K165-기준정보!$C$6)</f>
        <v>46343</v>
      </c>
      <c r="M165" s="29" t="n">
        <f aca="false">IF($L165="","",$L165-기준정보!$C$4)</f>
        <v>101</v>
      </c>
      <c r="N165" s="27" t="s">
        <v>65</v>
      </c>
      <c r="O165" s="30"/>
      <c r="P165" s="26" t="str">
        <f aca="false">IF($G165="","",IF(AND(ISNUMBER(SEARCH("CMT",$G165)),OR(ISNUMBER(SEARCH("완사입",$G165)),ISNUMBER(SEARCH("ODM",$G165)))),"본사/생산처 혼재",IF(ISNUMBER(SEARCH("CMT",$G165)),"본사(소재팀)","생산처")))</f>
        <v>생산처</v>
      </c>
      <c r="Q165" s="25" t="s">
        <v>245</v>
      </c>
      <c r="R165" s="25" t="s">
        <v>67</v>
      </c>
      <c r="S165" s="31" t="n">
        <v>900</v>
      </c>
      <c r="T165" s="26"/>
      <c r="U165" s="26" t="str">
        <f aca="false">IF($J165="","출고일 미정",IF($N165="X","작지 미발행",IF($N165="부분","작지 일부 미발행",IF(AND($O165&lt;&gt;"",$O165&gt;$L165),"소재입고 마감("&amp;TEXT($L165,"MM/DD")&amp;") 초과",IF($N165="","발행여부 확인 필요",IF($O165="","소재 입고일정 확인 필요","정상"))))))</f>
        <v>소재 입고일정 확인 필요</v>
      </c>
      <c r="V165" s="24" t="str">
        <f aca="false">IF($J165="","",IF(OR(LEFT($U165,2)="작지",LEFT($U165,4)="소재입고"),IF(LEFT($F165,1)="S","★ 납기위험(S코드)","◆ 지연주의"),IF($U165="정상","✓ 정상","? 확인필요")))</f>
        <v>? 확인필요</v>
      </c>
      <c r="W165" s="27"/>
      <c r="X165" s="32"/>
    </row>
    <row r="166" customFormat="false" ht="15" hidden="false" customHeight="false" outlineLevel="0" collapsed="false">
      <c r="A166" s="24" t="n">
        <v>162</v>
      </c>
      <c r="B166" s="25" t="s">
        <v>178</v>
      </c>
      <c r="C166" s="25" t="s">
        <v>439</v>
      </c>
      <c r="D166" s="26" t="s">
        <v>456</v>
      </c>
      <c r="E166" s="25" t="s">
        <v>457</v>
      </c>
      <c r="F166" s="24" t="str">
        <f aca="false">IF($D166="","",IF(MID($D166,5,1)="S","S(봄)",IF(MID($D166,5,1)="M","M(여름)",IF(MID($D166,5,1)="X","X(사계절)",MID($D166,5,1)))))</f>
        <v>M(여름)</v>
      </c>
      <c r="G166" s="25" t="s">
        <v>62</v>
      </c>
      <c r="H166" s="24" t="s">
        <v>376</v>
      </c>
      <c r="I166" s="27" t="s">
        <v>421</v>
      </c>
      <c r="J166" s="28" t="n">
        <f aca="false">IF($I166="","",IFERROR(DATE(IF(VALUE(LEFT($I166,FIND("월",$I166)-1))&gt;=9,기준정보!$C$7-1,기준정보!$C$7),VALUE(LEFT($I166,FIND("월",$I166)-1)),1+7*(VALUE(SUBSTITUTE(MID($I166,FIND("월",$I166)+1,5),"주",""))-1)),""))</f>
        <v>46447</v>
      </c>
      <c r="K166" s="28" t="n">
        <f aca="false">IF($J166="","",$J166-기준정보!$C$5)</f>
        <v>46433</v>
      </c>
      <c r="L166" s="28" t="n">
        <f aca="false">IF($K166="","",$K166-기준정보!$C$6)</f>
        <v>46343</v>
      </c>
      <c r="M166" s="29" t="n">
        <f aca="false">IF($L166="","",$L166-기준정보!$C$4)</f>
        <v>101</v>
      </c>
      <c r="N166" s="27" t="s">
        <v>65</v>
      </c>
      <c r="O166" s="30"/>
      <c r="P166" s="26" t="str">
        <f aca="false">IF($G166="","",IF(AND(ISNUMBER(SEARCH("CMT",$G166)),OR(ISNUMBER(SEARCH("완사입",$G166)),ISNUMBER(SEARCH("ODM",$G166)))),"본사/생산처 혼재",IF(ISNUMBER(SEARCH("CMT",$G166)),"본사(소재팀)","생산처")))</f>
        <v>생산처</v>
      </c>
      <c r="Q166" s="25" t="s">
        <v>66</v>
      </c>
      <c r="R166" s="25" t="s">
        <v>67</v>
      </c>
      <c r="S166" s="31" t="n">
        <v>300</v>
      </c>
      <c r="T166" s="26"/>
      <c r="U166" s="26" t="str">
        <f aca="false">IF($J166="","출고일 미정",IF($N166="X","작지 미발행",IF($N166="부분","작지 일부 미발행",IF(AND($O166&lt;&gt;"",$O166&gt;$L166),"소재입고 마감("&amp;TEXT($L166,"MM/DD")&amp;") 초과",IF($N166="","발행여부 확인 필요",IF($O166="","소재 입고일정 확인 필요","정상"))))))</f>
        <v>소재 입고일정 확인 필요</v>
      </c>
      <c r="V166" s="24" t="str">
        <f aca="false">IF($J166="","",IF(OR(LEFT($U166,2)="작지",LEFT($U166,4)="소재입고"),IF(LEFT($F166,1)="S","★ 납기위험(S코드)","◆ 지연주의"),IF($U166="정상","✓ 정상","? 확인필요")))</f>
        <v>? 확인필요</v>
      </c>
      <c r="W166" s="27"/>
      <c r="X166" s="32"/>
    </row>
    <row r="167" customFormat="false" ht="15" hidden="false" customHeight="false" outlineLevel="0" collapsed="false">
      <c r="A167" s="24" t="n">
        <v>163</v>
      </c>
      <c r="B167" s="25" t="s">
        <v>178</v>
      </c>
      <c r="C167" s="25" t="s">
        <v>439</v>
      </c>
      <c r="D167" s="26" t="s">
        <v>458</v>
      </c>
      <c r="E167" s="25" t="s">
        <v>459</v>
      </c>
      <c r="F167" s="24" t="str">
        <f aca="false">IF($D167="","",IF(MID($D167,5,1)="S","S(봄)",IF(MID($D167,5,1)="M","M(여름)",IF(MID($D167,5,1)="X","X(사계절)",MID($D167,5,1)))))</f>
        <v>M(여름)</v>
      </c>
      <c r="G167" s="25" t="s">
        <v>62</v>
      </c>
      <c r="H167" s="24" t="s">
        <v>376</v>
      </c>
      <c r="I167" s="27" t="s">
        <v>421</v>
      </c>
      <c r="J167" s="28" t="n">
        <f aca="false">IF($I167="","",IFERROR(DATE(IF(VALUE(LEFT($I167,FIND("월",$I167)-1))&gt;=9,기준정보!$C$7-1,기준정보!$C$7),VALUE(LEFT($I167,FIND("월",$I167)-1)),1+7*(VALUE(SUBSTITUTE(MID($I167,FIND("월",$I167)+1,5),"주",""))-1)),""))</f>
        <v>46447</v>
      </c>
      <c r="K167" s="28" t="n">
        <f aca="false">IF($J167="","",$J167-기준정보!$C$5)</f>
        <v>46433</v>
      </c>
      <c r="L167" s="28" t="n">
        <f aca="false">IF($K167="","",$K167-기준정보!$C$6)</f>
        <v>46343</v>
      </c>
      <c r="M167" s="29" t="n">
        <f aca="false">IF($L167="","",$L167-기준정보!$C$4)</f>
        <v>101</v>
      </c>
      <c r="N167" s="27" t="s">
        <v>65</v>
      </c>
      <c r="O167" s="30"/>
      <c r="P167" s="26" t="str">
        <f aca="false">IF($G167="","",IF(AND(ISNUMBER(SEARCH("CMT",$G167)),OR(ISNUMBER(SEARCH("완사입",$G167)),ISNUMBER(SEARCH("ODM",$G167)))),"본사/생산처 혼재",IF(ISNUMBER(SEARCH("CMT",$G167)),"본사(소재팀)","생산처")))</f>
        <v>생산처</v>
      </c>
      <c r="Q167" s="25" t="s">
        <v>66</v>
      </c>
      <c r="R167" s="25" t="s">
        <v>67</v>
      </c>
      <c r="S167" s="31" t="n">
        <v>300</v>
      </c>
      <c r="T167" s="26"/>
      <c r="U167" s="26" t="str">
        <f aca="false">IF($J167="","출고일 미정",IF($N167="X","작지 미발행",IF($N167="부분","작지 일부 미발행",IF(AND($O167&lt;&gt;"",$O167&gt;$L167),"소재입고 마감("&amp;TEXT($L167,"MM/DD")&amp;") 초과",IF($N167="","발행여부 확인 필요",IF($O167="","소재 입고일정 확인 필요","정상"))))))</f>
        <v>소재 입고일정 확인 필요</v>
      </c>
      <c r="V167" s="24" t="str">
        <f aca="false">IF($J167="","",IF(OR(LEFT($U167,2)="작지",LEFT($U167,4)="소재입고"),IF(LEFT($F167,1)="S","★ 납기위험(S코드)","◆ 지연주의"),IF($U167="정상","✓ 정상","? 확인필요")))</f>
        <v>? 확인필요</v>
      </c>
      <c r="W167" s="27"/>
      <c r="X167" s="32"/>
    </row>
    <row r="168" customFormat="false" ht="15" hidden="false" customHeight="false" outlineLevel="0" collapsed="false">
      <c r="A168" s="24" t="n">
        <v>164</v>
      </c>
      <c r="B168" s="25" t="s">
        <v>200</v>
      </c>
      <c r="C168" s="25" t="s">
        <v>207</v>
      </c>
      <c r="D168" s="26" t="s">
        <v>460</v>
      </c>
      <c r="E168" s="25" t="s">
        <v>461</v>
      </c>
      <c r="F168" s="24" t="str">
        <f aca="false">IF($D168="","",IF(MID($D168,5,1)="S","S(봄)",IF(MID($D168,5,1)="M","M(여름)",IF(MID($D168,5,1)="X","X(사계절)",MID($D168,5,1)))))</f>
        <v>M(여름)</v>
      </c>
      <c r="G168" s="26" t="s">
        <v>167</v>
      </c>
      <c r="H168" s="24"/>
      <c r="I168" s="27" t="s">
        <v>421</v>
      </c>
      <c r="J168" s="28" t="n">
        <f aca="false">IF($I168="","",IFERROR(DATE(IF(VALUE(LEFT($I168,FIND("월",$I168)-1))&gt;=9,기준정보!$C$7-1,기준정보!$C$7),VALUE(LEFT($I168,FIND("월",$I168)-1)),1+7*(VALUE(SUBSTITUTE(MID($I168,FIND("월",$I168)+1,5),"주",""))-1)),""))</f>
        <v>46447</v>
      </c>
      <c r="K168" s="28" t="n">
        <f aca="false">IF($J168="","",$J168-기준정보!$C$5)</f>
        <v>46433</v>
      </c>
      <c r="L168" s="28" t="n">
        <f aca="false">IF($K168="","",$K168-기준정보!$C$6)</f>
        <v>46343</v>
      </c>
      <c r="M168" s="29" t="n">
        <f aca="false">IF($L168="","",$L168-기준정보!$C$4)</f>
        <v>101</v>
      </c>
      <c r="N168" s="27" t="s">
        <v>65</v>
      </c>
      <c r="O168" s="30"/>
      <c r="P168" s="26" t="str">
        <f aca="false">IF($G168="","",IF(AND(ISNUMBER(SEARCH("CMT",$G168)),OR(ISNUMBER(SEARCH("완사입",$G168)),ISNUMBER(SEARCH("ODM",$G168)))),"본사/생산처 혼재",IF(ISNUMBER(SEARCH("CMT",$G168)),"본사(소재팀)","생산처")))</f>
        <v>본사(소재팀)</v>
      </c>
      <c r="Q168" s="26" t="s">
        <v>120</v>
      </c>
      <c r="R168" s="25" t="s">
        <v>67</v>
      </c>
      <c r="S168" s="31" t="n">
        <v>5000</v>
      </c>
      <c r="T168" s="26" t="s">
        <v>421</v>
      </c>
      <c r="U168" s="26" t="str">
        <f aca="false">IF($J168="","출고일 미정",IF($N168="X","작지 미발행",IF($N168="부분","작지 일부 미발행",IF(AND($O168&lt;&gt;"",$O168&gt;$L168),"소재입고 마감("&amp;TEXT($L168,"MM/DD")&amp;") 초과",IF($N168="","발행여부 확인 필요",IF($O168="","소재 입고일정 확인 필요","정상"))))))</f>
        <v>소재 입고일정 확인 필요</v>
      </c>
      <c r="V168" s="24" t="str">
        <f aca="false">IF($J168="","",IF(OR(LEFT($U168,2)="작지",LEFT($U168,4)="소재입고"),IF(LEFT($F168,1)="S","★ 납기위험(S코드)","◆ 지연주의"),IF($U168="정상","✓ 정상","? 확인필요")))</f>
        <v>? 확인필요</v>
      </c>
      <c r="W168" s="27"/>
      <c r="X168" s="32"/>
    </row>
    <row r="169" customFormat="false" ht="15" hidden="false" customHeight="false" outlineLevel="0" collapsed="false">
      <c r="A169" s="24" t="n">
        <v>165</v>
      </c>
      <c r="B169" s="25" t="s">
        <v>200</v>
      </c>
      <c r="C169" s="25" t="s">
        <v>207</v>
      </c>
      <c r="D169" s="26" t="s">
        <v>462</v>
      </c>
      <c r="E169" s="25" t="s">
        <v>463</v>
      </c>
      <c r="F169" s="24" t="str">
        <f aca="false">IF($D169="","",IF(MID($D169,5,1)="S","S(봄)",IF(MID($D169,5,1)="M","M(여름)",IF(MID($D169,5,1)="X","X(사계절)",MID($D169,5,1)))))</f>
        <v>M(여름)</v>
      </c>
      <c r="G169" s="26" t="s">
        <v>167</v>
      </c>
      <c r="H169" s="24"/>
      <c r="I169" s="27" t="s">
        <v>421</v>
      </c>
      <c r="J169" s="28" t="n">
        <f aca="false">IF($I169="","",IFERROR(DATE(IF(VALUE(LEFT($I169,FIND("월",$I169)-1))&gt;=9,기준정보!$C$7-1,기준정보!$C$7),VALUE(LEFT($I169,FIND("월",$I169)-1)),1+7*(VALUE(SUBSTITUTE(MID($I169,FIND("월",$I169)+1,5),"주",""))-1)),""))</f>
        <v>46447</v>
      </c>
      <c r="K169" s="28" t="n">
        <f aca="false">IF($J169="","",$J169-기준정보!$C$5)</f>
        <v>46433</v>
      </c>
      <c r="L169" s="28" t="n">
        <f aca="false">IF($K169="","",$K169-기준정보!$C$6)</f>
        <v>46343</v>
      </c>
      <c r="M169" s="29" t="n">
        <f aca="false">IF($L169="","",$L169-기준정보!$C$4)</f>
        <v>101</v>
      </c>
      <c r="N169" s="27" t="s">
        <v>65</v>
      </c>
      <c r="O169" s="30"/>
      <c r="P169" s="26" t="str">
        <f aca="false">IF($G169="","",IF(AND(ISNUMBER(SEARCH("CMT",$G169)),OR(ISNUMBER(SEARCH("완사입",$G169)),ISNUMBER(SEARCH("ODM",$G169)))),"본사/생산처 혼재",IF(ISNUMBER(SEARCH("CMT",$G169)),"본사(소재팀)","생산처")))</f>
        <v>본사(소재팀)</v>
      </c>
      <c r="Q169" s="26" t="s">
        <v>120</v>
      </c>
      <c r="R169" s="25" t="s">
        <v>67</v>
      </c>
      <c r="S169" s="31" t="n">
        <v>3000</v>
      </c>
      <c r="T169" s="26" t="s">
        <v>421</v>
      </c>
      <c r="U169" s="26" t="str">
        <f aca="false">IF($J169="","출고일 미정",IF($N169="X","작지 미발행",IF($N169="부분","작지 일부 미발행",IF(AND($O169&lt;&gt;"",$O169&gt;$L169),"소재입고 마감("&amp;TEXT($L169,"MM/DD")&amp;") 초과",IF($N169="","발행여부 확인 필요",IF($O169="","소재 입고일정 확인 필요","정상"))))))</f>
        <v>소재 입고일정 확인 필요</v>
      </c>
      <c r="V169" s="24" t="str">
        <f aca="false">IF($J169="","",IF(OR(LEFT($U169,2)="작지",LEFT($U169,4)="소재입고"),IF(LEFT($F169,1)="S","★ 납기위험(S코드)","◆ 지연주의"),IF($U169="정상","✓ 정상","? 확인필요")))</f>
        <v>? 확인필요</v>
      </c>
      <c r="W169" s="27"/>
      <c r="X169" s="32"/>
    </row>
    <row r="170" customFormat="false" ht="15" hidden="false" customHeight="false" outlineLevel="0" collapsed="false">
      <c r="A170" s="24" t="n">
        <v>166</v>
      </c>
      <c r="B170" s="25" t="s">
        <v>200</v>
      </c>
      <c r="C170" s="25" t="s">
        <v>207</v>
      </c>
      <c r="D170" s="26" t="s">
        <v>464</v>
      </c>
      <c r="E170" s="25" t="s">
        <v>465</v>
      </c>
      <c r="F170" s="24" t="str">
        <f aca="false">IF($D170="","",IF(MID($D170,5,1)="S","S(봄)",IF(MID($D170,5,1)="M","M(여름)",IF(MID($D170,5,1)="X","X(사계절)",MID($D170,5,1)))))</f>
        <v>M(여름)</v>
      </c>
      <c r="G170" s="26" t="s">
        <v>167</v>
      </c>
      <c r="H170" s="24"/>
      <c r="I170" s="27" t="s">
        <v>421</v>
      </c>
      <c r="J170" s="28" t="n">
        <f aca="false">IF($I170="","",IFERROR(DATE(IF(VALUE(LEFT($I170,FIND("월",$I170)-1))&gt;=9,기준정보!$C$7-1,기준정보!$C$7),VALUE(LEFT($I170,FIND("월",$I170)-1)),1+7*(VALUE(SUBSTITUTE(MID($I170,FIND("월",$I170)+1,5),"주",""))-1)),""))</f>
        <v>46447</v>
      </c>
      <c r="K170" s="28" t="n">
        <f aca="false">IF($J170="","",$J170-기준정보!$C$5)</f>
        <v>46433</v>
      </c>
      <c r="L170" s="28" t="n">
        <f aca="false">IF($K170="","",$K170-기준정보!$C$6)</f>
        <v>46343</v>
      </c>
      <c r="M170" s="29" t="n">
        <f aca="false">IF($L170="","",$L170-기준정보!$C$4)</f>
        <v>101</v>
      </c>
      <c r="N170" s="27" t="s">
        <v>65</v>
      </c>
      <c r="O170" s="30"/>
      <c r="P170" s="26" t="str">
        <f aca="false">IF($G170="","",IF(AND(ISNUMBER(SEARCH("CMT",$G170)),OR(ISNUMBER(SEARCH("완사입",$G170)),ISNUMBER(SEARCH("ODM",$G170)))),"본사/생산처 혼재",IF(ISNUMBER(SEARCH("CMT",$G170)),"본사(소재팀)","생산처")))</f>
        <v>본사(소재팀)</v>
      </c>
      <c r="Q170" s="26" t="s">
        <v>187</v>
      </c>
      <c r="R170" s="25" t="s">
        <v>67</v>
      </c>
      <c r="S170" s="31" t="n">
        <v>3000</v>
      </c>
      <c r="T170" s="26" t="s">
        <v>421</v>
      </c>
      <c r="U170" s="26" t="str">
        <f aca="false">IF($J170="","출고일 미정",IF($N170="X","작지 미발행",IF($N170="부분","작지 일부 미발행",IF(AND($O170&lt;&gt;"",$O170&gt;$L170),"소재입고 마감("&amp;TEXT($L170,"MM/DD")&amp;") 초과",IF($N170="","발행여부 확인 필요",IF($O170="","소재 입고일정 확인 필요","정상"))))))</f>
        <v>소재 입고일정 확인 필요</v>
      </c>
      <c r="V170" s="24" t="str">
        <f aca="false">IF($J170="","",IF(OR(LEFT($U170,2)="작지",LEFT($U170,4)="소재입고"),IF(LEFT($F170,1)="S","★ 납기위험(S코드)","◆ 지연주의"),IF($U170="정상","✓ 정상","? 확인필요")))</f>
        <v>? 확인필요</v>
      </c>
      <c r="W170" s="27"/>
      <c r="X170" s="32"/>
    </row>
    <row r="171" customFormat="false" ht="15" hidden="false" customHeight="false" outlineLevel="0" collapsed="false">
      <c r="A171" s="24" t="n">
        <v>167</v>
      </c>
      <c r="B171" s="25" t="s">
        <v>200</v>
      </c>
      <c r="C171" s="25" t="s">
        <v>207</v>
      </c>
      <c r="D171" s="26" t="s">
        <v>466</v>
      </c>
      <c r="E171" s="25" t="s">
        <v>467</v>
      </c>
      <c r="F171" s="24" t="str">
        <f aca="false">IF($D171="","",IF(MID($D171,5,1)="S","S(봄)",IF(MID($D171,5,1)="M","M(여름)",IF(MID($D171,5,1)="X","X(사계절)",MID($D171,5,1)))))</f>
        <v>M(여름)</v>
      </c>
      <c r="G171" s="25" t="s">
        <v>62</v>
      </c>
      <c r="H171" s="24"/>
      <c r="I171" s="27" t="s">
        <v>421</v>
      </c>
      <c r="J171" s="28" t="n">
        <f aca="false">IF($I171="","",IFERROR(DATE(IF(VALUE(LEFT($I171,FIND("월",$I171)-1))&gt;=9,기준정보!$C$7-1,기준정보!$C$7),VALUE(LEFT($I171,FIND("월",$I171)-1)),1+7*(VALUE(SUBSTITUTE(MID($I171,FIND("월",$I171)+1,5),"주",""))-1)),""))</f>
        <v>46447</v>
      </c>
      <c r="K171" s="28" t="n">
        <f aca="false">IF($J171="","",$J171-기준정보!$C$5)</f>
        <v>46433</v>
      </c>
      <c r="L171" s="28" t="n">
        <f aca="false">IF($K171="","",$K171-기준정보!$C$6)</f>
        <v>46343</v>
      </c>
      <c r="M171" s="29" t="n">
        <f aca="false">IF($L171="","",$L171-기준정보!$C$4)</f>
        <v>101</v>
      </c>
      <c r="N171" s="27" t="s">
        <v>65</v>
      </c>
      <c r="O171" s="30"/>
      <c r="P171" s="26" t="str">
        <f aca="false">IF($G171="","",IF(AND(ISNUMBER(SEARCH("CMT",$G171)),OR(ISNUMBER(SEARCH("완사입",$G171)),ISNUMBER(SEARCH("ODM",$G171)))),"본사/생산처 혼재",IF(ISNUMBER(SEARCH("CMT",$G171)),"본사(소재팀)","생산처")))</f>
        <v>생산처</v>
      </c>
      <c r="Q171" s="25" t="s">
        <v>307</v>
      </c>
      <c r="R171" s="25" t="s">
        <v>67</v>
      </c>
      <c r="S171" s="31" t="n">
        <v>1200</v>
      </c>
      <c r="T171" s="26" t="s">
        <v>421</v>
      </c>
      <c r="U171" s="26" t="str">
        <f aca="false">IF($J171="","출고일 미정",IF($N171="X","작지 미발행",IF($N171="부분","작지 일부 미발행",IF(AND($O171&lt;&gt;"",$O171&gt;$L171),"소재입고 마감("&amp;TEXT($L171,"MM/DD")&amp;") 초과",IF($N171="","발행여부 확인 필요",IF($O171="","소재 입고일정 확인 필요","정상"))))))</f>
        <v>소재 입고일정 확인 필요</v>
      </c>
      <c r="V171" s="24" t="str">
        <f aca="false">IF($J171="","",IF(OR(LEFT($U171,2)="작지",LEFT($U171,4)="소재입고"),IF(LEFT($F171,1)="S","★ 납기위험(S코드)","◆ 지연주의"),IF($U171="정상","✓ 정상","? 확인필요")))</f>
        <v>? 확인필요</v>
      </c>
      <c r="W171" s="27"/>
      <c r="X171" s="32"/>
    </row>
    <row r="172" customFormat="false" ht="15" hidden="false" customHeight="false" outlineLevel="0" collapsed="false">
      <c r="A172" s="24" t="n">
        <v>168</v>
      </c>
      <c r="B172" s="25" t="s">
        <v>178</v>
      </c>
      <c r="C172" s="25" t="s">
        <v>74</v>
      </c>
      <c r="D172" s="26" t="s">
        <v>468</v>
      </c>
      <c r="E172" s="25" t="s">
        <v>469</v>
      </c>
      <c r="F172" s="24" t="str">
        <f aca="false">IF($D172="","",IF(MID($D172,5,1)="S","S(봄)",IF(MID($D172,5,1)="M","M(여름)",IF(MID($D172,5,1)="X","X(사계절)",MID($D172,5,1)))))</f>
        <v>M(여름)</v>
      </c>
      <c r="G172" s="25" t="s">
        <v>62</v>
      </c>
      <c r="H172" s="24" t="s">
        <v>376</v>
      </c>
      <c r="I172" s="27" t="s">
        <v>421</v>
      </c>
      <c r="J172" s="28" t="n">
        <f aca="false">IF($I172="","",IFERROR(DATE(IF(VALUE(LEFT($I172,FIND("월",$I172)-1))&gt;=9,기준정보!$C$7-1,기준정보!$C$7),VALUE(LEFT($I172,FIND("월",$I172)-1)),1+7*(VALUE(SUBSTITUTE(MID($I172,FIND("월",$I172)+1,5),"주",""))-1)),""))</f>
        <v>46447</v>
      </c>
      <c r="K172" s="28" t="n">
        <f aca="false">IF($J172="","",$J172-기준정보!$C$5)</f>
        <v>46433</v>
      </c>
      <c r="L172" s="28" t="n">
        <f aca="false">IF($K172="","",$K172-기준정보!$C$6)</f>
        <v>46343</v>
      </c>
      <c r="M172" s="29" t="n">
        <f aca="false">IF($L172="","",$L172-기준정보!$C$4)</f>
        <v>101</v>
      </c>
      <c r="N172" s="27" t="s">
        <v>65</v>
      </c>
      <c r="O172" s="30"/>
      <c r="P172" s="26" t="str">
        <f aca="false">IF($G172="","",IF(AND(ISNUMBER(SEARCH("CMT",$G172)),OR(ISNUMBER(SEARCH("완사입",$G172)),ISNUMBER(SEARCH("ODM",$G172)))),"본사/생산처 혼재",IF(ISNUMBER(SEARCH("CMT",$G172)),"본사(소재팀)","생산처")))</f>
        <v>생산처</v>
      </c>
      <c r="Q172" s="26" t="s">
        <v>120</v>
      </c>
      <c r="R172" s="25" t="s">
        <v>67</v>
      </c>
      <c r="S172" s="31" t="n">
        <v>500</v>
      </c>
      <c r="T172" s="26"/>
      <c r="U172" s="26" t="str">
        <f aca="false">IF($J172="","출고일 미정",IF($N172="X","작지 미발행",IF($N172="부분","작지 일부 미발행",IF(AND($O172&lt;&gt;"",$O172&gt;$L172),"소재입고 마감("&amp;TEXT($L172,"MM/DD")&amp;") 초과",IF($N172="","발행여부 확인 필요",IF($O172="","소재 입고일정 확인 필요","정상"))))))</f>
        <v>소재 입고일정 확인 필요</v>
      </c>
      <c r="V172" s="24" t="str">
        <f aca="false">IF($J172="","",IF(OR(LEFT($U172,2)="작지",LEFT($U172,4)="소재입고"),IF(LEFT($F172,1)="S","★ 납기위험(S코드)","◆ 지연주의"),IF($U172="정상","✓ 정상","? 확인필요")))</f>
        <v>? 확인필요</v>
      </c>
      <c r="W172" s="27"/>
      <c r="X172" s="32"/>
    </row>
    <row r="173" customFormat="false" ht="15" hidden="false" customHeight="false" outlineLevel="0" collapsed="false">
      <c r="A173" s="24" t="n">
        <v>169</v>
      </c>
      <c r="B173" s="25" t="s">
        <v>178</v>
      </c>
      <c r="C173" s="25" t="s">
        <v>74</v>
      </c>
      <c r="D173" s="26" t="s">
        <v>470</v>
      </c>
      <c r="E173" s="25" t="s">
        <v>471</v>
      </c>
      <c r="F173" s="24" t="str">
        <f aca="false">IF($D173="","",IF(MID($D173,5,1)="S","S(봄)",IF(MID($D173,5,1)="M","M(여름)",IF(MID($D173,5,1)="X","X(사계절)",MID($D173,5,1)))))</f>
        <v>M(여름)</v>
      </c>
      <c r="G173" s="25" t="s">
        <v>62</v>
      </c>
      <c r="H173" s="24" t="s">
        <v>376</v>
      </c>
      <c r="I173" s="27" t="s">
        <v>421</v>
      </c>
      <c r="J173" s="28" t="n">
        <f aca="false">IF($I173="","",IFERROR(DATE(IF(VALUE(LEFT($I173,FIND("월",$I173)-1))&gt;=9,기준정보!$C$7-1,기준정보!$C$7),VALUE(LEFT($I173,FIND("월",$I173)-1)),1+7*(VALUE(SUBSTITUTE(MID($I173,FIND("월",$I173)+1,5),"주",""))-1)),""))</f>
        <v>46447</v>
      </c>
      <c r="K173" s="28" t="n">
        <f aca="false">IF($J173="","",$J173-기준정보!$C$5)</f>
        <v>46433</v>
      </c>
      <c r="L173" s="28" t="n">
        <f aca="false">IF($K173="","",$K173-기준정보!$C$6)</f>
        <v>46343</v>
      </c>
      <c r="M173" s="29" t="n">
        <f aca="false">IF($L173="","",$L173-기준정보!$C$4)</f>
        <v>101</v>
      </c>
      <c r="N173" s="27" t="s">
        <v>65</v>
      </c>
      <c r="O173" s="30"/>
      <c r="P173" s="26" t="str">
        <f aca="false">IF($G173="","",IF(AND(ISNUMBER(SEARCH("CMT",$G173)),OR(ISNUMBER(SEARCH("완사입",$G173)),ISNUMBER(SEARCH("ODM",$G173)))),"본사/생산처 혼재",IF(ISNUMBER(SEARCH("CMT",$G173)),"본사(소재팀)","생산처")))</f>
        <v>생산처</v>
      </c>
      <c r="Q173" s="26" t="s">
        <v>120</v>
      </c>
      <c r="R173" s="25" t="s">
        <v>67</v>
      </c>
      <c r="S173" s="31" t="n">
        <v>500</v>
      </c>
      <c r="T173" s="26"/>
      <c r="U173" s="26" t="str">
        <f aca="false">IF($J173="","출고일 미정",IF($N173="X","작지 미발행",IF($N173="부분","작지 일부 미발행",IF(AND($O173&lt;&gt;"",$O173&gt;$L173),"소재입고 마감("&amp;TEXT($L173,"MM/DD")&amp;") 초과",IF($N173="","발행여부 확인 필요",IF($O173="","소재 입고일정 확인 필요","정상"))))))</f>
        <v>소재 입고일정 확인 필요</v>
      </c>
      <c r="V173" s="24" t="str">
        <f aca="false">IF($J173="","",IF(OR(LEFT($U173,2)="작지",LEFT($U173,4)="소재입고"),IF(LEFT($F173,1)="S","★ 납기위험(S코드)","◆ 지연주의"),IF($U173="정상","✓ 정상","? 확인필요")))</f>
        <v>? 확인필요</v>
      </c>
      <c r="W173" s="27"/>
      <c r="X173" s="32"/>
    </row>
    <row r="174" customFormat="false" ht="15" hidden="false" customHeight="false" outlineLevel="0" collapsed="false">
      <c r="A174" s="24" t="n">
        <v>170</v>
      </c>
      <c r="B174" s="25" t="s">
        <v>178</v>
      </c>
      <c r="C174" s="25" t="s">
        <v>74</v>
      </c>
      <c r="D174" s="26" t="s">
        <v>472</v>
      </c>
      <c r="E174" s="25" t="s">
        <v>473</v>
      </c>
      <c r="F174" s="24" t="str">
        <f aca="false">IF($D174="","",IF(MID($D174,5,1)="S","S(봄)",IF(MID($D174,5,1)="M","M(여름)",IF(MID($D174,5,1)="X","X(사계절)",MID($D174,5,1)))))</f>
        <v>M(여름)</v>
      </c>
      <c r="G174" s="25" t="s">
        <v>62</v>
      </c>
      <c r="H174" s="24" t="s">
        <v>376</v>
      </c>
      <c r="I174" s="27" t="s">
        <v>421</v>
      </c>
      <c r="J174" s="28" t="n">
        <f aca="false">IF($I174="","",IFERROR(DATE(IF(VALUE(LEFT($I174,FIND("월",$I174)-1))&gt;=9,기준정보!$C$7-1,기준정보!$C$7),VALUE(LEFT($I174,FIND("월",$I174)-1)),1+7*(VALUE(SUBSTITUTE(MID($I174,FIND("월",$I174)+1,5),"주",""))-1)),""))</f>
        <v>46447</v>
      </c>
      <c r="K174" s="28" t="n">
        <f aca="false">IF($J174="","",$J174-기준정보!$C$5)</f>
        <v>46433</v>
      </c>
      <c r="L174" s="28" t="n">
        <f aca="false">IF($K174="","",$K174-기준정보!$C$6)</f>
        <v>46343</v>
      </c>
      <c r="M174" s="29" t="n">
        <f aca="false">IF($L174="","",$L174-기준정보!$C$4)</f>
        <v>101</v>
      </c>
      <c r="N174" s="27" t="s">
        <v>65</v>
      </c>
      <c r="O174" s="30"/>
      <c r="P174" s="26" t="str">
        <f aca="false">IF($G174="","",IF(AND(ISNUMBER(SEARCH("CMT",$G174)),OR(ISNUMBER(SEARCH("완사입",$G174)),ISNUMBER(SEARCH("ODM",$G174)))),"본사/생산처 혼재",IF(ISNUMBER(SEARCH("CMT",$G174)),"본사(소재팀)","생산처")))</f>
        <v>생산처</v>
      </c>
      <c r="Q174" s="26" t="s">
        <v>193</v>
      </c>
      <c r="R174" s="25" t="s">
        <v>67</v>
      </c>
      <c r="S174" s="31" t="n">
        <v>250</v>
      </c>
      <c r="T174" s="26"/>
      <c r="U174" s="26" t="str">
        <f aca="false">IF($J174="","출고일 미정",IF($N174="X","작지 미발행",IF($N174="부분","작지 일부 미발행",IF(AND($O174&lt;&gt;"",$O174&gt;$L174),"소재입고 마감("&amp;TEXT($L174,"MM/DD")&amp;") 초과",IF($N174="","발행여부 확인 필요",IF($O174="","소재 입고일정 확인 필요","정상"))))))</f>
        <v>소재 입고일정 확인 필요</v>
      </c>
      <c r="V174" s="24" t="str">
        <f aca="false">IF($J174="","",IF(OR(LEFT($U174,2)="작지",LEFT($U174,4)="소재입고"),IF(LEFT($F174,1)="S","★ 납기위험(S코드)","◆ 지연주의"),IF($U174="정상","✓ 정상","? 확인필요")))</f>
        <v>? 확인필요</v>
      </c>
      <c r="W174" s="27"/>
      <c r="X174" s="32"/>
    </row>
    <row r="175" customFormat="false" ht="15" hidden="false" customHeight="false" outlineLevel="0" collapsed="false">
      <c r="A175" s="24" t="n">
        <v>171</v>
      </c>
      <c r="B175" s="25" t="s">
        <v>99</v>
      </c>
      <c r="C175" s="25" t="s">
        <v>207</v>
      </c>
      <c r="D175" s="26" t="s">
        <v>474</v>
      </c>
      <c r="E175" s="25" t="s">
        <v>475</v>
      </c>
      <c r="F175" s="24" t="str">
        <f aca="false">IF($D175="","",IF(MID($D175,5,1)="S","S(봄)",IF(MID($D175,5,1)="M","M(여름)",IF(MID($D175,5,1)="X","X(사계절)",MID($D175,5,1)))))</f>
        <v>M(여름)</v>
      </c>
      <c r="G175" s="25" t="s">
        <v>62</v>
      </c>
      <c r="H175" s="24"/>
      <c r="I175" s="27" t="s">
        <v>421</v>
      </c>
      <c r="J175" s="28" t="n">
        <f aca="false">IF($I175="","",IFERROR(DATE(IF(VALUE(LEFT($I175,FIND("월",$I175)-1))&gt;=9,기준정보!$C$7-1,기준정보!$C$7),VALUE(LEFT($I175,FIND("월",$I175)-1)),1+7*(VALUE(SUBSTITUTE(MID($I175,FIND("월",$I175)+1,5),"주",""))-1)),""))</f>
        <v>46447</v>
      </c>
      <c r="K175" s="28" t="n">
        <f aca="false">IF($J175="","",$J175-기준정보!$C$5)</f>
        <v>46433</v>
      </c>
      <c r="L175" s="28" t="n">
        <f aca="false">IF($K175="","",$K175-기준정보!$C$6)</f>
        <v>46343</v>
      </c>
      <c r="M175" s="29" t="n">
        <f aca="false">IF($L175="","",$L175-기준정보!$C$4)</f>
        <v>101</v>
      </c>
      <c r="N175" s="27" t="s">
        <v>65</v>
      </c>
      <c r="O175" s="30"/>
      <c r="P175" s="26" t="str">
        <f aca="false">IF($G175="","",IF(AND(ISNUMBER(SEARCH("CMT",$G175)),OR(ISNUMBER(SEARCH("완사입",$G175)),ISNUMBER(SEARCH("ODM",$G175)))),"본사/생산처 혼재",IF(ISNUMBER(SEARCH("CMT",$G175)),"본사(소재팀)","생산처")))</f>
        <v>생산처</v>
      </c>
      <c r="Q175" s="25" t="s">
        <v>190</v>
      </c>
      <c r="R175" s="25" t="s">
        <v>67</v>
      </c>
      <c r="S175" s="31" t="n">
        <v>3000</v>
      </c>
      <c r="T175" s="26" t="s">
        <v>421</v>
      </c>
      <c r="U175" s="26" t="str">
        <f aca="false">IF($J175="","출고일 미정",IF($N175="X","작지 미발행",IF($N175="부분","작지 일부 미발행",IF(AND($O175&lt;&gt;"",$O175&gt;$L175),"소재입고 마감("&amp;TEXT($L175,"MM/DD")&amp;") 초과",IF($N175="","발행여부 확인 필요",IF($O175="","소재 입고일정 확인 필요","정상"))))))</f>
        <v>소재 입고일정 확인 필요</v>
      </c>
      <c r="V175" s="24" t="str">
        <f aca="false">IF($J175="","",IF(OR(LEFT($U175,2)="작지",LEFT($U175,4)="소재입고"),IF(LEFT($F175,1)="S","★ 납기위험(S코드)","◆ 지연주의"),IF($U175="정상","✓ 정상","? 확인필요")))</f>
        <v>? 확인필요</v>
      </c>
      <c r="W175" s="27"/>
      <c r="X175" s="32"/>
    </row>
    <row r="176" customFormat="false" ht="15" hidden="false" customHeight="false" outlineLevel="0" collapsed="false">
      <c r="A176" s="24" t="n">
        <v>172</v>
      </c>
      <c r="B176" s="25" t="s">
        <v>178</v>
      </c>
      <c r="C176" s="25" t="s">
        <v>74</v>
      </c>
      <c r="D176" s="26" t="s">
        <v>476</v>
      </c>
      <c r="E176" s="25" t="s">
        <v>477</v>
      </c>
      <c r="F176" s="24" t="str">
        <f aca="false">IF($D176="","",IF(MID($D176,5,1)="S","S(봄)",IF(MID($D176,5,1)="M","M(여름)",IF(MID($D176,5,1)="X","X(사계절)",MID($D176,5,1)))))</f>
        <v>M(여름)</v>
      </c>
      <c r="G176" s="25" t="s">
        <v>62</v>
      </c>
      <c r="H176" s="24" t="s">
        <v>376</v>
      </c>
      <c r="I176" s="27" t="s">
        <v>421</v>
      </c>
      <c r="J176" s="28" t="n">
        <f aca="false">IF($I176="","",IFERROR(DATE(IF(VALUE(LEFT($I176,FIND("월",$I176)-1))&gt;=9,기준정보!$C$7-1,기준정보!$C$7),VALUE(LEFT($I176,FIND("월",$I176)-1)),1+7*(VALUE(SUBSTITUTE(MID($I176,FIND("월",$I176)+1,5),"주",""))-1)),""))</f>
        <v>46447</v>
      </c>
      <c r="K176" s="28" t="n">
        <f aca="false">IF($J176="","",$J176-기준정보!$C$5)</f>
        <v>46433</v>
      </c>
      <c r="L176" s="28" t="n">
        <f aca="false">IF($K176="","",$K176-기준정보!$C$6)</f>
        <v>46343</v>
      </c>
      <c r="M176" s="29" t="n">
        <f aca="false">IF($L176="","",$L176-기준정보!$C$4)</f>
        <v>101</v>
      </c>
      <c r="N176" s="27" t="s">
        <v>65</v>
      </c>
      <c r="O176" s="30"/>
      <c r="P176" s="26" t="str">
        <f aca="false">IF($G176="","",IF(AND(ISNUMBER(SEARCH("CMT",$G176)),OR(ISNUMBER(SEARCH("완사입",$G176)),ISNUMBER(SEARCH("ODM",$G176)))),"본사/생산처 혼재",IF(ISNUMBER(SEARCH("CMT",$G176)),"본사(소재팀)","생산처")))</f>
        <v>생산처</v>
      </c>
      <c r="Q176" s="25" t="s">
        <v>245</v>
      </c>
      <c r="R176" s="25" t="s">
        <v>67</v>
      </c>
      <c r="S176" s="31" t="n">
        <v>1010</v>
      </c>
      <c r="T176" s="26"/>
      <c r="U176" s="26" t="str">
        <f aca="false">IF($J176="","출고일 미정",IF($N176="X","작지 미발행",IF($N176="부분","작지 일부 미발행",IF(AND($O176&lt;&gt;"",$O176&gt;$L176),"소재입고 마감("&amp;TEXT($L176,"MM/DD")&amp;") 초과",IF($N176="","발행여부 확인 필요",IF($O176="","소재 입고일정 확인 필요","정상"))))))</f>
        <v>소재 입고일정 확인 필요</v>
      </c>
      <c r="V176" s="24" t="str">
        <f aca="false">IF($J176="","",IF(OR(LEFT($U176,2)="작지",LEFT($U176,4)="소재입고"),IF(LEFT($F176,1)="S","★ 납기위험(S코드)","◆ 지연주의"),IF($U176="정상","✓ 정상","? 확인필요")))</f>
        <v>? 확인필요</v>
      </c>
      <c r="W176" s="27"/>
      <c r="X176" s="32"/>
    </row>
    <row r="177" customFormat="false" ht="15" hidden="false" customHeight="false" outlineLevel="0" collapsed="false">
      <c r="A177" s="24" t="n">
        <v>173</v>
      </c>
      <c r="B177" s="25" t="s">
        <v>178</v>
      </c>
      <c r="C177" s="25" t="s">
        <v>74</v>
      </c>
      <c r="D177" s="26" t="s">
        <v>478</v>
      </c>
      <c r="E177" s="25" t="s">
        <v>479</v>
      </c>
      <c r="F177" s="24" t="str">
        <f aca="false">IF($D177="","",IF(MID($D177,5,1)="S","S(봄)",IF(MID($D177,5,1)="M","M(여름)",IF(MID($D177,5,1)="X","X(사계절)",MID($D177,5,1)))))</f>
        <v>M(여름)</v>
      </c>
      <c r="G177" s="25" t="s">
        <v>62</v>
      </c>
      <c r="H177" s="24" t="s">
        <v>376</v>
      </c>
      <c r="I177" s="27" t="s">
        <v>421</v>
      </c>
      <c r="J177" s="28" t="n">
        <f aca="false">IF($I177="","",IFERROR(DATE(IF(VALUE(LEFT($I177,FIND("월",$I177)-1))&gt;=9,기준정보!$C$7-1,기준정보!$C$7),VALUE(LEFT($I177,FIND("월",$I177)-1)),1+7*(VALUE(SUBSTITUTE(MID($I177,FIND("월",$I177)+1,5),"주",""))-1)),""))</f>
        <v>46447</v>
      </c>
      <c r="K177" s="28" t="n">
        <f aca="false">IF($J177="","",$J177-기준정보!$C$5)</f>
        <v>46433</v>
      </c>
      <c r="L177" s="28" t="n">
        <f aca="false">IF($K177="","",$K177-기준정보!$C$6)</f>
        <v>46343</v>
      </c>
      <c r="M177" s="29" t="n">
        <f aca="false">IF($L177="","",$L177-기준정보!$C$4)</f>
        <v>101</v>
      </c>
      <c r="N177" s="27" t="s">
        <v>65</v>
      </c>
      <c r="O177" s="30"/>
      <c r="P177" s="26" t="str">
        <f aca="false">IF($G177="","",IF(AND(ISNUMBER(SEARCH("CMT",$G177)),OR(ISNUMBER(SEARCH("완사입",$G177)),ISNUMBER(SEARCH("ODM",$G177)))),"본사/생산처 혼재",IF(ISNUMBER(SEARCH("CMT",$G177)),"본사(소재팀)","생산처")))</f>
        <v>생산처</v>
      </c>
      <c r="Q177" s="25" t="s">
        <v>245</v>
      </c>
      <c r="R177" s="25" t="s">
        <v>67</v>
      </c>
      <c r="S177" s="31" t="n">
        <v>700</v>
      </c>
      <c r="T177" s="26"/>
      <c r="U177" s="26" t="str">
        <f aca="false">IF($J177="","출고일 미정",IF($N177="X","작지 미발행",IF($N177="부분","작지 일부 미발행",IF(AND($O177&lt;&gt;"",$O177&gt;$L177),"소재입고 마감("&amp;TEXT($L177,"MM/DD")&amp;") 초과",IF($N177="","발행여부 확인 필요",IF($O177="","소재 입고일정 확인 필요","정상"))))))</f>
        <v>소재 입고일정 확인 필요</v>
      </c>
      <c r="V177" s="24" t="str">
        <f aca="false">IF($J177="","",IF(OR(LEFT($U177,2)="작지",LEFT($U177,4)="소재입고"),IF(LEFT($F177,1)="S","★ 납기위험(S코드)","◆ 지연주의"),IF($U177="정상","✓ 정상","? 확인필요")))</f>
        <v>? 확인필요</v>
      </c>
      <c r="W177" s="27"/>
      <c r="X177" s="32"/>
    </row>
    <row r="178" customFormat="false" ht="15" hidden="false" customHeight="false" outlineLevel="0" collapsed="false">
      <c r="A178" s="24" t="n">
        <v>174</v>
      </c>
      <c r="B178" s="25" t="s">
        <v>178</v>
      </c>
      <c r="C178" s="25" t="s">
        <v>74</v>
      </c>
      <c r="D178" s="26" t="s">
        <v>480</v>
      </c>
      <c r="E178" s="25" t="s">
        <v>481</v>
      </c>
      <c r="F178" s="24" t="str">
        <f aca="false">IF($D178="","",IF(MID($D178,5,1)="S","S(봄)",IF(MID($D178,5,1)="M","M(여름)",IF(MID($D178,5,1)="X","X(사계절)",MID($D178,5,1)))))</f>
        <v>M(여름)</v>
      </c>
      <c r="G178" s="25" t="s">
        <v>62</v>
      </c>
      <c r="H178" s="24" t="s">
        <v>376</v>
      </c>
      <c r="I178" s="27" t="s">
        <v>421</v>
      </c>
      <c r="J178" s="28" t="n">
        <f aca="false">IF($I178="","",IFERROR(DATE(IF(VALUE(LEFT($I178,FIND("월",$I178)-1))&gt;=9,기준정보!$C$7-1,기준정보!$C$7),VALUE(LEFT($I178,FIND("월",$I178)-1)),1+7*(VALUE(SUBSTITUTE(MID($I178,FIND("월",$I178)+1,5),"주",""))-1)),""))</f>
        <v>46447</v>
      </c>
      <c r="K178" s="28" t="n">
        <f aca="false">IF($J178="","",$J178-기준정보!$C$5)</f>
        <v>46433</v>
      </c>
      <c r="L178" s="28" t="n">
        <f aca="false">IF($K178="","",$K178-기준정보!$C$6)</f>
        <v>46343</v>
      </c>
      <c r="M178" s="29" t="n">
        <f aca="false">IF($L178="","",$L178-기준정보!$C$4)</f>
        <v>101</v>
      </c>
      <c r="N178" s="27" t="s">
        <v>65</v>
      </c>
      <c r="O178" s="30"/>
      <c r="P178" s="26" t="str">
        <f aca="false">IF($G178="","",IF(AND(ISNUMBER(SEARCH("CMT",$G178)),OR(ISNUMBER(SEARCH("완사입",$G178)),ISNUMBER(SEARCH("ODM",$G178)))),"본사/생산처 혼재",IF(ISNUMBER(SEARCH("CMT",$G178)),"본사(소재팀)","생산처")))</f>
        <v>생산처</v>
      </c>
      <c r="Q178" s="25" t="s">
        <v>245</v>
      </c>
      <c r="R178" s="25" t="s">
        <v>67</v>
      </c>
      <c r="S178" s="31" t="n">
        <v>300</v>
      </c>
      <c r="T178" s="26"/>
      <c r="U178" s="26" t="str">
        <f aca="false">IF($J178="","출고일 미정",IF($N178="X","작지 미발행",IF($N178="부분","작지 일부 미발행",IF(AND($O178&lt;&gt;"",$O178&gt;$L178),"소재입고 마감("&amp;TEXT($L178,"MM/DD")&amp;") 초과",IF($N178="","발행여부 확인 필요",IF($O178="","소재 입고일정 확인 필요","정상"))))))</f>
        <v>소재 입고일정 확인 필요</v>
      </c>
      <c r="V178" s="24" t="str">
        <f aca="false">IF($J178="","",IF(OR(LEFT($U178,2)="작지",LEFT($U178,4)="소재입고"),IF(LEFT($F178,1)="S","★ 납기위험(S코드)","◆ 지연주의"),IF($U178="정상","✓ 정상","? 확인필요")))</f>
        <v>? 확인필요</v>
      </c>
      <c r="W178" s="27"/>
      <c r="X178" s="32"/>
    </row>
    <row r="179" customFormat="false" ht="15" hidden="false" customHeight="false" outlineLevel="0" collapsed="false">
      <c r="A179" s="24" t="n">
        <v>175</v>
      </c>
      <c r="B179" s="25" t="s">
        <v>178</v>
      </c>
      <c r="C179" s="25" t="s">
        <v>74</v>
      </c>
      <c r="D179" s="26" t="s">
        <v>482</v>
      </c>
      <c r="E179" s="25" t="s">
        <v>483</v>
      </c>
      <c r="F179" s="24" t="str">
        <f aca="false">IF($D179="","",IF(MID($D179,5,1)="S","S(봄)",IF(MID($D179,5,1)="M","M(여름)",IF(MID($D179,5,1)="X","X(사계절)",MID($D179,5,1)))))</f>
        <v>M(여름)</v>
      </c>
      <c r="G179" s="25" t="s">
        <v>62</v>
      </c>
      <c r="H179" s="24" t="s">
        <v>376</v>
      </c>
      <c r="I179" s="27" t="s">
        <v>421</v>
      </c>
      <c r="J179" s="28" t="n">
        <f aca="false">IF($I179="","",IFERROR(DATE(IF(VALUE(LEFT($I179,FIND("월",$I179)-1))&gt;=9,기준정보!$C$7-1,기준정보!$C$7),VALUE(LEFT($I179,FIND("월",$I179)-1)),1+7*(VALUE(SUBSTITUTE(MID($I179,FIND("월",$I179)+1,5),"주",""))-1)),""))</f>
        <v>46447</v>
      </c>
      <c r="K179" s="28" t="n">
        <f aca="false">IF($J179="","",$J179-기준정보!$C$5)</f>
        <v>46433</v>
      </c>
      <c r="L179" s="28" t="n">
        <f aca="false">IF($K179="","",$K179-기준정보!$C$6)</f>
        <v>46343</v>
      </c>
      <c r="M179" s="29" t="n">
        <f aca="false">IF($L179="","",$L179-기준정보!$C$4)</f>
        <v>101</v>
      </c>
      <c r="N179" s="27" t="s">
        <v>65</v>
      </c>
      <c r="O179" s="30"/>
      <c r="P179" s="26" t="str">
        <f aca="false">IF($G179="","",IF(AND(ISNUMBER(SEARCH("CMT",$G179)),OR(ISNUMBER(SEARCH("완사입",$G179)),ISNUMBER(SEARCH("ODM",$G179)))),"본사/생산처 혼재",IF(ISNUMBER(SEARCH("CMT",$G179)),"본사(소재팀)","생산처")))</f>
        <v>생산처</v>
      </c>
      <c r="Q179" s="25" t="s">
        <v>245</v>
      </c>
      <c r="R179" s="25" t="s">
        <v>67</v>
      </c>
      <c r="S179" s="31" t="n">
        <v>500</v>
      </c>
      <c r="T179" s="26"/>
      <c r="U179" s="26" t="str">
        <f aca="false">IF($J179="","출고일 미정",IF($N179="X","작지 미발행",IF($N179="부분","작지 일부 미발행",IF(AND($O179&lt;&gt;"",$O179&gt;$L179),"소재입고 마감("&amp;TEXT($L179,"MM/DD")&amp;") 초과",IF($N179="","발행여부 확인 필요",IF($O179="","소재 입고일정 확인 필요","정상"))))))</f>
        <v>소재 입고일정 확인 필요</v>
      </c>
      <c r="V179" s="24" t="str">
        <f aca="false">IF($J179="","",IF(OR(LEFT($U179,2)="작지",LEFT($U179,4)="소재입고"),IF(LEFT($F179,1)="S","★ 납기위험(S코드)","◆ 지연주의"),IF($U179="정상","✓ 정상","? 확인필요")))</f>
        <v>? 확인필요</v>
      </c>
      <c r="W179" s="27"/>
      <c r="X179" s="32"/>
    </row>
    <row r="180" customFormat="false" ht="15" hidden="false" customHeight="false" outlineLevel="0" collapsed="false">
      <c r="A180" s="24" t="n">
        <v>176</v>
      </c>
      <c r="B180" s="25" t="s">
        <v>159</v>
      </c>
      <c r="C180" s="25" t="s">
        <v>160</v>
      </c>
      <c r="D180" s="26" t="s">
        <v>484</v>
      </c>
      <c r="E180" s="25" t="s">
        <v>485</v>
      </c>
      <c r="F180" s="24" t="str">
        <f aca="false">IF($D180="","",IF(MID($D180,5,1)="S","S(봄)",IF(MID($D180,5,1)="M","M(여름)",IF(MID($D180,5,1)="X","X(사계절)",MID($D180,5,1)))))</f>
        <v>M(여름)</v>
      </c>
      <c r="G180" s="26" t="s">
        <v>167</v>
      </c>
      <c r="H180" s="24"/>
      <c r="I180" s="27" t="s">
        <v>486</v>
      </c>
      <c r="J180" s="28" t="n">
        <f aca="false">IF($I180="","",IFERROR(DATE(IF(VALUE(LEFT($I180,FIND("월",$I180)-1))&gt;=9,기준정보!$C$7-1,기준정보!$C$7),VALUE(LEFT($I180,FIND("월",$I180)-1)),1+7*(VALUE(SUBSTITUTE(MID($I180,FIND("월",$I180)+1,5),"주",""))-1)),""))</f>
        <v>46454</v>
      </c>
      <c r="K180" s="28" t="n">
        <f aca="false">IF($J180="","",$J180-기준정보!$C$5)</f>
        <v>46440</v>
      </c>
      <c r="L180" s="28" t="n">
        <f aca="false">IF($K180="","",$K180-기준정보!$C$6)</f>
        <v>46350</v>
      </c>
      <c r="M180" s="29" t="n">
        <f aca="false">IF($L180="","",$L180-기준정보!$C$4)</f>
        <v>108</v>
      </c>
      <c r="N180" s="27" t="s">
        <v>65</v>
      </c>
      <c r="O180" s="30"/>
      <c r="P180" s="26" t="str">
        <f aca="false">IF($G180="","",IF(AND(ISNUMBER(SEARCH("CMT",$G180)),OR(ISNUMBER(SEARCH("완사입",$G180)),ISNUMBER(SEARCH("ODM",$G180)))),"본사/생산처 혼재",IF(ISNUMBER(SEARCH("CMT",$G180)),"본사(소재팀)","생산처")))</f>
        <v>본사(소재팀)</v>
      </c>
      <c r="Q180" s="25" t="s">
        <v>210</v>
      </c>
      <c r="R180" s="26"/>
      <c r="S180" s="31" t="n">
        <v>9000</v>
      </c>
      <c r="T180" s="26" t="s">
        <v>486</v>
      </c>
      <c r="U180" s="26" t="str">
        <f aca="false">IF($J180="","출고일 미정",IF($N180="X","작지 미발행",IF($N180="부분","작지 일부 미발행",IF(AND($O180&lt;&gt;"",$O180&gt;$L180),"소재입고 마감("&amp;TEXT($L180,"MM/DD")&amp;") 초과",IF($N180="","발행여부 확인 필요",IF($O180="","소재 입고일정 확인 필요","정상"))))))</f>
        <v>소재 입고일정 확인 필요</v>
      </c>
      <c r="V180" s="24" t="str">
        <f aca="false">IF($J180="","",IF(OR(LEFT($U180,2)="작지",LEFT($U180,4)="소재입고"),IF(LEFT($F180,1)="S","★ 납기위험(S코드)","◆ 지연주의"),IF($U180="정상","✓ 정상","? 확인필요")))</f>
        <v>? 확인필요</v>
      </c>
      <c r="W180" s="27"/>
      <c r="X180" s="32"/>
    </row>
    <row r="181" customFormat="false" ht="15" hidden="false" customHeight="false" outlineLevel="0" collapsed="false">
      <c r="A181" s="24" t="n">
        <v>177</v>
      </c>
      <c r="B181" s="25" t="s">
        <v>159</v>
      </c>
      <c r="C181" s="25" t="s">
        <v>160</v>
      </c>
      <c r="D181" s="26" t="s">
        <v>487</v>
      </c>
      <c r="E181" s="25" t="s">
        <v>488</v>
      </c>
      <c r="F181" s="24" t="str">
        <f aca="false">IF($D181="","",IF(MID($D181,5,1)="S","S(봄)",IF(MID($D181,5,1)="M","M(여름)",IF(MID($D181,5,1)="X","X(사계절)",MID($D181,5,1)))))</f>
        <v>M(여름)</v>
      </c>
      <c r="G181" s="25" t="s">
        <v>62</v>
      </c>
      <c r="H181" s="24"/>
      <c r="I181" s="27" t="s">
        <v>486</v>
      </c>
      <c r="J181" s="28" t="n">
        <f aca="false">IF($I181="","",IFERROR(DATE(IF(VALUE(LEFT($I181,FIND("월",$I181)-1))&gt;=9,기준정보!$C$7-1,기준정보!$C$7),VALUE(LEFT($I181,FIND("월",$I181)-1)),1+7*(VALUE(SUBSTITUTE(MID($I181,FIND("월",$I181)+1,5),"주",""))-1)),""))</f>
        <v>46454</v>
      </c>
      <c r="K181" s="28" t="n">
        <f aca="false">IF($J181="","",$J181-기준정보!$C$5)</f>
        <v>46440</v>
      </c>
      <c r="L181" s="28" t="n">
        <f aca="false">IF($K181="","",$K181-기준정보!$C$6)</f>
        <v>46350</v>
      </c>
      <c r="M181" s="29" t="n">
        <f aca="false">IF($L181="","",$L181-기준정보!$C$4)</f>
        <v>108</v>
      </c>
      <c r="N181" s="27" t="s">
        <v>65</v>
      </c>
      <c r="O181" s="30"/>
      <c r="P181" s="26" t="str">
        <f aca="false">IF($G181="","",IF(AND(ISNUMBER(SEARCH("CMT",$G181)),OR(ISNUMBER(SEARCH("완사입",$G181)),ISNUMBER(SEARCH("ODM",$G181)))),"본사/생산처 혼재",IF(ISNUMBER(SEARCH("CMT",$G181)),"본사(소재팀)","생산처")))</f>
        <v>생산처</v>
      </c>
      <c r="Q181" s="25" t="s">
        <v>70</v>
      </c>
      <c r="R181" s="26"/>
      <c r="S181" s="31" t="n">
        <v>2200</v>
      </c>
      <c r="T181" s="26" t="s">
        <v>486</v>
      </c>
      <c r="U181" s="26" t="str">
        <f aca="false">IF($J181="","출고일 미정",IF($N181="X","작지 미발행",IF($N181="부분","작지 일부 미발행",IF(AND($O181&lt;&gt;"",$O181&gt;$L181),"소재입고 마감("&amp;TEXT($L181,"MM/DD")&amp;") 초과",IF($N181="","발행여부 확인 필요",IF($O181="","소재 입고일정 확인 필요","정상"))))))</f>
        <v>소재 입고일정 확인 필요</v>
      </c>
      <c r="V181" s="24" t="str">
        <f aca="false">IF($J181="","",IF(OR(LEFT($U181,2)="작지",LEFT($U181,4)="소재입고"),IF(LEFT($F181,1)="S","★ 납기위험(S코드)","◆ 지연주의"),IF($U181="정상","✓ 정상","? 확인필요")))</f>
        <v>? 확인필요</v>
      </c>
      <c r="W181" s="27"/>
      <c r="X181" s="32"/>
    </row>
    <row r="182" customFormat="false" ht="15" hidden="false" customHeight="false" outlineLevel="0" collapsed="false">
      <c r="A182" s="24" t="n">
        <v>178</v>
      </c>
      <c r="B182" s="25" t="s">
        <v>159</v>
      </c>
      <c r="C182" s="25" t="s">
        <v>160</v>
      </c>
      <c r="D182" s="26" t="s">
        <v>489</v>
      </c>
      <c r="E182" s="25" t="s">
        <v>490</v>
      </c>
      <c r="F182" s="24" t="str">
        <f aca="false">IF($D182="","",IF(MID($D182,5,1)="S","S(봄)",IF(MID($D182,5,1)="M","M(여름)",IF(MID($D182,5,1)="X","X(사계절)",MID($D182,5,1)))))</f>
        <v>M(여름)</v>
      </c>
      <c r="G182" s="25" t="s">
        <v>62</v>
      </c>
      <c r="H182" s="24"/>
      <c r="I182" s="27" t="s">
        <v>486</v>
      </c>
      <c r="J182" s="28" t="n">
        <f aca="false">IF($I182="","",IFERROR(DATE(IF(VALUE(LEFT($I182,FIND("월",$I182)-1))&gt;=9,기준정보!$C$7-1,기준정보!$C$7),VALUE(LEFT($I182,FIND("월",$I182)-1)),1+7*(VALUE(SUBSTITUTE(MID($I182,FIND("월",$I182)+1,5),"주",""))-1)),""))</f>
        <v>46454</v>
      </c>
      <c r="K182" s="28" t="n">
        <f aca="false">IF($J182="","",$J182-기준정보!$C$5)</f>
        <v>46440</v>
      </c>
      <c r="L182" s="28" t="n">
        <f aca="false">IF($K182="","",$K182-기준정보!$C$6)</f>
        <v>46350</v>
      </c>
      <c r="M182" s="29" t="n">
        <f aca="false">IF($L182="","",$L182-기준정보!$C$4)</f>
        <v>108</v>
      </c>
      <c r="N182" s="27" t="s">
        <v>65</v>
      </c>
      <c r="O182" s="30"/>
      <c r="P182" s="26" t="str">
        <f aca="false">IF($G182="","",IF(AND(ISNUMBER(SEARCH("CMT",$G182)),OR(ISNUMBER(SEARCH("완사입",$G182)),ISNUMBER(SEARCH("ODM",$G182)))),"본사/생산처 혼재",IF(ISNUMBER(SEARCH("CMT",$G182)),"본사(소재팀)","생산처")))</f>
        <v>생산처</v>
      </c>
      <c r="Q182" s="25" t="s">
        <v>210</v>
      </c>
      <c r="R182" s="26"/>
      <c r="S182" s="31" t="n">
        <v>2000</v>
      </c>
      <c r="T182" s="26" t="s">
        <v>486</v>
      </c>
      <c r="U182" s="26" t="str">
        <f aca="false">IF($J182="","출고일 미정",IF($N182="X","작지 미발행",IF($N182="부분","작지 일부 미발행",IF(AND($O182&lt;&gt;"",$O182&gt;$L182),"소재입고 마감("&amp;TEXT($L182,"MM/DD")&amp;") 초과",IF($N182="","발행여부 확인 필요",IF($O182="","소재 입고일정 확인 필요","정상"))))))</f>
        <v>소재 입고일정 확인 필요</v>
      </c>
      <c r="V182" s="24" t="str">
        <f aca="false">IF($J182="","",IF(OR(LEFT($U182,2)="작지",LEFT($U182,4)="소재입고"),IF(LEFT($F182,1)="S","★ 납기위험(S코드)","◆ 지연주의"),IF($U182="정상","✓ 정상","? 확인필요")))</f>
        <v>? 확인필요</v>
      </c>
      <c r="W182" s="27"/>
      <c r="X182" s="32"/>
    </row>
    <row r="183" customFormat="false" ht="15" hidden="false" customHeight="false" outlineLevel="0" collapsed="false">
      <c r="A183" s="24" t="n">
        <v>179</v>
      </c>
      <c r="B183" s="25" t="s">
        <v>163</v>
      </c>
      <c r="C183" s="25" t="s">
        <v>164</v>
      </c>
      <c r="D183" s="26" t="s">
        <v>491</v>
      </c>
      <c r="E183" s="25" t="s">
        <v>492</v>
      </c>
      <c r="F183" s="24" t="str">
        <f aca="false">IF($D183="","",IF(MID($D183,5,1)="S","S(봄)",IF(MID($D183,5,1)="M","M(여름)",IF(MID($D183,5,1)="X","X(사계절)",MID($D183,5,1)))))</f>
        <v>M(여름)</v>
      </c>
      <c r="G183" s="26" t="s">
        <v>167</v>
      </c>
      <c r="H183" s="24"/>
      <c r="I183" s="27" t="s">
        <v>486</v>
      </c>
      <c r="J183" s="28" t="n">
        <f aca="false">IF($I183="","",IFERROR(DATE(IF(VALUE(LEFT($I183,FIND("월",$I183)-1))&gt;=9,기준정보!$C$7-1,기준정보!$C$7),VALUE(LEFT($I183,FIND("월",$I183)-1)),1+7*(VALUE(SUBSTITUTE(MID($I183,FIND("월",$I183)+1,5),"주",""))-1)),""))</f>
        <v>46454</v>
      </c>
      <c r="K183" s="28" t="n">
        <f aca="false">IF($J183="","",$J183-기준정보!$C$5)</f>
        <v>46440</v>
      </c>
      <c r="L183" s="28" t="n">
        <f aca="false">IF($K183="","",$K183-기준정보!$C$6)</f>
        <v>46350</v>
      </c>
      <c r="M183" s="29" t="n">
        <f aca="false">IF($L183="","",$L183-기준정보!$C$4)</f>
        <v>108</v>
      </c>
      <c r="N183" s="27" t="s">
        <v>65</v>
      </c>
      <c r="O183" s="30"/>
      <c r="P183" s="26" t="str">
        <f aca="false">IF($G183="","",IF(AND(ISNUMBER(SEARCH("CMT",$G183)),OR(ISNUMBER(SEARCH("완사입",$G183)),ISNUMBER(SEARCH("ODM",$G183)))),"본사/생산처 혼재",IF(ISNUMBER(SEARCH("CMT",$G183)),"본사(소재팀)","생산처")))</f>
        <v>본사(소재팀)</v>
      </c>
      <c r="Q183" s="25" t="s">
        <v>168</v>
      </c>
      <c r="R183" s="25" t="s">
        <v>67</v>
      </c>
      <c r="S183" s="31" t="n">
        <v>6000</v>
      </c>
      <c r="T183" s="26" t="s">
        <v>486</v>
      </c>
      <c r="U183" s="26" t="str">
        <f aca="false">IF($J183="","출고일 미정",IF($N183="X","작지 미발행",IF($N183="부분","작지 일부 미발행",IF(AND($O183&lt;&gt;"",$O183&gt;$L183),"소재입고 마감("&amp;TEXT($L183,"MM/DD")&amp;") 초과",IF($N183="","발행여부 확인 필요",IF($O183="","소재 입고일정 확인 필요","정상"))))))</f>
        <v>소재 입고일정 확인 필요</v>
      </c>
      <c r="V183" s="24" t="str">
        <f aca="false">IF($J183="","",IF(OR(LEFT($U183,2)="작지",LEFT($U183,4)="소재입고"),IF(LEFT($F183,1)="S","★ 납기위험(S코드)","◆ 지연주의"),IF($U183="정상","✓ 정상","? 확인필요")))</f>
        <v>? 확인필요</v>
      </c>
      <c r="W183" s="27"/>
      <c r="X183" s="32"/>
    </row>
    <row r="184" customFormat="false" ht="15" hidden="false" customHeight="false" outlineLevel="0" collapsed="false">
      <c r="A184" s="24" t="n">
        <v>180</v>
      </c>
      <c r="B184" s="25" t="s">
        <v>163</v>
      </c>
      <c r="C184" s="25" t="s">
        <v>164</v>
      </c>
      <c r="D184" s="26" t="s">
        <v>493</v>
      </c>
      <c r="E184" s="25" t="s">
        <v>494</v>
      </c>
      <c r="F184" s="24" t="str">
        <f aca="false">IF($D184="","",IF(MID($D184,5,1)="S","S(봄)",IF(MID($D184,5,1)="M","M(여름)",IF(MID($D184,5,1)="X","X(사계절)",MID($D184,5,1)))))</f>
        <v>M(여름)</v>
      </c>
      <c r="G184" s="25" t="s">
        <v>62</v>
      </c>
      <c r="H184" s="24"/>
      <c r="I184" s="27" t="s">
        <v>486</v>
      </c>
      <c r="J184" s="28" t="n">
        <f aca="false">IF($I184="","",IFERROR(DATE(IF(VALUE(LEFT($I184,FIND("월",$I184)-1))&gt;=9,기준정보!$C$7-1,기준정보!$C$7),VALUE(LEFT($I184,FIND("월",$I184)-1)),1+7*(VALUE(SUBSTITUTE(MID($I184,FIND("월",$I184)+1,5),"주",""))-1)),""))</f>
        <v>46454</v>
      </c>
      <c r="K184" s="28" t="n">
        <f aca="false">IF($J184="","",$J184-기준정보!$C$5)</f>
        <v>46440</v>
      </c>
      <c r="L184" s="28" t="n">
        <f aca="false">IF($K184="","",$K184-기준정보!$C$6)</f>
        <v>46350</v>
      </c>
      <c r="M184" s="29" t="n">
        <f aca="false">IF($L184="","",$L184-기준정보!$C$4)</f>
        <v>108</v>
      </c>
      <c r="N184" s="27" t="s">
        <v>65</v>
      </c>
      <c r="O184" s="30"/>
      <c r="P184" s="26" t="str">
        <f aca="false">IF($G184="","",IF(AND(ISNUMBER(SEARCH("CMT",$G184)),OR(ISNUMBER(SEARCH("완사입",$G184)),ISNUMBER(SEARCH("ODM",$G184)))),"본사/생산처 혼재",IF(ISNUMBER(SEARCH("CMT",$G184)),"본사(소재팀)","생산처")))</f>
        <v>생산처</v>
      </c>
      <c r="Q184" s="26" t="s">
        <v>120</v>
      </c>
      <c r="R184" s="25" t="s">
        <v>67</v>
      </c>
      <c r="S184" s="31" t="n">
        <v>3700</v>
      </c>
      <c r="T184" s="26" t="s">
        <v>486</v>
      </c>
      <c r="U184" s="26" t="str">
        <f aca="false">IF($J184="","출고일 미정",IF($N184="X","작지 미발행",IF($N184="부분","작지 일부 미발행",IF(AND($O184&lt;&gt;"",$O184&gt;$L184),"소재입고 마감("&amp;TEXT($L184,"MM/DD")&amp;") 초과",IF($N184="","발행여부 확인 필요",IF($O184="","소재 입고일정 확인 필요","정상"))))))</f>
        <v>소재 입고일정 확인 필요</v>
      </c>
      <c r="V184" s="24" t="str">
        <f aca="false">IF($J184="","",IF(OR(LEFT($U184,2)="작지",LEFT($U184,4)="소재입고"),IF(LEFT($F184,1)="S","★ 납기위험(S코드)","◆ 지연주의"),IF($U184="정상","✓ 정상","? 확인필요")))</f>
        <v>? 확인필요</v>
      </c>
      <c r="W184" s="27"/>
      <c r="X184" s="32"/>
    </row>
    <row r="185" customFormat="false" ht="15" hidden="false" customHeight="false" outlineLevel="0" collapsed="false">
      <c r="A185" s="24" t="n">
        <v>181</v>
      </c>
      <c r="B185" s="25" t="s">
        <v>163</v>
      </c>
      <c r="C185" s="25" t="s">
        <v>164</v>
      </c>
      <c r="D185" s="26" t="s">
        <v>495</v>
      </c>
      <c r="E185" s="25" t="s">
        <v>496</v>
      </c>
      <c r="F185" s="24" t="str">
        <f aca="false">IF($D185="","",IF(MID($D185,5,1)="S","S(봄)",IF(MID($D185,5,1)="M","M(여름)",IF(MID($D185,5,1)="X","X(사계절)",MID($D185,5,1)))))</f>
        <v>M(여름)</v>
      </c>
      <c r="G185" s="25" t="s">
        <v>62</v>
      </c>
      <c r="H185" s="24"/>
      <c r="I185" s="27" t="s">
        <v>486</v>
      </c>
      <c r="J185" s="28" t="n">
        <f aca="false">IF($I185="","",IFERROR(DATE(IF(VALUE(LEFT($I185,FIND("월",$I185)-1))&gt;=9,기준정보!$C$7-1,기준정보!$C$7),VALUE(LEFT($I185,FIND("월",$I185)-1)),1+7*(VALUE(SUBSTITUTE(MID($I185,FIND("월",$I185)+1,5),"주",""))-1)),""))</f>
        <v>46454</v>
      </c>
      <c r="K185" s="28" t="n">
        <f aca="false">IF($J185="","",$J185-기준정보!$C$5)</f>
        <v>46440</v>
      </c>
      <c r="L185" s="28" t="n">
        <f aca="false">IF($K185="","",$K185-기준정보!$C$6)</f>
        <v>46350</v>
      </c>
      <c r="M185" s="29" t="n">
        <f aca="false">IF($L185="","",$L185-기준정보!$C$4)</f>
        <v>108</v>
      </c>
      <c r="N185" s="27" t="s">
        <v>65</v>
      </c>
      <c r="O185" s="30"/>
      <c r="P185" s="26" t="str">
        <f aca="false">IF($G185="","",IF(AND(ISNUMBER(SEARCH("CMT",$G185)),OR(ISNUMBER(SEARCH("완사입",$G185)),ISNUMBER(SEARCH("ODM",$G185)))),"본사/생산처 혼재",IF(ISNUMBER(SEARCH("CMT",$G185)),"본사(소재팀)","생산처")))</f>
        <v>생산처</v>
      </c>
      <c r="Q185" s="26" t="s">
        <v>120</v>
      </c>
      <c r="R185" s="25" t="s">
        <v>67</v>
      </c>
      <c r="S185" s="31" t="n">
        <v>2000</v>
      </c>
      <c r="T185" s="26" t="s">
        <v>486</v>
      </c>
      <c r="U185" s="26" t="str">
        <f aca="false">IF($J185="","출고일 미정",IF($N185="X","작지 미발행",IF($N185="부분","작지 일부 미발행",IF(AND($O185&lt;&gt;"",$O185&gt;$L185),"소재입고 마감("&amp;TEXT($L185,"MM/DD")&amp;") 초과",IF($N185="","발행여부 확인 필요",IF($O185="","소재 입고일정 확인 필요","정상"))))))</f>
        <v>소재 입고일정 확인 필요</v>
      </c>
      <c r="V185" s="24" t="str">
        <f aca="false">IF($J185="","",IF(OR(LEFT($U185,2)="작지",LEFT($U185,4)="소재입고"),IF(LEFT($F185,1)="S","★ 납기위험(S코드)","◆ 지연주의"),IF($U185="정상","✓ 정상","? 확인필요")))</f>
        <v>? 확인필요</v>
      </c>
      <c r="W185" s="27"/>
      <c r="X185" s="32"/>
    </row>
    <row r="186" customFormat="false" ht="15" hidden="false" customHeight="false" outlineLevel="0" collapsed="false">
      <c r="A186" s="24" t="n">
        <v>182</v>
      </c>
      <c r="B186" s="25" t="s">
        <v>163</v>
      </c>
      <c r="C186" s="25" t="s">
        <v>164</v>
      </c>
      <c r="D186" s="26" t="s">
        <v>497</v>
      </c>
      <c r="E186" s="25" t="s">
        <v>498</v>
      </c>
      <c r="F186" s="24" t="str">
        <f aca="false">IF($D186="","",IF(MID($D186,5,1)="S","S(봄)",IF(MID($D186,5,1)="M","M(여름)",IF(MID($D186,5,1)="X","X(사계절)",MID($D186,5,1)))))</f>
        <v>M(여름)</v>
      </c>
      <c r="G186" s="25" t="s">
        <v>62</v>
      </c>
      <c r="H186" s="24"/>
      <c r="I186" s="27" t="s">
        <v>486</v>
      </c>
      <c r="J186" s="28" t="n">
        <f aca="false">IF($I186="","",IFERROR(DATE(IF(VALUE(LEFT($I186,FIND("월",$I186)-1))&gt;=9,기준정보!$C$7-1,기준정보!$C$7),VALUE(LEFT($I186,FIND("월",$I186)-1)),1+7*(VALUE(SUBSTITUTE(MID($I186,FIND("월",$I186)+1,5),"주",""))-1)),""))</f>
        <v>46454</v>
      </c>
      <c r="K186" s="28" t="n">
        <f aca="false">IF($J186="","",$J186-기준정보!$C$5)</f>
        <v>46440</v>
      </c>
      <c r="L186" s="28" t="n">
        <f aca="false">IF($K186="","",$K186-기준정보!$C$6)</f>
        <v>46350</v>
      </c>
      <c r="M186" s="29" t="n">
        <f aca="false">IF($L186="","",$L186-기준정보!$C$4)</f>
        <v>108</v>
      </c>
      <c r="N186" s="27" t="s">
        <v>65</v>
      </c>
      <c r="O186" s="30"/>
      <c r="P186" s="26" t="str">
        <f aca="false">IF($G186="","",IF(AND(ISNUMBER(SEARCH("CMT",$G186)),OR(ISNUMBER(SEARCH("완사입",$G186)),ISNUMBER(SEARCH("ODM",$G186)))),"본사/생산처 혼재",IF(ISNUMBER(SEARCH("CMT",$G186)),"본사(소재팀)","생산처")))</f>
        <v>생산처</v>
      </c>
      <c r="Q186" s="25" t="s">
        <v>190</v>
      </c>
      <c r="R186" s="25" t="s">
        <v>67</v>
      </c>
      <c r="S186" s="31" t="n">
        <v>2000</v>
      </c>
      <c r="T186" s="26" t="s">
        <v>486</v>
      </c>
      <c r="U186" s="26" t="str">
        <f aca="false">IF($J186="","출고일 미정",IF($N186="X","작지 미발행",IF($N186="부분","작지 일부 미발행",IF(AND($O186&lt;&gt;"",$O186&gt;$L186),"소재입고 마감("&amp;TEXT($L186,"MM/DD")&amp;") 초과",IF($N186="","발행여부 확인 필요",IF($O186="","소재 입고일정 확인 필요","정상"))))))</f>
        <v>소재 입고일정 확인 필요</v>
      </c>
      <c r="V186" s="24" t="str">
        <f aca="false">IF($J186="","",IF(OR(LEFT($U186,2)="작지",LEFT($U186,4)="소재입고"),IF(LEFT($F186,1)="S","★ 납기위험(S코드)","◆ 지연주의"),IF($U186="정상","✓ 정상","? 확인필요")))</f>
        <v>? 확인필요</v>
      </c>
      <c r="W186" s="27"/>
      <c r="X186" s="32"/>
    </row>
    <row r="187" customFormat="false" ht="15" hidden="false" customHeight="false" outlineLevel="0" collapsed="false">
      <c r="A187" s="24" t="n">
        <v>183</v>
      </c>
      <c r="B187" s="25" t="s">
        <v>163</v>
      </c>
      <c r="C187" s="25" t="s">
        <v>164</v>
      </c>
      <c r="D187" s="26" t="s">
        <v>499</v>
      </c>
      <c r="E187" s="25" t="s">
        <v>500</v>
      </c>
      <c r="F187" s="24" t="str">
        <f aca="false">IF($D187="","",IF(MID($D187,5,1)="S","S(봄)",IF(MID($D187,5,1)="M","M(여름)",IF(MID($D187,5,1)="X","X(사계절)",MID($D187,5,1)))))</f>
        <v>M(여름)</v>
      </c>
      <c r="G187" s="25" t="s">
        <v>62</v>
      </c>
      <c r="H187" s="24"/>
      <c r="I187" s="27" t="s">
        <v>486</v>
      </c>
      <c r="J187" s="28" t="n">
        <f aca="false">IF($I187="","",IFERROR(DATE(IF(VALUE(LEFT($I187,FIND("월",$I187)-1))&gt;=9,기준정보!$C$7-1,기준정보!$C$7),VALUE(LEFT($I187,FIND("월",$I187)-1)),1+7*(VALUE(SUBSTITUTE(MID($I187,FIND("월",$I187)+1,5),"주",""))-1)),""))</f>
        <v>46454</v>
      </c>
      <c r="K187" s="28" t="n">
        <f aca="false">IF($J187="","",$J187-기준정보!$C$5)</f>
        <v>46440</v>
      </c>
      <c r="L187" s="28" t="n">
        <f aca="false">IF($K187="","",$K187-기준정보!$C$6)</f>
        <v>46350</v>
      </c>
      <c r="M187" s="29" t="n">
        <f aca="false">IF($L187="","",$L187-기준정보!$C$4)</f>
        <v>108</v>
      </c>
      <c r="N187" s="27" t="s">
        <v>65</v>
      </c>
      <c r="O187" s="30"/>
      <c r="P187" s="26" t="str">
        <f aca="false">IF($G187="","",IF(AND(ISNUMBER(SEARCH("CMT",$G187)),OR(ISNUMBER(SEARCH("완사입",$G187)),ISNUMBER(SEARCH("ODM",$G187)))),"본사/생산처 혼재",IF(ISNUMBER(SEARCH("CMT",$G187)),"본사(소재팀)","생산처")))</f>
        <v>생산처</v>
      </c>
      <c r="Q187" s="26" t="s">
        <v>104</v>
      </c>
      <c r="R187" s="25" t="s">
        <v>67</v>
      </c>
      <c r="S187" s="31" t="n">
        <v>1500</v>
      </c>
      <c r="T187" s="26" t="s">
        <v>486</v>
      </c>
      <c r="U187" s="26" t="str">
        <f aca="false">IF($J187="","출고일 미정",IF($N187="X","작지 미발행",IF($N187="부분","작지 일부 미발행",IF(AND($O187&lt;&gt;"",$O187&gt;$L187),"소재입고 마감("&amp;TEXT($L187,"MM/DD")&amp;") 초과",IF($N187="","발행여부 확인 필요",IF($O187="","소재 입고일정 확인 필요","정상"))))))</f>
        <v>소재 입고일정 확인 필요</v>
      </c>
      <c r="V187" s="24" t="str">
        <f aca="false">IF($J187="","",IF(OR(LEFT($U187,2)="작지",LEFT($U187,4)="소재입고"),IF(LEFT($F187,1)="S","★ 납기위험(S코드)","◆ 지연주의"),IF($U187="정상","✓ 정상","? 확인필요")))</f>
        <v>? 확인필요</v>
      </c>
      <c r="W187" s="27"/>
      <c r="X187" s="32"/>
    </row>
    <row r="188" customFormat="false" ht="15" hidden="false" customHeight="false" outlineLevel="0" collapsed="false">
      <c r="A188" s="24" t="n">
        <v>184</v>
      </c>
      <c r="B188" s="25" t="s">
        <v>163</v>
      </c>
      <c r="C188" s="25" t="s">
        <v>164</v>
      </c>
      <c r="D188" s="26" t="s">
        <v>501</v>
      </c>
      <c r="E188" s="25" t="s">
        <v>502</v>
      </c>
      <c r="F188" s="24" t="str">
        <f aca="false">IF($D188="","",IF(MID($D188,5,1)="S","S(봄)",IF(MID($D188,5,1)="M","M(여름)",IF(MID($D188,5,1)="X","X(사계절)",MID($D188,5,1)))))</f>
        <v>M(여름)</v>
      </c>
      <c r="G188" s="25" t="s">
        <v>62</v>
      </c>
      <c r="H188" s="24"/>
      <c r="I188" s="27" t="s">
        <v>486</v>
      </c>
      <c r="J188" s="28" t="n">
        <f aca="false">IF($I188="","",IFERROR(DATE(IF(VALUE(LEFT($I188,FIND("월",$I188)-1))&gt;=9,기준정보!$C$7-1,기준정보!$C$7),VALUE(LEFT($I188,FIND("월",$I188)-1)),1+7*(VALUE(SUBSTITUTE(MID($I188,FIND("월",$I188)+1,5),"주",""))-1)),""))</f>
        <v>46454</v>
      </c>
      <c r="K188" s="28" t="n">
        <f aca="false">IF($J188="","",$J188-기준정보!$C$5)</f>
        <v>46440</v>
      </c>
      <c r="L188" s="28" t="n">
        <f aca="false">IF($K188="","",$K188-기준정보!$C$6)</f>
        <v>46350</v>
      </c>
      <c r="M188" s="29" t="n">
        <f aca="false">IF($L188="","",$L188-기준정보!$C$4)</f>
        <v>108</v>
      </c>
      <c r="N188" s="27" t="s">
        <v>65</v>
      </c>
      <c r="O188" s="30"/>
      <c r="P188" s="26" t="str">
        <f aca="false">IF($G188="","",IF(AND(ISNUMBER(SEARCH("CMT",$G188)),OR(ISNUMBER(SEARCH("완사입",$G188)),ISNUMBER(SEARCH("ODM",$G188)))),"본사/생산처 혼재",IF(ISNUMBER(SEARCH("CMT",$G188)),"본사(소재팀)","생산처")))</f>
        <v>생산처</v>
      </c>
      <c r="Q188" s="26" t="s">
        <v>104</v>
      </c>
      <c r="R188" s="25" t="s">
        <v>67</v>
      </c>
      <c r="S188" s="31" t="n">
        <v>6300</v>
      </c>
      <c r="T188" s="26" t="s">
        <v>486</v>
      </c>
      <c r="U188" s="26" t="str">
        <f aca="false">IF($J188="","출고일 미정",IF($N188="X","작지 미발행",IF($N188="부분","작지 일부 미발행",IF(AND($O188&lt;&gt;"",$O188&gt;$L188),"소재입고 마감("&amp;TEXT($L188,"MM/DD")&amp;") 초과",IF($N188="","발행여부 확인 필요",IF($O188="","소재 입고일정 확인 필요","정상"))))))</f>
        <v>소재 입고일정 확인 필요</v>
      </c>
      <c r="V188" s="24" t="str">
        <f aca="false">IF($J188="","",IF(OR(LEFT($U188,2)="작지",LEFT($U188,4)="소재입고"),IF(LEFT($F188,1)="S","★ 납기위험(S코드)","◆ 지연주의"),IF($U188="정상","✓ 정상","? 확인필요")))</f>
        <v>? 확인필요</v>
      </c>
      <c r="W188" s="27"/>
      <c r="X188" s="32"/>
    </row>
    <row r="189" customFormat="false" ht="15" hidden="false" customHeight="false" outlineLevel="0" collapsed="false">
      <c r="A189" s="24" t="n">
        <v>185</v>
      </c>
      <c r="B189" s="25" t="s">
        <v>163</v>
      </c>
      <c r="C189" s="25" t="s">
        <v>164</v>
      </c>
      <c r="D189" s="26" t="s">
        <v>503</v>
      </c>
      <c r="E189" s="25" t="s">
        <v>504</v>
      </c>
      <c r="F189" s="24" t="str">
        <f aca="false">IF($D189="","",IF(MID($D189,5,1)="S","S(봄)",IF(MID($D189,5,1)="M","M(여름)",IF(MID($D189,5,1)="X","X(사계절)",MID($D189,5,1)))))</f>
        <v>M(여름)</v>
      </c>
      <c r="G189" s="25" t="s">
        <v>62</v>
      </c>
      <c r="H189" s="24"/>
      <c r="I189" s="27" t="s">
        <v>486</v>
      </c>
      <c r="J189" s="28" t="n">
        <f aca="false">IF($I189="","",IFERROR(DATE(IF(VALUE(LEFT($I189,FIND("월",$I189)-1))&gt;=9,기준정보!$C$7-1,기준정보!$C$7),VALUE(LEFT($I189,FIND("월",$I189)-1)),1+7*(VALUE(SUBSTITUTE(MID($I189,FIND("월",$I189)+1,5),"주",""))-1)),""))</f>
        <v>46454</v>
      </c>
      <c r="K189" s="28" t="n">
        <f aca="false">IF($J189="","",$J189-기준정보!$C$5)</f>
        <v>46440</v>
      </c>
      <c r="L189" s="28" t="n">
        <f aca="false">IF($K189="","",$K189-기준정보!$C$6)</f>
        <v>46350</v>
      </c>
      <c r="M189" s="29" t="n">
        <f aca="false">IF($L189="","",$L189-기준정보!$C$4)</f>
        <v>108</v>
      </c>
      <c r="N189" s="27" t="s">
        <v>65</v>
      </c>
      <c r="O189" s="30"/>
      <c r="P189" s="26" t="str">
        <f aca="false">IF($G189="","",IF(AND(ISNUMBER(SEARCH("CMT",$G189)),OR(ISNUMBER(SEARCH("완사입",$G189)),ISNUMBER(SEARCH("ODM",$G189)))),"본사/생산처 혼재",IF(ISNUMBER(SEARCH("CMT",$G189)),"본사(소재팀)","생산처")))</f>
        <v>생산처</v>
      </c>
      <c r="Q189" s="25" t="s">
        <v>245</v>
      </c>
      <c r="R189" s="25" t="s">
        <v>67</v>
      </c>
      <c r="S189" s="31" t="n">
        <v>5700</v>
      </c>
      <c r="T189" s="26" t="s">
        <v>486</v>
      </c>
      <c r="U189" s="26" t="str">
        <f aca="false">IF($J189="","출고일 미정",IF($N189="X","작지 미발행",IF($N189="부분","작지 일부 미발행",IF(AND($O189&lt;&gt;"",$O189&gt;$L189),"소재입고 마감("&amp;TEXT($L189,"MM/DD")&amp;") 초과",IF($N189="","발행여부 확인 필요",IF($O189="","소재 입고일정 확인 필요","정상"))))))</f>
        <v>소재 입고일정 확인 필요</v>
      </c>
      <c r="V189" s="24" t="str">
        <f aca="false">IF($J189="","",IF(OR(LEFT($U189,2)="작지",LEFT($U189,4)="소재입고"),IF(LEFT($F189,1)="S","★ 납기위험(S코드)","◆ 지연주의"),IF($U189="정상","✓ 정상","? 확인필요")))</f>
        <v>? 확인필요</v>
      </c>
      <c r="W189" s="27"/>
      <c r="X189" s="32"/>
    </row>
    <row r="190" customFormat="false" ht="15" hidden="false" customHeight="false" outlineLevel="0" collapsed="false">
      <c r="A190" s="24" t="n">
        <v>186</v>
      </c>
      <c r="B190" s="25" t="s">
        <v>163</v>
      </c>
      <c r="C190" s="25" t="s">
        <v>164</v>
      </c>
      <c r="D190" s="26" t="s">
        <v>505</v>
      </c>
      <c r="E190" s="25" t="s">
        <v>506</v>
      </c>
      <c r="F190" s="24" t="str">
        <f aca="false">IF($D190="","",IF(MID($D190,5,1)="S","S(봄)",IF(MID($D190,5,1)="M","M(여름)",IF(MID($D190,5,1)="X","X(사계절)",MID($D190,5,1)))))</f>
        <v>M(여름)</v>
      </c>
      <c r="G190" s="25" t="s">
        <v>62</v>
      </c>
      <c r="H190" s="24"/>
      <c r="I190" s="27" t="s">
        <v>486</v>
      </c>
      <c r="J190" s="28" t="n">
        <f aca="false">IF($I190="","",IFERROR(DATE(IF(VALUE(LEFT($I190,FIND("월",$I190)-1))&gt;=9,기준정보!$C$7-1,기준정보!$C$7),VALUE(LEFT($I190,FIND("월",$I190)-1)),1+7*(VALUE(SUBSTITUTE(MID($I190,FIND("월",$I190)+1,5),"주",""))-1)),""))</f>
        <v>46454</v>
      </c>
      <c r="K190" s="28" t="n">
        <f aca="false">IF($J190="","",$J190-기준정보!$C$5)</f>
        <v>46440</v>
      </c>
      <c r="L190" s="28" t="n">
        <f aca="false">IF($K190="","",$K190-기준정보!$C$6)</f>
        <v>46350</v>
      </c>
      <c r="M190" s="29" t="n">
        <f aca="false">IF($L190="","",$L190-기준정보!$C$4)</f>
        <v>108</v>
      </c>
      <c r="N190" s="27" t="s">
        <v>65</v>
      </c>
      <c r="O190" s="30"/>
      <c r="P190" s="26" t="str">
        <f aca="false">IF($G190="","",IF(AND(ISNUMBER(SEARCH("CMT",$G190)),OR(ISNUMBER(SEARCH("완사입",$G190)),ISNUMBER(SEARCH("ODM",$G190)))),"본사/생산처 혼재",IF(ISNUMBER(SEARCH("CMT",$G190)),"본사(소재팀)","생산처")))</f>
        <v>생산처</v>
      </c>
      <c r="Q190" s="25" t="s">
        <v>245</v>
      </c>
      <c r="R190" s="25" t="s">
        <v>67</v>
      </c>
      <c r="S190" s="31" t="n">
        <v>2500</v>
      </c>
      <c r="T190" s="26" t="s">
        <v>486</v>
      </c>
      <c r="U190" s="26" t="str">
        <f aca="false">IF($J190="","출고일 미정",IF($N190="X","작지 미발행",IF($N190="부분","작지 일부 미발행",IF(AND($O190&lt;&gt;"",$O190&gt;$L190),"소재입고 마감("&amp;TEXT($L190,"MM/DD")&amp;") 초과",IF($N190="","발행여부 확인 필요",IF($O190="","소재 입고일정 확인 필요","정상"))))))</f>
        <v>소재 입고일정 확인 필요</v>
      </c>
      <c r="V190" s="24" t="str">
        <f aca="false">IF($J190="","",IF(OR(LEFT($U190,2)="작지",LEFT($U190,4)="소재입고"),IF(LEFT($F190,1)="S","★ 납기위험(S코드)","◆ 지연주의"),IF($U190="정상","✓ 정상","? 확인필요")))</f>
        <v>? 확인필요</v>
      </c>
      <c r="W190" s="27"/>
      <c r="X190" s="32"/>
    </row>
    <row r="191" customFormat="false" ht="15" hidden="false" customHeight="false" outlineLevel="0" collapsed="false">
      <c r="A191" s="24" t="n">
        <v>187</v>
      </c>
      <c r="B191" s="25" t="s">
        <v>163</v>
      </c>
      <c r="C191" s="25" t="s">
        <v>164</v>
      </c>
      <c r="D191" s="26" t="s">
        <v>507</v>
      </c>
      <c r="E191" s="25" t="s">
        <v>508</v>
      </c>
      <c r="F191" s="24" t="str">
        <f aca="false">IF($D191="","",IF(MID($D191,5,1)="S","S(봄)",IF(MID($D191,5,1)="M","M(여름)",IF(MID($D191,5,1)="X","X(사계절)",MID($D191,5,1)))))</f>
        <v>M(여름)</v>
      </c>
      <c r="G191" s="25" t="s">
        <v>62</v>
      </c>
      <c r="H191" s="24"/>
      <c r="I191" s="27" t="s">
        <v>486</v>
      </c>
      <c r="J191" s="28" t="n">
        <f aca="false">IF($I191="","",IFERROR(DATE(IF(VALUE(LEFT($I191,FIND("월",$I191)-1))&gt;=9,기준정보!$C$7-1,기준정보!$C$7),VALUE(LEFT($I191,FIND("월",$I191)-1)),1+7*(VALUE(SUBSTITUTE(MID($I191,FIND("월",$I191)+1,5),"주",""))-1)),""))</f>
        <v>46454</v>
      </c>
      <c r="K191" s="28" t="n">
        <f aca="false">IF($J191="","",$J191-기준정보!$C$5)</f>
        <v>46440</v>
      </c>
      <c r="L191" s="28" t="n">
        <f aca="false">IF($K191="","",$K191-기준정보!$C$6)</f>
        <v>46350</v>
      </c>
      <c r="M191" s="29" t="n">
        <f aca="false">IF($L191="","",$L191-기준정보!$C$4)</f>
        <v>108</v>
      </c>
      <c r="N191" s="27" t="s">
        <v>65</v>
      </c>
      <c r="O191" s="30"/>
      <c r="P191" s="26" t="str">
        <f aca="false">IF($G191="","",IF(AND(ISNUMBER(SEARCH("CMT",$G191)),OR(ISNUMBER(SEARCH("완사입",$G191)),ISNUMBER(SEARCH("ODM",$G191)))),"본사/생산처 혼재",IF(ISNUMBER(SEARCH("CMT",$G191)),"본사(소재팀)","생산처")))</f>
        <v>생산처</v>
      </c>
      <c r="Q191" s="25" t="s">
        <v>84</v>
      </c>
      <c r="R191" s="25" t="s">
        <v>67</v>
      </c>
      <c r="S191" s="31" t="n">
        <v>4500</v>
      </c>
      <c r="T191" s="26" t="s">
        <v>486</v>
      </c>
      <c r="U191" s="26" t="str">
        <f aca="false">IF($J191="","출고일 미정",IF($N191="X","작지 미발행",IF($N191="부분","작지 일부 미발행",IF(AND($O191&lt;&gt;"",$O191&gt;$L191),"소재입고 마감("&amp;TEXT($L191,"MM/DD")&amp;") 초과",IF($N191="","발행여부 확인 필요",IF($O191="","소재 입고일정 확인 필요","정상"))))))</f>
        <v>소재 입고일정 확인 필요</v>
      </c>
      <c r="V191" s="24" t="str">
        <f aca="false">IF($J191="","",IF(OR(LEFT($U191,2)="작지",LEFT($U191,4)="소재입고"),IF(LEFT($F191,1)="S","★ 납기위험(S코드)","◆ 지연주의"),IF($U191="정상","✓ 정상","? 확인필요")))</f>
        <v>? 확인필요</v>
      </c>
      <c r="W191" s="27"/>
      <c r="X191" s="32"/>
    </row>
    <row r="192" customFormat="false" ht="15" hidden="false" customHeight="false" outlineLevel="0" collapsed="false">
      <c r="A192" s="24" t="n">
        <v>188</v>
      </c>
      <c r="B192" s="25" t="s">
        <v>163</v>
      </c>
      <c r="C192" s="25" t="s">
        <v>164</v>
      </c>
      <c r="D192" s="26" t="s">
        <v>509</v>
      </c>
      <c r="E192" s="25" t="s">
        <v>510</v>
      </c>
      <c r="F192" s="24" t="str">
        <f aca="false">IF($D192="","",IF(MID($D192,5,1)="S","S(봄)",IF(MID($D192,5,1)="M","M(여름)",IF(MID($D192,5,1)="X","X(사계절)",MID($D192,5,1)))))</f>
        <v>M(여름)</v>
      </c>
      <c r="G192" s="25" t="s">
        <v>62</v>
      </c>
      <c r="H192" s="24"/>
      <c r="I192" s="27" t="s">
        <v>486</v>
      </c>
      <c r="J192" s="28" t="n">
        <f aca="false">IF($I192="","",IFERROR(DATE(IF(VALUE(LEFT($I192,FIND("월",$I192)-1))&gt;=9,기준정보!$C$7-1,기준정보!$C$7),VALUE(LEFT($I192,FIND("월",$I192)-1)),1+7*(VALUE(SUBSTITUTE(MID($I192,FIND("월",$I192)+1,5),"주",""))-1)),""))</f>
        <v>46454</v>
      </c>
      <c r="K192" s="28" t="n">
        <f aca="false">IF($J192="","",$J192-기준정보!$C$5)</f>
        <v>46440</v>
      </c>
      <c r="L192" s="28" t="n">
        <f aca="false">IF($K192="","",$K192-기준정보!$C$6)</f>
        <v>46350</v>
      </c>
      <c r="M192" s="29" t="n">
        <f aca="false">IF($L192="","",$L192-기준정보!$C$4)</f>
        <v>108</v>
      </c>
      <c r="N192" s="27" t="s">
        <v>65</v>
      </c>
      <c r="O192" s="30"/>
      <c r="P192" s="26" t="str">
        <f aca="false">IF($G192="","",IF(AND(ISNUMBER(SEARCH("CMT",$G192)),OR(ISNUMBER(SEARCH("완사입",$G192)),ISNUMBER(SEARCH("ODM",$G192)))),"본사/생산처 혼재",IF(ISNUMBER(SEARCH("CMT",$G192)),"본사(소재팀)","생산처")))</f>
        <v>생산처</v>
      </c>
      <c r="Q192" s="26" t="s">
        <v>193</v>
      </c>
      <c r="R192" s="25" t="s">
        <v>71</v>
      </c>
      <c r="S192" s="31" t="n">
        <v>1600</v>
      </c>
      <c r="T192" s="26" t="s">
        <v>486</v>
      </c>
      <c r="U192" s="26" t="str">
        <f aca="false">IF($J192="","출고일 미정",IF($N192="X","작지 미발행",IF($N192="부분","작지 일부 미발행",IF(AND($O192&lt;&gt;"",$O192&gt;$L192),"소재입고 마감("&amp;TEXT($L192,"MM/DD")&amp;") 초과",IF($N192="","발행여부 확인 필요",IF($O192="","소재 입고일정 확인 필요","정상"))))))</f>
        <v>소재 입고일정 확인 필요</v>
      </c>
      <c r="V192" s="24" t="str">
        <f aca="false">IF($J192="","",IF(OR(LEFT($U192,2)="작지",LEFT($U192,4)="소재입고"),IF(LEFT($F192,1)="S","★ 납기위험(S코드)","◆ 지연주의"),IF($U192="정상","✓ 정상","? 확인필요")))</f>
        <v>? 확인필요</v>
      </c>
      <c r="W192" s="27"/>
      <c r="X192" s="32"/>
    </row>
    <row r="193" customFormat="false" ht="15" hidden="false" customHeight="false" outlineLevel="0" collapsed="false">
      <c r="A193" s="24" t="n">
        <v>189</v>
      </c>
      <c r="B193" s="25" t="s">
        <v>159</v>
      </c>
      <c r="C193" s="25" t="s">
        <v>164</v>
      </c>
      <c r="D193" s="26" t="s">
        <v>511</v>
      </c>
      <c r="E193" s="25" t="s">
        <v>512</v>
      </c>
      <c r="F193" s="24" t="str">
        <f aca="false">IF($D193="","",IF(MID($D193,5,1)="S","S(봄)",IF(MID($D193,5,1)="M","M(여름)",IF(MID($D193,5,1)="X","X(사계절)",MID($D193,5,1)))))</f>
        <v>M(여름)</v>
      </c>
      <c r="G193" s="26" t="s">
        <v>167</v>
      </c>
      <c r="H193" s="24"/>
      <c r="I193" s="27" t="s">
        <v>486</v>
      </c>
      <c r="J193" s="28" t="n">
        <f aca="false">IF($I193="","",IFERROR(DATE(IF(VALUE(LEFT($I193,FIND("월",$I193)-1))&gt;=9,기준정보!$C$7-1,기준정보!$C$7),VALUE(LEFT($I193,FIND("월",$I193)-1)),1+7*(VALUE(SUBSTITUTE(MID($I193,FIND("월",$I193)+1,5),"주",""))-1)),""))</f>
        <v>46454</v>
      </c>
      <c r="K193" s="28" t="n">
        <f aca="false">IF($J193="","",$J193-기준정보!$C$5)</f>
        <v>46440</v>
      </c>
      <c r="L193" s="28" t="n">
        <f aca="false">IF($K193="","",$K193-기준정보!$C$6)</f>
        <v>46350</v>
      </c>
      <c r="M193" s="29" t="n">
        <f aca="false">IF($L193="","",$L193-기준정보!$C$4)</f>
        <v>108</v>
      </c>
      <c r="N193" s="27" t="s">
        <v>65</v>
      </c>
      <c r="O193" s="30"/>
      <c r="P193" s="26" t="str">
        <f aca="false">IF($G193="","",IF(AND(ISNUMBER(SEARCH("CMT",$G193)),OR(ISNUMBER(SEARCH("완사입",$G193)),ISNUMBER(SEARCH("ODM",$G193)))),"본사/생산처 혼재",IF(ISNUMBER(SEARCH("CMT",$G193)),"본사(소재팀)","생산처")))</f>
        <v>본사(소재팀)</v>
      </c>
      <c r="Q193" s="25" t="s">
        <v>210</v>
      </c>
      <c r="R193" s="26"/>
      <c r="S193" s="31" t="n">
        <v>5500</v>
      </c>
      <c r="T193" s="26" t="s">
        <v>486</v>
      </c>
      <c r="U193" s="26" t="str">
        <f aca="false">IF($J193="","출고일 미정",IF($N193="X","작지 미발행",IF($N193="부분","작지 일부 미발행",IF(AND($O193&lt;&gt;"",$O193&gt;$L193),"소재입고 마감("&amp;TEXT($L193,"MM/DD")&amp;") 초과",IF($N193="","발행여부 확인 필요",IF($O193="","소재 입고일정 확인 필요","정상"))))))</f>
        <v>소재 입고일정 확인 필요</v>
      </c>
      <c r="V193" s="24" t="str">
        <f aca="false">IF($J193="","",IF(OR(LEFT($U193,2)="작지",LEFT($U193,4)="소재입고"),IF(LEFT($F193,1)="S","★ 납기위험(S코드)","◆ 지연주의"),IF($U193="정상","✓ 정상","? 확인필요")))</f>
        <v>? 확인필요</v>
      </c>
      <c r="W193" s="27"/>
      <c r="X193" s="32"/>
    </row>
    <row r="194" customFormat="false" ht="15" hidden="false" customHeight="false" outlineLevel="0" collapsed="false">
      <c r="A194" s="24" t="n">
        <v>190</v>
      </c>
      <c r="B194" s="25" t="s">
        <v>175</v>
      </c>
      <c r="C194" s="25" t="s">
        <v>160</v>
      </c>
      <c r="D194" s="26" t="s">
        <v>513</v>
      </c>
      <c r="E194" s="25" t="s">
        <v>514</v>
      </c>
      <c r="F194" s="24" t="str">
        <f aca="false">IF($D194="","",IF(MID($D194,5,1)="S","S(봄)",IF(MID($D194,5,1)="M","M(여름)",IF(MID($D194,5,1)="X","X(사계절)",MID($D194,5,1)))))</f>
        <v>M(여름)</v>
      </c>
      <c r="G194" s="25" t="s">
        <v>62</v>
      </c>
      <c r="H194" s="24"/>
      <c r="I194" s="27" t="s">
        <v>486</v>
      </c>
      <c r="J194" s="28" t="n">
        <f aca="false">IF($I194="","",IFERROR(DATE(IF(VALUE(LEFT($I194,FIND("월",$I194)-1))&gt;=9,기준정보!$C$7-1,기준정보!$C$7),VALUE(LEFT($I194,FIND("월",$I194)-1)),1+7*(VALUE(SUBSTITUTE(MID($I194,FIND("월",$I194)+1,5),"주",""))-1)),""))</f>
        <v>46454</v>
      </c>
      <c r="K194" s="28" t="n">
        <f aca="false">IF($J194="","",$J194-기준정보!$C$5)</f>
        <v>46440</v>
      </c>
      <c r="L194" s="28" t="n">
        <f aca="false">IF($K194="","",$K194-기준정보!$C$6)</f>
        <v>46350</v>
      </c>
      <c r="M194" s="29" t="n">
        <f aca="false">IF($L194="","",$L194-기준정보!$C$4)</f>
        <v>108</v>
      </c>
      <c r="N194" s="27" t="s">
        <v>65</v>
      </c>
      <c r="O194" s="30"/>
      <c r="P194" s="26" t="str">
        <f aca="false">IF($G194="","",IF(AND(ISNUMBER(SEARCH("CMT",$G194)),OR(ISNUMBER(SEARCH("완사입",$G194)),ISNUMBER(SEARCH("ODM",$G194)))),"본사/생산처 혼재",IF(ISNUMBER(SEARCH("CMT",$G194)),"본사(소재팀)","생산처")))</f>
        <v>생산처</v>
      </c>
      <c r="Q194" s="25" t="s">
        <v>210</v>
      </c>
      <c r="R194" s="25" t="s">
        <v>67</v>
      </c>
      <c r="S194" s="31" t="n">
        <v>13500</v>
      </c>
      <c r="T194" s="26"/>
      <c r="U194" s="26" t="str">
        <f aca="false">IF($J194="","출고일 미정",IF($N194="X","작지 미발행",IF($N194="부분","작지 일부 미발행",IF(AND($O194&lt;&gt;"",$O194&gt;$L194),"소재입고 마감("&amp;TEXT($L194,"MM/DD")&amp;") 초과",IF($N194="","발행여부 확인 필요",IF($O194="","소재 입고일정 확인 필요","정상"))))))</f>
        <v>소재 입고일정 확인 필요</v>
      </c>
      <c r="V194" s="24" t="str">
        <f aca="false">IF($J194="","",IF(OR(LEFT($U194,2)="작지",LEFT($U194,4)="소재입고"),IF(LEFT($F194,1)="S","★ 납기위험(S코드)","◆ 지연주의"),IF($U194="정상","✓ 정상","? 확인필요")))</f>
        <v>? 확인필요</v>
      </c>
      <c r="W194" s="27"/>
      <c r="X194" s="32"/>
    </row>
    <row r="195" customFormat="false" ht="15" hidden="false" customHeight="false" outlineLevel="0" collapsed="false">
      <c r="A195" s="24" t="n">
        <v>191</v>
      </c>
      <c r="B195" s="25" t="s">
        <v>175</v>
      </c>
      <c r="C195" s="25" t="s">
        <v>160</v>
      </c>
      <c r="D195" s="26" t="s">
        <v>515</v>
      </c>
      <c r="E195" s="25" t="s">
        <v>516</v>
      </c>
      <c r="F195" s="24" t="str">
        <f aca="false">IF($D195="","",IF(MID($D195,5,1)="S","S(봄)",IF(MID($D195,5,1)="M","M(여름)",IF(MID($D195,5,1)="X","X(사계절)",MID($D195,5,1)))))</f>
        <v>M(여름)</v>
      </c>
      <c r="G195" s="25" t="s">
        <v>62</v>
      </c>
      <c r="H195" s="24"/>
      <c r="I195" s="27" t="s">
        <v>486</v>
      </c>
      <c r="J195" s="28" t="n">
        <f aca="false">IF($I195="","",IFERROR(DATE(IF(VALUE(LEFT($I195,FIND("월",$I195)-1))&gt;=9,기준정보!$C$7-1,기준정보!$C$7),VALUE(LEFT($I195,FIND("월",$I195)-1)),1+7*(VALUE(SUBSTITUTE(MID($I195,FIND("월",$I195)+1,5),"주",""))-1)),""))</f>
        <v>46454</v>
      </c>
      <c r="K195" s="28" t="n">
        <f aca="false">IF($J195="","",$J195-기준정보!$C$5)</f>
        <v>46440</v>
      </c>
      <c r="L195" s="28" t="n">
        <f aca="false">IF($K195="","",$K195-기준정보!$C$6)</f>
        <v>46350</v>
      </c>
      <c r="M195" s="29" t="n">
        <f aca="false">IF($L195="","",$L195-기준정보!$C$4)</f>
        <v>108</v>
      </c>
      <c r="N195" s="27" t="s">
        <v>65</v>
      </c>
      <c r="O195" s="30"/>
      <c r="P195" s="26" t="str">
        <f aca="false">IF($G195="","",IF(AND(ISNUMBER(SEARCH("CMT",$G195)),OR(ISNUMBER(SEARCH("완사입",$G195)),ISNUMBER(SEARCH("ODM",$G195)))),"본사/생산처 혼재",IF(ISNUMBER(SEARCH("CMT",$G195)),"본사(소재팀)","생산처")))</f>
        <v>생산처</v>
      </c>
      <c r="Q195" s="25" t="s">
        <v>70</v>
      </c>
      <c r="R195" s="25" t="s">
        <v>71</v>
      </c>
      <c r="S195" s="31" t="n">
        <v>3200</v>
      </c>
      <c r="T195" s="26"/>
      <c r="U195" s="26" t="str">
        <f aca="false">IF($J195="","출고일 미정",IF($N195="X","작지 미발행",IF($N195="부분","작지 일부 미발행",IF(AND($O195&lt;&gt;"",$O195&gt;$L195),"소재입고 마감("&amp;TEXT($L195,"MM/DD")&amp;") 초과",IF($N195="","발행여부 확인 필요",IF($O195="","소재 입고일정 확인 필요","정상"))))))</f>
        <v>소재 입고일정 확인 필요</v>
      </c>
      <c r="V195" s="24" t="str">
        <f aca="false">IF($J195="","",IF(OR(LEFT($U195,2)="작지",LEFT($U195,4)="소재입고"),IF(LEFT($F195,1)="S","★ 납기위험(S코드)","◆ 지연주의"),IF($U195="정상","✓ 정상","? 확인필요")))</f>
        <v>? 확인필요</v>
      </c>
      <c r="W195" s="27"/>
      <c r="X195" s="32"/>
    </row>
    <row r="196" customFormat="false" ht="15" hidden="false" customHeight="false" outlineLevel="0" collapsed="false">
      <c r="A196" s="24" t="n">
        <v>192</v>
      </c>
      <c r="B196" s="25" t="s">
        <v>178</v>
      </c>
      <c r="C196" s="25" t="s">
        <v>179</v>
      </c>
      <c r="D196" s="26" t="s">
        <v>517</v>
      </c>
      <c r="E196" s="25" t="s">
        <v>518</v>
      </c>
      <c r="F196" s="24" t="str">
        <f aca="false">IF($D196="","",IF(MID($D196,5,1)="S","S(봄)",IF(MID($D196,5,1)="M","M(여름)",IF(MID($D196,5,1)="X","X(사계절)",MID($D196,5,1)))))</f>
        <v>M(여름)</v>
      </c>
      <c r="G196" s="25" t="s">
        <v>62</v>
      </c>
      <c r="H196" s="24" t="s">
        <v>326</v>
      </c>
      <c r="I196" s="27" t="s">
        <v>486</v>
      </c>
      <c r="J196" s="28" t="n">
        <f aca="false">IF($I196="","",IFERROR(DATE(IF(VALUE(LEFT($I196,FIND("월",$I196)-1))&gt;=9,기준정보!$C$7-1,기준정보!$C$7),VALUE(LEFT($I196,FIND("월",$I196)-1)),1+7*(VALUE(SUBSTITUTE(MID($I196,FIND("월",$I196)+1,5),"주",""))-1)),""))</f>
        <v>46454</v>
      </c>
      <c r="K196" s="28" t="n">
        <f aca="false">IF($J196="","",$J196-기준정보!$C$5)</f>
        <v>46440</v>
      </c>
      <c r="L196" s="28" t="n">
        <f aca="false">IF($K196="","",$K196-기준정보!$C$6)</f>
        <v>46350</v>
      </c>
      <c r="M196" s="29" t="n">
        <f aca="false">IF($L196="","",$L196-기준정보!$C$4)</f>
        <v>108</v>
      </c>
      <c r="N196" s="27" t="s">
        <v>65</v>
      </c>
      <c r="O196" s="30"/>
      <c r="P196" s="26" t="str">
        <f aca="false">IF($G196="","",IF(AND(ISNUMBER(SEARCH("CMT",$G196)),OR(ISNUMBER(SEARCH("완사입",$G196)),ISNUMBER(SEARCH("ODM",$G196)))),"본사/생산처 혼재",IF(ISNUMBER(SEARCH("CMT",$G196)),"본사(소재팀)","생산처")))</f>
        <v>생산처</v>
      </c>
      <c r="Q196" s="26" t="s">
        <v>120</v>
      </c>
      <c r="R196" s="25" t="s">
        <v>67</v>
      </c>
      <c r="S196" s="31" t="n">
        <v>1616</v>
      </c>
      <c r="T196" s="26" t="s">
        <v>486</v>
      </c>
      <c r="U196" s="26" t="str">
        <f aca="false">IF($J196="","출고일 미정",IF($N196="X","작지 미발행",IF($N196="부분","작지 일부 미발행",IF(AND($O196&lt;&gt;"",$O196&gt;$L196),"소재입고 마감("&amp;TEXT($L196,"MM/DD")&amp;") 초과",IF($N196="","발행여부 확인 필요",IF($O196="","소재 입고일정 확인 필요","정상"))))))</f>
        <v>소재 입고일정 확인 필요</v>
      </c>
      <c r="V196" s="24" t="str">
        <f aca="false">IF($J196="","",IF(OR(LEFT($U196,2)="작지",LEFT($U196,4)="소재입고"),IF(LEFT($F196,1)="S","★ 납기위험(S코드)","◆ 지연주의"),IF($U196="정상","✓ 정상","? 확인필요")))</f>
        <v>? 확인필요</v>
      </c>
      <c r="W196" s="27"/>
      <c r="X196" s="32"/>
    </row>
    <row r="197" customFormat="false" ht="15" hidden="false" customHeight="false" outlineLevel="0" collapsed="false">
      <c r="A197" s="24" t="n">
        <v>193</v>
      </c>
      <c r="B197" s="25" t="s">
        <v>178</v>
      </c>
      <c r="C197" s="25" t="s">
        <v>179</v>
      </c>
      <c r="D197" s="26" t="s">
        <v>519</v>
      </c>
      <c r="E197" s="25" t="s">
        <v>520</v>
      </c>
      <c r="F197" s="24" t="str">
        <f aca="false">IF($D197="","",IF(MID($D197,5,1)="S","S(봄)",IF(MID($D197,5,1)="M","M(여름)",IF(MID($D197,5,1)="X","X(사계절)",MID($D197,5,1)))))</f>
        <v>M(여름)</v>
      </c>
      <c r="G197" s="25" t="s">
        <v>62</v>
      </c>
      <c r="H197" s="24" t="s">
        <v>326</v>
      </c>
      <c r="I197" s="27" t="s">
        <v>486</v>
      </c>
      <c r="J197" s="28" t="n">
        <f aca="false">IF($I197="","",IFERROR(DATE(IF(VALUE(LEFT($I197,FIND("월",$I197)-1))&gt;=9,기준정보!$C$7-1,기준정보!$C$7),VALUE(LEFT($I197,FIND("월",$I197)-1)),1+7*(VALUE(SUBSTITUTE(MID($I197,FIND("월",$I197)+1,5),"주",""))-1)),""))</f>
        <v>46454</v>
      </c>
      <c r="K197" s="28" t="n">
        <f aca="false">IF($J197="","",$J197-기준정보!$C$5)</f>
        <v>46440</v>
      </c>
      <c r="L197" s="28" t="n">
        <f aca="false">IF($K197="","",$K197-기준정보!$C$6)</f>
        <v>46350</v>
      </c>
      <c r="M197" s="29" t="n">
        <f aca="false">IF($L197="","",$L197-기준정보!$C$4)</f>
        <v>108</v>
      </c>
      <c r="N197" s="27" t="s">
        <v>65</v>
      </c>
      <c r="O197" s="30"/>
      <c r="P197" s="26" t="str">
        <f aca="false">IF($G197="","",IF(AND(ISNUMBER(SEARCH("CMT",$G197)),OR(ISNUMBER(SEARCH("완사입",$G197)),ISNUMBER(SEARCH("ODM",$G197)))),"본사/생산처 혼재",IF(ISNUMBER(SEARCH("CMT",$G197)),"본사(소재팀)","생산처")))</f>
        <v>생산처</v>
      </c>
      <c r="Q197" s="25" t="s">
        <v>204</v>
      </c>
      <c r="R197" s="25" t="s">
        <v>67</v>
      </c>
      <c r="S197" s="31" t="n">
        <v>6500</v>
      </c>
      <c r="T197" s="26" t="s">
        <v>486</v>
      </c>
      <c r="U197" s="26" t="str">
        <f aca="false">IF($J197="","출고일 미정",IF($N197="X","작지 미발행",IF($N197="부분","작지 일부 미발행",IF(AND($O197&lt;&gt;"",$O197&gt;$L197),"소재입고 마감("&amp;TEXT($L197,"MM/DD")&amp;") 초과",IF($N197="","발행여부 확인 필요",IF($O197="","소재 입고일정 확인 필요","정상"))))))</f>
        <v>소재 입고일정 확인 필요</v>
      </c>
      <c r="V197" s="24" t="str">
        <f aca="false">IF($J197="","",IF(OR(LEFT($U197,2)="작지",LEFT($U197,4)="소재입고"),IF(LEFT($F197,1)="S","★ 납기위험(S코드)","◆ 지연주의"),IF($U197="정상","✓ 정상","? 확인필요")))</f>
        <v>? 확인필요</v>
      </c>
      <c r="W197" s="27"/>
      <c r="X197" s="32"/>
    </row>
    <row r="198" customFormat="false" ht="15" hidden="false" customHeight="false" outlineLevel="0" collapsed="false">
      <c r="A198" s="24" t="n">
        <v>194</v>
      </c>
      <c r="B198" s="25" t="s">
        <v>178</v>
      </c>
      <c r="C198" s="25" t="s">
        <v>179</v>
      </c>
      <c r="D198" s="26" t="s">
        <v>521</v>
      </c>
      <c r="E198" s="25" t="s">
        <v>522</v>
      </c>
      <c r="F198" s="24" t="str">
        <f aca="false">IF($D198="","",IF(MID($D198,5,1)="S","S(봄)",IF(MID($D198,5,1)="M","M(여름)",IF(MID($D198,5,1)="X","X(사계절)",MID($D198,5,1)))))</f>
        <v>M(여름)</v>
      </c>
      <c r="G198" s="25" t="s">
        <v>62</v>
      </c>
      <c r="H198" s="24" t="s">
        <v>326</v>
      </c>
      <c r="I198" s="27" t="s">
        <v>486</v>
      </c>
      <c r="J198" s="28" t="n">
        <f aca="false">IF($I198="","",IFERROR(DATE(IF(VALUE(LEFT($I198,FIND("월",$I198)-1))&gt;=9,기준정보!$C$7-1,기준정보!$C$7),VALUE(LEFT($I198,FIND("월",$I198)-1)),1+7*(VALUE(SUBSTITUTE(MID($I198,FIND("월",$I198)+1,5),"주",""))-1)),""))</f>
        <v>46454</v>
      </c>
      <c r="K198" s="28" t="n">
        <f aca="false">IF($J198="","",$J198-기준정보!$C$5)</f>
        <v>46440</v>
      </c>
      <c r="L198" s="28" t="n">
        <f aca="false">IF($K198="","",$K198-기준정보!$C$6)</f>
        <v>46350</v>
      </c>
      <c r="M198" s="29" t="n">
        <f aca="false">IF($L198="","",$L198-기준정보!$C$4)</f>
        <v>108</v>
      </c>
      <c r="N198" s="27" t="s">
        <v>65</v>
      </c>
      <c r="O198" s="30"/>
      <c r="P198" s="26" t="str">
        <f aca="false">IF($G198="","",IF(AND(ISNUMBER(SEARCH("CMT",$G198)),OR(ISNUMBER(SEARCH("완사입",$G198)),ISNUMBER(SEARCH("ODM",$G198)))),"본사/생산처 혼재",IF(ISNUMBER(SEARCH("CMT",$G198)),"본사(소재팀)","생산처")))</f>
        <v>생산처</v>
      </c>
      <c r="Q198" s="26" t="s">
        <v>120</v>
      </c>
      <c r="R198" s="25" t="s">
        <v>67</v>
      </c>
      <c r="S198" s="31" t="n">
        <v>1000</v>
      </c>
      <c r="T198" s="26" t="s">
        <v>486</v>
      </c>
      <c r="U198" s="26" t="str">
        <f aca="false">IF($J198="","출고일 미정",IF($N198="X","작지 미발행",IF($N198="부분","작지 일부 미발행",IF(AND($O198&lt;&gt;"",$O198&gt;$L198),"소재입고 마감("&amp;TEXT($L198,"MM/DD")&amp;") 초과",IF($N198="","발행여부 확인 필요",IF($O198="","소재 입고일정 확인 필요","정상"))))))</f>
        <v>소재 입고일정 확인 필요</v>
      </c>
      <c r="V198" s="24" t="str">
        <f aca="false">IF($J198="","",IF(OR(LEFT($U198,2)="작지",LEFT($U198,4)="소재입고"),IF(LEFT($F198,1)="S","★ 납기위험(S코드)","◆ 지연주의"),IF($U198="정상","✓ 정상","? 확인필요")))</f>
        <v>? 확인필요</v>
      </c>
      <c r="W198" s="27"/>
      <c r="X198" s="32"/>
    </row>
    <row r="199" customFormat="false" ht="15" hidden="false" customHeight="false" outlineLevel="0" collapsed="false">
      <c r="A199" s="24" t="n">
        <v>195</v>
      </c>
      <c r="B199" s="25" t="s">
        <v>178</v>
      </c>
      <c r="C199" s="25" t="s">
        <v>179</v>
      </c>
      <c r="D199" s="26" t="s">
        <v>523</v>
      </c>
      <c r="E199" s="25" t="s">
        <v>524</v>
      </c>
      <c r="F199" s="24" t="str">
        <f aca="false">IF($D199="","",IF(MID($D199,5,1)="S","S(봄)",IF(MID($D199,5,1)="M","M(여름)",IF(MID($D199,5,1)="X","X(사계절)",MID($D199,5,1)))))</f>
        <v>M(여름)</v>
      </c>
      <c r="G199" s="25" t="s">
        <v>62</v>
      </c>
      <c r="H199" s="24" t="s">
        <v>326</v>
      </c>
      <c r="I199" s="27" t="s">
        <v>486</v>
      </c>
      <c r="J199" s="28" t="n">
        <f aca="false">IF($I199="","",IFERROR(DATE(IF(VALUE(LEFT($I199,FIND("월",$I199)-1))&gt;=9,기준정보!$C$7-1,기준정보!$C$7),VALUE(LEFT($I199,FIND("월",$I199)-1)),1+7*(VALUE(SUBSTITUTE(MID($I199,FIND("월",$I199)+1,5),"주",""))-1)),""))</f>
        <v>46454</v>
      </c>
      <c r="K199" s="28" t="n">
        <f aca="false">IF($J199="","",$J199-기준정보!$C$5)</f>
        <v>46440</v>
      </c>
      <c r="L199" s="28" t="n">
        <f aca="false">IF($K199="","",$K199-기준정보!$C$6)</f>
        <v>46350</v>
      </c>
      <c r="M199" s="29" t="n">
        <f aca="false">IF($L199="","",$L199-기준정보!$C$4)</f>
        <v>108</v>
      </c>
      <c r="N199" s="27" t="s">
        <v>65</v>
      </c>
      <c r="O199" s="30"/>
      <c r="P199" s="26" t="str">
        <f aca="false">IF($G199="","",IF(AND(ISNUMBER(SEARCH("CMT",$G199)),OR(ISNUMBER(SEARCH("완사입",$G199)),ISNUMBER(SEARCH("ODM",$G199)))),"본사/생산처 혼재",IF(ISNUMBER(SEARCH("CMT",$G199)),"본사(소재팀)","생산처")))</f>
        <v>생산처</v>
      </c>
      <c r="Q199" s="26" t="s">
        <v>120</v>
      </c>
      <c r="R199" s="25" t="s">
        <v>67</v>
      </c>
      <c r="S199" s="31" t="n">
        <v>2000</v>
      </c>
      <c r="T199" s="26" t="s">
        <v>486</v>
      </c>
      <c r="U199" s="26" t="str">
        <f aca="false">IF($J199="","출고일 미정",IF($N199="X","작지 미발행",IF($N199="부분","작지 일부 미발행",IF(AND($O199&lt;&gt;"",$O199&gt;$L199),"소재입고 마감("&amp;TEXT($L199,"MM/DD")&amp;") 초과",IF($N199="","발행여부 확인 필요",IF($O199="","소재 입고일정 확인 필요","정상"))))))</f>
        <v>소재 입고일정 확인 필요</v>
      </c>
      <c r="V199" s="24" t="str">
        <f aca="false">IF($J199="","",IF(OR(LEFT($U199,2)="작지",LEFT($U199,4)="소재입고"),IF(LEFT($F199,1)="S","★ 납기위험(S코드)","◆ 지연주의"),IF($U199="정상","✓ 정상","? 확인필요")))</f>
        <v>? 확인필요</v>
      </c>
      <c r="W199" s="27"/>
      <c r="X199" s="32"/>
    </row>
    <row r="200" customFormat="false" ht="15" hidden="false" customHeight="false" outlineLevel="0" collapsed="false">
      <c r="A200" s="24" t="n">
        <v>196</v>
      </c>
      <c r="B200" s="25" t="s">
        <v>178</v>
      </c>
      <c r="C200" s="25" t="s">
        <v>179</v>
      </c>
      <c r="D200" s="26" t="s">
        <v>525</v>
      </c>
      <c r="E200" s="25" t="s">
        <v>526</v>
      </c>
      <c r="F200" s="24" t="str">
        <f aca="false">IF($D200="","",IF(MID($D200,5,1)="S","S(봄)",IF(MID($D200,5,1)="M","M(여름)",IF(MID($D200,5,1)="X","X(사계절)",MID($D200,5,1)))))</f>
        <v>M(여름)</v>
      </c>
      <c r="G200" s="25" t="s">
        <v>62</v>
      </c>
      <c r="H200" s="24" t="s">
        <v>326</v>
      </c>
      <c r="I200" s="27" t="s">
        <v>486</v>
      </c>
      <c r="J200" s="28" t="n">
        <f aca="false">IF($I200="","",IFERROR(DATE(IF(VALUE(LEFT($I200,FIND("월",$I200)-1))&gt;=9,기준정보!$C$7-1,기준정보!$C$7),VALUE(LEFT($I200,FIND("월",$I200)-1)),1+7*(VALUE(SUBSTITUTE(MID($I200,FIND("월",$I200)+1,5),"주",""))-1)),""))</f>
        <v>46454</v>
      </c>
      <c r="K200" s="28" t="n">
        <f aca="false">IF($J200="","",$J200-기준정보!$C$5)</f>
        <v>46440</v>
      </c>
      <c r="L200" s="28" t="n">
        <f aca="false">IF($K200="","",$K200-기준정보!$C$6)</f>
        <v>46350</v>
      </c>
      <c r="M200" s="29" t="n">
        <f aca="false">IF($L200="","",$L200-기준정보!$C$4)</f>
        <v>108</v>
      </c>
      <c r="N200" s="27" t="s">
        <v>65</v>
      </c>
      <c r="O200" s="30"/>
      <c r="P200" s="26" t="str">
        <f aca="false">IF($G200="","",IF(AND(ISNUMBER(SEARCH("CMT",$G200)),OR(ISNUMBER(SEARCH("완사입",$G200)),ISNUMBER(SEARCH("ODM",$G200)))),"본사/생산처 혼재",IF(ISNUMBER(SEARCH("CMT",$G200)),"본사(소재팀)","생산처")))</f>
        <v>생산처</v>
      </c>
      <c r="Q200" s="26" t="s">
        <v>187</v>
      </c>
      <c r="R200" s="25" t="s">
        <v>67</v>
      </c>
      <c r="S200" s="31" t="n">
        <v>9012</v>
      </c>
      <c r="T200" s="26" t="s">
        <v>486</v>
      </c>
      <c r="U200" s="26" t="str">
        <f aca="false">IF($J200="","출고일 미정",IF($N200="X","작지 미발행",IF($N200="부분","작지 일부 미발행",IF(AND($O200&lt;&gt;"",$O200&gt;$L200),"소재입고 마감("&amp;TEXT($L200,"MM/DD")&amp;") 초과",IF($N200="","발행여부 확인 필요",IF($O200="","소재 입고일정 확인 필요","정상"))))))</f>
        <v>소재 입고일정 확인 필요</v>
      </c>
      <c r="V200" s="24" t="str">
        <f aca="false">IF($J200="","",IF(OR(LEFT($U200,2)="작지",LEFT($U200,4)="소재입고"),IF(LEFT($F200,1)="S","★ 납기위험(S코드)","◆ 지연주의"),IF($U200="정상","✓ 정상","? 확인필요")))</f>
        <v>? 확인필요</v>
      </c>
      <c r="W200" s="27"/>
      <c r="X200" s="32"/>
    </row>
    <row r="201" customFormat="false" ht="15" hidden="false" customHeight="false" outlineLevel="0" collapsed="false">
      <c r="A201" s="24" t="n">
        <v>197</v>
      </c>
      <c r="B201" s="25" t="s">
        <v>178</v>
      </c>
      <c r="C201" s="25" t="s">
        <v>179</v>
      </c>
      <c r="D201" s="26" t="s">
        <v>527</v>
      </c>
      <c r="E201" s="25" t="s">
        <v>528</v>
      </c>
      <c r="F201" s="24" t="str">
        <f aca="false">IF($D201="","",IF(MID($D201,5,1)="S","S(봄)",IF(MID($D201,5,1)="M","M(여름)",IF(MID($D201,5,1)="X","X(사계절)",MID($D201,5,1)))))</f>
        <v>M(여름)</v>
      </c>
      <c r="G201" s="25" t="s">
        <v>62</v>
      </c>
      <c r="H201" s="24" t="s">
        <v>326</v>
      </c>
      <c r="I201" s="27" t="s">
        <v>486</v>
      </c>
      <c r="J201" s="28" t="n">
        <f aca="false">IF($I201="","",IFERROR(DATE(IF(VALUE(LEFT($I201,FIND("월",$I201)-1))&gt;=9,기준정보!$C$7-1,기준정보!$C$7),VALUE(LEFT($I201,FIND("월",$I201)-1)),1+7*(VALUE(SUBSTITUTE(MID($I201,FIND("월",$I201)+1,5),"주",""))-1)),""))</f>
        <v>46454</v>
      </c>
      <c r="K201" s="28" t="n">
        <f aca="false">IF($J201="","",$J201-기준정보!$C$5)</f>
        <v>46440</v>
      </c>
      <c r="L201" s="28" t="n">
        <f aca="false">IF($K201="","",$K201-기준정보!$C$6)</f>
        <v>46350</v>
      </c>
      <c r="M201" s="29" t="n">
        <f aca="false">IF($L201="","",$L201-기준정보!$C$4)</f>
        <v>108</v>
      </c>
      <c r="N201" s="27" t="s">
        <v>65</v>
      </c>
      <c r="O201" s="30"/>
      <c r="P201" s="26" t="str">
        <f aca="false">IF($G201="","",IF(AND(ISNUMBER(SEARCH("CMT",$G201)),OR(ISNUMBER(SEARCH("완사입",$G201)),ISNUMBER(SEARCH("ODM",$G201)))),"본사/생산처 혼재",IF(ISNUMBER(SEARCH("CMT",$G201)),"본사(소재팀)","생산처")))</f>
        <v>생산처</v>
      </c>
      <c r="Q201" s="26" t="s">
        <v>187</v>
      </c>
      <c r="R201" s="25" t="s">
        <v>67</v>
      </c>
      <c r="S201" s="31" t="n">
        <v>1800</v>
      </c>
      <c r="T201" s="26" t="s">
        <v>486</v>
      </c>
      <c r="U201" s="26" t="str">
        <f aca="false">IF($J201="","출고일 미정",IF($N201="X","작지 미발행",IF($N201="부분","작지 일부 미발행",IF(AND($O201&lt;&gt;"",$O201&gt;$L201),"소재입고 마감("&amp;TEXT($L201,"MM/DD")&amp;") 초과",IF($N201="","발행여부 확인 필요",IF($O201="","소재 입고일정 확인 필요","정상"))))))</f>
        <v>소재 입고일정 확인 필요</v>
      </c>
      <c r="V201" s="24" t="str">
        <f aca="false">IF($J201="","",IF(OR(LEFT($U201,2)="작지",LEFT($U201,4)="소재입고"),IF(LEFT($F201,1)="S","★ 납기위험(S코드)","◆ 지연주의"),IF($U201="정상","✓ 정상","? 확인필요")))</f>
        <v>? 확인필요</v>
      </c>
      <c r="W201" s="27"/>
      <c r="X201" s="32"/>
    </row>
    <row r="202" customFormat="false" ht="15" hidden="false" customHeight="false" outlineLevel="0" collapsed="false">
      <c r="A202" s="24" t="n">
        <v>198</v>
      </c>
      <c r="B202" s="25" t="s">
        <v>178</v>
      </c>
      <c r="C202" s="25" t="s">
        <v>179</v>
      </c>
      <c r="D202" s="26" t="s">
        <v>529</v>
      </c>
      <c r="E202" s="25" t="s">
        <v>530</v>
      </c>
      <c r="F202" s="24" t="str">
        <f aca="false">IF($D202="","",IF(MID($D202,5,1)="S","S(봄)",IF(MID($D202,5,1)="M","M(여름)",IF(MID($D202,5,1)="X","X(사계절)",MID($D202,5,1)))))</f>
        <v>M(여름)</v>
      </c>
      <c r="G202" s="25" t="s">
        <v>62</v>
      </c>
      <c r="H202" s="24" t="s">
        <v>326</v>
      </c>
      <c r="I202" s="27" t="s">
        <v>486</v>
      </c>
      <c r="J202" s="28" t="n">
        <f aca="false">IF($I202="","",IFERROR(DATE(IF(VALUE(LEFT($I202,FIND("월",$I202)-1))&gt;=9,기준정보!$C$7-1,기준정보!$C$7),VALUE(LEFT($I202,FIND("월",$I202)-1)),1+7*(VALUE(SUBSTITUTE(MID($I202,FIND("월",$I202)+1,5),"주",""))-1)),""))</f>
        <v>46454</v>
      </c>
      <c r="K202" s="28" t="n">
        <f aca="false">IF($J202="","",$J202-기준정보!$C$5)</f>
        <v>46440</v>
      </c>
      <c r="L202" s="28" t="n">
        <f aca="false">IF($K202="","",$K202-기준정보!$C$6)</f>
        <v>46350</v>
      </c>
      <c r="M202" s="29" t="n">
        <f aca="false">IF($L202="","",$L202-기준정보!$C$4)</f>
        <v>108</v>
      </c>
      <c r="N202" s="27" t="s">
        <v>65</v>
      </c>
      <c r="O202" s="30"/>
      <c r="P202" s="26" t="str">
        <f aca="false">IF($G202="","",IF(AND(ISNUMBER(SEARCH("CMT",$G202)),OR(ISNUMBER(SEARCH("완사입",$G202)),ISNUMBER(SEARCH("ODM",$G202)))),"본사/생산처 혼재",IF(ISNUMBER(SEARCH("CMT",$G202)),"본사(소재팀)","생산처")))</f>
        <v>생산처</v>
      </c>
      <c r="Q202" s="25" t="s">
        <v>190</v>
      </c>
      <c r="R202" s="25" t="s">
        <v>67</v>
      </c>
      <c r="S202" s="31" t="n">
        <v>1400</v>
      </c>
      <c r="T202" s="26"/>
      <c r="U202" s="26" t="str">
        <f aca="false">IF($J202="","출고일 미정",IF($N202="X","작지 미발행",IF($N202="부분","작지 일부 미발행",IF(AND($O202&lt;&gt;"",$O202&gt;$L202),"소재입고 마감("&amp;TEXT($L202,"MM/DD")&amp;") 초과",IF($N202="","발행여부 확인 필요",IF($O202="","소재 입고일정 확인 필요","정상"))))))</f>
        <v>소재 입고일정 확인 필요</v>
      </c>
      <c r="V202" s="24" t="str">
        <f aca="false">IF($J202="","",IF(OR(LEFT($U202,2)="작지",LEFT($U202,4)="소재입고"),IF(LEFT($F202,1)="S","★ 납기위험(S코드)","◆ 지연주의"),IF($U202="정상","✓ 정상","? 확인필요")))</f>
        <v>? 확인필요</v>
      </c>
      <c r="W202" s="27"/>
      <c r="X202" s="32"/>
    </row>
    <row r="203" customFormat="false" ht="15" hidden="false" customHeight="false" outlineLevel="0" collapsed="false">
      <c r="A203" s="24" t="n">
        <v>199</v>
      </c>
      <c r="B203" s="25" t="s">
        <v>175</v>
      </c>
      <c r="C203" s="25" t="s">
        <v>179</v>
      </c>
      <c r="D203" s="26" t="s">
        <v>531</v>
      </c>
      <c r="E203" s="25" t="s">
        <v>532</v>
      </c>
      <c r="F203" s="24" t="str">
        <f aca="false">IF($D203="","",IF(MID($D203,5,1)="S","S(봄)",IF(MID($D203,5,1)="M","M(여름)",IF(MID($D203,5,1)="X","X(사계절)",MID($D203,5,1)))))</f>
        <v>M(여름)</v>
      </c>
      <c r="G203" s="25" t="s">
        <v>62</v>
      </c>
      <c r="H203" s="24"/>
      <c r="I203" s="27" t="s">
        <v>486</v>
      </c>
      <c r="J203" s="28" t="n">
        <f aca="false">IF($I203="","",IFERROR(DATE(IF(VALUE(LEFT($I203,FIND("월",$I203)-1))&gt;=9,기준정보!$C$7-1,기준정보!$C$7),VALUE(LEFT($I203,FIND("월",$I203)-1)),1+7*(VALUE(SUBSTITUTE(MID($I203,FIND("월",$I203)+1,5),"주",""))-1)),""))</f>
        <v>46454</v>
      </c>
      <c r="K203" s="28" t="n">
        <f aca="false">IF($J203="","",$J203-기준정보!$C$5)</f>
        <v>46440</v>
      </c>
      <c r="L203" s="28" t="n">
        <f aca="false">IF($K203="","",$K203-기준정보!$C$6)</f>
        <v>46350</v>
      </c>
      <c r="M203" s="29" t="n">
        <f aca="false">IF($L203="","",$L203-기준정보!$C$4)</f>
        <v>108</v>
      </c>
      <c r="N203" s="27" t="s">
        <v>65</v>
      </c>
      <c r="O203" s="30"/>
      <c r="P203" s="26" t="str">
        <f aca="false">IF($G203="","",IF(AND(ISNUMBER(SEARCH("CMT",$G203)),OR(ISNUMBER(SEARCH("완사입",$G203)),ISNUMBER(SEARCH("ODM",$G203)))),"본사/생산처 혼재",IF(ISNUMBER(SEARCH("CMT",$G203)),"본사(소재팀)","생산처")))</f>
        <v>생산처</v>
      </c>
      <c r="Q203" s="25" t="s">
        <v>84</v>
      </c>
      <c r="R203" s="25" t="s">
        <v>67</v>
      </c>
      <c r="S203" s="31" t="n">
        <v>6000</v>
      </c>
      <c r="T203" s="26"/>
      <c r="U203" s="26" t="str">
        <f aca="false">IF($J203="","출고일 미정",IF($N203="X","작지 미발행",IF($N203="부분","작지 일부 미발행",IF(AND($O203&lt;&gt;"",$O203&gt;$L203),"소재입고 마감("&amp;TEXT($L203,"MM/DD")&amp;") 초과",IF($N203="","발행여부 확인 필요",IF($O203="","소재 입고일정 확인 필요","정상"))))))</f>
        <v>소재 입고일정 확인 필요</v>
      </c>
      <c r="V203" s="24" t="str">
        <f aca="false">IF($J203="","",IF(OR(LEFT($U203,2)="작지",LEFT($U203,4)="소재입고"),IF(LEFT($F203,1)="S","★ 납기위험(S코드)","◆ 지연주의"),IF($U203="정상","✓ 정상","? 확인필요")))</f>
        <v>? 확인필요</v>
      </c>
      <c r="W203" s="27"/>
      <c r="X203" s="32"/>
    </row>
    <row r="204" customFormat="false" ht="15" hidden="false" customHeight="false" outlineLevel="0" collapsed="false">
      <c r="A204" s="24" t="n">
        <v>200</v>
      </c>
      <c r="B204" s="25" t="s">
        <v>175</v>
      </c>
      <c r="C204" s="25" t="s">
        <v>179</v>
      </c>
      <c r="D204" s="26" t="s">
        <v>533</v>
      </c>
      <c r="E204" s="25" t="s">
        <v>534</v>
      </c>
      <c r="F204" s="24" t="str">
        <f aca="false">IF($D204="","",IF(MID($D204,5,1)="S","S(봄)",IF(MID($D204,5,1)="M","M(여름)",IF(MID($D204,5,1)="X","X(사계절)",MID($D204,5,1)))))</f>
        <v>M(여름)</v>
      </c>
      <c r="G204" s="25" t="s">
        <v>62</v>
      </c>
      <c r="H204" s="24"/>
      <c r="I204" s="27" t="s">
        <v>486</v>
      </c>
      <c r="J204" s="28" t="n">
        <f aca="false">IF($I204="","",IFERROR(DATE(IF(VALUE(LEFT($I204,FIND("월",$I204)-1))&gt;=9,기준정보!$C$7-1,기준정보!$C$7),VALUE(LEFT($I204,FIND("월",$I204)-1)),1+7*(VALUE(SUBSTITUTE(MID($I204,FIND("월",$I204)+1,5),"주",""))-1)),""))</f>
        <v>46454</v>
      </c>
      <c r="K204" s="28" t="n">
        <f aca="false">IF($J204="","",$J204-기준정보!$C$5)</f>
        <v>46440</v>
      </c>
      <c r="L204" s="28" t="n">
        <f aca="false">IF($K204="","",$K204-기준정보!$C$6)</f>
        <v>46350</v>
      </c>
      <c r="M204" s="29" t="n">
        <f aca="false">IF($L204="","",$L204-기준정보!$C$4)</f>
        <v>108</v>
      </c>
      <c r="N204" s="27" t="s">
        <v>65</v>
      </c>
      <c r="O204" s="30"/>
      <c r="P204" s="26" t="str">
        <f aca="false">IF($G204="","",IF(AND(ISNUMBER(SEARCH("CMT",$G204)),OR(ISNUMBER(SEARCH("완사입",$G204)),ISNUMBER(SEARCH("ODM",$G204)))),"본사/생산처 혼재",IF(ISNUMBER(SEARCH("CMT",$G204)),"본사(소재팀)","생산처")))</f>
        <v>생산처</v>
      </c>
      <c r="Q204" s="25" t="s">
        <v>245</v>
      </c>
      <c r="R204" s="25" t="s">
        <v>67</v>
      </c>
      <c r="S204" s="31" t="n">
        <v>1400</v>
      </c>
      <c r="T204" s="26"/>
      <c r="U204" s="26" t="str">
        <f aca="false">IF($J204="","출고일 미정",IF($N204="X","작지 미발행",IF($N204="부분","작지 일부 미발행",IF(AND($O204&lt;&gt;"",$O204&gt;$L204),"소재입고 마감("&amp;TEXT($L204,"MM/DD")&amp;") 초과",IF($N204="","발행여부 확인 필요",IF($O204="","소재 입고일정 확인 필요","정상"))))))</f>
        <v>소재 입고일정 확인 필요</v>
      </c>
      <c r="V204" s="24" t="str">
        <f aca="false">IF($J204="","",IF(OR(LEFT($U204,2)="작지",LEFT($U204,4)="소재입고"),IF(LEFT($F204,1)="S","★ 납기위험(S코드)","◆ 지연주의"),IF($U204="정상","✓ 정상","? 확인필요")))</f>
        <v>? 확인필요</v>
      </c>
      <c r="W204" s="27"/>
      <c r="X204" s="32"/>
    </row>
    <row r="205" customFormat="false" ht="15" hidden="false" customHeight="false" outlineLevel="0" collapsed="false">
      <c r="A205" s="24" t="n">
        <v>201</v>
      </c>
      <c r="B205" s="25" t="s">
        <v>175</v>
      </c>
      <c r="C205" s="25" t="s">
        <v>179</v>
      </c>
      <c r="D205" s="26" t="s">
        <v>535</v>
      </c>
      <c r="E205" s="25" t="s">
        <v>536</v>
      </c>
      <c r="F205" s="24" t="str">
        <f aca="false">IF($D205="","",IF(MID($D205,5,1)="S","S(봄)",IF(MID($D205,5,1)="M","M(여름)",IF(MID($D205,5,1)="X","X(사계절)",MID($D205,5,1)))))</f>
        <v>M(여름)</v>
      </c>
      <c r="G205" s="25" t="s">
        <v>62</v>
      </c>
      <c r="H205" s="24"/>
      <c r="I205" s="27" t="s">
        <v>486</v>
      </c>
      <c r="J205" s="28" t="n">
        <f aca="false">IF($I205="","",IFERROR(DATE(IF(VALUE(LEFT($I205,FIND("월",$I205)-1))&gt;=9,기준정보!$C$7-1,기준정보!$C$7),VALUE(LEFT($I205,FIND("월",$I205)-1)),1+7*(VALUE(SUBSTITUTE(MID($I205,FIND("월",$I205)+1,5),"주",""))-1)),""))</f>
        <v>46454</v>
      </c>
      <c r="K205" s="28" t="n">
        <f aca="false">IF($J205="","",$J205-기준정보!$C$5)</f>
        <v>46440</v>
      </c>
      <c r="L205" s="28" t="n">
        <f aca="false">IF($K205="","",$K205-기준정보!$C$6)</f>
        <v>46350</v>
      </c>
      <c r="M205" s="29" t="n">
        <f aca="false">IF($L205="","",$L205-기준정보!$C$4)</f>
        <v>108</v>
      </c>
      <c r="N205" s="27" t="s">
        <v>65</v>
      </c>
      <c r="O205" s="30"/>
      <c r="P205" s="26" t="str">
        <f aca="false">IF($G205="","",IF(AND(ISNUMBER(SEARCH("CMT",$G205)),OR(ISNUMBER(SEARCH("완사입",$G205)),ISNUMBER(SEARCH("ODM",$G205)))),"본사/생산처 혼재",IF(ISNUMBER(SEARCH("CMT",$G205)),"본사(소재팀)","생산처")))</f>
        <v>생산처</v>
      </c>
      <c r="Q205" s="25" t="s">
        <v>84</v>
      </c>
      <c r="R205" s="25" t="s">
        <v>67</v>
      </c>
      <c r="S205" s="31" t="n">
        <v>15000</v>
      </c>
      <c r="T205" s="26" t="s">
        <v>383</v>
      </c>
      <c r="U205" s="26" t="str">
        <f aca="false">IF($J205="","출고일 미정",IF($N205="X","작지 미발행",IF($N205="부분","작지 일부 미발행",IF(AND($O205&lt;&gt;"",$O205&gt;$L205),"소재입고 마감("&amp;TEXT($L205,"MM/DD")&amp;") 초과",IF($N205="","발행여부 확인 필요",IF($O205="","소재 입고일정 확인 필요","정상"))))))</f>
        <v>소재 입고일정 확인 필요</v>
      </c>
      <c r="V205" s="24" t="str">
        <f aca="false">IF($J205="","",IF(OR(LEFT($U205,2)="작지",LEFT($U205,4)="소재입고"),IF(LEFT($F205,1)="S","★ 납기위험(S코드)","◆ 지연주의"),IF($U205="정상","✓ 정상","? 확인필요")))</f>
        <v>? 확인필요</v>
      </c>
      <c r="W205" s="27"/>
      <c r="X205" s="32"/>
    </row>
    <row r="206" customFormat="false" ht="15" hidden="false" customHeight="false" outlineLevel="0" collapsed="false">
      <c r="A206" s="24" t="n">
        <v>202</v>
      </c>
      <c r="B206" s="25" t="s">
        <v>175</v>
      </c>
      <c r="C206" s="25" t="s">
        <v>179</v>
      </c>
      <c r="D206" s="26" t="s">
        <v>537</v>
      </c>
      <c r="E206" s="25" t="s">
        <v>538</v>
      </c>
      <c r="F206" s="24" t="str">
        <f aca="false">IF($D206="","",IF(MID($D206,5,1)="S","S(봄)",IF(MID($D206,5,1)="M","M(여름)",IF(MID($D206,5,1)="X","X(사계절)",MID($D206,5,1)))))</f>
        <v>M(여름)</v>
      </c>
      <c r="G206" s="25" t="s">
        <v>62</v>
      </c>
      <c r="H206" s="24"/>
      <c r="I206" s="27" t="s">
        <v>486</v>
      </c>
      <c r="J206" s="28" t="n">
        <f aca="false">IF($I206="","",IFERROR(DATE(IF(VALUE(LEFT($I206,FIND("월",$I206)-1))&gt;=9,기준정보!$C$7-1,기준정보!$C$7),VALUE(LEFT($I206,FIND("월",$I206)-1)),1+7*(VALUE(SUBSTITUTE(MID($I206,FIND("월",$I206)+1,5),"주",""))-1)),""))</f>
        <v>46454</v>
      </c>
      <c r="K206" s="28" t="n">
        <f aca="false">IF($J206="","",$J206-기준정보!$C$5)</f>
        <v>46440</v>
      </c>
      <c r="L206" s="28" t="n">
        <f aca="false">IF($K206="","",$K206-기준정보!$C$6)</f>
        <v>46350</v>
      </c>
      <c r="M206" s="29" t="n">
        <f aca="false">IF($L206="","",$L206-기준정보!$C$4)</f>
        <v>108</v>
      </c>
      <c r="N206" s="27" t="s">
        <v>65</v>
      </c>
      <c r="O206" s="30"/>
      <c r="P206" s="26" t="str">
        <f aca="false">IF($G206="","",IF(AND(ISNUMBER(SEARCH("CMT",$G206)),OR(ISNUMBER(SEARCH("완사입",$G206)),ISNUMBER(SEARCH("ODM",$G206)))),"본사/생산처 혼재",IF(ISNUMBER(SEARCH("CMT",$G206)),"본사(소재팀)","생산처")))</f>
        <v>생산처</v>
      </c>
      <c r="Q206" s="26" t="s">
        <v>104</v>
      </c>
      <c r="R206" s="25" t="s">
        <v>67</v>
      </c>
      <c r="S206" s="31" t="n">
        <v>23000</v>
      </c>
      <c r="T206" s="26" t="s">
        <v>383</v>
      </c>
      <c r="U206" s="26" t="str">
        <f aca="false">IF($J206="","출고일 미정",IF($N206="X","작지 미발행",IF($N206="부분","작지 일부 미발행",IF(AND($O206&lt;&gt;"",$O206&gt;$L206),"소재입고 마감("&amp;TEXT($L206,"MM/DD")&amp;") 초과",IF($N206="","발행여부 확인 필요",IF($O206="","소재 입고일정 확인 필요","정상"))))))</f>
        <v>소재 입고일정 확인 필요</v>
      </c>
      <c r="V206" s="24" t="str">
        <f aca="false">IF($J206="","",IF(OR(LEFT($U206,2)="작지",LEFT($U206,4)="소재입고"),IF(LEFT($F206,1)="S","★ 납기위험(S코드)","◆ 지연주의"),IF($U206="정상","✓ 정상","? 확인필요")))</f>
        <v>? 확인필요</v>
      </c>
      <c r="W206" s="27"/>
      <c r="X206" s="32"/>
    </row>
    <row r="207" customFormat="false" ht="15" hidden="false" customHeight="false" outlineLevel="0" collapsed="false">
      <c r="A207" s="24" t="n">
        <v>203</v>
      </c>
      <c r="B207" s="25" t="s">
        <v>175</v>
      </c>
      <c r="C207" s="25" t="s">
        <v>179</v>
      </c>
      <c r="D207" s="26" t="s">
        <v>539</v>
      </c>
      <c r="E207" s="25" t="s">
        <v>540</v>
      </c>
      <c r="F207" s="24" t="str">
        <f aca="false">IF($D207="","",IF(MID($D207,5,1)="S","S(봄)",IF(MID($D207,5,1)="M","M(여름)",IF(MID($D207,5,1)="X","X(사계절)",MID($D207,5,1)))))</f>
        <v>M(여름)</v>
      </c>
      <c r="G207" s="26" t="s">
        <v>167</v>
      </c>
      <c r="H207" s="24"/>
      <c r="I207" s="27" t="s">
        <v>486</v>
      </c>
      <c r="J207" s="28" t="n">
        <f aca="false">IF($I207="","",IFERROR(DATE(IF(VALUE(LEFT($I207,FIND("월",$I207)-1))&gt;=9,기준정보!$C$7-1,기준정보!$C$7),VALUE(LEFT($I207,FIND("월",$I207)-1)),1+7*(VALUE(SUBSTITUTE(MID($I207,FIND("월",$I207)+1,5),"주",""))-1)),""))</f>
        <v>46454</v>
      </c>
      <c r="K207" s="28" t="n">
        <f aca="false">IF($J207="","",$J207-기준정보!$C$5)</f>
        <v>46440</v>
      </c>
      <c r="L207" s="28" t="n">
        <f aca="false">IF($K207="","",$K207-기준정보!$C$6)</f>
        <v>46350</v>
      </c>
      <c r="M207" s="29" t="n">
        <f aca="false">IF($L207="","",$L207-기준정보!$C$4)</f>
        <v>108</v>
      </c>
      <c r="N207" s="27" t="s">
        <v>65</v>
      </c>
      <c r="O207" s="30"/>
      <c r="P207" s="26" t="str">
        <f aca="false">IF($G207="","",IF(AND(ISNUMBER(SEARCH("CMT",$G207)),OR(ISNUMBER(SEARCH("완사입",$G207)),ISNUMBER(SEARCH("ODM",$G207)))),"본사/생산처 혼재",IF(ISNUMBER(SEARCH("CMT",$G207)),"본사(소재팀)","생산처")))</f>
        <v>본사(소재팀)</v>
      </c>
      <c r="Q207" s="25" t="s">
        <v>210</v>
      </c>
      <c r="R207" s="25" t="s">
        <v>67</v>
      </c>
      <c r="S207" s="31" t="n">
        <v>7000</v>
      </c>
      <c r="T207" s="26"/>
      <c r="U207" s="26" t="str">
        <f aca="false">IF($J207="","출고일 미정",IF($N207="X","작지 미발행",IF($N207="부분","작지 일부 미발행",IF(AND($O207&lt;&gt;"",$O207&gt;$L207),"소재입고 마감("&amp;TEXT($L207,"MM/DD")&amp;") 초과",IF($N207="","발행여부 확인 필요",IF($O207="","소재 입고일정 확인 필요","정상"))))))</f>
        <v>소재 입고일정 확인 필요</v>
      </c>
      <c r="V207" s="24" t="str">
        <f aca="false">IF($J207="","",IF(OR(LEFT($U207,2)="작지",LEFT($U207,4)="소재입고"),IF(LEFT($F207,1)="S","★ 납기위험(S코드)","◆ 지연주의"),IF($U207="정상","✓ 정상","? 확인필요")))</f>
        <v>? 확인필요</v>
      </c>
      <c r="W207" s="27"/>
      <c r="X207" s="32"/>
    </row>
    <row r="208" customFormat="false" ht="15" hidden="false" customHeight="false" outlineLevel="0" collapsed="false">
      <c r="A208" s="24" t="n">
        <v>204</v>
      </c>
      <c r="B208" s="25" t="s">
        <v>541</v>
      </c>
      <c r="C208" s="25" t="s">
        <v>542</v>
      </c>
      <c r="D208" s="26" t="s">
        <v>543</v>
      </c>
      <c r="E208" s="25" t="s">
        <v>544</v>
      </c>
      <c r="F208" s="24" t="str">
        <f aca="false">IF($D208="","",IF(MID($D208,5,1)="S","S(봄)",IF(MID($D208,5,1)="M","M(여름)",IF(MID($D208,5,1)="X","X(사계절)",MID($D208,5,1)))))</f>
        <v>M(여름)</v>
      </c>
      <c r="G208" s="25" t="s">
        <v>62</v>
      </c>
      <c r="H208" s="24" t="s">
        <v>326</v>
      </c>
      <c r="I208" s="27" t="s">
        <v>486</v>
      </c>
      <c r="J208" s="28" t="n">
        <f aca="false">IF($I208="","",IFERROR(DATE(IF(VALUE(LEFT($I208,FIND("월",$I208)-1))&gt;=9,기준정보!$C$7-1,기준정보!$C$7),VALUE(LEFT($I208,FIND("월",$I208)-1)),1+7*(VALUE(SUBSTITUTE(MID($I208,FIND("월",$I208)+1,5),"주",""))-1)),""))</f>
        <v>46454</v>
      </c>
      <c r="K208" s="28" t="n">
        <f aca="false">IF($J208="","",$J208-기준정보!$C$5)</f>
        <v>46440</v>
      </c>
      <c r="L208" s="28" t="n">
        <f aca="false">IF($K208="","",$K208-기준정보!$C$6)</f>
        <v>46350</v>
      </c>
      <c r="M208" s="29" t="n">
        <f aca="false">IF($L208="","",$L208-기준정보!$C$4)</f>
        <v>108</v>
      </c>
      <c r="N208" s="27" t="s">
        <v>119</v>
      </c>
      <c r="O208" s="30"/>
      <c r="P208" s="26" t="str">
        <f aca="false">IF($G208="","",IF(AND(ISNUMBER(SEARCH("CMT",$G208)),OR(ISNUMBER(SEARCH("완사입",$G208)),ISNUMBER(SEARCH("ODM",$G208)))),"본사/생산처 혼재",IF(ISNUMBER(SEARCH("CMT",$G208)),"본사(소재팀)","생산처")))</f>
        <v>생산처</v>
      </c>
      <c r="Q208" s="25" t="s">
        <v>545</v>
      </c>
      <c r="R208" s="25" t="s">
        <v>134</v>
      </c>
      <c r="S208" s="31" t="n">
        <v>3000</v>
      </c>
      <c r="T208" s="26"/>
      <c r="U208" s="26" t="str">
        <f aca="false">IF($J208="","출고일 미정",IF($N208="X","작지 미발행",IF($N208="부분","작지 일부 미발행",IF(AND($O208&lt;&gt;"",$O208&gt;$L208),"소재입고 마감("&amp;TEXT($L208,"MM/DD")&amp;") 초과",IF($N208="","발행여부 확인 필요",IF($O208="","소재 입고일정 확인 필요","정상"))))))</f>
        <v>작지 미발행</v>
      </c>
      <c r="V208" s="24" t="str">
        <f aca="false">IF($J208="","",IF(OR(LEFT($U208,2)="작지",LEFT($U208,4)="소재입고"),IF(LEFT($F208,1)="S","★ 납기위험(S코드)","◆ 지연주의"),IF($U208="정상","✓ 정상","? 확인필요")))</f>
        <v>◆ 지연주의</v>
      </c>
      <c r="W208" s="27"/>
      <c r="X208" s="32"/>
    </row>
    <row r="209" customFormat="false" ht="15" hidden="false" customHeight="false" outlineLevel="0" collapsed="false">
      <c r="A209" s="24" t="n">
        <v>205</v>
      </c>
      <c r="B209" s="25" t="s">
        <v>541</v>
      </c>
      <c r="C209" s="25" t="s">
        <v>542</v>
      </c>
      <c r="D209" s="26" t="s">
        <v>546</v>
      </c>
      <c r="E209" s="25" t="s">
        <v>547</v>
      </c>
      <c r="F209" s="24" t="str">
        <f aca="false">IF($D209="","",IF(MID($D209,5,1)="S","S(봄)",IF(MID($D209,5,1)="M","M(여름)",IF(MID($D209,5,1)="X","X(사계절)",MID($D209,5,1)))))</f>
        <v>M(여름)</v>
      </c>
      <c r="G209" s="25" t="s">
        <v>62</v>
      </c>
      <c r="H209" s="24" t="s">
        <v>326</v>
      </c>
      <c r="I209" s="27" t="s">
        <v>486</v>
      </c>
      <c r="J209" s="28" t="n">
        <f aca="false">IF($I209="","",IFERROR(DATE(IF(VALUE(LEFT($I209,FIND("월",$I209)-1))&gt;=9,기준정보!$C$7-1,기준정보!$C$7),VALUE(LEFT($I209,FIND("월",$I209)-1)),1+7*(VALUE(SUBSTITUTE(MID($I209,FIND("월",$I209)+1,5),"주",""))-1)),""))</f>
        <v>46454</v>
      </c>
      <c r="K209" s="28" t="n">
        <f aca="false">IF($J209="","",$J209-기준정보!$C$5)</f>
        <v>46440</v>
      </c>
      <c r="L209" s="28" t="n">
        <f aca="false">IF($K209="","",$K209-기준정보!$C$6)</f>
        <v>46350</v>
      </c>
      <c r="M209" s="29" t="n">
        <f aca="false">IF($L209="","",$L209-기준정보!$C$4)</f>
        <v>108</v>
      </c>
      <c r="N209" s="27" t="s">
        <v>119</v>
      </c>
      <c r="O209" s="30"/>
      <c r="P209" s="26" t="str">
        <f aca="false">IF($G209="","",IF(AND(ISNUMBER(SEARCH("CMT",$G209)),OR(ISNUMBER(SEARCH("완사입",$G209)),ISNUMBER(SEARCH("ODM",$G209)))),"본사/생산처 혼재",IF(ISNUMBER(SEARCH("CMT",$G209)),"본사(소재팀)","생산처")))</f>
        <v>생산처</v>
      </c>
      <c r="Q209" s="25" t="s">
        <v>545</v>
      </c>
      <c r="R209" s="25" t="s">
        <v>134</v>
      </c>
      <c r="S209" s="31" t="n">
        <v>12000</v>
      </c>
      <c r="T209" s="26"/>
      <c r="U209" s="26" t="str">
        <f aca="false">IF($J209="","출고일 미정",IF($N209="X","작지 미발행",IF($N209="부분","작지 일부 미발행",IF(AND($O209&lt;&gt;"",$O209&gt;$L209),"소재입고 마감("&amp;TEXT($L209,"MM/DD")&amp;") 초과",IF($N209="","발행여부 확인 필요",IF($O209="","소재 입고일정 확인 필요","정상"))))))</f>
        <v>작지 미발행</v>
      </c>
      <c r="V209" s="24" t="str">
        <f aca="false">IF($J209="","",IF(OR(LEFT($U209,2)="작지",LEFT($U209,4)="소재입고"),IF(LEFT($F209,1)="S","★ 납기위험(S코드)","◆ 지연주의"),IF($U209="정상","✓ 정상","? 확인필요")))</f>
        <v>◆ 지연주의</v>
      </c>
      <c r="W209" s="27"/>
      <c r="X209" s="32"/>
    </row>
    <row r="210" customFormat="false" ht="15" hidden="false" customHeight="false" outlineLevel="0" collapsed="false">
      <c r="A210" s="24" t="n">
        <v>206</v>
      </c>
      <c r="B210" s="25" t="s">
        <v>541</v>
      </c>
      <c r="C210" s="25" t="s">
        <v>542</v>
      </c>
      <c r="D210" s="26" t="s">
        <v>548</v>
      </c>
      <c r="E210" s="25" t="s">
        <v>549</v>
      </c>
      <c r="F210" s="24" t="str">
        <f aca="false">IF($D210="","",IF(MID($D210,5,1)="S","S(봄)",IF(MID($D210,5,1)="M","M(여름)",IF(MID($D210,5,1)="X","X(사계절)",MID($D210,5,1)))))</f>
        <v>M(여름)</v>
      </c>
      <c r="G210" s="25" t="s">
        <v>62</v>
      </c>
      <c r="H210" s="24" t="s">
        <v>326</v>
      </c>
      <c r="I210" s="27" t="s">
        <v>486</v>
      </c>
      <c r="J210" s="28" t="n">
        <f aca="false">IF($I210="","",IFERROR(DATE(IF(VALUE(LEFT($I210,FIND("월",$I210)-1))&gt;=9,기준정보!$C$7-1,기준정보!$C$7),VALUE(LEFT($I210,FIND("월",$I210)-1)),1+7*(VALUE(SUBSTITUTE(MID($I210,FIND("월",$I210)+1,5),"주",""))-1)),""))</f>
        <v>46454</v>
      </c>
      <c r="K210" s="28" t="n">
        <f aca="false">IF($J210="","",$J210-기준정보!$C$5)</f>
        <v>46440</v>
      </c>
      <c r="L210" s="28" t="n">
        <f aca="false">IF($K210="","",$K210-기준정보!$C$6)</f>
        <v>46350</v>
      </c>
      <c r="M210" s="29" t="n">
        <f aca="false">IF($L210="","",$L210-기준정보!$C$4)</f>
        <v>108</v>
      </c>
      <c r="N210" s="27" t="s">
        <v>119</v>
      </c>
      <c r="O210" s="30"/>
      <c r="P210" s="26" t="str">
        <f aca="false">IF($G210="","",IF(AND(ISNUMBER(SEARCH("CMT",$G210)),OR(ISNUMBER(SEARCH("완사입",$G210)),ISNUMBER(SEARCH("ODM",$G210)))),"본사/생산처 혼재",IF(ISNUMBER(SEARCH("CMT",$G210)),"본사(소재팀)","생산처")))</f>
        <v>생산처</v>
      </c>
      <c r="Q210" s="25" t="s">
        <v>545</v>
      </c>
      <c r="R210" s="25" t="s">
        <v>134</v>
      </c>
      <c r="S210" s="31" t="n">
        <v>2000</v>
      </c>
      <c r="T210" s="26"/>
      <c r="U210" s="26" t="str">
        <f aca="false">IF($J210="","출고일 미정",IF($N210="X","작지 미발행",IF($N210="부분","작지 일부 미발행",IF(AND($O210&lt;&gt;"",$O210&gt;$L210),"소재입고 마감("&amp;TEXT($L210,"MM/DD")&amp;") 초과",IF($N210="","발행여부 확인 필요",IF($O210="","소재 입고일정 확인 필요","정상"))))))</f>
        <v>작지 미발행</v>
      </c>
      <c r="V210" s="24" t="str">
        <f aca="false">IF($J210="","",IF(OR(LEFT($U210,2)="작지",LEFT($U210,4)="소재입고"),IF(LEFT($F210,1)="S","★ 납기위험(S코드)","◆ 지연주의"),IF($U210="정상","✓ 정상","? 확인필요")))</f>
        <v>◆ 지연주의</v>
      </c>
      <c r="W210" s="27"/>
      <c r="X210" s="32"/>
    </row>
    <row r="211" customFormat="false" ht="15" hidden="false" customHeight="false" outlineLevel="0" collapsed="false">
      <c r="A211" s="24" t="n">
        <v>207</v>
      </c>
      <c r="B211" s="25" t="s">
        <v>541</v>
      </c>
      <c r="C211" s="25" t="s">
        <v>542</v>
      </c>
      <c r="D211" s="26" t="s">
        <v>550</v>
      </c>
      <c r="E211" s="25" t="s">
        <v>551</v>
      </c>
      <c r="F211" s="24" t="str">
        <f aca="false">IF($D211="","",IF(MID($D211,5,1)="S","S(봄)",IF(MID($D211,5,1)="M","M(여름)",IF(MID($D211,5,1)="X","X(사계절)",MID($D211,5,1)))))</f>
        <v>M(여름)</v>
      </c>
      <c r="G211" s="25" t="s">
        <v>62</v>
      </c>
      <c r="H211" s="24" t="s">
        <v>326</v>
      </c>
      <c r="I211" s="27" t="s">
        <v>486</v>
      </c>
      <c r="J211" s="28" t="n">
        <f aca="false">IF($I211="","",IFERROR(DATE(IF(VALUE(LEFT($I211,FIND("월",$I211)-1))&gt;=9,기준정보!$C$7-1,기준정보!$C$7),VALUE(LEFT($I211,FIND("월",$I211)-1)),1+7*(VALUE(SUBSTITUTE(MID($I211,FIND("월",$I211)+1,5),"주",""))-1)),""))</f>
        <v>46454</v>
      </c>
      <c r="K211" s="28" t="n">
        <f aca="false">IF($J211="","",$J211-기준정보!$C$5)</f>
        <v>46440</v>
      </c>
      <c r="L211" s="28" t="n">
        <f aca="false">IF($K211="","",$K211-기준정보!$C$6)</f>
        <v>46350</v>
      </c>
      <c r="M211" s="29" t="n">
        <f aca="false">IF($L211="","",$L211-기준정보!$C$4)</f>
        <v>108</v>
      </c>
      <c r="N211" s="27" t="s">
        <v>119</v>
      </c>
      <c r="O211" s="30"/>
      <c r="P211" s="26" t="str">
        <f aca="false">IF($G211="","",IF(AND(ISNUMBER(SEARCH("CMT",$G211)),OR(ISNUMBER(SEARCH("완사입",$G211)),ISNUMBER(SEARCH("ODM",$G211)))),"본사/생산처 혼재",IF(ISNUMBER(SEARCH("CMT",$G211)),"본사(소재팀)","생산처")))</f>
        <v>생산처</v>
      </c>
      <c r="Q211" s="25" t="s">
        <v>545</v>
      </c>
      <c r="R211" s="25" t="s">
        <v>134</v>
      </c>
      <c r="S211" s="31" t="n">
        <v>3000</v>
      </c>
      <c r="T211" s="26"/>
      <c r="U211" s="26" t="str">
        <f aca="false">IF($J211="","출고일 미정",IF($N211="X","작지 미발행",IF($N211="부분","작지 일부 미발행",IF(AND($O211&lt;&gt;"",$O211&gt;$L211),"소재입고 마감("&amp;TEXT($L211,"MM/DD")&amp;") 초과",IF($N211="","발행여부 확인 필요",IF($O211="","소재 입고일정 확인 필요","정상"))))))</f>
        <v>작지 미발행</v>
      </c>
      <c r="V211" s="24" t="str">
        <f aca="false">IF($J211="","",IF(OR(LEFT($U211,2)="작지",LEFT($U211,4)="소재입고"),IF(LEFT($F211,1)="S","★ 납기위험(S코드)","◆ 지연주의"),IF($U211="정상","✓ 정상","? 확인필요")))</f>
        <v>◆ 지연주의</v>
      </c>
      <c r="W211" s="27"/>
      <c r="X211" s="32"/>
    </row>
    <row r="212" customFormat="false" ht="15" hidden="false" customHeight="false" outlineLevel="0" collapsed="false">
      <c r="A212" s="24" t="n">
        <v>208</v>
      </c>
      <c r="B212" s="25" t="s">
        <v>541</v>
      </c>
      <c r="C212" s="25" t="s">
        <v>542</v>
      </c>
      <c r="D212" s="26" t="s">
        <v>552</v>
      </c>
      <c r="E212" s="25" t="s">
        <v>553</v>
      </c>
      <c r="F212" s="24" t="str">
        <f aca="false">IF($D212="","",IF(MID($D212,5,1)="S","S(봄)",IF(MID($D212,5,1)="M","M(여름)",IF(MID($D212,5,1)="X","X(사계절)",MID($D212,5,1)))))</f>
        <v>M(여름)</v>
      </c>
      <c r="G212" s="25" t="s">
        <v>62</v>
      </c>
      <c r="H212" s="24" t="s">
        <v>326</v>
      </c>
      <c r="I212" s="27" t="s">
        <v>486</v>
      </c>
      <c r="J212" s="28" t="n">
        <f aca="false">IF($I212="","",IFERROR(DATE(IF(VALUE(LEFT($I212,FIND("월",$I212)-1))&gt;=9,기준정보!$C$7-1,기준정보!$C$7),VALUE(LEFT($I212,FIND("월",$I212)-1)),1+7*(VALUE(SUBSTITUTE(MID($I212,FIND("월",$I212)+1,5),"주",""))-1)),""))</f>
        <v>46454</v>
      </c>
      <c r="K212" s="28" t="n">
        <f aca="false">IF($J212="","",$J212-기준정보!$C$5)</f>
        <v>46440</v>
      </c>
      <c r="L212" s="28" t="n">
        <f aca="false">IF($K212="","",$K212-기준정보!$C$6)</f>
        <v>46350</v>
      </c>
      <c r="M212" s="29" t="n">
        <f aca="false">IF($L212="","",$L212-기준정보!$C$4)</f>
        <v>108</v>
      </c>
      <c r="N212" s="27" t="s">
        <v>119</v>
      </c>
      <c r="O212" s="30"/>
      <c r="P212" s="26" t="str">
        <f aca="false">IF($G212="","",IF(AND(ISNUMBER(SEARCH("CMT",$G212)),OR(ISNUMBER(SEARCH("완사입",$G212)),ISNUMBER(SEARCH("ODM",$G212)))),"본사/생산처 혼재",IF(ISNUMBER(SEARCH("CMT",$G212)),"본사(소재팀)","생산처")))</f>
        <v>생산처</v>
      </c>
      <c r="Q212" s="25" t="s">
        <v>545</v>
      </c>
      <c r="R212" s="25" t="s">
        <v>134</v>
      </c>
      <c r="S212" s="31" t="n">
        <v>1600</v>
      </c>
      <c r="T212" s="26"/>
      <c r="U212" s="26" t="str">
        <f aca="false">IF($J212="","출고일 미정",IF($N212="X","작지 미발행",IF($N212="부분","작지 일부 미발행",IF(AND($O212&lt;&gt;"",$O212&gt;$L212),"소재입고 마감("&amp;TEXT($L212,"MM/DD")&amp;") 초과",IF($N212="","발행여부 확인 필요",IF($O212="","소재 입고일정 확인 필요","정상"))))))</f>
        <v>작지 미발행</v>
      </c>
      <c r="V212" s="24" t="str">
        <f aca="false">IF($J212="","",IF(OR(LEFT($U212,2)="작지",LEFT($U212,4)="소재입고"),IF(LEFT($F212,1)="S","★ 납기위험(S코드)","◆ 지연주의"),IF($U212="정상","✓ 정상","? 확인필요")))</f>
        <v>◆ 지연주의</v>
      </c>
      <c r="W212" s="27"/>
      <c r="X212" s="32"/>
    </row>
    <row r="213" customFormat="false" ht="15" hidden="false" customHeight="false" outlineLevel="0" collapsed="false">
      <c r="A213" s="24" t="n">
        <v>209</v>
      </c>
      <c r="B213" s="25" t="s">
        <v>541</v>
      </c>
      <c r="C213" s="25" t="s">
        <v>542</v>
      </c>
      <c r="D213" s="26" t="s">
        <v>554</v>
      </c>
      <c r="E213" s="25" t="s">
        <v>555</v>
      </c>
      <c r="F213" s="24" t="str">
        <f aca="false">IF($D213="","",IF(MID($D213,5,1)="S","S(봄)",IF(MID($D213,5,1)="M","M(여름)",IF(MID($D213,5,1)="X","X(사계절)",MID($D213,5,1)))))</f>
        <v>M(여름)</v>
      </c>
      <c r="G213" s="25" t="s">
        <v>62</v>
      </c>
      <c r="H213" s="24" t="s">
        <v>326</v>
      </c>
      <c r="I213" s="27" t="s">
        <v>486</v>
      </c>
      <c r="J213" s="28" t="n">
        <f aca="false">IF($I213="","",IFERROR(DATE(IF(VALUE(LEFT($I213,FIND("월",$I213)-1))&gt;=9,기준정보!$C$7-1,기준정보!$C$7),VALUE(LEFT($I213,FIND("월",$I213)-1)),1+7*(VALUE(SUBSTITUTE(MID($I213,FIND("월",$I213)+1,5),"주",""))-1)),""))</f>
        <v>46454</v>
      </c>
      <c r="K213" s="28" t="n">
        <f aca="false">IF($J213="","",$J213-기준정보!$C$5)</f>
        <v>46440</v>
      </c>
      <c r="L213" s="28" t="n">
        <f aca="false">IF($K213="","",$K213-기준정보!$C$6)</f>
        <v>46350</v>
      </c>
      <c r="M213" s="29" t="n">
        <f aca="false">IF($L213="","",$L213-기준정보!$C$4)</f>
        <v>108</v>
      </c>
      <c r="N213" s="27" t="s">
        <v>119</v>
      </c>
      <c r="O213" s="30"/>
      <c r="P213" s="26" t="str">
        <f aca="false">IF($G213="","",IF(AND(ISNUMBER(SEARCH("CMT",$G213)),OR(ISNUMBER(SEARCH("완사입",$G213)),ISNUMBER(SEARCH("ODM",$G213)))),"본사/생산처 혼재",IF(ISNUMBER(SEARCH("CMT",$G213)),"본사(소재팀)","생산처")))</f>
        <v>생산처</v>
      </c>
      <c r="Q213" s="26"/>
      <c r="R213" s="25" t="s">
        <v>134</v>
      </c>
      <c r="S213" s="31" t="n">
        <v>1100</v>
      </c>
      <c r="T213" s="26"/>
      <c r="U213" s="26" t="str">
        <f aca="false">IF($J213="","출고일 미정",IF($N213="X","작지 미발행",IF($N213="부분","작지 일부 미발행",IF(AND($O213&lt;&gt;"",$O213&gt;$L213),"소재입고 마감("&amp;TEXT($L213,"MM/DD")&amp;") 초과",IF($N213="","발행여부 확인 필요",IF($O213="","소재 입고일정 확인 필요","정상"))))))</f>
        <v>작지 미발행</v>
      </c>
      <c r="V213" s="24" t="str">
        <f aca="false">IF($J213="","",IF(OR(LEFT($U213,2)="작지",LEFT($U213,4)="소재입고"),IF(LEFT($F213,1)="S","★ 납기위험(S코드)","◆ 지연주의"),IF($U213="정상","✓ 정상","? 확인필요")))</f>
        <v>◆ 지연주의</v>
      </c>
      <c r="W213" s="27"/>
      <c r="X213" s="32"/>
    </row>
    <row r="214" customFormat="false" ht="15" hidden="false" customHeight="false" outlineLevel="0" collapsed="false">
      <c r="A214" s="24" t="n">
        <v>210</v>
      </c>
      <c r="B214" s="25" t="s">
        <v>211</v>
      </c>
      <c r="C214" s="25" t="s">
        <v>212</v>
      </c>
      <c r="D214" s="26" t="s">
        <v>556</v>
      </c>
      <c r="E214" s="25" t="s">
        <v>557</v>
      </c>
      <c r="F214" s="24" t="str">
        <f aca="false">IF($D214="","",IF(MID($D214,5,1)="S","S(봄)",IF(MID($D214,5,1)="M","M(여름)",IF(MID($D214,5,1)="X","X(사계절)",MID($D214,5,1)))))</f>
        <v>M(여름)</v>
      </c>
      <c r="G214" s="26" t="s">
        <v>167</v>
      </c>
      <c r="H214" s="24" t="s">
        <v>558</v>
      </c>
      <c r="I214" s="27" t="s">
        <v>486</v>
      </c>
      <c r="J214" s="28" t="n">
        <f aca="false">IF($I214="","",IFERROR(DATE(IF(VALUE(LEFT($I214,FIND("월",$I214)-1))&gt;=9,기준정보!$C$7-1,기준정보!$C$7),VALUE(LEFT($I214,FIND("월",$I214)-1)),1+7*(VALUE(SUBSTITUTE(MID($I214,FIND("월",$I214)+1,5),"주",""))-1)),""))</f>
        <v>46454</v>
      </c>
      <c r="K214" s="28" t="n">
        <f aca="false">IF($J214="","",$J214-기준정보!$C$5)</f>
        <v>46440</v>
      </c>
      <c r="L214" s="28" t="n">
        <f aca="false">IF($K214="","",$K214-기준정보!$C$6)</f>
        <v>46350</v>
      </c>
      <c r="M214" s="29" t="n">
        <f aca="false">IF($L214="","",$L214-기준정보!$C$4)</f>
        <v>108</v>
      </c>
      <c r="N214" s="27" t="s">
        <v>65</v>
      </c>
      <c r="O214" s="30"/>
      <c r="P214" s="26" t="str">
        <f aca="false">IF($G214="","",IF(AND(ISNUMBER(SEARCH("CMT",$G214)),OR(ISNUMBER(SEARCH("완사입",$G214)),ISNUMBER(SEARCH("ODM",$G214)))),"본사/생산처 혼재",IF(ISNUMBER(SEARCH("CMT",$G214)),"본사(소재팀)","생산처")))</f>
        <v>본사(소재팀)</v>
      </c>
      <c r="Q214" s="25" t="s">
        <v>79</v>
      </c>
      <c r="R214" s="25" t="s">
        <v>67</v>
      </c>
      <c r="S214" s="31" t="n">
        <v>3500</v>
      </c>
      <c r="T214" s="26"/>
      <c r="U214" s="26" t="str">
        <f aca="false">IF($J214="","출고일 미정",IF($N214="X","작지 미발행",IF($N214="부분","작지 일부 미발행",IF(AND($O214&lt;&gt;"",$O214&gt;$L214),"소재입고 마감("&amp;TEXT($L214,"MM/DD")&amp;") 초과",IF($N214="","발행여부 확인 필요",IF($O214="","소재 입고일정 확인 필요","정상"))))))</f>
        <v>소재 입고일정 확인 필요</v>
      </c>
      <c r="V214" s="24" t="str">
        <f aca="false">IF($J214="","",IF(OR(LEFT($U214,2)="작지",LEFT($U214,4)="소재입고"),IF(LEFT($F214,1)="S","★ 납기위험(S코드)","◆ 지연주의"),IF($U214="정상","✓ 정상","? 확인필요")))</f>
        <v>? 확인필요</v>
      </c>
      <c r="W214" s="27"/>
      <c r="X214" s="32"/>
    </row>
    <row r="215" customFormat="false" ht="15" hidden="false" customHeight="false" outlineLevel="0" collapsed="false">
      <c r="A215" s="24" t="n">
        <v>211</v>
      </c>
      <c r="B215" s="25" t="s">
        <v>211</v>
      </c>
      <c r="C215" s="25" t="s">
        <v>212</v>
      </c>
      <c r="D215" s="26" t="s">
        <v>559</v>
      </c>
      <c r="E215" s="25" t="s">
        <v>560</v>
      </c>
      <c r="F215" s="24" t="str">
        <f aca="false">IF($D215="","",IF(MID($D215,5,1)="S","S(봄)",IF(MID($D215,5,1)="M","M(여름)",IF(MID($D215,5,1)="X","X(사계절)",MID($D215,5,1)))))</f>
        <v>M(여름)</v>
      </c>
      <c r="G215" s="25" t="s">
        <v>62</v>
      </c>
      <c r="H215" s="24" t="s">
        <v>394</v>
      </c>
      <c r="I215" s="27" t="s">
        <v>486</v>
      </c>
      <c r="J215" s="28" t="n">
        <f aca="false">IF($I215="","",IFERROR(DATE(IF(VALUE(LEFT($I215,FIND("월",$I215)-1))&gt;=9,기준정보!$C$7-1,기준정보!$C$7),VALUE(LEFT($I215,FIND("월",$I215)-1)),1+7*(VALUE(SUBSTITUTE(MID($I215,FIND("월",$I215)+1,5),"주",""))-1)),""))</f>
        <v>46454</v>
      </c>
      <c r="K215" s="28" t="n">
        <f aca="false">IF($J215="","",$J215-기준정보!$C$5)</f>
        <v>46440</v>
      </c>
      <c r="L215" s="28" t="n">
        <f aca="false">IF($K215="","",$K215-기준정보!$C$6)</f>
        <v>46350</v>
      </c>
      <c r="M215" s="29" t="n">
        <f aca="false">IF($L215="","",$L215-기준정보!$C$4)</f>
        <v>108</v>
      </c>
      <c r="N215" s="27" t="s">
        <v>65</v>
      </c>
      <c r="O215" s="30"/>
      <c r="P215" s="26" t="str">
        <f aca="false">IF($G215="","",IF(AND(ISNUMBER(SEARCH("CMT",$G215)),OR(ISNUMBER(SEARCH("완사입",$G215)),ISNUMBER(SEARCH("ODM",$G215)))),"본사/생산처 혼재",IF(ISNUMBER(SEARCH("CMT",$G215)),"본사(소재팀)","생산처")))</f>
        <v>생산처</v>
      </c>
      <c r="Q215" s="25" t="s">
        <v>307</v>
      </c>
      <c r="R215" s="25" t="s">
        <v>67</v>
      </c>
      <c r="S215" s="31" t="n">
        <v>3500</v>
      </c>
      <c r="T215" s="26"/>
      <c r="U215" s="26" t="str">
        <f aca="false">IF($J215="","출고일 미정",IF($N215="X","작지 미발행",IF($N215="부분","작지 일부 미발행",IF(AND($O215&lt;&gt;"",$O215&gt;$L215),"소재입고 마감("&amp;TEXT($L215,"MM/DD")&amp;") 초과",IF($N215="","발행여부 확인 필요",IF($O215="","소재 입고일정 확인 필요","정상"))))))</f>
        <v>소재 입고일정 확인 필요</v>
      </c>
      <c r="V215" s="24" t="str">
        <f aca="false">IF($J215="","",IF(OR(LEFT($U215,2)="작지",LEFT($U215,4)="소재입고"),IF(LEFT($F215,1)="S","★ 납기위험(S코드)","◆ 지연주의"),IF($U215="정상","✓ 정상","? 확인필요")))</f>
        <v>? 확인필요</v>
      </c>
      <c r="W215" s="27"/>
      <c r="X215" s="32"/>
    </row>
    <row r="216" customFormat="false" ht="15" hidden="false" customHeight="false" outlineLevel="0" collapsed="false">
      <c r="A216" s="24" t="n">
        <v>212</v>
      </c>
      <c r="B216" s="25" t="s">
        <v>211</v>
      </c>
      <c r="C216" s="25" t="s">
        <v>212</v>
      </c>
      <c r="D216" s="26" t="s">
        <v>561</v>
      </c>
      <c r="E216" s="25" t="s">
        <v>562</v>
      </c>
      <c r="F216" s="24" t="str">
        <f aca="false">IF($D216="","",IF(MID($D216,5,1)="S","S(봄)",IF(MID($D216,5,1)="M","M(여름)",IF(MID($D216,5,1)="X","X(사계절)",MID($D216,5,1)))))</f>
        <v>M(여름)</v>
      </c>
      <c r="G216" s="26" t="s">
        <v>167</v>
      </c>
      <c r="H216" s="24" t="s">
        <v>558</v>
      </c>
      <c r="I216" s="27" t="s">
        <v>486</v>
      </c>
      <c r="J216" s="28" t="n">
        <f aca="false">IF($I216="","",IFERROR(DATE(IF(VALUE(LEFT($I216,FIND("월",$I216)-1))&gt;=9,기준정보!$C$7-1,기준정보!$C$7),VALUE(LEFT($I216,FIND("월",$I216)-1)),1+7*(VALUE(SUBSTITUTE(MID($I216,FIND("월",$I216)+1,5),"주",""))-1)),""))</f>
        <v>46454</v>
      </c>
      <c r="K216" s="28" t="n">
        <f aca="false">IF($J216="","",$J216-기준정보!$C$5)</f>
        <v>46440</v>
      </c>
      <c r="L216" s="28" t="n">
        <f aca="false">IF($K216="","",$K216-기준정보!$C$6)</f>
        <v>46350</v>
      </c>
      <c r="M216" s="29" t="n">
        <f aca="false">IF($L216="","",$L216-기준정보!$C$4)</f>
        <v>108</v>
      </c>
      <c r="N216" s="27" t="s">
        <v>65</v>
      </c>
      <c r="O216" s="30"/>
      <c r="P216" s="26" t="str">
        <f aca="false">IF($G216="","",IF(AND(ISNUMBER(SEARCH("CMT",$G216)),OR(ISNUMBER(SEARCH("완사입",$G216)),ISNUMBER(SEARCH("ODM",$G216)))),"본사/생산처 혼재",IF(ISNUMBER(SEARCH("CMT",$G216)),"본사(소재팀)","생산처")))</f>
        <v>본사(소재팀)</v>
      </c>
      <c r="Q216" s="26" t="s">
        <v>187</v>
      </c>
      <c r="R216" s="25" t="s">
        <v>67</v>
      </c>
      <c r="S216" s="31" t="n">
        <v>2000</v>
      </c>
      <c r="T216" s="26"/>
      <c r="U216" s="26" t="str">
        <f aca="false">IF($J216="","출고일 미정",IF($N216="X","작지 미발행",IF($N216="부분","작지 일부 미발행",IF(AND($O216&lt;&gt;"",$O216&gt;$L216),"소재입고 마감("&amp;TEXT($L216,"MM/DD")&amp;") 초과",IF($N216="","발행여부 확인 필요",IF($O216="","소재 입고일정 확인 필요","정상"))))))</f>
        <v>소재 입고일정 확인 필요</v>
      </c>
      <c r="V216" s="24" t="str">
        <f aca="false">IF($J216="","",IF(OR(LEFT($U216,2)="작지",LEFT($U216,4)="소재입고"),IF(LEFT($F216,1)="S","★ 납기위험(S코드)","◆ 지연주의"),IF($U216="정상","✓ 정상","? 확인필요")))</f>
        <v>? 확인필요</v>
      </c>
      <c r="W216" s="27"/>
      <c r="X216" s="32"/>
    </row>
    <row r="217" customFormat="false" ht="15" hidden="false" customHeight="false" outlineLevel="0" collapsed="false">
      <c r="A217" s="24" t="n">
        <v>213</v>
      </c>
      <c r="B217" s="25" t="s">
        <v>99</v>
      </c>
      <c r="C217" s="25" t="s">
        <v>212</v>
      </c>
      <c r="D217" s="26" t="s">
        <v>563</v>
      </c>
      <c r="E217" s="25" t="s">
        <v>564</v>
      </c>
      <c r="F217" s="24" t="str">
        <f aca="false">IF($D217="","",IF(MID($D217,5,1)="S","S(봄)",IF(MID($D217,5,1)="M","M(여름)",IF(MID($D217,5,1)="X","X(사계절)",MID($D217,5,1)))))</f>
        <v>M(여름)</v>
      </c>
      <c r="G217" s="25" t="s">
        <v>62</v>
      </c>
      <c r="H217" s="24"/>
      <c r="I217" s="27" t="s">
        <v>486</v>
      </c>
      <c r="J217" s="28" t="n">
        <f aca="false">IF($I217="","",IFERROR(DATE(IF(VALUE(LEFT($I217,FIND("월",$I217)-1))&gt;=9,기준정보!$C$7-1,기준정보!$C$7),VALUE(LEFT($I217,FIND("월",$I217)-1)),1+7*(VALUE(SUBSTITUTE(MID($I217,FIND("월",$I217)+1,5),"주",""))-1)),""))</f>
        <v>46454</v>
      </c>
      <c r="K217" s="28" t="n">
        <f aca="false">IF($J217="","",$J217-기준정보!$C$5)</f>
        <v>46440</v>
      </c>
      <c r="L217" s="28" t="n">
        <f aca="false">IF($K217="","",$K217-기준정보!$C$6)</f>
        <v>46350</v>
      </c>
      <c r="M217" s="29" t="n">
        <f aca="false">IF($L217="","",$L217-기준정보!$C$4)</f>
        <v>108</v>
      </c>
      <c r="N217" s="27" t="s">
        <v>65</v>
      </c>
      <c r="O217" s="30"/>
      <c r="P217" s="26" t="str">
        <f aca="false">IF($G217="","",IF(AND(ISNUMBER(SEARCH("CMT",$G217)),OR(ISNUMBER(SEARCH("완사입",$G217)),ISNUMBER(SEARCH("ODM",$G217)))),"본사/생산처 혼재",IF(ISNUMBER(SEARCH("CMT",$G217)),"본사(소재팀)","생산처")))</f>
        <v>생산처</v>
      </c>
      <c r="Q217" s="25" t="s">
        <v>401</v>
      </c>
      <c r="R217" s="25" t="s">
        <v>67</v>
      </c>
      <c r="S217" s="31" t="n">
        <v>5500</v>
      </c>
      <c r="T217" s="26" t="s">
        <v>486</v>
      </c>
      <c r="U217" s="26" t="str">
        <f aca="false">IF($J217="","출고일 미정",IF($N217="X","작지 미발행",IF($N217="부분","작지 일부 미발행",IF(AND($O217&lt;&gt;"",$O217&gt;$L217),"소재입고 마감("&amp;TEXT($L217,"MM/DD")&amp;") 초과",IF($N217="","발행여부 확인 필요",IF($O217="","소재 입고일정 확인 필요","정상"))))))</f>
        <v>소재 입고일정 확인 필요</v>
      </c>
      <c r="V217" s="24" t="str">
        <f aca="false">IF($J217="","",IF(OR(LEFT($U217,2)="작지",LEFT($U217,4)="소재입고"),IF(LEFT($F217,1)="S","★ 납기위험(S코드)","◆ 지연주의"),IF($U217="정상","✓ 정상","? 확인필요")))</f>
        <v>? 확인필요</v>
      </c>
      <c r="W217" s="27"/>
      <c r="X217" s="32"/>
    </row>
    <row r="218" customFormat="false" ht="15" hidden="false" customHeight="false" outlineLevel="0" collapsed="false">
      <c r="A218" s="24" t="n">
        <v>214</v>
      </c>
      <c r="B218" s="25" t="s">
        <v>99</v>
      </c>
      <c r="C218" s="25" t="s">
        <v>212</v>
      </c>
      <c r="D218" s="26" t="s">
        <v>565</v>
      </c>
      <c r="E218" s="25" t="s">
        <v>566</v>
      </c>
      <c r="F218" s="24" t="str">
        <f aca="false">IF($D218="","",IF(MID($D218,5,1)="S","S(봄)",IF(MID($D218,5,1)="M","M(여름)",IF(MID($D218,5,1)="X","X(사계절)",MID($D218,5,1)))))</f>
        <v>M(여름)</v>
      </c>
      <c r="G218" s="25" t="s">
        <v>62</v>
      </c>
      <c r="H218" s="24"/>
      <c r="I218" s="27" t="s">
        <v>486</v>
      </c>
      <c r="J218" s="28" t="n">
        <f aca="false">IF($I218="","",IFERROR(DATE(IF(VALUE(LEFT($I218,FIND("월",$I218)-1))&gt;=9,기준정보!$C$7-1,기준정보!$C$7),VALUE(LEFT($I218,FIND("월",$I218)-1)),1+7*(VALUE(SUBSTITUTE(MID($I218,FIND("월",$I218)+1,5),"주",""))-1)),""))</f>
        <v>46454</v>
      </c>
      <c r="K218" s="28" t="n">
        <f aca="false">IF($J218="","",$J218-기준정보!$C$5)</f>
        <v>46440</v>
      </c>
      <c r="L218" s="28" t="n">
        <f aca="false">IF($K218="","",$K218-기준정보!$C$6)</f>
        <v>46350</v>
      </c>
      <c r="M218" s="29" t="n">
        <f aca="false">IF($L218="","",$L218-기준정보!$C$4)</f>
        <v>108</v>
      </c>
      <c r="N218" s="27" t="s">
        <v>65</v>
      </c>
      <c r="O218" s="30"/>
      <c r="P218" s="26" t="str">
        <f aca="false">IF($G218="","",IF(AND(ISNUMBER(SEARCH("CMT",$G218)),OR(ISNUMBER(SEARCH("완사입",$G218)),ISNUMBER(SEARCH("ODM",$G218)))),"본사/생산처 혼재",IF(ISNUMBER(SEARCH("CMT",$G218)),"본사(소재팀)","생산처")))</f>
        <v>생산처</v>
      </c>
      <c r="Q218" s="25" t="s">
        <v>401</v>
      </c>
      <c r="R218" s="25" t="s">
        <v>67</v>
      </c>
      <c r="S218" s="31" t="n">
        <v>4000</v>
      </c>
      <c r="T218" s="26"/>
      <c r="U218" s="26" t="str">
        <f aca="false">IF($J218="","출고일 미정",IF($N218="X","작지 미발행",IF($N218="부분","작지 일부 미발행",IF(AND($O218&lt;&gt;"",$O218&gt;$L218),"소재입고 마감("&amp;TEXT($L218,"MM/DD")&amp;") 초과",IF($N218="","발행여부 확인 필요",IF($O218="","소재 입고일정 확인 필요","정상"))))))</f>
        <v>소재 입고일정 확인 필요</v>
      </c>
      <c r="V218" s="24" t="str">
        <f aca="false">IF($J218="","",IF(OR(LEFT($U218,2)="작지",LEFT($U218,4)="소재입고"),IF(LEFT($F218,1)="S","★ 납기위험(S코드)","◆ 지연주의"),IF($U218="정상","✓ 정상","? 확인필요")))</f>
        <v>? 확인필요</v>
      </c>
      <c r="W218" s="27"/>
      <c r="X218" s="32"/>
    </row>
    <row r="219" customFormat="false" ht="15" hidden="false" customHeight="false" outlineLevel="0" collapsed="false">
      <c r="A219" s="24" t="n">
        <v>215</v>
      </c>
      <c r="B219" s="25" t="s">
        <v>58</v>
      </c>
      <c r="C219" s="26" t="s">
        <v>567</v>
      </c>
      <c r="D219" s="26" t="s">
        <v>568</v>
      </c>
      <c r="E219" s="25" t="s">
        <v>569</v>
      </c>
      <c r="F219" s="24" t="str">
        <f aca="false">IF($D219="","",IF(MID($D219,5,1)="S","S(봄)",IF(MID($D219,5,1)="M","M(여름)",IF(MID($D219,5,1)="X","X(사계절)",MID($D219,5,1)))))</f>
        <v>M(여름)</v>
      </c>
      <c r="G219" s="25" t="s">
        <v>62</v>
      </c>
      <c r="H219" s="24"/>
      <c r="I219" s="27" t="s">
        <v>486</v>
      </c>
      <c r="J219" s="28" t="n">
        <f aca="false">IF($I219="","",IFERROR(DATE(IF(VALUE(LEFT($I219,FIND("월",$I219)-1))&gt;=9,기준정보!$C$7-1,기준정보!$C$7),VALUE(LEFT($I219,FIND("월",$I219)-1)),1+7*(VALUE(SUBSTITUTE(MID($I219,FIND("월",$I219)+1,5),"주",""))-1)),""))</f>
        <v>46454</v>
      </c>
      <c r="K219" s="28" t="n">
        <f aca="false">IF($J219="","",$J219-기준정보!$C$5)</f>
        <v>46440</v>
      </c>
      <c r="L219" s="28" t="n">
        <f aca="false">IF($K219="","",$K219-기준정보!$C$6)</f>
        <v>46350</v>
      </c>
      <c r="M219" s="29" t="n">
        <f aca="false">IF($L219="","",$L219-기준정보!$C$4)</f>
        <v>108</v>
      </c>
      <c r="N219" s="27" t="s">
        <v>65</v>
      </c>
      <c r="O219" s="30"/>
      <c r="P219" s="26" t="str">
        <f aca="false">IF($G219="","",IF(AND(ISNUMBER(SEARCH("CMT",$G219)),OR(ISNUMBER(SEARCH("완사입",$G219)),ISNUMBER(SEARCH("ODM",$G219)))),"본사/생산처 혼재",IF(ISNUMBER(SEARCH("CMT",$G219)),"본사(소재팀)","생산처")))</f>
        <v>생산처</v>
      </c>
      <c r="Q219" s="26"/>
      <c r="R219" s="26"/>
      <c r="S219" s="31" t="n">
        <v>2500</v>
      </c>
      <c r="T219" s="26"/>
      <c r="U219" s="26" t="str">
        <f aca="false">IF($J219="","출고일 미정",IF($N219="X","작지 미발행",IF($N219="부분","작지 일부 미발행",IF(AND($O219&lt;&gt;"",$O219&gt;$L219),"소재입고 마감("&amp;TEXT($L219,"MM/DD")&amp;") 초과",IF($N219="","발행여부 확인 필요",IF($O219="","소재 입고일정 확인 필요","정상"))))))</f>
        <v>소재 입고일정 확인 필요</v>
      </c>
      <c r="V219" s="24" t="str">
        <f aca="false">IF($J219="","",IF(OR(LEFT($U219,2)="작지",LEFT($U219,4)="소재입고"),IF(LEFT($F219,1)="S","★ 납기위험(S코드)","◆ 지연주의"),IF($U219="정상","✓ 정상","? 확인필요")))</f>
        <v>? 확인필요</v>
      </c>
      <c r="W219" s="27"/>
      <c r="X219" s="32"/>
    </row>
    <row r="220" customFormat="false" ht="15" hidden="false" customHeight="false" outlineLevel="0" collapsed="false">
      <c r="A220" s="24" t="n">
        <v>216</v>
      </c>
      <c r="B220" s="25" t="s">
        <v>99</v>
      </c>
      <c r="C220" s="25" t="s">
        <v>212</v>
      </c>
      <c r="D220" s="26" t="s">
        <v>570</v>
      </c>
      <c r="E220" s="25" t="s">
        <v>571</v>
      </c>
      <c r="F220" s="24" t="str">
        <f aca="false">IF($D220="","",IF(MID($D220,5,1)="S","S(봄)",IF(MID($D220,5,1)="M","M(여름)",IF(MID($D220,5,1)="X","X(사계절)",MID($D220,5,1)))))</f>
        <v>M(여름)</v>
      </c>
      <c r="G220" s="25" t="s">
        <v>62</v>
      </c>
      <c r="H220" s="24"/>
      <c r="I220" s="27" t="s">
        <v>486</v>
      </c>
      <c r="J220" s="28" t="n">
        <f aca="false">IF($I220="","",IFERROR(DATE(IF(VALUE(LEFT($I220,FIND("월",$I220)-1))&gt;=9,기준정보!$C$7-1,기준정보!$C$7),VALUE(LEFT($I220,FIND("월",$I220)-1)),1+7*(VALUE(SUBSTITUTE(MID($I220,FIND("월",$I220)+1,5),"주",""))-1)),""))</f>
        <v>46454</v>
      </c>
      <c r="K220" s="28" t="n">
        <f aca="false">IF($J220="","",$J220-기준정보!$C$5)</f>
        <v>46440</v>
      </c>
      <c r="L220" s="28" t="n">
        <f aca="false">IF($K220="","",$K220-기준정보!$C$6)</f>
        <v>46350</v>
      </c>
      <c r="M220" s="29" t="n">
        <f aca="false">IF($L220="","",$L220-기준정보!$C$4)</f>
        <v>108</v>
      </c>
      <c r="N220" s="27" t="s">
        <v>65</v>
      </c>
      <c r="O220" s="30"/>
      <c r="P220" s="26" t="str">
        <f aca="false">IF($G220="","",IF(AND(ISNUMBER(SEARCH("CMT",$G220)),OR(ISNUMBER(SEARCH("완사입",$G220)),ISNUMBER(SEARCH("ODM",$G220)))),"본사/생산처 혼재",IF(ISNUMBER(SEARCH("CMT",$G220)),"본사(소재팀)","생산처")))</f>
        <v>생산처</v>
      </c>
      <c r="Q220" s="25" t="s">
        <v>401</v>
      </c>
      <c r="R220" s="25" t="s">
        <v>67</v>
      </c>
      <c r="S220" s="31" t="n">
        <v>3500</v>
      </c>
      <c r="T220" s="26" t="s">
        <v>486</v>
      </c>
      <c r="U220" s="26" t="str">
        <f aca="false">IF($J220="","출고일 미정",IF($N220="X","작지 미발행",IF($N220="부분","작지 일부 미발행",IF(AND($O220&lt;&gt;"",$O220&gt;$L220),"소재입고 마감("&amp;TEXT($L220,"MM/DD")&amp;") 초과",IF($N220="","발행여부 확인 필요",IF($O220="","소재 입고일정 확인 필요","정상"))))))</f>
        <v>소재 입고일정 확인 필요</v>
      </c>
      <c r="V220" s="24" t="str">
        <f aca="false">IF($J220="","",IF(OR(LEFT($U220,2)="작지",LEFT($U220,4)="소재입고"),IF(LEFT($F220,1)="S","★ 납기위험(S코드)","◆ 지연주의"),IF($U220="정상","✓ 정상","? 확인필요")))</f>
        <v>? 확인필요</v>
      </c>
      <c r="W220" s="27"/>
      <c r="X220" s="32"/>
    </row>
    <row r="221" customFormat="false" ht="15" hidden="false" customHeight="false" outlineLevel="0" collapsed="false">
      <c r="A221" s="24" t="n">
        <v>217</v>
      </c>
      <c r="B221" s="25" t="s">
        <v>99</v>
      </c>
      <c r="C221" s="25" t="s">
        <v>212</v>
      </c>
      <c r="D221" s="26" t="s">
        <v>572</v>
      </c>
      <c r="E221" s="25" t="s">
        <v>573</v>
      </c>
      <c r="F221" s="24" t="str">
        <f aca="false">IF($D221="","",IF(MID($D221,5,1)="S","S(봄)",IF(MID($D221,5,1)="M","M(여름)",IF(MID($D221,5,1)="X","X(사계절)",MID($D221,5,1)))))</f>
        <v>M(여름)</v>
      </c>
      <c r="G221" s="25" t="s">
        <v>62</v>
      </c>
      <c r="H221" s="24"/>
      <c r="I221" s="27" t="s">
        <v>486</v>
      </c>
      <c r="J221" s="28" t="n">
        <f aca="false">IF($I221="","",IFERROR(DATE(IF(VALUE(LEFT($I221,FIND("월",$I221)-1))&gt;=9,기준정보!$C$7-1,기준정보!$C$7),VALUE(LEFT($I221,FIND("월",$I221)-1)),1+7*(VALUE(SUBSTITUTE(MID($I221,FIND("월",$I221)+1,5),"주",""))-1)),""))</f>
        <v>46454</v>
      </c>
      <c r="K221" s="28" t="n">
        <f aca="false">IF($J221="","",$J221-기준정보!$C$5)</f>
        <v>46440</v>
      </c>
      <c r="L221" s="28" t="n">
        <f aca="false">IF($K221="","",$K221-기준정보!$C$6)</f>
        <v>46350</v>
      </c>
      <c r="M221" s="29" t="n">
        <f aca="false">IF($L221="","",$L221-기준정보!$C$4)</f>
        <v>108</v>
      </c>
      <c r="N221" s="27" t="s">
        <v>65</v>
      </c>
      <c r="O221" s="30"/>
      <c r="P221" s="26" t="str">
        <f aca="false">IF($G221="","",IF(AND(ISNUMBER(SEARCH("CMT",$G221)),OR(ISNUMBER(SEARCH("완사입",$G221)),ISNUMBER(SEARCH("ODM",$G221)))),"본사/생산처 혼재",IF(ISNUMBER(SEARCH("CMT",$G221)),"본사(소재팀)","생산처")))</f>
        <v>생산처</v>
      </c>
      <c r="Q221" s="25" t="s">
        <v>401</v>
      </c>
      <c r="R221" s="25" t="s">
        <v>67</v>
      </c>
      <c r="S221" s="31" t="n">
        <v>3000</v>
      </c>
      <c r="T221" s="26"/>
      <c r="U221" s="26" t="str">
        <f aca="false">IF($J221="","출고일 미정",IF($N221="X","작지 미발행",IF($N221="부분","작지 일부 미발행",IF(AND($O221&lt;&gt;"",$O221&gt;$L221),"소재입고 마감("&amp;TEXT($L221,"MM/DD")&amp;") 초과",IF($N221="","발행여부 확인 필요",IF($O221="","소재 입고일정 확인 필요","정상"))))))</f>
        <v>소재 입고일정 확인 필요</v>
      </c>
      <c r="V221" s="24" t="str">
        <f aca="false">IF($J221="","",IF(OR(LEFT($U221,2)="작지",LEFT($U221,4)="소재입고"),IF(LEFT($F221,1)="S","★ 납기위험(S코드)","◆ 지연주의"),IF($U221="정상","✓ 정상","? 확인필요")))</f>
        <v>? 확인필요</v>
      </c>
      <c r="W221" s="27"/>
      <c r="X221" s="32"/>
    </row>
    <row r="222" customFormat="false" ht="15" hidden="false" customHeight="false" outlineLevel="0" collapsed="false">
      <c r="A222" s="24" t="n">
        <v>218</v>
      </c>
      <c r="B222" s="25" t="s">
        <v>99</v>
      </c>
      <c r="C222" s="25" t="s">
        <v>100</v>
      </c>
      <c r="D222" s="26" t="s">
        <v>574</v>
      </c>
      <c r="E222" s="25" t="s">
        <v>575</v>
      </c>
      <c r="F222" s="24" t="str">
        <f aca="false">IF($D222="","",IF(MID($D222,5,1)="S","S(봄)",IF(MID($D222,5,1)="M","M(여름)",IF(MID($D222,5,1)="X","X(사계절)",MID($D222,5,1)))))</f>
        <v>M(여름)</v>
      </c>
      <c r="G222" s="26" t="s">
        <v>103</v>
      </c>
      <c r="H222" s="24"/>
      <c r="I222" s="27" t="s">
        <v>486</v>
      </c>
      <c r="J222" s="28" t="n">
        <f aca="false">IF($I222="","",IFERROR(DATE(IF(VALUE(LEFT($I222,FIND("월",$I222)-1))&gt;=9,기준정보!$C$7-1,기준정보!$C$7),VALUE(LEFT($I222,FIND("월",$I222)-1)),1+7*(VALUE(SUBSTITUTE(MID($I222,FIND("월",$I222)+1,5),"주",""))-1)),""))</f>
        <v>46454</v>
      </c>
      <c r="K222" s="28" t="n">
        <f aca="false">IF($J222="","",$J222-기준정보!$C$5)</f>
        <v>46440</v>
      </c>
      <c r="L222" s="28" t="n">
        <f aca="false">IF($K222="","",$K222-기준정보!$C$6)</f>
        <v>46350</v>
      </c>
      <c r="M222" s="29" t="n">
        <f aca="false">IF($L222="","",$L222-기준정보!$C$4)</f>
        <v>108</v>
      </c>
      <c r="N222" s="27" t="s">
        <v>65</v>
      </c>
      <c r="O222" s="30"/>
      <c r="P222" s="26" t="str">
        <f aca="false">IF($G222="","",IF(AND(ISNUMBER(SEARCH("CMT",$G222)),OR(ISNUMBER(SEARCH("완사입",$G222)),ISNUMBER(SEARCH("ODM",$G222)))),"본사/생산처 혼재",IF(ISNUMBER(SEARCH("CMT",$G222)),"본사(소재팀)","생산처")))</f>
        <v>생산처</v>
      </c>
      <c r="Q222" s="26" t="s">
        <v>104</v>
      </c>
      <c r="R222" s="25" t="s">
        <v>67</v>
      </c>
      <c r="S222" s="31" t="n">
        <v>24000</v>
      </c>
      <c r="T222" s="26" t="s">
        <v>486</v>
      </c>
      <c r="U222" s="26" t="str">
        <f aca="false">IF($J222="","출고일 미정",IF($N222="X","작지 미발행",IF($N222="부분","작지 일부 미발행",IF(AND($O222&lt;&gt;"",$O222&gt;$L222),"소재입고 마감("&amp;TEXT($L222,"MM/DD")&amp;") 초과",IF($N222="","발행여부 확인 필요",IF($O222="","소재 입고일정 확인 필요","정상"))))))</f>
        <v>소재 입고일정 확인 필요</v>
      </c>
      <c r="V222" s="24" t="str">
        <f aca="false">IF($J222="","",IF(OR(LEFT($U222,2)="작지",LEFT($U222,4)="소재입고"),IF(LEFT($F222,1)="S","★ 납기위험(S코드)","◆ 지연주의"),IF($U222="정상","✓ 정상","? 확인필요")))</f>
        <v>? 확인필요</v>
      </c>
      <c r="W222" s="27"/>
      <c r="X222" s="32"/>
    </row>
    <row r="223" customFormat="false" ht="15" hidden="false" customHeight="false" outlineLevel="0" collapsed="false">
      <c r="A223" s="24" t="n">
        <v>219</v>
      </c>
      <c r="B223" s="25" t="s">
        <v>99</v>
      </c>
      <c r="C223" s="25" t="s">
        <v>100</v>
      </c>
      <c r="D223" s="26" t="s">
        <v>576</v>
      </c>
      <c r="E223" s="25" t="s">
        <v>577</v>
      </c>
      <c r="F223" s="24" t="str">
        <f aca="false">IF($D223="","",IF(MID($D223,5,1)="S","S(봄)",IF(MID($D223,5,1)="M","M(여름)",IF(MID($D223,5,1)="X","X(사계절)",MID($D223,5,1)))))</f>
        <v>M(여름)</v>
      </c>
      <c r="G223" s="25" t="s">
        <v>62</v>
      </c>
      <c r="H223" s="24"/>
      <c r="I223" s="27" t="s">
        <v>486</v>
      </c>
      <c r="J223" s="28" t="n">
        <f aca="false">IF($I223="","",IFERROR(DATE(IF(VALUE(LEFT($I223,FIND("월",$I223)-1))&gt;=9,기준정보!$C$7-1,기준정보!$C$7),VALUE(LEFT($I223,FIND("월",$I223)-1)),1+7*(VALUE(SUBSTITUTE(MID($I223,FIND("월",$I223)+1,5),"주",""))-1)),""))</f>
        <v>46454</v>
      </c>
      <c r="K223" s="28" t="n">
        <f aca="false">IF($J223="","",$J223-기준정보!$C$5)</f>
        <v>46440</v>
      </c>
      <c r="L223" s="28" t="n">
        <f aca="false">IF($K223="","",$K223-기준정보!$C$6)</f>
        <v>46350</v>
      </c>
      <c r="M223" s="29" t="n">
        <f aca="false">IF($L223="","",$L223-기준정보!$C$4)</f>
        <v>108</v>
      </c>
      <c r="N223" s="27" t="s">
        <v>65</v>
      </c>
      <c r="O223" s="30"/>
      <c r="P223" s="26" t="str">
        <f aca="false">IF($G223="","",IF(AND(ISNUMBER(SEARCH("CMT",$G223)),OR(ISNUMBER(SEARCH("완사입",$G223)),ISNUMBER(SEARCH("ODM",$G223)))),"본사/생산처 혼재",IF(ISNUMBER(SEARCH("CMT",$G223)),"본사(소재팀)","생산처")))</f>
        <v>생산처</v>
      </c>
      <c r="Q223" s="25" t="s">
        <v>245</v>
      </c>
      <c r="R223" s="25" t="s">
        <v>67</v>
      </c>
      <c r="S223" s="31" t="n">
        <v>12000</v>
      </c>
      <c r="T223" s="26" t="s">
        <v>486</v>
      </c>
      <c r="U223" s="26" t="str">
        <f aca="false">IF($J223="","출고일 미정",IF($N223="X","작지 미발행",IF($N223="부분","작지 일부 미발행",IF(AND($O223&lt;&gt;"",$O223&gt;$L223),"소재입고 마감("&amp;TEXT($L223,"MM/DD")&amp;") 초과",IF($N223="","발행여부 확인 필요",IF($O223="","소재 입고일정 확인 필요","정상"))))))</f>
        <v>소재 입고일정 확인 필요</v>
      </c>
      <c r="V223" s="24" t="str">
        <f aca="false">IF($J223="","",IF(OR(LEFT($U223,2)="작지",LEFT($U223,4)="소재입고"),IF(LEFT($F223,1)="S","★ 납기위험(S코드)","◆ 지연주의"),IF($U223="정상","✓ 정상","? 확인필요")))</f>
        <v>? 확인필요</v>
      </c>
      <c r="W223" s="27"/>
      <c r="X223" s="32"/>
    </row>
    <row r="224" customFormat="false" ht="15" hidden="false" customHeight="false" outlineLevel="0" collapsed="false">
      <c r="A224" s="24" t="n">
        <v>220</v>
      </c>
      <c r="B224" s="25" t="s">
        <v>99</v>
      </c>
      <c r="C224" s="25" t="s">
        <v>100</v>
      </c>
      <c r="D224" s="26" t="s">
        <v>578</v>
      </c>
      <c r="E224" s="25" t="s">
        <v>579</v>
      </c>
      <c r="F224" s="24" t="str">
        <f aca="false">IF($D224="","",IF(MID($D224,5,1)="S","S(봄)",IF(MID($D224,5,1)="M","M(여름)",IF(MID($D224,5,1)="X","X(사계절)",MID($D224,5,1)))))</f>
        <v>M(여름)</v>
      </c>
      <c r="G224" s="25" t="s">
        <v>62</v>
      </c>
      <c r="H224" s="24"/>
      <c r="I224" s="27" t="s">
        <v>486</v>
      </c>
      <c r="J224" s="28" t="n">
        <f aca="false">IF($I224="","",IFERROR(DATE(IF(VALUE(LEFT($I224,FIND("월",$I224)-1))&gt;=9,기준정보!$C$7-1,기준정보!$C$7),VALUE(LEFT($I224,FIND("월",$I224)-1)),1+7*(VALUE(SUBSTITUTE(MID($I224,FIND("월",$I224)+1,5),"주",""))-1)),""))</f>
        <v>46454</v>
      </c>
      <c r="K224" s="28" t="n">
        <f aca="false">IF($J224="","",$J224-기준정보!$C$5)</f>
        <v>46440</v>
      </c>
      <c r="L224" s="28" t="n">
        <f aca="false">IF($K224="","",$K224-기준정보!$C$6)</f>
        <v>46350</v>
      </c>
      <c r="M224" s="29" t="n">
        <f aca="false">IF($L224="","",$L224-기준정보!$C$4)</f>
        <v>108</v>
      </c>
      <c r="N224" s="27" t="s">
        <v>65</v>
      </c>
      <c r="O224" s="30"/>
      <c r="P224" s="26" t="str">
        <f aca="false">IF($G224="","",IF(AND(ISNUMBER(SEARCH("CMT",$G224)),OR(ISNUMBER(SEARCH("완사입",$G224)),ISNUMBER(SEARCH("ODM",$G224)))),"본사/생산처 혼재",IF(ISNUMBER(SEARCH("CMT",$G224)),"본사(소재팀)","생산처")))</f>
        <v>생산처</v>
      </c>
      <c r="Q224" s="25" t="s">
        <v>245</v>
      </c>
      <c r="R224" s="25" t="s">
        <v>67</v>
      </c>
      <c r="S224" s="31" t="n">
        <v>3000</v>
      </c>
      <c r="T224" s="26" t="s">
        <v>486</v>
      </c>
      <c r="U224" s="26" t="str">
        <f aca="false">IF($J224="","출고일 미정",IF($N224="X","작지 미발행",IF($N224="부분","작지 일부 미발행",IF(AND($O224&lt;&gt;"",$O224&gt;$L224),"소재입고 마감("&amp;TEXT($L224,"MM/DD")&amp;") 초과",IF($N224="","발행여부 확인 필요",IF($O224="","소재 입고일정 확인 필요","정상"))))))</f>
        <v>소재 입고일정 확인 필요</v>
      </c>
      <c r="V224" s="24" t="str">
        <f aca="false">IF($J224="","",IF(OR(LEFT($U224,2)="작지",LEFT($U224,4)="소재입고"),IF(LEFT($F224,1)="S","★ 납기위험(S코드)","◆ 지연주의"),IF($U224="정상","✓ 정상","? 확인필요")))</f>
        <v>? 확인필요</v>
      </c>
      <c r="W224" s="27"/>
      <c r="X224" s="32"/>
    </row>
    <row r="225" customFormat="false" ht="15" hidden="false" customHeight="false" outlineLevel="0" collapsed="false">
      <c r="A225" s="24" t="n">
        <v>221</v>
      </c>
      <c r="B225" s="25" t="s">
        <v>99</v>
      </c>
      <c r="C225" s="25" t="s">
        <v>100</v>
      </c>
      <c r="D225" s="26" t="s">
        <v>580</v>
      </c>
      <c r="E225" s="25" t="s">
        <v>581</v>
      </c>
      <c r="F225" s="24" t="str">
        <f aca="false">IF($D225="","",IF(MID($D225,5,1)="S","S(봄)",IF(MID($D225,5,1)="M","M(여름)",IF(MID($D225,5,1)="X","X(사계절)",MID($D225,5,1)))))</f>
        <v>M(여름)</v>
      </c>
      <c r="G225" s="25" t="s">
        <v>62</v>
      </c>
      <c r="H225" s="24"/>
      <c r="I225" s="27" t="s">
        <v>486</v>
      </c>
      <c r="J225" s="28" t="n">
        <f aca="false">IF($I225="","",IFERROR(DATE(IF(VALUE(LEFT($I225,FIND("월",$I225)-1))&gt;=9,기준정보!$C$7-1,기준정보!$C$7),VALUE(LEFT($I225,FIND("월",$I225)-1)),1+7*(VALUE(SUBSTITUTE(MID($I225,FIND("월",$I225)+1,5),"주",""))-1)),""))</f>
        <v>46454</v>
      </c>
      <c r="K225" s="28" t="n">
        <f aca="false">IF($J225="","",$J225-기준정보!$C$5)</f>
        <v>46440</v>
      </c>
      <c r="L225" s="28" t="n">
        <f aca="false">IF($K225="","",$K225-기준정보!$C$6)</f>
        <v>46350</v>
      </c>
      <c r="M225" s="29" t="n">
        <f aca="false">IF($L225="","",$L225-기준정보!$C$4)</f>
        <v>108</v>
      </c>
      <c r="N225" s="27" t="s">
        <v>65</v>
      </c>
      <c r="O225" s="30"/>
      <c r="P225" s="26" t="str">
        <f aca="false">IF($G225="","",IF(AND(ISNUMBER(SEARCH("CMT",$G225)),OR(ISNUMBER(SEARCH("완사입",$G225)),ISNUMBER(SEARCH("ODM",$G225)))),"본사/생산처 혼재",IF(ISNUMBER(SEARCH("CMT",$G225)),"본사(소재팀)","생산처")))</f>
        <v>생산처</v>
      </c>
      <c r="Q225" s="25" t="s">
        <v>245</v>
      </c>
      <c r="R225" s="25" t="s">
        <v>67</v>
      </c>
      <c r="S225" s="31" t="n">
        <v>6000</v>
      </c>
      <c r="T225" s="26" t="s">
        <v>486</v>
      </c>
      <c r="U225" s="26" t="str">
        <f aca="false">IF($J225="","출고일 미정",IF($N225="X","작지 미발행",IF($N225="부분","작지 일부 미발행",IF(AND($O225&lt;&gt;"",$O225&gt;$L225),"소재입고 마감("&amp;TEXT($L225,"MM/DD")&amp;") 초과",IF($N225="","발행여부 확인 필요",IF($O225="","소재 입고일정 확인 필요","정상"))))))</f>
        <v>소재 입고일정 확인 필요</v>
      </c>
      <c r="V225" s="24" t="str">
        <f aca="false">IF($J225="","",IF(OR(LEFT($U225,2)="작지",LEFT($U225,4)="소재입고"),IF(LEFT($F225,1)="S","★ 납기위험(S코드)","◆ 지연주의"),IF($U225="정상","✓ 정상","? 확인필요")))</f>
        <v>? 확인필요</v>
      </c>
      <c r="W225" s="27"/>
      <c r="X225" s="32"/>
    </row>
    <row r="226" customFormat="false" ht="15" hidden="false" customHeight="false" outlineLevel="0" collapsed="false">
      <c r="A226" s="24" t="n">
        <v>222</v>
      </c>
      <c r="B226" s="25" t="s">
        <v>58</v>
      </c>
      <c r="C226" s="26" t="s">
        <v>567</v>
      </c>
      <c r="D226" s="26" t="s">
        <v>582</v>
      </c>
      <c r="E226" s="25" t="s">
        <v>583</v>
      </c>
      <c r="F226" s="24" t="str">
        <f aca="false">IF($D226="","",IF(MID($D226,5,1)="S","S(봄)",IF(MID($D226,5,1)="M","M(여름)",IF(MID($D226,5,1)="X","X(사계절)",MID($D226,5,1)))))</f>
        <v>M(여름)</v>
      </c>
      <c r="G226" s="25" t="s">
        <v>62</v>
      </c>
      <c r="H226" s="24"/>
      <c r="I226" s="27" t="s">
        <v>486</v>
      </c>
      <c r="J226" s="28" t="n">
        <f aca="false">IF($I226="","",IFERROR(DATE(IF(VALUE(LEFT($I226,FIND("월",$I226)-1))&gt;=9,기준정보!$C$7-1,기준정보!$C$7),VALUE(LEFT($I226,FIND("월",$I226)-1)),1+7*(VALUE(SUBSTITUTE(MID($I226,FIND("월",$I226)+1,5),"주",""))-1)),""))</f>
        <v>46454</v>
      </c>
      <c r="K226" s="28" t="n">
        <f aca="false">IF($J226="","",$J226-기준정보!$C$5)</f>
        <v>46440</v>
      </c>
      <c r="L226" s="28" t="n">
        <f aca="false">IF($K226="","",$K226-기준정보!$C$6)</f>
        <v>46350</v>
      </c>
      <c r="M226" s="29" t="n">
        <f aca="false">IF($L226="","",$L226-기준정보!$C$4)</f>
        <v>108</v>
      </c>
      <c r="N226" s="27" t="s">
        <v>65</v>
      </c>
      <c r="O226" s="30"/>
      <c r="P226" s="26" t="str">
        <f aca="false">IF($G226="","",IF(AND(ISNUMBER(SEARCH("CMT",$G226)),OR(ISNUMBER(SEARCH("완사입",$G226)),ISNUMBER(SEARCH("ODM",$G226)))),"본사/생산처 혼재",IF(ISNUMBER(SEARCH("CMT",$G226)),"본사(소재팀)","생산처")))</f>
        <v>생산처</v>
      </c>
      <c r="Q226" s="26"/>
      <c r="R226" s="26"/>
      <c r="S226" s="31" t="n">
        <v>1800</v>
      </c>
      <c r="T226" s="26"/>
      <c r="U226" s="26" t="str">
        <f aca="false">IF($J226="","출고일 미정",IF($N226="X","작지 미발행",IF($N226="부분","작지 일부 미발행",IF(AND($O226&lt;&gt;"",$O226&gt;$L226),"소재입고 마감("&amp;TEXT($L226,"MM/DD")&amp;") 초과",IF($N226="","발행여부 확인 필요",IF($O226="","소재 입고일정 확인 필요","정상"))))))</f>
        <v>소재 입고일정 확인 필요</v>
      </c>
      <c r="V226" s="24" t="str">
        <f aca="false">IF($J226="","",IF(OR(LEFT($U226,2)="작지",LEFT($U226,4)="소재입고"),IF(LEFT($F226,1)="S","★ 납기위험(S코드)","◆ 지연주의"),IF($U226="정상","✓ 정상","? 확인필요")))</f>
        <v>? 확인필요</v>
      </c>
      <c r="W226" s="27"/>
      <c r="X226" s="32"/>
    </row>
    <row r="227" customFormat="false" ht="15" hidden="false" customHeight="false" outlineLevel="0" collapsed="false">
      <c r="A227" s="24" t="n">
        <v>223</v>
      </c>
      <c r="B227" s="25" t="s">
        <v>58</v>
      </c>
      <c r="C227" s="26" t="s">
        <v>567</v>
      </c>
      <c r="D227" s="26" t="s">
        <v>584</v>
      </c>
      <c r="E227" s="25" t="s">
        <v>585</v>
      </c>
      <c r="F227" s="24" t="str">
        <f aca="false">IF($D227="","",IF(MID($D227,5,1)="S","S(봄)",IF(MID($D227,5,1)="M","M(여름)",IF(MID($D227,5,1)="X","X(사계절)",MID($D227,5,1)))))</f>
        <v>M(여름)</v>
      </c>
      <c r="G227" s="25" t="s">
        <v>62</v>
      </c>
      <c r="H227" s="24"/>
      <c r="I227" s="27" t="s">
        <v>486</v>
      </c>
      <c r="J227" s="28" t="n">
        <f aca="false">IF($I227="","",IFERROR(DATE(IF(VALUE(LEFT($I227,FIND("월",$I227)-1))&gt;=9,기준정보!$C$7-1,기준정보!$C$7),VALUE(LEFT($I227,FIND("월",$I227)-1)),1+7*(VALUE(SUBSTITUTE(MID($I227,FIND("월",$I227)+1,5),"주",""))-1)),""))</f>
        <v>46454</v>
      </c>
      <c r="K227" s="28" t="n">
        <f aca="false">IF($J227="","",$J227-기준정보!$C$5)</f>
        <v>46440</v>
      </c>
      <c r="L227" s="28" t="n">
        <f aca="false">IF($K227="","",$K227-기준정보!$C$6)</f>
        <v>46350</v>
      </c>
      <c r="M227" s="29" t="n">
        <f aca="false">IF($L227="","",$L227-기준정보!$C$4)</f>
        <v>108</v>
      </c>
      <c r="N227" s="27" t="s">
        <v>65</v>
      </c>
      <c r="O227" s="30"/>
      <c r="P227" s="26" t="str">
        <f aca="false">IF($G227="","",IF(AND(ISNUMBER(SEARCH("CMT",$G227)),OR(ISNUMBER(SEARCH("완사입",$G227)),ISNUMBER(SEARCH("ODM",$G227)))),"본사/생산처 혼재",IF(ISNUMBER(SEARCH("CMT",$G227)),"본사(소재팀)","생산처")))</f>
        <v>생산처</v>
      </c>
      <c r="Q227" s="26"/>
      <c r="R227" s="26"/>
      <c r="S227" s="31" t="n">
        <v>3200</v>
      </c>
      <c r="T227" s="26"/>
      <c r="U227" s="26" t="str">
        <f aca="false">IF($J227="","출고일 미정",IF($N227="X","작지 미발행",IF($N227="부분","작지 일부 미발행",IF(AND($O227&lt;&gt;"",$O227&gt;$L227),"소재입고 마감("&amp;TEXT($L227,"MM/DD")&amp;") 초과",IF($N227="","발행여부 확인 필요",IF($O227="","소재 입고일정 확인 필요","정상"))))))</f>
        <v>소재 입고일정 확인 필요</v>
      </c>
      <c r="V227" s="24" t="str">
        <f aca="false">IF($J227="","",IF(OR(LEFT($U227,2)="작지",LEFT($U227,4)="소재입고"),IF(LEFT($F227,1)="S","★ 납기위험(S코드)","◆ 지연주의"),IF($U227="정상","✓ 정상","? 확인필요")))</f>
        <v>? 확인필요</v>
      </c>
      <c r="W227" s="27"/>
      <c r="X227" s="32"/>
    </row>
    <row r="228" customFormat="false" ht="15" hidden="false" customHeight="false" outlineLevel="0" collapsed="false">
      <c r="A228" s="24" t="n">
        <v>224</v>
      </c>
      <c r="B228" s="25" t="s">
        <v>99</v>
      </c>
      <c r="C228" s="25" t="s">
        <v>100</v>
      </c>
      <c r="D228" s="26" t="s">
        <v>586</v>
      </c>
      <c r="E228" s="25" t="s">
        <v>587</v>
      </c>
      <c r="F228" s="24" t="str">
        <f aca="false">IF($D228="","",IF(MID($D228,5,1)="S","S(봄)",IF(MID($D228,5,1)="M","M(여름)",IF(MID($D228,5,1)="X","X(사계절)",MID($D228,5,1)))))</f>
        <v>M(여름)</v>
      </c>
      <c r="G228" s="25" t="s">
        <v>62</v>
      </c>
      <c r="H228" s="24"/>
      <c r="I228" s="27" t="s">
        <v>486</v>
      </c>
      <c r="J228" s="28" t="n">
        <f aca="false">IF($I228="","",IFERROR(DATE(IF(VALUE(LEFT($I228,FIND("월",$I228)-1))&gt;=9,기준정보!$C$7-1,기준정보!$C$7),VALUE(LEFT($I228,FIND("월",$I228)-1)),1+7*(VALUE(SUBSTITUTE(MID($I228,FIND("월",$I228)+1,5),"주",""))-1)),""))</f>
        <v>46454</v>
      </c>
      <c r="K228" s="28" t="n">
        <f aca="false">IF($J228="","",$J228-기준정보!$C$5)</f>
        <v>46440</v>
      </c>
      <c r="L228" s="28" t="n">
        <f aca="false">IF($K228="","",$K228-기준정보!$C$6)</f>
        <v>46350</v>
      </c>
      <c r="M228" s="29" t="n">
        <f aca="false">IF($L228="","",$L228-기준정보!$C$4)</f>
        <v>108</v>
      </c>
      <c r="N228" s="27" t="s">
        <v>65</v>
      </c>
      <c r="O228" s="30"/>
      <c r="P228" s="26" t="str">
        <f aca="false">IF($G228="","",IF(AND(ISNUMBER(SEARCH("CMT",$G228)),OR(ISNUMBER(SEARCH("완사입",$G228)),ISNUMBER(SEARCH("ODM",$G228)))),"본사/생산처 혼재",IF(ISNUMBER(SEARCH("CMT",$G228)),"본사(소재팀)","생산처")))</f>
        <v>생산처</v>
      </c>
      <c r="Q228" s="25" t="s">
        <v>245</v>
      </c>
      <c r="R228" s="25" t="s">
        <v>67</v>
      </c>
      <c r="S228" s="31" t="n">
        <v>1500</v>
      </c>
      <c r="T228" s="26" t="s">
        <v>486</v>
      </c>
      <c r="U228" s="26" t="str">
        <f aca="false">IF($J228="","출고일 미정",IF($N228="X","작지 미발행",IF($N228="부분","작지 일부 미발행",IF(AND($O228&lt;&gt;"",$O228&gt;$L228),"소재입고 마감("&amp;TEXT($L228,"MM/DD")&amp;") 초과",IF($N228="","발행여부 확인 필요",IF($O228="","소재 입고일정 확인 필요","정상"))))))</f>
        <v>소재 입고일정 확인 필요</v>
      </c>
      <c r="V228" s="24" t="str">
        <f aca="false">IF($J228="","",IF(OR(LEFT($U228,2)="작지",LEFT($U228,4)="소재입고"),IF(LEFT($F228,1)="S","★ 납기위험(S코드)","◆ 지연주의"),IF($U228="정상","✓ 정상","? 확인필요")))</f>
        <v>? 확인필요</v>
      </c>
      <c r="W228" s="27"/>
      <c r="X228" s="32"/>
    </row>
    <row r="229" customFormat="false" ht="15" hidden="false" customHeight="false" outlineLevel="0" collapsed="false">
      <c r="A229" s="24" t="n">
        <v>225</v>
      </c>
      <c r="B229" s="25" t="s">
        <v>211</v>
      </c>
      <c r="C229" s="25" t="s">
        <v>201</v>
      </c>
      <c r="D229" s="26" t="s">
        <v>588</v>
      </c>
      <c r="E229" s="25" t="s">
        <v>589</v>
      </c>
      <c r="F229" s="24" t="str">
        <f aca="false">IF($D229="","",IF(MID($D229,5,1)="S","S(봄)",IF(MID($D229,5,1)="M","M(여름)",IF(MID($D229,5,1)="X","X(사계절)",MID($D229,5,1)))))</f>
        <v>M(여름)</v>
      </c>
      <c r="G229" s="25" t="s">
        <v>62</v>
      </c>
      <c r="H229" s="24" t="s">
        <v>397</v>
      </c>
      <c r="I229" s="27" t="s">
        <v>486</v>
      </c>
      <c r="J229" s="28" t="n">
        <f aca="false">IF($I229="","",IFERROR(DATE(IF(VALUE(LEFT($I229,FIND("월",$I229)-1))&gt;=9,기준정보!$C$7-1,기준정보!$C$7),VALUE(LEFT($I229,FIND("월",$I229)-1)),1+7*(VALUE(SUBSTITUTE(MID($I229,FIND("월",$I229)+1,5),"주",""))-1)),""))</f>
        <v>46454</v>
      </c>
      <c r="K229" s="28" t="n">
        <f aca="false">IF($J229="","",$J229-기준정보!$C$5)</f>
        <v>46440</v>
      </c>
      <c r="L229" s="28" t="n">
        <f aca="false">IF($K229="","",$K229-기준정보!$C$6)</f>
        <v>46350</v>
      </c>
      <c r="M229" s="29" t="n">
        <f aca="false">IF($L229="","",$L229-기준정보!$C$4)</f>
        <v>108</v>
      </c>
      <c r="N229" s="27" t="s">
        <v>65</v>
      </c>
      <c r="O229" s="30"/>
      <c r="P229" s="26" t="str">
        <f aca="false">IF($G229="","",IF(AND(ISNUMBER(SEARCH("CMT",$G229)),OR(ISNUMBER(SEARCH("완사입",$G229)),ISNUMBER(SEARCH("ODM",$G229)))),"본사/생산처 혼재",IF(ISNUMBER(SEARCH("CMT",$G229)),"본사(소재팀)","생산처")))</f>
        <v>생산처</v>
      </c>
      <c r="Q229" s="25" t="s">
        <v>204</v>
      </c>
      <c r="R229" s="25" t="s">
        <v>67</v>
      </c>
      <c r="S229" s="31" t="n">
        <v>2000</v>
      </c>
      <c r="T229" s="26"/>
      <c r="U229" s="26" t="str">
        <f aca="false">IF($J229="","출고일 미정",IF($N229="X","작지 미발행",IF($N229="부분","작지 일부 미발행",IF(AND($O229&lt;&gt;"",$O229&gt;$L229),"소재입고 마감("&amp;TEXT($L229,"MM/DD")&amp;") 초과",IF($N229="","발행여부 확인 필요",IF($O229="","소재 입고일정 확인 필요","정상"))))))</f>
        <v>소재 입고일정 확인 필요</v>
      </c>
      <c r="V229" s="24" t="str">
        <f aca="false">IF($J229="","",IF(OR(LEFT($U229,2)="작지",LEFT($U229,4)="소재입고"),IF(LEFT($F229,1)="S","★ 납기위험(S코드)","◆ 지연주의"),IF($U229="정상","✓ 정상","? 확인필요")))</f>
        <v>? 확인필요</v>
      </c>
      <c r="W229" s="27"/>
      <c r="X229" s="32"/>
    </row>
    <row r="230" customFormat="false" ht="15" hidden="false" customHeight="false" outlineLevel="0" collapsed="false">
      <c r="A230" s="24" t="n">
        <v>226</v>
      </c>
      <c r="B230" s="25" t="s">
        <v>211</v>
      </c>
      <c r="C230" s="25" t="s">
        <v>201</v>
      </c>
      <c r="D230" s="26" t="s">
        <v>590</v>
      </c>
      <c r="E230" s="25" t="s">
        <v>591</v>
      </c>
      <c r="F230" s="24" t="str">
        <f aca="false">IF($D230="","",IF(MID($D230,5,1)="S","S(봄)",IF(MID($D230,5,1)="M","M(여름)",IF(MID($D230,5,1)="X","X(사계절)",MID($D230,5,1)))))</f>
        <v>M(여름)</v>
      </c>
      <c r="G230" s="25" t="s">
        <v>62</v>
      </c>
      <c r="H230" s="24" t="s">
        <v>394</v>
      </c>
      <c r="I230" s="27" t="s">
        <v>486</v>
      </c>
      <c r="J230" s="28" t="n">
        <f aca="false">IF($I230="","",IFERROR(DATE(IF(VALUE(LEFT($I230,FIND("월",$I230)-1))&gt;=9,기준정보!$C$7-1,기준정보!$C$7),VALUE(LEFT($I230,FIND("월",$I230)-1)),1+7*(VALUE(SUBSTITUTE(MID($I230,FIND("월",$I230)+1,5),"주",""))-1)),""))</f>
        <v>46454</v>
      </c>
      <c r="K230" s="28" t="n">
        <f aca="false">IF($J230="","",$J230-기준정보!$C$5)</f>
        <v>46440</v>
      </c>
      <c r="L230" s="28" t="n">
        <f aca="false">IF($K230="","",$K230-기준정보!$C$6)</f>
        <v>46350</v>
      </c>
      <c r="M230" s="29" t="n">
        <f aca="false">IF($L230="","",$L230-기준정보!$C$4)</f>
        <v>108</v>
      </c>
      <c r="N230" s="27" t="s">
        <v>65</v>
      </c>
      <c r="O230" s="30"/>
      <c r="P230" s="26" t="str">
        <f aca="false">IF($G230="","",IF(AND(ISNUMBER(SEARCH("CMT",$G230)),OR(ISNUMBER(SEARCH("완사입",$G230)),ISNUMBER(SEARCH("ODM",$G230)))),"본사/생산처 혼재",IF(ISNUMBER(SEARCH("CMT",$G230)),"본사(소재팀)","생산처")))</f>
        <v>생산처</v>
      </c>
      <c r="Q230" s="25" t="s">
        <v>70</v>
      </c>
      <c r="R230" s="25" t="s">
        <v>67</v>
      </c>
      <c r="S230" s="31" t="n">
        <v>3000</v>
      </c>
      <c r="T230" s="26"/>
      <c r="U230" s="26" t="str">
        <f aca="false">IF($J230="","출고일 미정",IF($N230="X","작지 미발행",IF($N230="부분","작지 일부 미발행",IF(AND($O230&lt;&gt;"",$O230&gt;$L230),"소재입고 마감("&amp;TEXT($L230,"MM/DD")&amp;") 초과",IF($N230="","발행여부 확인 필요",IF($O230="","소재 입고일정 확인 필요","정상"))))))</f>
        <v>소재 입고일정 확인 필요</v>
      </c>
      <c r="V230" s="24" t="str">
        <f aca="false">IF($J230="","",IF(OR(LEFT($U230,2)="작지",LEFT($U230,4)="소재입고"),IF(LEFT($F230,1)="S","★ 납기위험(S코드)","◆ 지연주의"),IF($U230="정상","✓ 정상","? 확인필요")))</f>
        <v>? 확인필요</v>
      </c>
      <c r="W230" s="27"/>
      <c r="X230" s="32"/>
    </row>
    <row r="231" customFormat="false" ht="15" hidden="false" customHeight="false" outlineLevel="0" collapsed="false">
      <c r="A231" s="24" t="n">
        <v>227</v>
      </c>
      <c r="B231" s="25" t="s">
        <v>211</v>
      </c>
      <c r="C231" s="25" t="s">
        <v>201</v>
      </c>
      <c r="D231" s="26" t="s">
        <v>592</v>
      </c>
      <c r="E231" s="25" t="s">
        <v>593</v>
      </c>
      <c r="F231" s="24" t="str">
        <f aca="false">IF($D231="","",IF(MID($D231,5,1)="S","S(봄)",IF(MID($D231,5,1)="M","M(여름)",IF(MID($D231,5,1)="X","X(사계절)",MID($D231,5,1)))))</f>
        <v>M(여름)</v>
      </c>
      <c r="G231" s="25" t="s">
        <v>62</v>
      </c>
      <c r="H231" s="24" t="s">
        <v>397</v>
      </c>
      <c r="I231" s="27" t="s">
        <v>486</v>
      </c>
      <c r="J231" s="28" t="n">
        <f aca="false">IF($I231="","",IFERROR(DATE(IF(VALUE(LEFT($I231,FIND("월",$I231)-1))&gt;=9,기준정보!$C$7-1,기준정보!$C$7),VALUE(LEFT($I231,FIND("월",$I231)-1)),1+7*(VALUE(SUBSTITUTE(MID($I231,FIND("월",$I231)+1,5),"주",""))-1)),""))</f>
        <v>46454</v>
      </c>
      <c r="K231" s="28" t="n">
        <f aca="false">IF($J231="","",$J231-기준정보!$C$5)</f>
        <v>46440</v>
      </c>
      <c r="L231" s="28" t="n">
        <f aca="false">IF($K231="","",$K231-기준정보!$C$6)</f>
        <v>46350</v>
      </c>
      <c r="M231" s="29" t="n">
        <f aca="false">IF($L231="","",$L231-기준정보!$C$4)</f>
        <v>108</v>
      </c>
      <c r="N231" s="27" t="s">
        <v>65</v>
      </c>
      <c r="O231" s="30"/>
      <c r="P231" s="26" t="str">
        <f aca="false">IF($G231="","",IF(AND(ISNUMBER(SEARCH("CMT",$G231)),OR(ISNUMBER(SEARCH("완사입",$G231)),ISNUMBER(SEARCH("ODM",$G231)))),"본사/생산처 혼재",IF(ISNUMBER(SEARCH("CMT",$G231)),"본사(소재팀)","생산처")))</f>
        <v>생산처</v>
      </c>
      <c r="Q231" s="25" t="s">
        <v>210</v>
      </c>
      <c r="R231" s="25" t="s">
        <v>67</v>
      </c>
      <c r="S231" s="31" t="n">
        <v>3500</v>
      </c>
      <c r="T231" s="26"/>
      <c r="U231" s="26" t="str">
        <f aca="false">IF($J231="","출고일 미정",IF($N231="X","작지 미발행",IF($N231="부분","작지 일부 미발행",IF(AND($O231&lt;&gt;"",$O231&gt;$L231),"소재입고 마감("&amp;TEXT($L231,"MM/DD")&amp;") 초과",IF($N231="","발행여부 확인 필요",IF($O231="","소재 입고일정 확인 필요","정상"))))))</f>
        <v>소재 입고일정 확인 필요</v>
      </c>
      <c r="V231" s="24" t="str">
        <f aca="false">IF($J231="","",IF(OR(LEFT($U231,2)="작지",LEFT($U231,4)="소재입고"),IF(LEFT($F231,1)="S","★ 납기위험(S코드)","◆ 지연주의"),IF($U231="정상","✓ 정상","? 확인필요")))</f>
        <v>? 확인필요</v>
      </c>
      <c r="W231" s="27"/>
      <c r="X231" s="32"/>
    </row>
    <row r="232" customFormat="false" ht="15" hidden="false" customHeight="false" outlineLevel="0" collapsed="false">
      <c r="A232" s="24" t="n">
        <v>228</v>
      </c>
      <c r="B232" s="25" t="s">
        <v>200</v>
      </c>
      <c r="C232" s="25" t="s">
        <v>207</v>
      </c>
      <c r="D232" s="26" t="s">
        <v>594</v>
      </c>
      <c r="E232" s="25" t="s">
        <v>595</v>
      </c>
      <c r="F232" s="24" t="str">
        <f aca="false">IF($D232="","",IF(MID($D232,5,1)="S","S(봄)",IF(MID($D232,5,1)="M","M(여름)",IF(MID($D232,5,1)="X","X(사계절)",MID($D232,5,1)))))</f>
        <v>M(여름)</v>
      </c>
      <c r="G232" s="26" t="s">
        <v>167</v>
      </c>
      <c r="H232" s="24"/>
      <c r="I232" s="27" t="s">
        <v>486</v>
      </c>
      <c r="J232" s="28" t="n">
        <f aca="false">IF($I232="","",IFERROR(DATE(IF(VALUE(LEFT($I232,FIND("월",$I232)-1))&gt;=9,기준정보!$C$7-1,기준정보!$C$7),VALUE(LEFT($I232,FIND("월",$I232)-1)),1+7*(VALUE(SUBSTITUTE(MID($I232,FIND("월",$I232)+1,5),"주",""))-1)),""))</f>
        <v>46454</v>
      </c>
      <c r="K232" s="28" t="n">
        <f aca="false">IF($J232="","",$J232-기준정보!$C$5)</f>
        <v>46440</v>
      </c>
      <c r="L232" s="28" t="n">
        <f aca="false">IF($K232="","",$K232-기준정보!$C$6)</f>
        <v>46350</v>
      </c>
      <c r="M232" s="29" t="n">
        <f aca="false">IF($L232="","",$L232-기준정보!$C$4)</f>
        <v>108</v>
      </c>
      <c r="N232" s="27" t="s">
        <v>65</v>
      </c>
      <c r="O232" s="30"/>
      <c r="P232" s="26" t="str">
        <f aca="false">IF($G232="","",IF(AND(ISNUMBER(SEARCH("CMT",$G232)),OR(ISNUMBER(SEARCH("완사입",$G232)),ISNUMBER(SEARCH("ODM",$G232)))),"본사/생산처 혼재",IF(ISNUMBER(SEARCH("CMT",$G232)),"본사(소재팀)","생산처")))</f>
        <v>본사(소재팀)</v>
      </c>
      <c r="Q232" s="25" t="s">
        <v>79</v>
      </c>
      <c r="R232" s="25" t="s">
        <v>67</v>
      </c>
      <c r="S232" s="31" t="n">
        <v>2700</v>
      </c>
      <c r="T232" s="26" t="s">
        <v>486</v>
      </c>
      <c r="U232" s="26" t="str">
        <f aca="false">IF($J232="","출고일 미정",IF($N232="X","작지 미발행",IF($N232="부분","작지 일부 미발행",IF(AND($O232&lt;&gt;"",$O232&gt;$L232),"소재입고 마감("&amp;TEXT($L232,"MM/DD")&amp;") 초과",IF($N232="","발행여부 확인 필요",IF($O232="","소재 입고일정 확인 필요","정상"))))))</f>
        <v>소재 입고일정 확인 필요</v>
      </c>
      <c r="V232" s="24" t="str">
        <f aca="false">IF($J232="","",IF(OR(LEFT($U232,2)="작지",LEFT($U232,4)="소재입고"),IF(LEFT($F232,1)="S","★ 납기위험(S코드)","◆ 지연주의"),IF($U232="정상","✓ 정상","? 확인필요")))</f>
        <v>? 확인필요</v>
      </c>
      <c r="W232" s="27"/>
      <c r="X232" s="32"/>
    </row>
    <row r="233" customFormat="false" ht="15" hidden="false" customHeight="false" outlineLevel="0" collapsed="false">
      <c r="A233" s="24" t="n">
        <v>229</v>
      </c>
      <c r="B233" s="25" t="s">
        <v>200</v>
      </c>
      <c r="C233" s="25" t="s">
        <v>207</v>
      </c>
      <c r="D233" s="26" t="s">
        <v>596</v>
      </c>
      <c r="E233" s="25" t="s">
        <v>597</v>
      </c>
      <c r="F233" s="24" t="str">
        <f aca="false">IF($D233="","",IF(MID($D233,5,1)="S","S(봄)",IF(MID($D233,5,1)="M","M(여름)",IF(MID($D233,5,1)="X","X(사계절)",MID($D233,5,1)))))</f>
        <v>M(여름)</v>
      </c>
      <c r="G233" s="26" t="s">
        <v>167</v>
      </c>
      <c r="H233" s="24"/>
      <c r="I233" s="27" t="s">
        <v>486</v>
      </c>
      <c r="J233" s="28" t="n">
        <f aca="false">IF($I233="","",IFERROR(DATE(IF(VALUE(LEFT($I233,FIND("월",$I233)-1))&gt;=9,기준정보!$C$7-1,기준정보!$C$7),VALUE(LEFT($I233,FIND("월",$I233)-1)),1+7*(VALUE(SUBSTITUTE(MID($I233,FIND("월",$I233)+1,5),"주",""))-1)),""))</f>
        <v>46454</v>
      </c>
      <c r="K233" s="28" t="n">
        <f aca="false">IF($J233="","",$J233-기준정보!$C$5)</f>
        <v>46440</v>
      </c>
      <c r="L233" s="28" t="n">
        <f aca="false">IF($K233="","",$K233-기준정보!$C$6)</f>
        <v>46350</v>
      </c>
      <c r="M233" s="29" t="n">
        <f aca="false">IF($L233="","",$L233-기준정보!$C$4)</f>
        <v>108</v>
      </c>
      <c r="N233" s="27" t="s">
        <v>65</v>
      </c>
      <c r="O233" s="30"/>
      <c r="P233" s="26" t="str">
        <f aca="false">IF($G233="","",IF(AND(ISNUMBER(SEARCH("CMT",$G233)),OR(ISNUMBER(SEARCH("완사입",$G233)),ISNUMBER(SEARCH("ODM",$G233)))),"본사/생산처 혼재",IF(ISNUMBER(SEARCH("CMT",$G233)),"본사(소재팀)","생산처")))</f>
        <v>본사(소재팀)</v>
      </c>
      <c r="Q233" s="25" t="s">
        <v>79</v>
      </c>
      <c r="R233" s="25" t="s">
        <v>67</v>
      </c>
      <c r="S233" s="31" t="n">
        <v>2300</v>
      </c>
      <c r="T233" s="26" t="s">
        <v>486</v>
      </c>
      <c r="U233" s="26" t="str">
        <f aca="false">IF($J233="","출고일 미정",IF($N233="X","작지 미발행",IF($N233="부분","작지 일부 미발행",IF(AND($O233&lt;&gt;"",$O233&gt;$L233),"소재입고 마감("&amp;TEXT($L233,"MM/DD")&amp;") 초과",IF($N233="","발행여부 확인 필요",IF($O233="","소재 입고일정 확인 필요","정상"))))))</f>
        <v>소재 입고일정 확인 필요</v>
      </c>
      <c r="V233" s="24" t="str">
        <f aca="false">IF($J233="","",IF(OR(LEFT($U233,2)="작지",LEFT($U233,4)="소재입고"),IF(LEFT($F233,1)="S","★ 납기위험(S코드)","◆ 지연주의"),IF($U233="정상","✓ 정상","? 확인필요")))</f>
        <v>? 확인필요</v>
      </c>
      <c r="W233" s="27"/>
      <c r="X233" s="32"/>
    </row>
    <row r="234" customFormat="false" ht="15" hidden="false" customHeight="false" outlineLevel="0" collapsed="false">
      <c r="A234" s="24" t="n">
        <v>230</v>
      </c>
      <c r="B234" s="25" t="s">
        <v>99</v>
      </c>
      <c r="C234" s="25" t="s">
        <v>207</v>
      </c>
      <c r="D234" s="26" t="s">
        <v>598</v>
      </c>
      <c r="E234" s="25" t="s">
        <v>599</v>
      </c>
      <c r="F234" s="24" t="str">
        <f aca="false">IF($D234="","",IF(MID($D234,5,1)="S","S(봄)",IF(MID($D234,5,1)="M","M(여름)",IF(MID($D234,5,1)="X","X(사계절)",MID($D234,5,1)))))</f>
        <v>M(여름)</v>
      </c>
      <c r="G234" s="25" t="s">
        <v>62</v>
      </c>
      <c r="H234" s="24"/>
      <c r="I234" s="27" t="s">
        <v>486</v>
      </c>
      <c r="J234" s="28" t="n">
        <f aca="false">IF($I234="","",IFERROR(DATE(IF(VALUE(LEFT($I234,FIND("월",$I234)-1))&gt;=9,기준정보!$C$7-1,기준정보!$C$7),VALUE(LEFT($I234,FIND("월",$I234)-1)),1+7*(VALUE(SUBSTITUTE(MID($I234,FIND("월",$I234)+1,5),"주",""))-1)),""))</f>
        <v>46454</v>
      </c>
      <c r="K234" s="28" t="n">
        <f aca="false">IF($J234="","",$J234-기준정보!$C$5)</f>
        <v>46440</v>
      </c>
      <c r="L234" s="28" t="n">
        <f aca="false">IF($K234="","",$K234-기준정보!$C$6)</f>
        <v>46350</v>
      </c>
      <c r="M234" s="29" t="n">
        <f aca="false">IF($L234="","",$L234-기준정보!$C$4)</f>
        <v>108</v>
      </c>
      <c r="N234" s="27" t="s">
        <v>65</v>
      </c>
      <c r="O234" s="30"/>
      <c r="P234" s="26" t="str">
        <f aca="false">IF($G234="","",IF(AND(ISNUMBER(SEARCH("CMT",$G234)),OR(ISNUMBER(SEARCH("완사입",$G234)),ISNUMBER(SEARCH("ODM",$G234)))),"본사/생산처 혼재",IF(ISNUMBER(SEARCH("CMT",$G234)),"본사(소재팀)","생산처")))</f>
        <v>생산처</v>
      </c>
      <c r="Q234" s="25" t="s">
        <v>190</v>
      </c>
      <c r="R234" s="25" t="s">
        <v>67</v>
      </c>
      <c r="S234" s="31" t="n">
        <v>3500</v>
      </c>
      <c r="T234" s="26" t="s">
        <v>486</v>
      </c>
      <c r="U234" s="26" t="str">
        <f aca="false">IF($J234="","출고일 미정",IF($N234="X","작지 미발행",IF($N234="부분","작지 일부 미발행",IF(AND($O234&lt;&gt;"",$O234&gt;$L234),"소재입고 마감("&amp;TEXT($L234,"MM/DD")&amp;") 초과",IF($N234="","발행여부 확인 필요",IF($O234="","소재 입고일정 확인 필요","정상"))))))</f>
        <v>소재 입고일정 확인 필요</v>
      </c>
      <c r="V234" s="24" t="str">
        <f aca="false">IF($J234="","",IF(OR(LEFT($U234,2)="작지",LEFT($U234,4)="소재입고"),IF(LEFT($F234,1)="S","★ 납기위험(S코드)","◆ 지연주의"),IF($U234="정상","✓ 정상","? 확인필요")))</f>
        <v>? 확인필요</v>
      </c>
      <c r="W234" s="27"/>
      <c r="X234" s="32"/>
    </row>
    <row r="235" customFormat="false" ht="15" hidden="false" customHeight="false" outlineLevel="0" collapsed="false">
      <c r="A235" s="24" t="n">
        <v>231</v>
      </c>
      <c r="B235" s="25" t="s">
        <v>99</v>
      </c>
      <c r="C235" s="25" t="s">
        <v>207</v>
      </c>
      <c r="D235" s="26" t="s">
        <v>600</v>
      </c>
      <c r="E235" s="25" t="s">
        <v>601</v>
      </c>
      <c r="F235" s="24" t="str">
        <f aca="false">IF($D235="","",IF(MID($D235,5,1)="S","S(봄)",IF(MID($D235,5,1)="M","M(여름)",IF(MID($D235,5,1)="X","X(사계절)",MID($D235,5,1)))))</f>
        <v>M(여름)</v>
      </c>
      <c r="G235" s="25" t="s">
        <v>62</v>
      </c>
      <c r="H235" s="24"/>
      <c r="I235" s="27" t="s">
        <v>486</v>
      </c>
      <c r="J235" s="28" t="n">
        <f aca="false">IF($I235="","",IFERROR(DATE(IF(VALUE(LEFT($I235,FIND("월",$I235)-1))&gt;=9,기준정보!$C$7-1,기준정보!$C$7),VALUE(LEFT($I235,FIND("월",$I235)-1)),1+7*(VALUE(SUBSTITUTE(MID($I235,FIND("월",$I235)+1,5),"주",""))-1)),""))</f>
        <v>46454</v>
      </c>
      <c r="K235" s="28" t="n">
        <f aca="false">IF($J235="","",$J235-기준정보!$C$5)</f>
        <v>46440</v>
      </c>
      <c r="L235" s="28" t="n">
        <f aca="false">IF($K235="","",$K235-기준정보!$C$6)</f>
        <v>46350</v>
      </c>
      <c r="M235" s="29" t="n">
        <f aca="false">IF($L235="","",$L235-기준정보!$C$4)</f>
        <v>108</v>
      </c>
      <c r="N235" s="27" t="s">
        <v>65</v>
      </c>
      <c r="O235" s="30"/>
      <c r="P235" s="26" t="str">
        <f aca="false">IF($G235="","",IF(AND(ISNUMBER(SEARCH("CMT",$G235)),OR(ISNUMBER(SEARCH("완사입",$G235)),ISNUMBER(SEARCH("ODM",$G235)))),"본사/생산처 혼재",IF(ISNUMBER(SEARCH("CMT",$G235)),"본사(소재팀)","생산처")))</f>
        <v>생산처</v>
      </c>
      <c r="Q235" s="25" t="s">
        <v>190</v>
      </c>
      <c r="R235" s="25" t="s">
        <v>67</v>
      </c>
      <c r="S235" s="31" t="n">
        <v>3000</v>
      </c>
      <c r="T235" s="26" t="s">
        <v>486</v>
      </c>
      <c r="U235" s="26" t="str">
        <f aca="false">IF($J235="","출고일 미정",IF($N235="X","작지 미발행",IF($N235="부분","작지 일부 미발행",IF(AND($O235&lt;&gt;"",$O235&gt;$L235),"소재입고 마감("&amp;TEXT($L235,"MM/DD")&amp;") 초과",IF($N235="","발행여부 확인 필요",IF($O235="","소재 입고일정 확인 필요","정상"))))))</f>
        <v>소재 입고일정 확인 필요</v>
      </c>
      <c r="V235" s="24" t="str">
        <f aca="false">IF($J235="","",IF(OR(LEFT($U235,2)="작지",LEFT($U235,4)="소재입고"),IF(LEFT($F235,1)="S","★ 납기위험(S코드)","◆ 지연주의"),IF($U235="정상","✓ 정상","? 확인필요")))</f>
        <v>? 확인필요</v>
      </c>
      <c r="W235" s="27"/>
      <c r="X235" s="32"/>
    </row>
    <row r="236" customFormat="false" ht="15" hidden="false" customHeight="false" outlineLevel="0" collapsed="false">
      <c r="A236" s="24" t="n">
        <v>232</v>
      </c>
      <c r="B236" s="25" t="s">
        <v>99</v>
      </c>
      <c r="C236" s="25" t="s">
        <v>207</v>
      </c>
      <c r="D236" s="26" t="s">
        <v>602</v>
      </c>
      <c r="E236" s="25" t="s">
        <v>603</v>
      </c>
      <c r="F236" s="24" t="str">
        <f aca="false">IF($D236="","",IF(MID($D236,5,1)="S","S(봄)",IF(MID($D236,5,1)="M","M(여름)",IF(MID($D236,5,1)="X","X(사계절)",MID($D236,5,1)))))</f>
        <v>M(여름)</v>
      </c>
      <c r="G236" s="25" t="s">
        <v>62</v>
      </c>
      <c r="H236" s="24"/>
      <c r="I236" s="27" t="s">
        <v>486</v>
      </c>
      <c r="J236" s="28" t="n">
        <f aca="false">IF($I236="","",IFERROR(DATE(IF(VALUE(LEFT($I236,FIND("월",$I236)-1))&gt;=9,기준정보!$C$7-1,기준정보!$C$7),VALUE(LEFT($I236,FIND("월",$I236)-1)),1+7*(VALUE(SUBSTITUTE(MID($I236,FIND("월",$I236)+1,5),"주",""))-1)),""))</f>
        <v>46454</v>
      </c>
      <c r="K236" s="28" t="n">
        <f aca="false">IF($J236="","",$J236-기준정보!$C$5)</f>
        <v>46440</v>
      </c>
      <c r="L236" s="28" t="n">
        <f aca="false">IF($K236="","",$K236-기준정보!$C$6)</f>
        <v>46350</v>
      </c>
      <c r="M236" s="29" t="n">
        <f aca="false">IF($L236="","",$L236-기준정보!$C$4)</f>
        <v>108</v>
      </c>
      <c r="N236" s="27" t="s">
        <v>65</v>
      </c>
      <c r="O236" s="30"/>
      <c r="P236" s="26" t="str">
        <f aca="false">IF($G236="","",IF(AND(ISNUMBER(SEARCH("CMT",$G236)),OR(ISNUMBER(SEARCH("완사입",$G236)),ISNUMBER(SEARCH("ODM",$G236)))),"본사/생산처 혼재",IF(ISNUMBER(SEARCH("CMT",$G236)),"본사(소재팀)","생산처")))</f>
        <v>생산처</v>
      </c>
      <c r="Q236" s="25" t="s">
        <v>401</v>
      </c>
      <c r="R236" s="25" t="s">
        <v>67</v>
      </c>
      <c r="S236" s="31" t="n">
        <v>3000</v>
      </c>
      <c r="T236" s="26"/>
      <c r="U236" s="26" t="str">
        <f aca="false">IF($J236="","출고일 미정",IF($N236="X","작지 미발행",IF($N236="부분","작지 일부 미발행",IF(AND($O236&lt;&gt;"",$O236&gt;$L236),"소재입고 마감("&amp;TEXT($L236,"MM/DD")&amp;") 초과",IF($N236="","발행여부 확인 필요",IF($O236="","소재 입고일정 확인 필요","정상"))))))</f>
        <v>소재 입고일정 확인 필요</v>
      </c>
      <c r="V236" s="24" t="str">
        <f aca="false">IF($J236="","",IF(OR(LEFT($U236,2)="작지",LEFT($U236,4)="소재입고"),IF(LEFT($F236,1)="S","★ 납기위험(S코드)","◆ 지연주의"),IF($U236="정상","✓ 정상","? 확인필요")))</f>
        <v>? 확인필요</v>
      </c>
      <c r="W236" s="27"/>
      <c r="X236" s="32"/>
    </row>
    <row r="237" customFormat="false" ht="15" hidden="false" customHeight="false" outlineLevel="0" collapsed="false">
      <c r="A237" s="24" t="n">
        <v>233</v>
      </c>
      <c r="B237" s="25" t="s">
        <v>99</v>
      </c>
      <c r="C237" s="25" t="s">
        <v>100</v>
      </c>
      <c r="D237" s="26" t="s">
        <v>604</v>
      </c>
      <c r="E237" s="25" t="s">
        <v>605</v>
      </c>
      <c r="F237" s="24" t="str">
        <f aca="false">IF($D237="","",IF(MID($D237,5,1)="S","S(봄)",IF(MID($D237,5,1)="M","M(여름)",IF(MID($D237,5,1)="X","X(사계절)",MID($D237,5,1)))))</f>
        <v>M(여름)</v>
      </c>
      <c r="G237" s="25" t="s">
        <v>62</v>
      </c>
      <c r="H237" s="24"/>
      <c r="I237" s="27" t="s">
        <v>486</v>
      </c>
      <c r="J237" s="28" t="n">
        <f aca="false">IF($I237="","",IFERROR(DATE(IF(VALUE(LEFT($I237,FIND("월",$I237)-1))&gt;=9,기준정보!$C$7-1,기준정보!$C$7),VALUE(LEFT($I237,FIND("월",$I237)-1)),1+7*(VALUE(SUBSTITUTE(MID($I237,FIND("월",$I237)+1,5),"주",""))-1)),""))</f>
        <v>46454</v>
      </c>
      <c r="K237" s="28" t="n">
        <f aca="false">IF($J237="","",$J237-기준정보!$C$5)</f>
        <v>46440</v>
      </c>
      <c r="L237" s="28" t="n">
        <f aca="false">IF($K237="","",$K237-기준정보!$C$6)</f>
        <v>46350</v>
      </c>
      <c r="M237" s="29" t="n">
        <f aca="false">IF($L237="","",$L237-기준정보!$C$4)</f>
        <v>108</v>
      </c>
      <c r="N237" s="27" t="s">
        <v>65</v>
      </c>
      <c r="O237" s="30"/>
      <c r="P237" s="26" t="str">
        <f aca="false">IF($G237="","",IF(AND(ISNUMBER(SEARCH("CMT",$G237)),OR(ISNUMBER(SEARCH("완사입",$G237)),ISNUMBER(SEARCH("ODM",$G237)))),"본사/생산처 혼재",IF(ISNUMBER(SEARCH("CMT",$G237)),"본사(소재팀)","생산처")))</f>
        <v>생산처</v>
      </c>
      <c r="Q237" s="25" t="s">
        <v>245</v>
      </c>
      <c r="R237" s="25" t="s">
        <v>67</v>
      </c>
      <c r="S237" s="31" t="n">
        <v>5500</v>
      </c>
      <c r="T237" s="26" t="s">
        <v>486</v>
      </c>
      <c r="U237" s="26" t="str">
        <f aca="false">IF($J237="","출고일 미정",IF($N237="X","작지 미발행",IF($N237="부분","작지 일부 미발행",IF(AND($O237&lt;&gt;"",$O237&gt;$L237),"소재입고 마감("&amp;TEXT($L237,"MM/DD")&amp;") 초과",IF($N237="","발행여부 확인 필요",IF($O237="","소재 입고일정 확인 필요","정상"))))))</f>
        <v>소재 입고일정 확인 필요</v>
      </c>
      <c r="V237" s="24" t="str">
        <f aca="false">IF($J237="","",IF(OR(LEFT($U237,2)="작지",LEFT($U237,4)="소재입고"),IF(LEFT($F237,1)="S","★ 납기위험(S코드)","◆ 지연주의"),IF($U237="정상","✓ 정상","? 확인필요")))</f>
        <v>? 확인필요</v>
      </c>
      <c r="W237" s="27"/>
      <c r="X237" s="32"/>
    </row>
    <row r="238" customFormat="false" ht="15" hidden="false" customHeight="false" outlineLevel="0" collapsed="false">
      <c r="A238" s="24" t="n">
        <v>234</v>
      </c>
      <c r="B238" s="25" t="s">
        <v>99</v>
      </c>
      <c r="C238" s="25" t="s">
        <v>100</v>
      </c>
      <c r="D238" s="26" t="s">
        <v>606</v>
      </c>
      <c r="E238" s="25" t="s">
        <v>607</v>
      </c>
      <c r="F238" s="24" t="str">
        <f aca="false">IF($D238="","",IF(MID($D238,5,1)="S","S(봄)",IF(MID($D238,5,1)="M","M(여름)",IF(MID($D238,5,1)="X","X(사계절)",MID($D238,5,1)))))</f>
        <v>M(여름)</v>
      </c>
      <c r="G238" s="25" t="s">
        <v>62</v>
      </c>
      <c r="H238" s="24"/>
      <c r="I238" s="27" t="s">
        <v>486</v>
      </c>
      <c r="J238" s="28" t="n">
        <f aca="false">IF($I238="","",IFERROR(DATE(IF(VALUE(LEFT($I238,FIND("월",$I238)-1))&gt;=9,기준정보!$C$7-1,기준정보!$C$7),VALUE(LEFT($I238,FIND("월",$I238)-1)),1+7*(VALUE(SUBSTITUTE(MID($I238,FIND("월",$I238)+1,5),"주",""))-1)),""))</f>
        <v>46454</v>
      </c>
      <c r="K238" s="28" t="n">
        <f aca="false">IF($J238="","",$J238-기준정보!$C$5)</f>
        <v>46440</v>
      </c>
      <c r="L238" s="28" t="n">
        <f aca="false">IF($K238="","",$K238-기준정보!$C$6)</f>
        <v>46350</v>
      </c>
      <c r="M238" s="29" t="n">
        <f aca="false">IF($L238="","",$L238-기준정보!$C$4)</f>
        <v>108</v>
      </c>
      <c r="N238" s="27" t="s">
        <v>65</v>
      </c>
      <c r="O238" s="30"/>
      <c r="P238" s="26" t="str">
        <f aca="false">IF($G238="","",IF(AND(ISNUMBER(SEARCH("CMT",$G238)),OR(ISNUMBER(SEARCH("완사입",$G238)),ISNUMBER(SEARCH("ODM",$G238)))),"본사/생산처 혼재",IF(ISNUMBER(SEARCH("CMT",$G238)),"본사(소재팀)","생산처")))</f>
        <v>생산처</v>
      </c>
      <c r="Q238" s="25" t="s">
        <v>84</v>
      </c>
      <c r="R238" s="25" t="s">
        <v>67</v>
      </c>
      <c r="S238" s="31" t="n">
        <v>5000</v>
      </c>
      <c r="T238" s="26" t="s">
        <v>486</v>
      </c>
      <c r="U238" s="26" t="str">
        <f aca="false">IF($J238="","출고일 미정",IF($N238="X","작지 미발행",IF($N238="부분","작지 일부 미발행",IF(AND($O238&lt;&gt;"",$O238&gt;$L238),"소재입고 마감("&amp;TEXT($L238,"MM/DD")&amp;") 초과",IF($N238="","발행여부 확인 필요",IF($O238="","소재 입고일정 확인 필요","정상"))))))</f>
        <v>소재 입고일정 확인 필요</v>
      </c>
      <c r="V238" s="24" t="str">
        <f aca="false">IF($J238="","",IF(OR(LEFT($U238,2)="작지",LEFT($U238,4)="소재입고"),IF(LEFT($F238,1)="S","★ 납기위험(S코드)","◆ 지연주의"),IF($U238="정상","✓ 정상","? 확인필요")))</f>
        <v>? 확인필요</v>
      </c>
      <c r="W238" s="27"/>
      <c r="X238" s="32"/>
    </row>
    <row r="239" customFormat="false" ht="15" hidden="false" customHeight="false" outlineLevel="0" collapsed="false">
      <c r="A239" s="24" t="n">
        <v>235</v>
      </c>
      <c r="B239" s="25" t="s">
        <v>99</v>
      </c>
      <c r="C239" s="25" t="s">
        <v>100</v>
      </c>
      <c r="D239" s="26" t="s">
        <v>608</v>
      </c>
      <c r="E239" s="25" t="s">
        <v>609</v>
      </c>
      <c r="F239" s="24" t="str">
        <f aca="false">IF($D239="","",IF(MID($D239,5,1)="S","S(봄)",IF(MID($D239,5,1)="M","M(여름)",IF(MID($D239,5,1)="X","X(사계절)",MID($D239,5,1)))))</f>
        <v>M(여름)</v>
      </c>
      <c r="G239" s="25" t="s">
        <v>62</v>
      </c>
      <c r="H239" s="24"/>
      <c r="I239" s="27" t="s">
        <v>486</v>
      </c>
      <c r="J239" s="28" t="n">
        <f aca="false">IF($I239="","",IFERROR(DATE(IF(VALUE(LEFT($I239,FIND("월",$I239)-1))&gt;=9,기준정보!$C$7-1,기준정보!$C$7),VALUE(LEFT($I239,FIND("월",$I239)-1)),1+7*(VALUE(SUBSTITUTE(MID($I239,FIND("월",$I239)+1,5),"주",""))-1)),""))</f>
        <v>46454</v>
      </c>
      <c r="K239" s="28" t="n">
        <f aca="false">IF($J239="","",$J239-기준정보!$C$5)</f>
        <v>46440</v>
      </c>
      <c r="L239" s="28" t="n">
        <f aca="false">IF($K239="","",$K239-기준정보!$C$6)</f>
        <v>46350</v>
      </c>
      <c r="M239" s="29" t="n">
        <f aca="false">IF($L239="","",$L239-기준정보!$C$4)</f>
        <v>108</v>
      </c>
      <c r="N239" s="27" t="s">
        <v>65</v>
      </c>
      <c r="O239" s="30"/>
      <c r="P239" s="26" t="str">
        <f aca="false">IF($G239="","",IF(AND(ISNUMBER(SEARCH("CMT",$G239)),OR(ISNUMBER(SEARCH("완사입",$G239)),ISNUMBER(SEARCH("ODM",$G239)))),"본사/생산처 혼재",IF(ISNUMBER(SEARCH("CMT",$G239)),"본사(소재팀)","생산처")))</f>
        <v>생산처</v>
      </c>
      <c r="Q239" s="25" t="s">
        <v>84</v>
      </c>
      <c r="R239" s="25" t="s">
        <v>67</v>
      </c>
      <c r="S239" s="31" t="n">
        <v>4000</v>
      </c>
      <c r="T239" s="26" t="s">
        <v>486</v>
      </c>
      <c r="U239" s="26" t="str">
        <f aca="false">IF($J239="","출고일 미정",IF($N239="X","작지 미발행",IF($N239="부분","작지 일부 미발행",IF(AND($O239&lt;&gt;"",$O239&gt;$L239),"소재입고 마감("&amp;TEXT($L239,"MM/DD")&amp;") 초과",IF($N239="","발행여부 확인 필요",IF($O239="","소재 입고일정 확인 필요","정상"))))))</f>
        <v>소재 입고일정 확인 필요</v>
      </c>
      <c r="V239" s="24" t="str">
        <f aca="false">IF($J239="","",IF(OR(LEFT($U239,2)="작지",LEFT($U239,4)="소재입고"),IF(LEFT($F239,1)="S","★ 납기위험(S코드)","◆ 지연주의"),IF($U239="정상","✓ 정상","? 확인필요")))</f>
        <v>? 확인필요</v>
      </c>
      <c r="W239" s="27"/>
      <c r="X239" s="32"/>
    </row>
    <row r="240" customFormat="false" ht="15" hidden="false" customHeight="false" outlineLevel="0" collapsed="false">
      <c r="A240" s="24" t="n">
        <v>236</v>
      </c>
      <c r="B240" s="25" t="s">
        <v>58</v>
      </c>
      <c r="C240" s="26" t="s">
        <v>567</v>
      </c>
      <c r="D240" s="26" t="s">
        <v>610</v>
      </c>
      <c r="E240" s="25" t="s">
        <v>611</v>
      </c>
      <c r="F240" s="24" t="str">
        <f aca="false">IF($D240="","",IF(MID($D240,5,1)="S","S(봄)",IF(MID($D240,5,1)="M","M(여름)",IF(MID($D240,5,1)="X","X(사계절)",MID($D240,5,1)))))</f>
        <v>M(여름)</v>
      </c>
      <c r="G240" s="25" t="s">
        <v>62</v>
      </c>
      <c r="H240" s="24"/>
      <c r="I240" s="27" t="s">
        <v>486</v>
      </c>
      <c r="J240" s="28" t="n">
        <f aca="false">IF($I240="","",IFERROR(DATE(IF(VALUE(LEFT($I240,FIND("월",$I240)-1))&gt;=9,기준정보!$C$7-1,기준정보!$C$7),VALUE(LEFT($I240,FIND("월",$I240)-1)),1+7*(VALUE(SUBSTITUTE(MID($I240,FIND("월",$I240)+1,5),"주",""))-1)),""))</f>
        <v>46454</v>
      </c>
      <c r="K240" s="28" t="n">
        <f aca="false">IF($J240="","",$J240-기준정보!$C$5)</f>
        <v>46440</v>
      </c>
      <c r="L240" s="28" t="n">
        <f aca="false">IF($K240="","",$K240-기준정보!$C$6)</f>
        <v>46350</v>
      </c>
      <c r="M240" s="29" t="n">
        <f aca="false">IF($L240="","",$L240-기준정보!$C$4)</f>
        <v>108</v>
      </c>
      <c r="N240" s="27" t="s">
        <v>65</v>
      </c>
      <c r="O240" s="30"/>
      <c r="P240" s="26" t="str">
        <f aca="false">IF($G240="","",IF(AND(ISNUMBER(SEARCH("CMT",$G240)),OR(ISNUMBER(SEARCH("완사입",$G240)),ISNUMBER(SEARCH("ODM",$G240)))),"본사/생산처 혼재",IF(ISNUMBER(SEARCH("CMT",$G240)),"본사(소재팀)","생산처")))</f>
        <v>생산처</v>
      </c>
      <c r="Q240" s="26"/>
      <c r="R240" s="26"/>
      <c r="S240" s="31" t="n">
        <v>1500</v>
      </c>
      <c r="T240" s="26"/>
      <c r="U240" s="26" t="str">
        <f aca="false">IF($J240="","출고일 미정",IF($N240="X","작지 미발행",IF($N240="부분","작지 일부 미발행",IF(AND($O240&lt;&gt;"",$O240&gt;$L240),"소재입고 마감("&amp;TEXT($L240,"MM/DD")&amp;") 초과",IF($N240="","발행여부 확인 필요",IF($O240="","소재 입고일정 확인 필요","정상"))))))</f>
        <v>소재 입고일정 확인 필요</v>
      </c>
      <c r="V240" s="24" t="str">
        <f aca="false">IF($J240="","",IF(OR(LEFT($U240,2)="작지",LEFT($U240,4)="소재입고"),IF(LEFT($F240,1)="S","★ 납기위험(S코드)","◆ 지연주의"),IF($U240="정상","✓ 정상","? 확인필요")))</f>
        <v>? 확인필요</v>
      </c>
      <c r="W240" s="27"/>
      <c r="X240" s="32"/>
    </row>
    <row r="241" customFormat="false" ht="15" hidden="false" customHeight="false" outlineLevel="0" collapsed="false">
      <c r="A241" s="24" t="n">
        <v>237</v>
      </c>
      <c r="B241" s="25" t="s">
        <v>58</v>
      </c>
      <c r="C241" s="26" t="s">
        <v>567</v>
      </c>
      <c r="D241" s="26" t="s">
        <v>612</v>
      </c>
      <c r="E241" s="25" t="s">
        <v>613</v>
      </c>
      <c r="F241" s="24" t="str">
        <f aca="false">IF($D241="","",IF(MID($D241,5,1)="S","S(봄)",IF(MID($D241,5,1)="M","M(여름)",IF(MID($D241,5,1)="X","X(사계절)",MID($D241,5,1)))))</f>
        <v>M(여름)</v>
      </c>
      <c r="G241" s="25" t="s">
        <v>62</v>
      </c>
      <c r="H241" s="24"/>
      <c r="I241" s="27" t="s">
        <v>486</v>
      </c>
      <c r="J241" s="28" t="n">
        <f aca="false">IF($I241="","",IFERROR(DATE(IF(VALUE(LEFT($I241,FIND("월",$I241)-1))&gt;=9,기준정보!$C$7-1,기준정보!$C$7),VALUE(LEFT($I241,FIND("월",$I241)-1)),1+7*(VALUE(SUBSTITUTE(MID($I241,FIND("월",$I241)+1,5),"주",""))-1)),""))</f>
        <v>46454</v>
      </c>
      <c r="K241" s="28" t="n">
        <f aca="false">IF($J241="","",$J241-기준정보!$C$5)</f>
        <v>46440</v>
      </c>
      <c r="L241" s="28" t="n">
        <f aca="false">IF($K241="","",$K241-기준정보!$C$6)</f>
        <v>46350</v>
      </c>
      <c r="M241" s="29" t="n">
        <f aca="false">IF($L241="","",$L241-기준정보!$C$4)</f>
        <v>108</v>
      </c>
      <c r="N241" s="27" t="s">
        <v>65</v>
      </c>
      <c r="O241" s="30"/>
      <c r="P241" s="26" t="str">
        <f aca="false">IF($G241="","",IF(AND(ISNUMBER(SEARCH("CMT",$G241)),OR(ISNUMBER(SEARCH("완사입",$G241)),ISNUMBER(SEARCH("ODM",$G241)))),"본사/생산처 혼재",IF(ISNUMBER(SEARCH("CMT",$G241)),"본사(소재팀)","생산처")))</f>
        <v>생산처</v>
      </c>
      <c r="Q241" s="26"/>
      <c r="R241" s="26"/>
      <c r="S241" s="31" t="n">
        <v>2000</v>
      </c>
      <c r="T241" s="26"/>
      <c r="U241" s="26" t="str">
        <f aca="false">IF($J241="","출고일 미정",IF($N241="X","작지 미발행",IF($N241="부분","작지 일부 미발행",IF(AND($O241&lt;&gt;"",$O241&gt;$L241),"소재입고 마감("&amp;TEXT($L241,"MM/DD")&amp;") 초과",IF($N241="","발행여부 확인 필요",IF($O241="","소재 입고일정 확인 필요","정상"))))))</f>
        <v>소재 입고일정 확인 필요</v>
      </c>
      <c r="V241" s="24" t="str">
        <f aca="false">IF($J241="","",IF(OR(LEFT($U241,2)="작지",LEFT($U241,4)="소재입고"),IF(LEFT($F241,1)="S","★ 납기위험(S코드)","◆ 지연주의"),IF($U241="정상","✓ 정상","? 확인필요")))</f>
        <v>? 확인필요</v>
      </c>
      <c r="W241" s="27"/>
      <c r="X241" s="32"/>
    </row>
    <row r="242" customFormat="false" ht="15" hidden="false" customHeight="false" outlineLevel="0" collapsed="false">
      <c r="A242" s="24" t="n">
        <v>238</v>
      </c>
      <c r="B242" s="25" t="s">
        <v>211</v>
      </c>
      <c r="C242" s="25" t="s">
        <v>212</v>
      </c>
      <c r="D242" s="26" t="s">
        <v>614</v>
      </c>
      <c r="E242" s="25" t="s">
        <v>615</v>
      </c>
      <c r="F242" s="24" t="str">
        <f aca="false">IF($D242="","",IF(MID($D242,5,1)="S","S(봄)",IF(MID($D242,5,1)="M","M(여름)",IF(MID($D242,5,1)="X","X(사계절)",MID($D242,5,1)))))</f>
        <v>M(여름)</v>
      </c>
      <c r="G242" s="25" t="s">
        <v>62</v>
      </c>
      <c r="H242" s="24" t="s">
        <v>397</v>
      </c>
      <c r="I242" s="27" t="s">
        <v>486</v>
      </c>
      <c r="J242" s="28" t="n">
        <f aca="false">IF($I242="","",IFERROR(DATE(IF(VALUE(LEFT($I242,FIND("월",$I242)-1))&gt;=9,기준정보!$C$7-1,기준정보!$C$7),VALUE(LEFT($I242,FIND("월",$I242)-1)),1+7*(VALUE(SUBSTITUTE(MID($I242,FIND("월",$I242)+1,5),"주",""))-1)),""))</f>
        <v>46454</v>
      </c>
      <c r="K242" s="28" t="n">
        <f aca="false">IF($J242="","",$J242-기준정보!$C$5)</f>
        <v>46440</v>
      </c>
      <c r="L242" s="28" t="n">
        <f aca="false">IF($K242="","",$K242-기준정보!$C$6)</f>
        <v>46350</v>
      </c>
      <c r="M242" s="29" t="n">
        <f aca="false">IF($L242="","",$L242-기준정보!$C$4)</f>
        <v>108</v>
      </c>
      <c r="N242" s="27" t="s">
        <v>65</v>
      </c>
      <c r="O242" s="30"/>
      <c r="P242" s="26" t="str">
        <f aca="false">IF($G242="","",IF(AND(ISNUMBER(SEARCH("CMT",$G242)),OR(ISNUMBER(SEARCH("완사입",$G242)),ISNUMBER(SEARCH("ODM",$G242)))),"본사/생산처 혼재",IF(ISNUMBER(SEARCH("CMT",$G242)),"본사(소재팀)","생산처")))</f>
        <v>생산처</v>
      </c>
      <c r="Q242" s="25" t="s">
        <v>210</v>
      </c>
      <c r="R242" s="25" t="s">
        <v>67</v>
      </c>
      <c r="S242" s="31" t="n">
        <v>2500</v>
      </c>
      <c r="T242" s="26"/>
      <c r="U242" s="26" t="str">
        <f aca="false">IF($J242="","출고일 미정",IF($N242="X","작지 미발행",IF($N242="부분","작지 일부 미발행",IF(AND($O242&lt;&gt;"",$O242&gt;$L242),"소재입고 마감("&amp;TEXT($L242,"MM/DD")&amp;") 초과",IF($N242="","발행여부 확인 필요",IF($O242="","소재 입고일정 확인 필요","정상"))))))</f>
        <v>소재 입고일정 확인 필요</v>
      </c>
      <c r="V242" s="24" t="str">
        <f aca="false">IF($J242="","",IF(OR(LEFT($U242,2)="작지",LEFT($U242,4)="소재입고"),IF(LEFT($F242,1)="S","★ 납기위험(S코드)","◆ 지연주의"),IF($U242="정상","✓ 정상","? 확인필요")))</f>
        <v>? 확인필요</v>
      </c>
      <c r="W242" s="27"/>
      <c r="X242" s="32"/>
    </row>
    <row r="243" customFormat="false" ht="15" hidden="false" customHeight="false" outlineLevel="0" collapsed="false">
      <c r="A243" s="24" t="n">
        <v>239</v>
      </c>
      <c r="B243" s="25" t="s">
        <v>211</v>
      </c>
      <c r="C243" s="25" t="s">
        <v>212</v>
      </c>
      <c r="D243" s="26" t="s">
        <v>616</v>
      </c>
      <c r="E243" s="25" t="s">
        <v>617</v>
      </c>
      <c r="F243" s="24" t="str">
        <f aca="false">IF($D243="","",IF(MID($D243,5,1)="S","S(봄)",IF(MID($D243,5,1)="M","M(여름)",IF(MID($D243,5,1)="X","X(사계절)",MID($D243,5,1)))))</f>
        <v>M(여름)</v>
      </c>
      <c r="G243" s="25" t="s">
        <v>62</v>
      </c>
      <c r="H243" s="24" t="s">
        <v>397</v>
      </c>
      <c r="I243" s="27" t="s">
        <v>486</v>
      </c>
      <c r="J243" s="28" t="n">
        <f aca="false">IF($I243="","",IFERROR(DATE(IF(VALUE(LEFT($I243,FIND("월",$I243)-1))&gt;=9,기준정보!$C$7-1,기준정보!$C$7),VALUE(LEFT($I243,FIND("월",$I243)-1)),1+7*(VALUE(SUBSTITUTE(MID($I243,FIND("월",$I243)+1,5),"주",""))-1)),""))</f>
        <v>46454</v>
      </c>
      <c r="K243" s="28" t="n">
        <f aca="false">IF($J243="","",$J243-기준정보!$C$5)</f>
        <v>46440</v>
      </c>
      <c r="L243" s="28" t="n">
        <f aca="false">IF($K243="","",$K243-기준정보!$C$6)</f>
        <v>46350</v>
      </c>
      <c r="M243" s="29" t="n">
        <f aca="false">IF($L243="","",$L243-기준정보!$C$4)</f>
        <v>108</v>
      </c>
      <c r="N243" s="27" t="s">
        <v>65</v>
      </c>
      <c r="O243" s="30"/>
      <c r="P243" s="26" t="str">
        <f aca="false">IF($G243="","",IF(AND(ISNUMBER(SEARCH("CMT",$G243)),OR(ISNUMBER(SEARCH("완사입",$G243)),ISNUMBER(SEARCH("ODM",$G243)))),"본사/생산처 혼재",IF(ISNUMBER(SEARCH("CMT",$G243)),"본사(소재팀)","생산처")))</f>
        <v>생산처</v>
      </c>
      <c r="Q243" s="25" t="s">
        <v>210</v>
      </c>
      <c r="R243" s="25" t="s">
        <v>67</v>
      </c>
      <c r="S243" s="31" t="n">
        <v>5500</v>
      </c>
      <c r="T243" s="26"/>
      <c r="U243" s="26" t="str">
        <f aca="false">IF($J243="","출고일 미정",IF($N243="X","작지 미발행",IF($N243="부분","작지 일부 미발행",IF(AND($O243&lt;&gt;"",$O243&gt;$L243),"소재입고 마감("&amp;TEXT($L243,"MM/DD")&amp;") 초과",IF($N243="","발행여부 확인 필요",IF($O243="","소재 입고일정 확인 필요","정상"))))))</f>
        <v>소재 입고일정 확인 필요</v>
      </c>
      <c r="V243" s="24" t="str">
        <f aca="false">IF($J243="","",IF(OR(LEFT($U243,2)="작지",LEFT($U243,4)="소재입고"),IF(LEFT($F243,1)="S","★ 납기위험(S코드)","◆ 지연주의"),IF($U243="정상","✓ 정상","? 확인필요")))</f>
        <v>? 확인필요</v>
      </c>
      <c r="W243" s="27"/>
      <c r="X243" s="32"/>
    </row>
    <row r="244" customFormat="false" ht="15" hidden="false" customHeight="false" outlineLevel="0" collapsed="false">
      <c r="A244" s="24" t="n">
        <v>240</v>
      </c>
      <c r="B244" s="25" t="s">
        <v>175</v>
      </c>
      <c r="C244" s="25" t="s">
        <v>179</v>
      </c>
      <c r="D244" s="26" t="s">
        <v>618</v>
      </c>
      <c r="E244" s="25" t="s">
        <v>619</v>
      </c>
      <c r="F244" s="24" t="str">
        <f aca="false">IF($D244="","",IF(MID($D244,5,1)="S","S(봄)",IF(MID($D244,5,1)="M","M(여름)",IF(MID($D244,5,1)="X","X(사계절)",MID($D244,5,1)))))</f>
        <v>M(여름)</v>
      </c>
      <c r="G244" s="25" t="s">
        <v>62</v>
      </c>
      <c r="H244" s="24"/>
      <c r="I244" s="27" t="s">
        <v>620</v>
      </c>
      <c r="J244" s="28" t="n">
        <f aca="false">IF($I244="","",IFERROR(DATE(IF(VALUE(LEFT($I244,FIND("월",$I244)-1))&gt;=9,기준정보!$C$7-1,기준정보!$C$7),VALUE(LEFT($I244,FIND("월",$I244)-1)),1+7*(VALUE(SUBSTITUTE(MID($I244,FIND("월",$I244)+1,5),"주",""))-1)),""))</f>
        <v>46461</v>
      </c>
      <c r="K244" s="28" t="n">
        <f aca="false">IF($J244="","",$J244-기준정보!$C$5)</f>
        <v>46447</v>
      </c>
      <c r="L244" s="28" t="n">
        <f aca="false">IF($K244="","",$K244-기준정보!$C$6)</f>
        <v>46357</v>
      </c>
      <c r="M244" s="29" t="n">
        <f aca="false">IF($L244="","",$L244-기준정보!$C$4)</f>
        <v>115</v>
      </c>
      <c r="N244" s="27" t="s">
        <v>65</v>
      </c>
      <c r="O244" s="30"/>
      <c r="P244" s="26" t="str">
        <f aca="false">IF($G244="","",IF(AND(ISNUMBER(SEARCH("CMT",$G244)),OR(ISNUMBER(SEARCH("완사입",$G244)),ISNUMBER(SEARCH("ODM",$G244)))),"본사/생산처 혼재",IF(ISNUMBER(SEARCH("CMT",$G244)),"본사(소재팀)","생산처")))</f>
        <v>생산처</v>
      </c>
      <c r="Q244" s="26" t="s">
        <v>193</v>
      </c>
      <c r="R244" s="25" t="s">
        <v>71</v>
      </c>
      <c r="S244" s="31" t="n">
        <v>3000</v>
      </c>
      <c r="T244" s="26" t="s">
        <v>383</v>
      </c>
      <c r="U244" s="26" t="str">
        <f aca="false">IF($J244="","출고일 미정",IF($N244="X","작지 미발행",IF($N244="부분","작지 일부 미발행",IF(AND($O244&lt;&gt;"",$O244&gt;$L244),"소재입고 마감("&amp;TEXT($L244,"MM/DD")&amp;") 초과",IF($N244="","발행여부 확인 필요",IF($O244="","소재 입고일정 확인 필요","정상"))))))</f>
        <v>소재 입고일정 확인 필요</v>
      </c>
      <c r="V244" s="24" t="str">
        <f aca="false">IF($J244="","",IF(OR(LEFT($U244,2)="작지",LEFT($U244,4)="소재입고"),IF(LEFT($F244,1)="S","★ 납기위험(S코드)","◆ 지연주의"),IF($U244="정상","✓ 정상","? 확인필요")))</f>
        <v>? 확인필요</v>
      </c>
      <c r="W244" s="27"/>
      <c r="X244" s="32"/>
    </row>
    <row r="245" customFormat="false" ht="15" hidden="false" customHeight="false" outlineLevel="0" collapsed="false">
      <c r="A245" s="24" t="n">
        <v>241</v>
      </c>
      <c r="B245" s="25" t="s">
        <v>159</v>
      </c>
      <c r="C245" s="25" t="s">
        <v>341</v>
      </c>
      <c r="D245" s="26" t="s">
        <v>621</v>
      </c>
      <c r="E245" s="25" t="s">
        <v>622</v>
      </c>
      <c r="F245" s="24" t="str">
        <f aca="false">IF($D245="","",IF(MID($D245,5,1)="S","S(봄)",IF(MID($D245,5,1)="M","M(여름)",IF(MID($D245,5,1)="X","X(사계절)",MID($D245,5,1)))))</f>
        <v>M(여름)</v>
      </c>
      <c r="G245" s="26" t="s">
        <v>167</v>
      </c>
      <c r="H245" s="24" t="s">
        <v>326</v>
      </c>
      <c r="I245" s="27" t="s">
        <v>623</v>
      </c>
      <c r="J245" s="28" t="n">
        <f aca="false">IF($I245="","",IFERROR(DATE(IF(VALUE(LEFT($I245,FIND("월",$I245)-1))&gt;=9,기준정보!$C$7-1,기준정보!$C$7),VALUE(LEFT($I245,FIND("월",$I245)-1)),1+7*(VALUE(SUBSTITUTE(MID($I245,FIND("월",$I245)+1,5),"주",""))-1)),""))</f>
        <v>46468</v>
      </c>
      <c r="K245" s="28" t="n">
        <f aca="false">IF($J245="","",$J245-기준정보!$C$5)</f>
        <v>46454</v>
      </c>
      <c r="L245" s="28" t="n">
        <f aca="false">IF($K245="","",$K245-기준정보!$C$6)</f>
        <v>46364</v>
      </c>
      <c r="M245" s="29" t="n">
        <f aca="false">IF($L245="","",$L245-기준정보!$C$4)</f>
        <v>122</v>
      </c>
      <c r="N245" s="27" t="s">
        <v>65</v>
      </c>
      <c r="O245" s="30"/>
      <c r="P245" s="26" t="str">
        <f aca="false">IF($G245="","",IF(AND(ISNUMBER(SEARCH("CMT",$G245)),OR(ISNUMBER(SEARCH("완사입",$G245)),ISNUMBER(SEARCH("ODM",$G245)))),"본사/생산처 혼재",IF(ISNUMBER(SEARCH("CMT",$G245)),"본사(소재팀)","생산처")))</f>
        <v>본사(소재팀)</v>
      </c>
      <c r="Q245" s="25" t="s">
        <v>66</v>
      </c>
      <c r="R245" s="25" t="s">
        <v>67</v>
      </c>
      <c r="S245" s="31" t="n">
        <v>4000</v>
      </c>
      <c r="T245" s="26" t="s">
        <v>623</v>
      </c>
      <c r="U245" s="26" t="str">
        <f aca="false">IF($J245="","출고일 미정",IF($N245="X","작지 미발행",IF($N245="부분","작지 일부 미발행",IF(AND($O245&lt;&gt;"",$O245&gt;$L245),"소재입고 마감("&amp;TEXT($L245,"MM/DD")&amp;") 초과",IF($N245="","발행여부 확인 필요",IF($O245="","소재 입고일정 확인 필요","정상"))))))</f>
        <v>소재 입고일정 확인 필요</v>
      </c>
      <c r="V245" s="24" t="str">
        <f aca="false">IF($J245="","",IF(OR(LEFT($U245,2)="작지",LEFT($U245,4)="소재입고"),IF(LEFT($F245,1)="S","★ 납기위험(S코드)","◆ 지연주의"),IF($U245="정상","✓ 정상","? 확인필요")))</f>
        <v>? 확인필요</v>
      </c>
      <c r="W245" s="27"/>
      <c r="X245" s="32"/>
    </row>
    <row r="246" customFormat="false" ht="15" hidden="false" customHeight="false" outlineLevel="0" collapsed="false">
      <c r="A246" s="24" t="n">
        <v>242</v>
      </c>
      <c r="B246" s="25" t="s">
        <v>159</v>
      </c>
      <c r="C246" s="25" t="s">
        <v>341</v>
      </c>
      <c r="D246" s="26" t="s">
        <v>624</v>
      </c>
      <c r="E246" s="25" t="s">
        <v>625</v>
      </c>
      <c r="F246" s="24" t="str">
        <f aca="false">IF($D246="","",IF(MID($D246,5,1)="S","S(봄)",IF(MID($D246,5,1)="M","M(여름)",IF(MID($D246,5,1)="X","X(사계절)",MID($D246,5,1)))))</f>
        <v>M(여름)</v>
      </c>
      <c r="G246" s="26" t="s">
        <v>167</v>
      </c>
      <c r="H246" s="24" t="s">
        <v>326</v>
      </c>
      <c r="I246" s="27" t="s">
        <v>623</v>
      </c>
      <c r="J246" s="28" t="n">
        <f aca="false">IF($I246="","",IFERROR(DATE(IF(VALUE(LEFT($I246,FIND("월",$I246)-1))&gt;=9,기준정보!$C$7-1,기준정보!$C$7),VALUE(LEFT($I246,FIND("월",$I246)-1)),1+7*(VALUE(SUBSTITUTE(MID($I246,FIND("월",$I246)+1,5),"주",""))-1)),""))</f>
        <v>46468</v>
      </c>
      <c r="K246" s="28" t="n">
        <f aca="false">IF($J246="","",$J246-기준정보!$C$5)</f>
        <v>46454</v>
      </c>
      <c r="L246" s="28" t="n">
        <f aca="false">IF($K246="","",$K246-기준정보!$C$6)</f>
        <v>46364</v>
      </c>
      <c r="M246" s="29" t="n">
        <f aca="false">IF($L246="","",$L246-기준정보!$C$4)</f>
        <v>122</v>
      </c>
      <c r="N246" s="27" t="s">
        <v>65</v>
      </c>
      <c r="O246" s="30"/>
      <c r="P246" s="26" t="str">
        <f aca="false">IF($G246="","",IF(AND(ISNUMBER(SEARCH("CMT",$G246)),OR(ISNUMBER(SEARCH("완사입",$G246)),ISNUMBER(SEARCH("ODM",$G246)))),"본사/생산처 혼재",IF(ISNUMBER(SEARCH("CMT",$G246)),"본사(소재팀)","생산처")))</f>
        <v>본사(소재팀)</v>
      </c>
      <c r="Q246" s="25" t="s">
        <v>66</v>
      </c>
      <c r="R246" s="25" t="s">
        <v>67</v>
      </c>
      <c r="S246" s="31" t="n">
        <v>1800</v>
      </c>
      <c r="T246" s="26" t="s">
        <v>623</v>
      </c>
      <c r="U246" s="26" t="str">
        <f aca="false">IF($J246="","출고일 미정",IF($N246="X","작지 미발행",IF($N246="부분","작지 일부 미발행",IF(AND($O246&lt;&gt;"",$O246&gt;$L246),"소재입고 마감("&amp;TEXT($L246,"MM/DD")&amp;") 초과",IF($N246="","발행여부 확인 필요",IF($O246="","소재 입고일정 확인 필요","정상"))))))</f>
        <v>소재 입고일정 확인 필요</v>
      </c>
      <c r="V246" s="24" t="str">
        <f aca="false">IF($J246="","",IF(OR(LEFT($U246,2)="작지",LEFT($U246,4)="소재입고"),IF(LEFT($F246,1)="S","★ 납기위험(S코드)","◆ 지연주의"),IF($U246="정상","✓ 정상","? 확인필요")))</f>
        <v>? 확인필요</v>
      </c>
      <c r="W246" s="27"/>
      <c r="X246" s="32"/>
    </row>
    <row r="247" customFormat="false" ht="15" hidden="false" customHeight="false" outlineLevel="0" collapsed="false">
      <c r="A247" s="24" t="n">
        <v>243</v>
      </c>
      <c r="B247" s="25" t="s">
        <v>159</v>
      </c>
      <c r="C247" s="25" t="s">
        <v>341</v>
      </c>
      <c r="D247" s="26" t="s">
        <v>626</v>
      </c>
      <c r="E247" s="25" t="s">
        <v>627</v>
      </c>
      <c r="F247" s="24" t="str">
        <f aca="false">IF($D247="","",IF(MID($D247,5,1)="S","S(봄)",IF(MID($D247,5,1)="M","M(여름)",IF(MID($D247,5,1)="X","X(사계절)",MID($D247,5,1)))))</f>
        <v>M(여름)</v>
      </c>
      <c r="G247" s="26" t="s">
        <v>167</v>
      </c>
      <c r="H247" s="24" t="s">
        <v>326</v>
      </c>
      <c r="I247" s="27" t="s">
        <v>623</v>
      </c>
      <c r="J247" s="28" t="n">
        <f aca="false">IF($I247="","",IFERROR(DATE(IF(VALUE(LEFT($I247,FIND("월",$I247)-1))&gt;=9,기준정보!$C$7-1,기준정보!$C$7),VALUE(LEFT($I247,FIND("월",$I247)-1)),1+7*(VALUE(SUBSTITUTE(MID($I247,FIND("월",$I247)+1,5),"주",""))-1)),""))</f>
        <v>46468</v>
      </c>
      <c r="K247" s="28" t="n">
        <f aca="false">IF($J247="","",$J247-기준정보!$C$5)</f>
        <v>46454</v>
      </c>
      <c r="L247" s="28" t="n">
        <f aca="false">IF($K247="","",$K247-기준정보!$C$6)</f>
        <v>46364</v>
      </c>
      <c r="M247" s="29" t="n">
        <f aca="false">IF($L247="","",$L247-기준정보!$C$4)</f>
        <v>122</v>
      </c>
      <c r="N247" s="27" t="s">
        <v>65</v>
      </c>
      <c r="O247" s="30"/>
      <c r="P247" s="26" t="str">
        <f aca="false">IF($G247="","",IF(AND(ISNUMBER(SEARCH("CMT",$G247)),OR(ISNUMBER(SEARCH("완사입",$G247)),ISNUMBER(SEARCH("ODM",$G247)))),"본사/생산처 혼재",IF(ISNUMBER(SEARCH("CMT",$G247)),"본사(소재팀)","생산처")))</f>
        <v>본사(소재팀)</v>
      </c>
      <c r="Q247" s="25" t="s">
        <v>66</v>
      </c>
      <c r="R247" s="25" t="s">
        <v>67</v>
      </c>
      <c r="S247" s="31" t="n">
        <v>3000</v>
      </c>
      <c r="T247" s="26" t="s">
        <v>623</v>
      </c>
      <c r="U247" s="26" t="str">
        <f aca="false">IF($J247="","출고일 미정",IF($N247="X","작지 미발행",IF($N247="부분","작지 일부 미발행",IF(AND($O247&lt;&gt;"",$O247&gt;$L247),"소재입고 마감("&amp;TEXT($L247,"MM/DD")&amp;") 초과",IF($N247="","발행여부 확인 필요",IF($O247="","소재 입고일정 확인 필요","정상"))))))</f>
        <v>소재 입고일정 확인 필요</v>
      </c>
      <c r="V247" s="24" t="str">
        <f aca="false">IF($J247="","",IF(OR(LEFT($U247,2)="작지",LEFT($U247,4)="소재입고"),IF(LEFT($F247,1)="S","★ 납기위험(S코드)","◆ 지연주의"),IF($U247="정상","✓ 정상","? 확인필요")))</f>
        <v>? 확인필요</v>
      </c>
      <c r="W247" s="27"/>
      <c r="X247" s="32"/>
    </row>
    <row r="248" customFormat="false" ht="15" hidden="false" customHeight="false" outlineLevel="0" collapsed="false">
      <c r="A248" s="24" t="n">
        <v>244</v>
      </c>
      <c r="B248" s="25" t="s">
        <v>163</v>
      </c>
      <c r="C248" s="25" t="s">
        <v>164</v>
      </c>
      <c r="D248" s="26" t="s">
        <v>628</v>
      </c>
      <c r="E248" s="25" t="s">
        <v>629</v>
      </c>
      <c r="F248" s="24" t="str">
        <f aca="false">IF($D248="","",IF(MID($D248,5,1)="S","S(봄)",IF(MID($D248,5,1)="M","M(여름)",IF(MID($D248,5,1)="X","X(사계절)",MID($D248,5,1)))))</f>
        <v>M(여름)</v>
      </c>
      <c r="G248" s="26" t="s">
        <v>167</v>
      </c>
      <c r="H248" s="24"/>
      <c r="I248" s="27" t="s">
        <v>623</v>
      </c>
      <c r="J248" s="28" t="n">
        <f aca="false">IF($I248="","",IFERROR(DATE(IF(VALUE(LEFT($I248,FIND("월",$I248)-1))&gt;=9,기준정보!$C$7-1,기준정보!$C$7),VALUE(LEFT($I248,FIND("월",$I248)-1)),1+7*(VALUE(SUBSTITUTE(MID($I248,FIND("월",$I248)+1,5),"주",""))-1)),""))</f>
        <v>46468</v>
      </c>
      <c r="K248" s="28" t="n">
        <f aca="false">IF($J248="","",$J248-기준정보!$C$5)</f>
        <v>46454</v>
      </c>
      <c r="L248" s="28" t="n">
        <f aca="false">IF($K248="","",$K248-기준정보!$C$6)</f>
        <v>46364</v>
      </c>
      <c r="M248" s="29" t="n">
        <f aca="false">IF($L248="","",$L248-기준정보!$C$4)</f>
        <v>122</v>
      </c>
      <c r="N248" s="27" t="s">
        <v>65</v>
      </c>
      <c r="O248" s="30"/>
      <c r="P248" s="26" t="str">
        <f aca="false">IF($G248="","",IF(AND(ISNUMBER(SEARCH("CMT",$G248)),OR(ISNUMBER(SEARCH("완사입",$G248)),ISNUMBER(SEARCH("ODM",$G248)))),"본사/생산처 혼재",IF(ISNUMBER(SEARCH("CMT",$G248)),"본사(소재팀)","생산처")))</f>
        <v>본사(소재팀)</v>
      </c>
      <c r="Q248" s="26" t="s">
        <v>187</v>
      </c>
      <c r="R248" s="25" t="s">
        <v>67</v>
      </c>
      <c r="S248" s="31" t="n">
        <v>1800</v>
      </c>
      <c r="T248" s="26" t="s">
        <v>623</v>
      </c>
      <c r="U248" s="26" t="str">
        <f aca="false">IF($J248="","출고일 미정",IF($N248="X","작지 미발행",IF($N248="부분","작지 일부 미발행",IF(AND($O248&lt;&gt;"",$O248&gt;$L248),"소재입고 마감("&amp;TEXT($L248,"MM/DD")&amp;") 초과",IF($N248="","발행여부 확인 필요",IF($O248="","소재 입고일정 확인 필요","정상"))))))</f>
        <v>소재 입고일정 확인 필요</v>
      </c>
      <c r="V248" s="24" t="str">
        <f aca="false">IF($J248="","",IF(OR(LEFT($U248,2)="작지",LEFT($U248,4)="소재입고"),IF(LEFT($F248,1)="S","★ 납기위험(S코드)","◆ 지연주의"),IF($U248="정상","✓ 정상","? 확인필요")))</f>
        <v>? 확인필요</v>
      </c>
      <c r="W248" s="27"/>
      <c r="X248" s="32"/>
    </row>
    <row r="249" customFormat="false" ht="15" hidden="false" customHeight="false" outlineLevel="0" collapsed="false">
      <c r="A249" s="24" t="n">
        <v>245</v>
      </c>
      <c r="B249" s="25" t="s">
        <v>163</v>
      </c>
      <c r="C249" s="25" t="s">
        <v>164</v>
      </c>
      <c r="D249" s="26" t="s">
        <v>630</v>
      </c>
      <c r="E249" s="25" t="s">
        <v>631</v>
      </c>
      <c r="F249" s="24" t="str">
        <f aca="false">IF($D249="","",IF(MID($D249,5,1)="S","S(봄)",IF(MID($D249,5,1)="M","M(여름)",IF(MID($D249,5,1)="X","X(사계절)",MID($D249,5,1)))))</f>
        <v>M(여름)</v>
      </c>
      <c r="G249" s="26" t="s">
        <v>167</v>
      </c>
      <c r="H249" s="24"/>
      <c r="I249" s="27" t="s">
        <v>623</v>
      </c>
      <c r="J249" s="28" t="n">
        <f aca="false">IF($I249="","",IFERROR(DATE(IF(VALUE(LEFT($I249,FIND("월",$I249)-1))&gt;=9,기준정보!$C$7-1,기준정보!$C$7),VALUE(LEFT($I249,FIND("월",$I249)-1)),1+7*(VALUE(SUBSTITUTE(MID($I249,FIND("월",$I249)+1,5),"주",""))-1)),""))</f>
        <v>46468</v>
      </c>
      <c r="K249" s="28" t="n">
        <f aca="false">IF($J249="","",$J249-기준정보!$C$5)</f>
        <v>46454</v>
      </c>
      <c r="L249" s="28" t="n">
        <f aca="false">IF($K249="","",$K249-기준정보!$C$6)</f>
        <v>46364</v>
      </c>
      <c r="M249" s="29" t="n">
        <f aca="false">IF($L249="","",$L249-기준정보!$C$4)</f>
        <v>122</v>
      </c>
      <c r="N249" s="27" t="s">
        <v>65</v>
      </c>
      <c r="O249" s="30"/>
      <c r="P249" s="26" t="str">
        <f aca="false">IF($G249="","",IF(AND(ISNUMBER(SEARCH("CMT",$G249)),OR(ISNUMBER(SEARCH("완사입",$G249)),ISNUMBER(SEARCH("ODM",$G249)))),"본사/생산처 혼재",IF(ISNUMBER(SEARCH("CMT",$G249)),"본사(소재팀)","생산처")))</f>
        <v>본사(소재팀)</v>
      </c>
      <c r="Q249" s="26" t="s">
        <v>120</v>
      </c>
      <c r="R249" s="25" t="s">
        <v>67</v>
      </c>
      <c r="S249" s="31" t="n">
        <v>3200</v>
      </c>
      <c r="T249" s="26" t="s">
        <v>623</v>
      </c>
      <c r="U249" s="26" t="str">
        <f aca="false">IF($J249="","출고일 미정",IF($N249="X","작지 미발행",IF($N249="부분","작지 일부 미발행",IF(AND($O249&lt;&gt;"",$O249&gt;$L249),"소재입고 마감("&amp;TEXT($L249,"MM/DD")&amp;") 초과",IF($N249="","발행여부 확인 필요",IF($O249="","소재 입고일정 확인 필요","정상"))))))</f>
        <v>소재 입고일정 확인 필요</v>
      </c>
      <c r="V249" s="24" t="str">
        <f aca="false">IF($J249="","",IF(OR(LEFT($U249,2)="작지",LEFT($U249,4)="소재입고"),IF(LEFT($F249,1)="S","★ 납기위험(S코드)","◆ 지연주의"),IF($U249="정상","✓ 정상","? 확인필요")))</f>
        <v>? 확인필요</v>
      </c>
      <c r="W249" s="27"/>
      <c r="X249" s="32"/>
    </row>
    <row r="250" customFormat="false" ht="15" hidden="false" customHeight="false" outlineLevel="0" collapsed="false">
      <c r="A250" s="24" t="n">
        <v>246</v>
      </c>
      <c r="B250" s="25" t="s">
        <v>163</v>
      </c>
      <c r="C250" s="25" t="s">
        <v>164</v>
      </c>
      <c r="D250" s="26" t="s">
        <v>632</v>
      </c>
      <c r="E250" s="25" t="s">
        <v>633</v>
      </c>
      <c r="F250" s="24" t="str">
        <f aca="false">IF($D250="","",IF(MID($D250,5,1)="S","S(봄)",IF(MID($D250,5,1)="M","M(여름)",IF(MID($D250,5,1)="X","X(사계절)",MID($D250,5,1)))))</f>
        <v>M(여름)</v>
      </c>
      <c r="G250" s="26" t="s">
        <v>167</v>
      </c>
      <c r="H250" s="24"/>
      <c r="I250" s="27" t="s">
        <v>623</v>
      </c>
      <c r="J250" s="28" t="n">
        <f aca="false">IF($I250="","",IFERROR(DATE(IF(VALUE(LEFT($I250,FIND("월",$I250)-1))&gt;=9,기준정보!$C$7-1,기준정보!$C$7),VALUE(LEFT($I250,FIND("월",$I250)-1)),1+7*(VALUE(SUBSTITUTE(MID($I250,FIND("월",$I250)+1,5),"주",""))-1)),""))</f>
        <v>46468</v>
      </c>
      <c r="K250" s="28" t="n">
        <f aca="false">IF($J250="","",$J250-기준정보!$C$5)</f>
        <v>46454</v>
      </c>
      <c r="L250" s="28" t="n">
        <f aca="false">IF($K250="","",$K250-기준정보!$C$6)</f>
        <v>46364</v>
      </c>
      <c r="M250" s="29" t="n">
        <f aca="false">IF($L250="","",$L250-기준정보!$C$4)</f>
        <v>122</v>
      </c>
      <c r="N250" s="27" t="s">
        <v>65</v>
      </c>
      <c r="O250" s="30"/>
      <c r="P250" s="26" t="str">
        <f aca="false">IF($G250="","",IF(AND(ISNUMBER(SEARCH("CMT",$G250)),OR(ISNUMBER(SEARCH("완사입",$G250)),ISNUMBER(SEARCH("ODM",$G250)))),"본사/생산처 혼재",IF(ISNUMBER(SEARCH("CMT",$G250)),"본사(소재팀)","생산처")))</f>
        <v>본사(소재팀)</v>
      </c>
      <c r="Q250" s="26" t="s">
        <v>187</v>
      </c>
      <c r="R250" s="25" t="s">
        <v>67</v>
      </c>
      <c r="S250" s="31" t="n">
        <v>1500</v>
      </c>
      <c r="T250" s="26" t="s">
        <v>623</v>
      </c>
      <c r="U250" s="26" t="str">
        <f aca="false">IF($J250="","출고일 미정",IF($N250="X","작지 미발행",IF($N250="부분","작지 일부 미발행",IF(AND($O250&lt;&gt;"",$O250&gt;$L250),"소재입고 마감("&amp;TEXT($L250,"MM/DD")&amp;") 초과",IF($N250="","발행여부 확인 필요",IF($O250="","소재 입고일정 확인 필요","정상"))))))</f>
        <v>소재 입고일정 확인 필요</v>
      </c>
      <c r="V250" s="24" t="str">
        <f aca="false">IF($J250="","",IF(OR(LEFT($U250,2)="작지",LEFT($U250,4)="소재입고"),IF(LEFT($F250,1)="S","★ 납기위험(S코드)","◆ 지연주의"),IF($U250="정상","✓ 정상","? 확인필요")))</f>
        <v>? 확인필요</v>
      </c>
      <c r="W250" s="27"/>
      <c r="X250" s="32"/>
    </row>
    <row r="251" customFormat="false" ht="15" hidden="false" customHeight="false" outlineLevel="0" collapsed="false">
      <c r="A251" s="24" t="n">
        <v>247</v>
      </c>
      <c r="B251" s="25" t="s">
        <v>159</v>
      </c>
      <c r="C251" s="25" t="s">
        <v>341</v>
      </c>
      <c r="D251" s="26" t="s">
        <v>634</v>
      </c>
      <c r="E251" s="25" t="s">
        <v>635</v>
      </c>
      <c r="F251" s="24" t="str">
        <f aca="false">IF($D251="","",IF(MID($D251,5,1)="S","S(봄)",IF(MID($D251,5,1)="M","M(여름)",IF(MID($D251,5,1)="X","X(사계절)",MID($D251,5,1)))))</f>
        <v>M(여름)</v>
      </c>
      <c r="G251" s="25" t="s">
        <v>62</v>
      </c>
      <c r="H251" s="24" t="s">
        <v>326</v>
      </c>
      <c r="I251" s="27" t="s">
        <v>623</v>
      </c>
      <c r="J251" s="28" t="n">
        <f aca="false">IF($I251="","",IFERROR(DATE(IF(VALUE(LEFT($I251,FIND("월",$I251)-1))&gt;=9,기준정보!$C$7-1,기준정보!$C$7),VALUE(LEFT($I251,FIND("월",$I251)-1)),1+7*(VALUE(SUBSTITUTE(MID($I251,FIND("월",$I251)+1,5),"주",""))-1)),""))</f>
        <v>46468</v>
      </c>
      <c r="K251" s="28" t="n">
        <f aca="false">IF($J251="","",$J251-기준정보!$C$5)</f>
        <v>46454</v>
      </c>
      <c r="L251" s="28" t="n">
        <f aca="false">IF($K251="","",$K251-기준정보!$C$6)</f>
        <v>46364</v>
      </c>
      <c r="M251" s="29" t="n">
        <f aca="false">IF($L251="","",$L251-기준정보!$C$4)</f>
        <v>122</v>
      </c>
      <c r="N251" s="27" t="s">
        <v>65</v>
      </c>
      <c r="O251" s="30"/>
      <c r="P251" s="26" t="str">
        <f aca="false">IF($G251="","",IF(AND(ISNUMBER(SEARCH("CMT",$G251)),OR(ISNUMBER(SEARCH("완사입",$G251)),ISNUMBER(SEARCH("ODM",$G251)))),"본사/생산처 혼재",IF(ISNUMBER(SEARCH("CMT",$G251)),"본사(소재팀)","생산처")))</f>
        <v>생산처</v>
      </c>
      <c r="Q251" s="25" t="s">
        <v>84</v>
      </c>
      <c r="R251" s="25" t="s">
        <v>67</v>
      </c>
      <c r="S251" s="31" t="n">
        <v>800</v>
      </c>
      <c r="T251" s="26" t="s">
        <v>623</v>
      </c>
      <c r="U251" s="26" t="str">
        <f aca="false">IF($J251="","출고일 미정",IF($N251="X","작지 미발행",IF($N251="부분","작지 일부 미발행",IF(AND($O251&lt;&gt;"",$O251&gt;$L251),"소재입고 마감("&amp;TEXT($L251,"MM/DD")&amp;") 초과",IF($N251="","발행여부 확인 필요",IF($O251="","소재 입고일정 확인 필요","정상"))))))</f>
        <v>소재 입고일정 확인 필요</v>
      </c>
      <c r="V251" s="24" t="str">
        <f aca="false">IF($J251="","",IF(OR(LEFT($U251,2)="작지",LEFT($U251,4)="소재입고"),IF(LEFT($F251,1)="S","★ 납기위험(S코드)","◆ 지연주의"),IF($U251="정상","✓ 정상","? 확인필요")))</f>
        <v>? 확인필요</v>
      </c>
      <c r="W251" s="27"/>
      <c r="X251" s="32"/>
    </row>
    <row r="252" customFormat="false" ht="15" hidden="false" customHeight="false" outlineLevel="0" collapsed="false">
      <c r="A252" s="24" t="n">
        <v>248</v>
      </c>
      <c r="B252" s="25" t="s">
        <v>163</v>
      </c>
      <c r="C252" s="25" t="s">
        <v>164</v>
      </c>
      <c r="D252" s="26" t="s">
        <v>636</v>
      </c>
      <c r="E252" s="25" t="s">
        <v>637</v>
      </c>
      <c r="F252" s="24" t="str">
        <f aca="false">IF($D252="","",IF(MID($D252,5,1)="S","S(봄)",IF(MID($D252,5,1)="M","M(여름)",IF(MID($D252,5,1)="X","X(사계절)",MID($D252,5,1)))))</f>
        <v>M(여름)</v>
      </c>
      <c r="G252" s="25" t="s">
        <v>62</v>
      </c>
      <c r="H252" s="24"/>
      <c r="I252" s="27" t="s">
        <v>623</v>
      </c>
      <c r="J252" s="28" t="n">
        <f aca="false">IF($I252="","",IFERROR(DATE(IF(VALUE(LEFT($I252,FIND("월",$I252)-1))&gt;=9,기준정보!$C$7-1,기준정보!$C$7),VALUE(LEFT($I252,FIND("월",$I252)-1)),1+7*(VALUE(SUBSTITUTE(MID($I252,FIND("월",$I252)+1,5),"주",""))-1)),""))</f>
        <v>46468</v>
      </c>
      <c r="K252" s="28" t="n">
        <f aca="false">IF($J252="","",$J252-기준정보!$C$5)</f>
        <v>46454</v>
      </c>
      <c r="L252" s="28" t="n">
        <f aca="false">IF($K252="","",$K252-기준정보!$C$6)</f>
        <v>46364</v>
      </c>
      <c r="M252" s="29" t="n">
        <f aca="false">IF($L252="","",$L252-기준정보!$C$4)</f>
        <v>122</v>
      </c>
      <c r="N252" s="27" t="s">
        <v>65</v>
      </c>
      <c r="O252" s="30"/>
      <c r="P252" s="26" t="str">
        <f aca="false">IF($G252="","",IF(AND(ISNUMBER(SEARCH("CMT",$G252)),OR(ISNUMBER(SEARCH("완사입",$G252)),ISNUMBER(SEARCH("ODM",$G252)))),"본사/생산처 혼재",IF(ISNUMBER(SEARCH("CMT",$G252)),"본사(소재팀)","생산처")))</f>
        <v>생산처</v>
      </c>
      <c r="Q252" s="25" t="s">
        <v>190</v>
      </c>
      <c r="R252" s="25" t="s">
        <v>67</v>
      </c>
      <c r="S252" s="31" t="n">
        <v>4000</v>
      </c>
      <c r="T252" s="26" t="s">
        <v>623</v>
      </c>
      <c r="U252" s="26" t="str">
        <f aca="false">IF($J252="","출고일 미정",IF($N252="X","작지 미발행",IF($N252="부분","작지 일부 미발행",IF(AND($O252&lt;&gt;"",$O252&gt;$L252),"소재입고 마감("&amp;TEXT($L252,"MM/DD")&amp;") 초과",IF($N252="","발행여부 확인 필요",IF($O252="","소재 입고일정 확인 필요","정상"))))))</f>
        <v>소재 입고일정 확인 필요</v>
      </c>
      <c r="V252" s="24" t="str">
        <f aca="false">IF($J252="","",IF(OR(LEFT($U252,2)="작지",LEFT($U252,4)="소재입고"),IF(LEFT($F252,1)="S","★ 납기위험(S코드)","◆ 지연주의"),IF($U252="정상","✓ 정상","? 확인필요")))</f>
        <v>? 확인필요</v>
      </c>
      <c r="W252" s="27"/>
      <c r="X252" s="32"/>
    </row>
    <row r="253" customFormat="false" ht="15" hidden="false" customHeight="false" outlineLevel="0" collapsed="false">
      <c r="A253" s="24" t="n">
        <v>249</v>
      </c>
      <c r="B253" s="25" t="s">
        <v>163</v>
      </c>
      <c r="C253" s="25" t="s">
        <v>164</v>
      </c>
      <c r="D253" s="26" t="s">
        <v>638</v>
      </c>
      <c r="E253" s="25" t="s">
        <v>639</v>
      </c>
      <c r="F253" s="24" t="str">
        <f aca="false">IF($D253="","",IF(MID($D253,5,1)="S","S(봄)",IF(MID($D253,5,1)="M","M(여름)",IF(MID($D253,5,1)="X","X(사계절)",MID($D253,5,1)))))</f>
        <v>M(여름)</v>
      </c>
      <c r="G253" s="25" t="s">
        <v>62</v>
      </c>
      <c r="H253" s="24"/>
      <c r="I253" s="27" t="s">
        <v>623</v>
      </c>
      <c r="J253" s="28" t="n">
        <f aca="false">IF($I253="","",IFERROR(DATE(IF(VALUE(LEFT($I253,FIND("월",$I253)-1))&gt;=9,기준정보!$C$7-1,기준정보!$C$7),VALUE(LEFT($I253,FIND("월",$I253)-1)),1+7*(VALUE(SUBSTITUTE(MID($I253,FIND("월",$I253)+1,5),"주",""))-1)),""))</f>
        <v>46468</v>
      </c>
      <c r="K253" s="28" t="n">
        <f aca="false">IF($J253="","",$J253-기준정보!$C$5)</f>
        <v>46454</v>
      </c>
      <c r="L253" s="28" t="n">
        <f aca="false">IF($K253="","",$K253-기준정보!$C$6)</f>
        <v>46364</v>
      </c>
      <c r="M253" s="29" t="n">
        <f aca="false">IF($L253="","",$L253-기준정보!$C$4)</f>
        <v>122</v>
      </c>
      <c r="N253" s="27" t="s">
        <v>65</v>
      </c>
      <c r="O253" s="30"/>
      <c r="P253" s="26" t="str">
        <f aca="false">IF($G253="","",IF(AND(ISNUMBER(SEARCH("CMT",$G253)),OR(ISNUMBER(SEARCH("완사입",$G253)),ISNUMBER(SEARCH("ODM",$G253)))),"본사/생산처 혼재",IF(ISNUMBER(SEARCH("CMT",$G253)),"본사(소재팀)","생산처")))</f>
        <v>생산처</v>
      </c>
      <c r="Q253" s="25" t="s">
        <v>190</v>
      </c>
      <c r="R253" s="25" t="s">
        <v>67</v>
      </c>
      <c r="S253" s="31" t="n">
        <v>2000</v>
      </c>
      <c r="T253" s="26" t="s">
        <v>623</v>
      </c>
      <c r="U253" s="26" t="str">
        <f aca="false">IF($J253="","출고일 미정",IF($N253="X","작지 미발행",IF($N253="부분","작지 일부 미발행",IF(AND($O253&lt;&gt;"",$O253&gt;$L253),"소재입고 마감("&amp;TEXT($L253,"MM/DD")&amp;") 초과",IF($N253="","발행여부 확인 필요",IF($O253="","소재 입고일정 확인 필요","정상"))))))</f>
        <v>소재 입고일정 확인 필요</v>
      </c>
      <c r="V253" s="24" t="str">
        <f aca="false">IF($J253="","",IF(OR(LEFT($U253,2)="작지",LEFT($U253,4)="소재입고"),IF(LEFT($F253,1)="S","★ 납기위험(S코드)","◆ 지연주의"),IF($U253="정상","✓ 정상","? 확인필요")))</f>
        <v>? 확인필요</v>
      </c>
      <c r="W253" s="27"/>
      <c r="X253" s="32"/>
    </row>
    <row r="254" customFormat="false" ht="15" hidden="false" customHeight="false" outlineLevel="0" collapsed="false">
      <c r="A254" s="24" t="n">
        <v>250</v>
      </c>
      <c r="B254" s="25" t="s">
        <v>159</v>
      </c>
      <c r="C254" s="25" t="s">
        <v>341</v>
      </c>
      <c r="D254" s="26" t="s">
        <v>640</v>
      </c>
      <c r="E254" s="25" t="s">
        <v>641</v>
      </c>
      <c r="F254" s="24" t="str">
        <f aca="false">IF($D254="","",IF(MID($D254,5,1)="S","S(봄)",IF(MID($D254,5,1)="M","M(여름)",IF(MID($D254,5,1)="X","X(사계절)",MID($D254,5,1)))))</f>
        <v>M(여름)</v>
      </c>
      <c r="G254" s="25" t="s">
        <v>62</v>
      </c>
      <c r="H254" s="24" t="s">
        <v>326</v>
      </c>
      <c r="I254" s="27" t="s">
        <v>623</v>
      </c>
      <c r="J254" s="28" t="n">
        <f aca="false">IF($I254="","",IFERROR(DATE(IF(VALUE(LEFT($I254,FIND("월",$I254)-1))&gt;=9,기준정보!$C$7-1,기준정보!$C$7),VALUE(LEFT($I254,FIND("월",$I254)-1)),1+7*(VALUE(SUBSTITUTE(MID($I254,FIND("월",$I254)+1,5),"주",""))-1)),""))</f>
        <v>46468</v>
      </c>
      <c r="K254" s="28" t="n">
        <f aca="false">IF($J254="","",$J254-기준정보!$C$5)</f>
        <v>46454</v>
      </c>
      <c r="L254" s="28" t="n">
        <f aca="false">IF($K254="","",$K254-기준정보!$C$6)</f>
        <v>46364</v>
      </c>
      <c r="M254" s="29" t="n">
        <f aca="false">IF($L254="","",$L254-기준정보!$C$4)</f>
        <v>122</v>
      </c>
      <c r="N254" s="27" t="s">
        <v>65</v>
      </c>
      <c r="O254" s="30"/>
      <c r="P254" s="26" t="str">
        <f aca="false">IF($G254="","",IF(AND(ISNUMBER(SEARCH("CMT",$G254)),OR(ISNUMBER(SEARCH("완사입",$G254)),ISNUMBER(SEARCH("ODM",$G254)))),"본사/생산처 혼재",IF(ISNUMBER(SEARCH("CMT",$G254)),"본사(소재팀)","생산처")))</f>
        <v>생산처</v>
      </c>
      <c r="Q254" s="25" t="s">
        <v>245</v>
      </c>
      <c r="R254" s="25" t="s">
        <v>67</v>
      </c>
      <c r="S254" s="31" t="n">
        <v>1600</v>
      </c>
      <c r="T254" s="26" t="s">
        <v>623</v>
      </c>
      <c r="U254" s="26" t="str">
        <f aca="false">IF($J254="","출고일 미정",IF($N254="X","작지 미발행",IF($N254="부분","작지 일부 미발행",IF(AND($O254&lt;&gt;"",$O254&gt;$L254),"소재입고 마감("&amp;TEXT($L254,"MM/DD")&amp;") 초과",IF($N254="","발행여부 확인 필요",IF($O254="","소재 입고일정 확인 필요","정상"))))))</f>
        <v>소재 입고일정 확인 필요</v>
      </c>
      <c r="V254" s="24" t="str">
        <f aca="false">IF($J254="","",IF(OR(LEFT($U254,2)="작지",LEFT($U254,4)="소재입고"),IF(LEFT($F254,1)="S","★ 납기위험(S코드)","◆ 지연주의"),IF($U254="정상","✓ 정상","? 확인필요")))</f>
        <v>? 확인필요</v>
      </c>
      <c r="W254" s="27"/>
      <c r="X254" s="32"/>
    </row>
    <row r="255" customFormat="false" ht="15" hidden="false" customHeight="false" outlineLevel="0" collapsed="false">
      <c r="A255" s="24" t="n">
        <v>251</v>
      </c>
      <c r="B255" s="25" t="s">
        <v>159</v>
      </c>
      <c r="C255" s="25" t="s">
        <v>341</v>
      </c>
      <c r="D255" s="26" t="s">
        <v>642</v>
      </c>
      <c r="E255" s="25" t="s">
        <v>643</v>
      </c>
      <c r="F255" s="24" t="str">
        <f aca="false">IF($D255="","",IF(MID($D255,5,1)="S","S(봄)",IF(MID($D255,5,1)="M","M(여름)",IF(MID($D255,5,1)="X","X(사계절)",MID($D255,5,1)))))</f>
        <v>M(여름)</v>
      </c>
      <c r="G255" s="25" t="s">
        <v>62</v>
      </c>
      <c r="H255" s="24" t="s">
        <v>326</v>
      </c>
      <c r="I255" s="27" t="s">
        <v>623</v>
      </c>
      <c r="J255" s="28" t="n">
        <f aca="false">IF($I255="","",IFERROR(DATE(IF(VALUE(LEFT($I255,FIND("월",$I255)-1))&gt;=9,기준정보!$C$7-1,기준정보!$C$7),VALUE(LEFT($I255,FIND("월",$I255)-1)),1+7*(VALUE(SUBSTITUTE(MID($I255,FIND("월",$I255)+1,5),"주",""))-1)),""))</f>
        <v>46468</v>
      </c>
      <c r="K255" s="28" t="n">
        <f aca="false">IF($J255="","",$J255-기준정보!$C$5)</f>
        <v>46454</v>
      </c>
      <c r="L255" s="28" t="n">
        <f aca="false">IF($K255="","",$K255-기준정보!$C$6)</f>
        <v>46364</v>
      </c>
      <c r="M255" s="29" t="n">
        <f aca="false">IF($L255="","",$L255-기준정보!$C$4)</f>
        <v>122</v>
      </c>
      <c r="N255" s="27" t="s">
        <v>65</v>
      </c>
      <c r="O255" s="30"/>
      <c r="P255" s="26" t="str">
        <f aca="false">IF($G255="","",IF(AND(ISNUMBER(SEARCH("CMT",$G255)),OR(ISNUMBER(SEARCH("완사입",$G255)),ISNUMBER(SEARCH("ODM",$G255)))),"본사/생산처 혼재",IF(ISNUMBER(SEARCH("CMT",$G255)),"본사(소재팀)","생산처")))</f>
        <v>생산처</v>
      </c>
      <c r="Q255" s="26" t="s">
        <v>193</v>
      </c>
      <c r="R255" s="25" t="s">
        <v>71</v>
      </c>
      <c r="S255" s="31" t="n">
        <v>1200</v>
      </c>
      <c r="T255" s="26" t="s">
        <v>623</v>
      </c>
      <c r="U255" s="26" t="str">
        <f aca="false">IF($J255="","출고일 미정",IF($N255="X","작지 미발행",IF($N255="부분","작지 일부 미발행",IF(AND($O255&lt;&gt;"",$O255&gt;$L255),"소재입고 마감("&amp;TEXT($L255,"MM/DD")&amp;") 초과",IF($N255="","발행여부 확인 필요",IF($O255="","소재 입고일정 확인 필요","정상"))))))</f>
        <v>소재 입고일정 확인 필요</v>
      </c>
      <c r="V255" s="24" t="str">
        <f aca="false">IF($J255="","",IF(OR(LEFT($U255,2)="작지",LEFT($U255,4)="소재입고"),IF(LEFT($F255,1)="S","★ 납기위험(S코드)","◆ 지연주의"),IF($U255="정상","✓ 정상","? 확인필요")))</f>
        <v>? 확인필요</v>
      </c>
      <c r="W255" s="27"/>
      <c r="X255" s="32"/>
    </row>
    <row r="256" customFormat="false" ht="15" hidden="false" customHeight="false" outlineLevel="0" collapsed="false">
      <c r="A256" s="24" t="n">
        <v>252</v>
      </c>
      <c r="B256" s="25" t="s">
        <v>163</v>
      </c>
      <c r="C256" s="25" t="s">
        <v>164</v>
      </c>
      <c r="D256" s="26" t="s">
        <v>644</v>
      </c>
      <c r="E256" s="25" t="s">
        <v>645</v>
      </c>
      <c r="F256" s="24" t="str">
        <f aca="false">IF($D256="","",IF(MID($D256,5,1)="S","S(봄)",IF(MID($D256,5,1)="M","M(여름)",IF(MID($D256,5,1)="X","X(사계절)",MID($D256,5,1)))))</f>
        <v>M(여름)</v>
      </c>
      <c r="G256" s="25" t="s">
        <v>62</v>
      </c>
      <c r="H256" s="24"/>
      <c r="I256" s="27" t="s">
        <v>623</v>
      </c>
      <c r="J256" s="28" t="n">
        <f aca="false">IF($I256="","",IFERROR(DATE(IF(VALUE(LEFT($I256,FIND("월",$I256)-1))&gt;=9,기준정보!$C$7-1,기준정보!$C$7),VALUE(LEFT($I256,FIND("월",$I256)-1)),1+7*(VALUE(SUBSTITUTE(MID($I256,FIND("월",$I256)+1,5),"주",""))-1)),""))</f>
        <v>46468</v>
      </c>
      <c r="K256" s="28" t="n">
        <f aca="false">IF($J256="","",$J256-기준정보!$C$5)</f>
        <v>46454</v>
      </c>
      <c r="L256" s="28" t="n">
        <f aca="false">IF($K256="","",$K256-기준정보!$C$6)</f>
        <v>46364</v>
      </c>
      <c r="M256" s="29" t="n">
        <f aca="false">IF($L256="","",$L256-기준정보!$C$4)</f>
        <v>122</v>
      </c>
      <c r="N256" s="27" t="s">
        <v>65</v>
      </c>
      <c r="O256" s="30"/>
      <c r="P256" s="26" t="str">
        <f aca="false">IF($G256="","",IF(AND(ISNUMBER(SEARCH("CMT",$G256)),OR(ISNUMBER(SEARCH("완사입",$G256)),ISNUMBER(SEARCH("ODM",$G256)))),"본사/생산처 혼재",IF(ISNUMBER(SEARCH("CMT",$G256)),"본사(소재팀)","생산처")))</f>
        <v>생산처</v>
      </c>
      <c r="Q256" s="26" t="s">
        <v>193</v>
      </c>
      <c r="R256" s="25" t="s">
        <v>71</v>
      </c>
      <c r="S256" s="31" t="n">
        <v>2500</v>
      </c>
      <c r="T256" s="26" t="s">
        <v>623</v>
      </c>
      <c r="U256" s="26" t="str">
        <f aca="false">IF($J256="","출고일 미정",IF($N256="X","작지 미발행",IF($N256="부분","작지 일부 미발행",IF(AND($O256&lt;&gt;"",$O256&gt;$L256),"소재입고 마감("&amp;TEXT($L256,"MM/DD")&amp;") 초과",IF($N256="","발행여부 확인 필요",IF($O256="","소재 입고일정 확인 필요","정상"))))))</f>
        <v>소재 입고일정 확인 필요</v>
      </c>
      <c r="V256" s="24" t="str">
        <f aca="false">IF($J256="","",IF(OR(LEFT($U256,2)="작지",LEFT($U256,4)="소재입고"),IF(LEFT($F256,1)="S","★ 납기위험(S코드)","◆ 지연주의"),IF($U256="정상","✓ 정상","? 확인필요")))</f>
        <v>? 확인필요</v>
      </c>
      <c r="W256" s="27"/>
      <c r="X256" s="32"/>
    </row>
    <row r="257" customFormat="false" ht="15" hidden="false" customHeight="false" outlineLevel="0" collapsed="false">
      <c r="A257" s="24" t="n">
        <v>253</v>
      </c>
      <c r="B257" s="25" t="s">
        <v>159</v>
      </c>
      <c r="C257" s="25" t="s">
        <v>341</v>
      </c>
      <c r="D257" s="26" t="s">
        <v>646</v>
      </c>
      <c r="E257" s="25" t="s">
        <v>647</v>
      </c>
      <c r="F257" s="24" t="str">
        <f aca="false">IF($D257="","",IF(MID($D257,5,1)="S","S(봄)",IF(MID($D257,5,1)="M","M(여름)",IF(MID($D257,5,1)="X","X(사계절)",MID($D257,5,1)))))</f>
        <v>M(여름)</v>
      </c>
      <c r="G257" s="25" t="s">
        <v>62</v>
      </c>
      <c r="H257" s="24" t="s">
        <v>326</v>
      </c>
      <c r="I257" s="27" t="s">
        <v>623</v>
      </c>
      <c r="J257" s="28" t="n">
        <f aca="false">IF($I257="","",IFERROR(DATE(IF(VALUE(LEFT($I257,FIND("월",$I257)-1))&gt;=9,기준정보!$C$7-1,기준정보!$C$7),VALUE(LEFT($I257,FIND("월",$I257)-1)),1+7*(VALUE(SUBSTITUTE(MID($I257,FIND("월",$I257)+1,5),"주",""))-1)),""))</f>
        <v>46468</v>
      </c>
      <c r="K257" s="28" t="n">
        <f aca="false">IF($J257="","",$J257-기준정보!$C$5)</f>
        <v>46454</v>
      </c>
      <c r="L257" s="28" t="n">
        <f aca="false">IF($K257="","",$K257-기준정보!$C$6)</f>
        <v>46364</v>
      </c>
      <c r="M257" s="29" t="n">
        <f aca="false">IF($L257="","",$L257-기준정보!$C$4)</f>
        <v>122</v>
      </c>
      <c r="N257" s="27" t="s">
        <v>65</v>
      </c>
      <c r="O257" s="30"/>
      <c r="P257" s="26" t="str">
        <f aca="false">IF($G257="","",IF(AND(ISNUMBER(SEARCH("CMT",$G257)),OR(ISNUMBER(SEARCH("완사입",$G257)),ISNUMBER(SEARCH("ODM",$G257)))),"본사/생산처 혼재",IF(ISNUMBER(SEARCH("CMT",$G257)),"본사(소재팀)","생산처")))</f>
        <v>생산처</v>
      </c>
      <c r="Q257" s="25" t="s">
        <v>245</v>
      </c>
      <c r="R257" s="25" t="s">
        <v>67</v>
      </c>
      <c r="S257" s="31" t="n">
        <v>1200</v>
      </c>
      <c r="T257" s="26" t="s">
        <v>623</v>
      </c>
      <c r="U257" s="26" t="str">
        <f aca="false">IF($J257="","출고일 미정",IF($N257="X","작지 미발행",IF($N257="부분","작지 일부 미발행",IF(AND($O257&lt;&gt;"",$O257&gt;$L257),"소재입고 마감("&amp;TEXT($L257,"MM/DD")&amp;") 초과",IF($N257="","발행여부 확인 필요",IF($O257="","소재 입고일정 확인 필요","정상"))))))</f>
        <v>소재 입고일정 확인 필요</v>
      </c>
      <c r="V257" s="24" t="str">
        <f aca="false">IF($J257="","",IF(OR(LEFT($U257,2)="작지",LEFT($U257,4)="소재입고"),IF(LEFT($F257,1)="S","★ 납기위험(S코드)","◆ 지연주의"),IF($U257="정상","✓ 정상","? 확인필요")))</f>
        <v>? 확인필요</v>
      </c>
      <c r="W257" s="27"/>
      <c r="X257" s="32"/>
    </row>
    <row r="258" customFormat="false" ht="15" hidden="false" customHeight="false" outlineLevel="0" collapsed="false">
      <c r="A258" s="24" t="n">
        <v>254</v>
      </c>
      <c r="B258" s="25" t="s">
        <v>159</v>
      </c>
      <c r="C258" s="25" t="s">
        <v>341</v>
      </c>
      <c r="D258" s="26" t="s">
        <v>648</v>
      </c>
      <c r="E258" s="25" t="s">
        <v>649</v>
      </c>
      <c r="F258" s="24" t="str">
        <f aca="false">IF($D258="","",IF(MID($D258,5,1)="S","S(봄)",IF(MID($D258,5,1)="M","M(여름)",IF(MID($D258,5,1)="X","X(사계절)",MID($D258,5,1)))))</f>
        <v>M(여름)</v>
      </c>
      <c r="G258" s="26" t="s">
        <v>167</v>
      </c>
      <c r="H258" s="24" t="s">
        <v>326</v>
      </c>
      <c r="I258" s="27" t="s">
        <v>623</v>
      </c>
      <c r="J258" s="28" t="n">
        <f aca="false">IF($I258="","",IFERROR(DATE(IF(VALUE(LEFT($I258,FIND("월",$I258)-1))&gt;=9,기준정보!$C$7-1,기준정보!$C$7),VALUE(LEFT($I258,FIND("월",$I258)-1)),1+7*(VALUE(SUBSTITUTE(MID($I258,FIND("월",$I258)+1,5),"주",""))-1)),""))</f>
        <v>46468</v>
      </c>
      <c r="K258" s="28" t="n">
        <f aca="false">IF($J258="","",$J258-기준정보!$C$5)</f>
        <v>46454</v>
      </c>
      <c r="L258" s="28" t="n">
        <f aca="false">IF($K258="","",$K258-기준정보!$C$6)</f>
        <v>46364</v>
      </c>
      <c r="M258" s="29" t="n">
        <f aca="false">IF($L258="","",$L258-기준정보!$C$4)</f>
        <v>122</v>
      </c>
      <c r="N258" s="27" t="s">
        <v>65</v>
      </c>
      <c r="O258" s="30"/>
      <c r="P258" s="26" t="str">
        <f aca="false">IF($G258="","",IF(AND(ISNUMBER(SEARCH("CMT",$G258)),OR(ISNUMBER(SEARCH("완사입",$G258)),ISNUMBER(SEARCH("ODM",$G258)))),"본사/생산처 혼재",IF(ISNUMBER(SEARCH("CMT",$G258)),"본사(소재팀)","생산처")))</f>
        <v>본사(소재팀)</v>
      </c>
      <c r="Q258" s="25" t="s">
        <v>66</v>
      </c>
      <c r="R258" s="25" t="s">
        <v>67</v>
      </c>
      <c r="S258" s="31" t="n">
        <v>2000</v>
      </c>
      <c r="T258" s="26" t="s">
        <v>623</v>
      </c>
      <c r="U258" s="26" t="str">
        <f aca="false">IF($J258="","출고일 미정",IF($N258="X","작지 미발행",IF($N258="부분","작지 일부 미발행",IF(AND($O258&lt;&gt;"",$O258&gt;$L258),"소재입고 마감("&amp;TEXT($L258,"MM/DD")&amp;") 초과",IF($N258="","발행여부 확인 필요",IF($O258="","소재 입고일정 확인 필요","정상"))))))</f>
        <v>소재 입고일정 확인 필요</v>
      </c>
      <c r="V258" s="24" t="str">
        <f aca="false">IF($J258="","",IF(OR(LEFT($U258,2)="작지",LEFT($U258,4)="소재입고"),IF(LEFT($F258,1)="S","★ 납기위험(S코드)","◆ 지연주의"),IF($U258="정상","✓ 정상","? 확인필요")))</f>
        <v>? 확인필요</v>
      </c>
      <c r="W258" s="27"/>
      <c r="X258" s="32"/>
    </row>
    <row r="259" customFormat="false" ht="15" hidden="false" customHeight="false" outlineLevel="0" collapsed="false">
      <c r="A259" s="24" t="n">
        <v>255</v>
      </c>
      <c r="B259" s="25" t="s">
        <v>175</v>
      </c>
      <c r="C259" s="25" t="s">
        <v>160</v>
      </c>
      <c r="D259" s="26" t="s">
        <v>650</v>
      </c>
      <c r="E259" s="25" t="s">
        <v>651</v>
      </c>
      <c r="F259" s="24" t="str">
        <f aca="false">IF($D259="","",IF(MID($D259,5,1)="S","S(봄)",IF(MID($D259,5,1)="M","M(여름)",IF(MID($D259,5,1)="X","X(사계절)",MID($D259,5,1)))))</f>
        <v>M(여름)</v>
      </c>
      <c r="G259" s="25" t="s">
        <v>62</v>
      </c>
      <c r="H259" s="24"/>
      <c r="I259" s="27" t="s">
        <v>623</v>
      </c>
      <c r="J259" s="28" t="n">
        <f aca="false">IF($I259="","",IFERROR(DATE(IF(VALUE(LEFT($I259,FIND("월",$I259)-1))&gt;=9,기준정보!$C$7-1,기준정보!$C$7),VALUE(LEFT($I259,FIND("월",$I259)-1)),1+7*(VALUE(SUBSTITUTE(MID($I259,FIND("월",$I259)+1,5),"주",""))-1)),""))</f>
        <v>46468</v>
      </c>
      <c r="K259" s="28" t="n">
        <f aca="false">IF($J259="","",$J259-기준정보!$C$5)</f>
        <v>46454</v>
      </c>
      <c r="L259" s="28" t="n">
        <f aca="false">IF($K259="","",$K259-기준정보!$C$6)</f>
        <v>46364</v>
      </c>
      <c r="M259" s="29" t="n">
        <f aca="false">IF($L259="","",$L259-기준정보!$C$4)</f>
        <v>122</v>
      </c>
      <c r="N259" s="27" t="s">
        <v>65</v>
      </c>
      <c r="O259" s="30"/>
      <c r="P259" s="26" t="str">
        <f aca="false">IF($G259="","",IF(AND(ISNUMBER(SEARCH("CMT",$G259)),OR(ISNUMBER(SEARCH("완사입",$G259)),ISNUMBER(SEARCH("ODM",$G259)))),"본사/생산처 혼재",IF(ISNUMBER(SEARCH("CMT",$G259)),"본사(소재팀)","생산처")))</f>
        <v>생산처</v>
      </c>
      <c r="Q259" s="25" t="s">
        <v>204</v>
      </c>
      <c r="R259" s="25" t="s">
        <v>67</v>
      </c>
      <c r="S259" s="31" t="n">
        <v>16000</v>
      </c>
      <c r="T259" s="26"/>
      <c r="U259" s="26" t="str">
        <f aca="false">IF($J259="","출고일 미정",IF($N259="X","작지 미발행",IF($N259="부분","작지 일부 미발행",IF(AND($O259&lt;&gt;"",$O259&gt;$L259),"소재입고 마감("&amp;TEXT($L259,"MM/DD")&amp;") 초과",IF($N259="","발행여부 확인 필요",IF($O259="","소재 입고일정 확인 필요","정상"))))))</f>
        <v>소재 입고일정 확인 필요</v>
      </c>
      <c r="V259" s="24" t="str">
        <f aca="false">IF($J259="","",IF(OR(LEFT($U259,2)="작지",LEFT($U259,4)="소재입고"),IF(LEFT($F259,1)="S","★ 납기위험(S코드)","◆ 지연주의"),IF($U259="정상","✓ 정상","? 확인필요")))</f>
        <v>? 확인필요</v>
      </c>
      <c r="W259" s="27"/>
      <c r="X259" s="32"/>
    </row>
    <row r="260" customFormat="false" ht="15" hidden="false" customHeight="false" outlineLevel="0" collapsed="false">
      <c r="A260" s="24" t="n">
        <v>256</v>
      </c>
      <c r="B260" s="25" t="s">
        <v>159</v>
      </c>
      <c r="C260" s="25" t="s">
        <v>341</v>
      </c>
      <c r="D260" s="26" t="s">
        <v>652</v>
      </c>
      <c r="E260" s="25" t="s">
        <v>653</v>
      </c>
      <c r="F260" s="24" t="str">
        <f aca="false">IF($D260="","",IF(MID($D260,5,1)="S","S(봄)",IF(MID($D260,5,1)="M","M(여름)",IF(MID($D260,5,1)="X","X(사계절)",MID($D260,5,1)))))</f>
        <v>M(여름)</v>
      </c>
      <c r="G260" s="25" t="s">
        <v>62</v>
      </c>
      <c r="H260" s="24" t="s">
        <v>326</v>
      </c>
      <c r="I260" s="27" t="s">
        <v>623</v>
      </c>
      <c r="J260" s="28" t="n">
        <f aca="false">IF($I260="","",IFERROR(DATE(IF(VALUE(LEFT($I260,FIND("월",$I260)-1))&gt;=9,기준정보!$C$7-1,기준정보!$C$7),VALUE(LEFT($I260,FIND("월",$I260)-1)),1+7*(VALUE(SUBSTITUTE(MID($I260,FIND("월",$I260)+1,5),"주",""))-1)),""))</f>
        <v>46468</v>
      </c>
      <c r="K260" s="28" t="n">
        <f aca="false">IF($J260="","",$J260-기준정보!$C$5)</f>
        <v>46454</v>
      </c>
      <c r="L260" s="28" t="n">
        <f aca="false">IF($K260="","",$K260-기준정보!$C$6)</f>
        <v>46364</v>
      </c>
      <c r="M260" s="29" t="n">
        <f aca="false">IF($L260="","",$L260-기준정보!$C$4)</f>
        <v>122</v>
      </c>
      <c r="N260" s="27" t="s">
        <v>65</v>
      </c>
      <c r="O260" s="30"/>
      <c r="P260" s="26" t="str">
        <f aca="false">IF($G260="","",IF(AND(ISNUMBER(SEARCH("CMT",$G260)),OR(ISNUMBER(SEARCH("완사입",$G260)),ISNUMBER(SEARCH("ODM",$G260)))),"본사/생산처 혼재",IF(ISNUMBER(SEARCH("CMT",$G260)),"본사(소재팀)","생산처")))</f>
        <v>생산처</v>
      </c>
      <c r="Q260" s="25" t="s">
        <v>66</v>
      </c>
      <c r="R260" s="25" t="s">
        <v>67</v>
      </c>
      <c r="S260" s="31" t="n">
        <v>400</v>
      </c>
      <c r="T260" s="26" t="s">
        <v>623</v>
      </c>
      <c r="U260" s="26" t="str">
        <f aca="false">IF($J260="","출고일 미정",IF($N260="X","작지 미발행",IF($N260="부분","작지 일부 미발행",IF(AND($O260&lt;&gt;"",$O260&gt;$L260),"소재입고 마감("&amp;TEXT($L260,"MM/DD")&amp;") 초과",IF($N260="","발행여부 확인 필요",IF($O260="","소재 입고일정 확인 필요","정상"))))))</f>
        <v>소재 입고일정 확인 필요</v>
      </c>
      <c r="V260" s="24" t="str">
        <f aca="false">IF($J260="","",IF(OR(LEFT($U260,2)="작지",LEFT($U260,4)="소재입고"),IF(LEFT($F260,1)="S","★ 납기위험(S코드)","◆ 지연주의"),IF($U260="정상","✓ 정상","? 확인필요")))</f>
        <v>? 확인필요</v>
      </c>
      <c r="W260" s="27"/>
      <c r="X260" s="32"/>
    </row>
    <row r="261" customFormat="false" ht="15" hidden="false" customHeight="false" outlineLevel="0" collapsed="false">
      <c r="A261" s="24" t="n">
        <v>257</v>
      </c>
      <c r="B261" s="25" t="s">
        <v>159</v>
      </c>
      <c r="C261" s="25" t="s">
        <v>341</v>
      </c>
      <c r="D261" s="26" t="s">
        <v>654</v>
      </c>
      <c r="E261" s="25" t="s">
        <v>655</v>
      </c>
      <c r="F261" s="24" t="str">
        <f aca="false">IF($D261="","",IF(MID($D261,5,1)="S","S(봄)",IF(MID($D261,5,1)="M","M(여름)",IF(MID($D261,5,1)="X","X(사계절)",MID($D261,5,1)))))</f>
        <v>M(여름)</v>
      </c>
      <c r="G261" s="26" t="s">
        <v>167</v>
      </c>
      <c r="H261" s="24" t="s">
        <v>326</v>
      </c>
      <c r="I261" s="27" t="s">
        <v>623</v>
      </c>
      <c r="J261" s="28" t="n">
        <f aca="false">IF($I261="","",IFERROR(DATE(IF(VALUE(LEFT($I261,FIND("월",$I261)-1))&gt;=9,기준정보!$C$7-1,기준정보!$C$7),VALUE(LEFT($I261,FIND("월",$I261)-1)),1+7*(VALUE(SUBSTITUTE(MID($I261,FIND("월",$I261)+1,5),"주",""))-1)),""))</f>
        <v>46468</v>
      </c>
      <c r="K261" s="28" t="n">
        <f aca="false">IF($J261="","",$J261-기준정보!$C$5)</f>
        <v>46454</v>
      </c>
      <c r="L261" s="28" t="n">
        <f aca="false">IF($K261="","",$K261-기준정보!$C$6)</f>
        <v>46364</v>
      </c>
      <c r="M261" s="29" t="n">
        <f aca="false">IF($L261="","",$L261-기준정보!$C$4)</f>
        <v>122</v>
      </c>
      <c r="N261" s="27" t="s">
        <v>65</v>
      </c>
      <c r="O261" s="30"/>
      <c r="P261" s="26" t="str">
        <f aca="false">IF($G261="","",IF(AND(ISNUMBER(SEARCH("CMT",$G261)),OR(ISNUMBER(SEARCH("완사입",$G261)),ISNUMBER(SEARCH("ODM",$G261)))),"본사/생산처 혼재",IF(ISNUMBER(SEARCH("CMT",$G261)),"본사(소재팀)","생산처")))</f>
        <v>본사(소재팀)</v>
      </c>
      <c r="Q261" s="25" t="s">
        <v>66</v>
      </c>
      <c r="R261" s="25" t="s">
        <v>67</v>
      </c>
      <c r="S261" s="31" t="n">
        <v>3500</v>
      </c>
      <c r="T261" s="26" t="s">
        <v>623</v>
      </c>
      <c r="U261" s="26" t="str">
        <f aca="false">IF($J261="","출고일 미정",IF($N261="X","작지 미발행",IF($N261="부분","작지 일부 미발행",IF(AND($O261&lt;&gt;"",$O261&gt;$L261),"소재입고 마감("&amp;TEXT($L261,"MM/DD")&amp;") 초과",IF($N261="","발행여부 확인 필요",IF($O261="","소재 입고일정 확인 필요","정상"))))))</f>
        <v>소재 입고일정 확인 필요</v>
      </c>
      <c r="V261" s="24" t="str">
        <f aca="false">IF($J261="","",IF(OR(LEFT($U261,2)="작지",LEFT($U261,4)="소재입고"),IF(LEFT($F261,1)="S","★ 납기위험(S코드)","◆ 지연주의"),IF($U261="정상","✓ 정상","? 확인필요")))</f>
        <v>? 확인필요</v>
      </c>
      <c r="W261" s="27"/>
      <c r="X261" s="32"/>
    </row>
    <row r="262" customFormat="false" ht="15" hidden="false" customHeight="false" outlineLevel="0" collapsed="false">
      <c r="A262" s="24" t="n">
        <v>258</v>
      </c>
      <c r="B262" s="25" t="s">
        <v>159</v>
      </c>
      <c r="C262" s="25" t="s">
        <v>341</v>
      </c>
      <c r="D262" s="26" t="s">
        <v>656</v>
      </c>
      <c r="E262" s="25" t="s">
        <v>657</v>
      </c>
      <c r="F262" s="24" t="str">
        <f aca="false">IF($D262="","",IF(MID($D262,5,1)="S","S(봄)",IF(MID($D262,5,1)="M","M(여름)",IF(MID($D262,5,1)="X","X(사계절)",MID($D262,5,1)))))</f>
        <v>M(여름)</v>
      </c>
      <c r="G262" s="26" t="s">
        <v>167</v>
      </c>
      <c r="H262" s="24" t="s">
        <v>326</v>
      </c>
      <c r="I262" s="27" t="s">
        <v>623</v>
      </c>
      <c r="J262" s="28" t="n">
        <f aca="false">IF($I262="","",IFERROR(DATE(IF(VALUE(LEFT($I262,FIND("월",$I262)-1))&gt;=9,기준정보!$C$7-1,기준정보!$C$7),VALUE(LEFT($I262,FIND("월",$I262)-1)),1+7*(VALUE(SUBSTITUTE(MID($I262,FIND("월",$I262)+1,5),"주",""))-1)),""))</f>
        <v>46468</v>
      </c>
      <c r="K262" s="28" t="n">
        <f aca="false">IF($J262="","",$J262-기준정보!$C$5)</f>
        <v>46454</v>
      </c>
      <c r="L262" s="28" t="n">
        <f aca="false">IF($K262="","",$K262-기준정보!$C$6)</f>
        <v>46364</v>
      </c>
      <c r="M262" s="29" t="n">
        <f aca="false">IF($L262="","",$L262-기준정보!$C$4)</f>
        <v>122</v>
      </c>
      <c r="N262" s="27" t="s">
        <v>65</v>
      </c>
      <c r="O262" s="30"/>
      <c r="P262" s="26" t="str">
        <f aca="false">IF($G262="","",IF(AND(ISNUMBER(SEARCH("CMT",$G262)),OR(ISNUMBER(SEARCH("완사입",$G262)),ISNUMBER(SEARCH("ODM",$G262)))),"본사/생산처 혼재",IF(ISNUMBER(SEARCH("CMT",$G262)),"본사(소재팀)","생산처")))</f>
        <v>본사(소재팀)</v>
      </c>
      <c r="Q262" s="25" t="s">
        <v>66</v>
      </c>
      <c r="R262" s="25" t="s">
        <v>67</v>
      </c>
      <c r="S262" s="31" t="n">
        <v>2400</v>
      </c>
      <c r="T262" s="26" t="s">
        <v>623</v>
      </c>
      <c r="U262" s="26" t="str">
        <f aca="false">IF($J262="","출고일 미정",IF($N262="X","작지 미발행",IF($N262="부분","작지 일부 미발행",IF(AND($O262&lt;&gt;"",$O262&gt;$L262),"소재입고 마감("&amp;TEXT($L262,"MM/DD")&amp;") 초과",IF($N262="","발행여부 확인 필요",IF($O262="","소재 입고일정 확인 필요","정상"))))))</f>
        <v>소재 입고일정 확인 필요</v>
      </c>
      <c r="V262" s="24" t="str">
        <f aca="false">IF($J262="","",IF(OR(LEFT($U262,2)="작지",LEFT($U262,4)="소재입고"),IF(LEFT($F262,1)="S","★ 납기위험(S코드)","◆ 지연주의"),IF($U262="정상","✓ 정상","? 확인필요")))</f>
        <v>? 확인필요</v>
      </c>
      <c r="W262" s="27"/>
      <c r="X262" s="32"/>
    </row>
    <row r="263" customFormat="false" ht="15" hidden="false" customHeight="false" outlineLevel="0" collapsed="false">
      <c r="A263" s="24" t="n">
        <v>259</v>
      </c>
      <c r="B263" s="25" t="s">
        <v>159</v>
      </c>
      <c r="C263" s="25" t="s">
        <v>341</v>
      </c>
      <c r="D263" s="26" t="s">
        <v>658</v>
      </c>
      <c r="E263" s="25" t="s">
        <v>659</v>
      </c>
      <c r="F263" s="24" t="str">
        <f aca="false">IF($D263="","",IF(MID($D263,5,1)="S","S(봄)",IF(MID($D263,5,1)="M","M(여름)",IF(MID($D263,5,1)="X","X(사계절)",MID($D263,5,1)))))</f>
        <v>M(여름)</v>
      </c>
      <c r="G263" s="26" t="s">
        <v>167</v>
      </c>
      <c r="H263" s="24" t="s">
        <v>326</v>
      </c>
      <c r="I263" s="27" t="s">
        <v>623</v>
      </c>
      <c r="J263" s="28" t="n">
        <f aca="false">IF($I263="","",IFERROR(DATE(IF(VALUE(LEFT($I263,FIND("월",$I263)-1))&gt;=9,기준정보!$C$7-1,기준정보!$C$7),VALUE(LEFT($I263,FIND("월",$I263)-1)),1+7*(VALUE(SUBSTITUTE(MID($I263,FIND("월",$I263)+1,5),"주",""))-1)),""))</f>
        <v>46468</v>
      </c>
      <c r="K263" s="28" t="n">
        <f aca="false">IF($J263="","",$J263-기준정보!$C$5)</f>
        <v>46454</v>
      </c>
      <c r="L263" s="28" t="n">
        <f aca="false">IF($K263="","",$K263-기준정보!$C$6)</f>
        <v>46364</v>
      </c>
      <c r="M263" s="29" t="n">
        <f aca="false">IF($L263="","",$L263-기준정보!$C$4)</f>
        <v>122</v>
      </c>
      <c r="N263" s="27" t="s">
        <v>65</v>
      </c>
      <c r="O263" s="30"/>
      <c r="P263" s="26" t="str">
        <f aca="false">IF($G263="","",IF(AND(ISNUMBER(SEARCH("CMT",$G263)),OR(ISNUMBER(SEARCH("완사입",$G263)),ISNUMBER(SEARCH("ODM",$G263)))),"본사/생산처 혼재",IF(ISNUMBER(SEARCH("CMT",$G263)),"본사(소재팀)","생산처")))</f>
        <v>본사(소재팀)</v>
      </c>
      <c r="Q263" s="25" t="s">
        <v>66</v>
      </c>
      <c r="R263" s="25" t="s">
        <v>67</v>
      </c>
      <c r="S263" s="31" t="n">
        <v>3500</v>
      </c>
      <c r="T263" s="26" t="s">
        <v>623</v>
      </c>
      <c r="U263" s="26" t="str">
        <f aca="false">IF($J263="","출고일 미정",IF($N263="X","작지 미발행",IF($N263="부분","작지 일부 미발행",IF(AND($O263&lt;&gt;"",$O263&gt;$L263),"소재입고 마감("&amp;TEXT($L263,"MM/DD")&amp;") 초과",IF($N263="","발행여부 확인 필요",IF($O263="","소재 입고일정 확인 필요","정상"))))))</f>
        <v>소재 입고일정 확인 필요</v>
      </c>
      <c r="V263" s="24" t="str">
        <f aca="false">IF($J263="","",IF(OR(LEFT($U263,2)="작지",LEFT($U263,4)="소재입고"),IF(LEFT($F263,1)="S","★ 납기위험(S코드)","◆ 지연주의"),IF($U263="정상","✓ 정상","? 확인필요")))</f>
        <v>? 확인필요</v>
      </c>
      <c r="W263" s="27"/>
      <c r="X263" s="32"/>
    </row>
    <row r="264" customFormat="false" ht="15" hidden="false" customHeight="false" outlineLevel="0" collapsed="false">
      <c r="A264" s="24" t="n">
        <v>260</v>
      </c>
      <c r="B264" s="25" t="s">
        <v>178</v>
      </c>
      <c r="C264" s="25" t="s">
        <v>179</v>
      </c>
      <c r="D264" s="26" t="s">
        <v>660</v>
      </c>
      <c r="E264" s="25" t="s">
        <v>661</v>
      </c>
      <c r="F264" s="24" t="str">
        <f aca="false">IF($D264="","",IF(MID($D264,5,1)="S","S(봄)",IF(MID($D264,5,1)="M","M(여름)",IF(MID($D264,5,1)="X","X(사계절)",MID($D264,5,1)))))</f>
        <v>M(여름)</v>
      </c>
      <c r="G264" s="26" t="s">
        <v>167</v>
      </c>
      <c r="H264" s="24" t="s">
        <v>326</v>
      </c>
      <c r="I264" s="27" t="s">
        <v>623</v>
      </c>
      <c r="J264" s="28" t="n">
        <f aca="false">IF($I264="","",IFERROR(DATE(IF(VALUE(LEFT($I264,FIND("월",$I264)-1))&gt;=9,기준정보!$C$7-1,기준정보!$C$7),VALUE(LEFT($I264,FIND("월",$I264)-1)),1+7*(VALUE(SUBSTITUTE(MID($I264,FIND("월",$I264)+1,5),"주",""))-1)),""))</f>
        <v>46468</v>
      </c>
      <c r="K264" s="28" t="n">
        <f aca="false">IF($J264="","",$J264-기준정보!$C$5)</f>
        <v>46454</v>
      </c>
      <c r="L264" s="28" t="n">
        <f aca="false">IF($K264="","",$K264-기준정보!$C$6)</f>
        <v>46364</v>
      </c>
      <c r="M264" s="29" t="n">
        <f aca="false">IF($L264="","",$L264-기준정보!$C$4)</f>
        <v>122</v>
      </c>
      <c r="N264" s="27" t="s">
        <v>65</v>
      </c>
      <c r="O264" s="30"/>
      <c r="P264" s="26" t="str">
        <f aca="false">IF($G264="","",IF(AND(ISNUMBER(SEARCH("CMT",$G264)),OR(ISNUMBER(SEARCH("완사입",$G264)),ISNUMBER(SEARCH("ODM",$G264)))),"본사/생산처 혼재",IF(ISNUMBER(SEARCH("CMT",$G264)),"본사(소재팀)","생산처")))</f>
        <v>본사(소재팀)</v>
      </c>
      <c r="Q264" s="25" t="s">
        <v>168</v>
      </c>
      <c r="R264" s="25" t="s">
        <v>67</v>
      </c>
      <c r="S264" s="31" t="n">
        <v>3500</v>
      </c>
      <c r="T264" s="26" t="s">
        <v>623</v>
      </c>
      <c r="U264" s="26" t="str">
        <f aca="false">IF($J264="","출고일 미정",IF($N264="X","작지 미발행",IF($N264="부분","작지 일부 미발행",IF(AND($O264&lt;&gt;"",$O264&gt;$L264),"소재입고 마감("&amp;TEXT($L264,"MM/DD")&amp;") 초과",IF($N264="","발행여부 확인 필요",IF($O264="","소재 입고일정 확인 필요","정상"))))))</f>
        <v>소재 입고일정 확인 필요</v>
      </c>
      <c r="V264" s="24" t="str">
        <f aca="false">IF($J264="","",IF(OR(LEFT($U264,2)="작지",LEFT($U264,4)="소재입고"),IF(LEFT($F264,1)="S","★ 납기위험(S코드)","◆ 지연주의"),IF($U264="정상","✓ 정상","? 확인필요")))</f>
        <v>? 확인필요</v>
      </c>
      <c r="W264" s="27"/>
      <c r="X264" s="32"/>
    </row>
    <row r="265" customFormat="false" ht="15" hidden="false" customHeight="false" outlineLevel="0" collapsed="false">
      <c r="A265" s="24" t="n">
        <v>261</v>
      </c>
      <c r="B265" s="25" t="s">
        <v>178</v>
      </c>
      <c r="C265" s="25" t="s">
        <v>179</v>
      </c>
      <c r="D265" s="26" t="s">
        <v>662</v>
      </c>
      <c r="E265" s="25" t="s">
        <v>663</v>
      </c>
      <c r="F265" s="24" t="str">
        <f aca="false">IF($D265="","",IF(MID($D265,5,1)="S","S(봄)",IF(MID($D265,5,1)="M","M(여름)",IF(MID($D265,5,1)="X","X(사계절)",MID($D265,5,1)))))</f>
        <v>M(여름)</v>
      </c>
      <c r="G265" s="25" t="s">
        <v>62</v>
      </c>
      <c r="H265" s="24" t="s">
        <v>326</v>
      </c>
      <c r="I265" s="27" t="s">
        <v>623</v>
      </c>
      <c r="J265" s="28" t="n">
        <f aca="false">IF($I265="","",IFERROR(DATE(IF(VALUE(LEFT($I265,FIND("월",$I265)-1))&gt;=9,기준정보!$C$7-1,기준정보!$C$7),VALUE(LEFT($I265,FIND("월",$I265)-1)),1+7*(VALUE(SUBSTITUTE(MID($I265,FIND("월",$I265)+1,5),"주",""))-1)),""))</f>
        <v>46468</v>
      </c>
      <c r="K265" s="28" t="n">
        <f aca="false">IF($J265="","",$J265-기준정보!$C$5)</f>
        <v>46454</v>
      </c>
      <c r="L265" s="28" t="n">
        <f aca="false">IF($K265="","",$K265-기준정보!$C$6)</f>
        <v>46364</v>
      </c>
      <c r="M265" s="29" t="n">
        <f aca="false">IF($L265="","",$L265-기준정보!$C$4)</f>
        <v>122</v>
      </c>
      <c r="N265" s="27" t="s">
        <v>65</v>
      </c>
      <c r="O265" s="30"/>
      <c r="P265" s="26" t="str">
        <f aca="false">IF($G265="","",IF(AND(ISNUMBER(SEARCH("CMT",$G265)),OR(ISNUMBER(SEARCH("완사입",$G265)),ISNUMBER(SEARCH("ODM",$G265)))),"본사/생산처 혼재",IF(ISNUMBER(SEARCH("CMT",$G265)),"본사(소재팀)","생산처")))</f>
        <v>생산처</v>
      </c>
      <c r="Q265" s="26" t="s">
        <v>120</v>
      </c>
      <c r="R265" s="25" t="s">
        <v>67</v>
      </c>
      <c r="S265" s="31" t="n">
        <v>7000</v>
      </c>
      <c r="T265" s="26" t="s">
        <v>623</v>
      </c>
      <c r="U265" s="26" t="str">
        <f aca="false">IF($J265="","출고일 미정",IF($N265="X","작지 미발행",IF($N265="부분","작지 일부 미발행",IF(AND($O265&lt;&gt;"",$O265&gt;$L265),"소재입고 마감("&amp;TEXT($L265,"MM/DD")&amp;") 초과",IF($N265="","발행여부 확인 필요",IF($O265="","소재 입고일정 확인 필요","정상"))))))</f>
        <v>소재 입고일정 확인 필요</v>
      </c>
      <c r="V265" s="24" t="str">
        <f aca="false">IF($J265="","",IF(OR(LEFT($U265,2)="작지",LEFT($U265,4)="소재입고"),IF(LEFT($F265,1)="S","★ 납기위험(S코드)","◆ 지연주의"),IF($U265="정상","✓ 정상","? 확인필요")))</f>
        <v>? 확인필요</v>
      </c>
      <c r="W265" s="27"/>
      <c r="X265" s="32"/>
    </row>
    <row r="266" customFormat="false" ht="15" hidden="false" customHeight="false" outlineLevel="0" collapsed="false">
      <c r="A266" s="24" t="n">
        <v>262</v>
      </c>
      <c r="B266" s="25" t="s">
        <v>178</v>
      </c>
      <c r="C266" s="25" t="s">
        <v>179</v>
      </c>
      <c r="D266" s="26" t="s">
        <v>664</v>
      </c>
      <c r="E266" s="25" t="s">
        <v>665</v>
      </c>
      <c r="F266" s="24" t="str">
        <f aca="false">IF($D266="","",IF(MID($D266,5,1)="S","S(봄)",IF(MID($D266,5,1)="M","M(여름)",IF(MID($D266,5,1)="X","X(사계절)",MID($D266,5,1)))))</f>
        <v>M(여름)</v>
      </c>
      <c r="G266" s="25" t="s">
        <v>62</v>
      </c>
      <c r="H266" s="24" t="s">
        <v>326</v>
      </c>
      <c r="I266" s="27" t="s">
        <v>623</v>
      </c>
      <c r="J266" s="28" t="n">
        <f aca="false">IF($I266="","",IFERROR(DATE(IF(VALUE(LEFT($I266,FIND("월",$I266)-1))&gt;=9,기준정보!$C$7-1,기준정보!$C$7),VALUE(LEFT($I266,FIND("월",$I266)-1)),1+7*(VALUE(SUBSTITUTE(MID($I266,FIND("월",$I266)+1,5),"주",""))-1)),""))</f>
        <v>46468</v>
      </c>
      <c r="K266" s="28" t="n">
        <f aca="false">IF($J266="","",$J266-기준정보!$C$5)</f>
        <v>46454</v>
      </c>
      <c r="L266" s="28" t="n">
        <f aca="false">IF($K266="","",$K266-기준정보!$C$6)</f>
        <v>46364</v>
      </c>
      <c r="M266" s="29" t="n">
        <f aca="false">IF($L266="","",$L266-기준정보!$C$4)</f>
        <v>122</v>
      </c>
      <c r="N266" s="27" t="s">
        <v>65</v>
      </c>
      <c r="O266" s="30"/>
      <c r="P266" s="26" t="str">
        <f aca="false">IF($G266="","",IF(AND(ISNUMBER(SEARCH("CMT",$G266)),OR(ISNUMBER(SEARCH("완사입",$G266)),ISNUMBER(SEARCH("ODM",$G266)))),"본사/생산처 혼재",IF(ISNUMBER(SEARCH("CMT",$G266)),"본사(소재팀)","생산처")))</f>
        <v>생산처</v>
      </c>
      <c r="Q266" s="25" t="s">
        <v>190</v>
      </c>
      <c r="R266" s="25" t="s">
        <v>67</v>
      </c>
      <c r="S266" s="31" t="n">
        <v>3000</v>
      </c>
      <c r="T266" s="26"/>
      <c r="U266" s="26" t="str">
        <f aca="false">IF($J266="","출고일 미정",IF($N266="X","작지 미발행",IF($N266="부분","작지 일부 미발행",IF(AND($O266&lt;&gt;"",$O266&gt;$L266),"소재입고 마감("&amp;TEXT($L266,"MM/DD")&amp;") 초과",IF($N266="","발행여부 확인 필요",IF($O266="","소재 입고일정 확인 필요","정상"))))))</f>
        <v>소재 입고일정 확인 필요</v>
      </c>
      <c r="V266" s="24" t="str">
        <f aca="false">IF($J266="","",IF(OR(LEFT($U266,2)="작지",LEFT($U266,4)="소재입고"),IF(LEFT($F266,1)="S","★ 납기위험(S코드)","◆ 지연주의"),IF($U266="정상","✓ 정상","? 확인필요")))</f>
        <v>? 확인필요</v>
      </c>
      <c r="W266" s="27"/>
      <c r="X266" s="32"/>
    </row>
    <row r="267" customFormat="false" ht="15" hidden="false" customHeight="false" outlineLevel="0" collapsed="false">
      <c r="A267" s="24" t="n">
        <v>263</v>
      </c>
      <c r="B267" s="25" t="s">
        <v>159</v>
      </c>
      <c r="C267" s="25" t="s">
        <v>341</v>
      </c>
      <c r="D267" s="26" t="s">
        <v>666</v>
      </c>
      <c r="E267" s="25" t="s">
        <v>667</v>
      </c>
      <c r="F267" s="24" t="str">
        <f aca="false">IF($D267="","",IF(MID($D267,5,1)="S","S(봄)",IF(MID($D267,5,1)="M","M(여름)",IF(MID($D267,5,1)="X","X(사계절)",MID($D267,5,1)))))</f>
        <v>M(여름)</v>
      </c>
      <c r="G267" s="25" t="s">
        <v>62</v>
      </c>
      <c r="H267" s="24" t="s">
        <v>326</v>
      </c>
      <c r="I267" s="27" t="s">
        <v>623</v>
      </c>
      <c r="J267" s="28" t="n">
        <f aca="false">IF($I267="","",IFERROR(DATE(IF(VALUE(LEFT($I267,FIND("월",$I267)-1))&gt;=9,기준정보!$C$7-1,기준정보!$C$7),VALUE(LEFT($I267,FIND("월",$I267)-1)),1+7*(VALUE(SUBSTITUTE(MID($I267,FIND("월",$I267)+1,5),"주",""))-1)),""))</f>
        <v>46468</v>
      </c>
      <c r="K267" s="28" t="n">
        <f aca="false">IF($J267="","",$J267-기준정보!$C$5)</f>
        <v>46454</v>
      </c>
      <c r="L267" s="28" t="n">
        <f aca="false">IF($K267="","",$K267-기준정보!$C$6)</f>
        <v>46364</v>
      </c>
      <c r="M267" s="29" t="n">
        <f aca="false">IF($L267="","",$L267-기준정보!$C$4)</f>
        <v>122</v>
      </c>
      <c r="N267" s="27" t="s">
        <v>65</v>
      </c>
      <c r="O267" s="30"/>
      <c r="P267" s="26" t="str">
        <f aca="false">IF($G267="","",IF(AND(ISNUMBER(SEARCH("CMT",$G267)),OR(ISNUMBER(SEARCH("완사입",$G267)),ISNUMBER(SEARCH("ODM",$G267)))),"본사/생산처 혼재",IF(ISNUMBER(SEARCH("CMT",$G267)),"본사(소재팀)","생산처")))</f>
        <v>생산처</v>
      </c>
      <c r="Q267" s="25" t="s">
        <v>245</v>
      </c>
      <c r="R267" s="25" t="s">
        <v>67</v>
      </c>
      <c r="S267" s="31" t="n">
        <v>1600</v>
      </c>
      <c r="T267" s="26" t="s">
        <v>623</v>
      </c>
      <c r="U267" s="26" t="str">
        <f aca="false">IF($J267="","출고일 미정",IF($N267="X","작지 미발행",IF($N267="부분","작지 일부 미발행",IF(AND($O267&lt;&gt;"",$O267&gt;$L267),"소재입고 마감("&amp;TEXT($L267,"MM/DD")&amp;") 초과",IF($N267="","발행여부 확인 필요",IF($O267="","소재 입고일정 확인 필요","정상"))))))</f>
        <v>소재 입고일정 확인 필요</v>
      </c>
      <c r="V267" s="24" t="str">
        <f aca="false">IF($J267="","",IF(OR(LEFT($U267,2)="작지",LEFT($U267,4)="소재입고"),IF(LEFT($F267,1)="S","★ 납기위험(S코드)","◆ 지연주의"),IF($U267="정상","✓ 정상","? 확인필요")))</f>
        <v>? 확인필요</v>
      </c>
      <c r="W267" s="27"/>
      <c r="X267" s="32"/>
    </row>
    <row r="268" customFormat="false" ht="15" hidden="false" customHeight="false" outlineLevel="0" collapsed="false">
      <c r="A268" s="24" t="n">
        <v>264</v>
      </c>
      <c r="B268" s="25" t="s">
        <v>159</v>
      </c>
      <c r="C268" s="25" t="s">
        <v>341</v>
      </c>
      <c r="D268" s="26" t="s">
        <v>668</v>
      </c>
      <c r="E268" s="25" t="s">
        <v>669</v>
      </c>
      <c r="F268" s="24" t="str">
        <f aca="false">IF($D268="","",IF(MID($D268,5,1)="S","S(봄)",IF(MID($D268,5,1)="M","M(여름)",IF(MID($D268,5,1)="X","X(사계절)",MID($D268,5,1)))))</f>
        <v>M(여름)</v>
      </c>
      <c r="G268" s="25" t="s">
        <v>62</v>
      </c>
      <c r="H268" s="24" t="s">
        <v>326</v>
      </c>
      <c r="I268" s="27" t="s">
        <v>623</v>
      </c>
      <c r="J268" s="28" t="n">
        <f aca="false">IF($I268="","",IFERROR(DATE(IF(VALUE(LEFT($I268,FIND("월",$I268)-1))&gt;=9,기준정보!$C$7-1,기준정보!$C$7),VALUE(LEFT($I268,FIND("월",$I268)-1)),1+7*(VALUE(SUBSTITUTE(MID($I268,FIND("월",$I268)+1,5),"주",""))-1)),""))</f>
        <v>46468</v>
      </c>
      <c r="K268" s="28" t="n">
        <f aca="false">IF($J268="","",$J268-기준정보!$C$5)</f>
        <v>46454</v>
      </c>
      <c r="L268" s="28" t="n">
        <f aca="false">IF($K268="","",$K268-기준정보!$C$6)</f>
        <v>46364</v>
      </c>
      <c r="M268" s="29" t="n">
        <f aca="false">IF($L268="","",$L268-기준정보!$C$4)</f>
        <v>122</v>
      </c>
      <c r="N268" s="27" t="s">
        <v>65</v>
      </c>
      <c r="O268" s="30"/>
      <c r="P268" s="26" t="str">
        <f aca="false">IF($G268="","",IF(AND(ISNUMBER(SEARCH("CMT",$G268)),OR(ISNUMBER(SEARCH("완사입",$G268)),ISNUMBER(SEARCH("ODM",$G268)))),"본사/생산처 혼재",IF(ISNUMBER(SEARCH("CMT",$G268)),"본사(소재팀)","생산처")))</f>
        <v>생산처</v>
      </c>
      <c r="Q268" s="26" t="s">
        <v>193</v>
      </c>
      <c r="R268" s="25" t="s">
        <v>71</v>
      </c>
      <c r="S268" s="31" t="n">
        <v>1200</v>
      </c>
      <c r="T268" s="26" t="s">
        <v>623</v>
      </c>
      <c r="U268" s="26" t="str">
        <f aca="false">IF($J268="","출고일 미정",IF($N268="X","작지 미발행",IF($N268="부분","작지 일부 미발행",IF(AND($O268&lt;&gt;"",$O268&gt;$L268),"소재입고 마감("&amp;TEXT($L268,"MM/DD")&amp;") 초과",IF($N268="","발행여부 확인 필요",IF($O268="","소재 입고일정 확인 필요","정상"))))))</f>
        <v>소재 입고일정 확인 필요</v>
      </c>
      <c r="V268" s="24" t="str">
        <f aca="false">IF($J268="","",IF(OR(LEFT($U268,2)="작지",LEFT($U268,4)="소재입고"),IF(LEFT($F268,1)="S","★ 납기위험(S코드)","◆ 지연주의"),IF($U268="정상","✓ 정상","? 확인필요")))</f>
        <v>? 확인필요</v>
      </c>
      <c r="W268" s="27"/>
      <c r="X268" s="32"/>
    </row>
    <row r="269" customFormat="false" ht="15" hidden="false" customHeight="false" outlineLevel="0" collapsed="false">
      <c r="A269" s="24" t="n">
        <v>265</v>
      </c>
      <c r="B269" s="25" t="s">
        <v>175</v>
      </c>
      <c r="C269" s="25" t="s">
        <v>179</v>
      </c>
      <c r="D269" s="26" t="s">
        <v>670</v>
      </c>
      <c r="E269" s="25" t="s">
        <v>431</v>
      </c>
      <c r="F269" s="24" t="str">
        <f aca="false">IF($D269="","",IF(MID($D269,5,1)="S","S(봄)",IF(MID($D269,5,1)="M","M(여름)",IF(MID($D269,5,1)="X","X(사계절)",MID($D269,5,1)))))</f>
        <v>M(여름)</v>
      </c>
      <c r="G269" s="25" t="s">
        <v>62</v>
      </c>
      <c r="H269" s="24"/>
      <c r="I269" s="27" t="s">
        <v>623</v>
      </c>
      <c r="J269" s="28" t="n">
        <f aca="false">IF($I269="","",IFERROR(DATE(IF(VALUE(LEFT($I269,FIND("월",$I269)-1))&gt;=9,기준정보!$C$7-1,기준정보!$C$7),VALUE(LEFT($I269,FIND("월",$I269)-1)),1+7*(VALUE(SUBSTITUTE(MID($I269,FIND("월",$I269)+1,5),"주",""))-1)),""))</f>
        <v>46468</v>
      </c>
      <c r="K269" s="28" t="n">
        <f aca="false">IF($J269="","",$J269-기준정보!$C$5)</f>
        <v>46454</v>
      </c>
      <c r="L269" s="28" t="n">
        <f aca="false">IF($K269="","",$K269-기준정보!$C$6)</f>
        <v>46364</v>
      </c>
      <c r="M269" s="29" t="n">
        <f aca="false">IF($L269="","",$L269-기준정보!$C$4)</f>
        <v>122</v>
      </c>
      <c r="N269" s="27" t="s">
        <v>65</v>
      </c>
      <c r="O269" s="30"/>
      <c r="P269" s="26" t="str">
        <f aca="false">IF($G269="","",IF(AND(ISNUMBER(SEARCH("CMT",$G269)),OR(ISNUMBER(SEARCH("완사입",$G269)),ISNUMBER(SEARCH("ODM",$G269)))),"본사/생산처 혼재",IF(ISNUMBER(SEARCH("CMT",$G269)),"본사(소재팀)","생산처")))</f>
        <v>생산처</v>
      </c>
      <c r="Q269" s="26" t="s">
        <v>193</v>
      </c>
      <c r="R269" s="25" t="s">
        <v>71</v>
      </c>
      <c r="S269" s="31" t="n">
        <v>35000</v>
      </c>
      <c r="T269" s="26" t="s">
        <v>623</v>
      </c>
      <c r="U269" s="26" t="str">
        <f aca="false">IF($J269="","출고일 미정",IF($N269="X","작지 미발행",IF($N269="부분","작지 일부 미발행",IF(AND($O269&lt;&gt;"",$O269&gt;$L269),"소재입고 마감("&amp;TEXT($L269,"MM/DD")&amp;") 초과",IF($N269="","발행여부 확인 필요",IF($O269="","소재 입고일정 확인 필요","정상"))))))</f>
        <v>소재 입고일정 확인 필요</v>
      </c>
      <c r="V269" s="24" t="str">
        <f aca="false">IF($J269="","",IF(OR(LEFT($U269,2)="작지",LEFT($U269,4)="소재입고"),IF(LEFT($F269,1)="S","★ 납기위험(S코드)","◆ 지연주의"),IF($U269="정상","✓ 정상","? 확인필요")))</f>
        <v>? 확인필요</v>
      </c>
      <c r="W269" s="27"/>
      <c r="X269" s="32"/>
    </row>
    <row r="270" customFormat="false" ht="15" hidden="false" customHeight="false" outlineLevel="0" collapsed="false">
      <c r="A270" s="24" t="n">
        <v>266</v>
      </c>
      <c r="B270" s="25" t="s">
        <v>175</v>
      </c>
      <c r="C270" s="25" t="s">
        <v>164</v>
      </c>
      <c r="D270" s="26" t="s">
        <v>671</v>
      </c>
      <c r="E270" s="25" t="s">
        <v>672</v>
      </c>
      <c r="F270" s="24" t="str">
        <f aca="false">IF($D270="","",IF(MID($D270,5,1)="S","S(봄)",IF(MID($D270,5,1)="M","M(여름)",IF(MID($D270,5,1)="X","X(사계절)",MID($D270,5,1)))))</f>
        <v>M(여름)</v>
      </c>
      <c r="G270" s="25" t="s">
        <v>62</v>
      </c>
      <c r="H270" s="24"/>
      <c r="I270" s="27" t="s">
        <v>623</v>
      </c>
      <c r="J270" s="28" t="n">
        <f aca="false">IF($I270="","",IFERROR(DATE(IF(VALUE(LEFT($I270,FIND("월",$I270)-1))&gt;=9,기준정보!$C$7-1,기준정보!$C$7),VALUE(LEFT($I270,FIND("월",$I270)-1)),1+7*(VALUE(SUBSTITUTE(MID($I270,FIND("월",$I270)+1,5),"주",""))-1)),""))</f>
        <v>46468</v>
      </c>
      <c r="K270" s="28" t="n">
        <f aca="false">IF($J270="","",$J270-기준정보!$C$5)</f>
        <v>46454</v>
      </c>
      <c r="L270" s="28" t="n">
        <f aca="false">IF($K270="","",$K270-기준정보!$C$6)</f>
        <v>46364</v>
      </c>
      <c r="M270" s="29" t="n">
        <f aca="false">IF($L270="","",$L270-기준정보!$C$4)</f>
        <v>122</v>
      </c>
      <c r="N270" s="27" t="s">
        <v>65</v>
      </c>
      <c r="O270" s="30"/>
      <c r="P270" s="26" t="str">
        <f aca="false">IF($G270="","",IF(AND(ISNUMBER(SEARCH("CMT",$G270)),OR(ISNUMBER(SEARCH("완사입",$G270)),ISNUMBER(SEARCH("ODM",$G270)))),"본사/생산처 혼재",IF(ISNUMBER(SEARCH("CMT",$G270)),"본사(소재팀)","생산처")))</f>
        <v>생산처</v>
      </c>
      <c r="Q270" s="26" t="s">
        <v>193</v>
      </c>
      <c r="R270" s="25" t="s">
        <v>71</v>
      </c>
      <c r="S270" s="31" t="n">
        <v>3500</v>
      </c>
      <c r="T270" s="26" t="s">
        <v>623</v>
      </c>
      <c r="U270" s="26" t="str">
        <f aca="false">IF($J270="","출고일 미정",IF($N270="X","작지 미발행",IF($N270="부분","작지 일부 미발행",IF(AND($O270&lt;&gt;"",$O270&gt;$L270),"소재입고 마감("&amp;TEXT($L270,"MM/DD")&amp;") 초과",IF($N270="","발행여부 확인 필요",IF($O270="","소재 입고일정 확인 필요","정상"))))))</f>
        <v>소재 입고일정 확인 필요</v>
      </c>
      <c r="V270" s="24" t="str">
        <f aca="false">IF($J270="","",IF(OR(LEFT($U270,2)="작지",LEFT($U270,4)="소재입고"),IF(LEFT($F270,1)="S","★ 납기위험(S코드)","◆ 지연주의"),IF($U270="정상","✓ 정상","? 확인필요")))</f>
        <v>? 확인필요</v>
      </c>
      <c r="W270" s="27"/>
      <c r="X270" s="32"/>
    </row>
    <row r="271" customFormat="false" ht="15" hidden="false" customHeight="false" outlineLevel="0" collapsed="false">
      <c r="A271" s="24" t="n">
        <v>267</v>
      </c>
      <c r="B271" s="25" t="s">
        <v>175</v>
      </c>
      <c r="C271" s="25" t="s">
        <v>179</v>
      </c>
      <c r="D271" s="26" t="s">
        <v>673</v>
      </c>
      <c r="E271" s="25" t="s">
        <v>674</v>
      </c>
      <c r="F271" s="24" t="str">
        <f aca="false">IF($D271="","",IF(MID($D271,5,1)="S","S(봄)",IF(MID($D271,5,1)="M","M(여름)",IF(MID($D271,5,1)="X","X(사계절)",MID($D271,5,1)))))</f>
        <v>M(여름)</v>
      </c>
      <c r="G271" s="25" t="s">
        <v>62</v>
      </c>
      <c r="H271" s="24"/>
      <c r="I271" s="27" t="s">
        <v>623</v>
      </c>
      <c r="J271" s="28" t="n">
        <f aca="false">IF($I271="","",IFERROR(DATE(IF(VALUE(LEFT($I271,FIND("월",$I271)-1))&gt;=9,기준정보!$C$7-1,기준정보!$C$7),VALUE(LEFT($I271,FIND("월",$I271)-1)),1+7*(VALUE(SUBSTITUTE(MID($I271,FIND("월",$I271)+1,5),"주",""))-1)),""))</f>
        <v>46468</v>
      </c>
      <c r="K271" s="28" t="n">
        <f aca="false">IF($J271="","",$J271-기준정보!$C$5)</f>
        <v>46454</v>
      </c>
      <c r="L271" s="28" t="n">
        <f aca="false">IF($K271="","",$K271-기준정보!$C$6)</f>
        <v>46364</v>
      </c>
      <c r="M271" s="29" t="n">
        <f aca="false">IF($L271="","",$L271-기준정보!$C$4)</f>
        <v>122</v>
      </c>
      <c r="N271" s="27" t="s">
        <v>65</v>
      </c>
      <c r="O271" s="30"/>
      <c r="P271" s="26" t="str">
        <f aca="false">IF($G271="","",IF(AND(ISNUMBER(SEARCH("CMT",$G271)),OR(ISNUMBER(SEARCH("완사입",$G271)),ISNUMBER(SEARCH("ODM",$G271)))),"본사/생산처 혼재",IF(ISNUMBER(SEARCH("CMT",$G271)),"본사(소재팀)","생산처")))</f>
        <v>생산처</v>
      </c>
      <c r="Q271" s="26" t="s">
        <v>193</v>
      </c>
      <c r="R271" s="25" t="s">
        <v>71</v>
      </c>
      <c r="S271" s="31" t="n">
        <v>3000</v>
      </c>
      <c r="T271" s="26" t="s">
        <v>623</v>
      </c>
      <c r="U271" s="26" t="str">
        <f aca="false">IF($J271="","출고일 미정",IF($N271="X","작지 미발행",IF($N271="부분","작지 일부 미발행",IF(AND($O271&lt;&gt;"",$O271&gt;$L271),"소재입고 마감("&amp;TEXT($L271,"MM/DD")&amp;") 초과",IF($N271="","발행여부 확인 필요",IF($O271="","소재 입고일정 확인 필요","정상"))))))</f>
        <v>소재 입고일정 확인 필요</v>
      </c>
      <c r="V271" s="24" t="str">
        <f aca="false">IF($J271="","",IF(OR(LEFT($U271,2)="작지",LEFT($U271,4)="소재입고"),IF(LEFT($F271,1)="S","★ 납기위험(S코드)","◆ 지연주의"),IF($U271="정상","✓ 정상","? 확인필요")))</f>
        <v>? 확인필요</v>
      </c>
      <c r="W271" s="27"/>
      <c r="X271" s="32"/>
    </row>
    <row r="272" customFormat="false" ht="15" hidden="false" customHeight="false" outlineLevel="0" collapsed="false">
      <c r="A272" s="24" t="n">
        <v>268</v>
      </c>
      <c r="B272" s="25" t="s">
        <v>175</v>
      </c>
      <c r="C272" s="25" t="s">
        <v>164</v>
      </c>
      <c r="D272" s="26" t="s">
        <v>675</v>
      </c>
      <c r="E272" s="25" t="s">
        <v>434</v>
      </c>
      <c r="F272" s="24" t="str">
        <f aca="false">IF($D272="","",IF(MID($D272,5,1)="S","S(봄)",IF(MID($D272,5,1)="M","M(여름)",IF(MID($D272,5,1)="X","X(사계절)",MID($D272,5,1)))))</f>
        <v>M(여름)</v>
      </c>
      <c r="G272" s="25" t="s">
        <v>62</v>
      </c>
      <c r="H272" s="24"/>
      <c r="I272" s="27" t="s">
        <v>623</v>
      </c>
      <c r="J272" s="28" t="n">
        <f aca="false">IF($I272="","",IFERROR(DATE(IF(VALUE(LEFT($I272,FIND("월",$I272)-1))&gt;=9,기준정보!$C$7-1,기준정보!$C$7),VALUE(LEFT($I272,FIND("월",$I272)-1)),1+7*(VALUE(SUBSTITUTE(MID($I272,FIND("월",$I272)+1,5),"주",""))-1)),""))</f>
        <v>46468</v>
      </c>
      <c r="K272" s="28" t="n">
        <f aca="false">IF($J272="","",$J272-기준정보!$C$5)</f>
        <v>46454</v>
      </c>
      <c r="L272" s="28" t="n">
        <f aca="false">IF($K272="","",$K272-기준정보!$C$6)</f>
        <v>46364</v>
      </c>
      <c r="M272" s="29" t="n">
        <f aca="false">IF($L272="","",$L272-기준정보!$C$4)</f>
        <v>122</v>
      </c>
      <c r="N272" s="27" t="s">
        <v>65</v>
      </c>
      <c r="O272" s="30"/>
      <c r="P272" s="26" t="str">
        <f aca="false">IF($G272="","",IF(AND(ISNUMBER(SEARCH("CMT",$G272)),OR(ISNUMBER(SEARCH("완사입",$G272)),ISNUMBER(SEARCH("ODM",$G272)))),"본사/생산처 혼재",IF(ISNUMBER(SEARCH("CMT",$G272)),"본사(소재팀)","생산처")))</f>
        <v>생산처</v>
      </c>
      <c r="Q272" s="26" t="s">
        <v>193</v>
      </c>
      <c r="R272" s="25" t="s">
        <v>71</v>
      </c>
      <c r="S272" s="31" t="n">
        <v>2000</v>
      </c>
      <c r="T272" s="26" t="s">
        <v>623</v>
      </c>
      <c r="U272" s="26" t="str">
        <f aca="false">IF($J272="","출고일 미정",IF($N272="X","작지 미발행",IF($N272="부분","작지 일부 미발행",IF(AND($O272&lt;&gt;"",$O272&gt;$L272),"소재입고 마감("&amp;TEXT($L272,"MM/DD")&amp;") 초과",IF($N272="","발행여부 확인 필요",IF($O272="","소재 입고일정 확인 필요","정상"))))))</f>
        <v>소재 입고일정 확인 필요</v>
      </c>
      <c r="V272" s="24" t="str">
        <f aca="false">IF($J272="","",IF(OR(LEFT($U272,2)="작지",LEFT($U272,4)="소재입고"),IF(LEFT($F272,1)="S","★ 납기위험(S코드)","◆ 지연주의"),IF($U272="정상","✓ 정상","? 확인필요")))</f>
        <v>? 확인필요</v>
      </c>
      <c r="W272" s="27"/>
      <c r="X272" s="32"/>
    </row>
    <row r="273" customFormat="false" ht="15" hidden="false" customHeight="false" outlineLevel="0" collapsed="false">
      <c r="A273" s="24" t="n">
        <v>269</v>
      </c>
      <c r="B273" s="25" t="s">
        <v>175</v>
      </c>
      <c r="C273" s="25" t="s">
        <v>179</v>
      </c>
      <c r="D273" s="26" t="s">
        <v>676</v>
      </c>
      <c r="E273" s="25" t="s">
        <v>677</v>
      </c>
      <c r="F273" s="24" t="str">
        <f aca="false">IF($D273="","",IF(MID($D273,5,1)="S","S(봄)",IF(MID($D273,5,1)="M","M(여름)",IF(MID($D273,5,1)="X","X(사계절)",MID($D273,5,1)))))</f>
        <v>M(여름)</v>
      </c>
      <c r="G273" s="25" t="s">
        <v>62</v>
      </c>
      <c r="H273" s="24"/>
      <c r="I273" s="27" t="s">
        <v>623</v>
      </c>
      <c r="J273" s="28" t="n">
        <f aca="false">IF($I273="","",IFERROR(DATE(IF(VALUE(LEFT($I273,FIND("월",$I273)-1))&gt;=9,기준정보!$C$7-1,기준정보!$C$7),VALUE(LEFT($I273,FIND("월",$I273)-1)),1+7*(VALUE(SUBSTITUTE(MID($I273,FIND("월",$I273)+1,5),"주",""))-1)),""))</f>
        <v>46468</v>
      </c>
      <c r="K273" s="28" t="n">
        <f aca="false">IF($J273="","",$J273-기준정보!$C$5)</f>
        <v>46454</v>
      </c>
      <c r="L273" s="28" t="n">
        <f aca="false">IF($K273="","",$K273-기준정보!$C$6)</f>
        <v>46364</v>
      </c>
      <c r="M273" s="29" t="n">
        <f aca="false">IF($L273="","",$L273-기준정보!$C$4)</f>
        <v>122</v>
      </c>
      <c r="N273" s="27" t="s">
        <v>65</v>
      </c>
      <c r="O273" s="30"/>
      <c r="P273" s="26" t="str">
        <f aca="false">IF($G273="","",IF(AND(ISNUMBER(SEARCH("CMT",$G273)),OR(ISNUMBER(SEARCH("완사입",$G273)),ISNUMBER(SEARCH("ODM",$G273)))),"본사/생산처 혼재",IF(ISNUMBER(SEARCH("CMT",$G273)),"본사(소재팀)","생산처")))</f>
        <v>생산처</v>
      </c>
      <c r="Q273" s="25" t="s">
        <v>245</v>
      </c>
      <c r="R273" s="25" t="s">
        <v>67</v>
      </c>
      <c r="S273" s="31" t="n">
        <v>2800</v>
      </c>
      <c r="T273" s="26" t="s">
        <v>383</v>
      </c>
      <c r="U273" s="26" t="str">
        <f aca="false">IF($J273="","출고일 미정",IF($N273="X","작지 미발행",IF($N273="부분","작지 일부 미발행",IF(AND($O273&lt;&gt;"",$O273&gt;$L273),"소재입고 마감("&amp;TEXT($L273,"MM/DD")&amp;") 초과",IF($N273="","발행여부 확인 필요",IF($O273="","소재 입고일정 확인 필요","정상"))))))</f>
        <v>소재 입고일정 확인 필요</v>
      </c>
      <c r="V273" s="24" t="str">
        <f aca="false">IF($J273="","",IF(OR(LEFT($U273,2)="작지",LEFT($U273,4)="소재입고"),IF(LEFT($F273,1)="S","★ 납기위험(S코드)","◆ 지연주의"),IF($U273="정상","✓ 정상","? 확인필요")))</f>
        <v>? 확인필요</v>
      </c>
      <c r="W273" s="27"/>
      <c r="X273" s="32"/>
    </row>
    <row r="274" customFormat="false" ht="15" hidden="false" customHeight="false" outlineLevel="0" collapsed="false">
      <c r="A274" s="24" t="n">
        <v>270</v>
      </c>
      <c r="B274" s="25" t="s">
        <v>175</v>
      </c>
      <c r="C274" s="25" t="s">
        <v>179</v>
      </c>
      <c r="D274" s="26" t="s">
        <v>678</v>
      </c>
      <c r="E274" s="25" t="s">
        <v>679</v>
      </c>
      <c r="F274" s="24" t="str">
        <f aca="false">IF($D274="","",IF(MID($D274,5,1)="S","S(봄)",IF(MID($D274,5,1)="M","M(여름)",IF(MID($D274,5,1)="X","X(사계절)",MID($D274,5,1)))))</f>
        <v>M(여름)</v>
      </c>
      <c r="G274" s="25" t="s">
        <v>62</v>
      </c>
      <c r="H274" s="24"/>
      <c r="I274" s="27" t="s">
        <v>623</v>
      </c>
      <c r="J274" s="28" t="n">
        <f aca="false">IF($I274="","",IFERROR(DATE(IF(VALUE(LEFT($I274,FIND("월",$I274)-1))&gt;=9,기준정보!$C$7-1,기준정보!$C$7),VALUE(LEFT($I274,FIND("월",$I274)-1)),1+7*(VALUE(SUBSTITUTE(MID($I274,FIND("월",$I274)+1,5),"주",""))-1)),""))</f>
        <v>46468</v>
      </c>
      <c r="K274" s="28" t="n">
        <f aca="false">IF($J274="","",$J274-기준정보!$C$5)</f>
        <v>46454</v>
      </c>
      <c r="L274" s="28" t="n">
        <f aca="false">IF($K274="","",$K274-기준정보!$C$6)</f>
        <v>46364</v>
      </c>
      <c r="M274" s="29" t="n">
        <f aca="false">IF($L274="","",$L274-기준정보!$C$4)</f>
        <v>122</v>
      </c>
      <c r="N274" s="27" t="s">
        <v>65</v>
      </c>
      <c r="O274" s="30"/>
      <c r="P274" s="26" t="str">
        <f aca="false">IF($G274="","",IF(AND(ISNUMBER(SEARCH("CMT",$G274)),OR(ISNUMBER(SEARCH("완사입",$G274)),ISNUMBER(SEARCH("ODM",$G274)))),"본사/생산처 혼재",IF(ISNUMBER(SEARCH("CMT",$G274)),"본사(소재팀)","생산처")))</f>
        <v>생산처</v>
      </c>
      <c r="Q274" s="25" t="s">
        <v>245</v>
      </c>
      <c r="R274" s="25" t="s">
        <v>67</v>
      </c>
      <c r="S274" s="31" t="n">
        <v>14000</v>
      </c>
      <c r="T274" s="26"/>
      <c r="U274" s="26" t="str">
        <f aca="false">IF($J274="","출고일 미정",IF($N274="X","작지 미발행",IF($N274="부분","작지 일부 미발행",IF(AND($O274&lt;&gt;"",$O274&gt;$L274),"소재입고 마감("&amp;TEXT($L274,"MM/DD")&amp;") 초과",IF($N274="","발행여부 확인 필요",IF($O274="","소재 입고일정 확인 필요","정상"))))))</f>
        <v>소재 입고일정 확인 필요</v>
      </c>
      <c r="V274" s="24" t="str">
        <f aca="false">IF($J274="","",IF(OR(LEFT($U274,2)="작지",LEFT($U274,4)="소재입고"),IF(LEFT($F274,1)="S","★ 납기위험(S코드)","◆ 지연주의"),IF($U274="정상","✓ 정상","? 확인필요")))</f>
        <v>? 확인필요</v>
      </c>
      <c r="W274" s="27"/>
      <c r="X274" s="32"/>
    </row>
    <row r="275" customFormat="false" ht="15" hidden="false" customHeight="false" outlineLevel="0" collapsed="false">
      <c r="A275" s="24" t="n">
        <v>271</v>
      </c>
      <c r="B275" s="25" t="s">
        <v>175</v>
      </c>
      <c r="C275" s="25" t="s">
        <v>179</v>
      </c>
      <c r="D275" s="26" t="s">
        <v>680</v>
      </c>
      <c r="E275" s="25" t="s">
        <v>681</v>
      </c>
      <c r="F275" s="24" t="str">
        <f aca="false">IF($D275="","",IF(MID($D275,5,1)="S","S(봄)",IF(MID($D275,5,1)="M","M(여름)",IF(MID($D275,5,1)="X","X(사계절)",MID($D275,5,1)))))</f>
        <v>M(여름)</v>
      </c>
      <c r="G275" s="25" t="s">
        <v>62</v>
      </c>
      <c r="H275" s="24"/>
      <c r="I275" s="27" t="s">
        <v>623</v>
      </c>
      <c r="J275" s="28" t="n">
        <f aca="false">IF($I275="","",IFERROR(DATE(IF(VALUE(LEFT($I275,FIND("월",$I275)-1))&gt;=9,기준정보!$C$7-1,기준정보!$C$7),VALUE(LEFT($I275,FIND("월",$I275)-1)),1+7*(VALUE(SUBSTITUTE(MID($I275,FIND("월",$I275)+1,5),"주",""))-1)),""))</f>
        <v>46468</v>
      </c>
      <c r="K275" s="28" t="n">
        <f aca="false">IF($J275="","",$J275-기준정보!$C$5)</f>
        <v>46454</v>
      </c>
      <c r="L275" s="28" t="n">
        <f aca="false">IF($K275="","",$K275-기준정보!$C$6)</f>
        <v>46364</v>
      </c>
      <c r="M275" s="29" t="n">
        <f aca="false">IF($L275="","",$L275-기준정보!$C$4)</f>
        <v>122</v>
      </c>
      <c r="N275" s="27" t="s">
        <v>65</v>
      </c>
      <c r="O275" s="30"/>
      <c r="P275" s="26" t="str">
        <f aca="false">IF($G275="","",IF(AND(ISNUMBER(SEARCH("CMT",$G275)),OR(ISNUMBER(SEARCH("완사입",$G275)),ISNUMBER(SEARCH("ODM",$G275)))),"본사/생산처 혼재",IF(ISNUMBER(SEARCH("CMT",$G275)),"본사(소재팀)","생산처")))</f>
        <v>생산처</v>
      </c>
      <c r="Q275" s="25" t="s">
        <v>84</v>
      </c>
      <c r="R275" s="25" t="s">
        <v>67</v>
      </c>
      <c r="S275" s="31" t="n">
        <v>4000</v>
      </c>
      <c r="T275" s="26"/>
      <c r="U275" s="26" t="str">
        <f aca="false">IF($J275="","출고일 미정",IF($N275="X","작지 미발행",IF($N275="부분","작지 일부 미발행",IF(AND($O275&lt;&gt;"",$O275&gt;$L275),"소재입고 마감("&amp;TEXT($L275,"MM/DD")&amp;") 초과",IF($N275="","발행여부 확인 필요",IF($O275="","소재 입고일정 확인 필요","정상"))))))</f>
        <v>소재 입고일정 확인 필요</v>
      </c>
      <c r="V275" s="24" t="str">
        <f aca="false">IF($J275="","",IF(OR(LEFT($U275,2)="작지",LEFT($U275,4)="소재입고"),IF(LEFT($F275,1)="S","★ 납기위험(S코드)","◆ 지연주의"),IF($U275="정상","✓ 정상","? 확인필요")))</f>
        <v>? 확인필요</v>
      </c>
      <c r="W275" s="27"/>
      <c r="X275" s="32"/>
    </row>
    <row r="276" customFormat="false" ht="15" hidden="false" customHeight="false" outlineLevel="0" collapsed="false">
      <c r="A276" s="24" t="n">
        <v>272</v>
      </c>
      <c r="B276" s="25" t="s">
        <v>175</v>
      </c>
      <c r="C276" s="25" t="s">
        <v>179</v>
      </c>
      <c r="D276" s="26" t="s">
        <v>682</v>
      </c>
      <c r="E276" s="25" t="s">
        <v>683</v>
      </c>
      <c r="F276" s="24" t="str">
        <f aca="false">IF($D276="","",IF(MID($D276,5,1)="S","S(봄)",IF(MID($D276,5,1)="M","M(여름)",IF(MID($D276,5,1)="X","X(사계절)",MID($D276,5,1)))))</f>
        <v>M(여름)</v>
      </c>
      <c r="G276" s="25" t="s">
        <v>62</v>
      </c>
      <c r="H276" s="24"/>
      <c r="I276" s="27" t="s">
        <v>623</v>
      </c>
      <c r="J276" s="28" t="n">
        <f aca="false">IF($I276="","",IFERROR(DATE(IF(VALUE(LEFT($I276,FIND("월",$I276)-1))&gt;=9,기준정보!$C$7-1,기준정보!$C$7),VALUE(LEFT($I276,FIND("월",$I276)-1)),1+7*(VALUE(SUBSTITUTE(MID($I276,FIND("월",$I276)+1,5),"주",""))-1)),""))</f>
        <v>46468</v>
      </c>
      <c r="K276" s="28" t="n">
        <f aca="false">IF($J276="","",$J276-기준정보!$C$5)</f>
        <v>46454</v>
      </c>
      <c r="L276" s="28" t="n">
        <f aca="false">IF($K276="","",$K276-기준정보!$C$6)</f>
        <v>46364</v>
      </c>
      <c r="M276" s="29" t="n">
        <f aca="false">IF($L276="","",$L276-기준정보!$C$4)</f>
        <v>122</v>
      </c>
      <c r="N276" s="27" t="s">
        <v>65</v>
      </c>
      <c r="O276" s="30"/>
      <c r="P276" s="26" t="str">
        <f aca="false">IF($G276="","",IF(AND(ISNUMBER(SEARCH("CMT",$G276)),OR(ISNUMBER(SEARCH("완사입",$G276)),ISNUMBER(SEARCH("ODM",$G276)))),"본사/생산처 혼재",IF(ISNUMBER(SEARCH("CMT",$G276)),"본사(소재팀)","생산처")))</f>
        <v>생산처</v>
      </c>
      <c r="Q276" s="25" t="s">
        <v>84</v>
      </c>
      <c r="R276" s="25" t="s">
        <v>67</v>
      </c>
      <c r="S276" s="31" t="n">
        <v>5000</v>
      </c>
      <c r="T276" s="26"/>
      <c r="U276" s="26" t="str">
        <f aca="false">IF($J276="","출고일 미정",IF($N276="X","작지 미발행",IF($N276="부분","작지 일부 미발행",IF(AND($O276&lt;&gt;"",$O276&gt;$L276),"소재입고 마감("&amp;TEXT($L276,"MM/DD")&amp;") 초과",IF($N276="","발행여부 확인 필요",IF($O276="","소재 입고일정 확인 필요","정상"))))))</f>
        <v>소재 입고일정 확인 필요</v>
      </c>
      <c r="V276" s="24" t="str">
        <f aca="false">IF($J276="","",IF(OR(LEFT($U276,2)="작지",LEFT($U276,4)="소재입고"),IF(LEFT($F276,1)="S","★ 납기위험(S코드)","◆ 지연주의"),IF($U276="정상","✓ 정상","? 확인필요")))</f>
        <v>? 확인필요</v>
      </c>
      <c r="W276" s="27"/>
      <c r="X276" s="32"/>
    </row>
    <row r="277" customFormat="false" ht="15" hidden="false" customHeight="false" outlineLevel="0" collapsed="false">
      <c r="A277" s="24" t="n">
        <v>273</v>
      </c>
      <c r="B277" s="25" t="s">
        <v>159</v>
      </c>
      <c r="C277" s="25" t="s">
        <v>341</v>
      </c>
      <c r="D277" s="26" t="s">
        <v>684</v>
      </c>
      <c r="E277" s="25" t="s">
        <v>685</v>
      </c>
      <c r="F277" s="24" t="str">
        <f aca="false">IF($D277="","",IF(MID($D277,5,1)="S","S(봄)",IF(MID($D277,5,1)="M","M(여름)",IF(MID($D277,5,1)="X","X(사계절)",MID($D277,5,1)))))</f>
        <v>M(여름)</v>
      </c>
      <c r="G277" s="25" t="s">
        <v>62</v>
      </c>
      <c r="H277" s="24" t="s">
        <v>326</v>
      </c>
      <c r="I277" s="27" t="s">
        <v>623</v>
      </c>
      <c r="J277" s="28" t="n">
        <f aca="false">IF($I277="","",IFERROR(DATE(IF(VALUE(LEFT($I277,FIND("월",$I277)-1))&gt;=9,기준정보!$C$7-1,기준정보!$C$7),VALUE(LEFT($I277,FIND("월",$I277)-1)),1+7*(VALUE(SUBSTITUTE(MID($I277,FIND("월",$I277)+1,5),"주",""))-1)),""))</f>
        <v>46468</v>
      </c>
      <c r="K277" s="28" t="n">
        <f aca="false">IF($J277="","",$J277-기준정보!$C$5)</f>
        <v>46454</v>
      </c>
      <c r="L277" s="28" t="n">
        <f aca="false">IF($K277="","",$K277-기준정보!$C$6)</f>
        <v>46364</v>
      </c>
      <c r="M277" s="29" t="n">
        <f aca="false">IF($L277="","",$L277-기준정보!$C$4)</f>
        <v>122</v>
      </c>
      <c r="N277" s="27" t="s">
        <v>65</v>
      </c>
      <c r="O277" s="30"/>
      <c r="P277" s="26" t="str">
        <f aca="false">IF($G277="","",IF(AND(ISNUMBER(SEARCH("CMT",$G277)),OR(ISNUMBER(SEARCH("완사입",$G277)),ISNUMBER(SEARCH("ODM",$G277)))),"본사/생산처 혼재",IF(ISNUMBER(SEARCH("CMT",$G277)),"본사(소재팀)","생산처")))</f>
        <v>생산처</v>
      </c>
      <c r="Q277" s="26" t="s">
        <v>193</v>
      </c>
      <c r="R277" s="25" t="s">
        <v>71</v>
      </c>
      <c r="S277" s="31" t="n">
        <v>1800</v>
      </c>
      <c r="T277" s="26" t="s">
        <v>623</v>
      </c>
      <c r="U277" s="26" t="str">
        <f aca="false">IF($J277="","출고일 미정",IF($N277="X","작지 미발행",IF($N277="부분","작지 일부 미발행",IF(AND($O277&lt;&gt;"",$O277&gt;$L277),"소재입고 마감("&amp;TEXT($L277,"MM/DD")&amp;") 초과",IF($N277="","발행여부 확인 필요",IF($O277="","소재 입고일정 확인 필요","정상"))))))</f>
        <v>소재 입고일정 확인 필요</v>
      </c>
      <c r="V277" s="24" t="str">
        <f aca="false">IF($J277="","",IF(OR(LEFT($U277,2)="작지",LEFT($U277,4)="소재입고"),IF(LEFT($F277,1)="S","★ 납기위험(S코드)","◆ 지연주의"),IF($U277="정상","✓ 정상","? 확인필요")))</f>
        <v>? 확인필요</v>
      </c>
      <c r="W277" s="27"/>
      <c r="X277" s="32"/>
    </row>
    <row r="278" customFormat="false" ht="15" hidden="false" customHeight="false" outlineLevel="0" collapsed="false">
      <c r="A278" s="24" t="n">
        <v>274</v>
      </c>
      <c r="B278" s="25" t="s">
        <v>159</v>
      </c>
      <c r="C278" s="25" t="s">
        <v>341</v>
      </c>
      <c r="D278" s="26" t="s">
        <v>686</v>
      </c>
      <c r="E278" s="25" t="s">
        <v>687</v>
      </c>
      <c r="F278" s="24" t="str">
        <f aca="false">IF($D278="","",IF(MID($D278,5,1)="S","S(봄)",IF(MID($D278,5,1)="M","M(여름)",IF(MID($D278,5,1)="X","X(사계절)",MID($D278,5,1)))))</f>
        <v>M(여름)</v>
      </c>
      <c r="G278" s="26" t="s">
        <v>167</v>
      </c>
      <c r="H278" s="24" t="s">
        <v>326</v>
      </c>
      <c r="I278" s="27" t="s">
        <v>623</v>
      </c>
      <c r="J278" s="28" t="n">
        <f aca="false">IF($I278="","",IFERROR(DATE(IF(VALUE(LEFT($I278,FIND("월",$I278)-1))&gt;=9,기준정보!$C$7-1,기준정보!$C$7),VALUE(LEFT($I278,FIND("월",$I278)-1)),1+7*(VALUE(SUBSTITUTE(MID($I278,FIND("월",$I278)+1,5),"주",""))-1)),""))</f>
        <v>46468</v>
      </c>
      <c r="K278" s="28" t="n">
        <f aca="false">IF($J278="","",$J278-기준정보!$C$5)</f>
        <v>46454</v>
      </c>
      <c r="L278" s="28" t="n">
        <f aca="false">IF($K278="","",$K278-기준정보!$C$6)</f>
        <v>46364</v>
      </c>
      <c r="M278" s="29" t="n">
        <f aca="false">IF($L278="","",$L278-기준정보!$C$4)</f>
        <v>122</v>
      </c>
      <c r="N278" s="27" t="s">
        <v>65</v>
      </c>
      <c r="O278" s="30"/>
      <c r="P278" s="26" t="str">
        <f aca="false">IF($G278="","",IF(AND(ISNUMBER(SEARCH("CMT",$G278)),OR(ISNUMBER(SEARCH("완사입",$G278)),ISNUMBER(SEARCH("ODM",$G278)))),"본사/생산처 혼재",IF(ISNUMBER(SEARCH("CMT",$G278)),"본사(소재팀)","생산처")))</f>
        <v>본사(소재팀)</v>
      </c>
      <c r="Q278" s="25" t="s">
        <v>66</v>
      </c>
      <c r="R278" s="25" t="s">
        <v>67</v>
      </c>
      <c r="S278" s="31" t="n">
        <v>1400</v>
      </c>
      <c r="T278" s="26" t="s">
        <v>623</v>
      </c>
      <c r="U278" s="26" t="str">
        <f aca="false">IF($J278="","출고일 미정",IF($N278="X","작지 미발행",IF($N278="부분","작지 일부 미발행",IF(AND($O278&lt;&gt;"",$O278&gt;$L278),"소재입고 마감("&amp;TEXT($L278,"MM/DD")&amp;") 초과",IF($N278="","발행여부 확인 필요",IF($O278="","소재 입고일정 확인 필요","정상"))))))</f>
        <v>소재 입고일정 확인 필요</v>
      </c>
      <c r="V278" s="24" t="str">
        <f aca="false">IF($J278="","",IF(OR(LEFT($U278,2)="작지",LEFT($U278,4)="소재입고"),IF(LEFT($F278,1)="S","★ 납기위험(S코드)","◆ 지연주의"),IF($U278="정상","✓ 정상","? 확인필요")))</f>
        <v>? 확인필요</v>
      </c>
      <c r="W278" s="27"/>
      <c r="X278" s="32"/>
    </row>
    <row r="279" customFormat="false" ht="15" hidden="false" customHeight="false" outlineLevel="0" collapsed="false">
      <c r="A279" s="24" t="n">
        <v>275</v>
      </c>
      <c r="B279" s="25" t="s">
        <v>541</v>
      </c>
      <c r="C279" s="25" t="s">
        <v>386</v>
      </c>
      <c r="D279" s="26" t="s">
        <v>688</v>
      </c>
      <c r="E279" s="25" t="s">
        <v>689</v>
      </c>
      <c r="F279" s="24" t="str">
        <f aca="false">IF($D279="","",IF(MID($D279,5,1)="S","S(봄)",IF(MID($D279,5,1)="M","M(여름)",IF(MID($D279,5,1)="X","X(사계절)",MID($D279,5,1)))))</f>
        <v>M(여름)</v>
      </c>
      <c r="G279" s="25" t="s">
        <v>62</v>
      </c>
      <c r="H279" s="24"/>
      <c r="I279" s="27" t="s">
        <v>623</v>
      </c>
      <c r="J279" s="28" t="n">
        <f aca="false">IF($I279="","",IFERROR(DATE(IF(VALUE(LEFT($I279,FIND("월",$I279)-1))&gt;=9,기준정보!$C$7-1,기준정보!$C$7),VALUE(LEFT($I279,FIND("월",$I279)-1)),1+7*(VALUE(SUBSTITUTE(MID($I279,FIND("월",$I279)+1,5),"주",""))-1)),""))</f>
        <v>46468</v>
      </c>
      <c r="K279" s="28" t="n">
        <f aca="false">IF($J279="","",$J279-기준정보!$C$5)</f>
        <v>46454</v>
      </c>
      <c r="L279" s="28" t="n">
        <f aca="false">IF($K279="","",$K279-기준정보!$C$6)</f>
        <v>46364</v>
      </c>
      <c r="M279" s="29" t="n">
        <f aca="false">IF($L279="","",$L279-기준정보!$C$4)</f>
        <v>122</v>
      </c>
      <c r="N279" s="27" t="s">
        <v>119</v>
      </c>
      <c r="O279" s="30"/>
      <c r="P279" s="26" t="str">
        <f aca="false">IF($G279="","",IF(AND(ISNUMBER(SEARCH("CMT",$G279)),OR(ISNUMBER(SEARCH("완사입",$G279)),ISNUMBER(SEARCH("ODM",$G279)))),"본사/생산처 혼재",IF(ISNUMBER(SEARCH("CMT",$G279)),"본사(소재팀)","생산처")))</f>
        <v>생산처</v>
      </c>
      <c r="Q279" s="26" t="s">
        <v>690</v>
      </c>
      <c r="R279" s="25" t="s">
        <v>67</v>
      </c>
      <c r="S279" s="31" t="n">
        <v>500</v>
      </c>
      <c r="T279" s="26"/>
      <c r="U279" s="26" t="str">
        <f aca="false">IF($J279="","출고일 미정",IF($N279="X","작지 미발행",IF($N279="부분","작지 일부 미발행",IF(AND($O279&lt;&gt;"",$O279&gt;$L279),"소재입고 마감("&amp;TEXT($L279,"MM/DD")&amp;") 초과",IF($N279="","발행여부 확인 필요",IF($O279="","소재 입고일정 확인 필요","정상"))))))</f>
        <v>작지 미발행</v>
      </c>
      <c r="V279" s="24" t="str">
        <f aca="false">IF($J279="","",IF(OR(LEFT($U279,2)="작지",LEFT($U279,4)="소재입고"),IF(LEFT($F279,1)="S","★ 납기위험(S코드)","◆ 지연주의"),IF($U279="정상","✓ 정상","? 확인필요")))</f>
        <v>◆ 지연주의</v>
      </c>
      <c r="W279" s="27"/>
      <c r="X279" s="32"/>
    </row>
    <row r="280" customFormat="false" ht="15" hidden="false" customHeight="false" outlineLevel="0" collapsed="false">
      <c r="A280" s="24" t="n">
        <v>276</v>
      </c>
      <c r="B280" s="25" t="s">
        <v>541</v>
      </c>
      <c r="C280" s="25" t="s">
        <v>386</v>
      </c>
      <c r="D280" s="26" t="s">
        <v>691</v>
      </c>
      <c r="E280" s="25" t="s">
        <v>692</v>
      </c>
      <c r="F280" s="24" t="str">
        <f aca="false">IF($D280="","",IF(MID($D280,5,1)="S","S(봄)",IF(MID($D280,5,1)="M","M(여름)",IF(MID($D280,5,1)="X","X(사계절)",MID($D280,5,1)))))</f>
        <v>M(여름)</v>
      </c>
      <c r="G280" s="25" t="s">
        <v>62</v>
      </c>
      <c r="H280" s="24"/>
      <c r="I280" s="27" t="s">
        <v>623</v>
      </c>
      <c r="J280" s="28" t="n">
        <f aca="false">IF($I280="","",IFERROR(DATE(IF(VALUE(LEFT($I280,FIND("월",$I280)-1))&gt;=9,기준정보!$C$7-1,기준정보!$C$7),VALUE(LEFT($I280,FIND("월",$I280)-1)),1+7*(VALUE(SUBSTITUTE(MID($I280,FIND("월",$I280)+1,5),"주",""))-1)),""))</f>
        <v>46468</v>
      </c>
      <c r="K280" s="28" t="n">
        <f aca="false">IF($J280="","",$J280-기준정보!$C$5)</f>
        <v>46454</v>
      </c>
      <c r="L280" s="28" t="n">
        <f aca="false">IF($K280="","",$K280-기준정보!$C$6)</f>
        <v>46364</v>
      </c>
      <c r="M280" s="29" t="n">
        <f aca="false">IF($L280="","",$L280-기준정보!$C$4)</f>
        <v>122</v>
      </c>
      <c r="N280" s="27" t="s">
        <v>119</v>
      </c>
      <c r="O280" s="30"/>
      <c r="P280" s="26" t="str">
        <f aca="false">IF($G280="","",IF(AND(ISNUMBER(SEARCH("CMT",$G280)),OR(ISNUMBER(SEARCH("완사입",$G280)),ISNUMBER(SEARCH("ODM",$G280)))),"본사/생산처 혼재",IF(ISNUMBER(SEARCH("CMT",$G280)),"본사(소재팀)","생산처")))</f>
        <v>생산처</v>
      </c>
      <c r="Q280" s="26" t="s">
        <v>690</v>
      </c>
      <c r="R280" s="25" t="s">
        <v>67</v>
      </c>
      <c r="S280" s="31" t="n">
        <v>300</v>
      </c>
      <c r="T280" s="26"/>
      <c r="U280" s="26" t="str">
        <f aca="false">IF($J280="","출고일 미정",IF($N280="X","작지 미발행",IF($N280="부분","작지 일부 미발행",IF(AND($O280&lt;&gt;"",$O280&gt;$L280),"소재입고 마감("&amp;TEXT($L280,"MM/DD")&amp;") 초과",IF($N280="","발행여부 확인 필요",IF($O280="","소재 입고일정 확인 필요","정상"))))))</f>
        <v>작지 미발행</v>
      </c>
      <c r="V280" s="24" t="str">
        <f aca="false">IF($J280="","",IF(OR(LEFT($U280,2)="작지",LEFT($U280,4)="소재입고"),IF(LEFT($F280,1)="S","★ 납기위험(S코드)","◆ 지연주의"),IF($U280="정상","✓ 정상","? 확인필요")))</f>
        <v>◆ 지연주의</v>
      </c>
      <c r="W280" s="27"/>
      <c r="X280" s="32"/>
    </row>
    <row r="281" customFormat="false" ht="15" hidden="false" customHeight="false" outlineLevel="0" collapsed="false">
      <c r="A281" s="24" t="n">
        <v>277</v>
      </c>
      <c r="B281" s="25" t="s">
        <v>541</v>
      </c>
      <c r="C281" s="25" t="s">
        <v>386</v>
      </c>
      <c r="D281" s="26" t="s">
        <v>693</v>
      </c>
      <c r="E281" s="25" t="s">
        <v>694</v>
      </c>
      <c r="F281" s="24" t="str">
        <f aca="false">IF($D281="","",IF(MID($D281,5,1)="S","S(봄)",IF(MID($D281,5,1)="M","M(여름)",IF(MID($D281,5,1)="X","X(사계절)",MID($D281,5,1)))))</f>
        <v>M(여름)</v>
      </c>
      <c r="G281" s="25" t="s">
        <v>62</v>
      </c>
      <c r="H281" s="24"/>
      <c r="I281" s="27" t="s">
        <v>623</v>
      </c>
      <c r="J281" s="28" t="n">
        <f aca="false">IF($I281="","",IFERROR(DATE(IF(VALUE(LEFT($I281,FIND("월",$I281)-1))&gt;=9,기준정보!$C$7-1,기준정보!$C$7),VALUE(LEFT($I281,FIND("월",$I281)-1)),1+7*(VALUE(SUBSTITUTE(MID($I281,FIND("월",$I281)+1,5),"주",""))-1)),""))</f>
        <v>46468</v>
      </c>
      <c r="K281" s="28" t="n">
        <f aca="false">IF($J281="","",$J281-기준정보!$C$5)</f>
        <v>46454</v>
      </c>
      <c r="L281" s="28" t="n">
        <f aca="false">IF($K281="","",$K281-기준정보!$C$6)</f>
        <v>46364</v>
      </c>
      <c r="M281" s="29" t="n">
        <f aca="false">IF($L281="","",$L281-기준정보!$C$4)</f>
        <v>122</v>
      </c>
      <c r="N281" s="27" t="s">
        <v>119</v>
      </c>
      <c r="O281" s="30"/>
      <c r="P281" s="26" t="str">
        <f aca="false">IF($G281="","",IF(AND(ISNUMBER(SEARCH("CMT",$G281)),OR(ISNUMBER(SEARCH("완사입",$G281)),ISNUMBER(SEARCH("ODM",$G281)))),"본사/생산처 혼재",IF(ISNUMBER(SEARCH("CMT",$G281)),"본사(소재팀)","생산처")))</f>
        <v>생산처</v>
      </c>
      <c r="Q281" s="25" t="s">
        <v>695</v>
      </c>
      <c r="R281" s="25" t="s">
        <v>696</v>
      </c>
      <c r="S281" s="31" t="n">
        <v>9900</v>
      </c>
      <c r="T281" s="26"/>
      <c r="U281" s="26" t="str">
        <f aca="false">IF($J281="","출고일 미정",IF($N281="X","작지 미발행",IF($N281="부분","작지 일부 미발행",IF(AND($O281&lt;&gt;"",$O281&gt;$L281),"소재입고 마감("&amp;TEXT($L281,"MM/DD")&amp;") 초과",IF($N281="","발행여부 확인 필요",IF($O281="","소재 입고일정 확인 필요","정상"))))))</f>
        <v>작지 미발행</v>
      </c>
      <c r="V281" s="24" t="str">
        <f aca="false">IF($J281="","",IF(OR(LEFT($U281,2)="작지",LEFT($U281,4)="소재입고"),IF(LEFT($F281,1)="S","★ 납기위험(S코드)","◆ 지연주의"),IF($U281="정상","✓ 정상","? 확인필요")))</f>
        <v>◆ 지연주의</v>
      </c>
      <c r="W281" s="27"/>
      <c r="X281" s="32"/>
    </row>
    <row r="282" customFormat="false" ht="15" hidden="false" customHeight="false" outlineLevel="0" collapsed="false">
      <c r="A282" s="24" t="n">
        <v>278</v>
      </c>
      <c r="B282" s="25" t="s">
        <v>541</v>
      </c>
      <c r="C282" s="25" t="s">
        <v>386</v>
      </c>
      <c r="D282" s="26" t="s">
        <v>697</v>
      </c>
      <c r="E282" s="25" t="s">
        <v>698</v>
      </c>
      <c r="F282" s="24" t="str">
        <f aca="false">IF($D282="","",IF(MID($D282,5,1)="S","S(봄)",IF(MID($D282,5,1)="M","M(여름)",IF(MID($D282,5,1)="X","X(사계절)",MID($D282,5,1)))))</f>
        <v>M(여름)</v>
      </c>
      <c r="G282" s="25" t="s">
        <v>62</v>
      </c>
      <c r="H282" s="24"/>
      <c r="I282" s="27" t="s">
        <v>623</v>
      </c>
      <c r="J282" s="28" t="n">
        <f aca="false">IF($I282="","",IFERROR(DATE(IF(VALUE(LEFT($I282,FIND("월",$I282)-1))&gt;=9,기준정보!$C$7-1,기준정보!$C$7),VALUE(LEFT($I282,FIND("월",$I282)-1)),1+7*(VALUE(SUBSTITUTE(MID($I282,FIND("월",$I282)+1,5),"주",""))-1)),""))</f>
        <v>46468</v>
      </c>
      <c r="K282" s="28" t="n">
        <f aca="false">IF($J282="","",$J282-기준정보!$C$5)</f>
        <v>46454</v>
      </c>
      <c r="L282" s="28" t="n">
        <f aca="false">IF($K282="","",$K282-기준정보!$C$6)</f>
        <v>46364</v>
      </c>
      <c r="M282" s="29" t="n">
        <f aca="false">IF($L282="","",$L282-기준정보!$C$4)</f>
        <v>122</v>
      </c>
      <c r="N282" s="27" t="s">
        <v>119</v>
      </c>
      <c r="O282" s="30"/>
      <c r="P282" s="26" t="str">
        <f aca="false">IF($G282="","",IF(AND(ISNUMBER(SEARCH("CMT",$G282)),OR(ISNUMBER(SEARCH("완사입",$G282)),ISNUMBER(SEARCH("ODM",$G282)))),"본사/생산처 혼재",IF(ISNUMBER(SEARCH("CMT",$G282)),"본사(소재팀)","생산처")))</f>
        <v>생산처</v>
      </c>
      <c r="Q282" s="25" t="s">
        <v>695</v>
      </c>
      <c r="R282" s="25" t="s">
        <v>105</v>
      </c>
      <c r="S282" s="31" t="n">
        <v>10500</v>
      </c>
      <c r="T282" s="26"/>
      <c r="U282" s="26" t="str">
        <f aca="false">IF($J282="","출고일 미정",IF($N282="X","작지 미발행",IF($N282="부분","작지 일부 미발행",IF(AND($O282&lt;&gt;"",$O282&gt;$L282),"소재입고 마감("&amp;TEXT($L282,"MM/DD")&amp;") 초과",IF($N282="","발행여부 확인 필요",IF($O282="","소재 입고일정 확인 필요","정상"))))))</f>
        <v>작지 미발행</v>
      </c>
      <c r="V282" s="24" t="str">
        <f aca="false">IF($J282="","",IF(OR(LEFT($U282,2)="작지",LEFT($U282,4)="소재입고"),IF(LEFT($F282,1)="S","★ 납기위험(S코드)","◆ 지연주의"),IF($U282="정상","✓ 정상","? 확인필요")))</f>
        <v>◆ 지연주의</v>
      </c>
      <c r="W282" s="27"/>
      <c r="X282" s="32"/>
    </row>
    <row r="283" customFormat="false" ht="15" hidden="false" customHeight="false" outlineLevel="0" collapsed="false">
      <c r="A283" s="24" t="n">
        <v>279</v>
      </c>
      <c r="B283" s="25" t="s">
        <v>541</v>
      </c>
      <c r="C283" s="25" t="s">
        <v>386</v>
      </c>
      <c r="D283" s="26" t="s">
        <v>699</v>
      </c>
      <c r="E283" s="25" t="s">
        <v>700</v>
      </c>
      <c r="F283" s="24" t="str">
        <f aca="false">IF($D283="","",IF(MID($D283,5,1)="S","S(봄)",IF(MID($D283,5,1)="M","M(여름)",IF(MID($D283,5,1)="X","X(사계절)",MID($D283,5,1)))))</f>
        <v>M(여름)</v>
      </c>
      <c r="G283" s="25" t="s">
        <v>62</v>
      </c>
      <c r="H283" s="24"/>
      <c r="I283" s="27" t="s">
        <v>623</v>
      </c>
      <c r="J283" s="28" t="n">
        <f aca="false">IF($I283="","",IFERROR(DATE(IF(VALUE(LEFT($I283,FIND("월",$I283)-1))&gt;=9,기준정보!$C$7-1,기준정보!$C$7),VALUE(LEFT($I283,FIND("월",$I283)-1)),1+7*(VALUE(SUBSTITUTE(MID($I283,FIND("월",$I283)+1,5),"주",""))-1)),""))</f>
        <v>46468</v>
      </c>
      <c r="K283" s="28" t="n">
        <f aca="false">IF($J283="","",$J283-기준정보!$C$5)</f>
        <v>46454</v>
      </c>
      <c r="L283" s="28" t="n">
        <f aca="false">IF($K283="","",$K283-기준정보!$C$6)</f>
        <v>46364</v>
      </c>
      <c r="M283" s="29" t="n">
        <f aca="false">IF($L283="","",$L283-기준정보!$C$4)</f>
        <v>122</v>
      </c>
      <c r="N283" s="27" t="s">
        <v>119</v>
      </c>
      <c r="O283" s="30"/>
      <c r="P283" s="26" t="str">
        <f aca="false">IF($G283="","",IF(AND(ISNUMBER(SEARCH("CMT",$G283)),OR(ISNUMBER(SEARCH("완사입",$G283)),ISNUMBER(SEARCH("ODM",$G283)))),"본사/생산처 혼재",IF(ISNUMBER(SEARCH("CMT",$G283)),"본사(소재팀)","생산처")))</f>
        <v>생산처</v>
      </c>
      <c r="Q283" s="25" t="s">
        <v>695</v>
      </c>
      <c r="R283" s="25" t="s">
        <v>67</v>
      </c>
      <c r="S283" s="31" t="n">
        <v>5000</v>
      </c>
      <c r="T283" s="26"/>
      <c r="U283" s="26" t="str">
        <f aca="false">IF($J283="","출고일 미정",IF($N283="X","작지 미발행",IF($N283="부분","작지 일부 미발행",IF(AND($O283&lt;&gt;"",$O283&gt;$L283),"소재입고 마감("&amp;TEXT($L283,"MM/DD")&amp;") 초과",IF($N283="","발행여부 확인 필요",IF($O283="","소재 입고일정 확인 필요","정상"))))))</f>
        <v>작지 미발행</v>
      </c>
      <c r="V283" s="24" t="str">
        <f aca="false">IF($J283="","",IF(OR(LEFT($U283,2)="작지",LEFT($U283,4)="소재입고"),IF(LEFT($F283,1)="S","★ 납기위험(S코드)","◆ 지연주의"),IF($U283="정상","✓ 정상","? 확인필요")))</f>
        <v>◆ 지연주의</v>
      </c>
      <c r="W283" s="27"/>
      <c r="X283" s="32"/>
    </row>
    <row r="284" customFormat="false" ht="15" hidden="false" customHeight="false" outlineLevel="0" collapsed="false">
      <c r="A284" s="24" t="n">
        <v>280</v>
      </c>
      <c r="B284" s="25" t="s">
        <v>541</v>
      </c>
      <c r="C284" s="25" t="s">
        <v>542</v>
      </c>
      <c r="D284" s="26" t="s">
        <v>701</v>
      </c>
      <c r="E284" s="25" t="s">
        <v>702</v>
      </c>
      <c r="F284" s="24" t="str">
        <f aca="false">IF($D284="","",IF(MID($D284,5,1)="S","S(봄)",IF(MID($D284,5,1)="M","M(여름)",IF(MID($D284,5,1)="X","X(사계절)",MID($D284,5,1)))))</f>
        <v>M(여름)</v>
      </c>
      <c r="G284" s="25" t="s">
        <v>62</v>
      </c>
      <c r="H284" s="24"/>
      <c r="I284" s="27" t="s">
        <v>623</v>
      </c>
      <c r="J284" s="28" t="n">
        <f aca="false">IF($I284="","",IFERROR(DATE(IF(VALUE(LEFT($I284,FIND("월",$I284)-1))&gt;=9,기준정보!$C$7-1,기준정보!$C$7),VALUE(LEFT($I284,FIND("월",$I284)-1)),1+7*(VALUE(SUBSTITUTE(MID($I284,FIND("월",$I284)+1,5),"주",""))-1)),""))</f>
        <v>46468</v>
      </c>
      <c r="K284" s="28" t="n">
        <f aca="false">IF($J284="","",$J284-기준정보!$C$5)</f>
        <v>46454</v>
      </c>
      <c r="L284" s="28" t="n">
        <f aca="false">IF($K284="","",$K284-기준정보!$C$6)</f>
        <v>46364</v>
      </c>
      <c r="M284" s="29" t="n">
        <f aca="false">IF($L284="","",$L284-기준정보!$C$4)</f>
        <v>122</v>
      </c>
      <c r="N284" s="27" t="s">
        <v>119</v>
      </c>
      <c r="O284" s="30"/>
      <c r="P284" s="26" t="str">
        <f aca="false">IF($G284="","",IF(AND(ISNUMBER(SEARCH("CMT",$G284)),OR(ISNUMBER(SEARCH("완사입",$G284)),ISNUMBER(SEARCH("ODM",$G284)))),"본사/생산처 혼재",IF(ISNUMBER(SEARCH("CMT",$G284)),"본사(소재팀)","생산처")))</f>
        <v>생산처</v>
      </c>
      <c r="Q284" s="26" t="s">
        <v>690</v>
      </c>
      <c r="R284" s="25" t="s">
        <v>67</v>
      </c>
      <c r="S284" s="31" t="n">
        <v>3500</v>
      </c>
      <c r="T284" s="26"/>
      <c r="U284" s="26" t="str">
        <f aca="false">IF($J284="","출고일 미정",IF($N284="X","작지 미발행",IF($N284="부분","작지 일부 미발행",IF(AND($O284&lt;&gt;"",$O284&gt;$L284),"소재입고 마감("&amp;TEXT($L284,"MM/DD")&amp;") 초과",IF($N284="","발행여부 확인 필요",IF($O284="","소재 입고일정 확인 필요","정상"))))))</f>
        <v>작지 미발행</v>
      </c>
      <c r="V284" s="24" t="str">
        <f aca="false">IF($J284="","",IF(OR(LEFT($U284,2)="작지",LEFT($U284,4)="소재입고"),IF(LEFT($F284,1)="S","★ 납기위험(S코드)","◆ 지연주의"),IF($U284="정상","✓ 정상","? 확인필요")))</f>
        <v>◆ 지연주의</v>
      </c>
      <c r="W284" s="27"/>
      <c r="X284" s="32"/>
    </row>
    <row r="285" customFormat="false" ht="15" hidden="false" customHeight="false" outlineLevel="0" collapsed="false">
      <c r="A285" s="24" t="n">
        <v>281</v>
      </c>
      <c r="B285" s="25" t="s">
        <v>541</v>
      </c>
      <c r="C285" s="25" t="s">
        <v>542</v>
      </c>
      <c r="D285" s="26" t="s">
        <v>703</v>
      </c>
      <c r="E285" s="25" t="s">
        <v>704</v>
      </c>
      <c r="F285" s="24" t="str">
        <f aca="false">IF($D285="","",IF(MID($D285,5,1)="S","S(봄)",IF(MID($D285,5,1)="M","M(여름)",IF(MID($D285,5,1)="X","X(사계절)",MID($D285,5,1)))))</f>
        <v>M(여름)</v>
      </c>
      <c r="G285" s="25" t="s">
        <v>62</v>
      </c>
      <c r="H285" s="24" t="s">
        <v>326</v>
      </c>
      <c r="I285" s="27" t="s">
        <v>623</v>
      </c>
      <c r="J285" s="28" t="n">
        <f aca="false">IF($I285="","",IFERROR(DATE(IF(VALUE(LEFT($I285,FIND("월",$I285)-1))&gt;=9,기준정보!$C$7-1,기준정보!$C$7),VALUE(LEFT($I285,FIND("월",$I285)-1)),1+7*(VALUE(SUBSTITUTE(MID($I285,FIND("월",$I285)+1,5),"주",""))-1)),""))</f>
        <v>46468</v>
      </c>
      <c r="K285" s="28" t="n">
        <f aca="false">IF($J285="","",$J285-기준정보!$C$5)</f>
        <v>46454</v>
      </c>
      <c r="L285" s="28" t="n">
        <f aca="false">IF($K285="","",$K285-기준정보!$C$6)</f>
        <v>46364</v>
      </c>
      <c r="M285" s="29" t="n">
        <f aca="false">IF($L285="","",$L285-기준정보!$C$4)</f>
        <v>122</v>
      </c>
      <c r="N285" s="27" t="s">
        <v>119</v>
      </c>
      <c r="O285" s="30"/>
      <c r="P285" s="26" t="str">
        <f aca="false">IF($G285="","",IF(AND(ISNUMBER(SEARCH("CMT",$G285)),OR(ISNUMBER(SEARCH("완사입",$G285)),ISNUMBER(SEARCH("ODM",$G285)))),"본사/생산처 혼재",IF(ISNUMBER(SEARCH("CMT",$G285)),"본사(소재팀)","생산처")))</f>
        <v>생산처</v>
      </c>
      <c r="Q285" s="26" t="s">
        <v>690</v>
      </c>
      <c r="R285" s="25" t="s">
        <v>67</v>
      </c>
      <c r="S285" s="31" t="n">
        <v>500</v>
      </c>
      <c r="T285" s="26"/>
      <c r="U285" s="26" t="str">
        <f aca="false">IF($J285="","출고일 미정",IF($N285="X","작지 미발행",IF($N285="부분","작지 일부 미발행",IF(AND($O285&lt;&gt;"",$O285&gt;$L285),"소재입고 마감("&amp;TEXT($L285,"MM/DD")&amp;") 초과",IF($N285="","발행여부 확인 필요",IF($O285="","소재 입고일정 확인 필요","정상"))))))</f>
        <v>작지 미발행</v>
      </c>
      <c r="V285" s="24" t="str">
        <f aca="false">IF($J285="","",IF(OR(LEFT($U285,2)="작지",LEFT($U285,4)="소재입고"),IF(LEFT($F285,1)="S","★ 납기위험(S코드)","◆ 지연주의"),IF($U285="정상","✓ 정상","? 확인필요")))</f>
        <v>◆ 지연주의</v>
      </c>
      <c r="W285" s="27"/>
      <c r="X285" s="32"/>
    </row>
    <row r="286" customFormat="false" ht="15" hidden="false" customHeight="false" outlineLevel="0" collapsed="false">
      <c r="A286" s="24" t="n">
        <v>282</v>
      </c>
      <c r="B286" s="25" t="s">
        <v>541</v>
      </c>
      <c r="C286" s="25" t="s">
        <v>542</v>
      </c>
      <c r="D286" s="26" t="s">
        <v>705</v>
      </c>
      <c r="E286" s="25" t="s">
        <v>706</v>
      </c>
      <c r="F286" s="24" t="str">
        <f aca="false">IF($D286="","",IF(MID($D286,5,1)="S","S(봄)",IF(MID($D286,5,1)="M","M(여름)",IF(MID($D286,5,1)="X","X(사계절)",MID($D286,5,1)))))</f>
        <v>M(여름)</v>
      </c>
      <c r="G286" s="25" t="s">
        <v>62</v>
      </c>
      <c r="H286" s="24" t="s">
        <v>326</v>
      </c>
      <c r="I286" s="27" t="s">
        <v>623</v>
      </c>
      <c r="J286" s="28" t="n">
        <f aca="false">IF($I286="","",IFERROR(DATE(IF(VALUE(LEFT($I286,FIND("월",$I286)-1))&gt;=9,기준정보!$C$7-1,기준정보!$C$7),VALUE(LEFT($I286,FIND("월",$I286)-1)),1+7*(VALUE(SUBSTITUTE(MID($I286,FIND("월",$I286)+1,5),"주",""))-1)),""))</f>
        <v>46468</v>
      </c>
      <c r="K286" s="28" t="n">
        <f aca="false">IF($J286="","",$J286-기준정보!$C$5)</f>
        <v>46454</v>
      </c>
      <c r="L286" s="28" t="n">
        <f aca="false">IF($K286="","",$K286-기준정보!$C$6)</f>
        <v>46364</v>
      </c>
      <c r="M286" s="29" t="n">
        <f aca="false">IF($L286="","",$L286-기준정보!$C$4)</f>
        <v>122</v>
      </c>
      <c r="N286" s="27" t="s">
        <v>119</v>
      </c>
      <c r="O286" s="30"/>
      <c r="P286" s="26" t="str">
        <f aca="false">IF($G286="","",IF(AND(ISNUMBER(SEARCH("CMT",$G286)),OR(ISNUMBER(SEARCH("완사입",$G286)),ISNUMBER(SEARCH("ODM",$G286)))),"본사/생산처 혼재",IF(ISNUMBER(SEARCH("CMT",$G286)),"본사(소재팀)","생산처")))</f>
        <v>생산처</v>
      </c>
      <c r="Q286" s="26" t="s">
        <v>690</v>
      </c>
      <c r="R286" s="25" t="s">
        <v>67</v>
      </c>
      <c r="S286" s="31" t="n">
        <v>900</v>
      </c>
      <c r="T286" s="26"/>
      <c r="U286" s="26" t="str">
        <f aca="false">IF($J286="","출고일 미정",IF($N286="X","작지 미발행",IF($N286="부분","작지 일부 미발행",IF(AND($O286&lt;&gt;"",$O286&gt;$L286),"소재입고 마감("&amp;TEXT($L286,"MM/DD")&amp;") 초과",IF($N286="","발행여부 확인 필요",IF($O286="","소재 입고일정 확인 필요","정상"))))))</f>
        <v>작지 미발행</v>
      </c>
      <c r="V286" s="24" t="str">
        <f aca="false">IF($J286="","",IF(OR(LEFT($U286,2)="작지",LEFT($U286,4)="소재입고"),IF(LEFT($F286,1)="S","★ 납기위험(S코드)","◆ 지연주의"),IF($U286="정상","✓ 정상","? 확인필요")))</f>
        <v>◆ 지연주의</v>
      </c>
      <c r="W286" s="27"/>
      <c r="X286" s="32"/>
    </row>
    <row r="287" customFormat="false" ht="15" hidden="false" customHeight="false" outlineLevel="0" collapsed="false">
      <c r="A287" s="24" t="n">
        <v>283</v>
      </c>
      <c r="B287" s="25" t="s">
        <v>541</v>
      </c>
      <c r="C287" s="25" t="s">
        <v>542</v>
      </c>
      <c r="D287" s="26" t="s">
        <v>707</v>
      </c>
      <c r="E287" s="25" t="s">
        <v>708</v>
      </c>
      <c r="F287" s="24" t="str">
        <f aca="false">IF($D287="","",IF(MID($D287,5,1)="S","S(봄)",IF(MID($D287,5,1)="M","M(여름)",IF(MID($D287,5,1)="X","X(사계절)",MID($D287,5,1)))))</f>
        <v>M(여름)</v>
      </c>
      <c r="G287" s="25" t="s">
        <v>62</v>
      </c>
      <c r="H287" s="24"/>
      <c r="I287" s="27" t="s">
        <v>623</v>
      </c>
      <c r="J287" s="28" t="n">
        <f aca="false">IF($I287="","",IFERROR(DATE(IF(VALUE(LEFT($I287,FIND("월",$I287)-1))&gt;=9,기준정보!$C$7-1,기준정보!$C$7),VALUE(LEFT($I287,FIND("월",$I287)-1)),1+7*(VALUE(SUBSTITUTE(MID($I287,FIND("월",$I287)+1,5),"주",""))-1)),""))</f>
        <v>46468</v>
      </c>
      <c r="K287" s="28" t="n">
        <f aca="false">IF($J287="","",$J287-기준정보!$C$5)</f>
        <v>46454</v>
      </c>
      <c r="L287" s="28" t="n">
        <f aca="false">IF($K287="","",$K287-기준정보!$C$6)</f>
        <v>46364</v>
      </c>
      <c r="M287" s="29" t="n">
        <f aca="false">IF($L287="","",$L287-기준정보!$C$4)</f>
        <v>122</v>
      </c>
      <c r="N287" s="27" t="s">
        <v>119</v>
      </c>
      <c r="O287" s="30"/>
      <c r="P287" s="26" t="str">
        <f aca="false">IF($G287="","",IF(AND(ISNUMBER(SEARCH("CMT",$G287)),OR(ISNUMBER(SEARCH("완사입",$G287)),ISNUMBER(SEARCH("ODM",$G287)))),"본사/생산처 혼재",IF(ISNUMBER(SEARCH("CMT",$G287)),"본사(소재팀)","생산처")))</f>
        <v>생산처</v>
      </c>
      <c r="Q287" s="26" t="s">
        <v>690</v>
      </c>
      <c r="R287" s="25" t="s">
        <v>67</v>
      </c>
      <c r="S287" s="31" t="n">
        <v>1500</v>
      </c>
      <c r="T287" s="26"/>
      <c r="U287" s="26" t="str">
        <f aca="false">IF($J287="","출고일 미정",IF($N287="X","작지 미발행",IF($N287="부분","작지 일부 미발행",IF(AND($O287&lt;&gt;"",$O287&gt;$L287),"소재입고 마감("&amp;TEXT($L287,"MM/DD")&amp;") 초과",IF($N287="","발행여부 확인 필요",IF($O287="","소재 입고일정 확인 필요","정상"))))))</f>
        <v>작지 미발행</v>
      </c>
      <c r="V287" s="24" t="str">
        <f aca="false">IF($J287="","",IF(OR(LEFT($U287,2)="작지",LEFT($U287,4)="소재입고"),IF(LEFT($F287,1)="S","★ 납기위험(S코드)","◆ 지연주의"),IF($U287="정상","✓ 정상","? 확인필요")))</f>
        <v>◆ 지연주의</v>
      </c>
      <c r="W287" s="27"/>
      <c r="X287" s="32"/>
    </row>
    <row r="288" customFormat="false" ht="15" hidden="false" customHeight="false" outlineLevel="0" collapsed="false">
      <c r="A288" s="24" t="n">
        <v>284</v>
      </c>
      <c r="B288" s="25" t="s">
        <v>541</v>
      </c>
      <c r="C288" s="25" t="s">
        <v>542</v>
      </c>
      <c r="D288" s="26" t="s">
        <v>709</v>
      </c>
      <c r="E288" s="25" t="s">
        <v>710</v>
      </c>
      <c r="F288" s="24" t="str">
        <f aca="false">IF($D288="","",IF(MID($D288,5,1)="S","S(봄)",IF(MID($D288,5,1)="M","M(여름)",IF(MID($D288,5,1)="X","X(사계절)",MID($D288,5,1)))))</f>
        <v>M(여름)</v>
      </c>
      <c r="G288" s="25" t="s">
        <v>62</v>
      </c>
      <c r="H288" s="24"/>
      <c r="I288" s="27" t="s">
        <v>623</v>
      </c>
      <c r="J288" s="28" t="n">
        <f aca="false">IF($I288="","",IFERROR(DATE(IF(VALUE(LEFT($I288,FIND("월",$I288)-1))&gt;=9,기준정보!$C$7-1,기준정보!$C$7),VALUE(LEFT($I288,FIND("월",$I288)-1)),1+7*(VALUE(SUBSTITUTE(MID($I288,FIND("월",$I288)+1,5),"주",""))-1)),""))</f>
        <v>46468</v>
      </c>
      <c r="K288" s="28" t="n">
        <f aca="false">IF($J288="","",$J288-기준정보!$C$5)</f>
        <v>46454</v>
      </c>
      <c r="L288" s="28" t="n">
        <f aca="false">IF($K288="","",$K288-기준정보!$C$6)</f>
        <v>46364</v>
      </c>
      <c r="M288" s="29" t="n">
        <f aca="false">IF($L288="","",$L288-기준정보!$C$4)</f>
        <v>122</v>
      </c>
      <c r="N288" s="27" t="s">
        <v>119</v>
      </c>
      <c r="O288" s="30"/>
      <c r="P288" s="26" t="str">
        <f aca="false">IF($G288="","",IF(AND(ISNUMBER(SEARCH("CMT",$G288)),OR(ISNUMBER(SEARCH("완사입",$G288)),ISNUMBER(SEARCH("ODM",$G288)))),"본사/생산처 혼재",IF(ISNUMBER(SEARCH("CMT",$G288)),"본사(소재팀)","생산처")))</f>
        <v>생산처</v>
      </c>
      <c r="Q288" s="25" t="s">
        <v>545</v>
      </c>
      <c r="R288" s="25" t="s">
        <v>134</v>
      </c>
      <c r="S288" s="31" t="n">
        <v>6000</v>
      </c>
      <c r="T288" s="26"/>
      <c r="U288" s="26" t="str">
        <f aca="false">IF($J288="","출고일 미정",IF($N288="X","작지 미발행",IF($N288="부분","작지 일부 미발행",IF(AND($O288&lt;&gt;"",$O288&gt;$L288),"소재입고 마감("&amp;TEXT($L288,"MM/DD")&amp;") 초과",IF($N288="","발행여부 확인 필요",IF($O288="","소재 입고일정 확인 필요","정상"))))))</f>
        <v>작지 미발행</v>
      </c>
      <c r="V288" s="24" t="str">
        <f aca="false">IF($J288="","",IF(OR(LEFT($U288,2)="작지",LEFT($U288,4)="소재입고"),IF(LEFT($F288,1)="S","★ 납기위험(S코드)","◆ 지연주의"),IF($U288="정상","✓ 정상","? 확인필요")))</f>
        <v>◆ 지연주의</v>
      </c>
      <c r="W288" s="27"/>
      <c r="X288" s="32"/>
    </row>
    <row r="289" customFormat="false" ht="15" hidden="false" customHeight="false" outlineLevel="0" collapsed="false">
      <c r="A289" s="24" t="n">
        <v>285</v>
      </c>
      <c r="B289" s="25" t="s">
        <v>541</v>
      </c>
      <c r="C289" s="25" t="s">
        <v>542</v>
      </c>
      <c r="D289" s="26" t="s">
        <v>711</v>
      </c>
      <c r="E289" s="25" t="s">
        <v>712</v>
      </c>
      <c r="F289" s="24" t="str">
        <f aca="false">IF($D289="","",IF(MID($D289,5,1)="S","S(봄)",IF(MID($D289,5,1)="M","M(여름)",IF(MID($D289,5,1)="X","X(사계절)",MID($D289,5,1)))))</f>
        <v>M(여름)</v>
      </c>
      <c r="G289" s="25" t="s">
        <v>62</v>
      </c>
      <c r="H289" s="24"/>
      <c r="I289" s="27" t="s">
        <v>623</v>
      </c>
      <c r="J289" s="28" t="n">
        <f aca="false">IF($I289="","",IFERROR(DATE(IF(VALUE(LEFT($I289,FIND("월",$I289)-1))&gt;=9,기준정보!$C$7-1,기준정보!$C$7),VALUE(LEFT($I289,FIND("월",$I289)-1)),1+7*(VALUE(SUBSTITUTE(MID($I289,FIND("월",$I289)+1,5),"주",""))-1)),""))</f>
        <v>46468</v>
      </c>
      <c r="K289" s="28" t="n">
        <f aca="false">IF($J289="","",$J289-기준정보!$C$5)</f>
        <v>46454</v>
      </c>
      <c r="L289" s="28" t="n">
        <f aca="false">IF($K289="","",$K289-기준정보!$C$6)</f>
        <v>46364</v>
      </c>
      <c r="M289" s="29" t="n">
        <f aca="false">IF($L289="","",$L289-기준정보!$C$4)</f>
        <v>122</v>
      </c>
      <c r="N289" s="27" t="s">
        <v>119</v>
      </c>
      <c r="O289" s="30"/>
      <c r="P289" s="26" t="str">
        <f aca="false">IF($G289="","",IF(AND(ISNUMBER(SEARCH("CMT",$G289)),OR(ISNUMBER(SEARCH("완사입",$G289)),ISNUMBER(SEARCH("ODM",$G289)))),"본사/생산처 혼재",IF(ISNUMBER(SEARCH("CMT",$G289)),"본사(소재팀)","생산처")))</f>
        <v>생산처</v>
      </c>
      <c r="Q289" s="26" t="s">
        <v>690</v>
      </c>
      <c r="R289" s="25" t="s">
        <v>67</v>
      </c>
      <c r="S289" s="31" t="n">
        <v>7500</v>
      </c>
      <c r="T289" s="26"/>
      <c r="U289" s="26" t="str">
        <f aca="false">IF($J289="","출고일 미정",IF($N289="X","작지 미발행",IF($N289="부분","작지 일부 미발행",IF(AND($O289&lt;&gt;"",$O289&gt;$L289),"소재입고 마감("&amp;TEXT($L289,"MM/DD")&amp;") 초과",IF($N289="","발행여부 확인 필요",IF($O289="","소재 입고일정 확인 필요","정상"))))))</f>
        <v>작지 미발행</v>
      </c>
      <c r="V289" s="24" t="str">
        <f aca="false">IF($J289="","",IF(OR(LEFT($U289,2)="작지",LEFT($U289,4)="소재입고"),IF(LEFT($F289,1)="S","★ 납기위험(S코드)","◆ 지연주의"),IF($U289="정상","✓ 정상","? 확인필요")))</f>
        <v>◆ 지연주의</v>
      </c>
      <c r="W289" s="27"/>
      <c r="X289" s="32"/>
    </row>
    <row r="290" customFormat="false" ht="15" hidden="false" customHeight="false" outlineLevel="0" collapsed="false">
      <c r="A290" s="24" t="n">
        <v>286</v>
      </c>
      <c r="B290" s="25" t="s">
        <v>211</v>
      </c>
      <c r="C290" s="25" t="s">
        <v>212</v>
      </c>
      <c r="D290" s="26" t="s">
        <v>713</v>
      </c>
      <c r="E290" s="25" t="s">
        <v>714</v>
      </c>
      <c r="F290" s="24" t="str">
        <f aca="false">IF($D290="","",IF(MID($D290,5,1)="S","S(봄)",IF(MID($D290,5,1)="M","M(여름)",IF(MID($D290,5,1)="X","X(사계절)",MID($D290,5,1)))))</f>
        <v>M(여름)</v>
      </c>
      <c r="G290" s="26" t="s">
        <v>167</v>
      </c>
      <c r="H290" s="24" t="s">
        <v>394</v>
      </c>
      <c r="I290" s="27" t="s">
        <v>623</v>
      </c>
      <c r="J290" s="28" t="n">
        <f aca="false">IF($I290="","",IFERROR(DATE(IF(VALUE(LEFT($I290,FIND("월",$I290)-1))&gt;=9,기준정보!$C$7-1,기준정보!$C$7),VALUE(LEFT($I290,FIND("월",$I290)-1)),1+7*(VALUE(SUBSTITUTE(MID($I290,FIND("월",$I290)+1,5),"주",""))-1)),""))</f>
        <v>46468</v>
      </c>
      <c r="K290" s="28" t="n">
        <f aca="false">IF($J290="","",$J290-기준정보!$C$5)</f>
        <v>46454</v>
      </c>
      <c r="L290" s="28" t="n">
        <f aca="false">IF($K290="","",$K290-기준정보!$C$6)</f>
        <v>46364</v>
      </c>
      <c r="M290" s="29" t="n">
        <f aca="false">IF($L290="","",$L290-기준정보!$C$4)</f>
        <v>122</v>
      </c>
      <c r="N290" s="27" t="s">
        <v>65</v>
      </c>
      <c r="O290" s="30"/>
      <c r="P290" s="26" t="str">
        <f aca="false">IF($G290="","",IF(AND(ISNUMBER(SEARCH("CMT",$G290)),OR(ISNUMBER(SEARCH("완사입",$G290)),ISNUMBER(SEARCH("ODM",$G290)))),"본사/생산처 혼재",IF(ISNUMBER(SEARCH("CMT",$G290)),"본사(소재팀)","생산처")))</f>
        <v>본사(소재팀)</v>
      </c>
      <c r="Q290" s="25" t="s">
        <v>79</v>
      </c>
      <c r="R290" s="25" t="s">
        <v>67</v>
      </c>
      <c r="S290" s="31" t="n">
        <v>6000</v>
      </c>
      <c r="T290" s="26"/>
      <c r="U290" s="26" t="str">
        <f aca="false">IF($J290="","출고일 미정",IF($N290="X","작지 미발행",IF($N290="부분","작지 일부 미발행",IF(AND($O290&lt;&gt;"",$O290&gt;$L290),"소재입고 마감("&amp;TEXT($L290,"MM/DD")&amp;") 초과",IF($N290="","발행여부 확인 필요",IF($O290="","소재 입고일정 확인 필요","정상"))))))</f>
        <v>소재 입고일정 확인 필요</v>
      </c>
      <c r="V290" s="24" t="str">
        <f aca="false">IF($J290="","",IF(OR(LEFT($U290,2)="작지",LEFT($U290,4)="소재입고"),IF(LEFT($F290,1)="S","★ 납기위험(S코드)","◆ 지연주의"),IF($U290="정상","✓ 정상","? 확인필요")))</f>
        <v>? 확인필요</v>
      </c>
      <c r="W290" s="27"/>
      <c r="X290" s="32"/>
    </row>
    <row r="291" customFormat="false" ht="15" hidden="false" customHeight="false" outlineLevel="0" collapsed="false">
      <c r="A291" s="24" t="n">
        <v>287</v>
      </c>
      <c r="B291" s="25" t="s">
        <v>211</v>
      </c>
      <c r="C291" s="25" t="s">
        <v>212</v>
      </c>
      <c r="D291" s="26" t="s">
        <v>715</v>
      </c>
      <c r="E291" s="25" t="s">
        <v>716</v>
      </c>
      <c r="F291" s="24" t="str">
        <f aca="false">IF($D291="","",IF(MID($D291,5,1)="S","S(봄)",IF(MID($D291,5,1)="M","M(여름)",IF(MID($D291,5,1)="X","X(사계절)",MID($D291,5,1)))))</f>
        <v>M(여름)</v>
      </c>
      <c r="G291" s="26" t="s">
        <v>167</v>
      </c>
      <c r="H291" s="24" t="s">
        <v>394</v>
      </c>
      <c r="I291" s="27" t="s">
        <v>623</v>
      </c>
      <c r="J291" s="28" t="n">
        <f aca="false">IF($I291="","",IFERROR(DATE(IF(VALUE(LEFT($I291,FIND("월",$I291)-1))&gt;=9,기준정보!$C$7-1,기준정보!$C$7),VALUE(LEFT($I291,FIND("월",$I291)-1)),1+7*(VALUE(SUBSTITUTE(MID($I291,FIND("월",$I291)+1,5),"주",""))-1)),""))</f>
        <v>46468</v>
      </c>
      <c r="K291" s="28" t="n">
        <f aca="false">IF($J291="","",$J291-기준정보!$C$5)</f>
        <v>46454</v>
      </c>
      <c r="L291" s="28" t="n">
        <f aca="false">IF($K291="","",$K291-기준정보!$C$6)</f>
        <v>46364</v>
      </c>
      <c r="M291" s="29" t="n">
        <f aca="false">IF($L291="","",$L291-기준정보!$C$4)</f>
        <v>122</v>
      </c>
      <c r="N291" s="27" t="s">
        <v>65</v>
      </c>
      <c r="O291" s="30"/>
      <c r="P291" s="26" t="str">
        <f aca="false">IF($G291="","",IF(AND(ISNUMBER(SEARCH("CMT",$G291)),OR(ISNUMBER(SEARCH("완사입",$G291)),ISNUMBER(SEARCH("ODM",$G291)))),"본사/생산처 혼재",IF(ISNUMBER(SEARCH("CMT",$G291)),"본사(소재팀)","생산처")))</f>
        <v>본사(소재팀)</v>
      </c>
      <c r="Q291" s="26" t="s">
        <v>187</v>
      </c>
      <c r="R291" s="25" t="s">
        <v>67</v>
      </c>
      <c r="S291" s="31" t="n">
        <v>2500</v>
      </c>
      <c r="T291" s="26"/>
      <c r="U291" s="26" t="str">
        <f aca="false">IF($J291="","출고일 미정",IF($N291="X","작지 미발행",IF($N291="부분","작지 일부 미발행",IF(AND($O291&lt;&gt;"",$O291&gt;$L291),"소재입고 마감("&amp;TEXT($L291,"MM/DD")&amp;") 초과",IF($N291="","발행여부 확인 필요",IF($O291="","소재 입고일정 확인 필요","정상"))))))</f>
        <v>소재 입고일정 확인 필요</v>
      </c>
      <c r="V291" s="24" t="str">
        <f aca="false">IF($J291="","",IF(OR(LEFT($U291,2)="작지",LEFT($U291,4)="소재입고"),IF(LEFT($F291,1)="S","★ 납기위험(S코드)","◆ 지연주의"),IF($U291="정상","✓ 정상","? 확인필요")))</f>
        <v>? 확인필요</v>
      </c>
      <c r="W291" s="27"/>
      <c r="X291" s="32"/>
    </row>
    <row r="292" customFormat="false" ht="15" hidden="false" customHeight="false" outlineLevel="0" collapsed="false">
      <c r="A292" s="24" t="n">
        <v>288</v>
      </c>
      <c r="B292" s="25" t="s">
        <v>211</v>
      </c>
      <c r="C292" s="25" t="s">
        <v>212</v>
      </c>
      <c r="D292" s="26" t="s">
        <v>717</v>
      </c>
      <c r="E292" s="25" t="s">
        <v>718</v>
      </c>
      <c r="F292" s="24" t="str">
        <f aca="false">IF($D292="","",IF(MID($D292,5,1)="S","S(봄)",IF(MID($D292,5,1)="M","M(여름)",IF(MID($D292,5,1)="X","X(사계절)",MID($D292,5,1)))))</f>
        <v>M(여름)</v>
      </c>
      <c r="G292" s="26" t="s">
        <v>167</v>
      </c>
      <c r="H292" s="24" t="s">
        <v>558</v>
      </c>
      <c r="I292" s="27" t="s">
        <v>623</v>
      </c>
      <c r="J292" s="28" t="n">
        <f aca="false">IF($I292="","",IFERROR(DATE(IF(VALUE(LEFT($I292,FIND("월",$I292)-1))&gt;=9,기준정보!$C$7-1,기준정보!$C$7),VALUE(LEFT($I292,FIND("월",$I292)-1)),1+7*(VALUE(SUBSTITUTE(MID($I292,FIND("월",$I292)+1,5),"주",""))-1)),""))</f>
        <v>46468</v>
      </c>
      <c r="K292" s="28" t="n">
        <f aca="false">IF($J292="","",$J292-기준정보!$C$5)</f>
        <v>46454</v>
      </c>
      <c r="L292" s="28" t="n">
        <f aca="false">IF($K292="","",$K292-기준정보!$C$6)</f>
        <v>46364</v>
      </c>
      <c r="M292" s="29" t="n">
        <f aca="false">IF($L292="","",$L292-기준정보!$C$4)</f>
        <v>122</v>
      </c>
      <c r="N292" s="27" t="s">
        <v>65</v>
      </c>
      <c r="O292" s="30"/>
      <c r="P292" s="26" t="str">
        <f aca="false">IF($G292="","",IF(AND(ISNUMBER(SEARCH("CMT",$G292)),OR(ISNUMBER(SEARCH("완사입",$G292)),ISNUMBER(SEARCH("ODM",$G292)))),"본사/생산처 혼재",IF(ISNUMBER(SEARCH("CMT",$G292)),"본사(소재팀)","생산처")))</f>
        <v>본사(소재팀)</v>
      </c>
      <c r="Q292" s="25" t="s">
        <v>79</v>
      </c>
      <c r="R292" s="25" t="s">
        <v>67</v>
      </c>
      <c r="S292" s="31" t="n">
        <v>2000</v>
      </c>
      <c r="T292" s="26"/>
      <c r="U292" s="26" t="str">
        <f aca="false">IF($J292="","출고일 미정",IF($N292="X","작지 미발행",IF($N292="부분","작지 일부 미발행",IF(AND($O292&lt;&gt;"",$O292&gt;$L292),"소재입고 마감("&amp;TEXT($L292,"MM/DD")&amp;") 초과",IF($N292="","발행여부 확인 필요",IF($O292="","소재 입고일정 확인 필요","정상"))))))</f>
        <v>소재 입고일정 확인 필요</v>
      </c>
      <c r="V292" s="24" t="str">
        <f aca="false">IF($J292="","",IF(OR(LEFT($U292,2)="작지",LEFT($U292,4)="소재입고"),IF(LEFT($F292,1)="S","★ 납기위험(S코드)","◆ 지연주의"),IF($U292="정상","✓ 정상","? 확인필요")))</f>
        <v>? 확인필요</v>
      </c>
      <c r="W292" s="27"/>
      <c r="X292" s="32"/>
    </row>
    <row r="293" customFormat="false" ht="15" hidden="false" customHeight="false" outlineLevel="0" collapsed="false">
      <c r="A293" s="24" t="n">
        <v>289</v>
      </c>
      <c r="B293" s="25" t="s">
        <v>211</v>
      </c>
      <c r="C293" s="25" t="s">
        <v>212</v>
      </c>
      <c r="D293" s="26" t="s">
        <v>719</v>
      </c>
      <c r="E293" s="25" t="s">
        <v>720</v>
      </c>
      <c r="F293" s="24" t="str">
        <f aca="false">IF($D293="","",IF(MID($D293,5,1)="S","S(봄)",IF(MID($D293,5,1)="M","M(여름)",IF(MID($D293,5,1)="X","X(사계절)",MID($D293,5,1)))))</f>
        <v>M(여름)</v>
      </c>
      <c r="G293" s="26" t="s">
        <v>167</v>
      </c>
      <c r="H293" s="24" t="s">
        <v>397</v>
      </c>
      <c r="I293" s="27" t="s">
        <v>623</v>
      </c>
      <c r="J293" s="28" t="n">
        <f aca="false">IF($I293="","",IFERROR(DATE(IF(VALUE(LEFT($I293,FIND("월",$I293)-1))&gt;=9,기준정보!$C$7-1,기준정보!$C$7),VALUE(LEFT($I293,FIND("월",$I293)-1)),1+7*(VALUE(SUBSTITUTE(MID($I293,FIND("월",$I293)+1,5),"주",""))-1)),""))</f>
        <v>46468</v>
      </c>
      <c r="K293" s="28" t="n">
        <f aca="false">IF($J293="","",$J293-기준정보!$C$5)</f>
        <v>46454</v>
      </c>
      <c r="L293" s="28" t="n">
        <f aca="false">IF($K293="","",$K293-기준정보!$C$6)</f>
        <v>46364</v>
      </c>
      <c r="M293" s="29" t="n">
        <f aca="false">IF($L293="","",$L293-기준정보!$C$4)</f>
        <v>122</v>
      </c>
      <c r="N293" s="27" t="s">
        <v>65</v>
      </c>
      <c r="O293" s="30"/>
      <c r="P293" s="26" t="str">
        <f aca="false">IF($G293="","",IF(AND(ISNUMBER(SEARCH("CMT",$G293)),OR(ISNUMBER(SEARCH("완사입",$G293)),ISNUMBER(SEARCH("ODM",$G293)))),"본사/생산처 혼재",IF(ISNUMBER(SEARCH("CMT",$G293)),"본사(소재팀)","생산처")))</f>
        <v>본사(소재팀)</v>
      </c>
      <c r="Q293" s="25" t="s">
        <v>79</v>
      </c>
      <c r="R293" s="25" t="s">
        <v>67</v>
      </c>
      <c r="S293" s="31" t="n">
        <v>1600</v>
      </c>
      <c r="T293" s="26"/>
      <c r="U293" s="26" t="str">
        <f aca="false">IF($J293="","출고일 미정",IF($N293="X","작지 미발행",IF($N293="부분","작지 일부 미발행",IF(AND($O293&lt;&gt;"",$O293&gt;$L293),"소재입고 마감("&amp;TEXT($L293,"MM/DD")&amp;") 초과",IF($N293="","발행여부 확인 필요",IF($O293="","소재 입고일정 확인 필요","정상"))))))</f>
        <v>소재 입고일정 확인 필요</v>
      </c>
      <c r="V293" s="24" t="str">
        <f aca="false">IF($J293="","",IF(OR(LEFT($U293,2)="작지",LEFT($U293,4)="소재입고"),IF(LEFT($F293,1)="S","★ 납기위험(S코드)","◆ 지연주의"),IF($U293="정상","✓ 정상","? 확인필요")))</f>
        <v>? 확인필요</v>
      </c>
      <c r="W293" s="27"/>
      <c r="X293" s="32"/>
    </row>
    <row r="294" customFormat="false" ht="15" hidden="false" customHeight="false" outlineLevel="0" collapsed="false">
      <c r="A294" s="24" t="n">
        <v>290</v>
      </c>
      <c r="B294" s="25" t="s">
        <v>211</v>
      </c>
      <c r="C294" s="25" t="s">
        <v>212</v>
      </c>
      <c r="D294" s="26" t="s">
        <v>721</v>
      </c>
      <c r="E294" s="25" t="s">
        <v>722</v>
      </c>
      <c r="F294" s="24" t="str">
        <f aca="false">IF($D294="","",IF(MID($D294,5,1)="S","S(봄)",IF(MID($D294,5,1)="M","M(여름)",IF(MID($D294,5,1)="X","X(사계절)",MID($D294,5,1)))))</f>
        <v>M(여름)</v>
      </c>
      <c r="G294" s="26" t="s">
        <v>167</v>
      </c>
      <c r="H294" s="24" t="s">
        <v>394</v>
      </c>
      <c r="I294" s="27" t="s">
        <v>623</v>
      </c>
      <c r="J294" s="28" t="n">
        <f aca="false">IF($I294="","",IFERROR(DATE(IF(VALUE(LEFT($I294,FIND("월",$I294)-1))&gt;=9,기준정보!$C$7-1,기준정보!$C$7),VALUE(LEFT($I294,FIND("월",$I294)-1)),1+7*(VALUE(SUBSTITUTE(MID($I294,FIND("월",$I294)+1,5),"주",""))-1)),""))</f>
        <v>46468</v>
      </c>
      <c r="K294" s="28" t="n">
        <f aca="false">IF($J294="","",$J294-기준정보!$C$5)</f>
        <v>46454</v>
      </c>
      <c r="L294" s="28" t="n">
        <f aca="false">IF($K294="","",$K294-기준정보!$C$6)</f>
        <v>46364</v>
      </c>
      <c r="M294" s="29" t="n">
        <f aca="false">IF($L294="","",$L294-기준정보!$C$4)</f>
        <v>122</v>
      </c>
      <c r="N294" s="27" t="s">
        <v>65</v>
      </c>
      <c r="O294" s="30"/>
      <c r="P294" s="26" t="str">
        <f aca="false">IF($G294="","",IF(AND(ISNUMBER(SEARCH("CMT",$G294)),OR(ISNUMBER(SEARCH("완사입",$G294)),ISNUMBER(SEARCH("ODM",$G294)))),"본사/생산처 혼재",IF(ISNUMBER(SEARCH("CMT",$G294)),"본사(소재팀)","생산처")))</f>
        <v>본사(소재팀)</v>
      </c>
      <c r="Q294" s="26" t="s">
        <v>187</v>
      </c>
      <c r="R294" s="25" t="s">
        <v>67</v>
      </c>
      <c r="S294" s="31" t="n">
        <v>14000</v>
      </c>
      <c r="T294" s="26"/>
      <c r="U294" s="26" t="str">
        <f aca="false">IF($J294="","출고일 미정",IF($N294="X","작지 미발행",IF($N294="부분","작지 일부 미발행",IF(AND($O294&lt;&gt;"",$O294&gt;$L294),"소재입고 마감("&amp;TEXT($L294,"MM/DD")&amp;") 초과",IF($N294="","발행여부 확인 필요",IF($O294="","소재 입고일정 확인 필요","정상"))))))</f>
        <v>소재 입고일정 확인 필요</v>
      </c>
      <c r="V294" s="24" t="str">
        <f aca="false">IF($J294="","",IF(OR(LEFT($U294,2)="작지",LEFT($U294,4)="소재입고"),IF(LEFT($F294,1)="S","★ 납기위험(S코드)","◆ 지연주의"),IF($U294="정상","✓ 정상","? 확인필요")))</f>
        <v>? 확인필요</v>
      </c>
      <c r="W294" s="27"/>
      <c r="X294" s="32"/>
    </row>
    <row r="295" customFormat="false" ht="15" hidden="false" customHeight="false" outlineLevel="0" collapsed="false">
      <c r="A295" s="24" t="n">
        <v>291</v>
      </c>
      <c r="B295" s="25" t="s">
        <v>211</v>
      </c>
      <c r="C295" s="25" t="s">
        <v>212</v>
      </c>
      <c r="D295" s="26" t="s">
        <v>723</v>
      </c>
      <c r="E295" s="25" t="s">
        <v>724</v>
      </c>
      <c r="F295" s="24" t="str">
        <f aca="false">IF($D295="","",IF(MID($D295,5,1)="S","S(봄)",IF(MID($D295,5,1)="M","M(여름)",IF(MID($D295,5,1)="X","X(사계절)",MID($D295,5,1)))))</f>
        <v>M(여름)</v>
      </c>
      <c r="G295" s="26" t="s">
        <v>167</v>
      </c>
      <c r="H295" s="24" t="s">
        <v>394</v>
      </c>
      <c r="I295" s="27" t="s">
        <v>623</v>
      </c>
      <c r="J295" s="28" t="n">
        <f aca="false">IF($I295="","",IFERROR(DATE(IF(VALUE(LEFT($I295,FIND("월",$I295)-1))&gt;=9,기준정보!$C$7-1,기준정보!$C$7),VALUE(LEFT($I295,FIND("월",$I295)-1)),1+7*(VALUE(SUBSTITUTE(MID($I295,FIND("월",$I295)+1,5),"주",""))-1)),""))</f>
        <v>46468</v>
      </c>
      <c r="K295" s="28" t="n">
        <f aca="false">IF($J295="","",$J295-기준정보!$C$5)</f>
        <v>46454</v>
      </c>
      <c r="L295" s="28" t="n">
        <f aca="false">IF($K295="","",$K295-기준정보!$C$6)</f>
        <v>46364</v>
      </c>
      <c r="M295" s="29" t="n">
        <f aca="false">IF($L295="","",$L295-기준정보!$C$4)</f>
        <v>122</v>
      </c>
      <c r="N295" s="27" t="s">
        <v>65</v>
      </c>
      <c r="O295" s="30"/>
      <c r="P295" s="26" t="str">
        <f aca="false">IF($G295="","",IF(AND(ISNUMBER(SEARCH("CMT",$G295)),OR(ISNUMBER(SEARCH("완사입",$G295)),ISNUMBER(SEARCH("ODM",$G295)))),"본사/생산처 혼재",IF(ISNUMBER(SEARCH("CMT",$G295)),"본사(소재팀)","생산처")))</f>
        <v>본사(소재팀)</v>
      </c>
      <c r="Q295" s="26" t="s">
        <v>187</v>
      </c>
      <c r="R295" s="25" t="s">
        <v>67</v>
      </c>
      <c r="S295" s="31" t="n">
        <v>5500</v>
      </c>
      <c r="T295" s="26"/>
      <c r="U295" s="26" t="str">
        <f aca="false">IF($J295="","출고일 미정",IF($N295="X","작지 미발행",IF($N295="부분","작지 일부 미발행",IF(AND($O295&lt;&gt;"",$O295&gt;$L295),"소재입고 마감("&amp;TEXT($L295,"MM/DD")&amp;") 초과",IF($N295="","발행여부 확인 필요",IF($O295="","소재 입고일정 확인 필요","정상"))))))</f>
        <v>소재 입고일정 확인 필요</v>
      </c>
      <c r="V295" s="24" t="str">
        <f aca="false">IF($J295="","",IF(OR(LEFT($U295,2)="작지",LEFT($U295,4)="소재입고"),IF(LEFT($F295,1)="S","★ 납기위험(S코드)","◆ 지연주의"),IF($U295="정상","✓ 정상","? 확인필요")))</f>
        <v>? 확인필요</v>
      </c>
      <c r="W295" s="27"/>
      <c r="X295" s="32"/>
    </row>
    <row r="296" customFormat="false" ht="15" hidden="false" customHeight="false" outlineLevel="0" collapsed="false">
      <c r="A296" s="24" t="n">
        <v>292</v>
      </c>
      <c r="B296" s="25" t="s">
        <v>211</v>
      </c>
      <c r="C296" s="25" t="s">
        <v>207</v>
      </c>
      <c r="D296" s="26" t="s">
        <v>725</v>
      </c>
      <c r="E296" s="25" t="s">
        <v>726</v>
      </c>
      <c r="F296" s="24" t="str">
        <f aca="false">IF($D296="","",IF(MID($D296,5,1)="S","S(봄)",IF(MID($D296,5,1)="M","M(여름)",IF(MID($D296,5,1)="X","X(사계절)",MID($D296,5,1)))))</f>
        <v>M(여름)</v>
      </c>
      <c r="G296" s="25" t="s">
        <v>62</v>
      </c>
      <c r="H296" s="24" t="s">
        <v>394</v>
      </c>
      <c r="I296" s="27" t="s">
        <v>623</v>
      </c>
      <c r="J296" s="28" t="n">
        <f aca="false">IF($I296="","",IFERROR(DATE(IF(VALUE(LEFT($I296,FIND("월",$I296)-1))&gt;=9,기준정보!$C$7-1,기준정보!$C$7),VALUE(LEFT($I296,FIND("월",$I296)-1)),1+7*(VALUE(SUBSTITUTE(MID($I296,FIND("월",$I296)+1,5),"주",""))-1)),""))</f>
        <v>46468</v>
      </c>
      <c r="K296" s="28" t="n">
        <f aca="false">IF($J296="","",$J296-기준정보!$C$5)</f>
        <v>46454</v>
      </c>
      <c r="L296" s="28" t="n">
        <f aca="false">IF($K296="","",$K296-기준정보!$C$6)</f>
        <v>46364</v>
      </c>
      <c r="M296" s="29" t="n">
        <f aca="false">IF($L296="","",$L296-기준정보!$C$4)</f>
        <v>122</v>
      </c>
      <c r="N296" s="27" t="s">
        <v>65</v>
      </c>
      <c r="O296" s="30"/>
      <c r="P296" s="26" t="str">
        <f aca="false">IF($G296="","",IF(AND(ISNUMBER(SEARCH("CMT",$G296)),OR(ISNUMBER(SEARCH("완사입",$G296)),ISNUMBER(SEARCH("ODM",$G296)))),"본사/생산처 혼재",IF(ISNUMBER(SEARCH("CMT",$G296)),"본사(소재팀)","생산처")))</f>
        <v>생산처</v>
      </c>
      <c r="Q296" s="25" t="s">
        <v>190</v>
      </c>
      <c r="R296" s="25" t="s">
        <v>67</v>
      </c>
      <c r="S296" s="31" t="n">
        <v>2800</v>
      </c>
      <c r="T296" s="26"/>
      <c r="U296" s="26" t="str">
        <f aca="false">IF($J296="","출고일 미정",IF($N296="X","작지 미발행",IF($N296="부분","작지 일부 미발행",IF(AND($O296&lt;&gt;"",$O296&gt;$L296),"소재입고 마감("&amp;TEXT($L296,"MM/DD")&amp;") 초과",IF($N296="","발행여부 확인 필요",IF($O296="","소재 입고일정 확인 필요","정상"))))))</f>
        <v>소재 입고일정 확인 필요</v>
      </c>
      <c r="V296" s="24" t="str">
        <f aca="false">IF($J296="","",IF(OR(LEFT($U296,2)="작지",LEFT($U296,4)="소재입고"),IF(LEFT($F296,1)="S","★ 납기위험(S코드)","◆ 지연주의"),IF($U296="정상","✓ 정상","? 확인필요")))</f>
        <v>? 확인필요</v>
      </c>
      <c r="W296" s="27"/>
      <c r="X296" s="32"/>
    </row>
    <row r="297" customFormat="false" ht="15" hidden="false" customHeight="false" outlineLevel="0" collapsed="false">
      <c r="A297" s="24" t="n">
        <v>293</v>
      </c>
      <c r="B297" s="25" t="s">
        <v>211</v>
      </c>
      <c r="C297" s="25" t="s">
        <v>100</v>
      </c>
      <c r="D297" s="26" t="s">
        <v>727</v>
      </c>
      <c r="E297" s="25" t="s">
        <v>728</v>
      </c>
      <c r="F297" s="24" t="str">
        <f aca="false">IF($D297="","",IF(MID($D297,5,1)="S","S(봄)",IF(MID($D297,5,1)="M","M(여름)",IF(MID($D297,5,1)="X","X(사계절)",MID($D297,5,1)))))</f>
        <v>M(여름)</v>
      </c>
      <c r="G297" s="25" t="s">
        <v>62</v>
      </c>
      <c r="H297" s="24" t="s">
        <v>394</v>
      </c>
      <c r="I297" s="27" t="s">
        <v>623</v>
      </c>
      <c r="J297" s="28" t="n">
        <f aca="false">IF($I297="","",IFERROR(DATE(IF(VALUE(LEFT($I297,FIND("월",$I297)-1))&gt;=9,기준정보!$C$7-1,기준정보!$C$7),VALUE(LEFT($I297,FIND("월",$I297)-1)),1+7*(VALUE(SUBSTITUTE(MID($I297,FIND("월",$I297)+1,5),"주",""))-1)),""))</f>
        <v>46468</v>
      </c>
      <c r="K297" s="28" t="n">
        <f aca="false">IF($J297="","",$J297-기준정보!$C$5)</f>
        <v>46454</v>
      </c>
      <c r="L297" s="28" t="n">
        <f aca="false">IF($K297="","",$K297-기준정보!$C$6)</f>
        <v>46364</v>
      </c>
      <c r="M297" s="29" t="n">
        <f aca="false">IF($L297="","",$L297-기준정보!$C$4)</f>
        <v>122</v>
      </c>
      <c r="N297" s="27" t="s">
        <v>65</v>
      </c>
      <c r="O297" s="30"/>
      <c r="P297" s="26" t="str">
        <f aca="false">IF($G297="","",IF(AND(ISNUMBER(SEARCH("CMT",$G297)),OR(ISNUMBER(SEARCH("완사입",$G297)),ISNUMBER(SEARCH("ODM",$G297)))),"본사/생산처 혼재",IF(ISNUMBER(SEARCH("CMT",$G297)),"본사(소재팀)","생산처")))</f>
        <v>생산처</v>
      </c>
      <c r="Q297" s="26" t="s">
        <v>193</v>
      </c>
      <c r="R297" s="25" t="s">
        <v>67</v>
      </c>
      <c r="S297" s="31" t="n">
        <v>6000</v>
      </c>
      <c r="T297" s="26"/>
      <c r="U297" s="26" t="str">
        <f aca="false">IF($J297="","출고일 미정",IF($N297="X","작지 미발행",IF($N297="부분","작지 일부 미발행",IF(AND($O297&lt;&gt;"",$O297&gt;$L297),"소재입고 마감("&amp;TEXT($L297,"MM/DD")&amp;") 초과",IF($N297="","발행여부 확인 필요",IF($O297="","소재 입고일정 확인 필요","정상"))))))</f>
        <v>소재 입고일정 확인 필요</v>
      </c>
      <c r="V297" s="24" t="str">
        <f aca="false">IF($J297="","",IF(OR(LEFT($U297,2)="작지",LEFT($U297,4)="소재입고"),IF(LEFT($F297,1)="S","★ 납기위험(S코드)","◆ 지연주의"),IF($U297="정상","✓ 정상","? 확인필요")))</f>
        <v>? 확인필요</v>
      </c>
      <c r="W297" s="27"/>
      <c r="X297" s="32"/>
    </row>
    <row r="298" customFormat="false" ht="15" hidden="false" customHeight="false" outlineLevel="0" collapsed="false">
      <c r="A298" s="24" t="n">
        <v>294</v>
      </c>
      <c r="B298" s="25" t="s">
        <v>99</v>
      </c>
      <c r="C298" s="25" t="s">
        <v>100</v>
      </c>
      <c r="D298" s="26" t="s">
        <v>729</v>
      </c>
      <c r="E298" s="25" t="s">
        <v>730</v>
      </c>
      <c r="F298" s="24" t="str">
        <f aca="false">IF($D298="","",IF(MID($D298,5,1)="S","S(봄)",IF(MID($D298,5,1)="M","M(여름)",IF(MID($D298,5,1)="X","X(사계절)",MID($D298,5,1)))))</f>
        <v>M(여름)</v>
      </c>
      <c r="G298" s="25" t="s">
        <v>62</v>
      </c>
      <c r="H298" s="24"/>
      <c r="I298" s="27" t="s">
        <v>623</v>
      </c>
      <c r="J298" s="28" t="n">
        <f aca="false">IF($I298="","",IFERROR(DATE(IF(VALUE(LEFT($I298,FIND("월",$I298)-1))&gt;=9,기준정보!$C$7-1,기준정보!$C$7),VALUE(LEFT($I298,FIND("월",$I298)-1)),1+7*(VALUE(SUBSTITUTE(MID($I298,FIND("월",$I298)+1,5),"주",""))-1)),""))</f>
        <v>46468</v>
      </c>
      <c r="K298" s="28" t="n">
        <f aca="false">IF($J298="","",$J298-기준정보!$C$5)</f>
        <v>46454</v>
      </c>
      <c r="L298" s="28" t="n">
        <f aca="false">IF($K298="","",$K298-기준정보!$C$6)</f>
        <v>46364</v>
      </c>
      <c r="M298" s="29" t="n">
        <f aca="false">IF($L298="","",$L298-기준정보!$C$4)</f>
        <v>122</v>
      </c>
      <c r="N298" s="27" t="s">
        <v>65</v>
      </c>
      <c r="O298" s="30"/>
      <c r="P298" s="26" t="str">
        <f aca="false">IF($G298="","",IF(AND(ISNUMBER(SEARCH("CMT",$G298)),OR(ISNUMBER(SEARCH("완사입",$G298)),ISNUMBER(SEARCH("ODM",$G298)))),"본사/생산처 혼재",IF(ISNUMBER(SEARCH("CMT",$G298)),"본사(소재팀)","생산처")))</f>
        <v>생산처</v>
      </c>
      <c r="Q298" s="26" t="s">
        <v>193</v>
      </c>
      <c r="R298" s="25" t="s">
        <v>71</v>
      </c>
      <c r="S298" s="31" t="n">
        <v>10000</v>
      </c>
      <c r="T298" s="26" t="s">
        <v>623</v>
      </c>
      <c r="U298" s="26" t="str">
        <f aca="false">IF($J298="","출고일 미정",IF($N298="X","작지 미발행",IF($N298="부분","작지 일부 미발행",IF(AND($O298&lt;&gt;"",$O298&gt;$L298),"소재입고 마감("&amp;TEXT($L298,"MM/DD")&amp;") 초과",IF($N298="","발행여부 확인 필요",IF($O298="","소재 입고일정 확인 필요","정상"))))))</f>
        <v>소재 입고일정 확인 필요</v>
      </c>
      <c r="V298" s="24" t="str">
        <f aca="false">IF($J298="","",IF(OR(LEFT($U298,2)="작지",LEFT($U298,4)="소재입고"),IF(LEFT($F298,1)="S","★ 납기위험(S코드)","◆ 지연주의"),IF($U298="정상","✓ 정상","? 확인필요")))</f>
        <v>? 확인필요</v>
      </c>
      <c r="W298" s="27"/>
      <c r="X298" s="32"/>
    </row>
    <row r="299" customFormat="false" ht="15" hidden="false" customHeight="false" outlineLevel="0" collapsed="false">
      <c r="A299" s="24" t="n">
        <v>295</v>
      </c>
      <c r="B299" s="25" t="s">
        <v>211</v>
      </c>
      <c r="C299" s="25" t="s">
        <v>207</v>
      </c>
      <c r="D299" s="26" t="s">
        <v>731</v>
      </c>
      <c r="E299" s="25" t="s">
        <v>732</v>
      </c>
      <c r="F299" s="24" t="str">
        <f aca="false">IF($D299="","",IF(MID($D299,5,1)="S","S(봄)",IF(MID($D299,5,1)="M","M(여름)",IF(MID($D299,5,1)="X","X(사계절)",MID($D299,5,1)))))</f>
        <v>M(여름)</v>
      </c>
      <c r="G299" s="25" t="s">
        <v>62</v>
      </c>
      <c r="H299" s="24" t="s">
        <v>394</v>
      </c>
      <c r="I299" s="27" t="s">
        <v>623</v>
      </c>
      <c r="J299" s="28" t="n">
        <f aca="false">IF($I299="","",IFERROR(DATE(IF(VALUE(LEFT($I299,FIND("월",$I299)-1))&gt;=9,기준정보!$C$7-1,기준정보!$C$7),VALUE(LEFT($I299,FIND("월",$I299)-1)),1+7*(VALUE(SUBSTITUTE(MID($I299,FIND("월",$I299)+1,5),"주",""))-1)),""))</f>
        <v>46468</v>
      </c>
      <c r="K299" s="28" t="n">
        <f aca="false">IF($J299="","",$J299-기준정보!$C$5)</f>
        <v>46454</v>
      </c>
      <c r="L299" s="28" t="n">
        <f aca="false">IF($K299="","",$K299-기준정보!$C$6)</f>
        <v>46364</v>
      </c>
      <c r="M299" s="29" t="n">
        <f aca="false">IF($L299="","",$L299-기준정보!$C$4)</f>
        <v>122</v>
      </c>
      <c r="N299" s="27" t="s">
        <v>65</v>
      </c>
      <c r="O299" s="30"/>
      <c r="P299" s="26" t="str">
        <f aca="false">IF($G299="","",IF(AND(ISNUMBER(SEARCH("CMT",$G299)),OR(ISNUMBER(SEARCH("완사입",$G299)),ISNUMBER(SEARCH("ODM",$G299)))),"본사/생산처 혼재",IF(ISNUMBER(SEARCH("CMT",$G299)),"본사(소재팀)","생산처")))</f>
        <v>생산처</v>
      </c>
      <c r="Q299" s="26" t="s">
        <v>193</v>
      </c>
      <c r="R299" s="25" t="s">
        <v>67</v>
      </c>
      <c r="S299" s="31" t="n">
        <v>7700</v>
      </c>
      <c r="T299" s="26"/>
      <c r="U299" s="26" t="str">
        <f aca="false">IF($J299="","출고일 미정",IF($N299="X","작지 미발행",IF($N299="부분","작지 일부 미발행",IF(AND($O299&lt;&gt;"",$O299&gt;$L299),"소재입고 마감("&amp;TEXT($L299,"MM/DD")&amp;") 초과",IF($N299="","발행여부 확인 필요",IF($O299="","소재 입고일정 확인 필요","정상"))))))</f>
        <v>소재 입고일정 확인 필요</v>
      </c>
      <c r="V299" s="24" t="str">
        <f aca="false">IF($J299="","",IF(OR(LEFT($U299,2)="작지",LEFT($U299,4)="소재입고"),IF(LEFT($F299,1)="S","★ 납기위험(S코드)","◆ 지연주의"),IF($U299="정상","✓ 정상","? 확인필요")))</f>
        <v>? 확인필요</v>
      </c>
      <c r="W299" s="27"/>
      <c r="X299" s="32"/>
    </row>
    <row r="300" customFormat="false" ht="15" hidden="false" customHeight="false" outlineLevel="0" collapsed="false">
      <c r="A300" s="24" t="n">
        <v>296</v>
      </c>
      <c r="B300" s="25" t="s">
        <v>211</v>
      </c>
      <c r="C300" s="25" t="s">
        <v>207</v>
      </c>
      <c r="D300" s="26" t="s">
        <v>733</v>
      </c>
      <c r="E300" s="25" t="s">
        <v>734</v>
      </c>
      <c r="F300" s="24" t="str">
        <f aca="false">IF($D300="","",IF(MID($D300,5,1)="S","S(봄)",IF(MID($D300,5,1)="M","M(여름)",IF(MID($D300,5,1)="X","X(사계절)",MID($D300,5,1)))))</f>
        <v>M(여름)</v>
      </c>
      <c r="G300" s="26" t="s">
        <v>167</v>
      </c>
      <c r="H300" s="24" t="s">
        <v>394</v>
      </c>
      <c r="I300" s="27" t="s">
        <v>623</v>
      </c>
      <c r="J300" s="28" t="n">
        <f aca="false">IF($I300="","",IFERROR(DATE(IF(VALUE(LEFT($I300,FIND("월",$I300)-1))&gt;=9,기준정보!$C$7-1,기준정보!$C$7),VALUE(LEFT($I300,FIND("월",$I300)-1)),1+7*(VALUE(SUBSTITUTE(MID($I300,FIND("월",$I300)+1,5),"주",""))-1)),""))</f>
        <v>46468</v>
      </c>
      <c r="K300" s="28" t="n">
        <f aca="false">IF($J300="","",$J300-기준정보!$C$5)</f>
        <v>46454</v>
      </c>
      <c r="L300" s="28" t="n">
        <f aca="false">IF($K300="","",$K300-기준정보!$C$6)</f>
        <v>46364</v>
      </c>
      <c r="M300" s="29" t="n">
        <f aca="false">IF($L300="","",$L300-기준정보!$C$4)</f>
        <v>122</v>
      </c>
      <c r="N300" s="27" t="s">
        <v>65</v>
      </c>
      <c r="O300" s="30"/>
      <c r="P300" s="26" t="str">
        <f aca="false">IF($G300="","",IF(AND(ISNUMBER(SEARCH("CMT",$G300)),OR(ISNUMBER(SEARCH("완사입",$G300)),ISNUMBER(SEARCH("ODM",$G300)))),"본사/생산처 혼재",IF(ISNUMBER(SEARCH("CMT",$G300)),"본사(소재팀)","생산처")))</f>
        <v>본사(소재팀)</v>
      </c>
      <c r="Q300" s="26" t="s">
        <v>193</v>
      </c>
      <c r="R300" s="25" t="s">
        <v>71</v>
      </c>
      <c r="S300" s="31" t="n">
        <v>2300</v>
      </c>
      <c r="T300" s="26"/>
      <c r="U300" s="26" t="str">
        <f aca="false">IF($J300="","출고일 미정",IF($N300="X","작지 미발행",IF($N300="부분","작지 일부 미발행",IF(AND($O300&lt;&gt;"",$O300&gt;$L300),"소재입고 마감("&amp;TEXT($L300,"MM/DD")&amp;") 초과",IF($N300="","발행여부 확인 필요",IF($O300="","소재 입고일정 확인 필요","정상"))))))</f>
        <v>소재 입고일정 확인 필요</v>
      </c>
      <c r="V300" s="24" t="str">
        <f aca="false">IF($J300="","",IF(OR(LEFT($U300,2)="작지",LEFT($U300,4)="소재입고"),IF(LEFT($F300,1)="S","★ 납기위험(S코드)","◆ 지연주의"),IF($U300="정상","✓ 정상","? 확인필요")))</f>
        <v>? 확인필요</v>
      </c>
      <c r="W300" s="27"/>
      <c r="X300" s="32"/>
    </row>
    <row r="301" customFormat="false" ht="15" hidden="false" customHeight="false" outlineLevel="0" collapsed="false">
      <c r="A301" s="24" t="n">
        <v>297</v>
      </c>
      <c r="B301" s="25" t="s">
        <v>200</v>
      </c>
      <c r="C301" s="25" t="s">
        <v>207</v>
      </c>
      <c r="D301" s="26" t="s">
        <v>735</v>
      </c>
      <c r="E301" s="25" t="s">
        <v>736</v>
      </c>
      <c r="F301" s="24" t="str">
        <f aca="false">IF($D301="","",IF(MID($D301,5,1)="S","S(봄)",IF(MID($D301,5,1)="M","M(여름)",IF(MID($D301,5,1)="X","X(사계절)",MID($D301,5,1)))))</f>
        <v>M(여름)</v>
      </c>
      <c r="G301" s="26" t="s">
        <v>167</v>
      </c>
      <c r="H301" s="24"/>
      <c r="I301" s="27" t="s">
        <v>623</v>
      </c>
      <c r="J301" s="28" t="n">
        <f aca="false">IF($I301="","",IFERROR(DATE(IF(VALUE(LEFT($I301,FIND("월",$I301)-1))&gt;=9,기준정보!$C$7-1,기준정보!$C$7),VALUE(LEFT($I301,FIND("월",$I301)-1)),1+7*(VALUE(SUBSTITUTE(MID($I301,FIND("월",$I301)+1,5),"주",""))-1)),""))</f>
        <v>46468</v>
      </c>
      <c r="K301" s="28" t="n">
        <f aca="false">IF($J301="","",$J301-기준정보!$C$5)</f>
        <v>46454</v>
      </c>
      <c r="L301" s="28" t="n">
        <f aca="false">IF($K301="","",$K301-기준정보!$C$6)</f>
        <v>46364</v>
      </c>
      <c r="M301" s="29" t="n">
        <f aca="false">IF($L301="","",$L301-기준정보!$C$4)</f>
        <v>122</v>
      </c>
      <c r="N301" s="27" t="s">
        <v>65</v>
      </c>
      <c r="O301" s="30"/>
      <c r="P301" s="26" t="str">
        <f aca="false">IF($G301="","",IF(AND(ISNUMBER(SEARCH("CMT",$G301)),OR(ISNUMBER(SEARCH("완사입",$G301)),ISNUMBER(SEARCH("ODM",$G301)))),"본사/생산처 혼재",IF(ISNUMBER(SEARCH("CMT",$G301)),"본사(소재팀)","생산처")))</f>
        <v>본사(소재팀)</v>
      </c>
      <c r="Q301" s="26" t="s">
        <v>187</v>
      </c>
      <c r="R301" s="25" t="s">
        <v>67</v>
      </c>
      <c r="S301" s="31" t="n">
        <v>3500</v>
      </c>
      <c r="T301" s="26" t="s">
        <v>623</v>
      </c>
      <c r="U301" s="26" t="str">
        <f aca="false">IF($J301="","출고일 미정",IF($N301="X","작지 미발행",IF($N301="부분","작지 일부 미발행",IF(AND($O301&lt;&gt;"",$O301&gt;$L301),"소재입고 마감("&amp;TEXT($L301,"MM/DD")&amp;") 초과",IF($N301="","발행여부 확인 필요",IF($O301="","소재 입고일정 확인 필요","정상"))))))</f>
        <v>소재 입고일정 확인 필요</v>
      </c>
      <c r="V301" s="24" t="str">
        <f aca="false">IF($J301="","",IF(OR(LEFT($U301,2)="작지",LEFT($U301,4)="소재입고"),IF(LEFT($F301,1)="S","★ 납기위험(S코드)","◆ 지연주의"),IF($U301="정상","✓ 정상","? 확인필요")))</f>
        <v>? 확인필요</v>
      </c>
      <c r="W301" s="27"/>
      <c r="X301" s="32"/>
    </row>
    <row r="302" customFormat="false" ht="15" hidden="false" customHeight="false" outlineLevel="0" collapsed="false">
      <c r="A302" s="24" t="n">
        <v>298</v>
      </c>
      <c r="B302" s="25" t="s">
        <v>200</v>
      </c>
      <c r="C302" s="25" t="s">
        <v>207</v>
      </c>
      <c r="D302" s="26" t="s">
        <v>737</v>
      </c>
      <c r="E302" s="25" t="s">
        <v>738</v>
      </c>
      <c r="F302" s="24" t="str">
        <f aca="false">IF($D302="","",IF(MID($D302,5,1)="S","S(봄)",IF(MID($D302,5,1)="M","M(여름)",IF(MID($D302,5,1)="X","X(사계절)",MID($D302,5,1)))))</f>
        <v>M(여름)</v>
      </c>
      <c r="G302" s="26" t="s">
        <v>167</v>
      </c>
      <c r="H302" s="24"/>
      <c r="I302" s="27" t="s">
        <v>623</v>
      </c>
      <c r="J302" s="28" t="n">
        <f aca="false">IF($I302="","",IFERROR(DATE(IF(VALUE(LEFT($I302,FIND("월",$I302)-1))&gt;=9,기준정보!$C$7-1,기준정보!$C$7),VALUE(LEFT($I302,FIND("월",$I302)-1)),1+7*(VALUE(SUBSTITUTE(MID($I302,FIND("월",$I302)+1,5),"주",""))-1)),""))</f>
        <v>46468</v>
      </c>
      <c r="K302" s="28" t="n">
        <f aca="false">IF($J302="","",$J302-기준정보!$C$5)</f>
        <v>46454</v>
      </c>
      <c r="L302" s="28" t="n">
        <f aca="false">IF($K302="","",$K302-기준정보!$C$6)</f>
        <v>46364</v>
      </c>
      <c r="M302" s="29" t="n">
        <f aca="false">IF($L302="","",$L302-기준정보!$C$4)</f>
        <v>122</v>
      </c>
      <c r="N302" s="27" t="s">
        <v>65</v>
      </c>
      <c r="O302" s="30"/>
      <c r="P302" s="26" t="str">
        <f aca="false">IF($G302="","",IF(AND(ISNUMBER(SEARCH("CMT",$G302)),OR(ISNUMBER(SEARCH("완사입",$G302)),ISNUMBER(SEARCH("ODM",$G302)))),"본사/생산처 혼재",IF(ISNUMBER(SEARCH("CMT",$G302)),"본사(소재팀)","생산처")))</f>
        <v>본사(소재팀)</v>
      </c>
      <c r="Q302" s="26" t="s">
        <v>187</v>
      </c>
      <c r="R302" s="25" t="s">
        <v>67</v>
      </c>
      <c r="S302" s="31" t="n">
        <v>1600</v>
      </c>
      <c r="T302" s="26" t="s">
        <v>623</v>
      </c>
      <c r="U302" s="26" t="str">
        <f aca="false">IF($J302="","출고일 미정",IF($N302="X","작지 미발행",IF($N302="부분","작지 일부 미발행",IF(AND($O302&lt;&gt;"",$O302&gt;$L302),"소재입고 마감("&amp;TEXT($L302,"MM/DD")&amp;") 초과",IF($N302="","발행여부 확인 필요",IF($O302="","소재 입고일정 확인 필요","정상"))))))</f>
        <v>소재 입고일정 확인 필요</v>
      </c>
      <c r="V302" s="24" t="str">
        <f aca="false">IF($J302="","",IF(OR(LEFT($U302,2)="작지",LEFT($U302,4)="소재입고"),IF(LEFT($F302,1)="S","★ 납기위험(S코드)","◆ 지연주의"),IF($U302="정상","✓ 정상","? 확인필요")))</f>
        <v>? 확인필요</v>
      </c>
      <c r="W302" s="27"/>
      <c r="X302" s="32"/>
    </row>
    <row r="303" customFormat="false" ht="15" hidden="false" customHeight="false" outlineLevel="0" collapsed="false">
      <c r="A303" s="24" t="n">
        <v>299</v>
      </c>
      <c r="B303" s="25" t="s">
        <v>200</v>
      </c>
      <c r="C303" s="25" t="s">
        <v>207</v>
      </c>
      <c r="D303" s="26" t="s">
        <v>739</v>
      </c>
      <c r="E303" s="25" t="s">
        <v>740</v>
      </c>
      <c r="F303" s="24" t="str">
        <f aca="false">IF($D303="","",IF(MID($D303,5,1)="S","S(봄)",IF(MID($D303,5,1)="M","M(여름)",IF(MID($D303,5,1)="X","X(사계절)",MID($D303,5,1)))))</f>
        <v>M(여름)</v>
      </c>
      <c r="G303" s="26" t="s">
        <v>167</v>
      </c>
      <c r="H303" s="24"/>
      <c r="I303" s="27" t="s">
        <v>623</v>
      </c>
      <c r="J303" s="28" t="n">
        <f aca="false">IF($I303="","",IFERROR(DATE(IF(VALUE(LEFT($I303,FIND("월",$I303)-1))&gt;=9,기준정보!$C$7-1,기준정보!$C$7),VALUE(LEFT($I303,FIND("월",$I303)-1)),1+7*(VALUE(SUBSTITUTE(MID($I303,FIND("월",$I303)+1,5),"주",""))-1)),""))</f>
        <v>46468</v>
      </c>
      <c r="K303" s="28" t="n">
        <f aca="false">IF($J303="","",$J303-기준정보!$C$5)</f>
        <v>46454</v>
      </c>
      <c r="L303" s="28" t="n">
        <f aca="false">IF($K303="","",$K303-기준정보!$C$6)</f>
        <v>46364</v>
      </c>
      <c r="M303" s="29" t="n">
        <f aca="false">IF($L303="","",$L303-기준정보!$C$4)</f>
        <v>122</v>
      </c>
      <c r="N303" s="27" t="s">
        <v>65</v>
      </c>
      <c r="O303" s="30"/>
      <c r="P303" s="26" t="str">
        <f aca="false">IF($G303="","",IF(AND(ISNUMBER(SEARCH("CMT",$G303)),OR(ISNUMBER(SEARCH("완사입",$G303)),ISNUMBER(SEARCH("ODM",$G303)))),"본사/생산처 혼재",IF(ISNUMBER(SEARCH("CMT",$G303)),"본사(소재팀)","생산처")))</f>
        <v>본사(소재팀)</v>
      </c>
      <c r="Q303" s="26" t="s">
        <v>120</v>
      </c>
      <c r="R303" s="25" t="s">
        <v>67</v>
      </c>
      <c r="S303" s="31" t="n">
        <v>2000</v>
      </c>
      <c r="T303" s="26" t="s">
        <v>623</v>
      </c>
      <c r="U303" s="26" t="str">
        <f aca="false">IF($J303="","출고일 미정",IF($N303="X","작지 미발행",IF($N303="부분","작지 일부 미발행",IF(AND($O303&lt;&gt;"",$O303&gt;$L303),"소재입고 마감("&amp;TEXT($L303,"MM/DD")&amp;") 초과",IF($N303="","발행여부 확인 필요",IF($O303="","소재 입고일정 확인 필요","정상"))))))</f>
        <v>소재 입고일정 확인 필요</v>
      </c>
      <c r="V303" s="24" t="str">
        <f aca="false">IF($J303="","",IF(OR(LEFT($U303,2)="작지",LEFT($U303,4)="소재입고"),IF(LEFT($F303,1)="S","★ 납기위험(S코드)","◆ 지연주의"),IF($U303="정상","✓ 정상","? 확인필요")))</f>
        <v>? 확인필요</v>
      </c>
      <c r="W303" s="27"/>
      <c r="X303" s="32"/>
    </row>
    <row r="304" customFormat="false" ht="15" hidden="false" customHeight="false" outlineLevel="0" collapsed="false">
      <c r="A304" s="24" t="n">
        <v>300</v>
      </c>
      <c r="B304" s="25" t="s">
        <v>200</v>
      </c>
      <c r="C304" s="25" t="s">
        <v>207</v>
      </c>
      <c r="D304" s="26" t="s">
        <v>741</v>
      </c>
      <c r="E304" s="25" t="s">
        <v>742</v>
      </c>
      <c r="F304" s="24" t="str">
        <f aca="false">IF($D304="","",IF(MID($D304,5,1)="S","S(봄)",IF(MID($D304,5,1)="M","M(여름)",IF(MID($D304,5,1)="X","X(사계절)",MID($D304,5,1)))))</f>
        <v>M(여름)</v>
      </c>
      <c r="G304" s="26" t="s">
        <v>167</v>
      </c>
      <c r="H304" s="24"/>
      <c r="I304" s="27" t="s">
        <v>623</v>
      </c>
      <c r="J304" s="28" t="n">
        <f aca="false">IF($I304="","",IFERROR(DATE(IF(VALUE(LEFT($I304,FIND("월",$I304)-1))&gt;=9,기준정보!$C$7-1,기준정보!$C$7),VALUE(LEFT($I304,FIND("월",$I304)-1)),1+7*(VALUE(SUBSTITUTE(MID($I304,FIND("월",$I304)+1,5),"주",""))-1)),""))</f>
        <v>46468</v>
      </c>
      <c r="K304" s="28" t="n">
        <f aca="false">IF($J304="","",$J304-기준정보!$C$5)</f>
        <v>46454</v>
      </c>
      <c r="L304" s="28" t="n">
        <f aca="false">IF($K304="","",$K304-기준정보!$C$6)</f>
        <v>46364</v>
      </c>
      <c r="M304" s="29" t="n">
        <f aca="false">IF($L304="","",$L304-기준정보!$C$4)</f>
        <v>122</v>
      </c>
      <c r="N304" s="27" t="s">
        <v>65</v>
      </c>
      <c r="O304" s="30"/>
      <c r="P304" s="26" t="str">
        <f aca="false">IF($G304="","",IF(AND(ISNUMBER(SEARCH("CMT",$G304)),OR(ISNUMBER(SEARCH("완사입",$G304)),ISNUMBER(SEARCH("ODM",$G304)))),"본사/생산처 혼재",IF(ISNUMBER(SEARCH("CMT",$G304)),"본사(소재팀)","생산처")))</f>
        <v>본사(소재팀)</v>
      </c>
      <c r="Q304" s="26" t="s">
        <v>120</v>
      </c>
      <c r="R304" s="25" t="s">
        <v>67</v>
      </c>
      <c r="S304" s="31" t="n">
        <v>3000</v>
      </c>
      <c r="T304" s="26" t="s">
        <v>623</v>
      </c>
      <c r="U304" s="26" t="str">
        <f aca="false">IF($J304="","출고일 미정",IF($N304="X","작지 미발행",IF($N304="부분","작지 일부 미발행",IF(AND($O304&lt;&gt;"",$O304&gt;$L304),"소재입고 마감("&amp;TEXT($L304,"MM/DD")&amp;") 초과",IF($N304="","발행여부 확인 필요",IF($O304="","소재 입고일정 확인 필요","정상"))))))</f>
        <v>소재 입고일정 확인 필요</v>
      </c>
      <c r="V304" s="24" t="str">
        <f aca="false">IF($J304="","",IF(OR(LEFT($U304,2)="작지",LEFT($U304,4)="소재입고"),IF(LEFT($F304,1)="S","★ 납기위험(S코드)","◆ 지연주의"),IF($U304="정상","✓ 정상","? 확인필요")))</f>
        <v>? 확인필요</v>
      </c>
      <c r="W304" s="27"/>
      <c r="X304" s="32"/>
    </row>
    <row r="305" customFormat="false" ht="15" hidden="false" customHeight="false" outlineLevel="0" collapsed="false">
      <c r="A305" s="24" t="n">
        <v>301</v>
      </c>
      <c r="B305" s="25" t="s">
        <v>200</v>
      </c>
      <c r="C305" s="25" t="s">
        <v>207</v>
      </c>
      <c r="D305" s="26" t="s">
        <v>743</v>
      </c>
      <c r="E305" s="25" t="s">
        <v>744</v>
      </c>
      <c r="F305" s="24" t="str">
        <f aca="false">IF($D305="","",IF(MID($D305,5,1)="S","S(봄)",IF(MID($D305,5,1)="M","M(여름)",IF(MID($D305,5,1)="X","X(사계절)",MID($D305,5,1)))))</f>
        <v>M(여름)</v>
      </c>
      <c r="G305" s="26" t="s">
        <v>167</v>
      </c>
      <c r="H305" s="24"/>
      <c r="I305" s="27" t="s">
        <v>623</v>
      </c>
      <c r="J305" s="28" t="n">
        <f aca="false">IF($I305="","",IFERROR(DATE(IF(VALUE(LEFT($I305,FIND("월",$I305)-1))&gt;=9,기준정보!$C$7-1,기준정보!$C$7),VALUE(LEFT($I305,FIND("월",$I305)-1)),1+7*(VALUE(SUBSTITUTE(MID($I305,FIND("월",$I305)+1,5),"주",""))-1)),""))</f>
        <v>46468</v>
      </c>
      <c r="K305" s="28" t="n">
        <f aca="false">IF($J305="","",$J305-기준정보!$C$5)</f>
        <v>46454</v>
      </c>
      <c r="L305" s="28" t="n">
        <f aca="false">IF($K305="","",$K305-기준정보!$C$6)</f>
        <v>46364</v>
      </c>
      <c r="M305" s="29" t="n">
        <f aca="false">IF($L305="","",$L305-기준정보!$C$4)</f>
        <v>122</v>
      </c>
      <c r="N305" s="27" t="s">
        <v>65</v>
      </c>
      <c r="O305" s="30"/>
      <c r="P305" s="26" t="str">
        <f aca="false">IF($G305="","",IF(AND(ISNUMBER(SEARCH("CMT",$G305)),OR(ISNUMBER(SEARCH("완사입",$G305)),ISNUMBER(SEARCH("ODM",$G305)))),"본사/생산처 혼재",IF(ISNUMBER(SEARCH("CMT",$G305)),"본사(소재팀)","생산처")))</f>
        <v>본사(소재팀)</v>
      </c>
      <c r="Q305" s="26" t="s">
        <v>187</v>
      </c>
      <c r="R305" s="25" t="s">
        <v>67</v>
      </c>
      <c r="S305" s="31" t="n">
        <v>5500</v>
      </c>
      <c r="T305" s="26" t="s">
        <v>623</v>
      </c>
      <c r="U305" s="26" t="str">
        <f aca="false">IF($J305="","출고일 미정",IF($N305="X","작지 미발행",IF($N305="부분","작지 일부 미발행",IF(AND($O305&lt;&gt;"",$O305&gt;$L305),"소재입고 마감("&amp;TEXT($L305,"MM/DD")&amp;") 초과",IF($N305="","발행여부 확인 필요",IF($O305="","소재 입고일정 확인 필요","정상"))))))</f>
        <v>소재 입고일정 확인 필요</v>
      </c>
      <c r="V305" s="24" t="str">
        <f aca="false">IF($J305="","",IF(OR(LEFT($U305,2)="작지",LEFT($U305,4)="소재입고"),IF(LEFT($F305,1)="S","★ 납기위험(S코드)","◆ 지연주의"),IF($U305="정상","✓ 정상","? 확인필요")))</f>
        <v>? 확인필요</v>
      </c>
      <c r="W305" s="27"/>
      <c r="X305" s="32"/>
    </row>
    <row r="306" customFormat="false" ht="15" hidden="false" customHeight="false" outlineLevel="0" collapsed="false">
      <c r="A306" s="24" t="n">
        <v>302</v>
      </c>
      <c r="B306" s="25" t="s">
        <v>200</v>
      </c>
      <c r="C306" s="25" t="s">
        <v>207</v>
      </c>
      <c r="D306" s="26" t="s">
        <v>745</v>
      </c>
      <c r="E306" s="25" t="s">
        <v>746</v>
      </c>
      <c r="F306" s="24" t="str">
        <f aca="false">IF($D306="","",IF(MID($D306,5,1)="S","S(봄)",IF(MID($D306,5,1)="M","M(여름)",IF(MID($D306,5,1)="X","X(사계절)",MID($D306,5,1)))))</f>
        <v>M(여름)</v>
      </c>
      <c r="G306" s="26" t="s">
        <v>167</v>
      </c>
      <c r="H306" s="24"/>
      <c r="I306" s="27" t="s">
        <v>623</v>
      </c>
      <c r="J306" s="28" t="n">
        <f aca="false">IF($I306="","",IFERROR(DATE(IF(VALUE(LEFT($I306,FIND("월",$I306)-1))&gt;=9,기준정보!$C$7-1,기준정보!$C$7),VALUE(LEFT($I306,FIND("월",$I306)-1)),1+7*(VALUE(SUBSTITUTE(MID($I306,FIND("월",$I306)+1,5),"주",""))-1)),""))</f>
        <v>46468</v>
      </c>
      <c r="K306" s="28" t="n">
        <f aca="false">IF($J306="","",$J306-기준정보!$C$5)</f>
        <v>46454</v>
      </c>
      <c r="L306" s="28" t="n">
        <f aca="false">IF($K306="","",$K306-기준정보!$C$6)</f>
        <v>46364</v>
      </c>
      <c r="M306" s="29" t="n">
        <f aca="false">IF($L306="","",$L306-기준정보!$C$4)</f>
        <v>122</v>
      </c>
      <c r="N306" s="27" t="s">
        <v>65</v>
      </c>
      <c r="O306" s="30"/>
      <c r="P306" s="26" t="str">
        <f aca="false">IF($G306="","",IF(AND(ISNUMBER(SEARCH("CMT",$G306)),OR(ISNUMBER(SEARCH("완사입",$G306)),ISNUMBER(SEARCH("ODM",$G306)))),"본사/생산처 혼재",IF(ISNUMBER(SEARCH("CMT",$G306)),"본사(소재팀)","생산처")))</f>
        <v>본사(소재팀)</v>
      </c>
      <c r="Q306" s="26" t="s">
        <v>187</v>
      </c>
      <c r="R306" s="25" t="s">
        <v>67</v>
      </c>
      <c r="S306" s="31" t="n">
        <v>5200</v>
      </c>
      <c r="T306" s="26" t="s">
        <v>623</v>
      </c>
      <c r="U306" s="26" t="str">
        <f aca="false">IF($J306="","출고일 미정",IF($N306="X","작지 미발행",IF($N306="부분","작지 일부 미발행",IF(AND($O306&lt;&gt;"",$O306&gt;$L306),"소재입고 마감("&amp;TEXT($L306,"MM/DD")&amp;") 초과",IF($N306="","발행여부 확인 필요",IF($O306="","소재 입고일정 확인 필요","정상"))))))</f>
        <v>소재 입고일정 확인 필요</v>
      </c>
      <c r="V306" s="24" t="str">
        <f aca="false">IF($J306="","",IF(OR(LEFT($U306,2)="작지",LEFT($U306,4)="소재입고"),IF(LEFT($F306,1)="S","★ 납기위험(S코드)","◆ 지연주의"),IF($U306="정상","✓ 정상","? 확인필요")))</f>
        <v>? 확인필요</v>
      </c>
      <c r="W306" s="27"/>
      <c r="X306" s="32"/>
    </row>
    <row r="307" customFormat="false" ht="15" hidden="false" customHeight="false" outlineLevel="0" collapsed="false">
      <c r="A307" s="24" t="n">
        <v>303</v>
      </c>
      <c r="B307" s="25" t="s">
        <v>200</v>
      </c>
      <c r="C307" s="25" t="s">
        <v>207</v>
      </c>
      <c r="D307" s="26" t="s">
        <v>747</v>
      </c>
      <c r="E307" s="25" t="s">
        <v>748</v>
      </c>
      <c r="F307" s="24" t="str">
        <f aca="false">IF($D307="","",IF(MID($D307,5,1)="S","S(봄)",IF(MID($D307,5,1)="M","M(여름)",IF(MID($D307,5,1)="X","X(사계절)",MID($D307,5,1)))))</f>
        <v>M(여름)</v>
      </c>
      <c r="G307" s="25" t="s">
        <v>62</v>
      </c>
      <c r="H307" s="24"/>
      <c r="I307" s="27" t="s">
        <v>623</v>
      </c>
      <c r="J307" s="28" t="n">
        <f aca="false">IF($I307="","",IFERROR(DATE(IF(VALUE(LEFT($I307,FIND("월",$I307)-1))&gt;=9,기준정보!$C$7-1,기준정보!$C$7),VALUE(LEFT($I307,FIND("월",$I307)-1)),1+7*(VALUE(SUBSTITUTE(MID($I307,FIND("월",$I307)+1,5),"주",""))-1)),""))</f>
        <v>46468</v>
      </c>
      <c r="K307" s="28" t="n">
        <f aca="false">IF($J307="","",$J307-기준정보!$C$5)</f>
        <v>46454</v>
      </c>
      <c r="L307" s="28" t="n">
        <f aca="false">IF($K307="","",$K307-기준정보!$C$6)</f>
        <v>46364</v>
      </c>
      <c r="M307" s="29" t="n">
        <f aca="false">IF($L307="","",$L307-기준정보!$C$4)</f>
        <v>122</v>
      </c>
      <c r="N307" s="27" t="s">
        <v>65</v>
      </c>
      <c r="O307" s="30"/>
      <c r="P307" s="26" t="str">
        <f aca="false">IF($G307="","",IF(AND(ISNUMBER(SEARCH("CMT",$G307)),OR(ISNUMBER(SEARCH("완사입",$G307)),ISNUMBER(SEARCH("ODM",$G307)))),"본사/생산처 혼재",IF(ISNUMBER(SEARCH("CMT",$G307)),"본사(소재팀)","생산처")))</f>
        <v>생산처</v>
      </c>
      <c r="Q307" s="25" t="s">
        <v>190</v>
      </c>
      <c r="R307" s="25" t="s">
        <v>67</v>
      </c>
      <c r="S307" s="31" t="n">
        <v>2100</v>
      </c>
      <c r="T307" s="26" t="s">
        <v>623</v>
      </c>
      <c r="U307" s="26" t="str">
        <f aca="false">IF($J307="","출고일 미정",IF($N307="X","작지 미발행",IF($N307="부분","작지 일부 미발행",IF(AND($O307&lt;&gt;"",$O307&gt;$L307),"소재입고 마감("&amp;TEXT($L307,"MM/DD")&amp;") 초과",IF($N307="","발행여부 확인 필요",IF($O307="","소재 입고일정 확인 필요","정상"))))))</f>
        <v>소재 입고일정 확인 필요</v>
      </c>
      <c r="V307" s="24" t="str">
        <f aca="false">IF($J307="","",IF(OR(LEFT($U307,2)="작지",LEFT($U307,4)="소재입고"),IF(LEFT($F307,1)="S","★ 납기위험(S코드)","◆ 지연주의"),IF($U307="정상","✓ 정상","? 확인필요")))</f>
        <v>? 확인필요</v>
      </c>
      <c r="W307" s="27"/>
      <c r="X307" s="32"/>
    </row>
    <row r="308" customFormat="false" ht="15" hidden="false" customHeight="false" outlineLevel="0" collapsed="false">
      <c r="A308" s="24" t="n">
        <v>304</v>
      </c>
      <c r="B308" s="25" t="s">
        <v>211</v>
      </c>
      <c r="C308" s="25" t="s">
        <v>100</v>
      </c>
      <c r="D308" s="26" t="s">
        <v>749</v>
      </c>
      <c r="E308" s="25" t="s">
        <v>750</v>
      </c>
      <c r="F308" s="24" t="str">
        <f aca="false">IF($D308="","",IF(MID($D308,5,1)="S","S(봄)",IF(MID($D308,5,1)="M","M(여름)",IF(MID($D308,5,1)="X","X(사계절)",MID($D308,5,1)))))</f>
        <v>M(여름)</v>
      </c>
      <c r="G308" s="25" t="s">
        <v>62</v>
      </c>
      <c r="H308" s="24" t="s">
        <v>394</v>
      </c>
      <c r="I308" s="27" t="s">
        <v>623</v>
      </c>
      <c r="J308" s="28" t="n">
        <f aca="false">IF($I308="","",IFERROR(DATE(IF(VALUE(LEFT($I308,FIND("월",$I308)-1))&gt;=9,기준정보!$C$7-1,기준정보!$C$7),VALUE(LEFT($I308,FIND("월",$I308)-1)),1+7*(VALUE(SUBSTITUTE(MID($I308,FIND("월",$I308)+1,5),"주",""))-1)),""))</f>
        <v>46468</v>
      </c>
      <c r="K308" s="28" t="n">
        <f aca="false">IF($J308="","",$J308-기준정보!$C$5)</f>
        <v>46454</v>
      </c>
      <c r="L308" s="28" t="n">
        <f aca="false">IF($K308="","",$K308-기준정보!$C$6)</f>
        <v>46364</v>
      </c>
      <c r="M308" s="29" t="n">
        <f aca="false">IF($L308="","",$L308-기준정보!$C$4)</f>
        <v>122</v>
      </c>
      <c r="N308" s="27" t="s">
        <v>65</v>
      </c>
      <c r="O308" s="30"/>
      <c r="P308" s="26" t="str">
        <f aca="false">IF($G308="","",IF(AND(ISNUMBER(SEARCH("CMT",$G308)),OR(ISNUMBER(SEARCH("완사입",$G308)),ISNUMBER(SEARCH("ODM",$G308)))),"본사/생산처 혼재",IF(ISNUMBER(SEARCH("CMT",$G308)),"본사(소재팀)","생산처")))</f>
        <v>생산처</v>
      </c>
      <c r="Q308" s="26" t="s">
        <v>193</v>
      </c>
      <c r="R308" s="25" t="s">
        <v>67</v>
      </c>
      <c r="S308" s="31" t="n">
        <v>3000</v>
      </c>
      <c r="T308" s="26"/>
      <c r="U308" s="26" t="str">
        <f aca="false">IF($J308="","출고일 미정",IF($N308="X","작지 미발행",IF($N308="부분","작지 일부 미발행",IF(AND($O308&lt;&gt;"",$O308&gt;$L308),"소재입고 마감("&amp;TEXT($L308,"MM/DD")&amp;") 초과",IF($N308="","발행여부 확인 필요",IF($O308="","소재 입고일정 확인 필요","정상"))))))</f>
        <v>소재 입고일정 확인 필요</v>
      </c>
      <c r="V308" s="24" t="str">
        <f aca="false">IF($J308="","",IF(OR(LEFT($U308,2)="작지",LEFT($U308,4)="소재입고"),IF(LEFT($F308,1)="S","★ 납기위험(S코드)","◆ 지연주의"),IF($U308="정상","✓ 정상","? 확인필요")))</f>
        <v>? 확인필요</v>
      </c>
      <c r="W308" s="27"/>
      <c r="X308" s="32"/>
    </row>
    <row r="309" customFormat="false" ht="15" hidden="false" customHeight="false" outlineLevel="0" collapsed="false">
      <c r="A309" s="24" t="n">
        <v>305</v>
      </c>
      <c r="B309" s="25" t="s">
        <v>99</v>
      </c>
      <c r="C309" s="25" t="s">
        <v>100</v>
      </c>
      <c r="D309" s="26" t="s">
        <v>751</v>
      </c>
      <c r="E309" s="25" t="s">
        <v>752</v>
      </c>
      <c r="F309" s="24" t="str">
        <f aca="false">IF($D309="","",IF(MID($D309,5,1)="S","S(봄)",IF(MID($D309,5,1)="M","M(여름)",IF(MID($D309,5,1)="X","X(사계절)",MID($D309,5,1)))))</f>
        <v>M(여름)</v>
      </c>
      <c r="G309" s="25" t="s">
        <v>62</v>
      </c>
      <c r="H309" s="24"/>
      <c r="I309" s="27" t="s">
        <v>623</v>
      </c>
      <c r="J309" s="28" t="n">
        <f aca="false">IF($I309="","",IFERROR(DATE(IF(VALUE(LEFT($I309,FIND("월",$I309)-1))&gt;=9,기준정보!$C$7-1,기준정보!$C$7),VALUE(LEFT($I309,FIND("월",$I309)-1)),1+7*(VALUE(SUBSTITUTE(MID($I309,FIND("월",$I309)+1,5),"주",""))-1)),""))</f>
        <v>46468</v>
      </c>
      <c r="K309" s="28" t="n">
        <f aca="false">IF($J309="","",$J309-기준정보!$C$5)</f>
        <v>46454</v>
      </c>
      <c r="L309" s="28" t="n">
        <f aca="false">IF($K309="","",$K309-기준정보!$C$6)</f>
        <v>46364</v>
      </c>
      <c r="M309" s="29" t="n">
        <f aca="false">IF($L309="","",$L309-기준정보!$C$4)</f>
        <v>122</v>
      </c>
      <c r="N309" s="27" t="s">
        <v>65</v>
      </c>
      <c r="O309" s="30"/>
      <c r="P309" s="26" t="str">
        <f aca="false">IF($G309="","",IF(AND(ISNUMBER(SEARCH("CMT",$G309)),OR(ISNUMBER(SEARCH("완사입",$G309)),ISNUMBER(SEARCH("ODM",$G309)))),"본사/생산처 혼재",IF(ISNUMBER(SEARCH("CMT",$G309)),"본사(소재팀)","생산처")))</f>
        <v>생산처</v>
      </c>
      <c r="Q309" s="25" t="s">
        <v>245</v>
      </c>
      <c r="R309" s="25" t="s">
        <v>67</v>
      </c>
      <c r="S309" s="31" t="n">
        <v>1800</v>
      </c>
      <c r="T309" s="26" t="s">
        <v>753</v>
      </c>
      <c r="U309" s="26" t="str">
        <f aca="false">IF($J309="","출고일 미정",IF($N309="X","작지 미발행",IF($N309="부분","작지 일부 미발행",IF(AND($O309&lt;&gt;"",$O309&gt;$L309),"소재입고 마감("&amp;TEXT($L309,"MM/DD")&amp;") 초과",IF($N309="","발행여부 확인 필요",IF($O309="","소재 입고일정 확인 필요","정상"))))))</f>
        <v>소재 입고일정 확인 필요</v>
      </c>
      <c r="V309" s="24" t="str">
        <f aca="false">IF($J309="","",IF(OR(LEFT($U309,2)="작지",LEFT($U309,4)="소재입고"),IF(LEFT($F309,1)="S","★ 납기위험(S코드)","◆ 지연주의"),IF($U309="정상","✓ 정상","? 확인필요")))</f>
        <v>? 확인필요</v>
      </c>
      <c r="W309" s="27"/>
      <c r="X309" s="32"/>
    </row>
    <row r="310" customFormat="false" ht="15" hidden="false" customHeight="false" outlineLevel="0" collapsed="false">
      <c r="A310" s="24" t="n">
        <v>306</v>
      </c>
      <c r="B310" s="25" t="s">
        <v>99</v>
      </c>
      <c r="C310" s="25" t="s">
        <v>100</v>
      </c>
      <c r="D310" s="26" t="s">
        <v>754</v>
      </c>
      <c r="E310" s="25" t="s">
        <v>755</v>
      </c>
      <c r="F310" s="24" t="str">
        <f aca="false">IF($D310="","",IF(MID($D310,5,1)="S","S(봄)",IF(MID($D310,5,1)="M","M(여름)",IF(MID($D310,5,1)="X","X(사계절)",MID($D310,5,1)))))</f>
        <v>M(여름)</v>
      </c>
      <c r="G310" s="25" t="s">
        <v>62</v>
      </c>
      <c r="H310" s="24"/>
      <c r="I310" s="27" t="s">
        <v>623</v>
      </c>
      <c r="J310" s="28" t="n">
        <f aca="false">IF($I310="","",IFERROR(DATE(IF(VALUE(LEFT($I310,FIND("월",$I310)-1))&gt;=9,기준정보!$C$7-1,기준정보!$C$7),VALUE(LEFT($I310,FIND("월",$I310)-1)),1+7*(VALUE(SUBSTITUTE(MID($I310,FIND("월",$I310)+1,5),"주",""))-1)),""))</f>
        <v>46468</v>
      </c>
      <c r="K310" s="28" t="n">
        <f aca="false">IF($J310="","",$J310-기준정보!$C$5)</f>
        <v>46454</v>
      </c>
      <c r="L310" s="28" t="n">
        <f aca="false">IF($K310="","",$K310-기준정보!$C$6)</f>
        <v>46364</v>
      </c>
      <c r="M310" s="29" t="n">
        <f aca="false">IF($L310="","",$L310-기준정보!$C$4)</f>
        <v>122</v>
      </c>
      <c r="N310" s="27" t="s">
        <v>65</v>
      </c>
      <c r="O310" s="30"/>
      <c r="P310" s="26" t="str">
        <f aca="false">IF($G310="","",IF(AND(ISNUMBER(SEARCH("CMT",$G310)),OR(ISNUMBER(SEARCH("완사입",$G310)),ISNUMBER(SEARCH("ODM",$G310)))),"본사/생산처 혼재",IF(ISNUMBER(SEARCH("CMT",$G310)),"본사(소재팀)","생산처")))</f>
        <v>생산처</v>
      </c>
      <c r="Q310" s="26" t="s">
        <v>193</v>
      </c>
      <c r="R310" s="25" t="s">
        <v>71</v>
      </c>
      <c r="S310" s="31" t="n">
        <v>1600</v>
      </c>
      <c r="T310" s="26" t="s">
        <v>753</v>
      </c>
      <c r="U310" s="26" t="str">
        <f aca="false">IF($J310="","출고일 미정",IF($N310="X","작지 미발행",IF($N310="부분","작지 일부 미발행",IF(AND($O310&lt;&gt;"",$O310&gt;$L310),"소재입고 마감("&amp;TEXT($L310,"MM/DD")&amp;") 초과",IF($N310="","발행여부 확인 필요",IF($O310="","소재 입고일정 확인 필요","정상"))))))</f>
        <v>소재 입고일정 확인 필요</v>
      </c>
      <c r="V310" s="24" t="str">
        <f aca="false">IF($J310="","",IF(OR(LEFT($U310,2)="작지",LEFT($U310,4)="소재입고"),IF(LEFT($F310,1)="S","★ 납기위험(S코드)","◆ 지연주의"),IF($U310="정상","✓ 정상","? 확인필요")))</f>
        <v>? 확인필요</v>
      </c>
      <c r="W310" s="27"/>
      <c r="X310" s="32"/>
    </row>
    <row r="311" customFormat="false" ht="15" hidden="false" customHeight="false" outlineLevel="0" collapsed="false">
      <c r="A311" s="24" t="n">
        <v>307</v>
      </c>
      <c r="B311" s="25" t="s">
        <v>200</v>
      </c>
      <c r="C311" s="25" t="s">
        <v>100</v>
      </c>
      <c r="D311" s="26" t="s">
        <v>756</v>
      </c>
      <c r="E311" s="25" t="s">
        <v>757</v>
      </c>
      <c r="F311" s="24" t="str">
        <f aca="false">IF($D311="","",IF(MID($D311,5,1)="S","S(봄)",IF(MID($D311,5,1)="M","M(여름)",IF(MID($D311,5,1)="X","X(사계절)",MID($D311,5,1)))))</f>
        <v>M(여름)</v>
      </c>
      <c r="G311" s="25" t="s">
        <v>62</v>
      </c>
      <c r="H311" s="24"/>
      <c r="I311" s="27" t="s">
        <v>623</v>
      </c>
      <c r="J311" s="28" t="n">
        <f aca="false">IF($I311="","",IFERROR(DATE(IF(VALUE(LEFT($I311,FIND("월",$I311)-1))&gt;=9,기준정보!$C$7-1,기준정보!$C$7),VALUE(LEFT($I311,FIND("월",$I311)-1)),1+7*(VALUE(SUBSTITUTE(MID($I311,FIND("월",$I311)+1,5),"주",""))-1)),""))</f>
        <v>46468</v>
      </c>
      <c r="K311" s="28" t="n">
        <f aca="false">IF($J311="","",$J311-기준정보!$C$5)</f>
        <v>46454</v>
      </c>
      <c r="L311" s="28" t="n">
        <f aca="false">IF($K311="","",$K311-기준정보!$C$6)</f>
        <v>46364</v>
      </c>
      <c r="M311" s="29" t="n">
        <f aca="false">IF($L311="","",$L311-기준정보!$C$4)</f>
        <v>122</v>
      </c>
      <c r="N311" s="27" t="s">
        <v>65</v>
      </c>
      <c r="O311" s="30"/>
      <c r="P311" s="26" t="str">
        <f aca="false">IF($G311="","",IF(AND(ISNUMBER(SEARCH("CMT",$G311)),OR(ISNUMBER(SEARCH("완사입",$G311)),ISNUMBER(SEARCH("ODM",$G311)))),"본사/생산처 혼재",IF(ISNUMBER(SEARCH("CMT",$G311)),"본사(소재팀)","생산처")))</f>
        <v>생산처</v>
      </c>
      <c r="Q311" s="26" t="s">
        <v>193</v>
      </c>
      <c r="R311" s="25" t="s">
        <v>71</v>
      </c>
      <c r="S311" s="31" t="n">
        <v>2100</v>
      </c>
      <c r="T311" s="26" t="s">
        <v>623</v>
      </c>
      <c r="U311" s="26" t="str">
        <f aca="false">IF($J311="","출고일 미정",IF($N311="X","작지 미발행",IF($N311="부분","작지 일부 미발행",IF(AND($O311&lt;&gt;"",$O311&gt;$L311),"소재입고 마감("&amp;TEXT($L311,"MM/DD")&amp;") 초과",IF($N311="","발행여부 확인 필요",IF($O311="","소재 입고일정 확인 필요","정상"))))))</f>
        <v>소재 입고일정 확인 필요</v>
      </c>
      <c r="V311" s="24" t="str">
        <f aca="false">IF($J311="","",IF(OR(LEFT($U311,2)="작지",LEFT($U311,4)="소재입고"),IF(LEFT($F311,1)="S","★ 납기위험(S코드)","◆ 지연주의"),IF($U311="정상","✓ 정상","? 확인필요")))</f>
        <v>? 확인필요</v>
      </c>
      <c r="W311" s="27"/>
      <c r="X311" s="32"/>
    </row>
    <row r="312" customFormat="false" ht="15" hidden="false" customHeight="false" outlineLevel="0" collapsed="false">
      <c r="A312" s="24" t="n">
        <v>308</v>
      </c>
      <c r="B312" s="25" t="s">
        <v>200</v>
      </c>
      <c r="C312" s="25" t="s">
        <v>100</v>
      </c>
      <c r="D312" s="26" t="s">
        <v>758</v>
      </c>
      <c r="E312" s="25" t="s">
        <v>759</v>
      </c>
      <c r="F312" s="24" t="str">
        <f aca="false">IF($D312="","",IF(MID($D312,5,1)="S","S(봄)",IF(MID($D312,5,1)="M","M(여름)",IF(MID($D312,5,1)="X","X(사계절)",MID($D312,5,1)))))</f>
        <v>M(여름)</v>
      </c>
      <c r="G312" s="25" t="s">
        <v>62</v>
      </c>
      <c r="H312" s="24"/>
      <c r="I312" s="27" t="s">
        <v>623</v>
      </c>
      <c r="J312" s="28" t="n">
        <f aca="false">IF($I312="","",IFERROR(DATE(IF(VALUE(LEFT($I312,FIND("월",$I312)-1))&gt;=9,기준정보!$C$7-1,기준정보!$C$7),VALUE(LEFT($I312,FIND("월",$I312)-1)),1+7*(VALUE(SUBSTITUTE(MID($I312,FIND("월",$I312)+1,5),"주",""))-1)),""))</f>
        <v>46468</v>
      </c>
      <c r="K312" s="28" t="n">
        <f aca="false">IF($J312="","",$J312-기준정보!$C$5)</f>
        <v>46454</v>
      </c>
      <c r="L312" s="28" t="n">
        <f aca="false">IF($K312="","",$K312-기준정보!$C$6)</f>
        <v>46364</v>
      </c>
      <c r="M312" s="29" t="n">
        <f aca="false">IF($L312="","",$L312-기준정보!$C$4)</f>
        <v>122</v>
      </c>
      <c r="N312" s="27" t="s">
        <v>65</v>
      </c>
      <c r="O312" s="30"/>
      <c r="P312" s="26" t="str">
        <f aca="false">IF($G312="","",IF(AND(ISNUMBER(SEARCH("CMT",$G312)),OR(ISNUMBER(SEARCH("완사입",$G312)),ISNUMBER(SEARCH("ODM",$G312)))),"본사/생산처 혼재",IF(ISNUMBER(SEARCH("CMT",$G312)),"본사(소재팀)","생산처")))</f>
        <v>생산처</v>
      </c>
      <c r="Q312" s="26" t="s">
        <v>193</v>
      </c>
      <c r="R312" s="25" t="s">
        <v>71</v>
      </c>
      <c r="S312" s="31" t="n">
        <v>6600</v>
      </c>
      <c r="T312" s="26" t="s">
        <v>623</v>
      </c>
      <c r="U312" s="26" t="str">
        <f aca="false">IF($J312="","출고일 미정",IF($N312="X","작지 미발행",IF($N312="부분","작지 일부 미발행",IF(AND($O312&lt;&gt;"",$O312&gt;$L312),"소재입고 마감("&amp;TEXT($L312,"MM/DD")&amp;") 초과",IF($N312="","발행여부 확인 필요",IF($O312="","소재 입고일정 확인 필요","정상"))))))</f>
        <v>소재 입고일정 확인 필요</v>
      </c>
      <c r="V312" s="24" t="str">
        <f aca="false">IF($J312="","",IF(OR(LEFT($U312,2)="작지",LEFT($U312,4)="소재입고"),IF(LEFT($F312,1)="S","★ 납기위험(S코드)","◆ 지연주의"),IF($U312="정상","✓ 정상","? 확인필요")))</f>
        <v>? 확인필요</v>
      </c>
      <c r="W312" s="27"/>
      <c r="X312" s="32"/>
    </row>
    <row r="313" customFormat="false" ht="15" hidden="false" customHeight="false" outlineLevel="0" collapsed="false">
      <c r="A313" s="24" t="n">
        <v>309</v>
      </c>
      <c r="B313" s="25" t="s">
        <v>200</v>
      </c>
      <c r="C313" s="25" t="s">
        <v>100</v>
      </c>
      <c r="D313" s="26" t="s">
        <v>760</v>
      </c>
      <c r="E313" s="25" t="s">
        <v>761</v>
      </c>
      <c r="F313" s="24" t="str">
        <f aca="false">IF($D313="","",IF(MID($D313,5,1)="S","S(봄)",IF(MID($D313,5,1)="M","M(여름)",IF(MID($D313,5,1)="X","X(사계절)",MID($D313,5,1)))))</f>
        <v>M(여름)</v>
      </c>
      <c r="G313" s="25" t="s">
        <v>62</v>
      </c>
      <c r="H313" s="24"/>
      <c r="I313" s="27" t="s">
        <v>623</v>
      </c>
      <c r="J313" s="28" t="n">
        <f aca="false">IF($I313="","",IFERROR(DATE(IF(VALUE(LEFT($I313,FIND("월",$I313)-1))&gt;=9,기준정보!$C$7-1,기준정보!$C$7),VALUE(LEFT($I313,FIND("월",$I313)-1)),1+7*(VALUE(SUBSTITUTE(MID($I313,FIND("월",$I313)+1,5),"주",""))-1)),""))</f>
        <v>46468</v>
      </c>
      <c r="K313" s="28" t="n">
        <f aca="false">IF($J313="","",$J313-기준정보!$C$5)</f>
        <v>46454</v>
      </c>
      <c r="L313" s="28" t="n">
        <f aca="false">IF($K313="","",$K313-기준정보!$C$6)</f>
        <v>46364</v>
      </c>
      <c r="M313" s="29" t="n">
        <f aca="false">IF($L313="","",$L313-기준정보!$C$4)</f>
        <v>122</v>
      </c>
      <c r="N313" s="27" t="s">
        <v>65</v>
      </c>
      <c r="O313" s="30"/>
      <c r="P313" s="26" t="str">
        <f aca="false">IF($G313="","",IF(AND(ISNUMBER(SEARCH("CMT",$G313)),OR(ISNUMBER(SEARCH("완사입",$G313)),ISNUMBER(SEARCH("ODM",$G313)))),"본사/생산처 혼재",IF(ISNUMBER(SEARCH("CMT",$G313)),"본사(소재팀)","생산처")))</f>
        <v>생산처</v>
      </c>
      <c r="Q313" s="26" t="s">
        <v>193</v>
      </c>
      <c r="R313" s="25" t="s">
        <v>67</v>
      </c>
      <c r="S313" s="31" t="n">
        <v>10500</v>
      </c>
      <c r="T313" s="26" t="s">
        <v>623</v>
      </c>
      <c r="U313" s="26" t="str">
        <f aca="false">IF($J313="","출고일 미정",IF($N313="X","작지 미발행",IF($N313="부분","작지 일부 미발행",IF(AND($O313&lt;&gt;"",$O313&gt;$L313),"소재입고 마감("&amp;TEXT($L313,"MM/DD")&amp;") 초과",IF($N313="","발행여부 확인 필요",IF($O313="","소재 입고일정 확인 필요","정상"))))))</f>
        <v>소재 입고일정 확인 필요</v>
      </c>
      <c r="V313" s="24" t="str">
        <f aca="false">IF($J313="","",IF(OR(LEFT($U313,2)="작지",LEFT($U313,4)="소재입고"),IF(LEFT($F313,1)="S","★ 납기위험(S코드)","◆ 지연주의"),IF($U313="정상","✓ 정상","? 확인필요")))</f>
        <v>? 확인필요</v>
      </c>
      <c r="W313" s="27"/>
      <c r="X313" s="32"/>
    </row>
    <row r="314" customFormat="false" ht="15" hidden="false" customHeight="false" outlineLevel="0" collapsed="false">
      <c r="A314" s="24" t="n">
        <v>310</v>
      </c>
      <c r="B314" s="25" t="s">
        <v>200</v>
      </c>
      <c r="C314" s="25" t="s">
        <v>100</v>
      </c>
      <c r="D314" s="26" t="s">
        <v>762</v>
      </c>
      <c r="E314" s="25" t="s">
        <v>763</v>
      </c>
      <c r="F314" s="24" t="str">
        <f aca="false">IF($D314="","",IF(MID($D314,5,1)="S","S(봄)",IF(MID($D314,5,1)="M","M(여름)",IF(MID($D314,5,1)="X","X(사계절)",MID($D314,5,1)))))</f>
        <v>M(여름)</v>
      </c>
      <c r="G314" s="25" t="s">
        <v>62</v>
      </c>
      <c r="H314" s="24"/>
      <c r="I314" s="27" t="s">
        <v>623</v>
      </c>
      <c r="J314" s="28" t="n">
        <f aca="false">IF($I314="","",IFERROR(DATE(IF(VALUE(LEFT($I314,FIND("월",$I314)-1))&gt;=9,기준정보!$C$7-1,기준정보!$C$7),VALUE(LEFT($I314,FIND("월",$I314)-1)),1+7*(VALUE(SUBSTITUTE(MID($I314,FIND("월",$I314)+1,5),"주",""))-1)),""))</f>
        <v>46468</v>
      </c>
      <c r="K314" s="28" t="n">
        <f aca="false">IF($J314="","",$J314-기준정보!$C$5)</f>
        <v>46454</v>
      </c>
      <c r="L314" s="28" t="n">
        <f aca="false">IF($K314="","",$K314-기준정보!$C$6)</f>
        <v>46364</v>
      </c>
      <c r="M314" s="29" t="n">
        <f aca="false">IF($L314="","",$L314-기준정보!$C$4)</f>
        <v>122</v>
      </c>
      <c r="N314" s="27" t="s">
        <v>65</v>
      </c>
      <c r="O314" s="30"/>
      <c r="P314" s="26" t="str">
        <f aca="false">IF($G314="","",IF(AND(ISNUMBER(SEARCH("CMT",$G314)),OR(ISNUMBER(SEARCH("완사입",$G314)),ISNUMBER(SEARCH("ODM",$G314)))),"본사/생산처 혼재",IF(ISNUMBER(SEARCH("CMT",$G314)),"본사(소재팀)","생산처")))</f>
        <v>생산처</v>
      </c>
      <c r="Q314" s="26" t="s">
        <v>193</v>
      </c>
      <c r="R314" s="25" t="s">
        <v>67</v>
      </c>
      <c r="S314" s="31" t="n">
        <v>2600</v>
      </c>
      <c r="T314" s="26" t="s">
        <v>623</v>
      </c>
      <c r="U314" s="26" t="str">
        <f aca="false">IF($J314="","출고일 미정",IF($N314="X","작지 미발행",IF($N314="부분","작지 일부 미발행",IF(AND($O314&lt;&gt;"",$O314&gt;$L314),"소재입고 마감("&amp;TEXT($L314,"MM/DD")&amp;") 초과",IF($N314="","발행여부 확인 필요",IF($O314="","소재 입고일정 확인 필요","정상"))))))</f>
        <v>소재 입고일정 확인 필요</v>
      </c>
      <c r="V314" s="24" t="str">
        <f aca="false">IF($J314="","",IF(OR(LEFT($U314,2)="작지",LEFT($U314,4)="소재입고"),IF(LEFT($F314,1)="S","★ 납기위험(S코드)","◆ 지연주의"),IF($U314="정상","✓ 정상","? 확인필요")))</f>
        <v>? 확인필요</v>
      </c>
      <c r="W314" s="27"/>
      <c r="X314" s="32"/>
    </row>
    <row r="315" customFormat="false" ht="15" hidden="false" customHeight="false" outlineLevel="0" collapsed="false">
      <c r="A315" s="24" t="n">
        <v>311</v>
      </c>
      <c r="B315" s="25" t="s">
        <v>178</v>
      </c>
      <c r="C315" s="25" t="s">
        <v>179</v>
      </c>
      <c r="D315" s="26" t="s">
        <v>764</v>
      </c>
      <c r="E315" s="25" t="s">
        <v>765</v>
      </c>
      <c r="F315" s="24" t="str">
        <f aca="false">IF($D315="","",IF(MID($D315,5,1)="S","S(봄)",IF(MID($D315,5,1)="M","M(여름)",IF(MID($D315,5,1)="X","X(사계절)",MID($D315,5,1)))))</f>
        <v>M(여름)</v>
      </c>
      <c r="G315" s="25" t="s">
        <v>62</v>
      </c>
      <c r="H315" s="24" t="s">
        <v>326</v>
      </c>
      <c r="I315" s="27" t="s">
        <v>327</v>
      </c>
      <c r="J315" s="28" t="n">
        <f aca="false">IF($I315="","",IFERROR(DATE(IF(VALUE(LEFT($I315,FIND("월",$I315)-1))&gt;=9,기준정보!$C$7-1,기준정보!$C$7),VALUE(LEFT($I315,FIND("월",$I315)-1)),1+7*(VALUE(SUBSTITUTE(MID($I315,FIND("월",$I315)+1,5),"주",""))-1)),""))</f>
        <v>46478</v>
      </c>
      <c r="K315" s="28" t="n">
        <f aca="false">IF($J315="","",$J315-기준정보!$C$5)</f>
        <v>46464</v>
      </c>
      <c r="L315" s="28" t="n">
        <f aca="false">IF($K315="","",$K315-기준정보!$C$6)</f>
        <v>46374</v>
      </c>
      <c r="M315" s="29" t="n">
        <f aca="false">IF($L315="","",$L315-기준정보!$C$4)</f>
        <v>132</v>
      </c>
      <c r="N315" s="27" t="s">
        <v>65</v>
      </c>
      <c r="O315" s="30"/>
      <c r="P315" s="26" t="str">
        <f aca="false">IF($G315="","",IF(AND(ISNUMBER(SEARCH("CMT",$G315)),OR(ISNUMBER(SEARCH("완사입",$G315)),ISNUMBER(SEARCH("ODM",$G315)))),"본사/생산처 혼재",IF(ISNUMBER(SEARCH("CMT",$G315)),"본사(소재팀)","생산처")))</f>
        <v>생산처</v>
      </c>
      <c r="Q315" s="26" t="s">
        <v>120</v>
      </c>
      <c r="R315" s="25" t="s">
        <v>67</v>
      </c>
      <c r="S315" s="31" t="n">
        <v>1660</v>
      </c>
      <c r="T315" s="26" t="s">
        <v>327</v>
      </c>
      <c r="U315" s="26" t="str">
        <f aca="false">IF($J315="","출고일 미정",IF($N315="X","작지 미발행",IF($N315="부분","작지 일부 미발행",IF(AND($O315&lt;&gt;"",$O315&gt;$L315),"소재입고 마감("&amp;TEXT($L315,"MM/DD")&amp;") 초과",IF($N315="","발행여부 확인 필요",IF($O315="","소재 입고일정 확인 필요","정상"))))))</f>
        <v>소재 입고일정 확인 필요</v>
      </c>
      <c r="V315" s="24" t="str">
        <f aca="false">IF($J315="","",IF(OR(LEFT($U315,2)="작지",LEFT($U315,4)="소재입고"),IF(LEFT($F315,1)="S","★ 납기위험(S코드)","◆ 지연주의"),IF($U315="정상","✓ 정상","? 확인필요")))</f>
        <v>? 확인필요</v>
      </c>
      <c r="W315" s="27"/>
      <c r="X315" s="32"/>
    </row>
    <row r="316" customFormat="false" ht="15" hidden="false" customHeight="false" outlineLevel="0" collapsed="false">
      <c r="A316" s="24" t="n">
        <v>312</v>
      </c>
      <c r="B316" s="25" t="s">
        <v>178</v>
      </c>
      <c r="C316" s="25" t="s">
        <v>179</v>
      </c>
      <c r="D316" s="26" t="s">
        <v>766</v>
      </c>
      <c r="E316" s="25" t="s">
        <v>767</v>
      </c>
      <c r="F316" s="24" t="str">
        <f aca="false">IF($D316="","",IF(MID($D316,5,1)="S","S(봄)",IF(MID($D316,5,1)="M","M(여름)",IF(MID($D316,5,1)="X","X(사계절)",MID($D316,5,1)))))</f>
        <v>M(여름)</v>
      </c>
      <c r="G316" s="25" t="s">
        <v>62</v>
      </c>
      <c r="H316" s="24" t="s">
        <v>326</v>
      </c>
      <c r="I316" s="27" t="s">
        <v>327</v>
      </c>
      <c r="J316" s="28" t="n">
        <f aca="false">IF($I316="","",IFERROR(DATE(IF(VALUE(LEFT($I316,FIND("월",$I316)-1))&gt;=9,기준정보!$C$7-1,기준정보!$C$7),VALUE(LEFT($I316,FIND("월",$I316)-1)),1+7*(VALUE(SUBSTITUTE(MID($I316,FIND("월",$I316)+1,5),"주",""))-1)),""))</f>
        <v>46478</v>
      </c>
      <c r="K316" s="28" t="n">
        <f aca="false">IF($J316="","",$J316-기준정보!$C$5)</f>
        <v>46464</v>
      </c>
      <c r="L316" s="28" t="n">
        <f aca="false">IF($K316="","",$K316-기준정보!$C$6)</f>
        <v>46374</v>
      </c>
      <c r="M316" s="29" t="n">
        <f aca="false">IF($L316="","",$L316-기준정보!$C$4)</f>
        <v>132</v>
      </c>
      <c r="N316" s="27" t="s">
        <v>65</v>
      </c>
      <c r="O316" s="30"/>
      <c r="P316" s="26" t="str">
        <f aca="false">IF($G316="","",IF(AND(ISNUMBER(SEARCH("CMT",$G316)),OR(ISNUMBER(SEARCH("완사입",$G316)),ISNUMBER(SEARCH("ODM",$G316)))),"본사/생산처 혼재",IF(ISNUMBER(SEARCH("CMT",$G316)),"본사(소재팀)","생산처")))</f>
        <v>생산처</v>
      </c>
      <c r="Q316" s="26" t="s">
        <v>187</v>
      </c>
      <c r="R316" s="25" t="s">
        <v>67</v>
      </c>
      <c r="S316" s="31" t="n">
        <v>2000</v>
      </c>
      <c r="T316" s="26" t="s">
        <v>327</v>
      </c>
      <c r="U316" s="26" t="str">
        <f aca="false">IF($J316="","출고일 미정",IF($N316="X","작지 미발행",IF($N316="부분","작지 일부 미발행",IF(AND($O316&lt;&gt;"",$O316&gt;$L316),"소재입고 마감("&amp;TEXT($L316,"MM/DD")&amp;") 초과",IF($N316="","발행여부 확인 필요",IF($O316="","소재 입고일정 확인 필요","정상"))))))</f>
        <v>소재 입고일정 확인 필요</v>
      </c>
      <c r="V316" s="24" t="str">
        <f aca="false">IF($J316="","",IF(OR(LEFT($U316,2)="작지",LEFT($U316,4)="소재입고"),IF(LEFT($F316,1)="S","★ 납기위험(S코드)","◆ 지연주의"),IF($U316="정상","✓ 정상","? 확인필요")))</f>
        <v>? 확인필요</v>
      </c>
      <c r="W316" s="27"/>
      <c r="X316" s="32"/>
    </row>
    <row r="317" customFormat="false" ht="15" hidden="false" customHeight="false" outlineLevel="0" collapsed="false">
      <c r="A317" s="24" t="n">
        <v>313</v>
      </c>
      <c r="B317" s="25" t="s">
        <v>178</v>
      </c>
      <c r="C317" s="25" t="s">
        <v>179</v>
      </c>
      <c r="D317" s="26" t="s">
        <v>768</v>
      </c>
      <c r="E317" s="25" t="s">
        <v>769</v>
      </c>
      <c r="F317" s="24" t="str">
        <f aca="false">IF($D317="","",IF(MID($D317,5,1)="S","S(봄)",IF(MID($D317,5,1)="M","M(여름)",IF(MID($D317,5,1)="X","X(사계절)",MID($D317,5,1)))))</f>
        <v>M(여름)</v>
      </c>
      <c r="G317" s="25" t="s">
        <v>62</v>
      </c>
      <c r="H317" s="24" t="s">
        <v>326</v>
      </c>
      <c r="I317" s="27" t="s">
        <v>327</v>
      </c>
      <c r="J317" s="28" t="n">
        <f aca="false">IF($I317="","",IFERROR(DATE(IF(VALUE(LEFT($I317,FIND("월",$I317)-1))&gt;=9,기준정보!$C$7-1,기준정보!$C$7),VALUE(LEFT($I317,FIND("월",$I317)-1)),1+7*(VALUE(SUBSTITUTE(MID($I317,FIND("월",$I317)+1,5),"주",""))-1)),""))</f>
        <v>46478</v>
      </c>
      <c r="K317" s="28" t="n">
        <f aca="false">IF($J317="","",$J317-기준정보!$C$5)</f>
        <v>46464</v>
      </c>
      <c r="L317" s="28" t="n">
        <f aca="false">IF($K317="","",$K317-기준정보!$C$6)</f>
        <v>46374</v>
      </c>
      <c r="M317" s="29" t="n">
        <f aca="false">IF($L317="","",$L317-기준정보!$C$4)</f>
        <v>132</v>
      </c>
      <c r="N317" s="27" t="s">
        <v>65</v>
      </c>
      <c r="O317" s="30"/>
      <c r="P317" s="26" t="str">
        <f aca="false">IF($G317="","",IF(AND(ISNUMBER(SEARCH("CMT",$G317)),OR(ISNUMBER(SEARCH("완사입",$G317)),ISNUMBER(SEARCH("ODM",$G317)))),"본사/생산처 혼재",IF(ISNUMBER(SEARCH("CMT",$G317)),"본사(소재팀)","생산처")))</f>
        <v>생산처</v>
      </c>
      <c r="Q317" s="26" t="s">
        <v>187</v>
      </c>
      <c r="R317" s="25" t="s">
        <v>67</v>
      </c>
      <c r="S317" s="31" t="n">
        <v>1960</v>
      </c>
      <c r="T317" s="26" t="s">
        <v>327</v>
      </c>
      <c r="U317" s="26" t="str">
        <f aca="false">IF($J317="","출고일 미정",IF($N317="X","작지 미발행",IF($N317="부분","작지 일부 미발행",IF(AND($O317&lt;&gt;"",$O317&gt;$L317),"소재입고 마감("&amp;TEXT($L317,"MM/DD")&amp;") 초과",IF($N317="","발행여부 확인 필요",IF($O317="","소재 입고일정 확인 필요","정상"))))))</f>
        <v>소재 입고일정 확인 필요</v>
      </c>
      <c r="V317" s="24" t="str">
        <f aca="false">IF($J317="","",IF(OR(LEFT($U317,2)="작지",LEFT($U317,4)="소재입고"),IF(LEFT($F317,1)="S","★ 납기위험(S코드)","◆ 지연주의"),IF($U317="정상","✓ 정상","? 확인필요")))</f>
        <v>? 확인필요</v>
      </c>
      <c r="W317" s="27"/>
      <c r="X317" s="32"/>
    </row>
    <row r="318" customFormat="false" ht="15" hidden="false" customHeight="false" outlineLevel="0" collapsed="false">
      <c r="A318" s="24" t="n">
        <v>314</v>
      </c>
      <c r="B318" s="25" t="s">
        <v>175</v>
      </c>
      <c r="C318" s="25" t="s">
        <v>179</v>
      </c>
      <c r="D318" s="26" t="s">
        <v>770</v>
      </c>
      <c r="E318" s="25" t="s">
        <v>771</v>
      </c>
      <c r="F318" s="24" t="str">
        <f aca="false">IF($D318="","",IF(MID($D318,5,1)="S","S(봄)",IF(MID($D318,5,1)="M","M(여름)",IF(MID($D318,5,1)="X","X(사계절)",MID($D318,5,1)))))</f>
        <v>M(여름)</v>
      </c>
      <c r="G318" s="25" t="s">
        <v>62</v>
      </c>
      <c r="H318" s="24"/>
      <c r="I318" s="27" t="s">
        <v>327</v>
      </c>
      <c r="J318" s="28" t="n">
        <f aca="false">IF($I318="","",IFERROR(DATE(IF(VALUE(LEFT($I318,FIND("월",$I318)-1))&gt;=9,기준정보!$C$7-1,기준정보!$C$7),VALUE(LEFT($I318,FIND("월",$I318)-1)),1+7*(VALUE(SUBSTITUTE(MID($I318,FIND("월",$I318)+1,5),"주",""))-1)),""))</f>
        <v>46478</v>
      </c>
      <c r="K318" s="28" t="n">
        <f aca="false">IF($J318="","",$J318-기준정보!$C$5)</f>
        <v>46464</v>
      </c>
      <c r="L318" s="28" t="n">
        <f aca="false">IF($K318="","",$K318-기준정보!$C$6)</f>
        <v>46374</v>
      </c>
      <c r="M318" s="29" t="n">
        <f aca="false">IF($L318="","",$L318-기준정보!$C$4)</f>
        <v>132</v>
      </c>
      <c r="N318" s="27" t="s">
        <v>65</v>
      </c>
      <c r="O318" s="30"/>
      <c r="P318" s="26" t="str">
        <f aca="false">IF($G318="","",IF(AND(ISNUMBER(SEARCH("CMT",$G318)),OR(ISNUMBER(SEARCH("완사입",$G318)),ISNUMBER(SEARCH("ODM",$G318)))),"본사/생산처 혼재",IF(ISNUMBER(SEARCH("CMT",$G318)),"본사(소재팀)","생산처")))</f>
        <v>생산처</v>
      </c>
      <c r="Q318" s="25" t="s">
        <v>245</v>
      </c>
      <c r="R318" s="25" t="s">
        <v>67</v>
      </c>
      <c r="S318" s="31" t="n">
        <v>1000</v>
      </c>
      <c r="T318" s="26"/>
      <c r="U318" s="26" t="str">
        <f aca="false">IF($J318="","출고일 미정",IF($N318="X","작지 미발행",IF($N318="부분","작지 일부 미발행",IF(AND($O318&lt;&gt;"",$O318&gt;$L318),"소재입고 마감("&amp;TEXT($L318,"MM/DD")&amp;") 초과",IF($N318="","발행여부 확인 필요",IF($O318="","소재 입고일정 확인 필요","정상"))))))</f>
        <v>소재 입고일정 확인 필요</v>
      </c>
      <c r="V318" s="24" t="str">
        <f aca="false">IF($J318="","",IF(OR(LEFT($U318,2)="작지",LEFT($U318,4)="소재입고"),IF(LEFT($F318,1)="S","★ 납기위험(S코드)","◆ 지연주의"),IF($U318="정상","✓ 정상","? 확인필요")))</f>
        <v>? 확인필요</v>
      </c>
      <c r="W318" s="27"/>
      <c r="X318" s="32"/>
    </row>
    <row r="319" customFormat="false" ht="15" hidden="false" customHeight="false" outlineLevel="0" collapsed="false">
      <c r="A319" s="24" t="n">
        <v>315</v>
      </c>
      <c r="B319" s="25" t="s">
        <v>113</v>
      </c>
      <c r="C319" s="25" t="s">
        <v>114</v>
      </c>
      <c r="D319" s="26" t="s">
        <v>772</v>
      </c>
      <c r="E319" s="26" t="s">
        <v>773</v>
      </c>
      <c r="F319" s="24" t="str">
        <f aca="false">IF($D319="","",IF(MID($D319,5,1)="S","S(봄)",IF(MID($D319,5,1)="M","M(여름)",IF(MID($D319,5,1)="X","X(사계절)",MID($D319,5,1)))))</f>
        <v>M(여름)</v>
      </c>
      <c r="G319" s="25" t="s">
        <v>62</v>
      </c>
      <c r="H319" s="24" t="s">
        <v>340</v>
      </c>
      <c r="I319" s="27" t="s">
        <v>774</v>
      </c>
      <c r="J319" s="28" t="n">
        <f aca="false">IF($I319="","",IFERROR(DATE(IF(VALUE(LEFT($I319,FIND("월",$I319)-1))&gt;=9,기준정보!$C$7-1,기준정보!$C$7),VALUE(LEFT($I319,FIND("월",$I319)-1)),1+7*(VALUE(SUBSTITUTE(MID($I319,FIND("월",$I319)+1,5),"주",""))-1)),""))</f>
        <v>46485</v>
      </c>
      <c r="K319" s="28" t="n">
        <f aca="false">IF($J319="","",$J319-기준정보!$C$5)</f>
        <v>46471</v>
      </c>
      <c r="L319" s="28" t="n">
        <f aca="false">IF($K319="","",$K319-기준정보!$C$6)</f>
        <v>46381</v>
      </c>
      <c r="M319" s="29" t="n">
        <f aca="false">IF($L319="","",$L319-기준정보!$C$4)</f>
        <v>139</v>
      </c>
      <c r="N319" s="27" t="s">
        <v>119</v>
      </c>
      <c r="O319" s="30"/>
      <c r="P319" s="26" t="str">
        <f aca="false">IF($G319="","",IF(AND(ISNUMBER(SEARCH("CMT",$G319)),OR(ISNUMBER(SEARCH("완사입",$G319)),ISNUMBER(SEARCH("ODM",$G319)))),"본사/생산처 혼재",IF(ISNUMBER(SEARCH("CMT",$G319)),"본사(소재팀)","생산처")))</f>
        <v>생산처</v>
      </c>
      <c r="Q319" s="26" t="s">
        <v>193</v>
      </c>
      <c r="R319" s="25" t="s">
        <v>67</v>
      </c>
      <c r="S319" s="31" t="n">
        <v>0</v>
      </c>
      <c r="T319" s="26"/>
      <c r="U319" s="26" t="str">
        <f aca="false">IF($J319="","출고일 미정",IF($N319="X","작지 미발행",IF($N319="부분","작지 일부 미발행",IF(AND($O319&lt;&gt;"",$O319&gt;$L319),"소재입고 마감("&amp;TEXT($L319,"MM/DD")&amp;") 초과",IF($N319="","발행여부 확인 필요",IF($O319="","소재 입고일정 확인 필요","정상"))))))</f>
        <v>작지 미발행</v>
      </c>
      <c r="V319" s="24" t="str">
        <f aca="false">IF($J319="","",IF(OR(LEFT($U319,2)="작지",LEFT($U319,4)="소재입고"),IF(LEFT($F319,1)="S","★ 납기위험(S코드)","◆ 지연주의"),IF($U319="정상","✓ 정상","? 확인필요")))</f>
        <v>◆ 지연주의</v>
      </c>
      <c r="W319" s="27"/>
      <c r="X319" s="32"/>
    </row>
    <row r="320" customFormat="false" ht="15" hidden="false" customHeight="false" outlineLevel="0" collapsed="false">
      <c r="A320" s="24" t="n">
        <v>316</v>
      </c>
      <c r="B320" s="25" t="s">
        <v>113</v>
      </c>
      <c r="C320" s="25" t="s">
        <v>114</v>
      </c>
      <c r="D320" s="26" t="s">
        <v>775</v>
      </c>
      <c r="E320" s="26" t="s">
        <v>776</v>
      </c>
      <c r="F320" s="24" t="str">
        <f aca="false">IF($D320="","",IF(MID($D320,5,1)="S","S(봄)",IF(MID($D320,5,1)="M","M(여름)",IF(MID($D320,5,1)="X","X(사계절)",MID($D320,5,1)))))</f>
        <v>M(여름)</v>
      </c>
      <c r="G320" s="25" t="s">
        <v>62</v>
      </c>
      <c r="H320" s="24" t="s">
        <v>340</v>
      </c>
      <c r="I320" s="27" t="s">
        <v>774</v>
      </c>
      <c r="J320" s="28" t="n">
        <f aca="false">IF($I320="","",IFERROR(DATE(IF(VALUE(LEFT($I320,FIND("월",$I320)-1))&gt;=9,기준정보!$C$7-1,기준정보!$C$7),VALUE(LEFT($I320,FIND("월",$I320)-1)),1+7*(VALUE(SUBSTITUTE(MID($I320,FIND("월",$I320)+1,5),"주",""))-1)),""))</f>
        <v>46485</v>
      </c>
      <c r="K320" s="28" t="n">
        <f aca="false">IF($J320="","",$J320-기준정보!$C$5)</f>
        <v>46471</v>
      </c>
      <c r="L320" s="28" t="n">
        <f aca="false">IF($K320="","",$K320-기준정보!$C$6)</f>
        <v>46381</v>
      </c>
      <c r="M320" s="29" t="n">
        <f aca="false">IF($L320="","",$L320-기준정보!$C$4)</f>
        <v>139</v>
      </c>
      <c r="N320" s="27" t="s">
        <v>119</v>
      </c>
      <c r="O320" s="30"/>
      <c r="P320" s="26" t="str">
        <f aca="false">IF($G320="","",IF(AND(ISNUMBER(SEARCH("CMT",$G320)),OR(ISNUMBER(SEARCH("완사입",$G320)),ISNUMBER(SEARCH("ODM",$G320)))),"본사/생산처 혼재",IF(ISNUMBER(SEARCH("CMT",$G320)),"본사(소재팀)","생산처")))</f>
        <v>생산처</v>
      </c>
      <c r="Q320" s="26" t="s">
        <v>187</v>
      </c>
      <c r="R320" s="25" t="s">
        <v>67</v>
      </c>
      <c r="S320" s="31" t="n">
        <v>0</v>
      </c>
      <c r="T320" s="26"/>
      <c r="U320" s="26" t="str">
        <f aca="false">IF($J320="","출고일 미정",IF($N320="X","작지 미발행",IF($N320="부분","작지 일부 미발행",IF(AND($O320&lt;&gt;"",$O320&gt;$L320),"소재입고 마감("&amp;TEXT($L320,"MM/DD")&amp;") 초과",IF($N320="","발행여부 확인 필요",IF($O320="","소재 입고일정 확인 필요","정상"))))))</f>
        <v>작지 미발행</v>
      </c>
      <c r="V320" s="24" t="str">
        <f aca="false">IF($J320="","",IF(OR(LEFT($U320,2)="작지",LEFT($U320,4)="소재입고"),IF(LEFT($F320,1)="S","★ 납기위험(S코드)","◆ 지연주의"),IF($U320="정상","✓ 정상","? 확인필요")))</f>
        <v>◆ 지연주의</v>
      </c>
      <c r="W320" s="27"/>
      <c r="X320" s="32"/>
    </row>
    <row r="321" customFormat="false" ht="15" hidden="false" customHeight="false" outlineLevel="0" collapsed="false">
      <c r="A321" s="24" t="n">
        <v>317</v>
      </c>
      <c r="B321" s="25" t="s">
        <v>113</v>
      </c>
      <c r="C321" s="25" t="s">
        <v>123</v>
      </c>
      <c r="D321" s="26" t="s">
        <v>777</v>
      </c>
      <c r="E321" s="26" t="s">
        <v>778</v>
      </c>
      <c r="F321" s="24" t="str">
        <f aca="false">IF($D321="","",IF(MID($D321,5,1)="S","S(봄)",IF(MID($D321,5,1)="M","M(여름)",IF(MID($D321,5,1)="X","X(사계절)",MID($D321,5,1)))))</f>
        <v>M(여름)</v>
      </c>
      <c r="G321" s="25" t="s">
        <v>62</v>
      </c>
      <c r="H321" s="24" t="s">
        <v>340</v>
      </c>
      <c r="I321" s="27" t="s">
        <v>774</v>
      </c>
      <c r="J321" s="28" t="n">
        <f aca="false">IF($I321="","",IFERROR(DATE(IF(VALUE(LEFT($I321,FIND("월",$I321)-1))&gt;=9,기준정보!$C$7-1,기준정보!$C$7),VALUE(LEFT($I321,FIND("월",$I321)-1)),1+7*(VALUE(SUBSTITUTE(MID($I321,FIND("월",$I321)+1,5),"주",""))-1)),""))</f>
        <v>46485</v>
      </c>
      <c r="K321" s="28" t="n">
        <f aca="false">IF($J321="","",$J321-기준정보!$C$5)</f>
        <v>46471</v>
      </c>
      <c r="L321" s="28" t="n">
        <f aca="false">IF($K321="","",$K321-기준정보!$C$6)</f>
        <v>46381</v>
      </c>
      <c r="M321" s="29" t="n">
        <f aca="false">IF($L321="","",$L321-기준정보!$C$4)</f>
        <v>139</v>
      </c>
      <c r="N321" s="27" t="s">
        <v>119</v>
      </c>
      <c r="O321" s="30"/>
      <c r="P321" s="26" t="str">
        <f aca="false">IF($G321="","",IF(AND(ISNUMBER(SEARCH("CMT",$G321)),OR(ISNUMBER(SEARCH("완사입",$G321)),ISNUMBER(SEARCH("ODM",$G321)))),"본사/생산처 혼재",IF(ISNUMBER(SEARCH("CMT",$G321)),"본사(소재팀)","생산처")))</f>
        <v>생산처</v>
      </c>
      <c r="Q321" s="25" t="s">
        <v>70</v>
      </c>
      <c r="R321" s="25" t="s">
        <v>67</v>
      </c>
      <c r="S321" s="31" t="n">
        <v>0</v>
      </c>
      <c r="T321" s="26"/>
      <c r="U321" s="26" t="str">
        <f aca="false">IF($J321="","출고일 미정",IF($N321="X","작지 미발행",IF($N321="부분","작지 일부 미발행",IF(AND($O321&lt;&gt;"",$O321&gt;$L321),"소재입고 마감("&amp;TEXT($L321,"MM/DD")&amp;") 초과",IF($N321="","발행여부 확인 필요",IF($O321="","소재 입고일정 확인 필요","정상"))))))</f>
        <v>작지 미발행</v>
      </c>
      <c r="V321" s="24" t="str">
        <f aca="false">IF($J321="","",IF(OR(LEFT($U321,2)="작지",LEFT($U321,4)="소재입고"),IF(LEFT($F321,1)="S","★ 납기위험(S코드)","◆ 지연주의"),IF($U321="정상","✓ 정상","? 확인필요")))</f>
        <v>◆ 지연주의</v>
      </c>
      <c r="W321" s="27"/>
      <c r="X321" s="32"/>
    </row>
    <row r="322" customFormat="false" ht="15" hidden="false" customHeight="false" outlineLevel="0" collapsed="false">
      <c r="A322" s="24" t="n">
        <v>318</v>
      </c>
      <c r="B322" s="25" t="s">
        <v>113</v>
      </c>
      <c r="C322" s="25" t="s">
        <v>779</v>
      </c>
      <c r="D322" s="26" t="s">
        <v>780</v>
      </c>
      <c r="E322" s="26" t="s">
        <v>781</v>
      </c>
      <c r="F322" s="24" t="str">
        <f aca="false">IF($D322="","",IF(MID($D322,5,1)="S","S(봄)",IF(MID($D322,5,1)="M","M(여름)",IF(MID($D322,5,1)="X","X(사계절)",MID($D322,5,1)))))</f>
        <v>M(여름)</v>
      </c>
      <c r="G322" s="25" t="s">
        <v>62</v>
      </c>
      <c r="H322" s="24" t="s">
        <v>340</v>
      </c>
      <c r="I322" s="27" t="s">
        <v>774</v>
      </c>
      <c r="J322" s="28" t="n">
        <f aca="false">IF($I322="","",IFERROR(DATE(IF(VALUE(LEFT($I322,FIND("월",$I322)-1))&gt;=9,기준정보!$C$7-1,기준정보!$C$7),VALUE(LEFT($I322,FIND("월",$I322)-1)),1+7*(VALUE(SUBSTITUTE(MID($I322,FIND("월",$I322)+1,5),"주",""))-1)),""))</f>
        <v>46485</v>
      </c>
      <c r="K322" s="28" t="n">
        <f aca="false">IF($J322="","",$J322-기준정보!$C$5)</f>
        <v>46471</v>
      </c>
      <c r="L322" s="28" t="n">
        <f aca="false">IF($K322="","",$K322-기준정보!$C$6)</f>
        <v>46381</v>
      </c>
      <c r="M322" s="29" t="n">
        <f aca="false">IF($L322="","",$L322-기준정보!$C$4)</f>
        <v>139</v>
      </c>
      <c r="N322" s="27" t="s">
        <v>119</v>
      </c>
      <c r="O322" s="30"/>
      <c r="P322" s="26" t="str">
        <f aca="false">IF($G322="","",IF(AND(ISNUMBER(SEARCH("CMT",$G322)),OR(ISNUMBER(SEARCH("완사입",$G322)),ISNUMBER(SEARCH("ODM",$G322)))),"본사/생산처 혼재",IF(ISNUMBER(SEARCH("CMT",$G322)),"본사(소재팀)","생산처")))</f>
        <v>생산처</v>
      </c>
      <c r="Q322" s="26" t="s">
        <v>187</v>
      </c>
      <c r="R322" s="25" t="s">
        <v>67</v>
      </c>
      <c r="S322" s="31" t="n">
        <v>0</v>
      </c>
      <c r="T322" s="26"/>
      <c r="U322" s="26" t="str">
        <f aca="false">IF($J322="","출고일 미정",IF($N322="X","작지 미발행",IF($N322="부분","작지 일부 미발행",IF(AND($O322&lt;&gt;"",$O322&gt;$L322),"소재입고 마감("&amp;TEXT($L322,"MM/DD")&amp;") 초과",IF($N322="","발행여부 확인 필요",IF($O322="","소재 입고일정 확인 필요","정상"))))))</f>
        <v>작지 미발행</v>
      </c>
      <c r="V322" s="24" t="str">
        <f aca="false">IF($J322="","",IF(OR(LEFT($U322,2)="작지",LEFT($U322,4)="소재입고"),IF(LEFT($F322,1)="S","★ 납기위험(S코드)","◆ 지연주의"),IF($U322="정상","✓ 정상","? 확인필요")))</f>
        <v>◆ 지연주의</v>
      </c>
      <c r="W322" s="27"/>
      <c r="X322" s="32"/>
    </row>
    <row r="323" customFormat="false" ht="15" hidden="false" customHeight="false" outlineLevel="0" collapsed="false">
      <c r="A323" s="24" t="n">
        <v>319</v>
      </c>
      <c r="B323" s="25" t="s">
        <v>113</v>
      </c>
      <c r="C323" s="25" t="s">
        <v>123</v>
      </c>
      <c r="D323" s="26" t="s">
        <v>782</v>
      </c>
      <c r="E323" s="26" t="s">
        <v>783</v>
      </c>
      <c r="F323" s="24" t="str">
        <f aca="false">IF($D323="","",IF(MID($D323,5,1)="S","S(봄)",IF(MID($D323,5,1)="M","M(여름)",IF(MID($D323,5,1)="X","X(사계절)",MID($D323,5,1)))))</f>
        <v>M(여름)</v>
      </c>
      <c r="G323" s="25" t="s">
        <v>62</v>
      </c>
      <c r="H323" s="24" t="s">
        <v>340</v>
      </c>
      <c r="I323" s="27" t="s">
        <v>774</v>
      </c>
      <c r="J323" s="28" t="n">
        <f aca="false">IF($I323="","",IFERROR(DATE(IF(VALUE(LEFT($I323,FIND("월",$I323)-1))&gt;=9,기준정보!$C$7-1,기준정보!$C$7),VALUE(LEFT($I323,FIND("월",$I323)-1)),1+7*(VALUE(SUBSTITUTE(MID($I323,FIND("월",$I323)+1,5),"주",""))-1)),""))</f>
        <v>46485</v>
      </c>
      <c r="K323" s="28" t="n">
        <f aca="false">IF($J323="","",$J323-기준정보!$C$5)</f>
        <v>46471</v>
      </c>
      <c r="L323" s="28" t="n">
        <f aca="false">IF($K323="","",$K323-기준정보!$C$6)</f>
        <v>46381</v>
      </c>
      <c r="M323" s="29" t="n">
        <f aca="false">IF($L323="","",$L323-기준정보!$C$4)</f>
        <v>139</v>
      </c>
      <c r="N323" s="27" t="s">
        <v>119</v>
      </c>
      <c r="O323" s="30"/>
      <c r="P323" s="26" t="str">
        <f aca="false">IF($G323="","",IF(AND(ISNUMBER(SEARCH("CMT",$G323)),OR(ISNUMBER(SEARCH("완사입",$G323)),ISNUMBER(SEARCH("ODM",$G323)))),"본사/생산처 혼재",IF(ISNUMBER(SEARCH("CMT",$G323)),"본사(소재팀)","생산처")))</f>
        <v>생산처</v>
      </c>
      <c r="Q323" s="25" t="s">
        <v>156</v>
      </c>
      <c r="R323" s="25" t="s">
        <v>105</v>
      </c>
      <c r="S323" s="31" t="n">
        <v>0</v>
      </c>
      <c r="T323" s="26"/>
      <c r="U323" s="26" t="str">
        <f aca="false">IF($J323="","출고일 미정",IF($N323="X","작지 미발행",IF($N323="부분","작지 일부 미발행",IF(AND($O323&lt;&gt;"",$O323&gt;$L323),"소재입고 마감("&amp;TEXT($L323,"MM/DD")&amp;") 초과",IF($N323="","발행여부 확인 필요",IF($O323="","소재 입고일정 확인 필요","정상"))))))</f>
        <v>작지 미발행</v>
      </c>
      <c r="V323" s="24" t="str">
        <f aca="false">IF($J323="","",IF(OR(LEFT($U323,2)="작지",LEFT($U323,4)="소재입고"),IF(LEFT($F323,1)="S","★ 납기위험(S코드)","◆ 지연주의"),IF($U323="정상","✓ 정상","? 확인필요")))</f>
        <v>◆ 지연주의</v>
      </c>
      <c r="W323" s="27"/>
      <c r="X323" s="32"/>
    </row>
    <row r="324" customFormat="false" ht="15" hidden="false" customHeight="false" outlineLevel="0" collapsed="false">
      <c r="A324" s="24" t="n">
        <v>320</v>
      </c>
      <c r="B324" s="25" t="s">
        <v>113</v>
      </c>
      <c r="C324" s="25" t="s">
        <v>123</v>
      </c>
      <c r="D324" s="26" t="s">
        <v>784</v>
      </c>
      <c r="E324" s="26" t="s">
        <v>785</v>
      </c>
      <c r="F324" s="24" t="str">
        <f aca="false">IF($D324="","",IF(MID($D324,5,1)="S","S(봄)",IF(MID($D324,5,1)="M","M(여름)",IF(MID($D324,5,1)="X","X(사계절)",MID($D324,5,1)))))</f>
        <v>M(여름)</v>
      </c>
      <c r="G324" s="25" t="s">
        <v>62</v>
      </c>
      <c r="H324" s="24" t="s">
        <v>340</v>
      </c>
      <c r="I324" s="27" t="s">
        <v>774</v>
      </c>
      <c r="J324" s="28" t="n">
        <f aca="false">IF($I324="","",IFERROR(DATE(IF(VALUE(LEFT($I324,FIND("월",$I324)-1))&gt;=9,기준정보!$C$7-1,기준정보!$C$7),VALUE(LEFT($I324,FIND("월",$I324)-1)),1+7*(VALUE(SUBSTITUTE(MID($I324,FIND("월",$I324)+1,5),"주",""))-1)),""))</f>
        <v>46485</v>
      </c>
      <c r="K324" s="28" t="n">
        <f aca="false">IF($J324="","",$J324-기준정보!$C$5)</f>
        <v>46471</v>
      </c>
      <c r="L324" s="28" t="n">
        <f aca="false">IF($K324="","",$K324-기준정보!$C$6)</f>
        <v>46381</v>
      </c>
      <c r="M324" s="29" t="n">
        <f aca="false">IF($L324="","",$L324-기준정보!$C$4)</f>
        <v>139</v>
      </c>
      <c r="N324" s="27" t="s">
        <v>119</v>
      </c>
      <c r="O324" s="30"/>
      <c r="P324" s="26" t="str">
        <f aca="false">IF($G324="","",IF(AND(ISNUMBER(SEARCH("CMT",$G324)),OR(ISNUMBER(SEARCH("완사입",$G324)),ISNUMBER(SEARCH("ODM",$G324)))),"본사/생산처 혼재",IF(ISNUMBER(SEARCH("CMT",$G324)),"본사(소재팀)","생산처")))</f>
        <v>생산처</v>
      </c>
      <c r="Q324" s="26" t="s">
        <v>786</v>
      </c>
      <c r="R324" s="25" t="s">
        <v>67</v>
      </c>
      <c r="S324" s="31" t="n">
        <v>0</v>
      </c>
      <c r="T324" s="26"/>
      <c r="U324" s="26" t="str">
        <f aca="false">IF($J324="","출고일 미정",IF($N324="X","작지 미발행",IF($N324="부분","작지 일부 미발행",IF(AND($O324&lt;&gt;"",$O324&gt;$L324),"소재입고 마감("&amp;TEXT($L324,"MM/DD")&amp;") 초과",IF($N324="","발행여부 확인 필요",IF($O324="","소재 입고일정 확인 필요","정상"))))))</f>
        <v>작지 미발행</v>
      </c>
      <c r="V324" s="24" t="str">
        <f aca="false">IF($J324="","",IF(OR(LEFT($U324,2)="작지",LEFT($U324,4)="소재입고"),IF(LEFT($F324,1)="S","★ 납기위험(S코드)","◆ 지연주의"),IF($U324="정상","✓ 정상","? 확인필요")))</f>
        <v>◆ 지연주의</v>
      </c>
      <c r="W324" s="27"/>
      <c r="X324" s="32"/>
    </row>
    <row r="325" customFormat="false" ht="15" hidden="false" customHeight="false" outlineLevel="0" collapsed="false">
      <c r="A325" s="24" t="n">
        <v>321</v>
      </c>
      <c r="B325" s="25" t="s">
        <v>113</v>
      </c>
      <c r="C325" s="25" t="s">
        <v>123</v>
      </c>
      <c r="D325" s="26" t="s">
        <v>787</v>
      </c>
      <c r="E325" s="26" t="s">
        <v>788</v>
      </c>
      <c r="F325" s="24" t="str">
        <f aca="false">IF($D325="","",IF(MID($D325,5,1)="S","S(봄)",IF(MID($D325,5,1)="M","M(여름)",IF(MID($D325,5,1)="X","X(사계절)",MID($D325,5,1)))))</f>
        <v>M(여름)</v>
      </c>
      <c r="G325" s="25" t="s">
        <v>62</v>
      </c>
      <c r="H325" s="24" t="s">
        <v>340</v>
      </c>
      <c r="I325" s="27" t="s">
        <v>774</v>
      </c>
      <c r="J325" s="28" t="n">
        <f aca="false">IF($I325="","",IFERROR(DATE(IF(VALUE(LEFT($I325,FIND("월",$I325)-1))&gt;=9,기준정보!$C$7-1,기준정보!$C$7),VALUE(LEFT($I325,FIND("월",$I325)-1)),1+7*(VALUE(SUBSTITUTE(MID($I325,FIND("월",$I325)+1,5),"주",""))-1)),""))</f>
        <v>46485</v>
      </c>
      <c r="K325" s="28" t="n">
        <f aca="false">IF($J325="","",$J325-기준정보!$C$5)</f>
        <v>46471</v>
      </c>
      <c r="L325" s="28" t="n">
        <f aca="false">IF($K325="","",$K325-기준정보!$C$6)</f>
        <v>46381</v>
      </c>
      <c r="M325" s="29" t="n">
        <f aca="false">IF($L325="","",$L325-기준정보!$C$4)</f>
        <v>139</v>
      </c>
      <c r="N325" s="27" t="s">
        <v>119</v>
      </c>
      <c r="O325" s="30"/>
      <c r="P325" s="26" t="str">
        <f aca="false">IF($G325="","",IF(AND(ISNUMBER(SEARCH("CMT",$G325)),OR(ISNUMBER(SEARCH("완사입",$G325)),ISNUMBER(SEARCH("ODM",$G325)))),"본사/생산처 혼재",IF(ISNUMBER(SEARCH("CMT",$G325)),"본사(소재팀)","생산처")))</f>
        <v>생산처</v>
      </c>
      <c r="Q325" s="25" t="s">
        <v>130</v>
      </c>
      <c r="R325" s="25" t="s">
        <v>67</v>
      </c>
      <c r="S325" s="31" t="n">
        <v>0</v>
      </c>
      <c r="T325" s="26"/>
      <c r="U325" s="26" t="str">
        <f aca="false">IF($J325="","출고일 미정",IF($N325="X","작지 미발행",IF($N325="부분","작지 일부 미발행",IF(AND($O325&lt;&gt;"",$O325&gt;$L325),"소재입고 마감("&amp;TEXT($L325,"MM/DD")&amp;") 초과",IF($N325="","발행여부 확인 필요",IF($O325="","소재 입고일정 확인 필요","정상"))))))</f>
        <v>작지 미발행</v>
      </c>
      <c r="V325" s="24" t="str">
        <f aca="false">IF($J325="","",IF(OR(LEFT($U325,2)="작지",LEFT($U325,4)="소재입고"),IF(LEFT($F325,1)="S","★ 납기위험(S코드)","◆ 지연주의"),IF($U325="정상","✓ 정상","? 확인필요")))</f>
        <v>◆ 지연주의</v>
      </c>
      <c r="W325" s="27"/>
      <c r="X325" s="32"/>
    </row>
    <row r="326" customFormat="false" ht="15" hidden="false" customHeight="false" outlineLevel="0" collapsed="false">
      <c r="A326" s="24" t="n">
        <v>322</v>
      </c>
      <c r="B326" s="25" t="s">
        <v>113</v>
      </c>
      <c r="C326" s="25" t="s">
        <v>123</v>
      </c>
      <c r="D326" s="26" t="s">
        <v>789</v>
      </c>
      <c r="E326" s="26" t="s">
        <v>790</v>
      </c>
      <c r="F326" s="24" t="str">
        <f aca="false">IF($D326="","",IF(MID($D326,5,1)="S","S(봄)",IF(MID($D326,5,1)="M","M(여름)",IF(MID($D326,5,1)="X","X(사계절)",MID($D326,5,1)))))</f>
        <v>M(여름)</v>
      </c>
      <c r="G326" s="25" t="s">
        <v>62</v>
      </c>
      <c r="H326" s="24" t="s">
        <v>340</v>
      </c>
      <c r="I326" s="27" t="s">
        <v>774</v>
      </c>
      <c r="J326" s="28" t="n">
        <f aca="false">IF($I326="","",IFERROR(DATE(IF(VALUE(LEFT($I326,FIND("월",$I326)-1))&gt;=9,기준정보!$C$7-1,기준정보!$C$7),VALUE(LEFT($I326,FIND("월",$I326)-1)),1+7*(VALUE(SUBSTITUTE(MID($I326,FIND("월",$I326)+1,5),"주",""))-1)),""))</f>
        <v>46485</v>
      </c>
      <c r="K326" s="28" t="n">
        <f aca="false">IF($J326="","",$J326-기준정보!$C$5)</f>
        <v>46471</v>
      </c>
      <c r="L326" s="28" t="n">
        <f aca="false">IF($K326="","",$K326-기준정보!$C$6)</f>
        <v>46381</v>
      </c>
      <c r="M326" s="29" t="n">
        <f aca="false">IF($L326="","",$L326-기준정보!$C$4)</f>
        <v>139</v>
      </c>
      <c r="N326" s="27" t="s">
        <v>119</v>
      </c>
      <c r="O326" s="30"/>
      <c r="P326" s="26" t="str">
        <f aca="false">IF($G326="","",IF(AND(ISNUMBER(SEARCH("CMT",$G326)),OR(ISNUMBER(SEARCH("완사입",$G326)),ISNUMBER(SEARCH("ODM",$G326)))),"본사/생산처 혼재",IF(ISNUMBER(SEARCH("CMT",$G326)),"본사(소재팀)","생산처")))</f>
        <v>생산처</v>
      </c>
      <c r="Q326" s="25" t="s">
        <v>130</v>
      </c>
      <c r="R326" s="25" t="s">
        <v>67</v>
      </c>
      <c r="S326" s="31" t="n">
        <v>0</v>
      </c>
      <c r="T326" s="26"/>
      <c r="U326" s="26" t="str">
        <f aca="false">IF($J326="","출고일 미정",IF($N326="X","작지 미발행",IF($N326="부분","작지 일부 미발행",IF(AND($O326&lt;&gt;"",$O326&gt;$L326),"소재입고 마감("&amp;TEXT($L326,"MM/DD")&amp;") 초과",IF($N326="","발행여부 확인 필요",IF($O326="","소재 입고일정 확인 필요","정상"))))))</f>
        <v>작지 미발행</v>
      </c>
      <c r="V326" s="24" t="str">
        <f aca="false">IF($J326="","",IF(OR(LEFT($U326,2)="작지",LEFT($U326,4)="소재입고"),IF(LEFT($F326,1)="S","★ 납기위험(S코드)","◆ 지연주의"),IF($U326="정상","✓ 정상","? 확인필요")))</f>
        <v>◆ 지연주의</v>
      </c>
      <c r="W326" s="27"/>
      <c r="X326" s="32"/>
    </row>
    <row r="327" customFormat="false" ht="15" hidden="false" customHeight="false" outlineLevel="0" collapsed="false">
      <c r="A327" s="24" t="n">
        <v>323</v>
      </c>
      <c r="B327" s="25" t="s">
        <v>113</v>
      </c>
      <c r="C327" s="25" t="s">
        <v>123</v>
      </c>
      <c r="D327" s="26" t="s">
        <v>791</v>
      </c>
      <c r="E327" s="26" t="s">
        <v>792</v>
      </c>
      <c r="F327" s="24" t="str">
        <f aca="false">IF($D327="","",IF(MID($D327,5,1)="S","S(봄)",IF(MID($D327,5,1)="M","M(여름)",IF(MID($D327,5,1)="X","X(사계절)",MID($D327,5,1)))))</f>
        <v>M(여름)</v>
      </c>
      <c r="G327" s="25" t="s">
        <v>62</v>
      </c>
      <c r="H327" s="24" t="s">
        <v>340</v>
      </c>
      <c r="I327" s="27" t="s">
        <v>774</v>
      </c>
      <c r="J327" s="28" t="n">
        <f aca="false">IF($I327="","",IFERROR(DATE(IF(VALUE(LEFT($I327,FIND("월",$I327)-1))&gt;=9,기준정보!$C$7-1,기준정보!$C$7),VALUE(LEFT($I327,FIND("월",$I327)-1)),1+7*(VALUE(SUBSTITUTE(MID($I327,FIND("월",$I327)+1,5),"주",""))-1)),""))</f>
        <v>46485</v>
      </c>
      <c r="K327" s="28" t="n">
        <f aca="false">IF($J327="","",$J327-기준정보!$C$5)</f>
        <v>46471</v>
      </c>
      <c r="L327" s="28" t="n">
        <f aca="false">IF($K327="","",$K327-기준정보!$C$6)</f>
        <v>46381</v>
      </c>
      <c r="M327" s="29" t="n">
        <f aca="false">IF($L327="","",$L327-기준정보!$C$4)</f>
        <v>139</v>
      </c>
      <c r="N327" s="27" t="s">
        <v>119</v>
      </c>
      <c r="O327" s="30"/>
      <c r="P327" s="26" t="str">
        <f aca="false">IF($G327="","",IF(AND(ISNUMBER(SEARCH("CMT",$G327)),OR(ISNUMBER(SEARCH("완사입",$G327)),ISNUMBER(SEARCH("ODM",$G327)))),"본사/생산처 혼재",IF(ISNUMBER(SEARCH("CMT",$G327)),"본사(소재팀)","생산처")))</f>
        <v>생산처</v>
      </c>
      <c r="Q327" s="25" t="s">
        <v>545</v>
      </c>
      <c r="R327" s="25" t="s">
        <v>134</v>
      </c>
      <c r="S327" s="31" t="n">
        <v>0</v>
      </c>
      <c r="T327" s="26"/>
      <c r="U327" s="26" t="str">
        <f aca="false">IF($J327="","출고일 미정",IF($N327="X","작지 미발행",IF($N327="부분","작지 일부 미발행",IF(AND($O327&lt;&gt;"",$O327&gt;$L327),"소재입고 마감("&amp;TEXT($L327,"MM/DD")&amp;") 초과",IF($N327="","발행여부 확인 필요",IF($O327="","소재 입고일정 확인 필요","정상"))))))</f>
        <v>작지 미발행</v>
      </c>
      <c r="V327" s="24" t="str">
        <f aca="false">IF($J327="","",IF(OR(LEFT($U327,2)="작지",LEFT($U327,4)="소재입고"),IF(LEFT($F327,1)="S","★ 납기위험(S코드)","◆ 지연주의"),IF($U327="정상","✓ 정상","? 확인필요")))</f>
        <v>◆ 지연주의</v>
      </c>
      <c r="W327" s="27"/>
      <c r="X327" s="32"/>
    </row>
    <row r="328" customFormat="false" ht="15" hidden="false" customHeight="false" outlineLevel="0" collapsed="false">
      <c r="A328" s="24" t="n">
        <v>324</v>
      </c>
      <c r="B328" s="25" t="s">
        <v>113</v>
      </c>
      <c r="C328" s="25" t="s">
        <v>123</v>
      </c>
      <c r="D328" s="26" t="s">
        <v>793</v>
      </c>
      <c r="E328" s="26" t="s">
        <v>794</v>
      </c>
      <c r="F328" s="24" t="str">
        <f aca="false">IF($D328="","",IF(MID($D328,5,1)="S","S(봄)",IF(MID($D328,5,1)="M","M(여름)",IF(MID($D328,5,1)="X","X(사계절)",MID($D328,5,1)))))</f>
        <v>M(여름)</v>
      </c>
      <c r="G328" s="25" t="s">
        <v>62</v>
      </c>
      <c r="H328" s="24" t="s">
        <v>340</v>
      </c>
      <c r="I328" s="27" t="s">
        <v>774</v>
      </c>
      <c r="J328" s="28" t="n">
        <f aca="false">IF($I328="","",IFERROR(DATE(IF(VALUE(LEFT($I328,FIND("월",$I328)-1))&gt;=9,기준정보!$C$7-1,기준정보!$C$7),VALUE(LEFT($I328,FIND("월",$I328)-1)),1+7*(VALUE(SUBSTITUTE(MID($I328,FIND("월",$I328)+1,5),"주",""))-1)),""))</f>
        <v>46485</v>
      </c>
      <c r="K328" s="28" t="n">
        <f aca="false">IF($J328="","",$J328-기준정보!$C$5)</f>
        <v>46471</v>
      </c>
      <c r="L328" s="28" t="n">
        <f aca="false">IF($K328="","",$K328-기준정보!$C$6)</f>
        <v>46381</v>
      </c>
      <c r="M328" s="29" t="n">
        <f aca="false">IF($L328="","",$L328-기준정보!$C$4)</f>
        <v>139</v>
      </c>
      <c r="N328" s="27" t="s">
        <v>119</v>
      </c>
      <c r="O328" s="30"/>
      <c r="P328" s="26" t="str">
        <f aca="false">IF($G328="","",IF(AND(ISNUMBER(SEARCH("CMT",$G328)),OR(ISNUMBER(SEARCH("완사입",$G328)),ISNUMBER(SEARCH("ODM",$G328)))),"본사/생산처 혼재",IF(ISNUMBER(SEARCH("CMT",$G328)),"본사(소재팀)","생산처")))</f>
        <v>생산처</v>
      </c>
      <c r="Q328" s="25" t="s">
        <v>137</v>
      </c>
      <c r="R328" s="25" t="s">
        <v>67</v>
      </c>
      <c r="S328" s="31" t="n">
        <v>0</v>
      </c>
      <c r="T328" s="26"/>
      <c r="U328" s="26" t="str">
        <f aca="false">IF($J328="","출고일 미정",IF($N328="X","작지 미발행",IF($N328="부분","작지 일부 미발행",IF(AND($O328&lt;&gt;"",$O328&gt;$L328),"소재입고 마감("&amp;TEXT($L328,"MM/DD")&amp;") 초과",IF($N328="","발행여부 확인 필요",IF($O328="","소재 입고일정 확인 필요","정상"))))))</f>
        <v>작지 미발행</v>
      </c>
      <c r="V328" s="24" t="str">
        <f aca="false">IF($J328="","",IF(OR(LEFT($U328,2)="작지",LEFT($U328,4)="소재입고"),IF(LEFT($F328,1)="S","★ 납기위험(S코드)","◆ 지연주의"),IF($U328="정상","✓ 정상","? 확인필요")))</f>
        <v>◆ 지연주의</v>
      </c>
      <c r="W328" s="27"/>
      <c r="X328" s="32"/>
    </row>
    <row r="329" customFormat="false" ht="15" hidden="false" customHeight="false" outlineLevel="0" collapsed="false">
      <c r="A329" s="24" t="n">
        <v>325</v>
      </c>
      <c r="B329" s="25" t="s">
        <v>113</v>
      </c>
      <c r="C329" s="25" t="s">
        <v>123</v>
      </c>
      <c r="D329" s="26" t="s">
        <v>795</v>
      </c>
      <c r="E329" s="26" t="s">
        <v>796</v>
      </c>
      <c r="F329" s="24" t="str">
        <f aca="false">IF($D329="","",IF(MID($D329,5,1)="S","S(봄)",IF(MID($D329,5,1)="M","M(여름)",IF(MID($D329,5,1)="X","X(사계절)",MID($D329,5,1)))))</f>
        <v>M(여름)</v>
      </c>
      <c r="G329" s="25" t="s">
        <v>62</v>
      </c>
      <c r="H329" s="24" t="s">
        <v>340</v>
      </c>
      <c r="I329" s="27" t="s">
        <v>774</v>
      </c>
      <c r="J329" s="28" t="n">
        <f aca="false">IF($I329="","",IFERROR(DATE(IF(VALUE(LEFT($I329,FIND("월",$I329)-1))&gt;=9,기준정보!$C$7-1,기준정보!$C$7),VALUE(LEFT($I329,FIND("월",$I329)-1)),1+7*(VALUE(SUBSTITUTE(MID($I329,FIND("월",$I329)+1,5),"주",""))-1)),""))</f>
        <v>46485</v>
      </c>
      <c r="K329" s="28" t="n">
        <f aca="false">IF($J329="","",$J329-기준정보!$C$5)</f>
        <v>46471</v>
      </c>
      <c r="L329" s="28" t="n">
        <f aca="false">IF($K329="","",$K329-기준정보!$C$6)</f>
        <v>46381</v>
      </c>
      <c r="M329" s="29" t="n">
        <f aca="false">IF($L329="","",$L329-기준정보!$C$4)</f>
        <v>139</v>
      </c>
      <c r="N329" s="27" t="s">
        <v>119</v>
      </c>
      <c r="O329" s="30"/>
      <c r="P329" s="26" t="str">
        <f aca="false">IF($G329="","",IF(AND(ISNUMBER(SEARCH("CMT",$G329)),OR(ISNUMBER(SEARCH("완사입",$G329)),ISNUMBER(SEARCH("ODM",$G329)))),"본사/생산처 혼재",IF(ISNUMBER(SEARCH("CMT",$G329)),"본사(소재팀)","생산처")))</f>
        <v>생산처</v>
      </c>
      <c r="Q329" s="25" t="s">
        <v>210</v>
      </c>
      <c r="R329" s="25" t="s">
        <v>67</v>
      </c>
      <c r="S329" s="31" t="n">
        <v>0</v>
      </c>
      <c r="T329" s="26"/>
      <c r="U329" s="26" t="str">
        <f aca="false">IF($J329="","출고일 미정",IF($N329="X","작지 미발행",IF($N329="부분","작지 일부 미발행",IF(AND($O329&lt;&gt;"",$O329&gt;$L329),"소재입고 마감("&amp;TEXT($L329,"MM/DD")&amp;") 초과",IF($N329="","발행여부 확인 필요",IF($O329="","소재 입고일정 확인 필요","정상"))))))</f>
        <v>작지 미발행</v>
      </c>
      <c r="V329" s="24" t="str">
        <f aca="false">IF($J329="","",IF(OR(LEFT($U329,2)="작지",LEFT($U329,4)="소재입고"),IF(LEFT($F329,1)="S","★ 납기위험(S코드)","◆ 지연주의"),IF($U329="정상","✓ 정상","? 확인필요")))</f>
        <v>◆ 지연주의</v>
      </c>
      <c r="W329" s="27"/>
      <c r="X329" s="32"/>
    </row>
    <row r="330" customFormat="false" ht="15" hidden="false" customHeight="false" outlineLevel="0" collapsed="false">
      <c r="A330" s="24" t="n">
        <v>326</v>
      </c>
      <c r="B330" s="25" t="s">
        <v>113</v>
      </c>
      <c r="C330" s="25" t="s">
        <v>114</v>
      </c>
      <c r="D330" s="26" t="s">
        <v>797</v>
      </c>
      <c r="E330" s="26" t="s">
        <v>798</v>
      </c>
      <c r="F330" s="24" t="str">
        <f aca="false">IF($D330="","",IF(MID($D330,5,1)="S","S(봄)",IF(MID($D330,5,1)="M","M(여름)",IF(MID($D330,5,1)="X","X(사계절)",MID($D330,5,1)))))</f>
        <v>M(여름)</v>
      </c>
      <c r="G330" s="25" t="s">
        <v>62</v>
      </c>
      <c r="H330" s="24" t="s">
        <v>340</v>
      </c>
      <c r="I330" s="27" t="s">
        <v>774</v>
      </c>
      <c r="J330" s="28" t="n">
        <f aca="false">IF($I330="","",IFERROR(DATE(IF(VALUE(LEFT($I330,FIND("월",$I330)-1))&gt;=9,기준정보!$C$7-1,기준정보!$C$7),VALUE(LEFT($I330,FIND("월",$I330)-1)),1+7*(VALUE(SUBSTITUTE(MID($I330,FIND("월",$I330)+1,5),"주",""))-1)),""))</f>
        <v>46485</v>
      </c>
      <c r="K330" s="28" t="n">
        <f aca="false">IF($J330="","",$J330-기준정보!$C$5)</f>
        <v>46471</v>
      </c>
      <c r="L330" s="28" t="n">
        <f aca="false">IF($K330="","",$K330-기준정보!$C$6)</f>
        <v>46381</v>
      </c>
      <c r="M330" s="29" t="n">
        <f aca="false">IF($L330="","",$L330-기준정보!$C$4)</f>
        <v>139</v>
      </c>
      <c r="N330" s="27" t="s">
        <v>119</v>
      </c>
      <c r="O330" s="30"/>
      <c r="P330" s="26" t="str">
        <f aca="false">IF($G330="","",IF(AND(ISNUMBER(SEARCH("CMT",$G330)),OR(ISNUMBER(SEARCH("완사입",$G330)),ISNUMBER(SEARCH("ODM",$G330)))),"본사/생산처 혼재",IF(ISNUMBER(SEARCH("CMT",$G330)),"본사(소재팀)","생산처")))</f>
        <v>생산처</v>
      </c>
      <c r="Q330" s="26" t="s">
        <v>120</v>
      </c>
      <c r="R330" s="25" t="s">
        <v>67</v>
      </c>
      <c r="S330" s="31" t="n">
        <v>0</v>
      </c>
      <c r="T330" s="26"/>
      <c r="U330" s="26" t="str">
        <f aca="false">IF($J330="","출고일 미정",IF($N330="X","작지 미발행",IF($N330="부분","작지 일부 미발행",IF(AND($O330&lt;&gt;"",$O330&gt;$L330),"소재입고 마감("&amp;TEXT($L330,"MM/DD")&amp;") 초과",IF($N330="","발행여부 확인 필요",IF($O330="","소재 입고일정 확인 필요","정상"))))))</f>
        <v>작지 미발행</v>
      </c>
      <c r="V330" s="24" t="str">
        <f aca="false">IF($J330="","",IF(OR(LEFT($U330,2)="작지",LEFT($U330,4)="소재입고"),IF(LEFT($F330,1)="S","★ 납기위험(S코드)","◆ 지연주의"),IF($U330="정상","✓ 정상","? 확인필요")))</f>
        <v>◆ 지연주의</v>
      </c>
      <c r="W330" s="27"/>
      <c r="X330" s="32"/>
    </row>
    <row r="331" customFormat="false" ht="15" hidden="false" customHeight="false" outlineLevel="0" collapsed="false">
      <c r="A331" s="24" t="n">
        <v>327</v>
      </c>
      <c r="B331" s="25" t="s">
        <v>113</v>
      </c>
      <c r="C331" s="25" t="s">
        <v>114</v>
      </c>
      <c r="D331" s="26" t="s">
        <v>799</v>
      </c>
      <c r="E331" s="26" t="s">
        <v>800</v>
      </c>
      <c r="F331" s="24" t="str">
        <f aca="false">IF($D331="","",IF(MID($D331,5,1)="S","S(봄)",IF(MID($D331,5,1)="M","M(여름)",IF(MID($D331,5,1)="X","X(사계절)",MID($D331,5,1)))))</f>
        <v>M(여름)</v>
      </c>
      <c r="G331" s="25" t="s">
        <v>62</v>
      </c>
      <c r="H331" s="24" t="s">
        <v>340</v>
      </c>
      <c r="I331" s="27" t="s">
        <v>774</v>
      </c>
      <c r="J331" s="28" t="n">
        <f aca="false">IF($I331="","",IFERROR(DATE(IF(VALUE(LEFT($I331,FIND("월",$I331)-1))&gt;=9,기준정보!$C$7-1,기준정보!$C$7),VALUE(LEFT($I331,FIND("월",$I331)-1)),1+7*(VALUE(SUBSTITUTE(MID($I331,FIND("월",$I331)+1,5),"주",""))-1)),""))</f>
        <v>46485</v>
      </c>
      <c r="K331" s="28" t="n">
        <f aca="false">IF($J331="","",$J331-기준정보!$C$5)</f>
        <v>46471</v>
      </c>
      <c r="L331" s="28" t="n">
        <f aca="false">IF($K331="","",$K331-기준정보!$C$6)</f>
        <v>46381</v>
      </c>
      <c r="M331" s="29" t="n">
        <f aca="false">IF($L331="","",$L331-기준정보!$C$4)</f>
        <v>139</v>
      </c>
      <c r="N331" s="27" t="s">
        <v>119</v>
      </c>
      <c r="O331" s="30"/>
      <c r="P331" s="26" t="str">
        <f aca="false">IF($G331="","",IF(AND(ISNUMBER(SEARCH("CMT",$G331)),OR(ISNUMBER(SEARCH("완사입",$G331)),ISNUMBER(SEARCH("ODM",$G331)))),"본사/생산처 혼재",IF(ISNUMBER(SEARCH("CMT",$G331)),"본사(소재팀)","생산처")))</f>
        <v>생산처</v>
      </c>
      <c r="Q331" s="26" t="s">
        <v>120</v>
      </c>
      <c r="R331" s="25" t="s">
        <v>67</v>
      </c>
      <c r="S331" s="31" t="n">
        <v>0</v>
      </c>
      <c r="T331" s="26"/>
      <c r="U331" s="26" t="str">
        <f aca="false">IF($J331="","출고일 미정",IF($N331="X","작지 미발행",IF($N331="부분","작지 일부 미발행",IF(AND($O331&lt;&gt;"",$O331&gt;$L331),"소재입고 마감("&amp;TEXT($L331,"MM/DD")&amp;") 초과",IF($N331="","발행여부 확인 필요",IF($O331="","소재 입고일정 확인 필요","정상"))))))</f>
        <v>작지 미발행</v>
      </c>
      <c r="V331" s="24" t="str">
        <f aca="false">IF($J331="","",IF(OR(LEFT($U331,2)="작지",LEFT($U331,4)="소재입고"),IF(LEFT($F331,1)="S","★ 납기위험(S코드)","◆ 지연주의"),IF($U331="정상","✓ 정상","? 확인필요")))</f>
        <v>◆ 지연주의</v>
      </c>
      <c r="W331" s="27"/>
      <c r="X331" s="32"/>
    </row>
    <row r="332" customFormat="false" ht="15" hidden="false" customHeight="false" outlineLevel="0" collapsed="false">
      <c r="A332" s="24" t="n">
        <v>328</v>
      </c>
      <c r="B332" s="25" t="s">
        <v>113</v>
      </c>
      <c r="C332" s="25" t="s">
        <v>123</v>
      </c>
      <c r="D332" s="26" t="s">
        <v>801</v>
      </c>
      <c r="E332" s="26" t="s">
        <v>802</v>
      </c>
      <c r="F332" s="24" t="str">
        <f aca="false">IF($D332="","",IF(MID($D332,5,1)="S","S(봄)",IF(MID($D332,5,1)="M","M(여름)",IF(MID($D332,5,1)="X","X(사계절)",MID($D332,5,1)))))</f>
        <v>M(여름)</v>
      </c>
      <c r="G332" s="25" t="s">
        <v>62</v>
      </c>
      <c r="H332" s="24" t="s">
        <v>340</v>
      </c>
      <c r="I332" s="27" t="s">
        <v>774</v>
      </c>
      <c r="J332" s="28" t="n">
        <f aca="false">IF($I332="","",IFERROR(DATE(IF(VALUE(LEFT($I332,FIND("월",$I332)-1))&gt;=9,기준정보!$C$7-1,기준정보!$C$7),VALUE(LEFT($I332,FIND("월",$I332)-1)),1+7*(VALUE(SUBSTITUTE(MID($I332,FIND("월",$I332)+1,5),"주",""))-1)),""))</f>
        <v>46485</v>
      </c>
      <c r="K332" s="28" t="n">
        <f aca="false">IF($J332="","",$J332-기준정보!$C$5)</f>
        <v>46471</v>
      </c>
      <c r="L332" s="28" t="n">
        <f aca="false">IF($K332="","",$K332-기준정보!$C$6)</f>
        <v>46381</v>
      </c>
      <c r="M332" s="29" t="n">
        <f aca="false">IF($L332="","",$L332-기준정보!$C$4)</f>
        <v>139</v>
      </c>
      <c r="N332" s="27" t="s">
        <v>119</v>
      </c>
      <c r="O332" s="30"/>
      <c r="P332" s="26" t="str">
        <f aca="false">IF($G332="","",IF(AND(ISNUMBER(SEARCH("CMT",$G332)),OR(ISNUMBER(SEARCH("완사입",$G332)),ISNUMBER(SEARCH("ODM",$G332)))),"본사/생산처 혼재",IF(ISNUMBER(SEARCH("CMT",$G332)),"본사(소재팀)","생산처")))</f>
        <v>생산처</v>
      </c>
      <c r="Q332" s="26" t="s">
        <v>187</v>
      </c>
      <c r="R332" s="25" t="s">
        <v>67</v>
      </c>
      <c r="S332" s="31" t="n">
        <v>0</v>
      </c>
      <c r="T332" s="26"/>
      <c r="U332" s="26" t="str">
        <f aca="false">IF($J332="","출고일 미정",IF($N332="X","작지 미발행",IF($N332="부분","작지 일부 미발행",IF(AND($O332&lt;&gt;"",$O332&gt;$L332),"소재입고 마감("&amp;TEXT($L332,"MM/DD")&amp;") 초과",IF($N332="","발행여부 확인 필요",IF($O332="","소재 입고일정 확인 필요","정상"))))))</f>
        <v>작지 미발행</v>
      </c>
      <c r="V332" s="24" t="str">
        <f aca="false">IF($J332="","",IF(OR(LEFT($U332,2)="작지",LEFT($U332,4)="소재입고"),IF(LEFT($F332,1)="S","★ 납기위험(S코드)","◆ 지연주의"),IF($U332="정상","✓ 정상","? 확인필요")))</f>
        <v>◆ 지연주의</v>
      </c>
      <c r="W332" s="27"/>
      <c r="X332" s="32"/>
    </row>
    <row r="333" customFormat="false" ht="15" hidden="false" customHeight="false" outlineLevel="0" collapsed="false">
      <c r="A333" s="24" t="n">
        <v>329</v>
      </c>
      <c r="B333" s="25" t="s">
        <v>113</v>
      </c>
      <c r="C333" s="25" t="s">
        <v>114</v>
      </c>
      <c r="D333" s="26" t="s">
        <v>803</v>
      </c>
      <c r="E333" s="26" t="s">
        <v>804</v>
      </c>
      <c r="F333" s="24" t="str">
        <f aca="false">IF($D333="","",IF(MID($D333,5,1)="S","S(봄)",IF(MID($D333,5,1)="M","M(여름)",IF(MID($D333,5,1)="X","X(사계절)",MID($D333,5,1)))))</f>
        <v>M(여름)</v>
      </c>
      <c r="G333" s="25" t="s">
        <v>62</v>
      </c>
      <c r="H333" s="24" t="s">
        <v>340</v>
      </c>
      <c r="I333" s="27" t="s">
        <v>774</v>
      </c>
      <c r="J333" s="28" t="n">
        <f aca="false">IF($I333="","",IFERROR(DATE(IF(VALUE(LEFT($I333,FIND("월",$I333)-1))&gt;=9,기준정보!$C$7-1,기준정보!$C$7),VALUE(LEFT($I333,FIND("월",$I333)-1)),1+7*(VALUE(SUBSTITUTE(MID($I333,FIND("월",$I333)+1,5),"주",""))-1)),""))</f>
        <v>46485</v>
      </c>
      <c r="K333" s="28" t="n">
        <f aca="false">IF($J333="","",$J333-기준정보!$C$5)</f>
        <v>46471</v>
      </c>
      <c r="L333" s="28" t="n">
        <f aca="false">IF($K333="","",$K333-기준정보!$C$6)</f>
        <v>46381</v>
      </c>
      <c r="M333" s="29" t="n">
        <f aca="false">IF($L333="","",$L333-기준정보!$C$4)</f>
        <v>139</v>
      </c>
      <c r="N333" s="27" t="s">
        <v>119</v>
      </c>
      <c r="O333" s="30"/>
      <c r="P333" s="26" t="str">
        <f aca="false">IF($G333="","",IF(AND(ISNUMBER(SEARCH("CMT",$G333)),OR(ISNUMBER(SEARCH("완사입",$G333)),ISNUMBER(SEARCH("ODM",$G333)))),"본사/생산처 혼재",IF(ISNUMBER(SEARCH("CMT",$G333)),"본사(소재팀)","생산처")))</f>
        <v>생산처</v>
      </c>
      <c r="Q333" s="26" t="s">
        <v>120</v>
      </c>
      <c r="R333" s="25" t="s">
        <v>67</v>
      </c>
      <c r="S333" s="31" t="n">
        <v>0</v>
      </c>
      <c r="T333" s="26"/>
      <c r="U333" s="26" t="str">
        <f aca="false">IF($J333="","출고일 미정",IF($N333="X","작지 미발행",IF($N333="부분","작지 일부 미발행",IF(AND($O333&lt;&gt;"",$O333&gt;$L333),"소재입고 마감("&amp;TEXT($L333,"MM/DD")&amp;") 초과",IF($N333="","발행여부 확인 필요",IF($O333="","소재 입고일정 확인 필요","정상"))))))</f>
        <v>작지 미발행</v>
      </c>
      <c r="V333" s="24" t="str">
        <f aca="false">IF($J333="","",IF(OR(LEFT($U333,2)="작지",LEFT($U333,4)="소재입고"),IF(LEFT($F333,1)="S","★ 납기위험(S코드)","◆ 지연주의"),IF($U333="정상","✓ 정상","? 확인필요")))</f>
        <v>◆ 지연주의</v>
      </c>
      <c r="W333" s="27"/>
      <c r="X333" s="32"/>
    </row>
    <row r="334" customFormat="false" ht="15" hidden="false" customHeight="false" outlineLevel="0" collapsed="false">
      <c r="A334" s="24" t="n">
        <v>330</v>
      </c>
      <c r="B334" s="25" t="s">
        <v>113</v>
      </c>
      <c r="C334" s="25" t="s">
        <v>114</v>
      </c>
      <c r="D334" s="26" t="s">
        <v>805</v>
      </c>
      <c r="E334" s="26" t="s">
        <v>806</v>
      </c>
      <c r="F334" s="24" t="str">
        <f aca="false">IF($D334="","",IF(MID($D334,5,1)="S","S(봄)",IF(MID($D334,5,1)="M","M(여름)",IF(MID($D334,5,1)="X","X(사계절)",MID($D334,5,1)))))</f>
        <v>M(여름)</v>
      </c>
      <c r="G334" s="25" t="s">
        <v>62</v>
      </c>
      <c r="H334" s="24" t="s">
        <v>340</v>
      </c>
      <c r="I334" s="27" t="s">
        <v>774</v>
      </c>
      <c r="J334" s="28" t="n">
        <f aca="false">IF($I334="","",IFERROR(DATE(IF(VALUE(LEFT($I334,FIND("월",$I334)-1))&gt;=9,기준정보!$C$7-1,기준정보!$C$7),VALUE(LEFT($I334,FIND("월",$I334)-1)),1+7*(VALUE(SUBSTITUTE(MID($I334,FIND("월",$I334)+1,5),"주",""))-1)),""))</f>
        <v>46485</v>
      </c>
      <c r="K334" s="28" t="n">
        <f aca="false">IF($J334="","",$J334-기준정보!$C$5)</f>
        <v>46471</v>
      </c>
      <c r="L334" s="28" t="n">
        <f aca="false">IF($K334="","",$K334-기준정보!$C$6)</f>
        <v>46381</v>
      </c>
      <c r="M334" s="29" t="n">
        <f aca="false">IF($L334="","",$L334-기준정보!$C$4)</f>
        <v>139</v>
      </c>
      <c r="N334" s="27" t="s">
        <v>119</v>
      </c>
      <c r="O334" s="30"/>
      <c r="P334" s="26" t="str">
        <f aca="false">IF($G334="","",IF(AND(ISNUMBER(SEARCH("CMT",$G334)),OR(ISNUMBER(SEARCH("완사입",$G334)),ISNUMBER(SEARCH("ODM",$G334)))),"본사/생산처 혼재",IF(ISNUMBER(SEARCH("CMT",$G334)),"본사(소재팀)","생산처")))</f>
        <v>생산처</v>
      </c>
      <c r="Q334" s="25" t="s">
        <v>210</v>
      </c>
      <c r="R334" s="25" t="s">
        <v>67</v>
      </c>
      <c r="S334" s="31" t="n">
        <v>0</v>
      </c>
      <c r="T334" s="26"/>
      <c r="U334" s="26" t="str">
        <f aca="false">IF($J334="","출고일 미정",IF($N334="X","작지 미발행",IF($N334="부분","작지 일부 미발행",IF(AND($O334&lt;&gt;"",$O334&gt;$L334),"소재입고 마감("&amp;TEXT($L334,"MM/DD")&amp;") 초과",IF($N334="","발행여부 확인 필요",IF($O334="","소재 입고일정 확인 필요","정상"))))))</f>
        <v>작지 미발행</v>
      </c>
      <c r="V334" s="24" t="str">
        <f aca="false">IF($J334="","",IF(OR(LEFT($U334,2)="작지",LEFT($U334,4)="소재입고"),IF(LEFT($F334,1)="S","★ 납기위험(S코드)","◆ 지연주의"),IF($U334="정상","✓ 정상","? 확인필요")))</f>
        <v>◆ 지연주의</v>
      </c>
      <c r="W334" s="27"/>
      <c r="X334" s="32"/>
    </row>
    <row r="335" customFormat="false" ht="15" hidden="false" customHeight="false" outlineLevel="0" collapsed="false">
      <c r="A335" s="24" t="n">
        <v>331</v>
      </c>
      <c r="B335" s="25" t="s">
        <v>113</v>
      </c>
      <c r="C335" s="25" t="s">
        <v>123</v>
      </c>
      <c r="D335" s="26" t="s">
        <v>807</v>
      </c>
      <c r="E335" s="26" t="s">
        <v>808</v>
      </c>
      <c r="F335" s="24" t="str">
        <f aca="false">IF($D335="","",IF(MID($D335,5,1)="S","S(봄)",IF(MID($D335,5,1)="M","M(여름)",IF(MID($D335,5,1)="X","X(사계절)",MID($D335,5,1)))))</f>
        <v>M(여름)</v>
      </c>
      <c r="G335" s="25" t="s">
        <v>62</v>
      </c>
      <c r="H335" s="24" t="s">
        <v>340</v>
      </c>
      <c r="I335" s="27" t="s">
        <v>774</v>
      </c>
      <c r="J335" s="28" t="n">
        <f aca="false">IF($I335="","",IFERROR(DATE(IF(VALUE(LEFT($I335,FIND("월",$I335)-1))&gt;=9,기준정보!$C$7-1,기준정보!$C$7),VALUE(LEFT($I335,FIND("월",$I335)-1)),1+7*(VALUE(SUBSTITUTE(MID($I335,FIND("월",$I335)+1,5),"주",""))-1)),""))</f>
        <v>46485</v>
      </c>
      <c r="K335" s="28" t="n">
        <f aca="false">IF($J335="","",$J335-기준정보!$C$5)</f>
        <v>46471</v>
      </c>
      <c r="L335" s="28" t="n">
        <f aca="false">IF($K335="","",$K335-기준정보!$C$6)</f>
        <v>46381</v>
      </c>
      <c r="M335" s="29" t="n">
        <f aca="false">IF($L335="","",$L335-기준정보!$C$4)</f>
        <v>139</v>
      </c>
      <c r="N335" s="27" t="s">
        <v>119</v>
      </c>
      <c r="O335" s="30"/>
      <c r="P335" s="26" t="str">
        <f aca="false">IF($G335="","",IF(AND(ISNUMBER(SEARCH("CMT",$G335)),OR(ISNUMBER(SEARCH("완사입",$G335)),ISNUMBER(SEARCH("ODM",$G335)))),"본사/생산처 혼재",IF(ISNUMBER(SEARCH("CMT",$G335)),"본사(소재팀)","생산처")))</f>
        <v>생산처</v>
      </c>
      <c r="Q335" s="25" t="s">
        <v>156</v>
      </c>
      <c r="R335" s="25" t="s">
        <v>134</v>
      </c>
      <c r="S335" s="31" t="n">
        <v>0</v>
      </c>
      <c r="T335" s="26"/>
      <c r="U335" s="26" t="str">
        <f aca="false">IF($J335="","출고일 미정",IF($N335="X","작지 미발행",IF($N335="부분","작지 일부 미발행",IF(AND($O335&lt;&gt;"",$O335&gt;$L335),"소재입고 마감("&amp;TEXT($L335,"MM/DD")&amp;") 초과",IF($N335="","발행여부 확인 필요",IF($O335="","소재 입고일정 확인 필요","정상"))))))</f>
        <v>작지 미발행</v>
      </c>
      <c r="V335" s="24" t="str">
        <f aca="false">IF($J335="","",IF(OR(LEFT($U335,2)="작지",LEFT($U335,4)="소재입고"),IF(LEFT($F335,1)="S","★ 납기위험(S코드)","◆ 지연주의"),IF($U335="정상","✓ 정상","? 확인필요")))</f>
        <v>◆ 지연주의</v>
      </c>
      <c r="W335" s="27"/>
      <c r="X335" s="32"/>
    </row>
    <row r="336" customFormat="false" ht="15" hidden="false" customHeight="false" outlineLevel="0" collapsed="false">
      <c r="A336" s="24" t="n">
        <v>332</v>
      </c>
      <c r="B336" s="25" t="s">
        <v>113</v>
      </c>
      <c r="C336" s="25" t="s">
        <v>114</v>
      </c>
      <c r="D336" s="26" t="s">
        <v>809</v>
      </c>
      <c r="E336" s="26" t="s">
        <v>810</v>
      </c>
      <c r="F336" s="24" t="str">
        <f aca="false">IF($D336="","",IF(MID($D336,5,1)="S","S(봄)",IF(MID($D336,5,1)="M","M(여름)",IF(MID($D336,5,1)="X","X(사계절)",MID($D336,5,1)))))</f>
        <v>M(여름)</v>
      </c>
      <c r="G336" s="25" t="s">
        <v>62</v>
      </c>
      <c r="H336" s="24" t="s">
        <v>340</v>
      </c>
      <c r="I336" s="27" t="s">
        <v>774</v>
      </c>
      <c r="J336" s="28" t="n">
        <f aca="false">IF($I336="","",IFERROR(DATE(IF(VALUE(LEFT($I336,FIND("월",$I336)-1))&gt;=9,기준정보!$C$7-1,기준정보!$C$7),VALUE(LEFT($I336,FIND("월",$I336)-1)),1+7*(VALUE(SUBSTITUTE(MID($I336,FIND("월",$I336)+1,5),"주",""))-1)),""))</f>
        <v>46485</v>
      </c>
      <c r="K336" s="28" t="n">
        <f aca="false">IF($J336="","",$J336-기준정보!$C$5)</f>
        <v>46471</v>
      </c>
      <c r="L336" s="28" t="n">
        <f aca="false">IF($K336="","",$K336-기준정보!$C$6)</f>
        <v>46381</v>
      </c>
      <c r="M336" s="29" t="n">
        <f aca="false">IF($L336="","",$L336-기준정보!$C$4)</f>
        <v>139</v>
      </c>
      <c r="N336" s="27" t="s">
        <v>119</v>
      </c>
      <c r="O336" s="30"/>
      <c r="P336" s="26" t="str">
        <f aca="false">IF($G336="","",IF(AND(ISNUMBER(SEARCH("CMT",$G336)),OR(ISNUMBER(SEARCH("완사입",$G336)),ISNUMBER(SEARCH("ODM",$G336)))),"본사/생산처 혼재",IF(ISNUMBER(SEARCH("CMT",$G336)),"본사(소재팀)","생산처")))</f>
        <v>생산처</v>
      </c>
      <c r="Q336" s="25" t="s">
        <v>156</v>
      </c>
      <c r="R336" s="25" t="s">
        <v>134</v>
      </c>
      <c r="S336" s="31" t="n">
        <v>0</v>
      </c>
      <c r="T336" s="26"/>
      <c r="U336" s="26" t="str">
        <f aca="false">IF($J336="","출고일 미정",IF($N336="X","작지 미발행",IF($N336="부분","작지 일부 미발행",IF(AND($O336&lt;&gt;"",$O336&gt;$L336),"소재입고 마감("&amp;TEXT($L336,"MM/DD")&amp;") 초과",IF($N336="","발행여부 확인 필요",IF($O336="","소재 입고일정 확인 필요","정상"))))))</f>
        <v>작지 미발행</v>
      </c>
      <c r="V336" s="24" t="str">
        <f aca="false">IF($J336="","",IF(OR(LEFT($U336,2)="작지",LEFT($U336,4)="소재입고"),IF(LEFT($F336,1)="S","★ 납기위험(S코드)","◆ 지연주의"),IF($U336="정상","✓ 정상","? 확인필요")))</f>
        <v>◆ 지연주의</v>
      </c>
      <c r="W336" s="27"/>
      <c r="X336" s="32"/>
    </row>
    <row r="337" customFormat="false" ht="15" hidden="false" customHeight="false" outlineLevel="0" collapsed="false">
      <c r="A337" s="24" t="n">
        <v>333</v>
      </c>
      <c r="B337" s="25" t="s">
        <v>113</v>
      </c>
      <c r="C337" s="25" t="s">
        <v>123</v>
      </c>
      <c r="D337" s="26" t="s">
        <v>811</v>
      </c>
      <c r="E337" s="26" t="s">
        <v>812</v>
      </c>
      <c r="F337" s="24" t="str">
        <f aca="false">IF($D337="","",IF(MID($D337,5,1)="S","S(봄)",IF(MID($D337,5,1)="M","M(여름)",IF(MID($D337,5,1)="X","X(사계절)",MID($D337,5,1)))))</f>
        <v>M(여름)</v>
      </c>
      <c r="G337" s="25" t="s">
        <v>62</v>
      </c>
      <c r="H337" s="24" t="s">
        <v>340</v>
      </c>
      <c r="I337" s="27" t="s">
        <v>774</v>
      </c>
      <c r="J337" s="28" t="n">
        <f aca="false">IF($I337="","",IFERROR(DATE(IF(VALUE(LEFT($I337,FIND("월",$I337)-1))&gt;=9,기준정보!$C$7-1,기준정보!$C$7),VALUE(LEFT($I337,FIND("월",$I337)-1)),1+7*(VALUE(SUBSTITUTE(MID($I337,FIND("월",$I337)+1,5),"주",""))-1)),""))</f>
        <v>46485</v>
      </c>
      <c r="K337" s="28" t="n">
        <f aca="false">IF($J337="","",$J337-기준정보!$C$5)</f>
        <v>46471</v>
      </c>
      <c r="L337" s="28" t="n">
        <f aca="false">IF($K337="","",$K337-기준정보!$C$6)</f>
        <v>46381</v>
      </c>
      <c r="M337" s="29" t="n">
        <f aca="false">IF($L337="","",$L337-기준정보!$C$4)</f>
        <v>139</v>
      </c>
      <c r="N337" s="27" t="s">
        <v>119</v>
      </c>
      <c r="O337" s="30"/>
      <c r="P337" s="26" t="str">
        <f aca="false">IF($G337="","",IF(AND(ISNUMBER(SEARCH("CMT",$G337)),OR(ISNUMBER(SEARCH("완사입",$G337)),ISNUMBER(SEARCH("ODM",$G337)))),"본사/생산처 혼재",IF(ISNUMBER(SEARCH("CMT",$G337)),"본사(소재팀)","생산처")))</f>
        <v>생산처</v>
      </c>
      <c r="Q337" s="25" t="s">
        <v>156</v>
      </c>
      <c r="R337" s="25" t="s">
        <v>105</v>
      </c>
      <c r="S337" s="31" t="n">
        <v>0</v>
      </c>
      <c r="T337" s="26"/>
      <c r="U337" s="26" t="str">
        <f aca="false">IF($J337="","출고일 미정",IF($N337="X","작지 미발행",IF($N337="부분","작지 일부 미발행",IF(AND($O337&lt;&gt;"",$O337&gt;$L337),"소재입고 마감("&amp;TEXT($L337,"MM/DD")&amp;") 초과",IF($N337="","발행여부 확인 필요",IF($O337="","소재 입고일정 확인 필요","정상"))))))</f>
        <v>작지 미발행</v>
      </c>
      <c r="V337" s="24" t="str">
        <f aca="false">IF($J337="","",IF(OR(LEFT($U337,2)="작지",LEFT($U337,4)="소재입고"),IF(LEFT($F337,1)="S","★ 납기위험(S코드)","◆ 지연주의"),IF($U337="정상","✓ 정상","? 확인필요")))</f>
        <v>◆ 지연주의</v>
      </c>
      <c r="W337" s="27"/>
      <c r="X337" s="32"/>
    </row>
    <row r="338" customFormat="false" ht="15" hidden="false" customHeight="false" outlineLevel="0" collapsed="false">
      <c r="A338" s="24" t="n">
        <v>334</v>
      </c>
      <c r="B338" s="25" t="s">
        <v>113</v>
      </c>
      <c r="C338" s="25" t="s">
        <v>114</v>
      </c>
      <c r="D338" s="26" t="s">
        <v>813</v>
      </c>
      <c r="E338" s="26" t="s">
        <v>814</v>
      </c>
      <c r="F338" s="24" t="str">
        <f aca="false">IF($D338="","",IF(MID($D338,5,1)="S","S(봄)",IF(MID($D338,5,1)="M","M(여름)",IF(MID($D338,5,1)="X","X(사계절)",MID($D338,5,1)))))</f>
        <v>M(여름)</v>
      </c>
      <c r="G338" s="25" t="s">
        <v>62</v>
      </c>
      <c r="H338" s="24" t="s">
        <v>340</v>
      </c>
      <c r="I338" s="27" t="s">
        <v>774</v>
      </c>
      <c r="J338" s="28" t="n">
        <f aca="false">IF($I338="","",IFERROR(DATE(IF(VALUE(LEFT($I338,FIND("월",$I338)-1))&gt;=9,기준정보!$C$7-1,기준정보!$C$7),VALUE(LEFT($I338,FIND("월",$I338)-1)),1+7*(VALUE(SUBSTITUTE(MID($I338,FIND("월",$I338)+1,5),"주",""))-1)),""))</f>
        <v>46485</v>
      </c>
      <c r="K338" s="28" t="n">
        <f aca="false">IF($J338="","",$J338-기준정보!$C$5)</f>
        <v>46471</v>
      </c>
      <c r="L338" s="28" t="n">
        <f aca="false">IF($K338="","",$K338-기준정보!$C$6)</f>
        <v>46381</v>
      </c>
      <c r="M338" s="29" t="n">
        <f aca="false">IF($L338="","",$L338-기준정보!$C$4)</f>
        <v>139</v>
      </c>
      <c r="N338" s="27" t="s">
        <v>119</v>
      </c>
      <c r="O338" s="30"/>
      <c r="P338" s="26" t="str">
        <f aca="false">IF($G338="","",IF(AND(ISNUMBER(SEARCH("CMT",$G338)),OR(ISNUMBER(SEARCH("완사입",$G338)),ISNUMBER(SEARCH("ODM",$G338)))),"본사/생산처 혼재",IF(ISNUMBER(SEARCH("CMT",$G338)),"본사(소재팀)","생산처")))</f>
        <v>생산처</v>
      </c>
      <c r="Q338" s="25" t="s">
        <v>245</v>
      </c>
      <c r="R338" s="25" t="s">
        <v>67</v>
      </c>
      <c r="S338" s="31" t="n">
        <v>0</v>
      </c>
      <c r="T338" s="26"/>
      <c r="U338" s="26" t="str">
        <f aca="false">IF($J338="","출고일 미정",IF($N338="X","작지 미발행",IF($N338="부분","작지 일부 미발행",IF(AND($O338&lt;&gt;"",$O338&gt;$L338),"소재입고 마감("&amp;TEXT($L338,"MM/DD")&amp;") 초과",IF($N338="","발행여부 확인 필요",IF($O338="","소재 입고일정 확인 필요","정상"))))))</f>
        <v>작지 미발행</v>
      </c>
      <c r="V338" s="24" t="str">
        <f aca="false">IF($J338="","",IF(OR(LEFT($U338,2)="작지",LEFT($U338,4)="소재입고"),IF(LEFT($F338,1)="S","★ 납기위험(S코드)","◆ 지연주의"),IF($U338="정상","✓ 정상","? 확인필요")))</f>
        <v>◆ 지연주의</v>
      </c>
      <c r="W338" s="27"/>
      <c r="X338" s="32"/>
    </row>
    <row r="339" customFormat="false" ht="15" hidden="false" customHeight="false" outlineLevel="0" collapsed="false">
      <c r="A339" s="24" t="n">
        <v>335</v>
      </c>
      <c r="B339" s="25" t="s">
        <v>113</v>
      </c>
      <c r="C339" s="25" t="s">
        <v>114</v>
      </c>
      <c r="D339" s="26" t="s">
        <v>815</v>
      </c>
      <c r="E339" s="26" t="s">
        <v>816</v>
      </c>
      <c r="F339" s="24" t="str">
        <f aca="false">IF($D339="","",IF(MID($D339,5,1)="S","S(봄)",IF(MID($D339,5,1)="M","M(여름)",IF(MID($D339,5,1)="X","X(사계절)",MID($D339,5,1)))))</f>
        <v>M(여름)</v>
      </c>
      <c r="G339" s="25" t="s">
        <v>62</v>
      </c>
      <c r="H339" s="24" t="s">
        <v>340</v>
      </c>
      <c r="I339" s="27" t="s">
        <v>774</v>
      </c>
      <c r="J339" s="28" t="n">
        <f aca="false">IF($I339="","",IFERROR(DATE(IF(VALUE(LEFT($I339,FIND("월",$I339)-1))&gt;=9,기준정보!$C$7-1,기준정보!$C$7),VALUE(LEFT($I339,FIND("월",$I339)-1)),1+7*(VALUE(SUBSTITUTE(MID($I339,FIND("월",$I339)+1,5),"주",""))-1)),""))</f>
        <v>46485</v>
      </c>
      <c r="K339" s="28" t="n">
        <f aca="false">IF($J339="","",$J339-기준정보!$C$5)</f>
        <v>46471</v>
      </c>
      <c r="L339" s="28" t="n">
        <f aca="false">IF($K339="","",$K339-기준정보!$C$6)</f>
        <v>46381</v>
      </c>
      <c r="M339" s="29" t="n">
        <f aca="false">IF($L339="","",$L339-기준정보!$C$4)</f>
        <v>139</v>
      </c>
      <c r="N339" s="27" t="s">
        <v>119</v>
      </c>
      <c r="O339" s="30"/>
      <c r="P339" s="26" t="str">
        <f aca="false">IF($G339="","",IF(AND(ISNUMBER(SEARCH("CMT",$G339)),OR(ISNUMBER(SEARCH("완사입",$G339)),ISNUMBER(SEARCH("ODM",$G339)))),"본사/생산처 혼재",IF(ISNUMBER(SEARCH("CMT",$G339)),"본사(소재팀)","생산처")))</f>
        <v>생산처</v>
      </c>
      <c r="Q339" s="25" t="s">
        <v>156</v>
      </c>
      <c r="R339" s="25" t="s">
        <v>134</v>
      </c>
      <c r="S339" s="31" t="n">
        <v>0</v>
      </c>
      <c r="T339" s="26"/>
      <c r="U339" s="26" t="str">
        <f aca="false">IF($J339="","출고일 미정",IF($N339="X","작지 미발행",IF($N339="부분","작지 일부 미발행",IF(AND($O339&lt;&gt;"",$O339&gt;$L339),"소재입고 마감("&amp;TEXT($L339,"MM/DD")&amp;") 초과",IF($N339="","발행여부 확인 필요",IF($O339="","소재 입고일정 확인 필요","정상"))))))</f>
        <v>작지 미발행</v>
      </c>
      <c r="V339" s="24" t="str">
        <f aca="false">IF($J339="","",IF(OR(LEFT($U339,2)="작지",LEFT($U339,4)="소재입고"),IF(LEFT($F339,1)="S","★ 납기위험(S코드)","◆ 지연주의"),IF($U339="정상","✓ 정상","? 확인필요")))</f>
        <v>◆ 지연주의</v>
      </c>
      <c r="W339" s="27"/>
      <c r="X339" s="32"/>
    </row>
    <row r="340" customFormat="false" ht="15" hidden="false" customHeight="false" outlineLevel="0" collapsed="false">
      <c r="A340" s="24" t="n">
        <v>336</v>
      </c>
      <c r="B340" s="25" t="s">
        <v>113</v>
      </c>
      <c r="C340" s="25" t="s">
        <v>114</v>
      </c>
      <c r="D340" s="26" t="s">
        <v>817</v>
      </c>
      <c r="E340" s="26" t="s">
        <v>818</v>
      </c>
      <c r="F340" s="24" t="str">
        <f aca="false">IF($D340="","",IF(MID($D340,5,1)="S","S(봄)",IF(MID($D340,5,1)="M","M(여름)",IF(MID($D340,5,1)="X","X(사계절)",MID($D340,5,1)))))</f>
        <v>M(여름)</v>
      </c>
      <c r="G340" s="25" t="s">
        <v>62</v>
      </c>
      <c r="H340" s="24" t="s">
        <v>340</v>
      </c>
      <c r="I340" s="27" t="s">
        <v>774</v>
      </c>
      <c r="J340" s="28" t="n">
        <f aca="false">IF($I340="","",IFERROR(DATE(IF(VALUE(LEFT($I340,FIND("월",$I340)-1))&gt;=9,기준정보!$C$7-1,기준정보!$C$7),VALUE(LEFT($I340,FIND("월",$I340)-1)),1+7*(VALUE(SUBSTITUTE(MID($I340,FIND("월",$I340)+1,5),"주",""))-1)),""))</f>
        <v>46485</v>
      </c>
      <c r="K340" s="28" t="n">
        <f aca="false">IF($J340="","",$J340-기준정보!$C$5)</f>
        <v>46471</v>
      </c>
      <c r="L340" s="28" t="n">
        <f aca="false">IF($K340="","",$K340-기준정보!$C$6)</f>
        <v>46381</v>
      </c>
      <c r="M340" s="29" t="n">
        <f aca="false">IF($L340="","",$L340-기준정보!$C$4)</f>
        <v>139</v>
      </c>
      <c r="N340" s="27" t="s">
        <v>119</v>
      </c>
      <c r="O340" s="30"/>
      <c r="P340" s="26" t="str">
        <f aca="false">IF($G340="","",IF(AND(ISNUMBER(SEARCH("CMT",$G340)),OR(ISNUMBER(SEARCH("완사입",$G340)),ISNUMBER(SEARCH("ODM",$G340)))),"본사/생산처 혼재",IF(ISNUMBER(SEARCH("CMT",$G340)),"본사(소재팀)","생산처")))</f>
        <v>생산처</v>
      </c>
      <c r="Q340" s="25" t="s">
        <v>156</v>
      </c>
      <c r="R340" s="25" t="s">
        <v>134</v>
      </c>
      <c r="S340" s="31" t="n">
        <v>0</v>
      </c>
      <c r="T340" s="26"/>
      <c r="U340" s="26" t="str">
        <f aca="false">IF($J340="","출고일 미정",IF($N340="X","작지 미발행",IF($N340="부분","작지 일부 미발행",IF(AND($O340&lt;&gt;"",$O340&gt;$L340),"소재입고 마감("&amp;TEXT($L340,"MM/DD")&amp;") 초과",IF($N340="","발행여부 확인 필요",IF($O340="","소재 입고일정 확인 필요","정상"))))))</f>
        <v>작지 미발행</v>
      </c>
      <c r="V340" s="24" t="str">
        <f aca="false">IF($J340="","",IF(OR(LEFT($U340,2)="작지",LEFT($U340,4)="소재입고"),IF(LEFT($F340,1)="S","★ 납기위험(S코드)","◆ 지연주의"),IF($U340="정상","✓ 정상","? 확인필요")))</f>
        <v>◆ 지연주의</v>
      </c>
      <c r="W340" s="27"/>
      <c r="X340" s="32"/>
    </row>
    <row r="341" customFormat="false" ht="15" hidden="false" customHeight="false" outlineLevel="0" collapsed="false">
      <c r="A341" s="24" t="n">
        <v>337</v>
      </c>
      <c r="B341" s="25" t="s">
        <v>113</v>
      </c>
      <c r="C341" s="25" t="s">
        <v>114</v>
      </c>
      <c r="D341" s="26" t="s">
        <v>819</v>
      </c>
      <c r="E341" s="26" t="s">
        <v>820</v>
      </c>
      <c r="F341" s="24" t="str">
        <f aca="false">IF($D341="","",IF(MID($D341,5,1)="S","S(봄)",IF(MID($D341,5,1)="M","M(여름)",IF(MID($D341,5,1)="X","X(사계절)",MID($D341,5,1)))))</f>
        <v>M(여름)</v>
      </c>
      <c r="G341" s="26"/>
      <c r="H341" s="24" t="s">
        <v>340</v>
      </c>
      <c r="I341" s="27" t="s">
        <v>774</v>
      </c>
      <c r="J341" s="28" t="n">
        <f aca="false">IF($I341="","",IFERROR(DATE(IF(VALUE(LEFT($I341,FIND("월",$I341)-1))&gt;=9,기준정보!$C$7-1,기준정보!$C$7),VALUE(LEFT($I341,FIND("월",$I341)-1)),1+7*(VALUE(SUBSTITUTE(MID($I341,FIND("월",$I341)+1,5),"주",""))-1)),""))</f>
        <v>46485</v>
      </c>
      <c r="K341" s="28" t="n">
        <f aca="false">IF($J341="","",$J341-기준정보!$C$5)</f>
        <v>46471</v>
      </c>
      <c r="L341" s="28" t="n">
        <f aca="false">IF($K341="","",$K341-기준정보!$C$6)</f>
        <v>46381</v>
      </c>
      <c r="M341" s="29" t="n">
        <f aca="false">IF($L341="","",$L341-기준정보!$C$4)</f>
        <v>139</v>
      </c>
      <c r="N341" s="27" t="s">
        <v>119</v>
      </c>
      <c r="O341" s="30"/>
      <c r="P341" s="26" t="str">
        <f aca="false">IF($G341="","",IF(AND(ISNUMBER(SEARCH("CMT",$G341)),OR(ISNUMBER(SEARCH("완사입",$G341)),ISNUMBER(SEARCH("ODM",$G341)))),"본사/생산처 혼재",IF(ISNUMBER(SEARCH("CMT",$G341)),"본사(소재팀)","생산처")))</f>
        <v/>
      </c>
      <c r="Q341" s="26"/>
      <c r="R341" s="26"/>
      <c r="S341" s="31" t="n">
        <v>0</v>
      </c>
      <c r="T341" s="26"/>
      <c r="U341" s="26" t="str">
        <f aca="false">IF($J341="","출고일 미정",IF($N341="X","작지 미발행",IF($N341="부분","작지 일부 미발행",IF(AND($O341&lt;&gt;"",$O341&gt;$L341),"소재입고 마감("&amp;TEXT($L341,"MM/DD")&amp;") 초과",IF($N341="","발행여부 확인 필요",IF($O341="","소재 입고일정 확인 필요","정상"))))))</f>
        <v>작지 미발행</v>
      </c>
      <c r="V341" s="24" t="str">
        <f aca="false">IF($J341="","",IF(OR(LEFT($U341,2)="작지",LEFT($U341,4)="소재입고"),IF(LEFT($F341,1)="S","★ 납기위험(S코드)","◆ 지연주의"),IF($U341="정상","✓ 정상","? 확인필요")))</f>
        <v>◆ 지연주의</v>
      </c>
      <c r="W341" s="27"/>
      <c r="X341" s="32"/>
    </row>
    <row r="342" customFormat="false" ht="15" hidden="false" customHeight="false" outlineLevel="0" collapsed="false">
      <c r="A342" s="24" t="n">
        <v>338</v>
      </c>
      <c r="B342" s="25" t="s">
        <v>113</v>
      </c>
      <c r="C342" s="25" t="s">
        <v>114</v>
      </c>
      <c r="D342" s="26" t="s">
        <v>821</v>
      </c>
      <c r="E342" s="26" t="s">
        <v>822</v>
      </c>
      <c r="F342" s="24" t="str">
        <f aca="false">IF($D342="","",IF(MID($D342,5,1)="S","S(봄)",IF(MID($D342,5,1)="M","M(여름)",IF(MID($D342,5,1)="X","X(사계절)",MID($D342,5,1)))))</f>
        <v>M(여름)</v>
      </c>
      <c r="G342" s="26"/>
      <c r="H342" s="24" t="s">
        <v>340</v>
      </c>
      <c r="I342" s="27" t="s">
        <v>774</v>
      </c>
      <c r="J342" s="28" t="n">
        <f aca="false">IF($I342="","",IFERROR(DATE(IF(VALUE(LEFT($I342,FIND("월",$I342)-1))&gt;=9,기준정보!$C$7-1,기준정보!$C$7),VALUE(LEFT($I342,FIND("월",$I342)-1)),1+7*(VALUE(SUBSTITUTE(MID($I342,FIND("월",$I342)+1,5),"주",""))-1)),""))</f>
        <v>46485</v>
      </c>
      <c r="K342" s="28" t="n">
        <f aca="false">IF($J342="","",$J342-기준정보!$C$5)</f>
        <v>46471</v>
      </c>
      <c r="L342" s="28" t="n">
        <f aca="false">IF($K342="","",$K342-기준정보!$C$6)</f>
        <v>46381</v>
      </c>
      <c r="M342" s="29" t="n">
        <f aca="false">IF($L342="","",$L342-기준정보!$C$4)</f>
        <v>139</v>
      </c>
      <c r="N342" s="27" t="s">
        <v>119</v>
      </c>
      <c r="O342" s="30"/>
      <c r="P342" s="26" t="str">
        <f aca="false">IF($G342="","",IF(AND(ISNUMBER(SEARCH("CMT",$G342)),OR(ISNUMBER(SEARCH("완사입",$G342)),ISNUMBER(SEARCH("ODM",$G342)))),"본사/생산처 혼재",IF(ISNUMBER(SEARCH("CMT",$G342)),"본사(소재팀)","생산처")))</f>
        <v/>
      </c>
      <c r="Q342" s="26"/>
      <c r="R342" s="26"/>
      <c r="S342" s="31" t="n">
        <v>0</v>
      </c>
      <c r="T342" s="26"/>
      <c r="U342" s="26" t="str">
        <f aca="false">IF($J342="","출고일 미정",IF($N342="X","작지 미발행",IF($N342="부분","작지 일부 미발행",IF(AND($O342&lt;&gt;"",$O342&gt;$L342),"소재입고 마감("&amp;TEXT($L342,"MM/DD")&amp;") 초과",IF($N342="","발행여부 확인 필요",IF($O342="","소재 입고일정 확인 필요","정상"))))))</f>
        <v>작지 미발행</v>
      </c>
      <c r="V342" s="24" t="str">
        <f aca="false">IF($J342="","",IF(OR(LEFT($U342,2)="작지",LEFT($U342,4)="소재입고"),IF(LEFT($F342,1)="S","★ 납기위험(S코드)","◆ 지연주의"),IF($U342="정상","✓ 정상","? 확인필요")))</f>
        <v>◆ 지연주의</v>
      </c>
      <c r="W342" s="27"/>
      <c r="X342" s="32"/>
    </row>
    <row r="343" customFormat="false" ht="15" hidden="false" customHeight="false" outlineLevel="0" collapsed="false">
      <c r="A343" s="24" t="n">
        <v>339</v>
      </c>
      <c r="B343" s="25" t="s">
        <v>113</v>
      </c>
      <c r="C343" s="25" t="s">
        <v>114</v>
      </c>
      <c r="D343" s="26" t="s">
        <v>823</v>
      </c>
      <c r="E343" s="26" t="s">
        <v>824</v>
      </c>
      <c r="F343" s="24" t="str">
        <f aca="false">IF($D343="","",IF(MID($D343,5,1)="S","S(봄)",IF(MID($D343,5,1)="M","M(여름)",IF(MID($D343,5,1)="X","X(사계절)",MID($D343,5,1)))))</f>
        <v>M(여름)</v>
      </c>
      <c r="G343" s="26"/>
      <c r="H343" s="24" t="s">
        <v>340</v>
      </c>
      <c r="I343" s="27" t="s">
        <v>774</v>
      </c>
      <c r="J343" s="28" t="n">
        <f aca="false">IF($I343="","",IFERROR(DATE(IF(VALUE(LEFT($I343,FIND("월",$I343)-1))&gt;=9,기준정보!$C$7-1,기준정보!$C$7),VALUE(LEFT($I343,FIND("월",$I343)-1)),1+7*(VALUE(SUBSTITUTE(MID($I343,FIND("월",$I343)+1,5),"주",""))-1)),""))</f>
        <v>46485</v>
      </c>
      <c r="K343" s="28" t="n">
        <f aca="false">IF($J343="","",$J343-기준정보!$C$5)</f>
        <v>46471</v>
      </c>
      <c r="L343" s="28" t="n">
        <f aca="false">IF($K343="","",$K343-기준정보!$C$6)</f>
        <v>46381</v>
      </c>
      <c r="M343" s="29" t="n">
        <f aca="false">IF($L343="","",$L343-기준정보!$C$4)</f>
        <v>139</v>
      </c>
      <c r="N343" s="27" t="s">
        <v>119</v>
      </c>
      <c r="O343" s="30"/>
      <c r="P343" s="26" t="str">
        <f aca="false">IF($G343="","",IF(AND(ISNUMBER(SEARCH("CMT",$G343)),OR(ISNUMBER(SEARCH("완사입",$G343)),ISNUMBER(SEARCH("ODM",$G343)))),"본사/생산처 혼재",IF(ISNUMBER(SEARCH("CMT",$G343)),"본사(소재팀)","생산처")))</f>
        <v/>
      </c>
      <c r="Q343" s="26"/>
      <c r="R343" s="26"/>
      <c r="S343" s="31" t="n">
        <v>0</v>
      </c>
      <c r="T343" s="26"/>
      <c r="U343" s="26" t="str">
        <f aca="false">IF($J343="","출고일 미정",IF($N343="X","작지 미발행",IF($N343="부분","작지 일부 미발행",IF(AND($O343&lt;&gt;"",$O343&gt;$L343),"소재입고 마감("&amp;TEXT($L343,"MM/DD")&amp;") 초과",IF($N343="","발행여부 확인 필요",IF($O343="","소재 입고일정 확인 필요","정상"))))))</f>
        <v>작지 미발행</v>
      </c>
      <c r="V343" s="24" t="str">
        <f aca="false">IF($J343="","",IF(OR(LEFT($U343,2)="작지",LEFT($U343,4)="소재입고"),IF(LEFT($F343,1)="S","★ 납기위험(S코드)","◆ 지연주의"),IF($U343="정상","✓ 정상","? 확인필요")))</f>
        <v>◆ 지연주의</v>
      </c>
      <c r="W343" s="27"/>
      <c r="X343" s="32"/>
    </row>
    <row r="344" customFormat="false" ht="15" hidden="false" customHeight="false" outlineLevel="0" collapsed="false">
      <c r="A344" s="24" t="n">
        <v>340</v>
      </c>
      <c r="B344" s="25" t="s">
        <v>159</v>
      </c>
      <c r="C344" s="25" t="s">
        <v>341</v>
      </c>
      <c r="D344" s="26" t="s">
        <v>825</v>
      </c>
      <c r="E344" s="25" t="s">
        <v>826</v>
      </c>
      <c r="F344" s="24" t="str">
        <f aca="false">IF($D344="","",IF(MID($D344,5,1)="S","S(봄)",IF(MID($D344,5,1)="M","M(여름)",IF(MID($D344,5,1)="X","X(사계절)",MID($D344,5,1)))))</f>
        <v>M(여름)</v>
      </c>
      <c r="G344" s="26" t="s">
        <v>167</v>
      </c>
      <c r="H344" s="24" t="s">
        <v>326</v>
      </c>
      <c r="I344" s="27" t="s">
        <v>774</v>
      </c>
      <c r="J344" s="28" t="n">
        <f aca="false">IF($I344="","",IFERROR(DATE(IF(VALUE(LEFT($I344,FIND("월",$I344)-1))&gt;=9,기준정보!$C$7-1,기준정보!$C$7),VALUE(LEFT($I344,FIND("월",$I344)-1)),1+7*(VALUE(SUBSTITUTE(MID($I344,FIND("월",$I344)+1,5),"주",""))-1)),""))</f>
        <v>46485</v>
      </c>
      <c r="K344" s="28" t="n">
        <f aca="false">IF($J344="","",$J344-기준정보!$C$5)</f>
        <v>46471</v>
      </c>
      <c r="L344" s="28" t="n">
        <f aca="false">IF($K344="","",$K344-기준정보!$C$6)</f>
        <v>46381</v>
      </c>
      <c r="M344" s="29" t="n">
        <f aca="false">IF($L344="","",$L344-기준정보!$C$4)</f>
        <v>139</v>
      </c>
      <c r="N344" s="27" t="s">
        <v>65</v>
      </c>
      <c r="O344" s="30"/>
      <c r="P344" s="26" t="str">
        <f aca="false">IF($G344="","",IF(AND(ISNUMBER(SEARCH("CMT",$G344)),OR(ISNUMBER(SEARCH("완사입",$G344)),ISNUMBER(SEARCH("ODM",$G344)))),"본사/생산처 혼재",IF(ISNUMBER(SEARCH("CMT",$G344)),"본사(소재팀)","생산처")))</f>
        <v>본사(소재팀)</v>
      </c>
      <c r="Q344" s="25" t="s">
        <v>66</v>
      </c>
      <c r="R344" s="25" t="s">
        <v>67</v>
      </c>
      <c r="S344" s="31" t="n">
        <v>1800</v>
      </c>
      <c r="T344" s="26" t="s">
        <v>774</v>
      </c>
      <c r="U344" s="26" t="str">
        <f aca="false">IF($J344="","출고일 미정",IF($N344="X","작지 미발행",IF($N344="부분","작지 일부 미발행",IF(AND($O344&lt;&gt;"",$O344&gt;$L344),"소재입고 마감("&amp;TEXT($L344,"MM/DD")&amp;") 초과",IF($N344="","발행여부 확인 필요",IF($O344="","소재 입고일정 확인 필요","정상"))))))</f>
        <v>소재 입고일정 확인 필요</v>
      </c>
      <c r="V344" s="24" t="str">
        <f aca="false">IF($J344="","",IF(OR(LEFT($U344,2)="작지",LEFT($U344,4)="소재입고"),IF(LEFT($F344,1)="S","★ 납기위험(S코드)","◆ 지연주의"),IF($U344="정상","✓ 정상","? 확인필요")))</f>
        <v>? 확인필요</v>
      </c>
      <c r="W344" s="27"/>
      <c r="X344" s="32"/>
    </row>
    <row r="345" customFormat="false" ht="15" hidden="false" customHeight="false" outlineLevel="0" collapsed="false">
      <c r="A345" s="24" t="n">
        <v>341</v>
      </c>
      <c r="B345" s="25" t="s">
        <v>159</v>
      </c>
      <c r="C345" s="25" t="s">
        <v>341</v>
      </c>
      <c r="D345" s="26" t="s">
        <v>827</v>
      </c>
      <c r="E345" s="25" t="s">
        <v>828</v>
      </c>
      <c r="F345" s="24" t="str">
        <f aca="false">IF($D345="","",IF(MID($D345,5,1)="S","S(봄)",IF(MID($D345,5,1)="M","M(여름)",IF(MID($D345,5,1)="X","X(사계절)",MID($D345,5,1)))))</f>
        <v>M(여름)</v>
      </c>
      <c r="G345" s="26" t="s">
        <v>167</v>
      </c>
      <c r="H345" s="24" t="s">
        <v>326</v>
      </c>
      <c r="I345" s="27" t="s">
        <v>774</v>
      </c>
      <c r="J345" s="28" t="n">
        <f aca="false">IF($I345="","",IFERROR(DATE(IF(VALUE(LEFT($I345,FIND("월",$I345)-1))&gt;=9,기준정보!$C$7-1,기준정보!$C$7),VALUE(LEFT($I345,FIND("월",$I345)-1)),1+7*(VALUE(SUBSTITUTE(MID($I345,FIND("월",$I345)+1,5),"주",""))-1)),""))</f>
        <v>46485</v>
      </c>
      <c r="K345" s="28" t="n">
        <f aca="false">IF($J345="","",$J345-기준정보!$C$5)</f>
        <v>46471</v>
      </c>
      <c r="L345" s="28" t="n">
        <f aca="false">IF($K345="","",$K345-기준정보!$C$6)</f>
        <v>46381</v>
      </c>
      <c r="M345" s="29" t="n">
        <f aca="false">IF($L345="","",$L345-기준정보!$C$4)</f>
        <v>139</v>
      </c>
      <c r="N345" s="27" t="s">
        <v>65</v>
      </c>
      <c r="O345" s="30"/>
      <c r="P345" s="26" t="str">
        <f aca="false">IF($G345="","",IF(AND(ISNUMBER(SEARCH("CMT",$G345)),OR(ISNUMBER(SEARCH("완사입",$G345)),ISNUMBER(SEARCH("ODM",$G345)))),"본사/생산처 혼재",IF(ISNUMBER(SEARCH("CMT",$G345)),"본사(소재팀)","생산처")))</f>
        <v>본사(소재팀)</v>
      </c>
      <c r="Q345" s="25" t="s">
        <v>79</v>
      </c>
      <c r="R345" s="25" t="s">
        <v>67</v>
      </c>
      <c r="S345" s="31" t="n">
        <v>800</v>
      </c>
      <c r="T345" s="26" t="s">
        <v>774</v>
      </c>
      <c r="U345" s="26" t="str">
        <f aca="false">IF($J345="","출고일 미정",IF($N345="X","작지 미발행",IF($N345="부분","작지 일부 미발행",IF(AND($O345&lt;&gt;"",$O345&gt;$L345),"소재입고 마감("&amp;TEXT($L345,"MM/DD")&amp;") 초과",IF($N345="","발행여부 확인 필요",IF($O345="","소재 입고일정 확인 필요","정상"))))))</f>
        <v>소재 입고일정 확인 필요</v>
      </c>
      <c r="V345" s="24" t="str">
        <f aca="false">IF($J345="","",IF(OR(LEFT($U345,2)="작지",LEFT($U345,4)="소재입고"),IF(LEFT($F345,1)="S","★ 납기위험(S코드)","◆ 지연주의"),IF($U345="정상","✓ 정상","? 확인필요")))</f>
        <v>? 확인필요</v>
      </c>
      <c r="W345" s="27"/>
      <c r="X345" s="32"/>
    </row>
    <row r="346" customFormat="false" ht="15" hidden="false" customHeight="false" outlineLevel="0" collapsed="false">
      <c r="A346" s="24" t="n">
        <v>342</v>
      </c>
      <c r="B346" s="25" t="s">
        <v>159</v>
      </c>
      <c r="C346" s="25" t="s">
        <v>341</v>
      </c>
      <c r="D346" s="26" t="s">
        <v>829</v>
      </c>
      <c r="E346" s="25" t="s">
        <v>830</v>
      </c>
      <c r="F346" s="24" t="str">
        <f aca="false">IF($D346="","",IF(MID($D346,5,1)="S","S(봄)",IF(MID($D346,5,1)="M","M(여름)",IF(MID($D346,5,1)="X","X(사계절)",MID($D346,5,1)))))</f>
        <v>M(여름)</v>
      </c>
      <c r="G346" s="26" t="s">
        <v>167</v>
      </c>
      <c r="H346" s="24" t="s">
        <v>326</v>
      </c>
      <c r="I346" s="27" t="s">
        <v>774</v>
      </c>
      <c r="J346" s="28" t="n">
        <f aca="false">IF($I346="","",IFERROR(DATE(IF(VALUE(LEFT($I346,FIND("월",$I346)-1))&gt;=9,기준정보!$C$7-1,기준정보!$C$7),VALUE(LEFT($I346,FIND("월",$I346)-1)),1+7*(VALUE(SUBSTITUTE(MID($I346,FIND("월",$I346)+1,5),"주",""))-1)),""))</f>
        <v>46485</v>
      </c>
      <c r="K346" s="28" t="n">
        <f aca="false">IF($J346="","",$J346-기준정보!$C$5)</f>
        <v>46471</v>
      </c>
      <c r="L346" s="28" t="n">
        <f aca="false">IF($K346="","",$K346-기준정보!$C$6)</f>
        <v>46381</v>
      </c>
      <c r="M346" s="29" t="n">
        <f aca="false">IF($L346="","",$L346-기준정보!$C$4)</f>
        <v>139</v>
      </c>
      <c r="N346" s="27" t="s">
        <v>65</v>
      </c>
      <c r="O346" s="30"/>
      <c r="P346" s="26" t="str">
        <f aca="false">IF($G346="","",IF(AND(ISNUMBER(SEARCH("CMT",$G346)),OR(ISNUMBER(SEARCH("완사입",$G346)),ISNUMBER(SEARCH("ODM",$G346)))),"본사/생산처 혼재",IF(ISNUMBER(SEARCH("CMT",$G346)),"본사(소재팀)","생산처")))</f>
        <v>본사(소재팀)</v>
      </c>
      <c r="Q346" s="25" t="s">
        <v>831</v>
      </c>
      <c r="R346" s="25" t="s">
        <v>67</v>
      </c>
      <c r="S346" s="31" t="n">
        <v>950</v>
      </c>
      <c r="T346" s="26" t="s">
        <v>774</v>
      </c>
      <c r="U346" s="26" t="str">
        <f aca="false">IF($J346="","출고일 미정",IF($N346="X","작지 미발행",IF($N346="부분","작지 일부 미발행",IF(AND($O346&lt;&gt;"",$O346&gt;$L346),"소재입고 마감("&amp;TEXT($L346,"MM/DD")&amp;") 초과",IF($N346="","발행여부 확인 필요",IF($O346="","소재 입고일정 확인 필요","정상"))))))</f>
        <v>소재 입고일정 확인 필요</v>
      </c>
      <c r="V346" s="24" t="str">
        <f aca="false">IF($J346="","",IF(OR(LEFT($U346,2)="작지",LEFT($U346,4)="소재입고"),IF(LEFT($F346,1)="S","★ 납기위험(S코드)","◆ 지연주의"),IF($U346="정상","✓ 정상","? 확인필요")))</f>
        <v>? 확인필요</v>
      </c>
      <c r="W346" s="27"/>
      <c r="X346" s="32"/>
    </row>
    <row r="347" customFormat="false" ht="15" hidden="false" customHeight="false" outlineLevel="0" collapsed="false">
      <c r="A347" s="24" t="n">
        <v>343</v>
      </c>
      <c r="B347" s="25" t="s">
        <v>99</v>
      </c>
      <c r="C347" s="25" t="s">
        <v>100</v>
      </c>
      <c r="D347" s="26" t="s">
        <v>832</v>
      </c>
      <c r="E347" s="25" t="s">
        <v>833</v>
      </c>
      <c r="F347" s="24" t="str">
        <f aca="false">IF($D347="","",IF(MID($D347,5,1)="S","S(봄)",IF(MID($D347,5,1)="M","M(여름)",IF(MID($D347,5,1)="X","X(사계절)",MID($D347,5,1)))))</f>
        <v>M(여름)</v>
      </c>
      <c r="G347" s="25" t="s">
        <v>62</v>
      </c>
      <c r="H347" s="24"/>
      <c r="I347" s="27" t="s">
        <v>774</v>
      </c>
      <c r="J347" s="28" t="n">
        <f aca="false">IF($I347="","",IFERROR(DATE(IF(VALUE(LEFT($I347,FIND("월",$I347)-1))&gt;=9,기준정보!$C$7-1,기준정보!$C$7),VALUE(LEFT($I347,FIND("월",$I347)-1)),1+7*(VALUE(SUBSTITUTE(MID($I347,FIND("월",$I347)+1,5),"주",""))-1)),""))</f>
        <v>46485</v>
      </c>
      <c r="K347" s="28" t="n">
        <f aca="false">IF($J347="","",$J347-기준정보!$C$5)</f>
        <v>46471</v>
      </c>
      <c r="L347" s="28" t="n">
        <f aca="false">IF($K347="","",$K347-기준정보!$C$6)</f>
        <v>46381</v>
      </c>
      <c r="M347" s="29" t="n">
        <f aca="false">IF($L347="","",$L347-기준정보!$C$4)</f>
        <v>139</v>
      </c>
      <c r="N347" s="27" t="s">
        <v>65</v>
      </c>
      <c r="O347" s="30"/>
      <c r="P347" s="26" t="str">
        <f aca="false">IF($G347="","",IF(AND(ISNUMBER(SEARCH("CMT",$G347)),OR(ISNUMBER(SEARCH("완사입",$G347)),ISNUMBER(SEARCH("ODM",$G347)))),"본사/생산처 혼재",IF(ISNUMBER(SEARCH("CMT",$G347)),"본사(소재팀)","생산처")))</f>
        <v>생산처</v>
      </c>
      <c r="Q347" s="25" t="s">
        <v>245</v>
      </c>
      <c r="R347" s="25" t="s">
        <v>67</v>
      </c>
      <c r="S347" s="31" t="n">
        <v>3000</v>
      </c>
      <c r="T347" s="26" t="s">
        <v>834</v>
      </c>
      <c r="U347" s="26" t="str">
        <f aca="false">IF($J347="","출고일 미정",IF($N347="X","작지 미발행",IF($N347="부분","작지 일부 미발행",IF(AND($O347&lt;&gt;"",$O347&gt;$L347),"소재입고 마감("&amp;TEXT($L347,"MM/DD")&amp;") 초과",IF($N347="","발행여부 확인 필요",IF($O347="","소재 입고일정 확인 필요","정상"))))))</f>
        <v>소재 입고일정 확인 필요</v>
      </c>
      <c r="V347" s="24" t="str">
        <f aca="false">IF($J347="","",IF(OR(LEFT($U347,2)="작지",LEFT($U347,4)="소재입고"),IF(LEFT($F347,1)="S","★ 납기위험(S코드)","◆ 지연주의"),IF($U347="정상","✓ 정상","? 확인필요")))</f>
        <v>? 확인필요</v>
      </c>
      <c r="W347" s="27"/>
      <c r="X347" s="32"/>
    </row>
    <row r="348" customFormat="false" ht="15" hidden="false" customHeight="false" outlineLevel="0" collapsed="false">
      <c r="A348" s="24" t="n">
        <v>344</v>
      </c>
      <c r="B348" s="25" t="s">
        <v>99</v>
      </c>
      <c r="C348" s="25" t="s">
        <v>100</v>
      </c>
      <c r="D348" s="26" t="s">
        <v>835</v>
      </c>
      <c r="E348" s="25" t="s">
        <v>836</v>
      </c>
      <c r="F348" s="24" t="str">
        <f aca="false">IF($D348="","",IF(MID($D348,5,1)="S","S(봄)",IF(MID($D348,5,1)="M","M(여름)",IF(MID($D348,5,1)="X","X(사계절)",MID($D348,5,1)))))</f>
        <v>M(여름)</v>
      </c>
      <c r="G348" s="25" t="s">
        <v>62</v>
      </c>
      <c r="H348" s="24"/>
      <c r="I348" s="27" t="s">
        <v>774</v>
      </c>
      <c r="J348" s="28" t="n">
        <f aca="false">IF($I348="","",IFERROR(DATE(IF(VALUE(LEFT($I348,FIND("월",$I348)-1))&gt;=9,기준정보!$C$7-1,기준정보!$C$7),VALUE(LEFT($I348,FIND("월",$I348)-1)),1+7*(VALUE(SUBSTITUTE(MID($I348,FIND("월",$I348)+1,5),"주",""))-1)),""))</f>
        <v>46485</v>
      </c>
      <c r="K348" s="28" t="n">
        <f aca="false">IF($J348="","",$J348-기준정보!$C$5)</f>
        <v>46471</v>
      </c>
      <c r="L348" s="28" t="n">
        <f aca="false">IF($K348="","",$K348-기준정보!$C$6)</f>
        <v>46381</v>
      </c>
      <c r="M348" s="29" t="n">
        <f aca="false">IF($L348="","",$L348-기준정보!$C$4)</f>
        <v>139</v>
      </c>
      <c r="N348" s="27" t="s">
        <v>65</v>
      </c>
      <c r="O348" s="30"/>
      <c r="P348" s="26" t="str">
        <f aca="false">IF($G348="","",IF(AND(ISNUMBER(SEARCH("CMT",$G348)),OR(ISNUMBER(SEARCH("완사입",$G348)),ISNUMBER(SEARCH("ODM",$G348)))),"본사/생산처 혼재",IF(ISNUMBER(SEARCH("CMT",$G348)),"본사(소재팀)","생산처")))</f>
        <v>생산처</v>
      </c>
      <c r="Q348" s="25" t="s">
        <v>245</v>
      </c>
      <c r="R348" s="25" t="s">
        <v>67</v>
      </c>
      <c r="S348" s="31" t="n">
        <v>3000</v>
      </c>
      <c r="T348" s="26" t="s">
        <v>834</v>
      </c>
      <c r="U348" s="26" t="str">
        <f aca="false">IF($J348="","출고일 미정",IF($N348="X","작지 미발행",IF($N348="부분","작지 일부 미발행",IF(AND($O348&lt;&gt;"",$O348&gt;$L348),"소재입고 마감("&amp;TEXT($L348,"MM/DD")&amp;") 초과",IF($N348="","발행여부 확인 필요",IF($O348="","소재 입고일정 확인 필요","정상"))))))</f>
        <v>소재 입고일정 확인 필요</v>
      </c>
      <c r="V348" s="24" t="str">
        <f aca="false">IF($J348="","",IF(OR(LEFT($U348,2)="작지",LEFT($U348,4)="소재입고"),IF(LEFT($F348,1)="S","★ 납기위험(S코드)","◆ 지연주의"),IF($U348="정상","✓ 정상","? 확인필요")))</f>
        <v>? 확인필요</v>
      </c>
      <c r="W348" s="27"/>
      <c r="X348" s="32"/>
    </row>
    <row r="349" customFormat="false" ht="15" hidden="false" customHeight="false" outlineLevel="0" collapsed="false">
      <c r="A349" s="24" t="n">
        <v>345</v>
      </c>
      <c r="B349" s="25" t="s">
        <v>99</v>
      </c>
      <c r="C349" s="25" t="s">
        <v>100</v>
      </c>
      <c r="D349" s="26" t="s">
        <v>837</v>
      </c>
      <c r="E349" s="25" t="s">
        <v>838</v>
      </c>
      <c r="F349" s="24" t="str">
        <f aca="false">IF($D349="","",IF(MID($D349,5,1)="S","S(봄)",IF(MID($D349,5,1)="M","M(여름)",IF(MID($D349,5,1)="X","X(사계절)",MID($D349,5,1)))))</f>
        <v>M(여름)</v>
      </c>
      <c r="G349" s="25" t="s">
        <v>62</v>
      </c>
      <c r="H349" s="24"/>
      <c r="I349" s="27" t="s">
        <v>774</v>
      </c>
      <c r="J349" s="28" t="n">
        <f aca="false">IF($I349="","",IFERROR(DATE(IF(VALUE(LEFT($I349,FIND("월",$I349)-1))&gt;=9,기준정보!$C$7-1,기준정보!$C$7),VALUE(LEFT($I349,FIND("월",$I349)-1)),1+7*(VALUE(SUBSTITUTE(MID($I349,FIND("월",$I349)+1,5),"주",""))-1)),""))</f>
        <v>46485</v>
      </c>
      <c r="K349" s="28" t="n">
        <f aca="false">IF($J349="","",$J349-기준정보!$C$5)</f>
        <v>46471</v>
      </c>
      <c r="L349" s="28" t="n">
        <f aca="false">IF($K349="","",$K349-기준정보!$C$6)</f>
        <v>46381</v>
      </c>
      <c r="M349" s="29" t="n">
        <f aca="false">IF($L349="","",$L349-기준정보!$C$4)</f>
        <v>139</v>
      </c>
      <c r="N349" s="27" t="s">
        <v>65</v>
      </c>
      <c r="O349" s="30"/>
      <c r="P349" s="26" t="str">
        <f aca="false">IF($G349="","",IF(AND(ISNUMBER(SEARCH("CMT",$G349)),OR(ISNUMBER(SEARCH("완사입",$G349)),ISNUMBER(SEARCH("ODM",$G349)))),"본사/생산처 혼재",IF(ISNUMBER(SEARCH("CMT",$G349)),"본사(소재팀)","생산처")))</f>
        <v>생산처</v>
      </c>
      <c r="Q349" s="26" t="s">
        <v>193</v>
      </c>
      <c r="R349" s="25" t="s">
        <v>71</v>
      </c>
      <c r="S349" s="31" t="n">
        <v>3000</v>
      </c>
      <c r="T349" s="26" t="s">
        <v>834</v>
      </c>
      <c r="U349" s="26" t="str">
        <f aca="false">IF($J349="","출고일 미정",IF($N349="X","작지 미발행",IF($N349="부분","작지 일부 미발행",IF(AND($O349&lt;&gt;"",$O349&gt;$L349),"소재입고 마감("&amp;TEXT($L349,"MM/DD")&amp;") 초과",IF($N349="","발행여부 확인 필요",IF($O349="","소재 입고일정 확인 필요","정상"))))))</f>
        <v>소재 입고일정 확인 필요</v>
      </c>
      <c r="V349" s="24" t="str">
        <f aca="false">IF($J349="","",IF(OR(LEFT($U349,2)="작지",LEFT($U349,4)="소재입고"),IF(LEFT($F349,1)="S","★ 납기위험(S코드)","◆ 지연주의"),IF($U349="정상","✓ 정상","? 확인필요")))</f>
        <v>? 확인필요</v>
      </c>
      <c r="W349" s="27"/>
      <c r="X349" s="32"/>
    </row>
    <row r="350" customFormat="false" ht="15" hidden="false" customHeight="false" outlineLevel="0" collapsed="false">
      <c r="A350" s="24" t="n">
        <v>346</v>
      </c>
      <c r="B350" s="25" t="s">
        <v>163</v>
      </c>
      <c r="C350" s="25" t="s">
        <v>164</v>
      </c>
      <c r="D350" s="26" t="s">
        <v>839</v>
      </c>
      <c r="E350" s="25" t="s">
        <v>840</v>
      </c>
      <c r="F350" s="24" t="str">
        <f aca="false">IF($D350="","",IF(MID($D350,5,1)="S","S(봄)",IF(MID($D350,5,1)="M","M(여름)",IF(MID($D350,5,1)="X","X(사계절)",MID($D350,5,1)))))</f>
        <v>M(여름)</v>
      </c>
      <c r="G350" s="26" t="s">
        <v>167</v>
      </c>
      <c r="H350" s="24"/>
      <c r="I350" s="27" t="s">
        <v>841</v>
      </c>
      <c r="J350" s="28" t="n">
        <f aca="false">IF($I350="","",IFERROR(DATE(IF(VALUE(LEFT($I350,FIND("월",$I350)-1))&gt;=9,기준정보!$C$7-1,기준정보!$C$7),VALUE(LEFT($I350,FIND("월",$I350)-1)),1+7*(VALUE(SUBSTITUTE(MID($I350,FIND("월",$I350)+1,5),"주",""))-1)),""))</f>
        <v>46492</v>
      </c>
      <c r="K350" s="28" t="n">
        <f aca="false">IF($J350="","",$J350-기준정보!$C$5)</f>
        <v>46478</v>
      </c>
      <c r="L350" s="28" t="n">
        <f aca="false">IF($K350="","",$K350-기준정보!$C$6)</f>
        <v>46388</v>
      </c>
      <c r="M350" s="29" t="n">
        <f aca="false">IF($L350="","",$L350-기준정보!$C$4)</f>
        <v>146</v>
      </c>
      <c r="N350" s="27" t="s">
        <v>65</v>
      </c>
      <c r="O350" s="30"/>
      <c r="P350" s="26" t="str">
        <f aca="false">IF($G350="","",IF(AND(ISNUMBER(SEARCH("CMT",$G350)),OR(ISNUMBER(SEARCH("완사입",$G350)),ISNUMBER(SEARCH("ODM",$G350)))),"본사/생산처 혼재",IF(ISNUMBER(SEARCH("CMT",$G350)),"본사(소재팀)","생산처")))</f>
        <v>본사(소재팀)</v>
      </c>
      <c r="Q350" s="26" t="s">
        <v>120</v>
      </c>
      <c r="R350" s="25" t="s">
        <v>67</v>
      </c>
      <c r="S350" s="31" t="n">
        <v>3000</v>
      </c>
      <c r="T350" s="26" t="s">
        <v>841</v>
      </c>
      <c r="U350" s="26" t="str">
        <f aca="false">IF($J350="","출고일 미정",IF($N350="X","작지 미발행",IF($N350="부분","작지 일부 미발행",IF(AND($O350&lt;&gt;"",$O350&gt;$L350),"소재입고 마감("&amp;TEXT($L350,"MM/DD")&amp;") 초과",IF($N350="","발행여부 확인 필요",IF($O350="","소재 입고일정 확인 필요","정상"))))))</f>
        <v>소재 입고일정 확인 필요</v>
      </c>
      <c r="V350" s="24" t="str">
        <f aca="false">IF($J350="","",IF(OR(LEFT($U350,2)="작지",LEFT($U350,4)="소재입고"),IF(LEFT($F350,1)="S","★ 납기위험(S코드)","◆ 지연주의"),IF($U350="정상","✓ 정상","? 확인필요")))</f>
        <v>? 확인필요</v>
      </c>
      <c r="W350" s="27"/>
      <c r="X350" s="32"/>
    </row>
    <row r="351" customFormat="false" ht="15" hidden="false" customHeight="false" outlineLevel="0" collapsed="false">
      <c r="A351" s="24" t="n">
        <v>347</v>
      </c>
      <c r="B351" s="25" t="s">
        <v>163</v>
      </c>
      <c r="C351" s="25" t="s">
        <v>164</v>
      </c>
      <c r="D351" s="26" t="s">
        <v>842</v>
      </c>
      <c r="E351" s="25" t="s">
        <v>843</v>
      </c>
      <c r="F351" s="24" t="str">
        <f aca="false">IF($D351="","",IF(MID($D351,5,1)="S","S(봄)",IF(MID($D351,5,1)="M","M(여름)",IF(MID($D351,5,1)="X","X(사계절)",MID($D351,5,1)))))</f>
        <v>M(여름)</v>
      </c>
      <c r="G351" s="26" t="s">
        <v>167</v>
      </c>
      <c r="H351" s="24"/>
      <c r="I351" s="27" t="s">
        <v>841</v>
      </c>
      <c r="J351" s="28" t="n">
        <f aca="false">IF($I351="","",IFERROR(DATE(IF(VALUE(LEFT($I351,FIND("월",$I351)-1))&gt;=9,기준정보!$C$7-1,기준정보!$C$7),VALUE(LEFT($I351,FIND("월",$I351)-1)),1+7*(VALUE(SUBSTITUTE(MID($I351,FIND("월",$I351)+1,5),"주",""))-1)),""))</f>
        <v>46492</v>
      </c>
      <c r="K351" s="28" t="n">
        <f aca="false">IF($J351="","",$J351-기준정보!$C$5)</f>
        <v>46478</v>
      </c>
      <c r="L351" s="28" t="n">
        <f aca="false">IF($K351="","",$K351-기준정보!$C$6)</f>
        <v>46388</v>
      </c>
      <c r="M351" s="29" t="n">
        <f aca="false">IF($L351="","",$L351-기준정보!$C$4)</f>
        <v>146</v>
      </c>
      <c r="N351" s="27" t="s">
        <v>65</v>
      </c>
      <c r="O351" s="30"/>
      <c r="P351" s="26" t="str">
        <f aca="false">IF($G351="","",IF(AND(ISNUMBER(SEARCH("CMT",$G351)),OR(ISNUMBER(SEARCH("완사입",$G351)),ISNUMBER(SEARCH("ODM",$G351)))),"본사/생산처 혼재",IF(ISNUMBER(SEARCH("CMT",$G351)),"본사(소재팀)","생산처")))</f>
        <v>본사(소재팀)</v>
      </c>
      <c r="Q351" s="25" t="s">
        <v>168</v>
      </c>
      <c r="R351" s="25" t="s">
        <v>67</v>
      </c>
      <c r="S351" s="31" t="n">
        <v>7500</v>
      </c>
      <c r="T351" s="26" t="s">
        <v>841</v>
      </c>
      <c r="U351" s="26" t="str">
        <f aca="false">IF($J351="","출고일 미정",IF($N351="X","작지 미발행",IF($N351="부분","작지 일부 미발행",IF(AND($O351&lt;&gt;"",$O351&gt;$L351),"소재입고 마감("&amp;TEXT($L351,"MM/DD")&amp;") 초과",IF($N351="","발행여부 확인 필요",IF($O351="","소재 입고일정 확인 필요","정상"))))))</f>
        <v>소재 입고일정 확인 필요</v>
      </c>
      <c r="V351" s="24" t="str">
        <f aca="false">IF($J351="","",IF(OR(LEFT($U351,2)="작지",LEFT($U351,4)="소재입고"),IF(LEFT($F351,1)="S","★ 납기위험(S코드)","◆ 지연주의"),IF($U351="정상","✓ 정상","? 확인필요")))</f>
        <v>? 확인필요</v>
      </c>
      <c r="W351" s="27"/>
      <c r="X351" s="32"/>
    </row>
    <row r="352" customFormat="false" ht="15" hidden="false" customHeight="false" outlineLevel="0" collapsed="false">
      <c r="A352" s="24" t="n">
        <v>348</v>
      </c>
      <c r="B352" s="25" t="s">
        <v>163</v>
      </c>
      <c r="C352" s="25" t="s">
        <v>844</v>
      </c>
      <c r="D352" s="26" t="s">
        <v>845</v>
      </c>
      <c r="E352" s="25" t="s">
        <v>846</v>
      </c>
      <c r="F352" s="24" t="str">
        <f aca="false">IF($D352="","",IF(MID($D352,5,1)="S","S(봄)",IF(MID($D352,5,1)="M","M(여름)",IF(MID($D352,5,1)="X","X(사계절)",MID($D352,5,1)))))</f>
        <v>M(여름)</v>
      </c>
      <c r="G352" s="25" t="s">
        <v>62</v>
      </c>
      <c r="H352" s="24"/>
      <c r="I352" s="27" t="s">
        <v>841</v>
      </c>
      <c r="J352" s="28" t="n">
        <f aca="false">IF($I352="","",IFERROR(DATE(IF(VALUE(LEFT($I352,FIND("월",$I352)-1))&gt;=9,기준정보!$C$7-1,기준정보!$C$7),VALUE(LEFT($I352,FIND("월",$I352)-1)),1+7*(VALUE(SUBSTITUTE(MID($I352,FIND("월",$I352)+1,5),"주",""))-1)),""))</f>
        <v>46492</v>
      </c>
      <c r="K352" s="28" t="n">
        <f aca="false">IF($J352="","",$J352-기준정보!$C$5)</f>
        <v>46478</v>
      </c>
      <c r="L352" s="28" t="n">
        <f aca="false">IF($K352="","",$K352-기준정보!$C$6)</f>
        <v>46388</v>
      </c>
      <c r="M352" s="29" t="n">
        <f aca="false">IF($L352="","",$L352-기준정보!$C$4)</f>
        <v>146</v>
      </c>
      <c r="N352" s="27" t="s">
        <v>65</v>
      </c>
      <c r="O352" s="30"/>
      <c r="P352" s="26" t="str">
        <f aca="false">IF($G352="","",IF(AND(ISNUMBER(SEARCH("CMT",$G352)),OR(ISNUMBER(SEARCH("완사입",$G352)),ISNUMBER(SEARCH("ODM",$G352)))),"본사/생산처 혼재",IF(ISNUMBER(SEARCH("CMT",$G352)),"본사(소재팀)","생산처")))</f>
        <v>생산처</v>
      </c>
      <c r="Q352" s="25" t="s">
        <v>245</v>
      </c>
      <c r="R352" s="25" t="s">
        <v>67</v>
      </c>
      <c r="S352" s="31" t="n">
        <v>4000</v>
      </c>
      <c r="T352" s="26" t="s">
        <v>841</v>
      </c>
      <c r="U352" s="26" t="str">
        <f aca="false">IF($J352="","출고일 미정",IF($N352="X","작지 미발행",IF($N352="부분","작지 일부 미발행",IF(AND($O352&lt;&gt;"",$O352&gt;$L352),"소재입고 마감("&amp;TEXT($L352,"MM/DD")&amp;") 초과",IF($N352="","발행여부 확인 필요",IF($O352="","소재 입고일정 확인 필요","정상"))))))</f>
        <v>소재 입고일정 확인 필요</v>
      </c>
      <c r="V352" s="24" t="str">
        <f aca="false">IF($J352="","",IF(OR(LEFT($U352,2)="작지",LEFT($U352,4)="소재입고"),IF(LEFT($F352,1)="S","★ 납기위험(S코드)","◆ 지연주의"),IF($U352="정상","✓ 정상","? 확인필요")))</f>
        <v>? 확인필요</v>
      </c>
      <c r="W352" s="27"/>
      <c r="X352" s="32"/>
    </row>
    <row r="353" customFormat="false" ht="15" hidden="false" customHeight="false" outlineLevel="0" collapsed="false">
      <c r="A353" s="24" t="n">
        <v>349</v>
      </c>
      <c r="B353" s="25" t="s">
        <v>163</v>
      </c>
      <c r="C353" s="25" t="s">
        <v>164</v>
      </c>
      <c r="D353" s="26" t="s">
        <v>847</v>
      </c>
      <c r="E353" s="25" t="s">
        <v>848</v>
      </c>
      <c r="F353" s="24" t="str">
        <f aca="false">IF($D353="","",IF(MID($D353,5,1)="S","S(봄)",IF(MID($D353,5,1)="M","M(여름)",IF(MID($D353,5,1)="X","X(사계절)",MID($D353,5,1)))))</f>
        <v>M(여름)</v>
      </c>
      <c r="G353" s="25" t="s">
        <v>62</v>
      </c>
      <c r="H353" s="24"/>
      <c r="I353" s="27" t="s">
        <v>841</v>
      </c>
      <c r="J353" s="28" t="n">
        <f aca="false">IF($I353="","",IFERROR(DATE(IF(VALUE(LEFT($I353,FIND("월",$I353)-1))&gt;=9,기준정보!$C$7-1,기준정보!$C$7),VALUE(LEFT($I353,FIND("월",$I353)-1)),1+7*(VALUE(SUBSTITUTE(MID($I353,FIND("월",$I353)+1,5),"주",""))-1)),""))</f>
        <v>46492</v>
      </c>
      <c r="K353" s="28" t="n">
        <f aca="false">IF($J353="","",$J353-기준정보!$C$5)</f>
        <v>46478</v>
      </c>
      <c r="L353" s="28" t="n">
        <f aca="false">IF($K353="","",$K353-기준정보!$C$6)</f>
        <v>46388</v>
      </c>
      <c r="M353" s="29" t="n">
        <f aca="false">IF($L353="","",$L353-기준정보!$C$4)</f>
        <v>146</v>
      </c>
      <c r="N353" s="27" t="s">
        <v>65</v>
      </c>
      <c r="O353" s="30"/>
      <c r="P353" s="26" t="str">
        <f aca="false">IF($G353="","",IF(AND(ISNUMBER(SEARCH("CMT",$G353)),OR(ISNUMBER(SEARCH("완사입",$G353)),ISNUMBER(SEARCH("ODM",$G353)))),"본사/생산처 혼재",IF(ISNUMBER(SEARCH("CMT",$G353)),"본사(소재팀)","생산처")))</f>
        <v>생산처</v>
      </c>
      <c r="Q353" s="26" t="s">
        <v>193</v>
      </c>
      <c r="R353" s="25" t="s">
        <v>71</v>
      </c>
      <c r="S353" s="31" t="n">
        <v>3500</v>
      </c>
      <c r="T353" s="26" t="s">
        <v>841</v>
      </c>
      <c r="U353" s="26" t="str">
        <f aca="false">IF($J353="","출고일 미정",IF($N353="X","작지 미발행",IF($N353="부분","작지 일부 미발행",IF(AND($O353&lt;&gt;"",$O353&gt;$L353),"소재입고 마감("&amp;TEXT($L353,"MM/DD")&amp;") 초과",IF($N353="","발행여부 확인 필요",IF($O353="","소재 입고일정 확인 필요","정상"))))))</f>
        <v>소재 입고일정 확인 필요</v>
      </c>
      <c r="V353" s="24" t="str">
        <f aca="false">IF($J353="","",IF(OR(LEFT($U353,2)="작지",LEFT($U353,4)="소재입고"),IF(LEFT($F353,1)="S","★ 납기위험(S코드)","◆ 지연주의"),IF($U353="정상","✓ 정상","? 확인필요")))</f>
        <v>? 확인필요</v>
      </c>
      <c r="W353" s="27"/>
      <c r="X353" s="32"/>
    </row>
    <row r="354" customFormat="false" ht="15" hidden="false" customHeight="false" outlineLevel="0" collapsed="false">
      <c r="A354" s="24" t="n">
        <v>350</v>
      </c>
      <c r="B354" s="25" t="s">
        <v>163</v>
      </c>
      <c r="C354" s="25" t="s">
        <v>179</v>
      </c>
      <c r="D354" s="26" t="s">
        <v>849</v>
      </c>
      <c r="E354" s="25" t="s">
        <v>848</v>
      </c>
      <c r="F354" s="24" t="str">
        <f aca="false">IF($D354="","",IF(MID($D354,5,1)="S","S(봄)",IF(MID($D354,5,1)="M","M(여름)",IF(MID($D354,5,1)="X","X(사계절)",MID($D354,5,1)))))</f>
        <v>M(여름)</v>
      </c>
      <c r="G354" s="25" t="s">
        <v>62</v>
      </c>
      <c r="H354" s="24"/>
      <c r="I354" s="27" t="s">
        <v>841</v>
      </c>
      <c r="J354" s="28" t="n">
        <f aca="false">IF($I354="","",IFERROR(DATE(IF(VALUE(LEFT($I354,FIND("월",$I354)-1))&gt;=9,기준정보!$C$7-1,기준정보!$C$7),VALUE(LEFT($I354,FIND("월",$I354)-1)),1+7*(VALUE(SUBSTITUTE(MID($I354,FIND("월",$I354)+1,5),"주",""))-1)),""))</f>
        <v>46492</v>
      </c>
      <c r="K354" s="28" t="n">
        <f aca="false">IF($J354="","",$J354-기준정보!$C$5)</f>
        <v>46478</v>
      </c>
      <c r="L354" s="28" t="n">
        <f aca="false">IF($K354="","",$K354-기준정보!$C$6)</f>
        <v>46388</v>
      </c>
      <c r="M354" s="29" t="n">
        <f aca="false">IF($L354="","",$L354-기준정보!$C$4)</f>
        <v>146</v>
      </c>
      <c r="N354" s="27" t="s">
        <v>65</v>
      </c>
      <c r="O354" s="30"/>
      <c r="P354" s="26" t="str">
        <f aca="false">IF($G354="","",IF(AND(ISNUMBER(SEARCH("CMT",$G354)),OR(ISNUMBER(SEARCH("완사입",$G354)),ISNUMBER(SEARCH("ODM",$G354)))),"본사/생산처 혼재",IF(ISNUMBER(SEARCH("CMT",$G354)),"본사(소재팀)","생산처")))</f>
        <v>생산처</v>
      </c>
      <c r="Q354" s="26" t="s">
        <v>193</v>
      </c>
      <c r="R354" s="25" t="s">
        <v>71</v>
      </c>
      <c r="S354" s="31" t="n">
        <v>2500</v>
      </c>
      <c r="T354" s="26" t="s">
        <v>841</v>
      </c>
      <c r="U354" s="26" t="str">
        <f aca="false">IF($J354="","출고일 미정",IF($N354="X","작지 미발행",IF($N354="부분","작지 일부 미발행",IF(AND($O354&lt;&gt;"",$O354&gt;$L354),"소재입고 마감("&amp;TEXT($L354,"MM/DD")&amp;") 초과",IF($N354="","발행여부 확인 필요",IF($O354="","소재 입고일정 확인 필요","정상"))))))</f>
        <v>소재 입고일정 확인 필요</v>
      </c>
      <c r="V354" s="24" t="str">
        <f aca="false">IF($J354="","",IF(OR(LEFT($U354,2)="작지",LEFT($U354,4)="소재입고"),IF(LEFT($F354,1)="S","★ 납기위험(S코드)","◆ 지연주의"),IF($U354="정상","✓ 정상","? 확인필요")))</f>
        <v>? 확인필요</v>
      </c>
      <c r="W354" s="27"/>
      <c r="X354" s="32"/>
    </row>
    <row r="355" customFormat="false" ht="15" hidden="false" customHeight="false" outlineLevel="0" collapsed="false">
      <c r="A355" s="24" t="n">
        <v>351</v>
      </c>
      <c r="B355" s="25" t="s">
        <v>163</v>
      </c>
      <c r="C355" s="25" t="s">
        <v>179</v>
      </c>
      <c r="D355" s="26" t="s">
        <v>850</v>
      </c>
      <c r="E355" s="25" t="s">
        <v>851</v>
      </c>
      <c r="F355" s="24" t="str">
        <f aca="false">IF($D355="","",IF(MID($D355,5,1)="S","S(봄)",IF(MID($D355,5,1)="M","M(여름)",IF(MID($D355,5,1)="X","X(사계절)",MID($D355,5,1)))))</f>
        <v>M(여름)</v>
      </c>
      <c r="G355" s="25" t="s">
        <v>62</v>
      </c>
      <c r="H355" s="24"/>
      <c r="I355" s="27" t="s">
        <v>841</v>
      </c>
      <c r="J355" s="28" t="n">
        <f aca="false">IF($I355="","",IFERROR(DATE(IF(VALUE(LEFT($I355,FIND("월",$I355)-1))&gt;=9,기준정보!$C$7-1,기준정보!$C$7),VALUE(LEFT($I355,FIND("월",$I355)-1)),1+7*(VALUE(SUBSTITUTE(MID($I355,FIND("월",$I355)+1,5),"주",""))-1)),""))</f>
        <v>46492</v>
      </c>
      <c r="K355" s="28" t="n">
        <f aca="false">IF($J355="","",$J355-기준정보!$C$5)</f>
        <v>46478</v>
      </c>
      <c r="L355" s="28" t="n">
        <f aca="false">IF($K355="","",$K355-기준정보!$C$6)</f>
        <v>46388</v>
      </c>
      <c r="M355" s="29" t="n">
        <f aca="false">IF($L355="","",$L355-기준정보!$C$4)</f>
        <v>146</v>
      </c>
      <c r="N355" s="27" t="s">
        <v>65</v>
      </c>
      <c r="O355" s="30"/>
      <c r="P355" s="26" t="str">
        <f aca="false">IF($G355="","",IF(AND(ISNUMBER(SEARCH("CMT",$G355)),OR(ISNUMBER(SEARCH("완사입",$G355)),ISNUMBER(SEARCH("ODM",$G355)))),"본사/생산처 혼재",IF(ISNUMBER(SEARCH("CMT",$G355)),"본사(소재팀)","생산처")))</f>
        <v>생산처</v>
      </c>
      <c r="Q355" s="25" t="s">
        <v>245</v>
      </c>
      <c r="R355" s="25" t="s">
        <v>67</v>
      </c>
      <c r="S355" s="31" t="n">
        <v>5000</v>
      </c>
      <c r="T355" s="26" t="s">
        <v>841</v>
      </c>
      <c r="U355" s="26" t="str">
        <f aca="false">IF($J355="","출고일 미정",IF($N355="X","작지 미발행",IF($N355="부분","작지 일부 미발행",IF(AND($O355&lt;&gt;"",$O355&gt;$L355),"소재입고 마감("&amp;TEXT($L355,"MM/DD")&amp;") 초과",IF($N355="","발행여부 확인 필요",IF($O355="","소재 입고일정 확인 필요","정상"))))))</f>
        <v>소재 입고일정 확인 필요</v>
      </c>
      <c r="V355" s="24" t="str">
        <f aca="false">IF($J355="","",IF(OR(LEFT($U355,2)="작지",LEFT($U355,4)="소재입고"),IF(LEFT($F355,1)="S","★ 납기위험(S코드)","◆ 지연주의"),IF($U355="정상","✓ 정상","? 확인필요")))</f>
        <v>? 확인필요</v>
      </c>
      <c r="W355" s="27"/>
      <c r="X355" s="32"/>
    </row>
    <row r="356" customFormat="false" ht="15" hidden="false" customHeight="false" outlineLevel="0" collapsed="false">
      <c r="A356" s="24" t="n">
        <v>352</v>
      </c>
      <c r="B356" s="25" t="s">
        <v>163</v>
      </c>
      <c r="C356" s="25" t="s">
        <v>164</v>
      </c>
      <c r="D356" s="26" t="s">
        <v>852</v>
      </c>
      <c r="E356" s="25" t="s">
        <v>853</v>
      </c>
      <c r="F356" s="24" t="str">
        <f aca="false">IF($D356="","",IF(MID($D356,5,1)="S","S(봄)",IF(MID($D356,5,1)="M","M(여름)",IF(MID($D356,5,1)="X","X(사계절)",MID($D356,5,1)))))</f>
        <v>M(여름)</v>
      </c>
      <c r="G356" s="25" t="s">
        <v>62</v>
      </c>
      <c r="H356" s="24"/>
      <c r="I356" s="27" t="s">
        <v>841</v>
      </c>
      <c r="J356" s="28" t="n">
        <f aca="false">IF($I356="","",IFERROR(DATE(IF(VALUE(LEFT($I356,FIND("월",$I356)-1))&gt;=9,기준정보!$C$7-1,기준정보!$C$7),VALUE(LEFT($I356,FIND("월",$I356)-1)),1+7*(VALUE(SUBSTITUTE(MID($I356,FIND("월",$I356)+1,5),"주",""))-1)),""))</f>
        <v>46492</v>
      </c>
      <c r="K356" s="28" t="n">
        <f aca="false">IF($J356="","",$J356-기준정보!$C$5)</f>
        <v>46478</v>
      </c>
      <c r="L356" s="28" t="n">
        <f aca="false">IF($K356="","",$K356-기준정보!$C$6)</f>
        <v>46388</v>
      </c>
      <c r="M356" s="29" t="n">
        <f aca="false">IF($L356="","",$L356-기준정보!$C$4)</f>
        <v>146</v>
      </c>
      <c r="N356" s="27" t="s">
        <v>65</v>
      </c>
      <c r="O356" s="30"/>
      <c r="P356" s="26" t="str">
        <f aca="false">IF($G356="","",IF(AND(ISNUMBER(SEARCH("CMT",$G356)),OR(ISNUMBER(SEARCH("완사입",$G356)),ISNUMBER(SEARCH("ODM",$G356)))),"본사/생산처 혼재",IF(ISNUMBER(SEARCH("CMT",$G356)),"본사(소재팀)","생산처")))</f>
        <v>생산처</v>
      </c>
      <c r="Q356" s="25" t="s">
        <v>245</v>
      </c>
      <c r="R356" s="25" t="s">
        <v>67</v>
      </c>
      <c r="S356" s="31" t="n">
        <v>2500</v>
      </c>
      <c r="T356" s="26" t="s">
        <v>841</v>
      </c>
      <c r="U356" s="26" t="str">
        <f aca="false">IF($J356="","출고일 미정",IF($N356="X","작지 미발행",IF($N356="부분","작지 일부 미발행",IF(AND($O356&lt;&gt;"",$O356&gt;$L356),"소재입고 마감("&amp;TEXT($L356,"MM/DD")&amp;") 초과",IF($N356="","발행여부 확인 필요",IF($O356="","소재 입고일정 확인 필요","정상"))))))</f>
        <v>소재 입고일정 확인 필요</v>
      </c>
      <c r="V356" s="24" t="str">
        <f aca="false">IF($J356="","",IF(OR(LEFT($U356,2)="작지",LEFT($U356,4)="소재입고"),IF(LEFT($F356,1)="S","★ 납기위험(S코드)","◆ 지연주의"),IF($U356="정상","✓ 정상","? 확인필요")))</f>
        <v>? 확인필요</v>
      </c>
      <c r="W356" s="27"/>
      <c r="X356" s="32"/>
    </row>
    <row r="357" customFormat="false" ht="15" hidden="false" customHeight="false" outlineLevel="0" collapsed="false">
      <c r="A357" s="24" t="n">
        <v>353</v>
      </c>
      <c r="B357" s="25" t="s">
        <v>113</v>
      </c>
      <c r="C357" s="25" t="s">
        <v>114</v>
      </c>
      <c r="D357" s="26" t="s">
        <v>854</v>
      </c>
      <c r="E357" s="26" t="s">
        <v>855</v>
      </c>
      <c r="F357" s="24" t="str">
        <f aca="false">IF($D357="","",IF(MID($D357,5,1)="S","S(봄)",IF(MID($D357,5,1)="M","M(여름)",IF(MID($D357,5,1)="X","X(사계절)",MID($D357,5,1)))))</f>
        <v>X(사계절)</v>
      </c>
      <c r="G357" s="25" t="s">
        <v>62</v>
      </c>
      <c r="H357" s="24" t="s">
        <v>117</v>
      </c>
      <c r="I357" s="27" t="s">
        <v>118</v>
      </c>
      <c r="J357" s="28" t="n">
        <f aca="false">IF($I357="","",IFERROR(DATE(IF(VALUE(LEFT($I357,FIND("월",$I357)-1))&gt;=9,기준정보!$C$7-1,기준정보!$C$7),VALUE(LEFT($I357,FIND("월",$I357)-1)),1+7*(VALUE(SUBSTITUTE(MID($I357,FIND("월",$I357)+1,5),"주",""))-1)),""))</f>
        <v>46402</v>
      </c>
      <c r="K357" s="28" t="n">
        <f aca="false">IF($J357="","",$J357-기준정보!$C$5)</f>
        <v>46388</v>
      </c>
      <c r="L357" s="28" t="n">
        <f aca="false">IF($K357="","",$K357-기준정보!$C$6)</f>
        <v>46298</v>
      </c>
      <c r="M357" s="29" t="n">
        <f aca="false">IF($L357="","",$L357-기준정보!$C$4)</f>
        <v>56</v>
      </c>
      <c r="N357" s="27" t="s">
        <v>119</v>
      </c>
      <c r="O357" s="30"/>
      <c r="P357" s="26" t="str">
        <f aca="false">IF($G357="","",IF(AND(ISNUMBER(SEARCH("CMT",$G357)),OR(ISNUMBER(SEARCH("완사입",$G357)),ISNUMBER(SEARCH("ODM",$G357)))),"본사/생산처 혼재",IF(ISNUMBER(SEARCH("CMT",$G357)),"본사(소재팀)","생산처")))</f>
        <v>생산처</v>
      </c>
      <c r="Q357" s="25" t="s">
        <v>130</v>
      </c>
      <c r="R357" s="25" t="s">
        <v>67</v>
      </c>
      <c r="S357" s="31" t="n">
        <v>0</v>
      </c>
      <c r="T357" s="26"/>
      <c r="U357" s="26" t="str">
        <f aca="false">IF($J357="","출고일 미정",IF($N357="X","작지 미발행",IF($N357="부분","작지 일부 미발행",IF(AND($O357&lt;&gt;"",$O357&gt;$L357),"소재입고 마감("&amp;TEXT($L357,"MM/DD")&amp;") 초과",IF($N357="","발행여부 확인 필요",IF($O357="","소재 입고일정 확인 필요","정상"))))))</f>
        <v>작지 미발행</v>
      </c>
      <c r="V357" s="24" t="str">
        <f aca="false">IF($J357="","",IF(OR(LEFT($U357,2)="작지",LEFT($U357,4)="소재입고"),IF(LEFT($F357,1)="S","★ 납기위험(S코드)","◆ 지연주의"),IF($U357="정상","✓ 정상","? 확인필요")))</f>
        <v>◆ 지연주의</v>
      </c>
      <c r="W357" s="27"/>
      <c r="X357" s="32"/>
    </row>
    <row r="358" customFormat="false" ht="15" hidden="false" customHeight="false" outlineLevel="0" collapsed="false">
      <c r="A358" s="24" t="n">
        <v>354</v>
      </c>
      <c r="B358" s="25" t="s">
        <v>113</v>
      </c>
      <c r="C358" s="25" t="s">
        <v>114</v>
      </c>
      <c r="D358" s="26" t="s">
        <v>856</v>
      </c>
      <c r="E358" s="26" t="s">
        <v>857</v>
      </c>
      <c r="F358" s="24" t="str">
        <f aca="false">IF($D358="","",IF(MID($D358,5,1)="S","S(봄)",IF(MID($D358,5,1)="M","M(여름)",IF(MID($D358,5,1)="X","X(사계절)",MID($D358,5,1)))))</f>
        <v>X(사계절)</v>
      </c>
      <c r="G358" s="25" t="s">
        <v>62</v>
      </c>
      <c r="H358" s="24" t="s">
        <v>117</v>
      </c>
      <c r="I358" s="27" t="s">
        <v>118</v>
      </c>
      <c r="J358" s="28" t="n">
        <f aca="false">IF($I358="","",IFERROR(DATE(IF(VALUE(LEFT($I358,FIND("월",$I358)-1))&gt;=9,기준정보!$C$7-1,기준정보!$C$7),VALUE(LEFT($I358,FIND("월",$I358)-1)),1+7*(VALUE(SUBSTITUTE(MID($I358,FIND("월",$I358)+1,5),"주",""))-1)),""))</f>
        <v>46402</v>
      </c>
      <c r="K358" s="28" t="n">
        <f aca="false">IF($J358="","",$J358-기준정보!$C$5)</f>
        <v>46388</v>
      </c>
      <c r="L358" s="28" t="n">
        <f aca="false">IF($K358="","",$K358-기준정보!$C$6)</f>
        <v>46298</v>
      </c>
      <c r="M358" s="29" t="n">
        <f aca="false">IF($L358="","",$L358-기준정보!$C$4)</f>
        <v>56</v>
      </c>
      <c r="N358" s="27" t="s">
        <v>119</v>
      </c>
      <c r="O358" s="30"/>
      <c r="P358" s="26" t="str">
        <f aca="false">IF($G358="","",IF(AND(ISNUMBER(SEARCH("CMT",$G358)),OR(ISNUMBER(SEARCH("완사입",$G358)),ISNUMBER(SEARCH("ODM",$G358)))),"본사/생산처 혼재",IF(ISNUMBER(SEARCH("CMT",$G358)),"본사(소재팀)","생산처")))</f>
        <v>생산처</v>
      </c>
      <c r="Q358" s="25" t="s">
        <v>858</v>
      </c>
      <c r="R358" s="25" t="s">
        <v>105</v>
      </c>
      <c r="S358" s="31" t="n">
        <v>0</v>
      </c>
      <c r="T358" s="26"/>
      <c r="U358" s="26" t="str">
        <f aca="false">IF($J358="","출고일 미정",IF($N358="X","작지 미발행",IF($N358="부분","작지 일부 미발행",IF(AND($O358&lt;&gt;"",$O358&gt;$L358),"소재입고 마감("&amp;TEXT($L358,"MM/DD")&amp;") 초과",IF($N358="","발행여부 확인 필요",IF($O358="","소재 입고일정 확인 필요","정상"))))))</f>
        <v>작지 미발행</v>
      </c>
      <c r="V358" s="24" t="str">
        <f aca="false">IF($J358="","",IF(OR(LEFT($U358,2)="작지",LEFT($U358,4)="소재입고"),IF(LEFT($F358,1)="S","★ 납기위험(S코드)","◆ 지연주의"),IF($U358="정상","✓ 정상","? 확인필요")))</f>
        <v>◆ 지연주의</v>
      </c>
      <c r="W358" s="27"/>
      <c r="X358" s="32"/>
    </row>
    <row r="359" customFormat="false" ht="15" hidden="false" customHeight="false" outlineLevel="0" collapsed="false">
      <c r="A359" s="24" t="n">
        <v>355</v>
      </c>
      <c r="B359" s="25" t="s">
        <v>113</v>
      </c>
      <c r="C359" s="25" t="s">
        <v>114</v>
      </c>
      <c r="D359" s="26" t="s">
        <v>859</v>
      </c>
      <c r="E359" s="26" t="s">
        <v>860</v>
      </c>
      <c r="F359" s="24" t="str">
        <f aca="false">IF($D359="","",IF(MID($D359,5,1)="S","S(봄)",IF(MID($D359,5,1)="M","M(여름)",IF(MID($D359,5,1)="X","X(사계절)",MID($D359,5,1)))))</f>
        <v>X(사계절)</v>
      </c>
      <c r="G359" s="25" t="s">
        <v>62</v>
      </c>
      <c r="H359" s="24" t="s">
        <v>117</v>
      </c>
      <c r="I359" s="27" t="s">
        <v>118</v>
      </c>
      <c r="J359" s="28" t="n">
        <f aca="false">IF($I359="","",IFERROR(DATE(IF(VALUE(LEFT($I359,FIND("월",$I359)-1))&gt;=9,기준정보!$C$7-1,기준정보!$C$7),VALUE(LEFT($I359,FIND("월",$I359)-1)),1+7*(VALUE(SUBSTITUTE(MID($I359,FIND("월",$I359)+1,5),"주",""))-1)),""))</f>
        <v>46402</v>
      </c>
      <c r="K359" s="28" t="n">
        <f aca="false">IF($J359="","",$J359-기준정보!$C$5)</f>
        <v>46388</v>
      </c>
      <c r="L359" s="28" t="n">
        <f aca="false">IF($K359="","",$K359-기준정보!$C$6)</f>
        <v>46298</v>
      </c>
      <c r="M359" s="29" t="n">
        <f aca="false">IF($L359="","",$L359-기준정보!$C$4)</f>
        <v>56</v>
      </c>
      <c r="N359" s="27" t="s">
        <v>119</v>
      </c>
      <c r="O359" s="30"/>
      <c r="P359" s="26" t="str">
        <f aca="false">IF($G359="","",IF(AND(ISNUMBER(SEARCH("CMT",$G359)),OR(ISNUMBER(SEARCH("완사입",$G359)),ISNUMBER(SEARCH("ODM",$G359)))),"본사/생산처 혼재",IF(ISNUMBER(SEARCH("CMT",$G359)),"본사(소재팀)","생산처")))</f>
        <v>생산처</v>
      </c>
      <c r="Q359" s="25" t="s">
        <v>858</v>
      </c>
      <c r="R359" s="25" t="s">
        <v>105</v>
      </c>
      <c r="S359" s="31" t="n">
        <v>0</v>
      </c>
      <c r="T359" s="26"/>
      <c r="U359" s="26" t="str">
        <f aca="false">IF($J359="","출고일 미정",IF($N359="X","작지 미발행",IF($N359="부분","작지 일부 미발행",IF(AND($O359&lt;&gt;"",$O359&gt;$L359),"소재입고 마감("&amp;TEXT($L359,"MM/DD")&amp;") 초과",IF($N359="","발행여부 확인 필요",IF($O359="","소재 입고일정 확인 필요","정상"))))))</f>
        <v>작지 미발행</v>
      </c>
      <c r="V359" s="24" t="str">
        <f aca="false">IF($J359="","",IF(OR(LEFT($U359,2)="작지",LEFT($U359,4)="소재입고"),IF(LEFT($F359,1)="S","★ 납기위험(S코드)","◆ 지연주의"),IF($U359="정상","✓ 정상","? 확인필요")))</f>
        <v>◆ 지연주의</v>
      </c>
      <c r="W359" s="27"/>
      <c r="X359" s="32"/>
    </row>
    <row r="360" customFormat="false" ht="15" hidden="false" customHeight="false" outlineLevel="0" collapsed="false">
      <c r="A360" s="24" t="n">
        <v>356</v>
      </c>
      <c r="B360" s="25" t="s">
        <v>113</v>
      </c>
      <c r="C360" s="25" t="s">
        <v>114</v>
      </c>
      <c r="D360" s="26" t="s">
        <v>861</v>
      </c>
      <c r="E360" s="26" t="s">
        <v>862</v>
      </c>
      <c r="F360" s="24" t="str">
        <f aca="false">IF($D360="","",IF(MID($D360,5,1)="S","S(봄)",IF(MID($D360,5,1)="M","M(여름)",IF(MID($D360,5,1)="X","X(사계절)",MID($D360,5,1)))))</f>
        <v>X(사계절)</v>
      </c>
      <c r="G360" s="25" t="s">
        <v>62</v>
      </c>
      <c r="H360" s="24" t="s">
        <v>117</v>
      </c>
      <c r="I360" s="27" t="s">
        <v>118</v>
      </c>
      <c r="J360" s="28" t="n">
        <f aca="false">IF($I360="","",IFERROR(DATE(IF(VALUE(LEFT($I360,FIND("월",$I360)-1))&gt;=9,기준정보!$C$7-1,기준정보!$C$7),VALUE(LEFT($I360,FIND("월",$I360)-1)),1+7*(VALUE(SUBSTITUTE(MID($I360,FIND("월",$I360)+1,5),"주",""))-1)),""))</f>
        <v>46402</v>
      </c>
      <c r="K360" s="28" t="n">
        <f aca="false">IF($J360="","",$J360-기준정보!$C$5)</f>
        <v>46388</v>
      </c>
      <c r="L360" s="28" t="n">
        <f aca="false">IF($K360="","",$K360-기준정보!$C$6)</f>
        <v>46298</v>
      </c>
      <c r="M360" s="29" t="n">
        <f aca="false">IF($L360="","",$L360-기준정보!$C$4)</f>
        <v>56</v>
      </c>
      <c r="N360" s="27" t="s">
        <v>119</v>
      </c>
      <c r="O360" s="30"/>
      <c r="P360" s="26" t="str">
        <f aca="false">IF($G360="","",IF(AND(ISNUMBER(SEARCH("CMT",$G360)),OR(ISNUMBER(SEARCH("완사입",$G360)),ISNUMBER(SEARCH("ODM",$G360)))),"본사/생산처 혼재",IF(ISNUMBER(SEARCH("CMT",$G360)),"본사(소재팀)","생산처")))</f>
        <v>생산처</v>
      </c>
      <c r="Q360" s="25" t="s">
        <v>545</v>
      </c>
      <c r="R360" s="25" t="s">
        <v>134</v>
      </c>
      <c r="S360" s="31" t="n">
        <v>0</v>
      </c>
      <c r="T360" s="26"/>
      <c r="U360" s="26" t="str">
        <f aca="false">IF($J360="","출고일 미정",IF($N360="X","작지 미발행",IF($N360="부분","작지 일부 미발행",IF(AND($O360&lt;&gt;"",$O360&gt;$L360),"소재입고 마감("&amp;TEXT($L360,"MM/DD")&amp;") 초과",IF($N360="","발행여부 확인 필요",IF($O360="","소재 입고일정 확인 필요","정상"))))))</f>
        <v>작지 미발행</v>
      </c>
      <c r="V360" s="24" t="str">
        <f aca="false">IF($J360="","",IF(OR(LEFT($U360,2)="작지",LEFT($U360,4)="소재입고"),IF(LEFT($F360,1)="S","★ 납기위험(S코드)","◆ 지연주의"),IF($U360="정상","✓ 정상","? 확인필요")))</f>
        <v>◆ 지연주의</v>
      </c>
      <c r="W360" s="27"/>
      <c r="X360" s="32"/>
    </row>
    <row r="361" customFormat="false" ht="15" hidden="false" customHeight="false" outlineLevel="0" collapsed="false">
      <c r="A361" s="24" t="n">
        <v>357</v>
      </c>
      <c r="B361" s="25" t="s">
        <v>113</v>
      </c>
      <c r="C361" s="25" t="s">
        <v>114</v>
      </c>
      <c r="D361" s="26" t="s">
        <v>863</v>
      </c>
      <c r="E361" s="26" t="s">
        <v>864</v>
      </c>
      <c r="F361" s="24" t="str">
        <f aca="false">IF($D361="","",IF(MID($D361,5,1)="S","S(봄)",IF(MID($D361,5,1)="M","M(여름)",IF(MID($D361,5,1)="X","X(사계절)",MID($D361,5,1)))))</f>
        <v>X(사계절)</v>
      </c>
      <c r="G361" s="25" t="s">
        <v>62</v>
      </c>
      <c r="H361" s="24" t="s">
        <v>117</v>
      </c>
      <c r="I361" s="27" t="s">
        <v>118</v>
      </c>
      <c r="J361" s="28" t="n">
        <f aca="false">IF($I361="","",IFERROR(DATE(IF(VALUE(LEFT($I361,FIND("월",$I361)-1))&gt;=9,기준정보!$C$7-1,기준정보!$C$7),VALUE(LEFT($I361,FIND("월",$I361)-1)),1+7*(VALUE(SUBSTITUTE(MID($I361,FIND("월",$I361)+1,5),"주",""))-1)),""))</f>
        <v>46402</v>
      </c>
      <c r="K361" s="28" t="n">
        <f aca="false">IF($J361="","",$J361-기준정보!$C$5)</f>
        <v>46388</v>
      </c>
      <c r="L361" s="28" t="n">
        <f aca="false">IF($K361="","",$K361-기준정보!$C$6)</f>
        <v>46298</v>
      </c>
      <c r="M361" s="29" t="n">
        <f aca="false">IF($L361="","",$L361-기준정보!$C$4)</f>
        <v>56</v>
      </c>
      <c r="N361" s="27" t="s">
        <v>119</v>
      </c>
      <c r="O361" s="30"/>
      <c r="P361" s="26" t="str">
        <f aca="false">IF($G361="","",IF(AND(ISNUMBER(SEARCH("CMT",$G361)),OR(ISNUMBER(SEARCH("완사입",$G361)),ISNUMBER(SEARCH("ODM",$G361)))),"본사/생산처 혼재",IF(ISNUMBER(SEARCH("CMT",$G361)),"본사(소재팀)","생산처")))</f>
        <v>생산처</v>
      </c>
      <c r="Q361" s="25" t="s">
        <v>545</v>
      </c>
      <c r="R361" s="25" t="s">
        <v>134</v>
      </c>
      <c r="S361" s="31" t="n">
        <v>0</v>
      </c>
      <c r="T361" s="26"/>
      <c r="U361" s="26" t="str">
        <f aca="false">IF($J361="","출고일 미정",IF($N361="X","작지 미발행",IF($N361="부분","작지 일부 미발행",IF(AND($O361&lt;&gt;"",$O361&gt;$L361),"소재입고 마감("&amp;TEXT($L361,"MM/DD")&amp;") 초과",IF($N361="","발행여부 확인 필요",IF($O361="","소재 입고일정 확인 필요","정상"))))))</f>
        <v>작지 미발행</v>
      </c>
      <c r="V361" s="24" t="str">
        <f aca="false">IF($J361="","",IF(OR(LEFT($U361,2)="작지",LEFT($U361,4)="소재입고"),IF(LEFT($F361,1)="S","★ 납기위험(S코드)","◆ 지연주의"),IF($U361="정상","✓ 정상","? 확인필요")))</f>
        <v>◆ 지연주의</v>
      </c>
      <c r="W361" s="27"/>
      <c r="X361" s="32"/>
    </row>
    <row r="362" customFormat="false" ht="15" hidden="false" customHeight="false" outlineLevel="0" collapsed="false">
      <c r="A362" s="24" t="n">
        <v>358</v>
      </c>
      <c r="B362" s="25" t="s">
        <v>113</v>
      </c>
      <c r="C362" s="25" t="s">
        <v>114</v>
      </c>
      <c r="D362" s="26" t="s">
        <v>865</v>
      </c>
      <c r="E362" s="26" t="s">
        <v>866</v>
      </c>
      <c r="F362" s="24" t="str">
        <f aca="false">IF($D362="","",IF(MID($D362,5,1)="S","S(봄)",IF(MID($D362,5,1)="M","M(여름)",IF(MID($D362,5,1)="X","X(사계절)",MID($D362,5,1)))))</f>
        <v>X(사계절)</v>
      </c>
      <c r="G362" s="25" t="s">
        <v>62</v>
      </c>
      <c r="H362" s="24" t="s">
        <v>117</v>
      </c>
      <c r="I362" s="27" t="s">
        <v>118</v>
      </c>
      <c r="J362" s="28" t="n">
        <f aca="false">IF($I362="","",IFERROR(DATE(IF(VALUE(LEFT($I362,FIND("월",$I362)-1))&gt;=9,기준정보!$C$7-1,기준정보!$C$7),VALUE(LEFT($I362,FIND("월",$I362)-1)),1+7*(VALUE(SUBSTITUTE(MID($I362,FIND("월",$I362)+1,5),"주",""))-1)),""))</f>
        <v>46402</v>
      </c>
      <c r="K362" s="28" t="n">
        <f aca="false">IF($J362="","",$J362-기준정보!$C$5)</f>
        <v>46388</v>
      </c>
      <c r="L362" s="28" t="n">
        <f aca="false">IF($K362="","",$K362-기준정보!$C$6)</f>
        <v>46298</v>
      </c>
      <c r="M362" s="29" t="n">
        <f aca="false">IF($L362="","",$L362-기준정보!$C$4)</f>
        <v>56</v>
      </c>
      <c r="N362" s="27" t="s">
        <v>119</v>
      </c>
      <c r="O362" s="30"/>
      <c r="P362" s="26" t="str">
        <f aca="false">IF($G362="","",IF(AND(ISNUMBER(SEARCH("CMT",$G362)),OR(ISNUMBER(SEARCH("완사입",$G362)),ISNUMBER(SEARCH("ODM",$G362)))),"본사/생산처 혼재",IF(ISNUMBER(SEARCH("CMT",$G362)),"본사(소재팀)","생산처")))</f>
        <v>생산처</v>
      </c>
      <c r="Q362" s="25" t="s">
        <v>204</v>
      </c>
      <c r="R362" s="25" t="s">
        <v>67</v>
      </c>
      <c r="S362" s="31" t="n">
        <v>0</v>
      </c>
      <c r="T362" s="26"/>
      <c r="U362" s="26" t="str">
        <f aca="false">IF($J362="","출고일 미정",IF($N362="X","작지 미발행",IF($N362="부분","작지 일부 미발행",IF(AND($O362&lt;&gt;"",$O362&gt;$L362),"소재입고 마감("&amp;TEXT($L362,"MM/DD")&amp;") 초과",IF($N362="","발행여부 확인 필요",IF($O362="","소재 입고일정 확인 필요","정상"))))))</f>
        <v>작지 미발행</v>
      </c>
      <c r="V362" s="24" t="str">
        <f aca="false">IF($J362="","",IF(OR(LEFT($U362,2)="작지",LEFT($U362,4)="소재입고"),IF(LEFT($F362,1)="S","★ 납기위험(S코드)","◆ 지연주의"),IF($U362="정상","✓ 정상","? 확인필요")))</f>
        <v>◆ 지연주의</v>
      </c>
      <c r="W362" s="27"/>
      <c r="X362" s="32"/>
    </row>
    <row r="363" customFormat="false" ht="15" hidden="false" customHeight="false" outlineLevel="0" collapsed="false">
      <c r="A363" s="24" t="n">
        <v>359</v>
      </c>
      <c r="B363" s="25" t="s">
        <v>113</v>
      </c>
      <c r="C363" s="25" t="s">
        <v>114</v>
      </c>
      <c r="D363" s="26" t="s">
        <v>867</v>
      </c>
      <c r="E363" s="26" t="s">
        <v>868</v>
      </c>
      <c r="F363" s="24" t="str">
        <f aca="false">IF($D363="","",IF(MID($D363,5,1)="S","S(봄)",IF(MID($D363,5,1)="M","M(여름)",IF(MID($D363,5,1)="X","X(사계절)",MID($D363,5,1)))))</f>
        <v>X(사계절)</v>
      </c>
      <c r="G363" s="25" t="s">
        <v>62</v>
      </c>
      <c r="H363" s="24" t="s">
        <v>117</v>
      </c>
      <c r="I363" s="27" t="s">
        <v>118</v>
      </c>
      <c r="J363" s="28" t="n">
        <f aca="false">IF($I363="","",IFERROR(DATE(IF(VALUE(LEFT($I363,FIND("월",$I363)-1))&gt;=9,기준정보!$C$7-1,기준정보!$C$7),VALUE(LEFT($I363,FIND("월",$I363)-1)),1+7*(VALUE(SUBSTITUTE(MID($I363,FIND("월",$I363)+1,5),"주",""))-1)),""))</f>
        <v>46402</v>
      </c>
      <c r="K363" s="28" t="n">
        <f aca="false">IF($J363="","",$J363-기준정보!$C$5)</f>
        <v>46388</v>
      </c>
      <c r="L363" s="28" t="n">
        <f aca="false">IF($K363="","",$K363-기준정보!$C$6)</f>
        <v>46298</v>
      </c>
      <c r="M363" s="29" t="n">
        <f aca="false">IF($L363="","",$L363-기준정보!$C$4)</f>
        <v>56</v>
      </c>
      <c r="N363" s="27" t="s">
        <v>119</v>
      </c>
      <c r="O363" s="30"/>
      <c r="P363" s="26" t="str">
        <f aca="false">IF($G363="","",IF(AND(ISNUMBER(SEARCH("CMT",$G363)),OR(ISNUMBER(SEARCH("완사입",$G363)),ISNUMBER(SEARCH("ODM",$G363)))),"본사/생산처 혼재",IF(ISNUMBER(SEARCH("CMT",$G363)),"본사(소재팀)","생산처")))</f>
        <v>생산처</v>
      </c>
      <c r="Q363" s="25" t="s">
        <v>204</v>
      </c>
      <c r="R363" s="25" t="s">
        <v>67</v>
      </c>
      <c r="S363" s="31" t="n">
        <v>0</v>
      </c>
      <c r="T363" s="26"/>
      <c r="U363" s="26" t="str">
        <f aca="false">IF($J363="","출고일 미정",IF($N363="X","작지 미발행",IF($N363="부분","작지 일부 미발행",IF(AND($O363&lt;&gt;"",$O363&gt;$L363),"소재입고 마감("&amp;TEXT($L363,"MM/DD")&amp;") 초과",IF($N363="","발행여부 확인 필요",IF($O363="","소재 입고일정 확인 필요","정상"))))))</f>
        <v>작지 미발행</v>
      </c>
      <c r="V363" s="24" t="str">
        <f aca="false">IF($J363="","",IF(OR(LEFT($U363,2)="작지",LEFT($U363,4)="소재입고"),IF(LEFT($F363,1)="S","★ 납기위험(S코드)","◆ 지연주의"),IF($U363="정상","✓ 정상","? 확인필요")))</f>
        <v>◆ 지연주의</v>
      </c>
      <c r="W363" s="27"/>
      <c r="X363" s="32"/>
    </row>
    <row r="364" customFormat="false" ht="15" hidden="false" customHeight="false" outlineLevel="0" collapsed="false">
      <c r="A364" s="24" t="n">
        <v>360</v>
      </c>
      <c r="B364" s="25" t="s">
        <v>113</v>
      </c>
      <c r="C364" s="25" t="s">
        <v>123</v>
      </c>
      <c r="D364" s="26" t="s">
        <v>869</v>
      </c>
      <c r="E364" s="26" t="s">
        <v>870</v>
      </c>
      <c r="F364" s="24" t="str">
        <f aca="false">IF($D364="","",IF(MID($D364,5,1)="S","S(봄)",IF(MID($D364,5,1)="M","M(여름)",IF(MID($D364,5,1)="X","X(사계절)",MID($D364,5,1)))))</f>
        <v>X(사계절)</v>
      </c>
      <c r="G364" s="25" t="s">
        <v>62</v>
      </c>
      <c r="H364" s="24" t="s">
        <v>117</v>
      </c>
      <c r="I364" s="27" t="s">
        <v>118</v>
      </c>
      <c r="J364" s="28" t="n">
        <f aca="false">IF($I364="","",IFERROR(DATE(IF(VALUE(LEFT($I364,FIND("월",$I364)-1))&gt;=9,기준정보!$C$7-1,기준정보!$C$7),VALUE(LEFT($I364,FIND("월",$I364)-1)),1+7*(VALUE(SUBSTITUTE(MID($I364,FIND("월",$I364)+1,5),"주",""))-1)),""))</f>
        <v>46402</v>
      </c>
      <c r="K364" s="28" t="n">
        <f aca="false">IF($J364="","",$J364-기준정보!$C$5)</f>
        <v>46388</v>
      </c>
      <c r="L364" s="28" t="n">
        <f aca="false">IF($K364="","",$K364-기준정보!$C$6)</f>
        <v>46298</v>
      </c>
      <c r="M364" s="29" t="n">
        <f aca="false">IF($L364="","",$L364-기준정보!$C$4)</f>
        <v>56</v>
      </c>
      <c r="N364" s="27" t="s">
        <v>119</v>
      </c>
      <c r="O364" s="30"/>
      <c r="P364" s="26" t="str">
        <f aca="false">IF($G364="","",IF(AND(ISNUMBER(SEARCH("CMT",$G364)),OR(ISNUMBER(SEARCH("완사입",$G364)),ISNUMBER(SEARCH("ODM",$G364)))),"본사/생산처 혼재",IF(ISNUMBER(SEARCH("CMT",$G364)),"본사(소재팀)","생산처")))</f>
        <v>생산처</v>
      </c>
      <c r="Q364" s="25" t="s">
        <v>70</v>
      </c>
      <c r="R364" s="25" t="s">
        <v>67</v>
      </c>
      <c r="S364" s="31" t="n">
        <v>0</v>
      </c>
      <c r="T364" s="26"/>
      <c r="U364" s="26" t="str">
        <f aca="false">IF($J364="","출고일 미정",IF($N364="X","작지 미발행",IF($N364="부분","작지 일부 미발행",IF(AND($O364&lt;&gt;"",$O364&gt;$L364),"소재입고 마감("&amp;TEXT($L364,"MM/DD")&amp;") 초과",IF($N364="","발행여부 확인 필요",IF($O364="","소재 입고일정 확인 필요","정상"))))))</f>
        <v>작지 미발행</v>
      </c>
      <c r="V364" s="24" t="str">
        <f aca="false">IF($J364="","",IF(OR(LEFT($U364,2)="작지",LEFT($U364,4)="소재입고"),IF(LEFT($F364,1)="S","★ 납기위험(S코드)","◆ 지연주의"),IF($U364="정상","✓ 정상","? 확인필요")))</f>
        <v>◆ 지연주의</v>
      </c>
      <c r="W364" s="27"/>
      <c r="X364" s="32"/>
    </row>
    <row r="365" customFormat="false" ht="15" hidden="false" customHeight="false" outlineLevel="0" collapsed="false">
      <c r="A365" s="24" t="n">
        <v>361</v>
      </c>
      <c r="B365" s="25" t="s">
        <v>113</v>
      </c>
      <c r="C365" s="25" t="s">
        <v>114</v>
      </c>
      <c r="D365" s="26" t="s">
        <v>871</v>
      </c>
      <c r="E365" s="26" t="s">
        <v>872</v>
      </c>
      <c r="F365" s="24" t="str">
        <f aca="false">IF($D365="","",IF(MID($D365,5,1)="S","S(봄)",IF(MID($D365,5,1)="M","M(여름)",IF(MID($D365,5,1)="X","X(사계절)",MID($D365,5,1)))))</f>
        <v>X(사계절)</v>
      </c>
      <c r="G365" s="25" t="s">
        <v>62</v>
      </c>
      <c r="H365" s="24" t="s">
        <v>117</v>
      </c>
      <c r="I365" s="27" t="s">
        <v>118</v>
      </c>
      <c r="J365" s="28" t="n">
        <f aca="false">IF($I365="","",IFERROR(DATE(IF(VALUE(LEFT($I365,FIND("월",$I365)-1))&gt;=9,기준정보!$C$7-1,기준정보!$C$7),VALUE(LEFT($I365,FIND("월",$I365)-1)),1+7*(VALUE(SUBSTITUTE(MID($I365,FIND("월",$I365)+1,5),"주",""))-1)),""))</f>
        <v>46402</v>
      </c>
      <c r="K365" s="28" t="n">
        <f aca="false">IF($J365="","",$J365-기준정보!$C$5)</f>
        <v>46388</v>
      </c>
      <c r="L365" s="28" t="n">
        <f aca="false">IF($K365="","",$K365-기준정보!$C$6)</f>
        <v>46298</v>
      </c>
      <c r="M365" s="29" t="n">
        <f aca="false">IF($L365="","",$L365-기준정보!$C$4)</f>
        <v>56</v>
      </c>
      <c r="N365" s="27" t="s">
        <v>119</v>
      </c>
      <c r="O365" s="30"/>
      <c r="P365" s="26" t="str">
        <f aca="false">IF($G365="","",IF(AND(ISNUMBER(SEARCH("CMT",$G365)),OR(ISNUMBER(SEARCH("완사입",$G365)),ISNUMBER(SEARCH("ODM",$G365)))),"본사/생산처 혼재",IF(ISNUMBER(SEARCH("CMT",$G365)),"본사(소재팀)","생산처")))</f>
        <v>생산처</v>
      </c>
      <c r="Q365" s="25" t="s">
        <v>204</v>
      </c>
      <c r="R365" s="25" t="s">
        <v>67</v>
      </c>
      <c r="S365" s="31" t="n">
        <v>0</v>
      </c>
      <c r="T365" s="26"/>
      <c r="U365" s="26" t="str">
        <f aca="false">IF($J365="","출고일 미정",IF($N365="X","작지 미발행",IF($N365="부분","작지 일부 미발행",IF(AND($O365&lt;&gt;"",$O365&gt;$L365),"소재입고 마감("&amp;TEXT($L365,"MM/DD")&amp;") 초과",IF($N365="","발행여부 확인 필요",IF($O365="","소재 입고일정 확인 필요","정상"))))))</f>
        <v>작지 미발행</v>
      </c>
      <c r="V365" s="24" t="str">
        <f aca="false">IF($J365="","",IF(OR(LEFT($U365,2)="작지",LEFT($U365,4)="소재입고"),IF(LEFT($F365,1)="S","★ 납기위험(S코드)","◆ 지연주의"),IF($U365="정상","✓ 정상","? 확인필요")))</f>
        <v>◆ 지연주의</v>
      </c>
      <c r="W365" s="27"/>
      <c r="X365" s="32"/>
    </row>
    <row r="366" customFormat="false" ht="15" hidden="false" customHeight="false" outlineLevel="0" collapsed="false">
      <c r="A366" s="24" t="n">
        <v>362</v>
      </c>
      <c r="B366" s="25" t="s">
        <v>113</v>
      </c>
      <c r="C366" s="25" t="s">
        <v>114</v>
      </c>
      <c r="D366" s="26" t="s">
        <v>873</v>
      </c>
      <c r="E366" s="26" t="s">
        <v>874</v>
      </c>
      <c r="F366" s="24" t="str">
        <f aca="false">IF($D366="","",IF(MID($D366,5,1)="S","S(봄)",IF(MID($D366,5,1)="M","M(여름)",IF(MID($D366,5,1)="X","X(사계절)",MID($D366,5,1)))))</f>
        <v>X(사계절)</v>
      </c>
      <c r="G366" s="25" t="s">
        <v>62</v>
      </c>
      <c r="H366" s="24" t="s">
        <v>117</v>
      </c>
      <c r="I366" s="27" t="s">
        <v>118</v>
      </c>
      <c r="J366" s="28" t="n">
        <f aca="false">IF($I366="","",IFERROR(DATE(IF(VALUE(LEFT($I366,FIND("월",$I366)-1))&gt;=9,기준정보!$C$7-1,기준정보!$C$7),VALUE(LEFT($I366,FIND("월",$I366)-1)),1+7*(VALUE(SUBSTITUTE(MID($I366,FIND("월",$I366)+1,5),"주",""))-1)),""))</f>
        <v>46402</v>
      </c>
      <c r="K366" s="28" t="n">
        <f aca="false">IF($J366="","",$J366-기준정보!$C$5)</f>
        <v>46388</v>
      </c>
      <c r="L366" s="28" t="n">
        <f aca="false">IF($K366="","",$K366-기준정보!$C$6)</f>
        <v>46298</v>
      </c>
      <c r="M366" s="29" t="n">
        <f aca="false">IF($L366="","",$L366-기준정보!$C$4)</f>
        <v>56</v>
      </c>
      <c r="N366" s="27" t="s">
        <v>119</v>
      </c>
      <c r="O366" s="30"/>
      <c r="P366" s="26" t="str">
        <f aca="false">IF($G366="","",IF(AND(ISNUMBER(SEARCH("CMT",$G366)),OR(ISNUMBER(SEARCH("완사입",$G366)),ISNUMBER(SEARCH("ODM",$G366)))),"본사/생산처 혼재",IF(ISNUMBER(SEARCH("CMT",$G366)),"본사(소재팀)","생산처")))</f>
        <v>생산처</v>
      </c>
      <c r="Q366" s="25" t="s">
        <v>204</v>
      </c>
      <c r="R366" s="25" t="s">
        <v>67</v>
      </c>
      <c r="S366" s="31" t="n">
        <v>0</v>
      </c>
      <c r="T366" s="26"/>
      <c r="U366" s="26" t="str">
        <f aca="false">IF($J366="","출고일 미정",IF($N366="X","작지 미발행",IF($N366="부분","작지 일부 미발행",IF(AND($O366&lt;&gt;"",$O366&gt;$L366),"소재입고 마감("&amp;TEXT($L366,"MM/DD")&amp;") 초과",IF($N366="","발행여부 확인 필요",IF($O366="","소재 입고일정 확인 필요","정상"))))))</f>
        <v>작지 미발행</v>
      </c>
      <c r="V366" s="24" t="str">
        <f aca="false">IF($J366="","",IF(OR(LEFT($U366,2)="작지",LEFT($U366,4)="소재입고"),IF(LEFT($F366,1)="S","★ 납기위험(S코드)","◆ 지연주의"),IF($U366="정상","✓ 정상","? 확인필요")))</f>
        <v>◆ 지연주의</v>
      </c>
      <c r="W366" s="27"/>
      <c r="X366" s="32"/>
    </row>
    <row r="367" customFormat="false" ht="15" hidden="false" customHeight="false" outlineLevel="0" collapsed="false">
      <c r="A367" s="24" t="n">
        <v>363</v>
      </c>
      <c r="B367" s="25" t="s">
        <v>541</v>
      </c>
      <c r="C367" s="25" t="s">
        <v>386</v>
      </c>
      <c r="D367" s="26" t="s">
        <v>875</v>
      </c>
      <c r="E367" s="25" t="s">
        <v>876</v>
      </c>
      <c r="F367" s="24" t="str">
        <f aca="false">IF($D367="","",IF(MID($D367,5,1)="S","S(봄)",IF(MID($D367,5,1)="M","M(여름)",IF(MID($D367,5,1)="X","X(사계절)",MID($D367,5,1)))))</f>
        <v>X(사계절)</v>
      </c>
      <c r="G367" s="25" t="s">
        <v>62</v>
      </c>
      <c r="H367" s="24"/>
      <c r="I367" s="27" t="s">
        <v>118</v>
      </c>
      <c r="J367" s="28" t="n">
        <f aca="false">IF($I367="","",IFERROR(DATE(IF(VALUE(LEFT($I367,FIND("월",$I367)-1))&gt;=9,기준정보!$C$7-1,기준정보!$C$7),VALUE(LEFT($I367,FIND("월",$I367)-1)),1+7*(VALUE(SUBSTITUTE(MID($I367,FIND("월",$I367)+1,5),"주",""))-1)),""))</f>
        <v>46402</v>
      </c>
      <c r="K367" s="28" t="n">
        <f aca="false">IF($J367="","",$J367-기준정보!$C$5)</f>
        <v>46388</v>
      </c>
      <c r="L367" s="28" t="n">
        <f aca="false">IF($K367="","",$K367-기준정보!$C$6)</f>
        <v>46298</v>
      </c>
      <c r="M367" s="29" t="n">
        <f aca="false">IF($L367="","",$L367-기준정보!$C$4)</f>
        <v>56</v>
      </c>
      <c r="N367" s="27" t="s">
        <v>119</v>
      </c>
      <c r="O367" s="30"/>
      <c r="P367" s="26" t="str">
        <f aca="false">IF($G367="","",IF(AND(ISNUMBER(SEARCH("CMT",$G367)),OR(ISNUMBER(SEARCH("완사입",$G367)),ISNUMBER(SEARCH("ODM",$G367)))),"본사/생산처 혼재",IF(ISNUMBER(SEARCH("CMT",$G367)),"본사(소재팀)","생산처")))</f>
        <v>생산처</v>
      </c>
      <c r="Q367" s="25" t="s">
        <v>877</v>
      </c>
      <c r="R367" s="25" t="s">
        <v>105</v>
      </c>
      <c r="S367" s="31" t="n">
        <v>800</v>
      </c>
      <c r="T367" s="26"/>
      <c r="U367" s="26" t="str">
        <f aca="false">IF($J367="","출고일 미정",IF($N367="X","작지 미발행",IF($N367="부분","작지 일부 미발행",IF(AND($O367&lt;&gt;"",$O367&gt;$L367),"소재입고 마감("&amp;TEXT($L367,"MM/DD")&amp;") 초과",IF($N367="","발행여부 확인 필요",IF($O367="","소재 입고일정 확인 필요","정상"))))))</f>
        <v>작지 미발행</v>
      </c>
      <c r="V367" s="24" t="str">
        <f aca="false">IF($J367="","",IF(OR(LEFT($U367,2)="작지",LEFT($U367,4)="소재입고"),IF(LEFT($F367,1)="S","★ 납기위험(S코드)","◆ 지연주의"),IF($U367="정상","✓ 정상","? 확인필요")))</f>
        <v>◆ 지연주의</v>
      </c>
      <c r="W367" s="27"/>
      <c r="X367" s="32"/>
    </row>
    <row r="368" customFormat="false" ht="15" hidden="false" customHeight="false" outlineLevel="0" collapsed="false">
      <c r="A368" s="24" t="n">
        <v>364</v>
      </c>
      <c r="B368" s="25" t="s">
        <v>541</v>
      </c>
      <c r="C368" s="25" t="s">
        <v>386</v>
      </c>
      <c r="D368" s="26" t="s">
        <v>878</v>
      </c>
      <c r="E368" s="25" t="s">
        <v>879</v>
      </c>
      <c r="F368" s="24" t="str">
        <f aca="false">IF($D368="","",IF(MID($D368,5,1)="S","S(봄)",IF(MID($D368,5,1)="M","M(여름)",IF(MID($D368,5,1)="X","X(사계절)",MID($D368,5,1)))))</f>
        <v>X(사계절)</v>
      </c>
      <c r="G368" s="25" t="s">
        <v>62</v>
      </c>
      <c r="H368" s="24"/>
      <c r="I368" s="27" t="s">
        <v>118</v>
      </c>
      <c r="J368" s="28" t="n">
        <f aca="false">IF($I368="","",IFERROR(DATE(IF(VALUE(LEFT($I368,FIND("월",$I368)-1))&gt;=9,기준정보!$C$7-1,기준정보!$C$7),VALUE(LEFT($I368,FIND("월",$I368)-1)),1+7*(VALUE(SUBSTITUTE(MID($I368,FIND("월",$I368)+1,5),"주",""))-1)),""))</f>
        <v>46402</v>
      </c>
      <c r="K368" s="28" t="n">
        <f aca="false">IF($J368="","",$J368-기준정보!$C$5)</f>
        <v>46388</v>
      </c>
      <c r="L368" s="28" t="n">
        <f aca="false">IF($K368="","",$K368-기준정보!$C$6)</f>
        <v>46298</v>
      </c>
      <c r="M368" s="29" t="n">
        <f aca="false">IF($L368="","",$L368-기준정보!$C$4)</f>
        <v>56</v>
      </c>
      <c r="N368" s="27" t="s">
        <v>119</v>
      </c>
      <c r="O368" s="30"/>
      <c r="P368" s="26" t="str">
        <f aca="false">IF($G368="","",IF(AND(ISNUMBER(SEARCH("CMT",$G368)),OR(ISNUMBER(SEARCH("완사입",$G368)),ISNUMBER(SEARCH("ODM",$G368)))),"본사/생산처 혼재",IF(ISNUMBER(SEARCH("CMT",$G368)),"본사(소재팀)","생산처")))</f>
        <v>생산처</v>
      </c>
      <c r="Q368" s="25" t="s">
        <v>877</v>
      </c>
      <c r="R368" s="25" t="s">
        <v>105</v>
      </c>
      <c r="S368" s="31" t="n">
        <v>1300</v>
      </c>
      <c r="T368" s="26"/>
      <c r="U368" s="26" t="str">
        <f aca="false">IF($J368="","출고일 미정",IF($N368="X","작지 미발행",IF($N368="부분","작지 일부 미발행",IF(AND($O368&lt;&gt;"",$O368&gt;$L368),"소재입고 마감("&amp;TEXT($L368,"MM/DD")&amp;") 초과",IF($N368="","발행여부 확인 필요",IF($O368="","소재 입고일정 확인 필요","정상"))))))</f>
        <v>작지 미발행</v>
      </c>
      <c r="V368" s="24" t="str">
        <f aca="false">IF($J368="","",IF(OR(LEFT($U368,2)="작지",LEFT($U368,4)="소재입고"),IF(LEFT($F368,1)="S","★ 납기위험(S코드)","◆ 지연주의"),IF($U368="정상","✓ 정상","? 확인필요")))</f>
        <v>◆ 지연주의</v>
      </c>
      <c r="W368" s="27"/>
      <c r="X368" s="32"/>
    </row>
    <row r="369" customFormat="false" ht="15" hidden="false" customHeight="false" outlineLevel="0" collapsed="false">
      <c r="A369" s="24" t="n">
        <v>365</v>
      </c>
      <c r="B369" s="25" t="s">
        <v>541</v>
      </c>
      <c r="C369" s="25" t="s">
        <v>386</v>
      </c>
      <c r="D369" s="26" t="s">
        <v>880</v>
      </c>
      <c r="E369" s="25" t="s">
        <v>879</v>
      </c>
      <c r="F369" s="24" t="str">
        <f aca="false">IF($D369="","",IF(MID($D369,5,1)="S","S(봄)",IF(MID($D369,5,1)="M","M(여름)",IF(MID($D369,5,1)="X","X(사계절)",MID($D369,5,1)))))</f>
        <v>X(사계절)</v>
      </c>
      <c r="G369" s="25" t="s">
        <v>62</v>
      </c>
      <c r="H369" s="24"/>
      <c r="I369" s="27" t="s">
        <v>118</v>
      </c>
      <c r="J369" s="28" t="n">
        <f aca="false">IF($I369="","",IFERROR(DATE(IF(VALUE(LEFT($I369,FIND("월",$I369)-1))&gt;=9,기준정보!$C$7-1,기준정보!$C$7),VALUE(LEFT($I369,FIND("월",$I369)-1)),1+7*(VALUE(SUBSTITUTE(MID($I369,FIND("월",$I369)+1,5),"주",""))-1)),""))</f>
        <v>46402</v>
      </c>
      <c r="K369" s="28" t="n">
        <f aca="false">IF($J369="","",$J369-기준정보!$C$5)</f>
        <v>46388</v>
      </c>
      <c r="L369" s="28" t="n">
        <f aca="false">IF($K369="","",$K369-기준정보!$C$6)</f>
        <v>46298</v>
      </c>
      <c r="M369" s="29" t="n">
        <f aca="false">IF($L369="","",$L369-기준정보!$C$4)</f>
        <v>56</v>
      </c>
      <c r="N369" s="27" t="s">
        <v>119</v>
      </c>
      <c r="O369" s="30"/>
      <c r="P369" s="26" t="str">
        <f aca="false">IF($G369="","",IF(AND(ISNUMBER(SEARCH("CMT",$G369)),OR(ISNUMBER(SEARCH("완사입",$G369)),ISNUMBER(SEARCH("ODM",$G369)))),"본사/생산처 혼재",IF(ISNUMBER(SEARCH("CMT",$G369)),"본사(소재팀)","생산처")))</f>
        <v>생산처</v>
      </c>
      <c r="Q369" s="25" t="s">
        <v>877</v>
      </c>
      <c r="R369" s="25" t="s">
        <v>105</v>
      </c>
      <c r="S369" s="31" t="n">
        <v>8000</v>
      </c>
      <c r="T369" s="26"/>
      <c r="U369" s="26" t="str">
        <f aca="false">IF($J369="","출고일 미정",IF($N369="X","작지 미발행",IF($N369="부분","작지 일부 미발행",IF(AND($O369&lt;&gt;"",$O369&gt;$L369),"소재입고 마감("&amp;TEXT($L369,"MM/DD")&amp;") 초과",IF($N369="","발행여부 확인 필요",IF($O369="","소재 입고일정 확인 필요","정상"))))))</f>
        <v>작지 미발행</v>
      </c>
      <c r="V369" s="24" t="str">
        <f aca="false">IF($J369="","",IF(OR(LEFT($U369,2)="작지",LEFT($U369,4)="소재입고"),IF(LEFT($F369,1)="S","★ 납기위험(S코드)","◆ 지연주의"),IF($U369="정상","✓ 정상","? 확인필요")))</f>
        <v>◆ 지연주의</v>
      </c>
      <c r="W369" s="27"/>
      <c r="X369" s="32"/>
    </row>
    <row r="370" customFormat="false" ht="15" hidden="false" customHeight="false" outlineLevel="0" collapsed="false">
      <c r="A370" s="24" t="n">
        <v>366</v>
      </c>
      <c r="B370" s="25" t="s">
        <v>541</v>
      </c>
      <c r="C370" s="25" t="s">
        <v>386</v>
      </c>
      <c r="D370" s="26" t="s">
        <v>881</v>
      </c>
      <c r="E370" s="25" t="s">
        <v>882</v>
      </c>
      <c r="F370" s="24" t="str">
        <f aca="false">IF($D370="","",IF(MID($D370,5,1)="S","S(봄)",IF(MID($D370,5,1)="M","M(여름)",IF(MID($D370,5,1)="X","X(사계절)",MID($D370,5,1)))))</f>
        <v>X(사계절)</v>
      </c>
      <c r="G370" s="25" t="s">
        <v>62</v>
      </c>
      <c r="H370" s="24"/>
      <c r="I370" s="27" t="s">
        <v>118</v>
      </c>
      <c r="J370" s="28" t="n">
        <f aca="false">IF($I370="","",IFERROR(DATE(IF(VALUE(LEFT($I370,FIND("월",$I370)-1))&gt;=9,기준정보!$C$7-1,기준정보!$C$7),VALUE(LEFT($I370,FIND("월",$I370)-1)),1+7*(VALUE(SUBSTITUTE(MID($I370,FIND("월",$I370)+1,5),"주",""))-1)),""))</f>
        <v>46402</v>
      </c>
      <c r="K370" s="28" t="n">
        <f aca="false">IF($J370="","",$J370-기준정보!$C$5)</f>
        <v>46388</v>
      </c>
      <c r="L370" s="28" t="n">
        <f aca="false">IF($K370="","",$K370-기준정보!$C$6)</f>
        <v>46298</v>
      </c>
      <c r="M370" s="29" t="n">
        <f aca="false">IF($L370="","",$L370-기준정보!$C$4)</f>
        <v>56</v>
      </c>
      <c r="N370" s="27" t="s">
        <v>119</v>
      </c>
      <c r="O370" s="30"/>
      <c r="P370" s="26" t="str">
        <f aca="false">IF($G370="","",IF(AND(ISNUMBER(SEARCH("CMT",$G370)),OR(ISNUMBER(SEARCH("완사입",$G370)),ISNUMBER(SEARCH("ODM",$G370)))),"본사/생산처 혼재",IF(ISNUMBER(SEARCH("CMT",$G370)),"본사(소재팀)","생산처")))</f>
        <v>생산처</v>
      </c>
      <c r="Q370" s="25" t="s">
        <v>877</v>
      </c>
      <c r="R370" s="25" t="s">
        <v>105</v>
      </c>
      <c r="S370" s="31" t="n">
        <v>800</v>
      </c>
      <c r="T370" s="26"/>
      <c r="U370" s="26" t="str">
        <f aca="false">IF($J370="","출고일 미정",IF($N370="X","작지 미발행",IF($N370="부분","작지 일부 미발행",IF(AND($O370&lt;&gt;"",$O370&gt;$L370),"소재입고 마감("&amp;TEXT($L370,"MM/DD")&amp;") 초과",IF($N370="","발행여부 확인 필요",IF($O370="","소재 입고일정 확인 필요","정상"))))))</f>
        <v>작지 미발행</v>
      </c>
      <c r="V370" s="24" t="str">
        <f aca="false">IF($J370="","",IF(OR(LEFT($U370,2)="작지",LEFT($U370,4)="소재입고"),IF(LEFT($F370,1)="S","★ 납기위험(S코드)","◆ 지연주의"),IF($U370="정상","✓ 정상","? 확인필요")))</f>
        <v>◆ 지연주의</v>
      </c>
      <c r="W370" s="27"/>
      <c r="X370" s="32"/>
    </row>
    <row r="371" customFormat="false" ht="15" hidden="false" customHeight="false" outlineLevel="0" collapsed="false">
      <c r="A371" s="24" t="n">
        <v>367</v>
      </c>
      <c r="B371" s="25" t="s">
        <v>163</v>
      </c>
      <c r="C371" s="25" t="s">
        <v>386</v>
      </c>
      <c r="D371" s="26" t="s">
        <v>883</v>
      </c>
      <c r="E371" s="25" t="s">
        <v>884</v>
      </c>
      <c r="F371" s="24" t="str">
        <f aca="false">IF($D371="","",IF(MID($D371,5,1)="S","S(봄)",IF(MID($D371,5,1)="M","M(여름)",IF(MID($D371,5,1)="X","X(사계절)",MID($D371,5,1)))))</f>
        <v>X(사계절)</v>
      </c>
      <c r="G371" s="25" t="s">
        <v>62</v>
      </c>
      <c r="H371" s="24"/>
      <c r="I371" s="27" t="s">
        <v>118</v>
      </c>
      <c r="J371" s="28" t="n">
        <f aca="false">IF($I371="","",IFERROR(DATE(IF(VALUE(LEFT($I371,FIND("월",$I371)-1))&gt;=9,기준정보!$C$7-1,기준정보!$C$7),VALUE(LEFT($I371,FIND("월",$I371)-1)),1+7*(VALUE(SUBSTITUTE(MID($I371,FIND("월",$I371)+1,5),"주",""))-1)),""))</f>
        <v>46402</v>
      </c>
      <c r="K371" s="28" t="n">
        <f aca="false">IF($J371="","",$J371-기준정보!$C$5)</f>
        <v>46388</v>
      </c>
      <c r="L371" s="28" t="n">
        <f aca="false">IF($K371="","",$K371-기준정보!$C$6)</f>
        <v>46298</v>
      </c>
      <c r="M371" s="29" t="n">
        <f aca="false">IF($L371="","",$L371-기준정보!$C$4)</f>
        <v>56</v>
      </c>
      <c r="N371" s="27" t="s">
        <v>119</v>
      </c>
      <c r="O371" s="30"/>
      <c r="P371" s="26" t="str">
        <f aca="false">IF($G371="","",IF(AND(ISNUMBER(SEARCH("CMT",$G371)),OR(ISNUMBER(SEARCH("완사입",$G371)),ISNUMBER(SEARCH("ODM",$G371)))),"본사/생산처 혼재",IF(ISNUMBER(SEARCH("CMT",$G371)),"본사(소재팀)","생산처")))</f>
        <v>생산처</v>
      </c>
      <c r="Q371" s="25" t="s">
        <v>389</v>
      </c>
      <c r="R371" s="25" t="s">
        <v>67</v>
      </c>
      <c r="S371" s="31" t="n">
        <v>3000</v>
      </c>
      <c r="T371" s="26"/>
      <c r="U371" s="26" t="str">
        <f aca="false">IF($J371="","출고일 미정",IF($N371="X","작지 미발행",IF($N371="부분","작지 일부 미발행",IF(AND($O371&lt;&gt;"",$O371&gt;$L371),"소재입고 마감("&amp;TEXT($L371,"MM/DD")&amp;") 초과",IF($N371="","발행여부 확인 필요",IF($O371="","소재 입고일정 확인 필요","정상"))))))</f>
        <v>작지 미발행</v>
      </c>
      <c r="V371" s="24" t="str">
        <f aca="false">IF($J371="","",IF(OR(LEFT($U371,2)="작지",LEFT($U371,4)="소재입고"),IF(LEFT($F371,1)="S","★ 납기위험(S코드)","◆ 지연주의"),IF($U371="정상","✓ 정상","? 확인필요")))</f>
        <v>◆ 지연주의</v>
      </c>
      <c r="W371" s="27"/>
      <c r="X371" s="32"/>
    </row>
    <row r="372" customFormat="false" ht="15" hidden="false" customHeight="false" outlineLevel="0" collapsed="false">
      <c r="A372" s="24" t="n">
        <v>368</v>
      </c>
      <c r="B372" s="25" t="s">
        <v>541</v>
      </c>
      <c r="C372" s="25" t="s">
        <v>542</v>
      </c>
      <c r="D372" s="26" t="s">
        <v>885</v>
      </c>
      <c r="E372" s="25" t="s">
        <v>886</v>
      </c>
      <c r="F372" s="24" t="str">
        <f aca="false">IF($D372="","",IF(MID($D372,5,1)="S","S(봄)",IF(MID($D372,5,1)="M","M(여름)",IF(MID($D372,5,1)="X","X(사계절)",MID($D372,5,1)))))</f>
        <v>X(사계절)</v>
      </c>
      <c r="G372" s="25" t="s">
        <v>62</v>
      </c>
      <c r="H372" s="24"/>
      <c r="I372" s="27" t="s">
        <v>118</v>
      </c>
      <c r="J372" s="28" t="n">
        <f aca="false">IF($I372="","",IFERROR(DATE(IF(VALUE(LEFT($I372,FIND("월",$I372)-1))&gt;=9,기준정보!$C$7-1,기준정보!$C$7),VALUE(LEFT($I372,FIND("월",$I372)-1)),1+7*(VALUE(SUBSTITUTE(MID($I372,FIND("월",$I372)+1,5),"주",""))-1)),""))</f>
        <v>46402</v>
      </c>
      <c r="K372" s="28" t="n">
        <f aca="false">IF($J372="","",$J372-기준정보!$C$5)</f>
        <v>46388</v>
      </c>
      <c r="L372" s="28" t="n">
        <f aca="false">IF($K372="","",$K372-기준정보!$C$6)</f>
        <v>46298</v>
      </c>
      <c r="M372" s="29" t="n">
        <f aca="false">IF($L372="","",$L372-기준정보!$C$4)</f>
        <v>56</v>
      </c>
      <c r="N372" s="27" t="s">
        <v>119</v>
      </c>
      <c r="O372" s="30"/>
      <c r="P372" s="26" t="str">
        <f aca="false">IF($G372="","",IF(AND(ISNUMBER(SEARCH("CMT",$G372)),OR(ISNUMBER(SEARCH("완사입",$G372)),ISNUMBER(SEARCH("ODM",$G372)))),"본사/생산처 혼재",IF(ISNUMBER(SEARCH("CMT",$G372)),"본사(소재팀)","생산처")))</f>
        <v>생산처</v>
      </c>
      <c r="Q372" s="25" t="s">
        <v>887</v>
      </c>
      <c r="R372" s="25" t="s">
        <v>134</v>
      </c>
      <c r="S372" s="31" t="n">
        <v>1000</v>
      </c>
      <c r="T372" s="26"/>
      <c r="U372" s="26" t="str">
        <f aca="false">IF($J372="","출고일 미정",IF($N372="X","작지 미발행",IF($N372="부분","작지 일부 미발행",IF(AND($O372&lt;&gt;"",$O372&gt;$L372),"소재입고 마감("&amp;TEXT($L372,"MM/DD")&amp;") 초과",IF($N372="","발행여부 확인 필요",IF($O372="","소재 입고일정 확인 필요","정상"))))))</f>
        <v>작지 미발행</v>
      </c>
      <c r="V372" s="24" t="str">
        <f aca="false">IF($J372="","",IF(OR(LEFT($U372,2)="작지",LEFT($U372,4)="소재입고"),IF(LEFT($F372,1)="S","★ 납기위험(S코드)","◆ 지연주의"),IF($U372="정상","✓ 정상","? 확인필요")))</f>
        <v>◆ 지연주의</v>
      </c>
      <c r="W372" s="27"/>
      <c r="X372" s="32"/>
    </row>
    <row r="373" customFormat="false" ht="15" hidden="false" customHeight="false" outlineLevel="0" collapsed="false">
      <c r="A373" s="24" t="n">
        <v>369</v>
      </c>
      <c r="B373" s="25" t="s">
        <v>541</v>
      </c>
      <c r="C373" s="25" t="s">
        <v>542</v>
      </c>
      <c r="D373" s="26" t="s">
        <v>888</v>
      </c>
      <c r="E373" s="25" t="s">
        <v>889</v>
      </c>
      <c r="F373" s="24" t="str">
        <f aca="false">IF($D373="","",IF(MID($D373,5,1)="S","S(봄)",IF(MID($D373,5,1)="M","M(여름)",IF(MID($D373,5,1)="X","X(사계절)",MID($D373,5,1)))))</f>
        <v>X(사계절)</v>
      </c>
      <c r="G373" s="25" t="s">
        <v>62</v>
      </c>
      <c r="H373" s="24"/>
      <c r="I373" s="27" t="s">
        <v>118</v>
      </c>
      <c r="J373" s="28" t="n">
        <f aca="false">IF($I373="","",IFERROR(DATE(IF(VALUE(LEFT($I373,FIND("월",$I373)-1))&gt;=9,기준정보!$C$7-1,기준정보!$C$7),VALUE(LEFT($I373,FIND("월",$I373)-1)),1+7*(VALUE(SUBSTITUTE(MID($I373,FIND("월",$I373)+1,5),"주",""))-1)),""))</f>
        <v>46402</v>
      </c>
      <c r="K373" s="28" t="n">
        <f aca="false">IF($J373="","",$J373-기준정보!$C$5)</f>
        <v>46388</v>
      </c>
      <c r="L373" s="28" t="n">
        <f aca="false">IF($K373="","",$K373-기준정보!$C$6)</f>
        <v>46298</v>
      </c>
      <c r="M373" s="29" t="n">
        <f aca="false">IF($L373="","",$L373-기준정보!$C$4)</f>
        <v>56</v>
      </c>
      <c r="N373" s="27" t="s">
        <v>119</v>
      </c>
      <c r="O373" s="30"/>
      <c r="P373" s="26" t="str">
        <f aca="false">IF($G373="","",IF(AND(ISNUMBER(SEARCH("CMT",$G373)),OR(ISNUMBER(SEARCH("완사입",$G373)),ISNUMBER(SEARCH("ODM",$G373)))),"본사/생산처 혼재",IF(ISNUMBER(SEARCH("CMT",$G373)),"본사(소재팀)","생산처")))</f>
        <v>생산처</v>
      </c>
      <c r="Q373" s="25" t="s">
        <v>887</v>
      </c>
      <c r="R373" s="25" t="s">
        <v>134</v>
      </c>
      <c r="S373" s="31" t="n">
        <v>4000</v>
      </c>
      <c r="T373" s="26"/>
      <c r="U373" s="26" t="str">
        <f aca="false">IF($J373="","출고일 미정",IF($N373="X","작지 미발행",IF($N373="부분","작지 일부 미발행",IF(AND($O373&lt;&gt;"",$O373&gt;$L373),"소재입고 마감("&amp;TEXT($L373,"MM/DD")&amp;") 초과",IF($N373="","발행여부 확인 필요",IF($O373="","소재 입고일정 확인 필요","정상"))))))</f>
        <v>작지 미발행</v>
      </c>
      <c r="V373" s="24" t="str">
        <f aca="false">IF($J373="","",IF(OR(LEFT($U373,2)="작지",LEFT($U373,4)="소재입고"),IF(LEFT($F373,1)="S","★ 납기위험(S코드)","◆ 지연주의"),IF($U373="정상","✓ 정상","? 확인필요")))</f>
        <v>◆ 지연주의</v>
      </c>
      <c r="W373" s="27"/>
      <c r="X373" s="32"/>
    </row>
    <row r="374" customFormat="false" ht="15" hidden="false" customHeight="false" outlineLevel="0" collapsed="false">
      <c r="A374" s="24" t="n">
        <v>370</v>
      </c>
      <c r="B374" s="25" t="s">
        <v>541</v>
      </c>
      <c r="C374" s="25" t="s">
        <v>542</v>
      </c>
      <c r="D374" s="26" t="s">
        <v>890</v>
      </c>
      <c r="E374" s="25" t="s">
        <v>891</v>
      </c>
      <c r="F374" s="24" t="str">
        <f aca="false">IF($D374="","",IF(MID($D374,5,1)="S","S(봄)",IF(MID($D374,5,1)="M","M(여름)",IF(MID($D374,5,1)="X","X(사계절)",MID($D374,5,1)))))</f>
        <v>X(사계절)</v>
      </c>
      <c r="G374" s="25" t="s">
        <v>62</v>
      </c>
      <c r="H374" s="24"/>
      <c r="I374" s="27" t="s">
        <v>118</v>
      </c>
      <c r="J374" s="28" t="n">
        <f aca="false">IF($I374="","",IFERROR(DATE(IF(VALUE(LEFT($I374,FIND("월",$I374)-1))&gt;=9,기준정보!$C$7-1,기준정보!$C$7),VALUE(LEFT($I374,FIND("월",$I374)-1)),1+7*(VALUE(SUBSTITUTE(MID($I374,FIND("월",$I374)+1,5),"주",""))-1)),""))</f>
        <v>46402</v>
      </c>
      <c r="K374" s="28" t="n">
        <f aca="false">IF($J374="","",$J374-기준정보!$C$5)</f>
        <v>46388</v>
      </c>
      <c r="L374" s="28" t="n">
        <f aca="false">IF($K374="","",$K374-기준정보!$C$6)</f>
        <v>46298</v>
      </c>
      <c r="M374" s="29" t="n">
        <f aca="false">IF($L374="","",$L374-기준정보!$C$4)</f>
        <v>56</v>
      </c>
      <c r="N374" s="27" t="s">
        <v>119</v>
      </c>
      <c r="O374" s="30"/>
      <c r="P374" s="26" t="str">
        <f aca="false">IF($G374="","",IF(AND(ISNUMBER(SEARCH("CMT",$G374)),OR(ISNUMBER(SEARCH("완사입",$G374)),ISNUMBER(SEARCH("ODM",$G374)))),"본사/생산처 혼재",IF(ISNUMBER(SEARCH("CMT",$G374)),"본사(소재팀)","생산처")))</f>
        <v>생산처</v>
      </c>
      <c r="Q374" s="25" t="s">
        <v>887</v>
      </c>
      <c r="R374" s="25" t="s">
        <v>134</v>
      </c>
      <c r="S374" s="31" t="n">
        <v>1500</v>
      </c>
      <c r="T374" s="26"/>
      <c r="U374" s="26" t="str">
        <f aca="false">IF($J374="","출고일 미정",IF($N374="X","작지 미발행",IF($N374="부분","작지 일부 미발행",IF(AND($O374&lt;&gt;"",$O374&gt;$L374),"소재입고 마감("&amp;TEXT($L374,"MM/DD")&amp;") 초과",IF($N374="","발행여부 확인 필요",IF($O374="","소재 입고일정 확인 필요","정상"))))))</f>
        <v>작지 미발행</v>
      </c>
      <c r="V374" s="24" t="str">
        <f aca="false">IF($J374="","",IF(OR(LEFT($U374,2)="작지",LEFT($U374,4)="소재입고"),IF(LEFT($F374,1)="S","★ 납기위험(S코드)","◆ 지연주의"),IF($U374="정상","✓ 정상","? 확인필요")))</f>
        <v>◆ 지연주의</v>
      </c>
      <c r="W374" s="27"/>
      <c r="X374" s="32"/>
    </row>
    <row r="375" customFormat="false" ht="15" hidden="false" customHeight="false" outlineLevel="0" collapsed="false">
      <c r="A375" s="24" t="n">
        <v>371</v>
      </c>
      <c r="B375" s="25" t="s">
        <v>541</v>
      </c>
      <c r="C375" s="25" t="s">
        <v>542</v>
      </c>
      <c r="D375" s="26" t="s">
        <v>892</v>
      </c>
      <c r="E375" s="25" t="s">
        <v>893</v>
      </c>
      <c r="F375" s="24" t="str">
        <f aca="false">IF($D375="","",IF(MID($D375,5,1)="S","S(봄)",IF(MID($D375,5,1)="M","M(여름)",IF(MID($D375,5,1)="X","X(사계절)",MID($D375,5,1)))))</f>
        <v>X(사계절)</v>
      </c>
      <c r="G375" s="25" t="s">
        <v>62</v>
      </c>
      <c r="H375" s="24"/>
      <c r="I375" s="27" t="s">
        <v>118</v>
      </c>
      <c r="J375" s="28" t="n">
        <f aca="false">IF($I375="","",IFERROR(DATE(IF(VALUE(LEFT($I375,FIND("월",$I375)-1))&gt;=9,기준정보!$C$7-1,기준정보!$C$7),VALUE(LEFT($I375,FIND("월",$I375)-1)),1+7*(VALUE(SUBSTITUTE(MID($I375,FIND("월",$I375)+1,5),"주",""))-1)),""))</f>
        <v>46402</v>
      </c>
      <c r="K375" s="28" t="n">
        <f aca="false">IF($J375="","",$J375-기준정보!$C$5)</f>
        <v>46388</v>
      </c>
      <c r="L375" s="28" t="n">
        <f aca="false">IF($K375="","",$K375-기준정보!$C$6)</f>
        <v>46298</v>
      </c>
      <c r="M375" s="29" t="n">
        <f aca="false">IF($L375="","",$L375-기준정보!$C$4)</f>
        <v>56</v>
      </c>
      <c r="N375" s="27" t="s">
        <v>119</v>
      </c>
      <c r="O375" s="30"/>
      <c r="P375" s="26" t="str">
        <f aca="false">IF($G375="","",IF(AND(ISNUMBER(SEARCH("CMT",$G375)),OR(ISNUMBER(SEARCH("완사입",$G375)),ISNUMBER(SEARCH("ODM",$G375)))),"본사/생산처 혼재",IF(ISNUMBER(SEARCH("CMT",$G375)),"본사(소재팀)","생산처")))</f>
        <v>생산처</v>
      </c>
      <c r="Q375" s="25" t="s">
        <v>887</v>
      </c>
      <c r="R375" s="25" t="s">
        <v>134</v>
      </c>
      <c r="S375" s="31" t="n">
        <v>1600</v>
      </c>
      <c r="T375" s="26"/>
      <c r="U375" s="26" t="str">
        <f aca="false">IF($J375="","출고일 미정",IF($N375="X","작지 미발행",IF($N375="부분","작지 일부 미발행",IF(AND($O375&lt;&gt;"",$O375&gt;$L375),"소재입고 마감("&amp;TEXT($L375,"MM/DD")&amp;") 초과",IF($N375="","발행여부 확인 필요",IF($O375="","소재 입고일정 확인 필요","정상"))))))</f>
        <v>작지 미발행</v>
      </c>
      <c r="V375" s="24" t="str">
        <f aca="false">IF($J375="","",IF(OR(LEFT($U375,2)="작지",LEFT($U375,4)="소재입고"),IF(LEFT($F375,1)="S","★ 납기위험(S코드)","◆ 지연주의"),IF($U375="정상","✓ 정상","? 확인필요")))</f>
        <v>◆ 지연주의</v>
      </c>
      <c r="W375" s="27"/>
      <c r="X375" s="32"/>
    </row>
    <row r="376" customFormat="false" ht="15" hidden="false" customHeight="false" outlineLevel="0" collapsed="false">
      <c r="A376" s="24" t="n">
        <v>372</v>
      </c>
      <c r="B376" s="25" t="s">
        <v>541</v>
      </c>
      <c r="C376" s="25" t="s">
        <v>542</v>
      </c>
      <c r="D376" s="26" t="s">
        <v>894</v>
      </c>
      <c r="E376" s="25" t="s">
        <v>895</v>
      </c>
      <c r="F376" s="24" t="str">
        <f aca="false">IF($D376="","",IF(MID($D376,5,1)="S","S(봄)",IF(MID($D376,5,1)="M","M(여름)",IF(MID($D376,5,1)="X","X(사계절)",MID($D376,5,1)))))</f>
        <v>X(사계절)</v>
      </c>
      <c r="G376" s="25" t="s">
        <v>62</v>
      </c>
      <c r="H376" s="24"/>
      <c r="I376" s="27" t="s">
        <v>118</v>
      </c>
      <c r="J376" s="28" t="n">
        <f aca="false">IF($I376="","",IFERROR(DATE(IF(VALUE(LEFT($I376,FIND("월",$I376)-1))&gt;=9,기준정보!$C$7-1,기준정보!$C$7),VALUE(LEFT($I376,FIND("월",$I376)-1)),1+7*(VALUE(SUBSTITUTE(MID($I376,FIND("월",$I376)+1,5),"주",""))-1)),""))</f>
        <v>46402</v>
      </c>
      <c r="K376" s="28" t="n">
        <f aca="false">IF($J376="","",$J376-기준정보!$C$5)</f>
        <v>46388</v>
      </c>
      <c r="L376" s="28" t="n">
        <f aca="false">IF($K376="","",$K376-기준정보!$C$6)</f>
        <v>46298</v>
      </c>
      <c r="M376" s="29" t="n">
        <f aca="false">IF($L376="","",$L376-기준정보!$C$4)</f>
        <v>56</v>
      </c>
      <c r="N376" s="27" t="s">
        <v>119</v>
      </c>
      <c r="O376" s="30"/>
      <c r="P376" s="26" t="str">
        <f aca="false">IF($G376="","",IF(AND(ISNUMBER(SEARCH("CMT",$G376)),OR(ISNUMBER(SEARCH("완사입",$G376)),ISNUMBER(SEARCH("ODM",$G376)))),"본사/생산처 혼재",IF(ISNUMBER(SEARCH("CMT",$G376)),"본사(소재팀)","생산처")))</f>
        <v>생산처</v>
      </c>
      <c r="Q376" s="25" t="s">
        <v>133</v>
      </c>
      <c r="R376" s="25" t="s">
        <v>134</v>
      </c>
      <c r="S376" s="31" t="n">
        <v>2000</v>
      </c>
      <c r="T376" s="26"/>
      <c r="U376" s="26" t="str">
        <f aca="false">IF($J376="","출고일 미정",IF($N376="X","작지 미발행",IF($N376="부분","작지 일부 미발행",IF(AND($O376&lt;&gt;"",$O376&gt;$L376),"소재입고 마감("&amp;TEXT($L376,"MM/DD")&amp;") 초과",IF($N376="","발행여부 확인 필요",IF($O376="","소재 입고일정 확인 필요","정상"))))))</f>
        <v>작지 미발행</v>
      </c>
      <c r="V376" s="24" t="str">
        <f aca="false">IF($J376="","",IF(OR(LEFT($U376,2)="작지",LEFT($U376,4)="소재입고"),IF(LEFT($F376,1)="S","★ 납기위험(S코드)","◆ 지연주의"),IF($U376="정상","✓ 정상","? 확인필요")))</f>
        <v>◆ 지연주의</v>
      </c>
      <c r="W376" s="27"/>
      <c r="X376" s="32"/>
    </row>
    <row r="377" customFormat="false" ht="15" hidden="false" customHeight="false" outlineLevel="0" collapsed="false">
      <c r="A377" s="24" t="n">
        <v>373</v>
      </c>
      <c r="B377" s="25" t="s">
        <v>541</v>
      </c>
      <c r="C377" s="25" t="s">
        <v>542</v>
      </c>
      <c r="D377" s="26" t="s">
        <v>896</v>
      </c>
      <c r="E377" s="25" t="s">
        <v>897</v>
      </c>
      <c r="F377" s="24" t="str">
        <f aca="false">IF($D377="","",IF(MID($D377,5,1)="S","S(봄)",IF(MID($D377,5,1)="M","M(여름)",IF(MID($D377,5,1)="X","X(사계절)",MID($D377,5,1)))))</f>
        <v>X(사계절)</v>
      </c>
      <c r="G377" s="26" t="s">
        <v>167</v>
      </c>
      <c r="H377" s="24" t="s">
        <v>182</v>
      </c>
      <c r="I377" s="27" t="s">
        <v>118</v>
      </c>
      <c r="J377" s="28" t="n">
        <f aca="false">IF($I377="","",IFERROR(DATE(IF(VALUE(LEFT($I377,FIND("월",$I377)-1))&gt;=9,기준정보!$C$7-1,기준정보!$C$7),VALUE(LEFT($I377,FIND("월",$I377)-1)),1+7*(VALUE(SUBSTITUTE(MID($I377,FIND("월",$I377)+1,5),"주",""))-1)),""))</f>
        <v>46402</v>
      </c>
      <c r="K377" s="28" t="n">
        <f aca="false">IF($J377="","",$J377-기준정보!$C$5)</f>
        <v>46388</v>
      </c>
      <c r="L377" s="28" t="n">
        <f aca="false">IF($K377="","",$K377-기준정보!$C$6)</f>
        <v>46298</v>
      </c>
      <c r="M377" s="29" t="n">
        <f aca="false">IF($L377="","",$L377-기준정보!$C$4)</f>
        <v>56</v>
      </c>
      <c r="N377" s="27" t="s">
        <v>119</v>
      </c>
      <c r="O377" s="30"/>
      <c r="P377" s="26" t="str">
        <f aca="false">IF($G377="","",IF(AND(ISNUMBER(SEARCH("CMT",$G377)),OR(ISNUMBER(SEARCH("완사입",$G377)),ISNUMBER(SEARCH("ODM",$G377)))),"본사/생산처 혼재",IF(ISNUMBER(SEARCH("CMT",$G377)),"본사(소재팀)","생산처")))</f>
        <v>본사(소재팀)</v>
      </c>
      <c r="Q377" s="25" t="s">
        <v>545</v>
      </c>
      <c r="R377" s="25" t="s">
        <v>134</v>
      </c>
      <c r="S377" s="31" t="n">
        <v>7000</v>
      </c>
      <c r="T377" s="26"/>
      <c r="U377" s="26" t="str">
        <f aca="false">IF($J377="","출고일 미정",IF($N377="X","작지 미발행",IF($N377="부분","작지 일부 미발행",IF(AND($O377&lt;&gt;"",$O377&gt;$L377),"소재입고 마감("&amp;TEXT($L377,"MM/DD")&amp;") 초과",IF($N377="","발행여부 확인 필요",IF($O377="","소재 입고일정 확인 필요","정상"))))))</f>
        <v>작지 미발행</v>
      </c>
      <c r="V377" s="24" t="str">
        <f aca="false">IF($J377="","",IF(OR(LEFT($U377,2)="작지",LEFT($U377,4)="소재입고"),IF(LEFT($F377,1)="S","★ 납기위험(S코드)","◆ 지연주의"),IF($U377="정상","✓ 정상","? 확인필요")))</f>
        <v>◆ 지연주의</v>
      </c>
      <c r="W377" s="27"/>
      <c r="X377" s="32"/>
    </row>
    <row r="378" customFormat="false" ht="15" hidden="false" customHeight="false" outlineLevel="0" collapsed="false">
      <c r="A378" s="24" t="n">
        <v>374</v>
      </c>
      <c r="B378" s="25" t="s">
        <v>541</v>
      </c>
      <c r="C378" s="25" t="s">
        <v>542</v>
      </c>
      <c r="D378" s="26" t="s">
        <v>898</v>
      </c>
      <c r="E378" s="25" t="s">
        <v>899</v>
      </c>
      <c r="F378" s="24" t="str">
        <f aca="false">IF($D378="","",IF(MID($D378,5,1)="S","S(봄)",IF(MID($D378,5,1)="M","M(여름)",IF(MID($D378,5,1)="X","X(사계절)",MID($D378,5,1)))))</f>
        <v>X(사계절)</v>
      </c>
      <c r="G378" s="26" t="s">
        <v>167</v>
      </c>
      <c r="H378" s="24" t="s">
        <v>182</v>
      </c>
      <c r="I378" s="27" t="s">
        <v>118</v>
      </c>
      <c r="J378" s="28" t="n">
        <f aca="false">IF($I378="","",IFERROR(DATE(IF(VALUE(LEFT($I378,FIND("월",$I378)-1))&gt;=9,기준정보!$C$7-1,기준정보!$C$7),VALUE(LEFT($I378,FIND("월",$I378)-1)),1+7*(VALUE(SUBSTITUTE(MID($I378,FIND("월",$I378)+1,5),"주",""))-1)),""))</f>
        <v>46402</v>
      </c>
      <c r="K378" s="28" t="n">
        <f aca="false">IF($J378="","",$J378-기준정보!$C$5)</f>
        <v>46388</v>
      </c>
      <c r="L378" s="28" t="n">
        <f aca="false">IF($K378="","",$K378-기준정보!$C$6)</f>
        <v>46298</v>
      </c>
      <c r="M378" s="29" t="n">
        <f aca="false">IF($L378="","",$L378-기준정보!$C$4)</f>
        <v>56</v>
      </c>
      <c r="N378" s="27" t="s">
        <v>119</v>
      </c>
      <c r="O378" s="30"/>
      <c r="P378" s="26" t="str">
        <f aca="false">IF($G378="","",IF(AND(ISNUMBER(SEARCH("CMT",$G378)),OR(ISNUMBER(SEARCH("완사입",$G378)),ISNUMBER(SEARCH("ODM",$G378)))),"본사/생산처 혼재",IF(ISNUMBER(SEARCH("CMT",$G378)),"본사(소재팀)","생산처")))</f>
        <v>본사(소재팀)</v>
      </c>
      <c r="Q378" s="25" t="s">
        <v>545</v>
      </c>
      <c r="R378" s="25" t="s">
        <v>134</v>
      </c>
      <c r="S378" s="31" t="n">
        <v>6000</v>
      </c>
      <c r="T378" s="26"/>
      <c r="U378" s="26" t="str">
        <f aca="false">IF($J378="","출고일 미정",IF($N378="X","작지 미발행",IF($N378="부분","작지 일부 미발행",IF(AND($O378&lt;&gt;"",$O378&gt;$L378),"소재입고 마감("&amp;TEXT($L378,"MM/DD")&amp;") 초과",IF($N378="","발행여부 확인 필요",IF($O378="","소재 입고일정 확인 필요","정상"))))))</f>
        <v>작지 미발행</v>
      </c>
      <c r="V378" s="24" t="str">
        <f aca="false">IF($J378="","",IF(OR(LEFT($U378,2)="작지",LEFT($U378,4)="소재입고"),IF(LEFT($F378,1)="S","★ 납기위험(S코드)","◆ 지연주의"),IF($U378="정상","✓ 정상","? 확인필요")))</f>
        <v>◆ 지연주의</v>
      </c>
      <c r="W378" s="27"/>
      <c r="X378" s="32"/>
    </row>
    <row r="379" customFormat="false" ht="15" hidden="false" customHeight="false" outlineLevel="0" collapsed="false">
      <c r="A379" s="24" t="n">
        <v>375</v>
      </c>
      <c r="B379" s="25" t="s">
        <v>541</v>
      </c>
      <c r="C379" s="25" t="s">
        <v>542</v>
      </c>
      <c r="D379" s="26" t="s">
        <v>900</v>
      </c>
      <c r="E379" s="25" t="s">
        <v>901</v>
      </c>
      <c r="F379" s="24" t="str">
        <f aca="false">IF($D379="","",IF(MID($D379,5,1)="S","S(봄)",IF(MID($D379,5,1)="M","M(여름)",IF(MID($D379,5,1)="X","X(사계절)",MID($D379,5,1)))))</f>
        <v>X(사계절)</v>
      </c>
      <c r="G379" s="26" t="s">
        <v>167</v>
      </c>
      <c r="H379" s="24" t="s">
        <v>182</v>
      </c>
      <c r="I379" s="27" t="s">
        <v>118</v>
      </c>
      <c r="J379" s="28" t="n">
        <f aca="false">IF($I379="","",IFERROR(DATE(IF(VALUE(LEFT($I379,FIND("월",$I379)-1))&gt;=9,기준정보!$C$7-1,기준정보!$C$7),VALUE(LEFT($I379,FIND("월",$I379)-1)),1+7*(VALUE(SUBSTITUTE(MID($I379,FIND("월",$I379)+1,5),"주",""))-1)),""))</f>
        <v>46402</v>
      </c>
      <c r="K379" s="28" t="n">
        <f aca="false">IF($J379="","",$J379-기준정보!$C$5)</f>
        <v>46388</v>
      </c>
      <c r="L379" s="28" t="n">
        <f aca="false">IF($K379="","",$K379-기준정보!$C$6)</f>
        <v>46298</v>
      </c>
      <c r="M379" s="29" t="n">
        <f aca="false">IF($L379="","",$L379-기준정보!$C$4)</f>
        <v>56</v>
      </c>
      <c r="N379" s="27" t="s">
        <v>119</v>
      </c>
      <c r="O379" s="30"/>
      <c r="P379" s="26" t="str">
        <f aca="false">IF($G379="","",IF(AND(ISNUMBER(SEARCH("CMT",$G379)),OR(ISNUMBER(SEARCH("완사입",$G379)),ISNUMBER(SEARCH("ODM",$G379)))),"본사/생산처 혼재",IF(ISNUMBER(SEARCH("CMT",$G379)),"본사(소재팀)","생산처")))</f>
        <v>본사(소재팀)</v>
      </c>
      <c r="Q379" s="25" t="s">
        <v>545</v>
      </c>
      <c r="R379" s="25" t="s">
        <v>134</v>
      </c>
      <c r="S379" s="31" t="n">
        <v>10000</v>
      </c>
      <c r="T379" s="26"/>
      <c r="U379" s="26" t="str">
        <f aca="false">IF($J379="","출고일 미정",IF($N379="X","작지 미발행",IF($N379="부분","작지 일부 미발행",IF(AND($O379&lt;&gt;"",$O379&gt;$L379),"소재입고 마감("&amp;TEXT($L379,"MM/DD")&amp;") 초과",IF($N379="","발행여부 확인 필요",IF($O379="","소재 입고일정 확인 필요","정상"))))))</f>
        <v>작지 미발행</v>
      </c>
      <c r="V379" s="24" t="str">
        <f aca="false">IF($J379="","",IF(OR(LEFT($U379,2)="작지",LEFT($U379,4)="소재입고"),IF(LEFT($F379,1)="S","★ 납기위험(S코드)","◆ 지연주의"),IF($U379="정상","✓ 정상","? 확인필요")))</f>
        <v>◆ 지연주의</v>
      </c>
      <c r="W379" s="27"/>
      <c r="X379" s="32"/>
    </row>
    <row r="380" customFormat="false" ht="15" hidden="false" customHeight="false" outlineLevel="0" collapsed="false">
      <c r="A380" s="24" t="n">
        <v>376</v>
      </c>
      <c r="B380" s="25" t="s">
        <v>541</v>
      </c>
      <c r="C380" s="25" t="s">
        <v>542</v>
      </c>
      <c r="D380" s="26" t="s">
        <v>902</v>
      </c>
      <c r="E380" s="25" t="s">
        <v>903</v>
      </c>
      <c r="F380" s="24" t="str">
        <f aca="false">IF($D380="","",IF(MID($D380,5,1)="S","S(봄)",IF(MID($D380,5,1)="M","M(여름)",IF(MID($D380,5,1)="X","X(사계절)",MID($D380,5,1)))))</f>
        <v>X(사계절)</v>
      </c>
      <c r="G380" s="26" t="s">
        <v>167</v>
      </c>
      <c r="H380" s="24" t="s">
        <v>182</v>
      </c>
      <c r="I380" s="27" t="s">
        <v>118</v>
      </c>
      <c r="J380" s="28" t="n">
        <f aca="false">IF($I380="","",IFERROR(DATE(IF(VALUE(LEFT($I380,FIND("월",$I380)-1))&gt;=9,기준정보!$C$7-1,기준정보!$C$7),VALUE(LEFT($I380,FIND("월",$I380)-1)),1+7*(VALUE(SUBSTITUTE(MID($I380,FIND("월",$I380)+1,5),"주",""))-1)),""))</f>
        <v>46402</v>
      </c>
      <c r="K380" s="28" t="n">
        <f aca="false">IF($J380="","",$J380-기준정보!$C$5)</f>
        <v>46388</v>
      </c>
      <c r="L380" s="28" t="n">
        <f aca="false">IF($K380="","",$K380-기준정보!$C$6)</f>
        <v>46298</v>
      </c>
      <c r="M380" s="29" t="n">
        <f aca="false">IF($L380="","",$L380-기준정보!$C$4)</f>
        <v>56</v>
      </c>
      <c r="N380" s="27" t="s">
        <v>119</v>
      </c>
      <c r="O380" s="30"/>
      <c r="P380" s="26" t="str">
        <f aca="false">IF($G380="","",IF(AND(ISNUMBER(SEARCH("CMT",$G380)),OR(ISNUMBER(SEARCH("완사입",$G380)),ISNUMBER(SEARCH("ODM",$G380)))),"본사/생산처 혼재",IF(ISNUMBER(SEARCH("CMT",$G380)),"본사(소재팀)","생산처")))</f>
        <v>본사(소재팀)</v>
      </c>
      <c r="Q380" s="25" t="s">
        <v>545</v>
      </c>
      <c r="R380" s="25" t="s">
        <v>134</v>
      </c>
      <c r="S380" s="31" t="n">
        <v>5500</v>
      </c>
      <c r="T380" s="26"/>
      <c r="U380" s="26" t="str">
        <f aca="false">IF($J380="","출고일 미정",IF($N380="X","작지 미발행",IF($N380="부분","작지 일부 미발행",IF(AND($O380&lt;&gt;"",$O380&gt;$L380),"소재입고 마감("&amp;TEXT($L380,"MM/DD")&amp;") 초과",IF($N380="","발행여부 확인 필요",IF($O380="","소재 입고일정 확인 필요","정상"))))))</f>
        <v>작지 미발행</v>
      </c>
      <c r="V380" s="24" t="str">
        <f aca="false">IF($J380="","",IF(OR(LEFT($U380,2)="작지",LEFT($U380,4)="소재입고"),IF(LEFT($F380,1)="S","★ 납기위험(S코드)","◆ 지연주의"),IF($U380="정상","✓ 정상","? 확인필요")))</f>
        <v>◆ 지연주의</v>
      </c>
      <c r="W380" s="27"/>
      <c r="X380" s="32"/>
    </row>
    <row r="381" customFormat="false" ht="15" hidden="false" customHeight="false" outlineLevel="0" collapsed="false">
      <c r="A381" s="24" t="n">
        <v>377</v>
      </c>
      <c r="B381" s="25" t="s">
        <v>178</v>
      </c>
      <c r="C381" s="25" t="s">
        <v>386</v>
      </c>
      <c r="D381" s="26" t="s">
        <v>904</v>
      </c>
      <c r="E381" s="25" t="s">
        <v>905</v>
      </c>
      <c r="F381" s="24" t="str">
        <f aca="false">IF($D381="","",IF(MID($D381,5,1)="S","S(봄)",IF(MID($D381,5,1)="M","M(여름)",IF(MID($D381,5,1)="X","X(사계절)",MID($D381,5,1)))))</f>
        <v>X(사계절)</v>
      </c>
      <c r="G381" s="25" t="s">
        <v>62</v>
      </c>
      <c r="H381" s="24"/>
      <c r="I381" s="27" t="s">
        <v>242</v>
      </c>
      <c r="J381" s="28" t="n">
        <f aca="false">IF($I381="","",IFERROR(DATE(IF(VALUE(LEFT($I381,FIND("월",$I381)-1))&gt;=9,기준정보!$C$7-1,기준정보!$C$7),VALUE(LEFT($I381,FIND("월",$I381)-1)),1+7*(VALUE(SUBSTITUTE(MID($I381,FIND("월",$I381)+1,5),"주",""))-1)),""))</f>
        <v>46409</v>
      </c>
      <c r="K381" s="28" t="n">
        <f aca="false">IF($J381="","",$J381-기준정보!$C$5)</f>
        <v>46395</v>
      </c>
      <c r="L381" s="28" t="n">
        <f aca="false">IF($K381="","",$K381-기준정보!$C$6)</f>
        <v>46305</v>
      </c>
      <c r="M381" s="29" t="n">
        <f aca="false">IF($L381="","",$L381-기준정보!$C$4)</f>
        <v>63</v>
      </c>
      <c r="N381" s="27" t="s">
        <v>119</v>
      </c>
      <c r="O381" s="30"/>
      <c r="P381" s="26" t="str">
        <f aca="false">IF($G381="","",IF(AND(ISNUMBER(SEARCH("CMT",$G381)),OR(ISNUMBER(SEARCH("완사입",$G381)),ISNUMBER(SEARCH("ODM",$G381)))),"본사/생산처 혼재",IF(ISNUMBER(SEARCH("CMT",$G381)),"본사(소재팀)","생산처")))</f>
        <v>생산처</v>
      </c>
      <c r="Q381" s="25" t="s">
        <v>906</v>
      </c>
      <c r="R381" s="25" t="s">
        <v>67</v>
      </c>
      <c r="S381" s="31" t="n">
        <v>440</v>
      </c>
      <c r="T381" s="26" t="s">
        <v>242</v>
      </c>
      <c r="U381" s="26" t="str">
        <f aca="false">IF($J381="","출고일 미정",IF($N381="X","작지 미발행",IF($N381="부분","작지 일부 미발행",IF(AND($O381&lt;&gt;"",$O381&gt;$L381),"소재입고 마감("&amp;TEXT($L381,"MM/DD")&amp;") 초과",IF($N381="","발행여부 확인 필요",IF($O381="","소재 입고일정 확인 필요","정상"))))))</f>
        <v>작지 미발행</v>
      </c>
      <c r="V381" s="24" t="str">
        <f aca="false">IF($J381="","",IF(OR(LEFT($U381,2)="작지",LEFT($U381,4)="소재입고"),IF(LEFT($F381,1)="S","★ 납기위험(S코드)","◆ 지연주의"),IF($U381="정상","✓ 정상","? 확인필요")))</f>
        <v>◆ 지연주의</v>
      </c>
      <c r="W381" s="27"/>
      <c r="X381" s="32"/>
    </row>
    <row r="382" customFormat="false" ht="15" hidden="false" customHeight="false" outlineLevel="0" collapsed="false">
      <c r="A382" s="24" t="n">
        <v>378</v>
      </c>
      <c r="B382" s="25" t="s">
        <v>178</v>
      </c>
      <c r="C382" s="25" t="s">
        <v>386</v>
      </c>
      <c r="D382" s="26" t="s">
        <v>907</v>
      </c>
      <c r="E382" s="25" t="s">
        <v>908</v>
      </c>
      <c r="F382" s="24" t="str">
        <f aca="false">IF($D382="","",IF(MID($D382,5,1)="S","S(봄)",IF(MID($D382,5,1)="M","M(여름)",IF(MID($D382,5,1)="X","X(사계절)",MID($D382,5,1)))))</f>
        <v>X(사계절)</v>
      </c>
      <c r="G382" s="25" t="s">
        <v>62</v>
      </c>
      <c r="H382" s="24"/>
      <c r="I382" s="27" t="s">
        <v>242</v>
      </c>
      <c r="J382" s="28" t="n">
        <f aca="false">IF($I382="","",IFERROR(DATE(IF(VALUE(LEFT($I382,FIND("월",$I382)-1))&gt;=9,기준정보!$C$7-1,기준정보!$C$7),VALUE(LEFT($I382,FIND("월",$I382)-1)),1+7*(VALUE(SUBSTITUTE(MID($I382,FIND("월",$I382)+1,5),"주",""))-1)),""))</f>
        <v>46409</v>
      </c>
      <c r="K382" s="28" t="n">
        <f aca="false">IF($J382="","",$J382-기준정보!$C$5)</f>
        <v>46395</v>
      </c>
      <c r="L382" s="28" t="n">
        <f aca="false">IF($K382="","",$K382-기준정보!$C$6)</f>
        <v>46305</v>
      </c>
      <c r="M382" s="29" t="n">
        <f aca="false">IF($L382="","",$L382-기준정보!$C$4)</f>
        <v>63</v>
      </c>
      <c r="N382" s="27" t="s">
        <v>119</v>
      </c>
      <c r="O382" s="30"/>
      <c r="P382" s="26" t="str">
        <f aca="false">IF($G382="","",IF(AND(ISNUMBER(SEARCH("CMT",$G382)),OR(ISNUMBER(SEARCH("완사입",$G382)),ISNUMBER(SEARCH("ODM",$G382)))),"본사/생산처 혼재",IF(ISNUMBER(SEARCH("CMT",$G382)),"본사(소재팀)","생산처")))</f>
        <v>생산처</v>
      </c>
      <c r="Q382" s="25" t="s">
        <v>906</v>
      </c>
      <c r="R382" s="25" t="s">
        <v>67</v>
      </c>
      <c r="S382" s="31" t="n">
        <v>300</v>
      </c>
      <c r="T382" s="26" t="s">
        <v>242</v>
      </c>
      <c r="U382" s="26" t="str">
        <f aca="false">IF($J382="","출고일 미정",IF($N382="X","작지 미발행",IF($N382="부분","작지 일부 미발행",IF(AND($O382&lt;&gt;"",$O382&gt;$L382),"소재입고 마감("&amp;TEXT($L382,"MM/DD")&amp;") 초과",IF($N382="","발행여부 확인 필요",IF($O382="","소재 입고일정 확인 필요","정상"))))))</f>
        <v>작지 미발행</v>
      </c>
      <c r="V382" s="24" t="str">
        <f aca="false">IF($J382="","",IF(OR(LEFT($U382,2)="작지",LEFT($U382,4)="소재입고"),IF(LEFT($F382,1)="S","★ 납기위험(S코드)","◆ 지연주의"),IF($U382="정상","✓ 정상","? 확인필요")))</f>
        <v>◆ 지연주의</v>
      </c>
      <c r="W382" s="27"/>
      <c r="X382" s="32"/>
    </row>
    <row r="383" customFormat="false" ht="15" hidden="false" customHeight="false" outlineLevel="0" collapsed="false">
      <c r="A383" s="24" t="n">
        <v>379</v>
      </c>
      <c r="B383" s="25" t="s">
        <v>178</v>
      </c>
      <c r="C383" s="25" t="s">
        <v>386</v>
      </c>
      <c r="D383" s="26" t="s">
        <v>909</v>
      </c>
      <c r="E383" s="25" t="s">
        <v>910</v>
      </c>
      <c r="F383" s="24" t="str">
        <f aca="false">IF($D383="","",IF(MID($D383,5,1)="S","S(봄)",IF(MID($D383,5,1)="M","M(여름)",IF(MID($D383,5,1)="X","X(사계절)",MID($D383,5,1)))))</f>
        <v>X(사계절)</v>
      </c>
      <c r="G383" s="25" t="s">
        <v>62</v>
      </c>
      <c r="H383" s="24"/>
      <c r="I383" s="27" t="s">
        <v>242</v>
      </c>
      <c r="J383" s="28" t="n">
        <f aca="false">IF($I383="","",IFERROR(DATE(IF(VALUE(LEFT($I383,FIND("월",$I383)-1))&gt;=9,기준정보!$C$7-1,기준정보!$C$7),VALUE(LEFT($I383,FIND("월",$I383)-1)),1+7*(VALUE(SUBSTITUTE(MID($I383,FIND("월",$I383)+1,5),"주",""))-1)),""))</f>
        <v>46409</v>
      </c>
      <c r="K383" s="28" t="n">
        <f aca="false">IF($J383="","",$J383-기준정보!$C$5)</f>
        <v>46395</v>
      </c>
      <c r="L383" s="28" t="n">
        <f aca="false">IF($K383="","",$K383-기준정보!$C$6)</f>
        <v>46305</v>
      </c>
      <c r="M383" s="29" t="n">
        <f aca="false">IF($L383="","",$L383-기준정보!$C$4)</f>
        <v>63</v>
      </c>
      <c r="N383" s="27" t="s">
        <v>119</v>
      </c>
      <c r="O383" s="30"/>
      <c r="P383" s="26" t="str">
        <f aca="false">IF($G383="","",IF(AND(ISNUMBER(SEARCH("CMT",$G383)),OR(ISNUMBER(SEARCH("완사입",$G383)),ISNUMBER(SEARCH("ODM",$G383)))),"본사/생산처 혼재",IF(ISNUMBER(SEARCH("CMT",$G383)),"본사(소재팀)","생산처")))</f>
        <v>생산처</v>
      </c>
      <c r="Q383" s="25" t="s">
        <v>877</v>
      </c>
      <c r="R383" s="25" t="s">
        <v>105</v>
      </c>
      <c r="S383" s="31" t="n">
        <v>1800</v>
      </c>
      <c r="T383" s="26"/>
      <c r="U383" s="26" t="str">
        <f aca="false">IF($J383="","출고일 미정",IF($N383="X","작지 미발행",IF($N383="부분","작지 일부 미발행",IF(AND($O383&lt;&gt;"",$O383&gt;$L383),"소재입고 마감("&amp;TEXT($L383,"MM/DD")&amp;") 초과",IF($N383="","발행여부 확인 필요",IF($O383="","소재 입고일정 확인 필요","정상"))))))</f>
        <v>작지 미발행</v>
      </c>
      <c r="V383" s="24" t="str">
        <f aca="false">IF($J383="","",IF(OR(LEFT($U383,2)="작지",LEFT($U383,4)="소재입고"),IF(LEFT($F383,1)="S","★ 납기위험(S코드)","◆ 지연주의"),IF($U383="정상","✓ 정상","? 확인필요")))</f>
        <v>◆ 지연주의</v>
      </c>
      <c r="W383" s="27"/>
      <c r="X383" s="32"/>
    </row>
    <row r="384" customFormat="false" ht="15" hidden="false" customHeight="false" outlineLevel="0" collapsed="false">
      <c r="A384" s="24" t="n">
        <v>380</v>
      </c>
      <c r="B384" s="25" t="s">
        <v>178</v>
      </c>
      <c r="C384" s="25" t="s">
        <v>386</v>
      </c>
      <c r="D384" s="26" t="s">
        <v>911</v>
      </c>
      <c r="E384" s="25" t="s">
        <v>912</v>
      </c>
      <c r="F384" s="24" t="str">
        <f aca="false">IF($D384="","",IF(MID($D384,5,1)="S","S(봄)",IF(MID($D384,5,1)="M","M(여름)",IF(MID($D384,5,1)="X","X(사계절)",MID($D384,5,1)))))</f>
        <v>X(사계절)</v>
      </c>
      <c r="G384" s="25" t="s">
        <v>62</v>
      </c>
      <c r="H384" s="24"/>
      <c r="I384" s="27" t="s">
        <v>242</v>
      </c>
      <c r="J384" s="28" t="n">
        <f aca="false">IF($I384="","",IFERROR(DATE(IF(VALUE(LEFT($I384,FIND("월",$I384)-1))&gt;=9,기준정보!$C$7-1,기준정보!$C$7),VALUE(LEFT($I384,FIND("월",$I384)-1)),1+7*(VALUE(SUBSTITUTE(MID($I384,FIND("월",$I384)+1,5),"주",""))-1)),""))</f>
        <v>46409</v>
      </c>
      <c r="K384" s="28" t="n">
        <f aca="false">IF($J384="","",$J384-기준정보!$C$5)</f>
        <v>46395</v>
      </c>
      <c r="L384" s="28" t="n">
        <f aca="false">IF($K384="","",$K384-기준정보!$C$6)</f>
        <v>46305</v>
      </c>
      <c r="M384" s="29" t="n">
        <f aca="false">IF($L384="","",$L384-기준정보!$C$4)</f>
        <v>63</v>
      </c>
      <c r="N384" s="27" t="s">
        <v>119</v>
      </c>
      <c r="O384" s="30"/>
      <c r="P384" s="26" t="str">
        <f aca="false">IF($G384="","",IF(AND(ISNUMBER(SEARCH("CMT",$G384)),OR(ISNUMBER(SEARCH("완사입",$G384)),ISNUMBER(SEARCH("ODM",$G384)))),"본사/생산처 혼재",IF(ISNUMBER(SEARCH("CMT",$G384)),"본사(소재팀)","생산처")))</f>
        <v>생산처</v>
      </c>
      <c r="Q384" s="25" t="s">
        <v>877</v>
      </c>
      <c r="R384" s="25" t="s">
        <v>105</v>
      </c>
      <c r="S384" s="31" t="n">
        <v>1000</v>
      </c>
      <c r="T384" s="26"/>
      <c r="U384" s="26" t="str">
        <f aca="false">IF($J384="","출고일 미정",IF($N384="X","작지 미발행",IF($N384="부분","작지 일부 미발행",IF(AND($O384&lt;&gt;"",$O384&gt;$L384),"소재입고 마감("&amp;TEXT($L384,"MM/DD")&amp;") 초과",IF($N384="","발행여부 확인 필요",IF($O384="","소재 입고일정 확인 필요","정상"))))))</f>
        <v>작지 미발행</v>
      </c>
      <c r="V384" s="24" t="str">
        <f aca="false">IF($J384="","",IF(OR(LEFT($U384,2)="작지",LEFT($U384,4)="소재입고"),IF(LEFT($F384,1)="S","★ 납기위험(S코드)","◆ 지연주의"),IF($U384="정상","✓ 정상","? 확인필요")))</f>
        <v>◆ 지연주의</v>
      </c>
      <c r="W384" s="27"/>
      <c r="X384" s="32"/>
    </row>
    <row r="385" customFormat="false" ht="15" hidden="false" customHeight="false" outlineLevel="0" collapsed="false">
      <c r="A385" s="24" t="n">
        <v>381</v>
      </c>
      <c r="B385" s="25" t="s">
        <v>178</v>
      </c>
      <c r="C385" s="25" t="s">
        <v>386</v>
      </c>
      <c r="D385" s="26" t="s">
        <v>913</v>
      </c>
      <c r="E385" s="25" t="s">
        <v>914</v>
      </c>
      <c r="F385" s="24" t="str">
        <f aca="false">IF($D385="","",IF(MID($D385,5,1)="S","S(봄)",IF(MID($D385,5,1)="M","M(여름)",IF(MID($D385,5,1)="X","X(사계절)",MID($D385,5,1)))))</f>
        <v>X(사계절)</v>
      </c>
      <c r="G385" s="25" t="s">
        <v>62</v>
      </c>
      <c r="H385" s="24"/>
      <c r="I385" s="27" t="s">
        <v>242</v>
      </c>
      <c r="J385" s="28" t="n">
        <f aca="false">IF($I385="","",IFERROR(DATE(IF(VALUE(LEFT($I385,FIND("월",$I385)-1))&gt;=9,기준정보!$C$7-1,기준정보!$C$7),VALUE(LEFT($I385,FIND("월",$I385)-1)),1+7*(VALUE(SUBSTITUTE(MID($I385,FIND("월",$I385)+1,5),"주",""))-1)),""))</f>
        <v>46409</v>
      </c>
      <c r="K385" s="28" t="n">
        <f aca="false">IF($J385="","",$J385-기준정보!$C$5)</f>
        <v>46395</v>
      </c>
      <c r="L385" s="28" t="n">
        <f aca="false">IF($K385="","",$K385-기준정보!$C$6)</f>
        <v>46305</v>
      </c>
      <c r="M385" s="29" t="n">
        <f aca="false">IF($L385="","",$L385-기준정보!$C$4)</f>
        <v>63</v>
      </c>
      <c r="N385" s="27" t="s">
        <v>119</v>
      </c>
      <c r="O385" s="30"/>
      <c r="P385" s="26" t="str">
        <f aca="false">IF($G385="","",IF(AND(ISNUMBER(SEARCH("CMT",$G385)),OR(ISNUMBER(SEARCH("완사입",$G385)),ISNUMBER(SEARCH("ODM",$G385)))),"본사/생산처 혼재",IF(ISNUMBER(SEARCH("CMT",$G385)),"본사(소재팀)","생산처")))</f>
        <v>생산처</v>
      </c>
      <c r="Q385" s="25" t="s">
        <v>877</v>
      </c>
      <c r="R385" s="25" t="s">
        <v>105</v>
      </c>
      <c r="S385" s="31" t="n">
        <v>1600</v>
      </c>
      <c r="T385" s="26" t="s">
        <v>242</v>
      </c>
      <c r="U385" s="26" t="str">
        <f aca="false">IF($J385="","출고일 미정",IF($N385="X","작지 미발행",IF($N385="부분","작지 일부 미발행",IF(AND($O385&lt;&gt;"",$O385&gt;$L385),"소재입고 마감("&amp;TEXT($L385,"MM/DD")&amp;") 초과",IF($N385="","발행여부 확인 필요",IF($O385="","소재 입고일정 확인 필요","정상"))))))</f>
        <v>작지 미발행</v>
      </c>
      <c r="V385" s="24" t="str">
        <f aca="false">IF($J385="","",IF(OR(LEFT($U385,2)="작지",LEFT($U385,4)="소재입고"),IF(LEFT($F385,1)="S","★ 납기위험(S코드)","◆ 지연주의"),IF($U385="정상","✓ 정상","? 확인필요")))</f>
        <v>◆ 지연주의</v>
      </c>
      <c r="W385" s="27"/>
      <c r="X385" s="32"/>
    </row>
    <row r="386" customFormat="false" ht="15" hidden="false" customHeight="false" outlineLevel="0" collapsed="false">
      <c r="A386" s="24" t="n">
        <v>382</v>
      </c>
      <c r="B386" s="25" t="s">
        <v>178</v>
      </c>
      <c r="C386" s="25" t="s">
        <v>386</v>
      </c>
      <c r="D386" s="26" t="s">
        <v>915</v>
      </c>
      <c r="E386" s="25" t="s">
        <v>916</v>
      </c>
      <c r="F386" s="24" t="str">
        <f aca="false">IF($D386="","",IF(MID($D386,5,1)="S","S(봄)",IF(MID($D386,5,1)="M","M(여름)",IF(MID($D386,5,1)="X","X(사계절)",MID($D386,5,1)))))</f>
        <v>X(사계절)</v>
      </c>
      <c r="G386" s="25" t="s">
        <v>62</v>
      </c>
      <c r="H386" s="24"/>
      <c r="I386" s="27" t="s">
        <v>242</v>
      </c>
      <c r="J386" s="28" t="n">
        <f aca="false">IF($I386="","",IFERROR(DATE(IF(VALUE(LEFT($I386,FIND("월",$I386)-1))&gt;=9,기준정보!$C$7-1,기준정보!$C$7),VALUE(LEFT($I386,FIND("월",$I386)-1)),1+7*(VALUE(SUBSTITUTE(MID($I386,FIND("월",$I386)+1,5),"주",""))-1)),""))</f>
        <v>46409</v>
      </c>
      <c r="K386" s="28" t="n">
        <f aca="false">IF($J386="","",$J386-기준정보!$C$5)</f>
        <v>46395</v>
      </c>
      <c r="L386" s="28" t="n">
        <f aca="false">IF($K386="","",$K386-기준정보!$C$6)</f>
        <v>46305</v>
      </c>
      <c r="M386" s="29" t="n">
        <f aca="false">IF($L386="","",$L386-기준정보!$C$4)</f>
        <v>63</v>
      </c>
      <c r="N386" s="27" t="s">
        <v>119</v>
      </c>
      <c r="O386" s="30"/>
      <c r="P386" s="26" t="str">
        <f aca="false">IF($G386="","",IF(AND(ISNUMBER(SEARCH("CMT",$G386)),OR(ISNUMBER(SEARCH("완사입",$G386)),ISNUMBER(SEARCH("ODM",$G386)))),"본사/생산처 혼재",IF(ISNUMBER(SEARCH("CMT",$G386)),"본사(소재팀)","생산처")))</f>
        <v>생산처</v>
      </c>
      <c r="Q386" s="25" t="s">
        <v>877</v>
      </c>
      <c r="R386" s="25" t="s">
        <v>105</v>
      </c>
      <c r="S386" s="31" t="n">
        <v>400</v>
      </c>
      <c r="T386" s="26" t="s">
        <v>242</v>
      </c>
      <c r="U386" s="26" t="str">
        <f aca="false">IF($J386="","출고일 미정",IF($N386="X","작지 미발행",IF($N386="부분","작지 일부 미발행",IF(AND($O386&lt;&gt;"",$O386&gt;$L386),"소재입고 마감("&amp;TEXT($L386,"MM/DD")&amp;") 초과",IF($N386="","발행여부 확인 필요",IF($O386="","소재 입고일정 확인 필요","정상"))))))</f>
        <v>작지 미발행</v>
      </c>
      <c r="V386" s="24" t="str">
        <f aca="false">IF($J386="","",IF(OR(LEFT($U386,2)="작지",LEFT($U386,4)="소재입고"),IF(LEFT($F386,1)="S","★ 납기위험(S코드)","◆ 지연주의"),IF($U386="정상","✓ 정상","? 확인필요")))</f>
        <v>◆ 지연주의</v>
      </c>
      <c r="W386" s="27"/>
      <c r="X386" s="32"/>
    </row>
    <row r="387" customFormat="false" ht="15" hidden="false" customHeight="false" outlineLevel="0" collapsed="false">
      <c r="A387" s="24" t="n">
        <v>383</v>
      </c>
      <c r="B387" s="25" t="s">
        <v>178</v>
      </c>
      <c r="C387" s="25" t="s">
        <v>386</v>
      </c>
      <c r="D387" s="26" t="s">
        <v>917</v>
      </c>
      <c r="E387" s="25" t="s">
        <v>918</v>
      </c>
      <c r="F387" s="24" t="str">
        <f aca="false">IF($D387="","",IF(MID($D387,5,1)="S","S(봄)",IF(MID($D387,5,1)="M","M(여름)",IF(MID($D387,5,1)="X","X(사계절)",MID($D387,5,1)))))</f>
        <v>X(사계절)</v>
      </c>
      <c r="G387" s="25" t="s">
        <v>62</v>
      </c>
      <c r="H387" s="24"/>
      <c r="I387" s="27" t="s">
        <v>242</v>
      </c>
      <c r="J387" s="28" t="n">
        <f aca="false">IF($I387="","",IFERROR(DATE(IF(VALUE(LEFT($I387,FIND("월",$I387)-1))&gt;=9,기준정보!$C$7-1,기준정보!$C$7),VALUE(LEFT($I387,FIND("월",$I387)-1)),1+7*(VALUE(SUBSTITUTE(MID($I387,FIND("월",$I387)+1,5),"주",""))-1)),""))</f>
        <v>46409</v>
      </c>
      <c r="K387" s="28" t="n">
        <f aca="false">IF($J387="","",$J387-기준정보!$C$5)</f>
        <v>46395</v>
      </c>
      <c r="L387" s="28" t="n">
        <f aca="false">IF($K387="","",$K387-기준정보!$C$6)</f>
        <v>46305</v>
      </c>
      <c r="M387" s="29" t="n">
        <f aca="false">IF($L387="","",$L387-기준정보!$C$4)</f>
        <v>63</v>
      </c>
      <c r="N387" s="27" t="s">
        <v>119</v>
      </c>
      <c r="O387" s="30"/>
      <c r="P387" s="26" t="str">
        <f aca="false">IF($G387="","",IF(AND(ISNUMBER(SEARCH("CMT",$G387)),OR(ISNUMBER(SEARCH("완사입",$G387)),ISNUMBER(SEARCH("ODM",$G387)))),"본사/생산처 혼재",IF(ISNUMBER(SEARCH("CMT",$G387)),"본사(소재팀)","생산처")))</f>
        <v>생산처</v>
      </c>
      <c r="Q387" s="25" t="s">
        <v>877</v>
      </c>
      <c r="R387" s="25" t="s">
        <v>105</v>
      </c>
      <c r="S387" s="31" t="n">
        <v>3700</v>
      </c>
      <c r="T387" s="26" t="s">
        <v>242</v>
      </c>
      <c r="U387" s="26" t="str">
        <f aca="false">IF($J387="","출고일 미정",IF($N387="X","작지 미발행",IF($N387="부분","작지 일부 미발행",IF(AND($O387&lt;&gt;"",$O387&gt;$L387),"소재입고 마감("&amp;TEXT($L387,"MM/DD")&amp;") 초과",IF($N387="","발행여부 확인 필요",IF($O387="","소재 입고일정 확인 필요","정상"))))))</f>
        <v>작지 미발행</v>
      </c>
      <c r="V387" s="24" t="str">
        <f aca="false">IF($J387="","",IF(OR(LEFT($U387,2)="작지",LEFT($U387,4)="소재입고"),IF(LEFT($F387,1)="S","★ 납기위험(S코드)","◆ 지연주의"),IF($U387="정상","✓ 정상","? 확인필요")))</f>
        <v>◆ 지연주의</v>
      </c>
      <c r="W387" s="27"/>
      <c r="X387" s="32"/>
    </row>
    <row r="388" customFormat="false" ht="15" hidden="false" customHeight="false" outlineLevel="0" collapsed="false">
      <c r="A388" s="24" t="n">
        <v>384</v>
      </c>
      <c r="B388" s="25" t="s">
        <v>178</v>
      </c>
      <c r="C388" s="25" t="s">
        <v>386</v>
      </c>
      <c r="D388" s="26" t="s">
        <v>919</v>
      </c>
      <c r="E388" s="25" t="s">
        <v>920</v>
      </c>
      <c r="F388" s="24" t="str">
        <f aca="false">IF($D388="","",IF(MID($D388,5,1)="S","S(봄)",IF(MID($D388,5,1)="M","M(여름)",IF(MID($D388,5,1)="X","X(사계절)",MID($D388,5,1)))))</f>
        <v>X(사계절)</v>
      </c>
      <c r="G388" s="25" t="s">
        <v>62</v>
      </c>
      <c r="H388" s="24" t="s">
        <v>119</v>
      </c>
      <c r="I388" s="27" t="s">
        <v>242</v>
      </c>
      <c r="J388" s="28" t="n">
        <f aca="false">IF($I388="","",IFERROR(DATE(IF(VALUE(LEFT($I388,FIND("월",$I388)-1))&gt;=9,기준정보!$C$7-1,기준정보!$C$7),VALUE(LEFT($I388,FIND("월",$I388)-1)),1+7*(VALUE(SUBSTITUTE(MID($I388,FIND("월",$I388)+1,5),"주",""))-1)),""))</f>
        <v>46409</v>
      </c>
      <c r="K388" s="28" t="n">
        <f aca="false">IF($J388="","",$J388-기준정보!$C$5)</f>
        <v>46395</v>
      </c>
      <c r="L388" s="28" t="n">
        <f aca="false">IF($K388="","",$K388-기준정보!$C$6)</f>
        <v>46305</v>
      </c>
      <c r="M388" s="29" t="n">
        <f aca="false">IF($L388="","",$L388-기준정보!$C$4)</f>
        <v>63</v>
      </c>
      <c r="N388" s="27" t="s">
        <v>119</v>
      </c>
      <c r="O388" s="30"/>
      <c r="P388" s="26" t="str">
        <f aca="false">IF($G388="","",IF(AND(ISNUMBER(SEARCH("CMT",$G388)),OR(ISNUMBER(SEARCH("완사입",$G388)),ISNUMBER(SEARCH("ODM",$G388)))),"본사/생산처 혼재",IF(ISNUMBER(SEARCH("CMT",$G388)),"본사(소재팀)","생산처")))</f>
        <v>생산처</v>
      </c>
      <c r="Q388" s="25" t="s">
        <v>877</v>
      </c>
      <c r="R388" s="25" t="s">
        <v>105</v>
      </c>
      <c r="S388" s="31" t="n">
        <v>4300</v>
      </c>
      <c r="T388" s="26" t="s">
        <v>242</v>
      </c>
      <c r="U388" s="26" t="str">
        <f aca="false">IF($J388="","출고일 미정",IF($N388="X","작지 미발행",IF($N388="부분","작지 일부 미발행",IF(AND($O388&lt;&gt;"",$O388&gt;$L388),"소재입고 마감("&amp;TEXT($L388,"MM/DD")&amp;") 초과",IF($N388="","발행여부 확인 필요",IF($O388="","소재 입고일정 확인 필요","정상"))))))</f>
        <v>작지 미발행</v>
      </c>
      <c r="V388" s="24" t="str">
        <f aca="false">IF($J388="","",IF(OR(LEFT($U388,2)="작지",LEFT($U388,4)="소재입고"),IF(LEFT($F388,1)="S","★ 납기위험(S코드)","◆ 지연주의"),IF($U388="정상","✓ 정상","? 확인필요")))</f>
        <v>◆ 지연주의</v>
      </c>
      <c r="W388" s="27"/>
      <c r="X388" s="32"/>
    </row>
    <row r="389" customFormat="false" ht="15" hidden="false" customHeight="false" outlineLevel="0" collapsed="false">
      <c r="A389" s="24" t="n">
        <v>385</v>
      </c>
      <c r="B389" s="25" t="s">
        <v>178</v>
      </c>
      <c r="C389" s="25" t="s">
        <v>386</v>
      </c>
      <c r="D389" s="26" t="s">
        <v>921</v>
      </c>
      <c r="E389" s="25" t="s">
        <v>922</v>
      </c>
      <c r="F389" s="24" t="str">
        <f aca="false">IF($D389="","",IF(MID($D389,5,1)="S","S(봄)",IF(MID($D389,5,1)="M","M(여름)",IF(MID($D389,5,1)="X","X(사계절)",MID($D389,5,1)))))</f>
        <v>X(사계절)</v>
      </c>
      <c r="G389" s="25" t="s">
        <v>62</v>
      </c>
      <c r="H389" s="24" t="s">
        <v>119</v>
      </c>
      <c r="I389" s="27" t="s">
        <v>242</v>
      </c>
      <c r="J389" s="28" t="n">
        <f aca="false">IF($I389="","",IFERROR(DATE(IF(VALUE(LEFT($I389,FIND("월",$I389)-1))&gt;=9,기준정보!$C$7-1,기준정보!$C$7),VALUE(LEFT($I389,FIND("월",$I389)-1)),1+7*(VALUE(SUBSTITUTE(MID($I389,FIND("월",$I389)+1,5),"주",""))-1)),""))</f>
        <v>46409</v>
      </c>
      <c r="K389" s="28" t="n">
        <f aca="false">IF($J389="","",$J389-기준정보!$C$5)</f>
        <v>46395</v>
      </c>
      <c r="L389" s="28" t="n">
        <f aca="false">IF($K389="","",$K389-기준정보!$C$6)</f>
        <v>46305</v>
      </c>
      <c r="M389" s="29" t="n">
        <f aca="false">IF($L389="","",$L389-기준정보!$C$4)</f>
        <v>63</v>
      </c>
      <c r="N389" s="27" t="s">
        <v>119</v>
      </c>
      <c r="O389" s="30"/>
      <c r="P389" s="26" t="str">
        <f aca="false">IF($G389="","",IF(AND(ISNUMBER(SEARCH("CMT",$G389)),OR(ISNUMBER(SEARCH("완사입",$G389)),ISNUMBER(SEARCH("ODM",$G389)))),"본사/생산처 혼재",IF(ISNUMBER(SEARCH("CMT",$G389)),"본사(소재팀)","생산처")))</f>
        <v>생산처</v>
      </c>
      <c r="Q389" s="25" t="s">
        <v>877</v>
      </c>
      <c r="R389" s="25" t="s">
        <v>105</v>
      </c>
      <c r="S389" s="31" t="n">
        <v>4100</v>
      </c>
      <c r="T389" s="26" t="s">
        <v>242</v>
      </c>
      <c r="U389" s="26" t="str">
        <f aca="false">IF($J389="","출고일 미정",IF($N389="X","작지 미발행",IF($N389="부분","작지 일부 미발행",IF(AND($O389&lt;&gt;"",$O389&gt;$L389),"소재입고 마감("&amp;TEXT($L389,"MM/DD")&amp;") 초과",IF($N389="","발행여부 확인 필요",IF($O389="","소재 입고일정 확인 필요","정상"))))))</f>
        <v>작지 미발행</v>
      </c>
      <c r="V389" s="24" t="str">
        <f aca="false">IF($J389="","",IF(OR(LEFT($U389,2)="작지",LEFT($U389,4)="소재입고"),IF(LEFT($F389,1)="S","★ 납기위험(S코드)","◆ 지연주의"),IF($U389="정상","✓ 정상","? 확인필요")))</f>
        <v>◆ 지연주의</v>
      </c>
      <c r="W389" s="27"/>
      <c r="X389" s="32"/>
    </row>
    <row r="390" customFormat="false" ht="15" hidden="false" customHeight="false" outlineLevel="0" collapsed="false">
      <c r="A390" s="24" t="n">
        <v>386</v>
      </c>
      <c r="B390" s="25" t="s">
        <v>178</v>
      </c>
      <c r="C390" s="25" t="s">
        <v>386</v>
      </c>
      <c r="D390" s="26" t="s">
        <v>923</v>
      </c>
      <c r="E390" s="25" t="s">
        <v>924</v>
      </c>
      <c r="F390" s="24" t="str">
        <f aca="false">IF($D390="","",IF(MID($D390,5,1)="S","S(봄)",IF(MID($D390,5,1)="M","M(여름)",IF(MID($D390,5,1)="X","X(사계절)",MID($D390,5,1)))))</f>
        <v>X(사계절)</v>
      </c>
      <c r="G390" s="25" t="s">
        <v>62</v>
      </c>
      <c r="H390" s="24" t="s">
        <v>119</v>
      </c>
      <c r="I390" s="27" t="s">
        <v>242</v>
      </c>
      <c r="J390" s="28" t="n">
        <f aca="false">IF($I390="","",IFERROR(DATE(IF(VALUE(LEFT($I390,FIND("월",$I390)-1))&gt;=9,기준정보!$C$7-1,기준정보!$C$7),VALUE(LEFT($I390,FIND("월",$I390)-1)),1+7*(VALUE(SUBSTITUTE(MID($I390,FIND("월",$I390)+1,5),"주",""))-1)),""))</f>
        <v>46409</v>
      </c>
      <c r="K390" s="28" t="n">
        <f aca="false">IF($J390="","",$J390-기준정보!$C$5)</f>
        <v>46395</v>
      </c>
      <c r="L390" s="28" t="n">
        <f aca="false">IF($K390="","",$K390-기준정보!$C$6)</f>
        <v>46305</v>
      </c>
      <c r="M390" s="29" t="n">
        <f aca="false">IF($L390="","",$L390-기준정보!$C$4)</f>
        <v>63</v>
      </c>
      <c r="N390" s="27" t="s">
        <v>119</v>
      </c>
      <c r="O390" s="30"/>
      <c r="P390" s="26" t="str">
        <f aca="false">IF($G390="","",IF(AND(ISNUMBER(SEARCH("CMT",$G390)),OR(ISNUMBER(SEARCH("완사입",$G390)),ISNUMBER(SEARCH("ODM",$G390)))),"본사/생산처 혼재",IF(ISNUMBER(SEARCH("CMT",$G390)),"본사(소재팀)","생산처")))</f>
        <v>생산처</v>
      </c>
      <c r="Q390" s="25" t="s">
        <v>877</v>
      </c>
      <c r="R390" s="25" t="s">
        <v>105</v>
      </c>
      <c r="S390" s="31" t="n">
        <v>1600</v>
      </c>
      <c r="T390" s="26" t="s">
        <v>242</v>
      </c>
      <c r="U390" s="26" t="str">
        <f aca="false">IF($J390="","출고일 미정",IF($N390="X","작지 미발행",IF($N390="부분","작지 일부 미발행",IF(AND($O390&lt;&gt;"",$O390&gt;$L390),"소재입고 마감("&amp;TEXT($L390,"MM/DD")&amp;") 초과",IF($N390="","발행여부 확인 필요",IF($O390="","소재 입고일정 확인 필요","정상"))))))</f>
        <v>작지 미발행</v>
      </c>
      <c r="V390" s="24" t="str">
        <f aca="false">IF($J390="","",IF(OR(LEFT($U390,2)="작지",LEFT($U390,4)="소재입고"),IF(LEFT($F390,1)="S","★ 납기위험(S코드)","◆ 지연주의"),IF($U390="정상","✓ 정상","? 확인필요")))</f>
        <v>◆ 지연주의</v>
      </c>
      <c r="W390" s="27"/>
      <c r="X390" s="32"/>
    </row>
    <row r="391" customFormat="false" ht="15" hidden="false" customHeight="false" outlineLevel="0" collapsed="false">
      <c r="A391" s="24" t="n">
        <v>387</v>
      </c>
      <c r="B391" s="25" t="s">
        <v>178</v>
      </c>
      <c r="C391" s="25" t="s">
        <v>386</v>
      </c>
      <c r="D391" s="26" t="s">
        <v>925</v>
      </c>
      <c r="E391" s="25" t="s">
        <v>926</v>
      </c>
      <c r="F391" s="24" t="str">
        <f aca="false">IF($D391="","",IF(MID($D391,5,1)="S","S(봄)",IF(MID($D391,5,1)="M","M(여름)",IF(MID($D391,5,1)="X","X(사계절)",MID($D391,5,1)))))</f>
        <v>X(사계절)</v>
      </c>
      <c r="G391" s="25" t="s">
        <v>62</v>
      </c>
      <c r="H391" s="24" t="s">
        <v>119</v>
      </c>
      <c r="I391" s="27" t="s">
        <v>242</v>
      </c>
      <c r="J391" s="28" t="n">
        <f aca="false">IF($I391="","",IFERROR(DATE(IF(VALUE(LEFT($I391,FIND("월",$I391)-1))&gt;=9,기준정보!$C$7-1,기준정보!$C$7),VALUE(LEFT($I391,FIND("월",$I391)-1)),1+7*(VALUE(SUBSTITUTE(MID($I391,FIND("월",$I391)+1,5),"주",""))-1)),""))</f>
        <v>46409</v>
      </c>
      <c r="K391" s="28" t="n">
        <f aca="false">IF($J391="","",$J391-기준정보!$C$5)</f>
        <v>46395</v>
      </c>
      <c r="L391" s="28" t="n">
        <f aca="false">IF($K391="","",$K391-기준정보!$C$6)</f>
        <v>46305</v>
      </c>
      <c r="M391" s="29" t="n">
        <f aca="false">IF($L391="","",$L391-기준정보!$C$4)</f>
        <v>63</v>
      </c>
      <c r="N391" s="27" t="s">
        <v>119</v>
      </c>
      <c r="O391" s="30"/>
      <c r="P391" s="26" t="str">
        <f aca="false">IF($G391="","",IF(AND(ISNUMBER(SEARCH("CMT",$G391)),OR(ISNUMBER(SEARCH("완사입",$G391)),ISNUMBER(SEARCH("ODM",$G391)))),"본사/생산처 혼재",IF(ISNUMBER(SEARCH("CMT",$G391)),"본사(소재팀)","생산처")))</f>
        <v>생산처</v>
      </c>
      <c r="Q391" s="25" t="s">
        <v>877</v>
      </c>
      <c r="R391" s="25" t="s">
        <v>105</v>
      </c>
      <c r="S391" s="31" t="n">
        <v>1000</v>
      </c>
      <c r="T391" s="26" t="s">
        <v>242</v>
      </c>
      <c r="U391" s="26" t="str">
        <f aca="false">IF($J391="","출고일 미정",IF($N391="X","작지 미발행",IF($N391="부분","작지 일부 미발행",IF(AND($O391&lt;&gt;"",$O391&gt;$L391),"소재입고 마감("&amp;TEXT($L391,"MM/DD")&amp;") 초과",IF($N391="","발행여부 확인 필요",IF($O391="","소재 입고일정 확인 필요","정상"))))))</f>
        <v>작지 미발행</v>
      </c>
      <c r="V391" s="24" t="str">
        <f aca="false">IF($J391="","",IF(OR(LEFT($U391,2)="작지",LEFT($U391,4)="소재입고"),IF(LEFT($F391,1)="S","★ 납기위험(S코드)","◆ 지연주의"),IF($U391="정상","✓ 정상","? 확인필요")))</f>
        <v>◆ 지연주의</v>
      </c>
      <c r="W391" s="27"/>
      <c r="X391" s="32"/>
    </row>
    <row r="392" customFormat="false" ht="15" hidden="false" customHeight="false" outlineLevel="0" collapsed="false">
      <c r="A392" s="24" t="n">
        <v>388</v>
      </c>
      <c r="B392" s="25" t="s">
        <v>178</v>
      </c>
      <c r="C392" s="25" t="s">
        <v>386</v>
      </c>
      <c r="D392" s="26" t="s">
        <v>927</v>
      </c>
      <c r="E392" s="25" t="s">
        <v>928</v>
      </c>
      <c r="F392" s="24" t="str">
        <f aca="false">IF($D392="","",IF(MID($D392,5,1)="S","S(봄)",IF(MID($D392,5,1)="M","M(여름)",IF(MID($D392,5,1)="X","X(사계절)",MID($D392,5,1)))))</f>
        <v>X(사계절)</v>
      </c>
      <c r="G392" s="25" t="s">
        <v>62</v>
      </c>
      <c r="H392" s="24" t="s">
        <v>119</v>
      </c>
      <c r="I392" s="27" t="s">
        <v>242</v>
      </c>
      <c r="J392" s="28" t="n">
        <f aca="false">IF($I392="","",IFERROR(DATE(IF(VALUE(LEFT($I392,FIND("월",$I392)-1))&gt;=9,기준정보!$C$7-1,기준정보!$C$7),VALUE(LEFT($I392,FIND("월",$I392)-1)),1+7*(VALUE(SUBSTITUTE(MID($I392,FIND("월",$I392)+1,5),"주",""))-1)),""))</f>
        <v>46409</v>
      </c>
      <c r="K392" s="28" t="n">
        <f aca="false">IF($J392="","",$J392-기준정보!$C$5)</f>
        <v>46395</v>
      </c>
      <c r="L392" s="28" t="n">
        <f aca="false">IF($K392="","",$K392-기준정보!$C$6)</f>
        <v>46305</v>
      </c>
      <c r="M392" s="29" t="n">
        <f aca="false">IF($L392="","",$L392-기준정보!$C$4)</f>
        <v>63</v>
      </c>
      <c r="N392" s="27" t="s">
        <v>119</v>
      </c>
      <c r="O392" s="30"/>
      <c r="P392" s="26" t="str">
        <f aca="false">IF($G392="","",IF(AND(ISNUMBER(SEARCH("CMT",$G392)),OR(ISNUMBER(SEARCH("완사입",$G392)),ISNUMBER(SEARCH("ODM",$G392)))),"본사/생산처 혼재",IF(ISNUMBER(SEARCH("CMT",$G392)),"본사(소재팀)","생산처")))</f>
        <v>생산처</v>
      </c>
      <c r="Q392" s="25" t="s">
        <v>877</v>
      </c>
      <c r="R392" s="25" t="s">
        <v>105</v>
      </c>
      <c r="S392" s="31" t="n">
        <v>1000</v>
      </c>
      <c r="T392" s="26" t="s">
        <v>242</v>
      </c>
      <c r="U392" s="26" t="str">
        <f aca="false">IF($J392="","출고일 미정",IF($N392="X","작지 미발행",IF($N392="부분","작지 일부 미발행",IF(AND($O392&lt;&gt;"",$O392&gt;$L392),"소재입고 마감("&amp;TEXT($L392,"MM/DD")&amp;") 초과",IF($N392="","발행여부 확인 필요",IF($O392="","소재 입고일정 확인 필요","정상"))))))</f>
        <v>작지 미발행</v>
      </c>
      <c r="V392" s="24" t="str">
        <f aca="false">IF($J392="","",IF(OR(LEFT($U392,2)="작지",LEFT($U392,4)="소재입고"),IF(LEFT($F392,1)="S","★ 납기위험(S코드)","◆ 지연주의"),IF($U392="정상","✓ 정상","? 확인필요")))</f>
        <v>◆ 지연주의</v>
      </c>
      <c r="W392" s="27"/>
      <c r="X392" s="32"/>
    </row>
    <row r="393" customFormat="false" ht="15" hidden="false" customHeight="false" outlineLevel="0" collapsed="false">
      <c r="A393" s="24" t="n">
        <v>389</v>
      </c>
      <c r="B393" s="25" t="s">
        <v>178</v>
      </c>
      <c r="C393" s="25" t="s">
        <v>386</v>
      </c>
      <c r="D393" s="26" t="s">
        <v>929</v>
      </c>
      <c r="E393" s="25" t="s">
        <v>930</v>
      </c>
      <c r="F393" s="24" t="str">
        <f aca="false">IF($D393="","",IF(MID($D393,5,1)="S","S(봄)",IF(MID($D393,5,1)="M","M(여름)",IF(MID($D393,5,1)="X","X(사계절)",MID($D393,5,1)))))</f>
        <v>X(사계절)</v>
      </c>
      <c r="G393" s="25" t="s">
        <v>62</v>
      </c>
      <c r="H393" s="24"/>
      <c r="I393" s="27" t="s">
        <v>242</v>
      </c>
      <c r="J393" s="28" t="n">
        <f aca="false">IF($I393="","",IFERROR(DATE(IF(VALUE(LEFT($I393,FIND("월",$I393)-1))&gt;=9,기준정보!$C$7-1,기준정보!$C$7),VALUE(LEFT($I393,FIND("월",$I393)-1)),1+7*(VALUE(SUBSTITUTE(MID($I393,FIND("월",$I393)+1,5),"주",""))-1)),""))</f>
        <v>46409</v>
      </c>
      <c r="K393" s="28" t="n">
        <f aca="false">IF($J393="","",$J393-기준정보!$C$5)</f>
        <v>46395</v>
      </c>
      <c r="L393" s="28" t="n">
        <f aca="false">IF($K393="","",$K393-기준정보!$C$6)</f>
        <v>46305</v>
      </c>
      <c r="M393" s="29" t="n">
        <f aca="false">IF($L393="","",$L393-기준정보!$C$4)</f>
        <v>63</v>
      </c>
      <c r="N393" s="27" t="s">
        <v>119</v>
      </c>
      <c r="O393" s="30"/>
      <c r="P393" s="26" t="str">
        <f aca="false">IF($G393="","",IF(AND(ISNUMBER(SEARCH("CMT",$G393)),OR(ISNUMBER(SEARCH("완사입",$G393)),ISNUMBER(SEARCH("ODM",$G393)))),"본사/생산처 혼재",IF(ISNUMBER(SEARCH("CMT",$G393)),"본사(소재팀)","생산처")))</f>
        <v>생산처</v>
      </c>
      <c r="Q393" s="25" t="s">
        <v>877</v>
      </c>
      <c r="R393" s="25" t="s">
        <v>105</v>
      </c>
      <c r="S393" s="31" t="n">
        <v>2500</v>
      </c>
      <c r="T393" s="26"/>
      <c r="U393" s="26" t="str">
        <f aca="false">IF($J393="","출고일 미정",IF($N393="X","작지 미발행",IF($N393="부분","작지 일부 미발행",IF(AND($O393&lt;&gt;"",$O393&gt;$L393),"소재입고 마감("&amp;TEXT($L393,"MM/DD")&amp;") 초과",IF($N393="","발행여부 확인 필요",IF($O393="","소재 입고일정 확인 필요","정상"))))))</f>
        <v>작지 미발행</v>
      </c>
      <c r="V393" s="24" t="str">
        <f aca="false">IF($J393="","",IF(OR(LEFT($U393,2)="작지",LEFT($U393,4)="소재입고"),IF(LEFT($F393,1)="S","★ 납기위험(S코드)","◆ 지연주의"),IF($U393="정상","✓ 정상","? 확인필요")))</f>
        <v>◆ 지연주의</v>
      </c>
      <c r="W393" s="27"/>
      <c r="X393" s="32"/>
    </row>
    <row r="394" customFormat="false" ht="15" hidden="false" customHeight="false" outlineLevel="0" collapsed="false">
      <c r="A394" s="24" t="n">
        <v>390</v>
      </c>
      <c r="B394" s="25" t="s">
        <v>178</v>
      </c>
      <c r="C394" s="25" t="s">
        <v>386</v>
      </c>
      <c r="D394" s="26" t="s">
        <v>931</v>
      </c>
      <c r="E394" s="25" t="s">
        <v>932</v>
      </c>
      <c r="F394" s="24" t="str">
        <f aca="false">IF($D394="","",IF(MID($D394,5,1)="S","S(봄)",IF(MID($D394,5,1)="M","M(여름)",IF(MID($D394,5,1)="X","X(사계절)",MID($D394,5,1)))))</f>
        <v>X(사계절)</v>
      </c>
      <c r="G394" s="25" t="s">
        <v>62</v>
      </c>
      <c r="H394" s="24" t="s">
        <v>933</v>
      </c>
      <c r="I394" s="27" t="s">
        <v>242</v>
      </c>
      <c r="J394" s="28" t="n">
        <f aca="false">IF($I394="","",IFERROR(DATE(IF(VALUE(LEFT($I394,FIND("월",$I394)-1))&gt;=9,기준정보!$C$7-1,기준정보!$C$7),VALUE(LEFT($I394,FIND("월",$I394)-1)),1+7*(VALUE(SUBSTITUTE(MID($I394,FIND("월",$I394)+1,5),"주",""))-1)),""))</f>
        <v>46409</v>
      </c>
      <c r="K394" s="28" t="n">
        <f aca="false">IF($J394="","",$J394-기준정보!$C$5)</f>
        <v>46395</v>
      </c>
      <c r="L394" s="28" t="n">
        <f aca="false">IF($K394="","",$K394-기준정보!$C$6)</f>
        <v>46305</v>
      </c>
      <c r="M394" s="29" t="n">
        <f aca="false">IF($L394="","",$L394-기준정보!$C$4)</f>
        <v>63</v>
      </c>
      <c r="N394" s="27" t="s">
        <v>119</v>
      </c>
      <c r="O394" s="30"/>
      <c r="P394" s="26" t="str">
        <f aca="false">IF($G394="","",IF(AND(ISNUMBER(SEARCH("CMT",$G394)),OR(ISNUMBER(SEARCH("완사입",$G394)),ISNUMBER(SEARCH("ODM",$G394)))),"본사/생산처 혼재",IF(ISNUMBER(SEARCH("CMT",$G394)),"본사(소재팀)","생산처")))</f>
        <v>생산처</v>
      </c>
      <c r="Q394" s="25" t="s">
        <v>906</v>
      </c>
      <c r="R394" s="25" t="s">
        <v>67</v>
      </c>
      <c r="S394" s="31" t="n">
        <v>2000</v>
      </c>
      <c r="T394" s="26"/>
      <c r="U394" s="26" t="str">
        <f aca="false">IF($J394="","출고일 미정",IF($N394="X","작지 미발행",IF($N394="부분","작지 일부 미발행",IF(AND($O394&lt;&gt;"",$O394&gt;$L394),"소재입고 마감("&amp;TEXT($L394,"MM/DD")&amp;") 초과",IF($N394="","발행여부 확인 필요",IF($O394="","소재 입고일정 확인 필요","정상"))))))</f>
        <v>작지 미발행</v>
      </c>
      <c r="V394" s="24" t="str">
        <f aca="false">IF($J394="","",IF(OR(LEFT($U394,2)="작지",LEFT($U394,4)="소재입고"),IF(LEFT($F394,1)="S","★ 납기위험(S코드)","◆ 지연주의"),IF($U394="정상","✓ 정상","? 확인필요")))</f>
        <v>◆ 지연주의</v>
      </c>
      <c r="W394" s="27"/>
      <c r="X394" s="32"/>
    </row>
    <row r="395" customFormat="false" ht="15" hidden="false" customHeight="false" outlineLevel="0" collapsed="false">
      <c r="A395" s="24" t="n">
        <v>391</v>
      </c>
      <c r="B395" s="25" t="s">
        <v>163</v>
      </c>
      <c r="C395" s="25" t="s">
        <v>386</v>
      </c>
      <c r="D395" s="26" t="s">
        <v>934</v>
      </c>
      <c r="E395" s="25" t="s">
        <v>935</v>
      </c>
      <c r="F395" s="24" t="str">
        <f aca="false">IF($D395="","",IF(MID($D395,5,1)="S","S(봄)",IF(MID($D395,5,1)="M","M(여름)",IF(MID($D395,5,1)="X","X(사계절)",MID($D395,5,1)))))</f>
        <v>X(사계절)</v>
      </c>
      <c r="G395" s="25" t="s">
        <v>62</v>
      </c>
      <c r="H395" s="24"/>
      <c r="I395" s="27" t="s">
        <v>242</v>
      </c>
      <c r="J395" s="28" t="n">
        <f aca="false">IF($I395="","",IFERROR(DATE(IF(VALUE(LEFT($I395,FIND("월",$I395)-1))&gt;=9,기준정보!$C$7-1,기준정보!$C$7),VALUE(LEFT($I395,FIND("월",$I395)-1)),1+7*(VALUE(SUBSTITUTE(MID($I395,FIND("월",$I395)+1,5),"주",""))-1)),""))</f>
        <v>46409</v>
      </c>
      <c r="K395" s="28" t="n">
        <f aca="false">IF($J395="","",$J395-기준정보!$C$5)</f>
        <v>46395</v>
      </c>
      <c r="L395" s="28" t="n">
        <f aca="false">IF($K395="","",$K395-기준정보!$C$6)</f>
        <v>46305</v>
      </c>
      <c r="M395" s="29" t="n">
        <f aca="false">IF($L395="","",$L395-기준정보!$C$4)</f>
        <v>63</v>
      </c>
      <c r="N395" s="27" t="s">
        <v>119</v>
      </c>
      <c r="O395" s="30"/>
      <c r="P395" s="26" t="str">
        <f aca="false">IF($G395="","",IF(AND(ISNUMBER(SEARCH("CMT",$G395)),OR(ISNUMBER(SEARCH("완사입",$G395)),ISNUMBER(SEARCH("ODM",$G395)))),"본사/생산처 혼재",IF(ISNUMBER(SEARCH("CMT",$G395)),"본사(소재팀)","생산처")))</f>
        <v>생산처</v>
      </c>
      <c r="Q395" s="25" t="s">
        <v>389</v>
      </c>
      <c r="R395" s="25" t="s">
        <v>67</v>
      </c>
      <c r="S395" s="31" t="n">
        <v>5500</v>
      </c>
      <c r="T395" s="26"/>
      <c r="U395" s="26" t="str">
        <f aca="false">IF($J395="","출고일 미정",IF($N395="X","작지 미발행",IF($N395="부분","작지 일부 미발행",IF(AND($O395&lt;&gt;"",$O395&gt;$L395),"소재입고 마감("&amp;TEXT($L395,"MM/DD")&amp;") 초과",IF($N395="","발행여부 확인 필요",IF($O395="","소재 입고일정 확인 필요","정상"))))))</f>
        <v>작지 미발행</v>
      </c>
      <c r="V395" s="24" t="str">
        <f aca="false">IF($J395="","",IF(OR(LEFT($U395,2)="작지",LEFT($U395,4)="소재입고"),IF(LEFT($F395,1)="S","★ 납기위험(S코드)","◆ 지연주의"),IF($U395="정상","✓ 정상","? 확인필요")))</f>
        <v>◆ 지연주의</v>
      </c>
      <c r="W395" s="27"/>
      <c r="X395" s="32"/>
    </row>
    <row r="396" customFormat="false" ht="15" hidden="false" customHeight="false" outlineLevel="0" collapsed="false">
      <c r="A396" s="24" t="n">
        <v>392</v>
      </c>
      <c r="B396" s="25" t="s">
        <v>163</v>
      </c>
      <c r="C396" s="25" t="s">
        <v>386</v>
      </c>
      <c r="D396" s="26" t="s">
        <v>936</v>
      </c>
      <c r="E396" s="25" t="s">
        <v>937</v>
      </c>
      <c r="F396" s="24" t="str">
        <f aca="false">IF($D396="","",IF(MID($D396,5,1)="S","S(봄)",IF(MID($D396,5,1)="M","M(여름)",IF(MID($D396,5,1)="X","X(사계절)",MID($D396,5,1)))))</f>
        <v>X(사계절)</v>
      </c>
      <c r="G396" s="25" t="s">
        <v>62</v>
      </c>
      <c r="H396" s="24"/>
      <c r="I396" s="27" t="s">
        <v>242</v>
      </c>
      <c r="J396" s="28" t="n">
        <f aca="false">IF($I396="","",IFERROR(DATE(IF(VALUE(LEFT($I396,FIND("월",$I396)-1))&gt;=9,기준정보!$C$7-1,기준정보!$C$7),VALUE(LEFT($I396,FIND("월",$I396)-1)),1+7*(VALUE(SUBSTITUTE(MID($I396,FIND("월",$I396)+1,5),"주",""))-1)),""))</f>
        <v>46409</v>
      </c>
      <c r="K396" s="28" t="n">
        <f aca="false">IF($J396="","",$J396-기준정보!$C$5)</f>
        <v>46395</v>
      </c>
      <c r="L396" s="28" t="n">
        <f aca="false">IF($K396="","",$K396-기준정보!$C$6)</f>
        <v>46305</v>
      </c>
      <c r="M396" s="29" t="n">
        <f aca="false">IF($L396="","",$L396-기준정보!$C$4)</f>
        <v>63</v>
      </c>
      <c r="N396" s="27" t="s">
        <v>119</v>
      </c>
      <c r="O396" s="30"/>
      <c r="P396" s="26" t="str">
        <f aca="false">IF($G396="","",IF(AND(ISNUMBER(SEARCH("CMT",$G396)),OR(ISNUMBER(SEARCH("완사입",$G396)),ISNUMBER(SEARCH("ODM",$G396)))),"본사/생산처 혼재",IF(ISNUMBER(SEARCH("CMT",$G396)),"본사(소재팀)","생산처")))</f>
        <v>생산처</v>
      </c>
      <c r="Q396" s="25" t="s">
        <v>389</v>
      </c>
      <c r="R396" s="25" t="s">
        <v>67</v>
      </c>
      <c r="S396" s="31" t="n">
        <v>5100</v>
      </c>
      <c r="T396" s="26"/>
      <c r="U396" s="26" t="str">
        <f aca="false">IF($J396="","출고일 미정",IF($N396="X","작지 미발행",IF($N396="부분","작지 일부 미발행",IF(AND($O396&lt;&gt;"",$O396&gt;$L396),"소재입고 마감("&amp;TEXT($L396,"MM/DD")&amp;") 초과",IF($N396="","발행여부 확인 필요",IF($O396="","소재 입고일정 확인 필요","정상"))))))</f>
        <v>작지 미발행</v>
      </c>
      <c r="V396" s="24" t="str">
        <f aca="false">IF($J396="","",IF(OR(LEFT($U396,2)="작지",LEFT($U396,4)="소재입고"),IF(LEFT($F396,1)="S","★ 납기위험(S코드)","◆ 지연주의"),IF($U396="정상","✓ 정상","? 확인필요")))</f>
        <v>◆ 지연주의</v>
      </c>
      <c r="W396" s="27"/>
      <c r="X396" s="32"/>
    </row>
    <row r="397" customFormat="false" ht="15" hidden="false" customHeight="false" outlineLevel="0" collapsed="false">
      <c r="A397" s="24" t="n">
        <v>393</v>
      </c>
      <c r="B397" s="25" t="s">
        <v>541</v>
      </c>
      <c r="C397" s="26"/>
      <c r="D397" s="26" t="s">
        <v>938</v>
      </c>
      <c r="E397" s="25" t="s">
        <v>939</v>
      </c>
      <c r="F397" s="24" t="str">
        <f aca="false">IF($D397="","",IF(MID($D397,5,1)="S","S(봄)",IF(MID($D397,5,1)="M","M(여름)",IF(MID($D397,5,1)="X","X(사계절)",MID($D397,5,1)))))</f>
        <v>X(사계절)</v>
      </c>
      <c r="G397" s="25" t="s">
        <v>62</v>
      </c>
      <c r="H397" s="24"/>
      <c r="I397" s="27" t="s">
        <v>359</v>
      </c>
      <c r="J397" s="28" t="n">
        <f aca="false">IF($I397="","",IFERROR(DATE(IF(VALUE(LEFT($I397,FIND("월",$I397)-1))&gt;=9,기준정보!$C$7-1,기준정보!$C$7),VALUE(LEFT($I397,FIND("월",$I397)-1)),1+7*(VALUE(SUBSTITUTE(MID($I397,FIND("월",$I397)+1,5),"주",""))-1)),""))</f>
        <v>46440</v>
      </c>
      <c r="K397" s="28" t="n">
        <f aca="false">IF($J397="","",$J397-기준정보!$C$5)</f>
        <v>46426</v>
      </c>
      <c r="L397" s="28" t="n">
        <f aca="false">IF($K397="","",$K397-기준정보!$C$6)</f>
        <v>46336</v>
      </c>
      <c r="M397" s="29" t="n">
        <f aca="false">IF($L397="","",$L397-기준정보!$C$4)</f>
        <v>94</v>
      </c>
      <c r="N397" s="27" t="s">
        <v>119</v>
      </c>
      <c r="O397" s="30"/>
      <c r="P397" s="26" t="str">
        <f aca="false">IF($G397="","",IF(AND(ISNUMBER(SEARCH("CMT",$G397)),OR(ISNUMBER(SEARCH("완사입",$G397)),ISNUMBER(SEARCH("ODM",$G397)))),"본사/생산처 혼재",IF(ISNUMBER(SEARCH("CMT",$G397)),"본사(소재팀)","생산처")))</f>
        <v>생산처</v>
      </c>
      <c r="Q397" s="26"/>
      <c r="R397" s="26"/>
      <c r="S397" s="31" t="n">
        <v>2000</v>
      </c>
      <c r="T397" s="26"/>
      <c r="U397" s="26" t="str">
        <f aca="false">IF($J397="","출고일 미정",IF($N397="X","작지 미발행",IF($N397="부분","작지 일부 미발행",IF(AND($O397&lt;&gt;"",$O397&gt;$L397),"소재입고 마감("&amp;TEXT($L397,"MM/DD")&amp;") 초과",IF($N397="","발행여부 확인 필요",IF($O397="","소재 입고일정 확인 필요","정상"))))))</f>
        <v>작지 미발행</v>
      </c>
      <c r="V397" s="24" t="str">
        <f aca="false">IF($J397="","",IF(OR(LEFT($U397,2)="작지",LEFT($U397,4)="소재입고"),IF(LEFT($F397,1)="S","★ 납기위험(S코드)","◆ 지연주의"),IF($U397="정상","✓ 정상","? 확인필요")))</f>
        <v>◆ 지연주의</v>
      </c>
      <c r="W397" s="27"/>
      <c r="X397" s="32"/>
    </row>
    <row r="398" customFormat="false" ht="15" hidden="false" customHeight="false" outlineLevel="0" collapsed="false">
      <c r="A398" s="24" t="n">
        <v>394</v>
      </c>
      <c r="B398" s="25" t="s">
        <v>541</v>
      </c>
      <c r="C398" s="26"/>
      <c r="D398" s="26" t="s">
        <v>940</v>
      </c>
      <c r="E398" s="25" t="s">
        <v>941</v>
      </c>
      <c r="F398" s="24" t="str">
        <f aca="false">IF($D398="","",IF(MID($D398,5,1)="S","S(봄)",IF(MID($D398,5,1)="M","M(여름)",IF(MID($D398,5,1)="X","X(사계절)",MID($D398,5,1)))))</f>
        <v>X(사계절)</v>
      </c>
      <c r="G398" s="25" t="s">
        <v>62</v>
      </c>
      <c r="H398" s="24"/>
      <c r="I398" s="27" t="s">
        <v>359</v>
      </c>
      <c r="J398" s="28" t="n">
        <f aca="false">IF($I398="","",IFERROR(DATE(IF(VALUE(LEFT($I398,FIND("월",$I398)-1))&gt;=9,기준정보!$C$7-1,기준정보!$C$7),VALUE(LEFT($I398,FIND("월",$I398)-1)),1+7*(VALUE(SUBSTITUTE(MID($I398,FIND("월",$I398)+1,5),"주",""))-1)),""))</f>
        <v>46440</v>
      </c>
      <c r="K398" s="28" t="n">
        <f aca="false">IF($J398="","",$J398-기준정보!$C$5)</f>
        <v>46426</v>
      </c>
      <c r="L398" s="28" t="n">
        <f aca="false">IF($K398="","",$K398-기준정보!$C$6)</f>
        <v>46336</v>
      </c>
      <c r="M398" s="29" t="n">
        <f aca="false">IF($L398="","",$L398-기준정보!$C$4)</f>
        <v>94</v>
      </c>
      <c r="N398" s="27" t="s">
        <v>119</v>
      </c>
      <c r="O398" s="30"/>
      <c r="P398" s="26" t="str">
        <f aca="false">IF($G398="","",IF(AND(ISNUMBER(SEARCH("CMT",$G398)),OR(ISNUMBER(SEARCH("완사입",$G398)),ISNUMBER(SEARCH("ODM",$G398)))),"본사/생산처 혼재",IF(ISNUMBER(SEARCH("CMT",$G398)),"본사(소재팀)","생산처")))</f>
        <v>생산처</v>
      </c>
      <c r="Q398" s="26"/>
      <c r="R398" s="26"/>
      <c r="S398" s="31" t="n">
        <v>3500</v>
      </c>
      <c r="T398" s="26"/>
      <c r="U398" s="26" t="str">
        <f aca="false">IF($J398="","출고일 미정",IF($N398="X","작지 미발행",IF($N398="부분","작지 일부 미발행",IF(AND($O398&lt;&gt;"",$O398&gt;$L398),"소재입고 마감("&amp;TEXT($L398,"MM/DD")&amp;") 초과",IF($N398="","발행여부 확인 필요",IF($O398="","소재 입고일정 확인 필요","정상"))))))</f>
        <v>작지 미발행</v>
      </c>
      <c r="V398" s="24" t="str">
        <f aca="false">IF($J398="","",IF(OR(LEFT($U398,2)="작지",LEFT($U398,4)="소재입고"),IF(LEFT($F398,1)="S","★ 납기위험(S코드)","◆ 지연주의"),IF($U398="정상","✓ 정상","? 확인필요")))</f>
        <v>◆ 지연주의</v>
      </c>
      <c r="W398" s="27"/>
      <c r="X398" s="32"/>
    </row>
    <row r="399" customFormat="false" ht="15" hidden="false" customHeight="false" outlineLevel="0" collapsed="false">
      <c r="A399" s="24" t="n">
        <v>395</v>
      </c>
      <c r="B399" s="25" t="s">
        <v>541</v>
      </c>
      <c r="C399" s="26"/>
      <c r="D399" s="26" t="s">
        <v>942</v>
      </c>
      <c r="E399" s="25" t="s">
        <v>943</v>
      </c>
      <c r="F399" s="24" t="str">
        <f aca="false">IF($D399="","",IF(MID($D399,5,1)="S","S(봄)",IF(MID($D399,5,1)="M","M(여름)",IF(MID($D399,5,1)="X","X(사계절)",MID($D399,5,1)))))</f>
        <v>X(사계절)</v>
      </c>
      <c r="G399" s="25" t="s">
        <v>62</v>
      </c>
      <c r="H399" s="24"/>
      <c r="I399" s="27" t="s">
        <v>359</v>
      </c>
      <c r="J399" s="28" t="n">
        <f aca="false">IF($I399="","",IFERROR(DATE(IF(VALUE(LEFT($I399,FIND("월",$I399)-1))&gt;=9,기준정보!$C$7-1,기준정보!$C$7),VALUE(LEFT($I399,FIND("월",$I399)-1)),1+7*(VALUE(SUBSTITUTE(MID($I399,FIND("월",$I399)+1,5),"주",""))-1)),""))</f>
        <v>46440</v>
      </c>
      <c r="K399" s="28" t="n">
        <f aca="false">IF($J399="","",$J399-기준정보!$C$5)</f>
        <v>46426</v>
      </c>
      <c r="L399" s="28" t="n">
        <f aca="false">IF($K399="","",$K399-기준정보!$C$6)</f>
        <v>46336</v>
      </c>
      <c r="M399" s="29" t="n">
        <f aca="false">IF($L399="","",$L399-기준정보!$C$4)</f>
        <v>94</v>
      </c>
      <c r="N399" s="27" t="s">
        <v>119</v>
      </c>
      <c r="O399" s="30"/>
      <c r="P399" s="26" t="str">
        <f aca="false">IF($G399="","",IF(AND(ISNUMBER(SEARCH("CMT",$G399)),OR(ISNUMBER(SEARCH("완사입",$G399)),ISNUMBER(SEARCH("ODM",$G399)))),"본사/생산처 혼재",IF(ISNUMBER(SEARCH("CMT",$G399)),"본사(소재팀)","생산처")))</f>
        <v>생산처</v>
      </c>
      <c r="Q399" s="26"/>
      <c r="R399" s="26"/>
      <c r="S399" s="31" t="n">
        <v>2000</v>
      </c>
      <c r="T399" s="26"/>
      <c r="U399" s="26" t="str">
        <f aca="false">IF($J399="","출고일 미정",IF($N399="X","작지 미발행",IF($N399="부분","작지 일부 미발행",IF(AND($O399&lt;&gt;"",$O399&gt;$L399),"소재입고 마감("&amp;TEXT($L399,"MM/DD")&amp;") 초과",IF($N399="","발행여부 확인 필요",IF($O399="","소재 입고일정 확인 필요","정상"))))))</f>
        <v>작지 미발행</v>
      </c>
      <c r="V399" s="24" t="str">
        <f aca="false">IF($J399="","",IF(OR(LEFT($U399,2)="작지",LEFT($U399,4)="소재입고"),IF(LEFT($F399,1)="S","★ 납기위험(S코드)","◆ 지연주의"),IF($U399="정상","✓ 정상","? 확인필요")))</f>
        <v>◆ 지연주의</v>
      </c>
      <c r="W399" s="27"/>
      <c r="X399" s="32"/>
    </row>
    <row r="400" customFormat="false" ht="15" hidden="false" customHeight="false" outlineLevel="0" collapsed="false">
      <c r="A400" s="24" t="n">
        <v>396</v>
      </c>
      <c r="B400" s="25" t="s">
        <v>541</v>
      </c>
      <c r="C400" s="26"/>
      <c r="D400" s="26" t="s">
        <v>944</v>
      </c>
      <c r="E400" s="25" t="s">
        <v>945</v>
      </c>
      <c r="F400" s="24" t="str">
        <f aca="false">IF($D400="","",IF(MID($D400,5,1)="S","S(봄)",IF(MID($D400,5,1)="M","M(여름)",IF(MID($D400,5,1)="X","X(사계절)",MID($D400,5,1)))))</f>
        <v>X(사계절)</v>
      </c>
      <c r="G400" s="25" t="s">
        <v>62</v>
      </c>
      <c r="H400" s="24"/>
      <c r="I400" s="27" t="s">
        <v>359</v>
      </c>
      <c r="J400" s="28" t="n">
        <f aca="false">IF($I400="","",IFERROR(DATE(IF(VALUE(LEFT($I400,FIND("월",$I400)-1))&gt;=9,기준정보!$C$7-1,기준정보!$C$7),VALUE(LEFT($I400,FIND("월",$I400)-1)),1+7*(VALUE(SUBSTITUTE(MID($I400,FIND("월",$I400)+1,5),"주",""))-1)),""))</f>
        <v>46440</v>
      </c>
      <c r="K400" s="28" t="n">
        <f aca="false">IF($J400="","",$J400-기준정보!$C$5)</f>
        <v>46426</v>
      </c>
      <c r="L400" s="28" t="n">
        <f aca="false">IF($K400="","",$K400-기준정보!$C$6)</f>
        <v>46336</v>
      </c>
      <c r="M400" s="29" t="n">
        <f aca="false">IF($L400="","",$L400-기준정보!$C$4)</f>
        <v>94</v>
      </c>
      <c r="N400" s="27" t="s">
        <v>119</v>
      </c>
      <c r="O400" s="30"/>
      <c r="P400" s="26" t="str">
        <f aca="false">IF($G400="","",IF(AND(ISNUMBER(SEARCH("CMT",$G400)),OR(ISNUMBER(SEARCH("완사입",$G400)),ISNUMBER(SEARCH("ODM",$G400)))),"본사/생산처 혼재",IF(ISNUMBER(SEARCH("CMT",$G400)),"본사(소재팀)","생산처")))</f>
        <v>생산처</v>
      </c>
      <c r="Q400" s="26"/>
      <c r="R400" s="26"/>
      <c r="S400" s="31" t="n">
        <v>1500</v>
      </c>
      <c r="T400" s="26"/>
      <c r="U400" s="26" t="str">
        <f aca="false">IF($J400="","출고일 미정",IF($N400="X","작지 미발행",IF($N400="부분","작지 일부 미발행",IF(AND($O400&lt;&gt;"",$O400&gt;$L400),"소재입고 마감("&amp;TEXT($L400,"MM/DD")&amp;") 초과",IF($N400="","발행여부 확인 필요",IF($O400="","소재 입고일정 확인 필요","정상"))))))</f>
        <v>작지 미발행</v>
      </c>
      <c r="V400" s="24" t="str">
        <f aca="false">IF($J400="","",IF(OR(LEFT($U400,2)="작지",LEFT($U400,4)="소재입고"),IF(LEFT($F400,1)="S","★ 납기위험(S코드)","◆ 지연주의"),IF($U400="정상","✓ 정상","? 확인필요")))</f>
        <v>◆ 지연주의</v>
      </c>
      <c r="W400" s="27"/>
      <c r="X400" s="32"/>
    </row>
    <row r="401" customFormat="false" ht="15" hidden="false" customHeight="false" outlineLevel="0" collapsed="false">
      <c r="A401" s="24" t="n">
        <v>397</v>
      </c>
      <c r="B401" s="25" t="s">
        <v>541</v>
      </c>
      <c r="C401" s="26"/>
      <c r="D401" s="26" t="s">
        <v>946</v>
      </c>
      <c r="E401" s="25" t="s">
        <v>947</v>
      </c>
      <c r="F401" s="24" t="str">
        <f aca="false">IF($D401="","",IF(MID($D401,5,1)="S","S(봄)",IF(MID($D401,5,1)="M","M(여름)",IF(MID($D401,5,1)="X","X(사계절)",MID($D401,5,1)))))</f>
        <v>X(사계절)</v>
      </c>
      <c r="G401" s="25" t="s">
        <v>62</v>
      </c>
      <c r="H401" s="24"/>
      <c r="I401" s="27" t="s">
        <v>359</v>
      </c>
      <c r="J401" s="28" t="n">
        <f aca="false">IF($I401="","",IFERROR(DATE(IF(VALUE(LEFT($I401,FIND("월",$I401)-1))&gt;=9,기준정보!$C$7-1,기준정보!$C$7),VALUE(LEFT($I401,FIND("월",$I401)-1)),1+7*(VALUE(SUBSTITUTE(MID($I401,FIND("월",$I401)+1,5),"주",""))-1)),""))</f>
        <v>46440</v>
      </c>
      <c r="K401" s="28" t="n">
        <f aca="false">IF($J401="","",$J401-기준정보!$C$5)</f>
        <v>46426</v>
      </c>
      <c r="L401" s="28" t="n">
        <f aca="false">IF($K401="","",$K401-기준정보!$C$6)</f>
        <v>46336</v>
      </c>
      <c r="M401" s="29" t="n">
        <f aca="false">IF($L401="","",$L401-기준정보!$C$4)</f>
        <v>94</v>
      </c>
      <c r="N401" s="27" t="s">
        <v>119</v>
      </c>
      <c r="O401" s="30"/>
      <c r="P401" s="26" t="str">
        <f aca="false">IF($G401="","",IF(AND(ISNUMBER(SEARCH("CMT",$G401)),OR(ISNUMBER(SEARCH("완사입",$G401)),ISNUMBER(SEARCH("ODM",$G401)))),"본사/생산처 혼재",IF(ISNUMBER(SEARCH("CMT",$G401)),"본사(소재팀)","생산처")))</f>
        <v>생산처</v>
      </c>
      <c r="Q401" s="26"/>
      <c r="R401" s="26"/>
      <c r="S401" s="31" t="n">
        <v>2000</v>
      </c>
      <c r="T401" s="26"/>
      <c r="U401" s="26" t="str">
        <f aca="false">IF($J401="","출고일 미정",IF($N401="X","작지 미발행",IF($N401="부분","작지 일부 미발행",IF(AND($O401&lt;&gt;"",$O401&gt;$L401),"소재입고 마감("&amp;TEXT($L401,"MM/DD")&amp;") 초과",IF($N401="","발행여부 확인 필요",IF($O401="","소재 입고일정 확인 필요","정상"))))))</f>
        <v>작지 미발행</v>
      </c>
      <c r="V401" s="24" t="str">
        <f aca="false">IF($J401="","",IF(OR(LEFT($U401,2)="작지",LEFT($U401,4)="소재입고"),IF(LEFT($F401,1)="S","★ 납기위험(S코드)","◆ 지연주의"),IF($U401="정상","✓ 정상","? 확인필요")))</f>
        <v>◆ 지연주의</v>
      </c>
      <c r="W401" s="27"/>
      <c r="X401" s="32"/>
    </row>
    <row r="402" customFormat="false" ht="15" hidden="false" customHeight="false" outlineLevel="0" collapsed="false">
      <c r="A402" s="24" t="n">
        <v>398</v>
      </c>
      <c r="B402" s="25" t="s">
        <v>541</v>
      </c>
      <c r="C402" s="26"/>
      <c r="D402" s="26" t="s">
        <v>948</v>
      </c>
      <c r="E402" s="25" t="s">
        <v>949</v>
      </c>
      <c r="F402" s="24" t="str">
        <f aca="false">IF($D402="","",IF(MID($D402,5,1)="S","S(봄)",IF(MID($D402,5,1)="M","M(여름)",IF(MID($D402,5,1)="X","X(사계절)",MID($D402,5,1)))))</f>
        <v>X(사계절)</v>
      </c>
      <c r="G402" s="25" t="s">
        <v>62</v>
      </c>
      <c r="H402" s="24"/>
      <c r="I402" s="27" t="s">
        <v>359</v>
      </c>
      <c r="J402" s="28" t="n">
        <f aca="false">IF($I402="","",IFERROR(DATE(IF(VALUE(LEFT($I402,FIND("월",$I402)-1))&gt;=9,기준정보!$C$7-1,기준정보!$C$7),VALUE(LEFT($I402,FIND("월",$I402)-1)),1+7*(VALUE(SUBSTITUTE(MID($I402,FIND("월",$I402)+1,5),"주",""))-1)),""))</f>
        <v>46440</v>
      </c>
      <c r="K402" s="28" t="n">
        <f aca="false">IF($J402="","",$J402-기준정보!$C$5)</f>
        <v>46426</v>
      </c>
      <c r="L402" s="28" t="n">
        <f aca="false">IF($K402="","",$K402-기준정보!$C$6)</f>
        <v>46336</v>
      </c>
      <c r="M402" s="29" t="n">
        <f aca="false">IF($L402="","",$L402-기준정보!$C$4)</f>
        <v>94</v>
      </c>
      <c r="N402" s="27" t="s">
        <v>119</v>
      </c>
      <c r="O402" s="30"/>
      <c r="P402" s="26" t="str">
        <f aca="false">IF($G402="","",IF(AND(ISNUMBER(SEARCH("CMT",$G402)),OR(ISNUMBER(SEARCH("완사입",$G402)),ISNUMBER(SEARCH("ODM",$G402)))),"본사/생산처 혼재",IF(ISNUMBER(SEARCH("CMT",$G402)),"본사(소재팀)","생산처")))</f>
        <v>생산처</v>
      </c>
      <c r="Q402" s="26"/>
      <c r="R402" s="26"/>
      <c r="S402" s="31" t="n">
        <v>3000</v>
      </c>
      <c r="T402" s="26"/>
      <c r="U402" s="26" t="str">
        <f aca="false">IF($J402="","출고일 미정",IF($N402="X","작지 미발행",IF($N402="부분","작지 일부 미발행",IF(AND($O402&lt;&gt;"",$O402&gt;$L402),"소재입고 마감("&amp;TEXT($L402,"MM/DD")&amp;") 초과",IF($N402="","발행여부 확인 필요",IF($O402="","소재 입고일정 확인 필요","정상"))))))</f>
        <v>작지 미발행</v>
      </c>
      <c r="V402" s="24" t="str">
        <f aca="false">IF($J402="","",IF(OR(LEFT($U402,2)="작지",LEFT($U402,4)="소재입고"),IF(LEFT($F402,1)="S","★ 납기위험(S코드)","◆ 지연주의"),IF($U402="정상","✓ 정상","? 확인필요")))</f>
        <v>◆ 지연주의</v>
      </c>
      <c r="W402" s="27"/>
      <c r="X402" s="32"/>
    </row>
    <row r="403" customFormat="false" ht="15" hidden="false" customHeight="false" outlineLevel="0" collapsed="false">
      <c r="A403" s="24" t="n">
        <v>399</v>
      </c>
      <c r="B403" s="25" t="s">
        <v>541</v>
      </c>
      <c r="C403" s="26"/>
      <c r="D403" s="26" t="s">
        <v>950</v>
      </c>
      <c r="E403" s="25" t="s">
        <v>951</v>
      </c>
      <c r="F403" s="24" t="str">
        <f aca="false">IF($D403="","",IF(MID($D403,5,1)="S","S(봄)",IF(MID($D403,5,1)="M","M(여름)",IF(MID($D403,5,1)="X","X(사계절)",MID($D403,5,1)))))</f>
        <v>X(사계절)</v>
      </c>
      <c r="G403" s="25" t="s">
        <v>62</v>
      </c>
      <c r="H403" s="24"/>
      <c r="I403" s="27" t="s">
        <v>359</v>
      </c>
      <c r="J403" s="28" t="n">
        <f aca="false">IF($I403="","",IFERROR(DATE(IF(VALUE(LEFT($I403,FIND("월",$I403)-1))&gt;=9,기준정보!$C$7-1,기준정보!$C$7),VALUE(LEFT($I403,FIND("월",$I403)-1)),1+7*(VALUE(SUBSTITUTE(MID($I403,FIND("월",$I403)+1,5),"주",""))-1)),""))</f>
        <v>46440</v>
      </c>
      <c r="K403" s="28" t="n">
        <f aca="false">IF($J403="","",$J403-기준정보!$C$5)</f>
        <v>46426</v>
      </c>
      <c r="L403" s="28" t="n">
        <f aca="false">IF($K403="","",$K403-기준정보!$C$6)</f>
        <v>46336</v>
      </c>
      <c r="M403" s="29" t="n">
        <f aca="false">IF($L403="","",$L403-기준정보!$C$4)</f>
        <v>94</v>
      </c>
      <c r="N403" s="27" t="s">
        <v>119</v>
      </c>
      <c r="O403" s="30"/>
      <c r="P403" s="26" t="str">
        <f aca="false">IF($G403="","",IF(AND(ISNUMBER(SEARCH("CMT",$G403)),OR(ISNUMBER(SEARCH("완사입",$G403)),ISNUMBER(SEARCH("ODM",$G403)))),"본사/생산처 혼재",IF(ISNUMBER(SEARCH("CMT",$G403)),"본사(소재팀)","생산처")))</f>
        <v>생산처</v>
      </c>
      <c r="Q403" s="26"/>
      <c r="R403" s="26"/>
      <c r="S403" s="31" t="n">
        <v>4000</v>
      </c>
      <c r="T403" s="26"/>
      <c r="U403" s="26" t="str">
        <f aca="false">IF($J403="","출고일 미정",IF($N403="X","작지 미발행",IF($N403="부분","작지 일부 미발행",IF(AND($O403&lt;&gt;"",$O403&gt;$L403),"소재입고 마감("&amp;TEXT($L403,"MM/DD")&amp;") 초과",IF($N403="","발행여부 확인 필요",IF($O403="","소재 입고일정 확인 필요","정상"))))))</f>
        <v>작지 미발행</v>
      </c>
      <c r="V403" s="24" t="str">
        <f aca="false">IF($J403="","",IF(OR(LEFT($U403,2)="작지",LEFT($U403,4)="소재입고"),IF(LEFT($F403,1)="S","★ 납기위험(S코드)","◆ 지연주의"),IF($U403="정상","✓ 정상","? 확인필요")))</f>
        <v>◆ 지연주의</v>
      </c>
      <c r="W403" s="27"/>
      <c r="X403" s="32"/>
    </row>
    <row r="404" customFormat="false" ht="15" hidden="false" customHeight="false" outlineLevel="0" collapsed="false">
      <c r="A404" s="24" t="n">
        <v>400</v>
      </c>
      <c r="B404" s="25" t="s">
        <v>541</v>
      </c>
      <c r="C404" s="26"/>
      <c r="D404" s="26" t="s">
        <v>952</v>
      </c>
      <c r="E404" s="25" t="s">
        <v>953</v>
      </c>
      <c r="F404" s="24" t="str">
        <f aca="false">IF($D404="","",IF(MID($D404,5,1)="S","S(봄)",IF(MID($D404,5,1)="M","M(여름)",IF(MID($D404,5,1)="X","X(사계절)",MID($D404,5,1)))))</f>
        <v>X(사계절)</v>
      </c>
      <c r="G404" s="25" t="s">
        <v>62</v>
      </c>
      <c r="H404" s="24"/>
      <c r="I404" s="27" t="s">
        <v>359</v>
      </c>
      <c r="J404" s="28" t="n">
        <f aca="false">IF($I404="","",IFERROR(DATE(IF(VALUE(LEFT($I404,FIND("월",$I404)-1))&gt;=9,기준정보!$C$7-1,기준정보!$C$7),VALUE(LEFT($I404,FIND("월",$I404)-1)),1+7*(VALUE(SUBSTITUTE(MID($I404,FIND("월",$I404)+1,5),"주",""))-1)),""))</f>
        <v>46440</v>
      </c>
      <c r="K404" s="28" t="n">
        <f aca="false">IF($J404="","",$J404-기준정보!$C$5)</f>
        <v>46426</v>
      </c>
      <c r="L404" s="28" t="n">
        <f aca="false">IF($K404="","",$K404-기준정보!$C$6)</f>
        <v>46336</v>
      </c>
      <c r="M404" s="29" t="n">
        <f aca="false">IF($L404="","",$L404-기준정보!$C$4)</f>
        <v>94</v>
      </c>
      <c r="N404" s="27" t="s">
        <v>119</v>
      </c>
      <c r="O404" s="30"/>
      <c r="P404" s="26" t="str">
        <f aca="false">IF($G404="","",IF(AND(ISNUMBER(SEARCH("CMT",$G404)),OR(ISNUMBER(SEARCH("완사입",$G404)),ISNUMBER(SEARCH("ODM",$G404)))),"본사/생산처 혼재",IF(ISNUMBER(SEARCH("CMT",$G404)),"본사(소재팀)","생산처")))</f>
        <v>생산처</v>
      </c>
      <c r="Q404" s="26"/>
      <c r="R404" s="26"/>
      <c r="S404" s="31" t="n">
        <v>2000</v>
      </c>
      <c r="T404" s="26"/>
      <c r="U404" s="26" t="str">
        <f aca="false">IF($J404="","출고일 미정",IF($N404="X","작지 미발행",IF($N404="부분","작지 일부 미발행",IF(AND($O404&lt;&gt;"",$O404&gt;$L404),"소재입고 마감("&amp;TEXT($L404,"MM/DD")&amp;") 초과",IF($N404="","발행여부 확인 필요",IF($O404="","소재 입고일정 확인 필요","정상"))))))</f>
        <v>작지 미발행</v>
      </c>
      <c r="V404" s="24" t="str">
        <f aca="false">IF($J404="","",IF(OR(LEFT($U404,2)="작지",LEFT($U404,4)="소재입고"),IF(LEFT($F404,1)="S","★ 납기위험(S코드)","◆ 지연주의"),IF($U404="정상","✓ 정상","? 확인필요")))</f>
        <v>◆ 지연주의</v>
      </c>
      <c r="W404" s="27"/>
      <c r="X404" s="32"/>
    </row>
    <row r="405" customFormat="false" ht="15" hidden="false" customHeight="false" outlineLevel="0" collapsed="false">
      <c r="A405" s="24" t="n">
        <v>401</v>
      </c>
      <c r="B405" s="25" t="s">
        <v>541</v>
      </c>
      <c r="C405" s="26"/>
      <c r="D405" s="26" t="s">
        <v>954</v>
      </c>
      <c r="E405" s="25" t="s">
        <v>955</v>
      </c>
      <c r="F405" s="24" t="str">
        <f aca="false">IF($D405="","",IF(MID($D405,5,1)="S","S(봄)",IF(MID($D405,5,1)="M","M(여름)",IF(MID($D405,5,1)="X","X(사계절)",MID($D405,5,1)))))</f>
        <v>X(사계절)</v>
      </c>
      <c r="G405" s="25" t="s">
        <v>62</v>
      </c>
      <c r="H405" s="24"/>
      <c r="I405" s="27" t="s">
        <v>359</v>
      </c>
      <c r="J405" s="28" t="n">
        <f aca="false">IF($I405="","",IFERROR(DATE(IF(VALUE(LEFT($I405,FIND("월",$I405)-1))&gt;=9,기준정보!$C$7-1,기준정보!$C$7),VALUE(LEFT($I405,FIND("월",$I405)-1)),1+7*(VALUE(SUBSTITUTE(MID($I405,FIND("월",$I405)+1,5),"주",""))-1)),""))</f>
        <v>46440</v>
      </c>
      <c r="K405" s="28" t="n">
        <f aca="false">IF($J405="","",$J405-기준정보!$C$5)</f>
        <v>46426</v>
      </c>
      <c r="L405" s="28" t="n">
        <f aca="false">IF($K405="","",$K405-기준정보!$C$6)</f>
        <v>46336</v>
      </c>
      <c r="M405" s="29" t="n">
        <f aca="false">IF($L405="","",$L405-기준정보!$C$4)</f>
        <v>94</v>
      </c>
      <c r="N405" s="27" t="s">
        <v>119</v>
      </c>
      <c r="O405" s="30"/>
      <c r="P405" s="26" t="str">
        <f aca="false">IF($G405="","",IF(AND(ISNUMBER(SEARCH("CMT",$G405)),OR(ISNUMBER(SEARCH("완사입",$G405)),ISNUMBER(SEARCH("ODM",$G405)))),"본사/생산처 혼재",IF(ISNUMBER(SEARCH("CMT",$G405)),"본사(소재팀)","생산처")))</f>
        <v>생산처</v>
      </c>
      <c r="Q405" s="26"/>
      <c r="R405" s="26"/>
      <c r="S405" s="31" t="n">
        <v>3000</v>
      </c>
      <c r="T405" s="26"/>
      <c r="U405" s="26" t="str">
        <f aca="false">IF($J405="","출고일 미정",IF($N405="X","작지 미발행",IF($N405="부분","작지 일부 미발행",IF(AND($O405&lt;&gt;"",$O405&gt;$L405),"소재입고 마감("&amp;TEXT($L405,"MM/DD")&amp;") 초과",IF($N405="","발행여부 확인 필요",IF($O405="","소재 입고일정 확인 필요","정상"))))))</f>
        <v>작지 미발행</v>
      </c>
      <c r="V405" s="24" t="str">
        <f aca="false">IF($J405="","",IF(OR(LEFT($U405,2)="작지",LEFT($U405,4)="소재입고"),IF(LEFT($F405,1)="S","★ 납기위험(S코드)","◆ 지연주의"),IF($U405="정상","✓ 정상","? 확인필요")))</f>
        <v>◆ 지연주의</v>
      </c>
      <c r="W405" s="27"/>
      <c r="X405" s="32"/>
    </row>
    <row r="406" customFormat="false" ht="15" hidden="false" customHeight="false" outlineLevel="0" collapsed="false">
      <c r="A406" s="24" t="n">
        <v>402</v>
      </c>
      <c r="B406" s="25" t="s">
        <v>541</v>
      </c>
      <c r="C406" s="26"/>
      <c r="D406" s="26" t="s">
        <v>956</v>
      </c>
      <c r="E406" s="25" t="s">
        <v>957</v>
      </c>
      <c r="F406" s="24" t="str">
        <f aca="false">IF($D406="","",IF(MID($D406,5,1)="S","S(봄)",IF(MID($D406,5,1)="M","M(여름)",IF(MID($D406,5,1)="X","X(사계절)",MID($D406,5,1)))))</f>
        <v>X(사계절)</v>
      </c>
      <c r="G406" s="25" t="s">
        <v>62</v>
      </c>
      <c r="H406" s="24"/>
      <c r="I406" s="27" t="s">
        <v>359</v>
      </c>
      <c r="J406" s="28" t="n">
        <f aca="false">IF($I406="","",IFERROR(DATE(IF(VALUE(LEFT($I406,FIND("월",$I406)-1))&gt;=9,기준정보!$C$7-1,기준정보!$C$7),VALUE(LEFT($I406,FIND("월",$I406)-1)),1+7*(VALUE(SUBSTITUTE(MID($I406,FIND("월",$I406)+1,5),"주",""))-1)),""))</f>
        <v>46440</v>
      </c>
      <c r="K406" s="28" t="n">
        <f aca="false">IF($J406="","",$J406-기준정보!$C$5)</f>
        <v>46426</v>
      </c>
      <c r="L406" s="28" t="n">
        <f aca="false">IF($K406="","",$K406-기준정보!$C$6)</f>
        <v>46336</v>
      </c>
      <c r="M406" s="29" t="n">
        <f aca="false">IF($L406="","",$L406-기준정보!$C$4)</f>
        <v>94</v>
      </c>
      <c r="N406" s="27" t="s">
        <v>119</v>
      </c>
      <c r="O406" s="30"/>
      <c r="P406" s="26" t="str">
        <f aca="false">IF($G406="","",IF(AND(ISNUMBER(SEARCH("CMT",$G406)),OR(ISNUMBER(SEARCH("완사입",$G406)),ISNUMBER(SEARCH("ODM",$G406)))),"본사/생산처 혼재",IF(ISNUMBER(SEARCH("CMT",$G406)),"본사(소재팀)","생산처")))</f>
        <v>생산처</v>
      </c>
      <c r="Q406" s="26"/>
      <c r="R406" s="26"/>
      <c r="S406" s="31" t="n">
        <v>4000</v>
      </c>
      <c r="T406" s="26"/>
      <c r="U406" s="26" t="str">
        <f aca="false">IF($J406="","출고일 미정",IF($N406="X","작지 미발행",IF($N406="부분","작지 일부 미발행",IF(AND($O406&lt;&gt;"",$O406&gt;$L406),"소재입고 마감("&amp;TEXT($L406,"MM/DD")&amp;") 초과",IF($N406="","발행여부 확인 필요",IF($O406="","소재 입고일정 확인 필요","정상"))))))</f>
        <v>작지 미발행</v>
      </c>
      <c r="V406" s="24" t="str">
        <f aca="false">IF($J406="","",IF(OR(LEFT($U406,2)="작지",LEFT($U406,4)="소재입고"),IF(LEFT($F406,1)="S","★ 납기위험(S코드)","◆ 지연주의"),IF($U406="정상","✓ 정상","? 확인필요")))</f>
        <v>◆ 지연주의</v>
      </c>
      <c r="W406" s="27"/>
      <c r="X406" s="32"/>
    </row>
    <row r="407" customFormat="false" ht="15" hidden="false" customHeight="false" outlineLevel="0" collapsed="false">
      <c r="A407" s="24" t="n">
        <v>403</v>
      </c>
      <c r="B407" s="25" t="s">
        <v>541</v>
      </c>
      <c r="C407" s="25" t="s">
        <v>386</v>
      </c>
      <c r="D407" s="26" t="s">
        <v>958</v>
      </c>
      <c r="E407" s="25" t="s">
        <v>959</v>
      </c>
      <c r="F407" s="24" t="str">
        <f aca="false">IF($D407="","",IF(MID($D407,5,1)="S","S(봄)",IF(MID($D407,5,1)="M","M(여름)",IF(MID($D407,5,1)="X","X(사계절)",MID($D407,5,1)))))</f>
        <v>X(사계절)</v>
      </c>
      <c r="G407" s="25" t="s">
        <v>62</v>
      </c>
      <c r="H407" s="24"/>
      <c r="I407" s="27" t="s">
        <v>359</v>
      </c>
      <c r="J407" s="28" t="n">
        <f aca="false">IF($I407="","",IFERROR(DATE(IF(VALUE(LEFT($I407,FIND("월",$I407)-1))&gt;=9,기준정보!$C$7-1,기준정보!$C$7),VALUE(LEFT($I407,FIND("월",$I407)-1)),1+7*(VALUE(SUBSTITUTE(MID($I407,FIND("월",$I407)+1,5),"주",""))-1)),""))</f>
        <v>46440</v>
      </c>
      <c r="K407" s="28" t="n">
        <f aca="false">IF($J407="","",$J407-기준정보!$C$5)</f>
        <v>46426</v>
      </c>
      <c r="L407" s="28" t="n">
        <f aca="false">IF($K407="","",$K407-기준정보!$C$6)</f>
        <v>46336</v>
      </c>
      <c r="M407" s="29" t="n">
        <f aca="false">IF($L407="","",$L407-기준정보!$C$4)</f>
        <v>94</v>
      </c>
      <c r="N407" s="27" t="s">
        <v>119</v>
      </c>
      <c r="O407" s="30"/>
      <c r="P407" s="26" t="str">
        <f aca="false">IF($G407="","",IF(AND(ISNUMBER(SEARCH("CMT",$G407)),OR(ISNUMBER(SEARCH("완사입",$G407)),ISNUMBER(SEARCH("ODM",$G407)))),"본사/생산처 혼재",IF(ISNUMBER(SEARCH("CMT",$G407)),"본사(소재팀)","생산처")))</f>
        <v>생산처</v>
      </c>
      <c r="Q407" s="25" t="s">
        <v>695</v>
      </c>
      <c r="R407" s="25" t="s">
        <v>696</v>
      </c>
      <c r="S407" s="31" t="n">
        <v>7000</v>
      </c>
      <c r="T407" s="26"/>
      <c r="U407" s="26" t="str">
        <f aca="false">IF($J407="","출고일 미정",IF($N407="X","작지 미발행",IF($N407="부분","작지 일부 미발행",IF(AND($O407&lt;&gt;"",$O407&gt;$L407),"소재입고 마감("&amp;TEXT($L407,"MM/DD")&amp;") 초과",IF($N407="","발행여부 확인 필요",IF($O407="","소재 입고일정 확인 필요","정상"))))))</f>
        <v>작지 미발행</v>
      </c>
      <c r="V407" s="24" t="str">
        <f aca="false">IF($J407="","",IF(OR(LEFT($U407,2)="작지",LEFT($U407,4)="소재입고"),IF(LEFT($F407,1)="S","★ 납기위험(S코드)","◆ 지연주의"),IF($U407="정상","✓ 정상","? 확인필요")))</f>
        <v>◆ 지연주의</v>
      </c>
      <c r="W407" s="27"/>
      <c r="X407" s="32"/>
    </row>
    <row r="408" customFormat="false" ht="15" hidden="false" customHeight="false" outlineLevel="0" collapsed="false">
      <c r="A408" s="24" t="n">
        <v>404</v>
      </c>
      <c r="B408" s="25" t="s">
        <v>541</v>
      </c>
      <c r="C408" s="25" t="s">
        <v>386</v>
      </c>
      <c r="D408" s="26" t="s">
        <v>960</v>
      </c>
      <c r="E408" s="25" t="s">
        <v>961</v>
      </c>
      <c r="F408" s="24" t="str">
        <f aca="false">IF($D408="","",IF(MID($D408,5,1)="S","S(봄)",IF(MID($D408,5,1)="M","M(여름)",IF(MID($D408,5,1)="X","X(사계절)",MID($D408,5,1)))))</f>
        <v>X(사계절)</v>
      </c>
      <c r="G408" s="25" t="s">
        <v>62</v>
      </c>
      <c r="H408" s="24"/>
      <c r="I408" s="27" t="s">
        <v>359</v>
      </c>
      <c r="J408" s="28" t="n">
        <f aca="false">IF($I408="","",IFERROR(DATE(IF(VALUE(LEFT($I408,FIND("월",$I408)-1))&gt;=9,기준정보!$C$7-1,기준정보!$C$7),VALUE(LEFT($I408,FIND("월",$I408)-1)),1+7*(VALUE(SUBSTITUTE(MID($I408,FIND("월",$I408)+1,5),"주",""))-1)),""))</f>
        <v>46440</v>
      </c>
      <c r="K408" s="28" t="n">
        <f aca="false">IF($J408="","",$J408-기준정보!$C$5)</f>
        <v>46426</v>
      </c>
      <c r="L408" s="28" t="n">
        <f aca="false">IF($K408="","",$K408-기준정보!$C$6)</f>
        <v>46336</v>
      </c>
      <c r="M408" s="29" t="n">
        <f aca="false">IF($L408="","",$L408-기준정보!$C$4)</f>
        <v>94</v>
      </c>
      <c r="N408" s="27" t="s">
        <v>119</v>
      </c>
      <c r="O408" s="30"/>
      <c r="P408" s="26" t="str">
        <f aca="false">IF($G408="","",IF(AND(ISNUMBER(SEARCH("CMT",$G408)),OR(ISNUMBER(SEARCH("완사입",$G408)),ISNUMBER(SEARCH("ODM",$G408)))),"본사/생산처 혼재",IF(ISNUMBER(SEARCH("CMT",$G408)),"본사(소재팀)","생산처")))</f>
        <v>생산처</v>
      </c>
      <c r="Q408" s="25" t="s">
        <v>695</v>
      </c>
      <c r="R408" s="25" t="s">
        <v>696</v>
      </c>
      <c r="S408" s="31" t="n">
        <v>1400</v>
      </c>
      <c r="T408" s="26"/>
      <c r="U408" s="26" t="str">
        <f aca="false">IF($J408="","출고일 미정",IF($N408="X","작지 미발행",IF($N408="부분","작지 일부 미발행",IF(AND($O408&lt;&gt;"",$O408&gt;$L408),"소재입고 마감("&amp;TEXT($L408,"MM/DD")&amp;") 초과",IF($N408="","발행여부 확인 필요",IF($O408="","소재 입고일정 확인 필요","정상"))))))</f>
        <v>작지 미발행</v>
      </c>
      <c r="V408" s="24" t="str">
        <f aca="false">IF($J408="","",IF(OR(LEFT($U408,2)="작지",LEFT($U408,4)="소재입고"),IF(LEFT($F408,1)="S","★ 납기위험(S코드)","◆ 지연주의"),IF($U408="정상","✓ 정상","? 확인필요")))</f>
        <v>◆ 지연주의</v>
      </c>
      <c r="W408" s="27"/>
      <c r="X408" s="32"/>
    </row>
    <row r="409" customFormat="false" ht="15" hidden="false" customHeight="false" outlineLevel="0" collapsed="false">
      <c r="A409" s="24" t="n">
        <v>405</v>
      </c>
      <c r="B409" s="25" t="s">
        <v>541</v>
      </c>
      <c r="C409" s="25" t="s">
        <v>542</v>
      </c>
      <c r="D409" s="26" t="s">
        <v>962</v>
      </c>
      <c r="E409" s="25" t="s">
        <v>963</v>
      </c>
      <c r="F409" s="24" t="str">
        <f aca="false">IF($D409="","",IF(MID($D409,5,1)="S","S(봄)",IF(MID($D409,5,1)="M","M(여름)",IF(MID($D409,5,1)="X","X(사계절)",MID($D409,5,1)))))</f>
        <v>X(사계절)</v>
      </c>
      <c r="G409" s="25" t="s">
        <v>62</v>
      </c>
      <c r="H409" s="24"/>
      <c r="I409" s="27" t="s">
        <v>359</v>
      </c>
      <c r="J409" s="28" t="n">
        <f aca="false">IF($I409="","",IFERROR(DATE(IF(VALUE(LEFT($I409,FIND("월",$I409)-1))&gt;=9,기준정보!$C$7-1,기준정보!$C$7),VALUE(LEFT($I409,FIND("월",$I409)-1)),1+7*(VALUE(SUBSTITUTE(MID($I409,FIND("월",$I409)+1,5),"주",""))-1)),""))</f>
        <v>46440</v>
      </c>
      <c r="K409" s="28" t="n">
        <f aca="false">IF($J409="","",$J409-기준정보!$C$5)</f>
        <v>46426</v>
      </c>
      <c r="L409" s="28" t="n">
        <f aca="false">IF($K409="","",$K409-기준정보!$C$6)</f>
        <v>46336</v>
      </c>
      <c r="M409" s="29" t="n">
        <f aca="false">IF($L409="","",$L409-기준정보!$C$4)</f>
        <v>94</v>
      </c>
      <c r="N409" s="27" t="s">
        <v>119</v>
      </c>
      <c r="O409" s="30"/>
      <c r="P409" s="26" t="str">
        <f aca="false">IF($G409="","",IF(AND(ISNUMBER(SEARCH("CMT",$G409)),OR(ISNUMBER(SEARCH("완사입",$G409)),ISNUMBER(SEARCH("ODM",$G409)))),"본사/생산처 혼재",IF(ISNUMBER(SEARCH("CMT",$G409)),"본사(소재팀)","생산처")))</f>
        <v>생산처</v>
      </c>
      <c r="Q409" s="25" t="s">
        <v>133</v>
      </c>
      <c r="R409" s="25" t="s">
        <v>134</v>
      </c>
      <c r="S409" s="31" t="n">
        <v>4700</v>
      </c>
      <c r="T409" s="26"/>
      <c r="U409" s="26" t="str">
        <f aca="false">IF($J409="","출고일 미정",IF($N409="X","작지 미발행",IF($N409="부분","작지 일부 미발행",IF(AND($O409&lt;&gt;"",$O409&gt;$L409),"소재입고 마감("&amp;TEXT($L409,"MM/DD")&amp;") 초과",IF($N409="","발행여부 확인 필요",IF($O409="","소재 입고일정 확인 필요","정상"))))))</f>
        <v>작지 미발행</v>
      </c>
      <c r="V409" s="24" t="str">
        <f aca="false">IF($J409="","",IF(OR(LEFT($U409,2)="작지",LEFT($U409,4)="소재입고"),IF(LEFT($F409,1)="S","★ 납기위험(S코드)","◆ 지연주의"),IF($U409="정상","✓ 정상","? 확인필요")))</f>
        <v>◆ 지연주의</v>
      </c>
      <c r="W409" s="27"/>
      <c r="X409" s="32"/>
    </row>
    <row r="410" customFormat="false" ht="15" hidden="false" customHeight="false" outlineLevel="0" collapsed="false">
      <c r="A410" s="24" t="n">
        <v>406</v>
      </c>
      <c r="B410" s="25" t="s">
        <v>541</v>
      </c>
      <c r="C410" s="25" t="s">
        <v>542</v>
      </c>
      <c r="D410" s="26" t="s">
        <v>964</v>
      </c>
      <c r="E410" s="25" t="s">
        <v>965</v>
      </c>
      <c r="F410" s="24" t="str">
        <f aca="false">IF($D410="","",IF(MID($D410,5,1)="S","S(봄)",IF(MID($D410,5,1)="M","M(여름)",IF(MID($D410,5,1)="X","X(사계절)",MID($D410,5,1)))))</f>
        <v>X(사계절)</v>
      </c>
      <c r="G410" s="25" t="s">
        <v>62</v>
      </c>
      <c r="H410" s="24"/>
      <c r="I410" s="27" t="s">
        <v>359</v>
      </c>
      <c r="J410" s="28" t="n">
        <f aca="false">IF($I410="","",IFERROR(DATE(IF(VALUE(LEFT($I410,FIND("월",$I410)-1))&gt;=9,기준정보!$C$7-1,기준정보!$C$7),VALUE(LEFT($I410,FIND("월",$I410)-1)),1+7*(VALUE(SUBSTITUTE(MID($I410,FIND("월",$I410)+1,5),"주",""))-1)),""))</f>
        <v>46440</v>
      </c>
      <c r="K410" s="28" t="n">
        <f aca="false">IF($J410="","",$J410-기준정보!$C$5)</f>
        <v>46426</v>
      </c>
      <c r="L410" s="28" t="n">
        <f aca="false">IF($K410="","",$K410-기준정보!$C$6)</f>
        <v>46336</v>
      </c>
      <c r="M410" s="29" t="n">
        <f aca="false">IF($L410="","",$L410-기준정보!$C$4)</f>
        <v>94</v>
      </c>
      <c r="N410" s="27" t="s">
        <v>119</v>
      </c>
      <c r="O410" s="30"/>
      <c r="P410" s="26" t="str">
        <f aca="false">IF($G410="","",IF(AND(ISNUMBER(SEARCH("CMT",$G410)),OR(ISNUMBER(SEARCH("완사입",$G410)),ISNUMBER(SEARCH("ODM",$G410)))),"본사/생산처 혼재",IF(ISNUMBER(SEARCH("CMT",$G410)),"본사(소재팀)","생산처")))</f>
        <v>생산처</v>
      </c>
      <c r="Q410" s="25" t="s">
        <v>133</v>
      </c>
      <c r="R410" s="25" t="s">
        <v>134</v>
      </c>
      <c r="S410" s="31" t="n">
        <v>6000</v>
      </c>
      <c r="T410" s="26"/>
      <c r="U410" s="26" t="str">
        <f aca="false">IF($J410="","출고일 미정",IF($N410="X","작지 미발행",IF($N410="부분","작지 일부 미발행",IF(AND($O410&lt;&gt;"",$O410&gt;$L410),"소재입고 마감("&amp;TEXT($L410,"MM/DD")&amp;") 초과",IF($N410="","발행여부 확인 필요",IF($O410="","소재 입고일정 확인 필요","정상"))))))</f>
        <v>작지 미발행</v>
      </c>
      <c r="V410" s="24" t="str">
        <f aca="false">IF($J410="","",IF(OR(LEFT($U410,2)="작지",LEFT($U410,4)="소재입고"),IF(LEFT($F410,1)="S","★ 납기위험(S코드)","◆ 지연주의"),IF($U410="정상","✓ 정상","? 확인필요")))</f>
        <v>◆ 지연주의</v>
      </c>
      <c r="W410" s="27"/>
      <c r="X410" s="32"/>
    </row>
    <row r="411" customFormat="false" ht="15" hidden="false" customHeight="false" outlineLevel="0" collapsed="false">
      <c r="A411" s="24" t="n">
        <v>407</v>
      </c>
      <c r="B411" s="25" t="s">
        <v>541</v>
      </c>
      <c r="C411" s="25" t="s">
        <v>542</v>
      </c>
      <c r="D411" s="26" t="s">
        <v>966</v>
      </c>
      <c r="E411" s="25" t="s">
        <v>967</v>
      </c>
      <c r="F411" s="24" t="str">
        <f aca="false">IF($D411="","",IF(MID($D411,5,1)="S","S(봄)",IF(MID($D411,5,1)="M","M(여름)",IF(MID($D411,5,1)="X","X(사계절)",MID($D411,5,1)))))</f>
        <v>X(사계절)</v>
      </c>
      <c r="G411" s="25" t="s">
        <v>62</v>
      </c>
      <c r="H411" s="24"/>
      <c r="I411" s="27" t="s">
        <v>359</v>
      </c>
      <c r="J411" s="28" t="n">
        <f aca="false">IF($I411="","",IFERROR(DATE(IF(VALUE(LEFT($I411,FIND("월",$I411)-1))&gt;=9,기준정보!$C$7-1,기준정보!$C$7),VALUE(LEFT($I411,FIND("월",$I411)-1)),1+7*(VALUE(SUBSTITUTE(MID($I411,FIND("월",$I411)+1,5),"주",""))-1)),""))</f>
        <v>46440</v>
      </c>
      <c r="K411" s="28" t="n">
        <f aca="false">IF($J411="","",$J411-기준정보!$C$5)</f>
        <v>46426</v>
      </c>
      <c r="L411" s="28" t="n">
        <f aca="false">IF($K411="","",$K411-기준정보!$C$6)</f>
        <v>46336</v>
      </c>
      <c r="M411" s="29" t="n">
        <f aca="false">IF($L411="","",$L411-기준정보!$C$4)</f>
        <v>94</v>
      </c>
      <c r="N411" s="27" t="s">
        <v>119</v>
      </c>
      <c r="O411" s="30"/>
      <c r="P411" s="26" t="str">
        <f aca="false">IF($G411="","",IF(AND(ISNUMBER(SEARCH("CMT",$G411)),OR(ISNUMBER(SEARCH("완사입",$G411)),ISNUMBER(SEARCH("ODM",$G411)))),"본사/생산처 혼재",IF(ISNUMBER(SEARCH("CMT",$G411)),"본사(소재팀)","생산처")))</f>
        <v>생산처</v>
      </c>
      <c r="Q411" s="25" t="s">
        <v>968</v>
      </c>
      <c r="R411" s="25" t="s">
        <v>134</v>
      </c>
      <c r="S411" s="31" t="n">
        <v>4000</v>
      </c>
      <c r="T411" s="26"/>
      <c r="U411" s="26" t="str">
        <f aca="false">IF($J411="","출고일 미정",IF($N411="X","작지 미발행",IF($N411="부분","작지 일부 미발행",IF(AND($O411&lt;&gt;"",$O411&gt;$L411),"소재입고 마감("&amp;TEXT($L411,"MM/DD")&amp;") 초과",IF($N411="","발행여부 확인 필요",IF($O411="","소재 입고일정 확인 필요","정상"))))))</f>
        <v>작지 미발행</v>
      </c>
      <c r="V411" s="24" t="str">
        <f aca="false">IF($J411="","",IF(OR(LEFT($U411,2)="작지",LEFT($U411,4)="소재입고"),IF(LEFT($F411,1)="S","★ 납기위험(S코드)","◆ 지연주의"),IF($U411="정상","✓ 정상","? 확인필요")))</f>
        <v>◆ 지연주의</v>
      </c>
      <c r="W411" s="27"/>
      <c r="X411" s="32"/>
    </row>
    <row r="412" customFormat="false" ht="15" hidden="false" customHeight="false" outlineLevel="0" collapsed="false">
      <c r="A412" s="24" t="n">
        <v>408</v>
      </c>
      <c r="B412" s="25" t="s">
        <v>541</v>
      </c>
      <c r="C412" s="25" t="s">
        <v>542</v>
      </c>
      <c r="D412" s="26" t="s">
        <v>969</v>
      </c>
      <c r="E412" s="25" t="s">
        <v>970</v>
      </c>
      <c r="F412" s="24" t="str">
        <f aca="false">IF($D412="","",IF(MID($D412,5,1)="S","S(봄)",IF(MID($D412,5,1)="M","M(여름)",IF(MID($D412,5,1)="X","X(사계절)",MID($D412,5,1)))))</f>
        <v>X(사계절)</v>
      </c>
      <c r="G412" s="25" t="s">
        <v>62</v>
      </c>
      <c r="H412" s="24"/>
      <c r="I412" s="27" t="s">
        <v>359</v>
      </c>
      <c r="J412" s="28" t="n">
        <f aca="false">IF($I412="","",IFERROR(DATE(IF(VALUE(LEFT($I412,FIND("월",$I412)-1))&gt;=9,기준정보!$C$7-1,기준정보!$C$7),VALUE(LEFT($I412,FIND("월",$I412)-1)),1+7*(VALUE(SUBSTITUTE(MID($I412,FIND("월",$I412)+1,5),"주",""))-1)),""))</f>
        <v>46440</v>
      </c>
      <c r="K412" s="28" t="n">
        <f aca="false">IF($J412="","",$J412-기준정보!$C$5)</f>
        <v>46426</v>
      </c>
      <c r="L412" s="28" t="n">
        <f aca="false">IF($K412="","",$K412-기준정보!$C$6)</f>
        <v>46336</v>
      </c>
      <c r="M412" s="29" t="n">
        <f aca="false">IF($L412="","",$L412-기준정보!$C$4)</f>
        <v>94</v>
      </c>
      <c r="N412" s="27" t="s">
        <v>119</v>
      </c>
      <c r="O412" s="30"/>
      <c r="P412" s="26" t="str">
        <f aca="false">IF($G412="","",IF(AND(ISNUMBER(SEARCH("CMT",$G412)),OR(ISNUMBER(SEARCH("완사입",$G412)),ISNUMBER(SEARCH("ODM",$G412)))),"본사/생산처 혼재",IF(ISNUMBER(SEARCH("CMT",$G412)),"본사(소재팀)","생산처")))</f>
        <v>생산처</v>
      </c>
      <c r="Q412" s="25" t="s">
        <v>133</v>
      </c>
      <c r="R412" s="25" t="s">
        <v>134</v>
      </c>
      <c r="S412" s="31" t="n">
        <v>7000</v>
      </c>
      <c r="T412" s="26"/>
      <c r="U412" s="26" t="str">
        <f aca="false">IF($J412="","출고일 미정",IF($N412="X","작지 미발행",IF($N412="부분","작지 일부 미발행",IF(AND($O412&lt;&gt;"",$O412&gt;$L412),"소재입고 마감("&amp;TEXT($L412,"MM/DD")&amp;") 초과",IF($N412="","발행여부 확인 필요",IF($O412="","소재 입고일정 확인 필요","정상"))))))</f>
        <v>작지 미발행</v>
      </c>
      <c r="V412" s="24" t="str">
        <f aca="false">IF($J412="","",IF(OR(LEFT($U412,2)="작지",LEFT($U412,4)="소재입고"),IF(LEFT($F412,1)="S","★ 납기위험(S코드)","◆ 지연주의"),IF($U412="정상","✓ 정상","? 확인필요")))</f>
        <v>◆ 지연주의</v>
      </c>
      <c r="W412" s="27"/>
      <c r="X412" s="32"/>
    </row>
    <row r="413" customFormat="false" ht="15" hidden="false" customHeight="false" outlineLevel="0" collapsed="false">
      <c r="A413" s="24" t="n">
        <v>409</v>
      </c>
      <c r="B413" s="25" t="s">
        <v>541</v>
      </c>
      <c r="C413" s="25" t="s">
        <v>542</v>
      </c>
      <c r="D413" s="26" t="s">
        <v>971</v>
      </c>
      <c r="E413" s="25" t="s">
        <v>972</v>
      </c>
      <c r="F413" s="24" t="str">
        <f aca="false">IF($D413="","",IF(MID($D413,5,1)="S","S(봄)",IF(MID($D413,5,1)="M","M(여름)",IF(MID($D413,5,1)="X","X(사계절)",MID($D413,5,1)))))</f>
        <v>X(사계절)</v>
      </c>
      <c r="G413" s="25" t="s">
        <v>62</v>
      </c>
      <c r="H413" s="24"/>
      <c r="I413" s="27" t="s">
        <v>359</v>
      </c>
      <c r="J413" s="28" t="n">
        <f aca="false">IF($I413="","",IFERROR(DATE(IF(VALUE(LEFT($I413,FIND("월",$I413)-1))&gt;=9,기준정보!$C$7-1,기준정보!$C$7),VALUE(LEFT($I413,FIND("월",$I413)-1)),1+7*(VALUE(SUBSTITUTE(MID($I413,FIND("월",$I413)+1,5),"주",""))-1)),""))</f>
        <v>46440</v>
      </c>
      <c r="K413" s="28" t="n">
        <f aca="false">IF($J413="","",$J413-기준정보!$C$5)</f>
        <v>46426</v>
      </c>
      <c r="L413" s="28" t="n">
        <f aca="false">IF($K413="","",$K413-기준정보!$C$6)</f>
        <v>46336</v>
      </c>
      <c r="M413" s="29" t="n">
        <f aca="false">IF($L413="","",$L413-기준정보!$C$4)</f>
        <v>94</v>
      </c>
      <c r="N413" s="27" t="s">
        <v>119</v>
      </c>
      <c r="O413" s="30"/>
      <c r="P413" s="26" t="str">
        <f aca="false">IF($G413="","",IF(AND(ISNUMBER(SEARCH("CMT",$G413)),OR(ISNUMBER(SEARCH("완사입",$G413)),ISNUMBER(SEARCH("ODM",$G413)))),"본사/생산처 혼재",IF(ISNUMBER(SEARCH("CMT",$G413)),"본사(소재팀)","생산처")))</f>
        <v>생산처</v>
      </c>
      <c r="Q413" s="25" t="s">
        <v>968</v>
      </c>
      <c r="R413" s="25" t="s">
        <v>134</v>
      </c>
      <c r="S413" s="31" t="n">
        <v>4500</v>
      </c>
      <c r="T413" s="26"/>
      <c r="U413" s="26" t="str">
        <f aca="false">IF($J413="","출고일 미정",IF($N413="X","작지 미발행",IF($N413="부분","작지 일부 미발행",IF(AND($O413&lt;&gt;"",$O413&gt;$L413),"소재입고 마감("&amp;TEXT($L413,"MM/DD")&amp;") 초과",IF($N413="","발행여부 확인 필요",IF($O413="","소재 입고일정 확인 필요","정상"))))))</f>
        <v>작지 미발행</v>
      </c>
      <c r="V413" s="24" t="str">
        <f aca="false">IF($J413="","",IF(OR(LEFT($U413,2)="작지",LEFT($U413,4)="소재입고"),IF(LEFT($F413,1)="S","★ 납기위험(S코드)","◆ 지연주의"),IF($U413="정상","✓ 정상","? 확인필요")))</f>
        <v>◆ 지연주의</v>
      </c>
      <c r="W413" s="27"/>
      <c r="X413" s="32"/>
    </row>
    <row r="414" customFormat="false" ht="15" hidden="false" customHeight="false" outlineLevel="0" collapsed="false">
      <c r="A414" s="24" t="n">
        <v>410</v>
      </c>
      <c r="B414" s="25" t="s">
        <v>541</v>
      </c>
      <c r="C414" s="25" t="s">
        <v>542</v>
      </c>
      <c r="D414" s="26" t="s">
        <v>973</v>
      </c>
      <c r="E414" s="25" t="s">
        <v>974</v>
      </c>
      <c r="F414" s="24" t="str">
        <f aca="false">IF($D414="","",IF(MID($D414,5,1)="S","S(봄)",IF(MID($D414,5,1)="M","M(여름)",IF(MID($D414,5,1)="X","X(사계절)",MID($D414,5,1)))))</f>
        <v>X(사계절)</v>
      </c>
      <c r="G414" s="25" t="s">
        <v>62</v>
      </c>
      <c r="H414" s="24"/>
      <c r="I414" s="27" t="s">
        <v>359</v>
      </c>
      <c r="J414" s="28" t="n">
        <f aca="false">IF($I414="","",IFERROR(DATE(IF(VALUE(LEFT($I414,FIND("월",$I414)-1))&gt;=9,기준정보!$C$7-1,기준정보!$C$7),VALUE(LEFT($I414,FIND("월",$I414)-1)),1+7*(VALUE(SUBSTITUTE(MID($I414,FIND("월",$I414)+1,5),"주",""))-1)),""))</f>
        <v>46440</v>
      </c>
      <c r="K414" s="28" t="n">
        <f aca="false">IF($J414="","",$J414-기준정보!$C$5)</f>
        <v>46426</v>
      </c>
      <c r="L414" s="28" t="n">
        <f aca="false">IF($K414="","",$K414-기준정보!$C$6)</f>
        <v>46336</v>
      </c>
      <c r="M414" s="29" t="n">
        <f aca="false">IF($L414="","",$L414-기준정보!$C$4)</f>
        <v>94</v>
      </c>
      <c r="N414" s="27" t="s">
        <v>119</v>
      </c>
      <c r="O414" s="30"/>
      <c r="P414" s="26" t="str">
        <f aca="false">IF($G414="","",IF(AND(ISNUMBER(SEARCH("CMT",$G414)),OR(ISNUMBER(SEARCH("완사입",$G414)),ISNUMBER(SEARCH("ODM",$G414)))),"본사/생산처 혼재",IF(ISNUMBER(SEARCH("CMT",$G414)),"본사(소재팀)","생산처")))</f>
        <v>생산처</v>
      </c>
      <c r="Q414" s="25" t="s">
        <v>968</v>
      </c>
      <c r="R414" s="25" t="s">
        <v>134</v>
      </c>
      <c r="S414" s="31" t="n">
        <v>3500</v>
      </c>
      <c r="T414" s="26"/>
      <c r="U414" s="26" t="str">
        <f aca="false">IF($J414="","출고일 미정",IF($N414="X","작지 미발행",IF($N414="부분","작지 일부 미발행",IF(AND($O414&lt;&gt;"",$O414&gt;$L414),"소재입고 마감("&amp;TEXT($L414,"MM/DD")&amp;") 초과",IF($N414="","발행여부 확인 필요",IF($O414="","소재 입고일정 확인 필요","정상"))))))</f>
        <v>작지 미발행</v>
      </c>
      <c r="V414" s="24" t="str">
        <f aca="false">IF($J414="","",IF(OR(LEFT($U414,2)="작지",LEFT($U414,4)="소재입고"),IF(LEFT($F414,1)="S","★ 납기위험(S코드)","◆ 지연주의"),IF($U414="정상","✓ 정상","? 확인필요")))</f>
        <v>◆ 지연주의</v>
      </c>
      <c r="W414" s="27"/>
      <c r="X414" s="32"/>
    </row>
    <row r="415" customFormat="false" ht="15" hidden="false" customHeight="false" outlineLevel="0" collapsed="false">
      <c r="A415" s="24" t="n">
        <v>411</v>
      </c>
      <c r="B415" s="25" t="s">
        <v>541</v>
      </c>
      <c r="C415" s="25" t="s">
        <v>542</v>
      </c>
      <c r="D415" s="26" t="s">
        <v>975</v>
      </c>
      <c r="E415" s="25" t="s">
        <v>976</v>
      </c>
      <c r="F415" s="24" t="str">
        <f aca="false">IF($D415="","",IF(MID($D415,5,1)="S","S(봄)",IF(MID($D415,5,1)="M","M(여름)",IF(MID($D415,5,1)="X","X(사계절)",MID($D415,5,1)))))</f>
        <v>X(사계절)</v>
      </c>
      <c r="G415" s="25" t="s">
        <v>62</v>
      </c>
      <c r="H415" s="24"/>
      <c r="I415" s="27" t="s">
        <v>359</v>
      </c>
      <c r="J415" s="28" t="n">
        <f aca="false">IF($I415="","",IFERROR(DATE(IF(VALUE(LEFT($I415,FIND("월",$I415)-1))&gt;=9,기준정보!$C$7-1,기준정보!$C$7),VALUE(LEFT($I415,FIND("월",$I415)-1)),1+7*(VALUE(SUBSTITUTE(MID($I415,FIND("월",$I415)+1,5),"주",""))-1)),""))</f>
        <v>46440</v>
      </c>
      <c r="K415" s="28" t="n">
        <f aca="false">IF($J415="","",$J415-기준정보!$C$5)</f>
        <v>46426</v>
      </c>
      <c r="L415" s="28" t="n">
        <f aca="false">IF($K415="","",$K415-기준정보!$C$6)</f>
        <v>46336</v>
      </c>
      <c r="M415" s="29" t="n">
        <f aca="false">IF($L415="","",$L415-기준정보!$C$4)</f>
        <v>94</v>
      </c>
      <c r="N415" s="27" t="s">
        <v>119</v>
      </c>
      <c r="O415" s="30"/>
      <c r="P415" s="26" t="str">
        <f aca="false">IF($G415="","",IF(AND(ISNUMBER(SEARCH("CMT",$G415)),OR(ISNUMBER(SEARCH("완사입",$G415)),ISNUMBER(SEARCH("ODM",$G415)))),"본사/생산처 혼재",IF(ISNUMBER(SEARCH("CMT",$G415)),"본사(소재팀)","생산처")))</f>
        <v>생산처</v>
      </c>
      <c r="Q415" s="25" t="s">
        <v>968</v>
      </c>
      <c r="R415" s="25" t="s">
        <v>134</v>
      </c>
      <c r="S415" s="31" t="n">
        <v>4500</v>
      </c>
      <c r="T415" s="26"/>
      <c r="U415" s="26" t="str">
        <f aca="false">IF($J415="","출고일 미정",IF($N415="X","작지 미발행",IF($N415="부분","작지 일부 미발행",IF(AND($O415&lt;&gt;"",$O415&gt;$L415),"소재입고 마감("&amp;TEXT($L415,"MM/DD")&amp;") 초과",IF($N415="","발행여부 확인 필요",IF($O415="","소재 입고일정 확인 필요","정상"))))))</f>
        <v>작지 미발행</v>
      </c>
      <c r="V415" s="24" t="str">
        <f aca="false">IF($J415="","",IF(OR(LEFT($U415,2)="작지",LEFT($U415,4)="소재입고"),IF(LEFT($F415,1)="S","★ 납기위험(S코드)","◆ 지연주의"),IF($U415="정상","✓ 정상","? 확인필요")))</f>
        <v>◆ 지연주의</v>
      </c>
      <c r="W415" s="27"/>
      <c r="X415" s="32"/>
    </row>
    <row r="416" customFormat="false" ht="15" hidden="false" customHeight="false" outlineLevel="0" collapsed="false">
      <c r="A416" s="24" t="n">
        <v>412</v>
      </c>
      <c r="B416" s="25" t="s">
        <v>178</v>
      </c>
      <c r="C416" s="25" t="s">
        <v>542</v>
      </c>
      <c r="D416" s="26" t="s">
        <v>977</v>
      </c>
      <c r="E416" s="26" t="s">
        <v>978</v>
      </c>
      <c r="F416" s="24" t="str">
        <f aca="false">IF($D416="","",IF(MID($D416,5,1)="S","S(봄)",IF(MID($D416,5,1)="M","M(여름)",IF(MID($D416,5,1)="X","X(사계절)",MID($D416,5,1)))))</f>
        <v>X(사계절)</v>
      </c>
      <c r="G416" s="25" t="s">
        <v>62</v>
      </c>
      <c r="H416" s="24" t="s">
        <v>376</v>
      </c>
      <c r="I416" s="27" t="s">
        <v>421</v>
      </c>
      <c r="J416" s="28" t="n">
        <f aca="false">IF($I416="","",IFERROR(DATE(IF(VALUE(LEFT($I416,FIND("월",$I416)-1))&gt;=9,기준정보!$C$7-1,기준정보!$C$7),VALUE(LEFT($I416,FIND("월",$I416)-1)),1+7*(VALUE(SUBSTITUTE(MID($I416,FIND("월",$I416)+1,5),"주",""))-1)),""))</f>
        <v>46447</v>
      </c>
      <c r="K416" s="28" t="n">
        <f aca="false">IF($J416="","",$J416-기준정보!$C$5)</f>
        <v>46433</v>
      </c>
      <c r="L416" s="28" t="n">
        <f aca="false">IF($K416="","",$K416-기준정보!$C$6)</f>
        <v>46343</v>
      </c>
      <c r="M416" s="29" t="n">
        <f aca="false">IF($L416="","",$L416-기준정보!$C$4)</f>
        <v>101</v>
      </c>
      <c r="N416" s="27" t="s">
        <v>119</v>
      </c>
      <c r="O416" s="30"/>
      <c r="P416" s="26" t="str">
        <f aca="false">IF($G416="","",IF(AND(ISNUMBER(SEARCH("CMT",$G416)),OR(ISNUMBER(SEARCH("완사입",$G416)),ISNUMBER(SEARCH("ODM",$G416)))),"본사/생산처 혼재",IF(ISNUMBER(SEARCH("CMT",$G416)),"본사(소재팀)","생산처")))</f>
        <v>생산처</v>
      </c>
      <c r="Q416" s="25" t="s">
        <v>979</v>
      </c>
      <c r="R416" s="25" t="s">
        <v>134</v>
      </c>
      <c r="S416" s="31" t="n">
        <v>1100</v>
      </c>
      <c r="T416" s="26" t="s">
        <v>421</v>
      </c>
      <c r="U416" s="26" t="str">
        <f aca="false">IF($J416="","출고일 미정",IF($N416="X","작지 미발행",IF($N416="부분","작지 일부 미발행",IF(AND($O416&lt;&gt;"",$O416&gt;$L416),"소재입고 마감("&amp;TEXT($L416,"MM/DD")&amp;") 초과",IF($N416="","발행여부 확인 필요",IF($O416="","소재 입고일정 확인 필요","정상"))))))</f>
        <v>작지 미발행</v>
      </c>
      <c r="V416" s="24" t="str">
        <f aca="false">IF($J416="","",IF(OR(LEFT($U416,2)="작지",LEFT($U416,4)="소재입고"),IF(LEFT($F416,1)="S","★ 납기위험(S코드)","◆ 지연주의"),IF($U416="정상","✓ 정상","? 확인필요")))</f>
        <v>◆ 지연주의</v>
      </c>
      <c r="W416" s="27"/>
      <c r="X416" s="32"/>
    </row>
    <row r="417" customFormat="false" ht="15" hidden="false" customHeight="false" outlineLevel="0" collapsed="false">
      <c r="A417" s="24" t="n">
        <v>413</v>
      </c>
      <c r="B417" s="25" t="s">
        <v>178</v>
      </c>
      <c r="C417" s="25" t="s">
        <v>542</v>
      </c>
      <c r="D417" s="26" t="s">
        <v>980</v>
      </c>
      <c r="E417" s="26" t="s">
        <v>981</v>
      </c>
      <c r="F417" s="24" t="str">
        <f aca="false">IF($D417="","",IF(MID($D417,5,1)="S","S(봄)",IF(MID($D417,5,1)="M","M(여름)",IF(MID($D417,5,1)="X","X(사계절)",MID($D417,5,1)))))</f>
        <v>X(사계절)</v>
      </c>
      <c r="G417" s="25" t="s">
        <v>62</v>
      </c>
      <c r="H417" s="24" t="s">
        <v>376</v>
      </c>
      <c r="I417" s="27" t="s">
        <v>421</v>
      </c>
      <c r="J417" s="28" t="n">
        <f aca="false">IF($I417="","",IFERROR(DATE(IF(VALUE(LEFT($I417,FIND("월",$I417)-1))&gt;=9,기준정보!$C$7-1,기준정보!$C$7),VALUE(LEFT($I417,FIND("월",$I417)-1)),1+7*(VALUE(SUBSTITUTE(MID($I417,FIND("월",$I417)+1,5),"주",""))-1)),""))</f>
        <v>46447</v>
      </c>
      <c r="K417" s="28" t="n">
        <f aca="false">IF($J417="","",$J417-기준정보!$C$5)</f>
        <v>46433</v>
      </c>
      <c r="L417" s="28" t="n">
        <f aca="false">IF($K417="","",$K417-기준정보!$C$6)</f>
        <v>46343</v>
      </c>
      <c r="M417" s="29" t="n">
        <f aca="false">IF($L417="","",$L417-기준정보!$C$4)</f>
        <v>101</v>
      </c>
      <c r="N417" s="27" t="s">
        <v>119</v>
      </c>
      <c r="O417" s="30"/>
      <c r="P417" s="26" t="str">
        <f aca="false">IF($G417="","",IF(AND(ISNUMBER(SEARCH("CMT",$G417)),OR(ISNUMBER(SEARCH("완사입",$G417)),ISNUMBER(SEARCH("ODM",$G417)))),"본사/생산처 혼재",IF(ISNUMBER(SEARCH("CMT",$G417)),"본사(소재팀)","생산처")))</f>
        <v>생산처</v>
      </c>
      <c r="Q417" s="25" t="s">
        <v>906</v>
      </c>
      <c r="R417" s="25" t="s">
        <v>67</v>
      </c>
      <c r="S417" s="31" t="n">
        <v>1600</v>
      </c>
      <c r="T417" s="26"/>
      <c r="U417" s="26" t="str">
        <f aca="false">IF($J417="","출고일 미정",IF($N417="X","작지 미발행",IF($N417="부분","작지 일부 미발행",IF(AND($O417&lt;&gt;"",$O417&gt;$L417),"소재입고 마감("&amp;TEXT($L417,"MM/DD")&amp;") 초과",IF($N417="","발행여부 확인 필요",IF($O417="","소재 입고일정 확인 필요","정상"))))))</f>
        <v>작지 미발행</v>
      </c>
      <c r="V417" s="24" t="str">
        <f aca="false">IF($J417="","",IF(OR(LEFT($U417,2)="작지",LEFT($U417,4)="소재입고"),IF(LEFT($F417,1)="S","★ 납기위험(S코드)","◆ 지연주의"),IF($U417="정상","✓ 정상","? 확인필요")))</f>
        <v>◆ 지연주의</v>
      </c>
      <c r="W417" s="27"/>
      <c r="X417" s="32"/>
    </row>
    <row r="418" customFormat="false" ht="15" hidden="false" customHeight="false" outlineLevel="0" collapsed="false">
      <c r="A418" s="24" t="n">
        <v>414</v>
      </c>
      <c r="B418" s="25" t="s">
        <v>178</v>
      </c>
      <c r="C418" s="25" t="s">
        <v>542</v>
      </c>
      <c r="D418" s="26" t="s">
        <v>982</v>
      </c>
      <c r="E418" s="26" t="s">
        <v>983</v>
      </c>
      <c r="F418" s="24" t="str">
        <f aca="false">IF($D418="","",IF(MID($D418,5,1)="S","S(봄)",IF(MID($D418,5,1)="M","M(여름)",IF(MID($D418,5,1)="X","X(사계절)",MID($D418,5,1)))))</f>
        <v>X(사계절)</v>
      </c>
      <c r="G418" s="25" t="s">
        <v>62</v>
      </c>
      <c r="H418" s="24" t="s">
        <v>376</v>
      </c>
      <c r="I418" s="27" t="s">
        <v>421</v>
      </c>
      <c r="J418" s="28" t="n">
        <f aca="false">IF($I418="","",IFERROR(DATE(IF(VALUE(LEFT($I418,FIND("월",$I418)-1))&gt;=9,기준정보!$C$7-1,기준정보!$C$7),VALUE(LEFT($I418,FIND("월",$I418)-1)),1+7*(VALUE(SUBSTITUTE(MID($I418,FIND("월",$I418)+1,5),"주",""))-1)),""))</f>
        <v>46447</v>
      </c>
      <c r="K418" s="28" t="n">
        <f aca="false">IF($J418="","",$J418-기준정보!$C$5)</f>
        <v>46433</v>
      </c>
      <c r="L418" s="28" t="n">
        <f aca="false">IF($K418="","",$K418-기준정보!$C$6)</f>
        <v>46343</v>
      </c>
      <c r="M418" s="29" t="n">
        <f aca="false">IF($L418="","",$L418-기준정보!$C$4)</f>
        <v>101</v>
      </c>
      <c r="N418" s="27" t="s">
        <v>119</v>
      </c>
      <c r="O418" s="30"/>
      <c r="P418" s="26" t="str">
        <f aca="false">IF($G418="","",IF(AND(ISNUMBER(SEARCH("CMT",$G418)),OR(ISNUMBER(SEARCH("완사입",$G418)),ISNUMBER(SEARCH("ODM",$G418)))),"본사/생산처 혼재",IF(ISNUMBER(SEARCH("CMT",$G418)),"본사(소재팀)","생산처")))</f>
        <v>생산처</v>
      </c>
      <c r="Q418" s="25" t="s">
        <v>906</v>
      </c>
      <c r="R418" s="25" t="s">
        <v>67</v>
      </c>
      <c r="S418" s="31" t="n">
        <v>500</v>
      </c>
      <c r="T418" s="26"/>
      <c r="U418" s="26" t="str">
        <f aca="false">IF($J418="","출고일 미정",IF($N418="X","작지 미발행",IF($N418="부분","작지 일부 미발행",IF(AND($O418&lt;&gt;"",$O418&gt;$L418),"소재입고 마감("&amp;TEXT($L418,"MM/DD")&amp;") 초과",IF($N418="","발행여부 확인 필요",IF($O418="","소재 입고일정 확인 필요","정상"))))))</f>
        <v>작지 미발행</v>
      </c>
      <c r="V418" s="24" t="str">
        <f aca="false">IF($J418="","",IF(OR(LEFT($U418,2)="작지",LEFT($U418,4)="소재입고"),IF(LEFT($F418,1)="S","★ 납기위험(S코드)","◆ 지연주의"),IF($U418="정상","✓ 정상","? 확인필요")))</f>
        <v>◆ 지연주의</v>
      </c>
      <c r="W418" s="27"/>
      <c r="X418" s="32"/>
    </row>
    <row r="419" customFormat="false" ht="15" hidden="false" customHeight="false" outlineLevel="0" collapsed="false">
      <c r="A419" s="24" t="n">
        <v>415</v>
      </c>
      <c r="B419" s="25" t="s">
        <v>178</v>
      </c>
      <c r="C419" s="25" t="s">
        <v>542</v>
      </c>
      <c r="D419" s="26" t="s">
        <v>984</v>
      </c>
      <c r="E419" s="26" t="s">
        <v>985</v>
      </c>
      <c r="F419" s="24" t="str">
        <f aca="false">IF($D419="","",IF(MID($D419,5,1)="S","S(봄)",IF(MID($D419,5,1)="M","M(여름)",IF(MID($D419,5,1)="X","X(사계절)",MID($D419,5,1)))))</f>
        <v>X(사계절)</v>
      </c>
      <c r="G419" s="25" t="s">
        <v>62</v>
      </c>
      <c r="H419" s="24" t="s">
        <v>376</v>
      </c>
      <c r="I419" s="27" t="s">
        <v>421</v>
      </c>
      <c r="J419" s="28" t="n">
        <f aca="false">IF($I419="","",IFERROR(DATE(IF(VALUE(LEFT($I419,FIND("월",$I419)-1))&gt;=9,기준정보!$C$7-1,기준정보!$C$7),VALUE(LEFT($I419,FIND("월",$I419)-1)),1+7*(VALUE(SUBSTITUTE(MID($I419,FIND("월",$I419)+1,5),"주",""))-1)),""))</f>
        <v>46447</v>
      </c>
      <c r="K419" s="28" t="n">
        <f aca="false">IF($J419="","",$J419-기준정보!$C$5)</f>
        <v>46433</v>
      </c>
      <c r="L419" s="28" t="n">
        <f aca="false">IF($K419="","",$K419-기준정보!$C$6)</f>
        <v>46343</v>
      </c>
      <c r="M419" s="29" t="n">
        <f aca="false">IF($L419="","",$L419-기준정보!$C$4)</f>
        <v>101</v>
      </c>
      <c r="N419" s="27" t="s">
        <v>119</v>
      </c>
      <c r="O419" s="30"/>
      <c r="P419" s="26" t="str">
        <f aca="false">IF($G419="","",IF(AND(ISNUMBER(SEARCH("CMT",$G419)),OR(ISNUMBER(SEARCH("완사입",$G419)),ISNUMBER(SEARCH("ODM",$G419)))),"본사/생산처 혼재",IF(ISNUMBER(SEARCH("CMT",$G419)),"본사(소재팀)","생산처")))</f>
        <v>생산처</v>
      </c>
      <c r="Q419" s="25" t="s">
        <v>906</v>
      </c>
      <c r="R419" s="25" t="s">
        <v>67</v>
      </c>
      <c r="S419" s="31" t="n">
        <v>1200</v>
      </c>
      <c r="T419" s="26"/>
      <c r="U419" s="26" t="str">
        <f aca="false">IF($J419="","출고일 미정",IF($N419="X","작지 미발행",IF($N419="부분","작지 일부 미발행",IF(AND($O419&lt;&gt;"",$O419&gt;$L419),"소재입고 마감("&amp;TEXT($L419,"MM/DD")&amp;") 초과",IF($N419="","발행여부 확인 필요",IF($O419="","소재 입고일정 확인 필요","정상"))))))</f>
        <v>작지 미발행</v>
      </c>
      <c r="V419" s="24" t="str">
        <f aca="false">IF($J419="","",IF(OR(LEFT($U419,2)="작지",LEFT($U419,4)="소재입고"),IF(LEFT($F419,1)="S","★ 납기위험(S코드)","◆ 지연주의"),IF($U419="정상","✓ 정상","? 확인필요")))</f>
        <v>◆ 지연주의</v>
      </c>
      <c r="W419" s="27"/>
      <c r="X419" s="32"/>
    </row>
    <row r="420" customFormat="false" ht="15" hidden="false" customHeight="false" outlineLevel="0" collapsed="false">
      <c r="A420" s="24" t="n">
        <v>416</v>
      </c>
      <c r="B420" s="25" t="s">
        <v>178</v>
      </c>
      <c r="C420" s="25" t="s">
        <v>542</v>
      </c>
      <c r="D420" s="26" t="s">
        <v>986</v>
      </c>
      <c r="E420" s="26" t="s">
        <v>987</v>
      </c>
      <c r="F420" s="24" t="str">
        <f aca="false">IF($D420="","",IF(MID($D420,5,1)="S","S(봄)",IF(MID($D420,5,1)="M","M(여름)",IF(MID($D420,5,1)="X","X(사계절)",MID($D420,5,1)))))</f>
        <v>X(사계절)</v>
      </c>
      <c r="G420" s="25" t="s">
        <v>62</v>
      </c>
      <c r="H420" s="24" t="s">
        <v>376</v>
      </c>
      <c r="I420" s="27" t="s">
        <v>421</v>
      </c>
      <c r="J420" s="28" t="n">
        <f aca="false">IF($I420="","",IFERROR(DATE(IF(VALUE(LEFT($I420,FIND("월",$I420)-1))&gt;=9,기준정보!$C$7-1,기준정보!$C$7),VALUE(LEFT($I420,FIND("월",$I420)-1)),1+7*(VALUE(SUBSTITUTE(MID($I420,FIND("월",$I420)+1,5),"주",""))-1)),""))</f>
        <v>46447</v>
      </c>
      <c r="K420" s="28" t="n">
        <f aca="false">IF($J420="","",$J420-기준정보!$C$5)</f>
        <v>46433</v>
      </c>
      <c r="L420" s="28" t="n">
        <f aca="false">IF($K420="","",$K420-기준정보!$C$6)</f>
        <v>46343</v>
      </c>
      <c r="M420" s="29" t="n">
        <f aca="false">IF($L420="","",$L420-기준정보!$C$4)</f>
        <v>101</v>
      </c>
      <c r="N420" s="27" t="s">
        <v>119</v>
      </c>
      <c r="O420" s="30"/>
      <c r="P420" s="26" t="str">
        <f aca="false">IF($G420="","",IF(AND(ISNUMBER(SEARCH("CMT",$G420)),OR(ISNUMBER(SEARCH("완사입",$G420)),ISNUMBER(SEARCH("ODM",$G420)))),"본사/생산처 혼재",IF(ISNUMBER(SEARCH("CMT",$G420)),"본사(소재팀)","생산처")))</f>
        <v>생산처</v>
      </c>
      <c r="Q420" s="25" t="s">
        <v>906</v>
      </c>
      <c r="R420" s="25" t="s">
        <v>67</v>
      </c>
      <c r="S420" s="31" t="n">
        <v>1300</v>
      </c>
      <c r="T420" s="26"/>
      <c r="U420" s="26" t="str">
        <f aca="false">IF($J420="","출고일 미정",IF($N420="X","작지 미발행",IF($N420="부분","작지 일부 미발행",IF(AND($O420&lt;&gt;"",$O420&gt;$L420),"소재입고 마감("&amp;TEXT($L420,"MM/DD")&amp;") 초과",IF($N420="","발행여부 확인 필요",IF($O420="","소재 입고일정 확인 필요","정상"))))))</f>
        <v>작지 미발행</v>
      </c>
      <c r="V420" s="24" t="str">
        <f aca="false">IF($J420="","",IF(OR(LEFT($U420,2)="작지",LEFT($U420,4)="소재입고"),IF(LEFT($F420,1)="S","★ 납기위험(S코드)","◆ 지연주의"),IF($U420="정상","✓ 정상","? 확인필요")))</f>
        <v>◆ 지연주의</v>
      </c>
      <c r="W420" s="27"/>
      <c r="X420" s="32"/>
    </row>
    <row r="421" customFormat="false" ht="15" hidden="false" customHeight="false" outlineLevel="0" collapsed="false">
      <c r="A421" s="24" t="n">
        <v>417</v>
      </c>
      <c r="B421" s="25" t="s">
        <v>178</v>
      </c>
      <c r="C421" s="25" t="s">
        <v>542</v>
      </c>
      <c r="D421" s="26" t="s">
        <v>988</v>
      </c>
      <c r="E421" s="26" t="s">
        <v>989</v>
      </c>
      <c r="F421" s="24" t="str">
        <f aca="false">IF($D421="","",IF(MID($D421,5,1)="S","S(봄)",IF(MID($D421,5,1)="M","M(여름)",IF(MID($D421,5,1)="X","X(사계절)",MID($D421,5,1)))))</f>
        <v>X(사계절)</v>
      </c>
      <c r="G421" s="25" t="s">
        <v>62</v>
      </c>
      <c r="H421" s="24" t="s">
        <v>376</v>
      </c>
      <c r="I421" s="27" t="s">
        <v>421</v>
      </c>
      <c r="J421" s="28" t="n">
        <f aca="false">IF($I421="","",IFERROR(DATE(IF(VALUE(LEFT($I421,FIND("월",$I421)-1))&gt;=9,기준정보!$C$7-1,기준정보!$C$7),VALUE(LEFT($I421,FIND("월",$I421)-1)),1+7*(VALUE(SUBSTITUTE(MID($I421,FIND("월",$I421)+1,5),"주",""))-1)),""))</f>
        <v>46447</v>
      </c>
      <c r="K421" s="28" t="n">
        <f aca="false">IF($J421="","",$J421-기준정보!$C$5)</f>
        <v>46433</v>
      </c>
      <c r="L421" s="28" t="n">
        <f aca="false">IF($K421="","",$K421-기준정보!$C$6)</f>
        <v>46343</v>
      </c>
      <c r="M421" s="29" t="n">
        <f aca="false">IF($L421="","",$L421-기준정보!$C$4)</f>
        <v>101</v>
      </c>
      <c r="N421" s="27" t="s">
        <v>119</v>
      </c>
      <c r="O421" s="30"/>
      <c r="P421" s="26" t="str">
        <f aca="false">IF($G421="","",IF(AND(ISNUMBER(SEARCH("CMT",$G421)),OR(ISNUMBER(SEARCH("완사입",$G421)),ISNUMBER(SEARCH("ODM",$G421)))),"본사/생산처 혼재",IF(ISNUMBER(SEARCH("CMT",$G421)),"본사(소재팀)","생산처")))</f>
        <v>생산처</v>
      </c>
      <c r="Q421" s="25" t="s">
        <v>887</v>
      </c>
      <c r="R421" s="25" t="s">
        <v>134</v>
      </c>
      <c r="S421" s="31" t="n">
        <v>1600</v>
      </c>
      <c r="T421" s="26"/>
      <c r="U421" s="26" t="str">
        <f aca="false">IF($J421="","출고일 미정",IF($N421="X","작지 미발행",IF($N421="부분","작지 일부 미발행",IF(AND($O421&lt;&gt;"",$O421&gt;$L421),"소재입고 마감("&amp;TEXT($L421,"MM/DD")&amp;") 초과",IF($N421="","발행여부 확인 필요",IF($O421="","소재 입고일정 확인 필요","정상"))))))</f>
        <v>작지 미발행</v>
      </c>
      <c r="V421" s="24" t="str">
        <f aca="false">IF($J421="","",IF(OR(LEFT($U421,2)="작지",LEFT($U421,4)="소재입고"),IF(LEFT($F421,1)="S","★ 납기위험(S코드)","◆ 지연주의"),IF($U421="정상","✓ 정상","? 확인필요")))</f>
        <v>◆ 지연주의</v>
      </c>
      <c r="W421" s="27"/>
      <c r="X421" s="32"/>
    </row>
    <row r="422" customFormat="false" ht="15" hidden="false" customHeight="false" outlineLevel="0" collapsed="false">
      <c r="A422" s="24" t="n">
        <v>418</v>
      </c>
      <c r="B422" s="25" t="s">
        <v>178</v>
      </c>
      <c r="C422" s="25" t="s">
        <v>542</v>
      </c>
      <c r="D422" s="26" t="s">
        <v>990</v>
      </c>
      <c r="E422" s="26" t="s">
        <v>991</v>
      </c>
      <c r="F422" s="24" t="str">
        <f aca="false">IF($D422="","",IF(MID($D422,5,1)="S","S(봄)",IF(MID($D422,5,1)="M","M(여름)",IF(MID($D422,5,1)="X","X(사계절)",MID($D422,5,1)))))</f>
        <v>X(사계절)</v>
      </c>
      <c r="G422" s="25" t="s">
        <v>62</v>
      </c>
      <c r="H422" s="24" t="s">
        <v>376</v>
      </c>
      <c r="I422" s="27" t="s">
        <v>421</v>
      </c>
      <c r="J422" s="28" t="n">
        <f aca="false">IF($I422="","",IFERROR(DATE(IF(VALUE(LEFT($I422,FIND("월",$I422)-1))&gt;=9,기준정보!$C$7-1,기준정보!$C$7),VALUE(LEFT($I422,FIND("월",$I422)-1)),1+7*(VALUE(SUBSTITUTE(MID($I422,FIND("월",$I422)+1,5),"주",""))-1)),""))</f>
        <v>46447</v>
      </c>
      <c r="K422" s="28" t="n">
        <f aca="false">IF($J422="","",$J422-기준정보!$C$5)</f>
        <v>46433</v>
      </c>
      <c r="L422" s="28" t="n">
        <f aca="false">IF($K422="","",$K422-기준정보!$C$6)</f>
        <v>46343</v>
      </c>
      <c r="M422" s="29" t="n">
        <f aca="false">IF($L422="","",$L422-기준정보!$C$4)</f>
        <v>101</v>
      </c>
      <c r="N422" s="27" t="s">
        <v>119</v>
      </c>
      <c r="O422" s="30"/>
      <c r="P422" s="26" t="str">
        <f aca="false">IF($G422="","",IF(AND(ISNUMBER(SEARCH("CMT",$G422)),OR(ISNUMBER(SEARCH("완사입",$G422)),ISNUMBER(SEARCH("ODM",$G422)))),"본사/생산처 혼재",IF(ISNUMBER(SEARCH("CMT",$G422)),"본사(소재팀)","생산처")))</f>
        <v>생산처</v>
      </c>
      <c r="Q422" s="25" t="s">
        <v>137</v>
      </c>
      <c r="R422" s="25" t="s">
        <v>67</v>
      </c>
      <c r="S422" s="31" t="n">
        <v>1200</v>
      </c>
      <c r="T422" s="26"/>
      <c r="U422" s="26" t="str">
        <f aca="false">IF($J422="","출고일 미정",IF($N422="X","작지 미발행",IF($N422="부분","작지 일부 미발행",IF(AND($O422&lt;&gt;"",$O422&gt;$L422),"소재입고 마감("&amp;TEXT($L422,"MM/DD")&amp;") 초과",IF($N422="","발행여부 확인 필요",IF($O422="","소재 입고일정 확인 필요","정상"))))))</f>
        <v>작지 미발행</v>
      </c>
      <c r="V422" s="24" t="str">
        <f aca="false">IF($J422="","",IF(OR(LEFT($U422,2)="작지",LEFT($U422,4)="소재입고"),IF(LEFT($F422,1)="S","★ 납기위험(S코드)","◆ 지연주의"),IF($U422="정상","✓ 정상","? 확인필요")))</f>
        <v>◆ 지연주의</v>
      </c>
      <c r="W422" s="27"/>
      <c r="X422" s="32"/>
    </row>
    <row r="423" customFormat="false" ht="15" hidden="false" customHeight="false" outlineLevel="0" collapsed="false">
      <c r="A423" s="24" t="n">
        <v>419</v>
      </c>
      <c r="B423" s="25" t="s">
        <v>178</v>
      </c>
      <c r="C423" s="25" t="s">
        <v>542</v>
      </c>
      <c r="D423" s="26" t="s">
        <v>992</v>
      </c>
      <c r="E423" s="26" t="s">
        <v>993</v>
      </c>
      <c r="F423" s="24" t="str">
        <f aca="false">IF($D423="","",IF(MID($D423,5,1)="S","S(봄)",IF(MID($D423,5,1)="M","M(여름)",IF(MID($D423,5,1)="X","X(사계절)",MID($D423,5,1)))))</f>
        <v>X(사계절)</v>
      </c>
      <c r="G423" s="25" t="s">
        <v>62</v>
      </c>
      <c r="H423" s="24" t="s">
        <v>376</v>
      </c>
      <c r="I423" s="27" t="s">
        <v>421</v>
      </c>
      <c r="J423" s="28" t="n">
        <f aca="false">IF($I423="","",IFERROR(DATE(IF(VALUE(LEFT($I423,FIND("월",$I423)-1))&gt;=9,기준정보!$C$7-1,기준정보!$C$7),VALUE(LEFT($I423,FIND("월",$I423)-1)),1+7*(VALUE(SUBSTITUTE(MID($I423,FIND("월",$I423)+1,5),"주",""))-1)),""))</f>
        <v>46447</v>
      </c>
      <c r="K423" s="28" t="n">
        <f aca="false">IF($J423="","",$J423-기준정보!$C$5)</f>
        <v>46433</v>
      </c>
      <c r="L423" s="28" t="n">
        <f aca="false">IF($K423="","",$K423-기준정보!$C$6)</f>
        <v>46343</v>
      </c>
      <c r="M423" s="29" t="n">
        <f aca="false">IF($L423="","",$L423-기준정보!$C$4)</f>
        <v>101</v>
      </c>
      <c r="N423" s="27" t="s">
        <v>119</v>
      </c>
      <c r="O423" s="30"/>
      <c r="P423" s="26" t="str">
        <f aca="false">IF($G423="","",IF(AND(ISNUMBER(SEARCH("CMT",$G423)),OR(ISNUMBER(SEARCH("완사입",$G423)),ISNUMBER(SEARCH("ODM",$G423)))),"본사/생산처 혼재",IF(ISNUMBER(SEARCH("CMT",$G423)),"본사(소재팀)","생산처")))</f>
        <v>생산처</v>
      </c>
      <c r="Q423" s="25" t="s">
        <v>137</v>
      </c>
      <c r="R423" s="25" t="s">
        <v>67</v>
      </c>
      <c r="S423" s="31" t="n">
        <v>900</v>
      </c>
      <c r="T423" s="26"/>
      <c r="U423" s="26" t="str">
        <f aca="false">IF($J423="","출고일 미정",IF($N423="X","작지 미발행",IF($N423="부분","작지 일부 미발행",IF(AND($O423&lt;&gt;"",$O423&gt;$L423),"소재입고 마감("&amp;TEXT($L423,"MM/DD")&amp;") 초과",IF($N423="","발행여부 확인 필요",IF($O423="","소재 입고일정 확인 필요","정상"))))))</f>
        <v>작지 미발행</v>
      </c>
      <c r="V423" s="24" t="str">
        <f aca="false">IF($J423="","",IF(OR(LEFT($U423,2)="작지",LEFT($U423,4)="소재입고"),IF(LEFT($F423,1)="S","★ 납기위험(S코드)","◆ 지연주의"),IF($U423="정상","✓ 정상","? 확인필요")))</f>
        <v>◆ 지연주의</v>
      </c>
      <c r="W423" s="27"/>
      <c r="X423" s="32"/>
    </row>
    <row r="424" customFormat="false" ht="15" hidden="false" customHeight="false" outlineLevel="0" collapsed="false">
      <c r="A424" s="24" t="n">
        <v>420</v>
      </c>
      <c r="B424" s="25" t="s">
        <v>541</v>
      </c>
      <c r="C424" s="25" t="s">
        <v>386</v>
      </c>
      <c r="D424" s="26" t="s">
        <v>994</v>
      </c>
      <c r="E424" s="25" t="s">
        <v>995</v>
      </c>
      <c r="F424" s="24" t="str">
        <f aca="false">IF($D424="","",IF(MID($D424,5,1)="S","S(봄)",IF(MID($D424,5,1)="M","M(여름)",IF(MID($D424,5,1)="X","X(사계절)",MID($D424,5,1)))))</f>
        <v>X(사계절)</v>
      </c>
      <c r="G424" s="25" t="s">
        <v>62</v>
      </c>
      <c r="H424" s="24"/>
      <c r="I424" s="27" t="s">
        <v>486</v>
      </c>
      <c r="J424" s="28" t="n">
        <f aca="false">IF($I424="","",IFERROR(DATE(IF(VALUE(LEFT($I424,FIND("월",$I424)-1))&gt;=9,기준정보!$C$7-1,기준정보!$C$7),VALUE(LEFT($I424,FIND("월",$I424)-1)),1+7*(VALUE(SUBSTITUTE(MID($I424,FIND("월",$I424)+1,5),"주",""))-1)),""))</f>
        <v>46454</v>
      </c>
      <c r="K424" s="28" t="n">
        <f aca="false">IF($J424="","",$J424-기준정보!$C$5)</f>
        <v>46440</v>
      </c>
      <c r="L424" s="28" t="n">
        <f aca="false">IF($K424="","",$K424-기준정보!$C$6)</f>
        <v>46350</v>
      </c>
      <c r="M424" s="29" t="n">
        <f aca="false">IF($L424="","",$L424-기준정보!$C$4)</f>
        <v>108</v>
      </c>
      <c r="N424" s="27" t="s">
        <v>119</v>
      </c>
      <c r="O424" s="30"/>
      <c r="P424" s="26" t="str">
        <f aca="false">IF($G424="","",IF(AND(ISNUMBER(SEARCH("CMT",$G424)),OR(ISNUMBER(SEARCH("완사입",$G424)),ISNUMBER(SEARCH("ODM",$G424)))),"본사/생산처 혼재",IF(ISNUMBER(SEARCH("CMT",$G424)),"본사(소재팀)","생산처")))</f>
        <v>생산처</v>
      </c>
      <c r="Q424" s="25" t="s">
        <v>695</v>
      </c>
      <c r="R424" s="25" t="s">
        <v>696</v>
      </c>
      <c r="S424" s="31" t="n">
        <v>2000</v>
      </c>
      <c r="T424" s="26"/>
      <c r="U424" s="26" t="str">
        <f aca="false">IF($J424="","출고일 미정",IF($N424="X","작지 미발행",IF($N424="부분","작지 일부 미발행",IF(AND($O424&lt;&gt;"",$O424&gt;$L424),"소재입고 마감("&amp;TEXT($L424,"MM/DD")&amp;") 초과",IF($N424="","발행여부 확인 필요",IF($O424="","소재 입고일정 확인 필요","정상"))))))</f>
        <v>작지 미발행</v>
      </c>
      <c r="V424" s="24" t="str">
        <f aca="false">IF($J424="","",IF(OR(LEFT($U424,2)="작지",LEFT($U424,4)="소재입고"),IF(LEFT($F424,1)="S","★ 납기위험(S코드)","◆ 지연주의"),IF($U424="정상","✓ 정상","? 확인필요")))</f>
        <v>◆ 지연주의</v>
      </c>
      <c r="W424" s="27"/>
      <c r="X424" s="32"/>
    </row>
    <row r="425" customFormat="false" ht="15" hidden="false" customHeight="false" outlineLevel="0" collapsed="false">
      <c r="A425" s="24" t="n">
        <v>421</v>
      </c>
      <c r="B425" s="25" t="s">
        <v>541</v>
      </c>
      <c r="C425" s="25" t="s">
        <v>542</v>
      </c>
      <c r="D425" s="26" t="s">
        <v>996</v>
      </c>
      <c r="E425" s="25" t="s">
        <v>997</v>
      </c>
      <c r="F425" s="24" t="str">
        <f aca="false">IF($D425="","",IF(MID($D425,5,1)="S","S(봄)",IF(MID($D425,5,1)="M","M(여름)",IF(MID($D425,5,1)="X","X(사계절)",MID($D425,5,1)))))</f>
        <v>X(사계절)</v>
      </c>
      <c r="G425" s="25" t="s">
        <v>62</v>
      </c>
      <c r="H425" s="24" t="s">
        <v>326</v>
      </c>
      <c r="I425" s="27" t="s">
        <v>486</v>
      </c>
      <c r="J425" s="28" t="n">
        <f aca="false">IF($I425="","",IFERROR(DATE(IF(VALUE(LEFT($I425,FIND("월",$I425)-1))&gt;=9,기준정보!$C$7-1,기준정보!$C$7),VALUE(LEFT($I425,FIND("월",$I425)-1)),1+7*(VALUE(SUBSTITUTE(MID($I425,FIND("월",$I425)+1,5),"주",""))-1)),""))</f>
        <v>46454</v>
      </c>
      <c r="K425" s="28" t="n">
        <f aca="false">IF($J425="","",$J425-기준정보!$C$5)</f>
        <v>46440</v>
      </c>
      <c r="L425" s="28" t="n">
        <f aca="false">IF($K425="","",$K425-기준정보!$C$6)</f>
        <v>46350</v>
      </c>
      <c r="M425" s="29" t="n">
        <f aca="false">IF($L425="","",$L425-기준정보!$C$4)</f>
        <v>108</v>
      </c>
      <c r="N425" s="27" t="s">
        <v>119</v>
      </c>
      <c r="O425" s="30"/>
      <c r="P425" s="26" t="str">
        <f aca="false">IF($G425="","",IF(AND(ISNUMBER(SEARCH("CMT",$G425)),OR(ISNUMBER(SEARCH("완사입",$G425)),ISNUMBER(SEARCH("ODM",$G425)))),"본사/생산처 혼재",IF(ISNUMBER(SEARCH("CMT",$G425)),"본사(소재팀)","생산처")))</f>
        <v>생산처</v>
      </c>
      <c r="Q425" s="25" t="s">
        <v>545</v>
      </c>
      <c r="R425" s="25" t="s">
        <v>134</v>
      </c>
      <c r="S425" s="31" t="n">
        <v>5500</v>
      </c>
      <c r="T425" s="26"/>
      <c r="U425" s="26" t="str">
        <f aca="false">IF($J425="","출고일 미정",IF($N425="X","작지 미발행",IF($N425="부분","작지 일부 미발행",IF(AND($O425&lt;&gt;"",$O425&gt;$L425),"소재입고 마감("&amp;TEXT($L425,"MM/DD")&amp;") 초과",IF($N425="","발행여부 확인 필요",IF($O425="","소재 입고일정 확인 필요","정상"))))))</f>
        <v>작지 미발행</v>
      </c>
      <c r="V425" s="24" t="str">
        <f aca="false">IF($J425="","",IF(OR(LEFT($U425,2)="작지",LEFT($U425,4)="소재입고"),IF(LEFT($F425,1)="S","★ 납기위험(S코드)","◆ 지연주의"),IF($U425="정상","✓ 정상","? 확인필요")))</f>
        <v>◆ 지연주의</v>
      </c>
      <c r="W425" s="27"/>
      <c r="X425" s="32"/>
    </row>
    <row r="426" customFormat="false" ht="15" hidden="false" customHeight="false" outlineLevel="0" collapsed="false">
      <c r="A426" s="24" t="n">
        <v>422</v>
      </c>
      <c r="B426" s="25" t="s">
        <v>541</v>
      </c>
      <c r="C426" s="25" t="s">
        <v>386</v>
      </c>
      <c r="D426" s="26" t="s">
        <v>998</v>
      </c>
      <c r="E426" s="25" t="s">
        <v>999</v>
      </c>
      <c r="F426" s="24" t="str">
        <f aca="false">IF($D426="","",IF(MID($D426,5,1)="S","S(봄)",IF(MID($D426,5,1)="M","M(여름)",IF(MID($D426,5,1)="X","X(사계절)",MID($D426,5,1)))))</f>
        <v>X(사계절)</v>
      </c>
      <c r="G426" s="25" t="s">
        <v>62</v>
      </c>
      <c r="H426" s="24"/>
      <c r="I426" s="27" t="s">
        <v>623</v>
      </c>
      <c r="J426" s="28" t="n">
        <f aca="false">IF($I426="","",IFERROR(DATE(IF(VALUE(LEFT($I426,FIND("월",$I426)-1))&gt;=9,기준정보!$C$7-1,기준정보!$C$7),VALUE(LEFT($I426,FIND("월",$I426)-1)),1+7*(VALUE(SUBSTITUTE(MID($I426,FIND("월",$I426)+1,5),"주",""))-1)),""))</f>
        <v>46468</v>
      </c>
      <c r="K426" s="28" t="n">
        <f aca="false">IF($J426="","",$J426-기준정보!$C$5)</f>
        <v>46454</v>
      </c>
      <c r="L426" s="28" t="n">
        <f aca="false">IF($K426="","",$K426-기준정보!$C$6)</f>
        <v>46364</v>
      </c>
      <c r="M426" s="29" t="n">
        <f aca="false">IF($L426="","",$L426-기준정보!$C$4)</f>
        <v>122</v>
      </c>
      <c r="N426" s="27" t="s">
        <v>119</v>
      </c>
      <c r="O426" s="30"/>
      <c r="P426" s="26" t="str">
        <f aca="false">IF($G426="","",IF(AND(ISNUMBER(SEARCH("CMT",$G426)),OR(ISNUMBER(SEARCH("완사입",$G426)),ISNUMBER(SEARCH("ODM",$G426)))),"본사/생산처 혼재",IF(ISNUMBER(SEARCH("CMT",$G426)),"본사(소재팀)","생산처")))</f>
        <v>생산처</v>
      </c>
      <c r="Q426" s="25" t="s">
        <v>877</v>
      </c>
      <c r="R426" s="25" t="s">
        <v>105</v>
      </c>
      <c r="S426" s="31" t="n">
        <v>900</v>
      </c>
      <c r="T426" s="26"/>
      <c r="U426" s="26" t="str">
        <f aca="false">IF($J426="","출고일 미정",IF($N426="X","작지 미발행",IF($N426="부분","작지 일부 미발행",IF(AND($O426&lt;&gt;"",$O426&gt;$L426),"소재입고 마감("&amp;TEXT($L426,"MM/DD")&amp;") 초과",IF($N426="","발행여부 확인 필요",IF($O426="","소재 입고일정 확인 필요","정상"))))))</f>
        <v>작지 미발행</v>
      </c>
      <c r="V426" s="24" t="str">
        <f aca="false">IF($J426="","",IF(OR(LEFT($U426,2)="작지",LEFT($U426,4)="소재입고"),IF(LEFT($F426,1)="S","★ 납기위험(S코드)","◆ 지연주의"),IF($U426="정상","✓ 정상","? 확인필요")))</f>
        <v>◆ 지연주의</v>
      </c>
      <c r="W426" s="27"/>
      <c r="X426" s="32"/>
    </row>
    <row r="427" customFormat="false" ht="15" hidden="false" customHeight="false" outlineLevel="0" collapsed="false">
      <c r="A427" s="24" t="n">
        <v>423</v>
      </c>
      <c r="B427" s="25" t="s">
        <v>541</v>
      </c>
      <c r="C427" s="25" t="s">
        <v>386</v>
      </c>
      <c r="D427" s="26" t="s">
        <v>1000</v>
      </c>
      <c r="E427" s="25" t="s">
        <v>1001</v>
      </c>
      <c r="F427" s="24" t="str">
        <f aca="false">IF($D427="","",IF(MID($D427,5,1)="S","S(봄)",IF(MID($D427,5,1)="M","M(여름)",IF(MID($D427,5,1)="X","X(사계절)",MID($D427,5,1)))))</f>
        <v>X(사계절)</v>
      </c>
      <c r="G427" s="25" t="s">
        <v>62</v>
      </c>
      <c r="H427" s="24"/>
      <c r="I427" s="27" t="s">
        <v>623</v>
      </c>
      <c r="J427" s="28" t="n">
        <f aca="false">IF($I427="","",IFERROR(DATE(IF(VALUE(LEFT($I427,FIND("월",$I427)-1))&gt;=9,기준정보!$C$7-1,기준정보!$C$7),VALUE(LEFT($I427,FIND("월",$I427)-1)),1+7*(VALUE(SUBSTITUTE(MID($I427,FIND("월",$I427)+1,5),"주",""))-1)),""))</f>
        <v>46468</v>
      </c>
      <c r="K427" s="28" t="n">
        <f aca="false">IF($J427="","",$J427-기준정보!$C$5)</f>
        <v>46454</v>
      </c>
      <c r="L427" s="28" t="n">
        <f aca="false">IF($K427="","",$K427-기준정보!$C$6)</f>
        <v>46364</v>
      </c>
      <c r="M427" s="29" t="n">
        <f aca="false">IF($L427="","",$L427-기준정보!$C$4)</f>
        <v>122</v>
      </c>
      <c r="N427" s="27" t="s">
        <v>119</v>
      </c>
      <c r="O427" s="30"/>
      <c r="P427" s="26" t="str">
        <f aca="false">IF($G427="","",IF(AND(ISNUMBER(SEARCH("CMT",$G427)),OR(ISNUMBER(SEARCH("완사입",$G427)),ISNUMBER(SEARCH("ODM",$G427)))),"본사/생산처 혼재",IF(ISNUMBER(SEARCH("CMT",$G427)),"본사(소재팀)","생산처")))</f>
        <v>생산처</v>
      </c>
      <c r="Q427" s="25" t="s">
        <v>877</v>
      </c>
      <c r="R427" s="25" t="s">
        <v>105</v>
      </c>
      <c r="S427" s="31" t="n">
        <v>800</v>
      </c>
      <c r="T427" s="26"/>
      <c r="U427" s="26" t="str">
        <f aca="false">IF($J427="","출고일 미정",IF($N427="X","작지 미발행",IF($N427="부분","작지 일부 미발행",IF(AND($O427&lt;&gt;"",$O427&gt;$L427),"소재입고 마감("&amp;TEXT($L427,"MM/DD")&amp;") 초과",IF($N427="","발행여부 확인 필요",IF($O427="","소재 입고일정 확인 필요","정상"))))))</f>
        <v>작지 미발행</v>
      </c>
      <c r="V427" s="24" t="str">
        <f aca="false">IF($J427="","",IF(OR(LEFT($U427,2)="작지",LEFT($U427,4)="소재입고"),IF(LEFT($F427,1)="S","★ 납기위험(S코드)","◆ 지연주의"),IF($U427="정상","✓ 정상","? 확인필요")))</f>
        <v>◆ 지연주의</v>
      </c>
      <c r="W427" s="27"/>
      <c r="X427" s="32"/>
    </row>
    <row r="428" customFormat="false" ht="15" hidden="false" customHeight="false" outlineLevel="0" collapsed="false">
      <c r="A428" s="24" t="n">
        <v>424</v>
      </c>
      <c r="B428" s="25" t="s">
        <v>541</v>
      </c>
      <c r="C428" s="25" t="s">
        <v>542</v>
      </c>
      <c r="D428" s="26" t="s">
        <v>1002</v>
      </c>
      <c r="E428" s="25" t="s">
        <v>1003</v>
      </c>
      <c r="F428" s="24" t="str">
        <f aca="false">IF($D428="","",IF(MID($D428,5,1)="S","S(봄)",IF(MID($D428,5,1)="M","M(여름)",IF(MID($D428,5,1)="X","X(사계절)",MID($D428,5,1)))))</f>
        <v>X(사계절)</v>
      </c>
      <c r="G428" s="25" t="s">
        <v>62</v>
      </c>
      <c r="H428" s="24" t="s">
        <v>326</v>
      </c>
      <c r="I428" s="27" t="s">
        <v>623</v>
      </c>
      <c r="J428" s="28" t="n">
        <f aca="false">IF($I428="","",IFERROR(DATE(IF(VALUE(LEFT($I428,FIND("월",$I428)-1))&gt;=9,기준정보!$C$7-1,기준정보!$C$7),VALUE(LEFT($I428,FIND("월",$I428)-1)),1+7*(VALUE(SUBSTITUTE(MID($I428,FIND("월",$I428)+1,5),"주",""))-1)),""))</f>
        <v>46468</v>
      </c>
      <c r="K428" s="28" t="n">
        <f aca="false">IF($J428="","",$J428-기준정보!$C$5)</f>
        <v>46454</v>
      </c>
      <c r="L428" s="28" t="n">
        <f aca="false">IF($K428="","",$K428-기준정보!$C$6)</f>
        <v>46364</v>
      </c>
      <c r="M428" s="29" t="n">
        <f aca="false">IF($L428="","",$L428-기준정보!$C$4)</f>
        <v>122</v>
      </c>
      <c r="N428" s="27" t="s">
        <v>119</v>
      </c>
      <c r="O428" s="30"/>
      <c r="P428" s="26" t="str">
        <f aca="false">IF($G428="","",IF(AND(ISNUMBER(SEARCH("CMT",$G428)),OR(ISNUMBER(SEARCH("완사입",$G428)),ISNUMBER(SEARCH("ODM",$G428)))),"본사/생산처 혼재",IF(ISNUMBER(SEARCH("CMT",$G428)),"본사(소재팀)","생산처")))</f>
        <v>생산처</v>
      </c>
      <c r="Q428" s="26" t="s">
        <v>690</v>
      </c>
      <c r="R428" s="25" t="s">
        <v>67</v>
      </c>
      <c r="S428" s="31" t="n">
        <v>2600</v>
      </c>
      <c r="T428" s="26"/>
      <c r="U428" s="26" t="str">
        <f aca="false">IF($J428="","출고일 미정",IF($N428="X","작지 미발행",IF($N428="부분","작지 일부 미발행",IF(AND($O428&lt;&gt;"",$O428&gt;$L428),"소재입고 마감("&amp;TEXT($L428,"MM/DD")&amp;") 초과",IF($N428="","발행여부 확인 필요",IF($O428="","소재 입고일정 확인 필요","정상"))))))</f>
        <v>작지 미발행</v>
      </c>
      <c r="V428" s="24" t="str">
        <f aca="false">IF($J428="","",IF(OR(LEFT($U428,2)="작지",LEFT($U428,4)="소재입고"),IF(LEFT($F428,1)="S","★ 납기위험(S코드)","◆ 지연주의"),IF($U428="정상","✓ 정상","? 확인필요")))</f>
        <v>◆ 지연주의</v>
      </c>
      <c r="W428" s="27"/>
      <c r="X428" s="32"/>
    </row>
  </sheetData>
  <autoFilter ref="A4:X428"/>
  <conditionalFormatting sqref="V5:V428">
    <cfRule type="containsText" priority="2" operator="containsText" aboveAverage="0" equalAverage="0" bottom="0" percent="0" rank="0" text="★" dxfId="10">
      <formula>NOT(ISERROR(SEARCH("★",V5)))</formula>
    </cfRule>
    <cfRule type="containsText" priority="3" operator="containsText" aboveAverage="0" equalAverage="0" bottom="0" percent="0" rank="0" text="◆" dxfId="11">
      <formula>NOT(ISERROR(SEARCH("◆",V5)))</formula>
    </cfRule>
    <cfRule type="containsText" priority="4" operator="containsText" aboveAverage="0" equalAverage="0" bottom="0" percent="0" rank="0" text="✓" dxfId="12">
      <formula>NOT(ISERROR(SEARCH("✓",V5)))</formula>
    </cfRule>
    <cfRule type="containsText" priority="5" operator="containsText" aboveAverage="0" equalAverage="0" bottom="0" percent="0" rank="0" text="?" dxfId="13">
      <formula>NOT(ISERROR(SEARCH("?",V5)))</formula>
    </cfRule>
  </conditionalFormatting>
  <dataValidations count="2">
    <dataValidation allowBlank="true" errorStyle="stop" operator="between" showDropDown="false" showErrorMessage="false" showInputMessage="false" sqref="N5:N428" type="list">
      <formula1>"O,부분,X"</formula1>
      <formula2>0</formula2>
    </dataValidation>
    <dataValidation allowBlank="true" errorStyle="stop" operator="between" showDropDown="false" showErrorMessage="false" showInputMessage="false" sqref="W5:W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2"/>
  </cols>
  <sheetData>
    <row r="2" customFormat="false" ht="19.4" hidden="false" customHeight="false" outlineLevel="0" collapsed="false">
      <c r="B2" s="17" t="s">
        <v>1004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"&amp;(기준정보!$C$5+기준정보!$C$6)&amp;"일"&amp;"  ·  S "&amp;COUNTIF('소재역산 트래커'!$F$5:$F$428,"S(봄)")&amp;" / M "&amp;COUNTIF('소재역산 트래커'!$F$5:$F$428,"M(여름)")&amp;" / X "&amp;COUNTIF('소재역산 트래커'!$F$5:$F$428,"X(사계절)")</f>
        <v>기준일: 2026-08-08  ·  소재마감 = 출고일 − 104일  ·  S 108 / M 244 / X 72</v>
      </c>
    </row>
    <row r="5" customFormat="false" ht="15" hidden="false" customHeight="false" outlineLevel="0" collapsed="false">
      <c r="B5" s="18" t="s">
        <v>1005</v>
      </c>
      <c r="D5" s="6" t="s">
        <v>1006</v>
      </c>
      <c r="F5" s="18" t="s">
        <v>1007</v>
      </c>
      <c r="H5" s="18" t="s">
        <v>1008</v>
      </c>
      <c r="J5" s="6" t="s">
        <v>1009</v>
      </c>
    </row>
    <row r="6" customFormat="false" ht="26.8" hidden="false" customHeight="false" outlineLevel="0" collapsed="false">
      <c r="B6" s="34" t="n">
        <f aca="false">COUNTA('소재역산 트래커'!$D$5:$D$428)</f>
        <v>424</v>
      </c>
      <c r="D6" s="34" t="n">
        <f aca="false">COUNTIF('소재역산 트래커'!$F$5:$F$428,"S(봄)")</f>
        <v>108</v>
      </c>
      <c r="F6" s="35" t="n">
        <f aca="false">COUNTIF('소재역산 트래커'!$V$5:$V$428,"★*")</f>
        <v>17</v>
      </c>
      <c r="H6" s="36" t="n">
        <f aca="false">COUNTIF('소재역산 트래커'!$V$5:$V$428,"◆*")</f>
        <v>118</v>
      </c>
      <c r="J6" s="37" t="n">
        <f aca="false">COUNTIF('소재역산 트래커'!$V$5:$V$428,"~?*")</f>
        <v>289</v>
      </c>
    </row>
    <row r="9" customFormat="false" ht="16.4" hidden="false" customHeight="false" outlineLevel="0" collapsed="false">
      <c r="B9" s="38" t="s">
        <v>1010</v>
      </c>
    </row>
    <row r="10" customFormat="false" ht="15" hidden="false" customHeight="false" outlineLevel="0" collapsed="false">
      <c r="B10" s="39" t="s">
        <v>35</v>
      </c>
      <c r="C10" s="40" t="s">
        <v>1011</v>
      </c>
      <c r="D10" s="39" t="s">
        <v>1012</v>
      </c>
      <c r="E10" s="40" t="s">
        <v>1013</v>
      </c>
      <c r="F10" s="40" t="s">
        <v>1014</v>
      </c>
      <c r="G10" s="40" t="s">
        <v>1015</v>
      </c>
    </row>
    <row r="11" customFormat="false" ht="15" hidden="false" customHeight="false" outlineLevel="0" collapsed="false">
      <c r="B11" s="25" t="s">
        <v>99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트래커'!$F$5:$F$428,"S(봄)")</f>
        <v>9</v>
      </c>
      <c r="E11" s="24" t="n">
        <f aca="false">COUNTIFS('소재역산 트래커'!$B$5:$B$428,$B11,'소재역산 트래커'!$N$5:$N$428,"X")+COUNTIFS('소재역산 트래커'!$B$5:$B$428,$B11,'소재역산 트래커'!$N$5:$N$428,"부분")</f>
        <v>0</v>
      </c>
      <c r="F11" s="24" t="n">
        <f aca="false">COUNTIFS('소재역산 트래커'!$B$5:$B$428,$B11,'소재역산 트래커'!$V$5:$V$428,"★*")</f>
        <v>0</v>
      </c>
      <c r="G11" s="24" t="n">
        <f aca="false">COUNTIFS('소재역산 트래커'!$B$5:$B$428,$B11,'소재역산 트래커'!$W$5:$W$428,"조율완료")</f>
        <v>0</v>
      </c>
    </row>
    <row r="12" customFormat="false" ht="15" hidden="false" customHeight="false" outlineLevel="0" collapsed="false">
      <c r="B12" s="25" t="s">
        <v>211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트래커'!$F$5:$F$428,"S(봄)")</f>
        <v>11</v>
      </c>
      <c r="E12" s="24" t="n">
        <f aca="false">COUNTIFS('소재역산 트래커'!$B$5:$B$428,$B12,'소재역산 트래커'!$N$5:$N$428,"X")+COUNTIFS('소재역산 트래커'!$B$5:$B$428,$B12,'소재역산 트래커'!$N$5:$N$428,"부분")</f>
        <v>1</v>
      </c>
      <c r="F12" s="24" t="n">
        <f aca="false">COUNTIFS('소재역산 트래커'!$B$5:$B$428,$B12,'소재역산 트래커'!$V$5:$V$428,"★*")</f>
        <v>0</v>
      </c>
      <c r="G12" s="24" t="n">
        <f aca="false">COUNTIFS('소재역산 트래커'!$B$5:$B$428,$B12,'소재역산 트래커'!$W$5:$W$428,"조율완료")</f>
        <v>0</v>
      </c>
    </row>
    <row r="13" customFormat="false" ht="15" hidden="false" customHeight="false" outlineLevel="0" collapsed="false">
      <c r="B13" s="25" t="s">
        <v>178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트래커'!$F$5:$F$428,"S(봄)")</f>
        <v>4</v>
      </c>
      <c r="E13" s="24" t="n">
        <f aca="false">COUNTIFS('소재역산 트래커'!$B$5:$B$428,$B13,'소재역산 트래커'!$N$5:$N$428,"X")+COUNTIFS('소재역산 트래커'!$B$5:$B$428,$B13,'소재역산 트래커'!$N$5:$N$428,"부분")</f>
        <v>22</v>
      </c>
      <c r="F13" s="24" t="n">
        <f aca="false">COUNTIFS('소재역산 트래커'!$B$5:$B$428,$B13,'소재역산 트래커'!$V$5:$V$428,"★*")</f>
        <v>0</v>
      </c>
      <c r="G13" s="24" t="n">
        <f aca="false">COUNTIFS('소재역산 트래커'!$B$5:$B$428,$B13,'소재역산 트래커'!$W$5:$W$428,"조율완료")</f>
        <v>0</v>
      </c>
    </row>
    <row r="14" customFormat="false" ht="15" hidden="false" customHeight="false" outlineLevel="0" collapsed="false">
      <c r="B14" s="25" t="s">
        <v>159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트래커'!$F$5:$F$428,"S(봄)")</f>
        <v>4</v>
      </c>
      <c r="E14" s="24" t="n">
        <f aca="false">COUNTIFS('소재역산 트래커'!$B$5:$B$428,$B14,'소재역산 트래커'!$N$5:$N$428,"X")+COUNTIFS('소재역산 트래커'!$B$5:$B$428,$B14,'소재역산 트래커'!$N$5:$N$428,"부분")</f>
        <v>0</v>
      </c>
      <c r="F14" s="24" t="n">
        <f aca="false">COUNTIFS('소재역산 트래커'!$B$5:$B$428,$B14,'소재역산 트래커'!$V$5:$V$428,"★*")</f>
        <v>0</v>
      </c>
      <c r="G14" s="24" t="n">
        <f aca="false">COUNTIFS('소재역산 트래커'!$B$5:$B$428,$B14,'소재역산 트래커'!$W$5:$W$428,"조율완료")</f>
        <v>0</v>
      </c>
    </row>
    <row r="15" customFormat="false" ht="15" hidden="false" customHeight="false" outlineLevel="0" collapsed="false">
      <c r="B15" s="25" t="s">
        <v>163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트래커'!$F$5:$F$428,"S(봄)")</f>
        <v>9</v>
      </c>
      <c r="E15" s="24" t="n">
        <f aca="false">COUNTIFS('소재역산 트래커'!$B$5:$B$428,$B15,'소재역산 트래커'!$N$5:$N$428,"X")+COUNTIFS('소재역산 트래커'!$B$5:$B$428,$B15,'소재역산 트래커'!$N$5:$N$428,"부분")</f>
        <v>5</v>
      </c>
      <c r="F15" s="24" t="n">
        <f aca="false">COUNTIFS('소재역산 트래커'!$B$5:$B$428,$B15,'소재역산 트래커'!$V$5:$V$428,"★*")</f>
        <v>0</v>
      </c>
      <c r="G15" s="24" t="n">
        <f aca="false">COUNTIFS('소재역산 트래커'!$B$5:$B$428,$B15,'소재역산 트래커'!$W$5:$W$428,"조율완료")</f>
        <v>0</v>
      </c>
    </row>
    <row r="16" customFormat="false" ht="15" hidden="false" customHeight="false" outlineLevel="0" collapsed="false">
      <c r="B16" s="25" t="s">
        <v>113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트래커'!$F$5:$F$428,"S(봄)")</f>
        <v>17</v>
      </c>
      <c r="E16" s="24" t="n">
        <f aca="false">COUNTIFS('소재역산 트래커'!$B$5:$B$428,$B16,'소재역산 트래커'!$N$5:$N$428,"X")+COUNTIFS('소재역산 트래커'!$B$5:$B$428,$B16,'소재역산 트래커'!$N$5:$N$428,"부분")</f>
        <v>53</v>
      </c>
      <c r="F16" s="24" t="n">
        <f aca="false">COUNTIFS('소재역산 트래커'!$B$5:$B$428,$B16,'소재역산 트래커'!$V$5:$V$428,"★*")</f>
        <v>17</v>
      </c>
      <c r="G16" s="24" t="n">
        <f aca="false">COUNTIFS('소재역산 트래커'!$B$5:$B$428,$B16,'소재역산 트래커'!$W$5:$W$428,"조율완료")</f>
        <v>0</v>
      </c>
    </row>
    <row r="17" customFormat="false" ht="15" hidden="false" customHeight="false" outlineLevel="0" collapsed="false">
      <c r="B17" s="25" t="s">
        <v>175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트래커'!$F$5:$F$428,"S(봄)")</f>
        <v>19</v>
      </c>
      <c r="E17" s="24" t="n">
        <f aca="false">COUNTIFS('소재역산 트래커'!$B$5:$B$428,$B17,'소재역산 트래커'!$N$5:$N$428,"X")+COUNTIFS('소재역산 트래커'!$B$5:$B$428,$B17,'소재역산 트래커'!$N$5:$N$428,"부분")</f>
        <v>0</v>
      </c>
      <c r="F17" s="24" t="n">
        <f aca="false">COUNTIFS('소재역산 트래커'!$B$5:$B$428,$B17,'소재역산 트래커'!$V$5:$V$428,"★*")</f>
        <v>0</v>
      </c>
      <c r="G17" s="24" t="n">
        <f aca="false">COUNTIFS('소재역산 트래커'!$B$5:$B$428,$B17,'소재역산 트래커'!$W$5:$W$428,"조율완료")</f>
        <v>0</v>
      </c>
    </row>
    <row r="18" customFormat="false" ht="15" hidden="false" customHeight="false" outlineLevel="0" collapsed="false">
      <c r="B18" s="25" t="s">
        <v>200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트래커'!$F$5:$F$428,"S(봄)")</f>
        <v>15</v>
      </c>
      <c r="E18" s="24" t="n">
        <f aca="false">COUNTIFS('소재역산 트래커'!$B$5:$B$428,$B18,'소재역산 트래커'!$N$5:$N$428,"X")+COUNTIFS('소재역산 트래커'!$B$5:$B$428,$B18,'소재역산 트래커'!$N$5:$N$428,"부분")</f>
        <v>0</v>
      </c>
      <c r="F18" s="24" t="n">
        <f aca="false">COUNTIFS('소재역산 트래커'!$B$5:$B$428,$B18,'소재역산 트래커'!$V$5:$V$428,"★*")</f>
        <v>0</v>
      </c>
      <c r="G18" s="24" t="n">
        <f aca="false">COUNTIFS('소재역산 트래커'!$B$5:$B$428,$B18,'소재역산 트래커'!$W$5:$W$428,"조율완료")</f>
        <v>0</v>
      </c>
    </row>
    <row r="19" customFormat="false" ht="15" hidden="false" customHeight="false" outlineLevel="0" collapsed="false">
      <c r="B19" s="25" t="s">
        <v>541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트래커'!$F$5:$F$428,"S(봄)")</f>
        <v>0</v>
      </c>
      <c r="E19" s="24" t="n">
        <f aca="false">COUNTIFS('소재역산 트래커'!$B$5:$B$428,$B19,'소재역산 트래커'!$N$5:$N$428,"X")+COUNTIFS('소재역산 트래커'!$B$5:$B$428,$B19,'소재역산 트래커'!$N$5:$N$428,"부분")</f>
        <v>54</v>
      </c>
      <c r="F19" s="24" t="n">
        <f aca="false">COUNTIFS('소재역산 트래커'!$B$5:$B$428,$B19,'소재역산 트래커'!$V$5:$V$428,"★*")</f>
        <v>0</v>
      </c>
      <c r="G19" s="24" t="n">
        <f aca="false">COUNTIFS('소재역산 트래커'!$B$5:$B$428,$B19,'소재역산 트래커'!$W$5:$W$428,"조율완료")</f>
        <v>0</v>
      </c>
    </row>
    <row r="20" customFormat="false" ht="15" hidden="false" customHeight="false" outlineLevel="0" collapsed="false">
      <c r="B20" s="25" t="s">
        <v>58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트래커'!$F$5:$F$428,"S(봄)")</f>
        <v>20</v>
      </c>
      <c r="E20" s="24" t="n">
        <f aca="false">COUNTIFS('소재역산 트래커'!$B$5:$B$428,$B20,'소재역산 트래커'!$N$5:$N$428,"X")+COUNTIFS('소재역산 트래커'!$B$5:$B$428,$B20,'소재역산 트래커'!$N$5:$N$428,"부분")</f>
        <v>0</v>
      </c>
      <c r="F20" s="24" t="n">
        <f aca="false">COUNTIFS('소재역산 트래커'!$B$5:$B$428,$B20,'소재역산 트래커'!$V$5:$V$428,"★*")</f>
        <v>0</v>
      </c>
      <c r="G20" s="24" t="n">
        <f aca="false">COUNTIFS('소재역산 트래커'!$B$5:$B$428,$B20,'소재역산 트래커'!$W$5:$W$428,"조율완료")</f>
        <v>0</v>
      </c>
    </row>
    <row r="21" customFormat="false" ht="15" hidden="false" customHeight="false" outlineLevel="0" collapsed="false">
      <c r="B21" s="41" t="s">
        <v>1016</v>
      </c>
      <c r="C21" s="42" t="n">
        <f aca="false">SUM(C11:C20)</f>
        <v>424</v>
      </c>
      <c r="D21" s="42" t="n">
        <f aca="false">SUM(D11:D20)</f>
        <v>108</v>
      </c>
      <c r="E21" s="42" t="n">
        <f aca="false">SUM(E11:E20)</f>
        <v>135</v>
      </c>
      <c r="F21" s="42" t="n">
        <f aca="false">SUM(F11:F20)</f>
        <v>17</v>
      </c>
      <c r="G21" s="42" t="n">
        <f aca="false">SUM(G11:G20)</f>
        <v>0</v>
      </c>
    </row>
    <row r="24" customFormat="false" ht="16.4" hidden="false" customHeight="false" outlineLevel="0" collapsed="false">
      <c r="B24" s="13" t="s">
        <v>1017</v>
      </c>
    </row>
    <row r="25" customFormat="false" ht="15" hidden="false" customHeight="true" outlineLevel="0" collapsed="false">
      <c r="B25" s="43" t="s">
        <v>1018</v>
      </c>
      <c r="C25" s="43"/>
      <c r="D25" s="43"/>
      <c r="E25" s="43"/>
      <c r="F25" s="43"/>
      <c r="G25" s="43"/>
    </row>
    <row r="26" customFormat="false" ht="15" hidden="false" customHeight="false" outlineLevel="0" collapsed="false">
      <c r="B26" s="43"/>
      <c r="C26" s="43"/>
      <c r="D26" s="43"/>
      <c r="E26" s="43"/>
      <c r="F26" s="43"/>
      <c r="G26" s="43"/>
    </row>
    <row r="27" customFormat="false" ht="15" hidden="false" customHeight="false" outlineLevel="0" collapsed="false">
      <c r="B27" s="43"/>
      <c r="C27" s="43"/>
      <c r="D27" s="43"/>
      <c r="E27" s="43"/>
      <c r="F27" s="43"/>
      <c r="G27" s="43"/>
    </row>
    <row r="28" customFormat="false" ht="15" hidden="false" customHeight="false" outlineLevel="0" collapsed="false">
      <c r="B28" s="43"/>
      <c r="C28" s="43"/>
      <c r="D28" s="43"/>
      <c r="E28" s="43"/>
      <c r="F28" s="43"/>
      <c r="G28" s="43"/>
    </row>
    <row r="29" customFormat="false" ht="15" hidden="false" customHeight="false" outlineLevel="0" collapsed="false">
      <c r="B29" s="43"/>
      <c r="C29" s="43"/>
      <c r="D29" s="43"/>
      <c r="E29" s="43"/>
      <c r="F29" s="43"/>
      <c r="G29" s="43"/>
    </row>
    <row r="30" customFormat="false" ht="15" hidden="false" customHeight="false" outlineLevel="0" collapsed="false">
      <c r="B30" s="43"/>
      <c r="C30" s="43"/>
      <c r="D30" s="43"/>
      <c r="E30" s="43"/>
      <c r="F30" s="43"/>
      <c r="G30" s="43"/>
    </row>
  </sheetData>
  <mergeCells count="1">
    <mergeCell ref="B25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2026-08-08T01:17:21Z</dcterms:created>
  <dc:creator>openpyxl</dc:creator>
  <dc:description/>
  <dc:language>en-US</dc:language>
  <cp:lastModifiedBy/>
  <dcterms:modified xsi:type="dcterms:W3CDTF">2026-08-08T01:17:22Z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