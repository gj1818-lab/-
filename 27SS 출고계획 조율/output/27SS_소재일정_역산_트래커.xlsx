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소재역산 트래커" sheetId="3" state="visible" r:id="rId5"/>
    <sheet name="금액 요약" sheetId="4" state="visible" r:id="rId6"/>
    <sheet name="리스크 요약" sheetId="5" state="visible" r:id="rId7"/>
  </sheets>
  <definedNames>
    <definedName function="false" hidden="true" localSheetId="2" name="_xlnm._FilterDatabase" vbProcedure="false">'소재역산 트래커'!$A$4:$AI$428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<sst xmlns="http://schemas.openxmlformats.org/spreadsheetml/2006/main" count="6028" uniqueCount="1530">
  <si>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소재일정 역산 트래커 — 출고일 기준</t>
    </r>
    <r>
      <rPr>
        <b val="true"/>
        <sz val="16"/>
        <color rgb="FFFFFFFF"/>
        <rFont val="맑은 고딕"/>
        <family val="0"/>
        <charset val="1"/>
      </rPr>
      <t xml:space="preserve">, </t>
    </r>
    <r>
      <rPr>
        <b val="true"/>
        <sz val="16"/>
        <color rgb="FFFFFFFF"/>
        <rFont val="WenQuanYi Zen Hei"/>
        <family val="2"/>
      </rPr>
      <t xml:space="preserve">설</t>
    </r>
    <r>
      <rPr>
        <b val="true"/>
        <sz val="16"/>
        <color rgb="FFFFFFFF"/>
        <rFont val="맑은 고딕"/>
        <family val="0"/>
        <charset val="1"/>
      </rPr>
      <t xml:space="preserve">·</t>
    </r>
    <r>
      <rPr>
        <b val="true"/>
        <sz val="16"/>
        <color rgb="FFFFFFFF"/>
        <rFont val="WenQuanYi Zen Hei"/>
        <family val="2"/>
      </rPr>
      <t xml:space="preserve">춘절 보정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비수기 선정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금액 요약 </t>
    </r>
    <r>
      <rPr>
        <b val="true"/>
        <sz val="16"/>
        <color rgb="FFFFFFFF"/>
        <rFont val="맑은 고딕"/>
        <family val="0"/>
        <charset val="1"/>
      </rPr>
      <t xml:space="preserve">(0808 </t>
    </r>
    <r>
      <rPr>
        <b val="true"/>
        <sz val="16"/>
        <color rgb="FFFFFFFF"/>
        <rFont val="WenQuanYi Zen Hei"/>
        <family val="2"/>
      </rPr>
      <t xml:space="preserve">원본</t>
    </r>
    <r>
      <rPr>
        <b val="true"/>
        <sz val="16"/>
        <color rgb="FFFFFFFF"/>
        <rFont val="맑은 고딕"/>
        <family val="0"/>
        <charset val="1"/>
      </rPr>
      <t xml:space="preserve">)</t>
    </r>
  </si>
  <si>
    <t xml:space="preserve">정렬 순서</t>
  </si>
  <si>
    <r>
      <rPr>
        <sz val="11"/>
        <color rgb="FF212121"/>
        <rFont val="맑은 고딕"/>
        <family val="0"/>
        <charset val="1"/>
      </rPr>
      <t xml:space="preserve">① 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전체 — 납기상 최우선 그룹</t>
    </r>
  </si>
  <si>
    <r>
      <rPr>
        <sz val="11"/>
        <color rgb="FF212121"/>
        <rFont val="WenQuanYi Zen Hei"/>
        <family val="2"/>
      </rPr>
      <t xml:space="preserve">② 비수기 선정 스타일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 제외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봄코드 바로 아래 배치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출고일과 무관하게 우선 조율 대상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</si>
  <si>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③ 나머지 </t>
    </r>
    <r>
      <rPr>
        <sz val="11"/>
        <color rgb="FF212121"/>
        <rFont val="맑은 고딕"/>
        <family val="0"/>
        <charset val="1"/>
      </rPr>
      <t xml:space="preserve">M(</t>
    </r>
    <r>
      <rPr>
        <sz val="11"/>
        <color rgb="FF212121"/>
        <rFont val="WenQuanYi Zen Hei"/>
        <family val="2"/>
      </rPr>
      <t xml:space="preserve">여름</t>
    </r>
    <r>
      <rPr>
        <sz val="11"/>
        <color rgb="FF212121"/>
        <rFont val="맑은 고딕"/>
        <family val="0"/>
        <charset val="1"/>
      </rPr>
      <t xml:space="preserve">) → X(</t>
    </r>
    <r>
      <rPr>
        <sz val="11"/>
        <color rgb="FF212121"/>
        <rFont val="WenQuanYi Zen Hei"/>
        <family val="2"/>
      </rPr>
      <t xml:space="preserve">사계절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각 그룹 안에서는 출고일 주차 순</t>
    </r>
  </si>
  <si>
    <t xml:space="preserve">계산 로직</t>
  </si>
  <si>
    <r>
      <rPr>
        <sz val="11"/>
        <color rgb="FF212121"/>
        <rFont val="WenQuanYi Zen Hei"/>
        <family val="2"/>
      </rPr>
      <t xml:space="preserve">① 출고예정일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출고일 주차를 날짜로 환산 </t>
    </r>
    <r>
      <rPr>
        <sz val="11"/>
        <color rgb="FF212121"/>
        <rFont val="맑은 고딕"/>
        <family val="0"/>
        <charset val="1"/>
      </rPr>
      <t xml:space="preserve">(1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=8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4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=22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/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</si>
  <si>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② 제품입고 시점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(14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). </t>
    </r>
    <r>
      <rPr>
        <sz val="11"/>
        <color rgb="FF212121"/>
        <rFont val="WenQuanYi Zen Hei"/>
        <family val="2"/>
      </rPr>
      <t xml:space="preserve">입고시점이 한국 설 연휴</t>
    </r>
    <r>
      <rPr>
        <sz val="11"/>
        <color rgb="FF212121"/>
        <rFont val="맑은 고딕"/>
        <family val="0"/>
        <charset val="1"/>
      </rPr>
      <t xml:space="preserve">(2/5~2/8)</t>
    </r>
    <r>
      <rPr>
        <sz val="11"/>
        <color rgb="FF212121"/>
        <rFont val="WenQuanYi Zen Hei"/>
        <family val="2"/>
      </rPr>
      <t xml:space="preserve">에 걸치면 연휴 전</t>
    </r>
    <r>
      <rPr>
        <sz val="11"/>
        <color rgb="FF212121"/>
        <rFont val="맑은 고딕"/>
        <family val="0"/>
        <charset val="1"/>
      </rPr>
      <t xml:space="preserve">(2/4)</t>
    </r>
    <r>
      <rPr>
        <sz val="11"/>
        <color rgb="FF212121"/>
        <rFont val="WenQuanYi Zen Hei"/>
        <family val="2"/>
      </rPr>
      <t xml:space="preserve">으로 앞당김</t>
    </r>
  </si>
  <si>
    <r>
      <rPr>
        <sz val="11"/>
        <color rgb="FF212121"/>
        <rFont val="WenQuanYi Zen Hei"/>
        <family val="2"/>
      </rPr>
      <t xml:space="preserve">③ 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제품입고 시점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− 공장휴무 보정일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중국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베트남 춘절 </t>
    </r>
    <r>
      <rPr>
        <sz val="11"/>
        <color rgb="FF212121"/>
        <rFont val="맑은 고딕"/>
        <family val="0"/>
        <charset val="1"/>
      </rPr>
      <t xml:space="preserve">2/1~2/15, </t>
    </r>
    <r>
      <rPr>
        <sz val="11"/>
        <color rgb="FF212121"/>
        <rFont val="WenQuanYi Zen Hei"/>
        <family val="2"/>
      </rPr>
      <t xml:space="preserve">한국 설 </t>
    </r>
    <r>
      <rPr>
        <sz val="11"/>
        <color rgb="FF212121"/>
        <rFont val="맑은 고딕"/>
        <family val="0"/>
        <charset val="1"/>
      </rPr>
      <t xml:space="preserve">2/5~2/8)</t>
    </r>
  </si>
  <si>
    <r>
      <rPr>
        <sz val="11"/>
        <color rgb="FF212121"/>
        <rFont val="WenQuanYi Zen Hei"/>
        <family val="2"/>
      </rPr>
      <t xml:space="preserve">④ 작지 미발행</t>
    </r>
    <r>
      <rPr>
        <sz val="11"/>
        <color rgb="FF212121"/>
        <rFont val="맑은 고딕"/>
        <family val="0"/>
        <charset val="1"/>
      </rPr>
      <t xml:space="preserve">(X/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M/X </t>
    </r>
    <r>
      <rPr>
        <sz val="11"/>
        <color rgb="FF212121"/>
        <rFont val="WenQuanYi Zen Hei"/>
        <family val="2"/>
      </rPr>
      <t xml:space="preserve">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</si>
  <si>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WenQuanYi Zen Hei"/>
        <family val="2"/>
      </rPr>
      <t xml:space="preserve">⑤ 소재입고 책임</t>
    </r>
    <r>
      <rPr>
        <sz val="11"/>
        <color rgb="FF212121"/>
        <rFont val="맑은 고딕"/>
        <family val="0"/>
        <charset val="1"/>
      </rPr>
      <t xml:space="preserve">: CMT 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완사입</t>
    </r>
    <r>
      <rPr>
        <sz val="11"/>
        <color rgb="FF212121"/>
        <rFont val="맑은 고딕"/>
        <family val="0"/>
        <charset val="1"/>
      </rPr>
      <t xml:space="preserve">·ODM = </t>
    </r>
    <r>
      <rPr>
        <sz val="11"/>
        <color rgb="FF212121"/>
        <rFont val="WenQuanYi Zen Hei"/>
        <family val="2"/>
      </rPr>
      <t xml:space="preserve">생산처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수</t>
    </r>
    <r>
      <rPr>
        <sz val="11"/>
        <color rgb="FF212121"/>
        <rFont val="맑은 고딕"/>
        <family val="0"/>
        <charset val="1"/>
      </rPr>
      <t xml:space="preserve">/C/</t>
    </r>
    <r>
      <rPr>
        <sz val="11"/>
        <color rgb="FF212121"/>
        <rFont val="WenQuanYi Zen Hei"/>
        <family val="2"/>
      </rPr>
      <t xml:space="preserve">완 컬럼 기준 자동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</si>
  <si>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⑥ 원가합 </t>
    </r>
    <r>
      <rPr>
        <sz val="11"/>
        <color rgb="FF212121"/>
        <rFont val="맑은 고딕"/>
        <family val="0"/>
        <charset val="1"/>
      </rPr>
      <t xml:space="preserve">= Σ(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×</t>
    </r>
    <r>
      <rPr>
        <sz val="11"/>
        <color rgb="FF212121"/>
        <rFont val="WenQuanYi Zen Hei"/>
        <family val="2"/>
      </rPr>
      <t xml:space="preserve">입고원가</t>
    </r>
    <r>
      <rPr>
        <sz val="11"/>
        <color rgb="FF212121"/>
        <rFont val="맑은 고딕"/>
        <family val="0"/>
        <charset val="1"/>
      </rPr>
      <t xml:space="preserve">), </t>
    </r>
    <r>
      <rPr>
        <sz val="11"/>
        <color rgb="FF212121"/>
        <rFont val="WenQuanYi Zen Hei"/>
        <family val="2"/>
      </rPr>
      <t xml:space="preserve">소매가합 </t>
    </r>
    <r>
      <rPr>
        <sz val="11"/>
        <color rgb="FF212121"/>
        <rFont val="맑은 고딕"/>
        <family val="0"/>
        <charset val="1"/>
      </rPr>
      <t xml:space="preserve">= Σ(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×</t>
    </r>
    <r>
      <rPr>
        <sz val="11"/>
        <color rgb="FF212121"/>
        <rFont val="WenQuanYi Zen Hei"/>
        <family val="2"/>
      </rPr>
      <t xml:space="preserve">예상소매가</t>
    </r>
    <r>
      <rPr>
        <sz val="11"/>
        <color rgb="FF212121"/>
        <rFont val="맑은 고딕"/>
        <family val="0"/>
        <charset val="1"/>
      </rPr>
      <t xml:space="preserve">) — 0808 </t>
    </r>
    <r>
      <rPr>
        <sz val="11"/>
        <color rgb="FF212121"/>
        <rFont val="WenQuanYi Zen Hei"/>
        <family val="2"/>
      </rPr>
      <t xml:space="preserve">원본 총원가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총공급가 컬럼 기준</t>
    </r>
  </si>
  <si>
    <t xml:space="preserve">금액 요약 시트</t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</si>
  <si>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구분</t>
    </r>
    <r>
      <rPr>
        <sz val="11"/>
        <color rgb="FF212121"/>
        <rFont val="맑은 고딕"/>
        <family val="0"/>
        <charset val="1"/>
      </rPr>
      <t xml:space="preserve">: </t>
    </r>
    <r>
      <rPr>
        <sz val="11"/>
        <color rgb="FF212121"/>
        <rFont val="WenQuanYi Zen Hei"/>
        <family val="2"/>
      </rPr>
      <t xml:space="preserve">의류</t>
    </r>
    <r>
      <rPr>
        <sz val="11"/>
        <color rgb="FF212121"/>
        <rFont val="맑은 고딕"/>
        <family val="0"/>
        <charset val="1"/>
      </rPr>
      <t xml:space="preserve">(J/T </t>
    </r>
    <r>
      <rPr>
        <sz val="11"/>
        <color rgb="FF212121"/>
        <rFont val="WenQuanYi Zen Hei"/>
        <family val="2"/>
      </rPr>
      <t xml:space="preserve">등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용품</t>
    </r>
    <r>
      <rPr>
        <sz val="11"/>
        <color rgb="FF212121"/>
        <rFont val="맑은 고딕"/>
        <family val="0"/>
        <charset val="1"/>
      </rPr>
      <t xml:space="preserve">(Q</t>
    </r>
    <r>
      <rPr>
        <sz val="11"/>
        <color rgb="FF212121"/>
        <rFont val="WenQuanYi Zen Hei"/>
        <family val="2"/>
      </rPr>
      <t xml:space="preserve">로 시작</t>
    </r>
    <r>
      <rPr>
        <sz val="11"/>
        <color rgb="FF212121"/>
        <rFont val="맑은 고딕"/>
        <family val="0"/>
        <charset val="1"/>
      </rPr>
      <t xml:space="preserve">) / WM·</t>
    </r>
    <r>
      <rPr>
        <sz val="11"/>
        <color rgb="FF212121"/>
        <rFont val="WenQuanYi Zen Hei"/>
        <family val="2"/>
      </rPr>
      <t xml:space="preserve">피싱</t>
    </r>
    <r>
      <rPr>
        <sz val="11"/>
        <color rgb="FF212121"/>
        <rFont val="맑은 고딕"/>
        <family val="0"/>
        <charset val="1"/>
      </rPr>
      <t xml:space="preserve">(8</t>
    </r>
    <r>
      <rPr>
        <sz val="11"/>
        <color rgb="FF212121"/>
        <rFont val="WenQuanYi Zen Hei"/>
        <family val="2"/>
      </rPr>
      <t xml:space="preserve">로 시작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품번 첫 글자 기준 자동 분류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</si>
  <si>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구분별 스타일 수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원가합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소매가합 집계 </t>
    </r>
    <r>
      <rPr>
        <sz val="11"/>
        <color rgb="FF212121"/>
        <rFont val="맑은 고딕"/>
        <family val="0"/>
        <charset val="1"/>
      </rPr>
      <t xml:space="preserve">+ </t>
    </r>
    <r>
      <rPr>
        <sz val="11"/>
        <color rgb="FF212121"/>
        <rFont val="WenQuanYi Zen Hei"/>
        <family val="2"/>
      </rPr>
      <t xml:space="preserve">의류 내 비수기 선정 금액 비중 표시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</si>
  <si>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트래커에서 수량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금액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(O) </t>
    </r>
    <r>
      <rPr>
        <sz val="11"/>
        <color rgb="FF212121"/>
        <rFont val="WenQuanYi Zen Hei"/>
        <family val="2"/>
      </rPr>
      <t xml:space="preserve">값을 수정하면 요약도 자동 갱신 </t>
    </r>
    <r>
      <rPr>
        <sz val="11"/>
        <color rgb="FF212121"/>
        <rFont val="맑은 고딕"/>
        <family val="0"/>
        <charset val="1"/>
      </rPr>
      <t xml:space="preserve">(SUMPRODUCT </t>
    </r>
    <r>
      <rPr>
        <sz val="11"/>
        <color rgb="FF212121"/>
        <rFont val="WenQuanYi Zen Hei"/>
        <family val="2"/>
      </rPr>
      <t xml:space="preserve">수식</t>
    </r>
    <r>
      <rPr>
        <sz val="11"/>
        <color rgb="FF212121"/>
        <rFont val="맑은 고딕"/>
        <family val="0"/>
        <charset val="1"/>
      </rPr>
      <t xml:space="preserve">)</t>
    </r>
  </si>
  <si>
    <t xml:space="preserve">비수기 선정</t>
  </si>
  <si>
    <r>
      <rPr>
        <sz val="11"/>
        <color rgb="FF212121"/>
        <rFont val="맑은 고딕"/>
        <family val="0"/>
        <charset val="1"/>
      </rPr>
      <t xml:space="preserve">· 'KS_</t>
    </r>
    <r>
      <rPr>
        <sz val="11"/>
        <color rgb="FF212121"/>
        <rFont val="WenQuanYi Zen Hei"/>
        <family val="2"/>
      </rPr>
      <t xml:space="preserve">비수기 선정</t>
    </r>
    <r>
      <rPr>
        <sz val="11"/>
        <color rgb="FF212121"/>
        <rFont val="맑은 고딕"/>
        <family val="0"/>
        <charset val="1"/>
      </rPr>
      <t xml:space="preserve">.xlsx' &gt; 27SS</t>
    </r>
    <r>
      <rPr>
        <sz val="11"/>
        <color rgb="FF212121"/>
        <rFont val="WenQuanYi Zen Hei"/>
        <family val="2"/>
      </rPr>
      <t xml:space="preserve">비수기 탭 </t>
    </r>
    <r>
      <rPr>
        <sz val="11"/>
        <color rgb="FF212121"/>
        <rFont val="맑은 고딕"/>
        <family val="0"/>
        <charset val="1"/>
      </rPr>
      <t xml:space="preserve">&gt; N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비수기 </t>
    </r>
    <r>
      <rPr>
        <sz val="11"/>
        <color rgb="FF212121"/>
        <rFont val="맑은 고딕"/>
        <family val="0"/>
        <charset val="1"/>
      </rPr>
      <t xml:space="preserve">1</t>
    </r>
    <r>
      <rPr>
        <sz val="11"/>
        <color rgb="FF212121"/>
        <rFont val="WenQuanYi Zen Hei"/>
        <family val="2"/>
      </rPr>
      <t xml:space="preserve">차 확정</t>
    </r>
    <r>
      <rPr>
        <sz val="11"/>
        <color rgb="FF212121"/>
        <rFont val="맑은 고딕"/>
        <family val="0"/>
        <charset val="1"/>
      </rPr>
      <t xml:space="preserve">) 'O' </t>
    </r>
    <r>
      <rPr>
        <sz val="11"/>
        <color rgb="FF212121"/>
        <rFont val="WenQuanYi Zen Hei"/>
        <family val="2"/>
      </rPr>
      <t xml:space="preserve">표시 스타일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비수기 선정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</si>
  <si>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품번 매칭</t>
    </r>
    <r>
      <rPr>
        <sz val="11"/>
        <color rgb="FF212121"/>
        <rFont val="맑은 고딕"/>
        <family val="0"/>
        <charset val="1"/>
      </rPr>
      <t xml:space="preserve">: B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품번</t>
    </r>
    <r>
      <rPr>
        <sz val="11"/>
        <color rgb="FF212121"/>
        <rFont val="맑은 고딕"/>
        <family val="0"/>
        <charset val="1"/>
      </rPr>
      <t xml:space="preserve">+</t>
    </r>
    <r>
      <rPr>
        <sz val="11"/>
        <color rgb="FF212121"/>
        <rFont val="WenQuanYi Zen Hei"/>
        <family val="2"/>
      </rPr>
      <t xml:space="preserve">컬러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기준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스타일번호 변경분은 </t>
    </r>
    <r>
      <rPr>
        <sz val="11"/>
        <color rgb="FF212121"/>
        <rFont val="맑은 고딕"/>
        <family val="0"/>
        <charset val="1"/>
      </rPr>
      <t xml:space="preserve">A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기존 스타일넘버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로 교차 매칭 </t>
    </r>
    <r>
      <rPr>
        <sz val="11"/>
        <color rgb="FF212121"/>
        <rFont val="맑은 고딕"/>
        <family val="0"/>
        <charset val="1"/>
      </rPr>
      <t xml:space="preserve">(49/50 </t>
    </r>
    <r>
      <rPr>
        <sz val="11"/>
        <color rgb="FF212121"/>
        <rFont val="WenQuanYi Zen Hei"/>
        <family val="2"/>
      </rPr>
      <t xml:space="preserve">매칭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</si>
  <si>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JWTBM27901→JWTBM27165(</t>
    </r>
    <r>
      <rPr>
        <sz val="11"/>
        <color rgb="FF212121"/>
        <rFont val="WenQuanYi Zen Hei"/>
        <family val="2"/>
      </rPr>
      <t xml:space="preserve">변경품번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는 </t>
    </r>
    <r>
      <rPr>
        <sz val="11"/>
        <color rgb="FF212121"/>
        <rFont val="맑은 고딕"/>
        <family val="0"/>
        <charset val="1"/>
      </rPr>
      <t xml:space="preserve">0808 </t>
    </r>
    <r>
      <rPr>
        <sz val="11"/>
        <color rgb="FF212121"/>
        <rFont val="WenQuanYi Zen Hei"/>
        <family val="2"/>
      </rPr>
      <t xml:space="preserve">원본에 없어 미반영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확인 필요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</si>
  <si>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</si>
  <si>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주차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수정 시 입고시점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판정 자동 갱신 </t>
    </r>
    <r>
      <rPr>
        <sz val="11"/>
        <color rgb="FF212121"/>
        <rFont val="맑은 고딕"/>
        <family val="0"/>
        <charset val="1"/>
      </rPr>
      <t xml:space="preserve">/ 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사양확정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(O/X) </t>
    </r>
    <r>
      <rPr>
        <sz val="11"/>
        <color rgb="FF212121"/>
        <rFont val="WenQuanYi Zen Hei"/>
        <family val="2"/>
      </rPr>
      <t xml:space="preserve">수정 가능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</si>
  <si>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메모를 입력하세요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</si>
  <si>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데이터 출처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</si>
  <si>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첨부 파일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_0808' </t>
    </r>
    <r>
      <rPr>
        <sz val="10"/>
        <color rgb="FF666666"/>
        <rFont val="WenQuanYi Zen Hei"/>
        <family val="2"/>
      </rPr>
      <t xml:space="preserve">시트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</t>
    </r>
    <r>
      <rPr>
        <sz val="10"/>
        <color rgb="FF666666"/>
        <rFont val="맑은 고딕"/>
        <family val="0"/>
        <charset val="1"/>
      </rPr>
      <t xml:space="preserve">+</t>
    </r>
    <r>
      <rPr>
        <sz val="10"/>
        <color rgb="FF666666"/>
        <rFont val="WenQuanYi Zen Hei"/>
        <family val="2"/>
      </rPr>
      <t xml:space="preserve">컬러 </t>
    </r>
    <r>
      <rPr>
        <sz val="10"/>
        <color rgb="FF666666"/>
        <rFont val="맑은 고딕"/>
        <family val="0"/>
        <charset val="1"/>
      </rPr>
      <t xml:space="preserve">1,190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424 </t>
    </r>
    <r>
      <rPr>
        <sz val="10"/>
        <color rgb="FF666666"/>
        <rFont val="WenQuanYi Zen Hei"/>
        <family val="2"/>
      </rPr>
      <t xml:space="preserve">스타일 집계</t>
    </r>
    <r>
      <rPr>
        <sz val="10"/>
        <color rgb="FF666666"/>
        <rFont val="맑은 고딕"/>
        <family val="0"/>
        <charset val="1"/>
      </rPr>
      <t xml:space="preserve">, 2026-08-08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</si>
  <si>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전산 일매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디자인담당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결재 기준 </t>
    </r>
    <r>
      <rPr>
        <sz val="10"/>
        <color rgb="FF666666"/>
        <rFont val="맑은 고딕"/>
        <family val="0"/>
        <charset val="1"/>
      </rPr>
      <t xml:space="preserve">/ </t>
    </r>
    <r>
      <rPr>
        <sz val="10"/>
        <color rgb="FF666666"/>
        <rFont val="WenQuanYi Zen Hei"/>
        <family val="2"/>
      </rPr>
      <t xml:space="preserve">컬러 구성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컬러코드 </t>
    </r>
    <r>
      <rPr>
        <sz val="10"/>
        <color rgb="FF666666"/>
        <rFont val="맑은 고딕"/>
        <family val="0"/>
        <charset val="1"/>
      </rPr>
      <t xml:space="preserve">+ </t>
    </r>
    <r>
      <rPr>
        <sz val="10"/>
        <color rgb="FF666666"/>
        <rFont val="WenQuanYi Zen Hei"/>
        <family val="2"/>
      </rPr>
      <t xml:space="preserve">브랜드 컬러명 매핑 </t>
    </r>
    <r>
      <rPr>
        <sz val="10"/>
        <color rgb="FF666666"/>
        <rFont val="맑은 고딕"/>
        <family val="0"/>
        <charset val="1"/>
      </rPr>
      <t xml:space="preserve">/ </t>
    </r>
    <r>
      <rPr>
        <sz val="10"/>
        <color rgb="FF666666"/>
        <rFont val="WenQuanYi Zen Hei"/>
        <family val="2"/>
      </rPr>
      <t xml:space="preserve">사양확정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전산 </t>
    </r>
    <r>
      <rPr>
        <sz val="10"/>
        <color rgb="FF666666"/>
        <rFont val="맑은 고딕"/>
        <family val="0"/>
        <charset val="1"/>
      </rPr>
      <t xml:space="preserve">EDW (8/6, </t>
    </r>
    <r>
      <rPr>
        <sz val="10"/>
        <color rgb="FF666666"/>
        <rFont val="WenQuanYi Zen Hei"/>
        <family val="2"/>
      </rPr>
      <t xml:space="preserve">정보성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</si>
  <si>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비수기</t>
    </r>
    <r>
      <rPr>
        <sz val="10"/>
        <color rgb="FF666666"/>
        <rFont val="맑은 고딕"/>
        <family val="0"/>
        <charset val="1"/>
      </rPr>
      <t xml:space="preserve">: KS_</t>
    </r>
    <r>
      <rPr>
        <sz val="10"/>
        <color rgb="FF666666"/>
        <rFont val="WenQuanYi Zen Hei"/>
        <family val="2"/>
      </rPr>
      <t xml:space="preserve">비수기 선정</t>
    </r>
    <r>
      <rPr>
        <sz val="10"/>
        <color rgb="FF666666"/>
        <rFont val="맑은 고딕"/>
        <family val="0"/>
        <charset val="1"/>
      </rPr>
      <t xml:space="preserve">.xlsx 27SS</t>
    </r>
    <r>
      <rPr>
        <sz val="10"/>
        <color rgb="FF666666"/>
        <rFont val="WenQuanYi Zen Hei"/>
        <family val="2"/>
      </rPr>
      <t xml:space="preserve">비수기 탭 </t>
    </r>
    <r>
      <rPr>
        <sz val="10"/>
        <color rgb="FF666666"/>
        <rFont val="맑은 고딕"/>
        <family val="0"/>
        <charset val="1"/>
      </rPr>
      <t xml:space="preserve">(8/6 </t>
    </r>
    <r>
      <rPr>
        <sz val="10"/>
        <color rgb="FF666666"/>
        <rFont val="WenQuanYi Zen Hei"/>
        <family val="2"/>
      </rPr>
      <t xml:space="preserve">수정본</t>
    </r>
    <r>
      <rPr>
        <sz val="10"/>
        <color rgb="FF666666"/>
        <rFont val="맑은 고딕"/>
        <family val="0"/>
        <charset val="1"/>
      </rPr>
      <t xml:space="preserve">) N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'O' </t>
    </r>
    <r>
      <rPr>
        <sz val="10"/>
        <color rgb="FF666666"/>
        <rFont val="WenQuanYi Zen Hei"/>
        <family val="2"/>
      </rPr>
      <t xml:space="preserve">기준</t>
    </r>
  </si>
  <si>
    <r>
      <rPr>
        <sz val="10"/>
        <color rgb="FF666666"/>
        <rFont val="맑은 고딕"/>
        <family val="0"/>
        <charset val="1"/>
      </rPr>
      <t xml:space="preserve">· LAB DIP CFM: </t>
    </r>
    <r>
      <rPr>
        <sz val="10"/>
        <color rgb="FF666666"/>
        <rFont val="WenQuanYi Zen Hei"/>
        <family val="2"/>
      </rPr>
      <t xml:space="preserve">소재</t>
    </r>
    <r>
      <rPr>
        <sz val="10"/>
        <color rgb="FF666666"/>
        <rFont val="맑은 고딕"/>
        <family val="0"/>
        <charset val="1"/>
      </rPr>
      <t xml:space="preserve">DB Merged Data AK</t>
    </r>
    <r>
      <rPr>
        <sz val="10"/>
        <color rgb="FF666666"/>
        <rFont val="WenQuanYi Zen Hei"/>
        <family val="2"/>
      </rPr>
      <t xml:space="preserve">열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스타일 내 원단들의 최근 컨펌일 </t>
    </r>
    <r>
      <rPr>
        <sz val="10"/>
        <color rgb="FF666666"/>
        <rFont val="맑은 고딕"/>
        <family val="0"/>
        <charset val="1"/>
      </rPr>
      <t xml:space="preserve">(Drop </t>
    </r>
    <r>
      <rPr>
        <sz val="10"/>
        <color rgb="FF666666"/>
        <rFont val="WenQuanYi Zen Hei"/>
        <family val="2"/>
      </rPr>
      <t xml:space="preserve">제외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</si>
  <si>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원단처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겉감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안감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생산처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소재</t>
    </r>
    <r>
      <rPr>
        <sz val="10"/>
        <color rgb="FF666666"/>
        <rFont val="맑은 고딕"/>
        <family val="0"/>
        <charset val="1"/>
      </rPr>
      <t xml:space="preserve">DB): '27SS_</t>
    </r>
    <r>
      <rPr>
        <sz val="10"/>
        <color rgb="FF666666"/>
        <rFont val="WenQuanYi Zen Hei"/>
        <family val="2"/>
      </rPr>
      <t xml:space="preserve">소재</t>
    </r>
    <r>
      <rPr>
        <sz val="10"/>
        <color rgb="FF666666"/>
        <rFont val="맑은 고딕"/>
        <family val="0"/>
        <charset val="1"/>
      </rPr>
      <t xml:space="preserve">DB' Merged Data </t>
    </r>
    <r>
      <rPr>
        <sz val="10"/>
        <color rgb="FF666666"/>
        <rFont val="WenQuanYi Zen Hei"/>
        <family val="2"/>
      </rPr>
      <t xml:space="preserve">탭 </t>
    </r>
    <r>
      <rPr>
        <sz val="10"/>
        <color rgb="FF666666"/>
        <rFont val="맑은 고딕"/>
        <family val="0"/>
        <charset val="1"/>
      </rPr>
      <t xml:space="preserve">(8/10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, 1,255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416</t>
    </r>
    <r>
      <rPr>
        <sz val="10"/>
        <color rgb="FF666666"/>
        <rFont val="WenQuanYi Zen Hei"/>
        <family val="2"/>
      </rPr>
      <t xml:space="preserve">스타일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트래커 </t>
    </r>
    <r>
      <rPr>
        <sz val="10"/>
        <color rgb="FF666666"/>
        <rFont val="맑은 고딕"/>
        <family val="0"/>
        <charset val="1"/>
      </rPr>
      <t xml:space="preserve">281</t>
    </r>
    <r>
      <rPr>
        <sz val="10"/>
        <color rgb="FF666666"/>
        <rFont val="WenQuanYi Zen Hei"/>
        <family val="2"/>
      </rPr>
      <t xml:space="preserve">개 매칭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</si>
  <si>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생산처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소재</t>
    </r>
    <r>
      <rPr>
        <sz val="10"/>
        <color rgb="FF666666"/>
        <rFont val="맑은 고딕"/>
        <family val="0"/>
        <charset val="1"/>
      </rPr>
      <t xml:space="preserve">DB) </t>
    </r>
    <r>
      <rPr>
        <sz val="10"/>
        <color rgb="FF666666"/>
        <rFont val="WenQuanYi Zen Hei"/>
        <family val="2"/>
      </rPr>
      <t xml:space="preserve">열은 크로스체크용 — </t>
    </r>
    <r>
      <rPr>
        <sz val="10"/>
        <color rgb="FF666666"/>
        <rFont val="맑은 고딕"/>
        <family val="0"/>
        <charset val="1"/>
      </rPr>
      <t xml:space="preserve">0808 </t>
    </r>
    <r>
      <rPr>
        <sz val="10"/>
        <color rgb="FF666666"/>
        <rFont val="WenQuanYi Zen Hei"/>
        <family val="2"/>
      </rPr>
      <t xml:space="preserve">생산처와 다르면 빨간색 표시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픽스처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픽스쳐 같은 표기 차이도 포함되니 확인 필요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</si>
  <si>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WM/</t>
    </r>
    <r>
      <rPr>
        <sz val="10"/>
        <color rgb="FF666666"/>
        <rFont val="WenQuanYi Zen Hei"/>
        <family val="2"/>
      </rPr>
      <t xml:space="preserve">피싱</t>
    </r>
    <r>
      <rPr>
        <sz val="10"/>
        <color rgb="FF666666"/>
        <rFont val="맑은 고딕"/>
        <family val="0"/>
        <charset val="1"/>
      </rPr>
      <t xml:space="preserve">(8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</t>
    </r>
    <r>
      <rPr>
        <sz val="10"/>
        <color rgb="FF666666"/>
        <rFont val="WenQuanYi Zen Hei"/>
        <family val="2"/>
      </rPr>
      <t xml:space="preserve">은 </t>
    </r>
    <r>
      <rPr>
        <sz val="10"/>
        <color rgb="FF666666"/>
        <rFont val="맑은 고딕"/>
        <family val="0"/>
        <charset val="1"/>
      </rPr>
      <t xml:space="preserve">0808 </t>
    </r>
    <r>
      <rPr>
        <sz val="10"/>
        <color rgb="FF666666"/>
        <rFont val="WenQuanYi Zen Hei"/>
        <family val="2"/>
      </rPr>
      <t xml:space="preserve">원본에 기획수량 </t>
    </r>
    <r>
      <rPr>
        <sz val="10"/>
        <color rgb="FF666666"/>
        <rFont val="맑은 고딕"/>
        <family val="0"/>
        <charset val="1"/>
      </rPr>
      <t xml:space="preserve">0</t>
    </r>
    <r>
      <rPr>
        <sz val="10"/>
        <color rgb="FF666666"/>
        <rFont val="WenQuanYi Zen Hei"/>
        <family val="2"/>
      </rPr>
      <t xml:space="preserve">으로 입력되어 수량 합계 공란 — 금액은 원본 총원가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총공급가 기준</t>
    </r>
  </si>
  <si>
    <r>
      <rPr>
        <sz val="10"/>
        <color rgb="FF666666"/>
        <rFont val="맑은 고딕"/>
        <family val="0"/>
        <charset val="1"/>
      </rPr>
      <t xml:space="preserve">· 8UTCM27101</t>
    </r>
    <r>
      <rPr>
        <sz val="10"/>
        <color rgb="FF666666"/>
        <rFont val="WenQuanYi Zen Hei"/>
        <family val="2"/>
      </rPr>
      <t xml:space="preserve">은 컬러별 출고일 상이</t>
    </r>
    <r>
      <rPr>
        <sz val="10"/>
        <color rgb="FF666666"/>
        <rFont val="맑은 고딕"/>
        <family val="0"/>
        <charset val="1"/>
      </rPr>
      <t xml:space="preserve">(1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3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/4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2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) → </t>
    </r>
    <r>
      <rPr>
        <sz val="10"/>
        <color rgb="FF666666"/>
        <rFont val="WenQuanYi Zen Hei"/>
        <family val="2"/>
      </rPr>
      <t xml:space="preserve">다수 값 적용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확인 필요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</si>
  <si>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</si>
  <si>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</si>
  <si>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</si>
  <si>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</si>
  <si>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출고예정일 −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제품입고 시점</t>
    </r>
  </si>
  <si>
    <r>
      <rPr>
        <b val="true"/>
        <sz val="11"/>
        <rFont val="WenQuanYi Zen Hei"/>
        <family val="2"/>
      </rPr>
      <t xml:space="preserve">소재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</si>
  <si>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제품입고 시점 − </t>
    </r>
    <r>
      <rPr>
        <sz val="9"/>
        <color rgb="FF666666"/>
        <rFont val="맑은 고딕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소재입고 마감일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</si>
  <si>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</si>
  <si>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</si>
  <si>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t xml:space="preserve">춘절 공장휴무 시작</t>
  </si>
  <si>
    <r>
      <rPr>
        <sz val="9"/>
        <color rgb="FF666666"/>
        <rFont val="WenQuanYi Zen Hei"/>
        <family val="2"/>
      </rPr>
      <t xml:space="preserve">중국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베트남 공장 가동중단 가정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전후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</si>
  <si>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춘절 공장휴무 종료</t>
  </si>
  <si>
    <t xml:space="preserve">실제 공장별 휴무 확정 시 조정</t>
  </si>
  <si>
    <t xml:space="preserve">한국 설 연휴 시작</t>
  </si>
  <si>
    <r>
      <rPr>
        <sz val="9"/>
        <color rgb="FF666666"/>
        <rFont val="WenQuanYi Zen Hei"/>
        <family val="2"/>
      </rPr>
      <t xml:space="preserve">설날 </t>
    </r>
    <r>
      <rPr>
        <sz val="9"/>
        <color rgb="FF666666"/>
        <rFont val="맑은 고딕"/>
        <family val="0"/>
        <charset val="1"/>
      </rPr>
      <t xml:space="preserve">2/6(</t>
    </r>
    <r>
      <rPr>
        <sz val="9"/>
        <color rgb="FF666666"/>
        <rFont val="WenQuanYi Zen Hei"/>
        <family val="2"/>
      </rPr>
      <t xml:space="preserve">토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연휴 </t>
    </r>
    <r>
      <rPr>
        <sz val="9"/>
        <color rgb="FF666666"/>
        <rFont val="맑은 고딕"/>
        <family val="0"/>
        <charset val="1"/>
      </rPr>
      <t xml:space="preserve">2/5(</t>
    </r>
    <r>
      <rPr>
        <sz val="9"/>
        <color rgb="FF666666"/>
        <rFont val="WenQuanYi Zen Hei"/>
        <family val="2"/>
      </rPr>
      <t xml:space="preserve">금</t>
    </r>
    <r>
      <rPr>
        <sz val="9"/>
        <color rgb="FF666666"/>
        <rFont val="맑은 고딕"/>
        <family val="0"/>
        <charset val="1"/>
      </rPr>
      <t xml:space="preserve">)~2/7(</t>
    </r>
    <r>
      <rPr>
        <sz val="9"/>
        <color rgb="FF666666"/>
        <rFont val="WenQuanYi Zen Hei"/>
        <family val="2"/>
      </rPr>
      <t xml:space="preserve">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</si>
  <si>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한국 설 연휴 종료</t>
  </si>
  <si>
    <r>
      <rPr>
        <sz val="9"/>
        <color rgb="FF666666"/>
        <rFont val="WenQuanYi Zen Hei"/>
        <family val="2"/>
      </rPr>
      <t xml:space="preserve">대체공휴일 </t>
    </r>
    <r>
      <rPr>
        <sz val="9"/>
        <color rgb="FF666666"/>
        <rFont val="맑은 고딕"/>
        <family val="0"/>
        <charset val="1"/>
      </rPr>
      <t xml:space="preserve">2/8(</t>
    </r>
    <r>
      <rPr>
        <sz val="9"/>
        <color rgb="FF666666"/>
        <rFont val="WenQuanYi Zen Hei"/>
        <family val="2"/>
      </rPr>
      <t xml:space="preserve">월</t>
    </r>
    <r>
      <rPr>
        <sz val="9"/>
        <color rgb="FF666666"/>
        <rFont val="맑은 고딕"/>
        <family val="0"/>
        <charset val="1"/>
      </rPr>
      <t xml:space="preserve">) </t>
    </r>
    <r>
      <rPr>
        <sz val="9"/>
        <color rgb="FF666666"/>
        <rFont val="WenQuanYi Zen Hei"/>
        <family val="2"/>
      </rPr>
      <t xml:space="preserve">포함</t>
    </r>
  </si>
  <si>
    <r>
      <rPr>
        <b val="true"/>
        <sz val="12"/>
        <color rgb="FFFFFFFF"/>
        <rFont val="WenQuanYi Zen Hei"/>
        <family val="2"/>
      </rPr>
      <t xml:space="preserve">소재입고 책임 구분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수</t>
    </r>
    <r>
      <rPr>
        <b val="true"/>
        <sz val="12"/>
        <color rgb="FFFFFFFF"/>
        <rFont val="맑은 고딕"/>
        <family val="0"/>
        <charset val="1"/>
      </rPr>
      <t xml:space="preserve">/C/</t>
    </r>
    <r>
      <rPr>
        <b val="true"/>
        <sz val="12"/>
        <color rgb="FFFFFFFF"/>
        <rFont val="WenQuanYi Zen Hei"/>
        <family val="2"/>
      </rPr>
      <t xml:space="preserve">완 기준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</si>
  <si>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t xml:space="preserve">C / 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</si>
  <si>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</si>
  <si>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r>
      <rPr>
        <b val="true"/>
        <sz val="11"/>
        <color rgb="FF2C5F2D"/>
        <rFont val="WenQuanYi Zen Hei"/>
        <family val="2"/>
      </rPr>
      <t xml:space="preserve">완</t>
    </r>
    <r>
      <rPr>
        <b val="true"/>
        <sz val="11"/>
        <color rgb="FF2C5F2D"/>
        <rFont val="맑은 고딕"/>
        <family val="0"/>
        <charset val="1"/>
      </rPr>
      <t xml:space="preserve">(</t>
    </r>
    <r>
      <rPr>
        <b val="true"/>
        <sz val="11"/>
        <color rgb="FF2C5F2D"/>
        <rFont val="WenQuanYi Zen Hei"/>
        <family val="2"/>
      </rPr>
      <t xml:space="preserve">완사입</t>
    </r>
    <r>
      <rPr>
        <b val="true"/>
        <sz val="11"/>
        <color rgb="FF2C5F2D"/>
        <rFont val="맑은 고딕"/>
        <family val="0"/>
        <charset val="1"/>
      </rPr>
      <t xml:space="preserve">) / ODM</t>
    </r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</si>
  <si>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</si>
  <si>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정렬</t>
    </r>
    <r>
      <rPr>
        <b val="true"/>
        <sz val="14"/>
        <color rgb="FFFFFFFF"/>
        <rFont val="맑은 고딕"/>
        <family val="0"/>
        <charset val="1"/>
      </rPr>
      <t xml:space="preserve">: S</t>
    </r>
    <r>
      <rPr>
        <b val="true"/>
        <sz val="14"/>
        <color rgb="FFFFFFFF"/>
        <rFont val="WenQuanYi Zen Hei"/>
        <family val="2"/>
      </rPr>
      <t xml:space="preserve">코드</t>
    </r>
    <r>
      <rPr>
        <b val="true"/>
        <sz val="14"/>
        <color rgb="FFFFFFFF"/>
        <rFont val="맑은 고딕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봄</t>
    </r>
    <r>
      <rPr>
        <b val="true"/>
        <sz val="14"/>
        <color rgb="FFFFFFFF"/>
        <rFont val="맑은 고딕"/>
        <family val="0"/>
        <charset val="1"/>
      </rPr>
      <t xml:space="preserve">) → </t>
    </r>
    <r>
      <rPr>
        <b val="true"/>
        <sz val="14"/>
        <color rgb="FFFFFFFF"/>
        <rFont val="WenQuanYi Zen Hei"/>
        <family val="2"/>
      </rPr>
      <t xml:space="preserve">비수기 선정 → 나머지 </t>
    </r>
    <r>
      <rPr>
        <b val="true"/>
        <sz val="14"/>
        <color rgb="FFFFFFFF"/>
        <rFont val="맑은 고딕"/>
        <family val="0"/>
        <charset val="1"/>
      </rPr>
      <t xml:space="preserve">(424 </t>
    </r>
    <r>
      <rPr>
        <b val="true"/>
        <sz val="14"/>
        <color rgb="FFFFFFFF"/>
        <rFont val="WenQuanYi Zen Hei"/>
        <family val="2"/>
      </rPr>
      <t xml:space="preserve">스타일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</si>
  <si>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</si>
  <si>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</si>
  <si>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E8474C"/>
        <rFont val="WenQuanYi Zen Hei"/>
        <family val="2"/>
      </rPr>
      <t xml:space="preserve">노란색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입력 </t>
    </r>
    <r>
      <rPr>
        <sz val="10"/>
        <color rgb="FFE8474C"/>
        <rFont val="맑은 고딕"/>
        <family val="0"/>
        <charset val="1"/>
      </rPr>
      <t xml:space="preserve">· ★ = S</t>
    </r>
    <r>
      <rPr>
        <sz val="10"/>
        <color rgb="FFE8474C"/>
        <rFont val="WenQuanYi Zen Hei"/>
        <family val="2"/>
      </rPr>
      <t xml:space="preserve">코드 작지 미발행</t>
    </r>
    <r>
      <rPr>
        <sz val="10"/>
        <color rgb="FFE8474C"/>
        <rFont val="맑은 고딕"/>
        <family val="0"/>
        <charset val="1"/>
      </rPr>
      <t xml:space="preserve">/</t>
    </r>
    <r>
      <rPr>
        <sz val="10"/>
        <color rgb="FFE8474C"/>
        <rFont val="WenQuanYi Zen Hei"/>
        <family val="2"/>
      </rPr>
      <t xml:space="preserve">소재마감 초과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정렬</t>
    </r>
    <r>
      <rPr>
        <sz val="10"/>
        <color rgb="FFE8474C"/>
        <rFont val="맑은 고딕"/>
        <family val="0"/>
        <charset val="1"/>
      </rPr>
      <t xml:space="preserve">: ①</t>
    </r>
    <r>
      <rPr>
        <sz val="10"/>
        <color rgb="FFE8474C"/>
        <rFont val="WenQuanYi Zen Hei"/>
        <family val="2"/>
      </rPr>
      <t xml:space="preserve">봄</t>
    </r>
    <r>
      <rPr>
        <sz val="10"/>
        <color rgb="FFE8474C"/>
        <rFont val="맑은 고딕"/>
        <family val="0"/>
        <charset val="1"/>
      </rPr>
      <t xml:space="preserve">(S) ②</t>
    </r>
    <r>
      <rPr>
        <sz val="10"/>
        <color rgb="FFE8474C"/>
        <rFont val="WenQuanYi Zen Hei"/>
        <family val="2"/>
      </rPr>
      <t xml:space="preserve">비수기 선정 ③나머지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금액은 </t>
    </r>
    <r>
      <rPr>
        <sz val="10"/>
        <color rgb="FFE8474C"/>
        <rFont val="맑은 고딕"/>
        <family val="0"/>
        <charset val="1"/>
      </rPr>
      <t xml:space="preserve">[</t>
    </r>
    <r>
      <rPr>
        <sz val="10"/>
        <color rgb="FFE8474C"/>
        <rFont val="WenQuanYi Zen Hei"/>
        <family val="2"/>
      </rPr>
      <t xml:space="preserve">금액 요약</t>
    </r>
    <r>
      <rPr>
        <sz val="10"/>
        <color rgb="FFE8474C"/>
        <rFont val="맑은 고딕"/>
        <family val="0"/>
        <charset val="1"/>
      </rPr>
      <t xml:space="preserve">] </t>
    </r>
    <r>
      <rPr>
        <sz val="10"/>
        <color rgb="FFE8474C"/>
        <rFont val="WenQuanYi Zen Hei"/>
        <family val="2"/>
      </rPr>
      <t xml:space="preserve">참조</t>
    </r>
  </si>
  <si>
    <t xml:space="preserve">NO</t>
  </si>
  <si>
    <t xml:space="preserve">MD</t>
  </si>
  <si>
    <t xml:space="preserve">DS</t>
  </si>
  <si>
    <t xml:space="preserve">Style Code</t>
  </si>
  <si>
    <t xml:space="preserve">품명</t>
  </si>
  <si>
    <t xml:space="preserve">컬러 구성</t>
  </si>
  <si>
    <t xml:space="preserve">시즌</t>
  </si>
  <si>
    <r>
      <rPr>
        <b val="true"/>
        <sz val="10"/>
        <color rgb="FFFFFFFF"/>
        <rFont val="WenQuanYi Zen Hei"/>
        <family val="2"/>
      </rPr>
      <t xml:space="preserve">생산형태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</t>
    </r>
    <r>
      <rPr>
        <b val="true"/>
        <sz val="10"/>
        <color rgb="FFFFFFFF"/>
        <rFont val="맑은 고딕"/>
        <family val="0"/>
        <charset val="1"/>
      </rPr>
      <t xml:space="preserve">/C/</t>
    </r>
    <r>
      <rPr>
        <b val="true"/>
        <sz val="10"/>
        <color rgb="FFFFFFFF"/>
        <rFont val="WenQuanYi Zen Hei"/>
        <family val="2"/>
      </rPr>
      <t xml:space="preserve">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</si>
  <si>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출고차순</t>
  </si>
  <si>
    <r>
      <rPr>
        <b val="true"/>
        <sz val="10"/>
        <color rgb="FFFFFFFF"/>
        <rFont val="WenQuanYi Zen Hei"/>
        <family val="2"/>
      </rPr>
      <t xml:space="preserve">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</si>
  <si>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출고예정일</t>
  </si>
  <si>
    <r>
      <rPr>
        <b val="true"/>
        <sz val="10"/>
        <color rgb="FFFFFFFF"/>
        <rFont val="WenQuanYi Zen Hei"/>
        <family val="2"/>
      </rPr>
      <t xml:space="preserve">제품입고 시점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맑은 고딕"/>
        <family val="0"/>
        <charset val="1"/>
      </rPr>
      <t xml:space="preserve">-2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설연휴 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</si>
  <si>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공장휴무 보정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</si>
  <si>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소재입고 마감일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입고</t>
    </r>
    <r>
      <rPr>
        <b val="true"/>
        <sz val="10"/>
        <color rgb="FFFFFFFF"/>
        <rFont val="맑은 고딕"/>
        <family val="0"/>
        <charset val="1"/>
      </rPr>
      <t xml:space="preserve">-90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</si>
  <si>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</si>
  <si>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r>
      <rPr>
        <b val="true"/>
        <sz val="10"/>
        <color rgb="FFFFFFFF"/>
        <rFont val="WenQuanYi Zen Hei"/>
        <family val="2"/>
      </rPr>
      <t xml:space="preserve">작지발행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일매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전산 </t>
    </r>
    <r>
      <rPr>
        <b val="true"/>
        <sz val="10"/>
        <color rgb="FFFFFFFF"/>
        <rFont val="맑은 고딕"/>
        <family val="0"/>
        <charset val="1"/>
      </rPr>
      <t xml:space="preserve">8/6)</t>
    </r>
  </si>
  <si>
    <r>
      <rPr>
        <b val="true"/>
        <sz val="10"/>
        <color rgb="FFFFFFFF"/>
        <rFont val="WenQuanYi Zen Hei"/>
        <family val="2"/>
      </rPr>
      <t xml:space="preserve">사양확정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 </t>
    </r>
    <r>
      <rPr>
        <b val="true"/>
        <sz val="10"/>
        <color rgb="FFFFFFFF"/>
        <rFont val="맑은 고딕"/>
        <family val="0"/>
        <charset val="1"/>
      </rPr>
      <t xml:space="preserve">8/6)</t>
    </r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</si>
  <si>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</si>
  <si>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t xml:space="preserve">소재입고 책임</t>
  </si>
  <si>
    <t xml:space="preserve">생산처</t>
  </si>
  <si>
    <r>
      <rPr>
        <b val="true"/>
        <sz val="10"/>
        <color rgb="FFFFFFFF"/>
        <rFont val="WenQuanYi Zen Hei"/>
        <family val="2"/>
      </rPr>
      <t xml:space="preserve">생산처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소재</t>
    </r>
    <r>
      <rPr>
        <b val="true"/>
        <sz val="10"/>
        <color rgb="FFFFFFFF"/>
        <rFont val="맑은 고딕"/>
        <family val="0"/>
        <charset val="1"/>
      </rPr>
      <t xml:space="preserve">DB)</t>
    </r>
  </si>
  <si>
    <t xml:space="preserve">원산지</t>
  </si>
  <si>
    <r>
      <rPr>
        <b val="true"/>
        <sz val="10"/>
        <color rgb="FFFFFFFF"/>
        <rFont val="WenQuanYi Zen Hei"/>
        <family val="2"/>
      </rPr>
      <t xml:space="preserve">원단처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에이전시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</si>
  <si>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겉감정보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원단처</t>
    </r>
    <r>
      <rPr>
        <b val="true"/>
        <sz val="10"/>
        <color rgb="FFFFFFFF"/>
        <rFont val="맑은 고딕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품명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</si>
  <si>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안감정보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원단처</t>
    </r>
    <r>
      <rPr>
        <b val="true"/>
        <sz val="10"/>
        <color rgb="FFFFFFFF"/>
        <rFont val="맑은 고딕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품명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</si>
  <si>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LAB DIP CFM (</t>
    </r>
    <r>
      <rPr>
        <b val="true"/>
        <sz val="10"/>
        <color rgb="FFFFFFFF"/>
        <rFont val="WenQuanYi Zen Hei"/>
        <family val="2"/>
      </rPr>
      <t xml:space="preserve">소재</t>
    </r>
    <r>
      <rPr>
        <b val="true"/>
        <sz val="10"/>
        <color rgb="FFFFFFFF"/>
        <rFont val="맑은 고딕"/>
        <family val="0"/>
        <charset val="1"/>
      </rPr>
      <t xml:space="preserve">DB)</t>
    </r>
  </si>
  <si>
    <t xml:space="preserve">기획수량</t>
  </si>
  <si>
    <r>
      <rPr>
        <b val="true"/>
        <sz val="10"/>
        <color rgb="FFFFFFFF"/>
        <rFont val="WenQuanYi Zen Hei"/>
        <family val="2"/>
      </rPr>
      <t xml:space="preserve">원가합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</si>
  <si>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소매가합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</si>
  <si>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납기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</si>
  <si>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</si>
  <si>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</si>
  <si>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</si>
  <si>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</si>
  <si>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</si>
  <si>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강기환</t>
  </si>
  <si>
    <t xml:space="preserve">JKJGS27002</t>
  </si>
  <si>
    <r>
      <rPr>
        <sz val="10"/>
        <rFont val="WenQuanYi Zen Hei"/>
        <family val="2"/>
      </rPr>
      <t xml:space="preserve">히어로 여성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</si>
  <si>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LPI-2, BLK(BLACK)</t>
  </si>
  <si>
    <t xml:space="preserve">완사입</t>
  </si>
  <si>
    <t xml:space="preserve">S1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</si>
  <si>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</si>
  <si>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</si>
  <si>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X</t>
  </si>
  <si>
    <t xml:space="preserve">포마트</t>
  </si>
  <si>
    <t xml:space="preserve">베트남</t>
  </si>
  <si>
    <t xml:space="preserve">GORE</t>
  </si>
  <si>
    <t xml:space="preserve">GORE) bnrSPL80GC/RGD-PX3LPRO</t>
  </si>
  <si>
    <t xml:space="preserve">JKJJS27012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</si>
  <si>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</si>
  <si>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GRY(GRAY), BLK(BLACK)</t>
  </si>
  <si>
    <t xml:space="preserve">원전</t>
  </si>
  <si>
    <t xml:space="preserve">인도네시아</t>
  </si>
  <si>
    <r>
      <rPr>
        <sz val="10"/>
        <rFont val="맑은 고딕"/>
        <family val="0"/>
        <charset val="1"/>
      </rPr>
      <t xml:space="preserve">SPM / </t>
    </r>
    <r>
      <rPr>
        <sz val="10"/>
        <rFont val="WenQuanYi Zen Hei"/>
        <family val="2"/>
      </rPr>
      <t xml:space="preserve">원창</t>
    </r>
  </si>
  <si>
    <t xml:space="preserve">SPM) ZX-20M SC</t>
  </si>
  <si>
    <r>
      <rPr>
        <sz val="10"/>
        <rFont val="WenQuanYi Zen Hei"/>
        <family val="2"/>
      </rPr>
      <t xml:space="preserve">원창</t>
    </r>
    <r>
      <rPr>
        <sz val="10"/>
        <rFont val="맑은 고딕"/>
        <family val="0"/>
        <charset val="1"/>
      </rPr>
      <t xml:space="preserve">) YO201293(NY10D</t>
    </r>
  </si>
  <si>
    <t xml:space="preserve">JKJJS27016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</si>
  <si>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</si>
  <si>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r>
      <rPr>
        <sz val="10"/>
        <rFont val="맑은 고딕"/>
        <family val="0"/>
        <charset val="1"/>
      </rPr>
      <t xml:space="preserve">L&amp;S / </t>
    </r>
    <r>
      <rPr>
        <sz val="10"/>
        <rFont val="WenQuanYi Zen Hei"/>
        <family val="2"/>
      </rPr>
      <t xml:space="preserve">케이글로벌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원창</t>
    </r>
  </si>
  <si>
    <t xml:space="preserve">L&amp;S) ST0452TSPDWR-NF</t>
  </si>
  <si>
    <t xml:space="preserve">김지원</t>
  </si>
  <si>
    <t xml:space="preserve">JKJJS27022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</si>
  <si>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</si>
  <si>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LGY(L/GRAY), BLK(BLACK)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</si>
  <si>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</t>
    </r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</si>
  <si>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SINGTEX) SW-70213CO</t>
    </r>
  </si>
  <si>
    <t xml:space="preserve">JKPNS27062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</si>
  <si>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</si>
  <si>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거림</t>
  </si>
  <si>
    <t xml:space="preserve">JKPNS27072</t>
  </si>
  <si>
    <t xml:space="preserve">히어로 여성 클라이밍 팬츠</t>
  </si>
  <si>
    <t xml:space="preserve">GRY-1, BLK(BLACK)</t>
  </si>
  <si>
    <t xml:space="preserve">IBQ</t>
  </si>
  <si>
    <t xml:space="preserve">IBQ) N04156A1</t>
  </si>
  <si>
    <t xml:space="preserve">JKTBS27058</t>
  </si>
  <si>
    <t xml:space="preserve">히어로 여성 니트도트 긴팔 라운드티</t>
  </si>
  <si>
    <t xml:space="preserve">DGY-1, BLK(BLACK)</t>
  </si>
  <si>
    <t xml:space="preserve">태화</t>
  </si>
  <si>
    <t xml:space="preserve">GEO</t>
  </si>
  <si>
    <t xml:space="preserve">GEO) GIK-H350</t>
  </si>
  <si>
    <t xml:space="preserve">JWJGS27001</t>
  </si>
  <si>
    <r>
      <rPr>
        <sz val="10"/>
        <rFont val="WenQuanYi Zen Hei"/>
        <family val="2"/>
      </rPr>
      <t xml:space="preserve">히어로 남성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</si>
  <si>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GBU(G/BLUE), DGY-1</t>
  </si>
  <si>
    <t xml:space="preserve">JWJJS27011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</si>
  <si>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</si>
  <si>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JWJJS27015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</si>
  <si>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</si>
  <si>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DBU(D/BLUE), BLK(BLACK)</t>
  </si>
  <si>
    <t xml:space="preserve">JWJJS27021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</si>
  <si>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</si>
  <si>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JWPNS27061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</si>
  <si>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</si>
  <si>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GBU(G/BLUE), BLK(BLACK)</t>
  </si>
  <si>
    <t xml:space="preserve">JWPNS27071</t>
  </si>
  <si>
    <t xml:space="preserve">히어로 남성 클라이밍 팬츠</t>
  </si>
  <si>
    <t xml:space="preserve">JWTBS27057</t>
  </si>
  <si>
    <t xml:space="preserve">히어로 남성 니트도트 긴팔 라운드티</t>
  </si>
  <si>
    <t xml:space="preserve">김준래</t>
  </si>
  <si>
    <t xml:space="preserve">권혁일</t>
  </si>
  <si>
    <t xml:space="preserve">TLTBS27511</t>
  </si>
  <si>
    <t xml:space="preserve">남성 베이직 폴로 긴팔 티셔츠</t>
  </si>
  <si>
    <t xml:space="preserve">LLA-1, CIN(CINDER), DGY-3</t>
  </si>
  <si>
    <t xml:space="preserve">ODM</t>
  </si>
  <si>
    <t xml:space="preserve">TESSELLATION</t>
  </si>
  <si>
    <t xml:space="preserve">TESSLLATION</t>
  </si>
  <si>
    <t xml:space="preserve">중국</t>
  </si>
  <si>
    <t xml:space="preserve">TESSLLATION) ST2263</t>
  </si>
  <si>
    <t xml:space="preserve">TLTBS27571</t>
  </si>
  <si>
    <t xml:space="preserve">춘절 남성 니트 폴로 긴팔 티셔츠</t>
  </si>
  <si>
    <t xml:space="preserve">BLK(BLACK), LAK(LAKE)</t>
  </si>
  <si>
    <t xml:space="preserve">어필코리아</t>
  </si>
  <si>
    <t xml:space="preserve">TVTBS27548</t>
  </si>
  <si>
    <t xml:space="preserve">여성 베이직 폴로 긴팔 티셔츠</t>
  </si>
  <si>
    <t xml:space="preserve">IVO(IVORY), LPI, NAY</t>
  </si>
  <si>
    <t xml:space="preserve">TESSLLATION) JIN-25JS4327</t>
  </si>
  <si>
    <t xml:space="preserve">TVTBS27592</t>
  </si>
  <si>
    <t xml:space="preserve">춘절 여성 니트 폴로 긴팔 티셔츠</t>
  </si>
  <si>
    <t xml:space="preserve">CRE-2, LLA-1</t>
  </si>
  <si>
    <t xml:space="preserve">신인철</t>
  </si>
  <si>
    <t xml:space="preserve">안세진</t>
  </si>
  <si>
    <t xml:space="preserve">8GJJS27101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</si>
  <si>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아웃포켓 피싱 재킷</t>
    </r>
  </si>
  <si>
    <t xml:space="preserve">KHA(KHAKI),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</si>
  <si>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</si>
  <si>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</si>
  <si>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YIC</t>
  </si>
  <si>
    <t xml:space="preserve">서진</t>
  </si>
  <si>
    <r>
      <rPr>
        <sz val="10"/>
        <rFont val="WenQuanYi Zen Hei"/>
        <family val="2"/>
      </rPr>
      <t xml:space="preserve">서진</t>
    </r>
    <r>
      <rPr>
        <sz val="10"/>
        <rFont val="맑은 고딕"/>
        <family val="0"/>
        <charset val="1"/>
      </rPr>
      <t xml:space="preserve">) SUHW-NN500</t>
    </r>
  </si>
  <si>
    <t xml:space="preserve">8GPNS27101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</si>
  <si>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유틸리티 피싱 카고 팬츠</t>
    </r>
  </si>
  <si>
    <t xml:space="preserve">장지은</t>
  </si>
  <si>
    <t xml:space="preserve">8HJJS27102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</si>
  <si>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아웃포켓 피싱 재킷</t>
    </r>
  </si>
  <si>
    <t xml:space="preserve">CAM(CAMEL), BLK(BLACK)</t>
  </si>
  <si>
    <t xml:space="preserve">8HPNS27102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</si>
  <si>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유틸리티 피싱 카고 팬츠</t>
    </r>
  </si>
  <si>
    <t xml:space="preserve">8NHAS27101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</si>
  <si>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익스퍼트 장갑</t>
    </r>
  </si>
  <si>
    <t xml:space="preserve">BLK(BLACK)</t>
  </si>
  <si>
    <t xml:space="preserve">시즈</t>
  </si>
  <si>
    <t xml:space="preserve">8NLAS27101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</si>
  <si>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양말</t>
    </r>
  </si>
  <si>
    <t xml:space="preserve">OWH, TNA, BLK(BLACK)</t>
  </si>
  <si>
    <t xml:space="preserve">건우</t>
  </si>
  <si>
    <t xml:space="preserve">국내</t>
  </si>
  <si>
    <t xml:space="preserve">8NRES27104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</si>
  <si>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캠프 캡</t>
    </r>
  </si>
  <si>
    <t xml:space="preserve">TNA, BLK(BLACK)</t>
  </si>
  <si>
    <t xml:space="preserve">피앤지</t>
  </si>
  <si>
    <t xml:space="preserve">8NRFS27101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</si>
  <si>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그리드 매쉬 햇</t>
    </r>
  </si>
  <si>
    <t xml:space="preserve">BLK(BLACK), TNA</t>
  </si>
  <si>
    <t xml:space="preserve">8NRFS27102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</si>
  <si>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패커블 립스탑 햇</t>
    </r>
  </si>
  <si>
    <t xml:space="preserve">TBU, BLK(BLACK)</t>
  </si>
  <si>
    <t xml:space="preserve">8NRFS27103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</si>
  <si>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버킷 햇</t>
    </r>
  </si>
  <si>
    <t xml:space="preserve">KHA(KHAKI), BLK(BLACK), OWH</t>
  </si>
  <si>
    <t xml:space="preserve">8UJJS27101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</si>
  <si>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재킷</t>
    </r>
  </si>
  <si>
    <t xml:space="preserve">8UJJS27102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</si>
  <si>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버그 메쉬 재킷</t>
    </r>
  </si>
  <si>
    <t xml:space="preserve">신한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</si>
  <si>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SV214MONO-1</t>
    </r>
  </si>
  <si>
    <t xml:space="preserve">8UJJS27105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</si>
  <si>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재킷</t>
    </r>
  </si>
  <si>
    <t xml:space="preserve">DKH(D/KHAKI), CHA(CHARCOAL)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</si>
  <si>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DRWSP70</t>
    </r>
  </si>
  <si>
    <t xml:space="preserve">8UPNS27102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</si>
  <si>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팬츠</t>
    </r>
  </si>
  <si>
    <t xml:space="preserve">DBE(DARK BEIGE), BLK(BLACK)</t>
  </si>
  <si>
    <t xml:space="preserve">8UPNS27105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</si>
  <si>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팬츠</t>
    </r>
  </si>
  <si>
    <t xml:space="preserve">8UTBS27101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</si>
  <si>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와플 후드티</t>
    </r>
  </si>
  <si>
    <t xml:space="preserve">DLM, BLK(BLACK), KHA(KHAKI)</t>
  </si>
  <si>
    <t xml:space="preserve">주연</t>
  </si>
  <si>
    <t xml:space="preserve">IKG</t>
  </si>
  <si>
    <r>
      <rPr>
        <sz val="10"/>
        <rFont val="WenQuanYi Zen Hei"/>
        <family val="2"/>
      </rPr>
      <t xml:space="preserve">주연</t>
    </r>
    <r>
      <rPr>
        <sz val="10"/>
        <rFont val="맑은 고딕"/>
        <family val="0"/>
        <charset val="1"/>
      </rPr>
      <t xml:space="preserve">) JY25</t>
    </r>
  </si>
  <si>
    <t xml:space="preserve">8UTBS27102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</si>
  <si>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긴팔티</t>
    </r>
  </si>
  <si>
    <t xml:space="preserve">IVO(IVORY), LGY(L/GRAY), BLK(BLACK)</t>
  </si>
  <si>
    <t xml:space="preserve">태진</t>
  </si>
  <si>
    <r>
      <rPr>
        <sz val="10"/>
        <rFont val="WenQuanYi Zen Hei"/>
        <family val="2"/>
      </rPr>
      <t xml:space="preserve">태진</t>
    </r>
    <r>
      <rPr>
        <sz val="10"/>
        <rFont val="맑은 고딕"/>
        <family val="0"/>
        <charset val="1"/>
      </rPr>
      <t xml:space="preserve">) TJ-01445</t>
    </r>
  </si>
  <si>
    <t xml:space="preserve">박지인</t>
  </si>
  <si>
    <t xml:space="preserve">정은진</t>
  </si>
  <si>
    <t xml:space="preserve">JKJJS27132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</si>
  <si>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</si>
  <si>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BLK(BLACK), VBU-1</t>
  </si>
  <si>
    <t xml:space="preserve">SPM</t>
  </si>
  <si>
    <t xml:space="preserve">SPM) DT-20 CRP CR</t>
  </si>
  <si>
    <t xml:space="preserve">SPM) OT-A1</t>
  </si>
  <si>
    <t xml:space="preserve">박진아</t>
  </si>
  <si>
    <t xml:space="preserve">조이슬</t>
  </si>
  <si>
    <t xml:space="preserve">JKPNS27102</t>
  </si>
  <si>
    <t xml:space="preserve">춘절 여성 슬림핏 스탠다드 팬츠</t>
  </si>
  <si>
    <t xml:space="preserve">CIN(CINDER), DGY(D/GRAY), WBE</t>
  </si>
  <si>
    <t xml:space="preserve">CMT</t>
  </si>
  <si>
    <t xml:space="preserve">디코드</t>
  </si>
  <si>
    <t xml:space="preserve">JKTBS27102</t>
  </si>
  <si>
    <t xml:space="preserve">춘절 여성 베이직 긴팔 집업 티셔츠</t>
  </si>
  <si>
    <t xml:space="preserve">CRE(CREAM), LSL</t>
  </si>
  <si>
    <t xml:space="preserve">JKTBS27104</t>
  </si>
  <si>
    <t xml:space="preserve">춘절 여성 베이직 긴팔 라운드 티셔츠</t>
  </si>
  <si>
    <t xml:space="preserve">MIN, DGY(D/GRAY)</t>
  </si>
  <si>
    <t xml:space="preserve">JKVAS27132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</si>
  <si>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</si>
  <si>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WBE</t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</si>
  <si>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</si>
  <si>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</si>
  <si>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</si>
  <si>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DGY(D/GRAY), BLK(BLACK)</t>
  </si>
  <si>
    <t xml:space="preserve">박술홍</t>
  </si>
  <si>
    <t xml:space="preserve">엄창용</t>
  </si>
  <si>
    <t xml:space="preserve">JWPNS27101</t>
  </si>
  <si>
    <t xml:space="preserve">춘절 남성 레귤러핏 스탠다드 원턱 팬츠</t>
  </si>
  <si>
    <t xml:space="preserve">SP1</t>
  </si>
  <si>
    <t xml:space="preserve">아성</t>
  </si>
  <si>
    <r>
      <rPr>
        <sz val="10"/>
        <rFont val="WenQuanYi Zen Hei"/>
        <family val="2"/>
      </rPr>
      <t xml:space="preserve">아성</t>
    </r>
    <r>
      <rPr>
        <sz val="10"/>
        <rFont val="맑은 고딕"/>
        <family val="0"/>
        <charset val="1"/>
      </rPr>
      <t xml:space="preserve">) AS-37158</t>
    </r>
  </si>
  <si>
    <t xml:space="preserve">JWPNS27103</t>
  </si>
  <si>
    <t xml:space="preserve">춘절 남성 슬림핏 스탠다드 노턱 팬츠</t>
  </si>
  <si>
    <t xml:space="preserve">CIN(CINDER), BLK(BLACK)</t>
  </si>
  <si>
    <t xml:space="preserve">TBO</t>
  </si>
  <si>
    <t xml:space="preserve">JWPNS27113</t>
  </si>
  <si>
    <t xml:space="preserve">춘절 남성 레귤러핏 하이킹 팬츠</t>
  </si>
  <si>
    <t xml:space="preserve">DGY-1, WBE</t>
  </si>
  <si>
    <t xml:space="preserve">MK</t>
  </si>
  <si>
    <t xml:space="preserve">MK) GMZ84482</t>
  </si>
  <si>
    <t xml:space="preserve">JWSXS27135</t>
  </si>
  <si>
    <r>
      <rPr>
        <sz val="10"/>
        <rFont val="WenQuanYi Zen Hei"/>
        <family val="2"/>
      </rPr>
      <t xml:space="preserve">춘절 남녀공용 우븐 하이킹 셔츠 </t>
    </r>
    <r>
      <rPr>
        <sz val="10"/>
        <rFont val="맑은 고딕"/>
        <family val="0"/>
        <charset val="1"/>
      </rPr>
      <t xml:space="preserve">(WIGO)</t>
    </r>
  </si>
  <si>
    <t xml:space="preserve">BLK(BLACK), KHA(KHAKI)</t>
  </si>
  <si>
    <t xml:space="preserve">성원</t>
  </si>
  <si>
    <r>
      <rPr>
        <sz val="10"/>
        <rFont val="WenQuanYi Zen Hei"/>
        <family val="2"/>
      </rPr>
      <t xml:space="preserve">프라미스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신한</t>
    </r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</si>
  <si>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PM-1052</t>
    </r>
  </si>
  <si>
    <t xml:space="preserve">JWTBS27111</t>
  </si>
  <si>
    <t xml:space="preserve">남성 하이브리드 긴팔 집업 티셔츠</t>
  </si>
  <si>
    <t xml:space="preserve">BLK(BLACK), GBU(G/BLUE)</t>
  </si>
  <si>
    <t xml:space="preserve">SPM / BK</t>
  </si>
  <si>
    <t xml:space="preserve">SPM) SMART SSO _OK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</si>
  <si>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</si>
  <si>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</si>
  <si>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GRY(GRAY), DGR(D/GREEN)</t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</si>
  <si>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</si>
  <si>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SK26-6002-RV</t>
    </r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</si>
  <si>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</si>
  <si>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</si>
  <si>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DGY(D/GRAY), WBE</t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</si>
  <si>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</si>
  <si>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</si>
  <si>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GRY(GRAY)</t>
  </si>
  <si>
    <t xml:space="preserve">정영준</t>
  </si>
  <si>
    <t xml:space="preserve">이민선</t>
  </si>
  <si>
    <t xml:space="preserve">TLJJS27501</t>
  </si>
  <si>
    <t xml:space="preserve">춘절 남성 패딩 헤링턴 재킷</t>
  </si>
  <si>
    <t xml:space="preserve">BLK(BLACK), MUD</t>
  </si>
  <si>
    <t xml:space="preserve">기도</t>
  </si>
  <si>
    <t xml:space="preserve">BROLIN</t>
  </si>
  <si>
    <t xml:space="preserve">BROLIN) BL-AW24L2060</t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</si>
  <si>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</si>
  <si>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</si>
  <si>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DGY-3, GRI(GREIGE)</t>
  </si>
  <si>
    <t xml:space="preserve">BROLIN) BL-AW21L3525</t>
  </si>
  <si>
    <t xml:space="preserve">서은미</t>
  </si>
  <si>
    <t xml:space="preserve">TLJJS27551</t>
  </si>
  <si>
    <t xml:space="preserve">춘절 남성 키퍼 스탠드넥 재킷</t>
  </si>
  <si>
    <t xml:space="preserve">MUD, DGY-3</t>
  </si>
  <si>
    <t xml:space="preserve">아이블</t>
  </si>
  <si>
    <t xml:space="preserve">원창</t>
  </si>
  <si>
    <r>
      <rPr>
        <sz val="10"/>
        <rFont val="WenQuanYi Zen Hei"/>
        <family val="2"/>
      </rPr>
      <t xml:space="preserve">원창</t>
    </r>
    <r>
      <rPr>
        <sz val="10"/>
        <rFont val="맑은 고딕"/>
        <family val="0"/>
        <charset val="1"/>
      </rPr>
      <t xml:space="preserve">) AQA-23026</t>
    </r>
  </si>
  <si>
    <t xml:space="preserve">문도혁</t>
  </si>
  <si>
    <t xml:space="preserve">정희영</t>
  </si>
  <si>
    <t xml:space="preserve">TLPNS27411</t>
  </si>
  <si>
    <t xml:space="preserve">춘절 남성 면 혼방 레귤러핏 테이퍼드 팬츠</t>
  </si>
  <si>
    <t xml:space="preserve">MUD, BLK(BLACK)</t>
  </si>
  <si>
    <t xml:space="preserve">s1</t>
  </si>
  <si>
    <t xml:space="preserve">TORAY CEM</t>
  </si>
  <si>
    <t xml:space="preserve">TORAY CEM) 503GD</t>
  </si>
  <si>
    <t xml:space="preserve">TLPNS27531</t>
  </si>
  <si>
    <r>
      <rPr>
        <sz val="10"/>
        <rFont val="WenQuanYi Zen Hei"/>
        <family val="2"/>
      </rPr>
      <t xml:space="preserve">춘절 남성 소프트필 저지 팬츠 </t>
    </r>
    <r>
      <rPr>
        <sz val="10"/>
        <rFont val="맑은 고딕"/>
        <family val="0"/>
        <charset val="1"/>
      </rPr>
      <t xml:space="preserve">(SET-UP)</t>
    </r>
  </si>
  <si>
    <t xml:space="preserve">DGY(D/GRAY), LLA</t>
  </si>
  <si>
    <t xml:space="preserve">IKG) CHN-TY-KNEH 1565</t>
  </si>
  <si>
    <t xml:space="preserve">TVJJS27502</t>
  </si>
  <si>
    <t xml:space="preserve">춘절 여성 논퀼팅 인슐레이션 재킷</t>
  </si>
  <si>
    <t xml:space="preserve">TVJJS27512</t>
  </si>
  <si>
    <t xml:space="preserve">춘절 여성 중기장 방풍 재킷</t>
  </si>
  <si>
    <t xml:space="preserve">WBE, CIN(CINDER)</t>
  </si>
  <si>
    <t xml:space="preserve">플레이트</t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</si>
  <si>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DO-572</t>
    </r>
  </si>
  <si>
    <t xml:space="preserve">TVJJS27522</t>
  </si>
  <si>
    <t xml:space="preserve">춘절 여성 웨더 중기장 재킷</t>
  </si>
  <si>
    <t xml:space="preserve">GRI(GREIGE), GMI(G/MINT)</t>
  </si>
  <si>
    <t xml:space="preserve">TVJJS27532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</si>
  <si>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후디드 방수 재킷</t>
    </r>
  </si>
  <si>
    <t xml:space="preserve">CRE(CREAM), DGY(D/GRAY)</t>
  </si>
  <si>
    <t xml:space="preserve">TVJJS27552</t>
  </si>
  <si>
    <t xml:space="preserve">춘절 여성 키퍼 중기장 벨티드 재킷</t>
  </si>
  <si>
    <t xml:space="preserve">GRI(GREIGE), DGY(D/GRAY)</t>
  </si>
  <si>
    <t xml:space="preserve">타키효</t>
  </si>
  <si>
    <r>
      <rPr>
        <sz val="10"/>
        <rFont val="WenQuanYi Zen Hei"/>
        <family val="2"/>
      </rPr>
      <t xml:space="preserve">타키효</t>
    </r>
    <r>
      <rPr>
        <sz val="10"/>
        <rFont val="맑은 고딕"/>
        <family val="0"/>
        <charset val="1"/>
      </rPr>
      <t xml:space="preserve">) THRC23AMDA001-C0</t>
    </r>
  </si>
  <si>
    <t xml:space="preserve">TVJJS27562</t>
  </si>
  <si>
    <t xml:space="preserve">춘절 여성 키퍼 넥리스 재킷</t>
  </si>
  <si>
    <t xml:space="preserve">CRE(CREAM), GMI(G/MINT)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</si>
  <si>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</si>
  <si>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</si>
  <si>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</si>
  <si>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</si>
  <si>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CRE-2, DGY(D/GRAY)</t>
  </si>
  <si>
    <t xml:space="preserve">SPM) W4-G.WAY WR</t>
  </si>
  <si>
    <t xml:space="preserve">TVPNS27532</t>
  </si>
  <si>
    <t xml:space="preserve">춘절 여성 부츠컷 팬츠</t>
  </si>
  <si>
    <t xml:space="preserve">TVPNS27542</t>
  </si>
  <si>
    <t xml:space="preserve">춘절 여성 레귤러핏 팬츠</t>
  </si>
  <si>
    <t xml:space="preserve">BLK(BLACK), GRI(GREIGE)</t>
  </si>
  <si>
    <t xml:space="preserve">TVTBS27552</t>
  </si>
  <si>
    <r>
      <rPr>
        <sz val="10"/>
        <rFont val="WenQuanYi Zen Hei"/>
        <family val="2"/>
      </rPr>
      <t xml:space="preserve">춘절 여성 소프트필 후드 긴팔 티셔츠 </t>
    </r>
    <r>
      <rPr>
        <sz val="10"/>
        <rFont val="맑은 고딕"/>
        <family val="0"/>
        <charset val="1"/>
      </rPr>
      <t xml:space="preserve">(SET-UP)</t>
    </r>
  </si>
  <si>
    <t xml:space="preserve">LLA-1, BLK(BLACK)</t>
  </si>
  <si>
    <t xml:space="preserve">JKJJS27032</t>
  </si>
  <si>
    <t xml:space="preserve">히어로 여성 옥타 플리스 재킷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</si>
  <si>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</si>
  <si>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SPM) E3MC01</t>
  </si>
  <si>
    <t xml:space="preserve">JKTCS27056</t>
  </si>
  <si>
    <t xml:space="preserve">히어로 여성 메리노울 반팔 라운드티</t>
  </si>
  <si>
    <t xml:space="preserve">장안</t>
  </si>
  <si>
    <t xml:space="preserve">IBQ) N1001W</t>
  </si>
  <si>
    <t xml:space="preserve">JKVAS27018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</si>
  <si>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</si>
  <si>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r>
      <rPr>
        <sz val="10"/>
        <rFont val="맑은 고딕"/>
        <family val="0"/>
        <charset val="1"/>
      </rPr>
      <t xml:space="preserve">L&amp;S / </t>
    </r>
    <r>
      <rPr>
        <sz val="10"/>
        <rFont val="WenQuanYi Zen Hei"/>
        <family val="2"/>
      </rPr>
      <t xml:space="preserve">원창</t>
    </r>
  </si>
  <si>
    <t xml:space="preserve">JWJJS27031</t>
  </si>
  <si>
    <t xml:space="preserve">히어로 남성 옥타 플리스 재킷</t>
  </si>
  <si>
    <t xml:space="preserve">JWTBS27117</t>
  </si>
  <si>
    <t xml:space="preserve">남성 퀵드라이 바라클라바 긴팔 후드 티셔츠</t>
  </si>
  <si>
    <t xml:space="preserve">GRY(GRAY), GBR(G/BROWN)</t>
  </si>
  <si>
    <t xml:space="preserve">JWTBS27119</t>
  </si>
  <si>
    <t xml:space="preserve">남성 자가드 긴팔 집업 티셔츠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</si>
  <si>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GB26T-LIK0003</t>
    </r>
  </si>
  <si>
    <t xml:space="preserve">JWTCS27055</t>
  </si>
  <si>
    <t xml:space="preserve">히어로 남성 메리노울 반팔 라운드티</t>
  </si>
  <si>
    <t xml:space="preserve">JWVAS27017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</si>
  <si>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</si>
  <si>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JKJGS27102</t>
  </si>
  <si>
    <t xml:space="preserve">여성 윈드체이서 고어텍스 후드 방수 재킷</t>
  </si>
  <si>
    <t xml:space="preserve">CRE(CREAM), GRE(GREEN), PUR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</si>
  <si>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</si>
  <si>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GORE / </t>
    </r>
    <r>
      <rPr>
        <sz val="10"/>
        <rFont val="WenQuanYi Zen Hei"/>
        <family val="2"/>
      </rPr>
      <t xml:space="preserve">밀리테크</t>
    </r>
  </si>
  <si>
    <t xml:space="preserve">GORE) BNRSPL75ES-PX 2L</t>
  </si>
  <si>
    <r>
      <rPr>
        <sz val="10"/>
        <rFont val="WenQuanYi Zen Hei"/>
        <family val="2"/>
      </rPr>
      <t xml:space="preserve">밀리테크</t>
    </r>
    <r>
      <rPr>
        <sz val="10"/>
        <rFont val="맑은 고딕"/>
        <family val="0"/>
        <charset val="1"/>
      </rPr>
      <t xml:space="preserve">) MT-3817CH</t>
    </r>
  </si>
  <si>
    <t xml:space="preserve">JKJGS27104</t>
  </si>
  <si>
    <t xml:space="preserve">여성 고어텍스 후드 디테쳐블 방수 재킷</t>
  </si>
  <si>
    <t xml:space="preserve">WBE, DLI, BLK(BLACK)</t>
  </si>
  <si>
    <t xml:space="preserve">미얀마</t>
  </si>
  <si>
    <t xml:space="preserve">JKJJS27136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</si>
  <si>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</si>
  <si>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SH-TP7204</t>
    </r>
  </si>
  <si>
    <t xml:space="preserve">JKJWS27106</t>
  </si>
  <si>
    <t xml:space="preserve">여성 고어윈드스토퍼 후드 디테쳐블 재킷</t>
  </si>
  <si>
    <t xml:space="preserve">WBE, PUR, BLK(BLACK)</t>
  </si>
  <si>
    <r>
      <rPr>
        <sz val="10"/>
        <rFont val="맑은 고딕"/>
        <family val="0"/>
        <charset val="1"/>
      </rPr>
      <t xml:space="preserve">GORE / </t>
    </r>
    <r>
      <rPr>
        <sz val="10"/>
        <rFont val="WenQuanYi Zen Hei"/>
        <family val="2"/>
      </rPr>
      <t xml:space="preserve">케이글로벌</t>
    </r>
  </si>
  <si>
    <t xml:space="preserve">GORE) bnrSPL50NJ/SJ-PG 3L</t>
  </si>
  <si>
    <t xml:space="preserve">JKPNS27114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</si>
  <si>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춘절 여성 레귤러핏 카고 팬츠</t>
    </r>
  </si>
  <si>
    <t xml:space="preserve">JKTBS27112</t>
  </si>
  <si>
    <t xml:space="preserve">춘절 여성 하이브리드 긴팔 집업 티셔츠</t>
  </si>
  <si>
    <t xml:space="preserve">WBE, DGY(D/GRAY)</t>
  </si>
  <si>
    <t xml:space="preserve">JKTBS27114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</si>
  <si>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아웃포켓 긴팔 라운드 티셔츠</t>
    </r>
  </si>
  <si>
    <t xml:space="preserve">GRY(GRAY), CRE(CREAM)</t>
  </si>
  <si>
    <t xml:space="preserve">JKTBS27116</t>
  </si>
  <si>
    <t xml:space="preserve">춘절 여성 후드 티셔츠</t>
  </si>
  <si>
    <t xml:space="preserve">BLK(BLACK), DYL(D/YELLOW)</t>
  </si>
  <si>
    <t xml:space="preserve">JKTBS27118</t>
  </si>
  <si>
    <t xml:space="preserve">춘절 여성 하이브리드 긴팔 후드 티셔츠</t>
  </si>
  <si>
    <t xml:space="preserve">CRE(CREAM), DYL(D/YELLOW)</t>
  </si>
  <si>
    <r>
      <rPr>
        <sz val="10"/>
        <rFont val="WenQuanYi Zen Hei"/>
        <family val="2"/>
      </rPr>
      <t xml:space="preserve">태진 </t>
    </r>
    <r>
      <rPr>
        <sz val="10"/>
        <rFont val="맑은 고딕"/>
        <family val="0"/>
        <charset val="1"/>
      </rPr>
      <t xml:space="preserve">/ BK</t>
    </r>
  </si>
  <si>
    <t xml:space="preserve">JKTBS27120</t>
  </si>
  <si>
    <t xml:space="preserve">춘절 자가드 긴팔 집업 티셔츠</t>
  </si>
  <si>
    <t xml:space="preserve">JWJGS27101</t>
  </si>
  <si>
    <t xml:space="preserve">남성 윈드체이서 고어텍스 후드 방수 재킷</t>
  </si>
  <si>
    <t xml:space="preserve">GBR(G/BROWN), DGY(D/GRAY), DGR(D/GREEN)</t>
  </si>
  <si>
    <t xml:space="preserve">JWJGS27103</t>
  </si>
  <si>
    <t xml:space="preserve">남성 고어텍스 후드 디테쳐블 방수 재킷</t>
  </si>
  <si>
    <t xml:space="preserve">GBE(G/BEIGE), DBU(D/BLUE), BLK(BLACK)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</si>
  <si>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</si>
  <si>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</si>
  <si>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JWJWS27105</t>
  </si>
  <si>
    <t xml:space="preserve">남성 고어윈드스토퍼 인후드 재킷</t>
  </si>
  <si>
    <t xml:space="preserve">KHA(KHAKI), GBU(G/BLUE), BLK(BLACK)</t>
  </si>
  <si>
    <t xml:space="preserve">TLJJS27503</t>
  </si>
  <si>
    <t xml:space="preserve">춘절 남성 소프트쉘 헤링턴 재킷</t>
  </si>
  <si>
    <t xml:space="preserve">DGY-3, MUD</t>
  </si>
  <si>
    <t xml:space="preserve">TLJJS27511</t>
  </si>
  <si>
    <t xml:space="preserve">춘절 남성 소프트안감 드리즐러 재킷</t>
  </si>
  <si>
    <t xml:space="preserve">BLK(BLACK), LLA</t>
  </si>
  <si>
    <r>
      <rPr>
        <sz val="10"/>
        <rFont val="맑은 고딕"/>
        <family val="0"/>
        <charset val="1"/>
      </rPr>
      <t xml:space="preserve">BROLIN / </t>
    </r>
    <r>
      <rPr>
        <sz val="10"/>
        <rFont val="WenQuanYi Zen Hei"/>
        <family val="2"/>
      </rPr>
      <t xml:space="preserve">텍스마켓</t>
    </r>
  </si>
  <si>
    <r>
      <rPr>
        <sz val="10"/>
        <rFont val="WenQuanYi Zen Hei"/>
        <family val="2"/>
      </rPr>
      <t xml:space="preserve">텍스마켓</t>
    </r>
    <r>
      <rPr>
        <sz val="10"/>
        <rFont val="맑은 고딕"/>
        <family val="0"/>
        <charset val="1"/>
      </rPr>
      <t xml:space="preserve">) TM-10614</t>
    </r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</si>
  <si>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</si>
  <si>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</si>
  <si>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DGY-3, LLA</t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</si>
  <si>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</si>
  <si>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</si>
  <si>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프라미스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</si>
  <si>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PM-7196</t>
    </r>
  </si>
  <si>
    <t xml:space="preserve">TLJJS27561</t>
  </si>
  <si>
    <t xml:space="preserve">춘절 남성 인후드 재킷</t>
  </si>
  <si>
    <t xml:space="preserve">LAK(LAKE), DGY-3</t>
  </si>
  <si>
    <t xml:space="preserve">TORAY CEM) 0908SY</t>
  </si>
  <si>
    <t xml:space="preserve">TLPNS27501</t>
  </si>
  <si>
    <t xml:space="preserve">춘절 루즈핏 커브드 팬츠</t>
  </si>
  <si>
    <t xml:space="preserve">LLA, DGY(D/GRAY)</t>
  </si>
  <si>
    <t xml:space="preserve">s2</t>
  </si>
  <si>
    <t xml:space="preserve">TVJJS27542</t>
  </si>
  <si>
    <t xml:space="preserve">춘절 여성 소프트안감 칼라드 재킷</t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</si>
  <si>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</si>
  <si>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</si>
  <si>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BLK(BLACK), LLA-1</t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</si>
  <si>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</si>
  <si>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</si>
  <si>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IND(INDIGO)</t>
  </si>
  <si>
    <t xml:space="preserve">스코브</t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</si>
  <si>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</si>
  <si>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</si>
  <si>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t xml:space="preserve">TLPNS27521</t>
  </si>
  <si>
    <r>
      <rPr>
        <sz val="10"/>
        <rFont val="WenQuanYi Zen Hei"/>
        <family val="2"/>
      </rPr>
      <t xml:space="preserve">사계절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레귤러핏 팬츠 </t>
    </r>
    <r>
      <rPr>
        <sz val="10"/>
        <rFont val="맑은 고딕"/>
        <family val="0"/>
        <charset val="1"/>
      </rPr>
      <t xml:space="preserve">(SET-UP)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</si>
  <si>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</si>
  <si>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TLPNS27901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</si>
  <si>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남성 레귤러핏 데님 팬츠</t>
    </r>
  </si>
  <si>
    <t xml:space="preserve">IND(INDIGO), BLK(BLACK)</t>
  </si>
  <si>
    <t xml:space="preserve">TLSXS27501</t>
  </si>
  <si>
    <t xml:space="preserve">남성 기본형 세미오버 긴팔 셔츠</t>
  </si>
  <si>
    <t xml:space="preserve">GRY-2, BLK(BLACK)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</si>
  <si>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</si>
  <si>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TORAY CEM) 5356-C0</t>
  </si>
  <si>
    <t xml:space="preserve">TLSXS27511</t>
  </si>
  <si>
    <t xml:space="preserve">남성 아우터형 긴팔 셔츠</t>
  </si>
  <si>
    <t xml:space="preserve">GRY-2, MUD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</si>
  <si>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PM-8569</t>
    </r>
  </si>
  <si>
    <t xml:space="preserve">TVSXS27502</t>
  </si>
  <si>
    <t xml:space="preserve">여성 기본형 세미오버 긴팔 셔츠</t>
  </si>
  <si>
    <t xml:space="preserve">GRI(GREIGE), LLA</t>
  </si>
  <si>
    <t xml:space="preserve">TVSXS27522</t>
  </si>
  <si>
    <t xml:space="preserve">여성 아우터형 긴팔 셔츠</t>
  </si>
  <si>
    <t xml:space="preserve">GMI(G/MINT), DGY-3</t>
  </si>
  <si>
    <t xml:space="preserve">JWJJS27109</t>
  </si>
  <si>
    <t xml:space="preserve">남녀공용 우의</t>
  </si>
  <si>
    <t xml:space="preserve">MIN, GNA(G/NAVY)</t>
  </si>
  <si>
    <t xml:space="preserve">SM2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</si>
  <si>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</si>
  <si>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JWTBS27101</t>
  </si>
  <si>
    <t xml:space="preserve">남성 베이직 긴팔 집업 티셔츠</t>
  </si>
  <si>
    <t xml:space="preserve">DGR(D/GREEN), GBU(G/BLUE), DML(D/MELAN)</t>
  </si>
  <si>
    <t xml:space="preserve">JWTBS27103</t>
  </si>
  <si>
    <t xml:space="preserve">남성 베이직 긴팔 라운드 티셔츠</t>
  </si>
  <si>
    <t xml:space="preserve">OWH, DML(D/MELAN)</t>
  </si>
  <si>
    <t xml:space="preserve">JWVAS27109</t>
  </si>
  <si>
    <t xml:space="preserve">남성 유틸리티 스탠드넥 베스트</t>
  </si>
  <si>
    <t xml:space="preserve">KHA(KHAKI)</t>
  </si>
  <si>
    <t xml:space="preserve">P&amp;T</t>
  </si>
  <si>
    <t xml:space="preserve">P&amp;T) PNT-00215-WL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</si>
  <si>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</si>
  <si>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</si>
  <si>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TLTCM27503</t>
  </si>
  <si>
    <t xml:space="preserve">하절 남성 핫멜트 폴로 반팔 티셔츠</t>
  </si>
  <si>
    <t xml:space="preserve">LAK(LAKE), LGY-1, GBU-3, DNA(D/NAVY), BLK(BLACK)</t>
  </si>
  <si>
    <r>
      <rPr>
        <sz val="10"/>
        <rFont val="WenQuanYi Zen Hei"/>
        <family val="2"/>
      </rPr>
      <t xml:space="preserve">태진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수텍스</t>
    </r>
  </si>
  <si>
    <r>
      <rPr>
        <sz val="10"/>
        <rFont val="WenQuanYi Zen Hei"/>
        <family val="2"/>
      </rPr>
      <t xml:space="preserve">태진</t>
    </r>
    <r>
      <rPr>
        <sz val="10"/>
        <rFont val="맑은 고딕"/>
        <family val="0"/>
        <charset val="1"/>
      </rPr>
      <t xml:space="preserve">) TJ-01445
</t>
    </r>
    <r>
      <rPr>
        <sz val="10"/>
        <rFont val="WenQuanYi Zen Hei"/>
        <family val="2"/>
      </rPr>
      <t xml:space="preserve">수텍스</t>
    </r>
    <r>
      <rPr>
        <sz val="10"/>
        <rFont val="맑은 고딕"/>
        <family val="0"/>
        <charset val="1"/>
      </rPr>
      <t xml:space="preserve">) SJSJ-23-1568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</si>
  <si>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</si>
  <si>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TVTCM27504</t>
  </si>
  <si>
    <t xml:space="preserve">하절 여성 핫멜트 폴로 반팔 티셔츠</t>
  </si>
  <si>
    <t xml:space="preserve">IVO(IVORY), PYL, DNA(D/NAVY)</t>
  </si>
  <si>
    <t xml:space="preserve">JKTBM27166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</si>
  <si>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후드 티셔츠</t>
    </r>
  </si>
  <si>
    <t xml:space="preserve">VBU, MIN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</si>
  <si>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</si>
  <si>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r>
      <rPr>
        <sz val="10"/>
        <rFont val="WenQuanYi Zen Hei"/>
        <family val="2"/>
      </rPr>
      <t xml:space="preserve">태화</t>
    </r>
    <r>
      <rPr>
        <sz val="10"/>
        <rFont val="맑은 고딕"/>
        <family val="0"/>
        <charset val="1"/>
      </rPr>
      <t xml:space="preserve">) THC-2096</t>
    </r>
  </si>
  <si>
    <t xml:space="preserve">JKTBM27168</t>
  </si>
  <si>
    <t xml:space="preserve">하절 여성 패턴 긴팔 집업 티셔츠</t>
  </si>
  <si>
    <t xml:space="preserve">LSL, MIN, CRE(CREAM)</t>
  </si>
  <si>
    <t xml:space="preserve">TNT / JKTREND</t>
  </si>
  <si>
    <t xml:space="preserve">TNT) TNT-K2337</t>
  </si>
  <si>
    <t xml:space="preserve">TLPNM27511</t>
  </si>
  <si>
    <t xml:space="preserve">하절 남성 면 혼방 레귤러핏 테이퍼드 팬츠</t>
  </si>
  <si>
    <t xml:space="preserve">BGY(B/GRAY), BLK(BLACK)</t>
  </si>
  <si>
    <t xml:space="preserve">m1</t>
  </si>
  <si>
    <t xml:space="preserve">필코</t>
  </si>
  <si>
    <r>
      <rPr>
        <sz val="10"/>
        <rFont val="WenQuanYi Zen Hei"/>
        <family val="2"/>
      </rPr>
      <t xml:space="preserve">필코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쿨율턴</t>
    </r>
    <r>
      <rPr>
        <sz val="10"/>
        <rFont val="맑은 고딕"/>
        <family val="0"/>
        <charset val="1"/>
      </rPr>
      <t xml:space="preserve">2</t>
    </r>
  </si>
  <si>
    <t xml:space="preserve">TLTCM27523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</si>
  <si>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세미오버 반팔 티셔츠</t>
    </r>
  </si>
  <si>
    <t xml:space="preserve">MUD, CRE-2, LAK(LAKE), BLK(BLACK)</t>
  </si>
  <si>
    <t xml:space="preserve">SPM) SR-COOL PL</t>
  </si>
  <si>
    <t xml:space="preserve">TVJJM27532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</si>
  <si>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컷 스탠드넥 방풍 재킷</t>
    </r>
  </si>
  <si>
    <t xml:space="preserve">LGI(L/GREIGE), NAY</t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</si>
  <si>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NY130</t>
    </r>
  </si>
  <si>
    <t xml:space="preserve">TVTCM27508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</si>
  <si>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모크넥 반팔 티셔츠</t>
    </r>
  </si>
  <si>
    <t xml:space="preserve">GRI(GREIGE), BLK(BLACK)</t>
  </si>
  <si>
    <t xml:space="preserve">JKJJM27172</t>
  </si>
  <si>
    <t xml:space="preserve">하절 여성 제노아 경량 인후드 방풍 재킷</t>
  </si>
  <si>
    <t xml:space="preserve">MIN, CRE(CREAM), LSL, WBE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</si>
  <si>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</si>
  <si>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SPM) WST-20SR</t>
  </si>
  <si>
    <t xml:space="preserve">JWJJM27171</t>
  </si>
  <si>
    <t xml:space="preserve">남성 제노아 경량 인후드 방풍 재킷</t>
  </si>
  <si>
    <t xml:space="preserve">WGY, KHA(KHAKI), DNA(D/NAVY), DOC(D/OCEAN)</t>
  </si>
  <si>
    <t xml:space="preserve">TLJJM27511</t>
  </si>
  <si>
    <t xml:space="preserve">하절 남성 윈드포레스트 패커블 방풍 재킷</t>
  </si>
  <si>
    <t xml:space="preserve">MUD, DNA(D/NAVY), LGY-1</t>
  </si>
  <si>
    <r>
      <rPr>
        <sz val="10"/>
        <rFont val="WenQuanYi Zen Hei"/>
        <family val="2"/>
      </rPr>
      <t xml:space="preserve">서진</t>
    </r>
    <r>
      <rPr>
        <sz val="10"/>
        <rFont val="맑은 고딕"/>
        <family val="0"/>
        <charset val="1"/>
      </rPr>
      <t xml:space="preserve">) LUHW-NN605R</t>
    </r>
  </si>
  <si>
    <t xml:space="preserve">JKJJM27152</t>
  </si>
  <si>
    <t xml:space="preserve">하절 여성 경량 윈드케이 방풍 재킷</t>
  </si>
  <si>
    <t xml:space="preserve">CRE(CREAM), LIL(LILAC),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</si>
  <si>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</si>
  <si>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BROLIN) BL-SS23SN1018</t>
  </si>
  <si>
    <t xml:space="preserve">JKTCM27182</t>
  </si>
  <si>
    <t xml:space="preserve">하절 여성 에어도트 반팔 집업 티셔츠</t>
  </si>
  <si>
    <t xml:space="preserve">MIN, CRE(CREAM), BLK(BLACK)</t>
  </si>
  <si>
    <t xml:space="preserve">대웅</t>
  </si>
  <si>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DWT-2724/1</t>
    </r>
  </si>
  <si>
    <t xml:space="preserve">JKTCM27908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</si>
  <si>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집업 티셔츠</t>
    </r>
  </si>
  <si>
    <t xml:space="preserve">WBE, LIL(LILAC)</t>
  </si>
  <si>
    <t xml:space="preserve">인터필</t>
  </si>
  <si>
    <r>
      <rPr>
        <sz val="10"/>
        <rFont val="WenQuanYi Zen Hei"/>
        <family val="2"/>
      </rPr>
      <t xml:space="preserve">인터필</t>
    </r>
    <r>
      <rPr>
        <sz val="10"/>
        <rFont val="맑은 고딕"/>
        <family val="0"/>
        <charset val="1"/>
      </rPr>
      <t xml:space="preserve">) TI-229H</t>
    </r>
  </si>
  <si>
    <t xml:space="preserve">JKVAM27102</t>
  </si>
  <si>
    <t xml:space="preserve">하절 여성 에센셜 경량 베스트</t>
  </si>
  <si>
    <t xml:space="preserve">BLK(BLACK), LIL(LILAC), CRE(CREAM)</t>
  </si>
  <si>
    <t xml:space="preserve">JWJJM27151</t>
  </si>
  <si>
    <t xml:space="preserve">남성 윈드케이 경량 방풍 재킷</t>
  </si>
  <si>
    <t xml:space="preserve">WGY, BLK(BLACK), DMI(D/MINT)</t>
  </si>
  <si>
    <t xml:space="preserve">JWPNM27171</t>
  </si>
  <si>
    <t xml:space="preserve">하절 남성 루즈핏 파라슈트 팬츠</t>
  </si>
  <si>
    <t xml:space="preserve">WGY, DBU-2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</si>
  <si>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SVR1544FD</t>
    </r>
  </si>
  <si>
    <t xml:space="preserve">JWVAM27101</t>
  </si>
  <si>
    <t xml:space="preserve">남성 에센셜 경량 베스트</t>
  </si>
  <si>
    <t xml:space="preserve">WBE, DBU(D/BLUE), DGY(D/GRAY)</t>
  </si>
  <si>
    <t xml:space="preserve">TLPNM27501</t>
  </si>
  <si>
    <r>
      <rPr>
        <sz val="10"/>
        <rFont val="WenQuanYi Zen Hei"/>
        <family val="2"/>
      </rPr>
      <t xml:space="preserve">하절 남성 시어서커 레귤러핏 팬츠 </t>
    </r>
    <r>
      <rPr>
        <sz val="10"/>
        <rFont val="맑은 고딕"/>
        <family val="0"/>
        <charset val="1"/>
      </rPr>
      <t xml:space="preserve">(SET-UP)</t>
    </r>
  </si>
  <si>
    <t xml:space="preserve">BLK(BLACK), LBL(L/BLUE)</t>
  </si>
  <si>
    <t xml:space="preserve">m3</t>
  </si>
  <si>
    <t xml:space="preserve">SPM) SO-SUCKER</t>
  </si>
  <si>
    <t xml:space="preserve">TLPNM27911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</si>
  <si>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쿨맥스 데님 팬츠</t>
    </r>
  </si>
  <si>
    <t xml:space="preserve">IND(INDIGO), LBL(L/BLUE)</t>
  </si>
  <si>
    <t xml:space="preserve">TLSCM27501</t>
  </si>
  <si>
    <r>
      <rPr>
        <sz val="10"/>
        <rFont val="WenQuanYi Zen Hei"/>
        <family val="2"/>
      </rPr>
      <t xml:space="preserve">하절 남성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</si>
  <si>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DNA(D/NAVY), LGY-1, LBL(L/BLUE), BLK(BLACK)</t>
  </si>
  <si>
    <t xml:space="preserve">픽스처</t>
  </si>
  <si>
    <t xml:space="preserve">픽스쳐</t>
  </si>
  <si>
    <t xml:space="preserve">TLSCM27511</t>
  </si>
  <si>
    <t xml:space="preserve">하절 남성 체크 반팔 셔츠</t>
  </si>
  <si>
    <t xml:space="preserve">NAY, DGY(D/GRAY)</t>
  </si>
  <si>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DWT-2982DTP</t>
    </r>
  </si>
  <si>
    <t xml:space="preserve">TLSCM27921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</si>
  <si>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체크 시어서커 반팔 셔츠</t>
    </r>
  </si>
  <si>
    <t xml:space="preserve">DKH(D/KHAKI), NAY</t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</si>
  <si>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HL2026-5861"B"</t>
    </r>
  </si>
  <si>
    <t xml:space="preserve">TLSXM27901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</si>
  <si>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체크 긴팔 셔츠</t>
    </r>
  </si>
  <si>
    <t xml:space="preserve">WIN, NAY</t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</si>
  <si>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CFS01438A</t>
    </r>
  </si>
  <si>
    <t xml:space="preserve">TLTCM27505</t>
  </si>
  <si>
    <t xml:space="preserve">하절 남성 시어서커 폴로 반팔 티셔츠</t>
  </si>
  <si>
    <t xml:space="preserve">OWH, BLK(BLACK)</t>
  </si>
  <si>
    <r>
      <rPr>
        <sz val="10"/>
        <rFont val="맑은 고딕"/>
        <family val="0"/>
        <charset val="1"/>
      </rPr>
      <t xml:space="preserve">MD</t>
    </r>
    <r>
      <rPr>
        <sz val="10"/>
        <rFont val="WenQuanYi Zen Hei"/>
        <family val="2"/>
      </rPr>
      <t xml:space="preserve">글로벌</t>
    </r>
  </si>
  <si>
    <r>
      <rPr>
        <sz val="10"/>
        <rFont val="맑은 고딕"/>
        <family val="0"/>
        <charset val="1"/>
      </rPr>
      <t xml:space="preserve">MD</t>
    </r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) MDAC-72610</t>
    </r>
  </si>
  <si>
    <t xml:space="preserve">TLTCM27509</t>
  </si>
  <si>
    <r>
      <rPr>
        <sz val="10"/>
        <rFont val="WenQuanYi Zen Hei"/>
        <family val="2"/>
      </rPr>
      <t xml:space="preserve">하절 남성 시어서커 라운드넥 반팔 티셔츠 </t>
    </r>
    <r>
      <rPr>
        <sz val="10"/>
        <rFont val="맑은 고딕"/>
        <family val="0"/>
        <charset val="1"/>
      </rPr>
      <t xml:space="preserve">(SET-UP)</t>
    </r>
  </si>
  <si>
    <t xml:space="preserve">TVJJM27522</t>
  </si>
  <si>
    <t xml:space="preserve">하절 여성 중기장 후디드 방풍 재킷</t>
  </si>
  <si>
    <t xml:space="preserve">LPI, PIS</t>
  </si>
  <si>
    <r>
      <rPr>
        <sz val="10"/>
        <rFont val="WenQuanYi Zen Hei"/>
        <family val="2"/>
      </rPr>
      <t xml:space="preserve">프라미스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다이이찌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소노</t>
    </r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</si>
  <si>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1274P
</t>
    </r>
    <r>
      <rPr>
        <sz val="10"/>
        <rFont val="WenQuanYi Zen Hei"/>
        <family val="2"/>
      </rPr>
      <t xml:space="preserve">다이이찌</t>
    </r>
    <r>
      <rPr>
        <sz val="10"/>
        <rFont val="맑은 고딕"/>
        <family val="0"/>
        <charset val="1"/>
      </rPr>
      <t xml:space="preserve">) DN1010
</t>
    </r>
    <r>
      <rPr>
        <sz val="10"/>
        <rFont val="WenQuanYi Zen Hei"/>
        <family val="2"/>
      </rPr>
      <t xml:space="preserve">소노</t>
    </r>
    <r>
      <rPr>
        <sz val="10"/>
        <rFont val="맑은 고딕"/>
        <family val="0"/>
        <charset val="1"/>
      </rPr>
      <t xml:space="preserve">) SGNO-Y-186</t>
    </r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</si>
  <si>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</si>
  <si>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</si>
  <si>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DNA(D/NAVY), LBL(L/BLUE)</t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</si>
  <si>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</si>
  <si>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</si>
  <si>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TVTCM27538</t>
  </si>
  <si>
    <t xml:space="preserve">하절 여성 시어서커 반팔 폴로 티셔츠</t>
  </si>
  <si>
    <t xml:space="preserve">CRE(CREAM), LPI, PIS</t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</si>
  <si>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HL2026-5862"A"</t>
    </r>
  </si>
  <si>
    <t xml:space="preserve">TVTCM27542</t>
  </si>
  <si>
    <r>
      <rPr>
        <sz val="10"/>
        <rFont val="WenQuanYi Zen Hei"/>
        <family val="2"/>
      </rPr>
      <t xml:space="preserve">하절 여성 스트레치 시어서커 폴로 반팔 티셔츠 </t>
    </r>
    <r>
      <rPr>
        <sz val="10"/>
        <rFont val="맑은 고딕"/>
        <family val="0"/>
        <charset val="1"/>
      </rPr>
      <t xml:space="preserve">(SET-UP)</t>
    </r>
  </si>
  <si>
    <t xml:space="preserve">TVVAM27562</t>
  </si>
  <si>
    <t xml:space="preserve">하절 여성 경량 방풍 베스트</t>
  </si>
  <si>
    <t xml:space="preserve">LPI, GNA(G/NAVY)</t>
  </si>
  <si>
    <t xml:space="preserve">m2</t>
  </si>
  <si>
    <t xml:space="preserve">P&amp;T) PNT-00108RE-WA</t>
  </si>
  <si>
    <t xml:space="preserve">TLPNM27691</t>
  </si>
  <si>
    <t xml:space="preserve">하절 남성 데이팩 레귤러핏 테이퍼드 팬츠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</si>
  <si>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</si>
  <si>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SPM) NSX-WR</t>
  </si>
  <si>
    <t xml:space="preserve">TLPOM27501</t>
  </si>
  <si>
    <r>
      <rPr>
        <sz val="10"/>
        <rFont val="WenQuanYi Zen Hei"/>
        <family val="2"/>
      </rPr>
      <t xml:space="preserve">하절 남성 시어서커 쇼츠 </t>
    </r>
    <r>
      <rPr>
        <sz val="10"/>
        <rFont val="맑은 고딕"/>
        <family val="0"/>
        <charset val="1"/>
      </rPr>
      <t xml:space="preserve">(SET-UP)</t>
    </r>
  </si>
  <si>
    <t xml:space="preserve">LBL(L/BLUE), DNA(D/NAVY)</t>
  </si>
  <si>
    <t xml:space="preserve">TLPOM27697</t>
  </si>
  <si>
    <t xml:space="preserve">하절 남성 데이팩 베이직 쇼츠</t>
  </si>
  <si>
    <t xml:space="preserve">LKH, RBU, BLK(BLACK)</t>
  </si>
  <si>
    <t xml:space="preserve">TLPOM27699</t>
  </si>
  <si>
    <t xml:space="preserve">하절 남성 데이팩 카고 쇼츠</t>
  </si>
  <si>
    <t xml:space="preserve">BEI(BEIGE), BLK(BLACK)</t>
  </si>
  <si>
    <t xml:space="preserve">TLSCM27693</t>
  </si>
  <si>
    <t xml:space="preserve">하절 남성 데이팩 베이직 셔츠</t>
  </si>
  <si>
    <t xml:space="preserve">GRI(GREIGE), BLK(BLACK), BEI(BEIGE)</t>
  </si>
  <si>
    <t xml:space="preserve">TLTCM27691</t>
  </si>
  <si>
    <t xml:space="preserve">하절 남녀공용 데이팩 티셔츠</t>
  </si>
  <si>
    <t xml:space="preserve">GRI(GREIGE), LKH, BLK(BLACK)</t>
  </si>
  <si>
    <t xml:space="preserve">TVPNM27694</t>
  </si>
  <si>
    <t xml:space="preserve">하절 여성 데이팩 루즈 팬츠</t>
  </si>
  <si>
    <t xml:space="preserve">DNA(D/NAVY), LKH</t>
  </si>
  <si>
    <t xml:space="preserve">TVPOM27692</t>
  </si>
  <si>
    <t xml:space="preserve">하절 여성 데이팩 롱 베이직 스커트</t>
  </si>
  <si>
    <t xml:space="preserve">TVPOM27696</t>
  </si>
  <si>
    <t xml:space="preserve">하절 여성 데이팩 쇼츠</t>
  </si>
  <si>
    <t xml:space="preserve">BLK(BLACK), RBU, GRI(GREIGE)</t>
  </si>
  <si>
    <t xml:space="preserve">TVPOM27698</t>
  </si>
  <si>
    <t xml:space="preserve">하절 여성 데이팩 카고 쇼츠</t>
  </si>
  <si>
    <t xml:space="preserve">BLK(BLACK), BEI(BEIGE), GRI(GREIGE)</t>
  </si>
  <si>
    <t xml:space="preserve">TVSCM27692</t>
  </si>
  <si>
    <t xml:space="preserve">하절 여성 데이팩 반팔 셔츠</t>
  </si>
  <si>
    <t xml:space="preserve">BLK(BLACK), BEI-1</t>
  </si>
  <si>
    <t xml:space="preserve">TVTCM27562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</si>
  <si>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반팔 티셔츠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</si>
  <si>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</si>
  <si>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</si>
  <si>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</si>
  <si>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</si>
  <si>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</si>
  <si>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BLK(BLACK), DKH(D/KHAKI), GRI(GREIGE)</t>
  </si>
  <si>
    <t xml:space="preserve">TVTCM27698</t>
  </si>
  <si>
    <t xml:space="preserve">하절 여성 데이팩 원피스</t>
  </si>
  <si>
    <t xml:space="preserve">TLTBM27501</t>
  </si>
  <si>
    <t xml:space="preserve">남녀공용 베이직 오버핏 긴팔 티셔츠</t>
  </si>
  <si>
    <t xml:space="preserve">CRE-2, BLK(BLACK)</t>
  </si>
  <si>
    <t xml:space="preserve">TESSELLATION) KSF23KF0104532 B</t>
  </si>
  <si>
    <t xml:space="preserve">8UTCM27101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</si>
  <si>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</si>
  <si>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</t>
    </r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</si>
  <si>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DI-001C</t>
    </r>
  </si>
  <si>
    <t xml:space="preserve">이다영</t>
  </si>
  <si>
    <t xml:space="preserve">JWVAM27301</t>
  </si>
  <si>
    <t xml:space="preserve">남녀공용 알파다이렉트 베스트</t>
  </si>
  <si>
    <t xml:space="preserve">SGY</t>
  </si>
  <si>
    <r>
      <rPr>
        <sz val="10"/>
        <rFont val="맑은 고딕"/>
        <family val="0"/>
        <charset val="1"/>
      </rPr>
      <t xml:space="preserve">POLARTEC / </t>
    </r>
    <r>
      <rPr>
        <sz val="10"/>
        <rFont val="WenQuanYi Zen Hei"/>
        <family val="2"/>
      </rPr>
      <t xml:space="preserve">신원</t>
    </r>
  </si>
  <si>
    <t xml:space="preserve">POLARTEC) 4004</t>
  </si>
  <si>
    <t xml:space="preserve">TLTCM27521</t>
  </si>
  <si>
    <t xml:space="preserve">남성 소로나 레귤러핏 반팔 티셔츠</t>
  </si>
  <si>
    <t xml:space="preserve">IVO(IVORY), LLA-1, GBU-3, BLK(BLACK)</t>
  </si>
  <si>
    <t xml:space="preserve">IKG) BK-PO-1065</t>
  </si>
  <si>
    <t xml:space="preserve">TVTCM27506</t>
  </si>
  <si>
    <t xml:space="preserve">여성 소로나 라운드넥 반팔 티셔츠</t>
  </si>
  <si>
    <t xml:space="preserve">IVO(IVORY), LPI, PIS, BLK(BLACK)</t>
  </si>
  <si>
    <t xml:space="preserve">JKPNM27138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</si>
  <si>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디테처블 팬츠</t>
    </r>
  </si>
  <si>
    <t xml:space="preserve">JKPNM27192</t>
  </si>
  <si>
    <t xml:space="preserve">하절 여성 하이킹 벤틸레이션 커브드 팬츠</t>
  </si>
  <si>
    <t xml:space="preserve">VBU, CRE(CREAM)</t>
  </si>
  <si>
    <t xml:space="preserve">밀리테크</t>
  </si>
  <si>
    <r>
      <rPr>
        <sz val="10"/>
        <rFont val="WenQuanYi Zen Hei"/>
        <family val="2"/>
      </rPr>
      <t xml:space="preserve">밀리테크</t>
    </r>
    <r>
      <rPr>
        <sz val="10"/>
        <rFont val="맑은 고딕"/>
        <family val="0"/>
        <charset val="1"/>
      </rPr>
      <t xml:space="preserve">) MT-9560HD</t>
    </r>
  </si>
  <si>
    <t xml:space="preserve">JKJJM27124</t>
  </si>
  <si>
    <t xml:space="preserve">하절 여성 자카드 풀집업 자켓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</si>
  <si>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GB26T-LIK0001</t>
    </r>
  </si>
  <si>
    <t xml:space="preserve">JKPOM27142</t>
  </si>
  <si>
    <r>
      <rPr>
        <sz val="10"/>
        <rFont val="WenQuanYi Zen Hei"/>
        <family val="2"/>
      </rPr>
      <t xml:space="preserve">하절 여성 소프트쉘 쇼츠 </t>
    </r>
    <r>
      <rPr>
        <sz val="10"/>
        <rFont val="맑은 고딕"/>
        <family val="0"/>
        <charset val="1"/>
      </rPr>
      <t xml:space="preserve">(SET-UP)</t>
    </r>
  </si>
  <si>
    <t xml:space="preserve">JKTBM27124</t>
  </si>
  <si>
    <t xml:space="preserve">하절 여성 자카드 긴팔 티셔츠</t>
  </si>
  <si>
    <t xml:space="preserve">JKTBM27128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</si>
  <si>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</si>
  <si>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IVO(IVORY), DMI(D/MINT)</t>
  </si>
  <si>
    <t xml:space="preserve">JKTBM27182</t>
  </si>
  <si>
    <t xml:space="preserve">하절 여성 에어도트 하이브리드 긴팔 후드 티셔츠</t>
  </si>
  <si>
    <t xml:space="preserve">WBE, DMI(D/MINT)</t>
  </si>
  <si>
    <t xml:space="preserve">SPM) DOT AIR -50SF</t>
  </si>
  <si>
    <t xml:space="preserve">JKTBM27282</t>
  </si>
  <si>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차 추가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긴팔 라운드 티셔츠</t>
    </r>
  </si>
  <si>
    <t xml:space="preserve">LIL(LILAC), BLK(BLACK)</t>
  </si>
  <si>
    <r>
      <rPr>
        <sz val="10"/>
        <rFont val="WenQuanYi Zen Hei"/>
        <family val="2"/>
      </rPr>
      <t xml:space="preserve">태진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한샘</t>
    </r>
  </si>
  <si>
    <r>
      <rPr>
        <sz val="10"/>
        <rFont val="WenQuanYi Zen Hei"/>
        <family val="2"/>
      </rPr>
      <t xml:space="preserve">태진</t>
    </r>
    <r>
      <rPr>
        <sz val="10"/>
        <rFont val="맑은 고딕"/>
        <family val="0"/>
        <charset val="1"/>
      </rPr>
      <t xml:space="preserve">) TJ-04111</t>
    </r>
  </si>
  <si>
    <t xml:space="preserve">JWPNM27137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</si>
  <si>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디테쳐블 팬츠</t>
    </r>
  </si>
  <si>
    <t xml:space="preserve">SM1</t>
  </si>
  <si>
    <t xml:space="preserve">JWPNM27151</t>
  </si>
  <si>
    <r>
      <rPr>
        <sz val="10"/>
        <rFont val="WenQuanYi Zen Hei"/>
        <family val="2"/>
      </rPr>
      <t xml:space="preserve">하절 남성 원턱 레귤러핏 스탠다드 팬츠</t>
    </r>
    <r>
      <rPr>
        <sz val="10"/>
        <rFont val="맑은 고딕"/>
        <family val="0"/>
        <charset val="1"/>
      </rPr>
      <t xml:space="preserve">(ODM)</t>
    </r>
  </si>
  <si>
    <t xml:space="preserve">BGY(B/GRAY), CIN(CINDER)</t>
  </si>
  <si>
    <t xml:space="preserve">화니글로벌</t>
  </si>
  <si>
    <r>
      <rPr>
        <sz val="10"/>
        <rFont val="WenQuanYi Zen Hei"/>
        <family val="2"/>
      </rPr>
      <t xml:space="preserve">화니글로벌</t>
    </r>
    <r>
      <rPr>
        <sz val="10"/>
        <rFont val="맑은 고딕"/>
        <family val="0"/>
        <charset val="1"/>
      </rPr>
      <t xml:space="preserve">) SAD086(</t>
    </r>
    <r>
      <rPr>
        <sz val="10"/>
        <rFont val="WenQuanYi Zen Hei"/>
        <family val="2"/>
      </rPr>
      <t xml:space="preserve">리사이클</t>
    </r>
  </si>
  <si>
    <t xml:space="preserve">JWPNM27161</t>
  </si>
  <si>
    <r>
      <rPr>
        <sz val="10"/>
        <rFont val="WenQuanYi Zen Hei"/>
        <family val="2"/>
      </rPr>
      <t xml:space="preserve">하절 남성 노턱 슬림핏 스탠다드 팬츠</t>
    </r>
    <r>
      <rPr>
        <sz val="10"/>
        <rFont val="맑은 고딕"/>
        <family val="0"/>
        <charset val="1"/>
      </rPr>
      <t xml:space="preserve">(ODM)</t>
    </r>
  </si>
  <si>
    <t xml:space="preserve">DGY-2, BLK(BLACK), CIN(CINDER)</t>
  </si>
  <si>
    <r>
      <rPr>
        <sz val="10"/>
        <rFont val="맑은 고딕"/>
        <family val="0"/>
        <charset val="1"/>
      </rPr>
      <t xml:space="preserve">TBO / </t>
    </r>
    <r>
      <rPr>
        <sz val="10"/>
        <rFont val="WenQuanYi Zen Hei"/>
        <family val="2"/>
      </rPr>
      <t xml:space="preserve">거림</t>
    </r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</si>
  <si>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</si>
  <si>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</si>
  <si>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WGY, BLK(BLACK)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</si>
  <si>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GB25T-STK0297</t>
    </r>
  </si>
  <si>
    <t xml:space="preserve">44511</t>
  </si>
  <si>
    <t xml:space="preserve">JWTBM27127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</si>
  <si>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</si>
  <si>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DOC(D/OCEAN), DGY(D/GRAY), DNA(D/NAVY)</t>
  </si>
  <si>
    <t xml:space="preserve">조은선</t>
  </si>
  <si>
    <t xml:space="preserve">QEHFM27301</t>
  </si>
  <si>
    <t xml:space="preserve">남녀공용 모스드라이 하이킹 스트레치 반장갑</t>
  </si>
  <si>
    <t xml:space="preserve">BLK(BLACK), VBU, GKH(G/KHAKI)</t>
  </si>
  <si>
    <t xml:space="preserve">시즈글로벌</t>
  </si>
  <si>
    <t xml:space="preserve">QEHFM27305</t>
  </si>
  <si>
    <t xml:space="preserve">남녀공용 모스드라이 하이킹 자외선 차단 반장갑</t>
  </si>
  <si>
    <t xml:space="preserve">DGY(D/GRAY), GMI(G/MINT), LGY(L/GRAY)</t>
  </si>
  <si>
    <t xml:space="preserve">TLPNM27541</t>
  </si>
  <si>
    <t xml:space="preserve">하절 남성 나일론 레귤러핏 테이퍼드 팬츠</t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</si>
  <si>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DO-482C</t>
    </r>
  </si>
  <si>
    <t xml:space="preserve">TLSXM27521</t>
  </si>
  <si>
    <t xml:space="preserve">하절 남성 체크 긴팔 셔츠</t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</si>
  <si>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SUH404749-01</t>
    </r>
  </si>
  <si>
    <t xml:space="preserve">TLSXM27551</t>
  </si>
  <si>
    <t xml:space="preserve">하절 남성 시어서커 긴팔 셔츠</t>
  </si>
  <si>
    <t xml:space="preserve">IVO(IVORY), GBU-4</t>
  </si>
  <si>
    <t xml:space="preserve">타키사다나고야</t>
  </si>
  <si>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1083500MI</t>
    </r>
  </si>
  <si>
    <t xml:space="preserve">3</t>
  </si>
  <si>
    <t xml:space="preserve">TLTCM27561</t>
  </si>
  <si>
    <t xml:space="preserve">하절 남성 헨리넥 레귤러핏 반팔 티셔츠</t>
  </si>
  <si>
    <t xml:space="preserve">DNA(D/NAVY), LGY(L/GRAY)</t>
  </si>
  <si>
    <r>
      <rPr>
        <sz val="10"/>
        <rFont val="맑은 고딕"/>
        <family val="0"/>
        <charset val="1"/>
      </rPr>
      <t xml:space="preserve">IKG) BROS B8802 </t>
    </r>
    <r>
      <rPr>
        <sz val="10"/>
        <rFont val="WenQuanYi Zen Hei"/>
        <family val="2"/>
      </rPr>
      <t xml:space="preserve">싱글</t>
    </r>
  </si>
  <si>
    <t xml:space="preserve">TVJJM27502</t>
  </si>
  <si>
    <t xml:space="preserve">하절 여성 스탠드넥 벤틸레이션 방풍 재킷</t>
  </si>
  <si>
    <t xml:space="preserve">LGI(L/GREIGE), GBU(G/BLUE)</t>
  </si>
  <si>
    <r>
      <rPr>
        <sz val="10"/>
        <rFont val="WenQuanYi Zen Hei"/>
        <family val="2"/>
      </rPr>
      <t xml:space="preserve">필코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마쿠스</t>
    </r>
  </si>
  <si>
    <t xml:space="preserve">TVJJM27542</t>
  </si>
  <si>
    <t xml:space="preserve">하절 여성 중기장 오버사이즈 재킷</t>
  </si>
  <si>
    <t xml:space="preserve">CO1</t>
  </si>
  <si>
    <t xml:space="preserve">TVTCM27502</t>
  </si>
  <si>
    <t xml:space="preserve">하절 여성 베이직 폴로 반팔 티셔츠</t>
  </si>
  <si>
    <t xml:space="preserve">IVO(IVORY), DNA(D/NAVY), LPI</t>
  </si>
  <si>
    <t xml:space="preserve">TESSLLATION / IKG</t>
  </si>
  <si>
    <r>
      <rPr>
        <sz val="10"/>
        <rFont val="맑은 고딕"/>
        <family val="0"/>
        <charset val="1"/>
      </rPr>
      <t xml:space="preserve">TESSLLATION / </t>
    </r>
    <r>
      <rPr>
        <sz val="10"/>
        <rFont val="WenQuanYi Zen Hei"/>
        <family val="2"/>
      </rPr>
      <t xml:space="preserve">온고</t>
    </r>
  </si>
  <si>
    <r>
      <rPr>
        <sz val="10"/>
        <rFont val="맑은 고딕"/>
        <family val="0"/>
        <charset val="1"/>
      </rPr>
      <t xml:space="preserve">TESSLLATION) JIN-25JS4327
</t>
    </r>
    <r>
      <rPr>
        <sz val="10"/>
        <rFont val="WenQuanYi Zen Hei"/>
        <family val="2"/>
      </rPr>
      <t xml:space="preserve">온고</t>
    </r>
    <r>
      <rPr>
        <sz val="10"/>
        <rFont val="맑은 고딕"/>
        <family val="0"/>
        <charset val="1"/>
      </rPr>
      <t xml:space="preserve">) OGPE 1060</t>
    </r>
  </si>
  <si>
    <t xml:space="preserve">JKJJM27142</t>
  </si>
  <si>
    <r>
      <rPr>
        <sz val="10"/>
        <rFont val="WenQuanYi Zen Hei"/>
        <family val="2"/>
      </rPr>
      <t xml:space="preserve">하절 여성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</si>
  <si>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JKJJM27182</t>
  </si>
  <si>
    <t xml:space="preserve">하절 여성 제노아 스트레치 중기장 인후드 재킷</t>
  </si>
  <si>
    <t xml:space="preserve">GRI(GREIGE), LIL(LILAC), NAY-1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</si>
  <si>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</si>
  <si>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</si>
  <si>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JWTCM27127</t>
  </si>
  <si>
    <t xml:space="preserve">남녀공용 소로나 릴렉스핏 그래픽 티셔츠</t>
  </si>
  <si>
    <t xml:space="preserve">수텍스</t>
  </si>
  <si>
    <r>
      <rPr>
        <sz val="10"/>
        <rFont val="WenQuanYi Zen Hei"/>
        <family val="2"/>
      </rPr>
      <t xml:space="preserve">수텍스</t>
    </r>
    <r>
      <rPr>
        <sz val="10"/>
        <rFont val="맑은 고딕"/>
        <family val="0"/>
        <charset val="1"/>
      </rPr>
      <t xml:space="preserve">) SJS-23-1568</t>
    </r>
  </si>
  <si>
    <t xml:space="preserve">JWTCM27147</t>
  </si>
  <si>
    <t xml:space="preserve">JWTCM27149</t>
  </si>
  <si>
    <r>
      <rPr>
        <sz val="10"/>
        <rFont val="WenQuanYi Zen Hei"/>
        <family val="2"/>
      </rPr>
      <t xml:space="preserve">남녀공용 소로나쿨</t>
    </r>
    <r>
      <rPr>
        <sz val="10"/>
        <rFont val="맑은 고딕"/>
        <family val="0"/>
        <charset val="1"/>
      </rPr>
      <t xml:space="preserve">(CP) </t>
    </r>
    <r>
      <rPr>
        <sz val="10"/>
        <rFont val="WenQuanYi Zen Hei"/>
        <family val="2"/>
      </rPr>
      <t xml:space="preserve">릴렉스핏 그래픽 티셔츠</t>
    </r>
  </si>
  <si>
    <t xml:space="preserve">DGY(D/GRAY), MUD</t>
  </si>
  <si>
    <t xml:space="preserve">TLJJM27501</t>
  </si>
  <si>
    <t xml:space="preserve">하절 남성 경량 재킷</t>
  </si>
  <si>
    <t xml:space="preserve">BLK(BLACK), LGY-1</t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</si>
  <si>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HQ-213</t>
    </r>
  </si>
  <si>
    <t xml:space="preserve">심현숙</t>
  </si>
  <si>
    <t xml:space="preserve">TLJJM27701</t>
  </si>
  <si>
    <r>
      <rPr>
        <sz val="10"/>
        <rFont val="WenQuanYi Zen Hei"/>
        <family val="2"/>
      </rPr>
      <t xml:space="preserve">남성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</si>
  <si>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BLU(BLUE)</t>
  </si>
  <si>
    <t xml:space="preserve">PERTEX</t>
  </si>
  <si>
    <t xml:space="preserve">PERTEX) PS074-20C3L7</t>
  </si>
  <si>
    <t xml:space="preserve">TLJJM27703</t>
  </si>
  <si>
    <t xml:space="preserve">남성 트레일러닝 패커블 초경량 방풍 자켓</t>
  </si>
  <si>
    <t xml:space="preserve">DBE(DARK BEIGE)</t>
  </si>
  <si>
    <t xml:space="preserve">텍스마켓</t>
  </si>
  <si>
    <r>
      <rPr>
        <sz val="10"/>
        <rFont val="WenQuanYi Zen Hei"/>
        <family val="2"/>
      </rPr>
      <t xml:space="preserve">텍스마켓</t>
    </r>
    <r>
      <rPr>
        <sz val="10"/>
        <rFont val="맑은 고딕"/>
        <family val="0"/>
        <charset val="1"/>
      </rPr>
      <t xml:space="preserve">) CN-163</t>
    </r>
  </si>
  <si>
    <t xml:space="preserve">TLPOM27731</t>
  </si>
  <si>
    <r>
      <rPr>
        <sz val="10"/>
        <rFont val="WenQuanYi Zen Hei"/>
        <family val="2"/>
      </rPr>
      <t xml:space="preserve">남성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</si>
  <si>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KG-GLOBAL</t>
  </si>
  <si>
    <t xml:space="preserve">KG-GLOBAL) KGA-2724</t>
  </si>
  <si>
    <t xml:space="preserve">TLPOM27733</t>
  </si>
  <si>
    <r>
      <rPr>
        <sz val="10"/>
        <rFont val="WenQuanYi Zen Hei"/>
        <family val="2"/>
      </rPr>
      <t xml:space="preserve">남성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</si>
  <si>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DGY(D/GRAY), LSE</t>
  </si>
  <si>
    <r>
      <rPr>
        <sz val="10"/>
        <rFont val="WenQuanYi Zen Hei"/>
        <family val="2"/>
      </rPr>
      <t xml:space="preserve">텍스마켓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우주</t>
    </r>
  </si>
  <si>
    <t xml:space="preserve">TLPOM27735</t>
  </si>
  <si>
    <r>
      <rPr>
        <sz val="10"/>
        <rFont val="WenQuanYi Zen Hei"/>
        <family val="2"/>
      </rPr>
      <t xml:space="preserve">남성 트레일러닝 트레일 스토리지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타이즈</t>
    </r>
  </si>
  <si>
    <t xml:space="preserve">LSE</t>
  </si>
  <si>
    <t xml:space="preserve">ECLAT</t>
  </si>
  <si>
    <t xml:space="preserve">ECLAT) RT1706334</t>
  </si>
  <si>
    <t xml:space="preserve">TLTCM27711</t>
  </si>
  <si>
    <t xml:space="preserve">남성 트레일러닝 흡습속건 라운드 반팔 티셔츠</t>
  </si>
  <si>
    <t xml:space="preserve">BLK(BLACK), BLU(BLUE), LSE</t>
  </si>
  <si>
    <t xml:space="preserve">POLARTEC</t>
  </si>
  <si>
    <t xml:space="preserve">POLARTEC) 8022(21082-1-2</t>
  </si>
  <si>
    <t xml:space="preserve">TLTCM27721</t>
  </si>
  <si>
    <t xml:space="preserve">남성 트레일러닝 자카드 라운드 슬리브리스</t>
  </si>
  <si>
    <t xml:space="preserve">DGY(D/GRAY)</t>
  </si>
  <si>
    <r>
      <rPr>
        <sz val="10"/>
        <rFont val="WenQuanYi Zen Hei"/>
        <family val="2"/>
      </rPr>
      <t xml:space="preserve">화니글로벌</t>
    </r>
    <r>
      <rPr>
        <sz val="10"/>
        <rFont val="맑은 고딕"/>
        <family val="0"/>
        <charset val="1"/>
      </rPr>
      <t xml:space="preserve">) TVT0085</t>
    </r>
  </si>
  <si>
    <t xml:space="preserve">TLTCM27723</t>
  </si>
  <si>
    <t xml:space="preserve">남성 트레일러닝 저지 라운드 슬리브리스</t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</si>
  <si>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SK23-9192-YC</t>
    </r>
  </si>
  <si>
    <t xml:space="preserve">TVJJM27702</t>
  </si>
  <si>
    <r>
      <rPr>
        <sz val="10"/>
        <rFont val="WenQuanYi Zen Hei"/>
        <family val="2"/>
      </rPr>
      <t xml:space="preserve">여성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</si>
  <si>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IVO(IVORY)</t>
  </si>
  <si>
    <t xml:space="preserve">TVJJM27704</t>
  </si>
  <si>
    <t xml:space="preserve">여성 트레일러닝 패커블 초경량 방풍 자켓</t>
  </si>
  <si>
    <t xml:space="preserve">TVPNM27502</t>
  </si>
  <si>
    <t xml:space="preserve">하절 여성 베이직 크롭 세미 와이드 팬츠</t>
  </si>
  <si>
    <t xml:space="preserve">BLK(BLACK), LGI(L/GREIGE)</t>
  </si>
  <si>
    <t xml:space="preserve">TVPNM27522</t>
  </si>
  <si>
    <t xml:space="preserve">하절 여성 카고조거 팬츠</t>
  </si>
  <si>
    <t xml:space="preserve">BLK(BLACK), DGY-1</t>
  </si>
  <si>
    <t xml:space="preserve">YIC / TBO</t>
  </si>
  <si>
    <r>
      <rPr>
        <sz val="10"/>
        <rFont val="WenQuanYi Zen Hei"/>
        <family val="2"/>
      </rPr>
      <t xml:space="preserve">필코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태우</t>
    </r>
  </si>
  <si>
    <r>
      <rPr>
        <sz val="10"/>
        <rFont val="WenQuanYi Zen Hei"/>
        <family val="2"/>
      </rPr>
      <t xml:space="preserve">필코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쿨율턴</t>
    </r>
    <r>
      <rPr>
        <sz val="10"/>
        <rFont val="맑은 고딕"/>
        <family val="0"/>
        <charset val="1"/>
      </rPr>
      <t xml:space="preserve">2
</t>
    </r>
    <r>
      <rPr>
        <sz val="10"/>
        <rFont val="WenQuanYi Zen Hei"/>
        <family val="2"/>
      </rPr>
      <t xml:space="preserve">필코</t>
    </r>
    <r>
      <rPr>
        <sz val="10"/>
        <rFont val="맑은 고딕"/>
        <family val="0"/>
        <charset val="1"/>
      </rPr>
      <t xml:space="preserve">) 16</t>
    </r>
    <r>
      <rPr>
        <sz val="10"/>
        <rFont val="WenQuanYi Zen Hei"/>
        <family val="2"/>
      </rPr>
      <t xml:space="preserve">케이트</t>
    </r>
    <r>
      <rPr>
        <sz val="10"/>
        <rFont val="맑은 고딕"/>
        <family val="0"/>
        <charset val="1"/>
      </rPr>
      <t xml:space="preserve">A
</t>
    </r>
    <r>
      <rPr>
        <sz val="10"/>
        <rFont val="WenQuanYi Zen Hei"/>
        <family val="2"/>
      </rPr>
      <t xml:space="preserve">태우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아쿠아쿨링</t>
    </r>
  </si>
  <si>
    <t xml:space="preserve">TVPNM27532</t>
  </si>
  <si>
    <t xml:space="preserve">하절 여성 와이드 팬츠</t>
  </si>
  <si>
    <t xml:space="preserve">BLK(BLACK), GBU-3</t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</si>
  <si>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</si>
  <si>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</si>
  <si>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TVPOM27732</t>
  </si>
  <si>
    <r>
      <rPr>
        <sz val="10"/>
        <rFont val="WenQuanYi Zen Hei"/>
        <family val="2"/>
      </rPr>
      <t xml:space="preserve">여성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</si>
  <si>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TVPOM27734</t>
  </si>
  <si>
    <r>
      <rPr>
        <sz val="10"/>
        <rFont val="WenQuanYi Zen Hei"/>
        <family val="2"/>
      </rPr>
      <t xml:space="preserve">여성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</si>
  <si>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TVPOM27736</t>
  </si>
  <si>
    <r>
      <rPr>
        <sz val="10"/>
        <rFont val="WenQuanYi Zen Hei"/>
        <family val="2"/>
      </rPr>
      <t xml:space="preserve">여성 트레일러닝 트레일 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타이즈</t>
    </r>
  </si>
  <si>
    <t xml:space="preserve">TVSXM27592</t>
  </si>
  <si>
    <t xml:space="preserve">하절 여성 에어리 긴팔 셔츠</t>
  </si>
  <si>
    <t xml:space="preserve">PYL, LGI(L/GREIGE)</t>
  </si>
  <si>
    <t xml:space="preserve">TVTCM27712</t>
  </si>
  <si>
    <t xml:space="preserve">여성 트레일러닝 흡습속건 라운드 반팔 티셔츠</t>
  </si>
  <si>
    <t xml:space="preserve">BLK(BLACK), DGY(D/GRAY)</t>
  </si>
  <si>
    <t xml:space="preserve">TVTCM27714</t>
  </si>
  <si>
    <t xml:space="preserve">여성 트레일러닝 흡습속건 프린트 라운드 반팔 티셔츠</t>
  </si>
  <si>
    <t xml:space="preserve">TVTCM27722</t>
  </si>
  <si>
    <t xml:space="preserve">여성 트레일러닝 자카드 라운드 슬리브리스</t>
  </si>
  <si>
    <t xml:space="preserve">TVTCM27724</t>
  </si>
  <si>
    <t xml:space="preserve">여성 트레일러닝 저지 라운드 슬리브리스</t>
  </si>
  <si>
    <t xml:space="preserve">JKJJM27156</t>
  </si>
  <si>
    <t xml:space="preserve">하절 여성 고강력사 방풍 재킷</t>
  </si>
  <si>
    <t xml:space="preserve">BLK(BLACK), DMI(D/MINT)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</si>
  <si>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PM-7273</t>
    </r>
  </si>
  <si>
    <t xml:space="preserve">JKJJM27162</t>
  </si>
  <si>
    <t xml:space="preserve">하절 여성 윈드 후드 재킷</t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</si>
  <si>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</t>
    </r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</si>
  <si>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GC) THIN SUN</t>
    </r>
  </si>
  <si>
    <t xml:space="preserve">JKPNM27162</t>
  </si>
  <si>
    <t xml:space="preserve">하절 여성 슬림핏 스탠다드 팬츠</t>
  </si>
  <si>
    <t xml:space="preserve">BLK(BLACK), NAY, WGY</t>
  </si>
  <si>
    <t xml:space="preserve">JKPNM27182</t>
  </si>
  <si>
    <t xml:space="preserve">하절 여성 에어도트 레귤러핏 팬츠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</si>
  <si>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GB19T-LUW0296</t>
    </r>
  </si>
  <si>
    <t xml:space="preserve">JKPNM27184</t>
  </si>
  <si>
    <t xml:space="preserve">하절 여성 에어도트 루즈핏 팬츠</t>
  </si>
  <si>
    <t xml:space="preserve">L&amp;S</t>
  </si>
  <si>
    <t xml:space="preserve">L&amp;S) DA4288SYWR</t>
  </si>
  <si>
    <t xml:space="preserve">JKSXM27182</t>
  </si>
  <si>
    <t xml:space="preserve">하절 여성 에어도트 긴팔 셔츠</t>
  </si>
  <si>
    <t xml:space="preserve">JKTCM27158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</si>
  <si>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</si>
  <si>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PYL, LSL</t>
  </si>
  <si>
    <t xml:space="preserve">JKTCM27160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</si>
  <si>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</si>
  <si>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IVO(IVORY), LIL(LILAC), BLK(BLACK)</t>
  </si>
  <si>
    <t xml:space="preserve">JKTCM27184</t>
  </si>
  <si>
    <t xml:space="preserve">하절 여성 에어도트 반팔 폴로 티셔츠</t>
  </si>
  <si>
    <t xml:space="preserve">MIN, BLK(BLACK)</t>
  </si>
  <si>
    <t xml:space="preserve">JKTCM27186</t>
  </si>
  <si>
    <t xml:space="preserve">하절 여성 에어도트 반팔 후드 티셔츠</t>
  </si>
  <si>
    <t xml:space="preserve">JWJJM27155</t>
  </si>
  <si>
    <t xml:space="preserve">남성 고강력사 방풍 재킷</t>
  </si>
  <si>
    <t xml:space="preserve">DOC(D/OCEAN), BLK(BLACK)</t>
  </si>
  <si>
    <t xml:space="preserve">JWPNM27141</t>
  </si>
  <si>
    <r>
      <rPr>
        <sz val="10"/>
        <rFont val="WenQuanYi Zen Hei"/>
        <family val="2"/>
      </rPr>
      <t xml:space="preserve">하절 남성 소프트쉘 팬츠 </t>
    </r>
    <r>
      <rPr>
        <sz val="10"/>
        <rFont val="맑은 고딕"/>
        <family val="0"/>
        <charset val="1"/>
      </rPr>
      <t xml:space="preserve">(SET-UP)</t>
    </r>
  </si>
  <si>
    <t xml:space="preserve">BLK(BLACK), BGY(B/GRAY)</t>
  </si>
  <si>
    <t xml:space="preserve">JWPNM27165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</si>
  <si>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우븐 트레이닝 팬츠</t>
    </r>
    <r>
      <rPr>
        <sz val="10"/>
        <rFont val="맑은 고딕"/>
        <family val="0"/>
        <charset val="1"/>
      </rPr>
      <t xml:space="preserve">(ODM)</t>
    </r>
  </si>
  <si>
    <t xml:space="preserve">DGY-2, BLK(BLACK)</t>
  </si>
  <si>
    <t xml:space="preserve">JWPNM27181</t>
  </si>
  <si>
    <t xml:space="preserve">하절 남성 에어도트 루즈핏 파라슈트 팬츠</t>
  </si>
  <si>
    <t xml:space="preserve">JWPNM27183</t>
  </si>
  <si>
    <t xml:space="preserve">하절 에어도트 레귤러핏 팬츠</t>
  </si>
  <si>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DWT-2982</t>
    </r>
  </si>
  <si>
    <t xml:space="preserve">JWPNM27191</t>
  </si>
  <si>
    <r>
      <rPr>
        <sz val="10"/>
        <rFont val="WenQuanYi Zen Hei"/>
        <family val="2"/>
      </rPr>
      <t xml:space="preserve">하절 남성 커브드 팬츠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</si>
  <si>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DGY-2, KHA(KHAKI)</t>
  </si>
  <si>
    <t xml:space="preserve">JWSXM27181</t>
  </si>
  <si>
    <t xml:space="preserve">하절 남성 에어도트 긴팔 셔츠</t>
  </si>
  <si>
    <t xml:space="preserve">JWTBM27167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</si>
  <si>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</si>
  <si>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DBU(D/BLUE), DMI(D/MINT)</t>
  </si>
  <si>
    <t xml:space="preserve">JWTBM27181</t>
  </si>
  <si>
    <t xml:space="preserve">남녀공용 솔솔 에어도트 하이브리드 긴팔 티셔츠</t>
  </si>
  <si>
    <t xml:space="preserve">WBE, BLK(BLACK)</t>
  </si>
  <si>
    <r>
      <rPr>
        <sz val="10"/>
        <rFont val="맑은 고딕"/>
        <family val="0"/>
        <charset val="1"/>
      </rPr>
      <t xml:space="preserve">L&amp;S / </t>
    </r>
    <r>
      <rPr>
        <sz val="10"/>
        <rFont val="WenQuanYi Zen Hei"/>
        <family val="2"/>
      </rPr>
      <t xml:space="preserve">대웅</t>
    </r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</si>
  <si>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</si>
  <si>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</si>
  <si>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DGY(D/GRAY), DBU(D/BLUE), DMI(D/MINT), WGY</t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</si>
  <si>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</si>
  <si>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</si>
  <si>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BLK(BLACK), IVO(IVORY), DGR(D/GREEN), DNA(D/NAVY)</t>
  </si>
  <si>
    <t xml:space="preserve">최지희</t>
  </si>
  <si>
    <t xml:space="preserve">강지은</t>
  </si>
  <si>
    <t xml:space="preserve">QEREM27131</t>
  </si>
  <si>
    <t xml:space="preserve">남녀공용 메쉬 우븐 배색 캠프캡</t>
  </si>
  <si>
    <t xml:space="preserve">캐비야</t>
  </si>
  <si>
    <t xml:space="preserve">QEREM27151</t>
  </si>
  <si>
    <t xml:space="preserve">남녀공용 에어도트 볼캡</t>
  </si>
  <si>
    <t xml:space="preserve">CRE(CREAM), KHA(KHAKI), BGY(B/GRAY), BLK(BLACK)</t>
  </si>
  <si>
    <t xml:space="preserve">QERFM27121</t>
  </si>
  <si>
    <t xml:space="preserve">남녀공용 경량 메쉬 버킷햇</t>
  </si>
  <si>
    <t xml:space="preserve">QERFM27151</t>
  </si>
  <si>
    <t xml:space="preserve">남녀공용 에어도트 버킷햇</t>
  </si>
  <si>
    <t xml:space="preserve">QERFM27401</t>
  </si>
  <si>
    <t xml:space="preserve">남녀공용 시어서커 버킷햇</t>
  </si>
  <si>
    <t xml:space="preserve">QERFM27402</t>
  </si>
  <si>
    <t xml:space="preserve">여성 롱와이드 버킷햇</t>
  </si>
  <si>
    <t xml:space="preserve">CPI(C/PINK), PYL</t>
  </si>
  <si>
    <t xml:space="preserve">TLPOM27521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</si>
  <si>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쇼츠 </t>
    </r>
    <r>
      <rPr>
        <sz val="10"/>
        <rFont val="맑은 고딕"/>
        <family val="0"/>
        <charset val="1"/>
      </rPr>
      <t xml:space="preserve">(SET-UP)</t>
    </r>
  </si>
  <si>
    <t xml:space="preserve">-</t>
  </si>
  <si>
    <t xml:space="preserve">TLSCM27551</t>
  </si>
  <si>
    <t xml:space="preserve">하절 남성 멀티 스트라이프 반팔 셔츠</t>
  </si>
  <si>
    <t xml:space="preserve">CO1, CO2</t>
  </si>
  <si>
    <t xml:space="preserve">TLTCM27501</t>
  </si>
  <si>
    <t xml:space="preserve">하절 남성 베이직 폴로 반팔 티셔츠</t>
  </si>
  <si>
    <t xml:space="preserve">IVO(IVORY), BGY-1, BLK(BLACK), NAY</t>
  </si>
  <si>
    <t xml:space="preserve">TLTCM27529</t>
  </si>
  <si>
    <t xml:space="preserve">하절 남성 린넨라이크 폴로 반팔 티셔츠</t>
  </si>
  <si>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106-13414</t>
    </r>
  </si>
  <si>
    <t xml:space="preserve">TLTCM27551</t>
  </si>
  <si>
    <t xml:space="preserve">하절 남성 멀티 스트라이프 라운드 반팔 티셔츠</t>
  </si>
  <si>
    <t xml:space="preserve">온고</t>
  </si>
  <si>
    <r>
      <rPr>
        <sz val="10"/>
        <rFont val="WenQuanYi Zen Hei"/>
        <family val="2"/>
      </rPr>
      <t xml:space="preserve">온고</t>
    </r>
    <r>
      <rPr>
        <sz val="10"/>
        <rFont val="맑은 고딕"/>
        <family val="0"/>
        <charset val="1"/>
      </rPr>
      <t xml:space="preserve">) OGNS 9345</t>
    </r>
  </si>
  <si>
    <t xml:space="preserve">TLTCM27553</t>
  </si>
  <si>
    <t xml:space="preserve">하절 남성 스트라이프 폴로 반팔 티셔츠</t>
  </si>
  <si>
    <r>
      <rPr>
        <sz val="10"/>
        <rFont val="WenQuanYi Zen Hei"/>
        <family val="2"/>
      </rPr>
      <t xml:space="preserve">온고</t>
    </r>
    <r>
      <rPr>
        <sz val="10"/>
        <rFont val="맑은 고딕"/>
        <family val="0"/>
        <charset val="1"/>
      </rPr>
      <t xml:space="preserve">) OGCP 2585
</t>
    </r>
    <r>
      <rPr>
        <sz val="10"/>
        <rFont val="WenQuanYi Zen Hei"/>
        <family val="2"/>
      </rPr>
      <t xml:space="preserve">온고</t>
    </r>
    <r>
      <rPr>
        <sz val="10"/>
        <rFont val="맑은 고딕"/>
        <family val="0"/>
        <charset val="1"/>
      </rPr>
      <t xml:space="preserve">) OGPE 7056Y01</t>
    </r>
  </si>
  <si>
    <t xml:space="preserve">TLTCM27591</t>
  </si>
  <si>
    <r>
      <rPr>
        <sz val="10"/>
        <rFont val="WenQuanYi Zen Hei"/>
        <family val="2"/>
      </rPr>
      <t xml:space="preserve">하절 남성 시어서커 하프집업 반팔 티셔츠 </t>
    </r>
    <r>
      <rPr>
        <sz val="10"/>
        <rFont val="맑은 고딕"/>
        <family val="0"/>
        <charset val="1"/>
      </rPr>
      <t xml:space="preserve">(SET-UP)</t>
    </r>
  </si>
  <si>
    <t xml:space="preserve">TVJJM27512</t>
  </si>
  <si>
    <t xml:space="preserve">하절 여성 메쉬 하이브리드 라운드넥 재킷</t>
  </si>
  <si>
    <t xml:space="preserve">LGI(L/GREIGE), BLK(BLACK)</t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</si>
  <si>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 / </t>
    </r>
    <r>
      <rPr>
        <sz val="10"/>
        <rFont val="WenQuanYi Zen Hei"/>
        <family val="2"/>
      </rPr>
      <t xml:space="preserve">신원</t>
    </r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</si>
  <si>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GC) TAK</t>
    </r>
  </si>
  <si>
    <t xml:space="preserve">TVJJM27552</t>
  </si>
  <si>
    <t xml:space="preserve">하절 여성 메쉬 하이브리드 크롭 후디드 재킷</t>
  </si>
  <si>
    <t xml:space="preserve">LGI(L/GREIGE), LPI</t>
  </si>
  <si>
    <r>
      <rPr>
        <sz val="10"/>
        <rFont val="WenQuanYi Zen Hei"/>
        <family val="2"/>
      </rPr>
      <t xml:space="preserve">아이블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포마트</t>
    </r>
  </si>
  <si>
    <r>
      <rPr>
        <sz val="10"/>
        <rFont val="맑은 고딕"/>
        <family val="0"/>
        <charset val="1"/>
      </rPr>
      <t xml:space="preserve">SPM / </t>
    </r>
    <r>
      <rPr>
        <sz val="10"/>
        <rFont val="WenQuanYi Zen Hei"/>
        <family val="2"/>
      </rPr>
      <t xml:space="preserve">신원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필코</t>
    </r>
  </si>
  <si>
    <r>
      <rPr>
        <sz val="10"/>
        <rFont val="맑은 고딕"/>
        <family val="0"/>
        <charset val="1"/>
      </rPr>
      <t xml:space="preserve">SPM) MAX20-SC
</t>
    </r>
    <r>
      <rPr>
        <sz val="10"/>
        <rFont val="WenQuanYi Zen Hei"/>
        <family val="2"/>
      </rPr>
      <t xml:space="preserve">필코</t>
    </r>
    <r>
      <rPr>
        <sz val="10"/>
        <rFont val="맑은 고딕"/>
        <family val="0"/>
        <charset val="1"/>
      </rPr>
      <t xml:space="preserve">) FC260512-01</t>
    </r>
  </si>
  <si>
    <t xml:space="preserve">TVSCM27512</t>
  </si>
  <si>
    <r>
      <rPr>
        <sz val="10"/>
        <rFont val="WenQuanYi Zen Hei"/>
        <family val="2"/>
      </rPr>
      <t xml:space="preserve">하절 여성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</si>
  <si>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TVSXM27582</t>
  </si>
  <si>
    <t xml:space="preserve">하절 여성 시어서커 후드 긴팔 셔츠</t>
  </si>
  <si>
    <t xml:space="preserve">OWH, GBU-4</t>
  </si>
  <si>
    <t xml:space="preserve">TVSXM27902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</si>
  <si>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체크 긴팔 셔츠</t>
    </r>
  </si>
  <si>
    <t xml:space="preserve">WIN, MIN</t>
  </si>
  <si>
    <t xml:space="preserve">TVTCM27528</t>
  </si>
  <si>
    <t xml:space="preserve">하절 여성 린넨 라이크 폴로 반팔 티셔츠</t>
  </si>
  <si>
    <t xml:space="preserve">LPI, CRE-2</t>
  </si>
  <si>
    <t xml:space="preserve">TVTCM27552</t>
  </si>
  <si>
    <t xml:space="preserve">하절 여성 멀티 스트라이프 라운드 반팔 티셔츠</t>
  </si>
  <si>
    <t xml:space="preserve">TVTCM27554</t>
  </si>
  <si>
    <t xml:space="preserve">하절 여성 스트라이프 폴로 반팔 티셔츠</t>
  </si>
  <si>
    <t xml:space="preserve">TVVAM27552</t>
  </si>
  <si>
    <t xml:space="preserve">하절 여성 메쉬 하이브리드 베스트</t>
  </si>
  <si>
    <t xml:space="preserve">PIS, IVO(IVORY)</t>
  </si>
  <si>
    <r>
      <rPr>
        <sz val="10"/>
        <rFont val="맑은 고딕"/>
        <family val="0"/>
        <charset val="1"/>
      </rPr>
      <t xml:space="preserve">SPM / </t>
    </r>
    <r>
      <rPr>
        <sz val="10"/>
        <rFont val="WenQuanYi Zen Hei"/>
        <family val="2"/>
      </rPr>
      <t xml:space="preserve">신원</t>
    </r>
  </si>
  <si>
    <t xml:space="preserve">SPM) MAX20-SC</t>
  </si>
  <si>
    <t xml:space="preserve">JWTCM27151</t>
  </si>
  <si>
    <t xml:space="preserve">남성 소로나 메쉬 반팔 집업 티셔츠</t>
  </si>
  <si>
    <t xml:space="preserve">BLK(BLACK), WGY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</si>
  <si>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</si>
  <si>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SK25-9182-YC</t>
    </r>
  </si>
  <si>
    <t xml:space="preserve">JKJJM27372</t>
  </si>
  <si>
    <t xml:space="preserve">여성 에그라이트 방풍 재킷</t>
  </si>
  <si>
    <t xml:space="preserve">CRE-1, AQU(AQUA), BLK(BLACK)</t>
  </si>
  <si>
    <t xml:space="preserve">SPM) DT-LOKU</t>
  </si>
  <si>
    <t xml:space="preserve">JKJJM27374</t>
  </si>
  <si>
    <t xml:space="preserve">여성 에그라이트 방수 재킷</t>
  </si>
  <si>
    <t xml:space="preserve">LLI, BLK(BLACK)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</si>
  <si>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WOA13JEC10F</t>
    </r>
  </si>
  <si>
    <t xml:space="preserve">JKJJM27376</t>
  </si>
  <si>
    <t xml:space="preserve">여성 에그라이트 스탠드넥 방풍 재킷</t>
  </si>
  <si>
    <t xml:space="preserve">LBE(L/BEIGE), LBL(L/BLUE)</t>
  </si>
  <si>
    <t xml:space="preserve">JKPNM27158</t>
  </si>
  <si>
    <t xml:space="preserve">하절 여성 레귤러핏 팬츠</t>
  </si>
  <si>
    <t xml:space="preserve">KHA(KHAKI), DGY(D/GRAY)</t>
  </si>
  <si>
    <t xml:space="preserve">COX</t>
  </si>
  <si>
    <t xml:space="preserve">COX) COX-4209</t>
  </si>
  <si>
    <t xml:space="preserve">JKPNM27172</t>
  </si>
  <si>
    <t xml:space="preserve">하절 여성 루즈핏 파라슈트 팬츠</t>
  </si>
  <si>
    <t xml:space="preserve">JKPOM27176</t>
  </si>
  <si>
    <t xml:space="preserve">하절 여성 카고 쇼츠</t>
  </si>
  <si>
    <t xml:space="preserve">DMI(D/MINT), LSL</t>
  </si>
  <si>
    <t xml:space="preserve">JKPOM27312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</si>
  <si>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레깅스</t>
    </r>
  </si>
  <si>
    <t xml:space="preserve">JKSCM27142</t>
  </si>
  <si>
    <t xml:space="preserve">하절 여성 스트링 반팔 셔츠</t>
  </si>
  <si>
    <t xml:space="preserve">LSL, MIN</t>
  </si>
  <si>
    <t xml:space="preserve">JKSCM27184</t>
  </si>
  <si>
    <t xml:space="preserve">하절 여성 에어도트 반팔 셔츠</t>
  </si>
  <si>
    <t xml:space="preserve">JKTBM27302</t>
  </si>
  <si>
    <t xml:space="preserve">여성 썬 후디 긴팔 티셔츠</t>
  </si>
  <si>
    <t xml:space="preserve">ABL(A/BLUE), SGY</t>
  </si>
  <si>
    <t xml:space="preserve">SPM) CC-DRY F</t>
  </si>
  <si>
    <t xml:space="preserve">JKTBM27312</t>
  </si>
  <si>
    <t xml:space="preserve">여성 패커블 그래픽 긴팔 티셔츠</t>
  </si>
  <si>
    <t xml:space="preserve">BLK(BLACK), CRE-1</t>
  </si>
  <si>
    <r>
      <rPr>
        <sz val="10"/>
        <rFont val="맑은 고딕"/>
        <family val="0"/>
        <charset val="1"/>
      </rPr>
      <t xml:space="preserve">SOLT / </t>
    </r>
    <r>
      <rPr>
        <sz val="10"/>
        <rFont val="WenQuanYi Zen Hei"/>
        <family val="2"/>
      </rPr>
      <t xml:space="preserve">신원</t>
    </r>
  </si>
  <si>
    <t xml:space="preserve">SOLT) ST-JH-7616</t>
  </si>
  <si>
    <t xml:space="preserve">JKTCM27166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</si>
  <si>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스트레치 반팔 후드 티셔츠</t>
    </r>
  </si>
  <si>
    <t xml:space="preserve">DMI(D/MINT), CRE(CREAM)</t>
  </si>
  <si>
    <r>
      <rPr>
        <sz val="10"/>
        <rFont val="WenQuanYi Zen Hei"/>
        <family val="2"/>
      </rPr>
      <t xml:space="preserve">태진</t>
    </r>
    <r>
      <rPr>
        <sz val="10"/>
        <rFont val="맑은 고딕"/>
        <family val="0"/>
        <charset val="1"/>
      </rPr>
      <t xml:space="preserve">) TJ-05095</t>
    </r>
  </si>
  <si>
    <t xml:space="preserve">JKTCM27312</t>
  </si>
  <si>
    <t xml:space="preserve">여성 슬리브리스</t>
  </si>
  <si>
    <t xml:space="preserve">IVO(IVORY), BLK(BLACK)</t>
  </si>
  <si>
    <r>
      <rPr>
        <sz val="10"/>
        <rFont val="맑은 고딕"/>
        <family val="0"/>
        <charset val="1"/>
      </rPr>
      <t xml:space="preserve">MOVE / </t>
    </r>
    <r>
      <rPr>
        <sz val="10"/>
        <rFont val="WenQuanYi Zen Hei"/>
        <family val="2"/>
      </rPr>
      <t xml:space="preserve">신원</t>
    </r>
  </si>
  <si>
    <t xml:space="preserve">MOVE) MVK-1064</t>
  </si>
  <si>
    <t xml:space="preserve">JKVAM27372</t>
  </si>
  <si>
    <t xml:space="preserve">여성 에그라이트 후드형 베스트</t>
  </si>
  <si>
    <t xml:space="preserve">CRE-1, BLK(BLACK)</t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</si>
  <si>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</si>
  <si>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</si>
  <si>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t xml:space="preserve">JWJJM27301</t>
  </si>
  <si>
    <t xml:space="preserve">남녀공용 커버업 방수 재킷</t>
  </si>
  <si>
    <t xml:space="preserve">NAY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</si>
  <si>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AL24E25</t>
    </r>
  </si>
  <si>
    <t xml:space="preserve">JWJJM27371</t>
  </si>
  <si>
    <t xml:space="preserve">남성 에그라이트 방풍 재킷</t>
  </si>
  <si>
    <t xml:space="preserve">IVO(IVORY), BGY-1, BLK(BLACK)</t>
  </si>
  <si>
    <t xml:space="preserve">JWJJM27373</t>
  </si>
  <si>
    <t xml:space="preserve">남성 에그라이트 방수 재킷</t>
  </si>
  <si>
    <t xml:space="preserve">SGY, BGY-2</t>
  </si>
  <si>
    <t xml:space="preserve">JWJJM27375</t>
  </si>
  <si>
    <t xml:space="preserve">남성 에그라이트 스탠드넥 방풍 재킷</t>
  </si>
  <si>
    <t xml:space="preserve">DBE-1, NAY-1</t>
  </si>
  <si>
    <t xml:space="preserve">JWPOM27161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</si>
  <si>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솔리드 팬츠</t>
    </r>
    <r>
      <rPr>
        <sz val="10"/>
        <rFont val="맑은 고딕"/>
        <family val="0"/>
        <charset val="1"/>
      </rPr>
      <t xml:space="preserve">(ODM)</t>
    </r>
  </si>
  <si>
    <t xml:space="preserve">DGY-2, CIN(CINDER)</t>
  </si>
  <si>
    <r>
      <rPr>
        <sz val="10"/>
        <rFont val="WenQuanYi Zen Hei"/>
        <family val="2"/>
      </rPr>
      <t xml:space="preserve">거림</t>
    </r>
    <r>
      <rPr>
        <sz val="10"/>
        <rFont val="맑은 고딕"/>
        <family val="0"/>
        <charset val="1"/>
      </rPr>
      <t xml:space="preserve">) GCS86414</t>
    </r>
  </si>
  <si>
    <t xml:space="preserve">JWPOM27171</t>
  </si>
  <si>
    <r>
      <rPr>
        <sz val="10"/>
        <rFont val="WenQuanYi Zen Hei"/>
        <family val="2"/>
      </rPr>
      <t xml:space="preserve">하절 남성 마운틴 카고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팬츠</t>
    </r>
  </si>
  <si>
    <t xml:space="preserve">BLK(BLACK), GBR(G/BROWN)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</si>
  <si>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PM-8574</t>
    </r>
  </si>
  <si>
    <t xml:space="preserve">JWSCM27183</t>
  </si>
  <si>
    <t xml:space="preserve">하절 남성 에어도트 반팔 셔츠</t>
  </si>
  <si>
    <t xml:space="preserve">JWTBM27301</t>
  </si>
  <si>
    <t xml:space="preserve">남성 썬 후디 긴팔 티셔츠</t>
  </si>
  <si>
    <t xml:space="preserve">JWTBM27311</t>
  </si>
  <si>
    <t xml:space="preserve">남성 패커블 그래픽 긴팔 티셔츠</t>
  </si>
  <si>
    <t xml:space="preserve">BGY-2, BLK(BLACK)</t>
  </si>
  <si>
    <t xml:space="preserve">JWTCM27131</t>
  </si>
  <si>
    <t xml:space="preserve">OWH, DMI(D/MINT), BLK(BLACK)</t>
  </si>
  <si>
    <t xml:space="preserve">JWTCM27133</t>
  </si>
  <si>
    <t xml:space="preserve">남녀공용 에어론 릴렉스핏 그래픽 티셔츠</t>
  </si>
  <si>
    <t xml:space="preserve">CRE(CREAM), GBR(G/BROWN)</t>
  </si>
  <si>
    <t xml:space="preserve">SPM) AIRON</t>
  </si>
  <si>
    <t xml:space="preserve">JWTCM27135</t>
  </si>
  <si>
    <t xml:space="preserve">남녀공용 소로나 오버핏 그래픽 티셔츠</t>
  </si>
  <si>
    <t xml:space="preserve">JWTCM27137</t>
  </si>
  <si>
    <t xml:space="preserve">JWTCM27153</t>
  </si>
  <si>
    <t xml:space="preserve">남성 메쉬 하이브리드 반팔 라운드 티셔츠</t>
  </si>
  <si>
    <t xml:space="preserve">BLK(BLACK), CRE(CREAM)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</si>
  <si>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</si>
  <si>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</si>
  <si>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</si>
  <si>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</si>
  <si>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</si>
  <si>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</si>
  <si>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r>
      <rPr>
        <sz val="10"/>
        <rFont val="WenQuanYi Zen Hei"/>
        <family val="2"/>
      </rPr>
      <t xml:space="preserve">태화 </t>
    </r>
    <r>
      <rPr>
        <sz val="10"/>
        <rFont val="맑은 고딕"/>
        <family val="0"/>
        <charset val="1"/>
      </rPr>
      <t xml:space="preserve">/ IKG</t>
    </r>
  </si>
  <si>
    <r>
      <rPr>
        <sz val="10"/>
        <rFont val="WenQuanYi Zen Hei"/>
        <family val="2"/>
      </rPr>
      <t xml:space="preserve">대웅 </t>
    </r>
    <r>
      <rPr>
        <sz val="10"/>
        <rFont val="맑은 고딕"/>
        <family val="0"/>
        <charset val="1"/>
      </rPr>
      <t xml:space="preserve">/ JKTREND</t>
    </r>
  </si>
  <si>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DWT-2982
JKTREND) DF005</t>
    </r>
  </si>
  <si>
    <t xml:space="preserve">JWTCM27321</t>
  </si>
  <si>
    <t xml:space="preserve">남녀공용 패커블 반팔 티셔츠</t>
  </si>
  <si>
    <t xml:space="preserve">LIM, IVO(IVORY)</t>
  </si>
  <si>
    <t xml:space="preserve">JWVAM27371</t>
  </si>
  <si>
    <t xml:space="preserve">남성 에그라이트 스탠드넥 베스트</t>
  </si>
  <si>
    <t xml:space="preserve">QEAAM27301</t>
  </si>
  <si>
    <t xml:space="preserve">남녀공용 에어도트 사하라 쉐이드</t>
  </si>
  <si>
    <t xml:space="preserve">PNG</t>
  </si>
  <si>
    <t xml:space="preserve">QEAAM27303</t>
  </si>
  <si>
    <t xml:space="preserve">남녀공용 메쉬 프린트 사하라 쉐이드</t>
  </si>
  <si>
    <t xml:space="preserve">GRY-1</t>
  </si>
  <si>
    <t xml:space="preserve">QEAKM27103</t>
  </si>
  <si>
    <t xml:space="preserve">남녀공용 봉제형 이어 멀티 쿨 마스크</t>
  </si>
  <si>
    <t xml:space="preserve">BLK(BLACK), WHX, LGY(L/GRAY)</t>
  </si>
  <si>
    <t xml:space="preserve">아이앤지</t>
  </si>
  <si>
    <t xml:space="preserve">한국</t>
  </si>
  <si>
    <t xml:space="preserve">QEHEM27103</t>
  </si>
  <si>
    <t xml:space="preserve">남녀공용 모스드라이 심리스 팔토시</t>
  </si>
  <si>
    <t xml:space="preserve">BLK(BLACK), WHX</t>
  </si>
  <si>
    <t xml:space="preserve">QEHEM27105</t>
  </si>
  <si>
    <t xml:space="preserve">남녀공용 모스드라이 손등 팔토시</t>
  </si>
  <si>
    <t xml:space="preserve">WHX, BLK(BLACK)</t>
  </si>
  <si>
    <t xml:space="preserve">QEREM27171</t>
  </si>
  <si>
    <t xml:space="preserve">남녀공용 애어도트 사하라캡</t>
  </si>
  <si>
    <t xml:space="preserve">BLK(BLACK), LGY(L/GRAY)</t>
  </si>
  <si>
    <t xml:space="preserve">QEREM27301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</si>
  <si>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프린트 폴더블 캡</t>
    </r>
  </si>
  <si>
    <t xml:space="preserve">QEREM27311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</si>
  <si>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폴더블 캡</t>
    </r>
  </si>
  <si>
    <t xml:space="preserve">ABL(A/BLUE), BGY-2</t>
  </si>
  <si>
    <t xml:space="preserve">QERFM27171</t>
  </si>
  <si>
    <t xml:space="preserve">남녀공용 사하라 버킷햇</t>
  </si>
  <si>
    <t xml:space="preserve">WGY</t>
  </si>
  <si>
    <t xml:space="preserve">QERFM27501</t>
  </si>
  <si>
    <t xml:space="preserve">남녀공용 데이팩 버킷햇</t>
  </si>
  <si>
    <t xml:space="preserve">QERHM27902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</si>
  <si>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썬바이저</t>
    </r>
  </si>
  <si>
    <t xml:space="preserve">BLK(BLACK), LPI</t>
  </si>
  <si>
    <t xml:space="preserve">TLPNM27693</t>
  </si>
  <si>
    <t xml:space="preserve">하절 남성 데이팩 루즈핏 팬츠</t>
  </si>
  <si>
    <t xml:space="preserve">DKH(D/KHAKI), DNA(D/NAVY)</t>
  </si>
  <si>
    <t xml:space="preserve">SPM) CD-441VS</t>
  </si>
  <si>
    <t xml:space="preserve">TLPOM27531</t>
  </si>
  <si>
    <t xml:space="preserve">하절 남성 나일론 버뮤다 쇼츠</t>
  </si>
  <si>
    <t xml:space="preserve">TLTCM27507</t>
  </si>
  <si>
    <t xml:space="preserve">하절 남성 리노쿨 피케 폴로 티셔츠</t>
  </si>
  <si>
    <t xml:space="preserve">CO1, CO2, CO3</t>
  </si>
  <si>
    <r>
      <rPr>
        <sz val="10"/>
        <rFont val="WenQuanYi Zen Hei"/>
        <family val="2"/>
      </rPr>
      <t xml:space="preserve">온고</t>
    </r>
    <r>
      <rPr>
        <sz val="10"/>
        <rFont val="맑은 고딕"/>
        <family val="0"/>
        <charset val="1"/>
      </rPr>
      <t xml:space="preserve">) OGPE 1060</t>
    </r>
  </si>
  <si>
    <t xml:space="preserve">TLTCM27511</t>
  </si>
  <si>
    <r>
      <rPr>
        <sz val="10"/>
        <rFont val="WenQuanYi Zen Hei"/>
        <family val="2"/>
      </rPr>
      <t xml:space="preserve">하절 남녀공용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릴렉스핏 상록수 그래픽 반팔 티셔츠</t>
    </r>
  </si>
  <si>
    <t xml:space="preserve">TLTCM27695</t>
  </si>
  <si>
    <t xml:space="preserve">하절 남성 데이팩 하프집업 티셔츠</t>
  </si>
  <si>
    <t xml:space="preserve">RBU, BLK(BLACK)</t>
  </si>
  <si>
    <t xml:space="preserve">TVPOM27512</t>
  </si>
  <si>
    <t xml:space="preserve">하절 여성 버뮤다 팬츠</t>
  </si>
  <si>
    <t xml:space="preserve">DGY-1, GRI(GREIGE)</t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</si>
  <si>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</si>
  <si>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</si>
  <si>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TVTCM27512</t>
  </si>
  <si>
    <t xml:space="preserve">하절 여성 리노쿨 피케 크롭 폴로 티셔츠</t>
  </si>
  <si>
    <t xml:space="preserve">TVTCM27564</t>
  </si>
  <si>
    <t xml:space="preserve">하절 여성 우븐 하이브리드 크롭 반팔 티셔츠</t>
  </si>
  <si>
    <t xml:space="preserve">LGY-1, GBU-3</t>
  </si>
  <si>
    <t xml:space="preserve">SPM) DTS-B4N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</si>
  <si>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</si>
  <si>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</si>
  <si>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JWPOM27141</t>
  </si>
  <si>
    <r>
      <rPr>
        <sz val="10"/>
        <rFont val="WenQuanYi Zen Hei"/>
        <family val="2"/>
      </rPr>
      <t xml:space="preserve">하절 남성 소프트쉘 쇼츠 </t>
    </r>
    <r>
      <rPr>
        <sz val="10"/>
        <rFont val="맑은 고딕"/>
        <family val="0"/>
        <charset val="1"/>
      </rPr>
      <t xml:space="preserve">(SET UP)</t>
    </r>
  </si>
  <si>
    <t xml:space="preserve">JWPOM27181</t>
  </si>
  <si>
    <r>
      <rPr>
        <sz val="10"/>
        <rFont val="WenQuanYi Zen Hei"/>
        <family val="2"/>
      </rPr>
      <t xml:space="preserve">하절 남성 에어도트 쇼츠 </t>
    </r>
    <r>
      <rPr>
        <sz val="10"/>
        <rFont val="맑은 고딕"/>
        <family val="0"/>
        <charset val="1"/>
      </rPr>
      <t xml:space="preserve">(SET-UP)</t>
    </r>
  </si>
  <si>
    <t xml:space="preserve">JWPOM27191</t>
  </si>
  <si>
    <r>
      <rPr>
        <sz val="10"/>
        <rFont val="WenQuanYi Zen Hei"/>
        <family val="2"/>
      </rPr>
      <t xml:space="preserve">하절 남성 카고 쇼츠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</si>
  <si>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JWTCM27191</t>
  </si>
  <si>
    <t xml:space="preserve">남성 슬리브리스</t>
  </si>
  <si>
    <t xml:space="preserve">8GPFM27101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</si>
  <si>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익스퍼트 레깅스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</si>
  <si>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</si>
  <si>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IKG) </t>
    </r>
    <r>
      <rPr>
        <sz val="10"/>
        <rFont val="WenQuanYi Zen Hei"/>
        <family val="2"/>
      </rPr>
      <t xml:space="preserve">시장수배</t>
    </r>
  </si>
  <si>
    <t xml:space="preserve">8GPOM27103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</si>
  <si>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라이트 립스탑 숏츠</t>
    </r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</si>
  <si>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PS-1426</t>
    </r>
  </si>
  <si>
    <t xml:space="preserve">8HJJM27102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</si>
  <si>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메쉬 크롭 재킷</t>
    </r>
  </si>
  <si>
    <t xml:space="preserve">PIN, BLK(BLACK)</t>
  </si>
  <si>
    <t xml:space="preserve">소노</t>
  </si>
  <si>
    <r>
      <rPr>
        <sz val="10"/>
        <rFont val="WenQuanYi Zen Hei"/>
        <family val="2"/>
      </rPr>
      <t xml:space="preserve">소노</t>
    </r>
    <r>
      <rPr>
        <sz val="10"/>
        <rFont val="맑은 고딕"/>
        <family val="0"/>
        <charset val="1"/>
      </rPr>
      <t xml:space="preserve">) 25SS-C-006</t>
    </r>
  </si>
  <si>
    <r>
      <rPr>
        <sz val="10"/>
        <rFont val="WenQuanYi Zen Hei"/>
        <family val="2"/>
      </rPr>
      <t xml:space="preserve">안세진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장지은</t>
    </r>
  </si>
  <si>
    <t xml:space="preserve">8HPOM27102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</si>
  <si>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라이트 립스탑 숏츠</t>
    </r>
  </si>
  <si>
    <t xml:space="preserve">8HTCM27102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</si>
  <si>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프린트 반팔티</t>
    </r>
  </si>
  <si>
    <t xml:space="preserve">OWH, PIN, BLK(BLACK)</t>
  </si>
  <si>
    <t xml:space="preserve">8NAAM27101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</si>
  <si>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쿨 멀티 스카프</t>
    </r>
  </si>
  <si>
    <t xml:space="preserve">ING</t>
  </si>
  <si>
    <t xml:space="preserve">8NHAM27102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</si>
  <si>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라이트 익스퍼트 장갑</t>
    </r>
  </si>
  <si>
    <t xml:space="preserve">8NHEM27101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</si>
  <si>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</t>
    </r>
    <r>
      <rPr>
        <sz val="10"/>
        <rFont val="WenQuanYi Zen Hei"/>
        <family val="2"/>
      </rPr>
      <t xml:space="preserve">피싱 암슬리브</t>
    </r>
  </si>
  <si>
    <t xml:space="preserve">8NREM27102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</si>
  <si>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유틸리티 메쉬 캡</t>
    </r>
  </si>
  <si>
    <t xml:space="preserve">BLK(BLACK), LGY(L/GRAY), TNA</t>
  </si>
  <si>
    <t xml:space="preserve">8NREM27105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</si>
  <si>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라이트 쉘 캡</t>
    </r>
  </si>
  <si>
    <t xml:space="preserve">8UJJM27101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</si>
  <si>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다이아몬드 퓨즈 패커블 재킷</t>
    </r>
  </si>
  <si>
    <t xml:space="preserve">PERTEX) PRD811H-NFC</t>
  </si>
  <si>
    <t xml:space="preserve">8UPNM27101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</si>
  <si>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팬츠</t>
    </r>
  </si>
  <si>
    <t xml:space="preserve">8UPOM27101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</si>
  <si>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라이트 숏츠</t>
    </r>
  </si>
  <si>
    <t xml:space="preserve">8UPOM27102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</si>
  <si>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벤틸 숏츠</t>
    </r>
  </si>
  <si>
    <t xml:space="preserve">신원</t>
  </si>
  <si>
    <r>
      <rPr>
        <sz val="10"/>
        <rFont val="WenQuanYi Zen Hei"/>
        <family val="2"/>
      </rPr>
      <t xml:space="preserve">신원</t>
    </r>
    <r>
      <rPr>
        <sz val="10"/>
        <rFont val="맑은 고딕"/>
        <family val="0"/>
        <charset val="1"/>
      </rPr>
      <t xml:space="preserve">) SWT-0572-1</t>
    </r>
  </si>
  <si>
    <t xml:space="preserve">8UPOM27103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</si>
  <si>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피싱 카고 숏츠</t>
    </r>
  </si>
  <si>
    <t xml:space="preserve">8USCM27101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</si>
  <si>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에어도트 피싱 셔츠</t>
    </r>
  </si>
  <si>
    <r>
      <rPr>
        <sz val="10"/>
        <rFont val="WenQuanYi Zen Hei"/>
        <family val="2"/>
      </rPr>
      <t xml:space="preserve">밀리테크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타키사다나고야</t>
    </r>
  </si>
  <si>
    <r>
      <rPr>
        <sz val="10"/>
        <rFont val="WenQuanYi Zen Hei"/>
        <family val="2"/>
      </rPr>
      <t xml:space="preserve">밀리테크</t>
    </r>
    <r>
      <rPr>
        <sz val="10"/>
        <rFont val="맑은 고딕"/>
        <family val="0"/>
        <charset val="1"/>
      </rPr>
      <t xml:space="preserve">) MT-3817CH-DTP
</t>
    </r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1060201</t>
    </r>
  </si>
  <si>
    <t xml:space="preserve">8UTBM27101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</si>
  <si>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프린트 긴팔티</t>
    </r>
  </si>
  <si>
    <t xml:space="preserve">8UTBM27111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</si>
  <si>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익스퍼트 후드티</t>
    </r>
  </si>
  <si>
    <t xml:space="preserve">OWH, AQU(AQUA), BLK(BLACK)</t>
  </si>
  <si>
    <r>
      <rPr>
        <sz val="10"/>
        <rFont val="WenQuanYi Zen Hei"/>
        <family val="2"/>
      </rPr>
      <t xml:space="preserve">인터필</t>
    </r>
    <r>
      <rPr>
        <sz val="10"/>
        <rFont val="맑은 고딕"/>
        <family val="0"/>
        <charset val="1"/>
      </rPr>
      <t xml:space="preserve">) TI-263F</t>
    </r>
  </si>
  <si>
    <t xml:space="preserve">8UTCM27105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</si>
  <si>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공용 프린트 반팔티</t>
    </r>
  </si>
  <si>
    <t xml:space="preserve">8UTCM27111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</si>
  <si>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반팔티</t>
    </r>
  </si>
  <si>
    <t xml:space="preserve">8UTCM27113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</si>
  <si>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EGI </t>
    </r>
    <r>
      <rPr>
        <sz val="10"/>
        <rFont val="WenQuanYi Zen Hei"/>
        <family val="2"/>
      </rPr>
      <t xml:space="preserve">그래픽 티셔츠</t>
    </r>
  </si>
  <si>
    <t xml:space="preserve">MML, KHA(KHAKI), BLK(BLACK)</t>
  </si>
  <si>
    <t xml:space="preserve">8UTCM27115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</si>
  <si>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AORI </t>
    </r>
    <r>
      <rPr>
        <sz val="10"/>
        <rFont val="WenQuanYi Zen Hei"/>
        <family val="2"/>
      </rPr>
      <t xml:space="preserve">그래픽 티셔츠</t>
    </r>
  </si>
  <si>
    <t xml:space="preserve">8UTCM27117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</si>
  <si>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HOT SUMMER </t>
    </r>
    <r>
      <rPr>
        <sz val="10"/>
        <rFont val="WenQuanYi Zen Hei"/>
        <family val="2"/>
      </rPr>
      <t xml:space="preserve">그래픽 소로나 티셔츠</t>
    </r>
  </si>
  <si>
    <t xml:space="preserve">OWH, BLK(BLACK), TBU</t>
  </si>
  <si>
    <t xml:space="preserve">8UTCM27119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</si>
  <si>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BREEZE </t>
    </r>
    <r>
      <rPr>
        <sz val="10"/>
        <rFont val="WenQuanYi Zen Hei"/>
        <family val="2"/>
      </rPr>
      <t xml:space="preserve">그래픽 소로나 티셔츠</t>
    </r>
  </si>
  <si>
    <t xml:space="preserve">BLK(BLACK), OWH, DLM</t>
  </si>
  <si>
    <t xml:space="preserve">8UTCM27121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</si>
  <si>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ANGLERS </t>
    </r>
    <r>
      <rPr>
        <sz val="10"/>
        <rFont val="WenQuanYi Zen Hei"/>
        <family val="2"/>
      </rPr>
      <t xml:space="preserve">그래픽 소로나 티셔츠</t>
    </r>
  </si>
  <si>
    <t xml:space="preserve">JWJJM27351</t>
  </si>
  <si>
    <t xml:space="preserve">남녀공용 그래픽 매쉬 재킷</t>
  </si>
  <si>
    <t xml:space="preserve">MOVE</t>
  </si>
  <si>
    <t xml:space="preserve">MOVE) N434 (SI</t>
  </si>
  <si>
    <t xml:space="preserve">JWPNM27351</t>
  </si>
  <si>
    <t xml:space="preserve">남녀공용 메쉬 디테처블 팬츠</t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</si>
  <si>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 / MOVE</t>
    </r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</si>
  <si>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GC) W72228CN</t>
    </r>
  </si>
  <si>
    <t xml:space="preserve">JWTBM27351</t>
  </si>
  <si>
    <t xml:space="preserve">남녀공용 그래픽 매쉬 긴팔 티셔츠</t>
  </si>
  <si>
    <t xml:space="preserve">호전실업</t>
  </si>
  <si>
    <t xml:space="preserve">호전</t>
  </si>
  <si>
    <t xml:space="preserve">TLTCM27517</t>
  </si>
  <si>
    <t xml:space="preserve">하절 남성 소로나 릴렉스핏 그래픽 반팔 티셔츠</t>
  </si>
  <si>
    <r>
      <rPr>
        <sz val="10"/>
        <rFont val="WenQuanYi Zen Hei"/>
        <family val="2"/>
      </rPr>
      <t xml:space="preserve">수텍스</t>
    </r>
    <r>
      <rPr>
        <sz val="10"/>
        <rFont val="맑은 고딕"/>
        <family val="0"/>
        <charset val="1"/>
      </rPr>
      <t xml:space="preserve">) SJD-23-1568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</si>
  <si>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</si>
  <si>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TLTCM27519</t>
  </si>
  <si>
    <r>
      <rPr>
        <sz val="10"/>
        <rFont val="WenQuanYi Zen Hei"/>
        <family val="2"/>
      </rPr>
      <t xml:space="preserve">하절 남녀공용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릴렉스핏 그래픽 반팔 티셔츠</t>
    </r>
  </si>
  <si>
    <t xml:space="preserve">LGI(L/GREIGE), DGY-3</t>
  </si>
  <si>
    <t xml:space="preserve">TVTCM27514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</si>
  <si>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그래픽 크롭 반팔 티셔츠</t>
    </r>
  </si>
  <si>
    <t xml:space="preserve">IVO(IVORY), DNA(D/NAVY)</t>
  </si>
  <si>
    <t xml:space="preserve">JKPOM27172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</si>
  <si>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카고 팬츠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</si>
  <si>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</si>
  <si>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JKPOM27174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</si>
  <si>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부 스탠다드 팬츠</t>
    </r>
  </si>
  <si>
    <t xml:space="preserve">CIN(CINDER), WGY</t>
  </si>
  <si>
    <t xml:space="preserve">조아슬</t>
  </si>
  <si>
    <t xml:space="preserve">JKTCM27148</t>
  </si>
  <si>
    <r>
      <rPr>
        <sz val="10"/>
        <rFont val="WenQuanYi Zen Hei"/>
        <family val="2"/>
      </rPr>
      <t xml:space="preserve">여성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레귤러핏 그래픽 티셔츠</t>
    </r>
  </si>
  <si>
    <t xml:space="preserve">JWTCM27139</t>
  </si>
  <si>
    <t xml:space="preserve">남녀공용 에어론 레귤러핏 그래픽 티셔츠</t>
  </si>
  <si>
    <t xml:space="preserve">MUS, BLK(BLACK)</t>
  </si>
  <si>
    <t xml:space="preserve">JWTCM27141</t>
  </si>
  <si>
    <t xml:space="preserve">KHA(KHAKI), DBU(D/BLUE)</t>
  </si>
  <si>
    <t xml:space="preserve">JWTCM27143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</si>
  <si>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세미오버핏 그래픽 티셔츠</t>
    </r>
  </si>
  <si>
    <t xml:space="preserve">JWTCM27145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</si>
  <si>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레귤러핏 그래픽 티셔츠</t>
    </r>
  </si>
  <si>
    <t xml:space="preserve">WGY, NAY</t>
  </si>
  <si>
    <t xml:space="preserve">8NAAX27101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</si>
  <si>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피싱 타올</t>
    </r>
  </si>
  <si>
    <t xml:space="preserve">8NBDX26301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</si>
  <si>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사코슈백</t>
    </r>
  </si>
  <si>
    <t xml:space="preserve">신일</t>
  </si>
  <si>
    <t xml:space="preserve">8NBDX27101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</si>
  <si>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슬링백</t>
    </r>
  </si>
  <si>
    <t xml:space="preserve">8NREX27101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</si>
  <si>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고어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</si>
  <si>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8NREX27103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</si>
  <si>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베이직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</si>
  <si>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8UJGX27101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</si>
  <si>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재킷</t>
    </r>
  </si>
  <si>
    <t xml:space="preserve">GORE) bnSRP40AL/RGD-PX 3L</t>
  </si>
  <si>
    <t xml:space="preserve">8UJJX27101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</si>
  <si>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재킷</t>
    </r>
  </si>
  <si>
    <t xml:space="preserve">LGY(L/GRAY), KHA(KHAKI), BLK(BLACK)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</si>
  <si>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SU107JE15Z</t>
    </r>
  </si>
  <si>
    <t xml:space="preserve">8UJJX27102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</si>
  <si>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프리마로프트 미드레이어 재킷</t>
    </r>
  </si>
  <si>
    <t xml:space="preserve">DLM, BLK(BLACK)</t>
  </si>
  <si>
    <r>
      <rPr>
        <sz val="10"/>
        <rFont val="맑은 고딕"/>
        <family val="0"/>
        <charset val="1"/>
      </rPr>
      <t xml:space="preserve">PERTEX / </t>
    </r>
    <r>
      <rPr>
        <sz val="10"/>
        <rFont val="WenQuanYi Zen Hei"/>
        <family val="2"/>
      </rPr>
      <t xml:space="preserve">라임</t>
    </r>
  </si>
  <si>
    <t xml:space="preserve">PERTEX) PS2270WNSA-NFC</t>
  </si>
  <si>
    <t xml:space="preserve">8UPNX27101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</si>
  <si>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팬츠</t>
    </r>
  </si>
  <si>
    <t xml:space="preserve">8UPNX27102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</si>
  <si>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팬츠</t>
    </r>
  </si>
  <si>
    <t xml:space="preserve">QEBDX27501</t>
  </si>
  <si>
    <t xml:space="preserve">남녀공용 에브리데이 토트백</t>
  </si>
  <si>
    <t xml:space="preserve">인투잇플러스</t>
  </si>
  <si>
    <t xml:space="preserve">QEBDX27511</t>
  </si>
  <si>
    <r>
      <rPr>
        <sz val="10"/>
        <rFont val="WenQuanYi Zen Hei"/>
        <family val="2"/>
      </rPr>
      <t xml:space="preserve">남녀공용 에브리데이 슬링백 </t>
    </r>
    <r>
      <rPr>
        <sz val="10"/>
        <rFont val="맑은 고딕"/>
        <family val="0"/>
        <charset val="1"/>
      </rPr>
      <t xml:space="preserve">(3L)</t>
    </r>
  </si>
  <si>
    <t xml:space="preserve">QEBDX27513</t>
  </si>
  <si>
    <t xml:space="preserve">BLK(BLACK), BGY-1</t>
  </si>
  <si>
    <t xml:space="preserve">QEBXX27501</t>
  </si>
  <si>
    <r>
      <rPr>
        <sz val="10"/>
        <rFont val="WenQuanYi Zen Hei"/>
        <family val="2"/>
      </rPr>
      <t xml:space="preserve">남녀공용 에브리데이 백팩 </t>
    </r>
    <r>
      <rPr>
        <sz val="10"/>
        <rFont val="맑은 고딕"/>
        <family val="0"/>
        <charset val="1"/>
      </rPr>
      <t xml:space="preserve">(15L)</t>
    </r>
  </si>
  <si>
    <t xml:space="preserve">QEHFX27103</t>
  </si>
  <si>
    <t xml:space="preserve">남녀공용 에어도트 긴장갑</t>
  </si>
  <si>
    <t xml:space="preserve">QELAX27111</t>
  </si>
  <si>
    <t xml:space="preserve">남녀공용 메리노울 하이킹 크루 삭스</t>
  </si>
  <si>
    <t xml:space="preserve">LBE(L/BEIGE), LGY(L/GRAY)</t>
  </si>
  <si>
    <t xml:space="preserve">크리스</t>
  </si>
  <si>
    <t xml:space="preserve">QELAX27121</t>
  </si>
  <si>
    <t xml:space="preserve">남녀공용 메리노울 하이킹 컴프레션 크루 삭스</t>
  </si>
  <si>
    <t xml:space="preserve">DGY(D/GRAY), GBU(G/BLUE), DGR(D/GREEN)</t>
  </si>
  <si>
    <t xml:space="preserve">QELAX27131</t>
  </si>
  <si>
    <t xml:space="preserve">남녀공용 메리노울 컴프레션 크루 삭스</t>
  </si>
  <si>
    <t xml:space="preserve">LML, LIL(LILAC), MUS</t>
  </si>
  <si>
    <t xml:space="preserve">QELAX27141</t>
  </si>
  <si>
    <t xml:space="preserve">남녀공용 하이킹 딥다잉 컴프레션 크루 삭스</t>
  </si>
  <si>
    <t xml:space="preserve">AQU(AQUA), CPI(C/PINK)</t>
  </si>
  <si>
    <t xml:space="preserve">QELAX27501</t>
  </si>
  <si>
    <t xml:space="preserve">남녀공용 바이오맥스 니삭스</t>
  </si>
  <si>
    <t xml:space="preserve">BLK(BLACK), OWH</t>
  </si>
  <si>
    <t xml:space="preserve">QEREX27101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</si>
  <si>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볼캡</t>
    </r>
  </si>
  <si>
    <t xml:space="preserve">BLK(BLACK), GBU-1</t>
  </si>
  <si>
    <t xml:space="preserve">QEREX27111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</si>
  <si>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2L </t>
    </r>
    <r>
      <rPr>
        <sz val="10"/>
        <rFont val="WenQuanYi Zen Hei"/>
        <family val="2"/>
      </rPr>
      <t xml:space="preserve">캠프캡</t>
    </r>
  </si>
  <si>
    <t xml:space="preserve">CRE-1, DGR(D/GREEN), DGY-1</t>
  </si>
  <si>
    <t xml:space="preserve">QERFX27101</t>
  </si>
  <si>
    <t xml:space="preserve">남녀공용 고어텍스 버킷햇</t>
  </si>
  <si>
    <t xml:space="preserve">CRE-1, LSL-1, BLK(BLACK)</t>
  </si>
  <si>
    <t xml:space="preserve">QERFX27111</t>
  </si>
  <si>
    <t xml:space="preserve">남녀공용 고어텍스 브림햇</t>
  </si>
  <si>
    <t xml:space="preserve">WGY, DGY-1</t>
  </si>
  <si>
    <t xml:space="preserve">QEBDX27041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</si>
  <si>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40L</t>
    </r>
  </si>
  <si>
    <t xml:space="preserve">풍국산업</t>
  </si>
  <si>
    <t xml:space="preserve">QEBDX27091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</si>
  <si>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120L</t>
    </r>
  </si>
  <si>
    <t xml:space="preserve">QEBDX27111</t>
  </si>
  <si>
    <t xml:space="preserve">남녀공용 하이킹 슬링백</t>
  </si>
  <si>
    <t xml:space="preserve">DGY-1, DGR(D/GREEN)</t>
  </si>
  <si>
    <t xml:space="preserve">QEBDX27123</t>
  </si>
  <si>
    <t xml:space="preserve">남녀공용 백패킹 사코슈백</t>
  </si>
  <si>
    <t xml:space="preserve">CRE-1, DBU-2</t>
  </si>
  <si>
    <t xml:space="preserve">QEBDX27133</t>
  </si>
  <si>
    <t xml:space="preserve">남녀공용 하이킹 미니 웨이스트백</t>
  </si>
  <si>
    <t xml:space="preserve">AQU(AQUA), BGY-2</t>
  </si>
  <si>
    <t xml:space="preserve">QEBDX27135</t>
  </si>
  <si>
    <t xml:space="preserve">남녀공용 백패킹 보틀 홀더</t>
  </si>
  <si>
    <t xml:space="preserve">CRE-1</t>
  </si>
  <si>
    <t xml:space="preserve">QEBDX27137</t>
  </si>
  <si>
    <t xml:space="preserve">남녀공용 하이킹 미니 파우치</t>
  </si>
  <si>
    <t xml:space="preserve">DGY-1, DGR(D/GREEN), DYL(D/YELLOW)</t>
  </si>
  <si>
    <t xml:space="preserve">QEBXX27111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</si>
  <si>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10L</t>
    </r>
  </si>
  <si>
    <t xml:space="preserve">DGY-1, COR(CORAL), GBR(G/BROWN)</t>
  </si>
  <si>
    <t xml:space="preserve">QEBXX27121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</si>
  <si>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20L</t>
    </r>
  </si>
  <si>
    <t xml:space="preserve">BLK(BLACK), DGR(D/GREEN), DYL(D/YELLOW)</t>
  </si>
  <si>
    <t xml:space="preserve">QEBXX27123</t>
  </si>
  <si>
    <r>
      <rPr>
        <sz val="10"/>
        <rFont val="WenQuanYi Zen Hei"/>
        <family val="2"/>
      </rPr>
      <t xml:space="preserve">남녀공용 롤탑형 </t>
    </r>
    <r>
      <rPr>
        <sz val="10"/>
        <rFont val="맑은 고딕"/>
        <family val="0"/>
        <charset val="1"/>
      </rPr>
      <t xml:space="preserve">AXIOM 25L(+7L)</t>
    </r>
  </si>
  <si>
    <t xml:space="preserve">QEBXX27131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</si>
  <si>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30L</t>
    </r>
  </si>
  <si>
    <t xml:space="preserve">QEBXX27141</t>
  </si>
  <si>
    <r>
      <rPr>
        <sz val="10"/>
        <rFont val="WenQuanYi Zen Hei"/>
        <family val="2"/>
      </rPr>
      <t xml:space="preserve">남여공용 롤탑형 </t>
    </r>
    <r>
      <rPr>
        <sz val="10"/>
        <rFont val="맑은 고딕"/>
        <family val="0"/>
        <charset val="1"/>
      </rPr>
      <t xml:space="preserve">AXIOM </t>
    </r>
    <r>
      <rPr>
        <sz val="10"/>
        <rFont val="WenQuanYi Zen Hei"/>
        <family val="2"/>
      </rPr>
      <t xml:space="preserve">백패킹 백팩</t>
    </r>
  </si>
  <si>
    <t xml:space="preserve">OWH</t>
  </si>
  <si>
    <t xml:space="preserve">QEBXX27511</t>
  </si>
  <si>
    <r>
      <rPr>
        <sz val="10"/>
        <rFont val="WenQuanYi Zen Hei"/>
        <family val="2"/>
      </rPr>
      <t xml:space="preserve">남녀공용 스트링형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</si>
  <si>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QEBXX27513</t>
  </si>
  <si>
    <r>
      <rPr>
        <sz val="10"/>
        <rFont val="WenQuanYi Zen Hei"/>
        <family val="2"/>
      </rPr>
      <t xml:space="preserve">남녀공용 티어드롭형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</si>
  <si>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SPOT</t>
  </si>
  <si>
    <t xml:space="preserve">QEHFX27101</t>
  </si>
  <si>
    <t xml:space="preserve">남녀공용 모스드라이 하이킹 스트레치 장갑</t>
  </si>
  <si>
    <t xml:space="preserve">BLK(BLACK), LSL, VBU</t>
  </si>
  <si>
    <t xml:space="preserve">QEHFX27105</t>
  </si>
  <si>
    <t xml:space="preserve">남녀공용 하이킹 메쉬 긴장갑</t>
  </si>
  <si>
    <t xml:space="preserve">WGY, DGY(D/GRAY), LAV(LAVENDER)</t>
  </si>
  <si>
    <t xml:space="preserve">JKIBX27902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</si>
  <si>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브리프</t>
    </r>
  </si>
  <si>
    <t xml:space="preserve">BLK(BLACK), SBE</t>
  </si>
  <si>
    <t xml:space="preserve">JKICX27102</t>
  </si>
  <si>
    <t xml:space="preserve">여성 하이브리드 냉감 터틀넥 티셔츠</t>
  </si>
  <si>
    <t xml:space="preserve">JKICX27112</t>
  </si>
  <si>
    <t xml:space="preserve">여성 냉감 슬리브리스</t>
  </si>
  <si>
    <t xml:space="preserve">JKICX27122</t>
  </si>
  <si>
    <t xml:space="preserve">여성 하이킹 브라탑</t>
  </si>
  <si>
    <t xml:space="preserve">JKICX27902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</si>
  <si>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브래지어</t>
    </r>
  </si>
  <si>
    <t xml:space="preserve">JWIBX27101</t>
  </si>
  <si>
    <t xml:space="preserve">남성 냉감 아웃밴드 드로즈</t>
  </si>
  <si>
    <t xml:space="preserve">DGY-1, DBU-1</t>
  </si>
  <si>
    <t xml:space="preserve">JWIBX27111</t>
  </si>
  <si>
    <r>
      <rPr>
        <sz val="10"/>
        <rFont val="WenQuanYi Zen Hei"/>
        <family val="2"/>
      </rPr>
      <t xml:space="preserve">남성 냉감 인밴드 드로즈 </t>
    </r>
    <r>
      <rPr>
        <sz val="10"/>
        <rFont val="맑은 고딕"/>
        <family val="0"/>
        <charset val="1"/>
      </rPr>
      <t xml:space="preserve">(SET UP)</t>
    </r>
  </si>
  <si>
    <t xml:space="preserve">DGY-1, BGY(B/GRAY)</t>
  </si>
  <si>
    <t xml:space="preserve">JWIBX27131</t>
  </si>
  <si>
    <t xml:space="preserve">남성 메쉬 아웃밴드 드로즈</t>
  </si>
  <si>
    <t xml:space="preserve">JWICX27101</t>
  </si>
  <si>
    <t xml:space="preserve">남성 하이브리드 냉감 라운드넥 티셔츠</t>
  </si>
  <si>
    <t xml:space="preserve">JWICX27111</t>
  </si>
  <si>
    <r>
      <rPr>
        <sz val="10"/>
        <rFont val="WenQuanYi Zen Hei"/>
        <family val="2"/>
      </rPr>
      <t xml:space="preserve">남성 냉감 슬리브리스 </t>
    </r>
    <r>
      <rPr>
        <sz val="10"/>
        <rFont val="맑은 고딕"/>
        <family val="0"/>
        <charset val="1"/>
      </rPr>
      <t xml:space="preserve">(SET UP)</t>
    </r>
  </si>
  <si>
    <t xml:space="preserve">QEAAX27111</t>
  </si>
  <si>
    <t xml:space="preserve">남녀공용 그래픽 반다나</t>
  </si>
  <si>
    <t xml:space="preserve">KHA(KHAKI), MUS, LIM, DLI</t>
  </si>
  <si>
    <t xml:space="preserve">QEAKX27111</t>
  </si>
  <si>
    <t xml:space="preserve">남녀공용 그래픽 스카프</t>
  </si>
  <si>
    <t xml:space="preserve">AQU(AQUA), GRY(GRAY)</t>
  </si>
  <si>
    <t xml:space="preserve">QELAX27511</t>
  </si>
  <si>
    <t xml:space="preserve">남녀공용 그래픽 크루 삭스</t>
  </si>
  <si>
    <t xml:space="preserve">DNA(D/NAVY), DMI(D/MINT), GBR(G/BROWN)</t>
  </si>
  <si>
    <t xml:space="preserve">QELAX27521</t>
  </si>
  <si>
    <t xml:space="preserve">남녀공용 레트로 크루 삭스</t>
  </si>
  <si>
    <t xml:space="preserve">BLK(BLACK), ORA, NAY</t>
  </si>
  <si>
    <t xml:space="preserve">QELAX27531</t>
  </si>
  <si>
    <t xml:space="preserve">남녀공용 에센셜 크루 삭스</t>
  </si>
  <si>
    <t xml:space="preserve">범창</t>
  </si>
  <si>
    <t xml:space="preserve">QELAX27541</t>
  </si>
  <si>
    <t xml:space="preserve">남녀공용 베이직 앵클 삭스</t>
  </si>
  <si>
    <t xml:space="preserve">WHX, GBR(G/BROWN), GMI(G/MINT), BLK(BLACK)</t>
  </si>
  <si>
    <t xml:space="preserve">QELAX27551</t>
  </si>
  <si>
    <r>
      <rPr>
        <sz val="10"/>
        <rFont val="WenQuanYi Zen Hei"/>
        <family val="2"/>
      </rPr>
      <t xml:space="preserve">남녀공용 에센셜 쿠셔닝 인비저블 삭스 </t>
    </r>
    <r>
      <rPr>
        <sz val="10"/>
        <rFont val="맑은 고딕"/>
        <family val="0"/>
        <charset val="1"/>
      </rPr>
      <t xml:space="preserve">3PACK</t>
    </r>
  </si>
  <si>
    <t xml:space="preserve">OWH, BLK(BLACK), OTX</t>
  </si>
  <si>
    <t xml:space="preserve">QELAX27561</t>
  </si>
  <si>
    <t xml:space="preserve">남녀공용 상록수 그래픽 크루 삭스</t>
  </si>
  <si>
    <t xml:space="preserve">QELAX27571</t>
  </si>
  <si>
    <t xml:space="preserve">남녀공용 레터링 크루 삭스</t>
  </si>
  <si>
    <t xml:space="preserve">LBE(L/BEIGE), WHX</t>
  </si>
  <si>
    <t xml:space="preserve">QEAAX27741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</si>
  <si>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스트레치 헤어밴드</t>
    </r>
  </si>
  <si>
    <t xml:space="preserve">BLK(BLACK), IVO(IVORY), LSE</t>
  </si>
  <si>
    <r>
      <rPr>
        <sz val="10"/>
        <rFont val="WenQuanYi Zen Hei"/>
        <family val="2"/>
      </rPr>
      <t xml:space="preserve">신기</t>
    </r>
    <r>
      <rPr>
        <sz val="10"/>
        <rFont val="맑은 고딕"/>
        <family val="0"/>
        <charset val="1"/>
      </rPr>
      <t xml:space="preserve">SB</t>
    </r>
  </si>
  <si>
    <t xml:space="preserve">QEBDX27731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</si>
  <si>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힙벨트</t>
    </r>
  </si>
  <si>
    <t xml:space="preserve">QEBDX27733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</si>
  <si>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퀴버백</t>
    </r>
  </si>
  <si>
    <t xml:space="preserve">QEBXX27701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</si>
  <si>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5L</t>
    </r>
  </si>
  <si>
    <t xml:space="preserve">BLK(BLACK), IVO(IVORY)</t>
  </si>
  <si>
    <t xml:space="preserve">QEBXX27711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</si>
  <si>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10L</t>
    </r>
  </si>
  <si>
    <t xml:space="preserve">BLK(BLACK), LSE</t>
  </si>
  <si>
    <t xml:space="preserve">QELAX27701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</si>
  <si>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크루 삭스</t>
    </r>
  </si>
  <si>
    <t xml:space="preserve">LSE, IVO(IVORY), DGY(D/GRAY)</t>
  </si>
  <si>
    <t xml:space="preserve">QEREX27711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</si>
  <si>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메쉬 캠프캡</t>
    </r>
  </si>
  <si>
    <t xml:space="preserve">DGY(D/GRAY), DBE(DARK BEIGE)</t>
  </si>
  <si>
    <t xml:space="preserve">QEREX27721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</si>
  <si>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에어도트 볼캡</t>
    </r>
  </si>
  <si>
    <t xml:space="preserve">QEAKX27101</t>
  </si>
  <si>
    <t xml:space="preserve">남녀공용 심리스 멀티 스카프</t>
  </si>
  <si>
    <t xml:space="preserve">QERFX27141</t>
  </si>
  <si>
    <t xml:space="preserve">남녀공용 경량 우븐 벤틸레이션 브림햇</t>
  </si>
  <si>
    <t xml:space="preserve">DGY(D/GRAY), GBR(G/BROWN)</t>
  </si>
  <si>
    <t xml:space="preserve">QEBDX27691</t>
  </si>
  <si>
    <t xml:space="preserve">남녀공용 데이팩 토트백</t>
  </si>
  <si>
    <t xml:space="preserve">QEBXX27691</t>
  </si>
  <si>
    <t xml:space="preserve">남녀공용 데이팩 백팩</t>
  </si>
  <si>
    <t xml:space="preserve">QEREX27401</t>
  </si>
  <si>
    <t xml:space="preserve">남녀공용 면 트윌 볼캡</t>
  </si>
  <si>
    <t xml:space="preserve">BLK(BLACK), PIS, LPI, WHX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</si>
  <si>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구분별 금액 요약 — 원가합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소매가합</t>
    </r>
  </si>
  <si>
    <r>
      <rPr>
        <sz val="10"/>
        <color rgb="FF666666"/>
        <rFont val="WenQuanYi Zen Hei"/>
        <family val="2"/>
      </rPr>
      <t xml:space="preserve">구분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의류</t>
    </r>
    <r>
      <rPr>
        <sz val="10"/>
        <color rgb="FF666666"/>
        <rFont val="맑은 고딕"/>
        <family val="0"/>
        <charset val="1"/>
      </rPr>
      <t xml:space="preserve">(J/T </t>
    </r>
    <r>
      <rPr>
        <sz val="10"/>
        <color rgb="FF666666"/>
        <rFont val="WenQuanYi Zen Hei"/>
        <family val="2"/>
      </rPr>
      <t xml:space="preserve">등</t>
    </r>
    <r>
      <rPr>
        <sz val="10"/>
        <color rgb="FF666666"/>
        <rFont val="맑은 고딕"/>
        <family val="0"/>
        <charset val="1"/>
      </rPr>
      <t xml:space="preserve">) · </t>
    </r>
    <r>
      <rPr>
        <sz val="10"/>
        <color rgb="FF666666"/>
        <rFont val="WenQuanYi Zen Hei"/>
        <family val="2"/>
      </rPr>
      <t xml:space="preserve">용품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 </t>
    </r>
    <r>
      <rPr>
        <sz val="10"/>
        <color rgb="FF666666"/>
        <rFont val="맑은 고딕"/>
        <family val="0"/>
        <charset val="1"/>
      </rPr>
      <t xml:space="preserve">Q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 · WM/</t>
    </r>
    <r>
      <rPr>
        <sz val="10"/>
        <color rgb="FF666666"/>
        <rFont val="WenQuanYi Zen Hei"/>
        <family val="2"/>
      </rPr>
      <t xml:space="preserve">피싱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 </t>
    </r>
    <r>
      <rPr>
        <sz val="10"/>
        <color rgb="FF666666"/>
        <rFont val="맑은 고딕"/>
        <family val="0"/>
        <charset val="1"/>
      </rPr>
      <t xml:space="preserve">8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). </t>
    </r>
    <r>
      <rPr>
        <sz val="10"/>
        <color rgb="FF666666"/>
        <rFont val="WenQuanYi Zen Hei"/>
        <family val="2"/>
      </rPr>
      <t xml:space="preserve">트래커 값 수정 시 자동 갱신됩니다</t>
    </r>
    <r>
      <rPr>
        <sz val="10"/>
        <color rgb="FF666666"/>
        <rFont val="맑은 고딕"/>
        <family val="0"/>
        <charset val="1"/>
      </rPr>
      <t xml:space="preserve">.</t>
    </r>
  </si>
  <si>
    <t xml:space="preserve">구분</t>
  </si>
  <si>
    <t xml:space="preserve">스타일 수</t>
  </si>
  <si>
    <r>
      <rPr>
        <b val="true"/>
        <sz val="10"/>
        <color rgb="FFFFFFFF"/>
        <rFont val="WenQuanYi Zen Hei"/>
        <family val="2"/>
      </rPr>
      <t xml:space="preserve">기획수량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</si>
  <si>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소매가합 비중</t>
  </si>
  <si>
    <t xml:space="preserve">의류</t>
  </si>
  <si>
    <r>
      <rPr>
        <sz val="11"/>
        <rFont val="WenQuanYi Zen Hei"/>
        <family val="2"/>
      </rPr>
      <t xml:space="preserve">용품 </t>
    </r>
    <r>
      <rPr>
        <sz val="11"/>
        <rFont val="맑은 고딕"/>
        <family val="0"/>
        <charset val="1"/>
      </rPr>
      <t xml:space="preserve">(Q)</t>
    </r>
  </si>
  <si>
    <r>
      <rPr>
        <sz val="11"/>
        <rFont val="맑은 고딕"/>
        <family val="0"/>
        <charset val="1"/>
      </rPr>
      <t xml:space="preserve">WM/</t>
    </r>
    <r>
      <rPr>
        <sz val="11"/>
        <rFont val="WenQuanYi Zen Hei"/>
        <family val="2"/>
      </rPr>
      <t xml:space="preserve">피싱 </t>
    </r>
    <r>
      <rPr>
        <sz val="11"/>
        <rFont val="맑은 고딕"/>
        <family val="0"/>
        <charset val="1"/>
      </rPr>
      <t xml:space="preserve">(8)</t>
    </r>
  </si>
  <si>
    <t xml:space="preserve">합계</t>
  </si>
  <si>
    <t xml:space="preserve">의류 내 비수기 선정 비중</t>
  </si>
  <si>
    <r>
      <rPr>
        <sz val="10"/>
        <color rgb="FF666666"/>
        <rFont val="WenQuanYi Zen Hei"/>
        <family val="2"/>
      </rPr>
      <t xml:space="preserve">비수기 </t>
    </r>
    <r>
      <rPr>
        <sz val="10"/>
        <color rgb="FF666666"/>
        <rFont val="맑은 고딕"/>
        <family val="0"/>
        <charset val="1"/>
      </rPr>
      <t xml:space="preserve">= KS_</t>
    </r>
    <r>
      <rPr>
        <sz val="10"/>
        <color rgb="FF666666"/>
        <rFont val="WenQuanYi Zen Hei"/>
        <family val="2"/>
      </rPr>
      <t xml:space="preserve">비수기 선정 </t>
    </r>
    <r>
      <rPr>
        <sz val="10"/>
        <color rgb="FF666666"/>
        <rFont val="맑은 고딕"/>
        <family val="0"/>
        <charset val="1"/>
      </rPr>
      <t xml:space="preserve">27SS</t>
    </r>
    <r>
      <rPr>
        <sz val="10"/>
        <color rgb="FF666666"/>
        <rFont val="WenQuanYi Zen Hei"/>
        <family val="2"/>
      </rPr>
      <t xml:space="preserve">비수기 탭 </t>
    </r>
    <r>
      <rPr>
        <sz val="10"/>
        <color rgb="FF666666"/>
        <rFont val="맑은 고딕"/>
        <family val="0"/>
        <charset val="1"/>
      </rPr>
      <t xml:space="preserve">N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'O' </t>
    </r>
    <r>
      <rPr>
        <sz val="10"/>
        <color rgb="FF666666"/>
        <rFont val="WenQuanYi Zen Hei"/>
        <family val="2"/>
      </rPr>
      <t xml:space="preserve">확정 스타일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트래커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비수기 선정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열 기준</t>
    </r>
    <r>
      <rPr>
        <sz val="10"/>
        <color rgb="FF666666"/>
        <rFont val="맑은 고딕"/>
        <family val="0"/>
        <charset val="1"/>
      </rPr>
      <t xml:space="preserve">)</t>
    </r>
  </si>
  <si>
    <t xml:space="preserve">의류 전체</t>
  </si>
  <si>
    <r>
      <rPr>
        <sz val="11"/>
        <rFont val="WenQuanYi Zen Hei"/>
        <family val="2"/>
      </rPr>
      <t xml:space="preserve">비수기 선정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의류</t>
    </r>
    <r>
      <rPr>
        <sz val="11"/>
        <rFont val="맑은 고딕"/>
        <family val="0"/>
        <charset val="1"/>
      </rPr>
      <t xml:space="preserve">)</t>
    </r>
  </si>
  <si>
    <t xml:space="preserve">비수기 비중</t>
  </si>
  <si>
    <r>
      <rPr>
        <sz val="9"/>
        <color rgb="FF666666"/>
        <rFont val="맑은 고딕"/>
        <family val="0"/>
        <charset val="1"/>
      </rPr>
      <t xml:space="preserve">* </t>
    </r>
    <r>
      <rPr>
        <sz val="9"/>
        <color rgb="FF666666"/>
        <rFont val="WenQuanYi Zen Hei"/>
        <family val="2"/>
      </rPr>
      <t xml:space="preserve">원가합 </t>
    </r>
    <r>
      <rPr>
        <sz val="9"/>
        <color rgb="FF666666"/>
        <rFont val="맑은 고딕"/>
        <family val="0"/>
        <charset val="1"/>
      </rPr>
      <t xml:space="preserve">= Σ(</t>
    </r>
    <r>
      <rPr>
        <sz val="9"/>
        <color rgb="FF666666"/>
        <rFont val="WenQuanYi Zen Hei"/>
        <family val="2"/>
      </rPr>
      <t xml:space="preserve">기획수량</t>
    </r>
    <r>
      <rPr>
        <sz val="9"/>
        <color rgb="FF666666"/>
        <rFont val="맑은 고딕"/>
        <family val="0"/>
        <charset val="1"/>
      </rPr>
      <t xml:space="preserve">×</t>
    </r>
    <r>
      <rPr>
        <sz val="9"/>
        <color rgb="FF666666"/>
        <rFont val="WenQuanYi Zen Hei"/>
        <family val="2"/>
      </rPr>
      <t xml:space="preserve">입고원가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소매가합 </t>
    </r>
    <r>
      <rPr>
        <sz val="9"/>
        <color rgb="FF666666"/>
        <rFont val="맑은 고딕"/>
        <family val="0"/>
        <charset val="1"/>
      </rPr>
      <t xml:space="preserve">= Σ(</t>
    </r>
    <r>
      <rPr>
        <sz val="9"/>
        <color rgb="FF666666"/>
        <rFont val="WenQuanYi Zen Hei"/>
        <family val="2"/>
      </rPr>
      <t xml:space="preserve">기획수량</t>
    </r>
    <r>
      <rPr>
        <sz val="9"/>
        <color rgb="FF666666"/>
        <rFont val="맑은 고딕"/>
        <family val="0"/>
        <charset val="1"/>
      </rPr>
      <t xml:space="preserve">×</t>
    </r>
    <r>
      <rPr>
        <sz val="9"/>
        <color rgb="FF666666"/>
        <rFont val="WenQuanYi Zen Hei"/>
        <family val="2"/>
      </rPr>
      <t xml:space="preserve">예상소매가</t>
    </r>
    <r>
      <rPr>
        <sz val="9"/>
        <color rgb="FF666666"/>
        <rFont val="맑은 고딕"/>
        <family val="0"/>
        <charset val="1"/>
      </rPr>
      <t xml:space="preserve">) — 0808 </t>
    </r>
    <r>
      <rPr>
        <sz val="9"/>
        <color rgb="FF666666"/>
        <rFont val="WenQuanYi Zen Hei"/>
        <family val="2"/>
      </rPr>
      <t xml:space="preserve">원본 총원가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총공급가 기준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</si>
  <si>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 </t>
    </r>
    <r>
      <rPr>
        <b val="true"/>
        <sz val="14"/>
        <color rgb="FFFFFFFF"/>
        <rFont val="맑은 고딕"/>
        <family val="0"/>
        <charset val="1"/>
      </rPr>
      <t xml:space="preserve">(0808 </t>
    </r>
    <r>
      <rPr>
        <b val="true"/>
        <sz val="14"/>
        <color rgb="FFFFFFFF"/>
        <rFont val="WenQuanYi Zen Hei"/>
        <family val="2"/>
      </rPr>
      <t xml:space="preserve">원본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설</t>
    </r>
    <r>
      <rPr>
        <b val="true"/>
        <sz val="14"/>
        <color rgb="FFFFFFFF"/>
        <rFont val="맑은 고딕"/>
        <family val="0"/>
        <charset val="1"/>
      </rPr>
      <t xml:space="preserve">/</t>
    </r>
    <r>
      <rPr>
        <b val="true"/>
        <sz val="14"/>
        <color rgb="FFFFFFFF"/>
        <rFont val="WenQuanYi Zen Hei"/>
        <family val="2"/>
      </rPr>
      <t xml:space="preserve">춘절 보정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비수기 선정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</si>
  <si>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</si>
  <si>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</si>
  <si>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r>
      <rPr>
        <sz val="10"/>
        <color rgb="FF666666"/>
        <rFont val="WenQuanYi Zen Hei"/>
        <family val="2"/>
      </rPr>
      <t xml:space="preserve">★ 납기위험</t>
    </r>
    <r>
      <rPr>
        <sz val="10"/>
        <color rgb="FF666666"/>
        <rFont val="맑은 고딕"/>
        <family val="0"/>
        <charset val="1"/>
      </rPr>
      <t xml:space="preserve">(S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</si>
  <si>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◆ 지연주의</t>
    </r>
    <r>
      <rPr>
        <sz val="10"/>
        <color rgb="FF666666"/>
        <rFont val="맑은 고딕"/>
        <family val="0"/>
        <charset val="1"/>
      </rPr>
      <t xml:space="preserve">(M/X)</t>
    </r>
  </si>
  <si>
    <t xml:space="preserve">비수기 선정 스타일</t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</si>
  <si>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</si>
  <si>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</si>
  <si>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작지 미발행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</si>
  <si>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사양확정 미완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</si>
  <si>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★ 납기위험</t>
  </si>
  <si>
    <t xml:space="preserve">조율완료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</si>
  <si>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</si>
  <si>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2</t>
    </r>
    <r>
      <rPr>
        <sz val="11"/>
        <rFont val="WenQuanYi Zen Hei"/>
        <family val="2"/>
      </rPr>
      <t xml:space="preserve">주 전에는 제품이 입고되어야 하고</t>
    </r>
    <r>
      <rPr>
        <sz val="11"/>
        <rFont val="맑은 고딕"/>
        <family val="0"/>
        <charset val="1"/>
      </rPr>
      <t xml:space="preserve">(27</t>
    </r>
    <r>
      <rPr>
        <sz val="11"/>
        <rFont val="WenQuanYi Zen Hei"/>
        <family val="2"/>
      </rPr>
      <t xml:space="preserve">년 설 연휴 </t>
    </r>
    <r>
      <rPr>
        <sz val="11"/>
        <rFont val="맑은 고딕"/>
        <family val="0"/>
        <charset val="1"/>
      </rPr>
      <t xml:space="preserve">2/5~2/8 </t>
    </r>
    <r>
      <rPr>
        <sz val="11"/>
        <rFont val="WenQuanYi Zen Hei"/>
        <family val="2"/>
      </rPr>
      <t xml:space="preserve">입고 불가 반영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제품입고 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전에는 소재가 입고되어야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중국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베트남 공장은 춘절 휴무</t>
    </r>
    <r>
      <rPr>
        <sz val="11"/>
        <rFont val="맑은 고딕"/>
        <family val="0"/>
        <charset val="1"/>
      </rPr>
      <t xml:space="preserve">(2/1~2/15 </t>
    </r>
    <r>
      <rPr>
        <sz val="11"/>
        <rFont val="WenQuanYi Zen Hei"/>
        <family val="2"/>
      </rPr>
      <t xml:space="preserve">가정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로 생산기간이 겹치는 만큼 소재 마감이 추가로 앞당겨집니다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이 마감까지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발행되지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비수기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차 확정 스타일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의류 소매가 기준 약 </t>
    </r>
    <r>
      <rPr>
        <sz val="11"/>
        <rFont val="맑은 고딕"/>
        <family val="0"/>
        <charset val="1"/>
      </rPr>
      <t xml:space="preserve">28%)</t>
    </r>
    <r>
      <rPr>
        <sz val="11"/>
        <rFont val="WenQuanYi Zen Hei"/>
        <family val="2"/>
      </rPr>
      <t xml:space="preserve">은 </t>
    </r>
    <r>
      <rPr>
        <sz val="11"/>
        <rFont val="맑은 고딕"/>
        <family val="0"/>
        <charset val="1"/>
      </rPr>
      <t xml:space="preserve">BT </t>
    </r>
    <r>
      <rPr>
        <sz val="11"/>
        <rFont val="WenQuanYi Zen Hei"/>
        <family val="2"/>
      </rPr>
      <t xml:space="preserve">컨펌</t>
    </r>
    <r>
      <rPr>
        <sz val="11"/>
        <rFont val="맑은 고딕"/>
        <family val="0"/>
        <charset val="1"/>
      </rPr>
      <t xml:space="preserve">·8</t>
    </r>
    <r>
      <rPr>
        <sz val="11"/>
        <rFont val="WenQuanYi Zen Hei"/>
        <family val="2"/>
      </rPr>
      <t xml:space="preserve">월말 원단 도착 일정 준수가 전제이므로 소재 일정 회신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순위로 요청드립니다</t>
    </r>
    <r>
      <rPr>
        <sz val="11"/>
        <rFont val="맑은 고딕"/>
        <family val="0"/>
        <charset val="1"/>
      </rPr>
      <t xml:space="preserve">.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완사입</t>
    </r>
    <r>
      <rPr>
        <sz val="11"/>
        <rFont val="맑은 고딕"/>
        <family val="0"/>
        <charset val="1"/>
      </rPr>
      <t xml:space="preserve">·ODM</t>
    </r>
    <r>
      <rPr>
        <sz val="11"/>
        <rFont val="WenQuanYi Zen Hei"/>
        <family val="2"/>
      </rPr>
      <t xml:space="preserve">은 생산처에서 소재 입고 가능일을 회신해 주시기 바랍니다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</si>
</sst>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0;[RED]\-0"/>
    <numFmt numFmtId="168" formatCode="#,##0"/>
    <numFmt numFmtId="169" formatCode="0.0%"/>
    <numFmt numFmtId="170" formatCode="General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color rgb="FF212121"/>
      <name val="맑은 고딕"/>
      <family val="0"/>
      <charset val="1"/>
    </font>
    <font>
      <sz val="11"/>
      <color rgb="FF212121"/>
      <name val="WenQuanYi Zen Hei"/>
      <family val="2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맑은 고딕"/>
      <family val="0"/>
      <charset val="1"/>
    </font>
    <font>
      <b val="true"/>
      <sz val="11"/>
      <color rgb="FF2C5F2D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color rgb="FFE8474C"/>
      <name val="WenQuanYi Zen Hei"/>
      <family val="2"/>
    </font>
    <font>
      <sz val="10"/>
      <color rgb="FFE8474C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1"/>
      <color rgb="FF1B3A4B"/>
      <name val="WenQuanYi Zen Hei"/>
      <family val="2"/>
    </font>
    <font>
      <b val="true"/>
      <sz val="11"/>
      <color rgb="FF1B3A4B"/>
      <name val="맑은 고딕"/>
      <family val="0"/>
      <charset val="1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22"/>
      <color rgb="FF1B3A4B"/>
      <name val="맑은 고딕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2C5F2D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C5F2D"/>
        <bgColor rgb="FF1B3A4B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E8F5E9"/>
        <bgColor rgb="FFEEEEEE"/>
      </patternFill>
    </fill>
    <fill>
      <patternFill patternType="solid">
        <fgColor rgb="FFDCEDF7"/>
        <bgColor rgb="FFE8F5E9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DCEDF7"/>
          <bgColor rgb="FF000000"/>
        </patternFill>
      </fill>
    </dxf>
    <dxf>
      <fill>
        <patternFill patternType="solid">
          <fgColor rgb="FF1B3A4B"/>
          <bgColor rgb="FF000000"/>
        </patternFill>
      </fill>
    </dxf>
    <dxf>
      <fill>
        <patternFill patternType="solid">
          <fgColor rgb="FFFDE3E4"/>
          <bgColor rgb="FF000000"/>
        </patternFill>
      </fill>
    </dxf>
    <dxf>
      <fill>
        <patternFill patternType="solid">
          <fgColor rgb="FFE8474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CBCC"/>
          <bgColor rgb="FF000000"/>
        </patternFill>
      </fill>
    </dxf>
    <dxf>
      <fill>
        <patternFill patternType="solid">
          <fgColor rgb="FFFDE9CC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DE3E4"/>
        </patternFill>
      </fill>
    </dxf>
    <dxf>
      <font>
        <name val="맑은 고딕"/>
        <charset val="1"/>
        <family val="0"/>
        <b val="1"/>
        <color rgb="FF1B3A4B"/>
      </font>
      <fill>
        <patternFill>
          <bgColor rgb="FFDCED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C5F2D"/>
      <rgbColor rgb="FF000080"/>
      <rgbColor rgb="FF808000"/>
      <rgbColor rgb="FF800080"/>
      <rgbColor rgb="FF008080"/>
      <rgbColor rgb="FFFDE3E4"/>
      <rgbColor rgb="FF808080"/>
      <rgbColor rgb="FF9999FF"/>
      <rgbColor rgb="FF993366"/>
      <rgbColor rgb="FFFFF9C4"/>
      <rgbColor rgb="FFDCED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EEEEEE"/>
      <rgbColor rgb="FFFDE9CC"/>
      <rgbColor rgb="FFF5F5F5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12121"/>
      <rgbColor rgb="FF9C5700"/>
      <rgbColor rgb="FF993366"/>
      <rgbColor rgb="FF333399"/>
      <rgbColor rgb="FF1B3A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4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3" t="s">
        <v>13</v>
      </c>
    </row>
    <row r="19" customFormat="false" ht="15" hidden="false" customHeight="false" outlineLevel="0" collapsed="false">
      <c r="B19" s="3" t="s">
        <v>14</v>
      </c>
    </row>
    <row r="20" customFormat="false" ht="15" hidden="false" customHeight="false" outlineLevel="0" collapsed="false">
      <c r="B20" s="3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3" t="s">
        <v>17</v>
      </c>
    </row>
    <row r="24" customFormat="false" ht="15" hidden="false" customHeight="false" outlineLevel="0" collapsed="false">
      <c r="B24" s="3" t="s">
        <v>18</v>
      </c>
    </row>
    <row r="25" customFormat="false" ht="15" hidden="false" customHeight="false" outlineLevel="0" collapsed="false">
      <c r="B25" s="3" t="s">
        <v>19</v>
      </c>
    </row>
    <row r="27" customFormat="false" ht="16.4" hidden="false" customHeight="false" outlineLevel="0" collapsed="false">
      <c r="B27" s="2" t="s">
        <v>20</v>
      </c>
    </row>
    <row r="28" customFormat="false" ht="15" hidden="false" customHeight="false" outlineLevel="0" collapsed="false">
      <c r="B28" s="3" t="s">
        <v>21</v>
      </c>
    </row>
    <row r="29" customFormat="false" ht="15" hidden="false" customHeight="false" outlineLevel="0" collapsed="false">
      <c r="B29" s="3" t="s">
        <v>22</v>
      </c>
    </row>
    <row r="31" customFormat="false" ht="15" hidden="false" customHeight="false" outlineLevel="0" collapsed="false">
      <c r="B31" s="5" t="s">
        <v>23</v>
      </c>
    </row>
    <row r="32" customFormat="false" ht="15" hidden="false" customHeight="false" outlineLevel="0" collapsed="false">
      <c r="B32" s="6" t="s">
        <v>24</v>
      </c>
    </row>
    <row r="33" customFormat="false" ht="15" hidden="false" customHeight="false" outlineLevel="0" collapsed="false">
      <c r="B33" s="6" t="s">
        <v>25</v>
      </c>
    </row>
    <row r="34" customFormat="false" ht="15" hidden="false" customHeight="false" outlineLevel="0" collapsed="false">
      <c r="B34" s="6" t="s">
        <v>26</v>
      </c>
    </row>
    <row r="35" customFormat="false" ht="15" hidden="false" customHeight="false" outlineLevel="0" collapsed="false">
      <c r="B35" s="6" t="s">
        <v>27</v>
      </c>
    </row>
    <row r="36" customFormat="false" ht="15" hidden="false" customHeight="false" outlineLevel="0" collapsed="false">
      <c r="B36" s="6" t="s">
        <v>28</v>
      </c>
    </row>
    <row r="37" customFormat="false" ht="15" hidden="false" customHeight="false" outlineLevel="0" collapsed="false">
      <c r="B37" s="6" t="s">
        <v>29</v>
      </c>
    </row>
    <row r="38" customFormat="false" ht="15" hidden="false" customHeight="false" outlineLevel="0" collapsed="false">
      <c r="B38" s="6" t="s">
        <v>30</v>
      </c>
    </row>
    <row r="39" customFormat="false" ht="15" hidden="false" customHeight="false" outlineLevel="0" collapsed="false">
      <c r="B39" s="6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7" t="s">
        <v>32</v>
      </c>
    </row>
    <row r="4" customFormat="false" ht="15" hidden="false" customHeight="false" outlineLevel="0" collapsed="false">
      <c r="B4" s="8" t="s">
        <v>33</v>
      </c>
      <c r="C4" s="9" t="n">
        <f aca="true">TODAY()</f>
        <v>46253</v>
      </c>
      <c r="D4" s="10" t="s">
        <v>34</v>
      </c>
    </row>
    <row r="5" customFormat="false" ht="15" hidden="false" customHeight="false" outlineLevel="0" collapsed="false">
      <c r="B5" s="8" t="s">
        <v>35</v>
      </c>
      <c r="C5" s="11" t="n">
        <v>14</v>
      </c>
      <c r="D5" s="10" t="s">
        <v>36</v>
      </c>
    </row>
    <row r="6" customFormat="false" ht="15" hidden="false" customHeight="false" outlineLevel="0" collapsed="false">
      <c r="B6" s="8" t="s">
        <v>37</v>
      </c>
      <c r="C6" s="11" t="n">
        <v>90</v>
      </c>
      <c r="D6" s="10" t="s">
        <v>38</v>
      </c>
    </row>
    <row r="7" customFormat="false" ht="15" hidden="false" customHeight="false" outlineLevel="0" collapsed="false">
      <c r="B7" s="8" t="s">
        <v>39</v>
      </c>
      <c r="C7" s="11" t="n">
        <v>2027</v>
      </c>
      <c r="D7" s="12" t="s">
        <v>40</v>
      </c>
    </row>
    <row r="8" customFormat="false" ht="15" hidden="false" customHeight="false" outlineLevel="0" collapsed="false">
      <c r="B8" s="8" t="s">
        <v>41</v>
      </c>
      <c r="C8" s="9" t="n">
        <v>46419</v>
      </c>
      <c r="D8" s="10" t="s">
        <v>42</v>
      </c>
    </row>
    <row r="9" customFormat="false" ht="15" hidden="false" customHeight="false" outlineLevel="0" collapsed="false">
      <c r="B9" s="8" t="s">
        <v>43</v>
      </c>
      <c r="C9" s="9" t="n">
        <v>46433</v>
      </c>
      <c r="D9" s="10" t="s">
        <v>44</v>
      </c>
    </row>
    <row r="10" customFormat="false" ht="15" hidden="false" customHeight="false" outlineLevel="0" collapsed="false">
      <c r="B10" s="8" t="s">
        <v>45</v>
      </c>
      <c r="C10" s="9" t="n">
        <v>46423</v>
      </c>
      <c r="D10" s="10" t="s">
        <v>46</v>
      </c>
    </row>
    <row r="11" customFormat="false" ht="15" hidden="false" customHeight="false" outlineLevel="0" collapsed="false">
      <c r="B11" s="8" t="s">
        <v>47</v>
      </c>
      <c r="C11" s="9" t="n">
        <v>46426</v>
      </c>
      <c r="D11" s="10" t="s">
        <v>48</v>
      </c>
    </row>
    <row r="13" customFormat="false" ht="16.4" hidden="false" customHeight="false" outlineLevel="0" collapsed="false">
      <c r="B13" s="13" t="s">
        <v>49</v>
      </c>
    </row>
    <row r="14" customFormat="false" ht="15" hidden="false" customHeight="false" outlineLevel="0" collapsed="false">
      <c r="B14" s="14" t="s">
        <v>50</v>
      </c>
      <c r="C14" s="15" t="s">
        <v>51</v>
      </c>
    </row>
    <row r="15" customFormat="false" ht="15" hidden="false" customHeight="false" outlineLevel="0" collapsed="false">
      <c r="B15" s="16" t="s">
        <v>52</v>
      </c>
      <c r="C15" s="15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14"/>
    <col collapsed="false" customWidth="true" hidden="false" outlineLevel="0" max="13" min="13" style="0" width="9"/>
    <col collapsed="false" customWidth="true" hidden="false" outlineLevel="0" max="14" min="14" style="0" width="14"/>
    <col collapsed="false" customWidth="true" hidden="false" outlineLevel="0" max="17" min="15" style="0" width="9"/>
    <col collapsed="false" customWidth="true" hidden="false" outlineLevel="0" max="18" min="18" style="0" width="11"/>
    <col collapsed="false" customWidth="true" hidden="false" outlineLevel="0" max="20" min="19" style="0" width="13"/>
    <col collapsed="false" customWidth="true" hidden="false" outlineLevel="0" max="21" min="21" style="0" width="12"/>
    <col collapsed="false" customWidth="true" hidden="false" outlineLevel="0" max="22" min="22" style="0" width="13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5" min="25" style="0" width="34"/>
    <col collapsed="false" customWidth="true" hidden="false" outlineLevel="0" max="26" min="26" style="0" width="30"/>
    <col collapsed="false" customWidth="true" hidden="false" outlineLevel="0" max="27" min="27" style="0" width="13"/>
    <col collapsed="false" customWidth="true" hidden="false" outlineLevel="0" max="28" min="28" style="0" width="9"/>
    <col collapsed="false" customWidth="true" hidden="false" outlineLevel="0" max="29" min="29" style="0" width="14"/>
    <col collapsed="false" customWidth="true" hidden="false" outlineLevel="0" max="30" min="30" style="0" width="15"/>
    <col collapsed="false" customWidth="true" hidden="false" outlineLevel="0" max="31" min="31" style="0" width="13"/>
    <col collapsed="false" customWidth="true" hidden="false" outlineLevel="0" max="32" min="32" style="0" width="26"/>
    <col collapsed="false" customWidth="true" hidden="false" outlineLevel="0" max="33" min="33" style="0" width="15"/>
    <col collapsed="false" customWidth="true" hidden="false" outlineLevel="0" max="34" min="34" style="0" width="9"/>
    <col collapsed="false" customWidth="true" hidden="false" outlineLevel="0" max="35" min="35" style="0" width="24"/>
  </cols>
  <sheetData>
    <row r="1" customFormat="false" ht="19.4" hidden="false" customHeight="false" outlineLevel="0" collapsed="false">
      <c r="A1" s="17" t="s">
        <v>54</v>
      </c>
    </row>
    <row r="2" customFormat="false" ht="15" hidden="false" customHeight="false" outlineLevel="0" collapsed="false">
      <c r="A2" s="18" t="s">
        <v>55</v>
      </c>
      <c r="B2" s="19" t="n">
        <f aca="false">기준정보!$C$4</f>
        <v>46253</v>
      </c>
      <c r="C2" s="18" t="s">
        <v>56</v>
      </c>
      <c r="D2" s="20" t="str">
        <f aca="false">"입고 "&amp;기준정보!$C$5&amp;"일 + 소재 "&amp;기준정보!$C$6&amp;"일 + 휴무보정"</f>
        <v>입고 14일 + 소재 90일 + 휴무보정</v>
      </c>
      <c r="G2" s="21" t="s">
        <v>57</v>
      </c>
    </row>
    <row r="4" customFormat="false" ht="39.55" hidden="false" customHeight="false" outlineLevel="0" collapsed="false">
      <c r="A4" s="22" t="s">
        <v>58</v>
      </c>
      <c r="B4" s="22" t="s">
        <v>59</v>
      </c>
      <c r="C4" s="22" t="s">
        <v>60</v>
      </c>
      <c r="D4" s="22" t="s">
        <v>61</v>
      </c>
      <c r="E4" s="23" t="s">
        <v>62</v>
      </c>
      <c r="F4" s="23" t="s">
        <v>63</v>
      </c>
      <c r="G4" s="23" t="s">
        <v>64</v>
      </c>
      <c r="H4" s="23" t="s">
        <v>65</v>
      </c>
      <c r="I4" s="23" t="s">
        <v>66</v>
      </c>
      <c r="J4" s="23" t="s">
        <v>67</v>
      </c>
      <c r="K4" s="23" t="s">
        <v>68</v>
      </c>
      <c r="L4" s="23" t="s">
        <v>69</v>
      </c>
      <c r="M4" s="23" t="s">
        <v>70</v>
      </c>
      <c r="N4" s="23" t="s">
        <v>71</v>
      </c>
      <c r="O4" s="23" t="s">
        <v>72</v>
      </c>
      <c r="P4" s="23" t="s">
        <v>16</v>
      </c>
      <c r="Q4" s="23" t="s">
        <v>73</v>
      </c>
      <c r="R4" s="23" t="s">
        <v>74</v>
      </c>
      <c r="S4" s="23" t="s">
        <v>75</v>
      </c>
      <c r="T4" s="23" t="s">
        <v>76</v>
      </c>
      <c r="U4" s="23" t="s">
        <v>77</v>
      </c>
      <c r="V4" s="23" t="s">
        <v>78</v>
      </c>
      <c r="W4" s="23" t="s">
        <v>79</v>
      </c>
      <c r="X4" s="23" t="s">
        <v>80</v>
      </c>
      <c r="Y4" s="23" t="s">
        <v>81</v>
      </c>
      <c r="Z4" s="23" t="s">
        <v>82</v>
      </c>
      <c r="AA4" s="22" t="s">
        <v>83</v>
      </c>
      <c r="AB4" s="23" t="s">
        <v>84</v>
      </c>
      <c r="AC4" s="23" t="s">
        <v>85</v>
      </c>
      <c r="AD4" s="23" t="s">
        <v>86</v>
      </c>
      <c r="AE4" s="23" t="s">
        <v>87</v>
      </c>
      <c r="AF4" s="23" t="s">
        <v>88</v>
      </c>
      <c r="AG4" s="23" t="s">
        <v>89</v>
      </c>
      <c r="AH4" s="23" t="s">
        <v>90</v>
      </c>
      <c r="AI4" s="23" t="s">
        <v>91</v>
      </c>
    </row>
    <row r="5" customFormat="false" ht="15" hidden="false" customHeight="false" outlineLevel="0" collapsed="false">
      <c r="A5" s="24" t="n">
        <v>1</v>
      </c>
      <c r="B5" s="25" t="s">
        <v>92</v>
      </c>
      <c r="C5" s="25" t="s">
        <v>93</v>
      </c>
      <c r="D5" s="26" t="s">
        <v>94</v>
      </c>
      <c r="E5" s="25" t="s">
        <v>95</v>
      </c>
      <c r="F5" s="26" t="s">
        <v>96</v>
      </c>
      <c r="G5" s="24" t="str">
        <f aca="false">IF($D5="","",IF(MID($D5,5,1)="S","S(봄)",IF(MID($D5,5,1)="M","M(여름)",IF(MID($D5,5,1)="X","X(사계절)",MID($D5,5,1)))))</f>
        <v>S(봄)</v>
      </c>
      <c r="H5" s="25" t="s">
        <v>97</v>
      </c>
      <c r="I5" s="24" t="s">
        <v>98</v>
      </c>
      <c r="J5" s="27" t="s">
        <v>99</v>
      </c>
      <c r="K5" s="28" t="n">
        <f aca="false">IF($J5="","",IFERROR(DATE(IF(VALUE(LEFT($J5,FIND("월",$J5)-1))&gt;=9,기준정보!$C$7-1,기준정보!$C$7),VALUE(LEFT($J5,FIND("월",$J5)-1)),1+7*(VALUE(SUBSTITUTE(MID($J5,FIND("월",$J5)+1,5),"주",""))-1)),""))</f>
        <v>46395</v>
      </c>
      <c r="L5" s="28" t="n">
        <f aca="false">IF($K5="","",IF(AND($K5-기준정보!$C$5&gt;=기준정보!$C$10,$K5-기준정보!$C$5&lt;=기준정보!$C$11),기준정보!$C$10-1,$K5-기준정보!$C$5))</f>
        <v>46381</v>
      </c>
      <c r="M5" s="29" t="n">
        <f aca="false"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>0</v>
      </c>
      <c r="N5" s="28" t="n">
        <f aca="false">IF($L5="","",$L5-기준정보!$C$6-$M5)</f>
        <v>46291</v>
      </c>
      <c r="O5" s="30" t="n">
        <f aca="false">IF($N5="","",$N5-기준정보!$C$4)</f>
        <v>38</v>
      </c>
      <c r="P5" s="27"/>
      <c r="Q5" s="27" t="s">
        <v>100</v>
      </c>
      <c r="R5" s="27" t="s">
        <v>101</v>
      </c>
      <c r="S5" s="31"/>
      <c r="T5" s="26" t="str">
        <f aca="false">IF($H5="","",IF(AND(ISNUMBER(SEARCH("CMT",$H5)),OR(ISNUMBER(SEARCH("완사입",$H5)),ISNUMBER(SEARCH("ODM",$H5)))),"본사/생산처 혼재",IF(ISNUMBER(SEARCH("CMT",$H5)),"본사(소재팀)","생산처")))</f>
        <v>생산처</v>
      </c>
      <c r="U5" s="25" t="s">
        <v>102</v>
      </c>
      <c r="V5" s="25" t="s">
        <v>102</v>
      </c>
      <c r="W5" s="25" t="s">
        <v>103</v>
      </c>
      <c r="X5" s="26" t="s">
        <v>104</v>
      </c>
      <c r="Y5" s="32" t="s">
        <v>105</v>
      </c>
      <c r="Z5" s="32"/>
      <c r="AA5" s="28" t="n">
        <v>46174</v>
      </c>
      <c r="AB5" s="33" t="n">
        <v>190</v>
      </c>
      <c r="AC5" s="33" t="n">
        <v>47398730</v>
      </c>
      <c r="AD5" s="33" t="n">
        <v>188100000</v>
      </c>
      <c r="AE5" s="26"/>
      <c r="AF5" s="26" t="str">
        <f aca="false"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>소재 입고일정 확인 필요</v>
      </c>
      <c r="AG5" s="24" t="str">
        <f aca="false">IF($K5="","",IF(OR(LEFT($AF5,2)="작지",LEFT($AF5,4)="소재입고"),IF(LEFT($G5,1)="S","★ 납기위험(S코드)","◆ 지연주의"),IF($AF5="정상","✓ 정상","? 확인필요")))</f>
        <v>? 확인필요</v>
      </c>
      <c r="AH5" s="27"/>
      <c r="AI5" s="34"/>
    </row>
    <row r="6" customFormat="false" ht="15" hidden="false" customHeight="false" outlineLevel="0" collapsed="false">
      <c r="A6" s="24" t="n">
        <v>2</v>
      </c>
      <c r="B6" s="25" t="s">
        <v>92</v>
      </c>
      <c r="C6" s="25" t="s">
        <v>93</v>
      </c>
      <c r="D6" s="26" t="s">
        <v>106</v>
      </c>
      <c r="E6" s="25" t="s">
        <v>107</v>
      </c>
      <c r="F6" s="26" t="s">
        <v>108</v>
      </c>
      <c r="G6" s="24" t="str">
        <f aca="false">IF($D6="","",IF(MID($D6,5,1)="S","S(봄)",IF(MID($D6,5,1)="M","M(여름)",IF(MID($D6,5,1)="X","X(사계절)",MID($D6,5,1)))))</f>
        <v>S(봄)</v>
      </c>
      <c r="H6" s="25" t="s">
        <v>97</v>
      </c>
      <c r="I6" s="24" t="s">
        <v>98</v>
      </c>
      <c r="J6" s="27" t="s">
        <v>99</v>
      </c>
      <c r="K6" s="28" t="n">
        <f aca="false">IF($J6="","",IFERROR(DATE(IF(VALUE(LEFT($J6,FIND("월",$J6)-1))&gt;=9,기준정보!$C$7-1,기준정보!$C$7),VALUE(LEFT($J6,FIND("월",$J6)-1)),1+7*(VALUE(SUBSTITUTE(MID($J6,FIND("월",$J6)+1,5),"주",""))-1)),""))</f>
        <v>46395</v>
      </c>
      <c r="L6" s="28" t="n">
        <f aca="false">IF($K6="","",IF(AND($K6-기준정보!$C$5&gt;=기준정보!$C$10,$K6-기준정보!$C$5&lt;=기준정보!$C$11),기준정보!$C$10-1,$K6-기준정보!$C$5))</f>
        <v>46381</v>
      </c>
      <c r="M6" s="29" t="n">
        <f aca="false"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>0</v>
      </c>
      <c r="N6" s="28" t="n">
        <f aca="false">IF($L6="","",$L6-기준정보!$C$6-$M6)</f>
        <v>46291</v>
      </c>
      <c r="O6" s="30" t="n">
        <f aca="false">IF($N6="","",$N6-기준정보!$C$4)</f>
        <v>38</v>
      </c>
      <c r="P6" s="27"/>
      <c r="Q6" s="27" t="s">
        <v>100</v>
      </c>
      <c r="R6" s="27" t="s">
        <v>100</v>
      </c>
      <c r="S6" s="31"/>
      <c r="T6" s="26" t="str">
        <f aca="false">IF($H6="","",IF(AND(ISNUMBER(SEARCH("CMT",$H6)),OR(ISNUMBER(SEARCH("완사입",$H6)),ISNUMBER(SEARCH("ODM",$H6)))),"본사/생산처 혼재",IF(ISNUMBER(SEARCH("CMT",$H6)),"본사(소재팀)","생산처")))</f>
        <v>생산처</v>
      </c>
      <c r="U6" s="25" t="s">
        <v>109</v>
      </c>
      <c r="V6" s="25" t="s">
        <v>109</v>
      </c>
      <c r="W6" s="25" t="s">
        <v>110</v>
      </c>
      <c r="X6" s="26" t="s">
        <v>111</v>
      </c>
      <c r="Y6" s="32" t="s">
        <v>112</v>
      </c>
      <c r="Z6" s="35" t="s">
        <v>113</v>
      </c>
      <c r="AA6" s="28" t="n">
        <v>46232</v>
      </c>
      <c r="AB6" s="33" t="n">
        <v>550</v>
      </c>
      <c r="AC6" s="33" t="n">
        <v>46312750</v>
      </c>
      <c r="AD6" s="33" t="n">
        <v>214500000</v>
      </c>
      <c r="AE6" s="26"/>
      <c r="AF6" s="26" t="str">
        <f aca="false"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>소재 입고일정 확인 필요</v>
      </c>
      <c r="AG6" s="24" t="str">
        <f aca="false">IF($K6="","",IF(OR(LEFT($AF6,2)="작지",LEFT($AF6,4)="소재입고"),IF(LEFT($G6,1)="S","★ 납기위험(S코드)","◆ 지연주의"),IF($AF6="정상","✓ 정상","? 확인필요")))</f>
        <v>? 확인필요</v>
      </c>
      <c r="AH6" s="27"/>
      <c r="AI6" s="34"/>
    </row>
    <row r="7" customFormat="false" ht="15" hidden="false" customHeight="false" outlineLevel="0" collapsed="false">
      <c r="A7" s="24" t="n">
        <v>3</v>
      </c>
      <c r="B7" s="25" t="s">
        <v>92</v>
      </c>
      <c r="C7" s="25" t="s">
        <v>93</v>
      </c>
      <c r="D7" s="26" t="s">
        <v>114</v>
      </c>
      <c r="E7" s="25" t="s">
        <v>115</v>
      </c>
      <c r="F7" s="26" t="s">
        <v>96</v>
      </c>
      <c r="G7" s="24" t="str">
        <f aca="false">IF($D7="","",IF(MID($D7,5,1)="S","S(봄)",IF(MID($D7,5,1)="M","M(여름)",IF(MID($D7,5,1)="X","X(사계절)",MID($D7,5,1)))))</f>
        <v>S(봄)</v>
      </c>
      <c r="H7" s="25" t="s">
        <v>97</v>
      </c>
      <c r="I7" s="24" t="s">
        <v>98</v>
      </c>
      <c r="J7" s="27" t="s">
        <v>99</v>
      </c>
      <c r="K7" s="28" t="n">
        <f aca="false">IF($J7="","",IFERROR(DATE(IF(VALUE(LEFT($J7,FIND("월",$J7)-1))&gt;=9,기준정보!$C$7-1,기준정보!$C$7),VALUE(LEFT($J7,FIND("월",$J7)-1)),1+7*(VALUE(SUBSTITUTE(MID($J7,FIND("월",$J7)+1,5),"주",""))-1)),""))</f>
        <v>46395</v>
      </c>
      <c r="L7" s="28" t="n">
        <f aca="false">IF($K7="","",IF(AND($K7-기준정보!$C$5&gt;=기준정보!$C$10,$K7-기준정보!$C$5&lt;=기준정보!$C$11),기준정보!$C$10-1,$K7-기준정보!$C$5))</f>
        <v>46381</v>
      </c>
      <c r="M7" s="29" t="n">
        <f aca="false"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>0</v>
      </c>
      <c r="N7" s="28" t="n">
        <f aca="false">IF($L7="","",$L7-기준정보!$C$6-$M7)</f>
        <v>46291</v>
      </c>
      <c r="O7" s="30" t="n">
        <f aca="false">IF($N7="","",$N7-기준정보!$C$4)</f>
        <v>38</v>
      </c>
      <c r="P7" s="27"/>
      <c r="Q7" s="27" t="s">
        <v>100</v>
      </c>
      <c r="R7" s="27" t="s">
        <v>100</v>
      </c>
      <c r="S7" s="31"/>
      <c r="T7" s="26" t="str">
        <f aca="false">IF($H7="","",IF(AND(ISNUMBER(SEARCH("CMT",$H7)),OR(ISNUMBER(SEARCH("완사입",$H7)),ISNUMBER(SEARCH("ODM",$H7)))),"본사/생산처 혼재",IF(ISNUMBER(SEARCH("CMT",$H7)),"본사(소재팀)","생산처")))</f>
        <v>생산처</v>
      </c>
      <c r="U7" s="25" t="s">
        <v>109</v>
      </c>
      <c r="V7" s="25" t="s">
        <v>109</v>
      </c>
      <c r="W7" s="25" t="s">
        <v>110</v>
      </c>
      <c r="X7" s="26" t="s">
        <v>116</v>
      </c>
      <c r="Y7" s="32" t="s">
        <v>117</v>
      </c>
      <c r="Z7" s="35" t="s">
        <v>113</v>
      </c>
      <c r="AA7" s="28" t="n">
        <v>46210</v>
      </c>
      <c r="AB7" s="33" t="n">
        <v>600</v>
      </c>
      <c r="AC7" s="33" t="n">
        <v>46083000</v>
      </c>
      <c r="AD7" s="33" t="n">
        <v>210000000</v>
      </c>
      <c r="AE7" s="26"/>
      <c r="AF7" s="26" t="str">
        <f aca="false"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>소재 입고일정 확인 필요</v>
      </c>
      <c r="AG7" s="24" t="str">
        <f aca="false">IF($K7="","",IF(OR(LEFT($AF7,2)="작지",LEFT($AF7,4)="소재입고"),IF(LEFT($G7,1)="S","★ 납기위험(S코드)","◆ 지연주의"),IF($AF7="정상","✓ 정상","? 확인필요")))</f>
        <v>? 확인필요</v>
      </c>
      <c r="AH7" s="27"/>
      <c r="AI7" s="34"/>
    </row>
    <row r="8" customFormat="false" ht="15" hidden="false" customHeight="false" outlineLevel="0" collapsed="false">
      <c r="A8" s="24" t="n">
        <v>4</v>
      </c>
      <c r="B8" s="25" t="s">
        <v>92</v>
      </c>
      <c r="C8" s="25" t="s">
        <v>118</v>
      </c>
      <c r="D8" s="26" t="s">
        <v>119</v>
      </c>
      <c r="E8" s="25" t="s">
        <v>120</v>
      </c>
      <c r="F8" s="26" t="s">
        <v>121</v>
      </c>
      <c r="G8" s="24" t="str">
        <f aca="false">IF($D8="","",IF(MID($D8,5,1)="S","S(봄)",IF(MID($D8,5,1)="M","M(여름)",IF(MID($D8,5,1)="X","X(사계절)",MID($D8,5,1)))))</f>
        <v>S(봄)</v>
      </c>
      <c r="H8" s="25" t="s">
        <v>97</v>
      </c>
      <c r="I8" s="24" t="s">
        <v>98</v>
      </c>
      <c r="J8" s="27" t="s">
        <v>99</v>
      </c>
      <c r="K8" s="28" t="n">
        <f aca="false">IF($J8="","",IFERROR(DATE(IF(VALUE(LEFT($J8,FIND("월",$J8)-1))&gt;=9,기준정보!$C$7-1,기준정보!$C$7),VALUE(LEFT($J8,FIND("월",$J8)-1)),1+7*(VALUE(SUBSTITUTE(MID($J8,FIND("월",$J8)+1,5),"주",""))-1)),""))</f>
        <v>46395</v>
      </c>
      <c r="L8" s="28" t="n">
        <f aca="false">IF($K8="","",IF(AND($K8-기준정보!$C$5&gt;=기준정보!$C$10,$K8-기준정보!$C$5&lt;=기준정보!$C$11),기준정보!$C$10-1,$K8-기준정보!$C$5))</f>
        <v>46381</v>
      </c>
      <c r="M8" s="29" t="n">
        <f aca="false"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>0</v>
      </c>
      <c r="N8" s="28" t="n">
        <f aca="false">IF($L8="","",$L8-기준정보!$C$6-$M8)</f>
        <v>46291</v>
      </c>
      <c r="O8" s="30" t="n">
        <f aca="false">IF($N8="","",$N8-기준정보!$C$4)</f>
        <v>38</v>
      </c>
      <c r="P8" s="27"/>
      <c r="Q8" s="27" t="s">
        <v>100</v>
      </c>
      <c r="R8" s="27" t="s">
        <v>100</v>
      </c>
      <c r="S8" s="31"/>
      <c r="T8" s="26" t="str">
        <f aca="false">IF($H8="","",IF(AND(ISNUMBER(SEARCH("CMT",$H8)),OR(ISNUMBER(SEARCH("완사입",$H8)),ISNUMBER(SEARCH("ODM",$H8)))),"본사/생산처 혼재",IF(ISNUMBER(SEARCH("CMT",$H8)),"본사(소재팀)","생산처")))</f>
        <v>생산처</v>
      </c>
      <c r="U8" s="25" t="s">
        <v>109</v>
      </c>
      <c r="V8" s="25" t="s">
        <v>109</v>
      </c>
      <c r="W8" s="25" t="s">
        <v>110</v>
      </c>
      <c r="X8" s="25" t="s">
        <v>122</v>
      </c>
      <c r="Y8" s="35" t="s">
        <v>123</v>
      </c>
      <c r="Z8" s="32"/>
      <c r="AA8" s="28" t="n">
        <v>46225</v>
      </c>
      <c r="AB8" s="33" t="n">
        <v>400</v>
      </c>
      <c r="AC8" s="33" t="n">
        <v>24726400</v>
      </c>
      <c r="AD8" s="33" t="n">
        <v>128000000</v>
      </c>
      <c r="AE8" s="26"/>
      <c r="AF8" s="26" t="str">
        <f aca="false"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>소재 입고일정 확인 필요</v>
      </c>
      <c r="AG8" s="24" t="str">
        <f aca="false">IF($K8="","",IF(OR(LEFT($AF8,2)="작지",LEFT($AF8,4)="소재입고"),IF(LEFT($G8,1)="S","★ 납기위험(S코드)","◆ 지연주의"),IF($AF8="정상","✓ 정상","? 확인필요")))</f>
        <v>? 확인필요</v>
      </c>
      <c r="AH8" s="27"/>
      <c r="AI8" s="34"/>
    </row>
    <row r="9" customFormat="false" ht="15" hidden="false" customHeight="false" outlineLevel="0" collapsed="false">
      <c r="A9" s="24" t="n">
        <v>5</v>
      </c>
      <c r="B9" s="25" t="s">
        <v>92</v>
      </c>
      <c r="C9" s="25" t="s">
        <v>118</v>
      </c>
      <c r="D9" s="26" t="s">
        <v>124</v>
      </c>
      <c r="E9" s="25" t="s">
        <v>125</v>
      </c>
      <c r="F9" s="26" t="s">
        <v>108</v>
      </c>
      <c r="G9" s="24" t="str">
        <f aca="false">IF($D9="","",IF(MID($D9,5,1)="S","S(봄)",IF(MID($D9,5,1)="M","M(여름)",IF(MID($D9,5,1)="X","X(사계절)",MID($D9,5,1)))))</f>
        <v>S(봄)</v>
      </c>
      <c r="H9" s="25" t="s">
        <v>97</v>
      </c>
      <c r="I9" s="24" t="s">
        <v>98</v>
      </c>
      <c r="J9" s="27" t="s">
        <v>99</v>
      </c>
      <c r="K9" s="28" t="n">
        <f aca="false">IF($J9="","",IFERROR(DATE(IF(VALUE(LEFT($J9,FIND("월",$J9)-1))&gt;=9,기준정보!$C$7-1,기준정보!$C$7),VALUE(LEFT($J9,FIND("월",$J9)-1)),1+7*(VALUE(SUBSTITUTE(MID($J9,FIND("월",$J9)+1,5),"주",""))-1)),""))</f>
        <v>46395</v>
      </c>
      <c r="L9" s="28" t="n">
        <f aca="false">IF($K9="","",IF(AND($K9-기준정보!$C$5&gt;=기준정보!$C$10,$K9-기준정보!$C$5&lt;=기준정보!$C$11),기준정보!$C$10-1,$K9-기준정보!$C$5))</f>
        <v>46381</v>
      </c>
      <c r="M9" s="29" t="n">
        <f aca="false"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>0</v>
      </c>
      <c r="N9" s="28" t="n">
        <f aca="false">IF($L9="","",$L9-기준정보!$C$6-$M9)</f>
        <v>46291</v>
      </c>
      <c r="O9" s="30" t="n">
        <f aca="false">IF($N9="","",$N9-기준정보!$C$4)</f>
        <v>38</v>
      </c>
      <c r="P9" s="27"/>
      <c r="Q9" s="27" t="s">
        <v>100</v>
      </c>
      <c r="R9" s="27" t="s">
        <v>100</v>
      </c>
      <c r="S9" s="31"/>
      <c r="T9" s="26" t="str">
        <f aca="false">IF($H9="","",IF(AND(ISNUMBER(SEARCH("CMT",$H9)),OR(ISNUMBER(SEARCH("완사입",$H9)),ISNUMBER(SEARCH("ODM",$H9)))),"본사/생산처 혼재",IF(ISNUMBER(SEARCH("CMT",$H9)),"본사(소재팀)","생산처")))</f>
        <v>생산처</v>
      </c>
      <c r="U9" s="25" t="s">
        <v>126</v>
      </c>
      <c r="V9" s="25" t="s">
        <v>126</v>
      </c>
      <c r="W9" s="25" t="s">
        <v>103</v>
      </c>
      <c r="X9" s="25" t="s">
        <v>122</v>
      </c>
      <c r="Y9" s="35" t="s">
        <v>123</v>
      </c>
      <c r="Z9" s="32"/>
      <c r="AA9" s="28" t="n">
        <v>46196</v>
      </c>
      <c r="AB9" s="33" t="n">
        <v>350</v>
      </c>
      <c r="AC9" s="33" t="n">
        <v>20101900</v>
      </c>
      <c r="AD9" s="33" t="n">
        <v>94500000</v>
      </c>
      <c r="AE9" s="26"/>
      <c r="AF9" s="26" t="str">
        <f aca="false"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>소재 입고일정 확인 필요</v>
      </c>
      <c r="AG9" s="24" t="str">
        <f aca="false">IF($K9="","",IF(OR(LEFT($AF9,2)="작지",LEFT($AF9,4)="소재입고"),IF(LEFT($G9,1)="S","★ 납기위험(S코드)","◆ 지연주의"),IF($AF9="정상","✓ 정상","? 확인필요")))</f>
        <v>? 확인필요</v>
      </c>
      <c r="AH9" s="27"/>
      <c r="AI9" s="34"/>
    </row>
    <row r="10" customFormat="false" ht="15" hidden="false" customHeight="false" outlineLevel="0" collapsed="false">
      <c r="A10" s="24" t="n">
        <v>6</v>
      </c>
      <c r="B10" s="25" t="s">
        <v>92</v>
      </c>
      <c r="C10" s="25" t="s">
        <v>118</v>
      </c>
      <c r="D10" s="26" t="s">
        <v>127</v>
      </c>
      <c r="E10" s="25" t="s">
        <v>128</v>
      </c>
      <c r="F10" s="26" t="s">
        <v>129</v>
      </c>
      <c r="G10" s="24" t="str">
        <f aca="false">IF($D10="","",IF(MID($D10,5,1)="S","S(봄)",IF(MID($D10,5,1)="M","M(여름)",IF(MID($D10,5,1)="X","X(사계절)",MID($D10,5,1)))))</f>
        <v>S(봄)</v>
      </c>
      <c r="H10" s="25" t="s">
        <v>97</v>
      </c>
      <c r="I10" s="24" t="s">
        <v>98</v>
      </c>
      <c r="J10" s="27" t="s">
        <v>99</v>
      </c>
      <c r="K10" s="28" t="n">
        <f aca="false">IF($J10="","",IFERROR(DATE(IF(VALUE(LEFT($J10,FIND("월",$J10)-1))&gt;=9,기준정보!$C$7-1,기준정보!$C$7),VALUE(LEFT($J10,FIND("월",$J10)-1)),1+7*(VALUE(SUBSTITUTE(MID($J10,FIND("월",$J10)+1,5),"주",""))-1)),""))</f>
        <v>46395</v>
      </c>
      <c r="L10" s="28" t="n">
        <f aca="false">IF($K10="","",IF(AND($K10-기준정보!$C$5&gt;=기준정보!$C$10,$K10-기준정보!$C$5&lt;=기준정보!$C$11),기준정보!$C$10-1,$K10-기준정보!$C$5))</f>
        <v>46381</v>
      </c>
      <c r="M10" s="29" t="n">
        <f aca="false"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>0</v>
      </c>
      <c r="N10" s="28" t="n">
        <f aca="false">IF($L10="","",$L10-기준정보!$C$6-$M10)</f>
        <v>46291</v>
      </c>
      <c r="O10" s="30" t="n">
        <f aca="false">IF($N10="","",$N10-기준정보!$C$4)</f>
        <v>38</v>
      </c>
      <c r="P10" s="27"/>
      <c r="Q10" s="27" t="s">
        <v>100</v>
      </c>
      <c r="R10" s="27" t="s">
        <v>100</v>
      </c>
      <c r="S10" s="31"/>
      <c r="T10" s="26" t="str">
        <f aca="false">IF($H10="","",IF(AND(ISNUMBER(SEARCH("CMT",$H10)),OR(ISNUMBER(SEARCH("완사입",$H10)),ISNUMBER(SEARCH("ODM",$H10)))),"본사/생산처 혼재",IF(ISNUMBER(SEARCH("CMT",$H10)),"본사(소재팀)","생산처")))</f>
        <v>생산처</v>
      </c>
      <c r="U10" s="25" t="s">
        <v>126</v>
      </c>
      <c r="V10" s="25" t="s">
        <v>126</v>
      </c>
      <c r="W10" s="25" t="s">
        <v>103</v>
      </c>
      <c r="X10" s="26" t="s">
        <v>130</v>
      </c>
      <c r="Y10" s="32" t="s">
        <v>131</v>
      </c>
      <c r="Z10" s="32"/>
      <c r="AA10" s="28" t="n">
        <v>46246</v>
      </c>
      <c r="AB10" s="33" t="n">
        <v>200</v>
      </c>
      <c r="AC10" s="33" t="n">
        <v>16675200</v>
      </c>
      <c r="AD10" s="33" t="n">
        <v>64000000</v>
      </c>
      <c r="AE10" s="26"/>
      <c r="AF10" s="26" t="str">
        <f aca="false"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>소재 입고일정 확인 필요</v>
      </c>
      <c r="AG10" s="24" t="str">
        <f aca="false">IF($K10="","",IF(OR(LEFT($AF10,2)="작지",LEFT($AF10,4)="소재입고"),IF(LEFT($G10,1)="S","★ 납기위험(S코드)","◆ 지연주의"),IF($AF10="정상","✓ 정상","? 확인필요")))</f>
        <v>? 확인필요</v>
      </c>
      <c r="AH10" s="27"/>
      <c r="AI10" s="34"/>
    </row>
    <row r="11" customFormat="false" ht="15" hidden="false" customHeight="false" outlineLevel="0" collapsed="false">
      <c r="A11" s="24" t="n">
        <v>7</v>
      </c>
      <c r="B11" s="25" t="s">
        <v>92</v>
      </c>
      <c r="C11" s="25" t="s">
        <v>118</v>
      </c>
      <c r="D11" s="26" t="s">
        <v>132</v>
      </c>
      <c r="E11" s="25" t="s">
        <v>133</v>
      </c>
      <c r="F11" s="26" t="s">
        <v>134</v>
      </c>
      <c r="G11" s="24" t="str">
        <f aca="false">IF($D11="","",IF(MID($D11,5,1)="S","S(봄)",IF(MID($D11,5,1)="M","M(여름)",IF(MID($D11,5,1)="X","X(사계절)",MID($D11,5,1)))))</f>
        <v>S(봄)</v>
      </c>
      <c r="H11" s="25" t="s">
        <v>97</v>
      </c>
      <c r="I11" s="24" t="s">
        <v>98</v>
      </c>
      <c r="J11" s="27" t="s">
        <v>99</v>
      </c>
      <c r="K11" s="28" t="n">
        <f aca="false">IF($J11="","",IFERROR(DATE(IF(VALUE(LEFT($J11,FIND("월",$J11)-1))&gt;=9,기준정보!$C$7-1,기준정보!$C$7),VALUE(LEFT($J11,FIND("월",$J11)-1)),1+7*(VALUE(SUBSTITUTE(MID($J11,FIND("월",$J11)+1,5),"주",""))-1)),""))</f>
        <v>46395</v>
      </c>
      <c r="L11" s="28" t="n">
        <f aca="false">IF($K11="","",IF(AND($K11-기준정보!$C$5&gt;=기준정보!$C$10,$K11-기준정보!$C$5&lt;=기준정보!$C$11),기준정보!$C$10-1,$K11-기준정보!$C$5))</f>
        <v>46381</v>
      </c>
      <c r="M11" s="29" t="n">
        <f aca="false"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>0</v>
      </c>
      <c r="N11" s="28" t="n">
        <f aca="false">IF($L11="","",$L11-기준정보!$C$6-$M11)</f>
        <v>46291</v>
      </c>
      <c r="O11" s="30" t="n">
        <f aca="false">IF($N11="","",$N11-기준정보!$C$4)</f>
        <v>38</v>
      </c>
      <c r="P11" s="27"/>
      <c r="Q11" s="27" t="s">
        <v>100</v>
      </c>
      <c r="R11" s="27" t="s">
        <v>100</v>
      </c>
      <c r="S11" s="31"/>
      <c r="T11" s="26" t="str">
        <f aca="false">IF($H11="","",IF(AND(ISNUMBER(SEARCH("CMT",$H11)),OR(ISNUMBER(SEARCH("완사입",$H11)),ISNUMBER(SEARCH("ODM",$H11)))),"본사/생산처 혼재",IF(ISNUMBER(SEARCH("CMT",$H11)),"본사(소재팀)","생산처")))</f>
        <v>생산처</v>
      </c>
      <c r="U11" s="25" t="s">
        <v>135</v>
      </c>
      <c r="V11" s="25" t="s">
        <v>135</v>
      </c>
      <c r="W11" s="25" t="s">
        <v>103</v>
      </c>
      <c r="X11" s="26" t="s">
        <v>136</v>
      </c>
      <c r="Y11" s="32" t="s">
        <v>137</v>
      </c>
      <c r="Z11" s="32"/>
      <c r="AA11" s="28" t="n">
        <v>46178</v>
      </c>
      <c r="AB11" s="33" t="n">
        <v>180</v>
      </c>
      <c r="AC11" s="33" t="n">
        <v>4716720</v>
      </c>
      <c r="AD11" s="33" t="n">
        <v>24840000</v>
      </c>
      <c r="AE11" s="26"/>
      <c r="AF11" s="26" t="str">
        <f aca="false"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>소재 입고일정 확인 필요</v>
      </c>
      <c r="AG11" s="24" t="str">
        <f aca="false">IF($K11="","",IF(OR(LEFT($AF11,2)="작지",LEFT($AF11,4)="소재입고"),IF(LEFT($G11,1)="S","★ 납기위험(S코드)","◆ 지연주의"),IF($AF11="정상","✓ 정상","? 확인필요")))</f>
        <v>? 확인필요</v>
      </c>
      <c r="AH11" s="27"/>
      <c r="AI11" s="34"/>
    </row>
    <row r="12" customFormat="false" ht="15" hidden="false" customHeight="false" outlineLevel="0" collapsed="false">
      <c r="A12" s="24" t="n">
        <v>8</v>
      </c>
      <c r="B12" s="25" t="s">
        <v>92</v>
      </c>
      <c r="C12" s="25" t="s">
        <v>93</v>
      </c>
      <c r="D12" s="26" t="s">
        <v>138</v>
      </c>
      <c r="E12" s="25" t="s">
        <v>139</v>
      </c>
      <c r="F12" s="26" t="s">
        <v>140</v>
      </c>
      <c r="G12" s="24" t="str">
        <f aca="false">IF($D12="","",IF(MID($D12,5,1)="S","S(봄)",IF(MID($D12,5,1)="M","M(여름)",IF(MID($D12,5,1)="X","X(사계절)",MID($D12,5,1)))))</f>
        <v>S(봄)</v>
      </c>
      <c r="H12" s="25" t="s">
        <v>97</v>
      </c>
      <c r="I12" s="24" t="s">
        <v>98</v>
      </c>
      <c r="J12" s="27" t="s">
        <v>99</v>
      </c>
      <c r="K12" s="28" t="n">
        <f aca="false">IF($J12="","",IFERROR(DATE(IF(VALUE(LEFT($J12,FIND("월",$J12)-1))&gt;=9,기준정보!$C$7-1,기준정보!$C$7),VALUE(LEFT($J12,FIND("월",$J12)-1)),1+7*(VALUE(SUBSTITUTE(MID($J12,FIND("월",$J12)+1,5),"주",""))-1)),""))</f>
        <v>46395</v>
      </c>
      <c r="L12" s="28" t="n">
        <f aca="false">IF($K12="","",IF(AND($K12-기준정보!$C$5&gt;=기준정보!$C$10,$K12-기준정보!$C$5&lt;=기준정보!$C$11),기준정보!$C$10-1,$K12-기준정보!$C$5))</f>
        <v>46381</v>
      </c>
      <c r="M12" s="29" t="n">
        <f aca="false"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>0</v>
      </c>
      <c r="N12" s="28" t="n">
        <f aca="false">IF($L12="","",$L12-기준정보!$C$6-$M12)</f>
        <v>46291</v>
      </c>
      <c r="O12" s="30" t="n">
        <f aca="false">IF($N12="","",$N12-기준정보!$C$4)</f>
        <v>38</v>
      </c>
      <c r="P12" s="27"/>
      <c r="Q12" s="27" t="s">
        <v>101</v>
      </c>
      <c r="R12" s="27" t="s">
        <v>101</v>
      </c>
      <c r="S12" s="31"/>
      <c r="T12" s="26" t="str">
        <f aca="false">IF($H12="","",IF(AND(ISNUMBER(SEARCH("CMT",$H12)),OR(ISNUMBER(SEARCH("완사입",$H12)),ISNUMBER(SEARCH("ODM",$H12)))),"본사/생산처 혼재",IF(ISNUMBER(SEARCH("CMT",$H12)),"본사(소재팀)","생산처")))</f>
        <v>생산처</v>
      </c>
      <c r="U12" s="25" t="s">
        <v>102</v>
      </c>
      <c r="V12" s="25" t="s">
        <v>102</v>
      </c>
      <c r="W12" s="25" t="s">
        <v>103</v>
      </c>
      <c r="X12" s="26" t="s">
        <v>104</v>
      </c>
      <c r="Y12" s="32" t="s">
        <v>105</v>
      </c>
      <c r="Z12" s="32"/>
      <c r="AA12" s="28" t="n">
        <v>46183</v>
      </c>
      <c r="AB12" s="33" t="n">
        <v>250</v>
      </c>
      <c r="AC12" s="33" t="n">
        <v>68675250</v>
      </c>
      <c r="AD12" s="33" t="n">
        <v>247500000</v>
      </c>
      <c r="AE12" s="26"/>
      <c r="AF12" s="26" t="str">
        <f aca="false"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>작지 미발행</v>
      </c>
      <c r="AG12" s="24" t="str">
        <f aca="false">IF($K12="","",IF(OR(LEFT($AF12,2)="작지",LEFT($AF12,4)="소재입고"),IF(LEFT($G12,1)="S","★ 납기위험(S코드)","◆ 지연주의"),IF($AF12="정상","✓ 정상","? 확인필요")))</f>
        <v>★ 납기위험(S코드)</v>
      </c>
      <c r="AH12" s="27"/>
      <c r="AI12" s="34"/>
    </row>
    <row r="13" customFormat="false" ht="15" hidden="false" customHeight="false" outlineLevel="0" collapsed="false">
      <c r="A13" s="24" t="n">
        <v>9</v>
      </c>
      <c r="B13" s="25" t="s">
        <v>92</v>
      </c>
      <c r="C13" s="25" t="s">
        <v>93</v>
      </c>
      <c r="D13" s="26" t="s">
        <v>141</v>
      </c>
      <c r="E13" s="25" t="s">
        <v>142</v>
      </c>
      <c r="F13" s="26" t="s">
        <v>129</v>
      </c>
      <c r="G13" s="24" t="str">
        <f aca="false">IF($D13="","",IF(MID($D13,5,1)="S","S(봄)",IF(MID($D13,5,1)="M","M(여름)",IF(MID($D13,5,1)="X","X(사계절)",MID($D13,5,1)))))</f>
        <v>S(봄)</v>
      </c>
      <c r="H13" s="25" t="s">
        <v>97</v>
      </c>
      <c r="I13" s="24" t="s">
        <v>98</v>
      </c>
      <c r="J13" s="27" t="s">
        <v>99</v>
      </c>
      <c r="K13" s="28" t="n">
        <f aca="false">IF($J13="","",IFERROR(DATE(IF(VALUE(LEFT($J13,FIND("월",$J13)-1))&gt;=9,기준정보!$C$7-1,기준정보!$C$7),VALUE(LEFT($J13,FIND("월",$J13)-1)),1+7*(VALUE(SUBSTITUTE(MID($J13,FIND("월",$J13)+1,5),"주",""))-1)),""))</f>
        <v>46395</v>
      </c>
      <c r="L13" s="28" t="n">
        <f aca="false">IF($K13="","",IF(AND($K13-기준정보!$C$5&gt;=기준정보!$C$10,$K13-기준정보!$C$5&lt;=기준정보!$C$11),기준정보!$C$10-1,$K13-기준정보!$C$5))</f>
        <v>46381</v>
      </c>
      <c r="M13" s="29" t="n">
        <f aca="false"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>0</v>
      </c>
      <c r="N13" s="28" t="n">
        <f aca="false">IF($L13="","",$L13-기준정보!$C$6-$M13)</f>
        <v>46291</v>
      </c>
      <c r="O13" s="30" t="n">
        <f aca="false">IF($N13="","",$N13-기준정보!$C$4)</f>
        <v>38</v>
      </c>
      <c r="P13" s="27"/>
      <c r="Q13" s="27" t="s">
        <v>100</v>
      </c>
      <c r="R13" s="27" t="s">
        <v>100</v>
      </c>
      <c r="S13" s="31"/>
      <c r="T13" s="26" t="str">
        <f aca="false">IF($H13="","",IF(AND(ISNUMBER(SEARCH("CMT",$H13)),OR(ISNUMBER(SEARCH("완사입",$H13)),ISNUMBER(SEARCH("ODM",$H13)))),"본사/생산처 혼재",IF(ISNUMBER(SEARCH("CMT",$H13)),"본사(소재팀)","생산처")))</f>
        <v>생산처</v>
      </c>
      <c r="U13" s="25" t="s">
        <v>109</v>
      </c>
      <c r="V13" s="25" t="s">
        <v>109</v>
      </c>
      <c r="W13" s="25" t="s">
        <v>110</v>
      </c>
      <c r="X13" s="26" t="s">
        <v>111</v>
      </c>
      <c r="Y13" s="32" t="s">
        <v>112</v>
      </c>
      <c r="Z13" s="35" t="s">
        <v>113</v>
      </c>
      <c r="AA13" s="28" t="n">
        <v>46225</v>
      </c>
      <c r="AB13" s="33" t="n">
        <v>2350</v>
      </c>
      <c r="AC13" s="33" t="n">
        <v>215013250</v>
      </c>
      <c r="AD13" s="33" t="n">
        <v>916500000</v>
      </c>
      <c r="AE13" s="26"/>
      <c r="AF13" s="26" t="str">
        <f aca="false"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>소재 입고일정 확인 필요</v>
      </c>
      <c r="AG13" s="24" t="str">
        <f aca="false">IF($K13="","",IF(OR(LEFT($AF13,2)="작지",LEFT($AF13,4)="소재입고"),IF(LEFT($G13,1)="S","★ 납기위험(S코드)","◆ 지연주의"),IF($AF13="정상","✓ 정상","? 확인필요")))</f>
        <v>? 확인필요</v>
      </c>
      <c r="AH13" s="27"/>
      <c r="AI13" s="34"/>
    </row>
    <row r="14" customFormat="false" ht="15" hidden="false" customHeight="false" outlineLevel="0" collapsed="false">
      <c r="A14" s="24" t="n">
        <v>10</v>
      </c>
      <c r="B14" s="25" t="s">
        <v>92</v>
      </c>
      <c r="C14" s="25" t="s">
        <v>93</v>
      </c>
      <c r="D14" s="26" t="s">
        <v>143</v>
      </c>
      <c r="E14" s="25" t="s">
        <v>144</v>
      </c>
      <c r="F14" s="26" t="s">
        <v>145</v>
      </c>
      <c r="G14" s="24" t="str">
        <f aca="false">IF($D14="","",IF(MID($D14,5,1)="S","S(봄)",IF(MID($D14,5,1)="M","M(여름)",IF(MID($D14,5,1)="X","X(사계절)",MID($D14,5,1)))))</f>
        <v>S(봄)</v>
      </c>
      <c r="H14" s="25" t="s">
        <v>97</v>
      </c>
      <c r="I14" s="24" t="s">
        <v>98</v>
      </c>
      <c r="J14" s="27" t="s">
        <v>99</v>
      </c>
      <c r="K14" s="28" t="n">
        <f aca="false">IF($J14="","",IFERROR(DATE(IF(VALUE(LEFT($J14,FIND("월",$J14)-1))&gt;=9,기준정보!$C$7-1,기준정보!$C$7),VALUE(LEFT($J14,FIND("월",$J14)-1)),1+7*(VALUE(SUBSTITUTE(MID($J14,FIND("월",$J14)+1,5),"주",""))-1)),""))</f>
        <v>46395</v>
      </c>
      <c r="L14" s="28" t="n">
        <f aca="false">IF($K14="","",IF(AND($K14-기준정보!$C$5&gt;=기준정보!$C$10,$K14-기준정보!$C$5&lt;=기준정보!$C$11),기준정보!$C$10-1,$K14-기준정보!$C$5))</f>
        <v>46381</v>
      </c>
      <c r="M14" s="29" t="n">
        <f aca="false"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>0</v>
      </c>
      <c r="N14" s="28" t="n">
        <f aca="false">IF($L14="","",$L14-기준정보!$C$6-$M14)</f>
        <v>46291</v>
      </c>
      <c r="O14" s="30" t="n">
        <f aca="false">IF($N14="","",$N14-기준정보!$C$4)</f>
        <v>38</v>
      </c>
      <c r="P14" s="27"/>
      <c r="Q14" s="27" t="s">
        <v>100</v>
      </c>
      <c r="R14" s="27" t="s">
        <v>100</v>
      </c>
      <c r="S14" s="31"/>
      <c r="T14" s="26" t="str">
        <f aca="false">IF($H14="","",IF(AND(ISNUMBER(SEARCH("CMT",$H14)),OR(ISNUMBER(SEARCH("완사입",$H14)),ISNUMBER(SEARCH("ODM",$H14)))),"본사/생산처 혼재",IF(ISNUMBER(SEARCH("CMT",$H14)),"본사(소재팀)","생산처")))</f>
        <v>생산처</v>
      </c>
      <c r="U14" s="25" t="s">
        <v>109</v>
      </c>
      <c r="V14" s="25" t="s">
        <v>109</v>
      </c>
      <c r="W14" s="25" t="s">
        <v>110</v>
      </c>
      <c r="X14" s="26" t="s">
        <v>116</v>
      </c>
      <c r="Y14" s="32" t="s">
        <v>117</v>
      </c>
      <c r="Z14" s="35" t="s">
        <v>113</v>
      </c>
      <c r="AA14" s="28" t="n">
        <v>46226</v>
      </c>
      <c r="AB14" s="33" t="n">
        <v>2250</v>
      </c>
      <c r="AC14" s="33" t="n">
        <v>186752250</v>
      </c>
      <c r="AD14" s="33" t="n">
        <v>787500000</v>
      </c>
      <c r="AE14" s="26"/>
      <c r="AF14" s="26" t="str">
        <f aca="false"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>소재 입고일정 확인 필요</v>
      </c>
      <c r="AG14" s="24" t="str">
        <f aca="false">IF($K14="","",IF(OR(LEFT($AF14,2)="작지",LEFT($AF14,4)="소재입고"),IF(LEFT($G14,1)="S","★ 납기위험(S코드)","◆ 지연주의"),IF($AF14="정상","✓ 정상","? 확인필요")))</f>
        <v>? 확인필요</v>
      </c>
      <c r="AH14" s="27"/>
      <c r="AI14" s="34"/>
    </row>
    <row r="15" customFormat="false" ht="15" hidden="false" customHeight="false" outlineLevel="0" collapsed="false">
      <c r="A15" s="24" t="n">
        <v>11</v>
      </c>
      <c r="B15" s="25" t="s">
        <v>92</v>
      </c>
      <c r="C15" s="25" t="s">
        <v>118</v>
      </c>
      <c r="D15" s="26" t="s">
        <v>146</v>
      </c>
      <c r="E15" s="25" t="s">
        <v>147</v>
      </c>
      <c r="F15" s="26" t="s">
        <v>145</v>
      </c>
      <c r="G15" s="24" t="str">
        <f aca="false">IF($D15="","",IF(MID($D15,5,1)="S","S(봄)",IF(MID($D15,5,1)="M","M(여름)",IF(MID($D15,5,1)="X","X(사계절)",MID($D15,5,1)))))</f>
        <v>S(봄)</v>
      </c>
      <c r="H15" s="25" t="s">
        <v>97</v>
      </c>
      <c r="I15" s="24" t="s">
        <v>98</v>
      </c>
      <c r="J15" s="27" t="s">
        <v>99</v>
      </c>
      <c r="K15" s="28" t="n">
        <f aca="false">IF($J15="","",IFERROR(DATE(IF(VALUE(LEFT($J15,FIND("월",$J15)-1))&gt;=9,기준정보!$C$7-1,기준정보!$C$7),VALUE(LEFT($J15,FIND("월",$J15)-1)),1+7*(VALUE(SUBSTITUTE(MID($J15,FIND("월",$J15)+1,5),"주",""))-1)),""))</f>
        <v>46395</v>
      </c>
      <c r="L15" s="28" t="n">
        <f aca="false">IF($K15="","",IF(AND($K15-기준정보!$C$5&gt;=기준정보!$C$10,$K15-기준정보!$C$5&lt;=기준정보!$C$11),기준정보!$C$10-1,$K15-기준정보!$C$5))</f>
        <v>46381</v>
      </c>
      <c r="M15" s="29" t="n">
        <f aca="false"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>0</v>
      </c>
      <c r="N15" s="28" t="n">
        <f aca="false">IF($L15="","",$L15-기준정보!$C$6-$M15)</f>
        <v>46291</v>
      </c>
      <c r="O15" s="30" t="n">
        <f aca="false">IF($N15="","",$N15-기준정보!$C$4)</f>
        <v>38</v>
      </c>
      <c r="P15" s="27"/>
      <c r="Q15" s="27" t="s">
        <v>100</v>
      </c>
      <c r="R15" s="27" t="s">
        <v>100</v>
      </c>
      <c r="S15" s="31"/>
      <c r="T15" s="26" t="str">
        <f aca="false">IF($H15="","",IF(AND(ISNUMBER(SEARCH("CMT",$H15)),OR(ISNUMBER(SEARCH("완사입",$H15)),ISNUMBER(SEARCH("ODM",$H15)))),"본사/생산처 혼재",IF(ISNUMBER(SEARCH("CMT",$H15)),"본사(소재팀)","생산처")))</f>
        <v>생산처</v>
      </c>
      <c r="U15" s="25" t="s">
        <v>109</v>
      </c>
      <c r="V15" s="25" t="s">
        <v>109</v>
      </c>
      <c r="W15" s="25" t="s">
        <v>110</v>
      </c>
      <c r="X15" s="25" t="s">
        <v>122</v>
      </c>
      <c r="Y15" s="35" t="s">
        <v>123</v>
      </c>
      <c r="Z15" s="32"/>
      <c r="AA15" s="28" t="n">
        <v>46212</v>
      </c>
      <c r="AB15" s="33" t="n">
        <v>3000</v>
      </c>
      <c r="AC15" s="33" t="n">
        <v>199377000</v>
      </c>
      <c r="AD15" s="33" t="n">
        <v>960000000</v>
      </c>
      <c r="AE15" s="26"/>
      <c r="AF15" s="26" t="str">
        <f aca="false"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>소재 입고일정 확인 필요</v>
      </c>
      <c r="AG15" s="24" t="str">
        <f aca="false">IF($K15="","",IF(OR(LEFT($AF15,2)="작지",LEFT($AF15,4)="소재입고"),IF(LEFT($G15,1)="S","★ 납기위험(S코드)","◆ 지연주의"),IF($AF15="정상","✓ 정상","? 확인필요")))</f>
        <v>? 확인필요</v>
      </c>
      <c r="AH15" s="27"/>
      <c r="AI15" s="34"/>
    </row>
    <row r="16" customFormat="false" ht="15" hidden="false" customHeight="false" outlineLevel="0" collapsed="false">
      <c r="A16" s="24" t="n">
        <v>12</v>
      </c>
      <c r="B16" s="25" t="s">
        <v>92</v>
      </c>
      <c r="C16" s="25" t="s">
        <v>118</v>
      </c>
      <c r="D16" s="26" t="s">
        <v>148</v>
      </c>
      <c r="E16" s="25" t="s">
        <v>149</v>
      </c>
      <c r="F16" s="26" t="s">
        <v>150</v>
      </c>
      <c r="G16" s="24" t="str">
        <f aca="false">IF($D16="","",IF(MID($D16,5,1)="S","S(봄)",IF(MID($D16,5,1)="M","M(여름)",IF(MID($D16,5,1)="X","X(사계절)",MID($D16,5,1)))))</f>
        <v>S(봄)</v>
      </c>
      <c r="H16" s="25" t="s">
        <v>97</v>
      </c>
      <c r="I16" s="24" t="s">
        <v>98</v>
      </c>
      <c r="J16" s="27" t="s">
        <v>99</v>
      </c>
      <c r="K16" s="28" t="n">
        <f aca="false">IF($J16="","",IFERROR(DATE(IF(VALUE(LEFT($J16,FIND("월",$J16)-1))&gt;=9,기준정보!$C$7-1,기준정보!$C$7),VALUE(LEFT($J16,FIND("월",$J16)-1)),1+7*(VALUE(SUBSTITUTE(MID($J16,FIND("월",$J16)+1,5),"주",""))-1)),""))</f>
        <v>46395</v>
      </c>
      <c r="L16" s="28" t="n">
        <f aca="false">IF($K16="","",IF(AND($K16-기준정보!$C$5&gt;=기준정보!$C$10,$K16-기준정보!$C$5&lt;=기준정보!$C$11),기준정보!$C$10-1,$K16-기준정보!$C$5))</f>
        <v>46381</v>
      </c>
      <c r="M16" s="29" t="n">
        <f aca="false"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>0</v>
      </c>
      <c r="N16" s="28" t="n">
        <f aca="false">IF($L16="","",$L16-기준정보!$C$6-$M16)</f>
        <v>46291</v>
      </c>
      <c r="O16" s="30" t="n">
        <f aca="false">IF($N16="","",$N16-기준정보!$C$4)</f>
        <v>38</v>
      </c>
      <c r="P16" s="27"/>
      <c r="Q16" s="27" t="s">
        <v>100</v>
      </c>
      <c r="R16" s="27" t="s">
        <v>100</v>
      </c>
      <c r="S16" s="31"/>
      <c r="T16" s="26" t="str">
        <f aca="false">IF($H16="","",IF(AND(ISNUMBER(SEARCH("CMT",$H16)),OR(ISNUMBER(SEARCH("완사입",$H16)),ISNUMBER(SEARCH("ODM",$H16)))),"본사/생산처 혼재",IF(ISNUMBER(SEARCH("CMT",$H16)),"본사(소재팀)","생산처")))</f>
        <v>생산처</v>
      </c>
      <c r="U16" s="25" t="s">
        <v>126</v>
      </c>
      <c r="V16" s="25" t="s">
        <v>126</v>
      </c>
      <c r="W16" s="25" t="s">
        <v>103</v>
      </c>
      <c r="X16" s="25" t="s">
        <v>122</v>
      </c>
      <c r="Y16" s="35" t="s">
        <v>123</v>
      </c>
      <c r="Z16" s="32"/>
      <c r="AA16" s="28" t="n">
        <v>46206</v>
      </c>
      <c r="AB16" s="33" t="n">
        <v>1100</v>
      </c>
      <c r="AC16" s="33" t="n">
        <v>61816700</v>
      </c>
      <c r="AD16" s="33" t="n">
        <v>297000000</v>
      </c>
      <c r="AE16" s="26"/>
      <c r="AF16" s="26" t="str">
        <f aca="false"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>소재 입고일정 확인 필요</v>
      </c>
      <c r="AG16" s="24" t="str">
        <f aca="false">IF($K16="","",IF(OR(LEFT($AF16,2)="작지",LEFT($AF16,4)="소재입고"),IF(LEFT($G16,1)="S","★ 납기위험(S코드)","◆ 지연주의"),IF($AF16="정상","✓ 정상","? 확인필요")))</f>
        <v>? 확인필요</v>
      </c>
      <c r="AH16" s="27"/>
      <c r="AI16" s="34"/>
    </row>
    <row r="17" customFormat="false" ht="15" hidden="false" customHeight="false" outlineLevel="0" collapsed="false">
      <c r="A17" s="24" t="n">
        <v>13</v>
      </c>
      <c r="B17" s="25" t="s">
        <v>92</v>
      </c>
      <c r="C17" s="25" t="s">
        <v>118</v>
      </c>
      <c r="D17" s="26" t="s">
        <v>151</v>
      </c>
      <c r="E17" s="25" t="s">
        <v>152</v>
      </c>
      <c r="F17" s="26" t="s">
        <v>134</v>
      </c>
      <c r="G17" s="24" t="str">
        <f aca="false">IF($D17="","",IF(MID($D17,5,1)="S","S(봄)",IF(MID($D17,5,1)="M","M(여름)",IF(MID($D17,5,1)="X","X(사계절)",MID($D17,5,1)))))</f>
        <v>S(봄)</v>
      </c>
      <c r="H17" s="25" t="s">
        <v>97</v>
      </c>
      <c r="I17" s="24" t="s">
        <v>98</v>
      </c>
      <c r="J17" s="27" t="s">
        <v>99</v>
      </c>
      <c r="K17" s="28" t="n">
        <f aca="false">IF($J17="","",IFERROR(DATE(IF(VALUE(LEFT($J17,FIND("월",$J17)-1))&gt;=9,기준정보!$C$7-1,기준정보!$C$7),VALUE(LEFT($J17,FIND("월",$J17)-1)),1+7*(VALUE(SUBSTITUTE(MID($J17,FIND("월",$J17)+1,5),"주",""))-1)),""))</f>
        <v>46395</v>
      </c>
      <c r="L17" s="28" t="n">
        <f aca="false">IF($K17="","",IF(AND($K17-기준정보!$C$5&gt;=기준정보!$C$10,$K17-기준정보!$C$5&lt;=기준정보!$C$11),기준정보!$C$10-1,$K17-기준정보!$C$5))</f>
        <v>46381</v>
      </c>
      <c r="M17" s="29" t="n">
        <f aca="false"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>0</v>
      </c>
      <c r="N17" s="28" t="n">
        <f aca="false">IF($L17="","",$L17-기준정보!$C$6-$M17)</f>
        <v>46291</v>
      </c>
      <c r="O17" s="30" t="n">
        <f aca="false">IF($N17="","",$N17-기준정보!$C$4)</f>
        <v>38</v>
      </c>
      <c r="P17" s="27"/>
      <c r="Q17" s="27" t="s">
        <v>100</v>
      </c>
      <c r="R17" s="27" t="s">
        <v>100</v>
      </c>
      <c r="S17" s="31"/>
      <c r="T17" s="26" t="str">
        <f aca="false">IF($H17="","",IF(AND(ISNUMBER(SEARCH("CMT",$H17)),OR(ISNUMBER(SEARCH("완사입",$H17)),ISNUMBER(SEARCH("ODM",$H17)))),"본사/생산처 혼재",IF(ISNUMBER(SEARCH("CMT",$H17)),"본사(소재팀)","생산처")))</f>
        <v>생산처</v>
      </c>
      <c r="U17" s="25" t="s">
        <v>126</v>
      </c>
      <c r="V17" s="25" t="s">
        <v>126</v>
      </c>
      <c r="W17" s="25" t="s">
        <v>103</v>
      </c>
      <c r="X17" s="26" t="s">
        <v>130</v>
      </c>
      <c r="Y17" s="32" t="s">
        <v>131</v>
      </c>
      <c r="Z17" s="32"/>
      <c r="AA17" s="28" t="n">
        <v>46237</v>
      </c>
      <c r="AB17" s="33" t="n">
        <v>300</v>
      </c>
      <c r="AC17" s="33" t="n">
        <v>25478700</v>
      </c>
      <c r="AD17" s="33" t="n">
        <v>96000000</v>
      </c>
      <c r="AE17" s="26"/>
      <c r="AF17" s="26" t="str">
        <f aca="false"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>소재 입고일정 확인 필요</v>
      </c>
      <c r="AG17" s="24" t="str">
        <f aca="false">IF($K17="","",IF(OR(LEFT($AF17,2)="작지",LEFT($AF17,4)="소재입고"),IF(LEFT($G17,1)="S","★ 납기위험(S코드)","◆ 지연주의"),IF($AF17="정상","✓ 정상","? 확인필요")))</f>
        <v>? 확인필요</v>
      </c>
      <c r="AH17" s="27"/>
      <c r="AI17" s="34"/>
    </row>
    <row r="18" customFormat="false" ht="15" hidden="false" customHeight="false" outlineLevel="0" collapsed="false">
      <c r="A18" s="24" t="n">
        <v>14</v>
      </c>
      <c r="B18" s="25" t="s">
        <v>92</v>
      </c>
      <c r="C18" s="25" t="s">
        <v>118</v>
      </c>
      <c r="D18" s="26" t="s">
        <v>153</v>
      </c>
      <c r="E18" s="25" t="s">
        <v>154</v>
      </c>
      <c r="F18" s="26" t="s">
        <v>145</v>
      </c>
      <c r="G18" s="24" t="str">
        <f aca="false">IF($D18="","",IF(MID($D18,5,1)="S","S(봄)",IF(MID($D18,5,1)="M","M(여름)",IF(MID($D18,5,1)="X","X(사계절)",MID($D18,5,1)))))</f>
        <v>S(봄)</v>
      </c>
      <c r="H18" s="25" t="s">
        <v>97</v>
      </c>
      <c r="I18" s="24" t="s">
        <v>98</v>
      </c>
      <c r="J18" s="27" t="s">
        <v>99</v>
      </c>
      <c r="K18" s="28" t="n">
        <f aca="false">IF($J18="","",IFERROR(DATE(IF(VALUE(LEFT($J18,FIND("월",$J18)-1))&gt;=9,기준정보!$C$7-1,기준정보!$C$7),VALUE(LEFT($J18,FIND("월",$J18)-1)),1+7*(VALUE(SUBSTITUTE(MID($J18,FIND("월",$J18)+1,5),"주",""))-1)),""))</f>
        <v>46395</v>
      </c>
      <c r="L18" s="28" t="n">
        <f aca="false">IF($K18="","",IF(AND($K18-기준정보!$C$5&gt;=기준정보!$C$10,$K18-기준정보!$C$5&lt;=기준정보!$C$11),기준정보!$C$10-1,$K18-기준정보!$C$5))</f>
        <v>46381</v>
      </c>
      <c r="M18" s="29" t="n">
        <f aca="false"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>0</v>
      </c>
      <c r="N18" s="28" t="n">
        <f aca="false">IF($L18="","",$L18-기준정보!$C$6-$M18)</f>
        <v>46291</v>
      </c>
      <c r="O18" s="30" t="n">
        <f aca="false">IF($N18="","",$N18-기준정보!$C$4)</f>
        <v>38</v>
      </c>
      <c r="P18" s="27"/>
      <c r="Q18" s="27" t="s">
        <v>100</v>
      </c>
      <c r="R18" s="27" t="s">
        <v>100</v>
      </c>
      <c r="S18" s="31"/>
      <c r="T18" s="26" t="str">
        <f aca="false">IF($H18="","",IF(AND(ISNUMBER(SEARCH("CMT",$H18)),OR(ISNUMBER(SEARCH("완사입",$H18)),ISNUMBER(SEARCH("ODM",$H18)))),"본사/생산처 혼재",IF(ISNUMBER(SEARCH("CMT",$H18)),"본사(소재팀)","생산처")))</f>
        <v>생산처</v>
      </c>
      <c r="U18" s="25" t="s">
        <v>135</v>
      </c>
      <c r="V18" s="25" t="s">
        <v>135</v>
      </c>
      <c r="W18" s="25" t="s">
        <v>103</v>
      </c>
      <c r="X18" s="26" t="s">
        <v>136</v>
      </c>
      <c r="Y18" s="32" t="s">
        <v>137</v>
      </c>
      <c r="Z18" s="32"/>
      <c r="AA18" s="28" t="n">
        <v>46178</v>
      </c>
      <c r="AB18" s="33" t="n">
        <v>300</v>
      </c>
      <c r="AC18" s="33" t="n">
        <v>8055900</v>
      </c>
      <c r="AD18" s="33" t="n">
        <v>41400000</v>
      </c>
      <c r="AE18" s="26"/>
      <c r="AF18" s="26" t="str">
        <f aca="false"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>소재 입고일정 확인 필요</v>
      </c>
      <c r="AG18" s="24" t="str">
        <f aca="false">IF($K18="","",IF(OR(LEFT($AF18,2)="작지",LEFT($AF18,4)="소재입고"),IF(LEFT($G18,1)="S","★ 납기위험(S코드)","◆ 지연주의"),IF($AF18="정상","✓ 정상","? 확인필요")))</f>
        <v>? 확인필요</v>
      </c>
      <c r="AH18" s="27"/>
      <c r="AI18" s="34"/>
    </row>
    <row r="19" customFormat="false" ht="15" hidden="false" customHeight="false" outlineLevel="0" collapsed="false">
      <c r="A19" s="24" t="n">
        <v>15</v>
      </c>
      <c r="B19" s="25" t="s">
        <v>155</v>
      </c>
      <c r="C19" s="25" t="s">
        <v>156</v>
      </c>
      <c r="D19" s="26" t="s">
        <v>157</v>
      </c>
      <c r="E19" s="25" t="s">
        <v>158</v>
      </c>
      <c r="F19" s="26" t="s">
        <v>159</v>
      </c>
      <c r="G19" s="24" t="str">
        <f aca="false">IF($D19="","",IF(MID($D19,5,1)="S","S(봄)",IF(MID($D19,5,1)="M","M(여름)",IF(MID($D19,5,1)="X","X(사계절)",MID($D19,5,1)))))</f>
        <v>S(봄)</v>
      </c>
      <c r="H19" s="26" t="s">
        <v>160</v>
      </c>
      <c r="I19" s="24"/>
      <c r="J19" s="27" t="s">
        <v>99</v>
      </c>
      <c r="K19" s="28" t="n">
        <f aca="false">IF($J19="","",IFERROR(DATE(IF(VALUE(LEFT($J19,FIND("월",$J19)-1))&gt;=9,기준정보!$C$7-1,기준정보!$C$7),VALUE(LEFT($J19,FIND("월",$J19)-1)),1+7*(VALUE(SUBSTITUTE(MID($J19,FIND("월",$J19)+1,5),"주",""))-1)),""))</f>
        <v>46395</v>
      </c>
      <c r="L19" s="28" t="n">
        <f aca="false">IF($K19="","",IF(AND($K19-기준정보!$C$5&gt;=기준정보!$C$10,$K19-기준정보!$C$5&lt;=기준정보!$C$11),기준정보!$C$10-1,$K19-기준정보!$C$5))</f>
        <v>46381</v>
      </c>
      <c r="M19" s="29" t="n">
        <f aca="false"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>0</v>
      </c>
      <c r="N19" s="28" t="n">
        <f aca="false">IF($L19="","",$L19-기준정보!$C$6-$M19)</f>
        <v>46291</v>
      </c>
      <c r="O19" s="30" t="n">
        <f aca="false">IF($N19="","",$N19-기준정보!$C$4)</f>
        <v>38</v>
      </c>
      <c r="P19" s="27"/>
      <c r="Q19" s="27" t="s">
        <v>101</v>
      </c>
      <c r="R19" s="27" t="s">
        <v>101</v>
      </c>
      <c r="S19" s="31"/>
      <c r="T19" s="26" t="str">
        <f aca="false">IF($H19="","",IF(AND(ISNUMBER(SEARCH("CMT",$H19)),OR(ISNUMBER(SEARCH("완사입",$H19)),ISNUMBER(SEARCH("ODM",$H19)))),"본사/생산처 혼재",IF(ISNUMBER(SEARCH("CMT",$H19)),"본사(소재팀)","생산처")))</f>
        <v>생산처</v>
      </c>
      <c r="U19" s="26" t="s">
        <v>161</v>
      </c>
      <c r="V19" s="26" t="s">
        <v>162</v>
      </c>
      <c r="W19" s="25" t="s">
        <v>163</v>
      </c>
      <c r="X19" s="26" t="s">
        <v>162</v>
      </c>
      <c r="Y19" s="32" t="s">
        <v>164</v>
      </c>
      <c r="Z19" s="32"/>
      <c r="AA19" s="28"/>
      <c r="AB19" s="33" t="n">
        <v>8000</v>
      </c>
      <c r="AC19" s="33" t="n">
        <v>188464000</v>
      </c>
      <c r="AD19" s="33" t="n">
        <v>1024000000</v>
      </c>
      <c r="AE19" s="26"/>
      <c r="AF19" s="26" t="str">
        <f aca="false"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>작지 미발행</v>
      </c>
      <c r="AG19" s="24" t="str">
        <f aca="false">IF($K19="","",IF(OR(LEFT($AF19,2)="작지",LEFT($AF19,4)="소재입고"),IF(LEFT($G19,1)="S","★ 납기위험(S코드)","◆ 지연주의"),IF($AF19="정상","✓ 정상","? 확인필요")))</f>
        <v>★ 납기위험(S코드)</v>
      </c>
      <c r="AH19" s="27"/>
      <c r="AI19" s="34"/>
    </row>
    <row r="20" customFormat="false" ht="15" hidden="false" customHeight="false" outlineLevel="0" collapsed="false">
      <c r="A20" s="24" t="n">
        <v>16</v>
      </c>
      <c r="B20" s="25" t="s">
        <v>155</v>
      </c>
      <c r="C20" s="25" t="s">
        <v>156</v>
      </c>
      <c r="D20" s="26" t="s">
        <v>165</v>
      </c>
      <c r="E20" s="25" t="s">
        <v>166</v>
      </c>
      <c r="F20" s="26" t="s">
        <v>167</v>
      </c>
      <c r="G20" s="24" t="str">
        <f aca="false">IF($D20="","",IF(MID($D20,5,1)="S","S(봄)",IF(MID($D20,5,1)="M","M(여름)",IF(MID($D20,5,1)="X","X(사계절)",MID($D20,5,1)))))</f>
        <v>S(봄)</v>
      </c>
      <c r="H20" s="25" t="s">
        <v>97</v>
      </c>
      <c r="I20" s="24"/>
      <c r="J20" s="27" t="s">
        <v>99</v>
      </c>
      <c r="K20" s="28" t="n">
        <f aca="false">IF($J20="","",IFERROR(DATE(IF(VALUE(LEFT($J20,FIND("월",$J20)-1))&gt;=9,기준정보!$C$7-1,기준정보!$C$7),VALUE(LEFT($J20,FIND("월",$J20)-1)),1+7*(VALUE(SUBSTITUTE(MID($J20,FIND("월",$J20)+1,5),"주",""))-1)),""))</f>
        <v>46395</v>
      </c>
      <c r="L20" s="28" t="n">
        <f aca="false">IF($K20="","",IF(AND($K20-기준정보!$C$5&gt;=기준정보!$C$10,$K20-기준정보!$C$5&lt;=기준정보!$C$11),기준정보!$C$10-1,$K20-기준정보!$C$5))</f>
        <v>46381</v>
      </c>
      <c r="M20" s="29" t="n">
        <f aca="false"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>0</v>
      </c>
      <c r="N20" s="28" t="n">
        <f aca="false">IF($L20="","",$L20-기준정보!$C$6-$M20)</f>
        <v>46291</v>
      </c>
      <c r="O20" s="30" t="n">
        <f aca="false">IF($N20="","",$N20-기준정보!$C$4)</f>
        <v>38</v>
      </c>
      <c r="P20" s="27"/>
      <c r="Q20" s="27" t="s">
        <v>100</v>
      </c>
      <c r="R20" s="27" t="s">
        <v>100</v>
      </c>
      <c r="S20" s="31"/>
      <c r="T20" s="26" t="str">
        <f aca="false">IF($H20="","",IF(AND(ISNUMBER(SEARCH("CMT",$H20)),OR(ISNUMBER(SEARCH("완사입",$H20)),ISNUMBER(SEARCH("ODM",$H20)))),"본사/생산처 혼재",IF(ISNUMBER(SEARCH("CMT",$H20)),"본사(소재팀)","생산처")))</f>
        <v>생산처</v>
      </c>
      <c r="U20" s="25" t="s">
        <v>168</v>
      </c>
      <c r="V20" s="26"/>
      <c r="W20" s="25" t="s">
        <v>103</v>
      </c>
      <c r="X20" s="26"/>
      <c r="Y20" s="32"/>
      <c r="Z20" s="32"/>
      <c r="AA20" s="28"/>
      <c r="AB20" s="33" t="n">
        <v>2000</v>
      </c>
      <c r="AC20" s="33" t="n">
        <v>106628000</v>
      </c>
      <c r="AD20" s="33" t="n">
        <v>440000000</v>
      </c>
      <c r="AE20" s="26" t="s">
        <v>99</v>
      </c>
      <c r="AF20" s="26" t="str">
        <f aca="false"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>소재 입고일정 확인 필요</v>
      </c>
      <c r="AG20" s="24" t="str">
        <f aca="false">IF($K20="","",IF(OR(LEFT($AF20,2)="작지",LEFT($AF20,4)="소재입고"),IF(LEFT($G20,1)="S","★ 납기위험(S코드)","◆ 지연주의"),IF($AF20="정상","✓ 정상","? 확인필요")))</f>
        <v>? 확인필요</v>
      </c>
      <c r="AH20" s="27"/>
      <c r="AI20" s="34"/>
    </row>
    <row r="21" customFormat="false" ht="15" hidden="false" customHeight="false" outlineLevel="0" collapsed="false">
      <c r="A21" s="24" t="n">
        <v>17</v>
      </c>
      <c r="B21" s="25" t="s">
        <v>155</v>
      </c>
      <c r="C21" s="25" t="s">
        <v>156</v>
      </c>
      <c r="D21" s="26" t="s">
        <v>169</v>
      </c>
      <c r="E21" s="25" t="s">
        <v>170</v>
      </c>
      <c r="F21" s="26" t="s">
        <v>171</v>
      </c>
      <c r="G21" s="24" t="str">
        <f aca="false">IF($D21="","",IF(MID($D21,5,1)="S","S(봄)",IF(MID($D21,5,1)="M","M(여름)",IF(MID($D21,5,1)="X","X(사계절)",MID($D21,5,1)))))</f>
        <v>S(봄)</v>
      </c>
      <c r="H21" s="26" t="s">
        <v>160</v>
      </c>
      <c r="I21" s="24"/>
      <c r="J21" s="27" t="s">
        <v>99</v>
      </c>
      <c r="K21" s="28" t="n">
        <f aca="false">IF($J21="","",IFERROR(DATE(IF(VALUE(LEFT($J21,FIND("월",$J21)-1))&gt;=9,기준정보!$C$7-1,기준정보!$C$7),VALUE(LEFT($J21,FIND("월",$J21)-1)),1+7*(VALUE(SUBSTITUTE(MID($J21,FIND("월",$J21)+1,5),"주",""))-1)),""))</f>
        <v>46395</v>
      </c>
      <c r="L21" s="28" t="n">
        <f aca="false">IF($K21="","",IF(AND($K21-기준정보!$C$5&gt;=기준정보!$C$10,$K21-기준정보!$C$5&lt;=기준정보!$C$11),기준정보!$C$10-1,$K21-기준정보!$C$5))</f>
        <v>46381</v>
      </c>
      <c r="M21" s="29" t="n">
        <f aca="false"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>0</v>
      </c>
      <c r="N21" s="28" t="n">
        <f aca="false">IF($L21="","",$L21-기준정보!$C$6-$M21)</f>
        <v>46291</v>
      </c>
      <c r="O21" s="30" t="n">
        <f aca="false">IF($N21="","",$N21-기준정보!$C$4)</f>
        <v>38</v>
      </c>
      <c r="P21" s="27"/>
      <c r="Q21" s="27" t="s">
        <v>101</v>
      </c>
      <c r="R21" s="27" t="s">
        <v>101</v>
      </c>
      <c r="S21" s="31"/>
      <c r="T21" s="26" t="str">
        <f aca="false">IF($H21="","",IF(AND(ISNUMBER(SEARCH("CMT",$H21)),OR(ISNUMBER(SEARCH("완사입",$H21)),ISNUMBER(SEARCH("ODM",$H21)))),"본사/생산처 혼재",IF(ISNUMBER(SEARCH("CMT",$H21)),"본사(소재팀)","생산처")))</f>
        <v>생산처</v>
      </c>
      <c r="U21" s="26" t="s">
        <v>161</v>
      </c>
      <c r="V21" s="26" t="s">
        <v>162</v>
      </c>
      <c r="W21" s="25" t="s">
        <v>103</v>
      </c>
      <c r="X21" s="26" t="s">
        <v>162</v>
      </c>
      <c r="Y21" s="32" t="s">
        <v>172</v>
      </c>
      <c r="Z21" s="32"/>
      <c r="AA21" s="28"/>
      <c r="AB21" s="33" t="n">
        <v>3700</v>
      </c>
      <c r="AC21" s="33" t="n">
        <v>81736700</v>
      </c>
      <c r="AD21" s="33" t="n">
        <v>473600000</v>
      </c>
      <c r="AE21" s="26"/>
      <c r="AF21" s="26" t="str">
        <f aca="false"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>작지 미발행</v>
      </c>
      <c r="AG21" s="24" t="str">
        <f aca="false">IF($K21="","",IF(OR(LEFT($AF21,2)="작지",LEFT($AF21,4)="소재입고"),IF(LEFT($G21,1)="S","★ 납기위험(S코드)","◆ 지연주의"),IF($AF21="정상","✓ 정상","? 확인필요")))</f>
        <v>★ 납기위험(S코드)</v>
      </c>
      <c r="AH21" s="27"/>
      <c r="AI21" s="34"/>
    </row>
    <row r="22" customFormat="false" ht="15" hidden="false" customHeight="false" outlineLevel="0" collapsed="false">
      <c r="A22" s="24" t="n">
        <v>18</v>
      </c>
      <c r="B22" s="25" t="s">
        <v>155</v>
      </c>
      <c r="C22" s="25" t="s">
        <v>156</v>
      </c>
      <c r="D22" s="26" t="s">
        <v>173</v>
      </c>
      <c r="E22" s="25" t="s">
        <v>174</v>
      </c>
      <c r="F22" s="26" t="s">
        <v>175</v>
      </c>
      <c r="G22" s="24" t="str">
        <f aca="false">IF($D22="","",IF(MID($D22,5,1)="S","S(봄)",IF(MID($D22,5,1)="M","M(여름)",IF(MID($D22,5,1)="X","X(사계절)",MID($D22,5,1)))))</f>
        <v>S(봄)</v>
      </c>
      <c r="H22" s="25" t="s">
        <v>97</v>
      </c>
      <c r="I22" s="24"/>
      <c r="J22" s="27" t="s">
        <v>99</v>
      </c>
      <c r="K22" s="28" t="n">
        <f aca="false">IF($J22="","",IFERROR(DATE(IF(VALUE(LEFT($J22,FIND("월",$J22)-1))&gt;=9,기준정보!$C$7-1,기준정보!$C$7),VALUE(LEFT($J22,FIND("월",$J22)-1)),1+7*(VALUE(SUBSTITUTE(MID($J22,FIND("월",$J22)+1,5),"주",""))-1)),""))</f>
        <v>46395</v>
      </c>
      <c r="L22" s="28" t="n">
        <f aca="false">IF($K22="","",IF(AND($K22-기준정보!$C$5&gt;=기준정보!$C$10,$K22-기준정보!$C$5&lt;=기준정보!$C$11),기준정보!$C$10-1,$K22-기준정보!$C$5))</f>
        <v>46381</v>
      </c>
      <c r="M22" s="29" t="n">
        <f aca="false"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>0</v>
      </c>
      <c r="N22" s="28" t="n">
        <f aca="false">IF($L22="","",$L22-기준정보!$C$6-$M22)</f>
        <v>46291</v>
      </c>
      <c r="O22" s="30" t="n">
        <f aca="false">IF($N22="","",$N22-기준정보!$C$4)</f>
        <v>38</v>
      </c>
      <c r="P22" s="27"/>
      <c r="Q22" s="27" t="s">
        <v>100</v>
      </c>
      <c r="R22" s="27" t="s">
        <v>100</v>
      </c>
      <c r="S22" s="31"/>
      <c r="T22" s="26" t="str">
        <f aca="false">IF($H22="","",IF(AND(ISNUMBER(SEARCH("CMT",$H22)),OR(ISNUMBER(SEARCH("완사입",$H22)),ISNUMBER(SEARCH("ODM",$H22)))),"본사/생산처 혼재",IF(ISNUMBER(SEARCH("CMT",$H22)),"본사(소재팀)","생산처")))</f>
        <v>생산처</v>
      </c>
      <c r="U22" s="25" t="s">
        <v>168</v>
      </c>
      <c r="V22" s="26"/>
      <c r="W22" s="25" t="s">
        <v>103</v>
      </c>
      <c r="X22" s="26"/>
      <c r="Y22" s="32"/>
      <c r="Z22" s="32"/>
      <c r="AA22" s="28"/>
      <c r="AB22" s="33" t="n">
        <v>1200</v>
      </c>
      <c r="AC22" s="33" t="n">
        <v>58612800</v>
      </c>
      <c r="AD22" s="33" t="n">
        <v>237600000</v>
      </c>
      <c r="AE22" s="26" t="s">
        <v>99</v>
      </c>
      <c r="AF22" s="26" t="str">
        <f aca="false"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>소재 입고일정 확인 필요</v>
      </c>
      <c r="AG22" s="24" t="str">
        <f aca="false">IF($K22="","",IF(OR(LEFT($AF22,2)="작지",LEFT($AF22,4)="소재입고"),IF(LEFT($G22,1)="S","★ 납기위험(S코드)","◆ 지연주의"),IF($AF22="정상","✓ 정상","? 확인필요")))</f>
        <v>? 확인필요</v>
      </c>
      <c r="AH22" s="27"/>
      <c r="AI22" s="34"/>
    </row>
    <row r="23" customFormat="false" ht="15" hidden="false" customHeight="false" outlineLevel="0" collapsed="false">
      <c r="A23" s="24" t="n">
        <v>19</v>
      </c>
      <c r="B23" s="25" t="s">
        <v>176</v>
      </c>
      <c r="C23" s="25" t="s">
        <v>177</v>
      </c>
      <c r="D23" s="26" t="s">
        <v>178</v>
      </c>
      <c r="E23" s="26" t="s">
        <v>179</v>
      </c>
      <c r="F23" s="26" t="s">
        <v>180</v>
      </c>
      <c r="G23" s="24" t="str">
        <f aca="false">IF($D23="","",IF(MID($D23,5,1)="S","S(봄)",IF(MID($D23,5,1)="M","M(여름)",IF(MID($D23,5,1)="X","X(사계절)",MID($D23,5,1)))))</f>
        <v>S(봄)</v>
      </c>
      <c r="H23" s="25" t="s">
        <v>97</v>
      </c>
      <c r="I23" s="24" t="s">
        <v>181</v>
      </c>
      <c r="J23" s="27" t="s">
        <v>182</v>
      </c>
      <c r="K23" s="28" t="n">
        <f aca="false">IF($J23="","",IFERROR(DATE(IF(VALUE(LEFT($J23,FIND("월",$J23)-1))&gt;=9,기준정보!$C$7-1,기준정보!$C$7),VALUE(LEFT($J23,FIND("월",$J23)-1)),1+7*(VALUE(SUBSTITUTE(MID($J23,FIND("월",$J23)+1,5),"주",""))-1)),""))</f>
        <v>46402</v>
      </c>
      <c r="L23" s="28" t="n">
        <f aca="false">IF($K23="","",IF(AND($K23-기준정보!$C$5&gt;=기준정보!$C$10,$K23-기준정보!$C$5&lt;=기준정보!$C$11),기준정보!$C$10-1,$K23-기준정보!$C$5))</f>
        <v>46388</v>
      </c>
      <c r="M23" s="29" t="n">
        <f aca="false"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>0</v>
      </c>
      <c r="N23" s="28" t="n">
        <f aca="false">IF($L23="","",$L23-기준정보!$C$6-$M23)</f>
        <v>46298</v>
      </c>
      <c r="O23" s="30" t="n">
        <f aca="false">IF($N23="","",$N23-기준정보!$C$4)</f>
        <v>45</v>
      </c>
      <c r="P23" s="27"/>
      <c r="Q23" s="27" t="s">
        <v>100</v>
      </c>
      <c r="R23" s="27" t="s">
        <v>101</v>
      </c>
      <c r="S23" s="31"/>
      <c r="T23" s="26" t="str">
        <f aca="false">IF($H23="","",IF(AND(ISNUMBER(SEARCH("CMT",$H23)),OR(ISNUMBER(SEARCH("완사입",$H23)),ISNUMBER(SEARCH("ODM",$H23)))),"본사/생산처 혼재",IF(ISNUMBER(SEARCH("CMT",$H23)),"본사(소재팀)","생산처")))</f>
        <v>생산처</v>
      </c>
      <c r="U23" s="26" t="s">
        <v>183</v>
      </c>
      <c r="V23" s="26" t="s">
        <v>183</v>
      </c>
      <c r="W23" s="25" t="s">
        <v>103</v>
      </c>
      <c r="X23" s="25" t="s">
        <v>184</v>
      </c>
      <c r="Y23" s="35" t="s">
        <v>185</v>
      </c>
      <c r="Z23" s="32"/>
      <c r="AA23" s="28"/>
      <c r="AB23" s="33" t="n">
        <v>0</v>
      </c>
      <c r="AC23" s="33" t="n">
        <v>64250000</v>
      </c>
      <c r="AD23" s="33" t="n">
        <v>180000000</v>
      </c>
      <c r="AE23" s="26"/>
      <c r="AF23" s="26" t="str">
        <f aca="false"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>소재 입고일정 확인 필요</v>
      </c>
      <c r="AG23" s="24" t="str">
        <f aca="false">IF($K23="","",IF(OR(LEFT($AF23,2)="작지",LEFT($AF23,4)="소재입고"),IF(LEFT($G23,1)="S","★ 납기위험(S코드)","◆ 지연주의"),IF($AF23="정상","✓ 정상","? 확인필요")))</f>
        <v>? 확인필요</v>
      </c>
      <c r="AH23" s="27"/>
      <c r="AI23" s="34"/>
    </row>
    <row r="24" customFormat="false" ht="15" hidden="false" customHeight="false" outlineLevel="0" collapsed="false">
      <c r="A24" s="24" t="n">
        <v>20</v>
      </c>
      <c r="B24" s="25" t="s">
        <v>176</v>
      </c>
      <c r="C24" s="25" t="s">
        <v>177</v>
      </c>
      <c r="D24" s="26" t="s">
        <v>186</v>
      </c>
      <c r="E24" s="26" t="s">
        <v>187</v>
      </c>
      <c r="F24" s="26" t="s">
        <v>180</v>
      </c>
      <c r="G24" s="24" t="str">
        <f aca="false">IF($D24="","",IF(MID($D24,5,1)="S","S(봄)",IF(MID($D24,5,1)="M","M(여름)",IF(MID($D24,5,1)="X","X(사계절)",MID($D24,5,1)))))</f>
        <v>S(봄)</v>
      </c>
      <c r="H24" s="25" t="s">
        <v>97</v>
      </c>
      <c r="I24" s="24" t="s">
        <v>181</v>
      </c>
      <c r="J24" s="27" t="s">
        <v>182</v>
      </c>
      <c r="K24" s="28" t="n">
        <f aca="false">IF($J24="","",IFERROR(DATE(IF(VALUE(LEFT($J24,FIND("월",$J24)-1))&gt;=9,기준정보!$C$7-1,기준정보!$C$7),VALUE(LEFT($J24,FIND("월",$J24)-1)),1+7*(VALUE(SUBSTITUTE(MID($J24,FIND("월",$J24)+1,5),"주",""))-1)),""))</f>
        <v>46402</v>
      </c>
      <c r="L24" s="28" t="n">
        <f aca="false">IF($K24="","",IF(AND($K24-기준정보!$C$5&gt;=기준정보!$C$10,$K24-기준정보!$C$5&lt;=기준정보!$C$11),기준정보!$C$10-1,$K24-기준정보!$C$5))</f>
        <v>46388</v>
      </c>
      <c r="M24" s="29" t="n">
        <f aca="false"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>0</v>
      </c>
      <c r="N24" s="28" t="n">
        <f aca="false">IF($L24="","",$L24-기준정보!$C$6-$M24)</f>
        <v>46298</v>
      </c>
      <c r="O24" s="30" t="n">
        <f aca="false">IF($N24="","",$N24-기준정보!$C$4)</f>
        <v>45</v>
      </c>
      <c r="P24" s="27"/>
      <c r="Q24" s="27" t="s">
        <v>100</v>
      </c>
      <c r="R24" s="27" t="s">
        <v>101</v>
      </c>
      <c r="S24" s="31"/>
      <c r="T24" s="26" t="str">
        <f aca="false">IF($H24="","",IF(AND(ISNUMBER(SEARCH("CMT",$H24)),OR(ISNUMBER(SEARCH("완사입",$H24)),ISNUMBER(SEARCH("ODM",$H24)))),"본사/생산처 혼재",IF(ISNUMBER(SEARCH("CMT",$H24)),"본사(소재팀)","생산처")))</f>
        <v>생산처</v>
      </c>
      <c r="U24" s="26" t="s">
        <v>183</v>
      </c>
      <c r="V24" s="26" t="s">
        <v>183</v>
      </c>
      <c r="W24" s="25" t="s">
        <v>103</v>
      </c>
      <c r="X24" s="25" t="s">
        <v>184</v>
      </c>
      <c r="Y24" s="35" t="s">
        <v>185</v>
      </c>
      <c r="Z24" s="32"/>
      <c r="AA24" s="28"/>
      <c r="AB24" s="33" t="n">
        <v>0</v>
      </c>
      <c r="AC24" s="33" t="n">
        <v>34930000</v>
      </c>
      <c r="AD24" s="33" t="n">
        <v>87500000</v>
      </c>
      <c r="AE24" s="26"/>
      <c r="AF24" s="26" t="str">
        <f aca="false"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>소재 입고일정 확인 필요</v>
      </c>
      <c r="AG24" s="24" t="str">
        <f aca="false">IF($K24="","",IF(OR(LEFT($AF24,2)="작지",LEFT($AF24,4)="소재입고"),IF(LEFT($G24,1)="S","★ 납기위험(S코드)","◆ 지연주의"),IF($AF24="정상","✓ 정상","? 확인필요")))</f>
        <v>? 확인필요</v>
      </c>
      <c r="AH24" s="27"/>
      <c r="AI24" s="34"/>
    </row>
    <row r="25" customFormat="false" ht="15" hidden="false" customHeight="false" outlineLevel="0" collapsed="false">
      <c r="A25" s="24" t="n">
        <v>21</v>
      </c>
      <c r="B25" s="25" t="s">
        <v>176</v>
      </c>
      <c r="C25" s="25" t="s">
        <v>188</v>
      </c>
      <c r="D25" s="26" t="s">
        <v>189</v>
      </c>
      <c r="E25" s="26" t="s">
        <v>190</v>
      </c>
      <c r="F25" s="26" t="s">
        <v>191</v>
      </c>
      <c r="G25" s="24" t="str">
        <f aca="false">IF($D25="","",IF(MID($D25,5,1)="S","S(봄)",IF(MID($D25,5,1)="M","M(여름)",IF(MID($D25,5,1)="X","X(사계절)",MID($D25,5,1)))))</f>
        <v>S(봄)</v>
      </c>
      <c r="H25" s="25" t="s">
        <v>97</v>
      </c>
      <c r="I25" s="24" t="s">
        <v>181</v>
      </c>
      <c r="J25" s="27" t="s">
        <v>182</v>
      </c>
      <c r="K25" s="28" t="n">
        <f aca="false">IF($J25="","",IFERROR(DATE(IF(VALUE(LEFT($J25,FIND("월",$J25)-1))&gt;=9,기준정보!$C$7-1,기준정보!$C$7),VALUE(LEFT($J25,FIND("월",$J25)-1)),1+7*(VALUE(SUBSTITUTE(MID($J25,FIND("월",$J25)+1,5),"주",""))-1)),""))</f>
        <v>46402</v>
      </c>
      <c r="L25" s="28" t="n">
        <f aca="false">IF($K25="","",IF(AND($K25-기준정보!$C$5&gt;=기준정보!$C$10,$K25-기준정보!$C$5&lt;=기준정보!$C$11),기준정보!$C$10-1,$K25-기준정보!$C$5))</f>
        <v>46388</v>
      </c>
      <c r="M25" s="29" t="n">
        <f aca="false"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>0</v>
      </c>
      <c r="N25" s="28" t="n">
        <f aca="false">IF($L25="","",$L25-기준정보!$C$6-$M25)</f>
        <v>46298</v>
      </c>
      <c r="O25" s="30" t="n">
        <f aca="false">IF($N25="","",$N25-기준정보!$C$4)</f>
        <v>45</v>
      </c>
      <c r="P25" s="27"/>
      <c r="Q25" s="27" t="s">
        <v>100</v>
      </c>
      <c r="R25" s="27" t="s">
        <v>101</v>
      </c>
      <c r="S25" s="31"/>
      <c r="T25" s="26" t="str">
        <f aca="false">IF($H25="","",IF(AND(ISNUMBER(SEARCH("CMT",$H25)),OR(ISNUMBER(SEARCH("완사입",$H25)),ISNUMBER(SEARCH("ODM",$H25)))),"본사/생산처 혼재",IF(ISNUMBER(SEARCH("CMT",$H25)),"본사(소재팀)","생산처")))</f>
        <v>생산처</v>
      </c>
      <c r="U25" s="26" t="s">
        <v>183</v>
      </c>
      <c r="V25" s="26" t="s">
        <v>183</v>
      </c>
      <c r="W25" s="25" t="s">
        <v>103</v>
      </c>
      <c r="X25" s="25" t="s">
        <v>184</v>
      </c>
      <c r="Y25" s="35" t="s">
        <v>185</v>
      </c>
      <c r="Z25" s="32"/>
      <c r="AA25" s="28"/>
      <c r="AB25" s="33" t="n">
        <v>0</v>
      </c>
      <c r="AC25" s="33" t="n">
        <v>56850000</v>
      </c>
      <c r="AD25" s="33" t="n">
        <v>180000000</v>
      </c>
      <c r="AE25" s="26"/>
      <c r="AF25" s="26" t="str">
        <f aca="false"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>소재 입고일정 확인 필요</v>
      </c>
      <c r="AG25" s="24" t="str">
        <f aca="false">IF($K25="","",IF(OR(LEFT($AF25,2)="작지",LEFT($AF25,4)="소재입고"),IF(LEFT($G25,1)="S","★ 납기위험(S코드)","◆ 지연주의"),IF($AF25="정상","✓ 정상","? 확인필요")))</f>
        <v>? 확인필요</v>
      </c>
      <c r="AH25" s="27"/>
      <c r="AI25" s="34"/>
    </row>
    <row r="26" customFormat="false" ht="15" hidden="false" customHeight="false" outlineLevel="0" collapsed="false">
      <c r="A26" s="24" t="n">
        <v>22</v>
      </c>
      <c r="B26" s="25" t="s">
        <v>176</v>
      </c>
      <c r="C26" s="25" t="s">
        <v>188</v>
      </c>
      <c r="D26" s="26" t="s">
        <v>192</v>
      </c>
      <c r="E26" s="26" t="s">
        <v>193</v>
      </c>
      <c r="F26" s="26" t="s">
        <v>191</v>
      </c>
      <c r="G26" s="24" t="str">
        <f aca="false">IF($D26="","",IF(MID($D26,5,1)="S","S(봄)",IF(MID($D26,5,1)="M","M(여름)",IF(MID($D26,5,1)="X","X(사계절)",MID($D26,5,1)))))</f>
        <v>S(봄)</v>
      </c>
      <c r="H26" s="25" t="s">
        <v>97</v>
      </c>
      <c r="I26" s="24" t="s">
        <v>181</v>
      </c>
      <c r="J26" s="27" t="s">
        <v>182</v>
      </c>
      <c r="K26" s="28" t="n">
        <f aca="false">IF($J26="","",IFERROR(DATE(IF(VALUE(LEFT($J26,FIND("월",$J26)-1))&gt;=9,기준정보!$C$7-1,기준정보!$C$7),VALUE(LEFT($J26,FIND("월",$J26)-1)),1+7*(VALUE(SUBSTITUTE(MID($J26,FIND("월",$J26)+1,5),"주",""))-1)),""))</f>
        <v>46402</v>
      </c>
      <c r="L26" s="28" t="n">
        <f aca="false">IF($K26="","",IF(AND($K26-기준정보!$C$5&gt;=기준정보!$C$10,$K26-기준정보!$C$5&lt;=기준정보!$C$11),기준정보!$C$10-1,$K26-기준정보!$C$5))</f>
        <v>46388</v>
      </c>
      <c r="M26" s="29" t="n">
        <f aca="false"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>0</v>
      </c>
      <c r="N26" s="28" t="n">
        <f aca="false">IF($L26="","",$L26-기준정보!$C$6-$M26)</f>
        <v>46298</v>
      </c>
      <c r="O26" s="30" t="n">
        <f aca="false">IF($N26="","",$N26-기준정보!$C$4)</f>
        <v>45</v>
      </c>
      <c r="P26" s="27"/>
      <c r="Q26" s="27" t="s">
        <v>100</v>
      </c>
      <c r="R26" s="27" t="s">
        <v>101</v>
      </c>
      <c r="S26" s="31"/>
      <c r="T26" s="26" t="str">
        <f aca="false">IF($H26="","",IF(AND(ISNUMBER(SEARCH("CMT",$H26)),OR(ISNUMBER(SEARCH("완사입",$H26)),ISNUMBER(SEARCH("ODM",$H26)))),"본사/생산처 혼재",IF(ISNUMBER(SEARCH("CMT",$H26)),"본사(소재팀)","생산처")))</f>
        <v>생산처</v>
      </c>
      <c r="U26" s="26" t="s">
        <v>183</v>
      </c>
      <c r="V26" s="26" t="s">
        <v>183</v>
      </c>
      <c r="W26" s="25" t="s">
        <v>103</v>
      </c>
      <c r="X26" s="25" t="s">
        <v>184</v>
      </c>
      <c r="Y26" s="35" t="s">
        <v>185</v>
      </c>
      <c r="Z26" s="32"/>
      <c r="AA26" s="28"/>
      <c r="AB26" s="33" t="n">
        <v>0</v>
      </c>
      <c r="AC26" s="33" t="n">
        <v>44500000</v>
      </c>
      <c r="AD26" s="33" t="n">
        <v>125000000</v>
      </c>
      <c r="AE26" s="26"/>
      <c r="AF26" s="26" t="str">
        <f aca="false"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>소재 입고일정 확인 필요</v>
      </c>
      <c r="AG26" s="24" t="str">
        <f aca="false">IF($K26="","",IF(OR(LEFT($AF26,2)="작지",LEFT($AF26,4)="소재입고"),IF(LEFT($G26,1)="S","★ 납기위험(S코드)","◆ 지연주의"),IF($AF26="정상","✓ 정상","? 확인필요")))</f>
        <v>? 확인필요</v>
      </c>
      <c r="AH26" s="27"/>
      <c r="AI26" s="34"/>
    </row>
    <row r="27" customFormat="false" ht="15" hidden="false" customHeight="false" outlineLevel="0" collapsed="false">
      <c r="A27" s="24" t="n">
        <v>23</v>
      </c>
      <c r="B27" s="25" t="s">
        <v>176</v>
      </c>
      <c r="C27" s="25" t="s">
        <v>177</v>
      </c>
      <c r="D27" s="26" t="s">
        <v>194</v>
      </c>
      <c r="E27" s="26" t="s">
        <v>195</v>
      </c>
      <c r="F27" s="26" t="s">
        <v>196</v>
      </c>
      <c r="G27" s="24" t="str">
        <f aca="false">IF($D27="","",IF(MID($D27,5,1)="S","S(봄)",IF(MID($D27,5,1)="M","M(여름)",IF(MID($D27,5,1)="X","X(사계절)",MID($D27,5,1)))))</f>
        <v>S(봄)</v>
      </c>
      <c r="H27" s="25" t="s">
        <v>97</v>
      </c>
      <c r="I27" s="24" t="s">
        <v>181</v>
      </c>
      <c r="J27" s="27" t="s">
        <v>182</v>
      </c>
      <c r="K27" s="28" t="n">
        <f aca="false">IF($J27="","",IFERROR(DATE(IF(VALUE(LEFT($J27,FIND("월",$J27)-1))&gt;=9,기준정보!$C$7-1,기준정보!$C$7),VALUE(LEFT($J27,FIND("월",$J27)-1)),1+7*(VALUE(SUBSTITUTE(MID($J27,FIND("월",$J27)+1,5),"주",""))-1)),""))</f>
        <v>46402</v>
      </c>
      <c r="L27" s="28" t="n">
        <f aca="false">IF($K27="","",IF(AND($K27-기준정보!$C$5&gt;=기준정보!$C$10,$K27-기준정보!$C$5&lt;=기준정보!$C$11),기준정보!$C$10-1,$K27-기준정보!$C$5))</f>
        <v>46388</v>
      </c>
      <c r="M27" s="29" t="n">
        <f aca="false"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>0</v>
      </c>
      <c r="N27" s="28" t="n">
        <f aca="false">IF($L27="","",$L27-기준정보!$C$6-$M27)</f>
        <v>46298</v>
      </c>
      <c r="O27" s="30" t="n">
        <f aca="false">IF($N27="","",$N27-기준정보!$C$4)</f>
        <v>45</v>
      </c>
      <c r="P27" s="27"/>
      <c r="Q27" s="27" t="s">
        <v>100</v>
      </c>
      <c r="R27" s="27" t="s">
        <v>101</v>
      </c>
      <c r="S27" s="31"/>
      <c r="T27" s="26" t="str">
        <f aca="false">IF($H27="","",IF(AND(ISNUMBER(SEARCH("CMT",$H27)),OR(ISNUMBER(SEARCH("완사입",$H27)),ISNUMBER(SEARCH("ODM",$H27)))),"본사/생산처 혼재",IF(ISNUMBER(SEARCH("CMT",$H27)),"본사(소재팀)","생산처")))</f>
        <v>생산처</v>
      </c>
      <c r="U27" s="25" t="s">
        <v>197</v>
      </c>
      <c r="V27" s="26"/>
      <c r="W27" s="25" t="s">
        <v>103</v>
      </c>
      <c r="X27" s="26"/>
      <c r="Y27" s="32"/>
      <c r="Z27" s="32"/>
      <c r="AA27" s="28"/>
      <c r="AB27" s="33" t="n">
        <v>0</v>
      </c>
      <c r="AC27" s="33" t="n">
        <v>2558824</v>
      </c>
      <c r="AD27" s="33" t="n">
        <v>8700000</v>
      </c>
      <c r="AE27" s="26"/>
      <c r="AF27" s="26" t="str">
        <f aca="false"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>소재 입고일정 확인 필요</v>
      </c>
      <c r="AG27" s="24" t="str">
        <f aca="false">IF($K27="","",IF(OR(LEFT($AF27,2)="작지",LEFT($AF27,4)="소재입고"),IF(LEFT($G27,1)="S","★ 납기위험(S코드)","◆ 지연주의"),IF($AF27="정상","✓ 정상","? 확인필요")))</f>
        <v>? 확인필요</v>
      </c>
      <c r="AH27" s="27"/>
      <c r="AI27" s="34"/>
    </row>
    <row r="28" customFormat="false" ht="15" hidden="false" customHeight="false" outlineLevel="0" collapsed="false">
      <c r="A28" s="24" t="n">
        <v>24</v>
      </c>
      <c r="B28" s="25" t="s">
        <v>176</v>
      </c>
      <c r="C28" s="25" t="s">
        <v>188</v>
      </c>
      <c r="D28" s="26" t="s">
        <v>198</v>
      </c>
      <c r="E28" s="26" t="s">
        <v>199</v>
      </c>
      <c r="F28" s="26" t="s">
        <v>200</v>
      </c>
      <c r="G28" s="24" t="str">
        <f aca="false">IF($D28="","",IF(MID($D28,5,1)="S","S(봄)",IF(MID($D28,5,1)="M","M(여름)",IF(MID($D28,5,1)="X","X(사계절)",MID($D28,5,1)))))</f>
        <v>S(봄)</v>
      </c>
      <c r="H28" s="25" t="s">
        <v>97</v>
      </c>
      <c r="I28" s="24" t="s">
        <v>181</v>
      </c>
      <c r="J28" s="27" t="s">
        <v>182</v>
      </c>
      <c r="K28" s="28" t="n">
        <f aca="false">IF($J28="","",IFERROR(DATE(IF(VALUE(LEFT($J28,FIND("월",$J28)-1))&gt;=9,기준정보!$C$7-1,기준정보!$C$7),VALUE(LEFT($J28,FIND("월",$J28)-1)),1+7*(VALUE(SUBSTITUTE(MID($J28,FIND("월",$J28)+1,5),"주",""))-1)),""))</f>
        <v>46402</v>
      </c>
      <c r="L28" s="28" t="n">
        <f aca="false">IF($K28="","",IF(AND($K28-기준정보!$C$5&gt;=기준정보!$C$10,$K28-기준정보!$C$5&lt;=기준정보!$C$11),기준정보!$C$10-1,$K28-기준정보!$C$5))</f>
        <v>46388</v>
      </c>
      <c r="M28" s="29" t="n">
        <f aca="false"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>0</v>
      </c>
      <c r="N28" s="28" t="n">
        <f aca="false">IF($L28="","",$L28-기준정보!$C$6-$M28)</f>
        <v>46298</v>
      </c>
      <c r="O28" s="30" t="n">
        <f aca="false">IF($N28="","",$N28-기준정보!$C$4)</f>
        <v>45</v>
      </c>
      <c r="P28" s="27"/>
      <c r="Q28" s="27" t="s">
        <v>100</v>
      </c>
      <c r="R28" s="27" t="s">
        <v>101</v>
      </c>
      <c r="S28" s="31"/>
      <c r="T28" s="26" t="str">
        <f aca="false">IF($H28="","",IF(AND(ISNUMBER(SEARCH("CMT",$H28)),OR(ISNUMBER(SEARCH("완사입",$H28)),ISNUMBER(SEARCH("ODM",$H28)))),"본사/생산처 혼재",IF(ISNUMBER(SEARCH("CMT",$H28)),"본사(소재팀)","생산처")))</f>
        <v>생산처</v>
      </c>
      <c r="U28" s="25" t="s">
        <v>201</v>
      </c>
      <c r="V28" s="26"/>
      <c r="W28" s="25" t="s">
        <v>202</v>
      </c>
      <c r="X28" s="26"/>
      <c r="Y28" s="32"/>
      <c r="Z28" s="32"/>
      <c r="AA28" s="28"/>
      <c r="AB28" s="33" t="n">
        <v>0</v>
      </c>
      <c r="AC28" s="33" t="n">
        <v>2647059</v>
      </c>
      <c r="AD28" s="33" t="n">
        <v>9000000</v>
      </c>
      <c r="AE28" s="26"/>
      <c r="AF28" s="26" t="str">
        <f aca="false"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>소재 입고일정 확인 필요</v>
      </c>
      <c r="AG28" s="24" t="str">
        <f aca="false">IF($K28="","",IF(OR(LEFT($AF28,2)="작지",LEFT($AF28,4)="소재입고"),IF(LEFT($G28,1)="S","★ 납기위험(S코드)","◆ 지연주의"),IF($AF28="정상","✓ 정상","? 확인필요")))</f>
        <v>? 확인필요</v>
      </c>
      <c r="AH28" s="27"/>
      <c r="AI28" s="34"/>
    </row>
    <row r="29" customFormat="false" ht="15" hidden="false" customHeight="false" outlineLevel="0" collapsed="false">
      <c r="A29" s="24" t="n">
        <v>25</v>
      </c>
      <c r="B29" s="25" t="s">
        <v>176</v>
      </c>
      <c r="C29" s="25" t="s">
        <v>188</v>
      </c>
      <c r="D29" s="26" t="s">
        <v>203</v>
      </c>
      <c r="E29" s="26" t="s">
        <v>204</v>
      </c>
      <c r="F29" s="26" t="s">
        <v>205</v>
      </c>
      <c r="G29" s="24" t="str">
        <f aca="false">IF($D29="","",IF(MID($D29,5,1)="S","S(봄)",IF(MID($D29,5,1)="M","M(여름)",IF(MID($D29,5,1)="X","X(사계절)",MID($D29,5,1)))))</f>
        <v>S(봄)</v>
      </c>
      <c r="H29" s="25" t="s">
        <v>97</v>
      </c>
      <c r="I29" s="24" t="s">
        <v>181</v>
      </c>
      <c r="J29" s="27" t="s">
        <v>182</v>
      </c>
      <c r="K29" s="28" t="n">
        <f aca="false">IF($J29="","",IFERROR(DATE(IF(VALUE(LEFT($J29,FIND("월",$J29)-1))&gt;=9,기준정보!$C$7-1,기준정보!$C$7),VALUE(LEFT($J29,FIND("월",$J29)-1)),1+7*(VALUE(SUBSTITUTE(MID($J29,FIND("월",$J29)+1,5),"주",""))-1)),""))</f>
        <v>46402</v>
      </c>
      <c r="L29" s="28" t="n">
        <f aca="false">IF($K29="","",IF(AND($K29-기준정보!$C$5&gt;=기준정보!$C$10,$K29-기준정보!$C$5&lt;=기준정보!$C$11),기준정보!$C$10-1,$K29-기준정보!$C$5))</f>
        <v>46388</v>
      </c>
      <c r="M29" s="29" t="n">
        <f aca="false"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>0</v>
      </c>
      <c r="N29" s="28" t="n">
        <f aca="false">IF($L29="","",$L29-기준정보!$C$6-$M29)</f>
        <v>46298</v>
      </c>
      <c r="O29" s="30" t="n">
        <f aca="false">IF($N29="","",$N29-기준정보!$C$4)</f>
        <v>45</v>
      </c>
      <c r="P29" s="27"/>
      <c r="Q29" s="27" t="s">
        <v>101</v>
      </c>
      <c r="R29" s="27" t="s">
        <v>101</v>
      </c>
      <c r="S29" s="31"/>
      <c r="T29" s="26" t="str">
        <f aca="false">IF($H29="","",IF(AND(ISNUMBER(SEARCH("CMT",$H29)),OR(ISNUMBER(SEARCH("완사입",$H29)),ISNUMBER(SEARCH("ODM",$H29)))),"본사/생산처 혼재",IF(ISNUMBER(SEARCH("CMT",$H29)),"본사(소재팀)","생산처")))</f>
        <v>생산처</v>
      </c>
      <c r="U29" s="25" t="s">
        <v>206</v>
      </c>
      <c r="V29" s="26"/>
      <c r="W29" s="25" t="s">
        <v>103</v>
      </c>
      <c r="X29" s="26"/>
      <c r="Y29" s="32"/>
      <c r="Z29" s="32"/>
      <c r="AA29" s="28"/>
      <c r="AB29" s="33" t="n">
        <v>0</v>
      </c>
      <c r="AC29" s="33" t="n">
        <v>5735294</v>
      </c>
      <c r="AD29" s="33" t="n">
        <v>19500000</v>
      </c>
      <c r="AE29" s="26"/>
      <c r="AF29" s="26" t="str">
        <f aca="false"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>작지 미발행</v>
      </c>
      <c r="AG29" s="24" t="str">
        <f aca="false">IF($K29="","",IF(OR(LEFT($AF29,2)="작지",LEFT($AF29,4)="소재입고"),IF(LEFT($G29,1)="S","★ 납기위험(S코드)","◆ 지연주의"),IF($AF29="정상","✓ 정상","? 확인필요")))</f>
        <v>★ 납기위험(S코드)</v>
      </c>
      <c r="AH29" s="27"/>
      <c r="AI29" s="34"/>
    </row>
    <row r="30" customFormat="false" ht="15" hidden="false" customHeight="false" outlineLevel="0" collapsed="false">
      <c r="A30" s="24" t="n">
        <v>26</v>
      </c>
      <c r="B30" s="25" t="s">
        <v>176</v>
      </c>
      <c r="C30" s="25" t="s">
        <v>188</v>
      </c>
      <c r="D30" s="26" t="s">
        <v>207</v>
      </c>
      <c r="E30" s="26" t="s">
        <v>208</v>
      </c>
      <c r="F30" s="26" t="s">
        <v>209</v>
      </c>
      <c r="G30" s="24" t="str">
        <f aca="false">IF($D30="","",IF(MID($D30,5,1)="S","S(봄)",IF(MID($D30,5,1)="M","M(여름)",IF(MID($D30,5,1)="X","X(사계절)",MID($D30,5,1)))))</f>
        <v>S(봄)</v>
      </c>
      <c r="H30" s="25" t="s">
        <v>97</v>
      </c>
      <c r="I30" s="24" t="s">
        <v>181</v>
      </c>
      <c r="J30" s="27" t="s">
        <v>182</v>
      </c>
      <c r="K30" s="28" t="n">
        <f aca="false">IF($J30="","",IFERROR(DATE(IF(VALUE(LEFT($J30,FIND("월",$J30)-1))&gt;=9,기준정보!$C$7-1,기준정보!$C$7),VALUE(LEFT($J30,FIND("월",$J30)-1)),1+7*(VALUE(SUBSTITUTE(MID($J30,FIND("월",$J30)+1,5),"주",""))-1)),""))</f>
        <v>46402</v>
      </c>
      <c r="L30" s="28" t="n">
        <f aca="false">IF($K30="","",IF(AND($K30-기준정보!$C$5&gt;=기준정보!$C$10,$K30-기준정보!$C$5&lt;=기준정보!$C$11),기준정보!$C$10-1,$K30-기준정보!$C$5))</f>
        <v>46388</v>
      </c>
      <c r="M30" s="29" t="n">
        <f aca="false"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>0</v>
      </c>
      <c r="N30" s="28" t="n">
        <f aca="false">IF($L30="","",$L30-기준정보!$C$6-$M30)</f>
        <v>46298</v>
      </c>
      <c r="O30" s="30" t="n">
        <f aca="false">IF($N30="","",$N30-기준정보!$C$4)</f>
        <v>45</v>
      </c>
      <c r="P30" s="27"/>
      <c r="Q30" s="27" t="s">
        <v>101</v>
      </c>
      <c r="R30" s="27" t="s">
        <v>101</v>
      </c>
      <c r="S30" s="31"/>
      <c r="T30" s="26" t="str">
        <f aca="false">IF($H30="","",IF(AND(ISNUMBER(SEARCH("CMT",$H30)),OR(ISNUMBER(SEARCH("완사입",$H30)),ISNUMBER(SEARCH("ODM",$H30)))),"본사/생산처 혼재",IF(ISNUMBER(SEARCH("CMT",$H30)),"본사(소재팀)","생산처")))</f>
        <v>생산처</v>
      </c>
      <c r="U30" s="25" t="s">
        <v>206</v>
      </c>
      <c r="V30" s="26"/>
      <c r="W30" s="25" t="s">
        <v>103</v>
      </c>
      <c r="X30" s="26"/>
      <c r="Y30" s="32"/>
      <c r="Z30" s="32"/>
      <c r="AA30" s="28"/>
      <c r="AB30" s="33" t="n">
        <v>0</v>
      </c>
      <c r="AC30" s="33" t="n">
        <v>6000000</v>
      </c>
      <c r="AD30" s="33" t="n">
        <v>20400000</v>
      </c>
      <c r="AE30" s="26"/>
      <c r="AF30" s="26" t="str">
        <f aca="false"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>작지 미발행</v>
      </c>
      <c r="AG30" s="24" t="str">
        <f aca="false">IF($K30="","",IF(OR(LEFT($AF30,2)="작지",LEFT($AF30,4)="소재입고"),IF(LEFT($G30,1)="S","★ 납기위험(S코드)","◆ 지연주의"),IF($AF30="정상","✓ 정상","? 확인필요")))</f>
        <v>★ 납기위험(S코드)</v>
      </c>
      <c r="AH30" s="27"/>
      <c r="AI30" s="34"/>
    </row>
    <row r="31" customFormat="false" ht="15" hidden="false" customHeight="false" outlineLevel="0" collapsed="false">
      <c r="A31" s="24" t="n">
        <v>27</v>
      </c>
      <c r="B31" s="25" t="s">
        <v>176</v>
      </c>
      <c r="C31" s="25" t="s">
        <v>188</v>
      </c>
      <c r="D31" s="26" t="s">
        <v>210</v>
      </c>
      <c r="E31" s="26" t="s">
        <v>211</v>
      </c>
      <c r="F31" s="26" t="s">
        <v>212</v>
      </c>
      <c r="G31" s="24" t="str">
        <f aca="false">IF($D31="","",IF(MID($D31,5,1)="S","S(봄)",IF(MID($D31,5,1)="M","M(여름)",IF(MID($D31,5,1)="X","X(사계절)",MID($D31,5,1)))))</f>
        <v>S(봄)</v>
      </c>
      <c r="H31" s="25" t="s">
        <v>97</v>
      </c>
      <c r="I31" s="24" t="s">
        <v>181</v>
      </c>
      <c r="J31" s="27" t="s">
        <v>182</v>
      </c>
      <c r="K31" s="28" t="n">
        <f aca="false">IF($J31="","",IFERROR(DATE(IF(VALUE(LEFT($J31,FIND("월",$J31)-1))&gt;=9,기준정보!$C$7-1,기준정보!$C$7),VALUE(LEFT($J31,FIND("월",$J31)-1)),1+7*(VALUE(SUBSTITUTE(MID($J31,FIND("월",$J31)+1,5),"주",""))-1)),""))</f>
        <v>46402</v>
      </c>
      <c r="L31" s="28" t="n">
        <f aca="false">IF($K31="","",IF(AND($K31-기준정보!$C$5&gt;=기준정보!$C$10,$K31-기준정보!$C$5&lt;=기준정보!$C$11),기준정보!$C$10-1,$K31-기준정보!$C$5))</f>
        <v>46388</v>
      </c>
      <c r="M31" s="29" t="n">
        <f aca="false"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>0</v>
      </c>
      <c r="N31" s="28" t="n">
        <f aca="false">IF($L31="","",$L31-기준정보!$C$6-$M31)</f>
        <v>46298</v>
      </c>
      <c r="O31" s="30" t="n">
        <f aca="false">IF($N31="","",$N31-기준정보!$C$4)</f>
        <v>45</v>
      </c>
      <c r="P31" s="27"/>
      <c r="Q31" s="27" t="s">
        <v>100</v>
      </c>
      <c r="R31" s="27" t="s">
        <v>101</v>
      </c>
      <c r="S31" s="31"/>
      <c r="T31" s="26" t="str">
        <f aca="false">IF($H31="","",IF(AND(ISNUMBER(SEARCH("CMT",$H31)),OR(ISNUMBER(SEARCH("완사입",$H31)),ISNUMBER(SEARCH("ODM",$H31)))),"본사/생산처 혼재",IF(ISNUMBER(SEARCH("CMT",$H31)),"본사(소재팀)","생산처")))</f>
        <v>생산처</v>
      </c>
      <c r="U31" s="25" t="s">
        <v>206</v>
      </c>
      <c r="V31" s="26"/>
      <c r="W31" s="25" t="s">
        <v>103</v>
      </c>
      <c r="X31" s="26"/>
      <c r="Y31" s="32"/>
      <c r="Z31" s="32"/>
      <c r="AA31" s="28"/>
      <c r="AB31" s="33" t="n">
        <v>0</v>
      </c>
      <c r="AC31" s="33" t="n">
        <v>5735294</v>
      </c>
      <c r="AD31" s="33" t="n">
        <v>19500000</v>
      </c>
      <c r="AE31" s="26"/>
      <c r="AF31" s="26" t="str">
        <f aca="false"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>소재 입고일정 확인 필요</v>
      </c>
      <c r="AG31" s="24" t="str">
        <f aca="false">IF($K31="","",IF(OR(LEFT($AF31,2)="작지",LEFT($AF31,4)="소재입고"),IF(LEFT($G31,1)="S","★ 납기위험(S코드)","◆ 지연주의"),IF($AF31="정상","✓ 정상","? 확인필요")))</f>
        <v>? 확인필요</v>
      </c>
      <c r="AH31" s="27"/>
      <c r="AI31" s="34"/>
    </row>
    <row r="32" customFormat="false" ht="15" hidden="false" customHeight="false" outlineLevel="0" collapsed="false">
      <c r="A32" s="24" t="n">
        <v>28</v>
      </c>
      <c r="B32" s="25" t="s">
        <v>176</v>
      </c>
      <c r="C32" s="25" t="s">
        <v>177</v>
      </c>
      <c r="D32" s="26" t="s">
        <v>213</v>
      </c>
      <c r="E32" s="26" t="s">
        <v>214</v>
      </c>
      <c r="F32" s="26" t="s">
        <v>215</v>
      </c>
      <c r="G32" s="24" t="str">
        <f aca="false">IF($D32="","",IF(MID($D32,5,1)="S","S(봄)",IF(MID($D32,5,1)="M","M(여름)",IF(MID($D32,5,1)="X","X(사계절)",MID($D32,5,1)))))</f>
        <v>S(봄)</v>
      </c>
      <c r="H32" s="25" t="s">
        <v>97</v>
      </c>
      <c r="I32" s="24" t="s">
        <v>181</v>
      </c>
      <c r="J32" s="27" t="s">
        <v>182</v>
      </c>
      <c r="K32" s="28" t="n">
        <f aca="false">IF($J32="","",IFERROR(DATE(IF(VALUE(LEFT($J32,FIND("월",$J32)-1))&gt;=9,기준정보!$C$7-1,기준정보!$C$7),VALUE(LEFT($J32,FIND("월",$J32)-1)),1+7*(VALUE(SUBSTITUTE(MID($J32,FIND("월",$J32)+1,5),"주",""))-1)),""))</f>
        <v>46402</v>
      </c>
      <c r="L32" s="28" t="n">
        <f aca="false">IF($K32="","",IF(AND($K32-기준정보!$C$5&gt;=기준정보!$C$10,$K32-기준정보!$C$5&lt;=기준정보!$C$11),기준정보!$C$10-1,$K32-기준정보!$C$5))</f>
        <v>46388</v>
      </c>
      <c r="M32" s="29" t="n">
        <f aca="false"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>0</v>
      </c>
      <c r="N32" s="28" t="n">
        <f aca="false">IF($L32="","",$L32-기준정보!$C$6-$M32)</f>
        <v>46298</v>
      </c>
      <c r="O32" s="30" t="n">
        <f aca="false">IF($N32="","",$N32-기준정보!$C$4)</f>
        <v>45</v>
      </c>
      <c r="P32" s="27"/>
      <c r="Q32" s="27" t="s">
        <v>100</v>
      </c>
      <c r="R32" s="27" t="s">
        <v>101</v>
      </c>
      <c r="S32" s="31"/>
      <c r="T32" s="26" t="str">
        <f aca="false">IF($H32="","",IF(AND(ISNUMBER(SEARCH("CMT",$H32)),OR(ISNUMBER(SEARCH("완사입",$H32)),ISNUMBER(SEARCH("ODM",$H32)))),"본사/생산처 혼재",IF(ISNUMBER(SEARCH("CMT",$H32)),"본사(소재팀)","생산처")))</f>
        <v>생산처</v>
      </c>
      <c r="U32" s="25" t="s">
        <v>206</v>
      </c>
      <c r="V32" s="26"/>
      <c r="W32" s="25" t="s">
        <v>103</v>
      </c>
      <c r="X32" s="26"/>
      <c r="Y32" s="32"/>
      <c r="Z32" s="32"/>
      <c r="AA32" s="28"/>
      <c r="AB32" s="33" t="n">
        <v>0</v>
      </c>
      <c r="AC32" s="33" t="n">
        <v>13764706</v>
      </c>
      <c r="AD32" s="33" t="n">
        <v>46800000</v>
      </c>
      <c r="AE32" s="26"/>
      <c r="AF32" s="26" t="str">
        <f aca="false"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>소재 입고일정 확인 필요</v>
      </c>
      <c r="AG32" s="24" t="str">
        <f aca="false">IF($K32="","",IF(OR(LEFT($AF32,2)="작지",LEFT($AF32,4)="소재입고"),IF(LEFT($G32,1)="S","★ 납기위험(S코드)","◆ 지연주의"),IF($AF32="정상","✓ 정상","? 확인필요")))</f>
        <v>? 확인필요</v>
      </c>
      <c r="AH32" s="27"/>
      <c r="AI32" s="34"/>
    </row>
    <row r="33" customFormat="false" ht="15" hidden="false" customHeight="false" outlineLevel="0" collapsed="false">
      <c r="A33" s="24" t="n">
        <v>29</v>
      </c>
      <c r="B33" s="25" t="s">
        <v>176</v>
      </c>
      <c r="C33" s="25" t="s">
        <v>188</v>
      </c>
      <c r="D33" s="26" t="s">
        <v>216</v>
      </c>
      <c r="E33" s="26" t="s">
        <v>217</v>
      </c>
      <c r="F33" s="26" t="s">
        <v>196</v>
      </c>
      <c r="G33" s="24" t="str">
        <f aca="false">IF($D33="","",IF(MID($D33,5,1)="S","S(봄)",IF(MID($D33,5,1)="M","M(여름)",IF(MID($D33,5,1)="X","X(사계절)",MID($D33,5,1)))))</f>
        <v>S(봄)</v>
      </c>
      <c r="H33" s="25" t="s">
        <v>97</v>
      </c>
      <c r="I33" s="24" t="s">
        <v>181</v>
      </c>
      <c r="J33" s="27" t="s">
        <v>182</v>
      </c>
      <c r="K33" s="28" t="n">
        <f aca="false">IF($J33="","",IFERROR(DATE(IF(VALUE(LEFT($J33,FIND("월",$J33)-1))&gt;=9,기준정보!$C$7-1,기준정보!$C$7),VALUE(LEFT($J33,FIND("월",$J33)-1)),1+7*(VALUE(SUBSTITUTE(MID($J33,FIND("월",$J33)+1,5),"주",""))-1)),""))</f>
        <v>46402</v>
      </c>
      <c r="L33" s="28" t="n">
        <f aca="false">IF($K33="","",IF(AND($K33-기준정보!$C$5&gt;=기준정보!$C$10,$K33-기준정보!$C$5&lt;=기준정보!$C$11),기준정보!$C$10-1,$K33-기준정보!$C$5))</f>
        <v>46388</v>
      </c>
      <c r="M33" s="29" t="n">
        <f aca="false"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>0</v>
      </c>
      <c r="N33" s="28" t="n">
        <f aca="false">IF($L33="","",$L33-기준정보!$C$6-$M33)</f>
        <v>46298</v>
      </c>
      <c r="O33" s="30" t="n">
        <f aca="false">IF($N33="","",$N33-기준정보!$C$4)</f>
        <v>45</v>
      </c>
      <c r="P33" s="27"/>
      <c r="Q33" s="27"/>
      <c r="R33" s="27"/>
      <c r="S33" s="31"/>
      <c r="T33" s="26" t="str">
        <f aca="false">IF($H33="","",IF(AND(ISNUMBER(SEARCH("CMT",$H33)),OR(ISNUMBER(SEARCH("완사입",$H33)),ISNUMBER(SEARCH("ODM",$H33)))),"본사/생산처 혼재",IF(ISNUMBER(SEARCH("CMT",$H33)),"본사(소재팀)","생산처")))</f>
        <v>생산처</v>
      </c>
      <c r="U33" s="25" t="s">
        <v>109</v>
      </c>
      <c r="V33" s="26"/>
      <c r="W33" s="25" t="s">
        <v>103</v>
      </c>
      <c r="X33" s="26"/>
      <c r="Y33" s="32"/>
      <c r="Z33" s="32"/>
      <c r="AA33" s="28"/>
      <c r="AB33" s="33" t="n">
        <v>0</v>
      </c>
      <c r="AC33" s="33" t="n">
        <v>0</v>
      </c>
      <c r="AD33" s="33" t="n">
        <v>0</v>
      </c>
      <c r="AE33" s="26"/>
      <c r="AF33" s="26" t="str">
        <f aca="false"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>발행여부 확인 필요</v>
      </c>
      <c r="AG33" s="24" t="str">
        <f aca="false">IF($K33="","",IF(OR(LEFT($AF33,2)="작지",LEFT($AF33,4)="소재입고"),IF(LEFT($G33,1)="S","★ 납기위험(S코드)","◆ 지연주의"),IF($AF33="정상","✓ 정상","? 확인필요")))</f>
        <v>? 확인필요</v>
      </c>
      <c r="AH33" s="27"/>
      <c r="AI33" s="34"/>
    </row>
    <row r="34" customFormat="false" ht="15" hidden="false" customHeight="false" outlineLevel="0" collapsed="false">
      <c r="A34" s="24" t="n">
        <v>30</v>
      </c>
      <c r="B34" s="25" t="s">
        <v>176</v>
      </c>
      <c r="C34" s="25" t="s">
        <v>188</v>
      </c>
      <c r="D34" s="26" t="s">
        <v>218</v>
      </c>
      <c r="E34" s="26" t="s">
        <v>219</v>
      </c>
      <c r="F34" s="26" t="s">
        <v>205</v>
      </c>
      <c r="G34" s="24" t="str">
        <f aca="false">IF($D34="","",IF(MID($D34,5,1)="S","S(봄)",IF(MID($D34,5,1)="M","M(여름)",IF(MID($D34,5,1)="X","X(사계절)",MID($D34,5,1)))))</f>
        <v>S(봄)</v>
      </c>
      <c r="H34" s="25" t="s">
        <v>97</v>
      </c>
      <c r="I34" s="24" t="s">
        <v>181</v>
      </c>
      <c r="J34" s="27" t="s">
        <v>182</v>
      </c>
      <c r="K34" s="28" t="n">
        <f aca="false">IF($J34="","",IFERROR(DATE(IF(VALUE(LEFT($J34,FIND("월",$J34)-1))&gt;=9,기준정보!$C$7-1,기준정보!$C$7),VALUE(LEFT($J34,FIND("월",$J34)-1)),1+7*(VALUE(SUBSTITUTE(MID($J34,FIND("월",$J34)+1,5),"주",""))-1)),""))</f>
        <v>46402</v>
      </c>
      <c r="L34" s="28" t="n">
        <f aca="false">IF($K34="","",IF(AND($K34-기준정보!$C$5&gt;=기준정보!$C$10,$K34-기준정보!$C$5&lt;=기준정보!$C$11),기준정보!$C$10-1,$K34-기준정보!$C$5))</f>
        <v>46388</v>
      </c>
      <c r="M34" s="29" t="n">
        <f aca="false"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>0</v>
      </c>
      <c r="N34" s="28" t="n">
        <f aca="false">IF($L34="","",$L34-기준정보!$C$6-$M34)</f>
        <v>46298</v>
      </c>
      <c r="O34" s="30" t="n">
        <f aca="false">IF($N34="","",$N34-기준정보!$C$4)</f>
        <v>45</v>
      </c>
      <c r="P34" s="27"/>
      <c r="Q34" s="27" t="s">
        <v>100</v>
      </c>
      <c r="R34" s="27" t="s">
        <v>101</v>
      </c>
      <c r="S34" s="31"/>
      <c r="T34" s="26" t="str">
        <f aca="false">IF($H34="","",IF(AND(ISNUMBER(SEARCH("CMT",$H34)),OR(ISNUMBER(SEARCH("완사입",$H34)),ISNUMBER(SEARCH("ODM",$H34)))),"본사/생산처 혼재",IF(ISNUMBER(SEARCH("CMT",$H34)),"본사(소재팀)","생산처")))</f>
        <v>생산처</v>
      </c>
      <c r="U34" s="25" t="s">
        <v>109</v>
      </c>
      <c r="V34" s="25" t="s">
        <v>109</v>
      </c>
      <c r="W34" s="25" t="s">
        <v>103</v>
      </c>
      <c r="X34" s="25" t="s">
        <v>220</v>
      </c>
      <c r="Y34" s="35" t="s">
        <v>221</v>
      </c>
      <c r="Z34" s="32"/>
      <c r="AA34" s="28"/>
      <c r="AB34" s="33" t="n">
        <v>0</v>
      </c>
      <c r="AC34" s="33" t="n">
        <v>39819200</v>
      </c>
      <c r="AD34" s="33" t="n">
        <v>140000000</v>
      </c>
      <c r="AE34" s="26"/>
      <c r="AF34" s="26" t="str">
        <f aca="false"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>소재 입고일정 확인 필요</v>
      </c>
      <c r="AG34" s="24" t="str">
        <f aca="false">IF($K34="","",IF(OR(LEFT($AF34,2)="작지",LEFT($AF34,4)="소재입고"),IF(LEFT($G34,1)="S","★ 납기위험(S코드)","◆ 지연주의"),IF($AF34="정상","✓ 정상","? 확인필요")))</f>
        <v>? 확인필요</v>
      </c>
      <c r="AH34" s="27"/>
      <c r="AI34" s="34"/>
    </row>
    <row r="35" customFormat="false" ht="15" hidden="false" customHeight="false" outlineLevel="0" collapsed="false">
      <c r="A35" s="24" t="n">
        <v>31</v>
      </c>
      <c r="B35" s="25" t="s">
        <v>176</v>
      </c>
      <c r="C35" s="25" t="s">
        <v>188</v>
      </c>
      <c r="D35" s="26" t="s">
        <v>222</v>
      </c>
      <c r="E35" s="26" t="s">
        <v>223</v>
      </c>
      <c r="F35" s="26" t="s">
        <v>224</v>
      </c>
      <c r="G35" s="24" t="str">
        <f aca="false">IF($D35="","",IF(MID($D35,5,1)="S","S(봄)",IF(MID($D35,5,1)="M","M(여름)",IF(MID($D35,5,1)="X","X(사계절)",MID($D35,5,1)))))</f>
        <v>S(봄)</v>
      </c>
      <c r="H35" s="25" t="s">
        <v>97</v>
      </c>
      <c r="I35" s="24" t="s">
        <v>181</v>
      </c>
      <c r="J35" s="27" t="s">
        <v>182</v>
      </c>
      <c r="K35" s="28" t="n">
        <f aca="false">IF($J35="","",IFERROR(DATE(IF(VALUE(LEFT($J35,FIND("월",$J35)-1))&gt;=9,기준정보!$C$7-1,기준정보!$C$7),VALUE(LEFT($J35,FIND("월",$J35)-1)),1+7*(VALUE(SUBSTITUTE(MID($J35,FIND("월",$J35)+1,5),"주",""))-1)),""))</f>
        <v>46402</v>
      </c>
      <c r="L35" s="28" t="n">
        <f aca="false">IF($K35="","",IF(AND($K35-기준정보!$C$5&gt;=기준정보!$C$10,$K35-기준정보!$C$5&lt;=기준정보!$C$11),기준정보!$C$10-1,$K35-기준정보!$C$5))</f>
        <v>46388</v>
      </c>
      <c r="M35" s="29" t="n">
        <f aca="false"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>0</v>
      </c>
      <c r="N35" s="28" t="n">
        <f aca="false">IF($L35="","",$L35-기준정보!$C$6-$M35)</f>
        <v>46298</v>
      </c>
      <c r="O35" s="30" t="n">
        <f aca="false">IF($N35="","",$N35-기준정보!$C$4)</f>
        <v>45</v>
      </c>
      <c r="P35" s="27"/>
      <c r="Q35" s="27" t="s">
        <v>100</v>
      </c>
      <c r="R35" s="27" t="s">
        <v>101</v>
      </c>
      <c r="S35" s="31"/>
      <c r="T35" s="26" t="str">
        <f aca="false">IF($H35="","",IF(AND(ISNUMBER(SEARCH("CMT",$H35)),OR(ISNUMBER(SEARCH("완사입",$H35)),ISNUMBER(SEARCH("ODM",$H35)))),"본사/생산처 혼재",IF(ISNUMBER(SEARCH("CMT",$H35)),"본사(소재팀)","생산처")))</f>
        <v>생산처</v>
      </c>
      <c r="U35" s="25" t="s">
        <v>109</v>
      </c>
      <c r="V35" s="25" t="s">
        <v>109</v>
      </c>
      <c r="W35" s="25" t="s">
        <v>103</v>
      </c>
      <c r="X35" s="25" t="s">
        <v>220</v>
      </c>
      <c r="Y35" s="35" t="s">
        <v>225</v>
      </c>
      <c r="Z35" s="32"/>
      <c r="AA35" s="28"/>
      <c r="AB35" s="33" t="n">
        <v>0</v>
      </c>
      <c r="AC35" s="33" t="n">
        <v>40147059</v>
      </c>
      <c r="AD35" s="33" t="n">
        <v>136500000</v>
      </c>
      <c r="AE35" s="26"/>
      <c r="AF35" s="26" t="str">
        <f aca="false"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>소재 입고일정 확인 필요</v>
      </c>
      <c r="AG35" s="24" t="str">
        <f aca="false">IF($K35="","",IF(OR(LEFT($AF35,2)="작지",LEFT($AF35,4)="소재입고"),IF(LEFT($G35,1)="S","★ 납기위험(S코드)","◆ 지연주의"),IF($AF35="정상","✓ 정상","? 확인필요")))</f>
        <v>? 확인필요</v>
      </c>
      <c r="AH35" s="27"/>
      <c r="AI35" s="34"/>
    </row>
    <row r="36" customFormat="false" ht="15" hidden="false" customHeight="false" outlineLevel="0" collapsed="false">
      <c r="A36" s="24" t="n">
        <v>32</v>
      </c>
      <c r="B36" s="25" t="s">
        <v>176</v>
      </c>
      <c r="C36" s="25" t="s">
        <v>188</v>
      </c>
      <c r="D36" s="26" t="s">
        <v>226</v>
      </c>
      <c r="E36" s="26" t="s">
        <v>227</v>
      </c>
      <c r="F36" s="26" t="s">
        <v>228</v>
      </c>
      <c r="G36" s="24" t="str">
        <f aca="false">IF($D36="","",IF(MID($D36,5,1)="S","S(봄)",IF(MID($D36,5,1)="M","M(여름)",IF(MID($D36,5,1)="X","X(사계절)",MID($D36,5,1)))))</f>
        <v>S(봄)</v>
      </c>
      <c r="H36" s="25" t="s">
        <v>97</v>
      </c>
      <c r="I36" s="24" t="s">
        <v>181</v>
      </c>
      <c r="J36" s="27" t="s">
        <v>182</v>
      </c>
      <c r="K36" s="28" t="n">
        <f aca="false">IF($J36="","",IFERROR(DATE(IF(VALUE(LEFT($J36,FIND("월",$J36)-1))&gt;=9,기준정보!$C$7-1,기준정보!$C$7),VALUE(LEFT($J36,FIND("월",$J36)-1)),1+7*(VALUE(SUBSTITUTE(MID($J36,FIND("월",$J36)+1,5),"주",""))-1)),""))</f>
        <v>46402</v>
      </c>
      <c r="L36" s="28" t="n">
        <f aca="false">IF($K36="","",IF(AND($K36-기준정보!$C$5&gt;=기준정보!$C$10,$K36-기준정보!$C$5&lt;=기준정보!$C$11),기준정보!$C$10-1,$K36-기준정보!$C$5))</f>
        <v>46388</v>
      </c>
      <c r="M36" s="29" t="n">
        <f aca="false"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>0</v>
      </c>
      <c r="N36" s="28" t="n">
        <f aca="false">IF($L36="","",$L36-기준정보!$C$6-$M36)</f>
        <v>46298</v>
      </c>
      <c r="O36" s="30" t="n">
        <f aca="false">IF($N36="","",$N36-기준정보!$C$4)</f>
        <v>45</v>
      </c>
      <c r="P36" s="27"/>
      <c r="Q36" s="27"/>
      <c r="R36" s="27"/>
      <c r="S36" s="31"/>
      <c r="T36" s="26" t="str">
        <f aca="false">IF($H36="","",IF(AND(ISNUMBER(SEARCH("CMT",$H36)),OR(ISNUMBER(SEARCH("완사입",$H36)),ISNUMBER(SEARCH("ODM",$H36)))),"본사/생산처 혼재",IF(ISNUMBER(SEARCH("CMT",$H36)),"본사(소재팀)","생산처")))</f>
        <v>생산처</v>
      </c>
      <c r="U36" s="25" t="s">
        <v>109</v>
      </c>
      <c r="V36" s="26"/>
      <c r="W36" s="25" t="s">
        <v>103</v>
      </c>
      <c r="X36" s="26"/>
      <c r="Y36" s="32"/>
      <c r="Z36" s="32"/>
      <c r="AA36" s="28"/>
      <c r="AB36" s="33" t="n">
        <v>0</v>
      </c>
      <c r="AC36" s="33" t="n">
        <v>0</v>
      </c>
      <c r="AD36" s="33" t="n">
        <v>0</v>
      </c>
      <c r="AE36" s="26"/>
      <c r="AF36" s="26" t="str">
        <f aca="false"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>발행여부 확인 필요</v>
      </c>
      <c r="AG36" s="24" t="str">
        <f aca="false">IF($K36="","",IF(OR(LEFT($AF36,2)="작지",LEFT($AF36,4)="소재입고"),IF(LEFT($G36,1)="S","★ 납기위험(S코드)","◆ 지연주의"),IF($AF36="정상","✓ 정상","? 확인필요")))</f>
        <v>? 확인필요</v>
      </c>
      <c r="AH36" s="27"/>
      <c r="AI36" s="34"/>
    </row>
    <row r="37" customFormat="false" ht="15" hidden="false" customHeight="false" outlineLevel="0" collapsed="false">
      <c r="A37" s="24" t="n">
        <v>33</v>
      </c>
      <c r="B37" s="25" t="s">
        <v>176</v>
      </c>
      <c r="C37" s="25" t="s">
        <v>188</v>
      </c>
      <c r="D37" s="26" t="s">
        <v>229</v>
      </c>
      <c r="E37" s="26" t="s">
        <v>230</v>
      </c>
      <c r="F37" s="26" t="s">
        <v>224</v>
      </c>
      <c r="G37" s="24" t="str">
        <f aca="false">IF($D37="","",IF(MID($D37,5,1)="S","S(봄)",IF(MID($D37,5,1)="M","M(여름)",IF(MID($D37,5,1)="X","X(사계절)",MID($D37,5,1)))))</f>
        <v>S(봄)</v>
      </c>
      <c r="H37" s="25" t="s">
        <v>97</v>
      </c>
      <c r="I37" s="24" t="s">
        <v>181</v>
      </c>
      <c r="J37" s="27" t="s">
        <v>182</v>
      </c>
      <c r="K37" s="28" t="n">
        <f aca="false">IF($J37="","",IFERROR(DATE(IF(VALUE(LEFT($J37,FIND("월",$J37)-1))&gt;=9,기준정보!$C$7-1,기준정보!$C$7),VALUE(LEFT($J37,FIND("월",$J37)-1)),1+7*(VALUE(SUBSTITUTE(MID($J37,FIND("월",$J37)+1,5),"주",""))-1)),""))</f>
        <v>46402</v>
      </c>
      <c r="L37" s="28" t="n">
        <f aca="false">IF($K37="","",IF(AND($K37-기준정보!$C$5&gt;=기준정보!$C$10,$K37-기준정보!$C$5&lt;=기준정보!$C$11),기준정보!$C$10-1,$K37-기준정보!$C$5))</f>
        <v>46388</v>
      </c>
      <c r="M37" s="29" t="n">
        <f aca="false"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>0</v>
      </c>
      <c r="N37" s="28" t="n">
        <f aca="false">IF($L37="","",$L37-기준정보!$C$6-$M37)</f>
        <v>46298</v>
      </c>
      <c r="O37" s="30" t="n">
        <f aca="false">IF($N37="","",$N37-기준정보!$C$4)</f>
        <v>45</v>
      </c>
      <c r="P37" s="27"/>
      <c r="Q37" s="27" t="s">
        <v>100</v>
      </c>
      <c r="R37" s="27" t="s">
        <v>101</v>
      </c>
      <c r="S37" s="31"/>
      <c r="T37" s="26" t="str">
        <f aca="false">IF($H37="","",IF(AND(ISNUMBER(SEARCH("CMT",$H37)),OR(ISNUMBER(SEARCH("완사입",$H37)),ISNUMBER(SEARCH("ODM",$H37)))),"본사/생산처 혼재",IF(ISNUMBER(SEARCH("CMT",$H37)),"본사(소재팀)","생산처")))</f>
        <v>생산처</v>
      </c>
      <c r="U37" s="25" t="s">
        <v>109</v>
      </c>
      <c r="V37" s="25" t="s">
        <v>109</v>
      </c>
      <c r="W37" s="25" t="s">
        <v>103</v>
      </c>
      <c r="X37" s="25" t="s">
        <v>220</v>
      </c>
      <c r="Y37" s="35" t="s">
        <v>225</v>
      </c>
      <c r="Z37" s="32"/>
      <c r="AA37" s="28"/>
      <c r="AB37" s="33" t="n">
        <v>0</v>
      </c>
      <c r="AC37" s="33" t="n">
        <v>31419850</v>
      </c>
      <c r="AD37" s="33" t="n">
        <v>101500000</v>
      </c>
      <c r="AE37" s="26"/>
      <c r="AF37" s="26" t="str">
        <f aca="false"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>소재 입고일정 확인 필요</v>
      </c>
      <c r="AG37" s="24" t="str">
        <f aca="false">IF($K37="","",IF(OR(LEFT($AF37,2)="작지",LEFT($AF37,4)="소재입고"),IF(LEFT($G37,1)="S","★ 납기위험(S코드)","◆ 지연주의"),IF($AF37="정상","✓ 정상","? 확인필요")))</f>
        <v>? 확인필요</v>
      </c>
      <c r="AH37" s="27"/>
      <c r="AI37" s="34"/>
    </row>
    <row r="38" customFormat="false" ht="15" hidden="false" customHeight="false" outlineLevel="0" collapsed="false">
      <c r="A38" s="24" t="n">
        <v>34</v>
      </c>
      <c r="B38" s="25" t="s">
        <v>176</v>
      </c>
      <c r="C38" s="25" t="s">
        <v>177</v>
      </c>
      <c r="D38" s="26" t="s">
        <v>231</v>
      </c>
      <c r="E38" s="26" t="s">
        <v>232</v>
      </c>
      <c r="F38" s="26" t="s">
        <v>233</v>
      </c>
      <c r="G38" s="24" t="str">
        <f aca="false">IF($D38="","",IF(MID($D38,5,1)="S","S(봄)",IF(MID($D38,5,1)="M","M(여름)",IF(MID($D38,5,1)="X","X(사계절)",MID($D38,5,1)))))</f>
        <v>S(봄)</v>
      </c>
      <c r="H38" s="25" t="s">
        <v>97</v>
      </c>
      <c r="I38" s="24" t="s">
        <v>181</v>
      </c>
      <c r="J38" s="27" t="s">
        <v>182</v>
      </c>
      <c r="K38" s="28" t="n">
        <f aca="false">IF($J38="","",IFERROR(DATE(IF(VALUE(LEFT($J38,FIND("월",$J38)-1))&gt;=9,기준정보!$C$7-1,기준정보!$C$7),VALUE(LEFT($J38,FIND("월",$J38)-1)),1+7*(VALUE(SUBSTITUTE(MID($J38,FIND("월",$J38)+1,5),"주",""))-1)),""))</f>
        <v>46402</v>
      </c>
      <c r="L38" s="28" t="n">
        <f aca="false">IF($K38="","",IF(AND($K38-기준정보!$C$5&gt;=기준정보!$C$10,$K38-기준정보!$C$5&lt;=기준정보!$C$11),기준정보!$C$10-1,$K38-기준정보!$C$5))</f>
        <v>46388</v>
      </c>
      <c r="M38" s="29" t="n">
        <f aca="false"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>0</v>
      </c>
      <c r="N38" s="28" t="n">
        <f aca="false">IF($L38="","",$L38-기준정보!$C$6-$M38)</f>
        <v>46298</v>
      </c>
      <c r="O38" s="30" t="n">
        <f aca="false">IF($N38="","",$N38-기준정보!$C$4)</f>
        <v>45</v>
      </c>
      <c r="P38" s="27"/>
      <c r="Q38" s="27" t="s">
        <v>100</v>
      </c>
      <c r="R38" s="27" t="s">
        <v>101</v>
      </c>
      <c r="S38" s="31"/>
      <c r="T38" s="26" t="str">
        <f aca="false">IF($H38="","",IF(AND(ISNUMBER(SEARCH("CMT",$H38)),OR(ISNUMBER(SEARCH("완사입",$H38)),ISNUMBER(SEARCH("ODM",$H38)))),"본사/생산처 혼재",IF(ISNUMBER(SEARCH("CMT",$H38)),"본사(소재팀)","생산처")))</f>
        <v>생산처</v>
      </c>
      <c r="U38" s="25" t="s">
        <v>234</v>
      </c>
      <c r="V38" s="26" t="s">
        <v>235</v>
      </c>
      <c r="W38" s="25" t="s">
        <v>103</v>
      </c>
      <c r="X38" s="25" t="s">
        <v>234</v>
      </c>
      <c r="Y38" s="35" t="s">
        <v>236</v>
      </c>
      <c r="Z38" s="32"/>
      <c r="AA38" s="28"/>
      <c r="AB38" s="33" t="n">
        <v>0</v>
      </c>
      <c r="AC38" s="33" t="n">
        <v>18491120</v>
      </c>
      <c r="AD38" s="33" t="n">
        <v>58460000</v>
      </c>
      <c r="AE38" s="26"/>
      <c r="AF38" s="26" t="str">
        <f aca="false"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>소재 입고일정 확인 필요</v>
      </c>
      <c r="AG38" s="24" t="str">
        <f aca="false">IF($K38="","",IF(OR(LEFT($AF38,2)="작지",LEFT($AF38,4)="소재입고"),IF(LEFT($G38,1)="S","★ 납기위험(S코드)","◆ 지연주의"),IF($AF38="정상","✓ 정상","? 확인필요")))</f>
        <v>? 확인필요</v>
      </c>
      <c r="AH38" s="27"/>
      <c r="AI38" s="34"/>
    </row>
    <row r="39" customFormat="false" ht="15" hidden="false" customHeight="false" outlineLevel="0" collapsed="false">
      <c r="A39" s="24" t="n">
        <v>35</v>
      </c>
      <c r="B39" s="25" t="s">
        <v>176</v>
      </c>
      <c r="C39" s="25" t="s">
        <v>188</v>
      </c>
      <c r="D39" s="26" t="s">
        <v>237</v>
      </c>
      <c r="E39" s="26" t="s">
        <v>238</v>
      </c>
      <c r="F39" s="26" t="s">
        <v>239</v>
      </c>
      <c r="G39" s="24" t="str">
        <f aca="false">IF($D39="","",IF(MID($D39,5,1)="S","S(봄)",IF(MID($D39,5,1)="M","M(여름)",IF(MID($D39,5,1)="X","X(사계절)",MID($D39,5,1)))))</f>
        <v>S(봄)</v>
      </c>
      <c r="H39" s="25" t="s">
        <v>97</v>
      </c>
      <c r="I39" s="24" t="s">
        <v>181</v>
      </c>
      <c r="J39" s="27" t="s">
        <v>182</v>
      </c>
      <c r="K39" s="28" t="n">
        <f aca="false">IF($J39="","",IFERROR(DATE(IF(VALUE(LEFT($J39,FIND("월",$J39)-1))&gt;=9,기준정보!$C$7-1,기준정보!$C$7),VALUE(LEFT($J39,FIND("월",$J39)-1)),1+7*(VALUE(SUBSTITUTE(MID($J39,FIND("월",$J39)+1,5),"주",""))-1)),""))</f>
        <v>46402</v>
      </c>
      <c r="L39" s="28" t="n">
        <f aca="false">IF($K39="","",IF(AND($K39-기준정보!$C$5&gt;=기준정보!$C$10,$K39-기준정보!$C$5&lt;=기준정보!$C$11),기준정보!$C$10-1,$K39-기준정보!$C$5))</f>
        <v>46388</v>
      </c>
      <c r="M39" s="29" t="n">
        <f aca="false"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>0</v>
      </c>
      <c r="N39" s="28" t="n">
        <f aca="false">IF($L39="","",$L39-기준정보!$C$6-$M39)</f>
        <v>46298</v>
      </c>
      <c r="O39" s="30" t="n">
        <f aca="false">IF($N39="","",$N39-기준정보!$C$4)</f>
        <v>45</v>
      </c>
      <c r="P39" s="27"/>
      <c r="Q39" s="27" t="s">
        <v>100</v>
      </c>
      <c r="R39" s="27" t="s">
        <v>101</v>
      </c>
      <c r="S39" s="31"/>
      <c r="T39" s="26" t="str">
        <f aca="false">IF($H39="","",IF(AND(ISNUMBER(SEARCH("CMT",$H39)),OR(ISNUMBER(SEARCH("완사입",$H39)),ISNUMBER(SEARCH("ODM",$H39)))),"본사/생산처 혼재",IF(ISNUMBER(SEARCH("CMT",$H39)),"본사(소재팀)","생산처")))</f>
        <v>생산처</v>
      </c>
      <c r="U39" s="25" t="s">
        <v>234</v>
      </c>
      <c r="V39" s="25" t="s">
        <v>234</v>
      </c>
      <c r="W39" s="25" t="s">
        <v>163</v>
      </c>
      <c r="X39" s="25" t="s">
        <v>240</v>
      </c>
      <c r="Y39" s="35" t="s">
        <v>241</v>
      </c>
      <c r="Z39" s="32"/>
      <c r="AA39" s="28"/>
      <c r="AB39" s="33" t="n">
        <v>0</v>
      </c>
      <c r="AC39" s="33" t="n">
        <v>11507400</v>
      </c>
      <c r="AD39" s="33" t="n">
        <v>48600000</v>
      </c>
      <c r="AE39" s="26"/>
      <c r="AF39" s="26" t="str">
        <f aca="false"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>소재 입고일정 확인 필요</v>
      </c>
      <c r="AG39" s="24" t="str">
        <f aca="false">IF($K39="","",IF(OR(LEFT($AF39,2)="작지",LEFT($AF39,4)="소재입고"),IF(LEFT($G39,1)="S","★ 납기위험(S코드)","◆ 지연주의"),IF($AF39="정상","✓ 정상","? 확인필요")))</f>
        <v>? 확인필요</v>
      </c>
      <c r="AH39" s="27"/>
      <c r="AI39" s="34"/>
    </row>
    <row r="40" customFormat="false" ht="15" hidden="false" customHeight="false" outlineLevel="0" collapsed="false">
      <c r="A40" s="24" t="n">
        <v>36</v>
      </c>
      <c r="B40" s="25" t="s">
        <v>242</v>
      </c>
      <c r="C40" s="25" t="s">
        <v>243</v>
      </c>
      <c r="D40" s="26" t="s">
        <v>244</v>
      </c>
      <c r="E40" s="25" t="s">
        <v>245</v>
      </c>
      <c r="F40" s="26" t="s">
        <v>246</v>
      </c>
      <c r="G40" s="24" t="str">
        <f aca="false">IF($D40="","",IF(MID($D40,5,1)="S","S(봄)",IF(MID($D40,5,1)="M","M(여름)",IF(MID($D40,5,1)="X","X(사계절)",MID($D40,5,1)))))</f>
        <v>S(봄)</v>
      </c>
      <c r="H40" s="25" t="s">
        <v>97</v>
      </c>
      <c r="I40" s="24"/>
      <c r="J40" s="27" t="s">
        <v>182</v>
      </c>
      <c r="K40" s="28" t="n">
        <f aca="false">IF($J40="","",IFERROR(DATE(IF(VALUE(LEFT($J40,FIND("월",$J40)-1))&gt;=9,기준정보!$C$7-1,기준정보!$C$7),VALUE(LEFT($J40,FIND("월",$J40)-1)),1+7*(VALUE(SUBSTITUTE(MID($J40,FIND("월",$J40)+1,5),"주",""))-1)),""))</f>
        <v>46402</v>
      </c>
      <c r="L40" s="28" t="n">
        <f aca="false">IF($K40="","",IF(AND($K40-기준정보!$C$5&gt;=기준정보!$C$10,$K40-기준정보!$C$5&lt;=기준정보!$C$11),기준정보!$C$10-1,$K40-기준정보!$C$5))</f>
        <v>46388</v>
      </c>
      <c r="M40" s="29" t="n">
        <f aca="false"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>0</v>
      </c>
      <c r="N40" s="28" t="n">
        <f aca="false">IF($L40="","",$L40-기준정보!$C$6-$M40)</f>
        <v>46298</v>
      </c>
      <c r="O40" s="30" t="n">
        <f aca="false">IF($N40="","",$N40-기준정보!$C$4)</f>
        <v>45</v>
      </c>
      <c r="P40" s="27"/>
      <c r="Q40" s="27" t="s">
        <v>100</v>
      </c>
      <c r="R40" s="27" t="s">
        <v>101</v>
      </c>
      <c r="S40" s="31"/>
      <c r="T40" s="26" t="str">
        <f aca="false">IF($H40="","",IF(AND(ISNUMBER(SEARCH("CMT",$H40)),OR(ISNUMBER(SEARCH("완사입",$H40)),ISNUMBER(SEARCH("ODM",$H40)))),"본사/생산처 혼재",IF(ISNUMBER(SEARCH("CMT",$H40)),"본사(소재팀)","생산처")))</f>
        <v>생산처</v>
      </c>
      <c r="U40" s="25" t="s">
        <v>109</v>
      </c>
      <c r="V40" s="25" t="s">
        <v>109</v>
      </c>
      <c r="W40" s="26"/>
      <c r="X40" s="26" t="s">
        <v>247</v>
      </c>
      <c r="Y40" s="32" t="s">
        <v>248</v>
      </c>
      <c r="Z40" s="32" t="s">
        <v>249</v>
      </c>
      <c r="AA40" s="28" t="n">
        <v>46199</v>
      </c>
      <c r="AB40" s="33" t="n">
        <v>2000</v>
      </c>
      <c r="AC40" s="33" t="n">
        <v>114028000</v>
      </c>
      <c r="AD40" s="33" t="n">
        <v>540000000</v>
      </c>
      <c r="AE40" s="26" t="s">
        <v>182</v>
      </c>
      <c r="AF40" s="26" t="str">
        <f aca="false"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>소재 입고일정 확인 필요</v>
      </c>
      <c r="AG40" s="24" t="str">
        <f aca="false">IF($K40="","",IF(OR(LEFT($AF40,2)="작지",LEFT($AF40,4)="소재입고"),IF(LEFT($G40,1)="S","★ 납기위험(S코드)","◆ 지연주의"),IF($AF40="정상","✓ 정상","? 확인필요")))</f>
        <v>? 확인필요</v>
      </c>
      <c r="AH40" s="27"/>
      <c r="AI40" s="34"/>
    </row>
    <row r="41" customFormat="false" ht="15" hidden="false" customHeight="false" outlineLevel="0" collapsed="false">
      <c r="A41" s="24" t="n">
        <v>37</v>
      </c>
      <c r="B41" s="25" t="s">
        <v>250</v>
      </c>
      <c r="C41" s="25" t="s">
        <v>251</v>
      </c>
      <c r="D41" s="26" t="s">
        <v>252</v>
      </c>
      <c r="E41" s="25" t="s">
        <v>253</v>
      </c>
      <c r="F41" s="26" t="s">
        <v>254</v>
      </c>
      <c r="G41" s="24" t="str">
        <f aca="false">IF($D41="","",IF(MID($D41,5,1)="S","S(봄)",IF(MID($D41,5,1)="M","M(여름)",IF(MID($D41,5,1)="X","X(사계절)",MID($D41,5,1)))))</f>
        <v>S(봄)</v>
      </c>
      <c r="H41" s="26" t="s">
        <v>255</v>
      </c>
      <c r="I41" s="24"/>
      <c r="J41" s="27" t="s">
        <v>182</v>
      </c>
      <c r="K41" s="28" t="n">
        <f aca="false">IF($J41="","",IFERROR(DATE(IF(VALUE(LEFT($J41,FIND("월",$J41)-1))&gt;=9,기준정보!$C$7-1,기준정보!$C$7),VALUE(LEFT($J41,FIND("월",$J41)-1)),1+7*(VALUE(SUBSTITUTE(MID($J41,FIND("월",$J41)+1,5),"주",""))-1)),""))</f>
        <v>46402</v>
      </c>
      <c r="L41" s="28" t="n">
        <f aca="false">IF($K41="","",IF(AND($K41-기준정보!$C$5&gt;=기준정보!$C$10,$K41-기준정보!$C$5&lt;=기준정보!$C$11),기준정보!$C$10-1,$K41-기준정보!$C$5))</f>
        <v>46388</v>
      </c>
      <c r="M41" s="29" t="n">
        <f aca="false"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>0</v>
      </c>
      <c r="N41" s="28" t="n">
        <f aca="false">IF($L41="","",$L41-기준정보!$C$6-$M41)</f>
        <v>46298</v>
      </c>
      <c r="O41" s="30" t="n">
        <f aca="false">IF($N41="","",$N41-기준정보!$C$4)</f>
        <v>45</v>
      </c>
      <c r="P41" s="27"/>
      <c r="Q41" s="27" t="s">
        <v>100</v>
      </c>
      <c r="R41" s="27" t="s">
        <v>100</v>
      </c>
      <c r="S41" s="31"/>
      <c r="T41" s="26" t="str">
        <f aca="false">IF($H41="","",IF(AND(ISNUMBER(SEARCH("CMT",$H41)),OR(ISNUMBER(SEARCH("완사입",$H41)),ISNUMBER(SEARCH("ODM",$H41)))),"본사/생산처 혼재",IF(ISNUMBER(SEARCH("CMT",$H41)),"본사(소재팀)","생산처")))</f>
        <v>본사(소재팀)</v>
      </c>
      <c r="U41" s="25" t="s">
        <v>256</v>
      </c>
      <c r="V41" s="26"/>
      <c r="W41" s="25" t="s">
        <v>103</v>
      </c>
      <c r="X41" s="26"/>
      <c r="Y41" s="32"/>
      <c r="Z41" s="32"/>
      <c r="AA41" s="28"/>
      <c r="AB41" s="33" t="n">
        <v>4000</v>
      </c>
      <c r="AC41" s="33" t="n">
        <v>113760000</v>
      </c>
      <c r="AD41" s="33" t="n">
        <v>712000000</v>
      </c>
      <c r="AE41" s="26" t="s">
        <v>182</v>
      </c>
      <c r="AF41" s="26" t="str">
        <f aca="false"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>소재 입고일정 확인 필요</v>
      </c>
      <c r="AG41" s="24" t="str">
        <f aca="false">IF($K41="","",IF(OR(LEFT($AF41,2)="작지",LEFT($AF41,4)="소재입고"),IF(LEFT($G41,1)="S","★ 납기위험(S코드)","◆ 지연주의"),IF($AF41="정상","✓ 정상","? 확인필요")))</f>
        <v>? 확인필요</v>
      </c>
      <c r="AH41" s="27"/>
      <c r="AI41" s="34"/>
    </row>
    <row r="42" customFormat="false" ht="15" hidden="false" customHeight="false" outlineLevel="0" collapsed="false">
      <c r="A42" s="24" t="n">
        <v>38</v>
      </c>
      <c r="B42" s="25" t="s">
        <v>250</v>
      </c>
      <c r="C42" s="25" t="s">
        <v>251</v>
      </c>
      <c r="D42" s="26" t="s">
        <v>257</v>
      </c>
      <c r="E42" s="25" t="s">
        <v>258</v>
      </c>
      <c r="F42" s="26" t="s">
        <v>259</v>
      </c>
      <c r="G42" s="24" t="str">
        <f aca="false">IF($D42="","",IF(MID($D42,5,1)="S","S(봄)",IF(MID($D42,5,1)="M","M(여름)",IF(MID($D42,5,1)="X","X(사계절)",MID($D42,5,1)))))</f>
        <v>S(봄)</v>
      </c>
      <c r="H42" s="25" t="s">
        <v>97</v>
      </c>
      <c r="I42" s="24"/>
      <c r="J42" s="27" t="s">
        <v>182</v>
      </c>
      <c r="K42" s="28" t="n">
        <f aca="false">IF($J42="","",IFERROR(DATE(IF(VALUE(LEFT($J42,FIND("월",$J42)-1))&gt;=9,기준정보!$C$7-1,기준정보!$C$7),VALUE(LEFT($J42,FIND("월",$J42)-1)),1+7*(VALUE(SUBSTITUTE(MID($J42,FIND("월",$J42)+1,5),"주",""))-1)),""))</f>
        <v>46402</v>
      </c>
      <c r="L42" s="28" t="n">
        <f aca="false">IF($K42="","",IF(AND($K42-기준정보!$C$5&gt;=기준정보!$C$10,$K42-기준정보!$C$5&lt;=기준정보!$C$11),기준정보!$C$10-1,$K42-기준정보!$C$5))</f>
        <v>46388</v>
      </c>
      <c r="M42" s="29" t="n">
        <f aca="false"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>0</v>
      </c>
      <c r="N42" s="28" t="n">
        <f aca="false">IF($L42="","",$L42-기준정보!$C$6-$M42)</f>
        <v>46298</v>
      </c>
      <c r="O42" s="30" t="n">
        <f aca="false">IF($N42="","",$N42-기준정보!$C$4)</f>
        <v>45</v>
      </c>
      <c r="P42" s="27"/>
      <c r="Q42" s="27" t="s">
        <v>101</v>
      </c>
      <c r="R42" s="27" t="s">
        <v>101</v>
      </c>
      <c r="S42" s="31"/>
      <c r="T42" s="26" t="str">
        <f aca="false">IF($H42="","",IF(AND(ISNUMBER(SEARCH("CMT",$H42)),OR(ISNUMBER(SEARCH("완사입",$H42)),ISNUMBER(SEARCH("ODM",$H42)))),"본사/생산처 혼재",IF(ISNUMBER(SEARCH("CMT",$H42)),"본사(소재팀)","생산처")))</f>
        <v>생산처</v>
      </c>
      <c r="U42" s="25" t="s">
        <v>135</v>
      </c>
      <c r="V42" s="26"/>
      <c r="W42" s="25" t="s">
        <v>103</v>
      </c>
      <c r="X42" s="26"/>
      <c r="Y42" s="32"/>
      <c r="Z42" s="32"/>
      <c r="AA42" s="28"/>
      <c r="AB42" s="33" t="n">
        <v>2500</v>
      </c>
      <c r="AC42" s="33" t="n">
        <v>47250000</v>
      </c>
      <c r="AD42" s="33" t="n">
        <v>370000000</v>
      </c>
      <c r="AE42" s="26" t="s">
        <v>182</v>
      </c>
      <c r="AF42" s="26" t="str">
        <f aca="false"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>작지 미발행</v>
      </c>
      <c r="AG42" s="24" t="str">
        <f aca="false">IF($K42="","",IF(OR(LEFT($AF42,2)="작지",LEFT($AF42,4)="소재입고"),IF(LEFT($G42,1)="S","★ 납기위험(S코드)","◆ 지연주의"),IF($AF42="정상","✓ 정상","? 확인필요")))</f>
        <v>★ 납기위험(S코드)</v>
      </c>
      <c r="AH42" s="27"/>
      <c r="AI42" s="34"/>
    </row>
    <row r="43" customFormat="false" ht="15" hidden="false" customHeight="false" outlineLevel="0" collapsed="false">
      <c r="A43" s="24" t="n">
        <v>39</v>
      </c>
      <c r="B43" s="25" t="s">
        <v>250</v>
      </c>
      <c r="C43" s="25" t="s">
        <v>251</v>
      </c>
      <c r="D43" s="26" t="s">
        <v>260</v>
      </c>
      <c r="E43" s="25" t="s">
        <v>261</v>
      </c>
      <c r="F43" s="26" t="s">
        <v>262</v>
      </c>
      <c r="G43" s="24" t="str">
        <f aca="false">IF($D43="","",IF(MID($D43,5,1)="S","S(봄)",IF(MID($D43,5,1)="M","M(여름)",IF(MID($D43,5,1)="X","X(사계절)",MID($D43,5,1)))))</f>
        <v>S(봄)</v>
      </c>
      <c r="H43" s="25" t="s">
        <v>97</v>
      </c>
      <c r="I43" s="24"/>
      <c r="J43" s="27" t="s">
        <v>182</v>
      </c>
      <c r="K43" s="28" t="n">
        <f aca="false">IF($J43="","",IFERROR(DATE(IF(VALUE(LEFT($J43,FIND("월",$J43)-1))&gt;=9,기준정보!$C$7-1,기준정보!$C$7),VALUE(LEFT($J43,FIND("월",$J43)-1)),1+7*(VALUE(SUBSTITUTE(MID($J43,FIND("월",$J43)+1,5),"주",""))-1)),""))</f>
        <v>46402</v>
      </c>
      <c r="L43" s="28" t="n">
        <f aca="false">IF($K43="","",IF(AND($K43-기준정보!$C$5&gt;=기준정보!$C$10,$K43-기준정보!$C$5&lt;=기준정보!$C$11),기준정보!$C$10-1,$K43-기준정보!$C$5))</f>
        <v>46388</v>
      </c>
      <c r="M43" s="29" t="n">
        <f aca="false"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>0</v>
      </c>
      <c r="N43" s="28" t="n">
        <f aca="false">IF($L43="","",$L43-기준정보!$C$6-$M43)</f>
        <v>46298</v>
      </c>
      <c r="O43" s="30" t="n">
        <f aca="false">IF($N43="","",$N43-기준정보!$C$4)</f>
        <v>45</v>
      </c>
      <c r="P43" s="27"/>
      <c r="Q43" s="27" t="s">
        <v>101</v>
      </c>
      <c r="R43" s="27" t="s">
        <v>101</v>
      </c>
      <c r="S43" s="31"/>
      <c r="T43" s="26" t="str">
        <f aca="false">IF($H43="","",IF(AND(ISNUMBER(SEARCH("CMT",$H43)),OR(ISNUMBER(SEARCH("완사입",$H43)),ISNUMBER(SEARCH("ODM",$H43)))),"본사/생산처 혼재",IF(ISNUMBER(SEARCH("CMT",$H43)),"본사(소재팀)","생산처")))</f>
        <v>생산처</v>
      </c>
      <c r="U43" s="25" t="s">
        <v>135</v>
      </c>
      <c r="V43" s="26"/>
      <c r="W43" s="25" t="s">
        <v>103</v>
      </c>
      <c r="X43" s="26"/>
      <c r="Y43" s="32"/>
      <c r="Z43" s="32"/>
      <c r="AA43" s="28"/>
      <c r="AB43" s="33" t="n">
        <v>1400</v>
      </c>
      <c r="AC43" s="33" t="n">
        <v>24915800</v>
      </c>
      <c r="AD43" s="33" t="n">
        <v>207200000</v>
      </c>
      <c r="AE43" s="26" t="s">
        <v>182</v>
      </c>
      <c r="AF43" s="26" t="str">
        <f aca="false"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>작지 미발행</v>
      </c>
      <c r="AG43" s="24" t="str">
        <f aca="false">IF($K43="","",IF(OR(LEFT($AF43,2)="작지",LEFT($AF43,4)="소재입고"),IF(LEFT($G43,1)="S","★ 납기위험(S코드)","◆ 지연주의"),IF($AF43="정상","✓ 정상","? 확인필요")))</f>
        <v>★ 납기위험(S코드)</v>
      </c>
      <c r="AH43" s="27"/>
      <c r="AI43" s="34"/>
    </row>
    <row r="44" customFormat="false" ht="15" hidden="false" customHeight="false" outlineLevel="0" collapsed="false">
      <c r="A44" s="24" t="n">
        <v>40</v>
      </c>
      <c r="B44" s="25" t="s">
        <v>242</v>
      </c>
      <c r="C44" s="25" t="s">
        <v>251</v>
      </c>
      <c r="D44" s="26" t="s">
        <v>263</v>
      </c>
      <c r="E44" s="25" t="s">
        <v>264</v>
      </c>
      <c r="F44" s="26" t="s">
        <v>265</v>
      </c>
      <c r="G44" s="24" t="str">
        <f aca="false">IF($D44="","",IF(MID($D44,5,1)="S","S(봄)",IF(MID($D44,5,1)="M","M(여름)",IF(MID($D44,5,1)="X","X(사계절)",MID($D44,5,1)))))</f>
        <v>S(봄)</v>
      </c>
      <c r="H44" s="25" t="s">
        <v>97</v>
      </c>
      <c r="I44" s="24"/>
      <c r="J44" s="27" t="s">
        <v>182</v>
      </c>
      <c r="K44" s="28" t="n">
        <f aca="false">IF($J44="","",IFERROR(DATE(IF(VALUE(LEFT($J44,FIND("월",$J44)-1))&gt;=9,기준정보!$C$7-1,기준정보!$C$7),VALUE(LEFT($J44,FIND("월",$J44)-1)),1+7*(VALUE(SUBSTITUTE(MID($J44,FIND("월",$J44)+1,5),"주",""))-1)),""))</f>
        <v>46402</v>
      </c>
      <c r="L44" s="28" t="n">
        <f aca="false">IF($K44="","",IF(AND($K44-기준정보!$C$5&gt;=기준정보!$C$10,$K44-기준정보!$C$5&lt;=기준정보!$C$11),기준정보!$C$10-1,$K44-기준정보!$C$5))</f>
        <v>46388</v>
      </c>
      <c r="M44" s="29" t="n">
        <f aca="false"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>0</v>
      </c>
      <c r="N44" s="28" t="n">
        <f aca="false">IF($L44="","",$L44-기준정보!$C$6-$M44)</f>
        <v>46298</v>
      </c>
      <c r="O44" s="30" t="n">
        <f aca="false">IF($N44="","",$N44-기준정보!$C$4)</f>
        <v>45</v>
      </c>
      <c r="P44" s="27"/>
      <c r="Q44" s="27" t="s">
        <v>100</v>
      </c>
      <c r="R44" s="27" t="s">
        <v>100</v>
      </c>
      <c r="S44" s="31"/>
      <c r="T44" s="26" t="str">
        <f aca="false">IF($H44="","",IF(AND(ISNUMBER(SEARCH("CMT",$H44)),OR(ISNUMBER(SEARCH("완사입",$H44)),ISNUMBER(SEARCH("ODM",$H44)))),"본사/생산처 혼재",IF(ISNUMBER(SEARCH("CMT",$H44)),"본사(소재팀)","생산처")))</f>
        <v>생산처</v>
      </c>
      <c r="U44" s="25" t="s">
        <v>109</v>
      </c>
      <c r="V44" s="25" t="s">
        <v>109</v>
      </c>
      <c r="W44" s="26"/>
      <c r="X44" s="26" t="s">
        <v>247</v>
      </c>
      <c r="Y44" s="32" t="s">
        <v>248</v>
      </c>
      <c r="Z44" s="32" t="s">
        <v>249</v>
      </c>
      <c r="AA44" s="28" t="n">
        <v>46212</v>
      </c>
      <c r="AB44" s="33" t="n">
        <v>1000</v>
      </c>
      <c r="AC44" s="33" t="n">
        <v>38169000</v>
      </c>
      <c r="AD44" s="33" t="n">
        <v>198000000</v>
      </c>
      <c r="AE44" s="26" t="s">
        <v>182</v>
      </c>
      <c r="AF44" s="26" t="str">
        <f aca="false"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>소재 입고일정 확인 필요</v>
      </c>
      <c r="AG44" s="24" t="str">
        <f aca="false">IF($K44="","",IF(OR(LEFT($AF44,2)="작지",LEFT($AF44,4)="소재입고"),IF(LEFT($G44,1)="S","★ 납기위험(S코드)","◆ 지연주의"),IF($AF44="정상","✓ 정상","? 확인필요")))</f>
        <v>? 확인필요</v>
      </c>
      <c r="AH44" s="27"/>
      <c r="AI44" s="34"/>
    </row>
    <row r="45" customFormat="false" ht="15" hidden="false" customHeight="false" outlineLevel="0" collapsed="false">
      <c r="A45" s="24" t="n">
        <v>41</v>
      </c>
      <c r="B45" s="25" t="s">
        <v>266</v>
      </c>
      <c r="C45" s="25" t="s">
        <v>243</v>
      </c>
      <c r="D45" s="26" t="s">
        <v>267</v>
      </c>
      <c r="E45" s="25" t="s">
        <v>268</v>
      </c>
      <c r="F45" s="26" t="s">
        <v>269</v>
      </c>
      <c r="G45" s="24" t="str">
        <f aca="false">IF($D45="","",IF(MID($D45,5,1)="S","S(봄)",IF(MID($D45,5,1)="M","M(여름)",IF(MID($D45,5,1)="X","X(사계절)",MID($D45,5,1)))))</f>
        <v>S(봄)</v>
      </c>
      <c r="H45" s="25" t="s">
        <v>97</v>
      </c>
      <c r="I45" s="24"/>
      <c r="J45" s="27" t="s">
        <v>182</v>
      </c>
      <c r="K45" s="28" t="n">
        <f aca="false">IF($J45="","",IFERROR(DATE(IF(VALUE(LEFT($J45,FIND("월",$J45)-1))&gt;=9,기준정보!$C$7-1,기준정보!$C$7),VALUE(LEFT($J45,FIND("월",$J45)-1)),1+7*(VALUE(SUBSTITUTE(MID($J45,FIND("월",$J45)+1,5),"주",""))-1)),""))</f>
        <v>46402</v>
      </c>
      <c r="L45" s="28" t="n">
        <f aca="false">IF($K45="","",IF(AND($K45-기준정보!$C$5&gt;=기준정보!$C$10,$K45-기준정보!$C$5&lt;=기준정보!$C$11),기준정보!$C$10-1,$K45-기준정보!$C$5))</f>
        <v>46388</v>
      </c>
      <c r="M45" s="29" t="n">
        <f aca="false"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>0</v>
      </c>
      <c r="N45" s="28" t="n">
        <f aca="false">IF($L45="","",$L45-기준정보!$C$6-$M45)</f>
        <v>46298</v>
      </c>
      <c r="O45" s="30" t="n">
        <f aca="false">IF($N45="","",$N45-기준정보!$C$4)</f>
        <v>45</v>
      </c>
      <c r="P45" s="27"/>
      <c r="Q45" s="27" t="s">
        <v>100</v>
      </c>
      <c r="R45" s="27" t="s">
        <v>101</v>
      </c>
      <c r="S45" s="31"/>
      <c r="T45" s="26" t="str">
        <f aca="false">IF($H45="","",IF(AND(ISNUMBER(SEARCH("CMT",$H45)),OR(ISNUMBER(SEARCH("완사입",$H45)),ISNUMBER(SEARCH("ODM",$H45)))),"본사/생산처 혼재",IF(ISNUMBER(SEARCH("CMT",$H45)),"본사(소재팀)","생산처")))</f>
        <v>생산처</v>
      </c>
      <c r="U45" s="25" t="s">
        <v>109</v>
      </c>
      <c r="V45" s="25" t="s">
        <v>109</v>
      </c>
      <c r="W45" s="25" t="s">
        <v>110</v>
      </c>
      <c r="X45" s="26" t="s">
        <v>247</v>
      </c>
      <c r="Y45" s="32" t="s">
        <v>248</v>
      </c>
      <c r="Z45" s="32" t="s">
        <v>249</v>
      </c>
      <c r="AA45" s="28" t="n">
        <v>46199</v>
      </c>
      <c r="AB45" s="33" t="n">
        <v>2500</v>
      </c>
      <c r="AC45" s="33" t="n">
        <v>151025000</v>
      </c>
      <c r="AD45" s="33" t="n">
        <v>725000000</v>
      </c>
      <c r="AE45" s="26"/>
      <c r="AF45" s="26" t="str">
        <f aca="false"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>소재 입고일정 확인 필요</v>
      </c>
      <c r="AG45" s="24" t="str">
        <f aca="false">IF($K45="","",IF(OR(LEFT($AF45,2)="작지",LEFT($AF45,4)="소재입고"),IF(LEFT($G45,1)="S","★ 납기위험(S코드)","◆ 지연주의"),IF($AF45="정상","✓ 정상","? 확인필요")))</f>
        <v>? 확인필요</v>
      </c>
      <c r="AH45" s="27"/>
      <c r="AI45" s="34"/>
    </row>
    <row r="46" customFormat="false" ht="15" hidden="false" customHeight="false" outlineLevel="0" collapsed="false">
      <c r="A46" s="24" t="n">
        <v>42</v>
      </c>
      <c r="B46" s="25" t="s">
        <v>270</v>
      </c>
      <c r="C46" s="25" t="s">
        <v>271</v>
      </c>
      <c r="D46" s="26" t="s">
        <v>272</v>
      </c>
      <c r="E46" s="25" t="s">
        <v>273</v>
      </c>
      <c r="F46" s="26" t="s">
        <v>134</v>
      </c>
      <c r="G46" s="24" t="str">
        <f aca="false">IF($D46="","",IF(MID($D46,5,1)="S","S(봄)",IF(MID($D46,5,1)="M","M(여름)",IF(MID($D46,5,1)="X","X(사계절)",MID($D46,5,1)))))</f>
        <v>S(봄)</v>
      </c>
      <c r="H46" s="26" t="s">
        <v>255</v>
      </c>
      <c r="I46" s="24" t="s">
        <v>274</v>
      </c>
      <c r="J46" s="27" t="s">
        <v>182</v>
      </c>
      <c r="K46" s="28" t="n">
        <f aca="false">IF($J46="","",IFERROR(DATE(IF(VALUE(LEFT($J46,FIND("월",$J46)-1))&gt;=9,기준정보!$C$7-1,기준정보!$C$7),VALUE(LEFT($J46,FIND("월",$J46)-1)),1+7*(VALUE(SUBSTITUTE(MID($J46,FIND("월",$J46)+1,5),"주",""))-1)),""))</f>
        <v>46402</v>
      </c>
      <c r="L46" s="28" t="n">
        <f aca="false">IF($K46="","",IF(AND($K46-기준정보!$C$5&gt;=기준정보!$C$10,$K46-기준정보!$C$5&lt;=기준정보!$C$11),기준정보!$C$10-1,$K46-기준정보!$C$5))</f>
        <v>46388</v>
      </c>
      <c r="M46" s="29" t="n">
        <f aca="false"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>0</v>
      </c>
      <c r="N46" s="28" t="n">
        <f aca="false">IF($L46="","",$L46-기준정보!$C$6-$M46)</f>
        <v>46298</v>
      </c>
      <c r="O46" s="30" t="n">
        <f aca="false">IF($N46="","",$N46-기준정보!$C$4)</f>
        <v>45</v>
      </c>
      <c r="P46" s="27"/>
      <c r="Q46" s="27" t="s">
        <v>100</v>
      </c>
      <c r="R46" s="27" t="s">
        <v>100</v>
      </c>
      <c r="S46" s="31"/>
      <c r="T46" s="26" t="str">
        <f aca="false">IF($H46="","",IF(AND(ISNUMBER(SEARCH("CMT",$H46)),OR(ISNUMBER(SEARCH("완사입",$H46)),ISNUMBER(SEARCH("ODM",$H46)))),"본사/생산처 혼재",IF(ISNUMBER(SEARCH("CMT",$H46)),"본사(소재팀)","생산처")))</f>
        <v>본사(소재팀)</v>
      </c>
      <c r="U46" s="25" t="s">
        <v>256</v>
      </c>
      <c r="V46" s="25" t="s">
        <v>126</v>
      </c>
      <c r="W46" s="25" t="s">
        <v>103</v>
      </c>
      <c r="X46" s="25" t="s">
        <v>275</v>
      </c>
      <c r="Y46" s="35" t="s">
        <v>276</v>
      </c>
      <c r="Z46" s="32"/>
      <c r="AA46" s="28"/>
      <c r="AB46" s="33" t="n">
        <v>5500</v>
      </c>
      <c r="AC46" s="33" t="n">
        <v>155397000</v>
      </c>
      <c r="AD46" s="33" t="n">
        <v>979000000</v>
      </c>
      <c r="AE46" s="26"/>
      <c r="AF46" s="26" t="str">
        <f aca="false"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>소재 입고일정 확인 필요</v>
      </c>
      <c r="AG46" s="24" t="str">
        <f aca="false">IF($K46="","",IF(OR(LEFT($AF46,2)="작지",LEFT($AF46,4)="소재입고"),IF(LEFT($G46,1)="S","★ 납기위험(S코드)","◆ 지연주의"),IF($AF46="정상","✓ 정상","? 확인필요")))</f>
        <v>? 확인필요</v>
      </c>
      <c r="AH46" s="27"/>
      <c r="AI46" s="34"/>
    </row>
    <row r="47" customFormat="false" ht="15" hidden="false" customHeight="false" outlineLevel="0" collapsed="false">
      <c r="A47" s="24" t="n">
        <v>43</v>
      </c>
      <c r="B47" s="25" t="s">
        <v>270</v>
      </c>
      <c r="C47" s="25" t="s">
        <v>271</v>
      </c>
      <c r="D47" s="26" t="s">
        <v>277</v>
      </c>
      <c r="E47" s="25" t="s">
        <v>278</v>
      </c>
      <c r="F47" s="26" t="s">
        <v>279</v>
      </c>
      <c r="G47" s="24" t="str">
        <f aca="false">IF($D47="","",IF(MID($D47,5,1)="S","S(봄)",IF(MID($D47,5,1)="M","M(여름)",IF(MID($D47,5,1)="X","X(사계절)",MID($D47,5,1)))))</f>
        <v>S(봄)</v>
      </c>
      <c r="H47" s="26" t="s">
        <v>255</v>
      </c>
      <c r="I47" s="24" t="s">
        <v>274</v>
      </c>
      <c r="J47" s="27" t="s">
        <v>182</v>
      </c>
      <c r="K47" s="28" t="n">
        <f aca="false">IF($J47="","",IFERROR(DATE(IF(VALUE(LEFT($J47,FIND("월",$J47)-1))&gt;=9,기준정보!$C$7-1,기준정보!$C$7),VALUE(LEFT($J47,FIND("월",$J47)-1)),1+7*(VALUE(SUBSTITUTE(MID($J47,FIND("월",$J47)+1,5),"주",""))-1)),""))</f>
        <v>46402</v>
      </c>
      <c r="L47" s="28" t="n">
        <f aca="false">IF($K47="","",IF(AND($K47-기준정보!$C$5&gt;=기준정보!$C$10,$K47-기준정보!$C$5&lt;=기준정보!$C$11),기준정보!$C$10-1,$K47-기준정보!$C$5))</f>
        <v>46388</v>
      </c>
      <c r="M47" s="29" t="n">
        <f aca="false"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>0</v>
      </c>
      <c r="N47" s="28" t="n">
        <f aca="false">IF($L47="","",$L47-기준정보!$C$6-$M47)</f>
        <v>46298</v>
      </c>
      <c r="O47" s="30" t="n">
        <f aca="false">IF($N47="","",$N47-기준정보!$C$4)</f>
        <v>45</v>
      </c>
      <c r="P47" s="27"/>
      <c r="Q47" s="27" t="s">
        <v>100</v>
      </c>
      <c r="R47" s="27" t="s">
        <v>100</v>
      </c>
      <c r="S47" s="31"/>
      <c r="T47" s="26" t="str">
        <f aca="false">IF($H47="","",IF(AND(ISNUMBER(SEARCH("CMT",$H47)),OR(ISNUMBER(SEARCH("완사입",$H47)),ISNUMBER(SEARCH("ODM",$H47)))),"본사/생산처 혼재",IF(ISNUMBER(SEARCH("CMT",$H47)),"본사(소재팀)","생산처")))</f>
        <v>본사(소재팀)</v>
      </c>
      <c r="U47" s="25" t="s">
        <v>256</v>
      </c>
      <c r="V47" s="26" t="s">
        <v>280</v>
      </c>
      <c r="W47" s="25" t="s">
        <v>103</v>
      </c>
      <c r="X47" s="25" t="s">
        <v>275</v>
      </c>
      <c r="Y47" s="35" t="s">
        <v>276</v>
      </c>
      <c r="Z47" s="32"/>
      <c r="AA47" s="28"/>
      <c r="AB47" s="33" t="n">
        <v>8000</v>
      </c>
      <c r="AC47" s="33" t="n">
        <v>210024000</v>
      </c>
      <c r="AD47" s="33" t="n">
        <v>1424000000</v>
      </c>
      <c r="AE47" s="26"/>
      <c r="AF47" s="26" t="str">
        <f aca="false"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>소재 입고일정 확인 필요</v>
      </c>
      <c r="AG47" s="24" t="str">
        <f aca="false">IF($K47="","",IF(OR(LEFT($AF47,2)="작지",LEFT($AF47,4)="소재입고"),IF(LEFT($G47,1)="S","★ 납기위험(S코드)","◆ 지연주의"),IF($AF47="정상","✓ 정상","? 확인필요")))</f>
        <v>? 확인필요</v>
      </c>
      <c r="AH47" s="27"/>
      <c r="AI47" s="34"/>
    </row>
    <row r="48" customFormat="false" ht="15" hidden="false" customHeight="false" outlineLevel="0" collapsed="false">
      <c r="A48" s="24" t="n">
        <v>44</v>
      </c>
      <c r="B48" s="25" t="s">
        <v>270</v>
      </c>
      <c r="C48" s="25" t="s">
        <v>271</v>
      </c>
      <c r="D48" s="26" t="s">
        <v>281</v>
      </c>
      <c r="E48" s="25" t="s">
        <v>282</v>
      </c>
      <c r="F48" s="26" t="s">
        <v>283</v>
      </c>
      <c r="G48" s="24" t="str">
        <f aca="false">IF($D48="","",IF(MID($D48,5,1)="S","S(봄)",IF(MID($D48,5,1)="M","M(여름)",IF(MID($D48,5,1)="X","X(사계절)",MID($D48,5,1)))))</f>
        <v>S(봄)</v>
      </c>
      <c r="H48" s="25" t="s">
        <v>97</v>
      </c>
      <c r="I48" s="24" t="s">
        <v>274</v>
      </c>
      <c r="J48" s="27" t="s">
        <v>182</v>
      </c>
      <c r="K48" s="28" t="n">
        <f aca="false">IF($J48="","",IFERROR(DATE(IF(VALUE(LEFT($J48,FIND("월",$J48)-1))&gt;=9,기준정보!$C$7-1,기준정보!$C$7),VALUE(LEFT($J48,FIND("월",$J48)-1)),1+7*(VALUE(SUBSTITUTE(MID($J48,FIND("월",$J48)+1,5),"주",""))-1)),""))</f>
        <v>46402</v>
      </c>
      <c r="L48" s="28" t="n">
        <f aca="false">IF($K48="","",IF(AND($K48-기준정보!$C$5&gt;=기준정보!$C$10,$K48-기준정보!$C$5&lt;=기준정보!$C$11),기준정보!$C$10-1,$K48-기준정보!$C$5))</f>
        <v>46388</v>
      </c>
      <c r="M48" s="29" t="n">
        <f aca="false"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>0</v>
      </c>
      <c r="N48" s="28" t="n">
        <f aca="false">IF($L48="","",$L48-기준정보!$C$6-$M48)</f>
        <v>46298</v>
      </c>
      <c r="O48" s="30" t="n">
        <f aca="false">IF($N48="","",$N48-기준정보!$C$4)</f>
        <v>45</v>
      </c>
      <c r="P48" s="27"/>
      <c r="Q48" s="27" t="s">
        <v>100</v>
      </c>
      <c r="R48" s="27" t="s">
        <v>100</v>
      </c>
      <c r="S48" s="31"/>
      <c r="T48" s="26" t="str">
        <f aca="false">IF($H48="","",IF(AND(ISNUMBER(SEARCH("CMT",$H48)),OR(ISNUMBER(SEARCH("완사입",$H48)),ISNUMBER(SEARCH("ODM",$H48)))),"본사/생산처 혼재",IF(ISNUMBER(SEARCH("CMT",$H48)),"본사(소재팀)","생산처")))</f>
        <v>생산처</v>
      </c>
      <c r="U48" s="26" t="s">
        <v>280</v>
      </c>
      <c r="V48" s="26" t="s">
        <v>280</v>
      </c>
      <c r="W48" s="25" t="s">
        <v>103</v>
      </c>
      <c r="X48" s="26" t="s">
        <v>284</v>
      </c>
      <c r="Y48" s="32" t="s">
        <v>285</v>
      </c>
      <c r="Z48" s="32"/>
      <c r="AA48" s="28" t="n">
        <v>46195</v>
      </c>
      <c r="AB48" s="33" t="n">
        <v>1800</v>
      </c>
      <c r="AC48" s="33" t="n">
        <v>70093800</v>
      </c>
      <c r="AD48" s="33" t="n">
        <v>356400000</v>
      </c>
      <c r="AE48" s="26" t="s">
        <v>182</v>
      </c>
      <c r="AF48" s="26" t="str">
        <f aca="false"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>소재 입고일정 확인 필요</v>
      </c>
      <c r="AG48" s="24" t="str">
        <f aca="false">IF($K48="","",IF(OR(LEFT($AF48,2)="작지",LEFT($AF48,4)="소재입고"),IF(LEFT($G48,1)="S","★ 납기위험(S코드)","◆ 지연주의"),IF($AF48="정상","✓ 정상","? 확인필요")))</f>
        <v>? 확인필요</v>
      </c>
      <c r="AH48" s="27"/>
      <c r="AI48" s="34"/>
    </row>
    <row r="49" customFormat="false" ht="15" hidden="false" customHeight="false" outlineLevel="0" collapsed="false">
      <c r="A49" s="24" t="n">
        <v>45</v>
      </c>
      <c r="B49" s="25" t="s">
        <v>270</v>
      </c>
      <c r="C49" s="25" t="s">
        <v>271</v>
      </c>
      <c r="D49" s="26" t="s">
        <v>286</v>
      </c>
      <c r="E49" s="25" t="s">
        <v>287</v>
      </c>
      <c r="F49" s="26" t="s">
        <v>288</v>
      </c>
      <c r="G49" s="24" t="str">
        <f aca="false">IF($D49="","",IF(MID($D49,5,1)="S","S(봄)",IF(MID($D49,5,1)="M","M(여름)",IF(MID($D49,5,1)="X","X(사계절)",MID($D49,5,1)))))</f>
        <v>S(봄)</v>
      </c>
      <c r="H49" s="25" t="s">
        <v>97</v>
      </c>
      <c r="I49" s="24" t="s">
        <v>274</v>
      </c>
      <c r="J49" s="27" t="s">
        <v>182</v>
      </c>
      <c r="K49" s="28" t="n">
        <f aca="false">IF($J49="","",IFERROR(DATE(IF(VALUE(LEFT($J49,FIND("월",$J49)-1))&gt;=9,기준정보!$C$7-1,기준정보!$C$7),VALUE(LEFT($J49,FIND("월",$J49)-1)),1+7*(VALUE(SUBSTITUTE(MID($J49,FIND("월",$J49)+1,5),"주",""))-1)),""))</f>
        <v>46402</v>
      </c>
      <c r="L49" s="28" t="n">
        <f aca="false">IF($K49="","",IF(AND($K49-기준정보!$C$5&gt;=기준정보!$C$10,$K49-기준정보!$C$5&lt;=기준정보!$C$11),기준정보!$C$10-1,$K49-기준정보!$C$5))</f>
        <v>46388</v>
      </c>
      <c r="M49" s="29" t="n">
        <f aca="false"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>0</v>
      </c>
      <c r="N49" s="28" t="n">
        <f aca="false">IF($L49="","",$L49-기준정보!$C$6-$M49)</f>
        <v>46298</v>
      </c>
      <c r="O49" s="30" t="n">
        <f aca="false">IF($N49="","",$N49-기준정보!$C$4)</f>
        <v>45</v>
      </c>
      <c r="P49" s="27"/>
      <c r="Q49" s="27" t="s">
        <v>100</v>
      </c>
      <c r="R49" s="27" t="s">
        <v>100</v>
      </c>
      <c r="S49" s="31"/>
      <c r="T49" s="26" t="str">
        <f aca="false">IF($H49="","",IF(AND(ISNUMBER(SEARCH("CMT",$H49)),OR(ISNUMBER(SEARCH("완사입",$H49)),ISNUMBER(SEARCH("ODM",$H49)))),"본사/생산처 혼재",IF(ISNUMBER(SEARCH("CMT",$H49)),"본사(소재팀)","생산처")))</f>
        <v>생산처</v>
      </c>
      <c r="U49" s="25" t="s">
        <v>289</v>
      </c>
      <c r="V49" s="25" t="s">
        <v>289</v>
      </c>
      <c r="W49" s="25" t="s">
        <v>103</v>
      </c>
      <c r="X49" s="25" t="s">
        <v>290</v>
      </c>
      <c r="Y49" s="35" t="s">
        <v>291</v>
      </c>
      <c r="Z49" s="32"/>
      <c r="AA49" s="28" t="n">
        <v>46231</v>
      </c>
      <c r="AB49" s="33" t="n">
        <v>1600</v>
      </c>
      <c r="AC49" s="33" t="n">
        <v>77996800</v>
      </c>
      <c r="AD49" s="33" t="n">
        <v>352000000</v>
      </c>
      <c r="AE49" s="26"/>
      <c r="AF49" s="26" t="str">
        <f aca="false"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>소재 입고일정 확인 필요</v>
      </c>
      <c r="AG49" s="24" t="str">
        <f aca="false">IF($K49="","",IF(OR(LEFT($AF49,2)="작지",LEFT($AF49,4)="소재입고"),IF(LEFT($G49,1)="S","★ 납기위험(S코드)","◆ 지연주의"),IF($AF49="정상","✓ 정상","? 확인필요")))</f>
        <v>? 확인필요</v>
      </c>
      <c r="AH49" s="27"/>
      <c r="AI49" s="34"/>
    </row>
    <row r="50" customFormat="false" ht="15" hidden="false" customHeight="false" outlineLevel="0" collapsed="false">
      <c r="A50" s="24" t="n">
        <v>46</v>
      </c>
      <c r="B50" s="25" t="s">
        <v>266</v>
      </c>
      <c r="C50" s="25" t="s">
        <v>271</v>
      </c>
      <c r="D50" s="26" t="s">
        <v>292</v>
      </c>
      <c r="E50" s="25" t="s">
        <v>293</v>
      </c>
      <c r="F50" s="26" t="s">
        <v>294</v>
      </c>
      <c r="G50" s="24" t="str">
        <f aca="false">IF($D50="","",IF(MID($D50,5,1)="S","S(봄)",IF(MID($D50,5,1)="M","M(여름)",IF(MID($D50,5,1)="X","X(사계절)",MID($D50,5,1)))))</f>
        <v>S(봄)</v>
      </c>
      <c r="H50" s="25" t="s">
        <v>97</v>
      </c>
      <c r="I50" s="24"/>
      <c r="J50" s="27" t="s">
        <v>182</v>
      </c>
      <c r="K50" s="28" t="n">
        <f aca="false">IF($J50="","",IFERROR(DATE(IF(VALUE(LEFT($J50,FIND("월",$J50)-1))&gt;=9,기준정보!$C$7-1,기준정보!$C$7),VALUE(LEFT($J50,FIND("월",$J50)-1)),1+7*(VALUE(SUBSTITUTE(MID($J50,FIND("월",$J50)+1,5),"주",""))-1)),""))</f>
        <v>46402</v>
      </c>
      <c r="L50" s="28" t="n">
        <f aca="false">IF($K50="","",IF(AND($K50-기준정보!$C$5&gt;=기준정보!$C$10,$K50-기준정보!$C$5&lt;=기준정보!$C$11),기준정보!$C$10-1,$K50-기준정보!$C$5))</f>
        <v>46388</v>
      </c>
      <c r="M50" s="29" t="n">
        <f aca="false"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>0</v>
      </c>
      <c r="N50" s="28" t="n">
        <f aca="false">IF($L50="","",$L50-기준정보!$C$6-$M50)</f>
        <v>46298</v>
      </c>
      <c r="O50" s="30" t="n">
        <f aca="false">IF($N50="","",$N50-기준정보!$C$4)</f>
        <v>45</v>
      </c>
      <c r="P50" s="27"/>
      <c r="Q50" s="27" t="s">
        <v>100</v>
      </c>
      <c r="R50" s="27" t="s">
        <v>100</v>
      </c>
      <c r="S50" s="31"/>
      <c r="T50" s="26" t="str">
        <f aca="false">IF($H50="","",IF(AND(ISNUMBER(SEARCH("CMT",$H50)),OR(ISNUMBER(SEARCH("완사입",$H50)),ISNUMBER(SEARCH("ODM",$H50)))),"본사/생산처 혼재",IF(ISNUMBER(SEARCH("CMT",$H50)),"본사(소재팀)","생산처")))</f>
        <v>생산처</v>
      </c>
      <c r="U50" s="26" t="s">
        <v>235</v>
      </c>
      <c r="V50" s="26" t="s">
        <v>235</v>
      </c>
      <c r="W50" s="25" t="s">
        <v>110</v>
      </c>
      <c r="X50" s="26" t="s">
        <v>295</v>
      </c>
      <c r="Y50" s="32" t="s">
        <v>296</v>
      </c>
      <c r="Z50" s="32"/>
      <c r="AA50" s="28" t="n">
        <v>46202</v>
      </c>
      <c r="AB50" s="33" t="n">
        <v>3000</v>
      </c>
      <c r="AC50" s="33" t="n">
        <v>79905000</v>
      </c>
      <c r="AD50" s="33" t="n">
        <v>444000000</v>
      </c>
      <c r="AE50" s="26"/>
      <c r="AF50" s="26" t="str">
        <f aca="false"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>소재 입고일정 확인 필요</v>
      </c>
      <c r="AG50" s="24" t="str">
        <f aca="false">IF($K50="","",IF(OR(LEFT($AF50,2)="작지",LEFT($AF50,4)="소재입고"),IF(LEFT($G50,1)="S","★ 납기위험(S코드)","◆ 지연주의"),IF($AF50="정상","✓ 정상","? 확인필요")))</f>
        <v>? 확인필요</v>
      </c>
      <c r="AH50" s="27"/>
      <c r="AI50" s="34"/>
    </row>
    <row r="51" customFormat="false" ht="15" hidden="false" customHeight="false" outlineLevel="0" collapsed="false">
      <c r="A51" s="24" t="n">
        <v>47</v>
      </c>
      <c r="B51" s="25" t="s">
        <v>266</v>
      </c>
      <c r="C51" s="25" t="s">
        <v>271</v>
      </c>
      <c r="D51" s="26" t="s">
        <v>297</v>
      </c>
      <c r="E51" s="25" t="s">
        <v>298</v>
      </c>
      <c r="F51" s="26" t="s">
        <v>299</v>
      </c>
      <c r="G51" s="24" t="str">
        <f aca="false">IF($D51="","",IF(MID($D51,5,1)="S","S(봄)",IF(MID($D51,5,1)="M","M(여름)",IF(MID($D51,5,1)="X","X(사계절)",MID($D51,5,1)))))</f>
        <v>S(봄)</v>
      </c>
      <c r="H51" s="25" t="s">
        <v>97</v>
      </c>
      <c r="I51" s="24"/>
      <c r="J51" s="27" t="s">
        <v>182</v>
      </c>
      <c r="K51" s="28" t="n">
        <f aca="false">IF($J51="","",IFERROR(DATE(IF(VALUE(LEFT($J51,FIND("월",$J51)-1))&gt;=9,기준정보!$C$7-1,기준정보!$C$7),VALUE(LEFT($J51,FIND("월",$J51)-1)),1+7*(VALUE(SUBSTITUTE(MID($J51,FIND("월",$J51)+1,5),"주",""))-1)),""))</f>
        <v>46402</v>
      </c>
      <c r="L51" s="28" t="n">
        <f aca="false">IF($K51="","",IF(AND($K51-기준정보!$C$5&gt;=기준정보!$C$10,$K51-기준정보!$C$5&lt;=기준정보!$C$11),기준정보!$C$10-1,$K51-기준정보!$C$5))</f>
        <v>46388</v>
      </c>
      <c r="M51" s="29" t="n">
        <f aca="false"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>0</v>
      </c>
      <c r="N51" s="28" t="n">
        <f aca="false">IF($L51="","",$L51-기준정보!$C$6-$M51)</f>
        <v>46298</v>
      </c>
      <c r="O51" s="30" t="n">
        <f aca="false">IF($N51="","",$N51-기준정보!$C$4)</f>
        <v>45</v>
      </c>
      <c r="P51" s="27"/>
      <c r="Q51" s="27" t="s">
        <v>100</v>
      </c>
      <c r="R51" s="27" t="s">
        <v>100</v>
      </c>
      <c r="S51" s="31"/>
      <c r="T51" s="26" t="str">
        <f aca="false">IF($H51="","",IF(AND(ISNUMBER(SEARCH("CMT",$H51)),OR(ISNUMBER(SEARCH("완사입",$H51)),ISNUMBER(SEARCH("ODM",$H51)))),"본사/생산처 혼재",IF(ISNUMBER(SEARCH("CMT",$H51)),"본사(소재팀)","생산처")))</f>
        <v>생산처</v>
      </c>
      <c r="U51" s="26" t="s">
        <v>235</v>
      </c>
      <c r="V51" s="26" t="s">
        <v>235</v>
      </c>
      <c r="W51" s="25" t="s">
        <v>110</v>
      </c>
      <c r="X51" s="26" t="s">
        <v>300</v>
      </c>
      <c r="Y51" s="32" t="s">
        <v>301</v>
      </c>
      <c r="Z51" s="32"/>
      <c r="AA51" s="28" t="n">
        <v>46238</v>
      </c>
      <c r="AB51" s="33" t="n">
        <v>2000</v>
      </c>
      <c r="AC51" s="33" t="n">
        <v>53650000</v>
      </c>
      <c r="AD51" s="33" t="n">
        <v>256000000</v>
      </c>
      <c r="AE51" s="26"/>
      <c r="AF51" s="26" t="str">
        <f aca="false"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>소재 입고일정 확인 필요</v>
      </c>
      <c r="AG51" s="24" t="str">
        <f aca="false">IF($K51="","",IF(OR(LEFT($AF51,2)="작지",LEFT($AF51,4)="소재입고"),IF(LEFT($G51,1)="S","★ 납기위험(S코드)","◆ 지연주의"),IF($AF51="정상","✓ 정상","? 확인필요")))</f>
        <v>? 확인필요</v>
      </c>
      <c r="AH51" s="27"/>
      <c r="AI51" s="34"/>
    </row>
    <row r="52" customFormat="false" ht="15" hidden="false" customHeight="false" outlineLevel="0" collapsed="false">
      <c r="A52" s="24" t="n">
        <v>48</v>
      </c>
      <c r="B52" s="25" t="s">
        <v>266</v>
      </c>
      <c r="C52" s="25" t="s">
        <v>271</v>
      </c>
      <c r="D52" s="26" t="s">
        <v>302</v>
      </c>
      <c r="E52" s="25" t="s">
        <v>303</v>
      </c>
      <c r="F52" s="26" t="s">
        <v>304</v>
      </c>
      <c r="G52" s="24" t="str">
        <f aca="false">IF($D52="","",IF(MID($D52,5,1)="S","S(봄)",IF(MID($D52,5,1)="M","M(여름)",IF(MID($D52,5,1)="X","X(사계절)",MID($D52,5,1)))))</f>
        <v>S(봄)</v>
      </c>
      <c r="H52" s="25" t="s">
        <v>97</v>
      </c>
      <c r="I52" s="24"/>
      <c r="J52" s="27" t="s">
        <v>182</v>
      </c>
      <c r="K52" s="28" t="n">
        <f aca="false">IF($J52="","",IFERROR(DATE(IF(VALUE(LEFT($J52,FIND("월",$J52)-1))&gt;=9,기준정보!$C$7-1,기준정보!$C$7),VALUE(LEFT($J52,FIND("월",$J52)-1)),1+7*(VALUE(SUBSTITUTE(MID($J52,FIND("월",$J52)+1,5),"주",""))-1)),""))</f>
        <v>46402</v>
      </c>
      <c r="L52" s="28" t="n">
        <f aca="false">IF($K52="","",IF(AND($K52-기준정보!$C$5&gt;=기준정보!$C$10,$K52-기준정보!$C$5&lt;=기준정보!$C$11),기준정보!$C$10-1,$K52-기준정보!$C$5))</f>
        <v>46388</v>
      </c>
      <c r="M52" s="29" t="n">
        <f aca="false"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>0</v>
      </c>
      <c r="N52" s="28" t="n">
        <f aca="false">IF($L52="","",$L52-기준정보!$C$6-$M52)</f>
        <v>46298</v>
      </c>
      <c r="O52" s="30" t="n">
        <f aca="false">IF($N52="","",$N52-기준정보!$C$4)</f>
        <v>45</v>
      </c>
      <c r="P52" s="27"/>
      <c r="Q52" s="27" t="s">
        <v>100</v>
      </c>
      <c r="R52" s="27" t="s">
        <v>100</v>
      </c>
      <c r="S52" s="31"/>
      <c r="T52" s="26" t="str">
        <f aca="false">IF($H52="","",IF(AND(ISNUMBER(SEARCH("CMT",$H52)),OR(ISNUMBER(SEARCH("완사입",$H52)),ISNUMBER(SEARCH("ODM",$H52)))),"본사/생산처 혼재",IF(ISNUMBER(SEARCH("CMT",$H52)),"본사(소재팀)","생산처")))</f>
        <v>생산처</v>
      </c>
      <c r="U52" s="26" t="s">
        <v>235</v>
      </c>
      <c r="V52" s="26" t="s">
        <v>235</v>
      </c>
      <c r="W52" s="25" t="s">
        <v>110</v>
      </c>
      <c r="X52" s="26" t="s">
        <v>300</v>
      </c>
      <c r="Y52" s="32" t="s">
        <v>301</v>
      </c>
      <c r="Z52" s="32"/>
      <c r="AA52" s="28" t="n">
        <v>46238</v>
      </c>
      <c r="AB52" s="33" t="n">
        <v>2000</v>
      </c>
      <c r="AC52" s="33" t="n">
        <v>58964800</v>
      </c>
      <c r="AD52" s="33" t="n">
        <v>276000000</v>
      </c>
      <c r="AE52" s="26"/>
      <c r="AF52" s="26" t="str">
        <f aca="false"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>소재 입고일정 확인 필요</v>
      </c>
      <c r="AG52" s="24" t="str">
        <f aca="false">IF($K52="","",IF(OR(LEFT($AF52,2)="작지",LEFT($AF52,4)="소재입고"),IF(LEFT($G52,1)="S","★ 납기위험(S코드)","◆ 지연주의"),IF($AF52="정상","✓ 정상","? 확인필요")))</f>
        <v>? 확인필요</v>
      </c>
      <c r="AH52" s="27"/>
      <c r="AI52" s="34"/>
    </row>
    <row r="53" customFormat="false" ht="15" hidden="false" customHeight="false" outlineLevel="0" collapsed="false">
      <c r="A53" s="24" t="n">
        <v>49</v>
      </c>
      <c r="B53" s="25" t="s">
        <v>266</v>
      </c>
      <c r="C53" s="25" t="s">
        <v>271</v>
      </c>
      <c r="D53" s="26" t="s">
        <v>305</v>
      </c>
      <c r="E53" s="25" t="s">
        <v>306</v>
      </c>
      <c r="F53" s="26" t="s">
        <v>307</v>
      </c>
      <c r="G53" s="24" t="str">
        <f aca="false">IF($D53="","",IF(MID($D53,5,1)="S","S(봄)",IF(MID($D53,5,1)="M","M(여름)",IF(MID($D53,5,1)="X","X(사계절)",MID($D53,5,1)))))</f>
        <v>S(봄)</v>
      </c>
      <c r="H53" s="25" t="s">
        <v>97</v>
      </c>
      <c r="I53" s="24"/>
      <c r="J53" s="27" t="s">
        <v>182</v>
      </c>
      <c r="K53" s="28" t="n">
        <f aca="false">IF($J53="","",IFERROR(DATE(IF(VALUE(LEFT($J53,FIND("월",$J53)-1))&gt;=9,기준정보!$C$7-1,기준정보!$C$7),VALUE(LEFT($J53,FIND("월",$J53)-1)),1+7*(VALUE(SUBSTITUTE(MID($J53,FIND("월",$J53)+1,5),"주",""))-1)),""))</f>
        <v>46402</v>
      </c>
      <c r="L53" s="28" t="n">
        <f aca="false">IF($K53="","",IF(AND($K53-기준정보!$C$5&gt;=기준정보!$C$10,$K53-기준정보!$C$5&lt;=기준정보!$C$11),기준정보!$C$10-1,$K53-기준정보!$C$5))</f>
        <v>46388</v>
      </c>
      <c r="M53" s="29" t="n">
        <f aca="false"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>0</v>
      </c>
      <c r="N53" s="28" t="n">
        <f aca="false">IF($L53="","",$L53-기준정보!$C$6-$M53)</f>
        <v>46298</v>
      </c>
      <c r="O53" s="30" t="n">
        <f aca="false">IF($N53="","",$N53-기준정보!$C$4)</f>
        <v>45</v>
      </c>
      <c r="P53" s="27"/>
      <c r="Q53" s="27" t="s">
        <v>100</v>
      </c>
      <c r="R53" s="27" t="s">
        <v>101</v>
      </c>
      <c r="S53" s="31"/>
      <c r="T53" s="26" t="str">
        <f aca="false">IF($H53="","",IF(AND(ISNUMBER(SEARCH("CMT",$H53)),OR(ISNUMBER(SEARCH("완사입",$H53)),ISNUMBER(SEARCH("ODM",$H53)))),"본사/생산처 혼재",IF(ISNUMBER(SEARCH("CMT",$H53)),"본사(소재팀)","생산처")))</f>
        <v>생산처</v>
      </c>
      <c r="U53" s="25" t="s">
        <v>109</v>
      </c>
      <c r="V53" s="25" t="s">
        <v>109</v>
      </c>
      <c r="W53" s="25" t="s">
        <v>110</v>
      </c>
      <c r="X53" s="26" t="s">
        <v>247</v>
      </c>
      <c r="Y53" s="32" t="s">
        <v>248</v>
      </c>
      <c r="Z53" s="32" t="s">
        <v>249</v>
      </c>
      <c r="AA53" s="28" t="n">
        <v>46199</v>
      </c>
      <c r="AB53" s="33" t="n">
        <v>1200</v>
      </c>
      <c r="AC53" s="33" t="n">
        <v>51517200</v>
      </c>
      <c r="AD53" s="33" t="n">
        <v>264000000</v>
      </c>
      <c r="AE53" s="26"/>
      <c r="AF53" s="26" t="str">
        <f aca="false"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>소재 입고일정 확인 필요</v>
      </c>
      <c r="AG53" s="24" t="str">
        <f aca="false">IF($K53="","",IF(OR(LEFT($AF53,2)="작지",LEFT($AF53,4)="소재입고"),IF(LEFT($G53,1)="S","★ 납기위험(S코드)","◆ 지연주의"),IF($AF53="정상","✓ 정상","? 확인필요")))</f>
        <v>? 확인필요</v>
      </c>
      <c r="AH53" s="27"/>
      <c r="AI53" s="34"/>
    </row>
    <row r="54" customFormat="false" ht="15" hidden="false" customHeight="false" outlineLevel="0" collapsed="false">
      <c r="A54" s="24" t="n">
        <v>50</v>
      </c>
      <c r="B54" s="25" t="s">
        <v>308</v>
      </c>
      <c r="C54" s="25" t="s">
        <v>309</v>
      </c>
      <c r="D54" s="26" t="s">
        <v>310</v>
      </c>
      <c r="E54" s="25" t="s">
        <v>311</v>
      </c>
      <c r="F54" s="26" t="s">
        <v>312</v>
      </c>
      <c r="G54" s="24" t="str">
        <f aca="false">IF($D54="","",IF(MID($D54,5,1)="S","S(봄)",IF(MID($D54,5,1)="M","M(여름)",IF(MID($D54,5,1)="X","X(사계절)",MID($D54,5,1)))))</f>
        <v>S(봄)</v>
      </c>
      <c r="H54" s="25" t="s">
        <v>97</v>
      </c>
      <c r="I54" s="24"/>
      <c r="J54" s="27" t="s">
        <v>182</v>
      </c>
      <c r="K54" s="28" t="n">
        <f aca="false">IF($J54="","",IFERROR(DATE(IF(VALUE(LEFT($J54,FIND("월",$J54)-1))&gt;=9,기준정보!$C$7-1,기준정보!$C$7),VALUE(LEFT($J54,FIND("월",$J54)-1)),1+7*(VALUE(SUBSTITUTE(MID($J54,FIND("월",$J54)+1,5),"주",""))-1)),""))</f>
        <v>46402</v>
      </c>
      <c r="L54" s="28" t="n">
        <f aca="false">IF($K54="","",IF(AND($K54-기준정보!$C$5&gt;=기준정보!$C$10,$K54-기준정보!$C$5&lt;=기준정보!$C$11),기준정보!$C$10-1,$K54-기준정보!$C$5))</f>
        <v>46388</v>
      </c>
      <c r="M54" s="29" t="n">
        <f aca="false"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>0</v>
      </c>
      <c r="N54" s="28" t="n">
        <f aca="false">IF($L54="","",$L54-기준정보!$C$6-$M54)</f>
        <v>46298</v>
      </c>
      <c r="O54" s="30" t="n">
        <f aca="false">IF($N54="","",$N54-기준정보!$C$4)</f>
        <v>45</v>
      </c>
      <c r="P54" s="27"/>
      <c r="Q54" s="27" t="s">
        <v>100</v>
      </c>
      <c r="R54" s="27" t="s">
        <v>101</v>
      </c>
      <c r="S54" s="31"/>
      <c r="T54" s="26" t="str">
        <f aca="false">IF($H54="","",IF(AND(ISNUMBER(SEARCH("CMT",$H54)),OR(ISNUMBER(SEARCH("완사입",$H54)),ISNUMBER(SEARCH("ODM",$H54)))),"본사/생산처 혼재",IF(ISNUMBER(SEARCH("CMT",$H54)),"본사(소재팀)","생산처")))</f>
        <v>생산처</v>
      </c>
      <c r="U54" s="25" t="s">
        <v>313</v>
      </c>
      <c r="V54" s="25" t="s">
        <v>313</v>
      </c>
      <c r="W54" s="25" t="s">
        <v>103</v>
      </c>
      <c r="X54" s="26" t="s">
        <v>314</v>
      </c>
      <c r="Y54" s="32" t="s">
        <v>315</v>
      </c>
      <c r="Z54" s="32"/>
      <c r="AA54" s="28" t="n">
        <v>46197</v>
      </c>
      <c r="AB54" s="33" t="n">
        <v>3000</v>
      </c>
      <c r="AC54" s="33" t="n">
        <v>186354000</v>
      </c>
      <c r="AD54" s="33" t="n">
        <v>960000000</v>
      </c>
      <c r="AE54" s="26" t="s">
        <v>182</v>
      </c>
      <c r="AF54" s="26" t="str">
        <f aca="false"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>소재 입고일정 확인 필요</v>
      </c>
      <c r="AG54" s="24" t="str">
        <f aca="false">IF($K54="","",IF(OR(LEFT($AF54,2)="작지",LEFT($AF54,4)="소재입고"),IF(LEFT($G54,1)="S","★ 납기위험(S코드)","◆ 지연주의"),IF($AF54="정상","✓ 정상","? 확인필요")))</f>
        <v>? 확인필요</v>
      </c>
      <c r="AH54" s="27"/>
      <c r="AI54" s="34"/>
    </row>
    <row r="55" customFormat="false" ht="15" hidden="false" customHeight="false" outlineLevel="0" collapsed="false">
      <c r="A55" s="24" t="n">
        <v>51</v>
      </c>
      <c r="B55" s="25" t="s">
        <v>308</v>
      </c>
      <c r="C55" s="25" t="s">
        <v>309</v>
      </c>
      <c r="D55" s="26" t="s">
        <v>316</v>
      </c>
      <c r="E55" s="25" t="s">
        <v>317</v>
      </c>
      <c r="F55" s="26" t="s">
        <v>318</v>
      </c>
      <c r="G55" s="24" t="str">
        <f aca="false">IF($D55="","",IF(MID($D55,5,1)="S","S(봄)",IF(MID($D55,5,1)="M","M(여름)",IF(MID($D55,5,1)="X","X(사계절)",MID($D55,5,1)))))</f>
        <v>S(봄)</v>
      </c>
      <c r="H55" s="25" t="s">
        <v>97</v>
      </c>
      <c r="I55" s="24"/>
      <c r="J55" s="27" t="s">
        <v>182</v>
      </c>
      <c r="K55" s="28" t="n">
        <f aca="false">IF($J55="","",IFERROR(DATE(IF(VALUE(LEFT($J55,FIND("월",$J55)-1))&gt;=9,기준정보!$C$7-1,기준정보!$C$7),VALUE(LEFT($J55,FIND("월",$J55)-1)),1+7*(VALUE(SUBSTITUTE(MID($J55,FIND("월",$J55)+1,5),"주",""))-1)),""))</f>
        <v>46402</v>
      </c>
      <c r="L55" s="28" t="n">
        <f aca="false">IF($K55="","",IF(AND($K55-기준정보!$C$5&gt;=기준정보!$C$10,$K55-기준정보!$C$5&lt;=기준정보!$C$11),기준정보!$C$10-1,$K55-기준정보!$C$5))</f>
        <v>46388</v>
      </c>
      <c r="M55" s="29" t="n">
        <f aca="false"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>0</v>
      </c>
      <c r="N55" s="28" t="n">
        <f aca="false">IF($L55="","",$L55-기준정보!$C$6-$M55)</f>
        <v>46298</v>
      </c>
      <c r="O55" s="30" t="n">
        <f aca="false">IF($N55="","",$N55-기준정보!$C$4)</f>
        <v>45</v>
      </c>
      <c r="P55" s="27"/>
      <c r="Q55" s="27" t="s">
        <v>100</v>
      </c>
      <c r="R55" s="27" t="s">
        <v>100</v>
      </c>
      <c r="S55" s="31"/>
      <c r="T55" s="26" t="str">
        <f aca="false">IF($H55="","",IF(AND(ISNUMBER(SEARCH("CMT",$H55)),OR(ISNUMBER(SEARCH("완사입",$H55)),ISNUMBER(SEARCH("ODM",$H55)))),"본사/생산처 혼재",IF(ISNUMBER(SEARCH("CMT",$H55)),"본사(소재팀)","생산처")))</f>
        <v>생산처</v>
      </c>
      <c r="U55" s="25" t="s">
        <v>313</v>
      </c>
      <c r="V55" s="25" t="s">
        <v>313</v>
      </c>
      <c r="W55" s="25" t="s">
        <v>103</v>
      </c>
      <c r="X55" s="26" t="s">
        <v>314</v>
      </c>
      <c r="Y55" s="32" t="s">
        <v>319</v>
      </c>
      <c r="Z55" s="32"/>
      <c r="AA55" s="28" t="n">
        <v>46224</v>
      </c>
      <c r="AB55" s="33" t="n">
        <v>1700</v>
      </c>
      <c r="AC55" s="33" t="n">
        <v>166685000</v>
      </c>
      <c r="AD55" s="33" t="n">
        <v>663000000</v>
      </c>
      <c r="AE55" s="26" t="s">
        <v>182</v>
      </c>
      <c r="AF55" s="26" t="str">
        <f aca="false"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>소재 입고일정 확인 필요</v>
      </c>
      <c r="AG55" s="24" t="str">
        <f aca="false">IF($K55="","",IF(OR(LEFT($AF55,2)="작지",LEFT($AF55,4)="소재입고"),IF(LEFT($G55,1)="S","★ 납기위험(S코드)","◆ 지연주의"),IF($AF55="정상","✓ 정상","? 확인필요")))</f>
        <v>? 확인필요</v>
      </c>
      <c r="AH55" s="27"/>
      <c r="AI55" s="34"/>
    </row>
    <row r="56" customFormat="false" ht="15" hidden="false" customHeight="false" outlineLevel="0" collapsed="false">
      <c r="A56" s="24" t="n">
        <v>52</v>
      </c>
      <c r="B56" s="25" t="s">
        <v>308</v>
      </c>
      <c r="C56" s="25" t="s">
        <v>320</v>
      </c>
      <c r="D56" s="26" t="s">
        <v>321</v>
      </c>
      <c r="E56" s="25" t="s">
        <v>322</v>
      </c>
      <c r="F56" s="26" t="s">
        <v>323</v>
      </c>
      <c r="G56" s="24" t="str">
        <f aca="false">IF($D56="","",IF(MID($D56,5,1)="S","S(봄)",IF(MID($D56,5,1)="M","M(여름)",IF(MID($D56,5,1)="X","X(사계절)",MID($D56,5,1)))))</f>
        <v>S(봄)</v>
      </c>
      <c r="H56" s="25" t="s">
        <v>97</v>
      </c>
      <c r="I56" s="24"/>
      <c r="J56" s="27" t="s">
        <v>182</v>
      </c>
      <c r="K56" s="28" t="n">
        <f aca="false">IF($J56="","",IFERROR(DATE(IF(VALUE(LEFT($J56,FIND("월",$J56)-1))&gt;=9,기준정보!$C$7-1,기준정보!$C$7),VALUE(LEFT($J56,FIND("월",$J56)-1)),1+7*(VALUE(SUBSTITUTE(MID($J56,FIND("월",$J56)+1,5),"주",""))-1)),""))</f>
        <v>46402</v>
      </c>
      <c r="L56" s="28" t="n">
        <f aca="false">IF($K56="","",IF(AND($K56-기준정보!$C$5&gt;=기준정보!$C$10,$K56-기준정보!$C$5&lt;=기준정보!$C$11),기준정보!$C$10-1,$K56-기준정보!$C$5))</f>
        <v>46388</v>
      </c>
      <c r="M56" s="29" t="n">
        <f aca="false"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>0</v>
      </c>
      <c r="N56" s="28" t="n">
        <f aca="false">IF($L56="","",$L56-기준정보!$C$6-$M56)</f>
        <v>46298</v>
      </c>
      <c r="O56" s="30" t="n">
        <f aca="false">IF($N56="","",$N56-기준정보!$C$4)</f>
        <v>45</v>
      </c>
      <c r="P56" s="27"/>
      <c r="Q56" s="27" t="s">
        <v>100</v>
      </c>
      <c r="R56" s="27" t="s">
        <v>100</v>
      </c>
      <c r="S56" s="31"/>
      <c r="T56" s="26" t="str">
        <f aca="false">IF($H56="","",IF(AND(ISNUMBER(SEARCH("CMT",$H56)),OR(ISNUMBER(SEARCH("완사입",$H56)),ISNUMBER(SEARCH("ODM",$H56)))),"본사/생산처 혼재",IF(ISNUMBER(SEARCH("CMT",$H56)),"본사(소재팀)","생산처")))</f>
        <v>생산처</v>
      </c>
      <c r="U56" s="25" t="s">
        <v>324</v>
      </c>
      <c r="V56" s="25" t="s">
        <v>324</v>
      </c>
      <c r="W56" s="25" t="s">
        <v>103</v>
      </c>
      <c r="X56" s="25" t="s">
        <v>325</v>
      </c>
      <c r="Y56" s="35" t="s">
        <v>326</v>
      </c>
      <c r="Z56" s="32"/>
      <c r="AA56" s="28" t="n">
        <v>46218</v>
      </c>
      <c r="AB56" s="33" t="n">
        <v>2600</v>
      </c>
      <c r="AC56" s="33" t="n">
        <v>151426800</v>
      </c>
      <c r="AD56" s="33" t="n">
        <v>702000000</v>
      </c>
      <c r="AE56" s="26"/>
      <c r="AF56" s="26" t="str">
        <f aca="false"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>소재 입고일정 확인 필요</v>
      </c>
      <c r="AG56" s="24" t="str">
        <f aca="false">IF($K56="","",IF(OR(LEFT($AF56,2)="작지",LEFT($AF56,4)="소재입고"),IF(LEFT($G56,1)="S","★ 납기위험(S코드)","◆ 지연주의"),IF($AF56="정상","✓ 정상","? 확인필요")))</f>
        <v>? 확인필요</v>
      </c>
      <c r="AH56" s="27"/>
      <c r="AI56" s="34"/>
    </row>
    <row r="57" customFormat="false" ht="15" hidden="false" customHeight="false" outlineLevel="0" collapsed="false">
      <c r="A57" s="24" t="n">
        <v>53</v>
      </c>
      <c r="B57" s="25" t="s">
        <v>327</v>
      </c>
      <c r="C57" s="25" t="s">
        <v>328</v>
      </c>
      <c r="D57" s="26" t="s">
        <v>329</v>
      </c>
      <c r="E57" s="25" t="s">
        <v>330</v>
      </c>
      <c r="F57" s="26" t="s">
        <v>331</v>
      </c>
      <c r="G57" s="24" t="str">
        <f aca="false">IF($D57="","",IF(MID($D57,5,1)="S","S(봄)",IF(MID($D57,5,1)="M","M(여름)",IF(MID($D57,5,1)="X","X(사계절)",MID($D57,5,1)))))</f>
        <v>S(봄)</v>
      </c>
      <c r="H57" s="26" t="s">
        <v>255</v>
      </c>
      <c r="I57" s="24" t="s">
        <v>332</v>
      </c>
      <c r="J57" s="27" t="s">
        <v>182</v>
      </c>
      <c r="K57" s="28" t="n">
        <f aca="false">IF($J57="","",IFERROR(DATE(IF(VALUE(LEFT($J57,FIND("월",$J57)-1))&gt;=9,기준정보!$C$7-1,기준정보!$C$7),VALUE(LEFT($J57,FIND("월",$J57)-1)),1+7*(VALUE(SUBSTITUTE(MID($J57,FIND("월",$J57)+1,5),"주",""))-1)),""))</f>
        <v>46402</v>
      </c>
      <c r="L57" s="28" t="n">
        <f aca="false">IF($K57="","",IF(AND($K57-기준정보!$C$5&gt;=기준정보!$C$10,$K57-기준정보!$C$5&lt;=기준정보!$C$11),기준정보!$C$10-1,$K57-기준정보!$C$5))</f>
        <v>46388</v>
      </c>
      <c r="M57" s="29" t="n">
        <f aca="false"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>0</v>
      </c>
      <c r="N57" s="28" t="n">
        <f aca="false">IF($L57="","",$L57-기준정보!$C$6-$M57)</f>
        <v>46298</v>
      </c>
      <c r="O57" s="30" t="n">
        <f aca="false">IF($N57="","",$N57-기준정보!$C$4)</f>
        <v>45</v>
      </c>
      <c r="P57" s="27"/>
      <c r="Q57" s="27" t="s">
        <v>100</v>
      </c>
      <c r="R57" s="27" t="s">
        <v>100</v>
      </c>
      <c r="S57" s="31"/>
      <c r="T57" s="26" t="str">
        <f aca="false">IF($H57="","",IF(AND(ISNUMBER(SEARCH("CMT",$H57)),OR(ISNUMBER(SEARCH("완사입",$H57)),ISNUMBER(SEARCH("ODM",$H57)))),"본사/생산처 혼재",IF(ISNUMBER(SEARCH("CMT",$H57)),"본사(소재팀)","생산처")))</f>
        <v>본사(소재팀)</v>
      </c>
      <c r="U57" s="25" t="s">
        <v>126</v>
      </c>
      <c r="V57" s="25" t="s">
        <v>126</v>
      </c>
      <c r="W57" s="25" t="s">
        <v>103</v>
      </c>
      <c r="X57" s="26" t="s">
        <v>333</v>
      </c>
      <c r="Y57" s="32" t="s">
        <v>334</v>
      </c>
      <c r="Z57" s="32"/>
      <c r="AA57" s="28" t="n">
        <v>46184</v>
      </c>
      <c r="AB57" s="33" t="n">
        <v>2500</v>
      </c>
      <c r="AC57" s="33" t="n">
        <v>104250000</v>
      </c>
      <c r="AD57" s="33" t="n">
        <v>495000000</v>
      </c>
      <c r="AE57" s="26"/>
      <c r="AF57" s="26" t="str">
        <f aca="false"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>소재 입고일정 확인 필요</v>
      </c>
      <c r="AG57" s="24" t="str">
        <f aca="false">IF($K57="","",IF(OR(LEFT($AF57,2)="작지",LEFT($AF57,4)="소재입고"),IF(LEFT($G57,1)="S","★ 납기위험(S코드)","◆ 지연주의"),IF($AF57="정상","✓ 정상","? 확인필요")))</f>
        <v>? 확인필요</v>
      </c>
      <c r="AH57" s="27"/>
      <c r="AI57" s="34"/>
    </row>
    <row r="58" customFormat="false" ht="15" hidden="false" customHeight="false" outlineLevel="0" collapsed="false">
      <c r="A58" s="24" t="n">
        <v>54</v>
      </c>
      <c r="B58" s="25" t="s">
        <v>327</v>
      </c>
      <c r="C58" s="25" t="s">
        <v>328</v>
      </c>
      <c r="D58" s="26" t="s">
        <v>335</v>
      </c>
      <c r="E58" s="25" t="s">
        <v>336</v>
      </c>
      <c r="F58" s="26" t="s">
        <v>337</v>
      </c>
      <c r="G58" s="24" t="str">
        <f aca="false">IF($D58="","",IF(MID($D58,5,1)="S","S(봄)",IF(MID($D58,5,1)="M","M(여름)",IF(MID($D58,5,1)="X","X(사계절)",MID($D58,5,1)))))</f>
        <v>S(봄)</v>
      </c>
      <c r="H58" s="26" t="s">
        <v>255</v>
      </c>
      <c r="I58" s="24" t="s">
        <v>332</v>
      </c>
      <c r="J58" s="27" t="s">
        <v>182</v>
      </c>
      <c r="K58" s="28" t="n">
        <f aca="false">IF($J58="","",IFERROR(DATE(IF(VALUE(LEFT($J58,FIND("월",$J58)-1))&gt;=9,기준정보!$C$7-1,기준정보!$C$7),VALUE(LEFT($J58,FIND("월",$J58)-1)),1+7*(VALUE(SUBSTITUTE(MID($J58,FIND("월",$J58)+1,5),"주",""))-1)),""))</f>
        <v>46402</v>
      </c>
      <c r="L58" s="28" t="n">
        <f aca="false">IF($K58="","",IF(AND($K58-기준정보!$C$5&gt;=기준정보!$C$10,$K58-기준정보!$C$5&lt;=기준정보!$C$11),기준정보!$C$10-1,$K58-기준정보!$C$5))</f>
        <v>46388</v>
      </c>
      <c r="M58" s="29" t="n">
        <f aca="false"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>0</v>
      </c>
      <c r="N58" s="28" t="n">
        <f aca="false">IF($L58="","",$L58-기준정보!$C$6-$M58)</f>
        <v>46298</v>
      </c>
      <c r="O58" s="30" t="n">
        <f aca="false">IF($N58="","",$N58-기준정보!$C$4)</f>
        <v>45</v>
      </c>
      <c r="P58" s="27"/>
      <c r="Q58" s="27" t="s">
        <v>100</v>
      </c>
      <c r="R58" s="27" t="s">
        <v>100</v>
      </c>
      <c r="S58" s="31"/>
      <c r="T58" s="26" t="str">
        <f aca="false">IF($H58="","",IF(AND(ISNUMBER(SEARCH("CMT",$H58)),OR(ISNUMBER(SEARCH("완사입",$H58)),ISNUMBER(SEARCH("ODM",$H58)))),"본사/생산처 혼재",IF(ISNUMBER(SEARCH("CMT",$H58)),"본사(소재팀)","생산처")))</f>
        <v>본사(소재팀)</v>
      </c>
      <c r="U58" s="26" t="s">
        <v>235</v>
      </c>
      <c r="V58" s="26" t="s">
        <v>235</v>
      </c>
      <c r="W58" s="25" t="s">
        <v>103</v>
      </c>
      <c r="X58" s="26" t="s">
        <v>235</v>
      </c>
      <c r="Y58" s="32" t="s">
        <v>338</v>
      </c>
      <c r="Z58" s="32"/>
      <c r="AA58" s="28" t="n">
        <v>46217</v>
      </c>
      <c r="AB58" s="33" t="n">
        <v>1400</v>
      </c>
      <c r="AC58" s="33" t="n">
        <v>54159000</v>
      </c>
      <c r="AD58" s="33" t="n">
        <v>277200000</v>
      </c>
      <c r="AE58" s="26"/>
      <c r="AF58" s="26" t="str">
        <f aca="false"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>소재 입고일정 확인 필요</v>
      </c>
      <c r="AG58" s="24" t="str">
        <f aca="false">IF($K58="","",IF(OR(LEFT($AF58,2)="작지",LEFT($AF58,4)="소재입고"),IF(LEFT($G58,1)="S","★ 납기위험(S코드)","◆ 지연주의"),IF($AF58="정상","✓ 정상","? 확인필요")))</f>
        <v>? 확인필요</v>
      </c>
      <c r="AH58" s="27"/>
      <c r="AI58" s="34"/>
    </row>
    <row r="59" customFormat="false" ht="15" hidden="false" customHeight="false" outlineLevel="0" collapsed="false">
      <c r="A59" s="24" t="n">
        <v>55</v>
      </c>
      <c r="B59" s="25" t="s">
        <v>327</v>
      </c>
      <c r="C59" s="25" t="s">
        <v>309</v>
      </c>
      <c r="D59" s="26" t="s">
        <v>339</v>
      </c>
      <c r="E59" s="25" t="s">
        <v>340</v>
      </c>
      <c r="F59" s="26" t="s">
        <v>331</v>
      </c>
      <c r="G59" s="24" t="str">
        <f aca="false">IF($D59="","",IF(MID($D59,5,1)="S","S(봄)",IF(MID($D59,5,1)="M","M(여름)",IF(MID($D59,5,1)="X","X(사계절)",MID($D59,5,1)))))</f>
        <v>S(봄)</v>
      </c>
      <c r="H59" s="25" t="s">
        <v>97</v>
      </c>
      <c r="I59" s="24" t="s">
        <v>332</v>
      </c>
      <c r="J59" s="27" t="s">
        <v>182</v>
      </c>
      <c r="K59" s="28" t="n">
        <f aca="false">IF($J59="","",IFERROR(DATE(IF(VALUE(LEFT($J59,FIND("월",$J59)-1))&gt;=9,기준정보!$C$7-1,기준정보!$C$7),VALUE(LEFT($J59,FIND("월",$J59)-1)),1+7*(VALUE(SUBSTITUTE(MID($J59,FIND("월",$J59)+1,5),"주",""))-1)),""))</f>
        <v>46402</v>
      </c>
      <c r="L59" s="28" t="n">
        <f aca="false">IF($K59="","",IF(AND($K59-기준정보!$C$5&gt;=기준정보!$C$10,$K59-기준정보!$C$5&lt;=기준정보!$C$11),기준정보!$C$10-1,$K59-기준정보!$C$5))</f>
        <v>46388</v>
      </c>
      <c r="M59" s="29" t="n">
        <f aca="false"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>0</v>
      </c>
      <c r="N59" s="28" t="n">
        <f aca="false">IF($L59="","",$L59-기준정보!$C$6-$M59)</f>
        <v>46298</v>
      </c>
      <c r="O59" s="30" t="n">
        <f aca="false">IF($N59="","",$N59-기준정보!$C$4)</f>
        <v>45</v>
      </c>
      <c r="P59" s="27"/>
      <c r="Q59" s="27" t="s">
        <v>100</v>
      </c>
      <c r="R59" s="27" t="s">
        <v>100</v>
      </c>
      <c r="S59" s="31"/>
      <c r="T59" s="26" t="str">
        <f aca="false">IF($H59="","",IF(AND(ISNUMBER(SEARCH("CMT",$H59)),OR(ISNUMBER(SEARCH("완사입",$H59)),ISNUMBER(SEARCH("ODM",$H59)))),"본사/생산처 혼재",IF(ISNUMBER(SEARCH("CMT",$H59)),"본사(소재팀)","생산처")))</f>
        <v>생산처</v>
      </c>
      <c r="U59" s="25" t="s">
        <v>324</v>
      </c>
      <c r="V59" s="25" t="s">
        <v>324</v>
      </c>
      <c r="W59" s="25" t="s">
        <v>103</v>
      </c>
      <c r="X59" s="26" t="s">
        <v>314</v>
      </c>
      <c r="Y59" s="32" t="s">
        <v>315</v>
      </c>
      <c r="Z59" s="32"/>
      <c r="AA59" s="28" t="n">
        <v>46197</v>
      </c>
      <c r="AB59" s="33" t="n">
        <v>2200</v>
      </c>
      <c r="AC59" s="33" t="n">
        <v>160008200</v>
      </c>
      <c r="AD59" s="33" t="n">
        <v>704000000</v>
      </c>
      <c r="AE59" s="26"/>
      <c r="AF59" s="26" t="str">
        <f aca="false"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>소재 입고일정 확인 필요</v>
      </c>
      <c r="AG59" s="24" t="str">
        <f aca="false">IF($K59="","",IF(OR(LEFT($AF59,2)="작지",LEFT($AF59,4)="소재입고"),IF(LEFT($G59,1)="S","★ 납기위험(S코드)","◆ 지연주의"),IF($AF59="정상","✓ 정상","? 확인필요")))</f>
        <v>? 확인필요</v>
      </c>
      <c r="AH59" s="27"/>
      <c r="AI59" s="34"/>
    </row>
    <row r="60" customFormat="false" ht="15" hidden="false" customHeight="false" outlineLevel="0" collapsed="false">
      <c r="A60" s="24" t="n">
        <v>56</v>
      </c>
      <c r="B60" s="25" t="s">
        <v>242</v>
      </c>
      <c r="C60" s="25" t="s">
        <v>309</v>
      </c>
      <c r="D60" s="26" t="s">
        <v>341</v>
      </c>
      <c r="E60" s="25" t="s">
        <v>342</v>
      </c>
      <c r="F60" s="26" t="s">
        <v>343</v>
      </c>
      <c r="G60" s="24" t="str">
        <f aca="false">IF($D60="","",IF(MID($D60,5,1)="S","S(봄)",IF(MID($D60,5,1)="M","M(여름)",IF(MID($D60,5,1)="X","X(사계절)",MID($D60,5,1)))))</f>
        <v>S(봄)</v>
      </c>
      <c r="H60" s="25" t="s">
        <v>97</v>
      </c>
      <c r="I60" s="24"/>
      <c r="J60" s="27" t="s">
        <v>182</v>
      </c>
      <c r="K60" s="28" t="n">
        <f aca="false">IF($J60="","",IFERROR(DATE(IF(VALUE(LEFT($J60,FIND("월",$J60)-1))&gt;=9,기준정보!$C$7-1,기준정보!$C$7),VALUE(LEFT($J60,FIND("월",$J60)-1)),1+7*(VALUE(SUBSTITUTE(MID($J60,FIND("월",$J60)+1,5),"주",""))-1)),""))</f>
        <v>46402</v>
      </c>
      <c r="L60" s="28" t="n">
        <f aca="false">IF($K60="","",IF(AND($K60-기준정보!$C$5&gt;=기준정보!$C$10,$K60-기준정보!$C$5&lt;=기준정보!$C$11),기준정보!$C$10-1,$K60-기준정보!$C$5))</f>
        <v>46388</v>
      </c>
      <c r="M60" s="29" t="n">
        <f aca="false"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>0</v>
      </c>
      <c r="N60" s="28" t="n">
        <f aca="false">IF($L60="","",$L60-기준정보!$C$6-$M60)</f>
        <v>46298</v>
      </c>
      <c r="O60" s="30" t="n">
        <f aca="false">IF($N60="","",$N60-기준정보!$C$4)</f>
        <v>45</v>
      </c>
      <c r="P60" s="27"/>
      <c r="Q60" s="27" t="s">
        <v>100</v>
      </c>
      <c r="R60" s="27" t="s">
        <v>101</v>
      </c>
      <c r="S60" s="31"/>
      <c r="T60" s="26" t="str">
        <f aca="false">IF($H60="","",IF(AND(ISNUMBER(SEARCH("CMT",$H60)),OR(ISNUMBER(SEARCH("완사입",$H60)),ISNUMBER(SEARCH("ODM",$H60)))),"본사/생산처 혼재",IF(ISNUMBER(SEARCH("CMT",$H60)),"본사(소재팀)","생산처")))</f>
        <v>생산처</v>
      </c>
      <c r="U60" s="25" t="s">
        <v>324</v>
      </c>
      <c r="V60" s="25" t="s">
        <v>324</v>
      </c>
      <c r="W60" s="26"/>
      <c r="X60" s="25" t="s">
        <v>344</v>
      </c>
      <c r="Y60" s="35" t="s">
        <v>345</v>
      </c>
      <c r="Z60" s="32"/>
      <c r="AA60" s="28"/>
      <c r="AB60" s="33" t="n">
        <v>3000</v>
      </c>
      <c r="AC60" s="33" t="n">
        <v>165927000</v>
      </c>
      <c r="AD60" s="33" t="n">
        <v>810000000</v>
      </c>
      <c r="AE60" s="26" t="s">
        <v>182</v>
      </c>
      <c r="AF60" s="26" t="str">
        <f aca="false"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>소재 입고일정 확인 필요</v>
      </c>
      <c r="AG60" s="24" t="str">
        <f aca="false">IF($K60="","",IF(OR(LEFT($AF60,2)="작지",LEFT($AF60,4)="소재입고"),IF(LEFT($G60,1)="S","★ 납기위험(S코드)","◆ 지연주의"),IF($AF60="정상","✓ 정상","? 확인필요")))</f>
        <v>? 확인필요</v>
      </c>
      <c r="AH60" s="27"/>
      <c r="AI60" s="34"/>
    </row>
    <row r="61" customFormat="false" ht="15" hidden="false" customHeight="false" outlineLevel="0" collapsed="false">
      <c r="A61" s="24" t="n">
        <v>57</v>
      </c>
      <c r="B61" s="25" t="s">
        <v>327</v>
      </c>
      <c r="C61" s="25" t="s">
        <v>309</v>
      </c>
      <c r="D61" s="26" t="s">
        <v>346</v>
      </c>
      <c r="E61" s="25" t="s">
        <v>347</v>
      </c>
      <c r="F61" s="26" t="s">
        <v>348</v>
      </c>
      <c r="G61" s="24" t="str">
        <f aca="false">IF($D61="","",IF(MID($D61,5,1)="S","S(봄)",IF(MID($D61,5,1)="M","M(여름)",IF(MID($D61,5,1)="X","X(사계절)",MID($D61,5,1)))))</f>
        <v>S(봄)</v>
      </c>
      <c r="H61" s="25" t="s">
        <v>97</v>
      </c>
      <c r="I61" s="24" t="s">
        <v>332</v>
      </c>
      <c r="J61" s="27" t="s">
        <v>182</v>
      </c>
      <c r="K61" s="28" t="n">
        <f aca="false">IF($J61="","",IFERROR(DATE(IF(VALUE(LEFT($J61,FIND("월",$J61)-1))&gt;=9,기준정보!$C$7-1,기준정보!$C$7),VALUE(LEFT($J61,FIND("월",$J61)-1)),1+7*(VALUE(SUBSTITUTE(MID($J61,FIND("월",$J61)+1,5),"주",""))-1)),""))</f>
        <v>46402</v>
      </c>
      <c r="L61" s="28" t="n">
        <f aca="false">IF($K61="","",IF(AND($K61-기준정보!$C$5&gt;=기준정보!$C$10,$K61-기준정보!$C$5&lt;=기준정보!$C$11),기준정보!$C$10-1,$K61-기준정보!$C$5))</f>
        <v>46388</v>
      </c>
      <c r="M61" s="29" t="n">
        <f aca="false"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>0</v>
      </c>
      <c r="N61" s="28" t="n">
        <f aca="false">IF($L61="","",$L61-기준정보!$C$6-$M61)</f>
        <v>46298</v>
      </c>
      <c r="O61" s="30" t="n">
        <f aca="false">IF($N61="","",$N61-기준정보!$C$4)</f>
        <v>45</v>
      </c>
      <c r="P61" s="27"/>
      <c r="Q61" s="27" t="s">
        <v>100</v>
      </c>
      <c r="R61" s="27" t="s">
        <v>100</v>
      </c>
      <c r="S61" s="31"/>
      <c r="T61" s="26" t="str">
        <f aca="false">IF($H61="","",IF(AND(ISNUMBER(SEARCH("CMT",$H61)),OR(ISNUMBER(SEARCH("완사입",$H61)),ISNUMBER(SEARCH("ODM",$H61)))),"본사/생산처 혼재",IF(ISNUMBER(SEARCH("CMT",$H61)),"본사(소재팀)","생산처")))</f>
        <v>생산처</v>
      </c>
      <c r="U61" s="25" t="s">
        <v>102</v>
      </c>
      <c r="V61" s="25" t="s">
        <v>102</v>
      </c>
      <c r="W61" s="25" t="s">
        <v>103</v>
      </c>
      <c r="X61" s="26" t="s">
        <v>314</v>
      </c>
      <c r="Y61" s="32" t="s">
        <v>319</v>
      </c>
      <c r="Z61" s="32"/>
      <c r="AA61" s="28" t="n">
        <v>46202</v>
      </c>
      <c r="AB61" s="33" t="n">
        <v>2500</v>
      </c>
      <c r="AC61" s="33" t="n">
        <v>239177500</v>
      </c>
      <c r="AD61" s="33" t="n">
        <v>975000000</v>
      </c>
      <c r="AE61" s="26"/>
      <c r="AF61" s="26" t="str">
        <f aca="false"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>소재 입고일정 확인 필요</v>
      </c>
      <c r="AG61" s="24" t="str">
        <f aca="false">IF($K61="","",IF(OR(LEFT($AF61,2)="작지",LEFT($AF61,4)="소재입고"),IF(LEFT($G61,1)="S","★ 납기위험(S코드)","◆ 지연주의"),IF($AF61="정상","✓ 정상","? 확인필요")))</f>
        <v>? 확인필요</v>
      </c>
      <c r="AH61" s="27"/>
      <c r="AI61" s="34"/>
    </row>
    <row r="62" customFormat="false" ht="15" hidden="false" customHeight="false" outlineLevel="0" collapsed="false">
      <c r="A62" s="24" t="n">
        <v>58</v>
      </c>
      <c r="B62" s="25" t="s">
        <v>327</v>
      </c>
      <c r="C62" s="25" t="s">
        <v>309</v>
      </c>
      <c r="D62" s="26" t="s">
        <v>349</v>
      </c>
      <c r="E62" s="25" t="s">
        <v>350</v>
      </c>
      <c r="F62" s="26" t="s">
        <v>351</v>
      </c>
      <c r="G62" s="24" t="str">
        <f aca="false">IF($D62="","",IF(MID($D62,5,1)="S","S(봄)",IF(MID($D62,5,1)="M","M(여름)",IF(MID($D62,5,1)="X","X(사계절)",MID($D62,5,1)))))</f>
        <v>S(봄)</v>
      </c>
      <c r="H62" s="25" t="s">
        <v>97</v>
      </c>
      <c r="I62" s="24" t="s">
        <v>98</v>
      </c>
      <c r="J62" s="27" t="s">
        <v>182</v>
      </c>
      <c r="K62" s="28" t="n">
        <f aca="false">IF($J62="","",IFERROR(DATE(IF(VALUE(LEFT($J62,FIND("월",$J62)-1))&gt;=9,기준정보!$C$7-1,기준정보!$C$7),VALUE(LEFT($J62,FIND("월",$J62)-1)),1+7*(VALUE(SUBSTITUTE(MID($J62,FIND("월",$J62)+1,5),"주",""))-1)),""))</f>
        <v>46402</v>
      </c>
      <c r="L62" s="28" t="n">
        <f aca="false">IF($K62="","",IF(AND($K62-기준정보!$C$5&gt;=기준정보!$C$10,$K62-기준정보!$C$5&lt;=기준정보!$C$11),기준정보!$C$10-1,$K62-기준정보!$C$5))</f>
        <v>46388</v>
      </c>
      <c r="M62" s="29" t="n">
        <f aca="false"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>0</v>
      </c>
      <c r="N62" s="28" t="n">
        <f aca="false">IF($L62="","",$L62-기준정보!$C$6-$M62)</f>
        <v>46298</v>
      </c>
      <c r="O62" s="30" t="n">
        <f aca="false">IF($N62="","",$N62-기준정보!$C$4)</f>
        <v>45</v>
      </c>
      <c r="P62" s="27"/>
      <c r="Q62" s="27" t="s">
        <v>100</v>
      </c>
      <c r="R62" s="27" t="s">
        <v>100</v>
      </c>
      <c r="S62" s="31"/>
      <c r="T62" s="26" t="str">
        <f aca="false">IF($H62="","",IF(AND(ISNUMBER(SEARCH("CMT",$H62)),OR(ISNUMBER(SEARCH("완사입",$H62)),ISNUMBER(SEARCH("ODM",$H62)))),"본사/생산처 혼재",IF(ISNUMBER(SEARCH("CMT",$H62)),"본사(소재팀)","생산처")))</f>
        <v>생산처</v>
      </c>
      <c r="U62" s="25" t="s">
        <v>313</v>
      </c>
      <c r="V62" s="25" t="s">
        <v>313</v>
      </c>
      <c r="W62" s="25" t="s">
        <v>103</v>
      </c>
      <c r="X62" s="26" t="s">
        <v>314</v>
      </c>
      <c r="Y62" s="32" t="s">
        <v>319</v>
      </c>
      <c r="Z62" s="32"/>
      <c r="AA62" s="28" t="n">
        <v>46224</v>
      </c>
      <c r="AB62" s="33" t="n">
        <v>1800</v>
      </c>
      <c r="AC62" s="33" t="n">
        <v>160255800</v>
      </c>
      <c r="AD62" s="33" t="n">
        <v>702000000</v>
      </c>
      <c r="AE62" s="26"/>
      <c r="AF62" s="26" t="str">
        <f aca="false"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>소재 입고일정 확인 필요</v>
      </c>
      <c r="AG62" s="24" t="str">
        <f aca="false">IF($K62="","",IF(OR(LEFT($AF62,2)="작지",LEFT($AF62,4)="소재입고"),IF(LEFT($G62,1)="S","★ 납기위험(S코드)","◆ 지연주의"),IF($AF62="정상","✓ 정상","? 확인필요")))</f>
        <v>? 확인필요</v>
      </c>
      <c r="AH62" s="27"/>
      <c r="AI62" s="34"/>
    </row>
    <row r="63" customFormat="false" ht="15" hidden="false" customHeight="false" outlineLevel="0" collapsed="false">
      <c r="A63" s="24" t="n">
        <v>59</v>
      </c>
      <c r="B63" s="25" t="s">
        <v>327</v>
      </c>
      <c r="C63" s="25" t="s">
        <v>309</v>
      </c>
      <c r="D63" s="26" t="s">
        <v>352</v>
      </c>
      <c r="E63" s="25" t="s">
        <v>353</v>
      </c>
      <c r="F63" s="26" t="s">
        <v>354</v>
      </c>
      <c r="G63" s="24" t="str">
        <f aca="false">IF($D63="","",IF(MID($D63,5,1)="S","S(봄)",IF(MID($D63,5,1)="M","M(여름)",IF(MID($D63,5,1)="X","X(사계절)",MID($D63,5,1)))))</f>
        <v>S(봄)</v>
      </c>
      <c r="H63" s="25" t="s">
        <v>97</v>
      </c>
      <c r="I63" s="24" t="s">
        <v>98</v>
      </c>
      <c r="J63" s="27" t="s">
        <v>182</v>
      </c>
      <c r="K63" s="28" t="n">
        <f aca="false">IF($J63="","",IFERROR(DATE(IF(VALUE(LEFT($J63,FIND("월",$J63)-1))&gt;=9,기준정보!$C$7-1,기준정보!$C$7),VALUE(LEFT($J63,FIND("월",$J63)-1)),1+7*(VALUE(SUBSTITUTE(MID($J63,FIND("월",$J63)+1,5),"주",""))-1)),""))</f>
        <v>46402</v>
      </c>
      <c r="L63" s="28" t="n">
        <f aca="false">IF($K63="","",IF(AND($K63-기준정보!$C$5&gt;=기준정보!$C$10,$K63-기준정보!$C$5&lt;=기준정보!$C$11),기준정보!$C$10-1,$K63-기준정보!$C$5))</f>
        <v>46388</v>
      </c>
      <c r="M63" s="29" t="n">
        <f aca="false"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>0</v>
      </c>
      <c r="N63" s="28" t="n">
        <f aca="false">IF($L63="","",$L63-기준정보!$C$6-$M63)</f>
        <v>46298</v>
      </c>
      <c r="O63" s="30" t="n">
        <f aca="false">IF($N63="","",$N63-기준정보!$C$4)</f>
        <v>45</v>
      </c>
      <c r="P63" s="27"/>
      <c r="Q63" s="27" t="s">
        <v>100</v>
      </c>
      <c r="R63" s="27" t="s">
        <v>100</v>
      </c>
      <c r="S63" s="31"/>
      <c r="T63" s="26" t="str">
        <f aca="false">IF($H63="","",IF(AND(ISNUMBER(SEARCH("CMT",$H63)),OR(ISNUMBER(SEARCH("완사입",$H63)),ISNUMBER(SEARCH("ODM",$H63)))),"본사/생산처 혼재",IF(ISNUMBER(SEARCH("CMT",$H63)),"본사(소재팀)","생산처")))</f>
        <v>생산처</v>
      </c>
      <c r="U63" s="25" t="s">
        <v>324</v>
      </c>
      <c r="V63" s="25" t="s">
        <v>324</v>
      </c>
      <c r="W63" s="25" t="s">
        <v>103</v>
      </c>
      <c r="X63" s="25" t="s">
        <v>355</v>
      </c>
      <c r="Y63" s="35" t="s">
        <v>356</v>
      </c>
      <c r="Z63" s="32"/>
      <c r="AA63" s="28" t="n">
        <v>46217</v>
      </c>
      <c r="AB63" s="33" t="n">
        <v>4000</v>
      </c>
      <c r="AC63" s="33" t="n">
        <v>223356000</v>
      </c>
      <c r="AD63" s="33" t="n">
        <v>1160000000</v>
      </c>
      <c r="AE63" s="26"/>
      <c r="AF63" s="26" t="str">
        <f aca="false"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>소재 입고일정 확인 필요</v>
      </c>
      <c r="AG63" s="24" t="str">
        <f aca="false">IF($K63="","",IF(OR(LEFT($AF63,2)="작지",LEFT($AF63,4)="소재입고"),IF(LEFT($G63,1)="S","★ 납기위험(S코드)","◆ 지연주의"),IF($AF63="정상","✓ 정상","? 확인필요")))</f>
        <v>? 확인필요</v>
      </c>
      <c r="AH63" s="27"/>
      <c r="AI63" s="34"/>
    </row>
    <row r="64" customFormat="false" ht="15" hidden="false" customHeight="false" outlineLevel="0" collapsed="false">
      <c r="A64" s="24" t="n">
        <v>60</v>
      </c>
      <c r="B64" s="25" t="s">
        <v>327</v>
      </c>
      <c r="C64" s="25" t="s">
        <v>309</v>
      </c>
      <c r="D64" s="26" t="s">
        <v>357</v>
      </c>
      <c r="E64" s="25" t="s">
        <v>358</v>
      </c>
      <c r="F64" s="26" t="s">
        <v>359</v>
      </c>
      <c r="G64" s="24" t="str">
        <f aca="false">IF($D64="","",IF(MID($D64,5,1)="S","S(봄)",IF(MID($D64,5,1)="M","M(여름)",IF(MID($D64,5,1)="X","X(사계절)",MID($D64,5,1)))))</f>
        <v>S(봄)</v>
      </c>
      <c r="H64" s="25" t="s">
        <v>97</v>
      </c>
      <c r="I64" s="24" t="s">
        <v>98</v>
      </c>
      <c r="J64" s="27" t="s">
        <v>182</v>
      </c>
      <c r="K64" s="28" t="n">
        <f aca="false">IF($J64="","",IFERROR(DATE(IF(VALUE(LEFT($J64,FIND("월",$J64)-1))&gt;=9,기준정보!$C$7-1,기준정보!$C$7),VALUE(LEFT($J64,FIND("월",$J64)-1)),1+7*(VALUE(SUBSTITUTE(MID($J64,FIND("월",$J64)+1,5),"주",""))-1)),""))</f>
        <v>46402</v>
      </c>
      <c r="L64" s="28" t="n">
        <f aca="false">IF($K64="","",IF(AND($K64-기준정보!$C$5&gt;=기준정보!$C$10,$K64-기준정보!$C$5&lt;=기준정보!$C$11),기준정보!$C$10-1,$K64-기준정보!$C$5))</f>
        <v>46388</v>
      </c>
      <c r="M64" s="29" t="n">
        <f aca="false"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>0</v>
      </c>
      <c r="N64" s="28" t="n">
        <f aca="false">IF($L64="","",$L64-기준정보!$C$6-$M64)</f>
        <v>46298</v>
      </c>
      <c r="O64" s="30" t="n">
        <f aca="false">IF($N64="","",$N64-기준정보!$C$4)</f>
        <v>45</v>
      </c>
      <c r="P64" s="27"/>
      <c r="Q64" s="27" t="s">
        <v>100</v>
      </c>
      <c r="R64" s="27" t="s">
        <v>100</v>
      </c>
      <c r="S64" s="31"/>
      <c r="T64" s="26" t="str">
        <f aca="false">IF($H64="","",IF(AND(ISNUMBER(SEARCH("CMT",$H64)),OR(ISNUMBER(SEARCH("완사입",$H64)),ISNUMBER(SEARCH("ODM",$H64)))),"본사/생산처 혼재",IF(ISNUMBER(SEARCH("CMT",$H64)),"본사(소재팀)","생산처")))</f>
        <v>생산처</v>
      </c>
      <c r="U64" s="25" t="s">
        <v>324</v>
      </c>
      <c r="V64" s="25" t="s">
        <v>324</v>
      </c>
      <c r="W64" s="25" t="s">
        <v>103</v>
      </c>
      <c r="X64" s="25" t="s">
        <v>355</v>
      </c>
      <c r="Y64" s="35" t="s">
        <v>356</v>
      </c>
      <c r="Z64" s="32"/>
      <c r="AA64" s="28" t="n">
        <v>46202</v>
      </c>
      <c r="AB64" s="33" t="n">
        <v>2100</v>
      </c>
      <c r="AC64" s="33" t="n">
        <v>106062600</v>
      </c>
      <c r="AD64" s="33" t="n">
        <v>525000000</v>
      </c>
      <c r="AE64" s="26"/>
      <c r="AF64" s="26" t="str">
        <f aca="false"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>소재 입고일정 확인 필요</v>
      </c>
      <c r="AG64" s="24" t="str">
        <f aca="false">IF($K64="","",IF(OR(LEFT($AF64,2)="작지",LEFT($AF64,4)="소재입고"),IF(LEFT($G64,1)="S","★ 납기위험(S코드)","◆ 지연주의"),IF($AF64="정상","✓ 정상","? 확인필요")))</f>
        <v>? 확인필요</v>
      </c>
      <c r="AH64" s="27"/>
      <c r="AI64" s="34"/>
    </row>
    <row r="65" customFormat="false" ht="15" hidden="false" customHeight="false" outlineLevel="0" collapsed="false">
      <c r="A65" s="24" t="n">
        <v>61</v>
      </c>
      <c r="B65" s="25" t="s">
        <v>308</v>
      </c>
      <c r="C65" s="25" t="s">
        <v>320</v>
      </c>
      <c r="D65" s="26" t="s">
        <v>360</v>
      </c>
      <c r="E65" s="25" t="s">
        <v>361</v>
      </c>
      <c r="F65" s="26" t="s">
        <v>312</v>
      </c>
      <c r="G65" s="24" t="str">
        <f aca="false">IF($D65="","",IF(MID($D65,5,1)="S","S(봄)",IF(MID($D65,5,1)="M","M(여름)",IF(MID($D65,5,1)="X","X(사계절)",MID($D65,5,1)))))</f>
        <v>S(봄)</v>
      </c>
      <c r="H65" s="26" t="s">
        <v>255</v>
      </c>
      <c r="I65" s="24"/>
      <c r="J65" s="27" t="s">
        <v>182</v>
      </c>
      <c r="K65" s="28" t="n">
        <f aca="false">IF($J65="","",IFERROR(DATE(IF(VALUE(LEFT($J65,FIND("월",$J65)-1))&gt;=9,기준정보!$C$7-1,기준정보!$C$7),VALUE(LEFT($J65,FIND("월",$J65)-1)),1+7*(VALUE(SUBSTITUTE(MID($J65,FIND("월",$J65)+1,5),"주",""))-1)),""))</f>
        <v>46402</v>
      </c>
      <c r="L65" s="28" t="n">
        <f aca="false">IF($K65="","",IF(AND($K65-기준정보!$C$5&gt;=기준정보!$C$10,$K65-기준정보!$C$5&lt;=기준정보!$C$11),기준정보!$C$10-1,$K65-기준정보!$C$5))</f>
        <v>46388</v>
      </c>
      <c r="M65" s="29" t="n">
        <f aca="false"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>0</v>
      </c>
      <c r="N65" s="28" t="n">
        <f aca="false">IF($L65="","",$L65-기준정보!$C$6-$M65)</f>
        <v>46298</v>
      </c>
      <c r="O65" s="30" t="n">
        <f aca="false">IF($N65="","",$N65-기준정보!$C$4)</f>
        <v>45</v>
      </c>
      <c r="P65" s="27"/>
      <c r="Q65" s="27" t="s">
        <v>100</v>
      </c>
      <c r="R65" s="27" t="s">
        <v>100</v>
      </c>
      <c r="S65" s="31"/>
      <c r="T65" s="26" t="str">
        <f aca="false">IF($H65="","",IF(AND(ISNUMBER(SEARCH("CMT",$H65)),OR(ISNUMBER(SEARCH("완사입",$H65)),ISNUMBER(SEARCH("ODM",$H65)))),"본사/생산처 혼재",IF(ISNUMBER(SEARCH("CMT",$H65)),"본사(소재팀)","생산처")))</f>
        <v>본사(소재팀)</v>
      </c>
      <c r="U65" s="26" t="s">
        <v>183</v>
      </c>
      <c r="V65" s="26" t="s">
        <v>183</v>
      </c>
      <c r="W65" s="25" t="s">
        <v>103</v>
      </c>
      <c r="X65" s="26" t="s">
        <v>333</v>
      </c>
      <c r="Y65" s="32" t="s">
        <v>334</v>
      </c>
      <c r="Z65" s="32"/>
      <c r="AA65" s="28" t="n">
        <v>46184</v>
      </c>
      <c r="AB65" s="33" t="n">
        <v>2200</v>
      </c>
      <c r="AC65" s="33" t="n">
        <v>84143400</v>
      </c>
      <c r="AD65" s="33" t="n">
        <v>413600000</v>
      </c>
      <c r="AE65" s="26" t="s">
        <v>182</v>
      </c>
      <c r="AF65" s="26" t="str">
        <f aca="false"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>소재 입고일정 확인 필요</v>
      </c>
      <c r="AG65" s="24" t="str">
        <f aca="false">IF($K65="","",IF(OR(LEFT($AF65,2)="작지",LEFT($AF65,4)="소재입고"),IF(LEFT($G65,1)="S","★ 납기위험(S코드)","◆ 지연주의"),IF($AF65="정상","✓ 정상","? 확인필요")))</f>
        <v>? 확인필요</v>
      </c>
      <c r="AH65" s="27"/>
      <c r="AI65" s="34"/>
    </row>
    <row r="66" customFormat="false" ht="15" hidden="false" customHeight="false" outlineLevel="0" collapsed="false">
      <c r="A66" s="24" t="n">
        <v>62</v>
      </c>
      <c r="B66" s="25" t="s">
        <v>308</v>
      </c>
      <c r="C66" s="25" t="s">
        <v>320</v>
      </c>
      <c r="D66" s="26" t="s">
        <v>362</v>
      </c>
      <c r="E66" s="25" t="s">
        <v>363</v>
      </c>
      <c r="F66" s="26" t="s">
        <v>364</v>
      </c>
      <c r="G66" s="24" t="str">
        <f aca="false">IF($D66="","",IF(MID($D66,5,1)="S","S(봄)",IF(MID($D66,5,1)="M","M(여름)",IF(MID($D66,5,1)="X","X(사계절)",MID($D66,5,1)))))</f>
        <v>S(봄)</v>
      </c>
      <c r="H66" s="26" t="s">
        <v>255</v>
      </c>
      <c r="I66" s="24"/>
      <c r="J66" s="27" t="s">
        <v>182</v>
      </c>
      <c r="K66" s="28" t="n">
        <f aca="false">IF($J66="","",IFERROR(DATE(IF(VALUE(LEFT($J66,FIND("월",$J66)-1))&gt;=9,기준정보!$C$7-1,기준정보!$C$7),VALUE(LEFT($J66,FIND("월",$J66)-1)),1+7*(VALUE(SUBSTITUTE(MID($J66,FIND("월",$J66)+1,5),"주",""))-1)),""))</f>
        <v>46402</v>
      </c>
      <c r="L66" s="28" t="n">
        <f aca="false">IF($K66="","",IF(AND($K66-기준정보!$C$5&gt;=기준정보!$C$10,$K66-기준정보!$C$5&lt;=기준정보!$C$11),기준정보!$C$10-1,$K66-기준정보!$C$5))</f>
        <v>46388</v>
      </c>
      <c r="M66" s="29" t="n">
        <f aca="false"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>0</v>
      </c>
      <c r="N66" s="28" t="n">
        <f aca="false">IF($L66="","",$L66-기준정보!$C$6-$M66)</f>
        <v>46298</v>
      </c>
      <c r="O66" s="30" t="n">
        <f aca="false">IF($N66="","",$N66-기준정보!$C$4)</f>
        <v>45</v>
      </c>
      <c r="P66" s="27"/>
      <c r="Q66" s="27" t="s">
        <v>100</v>
      </c>
      <c r="R66" s="27" t="s">
        <v>100</v>
      </c>
      <c r="S66" s="31"/>
      <c r="T66" s="26" t="str">
        <f aca="false">IF($H66="","",IF(AND(ISNUMBER(SEARCH("CMT",$H66)),OR(ISNUMBER(SEARCH("완사입",$H66)),ISNUMBER(SEARCH("ODM",$H66)))),"본사/생산처 혼재",IF(ISNUMBER(SEARCH("CMT",$H66)),"본사(소재팀)","생산처")))</f>
        <v>본사(소재팀)</v>
      </c>
      <c r="U66" s="25" t="s">
        <v>126</v>
      </c>
      <c r="V66" s="25" t="s">
        <v>126</v>
      </c>
      <c r="W66" s="25" t="s">
        <v>103</v>
      </c>
      <c r="X66" s="26" t="s">
        <v>247</v>
      </c>
      <c r="Y66" s="32" t="s">
        <v>365</v>
      </c>
      <c r="Z66" s="32"/>
      <c r="AA66" s="28" t="n">
        <v>46224</v>
      </c>
      <c r="AB66" s="33" t="n">
        <v>1800</v>
      </c>
      <c r="AC66" s="33" t="n">
        <v>62686800</v>
      </c>
      <c r="AD66" s="33" t="n">
        <v>338400000</v>
      </c>
      <c r="AE66" s="26" t="s">
        <v>182</v>
      </c>
      <c r="AF66" s="26" t="str">
        <f aca="false"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>소재 입고일정 확인 필요</v>
      </c>
      <c r="AG66" s="24" t="str">
        <f aca="false">IF($K66="","",IF(OR(LEFT($AF66,2)="작지",LEFT($AF66,4)="소재입고"),IF(LEFT($G66,1)="S","★ 납기위험(S코드)","◆ 지연주의"),IF($AF66="정상","✓ 정상","? 확인필요")))</f>
        <v>? 확인필요</v>
      </c>
      <c r="AH66" s="27"/>
      <c r="AI66" s="34"/>
    </row>
    <row r="67" customFormat="false" ht="15" hidden="false" customHeight="false" outlineLevel="0" collapsed="false">
      <c r="A67" s="24" t="n">
        <v>63</v>
      </c>
      <c r="B67" s="25" t="s">
        <v>308</v>
      </c>
      <c r="C67" s="25" t="s">
        <v>320</v>
      </c>
      <c r="D67" s="26" t="s">
        <v>366</v>
      </c>
      <c r="E67" s="25" t="s">
        <v>367</v>
      </c>
      <c r="F67" s="26" t="s">
        <v>312</v>
      </c>
      <c r="G67" s="24" t="str">
        <f aca="false">IF($D67="","",IF(MID($D67,5,1)="S","S(봄)",IF(MID($D67,5,1)="M","M(여름)",IF(MID($D67,5,1)="X","X(사계절)",MID($D67,5,1)))))</f>
        <v>S(봄)</v>
      </c>
      <c r="H67" s="26" t="s">
        <v>255</v>
      </c>
      <c r="I67" s="24"/>
      <c r="J67" s="27" t="s">
        <v>182</v>
      </c>
      <c r="K67" s="28" t="n">
        <f aca="false">IF($J67="","",IFERROR(DATE(IF(VALUE(LEFT($J67,FIND("월",$J67)-1))&gt;=9,기준정보!$C$7-1,기준정보!$C$7),VALUE(LEFT($J67,FIND("월",$J67)-1)),1+7*(VALUE(SUBSTITUTE(MID($J67,FIND("월",$J67)+1,5),"주",""))-1)),""))</f>
        <v>46402</v>
      </c>
      <c r="L67" s="28" t="n">
        <f aca="false">IF($K67="","",IF(AND($K67-기준정보!$C$5&gt;=기준정보!$C$10,$K67-기준정보!$C$5&lt;=기준정보!$C$11),기준정보!$C$10-1,$K67-기준정보!$C$5))</f>
        <v>46388</v>
      </c>
      <c r="M67" s="29" t="n">
        <f aca="false"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>0</v>
      </c>
      <c r="N67" s="28" t="n">
        <f aca="false">IF($L67="","",$L67-기준정보!$C$6-$M67)</f>
        <v>46298</v>
      </c>
      <c r="O67" s="30" t="n">
        <f aca="false">IF($N67="","",$N67-기준정보!$C$4)</f>
        <v>45</v>
      </c>
      <c r="P67" s="27"/>
      <c r="Q67" s="27" t="s">
        <v>100</v>
      </c>
      <c r="R67" s="27" t="s">
        <v>100</v>
      </c>
      <c r="S67" s="31"/>
      <c r="T67" s="26" t="str">
        <f aca="false">IF($H67="","",IF(AND(ISNUMBER(SEARCH("CMT",$H67)),OR(ISNUMBER(SEARCH("완사입",$H67)),ISNUMBER(SEARCH("ODM",$H67)))),"본사/생산처 혼재",IF(ISNUMBER(SEARCH("CMT",$H67)),"본사(소재팀)","생산처")))</f>
        <v>본사(소재팀)</v>
      </c>
      <c r="U67" s="26" t="s">
        <v>280</v>
      </c>
      <c r="V67" s="26" t="s">
        <v>280</v>
      </c>
      <c r="W67" s="25" t="s">
        <v>103</v>
      </c>
      <c r="X67" s="26" t="s">
        <v>247</v>
      </c>
      <c r="Y67" s="32" t="s">
        <v>365</v>
      </c>
      <c r="Z67" s="32"/>
      <c r="AA67" s="28" t="n">
        <v>46202</v>
      </c>
      <c r="AB67" s="33" t="n">
        <v>1800</v>
      </c>
      <c r="AC67" s="33" t="n">
        <v>55549800</v>
      </c>
      <c r="AD67" s="33" t="n">
        <v>320400000</v>
      </c>
      <c r="AE67" s="26" t="s">
        <v>182</v>
      </c>
      <c r="AF67" s="26" t="str">
        <f aca="false"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>소재 입고일정 확인 필요</v>
      </c>
      <c r="AG67" s="24" t="str">
        <f aca="false">IF($K67="","",IF(OR(LEFT($AF67,2)="작지",LEFT($AF67,4)="소재입고"),IF(LEFT($G67,1)="S","★ 납기위험(S코드)","◆ 지연주의"),IF($AF67="정상","✓ 정상","? 확인필요")))</f>
        <v>? 확인필요</v>
      </c>
      <c r="AH67" s="27"/>
      <c r="AI67" s="34"/>
    </row>
    <row r="68" customFormat="false" ht="15" hidden="false" customHeight="false" outlineLevel="0" collapsed="false">
      <c r="A68" s="24" t="n">
        <v>64</v>
      </c>
      <c r="B68" s="25" t="s">
        <v>308</v>
      </c>
      <c r="C68" s="25" t="s">
        <v>320</v>
      </c>
      <c r="D68" s="26" t="s">
        <v>368</v>
      </c>
      <c r="E68" s="25" t="s">
        <v>369</v>
      </c>
      <c r="F68" s="26" t="s">
        <v>370</v>
      </c>
      <c r="G68" s="24" t="str">
        <f aca="false">IF($D68="","",IF(MID($D68,5,1)="S","S(봄)",IF(MID($D68,5,1)="M","M(여름)",IF(MID($D68,5,1)="X","X(사계절)",MID($D68,5,1)))))</f>
        <v>S(봄)</v>
      </c>
      <c r="H68" s="26" t="s">
        <v>255</v>
      </c>
      <c r="I68" s="24"/>
      <c r="J68" s="27" t="s">
        <v>182</v>
      </c>
      <c r="K68" s="28" t="n">
        <f aca="false">IF($J68="","",IFERROR(DATE(IF(VALUE(LEFT($J68,FIND("월",$J68)-1))&gt;=9,기준정보!$C$7-1,기준정보!$C$7),VALUE(LEFT($J68,FIND("월",$J68)-1)),1+7*(VALUE(SUBSTITUTE(MID($J68,FIND("월",$J68)+1,5),"주",""))-1)),""))</f>
        <v>46402</v>
      </c>
      <c r="L68" s="28" t="n">
        <f aca="false">IF($K68="","",IF(AND($K68-기준정보!$C$5&gt;=기준정보!$C$10,$K68-기준정보!$C$5&lt;=기준정보!$C$11),기준정보!$C$10-1,$K68-기준정보!$C$5))</f>
        <v>46388</v>
      </c>
      <c r="M68" s="29" t="n">
        <f aca="false"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>0</v>
      </c>
      <c r="N68" s="28" t="n">
        <f aca="false">IF($L68="","",$L68-기준정보!$C$6-$M68)</f>
        <v>46298</v>
      </c>
      <c r="O68" s="30" t="n">
        <f aca="false">IF($N68="","",$N68-기준정보!$C$4)</f>
        <v>45</v>
      </c>
      <c r="P68" s="27"/>
      <c r="Q68" s="27" t="s">
        <v>100</v>
      </c>
      <c r="R68" s="27" t="s">
        <v>100</v>
      </c>
      <c r="S68" s="31"/>
      <c r="T68" s="26" t="str">
        <f aca="false">IF($H68="","",IF(AND(ISNUMBER(SEARCH("CMT",$H68)),OR(ISNUMBER(SEARCH("완사입",$H68)),ISNUMBER(SEARCH("ODM",$H68)))),"본사/생산처 혼재",IF(ISNUMBER(SEARCH("CMT",$H68)),"본사(소재팀)","생산처")))</f>
        <v>본사(소재팀)</v>
      </c>
      <c r="U68" s="25" t="s">
        <v>126</v>
      </c>
      <c r="V68" s="25" t="s">
        <v>126</v>
      </c>
      <c r="W68" s="25" t="s">
        <v>103</v>
      </c>
      <c r="X68" s="26" t="s">
        <v>333</v>
      </c>
      <c r="Y68" s="32" t="s">
        <v>334</v>
      </c>
      <c r="Z68" s="32"/>
      <c r="AA68" s="28" t="n">
        <v>46218</v>
      </c>
      <c r="AB68" s="33" t="n">
        <v>2200</v>
      </c>
      <c r="AC68" s="33" t="n">
        <v>84966200</v>
      </c>
      <c r="AD68" s="33" t="n">
        <v>413600000</v>
      </c>
      <c r="AE68" s="26" t="s">
        <v>182</v>
      </c>
      <c r="AF68" s="26" t="str">
        <f aca="false"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>소재 입고일정 확인 필요</v>
      </c>
      <c r="AG68" s="24" t="str">
        <f aca="false">IF($K68="","",IF(OR(LEFT($AF68,2)="작지",LEFT($AF68,4)="소재입고"),IF(LEFT($G68,1)="S","★ 납기위험(S코드)","◆ 지연주의"),IF($AF68="정상","✓ 정상","? 확인필요")))</f>
        <v>? 확인필요</v>
      </c>
      <c r="AH68" s="27"/>
      <c r="AI68" s="34"/>
    </row>
    <row r="69" customFormat="false" ht="15" hidden="false" customHeight="false" outlineLevel="0" collapsed="false">
      <c r="A69" s="24" t="n">
        <v>65</v>
      </c>
      <c r="B69" s="25" t="s">
        <v>155</v>
      </c>
      <c r="C69" s="25" t="s">
        <v>156</v>
      </c>
      <c r="D69" s="26" t="s">
        <v>371</v>
      </c>
      <c r="E69" s="25" t="s">
        <v>372</v>
      </c>
      <c r="F69" s="26" t="s">
        <v>373</v>
      </c>
      <c r="G69" s="24" t="str">
        <f aca="false">IF($D69="","",IF(MID($D69,5,1)="S","S(봄)",IF(MID($D69,5,1)="M","M(여름)",IF(MID($D69,5,1)="X","X(사계절)",MID($D69,5,1)))))</f>
        <v>S(봄)</v>
      </c>
      <c r="H69" s="25" t="s">
        <v>97</v>
      </c>
      <c r="I69" s="24"/>
      <c r="J69" s="27" t="s">
        <v>182</v>
      </c>
      <c r="K69" s="28" t="n">
        <f aca="false">IF($J69="","",IFERROR(DATE(IF(VALUE(LEFT($J69,FIND("월",$J69)-1))&gt;=9,기준정보!$C$7-1,기준정보!$C$7),VALUE(LEFT($J69,FIND("월",$J69)-1)),1+7*(VALUE(SUBSTITUTE(MID($J69,FIND("월",$J69)+1,5),"주",""))-1)),""))</f>
        <v>46402</v>
      </c>
      <c r="L69" s="28" t="n">
        <f aca="false">IF($K69="","",IF(AND($K69-기준정보!$C$5&gt;=기준정보!$C$10,$K69-기준정보!$C$5&lt;=기준정보!$C$11),기준정보!$C$10-1,$K69-기준정보!$C$5))</f>
        <v>46388</v>
      </c>
      <c r="M69" s="29" t="n">
        <f aca="false"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>0</v>
      </c>
      <c r="N69" s="28" t="n">
        <f aca="false">IF($L69="","",$L69-기준정보!$C$6-$M69)</f>
        <v>46298</v>
      </c>
      <c r="O69" s="30" t="n">
        <f aca="false">IF($N69="","",$N69-기준정보!$C$4)</f>
        <v>45</v>
      </c>
      <c r="P69" s="27"/>
      <c r="Q69" s="27" t="s">
        <v>100</v>
      </c>
      <c r="R69" s="27" t="s">
        <v>100</v>
      </c>
      <c r="S69" s="31"/>
      <c r="T69" s="26" t="str">
        <f aca="false">IF($H69="","",IF(AND(ISNUMBER(SEARCH("CMT",$H69)),OR(ISNUMBER(SEARCH("완사입",$H69)),ISNUMBER(SEARCH("ODM",$H69)))),"본사/생산처 혼재",IF(ISNUMBER(SEARCH("CMT",$H69)),"본사(소재팀)","생산처")))</f>
        <v>생산처</v>
      </c>
      <c r="U69" s="26" t="s">
        <v>235</v>
      </c>
      <c r="V69" s="26" t="s">
        <v>235</v>
      </c>
      <c r="W69" s="25" t="s">
        <v>110</v>
      </c>
      <c r="X69" s="26" t="s">
        <v>235</v>
      </c>
      <c r="Y69" s="32" t="s">
        <v>338</v>
      </c>
      <c r="Z69" s="32"/>
      <c r="AA69" s="28" t="n">
        <v>46216</v>
      </c>
      <c r="AB69" s="33" t="n">
        <v>1200</v>
      </c>
      <c r="AC69" s="33" t="n">
        <v>36117600</v>
      </c>
      <c r="AD69" s="33" t="n">
        <v>225600000</v>
      </c>
      <c r="AE69" s="26" t="s">
        <v>182</v>
      </c>
      <c r="AF69" s="26" t="str">
        <f aca="false"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>소재 입고일정 확인 필요</v>
      </c>
      <c r="AG69" s="24" t="str">
        <f aca="false">IF($K69="","",IF(OR(LEFT($AF69,2)="작지",LEFT($AF69,4)="소재입고"),IF(LEFT($G69,1)="S","★ 납기위험(S코드)","◆ 지연주의"),IF($AF69="정상","✓ 정상","? 확인필요")))</f>
        <v>? 확인필요</v>
      </c>
      <c r="AH69" s="27"/>
      <c r="AI69" s="34"/>
    </row>
    <row r="70" customFormat="false" ht="15" hidden="false" customHeight="false" outlineLevel="0" collapsed="false">
      <c r="A70" s="24" t="n">
        <v>66</v>
      </c>
      <c r="B70" s="25" t="s">
        <v>92</v>
      </c>
      <c r="C70" s="25" t="s">
        <v>93</v>
      </c>
      <c r="D70" s="26" t="s">
        <v>374</v>
      </c>
      <c r="E70" s="25" t="s">
        <v>375</v>
      </c>
      <c r="F70" s="26" t="s">
        <v>108</v>
      </c>
      <c r="G70" s="24" t="str">
        <f aca="false">IF($D70="","",IF(MID($D70,5,1)="S","S(봄)",IF(MID($D70,5,1)="M","M(여름)",IF(MID($D70,5,1)="X","X(사계절)",MID($D70,5,1)))))</f>
        <v>S(봄)</v>
      </c>
      <c r="H70" s="25" t="s">
        <v>97</v>
      </c>
      <c r="I70" s="24" t="s">
        <v>98</v>
      </c>
      <c r="J70" s="27" t="s">
        <v>376</v>
      </c>
      <c r="K70" s="28" t="n">
        <f aca="false">IF($J70="","",IFERROR(DATE(IF(VALUE(LEFT($J70,FIND("월",$J70)-1))&gt;=9,기준정보!$C$7-1,기준정보!$C$7),VALUE(LEFT($J70,FIND("월",$J70)-1)),1+7*(VALUE(SUBSTITUTE(MID($J70,FIND("월",$J70)+1,5),"주",""))-1)),""))</f>
        <v>46409</v>
      </c>
      <c r="L70" s="28" t="n">
        <f aca="false">IF($K70="","",IF(AND($K70-기준정보!$C$5&gt;=기준정보!$C$10,$K70-기준정보!$C$5&lt;=기준정보!$C$11),기준정보!$C$10-1,$K70-기준정보!$C$5))</f>
        <v>46395</v>
      </c>
      <c r="M70" s="29" t="n">
        <f aca="false"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>0</v>
      </c>
      <c r="N70" s="28" t="n">
        <f aca="false">IF($L70="","",$L70-기준정보!$C$6-$M70)</f>
        <v>46305</v>
      </c>
      <c r="O70" s="30" t="n">
        <f aca="false">IF($N70="","",$N70-기준정보!$C$4)</f>
        <v>52</v>
      </c>
      <c r="P70" s="27"/>
      <c r="Q70" s="27" t="s">
        <v>100</v>
      </c>
      <c r="R70" s="27" t="s">
        <v>100</v>
      </c>
      <c r="S70" s="31"/>
      <c r="T70" s="26" t="str">
        <f aca="false">IF($H70="","",IF(AND(ISNUMBER(SEARCH("CMT",$H70)),OR(ISNUMBER(SEARCH("완사입",$H70)),ISNUMBER(SEARCH("ODM",$H70)))),"본사/생산처 혼재",IF(ISNUMBER(SEARCH("CMT",$H70)),"본사(소재팀)","생산처")))</f>
        <v>생산처</v>
      </c>
      <c r="U70" s="25" t="s">
        <v>135</v>
      </c>
      <c r="V70" s="25" t="s">
        <v>135</v>
      </c>
      <c r="W70" s="25" t="s">
        <v>103</v>
      </c>
      <c r="X70" s="26" t="s">
        <v>247</v>
      </c>
      <c r="Y70" s="32" t="s">
        <v>377</v>
      </c>
      <c r="Z70" s="32"/>
      <c r="AA70" s="28" t="n">
        <v>46184</v>
      </c>
      <c r="AB70" s="33" t="n">
        <v>450</v>
      </c>
      <c r="AC70" s="33" t="n">
        <v>24435450</v>
      </c>
      <c r="AD70" s="33" t="n">
        <v>130500000</v>
      </c>
      <c r="AE70" s="26"/>
      <c r="AF70" s="26" t="str">
        <f aca="false"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>소재 입고일정 확인 필요</v>
      </c>
      <c r="AG70" s="24" t="str">
        <f aca="false">IF($K70="","",IF(OR(LEFT($AF70,2)="작지",LEFT($AF70,4)="소재입고"),IF(LEFT($G70,1)="S","★ 납기위험(S코드)","◆ 지연주의"),IF($AF70="정상","✓ 정상","? 확인필요")))</f>
        <v>? 확인필요</v>
      </c>
      <c r="AH70" s="27"/>
      <c r="AI70" s="34"/>
    </row>
    <row r="71" customFormat="false" ht="15" hidden="false" customHeight="false" outlineLevel="0" collapsed="false">
      <c r="A71" s="24" t="n">
        <v>67</v>
      </c>
      <c r="B71" s="25" t="s">
        <v>92</v>
      </c>
      <c r="C71" s="25" t="s">
        <v>118</v>
      </c>
      <c r="D71" s="26" t="s">
        <v>378</v>
      </c>
      <c r="E71" s="25" t="s">
        <v>379</v>
      </c>
      <c r="F71" s="26" t="s">
        <v>96</v>
      </c>
      <c r="G71" s="24" t="str">
        <f aca="false">IF($D71="","",IF(MID($D71,5,1)="S","S(봄)",IF(MID($D71,5,1)="M","M(여름)",IF(MID($D71,5,1)="X","X(사계절)",MID($D71,5,1)))))</f>
        <v>S(봄)</v>
      </c>
      <c r="H71" s="25" t="s">
        <v>97</v>
      </c>
      <c r="I71" s="24" t="s">
        <v>98</v>
      </c>
      <c r="J71" s="27" t="s">
        <v>376</v>
      </c>
      <c r="K71" s="28" t="n">
        <f aca="false">IF($J71="","",IFERROR(DATE(IF(VALUE(LEFT($J71,FIND("월",$J71)-1))&gt;=9,기준정보!$C$7-1,기준정보!$C$7),VALUE(LEFT($J71,FIND("월",$J71)-1)),1+7*(VALUE(SUBSTITUTE(MID($J71,FIND("월",$J71)+1,5),"주",""))-1)),""))</f>
        <v>46409</v>
      </c>
      <c r="L71" s="28" t="n">
        <f aca="false">IF($K71="","",IF(AND($K71-기준정보!$C$5&gt;=기준정보!$C$10,$K71-기준정보!$C$5&lt;=기준정보!$C$11),기준정보!$C$10-1,$K71-기준정보!$C$5))</f>
        <v>46395</v>
      </c>
      <c r="M71" s="29" t="n">
        <f aca="false"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>0</v>
      </c>
      <c r="N71" s="28" t="n">
        <f aca="false">IF($L71="","",$L71-기준정보!$C$6-$M71)</f>
        <v>46305</v>
      </c>
      <c r="O71" s="30" t="n">
        <f aca="false">IF($N71="","",$N71-기준정보!$C$4)</f>
        <v>52</v>
      </c>
      <c r="P71" s="27"/>
      <c r="Q71" s="27" t="s">
        <v>100</v>
      </c>
      <c r="R71" s="27" t="s">
        <v>100</v>
      </c>
      <c r="S71" s="31"/>
      <c r="T71" s="26" t="str">
        <f aca="false">IF($H71="","",IF(AND(ISNUMBER(SEARCH("CMT",$H71)),OR(ISNUMBER(SEARCH("완사입",$H71)),ISNUMBER(SEARCH("ODM",$H71)))),"본사/생산처 혼재",IF(ISNUMBER(SEARCH("CMT",$H71)),"본사(소재팀)","생산처")))</f>
        <v>생산처</v>
      </c>
      <c r="U71" s="25" t="s">
        <v>380</v>
      </c>
      <c r="V71" s="25" t="s">
        <v>380</v>
      </c>
      <c r="W71" s="25" t="s">
        <v>103</v>
      </c>
      <c r="X71" s="26" t="s">
        <v>130</v>
      </c>
      <c r="Y71" s="32" t="s">
        <v>381</v>
      </c>
      <c r="Z71" s="32"/>
      <c r="AA71" s="28" t="n">
        <v>46218</v>
      </c>
      <c r="AB71" s="33" t="n">
        <v>400</v>
      </c>
      <c r="AC71" s="33" t="n">
        <v>13356000</v>
      </c>
      <c r="AD71" s="33" t="n">
        <v>59200000</v>
      </c>
      <c r="AE71" s="26"/>
      <c r="AF71" s="26" t="str">
        <f aca="false"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>소재 입고일정 확인 필요</v>
      </c>
      <c r="AG71" s="24" t="str">
        <f aca="false">IF($K71="","",IF(OR(LEFT($AF71,2)="작지",LEFT($AF71,4)="소재입고"),IF(LEFT($G71,1)="S","★ 납기위험(S코드)","◆ 지연주의"),IF($AF71="정상","✓ 정상","? 확인필요")))</f>
        <v>? 확인필요</v>
      </c>
      <c r="AH71" s="27"/>
      <c r="AI71" s="34"/>
    </row>
    <row r="72" customFormat="false" ht="15" hidden="false" customHeight="false" outlineLevel="0" collapsed="false">
      <c r="A72" s="24" t="n">
        <v>68</v>
      </c>
      <c r="B72" s="25" t="s">
        <v>92</v>
      </c>
      <c r="C72" s="25" t="s">
        <v>93</v>
      </c>
      <c r="D72" s="26" t="s">
        <v>382</v>
      </c>
      <c r="E72" s="25" t="s">
        <v>383</v>
      </c>
      <c r="F72" s="26" t="s">
        <v>269</v>
      </c>
      <c r="G72" s="24" t="str">
        <f aca="false">IF($D72="","",IF(MID($D72,5,1)="S","S(봄)",IF(MID($D72,5,1)="M","M(여름)",IF(MID($D72,5,1)="X","X(사계절)",MID($D72,5,1)))))</f>
        <v>S(봄)</v>
      </c>
      <c r="H72" s="25" t="s">
        <v>97</v>
      </c>
      <c r="I72" s="24" t="s">
        <v>98</v>
      </c>
      <c r="J72" s="27" t="s">
        <v>376</v>
      </c>
      <c r="K72" s="28" t="n">
        <f aca="false">IF($J72="","",IFERROR(DATE(IF(VALUE(LEFT($J72,FIND("월",$J72)-1))&gt;=9,기준정보!$C$7-1,기준정보!$C$7),VALUE(LEFT($J72,FIND("월",$J72)-1)),1+7*(VALUE(SUBSTITUTE(MID($J72,FIND("월",$J72)+1,5),"주",""))-1)),""))</f>
        <v>46409</v>
      </c>
      <c r="L72" s="28" t="n">
        <f aca="false">IF($K72="","",IF(AND($K72-기준정보!$C$5&gt;=기준정보!$C$10,$K72-기준정보!$C$5&lt;=기준정보!$C$11),기준정보!$C$10-1,$K72-기준정보!$C$5))</f>
        <v>46395</v>
      </c>
      <c r="M72" s="29" t="n">
        <f aca="false"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>0</v>
      </c>
      <c r="N72" s="28" t="n">
        <f aca="false">IF($L72="","",$L72-기준정보!$C$6-$M72)</f>
        <v>46305</v>
      </c>
      <c r="O72" s="30" t="n">
        <f aca="false">IF($N72="","",$N72-기준정보!$C$4)</f>
        <v>52</v>
      </c>
      <c r="P72" s="27"/>
      <c r="Q72" s="27" t="s">
        <v>100</v>
      </c>
      <c r="R72" s="27" t="s">
        <v>100</v>
      </c>
      <c r="S72" s="31"/>
      <c r="T72" s="26" t="str">
        <f aca="false">IF($H72="","",IF(AND(ISNUMBER(SEARCH("CMT",$H72)),OR(ISNUMBER(SEARCH("완사입",$H72)),ISNUMBER(SEARCH("ODM",$H72)))),"본사/생산처 혼재",IF(ISNUMBER(SEARCH("CMT",$H72)),"본사(소재팀)","생산처")))</f>
        <v>생산처</v>
      </c>
      <c r="U72" s="25" t="s">
        <v>109</v>
      </c>
      <c r="V72" s="25" t="s">
        <v>109</v>
      </c>
      <c r="W72" s="25" t="s">
        <v>110</v>
      </c>
      <c r="X72" s="26" t="s">
        <v>384</v>
      </c>
      <c r="Y72" s="32" t="s">
        <v>117</v>
      </c>
      <c r="Z72" s="35" t="s">
        <v>113</v>
      </c>
      <c r="AA72" s="28" t="n">
        <v>46189</v>
      </c>
      <c r="AB72" s="33" t="n">
        <v>305</v>
      </c>
      <c r="AC72" s="33" t="n">
        <v>17391405</v>
      </c>
      <c r="AD72" s="33" t="n">
        <v>76250000</v>
      </c>
      <c r="AE72" s="26"/>
      <c r="AF72" s="26" t="str">
        <f aca="false"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>소재 입고일정 확인 필요</v>
      </c>
      <c r="AG72" s="24" t="str">
        <f aca="false">IF($K72="","",IF(OR(LEFT($AF72,2)="작지",LEFT($AF72,4)="소재입고"),IF(LEFT($G72,1)="S","★ 납기위험(S코드)","◆ 지연주의"),IF($AF72="정상","✓ 정상","? 확인필요")))</f>
        <v>? 확인필요</v>
      </c>
      <c r="AH72" s="27"/>
      <c r="AI72" s="34"/>
    </row>
    <row r="73" customFormat="false" ht="15" hidden="false" customHeight="false" outlineLevel="0" collapsed="false">
      <c r="A73" s="24" t="n">
        <v>69</v>
      </c>
      <c r="B73" s="25" t="s">
        <v>92</v>
      </c>
      <c r="C73" s="25" t="s">
        <v>93</v>
      </c>
      <c r="D73" s="26" t="s">
        <v>385</v>
      </c>
      <c r="E73" s="25" t="s">
        <v>386</v>
      </c>
      <c r="F73" s="26" t="s">
        <v>150</v>
      </c>
      <c r="G73" s="24" t="str">
        <f aca="false">IF($D73="","",IF(MID($D73,5,1)="S","S(봄)",IF(MID($D73,5,1)="M","M(여름)",IF(MID($D73,5,1)="X","X(사계절)",MID($D73,5,1)))))</f>
        <v>S(봄)</v>
      </c>
      <c r="H73" s="25" t="s">
        <v>97</v>
      </c>
      <c r="I73" s="24" t="s">
        <v>98</v>
      </c>
      <c r="J73" s="27" t="s">
        <v>376</v>
      </c>
      <c r="K73" s="28" t="n">
        <f aca="false">IF($J73="","",IFERROR(DATE(IF(VALUE(LEFT($J73,FIND("월",$J73)-1))&gt;=9,기준정보!$C$7-1,기준정보!$C$7),VALUE(LEFT($J73,FIND("월",$J73)-1)),1+7*(VALUE(SUBSTITUTE(MID($J73,FIND("월",$J73)+1,5),"주",""))-1)),""))</f>
        <v>46409</v>
      </c>
      <c r="L73" s="28" t="n">
        <f aca="false">IF($K73="","",IF(AND($K73-기준정보!$C$5&gt;=기준정보!$C$10,$K73-기준정보!$C$5&lt;=기준정보!$C$11),기준정보!$C$10-1,$K73-기준정보!$C$5))</f>
        <v>46395</v>
      </c>
      <c r="M73" s="29" t="n">
        <f aca="false"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>0</v>
      </c>
      <c r="N73" s="28" t="n">
        <f aca="false">IF($L73="","",$L73-기준정보!$C$6-$M73)</f>
        <v>46305</v>
      </c>
      <c r="O73" s="30" t="n">
        <f aca="false">IF($N73="","",$N73-기준정보!$C$4)</f>
        <v>52</v>
      </c>
      <c r="P73" s="27"/>
      <c r="Q73" s="27" t="s">
        <v>100</v>
      </c>
      <c r="R73" s="27" t="s">
        <v>100</v>
      </c>
      <c r="S73" s="31"/>
      <c r="T73" s="26" t="str">
        <f aca="false">IF($H73="","",IF(AND(ISNUMBER(SEARCH("CMT",$H73)),OR(ISNUMBER(SEARCH("완사입",$H73)),ISNUMBER(SEARCH("ODM",$H73)))),"본사/생산처 혼재",IF(ISNUMBER(SEARCH("CMT",$H73)),"본사(소재팀)","생산처")))</f>
        <v>생산처</v>
      </c>
      <c r="U73" s="25" t="s">
        <v>135</v>
      </c>
      <c r="V73" s="25" t="s">
        <v>135</v>
      </c>
      <c r="W73" s="25" t="s">
        <v>103</v>
      </c>
      <c r="X73" s="26" t="s">
        <v>247</v>
      </c>
      <c r="Y73" s="32" t="s">
        <v>377</v>
      </c>
      <c r="Z73" s="32"/>
      <c r="AA73" s="28" t="n">
        <v>46183</v>
      </c>
      <c r="AB73" s="33" t="n">
        <v>650</v>
      </c>
      <c r="AC73" s="33" t="n">
        <v>36090600</v>
      </c>
      <c r="AD73" s="33" t="n">
        <v>188500000</v>
      </c>
      <c r="AE73" s="26"/>
      <c r="AF73" s="26" t="str">
        <f aca="false"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>소재 입고일정 확인 필요</v>
      </c>
      <c r="AG73" s="24" t="str">
        <f aca="false">IF($K73="","",IF(OR(LEFT($AF73,2)="작지",LEFT($AF73,4)="소재입고"),IF(LEFT($G73,1)="S","★ 납기위험(S코드)","◆ 지연주의"),IF($AF73="정상","✓ 정상","? 확인필요")))</f>
        <v>? 확인필요</v>
      </c>
      <c r="AH73" s="27"/>
      <c r="AI73" s="34"/>
    </row>
    <row r="74" customFormat="false" ht="15" hidden="false" customHeight="false" outlineLevel="0" collapsed="false">
      <c r="A74" s="24" t="n">
        <v>70</v>
      </c>
      <c r="B74" s="25" t="s">
        <v>266</v>
      </c>
      <c r="C74" s="25" t="s">
        <v>271</v>
      </c>
      <c r="D74" s="26" t="s">
        <v>387</v>
      </c>
      <c r="E74" s="25" t="s">
        <v>388</v>
      </c>
      <c r="F74" s="26" t="s">
        <v>389</v>
      </c>
      <c r="G74" s="24" t="str">
        <f aca="false">IF($D74="","",IF(MID($D74,5,1)="S","S(봄)",IF(MID($D74,5,1)="M","M(여름)",IF(MID($D74,5,1)="X","X(사계절)",MID($D74,5,1)))))</f>
        <v>S(봄)</v>
      </c>
      <c r="H74" s="25" t="s">
        <v>97</v>
      </c>
      <c r="I74" s="24"/>
      <c r="J74" s="27" t="s">
        <v>376</v>
      </c>
      <c r="K74" s="28" t="n">
        <f aca="false">IF($J74="","",IFERROR(DATE(IF(VALUE(LEFT($J74,FIND("월",$J74)-1))&gt;=9,기준정보!$C$7-1,기준정보!$C$7),VALUE(LEFT($J74,FIND("월",$J74)-1)),1+7*(VALUE(SUBSTITUTE(MID($J74,FIND("월",$J74)+1,5),"주",""))-1)),""))</f>
        <v>46409</v>
      </c>
      <c r="L74" s="28" t="n">
        <f aca="false">IF($K74="","",IF(AND($K74-기준정보!$C$5&gt;=기준정보!$C$10,$K74-기준정보!$C$5&lt;=기준정보!$C$11),기준정보!$C$10-1,$K74-기준정보!$C$5))</f>
        <v>46395</v>
      </c>
      <c r="M74" s="29" t="n">
        <f aca="false"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>0</v>
      </c>
      <c r="N74" s="28" t="n">
        <f aca="false">IF($L74="","",$L74-기준정보!$C$6-$M74)</f>
        <v>46305</v>
      </c>
      <c r="O74" s="30" t="n">
        <f aca="false">IF($N74="","",$N74-기준정보!$C$4)</f>
        <v>52</v>
      </c>
      <c r="P74" s="27"/>
      <c r="Q74" s="27" t="s">
        <v>100</v>
      </c>
      <c r="R74" s="27" t="s">
        <v>100</v>
      </c>
      <c r="S74" s="31"/>
      <c r="T74" s="26" t="str">
        <f aca="false">IF($H74="","",IF(AND(ISNUMBER(SEARCH("CMT",$H74)),OR(ISNUMBER(SEARCH("완사입",$H74)),ISNUMBER(SEARCH("ODM",$H74)))),"본사/생산처 혼재",IF(ISNUMBER(SEARCH("CMT",$H74)),"본사(소재팀)","생산처")))</f>
        <v>생산처</v>
      </c>
      <c r="U74" s="26" t="s">
        <v>235</v>
      </c>
      <c r="V74" s="26" t="s">
        <v>235</v>
      </c>
      <c r="W74" s="25" t="s">
        <v>110</v>
      </c>
      <c r="X74" s="26" t="s">
        <v>247</v>
      </c>
      <c r="Y74" s="32" t="s">
        <v>296</v>
      </c>
      <c r="Z74" s="32"/>
      <c r="AA74" s="28" t="n">
        <v>46204</v>
      </c>
      <c r="AB74" s="33" t="n">
        <v>1000</v>
      </c>
      <c r="AC74" s="33" t="n">
        <v>34655000</v>
      </c>
      <c r="AD74" s="33" t="n">
        <v>168000000</v>
      </c>
      <c r="AE74" s="26"/>
      <c r="AF74" s="26" t="str">
        <f aca="false"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>소재 입고일정 확인 필요</v>
      </c>
      <c r="AG74" s="24" t="str">
        <f aca="false">IF($K74="","",IF(OR(LEFT($AF74,2)="작지",LEFT($AF74,4)="소재입고"),IF(LEFT($G74,1)="S","★ 납기위험(S코드)","◆ 지연주의"),IF($AF74="정상","✓ 정상","? 확인필요")))</f>
        <v>? 확인필요</v>
      </c>
      <c r="AH74" s="27"/>
      <c r="AI74" s="34"/>
    </row>
    <row r="75" customFormat="false" ht="15" hidden="false" customHeight="false" outlineLevel="0" collapsed="false">
      <c r="A75" s="24" t="n">
        <v>71</v>
      </c>
      <c r="B75" s="25" t="s">
        <v>266</v>
      </c>
      <c r="C75" s="25" t="s">
        <v>271</v>
      </c>
      <c r="D75" s="26" t="s">
        <v>390</v>
      </c>
      <c r="E75" s="25" t="s">
        <v>391</v>
      </c>
      <c r="F75" s="26" t="s">
        <v>288</v>
      </c>
      <c r="G75" s="24" t="str">
        <f aca="false">IF($D75="","",IF(MID($D75,5,1)="S","S(봄)",IF(MID($D75,5,1)="M","M(여름)",IF(MID($D75,5,1)="X","X(사계절)",MID($D75,5,1)))))</f>
        <v>S(봄)</v>
      </c>
      <c r="H75" s="25" t="s">
        <v>97</v>
      </c>
      <c r="I75" s="24"/>
      <c r="J75" s="27" t="s">
        <v>376</v>
      </c>
      <c r="K75" s="28" t="n">
        <f aca="false">IF($J75="","",IFERROR(DATE(IF(VALUE(LEFT($J75,FIND("월",$J75)-1))&gt;=9,기준정보!$C$7-1,기준정보!$C$7),VALUE(LEFT($J75,FIND("월",$J75)-1)),1+7*(VALUE(SUBSTITUTE(MID($J75,FIND("월",$J75)+1,5),"주",""))-1)),""))</f>
        <v>46409</v>
      </c>
      <c r="L75" s="28" t="n">
        <f aca="false">IF($K75="","",IF(AND($K75-기준정보!$C$5&gt;=기준정보!$C$10,$K75-기준정보!$C$5&lt;=기준정보!$C$11),기준정보!$C$10-1,$K75-기준정보!$C$5))</f>
        <v>46395</v>
      </c>
      <c r="M75" s="29" t="n">
        <f aca="false"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>0</v>
      </c>
      <c r="N75" s="28" t="n">
        <f aca="false">IF($L75="","",$L75-기준정보!$C$6-$M75)</f>
        <v>46305</v>
      </c>
      <c r="O75" s="30" t="n">
        <f aca="false">IF($N75="","",$N75-기준정보!$C$4)</f>
        <v>52</v>
      </c>
      <c r="P75" s="27"/>
      <c r="Q75" s="27" t="s">
        <v>100</v>
      </c>
      <c r="R75" s="27" t="s">
        <v>100</v>
      </c>
      <c r="S75" s="31"/>
      <c r="T75" s="26" t="str">
        <f aca="false">IF($H75="","",IF(AND(ISNUMBER(SEARCH("CMT",$H75)),OR(ISNUMBER(SEARCH("완사입",$H75)),ISNUMBER(SEARCH("ODM",$H75)))),"본사/생산처 혼재",IF(ISNUMBER(SEARCH("CMT",$H75)),"본사(소재팀)","생산처")))</f>
        <v>생산처</v>
      </c>
      <c r="U75" s="25" t="s">
        <v>380</v>
      </c>
      <c r="V75" s="25" t="s">
        <v>380</v>
      </c>
      <c r="W75" s="25" t="s">
        <v>103</v>
      </c>
      <c r="X75" s="25" t="s">
        <v>122</v>
      </c>
      <c r="Y75" s="35" t="s">
        <v>392</v>
      </c>
      <c r="Z75" s="32"/>
      <c r="AA75" s="28"/>
      <c r="AB75" s="33" t="n">
        <v>2000</v>
      </c>
      <c r="AC75" s="33" t="n">
        <v>66580000</v>
      </c>
      <c r="AD75" s="33" t="n">
        <v>316000000</v>
      </c>
      <c r="AE75" s="26"/>
      <c r="AF75" s="26" t="str">
        <f aca="false"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>소재 입고일정 확인 필요</v>
      </c>
      <c r="AG75" s="24" t="str">
        <f aca="false">IF($K75="","",IF(OR(LEFT($AF75,2)="작지",LEFT($AF75,4)="소재입고"),IF(LEFT($G75,1)="S","★ 납기위험(S코드)","◆ 지연주의"),IF($AF75="정상","✓ 정상","? 확인필요")))</f>
        <v>? 확인필요</v>
      </c>
      <c r="AH75" s="27"/>
      <c r="AI75" s="34"/>
    </row>
    <row r="76" customFormat="false" ht="15" hidden="false" customHeight="false" outlineLevel="0" collapsed="false">
      <c r="A76" s="24" t="n">
        <v>72</v>
      </c>
      <c r="B76" s="25" t="s">
        <v>92</v>
      </c>
      <c r="C76" s="25" t="s">
        <v>118</v>
      </c>
      <c r="D76" s="26" t="s">
        <v>393</v>
      </c>
      <c r="E76" s="25" t="s">
        <v>394</v>
      </c>
      <c r="F76" s="26" t="s">
        <v>150</v>
      </c>
      <c r="G76" s="24" t="str">
        <f aca="false">IF($D76="","",IF(MID($D76,5,1)="S","S(봄)",IF(MID($D76,5,1)="M","M(여름)",IF(MID($D76,5,1)="X","X(사계절)",MID($D76,5,1)))))</f>
        <v>S(봄)</v>
      </c>
      <c r="H76" s="25" t="s">
        <v>97</v>
      </c>
      <c r="I76" s="24" t="s">
        <v>98</v>
      </c>
      <c r="J76" s="27" t="s">
        <v>376</v>
      </c>
      <c r="K76" s="28" t="n">
        <f aca="false">IF($J76="","",IFERROR(DATE(IF(VALUE(LEFT($J76,FIND("월",$J76)-1))&gt;=9,기준정보!$C$7-1,기준정보!$C$7),VALUE(LEFT($J76,FIND("월",$J76)-1)),1+7*(VALUE(SUBSTITUTE(MID($J76,FIND("월",$J76)+1,5),"주",""))-1)),""))</f>
        <v>46409</v>
      </c>
      <c r="L76" s="28" t="n">
        <f aca="false">IF($K76="","",IF(AND($K76-기준정보!$C$5&gt;=기준정보!$C$10,$K76-기준정보!$C$5&lt;=기준정보!$C$11),기준정보!$C$10-1,$K76-기준정보!$C$5))</f>
        <v>46395</v>
      </c>
      <c r="M76" s="29" t="n">
        <f aca="false"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>0</v>
      </c>
      <c r="N76" s="28" t="n">
        <f aca="false">IF($L76="","",$L76-기준정보!$C$6-$M76)</f>
        <v>46305</v>
      </c>
      <c r="O76" s="30" t="n">
        <f aca="false">IF($N76="","",$N76-기준정보!$C$4)</f>
        <v>52</v>
      </c>
      <c r="P76" s="27"/>
      <c r="Q76" s="27" t="s">
        <v>100</v>
      </c>
      <c r="R76" s="27" t="s">
        <v>100</v>
      </c>
      <c r="S76" s="31"/>
      <c r="T76" s="26" t="str">
        <f aca="false">IF($H76="","",IF(AND(ISNUMBER(SEARCH("CMT",$H76)),OR(ISNUMBER(SEARCH("완사입",$H76)),ISNUMBER(SEARCH("ODM",$H76)))),"본사/생산처 혼재",IF(ISNUMBER(SEARCH("CMT",$H76)),"본사(소재팀)","생산처")))</f>
        <v>생산처</v>
      </c>
      <c r="U76" s="25" t="s">
        <v>380</v>
      </c>
      <c r="V76" s="25" t="s">
        <v>380</v>
      </c>
      <c r="W76" s="25" t="s">
        <v>103</v>
      </c>
      <c r="X76" s="26" t="s">
        <v>130</v>
      </c>
      <c r="Y76" s="32" t="s">
        <v>381</v>
      </c>
      <c r="Z76" s="32"/>
      <c r="AA76" s="28" t="n">
        <v>46245</v>
      </c>
      <c r="AB76" s="33" t="n">
        <v>500</v>
      </c>
      <c r="AC76" s="33" t="n">
        <v>19151000</v>
      </c>
      <c r="AD76" s="33" t="n">
        <v>74000000</v>
      </c>
      <c r="AE76" s="26"/>
      <c r="AF76" s="26" t="str">
        <f aca="false"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>소재 입고일정 확인 필요</v>
      </c>
      <c r="AG76" s="24" t="str">
        <f aca="false">IF($K76="","",IF(OR(LEFT($AF76,2)="작지",LEFT($AF76,4)="소재입고"),IF(LEFT($G76,1)="S","★ 납기위험(S코드)","◆ 지연주의"),IF($AF76="정상","✓ 정상","? 확인필요")))</f>
        <v>? 확인필요</v>
      </c>
      <c r="AH76" s="27"/>
      <c r="AI76" s="34"/>
    </row>
    <row r="77" customFormat="false" ht="15" hidden="false" customHeight="false" outlineLevel="0" collapsed="false">
      <c r="A77" s="24" t="n">
        <v>73</v>
      </c>
      <c r="B77" s="25" t="s">
        <v>92</v>
      </c>
      <c r="C77" s="25" t="s">
        <v>93</v>
      </c>
      <c r="D77" s="26" t="s">
        <v>395</v>
      </c>
      <c r="E77" s="25" t="s">
        <v>396</v>
      </c>
      <c r="F77" s="26" t="s">
        <v>134</v>
      </c>
      <c r="G77" s="24" t="str">
        <f aca="false">IF($D77="","",IF(MID($D77,5,1)="S","S(봄)",IF(MID($D77,5,1)="M","M(여름)",IF(MID($D77,5,1)="X","X(사계절)",MID($D77,5,1)))))</f>
        <v>S(봄)</v>
      </c>
      <c r="H77" s="25" t="s">
        <v>97</v>
      </c>
      <c r="I77" s="24" t="s">
        <v>98</v>
      </c>
      <c r="J77" s="27" t="s">
        <v>376</v>
      </c>
      <c r="K77" s="28" t="n">
        <f aca="false">IF($J77="","",IFERROR(DATE(IF(VALUE(LEFT($J77,FIND("월",$J77)-1))&gt;=9,기준정보!$C$7-1,기준정보!$C$7),VALUE(LEFT($J77,FIND("월",$J77)-1)),1+7*(VALUE(SUBSTITUTE(MID($J77,FIND("월",$J77)+1,5),"주",""))-1)),""))</f>
        <v>46409</v>
      </c>
      <c r="L77" s="28" t="n">
        <f aca="false">IF($K77="","",IF(AND($K77-기준정보!$C$5&gt;=기준정보!$C$10,$K77-기준정보!$C$5&lt;=기준정보!$C$11),기준정보!$C$10-1,$K77-기준정보!$C$5))</f>
        <v>46395</v>
      </c>
      <c r="M77" s="29" t="n">
        <f aca="false"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>0</v>
      </c>
      <c r="N77" s="28" t="n">
        <f aca="false">IF($L77="","",$L77-기준정보!$C$6-$M77)</f>
        <v>46305</v>
      </c>
      <c r="O77" s="30" t="n">
        <f aca="false">IF($N77="","",$N77-기준정보!$C$4)</f>
        <v>52</v>
      </c>
      <c r="P77" s="27"/>
      <c r="Q77" s="27" t="s">
        <v>100</v>
      </c>
      <c r="R77" s="27" t="s">
        <v>100</v>
      </c>
      <c r="S77" s="31"/>
      <c r="T77" s="26" t="str">
        <f aca="false">IF($H77="","",IF(AND(ISNUMBER(SEARCH("CMT",$H77)),OR(ISNUMBER(SEARCH("완사입",$H77)),ISNUMBER(SEARCH("ODM",$H77)))),"본사/생산처 혼재",IF(ISNUMBER(SEARCH("CMT",$H77)),"본사(소재팀)","생산처")))</f>
        <v>생산처</v>
      </c>
      <c r="U77" s="25" t="s">
        <v>109</v>
      </c>
      <c r="V77" s="25" t="s">
        <v>109</v>
      </c>
      <c r="W77" s="25" t="s">
        <v>110</v>
      </c>
      <c r="X77" s="26" t="s">
        <v>384</v>
      </c>
      <c r="Y77" s="32" t="s">
        <v>117</v>
      </c>
      <c r="Z77" s="35" t="s">
        <v>113</v>
      </c>
      <c r="AA77" s="28" t="n">
        <v>46210</v>
      </c>
      <c r="AB77" s="33" t="n">
        <v>870</v>
      </c>
      <c r="AC77" s="33" t="n">
        <v>53128290</v>
      </c>
      <c r="AD77" s="33" t="n">
        <v>217500000</v>
      </c>
      <c r="AE77" s="26"/>
      <c r="AF77" s="26" t="str">
        <f aca="false"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>소재 입고일정 확인 필요</v>
      </c>
      <c r="AG77" s="24" t="str">
        <f aca="false">IF($K77="","",IF(OR(LEFT($AF77,2)="작지",LEFT($AF77,4)="소재입고"),IF(LEFT($G77,1)="S","★ 납기위험(S코드)","◆ 지연주의"),IF($AF77="정상","✓ 정상","? 확인필요")))</f>
        <v>? 확인필요</v>
      </c>
      <c r="AH77" s="27"/>
      <c r="AI77" s="34"/>
    </row>
    <row r="78" customFormat="false" ht="15" hidden="false" customHeight="false" outlineLevel="0" collapsed="false">
      <c r="A78" s="24" t="n">
        <v>74</v>
      </c>
      <c r="B78" s="25" t="s">
        <v>266</v>
      </c>
      <c r="C78" s="25" t="s">
        <v>243</v>
      </c>
      <c r="D78" s="26" t="s">
        <v>397</v>
      </c>
      <c r="E78" s="25" t="s">
        <v>398</v>
      </c>
      <c r="F78" s="26" t="s">
        <v>399</v>
      </c>
      <c r="G78" s="24" t="str">
        <f aca="false">IF($D78="","",IF(MID($D78,5,1)="S","S(봄)",IF(MID($D78,5,1)="M","M(여름)",IF(MID($D78,5,1)="X","X(사계절)",MID($D78,5,1)))))</f>
        <v>S(봄)</v>
      </c>
      <c r="H78" s="26" t="s">
        <v>255</v>
      </c>
      <c r="I78" s="24" t="s">
        <v>274</v>
      </c>
      <c r="J78" s="27" t="s">
        <v>400</v>
      </c>
      <c r="K78" s="28" t="n">
        <f aca="false">IF($J78="","",IFERROR(DATE(IF(VALUE(LEFT($J78,FIND("월",$J78)-1))&gt;=9,기준정보!$C$7-1,기준정보!$C$7),VALUE(LEFT($J78,FIND("월",$J78)-1)),1+7*(VALUE(SUBSTITUTE(MID($J78,FIND("월",$J78)+1,5),"주",""))-1)),""))</f>
        <v>46419</v>
      </c>
      <c r="L78" s="28" t="n">
        <f aca="false">IF($K78="","",IF(AND($K78-기준정보!$C$5&gt;=기준정보!$C$10,$K78-기준정보!$C$5&lt;=기준정보!$C$11),기준정보!$C$10-1,$K78-기준정보!$C$5))</f>
        <v>46405</v>
      </c>
      <c r="M78" s="29" t="n">
        <f aca="false"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>0</v>
      </c>
      <c r="N78" s="28" t="n">
        <f aca="false">IF($L78="","",$L78-기준정보!$C$6-$M78)</f>
        <v>46315</v>
      </c>
      <c r="O78" s="30" t="n">
        <f aca="false">IF($N78="","",$N78-기준정보!$C$4)</f>
        <v>62</v>
      </c>
      <c r="P78" s="27"/>
      <c r="Q78" s="27" t="s">
        <v>100</v>
      </c>
      <c r="R78" s="27" t="s">
        <v>101</v>
      </c>
      <c r="S78" s="31"/>
      <c r="T78" s="26" t="str">
        <f aca="false">IF($H78="","",IF(AND(ISNUMBER(SEARCH("CMT",$H78)),OR(ISNUMBER(SEARCH("완사입",$H78)),ISNUMBER(SEARCH("ODM",$H78)))),"본사/생산처 혼재",IF(ISNUMBER(SEARCH("CMT",$H78)),"본사(소재팀)","생산처")))</f>
        <v>본사(소재팀)</v>
      </c>
      <c r="U78" s="25" t="s">
        <v>102</v>
      </c>
      <c r="V78" s="25" t="s">
        <v>102</v>
      </c>
      <c r="W78" s="25" t="s">
        <v>103</v>
      </c>
      <c r="X78" s="26" t="s">
        <v>401</v>
      </c>
      <c r="Y78" s="32" t="s">
        <v>402</v>
      </c>
      <c r="Z78" s="35" t="s">
        <v>403</v>
      </c>
      <c r="AA78" s="28" t="n">
        <v>46178</v>
      </c>
      <c r="AB78" s="33" t="n">
        <v>2500</v>
      </c>
      <c r="AC78" s="33" t="n">
        <v>248750000</v>
      </c>
      <c r="AD78" s="33" t="n">
        <v>1125000000</v>
      </c>
      <c r="AE78" s="26"/>
      <c r="AF78" s="26" t="str">
        <f aca="false"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>소재 입고일정 확인 필요</v>
      </c>
      <c r="AG78" s="24" t="str">
        <f aca="false">IF($K78="","",IF(OR(LEFT($AF78,2)="작지",LEFT($AF78,4)="소재입고"),IF(LEFT($G78,1)="S","★ 납기위험(S코드)","◆ 지연주의"),IF($AF78="정상","✓ 정상","? 확인필요")))</f>
        <v>? 확인필요</v>
      </c>
      <c r="AH78" s="27"/>
      <c r="AI78" s="34"/>
    </row>
    <row r="79" customFormat="false" ht="15" hidden="false" customHeight="false" outlineLevel="0" collapsed="false">
      <c r="A79" s="24" t="n">
        <v>75</v>
      </c>
      <c r="B79" s="25" t="s">
        <v>266</v>
      </c>
      <c r="C79" s="25" t="s">
        <v>243</v>
      </c>
      <c r="D79" s="26" t="s">
        <v>404</v>
      </c>
      <c r="E79" s="25" t="s">
        <v>405</v>
      </c>
      <c r="F79" s="26" t="s">
        <v>406</v>
      </c>
      <c r="G79" s="24" t="str">
        <f aca="false">IF($D79="","",IF(MID($D79,5,1)="S","S(봄)",IF(MID($D79,5,1)="M","M(여름)",IF(MID($D79,5,1)="X","X(사계절)",MID($D79,5,1)))))</f>
        <v>S(봄)</v>
      </c>
      <c r="H79" s="26" t="s">
        <v>255</v>
      </c>
      <c r="I79" s="24" t="s">
        <v>274</v>
      </c>
      <c r="J79" s="27" t="s">
        <v>400</v>
      </c>
      <c r="K79" s="28" t="n">
        <f aca="false">IF($J79="","",IFERROR(DATE(IF(VALUE(LEFT($J79,FIND("월",$J79)-1))&gt;=9,기준정보!$C$7-1,기준정보!$C$7),VALUE(LEFT($J79,FIND("월",$J79)-1)),1+7*(VALUE(SUBSTITUTE(MID($J79,FIND("월",$J79)+1,5),"주",""))-1)),""))</f>
        <v>46419</v>
      </c>
      <c r="L79" s="28" t="n">
        <f aca="false">IF($K79="","",IF(AND($K79-기준정보!$C$5&gt;=기준정보!$C$10,$K79-기준정보!$C$5&lt;=기준정보!$C$11),기준정보!$C$10-1,$K79-기준정보!$C$5))</f>
        <v>46405</v>
      </c>
      <c r="M79" s="29" t="n">
        <f aca="false"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>0</v>
      </c>
      <c r="N79" s="28" t="n">
        <f aca="false">IF($L79="","",$L79-기준정보!$C$6-$M79)</f>
        <v>46315</v>
      </c>
      <c r="O79" s="30" t="n">
        <f aca="false">IF($N79="","",$N79-기준정보!$C$4)</f>
        <v>62</v>
      </c>
      <c r="P79" s="27"/>
      <c r="Q79" s="27" t="s">
        <v>100</v>
      </c>
      <c r="R79" s="27" t="s">
        <v>101</v>
      </c>
      <c r="S79" s="31"/>
      <c r="T79" s="26" t="str">
        <f aca="false">IF($H79="","",IF(AND(ISNUMBER(SEARCH("CMT",$H79)),OR(ISNUMBER(SEARCH("완사입",$H79)),ISNUMBER(SEARCH("ODM",$H79)))),"본사/생산처 혼재",IF(ISNUMBER(SEARCH("CMT",$H79)),"본사(소재팀)","생산처")))</f>
        <v>본사(소재팀)</v>
      </c>
      <c r="U79" s="25" t="s">
        <v>313</v>
      </c>
      <c r="V79" s="25" t="s">
        <v>313</v>
      </c>
      <c r="W79" s="25" t="s">
        <v>407</v>
      </c>
      <c r="X79" s="26" t="s">
        <v>401</v>
      </c>
      <c r="Y79" s="32" t="s">
        <v>402</v>
      </c>
      <c r="Z79" s="35" t="s">
        <v>403</v>
      </c>
      <c r="AA79" s="28" t="n">
        <v>46178</v>
      </c>
      <c r="AB79" s="33" t="n">
        <v>7000</v>
      </c>
      <c r="AC79" s="33" t="n">
        <v>624813000</v>
      </c>
      <c r="AD79" s="33" t="n">
        <v>2730000000</v>
      </c>
      <c r="AE79" s="26"/>
      <c r="AF79" s="26" t="str">
        <f aca="false"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>소재 입고일정 확인 필요</v>
      </c>
      <c r="AG79" s="24" t="str">
        <f aca="false">IF($K79="","",IF(OR(LEFT($AF79,2)="작지",LEFT($AF79,4)="소재입고"),IF(LEFT($G79,1)="S","★ 납기위험(S코드)","◆ 지연주의"),IF($AF79="정상","✓ 정상","? 확인필요")))</f>
        <v>? 확인필요</v>
      </c>
      <c r="AH79" s="27"/>
      <c r="AI79" s="34"/>
    </row>
    <row r="80" customFormat="false" ht="15" hidden="false" customHeight="false" outlineLevel="0" collapsed="false">
      <c r="A80" s="24" t="n">
        <v>76</v>
      </c>
      <c r="B80" s="25" t="s">
        <v>242</v>
      </c>
      <c r="C80" s="25" t="s">
        <v>243</v>
      </c>
      <c r="D80" s="26" t="s">
        <v>408</v>
      </c>
      <c r="E80" s="25" t="s">
        <v>409</v>
      </c>
      <c r="F80" s="26" t="s">
        <v>196</v>
      </c>
      <c r="G80" s="24" t="str">
        <f aca="false">IF($D80="","",IF(MID($D80,5,1)="S","S(봄)",IF(MID($D80,5,1)="M","M(여름)",IF(MID($D80,5,1)="X","X(사계절)",MID($D80,5,1)))))</f>
        <v>S(봄)</v>
      </c>
      <c r="H80" s="25" t="s">
        <v>97</v>
      </c>
      <c r="I80" s="24"/>
      <c r="J80" s="27" t="s">
        <v>400</v>
      </c>
      <c r="K80" s="28" t="n">
        <f aca="false">IF($J80="","",IFERROR(DATE(IF(VALUE(LEFT($J80,FIND("월",$J80)-1))&gt;=9,기준정보!$C$7-1,기준정보!$C$7),VALUE(LEFT($J80,FIND("월",$J80)-1)),1+7*(VALUE(SUBSTITUTE(MID($J80,FIND("월",$J80)+1,5),"주",""))-1)),""))</f>
        <v>46419</v>
      </c>
      <c r="L80" s="28" t="n">
        <f aca="false">IF($K80="","",IF(AND($K80-기준정보!$C$5&gt;=기준정보!$C$10,$K80-기준정보!$C$5&lt;=기준정보!$C$11),기준정보!$C$10-1,$K80-기준정보!$C$5))</f>
        <v>46405</v>
      </c>
      <c r="M80" s="29" t="n">
        <f aca="false"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>0</v>
      </c>
      <c r="N80" s="28" t="n">
        <f aca="false">IF($L80="","",$L80-기준정보!$C$6-$M80)</f>
        <v>46315</v>
      </c>
      <c r="O80" s="30" t="n">
        <f aca="false">IF($N80="","",$N80-기준정보!$C$4)</f>
        <v>62</v>
      </c>
      <c r="P80" s="27"/>
      <c r="Q80" s="27" t="s">
        <v>100</v>
      </c>
      <c r="R80" s="27" t="s">
        <v>101</v>
      </c>
      <c r="S80" s="31"/>
      <c r="T80" s="26" t="str">
        <f aca="false">IF($H80="","",IF(AND(ISNUMBER(SEARCH("CMT",$H80)),OR(ISNUMBER(SEARCH("완사입",$H80)),ISNUMBER(SEARCH("ODM",$H80)))),"본사/생산처 혼재",IF(ISNUMBER(SEARCH("CMT",$H80)),"본사(소재팀)","생산처")))</f>
        <v>생산처</v>
      </c>
      <c r="U80" s="25" t="s">
        <v>109</v>
      </c>
      <c r="V80" s="25" t="s">
        <v>109</v>
      </c>
      <c r="W80" s="26"/>
      <c r="X80" s="25" t="s">
        <v>220</v>
      </c>
      <c r="Y80" s="35" t="s">
        <v>410</v>
      </c>
      <c r="Z80" s="32"/>
      <c r="AA80" s="28" t="n">
        <v>46213</v>
      </c>
      <c r="AB80" s="33" t="n">
        <v>800</v>
      </c>
      <c r="AC80" s="33" t="n">
        <v>53180800</v>
      </c>
      <c r="AD80" s="33" t="n">
        <v>256000000</v>
      </c>
      <c r="AE80" s="26" t="s">
        <v>400</v>
      </c>
      <c r="AF80" s="26" t="str">
        <f aca="false"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>소재 입고일정 확인 필요</v>
      </c>
      <c r="AG80" s="24" t="str">
        <f aca="false">IF($K80="","",IF(OR(LEFT($AF80,2)="작지",LEFT($AF80,4)="소재입고"),IF(LEFT($G80,1)="S","★ 납기위험(S코드)","◆ 지연주의"),IF($AF80="정상","✓ 정상","? 확인필요")))</f>
        <v>? 확인필요</v>
      </c>
      <c r="AH80" s="27"/>
      <c r="AI80" s="34"/>
    </row>
    <row r="81" customFormat="false" ht="15" hidden="false" customHeight="false" outlineLevel="0" collapsed="false">
      <c r="A81" s="24" t="n">
        <v>77</v>
      </c>
      <c r="B81" s="25" t="s">
        <v>266</v>
      </c>
      <c r="C81" s="25" t="s">
        <v>243</v>
      </c>
      <c r="D81" s="26" t="s">
        <v>411</v>
      </c>
      <c r="E81" s="25" t="s">
        <v>412</v>
      </c>
      <c r="F81" s="26" t="s">
        <v>413</v>
      </c>
      <c r="G81" s="24" t="str">
        <f aca="false">IF($D81="","",IF(MID($D81,5,1)="S","S(봄)",IF(MID($D81,5,1)="M","M(여름)",IF(MID($D81,5,1)="X","X(사계절)",MID($D81,5,1)))))</f>
        <v>S(봄)</v>
      </c>
      <c r="H81" s="26" t="s">
        <v>255</v>
      </c>
      <c r="I81" s="24" t="s">
        <v>274</v>
      </c>
      <c r="J81" s="27" t="s">
        <v>400</v>
      </c>
      <c r="K81" s="28" t="n">
        <f aca="false">IF($J81="","",IFERROR(DATE(IF(VALUE(LEFT($J81,FIND("월",$J81)-1))&gt;=9,기준정보!$C$7-1,기준정보!$C$7),VALUE(LEFT($J81,FIND("월",$J81)-1)),1+7*(VALUE(SUBSTITUTE(MID($J81,FIND("월",$J81)+1,5),"주",""))-1)),""))</f>
        <v>46419</v>
      </c>
      <c r="L81" s="28" t="n">
        <f aca="false">IF($K81="","",IF(AND($K81-기준정보!$C$5&gt;=기준정보!$C$10,$K81-기준정보!$C$5&lt;=기준정보!$C$11),기준정보!$C$10-1,$K81-기준정보!$C$5))</f>
        <v>46405</v>
      </c>
      <c r="M81" s="29" t="n">
        <f aca="false"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>0</v>
      </c>
      <c r="N81" s="28" t="n">
        <f aca="false">IF($L81="","",$L81-기준정보!$C$6-$M81)</f>
        <v>46315</v>
      </c>
      <c r="O81" s="30" t="n">
        <f aca="false">IF($N81="","",$N81-기준정보!$C$4)</f>
        <v>62</v>
      </c>
      <c r="P81" s="27"/>
      <c r="Q81" s="27" t="s">
        <v>100</v>
      </c>
      <c r="R81" s="27" t="s">
        <v>101</v>
      </c>
      <c r="S81" s="31"/>
      <c r="T81" s="26" t="str">
        <f aca="false">IF($H81="","",IF(AND(ISNUMBER(SEARCH("CMT",$H81)),OR(ISNUMBER(SEARCH("완사입",$H81)),ISNUMBER(SEARCH("ODM",$H81)))),"본사/생산처 혼재",IF(ISNUMBER(SEARCH("CMT",$H81)),"본사(소재팀)","생산처")))</f>
        <v>본사(소재팀)</v>
      </c>
      <c r="U81" s="25" t="s">
        <v>109</v>
      </c>
      <c r="V81" s="25" t="s">
        <v>109</v>
      </c>
      <c r="W81" s="25" t="s">
        <v>110</v>
      </c>
      <c r="X81" s="26" t="s">
        <v>414</v>
      </c>
      <c r="Y81" s="32" t="s">
        <v>415</v>
      </c>
      <c r="Z81" s="32"/>
      <c r="AA81" s="28" t="n">
        <v>46248</v>
      </c>
      <c r="AB81" s="33" t="n">
        <v>4000</v>
      </c>
      <c r="AC81" s="33" t="n">
        <v>282392800</v>
      </c>
      <c r="AD81" s="33" t="n">
        <v>1280000000</v>
      </c>
      <c r="AE81" s="26"/>
      <c r="AF81" s="26" t="str">
        <f aca="false"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>소재 입고일정 확인 필요</v>
      </c>
      <c r="AG81" s="24" t="str">
        <f aca="false">IF($K81="","",IF(OR(LEFT($AF81,2)="작지",LEFT($AF81,4)="소재입고"),IF(LEFT($G81,1)="S","★ 납기위험(S코드)","◆ 지연주의"),IF($AF81="정상","✓ 정상","? 확인필요")))</f>
        <v>? 확인필요</v>
      </c>
      <c r="AH81" s="27"/>
      <c r="AI81" s="34"/>
    </row>
    <row r="82" customFormat="false" ht="15" hidden="false" customHeight="false" outlineLevel="0" collapsed="false">
      <c r="A82" s="24" t="n">
        <v>78</v>
      </c>
      <c r="B82" s="25" t="s">
        <v>250</v>
      </c>
      <c r="C82" s="25" t="s">
        <v>251</v>
      </c>
      <c r="D82" s="26" t="s">
        <v>416</v>
      </c>
      <c r="E82" s="26" t="s">
        <v>417</v>
      </c>
      <c r="F82" s="26" t="s">
        <v>304</v>
      </c>
      <c r="G82" s="24" t="str">
        <f aca="false">IF($D82="","",IF(MID($D82,5,1)="S","S(봄)",IF(MID($D82,5,1)="M","M(여름)",IF(MID($D82,5,1)="X","X(사계절)",MID($D82,5,1)))))</f>
        <v>S(봄)</v>
      </c>
      <c r="H82" s="26" t="s">
        <v>255</v>
      </c>
      <c r="I82" s="24"/>
      <c r="J82" s="27" t="s">
        <v>400</v>
      </c>
      <c r="K82" s="28" t="n">
        <f aca="false">IF($J82="","",IFERROR(DATE(IF(VALUE(LEFT($J82,FIND("월",$J82)-1))&gt;=9,기준정보!$C$7-1,기준정보!$C$7),VALUE(LEFT($J82,FIND("월",$J82)-1)),1+7*(VALUE(SUBSTITUTE(MID($J82,FIND("월",$J82)+1,5),"주",""))-1)),""))</f>
        <v>46419</v>
      </c>
      <c r="L82" s="28" t="n">
        <f aca="false">IF($K82="","",IF(AND($K82-기준정보!$C$5&gt;=기준정보!$C$10,$K82-기준정보!$C$5&lt;=기준정보!$C$11),기준정보!$C$10-1,$K82-기준정보!$C$5))</f>
        <v>46405</v>
      </c>
      <c r="M82" s="29" t="n">
        <f aca="false"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>0</v>
      </c>
      <c r="N82" s="28" t="n">
        <f aca="false">IF($L82="","",$L82-기준정보!$C$6-$M82)</f>
        <v>46315</v>
      </c>
      <c r="O82" s="30" t="n">
        <f aca="false">IF($N82="","",$N82-기준정보!$C$4)</f>
        <v>62</v>
      </c>
      <c r="P82" s="27"/>
      <c r="Q82" s="27" t="s">
        <v>100</v>
      </c>
      <c r="R82" s="27" t="s">
        <v>100</v>
      </c>
      <c r="S82" s="31"/>
      <c r="T82" s="26" t="str">
        <f aca="false">IF($H82="","",IF(AND(ISNUMBER(SEARCH("CMT",$H82)),OR(ISNUMBER(SEARCH("완사입",$H82)),ISNUMBER(SEARCH("ODM",$H82)))),"본사/생산처 혼재",IF(ISNUMBER(SEARCH("CMT",$H82)),"본사(소재팀)","생산처")))</f>
        <v>본사(소재팀)</v>
      </c>
      <c r="U82" s="26" t="s">
        <v>280</v>
      </c>
      <c r="V82" s="26" t="s">
        <v>280</v>
      </c>
      <c r="W82" s="25" t="s">
        <v>103</v>
      </c>
      <c r="X82" s="26" t="s">
        <v>284</v>
      </c>
      <c r="Y82" s="32" t="s">
        <v>285</v>
      </c>
      <c r="Z82" s="32"/>
      <c r="AA82" s="28" t="n">
        <v>46195</v>
      </c>
      <c r="AB82" s="33" t="n">
        <v>1800</v>
      </c>
      <c r="AC82" s="33" t="n">
        <v>62179200</v>
      </c>
      <c r="AD82" s="33" t="n">
        <v>356400000</v>
      </c>
      <c r="AE82" s="26" t="s">
        <v>400</v>
      </c>
      <c r="AF82" s="26" t="str">
        <f aca="false"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>소재 입고일정 확인 필요</v>
      </c>
      <c r="AG82" s="24" t="str">
        <f aca="false">IF($K82="","",IF(OR(LEFT($AF82,2)="작지",LEFT($AF82,4)="소재입고"),IF(LEFT($G82,1)="S","★ 납기위험(S코드)","◆ 지연주의"),IF($AF82="정상","✓ 정상","? 확인필요")))</f>
        <v>? 확인필요</v>
      </c>
      <c r="AH82" s="27"/>
      <c r="AI82" s="34"/>
    </row>
    <row r="83" customFormat="false" ht="15" hidden="false" customHeight="false" outlineLevel="0" collapsed="false">
      <c r="A83" s="24" t="n">
        <v>79</v>
      </c>
      <c r="B83" s="25" t="s">
        <v>250</v>
      </c>
      <c r="C83" s="25" t="s">
        <v>251</v>
      </c>
      <c r="D83" s="26" t="s">
        <v>418</v>
      </c>
      <c r="E83" s="25" t="s">
        <v>419</v>
      </c>
      <c r="F83" s="26" t="s">
        <v>420</v>
      </c>
      <c r="G83" s="24" t="str">
        <f aca="false">IF($D83="","",IF(MID($D83,5,1)="S","S(봄)",IF(MID($D83,5,1)="M","M(여름)",IF(MID($D83,5,1)="X","X(사계절)",MID($D83,5,1)))))</f>
        <v>S(봄)</v>
      </c>
      <c r="H83" s="25" t="s">
        <v>97</v>
      </c>
      <c r="I83" s="24"/>
      <c r="J83" s="27" t="s">
        <v>400</v>
      </c>
      <c r="K83" s="28" t="n">
        <f aca="false">IF($J83="","",IFERROR(DATE(IF(VALUE(LEFT($J83,FIND("월",$J83)-1))&gt;=9,기준정보!$C$7-1,기준정보!$C$7),VALUE(LEFT($J83,FIND("월",$J83)-1)),1+7*(VALUE(SUBSTITUTE(MID($J83,FIND("월",$J83)+1,5),"주",""))-1)),""))</f>
        <v>46419</v>
      </c>
      <c r="L83" s="28" t="n">
        <f aca="false">IF($K83="","",IF(AND($K83-기준정보!$C$5&gt;=기준정보!$C$10,$K83-기준정보!$C$5&lt;=기준정보!$C$11),기준정보!$C$10-1,$K83-기준정보!$C$5))</f>
        <v>46405</v>
      </c>
      <c r="M83" s="29" t="n">
        <f aca="false"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>0</v>
      </c>
      <c r="N83" s="28" t="n">
        <f aca="false">IF($L83="","",$L83-기준정보!$C$6-$M83)</f>
        <v>46315</v>
      </c>
      <c r="O83" s="30" t="n">
        <f aca="false">IF($N83="","",$N83-기준정보!$C$4)</f>
        <v>62</v>
      </c>
      <c r="P83" s="27"/>
      <c r="Q83" s="27" t="s">
        <v>100</v>
      </c>
      <c r="R83" s="27" t="s">
        <v>100</v>
      </c>
      <c r="S83" s="31"/>
      <c r="T83" s="26" t="str">
        <f aca="false">IF($H83="","",IF(AND(ISNUMBER(SEARCH("CMT",$H83)),OR(ISNUMBER(SEARCH("완사입",$H83)),ISNUMBER(SEARCH("ODM",$H83)))),"본사/생산처 혼재",IF(ISNUMBER(SEARCH("CMT",$H83)),"본사(소재팀)","생산처")))</f>
        <v>생산처</v>
      </c>
      <c r="U83" s="26" t="s">
        <v>235</v>
      </c>
      <c r="V83" s="26" t="s">
        <v>235</v>
      </c>
      <c r="W83" s="25" t="s">
        <v>110</v>
      </c>
      <c r="X83" s="26" t="s">
        <v>247</v>
      </c>
      <c r="Y83" s="32" t="s">
        <v>296</v>
      </c>
      <c r="Z83" s="32"/>
      <c r="AA83" s="28" t="n">
        <v>46217</v>
      </c>
      <c r="AB83" s="33" t="n">
        <v>2000</v>
      </c>
      <c r="AC83" s="33" t="n">
        <v>52250000</v>
      </c>
      <c r="AD83" s="33" t="n">
        <v>296000000</v>
      </c>
      <c r="AE83" s="26" t="s">
        <v>400</v>
      </c>
      <c r="AF83" s="26" t="str">
        <f aca="false"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>소재 입고일정 확인 필요</v>
      </c>
      <c r="AG83" s="24" t="str">
        <f aca="false">IF($K83="","",IF(OR(LEFT($AF83,2)="작지",LEFT($AF83,4)="소재입고"),IF(LEFT($G83,1)="S","★ 납기위험(S코드)","◆ 지연주의"),IF($AF83="정상","✓ 정상","? 확인필요")))</f>
        <v>? 확인필요</v>
      </c>
      <c r="AH83" s="27"/>
      <c r="AI83" s="34"/>
    </row>
    <row r="84" customFormat="false" ht="15" hidden="false" customHeight="false" outlineLevel="0" collapsed="false">
      <c r="A84" s="24" t="n">
        <v>80</v>
      </c>
      <c r="B84" s="25" t="s">
        <v>250</v>
      </c>
      <c r="C84" s="25" t="s">
        <v>251</v>
      </c>
      <c r="D84" s="26" t="s">
        <v>421</v>
      </c>
      <c r="E84" s="25" t="s">
        <v>422</v>
      </c>
      <c r="F84" s="26" t="s">
        <v>423</v>
      </c>
      <c r="G84" s="24" t="str">
        <f aca="false">IF($D84="","",IF(MID($D84,5,1)="S","S(봄)",IF(MID($D84,5,1)="M","M(여름)",IF(MID($D84,5,1)="X","X(사계절)",MID($D84,5,1)))))</f>
        <v>S(봄)</v>
      </c>
      <c r="H84" s="25" t="s">
        <v>97</v>
      </c>
      <c r="I84" s="24"/>
      <c r="J84" s="27" t="s">
        <v>400</v>
      </c>
      <c r="K84" s="28" t="n">
        <f aca="false">IF($J84="","",IFERROR(DATE(IF(VALUE(LEFT($J84,FIND("월",$J84)-1))&gt;=9,기준정보!$C$7-1,기준정보!$C$7),VALUE(LEFT($J84,FIND("월",$J84)-1)),1+7*(VALUE(SUBSTITUTE(MID($J84,FIND("월",$J84)+1,5),"주",""))-1)),""))</f>
        <v>46419</v>
      </c>
      <c r="L84" s="28" t="n">
        <f aca="false">IF($K84="","",IF(AND($K84-기준정보!$C$5&gt;=기준정보!$C$10,$K84-기준정보!$C$5&lt;=기준정보!$C$11),기준정보!$C$10-1,$K84-기준정보!$C$5))</f>
        <v>46405</v>
      </c>
      <c r="M84" s="29" t="n">
        <f aca="false"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>0</v>
      </c>
      <c r="N84" s="28" t="n">
        <f aca="false">IF($L84="","",$L84-기준정보!$C$6-$M84)</f>
        <v>46315</v>
      </c>
      <c r="O84" s="30" t="n">
        <f aca="false">IF($N84="","",$N84-기준정보!$C$4)</f>
        <v>62</v>
      </c>
      <c r="P84" s="27"/>
      <c r="Q84" s="27" t="s">
        <v>100</v>
      </c>
      <c r="R84" s="27" t="s">
        <v>100</v>
      </c>
      <c r="S84" s="31"/>
      <c r="T84" s="26" t="str">
        <f aca="false">IF($H84="","",IF(AND(ISNUMBER(SEARCH("CMT",$H84)),OR(ISNUMBER(SEARCH("완사입",$H84)),ISNUMBER(SEARCH("ODM",$H84)))),"본사/생산처 혼재",IF(ISNUMBER(SEARCH("CMT",$H84)),"본사(소재팀)","생산처")))</f>
        <v>생산처</v>
      </c>
      <c r="U84" s="26" t="s">
        <v>235</v>
      </c>
      <c r="V84" s="26" t="s">
        <v>235</v>
      </c>
      <c r="W84" s="25" t="s">
        <v>110</v>
      </c>
      <c r="X84" s="26" t="s">
        <v>300</v>
      </c>
      <c r="Y84" s="32" t="s">
        <v>301</v>
      </c>
      <c r="Z84" s="32"/>
      <c r="AA84" s="28" t="n">
        <v>46238</v>
      </c>
      <c r="AB84" s="33" t="n">
        <v>1300</v>
      </c>
      <c r="AC84" s="33" t="n">
        <v>27060800</v>
      </c>
      <c r="AD84" s="33" t="n">
        <v>166400000</v>
      </c>
      <c r="AE84" s="26" t="s">
        <v>400</v>
      </c>
      <c r="AF84" s="26" t="str">
        <f aca="false"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>소재 입고일정 확인 필요</v>
      </c>
      <c r="AG84" s="24" t="str">
        <f aca="false">IF($K84="","",IF(OR(LEFT($AF84,2)="작지",LEFT($AF84,4)="소재입고"),IF(LEFT($G84,1)="S","★ 납기위험(S코드)","◆ 지연주의"),IF($AF84="정상","✓ 정상","? 확인필요")))</f>
        <v>? 확인필요</v>
      </c>
      <c r="AH84" s="27"/>
      <c r="AI84" s="34"/>
    </row>
    <row r="85" customFormat="false" ht="15" hidden="false" customHeight="false" outlineLevel="0" collapsed="false">
      <c r="A85" s="24" t="n">
        <v>81</v>
      </c>
      <c r="B85" s="25" t="s">
        <v>250</v>
      </c>
      <c r="C85" s="25" t="s">
        <v>251</v>
      </c>
      <c r="D85" s="26" t="s">
        <v>424</v>
      </c>
      <c r="E85" s="25" t="s">
        <v>425</v>
      </c>
      <c r="F85" s="26" t="s">
        <v>426</v>
      </c>
      <c r="G85" s="24" t="str">
        <f aca="false">IF($D85="","",IF(MID($D85,5,1)="S","S(봄)",IF(MID($D85,5,1)="M","M(여름)",IF(MID($D85,5,1)="X","X(사계절)",MID($D85,5,1)))))</f>
        <v>S(봄)</v>
      </c>
      <c r="H85" s="25" t="s">
        <v>97</v>
      </c>
      <c r="I85" s="24"/>
      <c r="J85" s="27" t="s">
        <v>400</v>
      </c>
      <c r="K85" s="28" t="n">
        <f aca="false">IF($J85="","",IFERROR(DATE(IF(VALUE(LEFT($J85,FIND("월",$J85)-1))&gt;=9,기준정보!$C$7-1,기준정보!$C$7),VALUE(LEFT($J85,FIND("월",$J85)-1)),1+7*(VALUE(SUBSTITUTE(MID($J85,FIND("월",$J85)+1,5),"주",""))-1)),""))</f>
        <v>46419</v>
      </c>
      <c r="L85" s="28" t="n">
        <f aca="false">IF($K85="","",IF(AND($K85-기준정보!$C$5&gt;=기준정보!$C$10,$K85-기준정보!$C$5&lt;=기준정보!$C$11),기준정보!$C$10-1,$K85-기준정보!$C$5))</f>
        <v>46405</v>
      </c>
      <c r="M85" s="29" t="n">
        <f aca="false"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>0</v>
      </c>
      <c r="N85" s="28" t="n">
        <f aca="false">IF($L85="","",$L85-기준정보!$C$6-$M85)</f>
        <v>46315</v>
      </c>
      <c r="O85" s="30" t="n">
        <f aca="false">IF($N85="","",$N85-기준정보!$C$4)</f>
        <v>62</v>
      </c>
      <c r="P85" s="27"/>
      <c r="Q85" s="27" t="s">
        <v>100</v>
      </c>
      <c r="R85" s="27" t="s">
        <v>100</v>
      </c>
      <c r="S85" s="31"/>
      <c r="T85" s="26" t="str">
        <f aca="false">IF($H85="","",IF(AND(ISNUMBER(SEARCH("CMT",$H85)),OR(ISNUMBER(SEARCH("완사입",$H85)),ISNUMBER(SEARCH("ODM",$H85)))),"본사/생산처 혼재",IF(ISNUMBER(SEARCH("CMT",$H85)),"본사(소재팀)","생산처")))</f>
        <v>생산처</v>
      </c>
      <c r="U85" s="26" t="s">
        <v>235</v>
      </c>
      <c r="V85" s="26" t="s">
        <v>235</v>
      </c>
      <c r="W85" s="25" t="s">
        <v>110</v>
      </c>
      <c r="X85" s="26" t="s">
        <v>247</v>
      </c>
      <c r="Y85" s="32" t="s">
        <v>296</v>
      </c>
      <c r="Z85" s="32"/>
      <c r="AA85" s="28" t="n">
        <v>46204</v>
      </c>
      <c r="AB85" s="33" t="n">
        <v>1200</v>
      </c>
      <c r="AC85" s="33" t="n">
        <v>32727600</v>
      </c>
      <c r="AD85" s="33" t="n">
        <v>201600000</v>
      </c>
      <c r="AE85" s="26" t="s">
        <v>400</v>
      </c>
      <c r="AF85" s="26" t="str">
        <f aca="false"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>소재 입고일정 확인 필요</v>
      </c>
      <c r="AG85" s="24" t="str">
        <f aca="false">IF($K85="","",IF(OR(LEFT($AF85,2)="작지",LEFT($AF85,4)="소재입고"),IF(LEFT($G85,1)="S","★ 납기위험(S코드)","◆ 지연주의"),IF($AF85="정상","✓ 정상","? 확인필요")))</f>
        <v>? 확인필요</v>
      </c>
      <c r="AH85" s="27"/>
      <c r="AI85" s="34"/>
    </row>
    <row r="86" customFormat="false" ht="15" hidden="false" customHeight="false" outlineLevel="0" collapsed="false">
      <c r="A86" s="24" t="n">
        <v>82</v>
      </c>
      <c r="B86" s="25" t="s">
        <v>250</v>
      </c>
      <c r="C86" s="25" t="s">
        <v>251</v>
      </c>
      <c r="D86" s="26" t="s">
        <v>427</v>
      </c>
      <c r="E86" s="25" t="s">
        <v>428</v>
      </c>
      <c r="F86" s="26" t="s">
        <v>429</v>
      </c>
      <c r="G86" s="24" t="str">
        <f aca="false">IF($D86="","",IF(MID($D86,5,1)="S","S(봄)",IF(MID($D86,5,1)="M","M(여름)",IF(MID($D86,5,1)="X","X(사계절)",MID($D86,5,1)))))</f>
        <v>S(봄)</v>
      </c>
      <c r="H86" s="25" t="s">
        <v>97</v>
      </c>
      <c r="I86" s="24"/>
      <c r="J86" s="27" t="s">
        <v>400</v>
      </c>
      <c r="K86" s="28" t="n">
        <f aca="false">IF($J86="","",IFERROR(DATE(IF(VALUE(LEFT($J86,FIND("월",$J86)-1))&gt;=9,기준정보!$C$7-1,기준정보!$C$7),VALUE(LEFT($J86,FIND("월",$J86)-1)),1+7*(VALUE(SUBSTITUTE(MID($J86,FIND("월",$J86)+1,5),"주",""))-1)),""))</f>
        <v>46419</v>
      </c>
      <c r="L86" s="28" t="n">
        <f aca="false">IF($K86="","",IF(AND($K86-기준정보!$C$5&gt;=기준정보!$C$10,$K86-기준정보!$C$5&lt;=기준정보!$C$11),기준정보!$C$10-1,$K86-기준정보!$C$5))</f>
        <v>46405</v>
      </c>
      <c r="M86" s="29" t="n">
        <f aca="false"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>0</v>
      </c>
      <c r="N86" s="28" t="n">
        <f aca="false">IF($L86="","",$L86-기준정보!$C$6-$M86)</f>
        <v>46315</v>
      </c>
      <c r="O86" s="30" t="n">
        <f aca="false">IF($N86="","",$N86-기준정보!$C$4)</f>
        <v>62</v>
      </c>
      <c r="P86" s="27" t="s">
        <v>100</v>
      </c>
      <c r="Q86" s="27" t="s">
        <v>100</v>
      </c>
      <c r="R86" s="27" t="s">
        <v>100</v>
      </c>
      <c r="S86" s="31"/>
      <c r="T86" s="26" t="str">
        <f aca="false">IF($H86="","",IF(AND(ISNUMBER(SEARCH("CMT",$H86)),OR(ISNUMBER(SEARCH("완사입",$H86)),ISNUMBER(SEARCH("ODM",$H86)))),"본사/생산처 혼재",IF(ISNUMBER(SEARCH("CMT",$H86)),"본사(소재팀)","생산처")))</f>
        <v>생산처</v>
      </c>
      <c r="U86" s="25" t="s">
        <v>380</v>
      </c>
      <c r="V86" s="25" t="s">
        <v>380</v>
      </c>
      <c r="W86" s="25" t="s">
        <v>110</v>
      </c>
      <c r="X86" s="25" t="s">
        <v>430</v>
      </c>
      <c r="Y86" s="35" t="s">
        <v>241</v>
      </c>
      <c r="Z86" s="32"/>
      <c r="AA86" s="28" t="n">
        <v>46202</v>
      </c>
      <c r="AB86" s="33" t="n">
        <v>3000</v>
      </c>
      <c r="AC86" s="33" t="n">
        <v>114219000</v>
      </c>
      <c r="AD86" s="33" t="n">
        <v>504000000</v>
      </c>
      <c r="AE86" s="26" t="s">
        <v>400</v>
      </c>
      <c r="AF86" s="26" t="str">
        <f aca="false"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>소재 입고일정 확인 필요</v>
      </c>
      <c r="AG86" s="24" t="str">
        <f aca="false">IF($K86="","",IF(OR(LEFT($AF86,2)="작지",LEFT($AF86,4)="소재입고"),IF(LEFT($G86,1)="S","★ 납기위험(S코드)","◆ 지연주의"),IF($AF86="정상","✓ 정상","? 확인필요")))</f>
        <v>? 확인필요</v>
      </c>
      <c r="AH86" s="27"/>
      <c r="AI86" s="34"/>
    </row>
    <row r="87" customFormat="false" ht="15" hidden="false" customHeight="false" outlineLevel="0" collapsed="false">
      <c r="A87" s="24" t="n">
        <v>83</v>
      </c>
      <c r="B87" s="25" t="s">
        <v>250</v>
      </c>
      <c r="C87" s="25" t="s">
        <v>251</v>
      </c>
      <c r="D87" s="26" t="s">
        <v>431</v>
      </c>
      <c r="E87" s="25" t="s">
        <v>432</v>
      </c>
      <c r="F87" s="26" t="s">
        <v>180</v>
      </c>
      <c r="G87" s="24" t="str">
        <f aca="false">IF($D87="","",IF(MID($D87,5,1)="S","S(봄)",IF(MID($D87,5,1)="M","M(여름)",IF(MID($D87,5,1)="X","X(사계절)",MID($D87,5,1)))))</f>
        <v>S(봄)</v>
      </c>
      <c r="H87" s="25" t="s">
        <v>97</v>
      </c>
      <c r="I87" s="24"/>
      <c r="J87" s="27" t="s">
        <v>400</v>
      </c>
      <c r="K87" s="28" t="n">
        <f aca="false">IF($J87="","",IFERROR(DATE(IF(VALUE(LEFT($J87,FIND("월",$J87)-1))&gt;=9,기준정보!$C$7-1,기준정보!$C$7),VALUE(LEFT($J87,FIND("월",$J87)-1)),1+7*(VALUE(SUBSTITUTE(MID($J87,FIND("월",$J87)+1,5),"주",""))-1)),""))</f>
        <v>46419</v>
      </c>
      <c r="L87" s="28" t="n">
        <f aca="false">IF($K87="","",IF(AND($K87-기준정보!$C$5&gt;=기준정보!$C$10,$K87-기준정보!$C$5&lt;=기준정보!$C$11),기준정보!$C$10-1,$K87-기준정보!$C$5))</f>
        <v>46405</v>
      </c>
      <c r="M87" s="29" t="n">
        <f aca="false"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>0</v>
      </c>
      <c r="N87" s="28" t="n">
        <f aca="false">IF($L87="","",$L87-기준정보!$C$6-$M87)</f>
        <v>46315</v>
      </c>
      <c r="O87" s="30" t="n">
        <f aca="false">IF($N87="","",$N87-기준정보!$C$4)</f>
        <v>62</v>
      </c>
      <c r="P87" s="27"/>
      <c r="Q87" s="27" t="s">
        <v>100</v>
      </c>
      <c r="R87" s="27" t="s">
        <v>100</v>
      </c>
      <c r="S87" s="31"/>
      <c r="T87" s="26" t="str">
        <f aca="false">IF($H87="","",IF(AND(ISNUMBER(SEARCH("CMT",$H87)),OR(ISNUMBER(SEARCH("완사입",$H87)),ISNUMBER(SEARCH("ODM",$H87)))),"본사/생산처 혼재",IF(ISNUMBER(SEARCH("CMT",$H87)),"본사(소재팀)","생산처")))</f>
        <v>생산처</v>
      </c>
      <c r="U87" s="26" t="s">
        <v>235</v>
      </c>
      <c r="V87" s="25" t="s">
        <v>380</v>
      </c>
      <c r="W87" s="25" t="s">
        <v>110</v>
      </c>
      <c r="X87" s="25" t="s">
        <v>122</v>
      </c>
      <c r="Y87" s="35" t="s">
        <v>392</v>
      </c>
      <c r="Z87" s="32"/>
      <c r="AA87" s="28"/>
      <c r="AB87" s="33" t="n">
        <v>1400</v>
      </c>
      <c r="AC87" s="33" t="n">
        <v>31536400</v>
      </c>
      <c r="AD87" s="33" t="n">
        <v>207200000</v>
      </c>
      <c r="AE87" s="26" t="s">
        <v>400</v>
      </c>
      <c r="AF87" s="26" t="str">
        <f aca="false"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>소재 입고일정 확인 필요</v>
      </c>
      <c r="AG87" s="24" t="str">
        <f aca="false">IF($K87="","",IF(OR(LEFT($AF87,2)="작지",LEFT($AF87,4)="소재입고"),IF(LEFT($G87,1)="S","★ 납기위험(S코드)","◆ 지연주의"),IF($AF87="정상","✓ 정상","? 확인필요")))</f>
        <v>? 확인필요</v>
      </c>
      <c r="AH87" s="27"/>
      <c r="AI87" s="34"/>
    </row>
    <row r="88" customFormat="false" ht="15" hidden="false" customHeight="false" outlineLevel="0" collapsed="false">
      <c r="A88" s="24" t="n">
        <v>84</v>
      </c>
      <c r="B88" s="25" t="s">
        <v>266</v>
      </c>
      <c r="C88" s="25" t="s">
        <v>243</v>
      </c>
      <c r="D88" s="26" t="s">
        <v>433</v>
      </c>
      <c r="E88" s="25" t="s">
        <v>434</v>
      </c>
      <c r="F88" s="26" t="s">
        <v>435</v>
      </c>
      <c r="G88" s="24" t="str">
        <f aca="false">IF($D88="","",IF(MID($D88,5,1)="S","S(봄)",IF(MID($D88,5,1)="M","M(여름)",IF(MID($D88,5,1)="X","X(사계절)",MID($D88,5,1)))))</f>
        <v>S(봄)</v>
      </c>
      <c r="H88" s="26" t="s">
        <v>255</v>
      </c>
      <c r="I88" s="24" t="s">
        <v>274</v>
      </c>
      <c r="J88" s="27" t="s">
        <v>400</v>
      </c>
      <c r="K88" s="28" t="n">
        <f aca="false">IF($J88="","",IFERROR(DATE(IF(VALUE(LEFT($J88,FIND("월",$J88)-1))&gt;=9,기준정보!$C$7-1,기준정보!$C$7),VALUE(LEFT($J88,FIND("월",$J88)-1)),1+7*(VALUE(SUBSTITUTE(MID($J88,FIND("월",$J88)+1,5),"주",""))-1)),""))</f>
        <v>46419</v>
      </c>
      <c r="L88" s="28" t="n">
        <f aca="false">IF($K88="","",IF(AND($K88-기준정보!$C$5&gt;=기준정보!$C$10,$K88-기준정보!$C$5&lt;=기준정보!$C$11),기준정보!$C$10-1,$K88-기준정보!$C$5))</f>
        <v>46405</v>
      </c>
      <c r="M88" s="29" t="n">
        <f aca="false"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>0</v>
      </c>
      <c r="N88" s="28" t="n">
        <f aca="false">IF($L88="","",$L88-기준정보!$C$6-$M88)</f>
        <v>46315</v>
      </c>
      <c r="O88" s="30" t="n">
        <f aca="false">IF($N88="","",$N88-기준정보!$C$4)</f>
        <v>62</v>
      </c>
      <c r="P88" s="27"/>
      <c r="Q88" s="27" t="s">
        <v>100</v>
      </c>
      <c r="R88" s="27" t="s">
        <v>101</v>
      </c>
      <c r="S88" s="31"/>
      <c r="T88" s="26" t="str">
        <f aca="false">IF($H88="","",IF(AND(ISNUMBER(SEARCH("CMT",$H88)),OR(ISNUMBER(SEARCH("완사입",$H88)),ISNUMBER(SEARCH("ODM",$H88)))),"본사/생산처 혼재",IF(ISNUMBER(SEARCH("CMT",$H88)),"본사(소재팀)","생산처")))</f>
        <v>본사(소재팀)</v>
      </c>
      <c r="U88" s="25" t="s">
        <v>102</v>
      </c>
      <c r="V88" s="25" t="s">
        <v>102</v>
      </c>
      <c r="W88" s="25" t="s">
        <v>103</v>
      </c>
      <c r="X88" s="26" t="s">
        <v>401</v>
      </c>
      <c r="Y88" s="32" t="s">
        <v>402</v>
      </c>
      <c r="Z88" s="35" t="s">
        <v>403</v>
      </c>
      <c r="AA88" s="28" t="n">
        <v>46178</v>
      </c>
      <c r="AB88" s="33" t="n">
        <v>2500</v>
      </c>
      <c r="AC88" s="33" t="n">
        <v>273335000</v>
      </c>
      <c r="AD88" s="33" t="n">
        <v>1125000000</v>
      </c>
      <c r="AE88" s="26"/>
      <c r="AF88" s="26" t="str">
        <f aca="false"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>소재 입고일정 확인 필요</v>
      </c>
      <c r="AG88" s="24" t="str">
        <f aca="false">IF($K88="","",IF(OR(LEFT($AF88,2)="작지",LEFT($AF88,4)="소재입고"),IF(LEFT($G88,1)="S","★ 납기위험(S코드)","◆ 지연주의"),IF($AF88="정상","✓ 정상","? 확인필요")))</f>
        <v>? 확인필요</v>
      </c>
      <c r="AH88" s="27"/>
      <c r="AI88" s="34"/>
    </row>
    <row r="89" customFormat="false" ht="15" hidden="false" customHeight="false" outlineLevel="0" collapsed="false">
      <c r="A89" s="24" t="n">
        <v>85</v>
      </c>
      <c r="B89" s="25" t="s">
        <v>266</v>
      </c>
      <c r="C89" s="25" t="s">
        <v>243</v>
      </c>
      <c r="D89" s="26" t="s">
        <v>436</v>
      </c>
      <c r="E89" s="25" t="s">
        <v>437</v>
      </c>
      <c r="F89" s="26" t="s">
        <v>438</v>
      </c>
      <c r="G89" s="24" t="str">
        <f aca="false">IF($D89="","",IF(MID($D89,5,1)="S","S(봄)",IF(MID($D89,5,1)="M","M(여름)",IF(MID($D89,5,1)="X","X(사계절)",MID($D89,5,1)))))</f>
        <v>S(봄)</v>
      </c>
      <c r="H89" s="26" t="s">
        <v>255</v>
      </c>
      <c r="I89" s="24" t="s">
        <v>274</v>
      </c>
      <c r="J89" s="27" t="s">
        <v>400</v>
      </c>
      <c r="K89" s="28" t="n">
        <f aca="false">IF($J89="","",IFERROR(DATE(IF(VALUE(LEFT($J89,FIND("월",$J89)-1))&gt;=9,기준정보!$C$7-1,기준정보!$C$7),VALUE(LEFT($J89,FIND("월",$J89)-1)),1+7*(VALUE(SUBSTITUTE(MID($J89,FIND("월",$J89)+1,5),"주",""))-1)),""))</f>
        <v>46419</v>
      </c>
      <c r="L89" s="28" t="n">
        <f aca="false">IF($K89="","",IF(AND($K89-기준정보!$C$5&gt;=기준정보!$C$10,$K89-기준정보!$C$5&lt;=기준정보!$C$11),기준정보!$C$10-1,$K89-기준정보!$C$5))</f>
        <v>46405</v>
      </c>
      <c r="M89" s="29" t="n">
        <f aca="false"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>0</v>
      </c>
      <c r="N89" s="28" t="n">
        <f aca="false">IF($L89="","",$L89-기준정보!$C$6-$M89)</f>
        <v>46315</v>
      </c>
      <c r="O89" s="30" t="n">
        <f aca="false">IF($N89="","",$N89-기준정보!$C$4)</f>
        <v>62</v>
      </c>
      <c r="P89" s="27"/>
      <c r="Q89" s="27" t="s">
        <v>100</v>
      </c>
      <c r="R89" s="27" t="s">
        <v>101</v>
      </c>
      <c r="S89" s="31"/>
      <c r="T89" s="26" t="str">
        <f aca="false">IF($H89="","",IF(AND(ISNUMBER(SEARCH("CMT",$H89)),OR(ISNUMBER(SEARCH("완사입",$H89)),ISNUMBER(SEARCH("ODM",$H89)))),"본사/생산처 혼재",IF(ISNUMBER(SEARCH("CMT",$H89)),"본사(소재팀)","생산처")))</f>
        <v>본사(소재팀)</v>
      </c>
      <c r="U89" s="25" t="s">
        <v>313</v>
      </c>
      <c r="V89" s="25" t="s">
        <v>313</v>
      </c>
      <c r="W89" s="25" t="s">
        <v>407</v>
      </c>
      <c r="X89" s="26" t="s">
        <v>401</v>
      </c>
      <c r="Y89" s="32" t="s">
        <v>402</v>
      </c>
      <c r="Z89" s="35" t="s">
        <v>403</v>
      </c>
      <c r="AA89" s="28" t="n">
        <v>46179</v>
      </c>
      <c r="AB89" s="33" t="n">
        <v>7640</v>
      </c>
      <c r="AC89" s="33" t="n">
        <v>753495000</v>
      </c>
      <c r="AD89" s="33" t="n">
        <v>2979600000</v>
      </c>
      <c r="AE89" s="26"/>
      <c r="AF89" s="26" t="str">
        <f aca="false"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>소재 입고일정 확인 필요</v>
      </c>
      <c r="AG89" s="24" t="str">
        <f aca="false">IF($K89="","",IF(OR(LEFT($AF89,2)="작지",LEFT($AF89,4)="소재입고"),IF(LEFT($G89,1)="S","★ 납기위험(S코드)","◆ 지연주의"),IF($AF89="정상","✓ 정상","? 확인필요")))</f>
        <v>? 확인필요</v>
      </c>
      <c r="AH89" s="27"/>
      <c r="AI89" s="34"/>
    </row>
    <row r="90" customFormat="false" ht="15" hidden="false" customHeight="false" outlineLevel="0" collapsed="false">
      <c r="A90" s="24" t="n">
        <v>86</v>
      </c>
      <c r="B90" s="25" t="s">
        <v>266</v>
      </c>
      <c r="C90" s="25" t="s">
        <v>243</v>
      </c>
      <c r="D90" s="26" t="s">
        <v>439</v>
      </c>
      <c r="E90" s="25" t="s">
        <v>440</v>
      </c>
      <c r="F90" s="26" t="s">
        <v>180</v>
      </c>
      <c r="G90" s="24" t="str">
        <f aca="false">IF($D90="","",IF(MID($D90,5,1)="S","S(봄)",IF(MID($D90,5,1)="M","M(여름)",IF(MID($D90,5,1)="X","X(사계절)",MID($D90,5,1)))))</f>
        <v>S(봄)</v>
      </c>
      <c r="H90" s="25" t="s">
        <v>97</v>
      </c>
      <c r="I90" s="24"/>
      <c r="J90" s="27" t="s">
        <v>400</v>
      </c>
      <c r="K90" s="28" t="n">
        <f aca="false">IF($J90="","",IFERROR(DATE(IF(VALUE(LEFT($J90,FIND("월",$J90)-1))&gt;=9,기준정보!$C$7-1,기준정보!$C$7),VALUE(LEFT($J90,FIND("월",$J90)-1)),1+7*(VALUE(SUBSTITUTE(MID($J90,FIND("월",$J90)+1,5),"주",""))-1)),""))</f>
        <v>46419</v>
      </c>
      <c r="L90" s="28" t="n">
        <f aca="false">IF($K90="","",IF(AND($K90-기준정보!$C$5&gt;=기준정보!$C$10,$K90-기준정보!$C$5&lt;=기준정보!$C$11),기준정보!$C$10-1,$K90-기준정보!$C$5))</f>
        <v>46405</v>
      </c>
      <c r="M90" s="29" t="n">
        <f aca="false"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>0</v>
      </c>
      <c r="N90" s="28" t="n">
        <f aca="false">IF($L90="","",$L90-기준정보!$C$6-$M90)</f>
        <v>46315</v>
      </c>
      <c r="O90" s="30" t="n">
        <f aca="false">IF($N90="","",$N90-기준정보!$C$4)</f>
        <v>62</v>
      </c>
      <c r="P90" s="27"/>
      <c r="Q90" s="27" t="s">
        <v>100</v>
      </c>
      <c r="R90" s="27" t="s">
        <v>101</v>
      </c>
      <c r="S90" s="31"/>
      <c r="T90" s="26" t="str">
        <f aca="false">IF($H90="","",IF(AND(ISNUMBER(SEARCH("CMT",$H90)),OR(ISNUMBER(SEARCH("완사입",$H90)),ISNUMBER(SEARCH("ODM",$H90)))),"본사/생산처 혼재",IF(ISNUMBER(SEARCH("CMT",$H90)),"본사(소재팀)","생산처")))</f>
        <v>생산처</v>
      </c>
      <c r="U90" s="25" t="s">
        <v>109</v>
      </c>
      <c r="V90" s="25" t="s">
        <v>109</v>
      </c>
      <c r="W90" s="25" t="s">
        <v>110</v>
      </c>
      <c r="X90" s="25" t="s">
        <v>220</v>
      </c>
      <c r="Y90" s="35" t="s">
        <v>410</v>
      </c>
      <c r="Z90" s="32"/>
      <c r="AA90" s="28" t="n">
        <v>46213</v>
      </c>
      <c r="AB90" s="33" t="n">
        <v>2200</v>
      </c>
      <c r="AC90" s="33" t="n">
        <v>169224000</v>
      </c>
      <c r="AD90" s="33" t="n">
        <v>704000000</v>
      </c>
      <c r="AE90" s="26"/>
      <c r="AF90" s="26" t="str">
        <f aca="false"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>소재 입고일정 확인 필요</v>
      </c>
      <c r="AG90" s="24" t="str">
        <f aca="false">IF($K90="","",IF(OR(LEFT($AF90,2)="작지",LEFT($AF90,4)="소재입고"),IF(LEFT($G90,1)="S","★ 납기위험(S코드)","◆ 지연주의"),IF($AF90="정상","✓ 정상","? 확인필요")))</f>
        <v>? 확인필요</v>
      </c>
      <c r="AH90" s="27"/>
      <c r="AI90" s="34"/>
    </row>
    <row r="91" customFormat="false" ht="15" hidden="false" customHeight="false" outlineLevel="0" collapsed="false">
      <c r="A91" s="24" t="n">
        <v>87</v>
      </c>
      <c r="B91" s="25" t="s">
        <v>266</v>
      </c>
      <c r="C91" s="25" t="s">
        <v>243</v>
      </c>
      <c r="D91" s="26" t="s">
        <v>441</v>
      </c>
      <c r="E91" s="25" t="s">
        <v>442</v>
      </c>
      <c r="F91" s="26" t="s">
        <v>443</v>
      </c>
      <c r="G91" s="24" t="str">
        <f aca="false">IF($D91="","",IF(MID($D91,5,1)="S","S(봄)",IF(MID($D91,5,1)="M","M(여름)",IF(MID($D91,5,1)="X","X(사계절)",MID($D91,5,1)))))</f>
        <v>S(봄)</v>
      </c>
      <c r="H91" s="26" t="s">
        <v>255</v>
      </c>
      <c r="I91" s="24" t="s">
        <v>274</v>
      </c>
      <c r="J91" s="27" t="s">
        <v>400</v>
      </c>
      <c r="K91" s="28" t="n">
        <f aca="false">IF($J91="","",IFERROR(DATE(IF(VALUE(LEFT($J91,FIND("월",$J91)-1))&gt;=9,기준정보!$C$7-1,기준정보!$C$7),VALUE(LEFT($J91,FIND("월",$J91)-1)),1+7*(VALUE(SUBSTITUTE(MID($J91,FIND("월",$J91)+1,5),"주",""))-1)),""))</f>
        <v>46419</v>
      </c>
      <c r="L91" s="28" t="n">
        <f aca="false">IF($K91="","",IF(AND($K91-기준정보!$C$5&gt;=기준정보!$C$10,$K91-기준정보!$C$5&lt;=기준정보!$C$11),기준정보!$C$10-1,$K91-기준정보!$C$5))</f>
        <v>46405</v>
      </c>
      <c r="M91" s="29" t="n">
        <f aca="false"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>0</v>
      </c>
      <c r="N91" s="28" t="n">
        <f aca="false">IF($L91="","",$L91-기준정보!$C$6-$M91)</f>
        <v>46315</v>
      </c>
      <c r="O91" s="30" t="n">
        <f aca="false">IF($N91="","",$N91-기준정보!$C$4)</f>
        <v>62</v>
      </c>
      <c r="P91" s="27"/>
      <c r="Q91" s="27" t="s">
        <v>100</v>
      </c>
      <c r="R91" s="27" t="s">
        <v>101</v>
      </c>
      <c r="S91" s="31"/>
      <c r="T91" s="26" t="str">
        <f aca="false">IF($H91="","",IF(AND(ISNUMBER(SEARCH("CMT",$H91)),OR(ISNUMBER(SEARCH("완사입",$H91)),ISNUMBER(SEARCH("ODM",$H91)))),"본사/생산처 혼재",IF(ISNUMBER(SEARCH("CMT",$H91)),"본사(소재팀)","생산처")))</f>
        <v>본사(소재팀)</v>
      </c>
      <c r="U91" s="25" t="s">
        <v>109</v>
      </c>
      <c r="V91" s="25" t="s">
        <v>109</v>
      </c>
      <c r="W91" s="25" t="s">
        <v>110</v>
      </c>
      <c r="X91" s="26" t="s">
        <v>414</v>
      </c>
      <c r="Y91" s="32" t="s">
        <v>415</v>
      </c>
      <c r="Z91" s="32"/>
      <c r="AA91" s="28" t="n">
        <v>46248</v>
      </c>
      <c r="AB91" s="33" t="n">
        <v>7000</v>
      </c>
      <c r="AC91" s="33" t="n">
        <v>566366500</v>
      </c>
      <c r="AD91" s="33" t="n">
        <v>2240000000</v>
      </c>
      <c r="AE91" s="26"/>
      <c r="AF91" s="26" t="str">
        <f aca="false"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>소재 입고일정 확인 필요</v>
      </c>
      <c r="AG91" s="24" t="str">
        <f aca="false">IF($K91="","",IF(OR(LEFT($AF91,2)="작지",LEFT($AF91,4)="소재입고"),IF(LEFT($G91,1)="S","★ 납기위험(S코드)","◆ 지연주의"),IF($AF91="정상","✓ 정상","? 확인필요")))</f>
        <v>? 확인필요</v>
      </c>
      <c r="AH91" s="27"/>
      <c r="AI91" s="34"/>
    </row>
    <row r="92" customFormat="false" ht="15" hidden="false" customHeight="false" outlineLevel="0" collapsed="false">
      <c r="A92" s="24" t="n">
        <v>88</v>
      </c>
      <c r="B92" s="25" t="s">
        <v>308</v>
      </c>
      <c r="C92" s="25" t="s">
        <v>309</v>
      </c>
      <c r="D92" s="26" t="s">
        <v>444</v>
      </c>
      <c r="E92" s="25" t="s">
        <v>445</v>
      </c>
      <c r="F92" s="26" t="s">
        <v>446</v>
      </c>
      <c r="G92" s="24" t="str">
        <f aca="false">IF($D92="","",IF(MID($D92,5,1)="S","S(봄)",IF(MID($D92,5,1)="M","M(여름)",IF(MID($D92,5,1)="X","X(사계절)",MID($D92,5,1)))))</f>
        <v>S(봄)</v>
      </c>
      <c r="H92" s="25" t="s">
        <v>97</v>
      </c>
      <c r="I92" s="24"/>
      <c r="J92" s="27" t="s">
        <v>400</v>
      </c>
      <c r="K92" s="28" t="n">
        <f aca="false">IF($J92="","",IFERROR(DATE(IF(VALUE(LEFT($J92,FIND("월",$J92)-1))&gt;=9,기준정보!$C$7-1,기준정보!$C$7),VALUE(LEFT($J92,FIND("월",$J92)-1)),1+7*(VALUE(SUBSTITUTE(MID($J92,FIND("월",$J92)+1,5),"주",""))-1)),""))</f>
        <v>46419</v>
      </c>
      <c r="L92" s="28" t="n">
        <f aca="false">IF($K92="","",IF(AND($K92-기준정보!$C$5&gt;=기준정보!$C$10,$K92-기준정보!$C$5&lt;=기준정보!$C$11),기준정보!$C$10-1,$K92-기준정보!$C$5))</f>
        <v>46405</v>
      </c>
      <c r="M92" s="29" t="n">
        <f aca="false"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>0</v>
      </c>
      <c r="N92" s="28" t="n">
        <f aca="false">IF($L92="","",$L92-기준정보!$C$6-$M92)</f>
        <v>46315</v>
      </c>
      <c r="O92" s="30" t="n">
        <f aca="false">IF($N92="","",$N92-기준정보!$C$4)</f>
        <v>62</v>
      </c>
      <c r="P92" s="27"/>
      <c r="Q92" s="27" t="s">
        <v>100</v>
      </c>
      <c r="R92" s="27" t="s">
        <v>100</v>
      </c>
      <c r="S92" s="31"/>
      <c r="T92" s="26" t="str">
        <f aca="false">IF($H92="","",IF(AND(ISNUMBER(SEARCH("CMT",$H92)),OR(ISNUMBER(SEARCH("완사입",$H92)),ISNUMBER(SEARCH("ODM",$H92)))),"본사/생산처 혼재",IF(ISNUMBER(SEARCH("CMT",$H92)),"본사(소재팀)","생산처")))</f>
        <v>생산처</v>
      </c>
      <c r="U92" s="25" t="s">
        <v>102</v>
      </c>
      <c r="V92" s="25" t="s">
        <v>102</v>
      </c>
      <c r="W92" s="25" t="s">
        <v>103</v>
      </c>
      <c r="X92" s="26" t="s">
        <v>284</v>
      </c>
      <c r="Y92" s="32" t="s">
        <v>285</v>
      </c>
      <c r="Z92" s="32"/>
      <c r="AA92" s="28" t="n">
        <v>46224</v>
      </c>
      <c r="AB92" s="33" t="n">
        <v>2800</v>
      </c>
      <c r="AC92" s="33" t="n">
        <v>226968000</v>
      </c>
      <c r="AD92" s="33" t="n">
        <v>896000000</v>
      </c>
      <c r="AE92" s="26" t="s">
        <v>400</v>
      </c>
      <c r="AF92" s="26" t="str">
        <f aca="false"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>소재 입고일정 확인 필요</v>
      </c>
      <c r="AG92" s="24" t="str">
        <f aca="false">IF($K92="","",IF(OR(LEFT($AF92,2)="작지",LEFT($AF92,4)="소재입고"),IF(LEFT($G92,1)="S","★ 납기위험(S코드)","◆ 지연주의"),IF($AF92="정상","✓ 정상","? 확인필요")))</f>
        <v>? 확인필요</v>
      </c>
      <c r="AH92" s="27"/>
      <c r="AI92" s="34"/>
    </row>
    <row r="93" customFormat="false" ht="15" hidden="false" customHeight="false" outlineLevel="0" collapsed="false">
      <c r="A93" s="24" t="n">
        <v>89</v>
      </c>
      <c r="B93" s="25" t="s">
        <v>308</v>
      </c>
      <c r="C93" s="25" t="s">
        <v>309</v>
      </c>
      <c r="D93" s="26" t="s">
        <v>447</v>
      </c>
      <c r="E93" s="25" t="s">
        <v>448</v>
      </c>
      <c r="F93" s="26" t="s">
        <v>449</v>
      </c>
      <c r="G93" s="24" t="str">
        <f aca="false">IF($D93="","",IF(MID($D93,5,1)="S","S(봄)",IF(MID($D93,5,1)="M","M(여름)",IF(MID($D93,5,1)="X","X(사계절)",MID($D93,5,1)))))</f>
        <v>S(봄)</v>
      </c>
      <c r="H93" s="25" t="s">
        <v>97</v>
      </c>
      <c r="I93" s="24"/>
      <c r="J93" s="27" t="s">
        <v>400</v>
      </c>
      <c r="K93" s="28" t="n">
        <f aca="false">IF($J93="","",IFERROR(DATE(IF(VALUE(LEFT($J93,FIND("월",$J93)-1))&gt;=9,기준정보!$C$7-1,기준정보!$C$7),VALUE(LEFT($J93,FIND("월",$J93)-1)),1+7*(VALUE(SUBSTITUTE(MID($J93,FIND("월",$J93)+1,5),"주",""))-1)),""))</f>
        <v>46419</v>
      </c>
      <c r="L93" s="28" t="n">
        <f aca="false">IF($K93="","",IF(AND($K93-기준정보!$C$5&gt;=기준정보!$C$10,$K93-기준정보!$C$5&lt;=기준정보!$C$11),기준정보!$C$10-1,$K93-기준정보!$C$5))</f>
        <v>46405</v>
      </c>
      <c r="M93" s="29" t="n">
        <f aca="false"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>0</v>
      </c>
      <c r="N93" s="28" t="n">
        <f aca="false">IF($L93="","",$L93-기준정보!$C$6-$M93)</f>
        <v>46315</v>
      </c>
      <c r="O93" s="30" t="n">
        <f aca="false">IF($N93="","",$N93-기준정보!$C$4)</f>
        <v>62</v>
      </c>
      <c r="P93" s="27"/>
      <c r="Q93" s="27" t="s">
        <v>100</v>
      </c>
      <c r="R93" s="27" t="s">
        <v>100</v>
      </c>
      <c r="S93" s="31"/>
      <c r="T93" s="26" t="str">
        <f aca="false">IF($H93="","",IF(AND(ISNUMBER(SEARCH("CMT",$H93)),OR(ISNUMBER(SEARCH("완사입",$H93)),ISNUMBER(SEARCH("ODM",$H93)))),"본사/생산처 혼재",IF(ISNUMBER(SEARCH("CMT",$H93)),"본사(소재팀)","생산처")))</f>
        <v>생산처</v>
      </c>
      <c r="U93" s="25" t="s">
        <v>102</v>
      </c>
      <c r="V93" s="25" t="s">
        <v>102</v>
      </c>
      <c r="W93" s="25" t="s">
        <v>103</v>
      </c>
      <c r="X93" s="26" t="s">
        <v>450</v>
      </c>
      <c r="Y93" s="32" t="s">
        <v>315</v>
      </c>
      <c r="Z93" s="35" t="s">
        <v>451</v>
      </c>
      <c r="AA93" s="28" t="n">
        <v>46209</v>
      </c>
      <c r="AB93" s="33" t="n">
        <v>1700</v>
      </c>
      <c r="AC93" s="33" t="n">
        <v>118962600</v>
      </c>
      <c r="AD93" s="33" t="n">
        <v>544000000</v>
      </c>
      <c r="AE93" s="26"/>
      <c r="AF93" s="26" t="str">
        <f aca="false"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>소재 입고일정 확인 필요</v>
      </c>
      <c r="AG93" s="24" t="str">
        <f aca="false">IF($K93="","",IF(OR(LEFT($AF93,2)="작지",LEFT($AF93,4)="소재입고"),IF(LEFT($G93,1)="S","★ 납기위험(S코드)","◆ 지연주의"),IF($AF93="정상","✓ 정상","? 확인필요")))</f>
        <v>? 확인필요</v>
      </c>
      <c r="AH93" s="27"/>
      <c r="AI93" s="34"/>
    </row>
    <row r="94" customFormat="false" ht="15" hidden="false" customHeight="false" outlineLevel="0" collapsed="false">
      <c r="A94" s="24" t="n">
        <v>90</v>
      </c>
      <c r="B94" s="25" t="s">
        <v>308</v>
      </c>
      <c r="C94" s="25" t="s">
        <v>309</v>
      </c>
      <c r="D94" s="26" t="s">
        <v>452</v>
      </c>
      <c r="E94" s="25" t="s">
        <v>453</v>
      </c>
      <c r="F94" s="26" t="s">
        <v>454</v>
      </c>
      <c r="G94" s="24" t="str">
        <f aca="false">IF($D94="","",IF(MID($D94,5,1)="S","S(봄)",IF(MID($D94,5,1)="M","M(여름)",IF(MID($D94,5,1)="X","X(사계절)",MID($D94,5,1)))))</f>
        <v>S(봄)</v>
      </c>
      <c r="H94" s="25" t="s">
        <v>97</v>
      </c>
      <c r="I94" s="24"/>
      <c r="J94" s="27" t="s">
        <v>400</v>
      </c>
      <c r="K94" s="28" t="n">
        <f aca="false">IF($J94="","",IFERROR(DATE(IF(VALUE(LEFT($J94,FIND("월",$J94)-1))&gt;=9,기준정보!$C$7-1,기준정보!$C$7),VALUE(LEFT($J94,FIND("월",$J94)-1)),1+7*(VALUE(SUBSTITUTE(MID($J94,FIND("월",$J94)+1,5),"주",""))-1)),""))</f>
        <v>46419</v>
      </c>
      <c r="L94" s="28" t="n">
        <f aca="false">IF($K94="","",IF(AND($K94-기준정보!$C$5&gt;=기준정보!$C$10,$K94-기준정보!$C$5&lt;=기준정보!$C$11),기준정보!$C$10-1,$K94-기준정보!$C$5))</f>
        <v>46405</v>
      </c>
      <c r="M94" s="29" t="n">
        <f aca="false"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>0</v>
      </c>
      <c r="N94" s="28" t="n">
        <f aca="false">IF($L94="","",$L94-기준정보!$C$6-$M94)</f>
        <v>46315</v>
      </c>
      <c r="O94" s="30" t="n">
        <f aca="false">IF($N94="","",$N94-기준정보!$C$4)</f>
        <v>62</v>
      </c>
      <c r="P94" s="27"/>
      <c r="Q94" s="27" t="s">
        <v>100</v>
      </c>
      <c r="R94" s="27" t="s">
        <v>100</v>
      </c>
      <c r="S94" s="31"/>
      <c r="T94" s="26" t="str">
        <f aca="false">IF($H94="","",IF(AND(ISNUMBER(SEARCH("CMT",$H94)),OR(ISNUMBER(SEARCH("완사입",$H94)),ISNUMBER(SEARCH("ODM",$H94)))),"본사/생산처 혼재",IF(ISNUMBER(SEARCH("CMT",$H94)),"본사(소재팀)","생산처")))</f>
        <v>생산처</v>
      </c>
      <c r="U94" s="26" t="s">
        <v>235</v>
      </c>
      <c r="V94" s="26" t="s">
        <v>235</v>
      </c>
      <c r="W94" s="25" t="s">
        <v>110</v>
      </c>
      <c r="X94" s="26" t="s">
        <v>235</v>
      </c>
      <c r="Y94" s="32" t="s">
        <v>338</v>
      </c>
      <c r="Z94" s="32"/>
      <c r="AA94" s="28" t="n">
        <v>46217</v>
      </c>
      <c r="AB94" s="33" t="n">
        <v>1400</v>
      </c>
      <c r="AC94" s="33" t="n">
        <v>55910400</v>
      </c>
      <c r="AD94" s="33" t="n">
        <v>249200000</v>
      </c>
      <c r="AE94" s="26"/>
      <c r="AF94" s="26" t="str">
        <f aca="false"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>소재 입고일정 확인 필요</v>
      </c>
      <c r="AG94" s="24" t="str">
        <f aca="false">IF($K94="","",IF(OR(LEFT($AF94,2)="작지",LEFT($AF94,4)="소재입고"),IF(LEFT($G94,1)="S","★ 납기위험(S코드)","◆ 지연주의"),IF($AF94="정상","✓ 정상","? 확인필요")))</f>
        <v>? 확인필요</v>
      </c>
      <c r="AH94" s="27"/>
      <c r="AI94" s="34"/>
    </row>
    <row r="95" customFormat="false" ht="15" hidden="false" customHeight="false" outlineLevel="0" collapsed="false">
      <c r="A95" s="24" t="n">
        <v>91</v>
      </c>
      <c r="B95" s="25" t="s">
        <v>308</v>
      </c>
      <c r="C95" s="25" t="s">
        <v>309</v>
      </c>
      <c r="D95" s="26" t="s">
        <v>455</v>
      </c>
      <c r="E95" s="25" t="s">
        <v>456</v>
      </c>
      <c r="F95" s="26" t="s">
        <v>312</v>
      </c>
      <c r="G95" s="24" t="str">
        <f aca="false">IF($D95="","",IF(MID($D95,5,1)="S","S(봄)",IF(MID($D95,5,1)="M","M(여름)",IF(MID($D95,5,1)="X","X(사계절)",MID($D95,5,1)))))</f>
        <v>S(봄)</v>
      </c>
      <c r="H95" s="25" t="s">
        <v>97</v>
      </c>
      <c r="I95" s="24"/>
      <c r="J95" s="27" t="s">
        <v>400</v>
      </c>
      <c r="K95" s="28" t="n">
        <f aca="false">IF($J95="","",IFERROR(DATE(IF(VALUE(LEFT($J95,FIND("월",$J95)-1))&gt;=9,기준정보!$C$7-1,기준정보!$C$7),VALUE(LEFT($J95,FIND("월",$J95)-1)),1+7*(VALUE(SUBSTITUTE(MID($J95,FIND("월",$J95)+1,5),"주",""))-1)),""))</f>
        <v>46419</v>
      </c>
      <c r="L95" s="28" t="n">
        <f aca="false">IF($K95="","",IF(AND($K95-기준정보!$C$5&gt;=기준정보!$C$10,$K95-기준정보!$C$5&lt;=기준정보!$C$11),기준정보!$C$10-1,$K95-기준정보!$C$5))</f>
        <v>46405</v>
      </c>
      <c r="M95" s="29" t="n">
        <f aca="false"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>0</v>
      </c>
      <c r="N95" s="28" t="n">
        <f aca="false">IF($L95="","",$L95-기준정보!$C$6-$M95)</f>
        <v>46315</v>
      </c>
      <c r="O95" s="30" t="n">
        <f aca="false">IF($N95="","",$N95-기준정보!$C$4)</f>
        <v>62</v>
      </c>
      <c r="P95" s="27"/>
      <c r="Q95" s="27" t="s">
        <v>100</v>
      </c>
      <c r="R95" s="27" t="s">
        <v>100</v>
      </c>
      <c r="S95" s="31"/>
      <c r="T95" s="26" t="str">
        <f aca="false">IF($H95="","",IF(AND(ISNUMBER(SEARCH("CMT",$H95)),OR(ISNUMBER(SEARCH("완사입",$H95)),ISNUMBER(SEARCH("ODM",$H95)))),"본사/생산처 혼재",IF(ISNUMBER(SEARCH("CMT",$H95)),"본사(소재팀)","생산처")))</f>
        <v>생산처</v>
      </c>
      <c r="U95" s="25" t="s">
        <v>102</v>
      </c>
      <c r="V95" s="25" t="s">
        <v>102</v>
      </c>
      <c r="W95" s="25" t="s">
        <v>103</v>
      </c>
      <c r="X95" s="25" t="s">
        <v>457</v>
      </c>
      <c r="Y95" s="35" t="s">
        <v>458</v>
      </c>
      <c r="Z95" s="32"/>
      <c r="AA95" s="28" t="n">
        <v>46216</v>
      </c>
      <c r="AB95" s="33" t="n">
        <v>1200</v>
      </c>
      <c r="AC95" s="33" t="n">
        <v>84998400</v>
      </c>
      <c r="AD95" s="33" t="n">
        <v>420000000</v>
      </c>
      <c r="AE95" s="26"/>
      <c r="AF95" s="26" t="str">
        <f aca="false"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>소재 입고일정 확인 필요</v>
      </c>
      <c r="AG95" s="24" t="str">
        <f aca="false">IF($K95="","",IF(OR(LEFT($AF95,2)="작지",LEFT($AF95,4)="소재입고"),IF(LEFT($G95,1)="S","★ 납기위험(S코드)","◆ 지연주의"),IF($AF95="정상","✓ 정상","? 확인필요")))</f>
        <v>? 확인필요</v>
      </c>
      <c r="AH95" s="27"/>
      <c r="AI95" s="34"/>
    </row>
    <row r="96" customFormat="false" ht="15" hidden="false" customHeight="false" outlineLevel="0" collapsed="false">
      <c r="A96" s="24" t="n">
        <v>92</v>
      </c>
      <c r="B96" s="25" t="s">
        <v>308</v>
      </c>
      <c r="C96" s="25" t="s">
        <v>320</v>
      </c>
      <c r="D96" s="26" t="s">
        <v>459</v>
      </c>
      <c r="E96" s="25" t="s">
        <v>460</v>
      </c>
      <c r="F96" s="26" t="s">
        <v>461</v>
      </c>
      <c r="G96" s="24" t="str">
        <f aca="false">IF($D96="","",IF(MID($D96,5,1)="S","S(봄)",IF(MID($D96,5,1)="M","M(여름)",IF(MID($D96,5,1)="X","X(사계절)",MID($D96,5,1)))))</f>
        <v>S(봄)</v>
      </c>
      <c r="H96" s="25" t="s">
        <v>97</v>
      </c>
      <c r="I96" s="24"/>
      <c r="J96" s="27" t="s">
        <v>400</v>
      </c>
      <c r="K96" s="28" t="n">
        <f aca="false">IF($J96="","",IFERROR(DATE(IF(VALUE(LEFT($J96,FIND("월",$J96)-1))&gt;=9,기준정보!$C$7-1,기준정보!$C$7),VALUE(LEFT($J96,FIND("월",$J96)-1)),1+7*(VALUE(SUBSTITUTE(MID($J96,FIND("월",$J96)+1,5),"주",""))-1)),""))</f>
        <v>46419</v>
      </c>
      <c r="L96" s="28" t="n">
        <f aca="false">IF($K96="","",IF(AND($K96-기준정보!$C$5&gt;=기준정보!$C$10,$K96-기준정보!$C$5&lt;=기준정보!$C$11),기준정보!$C$10-1,$K96-기준정보!$C$5))</f>
        <v>46405</v>
      </c>
      <c r="M96" s="29" t="n">
        <f aca="false"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>0</v>
      </c>
      <c r="N96" s="28" t="n">
        <f aca="false">IF($L96="","",$L96-기준정보!$C$6-$M96)</f>
        <v>46315</v>
      </c>
      <c r="O96" s="30" t="n">
        <f aca="false">IF($N96="","",$N96-기준정보!$C$4)</f>
        <v>62</v>
      </c>
      <c r="P96" s="27"/>
      <c r="Q96" s="27" t="s">
        <v>100</v>
      </c>
      <c r="R96" s="27" t="s">
        <v>100</v>
      </c>
      <c r="S96" s="31"/>
      <c r="T96" s="26" t="str">
        <f aca="false">IF($H96="","",IF(AND(ISNUMBER(SEARCH("CMT",$H96)),OR(ISNUMBER(SEARCH("완사입",$H96)),ISNUMBER(SEARCH("ODM",$H96)))),"본사/생산처 혼재",IF(ISNUMBER(SEARCH("CMT",$H96)),"본사(소재팀)","생산처")))</f>
        <v>생산처</v>
      </c>
      <c r="U96" s="25" t="s">
        <v>109</v>
      </c>
      <c r="V96" s="25" t="s">
        <v>109</v>
      </c>
      <c r="W96" s="25" t="s">
        <v>407</v>
      </c>
      <c r="X96" s="26" t="s">
        <v>333</v>
      </c>
      <c r="Y96" s="32" t="s">
        <v>462</v>
      </c>
      <c r="Z96" s="32"/>
      <c r="AA96" s="28" t="n">
        <v>46230</v>
      </c>
      <c r="AB96" s="33" t="n">
        <v>5000</v>
      </c>
      <c r="AC96" s="33" t="n">
        <v>283061400</v>
      </c>
      <c r="AD96" s="33" t="n">
        <v>1250000000</v>
      </c>
      <c r="AE96" s="26"/>
      <c r="AF96" s="26" t="str">
        <f aca="false"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>소재 입고일정 확인 필요</v>
      </c>
      <c r="AG96" s="24" t="str">
        <f aca="false">IF($K96="","",IF(OR(LEFT($AF96,2)="작지",LEFT($AF96,4)="소재입고"),IF(LEFT($G96,1)="S","★ 납기위험(S코드)","◆ 지연주의"),IF($AF96="정상","✓ 정상","? 확인필요")))</f>
        <v>? 확인필요</v>
      </c>
      <c r="AH96" s="27"/>
      <c r="AI96" s="34"/>
    </row>
    <row r="97" customFormat="false" ht="15" hidden="false" customHeight="false" outlineLevel="0" collapsed="false">
      <c r="A97" s="24" t="n">
        <v>93</v>
      </c>
      <c r="B97" s="25" t="s">
        <v>327</v>
      </c>
      <c r="C97" s="25" t="s">
        <v>328</v>
      </c>
      <c r="D97" s="26" t="s">
        <v>463</v>
      </c>
      <c r="E97" s="25" t="s">
        <v>464</v>
      </c>
      <c r="F97" s="26" t="s">
        <v>465</v>
      </c>
      <c r="G97" s="24" t="str">
        <f aca="false">IF($D97="","",IF(MID($D97,5,1)="S","S(봄)",IF(MID($D97,5,1)="M","M(여름)",IF(MID($D97,5,1)="X","X(사계절)",MID($D97,5,1)))))</f>
        <v>S(봄)</v>
      </c>
      <c r="H97" s="26" t="s">
        <v>255</v>
      </c>
      <c r="I97" s="24" t="s">
        <v>466</v>
      </c>
      <c r="J97" s="27" t="s">
        <v>400</v>
      </c>
      <c r="K97" s="28" t="n">
        <f aca="false">IF($J97="","",IFERROR(DATE(IF(VALUE(LEFT($J97,FIND("월",$J97)-1))&gt;=9,기준정보!$C$7-1,기준정보!$C$7),VALUE(LEFT($J97,FIND("월",$J97)-1)),1+7*(VALUE(SUBSTITUTE(MID($J97,FIND("월",$J97)+1,5),"주",""))-1)),""))</f>
        <v>46419</v>
      </c>
      <c r="L97" s="28" t="n">
        <f aca="false">IF($K97="","",IF(AND($K97-기준정보!$C$5&gt;=기준정보!$C$10,$K97-기준정보!$C$5&lt;=기준정보!$C$11),기준정보!$C$10-1,$K97-기준정보!$C$5))</f>
        <v>46405</v>
      </c>
      <c r="M97" s="29" t="n">
        <f aca="false"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>0</v>
      </c>
      <c r="N97" s="28" t="n">
        <f aca="false">IF($L97="","",$L97-기준정보!$C$6-$M97)</f>
        <v>46315</v>
      </c>
      <c r="O97" s="30" t="n">
        <f aca="false">IF($N97="","",$N97-기준정보!$C$4)</f>
        <v>62</v>
      </c>
      <c r="P97" s="27"/>
      <c r="Q97" s="27" t="s">
        <v>100</v>
      </c>
      <c r="R97" s="27" t="s">
        <v>100</v>
      </c>
      <c r="S97" s="31"/>
      <c r="T97" s="26" t="str">
        <f aca="false">IF($H97="","",IF(AND(ISNUMBER(SEARCH("CMT",$H97)),OR(ISNUMBER(SEARCH("완사입",$H97)),ISNUMBER(SEARCH("ODM",$H97)))),"본사/생산처 혼재",IF(ISNUMBER(SEARCH("CMT",$H97)),"본사(소재팀)","생산처")))</f>
        <v>본사(소재팀)</v>
      </c>
      <c r="U97" s="26" t="s">
        <v>183</v>
      </c>
      <c r="V97" s="26" t="s">
        <v>183</v>
      </c>
      <c r="W97" s="25" t="s">
        <v>103</v>
      </c>
      <c r="X97" s="26" t="s">
        <v>333</v>
      </c>
      <c r="Y97" s="32" t="s">
        <v>334</v>
      </c>
      <c r="Z97" s="32"/>
      <c r="AA97" s="28" t="n">
        <v>46218</v>
      </c>
      <c r="AB97" s="33" t="n">
        <v>1600</v>
      </c>
      <c r="AC97" s="33" t="n">
        <v>81600000</v>
      </c>
      <c r="AD97" s="33" t="n">
        <v>352000000</v>
      </c>
      <c r="AE97" s="26"/>
      <c r="AF97" s="26" t="str">
        <f aca="false"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>소재 입고일정 확인 필요</v>
      </c>
      <c r="AG97" s="24" t="str">
        <f aca="false">IF($K97="","",IF(OR(LEFT($AF97,2)="작지",LEFT($AF97,4)="소재입고"),IF(LEFT($G97,1)="S","★ 납기위험(S코드)","◆ 지연주의"),IF($AF97="정상","✓ 정상","? 확인필요")))</f>
        <v>? 확인필요</v>
      </c>
      <c r="AH97" s="27"/>
      <c r="AI97" s="34"/>
    </row>
    <row r="98" customFormat="false" ht="15" hidden="false" customHeight="false" outlineLevel="0" collapsed="false">
      <c r="A98" s="24" t="n">
        <v>94</v>
      </c>
      <c r="B98" s="25" t="s">
        <v>327</v>
      </c>
      <c r="C98" s="25" t="s">
        <v>309</v>
      </c>
      <c r="D98" s="26" t="s">
        <v>467</v>
      </c>
      <c r="E98" s="25" t="s">
        <v>468</v>
      </c>
      <c r="F98" s="26" t="s">
        <v>331</v>
      </c>
      <c r="G98" s="24" t="str">
        <f aca="false">IF($D98="","",IF(MID($D98,5,1)="S","S(봄)",IF(MID($D98,5,1)="M","M(여름)",IF(MID($D98,5,1)="X","X(사계절)",MID($D98,5,1)))))</f>
        <v>S(봄)</v>
      </c>
      <c r="H98" s="25" t="s">
        <v>97</v>
      </c>
      <c r="I98" s="24" t="s">
        <v>466</v>
      </c>
      <c r="J98" s="27" t="s">
        <v>400</v>
      </c>
      <c r="K98" s="28" t="n">
        <f aca="false">IF($J98="","",IFERROR(DATE(IF(VALUE(LEFT($J98,FIND("월",$J98)-1))&gt;=9,기준정보!$C$7-1,기준정보!$C$7),VALUE(LEFT($J98,FIND("월",$J98)-1)),1+7*(VALUE(SUBSTITUTE(MID($J98,FIND("월",$J98)+1,5),"주",""))-1)),""))</f>
        <v>46419</v>
      </c>
      <c r="L98" s="28" t="n">
        <f aca="false">IF($K98="","",IF(AND($K98-기준정보!$C$5&gt;=기준정보!$C$10,$K98-기준정보!$C$5&lt;=기준정보!$C$11),기준정보!$C$10-1,$K98-기준정보!$C$5))</f>
        <v>46405</v>
      </c>
      <c r="M98" s="29" t="n">
        <f aca="false"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>0</v>
      </c>
      <c r="N98" s="28" t="n">
        <f aca="false">IF($L98="","",$L98-기준정보!$C$6-$M98)</f>
        <v>46315</v>
      </c>
      <c r="O98" s="30" t="n">
        <f aca="false">IF($N98="","",$N98-기준정보!$C$4)</f>
        <v>62</v>
      </c>
      <c r="P98" s="27"/>
      <c r="Q98" s="27" t="s">
        <v>100</v>
      </c>
      <c r="R98" s="27" t="s">
        <v>100</v>
      </c>
      <c r="S98" s="31"/>
      <c r="T98" s="26" t="str">
        <f aca="false">IF($H98="","",IF(AND(ISNUMBER(SEARCH("CMT",$H98)),OR(ISNUMBER(SEARCH("완사입",$H98)),ISNUMBER(SEARCH("ODM",$H98)))),"본사/생산처 혼재",IF(ISNUMBER(SEARCH("CMT",$H98)),"본사(소재팀)","생산처")))</f>
        <v>생산처</v>
      </c>
      <c r="U98" s="25" t="s">
        <v>109</v>
      </c>
      <c r="V98" s="25" t="s">
        <v>109</v>
      </c>
      <c r="W98" s="25" t="s">
        <v>103</v>
      </c>
      <c r="X98" s="26" t="s">
        <v>450</v>
      </c>
      <c r="Y98" s="32" t="s">
        <v>315</v>
      </c>
      <c r="Z98" s="35" t="s">
        <v>451</v>
      </c>
      <c r="AA98" s="28" t="n">
        <v>46197</v>
      </c>
      <c r="AB98" s="33" t="n">
        <v>2200</v>
      </c>
      <c r="AC98" s="33" t="n">
        <v>94773800</v>
      </c>
      <c r="AD98" s="33" t="n">
        <v>594000000</v>
      </c>
      <c r="AE98" s="26" t="s">
        <v>400</v>
      </c>
      <c r="AF98" s="26" t="str">
        <f aca="false"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>소재 입고일정 확인 필요</v>
      </c>
      <c r="AG98" s="24" t="str">
        <f aca="false">IF($K98="","",IF(OR(LEFT($AF98,2)="작지",LEFT($AF98,4)="소재입고"),IF(LEFT($G98,1)="S","★ 납기위험(S코드)","◆ 지연주의"),IF($AF98="정상","✓ 정상","? 확인필요")))</f>
        <v>? 확인필요</v>
      </c>
      <c r="AH98" s="27"/>
      <c r="AI98" s="34"/>
    </row>
    <row r="99" customFormat="false" ht="15" hidden="false" customHeight="false" outlineLevel="0" collapsed="false">
      <c r="A99" s="24" t="n">
        <v>95</v>
      </c>
      <c r="B99" s="25" t="s">
        <v>308</v>
      </c>
      <c r="C99" s="25" t="s">
        <v>320</v>
      </c>
      <c r="D99" s="26" t="s">
        <v>469</v>
      </c>
      <c r="E99" s="25" t="s">
        <v>470</v>
      </c>
      <c r="F99" s="26" t="s">
        <v>471</v>
      </c>
      <c r="G99" s="24" t="str">
        <f aca="false">IF($D99="","",IF(MID($D99,5,1)="S","S(봄)",IF(MID($D99,5,1)="M","M(여름)",IF(MID($D99,5,1)="X","X(사계절)",MID($D99,5,1)))))</f>
        <v>S(봄)</v>
      </c>
      <c r="H99" s="25" t="s">
        <v>97</v>
      </c>
      <c r="I99" s="24"/>
      <c r="J99" s="27" t="s">
        <v>400</v>
      </c>
      <c r="K99" s="28" t="n">
        <f aca="false">IF($J99="","",IFERROR(DATE(IF(VALUE(LEFT($J99,FIND("월",$J99)-1))&gt;=9,기준정보!$C$7-1,기준정보!$C$7),VALUE(LEFT($J99,FIND("월",$J99)-1)),1+7*(VALUE(SUBSTITUTE(MID($J99,FIND("월",$J99)+1,5),"주",""))-1)),""))</f>
        <v>46419</v>
      </c>
      <c r="L99" s="28" t="n">
        <f aca="false">IF($K99="","",IF(AND($K99-기준정보!$C$5&gt;=기준정보!$C$10,$K99-기준정보!$C$5&lt;=기준정보!$C$11),기준정보!$C$10-1,$K99-기준정보!$C$5))</f>
        <v>46405</v>
      </c>
      <c r="M99" s="29" t="n">
        <f aca="false"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>0</v>
      </c>
      <c r="N99" s="28" t="n">
        <f aca="false">IF($L99="","",$L99-기준정보!$C$6-$M99)</f>
        <v>46315</v>
      </c>
      <c r="O99" s="30" t="n">
        <f aca="false">IF($N99="","",$N99-기준정보!$C$4)</f>
        <v>62</v>
      </c>
      <c r="P99" s="27"/>
      <c r="Q99" s="27" t="s">
        <v>100</v>
      </c>
      <c r="R99" s="27" t="s">
        <v>100</v>
      </c>
      <c r="S99" s="31"/>
      <c r="T99" s="26" t="str">
        <f aca="false">IF($H99="","",IF(AND(ISNUMBER(SEARCH("CMT",$H99)),OR(ISNUMBER(SEARCH("완사입",$H99)),ISNUMBER(SEARCH("ODM",$H99)))),"본사/생산처 혼재",IF(ISNUMBER(SEARCH("CMT",$H99)),"본사(소재팀)","생산처")))</f>
        <v>생산처</v>
      </c>
      <c r="U99" s="26" t="s">
        <v>235</v>
      </c>
      <c r="V99" s="26" t="s">
        <v>235</v>
      </c>
      <c r="W99" s="25" t="s">
        <v>110</v>
      </c>
      <c r="X99" s="26" t="s">
        <v>235</v>
      </c>
      <c r="Y99" s="32" t="s">
        <v>338</v>
      </c>
      <c r="Z99" s="32"/>
      <c r="AA99" s="28" t="n">
        <v>46216</v>
      </c>
      <c r="AB99" s="33" t="n">
        <v>1200</v>
      </c>
      <c r="AC99" s="33" t="n">
        <v>36000000</v>
      </c>
      <c r="AD99" s="33" t="n">
        <v>189600000</v>
      </c>
      <c r="AE99" s="26" t="s">
        <v>400</v>
      </c>
      <c r="AF99" s="26" t="str">
        <f aca="false"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>소재 입고일정 확인 필요</v>
      </c>
      <c r="AG99" s="24" t="str">
        <f aca="false">IF($K99="","",IF(OR(LEFT($AF99,2)="작지",LEFT($AF99,4)="소재입고"),IF(LEFT($G99,1)="S","★ 납기위험(S코드)","◆ 지연주의"),IF($AF99="정상","✓ 정상","? 확인필요")))</f>
        <v>? 확인필요</v>
      </c>
      <c r="AH99" s="27"/>
      <c r="AI99" s="34"/>
    </row>
    <row r="100" customFormat="false" ht="15" hidden="false" customHeight="false" outlineLevel="0" collapsed="false">
      <c r="A100" s="24" t="n">
        <v>96</v>
      </c>
      <c r="B100" s="25" t="s">
        <v>308</v>
      </c>
      <c r="C100" s="25" t="s">
        <v>320</v>
      </c>
      <c r="D100" s="26" t="s">
        <v>472</v>
      </c>
      <c r="E100" s="25" t="s">
        <v>473</v>
      </c>
      <c r="F100" s="26" t="s">
        <v>474</v>
      </c>
      <c r="G100" s="24" t="str">
        <f aca="false">IF($D100="","",IF(MID($D100,5,1)="S","S(봄)",IF(MID($D100,5,1)="M","M(여름)",IF(MID($D100,5,1)="X","X(사계절)",MID($D100,5,1)))))</f>
        <v>S(봄)</v>
      </c>
      <c r="H100" s="25" t="s">
        <v>97</v>
      </c>
      <c r="I100" s="24"/>
      <c r="J100" s="27" t="s">
        <v>400</v>
      </c>
      <c r="K100" s="28" t="n">
        <f aca="false">IF($J100="","",IFERROR(DATE(IF(VALUE(LEFT($J100,FIND("월",$J100)-1))&gt;=9,기준정보!$C$7-1,기준정보!$C$7),VALUE(LEFT($J100,FIND("월",$J100)-1)),1+7*(VALUE(SUBSTITUTE(MID($J100,FIND("월",$J100)+1,5),"주",""))-1)),""))</f>
        <v>46419</v>
      </c>
      <c r="L100" s="28" t="n">
        <f aca="false">IF($K100="","",IF(AND($K100-기준정보!$C$5&gt;=기준정보!$C$10,$K100-기준정보!$C$5&lt;=기준정보!$C$11),기준정보!$C$10-1,$K100-기준정보!$C$5))</f>
        <v>46405</v>
      </c>
      <c r="M100" s="29" t="n">
        <f aca="false"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>0</v>
      </c>
      <c r="N100" s="28" t="n">
        <f aca="false">IF($L100="","",$L100-기준정보!$C$6-$M100)</f>
        <v>46315</v>
      </c>
      <c r="O100" s="30" t="n">
        <f aca="false">IF($N100="","",$N100-기준정보!$C$4)</f>
        <v>62</v>
      </c>
      <c r="P100" s="27"/>
      <c r="Q100" s="27" t="s">
        <v>100</v>
      </c>
      <c r="R100" s="27" t="s">
        <v>100</v>
      </c>
      <c r="S100" s="31"/>
      <c r="T100" s="26" t="str">
        <f aca="false">IF($H100="","",IF(AND(ISNUMBER(SEARCH("CMT",$H100)),OR(ISNUMBER(SEARCH("완사입",$H100)),ISNUMBER(SEARCH("ODM",$H100)))),"본사/생산처 혼재",IF(ISNUMBER(SEARCH("CMT",$H100)),"본사(소재팀)","생산처")))</f>
        <v>생산처</v>
      </c>
      <c r="U100" s="25" t="s">
        <v>475</v>
      </c>
      <c r="V100" s="26"/>
      <c r="W100" s="25" t="s">
        <v>103</v>
      </c>
      <c r="X100" s="26"/>
      <c r="Y100" s="32"/>
      <c r="Z100" s="32"/>
      <c r="AA100" s="28"/>
      <c r="AB100" s="33" t="n">
        <v>1000</v>
      </c>
      <c r="AC100" s="33" t="n">
        <v>28000000</v>
      </c>
      <c r="AD100" s="33" t="n">
        <v>158000000</v>
      </c>
      <c r="AE100" s="26"/>
      <c r="AF100" s="26" t="str">
        <f aca="false"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>소재 입고일정 확인 필요</v>
      </c>
      <c r="AG100" s="24" t="str">
        <f aca="false">IF($K100="","",IF(OR(LEFT($AF100,2)="작지",LEFT($AF100,4)="소재입고"),IF(LEFT($G100,1)="S","★ 납기위험(S코드)","◆ 지연주의"),IF($AF100="정상","✓ 정상","? 확인필요")))</f>
        <v>? 확인필요</v>
      </c>
      <c r="AH100" s="27"/>
      <c r="AI100" s="34"/>
    </row>
    <row r="101" customFormat="false" ht="15" hidden="false" customHeight="false" outlineLevel="0" collapsed="false">
      <c r="A101" s="24" t="n">
        <v>97</v>
      </c>
      <c r="B101" s="25" t="s">
        <v>308</v>
      </c>
      <c r="C101" s="25" t="s">
        <v>320</v>
      </c>
      <c r="D101" s="26" t="s">
        <v>476</v>
      </c>
      <c r="E101" s="25" t="s">
        <v>477</v>
      </c>
      <c r="F101" s="26" t="s">
        <v>196</v>
      </c>
      <c r="G101" s="24" t="str">
        <f aca="false">IF($D101="","",IF(MID($D101,5,1)="S","S(봄)",IF(MID($D101,5,1)="M","M(여름)",IF(MID($D101,5,1)="X","X(사계절)",MID($D101,5,1)))))</f>
        <v>S(봄)</v>
      </c>
      <c r="H101" s="25" t="s">
        <v>97</v>
      </c>
      <c r="I101" s="24"/>
      <c r="J101" s="27" t="s">
        <v>400</v>
      </c>
      <c r="K101" s="28" t="n">
        <f aca="false">IF($J101="","",IFERROR(DATE(IF(VALUE(LEFT($J101,FIND("월",$J101)-1))&gt;=9,기준정보!$C$7-1,기준정보!$C$7),VALUE(LEFT($J101,FIND("월",$J101)-1)),1+7*(VALUE(SUBSTITUTE(MID($J101,FIND("월",$J101)+1,5),"주",""))-1)),""))</f>
        <v>46419</v>
      </c>
      <c r="L101" s="28" t="n">
        <f aca="false">IF($K101="","",IF(AND($K101-기준정보!$C$5&gt;=기준정보!$C$10,$K101-기준정보!$C$5&lt;=기준정보!$C$11),기준정보!$C$10-1,$K101-기준정보!$C$5))</f>
        <v>46405</v>
      </c>
      <c r="M101" s="29" t="n">
        <f aca="false"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>0</v>
      </c>
      <c r="N101" s="28" t="n">
        <f aca="false">IF($L101="","",$L101-기준정보!$C$6-$M101)</f>
        <v>46315</v>
      </c>
      <c r="O101" s="30" t="n">
        <f aca="false">IF($N101="","",$N101-기준정보!$C$4)</f>
        <v>62</v>
      </c>
      <c r="P101" s="27"/>
      <c r="Q101" s="27" t="s">
        <v>100</v>
      </c>
      <c r="R101" s="27" t="s">
        <v>100</v>
      </c>
      <c r="S101" s="31"/>
      <c r="T101" s="26" t="str">
        <f aca="false">IF($H101="","",IF(AND(ISNUMBER(SEARCH("CMT",$H101)),OR(ISNUMBER(SEARCH("완사입",$H101)),ISNUMBER(SEARCH("ODM",$H101)))),"본사/생산처 혼재",IF(ISNUMBER(SEARCH("CMT",$H101)),"본사(소재팀)","생산처")))</f>
        <v>생산처</v>
      </c>
      <c r="U101" s="26" t="s">
        <v>183</v>
      </c>
      <c r="V101" s="26" t="s">
        <v>183</v>
      </c>
      <c r="W101" s="25" t="s">
        <v>103</v>
      </c>
      <c r="X101" s="26" t="s">
        <v>314</v>
      </c>
      <c r="Y101" s="32" t="s">
        <v>315</v>
      </c>
      <c r="Z101" s="32"/>
      <c r="AA101" s="28" t="n">
        <v>46190</v>
      </c>
      <c r="AB101" s="33" t="n">
        <v>1500</v>
      </c>
      <c r="AC101" s="33" t="n">
        <v>46137000</v>
      </c>
      <c r="AD101" s="33" t="n">
        <v>252000000</v>
      </c>
      <c r="AE101" s="26" t="s">
        <v>400</v>
      </c>
      <c r="AF101" s="26" t="str">
        <f aca="false"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>소재 입고일정 확인 필요</v>
      </c>
      <c r="AG101" s="24" t="str">
        <f aca="false">IF($K101="","",IF(OR(LEFT($AF101,2)="작지",LEFT($AF101,4)="소재입고"),IF(LEFT($G101,1)="S","★ 납기위험(S코드)","◆ 지연주의"),IF($AF101="정상","✓ 정상","? 확인필요")))</f>
        <v>? 확인필요</v>
      </c>
      <c r="AH101" s="27"/>
      <c r="AI101" s="34"/>
    </row>
    <row r="102" customFormat="false" ht="15" hidden="false" customHeight="false" outlineLevel="0" collapsed="false">
      <c r="A102" s="24" t="n">
        <v>98</v>
      </c>
      <c r="B102" s="25" t="s">
        <v>327</v>
      </c>
      <c r="C102" s="25" t="s">
        <v>328</v>
      </c>
      <c r="D102" s="26" t="s">
        <v>478</v>
      </c>
      <c r="E102" s="25" t="s">
        <v>479</v>
      </c>
      <c r="F102" s="26" t="s">
        <v>331</v>
      </c>
      <c r="G102" s="24" t="str">
        <f aca="false">IF($D102="","",IF(MID($D102,5,1)="S","S(봄)",IF(MID($D102,5,1)="M","M(여름)",IF(MID($D102,5,1)="X","X(사계절)",MID($D102,5,1)))))</f>
        <v>S(봄)</v>
      </c>
      <c r="H102" s="26" t="s">
        <v>255</v>
      </c>
      <c r="I102" s="24" t="s">
        <v>466</v>
      </c>
      <c r="J102" s="27" t="s">
        <v>480</v>
      </c>
      <c r="K102" s="28" t="n">
        <f aca="false">IF($J102="","",IFERROR(DATE(IF(VALUE(LEFT($J102,FIND("월",$J102)-1))&gt;=9,기준정보!$C$7-1,기준정보!$C$7),VALUE(LEFT($J102,FIND("월",$J102)-1)),1+7*(VALUE(SUBSTITUTE(MID($J102,FIND("월",$J102)+1,5),"주",""))-1)),""))</f>
        <v>46426</v>
      </c>
      <c r="L102" s="28" t="n">
        <f aca="false">IF($K102="","",IF(AND($K102-기준정보!$C$5&gt;=기준정보!$C$10,$K102-기준정보!$C$5&lt;=기준정보!$C$11),기준정보!$C$10-1,$K102-기준정보!$C$5))</f>
        <v>46412</v>
      </c>
      <c r="M102" s="29" t="n">
        <f aca="false"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>0</v>
      </c>
      <c r="N102" s="28" t="n">
        <f aca="false">IF($L102="","",$L102-기준정보!$C$6-$M102)</f>
        <v>46322</v>
      </c>
      <c r="O102" s="30" t="n">
        <f aca="false">IF($N102="","",$N102-기준정보!$C$4)</f>
        <v>69</v>
      </c>
      <c r="P102" s="27"/>
      <c r="Q102" s="27" t="s">
        <v>100</v>
      </c>
      <c r="R102" s="27" t="s">
        <v>100</v>
      </c>
      <c r="S102" s="31"/>
      <c r="T102" s="26" t="str">
        <f aca="false">IF($H102="","",IF(AND(ISNUMBER(SEARCH("CMT",$H102)),OR(ISNUMBER(SEARCH("완사입",$H102)),ISNUMBER(SEARCH("ODM",$H102)))),"본사/생산처 혼재",IF(ISNUMBER(SEARCH("CMT",$H102)),"본사(소재팀)","생산처")))</f>
        <v>본사(소재팀)</v>
      </c>
      <c r="U102" s="26" t="s">
        <v>183</v>
      </c>
      <c r="V102" s="26" t="s">
        <v>183</v>
      </c>
      <c r="W102" s="25" t="s">
        <v>103</v>
      </c>
      <c r="X102" s="25" t="s">
        <v>457</v>
      </c>
      <c r="Y102" s="35" t="s">
        <v>458</v>
      </c>
      <c r="Z102" s="32"/>
      <c r="AA102" s="28" t="n">
        <v>46216</v>
      </c>
      <c r="AB102" s="33" t="n">
        <v>2000</v>
      </c>
      <c r="AC102" s="33" t="n">
        <v>67386000</v>
      </c>
      <c r="AD102" s="33" t="n">
        <v>396000000</v>
      </c>
      <c r="AE102" s="26"/>
      <c r="AF102" s="26" t="str">
        <f aca="false"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>소재 입고일정 확인 필요</v>
      </c>
      <c r="AG102" s="24" t="str">
        <f aca="false">IF($K102="","",IF(OR(LEFT($AF102,2)="작지",LEFT($AF102,4)="소재입고"),IF(LEFT($G102,1)="S","★ 납기위험(S코드)","◆ 지연주의"),IF($AF102="정상","✓ 정상","? 확인필요")))</f>
        <v>? 확인필요</v>
      </c>
      <c r="AH102" s="27"/>
      <c r="AI102" s="34"/>
    </row>
    <row r="103" customFormat="false" ht="15" hidden="false" customHeight="false" outlineLevel="0" collapsed="false">
      <c r="A103" s="24" t="n">
        <v>99</v>
      </c>
      <c r="B103" s="25" t="s">
        <v>327</v>
      </c>
      <c r="C103" s="25" t="s">
        <v>328</v>
      </c>
      <c r="D103" s="26" t="s">
        <v>481</v>
      </c>
      <c r="E103" s="25" t="s">
        <v>482</v>
      </c>
      <c r="F103" s="26" t="s">
        <v>483</v>
      </c>
      <c r="G103" s="24" t="str">
        <f aca="false">IF($D103="","",IF(MID($D103,5,1)="S","S(봄)",IF(MID($D103,5,1)="M","M(여름)",IF(MID($D103,5,1)="X","X(사계절)",MID($D103,5,1)))))</f>
        <v>S(봄)</v>
      </c>
      <c r="H103" s="25" t="s">
        <v>97</v>
      </c>
      <c r="I103" s="24" t="s">
        <v>466</v>
      </c>
      <c r="J103" s="27" t="s">
        <v>480</v>
      </c>
      <c r="K103" s="28" t="n">
        <f aca="false">IF($J103="","",IFERROR(DATE(IF(VALUE(LEFT($J103,FIND("월",$J103)-1))&gt;=9,기준정보!$C$7-1,기준정보!$C$7),VALUE(LEFT($J103,FIND("월",$J103)-1)),1+7*(VALUE(SUBSTITUTE(MID($J103,FIND("월",$J103)+1,5),"주",""))-1)),""))</f>
        <v>46426</v>
      </c>
      <c r="L103" s="28" t="n">
        <f aca="false">IF($K103="","",IF(AND($K103-기준정보!$C$5&gt;=기준정보!$C$10,$K103-기준정보!$C$5&lt;=기준정보!$C$11),기준정보!$C$10-1,$K103-기준정보!$C$5))</f>
        <v>46412</v>
      </c>
      <c r="M103" s="29" t="n">
        <f aca="false"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>0</v>
      </c>
      <c r="N103" s="28" t="n">
        <f aca="false">IF($L103="","",$L103-기준정보!$C$6-$M103)</f>
        <v>46322</v>
      </c>
      <c r="O103" s="30" t="n">
        <f aca="false">IF($N103="","",$N103-기준정보!$C$4)</f>
        <v>69</v>
      </c>
      <c r="P103" s="27" t="s">
        <v>100</v>
      </c>
      <c r="Q103" s="27" t="s">
        <v>100</v>
      </c>
      <c r="R103" s="27" t="s">
        <v>100</v>
      </c>
      <c r="S103" s="31"/>
      <c r="T103" s="26" t="str">
        <f aca="false">IF($H103="","",IF(AND(ISNUMBER(SEARCH("CMT",$H103)),OR(ISNUMBER(SEARCH("완사입",$H103)),ISNUMBER(SEARCH("ODM",$H103)))),"본사/생산처 혼재",IF(ISNUMBER(SEARCH("CMT",$H103)),"본사(소재팀)","생산처")))</f>
        <v>생산처</v>
      </c>
      <c r="U103" s="25" t="s">
        <v>475</v>
      </c>
      <c r="V103" s="26"/>
      <c r="W103" s="25" t="s">
        <v>103</v>
      </c>
      <c r="X103" s="26"/>
      <c r="Y103" s="32"/>
      <c r="Z103" s="32"/>
      <c r="AA103" s="28"/>
      <c r="AB103" s="33" t="n">
        <v>1200</v>
      </c>
      <c r="AC103" s="33" t="n">
        <v>32350800</v>
      </c>
      <c r="AD103" s="33" t="n">
        <v>225600000</v>
      </c>
      <c r="AE103" s="26"/>
      <c r="AF103" s="26" t="str">
        <f aca="false"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>소재 입고일정 확인 필요</v>
      </c>
      <c r="AG103" s="24" t="str">
        <f aca="false">IF($K103="","",IF(OR(LEFT($AF103,2)="작지",LEFT($AF103,4)="소재입고"),IF(LEFT($G103,1)="S","★ 납기위험(S코드)","◆ 지연주의"),IF($AF103="정상","✓ 정상","? 확인필요")))</f>
        <v>? 확인필요</v>
      </c>
      <c r="AH103" s="27"/>
      <c r="AI103" s="34"/>
    </row>
    <row r="104" customFormat="false" ht="15" hidden="false" customHeight="false" outlineLevel="0" collapsed="false">
      <c r="A104" s="24" t="n">
        <v>100</v>
      </c>
      <c r="B104" s="25" t="s">
        <v>155</v>
      </c>
      <c r="C104" s="25" t="s">
        <v>328</v>
      </c>
      <c r="D104" s="26" t="s">
        <v>484</v>
      </c>
      <c r="E104" s="25" t="s">
        <v>485</v>
      </c>
      <c r="F104" s="26" t="s">
        <v>486</v>
      </c>
      <c r="G104" s="24" t="str">
        <f aca="false">IF($D104="","",IF(MID($D104,5,1)="S","S(봄)",IF(MID($D104,5,1)="M","M(여름)",IF(MID($D104,5,1)="X","X(사계절)",MID($D104,5,1)))))</f>
        <v>S(봄)</v>
      </c>
      <c r="H104" s="25" t="s">
        <v>97</v>
      </c>
      <c r="I104" s="24"/>
      <c r="J104" s="27" t="s">
        <v>487</v>
      </c>
      <c r="K104" s="28" t="n">
        <f aca="false">IF($J104="","",IFERROR(DATE(IF(VALUE(LEFT($J104,FIND("월",$J104)-1))&gt;=9,기준정보!$C$7-1,기준정보!$C$7),VALUE(LEFT($J104,FIND("월",$J104)-1)),1+7*(VALUE(SUBSTITUTE(MID($J104,FIND("월",$J104)+1,5),"주",""))-1)),""))</f>
        <v>46433</v>
      </c>
      <c r="L104" s="28" t="n">
        <f aca="false">IF($K104="","",IF(AND($K104-기준정보!$C$5&gt;=기준정보!$C$10,$K104-기준정보!$C$5&lt;=기준정보!$C$11),기준정보!$C$10-1,$K104-기준정보!$C$5))</f>
        <v>46419</v>
      </c>
      <c r="M104" s="29" t="n">
        <f aca="false"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>0</v>
      </c>
      <c r="N104" s="28" t="n">
        <f aca="false">IF($L104="","",$L104-기준정보!$C$6-$M104)</f>
        <v>46329</v>
      </c>
      <c r="O104" s="30" t="n">
        <f aca="false">IF($N104="","",$N104-기준정보!$C$4)</f>
        <v>76</v>
      </c>
      <c r="P104" s="27"/>
      <c r="Q104" s="27" t="s">
        <v>100</v>
      </c>
      <c r="R104" s="27" t="s">
        <v>100</v>
      </c>
      <c r="S104" s="31"/>
      <c r="T104" s="26" t="str">
        <f aca="false">IF($H104="","",IF(AND(ISNUMBER(SEARCH("CMT",$H104)),OR(ISNUMBER(SEARCH("완사입",$H104)),ISNUMBER(SEARCH("ODM",$H104)))),"본사/생산처 혼재",IF(ISNUMBER(SEARCH("CMT",$H104)),"본사(소재팀)","생산처")))</f>
        <v>생산처</v>
      </c>
      <c r="U104" s="25" t="s">
        <v>289</v>
      </c>
      <c r="V104" s="25" t="s">
        <v>289</v>
      </c>
      <c r="W104" s="26"/>
      <c r="X104" s="26" t="s">
        <v>333</v>
      </c>
      <c r="Y104" s="32" t="s">
        <v>488</v>
      </c>
      <c r="Z104" s="32"/>
      <c r="AA104" s="28" t="n">
        <v>46230</v>
      </c>
      <c r="AB104" s="33" t="n">
        <v>2000</v>
      </c>
      <c r="AC104" s="33" t="n">
        <v>78566000</v>
      </c>
      <c r="AD104" s="33" t="n">
        <v>356000000</v>
      </c>
      <c r="AE104" s="26"/>
      <c r="AF104" s="26" t="str">
        <f aca="false"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>소재 입고일정 확인 필요</v>
      </c>
      <c r="AG104" s="24" t="str">
        <f aca="false">IF($K104="","",IF(OR(LEFT($AF104,2)="작지",LEFT($AF104,4)="소재입고"),IF(LEFT($G104,1)="S","★ 납기위험(S코드)","◆ 지연주의"),IF($AF104="정상","✓ 정상","? 확인필요")))</f>
        <v>? 확인필요</v>
      </c>
      <c r="AH104" s="27"/>
      <c r="AI104" s="34"/>
    </row>
    <row r="105" customFormat="false" ht="15" hidden="false" customHeight="false" outlineLevel="0" collapsed="false">
      <c r="A105" s="24" t="n">
        <v>101</v>
      </c>
      <c r="B105" s="25" t="s">
        <v>155</v>
      </c>
      <c r="C105" s="25" t="s">
        <v>328</v>
      </c>
      <c r="D105" s="26" t="s">
        <v>489</v>
      </c>
      <c r="E105" s="25" t="s">
        <v>490</v>
      </c>
      <c r="F105" s="26" t="s">
        <v>491</v>
      </c>
      <c r="G105" s="24" t="str">
        <f aca="false">IF($D105="","",IF(MID($D105,5,1)="S","S(봄)",IF(MID($D105,5,1)="M","M(여름)",IF(MID($D105,5,1)="X","X(사계절)",MID($D105,5,1)))))</f>
        <v>S(봄)</v>
      </c>
      <c r="H105" s="25" t="s">
        <v>97</v>
      </c>
      <c r="I105" s="24"/>
      <c r="J105" s="27" t="s">
        <v>487</v>
      </c>
      <c r="K105" s="28" t="n">
        <f aca="false">IF($J105="","",IFERROR(DATE(IF(VALUE(LEFT($J105,FIND("월",$J105)-1))&gt;=9,기준정보!$C$7-1,기준정보!$C$7),VALUE(LEFT($J105,FIND("월",$J105)-1)),1+7*(VALUE(SUBSTITUTE(MID($J105,FIND("월",$J105)+1,5),"주",""))-1)),""))</f>
        <v>46433</v>
      </c>
      <c r="L105" s="28" t="n">
        <f aca="false">IF($K105="","",IF(AND($K105-기준정보!$C$5&gt;=기준정보!$C$10,$K105-기준정보!$C$5&lt;=기준정보!$C$11),기준정보!$C$10-1,$K105-기준정보!$C$5))</f>
        <v>46419</v>
      </c>
      <c r="M105" s="29" t="n">
        <f aca="false"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>0</v>
      </c>
      <c r="N105" s="28" t="n">
        <f aca="false">IF($L105="","",$L105-기준정보!$C$6-$M105)</f>
        <v>46329</v>
      </c>
      <c r="O105" s="30" t="n">
        <f aca="false">IF($N105="","",$N105-기준정보!$C$4)</f>
        <v>76</v>
      </c>
      <c r="P105" s="27"/>
      <c r="Q105" s="27" t="s">
        <v>100</v>
      </c>
      <c r="R105" s="27" t="s">
        <v>100</v>
      </c>
      <c r="S105" s="31"/>
      <c r="T105" s="26" t="str">
        <f aca="false">IF($H105="","",IF(AND(ISNUMBER(SEARCH("CMT",$H105)),OR(ISNUMBER(SEARCH("완사입",$H105)),ISNUMBER(SEARCH("ODM",$H105)))),"본사/생산처 혼재",IF(ISNUMBER(SEARCH("CMT",$H105)),"본사(소재팀)","생산처")))</f>
        <v>생산처</v>
      </c>
      <c r="U105" s="25" t="s">
        <v>289</v>
      </c>
      <c r="V105" s="25" t="s">
        <v>289</v>
      </c>
      <c r="W105" s="26"/>
      <c r="X105" s="25" t="s">
        <v>457</v>
      </c>
      <c r="Y105" s="35" t="s">
        <v>492</v>
      </c>
      <c r="Z105" s="32"/>
      <c r="AA105" s="28" t="n">
        <v>46205</v>
      </c>
      <c r="AB105" s="33" t="n">
        <v>1400</v>
      </c>
      <c r="AC105" s="33" t="n">
        <v>50358000</v>
      </c>
      <c r="AD105" s="33" t="n">
        <v>263200000</v>
      </c>
      <c r="AE105" s="26"/>
      <c r="AF105" s="26" t="str">
        <f aca="false"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>소재 입고일정 확인 필요</v>
      </c>
      <c r="AG105" s="24" t="str">
        <f aca="false">IF($K105="","",IF(OR(LEFT($AF105,2)="작지",LEFT($AF105,4)="소재입고"),IF(LEFT($G105,1)="S","★ 납기위험(S코드)","◆ 지연주의"),IF($AF105="정상","✓ 정상","? 확인필요")))</f>
        <v>? 확인필요</v>
      </c>
      <c r="AH105" s="27"/>
      <c r="AI105" s="34"/>
    </row>
    <row r="106" customFormat="false" ht="15" hidden="false" customHeight="false" outlineLevel="0" collapsed="false">
      <c r="A106" s="24" t="n">
        <v>102</v>
      </c>
      <c r="B106" s="25" t="s">
        <v>155</v>
      </c>
      <c r="C106" s="25" t="s">
        <v>320</v>
      </c>
      <c r="D106" s="26" t="s">
        <v>493</v>
      </c>
      <c r="E106" s="25" t="s">
        <v>494</v>
      </c>
      <c r="F106" s="26" t="s">
        <v>495</v>
      </c>
      <c r="G106" s="24" t="str">
        <f aca="false">IF($D106="","",IF(MID($D106,5,1)="S","S(봄)",IF(MID($D106,5,1)="M","M(여름)",IF(MID($D106,5,1)="X","X(사계절)",MID($D106,5,1)))))</f>
        <v>S(봄)</v>
      </c>
      <c r="H106" s="25" t="s">
        <v>97</v>
      </c>
      <c r="I106" s="24"/>
      <c r="J106" s="27" t="s">
        <v>487</v>
      </c>
      <c r="K106" s="28" t="n">
        <f aca="false">IF($J106="","",IFERROR(DATE(IF(VALUE(LEFT($J106,FIND("월",$J106)-1))&gt;=9,기준정보!$C$7-1,기준정보!$C$7),VALUE(LEFT($J106,FIND("월",$J106)-1)),1+7*(VALUE(SUBSTITUTE(MID($J106,FIND("월",$J106)+1,5),"주",""))-1)),""))</f>
        <v>46433</v>
      </c>
      <c r="L106" s="28" t="n">
        <f aca="false">IF($K106="","",IF(AND($K106-기준정보!$C$5&gt;=기준정보!$C$10,$K106-기준정보!$C$5&lt;=기준정보!$C$11),기준정보!$C$10-1,$K106-기준정보!$C$5))</f>
        <v>46419</v>
      </c>
      <c r="M106" s="29" t="n">
        <f aca="false"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>1</v>
      </c>
      <c r="N106" s="28" t="n">
        <f aca="false">IF($L106="","",$L106-기준정보!$C$6-$M106)</f>
        <v>46328</v>
      </c>
      <c r="O106" s="30" t="n">
        <f aca="false">IF($N106="","",$N106-기준정보!$C$4)</f>
        <v>75</v>
      </c>
      <c r="P106" s="27"/>
      <c r="Q106" s="27" t="s">
        <v>100</v>
      </c>
      <c r="R106" s="27" t="s">
        <v>100</v>
      </c>
      <c r="S106" s="31"/>
      <c r="T106" s="26" t="str">
        <f aca="false">IF($H106="","",IF(AND(ISNUMBER(SEARCH("CMT",$H106)),OR(ISNUMBER(SEARCH("완사입",$H106)),ISNUMBER(SEARCH("ODM",$H106)))),"본사/생산처 혼재",IF(ISNUMBER(SEARCH("CMT",$H106)),"본사(소재팀)","생산처")))</f>
        <v>생산처</v>
      </c>
      <c r="U106" s="25" t="s">
        <v>289</v>
      </c>
      <c r="V106" s="25" t="s">
        <v>289</v>
      </c>
      <c r="W106" s="25" t="s">
        <v>103</v>
      </c>
      <c r="X106" s="26" t="s">
        <v>333</v>
      </c>
      <c r="Y106" s="32" t="s">
        <v>488</v>
      </c>
      <c r="Z106" s="32"/>
      <c r="AA106" s="28" t="n">
        <v>46227</v>
      </c>
      <c r="AB106" s="33" t="n">
        <v>1800</v>
      </c>
      <c r="AC106" s="33" t="n">
        <v>67595400</v>
      </c>
      <c r="AD106" s="33" t="n">
        <v>284400000</v>
      </c>
      <c r="AE106" s="26"/>
      <c r="AF106" s="26" t="str">
        <f aca="false"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>소재 입고일정 확인 필요</v>
      </c>
      <c r="AG106" s="24" t="str">
        <f aca="false">IF($K106="","",IF(OR(LEFT($AF106,2)="작지",LEFT($AF106,4)="소재입고"),IF(LEFT($G106,1)="S","★ 납기위험(S코드)","◆ 지연주의"),IF($AF106="정상","✓ 정상","? 확인필요")))</f>
        <v>? 확인필요</v>
      </c>
      <c r="AH106" s="27"/>
      <c r="AI106" s="34"/>
    </row>
    <row r="107" customFormat="false" ht="15" hidden="false" customHeight="false" outlineLevel="0" collapsed="false">
      <c r="A107" s="24" t="n">
        <v>103</v>
      </c>
      <c r="B107" s="25" t="s">
        <v>155</v>
      </c>
      <c r="C107" s="25" t="s">
        <v>320</v>
      </c>
      <c r="D107" s="26" t="s">
        <v>496</v>
      </c>
      <c r="E107" s="25" t="s">
        <v>497</v>
      </c>
      <c r="F107" s="26" t="s">
        <v>498</v>
      </c>
      <c r="G107" s="24" t="str">
        <f aca="false">IF($D107="","",IF(MID($D107,5,1)="S","S(봄)",IF(MID($D107,5,1)="M","M(여름)",IF(MID($D107,5,1)="X","X(사계절)",MID($D107,5,1)))))</f>
        <v>S(봄)</v>
      </c>
      <c r="H107" s="25" t="s">
        <v>97</v>
      </c>
      <c r="I107" s="24"/>
      <c r="J107" s="27" t="s">
        <v>487</v>
      </c>
      <c r="K107" s="28" t="n">
        <f aca="false">IF($J107="","",IFERROR(DATE(IF(VALUE(LEFT($J107,FIND("월",$J107)-1))&gt;=9,기준정보!$C$7-1,기준정보!$C$7),VALUE(LEFT($J107,FIND("월",$J107)-1)),1+7*(VALUE(SUBSTITUTE(MID($J107,FIND("월",$J107)+1,5),"주",""))-1)),""))</f>
        <v>46433</v>
      </c>
      <c r="L107" s="28" t="n">
        <f aca="false">IF($K107="","",IF(AND($K107-기준정보!$C$5&gt;=기준정보!$C$10,$K107-기준정보!$C$5&lt;=기준정보!$C$11),기준정보!$C$10-1,$K107-기준정보!$C$5))</f>
        <v>46419</v>
      </c>
      <c r="M107" s="29" t="n">
        <f aca="false"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>1</v>
      </c>
      <c r="N107" s="28" t="n">
        <f aca="false">IF($L107="","",$L107-기준정보!$C$6-$M107)</f>
        <v>46328</v>
      </c>
      <c r="O107" s="30" t="n">
        <f aca="false">IF($N107="","",$N107-기준정보!$C$4)</f>
        <v>75</v>
      </c>
      <c r="P107" s="27"/>
      <c r="Q107" s="27" t="s">
        <v>100</v>
      </c>
      <c r="R107" s="27" t="s">
        <v>100</v>
      </c>
      <c r="S107" s="31"/>
      <c r="T107" s="26" t="str">
        <f aca="false">IF($H107="","",IF(AND(ISNUMBER(SEARCH("CMT",$H107)),OR(ISNUMBER(SEARCH("완사입",$H107)),ISNUMBER(SEARCH("ODM",$H107)))),"본사/생산처 혼재",IF(ISNUMBER(SEARCH("CMT",$H107)),"본사(소재팀)","생산처")))</f>
        <v>생산처</v>
      </c>
      <c r="U107" s="25" t="s">
        <v>289</v>
      </c>
      <c r="V107" s="25" t="s">
        <v>289</v>
      </c>
      <c r="W107" s="25" t="s">
        <v>103</v>
      </c>
      <c r="X107" s="25" t="s">
        <v>457</v>
      </c>
      <c r="Y107" s="35" t="s">
        <v>492</v>
      </c>
      <c r="Z107" s="32"/>
      <c r="AA107" s="28" t="n">
        <v>46205</v>
      </c>
      <c r="AB107" s="33" t="n">
        <v>1800</v>
      </c>
      <c r="AC107" s="33" t="n">
        <v>64155600</v>
      </c>
      <c r="AD107" s="33" t="n">
        <v>302400000</v>
      </c>
      <c r="AE107" s="26"/>
      <c r="AF107" s="26" t="str">
        <f aca="false"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>소재 입고일정 확인 필요</v>
      </c>
      <c r="AG107" s="24" t="str">
        <f aca="false">IF($K107="","",IF(OR(LEFT($AF107,2)="작지",LEFT($AF107,4)="소재입고"),IF(LEFT($G107,1)="S","★ 납기위험(S코드)","◆ 지연주의"),IF($AF107="정상","✓ 정상","? 확인필요")))</f>
        <v>? 확인필요</v>
      </c>
      <c r="AH107" s="27"/>
      <c r="AI107" s="34"/>
    </row>
    <row r="108" customFormat="false" ht="15" hidden="false" customHeight="false" outlineLevel="0" collapsed="false">
      <c r="A108" s="24" t="n">
        <v>104</v>
      </c>
      <c r="B108" s="25" t="s">
        <v>266</v>
      </c>
      <c r="C108" s="25" t="s">
        <v>243</v>
      </c>
      <c r="D108" s="26" t="s">
        <v>499</v>
      </c>
      <c r="E108" s="25" t="s">
        <v>500</v>
      </c>
      <c r="F108" s="26" t="s">
        <v>501</v>
      </c>
      <c r="G108" s="24" t="str">
        <f aca="false">IF($D108="","",IF(MID($D108,5,1)="S","S(봄)",IF(MID($D108,5,1)="M","M(여름)",IF(MID($D108,5,1)="X","X(사계절)",MID($D108,5,1)))))</f>
        <v>S(봄)</v>
      </c>
      <c r="H108" s="25" t="s">
        <v>97</v>
      </c>
      <c r="I108" s="24" t="s">
        <v>502</v>
      </c>
      <c r="J108" s="27" t="s">
        <v>503</v>
      </c>
      <c r="K108" s="28" t="n">
        <f aca="false">IF($J108="","",IFERROR(DATE(IF(VALUE(LEFT($J108,FIND("월",$J108)-1))&gt;=9,기준정보!$C$7-1,기준정보!$C$7),VALUE(LEFT($J108,FIND("월",$J108)-1)),1+7*(VALUE(SUBSTITUTE(MID($J108,FIND("월",$J108)+1,5),"주",""))-1)),""))</f>
        <v>46478</v>
      </c>
      <c r="L108" s="28" t="n">
        <f aca="false">IF($K108="","",IF(AND($K108-기준정보!$C$5&gt;=기준정보!$C$10,$K108-기준정보!$C$5&lt;=기준정보!$C$11),기준정보!$C$10-1,$K108-기준정보!$C$5))</f>
        <v>46464</v>
      </c>
      <c r="M108" s="29" t="n">
        <f aca="false"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>15</v>
      </c>
      <c r="N108" s="28" t="n">
        <f aca="false">IF($L108="","",$L108-기준정보!$C$6-$M108)</f>
        <v>46359</v>
      </c>
      <c r="O108" s="30" t="n">
        <f aca="false">IF($N108="","",$N108-기준정보!$C$4)</f>
        <v>106</v>
      </c>
      <c r="P108" s="27"/>
      <c r="Q108" s="27" t="s">
        <v>101</v>
      </c>
      <c r="R108" s="27" t="s">
        <v>101</v>
      </c>
      <c r="S108" s="31"/>
      <c r="T108" s="26" t="str">
        <f aca="false">IF($H108="","",IF(AND(ISNUMBER(SEARCH("CMT",$H108)),OR(ISNUMBER(SEARCH("완사입",$H108)),ISNUMBER(SEARCH("ODM",$H108)))),"본사/생산처 혼재",IF(ISNUMBER(SEARCH("CMT",$H108)),"본사(소재팀)","생산처")))</f>
        <v>생산처</v>
      </c>
      <c r="U108" s="25" t="s">
        <v>313</v>
      </c>
      <c r="V108" s="26"/>
      <c r="W108" s="25" t="s">
        <v>103</v>
      </c>
      <c r="X108" s="26"/>
      <c r="Y108" s="32"/>
      <c r="Z108" s="32"/>
      <c r="AA108" s="28"/>
      <c r="AB108" s="33" t="n">
        <v>1000</v>
      </c>
      <c r="AC108" s="33" t="n">
        <v>65000000</v>
      </c>
      <c r="AD108" s="33" t="n">
        <v>250000000</v>
      </c>
      <c r="AE108" s="26"/>
      <c r="AF108" s="26" t="str">
        <f aca="false"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>작지 미발행</v>
      </c>
      <c r="AG108" s="24" t="str">
        <f aca="false">IF($K108="","",IF(OR(LEFT($AF108,2)="작지",LEFT($AF108,4)="소재입고"),IF(LEFT($G108,1)="S","★ 납기위험(S코드)","◆ 지연주의"),IF($AF108="정상","✓ 정상","? 확인필요")))</f>
        <v>★ 납기위험(S코드)</v>
      </c>
      <c r="AH108" s="27"/>
      <c r="AI108" s="34"/>
    </row>
    <row r="109" customFormat="false" ht="15" hidden="false" customHeight="false" outlineLevel="0" collapsed="false">
      <c r="A109" s="24" t="n">
        <v>105</v>
      </c>
      <c r="B109" s="25" t="s">
        <v>266</v>
      </c>
      <c r="C109" s="25" t="s">
        <v>243</v>
      </c>
      <c r="D109" s="26" t="s">
        <v>504</v>
      </c>
      <c r="E109" s="25" t="s">
        <v>505</v>
      </c>
      <c r="F109" s="26" t="s">
        <v>506</v>
      </c>
      <c r="G109" s="24" t="str">
        <f aca="false">IF($D109="","",IF(MID($D109,5,1)="S","S(봄)",IF(MID($D109,5,1)="M","M(여름)",IF(MID($D109,5,1)="X","X(사계절)",MID($D109,5,1)))))</f>
        <v>S(봄)</v>
      </c>
      <c r="H109" s="25" t="s">
        <v>97</v>
      </c>
      <c r="I109" s="24" t="s">
        <v>502</v>
      </c>
      <c r="J109" s="27" t="s">
        <v>503</v>
      </c>
      <c r="K109" s="28" t="n">
        <f aca="false">IF($J109="","",IFERROR(DATE(IF(VALUE(LEFT($J109,FIND("월",$J109)-1))&gt;=9,기준정보!$C$7-1,기준정보!$C$7),VALUE(LEFT($J109,FIND("월",$J109)-1)),1+7*(VALUE(SUBSTITUTE(MID($J109,FIND("월",$J109)+1,5),"주",""))-1)),""))</f>
        <v>46478</v>
      </c>
      <c r="L109" s="28" t="n">
        <f aca="false">IF($K109="","",IF(AND($K109-기준정보!$C$5&gt;=기준정보!$C$10,$K109-기준정보!$C$5&lt;=기준정보!$C$11),기준정보!$C$10-1,$K109-기준정보!$C$5))</f>
        <v>46464</v>
      </c>
      <c r="M109" s="29" t="n">
        <f aca="false"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>15</v>
      </c>
      <c r="N109" s="28" t="n">
        <f aca="false">IF($L109="","",$L109-기준정보!$C$6-$M109)</f>
        <v>46359</v>
      </c>
      <c r="O109" s="30" t="n">
        <f aca="false">IF($N109="","",$N109-기준정보!$C$4)</f>
        <v>106</v>
      </c>
      <c r="P109" s="27"/>
      <c r="Q109" s="27" t="s">
        <v>101</v>
      </c>
      <c r="R109" s="27" t="s">
        <v>101</v>
      </c>
      <c r="S109" s="31"/>
      <c r="T109" s="26" t="str">
        <f aca="false">IF($H109="","",IF(AND(ISNUMBER(SEARCH("CMT",$H109)),OR(ISNUMBER(SEARCH("완사입",$H109)),ISNUMBER(SEARCH("ODM",$H109)))),"본사/생산처 혼재",IF(ISNUMBER(SEARCH("CMT",$H109)),"본사(소재팀)","생산처")))</f>
        <v>생산처</v>
      </c>
      <c r="U109" s="25" t="s">
        <v>135</v>
      </c>
      <c r="V109" s="26"/>
      <c r="W109" s="25" t="s">
        <v>103</v>
      </c>
      <c r="X109" s="26"/>
      <c r="Y109" s="32"/>
      <c r="Z109" s="32"/>
      <c r="AA109" s="28"/>
      <c r="AB109" s="33" t="n">
        <v>4500</v>
      </c>
      <c r="AC109" s="33" t="n">
        <v>103500000</v>
      </c>
      <c r="AD109" s="33" t="n">
        <v>531000000</v>
      </c>
      <c r="AE109" s="26"/>
      <c r="AF109" s="26" t="str">
        <f aca="false"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>작지 미발행</v>
      </c>
      <c r="AG109" s="24" t="str">
        <f aca="false">IF($K109="","",IF(OR(LEFT($AF109,2)="작지",LEFT($AF109,4)="소재입고"),IF(LEFT($G109,1)="S","★ 납기위험(S코드)","◆ 지연주의"),IF($AF109="정상","✓ 정상","? 확인필요")))</f>
        <v>★ 납기위험(S코드)</v>
      </c>
      <c r="AH109" s="27"/>
      <c r="AI109" s="34"/>
    </row>
    <row r="110" customFormat="false" ht="15" hidden="false" customHeight="false" outlineLevel="0" collapsed="false">
      <c r="A110" s="24" t="n">
        <v>106</v>
      </c>
      <c r="B110" s="25" t="s">
        <v>266</v>
      </c>
      <c r="C110" s="25" t="s">
        <v>243</v>
      </c>
      <c r="D110" s="26" t="s">
        <v>507</v>
      </c>
      <c r="E110" s="25" t="s">
        <v>508</v>
      </c>
      <c r="F110" s="26" t="s">
        <v>509</v>
      </c>
      <c r="G110" s="24" t="str">
        <f aca="false">IF($D110="","",IF(MID($D110,5,1)="S","S(봄)",IF(MID($D110,5,1)="M","M(여름)",IF(MID($D110,5,1)="X","X(사계절)",MID($D110,5,1)))))</f>
        <v>S(봄)</v>
      </c>
      <c r="H110" s="25" t="s">
        <v>97</v>
      </c>
      <c r="I110" s="24" t="s">
        <v>502</v>
      </c>
      <c r="J110" s="27" t="s">
        <v>503</v>
      </c>
      <c r="K110" s="28" t="n">
        <f aca="false">IF($J110="","",IFERROR(DATE(IF(VALUE(LEFT($J110,FIND("월",$J110)-1))&gt;=9,기준정보!$C$7-1,기준정보!$C$7),VALUE(LEFT($J110,FIND("월",$J110)-1)),1+7*(VALUE(SUBSTITUTE(MID($J110,FIND("월",$J110)+1,5),"주",""))-1)),""))</f>
        <v>46478</v>
      </c>
      <c r="L110" s="28" t="n">
        <f aca="false">IF($K110="","",IF(AND($K110-기준정보!$C$5&gt;=기준정보!$C$10,$K110-기준정보!$C$5&lt;=기준정보!$C$11),기준정보!$C$10-1,$K110-기준정보!$C$5))</f>
        <v>46464</v>
      </c>
      <c r="M110" s="29" t="n">
        <f aca="false"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>0</v>
      </c>
      <c r="N110" s="28" t="n">
        <f aca="false">IF($L110="","",$L110-기준정보!$C$6-$M110)</f>
        <v>46374</v>
      </c>
      <c r="O110" s="30" t="n">
        <f aca="false">IF($N110="","",$N110-기준정보!$C$4)</f>
        <v>121</v>
      </c>
      <c r="P110" s="27"/>
      <c r="Q110" s="27" t="s">
        <v>101</v>
      </c>
      <c r="R110" s="27" t="s">
        <v>101</v>
      </c>
      <c r="S110" s="31"/>
      <c r="T110" s="26" t="str">
        <f aca="false">IF($H110="","",IF(AND(ISNUMBER(SEARCH("CMT",$H110)),OR(ISNUMBER(SEARCH("완사입",$H110)),ISNUMBER(SEARCH("ODM",$H110)))),"본사/생산처 혼재",IF(ISNUMBER(SEARCH("CMT",$H110)),"본사(소재팀)","생산처")))</f>
        <v>생산처</v>
      </c>
      <c r="U110" s="26" t="s">
        <v>235</v>
      </c>
      <c r="V110" s="26"/>
      <c r="W110" s="25" t="s">
        <v>110</v>
      </c>
      <c r="X110" s="26"/>
      <c r="Y110" s="32"/>
      <c r="Z110" s="32"/>
      <c r="AA110" s="28"/>
      <c r="AB110" s="33" t="n">
        <v>2000</v>
      </c>
      <c r="AC110" s="33" t="n">
        <v>42000000</v>
      </c>
      <c r="AD110" s="33" t="n">
        <v>216000000</v>
      </c>
      <c r="AE110" s="26"/>
      <c r="AF110" s="26" t="str">
        <f aca="false"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>작지 미발행</v>
      </c>
      <c r="AG110" s="24" t="str">
        <f aca="false">IF($K110="","",IF(OR(LEFT($AF110,2)="작지",LEFT($AF110,4)="소재입고"),IF(LEFT($G110,1)="S","★ 납기위험(S코드)","◆ 지연주의"),IF($AF110="정상","✓ 정상","? 확인필요")))</f>
        <v>★ 납기위험(S코드)</v>
      </c>
      <c r="AH110" s="27"/>
      <c r="AI110" s="34"/>
    </row>
    <row r="111" customFormat="false" ht="15" hidden="false" customHeight="false" outlineLevel="0" collapsed="false">
      <c r="A111" s="24" t="n">
        <v>107</v>
      </c>
      <c r="B111" s="25" t="s">
        <v>266</v>
      </c>
      <c r="C111" s="25" t="s">
        <v>243</v>
      </c>
      <c r="D111" s="26" t="s">
        <v>510</v>
      </c>
      <c r="E111" s="25" t="s">
        <v>511</v>
      </c>
      <c r="F111" s="26" t="s">
        <v>512</v>
      </c>
      <c r="G111" s="24" t="str">
        <f aca="false">IF($D111="","",IF(MID($D111,5,1)="S","S(봄)",IF(MID($D111,5,1)="M","M(여름)",IF(MID($D111,5,1)="X","X(사계절)",MID($D111,5,1)))))</f>
        <v>S(봄)</v>
      </c>
      <c r="H111" s="25" t="s">
        <v>97</v>
      </c>
      <c r="I111" s="24" t="s">
        <v>502</v>
      </c>
      <c r="J111" s="27" t="s">
        <v>503</v>
      </c>
      <c r="K111" s="28" t="n">
        <f aca="false">IF($J111="","",IFERROR(DATE(IF(VALUE(LEFT($J111,FIND("월",$J111)-1))&gt;=9,기준정보!$C$7-1,기준정보!$C$7),VALUE(LEFT($J111,FIND("월",$J111)-1)),1+7*(VALUE(SUBSTITUTE(MID($J111,FIND("월",$J111)+1,5),"주",""))-1)),""))</f>
        <v>46478</v>
      </c>
      <c r="L111" s="28" t="n">
        <f aca="false">IF($K111="","",IF(AND($K111-기준정보!$C$5&gt;=기준정보!$C$10,$K111-기준정보!$C$5&lt;=기준정보!$C$11),기준정보!$C$10-1,$K111-기준정보!$C$5))</f>
        <v>46464</v>
      </c>
      <c r="M111" s="29" t="n">
        <f aca="false"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>15</v>
      </c>
      <c r="N111" s="28" t="n">
        <f aca="false">IF($L111="","",$L111-기준정보!$C$6-$M111)</f>
        <v>46359</v>
      </c>
      <c r="O111" s="30" t="n">
        <f aca="false">IF($N111="","",$N111-기준정보!$C$4)</f>
        <v>106</v>
      </c>
      <c r="P111" s="27"/>
      <c r="Q111" s="27" t="s">
        <v>100</v>
      </c>
      <c r="R111" s="27" t="s">
        <v>100</v>
      </c>
      <c r="S111" s="31"/>
      <c r="T111" s="26" t="str">
        <f aca="false">IF($H111="","",IF(AND(ISNUMBER(SEARCH("CMT",$H111)),OR(ISNUMBER(SEARCH("완사입",$H111)),ISNUMBER(SEARCH("ODM",$H111)))),"본사/생산처 혼재",IF(ISNUMBER(SEARCH("CMT",$H111)),"본사(소재팀)","생산처")))</f>
        <v>생산처</v>
      </c>
      <c r="U111" s="25" t="s">
        <v>324</v>
      </c>
      <c r="V111" s="25" t="s">
        <v>324</v>
      </c>
      <c r="W111" s="25" t="s">
        <v>103</v>
      </c>
      <c r="X111" s="26" t="s">
        <v>513</v>
      </c>
      <c r="Y111" s="32" t="s">
        <v>514</v>
      </c>
      <c r="Z111" s="32"/>
      <c r="AA111" s="28" t="n">
        <v>46178</v>
      </c>
      <c r="AB111" s="33" t="n">
        <v>1500</v>
      </c>
      <c r="AC111" s="33" t="n">
        <v>80445000</v>
      </c>
      <c r="AD111" s="33" t="n">
        <v>330000000</v>
      </c>
      <c r="AE111" s="26"/>
      <c r="AF111" s="26" t="str">
        <f aca="false"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>소재 입고일정 확인 필요</v>
      </c>
      <c r="AG111" s="24" t="str">
        <f aca="false">IF($K111="","",IF(OR(LEFT($AF111,2)="작지",LEFT($AF111,4)="소재입고"),IF(LEFT($G111,1)="S","★ 납기위험(S코드)","◆ 지연주의"),IF($AF111="정상","✓ 정상","? 확인필요")))</f>
        <v>? 확인필요</v>
      </c>
      <c r="AH111" s="27"/>
      <c r="AI111" s="34"/>
    </row>
    <row r="112" customFormat="false" ht="15" hidden="false" customHeight="false" outlineLevel="0" collapsed="false">
      <c r="A112" s="24" t="n">
        <v>108</v>
      </c>
      <c r="B112" s="25" t="s">
        <v>266</v>
      </c>
      <c r="C112" s="25" t="s">
        <v>243</v>
      </c>
      <c r="D112" s="26" t="s">
        <v>515</v>
      </c>
      <c r="E112" s="25" t="s">
        <v>516</v>
      </c>
      <c r="F112" s="26" t="s">
        <v>196</v>
      </c>
      <c r="G112" s="24" t="str">
        <f aca="false">IF($D112="","",IF(MID($D112,5,1)="S","S(봄)",IF(MID($D112,5,1)="M","M(여름)",IF(MID($D112,5,1)="X","X(사계절)",MID($D112,5,1)))))</f>
        <v>S(봄)</v>
      </c>
      <c r="H112" s="25" t="s">
        <v>97</v>
      </c>
      <c r="I112" s="24" t="s">
        <v>502</v>
      </c>
      <c r="J112" s="27" t="s">
        <v>503</v>
      </c>
      <c r="K112" s="28" t="n">
        <f aca="false">IF($J112="","",IFERROR(DATE(IF(VALUE(LEFT($J112,FIND("월",$J112)-1))&gt;=9,기준정보!$C$7-1,기준정보!$C$7),VALUE(LEFT($J112,FIND("월",$J112)-1)),1+7*(VALUE(SUBSTITUTE(MID($J112,FIND("월",$J112)+1,5),"주",""))-1)),""))</f>
        <v>46478</v>
      </c>
      <c r="L112" s="28" t="n">
        <f aca="false">IF($K112="","",IF(AND($K112-기준정보!$C$5&gt;=기준정보!$C$10,$K112-기준정보!$C$5&lt;=기준정보!$C$11),기준정보!$C$10-1,$K112-기준정보!$C$5))</f>
        <v>46464</v>
      </c>
      <c r="M112" s="29" t="n">
        <f aca="false"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>15</v>
      </c>
      <c r="N112" s="28" t="n">
        <f aca="false">IF($L112="","",$L112-기준정보!$C$6-$M112)</f>
        <v>46359</v>
      </c>
      <c r="O112" s="30" t="n">
        <f aca="false">IF($N112="","",$N112-기준정보!$C$4)</f>
        <v>106</v>
      </c>
      <c r="P112" s="27"/>
      <c r="Q112" s="27" t="s">
        <v>100</v>
      </c>
      <c r="R112" s="27" t="s">
        <v>100</v>
      </c>
      <c r="S112" s="31"/>
      <c r="T112" s="26" t="str">
        <f aca="false">IF($H112="","",IF(AND(ISNUMBER(SEARCH("CMT",$H112)),OR(ISNUMBER(SEARCH("완사입",$H112)),ISNUMBER(SEARCH("ODM",$H112)))),"본사/생산처 혼재",IF(ISNUMBER(SEARCH("CMT",$H112)),"본사(소재팀)","생산처")))</f>
        <v>생산처</v>
      </c>
      <c r="U112" s="25" t="s">
        <v>324</v>
      </c>
      <c r="V112" s="25" t="s">
        <v>324</v>
      </c>
      <c r="W112" s="25" t="s">
        <v>103</v>
      </c>
      <c r="X112" s="26" t="s">
        <v>513</v>
      </c>
      <c r="Y112" s="32" t="s">
        <v>514</v>
      </c>
      <c r="Z112" s="32"/>
      <c r="AA112" s="28" t="n">
        <v>46191</v>
      </c>
      <c r="AB112" s="33" t="n">
        <v>2000</v>
      </c>
      <c r="AC112" s="33" t="n">
        <v>99288000</v>
      </c>
      <c r="AD112" s="33" t="n">
        <v>396000000</v>
      </c>
      <c r="AE112" s="26"/>
      <c r="AF112" s="26" t="str">
        <f aca="false"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>소재 입고일정 확인 필요</v>
      </c>
      <c r="AG112" s="24" t="str">
        <f aca="false">IF($K112="","",IF(OR(LEFT($AF112,2)="작지",LEFT($AF112,4)="소재입고"),IF(LEFT($G112,1)="S","★ 납기위험(S코드)","◆ 지연주의"),IF($AF112="정상","✓ 정상","? 확인필요")))</f>
        <v>? 확인필요</v>
      </c>
      <c r="AH112" s="27"/>
      <c r="AI112" s="34"/>
    </row>
    <row r="113" customFormat="false" ht="26.85" hidden="false" customHeight="false" outlineLevel="0" collapsed="false">
      <c r="A113" s="24" t="n">
        <v>109</v>
      </c>
      <c r="B113" s="25" t="s">
        <v>155</v>
      </c>
      <c r="C113" s="25" t="s">
        <v>156</v>
      </c>
      <c r="D113" s="26" t="s">
        <v>517</v>
      </c>
      <c r="E113" s="25" t="s">
        <v>518</v>
      </c>
      <c r="F113" s="26" t="s">
        <v>519</v>
      </c>
      <c r="G113" s="24" t="str">
        <f aca="false">IF($D113="","",IF(MID($D113,5,1)="S","S(봄)",IF(MID($D113,5,1)="M","M(여름)",IF(MID($D113,5,1)="X","X(사계절)",MID($D113,5,1)))))</f>
        <v>M(여름)</v>
      </c>
      <c r="H113" s="25" t="s">
        <v>97</v>
      </c>
      <c r="I113" s="24"/>
      <c r="J113" s="27" t="s">
        <v>376</v>
      </c>
      <c r="K113" s="28" t="n">
        <f aca="false">IF($J113="","",IFERROR(DATE(IF(VALUE(LEFT($J113,FIND("월",$J113)-1))&gt;=9,기준정보!$C$7-1,기준정보!$C$7),VALUE(LEFT($J113,FIND("월",$J113)-1)),1+7*(VALUE(SUBSTITUTE(MID($J113,FIND("월",$J113)+1,5),"주",""))-1)),""))</f>
        <v>46409</v>
      </c>
      <c r="L113" s="28" t="n">
        <f aca="false">IF($K113="","",IF(AND($K113-기준정보!$C$5&gt;=기준정보!$C$10,$K113-기준정보!$C$5&lt;=기준정보!$C$11),기준정보!$C$10-1,$K113-기준정보!$C$5))</f>
        <v>46395</v>
      </c>
      <c r="M113" s="29" t="n">
        <f aca="false"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>0</v>
      </c>
      <c r="N113" s="28" t="n">
        <f aca="false">IF($L113="","",$L113-기준정보!$C$6-$M113)</f>
        <v>46305</v>
      </c>
      <c r="O113" s="30" t="n">
        <f aca="false">IF($N113="","",$N113-기준정보!$C$4)</f>
        <v>52</v>
      </c>
      <c r="P113" s="27" t="s">
        <v>100</v>
      </c>
      <c r="Q113" s="27" t="s">
        <v>100</v>
      </c>
      <c r="R113" s="27" t="s">
        <v>100</v>
      </c>
      <c r="S113" s="31"/>
      <c r="T113" s="26" t="str">
        <f aca="false">IF($H113="","",IF(AND(ISNUMBER(SEARCH("CMT",$H113)),OR(ISNUMBER(SEARCH("완사입",$H113)),ISNUMBER(SEARCH("ODM",$H113)))),"본사/생산처 혼재",IF(ISNUMBER(SEARCH("CMT",$H113)),"본사(소재팀)","생산처")))</f>
        <v>생산처</v>
      </c>
      <c r="U113" s="25" t="s">
        <v>380</v>
      </c>
      <c r="V113" s="25" t="s">
        <v>380</v>
      </c>
      <c r="W113" s="25" t="s">
        <v>103</v>
      </c>
      <c r="X113" s="25" t="s">
        <v>520</v>
      </c>
      <c r="Y113" s="35" t="s">
        <v>521</v>
      </c>
      <c r="Z113" s="32"/>
      <c r="AA113" s="28" t="n">
        <v>46212</v>
      </c>
      <c r="AB113" s="33" t="n">
        <v>67000</v>
      </c>
      <c r="AC113" s="33" t="n">
        <v>1474000000</v>
      </c>
      <c r="AD113" s="33" t="n">
        <v>7906000000</v>
      </c>
      <c r="AE113" s="26" t="s">
        <v>522</v>
      </c>
      <c r="AF113" s="26" t="str">
        <f aca="false"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>소재 입고일정 확인 필요</v>
      </c>
      <c r="AG113" s="24" t="str">
        <f aca="false">IF($K113="","",IF(OR(LEFT($AF113,2)="작지",LEFT($AF113,4)="소재입고"),IF(LEFT($G113,1)="S","★ 납기위험(S코드)","◆ 지연주의"),IF($AF113="정상","✓ 정상","? 확인필요")))</f>
        <v>? 확인필요</v>
      </c>
      <c r="AH113" s="27"/>
      <c r="AI113" s="34"/>
    </row>
    <row r="114" customFormat="false" ht="15" hidden="false" customHeight="false" outlineLevel="0" collapsed="false">
      <c r="A114" s="24" t="n">
        <v>110</v>
      </c>
      <c r="B114" s="25" t="s">
        <v>155</v>
      </c>
      <c r="C114" s="25" t="s">
        <v>156</v>
      </c>
      <c r="D114" s="26" t="s">
        <v>523</v>
      </c>
      <c r="E114" s="25" t="s">
        <v>524</v>
      </c>
      <c r="F114" s="26" t="s">
        <v>525</v>
      </c>
      <c r="G114" s="24" t="str">
        <f aca="false">IF($D114="","",IF(MID($D114,5,1)="S","S(봄)",IF(MID($D114,5,1)="M","M(여름)",IF(MID($D114,5,1)="X","X(사계절)",MID($D114,5,1)))))</f>
        <v>M(여름)</v>
      </c>
      <c r="H114" s="25" t="s">
        <v>97</v>
      </c>
      <c r="I114" s="24"/>
      <c r="J114" s="27" t="s">
        <v>376</v>
      </c>
      <c r="K114" s="28" t="n">
        <f aca="false">IF($J114="","",IFERROR(DATE(IF(VALUE(LEFT($J114,FIND("월",$J114)-1))&gt;=9,기준정보!$C$7-1,기준정보!$C$7),VALUE(LEFT($J114,FIND("월",$J114)-1)),1+7*(VALUE(SUBSTITUTE(MID($J114,FIND("월",$J114)+1,5),"주",""))-1)),""))</f>
        <v>46409</v>
      </c>
      <c r="L114" s="28" t="n">
        <f aca="false">IF($K114="","",IF(AND($K114-기준정보!$C$5&gt;=기준정보!$C$10,$K114-기준정보!$C$5&lt;=기준정보!$C$11),기준정보!$C$10-1,$K114-기준정보!$C$5))</f>
        <v>46395</v>
      </c>
      <c r="M114" s="29" t="n">
        <f aca="false"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>0</v>
      </c>
      <c r="N114" s="28" t="n">
        <f aca="false">IF($L114="","",$L114-기준정보!$C$6-$M114)</f>
        <v>46305</v>
      </c>
      <c r="O114" s="30" t="n">
        <f aca="false">IF($N114="","",$N114-기준정보!$C$4)</f>
        <v>52</v>
      </c>
      <c r="P114" s="27" t="s">
        <v>100</v>
      </c>
      <c r="Q114" s="27" t="s">
        <v>100</v>
      </c>
      <c r="R114" s="27" t="s">
        <v>100</v>
      </c>
      <c r="S114" s="31"/>
      <c r="T114" s="26" t="str">
        <f aca="false">IF($H114="","",IF(AND(ISNUMBER(SEARCH("CMT",$H114)),OR(ISNUMBER(SEARCH("완사입",$H114)),ISNUMBER(SEARCH("ODM",$H114)))),"본사/생산처 혼재",IF(ISNUMBER(SEARCH("CMT",$H114)),"본사(소재팀)","생산처")))</f>
        <v>생산처</v>
      </c>
      <c r="U114" s="25" t="s">
        <v>380</v>
      </c>
      <c r="V114" s="25" t="s">
        <v>380</v>
      </c>
      <c r="W114" s="25" t="s">
        <v>103</v>
      </c>
      <c r="X114" s="25" t="s">
        <v>240</v>
      </c>
      <c r="Y114" s="35" t="s">
        <v>241</v>
      </c>
      <c r="Z114" s="32"/>
      <c r="AA114" s="28" t="n">
        <v>46204</v>
      </c>
      <c r="AB114" s="33" t="n">
        <v>6500</v>
      </c>
      <c r="AC114" s="33" t="n">
        <v>136578000</v>
      </c>
      <c r="AD114" s="33" t="n">
        <v>767000000</v>
      </c>
      <c r="AE114" s="26" t="s">
        <v>522</v>
      </c>
      <c r="AF114" s="26" t="str">
        <f aca="false"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>소재 입고일정 확인 필요</v>
      </c>
      <c r="AG114" s="24" t="str">
        <f aca="false">IF($K114="","",IF(OR(LEFT($AF114,2)="작지",LEFT($AF114,4)="소재입고"),IF(LEFT($G114,1)="S","★ 납기위험(S코드)","◆ 지연주의"),IF($AF114="정상","✓ 정상","? 확인필요")))</f>
        <v>? 확인필요</v>
      </c>
      <c r="AH114" s="27"/>
      <c r="AI114" s="34"/>
    </row>
    <row r="115" customFormat="false" ht="15" hidden="false" customHeight="false" outlineLevel="0" collapsed="false">
      <c r="A115" s="24" t="n">
        <v>111</v>
      </c>
      <c r="B115" s="25" t="s">
        <v>250</v>
      </c>
      <c r="C115" s="25" t="s">
        <v>251</v>
      </c>
      <c r="D115" s="26" t="s">
        <v>526</v>
      </c>
      <c r="E115" s="25" t="s">
        <v>527</v>
      </c>
      <c r="F115" s="26" t="s">
        <v>528</v>
      </c>
      <c r="G115" s="24" t="str">
        <f aca="false">IF($D115="","",IF(MID($D115,5,1)="S","S(봄)",IF(MID($D115,5,1)="M","M(여름)",IF(MID($D115,5,1)="X","X(사계절)",MID($D115,5,1)))))</f>
        <v>M(여름)</v>
      </c>
      <c r="H115" s="25" t="s">
        <v>97</v>
      </c>
      <c r="I115" s="24"/>
      <c r="J115" s="27" t="s">
        <v>529</v>
      </c>
      <c r="K115" s="28" t="n">
        <f aca="false">IF($J115="","",IFERROR(DATE(IF(VALUE(LEFT($J115,FIND("월",$J115)-1))&gt;=9,기준정보!$C$7-1,기준정보!$C$7),VALUE(LEFT($J115,FIND("월",$J115)-1)),1+7*(VALUE(SUBSTITUTE(MID($J115,FIND("월",$J115)+1,5),"주",""))-1)),""))</f>
        <v>46440</v>
      </c>
      <c r="L115" s="28" t="n">
        <f aca="false">IF($K115="","",IF(AND($K115-기준정보!$C$5&gt;=기준정보!$C$10,$K115-기준정보!$C$5&lt;=기준정보!$C$11),기준정보!$C$10-1,$K115-기준정보!$C$5))</f>
        <v>46422</v>
      </c>
      <c r="M115" s="29" t="n">
        <f aca="false"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>4</v>
      </c>
      <c r="N115" s="28" t="n">
        <f aca="false">IF($L115="","",$L115-기준정보!$C$6-$M115)</f>
        <v>46328</v>
      </c>
      <c r="O115" s="30" t="n">
        <f aca="false">IF($N115="","",$N115-기준정보!$C$4)</f>
        <v>75</v>
      </c>
      <c r="P115" s="27" t="s">
        <v>100</v>
      </c>
      <c r="Q115" s="27" t="s">
        <v>100</v>
      </c>
      <c r="R115" s="27" t="s">
        <v>100</v>
      </c>
      <c r="S115" s="31"/>
      <c r="T115" s="26" t="str">
        <f aca="false">IF($H115="","",IF(AND(ISNUMBER(SEARCH("CMT",$H115)),OR(ISNUMBER(SEARCH("완사입",$H115)),ISNUMBER(SEARCH("ODM",$H115)))),"본사/생산처 혼재",IF(ISNUMBER(SEARCH("CMT",$H115)),"본사(소재팀)","생산처")))</f>
        <v>생산처</v>
      </c>
      <c r="U115" s="25" t="s">
        <v>135</v>
      </c>
      <c r="V115" s="25" t="s">
        <v>135</v>
      </c>
      <c r="W115" s="25" t="s">
        <v>103</v>
      </c>
      <c r="X115" s="25" t="s">
        <v>135</v>
      </c>
      <c r="Y115" s="35" t="s">
        <v>530</v>
      </c>
      <c r="Z115" s="32"/>
      <c r="AA115" s="28" t="n">
        <v>46225</v>
      </c>
      <c r="AB115" s="33" t="n">
        <v>2200</v>
      </c>
      <c r="AC115" s="33" t="n">
        <v>53836200</v>
      </c>
      <c r="AD115" s="33" t="n">
        <v>325600000</v>
      </c>
      <c r="AE115" s="26" t="s">
        <v>529</v>
      </c>
      <c r="AF115" s="26" t="str">
        <f aca="false"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>소재 입고일정 확인 필요</v>
      </c>
      <c r="AG115" s="24" t="str">
        <f aca="false">IF($K115="","",IF(OR(LEFT($AF115,2)="작지",LEFT($AF115,4)="소재입고"),IF(LEFT($G115,1)="S","★ 납기위험(S코드)","◆ 지연주의"),IF($AF115="정상","✓ 정상","? 확인필요")))</f>
        <v>? 확인필요</v>
      </c>
      <c r="AH115" s="27"/>
      <c r="AI115" s="34"/>
    </row>
    <row r="116" customFormat="false" ht="15" hidden="false" customHeight="false" outlineLevel="0" collapsed="false">
      <c r="A116" s="24" t="n">
        <v>112</v>
      </c>
      <c r="B116" s="25" t="s">
        <v>250</v>
      </c>
      <c r="C116" s="25" t="s">
        <v>251</v>
      </c>
      <c r="D116" s="26" t="s">
        <v>531</v>
      </c>
      <c r="E116" s="25" t="s">
        <v>532</v>
      </c>
      <c r="F116" s="26" t="s">
        <v>533</v>
      </c>
      <c r="G116" s="24" t="str">
        <f aca="false">IF($D116="","",IF(MID($D116,5,1)="S","S(봄)",IF(MID($D116,5,1)="M","M(여름)",IF(MID($D116,5,1)="X","X(사계절)",MID($D116,5,1)))))</f>
        <v>M(여름)</v>
      </c>
      <c r="H116" s="25" t="s">
        <v>97</v>
      </c>
      <c r="I116" s="24"/>
      <c r="J116" s="27" t="s">
        <v>529</v>
      </c>
      <c r="K116" s="28" t="n">
        <f aca="false">IF($J116="","",IFERROR(DATE(IF(VALUE(LEFT($J116,FIND("월",$J116)-1))&gt;=9,기준정보!$C$7-1,기준정보!$C$7),VALUE(LEFT($J116,FIND("월",$J116)-1)),1+7*(VALUE(SUBSTITUTE(MID($J116,FIND("월",$J116)+1,5),"주",""))-1)),""))</f>
        <v>46440</v>
      </c>
      <c r="L116" s="28" t="n">
        <f aca="false">IF($K116="","",IF(AND($K116-기준정보!$C$5&gt;=기준정보!$C$10,$K116-기준정보!$C$5&lt;=기준정보!$C$11),기준정보!$C$10-1,$K116-기준정보!$C$5))</f>
        <v>46422</v>
      </c>
      <c r="M116" s="29" t="n">
        <f aca="false"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>4</v>
      </c>
      <c r="N116" s="28" t="n">
        <f aca="false">IF($L116="","",$L116-기준정보!$C$6-$M116)</f>
        <v>46328</v>
      </c>
      <c r="O116" s="30" t="n">
        <f aca="false">IF($N116="","",$N116-기준정보!$C$4)</f>
        <v>75</v>
      </c>
      <c r="P116" s="27" t="s">
        <v>100</v>
      </c>
      <c r="Q116" s="27" t="s">
        <v>100</v>
      </c>
      <c r="R116" s="27" t="s">
        <v>100</v>
      </c>
      <c r="S116" s="31"/>
      <c r="T116" s="26" t="str">
        <f aca="false">IF($H116="","",IF(AND(ISNUMBER(SEARCH("CMT",$H116)),OR(ISNUMBER(SEARCH("완사입",$H116)),ISNUMBER(SEARCH("ODM",$H116)))),"본사/생산처 혼재",IF(ISNUMBER(SEARCH("CMT",$H116)),"본사(소재팀)","생산처")))</f>
        <v>생산처</v>
      </c>
      <c r="U116" s="25" t="s">
        <v>380</v>
      </c>
      <c r="V116" s="25" t="s">
        <v>380</v>
      </c>
      <c r="W116" s="25" t="s">
        <v>103</v>
      </c>
      <c r="X116" s="26" t="s">
        <v>534</v>
      </c>
      <c r="Y116" s="32" t="s">
        <v>535</v>
      </c>
      <c r="Z116" s="32"/>
      <c r="AA116" s="28" t="n">
        <v>46253</v>
      </c>
      <c r="AB116" s="33" t="n">
        <v>4500</v>
      </c>
      <c r="AC116" s="33" t="n">
        <v>106897500</v>
      </c>
      <c r="AD116" s="33" t="n">
        <v>576000000</v>
      </c>
      <c r="AE116" s="26" t="s">
        <v>529</v>
      </c>
      <c r="AF116" s="26" t="str">
        <f aca="false"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>소재 입고일정 확인 필요</v>
      </c>
      <c r="AG116" s="24" t="str">
        <f aca="false">IF($K116="","",IF(OR(LEFT($AF116,2)="작지",LEFT($AF116,4)="소재입고"),IF(LEFT($G116,1)="S","★ 납기위험(S코드)","◆ 지연주의"),IF($AF116="정상","✓ 정상","? 확인필요")))</f>
        <v>? 확인필요</v>
      </c>
      <c r="AH116" s="27"/>
      <c r="AI116" s="34"/>
    </row>
    <row r="117" customFormat="false" ht="15" hidden="false" customHeight="false" outlineLevel="0" collapsed="false">
      <c r="A117" s="24" t="n">
        <v>113</v>
      </c>
      <c r="B117" s="25" t="s">
        <v>327</v>
      </c>
      <c r="C117" s="25" t="s">
        <v>328</v>
      </c>
      <c r="D117" s="26" t="s">
        <v>536</v>
      </c>
      <c r="E117" s="25" t="s">
        <v>537</v>
      </c>
      <c r="F117" s="26" t="s">
        <v>538</v>
      </c>
      <c r="G117" s="24" t="str">
        <f aca="false">IF($D117="","",IF(MID($D117,5,1)="S","S(봄)",IF(MID($D117,5,1)="M","M(여름)",IF(MID($D117,5,1)="X","X(사계절)",MID($D117,5,1)))))</f>
        <v>M(여름)</v>
      </c>
      <c r="H117" s="26" t="s">
        <v>255</v>
      </c>
      <c r="I117" s="24" t="s">
        <v>539</v>
      </c>
      <c r="J117" s="27" t="s">
        <v>529</v>
      </c>
      <c r="K117" s="28" t="n">
        <f aca="false">IF($J117="","",IFERROR(DATE(IF(VALUE(LEFT($J117,FIND("월",$J117)-1))&gt;=9,기준정보!$C$7-1,기준정보!$C$7),VALUE(LEFT($J117,FIND("월",$J117)-1)),1+7*(VALUE(SUBSTITUTE(MID($J117,FIND("월",$J117)+1,5),"주",""))-1)),""))</f>
        <v>46440</v>
      </c>
      <c r="L117" s="28" t="n">
        <f aca="false">IF($K117="","",IF(AND($K117-기준정보!$C$5&gt;=기준정보!$C$10,$K117-기준정보!$C$5&lt;=기준정보!$C$11),기준정보!$C$10-1,$K117-기준정보!$C$5))</f>
        <v>46422</v>
      </c>
      <c r="M117" s="29" t="n">
        <f aca="false"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>4</v>
      </c>
      <c r="N117" s="28" t="n">
        <f aca="false">IF($L117="","",$L117-기준정보!$C$6-$M117)</f>
        <v>46328</v>
      </c>
      <c r="O117" s="30" t="n">
        <f aca="false">IF($N117="","",$N117-기준정보!$C$4)</f>
        <v>75</v>
      </c>
      <c r="P117" s="27" t="s">
        <v>100</v>
      </c>
      <c r="Q117" s="27" t="s">
        <v>100</v>
      </c>
      <c r="R117" s="27" t="s">
        <v>100</v>
      </c>
      <c r="S117" s="31"/>
      <c r="T117" s="26" t="str">
        <f aca="false">IF($H117="","",IF(AND(ISNUMBER(SEARCH("CMT",$H117)),OR(ISNUMBER(SEARCH("완사입",$H117)),ISNUMBER(SEARCH("ODM",$H117)))),"본사/생산처 혼재",IF(ISNUMBER(SEARCH("CMT",$H117)),"본사(소재팀)","생산처")))</f>
        <v>본사(소재팀)</v>
      </c>
      <c r="U117" s="26" t="s">
        <v>183</v>
      </c>
      <c r="V117" s="25" t="s">
        <v>126</v>
      </c>
      <c r="W117" s="25" t="s">
        <v>103</v>
      </c>
      <c r="X117" s="25" t="s">
        <v>540</v>
      </c>
      <c r="Y117" s="35" t="s">
        <v>541</v>
      </c>
      <c r="Z117" s="32"/>
      <c r="AA117" s="28" t="n">
        <v>46232</v>
      </c>
      <c r="AB117" s="33" t="n">
        <v>5000</v>
      </c>
      <c r="AC117" s="33" t="n">
        <v>207055000</v>
      </c>
      <c r="AD117" s="33" t="n">
        <v>990000000</v>
      </c>
      <c r="AE117" s="26"/>
      <c r="AF117" s="26" t="str">
        <f aca="false"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>소재 입고일정 확인 필요</v>
      </c>
      <c r="AG117" s="24" t="str">
        <f aca="false">IF($K117="","",IF(OR(LEFT($AF117,2)="작지",LEFT($AF117,4)="소재입고"),IF(LEFT($G117,1)="S","★ 납기위험(S코드)","◆ 지연주의"),IF($AF117="정상","✓ 정상","? 확인필요")))</f>
        <v>? 확인필요</v>
      </c>
      <c r="AH117" s="27"/>
      <c r="AI117" s="34"/>
    </row>
    <row r="118" customFormat="false" ht="15" hidden="false" customHeight="false" outlineLevel="0" collapsed="false">
      <c r="A118" s="24" t="n">
        <v>114</v>
      </c>
      <c r="B118" s="25" t="s">
        <v>155</v>
      </c>
      <c r="C118" s="25" t="s">
        <v>156</v>
      </c>
      <c r="D118" s="26" t="s">
        <v>542</v>
      </c>
      <c r="E118" s="25" t="s">
        <v>543</v>
      </c>
      <c r="F118" s="26" t="s">
        <v>544</v>
      </c>
      <c r="G118" s="24" t="str">
        <f aca="false">IF($D118="","",IF(MID($D118,5,1)="S","S(봄)",IF(MID($D118,5,1)="M","M(여름)",IF(MID($D118,5,1)="X","X(사계절)",MID($D118,5,1)))))</f>
        <v>M(여름)</v>
      </c>
      <c r="H118" s="25" t="s">
        <v>97</v>
      </c>
      <c r="I118" s="24"/>
      <c r="J118" s="27" t="s">
        <v>529</v>
      </c>
      <c r="K118" s="28" t="n">
        <f aca="false">IF($J118="","",IFERROR(DATE(IF(VALUE(LEFT($J118,FIND("월",$J118)-1))&gt;=9,기준정보!$C$7-1,기준정보!$C$7),VALUE(LEFT($J118,FIND("월",$J118)-1)),1+7*(VALUE(SUBSTITUTE(MID($J118,FIND("월",$J118)+1,5),"주",""))-1)),""))</f>
        <v>46440</v>
      </c>
      <c r="L118" s="28" t="n">
        <f aca="false">IF($K118="","",IF(AND($K118-기준정보!$C$5&gt;=기준정보!$C$10,$K118-기준정보!$C$5&lt;=기준정보!$C$11),기준정보!$C$10-1,$K118-기준정보!$C$5))</f>
        <v>46422</v>
      </c>
      <c r="M118" s="29" t="n">
        <f aca="false"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>0</v>
      </c>
      <c r="N118" s="28" t="n">
        <f aca="false">IF($L118="","",$L118-기준정보!$C$6-$M118)</f>
        <v>46332</v>
      </c>
      <c r="O118" s="30" t="n">
        <f aca="false">IF($N118="","",$N118-기준정보!$C$4)</f>
        <v>79</v>
      </c>
      <c r="P118" s="27" t="s">
        <v>100</v>
      </c>
      <c r="Q118" s="27" t="s">
        <v>100</v>
      </c>
      <c r="R118" s="27" t="s">
        <v>101</v>
      </c>
      <c r="S118" s="31"/>
      <c r="T118" s="26" t="str">
        <f aca="false">IF($H118="","",IF(AND(ISNUMBER(SEARCH("CMT",$H118)),OR(ISNUMBER(SEARCH("완사입",$H118)),ISNUMBER(SEARCH("ODM",$H118)))),"본사/생산처 혼재",IF(ISNUMBER(SEARCH("CMT",$H118)),"본사(소재팀)","생산처")))</f>
        <v>생산처</v>
      </c>
      <c r="U118" s="26" t="s">
        <v>235</v>
      </c>
      <c r="V118" s="26" t="s">
        <v>235</v>
      </c>
      <c r="W118" s="25" t="s">
        <v>110</v>
      </c>
      <c r="X118" s="26" t="s">
        <v>247</v>
      </c>
      <c r="Y118" s="32" t="s">
        <v>545</v>
      </c>
      <c r="Z118" s="32"/>
      <c r="AA118" s="28" t="n">
        <v>46205</v>
      </c>
      <c r="AB118" s="33" t="n">
        <v>10000</v>
      </c>
      <c r="AC118" s="33" t="n">
        <v>142150000</v>
      </c>
      <c r="AD118" s="33" t="n">
        <v>780000000</v>
      </c>
      <c r="AE118" s="26"/>
      <c r="AF118" s="26" t="str">
        <f aca="false"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>소재 입고일정 확인 필요</v>
      </c>
      <c r="AG118" s="24" t="str">
        <f aca="false">IF($K118="","",IF(OR(LEFT($AF118,2)="작지",LEFT($AF118,4)="소재입고"),IF(LEFT($G118,1)="S","★ 납기위험(S코드)","◆ 지연주의"),IF($AF118="정상","✓ 정상","? 확인필요")))</f>
        <v>? 확인필요</v>
      </c>
      <c r="AH118" s="27"/>
      <c r="AI118" s="34"/>
    </row>
    <row r="119" customFormat="false" ht="15" hidden="false" customHeight="false" outlineLevel="0" collapsed="false">
      <c r="A119" s="24" t="n">
        <v>115</v>
      </c>
      <c r="B119" s="25" t="s">
        <v>327</v>
      </c>
      <c r="C119" s="25" t="s">
        <v>309</v>
      </c>
      <c r="D119" s="26" t="s">
        <v>546</v>
      </c>
      <c r="E119" s="25" t="s">
        <v>547</v>
      </c>
      <c r="F119" s="26" t="s">
        <v>548</v>
      </c>
      <c r="G119" s="24" t="str">
        <f aca="false">IF($D119="","",IF(MID($D119,5,1)="S","S(봄)",IF(MID($D119,5,1)="M","M(여름)",IF(MID($D119,5,1)="X","X(사계절)",MID($D119,5,1)))))</f>
        <v>M(여름)</v>
      </c>
      <c r="H119" s="25" t="s">
        <v>97</v>
      </c>
      <c r="I119" s="24" t="s">
        <v>539</v>
      </c>
      <c r="J119" s="27" t="s">
        <v>529</v>
      </c>
      <c r="K119" s="28" t="n">
        <f aca="false">IF($J119="","",IFERROR(DATE(IF(VALUE(LEFT($J119,FIND("월",$J119)-1))&gt;=9,기준정보!$C$7-1,기준정보!$C$7),VALUE(LEFT($J119,FIND("월",$J119)-1)),1+7*(VALUE(SUBSTITUTE(MID($J119,FIND("월",$J119)+1,5),"주",""))-1)),""))</f>
        <v>46440</v>
      </c>
      <c r="L119" s="28" t="n">
        <f aca="false">IF($K119="","",IF(AND($K119-기준정보!$C$5&gt;=기준정보!$C$10,$K119-기준정보!$C$5&lt;=기준정보!$C$11),기준정보!$C$10-1,$K119-기준정보!$C$5))</f>
        <v>46422</v>
      </c>
      <c r="M119" s="29" t="n">
        <f aca="false"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>4</v>
      </c>
      <c r="N119" s="28" t="n">
        <f aca="false">IF($L119="","",$L119-기준정보!$C$6-$M119)</f>
        <v>46328</v>
      </c>
      <c r="O119" s="30" t="n">
        <f aca="false">IF($N119="","",$N119-기준정보!$C$4)</f>
        <v>75</v>
      </c>
      <c r="P119" s="27" t="s">
        <v>100</v>
      </c>
      <c r="Q119" s="27" t="s">
        <v>100</v>
      </c>
      <c r="R119" s="27" t="s">
        <v>101</v>
      </c>
      <c r="S119" s="31"/>
      <c r="T119" s="26" t="str">
        <f aca="false">IF($H119="","",IF(AND(ISNUMBER(SEARCH("CMT",$H119)),OR(ISNUMBER(SEARCH("완사입",$H119)),ISNUMBER(SEARCH("ODM",$H119)))),"본사/생산처 혼재",IF(ISNUMBER(SEARCH("CMT",$H119)),"본사(소재팀)","생산처")))</f>
        <v>생산처</v>
      </c>
      <c r="U119" s="25" t="s">
        <v>324</v>
      </c>
      <c r="V119" s="25" t="s">
        <v>324</v>
      </c>
      <c r="W119" s="25" t="s">
        <v>103</v>
      </c>
      <c r="X119" s="25" t="s">
        <v>344</v>
      </c>
      <c r="Y119" s="35" t="s">
        <v>549</v>
      </c>
      <c r="Z119" s="32"/>
      <c r="AA119" s="28"/>
      <c r="AB119" s="33" t="n">
        <v>3500</v>
      </c>
      <c r="AC119" s="33" t="n">
        <v>157279500</v>
      </c>
      <c r="AD119" s="33" t="n">
        <v>770000000</v>
      </c>
      <c r="AE119" s="26"/>
      <c r="AF119" s="26" t="str">
        <f aca="false"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>소재 입고일정 확인 필요</v>
      </c>
      <c r="AG119" s="24" t="str">
        <f aca="false">IF($K119="","",IF(OR(LEFT($AF119,2)="작지",LEFT($AF119,4)="소재입고"),IF(LEFT($G119,1)="S","★ 납기위험(S코드)","◆ 지연주의"),IF($AF119="정상","✓ 정상","? 확인필요")))</f>
        <v>? 확인필요</v>
      </c>
      <c r="AH119" s="27"/>
      <c r="AI119" s="34"/>
    </row>
    <row r="120" customFormat="false" ht="15" hidden="false" customHeight="false" outlineLevel="0" collapsed="false">
      <c r="A120" s="24" t="n">
        <v>116</v>
      </c>
      <c r="B120" s="25" t="s">
        <v>155</v>
      </c>
      <c r="C120" s="25" t="s">
        <v>156</v>
      </c>
      <c r="D120" s="26" t="s">
        <v>550</v>
      </c>
      <c r="E120" s="25" t="s">
        <v>551</v>
      </c>
      <c r="F120" s="26" t="s">
        <v>552</v>
      </c>
      <c r="G120" s="24" t="str">
        <f aca="false">IF($D120="","",IF(MID($D120,5,1)="S","S(봄)",IF(MID($D120,5,1)="M","M(여름)",IF(MID($D120,5,1)="X","X(사계절)",MID($D120,5,1)))))</f>
        <v>M(여름)</v>
      </c>
      <c r="H120" s="25" t="s">
        <v>97</v>
      </c>
      <c r="I120" s="24"/>
      <c r="J120" s="27" t="s">
        <v>529</v>
      </c>
      <c r="K120" s="28" t="n">
        <f aca="false">IF($J120="","",IFERROR(DATE(IF(VALUE(LEFT($J120,FIND("월",$J120)-1))&gt;=9,기준정보!$C$7-1,기준정보!$C$7),VALUE(LEFT($J120,FIND("월",$J120)-1)),1+7*(VALUE(SUBSTITUTE(MID($J120,FIND("월",$J120)+1,5),"주",""))-1)),""))</f>
        <v>46440</v>
      </c>
      <c r="L120" s="28" t="n">
        <f aca="false">IF($K120="","",IF(AND($K120-기준정보!$C$5&gt;=기준정보!$C$10,$K120-기준정보!$C$5&lt;=기준정보!$C$11),기준정보!$C$10-1,$K120-기준정보!$C$5))</f>
        <v>46422</v>
      </c>
      <c r="M120" s="29" t="n">
        <f aca="false"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>4</v>
      </c>
      <c r="N120" s="28" t="n">
        <f aca="false">IF($L120="","",$L120-기준정보!$C$6-$M120)</f>
        <v>46328</v>
      </c>
      <c r="O120" s="30" t="n">
        <f aca="false">IF($N120="","",$N120-기준정보!$C$4)</f>
        <v>75</v>
      </c>
      <c r="P120" s="27" t="s">
        <v>100</v>
      </c>
      <c r="Q120" s="27" t="s">
        <v>100</v>
      </c>
      <c r="R120" s="27" t="s">
        <v>100</v>
      </c>
      <c r="S120" s="31"/>
      <c r="T120" s="26" t="str">
        <f aca="false">IF($H120="","",IF(AND(ISNUMBER(SEARCH("CMT",$H120)),OR(ISNUMBER(SEARCH("완사입",$H120)),ISNUMBER(SEARCH("ODM",$H120)))),"본사/생산처 혼재",IF(ISNUMBER(SEARCH("CMT",$H120)),"본사(소재팀)","생산처")))</f>
        <v>생산처</v>
      </c>
      <c r="U120" s="25" t="s">
        <v>380</v>
      </c>
      <c r="V120" s="25" t="s">
        <v>380</v>
      </c>
      <c r="W120" s="25" t="s">
        <v>103</v>
      </c>
      <c r="X120" s="26" t="s">
        <v>247</v>
      </c>
      <c r="Y120" s="32" t="s">
        <v>545</v>
      </c>
      <c r="Z120" s="32"/>
      <c r="AA120" s="28" t="n">
        <v>46205</v>
      </c>
      <c r="AB120" s="33" t="n">
        <v>2000</v>
      </c>
      <c r="AC120" s="33" t="n">
        <v>32048000</v>
      </c>
      <c r="AD120" s="33" t="n">
        <v>156000000</v>
      </c>
      <c r="AE120" s="26"/>
      <c r="AF120" s="26" t="str">
        <f aca="false"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>소재 입고일정 확인 필요</v>
      </c>
      <c r="AG120" s="24" t="str">
        <f aca="false">IF($K120="","",IF(OR(LEFT($AF120,2)="작지",LEFT($AF120,4)="소재입고"),IF(LEFT($G120,1)="S","★ 납기위험(S코드)","◆ 지연주의"),IF($AF120="정상","✓ 정상","? 확인필요")))</f>
        <v>? 확인필요</v>
      </c>
      <c r="AH120" s="27"/>
      <c r="AI120" s="34"/>
    </row>
    <row r="121" customFormat="false" ht="15" hidden="false" customHeight="false" outlineLevel="0" collapsed="false">
      <c r="A121" s="24" t="n">
        <v>117</v>
      </c>
      <c r="B121" s="25" t="s">
        <v>242</v>
      </c>
      <c r="C121" s="25" t="s">
        <v>243</v>
      </c>
      <c r="D121" s="26" t="s">
        <v>553</v>
      </c>
      <c r="E121" s="25" t="s">
        <v>554</v>
      </c>
      <c r="F121" s="26" t="s">
        <v>555</v>
      </c>
      <c r="G121" s="24" t="str">
        <f aca="false">IF($D121="","",IF(MID($D121,5,1)="S","S(봄)",IF(MID($D121,5,1)="M","M(여름)",IF(MID($D121,5,1)="X","X(사계절)",MID($D121,5,1)))))</f>
        <v>M(여름)</v>
      </c>
      <c r="H121" s="26" t="s">
        <v>255</v>
      </c>
      <c r="I121" s="24"/>
      <c r="J121" s="27" t="s">
        <v>556</v>
      </c>
      <c r="K121" s="28" t="n">
        <f aca="false">IF($J121="","",IFERROR(DATE(IF(VALUE(LEFT($J121,FIND("월",$J121)-1))&gt;=9,기준정보!$C$7-1,기준정보!$C$7),VALUE(LEFT($J121,FIND("월",$J121)-1)),1+7*(VALUE(SUBSTITUTE(MID($J121,FIND("월",$J121)+1,5),"주",""))-1)),""))</f>
        <v>46447</v>
      </c>
      <c r="L121" s="28" t="n">
        <f aca="false">IF($K121="","",IF(AND($K121-기준정보!$C$5&gt;=기준정보!$C$10,$K121-기준정보!$C$5&lt;=기준정보!$C$11),기준정보!$C$10-1,$K121-기준정보!$C$5))</f>
        <v>46433</v>
      </c>
      <c r="M121" s="29" t="n">
        <f aca="false"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>0</v>
      </c>
      <c r="N121" s="28" t="n">
        <f aca="false">IF($L121="","",$L121-기준정보!$C$6-$M121)</f>
        <v>46343</v>
      </c>
      <c r="O121" s="30" t="n">
        <f aca="false">IF($N121="","",$N121-기준정보!$C$4)</f>
        <v>90</v>
      </c>
      <c r="P121" s="27" t="s">
        <v>100</v>
      </c>
      <c r="Q121" s="27" t="s">
        <v>100</v>
      </c>
      <c r="R121" s="27" t="s">
        <v>101</v>
      </c>
      <c r="S121" s="31"/>
      <c r="T121" s="26" t="str">
        <f aca="false">IF($H121="","",IF(AND(ISNUMBER(SEARCH("CMT",$H121)),OR(ISNUMBER(SEARCH("완사입",$H121)),ISNUMBER(SEARCH("ODM",$H121)))),"본사/생산처 혼재",IF(ISNUMBER(SEARCH("CMT",$H121)),"본사(소재팀)","생산처")))</f>
        <v>본사(소재팀)</v>
      </c>
      <c r="U121" s="25" t="s">
        <v>109</v>
      </c>
      <c r="V121" s="25" t="s">
        <v>109</v>
      </c>
      <c r="W121" s="26"/>
      <c r="X121" s="26" t="s">
        <v>247</v>
      </c>
      <c r="Y121" s="32" t="s">
        <v>557</v>
      </c>
      <c r="Z121" s="32"/>
      <c r="AA121" s="28" t="n">
        <v>46210</v>
      </c>
      <c r="AB121" s="33" t="n">
        <v>15000</v>
      </c>
      <c r="AC121" s="33" t="n">
        <v>569850000</v>
      </c>
      <c r="AD121" s="33" t="n">
        <v>2970000000</v>
      </c>
      <c r="AE121" s="26" t="s">
        <v>556</v>
      </c>
      <c r="AF121" s="26" t="str">
        <f aca="false"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>소재 입고일정 확인 필요</v>
      </c>
      <c r="AG121" s="24" t="str">
        <f aca="false">IF($K121="","",IF(OR(LEFT($AF121,2)="작지",LEFT($AF121,4)="소재입고"),IF(LEFT($G121,1)="S","★ 납기위험(S코드)","◆ 지연주의"),IF($AF121="정상","✓ 정상","? 확인필요")))</f>
        <v>? 확인필요</v>
      </c>
      <c r="AH121" s="27"/>
      <c r="AI121" s="34"/>
    </row>
    <row r="122" customFormat="false" ht="15" hidden="false" customHeight="false" outlineLevel="0" collapsed="false">
      <c r="A122" s="24" t="n">
        <v>118</v>
      </c>
      <c r="B122" s="25" t="s">
        <v>266</v>
      </c>
      <c r="C122" s="25" t="s">
        <v>243</v>
      </c>
      <c r="D122" s="26" t="s">
        <v>558</v>
      </c>
      <c r="E122" s="25" t="s">
        <v>559</v>
      </c>
      <c r="F122" s="26" t="s">
        <v>560</v>
      </c>
      <c r="G122" s="24" t="str">
        <f aca="false">IF($D122="","",IF(MID($D122,5,1)="S","S(봄)",IF(MID($D122,5,1)="M","M(여름)",IF(MID($D122,5,1)="X","X(사계절)",MID($D122,5,1)))))</f>
        <v>M(여름)</v>
      </c>
      <c r="H122" s="26" t="s">
        <v>255</v>
      </c>
      <c r="I122" s="24"/>
      <c r="J122" s="27" t="s">
        <v>556</v>
      </c>
      <c r="K122" s="28" t="n">
        <f aca="false">IF($J122="","",IFERROR(DATE(IF(VALUE(LEFT($J122,FIND("월",$J122)-1))&gt;=9,기준정보!$C$7-1,기준정보!$C$7),VALUE(LEFT($J122,FIND("월",$J122)-1)),1+7*(VALUE(SUBSTITUTE(MID($J122,FIND("월",$J122)+1,5),"주",""))-1)),""))</f>
        <v>46447</v>
      </c>
      <c r="L122" s="28" t="n">
        <f aca="false">IF($K122="","",IF(AND($K122-기준정보!$C$5&gt;=기준정보!$C$10,$K122-기준정보!$C$5&lt;=기준정보!$C$11),기준정보!$C$10-1,$K122-기준정보!$C$5))</f>
        <v>46433</v>
      </c>
      <c r="M122" s="29" t="n">
        <f aca="false"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>0</v>
      </c>
      <c r="N122" s="28" t="n">
        <f aca="false">IF($L122="","",$L122-기준정보!$C$6-$M122)</f>
        <v>46343</v>
      </c>
      <c r="O122" s="30" t="n">
        <f aca="false">IF($N122="","",$N122-기준정보!$C$4)</f>
        <v>90</v>
      </c>
      <c r="P122" s="27" t="s">
        <v>100</v>
      </c>
      <c r="Q122" s="27" t="s">
        <v>100</v>
      </c>
      <c r="R122" s="27" t="s">
        <v>101</v>
      </c>
      <c r="S122" s="31"/>
      <c r="T122" s="26" t="str">
        <f aca="false">IF($H122="","",IF(AND(ISNUMBER(SEARCH("CMT",$H122)),OR(ISNUMBER(SEARCH("완사입",$H122)),ISNUMBER(SEARCH("ODM",$H122)))),"본사/생산처 혼재",IF(ISNUMBER(SEARCH("CMT",$H122)),"본사(소재팀)","생산처")))</f>
        <v>본사(소재팀)</v>
      </c>
      <c r="U122" s="25" t="s">
        <v>109</v>
      </c>
      <c r="V122" s="25" t="s">
        <v>109</v>
      </c>
      <c r="W122" s="25" t="s">
        <v>110</v>
      </c>
      <c r="X122" s="26" t="s">
        <v>247</v>
      </c>
      <c r="Y122" s="32" t="s">
        <v>557</v>
      </c>
      <c r="Z122" s="32"/>
      <c r="AA122" s="28" t="n">
        <v>46204</v>
      </c>
      <c r="AB122" s="33" t="n">
        <v>27500</v>
      </c>
      <c r="AC122" s="33" t="n">
        <v>1237500000</v>
      </c>
      <c r="AD122" s="33" t="n">
        <v>5445000000</v>
      </c>
      <c r="AE122" s="26"/>
      <c r="AF122" s="26" t="str">
        <f aca="false"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>소재 입고일정 확인 필요</v>
      </c>
      <c r="AG122" s="24" t="str">
        <f aca="false">IF($K122="","",IF(OR(LEFT($AF122,2)="작지",LEFT($AF122,4)="소재입고"),IF(LEFT($G122,1)="S","★ 납기위험(S코드)","◆ 지연주의"),IF($AF122="정상","✓ 정상","? 확인필요")))</f>
        <v>? 확인필요</v>
      </c>
      <c r="AH122" s="27"/>
      <c r="AI122" s="34"/>
    </row>
    <row r="123" customFormat="false" ht="15" hidden="false" customHeight="false" outlineLevel="0" collapsed="false">
      <c r="A123" s="24" t="n">
        <v>119</v>
      </c>
      <c r="B123" s="25" t="s">
        <v>308</v>
      </c>
      <c r="C123" s="25" t="s">
        <v>320</v>
      </c>
      <c r="D123" s="26" t="s">
        <v>561</v>
      </c>
      <c r="E123" s="25" t="s">
        <v>562</v>
      </c>
      <c r="F123" s="26" t="s">
        <v>563</v>
      </c>
      <c r="G123" s="24" t="str">
        <f aca="false">IF($D123="","",IF(MID($D123,5,1)="S","S(봄)",IF(MID($D123,5,1)="M","M(여름)",IF(MID($D123,5,1)="X","X(사계절)",MID($D123,5,1)))))</f>
        <v>M(여름)</v>
      </c>
      <c r="H123" s="25" t="s">
        <v>97</v>
      </c>
      <c r="I123" s="24"/>
      <c r="J123" s="27" t="s">
        <v>556</v>
      </c>
      <c r="K123" s="28" t="n">
        <f aca="false">IF($J123="","",IFERROR(DATE(IF(VALUE(LEFT($J123,FIND("월",$J123)-1))&gt;=9,기준정보!$C$7-1,기준정보!$C$7),VALUE(LEFT($J123,FIND("월",$J123)-1)),1+7*(VALUE(SUBSTITUTE(MID($J123,FIND("월",$J123)+1,5),"주",""))-1)),""))</f>
        <v>46447</v>
      </c>
      <c r="L123" s="28" t="n">
        <f aca="false">IF($K123="","",IF(AND($K123-기준정보!$C$5&gt;=기준정보!$C$10,$K123-기준정보!$C$5&lt;=기준정보!$C$11),기준정보!$C$10-1,$K123-기준정보!$C$5))</f>
        <v>46433</v>
      </c>
      <c r="M123" s="29" t="n">
        <f aca="false"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>15</v>
      </c>
      <c r="N123" s="28" t="n">
        <f aca="false">IF($L123="","",$L123-기준정보!$C$6-$M123)</f>
        <v>46328</v>
      </c>
      <c r="O123" s="30" t="n">
        <f aca="false">IF($N123="","",$N123-기준정보!$C$4)</f>
        <v>75</v>
      </c>
      <c r="P123" s="27" t="s">
        <v>100</v>
      </c>
      <c r="Q123" s="27" t="s">
        <v>100</v>
      </c>
      <c r="R123" s="27" t="s">
        <v>101</v>
      </c>
      <c r="S123" s="31"/>
      <c r="T123" s="26" t="str">
        <f aca="false">IF($H123="","",IF(AND(ISNUMBER(SEARCH("CMT",$H123)),OR(ISNUMBER(SEARCH("완사입",$H123)),ISNUMBER(SEARCH("ODM",$H123)))),"본사/생산처 혼재",IF(ISNUMBER(SEARCH("CMT",$H123)),"본사(소재팀)","생산처")))</f>
        <v>생산처</v>
      </c>
      <c r="U123" s="25" t="s">
        <v>324</v>
      </c>
      <c r="V123" s="25" t="s">
        <v>324</v>
      </c>
      <c r="W123" s="25" t="s">
        <v>103</v>
      </c>
      <c r="X123" s="25" t="s">
        <v>184</v>
      </c>
      <c r="Y123" s="35" t="s">
        <v>564</v>
      </c>
      <c r="Z123" s="32"/>
      <c r="AA123" s="28" t="n">
        <v>46217</v>
      </c>
      <c r="AB123" s="33" t="n">
        <v>12500</v>
      </c>
      <c r="AC123" s="33" t="n">
        <v>572725000</v>
      </c>
      <c r="AD123" s="33" t="n">
        <v>2750000000</v>
      </c>
      <c r="AE123" s="26" t="s">
        <v>556</v>
      </c>
      <c r="AF123" s="26" t="str">
        <f aca="false"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>소재 입고일정 확인 필요</v>
      </c>
      <c r="AG123" s="24" t="str">
        <f aca="false">IF($K123="","",IF(OR(LEFT($AF123,2)="작지",LEFT($AF123,4)="소재입고"),IF(LEFT($G123,1)="S","★ 납기위험(S코드)","◆ 지연주의"),IF($AF123="정상","✓ 정상","? 확인필요")))</f>
        <v>? 확인필요</v>
      </c>
      <c r="AH123" s="27"/>
      <c r="AI123" s="34"/>
    </row>
    <row r="124" customFormat="false" ht="15" hidden="false" customHeight="false" outlineLevel="0" collapsed="false">
      <c r="A124" s="24" t="n">
        <v>120</v>
      </c>
      <c r="B124" s="25" t="s">
        <v>242</v>
      </c>
      <c r="C124" s="25" t="s">
        <v>243</v>
      </c>
      <c r="D124" s="26" t="s">
        <v>565</v>
      </c>
      <c r="E124" s="25" t="s">
        <v>566</v>
      </c>
      <c r="F124" s="26" t="s">
        <v>567</v>
      </c>
      <c r="G124" s="24" t="str">
        <f aca="false">IF($D124="","",IF(MID($D124,5,1)="S","S(봄)",IF(MID($D124,5,1)="M","M(여름)",IF(MID($D124,5,1)="X","X(사계절)",MID($D124,5,1)))))</f>
        <v>M(여름)</v>
      </c>
      <c r="H124" s="26" t="s">
        <v>255</v>
      </c>
      <c r="I124" s="24"/>
      <c r="J124" s="27" t="s">
        <v>568</v>
      </c>
      <c r="K124" s="28" t="n">
        <f aca="false">IF($J124="","",IFERROR(DATE(IF(VALUE(LEFT($J124,FIND("월",$J124)-1))&gt;=9,기준정보!$C$7-1,기준정보!$C$7),VALUE(LEFT($J124,FIND("월",$J124)-1)),1+7*(VALUE(SUBSTITUTE(MID($J124,FIND("월",$J124)+1,5),"주",""))-1)),""))</f>
        <v>46454</v>
      </c>
      <c r="L124" s="28" t="n">
        <f aca="false">IF($K124="","",IF(AND($K124-기준정보!$C$5&gt;=기준정보!$C$10,$K124-기준정보!$C$5&lt;=기준정보!$C$11),기준정보!$C$10-1,$K124-기준정보!$C$5))</f>
        <v>46440</v>
      </c>
      <c r="M124" s="29" t="n">
        <f aca="false"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>0</v>
      </c>
      <c r="N124" s="28" t="n">
        <f aca="false">IF($L124="","",$L124-기준정보!$C$6-$M124)</f>
        <v>46350</v>
      </c>
      <c r="O124" s="30" t="n">
        <f aca="false">IF($N124="","",$N124-기준정보!$C$4)</f>
        <v>97</v>
      </c>
      <c r="P124" s="27" t="s">
        <v>100</v>
      </c>
      <c r="Q124" s="27" t="s">
        <v>100</v>
      </c>
      <c r="R124" s="27" t="s">
        <v>101</v>
      </c>
      <c r="S124" s="31"/>
      <c r="T124" s="26" t="str">
        <f aca="false">IF($H124="","",IF(AND(ISNUMBER(SEARCH("CMT",$H124)),OR(ISNUMBER(SEARCH("완사입",$H124)),ISNUMBER(SEARCH("ODM",$H124)))),"본사/생산처 혼재",IF(ISNUMBER(SEARCH("CMT",$H124)),"본사(소재팀)","생산처")))</f>
        <v>본사(소재팀)</v>
      </c>
      <c r="U124" s="25" t="s">
        <v>324</v>
      </c>
      <c r="V124" s="25" t="s">
        <v>324</v>
      </c>
      <c r="W124" s="26"/>
      <c r="X124" s="26" t="s">
        <v>314</v>
      </c>
      <c r="Y124" s="32" t="s">
        <v>569</v>
      </c>
      <c r="Z124" s="32"/>
      <c r="AA124" s="28" t="n">
        <v>46219</v>
      </c>
      <c r="AB124" s="33" t="n">
        <v>9000</v>
      </c>
      <c r="AC124" s="33" t="n">
        <v>454095500</v>
      </c>
      <c r="AD124" s="33" t="n">
        <v>1602000000</v>
      </c>
      <c r="AE124" s="26" t="s">
        <v>568</v>
      </c>
      <c r="AF124" s="26" t="str">
        <f aca="false"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>소재 입고일정 확인 필요</v>
      </c>
      <c r="AG124" s="24" t="str">
        <f aca="false">IF($K124="","",IF(OR(LEFT($AF124,2)="작지",LEFT($AF124,4)="소재입고"),IF(LEFT($G124,1)="S","★ 납기위험(S코드)","◆ 지연주의"),IF($AF124="정상","✓ 정상","? 확인필요")))</f>
        <v>? 확인필요</v>
      </c>
      <c r="AH124" s="27"/>
      <c r="AI124" s="34"/>
    </row>
    <row r="125" customFormat="false" ht="15" hidden="false" customHeight="false" outlineLevel="0" collapsed="false">
      <c r="A125" s="24" t="n">
        <v>121</v>
      </c>
      <c r="B125" s="25" t="s">
        <v>250</v>
      </c>
      <c r="C125" s="25" t="s">
        <v>251</v>
      </c>
      <c r="D125" s="26" t="s">
        <v>570</v>
      </c>
      <c r="E125" s="25" t="s">
        <v>571</v>
      </c>
      <c r="F125" s="26" t="s">
        <v>572</v>
      </c>
      <c r="G125" s="24" t="str">
        <f aca="false">IF($D125="","",IF(MID($D125,5,1)="S","S(봄)",IF(MID($D125,5,1)="M","M(여름)",IF(MID($D125,5,1)="X","X(사계절)",MID($D125,5,1)))))</f>
        <v>M(여름)</v>
      </c>
      <c r="H125" s="25" t="s">
        <v>97</v>
      </c>
      <c r="I125" s="24"/>
      <c r="J125" s="27" t="s">
        <v>568</v>
      </c>
      <c r="K125" s="28" t="n">
        <f aca="false">IF($J125="","",IFERROR(DATE(IF(VALUE(LEFT($J125,FIND("월",$J125)-1))&gt;=9,기준정보!$C$7-1,기준정보!$C$7),VALUE(LEFT($J125,FIND("월",$J125)-1)),1+7*(VALUE(SUBSTITUTE(MID($J125,FIND("월",$J125)+1,5),"주",""))-1)),""))</f>
        <v>46454</v>
      </c>
      <c r="L125" s="28" t="n">
        <f aca="false">IF($K125="","",IF(AND($K125-기준정보!$C$5&gt;=기준정보!$C$10,$K125-기준정보!$C$5&lt;=기준정보!$C$11),기준정보!$C$10-1,$K125-기준정보!$C$5))</f>
        <v>46440</v>
      </c>
      <c r="M125" s="29" t="n">
        <f aca="false"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>15</v>
      </c>
      <c r="N125" s="28" t="n">
        <f aca="false">IF($L125="","",$L125-기준정보!$C$6-$M125)</f>
        <v>46335</v>
      </c>
      <c r="O125" s="30" t="n">
        <f aca="false">IF($N125="","",$N125-기준정보!$C$4)</f>
        <v>82</v>
      </c>
      <c r="P125" s="27" t="s">
        <v>100</v>
      </c>
      <c r="Q125" s="27" t="s">
        <v>100</v>
      </c>
      <c r="R125" s="27" t="s">
        <v>100</v>
      </c>
      <c r="S125" s="31"/>
      <c r="T125" s="26" t="str">
        <f aca="false">IF($H125="","",IF(AND(ISNUMBER(SEARCH("CMT",$H125)),OR(ISNUMBER(SEARCH("완사입",$H125)),ISNUMBER(SEARCH("ODM",$H125)))),"본사/생산처 혼재",IF(ISNUMBER(SEARCH("CMT",$H125)),"본사(소재팀)","생산처")))</f>
        <v>생산처</v>
      </c>
      <c r="U125" s="25" t="s">
        <v>380</v>
      </c>
      <c r="V125" s="25" t="s">
        <v>380</v>
      </c>
      <c r="W125" s="25" t="s">
        <v>103</v>
      </c>
      <c r="X125" s="25" t="s">
        <v>573</v>
      </c>
      <c r="Y125" s="35" t="s">
        <v>574</v>
      </c>
      <c r="Z125" s="32"/>
      <c r="AA125" s="28" t="n">
        <v>46223</v>
      </c>
      <c r="AB125" s="33" t="n">
        <v>5700</v>
      </c>
      <c r="AC125" s="33" t="n">
        <v>135403500</v>
      </c>
      <c r="AD125" s="33" t="n">
        <v>729600000</v>
      </c>
      <c r="AE125" s="26" t="s">
        <v>568</v>
      </c>
      <c r="AF125" s="26" t="str">
        <f aca="false"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>소재 입고일정 확인 필요</v>
      </c>
      <c r="AG125" s="24" t="str">
        <f aca="false">IF($K125="","",IF(OR(LEFT($AF125,2)="작지",LEFT($AF125,4)="소재입고"),IF(LEFT($G125,1)="S","★ 납기위험(S코드)","◆ 지연주의"),IF($AF125="정상","✓ 정상","? 확인필요")))</f>
        <v>? 확인필요</v>
      </c>
      <c r="AH125" s="27"/>
      <c r="AI125" s="34"/>
    </row>
    <row r="126" customFormat="false" ht="15" hidden="false" customHeight="false" outlineLevel="0" collapsed="false">
      <c r="A126" s="24" t="n">
        <v>122</v>
      </c>
      <c r="B126" s="25" t="s">
        <v>250</v>
      </c>
      <c r="C126" s="25" t="s">
        <v>251</v>
      </c>
      <c r="D126" s="26" t="s">
        <v>575</v>
      </c>
      <c r="E126" s="25" t="s">
        <v>576</v>
      </c>
      <c r="F126" s="26" t="s">
        <v>577</v>
      </c>
      <c r="G126" s="24" t="str">
        <f aca="false">IF($D126="","",IF(MID($D126,5,1)="S","S(봄)",IF(MID($D126,5,1)="M","M(여름)",IF(MID($D126,5,1)="X","X(사계절)",MID($D126,5,1)))))</f>
        <v>M(여름)</v>
      </c>
      <c r="H126" s="25" t="s">
        <v>97</v>
      </c>
      <c r="I126" s="24"/>
      <c r="J126" s="27" t="s">
        <v>568</v>
      </c>
      <c r="K126" s="28" t="n">
        <f aca="false">IF($J126="","",IFERROR(DATE(IF(VALUE(LEFT($J126,FIND("월",$J126)-1))&gt;=9,기준정보!$C$7-1,기준정보!$C$7),VALUE(LEFT($J126,FIND("월",$J126)-1)),1+7*(VALUE(SUBSTITUTE(MID($J126,FIND("월",$J126)+1,5),"주",""))-1)),""))</f>
        <v>46454</v>
      </c>
      <c r="L126" s="28" t="n">
        <f aca="false">IF($K126="","",IF(AND($K126-기준정보!$C$5&gt;=기준정보!$C$10,$K126-기준정보!$C$5&lt;=기준정보!$C$11),기준정보!$C$10-1,$K126-기준정보!$C$5))</f>
        <v>46440</v>
      </c>
      <c r="M126" s="29" t="n">
        <f aca="false"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>0</v>
      </c>
      <c r="N126" s="28" t="n">
        <f aca="false">IF($L126="","",$L126-기준정보!$C$6-$M126)</f>
        <v>46350</v>
      </c>
      <c r="O126" s="30" t="n">
        <f aca="false">IF($N126="","",$N126-기준정보!$C$4)</f>
        <v>97</v>
      </c>
      <c r="P126" s="27" t="s">
        <v>100</v>
      </c>
      <c r="Q126" s="27" t="s">
        <v>100</v>
      </c>
      <c r="R126" s="27" t="s">
        <v>100</v>
      </c>
      <c r="S126" s="31"/>
      <c r="T126" s="26" t="str">
        <f aca="false">IF($H126="","",IF(AND(ISNUMBER(SEARCH("CMT",$H126)),OR(ISNUMBER(SEARCH("완사입",$H126)),ISNUMBER(SEARCH("ODM",$H126)))),"본사/생산처 혼재",IF(ISNUMBER(SEARCH("CMT",$H126)),"본사(소재팀)","생산처")))</f>
        <v>생산처</v>
      </c>
      <c r="U126" s="26" t="s">
        <v>235</v>
      </c>
      <c r="V126" s="26" t="s">
        <v>235</v>
      </c>
      <c r="W126" s="25" t="s">
        <v>110</v>
      </c>
      <c r="X126" s="25" t="s">
        <v>578</v>
      </c>
      <c r="Y126" s="35" t="s">
        <v>579</v>
      </c>
      <c r="Z126" s="32"/>
      <c r="AA126" s="28" t="n">
        <v>46206</v>
      </c>
      <c r="AB126" s="33" t="n">
        <v>1600</v>
      </c>
      <c r="AC126" s="33" t="n">
        <v>25153600</v>
      </c>
      <c r="AD126" s="33" t="n">
        <v>140800000</v>
      </c>
      <c r="AE126" s="26" t="s">
        <v>568</v>
      </c>
      <c r="AF126" s="26" t="str">
        <f aca="false"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>소재 입고일정 확인 필요</v>
      </c>
      <c r="AG126" s="24" t="str">
        <f aca="false">IF($K126="","",IF(OR(LEFT($AF126,2)="작지",LEFT($AF126,4)="소재입고"),IF(LEFT($G126,1)="S","★ 납기위험(S코드)","◆ 지연주의"),IF($AF126="정상","✓ 정상","? 확인필요")))</f>
        <v>? 확인필요</v>
      </c>
      <c r="AH126" s="27"/>
      <c r="AI126" s="34"/>
    </row>
    <row r="127" customFormat="false" ht="15" hidden="false" customHeight="false" outlineLevel="0" collapsed="false">
      <c r="A127" s="24" t="n">
        <v>123</v>
      </c>
      <c r="B127" s="25" t="s">
        <v>242</v>
      </c>
      <c r="C127" s="25" t="s">
        <v>251</v>
      </c>
      <c r="D127" s="26" t="s">
        <v>580</v>
      </c>
      <c r="E127" s="25" t="s">
        <v>581</v>
      </c>
      <c r="F127" s="26" t="s">
        <v>582</v>
      </c>
      <c r="G127" s="24" t="str">
        <f aca="false">IF($D127="","",IF(MID($D127,5,1)="S","S(봄)",IF(MID($D127,5,1)="M","M(여름)",IF(MID($D127,5,1)="X","X(사계절)",MID($D127,5,1)))))</f>
        <v>M(여름)</v>
      </c>
      <c r="H127" s="26" t="s">
        <v>255</v>
      </c>
      <c r="I127" s="24"/>
      <c r="J127" s="27" t="s">
        <v>568</v>
      </c>
      <c r="K127" s="28" t="n">
        <f aca="false">IF($J127="","",IFERROR(DATE(IF(VALUE(LEFT($J127,FIND("월",$J127)-1))&gt;=9,기준정보!$C$7-1,기준정보!$C$7),VALUE(LEFT($J127,FIND("월",$J127)-1)),1+7*(VALUE(SUBSTITUTE(MID($J127,FIND("월",$J127)+1,5),"주",""))-1)),""))</f>
        <v>46454</v>
      </c>
      <c r="L127" s="28" t="n">
        <f aca="false">IF($K127="","",IF(AND($K127-기준정보!$C$5&gt;=기준정보!$C$10,$K127-기준정보!$C$5&lt;=기준정보!$C$11),기준정보!$C$10-1,$K127-기준정보!$C$5))</f>
        <v>46440</v>
      </c>
      <c r="M127" s="29" t="n">
        <f aca="false"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>0</v>
      </c>
      <c r="N127" s="28" t="n">
        <f aca="false">IF($L127="","",$L127-기준정보!$C$6-$M127)</f>
        <v>46350</v>
      </c>
      <c r="O127" s="30" t="n">
        <f aca="false">IF($N127="","",$N127-기준정보!$C$4)</f>
        <v>97</v>
      </c>
      <c r="P127" s="27" t="s">
        <v>100</v>
      </c>
      <c r="Q127" s="27" t="s">
        <v>100</v>
      </c>
      <c r="R127" s="27" t="s">
        <v>100</v>
      </c>
      <c r="S127" s="31"/>
      <c r="T127" s="26" t="str">
        <f aca="false">IF($H127="","",IF(AND(ISNUMBER(SEARCH("CMT",$H127)),OR(ISNUMBER(SEARCH("완사입",$H127)),ISNUMBER(SEARCH("ODM",$H127)))),"본사/생산처 혼재",IF(ISNUMBER(SEARCH("CMT",$H127)),"본사(소재팀)","생산처")))</f>
        <v>본사(소재팀)</v>
      </c>
      <c r="U127" s="25" t="s">
        <v>324</v>
      </c>
      <c r="V127" s="25" t="s">
        <v>324</v>
      </c>
      <c r="W127" s="26"/>
      <c r="X127" s="26" t="s">
        <v>247</v>
      </c>
      <c r="Y127" s="32" t="s">
        <v>557</v>
      </c>
      <c r="Z127" s="32"/>
      <c r="AA127" s="28" t="n">
        <v>46204</v>
      </c>
      <c r="AB127" s="33" t="n">
        <v>5500</v>
      </c>
      <c r="AC127" s="33" t="n">
        <v>184420500</v>
      </c>
      <c r="AD127" s="33" t="n">
        <v>869000000</v>
      </c>
      <c r="AE127" s="26" t="s">
        <v>568</v>
      </c>
      <c r="AF127" s="26" t="str">
        <f aca="false"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>소재 입고일정 확인 필요</v>
      </c>
      <c r="AG127" s="24" t="str">
        <f aca="false">IF($K127="","",IF(OR(LEFT($AF127,2)="작지",LEFT($AF127,4)="소재입고"),IF(LEFT($G127,1)="S","★ 납기위험(S코드)","◆ 지연주의"),IF($AF127="정상","✓ 정상","? 확인필요")))</f>
        <v>? 확인필요</v>
      </c>
      <c r="AH127" s="27"/>
      <c r="AI127" s="34"/>
    </row>
    <row r="128" customFormat="false" ht="15" hidden="false" customHeight="false" outlineLevel="0" collapsed="false">
      <c r="A128" s="24" t="n">
        <v>124</v>
      </c>
      <c r="B128" s="25" t="s">
        <v>266</v>
      </c>
      <c r="C128" s="25" t="s">
        <v>243</v>
      </c>
      <c r="D128" s="26" t="s">
        <v>583</v>
      </c>
      <c r="E128" s="25" t="s">
        <v>584</v>
      </c>
      <c r="F128" s="26" t="s">
        <v>585</v>
      </c>
      <c r="G128" s="24" t="str">
        <f aca="false">IF($D128="","",IF(MID($D128,5,1)="S","S(봄)",IF(MID($D128,5,1)="M","M(여름)",IF(MID($D128,5,1)="X","X(사계절)",MID($D128,5,1)))))</f>
        <v>M(여름)</v>
      </c>
      <c r="H128" s="25" t="s">
        <v>97</v>
      </c>
      <c r="I128" s="24"/>
      <c r="J128" s="27" t="s">
        <v>568</v>
      </c>
      <c r="K128" s="28" t="n">
        <f aca="false">IF($J128="","",IFERROR(DATE(IF(VALUE(LEFT($J128,FIND("월",$J128)-1))&gt;=9,기준정보!$C$7-1,기준정보!$C$7),VALUE(LEFT($J128,FIND("월",$J128)-1)),1+7*(VALUE(SUBSTITUTE(MID($J128,FIND("월",$J128)+1,5),"주",""))-1)),""))</f>
        <v>46454</v>
      </c>
      <c r="L128" s="28" t="n">
        <f aca="false">IF($K128="","",IF(AND($K128-기준정보!$C$5&gt;=기준정보!$C$10,$K128-기준정보!$C$5&lt;=기준정보!$C$11),기준정보!$C$10-1,$K128-기준정보!$C$5))</f>
        <v>46440</v>
      </c>
      <c r="M128" s="29" t="n">
        <f aca="false"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>15</v>
      </c>
      <c r="N128" s="28" t="n">
        <f aca="false">IF($L128="","",$L128-기준정보!$C$6-$M128)</f>
        <v>46335</v>
      </c>
      <c r="O128" s="30" t="n">
        <f aca="false">IF($N128="","",$N128-기준정보!$C$4)</f>
        <v>82</v>
      </c>
      <c r="P128" s="27" t="s">
        <v>100</v>
      </c>
      <c r="Q128" s="27" t="s">
        <v>100</v>
      </c>
      <c r="R128" s="27" t="s">
        <v>101</v>
      </c>
      <c r="S128" s="31"/>
      <c r="T128" s="26" t="str">
        <f aca="false">IF($H128="","",IF(AND(ISNUMBER(SEARCH("CMT",$H128)),OR(ISNUMBER(SEARCH("완사입",$H128)),ISNUMBER(SEARCH("ODM",$H128)))),"본사/생산처 혼재",IF(ISNUMBER(SEARCH("CMT",$H128)),"본사(소재팀)","생산처")))</f>
        <v>생산처</v>
      </c>
      <c r="U128" s="25" t="s">
        <v>324</v>
      </c>
      <c r="V128" s="25" t="s">
        <v>324</v>
      </c>
      <c r="W128" s="25" t="s">
        <v>103</v>
      </c>
      <c r="X128" s="26" t="s">
        <v>314</v>
      </c>
      <c r="Y128" s="32" t="s">
        <v>569</v>
      </c>
      <c r="Z128" s="32"/>
      <c r="AA128" s="28" t="n">
        <v>46209</v>
      </c>
      <c r="AB128" s="33" t="n">
        <v>13500</v>
      </c>
      <c r="AC128" s="33" t="n">
        <v>628464000</v>
      </c>
      <c r="AD128" s="33" t="n">
        <v>2403000000</v>
      </c>
      <c r="AE128" s="26"/>
      <c r="AF128" s="26" t="str">
        <f aca="false"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>소재 입고일정 확인 필요</v>
      </c>
      <c r="AG128" s="24" t="str">
        <f aca="false">IF($K128="","",IF(OR(LEFT($AF128,2)="작지",LEFT($AF128,4)="소재입고"),IF(LEFT($G128,1)="S","★ 납기위험(S코드)","◆ 지연주의"),IF($AF128="정상","✓ 정상","? 확인필요")))</f>
        <v>? 확인필요</v>
      </c>
      <c r="AH128" s="27"/>
      <c r="AI128" s="34"/>
    </row>
    <row r="129" customFormat="false" ht="15" hidden="false" customHeight="false" outlineLevel="0" collapsed="false">
      <c r="A129" s="24" t="n">
        <v>125</v>
      </c>
      <c r="B129" s="25" t="s">
        <v>270</v>
      </c>
      <c r="C129" s="25" t="s">
        <v>271</v>
      </c>
      <c r="D129" s="26" t="s">
        <v>586</v>
      </c>
      <c r="E129" s="25" t="s">
        <v>587</v>
      </c>
      <c r="F129" s="26" t="s">
        <v>588</v>
      </c>
      <c r="G129" s="24" t="str">
        <f aca="false">IF($D129="","",IF(MID($D129,5,1)="S","S(봄)",IF(MID($D129,5,1)="M","M(여름)",IF(MID($D129,5,1)="X","X(사계절)",MID($D129,5,1)))))</f>
        <v>M(여름)</v>
      </c>
      <c r="H129" s="25" t="s">
        <v>97</v>
      </c>
      <c r="I129" s="24" t="s">
        <v>502</v>
      </c>
      <c r="J129" s="27" t="s">
        <v>568</v>
      </c>
      <c r="K129" s="28" t="n">
        <f aca="false">IF($J129="","",IFERROR(DATE(IF(VALUE(LEFT($J129,FIND("월",$J129)-1))&gt;=9,기준정보!$C$7-1,기준정보!$C$7),VALUE(LEFT($J129,FIND("월",$J129)-1)),1+7*(VALUE(SUBSTITUTE(MID($J129,FIND("월",$J129)+1,5),"주",""))-1)),""))</f>
        <v>46454</v>
      </c>
      <c r="L129" s="28" t="n">
        <f aca="false">IF($K129="","",IF(AND($K129-기준정보!$C$5&gt;=기준정보!$C$10,$K129-기준정보!$C$5&lt;=기준정보!$C$11),기준정보!$C$10-1,$K129-기준정보!$C$5))</f>
        <v>46440</v>
      </c>
      <c r="M129" s="29" t="n">
        <f aca="false"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>15</v>
      </c>
      <c r="N129" s="28" t="n">
        <f aca="false">IF($L129="","",$L129-기준정보!$C$6-$M129)</f>
        <v>46335</v>
      </c>
      <c r="O129" s="30" t="n">
        <f aca="false">IF($N129="","",$N129-기준정보!$C$4)</f>
        <v>82</v>
      </c>
      <c r="P129" s="27" t="s">
        <v>100</v>
      </c>
      <c r="Q129" s="27" t="s">
        <v>100</v>
      </c>
      <c r="R129" s="27" t="s">
        <v>100</v>
      </c>
      <c r="S129" s="31"/>
      <c r="T129" s="26" t="str">
        <f aca="false">IF($H129="","",IF(AND(ISNUMBER(SEARCH("CMT",$H129)),OR(ISNUMBER(SEARCH("완사입",$H129)),ISNUMBER(SEARCH("ODM",$H129)))),"본사/생산처 혼재",IF(ISNUMBER(SEARCH("CMT",$H129)),"본사(소재팀)","생산처")))</f>
        <v>생산처</v>
      </c>
      <c r="U129" s="26" t="s">
        <v>183</v>
      </c>
      <c r="V129" s="26" t="s">
        <v>183</v>
      </c>
      <c r="W129" s="25" t="s">
        <v>103</v>
      </c>
      <c r="X129" s="25" t="s">
        <v>220</v>
      </c>
      <c r="Y129" s="35" t="s">
        <v>589</v>
      </c>
      <c r="Z129" s="32"/>
      <c r="AA129" s="28" t="n">
        <v>46230</v>
      </c>
      <c r="AB129" s="33" t="n">
        <v>1000</v>
      </c>
      <c r="AC129" s="33" t="n">
        <v>35722000</v>
      </c>
      <c r="AD129" s="33" t="n">
        <v>188000000</v>
      </c>
      <c r="AE129" s="26" t="s">
        <v>568</v>
      </c>
      <c r="AF129" s="26" t="str">
        <f aca="false"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>소재 입고일정 확인 필요</v>
      </c>
      <c r="AG129" s="24" t="str">
        <f aca="false">IF($K129="","",IF(OR(LEFT($AF129,2)="작지",LEFT($AF129,4)="소재입고"),IF(LEFT($G129,1)="S","★ 납기위험(S코드)","◆ 지연주의"),IF($AF129="정상","✓ 정상","? 확인필요")))</f>
        <v>? 확인필요</v>
      </c>
      <c r="AH129" s="27"/>
      <c r="AI129" s="34"/>
    </row>
    <row r="130" customFormat="false" ht="15" hidden="false" customHeight="false" outlineLevel="0" collapsed="false">
      <c r="A130" s="24" t="n">
        <v>126</v>
      </c>
      <c r="B130" s="25" t="s">
        <v>266</v>
      </c>
      <c r="C130" s="25" t="s">
        <v>271</v>
      </c>
      <c r="D130" s="26" t="s">
        <v>590</v>
      </c>
      <c r="E130" s="25" t="s">
        <v>591</v>
      </c>
      <c r="F130" s="26" t="s">
        <v>592</v>
      </c>
      <c r="G130" s="24" t="str">
        <f aca="false">IF($D130="","",IF(MID($D130,5,1)="S","S(봄)",IF(MID($D130,5,1)="M","M(여름)",IF(MID($D130,5,1)="X","X(사계절)",MID($D130,5,1)))))</f>
        <v>M(여름)</v>
      </c>
      <c r="H130" s="26" t="s">
        <v>255</v>
      </c>
      <c r="I130" s="24"/>
      <c r="J130" s="27" t="s">
        <v>568</v>
      </c>
      <c r="K130" s="28" t="n">
        <f aca="false">IF($J130="","",IFERROR(DATE(IF(VALUE(LEFT($J130,FIND("월",$J130)-1))&gt;=9,기준정보!$C$7-1,기준정보!$C$7),VALUE(LEFT($J130,FIND("월",$J130)-1)),1+7*(VALUE(SUBSTITUTE(MID($J130,FIND("월",$J130)+1,5),"주",""))-1)),""))</f>
        <v>46454</v>
      </c>
      <c r="L130" s="28" t="n">
        <f aca="false">IF($K130="","",IF(AND($K130-기준정보!$C$5&gt;=기준정보!$C$10,$K130-기준정보!$C$5&lt;=기준정보!$C$11),기준정보!$C$10-1,$K130-기준정보!$C$5))</f>
        <v>46440</v>
      </c>
      <c r="M130" s="29" t="n">
        <f aca="false"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>15</v>
      </c>
      <c r="N130" s="28" t="n">
        <f aca="false">IF($L130="","",$L130-기준정보!$C$6-$M130)</f>
        <v>46335</v>
      </c>
      <c r="O130" s="30" t="n">
        <f aca="false">IF($N130="","",$N130-기준정보!$C$4)</f>
        <v>82</v>
      </c>
      <c r="P130" s="27" t="s">
        <v>100</v>
      </c>
      <c r="Q130" s="27" t="s">
        <v>100</v>
      </c>
      <c r="R130" s="27" t="s">
        <v>100</v>
      </c>
      <c r="S130" s="31"/>
      <c r="T130" s="26" t="str">
        <f aca="false">IF($H130="","",IF(AND(ISNUMBER(SEARCH("CMT",$H130)),OR(ISNUMBER(SEARCH("완사입",$H130)),ISNUMBER(SEARCH("ODM",$H130)))),"본사/생산처 혼재",IF(ISNUMBER(SEARCH("CMT",$H130)),"본사(소재팀)","생산처")))</f>
        <v>본사(소재팀)</v>
      </c>
      <c r="U130" s="25" t="s">
        <v>324</v>
      </c>
      <c r="V130" s="25" t="s">
        <v>324</v>
      </c>
      <c r="W130" s="25" t="s">
        <v>103</v>
      </c>
      <c r="X130" s="26" t="s">
        <v>247</v>
      </c>
      <c r="Y130" s="32" t="s">
        <v>557</v>
      </c>
      <c r="Z130" s="32"/>
      <c r="AA130" s="28" t="n">
        <v>46210</v>
      </c>
      <c r="AB130" s="33" t="n">
        <v>7000</v>
      </c>
      <c r="AC130" s="33" t="n">
        <v>214991000</v>
      </c>
      <c r="AD130" s="33" t="n">
        <v>1036000000</v>
      </c>
      <c r="AE130" s="26"/>
      <c r="AF130" s="26" t="str">
        <f aca="false"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>소재 입고일정 확인 필요</v>
      </c>
      <c r="AG130" s="24" t="str">
        <f aca="false">IF($K130="","",IF(OR(LEFT($AF130,2)="작지",LEFT($AF130,4)="소재입고"),IF(LEFT($G130,1)="S","★ 납기위험(S코드)","◆ 지연주의"),IF($AF130="정상","✓ 정상","? 확인필요")))</f>
        <v>? 확인필요</v>
      </c>
      <c r="AH130" s="27"/>
      <c r="AI130" s="34"/>
    </row>
    <row r="131" customFormat="false" ht="15" hidden="false" customHeight="false" outlineLevel="0" collapsed="false">
      <c r="A131" s="24" t="n">
        <v>127</v>
      </c>
      <c r="B131" s="25" t="s">
        <v>327</v>
      </c>
      <c r="C131" s="25" t="s">
        <v>328</v>
      </c>
      <c r="D131" s="26" t="s">
        <v>593</v>
      </c>
      <c r="E131" s="25" t="s">
        <v>594</v>
      </c>
      <c r="F131" s="26" t="s">
        <v>595</v>
      </c>
      <c r="G131" s="24" t="str">
        <f aca="false">IF($D131="","",IF(MID($D131,5,1)="S","S(봄)",IF(MID($D131,5,1)="M","M(여름)",IF(MID($D131,5,1)="X","X(사계절)",MID($D131,5,1)))))</f>
        <v>M(여름)</v>
      </c>
      <c r="H131" s="26" t="s">
        <v>255</v>
      </c>
      <c r="I131" s="24" t="s">
        <v>596</v>
      </c>
      <c r="J131" s="27" t="s">
        <v>568</v>
      </c>
      <c r="K131" s="28" t="n">
        <f aca="false">IF($J131="","",IFERROR(DATE(IF(VALUE(LEFT($J131,FIND("월",$J131)-1))&gt;=9,기준정보!$C$7-1,기준정보!$C$7),VALUE(LEFT($J131,FIND("월",$J131)-1)),1+7*(VALUE(SUBSTITUTE(MID($J131,FIND("월",$J131)+1,5),"주",""))-1)),""))</f>
        <v>46454</v>
      </c>
      <c r="L131" s="28" t="n">
        <f aca="false">IF($K131="","",IF(AND($K131-기준정보!$C$5&gt;=기준정보!$C$10,$K131-기준정보!$C$5&lt;=기준정보!$C$11),기준정보!$C$10-1,$K131-기준정보!$C$5))</f>
        <v>46440</v>
      </c>
      <c r="M131" s="29" t="n">
        <f aca="false"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>15</v>
      </c>
      <c r="N131" s="28" t="n">
        <f aca="false">IF($L131="","",$L131-기준정보!$C$6-$M131)</f>
        <v>46335</v>
      </c>
      <c r="O131" s="30" t="n">
        <f aca="false">IF($N131="","",$N131-기준정보!$C$4)</f>
        <v>82</v>
      </c>
      <c r="P131" s="27" t="s">
        <v>100</v>
      </c>
      <c r="Q131" s="27" t="s">
        <v>100</v>
      </c>
      <c r="R131" s="27" t="s">
        <v>100</v>
      </c>
      <c r="S131" s="31"/>
      <c r="T131" s="26" t="str">
        <f aca="false">IF($H131="","",IF(AND(ISNUMBER(SEARCH("CMT",$H131)),OR(ISNUMBER(SEARCH("완사입",$H131)),ISNUMBER(SEARCH("ODM",$H131)))),"본사/생산처 혼재",IF(ISNUMBER(SEARCH("CMT",$H131)),"본사(소재팀)","생산처")))</f>
        <v>본사(소재팀)</v>
      </c>
      <c r="U131" s="25" t="s">
        <v>126</v>
      </c>
      <c r="V131" s="25" t="s">
        <v>126</v>
      </c>
      <c r="W131" s="25" t="s">
        <v>103</v>
      </c>
      <c r="X131" s="26" t="s">
        <v>247</v>
      </c>
      <c r="Y131" s="32" t="s">
        <v>597</v>
      </c>
      <c r="Z131" s="32"/>
      <c r="AA131" s="28" t="n">
        <v>46197</v>
      </c>
      <c r="AB131" s="33" t="n">
        <v>3500</v>
      </c>
      <c r="AC131" s="33" t="n">
        <v>102490500</v>
      </c>
      <c r="AD131" s="33" t="n">
        <v>623000000</v>
      </c>
      <c r="AE131" s="26"/>
      <c r="AF131" s="26" t="str">
        <f aca="false"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>소재 입고일정 확인 필요</v>
      </c>
      <c r="AG131" s="24" t="str">
        <f aca="false">IF($K131="","",IF(OR(LEFT($AF131,2)="작지",LEFT($AF131,4)="소재입고"),IF(LEFT($G131,1)="S","★ 납기위험(S코드)","◆ 지연주의"),IF($AF131="정상","✓ 정상","? 확인필요")))</f>
        <v>? 확인필요</v>
      </c>
      <c r="AH131" s="27"/>
      <c r="AI131" s="34"/>
    </row>
    <row r="132" customFormat="false" ht="15" hidden="false" customHeight="false" outlineLevel="0" collapsed="false">
      <c r="A132" s="24" t="n">
        <v>128</v>
      </c>
      <c r="B132" s="25" t="s">
        <v>327</v>
      </c>
      <c r="C132" s="25" t="s">
        <v>328</v>
      </c>
      <c r="D132" s="26" t="s">
        <v>598</v>
      </c>
      <c r="E132" s="25" t="s">
        <v>599</v>
      </c>
      <c r="F132" s="26" t="s">
        <v>600</v>
      </c>
      <c r="G132" s="24" t="str">
        <f aca="false">IF($D132="","",IF(MID($D132,5,1)="S","S(봄)",IF(MID($D132,5,1)="M","M(여름)",IF(MID($D132,5,1)="X","X(사계절)",MID($D132,5,1)))))</f>
        <v>M(여름)</v>
      </c>
      <c r="H132" s="25" t="s">
        <v>97</v>
      </c>
      <c r="I132" s="24" t="s">
        <v>539</v>
      </c>
      <c r="J132" s="27" t="s">
        <v>568</v>
      </c>
      <c r="K132" s="28" t="n">
        <f aca="false">IF($J132="","",IFERROR(DATE(IF(VALUE(LEFT($J132,FIND("월",$J132)-1))&gt;=9,기준정보!$C$7-1,기준정보!$C$7),VALUE(LEFT($J132,FIND("월",$J132)-1)),1+7*(VALUE(SUBSTITUTE(MID($J132,FIND("월",$J132)+1,5),"주",""))-1)),""))</f>
        <v>46454</v>
      </c>
      <c r="L132" s="28" t="n">
        <f aca="false">IF($K132="","",IF(AND($K132-기준정보!$C$5&gt;=기준정보!$C$10,$K132-기준정보!$C$5&lt;=기준정보!$C$11),기준정보!$C$10-1,$K132-기준정보!$C$5))</f>
        <v>46440</v>
      </c>
      <c r="M132" s="29" t="n">
        <f aca="false"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>15</v>
      </c>
      <c r="N132" s="28" t="n">
        <f aca="false">IF($L132="","",$L132-기준정보!$C$6-$M132)</f>
        <v>46335</v>
      </c>
      <c r="O132" s="30" t="n">
        <f aca="false">IF($N132="","",$N132-기준정보!$C$4)</f>
        <v>82</v>
      </c>
      <c r="P132" s="27" t="s">
        <v>100</v>
      </c>
      <c r="Q132" s="27" t="s">
        <v>100</v>
      </c>
      <c r="R132" s="27" t="s">
        <v>100</v>
      </c>
      <c r="S132" s="31"/>
      <c r="T132" s="26" t="str">
        <f aca="false">IF($H132="","",IF(AND(ISNUMBER(SEARCH("CMT",$H132)),OR(ISNUMBER(SEARCH("완사입",$H132)),ISNUMBER(SEARCH("ODM",$H132)))),"본사/생산처 혼재",IF(ISNUMBER(SEARCH("CMT",$H132)),"본사(소재팀)","생산처")))</f>
        <v>생산처</v>
      </c>
      <c r="U132" s="25" t="s">
        <v>475</v>
      </c>
      <c r="V132" s="26"/>
      <c r="W132" s="25" t="s">
        <v>103</v>
      </c>
      <c r="X132" s="26"/>
      <c r="Y132" s="32"/>
      <c r="Z132" s="32"/>
      <c r="AA132" s="28"/>
      <c r="AB132" s="33" t="n">
        <v>3500</v>
      </c>
      <c r="AC132" s="33" t="n">
        <v>94146500</v>
      </c>
      <c r="AD132" s="33" t="n">
        <v>658000000</v>
      </c>
      <c r="AE132" s="26"/>
      <c r="AF132" s="26" t="str">
        <f aca="false"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>소재 입고일정 확인 필요</v>
      </c>
      <c r="AG132" s="24" t="str">
        <f aca="false">IF($K132="","",IF(OR(LEFT($AF132,2)="작지",LEFT($AF132,4)="소재입고"),IF(LEFT($G132,1)="S","★ 납기위험(S코드)","◆ 지연주의"),IF($AF132="정상","✓ 정상","? 확인필요")))</f>
        <v>? 확인필요</v>
      </c>
      <c r="AH132" s="27"/>
      <c r="AI132" s="34"/>
    </row>
    <row r="133" customFormat="false" ht="15" hidden="false" customHeight="false" outlineLevel="0" collapsed="false">
      <c r="A133" s="24" t="n">
        <v>129</v>
      </c>
      <c r="B133" s="25" t="s">
        <v>155</v>
      </c>
      <c r="C133" s="25" t="s">
        <v>328</v>
      </c>
      <c r="D133" s="26" t="s">
        <v>601</v>
      </c>
      <c r="E133" s="25" t="s">
        <v>602</v>
      </c>
      <c r="F133" s="26" t="s">
        <v>603</v>
      </c>
      <c r="G133" s="24" t="str">
        <f aca="false">IF($D133="","",IF(MID($D133,5,1)="S","S(봄)",IF(MID($D133,5,1)="M","M(여름)",IF(MID($D133,5,1)="X","X(사계절)",MID($D133,5,1)))))</f>
        <v>M(여름)</v>
      </c>
      <c r="H133" s="25" t="s">
        <v>97</v>
      </c>
      <c r="I133" s="24"/>
      <c r="J133" s="27" t="s">
        <v>568</v>
      </c>
      <c r="K133" s="28" t="n">
        <f aca="false">IF($J133="","",IFERROR(DATE(IF(VALUE(LEFT($J133,FIND("월",$J133)-1))&gt;=9,기준정보!$C$7-1,기준정보!$C$7),VALUE(LEFT($J133,FIND("월",$J133)-1)),1+7*(VALUE(SUBSTITUTE(MID($J133,FIND("월",$J133)+1,5),"주",""))-1)),""))</f>
        <v>46454</v>
      </c>
      <c r="L133" s="28" t="n">
        <f aca="false">IF($K133="","",IF(AND($K133-기준정보!$C$5&gt;=기준정보!$C$10,$K133-기준정보!$C$5&lt;=기준정보!$C$11),기준정보!$C$10-1,$K133-기준정보!$C$5))</f>
        <v>46440</v>
      </c>
      <c r="M133" s="29" t="n">
        <f aca="false"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>15</v>
      </c>
      <c r="N133" s="28" t="n">
        <f aca="false">IF($L133="","",$L133-기준정보!$C$6-$M133)</f>
        <v>46335</v>
      </c>
      <c r="O133" s="30" t="n">
        <f aca="false">IF($N133="","",$N133-기준정보!$C$4)</f>
        <v>82</v>
      </c>
      <c r="P133" s="27" t="s">
        <v>100</v>
      </c>
      <c r="Q133" s="27" t="s">
        <v>100</v>
      </c>
      <c r="R133" s="27" t="s">
        <v>100</v>
      </c>
      <c r="S133" s="31"/>
      <c r="T133" s="26" t="str">
        <f aca="false">IF($H133="","",IF(AND(ISNUMBER(SEARCH("CMT",$H133)),OR(ISNUMBER(SEARCH("완사입",$H133)),ISNUMBER(SEARCH("ODM",$H133)))),"본사/생산처 혼재",IF(ISNUMBER(SEARCH("CMT",$H133)),"본사(소재팀)","생산처")))</f>
        <v>생산처</v>
      </c>
      <c r="U133" s="25" t="s">
        <v>604</v>
      </c>
      <c r="V133" s="25" t="s">
        <v>605</v>
      </c>
      <c r="W133" s="25" t="s">
        <v>103</v>
      </c>
      <c r="X133" s="26" t="s">
        <v>247</v>
      </c>
      <c r="Y133" s="32" t="s">
        <v>597</v>
      </c>
      <c r="Z133" s="32"/>
      <c r="AA133" s="28" t="n">
        <v>46205</v>
      </c>
      <c r="AB133" s="33" t="n">
        <v>5500</v>
      </c>
      <c r="AC133" s="33" t="n">
        <v>149985000</v>
      </c>
      <c r="AD133" s="33" t="n">
        <v>814000000</v>
      </c>
      <c r="AE133" s="26" t="s">
        <v>568</v>
      </c>
      <c r="AF133" s="26" t="str">
        <f aca="false"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>소재 입고일정 확인 필요</v>
      </c>
      <c r="AG133" s="24" t="str">
        <f aca="false">IF($K133="","",IF(OR(LEFT($AF133,2)="작지",LEFT($AF133,4)="소재입고"),IF(LEFT($G133,1)="S","★ 납기위험(S코드)","◆ 지연주의"),IF($AF133="정상","✓ 정상","? 확인필요")))</f>
        <v>? 확인필요</v>
      </c>
      <c r="AH133" s="27"/>
      <c r="AI133" s="34"/>
    </row>
    <row r="134" customFormat="false" ht="15" hidden="false" customHeight="false" outlineLevel="0" collapsed="false">
      <c r="A134" s="24" t="n">
        <v>130</v>
      </c>
      <c r="B134" s="25" t="s">
        <v>155</v>
      </c>
      <c r="C134" s="25" t="s">
        <v>328</v>
      </c>
      <c r="D134" s="26" t="s">
        <v>606</v>
      </c>
      <c r="E134" s="25" t="s">
        <v>607</v>
      </c>
      <c r="F134" s="26" t="s">
        <v>608</v>
      </c>
      <c r="G134" s="24" t="str">
        <f aca="false">IF($D134="","",IF(MID($D134,5,1)="S","S(봄)",IF(MID($D134,5,1)="M","M(여름)",IF(MID($D134,5,1)="X","X(사계절)",MID($D134,5,1)))))</f>
        <v>M(여름)</v>
      </c>
      <c r="H134" s="25" t="s">
        <v>97</v>
      </c>
      <c r="I134" s="24"/>
      <c r="J134" s="27" t="s">
        <v>568</v>
      </c>
      <c r="K134" s="28" t="n">
        <f aca="false">IF($J134="","",IFERROR(DATE(IF(VALUE(LEFT($J134,FIND("월",$J134)-1))&gt;=9,기준정보!$C$7-1,기준정보!$C$7),VALUE(LEFT($J134,FIND("월",$J134)-1)),1+7*(VALUE(SUBSTITUTE(MID($J134,FIND("월",$J134)+1,5),"주",""))-1)),""))</f>
        <v>46454</v>
      </c>
      <c r="L134" s="28" t="n">
        <f aca="false">IF($K134="","",IF(AND($K134-기준정보!$C$5&gt;=기준정보!$C$10,$K134-기준정보!$C$5&lt;=기준정보!$C$11),기준정보!$C$10-1,$K134-기준정보!$C$5))</f>
        <v>46440</v>
      </c>
      <c r="M134" s="29" t="n">
        <f aca="false"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>15</v>
      </c>
      <c r="N134" s="28" t="n">
        <f aca="false">IF($L134="","",$L134-기준정보!$C$6-$M134)</f>
        <v>46335</v>
      </c>
      <c r="O134" s="30" t="n">
        <f aca="false">IF($N134="","",$N134-기준정보!$C$4)</f>
        <v>82</v>
      </c>
      <c r="P134" s="27" t="s">
        <v>100</v>
      </c>
      <c r="Q134" s="27" t="s">
        <v>100</v>
      </c>
      <c r="R134" s="27" t="s">
        <v>100</v>
      </c>
      <c r="S134" s="31"/>
      <c r="T134" s="26" t="str">
        <f aca="false">IF($H134="","",IF(AND(ISNUMBER(SEARCH("CMT",$H134)),OR(ISNUMBER(SEARCH("완사입",$H134)),ISNUMBER(SEARCH("ODM",$H134)))),"본사/생산처 혼재",IF(ISNUMBER(SEARCH("CMT",$H134)),"본사(소재팀)","생산처")))</f>
        <v>생산처</v>
      </c>
      <c r="U134" s="25" t="s">
        <v>604</v>
      </c>
      <c r="V134" s="25" t="s">
        <v>605</v>
      </c>
      <c r="W134" s="25" t="s">
        <v>103</v>
      </c>
      <c r="X134" s="25" t="s">
        <v>573</v>
      </c>
      <c r="Y134" s="35" t="s">
        <v>609</v>
      </c>
      <c r="Z134" s="32"/>
      <c r="AA134" s="28"/>
      <c r="AB134" s="33" t="n">
        <v>4000</v>
      </c>
      <c r="AC134" s="33" t="n">
        <v>163668000</v>
      </c>
      <c r="AD134" s="33" t="n">
        <v>552000000</v>
      </c>
      <c r="AE134" s="26"/>
      <c r="AF134" s="26" t="str">
        <f aca="false"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>소재 입고일정 확인 필요</v>
      </c>
      <c r="AG134" s="24" t="str">
        <f aca="false">IF($K134="","",IF(OR(LEFT($AF134,2)="작지",LEFT($AF134,4)="소재입고"),IF(LEFT($G134,1)="S","★ 납기위험(S코드)","◆ 지연주의"),IF($AF134="정상","✓ 정상","? 확인필요")))</f>
        <v>? 확인필요</v>
      </c>
      <c r="AH134" s="27"/>
      <c r="AI134" s="34"/>
    </row>
    <row r="135" customFormat="false" ht="15" hidden="false" customHeight="false" outlineLevel="0" collapsed="false">
      <c r="A135" s="24" t="n">
        <v>131</v>
      </c>
      <c r="B135" s="25" t="s">
        <v>155</v>
      </c>
      <c r="C135" s="25" t="s">
        <v>328</v>
      </c>
      <c r="D135" s="26" t="s">
        <v>610</v>
      </c>
      <c r="E135" s="25" t="s">
        <v>611</v>
      </c>
      <c r="F135" s="26" t="s">
        <v>612</v>
      </c>
      <c r="G135" s="24" t="str">
        <f aca="false">IF($D135="","",IF(MID($D135,5,1)="S","S(봄)",IF(MID($D135,5,1)="M","M(여름)",IF(MID($D135,5,1)="X","X(사계절)",MID($D135,5,1)))))</f>
        <v>M(여름)</v>
      </c>
      <c r="H135" s="25" t="s">
        <v>97</v>
      </c>
      <c r="I135" s="24"/>
      <c r="J135" s="27" t="s">
        <v>568</v>
      </c>
      <c r="K135" s="28" t="n">
        <f aca="false">IF($J135="","",IFERROR(DATE(IF(VALUE(LEFT($J135,FIND("월",$J135)-1))&gt;=9,기준정보!$C$7-1,기준정보!$C$7),VALUE(LEFT($J135,FIND("월",$J135)-1)),1+7*(VALUE(SUBSTITUTE(MID($J135,FIND("월",$J135)+1,5),"주",""))-1)),""))</f>
        <v>46454</v>
      </c>
      <c r="L135" s="28" t="n">
        <f aca="false">IF($K135="","",IF(AND($K135-기준정보!$C$5&gt;=기준정보!$C$10,$K135-기준정보!$C$5&lt;=기준정보!$C$11),기준정보!$C$10-1,$K135-기준정보!$C$5))</f>
        <v>46440</v>
      </c>
      <c r="M135" s="29" t="n">
        <f aca="false"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>15</v>
      </c>
      <c r="N135" s="28" t="n">
        <f aca="false">IF($L135="","",$L135-기준정보!$C$6-$M135)</f>
        <v>46335</v>
      </c>
      <c r="O135" s="30" t="n">
        <f aca="false">IF($N135="","",$N135-기준정보!$C$4)</f>
        <v>82</v>
      </c>
      <c r="P135" s="27" t="s">
        <v>100</v>
      </c>
      <c r="Q135" s="27" t="s">
        <v>100</v>
      </c>
      <c r="R135" s="27" t="s">
        <v>100</v>
      </c>
      <c r="S135" s="31"/>
      <c r="T135" s="26" t="str">
        <f aca="false">IF($H135="","",IF(AND(ISNUMBER(SEARCH("CMT",$H135)),OR(ISNUMBER(SEARCH("완사입",$H135)),ISNUMBER(SEARCH("ODM",$H135)))),"본사/생산처 혼재",IF(ISNUMBER(SEARCH("CMT",$H135)),"본사(소재팀)","생산처")))</f>
        <v>생산처</v>
      </c>
      <c r="U135" s="25" t="s">
        <v>604</v>
      </c>
      <c r="V135" s="25" t="s">
        <v>605</v>
      </c>
      <c r="W135" s="25" t="s">
        <v>103</v>
      </c>
      <c r="X135" s="25" t="s">
        <v>604</v>
      </c>
      <c r="Y135" s="35" t="s">
        <v>613</v>
      </c>
      <c r="Z135" s="32"/>
      <c r="AA135" s="28" t="n">
        <v>46225</v>
      </c>
      <c r="AB135" s="33" t="n">
        <v>3500</v>
      </c>
      <c r="AC135" s="33" t="n">
        <v>108528000</v>
      </c>
      <c r="AD135" s="33" t="n">
        <v>483000000</v>
      </c>
      <c r="AE135" s="26" t="s">
        <v>568</v>
      </c>
      <c r="AF135" s="26" t="str">
        <f aca="false"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>소재 입고일정 확인 필요</v>
      </c>
      <c r="AG135" s="24" t="str">
        <f aca="false">IF($K135="","",IF(OR(LEFT($AF135,2)="작지",LEFT($AF135,4)="소재입고"),IF(LEFT($G135,1)="S","★ 납기위험(S코드)","◆ 지연주의"),IF($AF135="정상","✓ 정상","? 확인필요")))</f>
        <v>? 확인필요</v>
      </c>
      <c r="AH135" s="27"/>
      <c r="AI135" s="34"/>
    </row>
    <row r="136" customFormat="false" ht="15" hidden="false" customHeight="false" outlineLevel="0" collapsed="false">
      <c r="A136" s="24" t="n">
        <v>132</v>
      </c>
      <c r="B136" s="25" t="s">
        <v>155</v>
      </c>
      <c r="C136" s="25" t="s">
        <v>328</v>
      </c>
      <c r="D136" s="26" t="s">
        <v>614</v>
      </c>
      <c r="E136" s="25" t="s">
        <v>615</v>
      </c>
      <c r="F136" s="26" t="s">
        <v>616</v>
      </c>
      <c r="G136" s="24" t="str">
        <f aca="false">IF($D136="","",IF(MID($D136,5,1)="S","S(봄)",IF(MID($D136,5,1)="M","M(여름)",IF(MID($D136,5,1)="X","X(사계절)",MID($D136,5,1)))))</f>
        <v>M(여름)</v>
      </c>
      <c r="H136" s="25" t="s">
        <v>97</v>
      </c>
      <c r="I136" s="24"/>
      <c r="J136" s="27" t="s">
        <v>568</v>
      </c>
      <c r="K136" s="28" t="n">
        <f aca="false">IF($J136="","",IFERROR(DATE(IF(VALUE(LEFT($J136,FIND("월",$J136)-1))&gt;=9,기준정보!$C$7-1,기준정보!$C$7),VALUE(LEFT($J136,FIND("월",$J136)-1)),1+7*(VALUE(SUBSTITUTE(MID($J136,FIND("월",$J136)+1,5),"주",""))-1)),""))</f>
        <v>46454</v>
      </c>
      <c r="L136" s="28" t="n">
        <f aca="false">IF($K136="","",IF(AND($K136-기준정보!$C$5&gt;=기준정보!$C$10,$K136-기준정보!$C$5&lt;=기준정보!$C$11),기준정보!$C$10-1,$K136-기준정보!$C$5))</f>
        <v>46440</v>
      </c>
      <c r="M136" s="29" t="n">
        <f aca="false"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>15</v>
      </c>
      <c r="N136" s="28" t="n">
        <f aca="false">IF($L136="","",$L136-기준정보!$C$6-$M136)</f>
        <v>46335</v>
      </c>
      <c r="O136" s="30" t="n">
        <f aca="false">IF($N136="","",$N136-기준정보!$C$4)</f>
        <v>82</v>
      </c>
      <c r="P136" s="27" t="s">
        <v>100</v>
      </c>
      <c r="Q136" s="27" t="s">
        <v>100</v>
      </c>
      <c r="R136" s="27" t="s">
        <v>100</v>
      </c>
      <c r="S136" s="31"/>
      <c r="T136" s="26" t="str">
        <f aca="false">IF($H136="","",IF(AND(ISNUMBER(SEARCH("CMT",$H136)),OR(ISNUMBER(SEARCH("완사입",$H136)),ISNUMBER(SEARCH("ODM",$H136)))),"본사/생산처 혼재",IF(ISNUMBER(SEARCH("CMT",$H136)),"본사(소재팀)","생산처")))</f>
        <v>생산처</v>
      </c>
      <c r="U136" s="25" t="s">
        <v>604</v>
      </c>
      <c r="V136" s="25" t="s">
        <v>605</v>
      </c>
      <c r="W136" s="25" t="s">
        <v>103</v>
      </c>
      <c r="X136" s="25" t="s">
        <v>604</v>
      </c>
      <c r="Y136" s="35" t="s">
        <v>617</v>
      </c>
      <c r="Z136" s="32"/>
      <c r="AA136" s="28" t="n">
        <v>46225</v>
      </c>
      <c r="AB136" s="33" t="n">
        <v>3000</v>
      </c>
      <c r="AC136" s="33" t="n">
        <v>107781000</v>
      </c>
      <c r="AD136" s="33" t="n">
        <v>474000000</v>
      </c>
      <c r="AE136" s="26"/>
      <c r="AF136" s="26" t="str">
        <f aca="false"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>소재 입고일정 확인 필요</v>
      </c>
      <c r="AG136" s="24" t="str">
        <f aca="false">IF($K136="","",IF(OR(LEFT($AF136,2)="작지",LEFT($AF136,4)="소재입고"),IF(LEFT($G136,1)="S","★ 납기위험(S코드)","◆ 지연주의"),IF($AF136="정상","✓ 정상","? 확인필요")))</f>
        <v>? 확인필요</v>
      </c>
      <c r="AH136" s="27"/>
      <c r="AI136" s="34"/>
    </row>
    <row r="137" customFormat="false" ht="15" hidden="false" customHeight="false" outlineLevel="0" collapsed="false">
      <c r="A137" s="24" t="n">
        <v>133</v>
      </c>
      <c r="B137" s="25" t="s">
        <v>155</v>
      </c>
      <c r="C137" s="25" t="s">
        <v>156</v>
      </c>
      <c r="D137" s="26" t="s">
        <v>618</v>
      </c>
      <c r="E137" s="25" t="s">
        <v>619</v>
      </c>
      <c r="F137" s="26" t="s">
        <v>620</v>
      </c>
      <c r="G137" s="24" t="str">
        <f aca="false">IF($D137="","",IF(MID($D137,5,1)="S","S(봄)",IF(MID($D137,5,1)="M","M(여름)",IF(MID($D137,5,1)="X","X(사계절)",MID($D137,5,1)))))</f>
        <v>M(여름)</v>
      </c>
      <c r="H137" s="25" t="s">
        <v>97</v>
      </c>
      <c r="I137" s="24"/>
      <c r="J137" s="27" t="s">
        <v>568</v>
      </c>
      <c r="K137" s="28" t="n">
        <f aca="false">IF($J137="","",IFERROR(DATE(IF(VALUE(LEFT($J137,FIND("월",$J137)-1))&gt;=9,기준정보!$C$7-1,기준정보!$C$7),VALUE(LEFT($J137,FIND("월",$J137)-1)),1+7*(VALUE(SUBSTITUTE(MID($J137,FIND("월",$J137)+1,5),"주",""))-1)),""))</f>
        <v>46454</v>
      </c>
      <c r="L137" s="28" t="n">
        <f aca="false">IF($K137="","",IF(AND($K137-기준정보!$C$5&gt;=기준정보!$C$10,$K137-기준정보!$C$5&lt;=기준정보!$C$11),기준정보!$C$10-1,$K137-기준정보!$C$5))</f>
        <v>46440</v>
      </c>
      <c r="M137" s="29" t="n">
        <f aca="false"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>15</v>
      </c>
      <c r="N137" s="28" t="n">
        <f aca="false">IF($L137="","",$L137-기준정보!$C$6-$M137)</f>
        <v>46335</v>
      </c>
      <c r="O137" s="30" t="n">
        <f aca="false">IF($N137="","",$N137-기준정보!$C$4)</f>
        <v>82</v>
      </c>
      <c r="P137" s="27" t="s">
        <v>100</v>
      </c>
      <c r="Q137" s="27" t="s">
        <v>100</v>
      </c>
      <c r="R137" s="27" t="s">
        <v>101</v>
      </c>
      <c r="S137" s="31"/>
      <c r="T137" s="26" t="str">
        <f aca="false">IF($H137="","",IF(AND(ISNUMBER(SEARCH("CMT",$H137)),OR(ISNUMBER(SEARCH("완사입",$H137)),ISNUMBER(SEARCH("ODM",$H137)))),"본사/생산처 혼재",IF(ISNUMBER(SEARCH("CMT",$H137)),"본사(소재팀)","생산처")))</f>
        <v>생산처</v>
      </c>
      <c r="U137" s="25" t="s">
        <v>380</v>
      </c>
      <c r="V137" s="25" t="s">
        <v>380</v>
      </c>
      <c r="W137" s="25" t="s">
        <v>103</v>
      </c>
      <c r="X137" s="26" t="s">
        <v>621</v>
      </c>
      <c r="Y137" s="32" t="s">
        <v>622</v>
      </c>
      <c r="Z137" s="32"/>
      <c r="AA137" s="28" t="n">
        <v>46211</v>
      </c>
      <c r="AB137" s="33" t="n">
        <v>12000</v>
      </c>
      <c r="AC137" s="33" t="n">
        <v>300696000</v>
      </c>
      <c r="AD137" s="33" t="n">
        <v>1536000000</v>
      </c>
      <c r="AE137" s="26" t="s">
        <v>568</v>
      </c>
      <c r="AF137" s="26" t="str">
        <f aca="false"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>소재 입고일정 확인 필요</v>
      </c>
      <c r="AG137" s="24" t="str">
        <f aca="false">IF($K137="","",IF(OR(LEFT($AF137,2)="작지",LEFT($AF137,4)="소재입고"),IF(LEFT($G137,1)="S","★ 납기위험(S코드)","◆ 지연주의"),IF($AF137="정상","✓ 정상","? 확인필요")))</f>
        <v>? 확인필요</v>
      </c>
      <c r="AH137" s="27"/>
      <c r="AI137" s="34"/>
    </row>
    <row r="138" customFormat="false" ht="15" hidden="false" customHeight="false" outlineLevel="0" collapsed="false">
      <c r="A138" s="24" t="n">
        <v>134</v>
      </c>
      <c r="B138" s="25" t="s">
        <v>155</v>
      </c>
      <c r="C138" s="25" t="s">
        <v>156</v>
      </c>
      <c r="D138" s="26" t="s">
        <v>623</v>
      </c>
      <c r="E138" s="25" t="s">
        <v>624</v>
      </c>
      <c r="F138" s="26" t="s">
        <v>307</v>
      </c>
      <c r="G138" s="24" t="str">
        <f aca="false">IF($D138="","",IF(MID($D138,5,1)="S","S(봄)",IF(MID($D138,5,1)="M","M(여름)",IF(MID($D138,5,1)="X","X(사계절)",MID($D138,5,1)))))</f>
        <v>M(여름)</v>
      </c>
      <c r="H138" s="25" t="s">
        <v>97</v>
      </c>
      <c r="I138" s="24"/>
      <c r="J138" s="27" t="s">
        <v>568</v>
      </c>
      <c r="K138" s="28" t="n">
        <f aca="false">IF($J138="","",IFERROR(DATE(IF(VALUE(LEFT($J138,FIND("월",$J138)-1))&gt;=9,기준정보!$C$7-1,기준정보!$C$7),VALUE(LEFT($J138,FIND("월",$J138)-1)),1+7*(VALUE(SUBSTITUTE(MID($J138,FIND("월",$J138)+1,5),"주",""))-1)),""))</f>
        <v>46454</v>
      </c>
      <c r="L138" s="28" t="n">
        <f aca="false">IF($K138="","",IF(AND($K138-기준정보!$C$5&gt;=기준정보!$C$10,$K138-기준정보!$C$5&lt;=기준정보!$C$11),기준정보!$C$10-1,$K138-기준정보!$C$5))</f>
        <v>46440</v>
      </c>
      <c r="M138" s="29" t="n">
        <f aca="false"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>15</v>
      </c>
      <c r="N138" s="28" t="n">
        <f aca="false">IF($L138="","",$L138-기준정보!$C$6-$M138)</f>
        <v>46335</v>
      </c>
      <c r="O138" s="30" t="n">
        <f aca="false">IF($N138="","",$N138-기준정보!$C$4)</f>
        <v>82</v>
      </c>
      <c r="P138" s="27" t="s">
        <v>100</v>
      </c>
      <c r="Q138" s="27" t="s">
        <v>100</v>
      </c>
      <c r="R138" s="27" t="s">
        <v>101</v>
      </c>
      <c r="S138" s="31"/>
      <c r="T138" s="26" t="str">
        <f aca="false">IF($H138="","",IF(AND(ISNUMBER(SEARCH("CMT",$H138)),OR(ISNUMBER(SEARCH("완사입",$H138)),ISNUMBER(SEARCH("ODM",$H138)))),"본사/생산처 혼재",IF(ISNUMBER(SEARCH("CMT",$H138)),"본사(소재팀)","생산처")))</f>
        <v>생산처</v>
      </c>
      <c r="U138" s="25" t="s">
        <v>380</v>
      </c>
      <c r="V138" s="25" t="s">
        <v>380</v>
      </c>
      <c r="W138" s="25" t="s">
        <v>103</v>
      </c>
      <c r="X138" s="26" t="s">
        <v>247</v>
      </c>
      <c r="Y138" s="32" t="s">
        <v>597</v>
      </c>
      <c r="Z138" s="32"/>
      <c r="AA138" s="28" t="n">
        <v>46217</v>
      </c>
      <c r="AB138" s="33" t="n">
        <v>3000</v>
      </c>
      <c r="AC138" s="33" t="n">
        <v>67437000</v>
      </c>
      <c r="AD138" s="33" t="n">
        <v>354000000</v>
      </c>
      <c r="AE138" s="26" t="s">
        <v>568</v>
      </c>
      <c r="AF138" s="26" t="str">
        <f aca="false"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>소재 입고일정 확인 필요</v>
      </c>
      <c r="AG138" s="24" t="str">
        <f aca="false">IF($K138="","",IF(OR(LEFT($AF138,2)="작지",LEFT($AF138,4)="소재입고"),IF(LEFT($G138,1)="S","★ 납기위험(S코드)","◆ 지연주의"),IF($AF138="정상","✓ 정상","? 확인필요")))</f>
        <v>? 확인필요</v>
      </c>
      <c r="AH138" s="27"/>
      <c r="AI138" s="34"/>
    </row>
    <row r="139" customFormat="false" ht="39.55" hidden="false" customHeight="false" outlineLevel="0" collapsed="false">
      <c r="A139" s="24" t="n">
        <v>135</v>
      </c>
      <c r="B139" s="25" t="s">
        <v>327</v>
      </c>
      <c r="C139" s="25" t="s">
        <v>309</v>
      </c>
      <c r="D139" s="26" t="s">
        <v>625</v>
      </c>
      <c r="E139" s="25" t="s">
        <v>626</v>
      </c>
      <c r="F139" s="26" t="s">
        <v>627</v>
      </c>
      <c r="G139" s="24" t="str">
        <f aca="false">IF($D139="","",IF(MID($D139,5,1)="S","S(봄)",IF(MID($D139,5,1)="M","M(여름)",IF(MID($D139,5,1)="X","X(사계절)",MID($D139,5,1)))))</f>
        <v>M(여름)</v>
      </c>
      <c r="H139" s="25" t="s">
        <v>97</v>
      </c>
      <c r="I139" s="24" t="s">
        <v>539</v>
      </c>
      <c r="J139" s="27" t="s">
        <v>568</v>
      </c>
      <c r="K139" s="28" t="n">
        <f aca="false">IF($J139="","",IFERROR(DATE(IF(VALUE(LEFT($J139,FIND("월",$J139)-1))&gt;=9,기준정보!$C$7-1,기준정보!$C$7),VALUE(LEFT($J139,FIND("월",$J139)-1)),1+7*(VALUE(SUBSTITUTE(MID($J139,FIND("월",$J139)+1,5),"주",""))-1)),""))</f>
        <v>46454</v>
      </c>
      <c r="L139" s="28" t="n">
        <f aca="false">IF($K139="","",IF(AND($K139-기준정보!$C$5&gt;=기준정보!$C$10,$K139-기준정보!$C$5&lt;=기준정보!$C$11),기준정보!$C$10-1,$K139-기준정보!$C$5))</f>
        <v>46440</v>
      </c>
      <c r="M139" s="29" t="n">
        <f aca="false"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>15</v>
      </c>
      <c r="N139" s="28" t="n">
        <f aca="false">IF($L139="","",$L139-기준정보!$C$6-$M139)</f>
        <v>46335</v>
      </c>
      <c r="O139" s="30" t="n">
        <f aca="false">IF($N139="","",$N139-기준정보!$C$4)</f>
        <v>82</v>
      </c>
      <c r="P139" s="27" t="s">
        <v>100</v>
      </c>
      <c r="Q139" s="27" t="s">
        <v>100</v>
      </c>
      <c r="R139" s="27" t="s">
        <v>101</v>
      </c>
      <c r="S139" s="31"/>
      <c r="T139" s="26" t="str">
        <f aca="false">IF($H139="","",IF(AND(ISNUMBER(SEARCH("CMT",$H139)),OR(ISNUMBER(SEARCH("완사입",$H139)),ISNUMBER(SEARCH("ODM",$H139)))),"본사/생산처 혼재",IF(ISNUMBER(SEARCH("CMT",$H139)),"본사(소재팀)","생산처")))</f>
        <v>생산처</v>
      </c>
      <c r="U139" s="25" t="s">
        <v>109</v>
      </c>
      <c r="V139" s="25" t="s">
        <v>102</v>
      </c>
      <c r="W139" s="25" t="s">
        <v>103</v>
      </c>
      <c r="X139" s="25" t="s">
        <v>628</v>
      </c>
      <c r="Y139" s="35" t="s">
        <v>629</v>
      </c>
      <c r="Z139" s="32"/>
      <c r="AA139" s="28" t="n">
        <v>46252</v>
      </c>
      <c r="AB139" s="33" t="n">
        <v>3000</v>
      </c>
      <c r="AC139" s="33" t="n">
        <v>116118000</v>
      </c>
      <c r="AD139" s="33" t="n">
        <v>660000000</v>
      </c>
      <c r="AE139" s="26"/>
      <c r="AF139" s="26" t="str">
        <f aca="false"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>소재 입고일정 확인 필요</v>
      </c>
      <c r="AG139" s="24" t="str">
        <f aca="false">IF($K139="","",IF(OR(LEFT($AF139,2)="작지",LEFT($AF139,4)="소재입고"),IF(LEFT($G139,1)="S","★ 납기위험(S코드)","◆ 지연주의"),IF($AF139="정상","✓ 정상","? 확인필요")))</f>
        <v>? 확인필요</v>
      </c>
      <c r="AH139" s="27"/>
      <c r="AI139" s="34"/>
    </row>
    <row r="140" customFormat="false" ht="15" hidden="false" customHeight="false" outlineLevel="0" collapsed="false">
      <c r="A140" s="24" t="n">
        <v>136</v>
      </c>
      <c r="B140" s="25" t="s">
        <v>308</v>
      </c>
      <c r="C140" s="25" t="s">
        <v>320</v>
      </c>
      <c r="D140" s="26" t="s">
        <v>630</v>
      </c>
      <c r="E140" s="25" t="s">
        <v>631</v>
      </c>
      <c r="F140" s="26" t="s">
        <v>632</v>
      </c>
      <c r="G140" s="24" t="str">
        <f aca="false">IF($D140="","",IF(MID($D140,5,1)="S","S(봄)",IF(MID($D140,5,1)="M","M(여름)",IF(MID($D140,5,1)="X","X(사계절)",MID($D140,5,1)))))</f>
        <v>M(여름)</v>
      </c>
      <c r="H140" s="26" t="s">
        <v>255</v>
      </c>
      <c r="I140" s="24"/>
      <c r="J140" s="27" t="s">
        <v>568</v>
      </c>
      <c r="K140" s="28" t="n">
        <f aca="false">IF($J140="","",IFERROR(DATE(IF(VALUE(LEFT($J140,FIND("월",$J140)-1))&gt;=9,기준정보!$C$7-1,기준정보!$C$7),VALUE(LEFT($J140,FIND("월",$J140)-1)),1+7*(VALUE(SUBSTITUTE(MID($J140,FIND("월",$J140)+1,5),"주",""))-1)),""))</f>
        <v>46454</v>
      </c>
      <c r="L140" s="28" t="n">
        <f aca="false">IF($K140="","",IF(AND($K140-기준정보!$C$5&gt;=기준정보!$C$10,$K140-기준정보!$C$5&lt;=기준정보!$C$11),기준정보!$C$10-1,$K140-기준정보!$C$5))</f>
        <v>46440</v>
      </c>
      <c r="M140" s="29" t="n">
        <f aca="false"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>15</v>
      </c>
      <c r="N140" s="28" t="n">
        <f aca="false">IF($L140="","",$L140-기준정보!$C$6-$M140)</f>
        <v>46335</v>
      </c>
      <c r="O140" s="30" t="n">
        <f aca="false">IF($N140="","",$N140-기준정보!$C$4)</f>
        <v>82</v>
      </c>
      <c r="P140" s="27" t="s">
        <v>100</v>
      </c>
      <c r="Q140" s="27" t="s">
        <v>100</v>
      </c>
      <c r="R140" s="27" t="s">
        <v>100</v>
      </c>
      <c r="S140" s="31"/>
      <c r="T140" s="26" t="str">
        <f aca="false">IF($H140="","",IF(AND(ISNUMBER(SEARCH("CMT",$H140)),OR(ISNUMBER(SEARCH("완사입",$H140)),ISNUMBER(SEARCH("ODM",$H140)))),"본사/생산처 혼재",IF(ISNUMBER(SEARCH("CMT",$H140)),"본사(소재팀)","생산처")))</f>
        <v>본사(소재팀)</v>
      </c>
      <c r="U140" s="25" t="s">
        <v>126</v>
      </c>
      <c r="V140" s="25" t="s">
        <v>126</v>
      </c>
      <c r="W140" s="25" t="s">
        <v>103</v>
      </c>
      <c r="X140" s="26" t="s">
        <v>247</v>
      </c>
      <c r="Y140" s="32" t="s">
        <v>597</v>
      </c>
      <c r="Z140" s="32"/>
      <c r="AA140" s="28" t="n">
        <v>46197</v>
      </c>
      <c r="AB140" s="33" t="n">
        <v>2700</v>
      </c>
      <c r="AC140" s="33" t="n">
        <v>69635700</v>
      </c>
      <c r="AD140" s="33" t="n">
        <v>453600000</v>
      </c>
      <c r="AE140" s="26" t="s">
        <v>568</v>
      </c>
      <c r="AF140" s="26" t="str">
        <f aca="false"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>소재 입고일정 확인 필요</v>
      </c>
      <c r="AG140" s="24" t="str">
        <f aca="false">IF($K140="","",IF(OR(LEFT($AF140,2)="작지",LEFT($AF140,4)="소재입고"),IF(LEFT($G140,1)="S","★ 납기위험(S코드)","◆ 지연주의"),IF($AF140="정상","✓ 정상","? 확인필요")))</f>
        <v>? 확인필요</v>
      </c>
      <c r="AH140" s="27"/>
      <c r="AI140" s="34"/>
    </row>
    <row r="141" customFormat="false" ht="15" hidden="false" customHeight="false" outlineLevel="0" collapsed="false">
      <c r="A141" s="24" t="n">
        <v>137</v>
      </c>
      <c r="B141" s="25" t="s">
        <v>308</v>
      </c>
      <c r="C141" s="25" t="s">
        <v>320</v>
      </c>
      <c r="D141" s="26" t="s">
        <v>633</v>
      </c>
      <c r="E141" s="25" t="s">
        <v>634</v>
      </c>
      <c r="F141" s="26" t="s">
        <v>632</v>
      </c>
      <c r="G141" s="24" t="str">
        <f aca="false">IF($D141="","",IF(MID($D141,5,1)="S","S(봄)",IF(MID($D141,5,1)="M","M(여름)",IF(MID($D141,5,1)="X","X(사계절)",MID($D141,5,1)))))</f>
        <v>M(여름)</v>
      </c>
      <c r="H141" s="26" t="s">
        <v>255</v>
      </c>
      <c r="I141" s="24"/>
      <c r="J141" s="27" t="s">
        <v>568</v>
      </c>
      <c r="K141" s="28" t="n">
        <f aca="false">IF($J141="","",IFERROR(DATE(IF(VALUE(LEFT($J141,FIND("월",$J141)-1))&gt;=9,기준정보!$C$7-1,기준정보!$C$7),VALUE(LEFT($J141,FIND("월",$J141)-1)),1+7*(VALUE(SUBSTITUTE(MID($J141,FIND("월",$J141)+1,5),"주",""))-1)),""))</f>
        <v>46454</v>
      </c>
      <c r="L141" s="28" t="n">
        <f aca="false">IF($K141="","",IF(AND($K141-기준정보!$C$5&gt;=기준정보!$C$10,$K141-기준정보!$C$5&lt;=기준정보!$C$11),기준정보!$C$10-1,$K141-기준정보!$C$5))</f>
        <v>46440</v>
      </c>
      <c r="M141" s="29" t="n">
        <f aca="false"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>15</v>
      </c>
      <c r="N141" s="28" t="n">
        <f aca="false">IF($L141="","",$L141-기준정보!$C$6-$M141)</f>
        <v>46335</v>
      </c>
      <c r="O141" s="30" t="n">
        <f aca="false">IF($N141="","",$N141-기준정보!$C$4)</f>
        <v>82</v>
      </c>
      <c r="P141" s="27" t="s">
        <v>100</v>
      </c>
      <c r="Q141" s="27" t="s">
        <v>100</v>
      </c>
      <c r="R141" s="27" t="s">
        <v>100</v>
      </c>
      <c r="S141" s="31"/>
      <c r="T141" s="26" t="str">
        <f aca="false">IF($H141="","",IF(AND(ISNUMBER(SEARCH("CMT",$H141)),OR(ISNUMBER(SEARCH("완사입",$H141)),ISNUMBER(SEARCH("ODM",$H141)))),"본사/생산처 혼재",IF(ISNUMBER(SEARCH("CMT",$H141)),"본사(소재팀)","생산처")))</f>
        <v>본사(소재팀)</v>
      </c>
      <c r="U141" s="25" t="s">
        <v>126</v>
      </c>
      <c r="V141" s="25" t="s">
        <v>126</v>
      </c>
      <c r="W141" s="25" t="s">
        <v>103</v>
      </c>
      <c r="X141" s="26" t="s">
        <v>247</v>
      </c>
      <c r="Y141" s="32" t="s">
        <v>597</v>
      </c>
      <c r="Z141" s="32"/>
      <c r="AA141" s="28" t="n">
        <v>46197</v>
      </c>
      <c r="AB141" s="33" t="n">
        <v>2300</v>
      </c>
      <c r="AC141" s="33" t="n">
        <v>51520000</v>
      </c>
      <c r="AD141" s="33" t="n">
        <v>248400000</v>
      </c>
      <c r="AE141" s="26" t="s">
        <v>568</v>
      </c>
      <c r="AF141" s="26" t="str">
        <f aca="false"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>소재 입고일정 확인 필요</v>
      </c>
      <c r="AG141" s="24" t="str">
        <f aca="false">IF($K141="","",IF(OR(LEFT($AF141,2)="작지",LEFT($AF141,4)="소재입고"),IF(LEFT($G141,1)="S","★ 납기위험(S코드)","◆ 지연주의"),IF($AF141="정상","✓ 정상","? 확인필요")))</f>
        <v>? 확인필요</v>
      </c>
      <c r="AH141" s="27"/>
      <c r="AI141" s="34"/>
    </row>
    <row r="142" customFormat="false" ht="15" hidden="false" customHeight="false" outlineLevel="0" collapsed="false">
      <c r="A142" s="24" t="n">
        <v>138</v>
      </c>
      <c r="B142" s="25" t="s">
        <v>155</v>
      </c>
      <c r="C142" s="25" t="s">
        <v>156</v>
      </c>
      <c r="D142" s="26" t="s">
        <v>635</v>
      </c>
      <c r="E142" s="25" t="s">
        <v>636</v>
      </c>
      <c r="F142" s="26" t="s">
        <v>637</v>
      </c>
      <c r="G142" s="24" t="str">
        <f aca="false">IF($D142="","",IF(MID($D142,5,1)="S","S(봄)",IF(MID($D142,5,1)="M","M(여름)",IF(MID($D142,5,1)="X","X(사계절)",MID($D142,5,1)))))</f>
        <v>M(여름)</v>
      </c>
      <c r="H142" s="25" t="s">
        <v>97</v>
      </c>
      <c r="I142" s="24"/>
      <c r="J142" s="27" t="s">
        <v>568</v>
      </c>
      <c r="K142" s="28" t="n">
        <f aca="false">IF($J142="","",IFERROR(DATE(IF(VALUE(LEFT($J142,FIND("월",$J142)-1))&gt;=9,기준정보!$C$7-1,기준정보!$C$7),VALUE(LEFT($J142,FIND("월",$J142)-1)),1+7*(VALUE(SUBSTITUTE(MID($J142,FIND("월",$J142)+1,5),"주",""))-1)),""))</f>
        <v>46454</v>
      </c>
      <c r="L142" s="28" t="n">
        <f aca="false">IF($K142="","",IF(AND($K142-기준정보!$C$5&gt;=기준정보!$C$10,$K142-기준정보!$C$5&lt;=기준정보!$C$11),기준정보!$C$10-1,$K142-기준정보!$C$5))</f>
        <v>46440</v>
      </c>
      <c r="M142" s="29" t="n">
        <f aca="false"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>15</v>
      </c>
      <c r="N142" s="28" t="n">
        <f aca="false">IF($L142="","",$L142-기준정보!$C$6-$M142)</f>
        <v>46335</v>
      </c>
      <c r="O142" s="30" t="n">
        <f aca="false">IF($N142="","",$N142-기준정보!$C$4)</f>
        <v>82</v>
      </c>
      <c r="P142" s="27" t="s">
        <v>100</v>
      </c>
      <c r="Q142" s="27" t="s">
        <v>100</v>
      </c>
      <c r="R142" s="27" t="s">
        <v>100</v>
      </c>
      <c r="S142" s="31"/>
      <c r="T142" s="26" t="str">
        <f aca="false">IF($H142="","",IF(AND(ISNUMBER(SEARCH("CMT",$H142)),OR(ISNUMBER(SEARCH("완사입",$H142)),ISNUMBER(SEARCH("ODM",$H142)))),"본사/생산처 혼재",IF(ISNUMBER(SEARCH("CMT",$H142)),"본사(소재팀)","생산처")))</f>
        <v>생산처</v>
      </c>
      <c r="U142" s="25" t="s">
        <v>135</v>
      </c>
      <c r="V142" s="25" t="s">
        <v>135</v>
      </c>
      <c r="W142" s="25" t="s">
        <v>103</v>
      </c>
      <c r="X142" s="25" t="s">
        <v>604</v>
      </c>
      <c r="Y142" s="35" t="s">
        <v>638</v>
      </c>
      <c r="Z142" s="32"/>
      <c r="AA142" s="28" t="n">
        <v>46225</v>
      </c>
      <c r="AB142" s="33" t="n">
        <v>5000</v>
      </c>
      <c r="AC142" s="33" t="n">
        <v>147115000</v>
      </c>
      <c r="AD142" s="33" t="n">
        <v>640000000</v>
      </c>
      <c r="AE142" s="26" t="s">
        <v>568</v>
      </c>
      <c r="AF142" s="26" t="str">
        <f aca="false"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>소재 입고일정 확인 필요</v>
      </c>
      <c r="AG142" s="24" t="str">
        <f aca="false">IF($K142="","",IF(OR(LEFT($AF142,2)="작지",LEFT($AF142,4)="소재입고"),IF(LEFT($G142,1)="S","★ 납기위험(S코드)","◆ 지연주의"),IF($AF142="정상","✓ 정상","? 확인필요")))</f>
        <v>? 확인필요</v>
      </c>
      <c r="AH142" s="27"/>
      <c r="AI142" s="34"/>
    </row>
    <row r="143" customFormat="false" ht="15" hidden="false" customHeight="false" outlineLevel="0" collapsed="false">
      <c r="A143" s="24" t="n">
        <v>139</v>
      </c>
      <c r="B143" s="25" t="s">
        <v>155</v>
      </c>
      <c r="C143" s="25" t="s">
        <v>156</v>
      </c>
      <c r="D143" s="26" t="s">
        <v>639</v>
      </c>
      <c r="E143" s="25" t="s">
        <v>640</v>
      </c>
      <c r="F143" s="26" t="s">
        <v>620</v>
      </c>
      <c r="G143" s="24" t="str">
        <f aca="false">IF($D143="","",IF(MID($D143,5,1)="S","S(봄)",IF(MID($D143,5,1)="M","M(여름)",IF(MID($D143,5,1)="X","X(사계절)",MID($D143,5,1)))))</f>
        <v>M(여름)</v>
      </c>
      <c r="H143" s="25" t="s">
        <v>97</v>
      </c>
      <c r="I143" s="24"/>
      <c r="J143" s="27" t="s">
        <v>568</v>
      </c>
      <c r="K143" s="28" t="n">
        <f aca="false">IF($J143="","",IFERROR(DATE(IF(VALUE(LEFT($J143,FIND("월",$J143)-1))&gt;=9,기준정보!$C$7-1,기준정보!$C$7),VALUE(LEFT($J143,FIND("월",$J143)-1)),1+7*(VALUE(SUBSTITUTE(MID($J143,FIND("월",$J143)+1,5),"주",""))-1)),""))</f>
        <v>46454</v>
      </c>
      <c r="L143" s="28" t="n">
        <f aca="false">IF($K143="","",IF(AND($K143-기준정보!$C$5&gt;=기준정보!$C$10,$K143-기준정보!$C$5&lt;=기준정보!$C$11),기준정보!$C$10-1,$K143-기준정보!$C$5))</f>
        <v>46440</v>
      </c>
      <c r="M143" s="29" t="n">
        <f aca="false"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>15</v>
      </c>
      <c r="N143" s="28" t="n">
        <f aca="false">IF($L143="","",$L143-기준정보!$C$6-$M143)</f>
        <v>46335</v>
      </c>
      <c r="O143" s="30" t="n">
        <f aca="false">IF($N143="","",$N143-기준정보!$C$4)</f>
        <v>82</v>
      </c>
      <c r="P143" s="27" t="s">
        <v>100</v>
      </c>
      <c r="Q143" s="27" t="s">
        <v>100</v>
      </c>
      <c r="R143" s="27" t="s">
        <v>100</v>
      </c>
      <c r="S143" s="31"/>
      <c r="T143" s="26" t="str">
        <f aca="false">IF($H143="","",IF(AND(ISNUMBER(SEARCH("CMT",$H143)),OR(ISNUMBER(SEARCH("완사입",$H143)),ISNUMBER(SEARCH("ODM",$H143)))),"본사/생산처 혼재",IF(ISNUMBER(SEARCH("CMT",$H143)),"본사(소재팀)","생산처")))</f>
        <v>생산처</v>
      </c>
      <c r="U143" s="25" t="s">
        <v>135</v>
      </c>
      <c r="V143" s="25" t="s">
        <v>135</v>
      </c>
      <c r="W143" s="25" t="s">
        <v>103</v>
      </c>
      <c r="X143" s="26" t="s">
        <v>621</v>
      </c>
      <c r="Y143" s="32" t="s">
        <v>622</v>
      </c>
      <c r="Z143" s="32"/>
      <c r="AA143" s="28" t="n">
        <v>46211</v>
      </c>
      <c r="AB143" s="33" t="n">
        <v>4000</v>
      </c>
      <c r="AC143" s="33" t="n">
        <v>87048000</v>
      </c>
      <c r="AD143" s="33" t="n">
        <v>512000000</v>
      </c>
      <c r="AE143" s="26" t="s">
        <v>568</v>
      </c>
      <c r="AF143" s="26" t="str">
        <f aca="false"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>소재 입고일정 확인 필요</v>
      </c>
      <c r="AG143" s="24" t="str">
        <f aca="false">IF($K143="","",IF(OR(LEFT($AF143,2)="작지",LEFT($AF143,4)="소재입고"),IF(LEFT($G143,1)="S","★ 납기위험(S코드)","◆ 지연주의"),IF($AF143="정상","✓ 정상","? 확인필요")))</f>
        <v>? 확인필요</v>
      </c>
      <c r="AH143" s="27"/>
      <c r="AI143" s="34"/>
    </row>
    <row r="144" customFormat="false" ht="15" hidden="false" customHeight="false" outlineLevel="0" collapsed="false">
      <c r="A144" s="24" t="n">
        <v>140</v>
      </c>
      <c r="B144" s="25" t="s">
        <v>327</v>
      </c>
      <c r="C144" s="25" t="s">
        <v>328</v>
      </c>
      <c r="D144" s="26" t="s">
        <v>641</v>
      </c>
      <c r="E144" s="25" t="s">
        <v>642</v>
      </c>
      <c r="F144" s="26" t="s">
        <v>643</v>
      </c>
      <c r="G144" s="24" t="str">
        <f aca="false">IF($D144="","",IF(MID($D144,5,1)="S","S(봄)",IF(MID($D144,5,1)="M","M(여름)",IF(MID($D144,5,1)="X","X(사계절)",MID($D144,5,1)))))</f>
        <v>M(여름)</v>
      </c>
      <c r="H144" s="25" t="s">
        <v>97</v>
      </c>
      <c r="I144" s="24" t="s">
        <v>644</v>
      </c>
      <c r="J144" s="27" t="s">
        <v>568</v>
      </c>
      <c r="K144" s="28" t="n">
        <f aca="false">IF($J144="","",IFERROR(DATE(IF(VALUE(LEFT($J144,FIND("월",$J144)-1))&gt;=9,기준정보!$C$7-1,기준정보!$C$7),VALUE(LEFT($J144,FIND("월",$J144)-1)),1+7*(VALUE(SUBSTITUTE(MID($J144,FIND("월",$J144)+1,5),"주",""))-1)),""))</f>
        <v>46454</v>
      </c>
      <c r="L144" s="28" t="n">
        <f aca="false">IF($K144="","",IF(AND($K144-기준정보!$C$5&gt;=기준정보!$C$10,$K144-기준정보!$C$5&lt;=기준정보!$C$11),기준정보!$C$10-1,$K144-기준정보!$C$5))</f>
        <v>46440</v>
      </c>
      <c r="M144" s="29" t="n">
        <f aca="false"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>15</v>
      </c>
      <c r="N144" s="28" t="n">
        <f aca="false">IF($L144="","",$L144-기준정보!$C$6-$M144)</f>
        <v>46335</v>
      </c>
      <c r="O144" s="30" t="n">
        <f aca="false">IF($N144="","",$N144-기준정보!$C$4)</f>
        <v>82</v>
      </c>
      <c r="P144" s="27" t="s">
        <v>100</v>
      </c>
      <c r="Q144" s="27" t="s">
        <v>100</v>
      </c>
      <c r="R144" s="27" t="s">
        <v>100</v>
      </c>
      <c r="S144" s="31"/>
      <c r="T144" s="26" t="str">
        <f aca="false">IF($H144="","",IF(AND(ISNUMBER(SEARCH("CMT",$H144)),OR(ISNUMBER(SEARCH("완사입",$H144)),ISNUMBER(SEARCH("ODM",$H144)))),"본사/생산처 혼재",IF(ISNUMBER(SEARCH("CMT",$H144)),"본사(소재팀)","생산처")))</f>
        <v>생산처</v>
      </c>
      <c r="U144" s="25" t="s">
        <v>324</v>
      </c>
      <c r="V144" s="25" t="s">
        <v>324</v>
      </c>
      <c r="W144" s="25" t="s">
        <v>103</v>
      </c>
      <c r="X144" s="26" t="s">
        <v>513</v>
      </c>
      <c r="Y144" s="32" t="s">
        <v>645</v>
      </c>
      <c r="Z144" s="32"/>
      <c r="AA144" s="28" t="n">
        <v>46202</v>
      </c>
      <c r="AB144" s="33" t="n">
        <v>5500</v>
      </c>
      <c r="AC144" s="33" t="n">
        <v>181296500</v>
      </c>
      <c r="AD144" s="33" t="n">
        <v>924000000</v>
      </c>
      <c r="AE144" s="26"/>
      <c r="AF144" s="26" t="str">
        <f aca="false"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>소재 입고일정 확인 필요</v>
      </c>
      <c r="AG144" s="24" t="str">
        <f aca="false">IF($K144="","",IF(OR(LEFT($AF144,2)="작지",LEFT($AF144,4)="소재입고"),IF(LEFT($G144,1)="S","★ 납기위험(S코드)","◆ 지연주의"),IF($AF144="정상","✓ 정상","? 확인필요")))</f>
        <v>? 확인필요</v>
      </c>
      <c r="AH144" s="27"/>
      <c r="AI144" s="34"/>
    </row>
    <row r="145" customFormat="false" ht="15" hidden="false" customHeight="false" outlineLevel="0" collapsed="false">
      <c r="A145" s="24" t="n">
        <v>141</v>
      </c>
      <c r="B145" s="25" t="s">
        <v>327</v>
      </c>
      <c r="C145" s="25" t="s">
        <v>328</v>
      </c>
      <c r="D145" s="26" t="s">
        <v>646</v>
      </c>
      <c r="E145" s="25" t="s">
        <v>647</v>
      </c>
      <c r="F145" s="26" t="s">
        <v>552</v>
      </c>
      <c r="G145" s="24" t="str">
        <f aca="false">IF($D145="","",IF(MID($D145,5,1)="S","S(봄)",IF(MID($D145,5,1)="M","M(여름)",IF(MID($D145,5,1)="X","X(사계절)",MID($D145,5,1)))))</f>
        <v>M(여름)</v>
      </c>
      <c r="H145" s="26" t="s">
        <v>255</v>
      </c>
      <c r="I145" s="24" t="s">
        <v>539</v>
      </c>
      <c r="J145" s="27" t="s">
        <v>648</v>
      </c>
      <c r="K145" s="28" t="n">
        <f aca="false">IF($J145="","",IFERROR(DATE(IF(VALUE(LEFT($J145,FIND("월",$J145)-1))&gt;=9,기준정보!$C$7-1,기준정보!$C$7),VALUE(LEFT($J145,FIND("월",$J145)-1)),1+7*(VALUE(SUBSTITUTE(MID($J145,FIND("월",$J145)+1,5),"주",""))-1)),""))</f>
        <v>46468</v>
      </c>
      <c r="L145" s="28" t="n">
        <f aca="false">IF($K145="","",IF(AND($K145-기준정보!$C$5&gt;=기준정보!$C$10,$K145-기준정보!$C$5&lt;=기준정보!$C$11),기준정보!$C$10-1,$K145-기준정보!$C$5))</f>
        <v>46454</v>
      </c>
      <c r="M145" s="29" t="n">
        <f aca="false"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>15</v>
      </c>
      <c r="N145" s="28" t="n">
        <f aca="false">IF($L145="","",$L145-기준정보!$C$6-$M145)</f>
        <v>46349</v>
      </c>
      <c r="O145" s="30" t="n">
        <f aca="false">IF($N145="","",$N145-기준정보!$C$4)</f>
        <v>96</v>
      </c>
      <c r="P145" s="27" t="s">
        <v>100</v>
      </c>
      <c r="Q145" s="27" t="s">
        <v>100</v>
      </c>
      <c r="R145" s="27" t="s">
        <v>100</v>
      </c>
      <c r="S145" s="31"/>
      <c r="T145" s="26" t="str">
        <f aca="false">IF($H145="","",IF(AND(ISNUMBER(SEARCH("CMT",$H145)),OR(ISNUMBER(SEARCH("완사입",$H145)),ISNUMBER(SEARCH("ODM",$H145)))),"본사/생산처 혼재",IF(ISNUMBER(SEARCH("CMT",$H145)),"본사(소재팀)","생산처")))</f>
        <v>본사(소재팀)</v>
      </c>
      <c r="U145" s="25" t="s">
        <v>126</v>
      </c>
      <c r="V145" s="25" t="s">
        <v>126</v>
      </c>
      <c r="W145" s="25" t="s">
        <v>103</v>
      </c>
      <c r="X145" s="26" t="s">
        <v>247</v>
      </c>
      <c r="Y145" s="32" t="s">
        <v>649</v>
      </c>
      <c r="Z145" s="32"/>
      <c r="AA145" s="28" t="n">
        <v>46199</v>
      </c>
      <c r="AB145" s="33" t="n">
        <v>6000</v>
      </c>
      <c r="AC145" s="33" t="n">
        <v>142842000</v>
      </c>
      <c r="AD145" s="33" t="n">
        <v>888000000</v>
      </c>
      <c r="AE145" s="26"/>
      <c r="AF145" s="26" t="str">
        <f aca="false"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>소재 입고일정 확인 필요</v>
      </c>
      <c r="AG145" s="24" t="str">
        <f aca="false">IF($K145="","",IF(OR(LEFT($AF145,2)="작지",LEFT($AF145,4)="소재입고"),IF(LEFT($G145,1)="S","★ 납기위험(S코드)","◆ 지연주의"),IF($AF145="정상","✓ 정상","? 확인필요")))</f>
        <v>? 확인필요</v>
      </c>
      <c r="AH145" s="27"/>
      <c r="AI145" s="34"/>
    </row>
    <row r="146" customFormat="false" ht="15" hidden="false" customHeight="false" outlineLevel="0" collapsed="false">
      <c r="A146" s="24" t="n">
        <v>142</v>
      </c>
      <c r="B146" s="25" t="s">
        <v>327</v>
      </c>
      <c r="C146" s="25" t="s">
        <v>328</v>
      </c>
      <c r="D146" s="26" t="s">
        <v>650</v>
      </c>
      <c r="E146" s="25" t="s">
        <v>651</v>
      </c>
      <c r="F146" s="26" t="s">
        <v>652</v>
      </c>
      <c r="G146" s="24" t="str">
        <f aca="false">IF($D146="","",IF(MID($D146,5,1)="S","S(봄)",IF(MID($D146,5,1)="M","M(여름)",IF(MID($D146,5,1)="X","X(사계절)",MID($D146,5,1)))))</f>
        <v>M(여름)</v>
      </c>
      <c r="H146" s="26" t="s">
        <v>255</v>
      </c>
      <c r="I146" s="24" t="s">
        <v>596</v>
      </c>
      <c r="J146" s="27" t="s">
        <v>648</v>
      </c>
      <c r="K146" s="28" t="n">
        <f aca="false">IF($J146="","",IFERROR(DATE(IF(VALUE(LEFT($J146,FIND("월",$J146)-1))&gt;=9,기준정보!$C$7-1,기준정보!$C$7),VALUE(LEFT($J146,FIND("월",$J146)-1)),1+7*(VALUE(SUBSTITUTE(MID($J146,FIND("월",$J146)+1,5),"주",""))-1)),""))</f>
        <v>46468</v>
      </c>
      <c r="L146" s="28" t="n">
        <f aca="false">IF($K146="","",IF(AND($K146-기준정보!$C$5&gt;=기준정보!$C$10,$K146-기준정보!$C$5&lt;=기준정보!$C$11),기준정보!$C$10-1,$K146-기준정보!$C$5))</f>
        <v>46454</v>
      </c>
      <c r="M146" s="29" t="n">
        <f aca="false"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>15</v>
      </c>
      <c r="N146" s="28" t="n">
        <f aca="false">IF($L146="","",$L146-기준정보!$C$6-$M146)</f>
        <v>46349</v>
      </c>
      <c r="O146" s="30" t="n">
        <f aca="false">IF($N146="","",$N146-기준정보!$C$4)</f>
        <v>96</v>
      </c>
      <c r="P146" s="27" t="s">
        <v>100</v>
      </c>
      <c r="Q146" s="27" t="s">
        <v>100</v>
      </c>
      <c r="R146" s="27" t="s">
        <v>100</v>
      </c>
      <c r="S146" s="31"/>
      <c r="T146" s="26" t="str">
        <f aca="false">IF($H146="","",IF(AND(ISNUMBER(SEARCH("CMT",$H146)),OR(ISNUMBER(SEARCH("완사입",$H146)),ISNUMBER(SEARCH("ODM",$H146)))),"본사/생산처 혼재",IF(ISNUMBER(SEARCH("CMT",$H146)),"본사(소재팀)","생산처")))</f>
        <v>본사(소재팀)</v>
      </c>
      <c r="U146" s="25" t="s">
        <v>126</v>
      </c>
      <c r="V146" s="25" t="s">
        <v>126</v>
      </c>
      <c r="W146" s="25" t="s">
        <v>103</v>
      </c>
      <c r="X146" s="26" t="s">
        <v>247</v>
      </c>
      <c r="Y146" s="32" t="s">
        <v>597</v>
      </c>
      <c r="Z146" s="32"/>
      <c r="AA146" s="28" t="n">
        <v>46197</v>
      </c>
      <c r="AB146" s="33" t="n">
        <v>2000</v>
      </c>
      <c r="AC146" s="33" t="n">
        <v>47624000</v>
      </c>
      <c r="AD146" s="33" t="n">
        <v>256000000</v>
      </c>
      <c r="AE146" s="26"/>
      <c r="AF146" s="26" t="str">
        <f aca="false"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>소재 입고일정 확인 필요</v>
      </c>
      <c r="AG146" s="24" t="str">
        <f aca="false">IF($K146="","",IF(OR(LEFT($AF146,2)="작지",LEFT($AF146,4)="소재입고"),IF(LEFT($G146,1)="S","★ 납기위험(S코드)","◆ 지연주의"),IF($AF146="정상","✓ 정상","? 확인필요")))</f>
        <v>? 확인필요</v>
      </c>
      <c r="AH146" s="27"/>
      <c r="AI146" s="34"/>
    </row>
    <row r="147" customFormat="false" ht="15" hidden="false" customHeight="false" outlineLevel="0" collapsed="false">
      <c r="A147" s="24" t="n">
        <v>143</v>
      </c>
      <c r="B147" s="25" t="s">
        <v>327</v>
      </c>
      <c r="C147" s="25" t="s">
        <v>328</v>
      </c>
      <c r="D147" s="26" t="s">
        <v>653</v>
      </c>
      <c r="E147" s="25" t="s">
        <v>654</v>
      </c>
      <c r="F147" s="26" t="s">
        <v>655</v>
      </c>
      <c r="G147" s="24" t="str">
        <f aca="false">IF($D147="","",IF(MID($D147,5,1)="S","S(봄)",IF(MID($D147,5,1)="M","M(여름)",IF(MID($D147,5,1)="X","X(사계절)",MID($D147,5,1)))))</f>
        <v>M(여름)</v>
      </c>
      <c r="H147" s="26" t="s">
        <v>255</v>
      </c>
      <c r="I147" s="24" t="s">
        <v>539</v>
      </c>
      <c r="J147" s="27" t="s">
        <v>648</v>
      </c>
      <c r="K147" s="28" t="n">
        <f aca="false">IF($J147="","",IFERROR(DATE(IF(VALUE(LEFT($J147,FIND("월",$J147)-1))&gt;=9,기준정보!$C$7-1,기준정보!$C$7),VALUE(LEFT($J147,FIND("월",$J147)-1)),1+7*(VALUE(SUBSTITUTE(MID($J147,FIND("월",$J147)+1,5),"주",""))-1)),""))</f>
        <v>46468</v>
      </c>
      <c r="L147" s="28" t="n">
        <f aca="false">IF($K147="","",IF(AND($K147-기준정보!$C$5&gt;=기준정보!$C$10,$K147-기준정보!$C$5&lt;=기준정보!$C$11),기준정보!$C$10-1,$K147-기준정보!$C$5))</f>
        <v>46454</v>
      </c>
      <c r="M147" s="29" t="n">
        <f aca="false"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>15</v>
      </c>
      <c r="N147" s="28" t="n">
        <f aca="false">IF($L147="","",$L147-기준정보!$C$6-$M147)</f>
        <v>46349</v>
      </c>
      <c r="O147" s="30" t="n">
        <f aca="false">IF($N147="","",$N147-기준정보!$C$4)</f>
        <v>96</v>
      </c>
      <c r="P147" s="27" t="s">
        <v>100</v>
      </c>
      <c r="Q147" s="27" t="s">
        <v>100</v>
      </c>
      <c r="R147" s="27" t="s">
        <v>100</v>
      </c>
      <c r="S147" s="31"/>
      <c r="T147" s="26" t="str">
        <f aca="false">IF($H147="","",IF(AND(ISNUMBER(SEARCH("CMT",$H147)),OR(ISNUMBER(SEARCH("완사입",$H147)),ISNUMBER(SEARCH("ODM",$H147)))),"본사/생산처 혼재",IF(ISNUMBER(SEARCH("CMT",$H147)),"본사(소재팀)","생산처")))</f>
        <v>본사(소재팀)</v>
      </c>
      <c r="U147" s="26" t="s">
        <v>280</v>
      </c>
      <c r="V147" s="26" t="s">
        <v>280</v>
      </c>
      <c r="W147" s="25" t="s">
        <v>103</v>
      </c>
      <c r="X147" s="26" t="s">
        <v>247</v>
      </c>
      <c r="Y147" s="32" t="s">
        <v>649</v>
      </c>
      <c r="Z147" s="32"/>
      <c r="AA147" s="28" t="n">
        <v>46199</v>
      </c>
      <c r="AB147" s="33" t="n">
        <v>14000</v>
      </c>
      <c r="AC147" s="33" t="n">
        <v>277676000</v>
      </c>
      <c r="AD147" s="33" t="n">
        <v>1232000000</v>
      </c>
      <c r="AE147" s="26"/>
      <c r="AF147" s="26" t="str">
        <f aca="false"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>소재 입고일정 확인 필요</v>
      </c>
      <c r="AG147" s="24" t="str">
        <f aca="false">IF($K147="","",IF(OR(LEFT($AF147,2)="작지",LEFT($AF147,4)="소재입고"),IF(LEFT($G147,1)="S","★ 납기위험(S코드)","◆ 지연주의"),IF($AF147="정상","✓ 정상","? 확인필요")))</f>
        <v>? 확인필요</v>
      </c>
      <c r="AH147" s="27"/>
      <c r="AI147" s="34"/>
    </row>
    <row r="148" customFormat="false" ht="15" hidden="false" customHeight="false" outlineLevel="0" collapsed="false">
      <c r="A148" s="24" t="n">
        <v>144</v>
      </c>
      <c r="B148" s="25" t="s">
        <v>327</v>
      </c>
      <c r="C148" s="25" t="s">
        <v>328</v>
      </c>
      <c r="D148" s="26" t="s">
        <v>656</v>
      </c>
      <c r="E148" s="25" t="s">
        <v>657</v>
      </c>
      <c r="F148" s="26" t="s">
        <v>658</v>
      </c>
      <c r="G148" s="24" t="str">
        <f aca="false">IF($D148="","",IF(MID($D148,5,1)="S","S(봄)",IF(MID($D148,5,1)="M","M(여름)",IF(MID($D148,5,1)="X","X(사계절)",MID($D148,5,1)))))</f>
        <v>M(여름)</v>
      </c>
      <c r="H148" s="26" t="s">
        <v>255</v>
      </c>
      <c r="I148" s="24" t="s">
        <v>539</v>
      </c>
      <c r="J148" s="27" t="s">
        <v>648</v>
      </c>
      <c r="K148" s="28" t="n">
        <f aca="false">IF($J148="","",IFERROR(DATE(IF(VALUE(LEFT($J148,FIND("월",$J148)-1))&gt;=9,기준정보!$C$7-1,기준정보!$C$7),VALUE(LEFT($J148,FIND("월",$J148)-1)),1+7*(VALUE(SUBSTITUTE(MID($J148,FIND("월",$J148)+1,5),"주",""))-1)),""))</f>
        <v>46468</v>
      </c>
      <c r="L148" s="28" t="n">
        <f aca="false">IF($K148="","",IF(AND($K148-기준정보!$C$5&gt;=기준정보!$C$10,$K148-기준정보!$C$5&lt;=기준정보!$C$11),기준정보!$C$10-1,$K148-기준정보!$C$5))</f>
        <v>46454</v>
      </c>
      <c r="M148" s="29" t="n">
        <f aca="false"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>15</v>
      </c>
      <c r="N148" s="28" t="n">
        <f aca="false">IF($L148="","",$L148-기준정보!$C$6-$M148)</f>
        <v>46349</v>
      </c>
      <c r="O148" s="30" t="n">
        <f aca="false">IF($N148="","",$N148-기준정보!$C$4)</f>
        <v>96</v>
      </c>
      <c r="P148" s="27" t="s">
        <v>100</v>
      </c>
      <c r="Q148" s="27" t="s">
        <v>100</v>
      </c>
      <c r="R148" s="27" t="s">
        <v>100</v>
      </c>
      <c r="S148" s="31"/>
      <c r="T148" s="26" t="str">
        <f aca="false">IF($H148="","",IF(AND(ISNUMBER(SEARCH("CMT",$H148)),OR(ISNUMBER(SEARCH("완사입",$H148)),ISNUMBER(SEARCH("ODM",$H148)))),"본사/생산처 혼재",IF(ISNUMBER(SEARCH("CMT",$H148)),"본사(소재팀)","생산처")))</f>
        <v>본사(소재팀)</v>
      </c>
      <c r="U148" s="26" t="s">
        <v>280</v>
      </c>
      <c r="V148" s="26" t="s">
        <v>280</v>
      </c>
      <c r="W148" s="25" t="s">
        <v>103</v>
      </c>
      <c r="X148" s="26" t="s">
        <v>247</v>
      </c>
      <c r="Y148" s="32" t="s">
        <v>649</v>
      </c>
      <c r="Z148" s="32"/>
      <c r="AA148" s="28" t="n">
        <v>46210</v>
      </c>
      <c r="AB148" s="33" t="n">
        <v>5500</v>
      </c>
      <c r="AC148" s="33" t="n">
        <v>115170000</v>
      </c>
      <c r="AD148" s="33" t="n">
        <v>594000000</v>
      </c>
      <c r="AE148" s="26"/>
      <c r="AF148" s="26" t="str">
        <f aca="false"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>소재 입고일정 확인 필요</v>
      </c>
      <c r="AG148" s="24" t="str">
        <f aca="false">IF($K148="","",IF(OR(LEFT($AF148,2)="작지",LEFT($AF148,4)="소재입고"),IF(LEFT($G148,1)="S","★ 납기위험(S코드)","◆ 지연주의"),IF($AF148="정상","✓ 정상","? 확인필요")))</f>
        <v>? 확인필요</v>
      </c>
      <c r="AH148" s="27"/>
      <c r="AI148" s="34"/>
    </row>
    <row r="149" customFormat="false" ht="15" hidden="false" customHeight="false" outlineLevel="0" collapsed="false">
      <c r="A149" s="24" t="n">
        <v>145</v>
      </c>
      <c r="B149" s="25" t="s">
        <v>327</v>
      </c>
      <c r="C149" s="25" t="s">
        <v>320</v>
      </c>
      <c r="D149" s="26" t="s">
        <v>659</v>
      </c>
      <c r="E149" s="25" t="s">
        <v>660</v>
      </c>
      <c r="F149" s="26" t="s">
        <v>661</v>
      </c>
      <c r="G149" s="24" t="str">
        <f aca="false">IF($D149="","",IF(MID($D149,5,1)="S","S(봄)",IF(MID($D149,5,1)="M","M(여름)",IF(MID($D149,5,1)="X","X(사계절)",MID($D149,5,1)))))</f>
        <v>M(여름)</v>
      </c>
      <c r="H149" s="25" t="s">
        <v>97</v>
      </c>
      <c r="I149" s="24" t="s">
        <v>539</v>
      </c>
      <c r="J149" s="27" t="s">
        <v>648</v>
      </c>
      <c r="K149" s="28" t="n">
        <f aca="false">IF($J149="","",IFERROR(DATE(IF(VALUE(LEFT($J149,FIND("월",$J149)-1))&gt;=9,기준정보!$C$7-1,기준정보!$C$7),VALUE(LEFT($J149,FIND("월",$J149)-1)),1+7*(VALUE(SUBSTITUTE(MID($J149,FIND("월",$J149)+1,5),"주",""))-1)),""))</f>
        <v>46468</v>
      </c>
      <c r="L149" s="28" t="n">
        <f aca="false">IF($K149="","",IF(AND($K149-기준정보!$C$5&gt;=기준정보!$C$10,$K149-기준정보!$C$5&lt;=기준정보!$C$11),기준정보!$C$10-1,$K149-기준정보!$C$5))</f>
        <v>46454</v>
      </c>
      <c r="M149" s="29" t="n">
        <f aca="false"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>15</v>
      </c>
      <c r="N149" s="28" t="n">
        <f aca="false">IF($L149="","",$L149-기준정보!$C$6-$M149)</f>
        <v>46349</v>
      </c>
      <c r="O149" s="30" t="n">
        <f aca="false">IF($N149="","",$N149-기준정보!$C$4)</f>
        <v>96</v>
      </c>
      <c r="P149" s="27" t="s">
        <v>100</v>
      </c>
      <c r="Q149" s="27" t="s">
        <v>100</v>
      </c>
      <c r="R149" s="27" t="s">
        <v>100</v>
      </c>
      <c r="S149" s="31"/>
      <c r="T149" s="26" t="str">
        <f aca="false">IF($H149="","",IF(AND(ISNUMBER(SEARCH("CMT",$H149)),OR(ISNUMBER(SEARCH("완사입",$H149)),ISNUMBER(SEARCH("ODM",$H149)))),"본사/생산처 혼재",IF(ISNUMBER(SEARCH("CMT",$H149)),"본사(소재팀)","생산처")))</f>
        <v>생산처</v>
      </c>
      <c r="U149" s="25" t="s">
        <v>289</v>
      </c>
      <c r="V149" s="25" t="s">
        <v>289</v>
      </c>
      <c r="W149" s="25" t="s">
        <v>103</v>
      </c>
      <c r="X149" s="26" t="s">
        <v>247</v>
      </c>
      <c r="Y149" s="32" t="s">
        <v>649</v>
      </c>
      <c r="Z149" s="32"/>
      <c r="AA149" s="28" t="n">
        <v>46210</v>
      </c>
      <c r="AB149" s="33" t="n">
        <v>2800</v>
      </c>
      <c r="AC149" s="33" t="n">
        <v>79357600</v>
      </c>
      <c r="AD149" s="33" t="n">
        <v>414400000</v>
      </c>
      <c r="AE149" s="26"/>
      <c r="AF149" s="26" t="str">
        <f aca="false"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>소재 입고일정 확인 필요</v>
      </c>
      <c r="AG149" s="24" t="str">
        <f aca="false">IF($K149="","",IF(OR(LEFT($AF149,2)="작지",LEFT($AF149,4)="소재입고"),IF(LEFT($G149,1)="S","★ 납기위험(S코드)","◆ 지연주의"),IF($AF149="정상","✓ 정상","? 확인필요")))</f>
        <v>? 확인필요</v>
      </c>
      <c r="AH149" s="27"/>
      <c r="AI149" s="34"/>
    </row>
    <row r="150" customFormat="false" ht="15" hidden="false" customHeight="false" outlineLevel="0" collapsed="false">
      <c r="A150" s="24" t="n">
        <v>146</v>
      </c>
      <c r="B150" s="25" t="s">
        <v>327</v>
      </c>
      <c r="C150" s="25" t="s">
        <v>320</v>
      </c>
      <c r="D150" s="26" t="s">
        <v>662</v>
      </c>
      <c r="E150" s="25" t="s">
        <v>663</v>
      </c>
      <c r="F150" s="26" t="s">
        <v>664</v>
      </c>
      <c r="G150" s="24" t="str">
        <f aca="false">IF($D150="","",IF(MID($D150,5,1)="S","S(봄)",IF(MID($D150,5,1)="M","M(여름)",IF(MID($D150,5,1)="X","X(사계절)",MID($D150,5,1)))))</f>
        <v>M(여름)</v>
      </c>
      <c r="H150" s="25" t="s">
        <v>97</v>
      </c>
      <c r="I150" s="24" t="s">
        <v>539</v>
      </c>
      <c r="J150" s="27" t="s">
        <v>648</v>
      </c>
      <c r="K150" s="28" t="n">
        <f aca="false">IF($J150="","",IFERROR(DATE(IF(VALUE(LEFT($J150,FIND("월",$J150)-1))&gt;=9,기준정보!$C$7-1,기준정보!$C$7),VALUE(LEFT($J150,FIND("월",$J150)-1)),1+7*(VALUE(SUBSTITUTE(MID($J150,FIND("월",$J150)+1,5),"주",""))-1)),""))</f>
        <v>46468</v>
      </c>
      <c r="L150" s="28" t="n">
        <f aca="false">IF($K150="","",IF(AND($K150-기준정보!$C$5&gt;=기준정보!$C$10,$K150-기준정보!$C$5&lt;=기준정보!$C$11),기준정보!$C$10-1,$K150-기준정보!$C$5))</f>
        <v>46454</v>
      </c>
      <c r="M150" s="29" t="n">
        <f aca="false"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>15</v>
      </c>
      <c r="N150" s="28" t="n">
        <f aca="false">IF($L150="","",$L150-기준정보!$C$6-$M150)</f>
        <v>46349</v>
      </c>
      <c r="O150" s="30" t="n">
        <f aca="false">IF($N150="","",$N150-기준정보!$C$4)</f>
        <v>96</v>
      </c>
      <c r="P150" s="27" t="s">
        <v>100</v>
      </c>
      <c r="Q150" s="27" t="s">
        <v>100</v>
      </c>
      <c r="R150" s="27" t="s">
        <v>101</v>
      </c>
      <c r="S150" s="31"/>
      <c r="T150" s="26" t="str">
        <f aca="false">IF($H150="","",IF(AND(ISNUMBER(SEARCH("CMT",$H150)),OR(ISNUMBER(SEARCH("완사입",$H150)),ISNUMBER(SEARCH("ODM",$H150)))),"본사/생산처 혼재",IF(ISNUMBER(SEARCH("CMT",$H150)),"본사(소재팀)","생산처")))</f>
        <v>생산처</v>
      </c>
      <c r="U150" s="26" t="s">
        <v>235</v>
      </c>
      <c r="V150" s="26" t="s">
        <v>235</v>
      </c>
      <c r="W150" s="25" t="s">
        <v>103</v>
      </c>
      <c r="X150" s="26" t="s">
        <v>247</v>
      </c>
      <c r="Y150" s="32" t="s">
        <v>649</v>
      </c>
      <c r="Z150" s="32"/>
      <c r="AA150" s="28" t="n">
        <v>46199</v>
      </c>
      <c r="AB150" s="33" t="n">
        <v>7700</v>
      </c>
      <c r="AC150" s="33" t="n">
        <v>173712000</v>
      </c>
      <c r="AD150" s="33" t="n">
        <v>754600000</v>
      </c>
      <c r="AE150" s="26"/>
      <c r="AF150" s="26" t="str">
        <f aca="false"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>소재 입고일정 확인 필요</v>
      </c>
      <c r="AG150" s="24" t="str">
        <f aca="false">IF($K150="","",IF(OR(LEFT($AF150,2)="작지",LEFT($AF150,4)="소재입고"),IF(LEFT($G150,1)="S","★ 납기위험(S코드)","◆ 지연주의"),IF($AF150="정상","✓ 정상","? 확인필요")))</f>
        <v>? 확인필요</v>
      </c>
      <c r="AH150" s="27"/>
      <c r="AI150" s="34"/>
    </row>
    <row r="151" customFormat="false" ht="15" hidden="false" customHeight="false" outlineLevel="0" collapsed="false">
      <c r="A151" s="24" t="n">
        <v>147</v>
      </c>
      <c r="B151" s="25" t="s">
        <v>308</v>
      </c>
      <c r="C151" s="25" t="s">
        <v>320</v>
      </c>
      <c r="D151" s="26" t="s">
        <v>665</v>
      </c>
      <c r="E151" s="25" t="s">
        <v>666</v>
      </c>
      <c r="F151" s="26" t="s">
        <v>667</v>
      </c>
      <c r="G151" s="24" t="str">
        <f aca="false">IF($D151="","",IF(MID($D151,5,1)="S","S(봄)",IF(MID($D151,5,1)="M","M(여름)",IF(MID($D151,5,1)="X","X(사계절)",MID($D151,5,1)))))</f>
        <v>M(여름)</v>
      </c>
      <c r="H151" s="26" t="s">
        <v>255</v>
      </c>
      <c r="I151" s="24"/>
      <c r="J151" s="27" t="s">
        <v>648</v>
      </c>
      <c r="K151" s="28" t="n">
        <f aca="false">IF($J151="","",IFERROR(DATE(IF(VALUE(LEFT($J151,FIND("월",$J151)-1))&gt;=9,기준정보!$C$7-1,기준정보!$C$7),VALUE(LEFT($J151,FIND("월",$J151)-1)),1+7*(VALUE(SUBSTITUTE(MID($J151,FIND("월",$J151)+1,5),"주",""))-1)),""))</f>
        <v>46468</v>
      </c>
      <c r="L151" s="28" t="n">
        <f aca="false">IF($K151="","",IF(AND($K151-기준정보!$C$5&gt;=기준정보!$C$10,$K151-기준정보!$C$5&lt;=기준정보!$C$11),기준정보!$C$10-1,$K151-기준정보!$C$5))</f>
        <v>46454</v>
      </c>
      <c r="M151" s="29" t="n">
        <f aca="false"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>15</v>
      </c>
      <c r="N151" s="28" t="n">
        <f aca="false">IF($L151="","",$L151-기준정보!$C$6-$M151)</f>
        <v>46349</v>
      </c>
      <c r="O151" s="30" t="n">
        <f aca="false">IF($N151="","",$N151-기준정보!$C$4)</f>
        <v>96</v>
      </c>
      <c r="P151" s="27" t="s">
        <v>100</v>
      </c>
      <c r="Q151" s="27" t="s">
        <v>100</v>
      </c>
      <c r="R151" s="27" t="s">
        <v>100</v>
      </c>
      <c r="S151" s="31"/>
      <c r="T151" s="26" t="str">
        <f aca="false">IF($H151="","",IF(AND(ISNUMBER(SEARCH("CMT",$H151)),OR(ISNUMBER(SEARCH("완사입",$H151)),ISNUMBER(SEARCH("ODM",$H151)))),"본사/생산처 혼재",IF(ISNUMBER(SEARCH("CMT",$H151)),"본사(소재팀)","생산처")))</f>
        <v>본사(소재팀)</v>
      </c>
      <c r="U151" s="26" t="s">
        <v>280</v>
      </c>
      <c r="V151" s="26" t="s">
        <v>280</v>
      </c>
      <c r="W151" s="25" t="s">
        <v>103</v>
      </c>
      <c r="X151" s="26" t="s">
        <v>247</v>
      </c>
      <c r="Y151" s="32" t="s">
        <v>649</v>
      </c>
      <c r="Z151" s="32"/>
      <c r="AA151" s="28" t="n">
        <v>46191</v>
      </c>
      <c r="AB151" s="33" t="n">
        <v>3500</v>
      </c>
      <c r="AC151" s="33" t="n">
        <v>95494000</v>
      </c>
      <c r="AD151" s="33" t="n">
        <v>553000000</v>
      </c>
      <c r="AE151" s="26" t="s">
        <v>648</v>
      </c>
      <c r="AF151" s="26" t="str">
        <f aca="false"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>소재 입고일정 확인 필요</v>
      </c>
      <c r="AG151" s="24" t="str">
        <f aca="false">IF($K151="","",IF(OR(LEFT($AF151,2)="작지",LEFT($AF151,4)="소재입고"),IF(LEFT($G151,1)="S","★ 납기위험(S코드)","◆ 지연주의"),IF($AF151="정상","✓ 정상","? 확인필요")))</f>
        <v>? 확인필요</v>
      </c>
      <c r="AH151" s="27"/>
      <c r="AI151" s="34"/>
    </row>
    <row r="152" customFormat="false" ht="15" hidden="false" customHeight="false" outlineLevel="0" collapsed="false">
      <c r="A152" s="24" t="n">
        <v>148</v>
      </c>
      <c r="B152" s="25" t="s">
        <v>308</v>
      </c>
      <c r="C152" s="25" t="s">
        <v>320</v>
      </c>
      <c r="D152" s="26" t="s">
        <v>668</v>
      </c>
      <c r="E152" s="25" t="s">
        <v>669</v>
      </c>
      <c r="F152" s="26" t="s">
        <v>667</v>
      </c>
      <c r="G152" s="24" t="str">
        <f aca="false">IF($D152="","",IF(MID($D152,5,1)="S","S(봄)",IF(MID($D152,5,1)="M","M(여름)",IF(MID($D152,5,1)="X","X(사계절)",MID($D152,5,1)))))</f>
        <v>M(여름)</v>
      </c>
      <c r="H152" s="26" t="s">
        <v>255</v>
      </c>
      <c r="I152" s="24"/>
      <c r="J152" s="27" t="s">
        <v>648</v>
      </c>
      <c r="K152" s="28" t="n">
        <f aca="false">IF($J152="","",IFERROR(DATE(IF(VALUE(LEFT($J152,FIND("월",$J152)-1))&gt;=9,기준정보!$C$7-1,기준정보!$C$7),VALUE(LEFT($J152,FIND("월",$J152)-1)),1+7*(VALUE(SUBSTITUTE(MID($J152,FIND("월",$J152)+1,5),"주",""))-1)),""))</f>
        <v>46468</v>
      </c>
      <c r="L152" s="28" t="n">
        <f aca="false">IF($K152="","",IF(AND($K152-기준정보!$C$5&gt;=기준정보!$C$10,$K152-기준정보!$C$5&lt;=기준정보!$C$11),기준정보!$C$10-1,$K152-기준정보!$C$5))</f>
        <v>46454</v>
      </c>
      <c r="M152" s="29" t="n">
        <f aca="false"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>15</v>
      </c>
      <c r="N152" s="28" t="n">
        <f aca="false">IF($L152="","",$L152-기준정보!$C$6-$M152)</f>
        <v>46349</v>
      </c>
      <c r="O152" s="30" t="n">
        <f aca="false">IF($N152="","",$N152-기준정보!$C$4)</f>
        <v>96</v>
      </c>
      <c r="P152" s="27" t="s">
        <v>100</v>
      </c>
      <c r="Q152" s="27" t="s">
        <v>100</v>
      </c>
      <c r="R152" s="27" t="s">
        <v>100</v>
      </c>
      <c r="S152" s="31"/>
      <c r="T152" s="26" t="str">
        <f aca="false">IF($H152="","",IF(AND(ISNUMBER(SEARCH("CMT",$H152)),OR(ISNUMBER(SEARCH("완사입",$H152)),ISNUMBER(SEARCH("ODM",$H152)))),"본사/생산처 혼재",IF(ISNUMBER(SEARCH("CMT",$H152)),"본사(소재팀)","생산처")))</f>
        <v>본사(소재팀)</v>
      </c>
      <c r="U152" s="26" t="s">
        <v>183</v>
      </c>
      <c r="V152" s="26" t="s">
        <v>183</v>
      </c>
      <c r="W152" s="25" t="s">
        <v>103</v>
      </c>
      <c r="X152" s="26" t="s">
        <v>247</v>
      </c>
      <c r="Y152" s="32" t="s">
        <v>649</v>
      </c>
      <c r="Z152" s="32"/>
      <c r="AA152" s="28" t="n">
        <v>46191</v>
      </c>
      <c r="AB152" s="33" t="n">
        <v>2000</v>
      </c>
      <c r="AC152" s="33" t="n">
        <v>52978000</v>
      </c>
      <c r="AD152" s="33" t="n">
        <v>296000000</v>
      </c>
      <c r="AE152" s="26" t="s">
        <v>648</v>
      </c>
      <c r="AF152" s="26" t="str">
        <f aca="false"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>소재 입고일정 확인 필요</v>
      </c>
      <c r="AG152" s="24" t="str">
        <f aca="false">IF($K152="","",IF(OR(LEFT($AF152,2)="작지",LEFT($AF152,4)="소재입고"),IF(LEFT($G152,1)="S","★ 납기위험(S코드)","◆ 지연주의"),IF($AF152="정상","✓ 정상","? 확인필요")))</f>
        <v>? 확인필요</v>
      </c>
      <c r="AH152" s="27"/>
      <c r="AI152" s="34"/>
    </row>
    <row r="153" customFormat="false" ht="15" hidden="false" customHeight="false" outlineLevel="0" collapsed="false">
      <c r="A153" s="24" t="n">
        <v>149</v>
      </c>
      <c r="B153" s="25" t="s">
        <v>308</v>
      </c>
      <c r="C153" s="25" t="s">
        <v>320</v>
      </c>
      <c r="D153" s="26" t="s">
        <v>670</v>
      </c>
      <c r="E153" s="25" t="s">
        <v>671</v>
      </c>
      <c r="F153" s="26" t="s">
        <v>672</v>
      </c>
      <c r="G153" s="24" t="str">
        <f aca="false">IF($D153="","",IF(MID($D153,5,1)="S","S(봄)",IF(MID($D153,5,1)="M","M(여름)",IF(MID($D153,5,1)="X","X(사계절)",MID($D153,5,1)))))</f>
        <v>M(여름)</v>
      </c>
      <c r="H153" s="26" t="s">
        <v>255</v>
      </c>
      <c r="I153" s="24"/>
      <c r="J153" s="27" t="s">
        <v>648</v>
      </c>
      <c r="K153" s="28" t="n">
        <f aca="false">IF($J153="","",IFERROR(DATE(IF(VALUE(LEFT($J153,FIND("월",$J153)-1))&gt;=9,기준정보!$C$7-1,기준정보!$C$7),VALUE(LEFT($J153,FIND("월",$J153)-1)),1+7*(VALUE(SUBSTITUTE(MID($J153,FIND("월",$J153)+1,5),"주",""))-1)),""))</f>
        <v>46468</v>
      </c>
      <c r="L153" s="28" t="n">
        <f aca="false">IF($K153="","",IF(AND($K153-기준정보!$C$5&gt;=기준정보!$C$10,$K153-기준정보!$C$5&lt;=기준정보!$C$11),기준정보!$C$10-1,$K153-기준정보!$C$5))</f>
        <v>46454</v>
      </c>
      <c r="M153" s="29" t="n">
        <f aca="false"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>15</v>
      </c>
      <c r="N153" s="28" t="n">
        <f aca="false">IF($L153="","",$L153-기준정보!$C$6-$M153)</f>
        <v>46349</v>
      </c>
      <c r="O153" s="30" t="n">
        <f aca="false">IF($N153="","",$N153-기준정보!$C$4)</f>
        <v>96</v>
      </c>
      <c r="P153" s="27" t="s">
        <v>100</v>
      </c>
      <c r="Q153" s="27" t="s">
        <v>100</v>
      </c>
      <c r="R153" s="27" t="s">
        <v>100</v>
      </c>
      <c r="S153" s="31"/>
      <c r="T153" s="26" t="str">
        <f aca="false">IF($H153="","",IF(AND(ISNUMBER(SEARCH("CMT",$H153)),OR(ISNUMBER(SEARCH("완사입",$H153)),ISNUMBER(SEARCH("ODM",$H153)))),"본사/생산처 혼재",IF(ISNUMBER(SEARCH("CMT",$H153)),"본사(소재팀)","생산처")))</f>
        <v>본사(소재팀)</v>
      </c>
      <c r="U153" s="26" t="s">
        <v>280</v>
      </c>
      <c r="V153" s="26" t="s">
        <v>280</v>
      </c>
      <c r="W153" s="25" t="s">
        <v>103</v>
      </c>
      <c r="X153" s="26" t="s">
        <v>247</v>
      </c>
      <c r="Y153" s="32" t="s">
        <v>649</v>
      </c>
      <c r="Z153" s="32"/>
      <c r="AA153" s="28" t="n">
        <v>46199</v>
      </c>
      <c r="AB153" s="33" t="n">
        <v>5500</v>
      </c>
      <c r="AC153" s="33" t="n">
        <v>112744500</v>
      </c>
      <c r="AD153" s="33" t="n">
        <v>484000000</v>
      </c>
      <c r="AE153" s="26" t="s">
        <v>648</v>
      </c>
      <c r="AF153" s="26" t="str">
        <f aca="false"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>소재 입고일정 확인 필요</v>
      </c>
      <c r="AG153" s="24" t="str">
        <f aca="false">IF($K153="","",IF(OR(LEFT($AF153,2)="작지",LEFT($AF153,4)="소재입고"),IF(LEFT($G153,1)="S","★ 납기위험(S코드)","◆ 지연주의"),IF($AF153="정상","✓ 정상","? 확인필요")))</f>
        <v>? 확인필요</v>
      </c>
      <c r="AH153" s="27"/>
      <c r="AI153" s="34"/>
    </row>
    <row r="154" customFormat="false" ht="15" hidden="false" customHeight="false" outlineLevel="0" collapsed="false">
      <c r="A154" s="24" t="n">
        <v>150</v>
      </c>
      <c r="B154" s="25" t="s">
        <v>308</v>
      </c>
      <c r="C154" s="25" t="s">
        <v>320</v>
      </c>
      <c r="D154" s="26" t="s">
        <v>673</v>
      </c>
      <c r="E154" s="25" t="s">
        <v>674</v>
      </c>
      <c r="F154" s="26" t="s">
        <v>675</v>
      </c>
      <c r="G154" s="24" t="str">
        <f aca="false">IF($D154="","",IF(MID($D154,5,1)="S","S(봄)",IF(MID($D154,5,1)="M","M(여름)",IF(MID($D154,5,1)="X","X(사계절)",MID($D154,5,1)))))</f>
        <v>M(여름)</v>
      </c>
      <c r="H154" s="26" t="s">
        <v>255</v>
      </c>
      <c r="I154" s="24"/>
      <c r="J154" s="27" t="s">
        <v>648</v>
      </c>
      <c r="K154" s="28" t="n">
        <f aca="false">IF($J154="","",IFERROR(DATE(IF(VALUE(LEFT($J154,FIND("월",$J154)-1))&gt;=9,기준정보!$C$7-1,기준정보!$C$7),VALUE(LEFT($J154,FIND("월",$J154)-1)),1+7*(VALUE(SUBSTITUTE(MID($J154,FIND("월",$J154)+1,5),"주",""))-1)),""))</f>
        <v>46468</v>
      </c>
      <c r="L154" s="28" t="n">
        <f aca="false">IF($K154="","",IF(AND($K154-기준정보!$C$5&gt;=기준정보!$C$10,$K154-기준정보!$C$5&lt;=기준정보!$C$11),기준정보!$C$10-1,$K154-기준정보!$C$5))</f>
        <v>46454</v>
      </c>
      <c r="M154" s="29" t="n">
        <f aca="false"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>15</v>
      </c>
      <c r="N154" s="28" t="n">
        <f aca="false">IF($L154="","",$L154-기준정보!$C$6-$M154)</f>
        <v>46349</v>
      </c>
      <c r="O154" s="30" t="n">
        <f aca="false">IF($N154="","",$N154-기준정보!$C$4)</f>
        <v>96</v>
      </c>
      <c r="P154" s="27" t="s">
        <v>100</v>
      </c>
      <c r="Q154" s="27" t="s">
        <v>100</v>
      </c>
      <c r="R154" s="27" t="s">
        <v>100</v>
      </c>
      <c r="S154" s="31"/>
      <c r="T154" s="26" t="str">
        <f aca="false">IF($H154="","",IF(AND(ISNUMBER(SEARCH("CMT",$H154)),OR(ISNUMBER(SEARCH("완사입",$H154)),ISNUMBER(SEARCH("ODM",$H154)))),"본사/생산처 혼재",IF(ISNUMBER(SEARCH("CMT",$H154)),"본사(소재팀)","생산처")))</f>
        <v>본사(소재팀)</v>
      </c>
      <c r="U154" s="26" t="s">
        <v>280</v>
      </c>
      <c r="V154" s="26" t="s">
        <v>280</v>
      </c>
      <c r="W154" s="25" t="s">
        <v>103</v>
      </c>
      <c r="X154" s="26" t="s">
        <v>247</v>
      </c>
      <c r="Y154" s="32" t="s">
        <v>649</v>
      </c>
      <c r="Z154" s="32"/>
      <c r="AA154" s="28" t="n">
        <v>46210</v>
      </c>
      <c r="AB154" s="33" t="n">
        <v>5200</v>
      </c>
      <c r="AC154" s="33" t="n">
        <v>93600000</v>
      </c>
      <c r="AD154" s="33" t="n">
        <v>509600000</v>
      </c>
      <c r="AE154" s="26" t="s">
        <v>648</v>
      </c>
      <c r="AF154" s="26" t="str">
        <f aca="false"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>소재 입고일정 확인 필요</v>
      </c>
      <c r="AG154" s="24" t="str">
        <f aca="false">IF($K154="","",IF(OR(LEFT($AF154,2)="작지",LEFT($AF154,4)="소재입고"),IF(LEFT($G154,1)="S","★ 납기위험(S코드)","◆ 지연주의"),IF($AF154="정상","✓ 정상","? 확인필요")))</f>
        <v>? 확인필요</v>
      </c>
      <c r="AH154" s="27"/>
      <c r="AI154" s="34"/>
    </row>
    <row r="155" customFormat="false" ht="15" hidden="false" customHeight="false" outlineLevel="0" collapsed="false">
      <c r="A155" s="24" t="n">
        <v>151</v>
      </c>
      <c r="B155" s="25" t="s">
        <v>308</v>
      </c>
      <c r="C155" s="25" t="s">
        <v>320</v>
      </c>
      <c r="D155" s="26" t="s">
        <v>676</v>
      </c>
      <c r="E155" s="25" t="s">
        <v>677</v>
      </c>
      <c r="F155" s="26" t="s">
        <v>678</v>
      </c>
      <c r="G155" s="24" t="str">
        <f aca="false">IF($D155="","",IF(MID($D155,5,1)="S","S(봄)",IF(MID($D155,5,1)="M","M(여름)",IF(MID($D155,5,1)="X","X(사계절)",MID($D155,5,1)))))</f>
        <v>M(여름)</v>
      </c>
      <c r="H155" s="25" t="s">
        <v>97</v>
      </c>
      <c r="I155" s="24"/>
      <c r="J155" s="27" t="s">
        <v>648</v>
      </c>
      <c r="K155" s="28" t="n">
        <f aca="false">IF($J155="","",IFERROR(DATE(IF(VALUE(LEFT($J155,FIND("월",$J155)-1))&gt;=9,기준정보!$C$7-1,기준정보!$C$7),VALUE(LEFT($J155,FIND("월",$J155)-1)),1+7*(VALUE(SUBSTITUTE(MID($J155,FIND("월",$J155)+1,5),"주",""))-1)),""))</f>
        <v>46468</v>
      </c>
      <c r="L155" s="28" t="n">
        <f aca="false">IF($K155="","",IF(AND($K155-기준정보!$C$5&gt;=기준정보!$C$10,$K155-기준정보!$C$5&lt;=기준정보!$C$11),기준정보!$C$10-1,$K155-기준정보!$C$5))</f>
        <v>46454</v>
      </c>
      <c r="M155" s="29" t="n">
        <f aca="false"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>15</v>
      </c>
      <c r="N155" s="28" t="n">
        <f aca="false">IF($L155="","",$L155-기준정보!$C$6-$M155)</f>
        <v>46349</v>
      </c>
      <c r="O155" s="30" t="n">
        <f aca="false">IF($N155="","",$N155-기준정보!$C$4)</f>
        <v>96</v>
      </c>
      <c r="P155" s="27" t="s">
        <v>100</v>
      </c>
      <c r="Q155" s="27" t="s">
        <v>100</v>
      </c>
      <c r="R155" s="27" t="s">
        <v>100</v>
      </c>
      <c r="S155" s="31"/>
      <c r="T155" s="26" t="str">
        <f aca="false">IF($H155="","",IF(AND(ISNUMBER(SEARCH("CMT",$H155)),OR(ISNUMBER(SEARCH("완사입",$H155)),ISNUMBER(SEARCH("ODM",$H155)))),"본사/생산처 혼재",IF(ISNUMBER(SEARCH("CMT",$H155)),"본사(소재팀)","생산처")))</f>
        <v>생산처</v>
      </c>
      <c r="U155" s="25" t="s">
        <v>289</v>
      </c>
      <c r="V155" s="25" t="s">
        <v>289</v>
      </c>
      <c r="W155" s="25" t="s">
        <v>103</v>
      </c>
      <c r="X155" s="26" t="s">
        <v>247</v>
      </c>
      <c r="Y155" s="32" t="s">
        <v>649</v>
      </c>
      <c r="Z155" s="32"/>
      <c r="AA155" s="28" t="n">
        <v>46210</v>
      </c>
      <c r="AB155" s="33" t="n">
        <v>2100</v>
      </c>
      <c r="AC155" s="33" t="n">
        <v>56966700</v>
      </c>
      <c r="AD155" s="33" t="n">
        <v>310800000</v>
      </c>
      <c r="AE155" s="26" t="s">
        <v>648</v>
      </c>
      <c r="AF155" s="26" t="str">
        <f aca="false"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>소재 입고일정 확인 필요</v>
      </c>
      <c r="AG155" s="24" t="str">
        <f aca="false">IF($K155="","",IF(OR(LEFT($AF155,2)="작지",LEFT($AF155,4)="소재입고"),IF(LEFT($G155,1)="S","★ 납기위험(S코드)","◆ 지연주의"),IF($AF155="정상","✓ 정상","? 확인필요")))</f>
        <v>? 확인필요</v>
      </c>
      <c r="AH155" s="27"/>
      <c r="AI155" s="34"/>
    </row>
    <row r="156" customFormat="false" ht="15" hidden="false" customHeight="false" outlineLevel="0" collapsed="false">
      <c r="A156" s="24" t="n">
        <v>152</v>
      </c>
      <c r="B156" s="25" t="s">
        <v>155</v>
      </c>
      <c r="C156" s="25" t="s">
        <v>156</v>
      </c>
      <c r="D156" s="26" t="s">
        <v>679</v>
      </c>
      <c r="E156" s="25" t="s">
        <v>680</v>
      </c>
      <c r="F156" s="26" t="s">
        <v>134</v>
      </c>
      <c r="G156" s="24" t="str">
        <f aca="false">IF($D156="","",IF(MID($D156,5,1)="S","S(봄)",IF(MID($D156,5,1)="M","M(여름)",IF(MID($D156,5,1)="X","X(사계절)",MID($D156,5,1)))))</f>
        <v>M(여름)</v>
      </c>
      <c r="H156" s="25" t="s">
        <v>97</v>
      </c>
      <c r="I156" s="24"/>
      <c r="J156" s="27" t="s">
        <v>648</v>
      </c>
      <c r="K156" s="28" t="n">
        <f aca="false">IF($J156="","",IFERROR(DATE(IF(VALUE(LEFT($J156,FIND("월",$J156)-1))&gt;=9,기준정보!$C$7-1,기준정보!$C$7),VALUE(LEFT($J156,FIND("월",$J156)-1)),1+7*(VALUE(SUBSTITUTE(MID($J156,FIND("월",$J156)+1,5),"주",""))-1)),""))</f>
        <v>46468</v>
      </c>
      <c r="L156" s="28" t="n">
        <f aca="false">IF($K156="","",IF(AND($K156-기준정보!$C$5&gt;=기준정보!$C$10,$K156-기준정보!$C$5&lt;=기준정보!$C$11),기준정보!$C$10-1,$K156-기준정보!$C$5))</f>
        <v>46454</v>
      </c>
      <c r="M156" s="29" t="n">
        <f aca="false"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>15</v>
      </c>
      <c r="N156" s="28" t="n">
        <f aca="false">IF($L156="","",$L156-기준정보!$C$6-$M156)</f>
        <v>46349</v>
      </c>
      <c r="O156" s="30" t="n">
        <f aca="false">IF($N156="","",$N156-기준정보!$C$4)</f>
        <v>96</v>
      </c>
      <c r="P156" s="27" t="s">
        <v>100</v>
      </c>
      <c r="Q156" s="27" t="s">
        <v>100</v>
      </c>
      <c r="R156" s="27" t="s">
        <v>100</v>
      </c>
      <c r="S156" s="31"/>
      <c r="T156" s="26" t="str">
        <f aca="false">IF($H156="","",IF(AND(ISNUMBER(SEARCH("CMT",$H156)),OR(ISNUMBER(SEARCH("완사입",$H156)),ISNUMBER(SEARCH("ODM",$H156)))),"본사/생산처 혼재",IF(ISNUMBER(SEARCH("CMT",$H156)),"본사(소재팀)","생산처")))</f>
        <v>생산처</v>
      </c>
      <c r="U156" s="25" t="s">
        <v>380</v>
      </c>
      <c r="V156" s="25" t="s">
        <v>380</v>
      </c>
      <c r="W156" s="25" t="s">
        <v>103</v>
      </c>
      <c r="X156" s="26" t="s">
        <v>247</v>
      </c>
      <c r="Y156" s="32" t="s">
        <v>545</v>
      </c>
      <c r="Z156" s="32"/>
      <c r="AA156" s="28" t="n">
        <v>46202</v>
      </c>
      <c r="AB156" s="33" t="n">
        <v>1800</v>
      </c>
      <c r="AC156" s="33" t="n">
        <v>36117000</v>
      </c>
      <c r="AD156" s="33" t="n">
        <v>176400000</v>
      </c>
      <c r="AE156" s="26" t="s">
        <v>681</v>
      </c>
      <c r="AF156" s="26" t="str">
        <f aca="false"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>소재 입고일정 확인 필요</v>
      </c>
      <c r="AG156" s="24" t="str">
        <f aca="false">IF($K156="","",IF(OR(LEFT($AF156,2)="작지",LEFT($AF156,4)="소재입고"),IF(LEFT($G156,1)="S","★ 납기위험(S코드)","◆ 지연주의"),IF($AF156="정상","✓ 정상","? 확인필요")))</f>
        <v>? 확인필요</v>
      </c>
      <c r="AH156" s="27"/>
      <c r="AI156" s="34"/>
    </row>
    <row r="157" customFormat="false" ht="15" hidden="false" customHeight="false" outlineLevel="0" collapsed="false">
      <c r="A157" s="24" t="n">
        <v>153</v>
      </c>
      <c r="B157" s="25" t="s">
        <v>308</v>
      </c>
      <c r="C157" s="25" t="s">
        <v>156</v>
      </c>
      <c r="D157" s="26" t="s">
        <v>682</v>
      </c>
      <c r="E157" s="25" t="s">
        <v>683</v>
      </c>
      <c r="F157" s="26" t="s">
        <v>672</v>
      </c>
      <c r="G157" s="24" t="str">
        <f aca="false">IF($D157="","",IF(MID($D157,5,1)="S","S(봄)",IF(MID($D157,5,1)="M","M(여름)",IF(MID($D157,5,1)="X","X(사계절)",MID($D157,5,1)))))</f>
        <v>M(여름)</v>
      </c>
      <c r="H157" s="25" t="s">
        <v>97</v>
      </c>
      <c r="I157" s="24"/>
      <c r="J157" s="27" t="s">
        <v>648</v>
      </c>
      <c r="K157" s="28" t="n">
        <f aca="false">IF($J157="","",IFERROR(DATE(IF(VALUE(LEFT($J157,FIND("월",$J157)-1))&gt;=9,기준정보!$C$7-1,기준정보!$C$7),VALUE(LEFT($J157,FIND("월",$J157)-1)),1+7*(VALUE(SUBSTITUTE(MID($J157,FIND("월",$J157)+1,5),"주",""))-1)),""))</f>
        <v>46468</v>
      </c>
      <c r="L157" s="28" t="n">
        <f aca="false">IF($K157="","",IF(AND($K157-기준정보!$C$5&gt;=기준정보!$C$10,$K157-기준정보!$C$5&lt;=기준정보!$C$11),기준정보!$C$10-1,$K157-기준정보!$C$5))</f>
        <v>46454</v>
      </c>
      <c r="M157" s="29" t="n">
        <f aca="false"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>0</v>
      </c>
      <c r="N157" s="28" t="n">
        <f aca="false">IF($L157="","",$L157-기준정보!$C$6-$M157)</f>
        <v>46364</v>
      </c>
      <c r="O157" s="30" t="n">
        <f aca="false">IF($N157="","",$N157-기준정보!$C$4)</f>
        <v>111</v>
      </c>
      <c r="P157" s="27" t="s">
        <v>100</v>
      </c>
      <c r="Q157" s="27" t="s">
        <v>100</v>
      </c>
      <c r="R157" s="27" t="s">
        <v>101</v>
      </c>
      <c r="S157" s="31"/>
      <c r="T157" s="26" t="str">
        <f aca="false">IF($H157="","",IF(AND(ISNUMBER(SEARCH("CMT",$H157)),OR(ISNUMBER(SEARCH("완사입",$H157)),ISNUMBER(SEARCH("ODM",$H157)))),"본사/생산처 혼재",IF(ISNUMBER(SEARCH("CMT",$H157)),"본사(소재팀)","생산처")))</f>
        <v>생산처</v>
      </c>
      <c r="U157" s="26" t="s">
        <v>235</v>
      </c>
      <c r="V157" s="26" t="s">
        <v>235</v>
      </c>
      <c r="W157" s="25" t="s">
        <v>110</v>
      </c>
      <c r="X157" s="26" t="s">
        <v>247</v>
      </c>
      <c r="Y157" s="32" t="s">
        <v>649</v>
      </c>
      <c r="Z157" s="32"/>
      <c r="AA157" s="28" t="n">
        <v>46199</v>
      </c>
      <c r="AB157" s="33" t="n">
        <v>6600</v>
      </c>
      <c r="AC157" s="33" t="n">
        <v>129300000</v>
      </c>
      <c r="AD157" s="33" t="n">
        <v>646800000</v>
      </c>
      <c r="AE157" s="26" t="s">
        <v>648</v>
      </c>
      <c r="AF157" s="26" t="str">
        <f aca="false"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>소재 입고일정 확인 필요</v>
      </c>
      <c r="AG157" s="24" t="str">
        <f aca="false">IF($K157="","",IF(OR(LEFT($AF157,2)="작지",LEFT($AF157,4)="소재입고"),IF(LEFT($G157,1)="S","★ 납기위험(S코드)","◆ 지연주의"),IF($AF157="정상","✓ 정상","? 확인필요")))</f>
        <v>? 확인필요</v>
      </c>
      <c r="AH157" s="27"/>
      <c r="AI157" s="34"/>
    </row>
    <row r="158" customFormat="false" ht="15" hidden="false" customHeight="false" outlineLevel="0" collapsed="false">
      <c r="A158" s="24" t="n">
        <v>154</v>
      </c>
      <c r="B158" s="25" t="s">
        <v>308</v>
      </c>
      <c r="C158" s="25" t="s">
        <v>156</v>
      </c>
      <c r="D158" s="26" t="s">
        <v>684</v>
      </c>
      <c r="E158" s="25" t="s">
        <v>685</v>
      </c>
      <c r="F158" s="26" t="s">
        <v>686</v>
      </c>
      <c r="G158" s="24" t="str">
        <f aca="false">IF($D158="","",IF(MID($D158,5,1)="S","S(봄)",IF(MID($D158,5,1)="M","M(여름)",IF(MID($D158,5,1)="X","X(사계절)",MID($D158,5,1)))))</f>
        <v>M(여름)</v>
      </c>
      <c r="H158" s="25" t="s">
        <v>97</v>
      </c>
      <c r="I158" s="24"/>
      <c r="J158" s="27" t="s">
        <v>648</v>
      </c>
      <c r="K158" s="28" t="n">
        <f aca="false">IF($J158="","",IFERROR(DATE(IF(VALUE(LEFT($J158,FIND("월",$J158)-1))&gt;=9,기준정보!$C$7-1,기준정보!$C$7),VALUE(LEFT($J158,FIND("월",$J158)-1)),1+7*(VALUE(SUBSTITUTE(MID($J158,FIND("월",$J158)+1,5),"주",""))-1)),""))</f>
        <v>46468</v>
      </c>
      <c r="L158" s="28" t="n">
        <f aca="false">IF($K158="","",IF(AND($K158-기준정보!$C$5&gt;=기준정보!$C$10,$K158-기준정보!$C$5&lt;=기준정보!$C$11),기준정보!$C$10-1,$K158-기준정보!$C$5))</f>
        <v>46454</v>
      </c>
      <c r="M158" s="29" t="n">
        <f aca="false"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>15</v>
      </c>
      <c r="N158" s="28" t="n">
        <f aca="false">IF($L158="","",$L158-기준정보!$C$6-$M158)</f>
        <v>46349</v>
      </c>
      <c r="O158" s="30" t="n">
        <f aca="false">IF($N158="","",$N158-기준정보!$C$4)</f>
        <v>96</v>
      </c>
      <c r="P158" s="27" t="s">
        <v>100</v>
      </c>
      <c r="Q158" s="27" t="s">
        <v>100</v>
      </c>
      <c r="R158" s="27" t="s">
        <v>101</v>
      </c>
      <c r="S158" s="31"/>
      <c r="T158" s="26" t="str">
        <f aca="false">IF($H158="","",IF(AND(ISNUMBER(SEARCH("CMT",$H158)),OR(ISNUMBER(SEARCH("완사입",$H158)),ISNUMBER(SEARCH("ODM",$H158)))),"본사/생산처 혼재",IF(ISNUMBER(SEARCH("CMT",$H158)),"본사(소재팀)","생산처")))</f>
        <v>생산처</v>
      </c>
      <c r="U158" s="26" t="s">
        <v>235</v>
      </c>
      <c r="V158" s="26" t="s">
        <v>235</v>
      </c>
      <c r="W158" s="25" t="s">
        <v>103</v>
      </c>
      <c r="X158" s="26" t="s">
        <v>247</v>
      </c>
      <c r="Y158" s="32" t="s">
        <v>649</v>
      </c>
      <c r="Z158" s="32"/>
      <c r="AA158" s="28" t="n">
        <v>46199</v>
      </c>
      <c r="AB158" s="33" t="n">
        <v>10500</v>
      </c>
      <c r="AC158" s="33" t="n">
        <v>273000000</v>
      </c>
      <c r="AD158" s="33" t="n">
        <v>1659000000</v>
      </c>
      <c r="AE158" s="26" t="s">
        <v>648</v>
      </c>
      <c r="AF158" s="26" t="str">
        <f aca="false"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>소재 입고일정 확인 필요</v>
      </c>
      <c r="AG158" s="24" t="str">
        <f aca="false">IF($K158="","",IF(OR(LEFT($AF158,2)="작지",LEFT($AF158,4)="소재입고"),IF(LEFT($G158,1)="S","★ 납기위험(S코드)","◆ 지연주의"),IF($AF158="정상","✓ 정상","? 확인필요")))</f>
        <v>? 확인필요</v>
      </c>
      <c r="AH158" s="27"/>
      <c r="AI158" s="34"/>
    </row>
    <row r="159" customFormat="false" ht="15" hidden="false" customHeight="false" outlineLevel="0" collapsed="false">
      <c r="A159" s="24" t="n">
        <v>155</v>
      </c>
      <c r="B159" s="25" t="s">
        <v>308</v>
      </c>
      <c r="C159" s="25" t="s">
        <v>156</v>
      </c>
      <c r="D159" s="26" t="s">
        <v>687</v>
      </c>
      <c r="E159" s="25" t="s">
        <v>688</v>
      </c>
      <c r="F159" s="26" t="s">
        <v>667</v>
      </c>
      <c r="G159" s="24" t="str">
        <f aca="false">IF($D159="","",IF(MID($D159,5,1)="S","S(봄)",IF(MID($D159,5,1)="M","M(여름)",IF(MID($D159,5,1)="X","X(사계절)",MID($D159,5,1)))))</f>
        <v>M(여름)</v>
      </c>
      <c r="H159" s="25" t="s">
        <v>97</v>
      </c>
      <c r="I159" s="24"/>
      <c r="J159" s="27" t="s">
        <v>648</v>
      </c>
      <c r="K159" s="28" t="n">
        <f aca="false">IF($J159="","",IFERROR(DATE(IF(VALUE(LEFT($J159,FIND("월",$J159)-1))&gt;=9,기준정보!$C$7-1,기준정보!$C$7),VALUE(LEFT($J159,FIND("월",$J159)-1)),1+7*(VALUE(SUBSTITUTE(MID($J159,FIND("월",$J159)+1,5),"주",""))-1)),""))</f>
        <v>46468</v>
      </c>
      <c r="L159" s="28" t="n">
        <f aca="false">IF($K159="","",IF(AND($K159-기준정보!$C$5&gt;=기준정보!$C$10,$K159-기준정보!$C$5&lt;=기준정보!$C$11),기준정보!$C$10-1,$K159-기준정보!$C$5))</f>
        <v>46454</v>
      </c>
      <c r="M159" s="29" t="n">
        <f aca="false"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>15</v>
      </c>
      <c r="N159" s="28" t="n">
        <f aca="false">IF($L159="","",$L159-기준정보!$C$6-$M159)</f>
        <v>46349</v>
      </c>
      <c r="O159" s="30" t="n">
        <f aca="false">IF($N159="","",$N159-기준정보!$C$4)</f>
        <v>96</v>
      </c>
      <c r="P159" s="27" t="s">
        <v>100</v>
      </c>
      <c r="Q159" s="27" t="s">
        <v>100</v>
      </c>
      <c r="R159" s="27" t="s">
        <v>101</v>
      </c>
      <c r="S159" s="31"/>
      <c r="T159" s="26" t="str">
        <f aca="false">IF($H159="","",IF(AND(ISNUMBER(SEARCH("CMT",$H159)),OR(ISNUMBER(SEARCH("완사입",$H159)),ISNUMBER(SEARCH("ODM",$H159)))),"본사/생산처 혼재",IF(ISNUMBER(SEARCH("CMT",$H159)),"본사(소재팀)","생산처")))</f>
        <v>생산처</v>
      </c>
      <c r="U159" s="26" t="s">
        <v>235</v>
      </c>
      <c r="V159" s="26" t="s">
        <v>235</v>
      </c>
      <c r="W159" s="25" t="s">
        <v>103</v>
      </c>
      <c r="X159" s="26" t="s">
        <v>247</v>
      </c>
      <c r="Y159" s="32" t="s">
        <v>649</v>
      </c>
      <c r="Z159" s="32"/>
      <c r="AA159" s="28" t="n">
        <v>46191</v>
      </c>
      <c r="AB159" s="33" t="n">
        <v>2600</v>
      </c>
      <c r="AC159" s="33" t="n">
        <v>80600000</v>
      </c>
      <c r="AD159" s="33" t="n">
        <v>436800000</v>
      </c>
      <c r="AE159" s="26" t="s">
        <v>648</v>
      </c>
      <c r="AF159" s="26" t="str">
        <f aca="false"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>소재 입고일정 확인 필요</v>
      </c>
      <c r="AG159" s="24" t="str">
        <f aca="false">IF($K159="","",IF(OR(LEFT($AF159,2)="작지",LEFT($AF159,4)="소재입고"),IF(LEFT($G159,1)="S","★ 납기위험(S코드)","◆ 지연주의"),IF($AF159="정상","✓ 정상","? 확인필요")))</f>
        <v>? 확인필요</v>
      </c>
      <c r="AH159" s="27"/>
      <c r="AI159" s="34"/>
    </row>
    <row r="160" customFormat="false" ht="15" hidden="false" customHeight="false" outlineLevel="0" collapsed="false">
      <c r="A160" s="24" t="n">
        <v>156</v>
      </c>
      <c r="B160" s="25" t="s">
        <v>155</v>
      </c>
      <c r="C160" s="25" t="s">
        <v>156</v>
      </c>
      <c r="D160" s="26" t="s">
        <v>689</v>
      </c>
      <c r="E160" s="25" t="s">
        <v>690</v>
      </c>
      <c r="F160" s="26" t="s">
        <v>691</v>
      </c>
      <c r="G160" s="24" t="str">
        <f aca="false">IF($D160="","",IF(MID($D160,5,1)="S","S(봄)",IF(MID($D160,5,1)="M","M(여름)",IF(MID($D160,5,1)="X","X(사계절)",MID($D160,5,1)))))</f>
        <v>M(여름)</v>
      </c>
      <c r="H160" s="25" t="s">
        <v>97</v>
      </c>
      <c r="I160" s="24"/>
      <c r="J160" s="27" t="s">
        <v>99</v>
      </c>
      <c r="K160" s="28" t="n">
        <f aca="false">IF($J160="","",IFERROR(DATE(IF(VALUE(LEFT($J160,FIND("월",$J160)-1))&gt;=9,기준정보!$C$7-1,기준정보!$C$7),VALUE(LEFT($J160,FIND("월",$J160)-1)),1+7*(VALUE(SUBSTITUTE(MID($J160,FIND("월",$J160)+1,5),"주",""))-1)),""))</f>
        <v>46395</v>
      </c>
      <c r="L160" s="28" t="n">
        <f aca="false">IF($K160="","",IF(AND($K160-기준정보!$C$5&gt;=기준정보!$C$10,$K160-기준정보!$C$5&lt;=기준정보!$C$11),기준정보!$C$10-1,$K160-기준정보!$C$5))</f>
        <v>46381</v>
      </c>
      <c r="M160" s="29" t="n">
        <f aca="false"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>0</v>
      </c>
      <c r="N160" s="28" t="n">
        <f aca="false">IF($L160="","",$L160-기준정보!$C$6-$M160)</f>
        <v>46291</v>
      </c>
      <c r="O160" s="30" t="n">
        <f aca="false">IF($N160="","",$N160-기준정보!$C$4)</f>
        <v>38</v>
      </c>
      <c r="P160" s="27"/>
      <c r="Q160" s="27" t="s">
        <v>100</v>
      </c>
      <c r="R160" s="27" t="s">
        <v>101</v>
      </c>
      <c r="S160" s="31"/>
      <c r="T160" s="26" t="str">
        <f aca="false">IF($H160="","",IF(AND(ISNUMBER(SEARCH("CMT",$H160)),OR(ISNUMBER(SEARCH("완사입",$H160)),ISNUMBER(SEARCH("ODM",$H160)))),"본사/생산처 혼재",IF(ISNUMBER(SEARCH("CMT",$H160)),"본사(소재팀)","생산처")))</f>
        <v>생산처</v>
      </c>
      <c r="U160" s="26" t="s">
        <v>161</v>
      </c>
      <c r="V160" s="26" t="s">
        <v>161</v>
      </c>
      <c r="W160" s="25" t="s">
        <v>103</v>
      </c>
      <c r="X160" s="26" t="s">
        <v>161</v>
      </c>
      <c r="Y160" s="32" t="s">
        <v>692</v>
      </c>
      <c r="Z160" s="32"/>
      <c r="AA160" s="28" t="n">
        <v>46246</v>
      </c>
      <c r="AB160" s="33" t="n">
        <v>2000</v>
      </c>
      <c r="AC160" s="33" t="n">
        <v>37006000</v>
      </c>
      <c r="AD160" s="33" t="n">
        <v>196000000</v>
      </c>
      <c r="AE160" s="26"/>
      <c r="AF160" s="26" t="str">
        <f aca="false"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>소재 입고일정 확인 필요</v>
      </c>
      <c r="AG160" s="24" t="str">
        <f aca="false">IF($K160="","",IF(OR(LEFT($AF160,2)="작지",LEFT($AF160,4)="소재입고"),IF(LEFT($G160,1)="S","★ 납기위험(S코드)","◆ 지연주의"),IF($AF160="정상","✓ 정상","? 확인필요")))</f>
        <v>? 확인필요</v>
      </c>
      <c r="AH160" s="27"/>
      <c r="AI160" s="34"/>
    </row>
    <row r="161" customFormat="false" ht="15" hidden="false" customHeight="false" outlineLevel="0" collapsed="false">
      <c r="A161" s="24" t="n">
        <v>157</v>
      </c>
      <c r="B161" s="25" t="s">
        <v>176</v>
      </c>
      <c r="C161" s="25" t="s">
        <v>177</v>
      </c>
      <c r="D161" s="26" t="s">
        <v>693</v>
      </c>
      <c r="E161" s="26" t="s">
        <v>694</v>
      </c>
      <c r="F161" s="26" t="s">
        <v>205</v>
      </c>
      <c r="G161" s="24" t="str">
        <f aca="false">IF($D161="","",IF(MID($D161,5,1)="S","S(봄)",IF(MID($D161,5,1)="M","M(여름)",IF(MID($D161,5,1)="X","X(사계절)",MID($D161,5,1)))))</f>
        <v>M(여름)</v>
      </c>
      <c r="H161" s="25" t="s">
        <v>97</v>
      </c>
      <c r="I161" s="24" t="s">
        <v>695</v>
      </c>
      <c r="J161" s="27" t="s">
        <v>182</v>
      </c>
      <c r="K161" s="28" t="n">
        <f aca="false">IF($J161="","",IFERROR(DATE(IF(VALUE(LEFT($J161,FIND("월",$J161)-1))&gt;=9,기준정보!$C$7-1,기준정보!$C$7),VALUE(LEFT($J161,FIND("월",$J161)-1)),1+7*(VALUE(SUBSTITUTE(MID($J161,FIND("월",$J161)+1,5),"주",""))-1)),""))</f>
        <v>46402</v>
      </c>
      <c r="L161" s="28" t="n">
        <f aca="false">IF($K161="","",IF(AND($K161-기준정보!$C$5&gt;=기준정보!$C$10,$K161-기준정보!$C$5&lt;=기준정보!$C$11),기준정보!$C$10-1,$K161-기준정보!$C$5))</f>
        <v>46388</v>
      </c>
      <c r="M161" s="29" t="n">
        <f aca="false"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>0</v>
      </c>
      <c r="N161" s="28" t="n">
        <f aca="false">IF($L161="","",$L161-기준정보!$C$6-$M161)</f>
        <v>46298</v>
      </c>
      <c r="O161" s="30" t="n">
        <f aca="false">IF($N161="","",$N161-기준정보!$C$4)</f>
        <v>45</v>
      </c>
      <c r="P161" s="27"/>
      <c r="Q161" s="27" t="s">
        <v>100</v>
      </c>
      <c r="R161" s="27" t="s">
        <v>101</v>
      </c>
      <c r="S161" s="31"/>
      <c r="T161" s="26" t="str">
        <f aca="false">IF($H161="","",IF(AND(ISNUMBER(SEARCH("CMT",$H161)),OR(ISNUMBER(SEARCH("완사입",$H161)),ISNUMBER(SEARCH("ODM",$H161)))),"본사/생산처 혼재",IF(ISNUMBER(SEARCH("CMT",$H161)),"본사(소재팀)","생산처")))</f>
        <v>생산처</v>
      </c>
      <c r="U161" s="26" t="s">
        <v>235</v>
      </c>
      <c r="V161" s="26" t="s">
        <v>235</v>
      </c>
      <c r="W161" s="25" t="s">
        <v>103</v>
      </c>
      <c r="X161" s="25" t="s">
        <v>344</v>
      </c>
      <c r="Y161" s="35" t="s">
        <v>696</v>
      </c>
      <c r="Z161" s="32"/>
      <c r="AA161" s="28"/>
      <c r="AB161" s="33" t="n">
        <v>0</v>
      </c>
      <c r="AC161" s="33" t="n">
        <v>10993250</v>
      </c>
      <c r="AD161" s="33" t="n">
        <v>32000000</v>
      </c>
      <c r="AE161" s="26"/>
      <c r="AF161" s="26" t="str">
        <f aca="false"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>소재 입고일정 확인 필요</v>
      </c>
      <c r="AG161" s="24" t="str">
        <f aca="false">IF($K161="","",IF(OR(LEFT($AF161,2)="작지",LEFT($AF161,4)="소재입고"),IF(LEFT($G161,1)="S","★ 납기위험(S코드)","◆ 지연주의"),IF($AF161="정상","✓ 정상","? 확인필요")))</f>
        <v>? 확인필요</v>
      </c>
      <c r="AH161" s="27"/>
      <c r="AI161" s="34"/>
    </row>
    <row r="162" customFormat="false" ht="15" hidden="false" customHeight="false" outlineLevel="0" collapsed="false">
      <c r="A162" s="24" t="n">
        <v>158</v>
      </c>
      <c r="B162" s="25" t="s">
        <v>242</v>
      </c>
      <c r="C162" s="25" t="s">
        <v>697</v>
      </c>
      <c r="D162" s="26" t="s">
        <v>698</v>
      </c>
      <c r="E162" s="25" t="s">
        <v>699</v>
      </c>
      <c r="F162" s="26" t="s">
        <v>700</v>
      </c>
      <c r="G162" s="24" t="str">
        <f aca="false">IF($D162="","",IF(MID($D162,5,1)="S","S(봄)",IF(MID($D162,5,1)="M","M(여름)",IF(MID($D162,5,1)="X","X(사계절)",MID($D162,5,1)))))</f>
        <v>M(여름)</v>
      </c>
      <c r="H162" s="25" t="s">
        <v>97</v>
      </c>
      <c r="I162" s="24" t="s">
        <v>502</v>
      </c>
      <c r="J162" s="27" t="s">
        <v>182</v>
      </c>
      <c r="K162" s="28" t="n">
        <f aca="false">IF($J162="","",IFERROR(DATE(IF(VALUE(LEFT($J162,FIND("월",$J162)-1))&gt;=9,기준정보!$C$7-1,기준정보!$C$7),VALUE(LEFT($J162,FIND("월",$J162)-1)),1+7*(VALUE(SUBSTITUTE(MID($J162,FIND("월",$J162)+1,5),"주",""))-1)),""))</f>
        <v>46402</v>
      </c>
      <c r="L162" s="28" t="n">
        <f aca="false">IF($K162="","",IF(AND($K162-기준정보!$C$5&gt;=기준정보!$C$10,$K162-기준정보!$C$5&lt;=기준정보!$C$11),기준정보!$C$10-1,$K162-기준정보!$C$5))</f>
        <v>46388</v>
      </c>
      <c r="M162" s="29" t="n">
        <f aca="false"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>0</v>
      </c>
      <c r="N162" s="28" t="n">
        <f aca="false">IF($L162="","",$L162-기준정보!$C$6-$M162)</f>
        <v>46298</v>
      </c>
      <c r="O162" s="30" t="n">
        <f aca="false">IF($N162="","",$N162-기준정보!$C$4)</f>
        <v>45</v>
      </c>
      <c r="P162" s="27"/>
      <c r="Q162" s="27" t="s">
        <v>100</v>
      </c>
      <c r="R162" s="27" t="s">
        <v>101</v>
      </c>
      <c r="S162" s="31"/>
      <c r="T162" s="26" t="str">
        <f aca="false">IF($H162="","",IF(AND(ISNUMBER(SEARCH("CMT",$H162)),OR(ISNUMBER(SEARCH("완사입",$H162)),ISNUMBER(SEARCH("ODM",$H162)))),"본사/생산처 혼재",IF(ISNUMBER(SEARCH("CMT",$H162)),"본사(소재팀)","생산처")))</f>
        <v>생산처</v>
      </c>
      <c r="U162" s="26" t="s">
        <v>235</v>
      </c>
      <c r="V162" s="26" t="s">
        <v>235</v>
      </c>
      <c r="W162" s="25" t="s">
        <v>110</v>
      </c>
      <c r="X162" s="26" t="s">
        <v>701</v>
      </c>
      <c r="Y162" s="32" t="s">
        <v>702</v>
      </c>
      <c r="Z162" s="32"/>
      <c r="AA162" s="28" t="n">
        <v>46216</v>
      </c>
      <c r="AB162" s="33" t="n">
        <v>850</v>
      </c>
      <c r="AC162" s="33" t="n">
        <v>34453050</v>
      </c>
      <c r="AD162" s="33" t="n">
        <v>142800000</v>
      </c>
      <c r="AE162" s="26" t="s">
        <v>182</v>
      </c>
      <c r="AF162" s="26" t="str">
        <f aca="false"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>소재 입고일정 확인 필요</v>
      </c>
      <c r="AG162" s="24" t="str">
        <f aca="false">IF($K162="","",IF(OR(LEFT($AF162,2)="작지",LEFT($AF162,4)="소재입고"),IF(LEFT($G162,1)="S","★ 납기위험(S코드)","◆ 지연주의"),IF($AF162="정상","✓ 정상","? 확인필요")))</f>
        <v>? 확인필요</v>
      </c>
      <c r="AH162" s="27"/>
      <c r="AI162" s="34"/>
    </row>
    <row r="163" customFormat="false" ht="15" hidden="false" customHeight="false" outlineLevel="0" collapsed="false">
      <c r="A163" s="24" t="n">
        <v>159</v>
      </c>
      <c r="B163" s="25" t="s">
        <v>155</v>
      </c>
      <c r="C163" s="25" t="s">
        <v>156</v>
      </c>
      <c r="D163" s="26" t="s">
        <v>703</v>
      </c>
      <c r="E163" s="25" t="s">
        <v>704</v>
      </c>
      <c r="F163" s="26" t="s">
        <v>705</v>
      </c>
      <c r="G163" s="24" t="str">
        <f aca="false">IF($D163="","",IF(MID($D163,5,1)="S","S(봄)",IF(MID($D163,5,1)="M","M(여름)",IF(MID($D163,5,1)="X","X(사계절)",MID($D163,5,1)))))</f>
        <v>M(여름)</v>
      </c>
      <c r="H163" s="26" t="s">
        <v>160</v>
      </c>
      <c r="I163" s="24"/>
      <c r="J163" s="27" t="s">
        <v>376</v>
      </c>
      <c r="K163" s="28" t="n">
        <f aca="false">IF($J163="","",IFERROR(DATE(IF(VALUE(LEFT($J163,FIND("월",$J163)-1))&gt;=9,기준정보!$C$7-1,기준정보!$C$7),VALUE(LEFT($J163,FIND("월",$J163)-1)),1+7*(VALUE(SUBSTITUTE(MID($J163,FIND("월",$J163)+1,5),"주",""))-1)),""))</f>
        <v>46409</v>
      </c>
      <c r="L163" s="28" t="n">
        <f aca="false">IF($K163="","",IF(AND($K163-기준정보!$C$5&gt;=기준정보!$C$10,$K163-기준정보!$C$5&lt;=기준정보!$C$11),기준정보!$C$10-1,$K163-기준정보!$C$5))</f>
        <v>46395</v>
      </c>
      <c r="M163" s="29" t="n">
        <f aca="false"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>0</v>
      </c>
      <c r="N163" s="28" t="n">
        <f aca="false">IF($L163="","",$L163-기준정보!$C$6-$M163)</f>
        <v>46305</v>
      </c>
      <c r="O163" s="30" t="n">
        <f aca="false">IF($N163="","",$N163-기준정보!$C$4)</f>
        <v>52</v>
      </c>
      <c r="P163" s="27"/>
      <c r="Q163" s="27" t="s">
        <v>101</v>
      </c>
      <c r="R163" s="27" t="s">
        <v>101</v>
      </c>
      <c r="S163" s="31"/>
      <c r="T163" s="26" t="str">
        <f aca="false">IF($H163="","",IF(AND(ISNUMBER(SEARCH("CMT",$H163)),OR(ISNUMBER(SEARCH("완사입",$H163)),ISNUMBER(SEARCH("ODM",$H163)))),"본사/생산처 혼재",IF(ISNUMBER(SEARCH("CMT",$H163)),"본사(소재팀)","생산처")))</f>
        <v>생산처</v>
      </c>
      <c r="U163" s="26" t="s">
        <v>235</v>
      </c>
      <c r="V163" s="26" t="s">
        <v>235</v>
      </c>
      <c r="W163" s="25" t="s">
        <v>110</v>
      </c>
      <c r="X163" s="26" t="s">
        <v>235</v>
      </c>
      <c r="Y163" s="32" t="s">
        <v>706</v>
      </c>
      <c r="Z163" s="32"/>
      <c r="AA163" s="28" t="n">
        <v>46204</v>
      </c>
      <c r="AB163" s="33" t="n">
        <v>70000</v>
      </c>
      <c r="AC163" s="33" t="n">
        <v>644000000</v>
      </c>
      <c r="AD163" s="33" t="n">
        <v>4760000000</v>
      </c>
      <c r="AE163" s="26"/>
      <c r="AF163" s="26" t="str">
        <f aca="false"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>작지 미발행</v>
      </c>
      <c r="AG163" s="24" t="str">
        <f aca="false">IF($K163="","",IF(OR(LEFT($AF163,2)="작지",LEFT($AF163,4)="소재입고"),IF(LEFT($G163,1)="S","★ 납기위험(S코드)","◆ 지연주의"),IF($AF163="정상","✓ 정상","? 확인필요")))</f>
        <v>◆ 지연주의</v>
      </c>
      <c r="AH163" s="27"/>
      <c r="AI163" s="34"/>
    </row>
    <row r="164" customFormat="false" ht="15" hidden="false" customHeight="false" outlineLevel="0" collapsed="false">
      <c r="A164" s="24" t="n">
        <v>160</v>
      </c>
      <c r="B164" s="25" t="s">
        <v>155</v>
      </c>
      <c r="C164" s="25" t="s">
        <v>156</v>
      </c>
      <c r="D164" s="26" t="s">
        <v>707</v>
      </c>
      <c r="E164" s="25" t="s">
        <v>708</v>
      </c>
      <c r="F164" s="26" t="s">
        <v>709</v>
      </c>
      <c r="G164" s="24" t="str">
        <f aca="false">IF($D164="","",IF(MID($D164,5,1)="S","S(봄)",IF(MID($D164,5,1)="M","M(여름)",IF(MID($D164,5,1)="X","X(사계절)",MID($D164,5,1)))))</f>
        <v>M(여름)</v>
      </c>
      <c r="H164" s="26" t="s">
        <v>160</v>
      </c>
      <c r="I164" s="24"/>
      <c r="J164" s="27" t="s">
        <v>376</v>
      </c>
      <c r="K164" s="28" t="n">
        <f aca="false">IF($J164="","",IFERROR(DATE(IF(VALUE(LEFT($J164,FIND("월",$J164)-1))&gt;=9,기준정보!$C$7-1,기준정보!$C$7),VALUE(LEFT($J164,FIND("월",$J164)-1)),1+7*(VALUE(SUBSTITUTE(MID($J164,FIND("월",$J164)+1,5),"주",""))-1)),""))</f>
        <v>46409</v>
      </c>
      <c r="L164" s="28" t="n">
        <f aca="false">IF($K164="","",IF(AND($K164-기준정보!$C$5&gt;=기준정보!$C$10,$K164-기준정보!$C$5&lt;=기준정보!$C$11),기준정보!$C$10-1,$K164-기준정보!$C$5))</f>
        <v>46395</v>
      </c>
      <c r="M164" s="29" t="n">
        <f aca="false"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>0</v>
      </c>
      <c r="N164" s="28" t="n">
        <f aca="false">IF($L164="","",$L164-기준정보!$C$6-$M164)</f>
        <v>46305</v>
      </c>
      <c r="O164" s="30" t="n">
        <f aca="false">IF($N164="","",$N164-기준정보!$C$4)</f>
        <v>52</v>
      </c>
      <c r="P164" s="27"/>
      <c r="Q164" s="27" t="s">
        <v>101</v>
      </c>
      <c r="R164" s="27" t="s">
        <v>101</v>
      </c>
      <c r="S164" s="31"/>
      <c r="T164" s="26" t="str">
        <f aca="false">IF($H164="","",IF(AND(ISNUMBER(SEARCH("CMT",$H164)),OR(ISNUMBER(SEARCH("완사입",$H164)),ISNUMBER(SEARCH("ODM",$H164)))),"본사/생산처 혼재",IF(ISNUMBER(SEARCH("CMT",$H164)),"본사(소재팀)","생산처")))</f>
        <v>생산처</v>
      </c>
      <c r="U164" s="26" t="s">
        <v>235</v>
      </c>
      <c r="V164" s="26" t="s">
        <v>235</v>
      </c>
      <c r="W164" s="25" t="s">
        <v>110</v>
      </c>
      <c r="X164" s="26" t="s">
        <v>235</v>
      </c>
      <c r="Y164" s="32" t="s">
        <v>706</v>
      </c>
      <c r="Z164" s="32"/>
      <c r="AA164" s="28" t="n">
        <v>46204</v>
      </c>
      <c r="AB164" s="33" t="n">
        <v>24000</v>
      </c>
      <c r="AC164" s="33" t="n">
        <v>189600000</v>
      </c>
      <c r="AD164" s="33" t="n">
        <v>1632000000</v>
      </c>
      <c r="AE164" s="26"/>
      <c r="AF164" s="26" t="str">
        <f aca="false"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>작지 미발행</v>
      </c>
      <c r="AG164" s="24" t="str">
        <f aca="false">IF($K164="","",IF(OR(LEFT($AF164,2)="작지",LEFT($AF164,4)="소재입고"),IF(LEFT($G164,1)="S","★ 납기위험(S코드)","◆ 지연주의"),IF($AF164="정상","✓ 정상","? 확인필요")))</f>
        <v>◆ 지연주의</v>
      </c>
      <c r="AH164" s="27"/>
      <c r="AI164" s="34"/>
    </row>
    <row r="165" customFormat="false" ht="15" hidden="false" customHeight="false" outlineLevel="0" collapsed="false">
      <c r="A165" s="24" t="n">
        <v>161</v>
      </c>
      <c r="B165" s="25" t="s">
        <v>250</v>
      </c>
      <c r="C165" s="25" t="s">
        <v>251</v>
      </c>
      <c r="D165" s="26" t="s">
        <v>710</v>
      </c>
      <c r="E165" s="25" t="s">
        <v>711</v>
      </c>
      <c r="F165" s="26" t="s">
        <v>180</v>
      </c>
      <c r="G165" s="24" t="str">
        <f aca="false">IF($D165="","",IF(MID($D165,5,1)="S","S(봄)",IF(MID($D165,5,1)="M","M(여름)",IF(MID($D165,5,1)="X","X(사계절)",MID($D165,5,1)))))</f>
        <v>M(여름)</v>
      </c>
      <c r="H165" s="26" t="s">
        <v>255</v>
      </c>
      <c r="I165" s="24"/>
      <c r="J165" s="27" t="s">
        <v>400</v>
      </c>
      <c r="K165" s="28" t="n">
        <f aca="false">IF($J165="","",IFERROR(DATE(IF(VALUE(LEFT($J165,FIND("월",$J165)-1))&gt;=9,기준정보!$C$7-1,기준정보!$C$7),VALUE(LEFT($J165,FIND("월",$J165)-1)),1+7*(VALUE(SUBSTITUTE(MID($J165,FIND("월",$J165)+1,5),"주",""))-1)),""))</f>
        <v>46419</v>
      </c>
      <c r="L165" s="28" t="n">
        <f aca="false">IF($K165="","",IF(AND($K165-기준정보!$C$5&gt;=기준정보!$C$10,$K165-기준정보!$C$5&lt;=기준정보!$C$11),기준정보!$C$10-1,$K165-기준정보!$C$5))</f>
        <v>46405</v>
      </c>
      <c r="M165" s="29" t="n">
        <f aca="false"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>0</v>
      </c>
      <c r="N165" s="28" t="n">
        <f aca="false">IF($L165="","",$L165-기준정보!$C$6-$M165)</f>
        <v>46315</v>
      </c>
      <c r="O165" s="30" t="n">
        <f aca="false">IF($N165="","",$N165-기준정보!$C$4)</f>
        <v>62</v>
      </c>
      <c r="P165" s="27"/>
      <c r="Q165" s="27" t="s">
        <v>100</v>
      </c>
      <c r="R165" s="27" t="s">
        <v>100</v>
      </c>
      <c r="S165" s="31"/>
      <c r="T165" s="26" t="str">
        <f aca="false">IF($H165="","",IF(AND(ISNUMBER(SEARCH("CMT",$H165)),OR(ISNUMBER(SEARCH("완사입",$H165)),ISNUMBER(SEARCH("ODM",$H165)))),"본사/생산처 혼재",IF(ISNUMBER(SEARCH("CMT",$H165)),"본사(소재팀)","생산처")))</f>
        <v>본사(소재팀)</v>
      </c>
      <c r="U165" s="25" t="s">
        <v>126</v>
      </c>
      <c r="V165" s="25" t="s">
        <v>126</v>
      </c>
      <c r="W165" s="25" t="s">
        <v>103</v>
      </c>
      <c r="X165" s="25" t="s">
        <v>220</v>
      </c>
      <c r="Y165" s="35" t="s">
        <v>410</v>
      </c>
      <c r="Z165" s="32"/>
      <c r="AA165" s="28" t="n">
        <v>46213</v>
      </c>
      <c r="AB165" s="33" t="n">
        <v>1500</v>
      </c>
      <c r="AC165" s="33" t="n">
        <v>89790000</v>
      </c>
      <c r="AD165" s="33" t="n">
        <v>375000000</v>
      </c>
      <c r="AE165" s="26" t="s">
        <v>400</v>
      </c>
      <c r="AF165" s="26" t="str">
        <f aca="false"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>소재 입고일정 확인 필요</v>
      </c>
      <c r="AG165" s="24" t="str">
        <f aca="false">IF($K165="","",IF(OR(LEFT($AF165,2)="작지",LEFT($AF165,4)="소재입고"),IF(LEFT($G165,1)="S","★ 납기위험(S코드)","◆ 지연주의"),IF($AF165="정상","✓ 정상","? 확인필요")))</f>
        <v>? 확인필요</v>
      </c>
      <c r="AH165" s="27"/>
      <c r="AI165" s="34"/>
    </row>
    <row r="166" customFormat="false" ht="15" hidden="false" customHeight="false" outlineLevel="0" collapsed="false">
      <c r="A166" s="24" t="n">
        <v>162</v>
      </c>
      <c r="B166" s="25" t="s">
        <v>250</v>
      </c>
      <c r="C166" s="25" t="s">
        <v>251</v>
      </c>
      <c r="D166" s="26" t="s">
        <v>712</v>
      </c>
      <c r="E166" s="25" t="s">
        <v>713</v>
      </c>
      <c r="F166" s="26" t="s">
        <v>714</v>
      </c>
      <c r="G166" s="24" t="str">
        <f aca="false">IF($D166="","",IF(MID($D166,5,1)="S","S(봄)",IF(MID($D166,5,1)="M","M(여름)",IF(MID($D166,5,1)="X","X(사계절)",MID($D166,5,1)))))</f>
        <v>M(여름)</v>
      </c>
      <c r="H166" s="26" t="s">
        <v>255</v>
      </c>
      <c r="I166" s="24"/>
      <c r="J166" s="27" t="s">
        <v>400</v>
      </c>
      <c r="K166" s="28" t="n">
        <f aca="false">IF($J166="","",IFERROR(DATE(IF(VALUE(LEFT($J166,FIND("월",$J166)-1))&gt;=9,기준정보!$C$7-1,기준정보!$C$7),VALUE(LEFT($J166,FIND("월",$J166)-1)),1+7*(VALUE(SUBSTITUTE(MID($J166,FIND("월",$J166)+1,5),"주",""))-1)),""))</f>
        <v>46419</v>
      </c>
      <c r="L166" s="28" t="n">
        <f aca="false">IF($K166="","",IF(AND($K166-기준정보!$C$5&gt;=기준정보!$C$10,$K166-기준정보!$C$5&lt;=기준정보!$C$11),기준정보!$C$10-1,$K166-기준정보!$C$5))</f>
        <v>46405</v>
      </c>
      <c r="M166" s="29" t="n">
        <f aca="false"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>0</v>
      </c>
      <c r="N166" s="28" t="n">
        <f aca="false">IF($L166="","",$L166-기준정보!$C$6-$M166)</f>
        <v>46315</v>
      </c>
      <c r="O166" s="30" t="n">
        <f aca="false">IF($N166="","",$N166-기준정보!$C$4)</f>
        <v>62</v>
      </c>
      <c r="P166" s="27"/>
      <c r="Q166" s="27" t="s">
        <v>100</v>
      </c>
      <c r="R166" s="27" t="s">
        <v>100</v>
      </c>
      <c r="S166" s="31"/>
      <c r="T166" s="26" t="str">
        <f aca="false">IF($H166="","",IF(AND(ISNUMBER(SEARCH("CMT",$H166)),OR(ISNUMBER(SEARCH("완사입",$H166)),ISNUMBER(SEARCH("ODM",$H166)))),"본사/생산처 혼재",IF(ISNUMBER(SEARCH("CMT",$H166)),"본사(소재팀)","생산처")))</f>
        <v>본사(소재팀)</v>
      </c>
      <c r="U166" s="25" t="s">
        <v>126</v>
      </c>
      <c r="V166" s="25" t="s">
        <v>126</v>
      </c>
      <c r="W166" s="25" t="s">
        <v>103</v>
      </c>
      <c r="X166" s="25" t="s">
        <v>715</v>
      </c>
      <c r="Y166" s="35" t="s">
        <v>716</v>
      </c>
      <c r="Z166" s="32"/>
      <c r="AA166" s="28" t="n">
        <v>46190</v>
      </c>
      <c r="AB166" s="33" t="n">
        <v>1900</v>
      </c>
      <c r="AC166" s="33" t="n">
        <v>60925400</v>
      </c>
      <c r="AD166" s="33" t="n">
        <v>357200000</v>
      </c>
      <c r="AE166" s="26" t="s">
        <v>400</v>
      </c>
      <c r="AF166" s="26" t="str">
        <f aca="false"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>소재 입고일정 확인 필요</v>
      </c>
      <c r="AG166" s="24" t="str">
        <f aca="false">IF($K166="","",IF(OR(LEFT($AF166,2)="작지",LEFT($AF166,4)="소재입고"),IF(LEFT($G166,1)="S","★ 납기위험(S코드)","◆ 지연주의"),IF($AF166="정상","✓ 정상","? 확인필요")))</f>
        <v>? 확인필요</v>
      </c>
      <c r="AH166" s="27"/>
      <c r="AI166" s="34"/>
    </row>
    <row r="167" customFormat="false" ht="15" hidden="false" customHeight="false" outlineLevel="0" collapsed="false">
      <c r="A167" s="24" t="n">
        <v>163</v>
      </c>
      <c r="B167" s="25" t="s">
        <v>242</v>
      </c>
      <c r="C167" s="25" t="s">
        <v>251</v>
      </c>
      <c r="D167" s="26" t="s">
        <v>717</v>
      </c>
      <c r="E167" s="25" t="s">
        <v>718</v>
      </c>
      <c r="F167" s="26" t="s">
        <v>259</v>
      </c>
      <c r="G167" s="24" t="str">
        <f aca="false">IF($D167="","",IF(MID($D167,5,1)="S","S(봄)",IF(MID($D167,5,1)="M","M(여름)",IF(MID($D167,5,1)="X","X(사계절)",MID($D167,5,1)))))</f>
        <v>M(여름)</v>
      </c>
      <c r="H167" s="25" t="s">
        <v>97</v>
      </c>
      <c r="I167" s="24"/>
      <c r="J167" s="27" t="s">
        <v>529</v>
      </c>
      <c r="K167" s="28" t="n">
        <f aca="false">IF($J167="","",IFERROR(DATE(IF(VALUE(LEFT($J167,FIND("월",$J167)-1))&gt;=9,기준정보!$C$7-1,기준정보!$C$7),VALUE(LEFT($J167,FIND("월",$J167)-1)),1+7*(VALUE(SUBSTITUTE(MID($J167,FIND("월",$J167)+1,5),"주",""))-1)),""))</f>
        <v>46440</v>
      </c>
      <c r="L167" s="28" t="n">
        <f aca="false">IF($K167="","",IF(AND($K167-기준정보!$C$5&gt;=기준정보!$C$10,$K167-기준정보!$C$5&lt;=기준정보!$C$11),기준정보!$C$10-1,$K167-기준정보!$C$5))</f>
        <v>46422</v>
      </c>
      <c r="M167" s="29" t="n">
        <f aca="false"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>0</v>
      </c>
      <c r="N167" s="28" t="n">
        <f aca="false">IF($L167="","",$L167-기준정보!$C$6-$M167)</f>
        <v>46332</v>
      </c>
      <c r="O167" s="30" t="n">
        <f aca="false">IF($N167="","",$N167-기준정보!$C$4)</f>
        <v>79</v>
      </c>
      <c r="P167" s="27"/>
      <c r="Q167" s="27" t="s">
        <v>100</v>
      </c>
      <c r="R167" s="27" t="s">
        <v>100</v>
      </c>
      <c r="S167" s="31"/>
      <c r="T167" s="26" t="str">
        <f aca="false">IF($H167="","",IF(AND(ISNUMBER(SEARCH("CMT",$H167)),OR(ISNUMBER(SEARCH("완사입",$H167)),ISNUMBER(SEARCH("ODM",$H167)))),"본사/생산처 혼재",IF(ISNUMBER(SEARCH("CMT",$H167)),"본사(소재팀)","생산처")))</f>
        <v>생산처</v>
      </c>
      <c r="U167" s="26" t="s">
        <v>235</v>
      </c>
      <c r="V167" s="26" t="s">
        <v>235</v>
      </c>
      <c r="W167" s="25" t="s">
        <v>110</v>
      </c>
      <c r="X167" s="25" t="s">
        <v>122</v>
      </c>
      <c r="Y167" s="35" t="s">
        <v>719</v>
      </c>
      <c r="Z167" s="32"/>
      <c r="AA167" s="28" t="n">
        <v>46230</v>
      </c>
      <c r="AB167" s="33" t="n">
        <v>3000</v>
      </c>
      <c r="AC167" s="33" t="n">
        <v>105000000</v>
      </c>
      <c r="AD167" s="33" t="n">
        <v>564000000</v>
      </c>
      <c r="AE167" s="26" t="s">
        <v>529</v>
      </c>
      <c r="AF167" s="26" t="str">
        <f aca="false"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>소재 입고일정 확인 필요</v>
      </c>
      <c r="AG167" s="24" t="str">
        <f aca="false">IF($K167="","",IF(OR(LEFT($AF167,2)="작지",LEFT($AF167,4)="소재입고"),IF(LEFT($G167,1)="S","★ 납기위험(S코드)","◆ 지연주의"),IF($AF167="정상","✓ 정상","? 확인필요")))</f>
        <v>? 확인필요</v>
      </c>
      <c r="AH167" s="27"/>
      <c r="AI167" s="34"/>
    </row>
    <row r="168" customFormat="false" ht="15" hidden="false" customHeight="false" outlineLevel="0" collapsed="false">
      <c r="A168" s="24" t="n">
        <v>164</v>
      </c>
      <c r="B168" s="25" t="s">
        <v>250</v>
      </c>
      <c r="C168" s="25" t="s">
        <v>251</v>
      </c>
      <c r="D168" s="26" t="s">
        <v>720</v>
      </c>
      <c r="E168" s="25" t="s">
        <v>721</v>
      </c>
      <c r="F168" s="26" t="s">
        <v>265</v>
      </c>
      <c r="G168" s="24" t="str">
        <f aca="false">IF($D168="","",IF(MID($D168,5,1)="S","S(봄)",IF(MID($D168,5,1)="M","M(여름)",IF(MID($D168,5,1)="X","X(사계절)",MID($D168,5,1)))))</f>
        <v>M(여름)</v>
      </c>
      <c r="H168" s="26" t="s">
        <v>255</v>
      </c>
      <c r="I168" s="24"/>
      <c r="J168" s="27" t="s">
        <v>529</v>
      </c>
      <c r="K168" s="28" t="n">
        <f aca="false">IF($J168="","",IFERROR(DATE(IF(VALUE(LEFT($J168,FIND("월",$J168)-1))&gt;=9,기준정보!$C$7-1,기준정보!$C$7),VALUE(LEFT($J168,FIND("월",$J168)-1)),1+7*(VALUE(SUBSTITUTE(MID($J168,FIND("월",$J168)+1,5),"주",""))-1)),""))</f>
        <v>46440</v>
      </c>
      <c r="L168" s="28" t="n">
        <f aca="false">IF($K168="","",IF(AND($K168-기준정보!$C$5&gt;=기준정보!$C$10,$K168-기준정보!$C$5&lt;=기준정보!$C$11),기준정보!$C$10-1,$K168-기준정보!$C$5))</f>
        <v>46422</v>
      </c>
      <c r="M168" s="29" t="n">
        <f aca="false"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>4</v>
      </c>
      <c r="N168" s="28" t="n">
        <f aca="false">IF($L168="","",$L168-기준정보!$C$6-$M168)</f>
        <v>46328</v>
      </c>
      <c r="O168" s="30" t="n">
        <f aca="false">IF($N168="","",$N168-기준정보!$C$4)</f>
        <v>75</v>
      </c>
      <c r="P168" s="27"/>
      <c r="Q168" s="27" t="s">
        <v>100</v>
      </c>
      <c r="R168" s="27" t="s">
        <v>100</v>
      </c>
      <c r="S168" s="31"/>
      <c r="T168" s="26" t="str">
        <f aca="false">IF($H168="","",IF(AND(ISNUMBER(SEARCH("CMT",$H168)),OR(ISNUMBER(SEARCH("완사입",$H168)),ISNUMBER(SEARCH("ODM",$H168)))),"본사/생산처 혼재",IF(ISNUMBER(SEARCH("CMT",$H168)),"본사(소재팀)","생산처")))</f>
        <v>본사(소재팀)</v>
      </c>
      <c r="U168" s="26" t="s">
        <v>183</v>
      </c>
      <c r="V168" s="26" t="s">
        <v>183</v>
      </c>
      <c r="W168" s="25" t="s">
        <v>103</v>
      </c>
      <c r="X168" s="25" t="s">
        <v>344</v>
      </c>
      <c r="Y168" s="35" t="s">
        <v>696</v>
      </c>
      <c r="Z168" s="32"/>
      <c r="AA168" s="28" t="n">
        <v>46196</v>
      </c>
      <c r="AB168" s="33" t="n">
        <v>1800</v>
      </c>
      <c r="AC168" s="33" t="n">
        <v>43592400</v>
      </c>
      <c r="AD168" s="33" t="n">
        <v>230400000</v>
      </c>
      <c r="AE168" s="26" t="s">
        <v>529</v>
      </c>
      <c r="AF168" s="26" t="str">
        <f aca="false"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>소재 입고일정 확인 필요</v>
      </c>
      <c r="AG168" s="24" t="str">
        <f aca="false">IF($K168="","",IF(OR(LEFT($AF168,2)="작지",LEFT($AF168,4)="소재입고"),IF(LEFT($G168,1)="S","★ 납기위험(S코드)","◆ 지연주의"),IF($AF168="정상","✓ 정상","? 확인필요")))</f>
        <v>? 확인필요</v>
      </c>
      <c r="AH168" s="27"/>
      <c r="AI168" s="34"/>
    </row>
    <row r="169" customFormat="false" ht="15" hidden="false" customHeight="false" outlineLevel="0" collapsed="false">
      <c r="A169" s="24" t="n">
        <v>165</v>
      </c>
      <c r="B169" s="25" t="s">
        <v>250</v>
      </c>
      <c r="C169" s="25" t="s">
        <v>251</v>
      </c>
      <c r="D169" s="26" t="s">
        <v>722</v>
      </c>
      <c r="E169" s="25" t="s">
        <v>723</v>
      </c>
      <c r="F169" s="26" t="s">
        <v>180</v>
      </c>
      <c r="G169" s="24" t="str">
        <f aca="false">IF($D169="","",IF(MID($D169,5,1)="S","S(봄)",IF(MID($D169,5,1)="M","M(여름)",IF(MID($D169,5,1)="X","X(사계절)",MID($D169,5,1)))))</f>
        <v>M(여름)</v>
      </c>
      <c r="H169" s="25" t="s">
        <v>97</v>
      </c>
      <c r="I169" s="24"/>
      <c r="J169" s="27" t="s">
        <v>529</v>
      </c>
      <c r="K169" s="28" t="n">
        <f aca="false">IF($J169="","",IFERROR(DATE(IF(VALUE(LEFT($J169,FIND("월",$J169)-1))&gt;=9,기준정보!$C$7-1,기준정보!$C$7),VALUE(LEFT($J169,FIND("월",$J169)-1)),1+7*(VALUE(SUBSTITUTE(MID($J169,FIND("월",$J169)+1,5),"주",""))-1)),""))</f>
        <v>46440</v>
      </c>
      <c r="L169" s="28" t="n">
        <f aca="false">IF($K169="","",IF(AND($K169-기준정보!$C$5&gt;=기준정보!$C$10,$K169-기준정보!$C$5&lt;=기준정보!$C$11),기준정보!$C$10-1,$K169-기준정보!$C$5))</f>
        <v>46422</v>
      </c>
      <c r="M169" s="29" t="n">
        <f aca="false"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>0</v>
      </c>
      <c r="N169" s="28" t="n">
        <f aca="false">IF($L169="","",$L169-기준정보!$C$6-$M169)</f>
        <v>46332</v>
      </c>
      <c r="O169" s="30" t="n">
        <f aca="false">IF($N169="","",$N169-기준정보!$C$4)</f>
        <v>79</v>
      </c>
      <c r="P169" s="27"/>
      <c r="Q169" s="27" t="s">
        <v>100</v>
      </c>
      <c r="R169" s="27" t="s">
        <v>100</v>
      </c>
      <c r="S169" s="31"/>
      <c r="T169" s="26" t="str">
        <f aca="false">IF($H169="","",IF(AND(ISNUMBER(SEARCH("CMT",$H169)),OR(ISNUMBER(SEARCH("완사입",$H169)),ISNUMBER(SEARCH("ODM",$H169)))),"본사/생산처 혼재",IF(ISNUMBER(SEARCH("CMT",$H169)),"본사(소재팀)","생산처")))</f>
        <v>생산처</v>
      </c>
      <c r="U169" s="26" t="s">
        <v>235</v>
      </c>
      <c r="V169" s="26" t="s">
        <v>235</v>
      </c>
      <c r="W169" s="25" t="s">
        <v>110</v>
      </c>
      <c r="X169" s="25" t="s">
        <v>122</v>
      </c>
      <c r="Y169" s="35" t="s">
        <v>719</v>
      </c>
      <c r="Z169" s="32"/>
      <c r="AA169" s="28"/>
      <c r="AB169" s="33" t="n">
        <v>1600</v>
      </c>
      <c r="AC169" s="33" t="n">
        <v>36735400</v>
      </c>
      <c r="AD169" s="33" t="n">
        <v>188800000</v>
      </c>
      <c r="AE169" s="26" t="s">
        <v>529</v>
      </c>
      <c r="AF169" s="26" t="str">
        <f aca="false"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>소재 입고일정 확인 필요</v>
      </c>
      <c r="AG169" s="24" t="str">
        <f aca="false">IF($K169="","",IF(OR(LEFT($AF169,2)="작지",LEFT($AF169,4)="소재입고"),IF(LEFT($G169,1)="S","★ 납기위험(S코드)","◆ 지연주의"),IF($AF169="정상","✓ 정상","? 확인필요")))</f>
        <v>? 확인필요</v>
      </c>
      <c r="AH169" s="27"/>
      <c r="AI169" s="34"/>
    </row>
    <row r="170" customFormat="false" ht="15" hidden="false" customHeight="false" outlineLevel="0" collapsed="false">
      <c r="A170" s="24" t="n">
        <v>166</v>
      </c>
      <c r="B170" s="25" t="s">
        <v>250</v>
      </c>
      <c r="C170" s="25" t="s">
        <v>251</v>
      </c>
      <c r="D170" s="26" t="s">
        <v>724</v>
      </c>
      <c r="E170" s="25" t="s">
        <v>725</v>
      </c>
      <c r="F170" s="26" t="s">
        <v>726</v>
      </c>
      <c r="G170" s="24" t="str">
        <f aca="false">IF($D170="","",IF(MID($D170,5,1)="S","S(봄)",IF(MID($D170,5,1)="M","M(여름)",IF(MID($D170,5,1)="X","X(사계절)",MID($D170,5,1)))))</f>
        <v>M(여름)</v>
      </c>
      <c r="H170" s="25" t="s">
        <v>97</v>
      </c>
      <c r="I170" s="24"/>
      <c r="J170" s="27" t="s">
        <v>529</v>
      </c>
      <c r="K170" s="28" t="n">
        <f aca="false">IF($J170="","",IFERROR(DATE(IF(VALUE(LEFT($J170,FIND("월",$J170)-1))&gt;=9,기준정보!$C$7-1,기준정보!$C$7),VALUE(LEFT($J170,FIND("월",$J170)-1)),1+7*(VALUE(SUBSTITUTE(MID($J170,FIND("월",$J170)+1,5),"주",""))-1)),""))</f>
        <v>46440</v>
      </c>
      <c r="L170" s="28" t="n">
        <f aca="false">IF($K170="","",IF(AND($K170-기준정보!$C$5&gt;=기준정보!$C$10,$K170-기준정보!$C$5&lt;=기준정보!$C$11),기준정보!$C$10-1,$K170-기준정보!$C$5))</f>
        <v>46422</v>
      </c>
      <c r="M170" s="29" t="n">
        <f aca="false"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>4</v>
      </c>
      <c r="N170" s="28" t="n">
        <f aca="false">IF($L170="","",$L170-기준정보!$C$6-$M170)</f>
        <v>46328</v>
      </c>
      <c r="O170" s="30" t="n">
        <f aca="false">IF($N170="","",$N170-기준정보!$C$4)</f>
        <v>75</v>
      </c>
      <c r="P170" s="27"/>
      <c r="Q170" s="27" t="s">
        <v>101</v>
      </c>
      <c r="R170" s="27" t="s">
        <v>101</v>
      </c>
      <c r="S170" s="31"/>
      <c r="T170" s="26" t="str">
        <f aca="false">IF($H170="","",IF(AND(ISNUMBER(SEARCH("CMT",$H170)),OR(ISNUMBER(SEARCH("완사입",$H170)),ISNUMBER(SEARCH("ODM",$H170)))),"본사/생산처 혼재",IF(ISNUMBER(SEARCH("CMT",$H170)),"본사(소재팀)","생산처")))</f>
        <v>생산처</v>
      </c>
      <c r="U170" s="26" t="s">
        <v>161</v>
      </c>
      <c r="V170" s="26"/>
      <c r="W170" s="25" t="s">
        <v>103</v>
      </c>
      <c r="X170" s="26"/>
      <c r="Y170" s="32"/>
      <c r="Z170" s="32"/>
      <c r="AA170" s="28"/>
      <c r="AB170" s="33" t="n">
        <v>3000</v>
      </c>
      <c r="AC170" s="33" t="n">
        <v>57300000</v>
      </c>
      <c r="AD170" s="33" t="n">
        <v>354000000</v>
      </c>
      <c r="AE170" s="26" t="s">
        <v>529</v>
      </c>
      <c r="AF170" s="26" t="str">
        <f aca="false"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>작지 미발행</v>
      </c>
      <c r="AG170" s="24" t="str">
        <f aca="false">IF($K170="","",IF(OR(LEFT($AF170,2)="작지",LEFT($AF170,4)="소재입고"),IF(LEFT($G170,1)="S","★ 납기위험(S코드)","◆ 지연주의"),IF($AF170="정상","✓ 정상","? 확인필요")))</f>
        <v>◆ 지연주의</v>
      </c>
      <c r="AH170" s="27"/>
      <c r="AI170" s="34"/>
    </row>
    <row r="171" customFormat="false" ht="15" hidden="false" customHeight="false" outlineLevel="0" collapsed="false">
      <c r="A171" s="24" t="n">
        <v>167</v>
      </c>
      <c r="B171" s="25" t="s">
        <v>250</v>
      </c>
      <c r="C171" s="25" t="s">
        <v>251</v>
      </c>
      <c r="D171" s="26" t="s">
        <v>727</v>
      </c>
      <c r="E171" s="25" t="s">
        <v>728</v>
      </c>
      <c r="F171" s="26" t="s">
        <v>729</v>
      </c>
      <c r="G171" s="24" t="str">
        <f aca="false">IF($D171="","",IF(MID($D171,5,1)="S","S(봄)",IF(MID($D171,5,1)="M","M(여름)",IF(MID($D171,5,1)="X","X(사계절)",MID($D171,5,1)))))</f>
        <v>M(여름)</v>
      </c>
      <c r="H171" s="25" t="s">
        <v>97</v>
      </c>
      <c r="I171" s="24"/>
      <c r="J171" s="27" t="s">
        <v>529</v>
      </c>
      <c r="K171" s="28" t="n">
        <f aca="false">IF($J171="","",IFERROR(DATE(IF(VALUE(LEFT($J171,FIND("월",$J171)-1))&gt;=9,기준정보!$C$7-1,기준정보!$C$7),VALUE(LEFT($J171,FIND("월",$J171)-1)),1+7*(VALUE(SUBSTITUTE(MID($J171,FIND("월",$J171)+1,5),"주",""))-1)),""))</f>
        <v>46440</v>
      </c>
      <c r="L171" s="28" t="n">
        <f aca="false">IF($K171="","",IF(AND($K171-기준정보!$C$5&gt;=기준정보!$C$10,$K171-기준정보!$C$5&lt;=기준정보!$C$11),기준정보!$C$10-1,$K171-기준정보!$C$5))</f>
        <v>46422</v>
      </c>
      <c r="M171" s="29" t="n">
        <f aca="false"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>4</v>
      </c>
      <c r="N171" s="28" t="n">
        <f aca="false">IF($L171="","",$L171-기준정보!$C$6-$M171)</f>
        <v>46328</v>
      </c>
      <c r="O171" s="30" t="n">
        <f aca="false">IF($N171="","",$N171-기준정보!$C$4)</f>
        <v>75</v>
      </c>
      <c r="P171" s="27"/>
      <c r="Q171" s="27" t="s">
        <v>100</v>
      </c>
      <c r="R171" s="27" t="s">
        <v>100</v>
      </c>
      <c r="S171" s="31"/>
      <c r="T171" s="26" t="str">
        <f aca="false">IF($H171="","",IF(AND(ISNUMBER(SEARCH("CMT",$H171)),OR(ISNUMBER(SEARCH("완사입",$H171)),ISNUMBER(SEARCH("ODM",$H171)))),"본사/생산처 혼재",IF(ISNUMBER(SEARCH("CMT",$H171)),"본사(소재팀)","생산처")))</f>
        <v>생산처</v>
      </c>
      <c r="U171" s="25" t="s">
        <v>380</v>
      </c>
      <c r="V171" s="25" t="s">
        <v>380</v>
      </c>
      <c r="W171" s="25" t="s">
        <v>103</v>
      </c>
      <c r="X171" s="26" t="s">
        <v>247</v>
      </c>
      <c r="Y171" s="32" t="s">
        <v>730</v>
      </c>
      <c r="Z171" s="32"/>
      <c r="AA171" s="28" t="n">
        <v>46199</v>
      </c>
      <c r="AB171" s="33" t="n">
        <v>2000</v>
      </c>
      <c r="AC171" s="33" t="n">
        <v>81136000</v>
      </c>
      <c r="AD171" s="33" t="n">
        <v>336000000</v>
      </c>
      <c r="AE171" s="26" t="s">
        <v>529</v>
      </c>
      <c r="AF171" s="26" t="str">
        <f aca="false"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>소재 입고일정 확인 필요</v>
      </c>
      <c r="AG171" s="24" t="str">
        <f aca="false">IF($K171="","",IF(OR(LEFT($AF171,2)="작지",LEFT($AF171,4)="소재입고"),IF(LEFT($G171,1)="S","★ 납기위험(S코드)","◆ 지연주의"),IF($AF171="정상","✓ 정상","? 확인필요")))</f>
        <v>? 확인필요</v>
      </c>
      <c r="AH171" s="27"/>
      <c r="AI171" s="34"/>
    </row>
    <row r="172" customFormat="false" ht="15" hidden="false" customHeight="false" outlineLevel="0" collapsed="false">
      <c r="A172" s="24" t="n">
        <v>168</v>
      </c>
      <c r="B172" s="25" t="s">
        <v>250</v>
      </c>
      <c r="C172" s="25" t="s">
        <v>251</v>
      </c>
      <c r="D172" s="26" t="s">
        <v>731</v>
      </c>
      <c r="E172" s="26" t="s">
        <v>732</v>
      </c>
      <c r="F172" s="26" t="s">
        <v>733</v>
      </c>
      <c r="G172" s="24" t="str">
        <f aca="false">IF($D172="","",IF(MID($D172,5,1)="S","S(봄)",IF(MID($D172,5,1)="M","M(여름)",IF(MID($D172,5,1)="X","X(사계절)",MID($D172,5,1)))))</f>
        <v>M(여름)</v>
      </c>
      <c r="H172" s="25" t="s">
        <v>97</v>
      </c>
      <c r="I172" s="24"/>
      <c r="J172" s="27" t="s">
        <v>529</v>
      </c>
      <c r="K172" s="28" t="n">
        <f aca="false">IF($J172="","",IFERROR(DATE(IF(VALUE(LEFT($J172,FIND("월",$J172)-1))&gt;=9,기준정보!$C$7-1,기준정보!$C$7),VALUE(LEFT($J172,FIND("월",$J172)-1)),1+7*(VALUE(SUBSTITUTE(MID($J172,FIND("월",$J172)+1,5),"주",""))-1)),""))</f>
        <v>46440</v>
      </c>
      <c r="L172" s="28" t="n">
        <f aca="false">IF($K172="","",IF(AND($K172-기준정보!$C$5&gt;=기준정보!$C$10,$K172-기준정보!$C$5&lt;=기준정보!$C$11),기준정보!$C$10-1,$K172-기준정보!$C$5))</f>
        <v>46422</v>
      </c>
      <c r="M172" s="29" t="n">
        <f aca="false"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>4</v>
      </c>
      <c r="N172" s="28" t="n">
        <f aca="false">IF($L172="","",$L172-기준정보!$C$6-$M172)</f>
        <v>46328</v>
      </c>
      <c r="O172" s="30" t="n">
        <f aca="false">IF($N172="","",$N172-기준정보!$C$4)</f>
        <v>75</v>
      </c>
      <c r="P172" s="27"/>
      <c r="Q172" s="27" t="s">
        <v>100</v>
      </c>
      <c r="R172" s="27" t="s">
        <v>100</v>
      </c>
      <c r="S172" s="31"/>
      <c r="T172" s="26" t="str">
        <f aca="false">IF($H172="","",IF(AND(ISNUMBER(SEARCH("CMT",$H172)),OR(ISNUMBER(SEARCH("완사입",$H172)),ISNUMBER(SEARCH("ODM",$H172)))),"본사/생산처 혼재",IF(ISNUMBER(SEARCH("CMT",$H172)),"본사(소재팀)","생산처")))</f>
        <v>생산처</v>
      </c>
      <c r="U172" s="25" t="s">
        <v>380</v>
      </c>
      <c r="V172" s="25" t="s">
        <v>380</v>
      </c>
      <c r="W172" s="25" t="s">
        <v>103</v>
      </c>
      <c r="X172" s="25" t="s">
        <v>734</v>
      </c>
      <c r="Y172" s="35" t="s">
        <v>735</v>
      </c>
      <c r="Z172" s="32"/>
      <c r="AA172" s="28" t="n">
        <v>46248</v>
      </c>
      <c r="AB172" s="33" t="n">
        <v>2500</v>
      </c>
      <c r="AC172" s="33" t="n">
        <v>45000000</v>
      </c>
      <c r="AD172" s="33" t="n">
        <v>270000000</v>
      </c>
      <c r="AE172" s="26" t="s">
        <v>529</v>
      </c>
      <c r="AF172" s="26" t="str">
        <f aca="false"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>소재 입고일정 확인 필요</v>
      </c>
      <c r="AG172" s="24" t="str">
        <f aca="false">IF($K172="","",IF(OR(LEFT($AF172,2)="작지",LEFT($AF172,4)="소재입고"),IF(LEFT($G172,1)="S","★ 납기위험(S코드)","◆ 지연주의"),IF($AF172="정상","✓ 정상","? 확인필요")))</f>
        <v>? 확인필요</v>
      </c>
      <c r="AH172" s="27"/>
      <c r="AI172" s="34"/>
    </row>
    <row r="173" customFormat="false" ht="15" hidden="false" customHeight="false" outlineLevel="0" collapsed="false">
      <c r="A173" s="24" t="n">
        <v>169</v>
      </c>
      <c r="B173" s="25" t="s">
        <v>270</v>
      </c>
      <c r="C173" s="25" t="s">
        <v>271</v>
      </c>
      <c r="D173" s="26" t="s">
        <v>736</v>
      </c>
      <c r="E173" s="25" t="s">
        <v>737</v>
      </c>
      <c r="F173" s="26" t="s">
        <v>288</v>
      </c>
      <c r="G173" s="24" t="str">
        <f aca="false">IF($D173="","",IF(MID($D173,5,1)="S","S(봄)",IF(MID($D173,5,1)="M","M(여름)",IF(MID($D173,5,1)="X","X(사계절)",MID($D173,5,1)))))</f>
        <v>M(여름)</v>
      </c>
      <c r="H173" s="25" t="s">
        <v>97</v>
      </c>
      <c r="I173" s="24" t="s">
        <v>738</v>
      </c>
      <c r="J173" s="27" t="s">
        <v>529</v>
      </c>
      <c r="K173" s="28" t="n">
        <f aca="false">IF($J173="","",IFERROR(DATE(IF(VALUE(LEFT($J173,FIND("월",$J173)-1))&gt;=9,기준정보!$C$7-1,기준정보!$C$7),VALUE(LEFT($J173,FIND("월",$J173)-1)),1+7*(VALUE(SUBSTITUTE(MID($J173,FIND("월",$J173)+1,5),"주",""))-1)),""))</f>
        <v>46440</v>
      </c>
      <c r="L173" s="28" t="n">
        <f aca="false">IF($K173="","",IF(AND($K173-기준정보!$C$5&gt;=기준정보!$C$10,$K173-기준정보!$C$5&lt;=기준정보!$C$11),기준정보!$C$10-1,$K173-기준정보!$C$5))</f>
        <v>46422</v>
      </c>
      <c r="M173" s="29" t="n">
        <f aca="false"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>4</v>
      </c>
      <c r="N173" s="28" t="n">
        <f aca="false">IF($L173="","",$L173-기준정보!$C$6-$M173)</f>
        <v>46328</v>
      </c>
      <c r="O173" s="30" t="n">
        <f aca="false">IF($N173="","",$N173-기준정보!$C$4)</f>
        <v>75</v>
      </c>
      <c r="P173" s="27"/>
      <c r="Q173" s="27" t="s">
        <v>100</v>
      </c>
      <c r="R173" s="27" t="s">
        <v>100</v>
      </c>
      <c r="S173" s="31"/>
      <c r="T173" s="26" t="str">
        <f aca="false">IF($H173="","",IF(AND(ISNUMBER(SEARCH("CMT",$H173)),OR(ISNUMBER(SEARCH("완사입",$H173)),ISNUMBER(SEARCH("ODM",$H173)))),"본사/생산처 혼재",IF(ISNUMBER(SEARCH("CMT",$H173)),"본사(소재팀)","생산처")))</f>
        <v>생산처</v>
      </c>
      <c r="U173" s="25" t="s">
        <v>126</v>
      </c>
      <c r="V173" s="25" t="s">
        <v>126</v>
      </c>
      <c r="W173" s="25" t="s">
        <v>103</v>
      </c>
      <c r="X173" s="25" t="s">
        <v>220</v>
      </c>
      <c r="Y173" s="35" t="s">
        <v>410</v>
      </c>
      <c r="Z173" s="32"/>
      <c r="AA173" s="28" t="n">
        <v>46213</v>
      </c>
      <c r="AB173" s="33" t="n">
        <v>1700</v>
      </c>
      <c r="AC173" s="33" t="n">
        <v>105396600</v>
      </c>
      <c r="AD173" s="33" t="n">
        <v>493000000</v>
      </c>
      <c r="AE173" s="26" t="s">
        <v>529</v>
      </c>
      <c r="AF173" s="26" t="str">
        <f aca="false"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>소재 입고일정 확인 필요</v>
      </c>
      <c r="AG173" s="24" t="str">
        <f aca="false">IF($K173="","",IF(OR(LEFT($AF173,2)="작지",LEFT($AF173,4)="소재입고"),IF(LEFT($G173,1)="S","★ 납기위험(S코드)","◆ 지연주의"),IF($AF173="정상","✓ 정상","? 확인필요")))</f>
        <v>? 확인필요</v>
      </c>
      <c r="AH173" s="27"/>
      <c r="AI173" s="34"/>
    </row>
    <row r="174" customFormat="false" ht="15" hidden="false" customHeight="false" outlineLevel="0" collapsed="false">
      <c r="A174" s="24" t="n">
        <v>170</v>
      </c>
      <c r="B174" s="25" t="s">
        <v>270</v>
      </c>
      <c r="C174" s="25" t="s">
        <v>271</v>
      </c>
      <c r="D174" s="26" t="s">
        <v>739</v>
      </c>
      <c r="E174" s="25" t="s">
        <v>740</v>
      </c>
      <c r="F174" s="26" t="s">
        <v>741</v>
      </c>
      <c r="G174" s="24" t="str">
        <f aca="false">IF($D174="","",IF(MID($D174,5,1)="S","S(봄)",IF(MID($D174,5,1)="M","M(여름)",IF(MID($D174,5,1)="X","X(사계절)",MID($D174,5,1)))))</f>
        <v>M(여름)</v>
      </c>
      <c r="H174" s="26" t="s">
        <v>255</v>
      </c>
      <c r="I174" s="24" t="s">
        <v>738</v>
      </c>
      <c r="J174" s="27" t="s">
        <v>529</v>
      </c>
      <c r="K174" s="28" t="n">
        <f aca="false">IF($J174="","",IFERROR(DATE(IF(VALUE(LEFT($J174,FIND("월",$J174)-1))&gt;=9,기준정보!$C$7-1,기준정보!$C$7),VALUE(LEFT($J174,FIND("월",$J174)-1)),1+7*(VALUE(SUBSTITUTE(MID($J174,FIND("월",$J174)+1,5),"주",""))-1)),""))</f>
        <v>46440</v>
      </c>
      <c r="L174" s="28" t="n">
        <f aca="false">IF($K174="","",IF(AND($K174-기준정보!$C$5&gt;=기준정보!$C$10,$K174-기준정보!$C$5&lt;=기준정보!$C$11),기준정보!$C$10-1,$K174-기준정보!$C$5))</f>
        <v>46422</v>
      </c>
      <c r="M174" s="29" t="n">
        <f aca="false"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>4</v>
      </c>
      <c r="N174" s="28" t="n">
        <f aca="false">IF($L174="","",$L174-기준정보!$C$6-$M174)</f>
        <v>46328</v>
      </c>
      <c r="O174" s="30" t="n">
        <f aca="false">IF($N174="","",$N174-기준정보!$C$4)</f>
        <v>75</v>
      </c>
      <c r="P174" s="27"/>
      <c r="Q174" s="27" t="s">
        <v>100</v>
      </c>
      <c r="R174" s="27" t="s">
        <v>100</v>
      </c>
      <c r="S174" s="31"/>
      <c r="T174" s="26" t="str">
        <f aca="false">IF($H174="","",IF(AND(ISNUMBER(SEARCH("CMT",$H174)),OR(ISNUMBER(SEARCH("완사입",$H174)),ISNUMBER(SEARCH("ODM",$H174)))),"본사/생산처 혼재",IF(ISNUMBER(SEARCH("CMT",$H174)),"본사(소재팀)","생산처")))</f>
        <v>본사(소재팀)</v>
      </c>
      <c r="U174" s="25" t="s">
        <v>256</v>
      </c>
      <c r="V174" s="25" t="s">
        <v>126</v>
      </c>
      <c r="W174" s="25" t="s">
        <v>103</v>
      </c>
      <c r="X174" s="25" t="s">
        <v>742</v>
      </c>
      <c r="Y174" s="35" t="s">
        <v>743</v>
      </c>
      <c r="Z174" s="32"/>
      <c r="AA174" s="28"/>
      <c r="AB174" s="33" t="n">
        <v>11000</v>
      </c>
      <c r="AC174" s="33" t="n">
        <v>319022000</v>
      </c>
      <c r="AD174" s="33" t="n">
        <v>1958000000</v>
      </c>
      <c r="AE174" s="26" t="s">
        <v>529</v>
      </c>
      <c r="AF174" s="26" t="str">
        <f aca="false"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>소재 입고일정 확인 필요</v>
      </c>
      <c r="AG174" s="24" t="str">
        <f aca="false">IF($K174="","",IF(OR(LEFT($AF174,2)="작지",LEFT($AF174,4)="소재입고"),IF(LEFT($G174,1)="S","★ 납기위험(S코드)","◆ 지연주의"),IF($AF174="정상","✓ 정상","? 확인필요")))</f>
        <v>? 확인필요</v>
      </c>
      <c r="AH174" s="27"/>
      <c r="AI174" s="34"/>
    </row>
    <row r="175" customFormat="false" ht="15" hidden="false" customHeight="false" outlineLevel="0" collapsed="false">
      <c r="A175" s="24" t="n">
        <v>171</v>
      </c>
      <c r="B175" s="25" t="s">
        <v>270</v>
      </c>
      <c r="C175" s="25" t="s">
        <v>271</v>
      </c>
      <c r="D175" s="26" t="s">
        <v>744</v>
      </c>
      <c r="E175" s="25" t="s">
        <v>745</v>
      </c>
      <c r="F175" s="26" t="s">
        <v>746</v>
      </c>
      <c r="G175" s="24" t="str">
        <f aca="false">IF($D175="","",IF(MID($D175,5,1)="S","S(봄)",IF(MID($D175,5,1)="M","M(여름)",IF(MID($D175,5,1)="X","X(사계절)",MID($D175,5,1)))))</f>
        <v>M(여름)</v>
      </c>
      <c r="H175" s="26" t="s">
        <v>255</v>
      </c>
      <c r="I175" s="24" t="s">
        <v>738</v>
      </c>
      <c r="J175" s="27" t="s">
        <v>529</v>
      </c>
      <c r="K175" s="28" t="n">
        <f aca="false">IF($J175="","",IFERROR(DATE(IF(VALUE(LEFT($J175,FIND("월",$J175)-1))&gt;=9,기준정보!$C$7-1,기준정보!$C$7),VALUE(LEFT($J175,FIND("월",$J175)-1)),1+7*(VALUE(SUBSTITUTE(MID($J175,FIND("월",$J175)+1,5),"주",""))-1)),""))</f>
        <v>46440</v>
      </c>
      <c r="L175" s="28" t="n">
        <f aca="false">IF($K175="","",IF(AND($K175-기준정보!$C$5&gt;=기준정보!$C$10,$K175-기준정보!$C$5&lt;=기준정보!$C$11),기준정보!$C$10-1,$K175-기준정보!$C$5))</f>
        <v>46422</v>
      </c>
      <c r="M175" s="29" t="n">
        <f aca="false"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>4</v>
      </c>
      <c r="N175" s="28" t="n">
        <f aca="false">IF($L175="","",$L175-기준정보!$C$6-$M175)</f>
        <v>46328</v>
      </c>
      <c r="O175" s="30" t="n">
        <f aca="false">IF($N175="","",$N175-기준정보!$C$4)</f>
        <v>75</v>
      </c>
      <c r="P175" s="27"/>
      <c r="Q175" s="27" t="s">
        <v>100</v>
      </c>
      <c r="R175" s="27" t="s">
        <v>100</v>
      </c>
      <c r="S175" s="31"/>
      <c r="T175" s="26" t="str">
        <f aca="false">IF($H175="","",IF(AND(ISNUMBER(SEARCH("CMT",$H175)),OR(ISNUMBER(SEARCH("완사입",$H175)),ISNUMBER(SEARCH("ODM",$H175)))),"본사/생산처 혼재",IF(ISNUMBER(SEARCH("CMT",$H175)),"본사(소재팀)","생산처")))</f>
        <v>본사(소재팀)</v>
      </c>
      <c r="U175" s="25" t="s">
        <v>256</v>
      </c>
      <c r="V175" s="26" t="s">
        <v>747</v>
      </c>
      <c r="W175" s="25" t="s">
        <v>103</v>
      </c>
      <c r="X175" s="25" t="s">
        <v>742</v>
      </c>
      <c r="Y175" s="35" t="s">
        <v>743</v>
      </c>
      <c r="Z175" s="32"/>
      <c r="AA175" s="28"/>
      <c r="AB175" s="33" t="n">
        <v>14000</v>
      </c>
      <c r="AC175" s="33" t="n">
        <v>395080000</v>
      </c>
      <c r="AD175" s="33" t="n">
        <v>2492000000</v>
      </c>
      <c r="AE175" s="26" t="s">
        <v>529</v>
      </c>
      <c r="AF175" s="26" t="str">
        <f aca="false"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>소재 입고일정 확인 필요</v>
      </c>
      <c r="AG175" s="24" t="str">
        <f aca="false">IF($K175="","",IF(OR(LEFT($AF175,2)="작지",LEFT($AF175,4)="소재입고"),IF(LEFT($G175,1)="S","★ 납기위험(S코드)","◆ 지연주의"),IF($AF175="정상","✓ 정상","? 확인필요")))</f>
        <v>? 확인필요</v>
      </c>
      <c r="AH175" s="27"/>
      <c r="AI175" s="34"/>
    </row>
    <row r="176" customFormat="false" ht="15" hidden="false" customHeight="false" outlineLevel="0" collapsed="false">
      <c r="A176" s="24" t="n">
        <v>172</v>
      </c>
      <c r="B176" s="25" t="s">
        <v>266</v>
      </c>
      <c r="C176" s="25" t="s">
        <v>271</v>
      </c>
      <c r="D176" s="26" t="s">
        <v>748</v>
      </c>
      <c r="E176" s="25" t="s">
        <v>749</v>
      </c>
      <c r="F176" s="26" t="s">
        <v>750</v>
      </c>
      <c r="G176" s="24" t="str">
        <f aca="false">IF($D176="","",IF(MID($D176,5,1)="S","S(봄)",IF(MID($D176,5,1)="M","M(여름)",IF(MID($D176,5,1)="X","X(사계절)",MID($D176,5,1)))))</f>
        <v>M(여름)</v>
      </c>
      <c r="H176" s="25" t="s">
        <v>97</v>
      </c>
      <c r="I176" s="24"/>
      <c r="J176" s="27" t="s">
        <v>529</v>
      </c>
      <c r="K176" s="28" t="n">
        <f aca="false">IF($J176="","",IFERROR(DATE(IF(VALUE(LEFT($J176,FIND("월",$J176)-1))&gt;=9,기준정보!$C$7-1,기준정보!$C$7),VALUE(LEFT($J176,FIND("월",$J176)-1)),1+7*(VALUE(SUBSTITUTE(MID($J176,FIND("월",$J176)+1,5),"주",""))-1)),""))</f>
        <v>46440</v>
      </c>
      <c r="L176" s="28" t="n">
        <f aca="false">IF($K176="","",IF(AND($K176-기준정보!$C$5&gt;=기준정보!$C$10,$K176-기준정보!$C$5&lt;=기준정보!$C$11),기준정보!$C$10-1,$K176-기준정보!$C$5))</f>
        <v>46422</v>
      </c>
      <c r="M176" s="29" t="n">
        <f aca="false"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>0</v>
      </c>
      <c r="N176" s="28" t="n">
        <f aca="false">IF($L176="","",$L176-기준정보!$C$6-$M176)</f>
        <v>46332</v>
      </c>
      <c r="O176" s="30" t="n">
        <f aca="false">IF($N176="","",$N176-기준정보!$C$4)</f>
        <v>79</v>
      </c>
      <c r="P176" s="27"/>
      <c r="Q176" s="27" t="s">
        <v>100</v>
      </c>
      <c r="R176" s="27" t="s">
        <v>101</v>
      </c>
      <c r="S176" s="31"/>
      <c r="T176" s="26" t="str">
        <f aca="false">IF($H176="","",IF(AND(ISNUMBER(SEARCH("CMT",$H176)),OR(ISNUMBER(SEARCH("완사입",$H176)),ISNUMBER(SEARCH("ODM",$H176)))),"본사/생산처 혼재",IF(ISNUMBER(SEARCH("CMT",$H176)),"본사(소재팀)","생산처")))</f>
        <v>생산처</v>
      </c>
      <c r="U176" s="26" t="s">
        <v>235</v>
      </c>
      <c r="V176" s="26" t="s">
        <v>235</v>
      </c>
      <c r="W176" s="25" t="s">
        <v>110</v>
      </c>
      <c r="X176" s="25" t="s">
        <v>122</v>
      </c>
      <c r="Y176" s="35" t="s">
        <v>751</v>
      </c>
      <c r="Z176" s="32"/>
      <c r="AA176" s="28" t="n">
        <v>46234</v>
      </c>
      <c r="AB176" s="33" t="n">
        <v>1200</v>
      </c>
      <c r="AC176" s="33" t="n">
        <v>44798400</v>
      </c>
      <c r="AD176" s="33" t="n">
        <v>201600000</v>
      </c>
      <c r="AE176" s="26" t="s">
        <v>752</v>
      </c>
      <c r="AF176" s="26" t="str">
        <f aca="false"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>소재 입고일정 확인 필요</v>
      </c>
      <c r="AG176" s="24" t="str">
        <f aca="false">IF($K176="","",IF(OR(LEFT($AF176,2)="작지",LEFT($AF176,4)="소재입고"),IF(LEFT($G176,1)="S","★ 납기위험(S코드)","◆ 지연주의"),IF($AF176="정상","✓ 정상","? 확인필요")))</f>
        <v>? 확인필요</v>
      </c>
      <c r="AH176" s="27"/>
      <c r="AI176" s="34"/>
    </row>
    <row r="177" customFormat="false" ht="15" hidden="false" customHeight="false" outlineLevel="0" collapsed="false">
      <c r="A177" s="24" t="n">
        <v>173</v>
      </c>
      <c r="B177" s="25" t="s">
        <v>266</v>
      </c>
      <c r="C177" s="25" t="s">
        <v>271</v>
      </c>
      <c r="D177" s="26" t="s">
        <v>753</v>
      </c>
      <c r="E177" s="25" t="s">
        <v>754</v>
      </c>
      <c r="F177" s="26" t="s">
        <v>755</v>
      </c>
      <c r="G177" s="24" t="str">
        <f aca="false">IF($D177="","",IF(MID($D177,5,1)="S","S(봄)",IF(MID($D177,5,1)="M","M(여름)",IF(MID($D177,5,1)="X","X(사계절)",MID($D177,5,1)))))</f>
        <v>M(여름)</v>
      </c>
      <c r="H177" s="25" t="s">
        <v>97</v>
      </c>
      <c r="I177" s="24"/>
      <c r="J177" s="27" t="s">
        <v>529</v>
      </c>
      <c r="K177" s="28" t="n">
        <f aca="false">IF($J177="","",IFERROR(DATE(IF(VALUE(LEFT($J177,FIND("월",$J177)-1))&gt;=9,기준정보!$C$7-1,기준정보!$C$7),VALUE(LEFT($J177,FIND("월",$J177)-1)),1+7*(VALUE(SUBSTITUTE(MID($J177,FIND("월",$J177)+1,5),"주",""))-1)),""))</f>
        <v>46440</v>
      </c>
      <c r="L177" s="28" t="n">
        <f aca="false">IF($K177="","",IF(AND($K177-기준정보!$C$5&gt;=기준정보!$C$10,$K177-기준정보!$C$5&lt;=기준정보!$C$11),기준정보!$C$10-1,$K177-기준정보!$C$5))</f>
        <v>46422</v>
      </c>
      <c r="M177" s="29" t="n">
        <f aca="false"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>4</v>
      </c>
      <c r="N177" s="28" t="n">
        <f aca="false">IF($L177="","",$L177-기준정보!$C$6-$M177)</f>
        <v>46328</v>
      </c>
      <c r="O177" s="30" t="n">
        <f aca="false">IF($N177="","",$N177-기준정보!$C$4)</f>
        <v>75</v>
      </c>
      <c r="P177" s="27"/>
      <c r="Q177" s="27" t="s">
        <v>101</v>
      </c>
      <c r="R177" s="27" t="s">
        <v>101</v>
      </c>
      <c r="S177" s="31"/>
      <c r="T177" s="26" t="str">
        <f aca="false">IF($H177="","",IF(AND(ISNUMBER(SEARCH("CMT",$H177)),OR(ISNUMBER(SEARCH("완사입",$H177)),ISNUMBER(SEARCH("ODM",$H177)))),"본사/생산처 혼재",IF(ISNUMBER(SEARCH("CMT",$H177)),"본사(소재팀)","생산처")))</f>
        <v>생산처</v>
      </c>
      <c r="U177" s="25" t="s">
        <v>135</v>
      </c>
      <c r="V177" s="26"/>
      <c r="W177" s="25" t="s">
        <v>103</v>
      </c>
      <c r="X177" s="26"/>
      <c r="Y177" s="32"/>
      <c r="Z177" s="32"/>
      <c r="AA177" s="28"/>
      <c r="AB177" s="33" t="n">
        <v>12000</v>
      </c>
      <c r="AC177" s="33" t="n">
        <v>216000000</v>
      </c>
      <c r="AD177" s="33" t="n">
        <v>1416000000</v>
      </c>
      <c r="AE177" s="26" t="s">
        <v>752</v>
      </c>
      <c r="AF177" s="26" t="str">
        <f aca="false"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>작지 미발행</v>
      </c>
      <c r="AG177" s="24" t="str">
        <f aca="false">IF($K177="","",IF(OR(LEFT($AF177,2)="작지",LEFT($AF177,4)="소재입고"),IF(LEFT($G177,1)="S","★ 납기위험(S코드)","◆ 지연주의"),IF($AF177="정상","✓ 정상","? 확인필요")))</f>
        <v>◆ 지연주의</v>
      </c>
      <c r="AH177" s="27"/>
      <c r="AI177" s="34"/>
    </row>
    <row r="178" customFormat="false" ht="15" hidden="false" customHeight="false" outlineLevel="0" collapsed="false">
      <c r="A178" s="24" t="n">
        <v>174</v>
      </c>
      <c r="B178" s="25" t="s">
        <v>250</v>
      </c>
      <c r="C178" s="25" t="s">
        <v>756</v>
      </c>
      <c r="D178" s="26" t="s">
        <v>757</v>
      </c>
      <c r="E178" s="25" t="s">
        <v>758</v>
      </c>
      <c r="F178" s="26" t="s">
        <v>759</v>
      </c>
      <c r="G178" s="24" t="str">
        <f aca="false">IF($D178="","",IF(MID($D178,5,1)="S","S(봄)",IF(MID($D178,5,1)="M","M(여름)",IF(MID($D178,5,1)="X","X(사계절)",MID($D178,5,1)))))</f>
        <v>M(여름)</v>
      </c>
      <c r="H178" s="25" t="s">
        <v>97</v>
      </c>
      <c r="I178" s="24"/>
      <c r="J178" s="27" t="s">
        <v>529</v>
      </c>
      <c r="K178" s="28" t="n">
        <f aca="false">IF($J178="","",IFERROR(DATE(IF(VALUE(LEFT($J178,FIND("월",$J178)-1))&gt;=9,기준정보!$C$7-1,기준정보!$C$7),VALUE(LEFT($J178,FIND("월",$J178)-1)),1+7*(VALUE(SUBSTITUTE(MID($J178,FIND("월",$J178)+1,5),"주",""))-1)),""))</f>
        <v>46440</v>
      </c>
      <c r="L178" s="28" t="n">
        <f aca="false">IF($K178="","",IF(AND($K178-기준정보!$C$5&gt;=기준정보!$C$10,$K178-기준정보!$C$5&lt;=기준정보!$C$11),기준정보!$C$10-1,$K178-기준정보!$C$5))</f>
        <v>46422</v>
      </c>
      <c r="M178" s="29" t="n">
        <f aca="false"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>4</v>
      </c>
      <c r="N178" s="28" t="n">
        <f aca="false">IF($L178="","",$L178-기준정보!$C$6-$M178)</f>
        <v>46328</v>
      </c>
      <c r="O178" s="30" t="n">
        <f aca="false">IF($N178="","",$N178-기준정보!$C$4)</f>
        <v>75</v>
      </c>
      <c r="P178" s="27"/>
      <c r="Q178" s="27" t="s">
        <v>100</v>
      </c>
      <c r="R178" s="27" t="s">
        <v>100</v>
      </c>
      <c r="S178" s="31"/>
      <c r="T178" s="26" t="str">
        <f aca="false">IF($H178="","",IF(AND(ISNUMBER(SEARCH("CMT",$H178)),OR(ISNUMBER(SEARCH("완사입",$H178)),ISNUMBER(SEARCH("ODM",$H178)))),"본사/생산처 혼재",IF(ISNUMBER(SEARCH("CMT",$H178)),"본사(소재팀)","생산처")))</f>
        <v>생산처</v>
      </c>
      <c r="U178" s="25" t="s">
        <v>760</v>
      </c>
      <c r="V178" s="26"/>
      <c r="W178" s="25" t="s">
        <v>103</v>
      </c>
      <c r="X178" s="26"/>
      <c r="Y178" s="32"/>
      <c r="Z178" s="32"/>
      <c r="AA178" s="28"/>
      <c r="AB178" s="33" t="n">
        <v>4700</v>
      </c>
      <c r="AC178" s="33" t="n">
        <v>47972900</v>
      </c>
      <c r="AD178" s="33" t="n">
        <v>235000000</v>
      </c>
      <c r="AE178" s="26"/>
      <c r="AF178" s="26" t="str">
        <f aca="false"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>소재 입고일정 확인 필요</v>
      </c>
      <c r="AG178" s="24" t="str">
        <f aca="false">IF($K178="","",IF(OR(LEFT($AF178,2)="작지",LEFT($AF178,4)="소재입고"),IF(LEFT($G178,1)="S","★ 납기위험(S코드)","◆ 지연주의"),IF($AF178="정상","✓ 정상","? 확인필요")))</f>
        <v>? 확인필요</v>
      </c>
      <c r="AH178" s="27"/>
      <c r="AI178" s="34"/>
    </row>
    <row r="179" customFormat="false" ht="15" hidden="false" customHeight="false" outlineLevel="0" collapsed="false">
      <c r="A179" s="24" t="n">
        <v>175</v>
      </c>
      <c r="B179" s="25" t="s">
        <v>250</v>
      </c>
      <c r="C179" s="25" t="s">
        <v>756</v>
      </c>
      <c r="D179" s="26" t="s">
        <v>761</v>
      </c>
      <c r="E179" s="25" t="s">
        <v>762</v>
      </c>
      <c r="F179" s="26" t="s">
        <v>763</v>
      </c>
      <c r="G179" s="24" t="str">
        <f aca="false">IF($D179="","",IF(MID($D179,5,1)="S","S(봄)",IF(MID($D179,5,1)="M","M(여름)",IF(MID($D179,5,1)="X","X(사계절)",MID($D179,5,1)))))</f>
        <v>M(여름)</v>
      </c>
      <c r="H179" s="25" t="s">
        <v>97</v>
      </c>
      <c r="I179" s="24"/>
      <c r="J179" s="27" t="s">
        <v>529</v>
      </c>
      <c r="K179" s="28" t="n">
        <f aca="false">IF($J179="","",IFERROR(DATE(IF(VALUE(LEFT($J179,FIND("월",$J179)-1))&gt;=9,기준정보!$C$7-1,기준정보!$C$7),VALUE(LEFT($J179,FIND("월",$J179)-1)),1+7*(VALUE(SUBSTITUTE(MID($J179,FIND("월",$J179)+1,5),"주",""))-1)),""))</f>
        <v>46440</v>
      </c>
      <c r="L179" s="28" t="n">
        <f aca="false">IF($K179="","",IF(AND($K179-기준정보!$C$5&gt;=기준정보!$C$10,$K179-기준정보!$C$5&lt;=기준정보!$C$11),기준정보!$C$10-1,$K179-기준정보!$C$5))</f>
        <v>46422</v>
      </c>
      <c r="M179" s="29" t="n">
        <f aca="false"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>4</v>
      </c>
      <c r="N179" s="28" t="n">
        <f aca="false">IF($L179="","",$L179-기준정보!$C$6-$M179)</f>
        <v>46328</v>
      </c>
      <c r="O179" s="30" t="n">
        <f aca="false">IF($N179="","",$N179-기준정보!$C$4)</f>
        <v>75</v>
      </c>
      <c r="P179" s="27"/>
      <c r="Q179" s="27" t="s">
        <v>100</v>
      </c>
      <c r="R179" s="27" t="s">
        <v>100</v>
      </c>
      <c r="S179" s="31"/>
      <c r="T179" s="26" t="str">
        <f aca="false">IF($H179="","",IF(AND(ISNUMBER(SEARCH("CMT",$H179)),OR(ISNUMBER(SEARCH("완사입",$H179)),ISNUMBER(SEARCH("ODM",$H179)))),"본사/생산처 혼재",IF(ISNUMBER(SEARCH("CMT",$H179)),"본사(소재팀)","생산처")))</f>
        <v>생산처</v>
      </c>
      <c r="U179" s="25" t="s">
        <v>760</v>
      </c>
      <c r="V179" s="26"/>
      <c r="W179" s="25" t="s">
        <v>103</v>
      </c>
      <c r="X179" s="26"/>
      <c r="Y179" s="32"/>
      <c r="Z179" s="32"/>
      <c r="AA179" s="28"/>
      <c r="AB179" s="33" t="n">
        <v>4500</v>
      </c>
      <c r="AC179" s="33" t="n">
        <v>34879500</v>
      </c>
      <c r="AD179" s="33" t="n">
        <v>202500000</v>
      </c>
      <c r="AE179" s="26"/>
      <c r="AF179" s="26" t="str">
        <f aca="false"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>소재 입고일정 확인 필요</v>
      </c>
      <c r="AG179" s="24" t="str">
        <f aca="false">IF($K179="","",IF(OR(LEFT($AF179,2)="작지",LEFT($AF179,4)="소재입고"),IF(LEFT($G179,1)="S","★ 납기위험(S코드)","◆ 지연주의"),IF($AF179="정상","✓ 정상","? 확인필요")))</f>
        <v>? 확인필요</v>
      </c>
      <c r="AH179" s="27"/>
      <c r="AI179" s="34"/>
    </row>
    <row r="180" customFormat="false" ht="15" hidden="false" customHeight="false" outlineLevel="0" collapsed="false">
      <c r="A180" s="24" t="n">
        <v>176</v>
      </c>
      <c r="B180" s="25" t="s">
        <v>327</v>
      </c>
      <c r="C180" s="25" t="s">
        <v>328</v>
      </c>
      <c r="D180" s="26" t="s">
        <v>764</v>
      </c>
      <c r="E180" s="25" t="s">
        <v>765</v>
      </c>
      <c r="F180" s="26" t="s">
        <v>150</v>
      </c>
      <c r="G180" s="24" t="str">
        <f aca="false">IF($D180="","",IF(MID($D180,5,1)="S","S(봄)",IF(MID($D180,5,1)="M","M(여름)",IF(MID($D180,5,1)="X","X(사계절)",MID($D180,5,1)))))</f>
        <v>M(여름)</v>
      </c>
      <c r="H180" s="26" t="s">
        <v>255</v>
      </c>
      <c r="I180" s="24" t="s">
        <v>644</v>
      </c>
      <c r="J180" s="27" t="s">
        <v>529</v>
      </c>
      <c r="K180" s="28" t="n">
        <f aca="false">IF($J180="","",IFERROR(DATE(IF(VALUE(LEFT($J180,FIND("월",$J180)-1))&gt;=9,기준정보!$C$7-1,기준정보!$C$7),VALUE(LEFT($J180,FIND("월",$J180)-1)),1+7*(VALUE(SUBSTITUTE(MID($J180,FIND("월",$J180)+1,5),"주",""))-1)),""))</f>
        <v>46440</v>
      </c>
      <c r="L180" s="28" t="n">
        <f aca="false">IF($K180="","",IF(AND($K180-기준정보!$C$5&gt;=기준정보!$C$10,$K180-기준정보!$C$5&lt;=기준정보!$C$11),기준정보!$C$10-1,$K180-기준정보!$C$5))</f>
        <v>46422</v>
      </c>
      <c r="M180" s="29" t="n">
        <f aca="false"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>4</v>
      </c>
      <c r="N180" s="28" t="n">
        <f aca="false">IF($L180="","",$L180-기준정보!$C$6-$M180)</f>
        <v>46328</v>
      </c>
      <c r="O180" s="30" t="n">
        <f aca="false">IF($N180="","",$N180-기준정보!$C$4)</f>
        <v>75</v>
      </c>
      <c r="P180" s="27"/>
      <c r="Q180" s="27" t="s">
        <v>100</v>
      </c>
      <c r="R180" s="27" t="s">
        <v>100</v>
      </c>
      <c r="S180" s="31"/>
      <c r="T180" s="26" t="str">
        <f aca="false">IF($H180="","",IF(AND(ISNUMBER(SEARCH("CMT",$H180)),OR(ISNUMBER(SEARCH("완사입",$H180)),ISNUMBER(SEARCH("ODM",$H180)))),"본사/생산처 혼재",IF(ISNUMBER(SEARCH("CMT",$H180)),"본사(소재팀)","생산처")))</f>
        <v>본사(소재팀)</v>
      </c>
      <c r="U180" s="25" t="s">
        <v>126</v>
      </c>
      <c r="V180" s="25" t="s">
        <v>126</v>
      </c>
      <c r="W180" s="25" t="s">
        <v>103</v>
      </c>
      <c r="X180" s="25" t="s">
        <v>344</v>
      </c>
      <c r="Y180" s="35" t="s">
        <v>766</v>
      </c>
      <c r="Z180" s="32"/>
      <c r="AA180" s="28" t="n">
        <v>46217</v>
      </c>
      <c r="AB180" s="33" t="n">
        <v>1500</v>
      </c>
      <c r="AC180" s="33" t="n">
        <v>55500000</v>
      </c>
      <c r="AD180" s="33" t="n">
        <v>297000000</v>
      </c>
      <c r="AE180" s="26"/>
      <c r="AF180" s="26" t="str">
        <f aca="false"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>소재 입고일정 확인 필요</v>
      </c>
      <c r="AG180" s="24" t="str">
        <f aca="false">IF($K180="","",IF(OR(LEFT($AF180,2)="작지",LEFT($AF180,4)="소재입고"),IF(LEFT($G180,1)="S","★ 납기위험(S코드)","◆ 지연주의"),IF($AF180="정상","✓ 정상","? 확인필요")))</f>
        <v>? 확인필요</v>
      </c>
      <c r="AH180" s="27"/>
      <c r="AI180" s="34"/>
    </row>
    <row r="181" customFormat="false" ht="15" hidden="false" customHeight="false" outlineLevel="0" collapsed="false">
      <c r="A181" s="24" t="n">
        <v>177</v>
      </c>
      <c r="B181" s="25" t="s">
        <v>155</v>
      </c>
      <c r="C181" s="25" t="s">
        <v>328</v>
      </c>
      <c r="D181" s="26" t="s">
        <v>767</v>
      </c>
      <c r="E181" s="25" t="s">
        <v>768</v>
      </c>
      <c r="F181" s="26" t="s">
        <v>465</v>
      </c>
      <c r="G181" s="24" t="str">
        <f aca="false">IF($D181="","",IF(MID($D181,5,1)="S","S(봄)",IF(MID($D181,5,1)="M","M(여름)",IF(MID($D181,5,1)="X","X(사계절)",MID($D181,5,1)))))</f>
        <v>M(여름)</v>
      </c>
      <c r="H181" s="25" t="s">
        <v>97</v>
      </c>
      <c r="I181" s="24"/>
      <c r="J181" s="27" t="s">
        <v>529</v>
      </c>
      <c r="K181" s="28" t="n">
        <f aca="false">IF($J181="","",IFERROR(DATE(IF(VALUE(LEFT($J181,FIND("월",$J181)-1))&gt;=9,기준정보!$C$7-1,기준정보!$C$7),VALUE(LEFT($J181,FIND("월",$J181)-1)),1+7*(VALUE(SUBSTITUTE(MID($J181,FIND("월",$J181)+1,5),"주",""))-1)),""))</f>
        <v>46440</v>
      </c>
      <c r="L181" s="28" t="n">
        <f aca="false">IF($K181="","",IF(AND($K181-기준정보!$C$5&gt;=기준정보!$C$10,$K181-기준정보!$C$5&lt;=기준정보!$C$11),기준정보!$C$10-1,$K181-기준정보!$C$5))</f>
        <v>46422</v>
      </c>
      <c r="M181" s="29" t="n">
        <f aca="false"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>4</v>
      </c>
      <c r="N181" s="28" t="n">
        <f aca="false">IF($L181="","",$L181-기준정보!$C$6-$M181)</f>
        <v>46328</v>
      </c>
      <c r="O181" s="30" t="n">
        <f aca="false">IF($N181="","",$N181-기준정보!$C$4)</f>
        <v>75</v>
      </c>
      <c r="P181" s="27"/>
      <c r="Q181" s="27" t="s">
        <v>100</v>
      </c>
      <c r="R181" s="27" t="s">
        <v>100</v>
      </c>
      <c r="S181" s="31"/>
      <c r="T181" s="26" t="str">
        <f aca="false">IF($H181="","",IF(AND(ISNUMBER(SEARCH("CMT",$H181)),OR(ISNUMBER(SEARCH("완사입",$H181)),ISNUMBER(SEARCH("ODM",$H181)))),"본사/생산처 혼재",IF(ISNUMBER(SEARCH("CMT",$H181)),"본사(소재팀)","생산처")))</f>
        <v>생산처</v>
      </c>
      <c r="U181" s="25" t="s">
        <v>604</v>
      </c>
      <c r="V181" s="25" t="s">
        <v>605</v>
      </c>
      <c r="W181" s="25" t="s">
        <v>103</v>
      </c>
      <c r="X181" s="25" t="s">
        <v>604</v>
      </c>
      <c r="Y181" s="35" t="s">
        <v>769</v>
      </c>
      <c r="Z181" s="32"/>
      <c r="AA181" s="28" t="n">
        <v>46232</v>
      </c>
      <c r="AB181" s="33" t="n">
        <v>2000</v>
      </c>
      <c r="AC181" s="33" t="n">
        <v>78808000</v>
      </c>
      <c r="AD181" s="33" t="n">
        <v>376000000</v>
      </c>
      <c r="AE181" s="26" t="s">
        <v>529</v>
      </c>
      <c r="AF181" s="26" t="str">
        <f aca="false"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>소재 입고일정 확인 필요</v>
      </c>
      <c r="AG181" s="24" t="str">
        <f aca="false">IF($K181="","",IF(OR(LEFT($AF181,2)="작지",LEFT($AF181,4)="소재입고"),IF(LEFT($G181,1)="S","★ 납기위험(S코드)","◆ 지연주의"),IF($AF181="정상","✓ 정상","? 확인필요")))</f>
        <v>? 확인필요</v>
      </c>
      <c r="AH181" s="27"/>
      <c r="AI181" s="34"/>
    </row>
    <row r="182" customFormat="false" ht="15" hidden="false" customHeight="false" outlineLevel="0" collapsed="false">
      <c r="A182" s="24" t="n">
        <v>178</v>
      </c>
      <c r="B182" s="25" t="s">
        <v>155</v>
      </c>
      <c r="C182" s="25" t="s">
        <v>328</v>
      </c>
      <c r="D182" s="26" t="s">
        <v>770</v>
      </c>
      <c r="E182" s="25" t="s">
        <v>771</v>
      </c>
      <c r="F182" s="26" t="s">
        <v>772</v>
      </c>
      <c r="G182" s="24" t="str">
        <f aca="false">IF($D182="","",IF(MID($D182,5,1)="S","S(봄)",IF(MID($D182,5,1)="M","M(여름)",IF(MID($D182,5,1)="X","X(사계절)",MID($D182,5,1)))))</f>
        <v>M(여름)</v>
      </c>
      <c r="H182" s="25" t="s">
        <v>97</v>
      </c>
      <c r="I182" s="24"/>
      <c r="J182" s="27" t="s">
        <v>529</v>
      </c>
      <c r="K182" s="28" t="n">
        <f aca="false">IF($J182="","",IFERROR(DATE(IF(VALUE(LEFT($J182,FIND("월",$J182)-1))&gt;=9,기준정보!$C$7-1,기준정보!$C$7),VALUE(LEFT($J182,FIND("월",$J182)-1)),1+7*(VALUE(SUBSTITUTE(MID($J182,FIND("월",$J182)+1,5),"주",""))-1)),""))</f>
        <v>46440</v>
      </c>
      <c r="L182" s="28" t="n">
        <f aca="false">IF($K182="","",IF(AND($K182-기준정보!$C$5&gt;=기준정보!$C$10,$K182-기준정보!$C$5&lt;=기준정보!$C$11),기준정보!$C$10-1,$K182-기준정보!$C$5))</f>
        <v>46422</v>
      </c>
      <c r="M182" s="29" t="n">
        <f aca="false"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>4</v>
      </c>
      <c r="N182" s="28" t="n">
        <f aca="false">IF($L182="","",$L182-기준정보!$C$6-$M182)</f>
        <v>46328</v>
      </c>
      <c r="O182" s="30" t="n">
        <f aca="false">IF($N182="","",$N182-기준정보!$C$4)</f>
        <v>75</v>
      </c>
      <c r="P182" s="27"/>
      <c r="Q182" s="27" t="s">
        <v>100</v>
      </c>
      <c r="R182" s="27" t="s">
        <v>100</v>
      </c>
      <c r="S182" s="31"/>
      <c r="T182" s="26" t="str">
        <f aca="false">IF($H182="","",IF(AND(ISNUMBER(SEARCH("CMT",$H182)),OR(ISNUMBER(SEARCH("완사입",$H182)),ISNUMBER(SEARCH("ODM",$H182)))),"본사/생산처 혼재",IF(ISNUMBER(SEARCH("CMT",$H182)),"본사(소재팀)","생산처")))</f>
        <v>생산처</v>
      </c>
      <c r="U182" s="25" t="s">
        <v>604</v>
      </c>
      <c r="V182" s="25" t="s">
        <v>605</v>
      </c>
      <c r="W182" s="25" t="s">
        <v>103</v>
      </c>
      <c r="X182" s="25" t="s">
        <v>773</v>
      </c>
      <c r="Y182" s="35" t="s">
        <v>774</v>
      </c>
      <c r="Z182" s="32"/>
      <c r="AA182" s="28" t="n">
        <v>46246</v>
      </c>
      <c r="AB182" s="33" t="n">
        <v>1600</v>
      </c>
      <c r="AC182" s="33" t="n">
        <v>61387200</v>
      </c>
      <c r="AD182" s="33" t="n">
        <v>284800000</v>
      </c>
      <c r="AE182" s="26" t="s">
        <v>775</v>
      </c>
      <c r="AF182" s="26" t="str">
        <f aca="false"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>소재 입고일정 확인 필요</v>
      </c>
      <c r="AG182" s="24" t="str">
        <f aca="false">IF($K182="","",IF(OR(LEFT($AF182,2)="작지",LEFT($AF182,4)="소재입고"),IF(LEFT($G182,1)="S","★ 납기위험(S코드)","◆ 지연주의"),IF($AF182="정상","✓ 정상","? 확인필요")))</f>
        <v>? 확인필요</v>
      </c>
      <c r="AH182" s="27"/>
      <c r="AI182" s="34"/>
    </row>
    <row r="183" customFormat="false" ht="15" hidden="false" customHeight="false" outlineLevel="0" collapsed="false">
      <c r="A183" s="24" t="n">
        <v>179</v>
      </c>
      <c r="B183" s="25" t="s">
        <v>155</v>
      </c>
      <c r="C183" s="25" t="s">
        <v>156</v>
      </c>
      <c r="D183" s="26" t="s">
        <v>776</v>
      </c>
      <c r="E183" s="25" t="s">
        <v>777</v>
      </c>
      <c r="F183" s="26" t="s">
        <v>778</v>
      </c>
      <c r="G183" s="24" t="str">
        <f aca="false">IF($D183="","",IF(MID($D183,5,1)="S","S(봄)",IF(MID($D183,5,1)="M","M(여름)",IF(MID($D183,5,1)="X","X(사계절)",MID($D183,5,1)))))</f>
        <v>M(여름)</v>
      </c>
      <c r="H183" s="25" t="s">
        <v>97</v>
      </c>
      <c r="I183" s="24"/>
      <c r="J183" s="27" t="s">
        <v>529</v>
      </c>
      <c r="K183" s="28" t="n">
        <f aca="false">IF($J183="","",IFERROR(DATE(IF(VALUE(LEFT($J183,FIND("월",$J183)-1))&gt;=9,기준정보!$C$7-1,기준정보!$C$7),VALUE(LEFT($J183,FIND("월",$J183)-1)),1+7*(VALUE(SUBSTITUTE(MID($J183,FIND("월",$J183)+1,5),"주",""))-1)),""))</f>
        <v>46440</v>
      </c>
      <c r="L183" s="28" t="n">
        <f aca="false">IF($K183="","",IF(AND($K183-기준정보!$C$5&gt;=기준정보!$C$10,$K183-기준정보!$C$5&lt;=기준정보!$C$11),기준정보!$C$10-1,$K183-기준정보!$C$5))</f>
        <v>46422</v>
      </c>
      <c r="M183" s="29" t="n">
        <f aca="false"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>0</v>
      </c>
      <c r="N183" s="28" t="n">
        <f aca="false">IF($L183="","",$L183-기준정보!$C$6-$M183)</f>
        <v>46332</v>
      </c>
      <c r="O183" s="30" t="n">
        <f aca="false">IF($N183="","",$N183-기준정보!$C$4)</f>
        <v>79</v>
      </c>
      <c r="P183" s="27"/>
      <c r="Q183" s="27" t="s">
        <v>100</v>
      </c>
      <c r="R183" s="27" t="s">
        <v>101</v>
      </c>
      <c r="S183" s="31"/>
      <c r="T183" s="26" t="str">
        <f aca="false">IF($H183="","",IF(AND(ISNUMBER(SEARCH("CMT",$H183)),OR(ISNUMBER(SEARCH("완사입",$H183)),ISNUMBER(SEARCH("ODM",$H183)))),"본사/생산처 혼재",IF(ISNUMBER(SEARCH("CMT",$H183)),"본사(소재팀)","생산처")))</f>
        <v>생산처</v>
      </c>
      <c r="U183" s="26" t="s">
        <v>235</v>
      </c>
      <c r="V183" s="26" t="s">
        <v>235</v>
      </c>
      <c r="W183" s="25" t="s">
        <v>110</v>
      </c>
      <c r="X183" s="26" t="s">
        <v>235</v>
      </c>
      <c r="Y183" s="32" t="s">
        <v>779</v>
      </c>
      <c r="Z183" s="32"/>
      <c r="AA183" s="28"/>
      <c r="AB183" s="33" t="n">
        <v>1600</v>
      </c>
      <c r="AC183" s="33" t="n">
        <v>30280000</v>
      </c>
      <c r="AD183" s="33" t="n">
        <v>188800000</v>
      </c>
      <c r="AE183" s="26" t="s">
        <v>529</v>
      </c>
      <c r="AF183" s="26" t="str">
        <f aca="false"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>소재 입고일정 확인 필요</v>
      </c>
      <c r="AG183" s="24" t="str">
        <f aca="false">IF($K183="","",IF(OR(LEFT($AF183,2)="작지",LEFT($AF183,4)="소재입고"),IF(LEFT($G183,1)="S","★ 납기위험(S코드)","◆ 지연주의"),IF($AF183="정상","✓ 정상","? 확인필요")))</f>
        <v>? 확인필요</v>
      </c>
      <c r="AH183" s="27"/>
      <c r="AI183" s="34"/>
    </row>
    <row r="184" customFormat="false" ht="15" hidden="false" customHeight="false" outlineLevel="0" collapsed="false">
      <c r="A184" s="24" t="n">
        <v>180</v>
      </c>
      <c r="B184" s="25" t="s">
        <v>327</v>
      </c>
      <c r="C184" s="25" t="s">
        <v>309</v>
      </c>
      <c r="D184" s="26" t="s">
        <v>780</v>
      </c>
      <c r="E184" s="25" t="s">
        <v>781</v>
      </c>
      <c r="F184" s="26" t="s">
        <v>782</v>
      </c>
      <c r="G184" s="24" t="str">
        <f aca="false">IF($D184="","",IF(MID($D184,5,1)="S","S(봄)",IF(MID($D184,5,1)="M","M(여름)",IF(MID($D184,5,1)="X","X(사계절)",MID($D184,5,1)))))</f>
        <v>M(여름)</v>
      </c>
      <c r="H184" s="25" t="s">
        <v>97</v>
      </c>
      <c r="I184" s="24" t="s">
        <v>539</v>
      </c>
      <c r="J184" s="27" t="s">
        <v>529</v>
      </c>
      <c r="K184" s="28" t="n">
        <f aca="false">IF($J184="","",IFERROR(DATE(IF(VALUE(LEFT($J184,FIND("월",$J184)-1))&gt;=9,기준정보!$C$7-1,기준정보!$C$7),VALUE(LEFT($J184,FIND("월",$J184)-1)),1+7*(VALUE(SUBSTITUTE(MID($J184,FIND("월",$J184)+1,5),"주",""))-1)),""))</f>
        <v>46440</v>
      </c>
      <c r="L184" s="28" t="n">
        <f aca="false">IF($K184="","",IF(AND($K184-기준정보!$C$5&gt;=기준정보!$C$10,$K184-기준정보!$C$5&lt;=기준정보!$C$11),기준정보!$C$10-1,$K184-기준정보!$C$5))</f>
        <v>46422</v>
      </c>
      <c r="M184" s="29" t="n">
        <f aca="false"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>4</v>
      </c>
      <c r="N184" s="28" t="n">
        <f aca="false">IF($L184="","",$L184-기준정보!$C$6-$M184)</f>
        <v>46328</v>
      </c>
      <c r="O184" s="30" t="n">
        <f aca="false">IF($N184="","",$N184-기준정보!$C$4)</f>
        <v>75</v>
      </c>
      <c r="P184" s="27"/>
      <c r="Q184" s="27" t="s">
        <v>100</v>
      </c>
      <c r="R184" s="27" t="s">
        <v>100</v>
      </c>
      <c r="S184" s="31"/>
      <c r="T184" s="26" t="str">
        <f aca="false">IF($H184="","",IF(AND(ISNUMBER(SEARCH("CMT",$H184)),OR(ISNUMBER(SEARCH("완사입",$H184)),ISNUMBER(SEARCH("ODM",$H184)))),"본사/생산처 혼재",IF(ISNUMBER(SEARCH("CMT",$H184)),"본사(소재팀)","생산처")))</f>
        <v>생산처</v>
      </c>
      <c r="U184" s="25" t="s">
        <v>109</v>
      </c>
      <c r="V184" s="25" t="s">
        <v>109</v>
      </c>
      <c r="W184" s="25" t="s">
        <v>103</v>
      </c>
      <c r="X184" s="25" t="s">
        <v>540</v>
      </c>
      <c r="Y184" s="35" t="s">
        <v>783</v>
      </c>
      <c r="Z184" s="32"/>
      <c r="AA184" s="28" t="n">
        <v>46252</v>
      </c>
      <c r="AB184" s="33" t="n">
        <v>3000</v>
      </c>
      <c r="AC184" s="33" t="n">
        <v>158886000</v>
      </c>
      <c r="AD184" s="33" t="n">
        <v>750000000</v>
      </c>
      <c r="AE184" s="26"/>
      <c r="AF184" s="26" t="str">
        <f aca="false"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>소재 입고일정 확인 필요</v>
      </c>
      <c r="AG184" s="24" t="str">
        <f aca="false">IF($K184="","",IF(OR(LEFT($AF184,2)="작지",LEFT($AF184,4)="소재입고"),IF(LEFT($G184,1)="S","★ 납기위험(S코드)","◆ 지연주의"),IF($AF184="정상","✓ 정상","? 확인필요")))</f>
        <v>? 확인필요</v>
      </c>
      <c r="AH184" s="27"/>
      <c r="AI184" s="34"/>
    </row>
    <row r="185" customFormat="false" ht="15" hidden="false" customHeight="false" outlineLevel="0" collapsed="false">
      <c r="A185" s="24" t="n">
        <v>181</v>
      </c>
      <c r="B185" s="25" t="s">
        <v>242</v>
      </c>
      <c r="C185" s="25" t="s">
        <v>309</v>
      </c>
      <c r="D185" s="26" t="s">
        <v>784</v>
      </c>
      <c r="E185" s="25" t="s">
        <v>785</v>
      </c>
      <c r="F185" s="26" t="s">
        <v>786</v>
      </c>
      <c r="G185" s="24" t="str">
        <f aca="false">IF($D185="","",IF(MID($D185,5,1)="S","S(봄)",IF(MID($D185,5,1)="M","M(여름)",IF(MID($D185,5,1)="X","X(사계절)",MID($D185,5,1)))))</f>
        <v>M(여름)</v>
      </c>
      <c r="H185" s="25" t="s">
        <v>97</v>
      </c>
      <c r="I185" s="24"/>
      <c r="J185" s="27" t="s">
        <v>529</v>
      </c>
      <c r="K185" s="28" t="n">
        <f aca="false">IF($J185="","",IFERROR(DATE(IF(VALUE(LEFT($J185,FIND("월",$J185)-1))&gt;=9,기준정보!$C$7-1,기준정보!$C$7),VALUE(LEFT($J185,FIND("월",$J185)-1)),1+7*(VALUE(SUBSTITUTE(MID($J185,FIND("월",$J185)+1,5),"주",""))-1)),""))</f>
        <v>46440</v>
      </c>
      <c r="L185" s="28" t="n">
        <f aca="false">IF($K185="","",IF(AND($K185-기준정보!$C$5&gt;=기준정보!$C$10,$K185-기준정보!$C$5&lt;=기준정보!$C$11),기준정보!$C$10-1,$K185-기준정보!$C$5))</f>
        <v>46422</v>
      </c>
      <c r="M185" s="29" t="n">
        <f aca="false"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>0</v>
      </c>
      <c r="N185" s="28" t="n">
        <f aca="false">IF($L185="","",$L185-기준정보!$C$6-$M185)</f>
        <v>46332</v>
      </c>
      <c r="O185" s="30" t="n">
        <f aca="false">IF($N185="","",$N185-기준정보!$C$4)</f>
        <v>79</v>
      </c>
      <c r="P185" s="27"/>
      <c r="Q185" s="27"/>
      <c r="R185" s="27"/>
      <c r="S185" s="31"/>
      <c r="T185" s="26" t="str">
        <f aca="false">IF($H185="","",IF(AND(ISNUMBER(SEARCH("CMT",$H185)),OR(ISNUMBER(SEARCH("완사입",$H185)),ISNUMBER(SEARCH("ODM",$H185)))),"본사/생산처 혼재",IF(ISNUMBER(SEARCH("CMT",$H185)),"본사(소재팀)","생산처")))</f>
        <v>생산처</v>
      </c>
      <c r="U185" s="25" t="s">
        <v>109</v>
      </c>
      <c r="V185" s="26"/>
      <c r="W185" s="26"/>
      <c r="X185" s="26"/>
      <c r="Y185" s="32"/>
      <c r="Z185" s="32"/>
      <c r="AA185" s="28"/>
      <c r="AB185" s="33" t="n">
        <v>3000</v>
      </c>
      <c r="AC185" s="33" t="n">
        <v>120000000</v>
      </c>
      <c r="AD185" s="33" t="n">
        <v>594000000</v>
      </c>
      <c r="AE185" s="26" t="s">
        <v>529</v>
      </c>
      <c r="AF185" s="26" t="str">
        <f aca="false"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>발행여부 확인 필요</v>
      </c>
      <c r="AG185" s="24" t="str">
        <f aca="false">IF($K185="","",IF(OR(LEFT($AF185,2)="작지",LEFT($AF185,4)="소재입고"),IF(LEFT($G185,1)="S","★ 납기위험(S코드)","◆ 지연주의"),IF($AF185="정상","✓ 정상","? 확인필요")))</f>
        <v>? 확인필요</v>
      </c>
      <c r="AH185" s="27"/>
      <c r="AI185" s="34"/>
    </row>
    <row r="186" customFormat="false" ht="25.35" hidden="false" customHeight="false" outlineLevel="0" collapsed="false">
      <c r="A186" s="24" t="n">
        <v>182</v>
      </c>
      <c r="B186" s="25" t="s">
        <v>155</v>
      </c>
      <c r="C186" s="25" t="s">
        <v>156</v>
      </c>
      <c r="D186" s="26" t="s">
        <v>787</v>
      </c>
      <c r="E186" s="25" t="s">
        <v>788</v>
      </c>
      <c r="F186" s="26" t="s">
        <v>789</v>
      </c>
      <c r="G186" s="24" t="str">
        <f aca="false">IF($D186="","",IF(MID($D186,5,1)="S","S(봄)",IF(MID($D186,5,1)="M","M(여름)",IF(MID($D186,5,1)="X","X(사계절)",MID($D186,5,1)))))</f>
        <v>M(여름)</v>
      </c>
      <c r="H186" s="26" t="s">
        <v>160</v>
      </c>
      <c r="I186" s="24"/>
      <c r="J186" s="27" t="s">
        <v>529</v>
      </c>
      <c r="K186" s="28" t="n">
        <f aca="false">IF($J186="","",IFERROR(DATE(IF(VALUE(LEFT($J186,FIND("월",$J186)-1))&gt;=9,기준정보!$C$7-1,기준정보!$C$7),VALUE(LEFT($J186,FIND("월",$J186)-1)),1+7*(VALUE(SUBSTITUTE(MID($J186,FIND("월",$J186)+1,5),"주",""))-1)),""))</f>
        <v>46440</v>
      </c>
      <c r="L186" s="28" t="n">
        <f aca="false">IF($K186="","",IF(AND($K186-기준정보!$C$5&gt;=기준정보!$C$10,$K186-기준정보!$C$5&lt;=기준정보!$C$11),기준정보!$C$10-1,$K186-기준정보!$C$5))</f>
        <v>46422</v>
      </c>
      <c r="M186" s="29" t="n">
        <f aca="false"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>4</v>
      </c>
      <c r="N186" s="28" t="n">
        <f aca="false">IF($L186="","",$L186-기준정보!$C$6-$M186)</f>
        <v>46328</v>
      </c>
      <c r="O186" s="30" t="n">
        <f aca="false">IF($N186="","",$N186-기준정보!$C$4)</f>
        <v>75</v>
      </c>
      <c r="P186" s="27"/>
      <c r="Q186" s="27" t="s">
        <v>101</v>
      </c>
      <c r="R186" s="27" t="s">
        <v>101</v>
      </c>
      <c r="S186" s="31"/>
      <c r="T186" s="26" t="str">
        <f aca="false">IF($H186="","",IF(AND(ISNUMBER(SEARCH("CMT",$H186)),OR(ISNUMBER(SEARCH("완사입",$H186)),ISNUMBER(SEARCH("ODM",$H186)))),"본사/생산처 혼재",IF(ISNUMBER(SEARCH("CMT",$H186)),"본사(소재팀)","생산처")))</f>
        <v>생산처</v>
      </c>
      <c r="U186" s="26" t="s">
        <v>161</v>
      </c>
      <c r="V186" s="26" t="s">
        <v>790</v>
      </c>
      <c r="W186" s="25" t="s">
        <v>163</v>
      </c>
      <c r="X186" s="26" t="s">
        <v>791</v>
      </c>
      <c r="Y186" s="32" t="s">
        <v>792</v>
      </c>
      <c r="Z186" s="32"/>
      <c r="AA186" s="28"/>
      <c r="AB186" s="33" t="n">
        <v>9500</v>
      </c>
      <c r="AC186" s="33" t="n">
        <v>162868000</v>
      </c>
      <c r="AD186" s="33" t="n">
        <v>1026000000</v>
      </c>
      <c r="AE186" s="26" t="s">
        <v>529</v>
      </c>
      <c r="AF186" s="26" t="str">
        <f aca="false"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>작지 미발행</v>
      </c>
      <c r="AG186" s="24" t="str">
        <f aca="false">IF($K186="","",IF(OR(LEFT($AF186,2)="작지",LEFT($AF186,4)="소재입고"),IF(LEFT($G186,1)="S","★ 납기위험(S코드)","◆ 지연주의"),IF($AF186="정상","✓ 정상","? 확인필요")))</f>
        <v>◆ 지연주의</v>
      </c>
      <c r="AH186" s="27"/>
      <c r="AI186" s="34"/>
    </row>
    <row r="187" customFormat="false" ht="15" hidden="false" customHeight="false" outlineLevel="0" collapsed="false">
      <c r="A187" s="24" t="n">
        <v>183</v>
      </c>
      <c r="B187" s="25" t="s">
        <v>242</v>
      </c>
      <c r="C187" s="25" t="s">
        <v>243</v>
      </c>
      <c r="D187" s="26" t="s">
        <v>793</v>
      </c>
      <c r="E187" s="25" t="s">
        <v>794</v>
      </c>
      <c r="F187" s="26" t="s">
        <v>265</v>
      </c>
      <c r="G187" s="24" t="str">
        <f aca="false">IF($D187="","",IF(MID($D187,5,1)="S","S(봄)",IF(MID($D187,5,1)="M","M(여름)",IF(MID($D187,5,1)="X","X(사계절)",MID($D187,5,1)))))</f>
        <v>M(여름)</v>
      </c>
      <c r="H187" s="25" t="s">
        <v>97</v>
      </c>
      <c r="I187" s="24"/>
      <c r="J187" s="27" t="s">
        <v>556</v>
      </c>
      <c r="K187" s="28" t="n">
        <f aca="false">IF($J187="","",IFERROR(DATE(IF(VALUE(LEFT($J187,FIND("월",$J187)-1))&gt;=9,기준정보!$C$7-1,기준정보!$C$7),VALUE(LEFT($J187,FIND("월",$J187)-1)),1+7*(VALUE(SUBSTITUTE(MID($J187,FIND("월",$J187)+1,5),"주",""))-1)),""))</f>
        <v>46447</v>
      </c>
      <c r="L187" s="28" t="n">
        <f aca="false">IF($K187="","",IF(AND($K187-기준정보!$C$5&gt;=기준정보!$C$10,$K187-기준정보!$C$5&lt;=기준정보!$C$11),기준정보!$C$10-1,$K187-기준정보!$C$5))</f>
        <v>46433</v>
      </c>
      <c r="M187" s="29" t="n">
        <f aca="false"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>0</v>
      </c>
      <c r="N187" s="28" t="n">
        <f aca="false">IF($L187="","",$L187-기준정보!$C$6-$M187)</f>
        <v>46343</v>
      </c>
      <c r="O187" s="30" t="n">
        <f aca="false">IF($N187="","",$N187-기준정보!$C$4)</f>
        <v>90</v>
      </c>
      <c r="P187" s="27"/>
      <c r="Q187" s="27" t="s">
        <v>100</v>
      </c>
      <c r="R187" s="27" t="s">
        <v>101</v>
      </c>
      <c r="S187" s="31"/>
      <c r="T187" s="26" t="str">
        <f aca="false">IF($H187="","",IF(AND(ISNUMBER(SEARCH("CMT",$H187)),OR(ISNUMBER(SEARCH("완사입",$H187)),ISNUMBER(SEARCH("ODM",$H187)))),"본사/생산처 혼재",IF(ISNUMBER(SEARCH("CMT",$H187)),"본사(소재팀)","생산처")))</f>
        <v>생산처</v>
      </c>
      <c r="U187" s="25" t="s">
        <v>109</v>
      </c>
      <c r="V187" s="25" t="s">
        <v>109</v>
      </c>
      <c r="W187" s="26"/>
      <c r="X187" s="25" t="s">
        <v>344</v>
      </c>
      <c r="Y187" s="35" t="s">
        <v>696</v>
      </c>
      <c r="Z187" s="32"/>
      <c r="AA187" s="28" t="n">
        <v>46196</v>
      </c>
      <c r="AB187" s="33" t="n">
        <v>1800</v>
      </c>
      <c r="AC187" s="33" t="n">
        <v>95065200</v>
      </c>
      <c r="AD187" s="33" t="n">
        <v>450000000</v>
      </c>
      <c r="AE187" s="26" t="s">
        <v>556</v>
      </c>
      <c r="AF187" s="26" t="str">
        <f aca="false"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>소재 입고일정 확인 필요</v>
      </c>
      <c r="AG187" s="24" t="str">
        <f aca="false">IF($K187="","",IF(OR(LEFT($AF187,2)="작지",LEFT($AF187,4)="소재입고"),IF(LEFT($G187,1)="S","★ 납기위험(S코드)","◆ 지연주의"),IF($AF187="정상","✓ 정상","? 확인필요")))</f>
        <v>? 확인필요</v>
      </c>
      <c r="AH187" s="27"/>
      <c r="AI187" s="34"/>
    </row>
    <row r="188" customFormat="false" ht="15" hidden="false" customHeight="false" outlineLevel="0" collapsed="false">
      <c r="A188" s="24" t="n">
        <v>184</v>
      </c>
      <c r="B188" s="25" t="s">
        <v>242</v>
      </c>
      <c r="C188" s="25" t="s">
        <v>243</v>
      </c>
      <c r="D188" s="26" t="s">
        <v>795</v>
      </c>
      <c r="E188" s="25" t="s">
        <v>796</v>
      </c>
      <c r="F188" s="26" t="s">
        <v>797</v>
      </c>
      <c r="G188" s="24" t="str">
        <f aca="false">IF($D188="","",IF(MID($D188,5,1)="S","S(봄)",IF(MID($D188,5,1)="M","M(여름)",IF(MID($D188,5,1)="X","X(사계절)",MID($D188,5,1)))))</f>
        <v>M(여름)</v>
      </c>
      <c r="H188" s="26" t="s">
        <v>255</v>
      </c>
      <c r="I188" s="24"/>
      <c r="J188" s="27" t="s">
        <v>556</v>
      </c>
      <c r="K188" s="28" t="n">
        <f aca="false">IF($J188="","",IFERROR(DATE(IF(VALUE(LEFT($J188,FIND("월",$J188)-1))&gt;=9,기준정보!$C$7-1,기준정보!$C$7),VALUE(LEFT($J188,FIND("월",$J188)-1)),1+7*(VALUE(SUBSTITUTE(MID($J188,FIND("월",$J188)+1,5),"주",""))-1)),""))</f>
        <v>46447</v>
      </c>
      <c r="L188" s="28" t="n">
        <f aca="false">IF($K188="","",IF(AND($K188-기준정보!$C$5&gt;=기준정보!$C$10,$K188-기준정보!$C$5&lt;=기준정보!$C$11),기준정보!$C$10-1,$K188-기준정보!$C$5))</f>
        <v>46433</v>
      </c>
      <c r="M188" s="29" t="n">
        <f aca="false"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>0</v>
      </c>
      <c r="N188" s="28" t="n">
        <f aca="false">IF($L188="","",$L188-기준정보!$C$6-$M188)</f>
        <v>46343</v>
      </c>
      <c r="O188" s="30" t="n">
        <f aca="false">IF($N188="","",$N188-기준정보!$C$4)</f>
        <v>90</v>
      </c>
      <c r="P188" s="27"/>
      <c r="Q188" s="27" t="s">
        <v>100</v>
      </c>
      <c r="R188" s="27" t="s">
        <v>101</v>
      </c>
      <c r="S188" s="31"/>
      <c r="T188" s="26" t="str">
        <f aca="false">IF($H188="","",IF(AND(ISNUMBER(SEARCH("CMT",$H188)),OR(ISNUMBER(SEARCH("완사입",$H188)),ISNUMBER(SEARCH("ODM",$H188)))),"본사/생산처 혼재",IF(ISNUMBER(SEARCH("CMT",$H188)),"본사(소재팀)","생산처")))</f>
        <v>본사(소재팀)</v>
      </c>
      <c r="U188" s="25" t="s">
        <v>109</v>
      </c>
      <c r="V188" s="26"/>
      <c r="W188" s="26"/>
      <c r="X188" s="26"/>
      <c r="Y188" s="32"/>
      <c r="Z188" s="32"/>
      <c r="AA188" s="28"/>
      <c r="AB188" s="33" t="n">
        <v>6500</v>
      </c>
      <c r="AC188" s="33" t="n">
        <v>292500000</v>
      </c>
      <c r="AD188" s="33" t="n">
        <v>1430000000</v>
      </c>
      <c r="AE188" s="26" t="s">
        <v>556</v>
      </c>
      <c r="AF188" s="26" t="str">
        <f aca="false"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>소재 입고일정 확인 필요</v>
      </c>
      <c r="AG188" s="24" t="str">
        <f aca="false">IF($K188="","",IF(OR(LEFT($AF188,2)="작지",LEFT($AF188,4)="소재입고"),IF(LEFT($G188,1)="S","★ 납기위험(S코드)","◆ 지연주의"),IF($AF188="정상","✓ 정상","? 확인필요")))</f>
        <v>? 확인필요</v>
      </c>
      <c r="AH188" s="27"/>
      <c r="AI188" s="34"/>
    </row>
    <row r="189" customFormat="false" ht="15" hidden="false" customHeight="false" outlineLevel="0" collapsed="false">
      <c r="A189" s="24" t="n">
        <v>185</v>
      </c>
      <c r="B189" s="25" t="s">
        <v>266</v>
      </c>
      <c r="C189" s="25" t="s">
        <v>243</v>
      </c>
      <c r="D189" s="26" t="s">
        <v>798</v>
      </c>
      <c r="E189" s="25" t="s">
        <v>799</v>
      </c>
      <c r="F189" s="26" t="s">
        <v>538</v>
      </c>
      <c r="G189" s="24" t="str">
        <f aca="false">IF($D189="","",IF(MID($D189,5,1)="S","S(봄)",IF(MID($D189,5,1)="M","M(여름)",IF(MID($D189,5,1)="X","X(사계절)",MID($D189,5,1)))))</f>
        <v>M(여름)</v>
      </c>
      <c r="H189" s="25" t="s">
        <v>97</v>
      </c>
      <c r="I189" s="24"/>
      <c r="J189" s="27" t="s">
        <v>556</v>
      </c>
      <c r="K189" s="28" t="n">
        <f aca="false">IF($J189="","",IFERROR(DATE(IF(VALUE(LEFT($J189,FIND("월",$J189)-1))&gt;=9,기준정보!$C$7-1,기준정보!$C$7),VALUE(LEFT($J189,FIND("월",$J189)-1)),1+7*(VALUE(SUBSTITUTE(MID($J189,FIND("월",$J189)+1,5),"주",""))-1)),""))</f>
        <v>46447</v>
      </c>
      <c r="L189" s="28" t="n">
        <f aca="false">IF($K189="","",IF(AND($K189-기준정보!$C$5&gt;=기준정보!$C$10,$K189-기준정보!$C$5&lt;=기준정보!$C$11),기준정보!$C$10-1,$K189-기준정보!$C$5))</f>
        <v>46433</v>
      </c>
      <c r="M189" s="29" t="n">
        <f aca="false"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>0</v>
      </c>
      <c r="N189" s="28" t="n">
        <f aca="false">IF($L189="","",$L189-기준정보!$C$6-$M189)</f>
        <v>46343</v>
      </c>
      <c r="O189" s="30" t="n">
        <f aca="false">IF($N189="","",$N189-기준정보!$C$4)</f>
        <v>90</v>
      </c>
      <c r="P189" s="27"/>
      <c r="Q189" s="27" t="s">
        <v>100</v>
      </c>
      <c r="R189" s="27" t="s">
        <v>101</v>
      </c>
      <c r="S189" s="31"/>
      <c r="T189" s="26" t="str">
        <f aca="false">IF($H189="","",IF(AND(ISNUMBER(SEARCH("CMT",$H189)),OR(ISNUMBER(SEARCH("완사입",$H189)),ISNUMBER(SEARCH("ODM",$H189)))),"본사/생산처 혼재",IF(ISNUMBER(SEARCH("CMT",$H189)),"본사(소재팀)","생산처")))</f>
        <v>생산처</v>
      </c>
      <c r="U189" s="25" t="s">
        <v>109</v>
      </c>
      <c r="V189" s="25" t="s">
        <v>109</v>
      </c>
      <c r="W189" s="25" t="s">
        <v>110</v>
      </c>
      <c r="X189" s="25" t="s">
        <v>344</v>
      </c>
      <c r="Y189" s="35" t="s">
        <v>696</v>
      </c>
      <c r="Z189" s="32"/>
      <c r="AA189" s="28" t="n">
        <v>46213</v>
      </c>
      <c r="AB189" s="33" t="n">
        <v>1600</v>
      </c>
      <c r="AC189" s="33" t="n">
        <v>92974400</v>
      </c>
      <c r="AD189" s="33" t="n">
        <v>432000000</v>
      </c>
      <c r="AE189" s="26"/>
      <c r="AF189" s="26" t="str">
        <f aca="false"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>소재 입고일정 확인 필요</v>
      </c>
      <c r="AG189" s="24" t="str">
        <f aca="false">IF($K189="","",IF(OR(LEFT($AF189,2)="작지",LEFT($AF189,4)="소재입고"),IF(LEFT($G189,1)="S","★ 납기위험(S코드)","◆ 지연주의"),IF($AF189="정상","✓ 정상","? 확인필요")))</f>
        <v>? 확인필요</v>
      </c>
      <c r="AH189" s="27"/>
      <c r="AI189" s="34"/>
    </row>
    <row r="190" customFormat="false" ht="15" hidden="false" customHeight="false" outlineLevel="0" collapsed="false">
      <c r="A190" s="24" t="n">
        <v>186</v>
      </c>
      <c r="B190" s="25" t="s">
        <v>250</v>
      </c>
      <c r="C190" s="25" t="s">
        <v>271</v>
      </c>
      <c r="D190" s="26" t="s">
        <v>800</v>
      </c>
      <c r="E190" s="25" t="s">
        <v>801</v>
      </c>
      <c r="F190" s="26" t="s">
        <v>351</v>
      </c>
      <c r="G190" s="24" t="str">
        <f aca="false">IF($D190="","",IF(MID($D190,5,1)="S","S(봄)",IF(MID($D190,5,1)="M","M(여름)",IF(MID($D190,5,1)="X","X(사계절)",MID($D190,5,1)))))</f>
        <v>M(여름)</v>
      </c>
      <c r="H190" s="25" t="s">
        <v>97</v>
      </c>
      <c r="I190" s="24"/>
      <c r="J190" s="27" t="s">
        <v>556</v>
      </c>
      <c r="K190" s="28" t="n">
        <f aca="false">IF($J190="","",IFERROR(DATE(IF(VALUE(LEFT($J190,FIND("월",$J190)-1))&gt;=9,기준정보!$C$7-1,기준정보!$C$7),VALUE(LEFT($J190,FIND("월",$J190)-1)),1+7*(VALUE(SUBSTITUTE(MID($J190,FIND("월",$J190)+1,5),"주",""))-1)),""))</f>
        <v>46447</v>
      </c>
      <c r="L190" s="28" t="n">
        <f aca="false">IF($K190="","",IF(AND($K190-기준정보!$C$5&gt;=기준정보!$C$10,$K190-기준정보!$C$5&lt;=기준정보!$C$11),기준정보!$C$10-1,$K190-기준정보!$C$5))</f>
        <v>46433</v>
      </c>
      <c r="M190" s="29" t="n">
        <f aca="false"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>0</v>
      </c>
      <c r="N190" s="28" t="n">
        <f aca="false">IF($L190="","",$L190-기준정보!$C$6-$M190)</f>
        <v>46343</v>
      </c>
      <c r="O190" s="30" t="n">
        <f aca="false">IF($N190="","",$N190-기준정보!$C$4)</f>
        <v>90</v>
      </c>
      <c r="P190" s="27"/>
      <c r="Q190" s="27" t="s">
        <v>100</v>
      </c>
      <c r="R190" s="27" t="s">
        <v>101</v>
      </c>
      <c r="S190" s="31"/>
      <c r="T190" s="26" t="str">
        <f aca="false">IF($H190="","",IF(AND(ISNUMBER(SEARCH("CMT",$H190)),OR(ISNUMBER(SEARCH("완사입",$H190)),ISNUMBER(SEARCH("ODM",$H190)))),"본사/생산처 혼재",IF(ISNUMBER(SEARCH("CMT",$H190)),"본사(소재팀)","생산처")))</f>
        <v>생산처</v>
      </c>
      <c r="U190" s="26" t="s">
        <v>235</v>
      </c>
      <c r="V190" s="26" t="s">
        <v>235</v>
      </c>
      <c r="W190" s="25" t="s">
        <v>110</v>
      </c>
      <c r="X190" s="25" t="s">
        <v>802</v>
      </c>
      <c r="Y190" s="35" t="s">
        <v>803</v>
      </c>
      <c r="Z190" s="32"/>
      <c r="AA190" s="28" t="n">
        <v>46195</v>
      </c>
      <c r="AB190" s="33" t="n">
        <v>4000</v>
      </c>
      <c r="AC190" s="33" t="n">
        <v>55224000</v>
      </c>
      <c r="AD190" s="33" t="n">
        <v>352000000</v>
      </c>
      <c r="AE190" s="26" t="s">
        <v>556</v>
      </c>
      <c r="AF190" s="26" t="str">
        <f aca="false"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>소재 입고일정 확인 필요</v>
      </c>
      <c r="AG190" s="24" t="str">
        <f aca="false">IF($K190="","",IF(OR(LEFT($AF190,2)="작지",LEFT($AF190,4)="소재입고"),IF(LEFT($G190,1)="S","★ 납기위험(S코드)","◆ 지연주의"),IF($AF190="정상","✓ 정상","? 확인필요")))</f>
        <v>? 확인필요</v>
      </c>
      <c r="AH190" s="27"/>
      <c r="AI190" s="34"/>
    </row>
    <row r="191" customFormat="false" ht="15" hidden="false" customHeight="false" outlineLevel="0" collapsed="false">
      <c r="A191" s="24" t="n">
        <v>187</v>
      </c>
      <c r="B191" s="25" t="s">
        <v>250</v>
      </c>
      <c r="C191" s="25" t="s">
        <v>251</v>
      </c>
      <c r="D191" s="26" t="s">
        <v>804</v>
      </c>
      <c r="E191" s="25" t="s">
        <v>801</v>
      </c>
      <c r="F191" s="26" t="s">
        <v>620</v>
      </c>
      <c r="G191" s="24" t="str">
        <f aca="false">IF($D191="","",IF(MID($D191,5,1)="S","S(봄)",IF(MID($D191,5,1)="M","M(여름)",IF(MID($D191,5,1)="X","X(사계절)",MID($D191,5,1)))))</f>
        <v>M(여름)</v>
      </c>
      <c r="H191" s="25" t="s">
        <v>97</v>
      </c>
      <c r="I191" s="24"/>
      <c r="J191" s="27" t="s">
        <v>556</v>
      </c>
      <c r="K191" s="28" t="n">
        <f aca="false">IF($J191="","",IFERROR(DATE(IF(VALUE(LEFT($J191,FIND("월",$J191)-1))&gt;=9,기준정보!$C$7-1,기준정보!$C$7),VALUE(LEFT($J191,FIND("월",$J191)-1)),1+7*(VALUE(SUBSTITUTE(MID($J191,FIND("월",$J191)+1,5),"주",""))-1)),""))</f>
        <v>46447</v>
      </c>
      <c r="L191" s="28" t="n">
        <f aca="false">IF($K191="","",IF(AND($K191-기준정보!$C$5&gt;=기준정보!$C$10,$K191-기준정보!$C$5&lt;=기준정보!$C$11),기준정보!$C$10-1,$K191-기준정보!$C$5))</f>
        <v>46433</v>
      </c>
      <c r="M191" s="29" t="n">
        <f aca="false"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>0</v>
      </c>
      <c r="N191" s="28" t="n">
        <f aca="false">IF($L191="","",$L191-기준정보!$C$6-$M191)</f>
        <v>46343</v>
      </c>
      <c r="O191" s="30" t="n">
        <f aca="false">IF($N191="","",$N191-기준정보!$C$4)</f>
        <v>90</v>
      </c>
      <c r="P191" s="27"/>
      <c r="Q191" s="27" t="s">
        <v>100</v>
      </c>
      <c r="R191" s="27" t="s">
        <v>100</v>
      </c>
      <c r="S191" s="31"/>
      <c r="T191" s="26" t="str">
        <f aca="false">IF($H191="","",IF(AND(ISNUMBER(SEARCH("CMT",$H191)),OR(ISNUMBER(SEARCH("완사입",$H191)),ISNUMBER(SEARCH("ODM",$H191)))),"본사/생산처 혼재",IF(ISNUMBER(SEARCH("CMT",$H191)),"본사(소재팀)","생산처")))</f>
        <v>생산처</v>
      </c>
      <c r="U191" s="26" t="s">
        <v>235</v>
      </c>
      <c r="V191" s="26" t="s">
        <v>235</v>
      </c>
      <c r="W191" s="25" t="s">
        <v>110</v>
      </c>
      <c r="X191" s="25" t="s">
        <v>802</v>
      </c>
      <c r="Y191" s="35" t="s">
        <v>803</v>
      </c>
      <c r="Z191" s="32"/>
      <c r="AA191" s="28" t="n">
        <v>46195</v>
      </c>
      <c r="AB191" s="33" t="n">
        <v>4000</v>
      </c>
      <c r="AC191" s="33" t="n">
        <v>46872000</v>
      </c>
      <c r="AD191" s="33" t="n">
        <v>312000000</v>
      </c>
      <c r="AE191" s="26" t="s">
        <v>556</v>
      </c>
      <c r="AF191" s="26" t="str">
        <f aca="false"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>소재 입고일정 확인 필요</v>
      </c>
      <c r="AG191" s="24" t="str">
        <f aca="false">IF($K191="","",IF(OR(LEFT($AF191,2)="작지",LEFT($AF191,4)="소재입고"),IF(LEFT($G191,1)="S","★ 납기위험(S코드)","◆ 지연주의"),IF($AF191="정상","✓ 정상","? 확인필요")))</f>
        <v>? 확인필요</v>
      </c>
      <c r="AH191" s="27"/>
      <c r="AI191" s="34"/>
    </row>
    <row r="192" customFormat="false" ht="15" hidden="false" customHeight="false" outlineLevel="0" collapsed="false">
      <c r="A192" s="24" t="n">
        <v>188</v>
      </c>
      <c r="B192" s="25" t="s">
        <v>250</v>
      </c>
      <c r="C192" s="25" t="s">
        <v>271</v>
      </c>
      <c r="D192" s="26" t="s">
        <v>805</v>
      </c>
      <c r="E192" s="25" t="s">
        <v>806</v>
      </c>
      <c r="F192" s="26" t="s">
        <v>807</v>
      </c>
      <c r="G192" s="24" t="str">
        <f aca="false">IF($D192="","",IF(MID($D192,5,1)="S","S(봄)",IF(MID($D192,5,1)="M","M(여름)",IF(MID($D192,5,1)="X","X(사계절)",MID($D192,5,1)))))</f>
        <v>M(여름)</v>
      </c>
      <c r="H192" s="25" t="s">
        <v>97</v>
      </c>
      <c r="I192" s="24"/>
      <c r="J192" s="27" t="s">
        <v>556</v>
      </c>
      <c r="K192" s="28" t="n">
        <f aca="false">IF($J192="","",IFERROR(DATE(IF(VALUE(LEFT($J192,FIND("월",$J192)-1))&gt;=9,기준정보!$C$7-1,기준정보!$C$7),VALUE(LEFT($J192,FIND("월",$J192)-1)),1+7*(VALUE(SUBSTITUTE(MID($J192,FIND("월",$J192)+1,5),"주",""))-1)),""))</f>
        <v>46447</v>
      </c>
      <c r="L192" s="28" t="n">
        <f aca="false">IF($K192="","",IF(AND($K192-기준정보!$C$5&gt;=기준정보!$C$10,$K192-기준정보!$C$5&lt;=기준정보!$C$11),기준정보!$C$10-1,$K192-기준정보!$C$5))</f>
        <v>46433</v>
      </c>
      <c r="M192" s="29" t="n">
        <f aca="false"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>15</v>
      </c>
      <c r="N192" s="28" t="n">
        <f aca="false">IF($L192="","",$L192-기준정보!$C$6-$M192)</f>
        <v>46328</v>
      </c>
      <c r="O192" s="30" t="n">
        <f aca="false">IF($N192="","",$N192-기준정보!$C$4)</f>
        <v>75</v>
      </c>
      <c r="P192" s="27"/>
      <c r="Q192" s="27" t="s">
        <v>100</v>
      </c>
      <c r="R192" s="27" t="s">
        <v>101</v>
      </c>
      <c r="S192" s="31"/>
      <c r="T192" s="26" t="str">
        <f aca="false">IF($H192="","",IF(AND(ISNUMBER(SEARCH("CMT",$H192)),OR(ISNUMBER(SEARCH("완사입",$H192)),ISNUMBER(SEARCH("ODM",$H192)))),"본사/생산처 혼재",IF(ISNUMBER(SEARCH("CMT",$H192)),"본사(소재팀)","생산처")))</f>
        <v>생산처</v>
      </c>
      <c r="U192" s="25" t="s">
        <v>135</v>
      </c>
      <c r="V192" s="25" t="s">
        <v>135</v>
      </c>
      <c r="W192" s="25" t="s">
        <v>103</v>
      </c>
      <c r="X192" s="26" t="s">
        <v>247</v>
      </c>
      <c r="Y192" s="32" t="s">
        <v>545</v>
      </c>
      <c r="Z192" s="32"/>
      <c r="AA192" s="28" t="n">
        <v>46230</v>
      </c>
      <c r="AB192" s="33" t="n">
        <v>3000</v>
      </c>
      <c r="AC192" s="33" t="n">
        <v>51627000</v>
      </c>
      <c r="AD192" s="33" t="n">
        <v>234000000</v>
      </c>
      <c r="AE192" s="26" t="s">
        <v>556</v>
      </c>
      <c r="AF192" s="26" t="str">
        <f aca="false"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>소재 입고일정 확인 필요</v>
      </c>
      <c r="AG192" s="24" t="str">
        <f aca="false">IF($K192="","",IF(OR(LEFT($AF192,2)="작지",LEFT($AF192,4)="소재입고"),IF(LEFT($G192,1)="S","★ 납기위험(S코드)","◆ 지연주의"),IF($AF192="정상","✓ 정상","? 확인필요")))</f>
        <v>? 확인필요</v>
      </c>
      <c r="AH192" s="27"/>
      <c r="AI192" s="34"/>
    </row>
    <row r="193" customFormat="false" ht="15" hidden="false" customHeight="false" outlineLevel="0" collapsed="false">
      <c r="A193" s="24" t="n">
        <v>189</v>
      </c>
      <c r="B193" s="25" t="s">
        <v>308</v>
      </c>
      <c r="C193" s="25" t="s">
        <v>309</v>
      </c>
      <c r="D193" s="26" t="s">
        <v>808</v>
      </c>
      <c r="E193" s="25" t="s">
        <v>809</v>
      </c>
      <c r="F193" s="26" t="s">
        <v>810</v>
      </c>
      <c r="G193" s="24" t="str">
        <f aca="false">IF($D193="","",IF(MID($D193,5,1)="S","S(봄)",IF(MID($D193,5,1)="M","M(여름)",IF(MID($D193,5,1)="X","X(사계절)",MID($D193,5,1)))))</f>
        <v>M(여름)</v>
      </c>
      <c r="H193" s="25" t="s">
        <v>97</v>
      </c>
      <c r="I193" s="24"/>
      <c r="J193" s="27" t="s">
        <v>556</v>
      </c>
      <c r="K193" s="28" t="n">
        <f aca="false">IF($J193="","",IFERROR(DATE(IF(VALUE(LEFT($J193,FIND("월",$J193)-1))&gt;=9,기준정보!$C$7-1,기준정보!$C$7),VALUE(LEFT($J193,FIND("월",$J193)-1)),1+7*(VALUE(SUBSTITUTE(MID($J193,FIND("월",$J193)+1,5),"주",""))-1)),""))</f>
        <v>46447</v>
      </c>
      <c r="L193" s="28" t="n">
        <f aca="false">IF($K193="","",IF(AND($K193-기준정보!$C$5&gt;=기준정보!$C$10,$K193-기준정보!$C$5&lt;=기준정보!$C$11),기준정보!$C$10-1,$K193-기준정보!$C$5))</f>
        <v>46433</v>
      </c>
      <c r="M193" s="29" t="n">
        <f aca="false"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>0</v>
      </c>
      <c r="N193" s="28" t="n">
        <f aca="false">IF($L193="","",$L193-기준정보!$C$6-$M193)</f>
        <v>46343</v>
      </c>
      <c r="O193" s="30" t="n">
        <f aca="false">IF($N193="","",$N193-기준정보!$C$4)</f>
        <v>90</v>
      </c>
      <c r="P193" s="27"/>
      <c r="Q193" s="27" t="s">
        <v>100</v>
      </c>
      <c r="R193" s="27" t="s">
        <v>101</v>
      </c>
      <c r="S193" s="31"/>
      <c r="T193" s="26" t="str">
        <f aca="false">IF($H193="","",IF(AND(ISNUMBER(SEARCH("CMT",$H193)),OR(ISNUMBER(SEARCH("완사입",$H193)),ISNUMBER(SEARCH("ODM",$H193)))),"본사/생산처 혼재",IF(ISNUMBER(SEARCH("CMT",$H193)),"본사(소재팀)","생산처")))</f>
        <v>생산처</v>
      </c>
      <c r="U193" s="25" t="s">
        <v>109</v>
      </c>
      <c r="V193" s="25" t="s">
        <v>109</v>
      </c>
      <c r="W193" s="25" t="s">
        <v>407</v>
      </c>
      <c r="X193" s="25" t="s">
        <v>344</v>
      </c>
      <c r="Y193" s="35" t="s">
        <v>811</v>
      </c>
      <c r="Z193" s="32"/>
      <c r="AA193" s="28" t="n">
        <v>46195</v>
      </c>
      <c r="AB193" s="33" t="n">
        <v>3200</v>
      </c>
      <c r="AC193" s="33" t="n">
        <v>158576000</v>
      </c>
      <c r="AD193" s="33" t="n">
        <v>740000000</v>
      </c>
      <c r="AE193" s="26" t="s">
        <v>556</v>
      </c>
      <c r="AF193" s="26" t="str">
        <f aca="false"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>소재 입고일정 확인 필요</v>
      </c>
      <c r="AG193" s="24" t="str">
        <f aca="false">IF($K193="","",IF(OR(LEFT($AF193,2)="작지",LEFT($AF193,4)="소재입고"),IF(LEFT($G193,1)="S","★ 납기위험(S코드)","◆ 지연주의"),IF($AF193="정상","✓ 정상","? 확인필요")))</f>
        <v>? 확인필요</v>
      </c>
      <c r="AH193" s="27"/>
      <c r="AI193" s="34"/>
    </row>
    <row r="194" customFormat="false" ht="15" hidden="false" customHeight="false" outlineLevel="0" collapsed="false">
      <c r="A194" s="24" t="n">
        <v>190</v>
      </c>
      <c r="B194" s="25" t="s">
        <v>270</v>
      </c>
      <c r="C194" s="25" t="s">
        <v>812</v>
      </c>
      <c r="D194" s="26" t="s">
        <v>813</v>
      </c>
      <c r="E194" s="25" t="s">
        <v>814</v>
      </c>
      <c r="F194" s="26" t="s">
        <v>815</v>
      </c>
      <c r="G194" s="24" t="str">
        <f aca="false">IF($D194="","",IF(MID($D194,5,1)="S","S(봄)",IF(MID($D194,5,1)="M","M(여름)",IF(MID($D194,5,1)="X","X(사계절)",MID($D194,5,1)))))</f>
        <v>M(여름)</v>
      </c>
      <c r="H194" s="25" t="s">
        <v>97</v>
      </c>
      <c r="I194" s="24" t="s">
        <v>738</v>
      </c>
      <c r="J194" s="27" t="s">
        <v>556</v>
      </c>
      <c r="K194" s="28" t="n">
        <f aca="false">IF($J194="","",IFERROR(DATE(IF(VALUE(LEFT($J194,FIND("월",$J194)-1))&gt;=9,기준정보!$C$7-1,기준정보!$C$7),VALUE(LEFT($J194,FIND("월",$J194)-1)),1+7*(VALUE(SUBSTITUTE(MID($J194,FIND("월",$J194)+1,5),"주",""))-1)),""))</f>
        <v>46447</v>
      </c>
      <c r="L194" s="28" t="n">
        <f aca="false">IF($K194="","",IF(AND($K194-기준정보!$C$5&gt;=기준정보!$C$10,$K194-기준정보!$C$5&lt;=기준정보!$C$11),기준정보!$C$10-1,$K194-기준정보!$C$5))</f>
        <v>46433</v>
      </c>
      <c r="M194" s="29" t="n">
        <f aca="false"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>15</v>
      </c>
      <c r="N194" s="28" t="n">
        <f aca="false">IF($L194="","",$L194-기준정보!$C$6-$M194)</f>
        <v>46328</v>
      </c>
      <c r="O194" s="30" t="n">
        <f aca="false">IF($N194="","",$N194-기준정보!$C$4)</f>
        <v>75</v>
      </c>
      <c r="P194" s="27"/>
      <c r="Q194" s="27" t="s">
        <v>100</v>
      </c>
      <c r="R194" s="27" t="s">
        <v>100</v>
      </c>
      <c r="S194" s="31"/>
      <c r="T194" s="26" t="str">
        <f aca="false">IF($H194="","",IF(AND(ISNUMBER(SEARCH("CMT",$H194)),OR(ISNUMBER(SEARCH("완사입",$H194)),ISNUMBER(SEARCH("ODM",$H194)))),"본사/생산처 혼재",IF(ISNUMBER(SEARCH("CMT",$H194)),"본사(소재팀)","생산처")))</f>
        <v>생산처</v>
      </c>
      <c r="U194" s="25" t="s">
        <v>102</v>
      </c>
      <c r="V194" s="25" t="s">
        <v>102</v>
      </c>
      <c r="W194" s="25" t="s">
        <v>103</v>
      </c>
      <c r="X194" s="26" t="s">
        <v>816</v>
      </c>
      <c r="Y194" s="32" t="s">
        <v>817</v>
      </c>
      <c r="Z194" s="32"/>
      <c r="AA194" s="28" t="n">
        <v>46163</v>
      </c>
      <c r="AB194" s="33" t="n">
        <v>250</v>
      </c>
      <c r="AC194" s="33" t="n">
        <v>26584750</v>
      </c>
      <c r="AD194" s="33" t="n">
        <v>97500000</v>
      </c>
      <c r="AE194" s="26"/>
      <c r="AF194" s="26" t="str">
        <f aca="false"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>소재 입고일정 확인 필요</v>
      </c>
      <c r="AG194" s="24" t="str">
        <f aca="false">IF($K194="","",IF(OR(LEFT($AF194,2)="작지",LEFT($AF194,4)="소재입고"),IF(LEFT($G194,1)="S","★ 납기위험(S코드)","◆ 지연주의"),IF($AF194="정상","✓ 정상","? 확인필요")))</f>
        <v>? 확인필요</v>
      </c>
      <c r="AH194" s="27"/>
      <c r="AI194" s="34"/>
    </row>
    <row r="195" customFormat="false" ht="15" hidden="false" customHeight="false" outlineLevel="0" collapsed="false">
      <c r="A195" s="24" t="n">
        <v>191</v>
      </c>
      <c r="B195" s="25" t="s">
        <v>270</v>
      </c>
      <c r="C195" s="25" t="s">
        <v>812</v>
      </c>
      <c r="D195" s="26" t="s">
        <v>818</v>
      </c>
      <c r="E195" s="25" t="s">
        <v>819</v>
      </c>
      <c r="F195" s="26" t="s">
        <v>820</v>
      </c>
      <c r="G195" s="24" t="str">
        <f aca="false">IF($D195="","",IF(MID($D195,5,1)="S","S(봄)",IF(MID($D195,5,1)="M","M(여름)",IF(MID($D195,5,1)="X","X(사계절)",MID($D195,5,1)))))</f>
        <v>M(여름)</v>
      </c>
      <c r="H195" s="25" t="s">
        <v>97</v>
      </c>
      <c r="I195" s="24" t="s">
        <v>738</v>
      </c>
      <c r="J195" s="27" t="s">
        <v>556</v>
      </c>
      <c r="K195" s="28" t="n">
        <f aca="false">IF($J195="","",IFERROR(DATE(IF(VALUE(LEFT($J195,FIND("월",$J195)-1))&gt;=9,기준정보!$C$7-1,기준정보!$C$7),VALUE(LEFT($J195,FIND("월",$J195)-1)),1+7*(VALUE(SUBSTITUTE(MID($J195,FIND("월",$J195)+1,5),"주",""))-1)),""))</f>
        <v>46447</v>
      </c>
      <c r="L195" s="28" t="n">
        <f aca="false">IF($K195="","",IF(AND($K195-기준정보!$C$5&gt;=기준정보!$C$10,$K195-기준정보!$C$5&lt;=기준정보!$C$11),기준정보!$C$10-1,$K195-기준정보!$C$5))</f>
        <v>46433</v>
      </c>
      <c r="M195" s="29" t="n">
        <f aca="false"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>15</v>
      </c>
      <c r="N195" s="28" t="n">
        <f aca="false">IF($L195="","",$L195-기준정보!$C$6-$M195)</f>
        <v>46328</v>
      </c>
      <c r="O195" s="30" t="n">
        <f aca="false">IF($N195="","",$N195-기준정보!$C$4)</f>
        <v>75</v>
      </c>
      <c r="P195" s="27"/>
      <c r="Q195" s="27" t="s">
        <v>100</v>
      </c>
      <c r="R195" s="27" t="s">
        <v>100</v>
      </c>
      <c r="S195" s="31"/>
      <c r="T195" s="26" t="str">
        <f aca="false">IF($H195="","",IF(AND(ISNUMBER(SEARCH("CMT",$H195)),OR(ISNUMBER(SEARCH("완사입",$H195)),ISNUMBER(SEARCH("ODM",$H195)))),"본사/생산처 혼재",IF(ISNUMBER(SEARCH("CMT",$H195)),"본사(소재팀)","생산처")))</f>
        <v>생산처</v>
      </c>
      <c r="U195" s="25" t="s">
        <v>102</v>
      </c>
      <c r="V195" s="25" t="s">
        <v>102</v>
      </c>
      <c r="W195" s="25" t="s">
        <v>103</v>
      </c>
      <c r="X195" s="25" t="s">
        <v>821</v>
      </c>
      <c r="Y195" s="35" t="s">
        <v>822</v>
      </c>
      <c r="Z195" s="32"/>
      <c r="AA195" s="28"/>
      <c r="AB195" s="33" t="n">
        <v>250</v>
      </c>
      <c r="AC195" s="33" t="n">
        <v>13647750</v>
      </c>
      <c r="AD195" s="33" t="n">
        <v>55000000</v>
      </c>
      <c r="AE195" s="26"/>
      <c r="AF195" s="26" t="str">
        <f aca="false"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>소재 입고일정 확인 필요</v>
      </c>
      <c r="AG195" s="24" t="str">
        <f aca="false">IF($K195="","",IF(OR(LEFT($AF195,2)="작지",LEFT($AF195,4)="소재입고"),IF(LEFT($G195,1)="S","★ 납기위험(S코드)","◆ 지연주의"),IF($AF195="정상","✓ 정상","? 확인필요")))</f>
        <v>? 확인필요</v>
      </c>
      <c r="AH195" s="27"/>
      <c r="AI195" s="34"/>
    </row>
    <row r="196" customFormat="false" ht="15" hidden="false" customHeight="false" outlineLevel="0" collapsed="false">
      <c r="A196" s="24" t="n">
        <v>192</v>
      </c>
      <c r="B196" s="25" t="s">
        <v>270</v>
      </c>
      <c r="C196" s="25" t="s">
        <v>118</v>
      </c>
      <c r="D196" s="26" t="s">
        <v>823</v>
      </c>
      <c r="E196" s="25" t="s">
        <v>824</v>
      </c>
      <c r="F196" s="26" t="s">
        <v>196</v>
      </c>
      <c r="G196" s="24" t="str">
        <f aca="false">IF($D196="","",IF(MID($D196,5,1)="S","S(봄)",IF(MID($D196,5,1)="M","M(여름)",IF(MID($D196,5,1)="X","X(사계절)",MID($D196,5,1)))))</f>
        <v>M(여름)</v>
      </c>
      <c r="H196" s="25" t="s">
        <v>97</v>
      </c>
      <c r="I196" s="24" t="s">
        <v>738</v>
      </c>
      <c r="J196" s="27" t="s">
        <v>556</v>
      </c>
      <c r="K196" s="28" t="n">
        <f aca="false">IF($J196="","",IFERROR(DATE(IF(VALUE(LEFT($J196,FIND("월",$J196)-1))&gt;=9,기준정보!$C$7-1,기준정보!$C$7),VALUE(LEFT($J196,FIND("월",$J196)-1)),1+7*(VALUE(SUBSTITUTE(MID($J196,FIND("월",$J196)+1,5),"주",""))-1)),""))</f>
        <v>46447</v>
      </c>
      <c r="L196" s="28" t="n">
        <f aca="false">IF($K196="","",IF(AND($K196-기준정보!$C$5&gt;=기준정보!$C$10,$K196-기준정보!$C$5&lt;=기준정보!$C$11),기준정보!$C$10-1,$K196-기준정보!$C$5))</f>
        <v>46433</v>
      </c>
      <c r="M196" s="29" t="n">
        <f aca="false"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>15</v>
      </c>
      <c r="N196" s="28" t="n">
        <f aca="false">IF($L196="","",$L196-기준정보!$C$6-$M196)</f>
        <v>46328</v>
      </c>
      <c r="O196" s="30" t="n">
        <f aca="false">IF($N196="","",$N196-기준정보!$C$4)</f>
        <v>75</v>
      </c>
      <c r="P196" s="27"/>
      <c r="Q196" s="27" t="s">
        <v>100</v>
      </c>
      <c r="R196" s="27" t="s">
        <v>100</v>
      </c>
      <c r="S196" s="31"/>
      <c r="T196" s="26" t="str">
        <f aca="false">IF($H196="","",IF(AND(ISNUMBER(SEARCH("CMT",$H196)),OR(ISNUMBER(SEARCH("완사입",$H196)),ISNUMBER(SEARCH("ODM",$H196)))),"본사/생산처 혼재",IF(ISNUMBER(SEARCH("CMT",$H196)),"본사(소재팀)","생산처")))</f>
        <v>생산처</v>
      </c>
      <c r="U196" s="26" t="s">
        <v>183</v>
      </c>
      <c r="V196" s="26" t="s">
        <v>183</v>
      </c>
      <c r="W196" s="25" t="s">
        <v>103</v>
      </c>
      <c r="X196" s="26" t="s">
        <v>825</v>
      </c>
      <c r="Y196" s="32" t="s">
        <v>826</v>
      </c>
      <c r="Z196" s="32"/>
      <c r="AA196" s="28" t="n">
        <v>46175</v>
      </c>
      <c r="AB196" s="33" t="n">
        <v>400</v>
      </c>
      <c r="AC196" s="33" t="n">
        <v>11000000</v>
      </c>
      <c r="AD196" s="33" t="n">
        <v>47200000</v>
      </c>
      <c r="AE196" s="26"/>
      <c r="AF196" s="26" t="str">
        <f aca="false"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>소재 입고일정 확인 필요</v>
      </c>
      <c r="AG196" s="24" t="str">
        <f aca="false">IF($K196="","",IF(OR(LEFT($AF196,2)="작지",LEFT($AF196,4)="소재입고"),IF(LEFT($G196,1)="S","★ 납기위험(S코드)","◆ 지연주의"),IF($AF196="정상","✓ 정상","? 확인필요")))</f>
        <v>? 확인필요</v>
      </c>
      <c r="AH196" s="27"/>
      <c r="AI196" s="34"/>
    </row>
    <row r="197" customFormat="false" ht="15" hidden="false" customHeight="false" outlineLevel="0" collapsed="false">
      <c r="A197" s="24" t="n">
        <v>193</v>
      </c>
      <c r="B197" s="25" t="s">
        <v>270</v>
      </c>
      <c r="C197" s="25" t="s">
        <v>118</v>
      </c>
      <c r="D197" s="26" t="s">
        <v>827</v>
      </c>
      <c r="E197" s="25" t="s">
        <v>828</v>
      </c>
      <c r="F197" s="26" t="s">
        <v>829</v>
      </c>
      <c r="G197" s="24" t="str">
        <f aca="false">IF($D197="","",IF(MID($D197,5,1)="S","S(봄)",IF(MID($D197,5,1)="M","M(여름)",IF(MID($D197,5,1)="X","X(사계절)",MID($D197,5,1)))))</f>
        <v>M(여름)</v>
      </c>
      <c r="H197" s="25" t="s">
        <v>97</v>
      </c>
      <c r="I197" s="24" t="s">
        <v>738</v>
      </c>
      <c r="J197" s="27" t="s">
        <v>556</v>
      </c>
      <c r="K197" s="28" t="n">
        <f aca="false">IF($J197="","",IFERROR(DATE(IF(VALUE(LEFT($J197,FIND("월",$J197)-1))&gt;=9,기준정보!$C$7-1,기준정보!$C$7),VALUE(LEFT($J197,FIND("월",$J197)-1)),1+7*(VALUE(SUBSTITUTE(MID($J197,FIND("월",$J197)+1,5),"주",""))-1)),""))</f>
        <v>46447</v>
      </c>
      <c r="L197" s="28" t="n">
        <f aca="false">IF($K197="","",IF(AND($K197-기준정보!$C$5&gt;=기준정보!$C$10,$K197-기준정보!$C$5&lt;=기준정보!$C$11),기준정보!$C$10-1,$K197-기준정보!$C$5))</f>
        <v>46433</v>
      </c>
      <c r="M197" s="29" t="n">
        <f aca="false"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>15</v>
      </c>
      <c r="N197" s="28" t="n">
        <f aca="false">IF($L197="","",$L197-기준정보!$C$6-$M197)</f>
        <v>46328</v>
      </c>
      <c r="O197" s="30" t="n">
        <f aca="false">IF($N197="","",$N197-기준정보!$C$4)</f>
        <v>75</v>
      </c>
      <c r="P197" s="27"/>
      <c r="Q197" s="27" t="s">
        <v>100</v>
      </c>
      <c r="R197" s="27" t="s">
        <v>101</v>
      </c>
      <c r="S197" s="31"/>
      <c r="T197" s="26" t="str">
        <f aca="false">IF($H197="","",IF(AND(ISNUMBER(SEARCH("CMT",$H197)),OR(ISNUMBER(SEARCH("완사입",$H197)),ISNUMBER(SEARCH("ODM",$H197)))),"본사/생산처 혼재",IF(ISNUMBER(SEARCH("CMT",$H197)),"본사(소재팀)","생산처")))</f>
        <v>생산처</v>
      </c>
      <c r="U197" s="26" t="s">
        <v>183</v>
      </c>
      <c r="V197" s="26" t="s">
        <v>183</v>
      </c>
      <c r="W197" s="25" t="s">
        <v>103</v>
      </c>
      <c r="X197" s="25" t="s">
        <v>830</v>
      </c>
      <c r="Y197" s="35" t="s">
        <v>822</v>
      </c>
      <c r="Z197" s="32"/>
      <c r="AA197" s="28" t="n">
        <v>46204</v>
      </c>
      <c r="AB197" s="33" t="n">
        <v>900</v>
      </c>
      <c r="AC197" s="33" t="n">
        <v>28644300</v>
      </c>
      <c r="AD197" s="33" t="n">
        <v>124200000</v>
      </c>
      <c r="AE197" s="26"/>
      <c r="AF197" s="26" t="str">
        <f aca="false"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>소재 입고일정 확인 필요</v>
      </c>
      <c r="AG197" s="24" t="str">
        <f aca="false">IF($K197="","",IF(OR(LEFT($AF197,2)="작지",LEFT($AF197,4)="소재입고"),IF(LEFT($G197,1)="S","★ 납기위험(S코드)","◆ 지연주의"),IF($AF197="정상","✓ 정상","? 확인필요")))</f>
        <v>? 확인필요</v>
      </c>
      <c r="AH197" s="27"/>
      <c r="AI197" s="34"/>
    </row>
    <row r="198" customFormat="false" ht="15" hidden="false" customHeight="false" outlineLevel="0" collapsed="false">
      <c r="A198" s="24" t="n">
        <v>194</v>
      </c>
      <c r="B198" s="25" t="s">
        <v>270</v>
      </c>
      <c r="C198" s="25" t="s">
        <v>118</v>
      </c>
      <c r="D198" s="26" t="s">
        <v>831</v>
      </c>
      <c r="E198" s="25" t="s">
        <v>832</v>
      </c>
      <c r="F198" s="26" t="s">
        <v>833</v>
      </c>
      <c r="G198" s="24" t="str">
        <f aca="false">IF($D198="","",IF(MID($D198,5,1)="S","S(봄)",IF(MID($D198,5,1)="M","M(여름)",IF(MID($D198,5,1)="X","X(사계절)",MID($D198,5,1)))))</f>
        <v>M(여름)</v>
      </c>
      <c r="H198" s="25" t="s">
        <v>97</v>
      </c>
      <c r="I198" s="24" t="s">
        <v>738</v>
      </c>
      <c r="J198" s="27" t="s">
        <v>556</v>
      </c>
      <c r="K198" s="28" t="n">
        <f aca="false">IF($J198="","",IFERROR(DATE(IF(VALUE(LEFT($J198,FIND("월",$J198)-1))&gt;=9,기준정보!$C$7-1,기준정보!$C$7),VALUE(LEFT($J198,FIND("월",$J198)-1)),1+7*(VALUE(SUBSTITUTE(MID($J198,FIND("월",$J198)+1,5),"주",""))-1)),""))</f>
        <v>46447</v>
      </c>
      <c r="L198" s="28" t="n">
        <f aca="false">IF($K198="","",IF(AND($K198-기준정보!$C$5&gt;=기준정보!$C$10,$K198-기준정보!$C$5&lt;=기준정보!$C$11),기준정보!$C$10-1,$K198-기준정보!$C$5))</f>
        <v>46433</v>
      </c>
      <c r="M198" s="29" t="n">
        <f aca="false"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>15</v>
      </c>
      <c r="N198" s="28" t="n">
        <f aca="false">IF($L198="","",$L198-기준정보!$C$6-$M198)</f>
        <v>46328</v>
      </c>
      <c r="O198" s="30" t="n">
        <f aca="false">IF($N198="","",$N198-기준정보!$C$4)</f>
        <v>75</v>
      </c>
      <c r="P198" s="27"/>
      <c r="Q198" s="27" t="s">
        <v>100</v>
      </c>
      <c r="R198" s="27" t="s">
        <v>100</v>
      </c>
      <c r="S198" s="31"/>
      <c r="T198" s="26" t="str">
        <f aca="false">IF($H198="","",IF(AND(ISNUMBER(SEARCH("CMT",$H198)),OR(ISNUMBER(SEARCH("완사입",$H198)),ISNUMBER(SEARCH("ODM",$H198)))),"본사/생산처 혼재",IF(ISNUMBER(SEARCH("CMT",$H198)),"본사(소재팀)","생산처")))</f>
        <v>생산처</v>
      </c>
      <c r="U198" s="26" t="s">
        <v>235</v>
      </c>
      <c r="V198" s="26" t="s">
        <v>235</v>
      </c>
      <c r="W198" s="25" t="s">
        <v>103</v>
      </c>
      <c r="X198" s="26" t="s">
        <v>834</v>
      </c>
      <c r="Y198" s="32" t="s">
        <v>835</v>
      </c>
      <c r="Z198" s="32"/>
      <c r="AA198" s="28" t="n">
        <v>46248</v>
      </c>
      <c r="AB198" s="33" t="n">
        <v>350</v>
      </c>
      <c r="AC198" s="33" t="n">
        <v>10039050</v>
      </c>
      <c r="AD198" s="33" t="n">
        <v>44800000</v>
      </c>
      <c r="AE198" s="26"/>
      <c r="AF198" s="26" t="str">
        <f aca="false"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>소재 입고일정 확인 필요</v>
      </c>
      <c r="AG198" s="24" t="str">
        <f aca="false">IF($K198="","",IF(OR(LEFT($AF198,2)="작지",LEFT($AF198,4)="소재입고"),IF(LEFT($G198,1)="S","★ 납기위험(S코드)","◆ 지연주의"),IF($AF198="정상","✓ 정상","? 확인필요")))</f>
        <v>? 확인필요</v>
      </c>
      <c r="AH198" s="27"/>
      <c r="AI198" s="34"/>
    </row>
    <row r="199" customFormat="false" ht="15" hidden="false" customHeight="false" outlineLevel="0" collapsed="false">
      <c r="A199" s="24" t="n">
        <v>195</v>
      </c>
      <c r="B199" s="25" t="s">
        <v>270</v>
      </c>
      <c r="C199" s="25" t="s">
        <v>118</v>
      </c>
      <c r="D199" s="26" t="s">
        <v>836</v>
      </c>
      <c r="E199" s="25" t="s">
        <v>837</v>
      </c>
      <c r="F199" s="26" t="s">
        <v>838</v>
      </c>
      <c r="G199" s="24" t="str">
        <f aca="false">IF($D199="","",IF(MID($D199,5,1)="S","S(봄)",IF(MID($D199,5,1)="M","M(여름)",IF(MID($D199,5,1)="X","X(사계절)",MID($D199,5,1)))))</f>
        <v>M(여름)</v>
      </c>
      <c r="H199" s="25" t="s">
        <v>97</v>
      </c>
      <c r="I199" s="24" t="s">
        <v>738</v>
      </c>
      <c r="J199" s="27" t="s">
        <v>556</v>
      </c>
      <c r="K199" s="28" t="n">
        <f aca="false">IF($J199="","",IFERROR(DATE(IF(VALUE(LEFT($J199,FIND("월",$J199)-1))&gt;=9,기준정보!$C$7-1,기준정보!$C$7),VALUE(LEFT($J199,FIND("월",$J199)-1)),1+7*(VALUE(SUBSTITUTE(MID($J199,FIND("월",$J199)+1,5),"주",""))-1)),""))</f>
        <v>46447</v>
      </c>
      <c r="L199" s="28" t="n">
        <f aca="false">IF($K199="","",IF(AND($K199-기준정보!$C$5&gt;=기준정보!$C$10,$K199-기준정보!$C$5&lt;=기준정보!$C$11),기준정보!$C$10-1,$K199-기준정보!$C$5))</f>
        <v>46433</v>
      </c>
      <c r="M199" s="29" t="n">
        <f aca="false"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>15</v>
      </c>
      <c r="N199" s="28" t="n">
        <f aca="false">IF($L199="","",$L199-기준정보!$C$6-$M199)</f>
        <v>46328</v>
      </c>
      <c r="O199" s="30" t="n">
        <f aca="false">IF($N199="","",$N199-기준정보!$C$4)</f>
        <v>75</v>
      </c>
      <c r="P199" s="27"/>
      <c r="Q199" s="27" t="s">
        <v>100</v>
      </c>
      <c r="R199" s="27" t="s">
        <v>101</v>
      </c>
      <c r="S199" s="31"/>
      <c r="T199" s="26" t="str">
        <f aca="false">IF($H199="","",IF(AND(ISNUMBER(SEARCH("CMT",$H199)),OR(ISNUMBER(SEARCH("완사입",$H199)),ISNUMBER(SEARCH("ODM",$H199)))),"본사/생산처 혼재",IF(ISNUMBER(SEARCH("CMT",$H199)),"본사(소재팀)","생산처")))</f>
        <v>생산처</v>
      </c>
      <c r="U199" s="25" t="s">
        <v>380</v>
      </c>
      <c r="V199" s="25" t="s">
        <v>380</v>
      </c>
      <c r="W199" s="25" t="s">
        <v>103</v>
      </c>
      <c r="X199" s="26" t="s">
        <v>839</v>
      </c>
      <c r="Y199" s="32" t="s">
        <v>840</v>
      </c>
      <c r="Z199" s="32"/>
      <c r="AA199" s="28" t="n">
        <v>46189</v>
      </c>
      <c r="AB199" s="33" t="n">
        <v>1870</v>
      </c>
      <c r="AC199" s="33" t="n">
        <v>45901020</v>
      </c>
      <c r="AD199" s="33" t="n">
        <v>183260000</v>
      </c>
      <c r="AE199" s="26"/>
      <c r="AF199" s="26" t="str">
        <f aca="false"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>소재 입고일정 확인 필요</v>
      </c>
      <c r="AG199" s="24" t="str">
        <f aca="false">IF($K199="","",IF(OR(LEFT($AF199,2)="작지",LEFT($AF199,4)="소재입고"),IF(LEFT($G199,1)="S","★ 납기위험(S코드)","◆ 지연주의"),IF($AF199="정상","✓ 정상","? 확인필요")))</f>
        <v>? 확인필요</v>
      </c>
      <c r="AH199" s="27"/>
      <c r="AI199" s="34"/>
    </row>
    <row r="200" customFormat="false" ht="15" hidden="false" customHeight="false" outlineLevel="0" collapsed="false">
      <c r="A200" s="24" t="n">
        <v>196</v>
      </c>
      <c r="B200" s="25" t="s">
        <v>270</v>
      </c>
      <c r="C200" s="25" t="s">
        <v>118</v>
      </c>
      <c r="D200" s="26" t="s">
        <v>841</v>
      </c>
      <c r="E200" s="25" t="s">
        <v>842</v>
      </c>
      <c r="F200" s="26" t="s">
        <v>843</v>
      </c>
      <c r="G200" s="24" t="str">
        <f aca="false">IF($D200="","",IF(MID($D200,5,1)="S","S(봄)",IF(MID($D200,5,1)="M","M(여름)",IF(MID($D200,5,1)="X","X(사계절)",MID($D200,5,1)))))</f>
        <v>M(여름)</v>
      </c>
      <c r="H200" s="25" t="s">
        <v>97</v>
      </c>
      <c r="I200" s="24" t="s">
        <v>738</v>
      </c>
      <c r="J200" s="27" t="s">
        <v>556</v>
      </c>
      <c r="K200" s="28" t="n">
        <f aca="false">IF($J200="","",IFERROR(DATE(IF(VALUE(LEFT($J200,FIND("월",$J200)-1))&gt;=9,기준정보!$C$7-1,기준정보!$C$7),VALUE(LEFT($J200,FIND("월",$J200)-1)),1+7*(VALUE(SUBSTITUTE(MID($J200,FIND("월",$J200)+1,5),"주",""))-1)),""))</f>
        <v>46447</v>
      </c>
      <c r="L200" s="28" t="n">
        <f aca="false">IF($K200="","",IF(AND($K200-기준정보!$C$5&gt;=기준정보!$C$10,$K200-기준정보!$C$5&lt;=기준정보!$C$11),기준정보!$C$10-1,$K200-기준정보!$C$5))</f>
        <v>46433</v>
      </c>
      <c r="M200" s="29" t="n">
        <f aca="false"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>15</v>
      </c>
      <c r="N200" s="28" t="n">
        <f aca="false">IF($L200="","",$L200-기준정보!$C$6-$M200)</f>
        <v>46328</v>
      </c>
      <c r="O200" s="30" t="n">
        <f aca="false">IF($N200="","",$N200-기준정보!$C$4)</f>
        <v>75</v>
      </c>
      <c r="P200" s="27"/>
      <c r="Q200" s="27" t="s">
        <v>100</v>
      </c>
      <c r="R200" s="27" t="s">
        <v>101</v>
      </c>
      <c r="S200" s="31"/>
      <c r="T200" s="26" t="str">
        <f aca="false">IF($H200="","",IF(AND(ISNUMBER(SEARCH("CMT",$H200)),OR(ISNUMBER(SEARCH("완사입",$H200)),ISNUMBER(SEARCH("ODM",$H200)))),"본사/생산처 혼재",IF(ISNUMBER(SEARCH("CMT",$H200)),"본사(소재팀)","생산처")))</f>
        <v>생산처</v>
      </c>
      <c r="U200" s="25" t="s">
        <v>380</v>
      </c>
      <c r="V200" s="25" t="s">
        <v>380</v>
      </c>
      <c r="W200" s="25" t="s">
        <v>103</v>
      </c>
      <c r="X200" s="25" t="s">
        <v>742</v>
      </c>
      <c r="Y200" s="35" t="s">
        <v>844</v>
      </c>
      <c r="Z200" s="32"/>
      <c r="AA200" s="28" t="n">
        <v>46170</v>
      </c>
      <c r="AB200" s="33" t="n">
        <v>500</v>
      </c>
      <c r="AC200" s="33" t="n">
        <v>16777000</v>
      </c>
      <c r="AD200" s="33" t="n">
        <v>59000000</v>
      </c>
      <c r="AE200" s="26"/>
      <c r="AF200" s="26" t="str">
        <f aca="false"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>소재 입고일정 확인 필요</v>
      </c>
      <c r="AG200" s="24" t="str">
        <f aca="false">IF($K200="","",IF(OR(LEFT($AF200,2)="작지",LEFT($AF200,4)="소재입고"),IF(LEFT($G200,1)="S","★ 납기위험(S코드)","◆ 지연주의"),IF($AF200="정상","✓ 정상","? 확인필요")))</f>
        <v>? 확인필요</v>
      </c>
      <c r="AH200" s="27"/>
      <c r="AI200" s="34"/>
    </row>
    <row r="201" customFormat="false" ht="15" hidden="false" customHeight="false" outlineLevel="0" collapsed="false">
      <c r="A201" s="24" t="n">
        <v>197</v>
      </c>
      <c r="B201" s="25" t="s">
        <v>270</v>
      </c>
      <c r="C201" s="25" t="s">
        <v>118</v>
      </c>
      <c r="D201" s="26" t="s">
        <v>845</v>
      </c>
      <c r="E201" s="25" t="s">
        <v>846</v>
      </c>
      <c r="F201" s="26" t="s">
        <v>196</v>
      </c>
      <c r="G201" s="24" t="str">
        <f aca="false">IF($D201="","",IF(MID($D201,5,1)="S","S(봄)",IF(MID($D201,5,1)="M","M(여름)",IF(MID($D201,5,1)="X","X(사계절)",MID($D201,5,1)))))</f>
        <v>M(여름)</v>
      </c>
      <c r="H201" s="25" t="s">
        <v>97</v>
      </c>
      <c r="I201" s="24" t="s">
        <v>738</v>
      </c>
      <c r="J201" s="27" t="s">
        <v>556</v>
      </c>
      <c r="K201" s="28" t="n">
        <f aca="false">IF($J201="","",IFERROR(DATE(IF(VALUE(LEFT($J201,FIND("월",$J201)-1))&gt;=9,기준정보!$C$7-1,기준정보!$C$7),VALUE(LEFT($J201,FIND("월",$J201)-1)),1+7*(VALUE(SUBSTITUTE(MID($J201,FIND("월",$J201)+1,5),"주",""))-1)),""))</f>
        <v>46447</v>
      </c>
      <c r="L201" s="28" t="n">
        <f aca="false">IF($K201="","",IF(AND($K201-기준정보!$C$5&gt;=기준정보!$C$10,$K201-기준정보!$C$5&lt;=기준정보!$C$11),기준정보!$C$10-1,$K201-기준정보!$C$5))</f>
        <v>46433</v>
      </c>
      <c r="M201" s="29" t="n">
        <f aca="false"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>15</v>
      </c>
      <c r="N201" s="28" t="n">
        <f aca="false">IF($L201="","",$L201-기준정보!$C$6-$M201)</f>
        <v>46328</v>
      </c>
      <c r="O201" s="30" t="n">
        <f aca="false">IF($N201="","",$N201-기준정보!$C$4)</f>
        <v>75</v>
      </c>
      <c r="P201" s="27"/>
      <c r="Q201" s="27" t="s">
        <v>100</v>
      </c>
      <c r="R201" s="27" t="s">
        <v>101</v>
      </c>
      <c r="S201" s="31"/>
      <c r="T201" s="26" t="str">
        <f aca="false">IF($H201="","",IF(AND(ISNUMBER(SEARCH("CMT",$H201)),OR(ISNUMBER(SEARCH("완사입",$H201)),ISNUMBER(SEARCH("ODM",$H201)))),"본사/생산처 혼재",IF(ISNUMBER(SEARCH("CMT",$H201)),"본사(소재팀)","생산처")))</f>
        <v>생산처</v>
      </c>
      <c r="U201" s="25" t="s">
        <v>380</v>
      </c>
      <c r="V201" s="25" t="s">
        <v>380</v>
      </c>
      <c r="W201" s="25" t="s">
        <v>103</v>
      </c>
      <c r="X201" s="26" t="s">
        <v>300</v>
      </c>
      <c r="Y201" s="32" t="s">
        <v>847</v>
      </c>
      <c r="Z201" s="32"/>
      <c r="AA201" s="28" t="n">
        <v>46240</v>
      </c>
      <c r="AB201" s="33" t="n">
        <v>900</v>
      </c>
      <c r="AC201" s="33" t="n">
        <v>22674600</v>
      </c>
      <c r="AD201" s="33" t="n">
        <v>88200000</v>
      </c>
      <c r="AE201" s="26"/>
      <c r="AF201" s="26" t="str">
        <f aca="false"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>소재 입고일정 확인 필요</v>
      </c>
      <c r="AG201" s="24" t="str">
        <f aca="false">IF($K201="","",IF(OR(LEFT($AF201,2)="작지",LEFT($AF201,4)="소재입고"),IF(LEFT($G201,1)="S","★ 납기위험(S코드)","◆ 지연주의"),IF($AF201="정상","✓ 정상","? 확인필요")))</f>
        <v>? 확인필요</v>
      </c>
      <c r="AH201" s="27"/>
      <c r="AI201" s="34"/>
    </row>
    <row r="202" customFormat="false" ht="15" hidden="false" customHeight="false" outlineLevel="0" collapsed="false">
      <c r="A202" s="24" t="n">
        <v>198</v>
      </c>
      <c r="B202" s="25" t="s">
        <v>270</v>
      </c>
      <c r="C202" s="25" t="s">
        <v>812</v>
      </c>
      <c r="D202" s="26" t="s">
        <v>848</v>
      </c>
      <c r="E202" s="25" t="s">
        <v>849</v>
      </c>
      <c r="F202" s="26" t="s">
        <v>850</v>
      </c>
      <c r="G202" s="24" t="str">
        <f aca="false">IF($D202="","",IF(MID($D202,5,1)="S","S(봄)",IF(MID($D202,5,1)="M","M(여름)",IF(MID($D202,5,1)="X","X(사계절)",MID($D202,5,1)))))</f>
        <v>M(여름)</v>
      </c>
      <c r="H202" s="25" t="s">
        <v>97</v>
      </c>
      <c r="I202" s="24" t="s">
        <v>738</v>
      </c>
      <c r="J202" s="27" t="s">
        <v>556</v>
      </c>
      <c r="K202" s="28" t="n">
        <f aca="false">IF($J202="","",IFERROR(DATE(IF(VALUE(LEFT($J202,FIND("월",$J202)-1))&gt;=9,기준정보!$C$7-1,기준정보!$C$7),VALUE(LEFT($J202,FIND("월",$J202)-1)),1+7*(VALUE(SUBSTITUTE(MID($J202,FIND("월",$J202)+1,5),"주",""))-1)),""))</f>
        <v>46447</v>
      </c>
      <c r="L202" s="28" t="n">
        <f aca="false">IF($K202="","",IF(AND($K202-기준정보!$C$5&gt;=기준정보!$C$10,$K202-기준정보!$C$5&lt;=기준정보!$C$11),기준정보!$C$10-1,$K202-기준정보!$C$5))</f>
        <v>46433</v>
      </c>
      <c r="M202" s="29" t="n">
        <f aca="false"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>15</v>
      </c>
      <c r="N202" s="28" t="n">
        <f aca="false">IF($L202="","",$L202-기준정보!$C$6-$M202)</f>
        <v>46328</v>
      </c>
      <c r="O202" s="30" t="n">
        <f aca="false">IF($N202="","",$N202-기준정보!$C$4)</f>
        <v>75</v>
      </c>
      <c r="P202" s="27"/>
      <c r="Q202" s="27" t="s">
        <v>100</v>
      </c>
      <c r="R202" s="27" t="s">
        <v>100</v>
      </c>
      <c r="S202" s="31"/>
      <c r="T202" s="26" t="str">
        <f aca="false">IF($H202="","",IF(AND(ISNUMBER(SEARCH("CMT",$H202)),OR(ISNUMBER(SEARCH("완사입",$H202)),ISNUMBER(SEARCH("ODM",$H202)))),"본사/생산처 혼재",IF(ISNUMBER(SEARCH("CMT",$H202)),"본사(소재팀)","생산처")))</f>
        <v>생산처</v>
      </c>
      <c r="U202" s="25" t="s">
        <v>102</v>
      </c>
      <c r="V202" s="25" t="s">
        <v>102</v>
      </c>
      <c r="W202" s="25" t="s">
        <v>103</v>
      </c>
      <c r="X202" s="26" t="s">
        <v>816</v>
      </c>
      <c r="Y202" s="32" t="s">
        <v>817</v>
      </c>
      <c r="Z202" s="32"/>
      <c r="AA202" s="28" t="n">
        <v>46195</v>
      </c>
      <c r="AB202" s="33" t="n">
        <v>300</v>
      </c>
      <c r="AC202" s="33" t="n">
        <v>31205400</v>
      </c>
      <c r="AD202" s="33" t="n">
        <v>117000000</v>
      </c>
      <c r="AE202" s="26"/>
      <c r="AF202" s="26" t="str">
        <f aca="false"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>소재 입고일정 확인 필요</v>
      </c>
      <c r="AG202" s="24" t="str">
        <f aca="false">IF($K202="","",IF(OR(LEFT($AF202,2)="작지",LEFT($AF202,4)="소재입고"),IF(LEFT($G202,1)="S","★ 납기위험(S코드)","◆ 지연주의"),IF($AF202="정상","✓ 정상","? 확인필요")))</f>
        <v>? 확인필요</v>
      </c>
      <c r="AH202" s="27"/>
      <c r="AI202" s="34"/>
    </row>
    <row r="203" customFormat="false" ht="15" hidden="false" customHeight="false" outlineLevel="0" collapsed="false">
      <c r="A203" s="24" t="n">
        <v>199</v>
      </c>
      <c r="B203" s="25" t="s">
        <v>270</v>
      </c>
      <c r="C203" s="25" t="s">
        <v>812</v>
      </c>
      <c r="D203" s="26" t="s">
        <v>851</v>
      </c>
      <c r="E203" s="25" t="s">
        <v>852</v>
      </c>
      <c r="F203" s="26" t="s">
        <v>820</v>
      </c>
      <c r="G203" s="24" t="str">
        <f aca="false">IF($D203="","",IF(MID($D203,5,1)="S","S(봄)",IF(MID($D203,5,1)="M","M(여름)",IF(MID($D203,5,1)="X","X(사계절)",MID($D203,5,1)))))</f>
        <v>M(여름)</v>
      </c>
      <c r="H203" s="25" t="s">
        <v>97</v>
      </c>
      <c r="I203" s="24" t="s">
        <v>738</v>
      </c>
      <c r="J203" s="27" t="s">
        <v>556</v>
      </c>
      <c r="K203" s="28" t="n">
        <f aca="false">IF($J203="","",IFERROR(DATE(IF(VALUE(LEFT($J203,FIND("월",$J203)-1))&gt;=9,기준정보!$C$7-1,기준정보!$C$7),VALUE(LEFT($J203,FIND("월",$J203)-1)),1+7*(VALUE(SUBSTITUTE(MID($J203,FIND("월",$J203)+1,5),"주",""))-1)),""))</f>
        <v>46447</v>
      </c>
      <c r="L203" s="28" t="n">
        <f aca="false">IF($K203="","",IF(AND($K203-기준정보!$C$5&gt;=기준정보!$C$10,$K203-기준정보!$C$5&lt;=기준정보!$C$11),기준정보!$C$10-1,$K203-기준정보!$C$5))</f>
        <v>46433</v>
      </c>
      <c r="M203" s="29" t="n">
        <f aca="false"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>15</v>
      </c>
      <c r="N203" s="28" t="n">
        <f aca="false">IF($L203="","",$L203-기준정보!$C$6-$M203)</f>
        <v>46328</v>
      </c>
      <c r="O203" s="30" t="n">
        <f aca="false">IF($N203="","",$N203-기준정보!$C$4)</f>
        <v>75</v>
      </c>
      <c r="P203" s="27"/>
      <c r="Q203" s="27" t="s">
        <v>100</v>
      </c>
      <c r="R203" s="27" t="s">
        <v>100</v>
      </c>
      <c r="S203" s="31"/>
      <c r="T203" s="26" t="str">
        <f aca="false">IF($H203="","",IF(AND(ISNUMBER(SEARCH("CMT",$H203)),OR(ISNUMBER(SEARCH("완사입",$H203)),ISNUMBER(SEARCH("ODM",$H203)))),"본사/생산처 혼재",IF(ISNUMBER(SEARCH("CMT",$H203)),"본사(소재팀)","생산처")))</f>
        <v>생산처</v>
      </c>
      <c r="U203" s="25" t="s">
        <v>102</v>
      </c>
      <c r="V203" s="25" t="s">
        <v>102</v>
      </c>
      <c r="W203" s="25" t="s">
        <v>103</v>
      </c>
      <c r="X203" s="25" t="s">
        <v>821</v>
      </c>
      <c r="Y203" s="35" t="s">
        <v>822</v>
      </c>
      <c r="Z203" s="32"/>
      <c r="AA203" s="28"/>
      <c r="AB203" s="33" t="n">
        <v>300</v>
      </c>
      <c r="AC203" s="33" t="n">
        <v>14763900</v>
      </c>
      <c r="AD203" s="33" t="n">
        <v>66000000</v>
      </c>
      <c r="AE203" s="26"/>
      <c r="AF203" s="26" t="str">
        <f aca="false"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>소재 입고일정 확인 필요</v>
      </c>
      <c r="AG203" s="24" t="str">
        <f aca="false">IF($K203="","",IF(OR(LEFT($AF203,2)="작지",LEFT($AF203,4)="소재입고"),IF(LEFT($G203,1)="S","★ 납기위험(S코드)","◆ 지연주의"),IF($AF203="정상","✓ 정상","? 확인필요")))</f>
        <v>? 확인필요</v>
      </c>
      <c r="AH203" s="27"/>
      <c r="AI203" s="34"/>
    </row>
    <row r="204" customFormat="false" ht="15" hidden="false" customHeight="false" outlineLevel="0" collapsed="false">
      <c r="A204" s="24" t="n">
        <v>200</v>
      </c>
      <c r="B204" s="25" t="s">
        <v>308</v>
      </c>
      <c r="C204" s="25" t="s">
        <v>320</v>
      </c>
      <c r="D204" s="26" t="s">
        <v>853</v>
      </c>
      <c r="E204" s="25" t="s">
        <v>854</v>
      </c>
      <c r="F204" s="26" t="s">
        <v>855</v>
      </c>
      <c r="G204" s="24" t="str">
        <f aca="false">IF($D204="","",IF(MID($D204,5,1)="S","S(봄)",IF(MID($D204,5,1)="M","M(여름)",IF(MID($D204,5,1)="X","X(사계절)",MID($D204,5,1)))))</f>
        <v>M(여름)</v>
      </c>
      <c r="H204" s="26" t="s">
        <v>255</v>
      </c>
      <c r="I204" s="24"/>
      <c r="J204" s="27" t="s">
        <v>556</v>
      </c>
      <c r="K204" s="28" t="n">
        <f aca="false">IF($J204="","",IFERROR(DATE(IF(VALUE(LEFT($J204,FIND("월",$J204)-1))&gt;=9,기준정보!$C$7-1,기준정보!$C$7),VALUE(LEFT($J204,FIND("월",$J204)-1)),1+7*(VALUE(SUBSTITUTE(MID($J204,FIND("월",$J204)+1,5),"주",""))-1)),""))</f>
        <v>46447</v>
      </c>
      <c r="L204" s="28" t="n">
        <f aca="false">IF($K204="","",IF(AND($K204-기준정보!$C$5&gt;=기준정보!$C$10,$K204-기준정보!$C$5&lt;=기준정보!$C$11),기준정보!$C$10-1,$K204-기준정보!$C$5))</f>
        <v>46433</v>
      </c>
      <c r="M204" s="29" t="n">
        <f aca="false"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>15</v>
      </c>
      <c r="N204" s="28" t="n">
        <f aca="false">IF($L204="","",$L204-기준정보!$C$6-$M204)</f>
        <v>46328</v>
      </c>
      <c r="O204" s="30" t="n">
        <f aca="false">IF($N204="","",$N204-기준정보!$C$4)</f>
        <v>75</v>
      </c>
      <c r="P204" s="27"/>
      <c r="Q204" s="27" t="s">
        <v>100</v>
      </c>
      <c r="R204" s="27" t="s">
        <v>100</v>
      </c>
      <c r="S204" s="31"/>
      <c r="T204" s="26" t="str">
        <f aca="false">IF($H204="","",IF(AND(ISNUMBER(SEARCH("CMT",$H204)),OR(ISNUMBER(SEARCH("완사입",$H204)),ISNUMBER(SEARCH("ODM",$H204)))),"본사/생산처 혼재",IF(ISNUMBER(SEARCH("CMT",$H204)),"본사(소재팀)","생산처")))</f>
        <v>본사(소재팀)</v>
      </c>
      <c r="U204" s="26" t="s">
        <v>183</v>
      </c>
      <c r="V204" s="26" t="s">
        <v>183</v>
      </c>
      <c r="W204" s="25" t="s">
        <v>103</v>
      </c>
      <c r="X204" s="25" t="s">
        <v>540</v>
      </c>
      <c r="Y204" s="35" t="s">
        <v>541</v>
      </c>
      <c r="Z204" s="32"/>
      <c r="AA204" s="28" t="n">
        <v>46248</v>
      </c>
      <c r="AB204" s="33" t="n">
        <v>5000</v>
      </c>
      <c r="AC204" s="33" t="n">
        <v>177260000</v>
      </c>
      <c r="AD204" s="33" t="n">
        <v>890000000</v>
      </c>
      <c r="AE204" s="26" t="s">
        <v>556</v>
      </c>
      <c r="AF204" s="26" t="str">
        <f aca="false"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>소재 입고일정 확인 필요</v>
      </c>
      <c r="AG204" s="24" t="str">
        <f aca="false">IF($K204="","",IF(OR(LEFT($AF204,2)="작지",LEFT($AF204,4)="소재입고"),IF(LEFT($G204,1)="S","★ 납기위험(S코드)","◆ 지연주의"),IF($AF204="정상","✓ 정상","? 확인필요")))</f>
        <v>? 확인필요</v>
      </c>
      <c r="AH204" s="27"/>
      <c r="AI204" s="34"/>
    </row>
    <row r="205" customFormat="false" ht="39.55" hidden="false" customHeight="false" outlineLevel="0" collapsed="false">
      <c r="A205" s="24" t="n">
        <v>201</v>
      </c>
      <c r="B205" s="25" t="s">
        <v>308</v>
      </c>
      <c r="C205" s="25" t="s">
        <v>320</v>
      </c>
      <c r="D205" s="26" t="s">
        <v>856</v>
      </c>
      <c r="E205" s="25" t="s">
        <v>857</v>
      </c>
      <c r="F205" s="26" t="s">
        <v>858</v>
      </c>
      <c r="G205" s="24" t="str">
        <f aca="false">IF($D205="","",IF(MID($D205,5,1)="S","S(봄)",IF(MID($D205,5,1)="M","M(여름)",IF(MID($D205,5,1)="X","X(사계절)",MID($D205,5,1)))))</f>
        <v>M(여름)</v>
      </c>
      <c r="H205" s="26" t="s">
        <v>255</v>
      </c>
      <c r="I205" s="24"/>
      <c r="J205" s="27" t="s">
        <v>556</v>
      </c>
      <c r="K205" s="28" t="n">
        <f aca="false">IF($J205="","",IFERROR(DATE(IF(VALUE(LEFT($J205,FIND("월",$J205)-1))&gt;=9,기준정보!$C$7-1,기준정보!$C$7),VALUE(LEFT($J205,FIND("월",$J205)-1)),1+7*(VALUE(SUBSTITUTE(MID($J205,FIND("월",$J205)+1,5),"주",""))-1)),""))</f>
        <v>46447</v>
      </c>
      <c r="L205" s="28" t="n">
        <f aca="false">IF($K205="","",IF(AND($K205-기준정보!$C$5&gt;=기준정보!$C$10,$K205-기준정보!$C$5&lt;=기준정보!$C$11),기준정보!$C$10-1,$K205-기준정보!$C$5))</f>
        <v>46433</v>
      </c>
      <c r="M205" s="29" t="n">
        <f aca="false"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>15</v>
      </c>
      <c r="N205" s="28" t="n">
        <f aca="false">IF($L205="","",$L205-기준정보!$C$6-$M205)</f>
        <v>46328</v>
      </c>
      <c r="O205" s="30" t="n">
        <f aca="false">IF($N205="","",$N205-기준정보!$C$4)</f>
        <v>75</v>
      </c>
      <c r="P205" s="27"/>
      <c r="Q205" s="27" t="s">
        <v>100</v>
      </c>
      <c r="R205" s="27" t="s">
        <v>100</v>
      </c>
      <c r="S205" s="31"/>
      <c r="T205" s="26" t="str">
        <f aca="false">IF($H205="","",IF(AND(ISNUMBER(SEARCH("CMT",$H205)),OR(ISNUMBER(SEARCH("완사입",$H205)),ISNUMBER(SEARCH("ODM",$H205)))),"본사/생산처 혼재",IF(ISNUMBER(SEARCH("CMT",$H205)),"본사(소재팀)","생산처")))</f>
        <v>본사(소재팀)</v>
      </c>
      <c r="U205" s="26" t="s">
        <v>183</v>
      </c>
      <c r="V205" s="26" t="s">
        <v>859</v>
      </c>
      <c r="W205" s="25" t="s">
        <v>103</v>
      </c>
      <c r="X205" s="25" t="s">
        <v>860</v>
      </c>
      <c r="Y205" s="35" t="s">
        <v>861</v>
      </c>
      <c r="Z205" s="32"/>
      <c r="AA205" s="28" t="n">
        <v>46232</v>
      </c>
      <c r="AB205" s="33" t="n">
        <v>3000</v>
      </c>
      <c r="AC205" s="33" t="n">
        <v>112215000</v>
      </c>
      <c r="AD205" s="33" t="n">
        <v>564000000</v>
      </c>
      <c r="AE205" s="26" t="s">
        <v>556</v>
      </c>
      <c r="AF205" s="26" t="str">
        <f aca="false"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>소재 입고일정 확인 필요</v>
      </c>
      <c r="AG205" s="24" t="str">
        <f aca="false">IF($K205="","",IF(OR(LEFT($AF205,2)="작지",LEFT($AF205,4)="소재입고"),IF(LEFT($G205,1)="S","★ 납기위험(S코드)","◆ 지연주의"),IF($AF205="정상","✓ 정상","? 확인필요")))</f>
        <v>? 확인필요</v>
      </c>
      <c r="AH205" s="27"/>
      <c r="AI205" s="34"/>
    </row>
    <row r="206" customFormat="false" ht="15" hidden="false" customHeight="false" outlineLevel="0" collapsed="false">
      <c r="A206" s="24" t="n">
        <v>202</v>
      </c>
      <c r="B206" s="25" t="s">
        <v>308</v>
      </c>
      <c r="C206" s="25" t="s">
        <v>320</v>
      </c>
      <c r="D206" s="26" t="s">
        <v>862</v>
      </c>
      <c r="E206" s="25" t="s">
        <v>863</v>
      </c>
      <c r="F206" s="26" t="s">
        <v>864</v>
      </c>
      <c r="G206" s="24" t="str">
        <f aca="false">IF($D206="","",IF(MID($D206,5,1)="S","S(봄)",IF(MID($D206,5,1)="M","M(여름)",IF(MID($D206,5,1)="X","X(사계절)",MID($D206,5,1)))))</f>
        <v>M(여름)</v>
      </c>
      <c r="H206" s="26" t="s">
        <v>255</v>
      </c>
      <c r="I206" s="24"/>
      <c r="J206" s="27" t="s">
        <v>556</v>
      </c>
      <c r="K206" s="28" t="n">
        <f aca="false">IF($J206="","",IFERROR(DATE(IF(VALUE(LEFT($J206,FIND("월",$J206)-1))&gt;=9,기준정보!$C$7-1,기준정보!$C$7),VALUE(LEFT($J206,FIND("월",$J206)-1)),1+7*(VALUE(SUBSTITUTE(MID($J206,FIND("월",$J206)+1,5),"주",""))-1)),""))</f>
        <v>46447</v>
      </c>
      <c r="L206" s="28" t="n">
        <f aca="false">IF($K206="","",IF(AND($K206-기준정보!$C$5&gt;=기준정보!$C$10,$K206-기준정보!$C$5&lt;=기준정보!$C$11),기준정보!$C$10-1,$K206-기준정보!$C$5))</f>
        <v>46433</v>
      </c>
      <c r="M206" s="29" t="n">
        <f aca="false"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>15</v>
      </c>
      <c r="N206" s="28" t="n">
        <f aca="false">IF($L206="","",$L206-기준정보!$C$6-$M206)</f>
        <v>46328</v>
      </c>
      <c r="O206" s="30" t="n">
        <f aca="false">IF($N206="","",$N206-기준정보!$C$4)</f>
        <v>75</v>
      </c>
      <c r="P206" s="27"/>
      <c r="Q206" s="27" t="s">
        <v>100</v>
      </c>
      <c r="R206" s="27" t="s">
        <v>101</v>
      </c>
      <c r="S206" s="31"/>
      <c r="T206" s="26" t="str">
        <f aca="false">IF($H206="","",IF(AND(ISNUMBER(SEARCH("CMT",$H206)),OR(ISNUMBER(SEARCH("완사입",$H206)),ISNUMBER(SEARCH("ODM",$H206)))),"본사/생산처 혼재",IF(ISNUMBER(SEARCH("CMT",$H206)),"본사(소재팀)","생산처")))</f>
        <v>본사(소재팀)</v>
      </c>
      <c r="U206" s="26" t="s">
        <v>280</v>
      </c>
      <c r="V206" s="26" t="s">
        <v>280</v>
      </c>
      <c r="W206" s="25" t="s">
        <v>103</v>
      </c>
      <c r="X206" s="25" t="s">
        <v>540</v>
      </c>
      <c r="Y206" s="35" t="s">
        <v>541</v>
      </c>
      <c r="Z206" s="32"/>
      <c r="AA206" s="28" t="n">
        <v>46248</v>
      </c>
      <c r="AB206" s="33" t="n">
        <v>3000</v>
      </c>
      <c r="AC206" s="33" t="n">
        <v>127404000</v>
      </c>
      <c r="AD206" s="33" t="n">
        <v>594000000</v>
      </c>
      <c r="AE206" s="26" t="s">
        <v>556</v>
      </c>
      <c r="AF206" s="26" t="str">
        <f aca="false"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>소재 입고일정 확인 필요</v>
      </c>
      <c r="AG206" s="24" t="str">
        <f aca="false">IF($K206="","",IF(OR(LEFT($AF206,2)="작지",LEFT($AF206,4)="소재입고"),IF(LEFT($G206,1)="S","★ 납기위험(S코드)","◆ 지연주의"),IF($AF206="정상","✓ 정상","? 확인필요")))</f>
        <v>? 확인필요</v>
      </c>
      <c r="AH206" s="27"/>
      <c r="AI206" s="34"/>
    </row>
    <row r="207" customFormat="false" ht="15" hidden="false" customHeight="false" outlineLevel="0" collapsed="false">
      <c r="A207" s="24" t="n">
        <v>203</v>
      </c>
      <c r="B207" s="25" t="s">
        <v>308</v>
      </c>
      <c r="C207" s="25" t="s">
        <v>320</v>
      </c>
      <c r="D207" s="26" t="s">
        <v>865</v>
      </c>
      <c r="E207" s="25" t="s">
        <v>866</v>
      </c>
      <c r="F207" s="26" t="s">
        <v>474</v>
      </c>
      <c r="G207" s="24" t="str">
        <f aca="false">IF($D207="","",IF(MID($D207,5,1)="S","S(봄)",IF(MID($D207,5,1)="M","M(여름)",IF(MID($D207,5,1)="X","X(사계절)",MID($D207,5,1)))))</f>
        <v>M(여름)</v>
      </c>
      <c r="H207" s="25" t="s">
        <v>97</v>
      </c>
      <c r="I207" s="24"/>
      <c r="J207" s="27" t="s">
        <v>556</v>
      </c>
      <c r="K207" s="28" t="n">
        <f aca="false">IF($J207="","",IFERROR(DATE(IF(VALUE(LEFT($J207,FIND("월",$J207)-1))&gt;=9,기준정보!$C$7-1,기준정보!$C$7),VALUE(LEFT($J207,FIND("월",$J207)-1)),1+7*(VALUE(SUBSTITUTE(MID($J207,FIND("월",$J207)+1,5),"주",""))-1)),""))</f>
        <v>46447</v>
      </c>
      <c r="L207" s="28" t="n">
        <f aca="false">IF($K207="","",IF(AND($K207-기준정보!$C$5&gt;=기준정보!$C$10,$K207-기준정보!$C$5&lt;=기준정보!$C$11),기준정보!$C$10-1,$K207-기준정보!$C$5))</f>
        <v>46433</v>
      </c>
      <c r="M207" s="29" t="n">
        <f aca="false"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>15</v>
      </c>
      <c r="N207" s="28" t="n">
        <f aca="false">IF($L207="","",$L207-기준정보!$C$6-$M207)</f>
        <v>46328</v>
      </c>
      <c r="O207" s="30" t="n">
        <f aca="false">IF($N207="","",$N207-기준정보!$C$4)</f>
        <v>75</v>
      </c>
      <c r="P207" s="27"/>
      <c r="Q207" s="27" t="s">
        <v>100</v>
      </c>
      <c r="R207" s="27" t="s">
        <v>100</v>
      </c>
      <c r="S207" s="31"/>
      <c r="T207" s="26" t="str">
        <f aca="false">IF($H207="","",IF(AND(ISNUMBER(SEARCH("CMT",$H207)),OR(ISNUMBER(SEARCH("완사입",$H207)),ISNUMBER(SEARCH("ODM",$H207)))),"본사/생산처 혼재",IF(ISNUMBER(SEARCH("CMT",$H207)),"본사(소재팀)","생산처")))</f>
        <v>생산처</v>
      </c>
      <c r="U207" s="25" t="s">
        <v>475</v>
      </c>
      <c r="V207" s="26"/>
      <c r="W207" s="25" t="s">
        <v>103</v>
      </c>
      <c r="X207" s="26"/>
      <c r="Y207" s="32"/>
      <c r="Z207" s="32"/>
      <c r="AA207" s="28"/>
      <c r="AB207" s="33" t="n">
        <v>1200</v>
      </c>
      <c r="AC207" s="33" t="n">
        <v>36000000</v>
      </c>
      <c r="AD207" s="33" t="n">
        <v>213600000</v>
      </c>
      <c r="AE207" s="26" t="s">
        <v>556</v>
      </c>
      <c r="AF207" s="26" t="str">
        <f aca="false"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>소재 입고일정 확인 필요</v>
      </c>
      <c r="AG207" s="24" t="str">
        <f aca="false">IF($K207="","",IF(OR(LEFT($AF207,2)="작지",LEFT($AF207,4)="소재입고"),IF(LEFT($G207,1)="S","★ 납기위험(S코드)","◆ 지연주의"),IF($AF207="정상","✓ 정상","? 확인필요")))</f>
        <v>? 확인필요</v>
      </c>
      <c r="AH207" s="27"/>
      <c r="AI207" s="34"/>
    </row>
    <row r="208" customFormat="false" ht="15" hidden="false" customHeight="false" outlineLevel="0" collapsed="false">
      <c r="A208" s="24" t="n">
        <v>204</v>
      </c>
      <c r="B208" s="25" t="s">
        <v>270</v>
      </c>
      <c r="C208" s="25" t="s">
        <v>118</v>
      </c>
      <c r="D208" s="26" t="s">
        <v>867</v>
      </c>
      <c r="E208" s="25" t="s">
        <v>868</v>
      </c>
      <c r="F208" s="26" t="s">
        <v>196</v>
      </c>
      <c r="G208" s="24" t="str">
        <f aca="false">IF($D208="","",IF(MID($D208,5,1)="S","S(봄)",IF(MID($D208,5,1)="M","M(여름)",IF(MID($D208,5,1)="X","X(사계절)",MID($D208,5,1)))))</f>
        <v>M(여름)</v>
      </c>
      <c r="H208" s="25" t="s">
        <v>97</v>
      </c>
      <c r="I208" s="24" t="s">
        <v>738</v>
      </c>
      <c r="J208" s="27" t="s">
        <v>556</v>
      </c>
      <c r="K208" s="28" t="n">
        <f aca="false">IF($J208="","",IFERROR(DATE(IF(VALUE(LEFT($J208,FIND("월",$J208)-1))&gt;=9,기준정보!$C$7-1,기준정보!$C$7),VALUE(LEFT($J208,FIND("월",$J208)-1)),1+7*(VALUE(SUBSTITUTE(MID($J208,FIND("월",$J208)+1,5),"주",""))-1)),""))</f>
        <v>46447</v>
      </c>
      <c r="L208" s="28" t="n">
        <f aca="false">IF($K208="","",IF(AND($K208-기준정보!$C$5&gt;=기준정보!$C$10,$K208-기준정보!$C$5&lt;=기준정보!$C$11),기준정보!$C$10-1,$K208-기준정보!$C$5))</f>
        <v>46433</v>
      </c>
      <c r="M208" s="29" t="n">
        <f aca="false"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>15</v>
      </c>
      <c r="N208" s="28" t="n">
        <f aca="false">IF($L208="","",$L208-기준정보!$C$6-$M208)</f>
        <v>46328</v>
      </c>
      <c r="O208" s="30" t="n">
        <f aca="false">IF($N208="","",$N208-기준정보!$C$4)</f>
        <v>75</v>
      </c>
      <c r="P208" s="27"/>
      <c r="Q208" s="27" t="s">
        <v>100</v>
      </c>
      <c r="R208" s="27" t="s">
        <v>101</v>
      </c>
      <c r="S208" s="31"/>
      <c r="T208" s="26" t="str">
        <f aca="false">IF($H208="","",IF(AND(ISNUMBER(SEARCH("CMT",$H208)),OR(ISNUMBER(SEARCH("완사입",$H208)),ISNUMBER(SEARCH("ODM",$H208)))),"본사/생산처 혼재",IF(ISNUMBER(SEARCH("CMT",$H208)),"본사(소재팀)","생산처")))</f>
        <v>생산처</v>
      </c>
      <c r="U208" s="26" t="s">
        <v>183</v>
      </c>
      <c r="V208" s="26" t="s">
        <v>183</v>
      </c>
      <c r="W208" s="25" t="s">
        <v>103</v>
      </c>
      <c r="X208" s="26" t="s">
        <v>825</v>
      </c>
      <c r="Y208" s="32" t="s">
        <v>826</v>
      </c>
      <c r="Z208" s="32"/>
      <c r="AA208" s="28" t="n">
        <v>46175</v>
      </c>
      <c r="AB208" s="33" t="n">
        <v>500</v>
      </c>
      <c r="AC208" s="33" t="n">
        <v>13550000</v>
      </c>
      <c r="AD208" s="33" t="n">
        <v>59000000</v>
      </c>
      <c r="AE208" s="26"/>
      <c r="AF208" s="26" t="str">
        <f aca="false"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>소재 입고일정 확인 필요</v>
      </c>
      <c r="AG208" s="24" t="str">
        <f aca="false">IF($K208="","",IF(OR(LEFT($AF208,2)="작지",LEFT($AF208,4)="소재입고"),IF(LEFT($G208,1)="S","★ 납기위험(S코드)","◆ 지연주의"),IF($AF208="정상","✓ 정상","? 확인필요")))</f>
        <v>? 확인필요</v>
      </c>
      <c r="AH208" s="27"/>
      <c r="AI208" s="34"/>
    </row>
    <row r="209" customFormat="false" ht="15" hidden="false" customHeight="false" outlineLevel="0" collapsed="false">
      <c r="A209" s="24" t="n">
        <v>205</v>
      </c>
      <c r="B209" s="25" t="s">
        <v>270</v>
      </c>
      <c r="C209" s="25" t="s">
        <v>118</v>
      </c>
      <c r="D209" s="26" t="s">
        <v>869</v>
      </c>
      <c r="E209" s="25" t="s">
        <v>870</v>
      </c>
      <c r="F209" s="26" t="s">
        <v>833</v>
      </c>
      <c r="G209" s="24" t="str">
        <f aca="false">IF($D209="","",IF(MID($D209,5,1)="S","S(봄)",IF(MID($D209,5,1)="M","M(여름)",IF(MID($D209,5,1)="X","X(사계절)",MID($D209,5,1)))))</f>
        <v>M(여름)</v>
      </c>
      <c r="H209" s="25" t="s">
        <v>97</v>
      </c>
      <c r="I209" s="24" t="s">
        <v>738</v>
      </c>
      <c r="J209" s="27" t="s">
        <v>556</v>
      </c>
      <c r="K209" s="28" t="n">
        <f aca="false">IF($J209="","",IFERROR(DATE(IF(VALUE(LEFT($J209,FIND("월",$J209)-1))&gt;=9,기준정보!$C$7-1,기준정보!$C$7),VALUE(LEFT($J209,FIND("월",$J209)-1)),1+7*(VALUE(SUBSTITUTE(MID($J209,FIND("월",$J209)+1,5),"주",""))-1)),""))</f>
        <v>46447</v>
      </c>
      <c r="L209" s="28" t="n">
        <f aca="false">IF($K209="","",IF(AND($K209-기준정보!$C$5&gt;=기준정보!$C$10,$K209-기준정보!$C$5&lt;=기준정보!$C$11),기준정보!$C$10-1,$K209-기준정보!$C$5))</f>
        <v>46433</v>
      </c>
      <c r="M209" s="29" t="n">
        <f aca="false"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>15</v>
      </c>
      <c r="N209" s="28" t="n">
        <f aca="false">IF($L209="","",$L209-기준정보!$C$6-$M209)</f>
        <v>46328</v>
      </c>
      <c r="O209" s="30" t="n">
        <f aca="false">IF($N209="","",$N209-기준정보!$C$4)</f>
        <v>75</v>
      </c>
      <c r="P209" s="27"/>
      <c r="Q209" s="27" t="s">
        <v>100</v>
      </c>
      <c r="R209" s="27" t="s">
        <v>101</v>
      </c>
      <c r="S209" s="31"/>
      <c r="T209" s="26" t="str">
        <f aca="false">IF($H209="","",IF(AND(ISNUMBER(SEARCH("CMT",$H209)),OR(ISNUMBER(SEARCH("완사입",$H209)),ISNUMBER(SEARCH("ODM",$H209)))),"본사/생산처 혼재",IF(ISNUMBER(SEARCH("CMT",$H209)),"본사(소재팀)","생산처")))</f>
        <v>생산처</v>
      </c>
      <c r="U209" s="26" t="s">
        <v>183</v>
      </c>
      <c r="V209" s="26" t="s">
        <v>183</v>
      </c>
      <c r="W209" s="25" t="s">
        <v>103</v>
      </c>
      <c r="X209" s="25" t="s">
        <v>830</v>
      </c>
      <c r="Y209" s="35" t="s">
        <v>822</v>
      </c>
      <c r="Z209" s="32"/>
      <c r="AA209" s="28" t="n">
        <v>46204</v>
      </c>
      <c r="AB209" s="33" t="n">
        <v>500</v>
      </c>
      <c r="AC209" s="33" t="n">
        <v>18200000</v>
      </c>
      <c r="AD209" s="33" t="n">
        <v>69000000</v>
      </c>
      <c r="AE209" s="26"/>
      <c r="AF209" s="26" t="str">
        <f aca="false"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>소재 입고일정 확인 필요</v>
      </c>
      <c r="AG209" s="24" t="str">
        <f aca="false">IF($K209="","",IF(OR(LEFT($AF209,2)="작지",LEFT($AF209,4)="소재입고"),IF(LEFT($G209,1)="S","★ 납기위험(S코드)","◆ 지연주의"),IF($AF209="정상","✓ 정상","? 확인필요")))</f>
        <v>? 확인필요</v>
      </c>
      <c r="AH209" s="27"/>
      <c r="AI209" s="34"/>
    </row>
    <row r="210" customFormat="false" ht="15" hidden="false" customHeight="false" outlineLevel="0" collapsed="false">
      <c r="A210" s="24" t="n">
        <v>206</v>
      </c>
      <c r="B210" s="25" t="s">
        <v>270</v>
      </c>
      <c r="C210" s="25" t="s">
        <v>118</v>
      </c>
      <c r="D210" s="26" t="s">
        <v>871</v>
      </c>
      <c r="E210" s="25" t="s">
        <v>872</v>
      </c>
      <c r="F210" s="26" t="s">
        <v>833</v>
      </c>
      <c r="G210" s="24" t="str">
        <f aca="false">IF($D210="","",IF(MID($D210,5,1)="S","S(봄)",IF(MID($D210,5,1)="M","M(여름)",IF(MID($D210,5,1)="X","X(사계절)",MID($D210,5,1)))))</f>
        <v>M(여름)</v>
      </c>
      <c r="H210" s="25" t="s">
        <v>97</v>
      </c>
      <c r="I210" s="24" t="s">
        <v>738</v>
      </c>
      <c r="J210" s="27" t="s">
        <v>556</v>
      </c>
      <c r="K210" s="28" t="n">
        <f aca="false">IF($J210="","",IFERROR(DATE(IF(VALUE(LEFT($J210,FIND("월",$J210)-1))&gt;=9,기준정보!$C$7-1,기준정보!$C$7),VALUE(LEFT($J210,FIND("월",$J210)-1)),1+7*(VALUE(SUBSTITUTE(MID($J210,FIND("월",$J210)+1,5),"주",""))-1)),""))</f>
        <v>46447</v>
      </c>
      <c r="L210" s="28" t="n">
        <f aca="false">IF($K210="","",IF(AND($K210-기준정보!$C$5&gt;=기준정보!$C$10,$K210-기준정보!$C$5&lt;=기준정보!$C$11),기준정보!$C$10-1,$K210-기준정보!$C$5))</f>
        <v>46433</v>
      </c>
      <c r="M210" s="29" t="n">
        <f aca="false"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>15</v>
      </c>
      <c r="N210" s="28" t="n">
        <f aca="false">IF($L210="","",$L210-기준정보!$C$6-$M210)</f>
        <v>46328</v>
      </c>
      <c r="O210" s="30" t="n">
        <f aca="false">IF($N210="","",$N210-기준정보!$C$4)</f>
        <v>75</v>
      </c>
      <c r="P210" s="27"/>
      <c r="Q210" s="27" t="s">
        <v>100</v>
      </c>
      <c r="R210" s="27" t="s">
        <v>100</v>
      </c>
      <c r="S210" s="31"/>
      <c r="T210" s="26" t="str">
        <f aca="false">IF($H210="","",IF(AND(ISNUMBER(SEARCH("CMT",$H210)),OR(ISNUMBER(SEARCH("완사입",$H210)),ISNUMBER(SEARCH("ODM",$H210)))),"본사/생산처 혼재",IF(ISNUMBER(SEARCH("CMT",$H210)),"본사(소재팀)","생산처")))</f>
        <v>생산처</v>
      </c>
      <c r="U210" s="26" t="s">
        <v>235</v>
      </c>
      <c r="V210" s="26" t="s">
        <v>235</v>
      </c>
      <c r="W210" s="25" t="s">
        <v>103</v>
      </c>
      <c r="X210" s="26" t="s">
        <v>834</v>
      </c>
      <c r="Y210" s="32" t="s">
        <v>835</v>
      </c>
      <c r="Z210" s="32"/>
      <c r="AA210" s="28" t="n">
        <v>46248</v>
      </c>
      <c r="AB210" s="33" t="n">
        <v>250</v>
      </c>
      <c r="AC210" s="33" t="n">
        <v>6420750</v>
      </c>
      <c r="AD210" s="33" t="n">
        <v>29500000</v>
      </c>
      <c r="AE210" s="26"/>
      <c r="AF210" s="26" t="str">
        <f aca="false"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>소재 입고일정 확인 필요</v>
      </c>
      <c r="AG210" s="24" t="str">
        <f aca="false">IF($K210="","",IF(OR(LEFT($AF210,2)="작지",LEFT($AF210,4)="소재입고"),IF(LEFT($G210,1)="S","★ 납기위험(S코드)","◆ 지연주의"),IF($AF210="정상","✓ 정상","? 확인필요")))</f>
        <v>? 확인필요</v>
      </c>
      <c r="AH210" s="27"/>
      <c r="AI210" s="34"/>
    </row>
    <row r="211" customFormat="false" ht="15" hidden="false" customHeight="false" outlineLevel="0" collapsed="false">
      <c r="A211" s="24" t="n">
        <v>207</v>
      </c>
      <c r="B211" s="25" t="s">
        <v>155</v>
      </c>
      <c r="C211" s="25" t="s">
        <v>320</v>
      </c>
      <c r="D211" s="26" t="s">
        <v>873</v>
      </c>
      <c r="E211" s="25" t="s">
        <v>874</v>
      </c>
      <c r="F211" s="26" t="s">
        <v>875</v>
      </c>
      <c r="G211" s="24" t="str">
        <f aca="false">IF($D211="","",IF(MID($D211,5,1)="S","S(봄)",IF(MID($D211,5,1)="M","M(여름)",IF(MID($D211,5,1)="X","X(사계절)",MID($D211,5,1)))))</f>
        <v>M(여름)</v>
      </c>
      <c r="H211" s="25" t="s">
        <v>97</v>
      </c>
      <c r="I211" s="24"/>
      <c r="J211" s="27" t="s">
        <v>556</v>
      </c>
      <c r="K211" s="28" t="n">
        <f aca="false">IF($J211="","",IFERROR(DATE(IF(VALUE(LEFT($J211,FIND("월",$J211)-1))&gt;=9,기준정보!$C$7-1,기준정보!$C$7),VALUE(LEFT($J211,FIND("월",$J211)-1)),1+7*(VALUE(SUBSTITUTE(MID($J211,FIND("월",$J211)+1,5),"주",""))-1)),""))</f>
        <v>46447</v>
      </c>
      <c r="L211" s="28" t="n">
        <f aca="false">IF($K211="","",IF(AND($K211-기준정보!$C$5&gt;=기준정보!$C$10,$K211-기준정보!$C$5&lt;=기준정보!$C$11),기준정보!$C$10-1,$K211-기준정보!$C$5))</f>
        <v>46433</v>
      </c>
      <c r="M211" s="29" t="n">
        <f aca="false"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>15</v>
      </c>
      <c r="N211" s="28" t="n">
        <f aca="false">IF($L211="","",$L211-기준정보!$C$6-$M211)</f>
        <v>46328</v>
      </c>
      <c r="O211" s="30" t="n">
        <f aca="false">IF($N211="","",$N211-기준정보!$C$4)</f>
        <v>75</v>
      </c>
      <c r="P211" s="27"/>
      <c r="Q211" s="27" t="s">
        <v>100</v>
      </c>
      <c r="R211" s="27" t="s">
        <v>100</v>
      </c>
      <c r="S211" s="31"/>
      <c r="T211" s="26" t="str">
        <f aca="false">IF($H211="","",IF(AND(ISNUMBER(SEARCH("CMT",$H211)),OR(ISNUMBER(SEARCH("완사입",$H211)),ISNUMBER(SEARCH("ODM",$H211)))),"본사/생산처 혼재",IF(ISNUMBER(SEARCH("CMT",$H211)),"본사(소재팀)","생산처")))</f>
        <v>생산처</v>
      </c>
      <c r="U211" s="25" t="s">
        <v>289</v>
      </c>
      <c r="V211" s="25" t="s">
        <v>289</v>
      </c>
      <c r="W211" s="25" t="s">
        <v>103</v>
      </c>
      <c r="X211" s="25" t="s">
        <v>540</v>
      </c>
      <c r="Y211" s="35" t="s">
        <v>783</v>
      </c>
      <c r="Z211" s="32"/>
      <c r="AA211" s="28" t="n">
        <v>46252</v>
      </c>
      <c r="AB211" s="33" t="n">
        <v>3000</v>
      </c>
      <c r="AC211" s="33" t="n">
        <v>114000000</v>
      </c>
      <c r="AD211" s="33" t="n">
        <v>504000000</v>
      </c>
      <c r="AE211" s="26" t="s">
        <v>556</v>
      </c>
      <c r="AF211" s="26" t="str">
        <f aca="false"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>소재 입고일정 확인 필요</v>
      </c>
      <c r="AG211" s="24" t="str">
        <f aca="false">IF($K211="","",IF(OR(LEFT($AF211,2)="작지",LEFT($AF211,4)="소재입고"),IF(LEFT($G211,1)="S","★ 납기위험(S코드)","◆ 지연주의"),IF($AF211="정상","✓ 정상","? 확인필요")))</f>
        <v>? 확인필요</v>
      </c>
      <c r="AH211" s="27"/>
      <c r="AI211" s="34"/>
    </row>
    <row r="212" customFormat="false" ht="15" hidden="false" customHeight="false" outlineLevel="0" collapsed="false">
      <c r="A212" s="24" t="n">
        <v>208</v>
      </c>
      <c r="B212" s="25" t="s">
        <v>270</v>
      </c>
      <c r="C212" s="25" t="s">
        <v>118</v>
      </c>
      <c r="D212" s="26" t="s">
        <v>876</v>
      </c>
      <c r="E212" s="25" t="s">
        <v>877</v>
      </c>
      <c r="F212" s="26" t="s">
        <v>878</v>
      </c>
      <c r="G212" s="24" t="str">
        <f aca="false">IF($D212="","",IF(MID($D212,5,1)="S","S(봄)",IF(MID($D212,5,1)="M","M(여름)",IF(MID($D212,5,1)="X","X(사계절)",MID($D212,5,1)))))</f>
        <v>M(여름)</v>
      </c>
      <c r="H212" s="25" t="s">
        <v>97</v>
      </c>
      <c r="I212" s="24" t="s">
        <v>738</v>
      </c>
      <c r="J212" s="27" t="s">
        <v>556</v>
      </c>
      <c r="K212" s="28" t="n">
        <f aca="false">IF($J212="","",IFERROR(DATE(IF(VALUE(LEFT($J212,FIND("월",$J212)-1))&gt;=9,기준정보!$C$7-1,기준정보!$C$7),VALUE(LEFT($J212,FIND("월",$J212)-1)),1+7*(VALUE(SUBSTITUTE(MID($J212,FIND("월",$J212)+1,5),"주",""))-1)),""))</f>
        <v>46447</v>
      </c>
      <c r="L212" s="28" t="n">
        <f aca="false">IF($K212="","",IF(AND($K212-기준정보!$C$5&gt;=기준정보!$C$10,$K212-기준정보!$C$5&lt;=기준정보!$C$11),기준정보!$C$10-1,$K212-기준정보!$C$5))</f>
        <v>46433</v>
      </c>
      <c r="M212" s="29" t="n">
        <f aca="false"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>15</v>
      </c>
      <c r="N212" s="28" t="n">
        <f aca="false">IF($L212="","",$L212-기준정보!$C$6-$M212)</f>
        <v>46328</v>
      </c>
      <c r="O212" s="30" t="n">
        <f aca="false">IF($N212="","",$N212-기준정보!$C$4)</f>
        <v>75</v>
      </c>
      <c r="P212" s="27"/>
      <c r="Q212" s="27" t="s">
        <v>100</v>
      </c>
      <c r="R212" s="27" t="s">
        <v>101</v>
      </c>
      <c r="S212" s="31"/>
      <c r="T212" s="26" t="str">
        <f aca="false">IF($H212="","",IF(AND(ISNUMBER(SEARCH("CMT",$H212)),OR(ISNUMBER(SEARCH("완사입",$H212)),ISNUMBER(SEARCH("ODM",$H212)))),"본사/생산처 혼재",IF(ISNUMBER(SEARCH("CMT",$H212)),"본사(소재팀)","생산처")))</f>
        <v>생산처</v>
      </c>
      <c r="U212" s="25" t="s">
        <v>380</v>
      </c>
      <c r="V212" s="25" t="s">
        <v>380</v>
      </c>
      <c r="W212" s="25" t="s">
        <v>103</v>
      </c>
      <c r="X212" s="26" t="s">
        <v>839</v>
      </c>
      <c r="Y212" s="32" t="s">
        <v>840</v>
      </c>
      <c r="Z212" s="32"/>
      <c r="AA212" s="28" t="n">
        <v>46189</v>
      </c>
      <c r="AB212" s="33" t="n">
        <v>1010</v>
      </c>
      <c r="AC212" s="33" t="n">
        <v>24791460</v>
      </c>
      <c r="AD212" s="33" t="n">
        <v>98980000</v>
      </c>
      <c r="AE212" s="26"/>
      <c r="AF212" s="26" t="str">
        <f aca="false"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>소재 입고일정 확인 필요</v>
      </c>
      <c r="AG212" s="24" t="str">
        <f aca="false">IF($K212="","",IF(OR(LEFT($AF212,2)="작지",LEFT($AF212,4)="소재입고"),IF(LEFT($G212,1)="S","★ 납기위험(S코드)","◆ 지연주의"),IF($AF212="정상","✓ 정상","? 확인필요")))</f>
        <v>? 확인필요</v>
      </c>
      <c r="AH212" s="27"/>
      <c r="AI212" s="34"/>
    </row>
    <row r="213" customFormat="false" ht="15" hidden="false" customHeight="false" outlineLevel="0" collapsed="false">
      <c r="A213" s="24" t="n">
        <v>209</v>
      </c>
      <c r="B213" s="25" t="s">
        <v>270</v>
      </c>
      <c r="C213" s="25" t="s">
        <v>118</v>
      </c>
      <c r="D213" s="26" t="s">
        <v>879</v>
      </c>
      <c r="E213" s="25" t="s">
        <v>880</v>
      </c>
      <c r="F213" s="26" t="s">
        <v>833</v>
      </c>
      <c r="G213" s="24" t="str">
        <f aca="false">IF($D213="","",IF(MID($D213,5,1)="S","S(봄)",IF(MID($D213,5,1)="M","M(여름)",IF(MID($D213,5,1)="X","X(사계절)",MID($D213,5,1)))))</f>
        <v>M(여름)</v>
      </c>
      <c r="H213" s="25" t="s">
        <v>97</v>
      </c>
      <c r="I213" s="24" t="s">
        <v>738</v>
      </c>
      <c r="J213" s="27" t="s">
        <v>556</v>
      </c>
      <c r="K213" s="28" t="n">
        <f aca="false">IF($J213="","",IFERROR(DATE(IF(VALUE(LEFT($J213,FIND("월",$J213)-1))&gt;=9,기준정보!$C$7-1,기준정보!$C$7),VALUE(LEFT($J213,FIND("월",$J213)-1)),1+7*(VALUE(SUBSTITUTE(MID($J213,FIND("월",$J213)+1,5),"주",""))-1)),""))</f>
        <v>46447</v>
      </c>
      <c r="L213" s="28" t="n">
        <f aca="false">IF($K213="","",IF(AND($K213-기준정보!$C$5&gt;=기준정보!$C$10,$K213-기준정보!$C$5&lt;=기준정보!$C$11),기준정보!$C$10-1,$K213-기준정보!$C$5))</f>
        <v>46433</v>
      </c>
      <c r="M213" s="29" t="n">
        <f aca="false"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>15</v>
      </c>
      <c r="N213" s="28" t="n">
        <f aca="false">IF($L213="","",$L213-기준정보!$C$6-$M213)</f>
        <v>46328</v>
      </c>
      <c r="O213" s="30" t="n">
        <f aca="false">IF($N213="","",$N213-기준정보!$C$4)</f>
        <v>75</v>
      </c>
      <c r="P213" s="27"/>
      <c r="Q213" s="27" t="s">
        <v>100</v>
      </c>
      <c r="R213" s="27" t="s">
        <v>101</v>
      </c>
      <c r="S213" s="31"/>
      <c r="T213" s="26" t="str">
        <f aca="false">IF($H213="","",IF(AND(ISNUMBER(SEARCH("CMT",$H213)),OR(ISNUMBER(SEARCH("완사입",$H213)),ISNUMBER(SEARCH("ODM",$H213)))),"본사/생산처 혼재",IF(ISNUMBER(SEARCH("CMT",$H213)),"본사(소재팀)","생산처")))</f>
        <v>생산처</v>
      </c>
      <c r="U213" s="25" t="s">
        <v>380</v>
      </c>
      <c r="V213" s="25" t="s">
        <v>380</v>
      </c>
      <c r="W213" s="25" t="s">
        <v>103</v>
      </c>
      <c r="X213" s="26" t="s">
        <v>839</v>
      </c>
      <c r="Y213" s="32" t="s">
        <v>840</v>
      </c>
      <c r="Z213" s="32"/>
      <c r="AA213" s="28" t="n">
        <v>46189</v>
      </c>
      <c r="AB213" s="33" t="n">
        <v>700</v>
      </c>
      <c r="AC213" s="33" t="n">
        <v>19282200</v>
      </c>
      <c r="AD213" s="33" t="n">
        <v>75600000</v>
      </c>
      <c r="AE213" s="26"/>
      <c r="AF213" s="26" t="str">
        <f aca="false"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>소재 입고일정 확인 필요</v>
      </c>
      <c r="AG213" s="24" t="str">
        <f aca="false">IF($K213="","",IF(OR(LEFT($AF213,2)="작지",LEFT($AF213,4)="소재입고"),IF(LEFT($G213,1)="S","★ 납기위험(S코드)","◆ 지연주의"),IF($AF213="정상","✓ 정상","? 확인필요")))</f>
        <v>? 확인필요</v>
      </c>
      <c r="AH213" s="27"/>
      <c r="AI213" s="34"/>
    </row>
    <row r="214" customFormat="false" ht="15" hidden="false" customHeight="false" outlineLevel="0" collapsed="false">
      <c r="A214" s="24" t="n">
        <v>210</v>
      </c>
      <c r="B214" s="25" t="s">
        <v>270</v>
      </c>
      <c r="C214" s="25" t="s">
        <v>118</v>
      </c>
      <c r="D214" s="26" t="s">
        <v>881</v>
      </c>
      <c r="E214" s="25" t="s">
        <v>882</v>
      </c>
      <c r="F214" s="26" t="s">
        <v>843</v>
      </c>
      <c r="G214" s="24" t="str">
        <f aca="false">IF($D214="","",IF(MID($D214,5,1)="S","S(봄)",IF(MID($D214,5,1)="M","M(여름)",IF(MID($D214,5,1)="X","X(사계절)",MID($D214,5,1)))))</f>
        <v>M(여름)</v>
      </c>
      <c r="H214" s="25" t="s">
        <v>97</v>
      </c>
      <c r="I214" s="24" t="s">
        <v>738</v>
      </c>
      <c r="J214" s="27" t="s">
        <v>556</v>
      </c>
      <c r="K214" s="28" t="n">
        <f aca="false">IF($J214="","",IFERROR(DATE(IF(VALUE(LEFT($J214,FIND("월",$J214)-1))&gt;=9,기준정보!$C$7-1,기준정보!$C$7),VALUE(LEFT($J214,FIND("월",$J214)-1)),1+7*(VALUE(SUBSTITUTE(MID($J214,FIND("월",$J214)+1,5),"주",""))-1)),""))</f>
        <v>46447</v>
      </c>
      <c r="L214" s="28" t="n">
        <f aca="false">IF($K214="","",IF(AND($K214-기준정보!$C$5&gt;=기준정보!$C$10,$K214-기준정보!$C$5&lt;=기준정보!$C$11),기준정보!$C$10-1,$K214-기준정보!$C$5))</f>
        <v>46433</v>
      </c>
      <c r="M214" s="29" t="n">
        <f aca="false"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>15</v>
      </c>
      <c r="N214" s="28" t="n">
        <f aca="false">IF($L214="","",$L214-기준정보!$C$6-$M214)</f>
        <v>46328</v>
      </c>
      <c r="O214" s="30" t="n">
        <f aca="false">IF($N214="","",$N214-기준정보!$C$4)</f>
        <v>75</v>
      </c>
      <c r="P214" s="27"/>
      <c r="Q214" s="27" t="s">
        <v>100</v>
      </c>
      <c r="R214" s="27" t="s">
        <v>101</v>
      </c>
      <c r="S214" s="31"/>
      <c r="T214" s="26" t="str">
        <f aca="false">IF($H214="","",IF(AND(ISNUMBER(SEARCH("CMT",$H214)),OR(ISNUMBER(SEARCH("완사입",$H214)),ISNUMBER(SEARCH("ODM",$H214)))),"본사/생산처 혼재",IF(ISNUMBER(SEARCH("CMT",$H214)),"본사(소재팀)","생산처")))</f>
        <v>생산처</v>
      </c>
      <c r="U214" s="25" t="s">
        <v>380</v>
      </c>
      <c r="V214" s="25" t="s">
        <v>380</v>
      </c>
      <c r="W214" s="25" t="s">
        <v>103</v>
      </c>
      <c r="X214" s="25" t="s">
        <v>742</v>
      </c>
      <c r="Y214" s="35" t="s">
        <v>844</v>
      </c>
      <c r="Z214" s="32"/>
      <c r="AA214" s="28" t="n">
        <v>46170</v>
      </c>
      <c r="AB214" s="33" t="n">
        <v>300</v>
      </c>
      <c r="AC214" s="33" t="n">
        <v>12766200</v>
      </c>
      <c r="AD214" s="33" t="n">
        <v>35400000</v>
      </c>
      <c r="AE214" s="26"/>
      <c r="AF214" s="26" t="str">
        <f aca="false"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>소재 입고일정 확인 필요</v>
      </c>
      <c r="AG214" s="24" t="str">
        <f aca="false">IF($K214="","",IF(OR(LEFT($AF214,2)="작지",LEFT($AF214,4)="소재입고"),IF(LEFT($G214,1)="S","★ 납기위험(S코드)","◆ 지연주의"),IF($AF214="정상","✓ 정상","? 확인필요")))</f>
        <v>? 확인필요</v>
      </c>
      <c r="AH214" s="27"/>
      <c r="AI214" s="34"/>
    </row>
    <row r="215" customFormat="false" ht="15" hidden="false" customHeight="false" outlineLevel="0" collapsed="false">
      <c r="A215" s="24" t="n">
        <v>211</v>
      </c>
      <c r="B215" s="25" t="s">
        <v>270</v>
      </c>
      <c r="C215" s="25" t="s">
        <v>118</v>
      </c>
      <c r="D215" s="26" t="s">
        <v>883</v>
      </c>
      <c r="E215" s="25" t="s">
        <v>884</v>
      </c>
      <c r="F215" s="26" t="s">
        <v>820</v>
      </c>
      <c r="G215" s="24" t="str">
        <f aca="false">IF($D215="","",IF(MID($D215,5,1)="S","S(봄)",IF(MID($D215,5,1)="M","M(여름)",IF(MID($D215,5,1)="X","X(사계절)",MID($D215,5,1)))))</f>
        <v>M(여름)</v>
      </c>
      <c r="H215" s="25" t="s">
        <v>97</v>
      </c>
      <c r="I215" s="24" t="s">
        <v>738</v>
      </c>
      <c r="J215" s="27" t="s">
        <v>556</v>
      </c>
      <c r="K215" s="28" t="n">
        <f aca="false">IF($J215="","",IFERROR(DATE(IF(VALUE(LEFT($J215,FIND("월",$J215)-1))&gt;=9,기준정보!$C$7-1,기준정보!$C$7),VALUE(LEFT($J215,FIND("월",$J215)-1)),1+7*(VALUE(SUBSTITUTE(MID($J215,FIND("월",$J215)+1,5),"주",""))-1)),""))</f>
        <v>46447</v>
      </c>
      <c r="L215" s="28" t="n">
        <f aca="false">IF($K215="","",IF(AND($K215-기준정보!$C$5&gt;=기준정보!$C$10,$K215-기준정보!$C$5&lt;=기준정보!$C$11),기준정보!$C$10-1,$K215-기준정보!$C$5))</f>
        <v>46433</v>
      </c>
      <c r="M215" s="29" t="n">
        <f aca="false"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>15</v>
      </c>
      <c r="N215" s="28" t="n">
        <f aca="false">IF($L215="","",$L215-기준정보!$C$6-$M215)</f>
        <v>46328</v>
      </c>
      <c r="O215" s="30" t="n">
        <f aca="false">IF($N215="","",$N215-기준정보!$C$4)</f>
        <v>75</v>
      </c>
      <c r="P215" s="27"/>
      <c r="Q215" s="27" t="s">
        <v>100</v>
      </c>
      <c r="R215" s="27" t="s">
        <v>101</v>
      </c>
      <c r="S215" s="31"/>
      <c r="T215" s="26" t="str">
        <f aca="false">IF($H215="","",IF(AND(ISNUMBER(SEARCH("CMT",$H215)),OR(ISNUMBER(SEARCH("완사입",$H215)),ISNUMBER(SEARCH("ODM",$H215)))),"본사/생산처 혼재",IF(ISNUMBER(SEARCH("CMT",$H215)),"본사(소재팀)","생산처")))</f>
        <v>생산처</v>
      </c>
      <c r="U215" s="25" t="s">
        <v>380</v>
      </c>
      <c r="V215" s="25" t="s">
        <v>380</v>
      </c>
      <c r="W215" s="25" t="s">
        <v>103</v>
      </c>
      <c r="X215" s="26" t="s">
        <v>300</v>
      </c>
      <c r="Y215" s="32" t="s">
        <v>847</v>
      </c>
      <c r="Z215" s="32"/>
      <c r="AA215" s="28"/>
      <c r="AB215" s="33" t="n">
        <v>500</v>
      </c>
      <c r="AC215" s="33" t="n">
        <v>13989500</v>
      </c>
      <c r="AD215" s="33" t="n">
        <v>54000000</v>
      </c>
      <c r="AE215" s="26"/>
      <c r="AF215" s="26" t="str">
        <f aca="false"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>소재 입고일정 확인 필요</v>
      </c>
      <c r="AG215" s="24" t="str">
        <f aca="false">IF($K215="","",IF(OR(LEFT($AF215,2)="작지",LEFT($AF215,4)="소재입고"),IF(LEFT($G215,1)="S","★ 납기위험(S코드)","◆ 지연주의"),IF($AF215="정상","✓ 정상","? 확인필요")))</f>
        <v>? 확인필요</v>
      </c>
      <c r="AH215" s="27"/>
      <c r="AI215" s="34"/>
    </row>
    <row r="216" customFormat="false" ht="15" hidden="false" customHeight="false" outlineLevel="0" collapsed="false">
      <c r="A216" s="24" t="n">
        <v>212</v>
      </c>
      <c r="B216" s="25" t="s">
        <v>242</v>
      </c>
      <c r="C216" s="25" t="s">
        <v>243</v>
      </c>
      <c r="D216" s="26" t="s">
        <v>885</v>
      </c>
      <c r="E216" s="25" t="s">
        <v>886</v>
      </c>
      <c r="F216" s="26" t="s">
        <v>887</v>
      </c>
      <c r="G216" s="24" t="str">
        <f aca="false">IF($D216="","",IF(MID($D216,5,1)="S","S(봄)",IF(MID($D216,5,1)="M","M(여름)",IF(MID($D216,5,1)="X","X(사계절)",MID($D216,5,1)))))</f>
        <v>M(여름)</v>
      </c>
      <c r="H216" s="25" t="s">
        <v>97</v>
      </c>
      <c r="I216" s="24"/>
      <c r="J216" s="27" t="s">
        <v>568</v>
      </c>
      <c r="K216" s="28" t="n">
        <f aca="false">IF($J216="","",IFERROR(DATE(IF(VALUE(LEFT($J216,FIND("월",$J216)-1))&gt;=9,기준정보!$C$7-1,기준정보!$C$7),VALUE(LEFT($J216,FIND("월",$J216)-1)),1+7*(VALUE(SUBSTITUTE(MID($J216,FIND("월",$J216)+1,5),"주",""))-1)),""))</f>
        <v>46454</v>
      </c>
      <c r="L216" s="28" t="n">
        <f aca="false">IF($K216="","",IF(AND($K216-기준정보!$C$5&gt;=기준정보!$C$10,$K216-기준정보!$C$5&lt;=기준정보!$C$11),기준정보!$C$10-1,$K216-기준정보!$C$5))</f>
        <v>46440</v>
      </c>
      <c r="M216" s="29" t="n">
        <f aca="false"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>0</v>
      </c>
      <c r="N216" s="28" t="n">
        <f aca="false">IF($L216="","",$L216-기준정보!$C$6-$M216)</f>
        <v>46350</v>
      </c>
      <c r="O216" s="30" t="n">
        <f aca="false">IF($N216="","",$N216-기준정보!$C$4)</f>
        <v>97</v>
      </c>
      <c r="P216" s="27"/>
      <c r="Q216" s="27" t="s">
        <v>100</v>
      </c>
      <c r="R216" s="27" t="s">
        <v>101</v>
      </c>
      <c r="S216" s="31"/>
      <c r="T216" s="26" t="str">
        <f aca="false">IF($H216="","",IF(AND(ISNUMBER(SEARCH("CMT",$H216)),OR(ISNUMBER(SEARCH("완사입",$H216)),ISNUMBER(SEARCH("ODM",$H216)))),"본사/생산처 혼재",IF(ISNUMBER(SEARCH("CMT",$H216)),"본사(소재팀)","생산처")))</f>
        <v>생산처</v>
      </c>
      <c r="U216" s="25" t="s">
        <v>109</v>
      </c>
      <c r="V216" s="25" t="s">
        <v>109</v>
      </c>
      <c r="W216" s="26"/>
      <c r="X216" s="25" t="s">
        <v>457</v>
      </c>
      <c r="Y216" s="35" t="s">
        <v>888</v>
      </c>
      <c r="Z216" s="32"/>
      <c r="AA216" s="28" t="n">
        <v>46209</v>
      </c>
      <c r="AB216" s="33" t="n">
        <v>2200</v>
      </c>
      <c r="AC216" s="33" t="n">
        <v>123200000</v>
      </c>
      <c r="AD216" s="33" t="n">
        <v>594000000</v>
      </c>
      <c r="AE216" s="26" t="s">
        <v>568</v>
      </c>
      <c r="AF216" s="26" t="str">
        <f aca="false"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>소재 입고일정 확인 필요</v>
      </c>
      <c r="AG216" s="24" t="str">
        <f aca="false">IF($K216="","",IF(OR(LEFT($AF216,2)="작지",LEFT($AF216,4)="소재입고"),IF(LEFT($G216,1)="S","★ 납기위험(S코드)","◆ 지연주의"),IF($AF216="정상","✓ 정상","? 확인필요")))</f>
        <v>? 확인필요</v>
      </c>
      <c r="AH216" s="27"/>
      <c r="AI216" s="34"/>
    </row>
    <row r="217" customFormat="false" ht="15" hidden="false" customHeight="false" outlineLevel="0" collapsed="false">
      <c r="A217" s="24" t="n">
        <v>213</v>
      </c>
      <c r="B217" s="25" t="s">
        <v>242</v>
      </c>
      <c r="C217" s="25" t="s">
        <v>243</v>
      </c>
      <c r="D217" s="26" t="s">
        <v>889</v>
      </c>
      <c r="E217" s="25" t="s">
        <v>890</v>
      </c>
      <c r="F217" s="26" t="s">
        <v>265</v>
      </c>
      <c r="G217" s="24" t="str">
        <f aca="false">IF($D217="","",IF(MID($D217,5,1)="S","S(봄)",IF(MID($D217,5,1)="M","M(여름)",IF(MID($D217,5,1)="X","X(사계절)",MID($D217,5,1)))))</f>
        <v>M(여름)</v>
      </c>
      <c r="H217" s="25" t="s">
        <v>97</v>
      </c>
      <c r="I217" s="24"/>
      <c r="J217" s="27" t="s">
        <v>568</v>
      </c>
      <c r="K217" s="28" t="n">
        <f aca="false">IF($J217="","",IFERROR(DATE(IF(VALUE(LEFT($J217,FIND("월",$J217)-1))&gt;=9,기준정보!$C$7-1,기준정보!$C$7),VALUE(LEFT($J217,FIND("월",$J217)-1)),1+7*(VALUE(SUBSTITUTE(MID($J217,FIND("월",$J217)+1,5),"주",""))-1)),""))</f>
        <v>46454</v>
      </c>
      <c r="L217" s="28" t="n">
        <f aca="false">IF($K217="","",IF(AND($K217-기준정보!$C$5&gt;=기준정보!$C$10,$K217-기준정보!$C$5&lt;=기준정보!$C$11),기준정보!$C$10-1,$K217-기준정보!$C$5))</f>
        <v>46440</v>
      </c>
      <c r="M217" s="29" t="n">
        <f aca="false"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>0</v>
      </c>
      <c r="N217" s="28" t="n">
        <f aca="false">IF($L217="","",$L217-기준정보!$C$6-$M217)</f>
        <v>46350</v>
      </c>
      <c r="O217" s="30" t="n">
        <f aca="false">IF($N217="","",$N217-기준정보!$C$4)</f>
        <v>97</v>
      </c>
      <c r="P217" s="27"/>
      <c r="Q217" s="27" t="s">
        <v>100</v>
      </c>
      <c r="R217" s="27" t="s">
        <v>101</v>
      </c>
      <c r="S217" s="31"/>
      <c r="T217" s="26" t="str">
        <f aca="false">IF($H217="","",IF(AND(ISNUMBER(SEARCH("CMT",$H217)),OR(ISNUMBER(SEARCH("완사입",$H217)),ISNUMBER(SEARCH("ODM",$H217)))),"본사/생산처 혼재",IF(ISNUMBER(SEARCH("CMT",$H217)),"본사(소재팀)","생산처")))</f>
        <v>생산처</v>
      </c>
      <c r="U217" s="25" t="s">
        <v>324</v>
      </c>
      <c r="V217" s="25" t="s">
        <v>324</v>
      </c>
      <c r="W217" s="26"/>
      <c r="X217" s="25" t="s">
        <v>891</v>
      </c>
      <c r="Y217" s="35" t="s">
        <v>892</v>
      </c>
      <c r="Z217" s="32"/>
      <c r="AA217" s="28" t="n">
        <v>46219</v>
      </c>
      <c r="AB217" s="33" t="n">
        <v>2000</v>
      </c>
      <c r="AC217" s="33" t="n">
        <v>82986000</v>
      </c>
      <c r="AD217" s="33" t="n">
        <v>396000000</v>
      </c>
      <c r="AE217" s="26" t="s">
        <v>568</v>
      </c>
      <c r="AF217" s="26" t="str">
        <f aca="false"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>소재 입고일정 확인 필요</v>
      </c>
      <c r="AG217" s="24" t="str">
        <f aca="false">IF($K217="","",IF(OR(LEFT($AF217,2)="작지",LEFT($AF217,4)="소재입고"),IF(LEFT($G217,1)="S","★ 납기위험(S코드)","◆ 지연주의"),IF($AF217="정상","✓ 정상","? 확인필요")))</f>
        <v>? 확인필요</v>
      </c>
      <c r="AH217" s="27"/>
      <c r="AI217" s="34"/>
    </row>
    <row r="218" customFormat="false" ht="15" hidden="false" customHeight="false" outlineLevel="0" collapsed="false">
      <c r="A218" s="24" t="n">
        <v>214</v>
      </c>
      <c r="B218" s="25" t="s">
        <v>250</v>
      </c>
      <c r="C218" s="25" t="s">
        <v>251</v>
      </c>
      <c r="D218" s="26" t="s">
        <v>893</v>
      </c>
      <c r="E218" s="25" t="s">
        <v>894</v>
      </c>
      <c r="F218" s="26" t="s">
        <v>895</v>
      </c>
      <c r="G218" s="24" t="str">
        <f aca="false">IF($D218="","",IF(MID($D218,5,1)="S","S(봄)",IF(MID($D218,5,1)="M","M(여름)",IF(MID($D218,5,1)="X","X(사계절)",MID($D218,5,1)))))</f>
        <v>M(여름)</v>
      </c>
      <c r="H218" s="26" t="s">
        <v>255</v>
      </c>
      <c r="I218" s="24"/>
      <c r="J218" s="27" t="s">
        <v>568</v>
      </c>
      <c r="K218" s="28" t="n">
        <f aca="false">IF($J218="","",IFERROR(DATE(IF(VALUE(LEFT($J218,FIND("월",$J218)-1))&gt;=9,기준정보!$C$7-1,기준정보!$C$7),VALUE(LEFT($J218,FIND("월",$J218)-1)),1+7*(VALUE(SUBSTITUTE(MID($J218,FIND("월",$J218)+1,5),"주",""))-1)),""))</f>
        <v>46454</v>
      </c>
      <c r="L218" s="28" t="n">
        <f aca="false">IF($K218="","",IF(AND($K218-기준정보!$C$5&gt;=기준정보!$C$10,$K218-기준정보!$C$5&lt;=기준정보!$C$11),기준정보!$C$10-1,$K218-기준정보!$C$5))</f>
        <v>46440</v>
      </c>
      <c r="M218" s="29" t="n">
        <f aca="false"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>15</v>
      </c>
      <c r="N218" s="28" t="n">
        <f aca="false">IF($L218="","",$L218-기준정보!$C$6-$M218)</f>
        <v>46335</v>
      </c>
      <c r="O218" s="30" t="n">
        <f aca="false">IF($N218="","",$N218-기준정보!$C$4)</f>
        <v>82</v>
      </c>
      <c r="P218" s="27"/>
      <c r="Q218" s="27" t="s">
        <v>100</v>
      </c>
      <c r="R218" s="27" t="s">
        <v>100</v>
      </c>
      <c r="S218" s="31"/>
      <c r="T218" s="26" t="str">
        <f aca="false">IF($H218="","",IF(AND(ISNUMBER(SEARCH("CMT",$H218)),OR(ISNUMBER(SEARCH("완사입",$H218)),ISNUMBER(SEARCH("ODM",$H218)))),"본사/생산처 혼재",IF(ISNUMBER(SEARCH("CMT",$H218)),"본사(소재팀)","생산처")))</f>
        <v>본사(소재팀)</v>
      </c>
      <c r="U218" s="25" t="s">
        <v>256</v>
      </c>
      <c r="V218" s="26" t="s">
        <v>280</v>
      </c>
      <c r="W218" s="25" t="s">
        <v>103</v>
      </c>
      <c r="X218" s="25" t="s">
        <v>742</v>
      </c>
      <c r="Y218" s="35" t="s">
        <v>743</v>
      </c>
      <c r="Z218" s="32"/>
      <c r="AA218" s="28"/>
      <c r="AB218" s="33" t="n">
        <v>6000</v>
      </c>
      <c r="AC218" s="33" t="n">
        <v>144954000</v>
      </c>
      <c r="AD218" s="33" t="n">
        <v>1068000000</v>
      </c>
      <c r="AE218" s="26" t="s">
        <v>568</v>
      </c>
      <c r="AF218" s="26" t="str">
        <f aca="false"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>소재 입고일정 확인 필요</v>
      </c>
      <c r="AG218" s="24" t="str">
        <f aca="false">IF($K218="","",IF(OR(LEFT($AF218,2)="작지",LEFT($AF218,4)="소재입고"),IF(LEFT($G218,1)="S","★ 납기위험(S코드)","◆ 지연주의"),IF($AF218="정상","✓ 정상","? 확인필요")))</f>
        <v>? 확인필요</v>
      </c>
      <c r="AH218" s="27"/>
      <c r="AI218" s="34"/>
    </row>
    <row r="219" customFormat="false" ht="15" hidden="false" customHeight="false" outlineLevel="0" collapsed="false">
      <c r="A219" s="24" t="n">
        <v>215</v>
      </c>
      <c r="B219" s="25" t="s">
        <v>250</v>
      </c>
      <c r="C219" s="25" t="s">
        <v>251</v>
      </c>
      <c r="D219" s="26" t="s">
        <v>896</v>
      </c>
      <c r="E219" s="25" t="s">
        <v>897</v>
      </c>
      <c r="F219" s="26" t="s">
        <v>265</v>
      </c>
      <c r="G219" s="24" t="str">
        <f aca="false">IF($D219="","",IF(MID($D219,5,1)="S","S(봄)",IF(MID($D219,5,1)="M","M(여름)",IF(MID($D219,5,1)="X","X(사계절)",MID($D219,5,1)))))</f>
        <v>M(여름)</v>
      </c>
      <c r="H219" s="25" t="s">
        <v>97</v>
      </c>
      <c r="I219" s="24"/>
      <c r="J219" s="27" t="s">
        <v>568</v>
      </c>
      <c r="K219" s="28" t="n">
        <f aca="false">IF($J219="","",IFERROR(DATE(IF(VALUE(LEFT($J219,FIND("월",$J219)-1))&gt;=9,기준정보!$C$7-1,기준정보!$C$7),VALUE(LEFT($J219,FIND("월",$J219)-1)),1+7*(VALUE(SUBSTITUTE(MID($J219,FIND("월",$J219)+1,5),"주",""))-1)),""))</f>
        <v>46454</v>
      </c>
      <c r="L219" s="28" t="n">
        <f aca="false">IF($K219="","",IF(AND($K219-기준정보!$C$5&gt;=기준정보!$C$10,$K219-기준정보!$C$5&lt;=기준정보!$C$11),기준정보!$C$10-1,$K219-기준정보!$C$5))</f>
        <v>46440</v>
      </c>
      <c r="M219" s="29" t="n">
        <f aca="false"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>15</v>
      </c>
      <c r="N219" s="28" t="n">
        <f aca="false">IF($L219="","",$L219-기준정보!$C$6-$M219)</f>
        <v>46335</v>
      </c>
      <c r="O219" s="30" t="n">
        <f aca="false">IF($N219="","",$N219-기준정보!$C$4)</f>
        <v>82</v>
      </c>
      <c r="P219" s="27"/>
      <c r="Q219" s="27" t="s">
        <v>100</v>
      </c>
      <c r="R219" s="27" t="s">
        <v>100</v>
      </c>
      <c r="S219" s="31"/>
      <c r="T219" s="26" t="str">
        <f aca="false">IF($H219="","",IF(AND(ISNUMBER(SEARCH("CMT",$H219)),OR(ISNUMBER(SEARCH("완사입",$H219)),ISNUMBER(SEARCH("ODM",$H219)))),"본사/생산처 혼재",IF(ISNUMBER(SEARCH("CMT",$H219)),"본사(소재팀)","생산처")))</f>
        <v>생산처</v>
      </c>
      <c r="U219" s="26" t="s">
        <v>183</v>
      </c>
      <c r="V219" s="26" t="s">
        <v>183</v>
      </c>
      <c r="W219" s="25" t="s">
        <v>103</v>
      </c>
      <c r="X219" s="25" t="s">
        <v>122</v>
      </c>
      <c r="Y219" s="35" t="s">
        <v>898</v>
      </c>
      <c r="Z219" s="32"/>
      <c r="AA219" s="28" t="n">
        <v>46238</v>
      </c>
      <c r="AB219" s="33" t="n">
        <v>3700</v>
      </c>
      <c r="AC219" s="33" t="n">
        <v>109449700</v>
      </c>
      <c r="AD219" s="33" t="n">
        <v>621600000</v>
      </c>
      <c r="AE219" s="26" t="s">
        <v>568</v>
      </c>
      <c r="AF219" s="26" t="str">
        <f aca="false"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>소재 입고일정 확인 필요</v>
      </c>
      <c r="AG219" s="24" t="str">
        <f aca="false">IF($K219="","",IF(OR(LEFT($AF219,2)="작지",LEFT($AF219,4)="소재입고"),IF(LEFT($G219,1)="S","★ 납기위험(S코드)","◆ 지연주의"),IF($AF219="정상","✓ 정상","? 확인필요")))</f>
        <v>? 확인필요</v>
      </c>
      <c r="AH219" s="27"/>
      <c r="AI219" s="34"/>
    </row>
    <row r="220" customFormat="false" ht="15" hidden="false" customHeight="false" outlineLevel="0" collapsed="false">
      <c r="A220" s="24" t="n">
        <v>216</v>
      </c>
      <c r="B220" s="25" t="s">
        <v>250</v>
      </c>
      <c r="C220" s="25" t="s">
        <v>251</v>
      </c>
      <c r="D220" s="26" t="s">
        <v>899</v>
      </c>
      <c r="E220" s="25" t="s">
        <v>900</v>
      </c>
      <c r="F220" s="26" t="s">
        <v>196</v>
      </c>
      <c r="G220" s="24" t="str">
        <f aca="false">IF($D220="","",IF(MID($D220,5,1)="S","S(봄)",IF(MID($D220,5,1)="M","M(여름)",IF(MID($D220,5,1)="X","X(사계절)",MID($D220,5,1)))))</f>
        <v>M(여름)</v>
      </c>
      <c r="H220" s="25" t="s">
        <v>97</v>
      </c>
      <c r="I220" s="24"/>
      <c r="J220" s="27" t="s">
        <v>568</v>
      </c>
      <c r="K220" s="28" t="n">
        <f aca="false">IF($J220="","",IFERROR(DATE(IF(VALUE(LEFT($J220,FIND("월",$J220)-1))&gt;=9,기준정보!$C$7-1,기준정보!$C$7),VALUE(LEFT($J220,FIND("월",$J220)-1)),1+7*(VALUE(SUBSTITUTE(MID($J220,FIND("월",$J220)+1,5),"주",""))-1)),""))</f>
        <v>46454</v>
      </c>
      <c r="L220" s="28" t="n">
        <f aca="false">IF($K220="","",IF(AND($K220-기준정보!$C$5&gt;=기준정보!$C$10,$K220-기준정보!$C$5&lt;=기준정보!$C$11),기준정보!$C$10-1,$K220-기준정보!$C$5))</f>
        <v>46440</v>
      </c>
      <c r="M220" s="29" t="n">
        <f aca="false"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>15</v>
      </c>
      <c r="N220" s="28" t="n">
        <f aca="false">IF($L220="","",$L220-기준정보!$C$6-$M220)</f>
        <v>46335</v>
      </c>
      <c r="O220" s="30" t="n">
        <f aca="false">IF($N220="","",$N220-기준정보!$C$4)</f>
        <v>82</v>
      </c>
      <c r="P220" s="27"/>
      <c r="Q220" s="27" t="s">
        <v>100</v>
      </c>
      <c r="R220" s="27" t="s">
        <v>100</v>
      </c>
      <c r="S220" s="31"/>
      <c r="T220" s="26" t="str">
        <f aca="false">IF($H220="","",IF(AND(ISNUMBER(SEARCH("CMT",$H220)),OR(ISNUMBER(SEARCH("완사입",$H220)),ISNUMBER(SEARCH("ODM",$H220)))),"본사/생산처 혼재",IF(ISNUMBER(SEARCH("CMT",$H220)),"본사(소재팀)","생산처")))</f>
        <v>생산처</v>
      </c>
      <c r="U220" s="26" t="s">
        <v>183</v>
      </c>
      <c r="V220" s="26" t="s">
        <v>183</v>
      </c>
      <c r="W220" s="25" t="s">
        <v>103</v>
      </c>
      <c r="X220" s="26" t="s">
        <v>901</v>
      </c>
      <c r="Y220" s="32" t="s">
        <v>902</v>
      </c>
      <c r="Z220" s="32"/>
      <c r="AA220" s="28" t="n">
        <v>46219</v>
      </c>
      <c r="AB220" s="33" t="n">
        <v>2000</v>
      </c>
      <c r="AC220" s="33" t="n">
        <v>70766000</v>
      </c>
      <c r="AD220" s="33" t="n">
        <v>336000000</v>
      </c>
      <c r="AE220" s="26" t="s">
        <v>568</v>
      </c>
      <c r="AF220" s="26" t="str">
        <f aca="false"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>소재 입고일정 확인 필요</v>
      </c>
      <c r="AG220" s="24" t="str">
        <f aca="false">IF($K220="","",IF(OR(LEFT($AF220,2)="작지",LEFT($AF220,4)="소재입고"),IF(LEFT($G220,1)="S","★ 납기위험(S코드)","◆ 지연주의"),IF($AF220="정상","✓ 정상","? 확인필요")))</f>
        <v>? 확인필요</v>
      </c>
      <c r="AH220" s="27"/>
      <c r="AI220" s="34"/>
    </row>
    <row r="221" customFormat="false" ht="15" hidden="false" customHeight="false" outlineLevel="0" collapsed="false">
      <c r="A221" s="24" t="n">
        <v>217</v>
      </c>
      <c r="B221" s="25" t="s">
        <v>250</v>
      </c>
      <c r="C221" s="25" t="s">
        <v>251</v>
      </c>
      <c r="D221" s="26" t="s">
        <v>903</v>
      </c>
      <c r="E221" s="25" t="s">
        <v>904</v>
      </c>
      <c r="F221" s="26" t="s">
        <v>196</v>
      </c>
      <c r="G221" s="24" t="str">
        <f aca="false">IF($D221="","",IF(MID($D221,5,1)="S","S(봄)",IF(MID($D221,5,1)="M","M(여름)",IF(MID($D221,5,1)="X","X(사계절)",MID($D221,5,1)))))</f>
        <v>M(여름)</v>
      </c>
      <c r="H221" s="25" t="s">
        <v>97</v>
      </c>
      <c r="I221" s="24"/>
      <c r="J221" s="27" t="s">
        <v>568</v>
      </c>
      <c r="K221" s="28" t="n">
        <f aca="false">IF($J221="","",IFERROR(DATE(IF(VALUE(LEFT($J221,FIND("월",$J221)-1))&gt;=9,기준정보!$C$7-1,기준정보!$C$7),VALUE(LEFT($J221,FIND("월",$J221)-1)),1+7*(VALUE(SUBSTITUTE(MID($J221,FIND("월",$J221)+1,5),"주",""))-1)),""))</f>
        <v>46454</v>
      </c>
      <c r="L221" s="28" t="n">
        <f aca="false">IF($K221="","",IF(AND($K221-기준정보!$C$5&gt;=기준정보!$C$10,$K221-기준정보!$C$5&lt;=기준정보!$C$11),기준정보!$C$10-1,$K221-기준정보!$C$5))</f>
        <v>46440</v>
      </c>
      <c r="M221" s="29" t="n">
        <f aca="false"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>15</v>
      </c>
      <c r="N221" s="28" t="n">
        <f aca="false">IF($L221="","",$L221-기준정보!$C$6-$M221)</f>
        <v>46335</v>
      </c>
      <c r="O221" s="30" t="n">
        <f aca="false">IF($N221="","",$N221-기준정보!$C$4)</f>
        <v>82</v>
      </c>
      <c r="P221" s="27"/>
      <c r="Q221" s="27" t="s">
        <v>100</v>
      </c>
      <c r="R221" s="27" t="s">
        <v>100</v>
      </c>
      <c r="S221" s="31"/>
      <c r="T221" s="26" t="str">
        <f aca="false">IF($H221="","",IF(AND(ISNUMBER(SEARCH("CMT",$H221)),OR(ISNUMBER(SEARCH("완사입",$H221)),ISNUMBER(SEARCH("ODM",$H221)))),"본사/생산처 혼재",IF(ISNUMBER(SEARCH("CMT",$H221)),"본사(소재팀)","생산처")))</f>
        <v>생산처</v>
      </c>
      <c r="U221" s="25" t="s">
        <v>289</v>
      </c>
      <c r="V221" s="25" t="s">
        <v>289</v>
      </c>
      <c r="W221" s="25" t="s">
        <v>103</v>
      </c>
      <c r="X221" s="25" t="s">
        <v>573</v>
      </c>
      <c r="Y221" s="35" t="s">
        <v>574</v>
      </c>
      <c r="Z221" s="32"/>
      <c r="AA221" s="28" t="n">
        <v>46195</v>
      </c>
      <c r="AB221" s="33" t="n">
        <v>2000</v>
      </c>
      <c r="AC221" s="33" t="n">
        <v>74858000</v>
      </c>
      <c r="AD221" s="33" t="n">
        <v>336000000</v>
      </c>
      <c r="AE221" s="26" t="s">
        <v>568</v>
      </c>
      <c r="AF221" s="26" t="str">
        <f aca="false"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>소재 입고일정 확인 필요</v>
      </c>
      <c r="AG221" s="24" t="str">
        <f aca="false">IF($K221="","",IF(OR(LEFT($AF221,2)="작지",LEFT($AF221,4)="소재입고"),IF(LEFT($G221,1)="S","★ 납기위험(S코드)","◆ 지연주의"),IF($AF221="정상","✓ 정상","? 확인필요")))</f>
        <v>? 확인필요</v>
      </c>
      <c r="AH221" s="27"/>
      <c r="AI221" s="34"/>
    </row>
    <row r="222" customFormat="false" ht="15" hidden="false" customHeight="false" outlineLevel="0" collapsed="false">
      <c r="A222" s="24" t="n">
        <v>218</v>
      </c>
      <c r="B222" s="25" t="s">
        <v>250</v>
      </c>
      <c r="C222" s="25" t="s">
        <v>251</v>
      </c>
      <c r="D222" s="26" t="s">
        <v>905</v>
      </c>
      <c r="E222" s="25" t="s">
        <v>906</v>
      </c>
      <c r="F222" s="26" t="s">
        <v>907</v>
      </c>
      <c r="G222" s="24" t="str">
        <f aca="false">IF($D222="","",IF(MID($D222,5,1)="S","S(봄)",IF(MID($D222,5,1)="M","M(여름)",IF(MID($D222,5,1)="X","X(사계절)",MID($D222,5,1)))))</f>
        <v>M(여름)</v>
      </c>
      <c r="H222" s="25" t="s">
        <v>97</v>
      </c>
      <c r="I222" s="24"/>
      <c r="J222" s="27" t="s">
        <v>568</v>
      </c>
      <c r="K222" s="28" t="n">
        <f aca="false">IF($J222="","",IFERROR(DATE(IF(VALUE(LEFT($J222,FIND("월",$J222)-1))&gt;=9,기준정보!$C$7-1,기준정보!$C$7),VALUE(LEFT($J222,FIND("월",$J222)-1)),1+7*(VALUE(SUBSTITUTE(MID($J222,FIND("월",$J222)+1,5),"주",""))-1)),""))</f>
        <v>46454</v>
      </c>
      <c r="L222" s="28" t="n">
        <f aca="false">IF($K222="","",IF(AND($K222-기준정보!$C$5&gt;=기준정보!$C$10,$K222-기준정보!$C$5&lt;=기준정보!$C$11),기준정보!$C$10-1,$K222-기준정보!$C$5))</f>
        <v>46440</v>
      </c>
      <c r="M222" s="29" t="n">
        <f aca="false"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>15</v>
      </c>
      <c r="N222" s="28" t="n">
        <f aca="false">IF($L222="","",$L222-기준정보!$C$6-$M222)</f>
        <v>46335</v>
      </c>
      <c r="O222" s="30" t="n">
        <f aca="false">IF($N222="","",$N222-기준정보!$C$4)</f>
        <v>82</v>
      </c>
      <c r="P222" s="27"/>
      <c r="Q222" s="27" t="s">
        <v>101</v>
      </c>
      <c r="R222" s="27" t="s">
        <v>101</v>
      </c>
      <c r="S222" s="31"/>
      <c r="T222" s="26" t="str">
        <f aca="false">IF($H222="","",IF(AND(ISNUMBER(SEARCH("CMT",$H222)),OR(ISNUMBER(SEARCH("완사입",$H222)),ISNUMBER(SEARCH("ODM",$H222)))),"본사/생산처 혼재",IF(ISNUMBER(SEARCH("CMT",$H222)),"본사(소재팀)","생산처")))</f>
        <v>생산처</v>
      </c>
      <c r="U222" s="26" t="s">
        <v>161</v>
      </c>
      <c r="V222" s="26"/>
      <c r="W222" s="25" t="s">
        <v>103</v>
      </c>
      <c r="X222" s="26"/>
      <c r="Y222" s="32"/>
      <c r="Z222" s="32"/>
      <c r="AA222" s="28"/>
      <c r="AB222" s="33" t="n">
        <v>1500</v>
      </c>
      <c r="AC222" s="33" t="n">
        <v>21750000</v>
      </c>
      <c r="AD222" s="33" t="n">
        <v>177000000</v>
      </c>
      <c r="AE222" s="26" t="s">
        <v>568</v>
      </c>
      <c r="AF222" s="26" t="str">
        <f aca="false"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>작지 미발행</v>
      </c>
      <c r="AG222" s="24" t="str">
        <f aca="false">IF($K222="","",IF(OR(LEFT($AF222,2)="작지",LEFT($AF222,4)="소재입고"),IF(LEFT($G222,1)="S","★ 납기위험(S코드)","◆ 지연주의"),IF($AF222="정상","✓ 정상","? 확인필요")))</f>
        <v>◆ 지연주의</v>
      </c>
      <c r="AH222" s="27"/>
      <c r="AI222" s="34"/>
    </row>
    <row r="223" customFormat="false" ht="15" hidden="false" customHeight="false" outlineLevel="0" collapsed="false">
      <c r="A223" s="24" t="n">
        <v>219</v>
      </c>
      <c r="B223" s="25" t="s">
        <v>250</v>
      </c>
      <c r="C223" s="25" t="s">
        <v>251</v>
      </c>
      <c r="D223" s="26" t="s">
        <v>908</v>
      </c>
      <c r="E223" s="25" t="s">
        <v>909</v>
      </c>
      <c r="F223" s="26" t="s">
        <v>910</v>
      </c>
      <c r="G223" s="24" t="str">
        <f aca="false">IF($D223="","",IF(MID($D223,5,1)="S","S(봄)",IF(MID($D223,5,1)="M","M(여름)",IF(MID($D223,5,1)="X","X(사계절)",MID($D223,5,1)))))</f>
        <v>M(여름)</v>
      </c>
      <c r="H223" s="25" t="s">
        <v>97</v>
      </c>
      <c r="I223" s="24"/>
      <c r="J223" s="27" t="s">
        <v>568</v>
      </c>
      <c r="K223" s="28" t="n">
        <f aca="false">IF($J223="","",IFERROR(DATE(IF(VALUE(LEFT($J223,FIND("월",$J223)-1))&gt;=9,기준정보!$C$7-1,기준정보!$C$7),VALUE(LEFT($J223,FIND("월",$J223)-1)),1+7*(VALUE(SUBSTITUTE(MID($J223,FIND("월",$J223)+1,5),"주",""))-1)),""))</f>
        <v>46454</v>
      </c>
      <c r="L223" s="28" t="n">
        <f aca="false">IF($K223="","",IF(AND($K223-기준정보!$C$5&gt;=기준정보!$C$10,$K223-기준정보!$C$5&lt;=기준정보!$C$11),기준정보!$C$10-1,$K223-기준정보!$C$5))</f>
        <v>46440</v>
      </c>
      <c r="M223" s="29" t="n">
        <f aca="false"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>15</v>
      </c>
      <c r="N223" s="28" t="n">
        <f aca="false">IF($L223="","",$L223-기준정보!$C$6-$M223)</f>
        <v>46335</v>
      </c>
      <c r="O223" s="30" t="n">
        <f aca="false">IF($N223="","",$N223-기준정보!$C$4)</f>
        <v>82</v>
      </c>
      <c r="P223" s="27"/>
      <c r="Q223" s="27" t="s">
        <v>101</v>
      </c>
      <c r="R223" s="27" t="s">
        <v>101</v>
      </c>
      <c r="S223" s="31"/>
      <c r="T223" s="26" t="str">
        <f aca="false">IF($H223="","",IF(AND(ISNUMBER(SEARCH("CMT",$H223)),OR(ISNUMBER(SEARCH("완사입",$H223)),ISNUMBER(SEARCH("ODM",$H223)))),"본사/생산처 혼재",IF(ISNUMBER(SEARCH("CMT",$H223)),"본사(소재팀)","생산처")))</f>
        <v>생산처</v>
      </c>
      <c r="U223" s="26" t="s">
        <v>161</v>
      </c>
      <c r="V223" s="26"/>
      <c r="W223" s="25" t="s">
        <v>103</v>
      </c>
      <c r="X223" s="26"/>
      <c r="Y223" s="32"/>
      <c r="Z223" s="32"/>
      <c r="AA223" s="28"/>
      <c r="AB223" s="33" t="n">
        <v>6300</v>
      </c>
      <c r="AC223" s="33" t="n">
        <v>59850000</v>
      </c>
      <c r="AD223" s="33" t="n">
        <v>428400000</v>
      </c>
      <c r="AE223" s="26" t="s">
        <v>568</v>
      </c>
      <c r="AF223" s="26" t="str">
        <f aca="false"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>작지 미발행</v>
      </c>
      <c r="AG223" s="24" t="str">
        <f aca="false">IF($K223="","",IF(OR(LEFT($AF223,2)="작지",LEFT($AF223,4)="소재입고"),IF(LEFT($G223,1)="S","★ 납기위험(S코드)","◆ 지연주의"),IF($AF223="정상","✓ 정상","? 확인필요")))</f>
        <v>◆ 지연주의</v>
      </c>
      <c r="AH223" s="27"/>
      <c r="AI223" s="34"/>
    </row>
    <row r="224" customFormat="false" ht="15" hidden="false" customHeight="false" outlineLevel="0" collapsed="false">
      <c r="A224" s="24" t="n">
        <v>220</v>
      </c>
      <c r="B224" s="25" t="s">
        <v>250</v>
      </c>
      <c r="C224" s="25" t="s">
        <v>251</v>
      </c>
      <c r="D224" s="26" t="s">
        <v>911</v>
      </c>
      <c r="E224" s="25" t="s">
        <v>912</v>
      </c>
      <c r="F224" s="26" t="s">
        <v>913</v>
      </c>
      <c r="G224" s="24" t="str">
        <f aca="false">IF($D224="","",IF(MID($D224,5,1)="S","S(봄)",IF(MID($D224,5,1)="M","M(여름)",IF(MID($D224,5,1)="X","X(사계절)",MID($D224,5,1)))))</f>
        <v>M(여름)</v>
      </c>
      <c r="H224" s="25" t="s">
        <v>97</v>
      </c>
      <c r="I224" s="24"/>
      <c r="J224" s="27" t="s">
        <v>568</v>
      </c>
      <c r="K224" s="28" t="n">
        <f aca="false">IF($J224="","",IFERROR(DATE(IF(VALUE(LEFT($J224,FIND("월",$J224)-1))&gt;=9,기준정보!$C$7-1,기준정보!$C$7),VALUE(LEFT($J224,FIND("월",$J224)-1)),1+7*(VALUE(SUBSTITUTE(MID($J224,FIND("월",$J224)+1,5),"주",""))-1)),""))</f>
        <v>46454</v>
      </c>
      <c r="L224" s="28" t="n">
        <f aca="false">IF($K224="","",IF(AND($K224-기준정보!$C$5&gt;=기준정보!$C$10,$K224-기준정보!$C$5&lt;=기준정보!$C$11),기준정보!$C$10-1,$K224-기준정보!$C$5))</f>
        <v>46440</v>
      </c>
      <c r="M224" s="29" t="n">
        <f aca="false"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>15</v>
      </c>
      <c r="N224" s="28" t="n">
        <f aca="false">IF($L224="","",$L224-기준정보!$C$6-$M224)</f>
        <v>46335</v>
      </c>
      <c r="O224" s="30" t="n">
        <f aca="false">IF($N224="","",$N224-기준정보!$C$4)</f>
        <v>82</v>
      </c>
      <c r="P224" s="27"/>
      <c r="Q224" s="27" t="s">
        <v>100</v>
      </c>
      <c r="R224" s="27" t="s">
        <v>100</v>
      </c>
      <c r="S224" s="31"/>
      <c r="T224" s="26" t="str">
        <f aca="false">IF($H224="","",IF(AND(ISNUMBER(SEARCH("CMT",$H224)),OR(ISNUMBER(SEARCH("완사입",$H224)),ISNUMBER(SEARCH("ODM",$H224)))),"본사/생산처 혼재",IF(ISNUMBER(SEARCH("CMT",$H224)),"본사(소재팀)","생산처")))</f>
        <v>생산처</v>
      </c>
      <c r="U224" s="25" t="s">
        <v>380</v>
      </c>
      <c r="V224" s="25" t="s">
        <v>380</v>
      </c>
      <c r="W224" s="25" t="s">
        <v>103</v>
      </c>
      <c r="X224" s="25" t="s">
        <v>573</v>
      </c>
      <c r="Y224" s="35" t="s">
        <v>574</v>
      </c>
      <c r="Z224" s="32"/>
      <c r="AA224" s="28" t="n">
        <v>46223</v>
      </c>
      <c r="AB224" s="33" t="n">
        <v>2500</v>
      </c>
      <c r="AC224" s="33" t="n">
        <v>50685000</v>
      </c>
      <c r="AD224" s="33" t="n">
        <v>345000000</v>
      </c>
      <c r="AE224" s="26" t="s">
        <v>568</v>
      </c>
      <c r="AF224" s="26" t="str">
        <f aca="false"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>소재 입고일정 확인 필요</v>
      </c>
      <c r="AG224" s="24" t="str">
        <f aca="false">IF($K224="","",IF(OR(LEFT($AF224,2)="작지",LEFT($AF224,4)="소재입고"),IF(LEFT($G224,1)="S","★ 납기위험(S코드)","◆ 지연주의"),IF($AF224="정상","✓ 정상","? 확인필요")))</f>
        <v>? 확인필요</v>
      </c>
      <c r="AH224" s="27"/>
      <c r="AI224" s="34"/>
    </row>
    <row r="225" customFormat="false" ht="15" hidden="false" customHeight="false" outlineLevel="0" collapsed="false">
      <c r="A225" s="24" t="n">
        <v>221</v>
      </c>
      <c r="B225" s="25" t="s">
        <v>250</v>
      </c>
      <c r="C225" s="25" t="s">
        <v>251</v>
      </c>
      <c r="D225" s="26" t="s">
        <v>914</v>
      </c>
      <c r="E225" s="25" t="s">
        <v>915</v>
      </c>
      <c r="F225" s="26" t="s">
        <v>572</v>
      </c>
      <c r="G225" s="24" t="str">
        <f aca="false">IF($D225="","",IF(MID($D225,5,1)="S","S(봄)",IF(MID($D225,5,1)="M","M(여름)",IF(MID($D225,5,1)="X","X(사계절)",MID($D225,5,1)))))</f>
        <v>M(여름)</v>
      </c>
      <c r="H225" s="25" t="s">
        <v>97</v>
      </c>
      <c r="I225" s="24"/>
      <c r="J225" s="27" t="s">
        <v>568</v>
      </c>
      <c r="K225" s="28" t="n">
        <f aca="false">IF($J225="","",IFERROR(DATE(IF(VALUE(LEFT($J225,FIND("월",$J225)-1))&gt;=9,기준정보!$C$7-1,기준정보!$C$7),VALUE(LEFT($J225,FIND("월",$J225)-1)),1+7*(VALUE(SUBSTITUTE(MID($J225,FIND("월",$J225)+1,5),"주",""))-1)),""))</f>
        <v>46454</v>
      </c>
      <c r="L225" s="28" t="n">
        <f aca="false">IF($K225="","",IF(AND($K225-기준정보!$C$5&gt;=기준정보!$C$10,$K225-기준정보!$C$5&lt;=기준정보!$C$11),기준정보!$C$10-1,$K225-기준정보!$C$5))</f>
        <v>46440</v>
      </c>
      <c r="M225" s="29" t="n">
        <f aca="false"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>15</v>
      </c>
      <c r="N225" s="28" t="n">
        <f aca="false">IF($L225="","",$L225-기준정보!$C$6-$M225)</f>
        <v>46335</v>
      </c>
      <c r="O225" s="30" t="n">
        <f aca="false">IF($N225="","",$N225-기준정보!$C$4)</f>
        <v>82</v>
      </c>
      <c r="P225" s="27"/>
      <c r="Q225" s="27" t="s">
        <v>100</v>
      </c>
      <c r="R225" s="27" t="s">
        <v>100</v>
      </c>
      <c r="S225" s="31"/>
      <c r="T225" s="26" t="str">
        <f aca="false">IF($H225="","",IF(AND(ISNUMBER(SEARCH("CMT",$H225)),OR(ISNUMBER(SEARCH("완사입",$H225)),ISNUMBER(SEARCH("ODM",$H225)))),"본사/생산처 혼재",IF(ISNUMBER(SEARCH("CMT",$H225)),"본사(소재팀)","생산처")))</f>
        <v>생산처</v>
      </c>
      <c r="U225" s="25" t="s">
        <v>135</v>
      </c>
      <c r="V225" s="25" t="s">
        <v>135</v>
      </c>
      <c r="W225" s="25" t="s">
        <v>103</v>
      </c>
      <c r="X225" s="26" t="s">
        <v>247</v>
      </c>
      <c r="Y225" s="32" t="s">
        <v>730</v>
      </c>
      <c r="Z225" s="32"/>
      <c r="AA225" s="28" t="n">
        <v>46199</v>
      </c>
      <c r="AB225" s="33" t="n">
        <v>4500</v>
      </c>
      <c r="AC225" s="33" t="n">
        <v>126063000</v>
      </c>
      <c r="AD225" s="33" t="n">
        <v>621000000</v>
      </c>
      <c r="AE225" s="26" t="s">
        <v>568</v>
      </c>
      <c r="AF225" s="26" t="str">
        <f aca="false"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>소재 입고일정 확인 필요</v>
      </c>
      <c r="AG225" s="24" t="str">
        <f aca="false">IF($K225="","",IF(OR(LEFT($AF225,2)="작지",LEFT($AF225,4)="소재입고"),IF(LEFT($G225,1)="S","★ 납기위험(S코드)","◆ 지연주의"),IF($AF225="정상","✓ 정상","? 확인필요")))</f>
        <v>? 확인필요</v>
      </c>
      <c r="AH225" s="27"/>
      <c r="AI225" s="34"/>
    </row>
    <row r="226" customFormat="false" ht="15" hidden="false" customHeight="false" outlineLevel="0" collapsed="false">
      <c r="A226" s="24" t="n">
        <v>222</v>
      </c>
      <c r="B226" s="25" t="s">
        <v>266</v>
      </c>
      <c r="C226" s="25" t="s">
        <v>243</v>
      </c>
      <c r="D226" s="26" t="s">
        <v>916</v>
      </c>
      <c r="E226" s="25" t="s">
        <v>917</v>
      </c>
      <c r="F226" s="26" t="s">
        <v>918</v>
      </c>
      <c r="G226" s="24" t="str">
        <f aca="false">IF($D226="","",IF(MID($D226,5,1)="S","S(봄)",IF(MID($D226,5,1)="M","M(여름)",IF(MID($D226,5,1)="X","X(사계절)",MID($D226,5,1)))))</f>
        <v>M(여름)</v>
      </c>
      <c r="H226" s="25" t="s">
        <v>97</v>
      </c>
      <c r="I226" s="24"/>
      <c r="J226" s="27" t="s">
        <v>568</v>
      </c>
      <c r="K226" s="28" t="n">
        <f aca="false">IF($J226="","",IFERROR(DATE(IF(VALUE(LEFT($J226,FIND("월",$J226)-1))&gt;=9,기준정보!$C$7-1,기준정보!$C$7),VALUE(LEFT($J226,FIND("월",$J226)-1)),1+7*(VALUE(SUBSTITUTE(MID($J226,FIND("월",$J226)+1,5),"주",""))-1)),""))</f>
        <v>46454</v>
      </c>
      <c r="L226" s="28" t="n">
        <f aca="false">IF($K226="","",IF(AND($K226-기준정보!$C$5&gt;=기준정보!$C$10,$K226-기준정보!$C$5&lt;=기준정보!$C$11),기준정보!$C$10-1,$K226-기준정보!$C$5))</f>
        <v>46440</v>
      </c>
      <c r="M226" s="29" t="n">
        <f aca="false"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>0</v>
      </c>
      <c r="N226" s="28" t="n">
        <f aca="false">IF($L226="","",$L226-기준정보!$C$6-$M226)</f>
        <v>46350</v>
      </c>
      <c r="O226" s="30" t="n">
        <f aca="false">IF($N226="","",$N226-기준정보!$C$4)</f>
        <v>97</v>
      </c>
      <c r="P226" s="27"/>
      <c r="Q226" s="27" t="s">
        <v>100</v>
      </c>
      <c r="R226" s="27" t="s">
        <v>101</v>
      </c>
      <c r="S226" s="31"/>
      <c r="T226" s="26" t="str">
        <f aca="false">IF($H226="","",IF(AND(ISNUMBER(SEARCH("CMT",$H226)),OR(ISNUMBER(SEARCH("완사입",$H226)),ISNUMBER(SEARCH("ODM",$H226)))),"본사/생산처 혼재",IF(ISNUMBER(SEARCH("CMT",$H226)),"본사(소재팀)","생산처")))</f>
        <v>생산처</v>
      </c>
      <c r="U226" s="25" t="s">
        <v>109</v>
      </c>
      <c r="V226" s="25" t="s">
        <v>109</v>
      </c>
      <c r="W226" s="25" t="s">
        <v>110</v>
      </c>
      <c r="X226" s="25" t="s">
        <v>457</v>
      </c>
      <c r="Y226" s="35" t="s">
        <v>888</v>
      </c>
      <c r="Z226" s="32"/>
      <c r="AA226" s="28" t="n">
        <v>46223</v>
      </c>
      <c r="AB226" s="33" t="n">
        <v>3200</v>
      </c>
      <c r="AC226" s="33" t="n">
        <v>192000000</v>
      </c>
      <c r="AD226" s="33" t="n">
        <v>928000000</v>
      </c>
      <c r="AE226" s="26"/>
      <c r="AF226" s="26" t="str">
        <f aca="false"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>소재 입고일정 확인 필요</v>
      </c>
      <c r="AG226" s="24" t="str">
        <f aca="false">IF($K226="","",IF(OR(LEFT($AF226,2)="작지",LEFT($AF226,4)="소재입고"),IF(LEFT($G226,1)="S","★ 납기위험(S코드)","◆ 지연주의"),IF($AF226="정상","✓ 정상","? 확인필요")))</f>
        <v>? 확인필요</v>
      </c>
      <c r="AH226" s="27"/>
      <c r="AI226" s="34"/>
    </row>
    <row r="227" customFormat="false" ht="15" hidden="false" customHeight="false" outlineLevel="0" collapsed="false">
      <c r="A227" s="24" t="n">
        <v>223</v>
      </c>
      <c r="B227" s="25" t="s">
        <v>270</v>
      </c>
      <c r="C227" s="25" t="s">
        <v>271</v>
      </c>
      <c r="D227" s="26" t="s">
        <v>919</v>
      </c>
      <c r="E227" s="25" t="s">
        <v>920</v>
      </c>
      <c r="F227" s="26" t="s">
        <v>921</v>
      </c>
      <c r="G227" s="24" t="str">
        <f aca="false">IF($D227="","",IF(MID($D227,5,1)="S","S(봄)",IF(MID($D227,5,1)="M","M(여름)",IF(MID($D227,5,1)="X","X(사계절)",MID($D227,5,1)))))</f>
        <v>M(여름)</v>
      </c>
      <c r="H227" s="25" t="s">
        <v>97</v>
      </c>
      <c r="I227" s="24" t="s">
        <v>502</v>
      </c>
      <c r="J227" s="27" t="s">
        <v>568</v>
      </c>
      <c r="K227" s="28" t="n">
        <f aca="false">IF($J227="","",IFERROR(DATE(IF(VALUE(LEFT($J227,FIND("월",$J227)-1))&gt;=9,기준정보!$C$7-1,기준정보!$C$7),VALUE(LEFT($J227,FIND("월",$J227)-1)),1+7*(VALUE(SUBSTITUTE(MID($J227,FIND("월",$J227)+1,5),"주",""))-1)),""))</f>
        <v>46454</v>
      </c>
      <c r="L227" s="28" t="n">
        <f aca="false">IF($K227="","",IF(AND($K227-기준정보!$C$5&gt;=기준정보!$C$10,$K227-기준정보!$C$5&lt;=기준정보!$C$11),기준정보!$C$10-1,$K227-기준정보!$C$5))</f>
        <v>46440</v>
      </c>
      <c r="M227" s="29" t="n">
        <f aca="false"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>15</v>
      </c>
      <c r="N227" s="28" t="n">
        <f aca="false">IF($L227="","",$L227-기준정보!$C$6-$M227)</f>
        <v>46335</v>
      </c>
      <c r="O227" s="30" t="n">
        <f aca="false">IF($N227="","",$N227-기준정보!$C$4)</f>
        <v>82</v>
      </c>
      <c r="P227" s="27"/>
      <c r="Q227" s="27" t="s">
        <v>100</v>
      </c>
      <c r="R227" s="27" t="s">
        <v>100</v>
      </c>
      <c r="S227" s="31"/>
      <c r="T227" s="26" t="str">
        <f aca="false">IF($H227="","",IF(AND(ISNUMBER(SEARCH("CMT",$H227)),OR(ISNUMBER(SEARCH("완사입",$H227)),ISNUMBER(SEARCH("ODM",$H227)))),"본사/생산처 혼재",IF(ISNUMBER(SEARCH("CMT",$H227)),"본사(소재팀)","생산처")))</f>
        <v>생산처</v>
      </c>
      <c r="U227" s="26" t="s">
        <v>183</v>
      </c>
      <c r="V227" s="26" t="s">
        <v>183</v>
      </c>
      <c r="W227" s="25" t="s">
        <v>103</v>
      </c>
      <c r="X227" s="25" t="s">
        <v>344</v>
      </c>
      <c r="Y227" s="35" t="s">
        <v>696</v>
      </c>
      <c r="Z227" s="32"/>
      <c r="AA227" s="28" t="n">
        <v>46213</v>
      </c>
      <c r="AB227" s="33" t="n">
        <v>1616</v>
      </c>
      <c r="AC227" s="33" t="n">
        <v>45248000</v>
      </c>
      <c r="AD227" s="33" t="n">
        <v>287648000</v>
      </c>
      <c r="AE227" s="26" t="s">
        <v>568</v>
      </c>
      <c r="AF227" s="26" t="str">
        <f aca="false"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>소재 입고일정 확인 필요</v>
      </c>
      <c r="AG227" s="24" t="str">
        <f aca="false">IF($K227="","",IF(OR(LEFT($AF227,2)="작지",LEFT($AF227,4)="소재입고"),IF(LEFT($G227,1)="S","★ 납기위험(S코드)","◆ 지연주의"),IF($AF227="정상","✓ 정상","? 확인필요")))</f>
        <v>? 확인필요</v>
      </c>
      <c r="AH227" s="27"/>
      <c r="AI227" s="34"/>
    </row>
    <row r="228" customFormat="false" ht="15" hidden="false" customHeight="false" outlineLevel="0" collapsed="false">
      <c r="A228" s="24" t="n">
        <v>224</v>
      </c>
      <c r="B228" s="25" t="s">
        <v>270</v>
      </c>
      <c r="C228" s="25" t="s">
        <v>271</v>
      </c>
      <c r="D228" s="26" t="s">
        <v>922</v>
      </c>
      <c r="E228" s="25" t="s">
        <v>923</v>
      </c>
      <c r="F228" s="26" t="s">
        <v>924</v>
      </c>
      <c r="G228" s="24" t="str">
        <f aca="false">IF($D228="","",IF(MID($D228,5,1)="S","S(봄)",IF(MID($D228,5,1)="M","M(여름)",IF(MID($D228,5,1)="X","X(사계절)",MID($D228,5,1)))))</f>
        <v>M(여름)</v>
      </c>
      <c r="H228" s="25" t="s">
        <v>97</v>
      </c>
      <c r="I228" s="24" t="s">
        <v>502</v>
      </c>
      <c r="J228" s="27" t="s">
        <v>568</v>
      </c>
      <c r="K228" s="28" t="n">
        <f aca="false">IF($J228="","",IFERROR(DATE(IF(VALUE(LEFT($J228,FIND("월",$J228)-1))&gt;=9,기준정보!$C$7-1,기준정보!$C$7),VALUE(LEFT($J228,FIND("월",$J228)-1)),1+7*(VALUE(SUBSTITUTE(MID($J228,FIND("월",$J228)+1,5),"주",""))-1)),""))</f>
        <v>46454</v>
      </c>
      <c r="L228" s="28" t="n">
        <f aca="false">IF($K228="","",IF(AND($K228-기준정보!$C$5&gt;=기준정보!$C$10,$K228-기준정보!$C$5&lt;=기준정보!$C$11),기준정보!$C$10-1,$K228-기준정보!$C$5))</f>
        <v>46440</v>
      </c>
      <c r="M228" s="29" t="n">
        <f aca="false"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>15</v>
      </c>
      <c r="N228" s="28" t="n">
        <f aca="false">IF($L228="","",$L228-기준정보!$C$6-$M228)</f>
        <v>46335</v>
      </c>
      <c r="O228" s="30" t="n">
        <f aca="false">IF($N228="","",$N228-기준정보!$C$4)</f>
        <v>82</v>
      </c>
      <c r="P228" s="27"/>
      <c r="Q228" s="27" t="s">
        <v>101</v>
      </c>
      <c r="R228" s="27" t="s">
        <v>101</v>
      </c>
      <c r="S228" s="31"/>
      <c r="T228" s="26" t="str">
        <f aca="false">IF($H228="","",IF(AND(ISNUMBER(SEARCH("CMT",$H228)),OR(ISNUMBER(SEARCH("완사입",$H228)),ISNUMBER(SEARCH("ODM",$H228)))),"본사/생산처 혼재",IF(ISNUMBER(SEARCH("CMT",$H228)),"본사(소재팀)","생산처")))</f>
        <v>생산처</v>
      </c>
      <c r="U228" s="25" t="s">
        <v>313</v>
      </c>
      <c r="V228" s="26"/>
      <c r="W228" s="25" t="s">
        <v>103</v>
      </c>
      <c r="X228" s="26"/>
      <c r="Y228" s="32"/>
      <c r="Z228" s="32"/>
      <c r="AA228" s="28"/>
      <c r="AB228" s="33" t="n">
        <v>6500</v>
      </c>
      <c r="AC228" s="33" t="n">
        <v>151599500</v>
      </c>
      <c r="AD228" s="33" t="n">
        <v>1027000000</v>
      </c>
      <c r="AE228" s="26" t="s">
        <v>568</v>
      </c>
      <c r="AF228" s="26" t="str">
        <f aca="false"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>작지 미발행</v>
      </c>
      <c r="AG228" s="24" t="str">
        <f aca="false">IF($K228="","",IF(OR(LEFT($AF228,2)="작지",LEFT($AF228,4)="소재입고"),IF(LEFT($G228,1)="S","★ 납기위험(S코드)","◆ 지연주의"),IF($AF228="정상","✓ 정상","? 확인필요")))</f>
        <v>◆ 지연주의</v>
      </c>
      <c r="AH228" s="27"/>
      <c r="AI228" s="34"/>
    </row>
    <row r="229" customFormat="false" ht="15" hidden="false" customHeight="false" outlineLevel="0" collapsed="false">
      <c r="A229" s="24" t="n">
        <v>225</v>
      </c>
      <c r="B229" s="25" t="s">
        <v>270</v>
      </c>
      <c r="C229" s="25" t="s">
        <v>271</v>
      </c>
      <c r="D229" s="26" t="s">
        <v>925</v>
      </c>
      <c r="E229" s="25" t="s">
        <v>926</v>
      </c>
      <c r="F229" s="26" t="s">
        <v>288</v>
      </c>
      <c r="G229" s="24" t="str">
        <f aca="false">IF($D229="","",IF(MID($D229,5,1)="S","S(봄)",IF(MID($D229,5,1)="M","M(여름)",IF(MID($D229,5,1)="X","X(사계절)",MID($D229,5,1)))))</f>
        <v>M(여름)</v>
      </c>
      <c r="H229" s="25" t="s">
        <v>97</v>
      </c>
      <c r="I229" s="24" t="s">
        <v>502</v>
      </c>
      <c r="J229" s="27" t="s">
        <v>568</v>
      </c>
      <c r="K229" s="28" t="n">
        <f aca="false">IF($J229="","",IFERROR(DATE(IF(VALUE(LEFT($J229,FIND("월",$J229)-1))&gt;=9,기준정보!$C$7-1,기준정보!$C$7),VALUE(LEFT($J229,FIND("월",$J229)-1)),1+7*(VALUE(SUBSTITUTE(MID($J229,FIND("월",$J229)+1,5),"주",""))-1)),""))</f>
        <v>46454</v>
      </c>
      <c r="L229" s="28" t="n">
        <f aca="false">IF($K229="","",IF(AND($K229-기준정보!$C$5&gt;=기준정보!$C$10,$K229-기준정보!$C$5&lt;=기준정보!$C$11),기준정보!$C$10-1,$K229-기준정보!$C$5))</f>
        <v>46440</v>
      </c>
      <c r="M229" s="29" t="n">
        <f aca="false"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>15</v>
      </c>
      <c r="N229" s="28" t="n">
        <f aca="false">IF($L229="","",$L229-기준정보!$C$6-$M229)</f>
        <v>46335</v>
      </c>
      <c r="O229" s="30" t="n">
        <f aca="false">IF($N229="","",$N229-기준정보!$C$4)</f>
        <v>82</v>
      </c>
      <c r="P229" s="27"/>
      <c r="Q229" s="27" t="s">
        <v>100</v>
      </c>
      <c r="R229" s="27" t="s">
        <v>100</v>
      </c>
      <c r="S229" s="31"/>
      <c r="T229" s="26" t="str">
        <f aca="false">IF($H229="","",IF(AND(ISNUMBER(SEARCH("CMT",$H229)),OR(ISNUMBER(SEARCH("완사입",$H229)),ISNUMBER(SEARCH("ODM",$H229)))),"본사/생산처 혼재",IF(ISNUMBER(SEARCH("CMT",$H229)),"본사(소재팀)","생산처")))</f>
        <v>생산처</v>
      </c>
      <c r="U229" s="26" t="s">
        <v>183</v>
      </c>
      <c r="V229" s="26" t="s">
        <v>183</v>
      </c>
      <c r="W229" s="25" t="s">
        <v>103</v>
      </c>
      <c r="X229" s="26" t="s">
        <v>901</v>
      </c>
      <c r="Y229" s="32" t="s">
        <v>902</v>
      </c>
      <c r="Z229" s="32"/>
      <c r="AA229" s="28" t="n">
        <v>46219</v>
      </c>
      <c r="AB229" s="33" t="n">
        <v>2000</v>
      </c>
      <c r="AC229" s="33" t="n">
        <v>73354000</v>
      </c>
      <c r="AD229" s="33" t="n">
        <v>376000000</v>
      </c>
      <c r="AE229" s="26" t="s">
        <v>568</v>
      </c>
      <c r="AF229" s="26" t="str">
        <f aca="false"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>소재 입고일정 확인 필요</v>
      </c>
      <c r="AG229" s="24" t="str">
        <f aca="false">IF($K229="","",IF(OR(LEFT($AF229,2)="작지",LEFT($AF229,4)="소재입고"),IF(LEFT($G229,1)="S","★ 납기위험(S코드)","◆ 지연주의"),IF($AF229="정상","✓ 정상","? 확인필요")))</f>
        <v>? 확인필요</v>
      </c>
      <c r="AH229" s="27"/>
      <c r="AI229" s="34"/>
    </row>
    <row r="230" customFormat="false" ht="15" hidden="false" customHeight="false" outlineLevel="0" collapsed="false">
      <c r="A230" s="24" t="n">
        <v>226</v>
      </c>
      <c r="B230" s="25" t="s">
        <v>270</v>
      </c>
      <c r="C230" s="25" t="s">
        <v>271</v>
      </c>
      <c r="D230" s="26" t="s">
        <v>927</v>
      </c>
      <c r="E230" s="25" t="s">
        <v>928</v>
      </c>
      <c r="F230" s="26" t="s">
        <v>265</v>
      </c>
      <c r="G230" s="24" t="str">
        <f aca="false">IF($D230="","",IF(MID($D230,5,1)="S","S(봄)",IF(MID($D230,5,1)="M","M(여름)",IF(MID($D230,5,1)="X","X(사계절)",MID($D230,5,1)))))</f>
        <v>M(여름)</v>
      </c>
      <c r="H230" s="25" t="s">
        <v>97</v>
      </c>
      <c r="I230" s="24" t="s">
        <v>502</v>
      </c>
      <c r="J230" s="27" t="s">
        <v>568</v>
      </c>
      <c r="K230" s="28" t="n">
        <f aca="false">IF($J230="","",IFERROR(DATE(IF(VALUE(LEFT($J230,FIND("월",$J230)-1))&gt;=9,기준정보!$C$7-1,기준정보!$C$7),VALUE(LEFT($J230,FIND("월",$J230)-1)),1+7*(VALUE(SUBSTITUTE(MID($J230,FIND("월",$J230)+1,5),"주",""))-1)),""))</f>
        <v>46454</v>
      </c>
      <c r="L230" s="28" t="n">
        <f aca="false">IF($K230="","",IF(AND($K230-기준정보!$C$5&gt;=기준정보!$C$10,$K230-기준정보!$C$5&lt;=기준정보!$C$11),기준정보!$C$10-1,$K230-기준정보!$C$5))</f>
        <v>46440</v>
      </c>
      <c r="M230" s="29" t="n">
        <f aca="false"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>15</v>
      </c>
      <c r="N230" s="28" t="n">
        <f aca="false">IF($L230="","",$L230-기준정보!$C$6-$M230)</f>
        <v>46335</v>
      </c>
      <c r="O230" s="30" t="n">
        <f aca="false">IF($N230="","",$N230-기준정보!$C$4)</f>
        <v>82</v>
      </c>
      <c r="P230" s="27"/>
      <c r="Q230" s="27" t="s">
        <v>100</v>
      </c>
      <c r="R230" s="27" t="s">
        <v>100</v>
      </c>
      <c r="S230" s="31"/>
      <c r="T230" s="26" t="str">
        <f aca="false">IF($H230="","",IF(AND(ISNUMBER(SEARCH("CMT",$H230)),OR(ISNUMBER(SEARCH("완사입",$H230)),ISNUMBER(SEARCH("ODM",$H230)))),"본사/생산처 혼재",IF(ISNUMBER(SEARCH("CMT",$H230)),"본사(소재팀)","생산처")))</f>
        <v>생산처</v>
      </c>
      <c r="U230" s="26" t="s">
        <v>280</v>
      </c>
      <c r="V230" s="26" t="s">
        <v>280</v>
      </c>
      <c r="W230" s="25" t="s">
        <v>103</v>
      </c>
      <c r="X230" s="25" t="s">
        <v>573</v>
      </c>
      <c r="Y230" s="35" t="s">
        <v>929</v>
      </c>
      <c r="Z230" s="32"/>
      <c r="AA230" s="28" t="n">
        <v>46237</v>
      </c>
      <c r="AB230" s="33" t="n">
        <v>9012</v>
      </c>
      <c r="AC230" s="33" t="n">
        <v>241458516</v>
      </c>
      <c r="AD230" s="33" t="n">
        <v>1604136000</v>
      </c>
      <c r="AE230" s="26" t="s">
        <v>568</v>
      </c>
      <c r="AF230" s="26" t="str">
        <f aca="false"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>소재 입고일정 확인 필요</v>
      </c>
      <c r="AG230" s="24" t="str">
        <f aca="false">IF($K230="","",IF(OR(LEFT($AF230,2)="작지",LEFT($AF230,4)="소재입고"),IF(LEFT($G230,1)="S","★ 납기위험(S코드)","◆ 지연주의"),IF($AF230="정상","✓ 정상","? 확인필요")))</f>
        <v>? 확인필요</v>
      </c>
      <c r="AH230" s="27"/>
      <c r="AI230" s="34"/>
    </row>
    <row r="231" customFormat="false" ht="15" hidden="false" customHeight="false" outlineLevel="0" collapsed="false">
      <c r="A231" s="24" t="n">
        <v>227</v>
      </c>
      <c r="B231" s="25" t="s">
        <v>270</v>
      </c>
      <c r="C231" s="25" t="s">
        <v>271</v>
      </c>
      <c r="D231" s="26" t="s">
        <v>930</v>
      </c>
      <c r="E231" s="25" t="s">
        <v>931</v>
      </c>
      <c r="F231" s="26" t="s">
        <v>932</v>
      </c>
      <c r="G231" s="24" t="str">
        <f aca="false">IF($D231="","",IF(MID($D231,5,1)="S","S(봄)",IF(MID($D231,5,1)="M","M(여름)",IF(MID($D231,5,1)="X","X(사계절)",MID($D231,5,1)))))</f>
        <v>M(여름)</v>
      </c>
      <c r="H231" s="25" t="s">
        <v>97</v>
      </c>
      <c r="I231" s="24" t="s">
        <v>502</v>
      </c>
      <c r="J231" s="27" t="s">
        <v>568</v>
      </c>
      <c r="K231" s="28" t="n">
        <f aca="false">IF($J231="","",IFERROR(DATE(IF(VALUE(LEFT($J231,FIND("월",$J231)-1))&gt;=9,기준정보!$C$7-1,기준정보!$C$7),VALUE(LEFT($J231,FIND("월",$J231)-1)),1+7*(VALUE(SUBSTITUTE(MID($J231,FIND("월",$J231)+1,5),"주",""))-1)),""))</f>
        <v>46454</v>
      </c>
      <c r="L231" s="28" t="n">
        <f aca="false">IF($K231="","",IF(AND($K231-기준정보!$C$5&gt;=기준정보!$C$10,$K231-기준정보!$C$5&lt;=기준정보!$C$11),기준정보!$C$10-1,$K231-기준정보!$C$5))</f>
        <v>46440</v>
      </c>
      <c r="M231" s="29" t="n">
        <f aca="false"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>15</v>
      </c>
      <c r="N231" s="28" t="n">
        <f aca="false">IF($L231="","",$L231-기준정보!$C$6-$M231)</f>
        <v>46335</v>
      </c>
      <c r="O231" s="30" t="n">
        <f aca="false">IF($N231="","",$N231-기준정보!$C$4)</f>
        <v>82</v>
      </c>
      <c r="P231" s="27"/>
      <c r="Q231" s="27" t="s">
        <v>100</v>
      </c>
      <c r="R231" s="27" t="s">
        <v>100</v>
      </c>
      <c r="S231" s="31"/>
      <c r="T231" s="26" t="str">
        <f aca="false">IF($H231="","",IF(AND(ISNUMBER(SEARCH("CMT",$H231)),OR(ISNUMBER(SEARCH("완사입",$H231)),ISNUMBER(SEARCH("ODM",$H231)))),"본사/생산처 혼재",IF(ISNUMBER(SEARCH("CMT",$H231)),"본사(소재팀)","생산처")))</f>
        <v>생산처</v>
      </c>
      <c r="U231" s="26" t="s">
        <v>280</v>
      </c>
      <c r="V231" s="26" t="s">
        <v>280</v>
      </c>
      <c r="W231" s="25" t="s">
        <v>103</v>
      </c>
      <c r="X231" s="25" t="s">
        <v>715</v>
      </c>
      <c r="Y231" s="35" t="s">
        <v>716</v>
      </c>
      <c r="Z231" s="32"/>
      <c r="AA231" s="28" t="n">
        <v>46223</v>
      </c>
      <c r="AB231" s="33" t="n">
        <v>1800</v>
      </c>
      <c r="AC231" s="33" t="n">
        <v>66821400</v>
      </c>
      <c r="AD231" s="33" t="n">
        <v>338400000</v>
      </c>
      <c r="AE231" s="26" t="s">
        <v>568</v>
      </c>
      <c r="AF231" s="26" t="str">
        <f aca="false"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>소재 입고일정 확인 필요</v>
      </c>
      <c r="AG231" s="24" t="str">
        <f aca="false">IF($K231="","",IF(OR(LEFT($AF231,2)="작지",LEFT($AF231,4)="소재입고"),IF(LEFT($G231,1)="S","★ 납기위험(S코드)","◆ 지연주의"),IF($AF231="정상","✓ 정상","? 확인필요")))</f>
        <v>? 확인필요</v>
      </c>
      <c r="AH231" s="27"/>
      <c r="AI231" s="34"/>
    </row>
    <row r="232" customFormat="false" ht="15" hidden="false" customHeight="false" outlineLevel="0" collapsed="false">
      <c r="A232" s="24" t="n">
        <v>228</v>
      </c>
      <c r="B232" s="25" t="s">
        <v>270</v>
      </c>
      <c r="C232" s="25" t="s">
        <v>271</v>
      </c>
      <c r="D232" s="26" t="s">
        <v>933</v>
      </c>
      <c r="E232" s="25" t="s">
        <v>934</v>
      </c>
      <c r="F232" s="26" t="s">
        <v>921</v>
      </c>
      <c r="G232" s="24" t="str">
        <f aca="false">IF($D232="","",IF(MID($D232,5,1)="S","S(봄)",IF(MID($D232,5,1)="M","M(여름)",IF(MID($D232,5,1)="X","X(사계절)",MID($D232,5,1)))))</f>
        <v>M(여름)</v>
      </c>
      <c r="H232" s="25" t="s">
        <v>97</v>
      </c>
      <c r="I232" s="24" t="s">
        <v>502</v>
      </c>
      <c r="J232" s="27" t="s">
        <v>568</v>
      </c>
      <c r="K232" s="28" t="n">
        <f aca="false">IF($J232="","",IFERROR(DATE(IF(VALUE(LEFT($J232,FIND("월",$J232)-1))&gt;=9,기준정보!$C$7-1,기준정보!$C$7),VALUE(LEFT($J232,FIND("월",$J232)-1)),1+7*(VALUE(SUBSTITUTE(MID($J232,FIND("월",$J232)+1,5),"주",""))-1)),""))</f>
        <v>46454</v>
      </c>
      <c r="L232" s="28" t="n">
        <f aca="false">IF($K232="","",IF(AND($K232-기준정보!$C$5&gt;=기준정보!$C$10,$K232-기준정보!$C$5&lt;=기준정보!$C$11),기준정보!$C$10-1,$K232-기준정보!$C$5))</f>
        <v>46440</v>
      </c>
      <c r="M232" s="29" t="n">
        <f aca="false"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>15</v>
      </c>
      <c r="N232" s="28" t="n">
        <f aca="false">IF($L232="","",$L232-기준정보!$C$6-$M232)</f>
        <v>46335</v>
      </c>
      <c r="O232" s="30" t="n">
        <f aca="false">IF($N232="","",$N232-기준정보!$C$4)</f>
        <v>82</v>
      </c>
      <c r="P232" s="27"/>
      <c r="Q232" s="27" t="s">
        <v>100</v>
      </c>
      <c r="R232" s="27" t="s">
        <v>101</v>
      </c>
      <c r="S232" s="31"/>
      <c r="T232" s="26" t="str">
        <f aca="false">IF($H232="","",IF(AND(ISNUMBER(SEARCH("CMT",$H232)),OR(ISNUMBER(SEARCH("완사입",$H232)),ISNUMBER(SEARCH("ODM",$H232)))),"본사/생산처 혼재",IF(ISNUMBER(SEARCH("CMT",$H232)),"본사(소재팀)","생산처")))</f>
        <v>생산처</v>
      </c>
      <c r="U232" s="25" t="s">
        <v>289</v>
      </c>
      <c r="V232" s="25" t="s">
        <v>289</v>
      </c>
      <c r="W232" s="25" t="s">
        <v>103</v>
      </c>
      <c r="X232" s="25" t="s">
        <v>573</v>
      </c>
      <c r="Y232" s="35" t="s">
        <v>929</v>
      </c>
      <c r="Z232" s="32"/>
      <c r="AA232" s="28" t="n">
        <v>46237</v>
      </c>
      <c r="AB232" s="33" t="n">
        <v>1400</v>
      </c>
      <c r="AC232" s="33" t="n">
        <v>48518400</v>
      </c>
      <c r="AD232" s="33" t="n">
        <v>235200000</v>
      </c>
      <c r="AE232" s="26"/>
      <c r="AF232" s="26" t="str">
        <f aca="false"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>소재 입고일정 확인 필요</v>
      </c>
      <c r="AG232" s="24" t="str">
        <f aca="false">IF($K232="","",IF(OR(LEFT($AF232,2)="작지",LEFT($AF232,4)="소재입고"),IF(LEFT($G232,1)="S","★ 납기위험(S코드)","◆ 지연주의"),IF($AF232="정상","✓ 정상","? 확인필요")))</f>
        <v>? 확인필요</v>
      </c>
      <c r="AH232" s="27"/>
      <c r="AI232" s="34"/>
    </row>
    <row r="233" customFormat="false" ht="15" hidden="false" customHeight="false" outlineLevel="0" collapsed="false">
      <c r="A233" s="24" t="n">
        <v>229</v>
      </c>
      <c r="B233" s="25" t="s">
        <v>266</v>
      </c>
      <c r="C233" s="25" t="s">
        <v>271</v>
      </c>
      <c r="D233" s="26" t="s">
        <v>935</v>
      </c>
      <c r="E233" s="25" t="s">
        <v>936</v>
      </c>
      <c r="F233" s="26" t="s">
        <v>937</v>
      </c>
      <c r="G233" s="24" t="str">
        <f aca="false">IF($D233="","",IF(MID($D233,5,1)="S","S(봄)",IF(MID($D233,5,1)="M","M(여름)",IF(MID($D233,5,1)="X","X(사계절)",MID($D233,5,1)))))</f>
        <v>M(여름)</v>
      </c>
      <c r="H233" s="25" t="s">
        <v>97</v>
      </c>
      <c r="I233" s="24"/>
      <c r="J233" s="27" t="s">
        <v>568</v>
      </c>
      <c r="K233" s="28" t="n">
        <f aca="false">IF($J233="","",IFERROR(DATE(IF(VALUE(LEFT($J233,FIND("월",$J233)-1))&gt;=9,기준정보!$C$7-1,기준정보!$C$7),VALUE(LEFT($J233,FIND("월",$J233)-1)),1+7*(VALUE(SUBSTITUTE(MID($J233,FIND("월",$J233)+1,5),"주",""))-1)),""))</f>
        <v>46454</v>
      </c>
      <c r="L233" s="28" t="n">
        <f aca="false">IF($K233="","",IF(AND($K233-기준정보!$C$5&gt;=기준정보!$C$10,$K233-기준정보!$C$5&lt;=기준정보!$C$11),기준정보!$C$10-1,$K233-기준정보!$C$5))</f>
        <v>46440</v>
      </c>
      <c r="M233" s="29" t="n">
        <f aca="false"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>15</v>
      </c>
      <c r="N233" s="28" t="n">
        <f aca="false">IF($L233="","",$L233-기준정보!$C$6-$M233)</f>
        <v>46335</v>
      </c>
      <c r="O233" s="30" t="n">
        <f aca="false">IF($N233="","",$N233-기준정보!$C$4)</f>
        <v>82</v>
      </c>
      <c r="P233" s="27"/>
      <c r="Q233" s="27" t="s">
        <v>100</v>
      </c>
      <c r="R233" s="27" t="s">
        <v>100</v>
      </c>
      <c r="S233" s="31"/>
      <c r="T233" s="26" t="str">
        <f aca="false">IF($H233="","",IF(AND(ISNUMBER(SEARCH("CMT",$H233)),OR(ISNUMBER(SEARCH("완사입",$H233)),ISNUMBER(SEARCH("ODM",$H233)))),"본사/생산처 혼재",IF(ISNUMBER(SEARCH("CMT",$H233)),"본사(소재팀)","생산처")))</f>
        <v>생산처</v>
      </c>
      <c r="U233" s="25" t="s">
        <v>135</v>
      </c>
      <c r="V233" s="25" t="s">
        <v>135</v>
      </c>
      <c r="W233" s="25" t="s">
        <v>103</v>
      </c>
      <c r="X233" s="25" t="s">
        <v>135</v>
      </c>
      <c r="Y233" s="35" t="s">
        <v>530</v>
      </c>
      <c r="Z233" s="32"/>
      <c r="AA233" s="28" t="n">
        <v>46191</v>
      </c>
      <c r="AB233" s="33" t="n">
        <v>6000</v>
      </c>
      <c r="AC233" s="33" t="n">
        <v>133728000</v>
      </c>
      <c r="AD233" s="33" t="n">
        <v>888000000</v>
      </c>
      <c r="AE233" s="26"/>
      <c r="AF233" s="26" t="str">
        <f aca="false"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>소재 입고일정 확인 필요</v>
      </c>
      <c r="AG233" s="24" t="str">
        <f aca="false">IF($K233="","",IF(OR(LEFT($AF233,2)="작지",LEFT($AF233,4)="소재입고"),IF(LEFT($G233,1)="S","★ 납기위험(S코드)","◆ 지연주의"),IF($AF233="정상","✓ 정상","? 확인필요")))</f>
        <v>? 확인필요</v>
      </c>
      <c r="AH233" s="27"/>
      <c r="AI233" s="34"/>
    </row>
    <row r="234" customFormat="false" ht="15" hidden="false" customHeight="false" outlineLevel="0" collapsed="false">
      <c r="A234" s="24" t="n">
        <v>230</v>
      </c>
      <c r="B234" s="25" t="s">
        <v>266</v>
      </c>
      <c r="C234" s="25" t="s">
        <v>271</v>
      </c>
      <c r="D234" s="26" t="s">
        <v>938</v>
      </c>
      <c r="E234" s="25" t="s">
        <v>939</v>
      </c>
      <c r="F234" s="26" t="s">
        <v>940</v>
      </c>
      <c r="G234" s="24" t="str">
        <f aca="false">IF($D234="","",IF(MID($D234,5,1)="S","S(봄)",IF(MID($D234,5,1)="M","M(여름)",IF(MID($D234,5,1)="X","X(사계절)",MID($D234,5,1)))))</f>
        <v>M(여름)</v>
      </c>
      <c r="H234" s="25" t="s">
        <v>97</v>
      </c>
      <c r="I234" s="24"/>
      <c r="J234" s="27" t="s">
        <v>568</v>
      </c>
      <c r="K234" s="28" t="n">
        <f aca="false">IF($J234="","",IFERROR(DATE(IF(VALUE(LEFT($J234,FIND("월",$J234)-1))&gt;=9,기준정보!$C$7-1,기준정보!$C$7),VALUE(LEFT($J234,FIND("월",$J234)-1)),1+7*(VALUE(SUBSTITUTE(MID($J234,FIND("월",$J234)+1,5),"주",""))-1)),""))</f>
        <v>46454</v>
      </c>
      <c r="L234" s="28" t="n">
        <f aca="false">IF($K234="","",IF(AND($K234-기준정보!$C$5&gt;=기준정보!$C$10,$K234-기준정보!$C$5&lt;=기준정보!$C$11),기준정보!$C$10-1,$K234-기준정보!$C$5))</f>
        <v>46440</v>
      </c>
      <c r="M234" s="29" t="n">
        <f aca="false"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>15</v>
      </c>
      <c r="N234" s="28" t="n">
        <f aca="false">IF($L234="","",$L234-기준정보!$C$6-$M234)</f>
        <v>46335</v>
      </c>
      <c r="O234" s="30" t="n">
        <f aca="false">IF($N234="","",$N234-기준정보!$C$4)</f>
        <v>82</v>
      </c>
      <c r="P234" s="27"/>
      <c r="Q234" s="27" t="s">
        <v>100</v>
      </c>
      <c r="R234" s="27" t="s">
        <v>101</v>
      </c>
      <c r="S234" s="31"/>
      <c r="T234" s="26" t="str">
        <f aca="false">IF($H234="","",IF(AND(ISNUMBER(SEARCH("CMT",$H234)),OR(ISNUMBER(SEARCH("완사입",$H234)),ISNUMBER(SEARCH("ODM",$H234)))),"본사/생산처 혼재",IF(ISNUMBER(SEARCH("CMT",$H234)),"본사(소재팀)","생산처")))</f>
        <v>생산처</v>
      </c>
      <c r="U234" s="25" t="s">
        <v>380</v>
      </c>
      <c r="V234" s="25" t="s">
        <v>380</v>
      </c>
      <c r="W234" s="25" t="s">
        <v>103</v>
      </c>
      <c r="X234" s="26" t="s">
        <v>941</v>
      </c>
      <c r="Y234" s="32" t="s">
        <v>902</v>
      </c>
      <c r="Z234" s="32"/>
      <c r="AA234" s="28" t="n">
        <v>46237</v>
      </c>
      <c r="AB234" s="33" t="n">
        <v>1400</v>
      </c>
      <c r="AC234" s="33" t="n">
        <v>49487200</v>
      </c>
      <c r="AD234" s="33" t="n">
        <v>221200000</v>
      </c>
      <c r="AE234" s="26"/>
      <c r="AF234" s="26" t="str">
        <f aca="false"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>소재 입고일정 확인 필요</v>
      </c>
      <c r="AG234" s="24" t="str">
        <f aca="false">IF($K234="","",IF(OR(LEFT($AF234,2)="작지",LEFT($AF234,4)="소재입고"),IF(LEFT($G234,1)="S","★ 납기위험(S코드)","◆ 지연주의"),IF($AF234="정상","✓ 정상","? 확인필요")))</f>
        <v>? 확인필요</v>
      </c>
      <c r="AH234" s="27"/>
      <c r="AI234" s="34"/>
    </row>
    <row r="235" customFormat="false" ht="15" hidden="false" customHeight="false" outlineLevel="0" collapsed="false">
      <c r="A235" s="24" t="n">
        <v>231</v>
      </c>
      <c r="B235" s="25" t="s">
        <v>266</v>
      </c>
      <c r="C235" s="25" t="s">
        <v>271</v>
      </c>
      <c r="D235" s="26" t="s">
        <v>942</v>
      </c>
      <c r="E235" s="25" t="s">
        <v>943</v>
      </c>
      <c r="F235" s="26" t="s">
        <v>944</v>
      </c>
      <c r="G235" s="24" t="str">
        <f aca="false">IF($D235="","",IF(MID($D235,5,1)="S","S(봄)",IF(MID($D235,5,1)="M","M(여름)",IF(MID($D235,5,1)="X","X(사계절)",MID($D235,5,1)))))</f>
        <v>M(여름)</v>
      </c>
      <c r="H235" s="25" t="s">
        <v>97</v>
      </c>
      <c r="I235" s="24"/>
      <c r="J235" s="27" t="s">
        <v>568</v>
      </c>
      <c r="K235" s="28" t="n">
        <f aca="false">IF($J235="","",IFERROR(DATE(IF(VALUE(LEFT($J235,FIND("월",$J235)-1))&gt;=9,기준정보!$C$7-1,기준정보!$C$7),VALUE(LEFT($J235,FIND("월",$J235)-1)),1+7*(VALUE(SUBSTITUTE(MID($J235,FIND("월",$J235)+1,5),"주",""))-1)),""))</f>
        <v>46454</v>
      </c>
      <c r="L235" s="28" t="n">
        <f aca="false">IF($K235="","",IF(AND($K235-기준정보!$C$5&gt;=기준정보!$C$10,$K235-기준정보!$C$5&lt;=기준정보!$C$11),기준정보!$C$10-1,$K235-기준정보!$C$5))</f>
        <v>46440</v>
      </c>
      <c r="M235" s="29" t="n">
        <f aca="false"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>15</v>
      </c>
      <c r="N235" s="28" t="n">
        <f aca="false">IF($L235="","",$L235-기준정보!$C$6-$M235)</f>
        <v>46335</v>
      </c>
      <c r="O235" s="30" t="n">
        <f aca="false">IF($N235="","",$N235-기준정보!$C$4)</f>
        <v>82</v>
      </c>
      <c r="P235" s="27"/>
      <c r="Q235" s="27" t="s">
        <v>101</v>
      </c>
      <c r="R235" s="27" t="s">
        <v>101</v>
      </c>
      <c r="S235" s="31"/>
      <c r="T235" s="26" t="str">
        <f aca="false">IF($H235="","",IF(AND(ISNUMBER(SEARCH("CMT",$H235)),OR(ISNUMBER(SEARCH("완사입",$H235)),ISNUMBER(SEARCH("ODM",$H235)))),"본사/생산처 혼재",IF(ISNUMBER(SEARCH("CMT",$H235)),"본사(소재팀)","생산처")))</f>
        <v>생산처</v>
      </c>
      <c r="U235" s="25" t="s">
        <v>135</v>
      </c>
      <c r="V235" s="26"/>
      <c r="W235" s="25" t="s">
        <v>103</v>
      </c>
      <c r="X235" s="26"/>
      <c r="Y235" s="32"/>
      <c r="Z235" s="32"/>
      <c r="AA235" s="28"/>
      <c r="AB235" s="33" t="n">
        <v>15000</v>
      </c>
      <c r="AC235" s="33" t="n">
        <v>255000000</v>
      </c>
      <c r="AD235" s="33" t="n">
        <v>1620000000</v>
      </c>
      <c r="AE235" s="26" t="s">
        <v>752</v>
      </c>
      <c r="AF235" s="26" t="str">
        <f aca="false"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>작지 미발행</v>
      </c>
      <c r="AG235" s="24" t="str">
        <f aca="false">IF($K235="","",IF(OR(LEFT($AF235,2)="작지",LEFT($AF235,4)="소재입고"),IF(LEFT($G235,1)="S","★ 납기위험(S코드)","◆ 지연주의"),IF($AF235="정상","✓ 정상","? 확인필요")))</f>
        <v>◆ 지연주의</v>
      </c>
      <c r="AH235" s="27"/>
      <c r="AI235" s="34"/>
    </row>
    <row r="236" customFormat="false" ht="15" hidden="false" customHeight="false" outlineLevel="0" collapsed="false">
      <c r="A236" s="24" t="n">
        <v>232</v>
      </c>
      <c r="B236" s="25" t="s">
        <v>266</v>
      </c>
      <c r="C236" s="25" t="s">
        <v>271</v>
      </c>
      <c r="D236" s="26" t="s">
        <v>945</v>
      </c>
      <c r="E236" s="25" t="s">
        <v>946</v>
      </c>
      <c r="F236" s="26" t="s">
        <v>947</v>
      </c>
      <c r="G236" s="24" t="str">
        <f aca="false">IF($D236="","",IF(MID($D236,5,1)="S","S(봄)",IF(MID($D236,5,1)="M","M(여름)",IF(MID($D236,5,1)="X","X(사계절)",MID($D236,5,1)))))</f>
        <v>M(여름)</v>
      </c>
      <c r="H236" s="25" t="s">
        <v>97</v>
      </c>
      <c r="I236" s="24"/>
      <c r="J236" s="27" t="s">
        <v>568</v>
      </c>
      <c r="K236" s="28" t="n">
        <f aca="false">IF($J236="","",IFERROR(DATE(IF(VALUE(LEFT($J236,FIND("월",$J236)-1))&gt;=9,기준정보!$C$7-1,기준정보!$C$7),VALUE(LEFT($J236,FIND("월",$J236)-1)),1+7*(VALUE(SUBSTITUTE(MID($J236,FIND("월",$J236)+1,5),"주",""))-1)),""))</f>
        <v>46454</v>
      </c>
      <c r="L236" s="28" t="n">
        <f aca="false">IF($K236="","",IF(AND($K236-기준정보!$C$5&gt;=기준정보!$C$10,$K236-기준정보!$C$5&lt;=기준정보!$C$11),기준정보!$C$10-1,$K236-기준정보!$C$5))</f>
        <v>46440</v>
      </c>
      <c r="M236" s="29" t="n">
        <f aca="false"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>15</v>
      </c>
      <c r="N236" s="28" t="n">
        <f aca="false">IF($L236="","",$L236-기준정보!$C$6-$M236)</f>
        <v>46335</v>
      </c>
      <c r="O236" s="30" t="n">
        <f aca="false">IF($N236="","",$N236-기준정보!$C$4)</f>
        <v>82</v>
      </c>
      <c r="P236" s="27"/>
      <c r="Q236" s="27" t="s">
        <v>101</v>
      </c>
      <c r="R236" s="27" t="s">
        <v>101</v>
      </c>
      <c r="S236" s="31"/>
      <c r="T236" s="26" t="str">
        <f aca="false">IF($H236="","",IF(AND(ISNUMBER(SEARCH("CMT",$H236)),OR(ISNUMBER(SEARCH("완사입",$H236)),ISNUMBER(SEARCH("ODM",$H236)))),"본사/생산처 혼재",IF(ISNUMBER(SEARCH("CMT",$H236)),"본사(소재팀)","생산처")))</f>
        <v>생산처</v>
      </c>
      <c r="U236" s="26" t="s">
        <v>161</v>
      </c>
      <c r="V236" s="26"/>
      <c r="W236" s="25" t="s">
        <v>103</v>
      </c>
      <c r="X236" s="26"/>
      <c r="Y236" s="32"/>
      <c r="Z236" s="32"/>
      <c r="AA236" s="28"/>
      <c r="AB236" s="33" t="n">
        <v>23000</v>
      </c>
      <c r="AC236" s="33" t="n">
        <v>230000000</v>
      </c>
      <c r="AD236" s="33" t="n">
        <v>1564000000</v>
      </c>
      <c r="AE236" s="26" t="s">
        <v>752</v>
      </c>
      <c r="AF236" s="26" t="str">
        <f aca="false"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>작지 미발행</v>
      </c>
      <c r="AG236" s="24" t="str">
        <f aca="false">IF($K236="","",IF(OR(LEFT($AF236,2)="작지",LEFT($AF236,4)="소재입고"),IF(LEFT($G236,1)="S","★ 납기위험(S코드)","◆ 지연주의"),IF($AF236="정상","✓ 정상","? 확인필요")))</f>
        <v>◆ 지연주의</v>
      </c>
      <c r="AH236" s="27"/>
      <c r="AI236" s="34"/>
    </row>
    <row r="237" customFormat="false" ht="15" hidden="false" customHeight="false" outlineLevel="0" collapsed="false">
      <c r="A237" s="24" t="n">
        <v>233</v>
      </c>
      <c r="B237" s="25" t="s">
        <v>948</v>
      </c>
      <c r="C237" s="25" t="s">
        <v>949</v>
      </c>
      <c r="D237" s="26" t="s">
        <v>950</v>
      </c>
      <c r="E237" s="25" t="s">
        <v>951</v>
      </c>
      <c r="F237" s="26" t="s">
        <v>265</v>
      </c>
      <c r="G237" s="24" t="str">
        <f aca="false">IF($D237="","",IF(MID($D237,5,1)="S","S(봄)",IF(MID($D237,5,1)="M","M(여름)",IF(MID($D237,5,1)="X","X(사계절)",MID($D237,5,1)))))</f>
        <v>M(여름)</v>
      </c>
      <c r="H237" s="25" t="s">
        <v>97</v>
      </c>
      <c r="I237" s="24" t="s">
        <v>502</v>
      </c>
      <c r="J237" s="27" t="s">
        <v>568</v>
      </c>
      <c r="K237" s="28" t="n">
        <f aca="false">IF($J237="","",IFERROR(DATE(IF(VALUE(LEFT($J237,FIND("월",$J237)-1))&gt;=9,기준정보!$C$7-1,기준정보!$C$7),VALUE(LEFT($J237,FIND("월",$J237)-1)),1+7*(VALUE(SUBSTITUTE(MID($J237,FIND("월",$J237)+1,5),"주",""))-1)),""))</f>
        <v>46454</v>
      </c>
      <c r="L237" s="28" t="n">
        <f aca="false">IF($K237="","",IF(AND($K237-기준정보!$C$5&gt;=기준정보!$C$10,$K237-기준정보!$C$5&lt;=기준정보!$C$11),기준정보!$C$10-1,$K237-기준정보!$C$5))</f>
        <v>46440</v>
      </c>
      <c r="M237" s="29" t="n">
        <f aca="false"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>0</v>
      </c>
      <c r="N237" s="28" t="n">
        <f aca="false">IF($L237="","",$L237-기준정보!$C$6-$M237)</f>
        <v>46350</v>
      </c>
      <c r="O237" s="30" t="n">
        <f aca="false">IF($N237="","",$N237-기준정보!$C$4)</f>
        <v>97</v>
      </c>
      <c r="P237" s="27"/>
      <c r="Q237" s="27" t="s">
        <v>100</v>
      </c>
      <c r="R237" s="27" t="s">
        <v>101</v>
      </c>
      <c r="S237" s="31"/>
      <c r="T237" s="26" t="str">
        <f aca="false">IF($H237="","",IF(AND(ISNUMBER(SEARCH("CMT",$H237)),OR(ISNUMBER(SEARCH("완사입",$H237)),ISNUMBER(SEARCH("ODM",$H237)))),"본사/생산처 혼재",IF(ISNUMBER(SEARCH("CMT",$H237)),"본사(소재팀)","생산처")))</f>
        <v>생산처</v>
      </c>
      <c r="U237" s="25" t="s">
        <v>952</v>
      </c>
      <c r="V237" s="26"/>
      <c r="W237" s="25" t="s">
        <v>202</v>
      </c>
      <c r="X237" s="26"/>
      <c r="Y237" s="32"/>
      <c r="Z237" s="32"/>
      <c r="AA237" s="28"/>
      <c r="AB237" s="33" t="n">
        <v>3000</v>
      </c>
      <c r="AC237" s="33" t="n">
        <v>37044000</v>
      </c>
      <c r="AD237" s="33" t="n">
        <v>180000000</v>
      </c>
      <c r="AE237" s="26"/>
      <c r="AF237" s="26" t="str">
        <f aca="false"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>소재 입고일정 확인 필요</v>
      </c>
      <c r="AG237" s="24" t="str">
        <f aca="false">IF($K237="","",IF(OR(LEFT($AF237,2)="작지",LEFT($AF237,4)="소재입고"),IF(LEFT($G237,1)="S","★ 납기위험(S코드)","◆ 지연주의"),IF($AF237="정상","✓ 정상","? 확인필요")))</f>
        <v>? 확인필요</v>
      </c>
      <c r="AH237" s="27"/>
      <c r="AI237" s="34"/>
    </row>
    <row r="238" customFormat="false" ht="15" hidden="false" customHeight="false" outlineLevel="0" collapsed="false">
      <c r="A238" s="24" t="n">
        <v>234</v>
      </c>
      <c r="B238" s="25" t="s">
        <v>948</v>
      </c>
      <c r="C238" s="25" t="s">
        <v>949</v>
      </c>
      <c r="D238" s="26" t="s">
        <v>953</v>
      </c>
      <c r="E238" s="25" t="s">
        <v>954</v>
      </c>
      <c r="F238" s="26" t="s">
        <v>955</v>
      </c>
      <c r="G238" s="24" t="str">
        <f aca="false">IF($D238="","",IF(MID($D238,5,1)="S","S(봄)",IF(MID($D238,5,1)="M","M(여름)",IF(MID($D238,5,1)="X","X(사계절)",MID($D238,5,1)))))</f>
        <v>M(여름)</v>
      </c>
      <c r="H238" s="25" t="s">
        <v>97</v>
      </c>
      <c r="I238" s="24" t="s">
        <v>502</v>
      </c>
      <c r="J238" s="27" t="s">
        <v>568</v>
      </c>
      <c r="K238" s="28" t="n">
        <f aca="false">IF($J238="","",IFERROR(DATE(IF(VALUE(LEFT($J238,FIND("월",$J238)-1))&gt;=9,기준정보!$C$7-1,기준정보!$C$7),VALUE(LEFT($J238,FIND("월",$J238)-1)),1+7*(VALUE(SUBSTITUTE(MID($J238,FIND("월",$J238)+1,5),"주",""))-1)),""))</f>
        <v>46454</v>
      </c>
      <c r="L238" s="28" t="n">
        <f aca="false">IF($K238="","",IF(AND($K238-기준정보!$C$5&gt;=기준정보!$C$10,$K238-기준정보!$C$5&lt;=기준정보!$C$11),기준정보!$C$10-1,$K238-기준정보!$C$5))</f>
        <v>46440</v>
      </c>
      <c r="M238" s="29" t="n">
        <f aca="false"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>0</v>
      </c>
      <c r="N238" s="28" t="n">
        <f aca="false">IF($L238="","",$L238-기준정보!$C$6-$M238)</f>
        <v>46350</v>
      </c>
      <c r="O238" s="30" t="n">
        <f aca="false">IF($N238="","",$N238-기준정보!$C$4)</f>
        <v>97</v>
      </c>
      <c r="P238" s="27"/>
      <c r="Q238" s="27" t="s">
        <v>100</v>
      </c>
      <c r="R238" s="27" t="s">
        <v>101</v>
      </c>
      <c r="S238" s="31"/>
      <c r="T238" s="26" t="str">
        <f aca="false">IF($H238="","",IF(AND(ISNUMBER(SEARCH("CMT",$H238)),OR(ISNUMBER(SEARCH("완사입",$H238)),ISNUMBER(SEARCH("ODM",$H238)))),"본사/생산처 혼재",IF(ISNUMBER(SEARCH("CMT",$H238)),"본사(소재팀)","생산처")))</f>
        <v>생산처</v>
      </c>
      <c r="U238" s="25" t="s">
        <v>952</v>
      </c>
      <c r="V238" s="26"/>
      <c r="W238" s="25" t="s">
        <v>202</v>
      </c>
      <c r="X238" s="26"/>
      <c r="Y238" s="32"/>
      <c r="Z238" s="32"/>
      <c r="AA238" s="28"/>
      <c r="AB238" s="33" t="n">
        <v>12000</v>
      </c>
      <c r="AC238" s="33" t="n">
        <v>150000000</v>
      </c>
      <c r="AD238" s="33" t="n">
        <v>720000000</v>
      </c>
      <c r="AE238" s="26"/>
      <c r="AF238" s="26" t="str">
        <f aca="false"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>소재 입고일정 확인 필요</v>
      </c>
      <c r="AG238" s="24" t="str">
        <f aca="false">IF($K238="","",IF(OR(LEFT($AF238,2)="작지",LEFT($AF238,4)="소재입고"),IF(LEFT($G238,1)="S","★ 납기위험(S코드)","◆ 지연주의"),IF($AF238="정상","✓ 정상","? 확인필요")))</f>
        <v>? 확인필요</v>
      </c>
      <c r="AH238" s="27"/>
      <c r="AI238" s="34"/>
    </row>
    <row r="239" customFormat="false" ht="15" hidden="false" customHeight="false" outlineLevel="0" collapsed="false">
      <c r="A239" s="24" t="n">
        <v>235</v>
      </c>
      <c r="B239" s="25" t="s">
        <v>948</v>
      </c>
      <c r="C239" s="25" t="s">
        <v>949</v>
      </c>
      <c r="D239" s="26" t="s">
        <v>956</v>
      </c>
      <c r="E239" s="25" t="s">
        <v>957</v>
      </c>
      <c r="F239" s="26" t="s">
        <v>265</v>
      </c>
      <c r="G239" s="24" t="str">
        <f aca="false">IF($D239="","",IF(MID($D239,5,1)="S","S(봄)",IF(MID($D239,5,1)="M","M(여름)",IF(MID($D239,5,1)="X","X(사계절)",MID($D239,5,1)))))</f>
        <v>M(여름)</v>
      </c>
      <c r="H239" s="25" t="s">
        <v>97</v>
      </c>
      <c r="I239" s="24" t="s">
        <v>502</v>
      </c>
      <c r="J239" s="27" t="s">
        <v>568</v>
      </c>
      <c r="K239" s="28" t="n">
        <f aca="false">IF($J239="","",IFERROR(DATE(IF(VALUE(LEFT($J239,FIND("월",$J239)-1))&gt;=9,기준정보!$C$7-1,기준정보!$C$7),VALUE(LEFT($J239,FIND("월",$J239)-1)),1+7*(VALUE(SUBSTITUTE(MID($J239,FIND("월",$J239)+1,5),"주",""))-1)),""))</f>
        <v>46454</v>
      </c>
      <c r="L239" s="28" t="n">
        <f aca="false">IF($K239="","",IF(AND($K239-기준정보!$C$5&gt;=기준정보!$C$10,$K239-기준정보!$C$5&lt;=기준정보!$C$11),기준정보!$C$10-1,$K239-기준정보!$C$5))</f>
        <v>46440</v>
      </c>
      <c r="M239" s="29" t="n">
        <f aca="false"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>0</v>
      </c>
      <c r="N239" s="28" t="n">
        <f aca="false">IF($L239="","",$L239-기준정보!$C$6-$M239)</f>
        <v>46350</v>
      </c>
      <c r="O239" s="30" t="n">
        <f aca="false">IF($N239="","",$N239-기준정보!$C$4)</f>
        <v>97</v>
      </c>
      <c r="P239" s="27"/>
      <c r="Q239" s="27" t="s">
        <v>100</v>
      </c>
      <c r="R239" s="27" t="s">
        <v>101</v>
      </c>
      <c r="S239" s="31"/>
      <c r="T239" s="26" t="str">
        <f aca="false">IF($H239="","",IF(AND(ISNUMBER(SEARCH("CMT",$H239)),OR(ISNUMBER(SEARCH("완사입",$H239)),ISNUMBER(SEARCH("ODM",$H239)))),"본사/생산처 혼재",IF(ISNUMBER(SEARCH("CMT",$H239)),"본사(소재팀)","생산처")))</f>
        <v>생산처</v>
      </c>
      <c r="U239" s="25" t="s">
        <v>952</v>
      </c>
      <c r="V239" s="26"/>
      <c r="W239" s="25" t="s">
        <v>202</v>
      </c>
      <c r="X239" s="26"/>
      <c r="Y239" s="32"/>
      <c r="Z239" s="32"/>
      <c r="AA239" s="28"/>
      <c r="AB239" s="33" t="n">
        <v>2000</v>
      </c>
      <c r="AC239" s="33" t="n">
        <v>28936000</v>
      </c>
      <c r="AD239" s="33" t="n">
        <v>140000000</v>
      </c>
      <c r="AE239" s="26"/>
      <c r="AF239" s="26" t="str">
        <f aca="false"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>소재 입고일정 확인 필요</v>
      </c>
      <c r="AG239" s="24" t="str">
        <f aca="false">IF($K239="","",IF(OR(LEFT($AF239,2)="작지",LEFT($AF239,4)="소재입고"),IF(LEFT($G239,1)="S","★ 납기위험(S코드)","◆ 지연주의"),IF($AF239="정상","✓ 정상","? 확인필요")))</f>
        <v>? 확인필요</v>
      </c>
      <c r="AH239" s="27"/>
      <c r="AI239" s="34"/>
    </row>
    <row r="240" customFormat="false" ht="15" hidden="false" customHeight="false" outlineLevel="0" collapsed="false">
      <c r="A240" s="24" t="n">
        <v>236</v>
      </c>
      <c r="B240" s="25" t="s">
        <v>948</v>
      </c>
      <c r="C240" s="25" t="s">
        <v>949</v>
      </c>
      <c r="D240" s="26" t="s">
        <v>958</v>
      </c>
      <c r="E240" s="25" t="s">
        <v>959</v>
      </c>
      <c r="F240" s="26" t="s">
        <v>538</v>
      </c>
      <c r="G240" s="24" t="str">
        <f aca="false">IF($D240="","",IF(MID($D240,5,1)="S","S(봄)",IF(MID($D240,5,1)="M","M(여름)",IF(MID($D240,5,1)="X","X(사계절)",MID($D240,5,1)))))</f>
        <v>M(여름)</v>
      </c>
      <c r="H240" s="25" t="s">
        <v>97</v>
      </c>
      <c r="I240" s="24" t="s">
        <v>502</v>
      </c>
      <c r="J240" s="27" t="s">
        <v>568</v>
      </c>
      <c r="K240" s="28" t="n">
        <f aca="false">IF($J240="","",IFERROR(DATE(IF(VALUE(LEFT($J240,FIND("월",$J240)-1))&gt;=9,기준정보!$C$7-1,기준정보!$C$7),VALUE(LEFT($J240,FIND("월",$J240)-1)),1+7*(VALUE(SUBSTITUTE(MID($J240,FIND("월",$J240)+1,5),"주",""))-1)),""))</f>
        <v>46454</v>
      </c>
      <c r="L240" s="28" t="n">
        <f aca="false">IF($K240="","",IF(AND($K240-기준정보!$C$5&gt;=기준정보!$C$10,$K240-기준정보!$C$5&lt;=기준정보!$C$11),기준정보!$C$10-1,$K240-기준정보!$C$5))</f>
        <v>46440</v>
      </c>
      <c r="M240" s="29" t="n">
        <f aca="false"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>0</v>
      </c>
      <c r="N240" s="28" t="n">
        <f aca="false">IF($L240="","",$L240-기준정보!$C$6-$M240)</f>
        <v>46350</v>
      </c>
      <c r="O240" s="30" t="n">
        <f aca="false">IF($N240="","",$N240-기준정보!$C$4)</f>
        <v>97</v>
      </c>
      <c r="P240" s="27"/>
      <c r="Q240" s="27" t="s">
        <v>100</v>
      </c>
      <c r="R240" s="27" t="s">
        <v>101</v>
      </c>
      <c r="S240" s="31"/>
      <c r="T240" s="26" t="str">
        <f aca="false">IF($H240="","",IF(AND(ISNUMBER(SEARCH("CMT",$H240)),OR(ISNUMBER(SEARCH("완사입",$H240)),ISNUMBER(SEARCH("ODM",$H240)))),"본사/생산처 혼재",IF(ISNUMBER(SEARCH("CMT",$H240)),"본사(소재팀)","생산처")))</f>
        <v>생산처</v>
      </c>
      <c r="U240" s="25" t="s">
        <v>952</v>
      </c>
      <c r="V240" s="26"/>
      <c r="W240" s="25" t="s">
        <v>202</v>
      </c>
      <c r="X240" s="26"/>
      <c r="Y240" s="32"/>
      <c r="Z240" s="32"/>
      <c r="AA240" s="28"/>
      <c r="AB240" s="33" t="n">
        <v>3000</v>
      </c>
      <c r="AC240" s="33" t="n">
        <v>41259000</v>
      </c>
      <c r="AD240" s="33" t="n">
        <v>210000000</v>
      </c>
      <c r="AE240" s="26"/>
      <c r="AF240" s="26" t="str">
        <f aca="false"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>소재 입고일정 확인 필요</v>
      </c>
      <c r="AG240" s="24" t="str">
        <f aca="false">IF($K240="","",IF(OR(LEFT($AF240,2)="작지",LEFT($AF240,4)="소재입고"),IF(LEFT($G240,1)="S","★ 납기위험(S코드)","◆ 지연주의"),IF($AF240="정상","✓ 정상","? 확인필요")))</f>
        <v>? 확인필요</v>
      </c>
      <c r="AH240" s="27"/>
      <c r="AI240" s="34"/>
    </row>
    <row r="241" customFormat="false" ht="15" hidden="false" customHeight="false" outlineLevel="0" collapsed="false">
      <c r="A241" s="24" t="n">
        <v>237</v>
      </c>
      <c r="B241" s="25" t="s">
        <v>948</v>
      </c>
      <c r="C241" s="25" t="s">
        <v>949</v>
      </c>
      <c r="D241" s="26" t="s">
        <v>960</v>
      </c>
      <c r="E241" s="25" t="s">
        <v>961</v>
      </c>
      <c r="F241" s="26" t="s">
        <v>595</v>
      </c>
      <c r="G241" s="24" t="str">
        <f aca="false">IF($D241="","",IF(MID($D241,5,1)="S","S(봄)",IF(MID($D241,5,1)="M","M(여름)",IF(MID($D241,5,1)="X","X(사계절)",MID($D241,5,1)))))</f>
        <v>M(여름)</v>
      </c>
      <c r="H241" s="25" t="s">
        <v>97</v>
      </c>
      <c r="I241" s="24" t="s">
        <v>502</v>
      </c>
      <c r="J241" s="27" t="s">
        <v>568</v>
      </c>
      <c r="K241" s="28" t="n">
        <f aca="false">IF($J241="","",IFERROR(DATE(IF(VALUE(LEFT($J241,FIND("월",$J241)-1))&gt;=9,기준정보!$C$7-1,기준정보!$C$7),VALUE(LEFT($J241,FIND("월",$J241)-1)),1+7*(VALUE(SUBSTITUTE(MID($J241,FIND("월",$J241)+1,5),"주",""))-1)),""))</f>
        <v>46454</v>
      </c>
      <c r="L241" s="28" t="n">
        <f aca="false">IF($K241="","",IF(AND($K241-기준정보!$C$5&gt;=기준정보!$C$10,$K241-기준정보!$C$5&lt;=기준정보!$C$11),기준정보!$C$10-1,$K241-기준정보!$C$5))</f>
        <v>46440</v>
      </c>
      <c r="M241" s="29" t="n">
        <f aca="false"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>0</v>
      </c>
      <c r="N241" s="28" t="n">
        <f aca="false">IF($L241="","",$L241-기준정보!$C$6-$M241)</f>
        <v>46350</v>
      </c>
      <c r="O241" s="30" t="n">
        <f aca="false">IF($N241="","",$N241-기준정보!$C$4)</f>
        <v>97</v>
      </c>
      <c r="P241" s="27"/>
      <c r="Q241" s="27" t="s">
        <v>100</v>
      </c>
      <c r="R241" s="27" t="s">
        <v>101</v>
      </c>
      <c r="S241" s="31"/>
      <c r="T241" s="26" t="str">
        <f aca="false">IF($H241="","",IF(AND(ISNUMBER(SEARCH("CMT",$H241)),OR(ISNUMBER(SEARCH("완사입",$H241)),ISNUMBER(SEARCH("ODM",$H241)))),"본사/생산처 혼재",IF(ISNUMBER(SEARCH("CMT",$H241)),"본사(소재팀)","생산처")))</f>
        <v>생산처</v>
      </c>
      <c r="U241" s="25" t="s">
        <v>952</v>
      </c>
      <c r="V241" s="26"/>
      <c r="W241" s="25" t="s">
        <v>202</v>
      </c>
      <c r="X241" s="26"/>
      <c r="Y241" s="32"/>
      <c r="Z241" s="32"/>
      <c r="AA241" s="28"/>
      <c r="AB241" s="33" t="n">
        <v>1600</v>
      </c>
      <c r="AC241" s="33" t="n">
        <v>23148800</v>
      </c>
      <c r="AD241" s="33" t="n">
        <v>112000000</v>
      </c>
      <c r="AE241" s="26"/>
      <c r="AF241" s="26" t="str">
        <f aca="false"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>소재 입고일정 확인 필요</v>
      </c>
      <c r="AG241" s="24" t="str">
        <f aca="false">IF($K241="","",IF(OR(LEFT($AF241,2)="작지",LEFT($AF241,4)="소재입고"),IF(LEFT($G241,1)="S","★ 납기위험(S코드)","◆ 지연주의"),IF($AF241="정상","✓ 정상","? 확인필요")))</f>
        <v>? 확인필요</v>
      </c>
      <c r="AH241" s="27"/>
      <c r="AI241" s="34"/>
    </row>
    <row r="242" customFormat="false" ht="15" hidden="false" customHeight="false" outlineLevel="0" collapsed="false">
      <c r="A242" s="24" t="n">
        <v>238</v>
      </c>
      <c r="B242" s="25" t="s">
        <v>948</v>
      </c>
      <c r="C242" s="25" t="s">
        <v>949</v>
      </c>
      <c r="D242" s="26" t="s">
        <v>962</v>
      </c>
      <c r="E242" s="25" t="s">
        <v>963</v>
      </c>
      <c r="F242" s="26" t="s">
        <v>964</v>
      </c>
      <c r="G242" s="24" t="str">
        <f aca="false">IF($D242="","",IF(MID($D242,5,1)="S","S(봄)",IF(MID($D242,5,1)="M","M(여름)",IF(MID($D242,5,1)="X","X(사계절)",MID($D242,5,1)))))</f>
        <v>M(여름)</v>
      </c>
      <c r="H242" s="25" t="s">
        <v>97</v>
      </c>
      <c r="I242" s="24" t="s">
        <v>502</v>
      </c>
      <c r="J242" s="27" t="s">
        <v>568</v>
      </c>
      <c r="K242" s="28" t="n">
        <f aca="false">IF($J242="","",IFERROR(DATE(IF(VALUE(LEFT($J242,FIND("월",$J242)-1))&gt;=9,기준정보!$C$7-1,기준정보!$C$7),VALUE(LEFT($J242,FIND("월",$J242)-1)),1+7*(VALUE(SUBSTITUTE(MID($J242,FIND("월",$J242)+1,5),"주",""))-1)),""))</f>
        <v>46454</v>
      </c>
      <c r="L242" s="28" t="n">
        <f aca="false">IF($K242="","",IF(AND($K242-기준정보!$C$5&gt;=기준정보!$C$10,$K242-기준정보!$C$5&lt;=기준정보!$C$11),기준정보!$C$10-1,$K242-기준정보!$C$5))</f>
        <v>46440</v>
      </c>
      <c r="M242" s="29" t="n">
        <f aca="false"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>0</v>
      </c>
      <c r="N242" s="28" t="n">
        <f aca="false">IF($L242="","",$L242-기준정보!$C$6-$M242)</f>
        <v>46350</v>
      </c>
      <c r="O242" s="30" t="n">
        <f aca="false">IF($N242="","",$N242-기준정보!$C$4)</f>
        <v>97</v>
      </c>
      <c r="P242" s="27"/>
      <c r="Q242" s="27" t="s">
        <v>101</v>
      </c>
      <c r="R242" s="27" t="s">
        <v>101</v>
      </c>
      <c r="S242" s="31"/>
      <c r="T242" s="26" t="str">
        <f aca="false">IF($H242="","",IF(AND(ISNUMBER(SEARCH("CMT",$H242)),OR(ISNUMBER(SEARCH("완사입",$H242)),ISNUMBER(SEARCH("ODM",$H242)))),"본사/생산처 혼재",IF(ISNUMBER(SEARCH("CMT",$H242)),"본사(소재팀)","생산처")))</f>
        <v>생산처</v>
      </c>
      <c r="U242" s="26"/>
      <c r="V242" s="26"/>
      <c r="W242" s="25" t="s">
        <v>202</v>
      </c>
      <c r="X242" s="26"/>
      <c r="Y242" s="32"/>
      <c r="Z242" s="32"/>
      <c r="AA242" s="28"/>
      <c r="AB242" s="33" t="n">
        <v>1100</v>
      </c>
      <c r="AC242" s="33" t="n">
        <v>15914800</v>
      </c>
      <c r="AD242" s="33" t="n">
        <v>77000000</v>
      </c>
      <c r="AE242" s="26"/>
      <c r="AF242" s="26" t="str">
        <f aca="false"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>작지 미발행</v>
      </c>
      <c r="AG242" s="24" t="str">
        <f aca="false">IF($K242="","",IF(OR(LEFT($AF242,2)="작지",LEFT($AF242,4)="소재입고"),IF(LEFT($G242,1)="S","★ 납기위험(S코드)","◆ 지연주의"),IF($AF242="정상","✓ 정상","? 확인필요")))</f>
        <v>◆ 지연주의</v>
      </c>
      <c r="AH242" s="27"/>
      <c r="AI242" s="34"/>
    </row>
    <row r="243" customFormat="false" ht="15" hidden="false" customHeight="false" outlineLevel="0" collapsed="false">
      <c r="A243" s="24" t="n">
        <v>239</v>
      </c>
      <c r="B243" s="25" t="s">
        <v>327</v>
      </c>
      <c r="C243" s="25" t="s">
        <v>328</v>
      </c>
      <c r="D243" s="26" t="s">
        <v>965</v>
      </c>
      <c r="E243" s="25" t="s">
        <v>966</v>
      </c>
      <c r="F243" s="26" t="s">
        <v>331</v>
      </c>
      <c r="G243" s="24" t="str">
        <f aca="false">IF($D243="","",IF(MID($D243,5,1)="S","S(봄)",IF(MID($D243,5,1)="M","M(여름)",IF(MID($D243,5,1)="X","X(사계절)",MID($D243,5,1)))))</f>
        <v>M(여름)</v>
      </c>
      <c r="H243" s="26" t="s">
        <v>255</v>
      </c>
      <c r="I243" s="24" t="s">
        <v>596</v>
      </c>
      <c r="J243" s="27" t="s">
        <v>568</v>
      </c>
      <c r="K243" s="28" t="n">
        <f aca="false">IF($J243="","",IFERROR(DATE(IF(VALUE(LEFT($J243,FIND("월",$J243)-1))&gt;=9,기준정보!$C$7-1,기준정보!$C$7),VALUE(LEFT($J243,FIND("월",$J243)-1)),1+7*(VALUE(SUBSTITUTE(MID($J243,FIND("월",$J243)+1,5),"주",""))-1)),""))</f>
        <v>46454</v>
      </c>
      <c r="L243" s="28" t="n">
        <f aca="false">IF($K243="","",IF(AND($K243-기준정보!$C$5&gt;=기준정보!$C$10,$K243-기준정보!$C$5&lt;=기준정보!$C$11),기준정보!$C$10-1,$K243-기준정보!$C$5))</f>
        <v>46440</v>
      </c>
      <c r="M243" s="29" t="n">
        <f aca="false"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>15</v>
      </c>
      <c r="N243" s="28" t="n">
        <f aca="false">IF($L243="","",$L243-기준정보!$C$6-$M243)</f>
        <v>46335</v>
      </c>
      <c r="O243" s="30" t="n">
        <f aca="false">IF($N243="","",$N243-기준정보!$C$4)</f>
        <v>82</v>
      </c>
      <c r="P243" s="27"/>
      <c r="Q243" s="27" t="s">
        <v>100</v>
      </c>
      <c r="R243" s="27" t="s">
        <v>100</v>
      </c>
      <c r="S243" s="31"/>
      <c r="T243" s="26" t="str">
        <f aca="false">IF($H243="","",IF(AND(ISNUMBER(SEARCH("CMT",$H243)),OR(ISNUMBER(SEARCH("완사입",$H243)),ISNUMBER(SEARCH("ODM",$H243)))),"본사/생산처 혼재",IF(ISNUMBER(SEARCH("CMT",$H243)),"본사(소재팀)","생산처")))</f>
        <v>본사(소재팀)</v>
      </c>
      <c r="U243" s="26" t="s">
        <v>280</v>
      </c>
      <c r="V243" s="26" t="s">
        <v>280</v>
      </c>
      <c r="W243" s="25" t="s">
        <v>103</v>
      </c>
      <c r="X243" s="25" t="s">
        <v>457</v>
      </c>
      <c r="Y243" s="35" t="s">
        <v>458</v>
      </c>
      <c r="Z243" s="32"/>
      <c r="AA243" s="28" t="n">
        <v>46216</v>
      </c>
      <c r="AB243" s="33" t="n">
        <v>2000</v>
      </c>
      <c r="AC243" s="33" t="n">
        <v>53600000</v>
      </c>
      <c r="AD243" s="33" t="n">
        <v>276000000</v>
      </c>
      <c r="AE243" s="26"/>
      <c r="AF243" s="26" t="str">
        <f aca="false"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>소재 입고일정 확인 필요</v>
      </c>
      <c r="AG243" s="24" t="str">
        <f aca="false">IF($K243="","",IF(OR(LEFT($AF243,2)="작지",LEFT($AF243,4)="소재입고"),IF(LEFT($G243,1)="S","★ 납기위험(S코드)","◆ 지연주의"),IF($AF243="정상","✓ 정상","? 확인필요")))</f>
        <v>? 확인필요</v>
      </c>
      <c r="AH243" s="27"/>
      <c r="AI243" s="34"/>
    </row>
    <row r="244" customFormat="false" ht="15" hidden="false" customHeight="false" outlineLevel="0" collapsed="false">
      <c r="A244" s="24" t="n">
        <v>240</v>
      </c>
      <c r="B244" s="25" t="s">
        <v>92</v>
      </c>
      <c r="C244" s="26" t="s">
        <v>967</v>
      </c>
      <c r="D244" s="26" t="s">
        <v>968</v>
      </c>
      <c r="E244" s="25" t="s">
        <v>969</v>
      </c>
      <c r="F244" s="26" t="s">
        <v>970</v>
      </c>
      <c r="G244" s="24" t="str">
        <f aca="false">IF($D244="","",IF(MID($D244,5,1)="S","S(봄)",IF(MID($D244,5,1)="M","M(여름)",IF(MID($D244,5,1)="X","X(사계절)",MID($D244,5,1)))))</f>
        <v>M(여름)</v>
      </c>
      <c r="H244" s="25" t="s">
        <v>97</v>
      </c>
      <c r="I244" s="24"/>
      <c r="J244" s="27" t="s">
        <v>568</v>
      </c>
      <c r="K244" s="28" t="n">
        <f aca="false">IF($J244="","",IFERROR(DATE(IF(VALUE(LEFT($J244,FIND("월",$J244)-1))&gt;=9,기준정보!$C$7-1,기준정보!$C$7),VALUE(LEFT($J244,FIND("월",$J244)-1)),1+7*(VALUE(SUBSTITUTE(MID($J244,FIND("월",$J244)+1,5),"주",""))-1)),""))</f>
        <v>46454</v>
      </c>
      <c r="L244" s="28" t="n">
        <f aca="false">IF($K244="","",IF(AND($K244-기준정보!$C$5&gt;=기준정보!$C$10,$K244-기준정보!$C$5&lt;=기준정보!$C$11),기준정보!$C$10-1,$K244-기준정보!$C$5))</f>
        <v>46440</v>
      </c>
      <c r="M244" s="29" t="n">
        <f aca="false"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>0</v>
      </c>
      <c r="N244" s="28" t="n">
        <f aca="false">IF($L244="","",$L244-기준정보!$C$6-$M244)</f>
        <v>46350</v>
      </c>
      <c r="O244" s="30" t="n">
        <f aca="false">IF($N244="","",$N244-기준정보!$C$4)</f>
        <v>97</v>
      </c>
      <c r="P244" s="27"/>
      <c r="Q244" s="27"/>
      <c r="R244" s="27"/>
      <c r="S244" s="31"/>
      <c r="T244" s="26" t="str">
        <f aca="false">IF($H244="","",IF(AND(ISNUMBER(SEARCH("CMT",$H244)),OR(ISNUMBER(SEARCH("완사입",$H244)),ISNUMBER(SEARCH("ODM",$H244)))),"본사/생산처 혼재",IF(ISNUMBER(SEARCH("CMT",$H244)),"본사(소재팀)","생산처")))</f>
        <v>생산처</v>
      </c>
      <c r="U244" s="26"/>
      <c r="V244" s="25" t="s">
        <v>604</v>
      </c>
      <c r="W244" s="26"/>
      <c r="X244" s="26" t="s">
        <v>247</v>
      </c>
      <c r="Y244" s="32" t="s">
        <v>597</v>
      </c>
      <c r="Z244" s="32"/>
      <c r="AA244" s="28"/>
      <c r="AB244" s="33" t="n">
        <v>2500</v>
      </c>
      <c r="AC244" s="33" t="n">
        <v>70000000</v>
      </c>
      <c r="AD244" s="33" t="n">
        <v>370000000</v>
      </c>
      <c r="AE244" s="26"/>
      <c r="AF244" s="26" t="str">
        <f aca="false"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>발행여부 확인 필요</v>
      </c>
      <c r="AG244" s="24" t="str">
        <f aca="false">IF($K244="","",IF(OR(LEFT($AF244,2)="작지",LEFT($AF244,4)="소재입고"),IF(LEFT($G244,1)="S","★ 납기위험(S코드)","◆ 지연주의"),IF($AF244="정상","✓ 정상","? 확인필요")))</f>
        <v>? 확인필요</v>
      </c>
      <c r="AH244" s="27"/>
      <c r="AI244" s="34"/>
    </row>
    <row r="245" customFormat="false" ht="15" hidden="false" customHeight="false" outlineLevel="0" collapsed="false">
      <c r="A245" s="24" t="n">
        <v>241</v>
      </c>
      <c r="B245" s="25" t="s">
        <v>155</v>
      </c>
      <c r="C245" s="25" t="s">
        <v>156</v>
      </c>
      <c r="D245" s="26" t="s">
        <v>971</v>
      </c>
      <c r="E245" s="25" t="s">
        <v>972</v>
      </c>
      <c r="F245" s="26" t="s">
        <v>973</v>
      </c>
      <c r="G245" s="24" t="str">
        <f aca="false">IF($D245="","",IF(MID($D245,5,1)="S","S(봄)",IF(MID($D245,5,1)="M","M(여름)",IF(MID($D245,5,1)="X","X(사계절)",MID($D245,5,1)))))</f>
        <v>M(여름)</v>
      </c>
      <c r="H245" s="26" t="s">
        <v>160</v>
      </c>
      <c r="I245" s="24"/>
      <c r="J245" s="27" t="s">
        <v>568</v>
      </c>
      <c r="K245" s="28" t="n">
        <f aca="false">IF($J245="","",IFERROR(DATE(IF(VALUE(LEFT($J245,FIND("월",$J245)-1))&gt;=9,기준정보!$C$7-1,기준정보!$C$7),VALUE(LEFT($J245,FIND("월",$J245)-1)),1+7*(VALUE(SUBSTITUTE(MID($J245,FIND("월",$J245)+1,5),"주",""))-1)),""))</f>
        <v>46454</v>
      </c>
      <c r="L245" s="28" t="n">
        <f aca="false">IF($K245="","",IF(AND($K245-기준정보!$C$5&gt;=기준정보!$C$10,$K245-기준정보!$C$5&lt;=기준정보!$C$11),기준정보!$C$10-1,$K245-기준정보!$C$5))</f>
        <v>46440</v>
      </c>
      <c r="M245" s="29" t="n">
        <f aca="false"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>15</v>
      </c>
      <c r="N245" s="28" t="n">
        <f aca="false">IF($L245="","",$L245-기준정보!$C$6-$M245)</f>
        <v>46335</v>
      </c>
      <c r="O245" s="30" t="n">
        <f aca="false">IF($N245="","",$N245-기준정보!$C$4)</f>
        <v>82</v>
      </c>
      <c r="P245" s="27"/>
      <c r="Q245" s="27" t="s">
        <v>101</v>
      </c>
      <c r="R245" s="27" t="s">
        <v>101</v>
      </c>
      <c r="S245" s="31"/>
      <c r="T245" s="26" t="str">
        <f aca="false">IF($H245="","",IF(AND(ISNUMBER(SEARCH("CMT",$H245)),OR(ISNUMBER(SEARCH("완사입",$H245)),ISNUMBER(SEARCH("ODM",$H245)))),"본사/생산처 혼재",IF(ISNUMBER(SEARCH("CMT",$H245)),"본사(소재팀)","생산처")))</f>
        <v>생산처</v>
      </c>
      <c r="U245" s="26" t="s">
        <v>161</v>
      </c>
      <c r="V245" s="26" t="s">
        <v>162</v>
      </c>
      <c r="W245" s="25" t="s">
        <v>103</v>
      </c>
      <c r="X245" s="26" t="s">
        <v>162</v>
      </c>
      <c r="Y245" s="32" t="s">
        <v>172</v>
      </c>
      <c r="Z245" s="32"/>
      <c r="AA245" s="28"/>
      <c r="AB245" s="33" t="n">
        <v>24000</v>
      </c>
      <c r="AC245" s="33" t="n">
        <v>396576000</v>
      </c>
      <c r="AD245" s="33" t="n">
        <v>2592000000</v>
      </c>
      <c r="AE245" s="26" t="s">
        <v>568</v>
      </c>
      <c r="AF245" s="26" t="str">
        <f aca="false"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>작지 미발행</v>
      </c>
      <c r="AG245" s="24" t="str">
        <f aca="false">IF($K245="","",IF(OR(LEFT($AF245,2)="작지",LEFT($AF245,4)="소재입고"),IF(LEFT($G245,1)="S","★ 납기위험(S코드)","◆ 지연주의"),IF($AF245="정상","✓ 정상","? 확인필요")))</f>
        <v>◆ 지연주의</v>
      </c>
      <c r="AH245" s="27"/>
      <c r="AI245" s="34"/>
    </row>
    <row r="246" customFormat="false" ht="15" hidden="false" customHeight="false" outlineLevel="0" collapsed="false">
      <c r="A246" s="24" t="n">
        <v>242</v>
      </c>
      <c r="B246" s="25" t="s">
        <v>155</v>
      </c>
      <c r="C246" s="25" t="s">
        <v>156</v>
      </c>
      <c r="D246" s="26" t="s">
        <v>974</v>
      </c>
      <c r="E246" s="25" t="s">
        <v>975</v>
      </c>
      <c r="F246" s="26" t="s">
        <v>548</v>
      </c>
      <c r="G246" s="24" t="str">
        <f aca="false">IF($D246="","",IF(MID($D246,5,1)="S","S(봄)",IF(MID($D246,5,1)="M","M(여름)",IF(MID($D246,5,1)="X","X(사계절)",MID($D246,5,1)))))</f>
        <v>M(여름)</v>
      </c>
      <c r="H246" s="25" t="s">
        <v>97</v>
      </c>
      <c r="I246" s="24"/>
      <c r="J246" s="27" t="s">
        <v>568</v>
      </c>
      <c r="K246" s="28" t="n">
        <f aca="false">IF($J246="","",IFERROR(DATE(IF(VALUE(LEFT($J246,FIND("월",$J246)-1))&gt;=9,기준정보!$C$7-1,기준정보!$C$7),VALUE(LEFT($J246,FIND("월",$J246)-1)),1+7*(VALUE(SUBSTITUTE(MID($J246,FIND("월",$J246)+1,5),"주",""))-1)),""))</f>
        <v>46454</v>
      </c>
      <c r="L246" s="28" t="n">
        <f aca="false">IF($K246="","",IF(AND($K246-기준정보!$C$5&gt;=기준정보!$C$10,$K246-기준정보!$C$5&lt;=기준정보!$C$11),기준정보!$C$10-1,$K246-기준정보!$C$5))</f>
        <v>46440</v>
      </c>
      <c r="M246" s="29" t="n">
        <f aca="false"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>15</v>
      </c>
      <c r="N246" s="28" t="n">
        <f aca="false">IF($L246="","",$L246-기준정보!$C$6-$M246)</f>
        <v>46335</v>
      </c>
      <c r="O246" s="30" t="n">
        <f aca="false">IF($N246="","",$N246-기준정보!$C$4)</f>
        <v>82</v>
      </c>
      <c r="P246" s="27"/>
      <c r="Q246" s="27" t="s">
        <v>100</v>
      </c>
      <c r="R246" s="27" t="s">
        <v>101</v>
      </c>
      <c r="S246" s="31"/>
      <c r="T246" s="26" t="str">
        <f aca="false">IF($H246="","",IF(AND(ISNUMBER(SEARCH("CMT",$H246)),OR(ISNUMBER(SEARCH("완사입",$H246)),ISNUMBER(SEARCH("ODM",$H246)))),"본사/생산처 혼재",IF(ISNUMBER(SEARCH("CMT",$H246)),"본사(소재팀)","생산처")))</f>
        <v>생산처</v>
      </c>
      <c r="U246" s="25" t="s">
        <v>380</v>
      </c>
      <c r="V246" s="25" t="s">
        <v>380</v>
      </c>
      <c r="W246" s="25" t="s">
        <v>103</v>
      </c>
      <c r="X246" s="25" t="s">
        <v>773</v>
      </c>
      <c r="Y246" s="35" t="s">
        <v>976</v>
      </c>
      <c r="Z246" s="32"/>
      <c r="AA246" s="28" t="n">
        <v>46245</v>
      </c>
      <c r="AB246" s="33" t="n">
        <v>6000</v>
      </c>
      <c r="AC246" s="33" t="n">
        <v>165174000</v>
      </c>
      <c r="AD246" s="33" t="n">
        <v>708000000</v>
      </c>
      <c r="AE246" s="26" t="s">
        <v>568</v>
      </c>
      <c r="AF246" s="26" t="str">
        <f aca="false"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>소재 입고일정 확인 필요</v>
      </c>
      <c r="AG246" s="24" t="str">
        <f aca="false">IF($K246="","",IF(OR(LEFT($AF246,2)="작지",LEFT($AF246,4)="소재입고"),IF(LEFT($G246,1)="S","★ 납기위험(S코드)","◆ 지연주의"),IF($AF246="정상","✓ 정상","? 확인필요")))</f>
        <v>? 확인필요</v>
      </c>
      <c r="AH246" s="27"/>
      <c r="AI246" s="34"/>
    </row>
    <row r="247" customFormat="false" ht="15" hidden="false" customHeight="false" outlineLevel="0" collapsed="false">
      <c r="A247" s="24" t="n">
        <v>243</v>
      </c>
      <c r="B247" s="25" t="s">
        <v>92</v>
      </c>
      <c r="C247" s="26" t="s">
        <v>967</v>
      </c>
      <c r="D247" s="26" t="s">
        <v>977</v>
      </c>
      <c r="E247" s="25" t="s">
        <v>978</v>
      </c>
      <c r="F247" s="26" t="s">
        <v>970</v>
      </c>
      <c r="G247" s="24" t="str">
        <f aca="false">IF($D247="","",IF(MID($D247,5,1)="S","S(봄)",IF(MID($D247,5,1)="M","M(여름)",IF(MID($D247,5,1)="X","X(사계절)",MID($D247,5,1)))))</f>
        <v>M(여름)</v>
      </c>
      <c r="H247" s="25" t="s">
        <v>97</v>
      </c>
      <c r="I247" s="24"/>
      <c r="J247" s="27" t="s">
        <v>568</v>
      </c>
      <c r="K247" s="28" t="n">
        <f aca="false">IF($J247="","",IFERROR(DATE(IF(VALUE(LEFT($J247,FIND("월",$J247)-1))&gt;=9,기준정보!$C$7-1,기준정보!$C$7),VALUE(LEFT($J247,FIND("월",$J247)-1)),1+7*(VALUE(SUBSTITUTE(MID($J247,FIND("월",$J247)+1,5),"주",""))-1)),""))</f>
        <v>46454</v>
      </c>
      <c r="L247" s="28" t="n">
        <f aca="false">IF($K247="","",IF(AND($K247-기준정보!$C$5&gt;=기준정보!$C$10,$K247-기준정보!$C$5&lt;=기준정보!$C$11),기준정보!$C$10-1,$K247-기준정보!$C$5))</f>
        <v>46440</v>
      </c>
      <c r="M247" s="29" t="n">
        <f aca="false"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>0</v>
      </c>
      <c r="N247" s="28" t="n">
        <f aca="false">IF($L247="","",$L247-기준정보!$C$6-$M247)</f>
        <v>46350</v>
      </c>
      <c r="O247" s="30" t="n">
        <f aca="false">IF($N247="","",$N247-기준정보!$C$4)</f>
        <v>97</v>
      </c>
      <c r="P247" s="27"/>
      <c r="Q247" s="27"/>
      <c r="R247" s="27"/>
      <c r="S247" s="31"/>
      <c r="T247" s="26" t="str">
        <f aca="false">IF($H247="","",IF(AND(ISNUMBER(SEARCH("CMT",$H247)),OR(ISNUMBER(SEARCH("완사입",$H247)),ISNUMBER(SEARCH("ODM",$H247)))),"본사/생산처 혼재",IF(ISNUMBER(SEARCH("CMT",$H247)),"본사(소재팀)","생산처")))</f>
        <v>생산처</v>
      </c>
      <c r="U247" s="26"/>
      <c r="V247" s="25" t="s">
        <v>380</v>
      </c>
      <c r="W247" s="26"/>
      <c r="X247" s="25" t="s">
        <v>979</v>
      </c>
      <c r="Y247" s="35" t="s">
        <v>980</v>
      </c>
      <c r="Z247" s="32"/>
      <c r="AA247" s="28"/>
      <c r="AB247" s="33" t="n">
        <v>1800</v>
      </c>
      <c r="AC247" s="33" t="n">
        <v>42300000</v>
      </c>
      <c r="AD247" s="33" t="n">
        <v>212400000</v>
      </c>
      <c r="AE247" s="26"/>
      <c r="AF247" s="26" t="str">
        <f aca="false"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>발행여부 확인 필요</v>
      </c>
      <c r="AG247" s="24" t="str">
        <f aca="false">IF($K247="","",IF(OR(LEFT($AF247,2)="작지",LEFT($AF247,4)="소재입고"),IF(LEFT($G247,1)="S","★ 납기위험(S코드)","◆ 지연주의"),IF($AF247="정상","✓ 정상","? 확인필요")))</f>
        <v>? 확인필요</v>
      </c>
      <c r="AH247" s="27"/>
      <c r="AI247" s="34"/>
    </row>
    <row r="248" customFormat="false" ht="26.85" hidden="false" customHeight="false" outlineLevel="0" collapsed="false">
      <c r="A248" s="24" t="n">
        <v>244</v>
      </c>
      <c r="B248" s="25" t="s">
        <v>92</v>
      </c>
      <c r="C248" s="26" t="s">
        <v>967</v>
      </c>
      <c r="D248" s="26" t="s">
        <v>981</v>
      </c>
      <c r="E248" s="25" t="s">
        <v>982</v>
      </c>
      <c r="F248" s="26" t="s">
        <v>970</v>
      </c>
      <c r="G248" s="24" t="str">
        <f aca="false">IF($D248="","",IF(MID($D248,5,1)="S","S(봄)",IF(MID($D248,5,1)="M","M(여름)",IF(MID($D248,5,1)="X","X(사계절)",MID($D248,5,1)))))</f>
        <v>M(여름)</v>
      </c>
      <c r="H248" s="25" t="s">
        <v>97</v>
      </c>
      <c r="I248" s="24"/>
      <c r="J248" s="27" t="s">
        <v>568</v>
      </c>
      <c r="K248" s="28" t="n">
        <f aca="false">IF($J248="","",IFERROR(DATE(IF(VALUE(LEFT($J248,FIND("월",$J248)-1))&gt;=9,기준정보!$C$7-1,기준정보!$C$7),VALUE(LEFT($J248,FIND("월",$J248)-1)),1+7*(VALUE(SUBSTITUTE(MID($J248,FIND("월",$J248)+1,5),"주",""))-1)),""))</f>
        <v>46454</v>
      </c>
      <c r="L248" s="28" t="n">
        <f aca="false">IF($K248="","",IF(AND($K248-기준정보!$C$5&gt;=기준정보!$C$10,$K248-기준정보!$C$5&lt;=기준정보!$C$11),기준정보!$C$10-1,$K248-기준정보!$C$5))</f>
        <v>46440</v>
      </c>
      <c r="M248" s="29" t="n">
        <f aca="false"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>0</v>
      </c>
      <c r="N248" s="28" t="n">
        <f aca="false">IF($L248="","",$L248-기준정보!$C$6-$M248)</f>
        <v>46350</v>
      </c>
      <c r="O248" s="30" t="n">
        <f aca="false">IF($N248="","",$N248-기준정보!$C$4)</f>
        <v>97</v>
      </c>
      <c r="P248" s="27"/>
      <c r="Q248" s="27"/>
      <c r="R248" s="27"/>
      <c r="S248" s="31"/>
      <c r="T248" s="26" t="str">
        <f aca="false">IF($H248="","",IF(AND(ISNUMBER(SEARCH("CMT",$H248)),OR(ISNUMBER(SEARCH("완사입",$H248)),ISNUMBER(SEARCH("ODM",$H248)))),"본사/생산처 혼재",IF(ISNUMBER(SEARCH("CMT",$H248)),"본사(소재팀)","생산처")))</f>
        <v>생산처</v>
      </c>
      <c r="U248" s="26"/>
      <c r="V248" s="25" t="s">
        <v>380</v>
      </c>
      <c r="W248" s="26"/>
      <c r="X248" s="25" t="s">
        <v>979</v>
      </c>
      <c r="Y248" s="35" t="s">
        <v>983</v>
      </c>
      <c r="Z248" s="32"/>
      <c r="AA248" s="28"/>
      <c r="AB248" s="33" t="n">
        <v>3200</v>
      </c>
      <c r="AC248" s="33" t="n">
        <v>81600000</v>
      </c>
      <c r="AD248" s="33" t="n">
        <v>409600000</v>
      </c>
      <c r="AE248" s="26"/>
      <c r="AF248" s="26" t="str">
        <f aca="false"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>발행여부 확인 필요</v>
      </c>
      <c r="AG248" s="24" t="str">
        <f aca="false">IF($K248="","",IF(OR(LEFT($AF248,2)="작지",LEFT($AF248,4)="소재입고"),IF(LEFT($G248,1)="S","★ 납기위험(S코드)","◆ 지연주의"),IF($AF248="정상","✓ 정상","? 확인필요")))</f>
        <v>? 확인필요</v>
      </c>
      <c r="AH248" s="27"/>
      <c r="AI248" s="34"/>
    </row>
    <row r="249" customFormat="false" ht="15" hidden="false" customHeight="false" outlineLevel="0" collapsed="false">
      <c r="A249" s="24" t="n">
        <v>245</v>
      </c>
      <c r="B249" s="25" t="s">
        <v>155</v>
      </c>
      <c r="C249" s="25" t="s">
        <v>156</v>
      </c>
      <c r="D249" s="26" t="s">
        <v>984</v>
      </c>
      <c r="E249" s="25" t="s">
        <v>985</v>
      </c>
      <c r="F249" s="26" t="s">
        <v>652</v>
      </c>
      <c r="G249" s="24" t="str">
        <f aca="false">IF($D249="","",IF(MID($D249,5,1)="S","S(봄)",IF(MID($D249,5,1)="M","M(여름)",IF(MID($D249,5,1)="X","X(사계절)",MID($D249,5,1)))))</f>
        <v>M(여름)</v>
      </c>
      <c r="H249" s="25" t="s">
        <v>97</v>
      </c>
      <c r="I249" s="24"/>
      <c r="J249" s="27" t="s">
        <v>568</v>
      </c>
      <c r="K249" s="28" t="n">
        <f aca="false">IF($J249="","",IFERROR(DATE(IF(VALUE(LEFT($J249,FIND("월",$J249)-1))&gt;=9,기준정보!$C$7-1,기준정보!$C$7),VALUE(LEFT($J249,FIND("월",$J249)-1)),1+7*(VALUE(SUBSTITUTE(MID($J249,FIND("월",$J249)+1,5),"주",""))-1)),""))</f>
        <v>46454</v>
      </c>
      <c r="L249" s="28" t="n">
        <f aca="false">IF($K249="","",IF(AND($K249-기준정보!$C$5&gt;=기준정보!$C$10,$K249-기준정보!$C$5&lt;=기준정보!$C$11),기준정보!$C$10-1,$K249-기준정보!$C$5))</f>
        <v>46440</v>
      </c>
      <c r="M249" s="29" t="n">
        <f aca="false"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>15</v>
      </c>
      <c r="N249" s="28" t="n">
        <f aca="false">IF($L249="","",$L249-기준정보!$C$6-$M249)</f>
        <v>46335</v>
      </c>
      <c r="O249" s="30" t="n">
        <f aca="false">IF($N249="","",$N249-기준정보!$C$4)</f>
        <v>82</v>
      </c>
      <c r="P249" s="27"/>
      <c r="Q249" s="27" t="s">
        <v>100</v>
      </c>
      <c r="R249" s="27" t="s">
        <v>101</v>
      </c>
      <c r="S249" s="31"/>
      <c r="T249" s="26" t="str">
        <f aca="false">IF($H249="","",IF(AND(ISNUMBER(SEARCH("CMT",$H249)),OR(ISNUMBER(SEARCH("완사입",$H249)),ISNUMBER(SEARCH("ODM",$H249)))),"본사/생산처 혼재",IF(ISNUMBER(SEARCH("CMT",$H249)),"본사(소재팀)","생산처")))</f>
        <v>생산처</v>
      </c>
      <c r="U249" s="25" t="s">
        <v>380</v>
      </c>
      <c r="V249" s="25" t="s">
        <v>380</v>
      </c>
      <c r="W249" s="25" t="s">
        <v>103</v>
      </c>
      <c r="X249" s="26" t="s">
        <v>247</v>
      </c>
      <c r="Y249" s="32" t="s">
        <v>597</v>
      </c>
      <c r="Z249" s="32"/>
      <c r="AA249" s="28" t="n">
        <v>46197</v>
      </c>
      <c r="AB249" s="33" t="n">
        <v>1500</v>
      </c>
      <c r="AC249" s="33" t="n">
        <v>38922000</v>
      </c>
      <c r="AD249" s="33" t="n">
        <v>237000000</v>
      </c>
      <c r="AE249" s="26" t="s">
        <v>568</v>
      </c>
      <c r="AF249" s="26" t="str">
        <f aca="false"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>소재 입고일정 확인 필요</v>
      </c>
      <c r="AG249" s="24" t="str">
        <f aca="false">IF($K249="","",IF(OR(LEFT($AF249,2)="작지",LEFT($AF249,4)="소재입고"),IF(LEFT($G249,1)="S","★ 납기위험(S코드)","◆ 지연주의"),IF($AF249="정상","✓ 정상","? 확인필요")))</f>
        <v>? 확인필요</v>
      </c>
      <c r="AH249" s="27"/>
      <c r="AI249" s="34"/>
    </row>
    <row r="250" customFormat="false" ht="15" hidden="false" customHeight="false" outlineLevel="0" collapsed="false">
      <c r="A250" s="24" t="n">
        <v>246</v>
      </c>
      <c r="B250" s="25" t="s">
        <v>327</v>
      </c>
      <c r="C250" s="25" t="s">
        <v>309</v>
      </c>
      <c r="D250" s="26" t="s">
        <v>986</v>
      </c>
      <c r="E250" s="25" t="s">
        <v>987</v>
      </c>
      <c r="F250" s="26" t="s">
        <v>988</v>
      </c>
      <c r="G250" s="24" t="str">
        <f aca="false">IF($D250="","",IF(MID($D250,5,1)="S","S(봄)",IF(MID($D250,5,1)="M","M(여름)",IF(MID($D250,5,1)="X","X(사계절)",MID($D250,5,1)))))</f>
        <v>M(여름)</v>
      </c>
      <c r="H250" s="25" t="s">
        <v>97</v>
      </c>
      <c r="I250" s="24" t="s">
        <v>644</v>
      </c>
      <c r="J250" s="27" t="s">
        <v>568</v>
      </c>
      <c r="K250" s="28" t="n">
        <f aca="false">IF($J250="","",IFERROR(DATE(IF(VALUE(LEFT($J250,FIND("월",$J250)-1))&gt;=9,기준정보!$C$7-1,기준정보!$C$7),VALUE(LEFT($J250,FIND("월",$J250)-1)),1+7*(VALUE(SUBSTITUTE(MID($J250,FIND("월",$J250)+1,5),"주",""))-1)),""))</f>
        <v>46454</v>
      </c>
      <c r="L250" s="28" t="n">
        <f aca="false">IF($K250="","",IF(AND($K250-기준정보!$C$5&gt;=기준정보!$C$10,$K250-기준정보!$C$5&lt;=기준정보!$C$11),기준정보!$C$10-1,$K250-기준정보!$C$5))</f>
        <v>46440</v>
      </c>
      <c r="M250" s="29" t="n">
        <f aca="false"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>15</v>
      </c>
      <c r="N250" s="28" t="n">
        <f aca="false">IF($L250="","",$L250-기준정보!$C$6-$M250)</f>
        <v>46335</v>
      </c>
      <c r="O250" s="30" t="n">
        <f aca="false">IF($N250="","",$N250-기준정보!$C$4)</f>
        <v>82</v>
      </c>
      <c r="P250" s="27"/>
      <c r="Q250" s="27" t="s">
        <v>100</v>
      </c>
      <c r="R250" s="27" t="s">
        <v>100</v>
      </c>
      <c r="S250" s="31"/>
      <c r="T250" s="26" t="str">
        <f aca="false">IF($H250="","",IF(AND(ISNUMBER(SEARCH("CMT",$H250)),OR(ISNUMBER(SEARCH("완사입",$H250)),ISNUMBER(SEARCH("ODM",$H250)))),"본사/생산처 혼재",IF(ISNUMBER(SEARCH("CMT",$H250)),"본사(소재팀)","생산처")))</f>
        <v>생산처</v>
      </c>
      <c r="U250" s="25" t="s">
        <v>313</v>
      </c>
      <c r="V250" s="25" t="s">
        <v>313</v>
      </c>
      <c r="W250" s="25" t="s">
        <v>103</v>
      </c>
      <c r="X250" s="25" t="s">
        <v>989</v>
      </c>
      <c r="Y250" s="35" t="s">
        <v>990</v>
      </c>
      <c r="Z250" s="32"/>
      <c r="AA250" s="28" t="n">
        <v>46202</v>
      </c>
      <c r="AB250" s="33" t="n">
        <v>2000</v>
      </c>
      <c r="AC250" s="33" t="n">
        <v>82328000</v>
      </c>
      <c r="AD250" s="33" t="n">
        <v>440000000</v>
      </c>
      <c r="AE250" s="26"/>
      <c r="AF250" s="26" t="str">
        <f aca="false"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>소재 입고일정 확인 필요</v>
      </c>
      <c r="AG250" s="24" t="str">
        <f aca="false">IF($K250="","",IF(OR(LEFT($AF250,2)="작지",LEFT($AF250,4)="소재입고"),IF(LEFT($G250,1)="S","★ 납기위험(S코드)","◆ 지연주의"),IF($AF250="정상","✓ 정상","? 확인필요")))</f>
        <v>? 확인필요</v>
      </c>
      <c r="AH250" s="27"/>
      <c r="AI250" s="34"/>
    </row>
    <row r="251" customFormat="false" ht="25.35" hidden="false" customHeight="false" outlineLevel="0" collapsed="false">
      <c r="A251" s="24" t="n">
        <v>247</v>
      </c>
      <c r="B251" s="25" t="s">
        <v>327</v>
      </c>
      <c r="C251" s="25" t="s">
        <v>309</v>
      </c>
      <c r="D251" s="26" t="s">
        <v>991</v>
      </c>
      <c r="E251" s="25" t="s">
        <v>992</v>
      </c>
      <c r="F251" s="26" t="s">
        <v>993</v>
      </c>
      <c r="G251" s="24" t="str">
        <f aca="false">IF($D251="","",IF(MID($D251,5,1)="S","S(봄)",IF(MID($D251,5,1)="M","M(여름)",IF(MID($D251,5,1)="X","X(사계절)",MID($D251,5,1)))))</f>
        <v>M(여름)</v>
      </c>
      <c r="H251" s="25" t="s">
        <v>97</v>
      </c>
      <c r="I251" s="24" t="s">
        <v>644</v>
      </c>
      <c r="J251" s="27" t="s">
        <v>568</v>
      </c>
      <c r="K251" s="28" t="n">
        <f aca="false">IF($J251="","",IFERROR(DATE(IF(VALUE(LEFT($J251,FIND("월",$J251)-1))&gt;=9,기준정보!$C$7-1,기준정보!$C$7),VALUE(LEFT($J251,FIND("월",$J251)-1)),1+7*(VALUE(SUBSTITUTE(MID($J251,FIND("월",$J251)+1,5),"주",""))-1)),""))</f>
        <v>46454</v>
      </c>
      <c r="L251" s="28" t="n">
        <f aca="false">IF($K251="","",IF(AND($K251-기준정보!$C$5&gt;=기준정보!$C$10,$K251-기준정보!$C$5&lt;=기준정보!$C$11),기준정보!$C$10-1,$K251-기준정보!$C$5))</f>
        <v>46440</v>
      </c>
      <c r="M251" s="29" t="n">
        <f aca="false"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>15</v>
      </c>
      <c r="N251" s="28" t="n">
        <f aca="false">IF($L251="","",$L251-기준정보!$C$6-$M251)</f>
        <v>46335</v>
      </c>
      <c r="O251" s="30" t="n">
        <f aca="false">IF($N251="","",$N251-기준정보!$C$4)</f>
        <v>82</v>
      </c>
      <c r="P251" s="27"/>
      <c r="Q251" s="27" t="s">
        <v>100</v>
      </c>
      <c r="R251" s="27" t="s">
        <v>100</v>
      </c>
      <c r="S251" s="31"/>
      <c r="T251" s="26" t="str">
        <f aca="false">IF($H251="","",IF(AND(ISNUMBER(SEARCH("CMT",$H251)),OR(ISNUMBER(SEARCH("완사입",$H251)),ISNUMBER(SEARCH("ODM",$H251)))),"본사/생산처 혼재",IF(ISNUMBER(SEARCH("CMT",$H251)),"본사(소재팀)","생산처")))</f>
        <v>생산처</v>
      </c>
      <c r="U251" s="25" t="s">
        <v>324</v>
      </c>
      <c r="V251" s="25" t="s">
        <v>994</v>
      </c>
      <c r="W251" s="25" t="s">
        <v>103</v>
      </c>
      <c r="X251" s="26" t="s">
        <v>995</v>
      </c>
      <c r="Y251" s="32" t="s">
        <v>996</v>
      </c>
      <c r="Z251" s="32"/>
      <c r="AA251" s="28" t="n">
        <v>46247</v>
      </c>
      <c r="AB251" s="33" t="n">
        <v>3500</v>
      </c>
      <c r="AC251" s="33" t="n">
        <v>146688500</v>
      </c>
      <c r="AD251" s="33" t="n">
        <v>770000000</v>
      </c>
      <c r="AE251" s="26"/>
      <c r="AF251" s="26" t="str">
        <f aca="false"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>소재 입고일정 확인 필요</v>
      </c>
      <c r="AG251" s="24" t="str">
        <f aca="false">IF($K251="","",IF(OR(LEFT($AF251,2)="작지",LEFT($AF251,4)="소재입고"),IF(LEFT($G251,1)="S","★ 납기위험(S코드)","◆ 지연주의"),IF($AF251="정상","✓ 정상","? 확인필요")))</f>
        <v>? 확인필요</v>
      </c>
      <c r="AH251" s="27"/>
      <c r="AI251" s="34"/>
    </row>
    <row r="252" customFormat="false" ht="15" hidden="false" customHeight="false" outlineLevel="0" collapsed="false">
      <c r="A252" s="24" t="n">
        <v>248</v>
      </c>
      <c r="B252" s="25" t="s">
        <v>155</v>
      </c>
      <c r="C252" s="25" t="s">
        <v>320</v>
      </c>
      <c r="D252" s="26" t="s">
        <v>997</v>
      </c>
      <c r="E252" s="25" t="s">
        <v>998</v>
      </c>
      <c r="F252" s="26" t="s">
        <v>632</v>
      </c>
      <c r="G252" s="24" t="str">
        <f aca="false">IF($D252="","",IF(MID($D252,5,1)="S","S(봄)",IF(MID($D252,5,1)="M","M(여름)",IF(MID($D252,5,1)="X","X(사계절)",MID($D252,5,1)))))</f>
        <v>M(여름)</v>
      </c>
      <c r="H252" s="25" t="s">
        <v>97</v>
      </c>
      <c r="I252" s="24"/>
      <c r="J252" s="27" t="s">
        <v>568</v>
      </c>
      <c r="K252" s="28" t="n">
        <f aca="false">IF($J252="","",IFERROR(DATE(IF(VALUE(LEFT($J252,FIND("월",$J252)-1))&gt;=9,기준정보!$C$7-1,기준정보!$C$7),VALUE(LEFT($J252,FIND("월",$J252)-1)),1+7*(VALUE(SUBSTITUTE(MID($J252,FIND("월",$J252)+1,5),"주",""))-1)),""))</f>
        <v>46454</v>
      </c>
      <c r="L252" s="28" t="n">
        <f aca="false">IF($K252="","",IF(AND($K252-기준정보!$C$5&gt;=기준정보!$C$10,$K252-기준정보!$C$5&lt;=기준정보!$C$11),기준정보!$C$10-1,$K252-기준정보!$C$5))</f>
        <v>46440</v>
      </c>
      <c r="M252" s="29" t="n">
        <f aca="false"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>15</v>
      </c>
      <c r="N252" s="28" t="n">
        <f aca="false">IF($L252="","",$L252-기준정보!$C$6-$M252)</f>
        <v>46335</v>
      </c>
      <c r="O252" s="30" t="n">
        <f aca="false">IF($N252="","",$N252-기준정보!$C$4)</f>
        <v>82</v>
      </c>
      <c r="P252" s="27"/>
      <c r="Q252" s="27" t="s">
        <v>100</v>
      </c>
      <c r="R252" s="27" t="s">
        <v>100</v>
      </c>
      <c r="S252" s="31"/>
      <c r="T252" s="26" t="str">
        <f aca="false">IF($H252="","",IF(AND(ISNUMBER(SEARCH("CMT",$H252)),OR(ISNUMBER(SEARCH("완사입",$H252)),ISNUMBER(SEARCH("ODM",$H252)))),"본사/생산처 혼재",IF(ISNUMBER(SEARCH("CMT",$H252)),"본사(소재팀)","생산처")))</f>
        <v>생산처</v>
      </c>
      <c r="U252" s="25" t="s">
        <v>289</v>
      </c>
      <c r="V252" s="25" t="s">
        <v>289</v>
      </c>
      <c r="W252" s="25" t="s">
        <v>103</v>
      </c>
      <c r="X252" s="26" t="s">
        <v>247</v>
      </c>
      <c r="Y252" s="32" t="s">
        <v>597</v>
      </c>
      <c r="Z252" s="32"/>
      <c r="AA252" s="28" t="n">
        <v>46197</v>
      </c>
      <c r="AB252" s="33" t="n">
        <v>3500</v>
      </c>
      <c r="AC252" s="33" t="n">
        <v>122696000</v>
      </c>
      <c r="AD252" s="33" t="n">
        <v>553000000</v>
      </c>
      <c r="AE252" s="26" t="s">
        <v>568</v>
      </c>
      <c r="AF252" s="26" t="str">
        <f aca="false"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>소재 입고일정 확인 필요</v>
      </c>
      <c r="AG252" s="24" t="str">
        <f aca="false">IF($K252="","",IF(OR(LEFT($AF252,2)="작지",LEFT($AF252,4)="소재입고"),IF(LEFT($G252,1)="S","★ 납기위험(S코드)","◆ 지연주의"),IF($AF252="정상","✓ 정상","? 확인필요")))</f>
        <v>? 확인필요</v>
      </c>
      <c r="AH252" s="27"/>
      <c r="AI252" s="34"/>
    </row>
    <row r="253" customFormat="false" ht="15" hidden="false" customHeight="false" outlineLevel="0" collapsed="false">
      <c r="A253" s="24" t="n">
        <v>249</v>
      </c>
      <c r="B253" s="25" t="s">
        <v>155</v>
      </c>
      <c r="C253" s="25" t="s">
        <v>320</v>
      </c>
      <c r="D253" s="26" t="s">
        <v>999</v>
      </c>
      <c r="E253" s="25" t="s">
        <v>1000</v>
      </c>
      <c r="F253" s="26" t="s">
        <v>1001</v>
      </c>
      <c r="G253" s="24" t="str">
        <f aca="false">IF($D253="","",IF(MID($D253,5,1)="S","S(봄)",IF(MID($D253,5,1)="M","M(여름)",IF(MID($D253,5,1)="X","X(사계절)",MID($D253,5,1)))))</f>
        <v>M(여름)</v>
      </c>
      <c r="H253" s="25" t="s">
        <v>97</v>
      </c>
      <c r="I253" s="24"/>
      <c r="J253" s="27" t="s">
        <v>568</v>
      </c>
      <c r="K253" s="28" t="n">
        <f aca="false">IF($J253="","",IFERROR(DATE(IF(VALUE(LEFT($J253,FIND("월",$J253)-1))&gt;=9,기준정보!$C$7-1,기준정보!$C$7),VALUE(LEFT($J253,FIND("월",$J253)-1)),1+7*(VALUE(SUBSTITUTE(MID($J253,FIND("월",$J253)+1,5),"주",""))-1)),""))</f>
        <v>46454</v>
      </c>
      <c r="L253" s="28" t="n">
        <f aca="false">IF($K253="","",IF(AND($K253-기준정보!$C$5&gt;=기준정보!$C$10,$K253-기준정보!$C$5&lt;=기준정보!$C$11),기준정보!$C$10-1,$K253-기준정보!$C$5))</f>
        <v>46440</v>
      </c>
      <c r="M253" s="29" t="n">
        <f aca="false"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>15</v>
      </c>
      <c r="N253" s="28" t="n">
        <f aca="false">IF($L253="","",$L253-기준정보!$C$6-$M253)</f>
        <v>46335</v>
      </c>
      <c r="O253" s="30" t="n">
        <f aca="false">IF($N253="","",$N253-기준정보!$C$4)</f>
        <v>82</v>
      </c>
      <c r="P253" s="27"/>
      <c r="Q253" s="27" t="s">
        <v>100</v>
      </c>
      <c r="R253" s="27" t="s">
        <v>100</v>
      </c>
      <c r="S253" s="31"/>
      <c r="T253" s="26" t="str">
        <f aca="false">IF($H253="","",IF(AND(ISNUMBER(SEARCH("CMT",$H253)),OR(ISNUMBER(SEARCH("완사입",$H253)),ISNUMBER(SEARCH("ODM",$H253)))),"본사/생산처 혼재",IF(ISNUMBER(SEARCH("CMT",$H253)),"본사(소재팀)","생산처")))</f>
        <v>생산처</v>
      </c>
      <c r="U253" s="25" t="s">
        <v>289</v>
      </c>
      <c r="V253" s="25" t="s">
        <v>289</v>
      </c>
      <c r="W253" s="25" t="s">
        <v>103</v>
      </c>
      <c r="X253" s="25" t="s">
        <v>773</v>
      </c>
      <c r="Y253" s="35" t="s">
        <v>774</v>
      </c>
      <c r="Z253" s="32"/>
      <c r="AA253" s="28" t="n">
        <v>46246</v>
      </c>
      <c r="AB253" s="33" t="n">
        <v>3000</v>
      </c>
      <c r="AC253" s="33" t="n">
        <v>110343000</v>
      </c>
      <c r="AD253" s="33" t="n">
        <v>534000000</v>
      </c>
      <c r="AE253" s="26" t="s">
        <v>568</v>
      </c>
      <c r="AF253" s="26" t="str">
        <f aca="false"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>소재 입고일정 확인 필요</v>
      </c>
      <c r="AG253" s="24" t="str">
        <f aca="false">IF($K253="","",IF(OR(LEFT($AF253,2)="작지",LEFT($AF253,4)="소재입고"),IF(LEFT($G253,1)="S","★ 납기위험(S코드)","◆ 지연주의"),IF($AF253="정상","✓ 정상","? 확인필요")))</f>
        <v>? 확인필요</v>
      </c>
      <c r="AH253" s="27"/>
      <c r="AI253" s="34"/>
    </row>
    <row r="254" customFormat="false" ht="15" hidden="false" customHeight="false" outlineLevel="0" collapsed="false">
      <c r="A254" s="24" t="n">
        <v>250</v>
      </c>
      <c r="B254" s="25" t="s">
        <v>155</v>
      </c>
      <c r="C254" s="25" t="s">
        <v>320</v>
      </c>
      <c r="D254" s="26" t="s">
        <v>1002</v>
      </c>
      <c r="E254" s="25" t="s">
        <v>1003</v>
      </c>
      <c r="F254" s="26" t="s">
        <v>1004</v>
      </c>
      <c r="G254" s="24" t="str">
        <f aca="false">IF($D254="","",IF(MID($D254,5,1)="S","S(봄)",IF(MID($D254,5,1)="M","M(여름)",IF(MID($D254,5,1)="X","X(사계절)",MID($D254,5,1)))))</f>
        <v>M(여름)</v>
      </c>
      <c r="H254" s="25" t="s">
        <v>97</v>
      </c>
      <c r="I254" s="24"/>
      <c r="J254" s="27" t="s">
        <v>568</v>
      </c>
      <c r="K254" s="28" t="n">
        <f aca="false">IF($J254="","",IFERROR(DATE(IF(VALUE(LEFT($J254,FIND("월",$J254)-1))&gt;=9,기준정보!$C$7-1,기준정보!$C$7),VALUE(LEFT($J254,FIND("월",$J254)-1)),1+7*(VALUE(SUBSTITUTE(MID($J254,FIND("월",$J254)+1,5),"주",""))-1)),""))</f>
        <v>46454</v>
      </c>
      <c r="L254" s="28" t="n">
        <f aca="false">IF($K254="","",IF(AND($K254-기준정보!$C$5&gt;=기준정보!$C$10,$K254-기준정보!$C$5&lt;=기준정보!$C$11),기준정보!$C$10-1,$K254-기준정보!$C$5))</f>
        <v>46440</v>
      </c>
      <c r="M254" s="29" t="n">
        <f aca="false"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>15</v>
      </c>
      <c r="N254" s="28" t="n">
        <f aca="false">IF($L254="","",$L254-기준정보!$C$6-$M254)</f>
        <v>46335</v>
      </c>
      <c r="O254" s="30" t="n">
        <f aca="false">IF($N254="","",$N254-기준정보!$C$4)</f>
        <v>82</v>
      </c>
      <c r="P254" s="27"/>
      <c r="Q254" s="27" t="s">
        <v>100</v>
      </c>
      <c r="R254" s="27" t="s">
        <v>100</v>
      </c>
      <c r="S254" s="31"/>
      <c r="T254" s="26" t="str">
        <f aca="false">IF($H254="","",IF(AND(ISNUMBER(SEARCH("CMT",$H254)),OR(ISNUMBER(SEARCH("완사입",$H254)),ISNUMBER(SEARCH("ODM",$H254)))),"본사/생산처 혼재",IF(ISNUMBER(SEARCH("CMT",$H254)),"본사(소재팀)","생산처")))</f>
        <v>생산처</v>
      </c>
      <c r="U254" s="25" t="s">
        <v>604</v>
      </c>
      <c r="V254" s="25" t="s">
        <v>605</v>
      </c>
      <c r="W254" s="25" t="s">
        <v>103</v>
      </c>
      <c r="X254" s="25" t="s">
        <v>604</v>
      </c>
      <c r="Y254" s="35" t="s">
        <v>617</v>
      </c>
      <c r="Z254" s="32"/>
      <c r="AA254" s="28" t="n">
        <v>46225</v>
      </c>
      <c r="AB254" s="33" t="n">
        <v>3000</v>
      </c>
      <c r="AC254" s="33" t="n">
        <v>94791000</v>
      </c>
      <c r="AD254" s="33" t="n">
        <v>474000000</v>
      </c>
      <c r="AE254" s="26"/>
      <c r="AF254" s="26" t="str">
        <f aca="false"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>소재 입고일정 확인 필요</v>
      </c>
      <c r="AG254" s="24" t="str">
        <f aca="false">IF($K254="","",IF(OR(LEFT($AF254,2)="작지",LEFT($AF254,4)="소재입고"),IF(LEFT($G254,1)="S","★ 납기위험(S코드)","◆ 지연주의"),IF($AF254="정상","✓ 정상","? 확인필요")))</f>
        <v>? 확인필요</v>
      </c>
      <c r="AH254" s="27"/>
      <c r="AI254" s="34"/>
    </row>
    <row r="255" customFormat="false" ht="15" hidden="false" customHeight="false" outlineLevel="0" collapsed="false">
      <c r="A255" s="24" t="n">
        <v>251</v>
      </c>
      <c r="B255" s="25" t="s">
        <v>155</v>
      </c>
      <c r="C255" s="25" t="s">
        <v>156</v>
      </c>
      <c r="D255" s="26" t="s">
        <v>1005</v>
      </c>
      <c r="E255" s="25" t="s">
        <v>1006</v>
      </c>
      <c r="F255" s="26" t="s">
        <v>1007</v>
      </c>
      <c r="G255" s="24" t="str">
        <f aca="false">IF($D255="","",IF(MID($D255,5,1)="S","S(봄)",IF(MID($D255,5,1)="M","M(여름)",IF(MID($D255,5,1)="X","X(사계절)",MID($D255,5,1)))))</f>
        <v>M(여름)</v>
      </c>
      <c r="H255" s="25" t="s">
        <v>97</v>
      </c>
      <c r="I255" s="24"/>
      <c r="J255" s="27" t="s">
        <v>568</v>
      </c>
      <c r="K255" s="28" t="n">
        <f aca="false">IF($J255="","",IFERROR(DATE(IF(VALUE(LEFT($J255,FIND("월",$J255)-1))&gt;=9,기준정보!$C$7-1,기준정보!$C$7),VALUE(LEFT($J255,FIND("월",$J255)-1)),1+7*(VALUE(SUBSTITUTE(MID($J255,FIND("월",$J255)+1,5),"주",""))-1)),""))</f>
        <v>46454</v>
      </c>
      <c r="L255" s="28" t="n">
        <f aca="false">IF($K255="","",IF(AND($K255-기준정보!$C$5&gt;=기준정보!$C$10,$K255-기준정보!$C$5&lt;=기준정보!$C$11),기준정보!$C$10-1,$K255-기준정보!$C$5))</f>
        <v>46440</v>
      </c>
      <c r="M255" s="29" t="n">
        <f aca="false"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>15</v>
      </c>
      <c r="N255" s="28" t="n">
        <f aca="false">IF($L255="","",$L255-기준정보!$C$6-$M255)</f>
        <v>46335</v>
      </c>
      <c r="O255" s="30" t="n">
        <f aca="false">IF($N255="","",$N255-기준정보!$C$4)</f>
        <v>82</v>
      </c>
      <c r="P255" s="27"/>
      <c r="Q255" s="27" t="s">
        <v>100</v>
      </c>
      <c r="R255" s="27" t="s">
        <v>101</v>
      </c>
      <c r="S255" s="31"/>
      <c r="T255" s="26" t="str">
        <f aca="false">IF($H255="","",IF(AND(ISNUMBER(SEARCH("CMT",$H255)),OR(ISNUMBER(SEARCH("완사입",$H255)),ISNUMBER(SEARCH("ODM",$H255)))),"본사/생산처 혼재",IF(ISNUMBER(SEARCH("CMT",$H255)),"본사(소재팀)","생산처")))</f>
        <v>생산처</v>
      </c>
      <c r="U255" s="25" t="s">
        <v>380</v>
      </c>
      <c r="V255" s="25" t="s">
        <v>380</v>
      </c>
      <c r="W255" s="25" t="s">
        <v>103</v>
      </c>
      <c r="X255" s="25" t="s">
        <v>773</v>
      </c>
      <c r="Y255" s="35" t="s">
        <v>976</v>
      </c>
      <c r="Z255" s="32"/>
      <c r="AA255" s="28" t="n">
        <v>46245</v>
      </c>
      <c r="AB255" s="33" t="n">
        <v>5500</v>
      </c>
      <c r="AC255" s="33" t="n">
        <v>127193000</v>
      </c>
      <c r="AD255" s="33" t="n">
        <v>649000000</v>
      </c>
      <c r="AE255" s="26" t="s">
        <v>568</v>
      </c>
      <c r="AF255" s="26" t="str">
        <f aca="false"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>소재 입고일정 확인 필요</v>
      </c>
      <c r="AG255" s="24" t="str">
        <f aca="false">IF($K255="","",IF(OR(LEFT($AF255,2)="작지",LEFT($AF255,4)="소재입고"),IF(LEFT($G255,1)="S","★ 납기위험(S코드)","◆ 지연주의"),IF($AF255="정상","✓ 정상","? 확인필요")))</f>
        <v>? 확인필요</v>
      </c>
      <c r="AH255" s="27"/>
      <c r="AI255" s="34"/>
    </row>
    <row r="256" customFormat="false" ht="15" hidden="false" customHeight="false" outlineLevel="0" collapsed="false">
      <c r="A256" s="24" t="n">
        <v>252</v>
      </c>
      <c r="B256" s="25" t="s">
        <v>92</v>
      </c>
      <c r="C256" s="26" t="s">
        <v>967</v>
      </c>
      <c r="D256" s="26" t="s">
        <v>1008</v>
      </c>
      <c r="E256" s="25" t="s">
        <v>1009</v>
      </c>
      <c r="F256" s="26" t="s">
        <v>970</v>
      </c>
      <c r="G256" s="24" t="str">
        <f aca="false">IF($D256="","",IF(MID($D256,5,1)="S","S(봄)",IF(MID($D256,5,1)="M","M(여름)",IF(MID($D256,5,1)="X","X(사계절)",MID($D256,5,1)))))</f>
        <v>M(여름)</v>
      </c>
      <c r="H256" s="25" t="s">
        <v>97</v>
      </c>
      <c r="I256" s="24"/>
      <c r="J256" s="27" t="s">
        <v>568</v>
      </c>
      <c r="K256" s="28" t="n">
        <f aca="false">IF($J256="","",IFERROR(DATE(IF(VALUE(LEFT($J256,FIND("월",$J256)-1))&gt;=9,기준정보!$C$7-1,기준정보!$C$7),VALUE(LEFT($J256,FIND("월",$J256)-1)),1+7*(VALUE(SUBSTITUTE(MID($J256,FIND("월",$J256)+1,5),"주",""))-1)),""))</f>
        <v>46454</v>
      </c>
      <c r="L256" s="28" t="n">
        <f aca="false">IF($K256="","",IF(AND($K256-기준정보!$C$5&gt;=기준정보!$C$10,$K256-기준정보!$C$5&lt;=기준정보!$C$11),기준정보!$C$10-1,$K256-기준정보!$C$5))</f>
        <v>46440</v>
      </c>
      <c r="M256" s="29" t="n">
        <f aca="false"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>0</v>
      </c>
      <c r="N256" s="28" t="n">
        <f aca="false">IF($L256="","",$L256-기준정보!$C$6-$M256)</f>
        <v>46350</v>
      </c>
      <c r="O256" s="30" t="n">
        <f aca="false">IF($N256="","",$N256-기준정보!$C$4)</f>
        <v>97</v>
      </c>
      <c r="P256" s="27"/>
      <c r="Q256" s="27"/>
      <c r="R256" s="27"/>
      <c r="S256" s="31"/>
      <c r="T256" s="26" t="str">
        <f aca="false">IF($H256="","",IF(AND(ISNUMBER(SEARCH("CMT",$H256)),OR(ISNUMBER(SEARCH("완사입",$H256)),ISNUMBER(SEARCH("ODM",$H256)))),"본사/생산처 혼재",IF(ISNUMBER(SEARCH("CMT",$H256)),"본사(소재팀)","생산처")))</f>
        <v>생산처</v>
      </c>
      <c r="U256" s="26"/>
      <c r="V256" s="25" t="s">
        <v>380</v>
      </c>
      <c r="W256" s="26"/>
      <c r="X256" s="25" t="s">
        <v>979</v>
      </c>
      <c r="Y256" s="35" t="s">
        <v>980</v>
      </c>
      <c r="Z256" s="32"/>
      <c r="AA256" s="28"/>
      <c r="AB256" s="33" t="n">
        <v>1500</v>
      </c>
      <c r="AC256" s="33" t="n">
        <v>31500000</v>
      </c>
      <c r="AD256" s="33" t="n">
        <v>177000000</v>
      </c>
      <c r="AE256" s="26"/>
      <c r="AF256" s="26" t="str">
        <f aca="false"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>발행여부 확인 필요</v>
      </c>
      <c r="AG256" s="24" t="str">
        <f aca="false">IF($K256="","",IF(OR(LEFT($AF256,2)="작지",LEFT($AF256,4)="소재입고"),IF(LEFT($G256,1)="S","★ 납기위험(S코드)","◆ 지연주의"),IF($AF256="정상","✓ 정상","? 확인필요")))</f>
        <v>? 확인필요</v>
      </c>
      <c r="AH256" s="27"/>
      <c r="AI256" s="34"/>
    </row>
    <row r="257" customFormat="false" ht="26.85" hidden="false" customHeight="false" outlineLevel="0" collapsed="false">
      <c r="A257" s="24" t="n">
        <v>253</v>
      </c>
      <c r="B257" s="25" t="s">
        <v>92</v>
      </c>
      <c r="C257" s="26" t="s">
        <v>967</v>
      </c>
      <c r="D257" s="26" t="s">
        <v>1010</v>
      </c>
      <c r="E257" s="25" t="s">
        <v>1011</v>
      </c>
      <c r="F257" s="26" t="s">
        <v>970</v>
      </c>
      <c r="G257" s="24" t="str">
        <f aca="false">IF($D257="","",IF(MID($D257,5,1)="S","S(봄)",IF(MID($D257,5,1)="M","M(여름)",IF(MID($D257,5,1)="X","X(사계절)",MID($D257,5,1)))))</f>
        <v>M(여름)</v>
      </c>
      <c r="H257" s="25" t="s">
        <v>97</v>
      </c>
      <c r="I257" s="24"/>
      <c r="J257" s="27" t="s">
        <v>568</v>
      </c>
      <c r="K257" s="28" t="n">
        <f aca="false">IF($J257="","",IFERROR(DATE(IF(VALUE(LEFT($J257,FIND("월",$J257)-1))&gt;=9,기준정보!$C$7-1,기준정보!$C$7),VALUE(LEFT($J257,FIND("월",$J257)-1)),1+7*(VALUE(SUBSTITUTE(MID($J257,FIND("월",$J257)+1,5),"주",""))-1)),""))</f>
        <v>46454</v>
      </c>
      <c r="L257" s="28" t="n">
        <f aca="false">IF($K257="","",IF(AND($K257-기준정보!$C$5&gt;=기준정보!$C$10,$K257-기준정보!$C$5&lt;=기준정보!$C$11),기준정보!$C$10-1,$K257-기준정보!$C$5))</f>
        <v>46440</v>
      </c>
      <c r="M257" s="29" t="n">
        <f aca="false"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>0</v>
      </c>
      <c r="N257" s="28" t="n">
        <f aca="false">IF($L257="","",$L257-기준정보!$C$6-$M257)</f>
        <v>46350</v>
      </c>
      <c r="O257" s="30" t="n">
        <f aca="false">IF($N257="","",$N257-기준정보!$C$4)</f>
        <v>97</v>
      </c>
      <c r="P257" s="27"/>
      <c r="Q257" s="27"/>
      <c r="R257" s="27"/>
      <c r="S257" s="31"/>
      <c r="T257" s="26" t="str">
        <f aca="false">IF($H257="","",IF(AND(ISNUMBER(SEARCH("CMT",$H257)),OR(ISNUMBER(SEARCH("완사입",$H257)),ISNUMBER(SEARCH("ODM",$H257)))),"본사/생산처 혼재",IF(ISNUMBER(SEARCH("CMT",$H257)),"본사(소재팀)","생산처")))</f>
        <v>생산처</v>
      </c>
      <c r="U257" s="26"/>
      <c r="V257" s="25" t="s">
        <v>380</v>
      </c>
      <c r="W257" s="26"/>
      <c r="X257" s="25" t="s">
        <v>979</v>
      </c>
      <c r="Y257" s="35" t="s">
        <v>983</v>
      </c>
      <c r="Z257" s="32"/>
      <c r="AA257" s="28"/>
      <c r="AB257" s="33" t="n">
        <v>2000</v>
      </c>
      <c r="AC257" s="33" t="n">
        <v>46000000</v>
      </c>
      <c r="AD257" s="33" t="n">
        <v>256000000</v>
      </c>
      <c r="AE257" s="26"/>
      <c r="AF257" s="26" t="str">
        <f aca="false"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>발행여부 확인 필요</v>
      </c>
      <c r="AG257" s="24" t="str">
        <f aca="false">IF($K257="","",IF(OR(LEFT($AF257,2)="작지",LEFT($AF257,4)="소재입고"),IF(LEFT($G257,1)="S","★ 납기위험(S코드)","◆ 지연주의"),IF($AF257="정상","✓ 정상","? 확인필요")))</f>
        <v>? 확인필요</v>
      </c>
      <c r="AH257" s="27"/>
      <c r="AI257" s="34"/>
    </row>
    <row r="258" customFormat="false" ht="15" hidden="false" customHeight="false" outlineLevel="0" collapsed="false">
      <c r="A258" s="24" t="n">
        <v>254</v>
      </c>
      <c r="B258" s="25" t="s">
        <v>327</v>
      </c>
      <c r="C258" s="25" t="s">
        <v>328</v>
      </c>
      <c r="D258" s="26" t="s">
        <v>1012</v>
      </c>
      <c r="E258" s="25" t="s">
        <v>1013</v>
      </c>
      <c r="F258" s="26" t="s">
        <v>1014</v>
      </c>
      <c r="G258" s="24" t="str">
        <f aca="false">IF($D258="","",IF(MID($D258,5,1)="S","S(봄)",IF(MID($D258,5,1)="M","M(여름)",IF(MID($D258,5,1)="X","X(사계절)",MID($D258,5,1)))))</f>
        <v>M(여름)</v>
      </c>
      <c r="H258" s="25" t="s">
        <v>97</v>
      </c>
      <c r="I258" s="24" t="s">
        <v>644</v>
      </c>
      <c r="J258" s="27" t="s">
        <v>568</v>
      </c>
      <c r="K258" s="28" t="n">
        <f aca="false">IF($J258="","",IFERROR(DATE(IF(VALUE(LEFT($J258,FIND("월",$J258)-1))&gt;=9,기준정보!$C$7-1,기준정보!$C$7),VALUE(LEFT($J258,FIND("월",$J258)-1)),1+7*(VALUE(SUBSTITUTE(MID($J258,FIND("월",$J258)+1,5),"주",""))-1)),""))</f>
        <v>46454</v>
      </c>
      <c r="L258" s="28" t="n">
        <f aca="false">IF($K258="","",IF(AND($K258-기준정보!$C$5&gt;=기준정보!$C$10,$K258-기준정보!$C$5&lt;=기준정보!$C$11),기준정보!$C$10-1,$K258-기준정보!$C$5))</f>
        <v>46440</v>
      </c>
      <c r="M258" s="29" t="n">
        <f aca="false"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>15</v>
      </c>
      <c r="N258" s="28" t="n">
        <f aca="false">IF($L258="","",$L258-기준정보!$C$6-$M258)</f>
        <v>46335</v>
      </c>
      <c r="O258" s="30" t="n">
        <f aca="false">IF($N258="","",$N258-기준정보!$C$4)</f>
        <v>82</v>
      </c>
      <c r="P258" s="27"/>
      <c r="Q258" s="27" t="s">
        <v>100</v>
      </c>
      <c r="R258" s="27" t="s">
        <v>100</v>
      </c>
      <c r="S258" s="31"/>
      <c r="T258" s="26" t="str">
        <f aca="false">IF($H258="","",IF(AND(ISNUMBER(SEARCH("CMT",$H258)),OR(ISNUMBER(SEARCH("완사입",$H258)),ISNUMBER(SEARCH("ODM",$H258)))),"본사/생산처 혼재",IF(ISNUMBER(SEARCH("CMT",$H258)),"본사(소재팀)","생산처")))</f>
        <v>생산처</v>
      </c>
      <c r="U258" s="25" t="s">
        <v>324</v>
      </c>
      <c r="V258" s="25" t="s">
        <v>324</v>
      </c>
      <c r="W258" s="25" t="s">
        <v>103</v>
      </c>
      <c r="X258" s="26" t="s">
        <v>1015</v>
      </c>
      <c r="Y258" s="32" t="s">
        <v>1016</v>
      </c>
      <c r="Z258" s="32"/>
      <c r="AA258" s="28" t="n">
        <v>46247</v>
      </c>
      <c r="AB258" s="33" t="n">
        <v>2500</v>
      </c>
      <c r="AC258" s="33" t="n">
        <v>82302500</v>
      </c>
      <c r="AD258" s="33" t="n">
        <v>420000000</v>
      </c>
      <c r="AE258" s="26"/>
      <c r="AF258" s="26" t="str">
        <f aca="false"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>소재 입고일정 확인 필요</v>
      </c>
      <c r="AG258" s="24" t="str">
        <f aca="false">IF($K258="","",IF(OR(LEFT($AF258,2)="작지",LEFT($AF258,4)="소재입고"),IF(LEFT($G258,1)="S","★ 납기위험(S코드)","◆ 지연주의"),IF($AF258="정상","✓ 정상","? 확인필요")))</f>
        <v>? 확인필요</v>
      </c>
      <c r="AH258" s="27"/>
      <c r="AI258" s="34"/>
    </row>
    <row r="259" customFormat="false" ht="15" hidden="false" customHeight="false" outlineLevel="0" collapsed="false">
      <c r="A259" s="24" t="n">
        <v>255</v>
      </c>
      <c r="B259" s="25" t="s">
        <v>266</v>
      </c>
      <c r="C259" s="25" t="s">
        <v>271</v>
      </c>
      <c r="D259" s="26" t="s">
        <v>1017</v>
      </c>
      <c r="E259" s="25" t="s">
        <v>1018</v>
      </c>
      <c r="F259" s="26" t="s">
        <v>1019</v>
      </c>
      <c r="G259" s="24" t="str">
        <f aca="false">IF($D259="","",IF(MID($D259,5,1)="S","S(봄)",IF(MID($D259,5,1)="M","M(여름)",IF(MID($D259,5,1)="X","X(사계절)",MID($D259,5,1)))))</f>
        <v>M(여름)</v>
      </c>
      <c r="H259" s="25" t="s">
        <v>97</v>
      </c>
      <c r="I259" s="24"/>
      <c r="J259" s="27" t="s">
        <v>1020</v>
      </c>
      <c r="K259" s="28" t="n">
        <f aca="false">IF($J259="","",IFERROR(DATE(IF(VALUE(LEFT($J259,FIND("월",$J259)-1))&gt;=9,기준정보!$C$7-1,기준정보!$C$7),VALUE(LEFT($J259,FIND("월",$J259)-1)),1+7*(VALUE(SUBSTITUTE(MID($J259,FIND("월",$J259)+1,5),"주",""))-1)),""))</f>
        <v>46461</v>
      </c>
      <c r="L259" s="28" t="n">
        <f aca="false">IF($K259="","",IF(AND($K259-기준정보!$C$5&gt;=기준정보!$C$10,$K259-기준정보!$C$5&lt;=기준정보!$C$11),기준정보!$C$10-1,$K259-기준정보!$C$5))</f>
        <v>46447</v>
      </c>
      <c r="M259" s="29" t="n">
        <f aca="false"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>0</v>
      </c>
      <c r="N259" s="28" t="n">
        <f aca="false">IF($L259="","",$L259-기준정보!$C$6-$M259)</f>
        <v>46357</v>
      </c>
      <c r="O259" s="30" t="n">
        <f aca="false">IF($N259="","",$N259-기준정보!$C$4)</f>
        <v>104</v>
      </c>
      <c r="P259" s="27"/>
      <c r="Q259" s="27" t="s">
        <v>100</v>
      </c>
      <c r="R259" s="27" t="s">
        <v>101</v>
      </c>
      <c r="S259" s="31"/>
      <c r="T259" s="26" t="str">
        <f aca="false">IF($H259="","",IF(AND(ISNUMBER(SEARCH("CMT",$H259)),OR(ISNUMBER(SEARCH("완사입",$H259)),ISNUMBER(SEARCH("ODM",$H259)))),"본사/생산처 혼재",IF(ISNUMBER(SEARCH("CMT",$H259)),"본사(소재팀)","생산처")))</f>
        <v>생산처</v>
      </c>
      <c r="U259" s="26" t="s">
        <v>235</v>
      </c>
      <c r="V259" s="26" t="s">
        <v>235</v>
      </c>
      <c r="W259" s="25" t="s">
        <v>110</v>
      </c>
      <c r="X259" s="26" t="s">
        <v>300</v>
      </c>
      <c r="Y259" s="32" t="s">
        <v>1021</v>
      </c>
      <c r="Z259" s="32"/>
      <c r="AA259" s="28" t="n">
        <v>46199</v>
      </c>
      <c r="AB259" s="33" t="n">
        <v>3000</v>
      </c>
      <c r="AC259" s="33" t="n">
        <v>56277000</v>
      </c>
      <c r="AD259" s="33" t="n">
        <v>354000000</v>
      </c>
      <c r="AE259" s="26" t="s">
        <v>752</v>
      </c>
      <c r="AF259" s="26" t="str">
        <f aca="false"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>소재 입고일정 확인 필요</v>
      </c>
      <c r="AG259" s="24" t="str">
        <f aca="false">IF($K259="","",IF(OR(LEFT($AF259,2)="작지",LEFT($AF259,4)="소재입고"),IF(LEFT($G259,1)="S","★ 납기위험(S코드)","◆ 지연주의"),IF($AF259="정상","✓ 정상","? 확인필요")))</f>
        <v>? 확인필요</v>
      </c>
      <c r="AH259" s="27"/>
      <c r="AI259" s="34"/>
    </row>
    <row r="260" customFormat="false" ht="15" hidden="false" customHeight="false" outlineLevel="0" collapsed="false">
      <c r="A260" s="24" t="n">
        <v>256</v>
      </c>
      <c r="B260" s="25" t="s">
        <v>242</v>
      </c>
      <c r="C260" s="25" t="s">
        <v>697</v>
      </c>
      <c r="D260" s="26" t="s">
        <v>1022</v>
      </c>
      <c r="E260" s="25" t="s">
        <v>1023</v>
      </c>
      <c r="F260" s="26" t="s">
        <v>1024</v>
      </c>
      <c r="G260" s="24" t="str">
        <f aca="false">IF($D260="","",IF(MID($D260,5,1)="S","S(봄)",IF(MID($D260,5,1)="M","M(여름)",IF(MID($D260,5,1)="X","X(사계절)",MID($D260,5,1)))))</f>
        <v>M(여름)</v>
      </c>
      <c r="H260" s="26" t="s">
        <v>255</v>
      </c>
      <c r="I260" s="24" t="s">
        <v>502</v>
      </c>
      <c r="J260" s="27" t="s">
        <v>648</v>
      </c>
      <c r="K260" s="28" t="n">
        <f aca="false">IF($J260="","",IFERROR(DATE(IF(VALUE(LEFT($J260,FIND("월",$J260)-1))&gt;=9,기준정보!$C$7-1,기준정보!$C$7),VALUE(LEFT($J260,FIND("월",$J260)-1)),1+7*(VALUE(SUBSTITUTE(MID($J260,FIND("월",$J260)+1,5),"주",""))-1)),""))</f>
        <v>46468</v>
      </c>
      <c r="L260" s="28" t="n">
        <f aca="false">IF($K260="","",IF(AND($K260-기준정보!$C$5&gt;=기준정보!$C$10,$K260-기준정보!$C$5&lt;=기준정보!$C$11),기준정보!$C$10-1,$K260-기준정보!$C$5))</f>
        <v>46454</v>
      </c>
      <c r="M260" s="29" t="n">
        <f aca="false"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>15</v>
      </c>
      <c r="N260" s="28" t="n">
        <f aca="false">IF($L260="","",$L260-기준정보!$C$6-$M260)</f>
        <v>46349</v>
      </c>
      <c r="O260" s="30" t="n">
        <f aca="false">IF($N260="","",$N260-기준정보!$C$4)</f>
        <v>96</v>
      </c>
      <c r="P260" s="27"/>
      <c r="Q260" s="27" t="s">
        <v>100</v>
      </c>
      <c r="R260" s="27" t="s">
        <v>101</v>
      </c>
      <c r="S260" s="31"/>
      <c r="T260" s="26" t="str">
        <f aca="false">IF($H260="","",IF(AND(ISNUMBER(SEARCH("CMT",$H260)),OR(ISNUMBER(SEARCH("완사입",$H260)),ISNUMBER(SEARCH("ODM",$H260)))),"본사/생산처 혼재",IF(ISNUMBER(SEARCH("CMT",$H260)),"본사(소재팀)","생산처")))</f>
        <v>본사(소재팀)</v>
      </c>
      <c r="U260" s="25" t="s">
        <v>102</v>
      </c>
      <c r="V260" s="25" t="s">
        <v>102</v>
      </c>
      <c r="W260" s="25" t="s">
        <v>103</v>
      </c>
      <c r="X260" s="26" t="s">
        <v>247</v>
      </c>
      <c r="Y260" s="32" t="s">
        <v>1025</v>
      </c>
      <c r="Z260" s="32"/>
      <c r="AA260" s="28" t="n">
        <v>46218</v>
      </c>
      <c r="AB260" s="33" t="n">
        <v>4000</v>
      </c>
      <c r="AC260" s="33" t="n">
        <v>173964000</v>
      </c>
      <c r="AD260" s="33" t="n">
        <v>880000000</v>
      </c>
      <c r="AE260" s="26" t="s">
        <v>648</v>
      </c>
      <c r="AF260" s="26" t="str">
        <f aca="false"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>소재 입고일정 확인 필요</v>
      </c>
      <c r="AG260" s="24" t="str">
        <f aca="false">IF($K260="","",IF(OR(LEFT($AF260,2)="작지",LEFT($AF260,4)="소재입고"),IF(LEFT($G260,1)="S","★ 납기위험(S코드)","◆ 지연주의"),IF($AF260="정상","✓ 정상","? 확인필요")))</f>
        <v>? 확인필요</v>
      </c>
      <c r="AH260" s="27"/>
      <c r="AI260" s="34"/>
    </row>
    <row r="261" customFormat="false" ht="15" hidden="false" customHeight="false" outlineLevel="0" collapsed="false">
      <c r="A261" s="24" t="n">
        <v>257</v>
      </c>
      <c r="B261" s="25" t="s">
        <v>242</v>
      </c>
      <c r="C261" s="25" t="s">
        <v>697</v>
      </c>
      <c r="D261" s="26" t="s">
        <v>1026</v>
      </c>
      <c r="E261" s="25" t="s">
        <v>1027</v>
      </c>
      <c r="F261" s="26" t="s">
        <v>1028</v>
      </c>
      <c r="G261" s="24" t="str">
        <f aca="false">IF($D261="","",IF(MID($D261,5,1)="S","S(봄)",IF(MID($D261,5,1)="M","M(여름)",IF(MID($D261,5,1)="X","X(사계절)",MID($D261,5,1)))))</f>
        <v>M(여름)</v>
      </c>
      <c r="H261" s="26" t="s">
        <v>255</v>
      </c>
      <c r="I261" s="24" t="s">
        <v>502</v>
      </c>
      <c r="J261" s="27" t="s">
        <v>648</v>
      </c>
      <c r="K261" s="28" t="n">
        <f aca="false">IF($J261="","",IFERROR(DATE(IF(VALUE(LEFT($J261,FIND("월",$J261)-1))&gt;=9,기준정보!$C$7-1,기준정보!$C$7),VALUE(LEFT($J261,FIND("월",$J261)-1)),1+7*(VALUE(SUBSTITUTE(MID($J261,FIND("월",$J261)+1,5),"주",""))-1)),""))</f>
        <v>46468</v>
      </c>
      <c r="L261" s="28" t="n">
        <f aca="false">IF($K261="","",IF(AND($K261-기준정보!$C$5&gt;=기준정보!$C$10,$K261-기준정보!$C$5&lt;=기준정보!$C$11),기준정보!$C$10-1,$K261-기준정보!$C$5))</f>
        <v>46454</v>
      </c>
      <c r="M261" s="29" t="n">
        <f aca="false"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>15</v>
      </c>
      <c r="N261" s="28" t="n">
        <f aca="false">IF($L261="","",$L261-기준정보!$C$6-$M261)</f>
        <v>46349</v>
      </c>
      <c r="O261" s="30" t="n">
        <f aca="false">IF($N261="","",$N261-기준정보!$C$4)</f>
        <v>96</v>
      </c>
      <c r="P261" s="27"/>
      <c r="Q261" s="27" t="s">
        <v>100</v>
      </c>
      <c r="R261" s="27" t="s">
        <v>101</v>
      </c>
      <c r="S261" s="31"/>
      <c r="T261" s="26" t="str">
        <f aca="false">IF($H261="","",IF(AND(ISNUMBER(SEARCH("CMT",$H261)),OR(ISNUMBER(SEARCH("완사입",$H261)),ISNUMBER(SEARCH("ODM",$H261)))),"본사/생산처 혼재",IF(ISNUMBER(SEARCH("CMT",$H261)),"본사(소재팀)","생산처")))</f>
        <v>본사(소재팀)</v>
      </c>
      <c r="U261" s="25" t="s">
        <v>102</v>
      </c>
      <c r="V261" s="25" t="s">
        <v>102</v>
      </c>
      <c r="W261" s="25" t="s">
        <v>103</v>
      </c>
      <c r="X261" s="25" t="s">
        <v>220</v>
      </c>
      <c r="Y261" s="35" t="s">
        <v>1029</v>
      </c>
      <c r="Z261" s="32"/>
      <c r="AA261" s="28" t="n">
        <v>46232</v>
      </c>
      <c r="AB261" s="33" t="n">
        <v>1800</v>
      </c>
      <c r="AC261" s="33" t="n">
        <v>118872000</v>
      </c>
      <c r="AD261" s="33" t="n">
        <v>630000000</v>
      </c>
      <c r="AE261" s="26" t="s">
        <v>648</v>
      </c>
      <c r="AF261" s="26" t="str">
        <f aca="false"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>소재 입고일정 확인 필요</v>
      </c>
      <c r="AG261" s="24" t="str">
        <f aca="false">IF($K261="","",IF(OR(LEFT($AF261,2)="작지",LEFT($AF261,4)="소재입고"),IF(LEFT($G261,1)="S","★ 납기위험(S코드)","◆ 지연주의"),IF($AF261="정상","✓ 정상","? 확인필요")))</f>
        <v>? 확인필요</v>
      </c>
      <c r="AH261" s="27"/>
      <c r="AI261" s="34"/>
    </row>
    <row r="262" customFormat="false" ht="15" hidden="false" customHeight="false" outlineLevel="0" collapsed="false">
      <c r="A262" s="24" t="n">
        <v>258</v>
      </c>
      <c r="B262" s="25" t="s">
        <v>242</v>
      </c>
      <c r="C262" s="25" t="s">
        <v>697</v>
      </c>
      <c r="D262" s="26" t="s">
        <v>1030</v>
      </c>
      <c r="E262" s="25" t="s">
        <v>1031</v>
      </c>
      <c r="F262" s="26" t="s">
        <v>1032</v>
      </c>
      <c r="G262" s="24" t="str">
        <f aca="false">IF($D262="","",IF(MID($D262,5,1)="S","S(봄)",IF(MID($D262,5,1)="M","M(여름)",IF(MID($D262,5,1)="X","X(사계절)",MID($D262,5,1)))))</f>
        <v>M(여름)</v>
      </c>
      <c r="H262" s="26" t="s">
        <v>255</v>
      </c>
      <c r="I262" s="24" t="s">
        <v>502</v>
      </c>
      <c r="J262" s="27" t="s">
        <v>648</v>
      </c>
      <c r="K262" s="28" t="n">
        <f aca="false">IF($J262="","",IFERROR(DATE(IF(VALUE(LEFT($J262,FIND("월",$J262)-1))&gt;=9,기준정보!$C$7-1,기준정보!$C$7),VALUE(LEFT($J262,FIND("월",$J262)-1)),1+7*(VALUE(SUBSTITUTE(MID($J262,FIND("월",$J262)+1,5),"주",""))-1)),""))</f>
        <v>46468</v>
      </c>
      <c r="L262" s="28" t="n">
        <f aca="false">IF($K262="","",IF(AND($K262-기준정보!$C$5&gt;=기준정보!$C$10,$K262-기준정보!$C$5&lt;=기준정보!$C$11),기준정보!$C$10-1,$K262-기준정보!$C$5))</f>
        <v>46454</v>
      </c>
      <c r="M262" s="29" t="n">
        <f aca="false"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>15</v>
      </c>
      <c r="N262" s="28" t="n">
        <f aca="false">IF($L262="","",$L262-기준정보!$C$6-$M262)</f>
        <v>46349</v>
      </c>
      <c r="O262" s="30" t="n">
        <f aca="false">IF($N262="","",$N262-기준정보!$C$4)</f>
        <v>96</v>
      </c>
      <c r="P262" s="27"/>
      <c r="Q262" s="27" t="s">
        <v>100</v>
      </c>
      <c r="R262" s="27" t="s">
        <v>101</v>
      </c>
      <c r="S262" s="31"/>
      <c r="T262" s="26" t="str">
        <f aca="false">IF($H262="","",IF(AND(ISNUMBER(SEARCH("CMT",$H262)),OR(ISNUMBER(SEARCH("완사입",$H262)),ISNUMBER(SEARCH("ODM",$H262)))),"본사/생산처 혼재",IF(ISNUMBER(SEARCH("CMT",$H262)),"본사(소재팀)","생산처")))</f>
        <v>본사(소재팀)</v>
      </c>
      <c r="U262" s="25" t="s">
        <v>102</v>
      </c>
      <c r="V262" s="25" t="s">
        <v>102</v>
      </c>
      <c r="W262" s="25" t="s">
        <v>103</v>
      </c>
      <c r="X262" s="26" t="s">
        <v>247</v>
      </c>
      <c r="Y262" s="32" t="s">
        <v>1025</v>
      </c>
      <c r="Z262" s="32"/>
      <c r="AA262" s="28" t="n">
        <v>46204</v>
      </c>
      <c r="AB262" s="33" t="n">
        <v>3000</v>
      </c>
      <c r="AC262" s="33" t="n">
        <v>119295000</v>
      </c>
      <c r="AD262" s="33" t="n">
        <v>594000000</v>
      </c>
      <c r="AE262" s="26" t="s">
        <v>648</v>
      </c>
      <c r="AF262" s="26" t="str">
        <f aca="false"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>소재 입고일정 확인 필요</v>
      </c>
      <c r="AG262" s="24" t="str">
        <f aca="false">IF($K262="","",IF(OR(LEFT($AF262,2)="작지",LEFT($AF262,4)="소재입고"),IF(LEFT($G262,1)="S","★ 납기위험(S코드)","◆ 지연주의"),IF($AF262="정상","✓ 정상","? 확인필요")))</f>
        <v>? 확인필요</v>
      </c>
      <c r="AH262" s="27"/>
      <c r="AI262" s="34"/>
    </row>
    <row r="263" customFormat="false" ht="15" hidden="false" customHeight="false" outlineLevel="0" collapsed="false">
      <c r="A263" s="24" t="n">
        <v>259</v>
      </c>
      <c r="B263" s="25" t="s">
        <v>250</v>
      </c>
      <c r="C263" s="25" t="s">
        <v>251</v>
      </c>
      <c r="D263" s="26" t="s">
        <v>1033</v>
      </c>
      <c r="E263" s="25" t="s">
        <v>1034</v>
      </c>
      <c r="F263" s="26" t="s">
        <v>1035</v>
      </c>
      <c r="G263" s="24" t="str">
        <f aca="false">IF($D263="","",IF(MID($D263,5,1)="S","S(봄)",IF(MID($D263,5,1)="M","M(여름)",IF(MID($D263,5,1)="X","X(사계절)",MID($D263,5,1)))))</f>
        <v>M(여름)</v>
      </c>
      <c r="H263" s="26" t="s">
        <v>255</v>
      </c>
      <c r="I263" s="24"/>
      <c r="J263" s="27" t="s">
        <v>648</v>
      </c>
      <c r="K263" s="28" t="n">
        <f aca="false">IF($J263="","",IFERROR(DATE(IF(VALUE(LEFT($J263,FIND("월",$J263)-1))&gt;=9,기준정보!$C$7-1,기준정보!$C$7),VALUE(LEFT($J263,FIND("월",$J263)-1)),1+7*(VALUE(SUBSTITUTE(MID($J263,FIND("월",$J263)+1,5),"주",""))-1)),""))</f>
        <v>46468</v>
      </c>
      <c r="L263" s="28" t="n">
        <f aca="false">IF($K263="","",IF(AND($K263-기준정보!$C$5&gt;=기준정보!$C$10,$K263-기준정보!$C$5&lt;=기준정보!$C$11),기준정보!$C$10-1,$K263-기준정보!$C$5))</f>
        <v>46454</v>
      </c>
      <c r="M263" s="29" t="n">
        <f aca="false"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>15</v>
      </c>
      <c r="N263" s="28" t="n">
        <f aca="false">IF($L263="","",$L263-기준정보!$C$6-$M263)</f>
        <v>46349</v>
      </c>
      <c r="O263" s="30" t="n">
        <f aca="false">IF($N263="","",$N263-기준정보!$C$4)</f>
        <v>96</v>
      </c>
      <c r="P263" s="27"/>
      <c r="Q263" s="27" t="s">
        <v>100</v>
      </c>
      <c r="R263" s="27" t="s">
        <v>100</v>
      </c>
      <c r="S263" s="31"/>
      <c r="T263" s="26" t="str">
        <f aca="false">IF($H263="","",IF(AND(ISNUMBER(SEARCH("CMT",$H263)),OR(ISNUMBER(SEARCH("완사입",$H263)),ISNUMBER(SEARCH("ODM",$H263)))),"본사/생산처 혼재",IF(ISNUMBER(SEARCH("CMT",$H263)),"본사(소재팀)","생산처")))</f>
        <v>본사(소재팀)</v>
      </c>
      <c r="U263" s="26" t="s">
        <v>280</v>
      </c>
      <c r="V263" s="26" t="s">
        <v>280</v>
      </c>
      <c r="W263" s="25" t="s">
        <v>103</v>
      </c>
      <c r="X263" s="26" t="s">
        <v>1036</v>
      </c>
      <c r="Y263" s="32" t="s">
        <v>1037</v>
      </c>
      <c r="Z263" s="32"/>
      <c r="AA263" s="28" t="n">
        <v>46234</v>
      </c>
      <c r="AB263" s="33" t="n">
        <v>1800</v>
      </c>
      <c r="AC263" s="33" t="n">
        <v>68529600</v>
      </c>
      <c r="AD263" s="33" t="n">
        <v>356400000</v>
      </c>
      <c r="AE263" s="26" t="s">
        <v>648</v>
      </c>
      <c r="AF263" s="26" t="str">
        <f aca="false"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>소재 입고일정 확인 필요</v>
      </c>
      <c r="AG263" s="24" t="str">
        <f aca="false">IF($K263="","",IF(OR(LEFT($AF263,2)="작지",LEFT($AF263,4)="소재입고"),IF(LEFT($G263,1)="S","★ 납기위험(S코드)","◆ 지연주의"),IF($AF263="정상","✓ 정상","? 확인필요")))</f>
        <v>? 확인필요</v>
      </c>
      <c r="AH263" s="27"/>
      <c r="AI263" s="34"/>
    </row>
    <row r="264" customFormat="false" ht="15" hidden="false" customHeight="false" outlineLevel="0" collapsed="false">
      <c r="A264" s="24" t="n">
        <v>260</v>
      </c>
      <c r="B264" s="25" t="s">
        <v>250</v>
      </c>
      <c r="C264" s="25" t="s">
        <v>251</v>
      </c>
      <c r="D264" s="26" t="s">
        <v>1038</v>
      </c>
      <c r="E264" s="25" t="s">
        <v>1039</v>
      </c>
      <c r="F264" s="26" t="s">
        <v>180</v>
      </c>
      <c r="G264" s="24" t="str">
        <f aca="false">IF($D264="","",IF(MID($D264,5,1)="S","S(봄)",IF(MID($D264,5,1)="M","M(여름)",IF(MID($D264,5,1)="X","X(사계절)",MID($D264,5,1)))))</f>
        <v>M(여름)</v>
      </c>
      <c r="H264" s="26" t="s">
        <v>255</v>
      </c>
      <c r="I264" s="24"/>
      <c r="J264" s="27" t="s">
        <v>648</v>
      </c>
      <c r="K264" s="28" t="n">
        <f aca="false">IF($J264="","",IFERROR(DATE(IF(VALUE(LEFT($J264,FIND("월",$J264)-1))&gt;=9,기준정보!$C$7-1,기준정보!$C$7),VALUE(LEFT($J264,FIND("월",$J264)-1)),1+7*(VALUE(SUBSTITUTE(MID($J264,FIND("월",$J264)+1,5),"주",""))-1)),""))</f>
        <v>46468</v>
      </c>
      <c r="L264" s="28" t="n">
        <f aca="false">IF($K264="","",IF(AND($K264-기준정보!$C$5&gt;=기준정보!$C$10,$K264-기준정보!$C$5&lt;=기준정보!$C$11),기준정보!$C$10-1,$K264-기준정보!$C$5))</f>
        <v>46454</v>
      </c>
      <c r="M264" s="29" t="n">
        <f aca="false"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>15</v>
      </c>
      <c r="N264" s="28" t="n">
        <f aca="false">IF($L264="","",$L264-기준정보!$C$6-$M264)</f>
        <v>46349</v>
      </c>
      <c r="O264" s="30" t="n">
        <f aca="false">IF($N264="","",$N264-기준정보!$C$4)</f>
        <v>96</v>
      </c>
      <c r="P264" s="27"/>
      <c r="Q264" s="27" t="s">
        <v>100</v>
      </c>
      <c r="R264" s="27" t="s">
        <v>100</v>
      </c>
      <c r="S264" s="31"/>
      <c r="T264" s="26" t="str">
        <f aca="false">IF($H264="","",IF(AND(ISNUMBER(SEARCH("CMT",$H264)),OR(ISNUMBER(SEARCH("완사입",$H264)),ISNUMBER(SEARCH("ODM",$H264)))),"본사/생산처 혼재",IF(ISNUMBER(SEARCH("CMT",$H264)),"본사(소재팀)","생산처")))</f>
        <v>본사(소재팀)</v>
      </c>
      <c r="U264" s="26" t="s">
        <v>183</v>
      </c>
      <c r="V264" s="26" t="s">
        <v>183</v>
      </c>
      <c r="W264" s="25" t="s">
        <v>103</v>
      </c>
      <c r="X264" s="25" t="s">
        <v>220</v>
      </c>
      <c r="Y264" s="35" t="s">
        <v>589</v>
      </c>
      <c r="Z264" s="32"/>
      <c r="AA264" s="28" t="n">
        <v>46205</v>
      </c>
      <c r="AB264" s="33" t="n">
        <v>3200</v>
      </c>
      <c r="AC264" s="33" t="n">
        <v>107529600</v>
      </c>
      <c r="AD264" s="33" t="n">
        <v>633600000</v>
      </c>
      <c r="AE264" s="26" t="s">
        <v>648</v>
      </c>
      <c r="AF264" s="26" t="str">
        <f aca="false"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>소재 입고일정 확인 필요</v>
      </c>
      <c r="AG264" s="24" t="str">
        <f aca="false">IF($K264="","",IF(OR(LEFT($AF264,2)="작지",LEFT($AF264,4)="소재입고"),IF(LEFT($G264,1)="S","★ 납기위험(S코드)","◆ 지연주의"),IF($AF264="정상","✓ 정상","? 확인필요")))</f>
        <v>? 확인필요</v>
      </c>
      <c r="AH264" s="27"/>
      <c r="AI264" s="34"/>
    </row>
    <row r="265" customFormat="false" ht="15" hidden="false" customHeight="false" outlineLevel="0" collapsed="false">
      <c r="A265" s="24" t="n">
        <v>261</v>
      </c>
      <c r="B265" s="25" t="s">
        <v>250</v>
      </c>
      <c r="C265" s="25" t="s">
        <v>251</v>
      </c>
      <c r="D265" s="26" t="s">
        <v>1040</v>
      </c>
      <c r="E265" s="25" t="s">
        <v>1041</v>
      </c>
      <c r="F265" s="26" t="s">
        <v>1042</v>
      </c>
      <c r="G265" s="24" t="str">
        <f aca="false">IF($D265="","",IF(MID($D265,5,1)="S","S(봄)",IF(MID($D265,5,1)="M","M(여름)",IF(MID($D265,5,1)="X","X(사계절)",MID($D265,5,1)))))</f>
        <v>M(여름)</v>
      </c>
      <c r="H265" s="26" t="s">
        <v>255</v>
      </c>
      <c r="I265" s="24"/>
      <c r="J265" s="27" t="s">
        <v>648</v>
      </c>
      <c r="K265" s="28" t="n">
        <f aca="false">IF($J265="","",IFERROR(DATE(IF(VALUE(LEFT($J265,FIND("월",$J265)-1))&gt;=9,기준정보!$C$7-1,기준정보!$C$7),VALUE(LEFT($J265,FIND("월",$J265)-1)),1+7*(VALUE(SUBSTITUTE(MID($J265,FIND("월",$J265)+1,5),"주",""))-1)),""))</f>
        <v>46468</v>
      </c>
      <c r="L265" s="28" t="n">
        <f aca="false">IF($K265="","",IF(AND($K265-기준정보!$C$5&gt;=기준정보!$C$10,$K265-기준정보!$C$5&lt;=기준정보!$C$11),기준정보!$C$10-1,$K265-기준정보!$C$5))</f>
        <v>46454</v>
      </c>
      <c r="M265" s="29" t="n">
        <f aca="false"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>15</v>
      </c>
      <c r="N265" s="28" t="n">
        <f aca="false">IF($L265="","",$L265-기준정보!$C$6-$M265)</f>
        <v>46349</v>
      </c>
      <c r="O265" s="30" t="n">
        <f aca="false">IF($N265="","",$N265-기준정보!$C$4)</f>
        <v>96</v>
      </c>
      <c r="P265" s="27"/>
      <c r="Q265" s="27" t="s">
        <v>100</v>
      </c>
      <c r="R265" s="27" t="s">
        <v>100</v>
      </c>
      <c r="S265" s="31"/>
      <c r="T265" s="26" t="str">
        <f aca="false">IF($H265="","",IF(AND(ISNUMBER(SEARCH("CMT",$H265)),OR(ISNUMBER(SEARCH("완사입",$H265)),ISNUMBER(SEARCH("ODM",$H265)))),"본사/생산처 혼재",IF(ISNUMBER(SEARCH("CMT",$H265)),"본사(소재팀)","생산처")))</f>
        <v>본사(소재팀)</v>
      </c>
      <c r="U265" s="26" t="s">
        <v>280</v>
      </c>
      <c r="V265" s="26" t="s">
        <v>280</v>
      </c>
      <c r="W265" s="25" t="s">
        <v>103</v>
      </c>
      <c r="X265" s="25" t="s">
        <v>220</v>
      </c>
      <c r="Y265" s="35" t="s">
        <v>589</v>
      </c>
      <c r="Z265" s="32"/>
      <c r="AA265" s="28" t="n">
        <v>46230</v>
      </c>
      <c r="AB265" s="33" t="n">
        <v>1500</v>
      </c>
      <c r="AC265" s="33" t="n">
        <v>35835000</v>
      </c>
      <c r="AD265" s="33" t="n">
        <v>192000000</v>
      </c>
      <c r="AE265" s="26" t="s">
        <v>648</v>
      </c>
      <c r="AF265" s="26" t="str">
        <f aca="false"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>소재 입고일정 확인 필요</v>
      </c>
      <c r="AG265" s="24" t="str">
        <f aca="false">IF($K265="","",IF(OR(LEFT($AF265,2)="작지",LEFT($AF265,4)="소재입고"),IF(LEFT($G265,1)="S","★ 납기위험(S코드)","◆ 지연주의"),IF($AF265="정상","✓ 정상","? 확인필요")))</f>
        <v>? 확인필요</v>
      </c>
      <c r="AH265" s="27"/>
      <c r="AI265" s="34"/>
    </row>
    <row r="266" customFormat="false" ht="15" hidden="false" customHeight="false" outlineLevel="0" collapsed="false">
      <c r="A266" s="24" t="n">
        <v>262</v>
      </c>
      <c r="B266" s="25" t="s">
        <v>242</v>
      </c>
      <c r="C266" s="25" t="s">
        <v>697</v>
      </c>
      <c r="D266" s="26" t="s">
        <v>1043</v>
      </c>
      <c r="E266" s="25" t="s">
        <v>1044</v>
      </c>
      <c r="F266" s="26" t="s">
        <v>196</v>
      </c>
      <c r="G266" s="24" t="str">
        <f aca="false">IF($D266="","",IF(MID($D266,5,1)="S","S(봄)",IF(MID($D266,5,1)="M","M(여름)",IF(MID($D266,5,1)="X","X(사계절)",MID($D266,5,1)))))</f>
        <v>M(여름)</v>
      </c>
      <c r="H266" s="25" t="s">
        <v>97</v>
      </c>
      <c r="I266" s="24" t="s">
        <v>502</v>
      </c>
      <c r="J266" s="27" t="s">
        <v>648</v>
      </c>
      <c r="K266" s="28" t="n">
        <f aca="false">IF($J266="","",IFERROR(DATE(IF(VALUE(LEFT($J266,FIND("월",$J266)-1))&gt;=9,기준정보!$C$7-1,기준정보!$C$7),VALUE(LEFT($J266,FIND("월",$J266)-1)),1+7*(VALUE(SUBSTITUTE(MID($J266,FIND("월",$J266)+1,5),"주",""))-1)),""))</f>
        <v>46468</v>
      </c>
      <c r="L266" s="28" t="n">
        <f aca="false">IF($K266="","",IF(AND($K266-기준정보!$C$5&gt;=기준정보!$C$10,$K266-기준정보!$C$5&lt;=기준정보!$C$11),기준정보!$C$10-1,$K266-기준정보!$C$5))</f>
        <v>46454</v>
      </c>
      <c r="M266" s="29" t="n">
        <f aca="false"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>15</v>
      </c>
      <c r="N266" s="28" t="n">
        <f aca="false">IF($L266="","",$L266-기준정보!$C$6-$M266)</f>
        <v>46349</v>
      </c>
      <c r="O266" s="30" t="n">
        <f aca="false">IF($N266="","",$N266-기준정보!$C$4)</f>
        <v>96</v>
      </c>
      <c r="P266" s="27"/>
      <c r="Q266" s="27" t="s">
        <v>100</v>
      </c>
      <c r="R266" s="27" t="s">
        <v>100</v>
      </c>
      <c r="S266" s="31"/>
      <c r="T266" s="26" t="str">
        <f aca="false">IF($H266="","",IF(AND(ISNUMBER(SEARCH("CMT",$H266)),OR(ISNUMBER(SEARCH("완사입",$H266)),ISNUMBER(SEARCH("ODM",$H266)))),"본사/생산처 혼재",IF(ISNUMBER(SEARCH("CMT",$H266)),"본사(소재팀)","생산처")))</f>
        <v>생산처</v>
      </c>
      <c r="U266" s="25" t="s">
        <v>135</v>
      </c>
      <c r="V266" s="25" t="s">
        <v>135</v>
      </c>
      <c r="W266" s="25" t="s">
        <v>103</v>
      </c>
      <c r="X266" s="26" t="s">
        <v>834</v>
      </c>
      <c r="Y266" s="32" t="s">
        <v>835</v>
      </c>
      <c r="Z266" s="32"/>
      <c r="AA266" s="28" t="n">
        <v>46169</v>
      </c>
      <c r="AB266" s="33" t="n">
        <v>800</v>
      </c>
      <c r="AC266" s="33" t="n">
        <v>23959200</v>
      </c>
      <c r="AD266" s="33" t="n">
        <v>94400000</v>
      </c>
      <c r="AE266" s="26" t="s">
        <v>648</v>
      </c>
      <c r="AF266" s="26" t="str">
        <f aca="false"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>소재 입고일정 확인 필요</v>
      </c>
      <c r="AG266" s="24" t="str">
        <f aca="false">IF($K266="","",IF(OR(LEFT($AF266,2)="작지",LEFT($AF266,4)="소재입고"),IF(LEFT($G266,1)="S","★ 납기위험(S코드)","◆ 지연주의"),IF($AF266="정상","✓ 정상","? 확인필요")))</f>
        <v>? 확인필요</v>
      </c>
      <c r="AH266" s="27"/>
      <c r="AI266" s="34"/>
    </row>
    <row r="267" customFormat="false" ht="15" hidden="false" customHeight="false" outlineLevel="0" collapsed="false">
      <c r="A267" s="24" t="n">
        <v>263</v>
      </c>
      <c r="B267" s="25" t="s">
        <v>250</v>
      </c>
      <c r="C267" s="25" t="s">
        <v>251</v>
      </c>
      <c r="D267" s="26" t="s">
        <v>1045</v>
      </c>
      <c r="E267" s="25" t="s">
        <v>1046</v>
      </c>
      <c r="F267" s="26" t="s">
        <v>1047</v>
      </c>
      <c r="G267" s="24" t="str">
        <f aca="false">IF($D267="","",IF(MID($D267,5,1)="S","S(봄)",IF(MID($D267,5,1)="M","M(여름)",IF(MID($D267,5,1)="X","X(사계절)",MID($D267,5,1)))))</f>
        <v>M(여름)</v>
      </c>
      <c r="H267" s="25" t="s">
        <v>97</v>
      </c>
      <c r="I267" s="24"/>
      <c r="J267" s="27" t="s">
        <v>648</v>
      </c>
      <c r="K267" s="28" t="n">
        <f aca="false">IF($J267="","",IFERROR(DATE(IF(VALUE(LEFT($J267,FIND("월",$J267)-1))&gt;=9,기준정보!$C$7-1,기준정보!$C$7),VALUE(LEFT($J267,FIND("월",$J267)-1)),1+7*(VALUE(SUBSTITUTE(MID($J267,FIND("월",$J267)+1,5),"주",""))-1)),""))</f>
        <v>46468</v>
      </c>
      <c r="L267" s="28" t="n">
        <f aca="false">IF($K267="","",IF(AND($K267-기준정보!$C$5&gt;=기준정보!$C$10,$K267-기준정보!$C$5&lt;=기준정보!$C$11),기준정보!$C$10-1,$K267-기준정보!$C$5))</f>
        <v>46454</v>
      </c>
      <c r="M267" s="29" t="n">
        <f aca="false"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>15</v>
      </c>
      <c r="N267" s="28" t="n">
        <f aca="false">IF($L267="","",$L267-기준정보!$C$6-$M267)</f>
        <v>46349</v>
      </c>
      <c r="O267" s="30" t="n">
        <f aca="false">IF($N267="","",$N267-기준정보!$C$4)</f>
        <v>96</v>
      </c>
      <c r="P267" s="27"/>
      <c r="Q267" s="27" t="s">
        <v>100</v>
      </c>
      <c r="R267" s="27" t="s">
        <v>100</v>
      </c>
      <c r="S267" s="31"/>
      <c r="T267" s="26" t="str">
        <f aca="false">IF($H267="","",IF(AND(ISNUMBER(SEARCH("CMT",$H267)),OR(ISNUMBER(SEARCH("완사입",$H267)),ISNUMBER(SEARCH("ODM",$H267)))),"본사/생산처 혼재",IF(ISNUMBER(SEARCH("CMT",$H267)),"본사(소재팀)","생산처")))</f>
        <v>생산처</v>
      </c>
      <c r="U267" s="25" t="s">
        <v>289</v>
      </c>
      <c r="V267" s="25" t="s">
        <v>289</v>
      </c>
      <c r="W267" s="25" t="s">
        <v>103</v>
      </c>
      <c r="X267" s="25" t="s">
        <v>122</v>
      </c>
      <c r="Y267" s="35" t="s">
        <v>751</v>
      </c>
      <c r="Z267" s="32"/>
      <c r="AA267" s="28" t="n">
        <v>46234</v>
      </c>
      <c r="AB267" s="33" t="n">
        <v>4000</v>
      </c>
      <c r="AC267" s="33" t="n">
        <v>113600000</v>
      </c>
      <c r="AD267" s="33" t="n">
        <v>592000000</v>
      </c>
      <c r="AE267" s="26" t="s">
        <v>648</v>
      </c>
      <c r="AF267" s="26" t="str">
        <f aca="false"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>소재 입고일정 확인 필요</v>
      </c>
      <c r="AG267" s="24" t="str">
        <f aca="false">IF($K267="","",IF(OR(LEFT($AF267,2)="작지",LEFT($AF267,4)="소재입고"),IF(LEFT($G267,1)="S","★ 납기위험(S코드)","◆ 지연주의"),IF($AF267="정상","✓ 정상","? 확인필요")))</f>
        <v>? 확인필요</v>
      </c>
      <c r="AH267" s="27"/>
      <c r="AI267" s="34"/>
    </row>
    <row r="268" customFormat="false" ht="15" hidden="false" customHeight="false" outlineLevel="0" collapsed="false">
      <c r="A268" s="24" t="n">
        <v>264</v>
      </c>
      <c r="B268" s="25" t="s">
        <v>250</v>
      </c>
      <c r="C268" s="25" t="s">
        <v>251</v>
      </c>
      <c r="D268" s="26" t="s">
        <v>1048</v>
      </c>
      <c r="E268" s="25" t="s">
        <v>1049</v>
      </c>
      <c r="F268" s="26" t="s">
        <v>940</v>
      </c>
      <c r="G268" s="24" t="str">
        <f aca="false">IF($D268="","",IF(MID($D268,5,1)="S","S(봄)",IF(MID($D268,5,1)="M","M(여름)",IF(MID($D268,5,1)="X","X(사계절)",MID($D268,5,1)))))</f>
        <v>M(여름)</v>
      </c>
      <c r="H268" s="25" t="s">
        <v>97</v>
      </c>
      <c r="I268" s="24"/>
      <c r="J268" s="27" t="s">
        <v>648</v>
      </c>
      <c r="K268" s="28" t="n">
        <f aca="false">IF($J268="","",IFERROR(DATE(IF(VALUE(LEFT($J268,FIND("월",$J268)-1))&gt;=9,기준정보!$C$7-1,기준정보!$C$7),VALUE(LEFT($J268,FIND("월",$J268)-1)),1+7*(VALUE(SUBSTITUTE(MID($J268,FIND("월",$J268)+1,5),"주",""))-1)),""))</f>
        <v>46468</v>
      </c>
      <c r="L268" s="28" t="n">
        <f aca="false">IF($K268="","",IF(AND($K268-기준정보!$C$5&gt;=기준정보!$C$10,$K268-기준정보!$C$5&lt;=기준정보!$C$11),기준정보!$C$10-1,$K268-기준정보!$C$5))</f>
        <v>46454</v>
      </c>
      <c r="M268" s="29" t="n">
        <f aca="false"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>15</v>
      </c>
      <c r="N268" s="28" t="n">
        <f aca="false">IF($L268="","",$L268-기준정보!$C$6-$M268)</f>
        <v>46349</v>
      </c>
      <c r="O268" s="30" t="n">
        <f aca="false">IF($N268="","",$N268-기준정보!$C$4)</f>
        <v>96</v>
      </c>
      <c r="P268" s="27"/>
      <c r="Q268" s="27" t="s">
        <v>100</v>
      </c>
      <c r="R268" s="27" t="s">
        <v>100</v>
      </c>
      <c r="S268" s="31"/>
      <c r="T268" s="26" t="str">
        <f aca="false">IF($H268="","",IF(AND(ISNUMBER(SEARCH("CMT",$H268)),OR(ISNUMBER(SEARCH("완사입",$H268)),ISNUMBER(SEARCH("ODM",$H268)))),"본사/생산처 혼재",IF(ISNUMBER(SEARCH("CMT",$H268)),"본사(소재팀)","생산처")))</f>
        <v>생산처</v>
      </c>
      <c r="U268" s="25" t="s">
        <v>289</v>
      </c>
      <c r="V268" s="25" t="s">
        <v>289</v>
      </c>
      <c r="W268" s="25" t="s">
        <v>103</v>
      </c>
      <c r="X268" s="25" t="s">
        <v>122</v>
      </c>
      <c r="Y268" s="35" t="s">
        <v>898</v>
      </c>
      <c r="Z268" s="32"/>
      <c r="AA268" s="28"/>
      <c r="AB268" s="33" t="n">
        <v>2000</v>
      </c>
      <c r="AC268" s="33" t="n">
        <v>55000000</v>
      </c>
      <c r="AD268" s="33" t="n">
        <v>296000000</v>
      </c>
      <c r="AE268" s="26" t="s">
        <v>648</v>
      </c>
      <c r="AF268" s="26" t="str">
        <f aca="false"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>소재 입고일정 확인 필요</v>
      </c>
      <c r="AG268" s="24" t="str">
        <f aca="false">IF($K268="","",IF(OR(LEFT($AF268,2)="작지",LEFT($AF268,4)="소재입고"),IF(LEFT($G268,1)="S","★ 납기위험(S코드)","◆ 지연주의"),IF($AF268="정상","✓ 정상","? 확인필요")))</f>
        <v>? 확인필요</v>
      </c>
      <c r="AH268" s="27"/>
      <c r="AI268" s="34"/>
    </row>
    <row r="269" customFormat="false" ht="15" hidden="false" customHeight="false" outlineLevel="0" collapsed="false">
      <c r="A269" s="24" t="n">
        <v>265</v>
      </c>
      <c r="B269" s="25" t="s">
        <v>242</v>
      </c>
      <c r="C269" s="25" t="s">
        <v>697</v>
      </c>
      <c r="D269" s="26" t="s">
        <v>1050</v>
      </c>
      <c r="E269" s="25" t="s">
        <v>1051</v>
      </c>
      <c r="F269" s="26" t="s">
        <v>1052</v>
      </c>
      <c r="G269" s="24" t="str">
        <f aca="false">IF($D269="","",IF(MID($D269,5,1)="S","S(봄)",IF(MID($D269,5,1)="M","M(여름)",IF(MID($D269,5,1)="X","X(사계절)",MID($D269,5,1)))))</f>
        <v>M(여름)</v>
      </c>
      <c r="H269" s="25" t="s">
        <v>97</v>
      </c>
      <c r="I269" s="24" t="s">
        <v>502</v>
      </c>
      <c r="J269" s="27" t="s">
        <v>648</v>
      </c>
      <c r="K269" s="28" t="n">
        <f aca="false">IF($J269="","",IFERROR(DATE(IF(VALUE(LEFT($J269,FIND("월",$J269)-1))&gt;=9,기준정보!$C$7-1,기준정보!$C$7),VALUE(LEFT($J269,FIND("월",$J269)-1)),1+7*(VALUE(SUBSTITUTE(MID($J269,FIND("월",$J269)+1,5),"주",""))-1)),""))</f>
        <v>46468</v>
      </c>
      <c r="L269" s="28" t="n">
        <f aca="false">IF($K269="","",IF(AND($K269-기준정보!$C$5&gt;=기준정보!$C$10,$K269-기준정보!$C$5&lt;=기준정보!$C$11),기준정보!$C$10-1,$K269-기준정보!$C$5))</f>
        <v>46454</v>
      </c>
      <c r="M269" s="29" t="n">
        <f aca="false"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>15</v>
      </c>
      <c r="N269" s="28" t="n">
        <f aca="false">IF($L269="","",$L269-기준정보!$C$6-$M269)</f>
        <v>46349</v>
      </c>
      <c r="O269" s="30" t="n">
        <f aca="false">IF($N269="","",$N269-기준정보!$C$4)</f>
        <v>96</v>
      </c>
      <c r="P269" s="27"/>
      <c r="Q269" s="27" t="s">
        <v>100</v>
      </c>
      <c r="R269" s="27" t="s">
        <v>100</v>
      </c>
      <c r="S269" s="31"/>
      <c r="T269" s="26" t="str">
        <f aca="false">IF($H269="","",IF(AND(ISNUMBER(SEARCH("CMT",$H269)),OR(ISNUMBER(SEARCH("완사입",$H269)),ISNUMBER(SEARCH("ODM",$H269)))),"본사/생산처 혼재",IF(ISNUMBER(SEARCH("CMT",$H269)),"본사(소재팀)","생산처")))</f>
        <v>생산처</v>
      </c>
      <c r="U269" s="25" t="s">
        <v>380</v>
      </c>
      <c r="V269" s="25" t="s">
        <v>380</v>
      </c>
      <c r="W269" s="25" t="s">
        <v>103</v>
      </c>
      <c r="X269" s="26" t="s">
        <v>247</v>
      </c>
      <c r="Y269" s="32" t="s">
        <v>1053</v>
      </c>
      <c r="Z269" s="32"/>
      <c r="AA269" s="28" t="n">
        <v>46232</v>
      </c>
      <c r="AB269" s="33" t="n">
        <v>1600</v>
      </c>
      <c r="AC269" s="33" t="n">
        <v>51097600</v>
      </c>
      <c r="AD269" s="33" t="n">
        <v>252800000</v>
      </c>
      <c r="AE269" s="26" t="s">
        <v>648</v>
      </c>
      <c r="AF269" s="26" t="str">
        <f aca="false"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>소재 입고일정 확인 필요</v>
      </c>
      <c r="AG269" s="24" t="str">
        <f aca="false">IF($K269="","",IF(OR(LEFT($AF269,2)="작지",LEFT($AF269,4)="소재입고"),IF(LEFT($G269,1)="S","★ 납기위험(S코드)","◆ 지연주의"),IF($AF269="정상","✓ 정상","? 확인필요")))</f>
        <v>? 확인필요</v>
      </c>
      <c r="AH269" s="27"/>
      <c r="AI269" s="34"/>
    </row>
    <row r="270" customFormat="false" ht="15" hidden="false" customHeight="false" outlineLevel="0" collapsed="false">
      <c r="A270" s="24" t="n">
        <v>266</v>
      </c>
      <c r="B270" s="25" t="s">
        <v>242</v>
      </c>
      <c r="C270" s="25" t="s">
        <v>697</v>
      </c>
      <c r="D270" s="26" t="s">
        <v>1054</v>
      </c>
      <c r="E270" s="25" t="s">
        <v>1055</v>
      </c>
      <c r="F270" s="26" t="s">
        <v>1056</v>
      </c>
      <c r="G270" s="24" t="str">
        <f aca="false">IF($D270="","",IF(MID($D270,5,1)="S","S(봄)",IF(MID($D270,5,1)="M","M(여름)",IF(MID($D270,5,1)="X","X(사계절)",MID($D270,5,1)))))</f>
        <v>M(여름)</v>
      </c>
      <c r="H270" s="25" t="s">
        <v>97</v>
      </c>
      <c r="I270" s="24" t="s">
        <v>502</v>
      </c>
      <c r="J270" s="27" t="s">
        <v>648</v>
      </c>
      <c r="K270" s="28" t="n">
        <f aca="false">IF($J270="","",IFERROR(DATE(IF(VALUE(LEFT($J270,FIND("월",$J270)-1))&gt;=9,기준정보!$C$7-1,기준정보!$C$7),VALUE(LEFT($J270,FIND("월",$J270)-1)),1+7*(VALUE(SUBSTITUTE(MID($J270,FIND("월",$J270)+1,5),"주",""))-1)),""))</f>
        <v>46468</v>
      </c>
      <c r="L270" s="28" t="n">
        <f aca="false">IF($K270="","",IF(AND($K270-기준정보!$C$5&gt;=기준정보!$C$10,$K270-기준정보!$C$5&lt;=기준정보!$C$11),기준정보!$C$10-1,$K270-기준정보!$C$5))</f>
        <v>46454</v>
      </c>
      <c r="M270" s="29" t="n">
        <f aca="false"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>0</v>
      </c>
      <c r="N270" s="28" t="n">
        <f aca="false">IF($L270="","",$L270-기준정보!$C$6-$M270)</f>
        <v>46364</v>
      </c>
      <c r="O270" s="30" t="n">
        <f aca="false">IF($N270="","",$N270-기준정보!$C$4)</f>
        <v>111</v>
      </c>
      <c r="P270" s="27"/>
      <c r="Q270" s="27" t="s">
        <v>100</v>
      </c>
      <c r="R270" s="27" t="s">
        <v>100</v>
      </c>
      <c r="S270" s="31"/>
      <c r="T270" s="26" t="str">
        <f aca="false">IF($H270="","",IF(AND(ISNUMBER(SEARCH("CMT",$H270)),OR(ISNUMBER(SEARCH("완사입",$H270)),ISNUMBER(SEARCH("ODM",$H270)))),"본사/생산처 혼재",IF(ISNUMBER(SEARCH("CMT",$H270)),"본사(소재팀)","생산처")))</f>
        <v>생산처</v>
      </c>
      <c r="U270" s="26" t="s">
        <v>235</v>
      </c>
      <c r="V270" s="26" t="s">
        <v>235</v>
      </c>
      <c r="W270" s="25" t="s">
        <v>110</v>
      </c>
      <c r="X270" s="26" t="s">
        <v>1057</v>
      </c>
      <c r="Y270" s="32" t="s">
        <v>1058</v>
      </c>
      <c r="Z270" s="32"/>
      <c r="AA270" s="28"/>
      <c r="AB270" s="33" t="n">
        <v>1200</v>
      </c>
      <c r="AC270" s="33" t="n">
        <v>29907600</v>
      </c>
      <c r="AD270" s="33" t="n">
        <v>153600000</v>
      </c>
      <c r="AE270" s="26" t="s">
        <v>648</v>
      </c>
      <c r="AF270" s="26" t="str">
        <f aca="false"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>소재 입고일정 확인 필요</v>
      </c>
      <c r="AG270" s="24" t="str">
        <f aca="false">IF($K270="","",IF(OR(LEFT($AF270,2)="작지",LEFT($AF270,4)="소재입고"),IF(LEFT($G270,1)="S","★ 납기위험(S코드)","◆ 지연주의"),IF($AF270="정상","✓ 정상","? 확인필요")))</f>
        <v>? 확인필요</v>
      </c>
      <c r="AH270" s="27"/>
      <c r="AI270" s="34"/>
    </row>
    <row r="271" customFormat="false" ht="15" hidden="false" customHeight="false" outlineLevel="0" collapsed="false">
      <c r="A271" s="24" t="n">
        <v>267</v>
      </c>
      <c r="B271" s="25" t="s">
        <v>250</v>
      </c>
      <c r="C271" s="25" t="s">
        <v>251</v>
      </c>
      <c r="D271" s="26" t="s">
        <v>1059</v>
      </c>
      <c r="E271" s="25" t="s">
        <v>1060</v>
      </c>
      <c r="F271" s="26" t="s">
        <v>1061</v>
      </c>
      <c r="G271" s="24" t="str">
        <f aca="false">IF($D271="","",IF(MID($D271,5,1)="S","S(봄)",IF(MID($D271,5,1)="M","M(여름)",IF(MID($D271,5,1)="X","X(사계절)",MID($D271,5,1)))))</f>
        <v>M(여름)</v>
      </c>
      <c r="H271" s="25" t="s">
        <v>97</v>
      </c>
      <c r="I271" s="24"/>
      <c r="J271" s="27" t="s">
        <v>648</v>
      </c>
      <c r="K271" s="28" t="n">
        <f aca="false">IF($J271="","",IFERROR(DATE(IF(VALUE(LEFT($J271,FIND("월",$J271)-1))&gt;=9,기준정보!$C$7-1,기준정보!$C$7),VALUE(LEFT($J271,FIND("월",$J271)-1)),1+7*(VALUE(SUBSTITUTE(MID($J271,FIND("월",$J271)+1,5),"주",""))-1)),""))</f>
        <v>46468</v>
      </c>
      <c r="L271" s="28" t="n">
        <f aca="false">IF($K271="","",IF(AND($K271-기준정보!$C$5&gt;=기준정보!$C$10,$K271-기준정보!$C$5&lt;=기준정보!$C$11),기준정보!$C$10-1,$K271-기준정보!$C$5))</f>
        <v>46454</v>
      </c>
      <c r="M271" s="29" t="n">
        <f aca="false"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>0</v>
      </c>
      <c r="N271" s="28" t="n">
        <f aca="false">IF($L271="","",$L271-기준정보!$C$6-$M271)</f>
        <v>46364</v>
      </c>
      <c r="O271" s="30" t="n">
        <f aca="false">IF($N271="","",$N271-기준정보!$C$4)</f>
        <v>111</v>
      </c>
      <c r="P271" s="27"/>
      <c r="Q271" s="27" t="s">
        <v>100</v>
      </c>
      <c r="R271" s="27" t="s">
        <v>100</v>
      </c>
      <c r="S271" s="31"/>
      <c r="T271" s="26" t="str">
        <f aca="false">IF($H271="","",IF(AND(ISNUMBER(SEARCH("CMT",$H271)),OR(ISNUMBER(SEARCH("완사입",$H271)),ISNUMBER(SEARCH("ODM",$H271)))),"본사/생산처 혼재",IF(ISNUMBER(SEARCH("CMT",$H271)),"본사(소재팀)","생산처")))</f>
        <v>생산처</v>
      </c>
      <c r="U271" s="26" t="s">
        <v>235</v>
      </c>
      <c r="V271" s="26" t="s">
        <v>235</v>
      </c>
      <c r="W271" s="25" t="s">
        <v>110</v>
      </c>
      <c r="X271" s="25" t="s">
        <v>240</v>
      </c>
      <c r="Y271" s="35" t="s">
        <v>1062</v>
      </c>
      <c r="Z271" s="32"/>
      <c r="AA271" s="28" t="n">
        <v>46223</v>
      </c>
      <c r="AB271" s="33" t="n">
        <v>2500</v>
      </c>
      <c r="AC271" s="33" t="n">
        <v>39347500</v>
      </c>
      <c r="AD271" s="33" t="n">
        <v>320000000</v>
      </c>
      <c r="AE271" s="26" t="s">
        <v>648</v>
      </c>
      <c r="AF271" s="26" t="str">
        <f aca="false"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>소재 입고일정 확인 필요</v>
      </c>
      <c r="AG271" s="24" t="str">
        <f aca="false">IF($K271="","",IF(OR(LEFT($AF271,2)="작지",LEFT($AF271,4)="소재입고"),IF(LEFT($G271,1)="S","★ 납기위험(S코드)","◆ 지연주의"),IF($AF271="정상","✓ 정상","? 확인필요")))</f>
        <v>? 확인필요</v>
      </c>
      <c r="AH271" s="27"/>
      <c r="AI271" s="34"/>
    </row>
    <row r="272" customFormat="false" ht="15" hidden="false" customHeight="false" outlineLevel="0" collapsed="false">
      <c r="A272" s="24" t="n">
        <v>268</v>
      </c>
      <c r="B272" s="25" t="s">
        <v>242</v>
      </c>
      <c r="C272" s="25" t="s">
        <v>697</v>
      </c>
      <c r="D272" s="26" t="s">
        <v>1063</v>
      </c>
      <c r="E272" s="25" t="s">
        <v>1064</v>
      </c>
      <c r="F272" s="26" t="s">
        <v>1065</v>
      </c>
      <c r="G272" s="24" t="str">
        <f aca="false">IF($D272="","",IF(MID($D272,5,1)="S","S(봄)",IF(MID($D272,5,1)="M","M(여름)",IF(MID($D272,5,1)="X","X(사계절)",MID($D272,5,1)))))</f>
        <v>M(여름)</v>
      </c>
      <c r="H272" s="25" t="s">
        <v>97</v>
      </c>
      <c r="I272" s="24" t="s">
        <v>502</v>
      </c>
      <c r="J272" s="27" t="s">
        <v>648</v>
      </c>
      <c r="K272" s="28" t="n">
        <f aca="false">IF($J272="","",IFERROR(DATE(IF(VALUE(LEFT($J272,FIND("월",$J272)-1))&gt;=9,기준정보!$C$7-1,기준정보!$C$7),VALUE(LEFT($J272,FIND("월",$J272)-1)),1+7*(VALUE(SUBSTITUTE(MID($J272,FIND("월",$J272)+1,5),"주",""))-1)),""))</f>
        <v>46468</v>
      </c>
      <c r="L272" s="28" t="n">
        <f aca="false">IF($K272="","",IF(AND($K272-기준정보!$C$5&gt;=기준정보!$C$10,$K272-기준정보!$C$5&lt;=기준정보!$C$11),기준정보!$C$10-1,$K272-기준정보!$C$5))</f>
        <v>46454</v>
      </c>
      <c r="M272" s="29" t="n">
        <f aca="false"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>15</v>
      </c>
      <c r="N272" s="28" t="n">
        <f aca="false">IF($L272="","",$L272-기준정보!$C$6-$M272)</f>
        <v>46349</v>
      </c>
      <c r="O272" s="30" t="n">
        <f aca="false">IF($N272="","",$N272-기준정보!$C$4)</f>
        <v>96</v>
      </c>
      <c r="P272" s="27"/>
      <c r="Q272" s="27" t="s">
        <v>100</v>
      </c>
      <c r="R272" s="27" t="s">
        <v>100</v>
      </c>
      <c r="S272" s="31"/>
      <c r="T272" s="26" t="str">
        <f aca="false">IF($H272="","",IF(AND(ISNUMBER(SEARCH("CMT",$H272)),OR(ISNUMBER(SEARCH("완사입",$H272)),ISNUMBER(SEARCH("ODM",$H272)))),"본사/생산처 혼재",IF(ISNUMBER(SEARCH("CMT",$H272)),"본사(소재팀)","생산처")))</f>
        <v>생산처</v>
      </c>
      <c r="U272" s="25" t="s">
        <v>380</v>
      </c>
      <c r="V272" s="25" t="s">
        <v>380</v>
      </c>
      <c r="W272" s="25" t="s">
        <v>103</v>
      </c>
      <c r="X272" s="26" t="s">
        <v>1066</v>
      </c>
      <c r="Y272" s="32" t="s">
        <v>1067</v>
      </c>
      <c r="Z272" s="32"/>
      <c r="AA272" s="28" t="n">
        <v>46210</v>
      </c>
      <c r="AB272" s="33" t="n">
        <v>1200</v>
      </c>
      <c r="AC272" s="33" t="n">
        <v>15933600</v>
      </c>
      <c r="AD272" s="33" t="n">
        <v>81600000</v>
      </c>
      <c r="AE272" s="26" t="s">
        <v>648</v>
      </c>
      <c r="AF272" s="26" t="str">
        <f aca="false"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>소재 입고일정 확인 필요</v>
      </c>
      <c r="AG272" s="24" t="str">
        <f aca="false">IF($K272="","",IF(OR(LEFT($AF272,2)="작지",LEFT($AF272,4)="소재입고"),IF(LEFT($G272,1)="S","★ 납기위험(S코드)","◆ 지연주의"),IF($AF272="정상","✓ 정상","? 확인필요")))</f>
        <v>? 확인필요</v>
      </c>
      <c r="AH272" s="27"/>
      <c r="AI272" s="34"/>
    </row>
    <row r="273" customFormat="false" ht="15" hidden="false" customHeight="false" outlineLevel="0" collapsed="false">
      <c r="A273" s="24" t="n">
        <v>269</v>
      </c>
      <c r="B273" s="25" t="s">
        <v>242</v>
      </c>
      <c r="C273" s="25" t="s">
        <v>697</v>
      </c>
      <c r="D273" s="26" t="s">
        <v>1068</v>
      </c>
      <c r="E273" s="25" t="s">
        <v>1069</v>
      </c>
      <c r="F273" s="26" t="s">
        <v>1070</v>
      </c>
      <c r="G273" s="24" t="str">
        <f aca="false">IF($D273="","",IF(MID($D273,5,1)="S","S(봄)",IF(MID($D273,5,1)="M","M(여름)",IF(MID($D273,5,1)="X","X(사계절)",MID($D273,5,1)))))</f>
        <v>M(여름)</v>
      </c>
      <c r="H273" s="26" t="s">
        <v>255</v>
      </c>
      <c r="I273" s="24" t="s">
        <v>502</v>
      </c>
      <c r="J273" s="27" t="s">
        <v>648</v>
      </c>
      <c r="K273" s="28" t="n">
        <f aca="false">IF($J273="","",IFERROR(DATE(IF(VALUE(LEFT($J273,FIND("월",$J273)-1))&gt;=9,기준정보!$C$7-1,기준정보!$C$7),VALUE(LEFT($J273,FIND("월",$J273)-1)),1+7*(VALUE(SUBSTITUTE(MID($J273,FIND("월",$J273)+1,5),"주",""))-1)),""))</f>
        <v>46468</v>
      </c>
      <c r="L273" s="28" t="n">
        <f aca="false">IF($K273="","",IF(AND($K273-기준정보!$C$5&gt;=기준정보!$C$10,$K273-기준정보!$C$5&lt;=기준정보!$C$11),기준정보!$C$10-1,$K273-기준정보!$C$5))</f>
        <v>46454</v>
      </c>
      <c r="M273" s="29" t="n">
        <f aca="false"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>15</v>
      </c>
      <c r="N273" s="28" t="n">
        <f aca="false">IF($L273="","",$L273-기준정보!$C$6-$M273)</f>
        <v>46349</v>
      </c>
      <c r="O273" s="30" t="n">
        <f aca="false">IF($N273="","",$N273-기준정보!$C$4)</f>
        <v>96</v>
      </c>
      <c r="P273" s="27"/>
      <c r="Q273" s="27" t="s">
        <v>100</v>
      </c>
      <c r="R273" s="27" t="s">
        <v>100</v>
      </c>
      <c r="S273" s="31"/>
      <c r="T273" s="26" t="str">
        <f aca="false">IF($H273="","",IF(AND(ISNUMBER(SEARCH("CMT",$H273)),OR(ISNUMBER(SEARCH("완사입",$H273)),ISNUMBER(SEARCH("ODM",$H273)))),"본사/생산처 혼재",IF(ISNUMBER(SEARCH("CMT",$H273)),"본사(소재팀)","생산처")))</f>
        <v>본사(소재팀)</v>
      </c>
      <c r="U273" s="25" t="s">
        <v>102</v>
      </c>
      <c r="V273" s="25" t="s">
        <v>102</v>
      </c>
      <c r="W273" s="25" t="s">
        <v>103</v>
      </c>
      <c r="X273" s="26" t="s">
        <v>247</v>
      </c>
      <c r="Y273" s="32" t="s">
        <v>1025</v>
      </c>
      <c r="Z273" s="32"/>
      <c r="AA273" s="28" t="n">
        <v>46218</v>
      </c>
      <c r="AB273" s="33" t="n">
        <v>2000</v>
      </c>
      <c r="AC273" s="33" t="n">
        <v>58488000</v>
      </c>
      <c r="AD273" s="33" t="n">
        <v>296000000</v>
      </c>
      <c r="AE273" s="26" t="s">
        <v>648</v>
      </c>
      <c r="AF273" s="26" t="str">
        <f aca="false"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>소재 입고일정 확인 필요</v>
      </c>
      <c r="AG273" s="24" t="str">
        <f aca="false">IF($K273="","",IF(OR(LEFT($AF273,2)="작지",LEFT($AF273,4)="소재입고"),IF(LEFT($G273,1)="S","★ 납기위험(S코드)","◆ 지연주의"),IF($AF273="정상","✓ 정상","? 확인필요")))</f>
        <v>? 확인필요</v>
      </c>
      <c r="AH273" s="27"/>
      <c r="AI273" s="34"/>
    </row>
    <row r="274" customFormat="false" ht="15" hidden="false" customHeight="false" outlineLevel="0" collapsed="false">
      <c r="A274" s="24" t="n">
        <v>270</v>
      </c>
      <c r="B274" s="25" t="s">
        <v>266</v>
      </c>
      <c r="C274" s="25" t="s">
        <v>243</v>
      </c>
      <c r="D274" s="26" t="s">
        <v>1071</v>
      </c>
      <c r="E274" s="25" t="s">
        <v>1072</v>
      </c>
      <c r="F274" s="26" t="s">
        <v>878</v>
      </c>
      <c r="G274" s="24" t="str">
        <f aca="false">IF($D274="","",IF(MID($D274,5,1)="S","S(봄)",IF(MID($D274,5,1)="M","M(여름)",IF(MID($D274,5,1)="X","X(사계절)",MID($D274,5,1)))))</f>
        <v>M(여름)</v>
      </c>
      <c r="H274" s="25" t="s">
        <v>97</v>
      </c>
      <c r="I274" s="24"/>
      <c r="J274" s="27" t="s">
        <v>648</v>
      </c>
      <c r="K274" s="28" t="n">
        <f aca="false">IF($J274="","",IFERROR(DATE(IF(VALUE(LEFT($J274,FIND("월",$J274)-1))&gt;=9,기준정보!$C$7-1,기준정보!$C$7),VALUE(LEFT($J274,FIND("월",$J274)-1)),1+7*(VALUE(SUBSTITUTE(MID($J274,FIND("월",$J274)+1,5),"주",""))-1)),""))</f>
        <v>46468</v>
      </c>
      <c r="L274" s="28" t="n">
        <f aca="false">IF($K274="","",IF(AND($K274-기준정보!$C$5&gt;=기준정보!$C$10,$K274-기준정보!$C$5&lt;=기준정보!$C$11),기준정보!$C$10-1,$K274-기준정보!$C$5))</f>
        <v>46454</v>
      </c>
      <c r="M274" s="29" t="n">
        <f aca="false"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>15</v>
      </c>
      <c r="N274" s="28" t="n">
        <f aca="false">IF($L274="","",$L274-기준정보!$C$6-$M274)</f>
        <v>46349</v>
      </c>
      <c r="O274" s="30" t="n">
        <f aca="false">IF($N274="","",$N274-기준정보!$C$4)</f>
        <v>96</v>
      </c>
      <c r="P274" s="27"/>
      <c r="Q274" s="27" t="s">
        <v>101</v>
      </c>
      <c r="R274" s="27" t="s">
        <v>101</v>
      </c>
      <c r="S274" s="31"/>
      <c r="T274" s="26" t="str">
        <f aca="false">IF($H274="","",IF(AND(ISNUMBER(SEARCH("CMT",$H274)),OR(ISNUMBER(SEARCH("완사입",$H274)),ISNUMBER(SEARCH("ODM",$H274)))),"본사/생산처 혼재",IF(ISNUMBER(SEARCH("CMT",$H274)),"본사(소재팀)","생산처")))</f>
        <v>생산처</v>
      </c>
      <c r="U274" s="25" t="s">
        <v>313</v>
      </c>
      <c r="V274" s="26"/>
      <c r="W274" s="25" t="s">
        <v>103</v>
      </c>
      <c r="X274" s="26"/>
      <c r="Y274" s="32"/>
      <c r="Z274" s="32"/>
      <c r="AA274" s="28"/>
      <c r="AB274" s="33" t="n">
        <v>16000</v>
      </c>
      <c r="AC274" s="33" t="n">
        <v>448000000</v>
      </c>
      <c r="AD274" s="33" t="n">
        <v>2688000000</v>
      </c>
      <c r="AE274" s="26"/>
      <c r="AF274" s="26" t="str">
        <f aca="false"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>작지 미발행</v>
      </c>
      <c r="AG274" s="24" t="str">
        <f aca="false">IF($K274="","",IF(OR(LEFT($AF274,2)="작지",LEFT($AF274,4)="소재입고"),IF(LEFT($G274,1)="S","★ 납기위험(S코드)","◆ 지연주의"),IF($AF274="정상","✓ 정상","? 확인필요")))</f>
        <v>◆ 지연주의</v>
      </c>
      <c r="AH274" s="27"/>
      <c r="AI274" s="34"/>
    </row>
    <row r="275" customFormat="false" ht="15" hidden="false" customHeight="false" outlineLevel="0" collapsed="false">
      <c r="A275" s="24" t="n">
        <v>271</v>
      </c>
      <c r="B275" s="25" t="s">
        <v>242</v>
      </c>
      <c r="C275" s="25" t="s">
        <v>697</v>
      </c>
      <c r="D275" s="26" t="s">
        <v>1073</v>
      </c>
      <c r="E275" s="25" t="s">
        <v>1074</v>
      </c>
      <c r="F275" s="26" t="s">
        <v>1075</v>
      </c>
      <c r="G275" s="24" t="str">
        <f aca="false">IF($D275="","",IF(MID($D275,5,1)="S","S(봄)",IF(MID($D275,5,1)="M","M(여름)",IF(MID($D275,5,1)="X","X(사계절)",MID($D275,5,1)))))</f>
        <v>M(여름)</v>
      </c>
      <c r="H275" s="25" t="s">
        <v>97</v>
      </c>
      <c r="I275" s="24" t="s">
        <v>502</v>
      </c>
      <c r="J275" s="27" t="s">
        <v>648</v>
      </c>
      <c r="K275" s="28" t="n">
        <f aca="false">IF($J275="","",IFERROR(DATE(IF(VALUE(LEFT($J275,FIND("월",$J275)-1))&gt;=9,기준정보!$C$7-1,기준정보!$C$7),VALUE(LEFT($J275,FIND("월",$J275)-1)),1+7*(VALUE(SUBSTITUTE(MID($J275,FIND("월",$J275)+1,5),"주",""))-1)),""))</f>
        <v>46468</v>
      </c>
      <c r="L275" s="28" t="n">
        <f aca="false">IF($K275="","",IF(AND($K275-기준정보!$C$5&gt;=기준정보!$C$10,$K275-기준정보!$C$5&lt;=기준정보!$C$11),기준정보!$C$10-1,$K275-기준정보!$C$5))</f>
        <v>46454</v>
      </c>
      <c r="M275" s="29" t="n">
        <f aca="false"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>15</v>
      </c>
      <c r="N275" s="28" t="n">
        <f aca="false">IF($L275="","",$L275-기준정보!$C$6-$M275)</f>
        <v>46349</v>
      </c>
      <c r="O275" s="30" t="n">
        <f aca="false">IF($N275="","",$N275-기준정보!$C$4)</f>
        <v>96</v>
      </c>
      <c r="P275" s="27"/>
      <c r="Q275" s="27" t="s">
        <v>100</v>
      </c>
      <c r="R275" s="27" t="s">
        <v>101</v>
      </c>
      <c r="S275" s="31"/>
      <c r="T275" s="26" t="str">
        <f aca="false">IF($H275="","",IF(AND(ISNUMBER(SEARCH("CMT",$H275)),OR(ISNUMBER(SEARCH("완사입",$H275)),ISNUMBER(SEARCH("ODM",$H275)))),"본사/생산처 혼재",IF(ISNUMBER(SEARCH("CMT",$H275)),"본사(소재팀)","생산처")))</f>
        <v>생산처</v>
      </c>
      <c r="U275" s="25" t="s">
        <v>102</v>
      </c>
      <c r="V275" s="25" t="s">
        <v>102</v>
      </c>
      <c r="W275" s="25" t="s">
        <v>103</v>
      </c>
      <c r="X275" s="25" t="s">
        <v>220</v>
      </c>
      <c r="Y275" s="35" t="s">
        <v>1076</v>
      </c>
      <c r="Z275" s="32"/>
      <c r="AA275" s="28" t="n">
        <v>46231</v>
      </c>
      <c r="AB275" s="33" t="n">
        <v>400</v>
      </c>
      <c r="AC275" s="33" t="n">
        <v>39419200</v>
      </c>
      <c r="AD275" s="33" t="n">
        <v>180000000</v>
      </c>
      <c r="AE275" s="26" t="s">
        <v>648</v>
      </c>
      <c r="AF275" s="26" t="str">
        <f aca="false"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>소재 입고일정 확인 필요</v>
      </c>
      <c r="AG275" s="24" t="str">
        <f aca="false">IF($K275="","",IF(OR(LEFT($AF275,2)="작지",LEFT($AF275,4)="소재입고"),IF(LEFT($G275,1)="S","★ 납기위험(S코드)","◆ 지연주의"),IF($AF275="정상","✓ 정상","? 확인필요")))</f>
        <v>? 확인필요</v>
      </c>
      <c r="AH275" s="27"/>
      <c r="AI275" s="34"/>
    </row>
    <row r="276" customFormat="false" ht="15" hidden="false" customHeight="false" outlineLevel="0" collapsed="false">
      <c r="A276" s="24" t="n">
        <v>272</v>
      </c>
      <c r="B276" s="25" t="s">
        <v>242</v>
      </c>
      <c r="C276" s="25" t="s">
        <v>697</v>
      </c>
      <c r="D276" s="26" t="s">
        <v>1077</v>
      </c>
      <c r="E276" s="25" t="s">
        <v>1078</v>
      </c>
      <c r="F276" s="26" t="s">
        <v>1079</v>
      </c>
      <c r="G276" s="24" t="str">
        <f aca="false">IF($D276="","",IF(MID($D276,5,1)="S","S(봄)",IF(MID($D276,5,1)="M","M(여름)",IF(MID($D276,5,1)="X","X(사계절)",MID($D276,5,1)))))</f>
        <v>M(여름)</v>
      </c>
      <c r="H276" s="26" t="s">
        <v>255</v>
      </c>
      <c r="I276" s="24" t="s">
        <v>502</v>
      </c>
      <c r="J276" s="27" t="s">
        <v>648</v>
      </c>
      <c r="K276" s="28" t="n">
        <f aca="false">IF($J276="","",IFERROR(DATE(IF(VALUE(LEFT($J276,FIND("월",$J276)-1))&gt;=9,기준정보!$C$7-1,기준정보!$C$7),VALUE(LEFT($J276,FIND("월",$J276)-1)),1+7*(VALUE(SUBSTITUTE(MID($J276,FIND("월",$J276)+1,5),"주",""))-1)),""))</f>
        <v>46468</v>
      </c>
      <c r="L276" s="28" t="n">
        <f aca="false">IF($K276="","",IF(AND($K276-기준정보!$C$5&gt;=기준정보!$C$10,$K276-기준정보!$C$5&lt;=기준정보!$C$11),기준정보!$C$10-1,$K276-기준정보!$C$5))</f>
        <v>46454</v>
      </c>
      <c r="M276" s="29" t="n">
        <f aca="false"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>15</v>
      </c>
      <c r="N276" s="28" t="n">
        <f aca="false">IF($L276="","",$L276-기준정보!$C$6-$M276)</f>
        <v>46349</v>
      </c>
      <c r="O276" s="30" t="n">
        <f aca="false">IF($N276="","",$N276-기준정보!$C$4)</f>
        <v>96</v>
      </c>
      <c r="P276" s="27"/>
      <c r="Q276" s="27" t="s">
        <v>100</v>
      </c>
      <c r="R276" s="27" t="s">
        <v>101</v>
      </c>
      <c r="S276" s="31"/>
      <c r="T276" s="26" t="str">
        <f aca="false">IF($H276="","",IF(AND(ISNUMBER(SEARCH("CMT",$H276)),OR(ISNUMBER(SEARCH("완사입",$H276)),ISNUMBER(SEARCH("ODM",$H276)))),"본사/생산처 혼재",IF(ISNUMBER(SEARCH("CMT",$H276)),"본사(소재팀)","생산처")))</f>
        <v>본사(소재팀)</v>
      </c>
      <c r="U276" s="25" t="s">
        <v>102</v>
      </c>
      <c r="V276" s="25" t="s">
        <v>102</v>
      </c>
      <c r="W276" s="25" t="s">
        <v>103</v>
      </c>
      <c r="X276" s="26" t="s">
        <v>247</v>
      </c>
      <c r="Y276" s="32" t="s">
        <v>1025</v>
      </c>
      <c r="Z276" s="32"/>
      <c r="AA276" s="28" t="n">
        <v>46218</v>
      </c>
      <c r="AB276" s="33" t="n">
        <v>3500</v>
      </c>
      <c r="AC276" s="33" t="n">
        <v>166491500</v>
      </c>
      <c r="AD276" s="33" t="n">
        <v>770000000</v>
      </c>
      <c r="AE276" s="26" t="s">
        <v>648</v>
      </c>
      <c r="AF276" s="26" t="str">
        <f aca="false"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>소재 입고일정 확인 필요</v>
      </c>
      <c r="AG276" s="24" t="str">
        <f aca="false">IF($K276="","",IF(OR(LEFT($AF276,2)="작지",LEFT($AF276,4)="소재입고"),IF(LEFT($G276,1)="S","★ 납기위험(S코드)","◆ 지연주의"),IF($AF276="정상","✓ 정상","? 확인필요")))</f>
        <v>? 확인필요</v>
      </c>
      <c r="AH276" s="27"/>
      <c r="AI276" s="34"/>
    </row>
    <row r="277" customFormat="false" ht="15" hidden="false" customHeight="false" outlineLevel="0" collapsed="false">
      <c r="A277" s="24" t="n">
        <v>273</v>
      </c>
      <c r="B277" s="25" t="s">
        <v>242</v>
      </c>
      <c r="C277" s="25" t="s">
        <v>697</v>
      </c>
      <c r="D277" s="26" t="s">
        <v>1080</v>
      </c>
      <c r="E277" s="25" t="s">
        <v>1081</v>
      </c>
      <c r="F277" s="26" t="s">
        <v>1082</v>
      </c>
      <c r="G277" s="24" t="str">
        <f aca="false">IF($D277="","",IF(MID($D277,5,1)="S","S(봄)",IF(MID($D277,5,1)="M","M(여름)",IF(MID($D277,5,1)="X","X(사계절)",MID($D277,5,1)))))</f>
        <v>M(여름)</v>
      </c>
      <c r="H277" s="26" t="s">
        <v>255</v>
      </c>
      <c r="I277" s="24" t="s">
        <v>502</v>
      </c>
      <c r="J277" s="27" t="s">
        <v>648</v>
      </c>
      <c r="K277" s="28" t="n">
        <f aca="false">IF($J277="","",IFERROR(DATE(IF(VALUE(LEFT($J277,FIND("월",$J277)-1))&gt;=9,기준정보!$C$7-1,기준정보!$C$7),VALUE(LEFT($J277,FIND("월",$J277)-1)),1+7*(VALUE(SUBSTITUTE(MID($J277,FIND("월",$J277)+1,5),"주",""))-1)),""))</f>
        <v>46468</v>
      </c>
      <c r="L277" s="28" t="n">
        <f aca="false">IF($K277="","",IF(AND($K277-기준정보!$C$5&gt;=기준정보!$C$10,$K277-기준정보!$C$5&lt;=기준정보!$C$11),기준정보!$C$10-1,$K277-기준정보!$C$5))</f>
        <v>46454</v>
      </c>
      <c r="M277" s="29" t="n">
        <f aca="false"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>15</v>
      </c>
      <c r="N277" s="28" t="n">
        <f aca="false">IF($L277="","",$L277-기준정보!$C$6-$M277)</f>
        <v>46349</v>
      </c>
      <c r="O277" s="30" t="n">
        <f aca="false">IF($N277="","",$N277-기준정보!$C$4)</f>
        <v>96</v>
      </c>
      <c r="P277" s="27"/>
      <c r="Q277" s="27" t="s">
        <v>100</v>
      </c>
      <c r="R277" s="27" t="s">
        <v>101</v>
      </c>
      <c r="S277" s="31"/>
      <c r="T277" s="26" t="str">
        <f aca="false">IF($H277="","",IF(AND(ISNUMBER(SEARCH("CMT",$H277)),OR(ISNUMBER(SEARCH("완사입",$H277)),ISNUMBER(SEARCH("ODM",$H277)))),"본사/생산처 혼재",IF(ISNUMBER(SEARCH("CMT",$H277)),"본사(소재팀)","생산처")))</f>
        <v>본사(소재팀)</v>
      </c>
      <c r="U277" s="25" t="s">
        <v>102</v>
      </c>
      <c r="V277" s="25" t="s">
        <v>102</v>
      </c>
      <c r="W277" s="25" t="s">
        <v>103</v>
      </c>
      <c r="X277" s="25" t="s">
        <v>220</v>
      </c>
      <c r="Y277" s="35" t="s">
        <v>1029</v>
      </c>
      <c r="Z277" s="32"/>
      <c r="AA277" s="28" t="n">
        <v>46225</v>
      </c>
      <c r="AB277" s="33" t="n">
        <v>2400</v>
      </c>
      <c r="AC277" s="33" t="n">
        <v>190140000</v>
      </c>
      <c r="AD277" s="33" t="n">
        <v>840000000</v>
      </c>
      <c r="AE277" s="26" t="s">
        <v>648</v>
      </c>
      <c r="AF277" s="26" t="str">
        <f aca="false"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>소재 입고일정 확인 필요</v>
      </c>
      <c r="AG277" s="24" t="str">
        <f aca="false">IF($K277="","",IF(OR(LEFT($AF277,2)="작지",LEFT($AF277,4)="소재입고"),IF(LEFT($G277,1)="S","★ 납기위험(S코드)","◆ 지연주의"),IF($AF277="정상","✓ 정상","? 확인필요")))</f>
        <v>? 확인필요</v>
      </c>
      <c r="AH277" s="27"/>
      <c r="AI277" s="34"/>
    </row>
    <row r="278" customFormat="false" ht="15" hidden="false" customHeight="false" outlineLevel="0" collapsed="false">
      <c r="A278" s="24" t="n">
        <v>274</v>
      </c>
      <c r="B278" s="25" t="s">
        <v>242</v>
      </c>
      <c r="C278" s="25" t="s">
        <v>697</v>
      </c>
      <c r="D278" s="26" t="s">
        <v>1083</v>
      </c>
      <c r="E278" s="25" t="s">
        <v>1084</v>
      </c>
      <c r="F278" s="26" t="s">
        <v>1085</v>
      </c>
      <c r="G278" s="24" t="str">
        <f aca="false">IF($D278="","",IF(MID($D278,5,1)="S","S(봄)",IF(MID($D278,5,1)="M","M(여름)",IF(MID($D278,5,1)="X","X(사계절)",MID($D278,5,1)))))</f>
        <v>M(여름)</v>
      </c>
      <c r="H278" s="26" t="s">
        <v>255</v>
      </c>
      <c r="I278" s="24" t="s">
        <v>502</v>
      </c>
      <c r="J278" s="27" t="s">
        <v>648</v>
      </c>
      <c r="K278" s="28" t="n">
        <f aca="false">IF($J278="","",IFERROR(DATE(IF(VALUE(LEFT($J278,FIND("월",$J278)-1))&gt;=9,기준정보!$C$7-1,기준정보!$C$7),VALUE(LEFT($J278,FIND("월",$J278)-1)),1+7*(VALUE(SUBSTITUTE(MID($J278,FIND("월",$J278)+1,5),"주",""))-1)),""))</f>
        <v>46468</v>
      </c>
      <c r="L278" s="28" t="n">
        <f aca="false">IF($K278="","",IF(AND($K278-기준정보!$C$5&gt;=기준정보!$C$10,$K278-기준정보!$C$5&lt;=기준정보!$C$11),기준정보!$C$10-1,$K278-기준정보!$C$5))</f>
        <v>46454</v>
      </c>
      <c r="M278" s="29" t="n">
        <f aca="false"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>15</v>
      </c>
      <c r="N278" s="28" t="n">
        <f aca="false">IF($L278="","",$L278-기준정보!$C$6-$M278)</f>
        <v>46349</v>
      </c>
      <c r="O278" s="30" t="n">
        <f aca="false">IF($N278="","",$N278-기준정보!$C$4)</f>
        <v>96</v>
      </c>
      <c r="P278" s="27"/>
      <c r="Q278" s="27" t="s">
        <v>100</v>
      </c>
      <c r="R278" s="27" t="s">
        <v>101</v>
      </c>
      <c r="S278" s="31"/>
      <c r="T278" s="26" t="str">
        <f aca="false">IF($H278="","",IF(AND(ISNUMBER(SEARCH("CMT",$H278)),OR(ISNUMBER(SEARCH("완사입",$H278)),ISNUMBER(SEARCH("ODM",$H278)))),"본사/생산처 혼재",IF(ISNUMBER(SEARCH("CMT",$H278)),"본사(소재팀)","생산처")))</f>
        <v>본사(소재팀)</v>
      </c>
      <c r="U278" s="25" t="s">
        <v>102</v>
      </c>
      <c r="V278" s="25" t="s">
        <v>102</v>
      </c>
      <c r="W278" s="25" t="s">
        <v>103</v>
      </c>
      <c r="X278" s="26" t="s">
        <v>247</v>
      </c>
      <c r="Y278" s="32" t="s">
        <v>1025</v>
      </c>
      <c r="Z278" s="32"/>
      <c r="AA278" s="28" t="n">
        <v>46204</v>
      </c>
      <c r="AB278" s="33" t="n">
        <v>3500</v>
      </c>
      <c r="AC278" s="33" t="n">
        <v>154192500</v>
      </c>
      <c r="AD278" s="33" t="n">
        <v>693000000</v>
      </c>
      <c r="AE278" s="26" t="s">
        <v>648</v>
      </c>
      <c r="AF278" s="26" t="str">
        <f aca="false"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>소재 입고일정 확인 필요</v>
      </c>
      <c r="AG278" s="24" t="str">
        <f aca="false">IF($K278="","",IF(OR(LEFT($AF278,2)="작지",LEFT($AF278,4)="소재입고"),IF(LEFT($G278,1)="S","★ 납기위험(S코드)","◆ 지연주의"),IF($AF278="정상","✓ 정상","? 확인필요")))</f>
        <v>? 확인필요</v>
      </c>
      <c r="AH278" s="27"/>
      <c r="AI278" s="34"/>
    </row>
    <row r="279" customFormat="false" ht="15" hidden="false" customHeight="false" outlineLevel="0" collapsed="false">
      <c r="A279" s="24" t="n">
        <v>275</v>
      </c>
      <c r="B279" s="25" t="s">
        <v>270</v>
      </c>
      <c r="C279" s="25" t="s">
        <v>271</v>
      </c>
      <c r="D279" s="26" t="s">
        <v>1086</v>
      </c>
      <c r="E279" s="25" t="s">
        <v>1087</v>
      </c>
      <c r="F279" s="26" t="s">
        <v>1088</v>
      </c>
      <c r="G279" s="24" t="str">
        <f aca="false">IF($D279="","",IF(MID($D279,5,1)="S","S(봄)",IF(MID($D279,5,1)="M","M(여름)",IF(MID($D279,5,1)="X","X(사계절)",MID($D279,5,1)))))</f>
        <v>M(여름)</v>
      </c>
      <c r="H279" s="26" t="s">
        <v>255</v>
      </c>
      <c r="I279" s="24" t="s">
        <v>502</v>
      </c>
      <c r="J279" s="27" t="s">
        <v>648</v>
      </c>
      <c r="K279" s="28" t="n">
        <f aca="false">IF($J279="","",IFERROR(DATE(IF(VALUE(LEFT($J279,FIND("월",$J279)-1))&gt;=9,기준정보!$C$7-1,기준정보!$C$7),VALUE(LEFT($J279,FIND("월",$J279)-1)),1+7*(VALUE(SUBSTITUTE(MID($J279,FIND("월",$J279)+1,5),"주",""))-1)),""))</f>
        <v>46468</v>
      </c>
      <c r="L279" s="28" t="n">
        <f aca="false">IF($K279="","",IF(AND($K279-기준정보!$C$5&gt;=기준정보!$C$10,$K279-기준정보!$C$5&lt;=기준정보!$C$11),기준정보!$C$10-1,$K279-기준정보!$C$5))</f>
        <v>46454</v>
      </c>
      <c r="M279" s="29" t="n">
        <f aca="false"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>15</v>
      </c>
      <c r="N279" s="28" t="n">
        <f aca="false">IF($L279="","",$L279-기준정보!$C$6-$M279)</f>
        <v>46349</v>
      </c>
      <c r="O279" s="30" t="n">
        <f aca="false">IF($N279="","",$N279-기준정보!$C$4)</f>
        <v>96</v>
      </c>
      <c r="P279" s="27"/>
      <c r="Q279" s="27" t="s">
        <v>100</v>
      </c>
      <c r="R279" s="27" t="s">
        <v>100</v>
      </c>
      <c r="S279" s="31"/>
      <c r="T279" s="26" t="str">
        <f aca="false">IF($H279="","",IF(AND(ISNUMBER(SEARCH("CMT",$H279)),OR(ISNUMBER(SEARCH("완사입",$H279)),ISNUMBER(SEARCH("ODM",$H279)))),"본사/생산처 혼재",IF(ISNUMBER(SEARCH("CMT",$H279)),"본사(소재팀)","생산처")))</f>
        <v>본사(소재팀)</v>
      </c>
      <c r="U279" s="25" t="s">
        <v>256</v>
      </c>
      <c r="V279" s="26" t="s">
        <v>280</v>
      </c>
      <c r="W279" s="25" t="s">
        <v>103</v>
      </c>
      <c r="X279" s="25" t="s">
        <v>126</v>
      </c>
      <c r="Y279" s="35" t="s">
        <v>1089</v>
      </c>
      <c r="Z279" s="32"/>
      <c r="AA279" s="28"/>
      <c r="AB279" s="33" t="n">
        <v>3500</v>
      </c>
      <c r="AC279" s="33" t="n">
        <v>94500000</v>
      </c>
      <c r="AD279" s="33" t="n">
        <v>518000000</v>
      </c>
      <c r="AE279" s="26" t="s">
        <v>648</v>
      </c>
      <c r="AF279" s="26" t="str">
        <f aca="false"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>소재 입고일정 확인 필요</v>
      </c>
      <c r="AG279" s="24" t="str">
        <f aca="false">IF($K279="","",IF(OR(LEFT($AF279,2)="작지",LEFT($AF279,4)="소재입고"),IF(LEFT($G279,1)="S","★ 납기위험(S코드)","◆ 지연주의"),IF($AF279="정상","✓ 정상","? 확인필요")))</f>
        <v>? 확인필요</v>
      </c>
      <c r="AH279" s="27"/>
      <c r="AI279" s="34"/>
    </row>
    <row r="280" customFormat="false" ht="15" hidden="false" customHeight="false" outlineLevel="0" collapsed="false">
      <c r="A280" s="24" t="n">
        <v>276</v>
      </c>
      <c r="B280" s="25" t="s">
        <v>270</v>
      </c>
      <c r="C280" s="25" t="s">
        <v>271</v>
      </c>
      <c r="D280" s="26" t="s">
        <v>1090</v>
      </c>
      <c r="E280" s="25" t="s">
        <v>1091</v>
      </c>
      <c r="F280" s="26" t="s">
        <v>1092</v>
      </c>
      <c r="G280" s="24" t="str">
        <f aca="false">IF($D280="","",IF(MID($D280,5,1)="S","S(봄)",IF(MID($D280,5,1)="M","M(여름)",IF(MID($D280,5,1)="X","X(사계절)",MID($D280,5,1)))))</f>
        <v>M(여름)</v>
      </c>
      <c r="H280" s="25" t="s">
        <v>97</v>
      </c>
      <c r="I280" s="24" t="s">
        <v>502</v>
      </c>
      <c r="J280" s="27" t="s">
        <v>648</v>
      </c>
      <c r="K280" s="28" t="n">
        <f aca="false">IF($J280="","",IFERROR(DATE(IF(VALUE(LEFT($J280,FIND("월",$J280)-1))&gt;=9,기준정보!$C$7-1,기준정보!$C$7),VALUE(LEFT($J280,FIND("월",$J280)-1)),1+7*(VALUE(SUBSTITUTE(MID($J280,FIND("월",$J280)+1,5),"주",""))-1)),""))</f>
        <v>46468</v>
      </c>
      <c r="L280" s="28" t="n">
        <f aca="false">IF($K280="","",IF(AND($K280-기준정보!$C$5&gt;=기준정보!$C$10,$K280-기준정보!$C$5&lt;=기준정보!$C$11),기준정보!$C$10-1,$K280-기준정보!$C$5))</f>
        <v>46454</v>
      </c>
      <c r="M280" s="29" t="n">
        <f aca="false"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>15</v>
      </c>
      <c r="N280" s="28" t="n">
        <f aca="false">IF($L280="","",$L280-기준정보!$C$6-$M280)</f>
        <v>46349</v>
      </c>
      <c r="O280" s="30" t="n">
        <f aca="false">IF($N280="","",$N280-기준정보!$C$4)</f>
        <v>96</v>
      </c>
      <c r="P280" s="27"/>
      <c r="Q280" s="27" t="s">
        <v>100</v>
      </c>
      <c r="R280" s="27" t="s">
        <v>100</v>
      </c>
      <c r="S280" s="31"/>
      <c r="T280" s="26" t="str">
        <f aca="false">IF($H280="","",IF(AND(ISNUMBER(SEARCH("CMT",$H280)),OR(ISNUMBER(SEARCH("완사입",$H280)),ISNUMBER(SEARCH("ODM",$H280)))),"본사/생산처 혼재",IF(ISNUMBER(SEARCH("CMT",$H280)),"본사(소재팀)","생산처")))</f>
        <v>생산처</v>
      </c>
      <c r="U280" s="26" t="s">
        <v>183</v>
      </c>
      <c r="V280" s="26" t="s">
        <v>183</v>
      </c>
      <c r="W280" s="25" t="s">
        <v>103</v>
      </c>
      <c r="X280" s="25" t="s">
        <v>457</v>
      </c>
      <c r="Y280" s="35" t="s">
        <v>1093</v>
      </c>
      <c r="Z280" s="32"/>
      <c r="AA280" s="28" t="n">
        <v>46185</v>
      </c>
      <c r="AB280" s="33" t="n">
        <v>7000</v>
      </c>
      <c r="AC280" s="33" t="n">
        <v>224476000</v>
      </c>
      <c r="AD280" s="33" t="n">
        <v>1106000000</v>
      </c>
      <c r="AE280" s="26" t="s">
        <v>648</v>
      </c>
      <c r="AF280" s="26" t="str">
        <f aca="false"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>소재 입고일정 확인 필요</v>
      </c>
      <c r="AG280" s="24" t="str">
        <f aca="false">IF($K280="","",IF(OR(LEFT($AF280,2)="작지",LEFT($AF280,4)="소재입고"),IF(LEFT($G280,1)="S","★ 납기위험(S코드)","◆ 지연주의"),IF($AF280="정상","✓ 정상","? 확인필요")))</f>
        <v>? 확인필요</v>
      </c>
      <c r="AH280" s="27"/>
      <c r="AI280" s="34"/>
    </row>
    <row r="281" customFormat="false" ht="15" hidden="false" customHeight="false" outlineLevel="0" collapsed="false">
      <c r="A281" s="24" t="n">
        <v>277</v>
      </c>
      <c r="B281" s="25" t="s">
        <v>270</v>
      </c>
      <c r="C281" s="25" t="s">
        <v>271</v>
      </c>
      <c r="D281" s="26" t="s">
        <v>1094</v>
      </c>
      <c r="E281" s="25" t="s">
        <v>1095</v>
      </c>
      <c r="F281" s="26" t="s">
        <v>288</v>
      </c>
      <c r="G281" s="24" t="str">
        <f aca="false">IF($D281="","",IF(MID($D281,5,1)="S","S(봄)",IF(MID($D281,5,1)="M","M(여름)",IF(MID($D281,5,1)="X","X(사계절)",MID($D281,5,1)))))</f>
        <v>M(여름)</v>
      </c>
      <c r="H281" s="25" t="s">
        <v>97</v>
      </c>
      <c r="I281" s="24" t="s">
        <v>502</v>
      </c>
      <c r="J281" s="27" t="s">
        <v>648</v>
      </c>
      <c r="K281" s="28" t="n">
        <f aca="false">IF($J281="","",IFERROR(DATE(IF(VALUE(LEFT($J281,FIND("월",$J281)-1))&gt;=9,기준정보!$C$7-1,기준정보!$C$7),VALUE(LEFT($J281,FIND("월",$J281)-1)),1+7*(VALUE(SUBSTITUTE(MID($J281,FIND("월",$J281)+1,5),"주",""))-1)),""))</f>
        <v>46468</v>
      </c>
      <c r="L281" s="28" t="n">
        <f aca="false">IF($K281="","",IF(AND($K281-기준정보!$C$5&gt;=기준정보!$C$10,$K281-기준정보!$C$5&lt;=기준정보!$C$11),기준정보!$C$10-1,$K281-기준정보!$C$5))</f>
        <v>46454</v>
      </c>
      <c r="M281" s="29" t="n">
        <f aca="false"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>15</v>
      </c>
      <c r="N281" s="28" t="n">
        <f aca="false">IF($L281="","",$L281-기준정보!$C$6-$M281)</f>
        <v>46349</v>
      </c>
      <c r="O281" s="30" t="n">
        <f aca="false">IF($N281="","",$N281-기준정보!$C$4)</f>
        <v>96</v>
      </c>
      <c r="P281" s="27"/>
      <c r="Q281" s="27" t="s">
        <v>100</v>
      </c>
      <c r="R281" s="27" t="s">
        <v>101</v>
      </c>
      <c r="S281" s="31"/>
      <c r="T281" s="26" t="str">
        <f aca="false">IF($H281="","",IF(AND(ISNUMBER(SEARCH("CMT",$H281)),OR(ISNUMBER(SEARCH("완사입",$H281)),ISNUMBER(SEARCH("ODM",$H281)))),"본사/생산처 혼재",IF(ISNUMBER(SEARCH("CMT",$H281)),"본사(소재팀)","생산처")))</f>
        <v>생산처</v>
      </c>
      <c r="U281" s="25" t="s">
        <v>289</v>
      </c>
      <c r="V281" s="25" t="s">
        <v>289</v>
      </c>
      <c r="W281" s="25" t="s">
        <v>103</v>
      </c>
      <c r="X281" s="25" t="s">
        <v>573</v>
      </c>
      <c r="Y281" s="35" t="s">
        <v>929</v>
      </c>
      <c r="Z281" s="32"/>
      <c r="AA281" s="28" t="n">
        <v>46237</v>
      </c>
      <c r="AB281" s="33" t="n">
        <v>3000</v>
      </c>
      <c r="AC281" s="33" t="n">
        <v>97056000</v>
      </c>
      <c r="AD281" s="33" t="n">
        <v>444000000</v>
      </c>
      <c r="AE281" s="26"/>
      <c r="AF281" s="26" t="str">
        <f aca="false"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>소재 입고일정 확인 필요</v>
      </c>
      <c r="AG281" s="24" t="str">
        <f aca="false">IF($K281="","",IF(OR(LEFT($AF281,2)="작지",LEFT($AF281,4)="소재입고"),IF(LEFT($G281,1)="S","★ 납기위험(S코드)","◆ 지연주의"),IF($AF281="정상","✓ 정상","? 확인필요")))</f>
        <v>? 확인필요</v>
      </c>
      <c r="AH281" s="27"/>
      <c r="AI281" s="34"/>
    </row>
    <row r="282" customFormat="false" ht="15" hidden="false" customHeight="false" outlineLevel="0" collapsed="false">
      <c r="A282" s="24" t="n">
        <v>278</v>
      </c>
      <c r="B282" s="25" t="s">
        <v>242</v>
      </c>
      <c r="C282" s="25" t="s">
        <v>697</v>
      </c>
      <c r="D282" s="26" t="s">
        <v>1096</v>
      </c>
      <c r="E282" s="25" t="s">
        <v>1097</v>
      </c>
      <c r="F282" s="26" t="s">
        <v>1052</v>
      </c>
      <c r="G282" s="24" t="str">
        <f aca="false">IF($D282="","",IF(MID($D282,5,1)="S","S(봄)",IF(MID($D282,5,1)="M","M(여름)",IF(MID($D282,5,1)="X","X(사계절)",MID($D282,5,1)))))</f>
        <v>M(여름)</v>
      </c>
      <c r="H282" s="25" t="s">
        <v>97</v>
      </c>
      <c r="I282" s="24" t="s">
        <v>502</v>
      </c>
      <c r="J282" s="27" t="s">
        <v>648</v>
      </c>
      <c r="K282" s="28" t="n">
        <f aca="false">IF($J282="","",IFERROR(DATE(IF(VALUE(LEFT($J282,FIND("월",$J282)-1))&gt;=9,기준정보!$C$7-1,기준정보!$C$7),VALUE(LEFT($J282,FIND("월",$J282)-1)),1+7*(VALUE(SUBSTITUTE(MID($J282,FIND("월",$J282)+1,5),"주",""))-1)),""))</f>
        <v>46468</v>
      </c>
      <c r="L282" s="28" t="n">
        <f aca="false">IF($K282="","",IF(AND($K282-기준정보!$C$5&gt;=기준정보!$C$10,$K282-기준정보!$C$5&lt;=기준정보!$C$11),기준정보!$C$10-1,$K282-기준정보!$C$5))</f>
        <v>46454</v>
      </c>
      <c r="M282" s="29" t="n">
        <f aca="false"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>15</v>
      </c>
      <c r="N282" s="28" t="n">
        <f aca="false">IF($L282="","",$L282-기준정보!$C$6-$M282)</f>
        <v>46349</v>
      </c>
      <c r="O282" s="30" t="n">
        <f aca="false">IF($N282="","",$N282-기준정보!$C$4)</f>
        <v>96</v>
      </c>
      <c r="P282" s="27"/>
      <c r="Q282" s="27" t="s">
        <v>100</v>
      </c>
      <c r="R282" s="27" t="s">
        <v>101</v>
      </c>
      <c r="S282" s="31"/>
      <c r="T282" s="26" t="str">
        <f aca="false">IF($H282="","",IF(AND(ISNUMBER(SEARCH("CMT",$H282)),OR(ISNUMBER(SEARCH("완사입",$H282)),ISNUMBER(SEARCH("ODM",$H282)))),"본사/생산처 혼재",IF(ISNUMBER(SEARCH("CMT",$H282)),"본사(소재팀)","생산처")))</f>
        <v>생산처</v>
      </c>
      <c r="U282" s="25" t="s">
        <v>380</v>
      </c>
      <c r="V282" s="25" t="s">
        <v>380</v>
      </c>
      <c r="W282" s="25" t="s">
        <v>103</v>
      </c>
      <c r="X282" s="26" t="s">
        <v>247</v>
      </c>
      <c r="Y282" s="32" t="s">
        <v>1053</v>
      </c>
      <c r="Z282" s="32"/>
      <c r="AA282" s="28" t="n">
        <v>46232</v>
      </c>
      <c r="AB282" s="33" t="n">
        <v>1600</v>
      </c>
      <c r="AC282" s="33" t="n">
        <v>57788800</v>
      </c>
      <c r="AD282" s="33" t="n">
        <v>252800000</v>
      </c>
      <c r="AE282" s="26" t="s">
        <v>648</v>
      </c>
      <c r="AF282" s="26" t="str">
        <f aca="false"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>소재 입고일정 확인 필요</v>
      </c>
      <c r="AG282" s="24" t="str">
        <f aca="false">IF($K282="","",IF(OR(LEFT($AF282,2)="작지",LEFT($AF282,4)="소재입고"),IF(LEFT($G282,1)="S","★ 납기위험(S코드)","◆ 지연주의"),IF($AF282="정상","✓ 정상","? 확인필요")))</f>
        <v>? 확인필요</v>
      </c>
      <c r="AH282" s="27"/>
      <c r="AI282" s="34"/>
    </row>
    <row r="283" customFormat="false" ht="15" hidden="false" customHeight="false" outlineLevel="0" collapsed="false">
      <c r="A283" s="24" t="n">
        <v>279</v>
      </c>
      <c r="B283" s="25" t="s">
        <v>242</v>
      </c>
      <c r="C283" s="25" t="s">
        <v>697</v>
      </c>
      <c r="D283" s="26" t="s">
        <v>1098</v>
      </c>
      <c r="E283" s="25" t="s">
        <v>1099</v>
      </c>
      <c r="F283" s="26" t="s">
        <v>1100</v>
      </c>
      <c r="G283" s="24" t="str">
        <f aca="false">IF($D283="","",IF(MID($D283,5,1)="S","S(봄)",IF(MID($D283,5,1)="M","M(여름)",IF(MID($D283,5,1)="X","X(사계절)",MID($D283,5,1)))))</f>
        <v>M(여름)</v>
      </c>
      <c r="H283" s="25" t="s">
        <v>97</v>
      </c>
      <c r="I283" s="24" t="s">
        <v>502</v>
      </c>
      <c r="J283" s="27" t="s">
        <v>648</v>
      </c>
      <c r="K283" s="28" t="n">
        <f aca="false">IF($J283="","",IFERROR(DATE(IF(VALUE(LEFT($J283,FIND("월",$J283)-1))&gt;=9,기준정보!$C$7-1,기준정보!$C$7),VALUE(LEFT($J283,FIND("월",$J283)-1)),1+7*(VALUE(SUBSTITUTE(MID($J283,FIND("월",$J283)+1,5),"주",""))-1)),""))</f>
        <v>46468</v>
      </c>
      <c r="L283" s="28" t="n">
        <f aca="false">IF($K283="","",IF(AND($K283-기준정보!$C$5&gt;=기준정보!$C$10,$K283-기준정보!$C$5&lt;=기준정보!$C$11),기준정보!$C$10-1,$K283-기준정보!$C$5))</f>
        <v>46454</v>
      </c>
      <c r="M283" s="29" t="n">
        <f aca="false"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>0</v>
      </c>
      <c r="N283" s="28" t="n">
        <f aca="false">IF($L283="","",$L283-기준정보!$C$6-$M283)</f>
        <v>46364</v>
      </c>
      <c r="O283" s="30" t="n">
        <f aca="false">IF($N283="","",$N283-기준정보!$C$4)</f>
        <v>111</v>
      </c>
      <c r="P283" s="27"/>
      <c r="Q283" s="27" t="s">
        <v>100</v>
      </c>
      <c r="R283" s="27" t="s">
        <v>100</v>
      </c>
      <c r="S283" s="31"/>
      <c r="T283" s="26" t="str">
        <f aca="false">IF($H283="","",IF(AND(ISNUMBER(SEARCH("CMT",$H283)),OR(ISNUMBER(SEARCH("완사입",$H283)),ISNUMBER(SEARCH("ODM",$H283)))),"본사/생산처 혼재",IF(ISNUMBER(SEARCH("CMT",$H283)),"본사(소재팀)","생산처")))</f>
        <v>생산처</v>
      </c>
      <c r="U283" s="26" t="s">
        <v>235</v>
      </c>
      <c r="V283" s="26" t="s">
        <v>235</v>
      </c>
      <c r="W283" s="25" t="s">
        <v>110</v>
      </c>
      <c r="X283" s="26" t="s">
        <v>1057</v>
      </c>
      <c r="Y283" s="32" t="s">
        <v>1058</v>
      </c>
      <c r="Z283" s="32"/>
      <c r="AA283" s="28"/>
      <c r="AB283" s="33" t="n">
        <v>1200</v>
      </c>
      <c r="AC283" s="33" t="n">
        <v>31116000</v>
      </c>
      <c r="AD283" s="33" t="n">
        <v>153600000</v>
      </c>
      <c r="AE283" s="26" t="s">
        <v>648</v>
      </c>
      <c r="AF283" s="26" t="str">
        <f aca="false"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>소재 입고일정 확인 필요</v>
      </c>
      <c r="AG283" s="24" t="str">
        <f aca="false">IF($K283="","",IF(OR(LEFT($AF283,2)="작지",LEFT($AF283,4)="소재입고"),IF(LEFT($G283,1)="S","★ 납기위험(S코드)","◆ 지연주의"),IF($AF283="정상","✓ 정상","? 확인필요")))</f>
        <v>? 확인필요</v>
      </c>
      <c r="AH283" s="27"/>
      <c r="AI283" s="34"/>
    </row>
    <row r="284" customFormat="false" ht="15" hidden="false" customHeight="false" outlineLevel="0" collapsed="false">
      <c r="A284" s="24" t="n">
        <v>280</v>
      </c>
      <c r="B284" s="25" t="s">
        <v>266</v>
      </c>
      <c r="C284" s="25" t="s">
        <v>271</v>
      </c>
      <c r="D284" s="26" t="s">
        <v>1101</v>
      </c>
      <c r="E284" s="25" t="s">
        <v>801</v>
      </c>
      <c r="F284" s="26" t="s">
        <v>1102</v>
      </c>
      <c r="G284" s="24" t="str">
        <f aca="false">IF($D284="","",IF(MID($D284,5,1)="S","S(봄)",IF(MID($D284,5,1)="M","M(여름)",IF(MID($D284,5,1)="X","X(사계절)",MID($D284,5,1)))))</f>
        <v>M(여름)</v>
      </c>
      <c r="H284" s="25" t="s">
        <v>97</v>
      </c>
      <c r="I284" s="24"/>
      <c r="J284" s="27" t="s">
        <v>648</v>
      </c>
      <c r="K284" s="28" t="n">
        <f aca="false">IF($J284="","",IFERROR(DATE(IF(VALUE(LEFT($J284,FIND("월",$J284)-1))&gt;=9,기준정보!$C$7-1,기준정보!$C$7),VALUE(LEFT($J284,FIND("월",$J284)-1)),1+7*(VALUE(SUBSTITUTE(MID($J284,FIND("월",$J284)+1,5),"주",""))-1)),""))</f>
        <v>46468</v>
      </c>
      <c r="L284" s="28" t="n">
        <f aca="false">IF($K284="","",IF(AND($K284-기준정보!$C$5&gt;=기준정보!$C$10,$K284-기준정보!$C$5&lt;=기준정보!$C$11),기준정보!$C$10-1,$K284-기준정보!$C$5))</f>
        <v>46454</v>
      </c>
      <c r="M284" s="29" t="n">
        <f aca="false"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>0</v>
      </c>
      <c r="N284" s="28" t="n">
        <f aca="false">IF($L284="","",$L284-기준정보!$C$6-$M284)</f>
        <v>46364</v>
      </c>
      <c r="O284" s="30" t="n">
        <f aca="false">IF($N284="","",$N284-기준정보!$C$4)</f>
        <v>111</v>
      </c>
      <c r="P284" s="27"/>
      <c r="Q284" s="27" t="s">
        <v>100</v>
      </c>
      <c r="R284" s="27" t="s">
        <v>101</v>
      </c>
      <c r="S284" s="31"/>
      <c r="T284" s="26" t="str">
        <f aca="false">IF($H284="","",IF(AND(ISNUMBER(SEARCH("CMT",$H284)),OR(ISNUMBER(SEARCH("완사입",$H284)),ISNUMBER(SEARCH("ODM",$H284)))),"본사/생산처 혼재",IF(ISNUMBER(SEARCH("CMT",$H284)),"본사(소재팀)","생산처")))</f>
        <v>생산처</v>
      </c>
      <c r="U284" s="26" t="s">
        <v>235</v>
      </c>
      <c r="V284" s="26" t="s">
        <v>235</v>
      </c>
      <c r="W284" s="25" t="s">
        <v>110</v>
      </c>
      <c r="X284" s="25" t="s">
        <v>802</v>
      </c>
      <c r="Y284" s="35" t="s">
        <v>803</v>
      </c>
      <c r="Z284" s="32"/>
      <c r="AA284" s="28" t="n">
        <v>46195</v>
      </c>
      <c r="AB284" s="33" t="n">
        <v>35000</v>
      </c>
      <c r="AC284" s="33" t="n">
        <v>527730000</v>
      </c>
      <c r="AD284" s="33" t="n">
        <v>3080000000</v>
      </c>
      <c r="AE284" s="26" t="s">
        <v>648</v>
      </c>
      <c r="AF284" s="26" t="str">
        <f aca="false"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>소재 입고일정 확인 필요</v>
      </c>
      <c r="AG284" s="24" t="str">
        <f aca="false">IF($K284="","",IF(OR(LEFT($AF284,2)="작지",LEFT($AF284,4)="소재입고"),IF(LEFT($G284,1)="S","★ 납기위험(S코드)","◆ 지연주의"),IF($AF284="정상","✓ 정상","? 확인필요")))</f>
        <v>? 확인필요</v>
      </c>
      <c r="AH284" s="27"/>
      <c r="AI284" s="34"/>
    </row>
    <row r="285" customFormat="false" ht="15" hidden="false" customHeight="false" outlineLevel="0" collapsed="false">
      <c r="A285" s="24" t="n">
        <v>281</v>
      </c>
      <c r="B285" s="25" t="s">
        <v>266</v>
      </c>
      <c r="C285" s="25" t="s">
        <v>251</v>
      </c>
      <c r="D285" s="26" t="s">
        <v>1103</v>
      </c>
      <c r="E285" s="25" t="s">
        <v>1104</v>
      </c>
      <c r="F285" s="26" t="s">
        <v>1105</v>
      </c>
      <c r="G285" s="24" t="str">
        <f aca="false">IF($D285="","",IF(MID($D285,5,1)="S","S(봄)",IF(MID($D285,5,1)="M","M(여름)",IF(MID($D285,5,1)="X","X(사계절)",MID($D285,5,1)))))</f>
        <v>M(여름)</v>
      </c>
      <c r="H285" s="25" t="s">
        <v>97</v>
      </c>
      <c r="I285" s="24"/>
      <c r="J285" s="27" t="s">
        <v>648</v>
      </c>
      <c r="K285" s="28" t="n">
        <f aca="false">IF($J285="","",IFERROR(DATE(IF(VALUE(LEFT($J285,FIND("월",$J285)-1))&gt;=9,기준정보!$C$7-1,기준정보!$C$7),VALUE(LEFT($J285,FIND("월",$J285)-1)),1+7*(VALUE(SUBSTITUTE(MID($J285,FIND("월",$J285)+1,5),"주",""))-1)),""))</f>
        <v>46468</v>
      </c>
      <c r="L285" s="28" t="n">
        <f aca="false">IF($K285="","",IF(AND($K285-기준정보!$C$5&gt;=기준정보!$C$10,$K285-기준정보!$C$5&lt;=기준정보!$C$11),기준정보!$C$10-1,$K285-기준정보!$C$5))</f>
        <v>46454</v>
      </c>
      <c r="M285" s="29" t="n">
        <f aca="false"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>0</v>
      </c>
      <c r="N285" s="28" t="n">
        <f aca="false">IF($L285="","",$L285-기준정보!$C$6-$M285)</f>
        <v>46364</v>
      </c>
      <c r="O285" s="30" t="n">
        <f aca="false">IF($N285="","",$N285-기준정보!$C$4)</f>
        <v>111</v>
      </c>
      <c r="P285" s="27"/>
      <c r="Q285" s="27" t="s">
        <v>100</v>
      </c>
      <c r="R285" s="27" t="s">
        <v>100</v>
      </c>
      <c r="S285" s="31"/>
      <c r="T285" s="26" t="str">
        <f aca="false">IF($H285="","",IF(AND(ISNUMBER(SEARCH("CMT",$H285)),OR(ISNUMBER(SEARCH("완사입",$H285)),ISNUMBER(SEARCH("ODM",$H285)))),"본사/생산처 혼재",IF(ISNUMBER(SEARCH("CMT",$H285)),"본사(소재팀)","생산처")))</f>
        <v>생산처</v>
      </c>
      <c r="U285" s="26" t="s">
        <v>235</v>
      </c>
      <c r="V285" s="26" t="s">
        <v>235</v>
      </c>
      <c r="W285" s="25" t="s">
        <v>110</v>
      </c>
      <c r="X285" s="26" t="s">
        <v>247</v>
      </c>
      <c r="Y285" s="32" t="s">
        <v>1106</v>
      </c>
      <c r="Z285" s="32"/>
      <c r="AA285" s="28" t="n">
        <v>46225</v>
      </c>
      <c r="AB285" s="33" t="n">
        <v>3500</v>
      </c>
      <c r="AC285" s="33" t="n">
        <v>60399500</v>
      </c>
      <c r="AD285" s="33" t="n">
        <v>308000000</v>
      </c>
      <c r="AE285" s="26" t="s">
        <v>648</v>
      </c>
      <c r="AF285" s="26" t="str">
        <f aca="false"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>소재 입고일정 확인 필요</v>
      </c>
      <c r="AG285" s="24" t="str">
        <f aca="false">IF($K285="","",IF(OR(LEFT($AF285,2)="작지",LEFT($AF285,4)="소재입고"),IF(LEFT($G285,1)="S","★ 납기위험(S코드)","◆ 지연주의"),IF($AF285="정상","✓ 정상","? 확인필요")))</f>
        <v>? 확인필요</v>
      </c>
      <c r="AH285" s="27"/>
      <c r="AI285" s="34"/>
    </row>
    <row r="286" customFormat="false" ht="15" hidden="false" customHeight="false" outlineLevel="0" collapsed="false">
      <c r="A286" s="24" t="n">
        <v>282</v>
      </c>
      <c r="B286" s="25" t="s">
        <v>266</v>
      </c>
      <c r="C286" s="25" t="s">
        <v>271</v>
      </c>
      <c r="D286" s="26" t="s">
        <v>1107</v>
      </c>
      <c r="E286" s="25" t="s">
        <v>1108</v>
      </c>
      <c r="F286" s="26" t="s">
        <v>921</v>
      </c>
      <c r="G286" s="24" t="str">
        <f aca="false">IF($D286="","",IF(MID($D286,5,1)="S","S(봄)",IF(MID($D286,5,1)="M","M(여름)",IF(MID($D286,5,1)="X","X(사계절)",MID($D286,5,1)))))</f>
        <v>M(여름)</v>
      </c>
      <c r="H286" s="25" t="s">
        <v>97</v>
      </c>
      <c r="I286" s="24"/>
      <c r="J286" s="27" t="s">
        <v>648</v>
      </c>
      <c r="K286" s="28" t="n">
        <f aca="false">IF($J286="","",IFERROR(DATE(IF(VALUE(LEFT($J286,FIND("월",$J286)-1))&gt;=9,기준정보!$C$7-1,기준정보!$C$7),VALUE(LEFT($J286,FIND("월",$J286)-1)),1+7*(VALUE(SUBSTITUTE(MID($J286,FIND("월",$J286)+1,5),"주",""))-1)),""))</f>
        <v>46468</v>
      </c>
      <c r="L286" s="28" t="n">
        <f aca="false">IF($K286="","",IF(AND($K286-기준정보!$C$5&gt;=기준정보!$C$10,$K286-기준정보!$C$5&lt;=기준정보!$C$11),기준정보!$C$10-1,$K286-기준정보!$C$5))</f>
        <v>46454</v>
      </c>
      <c r="M286" s="29" t="n">
        <f aca="false"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>0</v>
      </c>
      <c r="N286" s="28" t="n">
        <f aca="false">IF($L286="","",$L286-기준정보!$C$6-$M286)</f>
        <v>46364</v>
      </c>
      <c r="O286" s="30" t="n">
        <f aca="false">IF($N286="","",$N286-기준정보!$C$4)</f>
        <v>111</v>
      </c>
      <c r="P286" s="27"/>
      <c r="Q286" s="27" t="s">
        <v>100</v>
      </c>
      <c r="R286" s="27" t="s">
        <v>101</v>
      </c>
      <c r="S286" s="31"/>
      <c r="T286" s="26" t="str">
        <f aca="false">IF($H286="","",IF(AND(ISNUMBER(SEARCH("CMT",$H286)),OR(ISNUMBER(SEARCH("완사입",$H286)),ISNUMBER(SEARCH("ODM",$H286)))),"본사/생산처 혼재",IF(ISNUMBER(SEARCH("CMT",$H286)),"본사(소재팀)","생산처")))</f>
        <v>생산처</v>
      </c>
      <c r="U286" s="26" t="s">
        <v>235</v>
      </c>
      <c r="V286" s="26" t="s">
        <v>235</v>
      </c>
      <c r="W286" s="25" t="s">
        <v>110</v>
      </c>
      <c r="X286" s="25" t="s">
        <v>802</v>
      </c>
      <c r="Y286" s="35" t="s">
        <v>803</v>
      </c>
      <c r="Z286" s="32"/>
      <c r="AA286" s="28" t="n">
        <v>46225</v>
      </c>
      <c r="AB286" s="33" t="n">
        <v>3000</v>
      </c>
      <c r="AC286" s="33" t="n">
        <v>43143000</v>
      </c>
      <c r="AD286" s="33" t="n">
        <v>264000000</v>
      </c>
      <c r="AE286" s="26" t="s">
        <v>648</v>
      </c>
      <c r="AF286" s="26" t="str">
        <f aca="false"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>소재 입고일정 확인 필요</v>
      </c>
      <c r="AG286" s="24" t="str">
        <f aca="false">IF($K286="","",IF(OR(LEFT($AF286,2)="작지",LEFT($AF286,4)="소재입고"),IF(LEFT($G286,1)="S","★ 납기위험(S코드)","◆ 지연주의"),IF($AF286="정상","✓ 정상","? 확인필요")))</f>
        <v>? 확인필요</v>
      </c>
      <c r="AH286" s="27"/>
      <c r="AI286" s="34"/>
    </row>
    <row r="287" customFormat="false" ht="15" hidden="false" customHeight="false" outlineLevel="0" collapsed="false">
      <c r="A287" s="24" t="n">
        <v>283</v>
      </c>
      <c r="B287" s="25" t="s">
        <v>266</v>
      </c>
      <c r="C287" s="25" t="s">
        <v>251</v>
      </c>
      <c r="D287" s="26" t="s">
        <v>1109</v>
      </c>
      <c r="E287" s="25" t="s">
        <v>806</v>
      </c>
      <c r="F287" s="26" t="s">
        <v>620</v>
      </c>
      <c r="G287" s="24" t="str">
        <f aca="false">IF($D287="","",IF(MID($D287,5,1)="S","S(봄)",IF(MID($D287,5,1)="M","M(여름)",IF(MID($D287,5,1)="X","X(사계절)",MID($D287,5,1)))))</f>
        <v>M(여름)</v>
      </c>
      <c r="H287" s="25" t="s">
        <v>97</v>
      </c>
      <c r="I287" s="24"/>
      <c r="J287" s="27" t="s">
        <v>648</v>
      </c>
      <c r="K287" s="28" t="n">
        <f aca="false">IF($J287="","",IFERROR(DATE(IF(VALUE(LEFT($J287,FIND("월",$J287)-1))&gt;=9,기준정보!$C$7-1,기준정보!$C$7),VALUE(LEFT($J287,FIND("월",$J287)-1)),1+7*(VALUE(SUBSTITUTE(MID($J287,FIND("월",$J287)+1,5),"주",""))-1)),""))</f>
        <v>46468</v>
      </c>
      <c r="L287" s="28" t="n">
        <f aca="false">IF($K287="","",IF(AND($K287-기준정보!$C$5&gt;=기준정보!$C$10,$K287-기준정보!$C$5&lt;=기준정보!$C$11),기준정보!$C$10-1,$K287-기준정보!$C$5))</f>
        <v>46454</v>
      </c>
      <c r="M287" s="29" t="n">
        <f aca="false"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>0</v>
      </c>
      <c r="N287" s="28" t="n">
        <f aca="false">IF($L287="","",$L287-기준정보!$C$6-$M287)</f>
        <v>46364</v>
      </c>
      <c r="O287" s="30" t="n">
        <f aca="false">IF($N287="","",$N287-기준정보!$C$4)</f>
        <v>111</v>
      </c>
      <c r="P287" s="27"/>
      <c r="Q287" s="27" t="s">
        <v>100</v>
      </c>
      <c r="R287" s="27" t="s">
        <v>100</v>
      </c>
      <c r="S287" s="31"/>
      <c r="T287" s="26" t="str">
        <f aca="false">IF($H287="","",IF(AND(ISNUMBER(SEARCH("CMT",$H287)),OR(ISNUMBER(SEARCH("완사입",$H287)),ISNUMBER(SEARCH("ODM",$H287)))),"본사/생산처 혼재",IF(ISNUMBER(SEARCH("CMT",$H287)),"본사(소재팀)","생산처")))</f>
        <v>생산처</v>
      </c>
      <c r="U287" s="26" t="s">
        <v>235</v>
      </c>
      <c r="V287" s="26" t="s">
        <v>235</v>
      </c>
      <c r="W287" s="25" t="s">
        <v>110</v>
      </c>
      <c r="X287" s="26" t="s">
        <v>247</v>
      </c>
      <c r="Y287" s="32" t="s">
        <v>545</v>
      </c>
      <c r="Z287" s="32"/>
      <c r="AA287" s="28" t="n">
        <v>46217</v>
      </c>
      <c r="AB287" s="33" t="n">
        <v>2000</v>
      </c>
      <c r="AC287" s="33" t="n">
        <v>36166000</v>
      </c>
      <c r="AD287" s="33" t="n">
        <v>176000000</v>
      </c>
      <c r="AE287" s="26" t="s">
        <v>648</v>
      </c>
      <c r="AF287" s="26" t="str">
        <f aca="false"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>소재 입고일정 확인 필요</v>
      </c>
      <c r="AG287" s="24" t="str">
        <f aca="false">IF($K287="","",IF(OR(LEFT($AF287,2)="작지",LEFT($AF287,4)="소재입고"),IF(LEFT($G287,1)="S","★ 납기위험(S코드)","◆ 지연주의"),IF($AF287="정상","✓ 정상","? 확인필요")))</f>
        <v>? 확인필요</v>
      </c>
      <c r="AH287" s="27"/>
      <c r="AI287" s="34"/>
    </row>
    <row r="288" customFormat="false" ht="15" hidden="false" customHeight="false" outlineLevel="0" collapsed="false">
      <c r="A288" s="24" t="n">
        <v>284</v>
      </c>
      <c r="B288" s="25" t="s">
        <v>266</v>
      </c>
      <c r="C288" s="25" t="s">
        <v>271</v>
      </c>
      <c r="D288" s="26" t="s">
        <v>1110</v>
      </c>
      <c r="E288" s="25" t="s">
        <v>1111</v>
      </c>
      <c r="F288" s="26" t="s">
        <v>1112</v>
      </c>
      <c r="G288" s="24" t="str">
        <f aca="false">IF($D288="","",IF(MID($D288,5,1)="S","S(봄)",IF(MID($D288,5,1)="M","M(여름)",IF(MID($D288,5,1)="X","X(사계절)",MID($D288,5,1)))))</f>
        <v>M(여름)</v>
      </c>
      <c r="H288" s="25" t="s">
        <v>97</v>
      </c>
      <c r="I288" s="24"/>
      <c r="J288" s="27" t="s">
        <v>648</v>
      </c>
      <c r="K288" s="28" t="n">
        <f aca="false">IF($J288="","",IFERROR(DATE(IF(VALUE(LEFT($J288,FIND("월",$J288)-1))&gt;=9,기준정보!$C$7-1,기준정보!$C$7),VALUE(LEFT($J288,FIND("월",$J288)-1)),1+7*(VALUE(SUBSTITUTE(MID($J288,FIND("월",$J288)+1,5),"주",""))-1)),""))</f>
        <v>46468</v>
      </c>
      <c r="L288" s="28" t="n">
        <f aca="false">IF($K288="","",IF(AND($K288-기준정보!$C$5&gt;=기준정보!$C$10,$K288-기준정보!$C$5&lt;=기준정보!$C$11),기준정보!$C$10-1,$K288-기준정보!$C$5))</f>
        <v>46454</v>
      </c>
      <c r="M288" s="29" t="n">
        <f aca="false"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>15</v>
      </c>
      <c r="N288" s="28" t="n">
        <f aca="false">IF($L288="","",$L288-기준정보!$C$6-$M288)</f>
        <v>46349</v>
      </c>
      <c r="O288" s="30" t="n">
        <f aca="false">IF($N288="","",$N288-기준정보!$C$4)</f>
        <v>96</v>
      </c>
      <c r="P288" s="27"/>
      <c r="Q288" s="27" t="s">
        <v>100</v>
      </c>
      <c r="R288" s="27" t="s">
        <v>101</v>
      </c>
      <c r="S288" s="31"/>
      <c r="T288" s="26" t="str">
        <f aca="false">IF($H288="","",IF(AND(ISNUMBER(SEARCH("CMT",$H288)),OR(ISNUMBER(SEARCH("완사입",$H288)),ISNUMBER(SEARCH("ODM",$H288)))),"본사/생산처 혼재",IF(ISNUMBER(SEARCH("CMT",$H288)),"본사(소재팀)","생산처")))</f>
        <v>생산처</v>
      </c>
      <c r="U288" s="25" t="s">
        <v>380</v>
      </c>
      <c r="V288" s="25" t="s">
        <v>380</v>
      </c>
      <c r="W288" s="25" t="s">
        <v>103</v>
      </c>
      <c r="X288" s="26" t="s">
        <v>247</v>
      </c>
      <c r="Y288" s="32" t="s">
        <v>1053</v>
      </c>
      <c r="Z288" s="32"/>
      <c r="AA288" s="28" t="n">
        <v>46198</v>
      </c>
      <c r="AB288" s="33" t="n">
        <v>2800</v>
      </c>
      <c r="AC288" s="33" t="n">
        <v>50372000</v>
      </c>
      <c r="AD288" s="33" t="n">
        <v>274400000</v>
      </c>
      <c r="AE288" s="26" t="s">
        <v>752</v>
      </c>
      <c r="AF288" s="26" t="str">
        <f aca="false"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>소재 입고일정 확인 필요</v>
      </c>
      <c r="AG288" s="24" t="str">
        <f aca="false">IF($K288="","",IF(OR(LEFT($AF288,2)="작지",LEFT($AF288,4)="소재입고"),IF(LEFT($G288,1)="S","★ 납기위험(S코드)","◆ 지연주의"),IF($AF288="정상","✓ 정상","? 확인필요")))</f>
        <v>? 확인필요</v>
      </c>
      <c r="AH288" s="27"/>
      <c r="AI288" s="34"/>
    </row>
    <row r="289" customFormat="false" ht="15" hidden="false" customHeight="false" outlineLevel="0" collapsed="false">
      <c r="A289" s="24" t="n">
        <v>285</v>
      </c>
      <c r="B289" s="25" t="s">
        <v>266</v>
      </c>
      <c r="C289" s="25" t="s">
        <v>271</v>
      </c>
      <c r="D289" s="26" t="s">
        <v>1113</v>
      </c>
      <c r="E289" s="25" t="s">
        <v>1114</v>
      </c>
      <c r="F289" s="26" t="s">
        <v>921</v>
      </c>
      <c r="G289" s="24" t="str">
        <f aca="false">IF($D289="","",IF(MID($D289,5,1)="S","S(봄)",IF(MID($D289,5,1)="M","M(여름)",IF(MID($D289,5,1)="X","X(사계절)",MID($D289,5,1)))))</f>
        <v>M(여름)</v>
      </c>
      <c r="H289" s="25" t="s">
        <v>97</v>
      </c>
      <c r="I289" s="24"/>
      <c r="J289" s="27" t="s">
        <v>648</v>
      </c>
      <c r="K289" s="28" t="n">
        <f aca="false">IF($J289="","",IFERROR(DATE(IF(VALUE(LEFT($J289,FIND("월",$J289)-1))&gt;=9,기준정보!$C$7-1,기준정보!$C$7),VALUE(LEFT($J289,FIND("월",$J289)-1)),1+7*(VALUE(SUBSTITUTE(MID($J289,FIND("월",$J289)+1,5),"주",""))-1)),""))</f>
        <v>46468</v>
      </c>
      <c r="L289" s="28" t="n">
        <f aca="false">IF($K289="","",IF(AND($K289-기준정보!$C$5&gt;=기준정보!$C$10,$K289-기준정보!$C$5&lt;=기준정보!$C$11),기준정보!$C$10-1,$K289-기준정보!$C$5))</f>
        <v>46454</v>
      </c>
      <c r="M289" s="29" t="n">
        <f aca="false"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>15</v>
      </c>
      <c r="N289" s="28" t="n">
        <f aca="false">IF($L289="","",$L289-기준정보!$C$6-$M289)</f>
        <v>46349</v>
      </c>
      <c r="O289" s="30" t="n">
        <f aca="false">IF($N289="","",$N289-기준정보!$C$4)</f>
        <v>96</v>
      </c>
      <c r="P289" s="27"/>
      <c r="Q289" s="27" t="s">
        <v>100</v>
      </c>
      <c r="R289" s="27" t="s">
        <v>101</v>
      </c>
      <c r="S289" s="31"/>
      <c r="T289" s="26" t="str">
        <f aca="false">IF($H289="","",IF(AND(ISNUMBER(SEARCH("CMT",$H289)),OR(ISNUMBER(SEARCH("완사입",$H289)),ISNUMBER(SEARCH("ODM",$H289)))),"본사/생산처 혼재",IF(ISNUMBER(SEARCH("CMT",$H289)),"본사(소재팀)","생산처")))</f>
        <v>생산처</v>
      </c>
      <c r="U289" s="25" t="s">
        <v>380</v>
      </c>
      <c r="V289" s="25" t="s">
        <v>380</v>
      </c>
      <c r="W289" s="25" t="s">
        <v>103</v>
      </c>
      <c r="X289" s="25" t="s">
        <v>573</v>
      </c>
      <c r="Y289" s="35" t="s">
        <v>929</v>
      </c>
      <c r="Z289" s="32"/>
      <c r="AA289" s="28" t="n">
        <v>46237</v>
      </c>
      <c r="AB289" s="33" t="n">
        <v>14000</v>
      </c>
      <c r="AC289" s="33" t="n">
        <v>294532000</v>
      </c>
      <c r="AD289" s="33" t="n">
        <v>1792000000</v>
      </c>
      <c r="AE289" s="26"/>
      <c r="AF289" s="26" t="str">
        <f aca="false"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>소재 입고일정 확인 필요</v>
      </c>
      <c r="AG289" s="24" t="str">
        <f aca="false">IF($K289="","",IF(OR(LEFT($AF289,2)="작지",LEFT($AF289,4)="소재입고"),IF(LEFT($G289,1)="S","★ 납기위험(S코드)","◆ 지연주의"),IF($AF289="정상","✓ 정상","? 확인필요")))</f>
        <v>? 확인필요</v>
      </c>
      <c r="AH289" s="27"/>
      <c r="AI289" s="34"/>
    </row>
    <row r="290" customFormat="false" ht="15" hidden="false" customHeight="false" outlineLevel="0" collapsed="false">
      <c r="A290" s="24" t="n">
        <v>286</v>
      </c>
      <c r="B290" s="25" t="s">
        <v>266</v>
      </c>
      <c r="C290" s="25" t="s">
        <v>271</v>
      </c>
      <c r="D290" s="26" t="s">
        <v>1115</v>
      </c>
      <c r="E290" s="25" t="s">
        <v>1116</v>
      </c>
      <c r="F290" s="26" t="s">
        <v>921</v>
      </c>
      <c r="G290" s="24" t="str">
        <f aca="false">IF($D290="","",IF(MID($D290,5,1)="S","S(봄)",IF(MID($D290,5,1)="M","M(여름)",IF(MID($D290,5,1)="X","X(사계절)",MID($D290,5,1)))))</f>
        <v>M(여름)</v>
      </c>
      <c r="H290" s="25" t="s">
        <v>97</v>
      </c>
      <c r="I290" s="24"/>
      <c r="J290" s="27" t="s">
        <v>648</v>
      </c>
      <c r="K290" s="28" t="n">
        <f aca="false">IF($J290="","",IFERROR(DATE(IF(VALUE(LEFT($J290,FIND("월",$J290)-1))&gt;=9,기준정보!$C$7-1,기준정보!$C$7),VALUE(LEFT($J290,FIND("월",$J290)-1)),1+7*(VALUE(SUBSTITUTE(MID($J290,FIND("월",$J290)+1,5),"주",""))-1)),""))</f>
        <v>46468</v>
      </c>
      <c r="L290" s="28" t="n">
        <f aca="false">IF($K290="","",IF(AND($K290-기준정보!$C$5&gt;=기준정보!$C$10,$K290-기준정보!$C$5&lt;=기준정보!$C$11),기준정보!$C$10-1,$K290-기준정보!$C$5))</f>
        <v>46454</v>
      </c>
      <c r="M290" s="29" t="n">
        <f aca="false"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>15</v>
      </c>
      <c r="N290" s="28" t="n">
        <f aca="false">IF($L290="","",$L290-기준정보!$C$6-$M290)</f>
        <v>46349</v>
      </c>
      <c r="O290" s="30" t="n">
        <f aca="false">IF($N290="","",$N290-기준정보!$C$4)</f>
        <v>96</v>
      </c>
      <c r="P290" s="27"/>
      <c r="Q290" s="27" t="s">
        <v>100</v>
      </c>
      <c r="R290" s="27" t="s">
        <v>101</v>
      </c>
      <c r="S290" s="31"/>
      <c r="T290" s="26" t="str">
        <f aca="false">IF($H290="","",IF(AND(ISNUMBER(SEARCH("CMT",$H290)),OR(ISNUMBER(SEARCH("완사입",$H290)),ISNUMBER(SEARCH("ODM",$H290)))),"본사/생산처 혼재",IF(ISNUMBER(SEARCH("CMT",$H290)),"본사(소재팀)","생산처")))</f>
        <v>생산처</v>
      </c>
      <c r="U290" s="25" t="s">
        <v>135</v>
      </c>
      <c r="V290" s="25" t="s">
        <v>135</v>
      </c>
      <c r="W290" s="25" t="s">
        <v>103</v>
      </c>
      <c r="X290" s="25" t="s">
        <v>573</v>
      </c>
      <c r="Y290" s="35" t="s">
        <v>929</v>
      </c>
      <c r="Z290" s="32"/>
      <c r="AA290" s="28" t="n">
        <v>46237</v>
      </c>
      <c r="AB290" s="33" t="n">
        <v>4000</v>
      </c>
      <c r="AC290" s="33" t="n">
        <v>102236000</v>
      </c>
      <c r="AD290" s="33" t="n">
        <v>512000000</v>
      </c>
      <c r="AE290" s="26"/>
      <c r="AF290" s="26" t="str">
        <f aca="false"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>소재 입고일정 확인 필요</v>
      </c>
      <c r="AG290" s="24" t="str">
        <f aca="false">IF($K290="","",IF(OR(LEFT($AF290,2)="작지",LEFT($AF290,4)="소재입고"),IF(LEFT($G290,1)="S","★ 납기위험(S코드)","◆ 지연주의"),IF($AF290="정상","✓ 정상","? 확인필요")))</f>
        <v>? 확인필요</v>
      </c>
      <c r="AH290" s="27"/>
      <c r="AI290" s="34"/>
    </row>
    <row r="291" customFormat="false" ht="25.35" hidden="false" customHeight="false" outlineLevel="0" collapsed="false">
      <c r="A291" s="24" t="n">
        <v>287</v>
      </c>
      <c r="B291" s="25" t="s">
        <v>266</v>
      </c>
      <c r="C291" s="25" t="s">
        <v>271</v>
      </c>
      <c r="D291" s="26" t="s">
        <v>1117</v>
      </c>
      <c r="E291" s="25" t="s">
        <v>1118</v>
      </c>
      <c r="F291" s="26" t="s">
        <v>288</v>
      </c>
      <c r="G291" s="24" t="str">
        <f aca="false">IF($D291="","",IF(MID($D291,5,1)="S","S(봄)",IF(MID($D291,5,1)="M","M(여름)",IF(MID($D291,5,1)="X","X(사계절)",MID($D291,5,1)))))</f>
        <v>M(여름)</v>
      </c>
      <c r="H291" s="25" t="s">
        <v>97</v>
      </c>
      <c r="I291" s="24"/>
      <c r="J291" s="27" t="s">
        <v>648</v>
      </c>
      <c r="K291" s="28" t="n">
        <f aca="false">IF($J291="","",IFERROR(DATE(IF(VALUE(LEFT($J291,FIND("월",$J291)-1))&gt;=9,기준정보!$C$7-1,기준정보!$C$7),VALUE(LEFT($J291,FIND("월",$J291)-1)),1+7*(VALUE(SUBSTITUTE(MID($J291,FIND("월",$J291)+1,5),"주",""))-1)),""))</f>
        <v>46468</v>
      </c>
      <c r="L291" s="28" t="n">
        <f aca="false">IF($K291="","",IF(AND($K291-기준정보!$C$5&gt;=기준정보!$C$10,$K291-기준정보!$C$5&lt;=기준정보!$C$11),기준정보!$C$10-1,$K291-기준정보!$C$5))</f>
        <v>46454</v>
      </c>
      <c r="M291" s="29" t="n">
        <f aca="false"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>15</v>
      </c>
      <c r="N291" s="28" t="n">
        <f aca="false">IF($L291="","",$L291-기준정보!$C$6-$M291)</f>
        <v>46349</v>
      </c>
      <c r="O291" s="30" t="n">
        <f aca="false">IF($N291="","",$N291-기준정보!$C$4)</f>
        <v>96</v>
      </c>
      <c r="P291" s="27"/>
      <c r="Q291" s="27" t="s">
        <v>100</v>
      </c>
      <c r="R291" s="27" t="s">
        <v>101</v>
      </c>
      <c r="S291" s="31"/>
      <c r="T291" s="26" t="str">
        <f aca="false">IF($H291="","",IF(AND(ISNUMBER(SEARCH("CMT",$H291)),OR(ISNUMBER(SEARCH("완사입",$H291)),ISNUMBER(SEARCH("ODM",$H291)))),"본사/생산처 혼재",IF(ISNUMBER(SEARCH("CMT",$H291)),"본사(소재팀)","생산처")))</f>
        <v>생산처</v>
      </c>
      <c r="U291" s="25" t="s">
        <v>135</v>
      </c>
      <c r="V291" s="25" t="s">
        <v>1119</v>
      </c>
      <c r="W291" s="25" t="s">
        <v>103</v>
      </c>
      <c r="X291" s="25" t="s">
        <v>1120</v>
      </c>
      <c r="Y291" s="35" t="s">
        <v>1121</v>
      </c>
      <c r="Z291" s="32"/>
      <c r="AA291" s="28" t="n">
        <v>46237</v>
      </c>
      <c r="AB291" s="33" t="n">
        <v>5000</v>
      </c>
      <c r="AC291" s="33" t="n">
        <v>119830000</v>
      </c>
      <c r="AD291" s="33" t="n">
        <v>690000000</v>
      </c>
      <c r="AE291" s="26"/>
      <c r="AF291" s="26" t="str">
        <f aca="false"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>소재 입고일정 확인 필요</v>
      </c>
      <c r="AG291" s="24" t="str">
        <f aca="false">IF($K291="","",IF(OR(LEFT($AF291,2)="작지",LEFT($AF291,4)="소재입고"),IF(LEFT($G291,1)="S","★ 납기위험(S코드)","◆ 지연주의"),IF($AF291="정상","✓ 정상","? 확인필요")))</f>
        <v>? 확인필요</v>
      </c>
      <c r="AH291" s="27"/>
      <c r="AI291" s="34"/>
    </row>
    <row r="292" customFormat="false" ht="15" hidden="false" customHeight="false" outlineLevel="0" collapsed="false">
      <c r="A292" s="24" t="n">
        <v>288</v>
      </c>
      <c r="B292" s="25" t="s">
        <v>242</v>
      </c>
      <c r="C292" s="25" t="s">
        <v>697</v>
      </c>
      <c r="D292" s="26" t="s">
        <v>1122</v>
      </c>
      <c r="E292" s="25" t="s">
        <v>1123</v>
      </c>
      <c r="F292" s="26" t="s">
        <v>1124</v>
      </c>
      <c r="G292" s="24" t="str">
        <f aca="false">IF($D292="","",IF(MID($D292,5,1)="S","S(봄)",IF(MID($D292,5,1)="M","M(여름)",IF(MID($D292,5,1)="X","X(사계절)",MID($D292,5,1)))))</f>
        <v>M(여름)</v>
      </c>
      <c r="H292" s="25" t="s">
        <v>97</v>
      </c>
      <c r="I292" s="24" t="s">
        <v>502</v>
      </c>
      <c r="J292" s="27" t="s">
        <v>648</v>
      </c>
      <c r="K292" s="28" t="n">
        <f aca="false">IF($J292="","",IFERROR(DATE(IF(VALUE(LEFT($J292,FIND("월",$J292)-1))&gt;=9,기준정보!$C$7-1,기준정보!$C$7),VALUE(LEFT($J292,FIND("월",$J292)-1)),1+7*(VALUE(SUBSTITUTE(MID($J292,FIND("월",$J292)+1,5),"주",""))-1)),""))</f>
        <v>46468</v>
      </c>
      <c r="L292" s="28" t="n">
        <f aca="false">IF($K292="","",IF(AND($K292-기준정보!$C$5&gt;=기준정보!$C$10,$K292-기준정보!$C$5&lt;=기준정보!$C$11),기준정보!$C$10-1,$K292-기준정보!$C$5))</f>
        <v>46454</v>
      </c>
      <c r="M292" s="29" t="n">
        <f aca="false"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>0</v>
      </c>
      <c r="N292" s="28" t="n">
        <f aca="false">IF($L292="","",$L292-기준정보!$C$6-$M292)</f>
        <v>46364</v>
      </c>
      <c r="O292" s="30" t="n">
        <f aca="false">IF($N292="","",$N292-기준정보!$C$4)</f>
        <v>111</v>
      </c>
      <c r="P292" s="27"/>
      <c r="Q292" s="27" t="s">
        <v>100</v>
      </c>
      <c r="R292" s="27" t="s">
        <v>100</v>
      </c>
      <c r="S292" s="31"/>
      <c r="T292" s="26" t="str">
        <f aca="false">IF($H292="","",IF(AND(ISNUMBER(SEARCH("CMT",$H292)),OR(ISNUMBER(SEARCH("완사입",$H292)),ISNUMBER(SEARCH("ODM",$H292)))),"본사/생산처 혼재",IF(ISNUMBER(SEARCH("CMT",$H292)),"본사(소재팀)","생산처")))</f>
        <v>생산처</v>
      </c>
      <c r="U292" s="26" t="s">
        <v>235</v>
      </c>
      <c r="V292" s="26" t="s">
        <v>235</v>
      </c>
      <c r="W292" s="25" t="s">
        <v>110</v>
      </c>
      <c r="X292" s="26" t="s">
        <v>1015</v>
      </c>
      <c r="Y292" s="32" t="s">
        <v>1053</v>
      </c>
      <c r="Z292" s="32"/>
      <c r="AA292" s="28" t="n">
        <v>46212</v>
      </c>
      <c r="AB292" s="33" t="n">
        <v>1800</v>
      </c>
      <c r="AC292" s="33" t="n">
        <v>30929400</v>
      </c>
      <c r="AD292" s="33" t="n">
        <v>176400000</v>
      </c>
      <c r="AE292" s="26" t="s">
        <v>648</v>
      </c>
      <c r="AF292" s="26" t="str">
        <f aca="false"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>소재 입고일정 확인 필요</v>
      </c>
      <c r="AG292" s="24" t="str">
        <f aca="false">IF($K292="","",IF(OR(LEFT($AF292,2)="작지",LEFT($AF292,4)="소재입고"),IF(LEFT($G292,1)="S","★ 납기위험(S코드)","◆ 지연주의"),IF($AF292="정상","✓ 정상","? 확인필요")))</f>
        <v>? 확인필요</v>
      </c>
      <c r="AH292" s="27"/>
      <c r="AI292" s="34"/>
    </row>
    <row r="293" customFormat="false" ht="15" hidden="false" customHeight="false" outlineLevel="0" collapsed="false">
      <c r="A293" s="24" t="n">
        <v>289</v>
      </c>
      <c r="B293" s="25" t="s">
        <v>242</v>
      </c>
      <c r="C293" s="25" t="s">
        <v>697</v>
      </c>
      <c r="D293" s="26" t="s">
        <v>1125</v>
      </c>
      <c r="E293" s="25" t="s">
        <v>1126</v>
      </c>
      <c r="F293" s="26" t="s">
        <v>1085</v>
      </c>
      <c r="G293" s="24" t="str">
        <f aca="false">IF($D293="","",IF(MID($D293,5,1)="S","S(봄)",IF(MID($D293,5,1)="M","M(여름)",IF(MID($D293,5,1)="X","X(사계절)",MID($D293,5,1)))))</f>
        <v>M(여름)</v>
      </c>
      <c r="H293" s="26" t="s">
        <v>255</v>
      </c>
      <c r="I293" s="24" t="s">
        <v>502</v>
      </c>
      <c r="J293" s="27" t="s">
        <v>648</v>
      </c>
      <c r="K293" s="28" t="n">
        <f aca="false">IF($J293="","",IFERROR(DATE(IF(VALUE(LEFT($J293,FIND("월",$J293)-1))&gt;=9,기준정보!$C$7-1,기준정보!$C$7),VALUE(LEFT($J293,FIND("월",$J293)-1)),1+7*(VALUE(SUBSTITUTE(MID($J293,FIND("월",$J293)+1,5),"주",""))-1)),""))</f>
        <v>46468</v>
      </c>
      <c r="L293" s="28" t="n">
        <f aca="false">IF($K293="","",IF(AND($K293-기준정보!$C$5&gt;=기준정보!$C$10,$K293-기준정보!$C$5&lt;=기준정보!$C$11),기준정보!$C$10-1,$K293-기준정보!$C$5))</f>
        <v>46454</v>
      </c>
      <c r="M293" s="29" t="n">
        <f aca="false"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>15</v>
      </c>
      <c r="N293" s="28" t="n">
        <f aca="false">IF($L293="","",$L293-기준정보!$C$6-$M293)</f>
        <v>46349</v>
      </c>
      <c r="O293" s="30" t="n">
        <f aca="false">IF($N293="","",$N293-기준정보!$C$4)</f>
        <v>96</v>
      </c>
      <c r="P293" s="27"/>
      <c r="Q293" s="27" t="s">
        <v>100</v>
      </c>
      <c r="R293" s="27" t="s">
        <v>100</v>
      </c>
      <c r="S293" s="31"/>
      <c r="T293" s="26" t="str">
        <f aca="false">IF($H293="","",IF(AND(ISNUMBER(SEARCH("CMT",$H293)),OR(ISNUMBER(SEARCH("완사입",$H293)),ISNUMBER(SEARCH("ODM",$H293)))),"본사/생산처 혼재",IF(ISNUMBER(SEARCH("CMT",$H293)),"본사(소재팀)","생산처")))</f>
        <v>본사(소재팀)</v>
      </c>
      <c r="U293" s="25" t="s">
        <v>102</v>
      </c>
      <c r="V293" s="25" t="s">
        <v>102</v>
      </c>
      <c r="W293" s="25" t="s">
        <v>103</v>
      </c>
      <c r="X293" s="26" t="s">
        <v>247</v>
      </c>
      <c r="Y293" s="32" t="s">
        <v>1025</v>
      </c>
      <c r="Z293" s="32"/>
      <c r="AA293" s="28" t="n">
        <v>46204</v>
      </c>
      <c r="AB293" s="33" t="n">
        <v>1400</v>
      </c>
      <c r="AC293" s="33" t="n">
        <v>43400000</v>
      </c>
      <c r="AD293" s="33" t="n">
        <v>207200000</v>
      </c>
      <c r="AE293" s="26" t="s">
        <v>648</v>
      </c>
      <c r="AF293" s="26" t="str">
        <f aca="false"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>소재 입고일정 확인 필요</v>
      </c>
      <c r="AG293" s="24" t="str">
        <f aca="false">IF($K293="","",IF(OR(LEFT($AF293,2)="작지",LEFT($AF293,4)="소재입고"),IF(LEFT($G293,1)="S","★ 납기위험(S코드)","◆ 지연주의"),IF($AF293="정상","✓ 정상","? 확인필요")))</f>
        <v>? 확인필요</v>
      </c>
      <c r="AH293" s="27"/>
      <c r="AI293" s="34"/>
    </row>
    <row r="294" customFormat="false" ht="15" hidden="false" customHeight="false" outlineLevel="0" collapsed="false">
      <c r="A294" s="24" t="n">
        <v>290</v>
      </c>
      <c r="B294" s="25" t="s">
        <v>948</v>
      </c>
      <c r="C294" s="25" t="s">
        <v>756</v>
      </c>
      <c r="D294" s="26" t="s">
        <v>1127</v>
      </c>
      <c r="E294" s="25" t="s">
        <v>1128</v>
      </c>
      <c r="F294" s="26" t="s">
        <v>196</v>
      </c>
      <c r="G294" s="24" t="str">
        <f aca="false">IF($D294="","",IF(MID($D294,5,1)="S","S(봄)",IF(MID($D294,5,1)="M","M(여름)",IF(MID($D294,5,1)="X","X(사계절)",MID($D294,5,1)))))</f>
        <v>M(여름)</v>
      </c>
      <c r="H294" s="25" t="s">
        <v>97</v>
      </c>
      <c r="I294" s="24"/>
      <c r="J294" s="27" t="s">
        <v>648</v>
      </c>
      <c r="K294" s="28" t="n">
        <f aca="false">IF($J294="","",IFERROR(DATE(IF(VALUE(LEFT($J294,FIND("월",$J294)-1))&gt;=9,기준정보!$C$7-1,기준정보!$C$7),VALUE(LEFT($J294,FIND("월",$J294)-1)),1+7*(VALUE(SUBSTITUTE(MID($J294,FIND("월",$J294)+1,5),"주",""))-1)),""))</f>
        <v>46468</v>
      </c>
      <c r="L294" s="28" t="n">
        <f aca="false">IF($K294="","",IF(AND($K294-기준정보!$C$5&gt;=기준정보!$C$10,$K294-기준정보!$C$5&lt;=기준정보!$C$11),기준정보!$C$10-1,$K294-기준정보!$C$5))</f>
        <v>46454</v>
      </c>
      <c r="M294" s="29" t="n">
        <f aca="false"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>15</v>
      </c>
      <c r="N294" s="28" t="n">
        <f aca="false">IF($L294="","",$L294-기준정보!$C$6-$M294)</f>
        <v>46349</v>
      </c>
      <c r="O294" s="30" t="n">
        <f aca="false">IF($N294="","",$N294-기준정보!$C$4)</f>
        <v>96</v>
      </c>
      <c r="P294" s="27"/>
      <c r="Q294" s="27" t="s">
        <v>101</v>
      </c>
      <c r="R294" s="27" t="s">
        <v>101</v>
      </c>
      <c r="S294" s="31"/>
      <c r="T294" s="26" t="str">
        <f aca="false">IF($H294="","",IF(AND(ISNUMBER(SEARCH("CMT",$H294)),OR(ISNUMBER(SEARCH("완사입",$H294)),ISNUMBER(SEARCH("ODM",$H294)))),"본사/생산처 혼재",IF(ISNUMBER(SEARCH("CMT",$H294)),"본사(소재팀)","생산처")))</f>
        <v>생산처</v>
      </c>
      <c r="U294" s="26" t="s">
        <v>1129</v>
      </c>
      <c r="V294" s="26"/>
      <c r="W294" s="25" t="s">
        <v>103</v>
      </c>
      <c r="X294" s="26"/>
      <c r="Y294" s="32"/>
      <c r="Z294" s="32"/>
      <c r="AA294" s="28"/>
      <c r="AB294" s="33" t="n">
        <v>500</v>
      </c>
      <c r="AC294" s="33" t="n">
        <v>3130000</v>
      </c>
      <c r="AD294" s="33" t="n">
        <v>15000000</v>
      </c>
      <c r="AE294" s="26"/>
      <c r="AF294" s="26" t="str">
        <f aca="false"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>작지 미발행</v>
      </c>
      <c r="AG294" s="24" t="str">
        <f aca="false">IF($K294="","",IF(OR(LEFT($AF294,2)="작지",LEFT($AF294,4)="소재입고"),IF(LEFT($G294,1)="S","★ 납기위험(S코드)","◆ 지연주의"),IF($AF294="정상","✓ 정상","? 확인필요")))</f>
        <v>◆ 지연주의</v>
      </c>
      <c r="AH294" s="27"/>
      <c r="AI294" s="34"/>
    </row>
    <row r="295" customFormat="false" ht="15" hidden="false" customHeight="false" outlineLevel="0" collapsed="false">
      <c r="A295" s="24" t="n">
        <v>291</v>
      </c>
      <c r="B295" s="25" t="s">
        <v>948</v>
      </c>
      <c r="C295" s="25" t="s">
        <v>756</v>
      </c>
      <c r="D295" s="26" t="s">
        <v>1130</v>
      </c>
      <c r="E295" s="25" t="s">
        <v>1131</v>
      </c>
      <c r="F295" s="26" t="s">
        <v>1132</v>
      </c>
      <c r="G295" s="24" t="str">
        <f aca="false">IF($D295="","",IF(MID($D295,5,1)="S","S(봄)",IF(MID($D295,5,1)="M","M(여름)",IF(MID($D295,5,1)="X","X(사계절)",MID($D295,5,1)))))</f>
        <v>M(여름)</v>
      </c>
      <c r="H295" s="25" t="s">
        <v>97</v>
      </c>
      <c r="I295" s="24"/>
      <c r="J295" s="27" t="s">
        <v>648</v>
      </c>
      <c r="K295" s="28" t="n">
        <f aca="false">IF($J295="","",IFERROR(DATE(IF(VALUE(LEFT($J295,FIND("월",$J295)-1))&gt;=9,기준정보!$C$7-1,기준정보!$C$7),VALUE(LEFT($J295,FIND("월",$J295)-1)),1+7*(VALUE(SUBSTITUTE(MID($J295,FIND("월",$J295)+1,5),"주",""))-1)),""))</f>
        <v>46468</v>
      </c>
      <c r="L295" s="28" t="n">
        <f aca="false">IF($K295="","",IF(AND($K295-기준정보!$C$5&gt;=기준정보!$C$10,$K295-기준정보!$C$5&lt;=기준정보!$C$11),기준정보!$C$10-1,$K295-기준정보!$C$5))</f>
        <v>46454</v>
      </c>
      <c r="M295" s="29" t="n">
        <f aca="false"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>15</v>
      </c>
      <c r="N295" s="28" t="n">
        <f aca="false">IF($L295="","",$L295-기준정보!$C$6-$M295)</f>
        <v>46349</v>
      </c>
      <c r="O295" s="30" t="n">
        <f aca="false">IF($N295="","",$N295-기준정보!$C$4)</f>
        <v>96</v>
      </c>
      <c r="P295" s="27"/>
      <c r="Q295" s="27" t="s">
        <v>101</v>
      </c>
      <c r="R295" s="27" t="s">
        <v>101</v>
      </c>
      <c r="S295" s="31"/>
      <c r="T295" s="26" t="str">
        <f aca="false">IF($H295="","",IF(AND(ISNUMBER(SEARCH("CMT",$H295)),OR(ISNUMBER(SEARCH("완사입",$H295)),ISNUMBER(SEARCH("ODM",$H295)))),"본사/생산처 혼재",IF(ISNUMBER(SEARCH("CMT",$H295)),"본사(소재팀)","생산처")))</f>
        <v>생산처</v>
      </c>
      <c r="U295" s="26" t="s">
        <v>1129</v>
      </c>
      <c r="V295" s="26"/>
      <c r="W295" s="25" t="s">
        <v>103</v>
      </c>
      <c r="X295" s="26"/>
      <c r="Y295" s="32"/>
      <c r="Z295" s="32"/>
      <c r="AA295" s="28"/>
      <c r="AB295" s="33" t="n">
        <v>300</v>
      </c>
      <c r="AC295" s="33" t="n">
        <v>3078600</v>
      </c>
      <c r="AD295" s="33" t="n">
        <v>12000000</v>
      </c>
      <c r="AE295" s="26"/>
      <c r="AF295" s="26" t="str">
        <f aca="false"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>작지 미발행</v>
      </c>
      <c r="AG295" s="24" t="str">
        <f aca="false">IF($K295="","",IF(OR(LEFT($AF295,2)="작지",LEFT($AF295,4)="소재입고"),IF(LEFT($G295,1)="S","★ 납기위험(S코드)","◆ 지연주의"),IF($AF295="정상","✓ 정상","? 확인필요")))</f>
        <v>◆ 지연주의</v>
      </c>
      <c r="AH295" s="27"/>
      <c r="AI295" s="34"/>
    </row>
    <row r="296" customFormat="false" ht="15" hidden="false" customHeight="false" outlineLevel="0" collapsed="false">
      <c r="A296" s="24" t="n">
        <v>292</v>
      </c>
      <c r="B296" s="25" t="s">
        <v>948</v>
      </c>
      <c r="C296" s="25" t="s">
        <v>756</v>
      </c>
      <c r="D296" s="26" t="s">
        <v>1133</v>
      </c>
      <c r="E296" s="25" t="s">
        <v>1134</v>
      </c>
      <c r="F296" s="26" t="s">
        <v>1135</v>
      </c>
      <c r="G296" s="24" t="str">
        <f aca="false">IF($D296="","",IF(MID($D296,5,1)="S","S(봄)",IF(MID($D296,5,1)="M","M(여름)",IF(MID($D296,5,1)="X","X(사계절)",MID($D296,5,1)))))</f>
        <v>M(여름)</v>
      </c>
      <c r="H296" s="25" t="s">
        <v>97</v>
      </c>
      <c r="I296" s="24"/>
      <c r="J296" s="27" t="s">
        <v>648</v>
      </c>
      <c r="K296" s="28" t="n">
        <f aca="false">IF($J296="","",IFERROR(DATE(IF(VALUE(LEFT($J296,FIND("월",$J296)-1))&gt;=9,기준정보!$C$7-1,기준정보!$C$7),VALUE(LEFT($J296,FIND("월",$J296)-1)),1+7*(VALUE(SUBSTITUTE(MID($J296,FIND("월",$J296)+1,5),"주",""))-1)),""))</f>
        <v>46468</v>
      </c>
      <c r="L296" s="28" t="n">
        <f aca="false">IF($K296="","",IF(AND($K296-기준정보!$C$5&gt;=기준정보!$C$10,$K296-기준정보!$C$5&lt;=기준정보!$C$11),기준정보!$C$10-1,$K296-기준정보!$C$5))</f>
        <v>46454</v>
      </c>
      <c r="M296" s="29" t="n">
        <f aca="false"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>4</v>
      </c>
      <c r="N296" s="28" t="n">
        <f aca="false">IF($L296="","",$L296-기준정보!$C$6-$M296)</f>
        <v>46360</v>
      </c>
      <c r="O296" s="30" t="n">
        <f aca="false">IF($N296="","",$N296-기준정보!$C$4)</f>
        <v>107</v>
      </c>
      <c r="P296" s="27"/>
      <c r="Q296" s="27" t="s">
        <v>100</v>
      </c>
      <c r="R296" s="27" t="s">
        <v>100</v>
      </c>
      <c r="S296" s="31"/>
      <c r="T296" s="26" t="str">
        <f aca="false">IF($H296="","",IF(AND(ISNUMBER(SEARCH("CMT",$H296)),OR(ISNUMBER(SEARCH("완사입",$H296)),ISNUMBER(SEARCH("ODM",$H296)))),"본사/생산처 혼재",IF(ISNUMBER(SEARCH("CMT",$H296)),"본사(소재팀)","생산처")))</f>
        <v>생산처</v>
      </c>
      <c r="U296" s="25" t="s">
        <v>1136</v>
      </c>
      <c r="V296" s="26"/>
      <c r="W296" s="25" t="s">
        <v>1137</v>
      </c>
      <c r="X296" s="26"/>
      <c r="Y296" s="32"/>
      <c r="Z296" s="32"/>
      <c r="AA296" s="28"/>
      <c r="AB296" s="33" t="n">
        <v>9900</v>
      </c>
      <c r="AC296" s="33" t="n">
        <v>69300000</v>
      </c>
      <c r="AD296" s="33" t="n">
        <v>396000000</v>
      </c>
      <c r="AE296" s="26"/>
      <c r="AF296" s="26" t="str">
        <f aca="false"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>소재 입고일정 확인 필요</v>
      </c>
      <c r="AG296" s="24" t="str">
        <f aca="false">IF($K296="","",IF(OR(LEFT($AF296,2)="작지",LEFT($AF296,4)="소재입고"),IF(LEFT($G296,1)="S","★ 납기위험(S코드)","◆ 지연주의"),IF($AF296="정상","✓ 정상","? 확인필요")))</f>
        <v>? 확인필요</v>
      </c>
      <c r="AH296" s="27"/>
      <c r="AI296" s="34"/>
    </row>
    <row r="297" customFormat="false" ht="15" hidden="false" customHeight="false" outlineLevel="0" collapsed="false">
      <c r="A297" s="24" t="n">
        <v>293</v>
      </c>
      <c r="B297" s="25" t="s">
        <v>948</v>
      </c>
      <c r="C297" s="25" t="s">
        <v>756</v>
      </c>
      <c r="D297" s="26" t="s">
        <v>1138</v>
      </c>
      <c r="E297" s="25" t="s">
        <v>1139</v>
      </c>
      <c r="F297" s="26" t="s">
        <v>1140</v>
      </c>
      <c r="G297" s="24" t="str">
        <f aca="false">IF($D297="","",IF(MID($D297,5,1)="S","S(봄)",IF(MID($D297,5,1)="M","M(여름)",IF(MID($D297,5,1)="X","X(사계절)",MID($D297,5,1)))))</f>
        <v>M(여름)</v>
      </c>
      <c r="H297" s="25" t="s">
        <v>97</v>
      </c>
      <c r="I297" s="24"/>
      <c r="J297" s="27" t="s">
        <v>648</v>
      </c>
      <c r="K297" s="28" t="n">
        <f aca="false">IF($J297="","",IFERROR(DATE(IF(VALUE(LEFT($J297,FIND("월",$J297)-1))&gt;=9,기준정보!$C$7-1,기준정보!$C$7),VALUE(LEFT($J297,FIND("월",$J297)-1)),1+7*(VALUE(SUBSTITUTE(MID($J297,FIND("월",$J297)+1,5),"주",""))-1)),""))</f>
        <v>46468</v>
      </c>
      <c r="L297" s="28" t="n">
        <f aca="false">IF($K297="","",IF(AND($K297-기준정보!$C$5&gt;=기준정보!$C$10,$K297-기준정보!$C$5&lt;=기준정보!$C$11),기준정보!$C$10-1,$K297-기준정보!$C$5))</f>
        <v>46454</v>
      </c>
      <c r="M297" s="29" t="n">
        <f aca="false"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>15</v>
      </c>
      <c r="N297" s="28" t="n">
        <f aca="false">IF($L297="","",$L297-기준정보!$C$6-$M297)</f>
        <v>46349</v>
      </c>
      <c r="O297" s="30" t="n">
        <f aca="false">IF($N297="","",$N297-기준정보!$C$4)</f>
        <v>96</v>
      </c>
      <c r="P297" s="27"/>
      <c r="Q297" s="27" t="s">
        <v>100</v>
      </c>
      <c r="R297" s="27" t="s">
        <v>100</v>
      </c>
      <c r="S297" s="31"/>
      <c r="T297" s="26" t="str">
        <f aca="false">IF($H297="","",IF(AND(ISNUMBER(SEARCH("CMT",$H297)),OR(ISNUMBER(SEARCH("완사입",$H297)),ISNUMBER(SEARCH("ODM",$H297)))),"본사/생산처 혼재",IF(ISNUMBER(SEARCH("CMT",$H297)),"본사(소재팀)","생산처")))</f>
        <v>생산처</v>
      </c>
      <c r="U297" s="25" t="s">
        <v>1136</v>
      </c>
      <c r="V297" s="26"/>
      <c r="W297" s="25" t="s">
        <v>163</v>
      </c>
      <c r="X297" s="26"/>
      <c r="Y297" s="32"/>
      <c r="Z297" s="32"/>
      <c r="AA297" s="28"/>
      <c r="AB297" s="33" t="n">
        <v>10500</v>
      </c>
      <c r="AC297" s="33" t="n">
        <v>65992500</v>
      </c>
      <c r="AD297" s="33" t="n">
        <v>315000000</v>
      </c>
      <c r="AE297" s="26"/>
      <c r="AF297" s="26" t="str">
        <f aca="false"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>소재 입고일정 확인 필요</v>
      </c>
      <c r="AG297" s="24" t="str">
        <f aca="false">IF($K297="","",IF(OR(LEFT($AF297,2)="작지",LEFT($AF297,4)="소재입고"),IF(LEFT($G297,1)="S","★ 납기위험(S코드)","◆ 지연주의"),IF($AF297="정상","✓ 정상","? 확인필요")))</f>
        <v>? 확인필요</v>
      </c>
      <c r="AH297" s="27"/>
      <c r="AI297" s="34"/>
    </row>
    <row r="298" customFormat="false" ht="15" hidden="false" customHeight="false" outlineLevel="0" collapsed="false">
      <c r="A298" s="24" t="n">
        <v>294</v>
      </c>
      <c r="B298" s="25" t="s">
        <v>948</v>
      </c>
      <c r="C298" s="25" t="s">
        <v>756</v>
      </c>
      <c r="D298" s="26" t="s">
        <v>1141</v>
      </c>
      <c r="E298" s="25" t="s">
        <v>1142</v>
      </c>
      <c r="F298" s="26" t="s">
        <v>1143</v>
      </c>
      <c r="G298" s="24" t="str">
        <f aca="false">IF($D298="","",IF(MID($D298,5,1)="S","S(봄)",IF(MID($D298,5,1)="M","M(여름)",IF(MID($D298,5,1)="X","X(사계절)",MID($D298,5,1)))))</f>
        <v>M(여름)</v>
      </c>
      <c r="H298" s="25" t="s">
        <v>97</v>
      </c>
      <c r="I298" s="24"/>
      <c r="J298" s="27" t="s">
        <v>648</v>
      </c>
      <c r="K298" s="28" t="n">
        <f aca="false">IF($J298="","",IFERROR(DATE(IF(VALUE(LEFT($J298,FIND("월",$J298)-1))&gt;=9,기준정보!$C$7-1,기준정보!$C$7),VALUE(LEFT($J298,FIND("월",$J298)-1)),1+7*(VALUE(SUBSTITUTE(MID($J298,FIND("월",$J298)+1,5),"주",""))-1)),""))</f>
        <v>46468</v>
      </c>
      <c r="L298" s="28" t="n">
        <f aca="false">IF($K298="","",IF(AND($K298-기준정보!$C$5&gt;=기준정보!$C$10,$K298-기준정보!$C$5&lt;=기준정보!$C$11),기준정보!$C$10-1,$K298-기준정보!$C$5))</f>
        <v>46454</v>
      </c>
      <c r="M298" s="29" t="n">
        <f aca="false"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>15</v>
      </c>
      <c r="N298" s="28" t="n">
        <f aca="false">IF($L298="","",$L298-기준정보!$C$6-$M298)</f>
        <v>46349</v>
      </c>
      <c r="O298" s="30" t="n">
        <f aca="false">IF($N298="","",$N298-기준정보!$C$4)</f>
        <v>96</v>
      </c>
      <c r="P298" s="27"/>
      <c r="Q298" s="27" t="s">
        <v>100</v>
      </c>
      <c r="R298" s="27" t="s">
        <v>100</v>
      </c>
      <c r="S298" s="31"/>
      <c r="T298" s="26" t="str">
        <f aca="false">IF($H298="","",IF(AND(ISNUMBER(SEARCH("CMT",$H298)),OR(ISNUMBER(SEARCH("완사입",$H298)),ISNUMBER(SEARCH("ODM",$H298)))),"본사/생산처 혼재",IF(ISNUMBER(SEARCH("CMT",$H298)),"본사(소재팀)","생산처")))</f>
        <v>생산처</v>
      </c>
      <c r="U298" s="25" t="s">
        <v>1136</v>
      </c>
      <c r="V298" s="26"/>
      <c r="W298" s="25" t="s">
        <v>103</v>
      </c>
      <c r="X298" s="26"/>
      <c r="Y298" s="32"/>
      <c r="Z298" s="32"/>
      <c r="AA298" s="28"/>
      <c r="AB298" s="33" t="n">
        <v>5000</v>
      </c>
      <c r="AC298" s="33" t="n">
        <v>33210000</v>
      </c>
      <c r="AD298" s="33" t="n">
        <v>175000000</v>
      </c>
      <c r="AE298" s="26"/>
      <c r="AF298" s="26" t="str">
        <f aca="false"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>소재 입고일정 확인 필요</v>
      </c>
      <c r="AG298" s="24" t="str">
        <f aca="false">IF($K298="","",IF(OR(LEFT($AF298,2)="작지",LEFT($AF298,4)="소재입고"),IF(LEFT($G298,1)="S","★ 납기위험(S코드)","◆ 지연주의"),IF($AF298="정상","✓ 정상","? 확인필요")))</f>
        <v>? 확인필요</v>
      </c>
      <c r="AH298" s="27"/>
      <c r="AI298" s="34"/>
    </row>
    <row r="299" customFormat="false" ht="15" hidden="false" customHeight="false" outlineLevel="0" collapsed="false">
      <c r="A299" s="24" t="n">
        <v>295</v>
      </c>
      <c r="B299" s="25" t="s">
        <v>948</v>
      </c>
      <c r="C299" s="25" t="s">
        <v>949</v>
      </c>
      <c r="D299" s="26" t="s">
        <v>1144</v>
      </c>
      <c r="E299" s="25" t="s">
        <v>1145</v>
      </c>
      <c r="F299" s="26" t="s">
        <v>1146</v>
      </c>
      <c r="G299" s="24" t="str">
        <f aca="false">IF($D299="","",IF(MID($D299,5,1)="S","S(봄)",IF(MID($D299,5,1)="M","M(여름)",IF(MID($D299,5,1)="X","X(사계절)",MID($D299,5,1)))))</f>
        <v>M(여름)</v>
      </c>
      <c r="H299" s="25" t="s">
        <v>97</v>
      </c>
      <c r="I299" s="24"/>
      <c r="J299" s="27" t="s">
        <v>648</v>
      </c>
      <c r="K299" s="28" t="n">
        <f aca="false">IF($J299="","",IFERROR(DATE(IF(VALUE(LEFT($J299,FIND("월",$J299)-1))&gt;=9,기준정보!$C$7-1,기준정보!$C$7),VALUE(LEFT($J299,FIND("월",$J299)-1)),1+7*(VALUE(SUBSTITUTE(MID($J299,FIND("월",$J299)+1,5),"주",""))-1)),""))</f>
        <v>46468</v>
      </c>
      <c r="L299" s="28" t="n">
        <f aca="false">IF($K299="","",IF(AND($K299-기준정보!$C$5&gt;=기준정보!$C$10,$K299-기준정보!$C$5&lt;=기준정보!$C$11),기준정보!$C$10-1,$K299-기준정보!$C$5))</f>
        <v>46454</v>
      </c>
      <c r="M299" s="29" t="n">
        <f aca="false"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>15</v>
      </c>
      <c r="N299" s="28" t="n">
        <f aca="false">IF($L299="","",$L299-기준정보!$C$6-$M299)</f>
        <v>46349</v>
      </c>
      <c r="O299" s="30" t="n">
        <f aca="false">IF($N299="","",$N299-기준정보!$C$4)</f>
        <v>96</v>
      </c>
      <c r="P299" s="27"/>
      <c r="Q299" s="27" t="s">
        <v>100</v>
      </c>
      <c r="R299" s="27" t="s">
        <v>101</v>
      </c>
      <c r="S299" s="31"/>
      <c r="T299" s="26" t="str">
        <f aca="false">IF($H299="","",IF(AND(ISNUMBER(SEARCH("CMT",$H299)),OR(ISNUMBER(SEARCH("완사입",$H299)),ISNUMBER(SEARCH("ODM",$H299)))),"본사/생산처 혼재",IF(ISNUMBER(SEARCH("CMT",$H299)),"본사(소재팀)","생산처")))</f>
        <v>생산처</v>
      </c>
      <c r="U299" s="26" t="s">
        <v>1129</v>
      </c>
      <c r="V299" s="26"/>
      <c r="W299" s="25" t="s">
        <v>103</v>
      </c>
      <c r="X299" s="26"/>
      <c r="Y299" s="32"/>
      <c r="Z299" s="32"/>
      <c r="AA299" s="28"/>
      <c r="AB299" s="33" t="n">
        <v>3500</v>
      </c>
      <c r="AC299" s="33" t="n">
        <v>55335000</v>
      </c>
      <c r="AD299" s="33" t="n">
        <v>273000000</v>
      </c>
      <c r="AE299" s="26"/>
      <c r="AF299" s="26" t="str">
        <f aca="false"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>소재 입고일정 확인 필요</v>
      </c>
      <c r="AG299" s="24" t="str">
        <f aca="false">IF($K299="","",IF(OR(LEFT($AF299,2)="작지",LEFT($AF299,4)="소재입고"),IF(LEFT($G299,1)="S","★ 납기위험(S코드)","◆ 지연주의"),IF($AF299="정상","✓ 정상","? 확인필요")))</f>
        <v>? 확인필요</v>
      </c>
      <c r="AH299" s="27"/>
      <c r="AI299" s="34"/>
    </row>
    <row r="300" customFormat="false" ht="15" hidden="false" customHeight="false" outlineLevel="0" collapsed="false">
      <c r="A300" s="24" t="n">
        <v>296</v>
      </c>
      <c r="B300" s="25" t="s">
        <v>948</v>
      </c>
      <c r="C300" s="25" t="s">
        <v>949</v>
      </c>
      <c r="D300" s="26" t="s">
        <v>1147</v>
      </c>
      <c r="E300" s="25" t="s">
        <v>1148</v>
      </c>
      <c r="F300" s="26" t="s">
        <v>1132</v>
      </c>
      <c r="G300" s="24" t="str">
        <f aca="false">IF($D300="","",IF(MID($D300,5,1)="S","S(봄)",IF(MID($D300,5,1)="M","M(여름)",IF(MID($D300,5,1)="X","X(사계절)",MID($D300,5,1)))))</f>
        <v>M(여름)</v>
      </c>
      <c r="H300" s="25" t="s">
        <v>97</v>
      </c>
      <c r="I300" s="24" t="s">
        <v>502</v>
      </c>
      <c r="J300" s="27" t="s">
        <v>648</v>
      </c>
      <c r="K300" s="28" t="n">
        <f aca="false">IF($J300="","",IFERROR(DATE(IF(VALUE(LEFT($J300,FIND("월",$J300)-1))&gt;=9,기준정보!$C$7-1,기준정보!$C$7),VALUE(LEFT($J300,FIND("월",$J300)-1)),1+7*(VALUE(SUBSTITUTE(MID($J300,FIND("월",$J300)+1,5),"주",""))-1)),""))</f>
        <v>46468</v>
      </c>
      <c r="L300" s="28" t="n">
        <f aca="false">IF($K300="","",IF(AND($K300-기준정보!$C$5&gt;=기준정보!$C$10,$K300-기준정보!$C$5&lt;=기준정보!$C$11),기준정보!$C$10-1,$K300-기준정보!$C$5))</f>
        <v>46454</v>
      </c>
      <c r="M300" s="29" t="n">
        <f aca="false"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>15</v>
      </c>
      <c r="N300" s="28" t="n">
        <f aca="false">IF($L300="","",$L300-기준정보!$C$6-$M300)</f>
        <v>46349</v>
      </c>
      <c r="O300" s="30" t="n">
        <f aca="false">IF($N300="","",$N300-기준정보!$C$4)</f>
        <v>96</v>
      </c>
      <c r="P300" s="27"/>
      <c r="Q300" s="27" t="s">
        <v>100</v>
      </c>
      <c r="R300" s="27" t="s">
        <v>100</v>
      </c>
      <c r="S300" s="31"/>
      <c r="T300" s="26" t="str">
        <f aca="false">IF($H300="","",IF(AND(ISNUMBER(SEARCH("CMT",$H300)),OR(ISNUMBER(SEARCH("완사입",$H300)),ISNUMBER(SEARCH("ODM",$H300)))),"본사/생산처 혼재",IF(ISNUMBER(SEARCH("CMT",$H300)),"본사(소재팀)","생산처")))</f>
        <v>생산처</v>
      </c>
      <c r="U300" s="26" t="s">
        <v>1129</v>
      </c>
      <c r="V300" s="26"/>
      <c r="W300" s="25" t="s">
        <v>103</v>
      </c>
      <c r="X300" s="26"/>
      <c r="Y300" s="32"/>
      <c r="Z300" s="32"/>
      <c r="AA300" s="28"/>
      <c r="AB300" s="33" t="n">
        <v>500</v>
      </c>
      <c r="AC300" s="33" t="n">
        <v>5533500</v>
      </c>
      <c r="AD300" s="33" t="n">
        <v>30000000</v>
      </c>
      <c r="AE300" s="26"/>
      <c r="AF300" s="26" t="str">
        <f aca="false"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>소재 입고일정 확인 필요</v>
      </c>
      <c r="AG300" s="24" t="str">
        <f aca="false">IF($K300="","",IF(OR(LEFT($AF300,2)="작지",LEFT($AF300,4)="소재입고"),IF(LEFT($G300,1)="S","★ 납기위험(S코드)","◆ 지연주의"),IF($AF300="정상","✓ 정상","? 확인필요")))</f>
        <v>? 확인필요</v>
      </c>
      <c r="AH300" s="27"/>
      <c r="AI300" s="34"/>
    </row>
    <row r="301" customFormat="false" ht="15" hidden="false" customHeight="false" outlineLevel="0" collapsed="false">
      <c r="A301" s="24" t="n">
        <v>297</v>
      </c>
      <c r="B301" s="25" t="s">
        <v>948</v>
      </c>
      <c r="C301" s="25" t="s">
        <v>949</v>
      </c>
      <c r="D301" s="26" t="s">
        <v>1149</v>
      </c>
      <c r="E301" s="25" t="s">
        <v>1150</v>
      </c>
      <c r="F301" s="26" t="s">
        <v>1151</v>
      </c>
      <c r="G301" s="24" t="str">
        <f aca="false">IF($D301="","",IF(MID($D301,5,1)="S","S(봄)",IF(MID($D301,5,1)="M","M(여름)",IF(MID($D301,5,1)="X","X(사계절)",MID($D301,5,1)))))</f>
        <v>M(여름)</v>
      </c>
      <c r="H301" s="25" t="s">
        <v>97</v>
      </c>
      <c r="I301" s="24" t="s">
        <v>502</v>
      </c>
      <c r="J301" s="27" t="s">
        <v>648</v>
      </c>
      <c r="K301" s="28" t="n">
        <f aca="false">IF($J301="","",IFERROR(DATE(IF(VALUE(LEFT($J301,FIND("월",$J301)-1))&gt;=9,기준정보!$C$7-1,기준정보!$C$7),VALUE(LEFT($J301,FIND("월",$J301)-1)),1+7*(VALUE(SUBSTITUTE(MID($J301,FIND("월",$J301)+1,5),"주",""))-1)),""))</f>
        <v>46468</v>
      </c>
      <c r="L301" s="28" t="n">
        <f aca="false">IF($K301="","",IF(AND($K301-기준정보!$C$5&gt;=기준정보!$C$10,$K301-기준정보!$C$5&lt;=기준정보!$C$11),기준정보!$C$10-1,$K301-기준정보!$C$5))</f>
        <v>46454</v>
      </c>
      <c r="M301" s="29" t="n">
        <f aca="false"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>15</v>
      </c>
      <c r="N301" s="28" t="n">
        <f aca="false">IF($L301="","",$L301-기준정보!$C$6-$M301)</f>
        <v>46349</v>
      </c>
      <c r="O301" s="30" t="n">
        <f aca="false">IF($N301="","",$N301-기준정보!$C$4)</f>
        <v>96</v>
      </c>
      <c r="P301" s="27"/>
      <c r="Q301" s="27" t="s">
        <v>100</v>
      </c>
      <c r="R301" s="27" t="s">
        <v>101</v>
      </c>
      <c r="S301" s="31"/>
      <c r="T301" s="26" t="str">
        <f aca="false">IF($H301="","",IF(AND(ISNUMBER(SEARCH("CMT",$H301)),OR(ISNUMBER(SEARCH("완사입",$H301)),ISNUMBER(SEARCH("ODM",$H301)))),"본사/생산처 혼재",IF(ISNUMBER(SEARCH("CMT",$H301)),"본사(소재팀)","생산처")))</f>
        <v>생산처</v>
      </c>
      <c r="U301" s="26" t="s">
        <v>1129</v>
      </c>
      <c r="V301" s="26"/>
      <c r="W301" s="25" t="s">
        <v>103</v>
      </c>
      <c r="X301" s="26"/>
      <c r="Y301" s="32"/>
      <c r="Z301" s="32"/>
      <c r="AA301" s="28"/>
      <c r="AB301" s="33" t="n">
        <v>900</v>
      </c>
      <c r="AC301" s="33" t="n">
        <v>9960300</v>
      </c>
      <c r="AD301" s="33" t="n">
        <v>54000000</v>
      </c>
      <c r="AE301" s="26"/>
      <c r="AF301" s="26" t="str">
        <f aca="false"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>소재 입고일정 확인 필요</v>
      </c>
      <c r="AG301" s="24" t="str">
        <f aca="false">IF($K301="","",IF(OR(LEFT($AF301,2)="작지",LEFT($AF301,4)="소재입고"),IF(LEFT($G301,1)="S","★ 납기위험(S코드)","◆ 지연주의"),IF($AF301="정상","✓ 정상","? 확인필요")))</f>
        <v>? 확인필요</v>
      </c>
      <c r="AH301" s="27"/>
      <c r="AI301" s="34"/>
    </row>
    <row r="302" customFormat="false" ht="15" hidden="false" customHeight="false" outlineLevel="0" collapsed="false">
      <c r="A302" s="24" t="n">
        <v>298</v>
      </c>
      <c r="B302" s="25" t="s">
        <v>948</v>
      </c>
      <c r="C302" s="25" t="s">
        <v>949</v>
      </c>
      <c r="D302" s="26" t="s">
        <v>1152</v>
      </c>
      <c r="E302" s="25" t="s">
        <v>1153</v>
      </c>
      <c r="F302" s="26" t="s">
        <v>1154</v>
      </c>
      <c r="G302" s="24" t="str">
        <f aca="false">IF($D302="","",IF(MID($D302,5,1)="S","S(봄)",IF(MID($D302,5,1)="M","M(여름)",IF(MID($D302,5,1)="X","X(사계절)",MID($D302,5,1)))))</f>
        <v>M(여름)</v>
      </c>
      <c r="H302" s="25" t="s">
        <v>97</v>
      </c>
      <c r="I302" s="24"/>
      <c r="J302" s="27" t="s">
        <v>648</v>
      </c>
      <c r="K302" s="28" t="n">
        <f aca="false">IF($J302="","",IFERROR(DATE(IF(VALUE(LEFT($J302,FIND("월",$J302)-1))&gt;=9,기준정보!$C$7-1,기준정보!$C$7),VALUE(LEFT($J302,FIND("월",$J302)-1)),1+7*(VALUE(SUBSTITUTE(MID($J302,FIND("월",$J302)+1,5),"주",""))-1)),""))</f>
        <v>46468</v>
      </c>
      <c r="L302" s="28" t="n">
        <f aca="false">IF($K302="","",IF(AND($K302-기준정보!$C$5&gt;=기준정보!$C$10,$K302-기준정보!$C$5&lt;=기준정보!$C$11),기준정보!$C$10-1,$K302-기준정보!$C$5))</f>
        <v>46454</v>
      </c>
      <c r="M302" s="29" t="n">
        <f aca="false"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>15</v>
      </c>
      <c r="N302" s="28" t="n">
        <f aca="false">IF($L302="","",$L302-기준정보!$C$6-$M302)</f>
        <v>46349</v>
      </c>
      <c r="O302" s="30" t="n">
        <f aca="false">IF($N302="","",$N302-기준정보!$C$4)</f>
        <v>96</v>
      </c>
      <c r="P302" s="27"/>
      <c r="Q302" s="27" t="s">
        <v>100</v>
      </c>
      <c r="R302" s="27" t="s">
        <v>101</v>
      </c>
      <c r="S302" s="31"/>
      <c r="T302" s="26" t="str">
        <f aca="false">IF($H302="","",IF(AND(ISNUMBER(SEARCH("CMT",$H302)),OR(ISNUMBER(SEARCH("완사입",$H302)),ISNUMBER(SEARCH("ODM",$H302)))),"본사/생산처 혼재",IF(ISNUMBER(SEARCH("CMT",$H302)),"본사(소재팀)","생산처")))</f>
        <v>생산처</v>
      </c>
      <c r="U302" s="26" t="s">
        <v>1129</v>
      </c>
      <c r="V302" s="26"/>
      <c r="W302" s="25" t="s">
        <v>103</v>
      </c>
      <c r="X302" s="26"/>
      <c r="Y302" s="32"/>
      <c r="Z302" s="32"/>
      <c r="AA302" s="28"/>
      <c r="AB302" s="33" t="n">
        <v>1500</v>
      </c>
      <c r="AC302" s="33" t="n">
        <v>28906500</v>
      </c>
      <c r="AD302" s="33" t="n">
        <v>132000000</v>
      </c>
      <c r="AE302" s="26"/>
      <c r="AF302" s="26" t="str">
        <f aca="false"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>소재 입고일정 확인 필요</v>
      </c>
      <c r="AG302" s="24" t="str">
        <f aca="false">IF($K302="","",IF(OR(LEFT($AF302,2)="작지",LEFT($AF302,4)="소재입고"),IF(LEFT($G302,1)="S","★ 납기위험(S코드)","◆ 지연주의"),IF($AF302="정상","✓ 정상","? 확인필요")))</f>
        <v>? 확인필요</v>
      </c>
      <c r="AH302" s="27"/>
      <c r="AI302" s="34"/>
    </row>
    <row r="303" customFormat="false" ht="15" hidden="false" customHeight="false" outlineLevel="0" collapsed="false">
      <c r="A303" s="24" t="n">
        <v>299</v>
      </c>
      <c r="B303" s="25" t="s">
        <v>948</v>
      </c>
      <c r="C303" s="25" t="s">
        <v>949</v>
      </c>
      <c r="D303" s="26" t="s">
        <v>1155</v>
      </c>
      <c r="E303" s="25" t="s">
        <v>1156</v>
      </c>
      <c r="F303" s="26" t="s">
        <v>664</v>
      </c>
      <c r="G303" s="24" t="str">
        <f aca="false">IF($D303="","",IF(MID($D303,5,1)="S","S(봄)",IF(MID($D303,5,1)="M","M(여름)",IF(MID($D303,5,1)="X","X(사계절)",MID($D303,5,1)))))</f>
        <v>M(여름)</v>
      </c>
      <c r="H303" s="25" t="s">
        <v>97</v>
      </c>
      <c r="I303" s="24"/>
      <c r="J303" s="27" t="s">
        <v>648</v>
      </c>
      <c r="K303" s="28" t="n">
        <f aca="false">IF($J303="","",IFERROR(DATE(IF(VALUE(LEFT($J303,FIND("월",$J303)-1))&gt;=9,기준정보!$C$7-1,기준정보!$C$7),VALUE(LEFT($J303,FIND("월",$J303)-1)),1+7*(VALUE(SUBSTITUTE(MID($J303,FIND("월",$J303)+1,5),"주",""))-1)),""))</f>
        <v>46468</v>
      </c>
      <c r="L303" s="28" t="n">
        <f aca="false">IF($K303="","",IF(AND($K303-기준정보!$C$5&gt;=기준정보!$C$10,$K303-기준정보!$C$5&lt;=기준정보!$C$11),기준정보!$C$10-1,$K303-기준정보!$C$5))</f>
        <v>46454</v>
      </c>
      <c r="M303" s="29" t="n">
        <f aca="false"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>0</v>
      </c>
      <c r="N303" s="28" t="n">
        <f aca="false">IF($L303="","",$L303-기준정보!$C$6-$M303)</f>
        <v>46364</v>
      </c>
      <c r="O303" s="30" t="n">
        <f aca="false">IF($N303="","",$N303-기준정보!$C$4)</f>
        <v>111</v>
      </c>
      <c r="P303" s="27"/>
      <c r="Q303" s="27" t="s">
        <v>100</v>
      </c>
      <c r="R303" s="27" t="s">
        <v>101</v>
      </c>
      <c r="S303" s="31"/>
      <c r="T303" s="26" t="str">
        <f aca="false">IF($H303="","",IF(AND(ISNUMBER(SEARCH("CMT",$H303)),OR(ISNUMBER(SEARCH("완사입",$H303)),ISNUMBER(SEARCH("ODM",$H303)))),"본사/생산처 혼재",IF(ISNUMBER(SEARCH("CMT",$H303)),"본사(소재팀)","생산처")))</f>
        <v>생산처</v>
      </c>
      <c r="U303" s="25" t="s">
        <v>952</v>
      </c>
      <c r="V303" s="26"/>
      <c r="W303" s="25" t="s">
        <v>202</v>
      </c>
      <c r="X303" s="26"/>
      <c r="Y303" s="32"/>
      <c r="Z303" s="32"/>
      <c r="AA303" s="28"/>
      <c r="AB303" s="33" t="n">
        <v>6000</v>
      </c>
      <c r="AC303" s="33" t="n">
        <v>78000000</v>
      </c>
      <c r="AD303" s="33" t="n">
        <v>420000000</v>
      </c>
      <c r="AE303" s="26"/>
      <c r="AF303" s="26" t="str">
        <f aca="false"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>소재 입고일정 확인 필요</v>
      </c>
      <c r="AG303" s="24" t="str">
        <f aca="false">IF($K303="","",IF(OR(LEFT($AF303,2)="작지",LEFT($AF303,4)="소재입고"),IF(LEFT($G303,1)="S","★ 납기위험(S코드)","◆ 지연주의"),IF($AF303="정상","✓ 정상","? 확인필요")))</f>
        <v>? 확인필요</v>
      </c>
      <c r="AH303" s="27"/>
      <c r="AI303" s="34"/>
    </row>
    <row r="304" customFormat="false" ht="15" hidden="false" customHeight="false" outlineLevel="0" collapsed="false">
      <c r="A304" s="24" t="n">
        <v>300</v>
      </c>
      <c r="B304" s="25" t="s">
        <v>948</v>
      </c>
      <c r="C304" s="25" t="s">
        <v>949</v>
      </c>
      <c r="D304" s="26" t="s">
        <v>1157</v>
      </c>
      <c r="E304" s="25" t="s">
        <v>1158</v>
      </c>
      <c r="F304" s="26" t="s">
        <v>1159</v>
      </c>
      <c r="G304" s="24" t="str">
        <f aca="false">IF($D304="","",IF(MID($D304,5,1)="S","S(봄)",IF(MID($D304,5,1)="M","M(여름)",IF(MID($D304,5,1)="X","X(사계절)",MID($D304,5,1)))))</f>
        <v>M(여름)</v>
      </c>
      <c r="H304" s="25" t="s">
        <v>97</v>
      </c>
      <c r="I304" s="24"/>
      <c r="J304" s="27" t="s">
        <v>648</v>
      </c>
      <c r="K304" s="28" t="n">
        <f aca="false">IF($J304="","",IFERROR(DATE(IF(VALUE(LEFT($J304,FIND("월",$J304)-1))&gt;=9,기준정보!$C$7-1,기준정보!$C$7),VALUE(LEFT($J304,FIND("월",$J304)-1)),1+7*(VALUE(SUBSTITUTE(MID($J304,FIND("월",$J304)+1,5),"주",""))-1)),""))</f>
        <v>46468</v>
      </c>
      <c r="L304" s="28" t="n">
        <f aca="false">IF($K304="","",IF(AND($K304-기준정보!$C$5&gt;=기준정보!$C$10,$K304-기준정보!$C$5&lt;=기준정보!$C$11),기준정보!$C$10-1,$K304-기준정보!$C$5))</f>
        <v>46454</v>
      </c>
      <c r="M304" s="29" t="n">
        <f aca="false"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>15</v>
      </c>
      <c r="N304" s="28" t="n">
        <f aca="false">IF($L304="","",$L304-기준정보!$C$6-$M304)</f>
        <v>46349</v>
      </c>
      <c r="O304" s="30" t="n">
        <f aca="false">IF($N304="","",$N304-기준정보!$C$4)</f>
        <v>96</v>
      </c>
      <c r="P304" s="27"/>
      <c r="Q304" s="27" t="s">
        <v>101</v>
      </c>
      <c r="R304" s="27" t="s">
        <v>101</v>
      </c>
      <c r="S304" s="31"/>
      <c r="T304" s="26" t="str">
        <f aca="false">IF($H304="","",IF(AND(ISNUMBER(SEARCH("CMT",$H304)),OR(ISNUMBER(SEARCH("완사입",$H304)),ISNUMBER(SEARCH("ODM",$H304)))),"본사/생산처 혼재",IF(ISNUMBER(SEARCH("CMT",$H304)),"본사(소재팀)","생산처")))</f>
        <v>생산처</v>
      </c>
      <c r="U304" s="26" t="s">
        <v>1129</v>
      </c>
      <c r="V304" s="26"/>
      <c r="W304" s="25" t="s">
        <v>103</v>
      </c>
      <c r="X304" s="26"/>
      <c r="Y304" s="32"/>
      <c r="Z304" s="32"/>
      <c r="AA304" s="28"/>
      <c r="AB304" s="33" t="n">
        <v>7500</v>
      </c>
      <c r="AC304" s="33" t="n">
        <v>66750000</v>
      </c>
      <c r="AD304" s="33" t="n">
        <v>375000000</v>
      </c>
      <c r="AE304" s="26"/>
      <c r="AF304" s="26" t="str">
        <f aca="false"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>작지 미발행</v>
      </c>
      <c r="AG304" s="24" t="str">
        <f aca="false">IF($K304="","",IF(OR(LEFT($AF304,2)="작지",LEFT($AF304,4)="소재입고"),IF(LEFT($G304,1)="S","★ 납기위험(S코드)","◆ 지연주의"),IF($AF304="정상","✓ 정상","? 확인필요")))</f>
        <v>◆ 지연주의</v>
      </c>
      <c r="AH304" s="27"/>
      <c r="AI304" s="34"/>
    </row>
    <row r="305" customFormat="false" ht="15" hidden="false" customHeight="false" outlineLevel="0" collapsed="false">
      <c r="A305" s="24" t="n">
        <v>301</v>
      </c>
      <c r="B305" s="25" t="s">
        <v>327</v>
      </c>
      <c r="C305" s="25" t="s">
        <v>328</v>
      </c>
      <c r="D305" s="26" t="s">
        <v>1160</v>
      </c>
      <c r="E305" s="25" t="s">
        <v>1161</v>
      </c>
      <c r="F305" s="26" t="s">
        <v>1162</v>
      </c>
      <c r="G305" s="24" t="str">
        <f aca="false">IF($D305="","",IF(MID($D305,5,1)="S","S(봄)",IF(MID($D305,5,1)="M","M(여름)",IF(MID($D305,5,1)="X","X(사계절)",MID($D305,5,1)))))</f>
        <v>M(여름)</v>
      </c>
      <c r="H305" s="26" t="s">
        <v>255</v>
      </c>
      <c r="I305" s="24" t="s">
        <v>539</v>
      </c>
      <c r="J305" s="27" t="s">
        <v>648</v>
      </c>
      <c r="K305" s="28" t="n">
        <f aca="false">IF($J305="","",IFERROR(DATE(IF(VALUE(LEFT($J305,FIND("월",$J305)-1))&gt;=9,기준정보!$C$7-1,기준정보!$C$7),VALUE(LEFT($J305,FIND("월",$J305)-1)),1+7*(VALUE(SUBSTITUTE(MID($J305,FIND("월",$J305)+1,5),"주",""))-1)),""))</f>
        <v>46468</v>
      </c>
      <c r="L305" s="28" t="n">
        <f aca="false">IF($K305="","",IF(AND($K305-기준정보!$C$5&gt;=기준정보!$C$10,$K305-기준정보!$C$5&lt;=기준정보!$C$11),기준정보!$C$10-1,$K305-기준정보!$C$5))</f>
        <v>46454</v>
      </c>
      <c r="M305" s="29" t="n">
        <f aca="false"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>15</v>
      </c>
      <c r="N305" s="28" t="n">
        <f aca="false">IF($L305="","",$L305-기준정보!$C$6-$M305)</f>
        <v>46349</v>
      </c>
      <c r="O305" s="30" t="n">
        <f aca="false">IF($N305="","",$N305-기준정보!$C$4)</f>
        <v>96</v>
      </c>
      <c r="P305" s="27"/>
      <c r="Q305" s="27" t="s">
        <v>100</v>
      </c>
      <c r="R305" s="27" t="s">
        <v>100</v>
      </c>
      <c r="S305" s="31"/>
      <c r="T305" s="26" t="str">
        <f aca="false">IF($H305="","",IF(AND(ISNUMBER(SEARCH("CMT",$H305)),OR(ISNUMBER(SEARCH("완사입",$H305)),ISNUMBER(SEARCH("ODM",$H305)))),"본사/생산처 혼재",IF(ISNUMBER(SEARCH("CMT",$H305)),"본사(소재팀)","생산처")))</f>
        <v>본사(소재팀)</v>
      </c>
      <c r="U305" s="26" t="s">
        <v>280</v>
      </c>
      <c r="V305" s="26" t="s">
        <v>280</v>
      </c>
      <c r="W305" s="25" t="s">
        <v>103</v>
      </c>
      <c r="X305" s="26" t="s">
        <v>247</v>
      </c>
      <c r="Y305" s="32" t="s">
        <v>1163</v>
      </c>
      <c r="Z305" s="32"/>
      <c r="AA305" s="28" t="n">
        <v>46199</v>
      </c>
      <c r="AB305" s="33" t="n">
        <v>2500</v>
      </c>
      <c r="AC305" s="33" t="n">
        <v>81705000</v>
      </c>
      <c r="AD305" s="33" t="n">
        <v>420000000</v>
      </c>
      <c r="AE305" s="26"/>
      <c r="AF305" s="26" t="str">
        <f aca="false"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>소재 입고일정 확인 필요</v>
      </c>
      <c r="AG305" s="24" t="str">
        <f aca="false">IF($K305="","",IF(OR(LEFT($AF305,2)="작지",LEFT($AF305,4)="소재입고"),IF(LEFT($G305,1)="S","★ 납기위험(S코드)","◆ 지연주의"),IF($AF305="정상","✓ 정상","? 확인필요")))</f>
        <v>? 확인필요</v>
      </c>
      <c r="AH305" s="27"/>
      <c r="AI305" s="34"/>
    </row>
    <row r="306" customFormat="false" ht="15" hidden="false" customHeight="false" outlineLevel="0" collapsed="false">
      <c r="A306" s="24" t="n">
        <v>302</v>
      </c>
      <c r="B306" s="25" t="s">
        <v>327</v>
      </c>
      <c r="C306" s="25" t="s">
        <v>328</v>
      </c>
      <c r="D306" s="26" t="s">
        <v>1164</v>
      </c>
      <c r="E306" s="25" t="s">
        <v>1165</v>
      </c>
      <c r="F306" s="26" t="s">
        <v>150</v>
      </c>
      <c r="G306" s="24" t="str">
        <f aca="false">IF($D306="","",IF(MID($D306,5,1)="S","S(봄)",IF(MID($D306,5,1)="M","M(여름)",IF(MID($D306,5,1)="X","X(사계절)",MID($D306,5,1)))))</f>
        <v>M(여름)</v>
      </c>
      <c r="H306" s="26" t="s">
        <v>255</v>
      </c>
      <c r="I306" s="24" t="s">
        <v>644</v>
      </c>
      <c r="J306" s="27" t="s">
        <v>648</v>
      </c>
      <c r="K306" s="28" t="n">
        <f aca="false">IF($J306="","",IFERROR(DATE(IF(VALUE(LEFT($J306,FIND("월",$J306)-1))&gt;=9,기준정보!$C$7-1,기준정보!$C$7),VALUE(LEFT($J306,FIND("월",$J306)-1)),1+7*(VALUE(SUBSTITUTE(MID($J306,FIND("월",$J306)+1,5),"주",""))-1)),""))</f>
        <v>46468</v>
      </c>
      <c r="L306" s="28" t="n">
        <f aca="false">IF($K306="","",IF(AND($K306-기준정보!$C$5&gt;=기준정보!$C$10,$K306-기준정보!$C$5&lt;=기준정보!$C$11),기준정보!$C$10-1,$K306-기준정보!$C$5))</f>
        <v>46454</v>
      </c>
      <c r="M306" s="29" t="n">
        <f aca="false"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>15</v>
      </c>
      <c r="N306" s="28" t="n">
        <f aca="false">IF($L306="","",$L306-기준정보!$C$6-$M306)</f>
        <v>46349</v>
      </c>
      <c r="O306" s="30" t="n">
        <f aca="false">IF($N306="","",$N306-기준정보!$C$4)</f>
        <v>96</v>
      </c>
      <c r="P306" s="27"/>
      <c r="Q306" s="27" t="s">
        <v>100</v>
      </c>
      <c r="R306" s="27" t="s">
        <v>100</v>
      </c>
      <c r="S306" s="31"/>
      <c r="T306" s="26" t="str">
        <f aca="false">IF($H306="","",IF(AND(ISNUMBER(SEARCH("CMT",$H306)),OR(ISNUMBER(SEARCH("완사입",$H306)),ISNUMBER(SEARCH("ODM",$H306)))),"본사/생산처 혼재",IF(ISNUMBER(SEARCH("CMT",$H306)),"본사(소재팀)","생산처")))</f>
        <v>본사(소재팀)</v>
      </c>
      <c r="U306" s="25" t="s">
        <v>126</v>
      </c>
      <c r="V306" s="25" t="s">
        <v>126</v>
      </c>
      <c r="W306" s="25" t="s">
        <v>103</v>
      </c>
      <c r="X306" s="25" t="s">
        <v>344</v>
      </c>
      <c r="Y306" s="35" t="s">
        <v>766</v>
      </c>
      <c r="Z306" s="32"/>
      <c r="AA306" s="28" t="n">
        <v>46217</v>
      </c>
      <c r="AB306" s="33" t="n">
        <v>1600</v>
      </c>
      <c r="AC306" s="33" t="n">
        <v>60500000</v>
      </c>
      <c r="AD306" s="33" t="n">
        <v>335000000</v>
      </c>
      <c r="AE306" s="26"/>
      <c r="AF306" s="26" t="str">
        <f aca="false"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>소재 입고일정 확인 필요</v>
      </c>
      <c r="AG306" s="24" t="str">
        <f aca="false">IF($K306="","",IF(OR(LEFT($AF306,2)="작지",LEFT($AF306,4)="소재입고"),IF(LEFT($G306,1)="S","★ 납기위험(S코드)","◆ 지연주의"),IF($AF306="정상","✓ 정상","? 확인필요")))</f>
        <v>? 확인필요</v>
      </c>
      <c r="AH306" s="27"/>
      <c r="AI306" s="34"/>
    </row>
    <row r="307" customFormat="false" ht="15" hidden="false" customHeight="false" outlineLevel="0" collapsed="false">
      <c r="A307" s="24" t="n">
        <v>303</v>
      </c>
      <c r="B307" s="25" t="s">
        <v>327</v>
      </c>
      <c r="C307" s="25" t="s">
        <v>156</v>
      </c>
      <c r="D307" s="26" t="s">
        <v>1166</v>
      </c>
      <c r="E307" s="25" t="s">
        <v>1167</v>
      </c>
      <c r="F307" s="26" t="s">
        <v>1168</v>
      </c>
      <c r="G307" s="24" t="str">
        <f aca="false">IF($D307="","",IF(MID($D307,5,1)="S","S(봄)",IF(MID($D307,5,1)="M","M(여름)",IF(MID($D307,5,1)="X","X(사계절)",MID($D307,5,1)))))</f>
        <v>M(여름)</v>
      </c>
      <c r="H307" s="25" t="s">
        <v>97</v>
      </c>
      <c r="I307" s="24" t="s">
        <v>539</v>
      </c>
      <c r="J307" s="27" t="s">
        <v>648</v>
      </c>
      <c r="K307" s="28" t="n">
        <f aca="false">IF($J307="","",IFERROR(DATE(IF(VALUE(LEFT($J307,FIND("월",$J307)-1))&gt;=9,기준정보!$C$7-1,기준정보!$C$7),VALUE(LEFT($J307,FIND("월",$J307)-1)),1+7*(VALUE(SUBSTITUTE(MID($J307,FIND("월",$J307)+1,5),"주",""))-1)),""))</f>
        <v>46468</v>
      </c>
      <c r="L307" s="28" t="n">
        <f aca="false">IF($K307="","",IF(AND($K307-기준정보!$C$5&gt;=기준정보!$C$10,$K307-기준정보!$C$5&lt;=기준정보!$C$11),기준정보!$C$10-1,$K307-기준정보!$C$5))</f>
        <v>46454</v>
      </c>
      <c r="M307" s="29" t="n">
        <f aca="false"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>15</v>
      </c>
      <c r="N307" s="28" t="n">
        <f aca="false">IF($L307="","",$L307-기준정보!$C$6-$M307)</f>
        <v>46349</v>
      </c>
      <c r="O307" s="30" t="n">
        <f aca="false">IF($N307="","",$N307-기준정보!$C$4)</f>
        <v>96</v>
      </c>
      <c r="P307" s="27"/>
      <c r="Q307" s="27"/>
      <c r="R307" s="27"/>
      <c r="S307" s="31"/>
      <c r="T307" s="26" t="str">
        <f aca="false">IF($H307="","",IF(AND(ISNUMBER(SEARCH("CMT",$H307)),OR(ISNUMBER(SEARCH("완사입",$H307)),ISNUMBER(SEARCH("ODM",$H307)))),"본사/생산처 혼재",IF(ISNUMBER(SEARCH("CMT",$H307)),"본사(소재팀)","생산처")))</f>
        <v>생산처</v>
      </c>
      <c r="U307" s="26" t="s">
        <v>235</v>
      </c>
      <c r="V307" s="26" t="s">
        <v>235</v>
      </c>
      <c r="W307" s="25" t="s">
        <v>103</v>
      </c>
      <c r="X307" s="25" t="s">
        <v>979</v>
      </c>
      <c r="Y307" s="35" t="s">
        <v>1169</v>
      </c>
      <c r="Z307" s="32"/>
      <c r="AA307" s="28"/>
      <c r="AB307" s="33" t="n">
        <v>6000</v>
      </c>
      <c r="AC307" s="33" t="n">
        <v>139110000</v>
      </c>
      <c r="AD307" s="33" t="n">
        <v>708000000</v>
      </c>
      <c r="AE307" s="26"/>
      <c r="AF307" s="26" t="str">
        <f aca="false"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>발행여부 확인 필요</v>
      </c>
      <c r="AG307" s="24" t="str">
        <f aca="false">IF($K307="","",IF(OR(LEFT($AF307,2)="작지",LEFT($AF307,4)="소재입고"),IF(LEFT($G307,1)="S","★ 납기위험(S코드)","◆ 지연주의"),IF($AF307="정상","✓ 정상","? 확인필요")))</f>
        <v>? 확인필요</v>
      </c>
      <c r="AH307" s="27"/>
      <c r="AI307" s="34"/>
    </row>
    <row r="308" customFormat="false" ht="15" hidden="false" customHeight="false" outlineLevel="0" collapsed="false">
      <c r="A308" s="24" t="n">
        <v>304</v>
      </c>
      <c r="B308" s="25" t="s">
        <v>155</v>
      </c>
      <c r="C308" s="25" t="s">
        <v>156</v>
      </c>
      <c r="D308" s="26" t="s">
        <v>1170</v>
      </c>
      <c r="E308" s="25" t="s">
        <v>1171</v>
      </c>
      <c r="F308" s="26" t="s">
        <v>1065</v>
      </c>
      <c r="G308" s="24" t="str">
        <f aca="false">IF($D308="","",IF(MID($D308,5,1)="S","S(봄)",IF(MID($D308,5,1)="M","M(여름)",IF(MID($D308,5,1)="X","X(사계절)",MID($D308,5,1)))))</f>
        <v>M(여름)</v>
      </c>
      <c r="H308" s="25" t="s">
        <v>97</v>
      </c>
      <c r="I308" s="24"/>
      <c r="J308" s="27" t="s">
        <v>648</v>
      </c>
      <c r="K308" s="28" t="n">
        <f aca="false">IF($J308="","",IFERROR(DATE(IF(VALUE(LEFT($J308,FIND("월",$J308)-1))&gt;=9,기준정보!$C$7-1,기준정보!$C$7),VALUE(LEFT($J308,FIND("월",$J308)-1)),1+7*(VALUE(SUBSTITUTE(MID($J308,FIND("월",$J308)+1,5),"주",""))-1)),""))</f>
        <v>46468</v>
      </c>
      <c r="L308" s="28" t="n">
        <f aca="false">IF($K308="","",IF(AND($K308-기준정보!$C$5&gt;=기준정보!$C$10,$K308-기준정보!$C$5&lt;=기준정보!$C$11),기준정보!$C$10-1,$K308-기준정보!$C$5))</f>
        <v>46454</v>
      </c>
      <c r="M308" s="29" t="n">
        <f aca="false"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>0</v>
      </c>
      <c r="N308" s="28" t="n">
        <f aca="false">IF($L308="","",$L308-기준정보!$C$6-$M308)</f>
        <v>46364</v>
      </c>
      <c r="O308" s="30" t="n">
        <f aca="false">IF($N308="","",$N308-기준정보!$C$4)</f>
        <v>111</v>
      </c>
      <c r="P308" s="27"/>
      <c r="Q308" s="27" t="s">
        <v>100</v>
      </c>
      <c r="R308" s="27" t="s">
        <v>101</v>
      </c>
      <c r="S308" s="31"/>
      <c r="T308" s="26" t="str">
        <f aca="false">IF($H308="","",IF(AND(ISNUMBER(SEARCH("CMT",$H308)),OR(ISNUMBER(SEARCH("완사입",$H308)),ISNUMBER(SEARCH("ODM",$H308)))),"본사/생산처 혼재",IF(ISNUMBER(SEARCH("CMT",$H308)),"본사(소재팀)","생산처")))</f>
        <v>생산처</v>
      </c>
      <c r="U308" s="26" t="s">
        <v>235</v>
      </c>
      <c r="V308" s="26" t="s">
        <v>235</v>
      </c>
      <c r="W308" s="25" t="s">
        <v>110</v>
      </c>
      <c r="X308" s="26" t="s">
        <v>247</v>
      </c>
      <c r="Y308" s="32" t="s">
        <v>545</v>
      </c>
      <c r="Z308" s="32"/>
      <c r="AA308" s="28" t="n">
        <v>46205</v>
      </c>
      <c r="AB308" s="33" t="n">
        <v>10000</v>
      </c>
      <c r="AC308" s="33" t="n">
        <v>202530000</v>
      </c>
      <c r="AD308" s="33" t="n">
        <v>880000000</v>
      </c>
      <c r="AE308" s="26" t="s">
        <v>648</v>
      </c>
      <c r="AF308" s="26" t="str">
        <f aca="false"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>소재 입고일정 확인 필요</v>
      </c>
      <c r="AG308" s="24" t="str">
        <f aca="false">IF($K308="","",IF(OR(LEFT($AF308,2)="작지",LEFT($AF308,4)="소재입고"),IF(LEFT($G308,1)="S","★ 납기위험(S코드)","◆ 지연주의"),IF($AF308="정상","✓ 정상","? 확인필요")))</f>
        <v>? 확인필요</v>
      </c>
      <c r="AH308" s="27"/>
      <c r="AI308" s="34"/>
    </row>
    <row r="309" customFormat="false" ht="15" hidden="false" customHeight="false" outlineLevel="0" collapsed="false">
      <c r="A309" s="24" t="n">
        <v>305</v>
      </c>
      <c r="B309" s="25" t="s">
        <v>327</v>
      </c>
      <c r="C309" s="25" t="s">
        <v>320</v>
      </c>
      <c r="D309" s="26" t="s">
        <v>1172</v>
      </c>
      <c r="E309" s="25" t="s">
        <v>1173</v>
      </c>
      <c r="F309" s="26" t="s">
        <v>1174</v>
      </c>
      <c r="G309" s="24" t="str">
        <f aca="false">IF($D309="","",IF(MID($D309,5,1)="S","S(봄)",IF(MID($D309,5,1)="M","M(여름)",IF(MID($D309,5,1)="X","X(사계절)",MID($D309,5,1)))))</f>
        <v>M(여름)</v>
      </c>
      <c r="H309" s="26" t="s">
        <v>255</v>
      </c>
      <c r="I309" s="24" t="s">
        <v>539</v>
      </c>
      <c r="J309" s="27" t="s">
        <v>648</v>
      </c>
      <c r="K309" s="28" t="n">
        <f aca="false">IF($J309="","",IFERROR(DATE(IF(VALUE(LEFT($J309,FIND("월",$J309)-1))&gt;=9,기준정보!$C$7-1,기준정보!$C$7),VALUE(LEFT($J309,FIND("월",$J309)-1)),1+7*(VALUE(SUBSTITUTE(MID($J309,FIND("월",$J309)+1,5),"주",""))-1)),""))</f>
        <v>46468</v>
      </c>
      <c r="L309" s="28" t="n">
        <f aca="false">IF($K309="","",IF(AND($K309-기준정보!$C$5&gt;=기준정보!$C$10,$K309-기준정보!$C$5&lt;=기준정보!$C$11),기준정보!$C$10-1,$K309-기준정보!$C$5))</f>
        <v>46454</v>
      </c>
      <c r="M309" s="29" t="n">
        <f aca="false"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>0</v>
      </c>
      <c r="N309" s="28" t="n">
        <f aca="false">IF($L309="","",$L309-기준정보!$C$6-$M309)</f>
        <v>46364</v>
      </c>
      <c r="O309" s="30" t="n">
        <f aca="false">IF($N309="","",$N309-기준정보!$C$4)</f>
        <v>111</v>
      </c>
      <c r="P309" s="27"/>
      <c r="Q309" s="27" t="s">
        <v>100</v>
      </c>
      <c r="R309" s="27" t="s">
        <v>101</v>
      </c>
      <c r="S309" s="31"/>
      <c r="T309" s="26" t="str">
        <f aca="false">IF($H309="","",IF(AND(ISNUMBER(SEARCH("CMT",$H309)),OR(ISNUMBER(SEARCH("완사입",$H309)),ISNUMBER(SEARCH("ODM",$H309)))),"본사/생산처 혼재",IF(ISNUMBER(SEARCH("CMT",$H309)),"본사(소재팀)","생산처")))</f>
        <v>본사(소재팀)</v>
      </c>
      <c r="U309" s="26" t="s">
        <v>235</v>
      </c>
      <c r="V309" s="26" t="s">
        <v>235</v>
      </c>
      <c r="W309" s="25" t="s">
        <v>110</v>
      </c>
      <c r="X309" s="26" t="s">
        <v>247</v>
      </c>
      <c r="Y309" s="32" t="s">
        <v>1163</v>
      </c>
      <c r="Z309" s="32"/>
      <c r="AA309" s="28" t="n">
        <v>46213</v>
      </c>
      <c r="AB309" s="33" t="n">
        <v>2300</v>
      </c>
      <c r="AC309" s="33" t="n">
        <v>57750700</v>
      </c>
      <c r="AD309" s="33" t="n">
        <v>271400000</v>
      </c>
      <c r="AE309" s="26"/>
      <c r="AF309" s="26" t="str">
        <f aca="false"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>소재 입고일정 확인 필요</v>
      </c>
      <c r="AG309" s="24" t="str">
        <f aca="false">IF($K309="","",IF(OR(LEFT($AF309,2)="작지",LEFT($AF309,4)="소재입고"),IF(LEFT($G309,1)="S","★ 납기위험(S코드)","◆ 지연주의"),IF($AF309="정상","✓ 정상","? 확인필요")))</f>
        <v>? 확인필요</v>
      </c>
      <c r="AH309" s="27"/>
      <c r="AI309" s="34"/>
    </row>
    <row r="310" customFormat="false" ht="15" hidden="false" customHeight="false" outlineLevel="0" collapsed="false">
      <c r="A310" s="24" t="n">
        <v>306</v>
      </c>
      <c r="B310" s="25" t="s">
        <v>308</v>
      </c>
      <c r="C310" s="25" t="s">
        <v>320</v>
      </c>
      <c r="D310" s="26" t="s">
        <v>1175</v>
      </c>
      <c r="E310" s="25" t="s">
        <v>1176</v>
      </c>
      <c r="F310" s="26" t="s">
        <v>1177</v>
      </c>
      <c r="G310" s="24" t="str">
        <f aca="false">IF($D310="","",IF(MID($D310,5,1)="S","S(봄)",IF(MID($D310,5,1)="M","M(여름)",IF(MID($D310,5,1)="X","X(사계절)",MID($D310,5,1)))))</f>
        <v>M(여름)</v>
      </c>
      <c r="H310" s="26" t="s">
        <v>255</v>
      </c>
      <c r="I310" s="24"/>
      <c r="J310" s="27" t="s">
        <v>648</v>
      </c>
      <c r="K310" s="28" t="n">
        <f aca="false">IF($J310="","",IFERROR(DATE(IF(VALUE(LEFT($J310,FIND("월",$J310)-1))&gt;=9,기준정보!$C$7-1,기준정보!$C$7),VALUE(LEFT($J310,FIND("월",$J310)-1)),1+7*(VALUE(SUBSTITUTE(MID($J310,FIND("월",$J310)+1,5),"주",""))-1)),""))</f>
        <v>46468</v>
      </c>
      <c r="L310" s="28" t="n">
        <f aca="false">IF($K310="","",IF(AND($K310-기준정보!$C$5&gt;=기준정보!$C$10,$K310-기준정보!$C$5&lt;=기준정보!$C$11),기준정보!$C$10-1,$K310-기준정보!$C$5))</f>
        <v>46454</v>
      </c>
      <c r="M310" s="29" t="n">
        <f aca="false"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>15</v>
      </c>
      <c r="N310" s="28" t="n">
        <f aca="false">IF($L310="","",$L310-기준정보!$C$6-$M310)</f>
        <v>46349</v>
      </c>
      <c r="O310" s="30" t="n">
        <f aca="false">IF($N310="","",$N310-기준정보!$C$4)</f>
        <v>96</v>
      </c>
      <c r="P310" s="27"/>
      <c r="Q310" s="27" t="s">
        <v>100</v>
      </c>
      <c r="R310" s="27" t="s">
        <v>100</v>
      </c>
      <c r="S310" s="31"/>
      <c r="T310" s="26" t="str">
        <f aca="false">IF($H310="","",IF(AND(ISNUMBER(SEARCH("CMT",$H310)),OR(ISNUMBER(SEARCH("완사입",$H310)),ISNUMBER(SEARCH("ODM",$H310)))),"본사/생산처 혼재",IF(ISNUMBER(SEARCH("CMT",$H310)),"본사(소재팀)","생산처")))</f>
        <v>본사(소재팀)</v>
      </c>
      <c r="U310" s="26" t="s">
        <v>280</v>
      </c>
      <c r="V310" s="26" t="s">
        <v>280</v>
      </c>
      <c r="W310" s="25" t="s">
        <v>103</v>
      </c>
      <c r="X310" s="25" t="s">
        <v>344</v>
      </c>
      <c r="Y310" s="35" t="s">
        <v>766</v>
      </c>
      <c r="Z310" s="32"/>
      <c r="AA310" s="28" t="n">
        <v>46202</v>
      </c>
      <c r="AB310" s="33" t="n">
        <v>1600</v>
      </c>
      <c r="AC310" s="33" t="n">
        <v>41675200</v>
      </c>
      <c r="AD310" s="33" t="n">
        <v>252800000</v>
      </c>
      <c r="AE310" s="26" t="s">
        <v>648</v>
      </c>
      <c r="AF310" s="26" t="str">
        <f aca="false"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>소재 입고일정 확인 필요</v>
      </c>
      <c r="AG310" s="24" t="str">
        <f aca="false">IF($K310="","",IF(OR(LEFT($AF310,2)="작지",LEFT($AF310,4)="소재입고"),IF(LEFT($G310,1)="S","★ 납기위험(S코드)","◆ 지연주의"),IF($AF310="정상","✓ 정상","? 확인필요")))</f>
        <v>? 확인필요</v>
      </c>
      <c r="AH310" s="27"/>
      <c r="AI310" s="34"/>
    </row>
    <row r="311" customFormat="false" ht="15" hidden="false" customHeight="false" outlineLevel="0" collapsed="false">
      <c r="A311" s="24" t="n">
        <v>307</v>
      </c>
      <c r="B311" s="25" t="s">
        <v>308</v>
      </c>
      <c r="C311" s="25" t="s">
        <v>320</v>
      </c>
      <c r="D311" s="26" t="s">
        <v>1178</v>
      </c>
      <c r="E311" s="25" t="s">
        <v>1179</v>
      </c>
      <c r="F311" s="26" t="s">
        <v>370</v>
      </c>
      <c r="G311" s="24" t="str">
        <f aca="false">IF($D311="","",IF(MID($D311,5,1)="S","S(봄)",IF(MID($D311,5,1)="M","M(여름)",IF(MID($D311,5,1)="X","X(사계절)",MID($D311,5,1)))))</f>
        <v>M(여름)</v>
      </c>
      <c r="H311" s="26" t="s">
        <v>255</v>
      </c>
      <c r="I311" s="24"/>
      <c r="J311" s="27" t="s">
        <v>648</v>
      </c>
      <c r="K311" s="28" t="n">
        <f aca="false">IF($J311="","",IFERROR(DATE(IF(VALUE(LEFT($J311,FIND("월",$J311)-1))&gt;=9,기준정보!$C$7-1,기준정보!$C$7),VALUE(LEFT($J311,FIND("월",$J311)-1)),1+7*(VALUE(SUBSTITUTE(MID($J311,FIND("월",$J311)+1,5),"주",""))-1)),""))</f>
        <v>46468</v>
      </c>
      <c r="L311" s="28" t="n">
        <f aca="false">IF($K311="","",IF(AND($K311-기준정보!$C$5&gt;=기준정보!$C$10,$K311-기준정보!$C$5&lt;=기준정보!$C$11),기준정보!$C$10-1,$K311-기준정보!$C$5))</f>
        <v>46454</v>
      </c>
      <c r="M311" s="29" t="n">
        <f aca="false"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>15</v>
      </c>
      <c r="N311" s="28" t="n">
        <f aca="false">IF($L311="","",$L311-기준정보!$C$6-$M311)</f>
        <v>46349</v>
      </c>
      <c r="O311" s="30" t="n">
        <f aca="false">IF($N311="","",$N311-기준정보!$C$4)</f>
        <v>96</v>
      </c>
      <c r="P311" s="27"/>
      <c r="Q311" s="27" t="s">
        <v>100</v>
      </c>
      <c r="R311" s="27" t="s">
        <v>100</v>
      </c>
      <c r="S311" s="31"/>
      <c r="T311" s="26" t="str">
        <f aca="false">IF($H311="","",IF(AND(ISNUMBER(SEARCH("CMT",$H311)),OR(ISNUMBER(SEARCH("완사입",$H311)),ISNUMBER(SEARCH("ODM",$H311)))),"본사/생산처 혼재",IF(ISNUMBER(SEARCH("CMT",$H311)),"본사(소재팀)","생산처")))</f>
        <v>본사(소재팀)</v>
      </c>
      <c r="U311" s="26" t="s">
        <v>183</v>
      </c>
      <c r="V311" s="26" t="s">
        <v>183</v>
      </c>
      <c r="W311" s="25" t="s">
        <v>103</v>
      </c>
      <c r="X311" s="26" t="s">
        <v>247</v>
      </c>
      <c r="Y311" s="32" t="s">
        <v>1163</v>
      </c>
      <c r="Z311" s="32"/>
      <c r="AA311" s="28" t="n">
        <v>46213</v>
      </c>
      <c r="AB311" s="33" t="n">
        <v>3000</v>
      </c>
      <c r="AC311" s="33" t="n">
        <v>99888000</v>
      </c>
      <c r="AD311" s="33" t="n">
        <v>474000000</v>
      </c>
      <c r="AE311" s="26" t="s">
        <v>648</v>
      </c>
      <c r="AF311" s="26" t="str">
        <f aca="false"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>소재 입고일정 확인 필요</v>
      </c>
      <c r="AG311" s="24" t="str">
        <f aca="false">IF($K311="","",IF(OR(LEFT($AF311,2)="작지",LEFT($AF311,4)="소재입고"),IF(LEFT($G311,1)="S","★ 납기위험(S코드)","◆ 지연주의"),IF($AF311="정상","✓ 정상","? 확인필요")))</f>
        <v>? 확인필요</v>
      </c>
      <c r="AH311" s="27"/>
      <c r="AI311" s="34"/>
    </row>
    <row r="312" customFormat="false" ht="15" hidden="false" customHeight="false" outlineLevel="0" collapsed="false">
      <c r="A312" s="24" t="n">
        <v>308</v>
      </c>
      <c r="B312" s="25" t="s">
        <v>327</v>
      </c>
      <c r="C312" s="25" t="s">
        <v>156</v>
      </c>
      <c r="D312" s="26" t="s">
        <v>1180</v>
      </c>
      <c r="E312" s="25" t="s">
        <v>1181</v>
      </c>
      <c r="F312" s="26" t="s">
        <v>1168</v>
      </c>
      <c r="G312" s="24" t="str">
        <f aca="false">IF($D312="","",IF(MID($D312,5,1)="S","S(봄)",IF(MID($D312,5,1)="M","M(여름)",IF(MID($D312,5,1)="X","X(사계절)",MID($D312,5,1)))))</f>
        <v>M(여름)</v>
      </c>
      <c r="H312" s="25" t="s">
        <v>97</v>
      </c>
      <c r="I312" s="24" t="s">
        <v>539</v>
      </c>
      <c r="J312" s="27" t="s">
        <v>648</v>
      </c>
      <c r="K312" s="28" t="n">
        <f aca="false">IF($J312="","",IFERROR(DATE(IF(VALUE(LEFT($J312,FIND("월",$J312)-1))&gt;=9,기준정보!$C$7-1,기준정보!$C$7),VALUE(LEFT($J312,FIND("월",$J312)-1)),1+7*(VALUE(SUBSTITUTE(MID($J312,FIND("월",$J312)+1,5),"주",""))-1)),""))</f>
        <v>46468</v>
      </c>
      <c r="L312" s="28" t="n">
        <f aca="false">IF($K312="","",IF(AND($K312-기준정보!$C$5&gt;=기준정보!$C$10,$K312-기준정보!$C$5&lt;=기준정보!$C$11),기준정보!$C$10-1,$K312-기준정보!$C$5))</f>
        <v>46454</v>
      </c>
      <c r="M312" s="29" t="n">
        <f aca="false"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>15</v>
      </c>
      <c r="N312" s="28" t="n">
        <f aca="false">IF($L312="","",$L312-기준정보!$C$6-$M312)</f>
        <v>46349</v>
      </c>
      <c r="O312" s="30" t="n">
        <f aca="false">IF($N312="","",$N312-기준정보!$C$4)</f>
        <v>96</v>
      </c>
      <c r="P312" s="27"/>
      <c r="Q312" s="27"/>
      <c r="R312" s="27"/>
      <c r="S312" s="31"/>
      <c r="T312" s="26" t="str">
        <f aca="false">IF($H312="","",IF(AND(ISNUMBER(SEARCH("CMT",$H312)),OR(ISNUMBER(SEARCH("완사입",$H312)),ISNUMBER(SEARCH("ODM",$H312)))),"본사/생산처 혼재",IF(ISNUMBER(SEARCH("CMT",$H312)),"본사(소재팀)","생산처")))</f>
        <v>생산처</v>
      </c>
      <c r="U312" s="26" t="s">
        <v>235</v>
      </c>
      <c r="V312" s="26"/>
      <c r="W312" s="25" t="s">
        <v>103</v>
      </c>
      <c r="X312" s="26"/>
      <c r="Y312" s="32"/>
      <c r="Z312" s="32"/>
      <c r="AA312" s="28"/>
      <c r="AB312" s="33" t="n">
        <v>3000</v>
      </c>
      <c r="AC312" s="33" t="n">
        <v>63000000</v>
      </c>
      <c r="AD312" s="33" t="n">
        <v>354000000</v>
      </c>
      <c r="AE312" s="26"/>
      <c r="AF312" s="26" t="str">
        <f aca="false"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>발행여부 확인 필요</v>
      </c>
      <c r="AG312" s="24" t="str">
        <f aca="false">IF($K312="","",IF(OR(LEFT($AF312,2)="작지",LEFT($AF312,4)="소재입고"),IF(LEFT($G312,1)="S","★ 납기위험(S코드)","◆ 지연주의"),IF($AF312="정상","✓ 정상","? 확인필요")))</f>
        <v>? 확인필요</v>
      </c>
      <c r="AH312" s="27"/>
      <c r="AI312" s="34"/>
    </row>
    <row r="313" customFormat="false" ht="15" hidden="false" customHeight="false" outlineLevel="0" collapsed="false">
      <c r="A313" s="24" t="n">
        <v>309</v>
      </c>
      <c r="B313" s="25" t="s">
        <v>155</v>
      </c>
      <c r="C313" s="25" t="s">
        <v>156</v>
      </c>
      <c r="D313" s="26" t="s">
        <v>1182</v>
      </c>
      <c r="E313" s="25" t="s">
        <v>1183</v>
      </c>
      <c r="F313" s="26" t="s">
        <v>1184</v>
      </c>
      <c r="G313" s="24" t="str">
        <f aca="false">IF($D313="","",IF(MID($D313,5,1)="S","S(봄)",IF(MID($D313,5,1)="M","M(여름)",IF(MID($D313,5,1)="X","X(사계절)",MID($D313,5,1)))))</f>
        <v>M(여름)</v>
      </c>
      <c r="H313" s="25" t="s">
        <v>97</v>
      </c>
      <c r="I313" s="24"/>
      <c r="J313" s="27" t="s">
        <v>648</v>
      </c>
      <c r="K313" s="28" t="n">
        <f aca="false">IF($J313="","",IFERROR(DATE(IF(VALUE(LEFT($J313,FIND("월",$J313)-1))&gt;=9,기준정보!$C$7-1,기준정보!$C$7),VALUE(LEFT($J313,FIND("월",$J313)-1)),1+7*(VALUE(SUBSTITUTE(MID($J313,FIND("월",$J313)+1,5),"주",""))-1)),""))</f>
        <v>46468</v>
      </c>
      <c r="L313" s="28" t="n">
        <f aca="false">IF($K313="","",IF(AND($K313-기준정보!$C$5&gt;=기준정보!$C$10,$K313-기준정보!$C$5&lt;=기준정보!$C$11),기준정보!$C$10-1,$K313-기준정보!$C$5))</f>
        <v>46454</v>
      </c>
      <c r="M313" s="29" t="n">
        <f aca="false"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>0</v>
      </c>
      <c r="N313" s="28" t="n">
        <f aca="false">IF($L313="","",$L313-기준정보!$C$6-$M313)</f>
        <v>46364</v>
      </c>
      <c r="O313" s="30" t="n">
        <f aca="false">IF($N313="","",$N313-기준정보!$C$4)</f>
        <v>111</v>
      </c>
      <c r="P313" s="27"/>
      <c r="Q313" s="27" t="s">
        <v>100</v>
      </c>
      <c r="R313" s="27" t="s">
        <v>101</v>
      </c>
      <c r="S313" s="31"/>
      <c r="T313" s="26" t="str">
        <f aca="false">IF($H313="","",IF(AND(ISNUMBER(SEARCH("CMT",$H313)),OR(ISNUMBER(SEARCH("완사입",$H313)),ISNUMBER(SEARCH("ODM",$H313)))),"본사/생산처 혼재",IF(ISNUMBER(SEARCH("CMT",$H313)),"본사(소재팀)","생산처")))</f>
        <v>생산처</v>
      </c>
      <c r="U313" s="26" t="s">
        <v>235</v>
      </c>
      <c r="V313" s="26" t="s">
        <v>235</v>
      </c>
      <c r="W313" s="25" t="s">
        <v>110</v>
      </c>
      <c r="X313" s="26" t="s">
        <v>247</v>
      </c>
      <c r="Y313" s="32" t="s">
        <v>1185</v>
      </c>
      <c r="Z313" s="32"/>
      <c r="AA313" s="28" t="n">
        <v>46202</v>
      </c>
      <c r="AB313" s="33" t="n">
        <v>1600</v>
      </c>
      <c r="AC313" s="33" t="n">
        <v>34251200</v>
      </c>
      <c r="AD313" s="33" t="n">
        <v>156800000</v>
      </c>
      <c r="AE313" s="26" t="s">
        <v>681</v>
      </c>
      <c r="AF313" s="26" t="str">
        <f aca="false"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>소재 입고일정 확인 필요</v>
      </c>
      <c r="AG313" s="24" t="str">
        <f aca="false">IF($K313="","",IF(OR(LEFT($AF313,2)="작지",LEFT($AF313,4)="소재입고"),IF(LEFT($G313,1)="S","★ 납기위험(S코드)","◆ 지연주의"),IF($AF313="정상","✓ 정상","? 확인필요")))</f>
        <v>? 확인필요</v>
      </c>
      <c r="AH313" s="27"/>
      <c r="AI313" s="34"/>
    </row>
    <row r="314" customFormat="false" ht="15" hidden="false" customHeight="false" outlineLevel="0" collapsed="false">
      <c r="A314" s="24" t="n">
        <v>310</v>
      </c>
      <c r="B314" s="25" t="s">
        <v>308</v>
      </c>
      <c r="C314" s="25" t="s">
        <v>156</v>
      </c>
      <c r="D314" s="26" t="s">
        <v>1186</v>
      </c>
      <c r="E314" s="25" t="s">
        <v>1187</v>
      </c>
      <c r="F314" s="26" t="s">
        <v>370</v>
      </c>
      <c r="G314" s="24" t="str">
        <f aca="false">IF($D314="","",IF(MID($D314,5,1)="S","S(봄)",IF(MID($D314,5,1)="M","M(여름)",IF(MID($D314,5,1)="X","X(사계절)",MID($D314,5,1)))))</f>
        <v>M(여름)</v>
      </c>
      <c r="H314" s="25" t="s">
        <v>97</v>
      </c>
      <c r="I314" s="24"/>
      <c r="J314" s="27" t="s">
        <v>648</v>
      </c>
      <c r="K314" s="28" t="n">
        <f aca="false">IF($J314="","",IFERROR(DATE(IF(VALUE(LEFT($J314,FIND("월",$J314)-1))&gt;=9,기준정보!$C$7-1,기준정보!$C$7),VALUE(LEFT($J314,FIND("월",$J314)-1)),1+7*(VALUE(SUBSTITUTE(MID($J314,FIND("월",$J314)+1,5),"주",""))-1)),""))</f>
        <v>46468</v>
      </c>
      <c r="L314" s="28" t="n">
        <f aca="false">IF($K314="","",IF(AND($K314-기준정보!$C$5&gt;=기준정보!$C$10,$K314-기준정보!$C$5&lt;=기준정보!$C$11),기준정보!$C$10-1,$K314-기준정보!$C$5))</f>
        <v>46454</v>
      </c>
      <c r="M314" s="29" t="n">
        <f aca="false"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>0</v>
      </c>
      <c r="N314" s="28" t="n">
        <f aca="false">IF($L314="","",$L314-기준정보!$C$6-$M314)</f>
        <v>46364</v>
      </c>
      <c r="O314" s="30" t="n">
        <f aca="false">IF($N314="","",$N314-기준정보!$C$4)</f>
        <v>111</v>
      </c>
      <c r="P314" s="27"/>
      <c r="Q314" s="27" t="s">
        <v>100</v>
      </c>
      <c r="R314" s="27" t="s">
        <v>101</v>
      </c>
      <c r="S314" s="31"/>
      <c r="T314" s="26" t="str">
        <f aca="false">IF($H314="","",IF(AND(ISNUMBER(SEARCH("CMT",$H314)),OR(ISNUMBER(SEARCH("완사입",$H314)),ISNUMBER(SEARCH("ODM",$H314)))),"본사/생산처 혼재",IF(ISNUMBER(SEARCH("CMT",$H314)),"본사(소재팀)","생산처")))</f>
        <v>생산처</v>
      </c>
      <c r="U314" s="26" t="s">
        <v>235</v>
      </c>
      <c r="V314" s="26" t="s">
        <v>235</v>
      </c>
      <c r="W314" s="25" t="s">
        <v>110</v>
      </c>
      <c r="X314" s="26" t="s">
        <v>247</v>
      </c>
      <c r="Y314" s="32" t="s">
        <v>1163</v>
      </c>
      <c r="Z314" s="32"/>
      <c r="AA314" s="28" t="n">
        <v>46213</v>
      </c>
      <c r="AB314" s="33" t="n">
        <v>2100</v>
      </c>
      <c r="AC314" s="33" t="n">
        <v>46200000</v>
      </c>
      <c r="AD314" s="33" t="n">
        <v>205800000</v>
      </c>
      <c r="AE314" s="26" t="s">
        <v>648</v>
      </c>
      <c r="AF314" s="26" t="str">
        <f aca="false"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>소재 입고일정 확인 필요</v>
      </c>
      <c r="AG314" s="24" t="str">
        <f aca="false">IF($K314="","",IF(OR(LEFT($AF314,2)="작지",LEFT($AF314,4)="소재입고"),IF(LEFT($G314,1)="S","★ 납기위험(S코드)","◆ 지연주의"),IF($AF314="정상","✓ 정상","? 확인필요")))</f>
        <v>? 확인필요</v>
      </c>
      <c r="AH314" s="27"/>
      <c r="AI314" s="34"/>
    </row>
    <row r="315" customFormat="false" ht="15" hidden="false" customHeight="false" outlineLevel="0" collapsed="false">
      <c r="A315" s="24" t="n">
        <v>311</v>
      </c>
      <c r="B315" s="25" t="s">
        <v>270</v>
      </c>
      <c r="C315" s="25" t="s">
        <v>271</v>
      </c>
      <c r="D315" s="26" t="s">
        <v>1188</v>
      </c>
      <c r="E315" s="25" t="s">
        <v>1189</v>
      </c>
      <c r="F315" s="26" t="s">
        <v>921</v>
      </c>
      <c r="G315" s="24" t="str">
        <f aca="false">IF($D315="","",IF(MID($D315,5,1)="S","S(봄)",IF(MID($D315,5,1)="M","M(여름)",IF(MID($D315,5,1)="X","X(사계절)",MID($D315,5,1)))))</f>
        <v>M(여름)</v>
      </c>
      <c r="H315" s="25" t="s">
        <v>97</v>
      </c>
      <c r="I315" s="24" t="s">
        <v>502</v>
      </c>
      <c r="J315" s="27" t="s">
        <v>503</v>
      </c>
      <c r="K315" s="28" t="n">
        <f aca="false">IF($J315="","",IFERROR(DATE(IF(VALUE(LEFT($J315,FIND("월",$J315)-1))&gt;=9,기준정보!$C$7-1,기준정보!$C$7),VALUE(LEFT($J315,FIND("월",$J315)-1)),1+7*(VALUE(SUBSTITUTE(MID($J315,FIND("월",$J315)+1,5),"주",""))-1)),""))</f>
        <v>46478</v>
      </c>
      <c r="L315" s="28" t="n">
        <f aca="false">IF($K315="","",IF(AND($K315-기준정보!$C$5&gt;=기준정보!$C$10,$K315-기준정보!$C$5&lt;=기준정보!$C$11),기준정보!$C$10-1,$K315-기준정보!$C$5))</f>
        <v>46464</v>
      </c>
      <c r="M315" s="29" t="n">
        <f aca="false"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>15</v>
      </c>
      <c r="N315" s="28" t="n">
        <f aca="false">IF($L315="","",$L315-기준정보!$C$6-$M315)</f>
        <v>46359</v>
      </c>
      <c r="O315" s="30" t="n">
        <f aca="false">IF($N315="","",$N315-기준정보!$C$4)</f>
        <v>106</v>
      </c>
      <c r="P315" s="27"/>
      <c r="Q315" s="27" t="s">
        <v>100</v>
      </c>
      <c r="R315" s="27" t="s">
        <v>100</v>
      </c>
      <c r="S315" s="31"/>
      <c r="T315" s="26" t="str">
        <f aca="false">IF($H315="","",IF(AND(ISNUMBER(SEARCH("CMT",$H315)),OR(ISNUMBER(SEARCH("완사입",$H315)),ISNUMBER(SEARCH("ODM",$H315)))),"본사/생산처 혼재",IF(ISNUMBER(SEARCH("CMT",$H315)),"본사(소재팀)","생산처")))</f>
        <v>생산처</v>
      </c>
      <c r="U315" s="26" t="s">
        <v>183</v>
      </c>
      <c r="V315" s="26" t="s">
        <v>183</v>
      </c>
      <c r="W315" s="25" t="s">
        <v>103</v>
      </c>
      <c r="X315" s="25" t="s">
        <v>344</v>
      </c>
      <c r="Y315" s="35" t="s">
        <v>696</v>
      </c>
      <c r="Z315" s="32"/>
      <c r="AA315" s="28" t="n">
        <v>46213</v>
      </c>
      <c r="AB315" s="33" t="n">
        <v>1660</v>
      </c>
      <c r="AC315" s="33" t="n">
        <v>51792000</v>
      </c>
      <c r="AD315" s="33" t="n">
        <v>229080000</v>
      </c>
      <c r="AE315" s="26" t="s">
        <v>503</v>
      </c>
      <c r="AF315" s="26" t="str">
        <f aca="false"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>소재 입고일정 확인 필요</v>
      </c>
      <c r="AG315" s="24" t="str">
        <f aca="false">IF($K315="","",IF(OR(LEFT($AF315,2)="작지",LEFT($AF315,4)="소재입고"),IF(LEFT($G315,1)="S","★ 납기위험(S코드)","◆ 지연주의"),IF($AF315="정상","✓ 정상","? 확인필요")))</f>
        <v>? 확인필요</v>
      </c>
      <c r="AH315" s="27"/>
      <c r="AI315" s="34"/>
    </row>
    <row r="316" customFormat="false" ht="15" hidden="false" customHeight="false" outlineLevel="0" collapsed="false">
      <c r="A316" s="24" t="n">
        <v>312</v>
      </c>
      <c r="B316" s="25" t="s">
        <v>270</v>
      </c>
      <c r="C316" s="25" t="s">
        <v>271</v>
      </c>
      <c r="D316" s="26" t="s">
        <v>1190</v>
      </c>
      <c r="E316" s="25" t="s">
        <v>1191</v>
      </c>
      <c r="F316" s="26" t="s">
        <v>288</v>
      </c>
      <c r="G316" s="24" t="str">
        <f aca="false">IF($D316="","",IF(MID($D316,5,1)="S","S(봄)",IF(MID($D316,5,1)="M","M(여름)",IF(MID($D316,5,1)="X","X(사계절)",MID($D316,5,1)))))</f>
        <v>M(여름)</v>
      </c>
      <c r="H316" s="25" t="s">
        <v>97</v>
      </c>
      <c r="I316" s="24" t="s">
        <v>502</v>
      </c>
      <c r="J316" s="27" t="s">
        <v>503</v>
      </c>
      <c r="K316" s="28" t="n">
        <f aca="false">IF($J316="","",IFERROR(DATE(IF(VALUE(LEFT($J316,FIND("월",$J316)-1))&gt;=9,기준정보!$C$7-1,기준정보!$C$7),VALUE(LEFT($J316,FIND("월",$J316)-1)),1+7*(VALUE(SUBSTITUTE(MID($J316,FIND("월",$J316)+1,5),"주",""))-1)),""))</f>
        <v>46478</v>
      </c>
      <c r="L316" s="28" t="n">
        <f aca="false">IF($K316="","",IF(AND($K316-기준정보!$C$5&gt;=기준정보!$C$10,$K316-기준정보!$C$5&lt;=기준정보!$C$11),기준정보!$C$10-1,$K316-기준정보!$C$5))</f>
        <v>46464</v>
      </c>
      <c r="M316" s="29" t="n">
        <f aca="false"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>15</v>
      </c>
      <c r="N316" s="28" t="n">
        <f aca="false">IF($L316="","",$L316-기준정보!$C$6-$M316)</f>
        <v>46359</v>
      </c>
      <c r="O316" s="30" t="n">
        <f aca="false">IF($N316="","",$N316-기준정보!$C$4)</f>
        <v>106</v>
      </c>
      <c r="P316" s="27"/>
      <c r="Q316" s="27" t="s">
        <v>100</v>
      </c>
      <c r="R316" s="27" t="s">
        <v>100</v>
      </c>
      <c r="S316" s="31"/>
      <c r="T316" s="26" t="str">
        <f aca="false">IF($H316="","",IF(AND(ISNUMBER(SEARCH("CMT",$H316)),OR(ISNUMBER(SEARCH("완사입",$H316)),ISNUMBER(SEARCH("ODM",$H316)))),"본사/생산처 혼재",IF(ISNUMBER(SEARCH("CMT",$H316)),"본사(소재팀)","생산처")))</f>
        <v>생산처</v>
      </c>
      <c r="U316" s="26" t="s">
        <v>280</v>
      </c>
      <c r="V316" s="26" t="s">
        <v>280</v>
      </c>
      <c r="W316" s="25" t="s">
        <v>103</v>
      </c>
      <c r="X316" s="25" t="s">
        <v>573</v>
      </c>
      <c r="Y316" s="35" t="s">
        <v>929</v>
      </c>
      <c r="Z316" s="32"/>
      <c r="AA316" s="28" t="n">
        <v>46237</v>
      </c>
      <c r="AB316" s="33" t="n">
        <v>2000</v>
      </c>
      <c r="AC316" s="33" t="n">
        <v>42762000</v>
      </c>
      <c r="AD316" s="33" t="n">
        <v>236000000</v>
      </c>
      <c r="AE316" s="26" t="s">
        <v>503</v>
      </c>
      <c r="AF316" s="26" t="str">
        <f aca="false"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>소재 입고일정 확인 필요</v>
      </c>
      <c r="AG316" s="24" t="str">
        <f aca="false">IF($K316="","",IF(OR(LEFT($AF316,2)="작지",LEFT($AF316,4)="소재입고"),IF(LEFT($G316,1)="S","★ 납기위험(S코드)","◆ 지연주의"),IF($AF316="정상","✓ 정상","? 확인필요")))</f>
        <v>? 확인필요</v>
      </c>
      <c r="AH316" s="27"/>
      <c r="AI316" s="34"/>
    </row>
    <row r="317" customFormat="false" ht="15" hidden="false" customHeight="false" outlineLevel="0" collapsed="false">
      <c r="A317" s="24" t="n">
        <v>313</v>
      </c>
      <c r="B317" s="25" t="s">
        <v>270</v>
      </c>
      <c r="C317" s="25" t="s">
        <v>271</v>
      </c>
      <c r="D317" s="26" t="s">
        <v>1192</v>
      </c>
      <c r="E317" s="25" t="s">
        <v>1193</v>
      </c>
      <c r="F317" s="26" t="s">
        <v>288</v>
      </c>
      <c r="G317" s="24" t="str">
        <f aca="false">IF($D317="","",IF(MID($D317,5,1)="S","S(봄)",IF(MID($D317,5,1)="M","M(여름)",IF(MID($D317,5,1)="X","X(사계절)",MID($D317,5,1)))))</f>
        <v>M(여름)</v>
      </c>
      <c r="H317" s="25" t="s">
        <v>97</v>
      </c>
      <c r="I317" s="24" t="s">
        <v>502</v>
      </c>
      <c r="J317" s="27" t="s">
        <v>503</v>
      </c>
      <c r="K317" s="28" t="n">
        <f aca="false">IF($J317="","",IFERROR(DATE(IF(VALUE(LEFT($J317,FIND("월",$J317)-1))&gt;=9,기준정보!$C$7-1,기준정보!$C$7),VALUE(LEFT($J317,FIND("월",$J317)-1)),1+7*(VALUE(SUBSTITUTE(MID($J317,FIND("월",$J317)+1,5),"주",""))-1)),""))</f>
        <v>46478</v>
      </c>
      <c r="L317" s="28" t="n">
        <f aca="false">IF($K317="","",IF(AND($K317-기준정보!$C$5&gt;=기준정보!$C$10,$K317-기준정보!$C$5&lt;=기준정보!$C$11),기준정보!$C$10-1,$K317-기준정보!$C$5))</f>
        <v>46464</v>
      </c>
      <c r="M317" s="29" t="n">
        <f aca="false"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>15</v>
      </c>
      <c r="N317" s="28" t="n">
        <f aca="false">IF($L317="","",$L317-기준정보!$C$6-$M317)</f>
        <v>46359</v>
      </c>
      <c r="O317" s="30" t="n">
        <f aca="false">IF($N317="","",$N317-기준정보!$C$4)</f>
        <v>106</v>
      </c>
      <c r="P317" s="27"/>
      <c r="Q317" s="27" t="s">
        <v>100</v>
      </c>
      <c r="R317" s="27" t="s">
        <v>100</v>
      </c>
      <c r="S317" s="31"/>
      <c r="T317" s="26" t="str">
        <f aca="false">IF($H317="","",IF(AND(ISNUMBER(SEARCH("CMT",$H317)),OR(ISNUMBER(SEARCH("완사입",$H317)),ISNUMBER(SEARCH("ODM",$H317)))),"본사/생산처 혼재",IF(ISNUMBER(SEARCH("CMT",$H317)),"본사(소재팀)","생산처")))</f>
        <v>생산처</v>
      </c>
      <c r="U317" s="26" t="s">
        <v>280</v>
      </c>
      <c r="V317" s="26" t="s">
        <v>280</v>
      </c>
      <c r="W317" s="25" t="s">
        <v>103</v>
      </c>
      <c r="X317" s="25" t="s">
        <v>220</v>
      </c>
      <c r="Y317" s="35" t="s">
        <v>589</v>
      </c>
      <c r="Z317" s="32"/>
      <c r="AA317" s="28" t="n">
        <v>46205</v>
      </c>
      <c r="AB317" s="33" t="n">
        <v>1960</v>
      </c>
      <c r="AC317" s="33" t="n">
        <v>50985480</v>
      </c>
      <c r="AD317" s="33" t="n">
        <v>290080000</v>
      </c>
      <c r="AE317" s="26" t="s">
        <v>503</v>
      </c>
      <c r="AF317" s="26" t="str">
        <f aca="false"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>소재 입고일정 확인 필요</v>
      </c>
      <c r="AG317" s="24" t="str">
        <f aca="false">IF($K317="","",IF(OR(LEFT($AF317,2)="작지",LEFT($AF317,4)="소재입고"),IF(LEFT($G317,1)="S","★ 납기위험(S코드)","◆ 지연주의"),IF($AF317="정상","✓ 정상","? 확인필요")))</f>
        <v>? 확인필요</v>
      </c>
      <c r="AH317" s="27"/>
      <c r="AI317" s="34"/>
    </row>
    <row r="318" customFormat="false" ht="15" hidden="false" customHeight="false" outlineLevel="0" collapsed="false">
      <c r="A318" s="24" t="n">
        <v>314</v>
      </c>
      <c r="B318" s="25" t="s">
        <v>266</v>
      </c>
      <c r="C318" s="25" t="s">
        <v>271</v>
      </c>
      <c r="D318" s="26" t="s">
        <v>1194</v>
      </c>
      <c r="E318" s="25" t="s">
        <v>1195</v>
      </c>
      <c r="F318" s="26" t="s">
        <v>288</v>
      </c>
      <c r="G318" s="24" t="str">
        <f aca="false">IF($D318="","",IF(MID($D318,5,1)="S","S(봄)",IF(MID($D318,5,1)="M","M(여름)",IF(MID($D318,5,1)="X","X(사계절)",MID($D318,5,1)))))</f>
        <v>M(여름)</v>
      </c>
      <c r="H318" s="25" t="s">
        <v>97</v>
      </c>
      <c r="I318" s="24"/>
      <c r="J318" s="27" t="s">
        <v>503</v>
      </c>
      <c r="K318" s="28" t="n">
        <f aca="false">IF($J318="","",IFERROR(DATE(IF(VALUE(LEFT($J318,FIND("월",$J318)-1))&gt;=9,기준정보!$C$7-1,기준정보!$C$7),VALUE(LEFT($J318,FIND("월",$J318)-1)),1+7*(VALUE(SUBSTITUTE(MID($J318,FIND("월",$J318)+1,5),"주",""))-1)),""))</f>
        <v>46478</v>
      </c>
      <c r="L318" s="28" t="n">
        <f aca="false">IF($K318="","",IF(AND($K318-기준정보!$C$5&gt;=기준정보!$C$10,$K318-기준정보!$C$5&lt;=기준정보!$C$11),기준정보!$C$10-1,$K318-기준정보!$C$5))</f>
        <v>46464</v>
      </c>
      <c r="M318" s="29" t="n">
        <f aca="false"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>15</v>
      </c>
      <c r="N318" s="28" t="n">
        <f aca="false">IF($L318="","",$L318-기준정보!$C$6-$M318)</f>
        <v>46359</v>
      </c>
      <c r="O318" s="30" t="n">
        <f aca="false">IF($N318="","",$N318-기준정보!$C$4)</f>
        <v>106</v>
      </c>
      <c r="P318" s="27"/>
      <c r="Q318" s="27" t="s">
        <v>100</v>
      </c>
      <c r="R318" s="27" t="s">
        <v>101</v>
      </c>
      <c r="S318" s="31"/>
      <c r="T318" s="26" t="str">
        <f aca="false">IF($H318="","",IF(AND(ISNUMBER(SEARCH("CMT",$H318)),OR(ISNUMBER(SEARCH("완사입",$H318)),ISNUMBER(SEARCH("ODM",$H318)))),"본사/생산처 혼재",IF(ISNUMBER(SEARCH("CMT",$H318)),"본사(소재팀)","생산처")))</f>
        <v>생산처</v>
      </c>
      <c r="U318" s="25" t="s">
        <v>380</v>
      </c>
      <c r="V318" s="25" t="s">
        <v>380</v>
      </c>
      <c r="W318" s="25" t="s">
        <v>103</v>
      </c>
      <c r="X318" s="26" t="s">
        <v>247</v>
      </c>
      <c r="Y318" s="32" t="s">
        <v>1106</v>
      </c>
      <c r="Z318" s="32"/>
      <c r="AA318" s="28" t="n">
        <v>46225</v>
      </c>
      <c r="AB318" s="33" t="n">
        <v>1000</v>
      </c>
      <c r="AC318" s="33" t="n">
        <v>20952000</v>
      </c>
      <c r="AD318" s="33" t="n">
        <v>78000000</v>
      </c>
      <c r="AE318" s="26"/>
      <c r="AF318" s="26" t="str">
        <f aca="false"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>소재 입고일정 확인 필요</v>
      </c>
      <c r="AG318" s="24" t="str">
        <f aca="false">IF($K318="","",IF(OR(LEFT($AF318,2)="작지",LEFT($AF318,4)="소재입고"),IF(LEFT($G318,1)="S","★ 납기위험(S코드)","◆ 지연주의"),IF($AF318="정상","✓ 정상","? 확인필요")))</f>
        <v>? 확인필요</v>
      </c>
      <c r="AH318" s="27"/>
      <c r="AI318" s="34"/>
    </row>
    <row r="319" customFormat="false" ht="15" hidden="false" customHeight="false" outlineLevel="0" collapsed="false">
      <c r="A319" s="24" t="n">
        <v>315</v>
      </c>
      <c r="B319" s="25" t="s">
        <v>176</v>
      </c>
      <c r="C319" s="25" t="s">
        <v>177</v>
      </c>
      <c r="D319" s="26" t="s">
        <v>1196</v>
      </c>
      <c r="E319" s="26" t="s">
        <v>1197</v>
      </c>
      <c r="F319" s="26" t="s">
        <v>196</v>
      </c>
      <c r="G319" s="24" t="str">
        <f aca="false">IF($D319="","",IF(MID($D319,5,1)="S","S(봄)",IF(MID($D319,5,1)="M","M(여름)",IF(MID($D319,5,1)="X","X(사계절)",MID($D319,5,1)))))</f>
        <v>M(여름)</v>
      </c>
      <c r="H319" s="25" t="s">
        <v>97</v>
      </c>
      <c r="I319" s="24" t="s">
        <v>695</v>
      </c>
      <c r="J319" s="27" t="s">
        <v>1198</v>
      </c>
      <c r="K319" s="28" t="n">
        <f aca="false">IF($J319="","",IFERROR(DATE(IF(VALUE(LEFT($J319,FIND("월",$J319)-1))&gt;=9,기준정보!$C$7-1,기준정보!$C$7),VALUE(LEFT($J319,FIND("월",$J319)-1)),1+7*(VALUE(SUBSTITUTE(MID($J319,FIND("월",$J319)+1,5),"주",""))-1)),""))</f>
        <v>46485</v>
      </c>
      <c r="L319" s="28" t="n">
        <f aca="false">IF($K319="","",IF(AND($K319-기준정보!$C$5&gt;=기준정보!$C$10,$K319-기준정보!$C$5&lt;=기준정보!$C$11),기준정보!$C$10-1,$K319-기준정보!$C$5))</f>
        <v>46471</v>
      </c>
      <c r="M319" s="29" t="n">
        <f aca="false"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>15</v>
      </c>
      <c r="N319" s="28" t="n">
        <f aca="false">IF($L319="","",$L319-기준정보!$C$6-$M319)</f>
        <v>46366</v>
      </c>
      <c r="O319" s="30" t="n">
        <f aca="false">IF($N319="","",$N319-기준정보!$C$4)</f>
        <v>113</v>
      </c>
      <c r="P319" s="27"/>
      <c r="Q319" s="27" t="s">
        <v>100</v>
      </c>
      <c r="R319" s="27" t="s">
        <v>101</v>
      </c>
      <c r="S319" s="31"/>
      <c r="T319" s="26" t="str">
        <f aca="false">IF($H319="","",IF(AND(ISNUMBER(SEARCH("CMT",$H319)),OR(ISNUMBER(SEARCH("완사입",$H319)),ISNUMBER(SEARCH("ODM",$H319)))),"본사/생산처 혼재",IF(ISNUMBER(SEARCH("CMT",$H319)),"본사(소재팀)","생산처")))</f>
        <v>생산처</v>
      </c>
      <c r="U319" s="26" t="s">
        <v>235</v>
      </c>
      <c r="V319" s="26" t="s">
        <v>235</v>
      </c>
      <c r="W319" s="25" t="s">
        <v>103</v>
      </c>
      <c r="X319" s="26" t="s">
        <v>235</v>
      </c>
      <c r="Y319" s="32" t="s">
        <v>1199</v>
      </c>
      <c r="Z319" s="32"/>
      <c r="AA319" s="28"/>
      <c r="AB319" s="33" t="n">
        <v>0</v>
      </c>
      <c r="AC319" s="33" t="n">
        <v>3000000</v>
      </c>
      <c r="AD319" s="33" t="n">
        <v>9800000</v>
      </c>
      <c r="AE319" s="26"/>
      <c r="AF319" s="26" t="str">
        <f aca="false"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>소재 입고일정 확인 필요</v>
      </c>
      <c r="AG319" s="24" t="str">
        <f aca="false">IF($K319="","",IF(OR(LEFT($AF319,2)="작지",LEFT($AF319,4)="소재입고"),IF(LEFT($G319,1)="S","★ 납기위험(S코드)","◆ 지연주의"),IF($AF319="정상","✓ 정상","? 확인필요")))</f>
        <v>? 확인필요</v>
      </c>
      <c r="AH319" s="27"/>
      <c r="AI319" s="34"/>
    </row>
    <row r="320" customFormat="false" ht="15" hidden="false" customHeight="false" outlineLevel="0" collapsed="false">
      <c r="A320" s="24" t="n">
        <v>316</v>
      </c>
      <c r="B320" s="25" t="s">
        <v>176</v>
      </c>
      <c r="C320" s="25" t="s">
        <v>177</v>
      </c>
      <c r="D320" s="26" t="s">
        <v>1200</v>
      </c>
      <c r="E320" s="26" t="s">
        <v>1201</v>
      </c>
      <c r="F320" s="26" t="s">
        <v>212</v>
      </c>
      <c r="G320" s="24" t="str">
        <f aca="false">IF($D320="","",IF(MID($D320,5,1)="S","S(봄)",IF(MID($D320,5,1)="M","M(여름)",IF(MID($D320,5,1)="X","X(사계절)",MID($D320,5,1)))))</f>
        <v>M(여름)</v>
      </c>
      <c r="H320" s="25" t="s">
        <v>97</v>
      </c>
      <c r="I320" s="24" t="s">
        <v>695</v>
      </c>
      <c r="J320" s="27" t="s">
        <v>1198</v>
      </c>
      <c r="K320" s="28" t="n">
        <f aca="false">IF($J320="","",IFERROR(DATE(IF(VALUE(LEFT($J320,FIND("월",$J320)-1))&gt;=9,기준정보!$C$7-1,기준정보!$C$7),VALUE(LEFT($J320,FIND("월",$J320)-1)),1+7*(VALUE(SUBSTITUTE(MID($J320,FIND("월",$J320)+1,5),"주",""))-1)),""))</f>
        <v>46485</v>
      </c>
      <c r="L320" s="28" t="n">
        <f aca="false">IF($K320="","",IF(AND($K320-기준정보!$C$5&gt;=기준정보!$C$10,$K320-기준정보!$C$5&lt;=기준정보!$C$11),기준정보!$C$10-1,$K320-기준정보!$C$5))</f>
        <v>46471</v>
      </c>
      <c r="M320" s="29" t="n">
        <f aca="false"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>15</v>
      </c>
      <c r="N320" s="28" t="n">
        <f aca="false">IF($L320="","",$L320-기준정보!$C$6-$M320)</f>
        <v>46366</v>
      </c>
      <c r="O320" s="30" t="n">
        <f aca="false">IF($N320="","",$N320-기준정보!$C$4)</f>
        <v>113</v>
      </c>
      <c r="P320" s="27"/>
      <c r="Q320" s="27" t="s">
        <v>100</v>
      </c>
      <c r="R320" s="27" t="s">
        <v>101</v>
      </c>
      <c r="S320" s="31"/>
      <c r="T320" s="26" t="str">
        <f aca="false">IF($H320="","",IF(AND(ISNUMBER(SEARCH("CMT",$H320)),OR(ISNUMBER(SEARCH("완사입",$H320)),ISNUMBER(SEARCH("ODM",$H320)))),"본사/생산처 혼재",IF(ISNUMBER(SEARCH("CMT",$H320)),"본사(소재팀)","생산처")))</f>
        <v>생산처</v>
      </c>
      <c r="U320" s="26" t="s">
        <v>280</v>
      </c>
      <c r="V320" s="26" t="s">
        <v>280</v>
      </c>
      <c r="W320" s="25" t="s">
        <v>103</v>
      </c>
      <c r="X320" s="25" t="s">
        <v>344</v>
      </c>
      <c r="Y320" s="35" t="s">
        <v>1202</v>
      </c>
      <c r="Z320" s="32"/>
      <c r="AA320" s="28"/>
      <c r="AB320" s="33" t="n">
        <v>0</v>
      </c>
      <c r="AC320" s="33" t="n">
        <v>14775000</v>
      </c>
      <c r="AD320" s="33" t="n">
        <v>39500000</v>
      </c>
      <c r="AE320" s="26"/>
      <c r="AF320" s="26" t="str">
        <f aca="false"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>소재 입고일정 확인 필요</v>
      </c>
      <c r="AG320" s="24" t="str">
        <f aca="false">IF($K320="","",IF(OR(LEFT($AF320,2)="작지",LEFT($AF320,4)="소재입고"),IF(LEFT($G320,1)="S","★ 납기위험(S코드)","◆ 지연주의"),IF($AF320="정상","✓ 정상","? 확인필요")))</f>
        <v>? 확인필요</v>
      </c>
      <c r="AH320" s="27"/>
      <c r="AI320" s="34"/>
    </row>
    <row r="321" customFormat="false" ht="15" hidden="false" customHeight="false" outlineLevel="0" collapsed="false">
      <c r="A321" s="24" t="n">
        <v>317</v>
      </c>
      <c r="B321" s="25" t="s">
        <v>176</v>
      </c>
      <c r="C321" s="25" t="s">
        <v>188</v>
      </c>
      <c r="D321" s="26" t="s">
        <v>1203</v>
      </c>
      <c r="E321" s="26" t="s">
        <v>1204</v>
      </c>
      <c r="F321" s="26" t="s">
        <v>1205</v>
      </c>
      <c r="G321" s="24" t="str">
        <f aca="false">IF($D321="","",IF(MID($D321,5,1)="S","S(봄)",IF(MID($D321,5,1)="M","M(여름)",IF(MID($D321,5,1)="X","X(사계절)",MID($D321,5,1)))))</f>
        <v>M(여름)</v>
      </c>
      <c r="H321" s="25" t="s">
        <v>97</v>
      </c>
      <c r="I321" s="24" t="s">
        <v>695</v>
      </c>
      <c r="J321" s="27" t="s">
        <v>1198</v>
      </c>
      <c r="K321" s="28" t="n">
        <f aca="false">IF($J321="","",IFERROR(DATE(IF(VALUE(LEFT($J321,FIND("월",$J321)-1))&gt;=9,기준정보!$C$7-1,기준정보!$C$7),VALUE(LEFT($J321,FIND("월",$J321)-1)),1+7*(VALUE(SUBSTITUTE(MID($J321,FIND("월",$J321)+1,5),"주",""))-1)),""))</f>
        <v>46485</v>
      </c>
      <c r="L321" s="28" t="n">
        <f aca="false">IF($K321="","",IF(AND($K321-기준정보!$C$5&gt;=기준정보!$C$10,$K321-기준정보!$C$5&lt;=기준정보!$C$11),기준정보!$C$10-1,$K321-기준정보!$C$5))</f>
        <v>46471</v>
      </c>
      <c r="M321" s="29" t="n">
        <f aca="false"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>15</v>
      </c>
      <c r="N321" s="28" t="n">
        <f aca="false">IF($L321="","",$L321-기준정보!$C$6-$M321)</f>
        <v>46366</v>
      </c>
      <c r="O321" s="30" t="n">
        <f aca="false">IF($N321="","",$N321-기준정보!$C$4)</f>
        <v>113</v>
      </c>
      <c r="P321" s="27"/>
      <c r="Q321" s="27" t="s">
        <v>100</v>
      </c>
      <c r="R321" s="27" t="s">
        <v>101</v>
      </c>
      <c r="S321" s="31"/>
      <c r="T321" s="26" t="str">
        <f aca="false">IF($H321="","",IF(AND(ISNUMBER(SEARCH("CMT",$H321)),OR(ISNUMBER(SEARCH("완사입",$H321)),ISNUMBER(SEARCH("ODM",$H321)))),"본사/생산처 혼재",IF(ISNUMBER(SEARCH("CMT",$H321)),"본사(소재팀)","생산처")))</f>
        <v>생산처</v>
      </c>
      <c r="U321" s="25" t="s">
        <v>109</v>
      </c>
      <c r="V321" s="25" t="s">
        <v>109</v>
      </c>
      <c r="W321" s="25" t="s">
        <v>103</v>
      </c>
      <c r="X321" s="25" t="s">
        <v>1206</v>
      </c>
      <c r="Y321" s="35" t="s">
        <v>1207</v>
      </c>
      <c r="Z321" s="32"/>
      <c r="AA321" s="28"/>
      <c r="AB321" s="33" t="n">
        <v>0</v>
      </c>
      <c r="AC321" s="33" t="n">
        <v>64442700</v>
      </c>
      <c r="AD321" s="33" t="n">
        <v>203000000</v>
      </c>
      <c r="AE321" s="26"/>
      <c r="AF321" s="26" t="str">
        <f aca="false"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>소재 입고일정 확인 필요</v>
      </c>
      <c r="AG321" s="24" t="str">
        <f aca="false">IF($K321="","",IF(OR(LEFT($AF321,2)="작지",LEFT($AF321,4)="소재입고"),IF(LEFT($G321,1)="S","★ 납기위험(S코드)","◆ 지연주의"),IF($AF321="정상","✓ 정상","? 확인필요")))</f>
        <v>? 확인필요</v>
      </c>
      <c r="AH321" s="27"/>
      <c r="AI321" s="34"/>
    </row>
    <row r="322" customFormat="false" ht="15" hidden="false" customHeight="false" outlineLevel="0" collapsed="false">
      <c r="A322" s="24" t="n">
        <v>318</v>
      </c>
      <c r="B322" s="25" t="s">
        <v>176</v>
      </c>
      <c r="C322" s="25" t="s">
        <v>1208</v>
      </c>
      <c r="D322" s="26" t="s">
        <v>1209</v>
      </c>
      <c r="E322" s="26" t="s">
        <v>1210</v>
      </c>
      <c r="F322" s="26" t="s">
        <v>212</v>
      </c>
      <c r="G322" s="24" t="str">
        <f aca="false">IF($D322="","",IF(MID($D322,5,1)="S","S(봄)",IF(MID($D322,5,1)="M","M(여름)",IF(MID($D322,5,1)="X","X(사계절)",MID($D322,5,1)))))</f>
        <v>M(여름)</v>
      </c>
      <c r="H322" s="25" t="s">
        <v>97</v>
      </c>
      <c r="I322" s="24" t="s">
        <v>695</v>
      </c>
      <c r="J322" s="27" t="s">
        <v>1198</v>
      </c>
      <c r="K322" s="28" t="n">
        <f aca="false">IF($J322="","",IFERROR(DATE(IF(VALUE(LEFT($J322,FIND("월",$J322)-1))&gt;=9,기준정보!$C$7-1,기준정보!$C$7),VALUE(LEFT($J322,FIND("월",$J322)-1)),1+7*(VALUE(SUBSTITUTE(MID($J322,FIND("월",$J322)+1,5),"주",""))-1)),""))</f>
        <v>46485</v>
      </c>
      <c r="L322" s="28" t="n">
        <f aca="false">IF($K322="","",IF(AND($K322-기준정보!$C$5&gt;=기준정보!$C$10,$K322-기준정보!$C$5&lt;=기준정보!$C$11),기준정보!$C$10-1,$K322-기준정보!$C$5))</f>
        <v>46471</v>
      </c>
      <c r="M322" s="29" t="n">
        <f aca="false"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>15</v>
      </c>
      <c r="N322" s="28" t="n">
        <f aca="false">IF($L322="","",$L322-기준정보!$C$6-$M322)</f>
        <v>46366</v>
      </c>
      <c r="O322" s="30" t="n">
        <f aca="false">IF($N322="","",$N322-기준정보!$C$4)</f>
        <v>113</v>
      </c>
      <c r="P322" s="27"/>
      <c r="Q322" s="27" t="s">
        <v>100</v>
      </c>
      <c r="R322" s="27" t="s">
        <v>101</v>
      </c>
      <c r="S322" s="31"/>
      <c r="T322" s="26" t="str">
        <f aca="false">IF($H322="","",IF(AND(ISNUMBER(SEARCH("CMT",$H322)),OR(ISNUMBER(SEARCH("완사입",$H322)),ISNUMBER(SEARCH("ODM",$H322)))),"본사/생산처 혼재",IF(ISNUMBER(SEARCH("CMT",$H322)),"본사(소재팀)","생산처")))</f>
        <v>생산처</v>
      </c>
      <c r="U322" s="26" t="s">
        <v>280</v>
      </c>
      <c r="V322" s="26" t="s">
        <v>280</v>
      </c>
      <c r="W322" s="25" t="s">
        <v>103</v>
      </c>
      <c r="X322" s="25" t="s">
        <v>344</v>
      </c>
      <c r="Y322" s="35" t="s">
        <v>1202</v>
      </c>
      <c r="Z322" s="32"/>
      <c r="AA322" s="28"/>
      <c r="AB322" s="33" t="n">
        <v>0</v>
      </c>
      <c r="AC322" s="33" t="n">
        <v>14190000</v>
      </c>
      <c r="AD322" s="33" t="n">
        <v>41400000</v>
      </c>
      <c r="AE322" s="26"/>
      <c r="AF322" s="26" t="str">
        <f aca="false"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>소재 입고일정 확인 필요</v>
      </c>
      <c r="AG322" s="24" t="str">
        <f aca="false">IF($K322="","",IF(OR(LEFT($AF322,2)="작지",LEFT($AF322,4)="소재입고"),IF(LEFT($G322,1)="S","★ 납기위험(S코드)","◆ 지연주의"),IF($AF322="정상","✓ 정상","? 확인필요")))</f>
        <v>? 확인필요</v>
      </c>
      <c r="AH322" s="27"/>
      <c r="AI322" s="34"/>
    </row>
    <row r="323" customFormat="false" ht="15" hidden="false" customHeight="false" outlineLevel="0" collapsed="false">
      <c r="A323" s="24" t="n">
        <v>319</v>
      </c>
      <c r="B323" s="25" t="s">
        <v>176</v>
      </c>
      <c r="C323" s="25" t="s">
        <v>188</v>
      </c>
      <c r="D323" s="26" t="s">
        <v>1211</v>
      </c>
      <c r="E323" s="26" t="s">
        <v>1212</v>
      </c>
      <c r="F323" s="26" t="s">
        <v>1213</v>
      </c>
      <c r="G323" s="24" t="str">
        <f aca="false">IF($D323="","",IF(MID($D323,5,1)="S","S(봄)",IF(MID($D323,5,1)="M","M(여름)",IF(MID($D323,5,1)="X","X(사계절)",MID($D323,5,1)))))</f>
        <v>M(여름)</v>
      </c>
      <c r="H323" s="25" t="s">
        <v>97</v>
      </c>
      <c r="I323" s="24" t="s">
        <v>695</v>
      </c>
      <c r="J323" s="27" t="s">
        <v>1198</v>
      </c>
      <c r="K323" s="28" t="n">
        <f aca="false">IF($J323="","",IFERROR(DATE(IF(VALUE(LEFT($J323,FIND("월",$J323)-1))&gt;=9,기준정보!$C$7-1,기준정보!$C$7),VALUE(LEFT($J323,FIND("월",$J323)-1)),1+7*(VALUE(SUBSTITUTE(MID($J323,FIND("월",$J323)+1,5),"주",""))-1)),""))</f>
        <v>46485</v>
      </c>
      <c r="L323" s="28" t="n">
        <f aca="false">IF($K323="","",IF(AND($K323-기준정보!$C$5&gt;=기준정보!$C$10,$K323-기준정보!$C$5&lt;=기준정보!$C$11),기준정보!$C$10-1,$K323-기준정보!$C$5))</f>
        <v>46471</v>
      </c>
      <c r="M323" s="29" t="n">
        <f aca="false"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>15</v>
      </c>
      <c r="N323" s="28" t="n">
        <f aca="false">IF($L323="","",$L323-기준정보!$C$6-$M323)</f>
        <v>46366</v>
      </c>
      <c r="O323" s="30" t="n">
        <f aca="false">IF($N323="","",$N323-기준정보!$C$4)</f>
        <v>113</v>
      </c>
      <c r="P323" s="27"/>
      <c r="Q323" s="27" t="s">
        <v>100</v>
      </c>
      <c r="R323" s="27" t="s">
        <v>101</v>
      </c>
      <c r="S323" s="31"/>
      <c r="T323" s="26" t="str">
        <f aca="false">IF($H323="","",IF(AND(ISNUMBER(SEARCH("CMT",$H323)),OR(ISNUMBER(SEARCH("완사입",$H323)),ISNUMBER(SEARCH("ODM",$H323)))),"본사/생산처 혼재",IF(ISNUMBER(SEARCH("CMT",$H323)),"본사(소재팀)","생산처")))</f>
        <v>생산처</v>
      </c>
      <c r="U323" s="25" t="s">
        <v>234</v>
      </c>
      <c r="V323" s="26"/>
      <c r="W323" s="25" t="s">
        <v>163</v>
      </c>
      <c r="X323" s="26"/>
      <c r="Y323" s="32"/>
      <c r="Z323" s="32"/>
      <c r="AA323" s="28"/>
      <c r="AB323" s="33" t="n">
        <v>0</v>
      </c>
      <c r="AC323" s="33" t="n">
        <v>11279950</v>
      </c>
      <c r="AD323" s="33" t="n">
        <v>42900000</v>
      </c>
      <c r="AE323" s="26"/>
      <c r="AF323" s="26" t="str">
        <f aca="false"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>소재 입고일정 확인 필요</v>
      </c>
      <c r="AG323" s="24" t="str">
        <f aca="false">IF($K323="","",IF(OR(LEFT($AF323,2)="작지",LEFT($AF323,4)="소재입고"),IF(LEFT($G323,1)="S","★ 납기위험(S코드)","◆ 지연주의"),IF($AF323="정상","✓ 정상","? 확인필요")))</f>
        <v>? 확인필요</v>
      </c>
      <c r="AH323" s="27"/>
      <c r="AI323" s="34"/>
    </row>
    <row r="324" customFormat="false" ht="15" hidden="false" customHeight="false" outlineLevel="0" collapsed="false">
      <c r="A324" s="24" t="n">
        <v>320</v>
      </c>
      <c r="B324" s="25" t="s">
        <v>176</v>
      </c>
      <c r="C324" s="25" t="s">
        <v>188</v>
      </c>
      <c r="D324" s="26" t="s">
        <v>1214</v>
      </c>
      <c r="E324" s="26" t="s">
        <v>1215</v>
      </c>
      <c r="F324" s="26" t="s">
        <v>196</v>
      </c>
      <c r="G324" s="24" t="str">
        <f aca="false">IF($D324="","",IF(MID($D324,5,1)="S","S(봄)",IF(MID($D324,5,1)="M","M(여름)",IF(MID($D324,5,1)="X","X(사계절)",MID($D324,5,1)))))</f>
        <v>M(여름)</v>
      </c>
      <c r="H324" s="25" t="s">
        <v>97</v>
      </c>
      <c r="I324" s="24" t="s">
        <v>695</v>
      </c>
      <c r="J324" s="27" t="s">
        <v>1198</v>
      </c>
      <c r="K324" s="28" t="n">
        <f aca="false">IF($J324="","",IFERROR(DATE(IF(VALUE(LEFT($J324,FIND("월",$J324)-1))&gt;=9,기준정보!$C$7-1,기준정보!$C$7),VALUE(LEFT($J324,FIND("월",$J324)-1)),1+7*(VALUE(SUBSTITUTE(MID($J324,FIND("월",$J324)+1,5),"주",""))-1)),""))</f>
        <v>46485</v>
      </c>
      <c r="L324" s="28" t="n">
        <f aca="false">IF($K324="","",IF(AND($K324-기준정보!$C$5&gt;=기준정보!$C$10,$K324-기준정보!$C$5&lt;=기준정보!$C$11),기준정보!$C$10-1,$K324-기준정보!$C$5))</f>
        <v>46471</v>
      </c>
      <c r="M324" s="29" t="n">
        <f aca="false"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>15</v>
      </c>
      <c r="N324" s="28" t="n">
        <f aca="false">IF($L324="","",$L324-기준정보!$C$6-$M324)</f>
        <v>46366</v>
      </c>
      <c r="O324" s="30" t="n">
        <f aca="false">IF($N324="","",$N324-기준정보!$C$4)</f>
        <v>113</v>
      </c>
      <c r="P324" s="27"/>
      <c r="Q324" s="27" t="s">
        <v>100</v>
      </c>
      <c r="R324" s="27" t="s">
        <v>101</v>
      </c>
      <c r="S324" s="31"/>
      <c r="T324" s="26" t="str">
        <f aca="false">IF($H324="","",IF(AND(ISNUMBER(SEARCH("CMT",$H324)),OR(ISNUMBER(SEARCH("완사입",$H324)),ISNUMBER(SEARCH("ODM",$H324)))),"본사/생산처 혼재",IF(ISNUMBER(SEARCH("CMT",$H324)),"본사(소재팀)","생산처")))</f>
        <v>생산처</v>
      </c>
      <c r="U324" s="26" t="s">
        <v>1216</v>
      </c>
      <c r="V324" s="26"/>
      <c r="W324" s="25" t="s">
        <v>103</v>
      </c>
      <c r="X324" s="26"/>
      <c r="Y324" s="32"/>
      <c r="Z324" s="32"/>
      <c r="AA324" s="28"/>
      <c r="AB324" s="33" t="n">
        <v>0</v>
      </c>
      <c r="AC324" s="33" t="n">
        <v>4264706</v>
      </c>
      <c r="AD324" s="33" t="n">
        <v>14500000</v>
      </c>
      <c r="AE324" s="26"/>
      <c r="AF324" s="26" t="str">
        <f aca="false"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>소재 입고일정 확인 필요</v>
      </c>
      <c r="AG324" s="24" t="str">
        <f aca="false">IF($K324="","",IF(OR(LEFT($AF324,2)="작지",LEFT($AF324,4)="소재입고"),IF(LEFT($G324,1)="S","★ 납기위험(S코드)","◆ 지연주의"),IF($AF324="정상","✓ 정상","? 확인필요")))</f>
        <v>? 확인필요</v>
      </c>
      <c r="AH324" s="27"/>
      <c r="AI324" s="34"/>
    </row>
    <row r="325" customFormat="false" ht="15" hidden="false" customHeight="false" outlineLevel="0" collapsed="false">
      <c r="A325" s="24" t="n">
        <v>321</v>
      </c>
      <c r="B325" s="25" t="s">
        <v>176</v>
      </c>
      <c r="C325" s="25" t="s">
        <v>188</v>
      </c>
      <c r="D325" s="26" t="s">
        <v>1217</v>
      </c>
      <c r="E325" s="26" t="s">
        <v>1218</v>
      </c>
      <c r="F325" s="26" t="s">
        <v>196</v>
      </c>
      <c r="G325" s="24" t="str">
        <f aca="false">IF($D325="","",IF(MID($D325,5,1)="S","S(봄)",IF(MID($D325,5,1)="M","M(여름)",IF(MID($D325,5,1)="X","X(사계절)",MID($D325,5,1)))))</f>
        <v>M(여름)</v>
      </c>
      <c r="H325" s="25" t="s">
        <v>97</v>
      </c>
      <c r="I325" s="24" t="s">
        <v>695</v>
      </c>
      <c r="J325" s="27" t="s">
        <v>1198</v>
      </c>
      <c r="K325" s="28" t="n">
        <f aca="false">IF($J325="","",IFERROR(DATE(IF(VALUE(LEFT($J325,FIND("월",$J325)-1))&gt;=9,기준정보!$C$7-1,기준정보!$C$7),VALUE(LEFT($J325,FIND("월",$J325)-1)),1+7*(VALUE(SUBSTITUTE(MID($J325,FIND("월",$J325)+1,5),"주",""))-1)),""))</f>
        <v>46485</v>
      </c>
      <c r="L325" s="28" t="n">
        <f aca="false">IF($K325="","",IF(AND($K325-기준정보!$C$5&gt;=기준정보!$C$10,$K325-기준정보!$C$5&lt;=기준정보!$C$11),기준정보!$C$10-1,$K325-기준정보!$C$5))</f>
        <v>46471</v>
      </c>
      <c r="M325" s="29" t="n">
        <f aca="false"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>15</v>
      </c>
      <c r="N325" s="28" t="n">
        <f aca="false">IF($L325="","",$L325-기준정보!$C$6-$M325)</f>
        <v>46366</v>
      </c>
      <c r="O325" s="30" t="n">
        <f aca="false">IF($N325="","",$N325-기준정보!$C$4)</f>
        <v>113</v>
      </c>
      <c r="P325" s="27"/>
      <c r="Q325" s="27" t="s">
        <v>101</v>
      </c>
      <c r="R325" s="27" t="s">
        <v>101</v>
      </c>
      <c r="S325" s="31"/>
      <c r="T325" s="26" t="str">
        <f aca="false">IF($H325="","",IF(AND(ISNUMBER(SEARCH("CMT",$H325)),OR(ISNUMBER(SEARCH("완사입",$H325)),ISNUMBER(SEARCH("ODM",$H325)))),"본사/생산처 혼재",IF(ISNUMBER(SEARCH("CMT",$H325)),"본사(소재팀)","생산처")))</f>
        <v>생산처</v>
      </c>
      <c r="U325" s="25" t="s">
        <v>197</v>
      </c>
      <c r="V325" s="26"/>
      <c r="W325" s="25" t="s">
        <v>103</v>
      </c>
      <c r="X325" s="26"/>
      <c r="Y325" s="32"/>
      <c r="Z325" s="32"/>
      <c r="AA325" s="28"/>
      <c r="AB325" s="33" t="n">
        <v>0</v>
      </c>
      <c r="AC325" s="33" t="n">
        <v>3411765</v>
      </c>
      <c r="AD325" s="33" t="n">
        <v>11600000</v>
      </c>
      <c r="AE325" s="26"/>
      <c r="AF325" s="26" t="str">
        <f aca="false"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>작지 미발행</v>
      </c>
      <c r="AG325" s="24" t="str">
        <f aca="false">IF($K325="","",IF(OR(LEFT($AF325,2)="작지",LEFT($AF325,4)="소재입고"),IF(LEFT($G325,1)="S","★ 납기위험(S코드)","◆ 지연주의"),IF($AF325="정상","✓ 정상","? 확인필요")))</f>
        <v>◆ 지연주의</v>
      </c>
      <c r="AH325" s="27"/>
      <c r="AI325" s="34"/>
    </row>
    <row r="326" customFormat="false" ht="15" hidden="false" customHeight="false" outlineLevel="0" collapsed="false">
      <c r="A326" s="24" t="n">
        <v>322</v>
      </c>
      <c r="B326" s="25" t="s">
        <v>176</v>
      </c>
      <c r="C326" s="25" t="s">
        <v>188</v>
      </c>
      <c r="D326" s="26" t="s">
        <v>1219</v>
      </c>
      <c r="E326" s="26" t="s">
        <v>1220</v>
      </c>
      <c r="F326" s="26" t="s">
        <v>620</v>
      </c>
      <c r="G326" s="24" t="str">
        <f aca="false">IF($D326="","",IF(MID($D326,5,1)="S","S(봄)",IF(MID($D326,5,1)="M","M(여름)",IF(MID($D326,5,1)="X","X(사계절)",MID($D326,5,1)))))</f>
        <v>M(여름)</v>
      </c>
      <c r="H326" s="25" t="s">
        <v>97</v>
      </c>
      <c r="I326" s="24" t="s">
        <v>695</v>
      </c>
      <c r="J326" s="27" t="s">
        <v>1198</v>
      </c>
      <c r="K326" s="28" t="n">
        <f aca="false">IF($J326="","",IFERROR(DATE(IF(VALUE(LEFT($J326,FIND("월",$J326)-1))&gt;=9,기준정보!$C$7-1,기준정보!$C$7),VALUE(LEFT($J326,FIND("월",$J326)-1)),1+7*(VALUE(SUBSTITUTE(MID($J326,FIND("월",$J326)+1,5),"주",""))-1)),""))</f>
        <v>46485</v>
      </c>
      <c r="L326" s="28" t="n">
        <f aca="false">IF($K326="","",IF(AND($K326-기준정보!$C$5&gt;=기준정보!$C$10,$K326-기준정보!$C$5&lt;=기준정보!$C$11),기준정보!$C$10-1,$K326-기준정보!$C$5))</f>
        <v>46471</v>
      </c>
      <c r="M326" s="29" t="n">
        <f aca="false"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>15</v>
      </c>
      <c r="N326" s="28" t="n">
        <f aca="false">IF($L326="","",$L326-기준정보!$C$6-$M326)</f>
        <v>46366</v>
      </c>
      <c r="O326" s="30" t="n">
        <f aca="false">IF($N326="","",$N326-기준정보!$C$4)</f>
        <v>113</v>
      </c>
      <c r="P326" s="27"/>
      <c r="Q326" s="27" t="s">
        <v>100</v>
      </c>
      <c r="R326" s="27" t="s">
        <v>101</v>
      </c>
      <c r="S326" s="31"/>
      <c r="T326" s="26" t="str">
        <f aca="false">IF($H326="","",IF(AND(ISNUMBER(SEARCH("CMT",$H326)),OR(ISNUMBER(SEARCH("완사입",$H326)),ISNUMBER(SEARCH("ODM",$H326)))),"본사/생산처 혼재",IF(ISNUMBER(SEARCH("CMT",$H326)),"본사(소재팀)","생산처")))</f>
        <v>생산처</v>
      </c>
      <c r="U326" s="25" t="s">
        <v>197</v>
      </c>
      <c r="V326" s="26"/>
      <c r="W326" s="25" t="s">
        <v>103</v>
      </c>
      <c r="X326" s="26"/>
      <c r="Y326" s="32"/>
      <c r="Z326" s="32"/>
      <c r="AA326" s="28"/>
      <c r="AB326" s="33" t="n">
        <v>0</v>
      </c>
      <c r="AC326" s="33" t="n">
        <v>3752941</v>
      </c>
      <c r="AD326" s="33" t="n">
        <v>12760000</v>
      </c>
      <c r="AE326" s="26"/>
      <c r="AF326" s="26" t="str">
        <f aca="false"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>소재 입고일정 확인 필요</v>
      </c>
      <c r="AG326" s="24" t="str">
        <f aca="false">IF($K326="","",IF(OR(LEFT($AF326,2)="작지",LEFT($AF326,4)="소재입고"),IF(LEFT($G326,1)="S","★ 납기위험(S코드)","◆ 지연주의"),IF($AF326="정상","✓ 정상","? 확인필요")))</f>
        <v>? 확인필요</v>
      </c>
      <c r="AH326" s="27"/>
      <c r="AI326" s="34"/>
    </row>
    <row r="327" customFormat="false" ht="15" hidden="false" customHeight="false" outlineLevel="0" collapsed="false">
      <c r="A327" s="24" t="n">
        <v>323</v>
      </c>
      <c r="B327" s="25" t="s">
        <v>176</v>
      </c>
      <c r="C327" s="25" t="s">
        <v>188</v>
      </c>
      <c r="D327" s="26" t="s">
        <v>1221</v>
      </c>
      <c r="E327" s="26" t="s">
        <v>1222</v>
      </c>
      <c r="F327" s="26" t="s">
        <v>1223</v>
      </c>
      <c r="G327" s="24" t="str">
        <f aca="false">IF($D327="","",IF(MID($D327,5,1)="S","S(봄)",IF(MID($D327,5,1)="M","M(여름)",IF(MID($D327,5,1)="X","X(사계절)",MID($D327,5,1)))))</f>
        <v>M(여름)</v>
      </c>
      <c r="H327" s="25" t="s">
        <v>97</v>
      </c>
      <c r="I327" s="24" t="s">
        <v>695</v>
      </c>
      <c r="J327" s="27" t="s">
        <v>1198</v>
      </c>
      <c r="K327" s="28" t="n">
        <f aca="false">IF($J327="","",IFERROR(DATE(IF(VALUE(LEFT($J327,FIND("월",$J327)-1))&gt;=9,기준정보!$C$7-1,기준정보!$C$7),VALUE(LEFT($J327,FIND("월",$J327)-1)),1+7*(VALUE(SUBSTITUTE(MID($J327,FIND("월",$J327)+1,5),"주",""))-1)),""))</f>
        <v>46485</v>
      </c>
      <c r="L327" s="28" t="n">
        <f aca="false">IF($K327="","",IF(AND($K327-기준정보!$C$5&gt;=기준정보!$C$10,$K327-기준정보!$C$5&lt;=기준정보!$C$11),기준정보!$C$10-1,$K327-기준정보!$C$5))</f>
        <v>46471</v>
      </c>
      <c r="M327" s="29" t="n">
        <f aca="false"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>0</v>
      </c>
      <c r="N327" s="28" t="n">
        <f aca="false">IF($L327="","",$L327-기준정보!$C$6-$M327)</f>
        <v>46381</v>
      </c>
      <c r="O327" s="30" t="n">
        <f aca="false">IF($N327="","",$N327-기준정보!$C$4)</f>
        <v>128</v>
      </c>
      <c r="P327" s="27"/>
      <c r="Q327" s="27" t="s">
        <v>100</v>
      </c>
      <c r="R327" s="27" t="s">
        <v>101</v>
      </c>
      <c r="S327" s="31"/>
      <c r="T327" s="26" t="str">
        <f aca="false">IF($H327="","",IF(AND(ISNUMBER(SEARCH("CMT",$H327)),OR(ISNUMBER(SEARCH("완사입",$H327)),ISNUMBER(SEARCH("ODM",$H327)))),"본사/생산처 혼재",IF(ISNUMBER(SEARCH("CMT",$H327)),"본사(소재팀)","생산처")))</f>
        <v>생산처</v>
      </c>
      <c r="U327" s="25" t="s">
        <v>952</v>
      </c>
      <c r="V327" s="26"/>
      <c r="W327" s="25" t="s">
        <v>202</v>
      </c>
      <c r="X327" s="26"/>
      <c r="Y327" s="32"/>
      <c r="Z327" s="32"/>
      <c r="AA327" s="28"/>
      <c r="AB327" s="33" t="n">
        <v>0</v>
      </c>
      <c r="AC327" s="33" t="n">
        <v>10000000</v>
      </c>
      <c r="AD327" s="33" t="n">
        <v>34000000</v>
      </c>
      <c r="AE327" s="26"/>
      <c r="AF327" s="26" t="str">
        <f aca="false"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>소재 입고일정 확인 필요</v>
      </c>
      <c r="AG327" s="24" t="str">
        <f aca="false">IF($K327="","",IF(OR(LEFT($AF327,2)="작지",LEFT($AF327,4)="소재입고"),IF(LEFT($G327,1)="S","★ 납기위험(S코드)","◆ 지연주의"),IF($AF327="정상","✓ 정상","? 확인필요")))</f>
        <v>? 확인필요</v>
      </c>
      <c r="AH327" s="27"/>
      <c r="AI327" s="34"/>
    </row>
    <row r="328" customFormat="false" ht="15" hidden="false" customHeight="false" outlineLevel="0" collapsed="false">
      <c r="A328" s="24" t="n">
        <v>324</v>
      </c>
      <c r="B328" s="25" t="s">
        <v>176</v>
      </c>
      <c r="C328" s="25" t="s">
        <v>188</v>
      </c>
      <c r="D328" s="26" t="s">
        <v>1224</v>
      </c>
      <c r="E328" s="26" t="s">
        <v>1225</v>
      </c>
      <c r="F328" s="26" t="s">
        <v>1146</v>
      </c>
      <c r="G328" s="24" t="str">
        <f aca="false">IF($D328="","",IF(MID($D328,5,1)="S","S(봄)",IF(MID($D328,5,1)="M","M(여름)",IF(MID($D328,5,1)="X","X(사계절)",MID($D328,5,1)))))</f>
        <v>M(여름)</v>
      </c>
      <c r="H328" s="25" t="s">
        <v>97</v>
      </c>
      <c r="I328" s="24" t="s">
        <v>695</v>
      </c>
      <c r="J328" s="27" t="s">
        <v>1198</v>
      </c>
      <c r="K328" s="28" t="n">
        <f aca="false">IF($J328="","",IFERROR(DATE(IF(VALUE(LEFT($J328,FIND("월",$J328)-1))&gt;=9,기준정보!$C$7-1,기준정보!$C$7),VALUE(LEFT($J328,FIND("월",$J328)-1)),1+7*(VALUE(SUBSTITUTE(MID($J328,FIND("월",$J328)+1,5),"주",""))-1)),""))</f>
        <v>46485</v>
      </c>
      <c r="L328" s="28" t="n">
        <f aca="false">IF($K328="","",IF(AND($K328-기준정보!$C$5&gt;=기준정보!$C$10,$K328-기준정보!$C$5&lt;=기준정보!$C$11),기준정보!$C$10-1,$K328-기준정보!$C$5))</f>
        <v>46471</v>
      </c>
      <c r="M328" s="29" t="n">
        <f aca="false"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>15</v>
      </c>
      <c r="N328" s="28" t="n">
        <f aca="false">IF($L328="","",$L328-기준정보!$C$6-$M328)</f>
        <v>46366</v>
      </c>
      <c r="O328" s="30" t="n">
        <f aca="false">IF($N328="","",$N328-기준정보!$C$4)</f>
        <v>113</v>
      </c>
      <c r="P328" s="27"/>
      <c r="Q328" s="27" t="s">
        <v>101</v>
      </c>
      <c r="R328" s="27" t="s">
        <v>101</v>
      </c>
      <c r="S328" s="31"/>
      <c r="T328" s="26" t="str">
        <f aca="false">IF($H328="","",IF(AND(ISNUMBER(SEARCH("CMT",$H328)),OR(ISNUMBER(SEARCH("완사입",$H328)),ISNUMBER(SEARCH("ODM",$H328)))),"본사/생산처 혼재",IF(ISNUMBER(SEARCH("CMT",$H328)),"본사(소재팀)","생산처")))</f>
        <v>생산처</v>
      </c>
      <c r="U328" s="25" t="s">
        <v>206</v>
      </c>
      <c r="V328" s="26"/>
      <c r="W328" s="25" t="s">
        <v>103</v>
      </c>
      <c r="X328" s="26"/>
      <c r="Y328" s="32"/>
      <c r="Z328" s="32"/>
      <c r="AA328" s="28"/>
      <c r="AB328" s="33" t="n">
        <v>0</v>
      </c>
      <c r="AC328" s="33" t="n">
        <v>4588235</v>
      </c>
      <c r="AD328" s="33" t="n">
        <v>15600000</v>
      </c>
      <c r="AE328" s="26"/>
      <c r="AF328" s="26" t="str">
        <f aca="false"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>작지 미발행</v>
      </c>
      <c r="AG328" s="24" t="str">
        <f aca="false">IF($K328="","",IF(OR(LEFT($AF328,2)="작지",LEFT($AF328,4)="소재입고"),IF(LEFT($G328,1)="S","★ 납기위험(S코드)","◆ 지연주의"),IF($AF328="정상","✓ 정상","? 확인필요")))</f>
        <v>◆ 지연주의</v>
      </c>
      <c r="AH328" s="27"/>
      <c r="AI328" s="34"/>
    </row>
    <row r="329" customFormat="false" ht="15" hidden="false" customHeight="false" outlineLevel="0" collapsed="false">
      <c r="A329" s="24" t="n">
        <v>325</v>
      </c>
      <c r="B329" s="25" t="s">
        <v>176</v>
      </c>
      <c r="C329" s="25" t="s">
        <v>188</v>
      </c>
      <c r="D329" s="26" t="s">
        <v>1226</v>
      </c>
      <c r="E329" s="26" t="s">
        <v>1227</v>
      </c>
      <c r="F329" s="26" t="s">
        <v>121</v>
      </c>
      <c r="G329" s="24" t="str">
        <f aca="false">IF($D329="","",IF(MID($D329,5,1)="S","S(봄)",IF(MID($D329,5,1)="M","M(여름)",IF(MID($D329,5,1)="X","X(사계절)",MID($D329,5,1)))))</f>
        <v>M(여름)</v>
      </c>
      <c r="H329" s="25" t="s">
        <v>97</v>
      </c>
      <c r="I329" s="24" t="s">
        <v>695</v>
      </c>
      <c r="J329" s="27" t="s">
        <v>1198</v>
      </c>
      <c r="K329" s="28" t="n">
        <f aca="false">IF($J329="","",IFERROR(DATE(IF(VALUE(LEFT($J329,FIND("월",$J329)-1))&gt;=9,기준정보!$C$7-1,기준정보!$C$7),VALUE(LEFT($J329,FIND("월",$J329)-1)),1+7*(VALUE(SUBSTITUTE(MID($J329,FIND("월",$J329)+1,5),"주",""))-1)),""))</f>
        <v>46485</v>
      </c>
      <c r="L329" s="28" t="n">
        <f aca="false">IF($K329="","",IF(AND($K329-기준정보!$C$5&gt;=기준정보!$C$10,$K329-기준정보!$C$5&lt;=기준정보!$C$11),기준정보!$C$10-1,$K329-기준정보!$C$5))</f>
        <v>46471</v>
      </c>
      <c r="M329" s="29" t="n">
        <f aca="false"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>15</v>
      </c>
      <c r="N329" s="28" t="n">
        <f aca="false">IF($L329="","",$L329-기준정보!$C$6-$M329)</f>
        <v>46366</v>
      </c>
      <c r="O329" s="30" t="n">
        <f aca="false">IF($N329="","",$N329-기준정보!$C$4)</f>
        <v>113</v>
      </c>
      <c r="P329" s="27"/>
      <c r="Q329" s="27" t="s">
        <v>100</v>
      </c>
      <c r="R329" s="27" t="s">
        <v>101</v>
      </c>
      <c r="S329" s="31"/>
      <c r="T329" s="26" t="str">
        <f aca="false">IF($H329="","",IF(AND(ISNUMBER(SEARCH("CMT",$H329)),OR(ISNUMBER(SEARCH("완사입",$H329)),ISNUMBER(SEARCH("ODM",$H329)))),"본사/생산처 혼재",IF(ISNUMBER(SEARCH("CMT",$H329)),"본사(소재팀)","생산처")))</f>
        <v>생산처</v>
      </c>
      <c r="U329" s="25" t="s">
        <v>324</v>
      </c>
      <c r="V329" s="25" t="s">
        <v>324</v>
      </c>
      <c r="W329" s="25" t="s">
        <v>103</v>
      </c>
      <c r="X329" s="26" t="s">
        <v>816</v>
      </c>
      <c r="Y329" s="32" t="s">
        <v>1228</v>
      </c>
      <c r="Z329" s="32"/>
      <c r="AA329" s="28" t="n">
        <v>46181</v>
      </c>
      <c r="AB329" s="33" t="n">
        <v>0</v>
      </c>
      <c r="AC329" s="33" t="n">
        <v>43884050</v>
      </c>
      <c r="AD329" s="33" t="n">
        <v>98000000</v>
      </c>
      <c r="AE329" s="26"/>
      <c r="AF329" s="26" t="str">
        <f aca="false"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>소재 입고일정 확인 필요</v>
      </c>
      <c r="AG329" s="24" t="str">
        <f aca="false">IF($K329="","",IF(OR(LEFT($AF329,2)="작지",LEFT($AF329,4)="소재입고"),IF(LEFT($G329,1)="S","★ 납기위험(S코드)","◆ 지연주의"),IF($AF329="정상","✓ 정상","? 확인필요")))</f>
        <v>? 확인필요</v>
      </c>
      <c r="AH329" s="27"/>
      <c r="AI329" s="34"/>
    </row>
    <row r="330" customFormat="false" ht="15" hidden="false" customHeight="false" outlineLevel="0" collapsed="false">
      <c r="A330" s="24" t="n">
        <v>326</v>
      </c>
      <c r="B330" s="25" t="s">
        <v>176</v>
      </c>
      <c r="C330" s="25" t="s">
        <v>177</v>
      </c>
      <c r="D330" s="26" t="s">
        <v>1229</v>
      </c>
      <c r="E330" s="26" t="s">
        <v>1230</v>
      </c>
      <c r="F330" s="26" t="s">
        <v>205</v>
      </c>
      <c r="G330" s="24" t="str">
        <f aca="false">IF($D330="","",IF(MID($D330,5,1)="S","S(봄)",IF(MID($D330,5,1)="M","M(여름)",IF(MID($D330,5,1)="X","X(사계절)",MID($D330,5,1)))))</f>
        <v>M(여름)</v>
      </c>
      <c r="H330" s="25" t="s">
        <v>97</v>
      </c>
      <c r="I330" s="24" t="s">
        <v>695</v>
      </c>
      <c r="J330" s="27" t="s">
        <v>1198</v>
      </c>
      <c r="K330" s="28" t="n">
        <f aca="false">IF($J330="","",IFERROR(DATE(IF(VALUE(LEFT($J330,FIND("월",$J330)-1))&gt;=9,기준정보!$C$7-1,기준정보!$C$7),VALUE(LEFT($J330,FIND("월",$J330)-1)),1+7*(VALUE(SUBSTITUTE(MID($J330,FIND("월",$J330)+1,5),"주",""))-1)),""))</f>
        <v>46485</v>
      </c>
      <c r="L330" s="28" t="n">
        <f aca="false">IF($K330="","",IF(AND($K330-기준정보!$C$5&gt;=기준정보!$C$10,$K330-기준정보!$C$5&lt;=기준정보!$C$11),기준정보!$C$10-1,$K330-기준정보!$C$5))</f>
        <v>46471</v>
      </c>
      <c r="M330" s="29" t="n">
        <f aca="false"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>15</v>
      </c>
      <c r="N330" s="28" t="n">
        <f aca="false">IF($L330="","",$L330-기준정보!$C$6-$M330)</f>
        <v>46366</v>
      </c>
      <c r="O330" s="30" t="n">
        <f aca="false">IF($N330="","",$N330-기준정보!$C$4)</f>
        <v>113</v>
      </c>
      <c r="P330" s="27"/>
      <c r="Q330" s="27" t="s">
        <v>100</v>
      </c>
      <c r="R330" s="27" t="s">
        <v>101</v>
      </c>
      <c r="S330" s="31"/>
      <c r="T330" s="26" t="str">
        <f aca="false">IF($H330="","",IF(AND(ISNUMBER(SEARCH("CMT",$H330)),OR(ISNUMBER(SEARCH("완사입",$H330)),ISNUMBER(SEARCH("ODM",$H330)))),"본사/생산처 혼재",IF(ISNUMBER(SEARCH("CMT",$H330)),"본사(소재팀)","생산처")))</f>
        <v>생산처</v>
      </c>
      <c r="U330" s="26" t="s">
        <v>183</v>
      </c>
      <c r="V330" s="26" t="s">
        <v>183</v>
      </c>
      <c r="W330" s="25" t="s">
        <v>103</v>
      </c>
      <c r="X330" s="25" t="s">
        <v>344</v>
      </c>
      <c r="Y330" s="35" t="s">
        <v>696</v>
      </c>
      <c r="Z330" s="32"/>
      <c r="AA330" s="28"/>
      <c r="AB330" s="33" t="n">
        <v>0</v>
      </c>
      <c r="AC330" s="33" t="n">
        <v>19950000</v>
      </c>
      <c r="AD330" s="33" t="n">
        <v>57500000</v>
      </c>
      <c r="AE330" s="26"/>
      <c r="AF330" s="26" t="str">
        <f aca="false"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>소재 입고일정 확인 필요</v>
      </c>
      <c r="AG330" s="24" t="str">
        <f aca="false">IF($K330="","",IF(OR(LEFT($AF330,2)="작지",LEFT($AF330,4)="소재입고"),IF(LEFT($G330,1)="S","★ 납기위험(S코드)","◆ 지연주의"),IF($AF330="정상","✓ 정상","? 확인필요")))</f>
        <v>? 확인필요</v>
      </c>
      <c r="AH330" s="27"/>
      <c r="AI330" s="34"/>
    </row>
    <row r="331" customFormat="false" ht="15" hidden="false" customHeight="false" outlineLevel="0" collapsed="false">
      <c r="A331" s="24" t="n">
        <v>327</v>
      </c>
      <c r="B331" s="25" t="s">
        <v>176</v>
      </c>
      <c r="C331" s="25" t="s">
        <v>177</v>
      </c>
      <c r="D331" s="26" t="s">
        <v>1231</v>
      </c>
      <c r="E331" s="26" t="s">
        <v>1232</v>
      </c>
      <c r="F331" s="26" t="s">
        <v>205</v>
      </c>
      <c r="G331" s="24" t="str">
        <f aca="false">IF($D331="","",IF(MID($D331,5,1)="S","S(봄)",IF(MID($D331,5,1)="M","M(여름)",IF(MID($D331,5,1)="X","X(사계절)",MID($D331,5,1)))))</f>
        <v>M(여름)</v>
      </c>
      <c r="H331" s="25" t="s">
        <v>97</v>
      </c>
      <c r="I331" s="24" t="s">
        <v>695</v>
      </c>
      <c r="J331" s="27" t="s">
        <v>1198</v>
      </c>
      <c r="K331" s="28" t="n">
        <f aca="false">IF($J331="","",IFERROR(DATE(IF(VALUE(LEFT($J331,FIND("월",$J331)-1))&gt;=9,기준정보!$C$7-1,기준정보!$C$7),VALUE(LEFT($J331,FIND("월",$J331)-1)),1+7*(VALUE(SUBSTITUTE(MID($J331,FIND("월",$J331)+1,5),"주",""))-1)),""))</f>
        <v>46485</v>
      </c>
      <c r="L331" s="28" t="n">
        <f aca="false">IF($K331="","",IF(AND($K331-기준정보!$C$5&gt;=기준정보!$C$10,$K331-기준정보!$C$5&lt;=기준정보!$C$11),기준정보!$C$10-1,$K331-기준정보!$C$5))</f>
        <v>46471</v>
      </c>
      <c r="M331" s="29" t="n">
        <f aca="false"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>15</v>
      </c>
      <c r="N331" s="28" t="n">
        <f aca="false">IF($L331="","",$L331-기준정보!$C$6-$M331)</f>
        <v>46366</v>
      </c>
      <c r="O331" s="30" t="n">
        <f aca="false">IF($N331="","",$N331-기준정보!$C$4)</f>
        <v>113</v>
      </c>
      <c r="P331" s="27"/>
      <c r="Q331" s="27" t="s">
        <v>100</v>
      </c>
      <c r="R331" s="27" t="s">
        <v>101</v>
      </c>
      <c r="S331" s="31"/>
      <c r="T331" s="26" t="str">
        <f aca="false">IF($H331="","",IF(AND(ISNUMBER(SEARCH("CMT",$H331)),OR(ISNUMBER(SEARCH("완사입",$H331)),ISNUMBER(SEARCH("ODM",$H331)))),"본사/생산처 혼재",IF(ISNUMBER(SEARCH("CMT",$H331)),"본사(소재팀)","생산처")))</f>
        <v>생산처</v>
      </c>
      <c r="U331" s="26" t="s">
        <v>183</v>
      </c>
      <c r="V331" s="26" t="s">
        <v>183</v>
      </c>
      <c r="W331" s="25" t="s">
        <v>103</v>
      </c>
      <c r="X331" s="25" t="s">
        <v>344</v>
      </c>
      <c r="Y331" s="35" t="s">
        <v>696</v>
      </c>
      <c r="Z331" s="32"/>
      <c r="AA331" s="28"/>
      <c r="AB331" s="33" t="n">
        <v>0</v>
      </c>
      <c r="AC331" s="33" t="n">
        <v>14388000</v>
      </c>
      <c r="AD331" s="33" t="n">
        <v>34760000</v>
      </c>
      <c r="AE331" s="26"/>
      <c r="AF331" s="26" t="str">
        <f aca="false"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>소재 입고일정 확인 필요</v>
      </c>
      <c r="AG331" s="24" t="str">
        <f aca="false">IF($K331="","",IF(OR(LEFT($AF331,2)="작지",LEFT($AF331,4)="소재입고"),IF(LEFT($G331,1)="S","★ 납기위험(S코드)","◆ 지연주의"),IF($AF331="정상","✓ 정상","? 확인필요")))</f>
        <v>? 확인필요</v>
      </c>
      <c r="AH331" s="27"/>
      <c r="AI331" s="34"/>
    </row>
    <row r="332" customFormat="false" ht="15" hidden="false" customHeight="false" outlineLevel="0" collapsed="false">
      <c r="A332" s="24" t="n">
        <v>328</v>
      </c>
      <c r="B332" s="25" t="s">
        <v>176</v>
      </c>
      <c r="C332" s="25" t="s">
        <v>188</v>
      </c>
      <c r="D332" s="26" t="s">
        <v>1233</v>
      </c>
      <c r="E332" s="26" t="s">
        <v>1234</v>
      </c>
      <c r="F332" s="26" t="s">
        <v>196</v>
      </c>
      <c r="G332" s="24" t="str">
        <f aca="false">IF($D332="","",IF(MID($D332,5,1)="S","S(봄)",IF(MID($D332,5,1)="M","M(여름)",IF(MID($D332,5,1)="X","X(사계절)",MID($D332,5,1)))))</f>
        <v>M(여름)</v>
      </c>
      <c r="H332" s="25" t="s">
        <v>97</v>
      </c>
      <c r="I332" s="24" t="s">
        <v>695</v>
      </c>
      <c r="J332" s="27" t="s">
        <v>1198</v>
      </c>
      <c r="K332" s="28" t="n">
        <f aca="false">IF($J332="","",IFERROR(DATE(IF(VALUE(LEFT($J332,FIND("월",$J332)-1))&gt;=9,기준정보!$C$7-1,기준정보!$C$7),VALUE(LEFT($J332,FIND("월",$J332)-1)),1+7*(VALUE(SUBSTITUTE(MID($J332,FIND("월",$J332)+1,5),"주",""))-1)),""))</f>
        <v>46485</v>
      </c>
      <c r="L332" s="28" t="n">
        <f aca="false">IF($K332="","",IF(AND($K332-기준정보!$C$5&gt;=기준정보!$C$10,$K332-기준정보!$C$5&lt;=기준정보!$C$11),기준정보!$C$10-1,$K332-기준정보!$C$5))</f>
        <v>46471</v>
      </c>
      <c r="M332" s="29" t="n">
        <f aca="false"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>15</v>
      </c>
      <c r="N332" s="28" t="n">
        <f aca="false">IF($L332="","",$L332-기준정보!$C$6-$M332)</f>
        <v>46366</v>
      </c>
      <c r="O332" s="30" t="n">
        <f aca="false">IF($N332="","",$N332-기준정보!$C$4)</f>
        <v>113</v>
      </c>
      <c r="P332" s="27"/>
      <c r="Q332" s="27" t="s">
        <v>100</v>
      </c>
      <c r="R332" s="27" t="s">
        <v>101</v>
      </c>
      <c r="S332" s="31"/>
      <c r="T332" s="26" t="str">
        <f aca="false">IF($H332="","",IF(AND(ISNUMBER(SEARCH("CMT",$H332)),OR(ISNUMBER(SEARCH("완사입",$H332)),ISNUMBER(SEARCH("ODM",$H332)))),"본사/생산처 혼재",IF(ISNUMBER(SEARCH("CMT",$H332)),"본사(소재팀)","생산처")))</f>
        <v>생산처</v>
      </c>
      <c r="U332" s="26" t="s">
        <v>280</v>
      </c>
      <c r="V332" s="26" t="s">
        <v>280</v>
      </c>
      <c r="W332" s="25" t="s">
        <v>103</v>
      </c>
      <c r="X332" s="25" t="s">
        <v>1235</v>
      </c>
      <c r="Y332" s="35" t="s">
        <v>1236</v>
      </c>
      <c r="Z332" s="32"/>
      <c r="AA332" s="28"/>
      <c r="AB332" s="33" t="n">
        <v>0</v>
      </c>
      <c r="AC332" s="33" t="n">
        <v>8010000</v>
      </c>
      <c r="AD332" s="33" t="n">
        <v>23700000</v>
      </c>
      <c r="AE332" s="26"/>
      <c r="AF332" s="26" t="str">
        <f aca="false"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>소재 입고일정 확인 필요</v>
      </c>
      <c r="AG332" s="24" t="str">
        <f aca="false">IF($K332="","",IF(OR(LEFT($AF332,2)="작지",LEFT($AF332,4)="소재입고"),IF(LEFT($G332,1)="S","★ 납기위험(S코드)","◆ 지연주의"),IF($AF332="정상","✓ 정상","? 확인필요")))</f>
        <v>? 확인필요</v>
      </c>
      <c r="AH332" s="27"/>
      <c r="AI332" s="34"/>
    </row>
    <row r="333" customFormat="false" ht="15" hidden="false" customHeight="false" outlineLevel="0" collapsed="false">
      <c r="A333" s="24" t="n">
        <v>329</v>
      </c>
      <c r="B333" s="25" t="s">
        <v>176</v>
      </c>
      <c r="C333" s="25" t="s">
        <v>177</v>
      </c>
      <c r="D333" s="26" t="s">
        <v>1237</v>
      </c>
      <c r="E333" s="26" t="s">
        <v>1238</v>
      </c>
      <c r="F333" s="26" t="s">
        <v>288</v>
      </c>
      <c r="G333" s="24" t="str">
        <f aca="false">IF($D333="","",IF(MID($D333,5,1)="S","S(봄)",IF(MID($D333,5,1)="M","M(여름)",IF(MID($D333,5,1)="X","X(사계절)",MID($D333,5,1)))))</f>
        <v>M(여름)</v>
      </c>
      <c r="H333" s="25" t="s">
        <v>97</v>
      </c>
      <c r="I333" s="24" t="s">
        <v>695</v>
      </c>
      <c r="J333" s="27" t="s">
        <v>1198</v>
      </c>
      <c r="K333" s="28" t="n">
        <f aca="false">IF($J333="","",IFERROR(DATE(IF(VALUE(LEFT($J333,FIND("월",$J333)-1))&gt;=9,기준정보!$C$7-1,기준정보!$C$7),VALUE(LEFT($J333,FIND("월",$J333)-1)),1+7*(VALUE(SUBSTITUTE(MID($J333,FIND("월",$J333)+1,5),"주",""))-1)),""))</f>
        <v>46485</v>
      </c>
      <c r="L333" s="28" t="n">
        <f aca="false">IF($K333="","",IF(AND($K333-기준정보!$C$5&gt;=기준정보!$C$10,$K333-기준정보!$C$5&lt;=기준정보!$C$11),기준정보!$C$10-1,$K333-기준정보!$C$5))</f>
        <v>46471</v>
      </c>
      <c r="M333" s="29" t="n">
        <f aca="false"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>15</v>
      </c>
      <c r="N333" s="28" t="n">
        <f aca="false">IF($L333="","",$L333-기준정보!$C$6-$M333)</f>
        <v>46366</v>
      </c>
      <c r="O333" s="30" t="n">
        <f aca="false">IF($N333="","",$N333-기준정보!$C$4)</f>
        <v>113</v>
      </c>
      <c r="P333" s="27"/>
      <c r="Q333" s="27" t="s">
        <v>100</v>
      </c>
      <c r="R333" s="27" t="s">
        <v>101</v>
      </c>
      <c r="S333" s="31"/>
      <c r="T333" s="26" t="str">
        <f aca="false">IF($H333="","",IF(AND(ISNUMBER(SEARCH("CMT",$H333)),OR(ISNUMBER(SEARCH("완사입",$H333)),ISNUMBER(SEARCH("ODM",$H333)))),"본사/생산처 혼재",IF(ISNUMBER(SEARCH("CMT",$H333)),"본사(소재팀)","생산처")))</f>
        <v>생산처</v>
      </c>
      <c r="U333" s="26" t="s">
        <v>183</v>
      </c>
      <c r="V333" s="26" t="s">
        <v>183</v>
      </c>
      <c r="W333" s="25" t="s">
        <v>103</v>
      </c>
      <c r="X333" s="25" t="s">
        <v>184</v>
      </c>
      <c r="Y333" s="35" t="s">
        <v>185</v>
      </c>
      <c r="Z333" s="32"/>
      <c r="AA333" s="28"/>
      <c r="AB333" s="33" t="n">
        <v>0</v>
      </c>
      <c r="AC333" s="33" t="n">
        <v>16900000</v>
      </c>
      <c r="AD333" s="33" t="n">
        <v>33600000</v>
      </c>
      <c r="AE333" s="26"/>
      <c r="AF333" s="26" t="str">
        <f aca="false"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>소재 입고일정 확인 필요</v>
      </c>
      <c r="AG333" s="24" t="str">
        <f aca="false">IF($K333="","",IF(OR(LEFT($AF333,2)="작지",LEFT($AF333,4)="소재입고"),IF(LEFT($G333,1)="S","★ 납기위험(S코드)","◆ 지연주의"),IF($AF333="정상","✓ 정상","? 확인필요")))</f>
        <v>? 확인필요</v>
      </c>
      <c r="AH333" s="27"/>
      <c r="AI333" s="34"/>
    </row>
    <row r="334" customFormat="false" ht="26.85" hidden="false" customHeight="false" outlineLevel="0" collapsed="false">
      <c r="A334" s="24" t="n">
        <v>330</v>
      </c>
      <c r="B334" s="25" t="s">
        <v>176</v>
      </c>
      <c r="C334" s="25" t="s">
        <v>177</v>
      </c>
      <c r="D334" s="26" t="s">
        <v>1239</v>
      </c>
      <c r="E334" s="26" t="s">
        <v>1240</v>
      </c>
      <c r="F334" s="26" t="s">
        <v>205</v>
      </c>
      <c r="G334" s="24" t="str">
        <f aca="false">IF($D334="","",IF(MID($D334,5,1)="S","S(봄)",IF(MID($D334,5,1)="M","M(여름)",IF(MID($D334,5,1)="X","X(사계절)",MID($D334,5,1)))))</f>
        <v>M(여름)</v>
      </c>
      <c r="H334" s="25" t="s">
        <v>97</v>
      </c>
      <c r="I334" s="24" t="s">
        <v>695</v>
      </c>
      <c r="J334" s="27" t="s">
        <v>1198</v>
      </c>
      <c r="K334" s="28" t="n">
        <f aca="false">IF($J334="","",IFERROR(DATE(IF(VALUE(LEFT($J334,FIND("월",$J334)-1))&gt;=9,기준정보!$C$7-1,기준정보!$C$7),VALUE(LEFT($J334,FIND("월",$J334)-1)),1+7*(VALUE(SUBSTITUTE(MID($J334,FIND("월",$J334)+1,5),"주",""))-1)),""))</f>
        <v>46485</v>
      </c>
      <c r="L334" s="28" t="n">
        <f aca="false">IF($K334="","",IF(AND($K334-기준정보!$C$5&gt;=기준정보!$C$10,$K334-기준정보!$C$5&lt;=기준정보!$C$11),기준정보!$C$10-1,$K334-기준정보!$C$5))</f>
        <v>46471</v>
      </c>
      <c r="M334" s="29" t="n">
        <f aca="false"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>15</v>
      </c>
      <c r="N334" s="28" t="n">
        <f aca="false">IF($L334="","",$L334-기준정보!$C$6-$M334)</f>
        <v>46366</v>
      </c>
      <c r="O334" s="30" t="n">
        <f aca="false">IF($N334="","",$N334-기준정보!$C$4)</f>
        <v>113</v>
      </c>
      <c r="P334" s="27"/>
      <c r="Q334" s="27" t="s">
        <v>100</v>
      </c>
      <c r="R334" s="27" t="s">
        <v>101</v>
      </c>
      <c r="S334" s="31"/>
      <c r="T334" s="26" t="str">
        <f aca="false">IF($H334="","",IF(AND(ISNUMBER(SEARCH("CMT",$H334)),OR(ISNUMBER(SEARCH("완사입",$H334)),ISNUMBER(SEARCH("ODM",$H334)))),"본사/생산처 혼재",IF(ISNUMBER(SEARCH("CMT",$H334)),"본사(소재팀)","생산처")))</f>
        <v>생산처</v>
      </c>
      <c r="U334" s="25" t="s">
        <v>324</v>
      </c>
      <c r="V334" s="25" t="s">
        <v>324</v>
      </c>
      <c r="W334" s="25" t="s">
        <v>103</v>
      </c>
      <c r="X334" s="25" t="s">
        <v>1241</v>
      </c>
      <c r="Y334" s="35" t="s">
        <v>1242</v>
      </c>
      <c r="Z334" s="32"/>
      <c r="AA334" s="28"/>
      <c r="AB334" s="33" t="n">
        <v>0</v>
      </c>
      <c r="AC334" s="33" t="n">
        <v>25353600</v>
      </c>
      <c r="AD334" s="33" t="n">
        <v>56400000</v>
      </c>
      <c r="AE334" s="26"/>
      <c r="AF334" s="26" t="str">
        <f aca="false"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>소재 입고일정 확인 필요</v>
      </c>
      <c r="AG334" s="24" t="str">
        <f aca="false">IF($K334="","",IF(OR(LEFT($AF334,2)="작지",LEFT($AF334,4)="소재입고"),IF(LEFT($G334,1)="S","★ 납기위험(S코드)","◆ 지연주의"),IF($AF334="정상","✓ 정상","? 확인필요")))</f>
        <v>? 확인필요</v>
      </c>
      <c r="AH334" s="27"/>
      <c r="AI334" s="34"/>
    </row>
    <row r="335" customFormat="false" ht="15" hidden="false" customHeight="false" outlineLevel="0" collapsed="false">
      <c r="A335" s="24" t="n">
        <v>331</v>
      </c>
      <c r="B335" s="25" t="s">
        <v>176</v>
      </c>
      <c r="C335" s="25" t="s">
        <v>188</v>
      </c>
      <c r="D335" s="26" t="s">
        <v>1243</v>
      </c>
      <c r="E335" s="26" t="s">
        <v>1244</v>
      </c>
      <c r="F335" s="26" t="s">
        <v>121</v>
      </c>
      <c r="G335" s="24" t="str">
        <f aca="false">IF($D335="","",IF(MID($D335,5,1)="S","S(봄)",IF(MID($D335,5,1)="M","M(여름)",IF(MID($D335,5,1)="X","X(사계절)",MID($D335,5,1)))))</f>
        <v>M(여름)</v>
      </c>
      <c r="H335" s="25" t="s">
        <v>97</v>
      </c>
      <c r="I335" s="24" t="s">
        <v>695</v>
      </c>
      <c r="J335" s="27" t="s">
        <v>1198</v>
      </c>
      <c r="K335" s="28" t="n">
        <f aca="false">IF($J335="","",IFERROR(DATE(IF(VALUE(LEFT($J335,FIND("월",$J335)-1))&gt;=9,기준정보!$C$7-1,기준정보!$C$7),VALUE(LEFT($J335,FIND("월",$J335)-1)),1+7*(VALUE(SUBSTITUTE(MID($J335,FIND("월",$J335)+1,5),"주",""))-1)),""))</f>
        <v>46485</v>
      </c>
      <c r="L335" s="28" t="n">
        <f aca="false">IF($K335="","",IF(AND($K335-기준정보!$C$5&gt;=기준정보!$C$10,$K335-기준정보!$C$5&lt;=기준정보!$C$11),기준정보!$C$10-1,$K335-기준정보!$C$5))</f>
        <v>46471</v>
      </c>
      <c r="M335" s="29" t="n">
        <f aca="false"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>0</v>
      </c>
      <c r="N335" s="28" t="n">
        <f aca="false">IF($L335="","",$L335-기준정보!$C$6-$M335)</f>
        <v>46381</v>
      </c>
      <c r="O335" s="30" t="n">
        <f aca="false">IF($N335="","",$N335-기준정보!$C$4)</f>
        <v>128</v>
      </c>
      <c r="P335" s="27"/>
      <c r="Q335" s="27" t="s">
        <v>100</v>
      </c>
      <c r="R335" s="27" t="s">
        <v>101</v>
      </c>
      <c r="S335" s="31"/>
      <c r="T335" s="26" t="str">
        <f aca="false">IF($H335="","",IF(AND(ISNUMBER(SEARCH("CMT",$H335)),OR(ISNUMBER(SEARCH("완사입",$H335)),ISNUMBER(SEARCH("ODM",$H335)))),"본사/생산처 혼재",IF(ISNUMBER(SEARCH("CMT",$H335)),"본사(소재팀)","생산처")))</f>
        <v>생산처</v>
      </c>
      <c r="U335" s="25" t="s">
        <v>234</v>
      </c>
      <c r="V335" s="25" t="s">
        <v>234</v>
      </c>
      <c r="W335" s="25" t="s">
        <v>202</v>
      </c>
      <c r="X335" s="25" t="s">
        <v>1235</v>
      </c>
      <c r="Y335" s="35" t="s">
        <v>1236</v>
      </c>
      <c r="Z335" s="32"/>
      <c r="AA335" s="28"/>
      <c r="AB335" s="33" t="n">
        <v>0</v>
      </c>
      <c r="AC335" s="33" t="n">
        <v>14170800</v>
      </c>
      <c r="AD335" s="33" t="n">
        <v>32400000</v>
      </c>
      <c r="AE335" s="26"/>
      <c r="AF335" s="26" t="str">
        <f aca="false"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>소재 입고일정 확인 필요</v>
      </c>
      <c r="AG335" s="24" t="str">
        <f aca="false">IF($K335="","",IF(OR(LEFT($AF335,2)="작지",LEFT($AF335,4)="소재입고"),IF(LEFT($G335,1)="S","★ 납기위험(S코드)","◆ 지연주의"),IF($AF335="정상","✓ 정상","? 확인필요")))</f>
        <v>? 확인필요</v>
      </c>
      <c r="AH335" s="27"/>
      <c r="AI335" s="34"/>
    </row>
    <row r="336" customFormat="false" ht="15" hidden="false" customHeight="false" outlineLevel="0" collapsed="false">
      <c r="A336" s="24" t="n">
        <v>332</v>
      </c>
      <c r="B336" s="25" t="s">
        <v>176</v>
      </c>
      <c r="C336" s="25" t="s">
        <v>177</v>
      </c>
      <c r="D336" s="26" t="s">
        <v>1245</v>
      </c>
      <c r="E336" s="26" t="s">
        <v>1246</v>
      </c>
      <c r="F336" s="26" t="s">
        <v>1247</v>
      </c>
      <c r="G336" s="24" t="str">
        <f aca="false">IF($D336="","",IF(MID($D336,5,1)="S","S(봄)",IF(MID($D336,5,1)="M","M(여름)",IF(MID($D336,5,1)="X","X(사계절)",MID($D336,5,1)))))</f>
        <v>M(여름)</v>
      </c>
      <c r="H336" s="25" t="s">
        <v>97</v>
      </c>
      <c r="I336" s="24" t="s">
        <v>695</v>
      </c>
      <c r="J336" s="27" t="s">
        <v>1198</v>
      </c>
      <c r="K336" s="28" t="n">
        <f aca="false">IF($J336="","",IFERROR(DATE(IF(VALUE(LEFT($J336,FIND("월",$J336)-1))&gt;=9,기준정보!$C$7-1,기준정보!$C$7),VALUE(LEFT($J336,FIND("월",$J336)-1)),1+7*(VALUE(SUBSTITUTE(MID($J336,FIND("월",$J336)+1,5),"주",""))-1)),""))</f>
        <v>46485</v>
      </c>
      <c r="L336" s="28" t="n">
        <f aca="false">IF($K336="","",IF(AND($K336-기준정보!$C$5&gt;=기준정보!$C$10,$K336-기준정보!$C$5&lt;=기준정보!$C$11),기준정보!$C$10-1,$K336-기준정보!$C$5))</f>
        <v>46471</v>
      </c>
      <c r="M336" s="29" t="n">
        <f aca="false"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>0</v>
      </c>
      <c r="N336" s="28" t="n">
        <f aca="false">IF($L336="","",$L336-기준정보!$C$6-$M336)</f>
        <v>46381</v>
      </c>
      <c r="O336" s="30" t="n">
        <f aca="false">IF($N336="","",$N336-기준정보!$C$4)</f>
        <v>128</v>
      </c>
      <c r="P336" s="27"/>
      <c r="Q336" s="27" t="s">
        <v>100</v>
      </c>
      <c r="R336" s="27" t="s">
        <v>101</v>
      </c>
      <c r="S336" s="31"/>
      <c r="T336" s="26" t="str">
        <f aca="false">IF($H336="","",IF(AND(ISNUMBER(SEARCH("CMT",$H336)),OR(ISNUMBER(SEARCH("완사입",$H336)),ISNUMBER(SEARCH("ODM",$H336)))),"본사/생산처 혼재",IF(ISNUMBER(SEARCH("CMT",$H336)),"본사(소재팀)","생산처")))</f>
        <v>생산처</v>
      </c>
      <c r="U336" s="25" t="s">
        <v>234</v>
      </c>
      <c r="V336" s="25" t="s">
        <v>234</v>
      </c>
      <c r="W336" s="25" t="s">
        <v>202</v>
      </c>
      <c r="X336" s="25" t="s">
        <v>578</v>
      </c>
      <c r="Y336" s="35" t="s">
        <v>1248</v>
      </c>
      <c r="Z336" s="32"/>
      <c r="AA336" s="28"/>
      <c r="AB336" s="33" t="n">
        <v>0</v>
      </c>
      <c r="AC336" s="33" t="n">
        <v>19205600</v>
      </c>
      <c r="AD336" s="33" t="n">
        <v>59200000</v>
      </c>
      <c r="AE336" s="26"/>
      <c r="AF336" s="26" t="str">
        <f aca="false"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>소재 입고일정 확인 필요</v>
      </c>
      <c r="AG336" s="24" t="str">
        <f aca="false">IF($K336="","",IF(OR(LEFT($AF336,2)="작지",LEFT($AF336,4)="소재입고"),IF(LEFT($G336,1)="S","★ 납기위험(S코드)","◆ 지연주의"),IF($AF336="정상","✓ 정상","? 확인필요")))</f>
        <v>? 확인필요</v>
      </c>
      <c r="AH336" s="27"/>
      <c r="AI336" s="34"/>
    </row>
    <row r="337" customFormat="false" ht="15" hidden="false" customHeight="false" outlineLevel="0" collapsed="false">
      <c r="A337" s="24" t="n">
        <v>333</v>
      </c>
      <c r="B337" s="25" t="s">
        <v>176</v>
      </c>
      <c r="C337" s="25" t="s">
        <v>188</v>
      </c>
      <c r="D337" s="26" t="s">
        <v>1249</v>
      </c>
      <c r="E337" s="26" t="s">
        <v>1250</v>
      </c>
      <c r="F337" s="26" t="s">
        <v>1247</v>
      </c>
      <c r="G337" s="24" t="str">
        <f aca="false">IF($D337="","",IF(MID($D337,5,1)="S","S(봄)",IF(MID($D337,5,1)="M","M(여름)",IF(MID($D337,5,1)="X","X(사계절)",MID($D337,5,1)))))</f>
        <v>M(여름)</v>
      </c>
      <c r="H337" s="25" t="s">
        <v>97</v>
      </c>
      <c r="I337" s="24" t="s">
        <v>695</v>
      </c>
      <c r="J337" s="27" t="s">
        <v>1198</v>
      </c>
      <c r="K337" s="28" t="n">
        <f aca="false">IF($J337="","",IFERROR(DATE(IF(VALUE(LEFT($J337,FIND("월",$J337)-1))&gt;=9,기준정보!$C$7-1,기준정보!$C$7),VALUE(LEFT($J337,FIND("월",$J337)-1)),1+7*(VALUE(SUBSTITUTE(MID($J337,FIND("월",$J337)+1,5),"주",""))-1)),""))</f>
        <v>46485</v>
      </c>
      <c r="L337" s="28" t="n">
        <f aca="false">IF($K337="","",IF(AND($K337-기준정보!$C$5&gt;=기준정보!$C$10,$K337-기준정보!$C$5&lt;=기준정보!$C$11),기준정보!$C$10-1,$K337-기준정보!$C$5))</f>
        <v>46471</v>
      </c>
      <c r="M337" s="29" t="n">
        <f aca="false"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>15</v>
      </c>
      <c r="N337" s="28" t="n">
        <f aca="false">IF($L337="","",$L337-기준정보!$C$6-$M337)</f>
        <v>46366</v>
      </c>
      <c r="O337" s="30" t="n">
        <f aca="false">IF($N337="","",$N337-기준정보!$C$4)</f>
        <v>113</v>
      </c>
      <c r="P337" s="27"/>
      <c r="Q337" s="27" t="s">
        <v>100</v>
      </c>
      <c r="R337" s="27" t="s">
        <v>101</v>
      </c>
      <c r="S337" s="31"/>
      <c r="T337" s="26" t="str">
        <f aca="false">IF($H337="","",IF(AND(ISNUMBER(SEARCH("CMT",$H337)),OR(ISNUMBER(SEARCH("완사입",$H337)),ISNUMBER(SEARCH("ODM",$H337)))),"본사/생산처 혼재",IF(ISNUMBER(SEARCH("CMT",$H337)),"본사(소재팀)","생산처")))</f>
        <v>생산처</v>
      </c>
      <c r="U337" s="25" t="s">
        <v>234</v>
      </c>
      <c r="V337" s="25" t="s">
        <v>234</v>
      </c>
      <c r="W337" s="25" t="s">
        <v>163</v>
      </c>
      <c r="X337" s="25" t="s">
        <v>240</v>
      </c>
      <c r="Y337" s="35" t="s">
        <v>241</v>
      </c>
      <c r="Z337" s="32"/>
      <c r="AA337" s="28"/>
      <c r="AB337" s="33" t="n">
        <v>0</v>
      </c>
      <c r="AC337" s="33" t="n">
        <v>9513420</v>
      </c>
      <c r="AD337" s="33" t="n">
        <v>36960000</v>
      </c>
      <c r="AE337" s="26"/>
      <c r="AF337" s="26" t="str">
        <f aca="false"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>소재 입고일정 확인 필요</v>
      </c>
      <c r="AG337" s="24" t="str">
        <f aca="false">IF($K337="","",IF(OR(LEFT($AF337,2)="작지",LEFT($AF337,4)="소재입고"),IF(LEFT($G337,1)="S","★ 납기위험(S코드)","◆ 지연주의"),IF($AF337="정상","✓ 정상","? 확인필요")))</f>
        <v>? 확인필요</v>
      </c>
      <c r="AH337" s="27"/>
      <c r="AI337" s="34"/>
    </row>
    <row r="338" customFormat="false" ht="15" hidden="false" customHeight="false" outlineLevel="0" collapsed="false">
      <c r="A338" s="24" t="n">
        <v>334</v>
      </c>
      <c r="B338" s="25" t="s">
        <v>176</v>
      </c>
      <c r="C338" s="25" t="s">
        <v>177</v>
      </c>
      <c r="D338" s="26" t="s">
        <v>1251</v>
      </c>
      <c r="E338" s="26" t="s">
        <v>1252</v>
      </c>
      <c r="F338" s="26" t="s">
        <v>196</v>
      </c>
      <c r="G338" s="24" t="str">
        <f aca="false">IF($D338="","",IF(MID($D338,5,1)="S","S(봄)",IF(MID($D338,5,1)="M","M(여름)",IF(MID($D338,5,1)="X","X(사계절)",MID($D338,5,1)))))</f>
        <v>M(여름)</v>
      </c>
      <c r="H338" s="25" t="s">
        <v>97</v>
      </c>
      <c r="I338" s="24" t="s">
        <v>695</v>
      </c>
      <c r="J338" s="27" t="s">
        <v>1198</v>
      </c>
      <c r="K338" s="28" t="n">
        <f aca="false">IF($J338="","",IFERROR(DATE(IF(VALUE(LEFT($J338,FIND("월",$J338)-1))&gt;=9,기준정보!$C$7-1,기준정보!$C$7),VALUE(LEFT($J338,FIND("월",$J338)-1)),1+7*(VALUE(SUBSTITUTE(MID($J338,FIND("월",$J338)+1,5),"주",""))-1)),""))</f>
        <v>46485</v>
      </c>
      <c r="L338" s="28" t="n">
        <f aca="false">IF($K338="","",IF(AND($K338-기준정보!$C$5&gt;=기준정보!$C$10,$K338-기준정보!$C$5&lt;=기준정보!$C$11),기준정보!$C$10-1,$K338-기준정보!$C$5))</f>
        <v>46471</v>
      </c>
      <c r="M338" s="29" t="n">
        <f aca="false"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>15</v>
      </c>
      <c r="N338" s="28" t="n">
        <f aca="false">IF($L338="","",$L338-기준정보!$C$6-$M338)</f>
        <v>46366</v>
      </c>
      <c r="O338" s="30" t="n">
        <f aca="false">IF($N338="","",$N338-기준정보!$C$4)</f>
        <v>113</v>
      </c>
      <c r="P338" s="27"/>
      <c r="Q338" s="27" t="s">
        <v>100</v>
      </c>
      <c r="R338" s="27" t="s">
        <v>101</v>
      </c>
      <c r="S338" s="31"/>
      <c r="T338" s="26" t="str">
        <f aca="false">IF($H338="","",IF(AND(ISNUMBER(SEARCH("CMT",$H338)),OR(ISNUMBER(SEARCH("완사입",$H338)),ISNUMBER(SEARCH("ODM",$H338)))),"본사/생산처 혼재",IF(ISNUMBER(SEARCH("CMT",$H338)),"본사(소재팀)","생산처")))</f>
        <v>생산처</v>
      </c>
      <c r="U338" s="25" t="s">
        <v>380</v>
      </c>
      <c r="V338" s="25" t="s">
        <v>380</v>
      </c>
      <c r="W338" s="25" t="s">
        <v>103</v>
      </c>
      <c r="X338" s="26" t="s">
        <v>839</v>
      </c>
      <c r="Y338" s="32" t="s">
        <v>840</v>
      </c>
      <c r="Z338" s="32"/>
      <c r="AA338" s="28" t="n">
        <v>46189</v>
      </c>
      <c r="AB338" s="33" t="n">
        <v>0</v>
      </c>
      <c r="AC338" s="33" t="n">
        <v>0</v>
      </c>
      <c r="AD338" s="33" t="n">
        <v>9800000</v>
      </c>
      <c r="AE338" s="26"/>
      <c r="AF338" s="26" t="str">
        <f aca="false"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>소재 입고일정 확인 필요</v>
      </c>
      <c r="AG338" s="24" t="str">
        <f aca="false">IF($K338="","",IF(OR(LEFT($AF338,2)="작지",LEFT($AF338,4)="소재입고"),IF(LEFT($G338,1)="S","★ 납기위험(S코드)","◆ 지연주의"),IF($AF338="정상","✓ 정상","? 확인필요")))</f>
        <v>? 확인필요</v>
      </c>
      <c r="AH338" s="27"/>
      <c r="AI338" s="34"/>
    </row>
    <row r="339" customFormat="false" ht="15" hidden="false" customHeight="false" outlineLevel="0" collapsed="false">
      <c r="A339" s="24" t="n">
        <v>335</v>
      </c>
      <c r="B339" s="25" t="s">
        <v>176</v>
      </c>
      <c r="C339" s="25" t="s">
        <v>177</v>
      </c>
      <c r="D339" s="26" t="s">
        <v>1253</v>
      </c>
      <c r="E339" s="26" t="s">
        <v>1254</v>
      </c>
      <c r="F339" s="26" t="s">
        <v>1255</v>
      </c>
      <c r="G339" s="24" t="str">
        <f aca="false">IF($D339="","",IF(MID($D339,5,1)="S","S(봄)",IF(MID($D339,5,1)="M","M(여름)",IF(MID($D339,5,1)="X","X(사계절)",MID($D339,5,1)))))</f>
        <v>M(여름)</v>
      </c>
      <c r="H339" s="25" t="s">
        <v>97</v>
      </c>
      <c r="I339" s="24" t="s">
        <v>695</v>
      </c>
      <c r="J339" s="27" t="s">
        <v>1198</v>
      </c>
      <c r="K339" s="28" t="n">
        <f aca="false">IF($J339="","",IFERROR(DATE(IF(VALUE(LEFT($J339,FIND("월",$J339)-1))&gt;=9,기준정보!$C$7-1,기준정보!$C$7),VALUE(LEFT($J339,FIND("월",$J339)-1)),1+7*(VALUE(SUBSTITUTE(MID($J339,FIND("월",$J339)+1,5),"주",""))-1)),""))</f>
        <v>46485</v>
      </c>
      <c r="L339" s="28" t="n">
        <f aca="false">IF($K339="","",IF(AND($K339-기준정보!$C$5&gt;=기준정보!$C$10,$K339-기준정보!$C$5&lt;=기준정보!$C$11),기준정보!$C$10-1,$K339-기준정보!$C$5))</f>
        <v>46471</v>
      </c>
      <c r="M339" s="29" t="n">
        <f aca="false"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>0</v>
      </c>
      <c r="N339" s="28" t="n">
        <f aca="false">IF($L339="","",$L339-기준정보!$C$6-$M339)</f>
        <v>46381</v>
      </c>
      <c r="O339" s="30" t="n">
        <f aca="false">IF($N339="","",$N339-기준정보!$C$4)</f>
        <v>128</v>
      </c>
      <c r="P339" s="27"/>
      <c r="Q339" s="27" t="s">
        <v>100</v>
      </c>
      <c r="R339" s="27" t="s">
        <v>101</v>
      </c>
      <c r="S339" s="31"/>
      <c r="T339" s="26" t="str">
        <f aca="false">IF($H339="","",IF(AND(ISNUMBER(SEARCH("CMT",$H339)),OR(ISNUMBER(SEARCH("완사입",$H339)),ISNUMBER(SEARCH("ODM",$H339)))),"본사/생산처 혼재",IF(ISNUMBER(SEARCH("CMT",$H339)),"본사(소재팀)","생산처")))</f>
        <v>생산처</v>
      </c>
      <c r="U339" s="25" t="s">
        <v>234</v>
      </c>
      <c r="V339" s="26"/>
      <c r="W339" s="25" t="s">
        <v>202</v>
      </c>
      <c r="X339" s="26"/>
      <c r="Y339" s="32"/>
      <c r="Z339" s="32"/>
      <c r="AA339" s="28"/>
      <c r="AB339" s="33" t="n">
        <v>0</v>
      </c>
      <c r="AC339" s="33" t="n">
        <v>10725000</v>
      </c>
      <c r="AD339" s="33" t="n">
        <v>42900000</v>
      </c>
      <c r="AE339" s="26"/>
      <c r="AF339" s="26" t="str">
        <f aca="false"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>소재 입고일정 확인 필요</v>
      </c>
      <c r="AG339" s="24" t="str">
        <f aca="false">IF($K339="","",IF(OR(LEFT($AF339,2)="작지",LEFT($AF339,4)="소재입고"),IF(LEFT($G339,1)="S","★ 납기위험(S코드)","◆ 지연주의"),IF($AF339="정상","✓ 정상","? 확인필요")))</f>
        <v>? 확인필요</v>
      </c>
      <c r="AH339" s="27"/>
      <c r="AI339" s="34"/>
    </row>
    <row r="340" customFormat="false" ht="15" hidden="false" customHeight="false" outlineLevel="0" collapsed="false">
      <c r="A340" s="24" t="n">
        <v>336</v>
      </c>
      <c r="B340" s="25" t="s">
        <v>176</v>
      </c>
      <c r="C340" s="25" t="s">
        <v>177</v>
      </c>
      <c r="D340" s="26" t="s">
        <v>1256</v>
      </c>
      <c r="E340" s="26" t="s">
        <v>1257</v>
      </c>
      <c r="F340" s="26" t="s">
        <v>620</v>
      </c>
      <c r="G340" s="24" t="str">
        <f aca="false">IF($D340="","",IF(MID($D340,5,1)="S","S(봄)",IF(MID($D340,5,1)="M","M(여름)",IF(MID($D340,5,1)="X","X(사계절)",MID($D340,5,1)))))</f>
        <v>M(여름)</v>
      </c>
      <c r="H340" s="25" t="s">
        <v>97</v>
      </c>
      <c r="I340" s="24" t="s">
        <v>695</v>
      </c>
      <c r="J340" s="27" t="s">
        <v>1198</v>
      </c>
      <c r="K340" s="28" t="n">
        <f aca="false">IF($J340="","",IFERROR(DATE(IF(VALUE(LEFT($J340,FIND("월",$J340)-1))&gt;=9,기준정보!$C$7-1,기준정보!$C$7),VALUE(LEFT($J340,FIND("월",$J340)-1)),1+7*(VALUE(SUBSTITUTE(MID($J340,FIND("월",$J340)+1,5),"주",""))-1)),""))</f>
        <v>46485</v>
      </c>
      <c r="L340" s="28" t="n">
        <f aca="false">IF($K340="","",IF(AND($K340-기준정보!$C$5&gt;=기준정보!$C$10,$K340-기준정보!$C$5&lt;=기준정보!$C$11),기준정보!$C$10-1,$K340-기준정보!$C$5))</f>
        <v>46471</v>
      </c>
      <c r="M340" s="29" t="n">
        <f aca="false"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>0</v>
      </c>
      <c r="N340" s="28" t="n">
        <f aca="false">IF($L340="","",$L340-기준정보!$C$6-$M340)</f>
        <v>46381</v>
      </c>
      <c r="O340" s="30" t="n">
        <f aca="false">IF($N340="","",$N340-기준정보!$C$4)</f>
        <v>128</v>
      </c>
      <c r="P340" s="27"/>
      <c r="Q340" s="27" t="s">
        <v>100</v>
      </c>
      <c r="R340" s="27" t="s">
        <v>101</v>
      </c>
      <c r="S340" s="31"/>
      <c r="T340" s="26" t="str">
        <f aca="false">IF($H340="","",IF(AND(ISNUMBER(SEARCH("CMT",$H340)),OR(ISNUMBER(SEARCH("완사입",$H340)),ISNUMBER(SEARCH("ODM",$H340)))),"본사/생산처 혼재",IF(ISNUMBER(SEARCH("CMT",$H340)),"본사(소재팀)","생산처")))</f>
        <v>생산처</v>
      </c>
      <c r="U340" s="25" t="s">
        <v>234</v>
      </c>
      <c r="V340" s="26"/>
      <c r="W340" s="25" t="s">
        <v>202</v>
      </c>
      <c r="X340" s="26"/>
      <c r="Y340" s="32"/>
      <c r="Z340" s="32"/>
      <c r="AA340" s="28"/>
      <c r="AB340" s="33" t="n">
        <v>0</v>
      </c>
      <c r="AC340" s="33" t="n">
        <v>8775000</v>
      </c>
      <c r="AD340" s="33" t="n">
        <v>35100000</v>
      </c>
      <c r="AE340" s="26"/>
      <c r="AF340" s="26" t="str">
        <f aca="false"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>소재 입고일정 확인 필요</v>
      </c>
      <c r="AG340" s="24" t="str">
        <f aca="false">IF($K340="","",IF(OR(LEFT($AF340,2)="작지",LEFT($AF340,4)="소재입고"),IF(LEFT($G340,1)="S","★ 납기위험(S코드)","◆ 지연주의"),IF($AF340="정상","✓ 정상","? 확인필요")))</f>
        <v>? 확인필요</v>
      </c>
      <c r="AH340" s="27"/>
      <c r="AI340" s="34"/>
    </row>
    <row r="341" customFormat="false" ht="15" hidden="false" customHeight="false" outlineLevel="0" collapsed="false">
      <c r="A341" s="24" t="n">
        <v>337</v>
      </c>
      <c r="B341" s="25" t="s">
        <v>176</v>
      </c>
      <c r="C341" s="25" t="s">
        <v>177</v>
      </c>
      <c r="D341" s="26" t="s">
        <v>1258</v>
      </c>
      <c r="E341" s="26" t="s">
        <v>1259</v>
      </c>
      <c r="F341" s="26" t="s">
        <v>1260</v>
      </c>
      <c r="G341" s="24" t="str">
        <f aca="false">IF($D341="","",IF(MID($D341,5,1)="S","S(봄)",IF(MID($D341,5,1)="M","M(여름)",IF(MID($D341,5,1)="X","X(사계절)",MID($D341,5,1)))))</f>
        <v>M(여름)</v>
      </c>
      <c r="H341" s="26"/>
      <c r="I341" s="24" t="s">
        <v>695</v>
      </c>
      <c r="J341" s="27" t="s">
        <v>1198</v>
      </c>
      <c r="K341" s="28" t="n">
        <f aca="false">IF($J341="","",IFERROR(DATE(IF(VALUE(LEFT($J341,FIND("월",$J341)-1))&gt;=9,기준정보!$C$7-1,기준정보!$C$7),VALUE(LEFT($J341,FIND("월",$J341)-1)),1+7*(VALUE(SUBSTITUTE(MID($J341,FIND("월",$J341)+1,5),"주",""))-1)),""))</f>
        <v>46485</v>
      </c>
      <c r="L341" s="28" t="n">
        <f aca="false">IF($K341="","",IF(AND($K341-기준정보!$C$5&gt;=기준정보!$C$10,$K341-기준정보!$C$5&lt;=기준정보!$C$11),기준정보!$C$10-1,$K341-기준정보!$C$5))</f>
        <v>46471</v>
      </c>
      <c r="M341" s="29" t="n">
        <f aca="false"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>0</v>
      </c>
      <c r="N341" s="28" t="n">
        <f aca="false">IF($L341="","",$L341-기준정보!$C$6-$M341)</f>
        <v>46381</v>
      </c>
      <c r="O341" s="30" t="n">
        <f aca="false">IF($N341="","",$N341-기준정보!$C$4)</f>
        <v>128</v>
      </c>
      <c r="P341" s="27"/>
      <c r="Q341" s="27"/>
      <c r="R341" s="27"/>
      <c r="S341" s="31"/>
      <c r="T341" s="26" t="str">
        <f aca="false">IF($H341="","",IF(AND(ISNUMBER(SEARCH("CMT",$H341)),OR(ISNUMBER(SEARCH("완사입",$H341)),ISNUMBER(SEARCH("ODM",$H341)))),"본사/생산처 혼재",IF(ISNUMBER(SEARCH("CMT",$H341)),"본사(소재팀)","생산처")))</f>
        <v/>
      </c>
      <c r="U341" s="26"/>
      <c r="V341" s="26"/>
      <c r="W341" s="26"/>
      <c r="X341" s="26"/>
      <c r="Y341" s="32"/>
      <c r="Z341" s="32"/>
      <c r="AA341" s="28"/>
      <c r="AB341" s="33" t="n">
        <v>0</v>
      </c>
      <c r="AC341" s="33" t="n">
        <v>52260000</v>
      </c>
      <c r="AD341" s="33" t="n">
        <v>241800000</v>
      </c>
      <c r="AE341" s="26"/>
      <c r="AF341" s="26" t="str">
        <f aca="false"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>발행여부 확인 필요</v>
      </c>
      <c r="AG341" s="24" t="str">
        <f aca="false">IF($K341="","",IF(OR(LEFT($AF341,2)="작지",LEFT($AF341,4)="소재입고"),IF(LEFT($G341,1)="S","★ 납기위험(S코드)","◆ 지연주의"),IF($AF341="정상","✓ 정상","? 확인필요")))</f>
        <v>? 확인필요</v>
      </c>
      <c r="AH341" s="27"/>
      <c r="AI341" s="34"/>
    </row>
    <row r="342" customFormat="false" ht="15" hidden="false" customHeight="false" outlineLevel="0" collapsed="false">
      <c r="A342" s="24" t="n">
        <v>338</v>
      </c>
      <c r="B342" s="25" t="s">
        <v>176</v>
      </c>
      <c r="C342" s="25" t="s">
        <v>177</v>
      </c>
      <c r="D342" s="26" t="s">
        <v>1261</v>
      </c>
      <c r="E342" s="26" t="s">
        <v>1262</v>
      </c>
      <c r="F342" s="26" t="s">
        <v>1263</v>
      </c>
      <c r="G342" s="24" t="str">
        <f aca="false">IF($D342="","",IF(MID($D342,5,1)="S","S(봄)",IF(MID($D342,5,1)="M","M(여름)",IF(MID($D342,5,1)="X","X(사계절)",MID($D342,5,1)))))</f>
        <v>M(여름)</v>
      </c>
      <c r="H342" s="26"/>
      <c r="I342" s="24" t="s">
        <v>695</v>
      </c>
      <c r="J342" s="27" t="s">
        <v>1198</v>
      </c>
      <c r="K342" s="28" t="n">
        <f aca="false">IF($J342="","",IFERROR(DATE(IF(VALUE(LEFT($J342,FIND("월",$J342)-1))&gt;=9,기준정보!$C$7-1,기준정보!$C$7),VALUE(LEFT($J342,FIND("월",$J342)-1)),1+7*(VALUE(SUBSTITUTE(MID($J342,FIND("월",$J342)+1,5),"주",""))-1)),""))</f>
        <v>46485</v>
      </c>
      <c r="L342" s="28" t="n">
        <f aca="false">IF($K342="","",IF(AND($K342-기준정보!$C$5&gt;=기준정보!$C$10,$K342-기준정보!$C$5&lt;=기준정보!$C$11),기준정보!$C$10-1,$K342-기준정보!$C$5))</f>
        <v>46471</v>
      </c>
      <c r="M342" s="29" t="n">
        <f aca="false"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>0</v>
      </c>
      <c r="N342" s="28" t="n">
        <f aca="false">IF($L342="","",$L342-기준정보!$C$6-$M342)</f>
        <v>46381</v>
      </c>
      <c r="O342" s="30" t="n">
        <f aca="false">IF($N342="","",$N342-기준정보!$C$4)</f>
        <v>128</v>
      </c>
      <c r="P342" s="27"/>
      <c r="Q342" s="27"/>
      <c r="R342" s="27"/>
      <c r="S342" s="31"/>
      <c r="T342" s="26" t="str">
        <f aca="false">IF($H342="","",IF(AND(ISNUMBER(SEARCH("CMT",$H342)),OR(ISNUMBER(SEARCH("완사입",$H342)),ISNUMBER(SEARCH("ODM",$H342)))),"본사/생산처 혼재",IF(ISNUMBER(SEARCH("CMT",$H342)),"본사(소재팀)","생산처")))</f>
        <v/>
      </c>
      <c r="U342" s="26"/>
      <c r="V342" s="26"/>
      <c r="W342" s="26"/>
      <c r="X342" s="26"/>
      <c r="Y342" s="32"/>
      <c r="Z342" s="32"/>
      <c r="AA342" s="28"/>
      <c r="AB342" s="33" t="n">
        <v>0</v>
      </c>
      <c r="AC342" s="33" t="n">
        <v>48360000</v>
      </c>
      <c r="AD342" s="33" t="n">
        <v>241800000</v>
      </c>
      <c r="AE342" s="26"/>
      <c r="AF342" s="26" t="str">
        <f aca="false"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>발행여부 확인 필요</v>
      </c>
      <c r="AG342" s="24" t="str">
        <f aca="false">IF($K342="","",IF(OR(LEFT($AF342,2)="작지",LEFT($AF342,4)="소재입고"),IF(LEFT($G342,1)="S","★ 납기위험(S코드)","◆ 지연주의"),IF($AF342="정상","✓ 정상","? 확인필요")))</f>
        <v>? 확인필요</v>
      </c>
      <c r="AH342" s="27"/>
      <c r="AI342" s="34"/>
    </row>
    <row r="343" customFormat="false" ht="15" hidden="false" customHeight="false" outlineLevel="0" collapsed="false">
      <c r="A343" s="24" t="n">
        <v>339</v>
      </c>
      <c r="B343" s="25" t="s">
        <v>176</v>
      </c>
      <c r="C343" s="25" t="s">
        <v>177</v>
      </c>
      <c r="D343" s="26" t="s">
        <v>1264</v>
      </c>
      <c r="E343" s="26" t="s">
        <v>1265</v>
      </c>
      <c r="F343" s="26" t="s">
        <v>1263</v>
      </c>
      <c r="G343" s="24" t="str">
        <f aca="false">IF($D343="","",IF(MID($D343,5,1)="S","S(봄)",IF(MID($D343,5,1)="M","M(여름)",IF(MID($D343,5,1)="X","X(사계절)",MID($D343,5,1)))))</f>
        <v>M(여름)</v>
      </c>
      <c r="H343" s="26"/>
      <c r="I343" s="24" t="s">
        <v>695</v>
      </c>
      <c r="J343" s="27" t="s">
        <v>1198</v>
      </c>
      <c r="K343" s="28" t="n">
        <f aca="false">IF($J343="","",IFERROR(DATE(IF(VALUE(LEFT($J343,FIND("월",$J343)-1))&gt;=9,기준정보!$C$7-1,기준정보!$C$7),VALUE(LEFT($J343,FIND("월",$J343)-1)),1+7*(VALUE(SUBSTITUTE(MID($J343,FIND("월",$J343)+1,5),"주",""))-1)),""))</f>
        <v>46485</v>
      </c>
      <c r="L343" s="28" t="n">
        <f aca="false">IF($K343="","",IF(AND($K343-기준정보!$C$5&gt;=기준정보!$C$10,$K343-기준정보!$C$5&lt;=기준정보!$C$11),기준정보!$C$10-1,$K343-기준정보!$C$5))</f>
        <v>46471</v>
      </c>
      <c r="M343" s="29" t="n">
        <f aca="false"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>0</v>
      </c>
      <c r="N343" s="28" t="n">
        <f aca="false">IF($L343="","",$L343-기준정보!$C$6-$M343)</f>
        <v>46381</v>
      </c>
      <c r="O343" s="30" t="n">
        <f aca="false">IF($N343="","",$N343-기준정보!$C$4)</f>
        <v>128</v>
      </c>
      <c r="P343" s="27"/>
      <c r="Q343" s="27"/>
      <c r="R343" s="27"/>
      <c r="S343" s="31"/>
      <c r="T343" s="26" t="str">
        <f aca="false">IF($H343="","",IF(AND(ISNUMBER(SEARCH("CMT",$H343)),OR(ISNUMBER(SEARCH("완사입",$H343)),ISNUMBER(SEARCH("ODM",$H343)))),"본사/생산처 혼재",IF(ISNUMBER(SEARCH("CMT",$H343)),"본사(소재팀)","생산처")))</f>
        <v/>
      </c>
      <c r="U343" s="26"/>
      <c r="V343" s="26"/>
      <c r="W343" s="26"/>
      <c r="X343" s="26"/>
      <c r="Y343" s="32"/>
      <c r="Z343" s="32"/>
      <c r="AA343" s="28"/>
      <c r="AB343" s="33" t="n">
        <v>0</v>
      </c>
      <c r="AC343" s="33" t="n">
        <v>48360000</v>
      </c>
      <c r="AD343" s="33" t="n">
        <v>241800000</v>
      </c>
      <c r="AE343" s="26"/>
      <c r="AF343" s="26" t="str">
        <f aca="false"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>발행여부 확인 필요</v>
      </c>
      <c r="AG343" s="24" t="str">
        <f aca="false">IF($K343="","",IF(OR(LEFT($AF343,2)="작지",LEFT($AF343,4)="소재입고"),IF(LEFT($G343,1)="S","★ 납기위험(S코드)","◆ 지연주의"),IF($AF343="정상","✓ 정상","? 확인필요")))</f>
        <v>? 확인필요</v>
      </c>
      <c r="AH343" s="27"/>
      <c r="AI343" s="34"/>
    </row>
    <row r="344" customFormat="false" ht="15" hidden="false" customHeight="false" outlineLevel="0" collapsed="false">
      <c r="A344" s="24" t="n">
        <v>340</v>
      </c>
      <c r="B344" s="25" t="s">
        <v>242</v>
      </c>
      <c r="C344" s="25" t="s">
        <v>697</v>
      </c>
      <c r="D344" s="26" t="s">
        <v>1266</v>
      </c>
      <c r="E344" s="25" t="s">
        <v>1267</v>
      </c>
      <c r="F344" s="26" t="s">
        <v>129</v>
      </c>
      <c r="G344" s="24" t="str">
        <f aca="false">IF($D344="","",IF(MID($D344,5,1)="S","S(봄)",IF(MID($D344,5,1)="M","M(여름)",IF(MID($D344,5,1)="X","X(사계절)",MID($D344,5,1)))))</f>
        <v>M(여름)</v>
      </c>
      <c r="H344" s="26" t="s">
        <v>255</v>
      </c>
      <c r="I344" s="24" t="s">
        <v>502</v>
      </c>
      <c r="J344" s="27" t="s">
        <v>1198</v>
      </c>
      <c r="K344" s="28" t="n">
        <f aca="false">IF($J344="","",IFERROR(DATE(IF(VALUE(LEFT($J344,FIND("월",$J344)-1))&gt;=9,기준정보!$C$7-1,기준정보!$C$7),VALUE(LEFT($J344,FIND("월",$J344)-1)),1+7*(VALUE(SUBSTITUTE(MID($J344,FIND("월",$J344)+1,5),"주",""))-1)),""))</f>
        <v>46485</v>
      </c>
      <c r="L344" s="28" t="n">
        <f aca="false">IF($K344="","",IF(AND($K344-기준정보!$C$5&gt;=기준정보!$C$10,$K344-기준정보!$C$5&lt;=기준정보!$C$11),기준정보!$C$10-1,$K344-기준정보!$C$5))</f>
        <v>46471</v>
      </c>
      <c r="M344" s="29" t="n">
        <f aca="false"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>15</v>
      </c>
      <c r="N344" s="28" t="n">
        <f aca="false">IF($L344="","",$L344-기준정보!$C$6-$M344)</f>
        <v>46366</v>
      </c>
      <c r="O344" s="30" t="n">
        <f aca="false">IF($N344="","",$N344-기준정보!$C$4)</f>
        <v>113</v>
      </c>
      <c r="P344" s="27"/>
      <c r="Q344" s="27" t="s">
        <v>100</v>
      </c>
      <c r="R344" s="27" t="s">
        <v>101</v>
      </c>
      <c r="S344" s="31"/>
      <c r="T344" s="26" t="str">
        <f aca="false">IF($H344="","",IF(AND(ISNUMBER(SEARCH("CMT",$H344)),OR(ISNUMBER(SEARCH("완사입",$H344)),ISNUMBER(SEARCH("ODM",$H344)))),"본사/생산처 혼재",IF(ISNUMBER(SEARCH("CMT",$H344)),"본사(소재팀)","생산처")))</f>
        <v>본사(소재팀)</v>
      </c>
      <c r="U344" s="25" t="s">
        <v>102</v>
      </c>
      <c r="V344" s="25" t="s">
        <v>102</v>
      </c>
      <c r="W344" s="25" t="s">
        <v>103</v>
      </c>
      <c r="X344" s="26" t="s">
        <v>1268</v>
      </c>
      <c r="Y344" s="32" t="s">
        <v>1269</v>
      </c>
      <c r="Z344" s="32"/>
      <c r="AA344" s="28" t="n">
        <v>46178</v>
      </c>
      <c r="AB344" s="33" t="n">
        <v>1800</v>
      </c>
      <c r="AC344" s="33" t="n">
        <v>86045400</v>
      </c>
      <c r="AD344" s="33" t="n">
        <v>396000000</v>
      </c>
      <c r="AE344" s="26" t="s">
        <v>1198</v>
      </c>
      <c r="AF344" s="26" t="str">
        <f aca="false"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>소재 입고일정 확인 필요</v>
      </c>
      <c r="AG344" s="24" t="str">
        <f aca="false">IF($K344="","",IF(OR(LEFT($AF344,2)="작지",LEFT($AF344,4)="소재입고"),IF(LEFT($G344,1)="S","★ 납기위험(S코드)","◆ 지연주의"),IF($AF344="정상","✓ 정상","? 확인필요")))</f>
        <v>? 확인필요</v>
      </c>
      <c r="AH344" s="27"/>
      <c r="AI344" s="34"/>
    </row>
    <row r="345" customFormat="false" ht="15" hidden="false" customHeight="false" outlineLevel="0" collapsed="false">
      <c r="A345" s="24" t="n">
        <v>341</v>
      </c>
      <c r="B345" s="25" t="s">
        <v>242</v>
      </c>
      <c r="C345" s="25" t="s">
        <v>697</v>
      </c>
      <c r="D345" s="26" t="s">
        <v>1270</v>
      </c>
      <c r="E345" s="25" t="s">
        <v>1271</v>
      </c>
      <c r="F345" s="26" t="s">
        <v>196</v>
      </c>
      <c r="G345" s="24" t="str">
        <f aca="false">IF($D345="","",IF(MID($D345,5,1)="S","S(봄)",IF(MID($D345,5,1)="M","M(여름)",IF(MID($D345,5,1)="X","X(사계절)",MID($D345,5,1)))))</f>
        <v>M(여름)</v>
      </c>
      <c r="H345" s="26" t="s">
        <v>255</v>
      </c>
      <c r="I345" s="24" t="s">
        <v>502</v>
      </c>
      <c r="J345" s="27" t="s">
        <v>1198</v>
      </c>
      <c r="K345" s="28" t="n">
        <f aca="false">IF($J345="","",IFERROR(DATE(IF(VALUE(LEFT($J345,FIND("월",$J345)-1))&gt;=9,기준정보!$C$7-1,기준정보!$C$7),VALUE(LEFT($J345,FIND("월",$J345)-1)),1+7*(VALUE(SUBSTITUTE(MID($J345,FIND("월",$J345)+1,5),"주",""))-1)),""))</f>
        <v>46485</v>
      </c>
      <c r="L345" s="28" t="n">
        <f aca="false">IF($K345="","",IF(AND($K345-기준정보!$C$5&gt;=기준정보!$C$10,$K345-기준정보!$C$5&lt;=기준정보!$C$11),기준정보!$C$10-1,$K345-기준정보!$C$5))</f>
        <v>46471</v>
      </c>
      <c r="M345" s="29" t="n">
        <f aca="false"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>15</v>
      </c>
      <c r="N345" s="28" t="n">
        <f aca="false">IF($L345="","",$L345-기준정보!$C$6-$M345)</f>
        <v>46366</v>
      </c>
      <c r="O345" s="30" t="n">
        <f aca="false">IF($N345="","",$N345-기준정보!$C$4)</f>
        <v>113</v>
      </c>
      <c r="P345" s="27"/>
      <c r="Q345" s="27" t="s">
        <v>100</v>
      </c>
      <c r="R345" s="27" t="s">
        <v>100</v>
      </c>
      <c r="S345" s="31"/>
      <c r="T345" s="26" t="str">
        <f aca="false">IF($H345="","",IF(AND(ISNUMBER(SEARCH("CMT",$H345)),OR(ISNUMBER(SEARCH("완사입",$H345)),ISNUMBER(SEARCH("ODM",$H345)))),"본사/생산처 혼재",IF(ISNUMBER(SEARCH("CMT",$H345)),"본사(소재팀)","생산처")))</f>
        <v>본사(소재팀)</v>
      </c>
      <c r="U345" s="25" t="s">
        <v>126</v>
      </c>
      <c r="V345" s="25" t="s">
        <v>126</v>
      </c>
      <c r="W345" s="25" t="s">
        <v>103</v>
      </c>
      <c r="X345" s="25" t="s">
        <v>1272</v>
      </c>
      <c r="Y345" s="35" t="s">
        <v>1273</v>
      </c>
      <c r="Z345" s="32"/>
      <c r="AA345" s="28" t="n">
        <v>46189</v>
      </c>
      <c r="AB345" s="33" t="n">
        <v>800</v>
      </c>
      <c r="AC345" s="33" t="n">
        <v>28512000</v>
      </c>
      <c r="AD345" s="33" t="n">
        <v>126400000</v>
      </c>
      <c r="AE345" s="26" t="s">
        <v>1198</v>
      </c>
      <c r="AF345" s="26" t="str">
        <f aca="false"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>소재 입고일정 확인 필요</v>
      </c>
      <c r="AG345" s="24" t="str">
        <f aca="false">IF($K345="","",IF(OR(LEFT($AF345,2)="작지",LEFT($AF345,4)="소재입고"),IF(LEFT($G345,1)="S","★ 납기위험(S코드)","◆ 지연주의"),IF($AF345="정상","✓ 정상","? 확인필요")))</f>
        <v>? 확인필요</v>
      </c>
      <c r="AH345" s="27"/>
      <c r="AI345" s="34"/>
    </row>
    <row r="346" customFormat="false" ht="15" hidden="false" customHeight="false" outlineLevel="0" collapsed="false">
      <c r="A346" s="24" t="n">
        <v>342</v>
      </c>
      <c r="B346" s="25" t="s">
        <v>242</v>
      </c>
      <c r="C346" s="25" t="s">
        <v>697</v>
      </c>
      <c r="D346" s="26" t="s">
        <v>1274</v>
      </c>
      <c r="E346" s="25" t="s">
        <v>1275</v>
      </c>
      <c r="F346" s="26" t="s">
        <v>129</v>
      </c>
      <c r="G346" s="24" t="str">
        <f aca="false">IF($D346="","",IF(MID($D346,5,1)="S","S(봄)",IF(MID($D346,5,1)="M","M(여름)",IF(MID($D346,5,1)="X","X(사계절)",MID($D346,5,1)))))</f>
        <v>M(여름)</v>
      </c>
      <c r="H346" s="26" t="s">
        <v>255</v>
      </c>
      <c r="I346" s="24" t="s">
        <v>502</v>
      </c>
      <c r="J346" s="27" t="s">
        <v>1198</v>
      </c>
      <c r="K346" s="28" t="n">
        <f aca="false">IF($J346="","",IFERROR(DATE(IF(VALUE(LEFT($J346,FIND("월",$J346)-1))&gt;=9,기준정보!$C$7-1,기준정보!$C$7),VALUE(LEFT($J346,FIND("월",$J346)-1)),1+7*(VALUE(SUBSTITUTE(MID($J346,FIND("월",$J346)+1,5),"주",""))-1)),""))</f>
        <v>46485</v>
      </c>
      <c r="L346" s="28" t="n">
        <f aca="false">IF($K346="","",IF(AND($K346-기준정보!$C$5&gt;=기준정보!$C$10,$K346-기준정보!$C$5&lt;=기준정보!$C$11),기준정보!$C$10-1,$K346-기준정보!$C$5))</f>
        <v>46471</v>
      </c>
      <c r="M346" s="29" t="n">
        <f aca="false"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>15</v>
      </c>
      <c r="N346" s="28" t="n">
        <f aca="false">IF($L346="","",$L346-기준정보!$C$6-$M346)</f>
        <v>46366</v>
      </c>
      <c r="O346" s="30" t="n">
        <f aca="false">IF($N346="","",$N346-기준정보!$C$4)</f>
        <v>113</v>
      </c>
      <c r="P346" s="27"/>
      <c r="Q346" s="27" t="s">
        <v>100</v>
      </c>
      <c r="R346" s="27" t="s">
        <v>100</v>
      </c>
      <c r="S346" s="31"/>
      <c r="T346" s="26" t="str">
        <f aca="false">IF($H346="","",IF(AND(ISNUMBER(SEARCH("CMT",$H346)),OR(ISNUMBER(SEARCH("완사입",$H346)),ISNUMBER(SEARCH("ODM",$H346)))),"본사/생산처 혼재",IF(ISNUMBER(SEARCH("CMT",$H346)),"본사(소재팀)","생산처")))</f>
        <v>본사(소재팀)</v>
      </c>
      <c r="U346" s="25" t="s">
        <v>1276</v>
      </c>
      <c r="V346" s="25" t="s">
        <v>1277</v>
      </c>
      <c r="W346" s="25" t="s">
        <v>103</v>
      </c>
      <c r="X346" s="26" t="s">
        <v>1268</v>
      </c>
      <c r="Y346" s="32" t="s">
        <v>1269</v>
      </c>
      <c r="Z346" s="32"/>
      <c r="AA346" s="28" t="n">
        <v>46178</v>
      </c>
      <c r="AB346" s="33" t="n">
        <v>950</v>
      </c>
      <c r="AC346" s="33" t="n">
        <v>35150000</v>
      </c>
      <c r="AD346" s="33" t="n">
        <v>140600000</v>
      </c>
      <c r="AE346" s="26" t="s">
        <v>1198</v>
      </c>
      <c r="AF346" s="26" t="str">
        <f aca="false"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>소재 입고일정 확인 필요</v>
      </c>
      <c r="AG346" s="24" t="str">
        <f aca="false">IF($K346="","",IF(OR(LEFT($AF346,2)="작지",LEFT($AF346,4)="소재입고"),IF(LEFT($G346,1)="S","★ 납기위험(S코드)","◆ 지연주의"),IF($AF346="정상","✓ 정상","? 확인필요")))</f>
        <v>? 확인필요</v>
      </c>
      <c r="AH346" s="27"/>
      <c r="AI346" s="34"/>
    </row>
    <row r="347" customFormat="false" ht="15" hidden="false" customHeight="false" outlineLevel="0" collapsed="false">
      <c r="A347" s="24" t="n">
        <v>343</v>
      </c>
      <c r="B347" s="25" t="s">
        <v>155</v>
      </c>
      <c r="C347" s="25" t="s">
        <v>156</v>
      </c>
      <c r="D347" s="26" t="s">
        <v>1278</v>
      </c>
      <c r="E347" s="25" t="s">
        <v>1279</v>
      </c>
      <c r="F347" s="26" t="s">
        <v>331</v>
      </c>
      <c r="G347" s="24" t="str">
        <f aca="false">IF($D347="","",IF(MID($D347,5,1)="S","S(봄)",IF(MID($D347,5,1)="M","M(여름)",IF(MID($D347,5,1)="X","X(사계절)",MID($D347,5,1)))))</f>
        <v>M(여름)</v>
      </c>
      <c r="H347" s="25" t="s">
        <v>97</v>
      </c>
      <c r="I347" s="24"/>
      <c r="J347" s="27" t="s">
        <v>1198</v>
      </c>
      <c r="K347" s="28" t="n">
        <f aca="false">IF($J347="","",IFERROR(DATE(IF(VALUE(LEFT($J347,FIND("월",$J347)-1))&gt;=9,기준정보!$C$7-1,기준정보!$C$7),VALUE(LEFT($J347,FIND("월",$J347)-1)),1+7*(VALUE(SUBSTITUTE(MID($J347,FIND("월",$J347)+1,5),"주",""))-1)),""))</f>
        <v>46485</v>
      </c>
      <c r="L347" s="28" t="n">
        <f aca="false">IF($K347="","",IF(AND($K347-기준정보!$C$5&gt;=기준정보!$C$10,$K347-기준정보!$C$5&lt;=기준정보!$C$11),기준정보!$C$10-1,$K347-기준정보!$C$5))</f>
        <v>46471</v>
      </c>
      <c r="M347" s="29" t="n">
        <f aca="false"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>15</v>
      </c>
      <c r="N347" s="28" t="n">
        <f aca="false">IF($L347="","",$L347-기준정보!$C$6-$M347)</f>
        <v>46366</v>
      </c>
      <c r="O347" s="30" t="n">
        <f aca="false">IF($N347="","",$N347-기준정보!$C$4)</f>
        <v>113</v>
      </c>
      <c r="P347" s="27"/>
      <c r="Q347" s="27" t="s">
        <v>100</v>
      </c>
      <c r="R347" s="27" t="s">
        <v>101</v>
      </c>
      <c r="S347" s="31"/>
      <c r="T347" s="26" t="str">
        <f aca="false">IF($H347="","",IF(AND(ISNUMBER(SEARCH("CMT",$H347)),OR(ISNUMBER(SEARCH("완사입",$H347)),ISNUMBER(SEARCH("ODM",$H347)))),"본사/생산처 혼재",IF(ISNUMBER(SEARCH("CMT",$H347)),"본사(소재팀)","생산처")))</f>
        <v>생산처</v>
      </c>
      <c r="U347" s="25" t="s">
        <v>380</v>
      </c>
      <c r="V347" s="25" t="s">
        <v>380</v>
      </c>
      <c r="W347" s="25" t="s">
        <v>103</v>
      </c>
      <c r="X347" s="25" t="s">
        <v>802</v>
      </c>
      <c r="Y347" s="35" t="s">
        <v>1280</v>
      </c>
      <c r="Z347" s="32"/>
      <c r="AA347" s="28" t="n">
        <v>46178</v>
      </c>
      <c r="AB347" s="33" t="n">
        <v>3000</v>
      </c>
      <c r="AC347" s="33" t="n">
        <v>36069000</v>
      </c>
      <c r="AD347" s="33" t="n">
        <v>234000000</v>
      </c>
      <c r="AE347" s="26" t="s">
        <v>1281</v>
      </c>
      <c r="AF347" s="26" t="str">
        <f aca="false"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>소재 입고일정 확인 필요</v>
      </c>
      <c r="AG347" s="24" t="str">
        <f aca="false">IF($K347="","",IF(OR(LEFT($AF347,2)="작지",LEFT($AF347,4)="소재입고"),IF(LEFT($G347,1)="S","★ 납기위험(S코드)","◆ 지연주의"),IF($AF347="정상","✓ 정상","? 확인필요")))</f>
        <v>? 확인필요</v>
      </c>
      <c r="AH347" s="27"/>
      <c r="AI347" s="34"/>
    </row>
    <row r="348" customFormat="false" ht="15" hidden="false" customHeight="false" outlineLevel="0" collapsed="false">
      <c r="A348" s="24" t="n">
        <v>344</v>
      </c>
      <c r="B348" s="25" t="s">
        <v>155</v>
      </c>
      <c r="C348" s="25" t="s">
        <v>156</v>
      </c>
      <c r="D348" s="26" t="s">
        <v>1282</v>
      </c>
      <c r="E348" s="25" t="s">
        <v>1283</v>
      </c>
      <c r="F348" s="26" t="s">
        <v>1284</v>
      </c>
      <c r="G348" s="24" t="str">
        <f aca="false">IF($D348="","",IF(MID($D348,5,1)="S","S(봄)",IF(MID($D348,5,1)="M","M(여름)",IF(MID($D348,5,1)="X","X(사계절)",MID($D348,5,1)))))</f>
        <v>M(여름)</v>
      </c>
      <c r="H348" s="25" t="s">
        <v>97</v>
      </c>
      <c r="I348" s="24"/>
      <c r="J348" s="27" t="s">
        <v>1198</v>
      </c>
      <c r="K348" s="28" t="n">
        <f aca="false">IF($J348="","",IFERROR(DATE(IF(VALUE(LEFT($J348,FIND("월",$J348)-1))&gt;=9,기준정보!$C$7-1,기준정보!$C$7),VALUE(LEFT($J348,FIND("월",$J348)-1)),1+7*(VALUE(SUBSTITUTE(MID($J348,FIND("월",$J348)+1,5),"주",""))-1)),""))</f>
        <v>46485</v>
      </c>
      <c r="L348" s="28" t="n">
        <f aca="false">IF($K348="","",IF(AND($K348-기준정보!$C$5&gt;=기준정보!$C$10,$K348-기준정보!$C$5&lt;=기준정보!$C$11),기준정보!$C$10-1,$K348-기준정보!$C$5))</f>
        <v>46471</v>
      </c>
      <c r="M348" s="29" t="n">
        <f aca="false"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>15</v>
      </c>
      <c r="N348" s="28" t="n">
        <f aca="false">IF($L348="","",$L348-기준정보!$C$6-$M348)</f>
        <v>46366</v>
      </c>
      <c r="O348" s="30" t="n">
        <f aca="false">IF($N348="","",$N348-기준정보!$C$4)</f>
        <v>113</v>
      </c>
      <c r="P348" s="27"/>
      <c r="Q348" s="27" t="s">
        <v>100</v>
      </c>
      <c r="R348" s="27" t="s">
        <v>101</v>
      </c>
      <c r="S348" s="31"/>
      <c r="T348" s="26" t="str">
        <f aca="false">IF($H348="","",IF(AND(ISNUMBER(SEARCH("CMT",$H348)),OR(ISNUMBER(SEARCH("완사입",$H348)),ISNUMBER(SEARCH("ODM",$H348)))),"본사/생산처 혼재",IF(ISNUMBER(SEARCH("CMT",$H348)),"본사(소재팀)","생산처")))</f>
        <v>생산처</v>
      </c>
      <c r="U348" s="25" t="s">
        <v>380</v>
      </c>
      <c r="V348" s="25" t="s">
        <v>380</v>
      </c>
      <c r="W348" s="25" t="s">
        <v>103</v>
      </c>
      <c r="X348" s="26" t="s">
        <v>300</v>
      </c>
      <c r="Y348" s="32" t="s">
        <v>1021</v>
      </c>
      <c r="Z348" s="32"/>
      <c r="AA348" s="28" t="n">
        <v>46231</v>
      </c>
      <c r="AB348" s="33" t="n">
        <v>3000</v>
      </c>
      <c r="AC348" s="33" t="n">
        <v>45762000</v>
      </c>
      <c r="AD348" s="33" t="n">
        <v>264000000</v>
      </c>
      <c r="AE348" s="26" t="s">
        <v>1281</v>
      </c>
      <c r="AF348" s="26" t="str">
        <f aca="false"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>소재 입고일정 확인 필요</v>
      </c>
      <c r="AG348" s="24" t="str">
        <f aca="false">IF($K348="","",IF(OR(LEFT($AF348,2)="작지",LEFT($AF348,4)="소재입고"),IF(LEFT($G348,1)="S","★ 납기위험(S코드)","◆ 지연주의"),IF($AF348="정상","✓ 정상","? 확인필요")))</f>
        <v>? 확인필요</v>
      </c>
      <c r="AH348" s="27"/>
      <c r="AI348" s="34"/>
    </row>
    <row r="349" customFormat="false" ht="15" hidden="false" customHeight="false" outlineLevel="0" collapsed="false">
      <c r="A349" s="24" t="n">
        <v>345</v>
      </c>
      <c r="B349" s="25" t="s">
        <v>155</v>
      </c>
      <c r="C349" s="25" t="s">
        <v>156</v>
      </c>
      <c r="D349" s="26" t="s">
        <v>1285</v>
      </c>
      <c r="E349" s="25" t="s">
        <v>1286</v>
      </c>
      <c r="F349" s="26" t="s">
        <v>1287</v>
      </c>
      <c r="G349" s="24" t="str">
        <f aca="false">IF($D349="","",IF(MID($D349,5,1)="S","S(봄)",IF(MID($D349,5,1)="M","M(여름)",IF(MID($D349,5,1)="X","X(사계절)",MID($D349,5,1)))))</f>
        <v>M(여름)</v>
      </c>
      <c r="H349" s="25" t="s">
        <v>97</v>
      </c>
      <c r="I349" s="24"/>
      <c r="J349" s="27" t="s">
        <v>1198</v>
      </c>
      <c r="K349" s="28" t="n">
        <f aca="false">IF($J349="","",IFERROR(DATE(IF(VALUE(LEFT($J349,FIND("월",$J349)-1))&gt;=9,기준정보!$C$7-1,기준정보!$C$7),VALUE(LEFT($J349,FIND("월",$J349)-1)),1+7*(VALUE(SUBSTITUTE(MID($J349,FIND("월",$J349)+1,5),"주",""))-1)),""))</f>
        <v>46485</v>
      </c>
      <c r="L349" s="28" t="n">
        <f aca="false">IF($K349="","",IF(AND($K349-기준정보!$C$5&gt;=기준정보!$C$10,$K349-기준정보!$C$5&lt;=기준정보!$C$11),기준정보!$C$10-1,$K349-기준정보!$C$5))</f>
        <v>46471</v>
      </c>
      <c r="M349" s="29" t="n">
        <f aca="false"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>0</v>
      </c>
      <c r="N349" s="28" t="n">
        <f aca="false">IF($L349="","",$L349-기준정보!$C$6-$M349)</f>
        <v>46381</v>
      </c>
      <c r="O349" s="30" t="n">
        <f aca="false">IF($N349="","",$N349-기준정보!$C$4)</f>
        <v>128</v>
      </c>
      <c r="P349" s="27"/>
      <c r="Q349" s="27" t="s">
        <v>100</v>
      </c>
      <c r="R349" s="27" t="s">
        <v>101</v>
      </c>
      <c r="S349" s="31"/>
      <c r="T349" s="26" t="str">
        <f aca="false">IF($H349="","",IF(AND(ISNUMBER(SEARCH("CMT",$H349)),OR(ISNUMBER(SEARCH("완사입",$H349)),ISNUMBER(SEARCH("ODM",$H349)))),"본사/생산처 혼재",IF(ISNUMBER(SEARCH("CMT",$H349)),"본사(소재팀)","생산처")))</f>
        <v>생산처</v>
      </c>
      <c r="U349" s="26" t="s">
        <v>235</v>
      </c>
      <c r="V349" s="26" t="s">
        <v>235</v>
      </c>
      <c r="W349" s="25" t="s">
        <v>110</v>
      </c>
      <c r="X349" s="26" t="s">
        <v>247</v>
      </c>
      <c r="Y349" s="32" t="s">
        <v>545</v>
      </c>
      <c r="Z349" s="32"/>
      <c r="AA349" s="28" t="n">
        <v>46205</v>
      </c>
      <c r="AB349" s="33" t="n">
        <v>3000</v>
      </c>
      <c r="AC349" s="33" t="n">
        <v>35889000</v>
      </c>
      <c r="AD349" s="33" t="n">
        <v>234000000</v>
      </c>
      <c r="AE349" s="26" t="s">
        <v>1281</v>
      </c>
      <c r="AF349" s="26" t="str">
        <f aca="false"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>소재 입고일정 확인 필요</v>
      </c>
      <c r="AG349" s="24" t="str">
        <f aca="false">IF($K349="","",IF(OR(LEFT($AF349,2)="작지",LEFT($AF349,4)="소재입고"),IF(LEFT($G349,1)="S","★ 납기위험(S코드)","◆ 지연주의"),IF($AF349="정상","✓ 정상","? 확인필요")))</f>
        <v>? 확인필요</v>
      </c>
      <c r="AH349" s="27"/>
      <c r="AI349" s="34"/>
    </row>
    <row r="350" customFormat="false" ht="15" hidden="false" customHeight="false" outlineLevel="0" collapsed="false">
      <c r="A350" s="24" t="n">
        <v>346</v>
      </c>
      <c r="B350" s="25" t="s">
        <v>250</v>
      </c>
      <c r="C350" s="25" t="s">
        <v>251</v>
      </c>
      <c r="D350" s="26" t="s">
        <v>1288</v>
      </c>
      <c r="E350" s="25" t="s">
        <v>1289</v>
      </c>
      <c r="F350" s="26" t="s">
        <v>265</v>
      </c>
      <c r="G350" s="24" t="str">
        <f aca="false">IF($D350="","",IF(MID($D350,5,1)="S","S(봄)",IF(MID($D350,5,1)="M","M(여름)",IF(MID($D350,5,1)="X","X(사계절)",MID($D350,5,1)))))</f>
        <v>M(여름)</v>
      </c>
      <c r="H350" s="26" t="s">
        <v>255</v>
      </c>
      <c r="I350" s="24"/>
      <c r="J350" s="27" t="s">
        <v>1290</v>
      </c>
      <c r="K350" s="28" t="n">
        <f aca="false">IF($J350="","",IFERROR(DATE(IF(VALUE(LEFT($J350,FIND("월",$J350)-1))&gt;=9,기준정보!$C$7-1,기준정보!$C$7),VALUE(LEFT($J350,FIND("월",$J350)-1)),1+7*(VALUE(SUBSTITUTE(MID($J350,FIND("월",$J350)+1,5),"주",""))-1)),""))</f>
        <v>46492</v>
      </c>
      <c r="L350" s="28" t="n">
        <f aca="false">IF($K350="","",IF(AND($K350-기준정보!$C$5&gt;=기준정보!$C$10,$K350-기준정보!$C$5&lt;=기준정보!$C$11),기준정보!$C$10-1,$K350-기준정보!$C$5))</f>
        <v>46478</v>
      </c>
      <c r="M350" s="29" t="n">
        <f aca="false"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>15</v>
      </c>
      <c r="N350" s="28" t="n">
        <f aca="false">IF($L350="","",$L350-기준정보!$C$6-$M350)</f>
        <v>46373</v>
      </c>
      <c r="O350" s="30" t="n">
        <f aca="false">IF($N350="","",$N350-기준정보!$C$4)</f>
        <v>120</v>
      </c>
      <c r="P350" s="27"/>
      <c r="Q350" s="27" t="s">
        <v>100</v>
      </c>
      <c r="R350" s="27" t="s">
        <v>100</v>
      </c>
      <c r="S350" s="31"/>
      <c r="T350" s="26" t="str">
        <f aca="false">IF($H350="","",IF(AND(ISNUMBER(SEARCH("CMT",$H350)),OR(ISNUMBER(SEARCH("완사입",$H350)),ISNUMBER(SEARCH("ODM",$H350)))),"본사/생산처 혼재",IF(ISNUMBER(SEARCH("CMT",$H350)),"본사(소재팀)","생산처")))</f>
        <v>본사(소재팀)</v>
      </c>
      <c r="U350" s="26" t="s">
        <v>183</v>
      </c>
      <c r="V350" s="26" t="s">
        <v>183</v>
      </c>
      <c r="W350" s="25" t="s">
        <v>103</v>
      </c>
      <c r="X350" s="25" t="s">
        <v>457</v>
      </c>
      <c r="Y350" s="35" t="s">
        <v>1093</v>
      </c>
      <c r="Z350" s="32"/>
      <c r="AA350" s="28" t="n">
        <v>46209</v>
      </c>
      <c r="AB350" s="33" t="n">
        <v>3000</v>
      </c>
      <c r="AC350" s="33" t="n">
        <v>87753000</v>
      </c>
      <c r="AD350" s="33" t="n">
        <v>474000000</v>
      </c>
      <c r="AE350" s="26" t="s">
        <v>1290</v>
      </c>
      <c r="AF350" s="26" t="str">
        <f aca="false"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>소재 입고일정 확인 필요</v>
      </c>
      <c r="AG350" s="24" t="str">
        <f aca="false">IF($K350="","",IF(OR(LEFT($AF350,2)="작지",LEFT($AF350,4)="소재입고"),IF(LEFT($G350,1)="S","★ 납기위험(S코드)","◆ 지연주의"),IF($AF350="정상","✓ 정상","? 확인필요")))</f>
        <v>? 확인필요</v>
      </c>
      <c r="AH350" s="27"/>
      <c r="AI350" s="34"/>
    </row>
    <row r="351" customFormat="false" ht="15" hidden="false" customHeight="false" outlineLevel="0" collapsed="false">
      <c r="A351" s="24" t="n">
        <v>347</v>
      </c>
      <c r="B351" s="25" t="s">
        <v>250</v>
      </c>
      <c r="C351" s="25" t="s">
        <v>251</v>
      </c>
      <c r="D351" s="26" t="s">
        <v>1291</v>
      </c>
      <c r="E351" s="25" t="s">
        <v>1292</v>
      </c>
      <c r="F351" s="26" t="s">
        <v>1293</v>
      </c>
      <c r="G351" s="24" t="str">
        <f aca="false">IF($D351="","",IF(MID($D351,5,1)="S","S(봄)",IF(MID($D351,5,1)="M","M(여름)",IF(MID($D351,5,1)="X","X(사계절)",MID($D351,5,1)))))</f>
        <v>M(여름)</v>
      </c>
      <c r="H351" s="26" t="s">
        <v>255</v>
      </c>
      <c r="I351" s="24"/>
      <c r="J351" s="27" t="s">
        <v>1290</v>
      </c>
      <c r="K351" s="28" t="n">
        <f aca="false">IF($J351="","",IFERROR(DATE(IF(VALUE(LEFT($J351,FIND("월",$J351)-1))&gt;=9,기준정보!$C$7-1,기준정보!$C$7),VALUE(LEFT($J351,FIND("월",$J351)-1)),1+7*(VALUE(SUBSTITUTE(MID($J351,FIND("월",$J351)+1,5),"주",""))-1)),""))</f>
        <v>46492</v>
      </c>
      <c r="L351" s="28" t="n">
        <f aca="false">IF($K351="","",IF(AND($K351-기준정보!$C$5&gt;=기준정보!$C$10,$K351-기준정보!$C$5&lt;=기준정보!$C$11),기준정보!$C$10-1,$K351-기준정보!$C$5))</f>
        <v>46478</v>
      </c>
      <c r="M351" s="29" t="n">
        <f aca="false"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>15</v>
      </c>
      <c r="N351" s="28" t="n">
        <f aca="false">IF($L351="","",$L351-기준정보!$C$6-$M351)</f>
        <v>46373</v>
      </c>
      <c r="O351" s="30" t="n">
        <f aca="false">IF($N351="","",$N351-기준정보!$C$4)</f>
        <v>120</v>
      </c>
      <c r="P351" s="27"/>
      <c r="Q351" s="27" t="s">
        <v>100</v>
      </c>
      <c r="R351" s="27" t="s">
        <v>100</v>
      </c>
      <c r="S351" s="31"/>
      <c r="T351" s="26" t="str">
        <f aca="false">IF($H351="","",IF(AND(ISNUMBER(SEARCH("CMT",$H351)),OR(ISNUMBER(SEARCH("완사입",$H351)),ISNUMBER(SEARCH("ODM",$H351)))),"본사/생산처 혼재",IF(ISNUMBER(SEARCH("CMT",$H351)),"본사(소재팀)","생산처")))</f>
        <v>본사(소재팀)</v>
      </c>
      <c r="U351" s="25" t="s">
        <v>256</v>
      </c>
      <c r="V351" s="26" t="s">
        <v>183</v>
      </c>
      <c r="W351" s="25" t="s">
        <v>103</v>
      </c>
      <c r="X351" s="25" t="s">
        <v>126</v>
      </c>
      <c r="Y351" s="35" t="s">
        <v>1089</v>
      </c>
      <c r="Z351" s="32"/>
      <c r="AA351" s="28"/>
      <c r="AB351" s="33" t="n">
        <v>7500</v>
      </c>
      <c r="AC351" s="33" t="n">
        <v>168255000</v>
      </c>
      <c r="AD351" s="33" t="n">
        <v>1110000000</v>
      </c>
      <c r="AE351" s="26" t="s">
        <v>1290</v>
      </c>
      <c r="AF351" s="26" t="str">
        <f aca="false"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>소재 입고일정 확인 필요</v>
      </c>
      <c r="AG351" s="24" t="str">
        <f aca="false">IF($K351="","",IF(OR(LEFT($AF351,2)="작지",LEFT($AF351,4)="소재입고"),IF(LEFT($G351,1)="S","★ 납기위험(S코드)","◆ 지연주의"),IF($AF351="정상","✓ 정상","? 확인필요")))</f>
        <v>? 확인필요</v>
      </c>
      <c r="AH351" s="27"/>
      <c r="AI351" s="34"/>
    </row>
    <row r="352" customFormat="false" ht="15" hidden="false" customHeight="false" outlineLevel="0" collapsed="false">
      <c r="A352" s="24" t="n">
        <v>348</v>
      </c>
      <c r="B352" s="25" t="s">
        <v>250</v>
      </c>
      <c r="C352" s="25" t="s">
        <v>1294</v>
      </c>
      <c r="D352" s="26" t="s">
        <v>1295</v>
      </c>
      <c r="E352" s="25" t="s">
        <v>1296</v>
      </c>
      <c r="F352" s="26" t="s">
        <v>1047</v>
      </c>
      <c r="G352" s="24" t="str">
        <f aca="false">IF($D352="","",IF(MID($D352,5,1)="S","S(봄)",IF(MID($D352,5,1)="M","M(여름)",IF(MID($D352,5,1)="X","X(사계절)",MID($D352,5,1)))))</f>
        <v>M(여름)</v>
      </c>
      <c r="H352" s="25" t="s">
        <v>97</v>
      </c>
      <c r="I352" s="24"/>
      <c r="J352" s="27" t="s">
        <v>1290</v>
      </c>
      <c r="K352" s="28" t="n">
        <f aca="false">IF($J352="","",IFERROR(DATE(IF(VALUE(LEFT($J352,FIND("월",$J352)-1))&gt;=9,기준정보!$C$7-1,기준정보!$C$7),VALUE(LEFT($J352,FIND("월",$J352)-1)),1+7*(VALUE(SUBSTITUTE(MID($J352,FIND("월",$J352)+1,5),"주",""))-1)),""))</f>
        <v>46492</v>
      </c>
      <c r="L352" s="28" t="n">
        <f aca="false">IF($K352="","",IF(AND($K352-기준정보!$C$5&gt;=기준정보!$C$10,$K352-기준정보!$C$5&lt;=기준정보!$C$11),기준정보!$C$10-1,$K352-기준정보!$C$5))</f>
        <v>46478</v>
      </c>
      <c r="M352" s="29" t="n">
        <f aca="false"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>15</v>
      </c>
      <c r="N352" s="28" t="n">
        <f aca="false">IF($L352="","",$L352-기준정보!$C$6-$M352)</f>
        <v>46373</v>
      </c>
      <c r="O352" s="30" t="n">
        <f aca="false">IF($N352="","",$N352-기준정보!$C$4)</f>
        <v>120</v>
      </c>
      <c r="P352" s="27"/>
      <c r="Q352" s="27" t="s">
        <v>100</v>
      </c>
      <c r="R352" s="27" t="s">
        <v>100</v>
      </c>
      <c r="S352" s="31"/>
      <c r="T352" s="26" t="str">
        <f aca="false">IF($H352="","",IF(AND(ISNUMBER(SEARCH("CMT",$H352)),OR(ISNUMBER(SEARCH("완사입",$H352)),ISNUMBER(SEARCH("ODM",$H352)))),"본사/생산처 혼재",IF(ISNUMBER(SEARCH("CMT",$H352)),"본사(소재팀)","생산처")))</f>
        <v>생산처</v>
      </c>
      <c r="U352" s="25" t="s">
        <v>380</v>
      </c>
      <c r="V352" s="25" t="s">
        <v>380</v>
      </c>
      <c r="W352" s="25" t="s">
        <v>103</v>
      </c>
      <c r="X352" s="26" t="s">
        <v>300</v>
      </c>
      <c r="Y352" s="32" t="s">
        <v>1021</v>
      </c>
      <c r="Z352" s="32"/>
      <c r="AA352" s="28" t="n">
        <v>46216</v>
      </c>
      <c r="AB352" s="33" t="n">
        <v>4000</v>
      </c>
      <c r="AC352" s="33" t="n">
        <v>51756000</v>
      </c>
      <c r="AD352" s="33" t="n">
        <v>312000000</v>
      </c>
      <c r="AE352" s="26" t="s">
        <v>1290</v>
      </c>
      <c r="AF352" s="26" t="str">
        <f aca="false"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>소재 입고일정 확인 필요</v>
      </c>
      <c r="AG352" s="24" t="str">
        <f aca="false">IF($K352="","",IF(OR(LEFT($AF352,2)="작지",LEFT($AF352,4)="소재입고"),IF(LEFT($G352,1)="S","★ 납기위험(S코드)","◆ 지연주의"),IF($AF352="정상","✓ 정상","? 확인필요")))</f>
        <v>? 확인필요</v>
      </c>
      <c r="AH352" s="27"/>
      <c r="AI352" s="34"/>
    </row>
    <row r="353" customFormat="false" ht="15" hidden="false" customHeight="false" outlineLevel="0" collapsed="false">
      <c r="A353" s="24" t="n">
        <v>349</v>
      </c>
      <c r="B353" s="25" t="s">
        <v>250</v>
      </c>
      <c r="C353" s="25" t="s">
        <v>251</v>
      </c>
      <c r="D353" s="26" t="s">
        <v>1297</v>
      </c>
      <c r="E353" s="25" t="s">
        <v>1298</v>
      </c>
      <c r="F353" s="26" t="s">
        <v>1299</v>
      </c>
      <c r="G353" s="24" t="str">
        <f aca="false">IF($D353="","",IF(MID($D353,5,1)="S","S(봄)",IF(MID($D353,5,1)="M","M(여름)",IF(MID($D353,5,1)="X","X(사계절)",MID($D353,5,1)))))</f>
        <v>M(여름)</v>
      </c>
      <c r="H353" s="25" t="s">
        <v>97</v>
      </c>
      <c r="I353" s="24"/>
      <c r="J353" s="27" t="s">
        <v>1290</v>
      </c>
      <c r="K353" s="28" t="n">
        <f aca="false">IF($J353="","",IFERROR(DATE(IF(VALUE(LEFT($J353,FIND("월",$J353)-1))&gt;=9,기준정보!$C$7-1,기준정보!$C$7),VALUE(LEFT($J353,FIND("월",$J353)-1)),1+7*(VALUE(SUBSTITUTE(MID($J353,FIND("월",$J353)+1,5),"주",""))-1)),""))</f>
        <v>46492</v>
      </c>
      <c r="L353" s="28" t="n">
        <f aca="false">IF($K353="","",IF(AND($K353-기준정보!$C$5&gt;=기준정보!$C$10,$K353-기준정보!$C$5&lt;=기준정보!$C$11),기준정보!$C$10-1,$K353-기준정보!$C$5))</f>
        <v>46478</v>
      </c>
      <c r="M353" s="29" t="n">
        <f aca="false"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>0</v>
      </c>
      <c r="N353" s="28" t="n">
        <f aca="false">IF($L353="","",$L353-기준정보!$C$6-$M353)</f>
        <v>46388</v>
      </c>
      <c r="O353" s="30" t="n">
        <f aca="false">IF($N353="","",$N353-기준정보!$C$4)</f>
        <v>135</v>
      </c>
      <c r="P353" s="27"/>
      <c r="Q353" s="27" t="s">
        <v>100</v>
      </c>
      <c r="R353" s="27" t="s">
        <v>100</v>
      </c>
      <c r="S353" s="31"/>
      <c r="T353" s="26" t="str">
        <f aca="false">IF($H353="","",IF(AND(ISNUMBER(SEARCH("CMT",$H353)),OR(ISNUMBER(SEARCH("완사입",$H353)),ISNUMBER(SEARCH("ODM",$H353)))),"본사/생산처 혼재",IF(ISNUMBER(SEARCH("CMT",$H353)),"본사(소재팀)","생산처")))</f>
        <v>생산처</v>
      </c>
      <c r="U353" s="26" t="s">
        <v>235</v>
      </c>
      <c r="V353" s="26" t="s">
        <v>235</v>
      </c>
      <c r="W353" s="25" t="s">
        <v>110</v>
      </c>
      <c r="X353" s="26" t="s">
        <v>247</v>
      </c>
      <c r="Y353" s="32" t="s">
        <v>1106</v>
      </c>
      <c r="Z353" s="32"/>
      <c r="AA353" s="28" t="n">
        <v>46181</v>
      </c>
      <c r="AB353" s="33" t="n">
        <v>3500</v>
      </c>
      <c r="AC353" s="33" t="n">
        <v>57221500</v>
      </c>
      <c r="AD353" s="33" t="n">
        <v>308000000</v>
      </c>
      <c r="AE353" s="26" t="s">
        <v>1290</v>
      </c>
      <c r="AF353" s="26" t="str">
        <f aca="false"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>소재 입고일정 확인 필요</v>
      </c>
      <c r="AG353" s="24" t="str">
        <f aca="false">IF($K353="","",IF(OR(LEFT($AF353,2)="작지",LEFT($AF353,4)="소재입고"),IF(LEFT($G353,1)="S","★ 납기위험(S코드)","◆ 지연주의"),IF($AF353="정상","✓ 정상","? 확인필요")))</f>
        <v>? 확인필요</v>
      </c>
      <c r="AH353" s="27"/>
      <c r="AI353" s="34"/>
    </row>
    <row r="354" customFormat="false" ht="15" hidden="false" customHeight="false" outlineLevel="0" collapsed="false">
      <c r="A354" s="24" t="n">
        <v>350</v>
      </c>
      <c r="B354" s="25" t="s">
        <v>250</v>
      </c>
      <c r="C354" s="25" t="s">
        <v>271</v>
      </c>
      <c r="D354" s="26" t="s">
        <v>1300</v>
      </c>
      <c r="E354" s="25" t="s">
        <v>1298</v>
      </c>
      <c r="F354" s="26" t="s">
        <v>1301</v>
      </c>
      <c r="G354" s="24" t="str">
        <f aca="false">IF($D354="","",IF(MID($D354,5,1)="S","S(봄)",IF(MID($D354,5,1)="M","M(여름)",IF(MID($D354,5,1)="X","X(사계절)",MID($D354,5,1)))))</f>
        <v>M(여름)</v>
      </c>
      <c r="H354" s="25" t="s">
        <v>97</v>
      </c>
      <c r="I354" s="24"/>
      <c r="J354" s="27" t="s">
        <v>1290</v>
      </c>
      <c r="K354" s="28" t="n">
        <f aca="false">IF($J354="","",IFERROR(DATE(IF(VALUE(LEFT($J354,FIND("월",$J354)-1))&gt;=9,기준정보!$C$7-1,기준정보!$C$7),VALUE(LEFT($J354,FIND("월",$J354)-1)),1+7*(VALUE(SUBSTITUTE(MID($J354,FIND("월",$J354)+1,5),"주",""))-1)),""))</f>
        <v>46492</v>
      </c>
      <c r="L354" s="28" t="n">
        <f aca="false">IF($K354="","",IF(AND($K354-기준정보!$C$5&gt;=기준정보!$C$10,$K354-기준정보!$C$5&lt;=기준정보!$C$11),기준정보!$C$10-1,$K354-기준정보!$C$5))</f>
        <v>46478</v>
      </c>
      <c r="M354" s="29" t="n">
        <f aca="false"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>0</v>
      </c>
      <c r="N354" s="28" t="n">
        <f aca="false">IF($L354="","",$L354-기준정보!$C$6-$M354)</f>
        <v>46388</v>
      </c>
      <c r="O354" s="30" t="n">
        <f aca="false">IF($N354="","",$N354-기준정보!$C$4)</f>
        <v>135</v>
      </c>
      <c r="P354" s="27"/>
      <c r="Q354" s="27" t="s">
        <v>100</v>
      </c>
      <c r="R354" s="27" t="s">
        <v>101</v>
      </c>
      <c r="S354" s="31"/>
      <c r="T354" s="26" t="str">
        <f aca="false">IF($H354="","",IF(AND(ISNUMBER(SEARCH("CMT",$H354)),OR(ISNUMBER(SEARCH("완사입",$H354)),ISNUMBER(SEARCH("ODM",$H354)))),"본사/생산처 혼재",IF(ISNUMBER(SEARCH("CMT",$H354)),"본사(소재팀)","생산처")))</f>
        <v>생산처</v>
      </c>
      <c r="U354" s="26" t="s">
        <v>235</v>
      </c>
      <c r="V354" s="26" t="s">
        <v>235</v>
      </c>
      <c r="W354" s="25" t="s">
        <v>110</v>
      </c>
      <c r="X354" s="26" t="s">
        <v>247</v>
      </c>
      <c r="Y354" s="32" t="s">
        <v>1106</v>
      </c>
      <c r="Z354" s="32"/>
      <c r="AA354" s="28" t="n">
        <v>46225</v>
      </c>
      <c r="AB354" s="33" t="n">
        <v>2500</v>
      </c>
      <c r="AC354" s="33" t="n">
        <v>41857500</v>
      </c>
      <c r="AD354" s="33" t="n">
        <v>220000000</v>
      </c>
      <c r="AE354" s="26" t="s">
        <v>1290</v>
      </c>
      <c r="AF354" s="26" t="str">
        <f aca="false"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>소재 입고일정 확인 필요</v>
      </c>
      <c r="AG354" s="24" t="str">
        <f aca="false">IF($K354="","",IF(OR(LEFT($AF354,2)="작지",LEFT($AF354,4)="소재입고"),IF(LEFT($G354,1)="S","★ 납기위험(S코드)","◆ 지연주의"),IF($AF354="정상","✓ 정상","? 확인필요")))</f>
        <v>? 확인필요</v>
      </c>
      <c r="AH354" s="27"/>
      <c r="AI354" s="34"/>
    </row>
    <row r="355" customFormat="false" ht="15" hidden="false" customHeight="false" outlineLevel="0" collapsed="false">
      <c r="A355" s="24" t="n">
        <v>351</v>
      </c>
      <c r="B355" s="25" t="s">
        <v>250</v>
      </c>
      <c r="C355" s="25" t="s">
        <v>271</v>
      </c>
      <c r="D355" s="26" t="s">
        <v>1302</v>
      </c>
      <c r="E355" s="25" t="s">
        <v>1303</v>
      </c>
      <c r="F355" s="26" t="s">
        <v>620</v>
      </c>
      <c r="G355" s="24" t="str">
        <f aca="false">IF($D355="","",IF(MID($D355,5,1)="S","S(봄)",IF(MID($D355,5,1)="M","M(여름)",IF(MID($D355,5,1)="X","X(사계절)",MID($D355,5,1)))))</f>
        <v>M(여름)</v>
      </c>
      <c r="H355" s="25" t="s">
        <v>97</v>
      </c>
      <c r="I355" s="24"/>
      <c r="J355" s="27" t="s">
        <v>1290</v>
      </c>
      <c r="K355" s="28" t="n">
        <f aca="false">IF($J355="","",IFERROR(DATE(IF(VALUE(LEFT($J355,FIND("월",$J355)-1))&gt;=9,기준정보!$C$7-1,기준정보!$C$7),VALUE(LEFT($J355,FIND("월",$J355)-1)),1+7*(VALUE(SUBSTITUTE(MID($J355,FIND("월",$J355)+1,5),"주",""))-1)),""))</f>
        <v>46492</v>
      </c>
      <c r="L355" s="28" t="n">
        <f aca="false">IF($K355="","",IF(AND($K355-기준정보!$C$5&gt;=기준정보!$C$10,$K355-기준정보!$C$5&lt;=기준정보!$C$11),기준정보!$C$10-1,$K355-기준정보!$C$5))</f>
        <v>46478</v>
      </c>
      <c r="M355" s="29" t="n">
        <f aca="false"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>15</v>
      </c>
      <c r="N355" s="28" t="n">
        <f aca="false">IF($L355="","",$L355-기준정보!$C$6-$M355)</f>
        <v>46373</v>
      </c>
      <c r="O355" s="30" t="n">
        <f aca="false">IF($N355="","",$N355-기준정보!$C$4)</f>
        <v>120</v>
      </c>
      <c r="P355" s="27"/>
      <c r="Q355" s="27" t="s">
        <v>100</v>
      </c>
      <c r="R355" s="27" t="s">
        <v>101</v>
      </c>
      <c r="S355" s="31"/>
      <c r="T355" s="26" t="str">
        <f aca="false">IF($H355="","",IF(AND(ISNUMBER(SEARCH("CMT",$H355)),OR(ISNUMBER(SEARCH("완사입",$H355)),ISNUMBER(SEARCH("ODM",$H355)))),"본사/생산처 혼재",IF(ISNUMBER(SEARCH("CMT",$H355)),"본사(소재팀)","생산처")))</f>
        <v>생산처</v>
      </c>
      <c r="U355" s="25" t="s">
        <v>380</v>
      </c>
      <c r="V355" s="25" t="s">
        <v>380</v>
      </c>
      <c r="W355" s="25" t="s">
        <v>103</v>
      </c>
      <c r="X355" s="26" t="s">
        <v>247</v>
      </c>
      <c r="Y355" s="32" t="s">
        <v>1053</v>
      </c>
      <c r="Z355" s="32"/>
      <c r="AA355" s="28" t="n">
        <v>46198</v>
      </c>
      <c r="AB355" s="33" t="n">
        <v>5000</v>
      </c>
      <c r="AC355" s="33" t="n">
        <v>84510000</v>
      </c>
      <c r="AD355" s="33" t="n">
        <v>440000000</v>
      </c>
      <c r="AE355" s="26" t="s">
        <v>1290</v>
      </c>
      <c r="AF355" s="26" t="str">
        <f aca="false"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>소재 입고일정 확인 필요</v>
      </c>
      <c r="AG355" s="24" t="str">
        <f aca="false">IF($K355="","",IF(OR(LEFT($AF355,2)="작지",LEFT($AF355,4)="소재입고"),IF(LEFT($G355,1)="S","★ 납기위험(S코드)","◆ 지연주의"),IF($AF355="정상","✓ 정상","? 확인필요")))</f>
        <v>? 확인필요</v>
      </c>
      <c r="AH355" s="27"/>
      <c r="AI355" s="34"/>
    </row>
    <row r="356" customFormat="false" ht="15" hidden="false" customHeight="false" outlineLevel="0" collapsed="false">
      <c r="A356" s="24" t="n">
        <v>352</v>
      </c>
      <c r="B356" s="25" t="s">
        <v>250</v>
      </c>
      <c r="C356" s="25" t="s">
        <v>251</v>
      </c>
      <c r="D356" s="26" t="s">
        <v>1304</v>
      </c>
      <c r="E356" s="25" t="s">
        <v>1305</v>
      </c>
      <c r="F356" s="26" t="s">
        <v>1306</v>
      </c>
      <c r="G356" s="24" t="str">
        <f aca="false">IF($D356="","",IF(MID($D356,5,1)="S","S(봄)",IF(MID($D356,5,1)="M","M(여름)",IF(MID($D356,5,1)="X","X(사계절)",MID($D356,5,1)))))</f>
        <v>M(여름)</v>
      </c>
      <c r="H356" s="25" t="s">
        <v>97</v>
      </c>
      <c r="I356" s="24"/>
      <c r="J356" s="27" t="s">
        <v>1290</v>
      </c>
      <c r="K356" s="28" t="n">
        <f aca="false">IF($J356="","",IFERROR(DATE(IF(VALUE(LEFT($J356,FIND("월",$J356)-1))&gt;=9,기준정보!$C$7-1,기준정보!$C$7),VALUE(LEFT($J356,FIND("월",$J356)-1)),1+7*(VALUE(SUBSTITUTE(MID($J356,FIND("월",$J356)+1,5),"주",""))-1)),""))</f>
        <v>46492</v>
      </c>
      <c r="L356" s="28" t="n">
        <f aca="false">IF($K356="","",IF(AND($K356-기준정보!$C$5&gt;=기준정보!$C$10,$K356-기준정보!$C$5&lt;=기준정보!$C$11),기준정보!$C$10-1,$K356-기준정보!$C$5))</f>
        <v>46478</v>
      </c>
      <c r="M356" s="29" t="n">
        <f aca="false"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>15</v>
      </c>
      <c r="N356" s="28" t="n">
        <f aca="false">IF($L356="","",$L356-기준정보!$C$6-$M356)</f>
        <v>46373</v>
      </c>
      <c r="O356" s="30" t="n">
        <f aca="false">IF($N356="","",$N356-기준정보!$C$4)</f>
        <v>120</v>
      </c>
      <c r="P356" s="27"/>
      <c r="Q356" s="27" t="s">
        <v>100</v>
      </c>
      <c r="R356" s="27" t="s">
        <v>100</v>
      </c>
      <c r="S356" s="31"/>
      <c r="T356" s="26" t="str">
        <f aca="false">IF($H356="","",IF(AND(ISNUMBER(SEARCH("CMT",$H356)),OR(ISNUMBER(SEARCH("완사입",$H356)),ISNUMBER(SEARCH("ODM",$H356)))),"본사/생산처 혼재",IF(ISNUMBER(SEARCH("CMT",$H356)),"본사(소재팀)","생산처")))</f>
        <v>생산처</v>
      </c>
      <c r="U356" s="25" t="s">
        <v>380</v>
      </c>
      <c r="V356" s="25" t="s">
        <v>380</v>
      </c>
      <c r="W356" s="25" t="s">
        <v>103</v>
      </c>
      <c r="X356" s="26" t="s">
        <v>247</v>
      </c>
      <c r="Y356" s="32" t="s">
        <v>1053</v>
      </c>
      <c r="Z356" s="32"/>
      <c r="AA356" s="28" t="n">
        <v>46191</v>
      </c>
      <c r="AB356" s="33" t="n">
        <v>2500</v>
      </c>
      <c r="AC356" s="33" t="n">
        <v>41855000</v>
      </c>
      <c r="AD356" s="33" t="n">
        <v>195000000</v>
      </c>
      <c r="AE356" s="26" t="s">
        <v>1290</v>
      </c>
      <c r="AF356" s="26" t="str">
        <f aca="false"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>소재 입고일정 확인 필요</v>
      </c>
      <c r="AG356" s="24" t="str">
        <f aca="false">IF($K356="","",IF(OR(LEFT($AF356,2)="작지",LEFT($AF356,4)="소재입고"),IF(LEFT($G356,1)="S","★ 납기위험(S코드)","◆ 지연주의"),IF($AF356="정상","✓ 정상","? 확인필요")))</f>
        <v>? 확인필요</v>
      </c>
      <c r="AH356" s="27"/>
      <c r="AI356" s="34"/>
    </row>
    <row r="357" customFormat="false" ht="15" hidden="false" customHeight="false" outlineLevel="0" collapsed="false">
      <c r="A357" s="24" t="n">
        <v>353</v>
      </c>
      <c r="B357" s="25" t="s">
        <v>176</v>
      </c>
      <c r="C357" s="25" t="s">
        <v>177</v>
      </c>
      <c r="D357" s="26" t="s">
        <v>1307</v>
      </c>
      <c r="E357" s="26" t="s">
        <v>1308</v>
      </c>
      <c r="F357" s="26" t="s">
        <v>196</v>
      </c>
      <c r="G357" s="24" t="str">
        <f aca="false">IF($D357="","",IF(MID($D357,5,1)="S","S(봄)",IF(MID($D357,5,1)="M","M(여름)",IF(MID($D357,5,1)="X","X(사계절)",MID($D357,5,1)))))</f>
        <v>X(사계절)</v>
      </c>
      <c r="H357" s="25" t="s">
        <v>97</v>
      </c>
      <c r="I357" s="24" t="s">
        <v>181</v>
      </c>
      <c r="J357" s="27" t="s">
        <v>182</v>
      </c>
      <c r="K357" s="28" t="n">
        <f aca="false">IF($J357="","",IFERROR(DATE(IF(VALUE(LEFT($J357,FIND("월",$J357)-1))&gt;=9,기준정보!$C$7-1,기준정보!$C$7),VALUE(LEFT($J357,FIND("월",$J357)-1)),1+7*(VALUE(SUBSTITUTE(MID($J357,FIND("월",$J357)+1,5),"주",""))-1)),""))</f>
        <v>46402</v>
      </c>
      <c r="L357" s="28" t="n">
        <f aca="false">IF($K357="","",IF(AND($K357-기준정보!$C$5&gt;=기준정보!$C$10,$K357-기준정보!$C$5&lt;=기준정보!$C$11),기준정보!$C$10-1,$K357-기준정보!$C$5))</f>
        <v>46388</v>
      </c>
      <c r="M357" s="29" t="n">
        <f aca="false"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>0</v>
      </c>
      <c r="N357" s="28" t="n">
        <f aca="false">IF($L357="","",$L357-기준정보!$C$6-$M357)</f>
        <v>46298</v>
      </c>
      <c r="O357" s="30" t="n">
        <f aca="false">IF($N357="","",$N357-기준정보!$C$4)</f>
        <v>45</v>
      </c>
      <c r="P357" s="27"/>
      <c r="Q357" s="27" t="s">
        <v>101</v>
      </c>
      <c r="R357" s="27" t="s">
        <v>101</v>
      </c>
      <c r="S357" s="31"/>
      <c r="T357" s="26" t="str">
        <f aca="false">IF($H357="","",IF(AND(ISNUMBER(SEARCH("CMT",$H357)),OR(ISNUMBER(SEARCH("완사입",$H357)),ISNUMBER(SEARCH("ODM",$H357)))),"본사/생산처 혼재",IF(ISNUMBER(SEARCH("CMT",$H357)),"본사(소재팀)","생산처")))</f>
        <v>생산처</v>
      </c>
      <c r="U357" s="25" t="s">
        <v>197</v>
      </c>
      <c r="V357" s="26"/>
      <c r="W357" s="25" t="s">
        <v>103</v>
      </c>
      <c r="X357" s="26"/>
      <c r="Y357" s="32"/>
      <c r="Z357" s="32"/>
      <c r="AA357" s="28"/>
      <c r="AB357" s="33" t="n">
        <v>0</v>
      </c>
      <c r="AC357" s="33" t="n">
        <v>2470588</v>
      </c>
      <c r="AD357" s="33" t="n">
        <v>8400000</v>
      </c>
      <c r="AE357" s="26"/>
      <c r="AF357" s="26" t="str">
        <f aca="false"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>작지 미발행</v>
      </c>
      <c r="AG357" s="24" t="str">
        <f aca="false">IF($K357="","",IF(OR(LEFT($AF357,2)="작지",LEFT($AF357,4)="소재입고"),IF(LEFT($G357,1)="S","★ 납기위험(S코드)","◆ 지연주의"),IF($AF357="정상","✓ 정상","? 확인필요")))</f>
        <v>◆ 지연주의</v>
      </c>
      <c r="AH357" s="27"/>
      <c r="AI357" s="34"/>
    </row>
    <row r="358" customFormat="false" ht="15" hidden="false" customHeight="false" outlineLevel="0" collapsed="false">
      <c r="A358" s="24" t="n">
        <v>354</v>
      </c>
      <c r="B358" s="25" t="s">
        <v>176</v>
      </c>
      <c r="C358" s="25" t="s">
        <v>177</v>
      </c>
      <c r="D358" s="26" t="s">
        <v>1309</v>
      </c>
      <c r="E358" s="26" t="s">
        <v>1310</v>
      </c>
      <c r="F358" s="26" t="s">
        <v>196</v>
      </c>
      <c r="G358" s="24" t="str">
        <f aca="false">IF($D358="","",IF(MID($D358,5,1)="S","S(봄)",IF(MID($D358,5,1)="M","M(여름)",IF(MID($D358,5,1)="X","X(사계절)",MID($D358,5,1)))))</f>
        <v>X(사계절)</v>
      </c>
      <c r="H358" s="25" t="s">
        <v>97</v>
      </c>
      <c r="I358" s="24" t="s">
        <v>181</v>
      </c>
      <c r="J358" s="27" t="s">
        <v>182</v>
      </c>
      <c r="K358" s="28" t="n">
        <f aca="false">IF($J358="","",IFERROR(DATE(IF(VALUE(LEFT($J358,FIND("월",$J358)-1))&gt;=9,기준정보!$C$7-1,기준정보!$C$7),VALUE(LEFT($J358,FIND("월",$J358)-1)),1+7*(VALUE(SUBSTITUTE(MID($J358,FIND("월",$J358)+1,5),"주",""))-1)),""))</f>
        <v>46402</v>
      </c>
      <c r="L358" s="28" t="n">
        <f aca="false">IF($K358="","",IF(AND($K358-기준정보!$C$5&gt;=기준정보!$C$10,$K358-기준정보!$C$5&lt;=기준정보!$C$11),기준정보!$C$10-1,$K358-기준정보!$C$5))</f>
        <v>46388</v>
      </c>
      <c r="M358" s="29" t="n">
        <f aca="false"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>0</v>
      </c>
      <c r="N358" s="28" t="n">
        <f aca="false">IF($L358="","",$L358-기준정보!$C$6-$M358)</f>
        <v>46298</v>
      </c>
      <c r="O358" s="30" t="n">
        <f aca="false">IF($N358="","",$N358-기준정보!$C$4)</f>
        <v>45</v>
      </c>
      <c r="P358" s="27"/>
      <c r="Q358" s="27"/>
      <c r="R358" s="27"/>
      <c r="S358" s="31"/>
      <c r="T358" s="26" t="str">
        <f aca="false">IF($H358="","",IF(AND(ISNUMBER(SEARCH("CMT",$H358)),OR(ISNUMBER(SEARCH("완사입",$H358)),ISNUMBER(SEARCH("ODM",$H358)))),"본사/생산처 혼재",IF(ISNUMBER(SEARCH("CMT",$H358)),"본사(소재팀)","생산처")))</f>
        <v>생산처</v>
      </c>
      <c r="U358" s="25" t="s">
        <v>1311</v>
      </c>
      <c r="V358" s="26"/>
      <c r="W358" s="25" t="s">
        <v>163</v>
      </c>
      <c r="X358" s="26"/>
      <c r="Y358" s="32"/>
      <c r="Z358" s="32"/>
      <c r="AA358" s="28"/>
      <c r="AB358" s="33" t="n">
        <v>0</v>
      </c>
      <c r="AC358" s="33" t="n">
        <v>0</v>
      </c>
      <c r="AD358" s="33" t="n">
        <v>0</v>
      </c>
      <c r="AE358" s="26"/>
      <c r="AF358" s="26" t="str">
        <f aca="false"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>발행여부 확인 필요</v>
      </c>
      <c r="AG358" s="24" t="str">
        <f aca="false">IF($K358="","",IF(OR(LEFT($AF358,2)="작지",LEFT($AF358,4)="소재입고"),IF(LEFT($G358,1)="S","★ 납기위험(S코드)","◆ 지연주의"),IF($AF358="정상","✓ 정상","? 확인필요")))</f>
        <v>? 확인필요</v>
      </c>
      <c r="AH358" s="27"/>
      <c r="AI358" s="34"/>
    </row>
    <row r="359" customFormat="false" ht="15" hidden="false" customHeight="false" outlineLevel="0" collapsed="false">
      <c r="A359" s="24" t="n">
        <v>355</v>
      </c>
      <c r="B359" s="25" t="s">
        <v>176</v>
      </c>
      <c r="C359" s="25" t="s">
        <v>177</v>
      </c>
      <c r="D359" s="26" t="s">
        <v>1312</v>
      </c>
      <c r="E359" s="26" t="s">
        <v>1313</v>
      </c>
      <c r="F359" s="26" t="s">
        <v>196</v>
      </c>
      <c r="G359" s="24" t="str">
        <f aca="false">IF($D359="","",IF(MID($D359,5,1)="S","S(봄)",IF(MID($D359,5,1)="M","M(여름)",IF(MID($D359,5,1)="X","X(사계절)",MID($D359,5,1)))))</f>
        <v>X(사계절)</v>
      </c>
      <c r="H359" s="25" t="s">
        <v>97</v>
      </c>
      <c r="I359" s="24" t="s">
        <v>181</v>
      </c>
      <c r="J359" s="27" t="s">
        <v>182</v>
      </c>
      <c r="K359" s="28" t="n">
        <f aca="false">IF($J359="","",IFERROR(DATE(IF(VALUE(LEFT($J359,FIND("월",$J359)-1))&gt;=9,기준정보!$C$7-1,기준정보!$C$7),VALUE(LEFT($J359,FIND("월",$J359)-1)),1+7*(VALUE(SUBSTITUTE(MID($J359,FIND("월",$J359)+1,5),"주",""))-1)),""))</f>
        <v>46402</v>
      </c>
      <c r="L359" s="28" t="n">
        <f aca="false">IF($K359="","",IF(AND($K359-기준정보!$C$5&gt;=기준정보!$C$10,$K359-기준정보!$C$5&lt;=기준정보!$C$11),기준정보!$C$10-1,$K359-기준정보!$C$5))</f>
        <v>46388</v>
      </c>
      <c r="M359" s="29" t="n">
        <f aca="false"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>0</v>
      </c>
      <c r="N359" s="28" t="n">
        <f aca="false">IF($L359="","",$L359-기준정보!$C$6-$M359)</f>
        <v>46298</v>
      </c>
      <c r="O359" s="30" t="n">
        <f aca="false">IF($N359="","",$N359-기준정보!$C$4)</f>
        <v>45</v>
      </c>
      <c r="P359" s="27"/>
      <c r="Q359" s="27" t="s">
        <v>100</v>
      </c>
      <c r="R359" s="27" t="s">
        <v>101</v>
      </c>
      <c r="S359" s="31"/>
      <c r="T359" s="26" t="str">
        <f aca="false">IF($H359="","",IF(AND(ISNUMBER(SEARCH("CMT",$H359)),OR(ISNUMBER(SEARCH("완사입",$H359)),ISNUMBER(SEARCH("ODM",$H359)))),"본사/생산처 혼재",IF(ISNUMBER(SEARCH("CMT",$H359)),"본사(소재팀)","생산처")))</f>
        <v>생산처</v>
      </c>
      <c r="U359" s="25" t="s">
        <v>1311</v>
      </c>
      <c r="V359" s="26"/>
      <c r="W359" s="25" t="s">
        <v>163</v>
      </c>
      <c r="X359" s="26"/>
      <c r="Y359" s="32"/>
      <c r="Z359" s="32"/>
      <c r="AA359" s="28"/>
      <c r="AB359" s="33" t="n">
        <v>0</v>
      </c>
      <c r="AC359" s="33" t="n">
        <v>8735294</v>
      </c>
      <c r="AD359" s="33" t="n">
        <v>29700000</v>
      </c>
      <c r="AE359" s="26"/>
      <c r="AF359" s="26" t="str">
        <f aca="false"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>소재 입고일정 확인 필요</v>
      </c>
      <c r="AG359" s="24" t="str">
        <f aca="false">IF($K359="","",IF(OR(LEFT($AF359,2)="작지",LEFT($AF359,4)="소재입고"),IF(LEFT($G359,1)="S","★ 납기위험(S코드)","◆ 지연주의"),IF($AF359="정상","✓ 정상","? 확인필요")))</f>
        <v>? 확인필요</v>
      </c>
      <c r="AH359" s="27"/>
      <c r="AI359" s="34"/>
    </row>
    <row r="360" customFormat="false" ht="15" hidden="false" customHeight="false" outlineLevel="0" collapsed="false">
      <c r="A360" s="24" t="n">
        <v>356</v>
      </c>
      <c r="B360" s="25" t="s">
        <v>176</v>
      </c>
      <c r="C360" s="25" t="s">
        <v>177</v>
      </c>
      <c r="D360" s="26" t="s">
        <v>1314</v>
      </c>
      <c r="E360" s="26" t="s">
        <v>1315</v>
      </c>
      <c r="F360" s="26" t="s">
        <v>196</v>
      </c>
      <c r="G360" s="24" t="str">
        <f aca="false">IF($D360="","",IF(MID($D360,5,1)="S","S(봄)",IF(MID($D360,5,1)="M","M(여름)",IF(MID($D360,5,1)="X","X(사계절)",MID($D360,5,1)))))</f>
        <v>X(사계절)</v>
      </c>
      <c r="H360" s="25" t="s">
        <v>97</v>
      </c>
      <c r="I360" s="24" t="s">
        <v>181</v>
      </c>
      <c r="J360" s="27" t="s">
        <v>182</v>
      </c>
      <c r="K360" s="28" t="n">
        <f aca="false">IF($J360="","",IFERROR(DATE(IF(VALUE(LEFT($J360,FIND("월",$J360)-1))&gt;=9,기준정보!$C$7-1,기준정보!$C$7),VALUE(LEFT($J360,FIND("월",$J360)-1)),1+7*(VALUE(SUBSTITUTE(MID($J360,FIND("월",$J360)+1,5),"주",""))-1)),""))</f>
        <v>46402</v>
      </c>
      <c r="L360" s="28" t="n">
        <f aca="false">IF($K360="","",IF(AND($K360-기준정보!$C$5&gt;=기준정보!$C$10,$K360-기준정보!$C$5&lt;=기준정보!$C$11),기준정보!$C$10-1,$K360-기준정보!$C$5))</f>
        <v>46388</v>
      </c>
      <c r="M360" s="29" t="n">
        <f aca="false"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>0</v>
      </c>
      <c r="N360" s="28" t="n">
        <f aca="false">IF($L360="","",$L360-기준정보!$C$6-$M360)</f>
        <v>46298</v>
      </c>
      <c r="O360" s="30" t="n">
        <f aca="false">IF($N360="","",$N360-기준정보!$C$4)</f>
        <v>45</v>
      </c>
      <c r="P360" s="27"/>
      <c r="Q360" s="27" t="s">
        <v>100</v>
      </c>
      <c r="R360" s="27" t="s">
        <v>101</v>
      </c>
      <c r="S360" s="31"/>
      <c r="T360" s="26" t="str">
        <f aca="false">IF($H360="","",IF(AND(ISNUMBER(SEARCH("CMT",$H360)),OR(ISNUMBER(SEARCH("완사입",$H360)),ISNUMBER(SEARCH("ODM",$H360)))),"본사/생산처 혼재",IF(ISNUMBER(SEARCH("CMT",$H360)),"본사(소재팀)","생산처")))</f>
        <v>생산처</v>
      </c>
      <c r="U360" s="25" t="s">
        <v>952</v>
      </c>
      <c r="V360" s="26"/>
      <c r="W360" s="25" t="s">
        <v>202</v>
      </c>
      <c r="X360" s="26"/>
      <c r="Y360" s="32"/>
      <c r="Z360" s="32"/>
      <c r="AA360" s="28"/>
      <c r="AB360" s="33" t="n">
        <v>0</v>
      </c>
      <c r="AC360" s="33" t="n">
        <v>3764706</v>
      </c>
      <c r="AD360" s="33" t="n">
        <v>12800000</v>
      </c>
      <c r="AE360" s="26"/>
      <c r="AF360" s="26" t="str">
        <f aca="false"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>소재 입고일정 확인 필요</v>
      </c>
      <c r="AG360" s="24" t="str">
        <f aca="false">IF($K360="","",IF(OR(LEFT($AF360,2)="작지",LEFT($AF360,4)="소재입고"),IF(LEFT($G360,1)="S","★ 납기위험(S코드)","◆ 지연주의"),IF($AF360="정상","✓ 정상","? 확인필요")))</f>
        <v>? 확인필요</v>
      </c>
      <c r="AH360" s="27"/>
      <c r="AI360" s="34"/>
    </row>
    <row r="361" customFormat="false" ht="15" hidden="false" customHeight="false" outlineLevel="0" collapsed="false">
      <c r="A361" s="24" t="n">
        <v>357</v>
      </c>
      <c r="B361" s="25" t="s">
        <v>176</v>
      </c>
      <c r="C361" s="25" t="s">
        <v>177</v>
      </c>
      <c r="D361" s="26" t="s">
        <v>1316</v>
      </c>
      <c r="E361" s="26" t="s">
        <v>1317</v>
      </c>
      <c r="F361" s="26" t="s">
        <v>288</v>
      </c>
      <c r="G361" s="24" t="str">
        <f aca="false">IF($D361="","",IF(MID($D361,5,1)="S","S(봄)",IF(MID($D361,5,1)="M","M(여름)",IF(MID($D361,5,1)="X","X(사계절)",MID($D361,5,1)))))</f>
        <v>X(사계절)</v>
      </c>
      <c r="H361" s="25" t="s">
        <v>97</v>
      </c>
      <c r="I361" s="24" t="s">
        <v>181</v>
      </c>
      <c r="J361" s="27" t="s">
        <v>182</v>
      </c>
      <c r="K361" s="28" t="n">
        <f aca="false">IF($J361="","",IFERROR(DATE(IF(VALUE(LEFT($J361,FIND("월",$J361)-1))&gt;=9,기준정보!$C$7-1,기준정보!$C$7),VALUE(LEFT($J361,FIND("월",$J361)-1)),1+7*(VALUE(SUBSTITUTE(MID($J361,FIND("월",$J361)+1,5),"주",""))-1)),""))</f>
        <v>46402</v>
      </c>
      <c r="L361" s="28" t="n">
        <f aca="false">IF($K361="","",IF(AND($K361-기준정보!$C$5&gt;=기준정보!$C$10,$K361-기준정보!$C$5&lt;=기준정보!$C$11),기준정보!$C$10-1,$K361-기준정보!$C$5))</f>
        <v>46388</v>
      </c>
      <c r="M361" s="29" t="n">
        <f aca="false"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>0</v>
      </c>
      <c r="N361" s="28" t="n">
        <f aca="false">IF($L361="","",$L361-기준정보!$C$6-$M361)</f>
        <v>46298</v>
      </c>
      <c r="O361" s="30" t="n">
        <f aca="false">IF($N361="","",$N361-기준정보!$C$4)</f>
        <v>45</v>
      </c>
      <c r="P361" s="27"/>
      <c r="Q361" s="27" t="s">
        <v>100</v>
      </c>
      <c r="R361" s="27" t="s">
        <v>101</v>
      </c>
      <c r="S361" s="31"/>
      <c r="T361" s="26" t="str">
        <f aca="false">IF($H361="","",IF(AND(ISNUMBER(SEARCH("CMT",$H361)),OR(ISNUMBER(SEARCH("완사입",$H361)),ISNUMBER(SEARCH("ODM",$H361)))),"본사/생산처 혼재",IF(ISNUMBER(SEARCH("CMT",$H361)),"본사(소재팀)","생산처")))</f>
        <v>생산처</v>
      </c>
      <c r="U361" s="25" t="s">
        <v>952</v>
      </c>
      <c r="V361" s="26"/>
      <c r="W361" s="25" t="s">
        <v>202</v>
      </c>
      <c r="X361" s="26"/>
      <c r="Y361" s="32"/>
      <c r="Z361" s="32"/>
      <c r="AA361" s="28"/>
      <c r="AB361" s="33" t="n">
        <v>0</v>
      </c>
      <c r="AC361" s="33" t="n">
        <v>6470588</v>
      </c>
      <c r="AD361" s="33" t="n">
        <v>22000000</v>
      </c>
      <c r="AE361" s="26"/>
      <c r="AF361" s="26" t="str">
        <f aca="false"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>소재 입고일정 확인 필요</v>
      </c>
      <c r="AG361" s="24" t="str">
        <f aca="false">IF($K361="","",IF(OR(LEFT($AF361,2)="작지",LEFT($AF361,4)="소재입고"),IF(LEFT($G361,1)="S","★ 납기위험(S코드)","◆ 지연주의"),IF($AF361="정상","✓ 정상","? 확인필요")))</f>
        <v>? 확인필요</v>
      </c>
      <c r="AH361" s="27"/>
      <c r="AI361" s="34"/>
    </row>
    <row r="362" customFormat="false" ht="15" hidden="false" customHeight="false" outlineLevel="0" collapsed="false">
      <c r="A362" s="24" t="n">
        <v>358</v>
      </c>
      <c r="B362" s="25" t="s">
        <v>176</v>
      </c>
      <c r="C362" s="25" t="s">
        <v>177</v>
      </c>
      <c r="D362" s="26" t="s">
        <v>1318</v>
      </c>
      <c r="E362" s="26" t="s">
        <v>1319</v>
      </c>
      <c r="F362" s="26" t="s">
        <v>196</v>
      </c>
      <c r="G362" s="24" t="str">
        <f aca="false">IF($D362="","",IF(MID($D362,5,1)="S","S(봄)",IF(MID($D362,5,1)="M","M(여름)",IF(MID($D362,5,1)="X","X(사계절)",MID($D362,5,1)))))</f>
        <v>X(사계절)</v>
      </c>
      <c r="H362" s="25" t="s">
        <v>97</v>
      </c>
      <c r="I362" s="24" t="s">
        <v>181</v>
      </c>
      <c r="J362" s="27" t="s">
        <v>182</v>
      </c>
      <c r="K362" s="28" t="n">
        <f aca="false">IF($J362="","",IFERROR(DATE(IF(VALUE(LEFT($J362,FIND("월",$J362)-1))&gt;=9,기준정보!$C$7-1,기준정보!$C$7),VALUE(LEFT($J362,FIND("월",$J362)-1)),1+7*(VALUE(SUBSTITUTE(MID($J362,FIND("월",$J362)+1,5),"주",""))-1)),""))</f>
        <v>46402</v>
      </c>
      <c r="L362" s="28" t="n">
        <f aca="false">IF($K362="","",IF(AND($K362-기준정보!$C$5&gt;=기준정보!$C$10,$K362-기준정보!$C$5&lt;=기준정보!$C$11),기준정보!$C$10-1,$K362-기준정보!$C$5))</f>
        <v>46388</v>
      </c>
      <c r="M362" s="29" t="n">
        <f aca="false"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>0</v>
      </c>
      <c r="N362" s="28" t="n">
        <f aca="false">IF($L362="","",$L362-기준정보!$C$6-$M362)</f>
        <v>46298</v>
      </c>
      <c r="O362" s="30" t="n">
        <f aca="false">IF($N362="","",$N362-기준정보!$C$4)</f>
        <v>45</v>
      </c>
      <c r="P362" s="27"/>
      <c r="Q362" s="27" t="s">
        <v>100</v>
      </c>
      <c r="R362" s="27" t="s">
        <v>100</v>
      </c>
      <c r="S362" s="31"/>
      <c r="T362" s="26" t="str">
        <f aca="false">IF($H362="","",IF(AND(ISNUMBER(SEARCH("CMT",$H362)),OR(ISNUMBER(SEARCH("완사입",$H362)),ISNUMBER(SEARCH("ODM",$H362)))),"본사/생산처 혼재",IF(ISNUMBER(SEARCH("CMT",$H362)),"본사(소재팀)","생산처")))</f>
        <v>생산처</v>
      </c>
      <c r="U362" s="25" t="s">
        <v>313</v>
      </c>
      <c r="V362" s="25" t="s">
        <v>313</v>
      </c>
      <c r="W362" s="25" t="s">
        <v>103</v>
      </c>
      <c r="X362" s="26" t="s">
        <v>104</v>
      </c>
      <c r="Y362" s="32" t="s">
        <v>1320</v>
      </c>
      <c r="Z362" s="32"/>
      <c r="AA362" s="28"/>
      <c r="AB362" s="33" t="n">
        <v>0</v>
      </c>
      <c r="AC362" s="33" t="n">
        <v>34016700</v>
      </c>
      <c r="AD362" s="33" t="n">
        <v>99000000</v>
      </c>
      <c r="AE362" s="26"/>
      <c r="AF362" s="26" t="str">
        <f aca="false"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>소재 입고일정 확인 필요</v>
      </c>
      <c r="AG362" s="24" t="str">
        <f aca="false">IF($K362="","",IF(OR(LEFT($AF362,2)="작지",LEFT($AF362,4)="소재입고"),IF(LEFT($G362,1)="S","★ 납기위험(S코드)","◆ 지연주의"),IF($AF362="정상","✓ 정상","? 확인필요")))</f>
        <v>? 확인필요</v>
      </c>
      <c r="AH362" s="27"/>
      <c r="AI362" s="34"/>
    </row>
    <row r="363" customFormat="false" ht="15" hidden="false" customHeight="false" outlineLevel="0" collapsed="false">
      <c r="A363" s="24" t="n">
        <v>359</v>
      </c>
      <c r="B363" s="25" t="s">
        <v>176</v>
      </c>
      <c r="C363" s="25" t="s">
        <v>177</v>
      </c>
      <c r="D363" s="26" t="s">
        <v>1321</v>
      </c>
      <c r="E363" s="26" t="s">
        <v>1322</v>
      </c>
      <c r="F363" s="26" t="s">
        <v>1323</v>
      </c>
      <c r="G363" s="24" t="str">
        <f aca="false">IF($D363="","",IF(MID($D363,5,1)="S","S(봄)",IF(MID($D363,5,1)="M","M(여름)",IF(MID($D363,5,1)="X","X(사계절)",MID($D363,5,1)))))</f>
        <v>X(사계절)</v>
      </c>
      <c r="H363" s="25" t="s">
        <v>97</v>
      </c>
      <c r="I363" s="24" t="s">
        <v>181</v>
      </c>
      <c r="J363" s="27" t="s">
        <v>182</v>
      </c>
      <c r="K363" s="28" t="n">
        <f aca="false">IF($J363="","",IFERROR(DATE(IF(VALUE(LEFT($J363,FIND("월",$J363)-1))&gt;=9,기준정보!$C$7-1,기준정보!$C$7),VALUE(LEFT($J363,FIND("월",$J363)-1)),1+7*(VALUE(SUBSTITUTE(MID($J363,FIND("월",$J363)+1,5),"주",""))-1)),""))</f>
        <v>46402</v>
      </c>
      <c r="L363" s="28" t="n">
        <f aca="false">IF($K363="","",IF(AND($K363-기준정보!$C$5&gt;=기준정보!$C$10,$K363-기준정보!$C$5&lt;=기준정보!$C$11),기준정보!$C$10-1,$K363-기준정보!$C$5))</f>
        <v>46388</v>
      </c>
      <c r="M363" s="29" t="n">
        <f aca="false"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>0</v>
      </c>
      <c r="N363" s="28" t="n">
        <f aca="false">IF($L363="","",$L363-기준정보!$C$6-$M363)</f>
        <v>46298</v>
      </c>
      <c r="O363" s="30" t="n">
        <f aca="false">IF($N363="","",$N363-기준정보!$C$4)</f>
        <v>45</v>
      </c>
      <c r="P363" s="27"/>
      <c r="Q363" s="27" t="s">
        <v>100</v>
      </c>
      <c r="R363" s="27" t="s">
        <v>101</v>
      </c>
      <c r="S363" s="31"/>
      <c r="T363" s="26" t="str">
        <f aca="false">IF($H363="","",IF(AND(ISNUMBER(SEARCH("CMT",$H363)),OR(ISNUMBER(SEARCH("완사입",$H363)),ISNUMBER(SEARCH("ODM",$H363)))),"본사/생산처 혼재",IF(ISNUMBER(SEARCH("CMT",$H363)),"본사(소재팀)","생산처")))</f>
        <v>생산처</v>
      </c>
      <c r="U363" s="25" t="s">
        <v>313</v>
      </c>
      <c r="V363" s="25" t="s">
        <v>313</v>
      </c>
      <c r="W363" s="25" t="s">
        <v>103</v>
      </c>
      <c r="X363" s="25" t="s">
        <v>220</v>
      </c>
      <c r="Y363" s="35" t="s">
        <v>1324</v>
      </c>
      <c r="Z363" s="32"/>
      <c r="AA363" s="28" t="n">
        <v>46203</v>
      </c>
      <c r="AB363" s="33" t="n">
        <v>0</v>
      </c>
      <c r="AC363" s="33" t="n">
        <v>74330850</v>
      </c>
      <c r="AD363" s="33" t="n">
        <v>236500000</v>
      </c>
      <c r="AE363" s="26"/>
      <c r="AF363" s="26" t="str">
        <f aca="false"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>소재 입고일정 확인 필요</v>
      </c>
      <c r="AG363" s="24" t="str">
        <f aca="false">IF($K363="","",IF(OR(LEFT($AF363,2)="작지",LEFT($AF363,4)="소재입고"),IF(LEFT($G363,1)="S","★ 납기위험(S코드)","◆ 지연주의"),IF($AF363="정상","✓ 정상","? 확인필요")))</f>
        <v>? 확인필요</v>
      </c>
      <c r="AH363" s="27"/>
      <c r="AI363" s="34"/>
    </row>
    <row r="364" customFormat="false" ht="15" hidden="false" customHeight="false" outlineLevel="0" collapsed="false">
      <c r="A364" s="24" t="n">
        <v>360</v>
      </c>
      <c r="B364" s="25" t="s">
        <v>176</v>
      </c>
      <c r="C364" s="25" t="s">
        <v>188</v>
      </c>
      <c r="D364" s="26" t="s">
        <v>1325</v>
      </c>
      <c r="E364" s="26" t="s">
        <v>1326</v>
      </c>
      <c r="F364" s="26" t="s">
        <v>1327</v>
      </c>
      <c r="G364" s="24" t="str">
        <f aca="false">IF($D364="","",IF(MID($D364,5,1)="S","S(봄)",IF(MID($D364,5,1)="M","M(여름)",IF(MID($D364,5,1)="X","X(사계절)",MID($D364,5,1)))))</f>
        <v>X(사계절)</v>
      </c>
      <c r="H364" s="25" t="s">
        <v>97</v>
      </c>
      <c r="I364" s="24" t="s">
        <v>181</v>
      </c>
      <c r="J364" s="27" t="s">
        <v>182</v>
      </c>
      <c r="K364" s="28" t="n">
        <f aca="false">IF($J364="","",IFERROR(DATE(IF(VALUE(LEFT($J364,FIND("월",$J364)-1))&gt;=9,기준정보!$C$7-1,기준정보!$C$7),VALUE(LEFT($J364,FIND("월",$J364)-1)),1+7*(VALUE(SUBSTITUTE(MID($J364,FIND("월",$J364)+1,5),"주",""))-1)),""))</f>
        <v>46402</v>
      </c>
      <c r="L364" s="28" t="n">
        <f aca="false">IF($K364="","",IF(AND($K364-기준정보!$C$5&gt;=기준정보!$C$10,$K364-기준정보!$C$5&lt;=기준정보!$C$11),기준정보!$C$10-1,$K364-기준정보!$C$5))</f>
        <v>46388</v>
      </c>
      <c r="M364" s="29" t="n">
        <f aca="false"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>0</v>
      </c>
      <c r="N364" s="28" t="n">
        <f aca="false">IF($L364="","",$L364-기준정보!$C$6-$M364)</f>
        <v>46298</v>
      </c>
      <c r="O364" s="30" t="n">
        <f aca="false">IF($N364="","",$N364-기준정보!$C$4)</f>
        <v>45</v>
      </c>
      <c r="P364" s="27"/>
      <c r="Q364" s="27" t="s">
        <v>100</v>
      </c>
      <c r="R364" s="27" t="s">
        <v>101</v>
      </c>
      <c r="S364" s="31"/>
      <c r="T364" s="26" t="str">
        <f aca="false">IF($H364="","",IF(AND(ISNUMBER(SEARCH("CMT",$H364)),OR(ISNUMBER(SEARCH("완사입",$H364)),ISNUMBER(SEARCH("ODM",$H364)))),"본사/생산처 혼재",IF(ISNUMBER(SEARCH("CMT",$H364)),"본사(소재팀)","생산처")))</f>
        <v>생산처</v>
      </c>
      <c r="U364" s="25" t="s">
        <v>109</v>
      </c>
      <c r="V364" s="25" t="s">
        <v>109</v>
      </c>
      <c r="W364" s="25" t="s">
        <v>103</v>
      </c>
      <c r="X364" s="26" t="s">
        <v>1328</v>
      </c>
      <c r="Y364" s="32" t="s">
        <v>1329</v>
      </c>
      <c r="Z364" s="32"/>
      <c r="AA364" s="28"/>
      <c r="AB364" s="33" t="n">
        <v>0</v>
      </c>
      <c r="AC364" s="33" t="n">
        <v>34084400</v>
      </c>
      <c r="AD364" s="33" t="n">
        <v>109200000</v>
      </c>
      <c r="AE364" s="26"/>
      <c r="AF364" s="26" t="str">
        <f aca="false"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>소재 입고일정 확인 필요</v>
      </c>
      <c r="AG364" s="24" t="str">
        <f aca="false">IF($K364="","",IF(OR(LEFT($AF364,2)="작지",LEFT($AF364,4)="소재입고"),IF(LEFT($G364,1)="S","★ 납기위험(S코드)","◆ 지연주의"),IF($AF364="정상","✓ 정상","? 확인필요")))</f>
        <v>? 확인필요</v>
      </c>
      <c r="AH364" s="27"/>
      <c r="AI364" s="34"/>
    </row>
    <row r="365" customFormat="false" ht="15" hidden="false" customHeight="false" outlineLevel="0" collapsed="false">
      <c r="A365" s="24" t="n">
        <v>361</v>
      </c>
      <c r="B365" s="25" t="s">
        <v>176</v>
      </c>
      <c r="C365" s="25" t="s">
        <v>177</v>
      </c>
      <c r="D365" s="26" t="s">
        <v>1330</v>
      </c>
      <c r="E365" s="26" t="s">
        <v>1331</v>
      </c>
      <c r="F365" s="26" t="s">
        <v>196</v>
      </c>
      <c r="G365" s="24" t="str">
        <f aca="false">IF($D365="","",IF(MID($D365,5,1)="S","S(봄)",IF(MID($D365,5,1)="M","M(여름)",IF(MID($D365,5,1)="X","X(사계절)",MID($D365,5,1)))))</f>
        <v>X(사계절)</v>
      </c>
      <c r="H365" s="25" t="s">
        <v>97</v>
      </c>
      <c r="I365" s="24" t="s">
        <v>181</v>
      </c>
      <c r="J365" s="27" t="s">
        <v>182</v>
      </c>
      <c r="K365" s="28" t="n">
        <f aca="false">IF($J365="","",IFERROR(DATE(IF(VALUE(LEFT($J365,FIND("월",$J365)-1))&gt;=9,기준정보!$C$7-1,기준정보!$C$7),VALUE(LEFT($J365,FIND("월",$J365)-1)),1+7*(VALUE(SUBSTITUTE(MID($J365,FIND("월",$J365)+1,5),"주",""))-1)),""))</f>
        <v>46402</v>
      </c>
      <c r="L365" s="28" t="n">
        <f aca="false">IF($K365="","",IF(AND($K365-기준정보!$C$5&gt;=기준정보!$C$10,$K365-기준정보!$C$5&lt;=기준정보!$C$11),기준정보!$C$10-1,$K365-기준정보!$C$5))</f>
        <v>46388</v>
      </c>
      <c r="M365" s="29" t="n">
        <f aca="false"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>0</v>
      </c>
      <c r="N365" s="28" t="n">
        <f aca="false">IF($L365="","",$L365-기준정보!$C$6-$M365)</f>
        <v>46298</v>
      </c>
      <c r="O365" s="30" t="n">
        <f aca="false">IF($N365="","",$N365-기준정보!$C$4)</f>
        <v>45</v>
      </c>
      <c r="P365" s="27"/>
      <c r="Q365" s="27" t="s">
        <v>100</v>
      </c>
      <c r="R365" s="27" t="s">
        <v>101</v>
      </c>
      <c r="S365" s="31"/>
      <c r="T365" s="26" t="str">
        <f aca="false">IF($H365="","",IF(AND(ISNUMBER(SEARCH("CMT",$H365)),OR(ISNUMBER(SEARCH("완사입",$H365)),ISNUMBER(SEARCH("ODM",$H365)))),"본사/생산처 혼재",IF(ISNUMBER(SEARCH("CMT",$H365)),"본사(소재팀)","생산처")))</f>
        <v>생산처</v>
      </c>
      <c r="U365" s="25" t="s">
        <v>313</v>
      </c>
      <c r="V365" s="25" t="s">
        <v>313</v>
      </c>
      <c r="W365" s="25" t="s">
        <v>103</v>
      </c>
      <c r="X365" s="26" t="s">
        <v>104</v>
      </c>
      <c r="Y365" s="32" t="s">
        <v>1320</v>
      </c>
      <c r="Z365" s="32"/>
      <c r="AA365" s="28"/>
      <c r="AB365" s="33" t="n">
        <v>0</v>
      </c>
      <c r="AC365" s="33" t="n">
        <v>14295580</v>
      </c>
      <c r="AD365" s="33" t="n">
        <v>44850000</v>
      </c>
      <c r="AE365" s="26"/>
      <c r="AF365" s="26" t="str">
        <f aca="false"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>소재 입고일정 확인 필요</v>
      </c>
      <c r="AG365" s="24" t="str">
        <f aca="false">IF($K365="","",IF(OR(LEFT($AF365,2)="작지",LEFT($AF365,4)="소재입고"),IF(LEFT($G365,1)="S","★ 납기위험(S코드)","◆ 지연주의"),IF($AF365="정상","✓ 정상","? 확인필요")))</f>
        <v>? 확인필요</v>
      </c>
      <c r="AH365" s="27"/>
      <c r="AI365" s="34"/>
    </row>
    <row r="366" customFormat="false" ht="15" hidden="false" customHeight="false" outlineLevel="0" collapsed="false">
      <c r="A366" s="24" t="n">
        <v>362</v>
      </c>
      <c r="B366" s="25" t="s">
        <v>176</v>
      </c>
      <c r="C366" s="25" t="s">
        <v>177</v>
      </c>
      <c r="D366" s="26" t="s">
        <v>1332</v>
      </c>
      <c r="E366" s="26" t="s">
        <v>1333</v>
      </c>
      <c r="F366" s="26" t="s">
        <v>180</v>
      </c>
      <c r="G366" s="24" t="str">
        <f aca="false">IF($D366="","",IF(MID($D366,5,1)="S","S(봄)",IF(MID($D366,5,1)="M","M(여름)",IF(MID($D366,5,1)="X","X(사계절)",MID($D366,5,1)))))</f>
        <v>X(사계절)</v>
      </c>
      <c r="H366" s="25" t="s">
        <v>97</v>
      </c>
      <c r="I366" s="24" t="s">
        <v>181</v>
      </c>
      <c r="J366" s="27" t="s">
        <v>182</v>
      </c>
      <c r="K366" s="28" t="n">
        <f aca="false">IF($J366="","",IFERROR(DATE(IF(VALUE(LEFT($J366,FIND("월",$J366)-1))&gt;=9,기준정보!$C$7-1,기준정보!$C$7),VALUE(LEFT($J366,FIND("월",$J366)-1)),1+7*(VALUE(SUBSTITUTE(MID($J366,FIND("월",$J366)+1,5),"주",""))-1)),""))</f>
        <v>46402</v>
      </c>
      <c r="L366" s="28" t="n">
        <f aca="false">IF($K366="","",IF(AND($K366-기준정보!$C$5&gt;=기준정보!$C$10,$K366-기준정보!$C$5&lt;=기준정보!$C$11),기준정보!$C$10-1,$K366-기준정보!$C$5))</f>
        <v>46388</v>
      </c>
      <c r="M366" s="29" t="n">
        <f aca="false"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>0</v>
      </c>
      <c r="N366" s="28" t="n">
        <f aca="false">IF($L366="","",$L366-기준정보!$C$6-$M366)</f>
        <v>46298</v>
      </c>
      <c r="O366" s="30" t="n">
        <f aca="false">IF($N366="","",$N366-기준정보!$C$4)</f>
        <v>45</v>
      </c>
      <c r="P366" s="27"/>
      <c r="Q366" s="27" t="s">
        <v>100</v>
      </c>
      <c r="R366" s="27" t="s">
        <v>101</v>
      </c>
      <c r="S366" s="31"/>
      <c r="T366" s="26" t="str">
        <f aca="false">IF($H366="","",IF(AND(ISNUMBER(SEARCH("CMT",$H366)),OR(ISNUMBER(SEARCH("완사입",$H366)),ISNUMBER(SEARCH("ODM",$H366)))),"본사/생산처 혼재",IF(ISNUMBER(SEARCH("CMT",$H366)),"본사(소재팀)","생산처")))</f>
        <v>생산처</v>
      </c>
      <c r="U366" s="25" t="s">
        <v>313</v>
      </c>
      <c r="V366" s="25" t="s">
        <v>313</v>
      </c>
      <c r="W366" s="25" t="s">
        <v>103</v>
      </c>
      <c r="X366" s="25" t="s">
        <v>220</v>
      </c>
      <c r="Y366" s="35" t="s">
        <v>1324</v>
      </c>
      <c r="Z366" s="32"/>
      <c r="AA366" s="28" t="n">
        <v>46203</v>
      </c>
      <c r="AB366" s="33" t="n">
        <v>0</v>
      </c>
      <c r="AC366" s="33" t="n">
        <v>36809150</v>
      </c>
      <c r="AD366" s="33" t="n">
        <v>112000000</v>
      </c>
      <c r="AE366" s="26"/>
      <c r="AF366" s="26" t="str">
        <f aca="false"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>소재 입고일정 확인 필요</v>
      </c>
      <c r="AG366" s="24" t="str">
        <f aca="false">IF($K366="","",IF(OR(LEFT($AF366,2)="작지",LEFT($AF366,4)="소재입고"),IF(LEFT($G366,1)="S","★ 납기위험(S코드)","◆ 지연주의"),IF($AF366="정상","✓ 정상","? 확인필요")))</f>
        <v>? 확인필요</v>
      </c>
      <c r="AH366" s="27"/>
      <c r="AI366" s="34"/>
    </row>
    <row r="367" customFormat="false" ht="15" hidden="false" customHeight="false" outlineLevel="0" collapsed="false">
      <c r="A367" s="24" t="n">
        <v>363</v>
      </c>
      <c r="B367" s="25" t="s">
        <v>948</v>
      </c>
      <c r="C367" s="25" t="s">
        <v>756</v>
      </c>
      <c r="D367" s="26" t="s">
        <v>1334</v>
      </c>
      <c r="E367" s="25" t="s">
        <v>1335</v>
      </c>
      <c r="F367" s="26" t="s">
        <v>312</v>
      </c>
      <c r="G367" s="24" t="str">
        <f aca="false">IF($D367="","",IF(MID($D367,5,1)="S","S(봄)",IF(MID($D367,5,1)="M","M(여름)",IF(MID($D367,5,1)="X","X(사계절)",MID($D367,5,1)))))</f>
        <v>X(사계절)</v>
      </c>
      <c r="H367" s="25" t="s">
        <v>97</v>
      </c>
      <c r="I367" s="24"/>
      <c r="J367" s="27" t="s">
        <v>182</v>
      </c>
      <c r="K367" s="28" t="n">
        <f aca="false">IF($J367="","",IFERROR(DATE(IF(VALUE(LEFT($J367,FIND("월",$J367)-1))&gt;=9,기준정보!$C$7-1,기준정보!$C$7),VALUE(LEFT($J367,FIND("월",$J367)-1)),1+7*(VALUE(SUBSTITUTE(MID($J367,FIND("월",$J367)+1,5),"주",""))-1)),""))</f>
        <v>46402</v>
      </c>
      <c r="L367" s="28" t="n">
        <f aca="false">IF($K367="","",IF(AND($K367-기준정보!$C$5&gt;=기준정보!$C$10,$K367-기준정보!$C$5&lt;=기준정보!$C$11),기준정보!$C$10-1,$K367-기준정보!$C$5))</f>
        <v>46388</v>
      </c>
      <c r="M367" s="29" t="n">
        <f aca="false"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>0</v>
      </c>
      <c r="N367" s="28" t="n">
        <f aca="false">IF($L367="","",$L367-기준정보!$C$6-$M367)</f>
        <v>46298</v>
      </c>
      <c r="O367" s="30" t="n">
        <f aca="false">IF($N367="","",$N367-기준정보!$C$4)</f>
        <v>45</v>
      </c>
      <c r="P367" s="27"/>
      <c r="Q367" s="27" t="s">
        <v>100</v>
      </c>
      <c r="R367" s="27" t="s">
        <v>100</v>
      </c>
      <c r="S367" s="31"/>
      <c r="T367" s="26" t="str">
        <f aca="false">IF($H367="","",IF(AND(ISNUMBER(SEARCH("CMT",$H367)),OR(ISNUMBER(SEARCH("완사입",$H367)),ISNUMBER(SEARCH("ODM",$H367)))),"본사/생산처 혼재",IF(ISNUMBER(SEARCH("CMT",$H367)),"본사(소재팀)","생산처")))</f>
        <v>생산처</v>
      </c>
      <c r="U367" s="25" t="s">
        <v>1336</v>
      </c>
      <c r="V367" s="26"/>
      <c r="W367" s="25" t="s">
        <v>163</v>
      </c>
      <c r="X367" s="26"/>
      <c r="Y367" s="32"/>
      <c r="Z367" s="32"/>
      <c r="AA367" s="28"/>
      <c r="AB367" s="33" t="n">
        <v>800</v>
      </c>
      <c r="AC367" s="33" t="n">
        <v>23200000</v>
      </c>
      <c r="AD367" s="33" t="n">
        <v>118400000</v>
      </c>
      <c r="AE367" s="26"/>
      <c r="AF367" s="26" t="str">
        <f aca="false"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>소재 입고일정 확인 필요</v>
      </c>
      <c r="AG367" s="24" t="str">
        <f aca="false">IF($K367="","",IF(OR(LEFT($AF367,2)="작지",LEFT($AF367,4)="소재입고"),IF(LEFT($G367,1)="S","★ 납기위험(S코드)","◆ 지연주의"),IF($AF367="정상","✓ 정상","? 확인필요")))</f>
        <v>? 확인필요</v>
      </c>
      <c r="AH367" s="27"/>
      <c r="AI367" s="34"/>
    </row>
    <row r="368" customFormat="false" ht="15" hidden="false" customHeight="false" outlineLevel="0" collapsed="false">
      <c r="A368" s="24" t="n">
        <v>364</v>
      </c>
      <c r="B368" s="25" t="s">
        <v>948</v>
      </c>
      <c r="C368" s="25" t="s">
        <v>756</v>
      </c>
      <c r="D368" s="26" t="s">
        <v>1337</v>
      </c>
      <c r="E368" s="25" t="s">
        <v>1338</v>
      </c>
      <c r="F368" s="26" t="s">
        <v>312</v>
      </c>
      <c r="G368" s="24" t="str">
        <f aca="false">IF($D368="","",IF(MID($D368,5,1)="S","S(봄)",IF(MID($D368,5,1)="M","M(여름)",IF(MID($D368,5,1)="X","X(사계절)",MID($D368,5,1)))))</f>
        <v>X(사계절)</v>
      </c>
      <c r="H368" s="25" t="s">
        <v>97</v>
      </c>
      <c r="I368" s="24"/>
      <c r="J368" s="27" t="s">
        <v>182</v>
      </c>
      <c r="K368" s="28" t="n">
        <f aca="false">IF($J368="","",IFERROR(DATE(IF(VALUE(LEFT($J368,FIND("월",$J368)-1))&gt;=9,기준정보!$C$7-1,기준정보!$C$7),VALUE(LEFT($J368,FIND("월",$J368)-1)),1+7*(VALUE(SUBSTITUTE(MID($J368,FIND("월",$J368)+1,5),"주",""))-1)),""))</f>
        <v>46402</v>
      </c>
      <c r="L368" s="28" t="n">
        <f aca="false">IF($K368="","",IF(AND($K368-기준정보!$C$5&gt;=기준정보!$C$10,$K368-기준정보!$C$5&lt;=기준정보!$C$11),기준정보!$C$10-1,$K368-기준정보!$C$5))</f>
        <v>46388</v>
      </c>
      <c r="M368" s="29" t="n">
        <f aca="false"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>0</v>
      </c>
      <c r="N368" s="28" t="n">
        <f aca="false">IF($L368="","",$L368-기준정보!$C$6-$M368)</f>
        <v>46298</v>
      </c>
      <c r="O368" s="30" t="n">
        <f aca="false">IF($N368="","",$N368-기준정보!$C$4)</f>
        <v>45</v>
      </c>
      <c r="P368" s="27"/>
      <c r="Q368" s="27" t="s">
        <v>100</v>
      </c>
      <c r="R368" s="27" t="s">
        <v>100</v>
      </c>
      <c r="S368" s="31"/>
      <c r="T368" s="26" t="str">
        <f aca="false">IF($H368="","",IF(AND(ISNUMBER(SEARCH("CMT",$H368)),OR(ISNUMBER(SEARCH("완사입",$H368)),ISNUMBER(SEARCH("ODM",$H368)))),"본사/생산처 혼재",IF(ISNUMBER(SEARCH("CMT",$H368)),"본사(소재팀)","생산처")))</f>
        <v>생산처</v>
      </c>
      <c r="U368" s="25" t="s">
        <v>1336</v>
      </c>
      <c r="V368" s="26"/>
      <c r="W368" s="25" t="s">
        <v>163</v>
      </c>
      <c r="X368" s="26"/>
      <c r="Y368" s="32"/>
      <c r="Z368" s="32"/>
      <c r="AA368" s="28"/>
      <c r="AB368" s="33" t="n">
        <v>1300</v>
      </c>
      <c r="AC368" s="33" t="n">
        <v>21450000</v>
      </c>
      <c r="AD368" s="33" t="n">
        <v>114400000</v>
      </c>
      <c r="AE368" s="26"/>
      <c r="AF368" s="26" t="str">
        <f aca="false"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>소재 입고일정 확인 필요</v>
      </c>
      <c r="AG368" s="24" t="str">
        <f aca="false">IF($K368="","",IF(OR(LEFT($AF368,2)="작지",LEFT($AF368,4)="소재입고"),IF(LEFT($G368,1)="S","★ 납기위험(S코드)","◆ 지연주의"),IF($AF368="정상","✓ 정상","? 확인필요")))</f>
        <v>? 확인필요</v>
      </c>
      <c r="AH368" s="27"/>
      <c r="AI368" s="34"/>
    </row>
    <row r="369" customFormat="false" ht="15" hidden="false" customHeight="false" outlineLevel="0" collapsed="false">
      <c r="A369" s="24" t="n">
        <v>365</v>
      </c>
      <c r="B369" s="25" t="s">
        <v>948</v>
      </c>
      <c r="C369" s="25" t="s">
        <v>756</v>
      </c>
      <c r="D369" s="26" t="s">
        <v>1339</v>
      </c>
      <c r="E369" s="25" t="s">
        <v>1338</v>
      </c>
      <c r="F369" s="26" t="s">
        <v>1340</v>
      </c>
      <c r="G369" s="24" t="str">
        <f aca="false">IF($D369="","",IF(MID($D369,5,1)="S","S(봄)",IF(MID($D369,5,1)="M","M(여름)",IF(MID($D369,5,1)="X","X(사계절)",MID($D369,5,1)))))</f>
        <v>X(사계절)</v>
      </c>
      <c r="H369" s="25" t="s">
        <v>97</v>
      </c>
      <c r="I369" s="24"/>
      <c r="J369" s="27" t="s">
        <v>182</v>
      </c>
      <c r="K369" s="28" t="n">
        <f aca="false">IF($J369="","",IFERROR(DATE(IF(VALUE(LEFT($J369,FIND("월",$J369)-1))&gt;=9,기준정보!$C$7-1,기준정보!$C$7),VALUE(LEFT($J369,FIND("월",$J369)-1)),1+7*(VALUE(SUBSTITUTE(MID($J369,FIND("월",$J369)+1,5),"주",""))-1)),""))</f>
        <v>46402</v>
      </c>
      <c r="L369" s="28" t="n">
        <f aca="false">IF($K369="","",IF(AND($K369-기준정보!$C$5&gt;=기준정보!$C$10,$K369-기준정보!$C$5&lt;=기준정보!$C$11),기준정보!$C$10-1,$K369-기준정보!$C$5))</f>
        <v>46388</v>
      </c>
      <c r="M369" s="29" t="n">
        <f aca="false"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>0</v>
      </c>
      <c r="N369" s="28" t="n">
        <f aca="false">IF($L369="","",$L369-기준정보!$C$6-$M369)</f>
        <v>46298</v>
      </c>
      <c r="O369" s="30" t="n">
        <f aca="false">IF($N369="","",$N369-기준정보!$C$4)</f>
        <v>45</v>
      </c>
      <c r="P369" s="27"/>
      <c r="Q369" s="27" t="s">
        <v>100</v>
      </c>
      <c r="R369" s="27" t="s">
        <v>101</v>
      </c>
      <c r="S369" s="31"/>
      <c r="T369" s="26" t="str">
        <f aca="false">IF($H369="","",IF(AND(ISNUMBER(SEARCH("CMT",$H369)),OR(ISNUMBER(SEARCH("완사입",$H369)),ISNUMBER(SEARCH("ODM",$H369)))),"본사/생산처 혼재",IF(ISNUMBER(SEARCH("CMT",$H369)),"본사(소재팀)","생산처")))</f>
        <v>생산처</v>
      </c>
      <c r="U369" s="25" t="s">
        <v>1336</v>
      </c>
      <c r="V369" s="26"/>
      <c r="W369" s="25" t="s">
        <v>163</v>
      </c>
      <c r="X369" s="26"/>
      <c r="Y369" s="32"/>
      <c r="Z369" s="32"/>
      <c r="AA369" s="28"/>
      <c r="AB369" s="33" t="n">
        <v>8000</v>
      </c>
      <c r="AC369" s="33" t="n">
        <v>156000000</v>
      </c>
      <c r="AD369" s="33" t="n">
        <v>704000000</v>
      </c>
      <c r="AE369" s="26"/>
      <c r="AF369" s="26" t="str">
        <f aca="false"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>소재 입고일정 확인 필요</v>
      </c>
      <c r="AG369" s="24" t="str">
        <f aca="false">IF($K369="","",IF(OR(LEFT($AF369,2)="작지",LEFT($AF369,4)="소재입고"),IF(LEFT($G369,1)="S","★ 납기위험(S코드)","◆ 지연주의"),IF($AF369="정상","✓ 정상","? 확인필요")))</f>
        <v>? 확인필요</v>
      </c>
      <c r="AH369" s="27"/>
      <c r="AI369" s="34"/>
    </row>
    <row r="370" customFormat="false" ht="15" hidden="false" customHeight="false" outlineLevel="0" collapsed="false">
      <c r="A370" s="24" t="n">
        <v>366</v>
      </c>
      <c r="B370" s="25" t="s">
        <v>948</v>
      </c>
      <c r="C370" s="25" t="s">
        <v>756</v>
      </c>
      <c r="D370" s="26" t="s">
        <v>1341</v>
      </c>
      <c r="E370" s="25" t="s">
        <v>1342</v>
      </c>
      <c r="F370" s="26" t="s">
        <v>312</v>
      </c>
      <c r="G370" s="24" t="str">
        <f aca="false">IF($D370="","",IF(MID($D370,5,1)="S","S(봄)",IF(MID($D370,5,1)="M","M(여름)",IF(MID($D370,5,1)="X","X(사계절)",MID($D370,5,1)))))</f>
        <v>X(사계절)</v>
      </c>
      <c r="H370" s="25" t="s">
        <v>97</v>
      </c>
      <c r="I370" s="24"/>
      <c r="J370" s="27" t="s">
        <v>182</v>
      </c>
      <c r="K370" s="28" t="n">
        <f aca="false">IF($J370="","",IFERROR(DATE(IF(VALUE(LEFT($J370,FIND("월",$J370)-1))&gt;=9,기준정보!$C$7-1,기준정보!$C$7),VALUE(LEFT($J370,FIND("월",$J370)-1)),1+7*(VALUE(SUBSTITUTE(MID($J370,FIND("월",$J370)+1,5),"주",""))-1)),""))</f>
        <v>46402</v>
      </c>
      <c r="L370" s="28" t="n">
        <f aca="false">IF($K370="","",IF(AND($K370-기준정보!$C$5&gt;=기준정보!$C$10,$K370-기준정보!$C$5&lt;=기준정보!$C$11),기준정보!$C$10-1,$K370-기준정보!$C$5))</f>
        <v>46388</v>
      </c>
      <c r="M370" s="29" t="n">
        <f aca="false"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>0</v>
      </c>
      <c r="N370" s="28" t="n">
        <f aca="false">IF($L370="","",$L370-기준정보!$C$6-$M370)</f>
        <v>46298</v>
      </c>
      <c r="O370" s="30" t="n">
        <f aca="false">IF($N370="","",$N370-기준정보!$C$4)</f>
        <v>45</v>
      </c>
      <c r="P370" s="27"/>
      <c r="Q370" s="27" t="s">
        <v>100</v>
      </c>
      <c r="R370" s="27" t="s">
        <v>100</v>
      </c>
      <c r="S370" s="31"/>
      <c r="T370" s="26" t="str">
        <f aca="false">IF($H370="","",IF(AND(ISNUMBER(SEARCH("CMT",$H370)),OR(ISNUMBER(SEARCH("완사입",$H370)),ISNUMBER(SEARCH("ODM",$H370)))),"본사/생산처 혼재",IF(ISNUMBER(SEARCH("CMT",$H370)),"본사(소재팀)","생산처")))</f>
        <v>생산처</v>
      </c>
      <c r="U370" s="25" t="s">
        <v>1336</v>
      </c>
      <c r="V370" s="26"/>
      <c r="W370" s="25" t="s">
        <v>163</v>
      </c>
      <c r="X370" s="26"/>
      <c r="Y370" s="32"/>
      <c r="Z370" s="32"/>
      <c r="AA370" s="28"/>
      <c r="AB370" s="33" t="n">
        <v>800</v>
      </c>
      <c r="AC370" s="33" t="n">
        <v>25600000</v>
      </c>
      <c r="AD370" s="33" t="n">
        <v>134400000</v>
      </c>
      <c r="AE370" s="26"/>
      <c r="AF370" s="26" t="str">
        <f aca="false"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>소재 입고일정 확인 필요</v>
      </c>
      <c r="AG370" s="24" t="str">
        <f aca="false">IF($K370="","",IF(OR(LEFT($AF370,2)="작지",LEFT($AF370,4)="소재입고"),IF(LEFT($G370,1)="S","★ 납기위험(S코드)","◆ 지연주의"),IF($AF370="정상","✓ 정상","? 확인필요")))</f>
        <v>? 확인필요</v>
      </c>
      <c r="AH370" s="27"/>
      <c r="AI370" s="34"/>
    </row>
    <row r="371" customFormat="false" ht="15" hidden="false" customHeight="false" outlineLevel="0" collapsed="false">
      <c r="A371" s="24" t="n">
        <v>367</v>
      </c>
      <c r="B371" s="25" t="s">
        <v>250</v>
      </c>
      <c r="C371" s="25" t="s">
        <v>756</v>
      </c>
      <c r="D371" s="26" t="s">
        <v>1343</v>
      </c>
      <c r="E371" s="25" t="s">
        <v>1344</v>
      </c>
      <c r="F371" s="26" t="s">
        <v>288</v>
      </c>
      <c r="G371" s="24" t="str">
        <f aca="false">IF($D371="","",IF(MID($D371,5,1)="S","S(봄)",IF(MID($D371,5,1)="M","M(여름)",IF(MID($D371,5,1)="X","X(사계절)",MID($D371,5,1)))))</f>
        <v>X(사계절)</v>
      </c>
      <c r="H371" s="25" t="s">
        <v>97</v>
      </c>
      <c r="I371" s="24"/>
      <c r="J371" s="27" t="s">
        <v>182</v>
      </c>
      <c r="K371" s="28" t="n">
        <f aca="false">IF($J371="","",IFERROR(DATE(IF(VALUE(LEFT($J371,FIND("월",$J371)-1))&gt;=9,기준정보!$C$7-1,기준정보!$C$7),VALUE(LEFT($J371,FIND("월",$J371)-1)),1+7*(VALUE(SUBSTITUTE(MID($J371,FIND("월",$J371)+1,5),"주",""))-1)),""))</f>
        <v>46402</v>
      </c>
      <c r="L371" s="28" t="n">
        <f aca="false">IF($K371="","",IF(AND($K371-기준정보!$C$5&gt;=기준정보!$C$10,$K371-기준정보!$C$5&lt;=기준정보!$C$11),기준정보!$C$10-1,$K371-기준정보!$C$5))</f>
        <v>46388</v>
      </c>
      <c r="M371" s="29" t="n">
        <f aca="false"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>0</v>
      </c>
      <c r="N371" s="28" t="n">
        <f aca="false">IF($L371="","",$L371-기준정보!$C$6-$M371)</f>
        <v>46298</v>
      </c>
      <c r="O371" s="30" t="n">
        <f aca="false">IF($N371="","",$N371-기준정보!$C$4)</f>
        <v>45</v>
      </c>
      <c r="P371" s="27"/>
      <c r="Q371" s="27" t="s">
        <v>100</v>
      </c>
      <c r="R371" s="27" t="s">
        <v>100</v>
      </c>
      <c r="S371" s="31"/>
      <c r="T371" s="26" t="str">
        <f aca="false">IF($H371="","",IF(AND(ISNUMBER(SEARCH("CMT",$H371)),OR(ISNUMBER(SEARCH("완사입",$H371)),ISNUMBER(SEARCH("ODM",$H371)))),"본사/생산처 혼재",IF(ISNUMBER(SEARCH("CMT",$H371)),"본사(소재팀)","생산처")))</f>
        <v>생산처</v>
      </c>
      <c r="U371" s="25" t="s">
        <v>760</v>
      </c>
      <c r="V371" s="26"/>
      <c r="W371" s="25" t="s">
        <v>103</v>
      </c>
      <c r="X371" s="26"/>
      <c r="Y371" s="32"/>
      <c r="Z371" s="32"/>
      <c r="AA371" s="28"/>
      <c r="AB371" s="33" t="n">
        <v>3000</v>
      </c>
      <c r="AC371" s="33" t="n">
        <v>29130000</v>
      </c>
      <c r="AD371" s="33" t="n">
        <v>165000000</v>
      </c>
      <c r="AE371" s="26"/>
      <c r="AF371" s="26" t="str">
        <f aca="false"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>소재 입고일정 확인 필요</v>
      </c>
      <c r="AG371" s="24" t="str">
        <f aca="false">IF($K371="","",IF(OR(LEFT($AF371,2)="작지",LEFT($AF371,4)="소재입고"),IF(LEFT($G371,1)="S","★ 납기위험(S코드)","◆ 지연주의"),IF($AF371="정상","✓ 정상","? 확인필요")))</f>
        <v>? 확인필요</v>
      </c>
      <c r="AH371" s="27"/>
      <c r="AI371" s="34"/>
    </row>
    <row r="372" customFormat="false" ht="15" hidden="false" customHeight="false" outlineLevel="0" collapsed="false">
      <c r="A372" s="24" t="n">
        <v>368</v>
      </c>
      <c r="B372" s="25" t="s">
        <v>948</v>
      </c>
      <c r="C372" s="25" t="s">
        <v>949</v>
      </c>
      <c r="D372" s="26" t="s">
        <v>1345</v>
      </c>
      <c r="E372" s="25" t="s">
        <v>1346</v>
      </c>
      <c r="F372" s="26" t="s">
        <v>1347</v>
      </c>
      <c r="G372" s="24" t="str">
        <f aca="false">IF($D372="","",IF(MID($D372,5,1)="S","S(봄)",IF(MID($D372,5,1)="M","M(여름)",IF(MID($D372,5,1)="X","X(사계절)",MID($D372,5,1)))))</f>
        <v>X(사계절)</v>
      </c>
      <c r="H372" s="25" t="s">
        <v>97</v>
      </c>
      <c r="I372" s="24"/>
      <c r="J372" s="27" t="s">
        <v>182</v>
      </c>
      <c r="K372" s="28" t="n">
        <f aca="false">IF($J372="","",IFERROR(DATE(IF(VALUE(LEFT($J372,FIND("월",$J372)-1))&gt;=9,기준정보!$C$7-1,기준정보!$C$7),VALUE(LEFT($J372,FIND("월",$J372)-1)),1+7*(VALUE(SUBSTITUTE(MID($J372,FIND("월",$J372)+1,5),"주",""))-1)),""))</f>
        <v>46402</v>
      </c>
      <c r="L372" s="28" t="n">
        <f aca="false">IF($K372="","",IF(AND($K372-기준정보!$C$5&gt;=기준정보!$C$10,$K372-기준정보!$C$5&lt;=기준정보!$C$11),기준정보!$C$10-1,$K372-기준정보!$C$5))</f>
        <v>46388</v>
      </c>
      <c r="M372" s="29" t="n">
        <f aca="false"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>0</v>
      </c>
      <c r="N372" s="28" t="n">
        <f aca="false">IF($L372="","",$L372-기준정보!$C$6-$M372)</f>
        <v>46298</v>
      </c>
      <c r="O372" s="30" t="n">
        <f aca="false">IF($N372="","",$N372-기준정보!$C$4)</f>
        <v>45</v>
      </c>
      <c r="P372" s="27"/>
      <c r="Q372" s="27" t="s">
        <v>100</v>
      </c>
      <c r="R372" s="27" t="s">
        <v>100</v>
      </c>
      <c r="S372" s="31"/>
      <c r="T372" s="26" t="str">
        <f aca="false">IF($H372="","",IF(AND(ISNUMBER(SEARCH("CMT",$H372)),OR(ISNUMBER(SEARCH("완사입",$H372)),ISNUMBER(SEARCH("ODM",$H372)))),"본사/생산처 혼재",IF(ISNUMBER(SEARCH("CMT",$H372)),"본사(소재팀)","생산처")))</f>
        <v>생산처</v>
      </c>
      <c r="U372" s="25" t="s">
        <v>1348</v>
      </c>
      <c r="V372" s="26"/>
      <c r="W372" s="25" t="s">
        <v>202</v>
      </c>
      <c r="X372" s="26"/>
      <c r="Y372" s="32"/>
      <c r="Z372" s="32"/>
      <c r="AA372" s="28"/>
      <c r="AB372" s="33" t="n">
        <v>1000</v>
      </c>
      <c r="AC372" s="33" t="n">
        <v>3997000</v>
      </c>
      <c r="AD372" s="33" t="n">
        <v>30000000</v>
      </c>
      <c r="AE372" s="26"/>
      <c r="AF372" s="26" t="str">
        <f aca="false"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>소재 입고일정 확인 필요</v>
      </c>
      <c r="AG372" s="24" t="str">
        <f aca="false">IF($K372="","",IF(OR(LEFT($AF372,2)="작지",LEFT($AF372,4)="소재입고"),IF(LEFT($G372,1)="S","★ 납기위험(S코드)","◆ 지연주의"),IF($AF372="정상","✓ 정상","? 확인필요")))</f>
        <v>? 확인필요</v>
      </c>
      <c r="AH372" s="27"/>
      <c r="AI372" s="34"/>
    </row>
    <row r="373" customFormat="false" ht="15" hidden="false" customHeight="false" outlineLevel="0" collapsed="false">
      <c r="A373" s="24" t="n">
        <v>369</v>
      </c>
      <c r="B373" s="25" t="s">
        <v>948</v>
      </c>
      <c r="C373" s="25" t="s">
        <v>949</v>
      </c>
      <c r="D373" s="26" t="s">
        <v>1349</v>
      </c>
      <c r="E373" s="25" t="s">
        <v>1350</v>
      </c>
      <c r="F373" s="26" t="s">
        <v>1351</v>
      </c>
      <c r="G373" s="24" t="str">
        <f aca="false">IF($D373="","",IF(MID($D373,5,1)="S","S(봄)",IF(MID($D373,5,1)="M","M(여름)",IF(MID($D373,5,1)="X","X(사계절)",MID($D373,5,1)))))</f>
        <v>X(사계절)</v>
      </c>
      <c r="H373" s="25" t="s">
        <v>97</v>
      </c>
      <c r="I373" s="24"/>
      <c r="J373" s="27" t="s">
        <v>182</v>
      </c>
      <c r="K373" s="28" t="n">
        <f aca="false">IF($J373="","",IFERROR(DATE(IF(VALUE(LEFT($J373,FIND("월",$J373)-1))&gt;=9,기준정보!$C$7-1,기준정보!$C$7),VALUE(LEFT($J373,FIND("월",$J373)-1)),1+7*(VALUE(SUBSTITUTE(MID($J373,FIND("월",$J373)+1,5),"주",""))-1)),""))</f>
        <v>46402</v>
      </c>
      <c r="L373" s="28" t="n">
        <f aca="false">IF($K373="","",IF(AND($K373-기준정보!$C$5&gt;=기준정보!$C$10,$K373-기준정보!$C$5&lt;=기준정보!$C$11),기준정보!$C$10-1,$K373-기준정보!$C$5))</f>
        <v>46388</v>
      </c>
      <c r="M373" s="29" t="n">
        <f aca="false"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>0</v>
      </c>
      <c r="N373" s="28" t="n">
        <f aca="false">IF($L373="","",$L373-기준정보!$C$6-$M373)</f>
        <v>46298</v>
      </c>
      <c r="O373" s="30" t="n">
        <f aca="false">IF($N373="","",$N373-기준정보!$C$4)</f>
        <v>45</v>
      </c>
      <c r="P373" s="27"/>
      <c r="Q373" s="27" t="s">
        <v>100</v>
      </c>
      <c r="R373" s="27" t="s">
        <v>100</v>
      </c>
      <c r="S373" s="31"/>
      <c r="T373" s="26" t="str">
        <f aca="false">IF($H373="","",IF(AND(ISNUMBER(SEARCH("CMT",$H373)),OR(ISNUMBER(SEARCH("완사입",$H373)),ISNUMBER(SEARCH("ODM",$H373)))),"본사/생산처 혼재",IF(ISNUMBER(SEARCH("CMT",$H373)),"본사(소재팀)","생산처")))</f>
        <v>생산처</v>
      </c>
      <c r="U373" s="25" t="s">
        <v>1348</v>
      </c>
      <c r="V373" s="26"/>
      <c r="W373" s="25" t="s">
        <v>202</v>
      </c>
      <c r="X373" s="26"/>
      <c r="Y373" s="32"/>
      <c r="Z373" s="32"/>
      <c r="AA373" s="28"/>
      <c r="AB373" s="33" t="n">
        <v>4000</v>
      </c>
      <c r="AC373" s="33" t="n">
        <v>13720000</v>
      </c>
      <c r="AD373" s="33" t="n">
        <v>120000000</v>
      </c>
      <c r="AE373" s="26"/>
      <c r="AF373" s="26" t="str">
        <f aca="false"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>소재 입고일정 확인 필요</v>
      </c>
      <c r="AG373" s="24" t="str">
        <f aca="false">IF($K373="","",IF(OR(LEFT($AF373,2)="작지",LEFT($AF373,4)="소재입고"),IF(LEFT($G373,1)="S","★ 납기위험(S코드)","◆ 지연주의"),IF($AF373="정상","✓ 정상","? 확인필요")))</f>
        <v>? 확인필요</v>
      </c>
      <c r="AH373" s="27"/>
      <c r="AI373" s="34"/>
    </row>
    <row r="374" customFormat="false" ht="15" hidden="false" customHeight="false" outlineLevel="0" collapsed="false">
      <c r="A374" s="24" t="n">
        <v>370</v>
      </c>
      <c r="B374" s="25" t="s">
        <v>948</v>
      </c>
      <c r="C374" s="25" t="s">
        <v>949</v>
      </c>
      <c r="D374" s="26" t="s">
        <v>1352</v>
      </c>
      <c r="E374" s="25" t="s">
        <v>1353</v>
      </c>
      <c r="F374" s="26" t="s">
        <v>1354</v>
      </c>
      <c r="G374" s="24" t="str">
        <f aca="false">IF($D374="","",IF(MID($D374,5,1)="S","S(봄)",IF(MID($D374,5,1)="M","M(여름)",IF(MID($D374,5,1)="X","X(사계절)",MID($D374,5,1)))))</f>
        <v>X(사계절)</v>
      </c>
      <c r="H374" s="25" t="s">
        <v>97</v>
      </c>
      <c r="I374" s="24"/>
      <c r="J374" s="27" t="s">
        <v>182</v>
      </c>
      <c r="K374" s="28" t="n">
        <f aca="false">IF($J374="","",IFERROR(DATE(IF(VALUE(LEFT($J374,FIND("월",$J374)-1))&gt;=9,기준정보!$C$7-1,기준정보!$C$7),VALUE(LEFT($J374,FIND("월",$J374)-1)),1+7*(VALUE(SUBSTITUTE(MID($J374,FIND("월",$J374)+1,5),"주",""))-1)),""))</f>
        <v>46402</v>
      </c>
      <c r="L374" s="28" t="n">
        <f aca="false">IF($K374="","",IF(AND($K374-기준정보!$C$5&gt;=기준정보!$C$10,$K374-기준정보!$C$5&lt;=기준정보!$C$11),기준정보!$C$10-1,$K374-기준정보!$C$5))</f>
        <v>46388</v>
      </c>
      <c r="M374" s="29" t="n">
        <f aca="false"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>0</v>
      </c>
      <c r="N374" s="28" t="n">
        <f aca="false">IF($L374="","",$L374-기준정보!$C$6-$M374)</f>
        <v>46298</v>
      </c>
      <c r="O374" s="30" t="n">
        <f aca="false">IF($N374="","",$N374-기준정보!$C$4)</f>
        <v>45</v>
      </c>
      <c r="P374" s="27"/>
      <c r="Q374" s="27" t="s">
        <v>100</v>
      </c>
      <c r="R374" s="27" t="s">
        <v>100</v>
      </c>
      <c r="S374" s="31"/>
      <c r="T374" s="26" t="str">
        <f aca="false">IF($H374="","",IF(AND(ISNUMBER(SEARCH("CMT",$H374)),OR(ISNUMBER(SEARCH("완사입",$H374)),ISNUMBER(SEARCH("ODM",$H374)))),"본사/생산처 혼재",IF(ISNUMBER(SEARCH("CMT",$H374)),"본사(소재팀)","생산처")))</f>
        <v>생산처</v>
      </c>
      <c r="U374" s="25" t="s">
        <v>1348</v>
      </c>
      <c r="V374" s="26"/>
      <c r="W374" s="25" t="s">
        <v>202</v>
      </c>
      <c r="X374" s="26"/>
      <c r="Y374" s="32"/>
      <c r="Z374" s="32"/>
      <c r="AA374" s="28"/>
      <c r="AB374" s="33" t="n">
        <v>1500</v>
      </c>
      <c r="AC374" s="33" t="n">
        <v>5940000</v>
      </c>
      <c r="AD374" s="33" t="n">
        <v>37500000</v>
      </c>
      <c r="AE374" s="26"/>
      <c r="AF374" s="26" t="str">
        <f aca="false"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>소재 입고일정 확인 필요</v>
      </c>
      <c r="AG374" s="24" t="str">
        <f aca="false">IF($K374="","",IF(OR(LEFT($AF374,2)="작지",LEFT($AF374,4)="소재입고"),IF(LEFT($G374,1)="S","★ 납기위험(S코드)","◆ 지연주의"),IF($AF374="정상","✓ 정상","? 확인필요")))</f>
        <v>? 확인필요</v>
      </c>
      <c r="AH374" s="27"/>
      <c r="AI374" s="34"/>
    </row>
    <row r="375" customFormat="false" ht="15" hidden="false" customHeight="false" outlineLevel="0" collapsed="false">
      <c r="A375" s="24" t="n">
        <v>371</v>
      </c>
      <c r="B375" s="25" t="s">
        <v>948</v>
      </c>
      <c r="C375" s="25" t="s">
        <v>949</v>
      </c>
      <c r="D375" s="26" t="s">
        <v>1355</v>
      </c>
      <c r="E375" s="25" t="s">
        <v>1356</v>
      </c>
      <c r="F375" s="26" t="s">
        <v>1357</v>
      </c>
      <c r="G375" s="24" t="str">
        <f aca="false">IF($D375="","",IF(MID($D375,5,1)="S","S(봄)",IF(MID($D375,5,1)="M","M(여름)",IF(MID($D375,5,1)="X","X(사계절)",MID($D375,5,1)))))</f>
        <v>X(사계절)</v>
      </c>
      <c r="H375" s="25" t="s">
        <v>97</v>
      </c>
      <c r="I375" s="24"/>
      <c r="J375" s="27" t="s">
        <v>182</v>
      </c>
      <c r="K375" s="28" t="n">
        <f aca="false">IF($J375="","",IFERROR(DATE(IF(VALUE(LEFT($J375,FIND("월",$J375)-1))&gt;=9,기준정보!$C$7-1,기준정보!$C$7),VALUE(LEFT($J375,FIND("월",$J375)-1)),1+7*(VALUE(SUBSTITUTE(MID($J375,FIND("월",$J375)+1,5),"주",""))-1)),""))</f>
        <v>46402</v>
      </c>
      <c r="L375" s="28" t="n">
        <f aca="false">IF($K375="","",IF(AND($K375-기준정보!$C$5&gt;=기준정보!$C$10,$K375-기준정보!$C$5&lt;=기준정보!$C$11),기준정보!$C$10-1,$K375-기준정보!$C$5))</f>
        <v>46388</v>
      </c>
      <c r="M375" s="29" t="n">
        <f aca="false"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>0</v>
      </c>
      <c r="N375" s="28" t="n">
        <f aca="false">IF($L375="","",$L375-기준정보!$C$6-$M375)</f>
        <v>46298</v>
      </c>
      <c r="O375" s="30" t="n">
        <f aca="false">IF($N375="","",$N375-기준정보!$C$4)</f>
        <v>45</v>
      </c>
      <c r="P375" s="27"/>
      <c r="Q375" s="27" t="s">
        <v>100</v>
      </c>
      <c r="R375" s="27" t="s">
        <v>100</v>
      </c>
      <c r="S375" s="31"/>
      <c r="T375" s="26" t="str">
        <f aca="false">IF($H375="","",IF(AND(ISNUMBER(SEARCH("CMT",$H375)),OR(ISNUMBER(SEARCH("완사입",$H375)),ISNUMBER(SEARCH("ODM",$H375)))),"본사/생산처 혼재",IF(ISNUMBER(SEARCH("CMT",$H375)),"본사(소재팀)","생산처")))</f>
        <v>생산처</v>
      </c>
      <c r="U375" s="25" t="s">
        <v>1348</v>
      </c>
      <c r="V375" s="26"/>
      <c r="W375" s="25" t="s">
        <v>202</v>
      </c>
      <c r="X375" s="26"/>
      <c r="Y375" s="32"/>
      <c r="Z375" s="32"/>
      <c r="AA375" s="28"/>
      <c r="AB375" s="33" t="n">
        <v>1600</v>
      </c>
      <c r="AC375" s="33" t="n">
        <v>5488000</v>
      </c>
      <c r="AD375" s="33" t="n">
        <v>48000000</v>
      </c>
      <c r="AE375" s="26"/>
      <c r="AF375" s="26" t="str">
        <f aca="false"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>소재 입고일정 확인 필요</v>
      </c>
      <c r="AG375" s="24" t="str">
        <f aca="false">IF($K375="","",IF(OR(LEFT($AF375,2)="작지",LEFT($AF375,4)="소재입고"),IF(LEFT($G375,1)="S","★ 납기위험(S코드)","◆ 지연주의"),IF($AF375="정상","✓ 정상","? 확인필요")))</f>
        <v>? 확인필요</v>
      </c>
      <c r="AH375" s="27"/>
      <c r="AI375" s="34"/>
    </row>
    <row r="376" customFormat="false" ht="15" hidden="false" customHeight="false" outlineLevel="0" collapsed="false">
      <c r="A376" s="24" t="n">
        <v>372</v>
      </c>
      <c r="B376" s="25" t="s">
        <v>948</v>
      </c>
      <c r="C376" s="25" t="s">
        <v>949</v>
      </c>
      <c r="D376" s="26" t="s">
        <v>1358</v>
      </c>
      <c r="E376" s="25" t="s">
        <v>1359</v>
      </c>
      <c r="F376" s="26" t="s">
        <v>1360</v>
      </c>
      <c r="G376" s="24" t="str">
        <f aca="false">IF($D376="","",IF(MID($D376,5,1)="S","S(봄)",IF(MID($D376,5,1)="M","M(여름)",IF(MID($D376,5,1)="X","X(사계절)",MID($D376,5,1)))))</f>
        <v>X(사계절)</v>
      </c>
      <c r="H376" s="25" t="s">
        <v>97</v>
      </c>
      <c r="I376" s="24"/>
      <c r="J376" s="27" t="s">
        <v>182</v>
      </c>
      <c r="K376" s="28" t="n">
        <f aca="false">IF($J376="","",IFERROR(DATE(IF(VALUE(LEFT($J376,FIND("월",$J376)-1))&gt;=9,기준정보!$C$7-1,기준정보!$C$7),VALUE(LEFT($J376,FIND("월",$J376)-1)),1+7*(VALUE(SUBSTITUTE(MID($J376,FIND("월",$J376)+1,5),"주",""))-1)),""))</f>
        <v>46402</v>
      </c>
      <c r="L376" s="28" t="n">
        <f aca="false">IF($K376="","",IF(AND($K376-기준정보!$C$5&gt;=기준정보!$C$10,$K376-기준정보!$C$5&lt;=기준정보!$C$11),기준정보!$C$10-1,$K376-기준정보!$C$5))</f>
        <v>46388</v>
      </c>
      <c r="M376" s="29" t="n">
        <f aca="false"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>0</v>
      </c>
      <c r="N376" s="28" t="n">
        <f aca="false">IF($L376="","",$L376-기준정보!$C$6-$M376)</f>
        <v>46298</v>
      </c>
      <c r="O376" s="30" t="n">
        <f aca="false">IF($N376="","",$N376-기준정보!$C$4)</f>
        <v>45</v>
      </c>
      <c r="P376" s="27"/>
      <c r="Q376" s="27" t="s">
        <v>100</v>
      </c>
      <c r="R376" s="27" t="s">
        <v>100</v>
      </c>
      <c r="S376" s="31"/>
      <c r="T376" s="26" t="str">
        <f aca="false">IF($H376="","",IF(AND(ISNUMBER(SEARCH("CMT",$H376)),OR(ISNUMBER(SEARCH("완사입",$H376)),ISNUMBER(SEARCH("ODM",$H376)))),"본사/생산처 혼재",IF(ISNUMBER(SEARCH("CMT",$H376)),"본사(소재팀)","생산처")))</f>
        <v>생산처</v>
      </c>
      <c r="U376" s="25" t="s">
        <v>201</v>
      </c>
      <c r="V376" s="26"/>
      <c r="W376" s="25" t="s">
        <v>202</v>
      </c>
      <c r="X376" s="26"/>
      <c r="Y376" s="32"/>
      <c r="Z376" s="32"/>
      <c r="AA376" s="28"/>
      <c r="AB376" s="33" t="n">
        <v>2000</v>
      </c>
      <c r="AC376" s="33" t="n">
        <v>7714000</v>
      </c>
      <c r="AD376" s="33" t="n">
        <v>50000000</v>
      </c>
      <c r="AE376" s="26"/>
      <c r="AF376" s="26" t="str">
        <f aca="false"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>소재 입고일정 확인 필요</v>
      </c>
      <c r="AG376" s="24" t="str">
        <f aca="false">IF($K376="","",IF(OR(LEFT($AF376,2)="작지",LEFT($AF376,4)="소재입고"),IF(LEFT($G376,1)="S","★ 납기위험(S코드)","◆ 지연주의"),IF($AF376="정상","✓ 정상","? 확인필요")))</f>
        <v>? 확인필요</v>
      </c>
      <c r="AH376" s="27"/>
      <c r="AI376" s="34"/>
    </row>
    <row r="377" customFormat="false" ht="15" hidden="false" customHeight="false" outlineLevel="0" collapsed="false">
      <c r="A377" s="24" t="n">
        <v>373</v>
      </c>
      <c r="B377" s="25" t="s">
        <v>948</v>
      </c>
      <c r="C377" s="25" t="s">
        <v>949</v>
      </c>
      <c r="D377" s="26" t="s">
        <v>1361</v>
      </c>
      <c r="E377" s="25" t="s">
        <v>1362</v>
      </c>
      <c r="F377" s="26" t="s">
        <v>1363</v>
      </c>
      <c r="G377" s="24" t="str">
        <f aca="false">IF($D377="","",IF(MID($D377,5,1)="S","S(봄)",IF(MID($D377,5,1)="M","M(여름)",IF(MID($D377,5,1)="X","X(사계절)",MID($D377,5,1)))))</f>
        <v>X(사계절)</v>
      </c>
      <c r="H377" s="26" t="s">
        <v>255</v>
      </c>
      <c r="I377" s="24" t="s">
        <v>274</v>
      </c>
      <c r="J377" s="27" t="s">
        <v>182</v>
      </c>
      <c r="K377" s="28" t="n">
        <f aca="false">IF($J377="","",IFERROR(DATE(IF(VALUE(LEFT($J377,FIND("월",$J377)-1))&gt;=9,기준정보!$C$7-1,기준정보!$C$7),VALUE(LEFT($J377,FIND("월",$J377)-1)),1+7*(VALUE(SUBSTITUTE(MID($J377,FIND("월",$J377)+1,5),"주",""))-1)),""))</f>
        <v>46402</v>
      </c>
      <c r="L377" s="28" t="n">
        <f aca="false">IF($K377="","",IF(AND($K377-기준정보!$C$5&gt;=기준정보!$C$10,$K377-기준정보!$C$5&lt;=기준정보!$C$11),기준정보!$C$10-1,$K377-기준정보!$C$5))</f>
        <v>46388</v>
      </c>
      <c r="M377" s="29" t="n">
        <f aca="false"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>0</v>
      </c>
      <c r="N377" s="28" t="n">
        <f aca="false">IF($L377="","",$L377-기준정보!$C$6-$M377)</f>
        <v>46298</v>
      </c>
      <c r="O377" s="30" t="n">
        <f aca="false">IF($N377="","",$N377-기준정보!$C$4)</f>
        <v>45</v>
      </c>
      <c r="P377" s="27"/>
      <c r="Q377" s="27" t="s">
        <v>100</v>
      </c>
      <c r="R377" s="27" t="s">
        <v>100</v>
      </c>
      <c r="S377" s="31"/>
      <c r="T377" s="26" t="str">
        <f aca="false">IF($H377="","",IF(AND(ISNUMBER(SEARCH("CMT",$H377)),OR(ISNUMBER(SEARCH("완사입",$H377)),ISNUMBER(SEARCH("ODM",$H377)))),"본사/생산처 혼재",IF(ISNUMBER(SEARCH("CMT",$H377)),"본사(소재팀)","생산처")))</f>
        <v>본사(소재팀)</v>
      </c>
      <c r="U377" s="25" t="s">
        <v>952</v>
      </c>
      <c r="V377" s="26"/>
      <c r="W377" s="25" t="s">
        <v>202</v>
      </c>
      <c r="X377" s="26"/>
      <c r="Y377" s="32"/>
      <c r="Z377" s="32"/>
      <c r="AA377" s="28"/>
      <c r="AB377" s="33" t="n">
        <v>7000</v>
      </c>
      <c r="AC377" s="33" t="n">
        <v>96761000</v>
      </c>
      <c r="AD377" s="33" t="n">
        <v>616000000</v>
      </c>
      <c r="AE377" s="26"/>
      <c r="AF377" s="26" t="str">
        <f aca="false"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>소재 입고일정 확인 필요</v>
      </c>
      <c r="AG377" s="24" t="str">
        <f aca="false">IF($K377="","",IF(OR(LEFT($AF377,2)="작지",LEFT($AF377,4)="소재입고"),IF(LEFT($G377,1)="S","★ 납기위험(S코드)","◆ 지연주의"),IF($AF377="정상","✓ 정상","? 확인필요")))</f>
        <v>? 확인필요</v>
      </c>
      <c r="AH377" s="27"/>
      <c r="AI377" s="34"/>
    </row>
    <row r="378" customFormat="false" ht="15" hidden="false" customHeight="false" outlineLevel="0" collapsed="false">
      <c r="A378" s="24" t="n">
        <v>374</v>
      </c>
      <c r="B378" s="25" t="s">
        <v>948</v>
      </c>
      <c r="C378" s="25" t="s">
        <v>949</v>
      </c>
      <c r="D378" s="26" t="s">
        <v>1364</v>
      </c>
      <c r="E378" s="25" t="s">
        <v>1365</v>
      </c>
      <c r="F378" s="26" t="s">
        <v>1366</v>
      </c>
      <c r="G378" s="24" t="str">
        <f aca="false">IF($D378="","",IF(MID($D378,5,1)="S","S(봄)",IF(MID($D378,5,1)="M","M(여름)",IF(MID($D378,5,1)="X","X(사계절)",MID($D378,5,1)))))</f>
        <v>X(사계절)</v>
      </c>
      <c r="H378" s="26" t="s">
        <v>255</v>
      </c>
      <c r="I378" s="24" t="s">
        <v>274</v>
      </c>
      <c r="J378" s="27" t="s">
        <v>182</v>
      </c>
      <c r="K378" s="28" t="n">
        <f aca="false">IF($J378="","",IFERROR(DATE(IF(VALUE(LEFT($J378,FIND("월",$J378)-1))&gt;=9,기준정보!$C$7-1,기준정보!$C$7),VALUE(LEFT($J378,FIND("월",$J378)-1)),1+7*(VALUE(SUBSTITUTE(MID($J378,FIND("월",$J378)+1,5),"주",""))-1)),""))</f>
        <v>46402</v>
      </c>
      <c r="L378" s="28" t="n">
        <f aca="false">IF($K378="","",IF(AND($K378-기준정보!$C$5&gt;=기준정보!$C$10,$K378-기준정보!$C$5&lt;=기준정보!$C$11),기준정보!$C$10-1,$K378-기준정보!$C$5))</f>
        <v>46388</v>
      </c>
      <c r="M378" s="29" t="n">
        <f aca="false"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>0</v>
      </c>
      <c r="N378" s="28" t="n">
        <f aca="false">IF($L378="","",$L378-기준정보!$C$6-$M378)</f>
        <v>46298</v>
      </c>
      <c r="O378" s="30" t="n">
        <f aca="false">IF($N378="","",$N378-기준정보!$C$4)</f>
        <v>45</v>
      </c>
      <c r="P378" s="27"/>
      <c r="Q378" s="27" t="s">
        <v>100</v>
      </c>
      <c r="R378" s="27" t="s">
        <v>100</v>
      </c>
      <c r="S378" s="31"/>
      <c r="T378" s="26" t="str">
        <f aca="false">IF($H378="","",IF(AND(ISNUMBER(SEARCH("CMT",$H378)),OR(ISNUMBER(SEARCH("완사입",$H378)),ISNUMBER(SEARCH("ODM",$H378)))),"본사/생산처 혼재",IF(ISNUMBER(SEARCH("CMT",$H378)),"본사(소재팀)","생산처")))</f>
        <v>본사(소재팀)</v>
      </c>
      <c r="U378" s="25" t="s">
        <v>952</v>
      </c>
      <c r="V378" s="26"/>
      <c r="W378" s="25" t="s">
        <v>202</v>
      </c>
      <c r="X378" s="26"/>
      <c r="Y378" s="32"/>
      <c r="Z378" s="32"/>
      <c r="AA378" s="28"/>
      <c r="AB378" s="33" t="n">
        <v>6000</v>
      </c>
      <c r="AC378" s="33" t="n">
        <v>73590000</v>
      </c>
      <c r="AD378" s="33" t="n">
        <v>420000000</v>
      </c>
      <c r="AE378" s="26"/>
      <c r="AF378" s="26" t="str">
        <f aca="false"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>소재 입고일정 확인 필요</v>
      </c>
      <c r="AG378" s="24" t="str">
        <f aca="false">IF($K378="","",IF(OR(LEFT($AF378,2)="작지",LEFT($AF378,4)="소재입고"),IF(LEFT($G378,1)="S","★ 납기위험(S코드)","◆ 지연주의"),IF($AF378="정상","✓ 정상","? 확인필요")))</f>
        <v>? 확인필요</v>
      </c>
      <c r="AH378" s="27"/>
      <c r="AI378" s="34"/>
    </row>
    <row r="379" customFormat="false" ht="15" hidden="false" customHeight="false" outlineLevel="0" collapsed="false">
      <c r="A379" s="24" t="n">
        <v>375</v>
      </c>
      <c r="B379" s="25" t="s">
        <v>948</v>
      </c>
      <c r="C379" s="25" t="s">
        <v>949</v>
      </c>
      <c r="D379" s="26" t="s">
        <v>1367</v>
      </c>
      <c r="E379" s="25" t="s">
        <v>1368</v>
      </c>
      <c r="F379" s="26" t="s">
        <v>1369</v>
      </c>
      <c r="G379" s="24" t="str">
        <f aca="false">IF($D379="","",IF(MID($D379,5,1)="S","S(봄)",IF(MID($D379,5,1)="M","M(여름)",IF(MID($D379,5,1)="X","X(사계절)",MID($D379,5,1)))))</f>
        <v>X(사계절)</v>
      </c>
      <c r="H379" s="26" t="s">
        <v>255</v>
      </c>
      <c r="I379" s="24" t="s">
        <v>274</v>
      </c>
      <c r="J379" s="27" t="s">
        <v>182</v>
      </c>
      <c r="K379" s="28" t="n">
        <f aca="false">IF($J379="","",IFERROR(DATE(IF(VALUE(LEFT($J379,FIND("월",$J379)-1))&gt;=9,기준정보!$C$7-1,기준정보!$C$7),VALUE(LEFT($J379,FIND("월",$J379)-1)),1+7*(VALUE(SUBSTITUTE(MID($J379,FIND("월",$J379)+1,5),"주",""))-1)),""))</f>
        <v>46402</v>
      </c>
      <c r="L379" s="28" t="n">
        <f aca="false">IF($K379="","",IF(AND($K379-기준정보!$C$5&gt;=기준정보!$C$10,$K379-기준정보!$C$5&lt;=기준정보!$C$11),기준정보!$C$10-1,$K379-기준정보!$C$5))</f>
        <v>46388</v>
      </c>
      <c r="M379" s="29" t="n">
        <f aca="false"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>0</v>
      </c>
      <c r="N379" s="28" t="n">
        <f aca="false">IF($L379="","",$L379-기준정보!$C$6-$M379)</f>
        <v>46298</v>
      </c>
      <c r="O379" s="30" t="n">
        <f aca="false">IF($N379="","",$N379-기준정보!$C$4)</f>
        <v>45</v>
      </c>
      <c r="P379" s="27"/>
      <c r="Q379" s="27" t="s">
        <v>100</v>
      </c>
      <c r="R379" s="27" t="s">
        <v>100</v>
      </c>
      <c r="S379" s="31"/>
      <c r="T379" s="26" t="str">
        <f aca="false">IF($H379="","",IF(AND(ISNUMBER(SEARCH("CMT",$H379)),OR(ISNUMBER(SEARCH("완사입",$H379)),ISNUMBER(SEARCH("ODM",$H379)))),"본사/생산처 혼재",IF(ISNUMBER(SEARCH("CMT",$H379)),"본사(소재팀)","생산처")))</f>
        <v>본사(소재팀)</v>
      </c>
      <c r="U379" s="25" t="s">
        <v>952</v>
      </c>
      <c r="V379" s="26"/>
      <c r="W379" s="25" t="s">
        <v>202</v>
      </c>
      <c r="X379" s="26"/>
      <c r="Y379" s="32"/>
      <c r="Z379" s="32"/>
      <c r="AA379" s="28"/>
      <c r="AB379" s="33" t="n">
        <v>10000</v>
      </c>
      <c r="AC379" s="33" t="n">
        <v>149010000</v>
      </c>
      <c r="AD379" s="33" t="n">
        <v>880000000</v>
      </c>
      <c r="AE379" s="26"/>
      <c r="AF379" s="26" t="str">
        <f aca="false"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>소재 입고일정 확인 필요</v>
      </c>
      <c r="AG379" s="24" t="str">
        <f aca="false">IF($K379="","",IF(OR(LEFT($AF379,2)="작지",LEFT($AF379,4)="소재입고"),IF(LEFT($G379,1)="S","★ 납기위험(S코드)","◆ 지연주의"),IF($AF379="정상","✓ 정상","? 확인필요")))</f>
        <v>? 확인필요</v>
      </c>
      <c r="AH379" s="27"/>
      <c r="AI379" s="34"/>
    </row>
    <row r="380" customFormat="false" ht="15" hidden="false" customHeight="false" outlineLevel="0" collapsed="false">
      <c r="A380" s="24" t="n">
        <v>376</v>
      </c>
      <c r="B380" s="25" t="s">
        <v>948</v>
      </c>
      <c r="C380" s="25" t="s">
        <v>949</v>
      </c>
      <c r="D380" s="26" t="s">
        <v>1370</v>
      </c>
      <c r="E380" s="25" t="s">
        <v>1371</v>
      </c>
      <c r="F380" s="26" t="s">
        <v>1372</v>
      </c>
      <c r="G380" s="24" t="str">
        <f aca="false">IF($D380="","",IF(MID($D380,5,1)="S","S(봄)",IF(MID($D380,5,1)="M","M(여름)",IF(MID($D380,5,1)="X","X(사계절)",MID($D380,5,1)))))</f>
        <v>X(사계절)</v>
      </c>
      <c r="H380" s="26" t="s">
        <v>255</v>
      </c>
      <c r="I380" s="24" t="s">
        <v>274</v>
      </c>
      <c r="J380" s="27" t="s">
        <v>182</v>
      </c>
      <c r="K380" s="28" t="n">
        <f aca="false">IF($J380="","",IFERROR(DATE(IF(VALUE(LEFT($J380,FIND("월",$J380)-1))&gt;=9,기준정보!$C$7-1,기준정보!$C$7),VALUE(LEFT($J380,FIND("월",$J380)-1)),1+7*(VALUE(SUBSTITUTE(MID($J380,FIND("월",$J380)+1,5),"주",""))-1)),""))</f>
        <v>46402</v>
      </c>
      <c r="L380" s="28" t="n">
        <f aca="false">IF($K380="","",IF(AND($K380-기준정보!$C$5&gt;=기준정보!$C$10,$K380-기준정보!$C$5&lt;=기준정보!$C$11),기준정보!$C$10-1,$K380-기준정보!$C$5))</f>
        <v>46388</v>
      </c>
      <c r="M380" s="29" t="n">
        <f aca="false"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>0</v>
      </c>
      <c r="N380" s="28" t="n">
        <f aca="false">IF($L380="","",$L380-기준정보!$C$6-$M380)</f>
        <v>46298</v>
      </c>
      <c r="O380" s="30" t="n">
        <f aca="false">IF($N380="","",$N380-기준정보!$C$4)</f>
        <v>45</v>
      </c>
      <c r="P380" s="27"/>
      <c r="Q380" s="27" t="s">
        <v>100</v>
      </c>
      <c r="R380" s="27" t="s">
        <v>100</v>
      </c>
      <c r="S380" s="31"/>
      <c r="T380" s="26" t="str">
        <f aca="false">IF($H380="","",IF(AND(ISNUMBER(SEARCH("CMT",$H380)),OR(ISNUMBER(SEARCH("완사입",$H380)),ISNUMBER(SEARCH("ODM",$H380)))),"본사/생산처 혼재",IF(ISNUMBER(SEARCH("CMT",$H380)),"본사(소재팀)","생산처")))</f>
        <v>본사(소재팀)</v>
      </c>
      <c r="U380" s="25" t="s">
        <v>952</v>
      </c>
      <c r="V380" s="26"/>
      <c r="W380" s="25" t="s">
        <v>202</v>
      </c>
      <c r="X380" s="26"/>
      <c r="Y380" s="32"/>
      <c r="Z380" s="32"/>
      <c r="AA380" s="28"/>
      <c r="AB380" s="33" t="n">
        <v>5500</v>
      </c>
      <c r="AC380" s="33" t="n">
        <v>102118500</v>
      </c>
      <c r="AD380" s="33" t="n">
        <v>484000000</v>
      </c>
      <c r="AE380" s="26"/>
      <c r="AF380" s="26" t="str">
        <f aca="false"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>소재 입고일정 확인 필요</v>
      </c>
      <c r="AG380" s="24" t="str">
        <f aca="false">IF($K380="","",IF(OR(LEFT($AF380,2)="작지",LEFT($AF380,4)="소재입고"),IF(LEFT($G380,1)="S","★ 납기위험(S코드)","◆ 지연주의"),IF($AF380="정상","✓ 정상","? 확인필요")))</f>
        <v>? 확인필요</v>
      </c>
      <c r="AH380" s="27"/>
      <c r="AI380" s="34"/>
    </row>
    <row r="381" customFormat="false" ht="15" hidden="false" customHeight="false" outlineLevel="0" collapsed="false">
      <c r="A381" s="24" t="n">
        <v>377</v>
      </c>
      <c r="B381" s="25" t="s">
        <v>270</v>
      </c>
      <c r="C381" s="25" t="s">
        <v>756</v>
      </c>
      <c r="D381" s="26" t="s">
        <v>1373</v>
      </c>
      <c r="E381" s="25" t="s">
        <v>1374</v>
      </c>
      <c r="F381" s="26" t="s">
        <v>196</v>
      </c>
      <c r="G381" s="24" t="str">
        <f aca="false">IF($D381="","",IF(MID($D381,5,1)="S","S(봄)",IF(MID($D381,5,1)="M","M(여름)",IF(MID($D381,5,1)="X","X(사계절)",MID($D381,5,1)))))</f>
        <v>X(사계절)</v>
      </c>
      <c r="H381" s="25" t="s">
        <v>97</v>
      </c>
      <c r="I381" s="24"/>
      <c r="J381" s="27" t="s">
        <v>376</v>
      </c>
      <c r="K381" s="28" t="n">
        <f aca="false">IF($J381="","",IFERROR(DATE(IF(VALUE(LEFT($J381,FIND("월",$J381)-1))&gt;=9,기준정보!$C$7-1,기준정보!$C$7),VALUE(LEFT($J381,FIND("월",$J381)-1)),1+7*(VALUE(SUBSTITUTE(MID($J381,FIND("월",$J381)+1,5),"주",""))-1)),""))</f>
        <v>46409</v>
      </c>
      <c r="L381" s="28" t="n">
        <f aca="false">IF($K381="","",IF(AND($K381-기준정보!$C$5&gt;=기준정보!$C$10,$K381-기준정보!$C$5&lt;=기준정보!$C$11),기준정보!$C$10-1,$K381-기준정보!$C$5))</f>
        <v>46395</v>
      </c>
      <c r="M381" s="29" t="n">
        <f aca="false"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>0</v>
      </c>
      <c r="N381" s="28" t="n">
        <f aca="false">IF($L381="","",$L381-기준정보!$C$6-$M381)</f>
        <v>46305</v>
      </c>
      <c r="O381" s="30" t="n">
        <f aca="false">IF($N381="","",$N381-기준정보!$C$4)</f>
        <v>52</v>
      </c>
      <c r="P381" s="27"/>
      <c r="Q381" s="27" t="s">
        <v>100</v>
      </c>
      <c r="R381" s="27" t="s">
        <v>100</v>
      </c>
      <c r="S381" s="31"/>
      <c r="T381" s="26" t="str">
        <f aca="false">IF($H381="","",IF(AND(ISNUMBER(SEARCH("CMT",$H381)),OR(ISNUMBER(SEARCH("완사입",$H381)),ISNUMBER(SEARCH("ODM",$H381)))),"본사/생산처 혼재",IF(ISNUMBER(SEARCH("CMT",$H381)),"본사(소재팀)","생산처")))</f>
        <v>생산처</v>
      </c>
      <c r="U381" s="25" t="s">
        <v>1375</v>
      </c>
      <c r="V381" s="26"/>
      <c r="W381" s="25" t="s">
        <v>103</v>
      </c>
      <c r="X381" s="26"/>
      <c r="Y381" s="32"/>
      <c r="Z381" s="32"/>
      <c r="AA381" s="28"/>
      <c r="AB381" s="33" t="n">
        <v>440</v>
      </c>
      <c r="AC381" s="33" t="n">
        <v>22000000</v>
      </c>
      <c r="AD381" s="33" t="n">
        <v>87120000</v>
      </c>
      <c r="AE381" s="26" t="s">
        <v>376</v>
      </c>
      <c r="AF381" s="26" t="str">
        <f aca="false"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>소재 입고일정 확인 필요</v>
      </c>
      <c r="AG381" s="24" t="str">
        <f aca="false">IF($K381="","",IF(OR(LEFT($AF381,2)="작지",LEFT($AF381,4)="소재입고"),IF(LEFT($G381,1)="S","★ 납기위험(S코드)","◆ 지연주의"),IF($AF381="정상","✓ 정상","? 확인필요")))</f>
        <v>? 확인필요</v>
      </c>
      <c r="AH381" s="27"/>
      <c r="AI381" s="34"/>
    </row>
    <row r="382" customFormat="false" ht="15" hidden="false" customHeight="false" outlineLevel="0" collapsed="false">
      <c r="A382" s="24" t="n">
        <v>378</v>
      </c>
      <c r="B382" s="25" t="s">
        <v>270</v>
      </c>
      <c r="C382" s="25" t="s">
        <v>756</v>
      </c>
      <c r="D382" s="26" t="s">
        <v>1376</v>
      </c>
      <c r="E382" s="25" t="s">
        <v>1377</v>
      </c>
      <c r="F382" s="26" t="s">
        <v>196</v>
      </c>
      <c r="G382" s="24" t="str">
        <f aca="false">IF($D382="","",IF(MID($D382,5,1)="S","S(봄)",IF(MID($D382,5,1)="M","M(여름)",IF(MID($D382,5,1)="X","X(사계절)",MID($D382,5,1)))))</f>
        <v>X(사계절)</v>
      </c>
      <c r="H382" s="25" t="s">
        <v>97</v>
      </c>
      <c r="I382" s="24"/>
      <c r="J382" s="27" t="s">
        <v>376</v>
      </c>
      <c r="K382" s="28" t="n">
        <f aca="false">IF($J382="","",IFERROR(DATE(IF(VALUE(LEFT($J382,FIND("월",$J382)-1))&gt;=9,기준정보!$C$7-1,기준정보!$C$7),VALUE(LEFT($J382,FIND("월",$J382)-1)),1+7*(VALUE(SUBSTITUTE(MID($J382,FIND("월",$J382)+1,5),"주",""))-1)),""))</f>
        <v>46409</v>
      </c>
      <c r="L382" s="28" t="n">
        <f aca="false">IF($K382="","",IF(AND($K382-기준정보!$C$5&gt;=기준정보!$C$10,$K382-기준정보!$C$5&lt;=기준정보!$C$11),기준정보!$C$10-1,$K382-기준정보!$C$5))</f>
        <v>46395</v>
      </c>
      <c r="M382" s="29" t="n">
        <f aca="false"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>0</v>
      </c>
      <c r="N382" s="28" t="n">
        <f aca="false">IF($L382="","",$L382-기준정보!$C$6-$M382)</f>
        <v>46305</v>
      </c>
      <c r="O382" s="30" t="n">
        <f aca="false">IF($N382="","",$N382-기준정보!$C$4)</f>
        <v>52</v>
      </c>
      <c r="P382" s="27"/>
      <c r="Q382" s="27" t="s">
        <v>100</v>
      </c>
      <c r="R382" s="27" t="s">
        <v>100</v>
      </c>
      <c r="S382" s="31"/>
      <c r="T382" s="26" t="str">
        <f aca="false">IF($H382="","",IF(AND(ISNUMBER(SEARCH("CMT",$H382)),OR(ISNUMBER(SEARCH("완사입",$H382)),ISNUMBER(SEARCH("ODM",$H382)))),"본사/생산처 혼재",IF(ISNUMBER(SEARCH("CMT",$H382)),"본사(소재팀)","생산처")))</f>
        <v>생산처</v>
      </c>
      <c r="U382" s="25" t="s">
        <v>1375</v>
      </c>
      <c r="V382" s="26"/>
      <c r="W382" s="25" t="s">
        <v>103</v>
      </c>
      <c r="X382" s="26"/>
      <c r="Y382" s="32"/>
      <c r="Z382" s="32"/>
      <c r="AA382" s="28"/>
      <c r="AB382" s="33" t="n">
        <v>300</v>
      </c>
      <c r="AC382" s="33" t="n">
        <v>25500000</v>
      </c>
      <c r="AD382" s="33" t="n">
        <v>87000000</v>
      </c>
      <c r="AE382" s="26" t="s">
        <v>376</v>
      </c>
      <c r="AF382" s="26" t="str">
        <f aca="false"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>소재 입고일정 확인 필요</v>
      </c>
      <c r="AG382" s="24" t="str">
        <f aca="false">IF($K382="","",IF(OR(LEFT($AF382,2)="작지",LEFT($AF382,4)="소재입고"),IF(LEFT($G382,1)="S","★ 납기위험(S코드)","◆ 지연주의"),IF($AF382="정상","✓ 정상","? 확인필요")))</f>
        <v>? 확인필요</v>
      </c>
      <c r="AH382" s="27"/>
      <c r="AI382" s="34"/>
    </row>
    <row r="383" customFormat="false" ht="15" hidden="false" customHeight="false" outlineLevel="0" collapsed="false">
      <c r="A383" s="24" t="n">
        <v>379</v>
      </c>
      <c r="B383" s="25" t="s">
        <v>270</v>
      </c>
      <c r="C383" s="25" t="s">
        <v>756</v>
      </c>
      <c r="D383" s="26" t="s">
        <v>1378</v>
      </c>
      <c r="E383" s="25" t="s">
        <v>1379</v>
      </c>
      <c r="F383" s="26" t="s">
        <v>1380</v>
      </c>
      <c r="G383" s="24" t="str">
        <f aca="false">IF($D383="","",IF(MID($D383,5,1)="S","S(봄)",IF(MID($D383,5,1)="M","M(여름)",IF(MID($D383,5,1)="X","X(사계절)",MID($D383,5,1)))))</f>
        <v>X(사계절)</v>
      </c>
      <c r="H383" s="25" t="s">
        <v>97</v>
      </c>
      <c r="I383" s="24"/>
      <c r="J383" s="27" t="s">
        <v>376</v>
      </c>
      <c r="K383" s="28" t="n">
        <f aca="false">IF($J383="","",IFERROR(DATE(IF(VALUE(LEFT($J383,FIND("월",$J383)-1))&gt;=9,기준정보!$C$7-1,기준정보!$C$7),VALUE(LEFT($J383,FIND("월",$J383)-1)),1+7*(VALUE(SUBSTITUTE(MID($J383,FIND("월",$J383)+1,5),"주",""))-1)),""))</f>
        <v>46409</v>
      </c>
      <c r="L383" s="28" t="n">
        <f aca="false">IF($K383="","",IF(AND($K383-기준정보!$C$5&gt;=기준정보!$C$10,$K383-기준정보!$C$5&lt;=기준정보!$C$11),기준정보!$C$10-1,$K383-기준정보!$C$5))</f>
        <v>46395</v>
      </c>
      <c r="M383" s="29" t="n">
        <f aca="false"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>0</v>
      </c>
      <c r="N383" s="28" t="n">
        <f aca="false">IF($L383="","",$L383-기준정보!$C$6-$M383)</f>
        <v>46305</v>
      </c>
      <c r="O383" s="30" t="n">
        <f aca="false">IF($N383="","",$N383-기준정보!$C$4)</f>
        <v>52</v>
      </c>
      <c r="P383" s="27"/>
      <c r="Q383" s="27" t="s">
        <v>100</v>
      </c>
      <c r="R383" s="27" t="s">
        <v>100</v>
      </c>
      <c r="S383" s="31"/>
      <c r="T383" s="26" t="str">
        <f aca="false">IF($H383="","",IF(AND(ISNUMBER(SEARCH("CMT",$H383)),OR(ISNUMBER(SEARCH("완사입",$H383)),ISNUMBER(SEARCH("ODM",$H383)))),"본사/생산처 혼재",IF(ISNUMBER(SEARCH("CMT",$H383)),"본사(소재팀)","생산처")))</f>
        <v>생산처</v>
      </c>
      <c r="U383" s="25" t="s">
        <v>1336</v>
      </c>
      <c r="V383" s="26"/>
      <c r="W383" s="25" t="s">
        <v>163</v>
      </c>
      <c r="X383" s="26"/>
      <c r="Y383" s="32"/>
      <c r="Z383" s="32"/>
      <c r="AA383" s="28"/>
      <c r="AB383" s="33" t="n">
        <v>1800</v>
      </c>
      <c r="AC383" s="33" t="n">
        <v>30240000</v>
      </c>
      <c r="AD383" s="33" t="n">
        <v>158400000</v>
      </c>
      <c r="AE383" s="26"/>
      <c r="AF383" s="26" t="str">
        <f aca="false"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>소재 입고일정 확인 필요</v>
      </c>
      <c r="AG383" s="24" t="str">
        <f aca="false">IF($K383="","",IF(OR(LEFT($AF383,2)="작지",LEFT($AF383,4)="소재입고"),IF(LEFT($G383,1)="S","★ 납기위험(S코드)","◆ 지연주의"),IF($AF383="정상","✓ 정상","? 확인필요")))</f>
        <v>? 확인필요</v>
      </c>
      <c r="AH383" s="27"/>
      <c r="AI383" s="34"/>
    </row>
    <row r="384" customFormat="false" ht="15" hidden="false" customHeight="false" outlineLevel="0" collapsed="false">
      <c r="A384" s="24" t="n">
        <v>380</v>
      </c>
      <c r="B384" s="25" t="s">
        <v>270</v>
      </c>
      <c r="C384" s="25" t="s">
        <v>756</v>
      </c>
      <c r="D384" s="26" t="s">
        <v>1381</v>
      </c>
      <c r="E384" s="25" t="s">
        <v>1382</v>
      </c>
      <c r="F384" s="26" t="s">
        <v>1383</v>
      </c>
      <c r="G384" s="24" t="str">
        <f aca="false">IF($D384="","",IF(MID($D384,5,1)="S","S(봄)",IF(MID($D384,5,1)="M","M(여름)",IF(MID($D384,5,1)="X","X(사계절)",MID($D384,5,1)))))</f>
        <v>X(사계절)</v>
      </c>
      <c r="H384" s="25" t="s">
        <v>97</v>
      </c>
      <c r="I384" s="24"/>
      <c r="J384" s="27" t="s">
        <v>376</v>
      </c>
      <c r="K384" s="28" t="n">
        <f aca="false">IF($J384="","",IFERROR(DATE(IF(VALUE(LEFT($J384,FIND("월",$J384)-1))&gt;=9,기준정보!$C$7-1,기준정보!$C$7),VALUE(LEFT($J384,FIND("월",$J384)-1)),1+7*(VALUE(SUBSTITUTE(MID($J384,FIND("월",$J384)+1,5),"주",""))-1)),""))</f>
        <v>46409</v>
      </c>
      <c r="L384" s="28" t="n">
        <f aca="false">IF($K384="","",IF(AND($K384-기준정보!$C$5&gt;=기준정보!$C$10,$K384-기준정보!$C$5&lt;=기준정보!$C$11),기준정보!$C$10-1,$K384-기준정보!$C$5))</f>
        <v>46395</v>
      </c>
      <c r="M384" s="29" t="n">
        <f aca="false"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>0</v>
      </c>
      <c r="N384" s="28" t="n">
        <f aca="false">IF($L384="","",$L384-기준정보!$C$6-$M384)</f>
        <v>46305</v>
      </c>
      <c r="O384" s="30" t="n">
        <f aca="false">IF($N384="","",$N384-기준정보!$C$4)</f>
        <v>52</v>
      </c>
      <c r="P384" s="27"/>
      <c r="Q384" s="27" t="s">
        <v>100</v>
      </c>
      <c r="R384" s="27" t="s">
        <v>100</v>
      </c>
      <c r="S384" s="31"/>
      <c r="T384" s="26" t="str">
        <f aca="false">IF($H384="","",IF(AND(ISNUMBER(SEARCH("CMT",$H384)),OR(ISNUMBER(SEARCH("완사입",$H384)),ISNUMBER(SEARCH("ODM",$H384)))),"본사/생산처 혼재",IF(ISNUMBER(SEARCH("CMT",$H384)),"본사(소재팀)","생산처")))</f>
        <v>생산처</v>
      </c>
      <c r="U384" s="25" t="s">
        <v>1336</v>
      </c>
      <c r="V384" s="26"/>
      <c r="W384" s="25" t="s">
        <v>163</v>
      </c>
      <c r="X384" s="26"/>
      <c r="Y384" s="32"/>
      <c r="Z384" s="32"/>
      <c r="AA384" s="28"/>
      <c r="AB384" s="33" t="n">
        <v>1000</v>
      </c>
      <c r="AC384" s="33" t="n">
        <v>11000000</v>
      </c>
      <c r="AD384" s="33" t="n">
        <v>55000000</v>
      </c>
      <c r="AE384" s="26"/>
      <c r="AF384" s="26" t="str">
        <f aca="false"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>소재 입고일정 확인 필요</v>
      </c>
      <c r="AG384" s="24" t="str">
        <f aca="false">IF($K384="","",IF(OR(LEFT($AF384,2)="작지",LEFT($AF384,4)="소재입고"),IF(LEFT($G384,1)="S","★ 납기위험(S코드)","◆ 지연주의"),IF($AF384="정상","✓ 정상","? 확인필요")))</f>
        <v>? 확인필요</v>
      </c>
      <c r="AH384" s="27"/>
      <c r="AI384" s="34"/>
    </row>
    <row r="385" customFormat="false" ht="15" hidden="false" customHeight="false" outlineLevel="0" collapsed="false">
      <c r="A385" s="24" t="n">
        <v>381</v>
      </c>
      <c r="B385" s="25" t="s">
        <v>270</v>
      </c>
      <c r="C385" s="25" t="s">
        <v>756</v>
      </c>
      <c r="D385" s="26" t="s">
        <v>1384</v>
      </c>
      <c r="E385" s="25" t="s">
        <v>1385</v>
      </c>
      <c r="F385" s="26" t="s">
        <v>1386</v>
      </c>
      <c r="G385" s="24" t="str">
        <f aca="false">IF($D385="","",IF(MID($D385,5,1)="S","S(봄)",IF(MID($D385,5,1)="M","M(여름)",IF(MID($D385,5,1)="X","X(사계절)",MID($D385,5,1)))))</f>
        <v>X(사계절)</v>
      </c>
      <c r="H385" s="25" t="s">
        <v>97</v>
      </c>
      <c r="I385" s="24"/>
      <c r="J385" s="27" t="s">
        <v>376</v>
      </c>
      <c r="K385" s="28" t="n">
        <f aca="false">IF($J385="","",IFERROR(DATE(IF(VALUE(LEFT($J385,FIND("월",$J385)-1))&gt;=9,기준정보!$C$7-1,기준정보!$C$7),VALUE(LEFT($J385,FIND("월",$J385)-1)),1+7*(VALUE(SUBSTITUTE(MID($J385,FIND("월",$J385)+1,5),"주",""))-1)),""))</f>
        <v>46409</v>
      </c>
      <c r="L385" s="28" t="n">
        <f aca="false">IF($K385="","",IF(AND($K385-기준정보!$C$5&gt;=기준정보!$C$10,$K385-기준정보!$C$5&lt;=기준정보!$C$11),기준정보!$C$10-1,$K385-기준정보!$C$5))</f>
        <v>46395</v>
      </c>
      <c r="M385" s="29" t="n">
        <f aca="false"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>0</v>
      </c>
      <c r="N385" s="28" t="n">
        <f aca="false">IF($L385="","",$L385-기준정보!$C$6-$M385)</f>
        <v>46305</v>
      </c>
      <c r="O385" s="30" t="n">
        <f aca="false">IF($N385="","",$N385-기준정보!$C$4)</f>
        <v>52</v>
      </c>
      <c r="P385" s="27"/>
      <c r="Q385" s="27" t="s">
        <v>100</v>
      </c>
      <c r="R385" s="27" t="s">
        <v>100</v>
      </c>
      <c r="S385" s="31"/>
      <c r="T385" s="26" t="str">
        <f aca="false">IF($H385="","",IF(AND(ISNUMBER(SEARCH("CMT",$H385)),OR(ISNUMBER(SEARCH("완사입",$H385)),ISNUMBER(SEARCH("ODM",$H385)))),"본사/생산처 혼재",IF(ISNUMBER(SEARCH("CMT",$H385)),"본사(소재팀)","생산처")))</f>
        <v>생산처</v>
      </c>
      <c r="U385" s="25" t="s">
        <v>1336</v>
      </c>
      <c r="V385" s="26"/>
      <c r="W385" s="25" t="s">
        <v>163</v>
      </c>
      <c r="X385" s="26"/>
      <c r="Y385" s="32"/>
      <c r="Z385" s="32"/>
      <c r="AA385" s="28"/>
      <c r="AB385" s="33" t="n">
        <v>1600</v>
      </c>
      <c r="AC385" s="33" t="n">
        <v>17600000</v>
      </c>
      <c r="AD385" s="33" t="n">
        <v>88000000</v>
      </c>
      <c r="AE385" s="26" t="s">
        <v>376</v>
      </c>
      <c r="AF385" s="26" t="str">
        <f aca="false"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>소재 입고일정 확인 필요</v>
      </c>
      <c r="AG385" s="24" t="str">
        <f aca="false">IF($K385="","",IF(OR(LEFT($AF385,2)="작지",LEFT($AF385,4)="소재입고"),IF(LEFT($G385,1)="S","★ 납기위험(S코드)","◆ 지연주의"),IF($AF385="정상","✓ 정상","? 확인필요")))</f>
        <v>? 확인필요</v>
      </c>
      <c r="AH385" s="27"/>
      <c r="AI385" s="34"/>
    </row>
    <row r="386" customFormat="false" ht="15" hidden="false" customHeight="false" outlineLevel="0" collapsed="false">
      <c r="A386" s="24" t="n">
        <v>382</v>
      </c>
      <c r="B386" s="25" t="s">
        <v>270</v>
      </c>
      <c r="C386" s="25" t="s">
        <v>756</v>
      </c>
      <c r="D386" s="26" t="s">
        <v>1387</v>
      </c>
      <c r="E386" s="25" t="s">
        <v>1388</v>
      </c>
      <c r="F386" s="26" t="s">
        <v>1389</v>
      </c>
      <c r="G386" s="24" t="str">
        <f aca="false">IF($D386="","",IF(MID($D386,5,1)="S","S(봄)",IF(MID($D386,5,1)="M","M(여름)",IF(MID($D386,5,1)="X","X(사계절)",MID($D386,5,1)))))</f>
        <v>X(사계절)</v>
      </c>
      <c r="H386" s="25" t="s">
        <v>97</v>
      </c>
      <c r="I386" s="24"/>
      <c r="J386" s="27" t="s">
        <v>376</v>
      </c>
      <c r="K386" s="28" t="n">
        <f aca="false">IF($J386="","",IFERROR(DATE(IF(VALUE(LEFT($J386,FIND("월",$J386)-1))&gt;=9,기준정보!$C$7-1,기준정보!$C$7),VALUE(LEFT($J386,FIND("월",$J386)-1)),1+7*(VALUE(SUBSTITUTE(MID($J386,FIND("월",$J386)+1,5),"주",""))-1)),""))</f>
        <v>46409</v>
      </c>
      <c r="L386" s="28" t="n">
        <f aca="false">IF($K386="","",IF(AND($K386-기준정보!$C$5&gt;=기준정보!$C$10,$K386-기준정보!$C$5&lt;=기준정보!$C$11),기준정보!$C$10-1,$K386-기준정보!$C$5))</f>
        <v>46395</v>
      </c>
      <c r="M386" s="29" t="n">
        <f aca="false"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>0</v>
      </c>
      <c r="N386" s="28" t="n">
        <f aca="false">IF($L386="","",$L386-기준정보!$C$6-$M386)</f>
        <v>46305</v>
      </c>
      <c r="O386" s="30" t="n">
        <f aca="false">IF($N386="","",$N386-기준정보!$C$4)</f>
        <v>52</v>
      </c>
      <c r="P386" s="27"/>
      <c r="Q386" s="27" t="s">
        <v>100</v>
      </c>
      <c r="R386" s="27" t="s">
        <v>100</v>
      </c>
      <c r="S386" s="31"/>
      <c r="T386" s="26" t="str">
        <f aca="false">IF($H386="","",IF(AND(ISNUMBER(SEARCH("CMT",$H386)),OR(ISNUMBER(SEARCH("완사입",$H386)),ISNUMBER(SEARCH("ODM",$H386)))),"본사/생산처 혼재",IF(ISNUMBER(SEARCH("CMT",$H386)),"본사(소재팀)","생산처")))</f>
        <v>생산처</v>
      </c>
      <c r="U386" s="25" t="s">
        <v>1336</v>
      </c>
      <c r="V386" s="26"/>
      <c r="W386" s="25" t="s">
        <v>163</v>
      </c>
      <c r="X386" s="26"/>
      <c r="Y386" s="32"/>
      <c r="Z386" s="32"/>
      <c r="AA386" s="28"/>
      <c r="AB386" s="33" t="n">
        <v>400</v>
      </c>
      <c r="AC386" s="33" t="n">
        <v>4400000</v>
      </c>
      <c r="AD386" s="33" t="n">
        <v>22000000</v>
      </c>
      <c r="AE386" s="26" t="s">
        <v>376</v>
      </c>
      <c r="AF386" s="26" t="str">
        <f aca="false"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>소재 입고일정 확인 필요</v>
      </c>
      <c r="AG386" s="24" t="str">
        <f aca="false">IF($K386="","",IF(OR(LEFT($AF386,2)="작지",LEFT($AF386,4)="소재입고"),IF(LEFT($G386,1)="S","★ 납기위험(S코드)","◆ 지연주의"),IF($AF386="정상","✓ 정상","? 확인필요")))</f>
        <v>? 확인필요</v>
      </c>
      <c r="AH386" s="27"/>
      <c r="AI386" s="34"/>
    </row>
    <row r="387" customFormat="false" ht="15" hidden="false" customHeight="false" outlineLevel="0" collapsed="false">
      <c r="A387" s="24" t="n">
        <v>383</v>
      </c>
      <c r="B387" s="25" t="s">
        <v>270</v>
      </c>
      <c r="C387" s="25" t="s">
        <v>756</v>
      </c>
      <c r="D387" s="26" t="s">
        <v>1390</v>
      </c>
      <c r="E387" s="25" t="s">
        <v>1391</v>
      </c>
      <c r="F387" s="26" t="s">
        <v>1392</v>
      </c>
      <c r="G387" s="24" t="str">
        <f aca="false">IF($D387="","",IF(MID($D387,5,1)="S","S(봄)",IF(MID($D387,5,1)="M","M(여름)",IF(MID($D387,5,1)="X","X(사계절)",MID($D387,5,1)))))</f>
        <v>X(사계절)</v>
      </c>
      <c r="H387" s="25" t="s">
        <v>97</v>
      </c>
      <c r="I387" s="24"/>
      <c r="J387" s="27" t="s">
        <v>376</v>
      </c>
      <c r="K387" s="28" t="n">
        <f aca="false">IF($J387="","",IFERROR(DATE(IF(VALUE(LEFT($J387,FIND("월",$J387)-1))&gt;=9,기준정보!$C$7-1,기준정보!$C$7),VALUE(LEFT($J387,FIND("월",$J387)-1)),1+7*(VALUE(SUBSTITUTE(MID($J387,FIND("월",$J387)+1,5),"주",""))-1)),""))</f>
        <v>46409</v>
      </c>
      <c r="L387" s="28" t="n">
        <f aca="false">IF($K387="","",IF(AND($K387-기준정보!$C$5&gt;=기준정보!$C$10,$K387-기준정보!$C$5&lt;=기준정보!$C$11),기준정보!$C$10-1,$K387-기준정보!$C$5))</f>
        <v>46395</v>
      </c>
      <c r="M387" s="29" t="n">
        <f aca="false"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>0</v>
      </c>
      <c r="N387" s="28" t="n">
        <f aca="false">IF($L387="","",$L387-기준정보!$C$6-$M387)</f>
        <v>46305</v>
      </c>
      <c r="O387" s="30" t="n">
        <f aca="false">IF($N387="","",$N387-기준정보!$C$4)</f>
        <v>52</v>
      </c>
      <c r="P387" s="27"/>
      <c r="Q387" s="27" t="s">
        <v>100</v>
      </c>
      <c r="R387" s="27" t="s">
        <v>100</v>
      </c>
      <c r="S387" s="31"/>
      <c r="T387" s="26" t="str">
        <f aca="false">IF($H387="","",IF(AND(ISNUMBER(SEARCH("CMT",$H387)),OR(ISNUMBER(SEARCH("완사입",$H387)),ISNUMBER(SEARCH("ODM",$H387)))),"본사/생산처 혼재",IF(ISNUMBER(SEARCH("CMT",$H387)),"본사(소재팀)","생산처")))</f>
        <v>생산처</v>
      </c>
      <c r="U387" s="25" t="s">
        <v>1336</v>
      </c>
      <c r="V387" s="26"/>
      <c r="W387" s="25" t="s">
        <v>163</v>
      </c>
      <c r="X387" s="26"/>
      <c r="Y387" s="32"/>
      <c r="Z387" s="32"/>
      <c r="AA387" s="28"/>
      <c r="AB387" s="33" t="n">
        <v>3700</v>
      </c>
      <c r="AC387" s="33" t="n">
        <v>40700000</v>
      </c>
      <c r="AD387" s="33" t="n">
        <v>203500000</v>
      </c>
      <c r="AE387" s="26" t="s">
        <v>376</v>
      </c>
      <c r="AF387" s="26" t="str">
        <f aca="false"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>소재 입고일정 확인 필요</v>
      </c>
      <c r="AG387" s="24" t="str">
        <f aca="false">IF($K387="","",IF(OR(LEFT($AF387,2)="작지",LEFT($AF387,4)="소재입고"),IF(LEFT($G387,1)="S","★ 납기위험(S코드)","◆ 지연주의"),IF($AF387="정상","✓ 정상","? 확인필요")))</f>
        <v>? 확인필요</v>
      </c>
      <c r="AH387" s="27"/>
      <c r="AI387" s="34"/>
    </row>
    <row r="388" customFormat="false" ht="15" hidden="false" customHeight="false" outlineLevel="0" collapsed="false">
      <c r="A388" s="24" t="n">
        <v>384</v>
      </c>
      <c r="B388" s="25" t="s">
        <v>270</v>
      </c>
      <c r="C388" s="25" t="s">
        <v>756</v>
      </c>
      <c r="D388" s="26" t="s">
        <v>1393</v>
      </c>
      <c r="E388" s="25" t="s">
        <v>1394</v>
      </c>
      <c r="F388" s="26" t="s">
        <v>1395</v>
      </c>
      <c r="G388" s="24" t="str">
        <f aca="false">IF($D388="","",IF(MID($D388,5,1)="S","S(봄)",IF(MID($D388,5,1)="M","M(여름)",IF(MID($D388,5,1)="X","X(사계절)",MID($D388,5,1)))))</f>
        <v>X(사계절)</v>
      </c>
      <c r="H388" s="25" t="s">
        <v>97</v>
      </c>
      <c r="I388" s="24" t="s">
        <v>101</v>
      </c>
      <c r="J388" s="27" t="s">
        <v>376</v>
      </c>
      <c r="K388" s="28" t="n">
        <f aca="false">IF($J388="","",IFERROR(DATE(IF(VALUE(LEFT($J388,FIND("월",$J388)-1))&gt;=9,기준정보!$C$7-1,기준정보!$C$7),VALUE(LEFT($J388,FIND("월",$J388)-1)),1+7*(VALUE(SUBSTITUTE(MID($J388,FIND("월",$J388)+1,5),"주",""))-1)),""))</f>
        <v>46409</v>
      </c>
      <c r="L388" s="28" t="n">
        <f aca="false">IF($K388="","",IF(AND($K388-기준정보!$C$5&gt;=기준정보!$C$10,$K388-기준정보!$C$5&lt;=기준정보!$C$11),기준정보!$C$10-1,$K388-기준정보!$C$5))</f>
        <v>46395</v>
      </c>
      <c r="M388" s="29" t="n">
        <f aca="false"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>0</v>
      </c>
      <c r="N388" s="28" t="n">
        <f aca="false">IF($L388="","",$L388-기준정보!$C$6-$M388)</f>
        <v>46305</v>
      </c>
      <c r="O388" s="30" t="n">
        <f aca="false">IF($N388="","",$N388-기준정보!$C$4)</f>
        <v>52</v>
      </c>
      <c r="P388" s="27"/>
      <c r="Q388" s="27" t="s">
        <v>100</v>
      </c>
      <c r="R388" s="27" t="s">
        <v>100</v>
      </c>
      <c r="S388" s="31"/>
      <c r="T388" s="26" t="str">
        <f aca="false">IF($H388="","",IF(AND(ISNUMBER(SEARCH("CMT",$H388)),OR(ISNUMBER(SEARCH("완사입",$H388)),ISNUMBER(SEARCH("ODM",$H388)))),"본사/생산처 혼재",IF(ISNUMBER(SEARCH("CMT",$H388)),"본사(소재팀)","생산처")))</f>
        <v>생산처</v>
      </c>
      <c r="U388" s="25" t="s">
        <v>1336</v>
      </c>
      <c r="V388" s="26"/>
      <c r="W388" s="25" t="s">
        <v>163</v>
      </c>
      <c r="X388" s="26"/>
      <c r="Y388" s="32"/>
      <c r="Z388" s="32"/>
      <c r="AA388" s="28"/>
      <c r="AB388" s="33" t="n">
        <v>4300</v>
      </c>
      <c r="AC388" s="33" t="n">
        <v>122369400</v>
      </c>
      <c r="AD388" s="33" t="n">
        <v>550400000</v>
      </c>
      <c r="AE388" s="26" t="s">
        <v>376</v>
      </c>
      <c r="AF388" s="26" t="str">
        <f aca="false"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>소재 입고일정 확인 필요</v>
      </c>
      <c r="AG388" s="24" t="str">
        <f aca="false">IF($K388="","",IF(OR(LEFT($AF388,2)="작지",LEFT($AF388,4)="소재입고"),IF(LEFT($G388,1)="S","★ 납기위험(S코드)","◆ 지연주의"),IF($AF388="정상","✓ 정상","? 확인필요")))</f>
        <v>? 확인필요</v>
      </c>
      <c r="AH388" s="27"/>
      <c r="AI388" s="34"/>
    </row>
    <row r="389" customFormat="false" ht="15" hidden="false" customHeight="false" outlineLevel="0" collapsed="false">
      <c r="A389" s="24" t="n">
        <v>385</v>
      </c>
      <c r="B389" s="25" t="s">
        <v>270</v>
      </c>
      <c r="C389" s="25" t="s">
        <v>756</v>
      </c>
      <c r="D389" s="26" t="s">
        <v>1396</v>
      </c>
      <c r="E389" s="25" t="s">
        <v>1397</v>
      </c>
      <c r="F389" s="26" t="s">
        <v>1398</v>
      </c>
      <c r="G389" s="24" t="str">
        <f aca="false">IF($D389="","",IF(MID($D389,5,1)="S","S(봄)",IF(MID($D389,5,1)="M","M(여름)",IF(MID($D389,5,1)="X","X(사계절)",MID($D389,5,1)))))</f>
        <v>X(사계절)</v>
      </c>
      <c r="H389" s="25" t="s">
        <v>97</v>
      </c>
      <c r="I389" s="24" t="s">
        <v>101</v>
      </c>
      <c r="J389" s="27" t="s">
        <v>376</v>
      </c>
      <c r="K389" s="28" t="n">
        <f aca="false">IF($J389="","",IFERROR(DATE(IF(VALUE(LEFT($J389,FIND("월",$J389)-1))&gt;=9,기준정보!$C$7-1,기준정보!$C$7),VALUE(LEFT($J389,FIND("월",$J389)-1)),1+7*(VALUE(SUBSTITUTE(MID($J389,FIND("월",$J389)+1,5),"주",""))-1)),""))</f>
        <v>46409</v>
      </c>
      <c r="L389" s="28" t="n">
        <f aca="false">IF($K389="","",IF(AND($K389-기준정보!$C$5&gt;=기준정보!$C$10,$K389-기준정보!$C$5&lt;=기준정보!$C$11),기준정보!$C$10-1,$K389-기준정보!$C$5))</f>
        <v>46395</v>
      </c>
      <c r="M389" s="29" t="n">
        <f aca="false"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>0</v>
      </c>
      <c r="N389" s="28" t="n">
        <f aca="false">IF($L389="","",$L389-기준정보!$C$6-$M389)</f>
        <v>46305</v>
      </c>
      <c r="O389" s="30" t="n">
        <f aca="false">IF($N389="","",$N389-기준정보!$C$4)</f>
        <v>52</v>
      </c>
      <c r="P389" s="27"/>
      <c r="Q389" s="27" t="s">
        <v>100</v>
      </c>
      <c r="R389" s="27" t="s">
        <v>100</v>
      </c>
      <c r="S389" s="31"/>
      <c r="T389" s="26" t="str">
        <f aca="false">IF($H389="","",IF(AND(ISNUMBER(SEARCH("CMT",$H389)),OR(ISNUMBER(SEARCH("완사입",$H389)),ISNUMBER(SEARCH("ODM",$H389)))),"본사/생산처 혼재",IF(ISNUMBER(SEARCH("CMT",$H389)),"본사(소재팀)","생산처")))</f>
        <v>생산처</v>
      </c>
      <c r="U389" s="25" t="s">
        <v>1336</v>
      </c>
      <c r="V389" s="26"/>
      <c r="W389" s="25" t="s">
        <v>163</v>
      </c>
      <c r="X389" s="26"/>
      <c r="Y389" s="32"/>
      <c r="Z389" s="32"/>
      <c r="AA389" s="28"/>
      <c r="AB389" s="33" t="n">
        <v>4100</v>
      </c>
      <c r="AC389" s="33" t="n">
        <v>150884100</v>
      </c>
      <c r="AD389" s="33" t="n">
        <v>688800000</v>
      </c>
      <c r="AE389" s="26" t="s">
        <v>376</v>
      </c>
      <c r="AF389" s="26" t="str">
        <f aca="false"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>소재 입고일정 확인 필요</v>
      </c>
      <c r="AG389" s="24" t="str">
        <f aca="false">IF($K389="","",IF(OR(LEFT($AF389,2)="작지",LEFT($AF389,4)="소재입고"),IF(LEFT($G389,1)="S","★ 납기위험(S코드)","◆ 지연주의"),IF($AF389="정상","✓ 정상","? 확인필요")))</f>
        <v>? 확인필요</v>
      </c>
      <c r="AH389" s="27"/>
      <c r="AI389" s="34"/>
    </row>
    <row r="390" customFormat="false" ht="15" hidden="false" customHeight="false" outlineLevel="0" collapsed="false">
      <c r="A390" s="24" t="n">
        <v>386</v>
      </c>
      <c r="B390" s="25" t="s">
        <v>270</v>
      </c>
      <c r="C390" s="25" t="s">
        <v>756</v>
      </c>
      <c r="D390" s="26" t="s">
        <v>1399</v>
      </c>
      <c r="E390" s="25" t="s">
        <v>1400</v>
      </c>
      <c r="F390" s="26" t="s">
        <v>1386</v>
      </c>
      <c r="G390" s="24" t="str">
        <f aca="false">IF($D390="","",IF(MID($D390,5,1)="S","S(봄)",IF(MID($D390,5,1)="M","M(여름)",IF(MID($D390,5,1)="X","X(사계절)",MID($D390,5,1)))))</f>
        <v>X(사계절)</v>
      </c>
      <c r="H390" s="25" t="s">
        <v>97</v>
      </c>
      <c r="I390" s="24" t="s">
        <v>101</v>
      </c>
      <c r="J390" s="27" t="s">
        <v>376</v>
      </c>
      <c r="K390" s="28" t="n">
        <f aca="false">IF($J390="","",IFERROR(DATE(IF(VALUE(LEFT($J390,FIND("월",$J390)-1))&gt;=9,기준정보!$C$7-1,기준정보!$C$7),VALUE(LEFT($J390,FIND("월",$J390)-1)),1+7*(VALUE(SUBSTITUTE(MID($J390,FIND("월",$J390)+1,5),"주",""))-1)),""))</f>
        <v>46409</v>
      </c>
      <c r="L390" s="28" t="n">
        <f aca="false">IF($K390="","",IF(AND($K390-기준정보!$C$5&gt;=기준정보!$C$10,$K390-기준정보!$C$5&lt;=기준정보!$C$11),기준정보!$C$10-1,$K390-기준정보!$C$5))</f>
        <v>46395</v>
      </c>
      <c r="M390" s="29" t="n">
        <f aca="false"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>0</v>
      </c>
      <c r="N390" s="28" t="n">
        <f aca="false">IF($L390="","",$L390-기준정보!$C$6-$M390)</f>
        <v>46305</v>
      </c>
      <c r="O390" s="30" t="n">
        <f aca="false">IF($N390="","",$N390-기준정보!$C$4)</f>
        <v>52</v>
      </c>
      <c r="P390" s="27"/>
      <c r="Q390" s="27" t="s">
        <v>100</v>
      </c>
      <c r="R390" s="27" t="s">
        <v>100</v>
      </c>
      <c r="S390" s="31"/>
      <c r="T390" s="26" t="str">
        <f aca="false">IF($H390="","",IF(AND(ISNUMBER(SEARCH("CMT",$H390)),OR(ISNUMBER(SEARCH("완사입",$H390)),ISNUMBER(SEARCH("ODM",$H390)))),"본사/생산처 혼재",IF(ISNUMBER(SEARCH("CMT",$H390)),"본사(소재팀)","생산처")))</f>
        <v>생산처</v>
      </c>
      <c r="U390" s="25" t="s">
        <v>1336</v>
      </c>
      <c r="V390" s="26"/>
      <c r="W390" s="25" t="s">
        <v>163</v>
      </c>
      <c r="X390" s="26"/>
      <c r="Y390" s="32"/>
      <c r="Z390" s="32"/>
      <c r="AA390" s="28"/>
      <c r="AB390" s="33" t="n">
        <v>1600</v>
      </c>
      <c r="AC390" s="33" t="n">
        <v>72000000</v>
      </c>
      <c r="AD390" s="33" t="n">
        <v>316800000</v>
      </c>
      <c r="AE390" s="26" t="s">
        <v>376</v>
      </c>
      <c r="AF390" s="26" t="str">
        <f aca="false"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>소재 입고일정 확인 필요</v>
      </c>
      <c r="AG390" s="24" t="str">
        <f aca="false">IF($K390="","",IF(OR(LEFT($AF390,2)="작지",LEFT($AF390,4)="소재입고"),IF(LEFT($G390,1)="S","★ 납기위험(S코드)","◆ 지연주의"),IF($AF390="정상","✓ 정상","? 확인필요")))</f>
        <v>? 확인필요</v>
      </c>
      <c r="AH390" s="27"/>
      <c r="AI390" s="34"/>
    </row>
    <row r="391" customFormat="false" ht="15" hidden="false" customHeight="false" outlineLevel="0" collapsed="false">
      <c r="A391" s="24" t="n">
        <v>387</v>
      </c>
      <c r="B391" s="25" t="s">
        <v>270</v>
      </c>
      <c r="C391" s="25" t="s">
        <v>756</v>
      </c>
      <c r="D391" s="26" t="s">
        <v>1401</v>
      </c>
      <c r="E391" s="25" t="s">
        <v>1402</v>
      </c>
      <c r="F391" s="26" t="s">
        <v>196</v>
      </c>
      <c r="G391" s="24" t="str">
        <f aca="false">IF($D391="","",IF(MID($D391,5,1)="S","S(봄)",IF(MID($D391,5,1)="M","M(여름)",IF(MID($D391,5,1)="X","X(사계절)",MID($D391,5,1)))))</f>
        <v>X(사계절)</v>
      </c>
      <c r="H391" s="25" t="s">
        <v>97</v>
      </c>
      <c r="I391" s="24" t="s">
        <v>101</v>
      </c>
      <c r="J391" s="27" t="s">
        <v>376</v>
      </c>
      <c r="K391" s="28" t="n">
        <f aca="false">IF($J391="","",IFERROR(DATE(IF(VALUE(LEFT($J391,FIND("월",$J391)-1))&gt;=9,기준정보!$C$7-1,기준정보!$C$7),VALUE(LEFT($J391,FIND("월",$J391)-1)),1+7*(VALUE(SUBSTITUTE(MID($J391,FIND("월",$J391)+1,5),"주",""))-1)),""))</f>
        <v>46409</v>
      </c>
      <c r="L391" s="28" t="n">
        <f aca="false">IF($K391="","",IF(AND($K391-기준정보!$C$5&gt;=기준정보!$C$10,$K391-기준정보!$C$5&lt;=기준정보!$C$11),기준정보!$C$10-1,$K391-기준정보!$C$5))</f>
        <v>46395</v>
      </c>
      <c r="M391" s="29" t="n">
        <f aca="false"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>0</v>
      </c>
      <c r="N391" s="28" t="n">
        <f aca="false">IF($L391="","",$L391-기준정보!$C$6-$M391)</f>
        <v>46305</v>
      </c>
      <c r="O391" s="30" t="n">
        <f aca="false">IF($N391="","",$N391-기준정보!$C$4)</f>
        <v>52</v>
      </c>
      <c r="P391" s="27"/>
      <c r="Q391" s="27" t="s">
        <v>100</v>
      </c>
      <c r="R391" s="27" t="s">
        <v>100</v>
      </c>
      <c r="S391" s="31"/>
      <c r="T391" s="26" t="str">
        <f aca="false">IF($H391="","",IF(AND(ISNUMBER(SEARCH("CMT",$H391)),OR(ISNUMBER(SEARCH("완사입",$H391)),ISNUMBER(SEARCH("ODM",$H391)))),"본사/생산처 혼재",IF(ISNUMBER(SEARCH("CMT",$H391)),"본사(소재팀)","생산처")))</f>
        <v>생산처</v>
      </c>
      <c r="U391" s="25" t="s">
        <v>1336</v>
      </c>
      <c r="V391" s="26"/>
      <c r="W391" s="25" t="s">
        <v>163</v>
      </c>
      <c r="X391" s="26"/>
      <c r="Y391" s="32"/>
      <c r="Z391" s="32"/>
      <c r="AA391" s="28"/>
      <c r="AB391" s="33" t="n">
        <v>1000</v>
      </c>
      <c r="AC391" s="33" t="n">
        <v>52738000</v>
      </c>
      <c r="AD391" s="33" t="n">
        <v>220000000</v>
      </c>
      <c r="AE391" s="26" t="s">
        <v>376</v>
      </c>
      <c r="AF391" s="26" t="str">
        <f aca="false"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>소재 입고일정 확인 필요</v>
      </c>
      <c r="AG391" s="24" t="str">
        <f aca="false">IF($K391="","",IF(OR(LEFT($AF391,2)="작지",LEFT($AF391,4)="소재입고"),IF(LEFT($G391,1)="S","★ 납기위험(S코드)","◆ 지연주의"),IF($AF391="정상","✓ 정상","? 확인필요")))</f>
        <v>? 확인필요</v>
      </c>
      <c r="AH391" s="27"/>
      <c r="AI391" s="34"/>
    </row>
    <row r="392" customFormat="false" ht="15" hidden="false" customHeight="false" outlineLevel="0" collapsed="false">
      <c r="A392" s="24" t="n">
        <v>388</v>
      </c>
      <c r="B392" s="25" t="s">
        <v>270</v>
      </c>
      <c r="C392" s="25" t="s">
        <v>756</v>
      </c>
      <c r="D392" s="26" t="s">
        <v>1403</v>
      </c>
      <c r="E392" s="25" t="s">
        <v>1404</v>
      </c>
      <c r="F392" s="26" t="s">
        <v>1405</v>
      </c>
      <c r="G392" s="24" t="str">
        <f aca="false">IF($D392="","",IF(MID($D392,5,1)="S","S(봄)",IF(MID($D392,5,1)="M","M(여름)",IF(MID($D392,5,1)="X","X(사계절)",MID($D392,5,1)))))</f>
        <v>X(사계절)</v>
      </c>
      <c r="H392" s="25" t="s">
        <v>97</v>
      </c>
      <c r="I392" s="24" t="s">
        <v>101</v>
      </c>
      <c r="J392" s="27" t="s">
        <v>376</v>
      </c>
      <c r="K392" s="28" t="n">
        <f aca="false">IF($J392="","",IFERROR(DATE(IF(VALUE(LEFT($J392,FIND("월",$J392)-1))&gt;=9,기준정보!$C$7-1,기준정보!$C$7),VALUE(LEFT($J392,FIND("월",$J392)-1)),1+7*(VALUE(SUBSTITUTE(MID($J392,FIND("월",$J392)+1,5),"주",""))-1)),""))</f>
        <v>46409</v>
      </c>
      <c r="L392" s="28" t="n">
        <f aca="false">IF($K392="","",IF(AND($K392-기준정보!$C$5&gt;=기준정보!$C$10,$K392-기준정보!$C$5&lt;=기준정보!$C$11),기준정보!$C$10-1,$K392-기준정보!$C$5))</f>
        <v>46395</v>
      </c>
      <c r="M392" s="29" t="n">
        <f aca="false"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>0</v>
      </c>
      <c r="N392" s="28" t="n">
        <f aca="false">IF($L392="","",$L392-기준정보!$C$6-$M392)</f>
        <v>46305</v>
      </c>
      <c r="O392" s="30" t="n">
        <f aca="false">IF($N392="","",$N392-기준정보!$C$4)</f>
        <v>52</v>
      </c>
      <c r="P392" s="27"/>
      <c r="Q392" s="27" t="s">
        <v>100</v>
      </c>
      <c r="R392" s="27" t="s">
        <v>101</v>
      </c>
      <c r="S392" s="31"/>
      <c r="T392" s="26" t="str">
        <f aca="false">IF($H392="","",IF(AND(ISNUMBER(SEARCH("CMT",$H392)),OR(ISNUMBER(SEARCH("완사입",$H392)),ISNUMBER(SEARCH("ODM",$H392)))),"본사/생산처 혼재",IF(ISNUMBER(SEARCH("CMT",$H392)),"본사(소재팀)","생산처")))</f>
        <v>생산처</v>
      </c>
      <c r="U392" s="25" t="s">
        <v>1336</v>
      </c>
      <c r="V392" s="26"/>
      <c r="W392" s="25" t="s">
        <v>163</v>
      </c>
      <c r="X392" s="26"/>
      <c r="Y392" s="32"/>
      <c r="Z392" s="32"/>
      <c r="AA392" s="28"/>
      <c r="AB392" s="33" t="n">
        <v>1000</v>
      </c>
      <c r="AC392" s="33" t="n">
        <v>71579000</v>
      </c>
      <c r="AD392" s="33" t="n">
        <v>350000000</v>
      </c>
      <c r="AE392" s="26" t="s">
        <v>376</v>
      </c>
      <c r="AF392" s="26" t="str">
        <f aca="false"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>소재 입고일정 확인 필요</v>
      </c>
      <c r="AG392" s="24" t="str">
        <f aca="false">IF($K392="","",IF(OR(LEFT($AF392,2)="작지",LEFT($AF392,4)="소재입고"),IF(LEFT($G392,1)="S","★ 납기위험(S코드)","◆ 지연주의"),IF($AF392="정상","✓ 정상","? 확인필요")))</f>
        <v>? 확인필요</v>
      </c>
      <c r="AH392" s="27"/>
      <c r="AI392" s="34"/>
    </row>
    <row r="393" customFormat="false" ht="15" hidden="false" customHeight="false" outlineLevel="0" collapsed="false">
      <c r="A393" s="24" t="n">
        <v>389</v>
      </c>
      <c r="B393" s="25" t="s">
        <v>270</v>
      </c>
      <c r="C393" s="25" t="s">
        <v>756</v>
      </c>
      <c r="D393" s="26" t="s">
        <v>1406</v>
      </c>
      <c r="E393" s="25" t="s">
        <v>1407</v>
      </c>
      <c r="F393" s="26" t="s">
        <v>1383</v>
      </c>
      <c r="G393" s="24" t="str">
        <f aca="false">IF($D393="","",IF(MID($D393,5,1)="S","S(봄)",IF(MID($D393,5,1)="M","M(여름)",IF(MID($D393,5,1)="X","X(사계절)",MID($D393,5,1)))))</f>
        <v>X(사계절)</v>
      </c>
      <c r="H393" s="25" t="s">
        <v>97</v>
      </c>
      <c r="I393" s="24"/>
      <c r="J393" s="27" t="s">
        <v>376</v>
      </c>
      <c r="K393" s="28" t="n">
        <f aca="false">IF($J393="","",IFERROR(DATE(IF(VALUE(LEFT($J393,FIND("월",$J393)-1))&gt;=9,기준정보!$C$7-1,기준정보!$C$7),VALUE(LEFT($J393,FIND("월",$J393)-1)),1+7*(VALUE(SUBSTITUTE(MID($J393,FIND("월",$J393)+1,5),"주",""))-1)),""))</f>
        <v>46409</v>
      </c>
      <c r="L393" s="28" t="n">
        <f aca="false">IF($K393="","",IF(AND($K393-기준정보!$C$5&gt;=기준정보!$C$10,$K393-기준정보!$C$5&lt;=기준정보!$C$11),기준정보!$C$10-1,$K393-기준정보!$C$5))</f>
        <v>46395</v>
      </c>
      <c r="M393" s="29" t="n">
        <f aca="false"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>0</v>
      </c>
      <c r="N393" s="28" t="n">
        <f aca="false">IF($L393="","",$L393-기준정보!$C$6-$M393)</f>
        <v>46305</v>
      </c>
      <c r="O393" s="30" t="n">
        <f aca="false">IF($N393="","",$N393-기준정보!$C$4)</f>
        <v>52</v>
      </c>
      <c r="P393" s="27"/>
      <c r="Q393" s="27" t="s">
        <v>100</v>
      </c>
      <c r="R393" s="27" t="s">
        <v>100</v>
      </c>
      <c r="S393" s="31"/>
      <c r="T393" s="26" t="str">
        <f aca="false">IF($H393="","",IF(AND(ISNUMBER(SEARCH("CMT",$H393)),OR(ISNUMBER(SEARCH("완사입",$H393)),ISNUMBER(SEARCH("ODM",$H393)))),"본사/생산처 혼재",IF(ISNUMBER(SEARCH("CMT",$H393)),"본사(소재팀)","생산처")))</f>
        <v>생산처</v>
      </c>
      <c r="U393" s="25" t="s">
        <v>1336</v>
      </c>
      <c r="V393" s="26"/>
      <c r="W393" s="25" t="s">
        <v>163</v>
      </c>
      <c r="X393" s="26"/>
      <c r="Y393" s="32"/>
      <c r="Z393" s="32"/>
      <c r="AA393" s="28"/>
      <c r="AB393" s="33" t="n">
        <v>2500</v>
      </c>
      <c r="AC393" s="33" t="n">
        <v>57500000</v>
      </c>
      <c r="AD393" s="33" t="n">
        <v>270000000</v>
      </c>
      <c r="AE393" s="26"/>
      <c r="AF393" s="26" t="str">
        <f aca="false"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>소재 입고일정 확인 필요</v>
      </c>
      <c r="AG393" s="24" t="str">
        <f aca="false">IF($K393="","",IF(OR(LEFT($AF393,2)="작지",LEFT($AF393,4)="소재입고"),IF(LEFT($G393,1)="S","★ 납기위험(S코드)","◆ 지연주의"),IF($AF393="정상","✓ 정상","? 확인필요")))</f>
        <v>? 확인필요</v>
      </c>
      <c r="AH393" s="27"/>
      <c r="AI393" s="34"/>
    </row>
    <row r="394" customFormat="false" ht="15" hidden="false" customHeight="false" outlineLevel="0" collapsed="false">
      <c r="A394" s="24" t="n">
        <v>390</v>
      </c>
      <c r="B394" s="25" t="s">
        <v>270</v>
      </c>
      <c r="C394" s="25" t="s">
        <v>756</v>
      </c>
      <c r="D394" s="26" t="s">
        <v>1408</v>
      </c>
      <c r="E394" s="25" t="s">
        <v>1409</v>
      </c>
      <c r="F394" s="26" t="s">
        <v>970</v>
      </c>
      <c r="G394" s="24" t="str">
        <f aca="false">IF($D394="","",IF(MID($D394,5,1)="S","S(봄)",IF(MID($D394,5,1)="M","M(여름)",IF(MID($D394,5,1)="X","X(사계절)",MID($D394,5,1)))))</f>
        <v>X(사계절)</v>
      </c>
      <c r="H394" s="25" t="s">
        <v>97</v>
      </c>
      <c r="I394" s="24" t="s">
        <v>1410</v>
      </c>
      <c r="J394" s="27" t="s">
        <v>376</v>
      </c>
      <c r="K394" s="28" t="n">
        <f aca="false">IF($J394="","",IFERROR(DATE(IF(VALUE(LEFT($J394,FIND("월",$J394)-1))&gt;=9,기준정보!$C$7-1,기준정보!$C$7),VALUE(LEFT($J394,FIND("월",$J394)-1)),1+7*(VALUE(SUBSTITUTE(MID($J394,FIND("월",$J394)+1,5),"주",""))-1)),""))</f>
        <v>46409</v>
      </c>
      <c r="L394" s="28" t="n">
        <f aca="false">IF($K394="","",IF(AND($K394-기준정보!$C$5&gt;=기준정보!$C$10,$K394-기준정보!$C$5&lt;=기준정보!$C$11),기준정보!$C$10-1,$K394-기준정보!$C$5))</f>
        <v>46395</v>
      </c>
      <c r="M394" s="29" t="n">
        <f aca="false"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>0</v>
      </c>
      <c r="N394" s="28" t="n">
        <f aca="false">IF($L394="","",$L394-기준정보!$C$6-$M394)</f>
        <v>46305</v>
      </c>
      <c r="O394" s="30" t="n">
        <f aca="false">IF($N394="","",$N394-기준정보!$C$4)</f>
        <v>52</v>
      </c>
      <c r="P394" s="27"/>
      <c r="Q394" s="27"/>
      <c r="R394" s="27"/>
      <c r="S394" s="31"/>
      <c r="T394" s="26" t="str">
        <f aca="false">IF($H394="","",IF(AND(ISNUMBER(SEARCH("CMT",$H394)),OR(ISNUMBER(SEARCH("완사입",$H394)),ISNUMBER(SEARCH("ODM",$H394)))),"본사/생산처 혼재",IF(ISNUMBER(SEARCH("CMT",$H394)),"본사(소재팀)","생산처")))</f>
        <v>생산처</v>
      </c>
      <c r="U394" s="25" t="s">
        <v>1375</v>
      </c>
      <c r="V394" s="26"/>
      <c r="W394" s="25" t="s">
        <v>103</v>
      </c>
      <c r="X394" s="26"/>
      <c r="Y394" s="32"/>
      <c r="Z394" s="32"/>
      <c r="AA394" s="28"/>
      <c r="AB394" s="33" t="n">
        <v>2000</v>
      </c>
      <c r="AC394" s="33" t="n">
        <v>46000000</v>
      </c>
      <c r="AD394" s="33" t="n">
        <v>216000000</v>
      </c>
      <c r="AE394" s="26"/>
      <c r="AF394" s="26" t="str">
        <f aca="false"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>발행여부 확인 필요</v>
      </c>
      <c r="AG394" s="24" t="str">
        <f aca="false">IF($K394="","",IF(OR(LEFT($AF394,2)="작지",LEFT($AF394,4)="소재입고"),IF(LEFT($G394,1)="S","★ 납기위험(S코드)","◆ 지연주의"),IF($AF394="정상","✓ 정상","? 확인필요")))</f>
        <v>? 확인필요</v>
      </c>
      <c r="AH394" s="27"/>
      <c r="AI394" s="34"/>
    </row>
    <row r="395" customFormat="false" ht="15" hidden="false" customHeight="false" outlineLevel="0" collapsed="false">
      <c r="A395" s="24" t="n">
        <v>391</v>
      </c>
      <c r="B395" s="25" t="s">
        <v>250</v>
      </c>
      <c r="C395" s="25" t="s">
        <v>756</v>
      </c>
      <c r="D395" s="26" t="s">
        <v>1411</v>
      </c>
      <c r="E395" s="25" t="s">
        <v>1412</v>
      </c>
      <c r="F395" s="26" t="s">
        <v>1413</v>
      </c>
      <c r="G395" s="24" t="str">
        <f aca="false">IF($D395="","",IF(MID($D395,5,1)="S","S(봄)",IF(MID($D395,5,1)="M","M(여름)",IF(MID($D395,5,1)="X","X(사계절)",MID($D395,5,1)))))</f>
        <v>X(사계절)</v>
      </c>
      <c r="H395" s="25" t="s">
        <v>97</v>
      </c>
      <c r="I395" s="24"/>
      <c r="J395" s="27" t="s">
        <v>376</v>
      </c>
      <c r="K395" s="28" t="n">
        <f aca="false">IF($J395="","",IFERROR(DATE(IF(VALUE(LEFT($J395,FIND("월",$J395)-1))&gt;=9,기준정보!$C$7-1,기준정보!$C$7),VALUE(LEFT($J395,FIND("월",$J395)-1)),1+7*(VALUE(SUBSTITUTE(MID($J395,FIND("월",$J395)+1,5),"주",""))-1)),""))</f>
        <v>46409</v>
      </c>
      <c r="L395" s="28" t="n">
        <f aca="false">IF($K395="","",IF(AND($K395-기준정보!$C$5&gt;=기준정보!$C$10,$K395-기준정보!$C$5&lt;=기준정보!$C$11),기준정보!$C$10-1,$K395-기준정보!$C$5))</f>
        <v>46395</v>
      </c>
      <c r="M395" s="29" t="n">
        <f aca="false"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>0</v>
      </c>
      <c r="N395" s="28" t="n">
        <f aca="false">IF($L395="","",$L395-기준정보!$C$6-$M395)</f>
        <v>46305</v>
      </c>
      <c r="O395" s="30" t="n">
        <f aca="false">IF($N395="","",$N395-기준정보!$C$4)</f>
        <v>52</v>
      </c>
      <c r="P395" s="27"/>
      <c r="Q395" s="27" t="s">
        <v>100</v>
      </c>
      <c r="R395" s="27" t="s">
        <v>100</v>
      </c>
      <c r="S395" s="31"/>
      <c r="T395" s="26" t="str">
        <f aca="false">IF($H395="","",IF(AND(ISNUMBER(SEARCH("CMT",$H395)),OR(ISNUMBER(SEARCH("완사입",$H395)),ISNUMBER(SEARCH("ODM",$H395)))),"본사/생산처 혼재",IF(ISNUMBER(SEARCH("CMT",$H395)),"본사(소재팀)","생산처")))</f>
        <v>생산처</v>
      </c>
      <c r="U395" s="25" t="s">
        <v>760</v>
      </c>
      <c r="V395" s="26"/>
      <c r="W395" s="25" t="s">
        <v>103</v>
      </c>
      <c r="X395" s="26"/>
      <c r="Y395" s="32"/>
      <c r="Z395" s="32"/>
      <c r="AA395" s="28"/>
      <c r="AB395" s="33" t="n">
        <v>5500</v>
      </c>
      <c r="AC395" s="33" t="n">
        <v>51066500</v>
      </c>
      <c r="AD395" s="33" t="n">
        <v>302500000</v>
      </c>
      <c r="AE395" s="26"/>
      <c r="AF395" s="26" t="str">
        <f aca="false"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>소재 입고일정 확인 필요</v>
      </c>
      <c r="AG395" s="24" t="str">
        <f aca="false">IF($K395="","",IF(OR(LEFT($AF395,2)="작지",LEFT($AF395,4)="소재입고"),IF(LEFT($G395,1)="S","★ 납기위험(S코드)","◆ 지연주의"),IF($AF395="정상","✓ 정상","? 확인필요")))</f>
        <v>? 확인필요</v>
      </c>
      <c r="AH395" s="27"/>
      <c r="AI395" s="34"/>
    </row>
    <row r="396" customFormat="false" ht="15" hidden="false" customHeight="false" outlineLevel="0" collapsed="false">
      <c r="A396" s="24" t="n">
        <v>392</v>
      </c>
      <c r="B396" s="25" t="s">
        <v>250</v>
      </c>
      <c r="C396" s="25" t="s">
        <v>756</v>
      </c>
      <c r="D396" s="26" t="s">
        <v>1414</v>
      </c>
      <c r="E396" s="25" t="s">
        <v>1415</v>
      </c>
      <c r="F396" s="26" t="s">
        <v>1416</v>
      </c>
      <c r="G396" s="24" t="str">
        <f aca="false">IF($D396="","",IF(MID($D396,5,1)="S","S(봄)",IF(MID($D396,5,1)="M","M(여름)",IF(MID($D396,5,1)="X","X(사계절)",MID($D396,5,1)))))</f>
        <v>X(사계절)</v>
      </c>
      <c r="H396" s="25" t="s">
        <v>97</v>
      </c>
      <c r="I396" s="24"/>
      <c r="J396" s="27" t="s">
        <v>376</v>
      </c>
      <c r="K396" s="28" t="n">
        <f aca="false">IF($J396="","",IFERROR(DATE(IF(VALUE(LEFT($J396,FIND("월",$J396)-1))&gt;=9,기준정보!$C$7-1,기준정보!$C$7),VALUE(LEFT($J396,FIND("월",$J396)-1)),1+7*(VALUE(SUBSTITUTE(MID($J396,FIND("월",$J396)+1,5),"주",""))-1)),""))</f>
        <v>46409</v>
      </c>
      <c r="L396" s="28" t="n">
        <f aca="false">IF($K396="","",IF(AND($K396-기준정보!$C$5&gt;=기준정보!$C$10,$K396-기준정보!$C$5&lt;=기준정보!$C$11),기준정보!$C$10-1,$K396-기준정보!$C$5))</f>
        <v>46395</v>
      </c>
      <c r="M396" s="29" t="n">
        <f aca="false"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>0</v>
      </c>
      <c r="N396" s="28" t="n">
        <f aca="false">IF($L396="","",$L396-기준정보!$C$6-$M396)</f>
        <v>46305</v>
      </c>
      <c r="O396" s="30" t="n">
        <f aca="false">IF($N396="","",$N396-기준정보!$C$4)</f>
        <v>52</v>
      </c>
      <c r="P396" s="27"/>
      <c r="Q396" s="27" t="s">
        <v>101</v>
      </c>
      <c r="R396" s="27" t="s">
        <v>101</v>
      </c>
      <c r="S396" s="31"/>
      <c r="T396" s="26" t="str">
        <f aca="false">IF($H396="","",IF(AND(ISNUMBER(SEARCH("CMT",$H396)),OR(ISNUMBER(SEARCH("완사입",$H396)),ISNUMBER(SEARCH("ODM",$H396)))),"본사/생산처 혼재",IF(ISNUMBER(SEARCH("CMT",$H396)),"본사(소재팀)","생산처")))</f>
        <v>생산처</v>
      </c>
      <c r="U396" s="25" t="s">
        <v>760</v>
      </c>
      <c r="V396" s="26"/>
      <c r="W396" s="25" t="s">
        <v>103</v>
      </c>
      <c r="X396" s="26"/>
      <c r="Y396" s="32"/>
      <c r="Z396" s="32"/>
      <c r="AA396" s="28"/>
      <c r="AB396" s="33" t="n">
        <v>5100</v>
      </c>
      <c r="AC396" s="33" t="n">
        <v>56747700</v>
      </c>
      <c r="AD396" s="33" t="n">
        <v>280500000</v>
      </c>
      <c r="AE396" s="26"/>
      <c r="AF396" s="26" t="str">
        <f aca="false"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>작지 미발행</v>
      </c>
      <c r="AG396" s="24" t="str">
        <f aca="false">IF($K396="","",IF(OR(LEFT($AF396,2)="작지",LEFT($AF396,4)="소재입고"),IF(LEFT($G396,1)="S","★ 납기위험(S코드)","◆ 지연주의"),IF($AF396="정상","✓ 정상","? 확인필요")))</f>
        <v>◆ 지연주의</v>
      </c>
      <c r="AH396" s="27"/>
      <c r="AI396" s="34"/>
    </row>
    <row r="397" customFormat="false" ht="15" hidden="false" customHeight="false" outlineLevel="0" collapsed="false">
      <c r="A397" s="24" t="n">
        <v>393</v>
      </c>
      <c r="B397" s="25" t="s">
        <v>948</v>
      </c>
      <c r="C397" s="26"/>
      <c r="D397" s="26" t="s">
        <v>1417</v>
      </c>
      <c r="E397" s="25" t="s">
        <v>1418</v>
      </c>
      <c r="F397" s="26" t="s">
        <v>1419</v>
      </c>
      <c r="G397" s="24" t="str">
        <f aca="false">IF($D397="","",IF(MID($D397,5,1)="S","S(봄)",IF(MID($D397,5,1)="M","M(여름)",IF(MID($D397,5,1)="X","X(사계절)",MID($D397,5,1)))))</f>
        <v>X(사계절)</v>
      </c>
      <c r="H397" s="25" t="s">
        <v>97</v>
      </c>
      <c r="I397" s="24"/>
      <c r="J397" s="27" t="s">
        <v>529</v>
      </c>
      <c r="K397" s="28" t="n">
        <f aca="false">IF($J397="","",IFERROR(DATE(IF(VALUE(LEFT($J397,FIND("월",$J397)-1))&gt;=9,기준정보!$C$7-1,기준정보!$C$7),VALUE(LEFT($J397,FIND("월",$J397)-1)),1+7*(VALUE(SUBSTITUTE(MID($J397,FIND("월",$J397)+1,5),"주",""))-1)),""))</f>
        <v>46440</v>
      </c>
      <c r="L397" s="28" t="n">
        <f aca="false">IF($K397="","",IF(AND($K397-기준정보!$C$5&gt;=기준정보!$C$10,$K397-기준정보!$C$5&lt;=기준정보!$C$11),기준정보!$C$10-1,$K397-기준정보!$C$5))</f>
        <v>46422</v>
      </c>
      <c r="M397" s="29" t="n">
        <f aca="false"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>0</v>
      </c>
      <c r="N397" s="28" t="n">
        <f aca="false">IF($L397="","",$L397-기준정보!$C$6-$M397)</f>
        <v>46332</v>
      </c>
      <c r="O397" s="30" t="n">
        <f aca="false">IF($N397="","",$N397-기준정보!$C$4)</f>
        <v>79</v>
      </c>
      <c r="P397" s="27"/>
      <c r="Q397" s="27" t="s">
        <v>101</v>
      </c>
      <c r="R397" s="27" t="s">
        <v>101</v>
      </c>
      <c r="S397" s="31"/>
      <c r="T397" s="26" t="str">
        <f aca="false">IF($H397="","",IF(AND(ISNUMBER(SEARCH("CMT",$H397)),OR(ISNUMBER(SEARCH("완사입",$H397)),ISNUMBER(SEARCH("ODM",$H397)))),"본사/생산처 혼재",IF(ISNUMBER(SEARCH("CMT",$H397)),"본사(소재팀)","생산처")))</f>
        <v>생산처</v>
      </c>
      <c r="U397" s="26"/>
      <c r="V397" s="26"/>
      <c r="W397" s="26"/>
      <c r="X397" s="26"/>
      <c r="Y397" s="32"/>
      <c r="Z397" s="32"/>
      <c r="AA397" s="28"/>
      <c r="AB397" s="33" t="n">
        <v>2000</v>
      </c>
      <c r="AC397" s="33" t="n">
        <v>13000000</v>
      </c>
      <c r="AD397" s="33" t="n">
        <v>70000000</v>
      </c>
      <c r="AE397" s="26"/>
      <c r="AF397" s="26" t="str">
        <f aca="false"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>작지 미발행</v>
      </c>
      <c r="AG397" s="24" t="str">
        <f aca="false">IF($K397="","",IF(OR(LEFT($AF397,2)="작지",LEFT($AF397,4)="소재입고"),IF(LEFT($G397,1)="S","★ 납기위험(S코드)","◆ 지연주의"),IF($AF397="정상","✓ 정상","? 확인필요")))</f>
        <v>◆ 지연주의</v>
      </c>
      <c r="AH397" s="27"/>
      <c r="AI397" s="34"/>
    </row>
    <row r="398" customFormat="false" ht="15" hidden="false" customHeight="false" outlineLevel="0" collapsed="false">
      <c r="A398" s="24" t="n">
        <v>394</v>
      </c>
      <c r="B398" s="25" t="s">
        <v>948</v>
      </c>
      <c r="C398" s="26"/>
      <c r="D398" s="26" t="s">
        <v>1420</v>
      </c>
      <c r="E398" s="25" t="s">
        <v>1421</v>
      </c>
      <c r="F398" s="26" t="s">
        <v>970</v>
      </c>
      <c r="G398" s="24" t="str">
        <f aca="false">IF($D398="","",IF(MID($D398,5,1)="S","S(봄)",IF(MID($D398,5,1)="M","M(여름)",IF(MID($D398,5,1)="X","X(사계절)",MID($D398,5,1)))))</f>
        <v>X(사계절)</v>
      </c>
      <c r="H398" s="25" t="s">
        <v>97</v>
      </c>
      <c r="I398" s="24"/>
      <c r="J398" s="27" t="s">
        <v>529</v>
      </c>
      <c r="K398" s="28" t="n">
        <f aca="false">IF($J398="","",IFERROR(DATE(IF(VALUE(LEFT($J398,FIND("월",$J398)-1))&gt;=9,기준정보!$C$7-1,기준정보!$C$7),VALUE(LEFT($J398,FIND("월",$J398)-1)),1+7*(VALUE(SUBSTITUTE(MID($J398,FIND("월",$J398)+1,5),"주",""))-1)),""))</f>
        <v>46440</v>
      </c>
      <c r="L398" s="28" t="n">
        <f aca="false">IF($K398="","",IF(AND($K398-기준정보!$C$5&gt;=기준정보!$C$10,$K398-기준정보!$C$5&lt;=기준정보!$C$11),기준정보!$C$10-1,$K398-기준정보!$C$5))</f>
        <v>46422</v>
      </c>
      <c r="M398" s="29" t="n">
        <f aca="false"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>0</v>
      </c>
      <c r="N398" s="28" t="n">
        <f aca="false">IF($L398="","",$L398-기준정보!$C$6-$M398)</f>
        <v>46332</v>
      </c>
      <c r="O398" s="30" t="n">
        <f aca="false">IF($N398="","",$N398-기준정보!$C$4)</f>
        <v>79</v>
      </c>
      <c r="P398" s="27"/>
      <c r="Q398" s="27"/>
      <c r="R398" s="27"/>
      <c r="S398" s="31"/>
      <c r="T398" s="26" t="str">
        <f aca="false">IF($H398="","",IF(AND(ISNUMBER(SEARCH("CMT",$H398)),OR(ISNUMBER(SEARCH("완사입",$H398)),ISNUMBER(SEARCH("ODM",$H398)))),"본사/생산처 혼재",IF(ISNUMBER(SEARCH("CMT",$H398)),"본사(소재팀)","생산처")))</f>
        <v>생산처</v>
      </c>
      <c r="U398" s="26"/>
      <c r="V398" s="26"/>
      <c r="W398" s="26"/>
      <c r="X398" s="26"/>
      <c r="Y398" s="32"/>
      <c r="Z398" s="32"/>
      <c r="AA398" s="28"/>
      <c r="AB398" s="33" t="n">
        <v>3500</v>
      </c>
      <c r="AC398" s="33" t="n">
        <v>57974000</v>
      </c>
      <c r="AD398" s="33" t="n">
        <v>273000000</v>
      </c>
      <c r="AE398" s="26"/>
      <c r="AF398" s="26" t="str">
        <f aca="false"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>발행여부 확인 필요</v>
      </c>
      <c r="AG398" s="24" t="str">
        <f aca="false">IF($K398="","",IF(OR(LEFT($AF398,2)="작지",LEFT($AF398,4)="소재입고"),IF(LEFT($G398,1)="S","★ 납기위험(S코드)","◆ 지연주의"),IF($AF398="정상","✓ 정상","? 확인필요")))</f>
        <v>? 확인필요</v>
      </c>
      <c r="AH398" s="27"/>
      <c r="AI398" s="34"/>
    </row>
    <row r="399" customFormat="false" ht="15" hidden="false" customHeight="false" outlineLevel="0" collapsed="false">
      <c r="A399" s="24" t="n">
        <v>395</v>
      </c>
      <c r="B399" s="25" t="s">
        <v>948</v>
      </c>
      <c r="C399" s="26"/>
      <c r="D399" s="26" t="s">
        <v>1422</v>
      </c>
      <c r="E399" s="25" t="s">
        <v>1423</v>
      </c>
      <c r="F399" s="26" t="s">
        <v>970</v>
      </c>
      <c r="G399" s="24" t="str">
        <f aca="false">IF($D399="","",IF(MID($D399,5,1)="S","S(봄)",IF(MID($D399,5,1)="M","M(여름)",IF(MID($D399,5,1)="X","X(사계절)",MID($D399,5,1)))))</f>
        <v>X(사계절)</v>
      </c>
      <c r="H399" s="25" t="s">
        <v>97</v>
      </c>
      <c r="I399" s="24"/>
      <c r="J399" s="27" t="s">
        <v>529</v>
      </c>
      <c r="K399" s="28" t="n">
        <f aca="false">IF($J399="","",IFERROR(DATE(IF(VALUE(LEFT($J399,FIND("월",$J399)-1))&gt;=9,기준정보!$C$7-1,기준정보!$C$7),VALUE(LEFT($J399,FIND("월",$J399)-1)),1+7*(VALUE(SUBSTITUTE(MID($J399,FIND("월",$J399)+1,5),"주",""))-1)),""))</f>
        <v>46440</v>
      </c>
      <c r="L399" s="28" t="n">
        <f aca="false">IF($K399="","",IF(AND($K399-기준정보!$C$5&gt;=기준정보!$C$10,$K399-기준정보!$C$5&lt;=기준정보!$C$11),기준정보!$C$10-1,$K399-기준정보!$C$5))</f>
        <v>46422</v>
      </c>
      <c r="M399" s="29" t="n">
        <f aca="false"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>0</v>
      </c>
      <c r="N399" s="28" t="n">
        <f aca="false">IF($L399="","",$L399-기준정보!$C$6-$M399)</f>
        <v>46332</v>
      </c>
      <c r="O399" s="30" t="n">
        <f aca="false">IF($N399="","",$N399-기준정보!$C$4)</f>
        <v>79</v>
      </c>
      <c r="P399" s="27"/>
      <c r="Q399" s="27"/>
      <c r="R399" s="27"/>
      <c r="S399" s="31"/>
      <c r="T399" s="26" t="str">
        <f aca="false">IF($H399="","",IF(AND(ISNUMBER(SEARCH("CMT",$H399)),OR(ISNUMBER(SEARCH("완사입",$H399)),ISNUMBER(SEARCH("ODM",$H399)))),"본사/생산처 혼재",IF(ISNUMBER(SEARCH("CMT",$H399)),"본사(소재팀)","생산처")))</f>
        <v>생산처</v>
      </c>
      <c r="U399" s="26"/>
      <c r="V399" s="26"/>
      <c r="W399" s="26"/>
      <c r="X399" s="26"/>
      <c r="Y399" s="32"/>
      <c r="Z399" s="32"/>
      <c r="AA399" s="28"/>
      <c r="AB399" s="33" t="n">
        <v>2000</v>
      </c>
      <c r="AC399" s="33" t="n">
        <v>24000000</v>
      </c>
      <c r="AD399" s="33" t="n">
        <v>110000000</v>
      </c>
      <c r="AE399" s="26"/>
      <c r="AF399" s="26" t="str">
        <f aca="false"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>발행여부 확인 필요</v>
      </c>
      <c r="AG399" s="24" t="str">
        <f aca="false">IF($K399="","",IF(OR(LEFT($AF399,2)="작지",LEFT($AF399,4)="소재입고"),IF(LEFT($G399,1)="S","★ 납기위험(S코드)","◆ 지연주의"),IF($AF399="정상","✓ 정상","? 확인필요")))</f>
        <v>? 확인필요</v>
      </c>
      <c r="AH399" s="27"/>
      <c r="AI399" s="34"/>
    </row>
    <row r="400" customFormat="false" ht="15" hidden="false" customHeight="false" outlineLevel="0" collapsed="false">
      <c r="A400" s="24" t="n">
        <v>396</v>
      </c>
      <c r="B400" s="25" t="s">
        <v>948</v>
      </c>
      <c r="C400" s="26"/>
      <c r="D400" s="26" t="s">
        <v>1424</v>
      </c>
      <c r="E400" s="25" t="s">
        <v>1425</v>
      </c>
      <c r="F400" s="26" t="s">
        <v>970</v>
      </c>
      <c r="G400" s="24" t="str">
        <f aca="false">IF($D400="","",IF(MID($D400,5,1)="S","S(봄)",IF(MID($D400,5,1)="M","M(여름)",IF(MID($D400,5,1)="X","X(사계절)",MID($D400,5,1)))))</f>
        <v>X(사계절)</v>
      </c>
      <c r="H400" s="25" t="s">
        <v>97</v>
      </c>
      <c r="I400" s="24"/>
      <c r="J400" s="27" t="s">
        <v>529</v>
      </c>
      <c r="K400" s="28" t="n">
        <f aca="false">IF($J400="","",IFERROR(DATE(IF(VALUE(LEFT($J400,FIND("월",$J400)-1))&gt;=9,기준정보!$C$7-1,기준정보!$C$7),VALUE(LEFT($J400,FIND("월",$J400)-1)),1+7*(VALUE(SUBSTITUTE(MID($J400,FIND("월",$J400)+1,5),"주",""))-1)),""))</f>
        <v>46440</v>
      </c>
      <c r="L400" s="28" t="n">
        <f aca="false">IF($K400="","",IF(AND($K400-기준정보!$C$5&gt;=기준정보!$C$10,$K400-기준정보!$C$5&lt;=기준정보!$C$11),기준정보!$C$10-1,$K400-기준정보!$C$5))</f>
        <v>46422</v>
      </c>
      <c r="M400" s="29" t="n">
        <f aca="false"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>0</v>
      </c>
      <c r="N400" s="28" t="n">
        <f aca="false">IF($L400="","",$L400-기준정보!$C$6-$M400)</f>
        <v>46332</v>
      </c>
      <c r="O400" s="30" t="n">
        <f aca="false">IF($N400="","",$N400-기준정보!$C$4)</f>
        <v>79</v>
      </c>
      <c r="P400" s="27"/>
      <c r="Q400" s="27"/>
      <c r="R400" s="27"/>
      <c r="S400" s="31"/>
      <c r="T400" s="26" t="str">
        <f aca="false">IF($H400="","",IF(AND(ISNUMBER(SEARCH("CMT",$H400)),OR(ISNUMBER(SEARCH("완사입",$H400)),ISNUMBER(SEARCH("ODM",$H400)))),"본사/생산처 혼재",IF(ISNUMBER(SEARCH("CMT",$H400)),"본사(소재팀)","생산처")))</f>
        <v>생산처</v>
      </c>
      <c r="U400" s="26"/>
      <c r="V400" s="26"/>
      <c r="W400" s="26"/>
      <c r="X400" s="26"/>
      <c r="Y400" s="32"/>
      <c r="Z400" s="32"/>
      <c r="AA400" s="28"/>
      <c r="AB400" s="33" t="n">
        <v>1500</v>
      </c>
      <c r="AC400" s="33" t="n">
        <v>26250000</v>
      </c>
      <c r="AD400" s="33" t="n">
        <v>117000000</v>
      </c>
      <c r="AE400" s="26"/>
      <c r="AF400" s="26" t="str">
        <f aca="false"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>발행여부 확인 필요</v>
      </c>
      <c r="AG400" s="24" t="str">
        <f aca="false">IF($K400="","",IF(OR(LEFT($AF400,2)="작지",LEFT($AF400,4)="소재입고"),IF(LEFT($G400,1)="S","★ 납기위험(S코드)","◆ 지연주의"),IF($AF400="정상","✓ 정상","? 확인필요")))</f>
        <v>? 확인필요</v>
      </c>
      <c r="AH400" s="27"/>
      <c r="AI400" s="34"/>
    </row>
    <row r="401" customFormat="false" ht="15" hidden="false" customHeight="false" outlineLevel="0" collapsed="false">
      <c r="A401" s="24" t="n">
        <v>397</v>
      </c>
      <c r="B401" s="25" t="s">
        <v>948</v>
      </c>
      <c r="C401" s="26"/>
      <c r="D401" s="26" t="s">
        <v>1426</v>
      </c>
      <c r="E401" s="25" t="s">
        <v>1427</v>
      </c>
      <c r="F401" s="26" t="s">
        <v>1419</v>
      </c>
      <c r="G401" s="24" t="str">
        <f aca="false">IF($D401="","",IF(MID($D401,5,1)="S","S(봄)",IF(MID($D401,5,1)="M","M(여름)",IF(MID($D401,5,1)="X","X(사계절)",MID($D401,5,1)))))</f>
        <v>X(사계절)</v>
      </c>
      <c r="H401" s="25" t="s">
        <v>97</v>
      </c>
      <c r="I401" s="24"/>
      <c r="J401" s="27" t="s">
        <v>529</v>
      </c>
      <c r="K401" s="28" t="n">
        <f aca="false">IF($J401="","",IFERROR(DATE(IF(VALUE(LEFT($J401,FIND("월",$J401)-1))&gt;=9,기준정보!$C$7-1,기준정보!$C$7),VALUE(LEFT($J401,FIND("월",$J401)-1)),1+7*(VALUE(SUBSTITUTE(MID($J401,FIND("월",$J401)+1,5),"주",""))-1)),""))</f>
        <v>46440</v>
      </c>
      <c r="L401" s="28" t="n">
        <f aca="false">IF($K401="","",IF(AND($K401-기준정보!$C$5&gt;=기준정보!$C$10,$K401-기준정보!$C$5&lt;=기준정보!$C$11),기준정보!$C$10-1,$K401-기준정보!$C$5))</f>
        <v>46422</v>
      </c>
      <c r="M401" s="29" t="n">
        <f aca="false"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>0</v>
      </c>
      <c r="N401" s="28" t="n">
        <f aca="false">IF($L401="","",$L401-기준정보!$C$6-$M401)</f>
        <v>46332</v>
      </c>
      <c r="O401" s="30" t="n">
        <f aca="false">IF($N401="","",$N401-기준정보!$C$4)</f>
        <v>79</v>
      </c>
      <c r="P401" s="27"/>
      <c r="Q401" s="27" t="s">
        <v>101</v>
      </c>
      <c r="R401" s="27" t="s">
        <v>101</v>
      </c>
      <c r="S401" s="31"/>
      <c r="T401" s="26" t="str">
        <f aca="false">IF($H401="","",IF(AND(ISNUMBER(SEARCH("CMT",$H401)),OR(ISNUMBER(SEARCH("완사입",$H401)),ISNUMBER(SEARCH("ODM",$H401)))),"본사/생산처 혼재",IF(ISNUMBER(SEARCH("CMT",$H401)),"본사(소재팀)","생산처")))</f>
        <v>생산처</v>
      </c>
      <c r="U401" s="26"/>
      <c r="V401" s="26"/>
      <c r="W401" s="26"/>
      <c r="X401" s="26"/>
      <c r="Y401" s="32"/>
      <c r="Z401" s="32"/>
      <c r="AA401" s="28"/>
      <c r="AB401" s="33" t="n">
        <v>2000</v>
      </c>
      <c r="AC401" s="33" t="n">
        <v>30000000</v>
      </c>
      <c r="AD401" s="33" t="n">
        <v>120000000</v>
      </c>
      <c r="AE401" s="26"/>
      <c r="AF401" s="26" t="str">
        <f aca="false"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>작지 미발행</v>
      </c>
      <c r="AG401" s="24" t="str">
        <f aca="false">IF($K401="","",IF(OR(LEFT($AF401,2)="작지",LEFT($AF401,4)="소재입고"),IF(LEFT($G401,1)="S","★ 납기위험(S코드)","◆ 지연주의"),IF($AF401="정상","✓ 정상","? 확인필요")))</f>
        <v>◆ 지연주의</v>
      </c>
      <c r="AH401" s="27"/>
      <c r="AI401" s="34"/>
    </row>
    <row r="402" customFormat="false" ht="15" hidden="false" customHeight="false" outlineLevel="0" collapsed="false">
      <c r="A402" s="24" t="n">
        <v>398</v>
      </c>
      <c r="B402" s="25" t="s">
        <v>948</v>
      </c>
      <c r="C402" s="26"/>
      <c r="D402" s="26" t="s">
        <v>1428</v>
      </c>
      <c r="E402" s="25" t="s">
        <v>1429</v>
      </c>
      <c r="F402" s="26" t="s">
        <v>1430</v>
      </c>
      <c r="G402" s="24" t="str">
        <f aca="false">IF($D402="","",IF(MID($D402,5,1)="S","S(봄)",IF(MID($D402,5,1)="M","M(여름)",IF(MID($D402,5,1)="X","X(사계절)",MID($D402,5,1)))))</f>
        <v>X(사계절)</v>
      </c>
      <c r="H402" s="25" t="s">
        <v>97</v>
      </c>
      <c r="I402" s="24"/>
      <c r="J402" s="27" t="s">
        <v>529</v>
      </c>
      <c r="K402" s="28" t="n">
        <f aca="false">IF($J402="","",IFERROR(DATE(IF(VALUE(LEFT($J402,FIND("월",$J402)-1))&gt;=9,기준정보!$C$7-1,기준정보!$C$7),VALUE(LEFT($J402,FIND("월",$J402)-1)),1+7*(VALUE(SUBSTITUTE(MID($J402,FIND("월",$J402)+1,5),"주",""))-1)),""))</f>
        <v>46440</v>
      </c>
      <c r="L402" s="28" t="n">
        <f aca="false">IF($K402="","",IF(AND($K402-기준정보!$C$5&gt;=기준정보!$C$10,$K402-기준정보!$C$5&lt;=기준정보!$C$11),기준정보!$C$10-1,$K402-기준정보!$C$5))</f>
        <v>46422</v>
      </c>
      <c r="M402" s="29" t="n">
        <f aca="false"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>0</v>
      </c>
      <c r="N402" s="28" t="n">
        <f aca="false">IF($L402="","",$L402-기준정보!$C$6-$M402)</f>
        <v>46332</v>
      </c>
      <c r="O402" s="30" t="n">
        <f aca="false">IF($N402="","",$N402-기준정보!$C$4)</f>
        <v>79</v>
      </c>
      <c r="P402" s="27"/>
      <c r="Q402" s="27" t="s">
        <v>101</v>
      </c>
      <c r="R402" s="27" t="s">
        <v>101</v>
      </c>
      <c r="S402" s="31"/>
      <c r="T402" s="26" t="str">
        <f aca="false">IF($H402="","",IF(AND(ISNUMBER(SEARCH("CMT",$H402)),OR(ISNUMBER(SEARCH("완사입",$H402)),ISNUMBER(SEARCH("ODM",$H402)))),"본사/생산처 혼재",IF(ISNUMBER(SEARCH("CMT",$H402)),"본사(소재팀)","생산처")))</f>
        <v>생산처</v>
      </c>
      <c r="U402" s="26"/>
      <c r="V402" s="26"/>
      <c r="W402" s="26"/>
      <c r="X402" s="26"/>
      <c r="Y402" s="32"/>
      <c r="Z402" s="32"/>
      <c r="AA402" s="28"/>
      <c r="AB402" s="33" t="n">
        <v>3000</v>
      </c>
      <c r="AC402" s="33" t="n">
        <v>31680000</v>
      </c>
      <c r="AD402" s="33" t="n">
        <v>135000000</v>
      </c>
      <c r="AE402" s="26"/>
      <c r="AF402" s="26" t="str">
        <f aca="false"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>작지 미발행</v>
      </c>
      <c r="AG402" s="24" t="str">
        <f aca="false">IF($K402="","",IF(OR(LEFT($AF402,2)="작지",LEFT($AF402,4)="소재입고"),IF(LEFT($G402,1)="S","★ 납기위험(S코드)","◆ 지연주의"),IF($AF402="정상","✓ 정상","? 확인필요")))</f>
        <v>◆ 지연주의</v>
      </c>
      <c r="AH402" s="27"/>
      <c r="AI402" s="34"/>
    </row>
    <row r="403" customFormat="false" ht="15" hidden="false" customHeight="false" outlineLevel="0" collapsed="false">
      <c r="A403" s="24" t="n">
        <v>399</v>
      </c>
      <c r="B403" s="25" t="s">
        <v>948</v>
      </c>
      <c r="C403" s="26"/>
      <c r="D403" s="26" t="s">
        <v>1431</v>
      </c>
      <c r="E403" s="25" t="s">
        <v>1432</v>
      </c>
      <c r="F403" s="26" t="s">
        <v>1433</v>
      </c>
      <c r="G403" s="24" t="str">
        <f aca="false">IF($D403="","",IF(MID($D403,5,1)="S","S(봄)",IF(MID($D403,5,1)="M","M(여름)",IF(MID($D403,5,1)="X","X(사계절)",MID($D403,5,1)))))</f>
        <v>X(사계절)</v>
      </c>
      <c r="H403" s="25" t="s">
        <v>97</v>
      </c>
      <c r="I403" s="24"/>
      <c r="J403" s="27" t="s">
        <v>529</v>
      </c>
      <c r="K403" s="28" t="n">
        <f aca="false">IF($J403="","",IFERROR(DATE(IF(VALUE(LEFT($J403,FIND("월",$J403)-1))&gt;=9,기준정보!$C$7-1,기준정보!$C$7),VALUE(LEFT($J403,FIND("월",$J403)-1)),1+7*(VALUE(SUBSTITUTE(MID($J403,FIND("월",$J403)+1,5),"주",""))-1)),""))</f>
        <v>46440</v>
      </c>
      <c r="L403" s="28" t="n">
        <f aca="false">IF($K403="","",IF(AND($K403-기준정보!$C$5&gt;=기준정보!$C$10,$K403-기준정보!$C$5&lt;=기준정보!$C$11),기준정보!$C$10-1,$K403-기준정보!$C$5))</f>
        <v>46422</v>
      </c>
      <c r="M403" s="29" t="n">
        <f aca="false"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>0</v>
      </c>
      <c r="N403" s="28" t="n">
        <f aca="false">IF($L403="","",$L403-기준정보!$C$6-$M403)</f>
        <v>46332</v>
      </c>
      <c r="O403" s="30" t="n">
        <f aca="false">IF($N403="","",$N403-기준정보!$C$4)</f>
        <v>79</v>
      </c>
      <c r="P403" s="27"/>
      <c r="Q403" s="27" t="s">
        <v>101</v>
      </c>
      <c r="R403" s="27" t="s">
        <v>101</v>
      </c>
      <c r="S403" s="31"/>
      <c r="T403" s="26" t="str">
        <f aca="false">IF($H403="","",IF(AND(ISNUMBER(SEARCH("CMT",$H403)),OR(ISNUMBER(SEARCH("완사입",$H403)),ISNUMBER(SEARCH("ODM",$H403)))),"본사/생산처 혼재",IF(ISNUMBER(SEARCH("CMT",$H403)),"본사(소재팀)","생산처")))</f>
        <v>생산처</v>
      </c>
      <c r="U403" s="26"/>
      <c r="V403" s="26"/>
      <c r="W403" s="26"/>
      <c r="X403" s="26"/>
      <c r="Y403" s="32"/>
      <c r="Z403" s="32"/>
      <c r="AA403" s="28"/>
      <c r="AB403" s="33" t="n">
        <v>4000</v>
      </c>
      <c r="AC403" s="33" t="n">
        <v>38084000</v>
      </c>
      <c r="AD403" s="33" t="n">
        <v>160000000</v>
      </c>
      <c r="AE403" s="26"/>
      <c r="AF403" s="26" t="str">
        <f aca="false"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>작지 미발행</v>
      </c>
      <c r="AG403" s="24" t="str">
        <f aca="false">IF($K403="","",IF(OR(LEFT($AF403,2)="작지",LEFT($AF403,4)="소재입고"),IF(LEFT($G403,1)="S","★ 납기위험(S코드)","◆ 지연주의"),IF($AF403="정상","✓ 정상","? 확인필요")))</f>
        <v>◆ 지연주의</v>
      </c>
      <c r="AH403" s="27"/>
      <c r="AI403" s="34"/>
    </row>
    <row r="404" customFormat="false" ht="15" hidden="false" customHeight="false" outlineLevel="0" collapsed="false">
      <c r="A404" s="24" t="n">
        <v>400</v>
      </c>
      <c r="B404" s="25" t="s">
        <v>948</v>
      </c>
      <c r="C404" s="26"/>
      <c r="D404" s="26" t="s">
        <v>1434</v>
      </c>
      <c r="E404" s="25" t="s">
        <v>1435</v>
      </c>
      <c r="F404" s="26" t="s">
        <v>786</v>
      </c>
      <c r="G404" s="24" t="str">
        <f aca="false">IF($D404="","",IF(MID($D404,5,1)="S","S(봄)",IF(MID($D404,5,1)="M","M(여름)",IF(MID($D404,5,1)="X","X(사계절)",MID($D404,5,1)))))</f>
        <v>X(사계절)</v>
      </c>
      <c r="H404" s="25" t="s">
        <v>97</v>
      </c>
      <c r="I404" s="24"/>
      <c r="J404" s="27" t="s">
        <v>529</v>
      </c>
      <c r="K404" s="28" t="n">
        <f aca="false">IF($J404="","",IFERROR(DATE(IF(VALUE(LEFT($J404,FIND("월",$J404)-1))&gt;=9,기준정보!$C$7-1,기준정보!$C$7),VALUE(LEFT($J404,FIND("월",$J404)-1)),1+7*(VALUE(SUBSTITUTE(MID($J404,FIND("월",$J404)+1,5),"주",""))-1)),""))</f>
        <v>46440</v>
      </c>
      <c r="L404" s="28" t="n">
        <f aca="false">IF($K404="","",IF(AND($K404-기준정보!$C$5&gt;=기준정보!$C$10,$K404-기준정보!$C$5&lt;=기준정보!$C$11),기준정보!$C$10-1,$K404-기준정보!$C$5))</f>
        <v>46422</v>
      </c>
      <c r="M404" s="29" t="n">
        <f aca="false"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>0</v>
      </c>
      <c r="N404" s="28" t="n">
        <f aca="false">IF($L404="","",$L404-기준정보!$C$6-$M404)</f>
        <v>46332</v>
      </c>
      <c r="O404" s="30" t="n">
        <f aca="false">IF($N404="","",$N404-기준정보!$C$4)</f>
        <v>79</v>
      </c>
      <c r="P404" s="27"/>
      <c r="Q404" s="27"/>
      <c r="R404" s="27"/>
      <c r="S404" s="31"/>
      <c r="T404" s="26" t="str">
        <f aca="false">IF($H404="","",IF(AND(ISNUMBER(SEARCH("CMT",$H404)),OR(ISNUMBER(SEARCH("완사입",$H404)),ISNUMBER(SEARCH("ODM",$H404)))),"본사/생산처 혼재",IF(ISNUMBER(SEARCH("CMT",$H404)),"본사(소재팀)","생산처")))</f>
        <v>생산처</v>
      </c>
      <c r="U404" s="26"/>
      <c r="V404" s="26"/>
      <c r="W404" s="26"/>
      <c r="X404" s="26"/>
      <c r="Y404" s="32"/>
      <c r="Z404" s="32"/>
      <c r="AA404" s="28"/>
      <c r="AB404" s="33" t="n">
        <v>2000</v>
      </c>
      <c r="AC404" s="33" t="n">
        <v>22000000</v>
      </c>
      <c r="AD404" s="33" t="n">
        <v>110000000</v>
      </c>
      <c r="AE404" s="26"/>
      <c r="AF404" s="26" t="str">
        <f aca="false"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>발행여부 확인 필요</v>
      </c>
      <c r="AG404" s="24" t="str">
        <f aca="false">IF($K404="","",IF(OR(LEFT($AF404,2)="작지",LEFT($AF404,4)="소재입고"),IF(LEFT($G404,1)="S","★ 납기위험(S코드)","◆ 지연주의"),IF($AF404="정상","✓ 정상","? 확인필요")))</f>
        <v>? 확인필요</v>
      </c>
      <c r="AH404" s="27"/>
      <c r="AI404" s="34"/>
    </row>
    <row r="405" customFormat="false" ht="15" hidden="false" customHeight="false" outlineLevel="0" collapsed="false">
      <c r="A405" s="24" t="n">
        <v>401</v>
      </c>
      <c r="B405" s="25" t="s">
        <v>948</v>
      </c>
      <c r="C405" s="26"/>
      <c r="D405" s="26" t="s">
        <v>1436</v>
      </c>
      <c r="E405" s="25" t="s">
        <v>1437</v>
      </c>
      <c r="F405" s="26" t="s">
        <v>970</v>
      </c>
      <c r="G405" s="24" t="str">
        <f aca="false">IF($D405="","",IF(MID($D405,5,1)="S","S(봄)",IF(MID($D405,5,1)="M","M(여름)",IF(MID($D405,5,1)="X","X(사계절)",MID($D405,5,1)))))</f>
        <v>X(사계절)</v>
      </c>
      <c r="H405" s="25" t="s">
        <v>97</v>
      </c>
      <c r="I405" s="24"/>
      <c r="J405" s="27" t="s">
        <v>529</v>
      </c>
      <c r="K405" s="28" t="n">
        <f aca="false">IF($J405="","",IFERROR(DATE(IF(VALUE(LEFT($J405,FIND("월",$J405)-1))&gt;=9,기준정보!$C$7-1,기준정보!$C$7),VALUE(LEFT($J405,FIND("월",$J405)-1)),1+7*(VALUE(SUBSTITUTE(MID($J405,FIND("월",$J405)+1,5),"주",""))-1)),""))</f>
        <v>46440</v>
      </c>
      <c r="L405" s="28" t="n">
        <f aca="false">IF($K405="","",IF(AND($K405-기준정보!$C$5&gt;=기준정보!$C$10,$K405-기준정보!$C$5&lt;=기준정보!$C$11),기준정보!$C$10-1,$K405-기준정보!$C$5))</f>
        <v>46422</v>
      </c>
      <c r="M405" s="29" t="n">
        <f aca="false"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>0</v>
      </c>
      <c r="N405" s="28" t="n">
        <f aca="false">IF($L405="","",$L405-기준정보!$C$6-$M405)</f>
        <v>46332</v>
      </c>
      <c r="O405" s="30" t="n">
        <f aca="false">IF($N405="","",$N405-기준정보!$C$4)</f>
        <v>79</v>
      </c>
      <c r="P405" s="27"/>
      <c r="Q405" s="27"/>
      <c r="R405" s="27"/>
      <c r="S405" s="31"/>
      <c r="T405" s="26" t="str">
        <f aca="false">IF($H405="","",IF(AND(ISNUMBER(SEARCH("CMT",$H405)),OR(ISNUMBER(SEARCH("완사입",$H405)),ISNUMBER(SEARCH("ODM",$H405)))),"본사/생산처 혼재",IF(ISNUMBER(SEARCH("CMT",$H405)),"본사(소재팀)","생산처")))</f>
        <v>생산처</v>
      </c>
      <c r="U405" s="26"/>
      <c r="V405" s="26"/>
      <c r="W405" s="26"/>
      <c r="X405" s="26"/>
      <c r="Y405" s="32"/>
      <c r="Z405" s="32"/>
      <c r="AA405" s="28"/>
      <c r="AB405" s="33" t="n">
        <v>3000</v>
      </c>
      <c r="AC405" s="33" t="n">
        <v>51000000</v>
      </c>
      <c r="AD405" s="33" t="n">
        <v>234000000</v>
      </c>
      <c r="AE405" s="26"/>
      <c r="AF405" s="26" t="str">
        <f aca="false"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>발행여부 확인 필요</v>
      </c>
      <c r="AG405" s="24" t="str">
        <f aca="false">IF($K405="","",IF(OR(LEFT($AF405,2)="작지",LEFT($AF405,4)="소재입고"),IF(LEFT($G405,1)="S","★ 납기위험(S코드)","◆ 지연주의"),IF($AF405="정상","✓ 정상","? 확인필요")))</f>
        <v>? 확인필요</v>
      </c>
      <c r="AH405" s="27"/>
      <c r="AI405" s="34"/>
    </row>
    <row r="406" customFormat="false" ht="15" hidden="false" customHeight="false" outlineLevel="0" collapsed="false">
      <c r="A406" s="24" t="n">
        <v>402</v>
      </c>
      <c r="B406" s="25" t="s">
        <v>948</v>
      </c>
      <c r="C406" s="26"/>
      <c r="D406" s="26" t="s">
        <v>1438</v>
      </c>
      <c r="E406" s="25" t="s">
        <v>1439</v>
      </c>
      <c r="F406" s="26" t="s">
        <v>1433</v>
      </c>
      <c r="G406" s="24" t="str">
        <f aca="false">IF($D406="","",IF(MID($D406,5,1)="S","S(봄)",IF(MID($D406,5,1)="M","M(여름)",IF(MID($D406,5,1)="X","X(사계절)",MID($D406,5,1)))))</f>
        <v>X(사계절)</v>
      </c>
      <c r="H406" s="25" t="s">
        <v>97</v>
      </c>
      <c r="I406" s="24"/>
      <c r="J406" s="27" t="s">
        <v>529</v>
      </c>
      <c r="K406" s="28" t="n">
        <f aca="false">IF($J406="","",IFERROR(DATE(IF(VALUE(LEFT($J406,FIND("월",$J406)-1))&gt;=9,기준정보!$C$7-1,기준정보!$C$7),VALUE(LEFT($J406,FIND("월",$J406)-1)),1+7*(VALUE(SUBSTITUTE(MID($J406,FIND("월",$J406)+1,5),"주",""))-1)),""))</f>
        <v>46440</v>
      </c>
      <c r="L406" s="28" t="n">
        <f aca="false">IF($K406="","",IF(AND($K406-기준정보!$C$5&gt;=기준정보!$C$10,$K406-기준정보!$C$5&lt;=기준정보!$C$11),기준정보!$C$10-1,$K406-기준정보!$C$5))</f>
        <v>46422</v>
      </c>
      <c r="M406" s="29" t="n">
        <f aca="false"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>0</v>
      </c>
      <c r="N406" s="28" t="n">
        <f aca="false">IF($L406="","",$L406-기준정보!$C$6-$M406)</f>
        <v>46332</v>
      </c>
      <c r="O406" s="30" t="n">
        <f aca="false">IF($N406="","",$N406-기준정보!$C$4)</f>
        <v>79</v>
      </c>
      <c r="P406" s="27"/>
      <c r="Q406" s="27" t="s">
        <v>101</v>
      </c>
      <c r="R406" s="27" t="s">
        <v>101</v>
      </c>
      <c r="S406" s="31"/>
      <c r="T406" s="26" t="str">
        <f aca="false">IF($H406="","",IF(AND(ISNUMBER(SEARCH("CMT",$H406)),OR(ISNUMBER(SEARCH("완사입",$H406)),ISNUMBER(SEARCH("ODM",$H406)))),"본사/생산처 혼재",IF(ISNUMBER(SEARCH("CMT",$H406)),"본사(소재팀)","생산처")))</f>
        <v>생산처</v>
      </c>
      <c r="U406" s="26"/>
      <c r="V406" s="26"/>
      <c r="W406" s="26"/>
      <c r="X406" s="26"/>
      <c r="Y406" s="32"/>
      <c r="Z406" s="32"/>
      <c r="AA406" s="28"/>
      <c r="AB406" s="33" t="n">
        <v>4000</v>
      </c>
      <c r="AC406" s="33" t="n">
        <v>44908000</v>
      </c>
      <c r="AD406" s="33" t="n">
        <v>220000000</v>
      </c>
      <c r="AE406" s="26"/>
      <c r="AF406" s="26" t="str">
        <f aca="false"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>작지 미발행</v>
      </c>
      <c r="AG406" s="24" t="str">
        <f aca="false">IF($K406="","",IF(OR(LEFT($AF406,2)="작지",LEFT($AF406,4)="소재입고"),IF(LEFT($G406,1)="S","★ 납기위험(S코드)","◆ 지연주의"),IF($AF406="정상","✓ 정상","? 확인필요")))</f>
        <v>◆ 지연주의</v>
      </c>
      <c r="AH406" s="27"/>
      <c r="AI406" s="34"/>
    </row>
    <row r="407" customFormat="false" ht="15" hidden="false" customHeight="false" outlineLevel="0" collapsed="false">
      <c r="A407" s="24" t="n">
        <v>403</v>
      </c>
      <c r="B407" s="25" t="s">
        <v>948</v>
      </c>
      <c r="C407" s="25" t="s">
        <v>756</v>
      </c>
      <c r="D407" s="26" t="s">
        <v>1440</v>
      </c>
      <c r="E407" s="25" t="s">
        <v>1441</v>
      </c>
      <c r="F407" s="26" t="s">
        <v>1442</v>
      </c>
      <c r="G407" s="24" t="str">
        <f aca="false">IF($D407="","",IF(MID($D407,5,1)="S","S(봄)",IF(MID($D407,5,1)="M","M(여름)",IF(MID($D407,5,1)="X","X(사계절)",MID($D407,5,1)))))</f>
        <v>X(사계절)</v>
      </c>
      <c r="H407" s="25" t="s">
        <v>97</v>
      </c>
      <c r="I407" s="24"/>
      <c r="J407" s="27" t="s">
        <v>529</v>
      </c>
      <c r="K407" s="28" t="n">
        <f aca="false">IF($J407="","",IFERROR(DATE(IF(VALUE(LEFT($J407,FIND("월",$J407)-1))&gt;=9,기준정보!$C$7-1,기준정보!$C$7),VALUE(LEFT($J407,FIND("월",$J407)-1)),1+7*(VALUE(SUBSTITUTE(MID($J407,FIND("월",$J407)+1,5),"주",""))-1)),""))</f>
        <v>46440</v>
      </c>
      <c r="L407" s="28" t="n">
        <f aca="false">IF($K407="","",IF(AND($K407-기준정보!$C$5&gt;=기준정보!$C$10,$K407-기준정보!$C$5&lt;=기준정보!$C$11),기준정보!$C$10-1,$K407-기준정보!$C$5))</f>
        <v>46422</v>
      </c>
      <c r="M407" s="29" t="n">
        <f aca="false"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>0</v>
      </c>
      <c r="N407" s="28" t="n">
        <f aca="false">IF($L407="","",$L407-기준정보!$C$6-$M407)</f>
        <v>46332</v>
      </c>
      <c r="O407" s="30" t="n">
        <f aca="false">IF($N407="","",$N407-기준정보!$C$4)</f>
        <v>79</v>
      </c>
      <c r="P407" s="27"/>
      <c r="Q407" s="27" t="s">
        <v>100</v>
      </c>
      <c r="R407" s="27" t="s">
        <v>100</v>
      </c>
      <c r="S407" s="31"/>
      <c r="T407" s="26" t="str">
        <f aca="false">IF($H407="","",IF(AND(ISNUMBER(SEARCH("CMT",$H407)),OR(ISNUMBER(SEARCH("완사입",$H407)),ISNUMBER(SEARCH("ODM",$H407)))),"본사/생산처 혼재",IF(ISNUMBER(SEARCH("CMT",$H407)),"본사(소재팀)","생산처")))</f>
        <v>생산처</v>
      </c>
      <c r="U407" s="25" t="s">
        <v>1136</v>
      </c>
      <c r="V407" s="26"/>
      <c r="W407" s="25" t="s">
        <v>1137</v>
      </c>
      <c r="X407" s="26"/>
      <c r="Y407" s="32"/>
      <c r="Z407" s="32"/>
      <c r="AA407" s="28"/>
      <c r="AB407" s="33" t="n">
        <v>7000</v>
      </c>
      <c r="AC407" s="33" t="n">
        <v>25998000</v>
      </c>
      <c r="AD407" s="33" t="n">
        <v>112000000</v>
      </c>
      <c r="AE407" s="26"/>
      <c r="AF407" s="26" t="str">
        <f aca="false"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>소재 입고일정 확인 필요</v>
      </c>
      <c r="AG407" s="24" t="str">
        <f aca="false">IF($K407="","",IF(OR(LEFT($AF407,2)="작지",LEFT($AF407,4)="소재입고"),IF(LEFT($G407,1)="S","★ 납기위험(S코드)","◆ 지연주의"),IF($AF407="정상","✓ 정상","? 확인필요")))</f>
        <v>? 확인필요</v>
      </c>
      <c r="AH407" s="27"/>
      <c r="AI407" s="34"/>
    </row>
    <row r="408" customFormat="false" ht="15" hidden="false" customHeight="false" outlineLevel="0" collapsed="false">
      <c r="A408" s="24" t="n">
        <v>404</v>
      </c>
      <c r="B408" s="25" t="s">
        <v>948</v>
      </c>
      <c r="C408" s="25" t="s">
        <v>756</v>
      </c>
      <c r="D408" s="26" t="s">
        <v>1443</v>
      </c>
      <c r="E408" s="25" t="s">
        <v>1444</v>
      </c>
      <c r="F408" s="26" t="s">
        <v>1445</v>
      </c>
      <c r="G408" s="24" t="str">
        <f aca="false">IF($D408="","",IF(MID($D408,5,1)="S","S(봄)",IF(MID($D408,5,1)="M","M(여름)",IF(MID($D408,5,1)="X","X(사계절)",MID($D408,5,1)))))</f>
        <v>X(사계절)</v>
      </c>
      <c r="H408" s="25" t="s">
        <v>97</v>
      </c>
      <c r="I408" s="24"/>
      <c r="J408" s="27" t="s">
        <v>529</v>
      </c>
      <c r="K408" s="28" t="n">
        <f aca="false">IF($J408="","",IFERROR(DATE(IF(VALUE(LEFT($J408,FIND("월",$J408)-1))&gt;=9,기준정보!$C$7-1,기준정보!$C$7),VALUE(LEFT($J408,FIND("월",$J408)-1)),1+7*(VALUE(SUBSTITUTE(MID($J408,FIND("월",$J408)+1,5),"주",""))-1)),""))</f>
        <v>46440</v>
      </c>
      <c r="L408" s="28" t="n">
        <f aca="false">IF($K408="","",IF(AND($K408-기준정보!$C$5&gt;=기준정보!$C$10,$K408-기준정보!$C$5&lt;=기준정보!$C$11),기준정보!$C$10-1,$K408-기준정보!$C$5))</f>
        <v>46422</v>
      </c>
      <c r="M408" s="29" t="n">
        <f aca="false"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>0</v>
      </c>
      <c r="N408" s="28" t="n">
        <f aca="false">IF($L408="","",$L408-기준정보!$C$6-$M408)</f>
        <v>46332</v>
      </c>
      <c r="O408" s="30" t="n">
        <f aca="false">IF($N408="","",$N408-기준정보!$C$4)</f>
        <v>79</v>
      </c>
      <c r="P408" s="27"/>
      <c r="Q408" s="27" t="s">
        <v>100</v>
      </c>
      <c r="R408" s="27" t="s">
        <v>100</v>
      </c>
      <c r="S408" s="31"/>
      <c r="T408" s="26" t="str">
        <f aca="false">IF($H408="","",IF(AND(ISNUMBER(SEARCH("CMT",$H408)),OR(ISNUMBER(SEARCH("완사입",$H408)),ISNUMBER(SEARCH("ODM",$H408)))),"본사/생산처 혼재",IF(ISNUMBER(SEARCH("CMT",$H408)),"본사(소재팀)","생산처")))</f>
        <v>생산처</v>
      </c>
      <c r="U408" s="25" t="s">
        <v>1136</v>
      </c>
      <c r="V408" s="26"/>
      <c r="W408" s="25" t="s">
        <v>1137</v>
      </c>
      <c r="X408" s="26"/>
      <c r="Y408" s="32"/>
      <c r="Z408" s="32"/>
      <c r="AA408" s="28"/>
      <c r="AB408" s="33" t="n">
        <v>1400</v>
      </c>
      <c r="AC408" s="33" t="n">
        <v>4393200</v>
      </c>
      <c r="AD408" s="33" t="n">
        <v>28000000</v>
      </c>
      <c r="AE408" s="26"/>
      <c r="AF408" s="26" t="str">
        <f aca="false"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>소재 입고일정 확인 필요</v>
      </c>
      <c r="AG408" s="24" t="str">
        <f aca="false">IF($K408="","",IF(OR(LEFT($AF408,2)="작지",LEFT($AF408,4)="소재입고"),IF(LEFT($G408,1)="S","★ 납기위험(S코드)","◆ 지연주의"),IF($AF408="정상","✓ 정상","? 확인필요")))</f>
        <v>? 확인필요</v>
      </c>
      <c r="AH408" s="27"/>
      <c r="AI408" s="34"/>
    </row>
    <row r="409" customFormat="false" ht="15" hidden="false" customHeight="false" outlineLevel="0" collapsed="false">
      <c r="A409" s="24" t="n">
        <v>405</v>
      </c>
      <c r="B409" s="25" t="s">
        <v>948</v>
      </c>
      <c r="C409" s="25" t="s">
        <v>949</v>
      </c>
      <c r="D409" s="26" t="s">
        <v>1446</v>
      </c>
      <c r="E409" s="25" t="s">
        <v>1447</v>
      </c>
      <c r="F409" s="26" t="s">
        <v>1448</v>
      </c>
      <c r="G409" s="24" t="str">
        <f aca="false">IF($D409="","",IF(MID($D409,5,1)="S","S(봄)",IF(MID($D409,5,1)="M","M(여름)",IF(MID($D409,5,1)="X","X(사계절)",MID($D409,5,1)))))</f>
        <v>X(사계절)</v>
      </c>
      <c r="H409" s="25" t="s">
        <v>97</v>
      </c>
      <c r="I409" s="24"/>
      <c r="J409" s="27" t="s">
        <v>529</v>
      </c>
      <c r="K409" s="28" t="n">
        <f aca="false">IF($J409="","",IFERROR(DATE(IF(VALUE(LEFT($J409,FIND("월",$J409)-1))&gt;=9,기준정보!$C$7-1,기준정보!$C$7),VALUE(LEFT($J409,FIND("월",$J409)-1)),1+7*(VALUE(SUBSTITUTE(MID($J409,FIND("월",$J409)+1,5),"주",""))-1)),""))</f>
        <v>46440</v>
      </c>
      <c r="L409" s="28" t="n">
        <f aca="false">IF($K409="","",IF(AND($K409-기준정보!$C$5&gt;=기준정보!$C$10,$K409-기준정보!$C$5&lt;=기준정보!$C$11),기준정보!$C$10-1,$K409-기준정보!$C$5))</f>
        <v>46422</v>
      </c>
      <c r="M409" s="29" t="n">
        <f aca="false"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>0</v>
      </c>
      <c r="N409" s="28" t="n">
        <f aca="false">IF($L409="","",$L409-기준정보!$C$6-$M409)</f>
        <v>46332</v>
      </c>
      <c r="O409" s="30" t="n">
        <f aca="false">IF($N409="","",$N409-기준정보!$C$4)</f>
        <v>79</v>
      </c>
      <c r="P409" s="27"/>
      <c r="Q409" s="27" t="s">
        <v>100</v>
      </c>
      <c r="R409" s="27" t="s">
        <v>100</v>
      </c>
      <c r="S409" s="31"/>
      <c r="T409" s="26" t="str">
        <f aca="false">IF($H409="","",IF(AND(ISNUMBER(SEARCH("CMT",$H409)),OR(ISNUMBER(SEARCH("완사입",$H409)),ISNUMBER(SEARCH("ODM",$H409)))),"본사/생산처 혼재",IF(ISNUMBER(SEARCH("CMT",$H409)),"본사(소재팀)","생산처")))</f>
        <v>생산처</v>
      </c>
      <c r="U409" s="25" t="s">
        <v>201</v>
      </c>
      <c r="V409" s="26"/>
      <c r="W409" s="25" t="s">
        <v>202</v>
      </c>
      <c r="X409" s="26"/>
      <c r="Y409" s="32"/>
      <c r="Z409" s="32"/>
      <c r="AA409" s="28"/>
      <c r="AB409" s="33" t="n">
        <v>4700</v>
      </c>
      <c r="AC409" s="33" t="n">
        <v>15792000</v>
      </c>
      <c r="AD409" s="33" t="n">
        <v>94000000</v>
      </c>
      <c r="AE409" s="26"/>
      <c r="AF409" s="26" t="str">
        <f aca="false"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>소재 입고일정 확인 필요</v>
      </c>
      <c r="AG409" s="24" t="str">
        <f aca="false">IF($K409="","",IF(OR(LEFT($AF409,2)="작지",LEFT($AF409,4)="소재입고"),IF(LEFT($G409,1)="S","★ 납기위험(S코드)","◆ 지연주의"),IF($AF409="정상","✓ 정상","? 확인필요")))</f>
        <v>? 확인필요</v>
      </c>
      <c r="AH409" s="27"/>
      <c r="AI409" s="34"/>
    </row>
    <row r="410" customFormat="false" ht="15" hidden="false" customHeight="false" outlineLevel="0" collapsed="false">
      <c r="A410" s="24" t="n">
        <v>406</v>
      </c>
      <c r="B410" s="25" t="s">
        <v>948</v>
      </c>
      <c r="C410" s="25" t="s">
        <v>949</v>
      </c>
      <c r="D410" s="26" t="s">
        <v>1449</v>
      </c>
      <c r="E410" s="25" t="s">
        <v>1450</v>
      </c>
      <c r="F410" s="26" t="s">
        <v>1451</v>
      </c>
      <c r="G410" s="24" t="str">
        <f aca="false">IF($D410="","",IF(MID($D410,5,1)="S","S(봄)",IF(MID($D410,5,1)="M","M(여름)",IF(MID($D410,5,1)="X","X(사계절)",MID($D410,5,1)))))</f>
        <v>X(사계절)</v>
      </c>
      <c r="H410" s="25" t="s">
        <v>97</v>
      </c>
      <c r="I410" s="24"/>
      <c r="J410" s="27" t="s">
        <v>529</v>
      </c>
      <c r="K410" s="28" t="n">
        <f aca="false">IF($J410="","",IFERROR(DATE(IF(VALUE(LEFT($J410,FIND("월",$J410)-1))&gt;=9,기준정보!$C$7-1,기준정보!$C$7),VALUE(LEFT($J410,FIND("월",$J410)-1)),1+7*(VALUE(SUBSTITUTE(MID($J410,FIND("월",$J410)+1,5),"주",""))-1)),""))</f>
        <v>46440</v>
      </c>
      <c r="L410" s="28" t="n">
        <f aca="false">IF($K410="","",IF(AND($K410-기준정보!$C$5&gt;=기준정보!$C$10,$K410-기준정보!$C$5&lt;=기준정보!$C$11),기준정보!$C$10-1,$K410-기준정보!$C$5))</f>
        <v>46422</v>
      </c>
      <c r="M410" s="29" t="n">
        <f aca="false"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>0</v>
      </c>
      <c r="N410" s="28" t="n">
        <f aca="false">IF($L410="","",$L410-기준정보!$C$6-$M410)</f>
        <v>46332</v>
      </c>
      <c r="O410" s="30" t="n">
        <f aca="false">IF($N410="","",$N410-기준정보!$C$4)</f>
        <v>79</v>
      </c>
      <c r="P410" s="27"/>
      <c r="Q410" s="27" t="s">
        <v>100</v>
      </c>
      <c r="R410" s="27" t="s">
        <v>100</v>
      </c>
      <c r="S410" s="31"/>
      <c r="T410" s="26" t="str">
        <f aca="false">IF($H410="","",IF(AND(ISNUMBER(SEARCH("CMT",$H410)),OR(ISNUMBER(SEARCH("완사입",$H410)),ISNUMBER(SEARCH("ODM",$H410)))),"본사/생산처 혼재",IF(ISNUMBER(SEARCH("CMT",$H410)),"본사(소재팀)","생산처")))</f>
        <v>생산처</v>
      </c>
      <c r="U410" s="25" t="s">
        <v>201</v>
      </c>
      <c r="V410" s="26"/>
      <c r="W410" s="25" t="s">
        <v>202</v>
      </c>
      <c r="X410" s="26"/>
      <c r="Y410" s="32"/>
      <c r="Z410" s="32"/>
      <c r="AA410" s="28"/>
      <c r="AB410" s="33" t="n">
        <v>6000</v>
      </c>
      <c r="AC410" s="33" t="n">
        <v>18972000</v>
      </c>
      <c r="AD410" s="33" t="n">
        <v>120000000</v>
      </c>
      <c r="AE410" s="26"/>
      <c r="AF410" s="26" t="str">
        <f aca="false"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>소재 입고일정 확인 필요</v>
      </c>
      <c r="AG410" s="24" t="str">
        <f aca="false">IF($K410="","",IF(OR(LEFT($AF410,2)="작지",LEFT($AF410,4)="소재입고"),IF(LEFT($G410,1)="S","★ 납기위험(S코드)","◆ 지연주의"),IF($AF410="정상","✓ 정상","? 확인필요")))</f>
        <v>? 확인필요</v>
      </c>
      <c r="AH410" s="27"/>
      <c r="AI410" s="34"/>
    </row>
    <row r="411" customFormat="false" ht="15" hidden="false" customHeight="false" outlineLevel="0" collapsed="false">
      <c r="A411" s="24" t="n">
        <v>407</v>
      </c>
      <c r="B411" s="25" t="s">
        <v>948</v>
      </c>
      <c r="C411" s="25" t="s">
        <v>949</v>
      </c>
      <c r="D411" s="26" t="s">
        <v>1452</v>
      </c>
      <c r="E411" s="25" t="s">
        <v>1453</v>
      </c>
      <c r="F411" s="26" t="s">
        <v>1360</v>
      </c>
      <c r="G411" s="24" t="str">
        <f aca="false">IF($D411="","",IF(MID($D411,5,1)="S","S(봄)",IF(MID($D411,5,1)="M","M(여름)",IF(MID($D411,5,1)="X","X(사계절)",MID($D411,5,1)))))</f>
        <v>X(사계절)</v>
      </c>
      <c r="H411" s="25" t="s">
        <v>97</v>
      </c>
      <c r="I411" s="24"/>
      <c r="J411" s="27" t="s">
        <v>529</v>
      </c>
      <c r="K411" s="28" t="n">
        <f aca="false">IF($J411="","",IFERROR(DATE(IF(VALUE(LEFT($J411,FIND("월",$J411)-1))&gt;=9,기준정보!$C$7-1,기준정보!$C$7),VALUE(LEFT($J411,FIND("월",$J411)-1)),1+7*(VALUE(SUBSTITUTE(MID($J411,FIND("월",$J411)+1,5),"주",""))-1)),""))</f>
        <v>46440</v>
      </c>
      <c r="L411" s="28" t="n">
        <f aca="false">IF($K411="","",IF(AND($K411-기준정보!$C$5&gt;=기준정보!$C$10,$K411-기준정보!$C$5&lt;=기준정보!$C$11),기준정보!$C$10-1,$K411-기준정보!$C$5))</f>
        <v>46422</v>
      </c>
      <c r="M411" s="29" t="n">
        <f aca="false"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>0</v>
      </c>
      <c r="N411" s="28" t="n">
        <f aca="false">IF($L411="","",$L411-기준정보!$C$6-$M411)</f>
        <v>46332</v>
      </c>
      <c r="O411" s="30" t="n">
        <f aca="false">IF($N411="","",$N411-기준정보!$C$4)</f>
        <v>79</v>
      </c>
      <c r="P411" s="27"/>
      <c r="Q411" s="27" t="s">
        <v>100</v>
      </c>
      <c r="R411" s="27" t="s">
        <v>100</v>
      </c>
      <c r="S411" s="31"/>
      <c r="T411" s="26" t="str">
        <f aca="false">IF($H411="","",IF(AND(ISNUMBER(SEARCH("CMT",$H411)),OR(ISNUMBER(SEARCH("완사입",$H411)),ISNUMBER(SEARCH("ODM",$H411)))),"본사/생산처 혼재",IF(ISNUMBER(SEARCH("CMT",$H411)),"본사(소재팀)","생산처")))</f>
        <v>생산처</v>
      </c>
      <c r="U411" s="25" t="s">
        <v>1454</v>
      </c>
      <c r="V411" s="26"/>
      <c r="W411" s="25" t="s">
        <v>202</v>
      </c>
      <c r="X411" s="26"/>
      <c r="Y411" s="32"/>
      <c r="Z411" s="32"/>
      <c r="AA411" s="28"/>
      <c r="AB411" s="33" t="n">
        <v>4000</v>
      </c>
      <c r="AC411" s="33" t="n">
        <v>10400000</v>
      </c>
      <c r="AD411" s="33" t="n">
        <v>64000000</v>
      </c>
      <c r="AE411" s="26"/>
      <c r="AF411" s="26" t="str">
        <f aca="false"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>소재 입고일정 확인 필요</v>
      </c>
      <c r="AG411" s="24" t="str">
        <f aca="false">IF($K411="","",IF(OR(LEFT($AF411,2)="작지",LEFT($AF411,4)="소재입고"),IF(LEFT($G411,1)="S","★ 납기위험(S코드)","◆ 지연주의"),IF($AF411="정상","✓ 정상","? 확인필요")))</f>
        <v>? 확인필요</v>
      </c>
      <c r="AH411" s="27"/>
      <c r="AI411" s="34"/>
    </row>
    <row r="412" customFormat="false" ht="15" hidden="false" customHeight="false" outlineLevel="0" collapsed="false">
      <c r="A412" s="24" t="n">
        <v>408</v>
      </c>
      <c r="B412" s="25" t="s">
        <v>948</v>
      </c>
      <c r="C412" s="25" t="s">
        <v>949</v>
      </c>
      <c r="D412" s="26" t="s">
        <v>1455</v>
      </c>
      <c r="E412" s="25" t="s">
        <v>1456</v>
      </c>
      <c r="F412" s="26" t="s">
        <v>1457</v>
      </c>
      <c r="G412" s="24" t="str">
        <f aca="false">IF($D412="","",IF(MID($D412,5,1)="S","S(봄)",IF(MID($D412,5,1)="M","M(여름)",IF(MID($D412,5,1)="X","X(사계절)",MID($D412,5,1)))))</f>
        <v>X(사계절)</v>
      </c>
      <c r="H412" s="25" t="s">
        <v>97</v>
      </c>
      <c r="I412" s="24"/>
      <c r="J412" s="27" t="s">
        <v>529</v>
      </c>
      <c r="K412" s="28" t="n">
        <f aca="false">IF($J412="","",IFERROR(DATE(IF(VALUE(LEFT($J412,FIND("월",$J412)-1))&gt;=9,기준정보!$C$7-1,기준정보!$C$7),VALUE(LEFT($J412,FIND("월",$J412)-1)),1+7*(VALUE(SUBSTITUTE(MID($J412,FIND("월",$J412)+1,5),"주",""))-1)),""))</f>
        <v>46440</v>
      </c>
      <c r="L412" s="28" t="n">
        <f aca="false">IF($K412="","",IF(AND($K412-기준정보!$C$5&gt;=기준정보!$C$10,$K412-기준정보!$C$5&lt;=기준정보!$C$11),기준정보!$C$10-1,$K412-기준정보!$C$5))</f>
        <v>46422</v>
      </c>
      <c r="M412" s="29" t="n">
        <f aca="false"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>0</v>
      </c>
      <c r="N412" s="28" t="n">
        <f aca="false">IF($L412="","",$L412-기준정보!$C$6-$M412)</f>
        <v>46332</v>
      </c>
      <c r="O412" s="30" t="n">
        <f aca="false">IF($N412="","",$N412-기준정보!$C$4)</f>
        <v>79</v>
      </c>
      <c r="P412" s="27"/>
      <c r="Q412" s="27" t="s">
        <v>100</v>
      </c>
      <c r="R412" s="27" t="s">
        <v>100</v>
      </c>
      <c r="S412" s="31"/>
      <c r="T412" s="26" t="str">
        <f aca="false">IF($H412="","",IF(AND(ISNUMBER(SEARCH("CMT",$H412)),OR(ISNUMBER(SEARCH("완사입",$H412)),ISNUMBER(SEARCH("ODM",$H412)))),"본사/생산처 혼재",IF(ISNUMBER(SEARCH("CMT",$H412)),"본사(소재팀)","생산처")))</f>
        <v>생산처</v>
      </c>
      <c r="U412" s="25" t="s">
        <v>201</v>
      </c>
      <c r="V412" s="26"/>
      <c r="W412" s="25" t="s">
        <v>202</v>
      </c>
      <c r="X412" s="26"/>
      <c r="Y412" s="32"/>
      <c r="Z412" s="32"/>
      <c r="AA412" s="28"/>
      <c r="AB412" s="33" t="n">
        <v>7000</v>
      </c>
      <c r="AC412" s="33" t="n">
        <v>19600000</v>
      </c>
      <c r="AD412" s="33" t="n">
        <v>91000000</v>
      </c>
      <c r="AE412" s="26"/>
      <c r="AF412" s="26" t="str">
        <f aca="false"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>소재 입고일정 확인 필요</v>
      </c>
      <c r="AG412" s="24" t="str">
        <f aca="false">IF($K412="","",IF(OR(LEFT($AF412,2)="작지",LEFT($AF412,4)="소재입고"),IF(LEFT($G412,1)="S","★ 납기위험(S코드)","◆ 지연주의"),IF($AF412="정상","✓ 정상","? 확인필요")))</f>
        <v>? 확인필요</v>
      </c>
      <c r="AH412" s="27"/>
      <c r="AI412" s="34"/>
    </row>
    <row r="413" customFormat="false" ht="15" hidden="false" customHeight="false" outlineLevel="0" collapsed="false">
      <c r="A413" s="24" t="n">
        <v>409</v>
      </c>
      <c r="B413" s="25" t="s">
        <v>948</v>
      </c>
      <c r="C413" s="25" t="s">
        <v>949</v>
      </c>
      <c r="D413" s="26" t="s">
        <v>1458</v>
      </c>
      <c r="E413" s="25" t="s">
        <v>1459</v>
      </c>
      <c r="F413" s="26" t="s">
        <v>1460</v>
      </c>
      <c r="G413" s="24" t="str">
        <f aca="false">IF($D413="","",IF(MID($D413,5,1)="S","S(봄)",IF(MID($D413,5,1)="M","M(여름)",IF(MID($D413,5,1)="X","X(사계절)",MID($D413,5,1)))))</f>
        <v>X(사계절)</v>
      </c>
      <c r="H413" s="25" t="s">
        <v>97</v>
      </c>
      <c r="I413" s="24"/>
      <c r="J413" s="27" t="s">
        <v>529</v>
      </c>
      <c r="K413" s="28" t="n">
        <f aca="false">IF($J413="","",IFERROR(DATE(IF(VALUE(LEFT($J413,FIND("월",$J413)-1))&gt;=9,기준정보!$C$7-1,기준정보!$C$7),VALUE(LEFT($J413,FIND("월",$J413)-1)),1+7*(VALUE(SUBSTITUTE(MID($J413,FIND("월",$J413)+1,5),"주",""))-1)),""))</f>
        <v>46440</v>
      </c>
      <c r="L413" s="28" t="n">
        <f aca="false">IF($K413="","",IF(AND($K413-기준정보!$C$5&gt;=기준정보!$C$10,$K413-기준정보!$C$5&lt;=기준정보!$C$11),기준정보!$C$10-1,$K413-기준정보!$C$5))</f>
        <v>46422</v>
      </c>
      <c r="M413" s="29" t="n">
        <f aca="false"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>0</v>
      </c>
      <c r="N413" s="28" t="n">
        <f aca="false">IF($L413="","",$L413-기준정보!$C$6-$M413)</f>
        <v>46332</v>
      </c>
      <c r="O413" s="30" t="n">
        <f aca="false">IF($N413="","",$N413-기준정보!$C$4)</f>
        <v>79</v>
      </c>
      <c r="P413" s="27"/>
      <c r="Q413" s="27" t="s">
        <v>100</v>
      </c>
      <c r="R413" s="27" t="s">
        <v>100</v>
      </c>
      <c r="S413" s="31"/>
      <c r="T413" s="26" t="str">
        <f aca="false">IF($H413="","",IF(AND(ISNUMBER(SEARCH("CMT",$H413)),OR(ISNUMBER(SEARCH("완사입",$H413)),ISNUMBER(SEARCH("ODM",$H413)))),"본사/생산처 혼재",IF(ISNUMBER(SEARCH("CMT",$H413)),"본사(소재팀)","생산처")))</f>
        <v>생산처</v>
      </c>
      <c r="U413" s="25" t="s">
        <v>1454</v>
      </c>
      <c r="V413" s="26"/>
      <c r="W413" s="25" t="s">
        <v>202</v>
      </c>
      <c r="X413" s="26"/>
      <c r="Y413" s="32"/>
      <c r="Z413" s="32"/>
      <c r="AA413" s="28"/>
      <c r="AB413" s="33" t="n">
        <v>4500</v>
      </c>
      <c r="AC413" s="33" t="n">
        <v>29700000</v>
      </c>
      <c r="AD413" s="33" t="n">
        <v>135000000</v>
      </c>
      <c r="AE413" s="26"/>
      <c r="AF413" s="26" t="str">
        <f aca="false"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>소재 입고일정 확인 필요</v>
      </c>
      <c r="AG413" s="24" t="str">
        <f aca="false">IF($K413="","",IF(OR(LEFT($AF413,2)="작지",LEFT($AF413,4)="소재입고"),IF(LEFT($G413,1)="S","★ 납기위험(S코드)","◆ 지연주의"),IF($AF413="정상","✓ 정상","? 확인필요")))</f>
        <v>? 확인필요</v>
      </c>
      <c r="AH413" s="27"/>
      <c r="AI413" s="34"/>
    </row>
    <row r="414" customFormat="false" ht="15" hidden="false" customHeight="false" outlineLevel="0" collapsed="false">
      <c r="A414" s="24" t="n">
        <v>410</v>
      </c>
      <c r="B414" s="25" t="s">
        <v>948</v>
      </c>
      <c r="C414" s="25" t="s">
        <v>949</v>
      </c>
      <c r="D414" s="26" t="s">
        <v>1461</v>
      </c>
      <c r="E414" s="25" t="s">
        <v>1462</v>
      </c>
      <c r="F414" s="26" t="s">
        <v>1360</v>
      </c>
      <c r="G414" s="24" t="str">
        <f aca="false">IF($D414="","",IF(MID($D414,5,1)="S","S(봄)",IF(MID($D414,5,1)="M","M(여름)",IF(MID($D414,5,1)="X","X(사계절)",MID($D414,5,1)))))</f>
        <v>X(사계절)</v>
      </c>
      <c r="H414" s="25" t="s">
        <v>97</v>
      </c>
      <c r="I414" s="24"/>
      <c r="J414" s="27" t="s">
        <v>529</v>
      </c>
      <c r="K414" s="28" t="n">
        <f aca="false">IF($J414="","",IFERROR(DATE(IF(VALUE(LEFT($J414,FIND("월",$J414)-1))&gt;=9,기준정보!$C$7-1,기준정보!$C$7),VALUE(LEFT($J414,FIND("월",$J414)-1)),1+7*(VALUE(SUBSTITUTE(MID($J414,FIND("월",$J414)+1,5),"주",""))-1)),""))</f>
        <v>46440</v>
      </c>
      <c r="L414" s="28" t="n">
        <f aca="false">IF($K414="","",IF(AND($K414-기준정보!$C$5&gt;=기준정보!$C$10,$K414-기준정보!$C$5&lt;=기준정보!$C$11),기준정보!$C$10-1,$K414-기준정보!$C$5))</f>
        <v>46422</v>
      </c>
      <c r="M414" s="29" t="n">
        <f aca="false"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>0</v>
      </c>
      <c r="N414" s="28" t="n">
        <f aca="false">IF($L414="","",$L414-기준정보!$C$6-$M414)</f>
        <v>46332</v>
      </c>
      <c r="O414" s="30" t="n">
        <f aca="false">IF($N414="","",$N414-기준정보!$C$4)</f>
        <v>79</v>
      </c>
      <c r="P414" s="27"/>
      <c r="Q414" s="27" t="s">
        <v>100</v>
      </c>
      <c r="R414" s="27" t="s">
        <v>100</v>
      </c>
      <c r="S414" s="31"/>
      <c r="T414" s="26" t="str">
        <f aca="false">IF($H414="","",IF(AND(ISNUMBER(SEARCH("CMT",$H414)),OR(ISNUMBER(SEARCH("완사입",$H414)),ISNUMBER(SEARCH("ODM",$H414)))),"본사/생산처 혼재",IF(ISNUMBER(SEARCH("CMT",$H414)),"본사(소재팀)","생산처")))</f>
        <v>생산처</v>
      </c>
      <c r="U414" s="25" t="s">
        <v>1454</v>
      </c>
      <c r="V414" s="26"/>
      <c r="W414" s="25" t="s">
        <v>202</v>
      </c>
      <c r="X414" s="26"/>
      <c r="Y414" s="32"/>
      <c r="Z414" s="32"/>
      <c r="AA414" s="28"/>
      <c r="AB414" s="33" t="n">
        <v>3500</v>
      </c>
      <c r="AC414" s="33" t="n">
        <v>9800000</v>
      </c>
      <c r="AD414" s="33" t="n">
        <v>56000000</v>
      </c>
      <c r="AE414" s="26"/>
      <c r="AF414" s="26" t="str">
        <f aca="false"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>소재 입고일정 확인 필요</v>
      </c>
      <c r="AG414" s="24" t="str">
        <f aca="false">IF($K414="","",IF(OR(LEFT($AF414,2)="작지",LEFT($AF414,4)="소재입고"),IF(LEFT($G414,1)="S","★ 납기위험(S코드)","◆ 지연주의"),IF($AF414="정상","✓ 정상","? 확인필요")))</f>
        <v>? 확인필요</v>
      </c>
      <c r="AH414" s="27"/>
      <c r="AI414" s="34"/>
    </row>
    <row r="415" customFormat="false" ht="15" hidden="false" customHeight="false" outlineLevel="0" collapsed="false">
      <c r="A415" s="24" t="n">
        <v>411</v>
      </c>
      <c r="B415" s="25" t="s">
        <v>948</v>
      </c>
      <c r="C415" s="25" t="s">
        <v>949</v>
      </c>
      <c r="D415" s="26" t="s">
        <v>1463</v>
      </c>
      <c r="E415" s="25" t="s">
        <v>1464</v>
      </c>
      <c r="F415" s="26" t="s">
        <v>1465</v>
      </c>
      <c r="G415" s="24" t="str">
        <f aca="false">IF($D415="","",IF(MID($D415,5,1)="S","S(봄)",IF(MID($D415,5,1)="M","M(여름)",IF(MID($D415,5,1)="X","X(사계절)",MID($D415,5,1)))))</f>
        <v>X(사계절)</v>
      </c>
      <c r="H415" s="25" t="s">
        <v>97</v>
      </c>
      <c r="I415" s="24"/>
      <c r="J415" s="27" t="s">
        <v>529</v>
      </c>
      <c r="K415" s="28" t="n">
        <f aca="false">IF($J415="","",IFERROR(DATE(IF(VALUE(LEFT($J415,FIND("월",$J415)-1))&gt;=9,기준정보!$C$7-1,기준정보!$C$7),VALUE(LEFT($J415,FIND("월",$J415)-1)),1+7*(VALUE(SUBSTITUTE(MID($J415,FIND("월",$J415)+1,5),"주",""))-1)),""))</f>
        <v>46440</v>
      </c>
      <c r="L415" s="28" t="n">
        <f aca="false">IF($K415="","",IF(AND($K415-기준정보!$C$5&gt;=기준정보!$C$10,$K415-기준정보!$C$5&lt;=기준정보!$C$11),기준정보!$C$10-1,$K415-기준정보!$C$5))</f>
        <v>46422</v>
      </c>
      <c r="M415" s="29" t="n">
        <f aca="false"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>0</v>
      </c>
      <c r="N415" s="28" t="n">
        <f aca="false">IF($L415="","",$L415-기준정보!$C$6-$M415)</f>
        <v>46332</v>
      </c>
      <c r="O415" s="30" t="n">
        <f aca="false">IF($N415="","",$N415-기준정보!$C$4)</f>
        <v>79</v>
      </c>
      <c r="P415" s="27"/>
      <c r="Q415" s="27" t="s">
        <v>100</v>
      </c>
      <c r="R415" s="27" t="s">
        <v>100</v>
      </c>
      <c r="S415" s="31"/>
      <c r="T415" s="26" t="str">
        <f aca="false">IF($H415="","",IF(AND(ISNUMBER(SEARCH("CMT",$H415)),OR(ISNUMBER(SEARCH("완사입",$H415)),ISNUMBER(SEARCH("ODM",$H415)))),"본사/생산처 혼재",IF(ISNUMBER(SEARCH("CMT",$H415)),"본사(소재팀)","생산처")))</f>
        <v>생산처</v>
      </c>
      <c r="U415" s="25" t="s">
        <v>1454</v>
      </c>
      <c r="V415" s="26"/>
      <c r="W415" s="25" t="s">
        <v>202</v>
      </c>
      <c r="X415" s="26"/>
      <c r="Y415" s="32"/>
      <c r="Z415" s="32"/>
      <c r="AA415" s="28"/>
      <c r="AB415" s="33" t="n">
        <v>4500</v>
      </c>
      <c r="AC415" s="33" t="n">
        <v>14229000</v>
      </c>
      <c r="AD415" s="33" t="n">
        <v>90000000</v>
      </c>
      <c r="AE415" s="26"/>
      <c r="AF415" s="26" t="str">
        <f aca="false"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>소재 입고일정 확인 필요</v>
      </c>
      <c r="AG415" s="24" t="str">
        <f aca="false">IF($K415="","",IF(OR(LEFT($AF415,2)="작지",LEFT($AF415,4)="소재입고"),IF(LEFT($G415,1)="S","★ 납기위험(S코드)","◆ 지연주의"),IF($AF415="정상","✓ 정상","? 확인필요")))</f>
        <v>? 확인필요</v>
      </c>
      <c r="AH415" s="27"/>
      <c r="AI415" s="34"/>
    </row>
    <row r="416" customFormat="false" ht="15" hidden="false" customHeight="false" outlineLevel="0" collapsed="false">
      <c r="A416" s="24" t="n">
        <v>412</v>
      </c>
      <c r="B416" s="25" t="s">
        <v>270</v>
      </c>
      <c r="C416" s="25" t="s">
        <v>949</v>
      </c>
      <c r="D416" s="26" t="s">
        <v>1466</v>
      </c>
      <c r="E416" s="26" t="s">
        <v>1467</v>
      </c>
      <c r="F416" s="26" t="s">
        <v>1468</v>
      </c>
      <c r="G416" s="24" t="str">
        <f aca="false">IF($D416="","",IF(MID($D416,5,1)="S","S(봄)",IF(MID($D416,5,1)="M","M(여름)",IF(MID($D416,5,1)="X","X(사계절)",MID($D416,5,1)))))</f>
        <v>X(사계절)</v>
      </c>
      <c r="H416" s="25" t="s">
        <v>97</v>
      </c>
      <c r="I416" s="24" t="s">
        <v>738</v>
      </c>
      <c r="J416" s="27" t="s">
        <v>556</v>
      </c>
      <c r="K416" s="28" t="n">
        <f aca="false">IF($J416="","",IFERROR(DATE(IF(VALUE(LEFT($J416,FIND("월",$J416)-1))&gt;=9,기준정보!$C$7-1,기준정보!$C$7),VALUE(LEFT($J416,FIND("월",$J416)-1)),1+7*(VALUE(SUBSTITUTE(MID($J416,FIND("월",$J416)+1,5),"주",""))-1)),""))</f>
        <v>46447</v>
      </c>
      <c r="L416" s="28" t="n">
        <f aca="false">IF($K416="","",IF(AND($K416-기준정보!$C$5&gt;=기준정보!$C$10,$K416-기준정보!$C$5&lt;=기준정보!$C$11),기준정보!$C$10-1,$K416-기준정보!$C$5))</f>
        <v>46433</v>
      </c>
      <c r="M416" s="29" t="n">
        <f aca="false"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>0</v>
      </c>
      <c r="N416" s="28" t="n">
        <f aca="false">IF($L416="","",$L416-기준정보!$C$6-$M416)</f>
        <v>46343</v>
      </c>
      <c r="O416" s="30" t="n">
        <f aca="false">IF($N416="","",$N416-기준정보!$C$4)</f>
        <v>90</v>
      </c>
      <c r="P416" s="27"/>
      <c r="Q416" s="27" t="s">
        <v>100</v>
      </c>
      <c r="R416" s="27" t="s">
        <v>100</v>
      </c>
      <c r="S416" s="31"/>
      <c r="T416" s="26" t="str">
        <f aca="false">IF($H416="","",IF(AND(ISNUMBER(SEARCH("CMT",$H416)),OR(ISNUMBER(SEARCH("완사입",$H416)),ISNUMBER(SEARCH("ODM",$H416)))),"본사/생산처 혼재",IF(ISNUMBER(SEARCH("CMT",$H416)),"본사(소재팀)","생산처")))</f>
        <v>생산처</v>
      </c>
      <c r="U416" s="25" t="s">
        <v>1469</v>
      </c>
      <c r="V416" s="26"/>
      <c r="W416" s="25" t="s">
        <v>202</v>
      </c>
      <c r="X416" s="26"/>
      <c r="Y416" s="32"/>
      <c r="Z416" s="32"/>
      <c r="AA416" s="28"/>
      <c r="AB416" s="33" t="n">
        <v>1100</v>
      </c>
      <c r="AC416" s="33" t="n">
        <v>11550000</v>
      </c>
      <c r="AD416" s="33" t="n">
        <v>49500000</v>
      </c>
      <c r="AE416" s="26" t="s">
        <v>556</v>
      </c>
      <c r="AF416" s="26" t="str">
        <f aca="false"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>소재 입고일정 확인 필요</v>
      </c>
      <c r="AG416" s="24" t="str">
        <f aca="false">IF($K416="","",IF(OR(LEFT($AF416,2)="작지",LEFT($AF416,4)="소재입고"),IF(LEFT($G416,1)="S","★ 납기위험(S코드)","◆ 지연주의"),IF($AF416="정상","✓ 정상","? 확인필요")))</f>
        <v>? 확인필요</v>
      </c>
      <c r="AH416" s="27"/>
      <c r="AI416" s="34"/>
    </row>
    <row r="417" customFormat="false" ht="15" hidden="false" customHeight="false" outlineLevel="0" collapsed="false">
      <c r="A417" s="24" t="n">
        <v>413</v>
      </c>
      <c r="B417" s="25" t="s">
        <v>270</v>
      </c>
      <c r="C417" s="25" t="s">
        <v>949</v>
      </c>
      <c r="D417" s="26" t="s">
        <v>1470</v>
      </c>
      <c r="E417" s="26" t="s">
        <v>1471</v>
      </c>
      <c r="F417" s="26" t="s">
        <v>196</v>
      </c>
      <c r="G417" s="24" t="str">
        <f aca="false">IF($D417="","",IF(MID($D417,5,1)="S","S(봄)",IF(MID($D417,5,1)="M","M(여름)",IF(MID($D417,5,1)="X","X(사계절)",MID($D417,5,1)))))</f>
        <v>X(사계절)</v>
      </c>
      <c r="H417" s="25" t="s">
        <v>97</v>
      </c>
      <c r="I417" s="24" t="s">
        <v>738</v>
      </c>
      <c r="J417" s="27" t="s">
        <v>556</v>
      </c>
      <c r="K417" s="28" t="n">
        <f aca="false">IF($J417="","",IFERROR(DATE(IF(VALUE(LEFT($J417,FIND("월",$J417)-1))&gt;=9,기준정보!$C$7-1,기준정보!$C$7),VALUE(LEFT($J417,FIND("월",$J417)-1)),1+7*(VALUE(SUBSTITUTE(MID($J417,FIND("월",$J417)+1,5),"주",""))-1)),""))</f>
        <v>46447</v>
      </c>
      <c r="L417" s="28" t="n">
        <f aca="false">IF($K417="","",IF(AND($K417-기준정보!$C$5&gt;=기준정보!$C$10,$K417-기준정보!$C$5&lt;=기준정보!$C$11),기준정보!$C$10-1,$K417-기준정보!$C$5))</f>
        <v>46433</v>
      </c>
      <c r="M417" s="29" t="n">
        <f aca="false"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>15</v>
      </c>
      <c r="N417" s="28" t="n">
        <f aca="false">IF($L417="","",$L417-기준정보!$C$6-$M417)</f>
        <v>46328</v>
      </c>
      <c r="O417" s="30" t="n">
        <f aca="false">IF($N417="","",$N417-기준정보!$C$4)</f>
        <v>75</v>
      </c>
      <c r="P417" s="27"/>
      <c r="Q417" s="27" t="s">
        <v>100</v>
      </c>
      <c r="R417" s="27" t="s">
        <v>100</v>
      </c>
      <c r="S417" s="31"/>
      <c r="T417" s="26" t="str">
        <f aca="false">IF($H417="","",IF(AND(ISNUMBER(SEARCH("CMT",$H417)),OR(ISNUMBER(SEARCH("완사입",$H417)),ISNUMBER(SEARCH("ODM",$H417)))),"본사/생산처 혼재",IF(ISNUMBER(SEARCH("CMT",$H417)),"본사(소재팀)","생산처")))</f>
        <v>생산처</v>
      </c>
      <c r="U417" s="25" t="s">
        <v>1375</v>
      </c>
      <c r="V417" s="26"/>
      <c r="W417" s="25" t="s">
        <v>103</v>
      </c>
      <c r="X417" s="26"/>
      <c r="Y417" s="32"/>
      <c r="Z417" s="32"/>
      <c r="AA417" s="28"/>
      <c r="AB417" s="33" t="n">
        <v>1600</v>
      </c>
      <c r="AC417" s="33" t="n">
        <v>24337400</v>
      </c>
      <c r="AD417" s="33" t="n">
        <v>88800000</v>
      </c>
      <c r="AE417" s="26"/>
      <c r="AF417" s="26" t="str">
        <f aca="false"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>소재 입고일정 확인 필요</v>
      </c>
      <c r="AG417" s="24" t="str">
        <f aca="false">IF($K417="","",IF(OR(LEFT($AF417,2)="작지",LEFT($AF417,4)="소재입고"),IF(LEFT($G417,1)="S","★ 납기위험(S코드)","◆ 지연주의"),IF($AF417="정상","✓ 정상","? 확인필요")))</f>
        <v>? 확인필요</v>
      </c>
      <c r="AH417" s="27"/>
      <c r="AI417" s="34"/>
    </row>
    <row r="418" customFormat="false" ht="15" hidden="false" customHeight="false" outlineLevel="0" collapsed="false">
      <c r="A418" s="24" t="n">
        <v>414</v>
      </c>
      <c r="B418" s="25" t="s">
        <v>270</v>
      </c>
      <c r="C418" s="25" t="s">
        <v>949</v>
      </c>
      <c r="D418" s="26" t="s">
        <v>1472</v>
      </c>
      <c r="E418" s="26" t="s">
        <v>1473</v>
      </c>
      <c r="F418" s="26" t="s">
        <v>196</v>
      </c>
      <c r="G418" s="24" t="str">
        <f aca="false">IF($D418="","",IF(MID($D418,5,1)="S","S(봄)",IF(MID($D418,5,1)="M","M(여름)",IF(MID($D418,5,1)="X","X(사계절)",MID($D418,5,1)))))</f>
        <v>X(사계절)</v>
      </c>
      <c r="H418" s="25" t="s">
        <v>97</v>
      </c>
      <c r="I418" s="24" t="s">
        <v>738</v>
      </c>
      <c r="J418" s="27" t="s">
        <v>556</v>
      </c>
      <c r="K418" s="28" t="n">
        <f aca="false">IF($J418="","",IFERROR(DATE(IF(VALUE(LEFT($J418,FIND("월",$J418)-1))&gt;=9,기준정보!$C$7-1,기준정보!$C$7),VALUE(LEFT($J418,FIND("월",$J418)-1)),1+7*(VALUE(SUBSTITUTE(MID($J418,FIND("월",$J418)+1,5),"주",""))-1)),""))</f>
        <v>46447</v>
      </c>
      <c r="L418" s="28" t="n">
        <f aca="false">IF($K418="","",IF(AND($K418-기준정보!$C$5&gt;=기준정보!$C$10,$K418-기준정보!$C$5&lt;=기준정보!$C$11),기준정보!$C$10-1,$K418-기준정보!$C$5))</f>
        <v>46433</v>
      </c>
      <c r="M418" s="29" t="n">
        <f aca="false"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>15</v>
      </c>
      <c r="N418" s="28" t="n">
        <f aca="false">IF($L418="","",$L418-기준정보!$C$6-$M418)</f>
        <v>46328</v>
      </c>
      <c r="O418" s="30" t="n">
        <f aca="false">IF($N418="","",$N418-기준정보!$C$4)</f>
        <v>75</v>
      </c>
      <c r="P418" s="27"/>
      <c r="Q418" s="27"/>
      <c r="R418" s="27"/>
      <c r="S418" s="31"/>
      <c r="T418" s="26" t="str">
        <f aca="false">IF($H418="","",IF(AND(ISNUMBER(SEARCH("CMT",$H418)),OR(ISNUMBER(SEARCH("완사입",$H418)),ISNUMBER(SEARCH("ODM",$H418)))),"본사/생산처 혼재",IF(ISNUMBER(SEARCH("CMT",$H418)),"본사(소재팀)","생산처")))</f>
        <v>생산처</v>
      </c>
      <c r="U418" s="25" t="s">
        <v>1375</v>
      </c>
      <c r="V418" s="26"/>
      <c r="W418" s="25" t="s">
        <v>103</v>
      </c>
      <c r="X418" s="26"/>
      <c r="Y418" s="32"/>
      <c r="Z418" s="32"/>
      <c r="AA418" s="28"/>
      <c r="AB418" s="33" t="n">
        <v>500</v>
      </c>
      <c r="AC418" s="33" t="n">
        <v>9000000</v>
      </c>
      <c r="AD418" s="33" t="n">
        <v>30000000</v>
      </c>
      <c r="AE418" s="26"/>
      <c r="AF418" s="26" t="str">
        <f aca="false"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>발행여부 확인 필요</v>
      </c>
      <c r="AG418" s="24" t="str">
        <f aca="false">IF($K418="","",IF(OR(LEFT($AF418,2)="작지",LEFT($AF418,4)="소재입고"),IF(LEFT($G418,1)="S","★ 납기위험(S코드)","◆ 지연주의"),IF($AF418="정상","✓ 정상","? 확인필요")))</f>
        <v>? 확인필요</v>
      </c>
      <c r="AH418" s="27"/>
      <c r="AI418" s="34"/>
    </row>
    <row r="419" customFormat="false" ht="15" hidden="false" customHeight="false" outlineLevel="0" collapsed="false">
      <c r="A419" s="24" t="n">
        <v>415</v>
      </c>
      <c r="B419" s="25" t="s">
        <v>270</v>
      </c>
      <c r="C419" s="25" t="s">
        <v>949</v>
      </c>
      <c r="D419" s="26" t="s">
        <v>1474</v>
      </c>
      <c r="E419" s="26" t="s">
        <v>1475</v>
      </c>
      <c r="F419" s="26" t="s">
        <v>1476</v>
      </c>
      <c r="G419" s="24" t="str">
        <f aca="false">IF($D419="","",IF(MID($D419,5,1)="S","S(봄)",IF(MID($D419,5,1)="M","M(여름)",IF(MID($D419,5,1)="X","X(사계절)",MID($D419,5,1)))))</f>
        <v>X(사계절)</v>
      </c>
      <c r="H419" s="25" t="s">
        <v>97</v>
      </c>
      <c r="I419" s="24" t="s">
        <v>738</v>
      </c>
      <c r="J419" s="27" t="s">
        <v>556</v>
      </c>
      <c r="K419" s="28" t="n">
        <f aca="false">IF($J419="","",IFERROR(DATE(IF(VALUE(LEFT($J419,FIND("월",$J419)-1))&gt;=9,기준정보!$C$7-1,기준정보!$C$7),VALUE(LEFT($J419,FIND("월",$J419)-1)),1+7*(VALUE(SUBSTITUTE(MID($J419,FIND("월",$J419)+1,5),"주",""))-1)),""))</f>
        <v>46447</v>
      </c>
      <c r="L419" s="28" t="n">
        <f aca="false">IF($K419="","",IF(AND($K419-기준정보!$C$5&gt;=기준정보!$C$10,$K419-기준정보!$C$5&lt;=기준정보!$C$11),기준정보!$C$10-1,$K419-기준정보!$C$5))</f>
        <v>46433</v>
      </c>
      <c r="M419" s="29" t="n">
        <f aca="false"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>15</v>
      </c>
      <c r="N419" s="28" t="n">
        <f aca="false">IF($L419="","",$L419-기준정보!$C$6-$M419)</f>
        <v>46328</v>
      </c>
      <c r="O419" s="30" t="n">
        <f aca="false">IF($N419="","",$N419-기준정보!$C$4)</f>
        <v>75</v>
      </c>
      <c r="P419" s="27"/>
      <c r="Q419" s="27" t="s">
        <v>100</v>
      </c>
      <c r="R419" s="27" t="s">
        <v>100</v>
      </c>
      <c r="S419" s="31"/>
      <c r="T419" s="26" t="str">
        <f aca="false">IF($H419="","",IF(AND(ISNUMBER(SEARCH("CMT",$H419)),OR(ISNUMBER(SEARCH("완사입",$H419)),ISNUMBER(SEARCH("ODM",$H419)))),"본사/생산처 혼재",IF(ISNUMBER(SEARCH("CMT",$H419)),"본사(소재팀)","생산처")))</f>
        <v>생산처</v>
      </c>
      <c r="U419" s="25" t="s">
        <v>1375</v>
      </c>
      <c r="V419" s="26"/>
      <c r="W419" s="25" t="s">
        <v>103</v>
      </c>
      <c r="X419" s="26"/>
      <c r="Y419" s="32"/>
      <c r="Z419" s="32"/>
      <c r="AA419" s="28"/>
      <c r="AB419" s="33" t="n">
        <v>1200</v>
      </c>
      <c r="AC419" s="33" t="n">
        <v>70542000</v>
      </c>
      <c r="AD419" s="33" t="n">
        <v>237600000</v>
      </c>
      <c r="AE419" s="26"/>
      <c r="AF419" s="26" t="str">
        <f aca="false"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>소재 입고일정 확인 필요</v>
      </c>
      <c r="AG419" s="24" t="str">
        <f aca="false">IF($K419="","",IF(OR(LEFT($AF419,2)="작지",LEFT($AF419,4)="소재입고"),IF(LEFT($G419,1)="S","★ 납기위험(S코드)","◆ 지연주의"),IF($AF419="정상","✓ 정상","? 확인필요")))</f>
        <v>? 확인필요</v>
      </c>
      <c r="AH419" s="27"/>
      <c r="AI419" s="34"/>
    </row>
    <row r="420" customFormat="false" ht="15" hidden="false" customHeight="false" outlineLevel="0" collapsed="false">
      <c r="A420" s="24" t="n">
        <v>416</v>
      </c>
      <c r="B420" s="25" t="s">
        <v>270</v>
      </c>
      <c r="C420" s="25" t="s">
        <v>949</v>
      </c>
      <c r="D420" s="26" t="s">
        <v>1477</v>
      </c>
      <c r="E420" s="26" t="s">
        <v>1478</v>
      </c>
      <c r="F420" s="26" t="s">
        <v>1479</v>
      </c>
      <c r="G420" s="24" t="str">
        <f aca="false">IF($D420="","",IF(MID($D420,5,1)="S","S(봄)",IF(MID($D420,5,1)="M","M(여름)",IF(MID($D420,5,1)="X","X(사계절)",MID($D420,5,1)))))</f>
        <v>X(사계절)</v>
      </c>
      <c r="H420" s="25" t="s">
        <v>97</v>
      </c>
      <c r="I420" s="24" t="s">
        <v>738</v>
      </c>
      <c r="J420" s="27" t="s">
        <v>556</v>
      </c>
      <c r="K420" s="28" t="n">
        <f aca="false">IF($J420="","",IFERROR(DATE(IF(VALUE(LEFT($J420,FIND("월",$J420)-1))&gt;=9,기준정보!$C$7-1,기준정보!$C$7),VALUE(LEFT($J420,FIND("월",$J420)-1)),1+7*(VALUE(SUBSTITUTE(MID($J420,FIND("월",$J420)+1,5),"주",""))-1)),""))</f>
        <v>46447</v>
      </c>
      <c r="L420" s="28" t="n">
        <f aca="false">IF($K420="","",IF(AND($K420-기준정보!$C$5&gt;=기준정보!$C$10,$K420-기준정보!$C$5&lt;=기준정보!$C$11),기준정보!$C$10-1,$K420-기준정보!$C$5))</f>
        <v>46433</v>
      </c>
      <c r="M420" s="29" t="n">
        <f aca="false"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>15</v>
      </c>
      <c r="N420" s="28" t="n">
        <f aca="false">IF($L420="","",$L420-기준정보!$C$6-$M420)</f>
        <v>46328</v>
      </c>
      <c r="O420" s="30" t="n">
        <f aca="false">IF($N420="","",$N420-기준정보!$C$4)</f>
        <v>75</v>
      </c>
      <c r="P420" s="27"/>
      <c r="Q420" s="27" t="s">
        <v>100</v>
      </c>
      <c r="R420" s="27" t="s">
        <v>100</v>
      </c>
      <c r="S420" s="31"/>
      <c r="T420" s="26" t="str">
        <f aca="false">IF($H420="","",IF(AND(ISNUMBER(SEARCH("CMT",$H420)),OR(ISNUMBER(SEARCH("완사입",$H420)),ISNUMBER(SEARCH("ODM",$H420)))),"본사/생산처 혼재",IF(ISNUMBER(SEARCH("CMT",$H420)),"본사(소재팀)","생산처")))</f>
        <v>생산처</v>
      </c>
      <c r="U420" s="25" t="s">
        <v>1375</v>
      </c>
      <c r="V420" s="26"/>
      <c r="W420" s="25" t="s">
        <v>103</v>
      </c>
      <c r="X420" s="26"/>
      <c r="Y420" s="32"/>
      <c r="Z420" s="32"/>
      <c r="AA420" s="28"/>
      <c r="AB420" s="33" t="n">
        <v>1300</v>
      </c>
      <c r="AC420" s="33" t="n">
        <v>76420500</v>
      </c>
      <c r="AD420" s="33" t="n">
        <v>286000000</v>
      </c>
      <c r="AE420" s="26"/>
      <c r="AF420" s="26" t="str">
        <f aca="false"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>소재 입고일정 확인 필요</v>
      </c>
      <c r="AG420" s="24" t="str">
        <f aca="false">IF($K420="","",IF(OR(LEFT($AF420,2)="작지",LEFT($AF420,4)="소재입고"),IF(LEFT($G420,1)="S","★ 납기위험(S코드)","◆ 지연주의"),IF($AF420="정상","✓ 정상","? 확인필요")))</f>
        <v>? 확인필요</v>
      </c>
      <c r="AH420" s="27"/>
      <c r="AI420" s="34"/>
    </row>
    <row r="421" customFormat="false" ht="15" hidden="false" customHeight="false" outlineLevel="0" collapsed="false">
      <c r="A421" s="24" t="n">
        <v>417</v>
      </c>
      <c r="B421" s="25" t="s">
        <v>270</v>
      </c>
      <c r="C421" s="25" t="s">
        <v>949</v>
      </c>
      <c r="D421" s="26" t="s">
        <v>1480</v>
      </c>
      <c r="E421" s="26" t="s">
        <v>1481</v>
      </c>
      <c r="F421" s="26" t="s">
        <v>1482</v>
      </c>
      <c r="G421" s="24" t="str">
        <f aca="false">IF($D421="","",IF(MID($D421,5,1)="S","S(봄)",IF(MID($D421,5,1)="M","M(여름)",IF(MID($D421,5,1)="X","X(사계절)",MID($D421,5,1)))))</f>
        <v>X(사계절)</v>
      </c>
      <c r="H421" s="25" t="s">
        <v>97</v>
      </c>
      <c r="I421" s="24" t="s">
        <v>738</v>
      </c>
      <c r="J421" s="27" t="s">
        <v>556</v>
      </c>
      <c r="K421" s="28" t="n">
        <f aca="false">IF($J421="","",IFERROR(DATE(IF(VALUE(LEFT($J421,FIND("월",$J421)-1))&gt;=9,기준정보!$C$7-1,기준정보!$C$7),VALUE(LEFT($J421,FIND("월",$J421)-1)),1+7*(VALUE(SUBSTITUTE(MID($J421,FIND("월",$J421)+1,5),"주",""))-1)),""))</f>
        <v>46447</v>
      </c>
      <c r="L421" s="28" t="n">
        <f aca="false">IF($K421="","",IF(AND($K421-기준정보!$C$5&gt;=기준정보!$C$10,$K421-기준정보!$C$5&lt;=기준정보!$C$11),기준정보!$C$10-1,$K421-기준정보!$C$5))</f>
        <v>46433</v>
      </c>
      <c r="M421" s="29" t="n">
        <f aca="false"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>0</v>
      </c>
      <c r="N421" s="28" t="n">
        <f aca="false">IF($L421="","",$L421-기준정보!$C$6-$M421)</f>
        <v>46343</v>
      </c>
      <c r="O421" s="30" t="n">
        <f aca="false">IF($N421="","",$N421-기준정보!$C$4)</f>
        <v>90</v>
      </c>
      <c r="P421" s="27"/>
      <c r="Q421" s="27" t="s">
        <v>100</v>
      </c>
      <c r="R421" s="27" t="s">
        <v>100</v>
      </c>
      <c r="S421" s="31"/>
      <c r="T421" s="26" t="str">
        <f aca="false">IF($H421="","",IF(AND(ISNUMBER(SEARCH("CMT",$H421)),OR(ISNUMBER(SEARCH("완사입",$H421)),ISNUMBER(SEARCH("ODM",$H421)))),"본사/생산처 혼재",IF(ISNUMBER(SEARCH("CMT",$H421)),"본사(소재팀)","생산처")))</f>
        <v>생산처</v>
      </c>
      <c r="U421" s="25" t="s">
        <v>1348</v>
      </c>
      <c r="V421" s="26"/>
      <c r="W421" s="25" t="s">
        <v>202</v>
      </c>
      <c r="X421" s="26"/>
      <c r="Y421" s="32"/>
      <c r="Z421" s="32"/>
      <c r="AA421" s="28"/>
      <c r="AB421" s="33" t="n">
        <v>1600</v>
      </c>
      <c r="AC421" s="33" t="n">
        <v>5566400</v>
      </c>
      <c r="AD421" s="33" t="n">
        <v>40000000</v>
      </c>
      <c r="AE421" s="26"/>
      <c r="AF421" s="26" t="str">
        <f aca="false"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>소재 입고일정 확인 필요</v>
      </c>
      <c r="AG421" s="24" t="str">
        <f aca="false">IF($K421="","",IF(OR(LEFT($AF421,2)="작지",LEFT($AF421,4)="소재입고"),IF(LEFT($G421,1)="S","★ 납기위험(S코드)","◆ 지연주의"),IF($AF421="정상","✓ 정상","? 확인필요")))</f>
        <v>? 확인필요</v>
      </c>
      <c r="AH421" s="27"/>
      <c r="AI421" s="34"/>
    </row>
    <row r="422" customFormat="false" ht="15" hidden="false" customHeight="false" outlineLevel="0" collapsed="false">
      <c r="A422" s="24" t="n">
        <v>418</v>
      </c>
      <c r="B422" s="25" t="s">
        <v>270</v>
      </c>
      <c r="C422" s="25" t="s">
        <v>949</v>
      </c>
      <c r="D422" s="26" t="s">
        <v>1483</v>
      </c>
      <c r="E422" s="26" t="s">
        <v>1484</v>
      </c>
      <c r="F422" s="26" t="s">
        <v>1485</v>
      </c>
      <c r="G422" s="24" t="str">
        <f aca="false">IF($D422="","",IF(MID($D422,5,1)="S","S(봄)",IF(MID($D422,5,1)="M","M(여름)",IF(MID($D422,5,1)="X","X(사계절)",MID($D422,5,1)))))</f>
        <v>X(사계절)</v>
      </c>
      <c r="H422" s="25" t="s">
        <v>97</v>
      </c>
      <c r="I422" s="24" t="s">
        <v>738</v>
      </c>
      <c r="J422" s="27" t="s">
        <v>556</v>
      </c>
      <c r="K422" s="28" t="n">
        <f aca="false">IF($J422="","",IFERROR(DATE(IF(VALUE(LEFT($J422,FIND("월",$J422)-1))&gt;=9,기준정보!$C$7-1,기준정보!$C$7),VALUE(LEFT($J422,FIND("월",$J422)-1)),1+7*(VALUE(SUBSTITUTE(MID($J422,FIND("월",$J422)+1,5),"주",""))-1)),""))</f>
        <v>46447</v>
      </c>
      <c r="L422" s="28" t="n">
        <f aca="false">IF($K422="","",IF(AND($K422-기준정보!$C$5&gt;=기준정보!$C$10,$K422-기준정보!$C$5&lt;=기준정보!$C$11),기준정보!$C$10-1,$K422-기준정보!$C$5))</f>
        <v>46433</v>
      </c>
      <c r="M422" s="29" t="n">
        <f aca="false"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>15</v>
      </c>
      <c r="N422" s="28" t="n">
        <f aca="false">IF($L422="","",$L422-기준정보!$C$6-$M422)</f>
        <v>46328</v>
      </c>
      <c r="O422" s="30" t="n">
        <f aca="false">IF($N422="","",$N422-기준정보!$C$4)</f>
        <v>75</v>
      </c>
      <c r="P422" s="27"/>
      <c r="Q422" s="27" t="s">
        <v>100</v>
      </c>
      <c r="R422" s="27" t="s">
        <v>100</v>
      </c>
      <c r="S422" s="31"/>
      <c r="T422" s="26" t="str">
        <f aca="false">IF($H422="","",IF(AND(ISNUMBER(SEARCH("CMT",$H422)),OR(ISNUMBER(SEARCH("완사입",$H422)),ISNUMBER(SEARCH("ODM",$H422)))),"본사/생산처 혼재",IF(ISNUMBER(SEARCH("CMT",$H422)),"본사(소재팀)","생산처")))</f>
        <v>생산처</v>
      </c>
      <c r="U422" s="25" t="s">
        <v>206</v>
      </c>
      <c r="V422" s="26"/>
      <c r="W422" s="25" t="s">
        <v>103</v>
      </c>
      <c r="X422" s="26"/>
      <c r="Y422" s="32"/>
      <c r="Z422" s="32"/>
      <c r="AA422" s="28"/>
      <c r="AB422" s="33" t="n">
        <v>1200</v>
      </c>
      <c r="AC422" s="33" t="n">
        <v>16401600</v>
      </c>
      <c r="AD422" s="33" t="n">
        <v>78000000</v>
      </c>
      <c r="AE422" s="26"/>
      <c r="AF422" s="26" t="str">
        <f aca="false"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>소재 입고일정 확인 필요</v>
      </c>
      <c r="AG422" s="24" t="str">
        <f aca="false">IF($K422="","",IF(OR(LEFT($AF422,2)="작지",LEFT($AF422,4)="소재입고"),IF(LEFT($G422,1)="S","★ 납기위험(S코드)","◆ 지연주의"),IF($AF422="정상","✓ 정상","? 확인필요")))</f>
        <v>? 확인필요</v>
      </c>
      <c r="AH422" s="27"/>
      <c r="AI422" s="34"/>
    </row>
    <row r="423" customFormat="false" ht="15" hidden="false" customHeight="false" outlineLevel="0" collapsed="false">
      <c r="A423" s="24" t="n">
        <v>419</v>
      </c>
      <c r="B423" s="25" t="s">
        <v>270</v>
      </c>
      <c r="C423" s="25" t="s">
        <v>949</v>
      </c>
      <c r="D423" s="26" t="s">
        <v>1486</v>
      </c>
      <c r="E423" s="26" t="s">
        <v>1487</v>
      </c>
      <c r="F423" s="26" t="s">
        <v>1476</v>
      </c>
      <c r="G423" s="24" t="str">
        <f aca="false">IF($D423="","",IF(MID($D423,5,1)="S","S(봄)",IF(MID($D423,5,1)="M","M(여름)",IF(MID($D423,5,1)="X","X(사계절)",MID($D423,5,1)))))</f>
        <v>X(사계절)</v>
      </c>
      <c r="H423" s="25" t="s">
        <v>97</v>
      </c>
      <c r="I423" s="24" t="s">
        <v>738</v>
      </c>
      <c r="J423" s="27" t="s">
        <v>556</v>
      </c>
      <c r="K423" s="28" t="n">
        <f aca="false">IF($J423="","",IFERROR(DATE(IF(VALUE(LEFT($J423,FIND("월",$J423)-1))&gt;=9,기준정보!$C$7-1,기준정보!$C$7),VALUE(LEFT($J423,FIND("월",$J423)-1)),1+7*(VALUE(SUBSTITUTE(MID($J423,FIND("월",$J423)+1,5),"주",""))-1)),""))</f>
        <v>46447</v>
      </c>
      <c r="L423" s="28" t="n">
        <f aca="false">IF($K423="","",IF(AND($K423-기준정보!$C$5&gt;=기준정보!$C$10,$K423-기준정보!$C$5&lt;=기준정보!$C$11),기준정보!$C$10-1,$K423-기준정보!$C$5))</f>
        <v>46433</v>
      </c>
      <c r="M423" s="29" t="n">
        <f aca="false"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>15</v>
      </c>
      <c r="N423" s="28" t="n">
        <f aca="false">IF($L423="","",$L423-기준정보!$C$6-$M423)</f>
        <v>46328</v>
      </c>
      <c r="O423" s="30" t="n">
        <f aca="false">IF($N423="","",$N423-기준정보!$C$4)</f>
        <v>75</v>
      </c>
      <c r="P423" s="27"/>
      <c r="Q423" s="27" t="s">
        <v>100</v>
      </c>
      <c r="R423" s="27" t="s">
        <v>100</v>
      </c>
      <c r="S423" s="31"/>
      <c r="T423" s="26" t="str">
        <f aca="false">IF($H423="","",IF(AND(ISNUMBER(SEARCH("CMT",$H423)),OR(ISNUMBER(SEARCH("완사입",$H423)),ISNUMBER(SEARCH("ODM",$H423)))),"본사/생산처 혼재",IF(ISNUMBER(SEARCH("CMT",$H423)),"본사(소재팀)","생산처")))</f>
        <v>생산처</v>
      </c>
      <c r="U423" s="25" t="s">
        <v>206</v>
      </c>
      <c r="V423" s="26"/>
      <c r="W423" s="25" t="s">
        <v>103</v>
      </c>
      <c r="X423" s="26"/>
      <c r="Y423" s="32"/>
      <c r="Z423" s="32"/>
      <c r="AA423" s="28"/>
      <c r="AB423" s="33" t="n">
        <v>900</v>
      </c>
      <c r="AC423" s="33" t="n">
        <v>12301200</v>
      </c>
      <c r="AD423" s="33" t="n">
        <v>58500000</v>
      </c>
      <c r="AE423" s="26"/>
      <c r="AF423" s="26" t="str">
        <f aca="false"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>소재 입고일정 확인 필요</v>
      </c>
      <c r="AG423" s="24" t="str">
        <f aca="false">IF($K423="","",IF(OR(LEFT($AF423,2)="작지",LEFT($AF423,4)="소재입고"),IF(LEFT($G423,1)="S","★ 납기위험(S코드)","◆ 지연주의"),IF($AF423="정상","✓ 정상","? 확인필요")))</f>
        <v>? 확인필요</v>
      </c>
      <c r="AH423" s="27"/>
      <c r="AI423" s="34"/>
    </row>
    <row r="424" customFormat="false" ht="15" hidden="false" customHeight="false" outlineLevel="0" collapsed="false">
      <c r="A424" s="24" t="n">
        <v>420</v>
      </c>
      <c r="B424" s="25" t="s">
        <v>948</v>
      </c>
      <c r="C424" s="25" t="s">
        <v>756</v>
      </c>
      <c r="D424" s="26" t="s">
        <v>1488</v>
      </c>
      <c r="E424" s="25" t="s">
        <v>1489</v>
      </c>
      <c r="F424" s="26" t="s">
        <v>1092</v>
      </c>
      <c r="G424" s="24" t="str">
        <f aca="false">IF($D424="","",IF(MID($D424,5,1)="S","S(봄)",IF(MID($D424,5,1)="M","M(여름)",IF(MID($D424,5,1)="X","X(사계절)",MID($D424,5,1)))))</f>
        <v>X(사계절)</v>
      </c>
      <c r="H424" s="25" t="s">
        <v>97</v>
      </c>
      <c r="I424" s="24"/>
      <c r="J424" s="27" t="s">
        <v>568</v>
      </c>
      <c r="K424" s="28" t="n">
        <f aca="false">IF($J424="","",IFERROR(DATE(IF(VALUE(LEFT($J424,FIND("월",$J424)-1))&gt;=9,기준정보!$C$7-1,기준정보!$C$7),VALUE(LEFT($J424,FIND("월",$J424)-1)),1+7*(VALUE(SUBSTITUTE(MID($J424,FIND("월",$J424)+1,5),"주",""))-1)),""))</f>
        <v>46454</v>
      </c>
      <c r="L424" s="28" t="n">
        <f aca="false">IF($K424="","",IF(AND($K424-기준정보!$C$5&gt;=기준정보!$C$10,$K424-기준정보!$C$5&lt;=기준정보!$C$11),기준정보!$C$10-1,$K424-기준정보!$C$5))</f>
        <v>46440</v>
      </c>
      <c r="M424" s="29" t="n">
        <f aca="false"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>4</v>
      </c>
      <c r="N424" s="28" t="n">
        <f aca="false">IF($L424="","",$L424-기준정보!$C$6-$M424)</f>
        <v>46346</v>
      </c>
      <c r="O424" s="30" t="n">
        <f aca="false">IF($N424="","",$N424-기준정보!$C$4)</f>
        <v>93</v>
      </c>
      <c r="P424" s="27"/>
      <c r="Q424" s="27" t="s">
        <v>100</v>
      </c>
      <c r="R424" s="27" t="s">
        <v>100</v>
      </c>
      <c r="S424" s="31"/>
      <c r="T424" s="26" t="str">
        <f aca="false">IF($H424="","",IF(AND(ISNUMBER(SEARCH("CMT",$H424)),OR(ISNUMBER(SEARCH("완사입",$H424)),ISNUMBER(SEARCH("ODM",$H424)))),"본사/생산처 혼재",IF(ISNUMBER(SEARCH("CMT",$H424)),"본사(소재팀)","생산처")))</f>
        <v>생산처</v>
      </c>
      <c r="U424" s="25" t="s">
        <v>1136</v>
      </c>
      <c r="V424" s="26"/>
      <c r="W424" s="25" t="s">
        <v>1137</v>
      </c>
      <c r="X424" s="26"/>
      <c r="Y424" s="32"/>
      <c r="Z424" s="32"/>
      <c r="AA424" s="28"/>
      <c r="AB424" s="33" t="n">
        <v>2000</v>
      </c>
      <c r="AC424" s="33" t="n">
        <v>8800000</v>
      </c>
      <c r="AD424" s="33" t="n">
        <v>60000000</v>
      </c>
      <c r="AE424" s="26"/>
      <c r="AF424" s="26" t="str">
        <f aca="false"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>소재 입고일정 확인 필요</v>
      </c>
      <c r="AG424" s="24" t="str">
        <f aca="false">IF($K424="","",IF(OR(LEFT($AF424,2)="작지",LEFT($AF424,4)="소재입고"),IF(LEFT($G424,1)="S","★ 납기위험(S코드)","◆ 지연주의"),IF($AF424="정상","✓ 정상","? 확인필요")))</f>
        <v>? 확인필요</v>
      </c>
      <c r="AH424" s="27"/>
      <c r="AI424" s="34"/>
    </row>
    <row r="425" customFormat="false" ht="15" hidden="false" customHeight="false" outlineLevel="0" collapsed="false">
      <c r="A425" s="24" t="n">
        <v>421</v>
      </c>
      <c r="B425" s="25" t="s">
        <v>948</v>
      </c>
      <c r="C425" s="25" t="s">
        <v>949</v>
      </c>
      <c r="D425" s="26" t="s">
        <v>1490</v>
      </c>
      <c r="E425" s="25" t="s">
        <v>1491</v>
      </c>
      <c r="F425" s="26" t="s">
        <v>1492</v>
      </c>
      <c r="G425" s="24" t="str">
        <f aca="false">IF($D425="","",IF(MID($D425,5,1)="S","S(봄)",IF(MID($D425,5,1)="M","M(여름)",IF(MID($D425,5,1)="X","X(사계절)",MID($D425,5,1)))))</f>
        <v>X(사계절)</v>
      </c>
      <c r="H425" s="25" t="s">
        <v>97</v>
      </c>
      <c r="I425" s="24" t="s">
        <v>502</v>
      </c>
      <c r="J425" s="27" t="s">
        <v>568</v>
      </c>
      <c r="K425" s="28" t="n">
        <f aca="false">IF($J425="","",IFERROR(DATE(IF(VALUE(LEFT($J425,FIND("월",$J425)-1))&gt;=9,기준정보!$C$7-1,기준정보!$C$7),VALUE(LEFT($J425,FIND("월",$J425)-1)),1+7*(VALUE(SUBSTITUTE(MID($J425,FIND("월",$J425)+1,5),"주",""))-1)),""))</f>
        <v>46454</v>
      </c>
      <c r="L425" s="28" t="n">
        <f aca="false">IF($K425="","",IF(AND($K425-기준정보!$C$5&gt;=기준정보!$C$10,$K425-기준정보!$C$5&lt;=기준정보!$C$11),기준정보!$C$10-1,$K425-기준정보!$C$5))</f>
        <v>46440</v>
      </c>
      <c r="M425" s="29" t="n">
        <f aca="false"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>0</v>
      </c>
      <c r="N425" s="28" t="n">
        <f aca="false">IF($L425="","",$L425-기준정보!$C$6-$M425)</f>
        <v>46350</v>
      </c>
      <c r="O425" s="30" t="n">
        <f aca="false">IF($N425="","",$N425-기준정보!$C$4)</f>
        <v>97</v>
      </c>
      <c r="P425" s="27"/>
      <c r="Q425" s="27" t="s">
        <v>100</v>
      </c>
      <c r="R425" s="27" t="s">
        <v>100</v>
      </c>
      <c r="S425" s="31"/>
      <c r="T425" s="26" t="str">
        <f aca="false">IF($H425="","",IF(AND(ISNUMBER(SEARCH("CMT",$H425)),OR(ISNUMBER(SEARCH("완사입",$H425)),ISNUMBER(SEARCH("ODM",$H425)))),"본사/생산처 혼재",IF(ISNUMBER(SEARCH("CMT",$H425)),"본사(소재팀)","생산처")))</f>
        <v>생산처</v>
      </c>
      <c r="U425" s="25" t="s">
        <v>952</v>
      </c>
      <c r="V425" s="26"/>
      <c r="W425" s="25" t="s">
        <v>202</v>
      </c>
      <c r="X425" s="26"/>
      <c r="Y425" s="32"/>
      <c r="Z425" s="32"/>
      <c r="AA425" s="28"/>
      <c r="AB425" s="33" t="n">
        <v>5500</v>
      </c>
      <c r="AC425" s="33" t="n">
        <v>90750000</v>
      </c>
      <c r="AD425" s="33" t="n">
        <v>429000000</v>
      </c>
      <c r="AE425" s="26"/>
      <c r="AF425" s="26" t="str">
        <f aca="false"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>소재 입고일정 확인 필요</v>
      </c>
      <c r="AG425" s="24" t="str">
        <f aca="false">IF($K425="","",IF(OR(LEFT($AF425,2)="작지",LEFT($AF425,4)="소재입고"),IF(LEFT($G425,1)="S","★ 납기위험(S코드)","◆ 지연주의"),IF($AF425="정상","✓ 정상","? 확인필요")))</f>
        <v>? 확인필요</v>
      </c>
      <c r="AH425" s="27"/>
      <c r="AI425" s="34"/>
    </row>
    <row r="426" customFormat="false" ht="15" hidden="false" customHeight="false" outlineLevel="0" collapsed="false">
      <c r="A426" s="24" t="n">
        <v>422</v>
      </c>
      <c r="B426" s="25" t="s">
        <v>948</v>
      </c>
      <c r="C426" s="25" t="s">
        <v>756</v>
      </c>
      <c r="D426" s="26" t="s">
        <v>1493</v>
      </c>
      <c r="E426" s="25" t="s">
        <v>1494</v>
      </c>
      <c r="F426" s="26" t="s">
        <v>855</v>
      </c>
      <c r="G426" s="24" t="str">
        <f aca="false">IF($D426="","",IF(MID($D426,5,1)="S","S(봄)",IF(MID($D426,5,1)="M","M(여름)",IF(MID($D426,5,1)="X","X(사계절)",MID($D426,5,1)))))</f>
        <v>X(사계절)</v>
      </c>
      <c r="H426" s="25" t="s">
        <v>97</v>
      </c>
      <c r="I426" s="24"/>
      <c r="J426" s="27" t="s">
        <v>648</v>
      </c>
      <c r="K426" s="28" t="n">
        <f aca="false">IF($J426="","",IFERROR(DATE(IF(VALUE(LEFT($J426,FIND("월",$J426)-1))&gt;=9,기준정보!$C$7-1,기준정보!$C$7),VALUE(LEFT($J426,FIND("월",$J426)-1)),1+7*(VALUE(SUBSTITUTE(MID($J426,FIND("월",$J426)+1,5),"주",""))-1)),""))</f>
        <v>46468</v>
      </c>
      <c r="L426" s="28" t="n">
        <f aca="false">IF($K426="","",IF(AND($K426-기준정보!$C$5&gt;=기준정보!$C$10,$K426-기준정보!$C$5&lt;=기준정보!$C$11),기준정보!$C$10-1,$K426-기준정보!$C$5))</f>
        <v>46454</v>
      </c>
      <c r="M426" s="29" t="n">
        <f aca="false"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>15</v>
      </c>
      <c r="N426" s="28" t="n">
        <f aca="false">IF($L426="","",$L426-기준정보!$C$6-$M426)</f>
        <v>46349</v>
      </c>
      <c r="O426" s="30" t="n">
        <f aca="false">IF($N426="","",$N426-기준정보!$C$4)</f>
        <v>96</v>
      </c>
      <c r="P426" s="27"/>
      <c r="Q426" s="27" t="s">
        <v>100</v>
      </c>
      <c r="R426" s="27" t="s">
        <v>100</v>
      </c>
      <c r="S426" s="31"/>
      <c r="T426" s="26" t="str">
        <f aca="false">IF($H426="","",IF(AND(ISNUMBER(SEARCH("CMT",$H426)),OR(ISNUMBER(SEARCH("완사입",$H426)),ISNUMBER(SEARCH("ODM",$H426)))),"본사/생산처 혼재",IF(ISNUMBER(SEARCH("CMT",$H426)),"본사(소재팀)","생산처")))</f>
        <v>생산처</v>
      </c>
      <c r="U426" s="25" t="s">
        <v>1336</v>
      </c>
      <c r="V426" s="26"/>
      <c r="W426" s="25" t="s">
        <v>163</v>
      </c>
      <c r="X426" s="26"/>
      <c r="Y426" s="32"/>
      <c r="Z426" s="32"/>
      <c r="AA426" s="28"/>
      <c r="AB426" s="33" t="n">
        <v>900</v>
      </c>
      <c r="AC426" s="33" t="n">
        <v>14400000</v>
      </c>
      <c r="AD426" s="33" t="n">
        <v>70200000</v>
      </c>
      <c r="AE426" s="26"/>
      <c r="AF426" s="26" t="str">
        <f aca="false"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>소재 입고일정 확인 필요</v>
      </c>
      <c r="AG426" s="24" t="str">
        <f aca="false">IF($K426="","",IF(OR(LEFT($AF426,2)="작지",LEFT($AF426,4)="소재입고"),IF(LEFT($G426,1)="S","★ 납기위험(S코드)","◆ 지연주의"),IF($AF426="정상","✓ 정상","? 확인필요")))</f>
        <v>? 확인필요</v>
      </c>
      <c r="AH426" s="27"/>
      <c r="AI426" s="34"/>
    </row>
    <row r="427" customFormat="false" ht="15" hidden="false" customHeight="false" outlineLevel="0" collapsed="false">
      <c r="A427" s="24" t="n">
        <v>423</v>
      </c>
      <c r="B427" s="25" t="s">
        <v>948</v>
      </c>
      <c r="C427" s="25" t="s">
        <v>756</v>
      </c>
      <c r="D427" s="26" t="s">
        <v>1495</v>
      </c>
      <c r="E427" s="25" t="s">
        <v>1496</v>
      </c>
      <c r="F427" s="26" t="s">
        <v>196</v>
      </c>
      <c r="G427" s="24" t="str">
        <f aca="false">IF($D427="","",IF(MID($D427,5,1)="S","S(봄)",IF(MID($D427,5,1)="M","M(여름)",IF(MID($D427,5,1)="X","X(사계절)",MID($D427,5,1)))))</f>
        <v>X(사계절)</v>
      </c>
      <c r="H427" s="25" t="s">
        <v>97</v>
      </c>
      <c r="I427" s="24"/>
      <c r="J427" s="27" t="s">
        <v>648</v>
      </c>
      <c r="K427" s="28" t="n">
        <f aca="false">IF($J427="","",IFERROR(DATE(IF(VALUE(LEFT($J427,FIND("월",$J427)-1))&gt;=9,기준정보!$C$7-1,기준정보!$C$7),VALUE(LEFT($J427,FIND("월",$J427)-1)),1+7*(VALUE(SUBSTITUTE(MID($J427,FIND("월",$J427)+1,5),"주",""))-1)),""))</f>
        <v>46468</v>
      </c>
      <c r="L427" s="28" t="n">
        <f aca="false">IF($K427="","",IF(AND($K427-기준정보!$C$5&gt;=기준정보!$C$10,$K427-기준정보!$C$5&lt;=기준정보!$C$11),기준정보!$C$10-1,$K427-기준정보!$C$5))</f>
        <v>46454</v>
      </c>
      <c r="M427" s="29" t="n">
        <f aca="false"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>15</v>
      </c>
      <c r="N427" s="28" t="n">
        <f aca="false">IF($L427="","",$L427-기준정보!$C$6-$M427)</f>
        <v>46349</v>
      </c>
      <c r="O427" s="30" t="n">
        <f aca="false">IF($N427="","",$N427-기준정보!$C$4)</f>
        <v>96</v>
      </c>
      <c r="P427" s="27"/>
      <c r="Q427" s="27" t="s">
        <v>100</v>
      </c>
      <c r="R427" s="27" t="s">
        <v>100</v>
      </c>
      <c r="S427" s="31"/>
      <c r="T427" s="26" t="str">
        <f aca="false">IF($H427="","",IF(AND(ISNUMBER(SEARCH("CMT",$H427)),OR(ISNUMBER(SEARCH("완사입",$H427)),ISNUMBER(SEARCH("ODM",$H427)))),"본사/생산처 혼재",IF(ISNUMBER(SEARCH("CMT",$H427)),"본사(소재팀)","생산처")))</f>
        <v>생산처</v>
      </c>
      <c r="U427" s="25" t="s">
        <v>1336</v>
      </c>
      <c r="V427" s="26"/>
      <c r="W427" s="25" t="s">
        <v>163</v>
      </c>
      <c r="X427" s="26"/>
      <c r="Y427" s="32"/>
      <c r="Z427" s="32"/>
      <c r="AA427" s="28"/>
      <c r="AB427" s="33" t="n">
        <v>800</v>
      </c>
      <c r="AC427" s="33" t="n">
        <v>22800000</v>
      </c>
      <c r="AD427" s="33" t="n">
        <v>102400000</v>
      </c>
      <c r="AE427" s="26"/>
      <c r="AF427" s="26" t="str">
        <f aca="false"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>소재 입고일정 확인 필요</v>
      </c>
      <c r="AG427" s="24" t="str">
        <f aca="false">IF($K427="","",IF(OR(LEFT($AF427,2)="작지",LEFT($AF427,4)="소재입고"),IF(LEFT($G427,1)="S","★ 납기위험(S코드)","◆ 지연주의"),IF($AF427="정상","✓ 정상","? 확인필요")))</f>
        <v>? 확인필요</v>
      </c>
      <c r="AH427" s="27"/>
      <c r="AI427" s="34"/>
    </row>
    <row r="428" customFormat="false" ht="15" hidden="false" customHeight="false" outlineLevel="0" collapsed="false">
      <c r="A428" s="24" t="n">
        <v>424</v>
      </c>
      <c r="B428" s="25" t="s">
        <v>948</v>
      </c>
      <c r="C428" s="25" t="s">
        <v>949</v>
      </c>
      <c r="D428" s="26" t="s">
        <v>1497</v>
      </c>
      <c r="E428" s="25" t="s">
        <v>1498</v>
      </c>
      <c r="F428" s="26" t="s">
        <v>1499</v>
      </c>
      <c r="G428" s="24" t="str">
        <f aca="false">IF($D428="","",IF(MID($D428,5,1)="S","S(봄)",IF(MID($D428,5,1)="M","M(여름)",IF(MID($D428,5,1)="X","X(사계절)",MID($D428,5,1)))))</f>
        <v>X(사계절)</v>
      </c>
      <c r="H428" s="25" t="s">
        <v>97</v>
      </c>
      <c r="I428" s="24" t="s">
        <v>502</v>
      </c>
      <c r="J428" s="27" t="s">
        <v>648</v>
      </c>
      <c r="K428" s="28" t="n">
        <f aca="false">IF($J428="","",IFERROR(DATE(IF(VALUE(LEFT($J428,FIND("월",$J428)-1))&gt;=9,기준정보!$C$7-1,기준정보!$C$7),VALUE(LEFT($J428,FIND("월",$J428)-1)),1+7*(VALUE(SUBSTITUTE(MID($J428,FIND("월",$J428)+1,5),"주",""))-1)),""))</f>
        <v>46468</v>
      </c>
      <c r="L428" s="28" t="n">
        <f aca="false">IF($K428="","",IF(AND($K428-기준정보!$C$5&gt;=기준정보!$C$10,$K428-기준정보!$C$5&lt;=기준정보!$C$11),기준정보!$C$10-1,$K428-기준정보!$C$5))</f>
        <v>46454</v>
      </c>
      <c r="M428" s="29" t="n">
        <f aca="false"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>15</v>
      </c>
      <c r="N428" s="28" t="n">
        <f aca="false">IF($L428="","",$L428-기준정보!$C$6-$M428)</f>
        <v>46349</v>
      </c>
      <c r="O428" s="30" t="n">
        <f aca="false">IF($N428="","",$N428-기준정보!$C$4)</f>
        <v>96</v>
      </c>
      <c r="P428" s="27"/>
      <c r="Q428" s="27" t="s">
        <v>100</v>
      </c>
      <c r="R428" s="27" t="s">
        <v>100</v>
      </c>
      <c r="S428" s="31"/>
      <c r="T428" s="26" t="str">
        <f aca="false">IF($H428="","",IF(AND(ISNUMBER(SEARCH("CMT",$H428)),OR(ISNUMBER(SEARCH("완사입",$H428)),ISNUMBER(SEARCH("ODM",$H428)))),"본사/생산처 혼재",IF(ISNUMBER(SEARCH("CMT",$H428)),"본사(소재팀)","생산처")))</f>
        <v>생산처</v>
      </c>
      <c r="U428" s="26" t="s">
        <v>1129</v>
      </c>
      <c r="V428" s="26"/>
      <c r="W428" s="25" t="s">
        <v>103</v>
      </c>
      <c r="X428" s="26"/>
      <c r="Y428" s="32"/>
      <c r="Z428" s="32"/>
      <c r="AA428" s="28"/>
      <c r="AB428" s="33" t="n">
        <v>2600</v>
      </c>
      <c r="AC428" s="33" t="n">
        <v>27739400</v>
      </c>
      <c r="AD428" s="33" t="n">
        <v>143000000</v>
      </c>
      <c r="AE428" s="26"/>
      <c r="AF428" s="26" t="str">
        <f aca="false"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>소재 입고일정 확인 필요</v>
      </c>
      <c r="AG428" s="24" t="str">
        <f aca="false">IF($K428="","",IF(OR(LEFT($AF428,2)="작지",LEFT($AF428,4)="소재입고"),IF(LEFT($G428,1)="S","★ 납기위험(S코드)","◆ 지연주의"),IF($AF428="정상","✓ 정상","? 확인필요")))</f>
        <v>? 확인필요</v>
      </c>
      <c r="AH428" s="27"/>
      <c r="AI428" s="34"/>
    </row>
  </sheetData>
  <autoFilter ref="A4:AI428"/>
  <conditionalFormatting sqref="AG5:AG428">
    <cfRule type="containsText" priority="2" operator="containsText" aboveAverage="0" equalAverage="0" bottom="0" percent="0" rank="0" text="★" dxfId="13">
      <formula>NOT(ISERROR(SEARCH("★",AG5)))</formula>
    </cfRule>
    <cfRule type="containsText" priority="3" operator="containsText" aboveAverage="0" equalAverage="0" bottom="0" percent="0" rank="0" text="◆" dxfId="14">
      <formula>NOT(ISERROR(SEARCH("◆",AG5)))</formula>
    </cfRule>
    <cfRule type="containsText" priority="4" operator="containsText" aboveAverage="0" equalAverage="0" bottom="0" percent="0" rank="0" text="✓" dxfId="15">
      <formula>NOT(ISERROR(SEARCH("✓",AG5)))</formula>
    </cfRule>
    <cfRule type="containsText" priority="5" operator="containsText" aboveAverage="0" equalAverage="0" bottom="0" percent="0" rank="0" text="?" dxfId="16">
      <formula>NOT(ISERROR(SEARCH("?",AG5)))</formula>
    </cfRule>
  </conditionalFormatting>
  <conditionalFormatting sqref="V5:V428">
    <cfRule type="expression" priority="6" aboveAverage="0" equalAverage="0" bottom="0" percent="0" rank="0" text="" dxfId="17">
      <formula>AND($V5&lt;&gt;"",$U5&lt;&gt;"",ISERROR(SEARCH($U5,$V5)))</formula>
    </cfRule>
  </conditionalFormatting>
  <conditionalFormatting sqref="P5:P428">
    <cfRule type="containsText" priority="7" operator="containsText" aboveAverage="0" equalAverage="0" bottom="0" percent="0" rank="0" text="O" dxfId="18">
      <formula>NOT(ISERROR(SEARCH("O",P5)))</formula>
    </cfRule>
  </conditionalFormatting>
  <dataValidations count="4">
    <dataValidation allowBlank="true" errorStyle="stop" operator="between" showDropDown="false" showErrorMessage="false" showInputMessage="false" sqref="P5:P428" type="list">
      <formula1>"O,X"</formula1>
      <formula2>0</formula2>
    </dataValidation>
    <dataValidation allowBlank="true" errorStyle="stop" operator="between" showDropDown="false" showErrorMessage="false" showInputMessage="false" sqref="Q5:Q428" type="list">
      <formula1>"O,부분,X"</formula1>
      <formula2>0</formula2>
    </dataValidation>
    <dataValidation allowBlank="true" errorStyle="stop" operator="between" showDropDown="false" showErrorMessage="false" showInputMessage="false" sqref="R5:R428" type="list">
      <formula1>"O,부분,X"</formula1>
      <formula2>0</formula2>
    </dataValidation>
    <dataValidation allowBlank="true" errorStyle="stop" operator="between" showDropDown="false" showErrorMessage="false" showInputMessage="false" sqref="AH5:AH428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3"/>
  </cols>
  <sheetData>
    <row r="2" customFormat="false" ht="19.4" hidden="false" customHeight="false" outlineLevel="0" collapsed="false">
      <c r="B2" s="17" t="s">
        <v>1500</v>
      </c>
    </row>
    <row r="3" customFormat="false" ht="15" hidden="false" customHeight="false" outlineLevel="0" collapsed="false">
      <c r="B3" s="18" t="s">
        <v>1501</v>
      </c>
    </row>
    <row r="5" customFormat="false" ht="15" hidden="false" customHeight="false" outlineLevel="0" collapsed="false">
      <c r="B5" s="36" t="s">
        <v>1502</v>
      </c>
      <c r="C5" s="36" t="s">
        <v>1503</v>
      </c>
      <c r="D5" s="36" t="s">
        <v>1504</v>
      </c>
      <c r="E5" s="36" t="s">
        <v>85</v>
      </c>
      <c r="F5" s="36" t="s">
        <v>86</v>
      </c>
      <c r="G5" s="36" t="s">
        <v>1505</v>
      </c>
    </row>
    <row r="6" customFormat="false" ht="15" hidden="false" customHeight="false" outlineLevel="0" collapsed="false">
      <c r="B6" s="37" t="s">
        <v>1506</v>
      </c>
      <c r="C6" s="38" t="n">
        <f aca="false">SUMPRODUCT((LEFT('소재역산 트래커'!$D$5:$D$428,1)&lt;&gt;"Q")*(LEFT('소재역산 트래커'!$D$5:$D$428,1)&lt;&gt;"8")*('소재역산 트래커'!$D$5:$D$428&lt;&gt;""))</f>
        <v>300</v>
      </c>
      <c r="D6" s="38" t="n">
        <f aca="false">SUMPRODUCT((LEFT('소재역산 트래커'!$D$5:$D$428,1)&lt;&gt;"Q")*(LEFT('소재역산 트래커'!$D$5:$D$428,1)&lt;&gt;"8")*('소재역산 트래커'!$D$5:$D$428&lt;&gt;"")*'소재역산 트래커'!$AB$5:$AB$428)</f>
        <v>1182563</v>
      </c>
      <c r="E6" s="38" t="n">
        <f aca="false">SUMPRODUCT((LEFT('소재역산 트래커'!$D$5:$D$428,1)&lt;&gt;"Q")*(LEFT('소재역산 트래커'!$D$5:$D$428,1)&lt;&gt;"8")*('소재역산 트래커'!$D$5:$D$428&lt;&gt;"")*'소재역산 트래커'!$AC$5:$AC$428)</f>
        <v>34859135121</v>
      </c>
      <c r="F6" s="38" t="n">
        <f aca="false">SUMPRODUCT((LEFT('소재역산 트래커'!$D$5:$D$428,1)&lt;&gt;"Q")*(LEFT('소재역산 트래커'!$D$5:$D$428,1)&lt;&gt;"8")*('소재역산 트래커'!$D$5:$D$428&lt;&gt;"")*'소재역산 트래커'!$AD$5:$AD$428)</f>
        <v>177976374000</v>
      </c>
      <c r="G6" s="39" t="n">
        <f aca="false">IF($F$9=0,"",F6/$F$9)</f>
        <v>0.908555947348299</v>
      </c>
    </row>
    <row r="7" customFormat="false" ht="15" hidden="false" customHeight="false" outlineLevel="0" collapsed="false">
      <c r="B7" s="37" t="s">
        <v>1507</v>
      </c>
      <c r="C7" s="38" t="n">
        <f aca="false">SUMPRODUCT((LEFT('소재역산 트래커'!$D$5:$D$428,1)="Q")*1)</f>
        <v>71</v>
      </c>
      <c r="D7" s="38" t="n">
        <f aca="false">SUMPRODUCT((LEFT('소재역산 트래커'!$D$5:$D$428,1)="Q")*1*'소재역산 트래커'!$AB$5:$AB$428)</f>
        <v>230640</v>
      </c>
      <c r="E7" s="38" t="n">
        <f aca="false">SUMPRODUCT((LEFT('소재역산 트래커'!$D$5:$D$428,1)="Q")*1*'소재역산 트래커'!$AC$5:$AC$428)</f>
        <v>2883887300</v>
      </c>
      <c r="F7" s="38" t="n">
        <f aca="false">SUMPRODUCT((LEFT('소재역산 트래커'!$D$5:$D$428,1)="Q")*1*'소재역산 트래커'!$AD$5:$AD$428)</f>
        <v>14354220000</v>
      </c>
      <c r="G7" s="39" t="n">
        <f aca="false">IF($F$9=0,"",F7/$F$9)</f>
        <v>0.0732772089768831</v>
      </c>
    </row>
    <row r="8" customFormat="false" ht="15" hidden="false" customHeight="false" outlineLevel="0" collapsed="false">
      <c r="B8" s="40" t="s">
        <v>1508</v>
      </c>
      <c r="C8" s="38" t="n">
        <f aca="false">SUMPRODUCT((LEFT('소재역산 트래커'!$D$5:$D$428,1)="8")*1)</f>
        <v>53</v>
      </c>
      <c r="D8" s="38" t="n">
        <f aca="false">SUMPRODUCT((LEFT('소재역산 트래커'!$D$5:$D$428,1)="8")*1*'소재역산 트래커'!$AB$5:$AB$428)</f>
        <v>0</v>
      </c>
      <c r="E8" s="38" t="n">
        <f aca="false">SUMPRODUCT((LEFT('소재역산 트래커'!$D$5:$D$428,1)="8")*1*'소재역산 트래커'!$AC$5:$AC$428)</f>
        <v>1077887679</v>
      </c>
      <c r="F8" s="38" t="n">
        <f aca="false">SUMPRODUCT((LEFT('소재역산 트래커'!$D$5:$D$428,1)="8")*1*'소재역산 트래커'!$AD$5:$AD$428)</f>
        <v>3558690000</v>
      </c>
      <c r="G8" s="39" t="n">
        <f aca="false">IF($F$9=0,"",F8/$F$9)</f>
        <v>0.0181668436748179</v>
      </c>
    </row>
    <row r="9" customFormat="false" ht="15" hidden="false" customHeight="false" outlineLevel="0" collapsed="false">
      <c r="B9" s="41" t="s">
        <v>1509</v>
      </c>
      <c r="C9" s="42" t="n">
        <f aca="false">SUM(C6:C8)</f>
        <v>424</v>
      </c>
      <c r="D9" s="42" t="n">
        <f aca="false">SUM(D6:D8)</f>
        <v>1413203</v>
      </c>
      <c r="E9" s="42" t="n">
        <f aca="false">SUM(E6:E8)</f>
        <v>38820910100</v>
      </c>
      <c r="F9" s="42" t="n">
        <f aca="false">SUM(F6:F8)</f>
        <v>195889284000</v>
      </c>
      <c r="G9" s="43" t="n">
        <f aca="false">IF(F9=0,"",1)</f>
        <v>1</v>
      </c>
    </row>
    <row r="12" customFormat="false" ht="16.15" hidden="false" customHeight="false" outlineLevel="0" collapsed="false">
      <c r="B12" s="7" t="s">
        <v>1510</v>
      </c>
    </row>
    <row r="13" customFormat="false" ht="15" hidden="false" customHeight="false" outlineLevel="0" collapsed="false">
      <c r="B13" s="18" t="s">
        <v>1511</v>
      </c>
    </row>
    <row r="15" customFormat="false" ht="15" hidden="false" customHeight="false" outlineLevel="0" collapsed="false">
      <c r="B15" s="36" t="s">
        <v>1502</v>
      </c>
      <c r="C15" s="36" t="s">
        <v>1503</v>
      </c>
      <c r="D15" s="36" t="s">
        <v>1504</v>
      </c>
      <c r="E15" s="36" t="s">
        <v>85</v>
      </c>
      <c r="F15" s="36" t="s">
        <v>86</v>
      </c>
    </row>
    <row r="16" customFormat="false" ht="15" hidden="false" customHeight="false" outlineLevel="0" collapsed="false">
      <c r="B16" s="37" t="s">
        <v>1512</v>
      </c>
      <c r="C16" s="38" t="n">
        <f aca="false">C6</f>
        <v>300</v>
      </c>
      <c r="D16" s="38" t="n">
        <f aca="false">D6</f>
        <v>1182563</v>
      </c>
      <c r="E16" s="38" t="n">
        <f aca="false">E6</f>
        <v>34859135121</v>
      </c>
      <c r="F16" s="38" t="n">
        <f aca="false">F6</f>
        <v>177976374000</v>
      </c>
    </row>
    <row r="17" customFormat="false" ht="15" hidden="false" customHeight="false" outlineLevel="0" collapsed="false">
      <c r="B17" s="37" t="s">
        <v>1513</v>
      </c>
      <c r="C17" s="38" t="n">
        <f aca="false">SUMPRODUCT((LEFT('소재역산 트래커'!$D$5:$D$428,1)&lt;&gt;"Q")*(LEFT('소재역산 트래커'!$D$5:$D$428,1)&lt;&gt;"8")*('소재역산 트래커'!$D$5:$D$428&lt;&gt;"")*('소재역산 트래커'!$P$5:$P$428="O"))</f>
        <v>49</v>
      </c>
      <c r="D17" s="38" t="n">
        <f aca="false">SUMPRODUCT((LEFT('소재역산 트래커'!$D$5:$D$428,1)&lt;&gt;"Q")*(LEFT('소재역산 트래커'!$D$5:$D$428,1)&lt;&gt;"8")*('소재역산 트래커'!$D$5:$D$428&lt;&gt;"")*('소재역산 트래커'!$P$5:$P$428="O")*'소재역산 트래커'!$AB$5:$AB$428)</f>
        <v>341500</v>
      </c>
      <c r="E17" s="38" t="n">
        <f aca="false">SUMPRODUCT((LEFT('소재역산 트래커'!$D$5:$D$428,1)&lt;&gt;"Q")*(LEFT('소재역산 트래커'!$D$5:$D$428,1)&lt;&gt;"8")*('소재역산 트래커'!$D$5:$D$428&lt;&gt;"")*('소재역산 트래커'!$P$5:$P$428="O")*'소재역산 트래커'!$AC$5:$AC$428)</f>
        <v>10029386100</v>
      </c>
      <c r="F17" s="38" t="n">
        <f aca="false">SUMPRODUCT((LEFT('소재역산 트래커'!$D$5:$D$428,1)&lt;&gt;"Q")*(LEFT('소재역산 트래커'!$D$5:$D$428,1)&lt;&gt;"8")*('소재역산 트래커'!$D$5:$D$428&lt;&gt;"")*('소재역산 트래커'!$P$5:$P$428="O")*'소재역산 트래커'!$AD$5:$AD$428)</f>
        <v>49277000000</v>
      </c>
    </row>
    <row r="18" customFormat="false" ht="15" hidden="false" customHeight="false" outlineLevel="0" collapsed="false">
      <c r="B18" s="44" t="s">
        <v>1514</v>
      </c>
      <c r="C18" s="45" t="n">
        <f aca="false">IF(C16=0,"",C17/C16)</f>
        <v>0.163333333333333</v>
      </c>
      <c r="D18" s="45" t="n">
        <f aca="false">IF(D16=0,"",D17/D16)</f>
        <v>0.288779540709459</v>
      </c>
      <c r="E18" s="45" t="n">
        <f aca="false">IF(E16=0,"",E17/E16)</f>
        <v>0.287711845551729</v>
      </c>
      <c r="F18" s="45" t="n">
        <f aca="false">IF(F16=0,"",F17/F16)</f>
        <v>0.276873828208232</v>
      </c>
    </row>
    <row r="20" customFormat="false" ht="15" hidden="false" customHeight="false" outlineLevel="0" collapsed="false">
      <c r="B20" s="12" t="s">
        <v>1515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2"/>
  </cols>
  <sheetData>
    <row r="2" customFormat="false" ht="19.4" hidden="false" customHeight="false" outlineLevel="0" collapsed="false">
      <c r="B2" s="17" t="s">
        <v>1516</v>
      </c>
    </row>
    <row r="3" customFormat="false" ht="15" hidden="false" customHeight="false" outlineLevel="0" collapsed="false">
      <c r="B3" s="6" t="str">
        <f aca="false"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>기준일: 2026-08-19  ·  소재마감 = 출고일 − 104일 − 휴무보정  ·  S 108 / M 244 / X 72</v>
      </c>
    </row>
    <row r="5" customFormat="false" ht="15" hidden="false" customHeight="false" outlineLevel="0" collapsed="false">
      <c r="B5" s="18" t="s">
        <v>1517</v>
      </c>
      <c r="D5" s="6" t="s">
        <v>1518</v>
      </c>
      <c r="F5" s="18" t="s">
        <v>1519</v>
      </c>
      <c r="H5" s="18" t="s">
        <v>1520</v>
      </c>
      <c r="J5" s="18" t="s">
        <v>1521</v>
      </c>
    </row>
    <row r="6" customFormat="false" ht="26.8" hidden="false" customHeight="false" outlineLevel="0" collapsed="false">
      <c r="B6" s="46" t="n">
        <f aca="false">COUNTA('소재역산 트래커'!$D$5:$D$428)</f>
        <v>424</v>
      </c>
      <c r="D6" s="46" t="n">
        <f aca="false">COUNTIF('소재역산 트래커'!$G$5:$G$428,"S(봄)")</f>
        <v>108</v>
      </c>
      <c r="F6" s="47" t="n">
        <f aca="false">COUNTIF('소재역산 트래커'!$AG$5:$AG$428,"★*")</f>
        <v>10</v>
      </c>
      <c r="H6" s="48" t="n">
        <f aca="false">COUNTIF('소재역산 트래커'!$AG$5:$AG$428,"◆*")</f>
        <v>25</v>
      </c>
      <c r="J6" s="49" t="n">
        <f aca="false">COUNTIF('소재역산 트래커'!$P$5:$P$428,"O")</f>
        <v>49</v>
      </c>
    </row>
    <row r="9" customFormat="false" ht="16.4" hidden="false" customHeight="false" outlineLevel="0" collapsed="false">
      <c r="B9" s="50" t="s">
        <v>1522</v>
      </c>
    </row>
    <row r="10" customFormat="false" ht="15" hidden="false" customHeight="false" outlineLevel="0" collapsed="false">
      <c r="B10" s="51" t="s">
        <v>59</v>
      </c>
      <c r="C10" s="36" t="s">
        <v>1503</v>
      </c>
      <c r="D10" s="51" t="s">
        <v>1523</v>
      </c>
      <c r="E10" s="36" t="s">
        <v>1524</v>
      </c>
      <c r="F10" s="36" t="s">
        <v>1525</v>
      </c>
      <c r="G10" s="36" t="s">
        <v>16</v>
      </c>
      <c r="H10" s="36" t="s">
        <v>1526</v>
      </c>
      <c r="I10" s="36" t="s">
        <v>1527</v>
      </c>
    </row>
    <row r="11" customFormat="false" ht="15" hidden="false" customHeight="false" outlineLevel="0" collapsed="false">
      <c r="B11" s="25" t="s">
        <v>155</v>
      </c>
      <c r="C11" s="24" t="n">
        <f aca="false">COUNTIF('소재역산 트래커'!$B$5:$B$428,$B11)</f>
        <v>42</v>
      </c>
      <c r="D11" s="24" t="n">
        <f aca="false">COUNTIFS('소재역산 트래커'!$B$5:$B$428,$B11,'소재역산 트래커'!$G$5:$G$428,"S(봄)")</f>
        <v>9</v>
      </c>
      <c r="E11" s="24" t="n">
        <f aca="false">COUNTIFS('소재역산 트래커'!$B$5:$B$428,$B11,'소재역산 트래커'!$Q$5:$Q$428,"X")+COUNTIFS('소재역산 트래커'!$B$5:$B$428,$B11,'소재역산 트래커'!$Q$5:$Q$428,"부분")</f>
        <v>6</v>
      </c>
      <c r="F11" s="24" t="n">
        <f aca="false">COUNTIFS('소재역산 트래커'!$B$5:$B$428,$B11,'소재역산 트래커'!$R$5:$R$428,"X")+COUNTIFS('소재역산 트래커'!$B$5:$B$428,$B11,'소재역산 트래커'!$R$5:$R$428,"부분")</f>
        <v>19</v>
      </c>
      <c r="G11" s="24" t="n">
        <f aca="false">COUNTIFS('소재역산 트래커'!$B$5:$B$428,$B11,'소재역산 트래커'!$P$5:$P$428,"O")</f>
        <v>13</v>
      </c>
      <c r="H11" s="24" t="n">
        <f aca="false">COUNTIFS('소재역산 트래커'!$B$5:$B$428,$B11,'소재역산 트래커'!$AG$5:$AG$428,"★*")</f>
        <v>2</v>
      </c>
      <c r="I11" s="24" t="n">
        <f aca="false">COUNTIFS('소재역산 트래커'!$B$5:$B$428,$B11,'소재역산 트래커'!$AH$5:$AH$428,"조율완료")</f>
        <v>0</v>
      </c>
    </row>
    <row r="12" customFormat="false" ht="15" hidden="false" customHeight="false" outlineLevel="0" collapsed="false">
      <c r="B12" s="25" t="s">
        <v>327</v>
      </c>
      <c r="C12" s="24" t="n">
        <f aca="false">COUNTIF('소재역산 트래커'!$B$5:$B$428,$B12)</f>
        <v>34</v>
      </c>
      <c r="D12" s="24" t="n">
        <f aca="false">COUNTIFS('소재역산 트래커'!$B$5:$B$428,$B12,'소재역산 트래커'!$G$5:$G$428,"S(봄)")</f>
        <v>11</v>
      </c>
      <c r="E12" s="24" t="n">
        <f aca="false">COUNTIFS('소재역산 트래커'!$B$5:$B$428,$B12,'소재역산 트래커'!$Q$5:$Q$428,"X")+COUNTIFS('소재역산 트래커'!$B$5:$B$428,$B12,'소재역산 트래커'!$Q$5:$Q$428,"부분")</f>
        <v>0</v>
      </c>
      <c r="F12" s="24" t="n">
        <f aca="false">COUNTIFS('소재역산 트래커'!$B$5:$B$428,$B12,'소재역산 트래커'!$R$5:$R$428,"X")+COUNTIFS('소재역산 트래커'!$B$5:$B$428,$B12,'소재역산 트래커'!$R$5:$R$428,"부분")</f>
        <v>4</v>
      </c>
      <c r="G12" s="24" t="n">
        <f aca="false">COUNTIFS('소재역산 트래커'!$B$5:$B$428,$B12,'소재역산 트래커'!$P$5:$P$428,"O")</f>
        <v>13</v>
      </c>
      <c r="H12" s="24" t="n">
        <f aca="false">COUNTIFS('소재역산 트래커'!$B$5:$B$428,$B12,'소재역산 트래커'!$AG$5:$AG$428,"★*")</f>
        <v>0</v>
      </c>
      <c r="I12" s="24" t="n">
        <f aca="false">COUNTIFS('소재역산 트래커'!$B$5:$B$428,$B12,'소재역산 트래커'!$AH$5:$AH$428,"조율완료")</f>
        <v>0</v>
      </c>
    </row>
    <row r="13" customFormat="false" ht="15" hidden="false" customHeight="false" outlineLevel="0" collapsed="false">
      <c r="B13" s="25" t="s">
        <v>270</v>
      </c>
      <c r="C13" s="24" t="n">
        <f aca="false">COUNTIF('소재역산 트래커'!$B$5:$B$428,$B13)</f>
        <v>59</v>
      </c>
      <c r="D13" s="24" t="n">
        <f aca="false">COUNTIFS('소재역산 트래커'!$B$5:$B$428,$B13,'소재역산 트래커'!$G$5:$G$428,"S(봄)")</f>
        <v>4</v>
      </c>
      <c r="E13" s="24" t="n">
        <f aca="false">COUNTIFS('소재역산 트래커'!$B$5:$B$428,$B13,'소재역산 트래커'!$Q$5:$Q$428,"X")+COUNTIFS('소재역산 트래커'!$B$5:$B$428,$B13,'소재역산 트래커'!$Q$5:$Q$428,"부분")</f>
        <v>1</v>
      </c>
      <c r="F13" s="24" t="n">
        <f aca="false">COUNTIFS('소재역산 트래커'!$B$5:$B$428,$B13,'소재역산 트래커'!$R$5:$R$428,"X")+COUNTIFS('소재역산 트래커'!$B$5:$B$428,$B13,'소재역산 트래커'!$R$5:$R$428,"부분")</f>
        <v>14</v>
      </c>
      <c r="G13" s="24" t="n">
        <f aca="false">COUNTIFS('소재역산 트래커'!$B$5:$B$428,$B13,'소재역산 트래커'!$P$5:$P$428,"O")</f>
        <v>1</v>
      </c>
      <c r="H13" s="24" t="n">
        <f aca="false">COUNTIFS('소재역산 트래커'!$B$5:$B$428,$B13,'소재역산 트래커'!$AG$5:$AG$428,"★*")</f>
        <v>0</v>
      </c>
      <c r="I13" s="24" t="n">
        <f aca="false">COUNTIFS('소재역산 트래커'!$B$5:$B$428,$B13,'소재역산 트래커'!$AH$5:$AH$428,"조율완료")</f>
        <v>0</v>
      </c>
    </row>
    <row r="14" customFormat="false" ht="15" hidden="false" customHeight="false" outlineLevel="0" collapsed="false">
      <c r="B14" s="25" t="s">
        <v>242</v>
      </c>
      <c r="C14" s="24" t="n">
        <f aca="false">COUNTIF('소재역산 트래커'!$B$5:$B$428,$B14)</f>
        <v>33</v>
      </c>
      <c r="D14" s="24" t="n">
        <f aca="false">COUNTIFS('소재역산 트래커'!$B$5:$B$428,$B14,'소재역산 트래커'!$G$5:$G$428,"S(봄)")</f>
        <v>4</v>
      </c>
      <c r="E14" s="24" t="n">
        <f aca="false">COUNTIFS('소재역산 트래커'!$B$5:$B$428,$B14,'소재역산 트래커'!$Q$5:$Q$428,"X")+COUNTIFS('소재역산 트래커'!$B$5:$B$428,$B14,'소재역산 트래커'!$Q$5:$Q$428,"부분")</f>
        <v>0</v>
      </c>
      <c r="F14" s="24" t="n">
        <f aca="false">COUNTIFS('소재역산 트래커'!$B$5:$B$428,$B14,'소재역산 트래커'!$R$5:$R$428,"X")+COUNTIFS('소재역산 트래커'!$B$5:$B$428,$B14,'소재역산 트래커'!$R$5:$R$428,"부분")</f>
        <v>19</v>
      </c>
      <c r="G14" s="24" t="n">
        <f aca="false">COUNTIFS('소재역산 트래커'!$B$5:$B$428,$B14,'소재역산 트래커'!$P$5:$P$428,"O")</f>
        <v>3</v>
      </c>
      <c r="H14" s="24" t="n">
        <f aca="false">COUNTIFS('소재역산 트래커'!$B$5:$B$428,$B14,'소재역산 트래커'!$AG$5:$AG$428,"★*")</f>
        <v>0</v>
      </c>
      <c r="I14" s="24" t="n">
        <f aca="false">COUNTIFS('소재역산 트래커'!$B$5:$B$428,$B14,'소재역산 트래커'!$AH$5:$AH$428,"조율완료")</f>
        <v>0</v>
      </c>
    </row>
    <row r="15" customFormat="false" ht="15" hidden="false" customHeight="false" outlineLevel="0" collapsed="false">
      <c r="B15" s="25" t="s">
        <v>250</v>
      </c>
      <c r="C15" s="24" t="n">
        <f aca="false">COUNTIF('소재역산 트래커'!$B$5:$B$428,$B15)</f>
        <v>49</v>
      </c>
      <c r="D15" s="24" t="n">
        <f aca="false">COUNTIFS('소재역산 트래커'!$B$5:$B$428,$B15,'소재역산 트래커'!$G$5:$G$428,"S(봄)")</f>
        <v>9</v>
      </c>
      <c r="E15" s="24" t="n">
        <f aca="false">COUNTIFS('소재역산 트래커'!$B$5:$B$428,$B15,'소재역산 트래커'!$Q$5:$Q$428,"X")+COUNTIFS('소재역산 트래커'!$B$5:$B$428,$B15,'소재역산 트래커'!$Q$5:$Q$428,"부분")</f>
        <v>6</v>
      </c>
      <c r="F15" s="24" t="n">
        <f aca="false">COUNTIFS('소재역산 트래커'!$B$5:$B$428,$B15,'소재역산 트래커'!$R$5:$R$428,"X")+COUNTIFS('소재역산 트래커'!$B$5:$B$428,$B15,'소재역산 트래커'!$R$5:$R$428,"부분")</f>
        <v>10</v>
      </c>
      <c r="G15" s="24" t="n">
        <f aca="false">COUNTIFS('소재역산 트래커'!$B$5:$B$428,$B15,'소재역산 트래커'!$P$5:$P$428,"O")</f>
        <v>5</v>
      </c>
      <c r="H15" s="24" t="n">
        <f aca="false">COUNTIFS('소재역산 트래커'!$B$5:$B$428,$B15,'소재역산 트래커'!$AG$5:$AG$428,"★*")</f>
        <v>2</v>
      </c>
      <c r="I15" s="24" t="n">
        <f aca="false">COUNTIFS('소재역산 트래커'!$B$5:$B$428,$B15,'소재역산 트래커'!$AH$5:$AH$428,"조율완료")</f>
        <v>0</v>
      </c>
    </row>
    <row r="16" customFormat="false" ht="15" hidden="false" customHeight="false" outlineLevel="0" collapsed="false">
      <c r="B16" s="25" t="s">
        <v>176</v>
      </c>
      <c r="C16" s="24" t="n">
        <f aca="false">COUNTIF('소재역산 트래커'!$B$5:$B$428,$B16)</f>
        <v>53</v>
      </c>
      <c r="D16" s="24" t="n">
        <f aca="false">COUNTIFS('소재역산 트래커'!$B$5:$B$428,$B16,'소재역산 트래커'!$G$5:$G$428,"S(봄)")</f>
        <v>17</v>
      </c>
      <c r="E16" s="24" t="n">
        <f aca="false">COUNTIFS('소재역산 트래커'!$B$5:$B$428,$B16,'소재역산 트래커'!$Q$5:$Q$428,"X")+COUNTIFS('소재역산 트래커'!$B$5:$B$428,$B16,'소재역산 트래커'!$Q$5:$Q$428,"부분")</f>
        <v>5</v>
      </c>
      <c r="F16" s="24" t="n">
        <f aca="false">COUNTIFS('소재역산 트래커'!$B$5:$B$428,$B16,'소재역산 트래커'!$R$5:$R$428,"X")+COUNTIFS('소재역산 트래커'!$B$5:$B$428,$B16,'소재역산 트래커'!$R$5:$R$428,"부분")</f>
        <v>46</v>
      </c>
      <c r="G16" s="24" t="n">
        <f aca="false">COUNTIFS('소재역산 트래커'!$B$5:$B$428,$B16,'소재역산 트래커'!$P$5:$P$428,"O")</f>
        <v>0</v>
      </c>
      <c r="H16" s="24" t="n">
        <f aca="false">COUNTIFS('소재역산 트래커'!$B$5:$B$428,$B16,'소재역산 트래커'!$AG$5:$AG$428,"★*")</f>
        <v>2</v>
      </c>
      <c r="I16" s="24" t="n">
        <f aca="false">COUNTIFS('소재역산 트래커'!$B$5:$B$428,$B16,'소재역산 트래커'!$AH$5:$AH$428,"조율완료")</f>
        <v>0</v>
      </c>
    </row>
    <row r="17" customFormat="false" ht="15" hidden="false" customHeight="false" outlineLevel="0" collapsed="false">
      <c r="B17" s="25" t="s">
        <v>266</v>
      </c>
      <c r="C17" s="24" t="n">
        <f aca="false">COUNTIF('소재역산 트래커'!$B$5:$B$428,$B17)</f>
        <v>41</v>
      </c>
      <c r="D17" s="24" t="n">
        <f aca="false">COUNTIFS('소재역산 트래커'!$B$5:$B$428,$B17,'소재역산 트래커'!$G$5:$G$428,"S(봄)")</f>
        <v>19</v>
      </c>
      <c r="E17" s="24" t="n">
        <f aca="false">COUNTIFS('소재역산 트래커'!$B$5:$B$428,$B17,'소재역산 트래커'!$Q$5:$Q$428,"X")+COUNTIFS('소재역산 트래커'!$B$5:$B$428,$B17,'소재역산 트래커'!$Q$5:$Q$428,"부분")</f>
        <v>7</v>
      </c>
      <c r="F17" s="24" t="n">
        <f aca="false">COUNTIFS('소재역산 트래커'!$B$5:$B$428,$B17,'소재역산 트래커'!$R$5:$R$428,"X")+COUNTIFS('소재역산 트래커'!$B$5:$B$428,$B17,'소재역산 트래커'!$R$5:$R$428,"부분")</f>
        <v>30</v>
      </c>
      <c r="G17" s="24" t="n">
        <f aca="false">COUNTIFS('소재역산 트래커'!$B$5:$B$428,$B17,'소재역산 트래커'!$P$5:$P$428,"O")</f>
        <v>3</v>
      </c>
      <c r="H17" s="24" t="n">
        <f aca="false">COUNTIFS('소재역산 트래커'!$B$5:$B$428,$B17,'소재역산 트래커'!$AG$5:$AG$428,"★*")</f>
        <v>3</v>
      </c>
      <c r="I17" s="24" t="n">
        <f aca="false">COUNTIFS('소재역산 트래커'!$B$5:$B$428,$B17,'소재역산 트래커'!$AH$5:$AH$428,"조율완료")</f>
        <v>0</v>
      </c>
    </row>
    <row r="18" customFormat="false" ht="15" hidden="false" customHeight="false" outlineLevel="0" collapsed="false">
      <c r="B18" s="25" t="s">
        <v>308</v>
      </c>
      <c r="C18" s="24" t="n">
        <f aca="false">COUNTIF('소재역산 트래커'!$B$5:$B$428,$B18)</f>
        <v>34</v>
      </c>
      <c r="D18" s="24" t="n">
        <f aca="false">COUNTIFS('소재역산 트래커'!$B$5:$B$428,$B18,'소재역산 트래커'!$G$5:$G$428,"S(봄)")</f>
        <v>15</v>
      </c>
      <c r="E18" s="24" t="n">
        <f aca="false">COUNTIFS('소재역산 트래커'!$B$5:$B$428,$B18,'소재역산 트래커'!$Q$5:$Q$428,"X")+COUNTIFS('소재역산 트래커'!$B$5:$B$428,$B18,'소재역산 트래커'!$Q$5:$Q$428,"부분")</f>
        <v>0</v>
      </c>
      <c r="F18" s="24" t="n">
        <f aca="false">COUNTIFS('소재역산 트래커'!$B$5:$B$428,$B18,'소재역산 트래커'!$R$5:$R$428,"X")+COUNTIFS('소재역산 트래커'!$B$5:$B$428,$B18,'소재역산 트래커'!$R$5:$R$428,"부분")</f>
        <v>8</v>
      </c>
      <c r="G18" s="24" t="n">
        <f aca="false">COUNTIFS('소재역산 트래커'!$B$5:$B$428,$B18,'소재역산 트래커'!$P$5:$P$428,"O")</f>
        <v>11</v>
      </c>
      <c r="H18" s="24" t="n">
        <f aca="false">COUNTIFS('소재역산 트래커'!$B$5:$B$428,$B18,'소재역산 트래커'!$AG$5:$AG$428,"★*")</f>
        <v>0</v>
      </c>
      <c r="I18" s="24" t="n">
        <f aca="false">COUNTIFS('소재역산 트래커'!$B$5:$B$428,$B18,'소재역산 트래커'!$AH$5:$AH$428,"조율완료")</f>
        <v>0</v>
      </c>
    </row>
    <row r="19" customFormat="false" ht="15" hidden="false" customHeight="false" outlineLevel="0" collapsed="false">
      <c r="B19" s="25" t="s">
        <v>948</v>
      </c>
      <c r="C19" s="24" t="n">
        <f aca="false">COUNTIF('소재역산 트래커'!$B$5:$B$428,$B19)</f>
        <v>54</v>
      </c>
      <c r="D19" s="24" t="n">
        <f aca="false">COUNTIFS('소재역산 트래커'!$B$5:$B$428,$B19,'소재역산 트래커'!$G$5:$G$428,"S(봄)")</f>
        <v>0</v>
      </c>
      <c r="E19" s="24" t="n">
        <f aca="false">COUNTIFS('소재역산 트래커'!$B$5:$B$428,$B19,'소재역산 트래커'!$Q$5:$Q$428,"X")+COUNTIFS('소재역산 트래커'!$B$5:$B$428,$B19,'소재역산 트래커'!$Q$5:$Q$428,"부분")</f>
        <v>9</v>
      </c>
      <c r="F19" s="24" t="n">
        <f aca="false">COUNTIFS('소재역산 트래커'!$B$5:$B$428,$B19,'소재역산 트래커'!$R$5:$R$428,"X")+COUNTIFS('소재역산 트래커'!$B$5:$B$428,$B19,'소재역산 트래커'!$R$5:$R$428,"부분")</f>
        <v>19</v>
      </c>
      <c r="G19" s="24" t="n">
        <f aca="false">COUNTIFS('소재역산 트래커'!$B$5:$B$428,$B19,'소재역산 트래커'!$P$5:$P$428,"O")</f>
        <v>0</v>
      </c>
      <c r="H19" s="24" t="n">
        <f aca="false">COUNTIFS('소재역산 트래커'!$B$5:$B$428,$B19,'소재역산 트래커'!$AG$5:$AG$428,"★*")</f>
        <v>0</v>
      </c>
      <c r="I19" s="24" t="n">
        <f aca="false">COUNTIFS('소재역산 트래커'!$B$5:$B$428,$B19,'소재역산 트래커'!$AH$5:$AH$428,"조율완료")</f>
        <v>0</v>
      </c>
    </row>
    <row r="20" customFormat="false" ht="15" hidden="false" customHeight="false" outlineLevel="0" collapsed="false">
      <c r="B20" s="25" t="s">
        <v>92</v>
      </c>
      <c r="C20" s="24" t="n">
        <f aca="false">COUNTIF('소재역산 트래커'!$B$5:$B$428,$B20)</f>
        <v>25</v>
      </c>
      <c r="D20" s="24" t="n">
        <f aca="false">COUNTIFS('소재역산 트래커'!$B$5:$B$428,$B20,'소재역산 트래커'!$G$5:$G$428,"S(봄)")</f>
        <v>20</v>
      </c>
      <c r="E20" s="24" t="n">
        <f aca="false">COUNTIFS('소재역산 트래커'!$B$5:$B$428,$B20,'소재역산 트래커'!$Q$5:$Q$428,"X")+COUNTIFS('소재역산 트래커'!$B$5:$B$428,$B20,'소재역산 트래커'!$Q$5:$Q$428,"부분")</f>
        <v>1</v>
      </c>
      <c r="F20" s="24" t="n">
        <f aca="false">COUNTIFS('소재역산 트래커'!$B$5:$B$428,$B20,'소재역산 트래커'!$R$5:$R$428,"X")+COUNTIFS('소재역산 트래커'!$B$5:$B$428,$B20,'소재역산 트래커'!$R$5:$R$428,"부분")</f>
        <v>2</v>
      </c>
      <c r="G20" s="24" t="n">
        <f aca="false">COUNTIFS('소재역산 트래커'!$B$5:$B$428,$B20,'소재역산 트래커'!$P$5:$P$428,"O")</f>
        <v>0</v>
      </c>
      <c r="H20" s="24" t="n">
        <f aca="false">COUNTIFS('소재역산 트래커'!$B$5:$B$428,$B20,'소재역산 트래커'!$AG$5:$AG$428,"★*")</f>
        <v>1</v>
      </c>
      <c r="I20" s="24" t="n">
        <f aca="false">COUNTIFS('소재역산 트래커'!$B$5:$B$428,$B20,'소재역산 트래커'!$AH$5:$AH$428,"조율완료")</f>
        <v>0</v>
      </c>
    </row>
    <row r="21" customFormat="false" ht="15" hidden="false" customHeight="false" outlineLevel="0" collapsed="false">
      <c r="B21" s="52" t="s">
        <v>1509</v>
      </c>
      <c r="C21" s="53" t="n">
        <f aca="false">SUM(C11:C20)</f>
        <v>424</v>
      </c>
      <c r="D21" s="53" t="n">
        <f aca="false">SUM(D11:D20)</f>
        <v>108</v>
      </c>
      <c r="E21" s="53" t="n">
        <f aca="false">SUM(E11:E20)</f>
        <v>35</v>
      </c>
      <c r="F21" s="53" t="n">
        <f aca="false">SUM(F11:F20)</f>
        <v>171</v>
      </c>
      <c r="G21" s="53" t="n">
        <f aca="false">SUM(G11:G20)</f>
        <v>49</v>
      </c>
      <c r="H21" s="53" t="n">
        <f aca="false">SUM(H11:H20)</f>
        <v>10</v>
      </c>
      <c r="I21" s="53" t="n">
        <f aca="false">SUM(I11:I20)</f>
        <v>0</v>
      </c>
    </row>
    <row r="24" customFormat="false" ht="16.4" hidden="false" customHeight="false" outlineLevel="0" collapsed="false">
      <c r="B24" s="13" t="s">
        <v>1528</v>
      </c>
    </row>
    <row r="25" customFormat="false" ht="15" hidden="false" customHeight="true" outlineLevel="0" collapsed="false">
      <c r="B25" s="54" t="s">
        <v>1529</v>
      </c>
      <c r="C25" s="54"/>
      <c r="D25" s="54"/>
      <c r="E25" s="54"/>
      <c r="F25" s="54"/>
      <c r="G25" s="54"/>
      <c r="H25" s="54"/>
      <c r="I25" s="54"/>
    </row>
    <row r="26" customFormat="false" ht="15" hidden="false" customHeight="false" outlineLevel="0" collapsed="false">
      <c r="B26" s="54"/>
      <c r="C26" s="54"/>
      <c r="D26" s="54"/>
      <c r="E26" s="54"/>
      <c r="F26" s="54"/>
      <c r="G26" s="54"/>
      <c r="H26" s="54"/>
      <c r="I26" s="54"/>
    </row>
    <row r="27" customFormat="false" ht="15" hidden="false" customHeight="false" outlineLevel="0" collapsed="false">
      <c r="B27" s="54"/>
      <c r="C27" s="54"/>
      <c r="D27" s="54"/>
      <c r="E27" s="54"/>
      <c r="F27" s="54"/>
      <c r="G27" s="54"/>
      <c r="H27" s="54"/>
      <c r="I27" s="54"/>
    </row>
    <row r="28" customFormat="false" ht="15" hidden="false" customHeight="false" outlineLevel="0" collapsed="false">
      <c r="B28" s="54"/>
      <c r="C28" s="54"/>
      <c r="D28" s="54"/>
      <c r="E28" s="54"/>
      <c r="F28" s="54"/>
      <c r="G28" s="54"/>
      <c r="H28" s="54"/>
      <c r="I28" s="54"/>
    </row>
    <row r="29" customFormat="false" ht="15" hidden="false" customHeight="false" outlineLevel="0" collapsed="false">
      <c r="B29" s="54"/>
      <c r="C29" s="54"/>
      <c r="D29" s="54"/>
      <c r="E29" s="54"/>
      <c r="F29" s="54"/>
      <c r="G29" s="54"/>
      <c r="H29" s="54"/>
      <c r="I29" s="54"/>
    </row>
    <row r="30" customFormat="false" ht="15" hidden="false" customHeight="false" outlineLevel="0" collapsed="false">
      <c r="B30" s="54"/>
      <c r="C30" s="54"/>
      <c r="D30" s="54"/>
      <c r="E30" s="54"/>
      <c r="F30" s="54"/>
      <c r="G30" s="54"/>
      <c r="H30" s="54"/>
      <c r="I30" s="54"/>
    </row>
  </sheetData>
  <mergeCells count="1">
    <mergeCell ref="B25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2026-08-19T06:00:57Z</dcterms:created>
  <dc:creator>openpyxl</dc:creator>
  <dc:description/>
  <dc:language>en-US</dc:language>
  <cp:lastModifiedBy/>
  <dcterms:modified xsi:type="dcterms:W3CDTF">2026-08-19T06:00:58Z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