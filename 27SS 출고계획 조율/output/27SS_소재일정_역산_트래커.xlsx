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전년출고참조" sheetId="3" state="visible" r:id="rId5"/>
    <sheet name="소재역산 트래커" sheetId="4" state="visible" r:id="rId6"/>
    <sheet name="리스크 요약" sheetId="5" state="visible" r:id="rId7"/>
  </sheets>
  <definedNames>
    <definedName function="false" hidden="true" localSheetId="3" name="_xlnm._FilterDatabase" vbProcedure="false">'소재역산 트래커'!$A$4:$W$419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<sst xmlns="http://schemas.openxmlformats.org/spreadsheetml/2006/main" count="3154" uniqueCount="990">
  <si>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출고계획 기준 소재일정 역산</t>
    </r>
    <r>
      <rPr>
        <b val="true"/>
        <sz val="16"/>
        <color rgb="FFFFFFFF"/>
        <rFont val="맑은 고딕"/>
        <family val="0"/>
        <charset val="1"/>
      </rPr>
      <t xml:space="preserve">(D-90) </t>
    </r>
    <r>
      <rPr>
        <b val="true"/>
        <sz val="16"/>
        <color rgb="FFFFFFFF"/>
        <rFont val="WenQuanYi Zen Hei"/>
        <family val="2"/>
      </rPr>
      <t xml:space="preserve">트래커 — 전체 </t>
    </r>
    <r>
      <rPr>
        <b val="true"/>
        <sz val="16"/>
        <color rgb="FFFFFFFF"/>
        <rFont val="맑은 고딕"/>
        <family val="0"/>
        <charset val="1"/>
      </rPr>
      <t xml:space="preserve">415</t>
    </r>
    <r>
      <rPr>
        <b val="true"/>
        <sz val="16"/>
        <color rgb="FFFFFFFF"/>
        <rFont val="WenQuanYi Zen Hei"/>
        <family val="2"/>
      </rPr>
      <t xml:space="preserve">개 스타일</t>
    </r>
  </si>
  <si>
    <t xml:space="preserve">목적</t>
  </si>
  <si>
    <t xml:space="preserve">영업MD 출고계획일 기준 90일을 역산해 소재 입고 마감일을 산출하고,</t>
  </si>
  <si>
    <t xml:space="preserve">① 소재 입고가 마감일을 초과하거나 ② 현시점 작업지시서(일매)가 등록되지 않은 S코드(봄상품)를</t>
  </si>
  <si>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으로 식별하여 생산처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본사 소재팀과 사전 조율하기 위한 트래커입니다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</si>
  <si>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판정 로직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</si>
  <si>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출고예정일 우선순위</t>
    </r>
    <r>
      <rPr>
        <sz val="11"/>
        <color rgb="FF212121"/>
        <rFont val="맑은 고딕"/>
        <family val="0"/>
        <charset val="1"/>
      </rPr>
      <t xml:space="preserve">: ① </t>
    </r>
    <r>
      <rPr>
        <sz val="11"/>
        <color rgb="FF212121"/>
        <rFont val="WenQuanYi Zen Hei"/>
        <family val="2"/>
      </rPr>
      <t xml:space="preserve">영업 계획 주차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예</t>
    </r>
    <r>
      <rPr>
        <sz val="11"/>
        <color rgb="FF212121"/>
        <rFont val="맑은 고딕"/>
        <family val="0"/>
        <charset val="1"/>
      </rPr>
      <t xml:space="preserve">: 1</t>
    </r>
    <r>
      <rPr>
        <sz val="11"/>
        <color rgb="FF212121"/>
        <rFont val="WenQuanYi Zen Hei"/>
        <family val="2"/>
      </rPr>
      <t xml:space="preserve">월</t>
    </r>
    <r>
      <rPr>
        <sz val="11"/>
        <color rgb="FF212121"/>
        <rFont val="맑은 고딕"/>
        <family val="0"/>
        <charset val="1"/>
      </rPr>
      <t xml:space="preserve">3</t>
    </r>
    <r>
      <rPr>
        <sz val="11"/>
        <color rgb="FF212121"/>
        <rFont val="WenQuanYi Zen Hei"/>
        <family val="2"/>
      </rPr>
      <t xml:space="preserve">주 → </t>
    </r>
    <r>
      <rPr>
        <sz val="11"/>
        <color rgb="FF212121"/>
        <rFont val="맑은 고딕"/>
        <family val="0"/>
        <charset val="1"/>
      </rPr>
      <t xml:space="preserve">15</t>
    </r>
    <r>
      <rPr>
        <sz val="11"/>
        <color rgb="FF212121"/>
        <rFont val="WenQuanYi Zen Hei"/>
        <family val="2"/>
      </rPr>
      <t xml:space="preserve">일 환산</t>
    </r>
    <r>
      <rPr>
        <sz val="11"/>
        <color rgb="FF212121"/>
        <rFont val="맑은 고딕"/>
        <family val="0"/>
        <charset val="1"/>
      </rPr>
      <t xml:space="preserve">,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</si>
  <si>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t xml:space="preserve">  ② 전년(26SS) 동일품번 출고일 +1년(364일) 예측  ③ 전산 입고계획일(참고용 — 전산 일정은 미보정 상태)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</si>
  <si>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리드타임은 </t>
    </r>
    <r>
      <rPr>
        <sz val="11"/>
        <color rgb="FF212121"/>
        <rFont val="맑은 고딕"/>
        <family val="0"/>
        <charset val="1"/>
      </rPr>
      <t xml:space="preserve">[</t>
    </r>
    <r>
      <rPr>
        <sz val="11"/>
        <color rgb="FF212121"/>
        <rFont val="WenQuanYi Zen Hei"/>
        <family val="2"/>
      </rPr>
      <t xml:space="preserve">기준정보</t>
    </r>
    <r>
      <rPr>
        <sz val="11"/>
        <color rgb="FF212121"/>
        <rFont val="맑은 고딕"/>
        <family val="0"/>
        <charset val="1"/>
      </rPr>
      <t xml:space="preserve">]</t>
    </r>
    <r>
      <rPr>
        <sz val="11"/>
        <color rgb="FF212121"/>
        <rFont val="WenQuanYi Zen Hei"/>
        <family val="2"/>
      </rPr>
      <t xml:space="preserve">에서 조정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</si>
  <si>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작지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일매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미등록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일부 미등록 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 </t>
    </r>
    <r>
      <rPr>
        <sz val="11"/>
        <color rgb="FF212121"/>
        <rFont val="맑은 고딕"/>
        <family val="0"/>
        <charset val="1"/>
      </rPr>
      <t xml:space="preserve">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</t>
    </r>
    <r>
      <rPr>
        <sz val="11"/>
        <color rgb="FF212121"/>
        <rFont val="WenQuanYi Zen Hei"/>
        <family val="2"/>
      </rPr>
      <t xml:space="preserve">그 외 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</si>
  <si>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책임</t>
    </r>
    <r>
      <rPr>
        <sz val="11"/>
        <color rgb="FF212121"/>
        <rFont val="맑은 고딕"/>
        <family val="0"/>
        <charset val="1"/>
      </rPr>
      <t xml:space="preserve">: CMT</t>
    </r>
    <r>
      <rPr>
        <sz val="11"/>
        <color rgb="FF212121"/>
        <rFont val="WenQuanYi Zen Hei"/>
        <family val="2"/>
      </rPr>
      <t xml:space="preserve">생산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사입생산</t>
    </r>
    <r>
      <rPr>
        <sz val="11"/>
        <color rgb="FF212121"/>
        <rFont val="맑은 고딕"/>
        <family val="0"/>
        <charset val="1"/>
      </rPr>
      <t xml:space="preserve">·Buying = </t>
    </r>
    <r>
      <rPr>
        <sz val="11"/>
        <color rgb="FF212121"/>
        <rFont val="WenQuanYi Zen Hei"/>
        <family val="2"/>
      </rPr>
      <t xml:space="preserve">생산처 — 전산 생산형태 기준 자동 표기</t>
    </r>
  </si>
  <si>
    <t xml:space="preserve">입력 안내 (노란색 셀 = 입력, 검정 = 자동계산)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</si>
  <si>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예상출고일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): </t>
    </r>
    <r>
      <rPr>
        <sz val="11"/>
        <color rgb="FF212121"/>
        <rFont val="WenQuanYi Zen Hei"/>
        <family val="2"/>
      </rPr>
      <t xml:space="preserve">영업 출고계획 확정 시 입력 —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개 스타일은 상품운영안 </t>
    </r>
    <r>
      <rPr>
        <sz val="11"/>
        <color rgb="FF212121"/>
        <rFont val="맑은 고딕"/>
        <family val="0"/>
        <charset val="1"/>
      </rPr>
      <t xml:space="preserve">Total </t>
    </r>
    <r>
      <rPr>
        <sz val="11"/>
        <color rgb="FF212121"/>
        <rFont val="WenQuanYi Zen Hei"/>
        <family val="2"/>
      </rPr>
      <t xml:space="preserve">시트에서 선반영됨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</si>
  <si>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작지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일매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등록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전산 일매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디자인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결재 여부로 초기값 세팅</t>
    </r>
    <r>
      <rPr>
        <sz val="11"/>
        <color rgb="FF212121"/>
        <rFont val="맑은 고딕"/>
        <family val="0"/>
        <charset val="1"/>
      </rPr>
      <t xml:space="preserve">(O/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/X) — </t>
    </r>
    <r>
      <rPr>
        <sz val="11"/>
        <color rgb="FF212121"/>
        <rFont val="WenQuanYi Zen Hei"/>
        <family val="2"/>
      </rPr>
      <t xml:space="preserve">실제 작지 기준으로 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</si>
  <si>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 입력</t>
    </r>
  </si>
  <si>
    <r>
      <rPr>
        <sz val="11"/>
        <color rgb="FF212121"/>
        <rFont val="맑은 고딕"/>
        <family val="0"/>
        <charset val="1"/>
      </rPr>
      <t xml:space="preserve">· [</t>
    </r>
    <r>
      <rPr>
        <sz val="11"/>
        <color rgb="FF212121"/>
        <rFont val="WenQuanYi Zen Hei"/>
        <family val="2"/>
      </rPr>
      <t xml:space="preserve">전년출고참조</t>
    </r>
    <r>
      <rPr>
        <sz val="11"/>
        <color rgb="FF212121"/>
        <rFont val="맑은 고딕"/>
        <family val="0"/>
        <charset val="1"/>
      </rPr>
      <t xml:space="preserve">]: MIX(</t>
    </r>
    <r>
      <rPr>
        <sz val="11"/>
        <color rgb="FF212121"/>
        <rFont val="WenQuanYi Zen Hei"/>
        <family val="2"/>
      </rPr>
      <t xml:space="preserve">수불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탭의 품번</t>
    </r>
    <r>
      <rPr>
        <sz val="11"/>
        <color rgb="FF212121"/>
        <rFont val="맑은 고딕"/>
        <family val="0"/>
        <charset val="1"/>
      </rPr>
      <t xml:space="preserve">+AT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을 붙여넣으면 전년 예측 매칭율이 올라갑니다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</si>
  <si>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</si>
  <si>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스타일 마스터</t>
    </r>
    <r>
      <rPr>
        <sz val="10"/>
        <color rgb="FF666666"/>
        <rFont val="맑은 고딕"/>
        <family val="0"/>
        <charset val="1"/>
      </rPr>
      <t xml:space="preserve">: '27SS </t>
    </r>
    <r>
      <rPr>
        <sz val="10"/>
        <color rgb="FF666666"/>
        <rFont val="WenQuanYi Zen Hei"/>
        <family val="2"/>
      </rPr>
      <t xml:space="preserve">생산 프로세스 진척현황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자동화</t>
    </r>
    <r>
      <rPr>
        <sz val="10"/>
        <color rgb="FF666666"/>
        <rFont val="맑은 고딕"/>
        <family val="0"/>
        <charset val="1"/>
      </rPr>
      <t xml:space="preserve">)' EDW_RAW </t>
    </r>
    <r>
      <rPr>
        <sz val="10"/>
        <color rgb="FF666666"/>
        <rFont val="WenQuanYi Zen Hei"/>
        <family val="2"/>
      </rPr>
      <t xml:space="preserve">탭 전체 </t>
    </r>
    <r>
      <rPr>
        <sz val="10"/>
        <color rgb="FF666666"/>
        <rFont val="맑은 고딕"/>
        <family val="0"/>
        <charset val="1"/>
      </rPr>
      <t xml:space="preserve">(884</t>
    </r>
    <r>
      <rPr>
        <sz val="10"/>
        <color rgb="FF666666"/>
        <rFont val="WenQuanYi Zen Hei"/>
        <family val="2"/>
      </rPr>
      <t xml:space="preserve">컬러 → </t>
    </r>
    <r>
      <rPr>
        <sz val="10"/>
        <color rgb="FF666666"/>
        <rFont val="맑은 고딕"/>
        <family val="0"/>
        <charset val="1"/>
      </rPr>
      <t xml:space="preserve">415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2026-08-06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</si>
  <si>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예상출고일 주차</t>
    </r>
    <r>
      <rPr>
        <sz val="10"/>
        <color rgb="FF666666"/>
        <rFont val="맑은 고딕"/>
        <family val="0"/>
        <charset val="1"/>
      </rPr>
      <t xml:space="preserve">: '27SS </t>
    </r>
    <r>
      <rPr>
        <sz val="10"/>
        <color rgb="FF666666"/>
        <rFont val="WenQuanYi Zen Hei"/>
        <family val="2"/>
      </rPr>
      <t xml:space="preserve">상품운영안</t>
    </r>
    <r>
      <rPr>
        <sz val="10"/>
        <color rgb="FF666666"/>
        <rFont val="맑은 고딕"/>
        <family val="0"/>
        <charset val="1"/>
      </rPr>
      <t xml:space="preserve">' Total </t>
    </r>
    <r>
      <rPr>
        <sz val="10"/>
        <color rgb="FF666666"/>
        <rFont val="WenQuanYi Zen Hei"/>
        <family val="2"/>
      </rPr>
      <t xml:space="preserve">시트 추출분 </t>
    </r>
    <r>
      <rPr>
        <sz val="10"/>
        <color rgb="FF666666"/>
        <rFont val="맑은 고딕"/>
        <family val="0"/>
        <charset val="1"/>
      </rPr>
      <t xml:space="preserve">90</t>
    </r>
    <r>
      <rPr>
        <sz val="10"/>
        <color rgb="FF666666"/>
        <rFont val="WenQuanYi Zen Hei"/>
        <family val="2"/>
      </rPr>
      <t xml:space="preserve">건 선반영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나머지는 전년 예측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전산 참고로 대체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</si>
  <si>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전산 입고계획일은 현재 </t>
    </r>
    <r>
      <rPr>
        <sz val="10"/>
        <color rgb="FF666666"/>
        <rFont val="맑은 고딕"/>
        <family val="0"/>
        <charset val="1"/>
      </rPr>
      <t xml:space="preserve">1</t>
    </r>
    <r>
      <rPr>
        <sz val="10"/>
        <color rgb="FF666666"/>
        <rFont val="WenQuanYi Zen Hei"/>
        <family val="2"/>
      </rPr>
      <t xml:space="preserve">월 초에 집중되어 있어 참고용입니다 — 실제 영업 출고차순 기준 조율이 이 트래커의 목적입니다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</si>
  <si>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기준정보 (노란색 = 조정 가능한 입력값)</t>
  </si>
  <si>
    <t xml:space="preserve">기준일 (오늘)</t>
  </si>
  <si>
    <t xml:space="preserve">판정 기준일. 파일 열 때 자동 갱신</t>
  </si>
  <si>
    <t xml:space="preserve">소재입고 리드타임(일)</t>
  </si>
  <si>
    <t xml:space="preserve">출고일 기준 역산 일수 (봉제/검품/물류 리드타임)</t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</si>
  <si>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</si>
  <si>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</si>
  <si>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소재입고 책임 구분</t>
  </si>
  <si>
    <r>
      <rPr>
        <b val="true"/>
        <sz val="11"/>
        <color rgb="FF2C5F2D"/>
        <rFont val="맑은 고딕"/>
        <family val="0"/>
        <charset val="1"/>
      </rPr>
      <t xml:space="preserve">CMT</t>
    </r>
    <r>
      <rPr>
        <b val="true"/>
        <sz val="11"/>
        <color rgb="FF2C5F2D"/>
        <rFont val="WenQuanYi Zen Hei"/>
        <family val="2"/>
      </rPr>
      <t xml:space="preserve">생산</t>
    </r>
  </si>
  <si>
    <t xml:space="preserve">본사(소재팀) 책임 — 소재 발주·입고 본사 컨트롤</t>
  </si>
  <si>
    <t xml:space="preserve">사입생산 / Buying</t>
  </si>
  <si>
    <t xml:space="preserve">생산처 책임 — 생산처가 소재 수배·입고 컨트롤</t>
  </si>
  <si>
    <t xml:space="preserve">전년(26SS) 출고일 참조 — MIX(수불) 탭 AT열 기준</t>
  </si>
  <si>
    <r>
      <rPr>
        <sz val="9"/>
        <color rgb="FF666666"/>
        <rFont val="맑은 고딕"/>
        <family val="0"/>
        <charset val="1"/>
      </rPr>
      <t xml:space="preserve">MIX </t>
    </r>
    <r>
      <rPr>
        <sz val="9"/>
        <color rgb="FF666666"/>
        <rFont val="WenQuanYi Zen Hei"/>
        <family val="2"/>
      </rPr>
      <t xml:space="preserve">탭에서 품번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컬러 제외 </t>
    </r>
    <r>
      <rPr>
        <sz val="9"/>
        <color rgb="FF666666"/>
        <rFont val="맑은 고딕"/>
        <family val="0"/>
        <charset val="1"/>
      </rPr>
      <t xml:space="preserve">10</t>
    </r>
    <r>
      <rPr>
        <sz val="9"/>
        <color rgb="FF666666"/>
        <rFont val="WenQuanYi Zen Hei"/>
        <family val="2"/>
      </rPr>
      <t xml:space="preserve">자리</t>
    </r>
    <r>
      <rPr>
        <sz val="9"/>
        <color rgb="FF666666"/>
        <rFont val="맑은 고딕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과 </t>
    </r>
    <r>
      <rPr>
        <sz val="9"/>
        <color rgb="FF666666"/>
        <rFont val="맑은 고딕"/>
        <family val="0"/>
        <charset val="1"/>
      </rPr>
      <t xml:space="preserve">AT</t>
    </r>
    <r>
      <rPr>
        <sz val="9"/>
        <color rgb="FF666666"/>
        <rFont val="WenQuanYi Zen Hei"/>
        <family val="2"/>
      </rPr>
      <t xml:space="preserve">열 출고일을 복사해 아래에 계속 붙여넣으세요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주차</t>
    </r>
    <r>
      <rPr>
        <sz val="9"/>
        <color rgb="FF666666"/>
        <rFont val="맑은 고딕"/>
        <family val="0"/>
        <charset val="1"/>
      </rPr>
      <t xml:space="preserve">(2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와 날짜 형식 모두 인식합니다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</si>
  <si>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품번(26SS)</t>
  </si>
  <si>
    <t xml:space="preserve">출고일(주차 또는 날짜)</t>
  </si>
  <si>
    <t xml:space="preserve">출처</t>
  </si>
  <si>
    <t xml:space="preserve">8GPNS26101</t>
  </si>
  <si>
    <r>
      <rPr>
        <sz val="10"/>
        <rFont val="맑은 고딕"/>
        <family val="0"/>
        <charset val="1"/>
      </rPr>
      <t xml:space="preserve">26SS </t>
    </r>
    <r>
      <rPr>
        <sz val="10"/>
        <rFont val="WenQuanYi Zen Hei"/>
        <family val="2"/>
      </rPr>
      <t xml:space="preserve">최초입고일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전산</t>
    </r>
    <r>
      <rPr>
        <sz val="10"/>
        <rFont val="맑은 고딕"/>
        <family val="0"/>
        <charset val="1"/>
      </rPr>
      <t xml:space="preserve">)</t>
    </r>
  </si>
  <si>
    <t xml:space="preserve">8HPNS26102</t>
  </si>
  <si>
    <t xml:space="preserve">8HTCS26102</t>
  </si>
  <si>
    <t xml:space="preserve">8NLAS26101</t>
  </si>
  <si>
    <t xml:space="preserve">8NREM26104</t>
  </si>
  <si>
    <t xml:space="preserve">8UJJS26105</t>
  </si>
  <si>
    <t xml:space="preserve">8UPNS26103</t>
  </si>
  <si>
    <t xml:space="preserve">8UTBM26201</t>
  </si>
  <si>
    <t xml:space="preserve">JKJJS26152</t>
  </si>
  <si>
    <t xml:space="preserve">JKPNS26402</t>
  </si>
  <si>
    <t xml:space="preserve">JKTBS26102</t>
  </si>
  <si>
    <t xml:space="preserve">JKTBS26112</t>
  </si>
  <si>
    <t xml:space="preserve">JWJJS26141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</si>
  <si>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</si>
  <si>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MIX AT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출고일</t>
    </r>
    <r>
      <rPr>
        <sz val="10"/>
        <rFont val="맑은 고딕"/>
        <family val="0"/>
        <charset val="1"/>
      </rPr>
      <t xml:space="preserve">)</t>
    </r>
  </si>
  <si>
    <t xml:space="preserve">JWJJS26151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</si>
  <si>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</si>
  <si>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JWJJS26401</t>
  </si>
  <si>
    <t xml:space="preserve">JWPNM26221</t>
  </si>
  <si>
    <t xml:space="preserve">JWPNS26401</t>
  </si>
  <si>
    <t xml:space="preserve">JWTCM26251</t>
  </si>
  <si>
    <t xml:space="preserve">JWTCM26321</t>
  </si>
  <si>
    <t xml:space="preserve">TLJJM26551</t>
  </si>
  <si>
    <t xml:space="preserve">TLJJM26553</t>
  </si>
  <si>
    <t xml:space="preserve">TLJJS26401</t>
  </si>
  <si>
    <t xml:space="preserve">TLPNS26411</t>
  </si>
  <si>
    <t xml:space="preserve">TLPNS26431</t>
  </si>
  <si>
    <t xml:space="preserve">TLTBS26411</t>
  </si>
  <si>
    <t xml:space="preserve">TLTBS26441</t>
  </si>
  <si>
    <t xml:space="preserve">TLTCM26521</t>
  </si>
  <si>
    <t xml:space="preserve">TLTCM26601</t>
  </si>
  <si>
    <t xml:space="preserve">TLTCM26603</t>
  </si>
  <si>
    <t xml:space="preserve">TLVAS26403</t>
  </si>
  <si>
    <t xml:space="preserve">TVJJS26402</t>
  </si>
  <si>
    <t xml:space="preserve">TVJJS26422</t>
  </si>
  <si>
    <t xml:space="preserve">TVPNS26412</t>
  </si>
  <si>
    <t xml:space="preserve">TVPNS26432</t>
  </si>
  <si>
    <t xml:space="preserve">TVPNS26452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</si>
  <si>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출고계획일 기준 </t>
    </r>
    <r>
      <rPr>
        <b val="true"/>
        <sz val="14"/>
        <color rgb="FFFFFFFF"/>
        <rFont val="맑은 고딕"/>
        <family val="0"/>
        <charset val="1"/>
      </rPr>
      <t xml:space="preserve">D-90 </t>
    </r>
    <r>
      <rPr>
        <b val="true"/>
        <sz val="14"/>
        <color rgb="FFFFFFFF"/>
        <rFont val="WenQuanYi Zen Hei"/>
        <family val="2"/>
      </rPr>
      <t xml:space="preserve">소재입고 마감 관리 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전체 </t>
    </r>
    <r>
      <rPr>
        <b val="true"/>
        <sz val="14"/>
        <color rgb="FFFFFFFF"/>
        <rFont val="맑은 고딕"/>
        <family val="0"/>
        <charset val="1"/>
      </rPr>
      <t xml:space="preserve">415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</si>
  <si>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기준일:</t>
  </si>
  <si>
    <t xml:space="preserve">리드타임:</t>
  </si>
  <si>
    <t xml:space="preserve">노란색 = 입력 · 출고예정일: 계획 주차 → 전년+1년 예측 → 전산 입고계획(참고) 순 · ★ = S코드 납기위험</t>
  </si>
  <si>
    <t xml:space="preserve">NO</t>
  </si>
  <si>
    <t xml:space="preserve">기획MD</t>
  </si>
  <si>
    <t xml:space="preserve">Style Code</t>
  </si>
  <si>
    <t xml:space="preserve">품명</t>
  </si>
  <si>
    <t xml:space="preserve">시즌</t>
  </si>
  <si>
    <t xml:space="preserve">생산형태</t>
  </si>
  <si>
    <t xml:space="preserve">예상출고일(주차)</t>
  </si>
  <si>
    <t xml:space="preserve">전년품번(26SS)</t>
  </si>
  <si>
    <t xml:space="preserve">전년출고일(26SS)</t>
  </si>
  <si>
    <t xml:space="preserve">전산 입고계획일</t>
  </si>
  <si>
    <t xml:space="preserve">출고예정일</t>
  </si>
  <si>
    <t xml:space="preserve">출고일 근거</t>
  </si>
  <si>
    <t xml:space="preserve">소재입고 마감일(D-90)</t>
  </si>
  <si>
    <t xml:space="preserve">마감까지 D-day</t>
  </si>
  <si>
    <t xml:space="preserve">작지(일매) 등록</t>
  </si>
  <si>
    <t xml:space="preserve">소재입고 예정/실제일</t>
  </si>
  <si>
    <t xml:space="preserve">소재입고 책임</t>
  </si>
  <si>
    <t xml:space="preserve">생산처</t>
  </si>
  <si>
    <t xml:space="preserve">원산국</t>
  </si>
  <si>
    <t xml:space="preserve">리스크 사유</t>
  </si>
  <si>
    <t xml:space="preserve">판정</t>
  </si>
  <si>
    <t xml:space="preserve">조율상태</t>
  </si>
  <si>
    <t xml:space="preserve">메모/조치사항</t>
  </si>
  <si>
    <t xml:space="preserve">최진민</t>
  </si>
  <si>
    <t xml:space="preserve">JWJGS27001</t>
  </si>
  <si>
    <t xml:space="preserve">히어로 남성 고어텍스 3L PRO 재킷</t>
  </si>
  <si>
    <t xml:space="preserve">사입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</si>
  <si>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</si>
  <si>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</si>
  <si>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포마트코퍼레이션</t>
  </si>
  <si>
    <t xml:space="preserve">베트남</t>
  </si>
  <si>
    <t xml:space="preserve">JKTBS27102</t>
  </si>
  <si>
    <t xml:space="preserve">춘절 여성 베이직 긴팔 집업 티셔츠</t>
  </si>
  <si>
    <t xml:space="preserve">Buying</t>
  </si>
  <si>
    <t xml:space="preserve">X</t>
  </si>
  <si>
    <t xml:space="preserve">주식회사 태화에프앤티</t>
  </si>
  <si>
    <t xml:space="preserve">이재헌</t>
  </si>
  <si>
    <t xml:space="preserve">JWJJS27131</t>
  </si>
  <si>
    <t xml:space="preserve">남성 OCTA 인슐레이션 재킷</t>
  </si>
  <si>
    <t xml:space="preserve">원전교역</t>
  </si>
  <si>
    <t xml:space="preserve">인도네시아</t>
  </si>
  <si>
    <t xml:space="preserve">JWTBS27111</t>
  </si>
  <si>
    <t xml:space="preserve">남성 하이브리드 긴팔 집업 티셔츠</t>
  </si>
  <si>
    <t xml:space="preserve">주식회사 아이케이지</t>
  </si>
  <si>
    <t xml:space="preserve">JWTBS27113</t>
  </si>
  <si>
    <t xml:space="preserve">남성 ClearDry 긴팔 라운드 티셔츠</t>
  </si>
  <si>
    <t xml:space="preserve">JWTBS27115</t>
  </si>
  <si>
    <t xml:space="preserve">남성 ClearDry 긴팔 집업 티셔츠</t>
  </si>
  <si>
    <t xml:space="preserve">JWVAS27131</t>
  </si>
  <si>
    <t xml:space="preserve">남성 OCTA 인슐레이션 베스트</t>
  </si>
  <si>
    <t xml:space="preserve">정영준</t>
  </si>
  <si>
    <t xml:space="preserve">TLJJS27501</t>
  </si>
  <si>
    <t xml:space="preserve">춘절 남성 패딩 헤링턴 재킷</t>
  </si>
  <si>
    <t xml:space="preserve">기도산업</t>
  </si>
  <si>
    <t xml:space="preserve">TLJJS27521</t>
  </si>
  <si>
    <t xml:space="preserve">춘절 남성 3L 후드 방수 재킷</t>
  </si>
  <si>
    <t xml:space="preserve">TLJJS27551</t>
  </si>
  <si>
    <t xml:space="preserve">유통특화_춘절 남성 키퍼 스탠드넥 재킷</t>
  </si>
  <si>
    <t xml:space="preserve">아이블에프앤씨</t>
  </si>
  <si>
    <t xml:space="preserve">TVPNS27512</t>
  </si>
  <si>
    <t xml:space="preserve">춘절 여성 베이직 커브드 팬츠</t>
  </si>
  <si>
    <t xml:space="preserve">CMT</t>
  </si>
  <si>
    <t xml:space="preserve">와이아이씨</t>
  </si>
  <si>
    <t xml:space="preserve">TVPNS27522</t>
  </si>
  <si>
    <t xml:space="preserve">춘절 여성 루즈 커브드 팬츠</t>
  </si>
  <si>
    <t xml:space="preserve">거림트렌드</t>
  </si>
  <si>
    <t xml:space="preserve">TVPNS27532</t>
  </si>
  <si>
    <t xml:space="preserve">춘절 여성 부츠컷 팬츠</t>
  </si>
  <si>
    <t xml:space="preserve">티비오콜렉션</t>
  </si>
  <si>
    <t xml:space="preserve">TVPNS27542</t>
  </si>
  <si>
    <t xml:space="preserve">춘절 여성 레귤러핏 팬츠</t>
  </si>
  <si>
    <t xml:space="preserve">JWTBS27117</t>
  </si>
  <si>
    <t xml:space="preserve">남성 퀵드라이 바라클라바 긴팔 후드 티셔츠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</si>
  <si>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</si>
  <si>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JWTBS27119</t>
  </si>
  <si>
    <t xml:space="preserve">남성 자가드 긴팔 집업 티셔츠</t>
  </si>
  <si>
    <t xml:space="preserve">장안어패럴</t>
  </si>
  <si>
    <t xml:space="preserve">JKJGS27102</t>
  </si>
  <si>
    <t xml:space="preserve">여성 윈드체이서 고어텍스 후드 방수 재킷</t>
  </si>
  <si>
    <t xml:space="preserve">JKJGS27104</t>
  </si>
  <si>
    <t xml:space="preserve">여성 고어텍스 후드 디테쳐블 방수 재킷</t>
  </si>
  <si>
    <t xml:space="preserve">미얀마</t>
  </si>
  <si>
    <t xml:space="preserve">JKJWS27106</t>
  </si>
  <si>
    <t xml:space="preserve">여성 고어윈드스토퍼 후드 디테쳐블 재킷</t>
  </si>
  <si>
    <t xml:space="preserve">JWJGS27101</t>
  </si>
  <si>
    <t xml:space="preserve">남성 윈드체이서 고어텍스 후드 방수 재킷</t>
  </si>
  <si>
    <t xml:space="preserve">JWJGS27103</t>
  </si>
  <si>
    <t xml:space="preserve">남성 고어텍스 후드 디테쳐블 방수 재킷</t>
  </si>
  <si>
    <t xml:space="preserve">JWJJS27135</t>
  </si>
  <si>
    <t xml:space="preserve">남성 WIGO 방풍 재킷</t>
  </si>
  <si>
    <t xml:space="preserve">JWJWS27105</t>
  </si>
  <si>
    <t xml:space="preserve">남성 고어윈드스토퍼 인후드 재킷</t>
  </si>
  <si>
    <t xml:space="preserve">TLJJS27503</t>
  </si>
  <si>
    <t xml:space="preserve">춘절 남성 소프트쉘 헤링턴 재킷</t>
  </si>
  <si>
    <t xml:space="preserve">TLJJS27511</t>
  </si>
  <si>
    <t xml:space="preserve">춘절 남성 소프트안감 드리즐러 재킷</t>
  </si>
  <si>
    <t xml:space="preserve">TLJJS27531</t>
  </si>
  <si>
    <t xml:space="preserve">춘절 남성 소프트필 재킷</t>
  </si>
  <si>
    <t xml:space="preserve">TLJJS27541</t>
  </si>
  <si>
    <t xml:space="preserve">사계절 남성 KOMFORT 이지 재킷</t>
  </si>
  <si>
    <t xml:space="preserve">TLJJS27561</t>
  </si>
  <si>
    <t xml:space="preserve">유통특화_춘절 남성 인후드 재킷</t>
  </si>
  <si>
    <t xml:space="preserve">문도혁</t>
  </si>
  <si>
    <t xml:space="preserve">TVJJS27542</t>
  </si>
  <si>
    <t xml:space="preserve">춘절 여성 소프트안감 칼라드 재킷</t>
  </si>
  <si>
    <t xml:space="preserve">TVPNS27552</t>
  </si>
  <si>
    <t xml:space="preserve">춘절 여성 소프트필 조거 팬츠</t>
  </si>
  <si>
    <t xml:space="preserve">TVPNS27902</t>
  </si>
  <si>
    <t xml:space="preserve">유통특화_사계절 여성 세미 부츠컷 데님 팬츠</t>
  </si>
  <si>
    <t xml:space="preserve">스코브데님워크숍</t>
  </si>
  <si>
    <t xml:space="preserve">TVPOS27502</t>
  </si>
  <si>
    <t xml:space="preserve">춘절 여성 롱 스커트</t>
  </si>
  <si>
    <t xml:space="preserve">JWJJS27109</t>
  </si>
  <si>
    <t xml:space="preserve">남녀공용 우의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</si>
  <si>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</si>
  <si>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국내</t>
  </si>
  <si>
    <t xml:space="preserve">JWTBS27101</t>
  </si>
  <si>
    <t xml:space="preserve">남성 베이직 긴팔 집업 티셔츠</t>
  </si>
  <si>
    <t xml:space="preserve">JWTBS27103</t>
  </si>
  <si>
    <t xml:space="preserve">남성 베이직 긴팔 라운드 티셔츠</t>
  </si>
  <si>
    <t xml:space="preserve">JWTBS27107</t>
  </si>
  <si>
    <t xml:space="preserve">TESSELLATION INTERNATIONAL LIM</t>
  </si>
  <si>
    <t xml:space="preserve">JWTBS27109</t>
  </si>
  <si>
    <t xml:space="preserve">JWVAS27109</t>
  </si>
  <si>
    <t xml:space="preserve">남성 유틸리티 스탠드넥 베스트</t>
  </si>
  <si>
    <t xml:space="preserve">JWVAS27907</t>
  </si>
  <si>
    <t xml:space="preserve">유통특화_남성 유틸리티 V넥 베스트</t>
  </si>
  <si>
    <t xml:space="preserve">JWJJS27107</t>
  </si>
  <si>
    <t xml:space="preserve">JKJGS27002</t>
  </si>
  <si>
    <t xml:space="preserve">히어로 여성 고어텍스 3L PRO 재킷</t>
  </si>
  <si>
    <t xml:space="preserve">JKJJS27012</t>
  </si>
  <si>
    <t xml:space="preserve">히어로 여성 프리마로프트 HEAVY 인슐레이션 재킷</t>
  </si>
  <si>
    <t xml:space="preserve">JKJJS27016</t>
  </si>
  <si>
    <t xml:space="preserve">히어로 여성 프리마로프트 LIGHT 인슐레이션 재킷</t>
  </si>
  <si>
    <t xml:space="preserve">JKJJS27022</t>
  </si>
  <si>
    <t xml:space="preserve">히어로 여성 스톰플리스 프로 LIGHT 소프트쉘 재킷</t>
  </si>
  <si>
    <t xml:space="preserve">JKJJS27032</t>
  </si>
  <si>
    <t xml:space="preserve">히어로 여성 옥타 플리스 재킷</t>
  </si>
  <si>
    <t xml:space="preserve">박지인</t>
  </si>
  <si>
    <t xml:space="preserve">JKJJS27132</t>
  </si>
  <si>
    <t xml:space="preserve">춘절 여성 인슐레이션 재킷</t>
  </si>
  <si>
    <t xml:space="preserve">JKJJS27136</t>
  </si>
  <si>
    <t xml:space="preserve">춘절 여성 Wigo 방풍 재킷</t>
  </si>
  <si>
    <t xml:space="preserve">JKPNS27062</t>
  </si>
  <si>
    <t xml:space="preserve">히어로 여성 스톰플리스 프로 LIGHT 소프트쉘 팬츠</t>
  </si>
  <si>
    <t xml:space="preserve">JKPNS27072</t>
  </si>
  <si>
    <t xml:space="preserve">히어로 여성 클라이밍 팬츠</t>
  </si>
  <si>
    <t xml:space="preserve">박진아</t>
  </si>
  <si>
    <t xml:space="preserve">JKPNS27102</t>
  </si>
  <si>
    <t xml:space="preserve">춘절 여성 슬림핏 스탠다드 팬츠 (X시즌 이동)</t>
  </si>
  <si>
    <t xml:space="preserve">주식회사 디코드컴퍼니</t>
  </si>
  <si>
    <t xml:space="preserve">JKPNS27114</t>
  </si>
  <si>
    <t xml:space="preserve">춘절 여성 레귤러핏 카고 팬츠</t>
  </si>
  <si>
    <t xml:space="preserve">JKTBS27058</t>
  </si>
  <si>
    <t xml:space="preserve">히어로 여성 니트도트 긴팔 라운드티</t>
  </si>
  <si>
    <t xml:space="preserve">JKTBS27104</t>
  </si>
  <si>
    <t xml:space="preserve">춘절 여성 베이직 긴팔 라운드 티셔츠</t>
  </si>
  <si>
    <t xml:space="preserve">JKTBS27112</t>
  </si>
  <si>
    <t xml:space="preserve">춘절 여성 하이브리드 긴팔 집업 티셔츠</t>
  </si>
  <si>
    <t xml:space="preserve">JKTBS27114</t>
  </si>
  <si>
    <t xml:space="preserve">춘절 여성 ClearDry 아웃포켓 긴팔 라운드 티셔츠</t>
  </si>
  <si>
    <t xml:space="preserve">JKTBS27116</t>
  </si>
  <si>
    <t xml:space="preserve">춘절 여성 후드 티셔츠</t>
  </si>
  <si>
    <t xml:space="preserve">JKTBS27118</t>
  </si>
  <si>
    <t xml:space="preserve">유통특화_춘절 여성 하이브리드 긴팔 후드 티셔츠</t>
  </si>
  <si>
    <t xml:space="preserve">JKTBS27120</t>
  </si>
  <si>
    <t xml:space="preserve">춘절 여성 자가드 긴팔 집업 티셔츠</t>
  </si>
  <si>
    <t xml:space="preserve">JKTCS27056</t>
  </si>
  <si>
    <t xml:space="preserve">히어로 여성 메리노울 반팔 라운드티</t>
  </si>
  <si>
    <t xml:space="preserve">JKVAS27018</t>
  </si>
  <si>
    <t xml:space="preserve">히어로 여성 프리마로프트 LIGHT 인슐레이션 베스트</t>
  </si>
  <si>
    <t xml:space="preserve">부분</t>
  </si>
  <si>
    <t xml:space="preserve">JKVAS27132</t>
  </si>
  <si>
    <t xml:space="preserve">춘절 여성 인슐레이션 베스트</t>
  </si>
  <si>
    <t xml:space="preserve">JWJJS27011</t>
  </si>
  <si>
    <t xml:space="preserve">히어로 남성 프리마로프트 HEAVY 인슐레이션 재킷</t>
  </si>
  <si>
    <t xml:space="preserve">JWJJS27015</t>
  </si>
  <si>
    <t xml:space="preserve">히어로 남성 프리마로프트 LIGHT 인슐레이션 재킷</t>
  </si>
  <si>
    <t xml:space="preserve">JWJJS27021</t>
  </si>
  <si>
    <t xml:space="preserve">히어로 남성 스톰플리스 프로 LIGHT 소프트쉘 재킷</t>
  </si>
  <si>
    <t xml:space="preserve">JWJJS27031</t>
  </si>
  <si>
    <t xml:space="preserve">히어로 남성 옥타 플리스 재킷</t>
  </si>
  <si>
    <t xml:space="preserve">JWPNS27061</t>
  </si>
  <si>
    <t xml:space="preserve">히어로 남성 스톰플리스 프로 LIGHT 소프트쉘 팬츠</t>
  </si>
  <si>
    <t xml:space="preserve">JWPNS27071</t>
  </si>
  <si>
    <t xml:space="preserve">히어로 남성 클라이밍 팬츠</t>
  </si>
  <si>
    <t xml:space="preserve">박술홍</t>
  </si>
  <si>
    <t xml:space="preserve">JWPNS27101</t>
  </si>
  <si>
    <t xml:space="preserve">사계절 남성 레귤러핏 스탠다드 원턱 팬츠</t>
  </si>
  <si>
    <t xml:space="preserve">JWPNS27103</t>
  </si>
  <si>
    <t xml:space="preserve">사계절 남성 슬림핏 스탠다드 노턱 팬츠</t>
  </si>
  <si>
    <t xml:space="preserve">JWPNS27113</t>
  </si>
  <si>
    <t xml:space="preserve">춘절 남성 레귤러핏 하이킹 팬츠</t>
  </si>
  <si>
    <t xml:space="preserve">JWSXS27135</t>
  </si>
  <si>
    <t xml:space="preserve">춘절 남녀공용 우븐 하이킹 셔츠</t>
  </si>
  <si>
    <t xml:space="preserve">성원F&amp;K</t>
  </si>
  <si>
    <t xml:space="preserve">JWTBS27057</t>
  </si>
  <si>
    <t xml:space="preserve">히어로 남성 니트도트 긴팔 라운드티</t>
  </si>
  <si>
    <t xml:space="preserve">JWTCS27055</t>
  </si>
  <si>
    <t xml:space="preserve">히어로 남성 메리노울 반팔 라운드티</t>
  </si>
  <si>
    <t xml:space="preserve">JWVAS27017</t>
  </si>
  <si>
    <t xml:space="preserve">히어로 남성 프리마로프트 LIGHT 인슐레이션 베스트</t>
  </si>
  <si>
    <t xml:space="preserve">TLJJS27901</t>
  </si>
  <si>
    <t xml:space="preserve">TLJJS27911</t>
  </si>
  <si>
    <t xml:space="preserve">TLPNS27411</t>
  </si>
  <si>
    <t xml:space="preserve">춘절 남성 면 혼방 레귤러핏 테이퍼드 팬츠</t>
  </si>
  <si>
    <t xml:space="preserve">TLPNS27501</t>
  </si>
  <si>
    <t xml:space="preserve">춘절 루즈핏 커브드 팬츠</t>
  </si>
  <si>
    <t xml:space="preserve">TLPNS27521</t>
  </si>
  <si>
    <t xml:space="preserve">사계절 남성 KOMFORT 레귤러핏 팬츠</t>
  </si>
  <si>
    <t xml:space="preserve">TLPNS27531</t>
  </si>
  <si>
    <t xml:space="preserve">춘절 남성 소프트필 저지 팬츠</t>
  </si>
  <si>
    <t xml:space="preserve">TLPNS27901</t>
  </si>
  <si>
    <t xml:space="preserve">유통특화_사계절 남성 레귤러핏 데님 팬츠</t>
  </si>
  <si>
    <t xml:space="preserve">김준래</t>
  </si>
  <si>
    <t xml:space="preserve">TLTBS27571</t>
  </si>
  <si>
    <t xml:space="preserve">춘절 남성 니트 폴로 긴팔 티셔츠</t>
  </si>
  <si>
    <t xml:space="preserve">어필코리아</t>
  </si>
  <si>
    <t xml:space="preserve">TVJJS27502</t>
  </si>
  <si>
    <t xml:space="preserve">춘절 여성 논퀼팅 인슐레이션 재킷</t>
  </si>
  <si>
    <t xml:space="preserve">TVJJS27522</t>
  </si>
  <si>
    <t xml:space="preserve">춘절 여성 웨더 중기장 재킷</t>
  </si>
  <si>
    <t xml:space="preserve">TVJJS27532</t>
  </si>
  <si>
    <t xml:space="preserve">춘절 여성 3L 후디드 방수 재킷</t>
  </si>
  <si>
    <t xml:space="preserve">TVJJS27552</t>
  </si>
  <si>
    <t xml:space="preserve">춘절 여성 키퍼 중기장 벨티드 재킷</t>
  </si>
  <si>
    <t xml:space="preserve">TVJJS27562</t>
  </si>
  <si>
    <t xml:space="preserve">춘절 여성 키퍼 넥리스 재킷</t>
  </si>
  <si>
    <t xml:space="preserve">TVJJS27902</t>
  </si>
  <si>
    <t xml:space="preserve">유통특화_춘절 여성 키퍼 중기장 벨티드 재킷</t>
  </si>
  <si>
    <t xml:space="preserve">TVJJS27912</t>
  </si>
  <si>
    <t xml:space="preserve">유통특화_춘절 여성 키퍼 넥리스 재킷</t>
  </si>
  <si>
    <t xml:space="preserve">TVTBS27552</t>
  </si>
  <si>
    <t xml:space="preserve">춘절 여성 소프트필 후드 긴팔 티셔츠</t>
  </si>
  <si>
    <t xml:space="preserve">TVTBS27592</t>
  </si>
  <si>
    <t xml:space="preserve">춘절 여성 니트 폴로 긴팔 티셔츠</t>
  </si>
  <si>
    <t xml:space="preserve">JKTBS27108</t>
  </si>
  <si>
    <t xml:space="preserve">춘절 여성 베이직 긴팔 집업 티셔츠 (X시즌 이동)</t>
  </si>
  <si>
    <t xml:space="preserve">JKTBS27110</t>
  </si>
  <si>
    <t xml:space="preserve">춘절 여성 베이직 긴팔 라운드 티셔츠 (X시즌 이동)</t>
  </si>
  <si>
    <t xml:space="preserve">신인철</t>
  </si>
  <si>
    <t xml:space="preserve">8GJJS27101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</si>
  <si>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남성 아웃포켓 피싱 재킷</t>
    </r>
  </si>
  <si>
    <t xml:space="preserve">8GPNS27101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</si>
  <si>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남성 유틸리티 피싱 카고 팬츠</t>
    </r>
  </si>
  <si>
    <t xml:space="preserve">8HJJS27102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</si>
  <si>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여성 아웃포켓 피싱 재킷</t>
    </r>
  </si>
  <si>
    <t xml:space="preserve">8HPNS27102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</si>
  <si>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</si>
  <si>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</si>
  <si>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</si>
  <si>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시즈 글로벌</t>
  </si>
  <si>
    <t xml:space="preserve">8NLAS27101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</si>
  <si>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프린트 양말</t>
    </r>
  </si>
  <si>
    <t xml:space="preserve">건우 통상</t>
  </si>
  <si>
    <t xml:space="preserve">8NRES27104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</si>
  <si>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쉐이드 캠프 캡</t>
    </r>
  </si>
  <si>
    <t xml:space="preserve">주식회사 피앤지아이엔씨</t>
  </si>
  <si>
    <t xml:space="preserve">8NRFS27101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</si>
  <si>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그리드 매쉬 햇</t>
    </r>
  </si>
  <si>
    <t xml:space="preserve">8NRFS27102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</si>
  <si>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패커블 립스탑 햇</t>
    </r>
  </si>
  <si>
    <t xml:space="preserve">8NRFS27103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</si>
  <si>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쉐이드 버킷 햇</t>
    </r>
  </si>
  <si>
    <t xml:space="preserve">8UJJS27102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</si>
  <si>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</si>
  <si>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</si>
  <si>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어프로치 재킷</t>
    </r>
  </si>
  <si>
    <t xml:space="preserve">8UPNS27105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</si>
  <si>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</si>
  <si>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</si>
  <si>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와플 후드티</t>
    </r>
  </si>
  <si>
    <t xml:space="preserve">주연에프앤씨</t>
  </si>
  <si>
    <t xml:space="preserve">8UTBS27102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</si>
  <si>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프린트 긴팔티</t>
    </r>
  </si>
  <si>
    <t xml:space="preserve">중국</t>
  </si>
  <si>
    <t xml:space="preserve">TLTBS27511</t>
  </si>
  <si>
    <t xml:space="preserve">남성 베이직 폴로 긴팔 티셔츠</t>
  </si>
  <si>
    <t xml:space="preserve">TVTBS27548</t>
  </si>
  <si>
    <t xml:space="preserve">여성 베이직 폴로 긴팔 티셔츠</t>
  </si>
  <si>
    <t xml:space="preserve">TLSXS27501</t>
  </si>
  <si>
    <t xml:space="preserve">남성 기본형 세미오버 긴팔 셔츠</t>
  </si>
  <si>
    <t xml:space="preserve">TLSXS27511</t>
  </si>
  <si>
    <t xml:space="preserve">남성 아우터형 긴팔 셔츠</t>
  </si>
  <si>
    <t xml:space="preserve">TVSXS27502</t>
  </si>
  <si>
    <t xml:space="preserve">여성 세미오버 긴팔 셔츠</t>
  </si>
  <si>
    <t xml:space="preserve">TVSXS27522</t>
  </si>
  <si>
    <t xml:space="preserve">여성 아우터형 긴팔 셔츠</t>
  </si>
  <si>
    <t xml:space="preserve">JWTBM27121</t>
  </si>
  <si>
    <t xml:space="preserve">남성 솔솔 MossDry 베이직 긴팔 집업 티셔츠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</si>
  <si>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</si>
  <si>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JWTBM27125</t>
  </si>
  <si>
    <t xml:space="preserve">남성 우븐 하프집업 티셔츠 (타공 디테일)</t>
  </si>
  <si>
    <t xml:space="preserve">JWTBM27127</t>
  </si>
  <si>
    <t xml:space="preserve">베트남/인도네시아</t>
  </si>
  <si>
    <t xml:space="preserve">TLSXM27521</t>
  </si>
  <si>
    <t xml:space="preserve">하절 남성 체크 긴팔 셔츠</t>
  </si>
  <si>
    <t xml:space="preserve">픽스쳐패브리케이션</t>
  </si>
  <si>
    <t xml:space="preserve">JWJJM27141</t>
  </si>
  <si>
    <t xml:space="preserve">남성 소프트쉘 재킷 (SET UP)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</si>
  <si>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</si>
  <si>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JWJJM27171</t>
  </si>
  <si>
    <t xml:space="preserve">남성 제노아 경량 인후드 방풍 재킷</t>
  </si>
  <si>
    <t xml:space="preserve">TLJJM27501</t>
  </si>
  <si>
    <t xml:space="preserve">하절 남성 경량 재킷</t>
  </si>
  <si>
    <t xml:space="preserve">TLJJM27511</t>
  </si>
  <si>
    <t xml:space="preserve">하절 남성 윈드포레스트 패커블 방풍 재킷</t>
  </si>
  <si>
    <t xml:space="preserve">TVPNM27502</t>
  </si>
  <si>
    <t xml:space="preserve">하절 여성 베이직 크롭 세미 와이드 팬츠</t>
  </si>
  <si>
    <t xml:space="preserve">TVPNM27522</t>
  </si>
  <si>
    <t xml:space="preserve">하절 여성 카고조거 팬츠</t>
  </si>
  <si>
    <t xml:space="preserve">TVPNM27532</t>
  </si>
  <si>
    <t xml:space="preserve">하절 여성 와이드 팬츠</t>
  </si>
  <si>
    <t xml:space="preserve">TVPNM27904</t>
  </si>
  <si>
    <t xml:space="preserve">유통특화_하절 여성 쿨맥스 레귤러핏 데님 팬츠</t>
  </si>
  <si>
    <t xml:space="preserve">TLJJM27701</t>
  </si>
  <si>
    <t xml:space="preserve">남성 트레일러닝 초경량 3L 방수 자켓</t>
  </si>
  <si>
    <t xml:space="preserve">TLJJM27703</t>
  </si>
  <si>
    <t xml:space="preserve">남성 트레일러닝 패커블 초경량 방풍 자켓</t>
  </si>
  <si>
    <t xml:space="preserve">JWJJM27151</t>
  </si>
  <si>
    <t xml:space="preserve">남성 윈드케이 경량 방풍 재킷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</si>
  <si>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</si>
  <si>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JWJJM27155</t>
  </si>
  <si>
    <t xml:space="preserve">남성 고강력사 방풍 재킷</t>
  </si>
  <si>
    <t xml:space="preserve">JWTBM27165</t>
  </si>
  <si>
    <t xml:space="preserve">남성 솔솔 MossDry 소매 하이브리드 긴팔 집업 티셔츠</t>
  </si>
  <si>
    <t xml:space="preserve">JWTBM27167</t>
  </si>
  <si>
    <t xml:space="preserve">JWTBM27181</t>
  </si>
  <si>
    <t xml:space="preserve">남성 솔솔 에어도트 하이브리드 긴팔 맨투맨</t>
  </si>
  <si>
    <t xml:space="preserve">JWTCM27157</t>
  </si>
  <si>
    <t xml:space="preserve">남성 솔솔 MossDry 베이직 반팔 집업 티셔츠</t>
  </si>
  <si>
    <t xml:space="preserve">JWTCM27159</t>
  </si>
  <si>
    <t xml:space="preserve">남성 솔솔 MossDry 베이직 반팔 라운드 티셔츠</t>
  </si>
  <si>
    <t xml:space="preserve">JWTCM27161</t>
  </si>
  <si>
    <t xml:space="preserve">JWTCM27163</t>
  </si>
  <si>
    <t xml:space="preserve">JWVAM27101</t>
  </si>
  <si>
    <t xml:space="preserve">남성 에센셜 경량 베스트</t>
  </si>
  <si>
    <t xml:space="preserve">TVPNM27542</t>
  </si>
  <si>
    <t xml:space="preserve">하절 여성 시어서커 파라슈츠 팬츠</t>
  </si>
  <si>
    <t xml:space="preserve">TVPOM27502</t>
  </si>
  <si>
    <t xml:space="preserve">하절 여성 시어서커 5부</t>
  </si>
  <si>
    <t xml:space="preserve">JWTCM27151</t>
  </si>
  <si>
    <t xml:space="preserve">남성 소로나 메쉬 반팔 집업 티셔츠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</si>
  <si>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</si>
  <si>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JWJJM27165</t>
  </si>
  <si>
    <t xml:space="preserve">남성 트레이닝 재킷 (SET UP)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</si>
  <si>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</si>
  <si>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JWJJM27181</t>
  </si>
  <si>
    <t xml:space="preserve">JWTCM27131</t>
  </si>
  <si>
    <t xml:space="preserve">남녀공용 소로나 레귤러핏 그래픽 티셔츠</t>
  </si>
  <si>
    <t xml:space="preserve">JWTCM27133</t>
  </si>
  <si>
    <t xml:space="preserve">남녀공용 에어론 레귤러핏 그래픽 티셔츠</t>
  </si>
  <si>
    <t xml:space="preserve">JWTCM27135</t>
  </si>
  <si>
    <t xml:space="preserve">남녀공용 소로나 세미오버핏 그래픽 티셔츠</t>
  </si>
  <si>
    <t xml:space="preserve">JWTCM27137</t>
  </si>
  <si>
    <t xml:space="preserve">남녀공용 소로나쿨(CP) 레귤러핏 그래픽 티셔츠</t>
  </si>
  <si>
    <t xml:space="preserve">JWTCM27153</t>
  </si>
  <si>
    <t xml:space="preserve">남성 메쉬 하이브리드 반팔 라운드 티셔츠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</si>
  <si>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</si>
  <si>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</si>
  <si>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</si>
  <si>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 (SET UP)</t>
  </si>
  <si>
    <t xml:space="preserve">JWTCM27187</t>
  </si>
  <si>
    <t xml:space="preserve">남성 솔솔 에어도트 반집업 반팔 티셔츠</t>
  </si>
  <si>
    <t xml:space="preserve">TVPNM27694</t>
  </si>
  <si>
    <t xml:space="preserve">하절 여성 데이팩 루즈 팬츠</t>
  </si>
  <si>
    <t xml:space="preserve">TVPOM27692</t>
  </si>
  <si>
    <t xml:space="preserve">하절 여성 데이팩 롱 베이직 스커트</t>
  </si>
  <si>
    <t xml:space="preserve">TVPOM27694</t>
  </si>
  <si>
    <t xml:space="preserve">하절 여성 데이팩 롱 더블플랩 스커트 (립)</t>
  </si>
  <si>
    <t xml:space="preserve">TVPOM27696</t>
  </si>
  <si>
    <t xml:space="preserve">하절 여성 데이팩 쇼츠</t>
  </si>
  <si>
    <t xml:space="preserve">TVPOM27698</t>
  </si>
  <si>
    <t xml:space="preserve">하절 여성 데이팩 카고 쇼츠</t>
  </si>
  <si>
    <t xml:space="preserve">TVSCM27692</t>
  </si>
  <si>
    <t xml:space="preserve">하절 여성 데이팩 반팔 셔츠</t>
  </si>
  <si>
    <t xml:space="preserve">TVTCM27692</t>
  </si>
  <si>
    <t xml:space="preserve">하절 여성 데이팩 반팔 티셔츠 (립)</t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</si>
  <si>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</si>
  <si>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</si>
  <si>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</si>
  <si>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</si>
  <si>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TVTCM27698</t>
  </si>
  <si>
    <t xml:space="preserve">하절 여성 데이팩 원피스</t>
  </si>
  <si>
    <t xml:space="preserve">TVPOM27512</t>
  </si>
  <si>
    <t xml:space="preserve">하절 여성 버뮤다 팬츠</t>
  </si>
  <si>
    <t xml:space="preserve">JWJJM27301</t>
  </si>
  <si>
    <t xml:space="preserve">남녀공용 3L 커버업 방수 재킷</t>
  </si>
  <si>
    <t xml:space="preserve">JWTCM27191</t>
  </si>
  <si>
    <t xml:space="preserve">남성 슬리브리스</t>
  </si>
  <si>
    <t xml:space="preserve">JKJJM27124</t>
  </si>
  <si>
    <t xml:space="preserve">하절 여성 자카드 풀집업 자켓</t>
  </si>
  <si>
    <t xml:space="preserve">JKJJM27142</t>
  </si>
  <si>
    <t xml:space="preserve">하절 여성 소프트쉘 재킷 (SET UP)</t>
  </si>
  <si>
    <t xml:space="preserve">JKJJM27152</t>
  </si>
  <si>
    <t xml:space="preserve">하절 여성 경량 윈드케이 방풍 재킷</t>
  </si>
  <si>
    <t xml:space="preserve">JKJJM27156</t>
  </si>
  <si>
    <t xml:space="preserve">하절 여성 고강력사 방풍 재킷</t>
  </si>
  <si>
    <t xml:space="preserve">JKJJM27162</t>
  </si>
  <si>
    <t xml:space="preserve">하절 여성 윈드 후드 재킷</t>
  </si>
  <si>
    <t xml:space="preserve">JKJJM27172</t>
  </si>
  <si>
    <t xml:space="preserve">하절 여성 경량 인후드 방풍 재킷</t>
  </si>
  <si>
    <t xml:space="preserve">JKPNM27138</t>
  </si>
  <si>
    <t xml:space="preserve">하절 여성 위고 디테처블 팬츠</t>
  </si>
  <si>
    <t xml:space="preserve">JKPNM27158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</si>
  <si>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레귤러핏 팬츠</t>
    </r>
  </si>
  <si>
    <t xml:space="preserve">JKPNM27162</t>
  </si>
  <si>
    <t xml:space="preserve">하절 여성 슬림핏 스탠다드 팬츠</t>
  </si>
  <si>
    <t xml:space="preserve">JKPNM27172</t>
  </si>
  <si>
    <t xml:space="preserve">하절 여성 루즈핏 파라슈트 팬츠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</si>
  <si>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</si>
  <si>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</si>
  <si>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</si>
  <si>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</si>
  <si>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JKPNM27192</t>
  </si>
  <si>
    <t xml:space="preserve">하절 여성 하이킹 벤틸레이션 커브드 팬츠</t>
  </si>
  <si>
    <t xml:space="preserve">JKPOM27142</t>
  </si>
  <si>
    <t xml:space="preserve">하절 여성 소프트쉘 쇼츠</t>
  </si>
  <si>
    <t xml:space="preserve">JKPOM27172</t>
  </si>
  <si>
    <t xml:space="preserve">하절 여성 7부 카고 팬츠</t>
  </si>
  <si>
    <t xml:space="preserve">JKPOM27174</t>
  </si>
  <si>
    <t xml:space="preserve">하절 여성 8부 스탠다드 팬츠</t>
  </si>
  <si>
    <t xml:space="preserve">JKPOM27176</t>
  </si>
  <si>
    <t xml:space="preserve">하절 여성 카고 쇼츠</t>
  </si>
  <si>
    <t xml:space="preserve">JKSCM27142</t>
  </si>
  <si>
    <t xml:space="preserve">하절 여성 스트링 반팔 셔츠</t>
  </si>
  <si>
    <t xml:space="preserve">JKSCM27184</t>
  </si>
  <si>
    <t xml:space="preserve">하절 여성 에어도트 반팔 셔츠</t>
  </si>
  <si>
    <t xml:space="preserve">JKSXM27182</t>
  </si>
  <si>
    <t xml:space="preserve">하절 여성 에어도트 긴팔 셔츠</t>
  </si>
  <si>
    <t xml:space="preserve">JKTBM27124</t>
  </si>
  <si>
    <t xml:space="preserve">하절 여성 자카드 긴팔 티셔츠</t>
  </si>
  <si>
    <t xml:space="preserve">JKTBM27128</t>
  </si>
  <si>
    <t xml:space="preserve">하절 여성 MossDry 베이직 긴팔 집업 티셔츠</t>
  </si>
  <si>
    <t xml:space="preserve">JKTBM27166</t>
  </si>
  <si>
    <t xml:space="preserve">하절 여성 MossDry 소매 하이브리드 긴팔 후드 티셔츠</t>
  </si>
  <si>
    <t xml:space="preserve">JKTBM27168</t>
  </si>
  <si>
    <t xml:space="preserve">하절 여성 패턴 긴팔 집업 티셔츠</t>
  </si>
  <si>
    <t xml:space="preserve">JKTBM27182</t>
  </si>
  <si>
    <t xml:space="preserve">하절 여성 에어도트 하이브리드 긴팔 후드 티셔츠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</si>
  <si>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</si>
  <si>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</si>
  <si>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JKTCM27148</t>
  </si>
  <si>
    <t xml:space="preserve">여성 소로나쿨(NP) 레귤러핏 그래픽 티셔츠</t>
  </si>
  <si>
    <t xml:space="preserve">JKTCM27158</t>
  </si>
  <si>
    <t xml:space="preserve">하절 여성 MossDry 베이직 반팔 집업 티셔츠</t>
  </si>
  <si>
    <t xml:space="preserve">JKTCM27160</t>
  </si>
  <si>
    <t xml:space="preserve">하절 여성 MossDry 베이직 반팔 라운드 티셔츠</t>
  </si>
  <si>
    <t xml:space="preserve">JKTCM27166</t>
  </si>
  <si>
    <t xml:space="preserve">하절 여성 MossDry 스트레치 반팔 후드 티셔츠</t>
  </si>
  <si>
    <t xml:space="preserve">JKTCM27182</t>
  </si>
  <si>
    <t xml:space="preserve">하절 여성 에어도트 반팔 집업 티셔츠</t>
  </si>
  <si>
    <t xml:space="preserve">JKTCM27184</t>
  </si>
  <si>
    <t xml:space="preserve">하절 여성 솔솔 에어도트 반팔 폴로 티셔츠</t>
  </si>
  <si>
    <t xml:space="preserve">JKTCM27186</t>
  </si>
  <si>
    <t xml:space="preserve">하절 여성 에어도트 반팔 후드 티셔츠</t>
  </si>
  <si>
    <t xml:space="preserve">JKTCM27908</t>
  </si>
  <si>
    <t xml:space="preserve">유통특화_하절 여성 5부 집업 티셔츠</t>
  </si>
  <si>
    <t xml:space="preserve">JKVAM27102</t>
  </si>
  <si>
    <t xml:space="preserve">하절 여성 에센셜 경량 베스트</t>
  </si>
  <si>
    <t xml:space="preserve">JWTCM27127</t>
  </si>
  <si>
    <t xml:space="preserve">JWTCM27139</t>
  </si>
  <si>
    <t xml:space="preserve">JWTCM27141</t>
  </si>
  <si>
    <t xml:space="preserve">JWTCM27143</t>
  </si>
  <si>
    <t xml:space="preserve">남녀공용 폴리(CC DRY) 세미오버핏 그래픽 티셔츠</t>
  </si>
  <si>
    <t xml:space="preserve">JWTCM27145</t>
  </si>
  <si>
    <t xml:space="preserve">남녀공용 폴리(CC DRY) 레귤러핏 그래픽 티셔츠</t>
  </si>
  <si>
    <t xml:space="preserve">JWTCM27147</t>
  </si>
  <si>
    <t xml:space="preserve">JWTCM27149</t>
  </si>
  <si>
    <t xml:space="preserve">QEHFM27301</t>
  </si>
  <si>
    <t xml:space="preserve">남녀공용 모스드라이 하이킹 스트레치 반장갑</t>
  </si>
  <si>
    <t xml:space="preserve">QEHFM27305</t>
  </si>
  <si>
    <t xml:space="preserve">남녀공용 모스드라이 하이킹 자외선 차단 반장갑</t>
  </si>
  <si>
    <t xml:space="preserve">8GPFM27101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</si>
  <si>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남성 익스퍼트 레깅스</t>
    </r>
  </si>
  <si>
    <t xml:space="preserve">8GPOM27103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</si>
  <si>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</si>
  <si>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</si>
  <si>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여성 메쉬 크롭 재킷</t>
    </r>
  </si>
  <si>
    <t xml:space="preserve">8HPOM27102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</si>
  <si>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</si>
  <si>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</si>
  <si>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여성 프린트 반팔티</t>
    </r>
  </si>
  <si>
    <t xml:space="preserve">8NAAM27101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</si>
  <si>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쿨 멀티 스카프</t>
    </r>
  </si>
  <si>
    <t xml:space="preserve">아이앤지</t>
  </si>
  <si>
    <t xml:space="preserve">8NHAM27102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</si>
  <si>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</si>
  <si>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</si>
  <si>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</si>
  <si>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</si>
  <si>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유틸리티 메쉬 캡</t>
    </r>
  </si>
  <si>
    <t xml:space="preserve">캐비야모자</t>
  </si>
  <si>
    <t xml:space="preserve">8UPNM27101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</si>
  <si>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</si>
  <si>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</si>
  <si>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</si>
  <si>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</si>
  <si>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</si>
  <si>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</si>
  <si>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</si>
  <si>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</si>
  <si>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</si>
  <si>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</si>
  <si>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</si>
  <si>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</si>
  <si>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</si>
  <si>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8UTCM27101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</si>
  <si>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우븐 벤틸레이션 티셔츠</t>
    </r>
  </si>
  <si>
    <t xml:space="preserve">8UTCM27105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</si>
  <si>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</si>
  <si>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</si>
  <si>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</si>
  <si>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</si>
  <si>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</si>
  <si>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8UTCM27115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</si>
  <si>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</si>
  <si>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JKTBM27122</t>
  </si>
  <si>
    <t xml:space="preserve">주식회사 에이스코리아(ACE KOREA)</t>
  </si>
  <si>
    <t xml:space="preserve">TLTBM27501</t>
  </si>
  <si>
    <t xml:space="preserve">남녀공용 베이직 세미오버 긴팔 티셔츠</t>
  </si>
  <si>
    <t xml:space="preserve">TLPNM27691</t>
  </si>
  <si>
    <t xml:space="preserve">하절 남성 데이팩 레귤러핏 테이퍼드 팬츠</t>
  </si>
  <si>
    <t xml:space="preserve">TLPNM27693</t>
  </si>
  <si>
    <t xml:space="preserve">하절 남성 데이팩 루즈핏 팬츠</t>
  </si>
  <si>
    <t xml:space="preserve">TLPOM27697</t>
  </si>
  <si>
    <t xml:space="preserve">하절 남성 데이팩 베이직 쇼츠</t>
  </si>
  <si>
    <t xml:space="preserve">TLPOM27699</t>
  </si>
  <si>
    <t xml:space="preserve">하절 남성 데이팩 카고 쇼츠</t>
  </si>
  <si>
    <t xml:space="preserve">TLSCM27693</t>
  </si>
  <si>
    <t xml:space="preserve">하절 남성 데이팩 베이직 셔츠</t>
  </si>
  <si>
    <t xml:space="preserve">TLTCM27691</t>
  </si>
  <si>
    <t xml:space="preserve">하절 남녀공용 데이팩 티셔츠</t>
  </si>
  <si>
    <t xml:space="preserve">TLTCM27695</t>
  </si>
  <si>
    <t xml:space="preserve">하절 남성 데이팩 하프집업 티셔츠</t>
  </si>
  <si>
    <t xml:space="preserve">8NREM27105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</si>
  <si>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</si>
  <si>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</si>
  <si>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다이아몬드 퓨즈 패커블 재킷</t>
    </r>
  </si>
  <si>
    <t xml:space="preserve">TLTCM27503</t>
  </si>
  <si>
    <t xml:space="preserve">하절 남성 핫멜트 폴로 반팔 티셔츠</t>
  </si>
  <si>
    <t xml:space="preserve">TVTCM27504</t>
  </si>
  <si>
    <t xml:space="preserve">하절 여성 핫멜트 폴로 반팔 티셔츠</t>
  </si>
  <si>
    <t xml:space="preserve">JKJJM27182</t>
  </si>
  <si>
    <t xml:space="preserve">하절 여성 제노아 스트레치 중기장 인후드 재킷</t>
  </si>
  <si>
    <t xml:space="preserve">TLPNM27501</t>
  </si>
  <si>
    <t xml:space="preserve">하절 남성 시어서커 레귤러핏 팬츠</t>
  </si>
  <si>
    <t xml:space="preserve">TLPNM27511</t>
  </si>
  <si>
    <t xml:space="preserve">하절 남성 면 혼방 레귤러핏 테이퍼드 팬츠</t>
  </si>
  <si>
    <t xml:space="preserve">TLPNM27541</t>
  </si>
  <si>
    <t xml:space="preserve">하절 남성 레귤러핏 테이퍼드 팬츠</t>
  </si>
  <si>
    <t xml:space="preserve">TLPNM27911</t>
  </si>
  <si>
    <t xml:space="preserve">유통특화_하절 남성 쿨맥스 데님 팬츠</t>
  </si>
  <si>
    <t xml:space="preserve">TLPOM27501</t>
  </si>
  <si>
    <t xml:space="preserve">하절 남성 시어서커 쇼츠</t>
  </si>
  <si>
    <t xml:space="preserve">TLPOM27521</t>
  </si>
  <si>
    <t xml:space="preserve">하절 남성 KOMFORT 쇼츠</t>
  </si>
  <si>
    <t xml:space="preserve">TLPOM27531</t>
  </si>
  <si>
    <t xml:space="preserve">하절 남성 나일론 버뮤다 쇼츠</t>
  </si>
  <si>
    <t xml:space="preserve">TVJJM27502</t>
  </si>
  <si>
    <t xml:space="preserve">하절 여성 스탠드넥 벤틸레이션 방풍 재킷</t>
  </si>
  <si>
    <t xml:space="preserve">TVJJM27512</t>
  </si>
  <si>
    <t xml:space="preserve">하절 여성 메쉬 하이브리드 라운드넥 재킷</t>
  </si>
  <si>
    <t xml:space="preserve">TVJJM27522</t>
  </si>
  <si>
    <t xml:space="preserve">하절 여성 중기장 후디드 방풍 재킷</t>
  </si>
  <si>
    <t xml:space="preserve">TVJJM27532</t>
  </si>
  <si>
    <t xml:space="preserve">하절 여성 V컷 스탠드넥 방풍 재킷</t>
  </si>
  <si>
    <t xml:space="preserve">TVJJM27552</t>
  </si>
  <si>
    <t xml:space="preserve">하절 여성 메쉬 하이브리드 크롭 후디드 재킷</t>
  </si>
  <si>
    <t xml:space="preserve">TVVAM27552</t>
  </si>
  <si>
    <t xml:space="preserve">하절 여성 메쉬 하이브리드 베스트</t>
  </si>
  <si>
    <t xml:space="preserve">TVVAM27562</t>
  </si>
  <si>
    <t xml:space="preserve">하절 여성 경량 방풍 베스트</t>
  </si>
  <si>
    <t xml:space="preserve">JWPNM27137</t>
  </si>
  <si>
    <t xml:space="preserve">하절 남성 WIGO 디테쳐블 팬츠</t>
  </si>
  <si>
    <t xml:space="preserve">JWPNM27141</t>
  </si>
  <si>
    <t xml:space="preserve">하절 남성 소프트쉘 팬츠</t>
  </si>
  <si>
    <t xml:space="preserve">JWPNM27151</t>
  </si>
  <si>
    <t xml:space="preserve">하절 남성 원턱 레귤러핏 스탠다드 팬츠</t>
  </si>
  <si>
    <t xml:space="preserve">JWPNM27161</t>
  </si>
  <si>
    <t xml:space="preserve">하절 남성 노턱 슬림핏 스탠다드 팬츠</t>
  </si>
  <si>
    <t xml:space="preserve">JWPNM27165</t>
  </si>
  <si>
    <t xml:space="preserve">유통특화_하절 남성 우븐 트레이닝 팬츠</t>
  </si>
  <si>
    <t xml:space="preserve">JWPNM27171</t>
  </si>
  <si>
    <t xml:space="preserve">하절 남성 루즈핏 파라슈트 팬츠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</si>
  <si>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</si>
  <si>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</si>
  <si>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</si>
  <si>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</si>
  <si>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</si>
  <si>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t xml:space="preserve">하절 남성 커브드 팬츠 (DS 제안)</t>
  </si>
  <si>
    <t xml:space="preserve">JWPOM27141</t>
  </si>
  <si>
    <t xml:space="preserve">하절 남성 소프트쉘 쇼츠 (SET UP)</t>
  </si>
  <si>
    <t xml:space="preserve">JWPOM27161</t>
  </si>
  <si>
    <t xml:space="preserve">하절 남성 7부 솔리드 팬츠</t>
  </si>
  <si>
    <t xml:space="preserve">JWPOM27171</t>
  </si>
  <si>
    <t xml:space="preserve">하절 남성 마운틴 카고 7부 팬츠</t>
  </si>
  <si>
    <t xml:space="preserve">JWPOM27181</t>
  </si>
  <si>
    <t xml:space="preserve">하절 남성 에어도트 쇼츠</t>
  </si>
  <si>
    <t xml:space="preserve">JWPOM27191</t>
  </si>
  <si>
    <t xml:space="preserve">하절 남성 카고 쇼츠 (DS 제안)</t>
  </si>
  <si>
    <t xml:space="preserve">JWSCM27183</t>
  </si>
  <si>
    <t xml:space="preserve">하절 남성 에어도트 반팔 셔츠</t>
  </si>
  <si>
    <t xml:space="preserve">JWSXM27181</t>
  </si>
  <si>
    <t xml:space="preserve">하절 남성 에어도트 긴팔 셔츠</t>
  </si>
  <si>
    <t xml:space="preserve">JKTCM27162</t>
  </si>
  <si>
    <t xml:space="preserve">JKTCM27164</t>
  </si>
  <si>
    <t xml:space="preserve">TLSXM27901</t>
  </si>
  <si>
    <t xml:space="preserve">유통특화_남성 체크 긴팔 셔츠</t>
  </si>
  <si>
    <t xml:space="preserve">JKJJM27372</t>
  </si>
  <si>
    <t xml:space="preserve">여성 에그라이트 방풍 재킷</t>
  </si>
  <si>
    <t xml:space="preserve">JKJJM27374</t>
  </si>
  <si>
    <t xml:space="preserve">여성 에그라이트 방수 재킷</t>
  </si>
  <si>
    <t xml:space="preserve">JKJJM27376</t>
  </si>
  <si>
    <t xml:space="preserve">여성 에그라이트 스탠드넥 방풍 재킷</t>
  </si>
  <si>
    <t xml:space="preserve">JKPOM27312</t>
  </si>
  <si>
    <t xml:space="preserve">여성 5부 레깅스</t>
  </si>
  <si>
    <t xml:space="preserve">JKTBM27302</t>
  </si>
  <si>
    <t xml:space="preserve">여성 썬 후디 긴팔 티셔츠</t>
  </si>
  <si>
    <t xml:space="preserve">JKTBM27312</t>
  </si>
  <si>
    <t xml:space="preserve">여성 패커블 그래픽 긴팔 티셔츠</t>
  </si>
  <si>
    <t xml:space="preserve">JKTCM27312</t>
  </si>
  <si>
    <t xml:space="preserve">여성 슬리브리스</t>
  </si>
  <si>
    <t xml:space="preserve">JKVAM27372</t>
  </si>
  <si>
    <t xml:space="preserve">여성 에그라이트 후드형 베스트</t>
  </si>
  <si>
    <t xml:space="preserve">JWJJM27351</t>
  </si>
  <si>
    <t xml:space="preserve">남녀공용 그래픽 매쉬 재킷</t>
  </si>
  <si>
    <t xml:space="preserve">JWJJM27371</t>
  </si>
  <si>
    <t xml:space="preserve">남성 에그라이트 방풍 재킷</t>
  </si>
  <si>
    <t xml:space="preserve">JWJJM27373</t>
  </si>
  <si>
    <t xml:space="preserve">남성 에그라이트 방수 재킷</t>
  </si>
  <si>
    <t xml:space="preserve">JWJJM27375</t>
  </si>
  <si>
    <t xml:space="preserve">남성 에그라이트 스탠드넥 방풍 재킷</t>
  </si>
  <si>
    <t xml:space="preserve">JWPNM27351</t>
  </si>
  <si>
    <t xml:space="preserve">남녀공용 디테처블 팬츠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</si>
  <si>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</si>
  <si>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</si>
  <si>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</si>
  <si>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</si>
  <si>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JWTBM27351</t>
  </si>
  <si>
    <t xml:space="preserve">남녀공용 그래픽 매쉬 긴팔 티셔츠</t>
  </si>
  <si>
    <t xml:space="preserve">호전실업㈜</t>
  </si>
  <si>
    <t xml:space="preserve">JWTCM27321</t>
  </si>
  <si>
    <t xml:space="preserve">남녀공용 패커블 반팔 티셔츠</t>
  </si>
  <si>
    <t xml:space="preserve">JWVAM27301</t>
  </si>
  <si>
    <t xml:space="preserve">남녀공용 알파다이렉트 베스트</t>
  </si>
  <si>
    <t xml:space="preserve">JWVAM27371</t>
  </si>
  <si>
    <t xml:space="preserve">남성 에그라이트 스탠드넥 베스트</t>
  </si>
  <si>
    <t xml:space="preserve">TLTCM27521</t>
  </si>
  <si>
    <t xml:space="preserve">남성 소로나 레귤러핏 반팔 티셔츠</t>
  </si>
  <si>
    <t xml:space="preserve">TLSXM27551</t>
  </si>
  <si>
    <t xml:space="preserve">하절 남성 시어서커 긴팔 셔츠</t>
  </si>
  <si>
    <t xml:space="preserve">TLTCM27523</t>
  </si>
  <si>
    <t xml:space="preserve">남성 CP소로나쿨 세미오버 반팔 티셔츠</t>
  </si>
  <si>
    <t xml:space="preserve">TLTCM27561</t>
  </si>
  <si>
    <t xml:space="preserve">하절 남성 헨리넥 레귤러핏 반팔 티셔츠</t>
  </si>
  <si>
    <t xml:space="preserve">TVTCM27502</t>
  </si>
  <si>
    <t xml:space="preserve">하절 여성 베이직 폴로 반팔 티셔츠</t>
  </si>
  <si>
    <t xml:space="preserve">TVTCM27506</t>
  </si>
  <si>
    <t xml:space="preserve">여성 소로나 라운드넥 반팔 티셔츠</t>
  </si>
  <si>
    <t xml:space="preserve">TVTCM27508</t>
  </si>
  <si>
    <t xml:space="preserve">여성 CP소로나쿨 모크넥 반팔 티셔츠</t>
  </si>
  <si>
    <t xml:space="preserve">TLPOM27731</t>
  </si>
  <si>
    <t xml:space="preserve">남성 트레일러닝 초경량 스플릿 3부 팬츠</t>
  </si>
  <si>
    <t xml:space="preserve">TLPOM27733</t>
  </si>
  <si>
    <t xml:space="preserve">남성 트레일러닝 트레일 2in1 스토리지 3부 팬츠</t>
  </si>
  <si>
    <t xml:space="preserve">TLPOM27735</t>
  </si>
  <si>
    <t xml:space="preserve">남성 트레일러닝 트레일 스토리지 5부 타이즈</t>
  </si>
  <si>
    <t xml:space="preserve">TLTCM27711</t>
  </si>
  <si>
    <t xml:space="preserve">남성 트레일러닝 흡습속건 라운드 반팔 티셔츠</t>
  </si>
  <si>
    <t xml:space="preserve">TLTCM27721</t>
  </si>
  <si>
    <t xml:space="preserve">남성 트레일러닝 자카드 라운드 슬리브리스</t>
  </si>
  <si>
    <t xml:space="preserve">TLTCM27723</t>
  </si>
  <si>
    <t xml:space="preserve">남성 트레일러닝 저지 라운드 슬리브리스</t>
  </si>
  <si>
    <t xml:space="preserve">TVJJM27702</t>
  </si>
  <si>
    <t xml:space="preserve">여성 트레일러닝 초경량 3L 방수 자켓</t>
  </si>
  <si>
    <t xml:space="preserve">TVJJM27704</t>
  </si>
  <si>
    <t xml:space="preserve">여성 트레일러닝 패커블 초경량 방풍 자켓</t>
  </si>
  <si>
    <t xml:space="preserve">TVPOM27732</t>
  </si>
  <si>
    <t xml:space="preserve">여성 트레일러닝 초경량 스플릿 3부 팬츠</t>
  </si>
  <si>
    <t xml:space="preserve">TVPOM27734</t>
  </si>
  <si>
    <t xml:space="preserve">여성 트레일러닝 트레일 2in1 스토리지 3부 팬츠</t>
  </si>
  <si>
    <t xml:space="preserve">TVPOM27736</t>
  </si>
  <si>
    <t xml:space="preserve">여성 트레일러닝 트레일 스토리지 4부 타이즈</t>
  </si>
  <si>
    <t xml:space="preserve">TVSXM27592</t>
  </si>
  <si>
    <t xml:space="preserve">하절 여성 에어리 긴팔 셔츠</t>
  </si>
  <si>
    <t xml:space="preserve">TVTCM27712</t>
  </si>
  <si>
    <t xml:space="preserve">여성 트레일러닝 흡습속건 라운드 반팔 티셔츠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</si>
  <si>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</si>
  <si>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</si>
  <si>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</si>
  <si>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</si>
  <si>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</si>
  <si>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</si>
  <si>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TLSCM27501</t>
  </si>
  <si>
    <t xml:space="preserve">하절 남성 시어서커 반팔 셔츠</t>
  </si>
  <si>
    <t xml:space="preserve">TLSCM27511</t>
  </si>
  <si>
    <t xml:space="preserve">하절 남성 체크 반팔 셔츠</t>
  </si>
  <si>
    <t xml:space="preserve">TLSCM27921</t>
  </si>
  <si>
    <t xml:space="preserve">유통특화_하절 남성 체크 시어서커 반팔 셔츠</t>
  </si>
  <si>
    <t xml:space="preserve">TLTCM27501</t>
  </si>
  <si>
    <t xml:space="preserve">하절 남성 베이직 폴로 반팔 티셔츠</t>
  </si>
  <si>
    <t xml:space="preserve">TLTCM27505</t>
  </si>
  <si>
    <t xml:space="preserve">하절 남성 시어서커 폴로 반팔 티셔츠</t>
  </si>
  <si>
    <t xml:space="preserve">TLTCM27509</t>
  </si>
  <si>
    <t xml:space="preserve">하절 남성 시어서커 라운드넥 반팔 티셔츠</t>
  </si>
  <si>
    <t xml:space="preserve">TLTCM27529</t>
  </si>
  <si>
    <t xml:space="preserve">하절 남성 린넨라이크 폴로 반팔 티셔츠</t>
  </si>
  <si>
    <t xml:space="preserve">TLTCM27591</t>
  </si>
  <si>
    <t xml:space="preserve">하절 남성 시어서커 하프집업 반팔 티셔츠</t>
  </si>
  <si>
    <t xml:space="preserve">TVSCM27512</t>
  </si>
  <si>
    <t xml:space="preserve">하절 여성 시어서커 반팔 셔츠</t>
  </si>
  <si>
    <t xml:space="preserve">TVSXM27582</t>
  </si>
  <si>
    <t xml:space="preserve">하절 여성 시어서커 후드 긴팔 셔츠</t>
  </si>
  <si>
    <t xml:space="preserve">TVSXM27902</t>
  </si>
  <si>
    <t xml:space="preserve">유통특화_여성 체크 긴팔 셔츠</t>
  </si>
  <si>
    <t xml:space="preserve">TVTCM27528</t>
  </si>
  <si>
    <t xml:space="preserve">하절 여성 린넨 라이크 폴로 반팔 티셔츠</t>
  </si>
  <si>
    <t xml:space="preserve">TVTCM27538</t>
  </si>
  <si>
    <t xml:space="preserve">하절 여성 시어서커 반팔 폴로 티셔츠</t>
  </si>
  <si>
    <t xml:space="preserve">TVTCM27542</t>
  </si>
  <si>
    <t xml:space="preserve">하절 여성 시어서커 폴로 반팔 티셔츠</t>
  </si>
  <si>
    <t xml:space="preserve">최지희</t>
  </si>
  <si>
    <t xml:space="preserve">QEREM27131</t>
  </si>
  <si>
    <t xml:space="preserve">남녀공용 메쉬 우븐 배색 캠프캡</t>
  </si>
  <si>
    <t xml:space="preserve">QEREM27151</t>
  </si>
  <si>
    <t xml:space="preserve">남녀공용 에어도트 볼캡</t>
  </si>
  <si>
    <t xml:space="preserve">QERFM27151</t>
  </si>
  <si>
    <t xml:space="preserve">남녀공용 에어도트 버킷햇</t>
  </si>
  <si>
    <t xml:space="preserve">TLTCM27511</t>
  </si>
  <si>
    <t xml:space="preserve">하절 남녀공용 CP소로나쿨 레귤러핏 상록수 그래픽 반팔 티셔츠</t>
  </si>
  <si>
    <t xml:space="preserve">TLTCM27513</t>
  </si>
  <si>
    <t xml:space="preserve">하절 남녀공용 NP소로나쿨 세미오버핏 상록수 그래픽 반팔 티셔츠</t>
  </si>
  <si>
    <t xml:space="preserve">TLTCM27515</t>
  </si>
  <si>
    <t xml:space="preserve">하절 남녀공용 NP소로나쿨 세미오버핏 그래픽 반팔 티셔츠</t>
  </si>
  <si>
    <t xml:space="preserve">TLTCM27517</t>
  </si>
  <si>
    <t xml:space="preserve">하절 남성 소로나 레귤러핏 그래픽 반팔 티셔츠</t>
  </si>
  <si>
    <t xml:space="preserve">TLTCM27519</t>
  </si>
  <si>
    <t xml:space="preserve">하절 남녀공용 소로나쿨(NP) 세미오버핏 그래픽 반팔 티셔츠</t>
  </si>
  <si>
    <t xml:space="preserve">TVTCM27514</t>
  </si>
  <si>
    <t xml:space="preserve">하절 여성 CP소로나쿨 그래픽 크롭 반팔 티셔츠</t>
  </si>
  <si>
    <t xml:space="preserve">TVTCM27562</t>
  </si>
  <si>
    <t xml:space="preserve">하절 여성 CP소로나쿨 반팔 티셔츠</t>
  </si>
  <si>
    <t xml:space="preserve">TVTCM27564</t>
  </si>
  <si>
    <t xml:space="preserve">하절 여성 우븐 하이브리드 크롭 반팔 티셔츠</t>
  </si>
  <si>
    <t xml:space="preserve">QEAAM27301</t>
  </si>
  <si>
    <t xml:space="preserve">남녀공용 에어도트 사하라 쉐이드</t>
  </si>
  <si>
    <t xml:space="preserve">QEAAM27303</t>
  </si>
  <si>
    <t xml:space="preserve">남녀공용 메쉬 프린트 사하라 쉐이드</t>
  </si>
  <si>
    <t xml:space="preserve">QEAKM27103</t>
  </si>
  <si>
    <t xml:space="preserve">남녀공용 봉제형 이어 멀티 쿨 마스크</t>
  </si>
  <si>
    <t xml:space="preserve">QEHEM27103</t>
  </si>
  <si>
    <t xml:space="preserve">남녀공용 모스드라이 심리스 팔토시</t>
  </si>
  <si>
    <t xml:space="preserve">QEHEM27105</t>
  </si>
  <si>
    <t xml:space="preserve">남녀공용 모스드라이 손등 팔토시</t>
  </si>
  <si>
    <t xml:space="preserve">QEREM27171</t>
  </si>
  <si>
    <t xml:space="preserve">남녀공용 에어도트 사하라캡</t>
  </si>
  <si>
    <t xml:space="preserve">QEREM27301</t>
  </si>
  <si>
    <t xml:space="preserve">남녀공용 BPL 프린트 패널캡</t>
  </si>
  <si>
    <t xml:space="preserve">QEREM27311</t>
  </si>
  <si>
    <t xml:space="preserve">남녀공용 BPL 패널캡</t>
  </si>
  <si>
    <t xml:space="preserve">QERFM27121</t>
  </si>
  <si>
    <t xml:space="preserve">남녀공용 경량 메쉬 버킷햇</t>
  </si>
  <si>
    <t xml:space="preserve">QERFM27401</t>
  </si>
  <si>
    <t xml:space="preserve">남녀공용 시어서커 버킷햇</t>
  </si>
  <si>
    <t xml:space="preserve">QERFM27402</t>
  </si>
  <si>
    <t xml:space="preserve">여성 롱와이드 버킷햇</t>
  </si>
  <si>
    <t xml:space="preserve">QERFM27501</t>
  </si>
  <si>
    <t xml:space="preserve">남녀공용 데이팩 버킷햇</t>
  </si>
  <si>
    <t xml:space="preserve">8NAAX27101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</si>
  <si>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</si>
  <si>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인투잇플러스</t>
  </si>
  <si>
    <t xml:space="preserve">8NBDX27101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</si>
  <si>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</si>
  <si>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8NBDX27103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</si>
  <si>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크로스백</t>
    </r>
  </si>
  <si>
    <t xml:space="preserve">8NREX27103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</si>
  <si>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</si>
  <si>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8UJJX27101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</si>
  <si>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</si>
  <si>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8UPNX27102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</si>
  <si>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</si>
  <si>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8NREX27101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</si>
  <si>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</si>
  <si>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</si>
  <si>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</si>
  <si>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8UJJX27102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</si>
  <si>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프리마로프트 미드레이어 재킷</t>
    </r>
  </si>
  <si>
    <t xml:space="preserve">8UPNX27101</t>
  </si>
  <si>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</si>
  <si>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QEAAX27741</t>
  </si>
  <si>
    <r>
      <rPr>
        <sz val="10"/>
        <rFont val="맑은 고딕"/>
        <family val="0"/>
        <charset val="1"/>
      </rPr>
      <t xml:space="preserve">TRAIL </t>
    </r>
    <r>
      <rPr>
        <sz val="10"/>
        <rFont val="WenQuanYi Zen Hei"/>
        <family val="2"/>
      </rPr>
      <t xml:space="preserve">남녀공용 트레일러닝 스트레치 헤어밴드</t>
    </r>
  </si>
  <si>
    <t xml:space="preserve">신기 sb</t>
  </si>
  <si>
    <t xml:space="preserve">QEBDX27041</t>
  </si>
  <si>
    <t xml:space="preserve">남녀공용 히어로 더플백 40L</t>
  </si>
  <si>
    <t xml:space="preserve">풍국산업</t>
  </si>
  <si>
    <t xml:space="preserve">QEBDX27091</t>
  </si>
  <si>
    <t xml:space="preserve">남녀공용 히어로 더플백 100L</t>
  </si>
  <si>
    <t xml:space="preserve">QEBDX27111</t>
  </si>
  <si>
    <t xml:space="preserve">남녀공용 하이킹 슬링백</t>
  </si>
  <si>
    <t xml:space="preserve">QEBDX27123</t>
  </si>
  <si>
    <t xml:space="preserve">남녀공용 백패킹 사코슈백</t>
  </si>
  <si>
    <t xml:space="preserve">QEBDX27133</t>
  </si>
  <si>
    <t xml:space="preserve">남녀공용 하이킹 미니 웨이스트백</t>
  </si>
  <si>
    <t xml:space="preserve">QEBDX27135</t>
  </si>
  <si>
    <t xml:space="preserve">남녀공용 백패킹 보틀 홀더</t>
  </si>
  <si>
    <t xml:space="preserve">QEBDX27137</t>
  </si>
  <si>
    <t xml:space="preserve">남녀공용 하이킹 미니 파우치</t>
  </si>
  <si>
    <t xml:space="preserve">QEBDX27501</t>
  </si>
  <si>
    <t xml:space="preserve">남녀공용 에브리데이 토트백</t>
  </si>
  <si>
    <t xml:space="preserve">QEBDX27511</t>
  </si>
  <si>
    <t xml:space="preserve">남녀공용 에브리데이 슬링백</t>
  </si>
  <si>
    <t xml:space="preserve">QEBDX27513</t>
  </si>
  <si>
    <t xml:space="preserve">주식회사 신일레포츠</t>
  </si>
  <si>
    <t xml:space="preserve">QEBDX27691</t>
  </si>
  <si>
    <t xml:space="preserve">남녀공용 데이팩 토트백</t>
  </si>
  <si>
    <t xml:space="preserve">QEBDX27731</t>
  </si>
  <si>
    <r>
      <rPr>
        <sz val="10"/>
        <rFont val="맑은 고딕"/>
        <family val="0"/>
        <charset val="1"/>
      </rPr>
      <t xml:space="preserve">TRAIL </t>
    </r>
    <r>
      <rPr>
        <sz val="10"/>
        <rFont val="WenQuanYi Zen Hei"/>
        <family val="2"/>
      </rPr>
      <t xml:space="preserve">남녀공용 트레일러닝 힙벨트</t>
    </r>
  </si>
  <si>
    <t xml:space="preserve">QEBXX27111</t>
  </si>
  <si>
    <t xml:space="preserve">남녀공용 티어드롭형 AXIOM 10L</t>
  </si>
  <si>
    <t xml:space="preserve">QEBXX27121</t>
  </si>
  <si>
    <t xml:space="preserve">남녀공용 티어드롭형 AXIOM 20L</t>
  </si>
  <si>
    <t xml:space="preserve">QEBXX27123</t>
  </si>
  <si>
    <t xml:space="preserve">남녀공용 롤탑형 AXIOM 25L(+7L)</t>
  </si>
  <si>
    <t xml:space="preserve">QEBXX27131</t>
  </si>
  <si>
    <t xml:space="preserve">남녀공용 티어드롭형 AXIOM 30L</t>
  </si>
  <si>
    <t xml:space="preserve">QEBXX27141</t>
  </si>
  <si>
    <t xml:space="preserve">남여공용 롤탑형 AXIOM 37L(+8L)</t>
  </si>
  <si>
    <t xml:space="preserve">QEBXX27142</t>
  </si>
  <si>
    <t xml:space="preserve">남여공용 롤탑형 AXIOM 35L(+7L)</t>
  </si>
  <si>
    <t xml:space="preserve">QEBXX27501</t>
  </si>
  <si>
    <t xml:space="preserve">남녀공용 에브리데이 백팩</t>
  </si>
  <si>
    <t xml:space="preserve">QEBXX27511</t>
  </si>
  <si>
    <t xml:space="preserve">남녀공용 스트링형 단거리 근교산행용 패커블 백팩 10L</t>
  </si>
  <si>
    <t xml:space="preserve">QEBXX27691</t>
  </si>
  <si>
    <t xml:space="preserve">남녀공용 데이팩 백팩</t>
  </si>
  <si>
    <t xml:space="preserve">QEBXX27701</t>
  </si>
  <si>
    <r>
      <rPr>
        <sz val="10"/>
        <rFont val="맑은 고딕"/>
        <family val="0"/>
        <charset val="1"/>
      </rPr>
      <t xml:space="preserve">TRAIL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</si>
  <si>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QEBXX27711</t>
  </si>
  <si>
    <r>
      <rPr>
        <sz val="10"/>
        <rFont val="맑은 고딕"/>
        <family val="0"/>
        <charset val="1"/>
      </rPr>
      <t xml:space="preserve">TRAIL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</si>
  <si>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QEHFX27101</t>
  </si>
  <si>
    <t xml:space="preserve">남녀공용 모스드라이 하이킹 스트레치 장갑</t>
  </si>
  <si>
    <t xml:space="preserve">캄보디아</t>
  </si>
  <si>
    <t xml:space="preserve">QEHFX27901</t>
  </si>
  <si>
    <t xml:space="preserve">유통특화_남녀공용 하이킹 메쉬 긴장갑</t>
  </si>
  <si>
    <t xml:space="preserve">QELAX27701</t>
  </si>
  <si>
    <r>
      <rPr>
        <sz val="10"/>
        <rFont val="맑은 고딕"/>
        <family val="0"/>
        <charset val="1"/>
      </rPr>
      <t xml:space="preserve">TRAIL </t>
    </r>
    <r>
      <rPr>
        <sz val="10"/>
        <rFont val="WenQuanYi Zen Hei"/>
        <family val="2"/>
      </rPr>
      <t xml:space="preserve">남녀공용 트레일러닝 크루 삭스</t>
    </r>
  </si>
  <si>
    <t xml:space="preserve">크리스앤컴퍼니</t>
  </si>
  <si>
    <t xml:space="preserve">QEREX27711</t>
  </si>
  <si>
    <r>
      <rPr>
        <sz val="10"/>
        <rFont val="맑은 고딕"/>
        <family val="0"/>
        <charset val="1"/>
      </rPr>
      <t xml:space="preserve">TRAIL </t>
    </r>
    <r>
      <rPr>
        <sz val="10"/>
        <rFont val="WenQuanYi Zen Hei"/>
        <family val="2"/>
      </rPr>
      <t xml:space="preserve">남녀공용 트레일러닝 메쉬 캠프캡</t>
    </r>
  </si>
  <si>
    <t xml:space="preserve">QEREX27721</t>
  </si>
  <si>
    <r>
      <rPr>
        <sz val="10"/>
        <rFont val="맑은 고딕"/>
        <family val="0"/>
        <charset val="1"/>
      </rPr>
      <t xml:space="preserve">TRAIL </t>
    </r>
    <r>
      <rPr>
        <sz val="10"/>
        <rFont val="WenQuanYi Zen Hei"/>
        <family val="2"/>
      </rPr>
      <t xml:space="preserve">남녀공용 트레일러닝 에어도트 볼캡</t>
    </r>
  </si>
  <si>
    <t xml:space="preserve">QELAX27111</t>
  </si>
  <si>
    <t xml:space="preserve">남녀공용 메리노울 하이킹 크루 삭스</t>
  </si>
  <si>
    <t xml:space="preserve">QELAX27121</t>
  </si>
  <si>
    <t xml:space="preserve">남녀공용 메리노울 하이킹 컴프레션 크루 삭스</t>
  </si>
  <si>
    <t xml:space="preserve">QELAX27131</t>
  </si>
  <si>
    <t xml:space="preserve">남녀공용 메리노울 컴프레션 크루 삭스</t>
  </si>
  <si>
    <t xml:space="preserve">QELAX27141</t>
  </si>
  <si>
    <t xml:space="preserve">남녀공용 메리노울 하이킹 딥다잉 컴프레션 크루 삭스</t>
  </si>
  <si>
    <t xml:space="preserve">QELAX27501</t>
  </si>
  <si>
    <t xml:space="preserve">남녀공용 바이오맥스 니삭스</t>
  </si>
  <si>
    <t xml:space="preserve">QEREX27101</t>
  </si>
  <si>
    <t xml:space="preserve">남녀공용 고어텍스 3L 볼캡</t>
  </si>
  <si>
    <t xml:space="preserve">QEREX27111</t>
  </si>
  <si>
    <t xml:space="preserve">남녀공용 고어텍스 2L 캠프캡</t>
  </si>
  <si>
    <t xml:space="preserve">QERFX27101</t>
  </si>
  <si>
    <t xml:space="preserve">남녀공용 고어텍스 버킷햇</t>
  </si>
  <si>
    <t xml:space="preserve">QERFX27111</t>
  </si>
  <si>
    <t xml:space="preserve">남녀공용 고어텍스 브림햇</t>
  </si>
  <si>
    <t xml:space="preserve">QELAX27511</t>
  </si>
  <si>
    <t xml:space="preserve">남녀공용 그래픽 크루 삭스</t>
  </si>
  <si>
    <t xml:space="preserve">QELAX27531</t>
  </si>
  <si>
    <t xml:space="preserve">남녀공용 에센셜 크루 삭스</t>
  </si>
  <si>
    <t xml:space="preserve">범창모산</t>
  </si>
  <si>
    <t xml:space="preserve">QELAX27541</t>
  </si>
  <si>
    <t xml:space="preserve">남녀공용 베이직 앵클 삭스</t>
  </si>
  <si>
    <t xml:space="preserve">QELAX27551</t>
  </si>
  <si>
    <t xml:space="preserve">남녀공용 에센셜 쿠셔닝 인비저블 삭스 3PACK</t>
  </si>
  <si>
    <t xml:space="preserve">QELAX27561</t>
  </si>
  <si>
    <t xml:space="preserve">남녀공용 상록수 그래픽 크루 삭스</t>
  </si>
  <si>
    <t xml:space="preserve">QELAX27521</t>
  </si>
  <si>
    <t xml:space="preserve">남녀공용 레트로 크루 삭스</t>
  </si>
  <si>
    <t xml:space="preserve">QELAX27571</t>
  </si>
  <si>
    <t xml:space="preserve">남녀공용 레터링 크루 삭스</t>
  </si>
  <si>
    <t xml:space="preserve">QEREX27401</t>
  </si>
  <si>
    <t xml:space="preserve">남녀공용 면 트윌 볼캡</t>
  </si>
  <si>
    <t xml:space="preserve">QERFX27141</t>
  </si>
  <si>
    <t xml:space="preserve">남녀공용 경량 우븐 벤틸레이션 브림햇</t>
  </si>
  <si>
    <t xml:space="preserve">QEAAX27111</t>
  </si>
  <si>
    <t xml:space="preserve">남녀공용 그래픽 반다나</t>
  </si>
  <si>
    <t xml:space="preserve">QEAKX27101</t>
  </si>
  <si>
    <t xml:space="preserve">남녀공용 심리스 멀티 스카프</t>
  </si>
  <si>
    <t xml:space="preserve">QEAKX27111</t>
  </si>
  <si>
    <t xml:space="preserve">남녀공용 그래픽 스카프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</si>
  <si>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</si>
  <si>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</si>
  <si>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</si>
  <si>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t xml:space="preserve">★ 납기위험(S코드)</t>
  </si>
  <si>
    <t xml:space="preserve">◆ 지연주의(M/X)</t>
  </si>
  <si>
    <r>
      <rPr>
        <sz val="10"/>
        <color rgb="FF666666"/>
        <rFont val="맑은 고딕"/>
        <family val="0"/>
        <charset val="1"/>
      </rPr>
      <t xml:space="preserve">? </t>
    </r>
    <r>
      <rPr>
        <sz val="10"/>
        <color rgb="FF666666"/>
        <rFont val="WenQuanYi Zen Hei"/>
        <family val="2"/>
      </rPr>
      <t xml:space="preserve">확인필요</t>
    </r>
  </si>
  <si>
    <t xml:space="preserve">기획MD별 현황</t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</si>
  <si>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</si>
  <si>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</si>
  <si>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작지(일매) 미등록</t>
  </si>
  <si>
    <t xml:space="preserve">★ 납기위험</t>
  </si>
  <si>
    <t xml:space="preserve">조율완료</t>
  </si>
  <si>
    <t xml:space="preserve">합계</t>
  </si>
  <si>
    <t xml:space="preserve">공유 메시지 (관계부서 발송용)</t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</si>
  <si>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전산 납기는 현재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월 초에 집중 등록되어 있어 실제 일정과 차이가 크므로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본 트래커는 영업 출고계획 주차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미확정 시 전년 </t>
    </r>
    <r>
      <rPr>
        <sz val="11"/>
        <rFont val="맑은 고딕"/>
        <family val="0"/>
        <charset val="1"/>
      </rPr>
      <t xml:space="preserve">26SS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+1</t>
    </r>
    <r>
      <rPr>
        <sz val="11"/>
        <rFont val="WenQuanYi Zen Hei"/>
        <family val="2"/>
      </rPr>
      <t xml:space="preserve">년 예측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 기준으로 소재입고 마감일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출고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을 역산했습니다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일매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가 등록되지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사입생산은 생산처에서 소재 입고 가능일을 회신해 주시기 바라며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마감 초과가 예상되는 스타일은 출고차순 조정 등 사전조율을 요청드립니다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</si>
</sst>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;[RED]\-0"/>
    <numFmt numFmtId="167" formatCode="General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  <charset val="1"/>
    </font>
    <font>
      <sz val="11"/>
      <color rgb="FF212121"/>
      <name val="WenQuanYi Zen Hei"/>
      <family val="2"/>
      <charset val="1"/>
    </font>
    <font>
      <sz val="11"/>
      <color rgb="FF212121"/>
      <name val="맑은 고딕"/>
      <family val="0"/>
      <charset val="1"/>
    </font>
    <font>
      <sz val="11"/>
      <color rgb="FF212121"/>
      <name val="WenQuanYi Zen Hei"/>
      <family val="2"/>
    </font>
    <font>
      <b val="true"/>
      <sz val="12"/>
      <color rgb="FFE8474C"/>
      <name val="WenQuanYi Zen Hei"/>
      <family val="2"/>
      <charset val="1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  <charset val="1"/>
    </font>
    <font>
      <sz val="9"/>
      <color rgb="FF666666"/>
      <name val="맑은 고딕"/>
      <family val="0"/>
      <charset val="1"/>
    </font>
    <font>
      <sz val="9"/>
      <color rgb="FF666666"/>
      <name val="WenQuanYi Zen Hei"/>
      <family val="2"/>
    </font>
    <font>
      <b val="true"/>
      <sz val="12"/>
      <color rgb="FFFFFFFF"/>
      <name val="WenQuanYi Zen Hei"/>
      <family val="2"/>
      <charset val="1"/>
    </font>
    <font>
      <b val="true"/>
      <sz val="11"/>
      <color rgb="FF2C5F2D"/>
      <name val="맑은 고딕"/>
      <family val="0"/>
      <charset val="1"/>
    </font>
    <font>
      <b val="true"/>
      <sz val="11"/>
      <color rgb="FF2C5F2D"/>
      <name val="WenQuanYi Zen Hei"/>
      <family val="2"/>
    </font>
    <font>
      <sz val="11"/>
      <name val="WenQuanYi Zen Hei"/>
      <family val="2"/>
      <charset val="1"/>
    </font>
    <font>
      <b val="true"/>
      <sz val="11"/>
      <color rgb="FF2C5F2D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sz val="10"/>
      <color rgb="FF666666"/>
      <name val="WenQuanYi Zen Hei"/>
      <family val="2"/>
      <charset val="1"/>
    </font>
    <font>
      <b val="true"/>
      <sz val="10"/>
      <name val="맑은 고딕"/>
      <family val="0"/>
      <charset val="1"/>
    </font>
    <font>
      <sz val="10"/>
      <color rgb="FFE8474C"/>
      <name val="WenQuanYi Zen Hei"/>
      <family val="2"/>
      <charset val="1"/>
    </font>
    <font>
      <b val="true"/>
      <sz val="10"/>
      <color rgb="FFFFFFFF"/>
      <name val="맑은 고딕"/>
      <family val="0"/>
      <charset val="1"/>
    </font>
    <font>
      <sz val="10"/>
      <name val="WenQuanYi Zen Hei"/>
      <family val="2"/>
      <charset val="1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666666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2C5F2D"/>
      <name val="WenQuanYi Zen Hei"/>
      <family val="2"/>
      <charset val="1"/>
    </font>
    <font>
      <b val="true"/>
      <sz val="10"/>
      <color rgb="FF2C5F2D"/>
      <name val="맑은 고딕"/>
      <family val="0"/>
      <charset val="1"/>
    </font>
    <font>
      <sz val="11"/>
      <name val="맑은 고딕"/>
      <family val="0"/>
      <charset val="1"/>
    </font>
    <font>
      <sz val="1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2C5F2D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5F5F5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C5F2D"/>
      <rgbColor rgb="FF9C5700"/>
      <rgbColor rgb="FF993366"/>
      <rgbColor rgb="FF333399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12"/>
  </cols>
  <sheetData>
    <row r="2" customFormat="false" ht="20.2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4" t="s">
        <v>3</v>
      </c>
    </row>
    <row r="7" customFormat="false" ht="15" hidden="false" customHeight="true" outlineLevel="0" collapsed="false">
      <c r="B7" s="5" t="s">
        <v>4</v>
      </c>
    </row>
    <row r="9" customFormat="false" ht="15" hidden="false" customHeight="true" outlineLevel="0" collapsed="false">
      <c r="B9" s="3" t="s">
        <v>5</v>
      </c>
    </row>
    <row r="10" customFormat="false" ht="15" hidden="false" customHeight="true" outlineLevel="0" collapsed="false">
      <c r="B10" s="5" t="s">
        <v>6</v>
      </c>
    </row>
    <row r="11" customFormat="false" ht="15" hidden="false" customHeight="true" outlineLevel="0" collapsed="false">
      <c r="B11" s="4" t="s">
        <v>7</v>
      </c>
    </row>
    <row r="12" customFormat="false" ht="15" hidden="false" customHeight="true" outlineLevel="0" collapsed="false">
      <c r="B12" s="5" t="s">
        <v>8</v>
      </c>
    </row>
    <row r="13" customFormat="false" ht="15" hidden="false" customHeight="true" outlineLevel="0" collapsed="false">
      <c r="B13" s="5" t="s">
        <v>9</v>
      </c>
    </row>
    <row r="14" customFormat="false" ht="15" hidden="false" customHeight="true" outlineLevel="0" collapsed="false">
      <c r="B14" s="5" t="s">
        <v>10</v>
      </c>
    </row>
    <row r="16" customFormat="false" ht="15.7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5" t="s">
        <v>12</v>
      </c>
    </row>
    <row r="18" customFormat="false" ht="15" hidden="false" customHeight="true" outlineLevel="0" collapsed="false">
      <c r="B18" s="5" t="s">
        <v>13</v>
      </c>
    </row>
    <row r="19" customFormat="false" ht="15" hidden="false" customHeight="true" outlineLevel="0" collapsed="false">
      <c r="B19" s="5" t="s">
        <v>14</v>
      </c>
    </row>
    <row r="20" customFormat="false" ht="15" hidden="false" customHeight="true" outlineLevel="0" collapsed="false">
      <c r="B20" s="5" t="s">
        <v>15</v>
      </c>
    </row>
    <row r="22" customFormat="false" ht="15" hidden="false" customHeight="true" outlineLevel="0" collapsed="false">
      <c r="B22" s="6" t="s">
        <v>16</v>
      </c>
    </row>
    <row r="23" customFormat="false" ht="15" hidden="false" customHeight="true" outlineLevel="0" collapsed="false">
      <c r="B23" s="7" t="s">
        <v>17</v>
      </c>
    </row>
    <row r="24" customFormat="false" ht="15" hidden="false" customHeight="true" outlineLevel="0" collapsed="false">
      <c r="B24" s="7" t="s">
        <v>18</v>
      </c>
    </row>
    <row r="25" customFormat="false" ht="15" hidden="false" customHeight="true" outlineLevel="0" collapsed="false">
      <c r="B25" s="7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50"/>
  </cols>
  <sheetData>
    <row r="2" customFormat="false" ht="16.5" hidden="false" customHeight="true" outlineLevel="0" collapsed="false">
      <c r="B2" s="8" t="s">
        <v>20</v>
      </c>
    </row>
    <row r="4" customFormat="false" ht="15" hidden="false" customHeight="true" outlineLevel="0" collapsed="false">
      <c r="B4" s="9" t="s">
        <v>21</v>
      </c>
      <c r="C4" s="10" t="n">
        <f aca="true">TODAY()</f>
        <v>46241</v>
      </c>
      <c r="D4" s="11" t="s">
        <v>22</v>
      </c>
    </row>
    <row r="5" customFormat="false" ht="15" hidden="false" customHeight="true" outlineLevel="0" collapsed="false">
      <c r="B5" s="9" t="s">
        <v>23</v>
      </c>
      <c r="C5" s="12" t="n">
        <v>90</v>
      </c>
      <c r="D5" s="11" t="s">
        <v>24</v>
      </c>
    </row>
    <row r="6" customFormat="false" ht="15" hidden="false" customHeight="true" outlineLevel="0" collapsed="false">
      <c r="B6" s="9" t="s">
        <v>25</v>
      </c>
      <c r="C6" s="12" t="n">
        <v>2027</v>
      </c>
      <c r="D6" s="13" t="s">
        <v>26</v>
      </c>
    </row>
    <row r="8" customFormat="false" ht="15" hidden="false" customHeight="true" outlineLevel="0" collapsed="false">
      <c r="B8" s="14" t="s">
        <v>27</v>
      </c>
    </row>
    <row r="9" customFormat="false" ht="15" hidden="false" customHeight="true" outlineLevel="0" collapsed="false">
      <c r="B9" s="15" t="s">
        <v>28</v>
      </c>
      <c r="C9" s="16" t="s">
        <v>29</v>
      </c>
    </row>
    <row r="10" customFormat="false" ht="15" hidden="false" customHeight="true" outlineLevel="0" collapsed="false">
      <c r="B10" s="17" t="s">
        <v>30</v>
      </c>
      <c r="C10" s="16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24"/>
  </cols>
  <sheetData>
    <row r="1" customFormat="false" ht="16.5" hidden="false" customHeight="true" outlineLevel="0" collapsed="false">
      <c r="A1" s="8" t="s">
        <v>32</v>
      </c>
    </row>
    <row r="2" customFormat="false" ht="15" hidden="false" customHeight="true" outlineLevel="0" collapsed="false">
      <c r="A2" s="13" t="s">
        <v>33</v>
      </c>
    </row>
    <row r="3" customFormat="false" ht="15" hidden="false" customHeight="true" outlineLevel="0" collapsed="false">
      <c r="A3" s="18" t="s">
        <v>34</v>
      </c>
      <c r="B3" s="18" t="s">
        <v>35</v>
      </c>
      <c r="C3" s="18" t="s">
        <v>36</v>
      </c>
    </row>
    <row r="4" customFormat="false" ht="15" hidden="false" customHeight="true" outlineLevel="0" collapsed="false">
      <c r="A4" s="19" t="s">
        <v>37</v>
      </c>
      <c r="B4" s="20" t="n">
        <v>46035</v>
      </c>
      <c r="C4" s="19" t="s">
        <v>38</v>
      </c>
    </row>
    <row r="5" customFormat="false" ht="15" hidden="false" customHeight="true" outlineLevel="0" collapsed="false">
      <c r="A5" s="19" t="s">
        <v>39</v>
      </c>
      <c r="B5" s="20" t="n">
        <v>46029</v>
      </c>
      <c r="C5" s="19" t="s">
        <v>38</v>
      </c>
    </row>
    <row r="6" customFormat="false" ht="15" hidden="false" customHeight="true" outlineLevel="0" collapsed="false">
      <c r="A6" s="19" t="s">
        <v>40</v>
      </c>
      <c r="B6" s="20" t="n">
        <v>46035</v>
      </c>
      <c r="C6" s="19" t="s">
        <v>38</v>
      </c>
    </row>
    <row r="7" customFormat="false" ht="15" hidden="false" customHeight="true" outlineLevel="0" collapsed="false">
      <c r="A7" s="19" t="s">
        <v>41</v>
      </c>
      <c r="B7" s="20" t="n">
        <v>46035</v>
      </c>
      <c r="C7" s="19" t="s">
        <v>38</v>
      </c>
    </row>
    <row r="8" customFormat="false" ht="15" hidden="false" customHeight="true" outlineLevel="0" collapsed="false">
      <c r="A8" s="19" t="s">
        <v>42</v>
      </c>
      <c r="B8" s="20" t="n">
        <v>46035</v>
      </c>
      <c r="C8" s="19" t="s">
        <v>38</v>
      </c>
    </row>
    <row r="9" customFormat="false" ht="15" hidden="false" customHeight="true" outlineLevel="0" collapsed="false">
      <c r="A9" s="19" t="s">
        <v>43</v>
      </c>
      <c r="B9" s="20" t="n">
        <v>46038</v>
      </c>
      <c r="C9" s="19" t="s">
        <v>38</v>
      </c>
    </row>
    <row r="10" customFormat="false" ht="15" hidden="false" customHeight="true" outlineLevel="0" collapsed="false">
      <c r="A10" s="19" t="s">
        <v>44</v>
      </c>
      <c r="B10" s="20" t="n">
        <v>46035</v>
      </c>
      <c r="C10" s="19" t="s">
        <v>38</v>
      </c>
    </row>
    <row r="11" customFormat="false" ht="15" hidden="false" customHeight="true" outlineLevel="0" collapsed="false">
      <c r="A11" s="19" t="s">
        <v>45</v>
      </c>
      <c r="B11" s="20" t="n">
        <v>46036</v>
      </c>
      <c r="C11" s="19" t="s">
        <v>38</v>
      </c>
    </row>
    <row r="12" customFormat="false" ht="15" hidden="false" customHeight="true" outlineLevel="0" collapsed="false">
      <c r="A12" s="19" t="s">
        <v>46</v>
      </c>
      <c r="B12" s="20" t="n">
        <v>46036</v>
      </c>
      <c r="C12" s="19" t="s">
        <v>38</v>
      </c>
    </row>
    <row r="13" customFormat="false" ht="15" hidden="false" customHeight="true" outlineLevel="0" collapsed="false">
      <c r="A13" s="19" t="s">
        <v>47</v>
      </c>
      <c r="B13" s="20" t="n">
        <v>46037</v>
      </c>
      <c r="C13" s="19" t="s">
        <v>38</v>
      </c>
    </row>
    <row r="14" customFormat="false" ht="15" hidden="false" customHeight="true" outlineLevel="0" collapsed="false">
      <c r="A14" s="19" t="s">
        <v>48</v>
      </c>
      <c r="B14" s="20" t="n">
        <v>46031</v>
      </c>
      <c r="C14" s="19" t="s">
        <v>38</v>
      </c>
    </row>
    <row r="15" customFormat="false" ht="15" hidden="false" customHeight="true" outlineLevel="0" collapsed="false">
      <c r="A15" s="19" t="s">
        <v>49</v>
      </c>
      <c r="B15" s="20" t="n">
        <v>46031</v>
      </c>
      <c r="C15" s="19" t="s">
        <v>38</v>
      </c>
    </row>
    <row r="16" customFormat="false" ht="15" hidden="false" customHeight="true" outlineLevel="0" collapsed="false">
      <c r="A16" s="19" t="s">
        <v>50</v>
      </c>
      <c r="B16" s="19" t="s">
        <v>51</v>
      </c>
      <c r="C16" s="19" t="s">
        <v>52</v>
      </c>
    </row>
    <row r="17" customFormat="false" ht="15" hidden="false" customHeight="true" outlineLevel="0" collapsed="false">
      <c r="A17" s="19" t="s">
        <v>53</v>
      </c>
      <c r="B17" s="19" t="s">
        <v>54</v>
      </c>
      <c r="C17" s="19" t="s">
        <v>52</v>
      </c>
    </row>
    <row r="18" customFormat="false" ht="15" hidden="false" customHeight="true" outlineLevel="0" collapsed="false">
      <c r="A18" s="19" t="s">
        <v>55</v>
      </c>
      <c r="B18" s="19" t="s">
        <v>51</v>
      </c>
      <c r="C18" s="19" t="s">
        <v>52</v>
      </c>
    </row>
    <row r="19" customFormat="false" ht="15" hidden="false" customHeight="true" outlineLevel="0" collapsed="false">
      <c r="A19" s="19" t="s">
        <v>56</v>
      </c>
      <c r="B19" s="20" t="n">
        <v>46029</v>
      </c>
      <c r="C19" s="19" t="s">
        <v>38</v>
      </c>
    </row>
    <row r="20" customFormat="false" ht="15" hidden="false" customHeight="true" outlineLevel="0" collapsed="false">
      <c r="A20" s="19" t="s">
        <v>57</v>
      </c>
      <c r="B20" s="20" t="n">
        <v>46037</v>
      </c>
      <c r="C20" s="19" t="s">
        <v>38</v>
      </c>
    </row>
    <row r="21" customFormat="false" ht="15" hidden="false" customHeight="true" outlineLevel="0" collapsed="false">
      <c r="A21" s="19" t="s">
        <v>58</v>
      </c>
      <c r="B21" s="20" t="n">
        <v>46037</v>
      </c>
      <c r="C21" s="19" t="s">
        <v>38</v>
      </c>
    </row>
    <row r="22" customFormat="false" ht="15" hidden="false" customHeight="true" outlineLevel="0" collapsed="false">
      <c r="A22" s="19" t="s">
        <v>59</v>
      </c>
      <c r="B22" s="20" t="n">
        <v>46037</v>
      </c>
      <c r="C22" s="19" t="s">
        <v>38</v>
      </c>
    </row>
    <row r="23" customFormat="false" ht="15" hidden="false" customHeight="true" outlineLevel="0" collapsed="false">
      <c r="A23" s="19" t="s">
        <v>60</v>
      </c>
      <c r="B23" s="20" t="n">
        <v>46035</v>
      </c>
      <c r="C23" s="19" t="s">
        <v>38</v>
      </c>
    </row>
    <row r="24" customFormat="false" ht="15" hidden="false" customHeight="true" outlineLevel="0" collapsed="false">
      <c r="A24" s="19" t="s">
        <v>61</v>
      </c>
      <c r="B24" s="20" t="n">
        <v>46035</v>
      </c>
      <c r="C24" s="19" t="s">
        <v>38</v>
      </c>
    </row>
    <row r="25" customFormat="false" ht="15" hidden="false" customHeight="true" outlineLevel="0" collapsed="false">
      <c r="A25" s="19" t="s">
        <v>62</v>
      </c>
      <c r="B25" s="19" t="s">
        <v>54</v>
      </c>
      <c r="C25" s="19" t="s">
        <v>52</v>
      </c>
    </row>
    <row r="26" customFormat="false" ht="15" hidden="false" customHeight="true" outlineLevel="0" collapsed="false">
      <c r="A26" s="19" t="s">
        <v>63</v>
      </c>
      <c r="B26" s="20" t="n">
        <v>46028</v>
      </c>
      <c r="C26" s="19" t="s">
        <v>38</v>
      </c>
    </row>
    <row r="27" customFormat="false" ht="15" hidden="false" customHeight="true" outlineLevel="0" collapsed="false">
      <c r="A27" s="19" t="s">
        <v>64</v>
      </c>
      <c r="B27" s="20" t="n">
        <v>46038</v>
      </c>
      <c r="C27" s="19" t="s">
        <v>38</v>
      </c>
    </row>
    <row r="28" customFormat="false" ht="15" hidden="false" customHeight="true" outlineLevel="0" collapsed="false">
      <c r="A28" s="19" t="s">
        <v>65</v>
      </c>
      <c r="B28" s="20" t="n">
        <v>46037</v>
      </c>
      <c r="C28" s="19" t="s">
        <v>38</v>
      </c>
    </row>
    <row r="29" customFormat="false" ht="15" hidden="false" customHeight="true" outlineLevel="0" collapsed="false">
      <c r="A29" s="19" t="s">
        <v>66</v>
      </c>
      <c r="B29" s="20" t="n">
        <v>46024</v>
      </c>
      <c r="C29" s="19" t="s">
        <v>38</v>
      </c>
    </row>
    <row r="30" customFormat="false" ht="15" hidden="false" customHeight="true" outlineLevel="0" collapsed="false">
      <c r="A30" s="19" t="s">
        <v>67</v>
      </c>
      <c r="B30" s="20" t="n">
        <v>46034</v>
      </c>
      <c r="C30" s="19" t="s">
        <v>38</v>
      </c>
    </row>
    <row r="31" customFormat="false" ht="15" hidden="false" customHeight="true" outlineLevel="0" collapsed="false">
      <c r="A31" s="19" t="s">
        <v>68</v>
      </c>
      <c r="B31" s="20" t="n">
        <v>46037</v>
      </c>
      <c r="C31" s="19" t="s">
        <v>38</v>
      </c>
    </row>
    <row r="32" customFormat="false" ht="15" hidden="false" customHeight="true" outlineLevel="0" collapsed="false">
      <c r="A32" s="19" t="s">
        <v>69</v>
      </c>
      <c r="B32" s="20" t="n">
        <v>46037</v>
      </c>
      <c r="C32" s="19" t="s">
        <v>38</v>
      </c>
    </row>
    <row r="33" customFormat="false" ht="15" hidden="false" customHeight="true" outlineLevel="0" collapsed="false">
      <c r="A33" s="19" t="s">
        <v>70</v>
      </c>
      <c r="B33" s="20" t="n">
        <v>46030</v>
      </c>
      <c r="C33" s="19" t="s">
        <v>38</v>
      </c>
    </row>
    <row r="34" customFormat="false" ht="15" hidden="false" customHeight="true" outlineLevel="0" collapsed="false">
      <c r="A34" s="19" t="s">
        <v>71</v>
      </c>
      <c r="B34" s="20" t="n">
        <v>46024</v>
      </c>
      <c r="C34" s="19" t="s">
        <v>38</v>
      </c>
    </row>
    <row r="35" customFormat="false" ht="15" hidden="false" customHeight="true" outlineLevel="0" collapsed="false">
      <c r="A35" s="19" t="s">
        <v>72</v>
      </c>
      <c r="B35" s="20" t="n">
        <v>46036</v>
      </c>
      <c r="C35" s="19" t="s">
        <v>38</v>
      </c>
    </row>
    <row r="36" customFormat="false" ht="15" hidden="false" customHeight="true" outlineLevel="0" collapsed="false">
      <c r="A36" s="19" t="s">
        <v>73</v>
      </c>
      <c r="B36" s="20" t="n">
        <v>46028</v>
      </c>
      <c r="C36" s="19" t="s">
        <v>38</v>
      </c>
    </row>
    <row r="37" customFormat="false" ht="15" hidden="false" customHeight="true" outlineLevel="0" collapsed="false">
      <c r="A37" s="19" t="s">
        <v>74</v>
      </c>
      <c r="B37" s="20" t="n">
        <v>46028</v>
      </c>
      <c r="C37" s="19" t="s">
        <v>38</v>
      </c>
    </row>
    <row r="38" customFormat="false" ht="15" hidden="false" customHeight="true" outlineLevel="0" collapsed="false">
      <c r="A38" s="19" t="s">
        <v>75</v>
      </c>
      <c r="B38" s="20" t="n">
        <v>46028</v>
      </c>
      <c r="C38" s="19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34"/>
    <col collapsed="false" customWidth="true" hidden="false" outlineLevel="0" max="5" min="5" style="1" width="9"/>
    <col collapsed="false" customWidth="true" hidden="false" outlineLevel="0" max="6" min="6" style="1" width="11"/>
    <col collapsed="false" customWidth="true" hidden="false" outlineLevel="0" max="10" min="7" style="1" width="13"/>
    <col collapsed="false" customWidth="true" hidden="false" outlineLevel="0" max="11" min="11" style="1" width="12"/>
    <col collapsed="false" customWidth="true" hidden="false" outlineLevel="0" max="12" min="12" style="1" width="15"/>
    <col collapsed="false" customWidth="true" hidden="false" outlineLevel="0" max="13" min="13" style="1" width="13"/>
    <col collapsed="false" customWidth="true" hidden="false" outlineLevel="0" max="14" min="14" style="1" width="9"/>
    <col collapsed="false" customWidth="true" hidden="false" outlineLevel="0" max="15" min="15" style="1" width="11"/>
    <col collapsed="false" customWidth="true" hidden="false" outlineLevel="0" max="17" min="16" style="1" width="13"/>
    <col collapsed="false" customWidth="true" hidden="false" outlineLevel="0" max="18" min="18" style="1" width="14"/>
    <col collapsed="false" customWidth="true" hidden="false" outlineLevel="0" max="19" min="19" style="1" width="10"/>
    <col collapsed="false" customWidth="true" hidden="false" outlineLevel="0" max="20" min="20" style="1" width="26"/>
    <col collapsed="false" customWidth="true" hidden="false" outlineLevel="0" max="21" min="21" style="1" width="15"/>
    <col collapsed="false" customWidth="true" hidden="false" outlineLevel="0" max="22" min="22" style="1" width="9"/>
    <col collapsed="false" customWidth="true" hidden="false" outlineLevel="0" max="23" min="23" style="1" width="24"/>
  </cols>
  <sheetData>
    <row r="1" customFormat="false" ht="18.75" hidden="false" customHeight="true" outlineLevel="0" collapsed="false">
      <c r="A1" s="21" t="s">
        <v>76</v>
      </c>
    </row>
    <row r="2" customFormat="false" ht="15" hidden="false" customHeight="true" outlineLevel="0" collapsed="false">
      <c r="A2" s="22" t="s">
        <v>77</v>
      </c>
      <c r="B2" s="23" t="n">
        <f aca="false">기준정보!$C$4</f>
        <v>46241</v>
      </c>
      <c r="C2" s="22" t="s">
        <v>78</v>
      </c>
      <c r="D2" s="24" t="str">
        <f aca="false">기준정보!$C$5&amp;"일"</f>
        <v>90일</v>
      </c>
      <c r="F2" s="25" t="s">
        <v>79</v>
      </c>
    </row>
    <row r="4" customFormat="false" ht="26.25" hidden="false" customHeight="true" outlineLevel="0" collapsed="false">
      <c r="A4" s="26" t="s">
        <v>80</v>
      </c>
      <c r="B4" s="27" t="s">
        <v>81</v>
      </c>
      <c r="C4" s="26" t="s">
        <v>82</v>
      </c>
      <c r="D4" s="27" t="s">
        <v>83</v>
      </c>
      <c r="E4" s="27" t="s">
        <v>84</v>
      </c>
      <c r="F4" s="27" t="s">
        <v>85</v>
      </c>
      <c r="G4" s="27" t="s">
        <v>86</v>
      </c>
      <c r="H4" s="27" t="s">
        <v>87</v>
      </c>
      <c r="I4" s="27" t="s">
        <v>88</v>
      </c>
      <c r="J4" s="27" t="s">
        <v>89</v>
      </c>
      <c r="K4" s="27" t="s">
        <v>90</v>
      </c>
      <c r="L4" s="27" t="s">
        <v>91</v>
      </c>
      <c r="M4" s="27" t="s">
        <v>92</v>
      </c>
      <c r="N4" s="27" t="s">
        <v>93</v>
      </c>
      <c r="O4" s="27" t="s">
        <v>94</v>
      </c>
      <c r="P4" s="27" t="s">
        <v>95</v>
      </c>
      <c r="Q4" s="27" t="s">
        <v>96</v>
      </c>
      <c r="R4" s="27" t="s">
        <v>97</v>
      </c>
      <c r="S4" s="27" t="s">
        <v>98</v>
      </c>
      <c r="T4" s="27" t="s">
        <v>99</v>
      </c>
      <c r="U4" s="27" t="s">
        <v>100</v>
      </c>
      <c r="V4" s="27" t="s">
        <v>101</v>
      </c>
      <c r="W4" s="27" t="s">
        <v>102</v>
      </c>
    </row>
    <row r="5" customFormat="false" ht="15" hidden="false" customHeight="true" outlineLevel="0" collapsed="false">
      <c r="A5" s="28" t="n">
        <v>1</v>
      </c>
      <c r="B5" s="29" t="s">
        <v>103</v>
      </c>
      <c r="C5" s="30" t="s">
        <v>104</v>
      </c>
      <c r="D5" s="29" t="s">
        <v>105</v>
      </c>
      <c r="E5" s="28" t="str">
        <f aca="false">IF($C5="","",IF(MID($C5,5,1)="S","S(봄)",IF(MID($C5,5,1)="M","M(여름)",IF(MID($C5,5,1)="X","X(사계절)",MID($C5,5,1)))))</f>
        <v>S(봄)</v>
      </c>
      <c r="F5" s="29" t="s">
        <v>106</v>
      </c>
      <c r="G5" s="31" t="s">
        <v>107</v>
      </c>
      <c r="H5" s="28" t="str">
        <f aca="false">IF($C5="","",REPLACE($C5,6,2,"26"))</f>
        <v>JWJGS26001</v>
      </c>
      <c r="I5" s="32" t="str">
        <f aca="false">IFERROR(INDEX(전년출고참조!$B$4:$B$638,MATCH($H5,전년출고참조!$A$4:$A$638,0)),"")</f>
        <v/>
      </c>
      <c r="J5" s="32" t="n">
        <v>46367</v>
      </c>
      <c r="K5" s="32" t="n">
        <f aca="false">IF($G5&lt;&gt;"",IFERROR(DATE(IF(VALUE(LEFT($G5,FIND("월",$G5)-1))&gt;=9,기준정보!$C$6-1,기준정보!$C$6),VALUE(LEFT($G5,FIND("월",$G5)-1)),1+7*(VALUE(SUBSTITUTE(MID($G5,FIND("월",$G5)+1,5),"주",""))-1)),""),IF($I5&lt;&gt;"",IF(ISNUMBER($I5),$I5+364,IFERROR(DATE(IF(VALUE(LEFT($I5,FIND("월",$I5)-1))&gt;=9,기준정보!$C$6-1,기준정보!$C$6),VALUE(LEFT($I5,FIND("월",$I5)-1)),1+7*(VALUE(SUBSTITUTE(MID($I5,FIND("월",$I5)+1,5),"주",""))-1)),"")),IF($J5&lt;&gt;"",$J5,"")))</f>
        <v>46395</v>
      </c>
      <c r="L5" s="28" t="str">
        <f aca="false">IF($G5&lt;&gt;"","계획 주차",IF($I5&lt;&gt;"","전년+1년 예측",IF($J5&lt;&gt;"","전산 입고계획(참고)","미정")))</f>
        <v>계획 주차</v>
      </c>
      <c r="M5" s="32" t="n">
        <f aca="false">IF($K5="","",$K5-기준정보!$C$5)</f>
        <v>46305</v>
      </c>
      <c r="N5" s="33" t="n">
        <f aca="false">IF($M5="","",$M5-기준정보!$C$4)</f>
        <v>64</v>
      </c>
      <c r="O5" s="31" t="s">
        <v>108</v>
      </c>
      <c r="P5" s="20"/>
      <c r="Q5" s="30" t="str">
        <f aca="false">IF($F5="","",IF(AND(ISNUMBER(SEARCH("CMT",$F5)),OR(ISNUMBER(SEARCH("사입",$F5)),ISNUMBER(SEARCH("Buying",$F5)))),"본사/생산처 혼재",IF(ISNUMBER(SEARCH("CMT",$F5)),"본사(소재팀)","생산처")))</f>
        <v>생산처</v>
      </c>
      <c r="R5" s="29" t="s">
        <v>109</v>
      </c>
      <c r="S5" s="29" t="s">
        <v>110</v>
      </c>
      <c r="T5" s="30" t="str">
        <f aca="false">IF($K5="","출고일 미정",IF($O5="X","작지(일매) 미등록",IF($O5="부분","작지(일매) 일부 미등록",IF(AND($P5&lt;&gt;"",$P5&gt;$M5),"소재입고 마감("&amp;TEXT($M5,"MM/DD")&amp;") 초과",IF($O5="","일매 등록여부 확인 필요",IF($P5="","소재 입고일정 확인 필요","정상"))))))</f>
        <v>소재 입고일정 확인 필요</v>
      </c>
      <c r="U5" s="28" t="str">
        <f aca="false">IF($K5="","",IF(OR(LEFT($T5,2)="작지",LEFT($T5,4)="소재입고"),IF(LEFT($E5,1)="S","★ 납기위험(S코드)","◆ 지연주의"),IF($T5="정상","✓ 정상","? 확인필요")))</f>
        <v>? 확인필요</v>
      </c>
      <c r="V5" s="31"/>
      <c r="W5" s="19"/>
    </row>
    <row r="6" customFormat="false" ht="15" hidden="false" customHeight="true" outlineLevel="0" collapsed="false">
      <c r="A6" s="28" t="n">
        <v>2</v>
      </c>
      <c r="B6" s="30"/>
      <c r="C6" s="30" t="s">
        <v>111</v>
      </c>
      <c r="D6" s="29" t="s">
        <v>112</v>
      </c>
      <c r="E6" s="28" t="str">
        <f aca="false">IF($C6="","",IF(MID($C6,5,1)="S","S(봄)",IF(MID($C6,5,1)="M","M(여름)",IF(MID($C6,5,1)="X","X(사계절)",MID($C6,5,1)))))</f>
        <v>S(봄)</v>
      </c>
      <c r="F6" s="30" t="s">
        <v>113</v>
      </c>
      <c r="G6" s="31" t="s">
        <v>54</v>
      </c>
      <c r="H6" s="28" t="str">
        <f aca="false">IF($C6="","",REPLACE($C6,6,2,"26"))</f>
        <v>JKTBS26102</v>
      </c>
      <c r="I6" s="32" t="n">
        <f aca="false">IFERROR(INDEX(전년출고참조!$B$4:$B$638,MATCH($H6,전년출고참조!$A$4:$A$638,0)),"")</f>
        <v>46031</v>
      </c>
      <c r="J6" s="32" t="n">
        <v>46367</v>
      </c>
      <c r="K6" s="32" t="n">
        <f aca="false">IF($G6&lt;&gt;"",IFERROR(DATE(IF(VALUE(LEFT($G6,FIND("월",$G6)-1))&gt;=9,기준정보!$C$6-1,기준정보!$C$6),VALUE(LEFT($G6,FIND("월",$G6)-1)),1+7*(VALUE(SUBSTITUTE(MID($G6,FIND("월",$G6)+1,5),"주",""))-1)),""),IF($I6&lt;&gt;"",IF(ISNUMBER($I6),$I6+364,IFERROR(DATE(IF(VALUE(LEFT($I6,FIND("월",$I6)-1))&gt;=9,기준정보!$C$6-1,기준정보!$C$6),VALUE(LEFT($I6,FIND("월",$I6)-1)),1+7*(VALUE(SUBSTITUTE(MID($I6,FIND("월",$I6)+1,5),"주",""))-1)),"")),IF($J6&lt;&gt;"",$J6,"")))</f>
        <v>46402</v>
      </c>
      <c r="L6" s="28" t="str">
        <f aca="false">IF($G6&lt;&gt;"","계획 주차",IF($I6&lt;&gt;"","전년+1년 예측",IF($J6&lt;&gt;"","전산 입고계획(참고)","미정")))</f>
        <v>계획 주차</v>
      </c>
      <c r="M6" s="32" t="n">
        <f aca="false">IF($K6="","",$K6-기준정보!$C$5)</f>
        <v>46312</v>
      </c>
      <c r="N6" s="33" t="n">
        <f aca="false">IF($M6="","",$M6-기준정보!$C$4)</f>
        <v>71</v>
      </c>
      <c r="O6" s="31" t="s">
        <v>114</v>
      </c>
      <c r="P6" s="20"/>
      <c r="Q6" s="30" t="str">
        <f aca="false">IF($F6="","",IF(AND(ISNUMBER(SEARCH("CMT",$F6)),OR(ISNUMBER(SEARCH("사입",$F6)),ISNUMBER(SEARCH("Buying",$F6)))),"본사/생산처 혼재",IF(ISNUMBER(SEARCH("CMT",$F6)),"본사(소재팀)","생산처")))</f>
        <v>생산처</v>
      </c>
      <c r="R6" s="29" t="s">
        <v>115</v>
      </c>
      <c r="S6" s="29" t="s">
        <v>110</v>
      </c>
      <c r="T6" s="30" t="str">
        <f aca="false">IF($K6="","출고일 미정",IF($O6="X","작지(일매) 미등록",IF($O6="부분","작지(일매) 일부 미등록",IF(AND($P6&lt;&gt;"",$P6&gt;$M6),"소재입고 마감("&amp;TEXT($M6,"MM/DD")&amp;") 초과",IF($O6="","일매 등록여부 확인 필요",IF($P6="","소재 입고일정 확인 필요","정상"))))))</f>
        <v>작지(일매) 미등록</v>
      </c>
      <c r="U6" s="28" t="str">
        <f aca="false">IF($K6="","",IF(OR(LEFT($T6,2)="작지",LEFT($T6,4)="소재입고"),IF(LEFT($E6,1)="S","★ 납기위험(S코드)","◆ 지연주의"),IF($T6="정상","✓ 정상","? 확인필요")))</f>
        <v>★ 납기위험(S코드)</v>
      </c>
      <c r="V6" s="31"/>
      <c r="W6" s="19"/>
    </row>
    <row r="7" customFormat="false" ht="15" hidden="false" customHeight="true" outlineLevel="0" collapsed="false">
      <c r="A7" s="28" t="n">
        <v>3</v>
      </c>
      <c r="B7" s="29" t="s">
        <v>116</v>
      </c>
      <c r="C7" s="30" t="s">
        <v>117</v>
      </c>
      <c r="D7" s="29" t="s">
        <v>118</v>
      </c>
      <c r="E7" s="28" t="str">
        <f aca="false">IF($C7="","",IF(MID($C7,5,1)="S","S(봄)",IF(MID($C7,5,1)="M","M(여름)",IF(MID($C7,5,1)="X","X(사계절)",MID($C7,5,1)))))</f>
        <v>S(봄)</v>
      </c>
      <c r="F7" s="29" t="s">
        <v>106</v>
      </c>
      <c r="G7" s="31" t="s">
        <v>54</v>
      </c>
      <c r="H7" s="28" t="str">
        <f aca="false">IF($C7="","",REPLACE($C7,6,2,"26"))</f>
        <v>JWJJS26131</v>
      </c>
      <c r="I7" s="32" t="str">
        <f aca="false">IFERROR(INDEX(전년출고참조!$B$4:$B$638,MATCH($H7,전년출고참조!$A$4:$A$638,0)),"")</f>
        <v/>
      </c>
      <c r="J7" s="32" t="n">
        <v>46367</v>
      </c>
      <c r="K7" s="32" t="n">
        <f aca="false">IF($G7&lt;&gt;"",IFERROR(DATE(IF(VALUE(LEFT($G7,FIND("월",$G7)-1))&gt;=9,기준정보!$C$6-1,기준정보!$C$6),VALUE(LEFT($G7,FIND("월",$G7)-1)),1+7*(VALUE(SUBSTITUTE(MID($G7,FIND("월",$G7)+1,5),"주",""))-1)),""),IF($I7&lt;&gt;"",IF(ISNUMBER($I7),$I7+364,IFERROR(DATE(IF(VALUE(LEFT($I7,FIND("월",$I7)-1))&gt;=9,기준정보!$C$6-1,기준정보!$C$6),VALUE(LEFT($I7,FIND("월",$I7)-1)),1+7*(VALUE(SUBSTITUTE(MID($I7,FIND("월",$I7)+1,5),"주",""))-1)),"")),IF($J7&lt;&gt;"",$J7,"")))</f>
        <v>46402</v>
      </c>
      <c r="L7" s="28" t="str">
        <f aca="false">IF($G7&lt;&gt;"","계획 주차",IF($I7&lt;&gt;"","전년+1년 예측",IF($J7&lt;&gt;"","전산 입고계획(참고)","미정")))</f>
        <v>계획 주차</v>
      </c>
      <c r="M7" s="32" t="n">
        <f aca="false">IF($K7="","",$K7-기준정보!$C$5)</f>
        <v>46312</v>
      </c>
      <c r="N7" s="33" t="n">
        <f aca="false">IF($M7="","",$M7-기준정보!$C$4)</f>
        <v>71</v>
      </c>
      <c r="O7" s="31" t="s">
        <v>114</v>
      </c>
      <c r="P7" s="20"/>
      <c r="Q7" s="30" t="str">
        <f aca="false">IF($F7="","",IF(AND(ISNUMBER(SEARCH("CMT",$F7)),OR(ISNUMBER(SEARCH("사입",$F7)),ISNUMBER(SEARCH("Buying",$F7)))),"본사/생산처 혼재",IF(ISNUMBER(SEARCH("CMT",$F7)),"본사(소재팀)","생산처")))</f>
        <v>생산처</v>
      </c>
      <c r="R7" s="29" t="s">
        <v>119</v>
      </c>
      <c r="S7" s="29" t="s">
        <v>120</v>
      </c>
      <c r="T7" s="30" t="str">
        <f aca="false">IF($K7="","출고일 미정",IF($O7="X","작지(일매) 미등록",IF($O7="부분","작지(일매) 일부 미등록",IF(AND($P7&lt;&gt;"",$P7&gt;$M7),"소재입고 마감("&amp;TEXT($M7,"MM/DD")&amp;") 초과",IF($O7="","일매 등록여부 확인 필요",IF($P7="","소재 입고일정 확인 필요","정상"))))))</f>
        <v>작지(일매) 미등록</v>
      </c>
      <c r="U7" s="28" t="str">
        <f aca="false">IF($K7="","",IF(OR(LEFT($T7,2)="작지",LEFT($T7,4)="소재입고"),IF(LEFT($E7,1)="S","★ 납기위험(S코드)","◆ 지연주의"),IF($T7="정상","✓ 정상","? 확인필요")))</f>
        <v>★ 납기위험(S코드)</v>
      </c>
      <c r="V7" s="31"/>
      <c r="W7" s="19"/>
    </row>
    <row r="8" customFormat="false" ht="15" hidden="false" customHeight="true" outlineLevel="0" collapsed="false">
      <c r="A8" s="28" t="n">
        <v>4</v>
      </c>
      <c r="B8" s="29" t="s">
        <v>116</v>
      </c>
      <c r="C8" s="30" t="s">
        <v>121</v>
      </c>
      <c r="D8" s="29" t="s">
        <v>122</v>
      </c>
      <c r="E8" s="28" t="str">
        <f aca="false">IF($C8="","",IF(MID($C8,5,1)="S","S(봄)",IF(MID($C8,5,1)="M","M(여름)",IF(MID($C8,5,1)="X","X(사계절)",MID($C8,5,1)))))</f>
        <v>S(봄)</v>
      </c>
      <c r="F8" s="29" t="s">
        <v>106</v>
      </c>
      <c r="G8" s="31" t="s">
        <v>54</v>
      </c>
      <c r="H8" s="28" t="str">
        <f aca="false">IF($C8="","",REPLACE($C8,6,2,"26"))</f>
        <v>JWTBS26111</v>
      </c>
      <c r="I8" s="32" t="str">
        <f aca="false">IFERROR(INDEX(전년출고참조!$B$4:$B$638,MATCH($H8,전년출고참조!$A$4:$A$638,0)),"")</f>
        <v/>
      </c>
      <c r="J8" s="32" t="n">
        <v>46367</v>
      </c>
      <c r="K8" s="32" t="n">
        <f aca="false">IF($G8&lt;&gt;"",IFERROR(DATE(IF(VALUE(LEFT($G8,FIND("월",$G8)-1))&gt;=9,기준정보!$C$6-1,기준정보!$C$6),VALUE(LEFT($G8,FIND("월",$G8)-1)),1+7*(VALUE(SUBSTITUTE(MID($G8,FIND("월",$G8)+1,5),"주",""))-1)),""),IF($I8&lt;&gt;"",IF(ISNUMBER($I8),$I8+364,IFERROR(DATE(IF(VALUE(LEFT($I8,FIND("월",$I8)-1))&gt;=9,기준정보!$C$6-1,기준정보!$C$6),VALUE(LEFT($I8,FIND("월",$I8)-1)),1+7*(VALUE(SUBSTITUTE(MID($I8,FIND("월",$I8)+1,5),"주",""))-1)),"")),IF($J8&lt;&gt;"",$J8,"")))</f>
        <v>46402</v>
      </c>
      <c r="L8" s="28" t="str">
        <f aca="false">IF($G8&lt;&gt;"","계획 주차",IF($I8&lt;&gt;"","전년+1년 예측",IF($J8&lt;&gt;"","전산 입고계획(참고)","미정")))</f>
        <v>계획 주차</v>
      </c>
      <c r="M8" s="32" t="n">
        <f aca="false">IF($K8="","",$K8-기준정보!$C$5)</f>
        <v>46312</v>
      </c>
      <c r="N8" s="33" t="n">
        <f aca="false">IF($M8="","",$M8-기준정보!$C$4)</f>
        <v>71</v>
      </c>
      <c r="O8" s="31" t="s">
        <v>108</v>
      </c>
      <c r="P8" s="20"/>
      <c r="Q8" s="30" t="str">
        <f aca="false">IF($F8="","",IF(AND(ISNUMBER(SEARCH("CMT",$F8)),OR(ISNUMBER(SEARCH("사입",$F8)),ISNUMBER(SEARCH("Buying",$F8)))),"본사/생산처 혼재",IF(ISNUMBER(SEARCH("CMT",$F8)),"본사(소재팀)","생산처")))</f>
        <v>생산처</v>
      </c>
      <c r="R8" s="29" t="s">
        <v>123</v>
      </c>
      <c r="S8" s="29" t="s">
        <v>120</v>
      </c>
      <c r="T8" s="30" t="str">
        <f aca="false">IF($K8="","출고일 미정",IF($O8="X","작지(일매) 미등록",IF($O8="부분","작지(일매) 일부 미등록",IF(AND($P8&lt;&gt;"",$P8&gt;$M8),"소재입고 마감("&amp;TEXT($M8,"MM/DD")&amp;") 초과",IF($O8="","일매 등록여부 확인 필요",IF($P8="","소재 입고일정 확인 필요","정상"))))))</f>
        <v>소재 입고일정 확인 필요</v>
      </c>
      <c r="U8" s="28" t="str">
        <f aca="false">IF($K8="","",IF(OR(LEFT($T8,2)="작지",LEFT($T8,4)="소재입고"),IF(LEFT($E8,1)="S","★ 납기위험(S코드)","◆ 지연주의"),IF($T8="정상","✓ 정상","? 확인필요")))</f>
        <v>? 확인필요</v>
      </c>
      <c r="V8" s="31"/>
      <c r="W8" s="19"/>
    </row>
    <row r="9" customFormat="false" ht="15" hidden="false" customHeight="true" outlineLevel="0" collapsed="false">
      <c r="A9" s="28" t="n">
        <v>5</v>
      </c>
      <c r="B9" s="29" t="s">
        <v>116</v>
      </c>
      <c r="C9" s="30" t="s">
        <v>124</v>
      </c>
      <c r="D9" s="29" t="s">
        <v>125</v>
      </c>
      <c r="E9" s="28" t="str">
        <f aca="false">IF($C9="","",IF(MID($C9,5,1)="S","S(봄)",IF(MID($C9,5,1)="M","M(여름)",IF(MID($C9,5,1)="X","X(사계절)",MID($C9,5,1)))))</f>
        <v>S(봄)</v>
      </c>
      <c r="F9" s="29" t="s">
        <v>106</v>
      </c>
      <c r="G9" s="31" t="s">
        <v>54</v>
      </c>
      <c r="H9" s="28" t="str">
        <f aca="false">IF($C9="","",REPLACE($C9,6,2,"26"))</f>
        <v>JWTBS26113</v>
      </c>
      <c r="I9" s="32" t="str">
        <f aca="false">IFERROR(INDEX(전년출고참조!$B$4:$B$638,MATCH($H9,전년출고참조!$A$4:$A$638,0)),"")</f>
        <v/>
      </c>
      <c r="J9" s="32" t="n">
        <v>46367</v>
      </c>
      <c r="K9" s="32" t="n">
        <f aca="false">IF($G9&lt;&gt;"",IFERROR(DATE(IF(VALUE(LEFT($G9,FIND("월",$G9)-1))&gt;=9,기준정보!$C$6-1,기준정보!$C$6),VALUE(LEFT($G9,FIND("월",$G9)-1)),1+7*(VALUE(SUBSTITUTE(MID($G9,FIND("월",$G9)+1,5),"주",""))-1)),""),IF($I9&lt;&gt;"",IF(ISNUMBER($I9),$I9+364,IFERROR(DATE(IF(VALUE(LEFT($I9,FIND("월",$I9)-1))&gt;=9,기준정보!$C$6-1,기준정보!$C$6),VALUE(LEFT($I9,FIND("월",$I9)-1)),1+7*(VALUE(SUBSTITUTE(MID($I9,FIND("월",$I9)+1,5),"주",""))-1)),"")),IF($J9&lt;&gt;"",$J9,"")))</f>
        <v>46402</v>
      </c>
      <c r="L9" s="28" t="str">
        <f aca="false">IF($G9&lt;&gt;"","계획 주차",IF($I9&lt;&gt;"","전년+1년 예측",IF($J9&lt;&gt;"","전산 입고계획(참고)","미정")))</f>
        <v>계획 주차</v>
      </c>
      <c r="M9" s="32" t="n">
        <f aca="false">IF($K9="","",$K9-기준정보!$C$5)</f>
        <v>46312</v>
      </c>
      <c r="N9" s="33" t="n">
        <f aca="false">IF($M9="","",$M9-기준정보!$C$4)</f>
        <v>71</v>
      </c>
      <c r="O9" s="31" t="s">
        <v>108</v>
      </c>
      <c r="P9" s="20"/>
      <c r="Q9" s="30" t="str">
        <f aca="false">IF($F9="","",IF(AND(ISNUMBER(SEARCH("CMT",$F9)),OR(ISNUMBER(SEARCH("사입",$F9)),ISNUMBER(SEARCH("Buying",$F9)))),"본사/생산처 혼재",IF(ISNUMBER(SEARCH("CMT",$F9)),"본사(소재팀)","생산처")))</f>
        <v>생산처</v>
      </c>
      <c r="R9" s="29" t="s">
        <v>123</v>
      </c>
      <c r="S9" s="29" t="s">
        <v>120</v>
      </c>
      <c r="T9" s="30" t="str">
        <f aca="false">IF($K9="","출고일 미정",IF($O9="X","작지(일매) 미등록",IF($O9="부분","작지(일매) 일부 미등록",IF(AND($P9&lt;&gt;"",$P9&gt;$M9),"소재입고 마감("&amp;TEXT($M9,"MM/DD")&amp;") 초과",IF($O9="","일매 등록여부 확인 필요",IF($P9="","소재 입고일정 확인 필요","정상"))))))</f>
        <v>소재 입고일정 확인 필요</v>
      </c>
      <c r="U9" s="28" t="str">
        <f aca="false">IF($K9="","",IF(OR(LEFT($T9,2)="작지",LEFT($T9,4)="소재입고"),IF(LEFT($E9,1)="S","★ 납기위험(S코드)","◆ 지연주의"),IF($T9="정상","✓ 정상","? 확인필요")))</f>
        <v>? 확인필요</v>
      </c>
      <c r="V9" s="31"/>
      <c r="W9" s="19"/>
    </row>
    <row r="10" customFormat="false" ht="15" hidden="false" customHeight="true" outlineLevel="0" collapsed="false">
      <c r="A10" s="28" t="n">
        <v>6</v>
      </c>
      <c r="B10" s="29" t="s">
        <v>116</v>
      </c>
      <c r="C10" s="30" t="s">
        <v>126</v>
      </c>
      <c r="D10" s="29" t="s">
        <v>127</v>
      </c>
      <c r="E10" s="28" t="str">
        <f aca="false">IF($C10="","",IF(MID($C10,5,1)="S","S(봄)",IF(MID($C10,5,1)="M","M(여름)",IF(MID($C10,5,1)="X","X(사계절)",MID($C10,5,1)))))</f>
        <v>S(봄)</v>
      </c>
      <c r="F10" s="29" t="s">
        <v>106</v>
      </c>
      <c r="G10" s="31" t="s">
        <v>54</v>
      </c>
      <c r="H10" s="28" t="str">
        <f aca="false">IF($C10="","",REPLACE($C10,6,2,"26"))</f>
        <v>JWTBS26115</v>
      </c>
      <c r="I10" s="32" t="str">
        <f aca="false">IFERROR(INDEX(전년출고참조!$B$4:$B$638,MATCH($H10,전년출고참조!$A$4:$A$638,0)),"")</f>
        <v/>
      </c>
      <c r="J10" s="32" t="n">
        <v>46367</v>
      </c>
      <c r="K10" s="32" t="n">
        <f aca="false">IF($G10&lt;&gt;"",IFERROR(DATE(IF(VALUE(LEFT($G10,FIND("월",$G10)-1))&gt;=9,기준정보!$C$6-1,기준정보!$C$6),VALUE(LEFT($G10,FIND("월",$G10)-1)),1+7*(VALUE(SUBSTITUTE(MID($G10,FIND("월",$G10)+1,5),"주",""))-1)),""),IF($I10&lt;&gt;"",IF(ISNUMBER($I10),$I10+364,IFERROR(DATE(IF(VALUE(LEFT($I10,FIND("월",$I10)-1))&gt;=9,기준정보!$C$6-1,기준정보!$C$6),VALUE(LEFT($I10,FIND("월",$I10)-1)),1+7*(VALUE(SUBSTITUTE(MID($I10,FIND("월",$I10)+1,5),"주",""))-1)),"")),IF($J10&lt;&gt;"",$J10,"")))</f>
        <v>46402</v>
      </c>
      <c r="L10" s="28" t="str">
        <f aca="false">IF($G10&lt;&gt;"","계획 주차",IF($I10&lt;&gt;"","전년+1년 예측",IF($J10&lt;&gt;"","전산 입고계획(참고)","미정")))</f>
        <v>계획 주차</v>
      </c>
      <c r="M10" s="32" t="n">
        <f aca="false">IF($K10="","",$K10-기준정보!$C$5)</f>
        <v>46312</v>
      </c>
      <c r="N10" s="33" t="n">
        <f aca="false">IF($M10="","",$M10-기준정보!$C$4)</f>
        <v>71</v>
      </c>
      <c r="O10" s="31" t="s">
        <v>108</v>
      </c>
      <c r="P10" s="20"/>
      <c r="Q10" s="30" t="str">
        <f aca="false">IF($F10="","",IF(AND(ISNUMBER(SEARCH("CMT",$F10)),OR(ISNUMBER(SEARCH("사입",$F10)),ISNUMBER(SEARCH("Buying",$F10)))),"본사/생산처 혼재",IF(ISNUMBER(SEARCH("CMT",$F10)),"본사(소재팀)","생산처")))</f>
        <v>생산처</v>
      </c>
      <c r="R10" s="29" t="s">
        <v>123</v>
      </c>
      <c r="S10" s="29" t="s">
        <v>120</v>
      </c>
      <c r="T10" s="30" t="str">
        <f aca="false">IF($K10="","출고일 미정",IF($O10="X","작지(일매) 미등록",IF($O10="부분","작지(일매) 일부 미등록",IF(AND($P10&lt;&gt;"",$P10&gt;$M10),"소재입고 마감("&amp;TEXT($M10,"MM/DD")&amp;") 초과",IF($O10="","일매 등록여부 확인 필요",IF($P10="","소재 입고일정 확인 필요","정상"))))))</f>
        <v>소재 입고일정 확인 필요</v>
      </c>
      <c r="U10" s="28" t="str">
        <f aca="false">IF($K10="","",IF(OR(LEFT($T10,2)="작지",LEFT($T10,4)="소재입고"),IF(LEFT($E10,1)="S","★ 납기위험(S코드)","◆ 지연주의"),IF($T10="정상","✓ 정상","? 확인필요")))</f>
        <v>? 확인필요</v>
      </c>
      <c r="V10" s="31"/>
      <c r="W10" s="19"/>
    </row>
    <row r="11" customFormat="false" ht="15" hidden="false" customHeight="true" outlineLevel="0" collapsed="false">
      <c r="A11" s="28" t="n">
        <v>7</v>
      </c>
      <c r="B11" s="29" t="s">
        <v>116</v>
      </c>
      <c r="C11" s="30" t="s">
        <v>128</v>
      </c>
      <c r="D11" s="29" t="s">
        <v>129</v>
      </c>
      <c r="E11" s="28" t="str">
        <f aca="false">IF($C11="","",IF(MID($C11,5,1)="S","S(봄)",IF(MID($C11,5,1)="M","M(여름)",IF(MID($C11,5,1)="X","X(사계절)",MID($C11,5,1)))))</f>
        <v>S(봄)</v>
      </c>
      <c r="F11" s="29" t="s">
        <v>106</v>
      </c>
      <c r="G11" s="31" t="s">
        <v>54</v>
      </c>
      <c r="H11" s="28" t="str">
        <f aca="false">IF($C11="","",REPLACE($C11,6,2,"26"))</f>
        <v>JWVAS26131</v>
      </c>
      <c r="I11" s="32" t="str">
        <f aca="false">IFERROR(INDEX(전년출고참조!$B$4:$B$638,MATCH($H11,전년출고참조!$A$4:$A$638,0)),"")</f>
        <v/>
      </c>
      <c r="J11" s="32" t="n">
        <v>46367</v>
      </c>
      <c r="K11" s="32" t="n">
        <f aca="false">IF($G11&lt;&gt;"",IFERROR(DATE(IF(VALUE(LEFT($G11,FIND("월",$G11)-1))&gt;=9,기준정보!$C$6-1,기준정보!$C$6),VALUE(LEFT($G11,FIND("월",$G11)-1)),1+7*(VALUE(SUBSTITUTE(MID($G11,FIND("월",$G11)+1,5),"주",""))-1)),""),IF($I11&lt;&gt;"",IF(ISNUMBER($I11),$I11+364,IFERROR(DATE(IF(VALUE(LEFT($I11,FIND("월",$I11)-1))&gt;=9,기준정보!$C$6-1,기준정보!$C$6),VALUE(LEFT($I11,FIND("월",$I11)-1)),1+7*(VALUE(SUBSTITUTE(MID($I11,FIND("월",$I11)+1,5),"주",""))-1)),"")),IF($J11&lt;&gt;"",$J11,"")))</f>
        <v>46402</v>
      </c>
      <c r="L11" s="28" t="str">
        <f aca="false">IF($G11&lt;&gt;"","계획 주차",IF($I11&lt;&gt;"","전년+1년 예측",IF($J11&lt;&gt;"","전산 입고계획(참고)","미정")))</f>
        <v>계획 주차</v>
      </c>
      <c r="M11" s="32" t="n">
        <f aca="false">IF($K11="","",$K11-기준정보!$C$5)</f>
        <v>46312</v>
      </c>
      <c r="N11" s="33" t="n">
        <f aca="false">IF($M11="","",$M11-기준정보!$C$4)</f>
        <v>71</v>
      </c>
      <c r="O11" s="31" t="s">
        <v>108</v>
      </c>
      <c r="P11" s="20"/>
      <c r="Q11" s="30" t="str">
        <f aca="false">IF($F11="","",IF(AND(ISNUMBER(SEARCH("CMT",$F11)),OR(ISNUMBER(SEARCH("사입",$F11)),ISNUMBER(SEARCH("Buying",$F11)))),"본사/생산처 혼재",IF(ISNUMBER(SEARCH("CMT",$F11)),"본사(소재팀)","생산처")))</f>
        <v>생산처</v>
      </c>
      <c r="R11" s="29" t="s">
        <v>119</v>
      </c>
      <c r="S11" s="29" t="s">
        <v>120</v>
      </c>
      <c r="T11" s="30" t="str">
        <f aca="false">IF($K11="","출고일 미정",IF($O11="X","작지(일매) 미등록",IF($O11="부분","작지(일매) 일부 미등록",IF(AND($P11&lt;&gt;"",$P11&gt;$M11),"소재입고 마감("&amp;TEXT($M11,"MM/DD")&amp;") 초과",IF($O11="","일매 등록여부 확인 필요",IF($P11="","소재 입고일정 확인 필요","정상"))))))</f>
        <v>소재 입고일정 확인 필요</v>
      </c>
      <c r="U11" s="28" t="str">
        <f aca="false">IF($K11="","",IF(OR(LEFT($T11,2)="작지",LEFT($T11,4)="소재입고"),IF(LEFT($E11,1)="S","★ 납기위험(S코드)","◆ 지연주의"),IF($T11="정상","✓ 정상","? 확인필요")))</f>
        <v>? 확인필요</v>
      </c>
      <c r="V11" s="31"/>
      <c r="W11" s="19"/>
    </row>
    <row r="12" customFormat="false" ht="15" hidden="false" customHeight="true" outlineLevel="0" collapsed="false">
      <c r="A12" s="28" t="n">
        <v>8</v>
      </c>
      <c r="B12" s="29" t="s">
        <v>130</v>
      </c>
      <c r="C12" s="30" t="s">
        <v>131</v>
      </c>
      <c r="D12" s="29" t="s">
        <v>132</v>
      </c>
      <c r="E12" s="28" t="str">
        <f aca="false">IF($C12="","",IF(MID($C12,5,1)="S","S(봄)",IF(MID($C12,5,1)="M","M(여름)",IF(MID($C12,5,1)="X","X(사계절)",MID($C12,5,1)))))</f>
        <v>S(봄)</v>
      </c>
      <c r="F12" s="29" t="s">
        <v>106</v>
      </c>
      <c r="G12" s="31" t="s">
        <v>54</v>
      </c>
      <c r="H12" s="28" t="str">
        <f aca="false">IF($C12="","",REPLACE($C12,6,2,"26"))</f>
        <v>TLJJS26501</v>
      </c>
      <c r="I12" s="32" t="str">
        <f aca="false">IFERROR(INDEX(전년출고참조!$B$4:$B$638,MATCH($H12,전년출고참조!$A$4:$A$638,0)),"")</f>
        <v/>
      </c>
      <c r="J12" s="32" t="n">
        <v>46367</v>
      </c>
      <c r="K12" s="32" t="n">
        <f aca="false">IF($G12&lt;&gt;"",IFERROR(DATE(IF(VALUE(LEFT($G12,FIND("월",$G12)-1))&gt;=9,기준정보!$C$6-1,기준정보!$C$6),VALUE(LEFT($G12,FIND("월",$G12)-1)),1+7*(VALUE(SUBSTITUTE(MID($G12,FIND("월",$G12)+1,5),"주",""))-1)),""),IF($I12&lt;&gt;"",IF(ISNUMBER($I12),$I12+364,IFERROR(DATE(IF(VALUE(LEFT($I12,FIND("월",$I12)-1))&gt;=9,기준정보!$C$6-1,기준정보!$C$6),VALUE(LEFT($I12,FIND("월",$I12)-1)),1+7*(VALUE(SUBSTITUTE(MID($I12,FIND("월",$I12)+1,5),"주",""))-1)),"")),IF($J12&lt;&gt;"",$J12,"")))</f>
        <v>46402</v>
      </c>
      <c r="L12" s="28" t="str">
        <f aca="false">IF($G12&lt;&gt;"","계획 주차",IF($I12&lt;&gt;"","전년+1년 예측",IF($J12&lt;&gt;"","전산 입고계획(참고)","미정")))</f>
        <v>계획 주차</v>
      </c>
      <c r="M12" s="32" t="n">
        <f aca="false">IF($K12="","",$K12-기준정보!$C$5)</f>
        <v>46312</v>
      </c>
      <c r="N12" s="33" t="n">
        <f aca="false">IF($M12="","",$M12-기준정보!$C$4)</f>
        <v>71</v>
      </c>
      <c r="O12" s="31" t="s">
        <v>114</v>
      </c>
      <c r="P12" s="20"/>
      <c r="Q12" s="30" t="str">
        <f aca="false">IF($F12="","",IF(AND(ISNUMBER(SEARCH("CMT",$F12)),OR(ISNUMBER(SEARCH("사입",$F12)),ISNUMBER(SEARCH("Buying",$F12)))),"본사/생산처 혼재",IF(ISNUMBER(SEARCH("CMT",$F12)),"본사(소재팀)","생산처")))</f>
        <v>생산처</v>
      </c>
      <c r="R12" s="29" t="s">
        <v>133</v>
      </c>
      <c r="S12" s="29" t="s">
        <v>110</v>
      </c>
      <c r="T12" s="30" t="str">
        <f aca="false">IF($K12="","출고일 미정",IF($O12="X","작지(일매) 미등록",IF($O12="부분","작지(일매) 일부 미등록",IF(AND($P12&lt;&gt;"",$P12&gt;$M12),"소재입고 마감("&amp;TEXT($M12,"MM/DD")&amp;") 초과",IF($O12="","일매 등록여부 확인 필요",IF($P12="","소재 입고일정 확인 필요","정상"))))))</f>
        <v>작지(일매) 미등록</v>
      </c>
      <c r="U12" s="28" t="str">
        <f aca="false">IF($K12="","",IF(OR(LEFT($T12,2)="작지",LEFT($T12,4)="소재입고"),IF(LEFT($E12,1)="S","★ 납기위험(S코드)","◆ 지연주의"),IF($T12="정상","✓ 정상","? 확인필요")))</f>
        <v>★ 납기위험(S코드)</v>
      </c>
      <c r="V12" s="31"/>
      <c r="W12" s="19"/>
    </row>
    <row r="13" customFormat="false" ht="15" hidden="false" customHeight="true" outlineLevel="0" collapsed="false">
      <c r="A13" s="28" t="n">
        <v>9</v>
      </c>
      <c r="B13" s="29" t="s">
        <v>130</v>
      </c>
      <c r="C13" s="30" t="s">
        <v>134</v>
      </c>
      <c r="D13" s="29" t="s">
        <v>135</v>
      </c>
      <c r="E13" s="28" t="str">
        <f aca="false">IF($C13="","",IF(MID($C13,5,1)="S","S(봄)",IF(MID($C13,5,1)="M","M(여름)",IF(MID($C13,5,1)="X","X(사계절)",MID($C13,5,1)))))</f>
        <v>S(봄)</v>
      </c>
      <c r="F13" s="29" t="s">
        <v>106</v>
      </c>
      <c r="G13" s="31" t="s">
        <v>54</v>
      </c>
      <c r="H13" s="28" t="str">
        <f aca="false">IF($C13="","",REPLACE($C13,6,2,"26"))</f>
        <v>TLJJS26521</v>
      </c>
      <c r="I13" s="32" t="str">
        <f aca="false">IFERROR(INDEX(전년출고참조!$B$4:$B$638,MATCH($H13,전년출고참조!$A$4:$A$638,0)),"")</f>
        <v/>
      </c>
      <c r="J13" s="32" t="n">
        <v>46367</v>
      </c>
      <c r="K13" s="32" t="n">
        <f aca="false">IF($G13&lt;&gt;"",IFERROR(DATE(IF(VALUE(LEFT($G13,FIND("월",$G13)-1))&gt;=9,기준정보!$C$6-1,기준정보!$C$6),VALUE(LEFT($G13,FIND("월",$G13)-1)),1+7*(VALUE(SUBSTITUTE(MID($G13,FIND("월",$G13)+1,5),"주",""))-1)),""),IF($I13&lt;&gt;"",IF(ISNUMBER($I13),$I13+364,IFERROR(DATE(IF(VALUE(LEFT($I13,FIND("월",$I13)-1))&gt;=9,기준정보!$C$6-1,기준정보!$C$6),VALUE(LEFT($I13,FIND("월",$I13)-1)),1+7*(VALUE(SUBSTITUTE(MID($I13,FIND("월",$I13)+1,5),"주",""))-1)),"")),IF($J13&lt;&gt;"",$J13,"")))</f>
        <v>46402</v>
      </c>
      <c r="L13" s="28" t="str">
        <f aca="false">IF($G13&lt;&gt;"","계획 주차",IF($I13&lt;&gt;"","전년+1년 예측",IF($J13&lt;&gt;"","전산 입고계획(참고)","미정")))</f>
        <v>계획 주차</v>
      </c>
      <c r="M13" s="32" t="n">
        <f aca="false">IF($K13="","",$K13-기준정보!$C$5)</f>
        <v>46312</v>
      </c>
      <c r="N13" s="33" t="n">
        <f aca="false">IF($M13="","",$M13-기준정보!$C$4)</f>
        <v>71</v>
      </c>
      <c r="O13" s="31" t="s">
        <v>114</v>
      </c>
      <c r="P13" s="20"/>
      <c r="Q13" s="30" t="str">
        <f aca="false">IF($F13="","",IF(AND(ISNUMBER(SEARCH("CMT",$F13)),OR(ISNUMBER(SEARCH("사입",$F13)),ISNUMBER(SEARCH("Buying",$F13)))),"본사/생산처 혼재",IF(ISNUMBER(SEARCH("CMT",$F13)),"본사(소재팀)","생산처")))</f>
        <v>생산처</v>
      </c>
      <c r="R13" s="29" t="s">
        <v>133</v>
      </c>
      <c r="S13" s="29" t="s">
        <v>110</v>
      </c>
      <c r="T13" s="30" t="str">
        <f aca="false">IF($K13="","출고일 미정",IF($O13="X","작지(일매) 미등록",IF($O13="부분","작지(일매) 일부 미등록",IF(AND($P13&lt;&gt;"",$P13&gt;$M13),"소재입고 마감("&amp;TEXT($M13,"MM/DD")&amp;") 초과",IF($O13="","일매 등록여부 확인 필요",IF($P13="","소재 입고일정 확인 필요","정상"))))))</f>
        <v>작지(일매) 미등록</v>
      </c>
      <c r="U13" s="28" t="str">
        <f aca="false">IF($K13="","",IF(OR(LEFT($T13,2)="작지",LEFT($T13,4)="소재입고"),IF(LEFT($E13,1)="S","★ 납기위험(S코드)","◆ 지연주의"),IF($T13="정상","✓ 정상","? 확인필요")))</f>
        <v>★ 납기위험(S코드)</v>
      </c>
      <c r="V13" s="31"/>
      <c r="W13" s="19"/>
    </row>
    <row r="14" customFormat="false" ht="15" hidden="false" customHeight="true" outlineLevel="0" collapsed="false">
      <c r="A14" s="28" t="n">
        <v>10</v>
      </c>
      <c r="B14" s="29" t="s">
        <v>130</v>
      </c>
      <c r="C14" s="30" t="s">
        <v>136</v>
      </c>
      <c r="D14" s="29" t="s">
        <v>137</v>
      </c>
      <c r="E14" s="28" t="str">
        <f aca="false">IF($C14="","",IF(MID($C14,5,1)="S","S(봄)",IF(MID($C14,5,1)="M","M(여름)",IF(MID($C14,5,1)="X","X(사계절)",MID($C14,5,1)))))</f>
        <v>S(봄)</v>
      </c>
      <c r="F14" s="29" t="s">
        <v>106</v>
      </c>
      <c r="G14" s="31" t="s">
        <v>54</v>
      </c>
      <c r="H14" s="28" t="str">
        <f aca="false">IF($C14="","",REPLACE($C14,6,2,"26"))</f>
        <v>TLJJS26551</v>
      </c>
      <c r="I14" s="32" t="str">
        <f aca="false">IFERROR(INDEX(전년출고참조!$B$4:$B$638,MATCH($H14,전년출고참조!$A$4:$A$638,0)),"")</f>
        <v/>
      </c>
      <c r="J14" s="32" t="n">
        <v>46367</v>
      </c>
      <c r="K14" s="32" t="n">
        <f aca="false">IF($G14&lt;&gt;"",IFERROR(DATE(IF(VALUE(LEFT($G14,FIND("월",$G14)-1))&gt;=9,기준정보!$C$6-1,기준정보!$C$6),VALUE(LEFT($G14,FIND("월",$G14)-1)),1+7*(VALUE(SUBSTITUTE(MID($G14,FIND("월",$G14)+1,5),"주",""))-1)),""),IF($I14&lt;&gt;"",IF(ISNUMBER($I14),$I14+364,IFERROR(DATE(IF(VALUE(LEFT($I14,FIND("월",$I14)-1))&gt;=9,기준정보!$C$6-1,기준정보!$C$6),VALUE(LEFT($I14,FIND("월",$I14)-1)),1+7*(VALUE(SUBSTITUTE(MID($I14,FIND("월",$I14)+1,5),"주",""))-1)),"")),IF($J14&lt;&gt;"",$J14,"")))</f>
        <v>46402</v>
      </c>
      <c r="L14" s="28" t="str">
        <f aca="false">IF($G14&lt;&gt;"","계획 주차",IF($I14&lt;&gt;"","전년+1년 예측",IF($J14&lt;&gt;"","전산 입고계획(참고)","미정")))</f>
        <v>계획 주차</v>
      </c>
      <c r="M14" s="32" t="n">
        <f aca="false">IF($K14="","",$K14-기준정보!$C$5)</f>
        <v>46312</v>
      </c>
      <c r="N14" s="33" t="n">
        <f aca="false">IF($M14="","",$M14-기준정보!$C$4)</f>
        <v>71</v>
      </c>
      <c r="O14" s="31" t="s">
        <v>108</v>
      </c>
      <c r="P14" s="20"/>
      <c r="Q14" s="30" t="str">
        <f aca="false">IF($F14="","",IF(AND(ISNUMBER(SEARCH("CMT",$F14)),OR(ISNUMBER(SEARCH("사입",$F14)),ISNUMBER(SEARCH("Buying",$F14)))),"본사/생산처 혼재",IF(ISNUMBER(SEARCH("CMT",$F14)),"본사(소재팀)","생산처")))</f>
        <v>생산처</v>
      </c>
      <c r="R14" s="29" t="s">
        <v>138</v>
      </c>
      <c r="S14" s="29" t="s">
        <v>110</v>
      </c>
      <c r="T14" s="30" t="str">
        <f aca="false">IF($K14="","출고일 미정",IF($O14="X","작지(일매) 미등록",IF($O14="부분","작지(일매) 일부 미등록",IF(AND($P14&lt;&gt;"",$P14&gt;$M14),"소재입고 마감("&amp;TEXT($M14,"MM/DD")&amp;") 초과",IF($O14="","일매 등록여부 확인 필요",IF($P14="","소재 입고일정 확인 필요","정상"))))))</f>
        <v>소재 입고일정 확인 필요</v>
      </c>
      <c r="U14" s="28" t="str">
        <f aca="false">IF($K14="","",IF(OR(LEFT($T14,2)="작지",LEFT($T14,4)="소재입고"),IF(LEFT($E14,1)="S","★ 납기위험(S코드)","◆ 지연주의"),IF($T14="정상","✓ 정상","? 확인필요")))</f>
        <v>? 확인필요</v>
      </c>
      <c r="V14" s="31"/>
      <c r="W14" s="19"/>
    </row>
    <row r="15" customFormat="false" ht="15" hidden="false" customHeight="true" outlineLevel="0" collapsed="false">
      <c r="A15" s="28" t="n">
        <v>11</v>
      </c>
      <c r="B15" s="29" t="s">
        <v>130</v>
      </c>
      <c r="C15" s="30" t="s">
        <v>139</v>
      </c>
      <c r="D15" s="29" t="s">
        <v>140</v>
      </c>
      <c r="E15" s="28" t="str">
        <f aca="false">IF($C15="","",IF(MID($C15,5,1)="S","S(봄)",IF(MID($C15,5,1)="M","M(여름)",IF(MID($C15,5,1)="X","X(사계절)",MID($C15,5,1)))))</f>
        <v>S(봄)</v>
      </c>
      <c r="F15" s="30" t="s">
        <v>141</v>
      </c>
      <c r="G15" s="31" t="s">
        <v>54</v>
      </c>
      <c r="H15" s="28" t="str">
        <f aca="false">IF($C15="","",REPLACE($C15,6,2,"26"))</f>
        <v>TVPNS26512</v>
      </c>
      <c r="I15" s="32" t="str">
        <f aca="false">IFERROR(INDEX(전년출고참조!$B$4:$B$638,MATCH($H15,전년출고참조!$A$4:$A$638,0)),"")</f>
        <v/>
      </c>
      <c r="J15" s="32" t="n">
        <v>46367</v>
      </c>
      <c r="K15" s="32" t="n">
        <f aca="false">IF($G15&lt;&gt;"",IFERROR(DATE(IF(VALUE(LEFT($G15,FIND("월",$G15)-1))&gt;=9,기준정보!$C$6-1,기준정보!$C$6),VALUE(LEFT($G15,FIND("월",$G15)-1)),1+7*(VALUE(SUBSTITUTE(MID($G15,FIND("월",$G15)+1,5),"주",""))-1)),""),IF($I15&lt;&gt;"",IF(ISNUMBER($I15),$I15+364,IFERROR(DATE(IF(VALUE(LEFT($I15,FIND("월",$I15)-1))&gt;=9,기준정보!$C$6-1,기준정보!$C$6),VALUE(LEFT($I15,FIND("월",$I15)-1)),1+7*(VALUE(SUBSTITUTE(MID($I15,FIND("월",$I15)+1,5),"주",""))-1)),"")),IF($J15&lt;&gt;"",$J15,"")))</f>
        <v>46402</v>
      </c>
      <c r="L15" s="28" t="str">
        <f aca="false">IF($G15&lt;&gt;"","계획 주차",IF($I15&lt;&gt;"","전년+1년 예측",IF($J15&lt;&gt;"","전산 입고계획(참고)","미정")))</f>
        <v>계획 주차</v>
      </c>
      <c r="M15" s="32" t="n">
        <f aca="false">IF($K15="","",$K15-기준정보!$C$5)</f>
        <v>46312</v>
      </c>
      <c r="N15" s="33" t="n">
        <f aca="false">IF($M15="","",$M15-기준정보!$C$4)</f>
        <v>71</v>
      </c>
      <c r="O15" s="31" t="s">
        <v>108</v>
      </c>
      <c r="P15" s="20"/>
      <c r="Q15" s="30" t="str">
        <f aca="false">IF($F15="","",IF(AND(ISNUMBER(SEARCH("CMT",$F15)),OR(ISNUMBER(SEARCH("사입",$F15)),ISNUMBER(SEARCH("Buying",$F15)))),"본사/생산처 혼재",IF(ISNUMBER(SEARCH("CMT",$F15)),"본사(소재팀)","생산처")))</f>
        <v>본사(소재팀)</v>
      </c>
      <c r="R15" s="29" t="s">
        <v>142</v>
      </c>
      <c r="S15" s="29" t="s">
        <v>110</v>
      </c>
      <c r="T15" s="30" t="str">
        <f aca="false">IF($K15="","출고일 미정",IF($O15="X","작지(일매) 미등록",IF($O15="부분","작지(일매) 일부 미등록",IF(AND($P15&lt;&gt;"",$P15&gt;$M15),"소재입고 마감("&amp;TEXT($M15,"MM/DD")&amp;") 초과",IF($O15="","일매 등록여부 확인 필요",IF($P15="","소재 입고일정 확인 필요","정상"))))))</f>
        <v>소재 입고일정 확인 필요</v>
      </c>
      <c r="U15" s="28" t="str">
        <f aca="false">IF($K15="","",IF(OR(LEFT($T15,2)="작지",LEFT($T15,4)="소재입고"),IF(LEFT($E15,1)="S","★ 납기위험(S코드)","◆ 지연주의"),IF($T15="정상","✓ 정상","? 확인필요")))</f>
        <v>? 확인필요</v>
      </c>
      <c r="V15" s="31"/>
      <c r="W15" s="19"/>
    </row>
    <row r="16" customFormat="false" ht="15" hidden="false" customHeight="true" outlineLevel="0" collapsed="false">
      <c r="A16" s="28" t="n">
        <v>12</v>
      </c>
      <c r="B16" s="29" t="s">
        <v>130</v>
      </c>
      <c r="C16" s="30" t="s">
        <v>143</v>
      </c>
      <c r="D16" s="29" t="s">
        <v>144</v>
      </c>
      <c r="E16" s="28" t="str">
        <f aca="false">IF($C16="","",IF(MID($C16,5,1)="S","S(봄)",IF(MID($C16,5,1)="M","M(여름)",IF(MID($C16,5,1)="X","X(사계절)",MID($C16,5,1)))))</f>
        <v>S(봄)</v>
      </c>
      <c r="F16" s="30" t="s">
        <v>141</v>
      </c>
      <c r="G16" s="31" t="s">
        <v>54</v>
      </c>
      <c r="H16" s="28" t="str">
        <f aca="false">IF($C16="","",REPLACE($C16,6,2,"26"))</f>
        <v>TVPNS26522</v>
      </c>
      <c r="I16" s="32" t="str">
        <f aca="false">IFERROR(INDEX(전년출고참조!$B$4:$B$638,MATCH($H16,전년출고참조!$A$4:$A$638,0)),"")</f>
        <v/>
      </c>
      <c r="J16" s="32" t="n">
        <v>46367</v>
      </c>
      <c r="K16" s="32" t="n">
        <f aca="false">IF($G16&lt;&gt;"",IFERROR(DATE(IF(VALUE(LEFT($G16,FIND("월",$G16)-1))&gt;=9,기준정보!$C$6-1,기준정보!$C$6),VALUE(LEFT($G16,FIND("월",$G16)-1)),1+7*(VALUE(SUBSTITUTE(MID($G16,FIND("월",$G16)+1,5),"주",""))-1)),""),IF($I16&lt;&gt;"",IF(ISNUMBER($I16),$I16+364,IFERROR(DATE(IF(VALUE(LEFT($I16,FIND("월",$I16)-1))&gt;=9,기준정보!$C$6-1,기준정보!$C$6),VALUE(LEFT($I16,FIND("월",$I16)-1)),1+7*(VALUE(SUBSTITUTE(MID($I16,FIND("월",$I16)+1,5),"주",""))-1)),"")),IF($J16&lt;&gt;"",$J16,"")))</f>
        <v>46402</v>
      </c>
      <c r="L16" s="28" t="str">
        <f aca="false">IF($G16&lt;&gt;"","계획 주차",IF($I16&lt;&gt;"","전년+1년 예측",IF($J16&lt;&gt;"","전산 입고계획(참고)","미정")))</f>
        <v>계획 주차</v>
      </c>
      <c r="M16" s="32" t="n">
        <f aca="false">IF($K16="","",$K16-기준정보!$C$5)</f>
        <v>46312</v>
      </c>
      <c r="N16" s="33" t="n">
        <f aca="false">IF($M16="","",$M16-기준정보!$C$4)</f>
        <v>71</v>
      </c>
      <c r="O16" s="31" t="s">
        <v>108</v>
      </c>
      <c r="P16" s="20"/>
      <c r="Q16" s="30" t="str">
        <f aca="false">IF($F16="","",IF(AND(ISNUMBER(SEARCH("CMT",$F16)),OR(ISNUMBER(SEARCH("사입",$F16)),ISNUMBER(SEARCH("Buying",$F16)))),"본사/생산처 혼재",IF(ISNUMBER(SEARCH("CMT",$F16)),"본사(소재팀)","생산처")))</f>
        <v>본사(소재팀)</v>
      </c>
      <c r="R16" s="29" t="s">
        <v>145</v>
      </c>
      <c r="S16" s="29" t="s">
        <v>110</v>
      </c>
      <c r="T16" s="30" t="str">
        <f aca="false">IF($K16="","출고일 미정",IF($O16="X","작지(일매) 미등록",IF($O16="부분","작지(일매) 일부 미등록",IF(AND($P16&lt;&gt;"",$P16&gt;$M16),"소재입고 마감("&amp;TEXT($M16,"MM/DD")&amp;") 초과",IF($O16="","일매 등록여부 확인 필요",IF($P16="","소재 입고일정 확인 필요","정상"))))))</f>
        <v>소재 입고일정 확인 필요</v>
      </c>
      <c r="U16" s="28" t="str">
        <f aca="false">IF($K16="","",IF(OR(LEFT($T16,2)="작지",LEFT($T16,4)="소재입고"),IF(LEFT($E16,1)="S","★ 납기위험(S코드)","◆ 지연주의"),IF($T16="정상","✓ 정상","? 확인필요")))</f>
        <v>? 확인필요</v>
      </c>
      <c r="V16" s="31"/>
      <c r="W16" s="19"/>
    </row>
    <row r="17" customFormat="false" ht="15" hidden="false" customHeight="true" outlineLevel="0" collapsed="false">
      <c r="A17" s="28" t="n">
        <v>13</v>
      </c>
      <c r="B17" s="29" t="s">
        <v>130</v>
      </c>
      <c r="C17" s="30" t="s">
        <v>146</v>
      </c>
      <c r="D17" s="29" t="s">
        <v>147</v>
      </c>
      <c r="E17" s="28" t="str">
        <f aca="false">IF($C17="","",IF(MID($C17,5,1)="S","S(봄)",IF(MID($C17,5,1)="M","M(여름)",IF(MID($C17,5,1)="X","X(사계절)",MID($C17,5,1)))))</f>
        <v>S(봄)</v>
      </c>
      <c r="F17" s="30" t="s">
        <v>141</v>
      </c>
      <c r="G17" s="31" t="s">
        <v>54</v>
      </c>
      <c r="H17" s="28" t="str">
        <f aca="false">IF($C17="","",REPLACE($C17,6,2,"26"))</f>
        <v>TVPNS26532</v>
      </c>
      <c r="I17" s="32" t="str">
        <f aca="false">IFERROR(INDEX(전년출고참조!$B$4:$B$638,MATCH($H17,전년출고참조!$A$4:$A$638,0)),"")</f>
        <v/>
      </c>
      <c r="J17" s="32" t="n">
        <v>46367</v>
      </c>
      <c r="K17" s="32" t="n">
        <f aca="false">IF($G17&lt;&gt;"",IFERROR(DATE(IF(VALUE(LEFT($G17,FIND("월",$G17)-1))&gt;=9,기준정보!$C$6-1,기준정보!$C$6),VALUE(LEFT($G17,FIND("월",$G17)-1)),1+7*(VALUE(SUBSTITUTE(MID($G17,FIND("월",$G17)+1,5),"주",""))-1)),""),IF($I17&lt;&gt;"",IF(ISNUMBER($I17),$I17+364,IFERROR(DATE(IF(VALUE(LEFT($I17,FIND("월",$I17)-1))&gt;=9,기준정보!$C$6-1,기준정보!$C$6),VALUE(LEFT($I17,FIND("월",$I17)-1)),1+7*(VALUE(SUBSTITUTE(MID($I17,FIND("월",$I17)+1,5),"주",""))-1)),"")),IF($J17&lt;&gt;"",$J17,"")))</f>
        <v>46402</v>
      </c>
      <c r="L17" s="28" t="str">
        <f aca="false">IF($G17&lt;&gt;"","계획 주차",IF($I17&lt;&gt;"","전년+1년 예측",IF($J17&lt;&gt;"","전산 입고계획(참고)","미정")))</f>
        <v>계획 주차</v>
      </c>
      <c r="M17" s="32" t="n">
        <f aca="false">IF($K17="","",$K17-기준정보!$C$5)</f>
        <v>46312</v>
      </c>
      <c r="N17" s="33" t="n">
        <f aca="false">IF($M17="","",$M17-기준정보!$C$4)</f>
        <v>71</v>
      </c>
      <c r="O17" s="31" t="s">
        <v>108</v>
      </c>
      <c r="P17" s="20"/>
      <c r="Q17" s="30" t="str">
        <f aca="false">IF($F17="","",IF(AND(ISNUMBER(SEARCH("CMT",$F17)),OR(ISNUMBER(SEARCH("사입",$F17)),ISNUMBER(SEARCH("Buying",$F17)))),"본사/생산처 혼재",IF(ISNUMBER(SEARCH("CMT",$F17)),"본사(소재팀)","생산처")))</f>
        <v>본사(소재팀)</v>
      </c>
      <c r="R17" s="29" t="s">
        <v>148</v>
      </c>
      <c r="S17" s="29" t="s">
        <v>110</v>
      </c>
      <c r="T17" s="30" t="str">
        <f aca="false">IF($K17="","출고일 미정",IF($O17="X","작지(일매) 미등록",IF($O17="부분","작지(일매) 일부 미등록",IF(AND($P17&lt;&gt;"",$P17&gt;$M17),"소재입고 마감("&amp;TEXT($M17,"MM/DD")&amp;") 초과",IF($O17="","일매 등록여부 확인 필요",IF($P17="","소재 입고일정 확인 필요","정상"))))))</f>
        <v>소재 입고일정 확인 필요</v>
      </c>
      <c r="U17" s="28" t="str">
        <f aca="false">IF($K17="","",IF(OR(LEFT($T17,2)="작지",LEFT($T17,4)="소재입고"),IF(LEFT($E17,1)="S","★ 납기위험(S코드)","◆ 지연주의"),IF($T17="정상","✓ 정상","? 확인필요")))</f>
        <v>? 확인필요</v>
      </c>
      <c r="V17" s="31"/>
      <c r="W17" s="19"/>
    </row>
    <row r="18" customFormat="false" ht="15" hidden="false" customHeight="true" outlineLevel="0" collapsed="false">
      <c r="A18" s="28" t="n">
        <v>14</v>
      </c>
      <c r="B18" s="29" t="s">
        <v>130</v>
      </c>
      <c r="C18" s="30" t="s">
        <v>149</v>
      </c>
      <c r="D18" s="29" t="s">
        <v>150</v>
      </c>
      <c r="E18" s="28" t="str">
        <f aca="false">IF($C18="","",IF(MID($C18,5,1)="S","S(봄)",IF(MID($C18,5,1)="M","M(여름)",IF(MID($C18,5,1)="X","X(사계절)",MID($C18,5,1)))))</f>
        <v>S(봄)</v>
      </c>
      <c r="F18" s="30" t="s">
        <v>141</v>
      </c>
      <c r="G18" s="31" t="s">
        <v>54</v>
      </c>
      <c r="H18" s="28" t="str">
        <f aca="false">IF($C18="","",REPLACE($C18,6,2,"26"))</f>
        <v>TVPNS26542</v>
      </c>
      <c r="I18" s="32" t="str">
        <f aca="false">IFERROR(INDEX(전년출고참조!$B$4:$B$638,MATCH($H18,전년출고참조!$A$4:$A$638,0)),"")</f>
        <v/>
      </c>
      <c r="J18" s="32" t="n">
        <v>46367</v>
      </c>
      <c r="K18" s="32" t="n">
        <f aca="false">IF($G18&lt;&gt;"",IFERROR(DATE(IF(VALUE(LEFT($G18,FIND("월",$G18)-1))&gt;=9,기준정보!$C$6-1,기준정보!$C$6),VALUE(LEFT($G18,FIND("월",$G18)-1)),1+7*(VALUE(SUBSTITUTE(MID($G18,FIND("월",$G18)+1,5),"주",""))-1)),""),IF($I18&lt;&gt;"",IF(ISNUMBER($I18),$I18+364,IFERROR(DATE(IF(VALUE(LEFT($I18,FIND("월",$I18)-1))&gt;=9,기준정보!$C$6-1,기준정보!$C$6),VALUE(LEFT($I18,FIND("월",$I18)-1)),1+7*(VALUE(SUBSTITUTE(MID($I18,FIND("월",$I18)+1,5),"주",""))-1)),"")),IF($J18&lt;&gt;"",$J18,"")))</f>
        <v>46402</v>
      </c>
      <c r="L18" s="28" t="str">
        <f aca="false">IF($G18&lt;&gt;"","계획 주차",IF($I18&lt;&gt;"","전년+1년 예측",IF($J18&lt;&gt;"","전산 입고계획(참고)","미정")))</f>
        <v>계획 주차</v>
      </c>
      <c r="M18" s="32" t="n">
        <f aca="false">IF($K18="","",$K18-기준정보!$C$5)</f>
        <v>46312</v>
      </c>
      <c r="N18" s="33" t="n">
        <f aca="false">IF($M18="","",$M18-기준정보!$C$4)</f>
        <v>71</v>
      </c>
      <c r="O18" s="31" t="s">
        <v>108</v>
      </c>
      <c r="P18" s="20"/>
      <c r="Q18" s="30" t="str">
        <f aca="false">IF($F18="","",IF(AND(ISNUMBER(SEARCH("CMT",$F18)),OR(ISNUMBER(SEARCH("사입",$F18)),ISNUMBER(SEARCH("Buying",$F18)))),"본사/생산처 혼재",IF(ISNUMBER(SEARCH("CMT",$F18)),"본사(소재팀)","생산처")))</f>
        <v>본사(소재팀)</v>
      </c>
      <c r="R18" s="29" t="s">
        <v>145</v>
      </c>
      <c r="S18" s="29" t="s">
        <v>110</v>
      </c>
      <c r="T18" s="30" t="str">
        <f aca="false">IF($K18="","출고일 미정",IF($O18="X","작지(일매) 미등록",IF($O18="부분","작지(일매) 일부 미등록",IF(AND($P18&lt;&gt;"",$P18&gt;$M18),"소재입고 마감("&amp;TEXT($M18,"MM/DD")&amp;") 초과",IF($O18="","일매 등록여부 확인 필요",IF($P18="","소재 입고일정 확인 필요","정상"))))))</f>
        <v>소재 입고일정 확인 필요</v>
      </c>
      <c r="U18" s="28" t="str">
        <f aca="false">IF($K18="","",IF(OR(LEFT($T18,2)="작지",LEFT($T18,4)="소재입고"),IF(LEFT($E18,1)="S","★ 납기위험(S코드)","◆ 지연주의"),IF($T18="정상","✓ 정상","? 확인필요")))</f>
        <v>? 확인필요</v>
      </c>
      <c r="V18" s="31"/>
      <c r="W18" s="19"/>
    </row>
    <row r="19" customFormat="false" ht="15" hidden="false" customHeight="true" outlineLevel="0" collapsed="false">
      <c r="A19" s="28" t="n">
        <v>15</v>
      </c>
      <c r="B19" s="29" t="s">
        <v>116</v>
      </c>
      <c r="C19" s="30" t="s">
        <v>151</v>
      </c>
      <c r="D19" s="29" t="s">
        <v>152</v>
      </c>
      <c r="E19" s="28" t="str">
        <f aca="false">IF($C19="","",IF(MID($C19,5,1)="S","S(봄)",IF(MID($C19,5,1)="M","M(여름)",IF(MID($C19,5,1)="X","X(사계절)",MID($C19,5,1)))))</f>
        <v>S(봄)</v>
      </c>
      <c r="F19" s="29" t="s">
        <v>106</v>
      </c>
      <c r="G19" s="31" t="s">
        <v>153</v>
      </c>
      <c r="H19" s="28" t="str">
        <f aca="false">IF($C19="","",REPLACE($C19,6,2,"26"))</f>
        <v>JWTBS26117</v>
      </c>
      <c r="I19" s="32" t="str">
        <f aca="false">IFERROR(INDEX(전년출고참조!$B$4:$B$638,MATCH($H19,전년출고참조!$A$4:$A$638,0)),"")</f>
        <v/>
      </c>
      <c r="J19" s="32" t="n">
        <v>46367</v>
      </c>
      <c r="K19" s="32" t="n">
        <f aca="false">IF($G19&lt;&gt;"",IFERROR(DATE(IF(VALUE(LEFT($G19,FIND("월",$G19)-1))&gt;=9,기준정보!$C$6-1,기준정보!$C$6),VALUE(LEFT($G19,FIND("월",$G19)-1)),1+7*(VALUE(SUBSTITUTE(MID($G19,FIND("월",$G19)+1,5),"주",""))-1)),""),IF($I19&lt;&gt;"",IF(ISNUMBER($I19),$I19+364,IFERROR(DATE(IF(VALUE(LEFT($I19,FIND("월",$I19)-1))&gt;=9,기준정보!$C$6-1,기준정보!$C$6),VALUE(LEFT($I19,FIND("월",$I19)-1)),1+7*(VALUE(SUBSTITUTE(MID($I19,FIND("월",$I19)+1,5),"주",""))-1)),"")),IF($J19&lt;&gt;"",$J19,"")))</f>
        <v>46409</v>
      </c>
      <c r="L19" s="28" t="str">
        <f aca="false">IF($G19&lt;&gt;"","계획 주차",IF($I19&lt;&gt;"","전년+1년 예측",IF($J19&lt;&gt;"","전산 입고계획(참고)","미정")))</f>
        <v>계획 주차</v>
      </c>
      <c r="M19" s="32" t="n">
        <f aca="false">IF($K19="","",$K19-기준정보!$C$5)</f>
        <v>46319</v>
      </c>
      <c r="N19" s="33" t="n">
        <f aca="false">IF($M19="","",$M19-기준정보!$C$4)</f>
        <v>78</v>
      </c>
      <c r="O19" s="31" t="s">
        <v>108</v>
      </c>
      <c r="P19" s="20"/>
      <c r="Q19" s="30" t="str">
        <f aca="false">IF($F19="","",IF(AND(ISNUMBER(SEARCH("CMT",$F19)),OR(ISNUMBER(SEARCH("사입",$F19)),ISNUMBER(SEARCH("Buying",$F19)))),"본사/생산처 혼재",IF(ISNUMBER(SEARCH("CMT",$F19)),"본사(소재팀)","생산처")))</f>
        <v>생산처</v>
      </c>
      <c r="R19" s="29" t="s">
        <v>123</v>
      </c>
      <c r="S19" s="29" t="s">
        <v>120</v>
      </c>
      <c r="T19" s="30" t="str">
        <f aca="false">IF($K19="","출고일 미정",IF($O19="X","작지(일매) 미등록",IF($O19="부분","작지(일매) 일부 미등록",IF(AND($P19&lt;&gt;"",$P19&gt;$M19),"소재입고 마감("&amp;TEXT($M19,"MM/DD")&amp;") 초과",IF($O19="","일매 등록여부 확인 필요",IF($P19="","소재 입고일정 확인 필요","정상"))))))</f>
        <v>소재 입고일정 확인 필요</v>
      </c>
      <c r="U19" s="28" t="str">
        <f aca="false">IF($K19="","",IF(OR(LEFT($T19,2)="작지",LEFT($T19,4)="소재입고"),IF(LEFT($E19,1)="S","★ 납기위험(S코드)","◆ 지연주의"),IF($T19="정상","✓ 정상","? 확인필요")))</f>
        <v>? 확인필요</v>
      </c>
      <c r="V19" s="31"/>
      <c r="W19" s="19"/>
    </row>
    <row r="20" customFormat="false" ht="15" hidden="false" customHeight="true" outlineLevel="0" collapsed="false">
      <c r="A20" s="28" t="n">
        <v>16</v>
      </c>
      <c r="B20" s="29" t="s">
        <v>116</v>
      </c>
      <c r="C20" s="30" t="s">
        <v>154</v>
      </c>
      <c r="D20" s="29" t="s">
        <v>155</v>
      </c>
      <c r="E20" s="28" t="str">
        <f aca="false">IF($C20="","",IF(MID($C20,5,1)="S","S(봄)",IF(MID($C20,5,1)="M","M(여름)",IF(MID($C20,5,1)="X","X(사계절)",MID($C20,5,1)))))</f>
        <v>S(봄)</v>
      </c>
      <c r="F20" s="29" t="s">
        <v>106</v>
      </c>
      <c r="G20" s="31" t="s">
        <v>153</v>
      </c>
      <c r="H20" s="28" t="str">
        <f aca="false">IF($C20="","",REPLACE($C20,6,2,"26"))</f>
        <v>JWTBS26119</v>
      </c>
      <c r="I20" s="32" t="str">
        <f aca="false">IFERROR(INDEX(전년출고참조!$B$4:$B$638,MATCH($H20,전년출고참조!$A$4:$A$638,0)),"")</f>
        <v/>
      </c>
      <c r="J20" s="32" t="n">
        <v>46367</v>
      </c>
      <c r="K20" s="32" t="n">
        <f aca="false">IF($G20&lt;&gt;"",IFERROR(DATE(IF(VALUE(LEFT($G20,FIND("월",$G20)-1))&gt;=9,기준정보!$C$6-1,기준정보!$C$6),VALUE(LEFT($G20,FIND("월",$G20)-1)),1+7*(VALUE(SUBSTITUTE(MID($G20,FIND("월",$G20)+1,5),"주",""))-1)),""),IF($I20&lt;&gt;"",IF(ISNUMBER($I20),$I20+364,IFERROR(DATE(IF(VALUE(LEFT($I20,FIND("월",$I20)-1))&gt;=9,기준정보!$C$6-1,기준정보!$C$6),VALUE(LEFT($I20,FIND("월",$I20)-1)),1+7*(VALUE(SUBSTITUTE(MID($I20,FIND("월",$I20)+1,5),"주",""))-1)),"")),IF($J20&lt;&gt;"",$J20,"")))</f>
        <v>46409</v>
      </c>
      <c r="L20" s="28" t="str">
        <f aca="false">IF($G20&lt;&gt;"","계획 주차",IF($I20&lt;&gt;"","전년+1년 예측",IF($J20&lt;&gt;"","전산 입고계획(참고)","미정")))</f>
        <v>계획 주차</v>
      </c>
      <c r="M20" s="32" t="n">
        <f aca="false">IF($K20="","",$K20-기준정보!$C$5)</f>
        <v>46319</v>
      </c>
      <c r="N20" s="33" t="n">
        <f aca="false">IF($M20="","",$M20-기준정보!$C$4)</f>
        <v>78</v>
      </c>
      <c r="O20" s="31" t="s">
        <v>108</v>
      </c>
      <c r="P20" s="20"/>
      <c r="Q20" s="30" t="str">
        <f aca="false">IF($F20="","",IF(AND(ISNUMBER(SEARCH("CMT",$F20)),OR(ISNUMBER(SEARCH("사입",$F20)),ISNUMBER(SEARCH("Buying",$F20)))),"본사/생산처 혼재",IF(ISNUMBER(SEARCH("CMT",$F20)),"본사(소재팀)","생산처")))</f>
        <v>생산처</v>
      </c>
      <c r="R20" s="29" t="s">
        <v>156</v>
      </c>
      <c r="S20" s="29" t="s">
        <v>110</v>
      </c>
      <c r="T20" s="30" t="str">
        <f aca="false">IF($K20="","출고일 미정",IF($O20="X","작지(일매) 미등록",IF($O20="부분","작지(일매) 일부 미등록",IF(AND($P20&lt;&gt;"",$P20&gt;$M20),"소재입고 마감("&amp;TEXT($M20,"MM/DD")&amp;") 초과",IF($O20="","일매 등록여부 확인 필요",IF($P20="","소재 입고일정 확인 필요","정상"))))))</f>
        <v>소재 입고일정 확인 필요</v>
      </c>
      <c r="U20" s="28" t="str">
        <f aca="false">IF($K20="","",IF(OR(LEFT($T20,2)="작지",LEFT($T20,4)="소재입고"),IF(LEFT($E20,1)="S","★ 납기위험(S코드)","◆ 지연주의"),IF($T20="정상","✓ 정상","? 확인필요")))</f>
        <v>? 확인필요</v>
      </c>
      <c r="V20" s="31"/>
      <c r="W20" s="19"/>
    </row>
    <row r="21" customFormat="false" ht="15" hidden="false" customHeight="true" outlineLevel="0" collapsed="false">
      <c r="A21" s="28" t="n">
        <v>17</v>
      </c>
      <c r="B21" s="29" t="s">
        <v>116</v>
      </c>
      <c r="C21" s="30" t="s">
        <v>157</v>
      </c>
      <c r="D21" s="29" t="s">
        <v>158</v>
      </c>
      <c r="E21" s="28" t="str">
        <f aca="false">IF($C21="","",IF(MID($C21,5,1)="S","S(봄)",IF(MID($C21,5,1)="M","M(여름)",IF(MID($C21,5,1)="X","X(사계절)",MID($C21,5,1)))))</f>
        <v>S(봄)</v>
      </c>
      <c r="F21" s="30" t="s">
        <v>141</v>
      </c>
      <c r="G21" s="31" t="s">
        <v>51</v>
      </c>
      <c r="H21" s="28" t="str">
        <f aca="false">IF($C21="","",REPLACE($C21,6,2,"26"))</f>
        <v>JKJGS26102</v>
      </c>
      <c r="I21" s="32" t="str">
        <f aca="false">IFERROR(INDEX(전년출고참조!$B$4:$B$638,MATCH($H21,전년출고참조!$A$4:$A$638,0)),"")</f>
        <v/>
      </c>
      <c r="J21" s="32" t="n">
        <v>46367</v>
      </c>
      <c r="K21" s="32" t="n">
        <f aca="false">IF($G21&lt;&gt;"",IFERROR(DATE(IF(VALUE(LEFT($G21,FIND("월",$G21)-1))&gt;=9,기준정보!$C$6-1,기준정보!$C$6),VALUE(LEFT($G21,FIND("월",$G21)-1)),1+7*(VALUE(SUBSTITUTE(MID($G21,FIND("월",$G21)+1,5),"주",""))-1)),""),IF($I21&lt;&gt;"",IF(ISNUMBER($I21),$I21+364,IFERROR(DATE(IF(VALUE(LEFT($I21,FIND("월",$I21)-1))&gt;=9,기준정보!$C$6-1,기준정보!$C$6),VALUE(LEFT($I21,FIND("월",$I21)-1)),1+7*(VALUE(SUBSTITUTE(MID($I21,FIND("월",$I21)+1,5),"주",""))-1)),"")),IF($J21&lt;&gt;"",$J21,"")))</f>
        <v>46419</v>
      </c>
      <c r="L21" s="28" t="str">
        <f aca="false">IF($G21&lt;&gt;"","계획 주차",IF($I21&lt;&gt;"","전년+1년 예측",IF($J21&lt;&gt;"","전산 입고계획(참고)","미정")))</f>
        <v>계획 주차</v>
      </c>
      <c r="M21" s="32" t="n">
        <f aca="false">IF($K21="","",$K21-기준정보!$C$5)</f>
        <v>46329</v>
      </c>
      <c r="N21" s="33" t="n">
        <f aca="false">IF($M21="","",$M21-기준정보!$C$4)</f>
        <v>88</v>
      </c>
      <c r="O21" s="31" t="s">
        <v>114</v>
      </c>
      <c r="P21" s="20"/>
      <c r="Q21" s="30" t="str">
        <f aca="false">IF($F21="","",IF(AND(ISNUMBER(SEARCH("CMT",$F21)),OR(ISNUMBER(SEARCH("사입",$F21)),ISNUMBER(SEARCH("Buying",$F21)))),"본사/생산처 혼재",IF(ISNUMBER(SEARCH("CMT",$F21)),"본사(소재팀)","생산처")))</f>
        <v>본사(소재팀)</v>
      </c>
      <c r="R21" s="29" t="s">
        <v>109</v>
      </c>
      <c r="S21" s="29" t="s">
        <v>110</v>
      </c>
      <c r="T21" s="30" t="str">
        <f aca="false">IF($K21="","출고일 미정",IF($O21="X","작지(일매) 미등록",IF($O21="부분","작지(일매) 일부 미등록",IF(AND($P21&lt;&gt;"",$P21&gt;$M21),"소재입고 마감("&amp;TEXT($M21,"MM/DD")&amp;") 초과",IF($O21="","일매 등록여부 확인 필요",IF($P21="","소재 입고일정 확인 필요","정상"))))))</f>
        <v>작지(일매) 미등록</v>
      </c>
      <c r="U21" s="28" t="str">
        <f aca="false">IF($K21="","",IF(OR(LEFT($T21,2)="작지",LEFT($T21,4)="소재입고"),IF(LEFT($E21,1)="S","★ 납기위험(S코드)","◆ 지연주의"),IF($T21="정상","✓ 정상","? 확인필요")))</f>
        <v>★ 납기위험(S코드)</v>
      </c>
      <c r="V21" s="31"/>
      <c r="W21" s="19"/>
    </row>
    <row r="22" customFormat="false" ht="15" hidden="false" customHeight="true" outlineLevel="0" collapsed="false">
      <c r="A22" s="28" t="n">
        <v>18</v>
      </c>
      <c r="B22" s="29" t="s">
        <v>116</v>
      </c>
      <c r="C22" s="30" t="s">
        <v>159</v>
      </c>
      <c r="D22" s="29" t="s">
        <v>160</v>
      </c>
      <c r="E22" s="28" t="str">
        <f aca="false">IF($C22="","",IF(MID($C22,5,1)="S","S(봄)",IF(MID($C22,5,1)="M","M(여름)",IF(MID($C22,5,1)="X","X(사계절)",MID($C22,5,1)))))</f>
        <v>S(봄)</v>
      </c>
      <c r="F22" s="30" t="s">
        <v>141</v>
      </c>
      <c r="G22" s="31" t="s">
        <v>51</v>
      </c>
      <c r="H22" s="28" t="str">
        <f aca="false">IF($C22="","",REPLACE($C22,6,2,"26"))</f>
        <v>JKJGS26104</v>
      </c>
      <c r="I22" s="32" t="str">
        <f aca="false">IFERROR(INDEX(전년출고참조!$B$4:$B$638,MATCH($H22,전년출고참조!$A$4:$A$638,0)),"")</f>
        <v/>
      </c>
      <c r="J22" s="32" t="n">
        <v>46367</v>
      </c>
      <c r="K22" s="32" t="n">
        <f aca="false">IF($G22&lt;&gt;"",IFERROR(DATE(IF(VALUE(LEFT($G22,FIND("월",$G22)-1))&gt;=9,기준정보!$C$6-1,기준정보!$C$6),VALUE(LEFT($G22,FIND("월",$G22)-1)),1+7*(VALUE(SUBSTITUTE(MID($G22,FIND("월",$G22)+1,5),"주",""))-1)),""),IF($I22&lt;&gt;"",IF(ISNUMBER($I22),$I22+364,IFERROR(DATE(IF(VALUE(LEFT($I22,FIND("월",$I22)-1))&gt;=9,기준정보!$C$6-1,기준정보!$C$6),VALUE(LEFT($I22,FIND("월",$I22)-1)),1+7*(VALUE(SUBSTITUTE(MID($I22,FIND("월",$I22)+1,5),"주",""))-1)),"")),IF($J22&lt;&gt;"",$J22,"")))</f>
        <v>46419</v>
      </c>
      <c r="L22" s="28" t="str">
        <f aca="false">IF($G22&lt;&gt;"","계획 주차",IF($I22&lt;&gt;"","전년+1년 예측",IF($J22&lt;&gt;"","전산 입고계획(참고)","미정")))</f>
        <v>계획 주차</v>
      </c>
      <c r="M22" s="32" t="n">
        <f aca="false">IF($K22="","",$K22-기준정보!$C$5)</f>
        <v>46329</v>
      </c>
      <c r="N22" s="33" t="n">
        <f aca="false">IF($M22="","",$M22-기준정보!$C$4)</f>
        <v>88</v>
      </c>
      <c r="O22" s="31" t="s">
        <v>108</v>
      </c>
      <c r="P22" s="20"/>
      <c r="Q22" s="30" t="str">
        <f aca="false">IF($F22="","",IF(AND(ISNUMBER(SEARCH("CMT",$F22)),OR(ISNUMBER(SEARCH("사입",$F22)),ISNUMBER(SEARCH("Buying",$F22)))),"본사/생산처 혼재",IF(ISNUMBER(SEARCH("CMT",$F22)),"본사(소재팀)","생산처")))</f>
        <v>본사(소재팀)</v>
      </c>
      <c r="R22" s="29" t="s">
        <v>133</v>
      </c>
      <c r="S22" s="29" t="s">
        <v>161</v>
      </c>
      <c r="T22" s="30" t="str">
        <f aca="false">IF($K22="","출고일 미정",IF($O22="X","작지(일매) 미등록",IF($O22="부분","작지(일매) 일부 미등록",IF(AND($P22&lt;&gt;"",$P22&gt;$M22),"소재입고 마감("&amp;TEXT($M22,"MM/DD")&amp;") 초과",IF($O22="","일매 등록여부 확인 필요",IF($P22="","소재 입고일정 확인 필요","정상"))))))</f>
        <v>소재 입고일정 확인 필요</v>
      </c>
      <c r="U22" s="28" t="str">
        <f aca="false">IF($K22="","",IF(OR(LEFT($T22,2)="작지",LEFT($T22,4)="소재입고"),IF(LEFT($E22,1)="S","★ 납기위험(S코드)","◆ 지연주의"),IF($T22="정상","✓ 정상","? 확인필요")))</f>
        <v>? 확인필요</v>
      </c>
      <c r="V22" s="31"/>
      <c r="W22" s="19"/>
    </row>
    <row r="23" customFormat="false" ht="15" hidden="false" customHeight="true" outlineLevel="0" collapsed="false">
      <c r="A23" s="28" t="n">
        <v>19</v>
      </c>
      <c r="B23" s="29" t="s">
        <v>116</v>
      </c>
      <c r="C23" s="30" t="s">
        <v>162</v>
      </c>
      <c r="D23" s="29" t="s">
        <v>163</v>
      </c>
      <c r="E23" s="28" t="str">
        <f aca="false">IF($C23="","",IF(MID($C23,5,1)="S","S(봄)",IF(MID($C23,5,1)="M","M(여름)",IF(MID($C23,5,1)="X","X(사계절)",MID($C23,5,1)))))</f>
        <v>S(봄)</v>
      </c>
      <c r="F23" s="30" t="s">
        <v>141</v>
      </c>
      <c r="G23" s="31" t="s">
        <v>51</v>
      </c>
      <c r="H23" s="28" t="str">
        <f aca="false">IF($C23="","",REPLACE($C23,6,2,"26"))</f>
        <v>JKJWS26106</v>
      </c>
      <c r="I23" s="32" t="str">
        <f aca="false">IFERROR(INDEX(전년출고참조!$B$4:$B$638,MATCH($H23,전년출고참조!$A$4:$A$638,0)),"")</f>
        <v/>
      </c>
      <c r="J23" s="32" t="n">
        <v>46367</v>
      </c>
      <c r="K23" s="32" t="n">
        <f aca="false">IF($G23&lt;&gt;"",IFERROR(DATE(IF(VALUE(LEFT($G23,FIND("월",$G23)-1))&gt;=9,기준정보!$C$6-1,기준정보!$C$6),VALUE(LEFT($G23,FIND("월",$G23)-1)),1+7*(VALUE(SUBSTITUTE(MID($G23,FIND("월",$G23)+1,5),"주",""))-1)),""),IF($I23&lt;&gt;"",IF(ISNUMBER($I23),$I23+364,IFERROR(DATE(IF(VALUE(LEFT($I23,FIND("월",$I23)-1))&gt;=9,기준정보!$C$6-1,기준정보!$C$6),VALUE(LEFT($I23,FIND("월",$I23)-1)),1+7*(VALUE(SUBSTITUTE(MID($I23,FIND("월",$I23)+1,5),"주",""))-1)),"")),IF($J23&lt;&gt;"",$J23,"")))</f>
        <v>46419</v>
      </c>
      <c r="L23" s="28" t="str">
        <f aca="false">IF($G23&lt;&gt;"","계획 주차",IF($I23&lt;&gt;"","전년+1년 예측",IF($J23&lt;&gt;"","전산 입고계획(참고)","미정")))</f>
        <v>계획 주차</v>
      </c>
      <c r="M23" s="32" t="n">
        <f aca="false">IF($K23="","",$K23-기준정보!$C$5)</f>
        <v>46329</v>
      </c>
      <c r="N23" s="33" t="n">
        <f aca="false">IF($M23="","",$M23-기준정보!$C$4)</f>
        <v>88</v>
      </c>
      <c r="O23" s="31" t="s">
        <v>108</v>
      </c>
      <c r="P23" s="20"/>
      <c r="Q23" s="30" t="str">
        <f aca="false">IF($F23="","",IF(AND(ISNUMBER(SEARCH("CMT",$F23)),OR(ISNUMBER(SEARCH("사입",$F23)),ISNUMBER(SEARCH("Buying",$F23)))),"본사/생산처 혼재",IF(ISNUMBER(SEARCH("CMT",$F23)),"본사(소재팀)","생산처")))</f>
        <v>본사(소재팀)</v>
      </c>
      <c r="R23" s="29" t="s">
        <v>119</v>
      </c>
      <c r="S23" s="29" t="s">
        <v>120</v>
      </c>
      <c r="T23" s="30" t="str">
        <f aca="false">IF($K23="","출고일 미정",IF($O23="X","작지(일매) 미등록",IF($O23="부분","작지(일매) 일부 미등록",IF(AND($P23&lt;&gt;"",$P23&gt;$M23),"소재입고 마감("&amp;TEXT($M23,"MM/DD")&amp;") 초과",IF($O23="","일매 등록여부 확인 필요",IF($P23="","소재 입고일정 확인 필요","정상"))))))</f>
        <v>소재 입고일정 확인 필요</v>
      </c>
      <c r="U23" s="28" t="str">
        <f aca="false">IF($K23="","",IF(OR(LEFT($T23,2)="작지",LEFT($T23,4)="소재입고"),IF(LEFT($E23,1)="S","★ 납기위험(S코드)","◆ 지연주의"),IF($T23="정상","✓ 정상","? 확인필요")))</f>
        <v>? 확인필요</v>
      </c>
      <c r="V23" s="31"/>
      <c r="W23" s="19"/>
    </row>
    <row r="24" customFormat="false" ht="15" hidden="false" customHeight="true" outlineLevel="0" collapsed="false">
      <c r="A24" s="28" t="n">
        <v>20</v>
      </c>
      <c r="B24" s="29" t="s">
        <v>116</v>
      </c>
      <c r="C24" s="30" t="s">
        <v>164</v>
      </c>
      <c r="D24" s="29" t="s">
        <v>165</v>
      </c>
      <c r="E24" s="28" t="str">
        <f aca="false">IF($C24="","",IF(MID($C24,5,1)="S","S(봄)",IF(MID($C24,5,1)="M","M(여름)",IF(MID($C24,5,1)="X","X(사계절)",MID($C24,5,1)))))</f>
        <v>S(봄)</v>
      </c>
      <c r="F24" s="30" t="s">
        <v>141</v>
      </c>
      <c r="G24" s="31" t="s">
        <v>51</v>
      </c>
      <c r="H24" s="28" t="str">
        <f aca="false">IF($C24="","",REPLACE($C24,6,2,"26"))</f>
        <v>JWJGS26101</v>
      </c>
      <c r="I24" s="32" t="str">
        <f aca="false">IFERROR(INDEX(전년출고참조!$B$4:$B$638,MATCH($H24,전년출고참조!$A$4:$A$638,0)),"")</f>
        <v/>
      </c>
      <c r="J24" s="32" t="n">
        <v>46367</v>
      </c>
      <c r="K24" s="32" t="n">
        <f aca="false">IF($G24&lt;&gt;"",IFERROR(DATE(IF(VALUE(LEFT($G24,FIND("월",$G24)-1))&gt;=9,기준정보!$C$6-1,기준정보!$C$6),VALUE(LEFT($G24,FIND("월",$G24)-1)),1+7*(VALUE(SUBSTITUTE(MID($G24,FIND("월",$G24)+1,5),"주",""))-1)),""),IF($I24&lt;&gt;"",IF(ISNUMBER($I24),$I24+364,IFERROR(DATE(IF(VALUE(LEFT($I24,FIND("월",$I24)-1))&gt;=9,기준정보!$C$6-1,기준정보!$C$6),VALUE(LEFT($I24,FIND("월",$I24)-1)),1+7*(VALUE(SUBSTITUTE(MID($I24,FIND("월",$I24)+1,5),"주",""))-1)),"")),IF($J24&lt;&gt;"",$J24,"")))</f>
        <v>46419</v>
      </c>
      <c r="L24" s="28" t="str">
        <f aca="false">IF($G24&lt;&gt;"","계획 주차",IF($I24&lt;&gt;"","전년+1년 예측",IF($J24&lt;&gt;"","전산 입고계획(참고)","미정")))</f>
        <v>계획 주차</v>
      </c>
      <c r="M24" s="32" t="n">
        <f aca="false">IF($K24="","",$K24-기준정보!$C$5)</f>
        <v>46329</v>
      </c>
      <c r="N24" s="33" t="n">
        <f aca="false">IF($M24="","",$M24-기준정보!$C$4)</f>
        <v>88</v>
      </c>
      <c r="O24" s="31" t="s">
        <v>114</v>
      </c>
      <c r="P24" s="20"/>
      <c r="Q24" s="30" t="str">
        <f aca="false">IF($F24="","",IF(AND(ISNUMBER(SEARCH("CMT",$F24)),OR(ISNUMBER(SEARCH("사입",$F24)),ISNUMBER(SEARCH("Buying",$F24)))),"본사/생산처 혼재",IF(ISNUMBER(SEARCH("CMT",$F24)),"본사(소재팀)","생산처")))</f>
        <v>본사(소재팀)</v>
      </c>
      <c r="R24" s="29" t="s">
        <v>109</v>
      </c>
      <c r="S24" s="29" t="s">
        <v>110</v>
      </c>
      <c r="T24" s="30" t="str">
        <f aca="false">IF($K24="","출고일 미정",IF($O24="X","작지(일매) 미등록",IF($O24="부분","작지(일매) 일부 미등록",IF(AND($P24&lt;&gt;"",$P24&gt;$M24),"소재입고 마감("&amp;TEXT($M24,"MM/DD")&amp;") 초과",IF($O24="","일매 등록여부 확인 필요",IF($P24="","소재 입고일정 확인 필요","정상"))))))</f>
        <v>작지(일매) 미등록</v>
      </c>
      <c r="U24" s="28" t="str">
        <f aca="false">IF($K24="","",IF(OR(LEFT($T24,2)="작지",LEFT($T24,4)="소재입고"),IF(LEFT($E24,1)="S","★ 납기위험(S코드)","◆ 지연주의"),IF($T24="정상","✓ 정상","? 확인필요")))</f>
        <v>★ 납기위험(S코드)</v>
      </c>
      <c r="V24" s="31"/>
      <c r="W24" s="19"/>
    </row>
    <row r="25" customFormat="false" ht="15" hidden="false" customHeight="true" outlineLevel="0" collapsed="false">
      <c r="A25" s="28" t="n">
        <v>21</v>
      </c>
      <c r="B25" s="29" t="s">
        <v>116</v>
      </c>
      <c r="C25" s="30" t="s">
        <v>166</v>
      </c>
      <c r="D25" s="29" t="s">
        <v>167</v>
      </c>
      <c r="E25" s="28" t="str">
        <f aca="false">IF($C25="","",IF(MID($C25,5,1)="S","S(봄)",IF(MID($C25,5,1)="M","M(여름)",IF(MID($C25,5,1)="X","X(사계절)",MID($C25,5,1)))))</f>
        <v>S(봄)</v>
      </c>
      <c r="F25" s="30" t="s">
        <v>141</v>
      </c>
      <c r="G25" s="31" t="s">
        <v>51</v>
      </c>
      <c r="H25" s="28" t="str">
        <f aca="false">IF($C25="","",REPLACE($C25,6,2,"26"))</f>
        <v>JWJGS26103</v>
      </c>
      <c r="I25" s="32" t="str">
        <f aca="false">IFERROR(INDEX(전년출고참조!$B$4:$B$638,MATCH($H25,전년출고참조!$A$4:$A$638,0)),"")</f>
        <v/>
      </c>
      <c r="J25" s="32" t="n">
        <v>46367</v>
      </c>
      <c r="K25" s="32" t="n">
        <f aca="false">IF($G25&lt;&gt;"",IFERROR(DATE(IF(VALUE(LEFT($G25,FIND("월",$G25)-1))&gt;=9,기준정보!$C$6-1,기준정보!$C$6),VALUE(LEFT($G25,FIND("월",$G25)-1)),1+7*(VALUE(SUBSTITUTE(MID($G25,FIND("월",$G25)+1,5),"주",""))-1)),""),IF($I25&lt;&gt;"",IF(ISNUMBER($I25),$I25+364,IFERROR(DATE(IF(VALUE(LEFT($I25,FIND("월",$I25)-1))&gt;=9,기준정보!$C$6-1,기준정보!$C$6),VALUE(LEFT($I25,FIND("월",$I25)-1)),1+7*(VALUE(SUBSTITUTE(MID($I25,FIND("월",$I25)+1,5),"주",""))-1)),"")),IF($J25&lt;&gt;"",$J25,"")))</f>
        <v>46419</v>
      </c>
      <c r="L25" s="28" t="str">
        <f aca="false">IF($G25&lt;&gt;"","계획 주차",IF($I25&lt;&gt;"","전년+1년 예측",IF($J25&lt;&gt;"","전산 입고계획(참고)","미정")))</f>
        <v>계획 주차</v>
      </c>
      <c r="M25" s="32" t="n">
        <f aca="false">IF($K25="","",$K25-기준정보!$C$5)</f>
        <v>46329</v>
      </c>
      <c r="N25" s="33" t="n">
        <f aca="false">IF($M25="","",$M25-기준정보!$C$4)</f>
        <v>88</v>
      </c>
      <c r="O25" s="31" t="s">
        <v>108</v>
      </c>
      <c r="P25" s="20"/>
      <c r="Q25" s="30" t="str">
        <f aca="false">IF($F25="","",IF(AND(ISNUMBER(SEARCH("CMT",$F25)),OR(ISNUMBER(SEARCH("사입",$F25)),ISNUMBER(SEARCH("Buying",$F25)))),"본사/생산처 혼재",IF(ISNUMBER(SEARCH("CMT",$F25)),"본사(소재팀)","생산처")))</f>
        <v>본사(소재팀)</v>
      </c>
      <c r="R25" s="29" t="s">
        <v>133</v>
      </c>
      <c r="S25" s="29" t="s">
        <v>161</v>
      </c>
      <c r="T25" s="30" t="str">
        <f aca="false">IF($K25="","출고일 미정",IF($O25="X","작지(일매) 미등록",IF($O25="부분","작지(일매) 일부 미등록",IF(AND($P25&lt;&gt;"",$P25&gt;$M25),"소재입고 마감("&amp;TEXT($M25,"MM/DD")&amp;") 초과",IF($O25="","일매 등록여부 확인 필요",IF($P25="","소재 입고일정 확인 필요","정상"))))))</f>
        <v>소재 입고일정 확인 필요</v>
      </c>
      <c r="U25" s="28" t="str">
        <f aca="false">IF($K25="","",IF(OR(LEFT($T25,2)="작지",LEFT($T25,4)="소재입고"),IF(LEFT($E25,1)="S","★ 납기위험(S코드)","◆ 지연주의"),IF($T25="정상","✓ 정상","? 확인필요")))</f>
        <v>? 확인필요</v>
      </c>
      <c r="V25" s="31"/>
      <c r="W25" s="19"/>
    </row>
    <row r="26" customFormat="false" ht="15" hidden="false" customHeight="true" outlineLevel="0" collapsed="false">
      <c r="A26" s="28" t="n">
        <v>22</v>
      </c>
      <c r="B26" s="29" t="s">
        <v>116</v>
      </c>
      <c r="C26" s="30" t="s">
        <v>168</v>
      </c>
      <c r="D26" s="29" t="s">
        <v>169</v>
      </c>
      <c r="E26" s="28" t="str">
        <f aca="false">IF($C26="","",IF(MID($C26,5,1)="S","S(봄)",IF(MID($C26,5,1)="M","M(여름)",IF(MID($C26,5,1)="X","X(사계절)",MID($C26,5,1)))))</f>
        <v>S(봄)</v>
      </c>
      <c r="F26" s="29" t="s">
        <v>106</v>
      </c>
      <c r="G26" s="31" t="s">
        <v>51</v>
      </c>
      <c r="H26" s="28" t="str">
        <f aca="false">IF($C26="","",REPLACE($C26,6,2,"26"))</f>
        <v>JWJJS26135</v>
      </c>
      <c r="I26" s="32" t="str">
        <f aca="false">IFERROR(INDEX(전년출고참조!$B$4:$B$638,MATCH($H26,전년출고참조!$A$4:$A$638,0)),"")</f>
        <v/>
      </c>
      <c r="J26" s="32" t="n">
        <v>46367</v>
      </c>
      <c r="K26" s="32" t="n">
        <f aca="false">IF($G26&lt;&gt;"",IFERROR(DATE(IF(VALUE(LEFT($G26,FIND("월",$G26)-1))&gt;=9,기준정보!$C$6-1,기준정보!$C$6),VALUE(LEFT($G26,FIND("월",$G26)-1)),1+7*(VALUE(SUBSTITUTE(MID($G26,FIND("월",$G26)+1,5),"주",""))-1)),""),IF($I26&lt;&gt;"",IF(ISNUMBER($I26),$I26+364,IFERROR(DATE(IF(VALUE(LEFT($I26,FIND("월",$I26)-1))&gt;=9,기준정보!$C$6-1,기준정보!$C$6),VALUE(LEFT($I26,FIND("월",$I26)-1)),1+7*(VALUE(SUBSTITUTE(MID($I26,FIND("월",$I26)+1,5),"주",""))-1)),"")),IF($J26&lt;&gt;"",$J26,"")))</f>
        <v>46419</v>
      </c>
      <c r="L26" s="28" t="str">
        <f aca="false">IF($G26&lt;&gt;"","계획 주차",IF($I26&lt;&gt;"","전년+1년 예측",IF($J26&lt;&gt;"","전산 입고계획(참고)","미정")))</f>
        <v>계획 주차</v>
      </c>
      <c r="M26" s="32" t="n">
        <f aca="false">IF($K26="","",$K26-기준정보!$C$5)</f>
        <v>46329</v>
      </c>
      <c r="N26" s="33" t="n">
        <f aca="false">IF($M26="","",$M26-기준정보!$C$4)</f>
        <v>88</v>
      </c>
      <c r="O26" s="31" t="s">
        <v>108</v>
      </c>
      <c r="P26" s="20"/>
      <c r="Q26" s="30" t="str">
        <f aca="false">IF($F26="","",IF(AND(ISNUMBER(SEARCH("CMT",$F26)),OR(ISNUMBER(SEARCH("사입",$F26)),ISNUMBER(SEARCH("Buying",$F26)))),"본사/생산처 혼재",IF(ISNUMBER(SEARCH("CMT",$F26)),"본사(소재팀)","생산처")))</f>
        <v>생산처</v>
      </c>
      <c r="R26" s="29" t="s">
        <v>119</v>
      </c>
      <c r="S26" s="29" t="s">
        <v>120</v>
      </c>
      <c r="T26" s="30" t="str">
        <f aca="false">IF($K26="","출고일 미정",IF($O26="X","작지(일매) 미등록",IF($O26="부분","작지(일매) 일부 미등록",IF(AND($P26&lt;&gt;"",$P26&gt;$M26),"소재입고 마감("&amp;TEXT($M26,"MM/DD")&amp;") 초과",IF($O26="","일매 등록여부 확인 필요",IF($P26="","소재 입고일정 확인 필요","정상"))))))</f>
        <v>소재 입고일정 확인 필요</v>
      </c>
      <c r="U26" s="28" t="str">
        <f aca="false">IF($K26="","",IF(OR(LEFT($T26,2)="작지",LEFT($T26,4)="소재입고"),IF(LEFT($E26,1)="S","★ 납기위험(S코드)","◆ 지연주의"),IF($T26="정상","✓ 정상","? 확인필요")))</f>
        <v>? 확인필요</v>
      </c>
      <c r="V26" s="31"/>
      <c r="W26" s="19"/>
    </row>
    <row r="27" customFormat="false" ht="15" hidden="false" customHeight="true" outlineLevel="0" collapsed="false">
      <c r="A27" s="28" t="n">
        <v>23</v>
      </c>
      <c r="B27" s="29" t="s">
        <v>116</v>
      </c>
      <c r="C27" s="30" t="s">
        <v>170</v>
      </c>
      <c r="D27" s="29" t="s">
        <v>171</v>
      </c>
      <c r="E27" s="28" t="str">
        <f aca="false">IF($C27="","",IF(MID($C27,5,1)="S","S(봄)",IF(MID($C27,5,1)="M","M(여름)",IF(MID($C27,5,1)="X","X(사계절)",MID($C27,5,1)))))</f>
        <v>S(봄)</v>
      </c>
      <c r="F27" s="30" t="s">
        <v>141</v>
      </c>
      <c r="G27" s="31" t="s">
        <v>51</v>
      </c>
      <c r="H27" s="28" t="str">
        <f aca="false">IF($C27="","",REPLACE($C27,6,2,"26"))</f>
        <v>JWJWS26105</v>
      </c>
      <c r="I27" s="32" t="str">
        <f aca="false">IFERROR(INDEX(전년출고참조!$B$4:$B$638,MATCH($H27,전년출고참조!$A$4:$A$638,0)),"")</f>
        <v/>
      </c>
      <c r="J27" s="32" t="n">
        <v>46367</v>
      </c>
      <c r="K27" s="32" t="n">
        <f aca="false">IF($G27&lt;&gt;"",IFERROR(DATE(IF(VALUE(LEFT($G27,FIND("월",$G27)-1))&gt;=9,기준정보!$C$6-1,기준정보!$C$6),VALUE(LEFT($G27,FIND("월",$G27)-1)),1+7*(VALUE(SUBSTITUTE(MID($G27,FIND("월",$G27)+1,5),"주",""))-1)),""),IF($I27&lt;&gt;"",IF(ISNUMBER($I27),$I27+364,IFERROR(DATE(IF(VALUE(LEFT($I27,FIND("월",$I27)-1))&gt;=9,기준정보!$C$6-1,기준정보!$C$6),VALUE(LEFT($I27,FIND("월",$I27)-1)),1+7*(VALUE(SUBSTITUTE(MID($I27,FIND("월",$I27)+1,5),"주",""))-1)),"")),IF($J27&lt;&gt;"",$J27,"")))</f>
        <v>46419</v>
      </c>
      <c r="L27" s="28" t="str">
        <f aca="false">IF($G27&lt;&gt;"","계획 주차",IF($I27&lt;&gt;"","전년+1년 예측",IF($J27&lt;&gt;"","전산 입고계획(참고)","미정")))</f>
        <v>계획 주차</v>
      </c>
      <c r="M27" s="32" t="n">
        <f aca="false">IF($K27="","",$K27-기준정보!$C$5)</f>
        <v>46329</v>
      </c>
      <c r="N27" s="33" t="n">
        <f aca="false">IF($M27="","",$M27-기준정보!$C$4)</f>
        <v>88</v>
      </c>
      <c r="O27" s="31" t="s">
        <v>108</v>
      </c>
      <c r="P27" s="20"/>
      <c r="Q27" s="30" t="str">
        <f aca="false">IF($F27="","",IF(AND(ISNUMBER(SEARCH("CMT",$F27)),OR(ISNUMBER(SEARCH("사입",$F27)),ISNUMBER(SEARCH("Buying",$F27)))),"본사/생산처 혼재",IF(ISNUMBER(SEARCH("CMT",$F27)),"본사(소재팀)","생산처")))</f>
        <v>본사(소재팀)</v>
      </c>
      <c r="R27" s="29" t="s">
        <v>119</v>
      </c>
      <c r="S27" s="29" t="s">
        <v>120</v>
      </c>
      <c r="T27" s="30" t="str">
        <f aca="false">IF($K27="","출고일 미정",IF($O27="X","작지(일매) 미등록",IF($O27="부분","작지(일매) 일부 미등록",IF(AND($P27&lt;&gt;"",$P27&gt;$M27),"소재입고 마감("&amp;TEXT($M27,"MM/DD")&amp;") 초과",IF($O27="","일매 등록여부 확인 필요",IF($P27="","소재 입고일정 확인 필요","정상"))))))</f>
        <v>소재 입고일정 확인 필요</v>
      </c>
      <c r="U27" s="28" t="str">
        <f aca="false">IF($K27="","",IF(OR(LEFT($T27,2)="작지",LEFT($T27,4)="소재입고"),IF(LEFT($E27,1)="S","★ 납기위험(S코드)","◆ 지연주의"),IF($T27="정상","✓ 정상","? 확인필요")))</f>
        <v>? 확인필요</v>
      </c>
      <c r="V27" s="31"/>
      <c r="W27" s="19"/>
    </row>
    <row r="28" customFormat="false" ht="15" hidden="false" customHeight="true" outlineLevel="0" collapsed="false">
      <c r="A28" s="28" t="n">
        <v>24</v>
      </c>
      <c r="B28" s="29" t="s">
        <v>130</v>
      </c>
      <c r="C28" s="30" t="s">
        <v>172</v>
      </c>
      <c r="D28" s="29" t="s">
        <v>173</v>
      </c>
      <c r="E28" s="28" t="str">
        <f aca="false">IF($C28="","",IF(MID($C28,5,1)="S","S(봄)",IF(MID($C28,5,1)="M","M(여름)",IF(MID($C28,5,1)="X","X(사계절)",MID($C28,5,1)))))</f>
        <v>S(봄)</v>
      </c>
      <c r="F28" s="29" t="s">
        <v>106</v>
      </c>
      <c r="G28" s="31" t="s">
        <v>51</v>
      </c>
      <c r="H28" s="28" t="str">
        <f aca="false">IF($C28="","",REPLACE($C28,6,2,"26"))</f>
        <v>TLJJS26503</v>
      </c>
      <c r="I28" s="32" t="str">
        <f aca="false">IFERROR(INDEX(전년출고참조!$B$4:$B$638,MATCH($H28,전년출고참조!$A$4:$A$638,0)),"")</f>
        <v/>
      </c>
      <c r="J28" s="32" t="n">
        <v>46367</v>
      </c>
      <c r="K28" s="32" t="n">
        <f aca="false">IF($G28&lt;&gt;"",IFERROR(DATE(IF(VALUE(LEFT($G28,FIND("월",$G28)-1))&gt;=9,기준정보!$C$6-1,기준정보!$C$6),VALUE(LEFT($G28,FIND("월",$G28)-1)),1+7*(VALUE(SUBSTITUTE(MID($G28,FIND("월",$G28)+1,5),"주",""))-1)),""),IF($I28&lt;&gt;"",IF(ISNUMBER($I28),$I28+364,IFERROR(DATE(IF(VALUE(LEFT($I28,FIND("월",$I28)-1))&gt;=9,기준정보!$C$6-1,기준정보!$C$6),VALUE(LEFT($I28,FIND("월",$I28)-1)),1+7*(VALUE(SUBSTITUTE(MID($I28,FIND("월",$I28)+1,5),"주",""))-1)),"")),IF($J28&lt;&gt;"",$J28,"")))</f>
        <v>46419</v>
      </c>
      <c r="L28" s="28" t="str">
        <f aca="false">IF($G28&lt;&gt;"","계획 주차",IF($I28&lt;&gt;"","전년+1년 예측",IF($J28&lt;&gt;"","전산 입고계획(참고)","미정")))</f>
        <v>계획 주차</v>
      </c>
      <c r="M28" s="32" t="n">
        <f aca="false">IF($K28="","",$K28-기준정보!$C$5)</f>
        <v>46329</v>
      </c>
      <c r="N28" s="33" t="n">
        <f aca="false">IF($M28="","",$M28-기준정보!$C$4)</f>
        <v>88</v>
      </c>
      <c r="O28" s="31" t="s">
        <v>114</v>
      </c>
      <c r="P28" s="20"/>
      <c r="Q28" s="30" t="str">
        <f aca="false">IF($F28="","",IF(AND(ISNUMBER(SEARCH("CMT",$F28)),OR(ISNUMBER(SEARCH("사입",$F28)),ISNUMBER(SEARCH("Buying",$F28)))),"본사/생산처 혼재",IF(ISNUMBER(SEARCH("CMT",$F28)),"본사(소재팀)","생산처")))</f>
        <v>생산처</v>
      </c>
      <c r="R28" s="29" t="s">
        <v>109</v>
      </c>
      <c r="S28" s="29" t="s">
        <v>110</v>
      </c>
      <c r="T28" s="30" t="str">
        <f aca="false">IF($K28="","출고일 미정",IF($O28="X","작지(일매) 미등록",IF($O28="부분","작지(일매) 일부 미등록",IF(AND($P28&lt;&gt;"",$P28&gt;$M28),"소재입고 마감("&amp;TEXT($M28,"MM/DD")&amp;") 초과",IF($O28="","일매 등록여부 확인 필요",IF($P28="","소재 입고일정 확인 필요","정상"))))))</f>
        <v>작지(일매) 미등록</v>
      </c>
      <c r="U28" s="28" t="str">
        <f aca="false">IF($K28="","",IF(OR(LEFT($T28,2)="작지",LEFT($T28,4)="소재입고"),IF(LEFT($E28,1)="S","★ 납기위험(S코드)","◆ 지연주의"),IF($T28="정상","✓ 정상","? 확인필요")))</f>
        <v>★ 납기위험(S코드)</v>
      </c>
      <c r="V28" s="31"/>
      <c r="W28" s="19"/>
    </row>
    <row r="29" customFormat="false" ht="15" hidden="false" customHeight="true" outlineLevel="0" collapsed="false">
      <c r="A29" s="28" t="n">
        <v>25</v>
      </c>
      <c r="B29" s="29" t="s">
        <v>130</v>
      </c>
      <c r="C29" s="30" t="s">
        <v>174</v>
      </c>
      <c r="D29" s="29" t="s">
        <v>175</v>
      </c>
      <c r="E29" s="28" t="str">
        <f aca="false">IF($C29="","",IF(MID($C29,5,1)="S","S(봄)",IF(MID($C29,5,1)="M","M(여름)",IF(MID($C29,5,1)="X","X(사계절)",MID($C29,5,1)))))</f>
        <v>S(봄)</v>
      </c>
      <c r="F29" s="29" t="s">
        <v>106</v>
      </c>
      <c r="G29" s="31" t="s">
        <v>51</v>
      </c>
      <c r="H29" s="28" t="str">
        <f aca="false">IF($C29="","",REPLACE($C29,6,2,"26"))</f>
        <v>TLJJS26511</v>
      </c>
      <c r="I29" s="32" t="str">
        <f aca="false">IFERROR(INDEX(전년출고참조!$B$4:$B$638,MATCH($H29,전년출고참조!$A$4:$A$638,0)),"")</f>
        <v/>
      </c>
      <c r="J29" s="32" t="n">
        <v>46367</v>
      </c>
      <c r="K29" s="32" t="n">
        <f aca="false">IF($G29&lt;&gt;"",IFERROR(DATE(IF(VALUE(LEFT($G29,FIND("월",$G29)-1))&gt;=9,기준정보!$C$6-1,기준정보!$C$6),VALUE(LEFT($G29,FIND("월",$G29)-1)),1+7*(VALUE(SUBSTITUTE(MID($G29,FIND("월",$G29)+1,5),"주",""))-1)),""),IF($I29&lt;&gt;"",IF(ISNUMBER($I29),$I29+364,IFERROR(DATE(IF(VALUE(LEFT($I29,FIND("월",$I29)-1))&gt;=9,기준정보!$C$6-1,기준정보!$C$6),VALUE(LEFT($I29,FIND("월",$I29)-1)),1+7*(VALUE(SUBSTITUTE(MID($I29,FIND("월",$I29)+1,5),"주",""))-1)),"")),IF($J29&lt;&gt;"",$J29,"")))</f>
        <v>46419</v>
      </c>
      <c r="L29" s="28" t="str">
        <f aca="false">IF($G29&lt;&gt;"","계획 주차",IF($I29&lt;&gt;"","전년+1년 예측",IF($J29&lt;&gt;"","전산 입고계획(참고)","미정")))</f>
        <v>계획 주차</v>
      </c>
      <c r="M29" s="32" t="n">
        <f aca="false">IF($K29="","",$K29-기준정보!$C$5)</f>
        <v>46329</v>
      </c>
      <c r="N29" s="33" t="n">
        <f aca="false">IF($M29="","",$M29-기준정보!$C$4)</f>
        <v>88</v>
      </c>
      <c r="O29" s="31" t="s">
        <v>114</v>
      </c>
      <c r="P29" s="20"/>
      <c r="Q29" s="30" t="str">
        <f aca="false">IF($F29="","",IF(AND(ISNUMBER(SEARCH("CMT",$F29)),OR(ISNUMBER(SEARCH("사입",$F29)),ISNUMBER(SEARCH("Buying",$F29)))),"본사/생산처 혼재",IF(ISNUMBER(SEARCH("CMT",$F29)),"본사(소재팀)","생산처")))</f>
        <v>생산처</v>
      </c>
      <c r="R29" s="29" t="s">
        <v>109</v>
      </c>
      <c r="S29" s="29" t="s">
        <v>110</v>
      </c>
      <c r="T29" s="30" t="str">
        <f aca="false">IF($K29="","출고일 미정",IF($O29="X","작지(일매) 미등록",IF($O29="부분","작지(일매) 일부 미등록",IF(AND($P29&lt;&gt;"",$P29&gt;$M29),"소재입고 마감("&amp;TEXT($M29,"MM/DD")&amp;") 초과",IF($O29="","일매 등록여부 확인 필요",IF($P29="","소재 입고일정 확인 필요","정상"))))))</f>
        <v>작지(일매) 미등록</v>
      </c>
      <c r="U29" s="28" t="str">
        <f aca="false">IF($K29="","",IF(OR(LEFT($T29,2)="작지",LEFT($T29,4)="소재입고"),IF(LEFT($E29,1)="S","★ 납기위험(S코드)","◆ 지연주의"),IF($T29="정상","✓ 정상","? 확인필요")))</f>
        <v>★ 납기위험(S코드)</v>
      </c>
      <c r="V29" s="31"/>
      <c r="W29" s="19"/>
    </row>
    <row r="30" customFormat="false" ht="15" hidden="false" customHeight="true" outlineLevel="0" collapsed="false">
      <c r="A30" s="28" t="n">
        <v>26</v>
      </c>
      <c r="B30" s="29" t="s">
        <v>130</v>
      </c>
      <c r="C30" s="30" t="s">
        <v>176</v>
      </c>
      <c r="D30" s="29" t="s">
        <v>177</v>
      </c>
      <c r="E30" s="28" t="str">
        <f aca="false">IF($C30="","",IF(MID($C30,5,1)="S","S(봄)",IF(MID($C30,5,1)="M","M(여름)",IF(MID($C30,5,1)="X","X(사계절)",MID($C30,5,1)))))</f>
        <v>S(봄)</v>
      </c>
      <c r="F30" s="29" t="s">
        <v>106</v>
      </c>
      <c r="G30" s="31" t="s">
        <v>51</v>
      </c>
      <c r="H30" s="28" t="str">
        <f aca="false">IF($C30="","",REPLACE($C30,6,2,"26"))</f>
        <v>TLJJS26531</v>
      </c>
      <c r="I30" s="32" t="str">
        <f aca="false">IFERROR(INDEX(전년출고참조!$B$4:$B$638,MATCH($H30,전년출고참조!$A$4:$A$638,0)),"")</f>
        <v/>
      </c>
      <c r="J30" s="32" t="n">
        <v>46367</v>
      </c>
      <c r="K30" s="32" t="n">
        <f aca="false">IF($G30&lt;&gt;"",IFERROR(DATE(IF(VALUE(LEFT($G30,FIND("월",$G30)-1))&gt;=9,기준정보!$C$6-1,기준정보!$C$6),VALUE(LEFT($G30,FIND("월",$G30)-1)),1+7*(VALUE(SUBSTITUTE(MID($G30,FIND("월",$G30)+1,5),"주",""))-1)),""),IF($I30&lt;&gt;"",IF(ISNUMBER($I30),$I30+364,IFERROR(DATE(IF(VALUE(LEFT($I30,FIND("월",$I30)-1))&gt;=9,기준정보!$C$6-1,기준정보!$C$6),VALUE(LEFT($I30,FIND("월",$I30)-1)),1+7*(VALUE(SUBSTITUTE(MID($I30,FIND("월",$I30)+1,5),"주",""))-1)),"")),IF($J30&lt;&gt;"",$J30,"")))</f>
        <v>46419</v>
      </c>
      <c r="L30" s="28" t="str">
        <f aca="false">IF($G30&lt;&gt;"","계획 주차",IF($I30&lt;&gt;"","전년+1년 예측",IF($J30&lt;&gt;"","전산 입고계획(참고)","미정")))</f>
        <v>계획 주차</v>
      </c>
      <c r="M30" s="32" t="n">
        <f aca="false">IF($K30="","",$K30-기준정보!$C$5)</f>
        <v>46329</v>
      </c>
      <c r="N30" s="33" t="n">
        <f aca="false">IF($M30="","",$M30-기준정보!$C$4)</f>
        <v>88</v>
      </c>
      <c r="O30" s="31" t="s">
        <v>114</v>
      </c>
      <c r="P30" s="20"/>
      <c r="Q30" s="30" t="str">
        <f aca="false">IF($F30="","",IF(AND(ISNUMBER(SEARCH("CMT",$F30)),OR(ISNUMBER(SEARCH("사입",$F30)),ISNUMBER(SEARCH("Buying",$F30)))),"본사/생산처 혼재",IF(ISNUMBER(SEARCH("CMT",$F30)),"본사(소재팀)","생산처")))</f>
        <v>생산처</v>
      </c>
      <c r="R30" s="29" t="s">
        <v>123</v>
      </c>
      <c r="S30" s="29" t="s">
        <v>120</v>
      </c>
      <c r="T30" s="30" t="str">
        <f aca="false">IF($K30="","출고일 미정",IF($O30="X","작지(일매) 미등록",IF($O30="부분","작지(일매) 일부 미등록",IF(AND($P30&lt;&gt;"",$P30&gt;$M30),"소재입고 마감("&amp;TEXT($M30,"MM/DD")&amp;") 초과",IF($O30="","일매 등록여부 확인 필요",IF($P30="","소재 입고일정 확인 필요","정상"))))))</f>
        <v>작지(일매) 미등록</v>
      </c>
      <c r="U30" s="28" t="str">
        <f aca="false">IF($K30="","",IF(OR(LEFT($T30,2)="작지",LEFT($T30,4)="소재입고"),IF(LEFT($E30,1)="S","★ 납기위험(S코드)","◆ 지연주의"),IF($T30="정상","✓ 정상","? 확인필요")))</f>
        <v>★ 납기위험(S코드)</v>
      </c>
      <c r="V30" s="31"/>
      <c r="W30" s="19"/>
    </row>
    <row r="31" customFormat="false" ht="15" hidden="false" customHeight="true" outlineLevel="0" collapsed="false">
      <c r="A31" s="28" t="n">
        <v>27</v>
      </c>
      <c r="B31" s="29" t="s">
        <v>130</v>
      </c>
      <c r="C31" s="30" t="s">
        <v>178</v>
      </c>
      <c r="D31" s="29" t="s">
        <v>179</v>
      </c>
      <c r="E31" s="28" t="str">
        <f aca="false">IF($C31="","",IF(MID($C31,5,1)="S","S(봄)",IF(MID($C31,5,1)="M","M(여름)",IF(MID($C31,5,1)="X","X(사계절)",MID($C31,5,1)))))</f>
        <v>S(봄)</v>
      </c>
      <c r="F31" s="29" t="s">
        <v>106</v>
      </c>
      <c r="G31" s="31" t="s">
        <v>51</v>
      </c>
      <c r="H31" s="28" t="str">
        <f aca="false">IF($C31="","",REPLACE($C31,6,2,"26"))</f>
        <v>TLJJS26541</v>
      </c>
      <c r="I31" s="32" t="str">
        <f aca="false">IFERROR(INDEX(전년출고참조!$B$4:$B$638,MATCH($H31,전년출고참조!$A$4:$A$638,0)),"")</f>
        <v/>
      </c>
      <c r="J31" s="32" t="n">
        <v>46367</v>
      </c>
      <c r="K31" s="32" t="n">
        <f aca="false">IF($G31&lt;&gt;"",IFERROR(DATE(IF(VALUE(LEFT($G31,FIND("월",$G31)-1))&gt;=9,기준정보!$C$6-1,기준정보!$C$6),VALUE(LEFT($G31,FIND("월",$G31)-1)),1+7*(VALUE(SUBSTITUTE(MID($G31,FIND("월",$G31)+1,5),"주",""))-1)),""),IF($I31&lt;&gt;"",IF(ISNUMBER($I31),$I31+364,IFERROR(DATE(IF(VALUE(LEFT($I31,FIND("월",$I31)-1))&gt;=9,기준정보!$C$6-1,기준정보!$C$6),VALUE(LEFT($I31,FIND("월",$I31)-1)),1+7*(VALUE(SUBSTITUTE(MID($I31,FIND("월",$I31)+1,5),"주",""))-1)),"")),IF($J31&lt;&gt;"",$J31,"")))</f>
        <v>46419</v>
      </c>
      <c r="L31" s="28" t="str">
        <f aca="false">IF($G31&lt;&gt;"","계획 주차",IF($I31&lt;&gt;"","전년+1년 예측",IF($J31&lt;&gt;"","전산 입고계획(참고)","미정")))</f>
        <v>계획 주차</v>
      </c>
      <c r="M31" s="32" t="n">
        <f aca="false">IF($K31="","",$K31-기준정보!$C$5)</f>
        <v>46329</v>
      </c>
      <c r="N31" s="33" t="n">
        <f aca="false">IF($M31="","",$M31-기준정보!$C$4)</f>
        <v>88</v>
      </c>
      <c r="O31" s="31" t="s">
        <v>114</v>
      </c>
      <c r="P31" s="20"/>
      <c r="Q31" s="30" t="str">
        <f aca="false">IF($F31="","",IF(AND(ISNUMBER(SEARCH("CMT",$F31)),OR(ISNUMBER(SEARCH("사입",$F31)),ISNUMBER(SEARCH("Buying",$F31)))),"본사/생산처 혼재",IF(ISNUMBER(SEARCH("CMT",$F31)),"본사(소재팀)","생산처")))</f>
        <v>생산처</v>
      </c>
      <c r="R31" s="29" t="s">
        <v>109</v>
      </c>
      <c r="S31" s="29" t="s">
        <v>110</v>
      </c>
      <c r="T31" s="30" t="str">
        <f aca="false">IF($K31="","출고일 미정",IF($O31="X","작지(일매) 미등록",IF($O31="부분","작지(일매) 일부 미등록",IF(AND($P31&lt;&gt;"",$P31&gt;$M31),"소재입고 마감("&amp;TEXT($M31,"MM/DD")&amp;") 초과",IF($O31="","일매 등록여부 확인 필요",IF($P31="","소재 입고일정 확인 필요","정상"))))))</f>
        <v>작지(일매) 미등록</v>
      </c>
      <c r="U31" s="28" t="str">
        <f aca="false">IF($K31="","",IF(OR(LEFT($T31,2)="작지",LEFT($T31,4)="소재입고"),IF(LEFT($E31,1)="S","★ 납기위험(S코드)","◆ 지연주의"),IF($T31="정상","✓ 정상","? 확인필요")))</f>
        <v>★ 납기위험(S코드)</v>
      </c>
      <c r="V31" s="31"/>
      <c r="W31" s="19"/>
    </row>
    <row r="32" customFormat="false" ht="15" hidden="false" customHeight="true" outlineLevel="0" collapsed="false">
      <c r="A32" s="28" t="n">
        <v>28</v>
      </c>
      <c r="B32" s="29" t="s">
        <v>130</v>
      </c>
      <c r="C32" s="30" t="s">
        <v>180</v>
      </c>
      <c r="D32" s="29" t="s">
        <v>181</v>
      </c>
      <c r="E32" s="28" t="str">
        <f aca="false">IF($C32="","",IF(MID($C32,5,1)="S","S(봄)",IF(MID($C32,5,1)="M","M(여름)",IF(MID($C32,5,1)="X","X(사계절)",MID($C32,5,1)))))</f>
        <v>S(봄)</v>
      </c>
      <c r="F32" s="29" t="s">
        <v>106</v>
      </c>
      <c r="G32" s="31" t="s">
        <v>51</v>
      </c>
      <c r="H32" s="28" t="str">
        <f aca="false">IF($C32="","",REPLACE($C32,6,2,"26"))</f>
        <v>TLJJS26561</v>
      </c>
      <c r="I32" s="32" t="str">
        <f aca="false">IFERROR(INDEX(전년출고참조!$B$4:$B$638,MATCH($H32,전년출고참조!$A$4:$A$638,0)),"")</f>
        <v/>
      </c>
      <c r="J32" s="32" t="n">
        <v>46367</v>
      </c>
      <c r="K32" s="32" t="n">
        <f aca="false">IF($G32&lt;&gt;"",IFERROR(DATE(IF(VALUE(LEFT($G32,FIND("월",$G32)-1))&gt;=9,기준정보!$C$6-1,기준정보!$C$6),VALUE(LEFT($G32,FIND("월",$G32)-1)),1+7*(VALUE(SUBSTITUTE(MID($G32,FIND("월",$G32)+1,5),"주",""))-1)),""),IF($I32&lt;&gt;"",IF(ISNUMBER($I32),$I32+364,IFERROR(DATE(IF(VALUE(LEFT($I32,FIND("월",$I32)-1))&gt;=9,기준정보!$C$6-1,기준정보!$C$6),VALUE(LEFT($I32,FIND("월",$I32)-1)),1+7*(VALUE(SUBSTITUTE(MID($I32,FIND("월",$I32)+1,5),"주",""))-1)),"")),IF($J32&lt;&gt;"",$J32,"")))</f>
        <v>46419</v>
      </c>
      <c r="L32" s="28" t="str">
        <f aca="false">IF($G32&lt;&gt;"","계획 주차",IF($I32&lt;&gt;"","전년+1년 예측",IF($J32&lt;&gt;"","전산 입고계획(참고)","미정")))</f>
        <v>계획 주차</v>
      </c>
      <c r="M32" s="32" t="n">
        <f aca="false">IF($K32="","",$K32-기준정보!$C$5)</f>
        <v>46329</v>
      </c>
      <c r="N32" s="33" t="n">
        <f aca="false">IF($M32="","",$M32-기준정보!$C$4)</f>
        <v>88</v>
      </c>
      <c r="O32" s="31" t="s">
        <v>108</v>
      </c>
      <c r="P32" s="20"/>
      <c r="Q32" s="30" t="str">
        <f aca="false">IF($F32="","",IF(AND(ISNUMBER(SEARCH("CMT",$F32)),OR(ISNUMBER(SEARCH("사입",$F32)),ISNUMBER(SEARCH("Buying",$F32)))),"본사/생산처 혼재",IF(ISNUMBER(SEARCH("CMT",$F32)),"본사(소재팀)","생산처")))</f>
        <v>생산처</v>
      </c>
      <c r="R32" s="29" t="s">
        <v>119</v>
      </c>
      <c r="S32" s="29" t="s">
        <v>161</v>
      </c>
      <c r="T32" s="30" t="str">
        <f aca="false">IF($K32="","출고일 미정",IF($O32="X","작지(일매) 미등록",IF($O32="부분","작지(일매) 일부 미등록",IF(AND($P32&lt;&gt;"",$P32&gt;$M32),"소재입고 마감("&amp;TEXT($M32,"MM/DD")&amp;") 초과",IF($O32="","일매 등록여부 확인 필요",IF($P32="","소재 입고일정 확인 필요","정상"))))))</f>
        <v>소재 입고일정 확인 필요</v>
      </c>
      <c r="U32" s="28" t="str">
        <f aca="false">IF($K32="","",IF(OR(LEFT($T32,2)="작지",LEFT($T32,4)="소재입고"),IF(LEFT($E32,1)="S","★ 납기위험(S코드)","◆ 지연주의"),IF($T32="정상","✓ 정상","? 확인필요")))</f>
        <v>? 확인필요</v>
      </c>
      <c r="V32" s="31"/>
      <c r="W32" s="19"/>
    </row>
    <row r="33" customFormat="false" ht="15" hidden="false" customHeight="true" outlineLevel="0" collapsed="false">
      <c r="A33" s="28" t="n">
        <v>29</v>
      </c>
      <c r="B33" s="29" t="s">
        <v>182</v>
      </c>
      <c r="C33" s="30" t="s">
        <v>183</v>
      </c>
      <c r="D33" s="29" t="s">
        <v>184</v>
      </c>
      <c r="E33" s="28" t="str">
        <f aca="false">IF($C33="","",IF(MID($C33,5,1)="S","S(봄)",IF(MID($C33,5,1)="M","M(여름)",IF(MID($C33,5,1)="X","X(사계절)",MID($C33,5,1)))))</f>
        <v>S(봄)</v>
      </c>
      <c r="F33" s="29" t="s">
        <v>106</v>
      </c>
      <c r="G33" s="31" t="s">
        <v>51</v>
      </c>
      <c r="H33" s="28" t="str">
        <f aca="false">IF($C33="","",REPLACE($C33,6,2,"26"))</f>
        <v>TVJJS26542</v>
      </c>
      <c r="I33" s="32" t="str">
        <f aca="false">IFERROR(INDEX(전년출고참조!$B$4:$B$638,MATCH($H33,전년출고참조!$A$4:$A$638,0)),"")</f>
        <v/>
      </c>
      <c r="J33" s="32" t="n">
        <v>46367</v>
      </c>
      <c r="K33" s="32" t="n">
        <f aca="false">IF($G33&lt;&gt;"",IFERROR(DATE(IF(VALUE(LEFT($G33,FIND("월",$G33)-1))&gt;=9,기준정보!$C$6-1,기준정보!$C$6),VALUE(LEFT($G33,FIND("월",$G33)-1)),1+7*(VALUE(SUBSTITUTE(MID($G33,FIND("월",$G33)+1,5),"주",""))-1)),""),IF($I33&lt;&gt;"",IF(ISNUMBER($I33),$I33+364,IFERROR(DATE(IF(VALUE(LEFT($I33,FIND("월",$I33)-1))&gt;=9,기준정보!$C$6-1,기준정보!$C$6),VALUE(LEFT($I33,FIND("월",$I33)-1)),1+7*(VALUE(SUBSTITUTE(MID($I33,FIND("월",$I33)+1,5),"주",""))-1)),"")),IF($J33&lt;&gt;"",$J33,"")))</f>
        <v>46419</v>
      </c>
      <c r="L33" s="28" t="str">
        <f aca="false">IF($G33&lt;&gt;"","계획 주차",IF($I33&lt;&gt;"","전년+1년 예측",IF($J33&lt;&gt;"","전산 입고계획(참고)","미정")))</f>
        <v>계획 주차</v>
      </c>
      <c r="M33" s="32" t="n">
        <f aca="false">IF($K33="","",$K33-기준정보!$C$5)</f>
        <v>46329</v>
      </c>
      <c r="N33" s="33" t="n">
        <f aca="false">IF($M33="","",$M33-기준정보!$C$4)</f>
        <v>88</v>
      </c>
      <c r="O33" s="31" t="s">
        <v>108</v>
      </c>
      <c r="P33" s="20"/>
      <c r="Q33" s="30" t="str">
        <f aca="false">IF($F33="","",IF(AND(ISNUMBER(SEARCH("CMT",$F33)),OR(ISNUMBER(SEARCH("사입",$F33)),ISNUMBER(SEARCH("Buying",$F33)))),"본사/생산처 혼재",IF(ISNUMBER(SEARCH("CMT",$F33)),"본사(소재팀)","생산처")))</f>
        <v>생산처</v>
      </c>
      <c r="R33" s="29" t="s">
        <v>119</v>
      </c>
      <c r="S33" s="29" t="s">
        <v>110</v>
      </c>
      <c r="T33" s="30" t="str">
        <f aca="false">IF($K33="","출고일 미정",IF($O33="X","작지(일매) 미등록",IF($O33="부분","작지(일매) 일부 미등록",IF(AND($P33&lt;&gt;"",$P33&gt;$M33),"소재입고 마감("&amp;TEXT($M33,"MM/DD")&amp;") 초과",IF($O33="","일매 등록여부 확인 필요",IF($P33="","소재 입고일정 확인 필요","정상"))))))</f>
        <v>소재 입고일정 확인 필요</v>
      </c>
      <c r="U33" s="28" t="str">
        <f aca="false">IF($K33="","",IF(OR(LEFT($T33,2)="작지",LEFT($T33,4)="소재입고"),IF(LEFT($E33,1)="S","★ 납기위험(S코드)","◆ 지연주의"),IF($T33="정상","✓ 정상","? 확인필요")))</f>
        <v>? 확인필요</v>
      </c>
      <c r="V33" s="31"/>
      <c r="W33" s="19"/>
    </row>
    <row r="34" customFormat="false" ht="15" hidden="false" customHeight="true" outlineLevel="0" collapsed="false">
      <c r="A34" s="28" t="n">
        <v>30</v>
      </c>
      <c r="B34" s="29" t="s">
        <v>130</v>
      </c>
      <c r="C34" s="30" t="s">
        <v>185</v>
      </c>
      <c r="D34" s="29" t="s">
        <v>186</v>
      </c>
      <c r="E34" s="28" t="str">
        <f aca="false">IF($C34="","",IF(MID($C34,5,1)="S","S(봄)",IF(MID($C34,5,1)="M","M(여름)",IF(MID($C34,5,1)="X","X(사계절)",MID($C34,5,1)))))</f>
        <v>S(봄)</v>
      </c>
      <c r="F34" s="29" t="s">
        <v>106</v>
      </c>
      <c r="G34" s="31" t="s">
        <v>51</v>
      </c>
      <c r="H34" s="28" t="str">
        <f aca="false">IF($C34="","",REPLACE($C34,6,2,"26"))</f>
        <v>TVPNS26552</v>
      </c>
      <c r="I34" s="32" t="str">
        <f aca="false">IFERROR(INDEX(전년출고참조!$B$4:$B$638,MATCH($H34,전년출고참조!$A$4:$A$638,0)),"")</f>
        <v/>
      </c>
      <c r="J34" s="32" t="n">
        <v>46367</v>
      </c>
      <c r="K34" s="32" t="n">
        <f aca="false">IF($G34&lt;&gt;"",IFERROR(DATE(IF(VALUE(LEFT($G34,FIND("월",$G34)-1))&gt;=9,기준정보!$C$6-1,기준정보!$C$6),VALUE(LEFT($G34,FIND("월",$G34)-1)),1+7*(VALUE(SUBSTITUTE(MID($G34,FIND("월",$G34)+1,5),"주",""))-1)),""),IF($I34&lt;&gt;"",IF(ISNUMBER($I34),$I34+364,IFERROR(DATE(IF(VALUE(LEFT($I34,FIND("월",$I34)-1))&gt;=9,기준정보!$C$6-1,기준정보!$C$6),VALUE(LEFT($I34,FIND("월",$I34)-1)),1+7*(VALUE(SUBSTITUTE(MID($I34,FIND("월",$I34)+1,5),"주",""))-1)),"")),IF($J34&lt;&gt;"",$J34,"")))</f>
        <v>46419</v>
      </c>
      <c r="L34" s="28" t="str">
        <f aca="false">IF($G34&lt;&gt;"","계획 주차",IF($I34&lt;&gt;"","전년+1년 예측",IF($J34&lt;&gt;"","전산 입고계획(참고)","미정")))</f>
        <v>계획 주차</v>
      </c>
      <c r="M34" s="32" t="n">
        <f aca="false">IF($K34="","",$K34-기준정보!$C$5)</f>
        <v>46329</v>
      </c>
      <c r="N34" s="33" t="n">
        <f aca="false">IF($M34="","",$M34-기준정보!$C$4)</f>
        <v>88</v>
      </c>
      <c r="O34" s="31" t="s">
        <v>108</v>
      </c>
      <c r="P34" s="20"/>
      <c r="Q34" s="30" t="str">
        <f aca="false">IF($F34="","",IF(AND(ISNUMBER(SEARCH("CMT",$F34)),OR(ISNUMBER(SEARCH("사입",$F34)),ISNUMBER(SEARCH("Buying",$F34)))),"본사/생산처 혼재",IF(ISNUMBER(SEARCH("CMT",$F34)),"본사(소재팀)","생산처")))</f>
        <v>생산처</v>
      </c>
      <c r="R34" s="29" t="s">
        <v>123</v>
      </c>
      <c r="S34" s="29" t="s">
        <v>120</v>
      </c>
      <c r="T34" s="30" t="str">
        <f aca="false">IF($K34="","출고일 미정",IF($O34="X","작지(일매) 미등록",IF($O34="부분","작지(일매) 일부 미등록",IF(AND($P34&lt;&gt;"",$P34&gt;$M34),"소재입고 마감("&amp;TEXT($M34,"MM/DD")&amp;") 초과",IF($O34="","일매 등록여부 확인 필요",IF($P34="","소재 입고일정 확인 필요","정상"))))))</f>
        <v>소재 입고일정 확인 필요</v>
      </c>
      <c r="U34" s="28" t="str">
        <f aca="false">IF($K34="","",IF(OR(LEFT($T34,2)="작지",LEFT($T34,4)="소재입고"),IF(LEFT($E34,1)="S","★ 납기위험(S코드)","◆ 지연주의"),IF($T34="정상","✓ 정상","? 확인필요")))</f>
        <v>? 확인필요</v>
      </c>
      <c r="V34" s="31"/>
      <c r="W34" s="19"/>
    </row>
    <row r="35" customFormat="false" ht="15" hidden="false" customHeight="true" outlineLevel="0" collapsed="false">
      <c r="A35" s="28" t="n">
        <v>31</v>
      </c>
      <c r="B35" s="29" t="s">
        <v>130</v>
      </c>
      <c r="C35" s="30" t="s">
        <v>187</v>
      </c>
      <c r="D35" s="29" t="s">
        <v>188</v>
      </c>
      <c r="E35" s="28" t="str">
        <f aca="false">IF($C35="","",IF(MID($C35,5,1)="S","S(봄)",IF(MID($C35,5,1)="M","M(여름)",IF(MID($C35,5,1)="X","X(사계절)",MID($C35,5,1)))))</f>
        <v>S(봄)</v>
      </c>
      <c r="F35" s="29" t="s">
        <v>106</v>
      </c>
      <c r="G35" s="31" t="s">
        <v>51</v>
      </c>
      <c r="H35" s="28" t="str">
        <f aca="false">IF($C35="","",REPLACE($C35,6,2,"26"))</f>
        <v>TVPNS26902</v>
      </c>
      <c r="I35" s="32" t="str">
        <f aca="false">IFERROR(INDEX(전년출고참조!$B$4:$B$638,MATCH($H35,전년출고참조!$A$4:$A$638,0)),"")</f>
        <v/>
      </c>
      <c r="J35" s="32" t="n">
        <v>46367</v>
      </c>
      <c r="K35" s="32" t="n">
        <f aca="false">IF($G35&lt;&gt;"",IFERROR(DATE(IF(VALUE(LEFT($G35,FIND("월",$G35)-1))&gt;=9,기준정보!$C$6-1,기준정보!$C$6),VALUE(LEFT($G35,FIND("월",$G35)-1)),1+7*(VALUE(SUBSTITUTE(MID($G35,FIND("월",$G35)+1,5),"주",""))-1)),""),IF($I35&lt;&gt;"",IF(ISNUMBER($I35),$I35+364,IFERROR(DATE(IF(VALUE(LEFT($I35,FIND("월",$I35)-1))&gt;=9,기준정보!$C$6-1,기준정보!$C$6),VALUE(LEFT($I35,FIND("월",$I35)-1)),1+7*(VALUE(SUBSTITUTE(MID($I35,FIND("월",$I35)+1,5),"주",""))-1)),"")),IF($J35&lt;&gt;"",$J35,"")))</f>
        <v>46419</v>
      </c>
      <c r="L35" s="28" t="str">
        <f aca="false">IF($G35&lt;&gt;"","계획 주차",IF($I35&lt;&gt;"","전년+1년 예측",IF($J35&lt;&gt;"","전산 입고계획(참고)","미정")))</f>
        <v>계획 주차</v>
      </c>
      <c r="M35" s="32" t="n">
        <f aca="false">IF($K35="","",$K35-기준정보!$C$5)</f>
        <v>46329</v>
      </c>
      <c r="N35" s="33" t="n">
        <f aca="false">IF($M35="","",$M35-기준정보!$C$4)</f>
        <v>88</v>
      </c>
      <c r="O35" s="31" t="s">
        <v>108</v>
      </c>
      <c r="P35" s="20"/>
      <c r="Q35" s="30" t="str">
        <f aca="false">IF($F35="","",IF(AND(ISNUMBER(SEARCH("CMT",$F35)),OR(ISNUMBER(SEARCH("사입",$F35)),ISNUMBER(SEARCH("Buying",$F35)))),"본사/생산처 혼재",IF(ISNUMBER(SEARCH("CMT",$F35)),"본사(소재팀)","생산처")))</f>
        <v>생산처</v>
      </c>
      <c r="R35" s="29" t="s">
        <v>189</v>
      </c>
      <c r="S35" s="29" t="s">
        <v>110</v>
      </c>
      <c r="T35" s="30" t="str">
        <f aca="false">IF($K35="","출고일 미정",IF($O35="X","작지(일매) 미등록",IF($O35="부분","작지(일매) 일부 미등록",IF(AND($P35&lt;&gt;"",$P35&gt;$M35),"소재입고 마감("&amp;TEXT($M35,"MM/DD")&amp;") 초과",IF($O35="","일매 등록여부 확인 필요",IF($P35="","소재 입고일정 확인 필요","정상"))))))</f>
        <v>소재 입고일정 확인 필요</v>
      </c>
      <c r="U35" s="28" t="str">
        <f aca="false">IF($K35="","",IF(OR(LEFT($T35,2)="작지",LEFT($T35,4)="소재입고"),IF(LEFT($E35,1)="S","★ 납기위험(S코드)","◆ 지연주의"),IF($T35="정상","✓ 정상","? 확인필요")))</f>
        <v>? 확인필요</v>
      </c>
      <c r="V35" s="31"/>
      <c r="W35" s="19"/>
    </row>
    <row r="36" customFormat="false" ht="15" hidden="false" customHeight="true" outlineLevel="0" collapsed="false">
      <c r="A36" s="28" t="n">
        <v>32</v>
      </c>
      <c r="B36" s="29" t="s">
        <v>130</v>
      </c>
      <c r="C36" s="30" t="s">
        <v>190</v>
      </c>
      <c r="D36" s="29" t="s">
        <v>191</v>
      </c>
      <c r="E36" s="28" t="str">
        <f aca="false">IF($C36="","",IF(MID($C36,5,1)="S","S(봄)",IF(MID($C36,5,1)="M","M(여름)",IF(MID($C36,5,1)="X","X(사계절)",MID($C36,5,1)))))</f>
        <v>S(봄)</v>
      </c>
      <c r="F36" s="29" t="s">
        <v>106</v>
      </c>
      <c r="G36" s="31" t="s">
        <v>51</v>
      </c>
      <c r="H36" s="28" t="str">
        <f aca="false">IF($C36="","",REPLACE($C36,6,2,"26"))</f>
        <v>TVPOS26502</v>
      </c>
      <c r="I36" s="32" t="str">
        <f aca="false">IFERROR(INDEX(전년출고참조!$B$4:$B$638,MATCH($H36,전년출고참조!$A$4:$A$638,0)),"")</f>
        <v/>
      </c>
      <c r="J36" s="32" t="n">
        <v>46367</v>
      </c>
      <c r="K36" s="32" t="n">
        <f aca="false">IF($G36&lt;&gt;"",IFERROR(DATE(IF(VALUE(LEFT($G36,FIND("월",$G36)-1))&gt;=9,기준정보!$C$6-1,기준정보!$C$6),VALUE(LEFT($G36,FIND("월",$G36)-1)),1+7*(VALUE(SUBSTITUTE(MID($G36,FIND("월",$G36)+1,5),"주",""))-1)),""),IF($I36&lt;&gt;"",IF(ISNUMBER($I36),$I36+364,IFERROR(DATE(IF(VALUE(LEFT($I36,FIND("월",$I36)-1))&gt;=9,기준정보!$C$6-1,기준정보!$C$6),VALUE(LEFT($I36,FIND("월",$I36)-1)),1+7*(VALUE(SUBSTITUTE(MID($I36,FIND("월",$I36)+1,5),"주",""))-1)),"")),IF($J36&lt;&gt;"",$J36,"")))</f>
        <v>46419</v>
      </c>
      <c r="L36" s="28" t="str">
        <f aca="false">IF($G36&lt;&gt;"","계획 주차",IF($I36&lt;&gt;"","전년+1년 예측",IF($J36&lt;&gt;"","전산 입고계획(참고)","미정")))</f>
        <v>계획 주차</v>
      </c>
      <c r="M36" s="32" t="n">
        <f aca="false">IF($K36="","",$K36-기준정보!$C$5)</f>
        <v>46329</v>
      </c>
      <c r="N36" s="33" t="n">
        <f aca="false">IF($M36="","",$M36-기준정보!$C$4)</f>
        <v>88</v>
      </c>
      <c r="O36" s="31" t="s">
        <v>108</v>
      </c>
      <c r="P36" s="20"/>
      <c r="Q36" s="30" t="str">
        <f aca="false">IF($F36="","",IF(AND(ISNUMBER(SEARCH("CMT",$F36)),OR(ISNUMBER(SEARCH("사입",$F36)),ISNUMBER(SEARCH("Buying",$F36)))),"본사/생산처 혼재",IF(ISNUMBER(SEARCH("CMT",$F36)),"본사(소재팀)","생산처")))</f>
        <v>생산처</v>
      </c>
      <c r="R36" s="29" t="s">
        <v>142</v>
      </c>
      <c r="S36" s="29" t="s">
        <v>110</v>
      </c>
      <c r="T36" s="30" t="str">
        <f aca="false">IF($K36="","출고일 미정",IF($O36="X","작지(일매) 미등록",IF($O36="부분","작지(일매) 일부 미등록",IF(AND($P36&lt;&gt;"",$P36&gt;$M36),"소재입고 마감("&amp;TEXT($M36,"MM/DD")&amp;") 초과",IF($O36="","일매 등록여부 확인 필요",IF($P36="","소재 입고일정 확인 필요","정상"))))))</f>
        <v>소재 입고일정 확인 필요</v>
      </c>
      <c r="U36" s="28" t="str">
        <f aca="false">IF($K36="","",IF(OR(LEFT($T36,2)="작지",LEFT($T36,4)="소재입고"),IF(LEFT($E36,1)="S","★ 납기위험(S코드)","◆ 지연주의"),IF($T36="정상","✓ 정상","? 확인필요")))</f>
        <v>? 확인필요</v>
      </c>
      <c r="V36" s="31"/>
      <c r="W36" s="19"/>
    </row>
    <row r="37" customFormat="false" ht="15" hidden="false" customHeight="true" outlineLevel="0" collapsed="false">
      <c r="A37" s="28" t="n">
        <v>33</v>
      </c>
      <c r="B37" s="29" t="s">
        <v>116</v>
      </c>
      <c r="C37" s="30" t="s">
        <v>192</v>
      </c>
      <c r="D37" s="29" t="s">
        <v>193</v>
      </c>
      <c r="E37" s="28" t="str">
        <f aca="false">IF($C37="","",IF(MID($C37,5,1)="S","S(봄)",IF(MID($C37,5,1)="M","M(여름)",IF(MID($C37,5,1)="X","X(사계절)",MID($C37,5,1)))))</f>
        <v>S(봄)</v>
      </c>
      <c r="F37" s="30" t="s">
        <v>113</v>
      </c>
      <c r="G37" s="31" t="s">
        <v>194</v>
      </c>
      <c r="H37" s="28" t="str">
        <f aca="false">IF($C37="","",REPLACE($C37,6,2,"26"))</f>
        <v>JWJJS26109</v>
      </c>
      <c r="I37" s="32" t="str">
        <f aca="false">IFERROR(INDEX(전년출고참조!$B$4:$B$638,MATCH($H37,전년출고참조!$A$4:$A$638,0)),"")</f>
        <v/>
      </c>
      <c r="J37" s="32" t="n">
        <v>46367</v>
      </c>
      <c r="K37" s="32" t="n">
        <f aca="false">IF($G37&lt;&gt;"",IFERROR(DATE(IF(VALUE(LEFT($G37,FIND("월",$G37)-1))&gt;=9,기준정보!$C$6-1,기준정보!$C$6),VALUE(LEFT($G37,FIND("월",$G37)-1)),1+7*(VALUE(SUBSTITUTE(MID($G37,FIND("월",$G37)+1,5),"주",""))-1)),""),IF($I37&lt;&gt;"",IF(ISNUMBER($I37),$I37+364,IFERROR(DATE(IF(VALUE(LEFT($I37,FIND("월",$I37)-1))&gt;=9,기준정보!$C$6-1,기준정보!$C$6),VALUE(LEFT($I37,FIND("월",$I37)-1)),1+7*(VALUE(SUBSTITUTE(MID($I37,FIND("월",$I37)+1,5),"주",""))-1)),"")),IF($J37&lt;&gt;"",$J37,"")))</f>
        <v>46478</v>
      </c>
      <c r="L37" s="28" t="str">
        <f aca="false">IF($G37&lt;&gt;"","계획 주차",IF($I37&lt;&gt;"","전년+1년 예측",IF($J37&lt;&gt;"","전산 입고계획(참고)","미정")))</f>
        <v>계획 주차</v>
      </c>
      <c r="M37" s="32" t="n">
        <f aca="false">IF($K37="","",$K37-기준정보!$C$5)</f>
        <v>46388</v>
      </c>
      <c r="N37" s="33" t="n">
        <f aca="false">IF($M37="","",$M37-기준정보!$C$4)</f>
        <v>147</v>
      </c>
      <c r="O37" s="31" t="s">
        <v>114</v>
      </c>
      <c r="P37" s="20"/>
      <c r="Q37" s="30" t="str">
        <f aca="false">IF($F37="","",IF(AND(ISNUMBER(SEARCH("CMT",$F37)),OR(ISNUMBER(SEARCH("사입",$F37)),ISNUMBER(SEARCH("Buying",$F37)))),"본사/생산처 혼재",IF(ISNUMBER(SEARCH("CMT",$F37)),"본사(소재팀)","생산처")))</f>
        <v>생산처</v>
      </c>
      <c r="R37" s="29" t="s">
        <v>133</v>
      </c>
      <c r="S37" s="29" t="s">
        <v>195</v>
      </c>
      <c r="T37" s="30" t="str">
        <f aca="false">IF($K37="","출고일 미정",IF($O37="X","작지(일매) 미등록",IF($O37="부분","작지(일매) 일부 미등록",IF(AND($P37&lt;&gt;"",$P37&gt;$M37),"소재입고 마감("&amp;TEXT($M37,"MM/DD")&amp;") 초과",IF($O37="","일매 등록여부 확인 필요",IF($P37="","소재 입고일정 확인 필요","정상"))))))</f>
        <v>작지(일매) 미등록</v>
      </c>
      <c r="U37" s="28" t="str">
        <f aca="false">IF($K37="","",IF(OR(LEFT($T37,2)="작지",LEFT($T37,4)="소재입고"),IF(LEFT($E37,1)="S","★ 납기위험(S코드)","◆ 지연주의"),IF($T37="정상","✓ 정상","? 확인필요")))</f>
        <v>★ 납기위험(S코드)</v>
      </c>
      <c r="V37" s="31"/>
      <c r="W37" s="19"/>
    </row>
    <row r="38" customFormat="false" ht="15" hidden="false" customHeight="true" outlineLevel="0" collapsed="false">
      <c r="A38" s="28" t="n">
        <v>34</v>
      </c>
      <c r="B38" s="29" t="s">
        <v>116</v>
      </c>
      <c r="C38" s="30" t="s">
        <v>196</v>
      </c>
      <c r="D38" s="29" t="s">
        <v>197</v>
      </c>
      <c r="E38" s="28" t="str">
        <f aca="false">IF($C38="","",IF(MID($C38,5,1)="S","S(봄)",IF(MID($C38,5,1)="M","M(여름)",IF(MID($C38,5,1)="X","X(사계절)",MID($C38,5,1)))))</f>
        <v>S(봄)</v>
      </c>
      <c r="F38" s="30" t="s">
        <v>113</v>
      </c>
      <c r="G38" s="31" t="s">
        <v>194</v>
      </c>
      <c r="H38" s="28" t="str">
        <f aca="false">IF($C38="","",REPLACE($C38,6,2,"26"))</f>
        <v>JWTBS26101</v>
      </c>
      <c r="I38" s="32" t="str">
        <f aca="false">IFERROR(INDEX(전년출고참조!$B$4:$B$638,MATCH($H38,전년출고참조!$A$4:$A$638,0)),"")</f>
        <v/>
      </c>
      <c r="J38" s="32" t="n">
        <v>46367</v>
      </c>
      <c r="K38" s="32" t="n">
        <f aca="false">IF($G38&lt;&gt;"",IFERROR(DATE(IF(VALUE(LEFT($G38,FIND("월",$G38)-1))&gt;=9,기준정보!$C$6-1,기준정보!$C$6),VALUE(LEFT($G38,FIND("월",$G38)-1)),1+7*(VALUE(SUBSTITUTE(MID($G38,FIND("월",$G38)+1,5),"주",""))-1)),""),IF($I38&lt;&gt;"",IF(ISNUMBER($I38),$I38+364,IFERROR(DATE(IF(VALUE(LEFT($I38,FIND("월",$I38)-1))&gt;=9,기준정보!$C$6-1,기준정보!$C$6),VALUE(LEFT($I38,FIND("월",$I38)-1)),1+7*(VALUE(SUBSTITUTE(MID($I38,FIND("월",$I38)+1,5),"주",""))-1)),"")),IF($J38&lt;&gt;"",$J38,"")))</f>
        <v>46478</v>
      </c>
      <c r="L38" s="28" t="str">
        <f aca="false">IF($G38&lt;&gt;"","계획 주차",IF($I38&lt;&gt;"","전년+1년 예측",IF($J38&lt;&gt;"","전산 입고계획(참고)","미정")))</f>
        <v>계획 주차</v>
      </c>
      <c r="M38" s="32" t="n">
        <f aca="false">IF($K38="","",$K38-기준정보!$C$5)</f>
        <v>46388</v>
      </c>
      <c r="N38" s="33" t="n">
        <f aca="false">IF($M38="","",$M38-기준정보!$C$4)</f>
        <v>147</v>
      </c>
      <c r="O38" s="31" t="s">
        <v>114</v>
      </c>
      <c r="P38" s="20"/>
      <c r="Q38" s="30" t="str">
        <f aca="false">IF($F38="","",IF(AND(ISNUMBER(SEARCH("CMT",$F38)),OR(ISNUMBER(SEARCH("사입",$F38)),ISNUMBER(SEARCH("Buying",$F38)))),"본사/생산처 혼재",IF(ISNUMBER(SEARCH("CMT",$F38)),"본사(소재팀)","생산처")))</f>
        <v>생산처</v>
      </c>
      <c r="R38" s="29" t="s">
        <v>115</v>
      </c>
      <c r="S38" s="29" t="s">
        <v>195</v>
      </c>
      <c r="T38" s="30" t="str">
        <f aca="false">IF($K38="","출고일 미정",IF($O38="X","작지(일매) 미등록",IF($O38="부분","작지(일매) 일부 미등록",IF(AND($P38&lt;&gt;"",$P38&gt;$M38),"소재입고 마감("&amp;TEXT($M38,"MM/DD")&amp;") 초과",IF($O38="","일매 등록여부 확인 필요",IF($P38="","소재 입고일정 확인 필요","정상"))))))</f>
        <v>작지(일매) 미등록</v>
      </c>
      <c r="U38" s="28" t="str">
        <f aca="false">IF($K38="","",IF(OR(LEFT($T38,2)="작지",LEFT($T38,4)="소재입고"),IF(LEFT($E38,1)="S","★ 납기위험(S코드)","◆ 지연주의"),IF($T38="정상","✓ 정상","? 확인필요")))</f>
        <v>★ 납기위험(S코드)</v>
      </c>
      <c r="V38" s="31"/>
      <c r="W38" s="19"/>
    </row>
    <row r="39" customFormat="false" ht="15" hidden="false" customHeight="true" outlineLevel="0" collapsed="false">
      <c r="A39" s="28" t="n">
        <v>35</v>
      </c>
      <c r="B39" s="29" t="s">
        <v>116</v>
      </c>
      <c r="C39" s="30" t="s">
        <v>198</v>
      </c>
      <c r="D39" s="29" t="s">
        <v>199</v>
      </c>
      <c r="E39" s="28" t="str">
        <f aca="false">IF($C39="","",IF(MID($C39,5,1)="S","S(봄)",IF(MID($C39,5,1)="M","M(여름)",IF(MID($C39,5,1)="X","X(사계절)",MID($C39,5,1)))))</f>
        <v>S(봄)</v>
      </c>
      <c r="F39" s="30" t="s">
        <v>113</v>
      </c>
      <c r="G39" s="31" t="s">
        <v>194</v>
      </c>
      <c r="H39" s="28" t="str">
        <f aca="false">IF($C39="","",REPLACE($C39,6,2,"26"))</f>
        <v>JWTBS26103</v>
      </c>
      <c r="I39" s="32" t="str">
        <f aca="false">IFERROR(INDEX(전년출고참조!$B$4:$B$638,MATCH($H39,전년출고참조!$A$4:$A$638,0)),"")</f>
        <v/>
      </c>
      <c r="J39" s="32" t="n">
        <v>46367</v>
      </c>
      <c r="K39" s="32" t="n">
        <f aca="false">IF($G39&lt;&gt;"",IFERROR(DATE(IF(VALUE(LEFT($G39,FIND("월",$G39)-1))&gt;=9,기준정보!$C$6-1,기준정보!$C$6),VALUE(LEFT($G39,FIND("월",$G39)-1)),1+7*(VALUE(SUBSTITUTE(MID($G39,FIND("월",$G39)+1,5),"주",""))-1)),""),IF($I39&lt;&gt;"",IF(ISNUMBER($I39),$I39+364,IFERROR(DATE(IF(VALUE(LEFT($I39,FIND("월",$I39)-1))&gt;=9,기준정보!$C$6-1,기준정보!$C$6),VALUE(LEFT($I39,FIND("월",$I39)-1)),1+7*(VALUE(SUBSTITUTE(MID($I39,FIND("월",$I39)+1,5),"주",""))-1)),"")),IF($J39&lt;&gt;"",$J39,"")))</f>
        <v>46478</v>
      </c>
      <c r="L39" s="28" t="str">
        <f aca="false">IF($G39&lt;&gt;"","계획 주차",IF($I39&lt;&gt;"","전년+1년 예측",IF($J39&lt;&gt;"","전산 입고계획(참고)","미정")))</f>
        <v>계획 주차</v>
      </c>
      <c r="M39" s="32" t="n">
        <f aca="false">IF($K39="","",$K39-기준정보!$C$5)</f>
        <v>46388</v>
      </c>
      <c r="N39" s="33" t="n">
        <f aca="false">IF($M39="","",$M39-기준정보!$C$4)</f>
        <v>147</v>
      </c>
      <c r="O39" s="31" t="s">
        <v>114</v>
      </c>
      <c r="P39" s="20"/>
      <c r="Q39" s="30" t="str">
        <f aca="false">IF($F39="","",IF(AND(ISNUMBER(SEARCH("CMT",$F39)),OR(ISNUMBER(SEARCH("사입",$F39)),ISNUMBER(SEARCH("Buying",$F39)))),"본사/생산처 혼재",IF(ISNUMBER(SEARCH("CMT",$F39)),"본사(소재팀)","생산처")))</f>
        <v>생산처</v>
      </c>
      <c r="R39" s="29" t="s">
        <v>123</v>
      </c>
      <c r="S39" s="29" t="s">
        <v>120</v>
      </c>
      <c r="T39" s="30" t="str">
        <f aca="false">IF($K39="","출고일 미정",IF($O39="X","작지(일매) 미등록",IF($O39="부분","작지(일매) 일부 미등록",IF(AND($P39&lt;&gt;"",$P39&gt;$M39),"소재입고 마감("&amp;TEXT($M39,"MM/DD")&amp;") 초과",IF($O39="","일매 등록여부 확인 필요",IF($P39="","소재 입고일정 확인 필요","정상"))))))</f>
        <v>작지(일매) 미등록</v>
      </c>
      <c r="U39" s="28" t="str">
        <f aca="false">IF($K39="","",IF(OR(LEFT($T39,2)="작지",LEFT($T39,4)="소재입고"),IF(LEFT($E39,1)="S","★ 납기위험(S코드)","◆ 지연주의"),IF($T39="정상","✓ 정상","? 확인필요")))</f>
        <v>★ 납기위험(S코드)</v>
      </c>
      <c r="V39" s="31"/>
      <c r="W39" s="19"/>
    </row>
    <row r="40" customFormat="false" ht="15" hidden="false" customHeight="true" outlineLevel="0" collapsed="false">
      <c r="A40" s="28" t="n">
        <v>36</v>
      </c>
      <c r="B40" s="29" t="s">
        <v>116</v>
      </c>
      <c r="C40" s="30" t="s">
        <v>200</v>
      </c>
      <c r="D40" s="29" t="s">
        <v>197</v>
      </c>
      <c r="E40" s="28" t="str">
        <f aca="false">IF($C40="","",IF(MID($C40,5,1)="S","S(봄)",IF(MID($C40,5,1)="M","M(여름)",IF(MID($C40,5,1)="X","X(사계절)",MID($C40,5,1)))))</f>
        <v>S(봄)</v>
      </c>
      <c r="F40" s="30" t="s">
        <v>113</v>
      </c>
      <c r="G40" s="31" t="s">
        <v>194</v>
      </c>
      <c r="H40" s="28" t="str">
        <f aca="false">IF($C40="","",REPLACE($C40,6,2,"26"))</f>
        <v>JWTBS26107</v>
      </c>
      <c r="I40" s="32" t="str">
        <f aca="false">IFERROR(INDEX(전년출고참조!$B$4:$B$638,MATCH($H40,전년출고참조!$A$4:$A$638,0)),"")</f>
        <v/>
      </c>
      <c r="J40" s="32" t="n">
        <v>46367</v>
      </c>
      <c r="K40" s="32" t="n">
        <f aca="false">IF($G40&lt;&gt;"",IFERROR(DATE(IF(VALUE(LEFT($G40,FIND("월",$G40)-1))&gt;=9,기준정보!$C$6-1,기준정보!$C$6),VALUE(LEFT($G40,FIND("월",$G40)-1)),1+7*(VALUE(SUBSTITUTE(MID($G40,FIND("월",$G40)+1,5),"주",""))-1)),""),IF($I40&lt;&gt;"",IF(ISNUMBER($I40),$I40+364,IFERROR(DATE(IF(VALUE(LEFT($I40,FIND("월",$I40)-1))&gt;=9,기준정보!$C$6-1,기준정보!$C$6),VALUE(LEFT($I40,FIND("월",$I40)-1)),1+7*(VALUE(SUBSTITUTE(MID($I40,FIND("월",$I40)+1,5),"주",""))-1)),"")),IF($J40&lt;&gt;"",$J40,"")))</f>
        <v>46478</v>
      </c>
      <c r="L40" s="28" t="str">
        <f aca="false">IF($G40&lt;&gt;"","계획 주차",IF($I40&lt;&gt;"","전년+1년 예측",IF($J40&lt;&gt;"","전산 입고계획(참고)","미정")))</f>
        <v>계획 주차</v>
      </c>
      <c r="M40" s="32" t="n">
        <f aca="false">IF($K40="","",$K40-기준정보!$C$5)</f>
        <v>46388</v>
      </c>
      <c r="N40" s="33" t="n">
        <f aca="false">IF($M40="","",$M40-기준정보!$C$4)</f>
        <v>147</v>
      </c>
      <c r="O40" s="31" t="s">
        <v>114</v>
      </c>
      <c r="P40" s="20"/>
      <c r="Q40" s="30" t="str">
        <f aca="false">IF($F40="","",IF(AND(ISNUMBER(SEARCH("CMT",$F40)),OR(ISNUMBER(SEARCH("사입",$F40)),ISNUMBER(SEARCH("Buying",$F40)))),"본사/생산처 혼재",IF(ISNUMBER(SEARCH("CMT",$F40)),"본사(소재팀)","생산처")))</f>
        <v>생산처</v>
      </c>
      <c r="R40" s="30" t="s">
        <v>201</v>
      </c>
      <c r="S40" s="29" t="s">
        <v>110</v>
      </c>
      <c r="T40" s="30" t="str">
        <f aca="false">IF($K40="","출고일 미정",IF($O40="X","작지(일매) 미등록",IF($O40="부분","작지(일매) 일부 미등록",IF(AND($P40&lt;&gt;"",$P40&gt;$M40),"소재입고 마감("&amp;TEXT($M40,"MM/DD")&amp;") 초과",IF($O40="","일매 등록여부 확인 필요",IF($P40="","소재 입고일정 확인 필요","정상"))))))</f>
        <v>작지(일매) 미등록</v>
      </c>
      <c r="U40" s="28" t="str">
        <f aca="false">IF($K40="","",IF(OR(LEFT($T40,2)="작지",LEFT($T40,4)="소재입고"),IF(LEFT($E40,1)="S","★ 납기위험(S코드)","◆ 지연주의"),IF($T40="정상","✓ 정상","? 확인필요")))</f>
        <v>★ 납기위험(S코드)</v>
      </c>
      <c r="V40" s="31"/>
      <c r="W40" s="19"/>
    </row>
    <row r="41" customFormat="false" ht="15" hidden="false" customHeight="true" outlineLevel="0" collapsed="false">
      <c r="A41" s="28" t="n">
        <v>37</v>
      </c>
      <c r="B41" s="29" t="s">
        <v>116</v>
      </c>
      <c r="C41" s="30" t="s">
        <v>202</v>
      </c>
      <c r="D41" s="29" t="s">
        <v>199</v>
      </c>
      <c r="E41" s="28" t="str">
        <f aca="false">IF($C41="","",IF(MID($C41,5,1)="S","S(봄)",IF(MID($C41,5,1)="M","M(여름)",IF(MID($C41,5,1)="X","X(사계절)",MID($C41,5,1)))))</f>
        <v>S(봄)</v>
      </c>
      <c r="F41" s="30" t="s">
        <v>113</v>
      </c>
      <c r="G41" s="31" t="s">
        <v>194</v>
      </c>
      <c r="H41" s="28" t="str">
        <f aca="false">IF($C41="","",REPLACE($C41,6,2,"26"))</f>
        <v>JWTBS26109</v>
      </c>
      <c r="I41" s="32" t="str">
        <f aca="false">IFERROR(INDEX(전년출고참조!$B$4:$B$638,MATCH($H41,전년출고참조!$A$4:$A$638,0)),"")</f>
        <v/>
      </c>
      <c r="J41" s="32" t="n">
        <v>46367</v>
      </c>
      <c r="K41" s="32" t="n">
        <f aca="false">IF($G41&lt;&gt;"",IFERROR(DATE(IF(VALUE(LEFT($G41,FIND("월",$G41)-1))&gt;=9,기준정보!$C$6-1,기준정보!$C$6),VALUE(LEFT($G41,FIND("월",$G41)-1)),1+7*(VALUE(SUBSTITUTE(MID($G41,FIND("월",$G41)+1,5),"주",""))-1)),""),IF($I41&lt;&gt;"",IF(ISNUMBER($I41),$I41+364,IFERROR(DATE(IF(VALUE(LEFT($I41,FIND("월",$I41)-1))&gt;=9,기준정보!$C$6-1,기준정보!$C$6),VALUE(LEFT($I41,FIND("월",$I41)-1)),1+7*(VALUE(SUBSTITUTE(MID($I41,FIND("월",$I41)+1,5),"주",""))-1)),"")),IF($J41&lt;&gt;"",$J41,"")))</f>
        <v>46478</v>
      </c>
      <c r="L41" s="28" t="str">
        <f aca="false">IF($G41&lt;&gt;"","계획 주차",IF($I41&lt;&gt;"","전년+1년 예측",IF($J41&lt;&gt;"","전산 입고계획(참고)","미정")))</f>
        <v>계획 주차</v>
      </c>
      <c r="M41" s="32" t="n">
        <f aca="false">IF($K41="","",$K41-기준정보!$C$5)</f>
        <v>46388</v>
      </c>
      <c r="N41" s="33" t="n">
        <f aca="false">IF($M41="","",$M41-기준정보!$C$4)</f>
        <v>147</v>
      </c>
      <c r="O41" s="31" t="s">
        <v>114</v>
      </c>
      <c r="P41" s="20"/>
      <c r="Q41" s="30" t="str">
        <f aca="false">IF($F41="","",IF(AND(ISNUMBER(SEARCH("CMT",$F41)),OR(ISNUMBER(SEARCH("사입",$F41)),ISNUMBER(SEARCH("Buying",$F41)))),"본사/생산처 혼재",IF(ISNUMBER(SEARCH("CMT",$F41)),"본사(소재팀)","생산처")))</f>
        <v>생산처</v>
      </c>
      <c r="R41" s="30" t="s">
        <v>201</v>
      </c>
      <c r="S41" s="29" t="s">
        <v>110</v>
      </c>
      <c r="T41" s="30" t="str">
        <f aca="false">IF($K41="","출고일 미정",IF($O41="X","작지(일매) 미등록",IF($O41="부분","작지(일매) 일부 미등록",IF(AND($P41&lt;&gt;"",$P41&gt;$M41),"소재입고 마감("&amp;TEXT($M41,"MM/DD")&amp;") 초과",IF($O41="","일매 등록여부 확인 필요",IF($P41="","소재 입고일정 확인 필요","정상"))))))</f>
        <v>작지(일매) 미등록</v>
      </c>
      <c r="U41" s="28" t="str">
        <f aca="false">IF($K41="","",IF(OR(LEFT($T41,2)="작지",LEFT($T41,4)="소재입고"),IF(LEFT($E41,1)="S","★ 납기위험(S코드)","◆ 지연주의"),IF($T41="정상","✓ 정상","? 확인필요")))</f>
        <v>★ 납기위험(S코드)</v>
      </c>
      <c r="V41" s="31"/>
      <c r="W41" s="19"/>
    </row>
    <row r="42" customFormat="false" ht="15" hidden="false" customHeight="true" outlineLevel="0" collapsed="false">
      <c r="A42" s="28" t="n">
        <v>38</v>
      </c>
      <c r="B42" s="29" t="s">
        <v>116</v>
      </c>
      <c r="C42" s="30" t="s">
        <v>203</v>
      </c>
      <c r="D42" s="29" t="s">
        <v>204</v>
      </c>
      <c r="E42" s="28" t="str">
        <f aca="false">IF($C42="","",IF(MID($C42,5,1)="S","S(봄)",IF(MID($C42,5,1)="M","M(여름)",IF(MID($C42,5,1)="X","X(사계절)",MID($C42,5,1)))))</f>
        <v>S(봄)</v>
      </c>
      <c r="F42" s="29" t="s">
        <v>106</v>
      </c>
      <c r="G42" s="31" t="s">
        <v>194</v>
      </c>
      <c r="H42" s="28" t="str">
        <f aca="false">IF($C42="","",REPLACE($C42,6,2,"26"))</f>
        <v>JWVAS26109</v>
      </c>
      <c r="I42" s="32" t="str">
        <f aca="false">IFERROR(INDEX(전년출고참조!$B$4:$B$638,MATCH($H42,전년출고참조!$A$4:$A$638,0)),"")</f>
        <v/>
      </c>
      <c r="J42" s="32" t="n">
        <v>46367</v>
      </c>
      <c r="K42" s="32" t="n">
        <f aca="false">IF($G42&lt;&gt;"",IFERROR(DATE(IF(VALUE(LEFT($G42,FIND("월",$G42)-1))&gt;=9,기준정보!$C$6-1,기준정보!$C$6),VALUE(LEFT($G42,FIND("월",$G42)-1)),1+7*(VALUE(SUBSTITUTE(MID($G42,FIND("월",$G42)+1,5),"주",""))-1)),""),IF($I42&lt;&gt;"",IF(ISNUMBER($I42),$I42+364,IFERROR(DATE(IF(VALUE(LEFT($I42,FIND("월",$I42)-1))&gt;=9,기준정보!$C$6-1,기준정보!$C$6),VALUE(LEFT($I42,FIND("월",$I42)-1)),1+7*(VALUE(SUBSTITUTE(MID($I42,FIND("월",$I42)+1,5),"주",""))-1)),"")),IF($J42&lt;&gt;"",$J42,"")))</f>
        <v>46478</v>
      </c>
      <c r="L42" s="28" t="str">
        <f aca="false">IF($G42&lt;&gt;"","계획 주차",IF($I42&lt;&gt;"","전년+1년 예측",IF($J42&lt;&gt;"","전산 입고계획(참고)","미정")))</f>
        <v>계획 주차</v>
      </c>
      <c r="M42" s="32" t="n">
        <f aca="false">IF($K42="","",$K42-기준정보!$C$5)</f>
        <v>46388</v>
      </c>
      <c r="N42" s="33" t="n">
        <f aca="false">IF($M42="","",$M42-기준정보!$C$4)</f>
        <v>147</v>
      </c>
      <c r="O42" s="31" t="s">
        <v>108</v>
      </c>
      <c r="P42" s="20"/>
      <c r="Q42" s="30" t="str">
        <f aca="false">IF($F42="","",IF(AND(ISNUMBER(SEARCH("CMT",$F42)),OR(ISNUMBER(SEARCH("사입",$F42)),ISNUMBER(SEARCH("Buying",$F42)))),"본사/생산처 혼재",IF(ISNUMBER(SEARCH("CMT",$F42)),"본사(소재팀)","생산처")))</f>
        <v>생산처</v>
      </c>
      <c r="R42" s="29" t="s">
        <v>138</v>
      </c>
      <c r="S42" s="29" t="s">
        <v>110</v>
      </c>
      <c r="T42" s="30" t="str">
        <f aca="false">IF($K42="","출고일 미정",IF($O42="X","작지(일매) 미등록",IF($O42="부분","작지(일매) 일부 미등록",IF(AND($P42&lt;&gt;"",$P42&gt;$M42),"소재입고 마감("&amp;TEXT($M42,"MM/DD")&amp;") 초과",IF($O42="","일매 등록여부 확인 필요",IF($P42="","소재 입고일정 확인 필요","정상"))))))</f>
        <v>소재 입고일정 확인 필요</v>
      </c>
      <c r="U42" s="28" t="str">
        <f aca="false">IF($K42="","",IF(OR(LEFT($T42,2)="작지",LEFT($T42,4)="소재입고"),IF(LEFT($E42,1)="S","★ 납기위험(S코드)","◆ 지연주의"),IF($T42="정상","✓ 정상","? 확인필요")))</f>
        <v>? 확인필요</v>
      </c>
      <c r="V42" s="31"/>
      <c r="W42" s="19"/>
    </row>
    <row r="43" customFormat="false" ht="15" hidden="false" customHeight="true" outlineLevel="0" collapsed="false">
      <c r="A43" s="28" t="n">
        <v>39</v>
      </c>
      <c r="B43" s="29" t="s">
        <v>116</v>
      </c>
      <c r="C43" s="30" t="s">
        <v>205</v>
      </c>
      <c r="D43" s="29" t="s">
        <v>206</v>
      </c>
      <c r="E43" s="28" t="str">
        <f aca="false">IF($C43="","",IF(MID($C43,5,1)="S","S(봄)",IF(MID($C43,5,1)="M","M(여름)",IF(MID($C43,5,1)="X","X(사계절)",MID($C43,5,1)))))</f>
        <v>S(봄)</v>
      </c>
      <c r="F43" s="29" t="s">
        <v>106</v>
      </c>
      <c r="G43" s="31" t="s">
        <v>194</v>
      </c>
      <c r="H43" s="28" t="str">
        <f aca="false">IF($C43="","",REPLACE($C43,6,2,"26"))</f>
        <v>JWVAS26907</v>
      </c>
      <c r="I43" s="32" t="str">
        <f aca="false">IFERROR(INDEX(전년출고참조!$B$4:$B$638,MATCH($H43,전년출고참조!$A$4:$A$638,0)),"")</f>
        <v/>
      </c>
      <c r="J43" s="32" t="n">
        <v>46367</v>
      </c>
      <c r="K43" s="32" t="n">
        <f aca="false">IF($G43&lt;&gt;"",IFERROR(DATE(IF(VALUE(LEFT($G43,FIND("월",$G43)-1))&gt;=9,기준정보!$C$6-1,기준정보!$C$6),VALUE(LEFT($G43,FIND("월",$G43)-1)),1+7*(VALUE(SUBSTITUTE(MID($G43,FIND("월",$G43)+1,5),"주",""))-1)),""),IF($I43&lt;&gt;"",IF(ISNUMBER($I43),$I43+364,IFERROR(DATE(IF(VALUE(LEFT($I43,FIND("월",$I43)-1))&gt;=9,기준정보!$C$6-1,기준정보!$C$6),VALUE(LEFT($I43,FIND("월",$I43)-1)),1+7*(VALUE(SUBSTITUTE(MID($I43,FIND("월",$I43)+1,5),"주",""))-1)),"")),IF($J43&lt;&gt;"",$J43,"")))</f>
        <v>46478</v>
      </c>
      <c r="L43" s="28" t="str">
        <f aca="false">IF($G43&lt;&gt;"","계획 주차",IF($I43&lt;&gt;"","전년+1년 예측",IF($J43&lt;&gt;"","전산 입고계획(참고)","미정")))</f>
        <v>계획 주차</v>
      </c>
      <c r="M43" s="32" t="n">
        <f aca="false">IF($K43="","",$K43-기준정보!$C$5)</f>
        <v>46388</v>
      </c>
      <c r="N43" s="33" t="n">
        <f aca="false">IF($M43="","",$M43-기준정보!$C$4)</f>
        <v>147</v>
      </c>
      <c r="O43" s="31" t="s">
        <v>108</v>
      </c>
      <c r="P43" s="20"/>
      <c r="Q43" s="30" t="str">
        <f aca="false">IF($F43="","",IF(AND(ISNUMBER(SEARCH("CMT",$F43)),OR(ISNUMBER(SEARCH("사입",$F43)),ISNUMBER(SEARCH("Buying",$F43)))),"본사/생산처 혼재",IF(ISNUMBER(SEARCH("CMT",$F43)),"본사(소재팀)","생산처")))</f>
        <v>생산처</v>
      </c>
      <c r="R43" s="29" t="s">
        <v>138</v>
      </c>
      <c r="S43" s="29" t="s">
        <v>110</v>
      </c>
      <c r="T43" s="30" t="str">
        <f aca="false">IF($K43="","출고일 미정",IF($O43="X","작지(일매) 미등록",IF($O43="부분","작지(일매) 일부 미등록",IF(AND($P43&lt;&gt;"",$P43&gt;$M43),"소재입고 마감("&amp;TEXT($M43,"MM/DD")&amp;") 초과",IF($O43="","일매 등록여부 확인 필요",IF($P43="","소재 입고일정 확인 필요","정상"))))))</f>
        <v>소재 입고일정 확인 필요</v>
      </c>
      <c r="U43" s="28" t="str">
        <f aca="false">IF($K43="","",IF(OR(LEFT($T43,2)="작지",LEFT($T43,4)="소재입고"),IF(LEFT($E43,1)="S","★ 납기위험(S코드)","◆ 지연주의"),IF($T43="정상","✓ 정상","? 확인필요")))</f>
        <v>? 확인필요</v>
      </c>
      <c r="V43" s="31"/>
      <c r="W43" s="19"/>
    </row>
    <row r="44" customFormat="false" ht="15" hidden="false" customHeight="true" outlineLevel="0" collapsed="false">
      <c r="A44" s="28" t="n">
        <v>40</v>
      </c>
      <c r="B44" s="29" t="s">
        <v>116</v>
      </c>
      <c r="C44" s="30" t="s">
        <v>207</v>
      </c>
      <c r="D44" s="29" t="s">
        <v>193</v>
      </c>
      <c r="E44" s="28" t="str">
        <f aca="false">IF($C44="","",IF(MID($C44,5,1)="S","S(봄)",IF(MID($C44,5,1)="M","M(여름)",IF(MID($C44,5,1)="X","X(사계절)",MID($C44,5,1)))))</f>
        <v>S(봄)</v>
      </c>
      <c r="F44" s="30" t="s">
        <v>113</v>
      </c>
      <c r="G44" s="31" t="s">
        <v>194</v>
      </c>
      <c r="H44" s="28" t="str">
        <f aca="false">IF($C44="","",REPLACE($C44,6,2,"26"))</f>
        <v>JWJJS26107</v>
      </c>
      <c r="I44" s="32" t="str">
        <f aca="false">IFERROR(INDEX(전년출고참조!$B$4:$B$638,MATCH($H44,전년출고참조!$A$4:$A$638,0)),"")</f>
        <v/>
      </c>
      <c r="J44" s="32" t="n">
        <v>46395</v>
      </c>
      <c r="K44" s="32" t="n">
        <f aca="false">IF($G44&lt;&gt;"",IFERROR(DATE(IF(VALUE(LEFT($G44,FIND("월",$G44)-1))&gt;=9,기준정보!$C$6-1,기준정보!$C$6),VALUE(LEFT($G44,FIND("월",$G44)-1)),1+7*(VALUE(SUBSTITUTE(MID($G44,FIND("월",$G44)+1,5),"주",""))-1)),""),IF($I44&lt;&gt;"",IF(ISNUMBER($I44),$I44+364,IFERROR(DATE(IF(VALUE(LEFT($I44,FIND("월",$I44)-1))&gt;=9,기준정보!$C$6-1,기준정보!$C$6),VALUE(LEFT($I44,FIND("월",$I44)-1)),1+7*(VALUE(SUBSTITUTE(MID($I44,FIND("월",$I44)+1,5),"주",""))-1)),"")),IF($J44&lt;&gt;"",$J44,"")))</f>
        <v>46478</v>
      </c>
      <c r="L44" s="28" t="str">
        <f aca="false">IF($G44&lt;&gt;"","계획 주차",IF($I44&lt;&gt;"","전년+1년 예측",IF($J44&lt;&gt;"","전산 입고계획(참고)","미정")))</f>
        <v>계획 주차</v>
      </c>
      <c r="M44" s="32" t="n">
        <f aca="false">IF($K44="","",$K44-기준정보!$C$5)</f>
        <v>46388</v>
      </c>
      <c r="N44" s="33" t="n">
        <f aca="false">IF($M44="","",$M44-기준정보!$C$4)</f>
        <v>147</v>
      </c>
      <c r="O44" s="31" t="s">
        <v>114</v>
      </c>
      <c r="P44" s="20"/>
      <c r="Q44" s="30" t="str">
        <f aca="false">IF($F44="","",IF(AND(ISNUMBER(SEARCH("CMT",$F44)),OR(ISNUMBER(SEARCH("사입",$F44)),ISNUMBER(SEARCH("Buying",$F44)))),"본사/생산처 혼재",IF(ISNUMBER(SEARCH("CMT",$F44)),"본사(소재팀)","생산처")))</f>
        <v>생산처</v>
      </c>
      <c r="R44" s="29" t="s">
        <v>133</v>
      </c>
      <c r="S44" s="29" t="s">
        <v>110</v>
      </c>
      <c r="T44" s="30" t="str">
        <f aca="false">IF($K44="","출고일 미정",IF($O44="X","작지(일매) 미등록",IF($O44="부분","작지(일매) 일부 미등록",IF(AND($P44&lt;&gt;"",$P44&gt;$M44),"소재입고 마감("&amp;TEXT($M44,"MM/DD")&amp;") 초과",IF($O44="","일매 등록여부 확인 필요",IF($P44="","소재 입고일정 확인 필요","정상"))))))</f>
        <v>작지(일매) 미등록</v>
      </c>
      <c r="U44" s="28" t="str">
        <f aca="false">IF($K44="","",IF(OR(LEFT($T44,2)="작지",LEFT($T44,4)="소재입고"),IF(LEFT($E44,1)="S","★ 납기위험(S코드)","◆ 지연주의"),IF($T44="정상","✓ 정상","? 확인필요")))</f>
        <v>★ 납기위험(S코드)</v>
      </c>
      <c r="V44" s="31"/>
      <c r="W44" s="19"/>
    </row>
    <row r="45" customFormat="false" ht="15" hidden="false" customHeight="true" outlineLevel="0" collapsed="false">
      <c r="A45" s="28" t="n">
        <v>41</v>
      </c>
      <c r="B45" s="29" t="s">
        <v>103</v>
      </c>
      <c r="C45" s="30" t="s">
        <v>208</v>
      </c>
      <c r="D45" s="29" t="s">
        <v>209</v>
      </c>
      <c r="E45" s="28" t="str">
        <f aca="false">IF($C45="","",IF(MID($C45,5,1)="S","S(봄)",IF(MID($C45,5,1)="M","M(여름)",IF(MID($C45,5,1)="X","X(사계절)",MID($C45,5,1)))))</f>
        <v>S(봄)</v>
      </c>
      <c r="F45" s="29" t="s">
        <v>106</v>
      </c>
      <c r="G45" s="31"/>
      <c r="H45" s="28" t="str">
        <f aca="false">IF($C45="","",REPLACE($C45,6,2,"26"))</f>
        <v>JKJGS26002</v>
      </c>
      <c r="I45" s="32" t="str">
        <f aca="false">IFERROR(INDEX(전년출고참조!$B$4:$B$638,MATCH($H45,전년출고참조!$A$4:$A$638,0)),"")</f>
        <v/>
      </c>
      <c r="J45" s="32" t="n">
        <v>46367</v>
      </c>
      <c r="K45" s="32" t="n">
        <f aca="false">IF($G45&lt;&gt;"",IFERROR(DATE(IF(VALUE(LEFT($G45,FIND("월",$G45)-1))&gt;=9,기준정보!$C$6-1,기준정보!$C$6),VALUE(LEFT($G45,FIND("월",$G45)-1)),1+7*(VALUE(SUBSTITUTE(MID($G45,FIND("월",$G45)+1,5),"주",""))-1)),""),IF($I45&lt;&gt;"",IF(ISNUMBER($I45),$I45+364,IFERROR(DATE(IF(VALUE(LEFT($I45,FIND("월",$I45)-1))&gt;=9,기준정보!$C$6-1,기준정보!$C$6),VALUE(LEFT($I45,FIND("월",$I45)-1)),1+7*(VALUE(SUBSTITUTE(MID($I45,FIND("월",$I45)+1,5),"주",""))-1)),"")),IF($J45&lt;&gt;"",$J45,"")))</f>
        <v>46367</v>
      </c>
      <c r="L45" s="28" t="str">
        <f aca="false">IF($G45&lt;&gt;"","계획 주차",IF($I45&lt;&gt;"","전년+1년 예측",IF($J45&lt;&gt;"","전산 입고계획(참고)","미정")))</f>
        <v>전산 입고계획(참고)</v>
      </c>
      <c r="M45" s="32" t="n">
        <f aca="false">IF($K45="","",$K45-기준정보!$C$5)</f>
        <v>46277</v>
      </c>
      <c r="N45" s="33" t="n">
        <f aca="false">IF($M45="","",$M45-기준정보!$C$4)</f>
        <v>36</v>
      </c>
      <c r="O45" s="31" t="s">
        <v>108</v>
      </c>
      <c r="P45" s="20"/>
      <c r="Q45" s="30" t="str">
        <f aca="false">IF($F45="","",IF(AND(ISNUMBER(SEARCH("CMT",$F45)),OR(ISNUMBER(SEARCH("사입",$F45)),ISNUMBER(SEARCH("Buying",$F45)))),"본사/생산처 혼재",IF(ISNUMBER(SEARCH("CMT",$F45)),"본사(소재팀)","생산처")))</f>
        <v>생산처</v>
      </c>
      <c r="R45" s="29" t="s">
        <v>109</v>
      </c>
      <c r="S45" s="29" t="s">
        <v>110</v>
      </c>
      <c r="T45" s="30" t="str">
        <f aca="false">IF($K45="","출고일 미정",IF($O45="X","작지(일매) 미등록",IF($O45="부분","작지(일매) 일부 미등록",IF(AND($P45&lt;&gt;"",$P45&gt;$M45),"소재입고 마감("&amp;TEXT($M45,"MM/DD")&amp;") 초과",IF($O45="","일매 등록여부 확인 필요",IF($P45="","소재 입고일정 확인 필요","정상"))))))</f>
        <v>소재 입고일정 확인 필요</v>
      </c>
      <c r="U45" s="28" t="str">
        <f aca="false">IF($K45="","",IF(OR(LEFT($T45,2)="작지",LEFT($T45,4)="소재입고"),IF(LEFT($E45,1)="S","★ 납기위험(S코드)","◆ 지연주의"),IF($T45="정상","✓ 정상","? 확인필요")))</f>
        <v>? 확인필요</v>
      </c>
      <c r="V45" s="31"/>
      <c r="W45" s="19"/>
    </row>
    <row r="46" customFormat="false" ht="15" hidden="false" customHeight="true" outlineLevel="0" collapsed="false">
      <c r="A46" s="28" t="n">
        <v>42</v>
      </c>
      <c r="B46" s="29" t="s">
        <v>103</v>
      </c>
      <c r="C46" s="30" t="s">
        <v>210</v>
      </c>
      <c r="D46" s="29" t="s">
        <v>211</v>
      </c>
      <c r="E46" s="28" t="str">
        <f aca="false">IF($C46="","",IF(MID($C46,5,1)="S","S(봄)",IF(MID($C46,5,1)="M","M(여름)",IF(MID($C46,5,1)="X","X(사계절)",MID($C46,5,1)))))</f>
        <v>S(봄)</v>
      </c>
      <c r="F46" s="29" t="s">
        <v>106</v>
      </c>
      <c r="G46" s="31"/>
      <c r="H46" s="28" t="str">
        <f aca="false">IF($C46="","",REPLACE($C46,6,2,"26"))</f>
        <v>JKJJS26012</v>
      </c>
      <c r="I46" s="32" t="str">
        <f aca="false">IFERROR(INDEX(전년출고참조!$B$4:$B$638,MATCH($H46,전년출고참조!$A$4:$A$638,0)),"")</f>
        <v/>
      </c>
      <c r="J46" s="32" t="n">
        <v>46367</v>
      </c>
      <c r="K46" s="32" t="n">
        <f aca="false">IF($G46&lt;&gt;"",IFERROR(DATE(IF(VALUE(LEFT($G46,FIND("월",$G46)-1))&gt;=9,기준정보!$C$6-1,기준정보!$C$6),VALUE(LEFT($G46,FIND("월",$G46)-1)),1+7*(VALUE(SUBSTITUTE(MID($G46,FIND("월",$G46)+1,5),"주",""))-1)),""),IF($I46&lt;&gt;"",IF(ISNUMBER($I46),$I46+364,IFERROR(DATE(IF(VALUE(LEFT($I46,FIND("월",$I46)-1))&gt;=9,기준정보!$C$6-1,기준정보!$C$6),VALUE(LEFT($I46,FIND("월",$I46)-1)),1+7*(VALUE(SUBSTITUTE(MID($I46,FIND("월",$I46)+1,5),"주",""))-1)),"")),IF($J46&lt;&gt;"",$J46,"")))</f>
        <v>46367</v>
      </c>
      <c r="L46" s="28" t="str">
        <f aca="false">IF($G46&lt;&gt;"","계획 주차",IF($I46&lt;&gt;"","전년+1년 예측",IF($J46&lt;&gt;"","전산 입고계획(참고)","미정")))</f>
        <v>전산 입고계획(참고)</v>
      </c>
      <c r="M46" s="32" t="n">
        <f aca="false">IF($K46="","",$K46-기준정보!$C$5)</f>
        <v>46277</v>
      </c>
      <c r="N46" s="33" t="n">
        <f aca="false">IF($M46="","",$M46-기준정보!$C$4)</f>
        <v>36</v>
      </c>
      <c r="O46" s="31" t="s">
        <v>108</v>
      </c>
      <c r="P46" s="20"/>
      <c r="Q46" s="30" t="str">
        <f aca="false">IF($F46="","",IF(AND(ISNUMBER(SEARCH("CMT",$F46)),OR(ISNUMBER(SEARCH("사입",$F46)),ISNUMBER(SEARCH("Buying",$F46)))),"본사/생산처 혼재",IF(ISNUMBER(SEARCH("CMT",$F46)),"본사(소재팀)","생산처")))</f>
        <v>생산처</v>
      </c>
      <c r="R46" s="29" t="s">
        <v>119</v>
      </c>
      <c r="S46" s="29" t="s">
        <v>120</v>
      </c>
      <c r="T46" s="30" t="str">
        <f aca="false">IF($K46="","출고일 미정",IF($O46="X","작지(일매) 미등록",IF($O46="부분","작지(일매) 일부 미등록",IF(AND($P46&lt;&gt;"",$P46&gt;$M46),"소재입고 마감("&amp;TEXT($M46,"MM/DD")&amp;") 초과",IF($O46="","일매 등록여부 확인 필요",IF($P46="","소재 입고일정 확인 필요","정상"))))))</f>
        <v>소재 입고일정 확인 필요</v>
      </c>
      <c r="U46" s="28" t="str">
        <f aca="false">IF($K46="","",IF(OR(LEFT($T46,2)="작지",LEFT($T46,4)="소재입고"),IF(LEFT($E46,1)="S","★ 납기위험(S코드)","◆ 지연주의"),IF($T46="정상","✓ 정상","? 확인필요")))</f>
        <v>? 확인필요</v>
      </c>
      <c r="V46" s="31"/>
      <c r="W46" s="19"/>
    </row>
    <row r="47" customFormat="false" ht="15" hidden="false" customHeight="true" outlineLevel="0" collapsed="false">
      <c r="A47" s="28" t="n">
        <v>43</v>
      </c>
      <c r="B47" s="29" t="s">
        <v>103</v>
      </c>
      <c r="C47" s="30" t="s">
        <v>212</v>
      </c>
      <c r="D47" s="29" t="s">
        <v>213</v>
      </c>
      <c r="E47" s="28" t="str">
        <f aca="false">IF($C47="","",IF(MID($C47,5,1)="S","S(봄)",IF(MID($C47,5,1)="M","M(여름)",IF(MID($C47,5,1)="X","X(사계절)",MID($C47,5,1)))))</f>
        <v>S(봄)</v>
      </c>
      <c r="F47" s="29" t="s">
        <v>106</v>
      </c>
      <c r="G47" s="31"/>
      <c r="H47" s="28" t="str">
        <f aca="false">IF($C47="","",REPLACE($C47,6,2,"26"))</f>
        <v>JKJJS26016</v>
      </c>
      <c r="I47" s="32" t="str">
        <f aca="false">IFERROR(INDEX(전년출고참조!$B$4:$B$638,MATCH($H47,전년출고참조!$A$4:$A$638,0)),"")</f>
        <v/>
      </c>
      <c r="J47" s="32" t="n">
        <v>46367</v>
      </c>
      <c r="K47" s="32" t="n">
        <f aca="false">IF($G47&lt;&gt;"",IFERROR(DATE(IF(VALUE(LEFT($G47,FIND("월",$G47)-1))&gt;=9,기준정보!$C$6-1,기준정보!$C$6),VALUE(LEFT($G47,FIND("월",$G47)-1)),1+7*(VALUE(SUBSTITUTE(MID($G47,FIND("월",$G47)+1,5),"주",""))-1)),""),IF($I47&lt;&gt;"",IF(ISNUMBER($I47),$I47+364,IFERROR(DATE(IF(VALUE(LEFT($I47,FIND("월",$I47)-1))&gt;=9,기준정보!$C$6-1,기준정보!$C$6),VALUE(LEFT($I47,FIND("월",$I47)-1)),1+7*(VALUE(SUBSTITUTE(MID($I47,FIND("월",$I47)+1,5),"주",""))-1)),"")),IF($J47&lt;&gt;"",$J47,"")))</f>
        <v>46367</v>
      </c>
      <c r="L47" s="28" t="str">
        <f aca="false">IF($G47&lt;&gt;"","계획 주차",IF($I47&lt;&gt;"","전년+1년 예측",IF($J47&lt;&gt;"","전산 입고계획(참고)","미정")))</f>
        <v>전산 입고계획(참고)</v>
      </c>
      <c r="M47" s="32" t="n">
        <f aca="false">IF($K47="","",$K47-기준정보!$C$5)</f>
        <v>46277</v>
      </c>
      <c r="N47" s="33" t="n">
        <f aca="false">IF($M47="","",$M47-기준정보!$C$4)</f>
        <v>36</v>
      </c>
      <c r="O47" s="31" t="s">
        <v>108</v>
      </c>
      <c r="P47" s="20"/>
      <c r="Q47" s="30" t="str">
        <f aca="false">IF($F47="","",IF(AND(ISNUMBER(SEARCH("CMT",$F47)),OR(ISNUMBER(SEARCH("사입",$F47)),ISNUMBER(SEARCH("Buying",$F47)))),"본사/생산처 혼재",IF(ISNUMBER(SEARCH("CMT",$F47)),"본사(소재팀)","생산처")))</f>
        <v>생산처</v>
      </c>
      <c r="R47" s="29" t="s">
        <v>119</v>
      </c>
      <c r="S47" s="29" t="s">
        <v>120</v>
      </c>
      <c r="T47" s="30" t="str">
        <f aca="false">IF($K47="","출고일 미정",IF($O47="X","작지(일매) 미등록",IF($O47="부분","작지(일매) 일부 미등록",IF(AND($P47&lt;&gt;"",$P47&gt;$M47),"소재입고 마감("&amp;TEXT($M47,"MM/DD")&amp;") 초과",IF($O47="","일매 등록여부 확인 필요",IF($P47="","소재 입고일정 확인 필요","정상"))))))</f>
        <v>소재 입고일정 확인 필요</v>
      </c>
      <c r="U47" s="28" t="str">
        <f aca="false">IF($K47="","",IF(OR(LEFT($T47,2)="작지",LEFT($T47,4)="소재입고"),IF(LEFT($E47,1)="S","★ 납기위험(S코드)","◆ 지연주의"),IF($T47="정상","✓ 정상","? 확인필요")))</f>
        <v>? 확인필요</v>
      </c>
      <c r="V47" s="31"/>
      <c r="W47" s="19"/>
    </row>
    <row r="48" customFormat="false" ht="15" hidden="false" customHeight="true" outlineLevel="0" collapsed="false">
      <c r="A48" s="28" t="n">
        <v>44</v>
      </c>
      <c r="B48" s="29" t="s">
        <v>103</v>
      </c>
      <c r="C48" s="30" t="s">
        <v>214</v>
      </c>
      <c r="D48" s="29" t="s">
        <v>215</v>
      </c>
      <c r="E48" s="28" t="str">
        <f aca="false">IF($C48="","",IF(MID($C48,5,1)="S","S(봄)",IF(MID($C48,5,1)="M","M(여름)",IF(MID($C48,5,1)="X","X(사계절)",MID($C48,5,1)))))</f>
        <v>S(봄)</v>
      </c>
      <c r="F48" s="29" t="s">
        <v>106</v>
      </c>
      <c r="G48" s="31"/>
      <c r="H48" s="28" t="str">
        <f aca="false">IF($C48="","",REPLACE($C48,6,2,"26"))</f>
        <v>JKJJS26022</v>
      </c>
      <c r="I48" s="32" t="str">
        <f aca="false">IFERROR(INDEX(전년출고참조!$B$4:$B$638,MATCH($H48,전년출고참조!$A$4:$A$638,0)),"")</f>
        <v/>
      </c>
      <c r="J48" s="32" t="n">
        <v>46367</v>
      </c>
      <c r="K48" s="32" t="n">
        <f aca="false">IF($G48&lt;&gt;"",IFERROR(DATE(IF(VALUE(LEFT($G48,FIND("월",$G48)-1))&gt;=9,기준정보!$C$6-1,기준정보!$C$6),VALUE(LEFT($G48,FIND("월",$G48)-1)),1+7*(VALUE(SUBSTITUTE(MID($G48,FIND("월",$G48)+1,5),"주",""))-1)),""),IF($I48&lt;&gt;"",IF(ISNUMBER($I48),$I48+364,IFERROR(DATE(IF(VALUE(LEFT($I48,FIND("월",$I48)-1))&gt;=9,기준정보!$C$6-1,기준정보!$C$6),VALUE(LEFT($I48,FIND("월",$I48)-1)),1+7*(VALUE(SUBSTITUTE(MID($I48,FIND("월",$I48)+1,5),"주",""))-1)),"")),IF($J48&lt;&gt;"",$J48,"")))</f>
        <v>46367</v>
      </c>
      <c r="L48" s="28" t="str">
        <f aca="false">IF($G48&lt;&gt;"","계획 주차",IF($I48&lt;&gt;"","전년+1년 예측",IF($J48&lt;&gt;"","전산 입고계획(참고)","미정")))</f>
        <v>전산 입고계획(참고)</v>
      </c>
      <c r="M48" s="32" t="n">
        <f aca="false">IF($K48="","",$K48-기준정보!$C$5)</f>
        <v>46277</v>
      </c>
      <c r="N48" s="33" t="n">
        <f aca="false">IF($M48="","",$M48-기준정보!$C$4)</f>
        <v>36</v>
      </c>
      <c r="O48" s="31" t="s">
        <v>108</v>
      </c>
      <c r="P48" s="20"/>
      <c r="Q48" s="30" t="str">
        <f aca="false">IF($F48="","",IF(AND(ISNUMBER(SEARCH("CMT",$F48)),OR(ISNUMBER(SEARCH("사입",$F48)),ISNUMBER(SEARCH("Buying",$F48)))),"본사/생산처 혼재",IF(ISNUMBER(SEARCH("CMT",$F48)),"본사(소재팀)","생산처")))</f>
        <v>생산처</v>
      </c>
      <c r="R48" s="29" t="s">
        <v>119</v>
      </c>
      <c r="S48" s="29" t="s">
        <v>120</v>
      </c>
      <c r="T48" s="30" t="str">
        <f aca="false">IF($K48="","출고일 미정",IF($O48="X","작지(일매) 미등록",IF($O48="부분","작지(일매) 일부 미등록",IF(AND($P48&lt;&gt;"",$P48&gt;$M48),"소재입고 마감("&amp;TEXT($M48,"MM/DD")&amp;") 초과",IF($O48="","일매 등록여부 확인 필요",IF($P48="","소재 입고일정 확인 필요","정상"))))))</f>
        <v>소재 입고일정 확인 필요</v>
      </c>
      <c r="U48" s="28" t="str">
        <f aca="false">IF($K48="","",IF(OR(LEFT($T48,2)="작지",LEFT($T48,4)="소재입고"),IF(LEFT($E48,1)="S","★ 납기위험(S코드)","◆ 지연주의"),IF($T48="정상","✓ 정상","? 확인필요")))</f>
        <v>? 확인필요</v>
      </c>
      <c r="V48" s="31"/>
      <c r="W48" s="19"/>
    </row>
    <row r="49" customFormat="false" ht="15" hidden="false" customHeight="true" outlineLevel="0" collapsed="false">
      <c r="A49" s="28" t="n">
        <v>45</v>
      </c>
      <c r="B49" s="29" t="s">
        <v>103</v>
      </c>
      <c r="C49" s="30" t="s">
        <v>216</v>
      </c>
      <c r="D49" s="29" t="s">
        <v>217</v>
      </c>
      <c r="E49" s="28" t="str">
        <f aca="false">IF($C49="","",IF(MID($C49,5,1)="S","S(봄)",IF(MID($C49,5,1)="M","M(여름)",IF(MID($C49,5,1)="X","X(사계절)",MID($C49,5,1)))))</f>
        <v>S(봄)</v>
      </c>
      <c r="F49" s="29" t="s">
        <v>106</v>
      </c>
      <c r="G49" s="31"/>
      <c r="H49" s="28" t="str">
        <f aca="false">IF($C49="","",REPLACE($C49,6,2,"26"))</f>
        <v>JKJJS26032</v>
      </c>
      <c r="I49" s="32" t="str">
        <f aca="false">IFERROR(INDEX(전년출고참조!$B$4:$B$638,MATCH($H49,전년출고참조!$A$4:$A$638,0)),"")</f>
        <v/>
      </c>
      <c r="J49" s="32" t="n">
        <v>46367</v>
      </c>
      <c r="K49" s="32" t="n">
        <f aca="false">IF($G49&lt;&gt;"",IFERROR(DATE(IF(VALUE(LEFT($G49,FIND("월",$G49)-1))&gt;=9,기준정보!$C$6-1,기준정보!$C$6),VALUE(LEFT($G49,FIND("월",$G49)-1)),1+7*(VALUE(SUBSTITUTE(MID($G49,FIND("월",$G49)+1,5),"주",""))-1)),""),IF($I49&lt;&gt;"",IF(ISNUMBER($I49),$I49+364,IFERROR(DATE(IF(VALUE(LEFT($I49,FIND("월",$I49)-1))&gt;=9,기준정보!$C$6-1,기준정보!$C$6),VALUE(LEFT($I49,FIND("월",$I49)-1)),1+7*(VALUE(SUBSTITUTE(MID($I49,FIND("월",$I49)+1,5),"주",""))-1)),"")),IF($J49&lt;&gt;"",$J49,"")))</f>
        <v>46367</v>
      </c>
      <c r="L49" s="28" t="str">
        <f aca="false">IF($G49&lt;&gt;"","계획 주차",IF($I49&lt;&gt;"","전년+1년 예측",IF($J49&lt;&gt;"","전산 입고계획(참고)","미정")))</f>
        <v>전산 입고계획(참고)</v>
      </c>
      <c r="M49" s="32" t="n">
        <f aca="false">IF($K49="","",$K49-기준정보!$C$5)</f>
        <v>46277</v>
      </c>
      <c r="N49" s="33" t="n">
        <f aca="false">IF($M49="","",$M49-기준정보!$C$4)</f>
        <v>36</v>
      </c>
      <c r="O49" s="31" t="s">
        <v>108</v>
      </c>
      <c r="P49" s="20"/>
      <c r="Q49" s="30" t="str">
        <f aca="false">IF($F49="","",IF(AND(ISNUMBER(SEARCH("CMT",$F49)),OR(ISNUMBER(SEARCH("사입",$F49)),ISNUMBER(SEARCH("Buying",$F49)))),"본사/생산처 혼재",IF(ISNUMBER(SEARCH("CMT",$F49)),"본사(소재팀)","생산처")))</f>
        <v>생산처</v>
      </c>
      <c r="R49" s="29" t="s">
        <v>115</v>
      </c>
      <c r="S49" s="29" t="s">
        <v>110</v>
      </c>
      <c r="T49" s="30" t="str">
        <f aca="false">IF($K49="","출고일 미정",IF($O49="X","작지(일매) 미등록",IF($O49="부분","작지(일매) 일부 미등록",IF(AND($P49&lt;&gt;"",$P49&gt;$M49),"소재입고 마감("&amp;TEXT($M49,"MM/DD")&amp;") 초과",IF($O49="","일매 등록여부 확인 필요",IF($P49="","소재 입고일정 확인 필요","정상"))))))</f>
        <v>소재 입고일정 확인 필요</v>
      </c>
      <c r="U49" s="28" t="str">
        <f aca="false">IF($K49="","",IF(OR(LEFT($T49,2)="작지",LEFT($T49,4)="소재입고"),IF(LEFT($E49,1)="S","★ 납기위험(S코드)","◆ 지연주의"),IF($T49="정상","✓ 정상","? 확인필요")))</f>
        <v>? 확인필요</v>
      </c>
      <c r="V49" s="31"/>
      <c r="W49" s="19"/>
    </row>
    <row r="50" customFormat="false" ht="15" hidden="false" customHeight="true" outlineLevel="0" collapsed="false">
      <c r="A50" s="28" t="n">
        <v>46</v>
      </c>
      <c r="B50" s="29" t="s">
        <v>218</v>
      </c>
      <c r="C50" s="30" t="s">
        <v>219</v>
      </c>
      <c r="D50" s="29" t="s">
        <v>220</v>
      </c>
      <c r="E50" s="28" t="str">
        <f aca="false">IF($C50="","",IF(MID($C50,5,1)="S","S(봄)",IF(MID($C50,5,1)="M","M(여름)",IF(MID($C50,5,1)="X","X(사계절)",MID($C50,5,1)))))</f>
        <v>S(봄)</v>
      </c>
      <c r="F50" s="29" t="s">
        <v>106</v>
      </c>
      <c r="G50" s="31"/>
      <c r="H50" s="28" t="str">
        <f aca="false">IF($C50="","",REPLACE($C50,6,2,"26"))</f>
        <v>JKJJS26132</v>
      </c>
      <c r="I50" s="32" t="str">
        <f aca="false">IFERROR(INDEX(전년출고참조!$B$4:$B$638,MATCH($H50,전년출고참조!$A$4:$A$638,0)),"")</f>
        <v/>
      </c>
      <c r="J50" s="32" t="n">
        <v>46367</v>
      </c>
      <c r="K50" s="32" t="n">
        <f aca="false">IF($G50&lt;&gt;"",IFERROR(DATE(IF(VALUE(LEFT($G50,FIND("월",$G50)-1))&gt;=9,기준정보!$C$6-1,기준정보!$C$6),VALUE(LEFT($G50,FIND("월",$G50)-1)),1+7*(VALUE(SUBSTITUTE(MID($G50,FIND("월",$G50)+1,5),"주",""))-1)),""),IF($I50&lt;&gt;"",IF(ISNUMBER($I50),$I50+364,IFERROR(DATE(IF(VALUE(LEFT($I50,FIND("월",$I50)-1))&gt;=9,기준정보!$C$6-1,기준정보!$C$6),VALUE(LEFT($I50,FIND("월",$I50)-1)),1+7*(VALUE(SUBSTITUTE(MID($I50,FIND("월",$I50)+1,5),"주",""))-1)),"")),IF($J50&lt;&gt;"",$J50,"")))</f>
        <v>46367</v>
      </c>
      <c r="L50" s="28" t="str">
        <f aca="false">IF($G50&lt;&gt;"","계획 주차",IF($I50&lt;&gt;"","전년+1년 예측",IF($J50&lt;&gt;"","전산 입고계획(참고)","미정")))</f>
        <v>전산 입고계획(참고)</v>
      </c>
      <c r="M50" s="32" t="n">
        <f aca="false">IF($K50="","",$K50-기준정보!$C$5)</f>
        <v>46277</v>
      </c>
      <c r="N50" s="33" t="n">
        <f aca="false">IF($M50="","",$M50-기준정보!$C$4)</f>
        <v>36</v>
      </c>
      <c r="O50" s="31" t="s">
        <v>114</v>
      </c>
      <c r="P50" s="20"/>
      <c r="Q50" s="30" t="str">
        <f aca="false">IF($F50="","",IF(AND(ISNUMBER(SEARCH("CMT",$F50)),OR(ISNUMBER(SEARCH("사입",$F50)),ISNUMBER(SEARCH("Buying",$F50)))),"본사/생산처 혼재",IF(ISNUMBER(SEARCH("CMT",$F50)),"본사(소재팀)","생산처")))</f>
        <v>생산처</v>
      </c>
      <c r="R50" s="29" t="s">
        <v>119</v>
      </c>
      <c r="S50" s="29" t="s">
        <v>110</v>
      </c>
      <c r="T50" s="30" t="str">
        <f aca="false">IF($K50="","출고일 미정",IF($O50="X","작지(일매) 미등록",IF($O50="부분","작지(일매) 일부 미등록",IF(AND($P50&lt;&gt;"",$P50&gt;$M50),"소재입고 마감("&amp;TEXT($M50,"MM/DD")&amp;") 초과",IF($O50="","일매 등록여부 확인 필요",IF($P50="","소재 입고일정 확인 필요","정상"))))))</f>
        <v>작지(일매) 미등록</v>
      </c>
      <c r="U50" s="28" t="str">
        <f aca="false">IF($K50="","",IF(OR(LEFT($T50,2)="작지",LEFT($T50,4)="소재입고"),IF(LEFT($E50,1)="S","★ 납기위험(S코드)","◆ 지연주의"),IF($T50="정상","✓ 정상","? 확인필요")))</f>
        <v>★ 납기위험(S코드)</v>
      </c>
      <c r="V50" s="31"/>
      <c r="W50" s="19"/>
    </row>
    <row r="51" customFormat="false" ht="15" hidden="false" customHeight="true" outlineLevel="0" collapsed="false">
      <c r="A51" s="28" t="n">
        <v>47</v>
      </c>
      <c r="B51" s="29" t="s">
        <v>218</v>
      </c>
      <c r="C51" s="30" t="s">
        <v>221</v>
      </c>
      <c r="D51" s="29" t="s">
        <v>222</v>
      </c>
      <c r="E51" s="28" t="str">
        <f aca="false">IF($C51="","",IF(MID($C51,5,1)="S","S(봄)",IF(MID($C51,5,1)="M","M(여름)",IF(MID($C51,5,1)="X","X(사계절)",MID($C51,5,1)))))</f>
        <v>S(봄)</v>
      </c>
      <c r="F51" s="29" t="s">
        <v>106</v>
      </c>
      <c r="G51" s="31"/>
      <c r="H51" s="28" t="str">
        <f aca="false">IF($C51="","",REPLACE($C51,6,2,"26"))</f>
        <v>JKJJS26136</v>
      </c>
      <c r="I51" s="32" t="str">
        <f aca="false">IFERROR(INDEX(전년출고참조!$B$4:$B$638,MATCH($H51,전년출고참조!$A$4:$A$638,0)),"")</f>
        <v/>
      </c>
      <c r="J51" s="32" t="n">
        <v>46367</v>
      </c>
      <c r="K51" s="32" t="n">
        <f aca="false">IF($G51&lt;&gt;"",IFERROR(DATE(IF(VALUE(LEFT($G51,FIND("월",$G51)-1))&gt;=9,기준정보!$C$6-1,기준정보!$C$6),VALUE(LEFT($G51,FIND("월",$G51)-1)),1+7*(VALUE(SUBSTITUTE(MID($G51,FIND("월",$G51)+1,5),"주",""))-1)),""),IF($I51&lt;&gt;"",IF(ISNUMBER($I51),$I51+364,IFERROR(DATE(IF(VALUE(LEFT($I51,FIND("월",$I51)-1))&gt;=9,기준정보!$C$6-1,기준정보!$C$6),VALUE(LEFT($I51,FIND("월",$I51)-1)),1+7*(VALUE(SUBSTITUTE(MID($I51,FIND("월",$I51)+1,5),"주",""))-1)),"")),IF($J51&lt;&gt;"",$J51,"")))</f>
        <v>46367</v>
      </c>
      <c r="L51" s="28" t="str">
        <f aca="false">IF($G51&lt;&gt;"","계획 주차",IF($I51&lt;&gt;"","전년+1년 예측",IF($J51&lt;&gt;"","전산 입고계획(참고)","미정")))</f>
        <v>전산 입고계획(참고)</v>
      </c>
      <c r="M51" s="32" t="n">
        <f aca="false">IF($K51="","",$K51-기준정보!$C$5)</f>
        <v>46277</v>
      </c>
      <c r="N51" s="33" t="n">
        <f aca="false">IF($M51="","",$M51-기준정보!$C$4)</f>
        <v>36</v>
      </c>
      <c r="O51" s="31" t="s">
        <v>114</v>
      </c>
      <c r="P51" s="20"/>
      <c r="Q51" s="30" t="str">
        <f aca="false">IF($F51="","",IF(AND(ISNUMBER(SEARCH("CMT",$F51)),OR(ISNUMBER(SEARCH("사입",$F51)),ISNUMBER(SEARCH("Buying",$F51)))),"본사/생산처 혼재",IF(ISNUMBER(SEARCH("CMT",$F51)),"본사(소재팀)","생산처")))</f>
        <v>생산처</v>
      </c>
      <c r="R51" s="29" t="s">
        <v>119</v>
      </c>
      <c r="S51" s="29" t="s">
        <v>110</v>
      </c>
      <c r="T51" s="30" t="str">
        <f aca="false">IF($K51="","출고일 미정",IF($O51="X","작지(일매) 미등록",IF($O51="부분","작지(일매) 일부 미등록",IF(AND($P51&lt;&gt;"",$P51&gt;$M51),"소재입고 마감("&amp;TEXT($M51,"MM/DD")&amp;") 초과",IF($O51="","일매 등록여부 확인 필요",IF($P51="","소재 입고일정 확인 필요","정상"))))))</f>
        <v>작지(일매) 미등록</v>
      </c>
      <c r="U51" s="28" t="str">
        <f aca="false">IF($K51="","",IF(OR(LEFT($T51,2)="작지",LEFT($T51,4)="소재입고"),IF(LEFT($E51,1)="S","★ 납기위험(S코드)","◆ 지연주의"),IF($T51="정상","✓ 정상","? 확인필요")))</f>
        <v>★ 납기위험(S코드)</v>
      </c>
      <c r="V51" s="31"/>
      <c r="W51" s="19"/>
    </row>
    <row r="52" customFormat="false" ht="15" hidden="false" customHeight="true" outlineLevel="0" collapsed="false">
      <c r="A52" s="28" t="n">
        <v>48</v>
      </c>
      <c r="B52" s="29" t="s">
        <v>103</v>
      </c>
      <c r="C52" s="30" t="s">
        <v>223</v>
      </c>
      <c r="D52" s="29" t="s">
        <v>224</v>
      </c>
      <c r="E52" s="28" t="str">
        <f aca="false">IF($C52="","",IF(MID($C52,5,1)="S","S(봄)",IF(MID($C52,5,1)="M","M(여름)",IF(MID($C52,5,1)="X","X(사계절)",MID($C52,5,1)))))</f>
        <v>S(봄)</v>
      </c>
      <c r="F52" s="29" t="s">
        <v>106</v>
      </c>
      <c r="G52" s="31"/>
      <c r="H52" s="28" t="str">
        <f aca="false">IF($C52="","",REPLACE($C52,6,2,"26"))</f>
        <v>JKPNS26062</v>
      </c>
      <c r="I52" s="32" t="str">
        <f aca="false">IFERROR(INDEX(전년출고참조!$B$4:$B$638,MATCH($H52,전년출고참조!$A$4:$A$638,0)),"")</f>
        <v/>
      </c>
      <c r="J52" s="32" t="n">
        <v>46367</v>
      </c>
      <c r="K52" s="32" t="n">
        <f aca="false">IF($G52&lt;&gt;"",IFERROR(DATE(IF(VALUE(LEFT($G52,FIND("월",$G52)-1))&gt;=9,기준정보!$C$6-1,기준정보!$C$6),VALUE(LEFT($G52,FIND("월",$G52)-1)),1+7*(VALUE(SUBSTITUTE(MID($G52,FIND("월",$G52)+1,5),"주",""))-1)),""),IF($I52&lt;&gt;"",IF(ISNUMBER($I52),$I52+364,IFERROR(DATE(IF(VALUE(LEFT($I52,FIND("월",$I52)-1))&gt;=9,기준정보!$C$6-1,기준정보!$C$6),VALUE(LEFT($I52,FIND("월",$I52)-1)),1+7*(VALUE(SUBSTITUTE(MID($I52,FIND("월",$I52)+1,5),"주",""))-1)),"")),IF($J52&lt;&gt;"",$J52,"")))</f>
        <v>46367</v>
      </c>
      <c r="L52" s="28" t="str">
        <f aca="false">IF($G52&lt;&gt;"","계획 주차",IF($I52&lt;&gt;"","전년+1년 예측",IF($J52&lt;&gt;"","전산 입고계획(참고)","미정")))</f>
        <v>전산 입고계획(참고)</v>
      </c>
      <c r="M52" s="32" t="n">
        <f aca="false">IF($K52="","",$K52-기준정보!$C$5)</f>
        <v>46277</v>
      </c>
      <c r="N52" s="33" t="n">
        <f aca="false">IF($M52="","",$M52-기준정보!$C$4)</f>
        <v>36</v>
      </c>
      <c r="O52" s="31" t="s">
        <v>108</v>
      </c>
      <c r="P52" s="20"/>
      <c r="Q52" s="30" t="str">
        <f aca="false">IF($F52="","",IF(AND(ISNUMBER(SEARCH("CMT",$F52)),OR(ISNUMBER(SEARCH("사입",$F52)),ISNUMBER(SEARCH("Buying",$F52)))),"본사/생산처 혼재",IF(ISNUMBER(SEARCH("CMT",$F52)),"본사(소재팀)","생산처")))</f>
        <v>생산처</v>
      </c>
      <c r="R52" s="29" t="s">
        <v>145</v>
      </c>
      <c r="S52" s="29" t="s">
        <v>110</v>
      </c>
      <c r="T52" s="30" t="str">
        <f aca="false">IF($K52="","출고일 미정",IF($O52="X","작지(일매) 미등록",IF($O52="부분","작지(일매) 일부 미등록",IF(AND($P52&lt;&gt;"",$P52&gt;$M52),"소재입고 마감("&amp;TEXT($M52,"MM/DD")&amp;") 초과",IF($O52="","일매 등록여부 확인 필요",IF($P52="","소재 입고일정 확인 필요","정상"))))))</f>
        <v>소재 입고일정 확인 필요</v>
      </c>
      <c r="U52" s="28" t="str">
        <f aca="false">IF($K52="","",IF(OR(LEFT($T52,2)="작지",LEFT($T52,4)="소재입고"),IF(LEFT($E52,1)="S","★ 납기위험(S코드)","◆ 지연주의"),IF($T52="정상","✓ 정상","? 확인필요")))</f>
        <v>? 확인필요</v>
      </c>
      <c r="V52" s="31"/>
      <c r="W52" s="19"/>
    </row>
    <row r="53" customFormat="false" ht="15" hidden="false" customHeight="true" outlineLevel="0" collapsed="false">
      <c r="A53" s="28" t="n">
        <v>49</v>
      </c>
      <c r="B53" s="29" t="s">
        <v>103</v>
      </c>
      <c r="C53" s="30" t="s">
        <v>225</v>
      </c>
      <c r="D53" s="29" t="s">
        <v>226</v>
      </c>
      <c r="E53" s="28" t="str">
        <f aca="false">IF($C53="","",IF(MID($C53,5,1)="S","S(봄)",IF(MID($C53,5,1)="M","M(여름)",IF(MID($C53,5,1)="X","X(사계절)",MID($C53,5,1)))))</f>
        <v>S(봄)</v>
      </c>
      <c r="F53" s="29" t="s">
        <v>106</v>
      </c>
      <c r="G53" s="31"/>
      <c r="H53" s="28" t="str">
        <f aca="false">IF($C53="","",REPLACE($C53,6,2,"26"))</f>
        <v>JKPNS26072</v>
      </c>
      <c r="I53" s="32" t="str">
        <f aca="false">IFERROR(INDEX(전년출고참조!$B$4:$B$638,MATCH($H53,전년출고참조!$A$4:$A$638,0)),"")</f>
        <v/>
      </c>
      <c r="J53" s="32" t="n">
        <v>46367</v>
      </c>
      <c r="K53" s="32" t="n">
        <f aca="false">IF($G53&lt;&gt;"",IFERROR(DATE(IF(VALUE(LEFT($G53,FIND("월",$G53)-1))&gt;=9,기준정보!$C$6-1,기준정보!$C$6),VALUE(LEFT($G53,FIND("월",$G53)-1)),1+7*(VALUE(SUBSTITUTE(MID($G53,FIND("월",$G53)+1,5),"주",""))-1)),""),IF($I53&lt;&gt;"",IF(ISNUMBER($I53),$I53+364,IFERROR(DATE(IF(VALUE(LEFT($I53,FIND("월",$I53)-1))&gt;=9,기준정보!$C$6-1,기준정보!$C$6),VALUE(LEFT($I53,FIND("월",$I53)-1)),1+7*(VALUE(SUBSTITUTE(MID($I53,FIND("월",$I53)+1,5),"주",""))-1)),"")),IF($J53&lt;&gt;"",$J53,"")))</f>
        <v>46367</v>
      </c>
      <c r="L53" s="28" t="str">
        <f aca="false">IF($G53&lt;&gt;"","계획 주차",IF($I53&lt;&gt;"","전년+1년 예측",IF($J53&lt;&gt;"","전산 입고계획(참고)","미정")))</f>
        <v>전산 입고계획(참고)</v>
      </c>
      <c r="M53" s="32" t="n">
        <f aca="false">IF($K53="","",$K53-기준정보!$C$5)</f>
        <v>46277</v>
      </c>
      <c r="N53" s="33" t="n">
        <f aca="false">IF($M53="","",$M53-기준정보!$C$4)</f>
        <v>36</v>
      </c>
      <c r="O53" s="31" t="s">
        <v>108</v>
      </c>
      <c r="P53" s="20"/>
      <c r="Q53" s="30" t="str">
        <f aca="false">IF($F53="","",IF(AND(ISNUMBER(SEARCH("CMT",$F53)),OR(ISNUMBER(SEARCH("사입",$F53)),ISNUMBER(SEARCH("Buying",$F53)))),"본사/생산처 혼재",IF(ISNUMBER(SEARCH("CMT",$F53)),"본사(소재팀)","생산처")))</f>
        <v>생산처</v>
      </c>
      <c r="R53" s="29" t="s">
        <v>145</v>
      </c>
      <c r="S53" s="29" t="s">
        <v>110</v>
      </c>
      <c r="T53" s="30" t="str">
        <f aca="false">IF($K53="","출고일 미정",IF($O53="X","작지(일매) 미등록",IF($O53="부분","작지(일매) 일부 미등록",IF(AND($P53&lt;&gt;"",$P53&gt;$M53),"소재입고 마감("&amp;TEXT($M53,"MM/DD")&amp;") 초과",IF($O53="","일매 등록여부 확인 필요",IF($P53="","소재 입고일정 확인 필요","정상"))))))</f>
        <v>소재 입고일정 확인 필요</v>
      </c>
      <c r="U53" s="28" t="str">
        <f aca="false">IF($K53="","",IF(OR(LEFT($T53,2)="작지",LEFT($T53,4)="소재입고"),IF(LEFT($E53,1)="S","★ 납기위험(S코드)","◆ 지연주의"),IF($T53="정상","✓ 정상","? 확인필요")))</f>
        <v>? 확인필요</v>
      </c>
      <c r="V53" s="31"/>
      <c r="W53" s="19"/>
    </row>
    <row r="54" customFormat="false" ht="15" hidden="false" customHeight="true" outlineLevel="0" collapsed="false">
      <c r="A54" s="28" t="n">
        <v>50</v>
      </c>
      <c r="B54" s="29" t="s">
        <v>227</v>
      </c>
      <c r="C54" s="30" t="s">
        <v>228</v>
      </c>
      <c r="D54" s="29" t="s">
        <v>229</v>
      </c>
      <c r="E54" s="28" t="str">
        <f aca="false">IF($C54="","",IF(MID($C54,5,1)="S","S(봄)",IF(MID($C54,5,1)="M","M(여름)",IF(MID($C54,5,1)="X","X(사계절)",MID($C54,5,1)))))</f>
        <v>S(봄)</v>
      </c>
      <c r="F54" s="30" t="s">
        <v>141</v>
      </c>
      <c r="G54" s="31"/>
      <c r="H54" s="28" t="str">
        <f aca="false">IF($C54="","",REPLACE($C54,6,2,"26"))</f>
        <v>JKPNS26102</v>
      </c>
      <c r="I54" s="32" t="str">
        <f aca="false">IFERROR(INDEX(전년출고참조!$B$4:$B$638,MATCH($H54,전년출고참조!$A$4:$A$638,0)),"")</f>
        <v/>
      </c>
      <c r="J54" s="32" t="n">
        <v>46367</v>
      </c>
      <c r="K54" s="32" t="n">
        <f aca="false">IF($G54&lt;&gt;"",IFERROR(DATE(IF(VALUE(LEFT($G54,FIND("월",$G54)-1))&gt;=9,기준정보!$C$6-1,기준정보!$C$6),VALUE(LEFT($G54,FIND("월",$G54)-1)),1+7*(VALUE(SUBSTITUTE(MID($G54,FIND("월",$G54)+1,5),"주",""))-1)),""),IF($I54&lt;&gt;"",IF(ISNUMBER($I54),$I54+364,IFERROR(DATE(IF(VALUE(LEFT($I54,FIND("월",$I54)-1))&gt;=9,기준정보!$C$6-1,기준정보!$C$6),VALUE(LEFT($I54,FIND("월",$I54)-1)),1+7*(VALUE(SUBSTITUTE(MID($I54,FIND("월",$I54)+1,5),"주",""))-1)),"")),IF($J54&lt;&gt;"",$J54,"")))</f>
        <v>46367</v>
      </c>
      <c r="L54" s="28" t="str">
        <f aca="false">IF($G54&lt;&gt;"","계획 주차",IF($I54&lt;&gt;"","전년+1년 예측",IF($J54&lt;&gt;"","전산 입고계획(참고)","미정")))</f>
        <v>전산 입고계획(참고)</v>
      </c>
      <c r="M54" s="32" t="n">
        <f aca="false">IF($K54="","",$K54-기준정보!$C$5)</f>
        <v>46277</v>
      </c>
      <c r="N54" s="33" t="n">
        <f aca="false">IF($M54="","",$M54-기준정보!$C$4)</f>
        <v>36</v>
      </c>
      <c r="O54" s="31" t="s">
        <v>108</v>
      </c>
      <c r="P54" s="20"/>
      <c r="Q54" s="30" t="str">
        <f aca="false">IF($F54="","",IF(AND(ISNUMBER(SEARCH("CMT",$F54)),OR(ISNUMBER(SEARCH("사입",$F54)),ISNUMBER(SEARCH("Buying",$F54)))),"본사/생산처 혼재",IF(ISNUMBER(SEARCH("CMT",$F54)),"본사(소재팀)","생산처")))</f>
        <v>본사(소재팀)</v>
      </c>
      <c r="R54" s="29" t="s">
        <v>230</v>
      </c>
      <c r="S54" s="29" t="s">
        <v>110</v>
      </c>
      <c r="T54" s="30" t="str">
        <f aca="false">IF($K54="","출고일 미정",IF($O54="X","작지(일매) 미등록",IF($O54="부분","작지(일매) 일부 미등록",IF(AND($P54&lt;&gt;"",$P54&gt;$M54),"소재입고 마감("&amp;TEXT($M54,"MM/DD")&amp;") 초과",IF($O54="","일매 등록여부 확인 필요",IF($P54="","소재 입고일정 확인 필요","정상"))))))</f>
        <v>소재 입고일정 확인 필요</v>
      </c>
      <c r="U54" s="28" t="str">
        <f aca="false">IF($K54="","",IF(OR(LEFT($T54,2)="작지",LEFT($T54,4)="소재입고"),IF(LEFT($E54,1)="S","★ 납기위험(S코드)","◆ 지연주의"),IF($T54="정상","✓ 정상","? 확인필요")))</f>
        <v>? 확인필요</v>
      </c>
      <c r="V54" s="31"/>
      <c r="W54" s="19"/>
    </row>
    <row r="55" customFormat="false" ht="15" hidden="false" customHeight="true" outlineLevel="0" collapsed="false">
      <c r="A55" s="28" t="n">
        <v>51</v>
      </c>
      <c r="B55" s="29" t="s">
        <v>227</v>
      </c>
      <c r="C55" s="30" t="s">
        <v>231</v>
      </c>
      <c r="D55" s="29" t="s">
        <v>232</v>
      </c>
      <c r="E55" s="28" t="str">
        <f aca="false">IF($C55="","",IF(MID($C55,5,1)="S","S(봄)",IF(MID($C55,5,1)="M","M(여름)",IF(MID($C55,5,1)="X","X(사계절)",MID($C55,5,1)))))</f>
        <v>S(봄)</v>
      </c>
      <c r="F55" s="29" t="s">
        <v>106</v>
      </c>
      <c r="G55" s="31"/>
      <c r="H55" s="28" t="str">
        <f aca="false">IF($C55="","",REPLACE($C55,6,2,"26"))</f>
        <v>JKPNS26114</v>
      </c>
      <c r="I55" s="32" t="str">
        <f aca="false">IFERROR(INDEX(전년출고참조!$B$4:$B$638,MATCH($H55,전년출고참조!$A$4:$A$638,0)),"")</f>
        <v/>
      </c>
      <c r="J55" s="32" t="n">
        <v>46367</v>
      </c>
      <c r="K55" s="32" t="n">
        <f aca="false">IF($G55&lt;&gt;"",IFERROR(DATE(IF(VALUE(LEFT($G55,FIND("월",$G55)-1))&gt;=9,기준정보!$C$6-1,기준정보!$C$6),VALUE(LEFT($G55,FIND("월",$G55)-1)),1+7*(VALUE(SUBSTITUTE(MID($G55,FIND("월",$G55)+1,5),"주",""))-1)),""),IF($I55&lt;&gt;"",IF(ISNUMBER($I55),$I55+364,IFERROR(DATE(IF(VALUE(LEFT($I55,FIND("월",$I55)-1))&gt;=9,기준정보!$C$6-1,기준정보!$C$6),VALUE(LEFT($I55,FIND("월",$I55)-1)),1+7*(VALUE(SUBSTITUTE(MID($I55,FIND("월",$I55)+1,5),"주",""))-1)),"")),IF($J55&lt;&gt;"",$J55,"")))</f>
        <v>46367</v>
      </c>
      <c r="L55" s="28" t="str">
        <f aca="false">IF($G55&lt;&gt;"","계획 주차",IF($I55&lt;&gt;"","전년+1년 예측",IF($J55&lt;&gt;"","전산 입고계획(참고)","미정")))</f>
        <v>전산 입고계획(참고)</v>
      </c>
      <c r="M55" s="32" t="n">
        <f aca="false">IF($K55="","",$K55-기준정보!$C$5)</f>
        <v>46277</v>
      </c>
      <c r="N55" s="33" t="n">
        <f aca="false">IF($M55="","",$M55-기준정보!$C$4)</f>
        <v>36</v>
      </c>
      <c r="O55" s="31" t="s">
        <v>108</v>
      </c>
      <c r="P55" s="20"/>
      <c r="Q55" s="30" t="str">
        <f aca="false">IF($F55="","",IF(AND(ISNUMBER(SEARCH("CMT",$F55)),OR(ISNUMBER(SEARCH("사입",$F55)),ISNUMBER(SEARCH("Buying",$F55)))),"본사/생산처 혼재",IF(ISNUMBER(SEARCH("CMT",$F55)),"본사(소재팀)","생산처")))</f>
        <v>생산처</v>
      </c>
      <c r="R55" s="29" t="s">
        <v>148</v>
      </c>
      <c r="S55" s="29" t="s">
        <v>110</v>
      </c>
      <c r="T55" s="30" t="str">
        <f aca="false">IF($K55="","출고일 미정",IF($O55="X","작지(일매) 미등록",IF($O55="부분","작지(일매) 일부 미등록",IF(AND($P55&lt;&gt;"",$P55&gt;$M55),"소재입고 마감("&amp;TEXT($M55,"MM/DD")&amp;") 초과",IF($O55="","일매 등록여부 확인 필요",IF($P55="","소재 입고일정 확인 필요","정상"))))))</f>
        <v>소재 입고일정 확인 필요</v>
      </c>
      <c r="U55" s="28" t="str">
        <f aca="false">IF($K55="","",IF(OR(LEFT($T55,2)="작지",LEFT($T55,4)="소재입고"),IF(LEFT($E55,1)="S","★ 납기위험(S코드)","◆ 지연주의"),IF($T55="정상","✓ 정상","? 확인필요")))</f>
        <v>? 확인필요</v>
      </c>
      <c r="V55" s="31"/>
      <c r="W55" s="19"/>
    </row>
    <row r="56" customFormat="false" ht="15" hidden="false" customHeight="true" outlineLevel="0" collapsed="false">
      <c r="A56" s="28" t="n">
        <v>52</v>
      </c>
      <c r="B56" s="29" t="s">
        <v>103</v>
      </c>
      <c r="C56" s="30" t="s">
        <v>233</v>
      </c>
      <c r="D56" s="29" t="s">
        <v>234</v>
      </c>
      <c r="E56" s="28" t="str">
        <f aca="false">IF($C56="","",IF(MID($C56,5,1)="S","S(봄)",IF(MID($C56,5,1)="M","M(여름)",IF(MID($C56,5,1)="X","X(사계절)",MID($C56,5,1)))))</f>
        <v>S(봄)</v>
      </c>
      <c r="F56" s="29" t="s">
        <v>106</v>
      </c>
      <c r="G56" s="31"/>
      <c r="H56" s="28" t="str">
        <f aca="false">IF($C56="","",REPLACE($C56,6,2,"26"))</f>
        <v>JKTBS26058</v>
      </c>
      <c r="I56" s="32" t="str">
        <f aca="false">IFERROR(INDEX(전년출고참조!$B$4:$B$638,MATCH($H56,전년출고참조!$A$4:$A$638,0)),"")</f>
        <v/>
      </c>
      <c r="J56" s="32" t="n">
        <v>46367</v>
      </c>
      <c r="K56" s="32" t="n">
        <f aca="false">IF($G56&lt;&gt;"",IFERROR(DATE(IF(VALUE(LEFT($G56,FIND("월",$G56)-1))&gt;=9,기준정보!$C$6-1,기준정보!$C$6),VALUE(LEFT($G56,FIND("월",$G56)-1)),1+7*(VALUE(SUBSTITUTE(MID($G56,FIND("월",$G56)+1,5),"주",""))-1)),""),IF($I56&lt;&gt;"",IF(ISNUMBER($I56),$I56+364,IFERROR(DATE(IF(VALUE(LEFT($I56,FIND("월",$I56)-1))&gt;=9,기준정보!$C$6-1,기준정보!$C$6),VALUE(LEFT($I56,FIND("월",$I56)-1)),1+7*(VALUE(SUBSTITUTE(MID($I56,FIND("월",$I56)+1,5),"주",""))-1)),"")),IF($J56&lt;&gt;"",$J56,"")))</f>
        <v>46367</v>
      </c>
      <c r="L56" s="28" t="str">
        <f aca="false">IF($G56&lt;&gt;"","계획 주차",IF($I56&lt;&gt;"","전년+1년 예측",IF($J56&lt;&gt;"","전산 입고계획(참고)","미정")))</f>
        <v>전산 입고계획(참고)</v>
      </c>
      <c r="M56" s="32" t="n">
        <f aca="false">IF($K56="","",$K56-기준정보!$C$5)</f>
        <v>46277</v>
      </c>
      <c r="N56" s="33" t="n">
        <f aca="false">IF($M56="","",$M56-기준정보!$C$4)</f>
        <v>36</v>
      </c>
      <c r="O56" s="31" t="s">
        <v>108</v>
      </c>
      <c r="P56" s="20"/>
      <c r="Q56" s="30" t="str">
        <f aca="false">IF($F56="","",IF(AND(ISNUMBER(SEARCH("CMT",$F56)),OR(ISNUMBER(SEARCH("사입",$F56)),ISNUMBER(SEARCH("Buying",$F56)))),"본사/생산처 혼재",IF(ISNUMBER(SEARCH("CMT",$F56)),"본사(소재팀)","생산처")))</f>
        <v>생산처</v>
      </c>
      <c r="R56" s="29" t="s">
        <v>115</v>
      </c>
      <c r="S56" s="29" t="s">
        <v>110</v>
      </c>
      <c r="T56" s="30" t="str">
        <f aca="false">IF($K56="","출고일 미정",IF($O56="X","작지(일매) 미등록",IF($O56="부분","작지(일매) 일부 미등록",IF(AND($P56&lt;&gt;"",$P56&gt;$M56),"소재입고 마감("&amp;TEXT($M56,"MM/DD")&amp;") 초과",IF($O56="","일매 등록여부 확인 필요",IF($P56="","소재 입고일정 확인 필요","정상"))))))</f>
        <v>소재 입고일정 확인 필요</v>
      </c>
      <c r="U56" s="28" t="str">
        <f aca="false">IF($K56="","",IF(OR(LEFT($T56,2)="작지",LEFT($T56,4)="소재입고"),IF(LEFT($E56,1)="S","★ 납기위험(S코드)","◆ 지연주의"),IF($T56="정상","✓ 정상","? 확인필요")))</f>
        <v>? 확인필요</v>
      </c>
      <c r="V56" s="31"/>
      <c r="W56" s="19"/>
    </row>
    <row r="57" customFormat="false" ht="15" hidden="false" customHeight="true" outlineLevel="0" collapsed="false">
      <c r="A57" s="28" t="n">
        <v>53</v>
      </c>
      <c r="B57" s="30"/>
      <c r="C57" s="30" t="s">
        <v>235</v>
      </c>
      <c r="D57" s="29" t="s">
        <v>236</v>
      </c>
      <c r="E57" s="28" t="str">
        <f aca="false">IF($C57="","",IF(MID($C57,5,1)="S","S(봄)",IF(MID($C57,5,1)="M","M(여름)",IF(MID($C57,5,1)="X","X(사계절)",MID($C57,5,1)))))</f>
        <v>S(봄)</v>
      </c>
      <c r="F57" s="30" t="s">
        <v>113</v>
      </c>
      <c r="G57" s="31"/>
      <c r="H57" s="28" t="str">
        <f aca="false">IF($C57="","",REPLACE($C57,6,2,"26"))</f>
        <v>JKTBS26104</v>
      </c>
      <c r="I57" s="32" t="str">
        <f aca="false">IFERROR(INDEX(전년출고참조!$B$4:$B$638,MATCH($H57,전년출고참조!$A$4:$A$638,0)),"")</f>
        <v/>
      </c>
      <c r="J57" s="32" t="n">
        <v>46367</v>
      </c>
      <c r="K57" s="32" t="n">
        <f aca="false">IF($G57&lt;&gt;"",IFERROR(DATE(IF(VALUE(LEFT($G57,FIND("월",$G57)-1))&gt;=9,기준정보!$C$6-1,기준정보!$C$6),VALUE(LEFT($G57,FIND("월",$G57)-1)),1+7*(VALUE(SUBSTITUTE(MID($G57,FIND("월",$G57)+1,5),"주",""))-1)),""),IF($I57&lt;&gt;"",IF(ISNUMBER($I57),$I57+364,IFERROR(DATE(IF(VALUE(LEFT($I57,FIND("월",$I57)-1))&gt;=9,기준정보!$C$6-1,기준정보!$C$6),VALUE(LEFT($I57,FIND("월",$I57)-1)),1+7*(VALUE(SUBSTITUTE(MID($I57,FIND("월",$I57)+1,5),"주",""))-1)),"")),IF($J57&lt;&gt;"",$J57,"")))</f>
        <v>46367</v>
      </c>
      <c r="L57" s="28" t="str">
        <f aca="false">IF($G57&lt;&gt;"","계획 주차",IF($I57&lt;&gt;"","전년+1년 예측",IF($J57&lt;&gt;"","전산 입고계획(참고)","미정")))</f>
        <v>전산 입고계획(참고)</v>
      </c>
      <c r="M57" s="32" t="n">
        <f aca="false">IF($K57="","",$K57-기준정보!$C$5)</f>
        <v>46277</v>
      </c>
      <c r="N57" s="33" t="n">
        <f aca="false">IF($M57="","",$M57-기준정보!$C$4)</f>
        <v>36</v>
      </c>
      <c r="O57" s="31" t="s">
        <v>114</v>
      </c>
      <c r="P57" s="20"/>
      <c r="Q57" s="30" t="str">
        <f aca="false">IF($F57="","",IF(AND(ISNUMBER(SEARCH("CMT",$F57)),OR(ISNUMBER(SEARCH("사입",$F57)),ISNUMBER(SEARCH("Buying",$F57)))),"본사/생산처 혼재",IF(ISNUMBER(SEARCH("CMT",$F57)),"본사(소재팀)","생산처")))</f>
        <v>생산처</v>
      </c>
      <c r="R57" s="29" t="s">
        <v>115</v>
      </c>
      <c r="S57" s="29" t="s">
        <v>110</v>
      </c>
      <c r="T57" s="30" t="str">
        <f aca="false">IF($K57="","출고일 미정",IF($O57="X","작지(일매) 미등록",IF($O57="부분","작지(일매) 일부 미등록",IF(AND($P57&lt;&gt;"",$P57&gt;$M57),"소재입고 마감("&amp;TEXT($M57,"MM/DD")&amp;") 초과",IF($O57="","일매 등록여부 확인 필요",IF($P57="","소재 입고일정 확인 필요","정상"))))))</f>
        <v>작지(일매) 미등록</v>
      </c>
      <c r="U57" s="28" t="str">
        <f aca="false">IF($K57="","",IF(OR(LEFT($T57,2)="작지",LEFT($T57,4)="소재입고"),IF(LEFT($E57,1)="S","★ 납기위험(S코드)","◆ 지연주의"),IF($T57="정상","✓ 정상","? 확인필요")))</f>
        <v>★ 납기위험(S코드)</v>
      </c>
      <c r="V57" s="31"/>
      <c r="W57" s="19"/>
    </row>
    <row r="58" customFormat="false" ht="15" hidden="false" customHeight="true" outlineLevel="0" collapsed="false">
      <c r="A58" s="28" t="n">
        <v>54</v>
      </c>
      <c r="B58" s="29" t="s">
        <v>227</v>
      </c>
      <c r="C58" s="30" t="s">
        <v>237</v>
      </c>
      <c r="D58" s="29" t="s">
        <v>238</v>
      </c>
      <c r="E58" s="28" t="str">
        <f aca="false">IF($C58="","",IF(MID($C58,5,1)="S","S(봄)",IF(MID($C58,5,1)="M","M(여름)",IF(MID($C58,5,1)="X","X(사계절)",MID($C58,5,1)))))</f>
        <v>S(봄)</v>
      </c>
      <c r="F58" s="29" t="s">
        <v>106</v>
      </c>
      <c r="G58" s="31"/>
      <c r="H58" s="28" t="str">
        <f aca="false">IF($C58="","",REPLACE($C58,6,2,"26"))</f>
        <v>JKTBS26112</v>
      </c>
      <c r="I58" s="32" t="n">
        <f aca="false">IFERROR(INDEX(전년출고참조!$B$4:$B$638,MATCH($H58,전년출고참조!$A$4:$A$638,0)),"")</f>
        <v>46031</v>
      </c>
      <c r="J58" s="32" t="n">
        <v>46367</v>
      </c>
      <c r="K58" s="32" t="n">
        <f aca="false">IF($G58&lt;&gt;"",IFERROR(DATE(IF(VALUE(LEFT($G58,FIND("월",$G58)-1))&gt;=9,기준정보!$C$6-1,기준정보!$C$6),VALUE(LEFT($G58,FIND("월",$G58)-1)),1+7*(VALUE(SUBSTITUTE(MID($G58,FIND("월",$G58)+1,5),"주",""))-1)),""),IF($I58&lt;&gt;"",IF(ISNUMBER($I58),$I58+364,IFERROR(DATE(IF(VALUE(LEFT($I58,FIND("월",$I58)-1))&gt;=9,기준정보!$C$6-1,기준정보!$C$6),VALUE(LEFT($I58,FIND("월",$I58)-1)),1+7*(VALUE(SUBSTITUTE(MID($I58,FIND("월",$I58)+1,5),"주",""))-1)),"")),IF($J58&lt;&gt;"",$J58,"")))</f>
        <v>46395</v>
      </c>
      <c r="L58" s="28" t="str">
        <f aca="false">IF($G58&lt;&gt;"","계획 주차",IF($I58&lt;&gt;"","전년+1년 예측",IF($J58&lt;&gt;"","전산 입고계획(참고)","미정")))</f>
        <v>전년+1년 예측</v>
      </c>
      <c r="M58" s="32" t="n">
        <f aca="false">IF($K58="","",$K58-기준정보!$C$5)</f>
        <v>46305</v>
      </c>
      <c r="N58" s="33" t="n">
        <f aca="false">IF($M58="","",$M58-기준정보!$C$4)</f>
        <v>64</v>
      </c>
      <c r="O58" s="31" t="s">
        <v>108</v>
      </c>
      <c r="P58" s="20"/>
      <c r="Q58" s="30" t="str">
        <f aca="false">IF($F58="","",IF(AND(ISNUMBER(SEARCH("CMT",$F58)),OR(ISNUMBER(SEARCH("사입",$F58)),ISNUMBER(SEARCH("Buying",$F58)))),"본사/생산처 혼재",IF(ISNUMBER(SEARCH("CMT",$F58)),"본사(소재팀)","생산처")))</f>
        <v>생산처</v>
      </c>
      <c r="R58" s="29" t="s">
        <v>123</v>
      </c>
      <c r="S58" s="29" t="s">
        <v>120</v>
      </c>
      <c r="T58" s="30" t="str">
        <f aca="false">IF($K58="","출고일 미정",IF($O58="X","작지(일매) 미등록",IF($O58="부분","작지(일매) 일부 미등록",IF(AND($P58&lt;&gt;"",$P58&gt;$M58),"소재입고 마감("&amp;TEXT($M58,"MM/DD")&amp;") 초과",IF($O58="","일매 등록여부 확인 필요",IF($P58="","소재 입고일정 확인 필요","정상"))))))</f>
        <v>소재 입고일정 확인 필요</v>
      </c>
      <c r="U58" s="28" t="str">
        <f aca="false">IF($K58="","",IF(OR(LEFT($T58,2)="작지",LEFT($T58,4)="소재입고"),IF(LEFT($E58,1)="S","★ 납기위험(S코드)","◆ 지연주의"),IF($T58="정상","✓ 정상","? 확인필요")))</f>
        <v>? 확인필요</v>
      </c>
      <c r="V58" s="31"/>
      <c r="W58" s="19"/>
    </row>
    <row r="59" customFormat="false" ht="15" hidden="false" customHeight="true" outlineLevel="0" collapsed="false">
      <c r="A59" s="28" t="n">
        <v>55</v>
      </c>
      <c r="B59" s="29" t="s">
        <v>227</v>
      </c>
      <c r="C59" s="30" t="s">
        <v>239</v>
      </c>
      <c r="D59" s="29" t="s">
        <v>240</v>
      </c>
      <c r="E59" s="28" t="str">
        <f aca="false">IF($C59="","",IF(MID($C59,5,1)="S","S(봄)",IF(MID($C59,5,1)="M","M(여름)",IF(MID($C59,5,1)="X","X(사계절)",MID($C59,5,1)))))</f>
        <v>S(봄)</v>
      </c>
      <c r="F59" s="29" t="s">
        <v>106</v>
      </c>
      <c r="G59" s="31"/>
      <c r="H59" s="28" t="str">
        <f aca="false">IF($C59="","",REPLACE($C59,6,2,"26"))</f>
        <v>JKTBS26114</v>
      </c>
      <c r="I59" s="32" t="str">
        <f aca="false">IFERROR(INDEX(전년출고참조!$B$4:$B$638,MATCH($H59,전년출고참조!$A$4:$A$638,0)),"")</f>
        <v/>
      </c>
      <c r="J59" s="32" t="n">
        <v>46367</v>
      </c>
      <c r="K59" s="32" t="n">
        <f aca="false">IF($G59&lt;&gt;"",IFERROR(DATE(IF(VALUE(LEFT($G59,FIND("월",$G59)-1))&gt;=9,기준정보!$C$6-1,기준정보!$C$6),VALUE(LEFT($G59,FIND("월",$G59)-1)),1+7*(VALUE(SUBSTITUTE(MID($G59,FIND("월",$G59)+1,5),"주",""))-1)),""),IF($I59&lt;&gt;"",IF(ISNUMBER($I59),$I59+364,IFERROR(DATE(IF(VALUE(LEFT($I59,FIND("월",$I59)-1))&gt;=9,기준정보!$C$6-1,기준정보!$C$6),VALUE(LEFT($I59,FIND("월",$I59)-1)),1+7*(VALUE(SUBSTITUTE(MID($I59,FIND("월",$I59)+1,5),"주",""))-1)),"")),IF($J59&lt;&gt;"",$J59,"")))</f>
        <v>46367</v>
      </c>
      <c r="L59" s="28" t="str">
        <f aca="false">IF($G59&lt;&gt;"","계획 주차",IF($I59&lt;&gt;"","전년+1년 예측",IF($J59&lt;&gt;"","전산 입고계획(참고)","미정")))</f>
        <v>전산 입고계획(참고)</v>
      </c>
      <c r="M59" s="32" t="n">
        <f aca="false">IF($K59="","",$K59-기준정보!$C$5)</f>
        <v>46277</v>
      </c>
      <c r="N59" s="33" t="n">
        <f aca="false">IF($M59="","",$M59-기준정보!$C$4)</f>
        <v>36</v>
      </c>
      <c r="O59" s="31" t="s">
        <v>108</v>
      </c>
      <c r="P59" s="20"/>
      <c r="Q59" s="30" t="str">
        <f aca="false">IF($F59="","",IF(AND(ISNUMBER(SEARCH("CMT",$F59)),OR(ISNUMBER(SEARCH("사입",$F59)),ISNUMBER(SEARCH("Buying",$F59)))),"본사/생산처 혼재",IF(ISNUMBER(SEARCH("CMT",$F59)),"본사(소재팀)","생산처")))</f>
        <v>생산처</v>
      </c>
      <c r="R59" s="29" t="s">
        <v>123</v>
      </c>
      <c r="S59" s="29" t="s">
        <v>120</v>
      </c>
      <c r="T59" s="30" t="str">
        <f aca="false">IF($K59="","출고일 미정",IF($O59="X","작지(일매) 미등록",IF($O59="부분","작지(일매) 일부 미등록",IF(AND($P59&lt;&gt;"",$P59&gt;$M59),"소재입고 마감("&amp;TEXT($M59,"MM/DD")&amp;") 초과",IF($O59="","일매 등록여부 확인 필요",IF($P59="","소재 입고일정 확인 필요","정상"))))))</f>
        <v>소재 입고일정 확인 필요</v>
      </c>
      <c r="U59" s="28" t="str">
        <f aca="false">IF($K59="","",IF(OR(LEFT($T59,2)="작지",LEFT($T59,4)="소재입고"),IF(LEFT($E59,1)="S","★ 납기위험(S코드)","◆ 지연주의"),IF($T59="정상","✓ 정상","? 확인필요")))</f>
        <v>? 확인필요</v>
      </c>
      <c r="V59" s="31"/>
      <c r="W59" s="19"/>
    </row>
    <row r="60" customFormat="false" ht="15" hidden="false" customHeight="true" outlineLevel="0" collapsed="false">
      <c r="A60" s="28" t="n">
        <v>56</v>
      </c>
      <c r="B60" s="29" t="s">
        <v>227</v>
      </c>
      <c r="C60" s="30" t="s">
        <v>241</v>
      </c>
      <c r="D60" s="29" t="s">
        <v>242</v>
      </c>
      <c r="E60" s="28" t="str">
        <f aca="false">IF($C60="","",IF(MID($C60,5,1)="S","S(봄)",IF(MID($C60,5,1)="M","M(여름)",IF(MID($C60,5,1)="X","X(사계절)",MID($C60,5,1)))))</f>
        <v>S(봄)</v>
      </c>
      <c r="F60" s="29" t="s">
        <v>106</v>
      </c>
      <c r="G60" s="31"/>
      <c r="H60" s="28" t="str">
        <f aca="false">IF($C60="","",REPLACE($C60,6,2,"26"))</f>
        <v>JKTBS26116</v>
      </c>
      <c r="I60" s="32" t="str">
        <f aca="false">IFERROR(INDEX(전년출고참조!$B$4:$B$638,MATCH($H60,전년출고참조!$A$4:$A$638,0)),"")</f>
        <v/>
      </c>
      <c r="J60" s="32" t="n">
        <v>46367</v>
      </c>
      <c r="K60" s="32" t="n">
        <f aca="false">IF($G60&lt;&gt;"",IFERROR(DATE(IF(VALUE(LEFT($G60,FIND("월",$G60)-1))&gt;=9,기준정보!$C$6-1,기준정보!$C$6),VALUE(LEFT($G60,FIND("월",$G60)-1)),1+7*(VALUE(SUBSTITUTE(MID($G60,FIND("월",$G60)+1,5),"주",""))-1)),""),IF($I60&lt;&gt;"",IF(ISNUMBER($I60),$I60+364,IFERROR(DATE(IF(VALUE(LEFT($I60,FIND("월",$I60)-1))&gt;=9,기준정보!$C$6-1,기준정보!$C$6),VALUE(LEFT($I60,FIND("월",$I60)-1)),1+7*(VALUE(SUBSTITUTE(MID($I60,FIND("월",$I60)+1,5),"주",""))-1)),"")),IF($J60&lt;&gt;"",$J60,"")))</f>
        <v>46367</v>
      </c>
      <c r="L60" s="28" t="str">
        <f aca="false">IF($G60&lt;&gt;"","계획 주차",IF($I60&lt;&gt;"","전년+1년 예측",IF($J60&lt;&gt;"","전산 입고계획(참고)","미정")))</f>
        <v>전산 입고계획(참고)</v>
      </c>
      <c r="M60" s="32" t="n">
        <f aca="false">IF($K60="","",$K60-기준정보!$C$5)</f>
        <v>46277</v>
      </c>
      <c r="N60" s="33" t="n">
        <f aca="false">IF($M60="","",$M60-기준정보!$C$4)</f>
        <v>36</v>
      </c>
      <c r="O60" s="31" t="s">
        <v>108</v>
      </c>
      <c r="P60" s="20"/>
      <c r="Q60" s="30" t="str">
        <f aca="false">IF($F60="","",IF(AND(ISNUMBER(SEARCH("CMT",$F60)),OR(ISNUMBER(SEARCH("사입",$F60)),ISNUMBER(SEARCH("Buying",$F60)))),"본사/생산처 혼재",IF(ISNUMBER(SEARCH("CMT",$F60)),"본사(소재팀)","생산처")))</f>
        <v>생산처</v>
      </c>
      <c r="R60" s="29" t="s">
        <v>123</v>
      </c>
      <c r="S60" s="29" t="s">
        <v>120</v>
      </c>
      <c r="T60" s="30" t="str">
        <f aca="false">IF($K60="","출고일 미정",IF($O60="X","작지(일매) 미등록",IF($O60="부분","작지(일매) 일부 미등록",IF(AND($P60&lt;&gt;"",$P60&gt;$M60),"소재입고 마감("&amp;TEXT($M60,"MM/DD")&amp;") 초과",IF($O60="","일매 등록여부 확인 필요",IF($P60="","소재 입고일정 확인 필요","정상"))))))</f>
        <v>소재 입고일정 확인 필요</v>
      </c>
      <c r="U60" s="28" t="str">
        <f aca="false">IF($K60="","",IF(OR(LEFT($T60,2)="작지",LEFT($T60,4)="소재입고"),IF(LEFT($E60,1)="S","★ 납기위험(S코드)","◆ 지연주의"),IF($T60="정상","✓ 정상","? 확인필요")))</f>
        <v>? 확인필요</v>
      </c>
      <c r="V60" s="31"/>
      <c r="W60" s="19"/>
    </row>
    <row r="61" customFormat="false" ht="15" hidden="false" customHeight="true" outlineLevel="0" collapsed="false">
      <c r="A61" s="28" t="n">
        <v>57</v>
      </c>
      <c r="B61" s="29" t="s">
        <v>227</v>
      </c>
      <c r="C61" s="30" t="s">
        <v>243</v>
      </c>
      <c r="D61" s="29" t="s">
        <v>244</v>
      </c>
      <c r="E61" s="28" t="str">
        <f aca="false">IF($C61="","",IF(MID($C61,5,1)="S","S(봄)",IF(MID($C61,5,1)="M","M(여름)",IF(MID($C61,5,1)="X","X(사계절)",MID($C61,5,1)))))</f>
        <v>S(봄)</v>
      </c>
      <c r="F61" s="29" t="s">
        <v>106</v>
      </c>
      <c r="G61" s="31"/>
      <c r="H61" s="28" t="str">
        <f aca="false">IF($C61="","",REPLACE($C61,6,2,"26"))</f>
        <v>JKTBS26118</v>
      </c>
      <c r="I61" s="32" t="str">
        <f aca="false">IFERROR(INDEX(전년출고참조!$B$4:$B$638,MATCH($H61,전년출고참조!$A$4:$A$638,0)),"")</f>
        <v/>
      </c>
      <c r="J61" s="32" t="n">
        <v>46367</v>
      </c>
      <c r="K61" s="32" t="n">
        <f aca="false">IF($G61&lt;&gt;"",IFERROR(DATE(IF(VALUE(LEFT($G61,FIND("월",$G61)-1))&gt;=9,기준정보!$C$6-1,기준정보!$C$6),VALUE(LEFT($G61,FIND("월",$G61)-1)),1+7*(VALUE(SUBSTITUTE(MID($G61,FIND("월",$G61)+1,5),"주",""))-1)),""),IF($I61&lt;&gt;"",IF(ISNUMBER($I61),$I61+364,IFERROR(DATE(IF(VALUE(LEFT($I61,FIND("월",$I61)-1))&gt;=9,기준정보!$C$6-1,기준정보!$C$6),VALUE(LEFT($I61,FIND("월",$I61)-1)),1+7*(VALUE(SUBSTITUTE(MID($I61,FIND("월",$I61)+1,5),"주",""))-1)),"")),IF($J61&lt;&gt;"",$J61,"")))</f>
        <v>46367</v>
      </c>
      <c r="L61" s="28" t="str">
        <f aca="false">IF($G61&lt;&gt;"","계획 주차",IF($I61&lt;&gt;"","전년+1년 예측",IF($J61&lt;&gt;"","전산 입고계획(참고)","미정")))</f>
        <v>전산 입고계획(참고)</v>
      </c>
      <c r="M61" s="32" t="n">
        <f aca="false">IF($K61="","",$K61-기준정보!$C$5)</f>
        <v>46277</v>
      </c>
      <c r="N61" s="33" t="n">
        <f aca="false">IF($M61="","",$M61-기준정보!$C$4)</f>
        <v>36</v>
      </c>
      <c r="O61" s="31" t="s">
        <v>108</v>
      </c>
      <c r="P61" s="20"/>
      <c r="Q61" s="30" t="str">
        <f aca="false">IF($F61="","",IF(AND(ISNUMBER(SEARCH("CMT",$F61)),OR(ISNUMBER(SEARCH("사입",$F61)),ISNUMBER(SEARCH("Buying",$F61)))),"본사/생산처 혼재",IF(ISNUMBER(SEARCH("CMT",$F61)),"본사(소재팀)","생산처")))</f>
        <v>생산처</v>
      </c>
      <c r="R61" s="29" t="s">
        <v>156</v>
      </c>
      <c r="S61" s="29" t="s">
        <v>110</v>
      </c>
      <c r="T61" s="30" t="str">
        <f aca="false">IF($K61="","출고일 미정",IF($O61="X","작지(일매) 미등록",IF($O61="부분","작지(일매) 일부 미등록",IF(AND($P61&lt;&gt;"",$P61&gt;$M61),"소재입고 마감("&amp;TEXT($M61,"MM/DD")&amp;") 초과",IF($O61="","일매 등록여부 확인 필요",IF($P61="","소재 입고일정 확인 필요","정상"))))))</f>
        <v>소재 입고일정 확인 필요</v>
      </c>
      <c r="U61" s="28" t="str">
        <f aca="false">IF($K61="","",IF(OR(LEFT($T61,2)="작지",LEFT($T61,4)="소재입고"),IF(LEFT($E61,1)="S","★ 납기위험(S코드)","◆ 지연주의"),IF($T61="정상","✓ 정상","? 확인필요")))</f>
        <v>? 확인필요</v>
      </c>
      <c r="V61" s="31"/>
      <c r="W61" s="19"/>
    </row>
    <row r="62" customFormat="false" ht="15" hidden="false" customHeight="true" outlineLevel="0" collapsed="false">
      <c r="A62" s="28" t="n">
        <v>58</v>
      </c>
      <c r="B62" s="29" t="s">
        <v>227</v>
      </c>
      <c r="C62" s="30" t="s">
        <v>245</v>
      </c>
      <c r="D62" s="29" t="s">
        <v>246</v>
      </c>
      <c r="E62" s="28" t="str">
        <f aca="false">IF($C62="","",IF(MID($C62,5,1)="S","S(봄)",IF(MID($C62,5,1)="M","M(여름)",IF(MID($C62,5,1)="X","X(사계절)",MID($C62,5,1)))))</f>
        <v>S(봄)</v>
      </c>
      <c r="F62" s="29" t="s">
        <v>106</v>
      </c>
      <c r="G62" s="31"/>
      <c r="H62" s="28" t="str">
        <f aca="false">IF($C62="","",REPLACE($C62,6,2,"26"))</f>
        <v>JKTBS26120</v>
      </c>
      <c r="I62" s="32" t="str">
        <f aca="false">IFERROR(INDEX(전년출고참조!$B$4:$B$638,MATCH($H62,전년출고참조!$A$4:$A$638,0)),"")</f>
        <v/>
      </c>
      <c r="J62" s="32" t="n">
        <v>46367</v>
      </c>
      <c r="K62" s="32" t="n">
        <f aca="false">IF($G62&lt;&gt;"",IFERROR(DATE(IF(VALUE(LEFT($G62,FIND("월",$G62)-1))&gt;=9,기준정보!$C$6-1,기준정보!$C$6),VALUE(LEFT($G62,FIND("월",$G62)-1)),1+7*(VALUE(SUBSTITUTE(MID($G62,FIND("월",$G62)+1,5),"주",""))-1)),""),IF($I62&lt;&gt;"",IF(ISNUMBER($I62),$I62+364,IFERROR(DATE(IF(VALUE(LEFT($I62,FIND("월",$I62)-1))&gt;=9,기준정보!$C$6-1,기준정보!$C$6),VALUE(LEFT($I62,FIND("월",$I62)-1)),1+7*(VALUE(SUBSTITUTE(MID($I62,FIND("월",$I62)+1,5),"주",""))-1)),"")),IF($J62&lt;&gt;"",$J62,"")))</f>
        <v>46367</v>
      </c>
      <c r="L62" s="28" t="str">
        <f aca="false">IF($G62&lt;&gt;"","계획 주차",IF($I62&lt;&gt;"","전년+1년 예측",IF($J62&lt;&gt;"","전산 입고계획(참고)","미정")))</f>
        <v>전산 입고계획(참고)</v>
      </c>
      <c r="M62" s="32" t="n">
        <f aca="false">IF($K62="","",$K62-기준정보!$C$5)</f>
        <v>46277</v>
      </c>
      <c r="N62" s="33" t="n">
        <f aca="false">IF($M62="","",$M62-기준정보!$C$4)</f>
        <v>36</v>
      </c>
      <c r="O62" s="31" t="s">
        <v>108</v>
      </c>
      <c r="P62" s="20"/>
      <c r="Q62" s="30" t="str">
        <f aca="false">IF($F62="","",IF(AND(ISNUMBER(SEARCH("CMT",$F62)),OR(ISNUMBER(SEARCH("사입",$F62)),ISNUMBER(SEARCH("Buying",$F62)))),"본사/생산처 혼재",IF(ISNUMBER(SEARCH("CMT",$F62)),"본사(소재팀)","생산처")))</f>
        <v>생산처</v>
      </c>
      <c r="R62" s="29" t="s">
        <v>123</v>
      </c>
      <c r="S62" s="29" t="s">
        <v>120</v>
      </c>
      <c r="T62" s="30" t="str">
        <f aca="false">IF($K62="","출고일 미정",IF($O62="X","작지(일매) 미등록",IF($O62="부분","작지(일매) 일부 미등록",IF(AND($P62&lt;&gt;"",$P62&gt;$M62),"소재입고 마감("&amp;TEXT($M62,"MM/DD")&amp;") 초과",IF($O62="","일매 등록여부 확인 필요",IF($P62="","소재 입고일정 확인 필요","정상"))))))</f>
        <v>소재 입고일정 확인 필요</v>
      </c>
      <c r="U62" s="28" t="str">
        <f aca="false">IF($K62="","",IF(OR(LEFT($T62,2)="작지",LEFT($T62,4)="소재입고"),IF(LEFT($E62,1)="S","★ 납기위험(S코드)","◆ 지연주의"),IF($T62="정상","✓ 정상","? 확인필요")))</f>
        <v>? 확인필요</v>
      </c>
      <c r="V62" s="31"/>
      <c r="W62" s="19"/>
    </row>
    <row r="63" customFormat="false" ht="15" hidden="false" customHeight="true" outlineLevel="0" collapsed="false">
      <c r="A63" s="28" t="n">
        <v>59</v>
      </c>
      <c r="B63" s="29" t="s">
        <v>103</v>
      </c>
      <c r="C63" s="30" t="s">
        <v>247</v>
      </c>
      <c r="D63" s="29" t="s">
        <v>248</v>
      </c>
      <c r="E63" s="28" t="str">
        <f aca="false">IF($C63="","",IF(MID($C63,5,1)="S","S(봄)",IF(MID($C63,5,1)="M","M(여름)",IF(MID($C63,5,1)="X","X(사계절)",MID($C63,5,1)))))</f>
        <v>S(봄)</v>
      </c>
      <c r="F63" s="29" t="s">
        <v>106</v>
      </c>
      <c r="G63" s="31"/>
      <c r="H63" s="28" t="str">
        <f aca="false">IF($C63="","",REPLACE($C63,6,2,"26"))</f>
        <v>JKTCS26056</v>
      </c>
      <c r="I63" s="32" t="str">
        <f aca="false">IFERROR(INDEX(전년출고참조!$B$4:$B$638,MATCH($H63,전년출고참조!$A$4:$A$638,0)),"")</f>
        <v/>
      </c>
      <c r="J63" s="32" t="n">
        <v>46367</v>
      </c>
      <c r="K63" s="32" t="n">
        <f aca="false">IF($G63&lt;&gt;"",IFERROR(DATE(IF(VALUE(LEFT($G63,FIND("월",$G63)-1))&gt;=9,기준정보!$C$6-1,기준정보!$C$6),VALUE(LEFT($G63,FIND("월",$G63)-1)),1+7*(VALUE(SUBSTITUTE(MID($G63,FIND("월",$G63)+1,5),"주",""))-1)),""),IF($I63&lt;&gt;"",IF(ISNUMBER($I63),$I63+364,IFERROR(DATE(IF(VALUE(LEFT($I63,FIND("월",$I63)-1))&gt;=9,기준정보!$C$6-1,기준정보!$C$6),VALUE(LEFT($I63,FIND("월",$I63)-1)),1+7*(VALUE(SUBSTITUTE(MID($I63,FIND("월",$I63)+1,5),"주",""))-1)),"")),IF($J63&lt;&gt;"",$J63,"")))</f>
        <v>46367</v>
      </c>
      <c r="L63" s="28" t="str">
        <f aca="false">IF($G63&lt;&gt;"","계획 주차",IF($I63&lt;&gt;"","전년+1년 예측",IF($J63&lt;&gt;"","전산 입고계획(참고)","미정")))</f>
        <v>전산 입고계획(참고)</v>
      </c>
      <c r="M63" s="32" t="n">
        <f aca="false">IF($K63="","",$K63-기준정보!$C$5)</f>
        <v>46277</v>
      </c>
      <c r="N63" s="33" t="n">
        <f aca="false">IF($M63="","",$M63-기준정보!$C$4)</f>
        <v>36</v>
      </c>
      <c r="O63" s="31" t="s">
        <v>108</v>
      </c>
      <c r="P63" s="20"/>
      <c r="Q63" s="30" t="str">
        <f aca="false">IF($F63="","",IF(AND(ISNUMBER(SEARCH("CMT",$F63)),OR(ISNUMBER(SEARCH("사입",$F63)),ISNUMBER(SEARCH("Buying",$F63)))),"본사/생산처 혼재",IF(ISNUMBER(SEARCH("CMT",$F63)),"본사(소재팀)","생산처")))</f>
        <v>생산처</v>
      </c>
      <c r="R63" s="29" t="s">
        <v>156</v>
      </c>
      <c r="S63" s="29" t="s">
        <v>110</v>
      </c>
      <c r="T63" s="30" t="str">
        <f aca="false">IF($K63="","출고일 미정",IF($O63="X","작지(일매) 미등록",IF($O63="부분","작지(일매) 일부 미등록",IF(AND($P63&lt;&gt;"",$P63&gt;$M63),"소재입고 마감("&amp;TEXT($M63,"MM/DD")&amp;") 초과",IF($O63="","일매 등록여부 확인 필요",IF($P63="","소재 입고일정 확인 필요","정상"))))))</f>
        <v>소재 입고일정 확인 필요</v>
      </c>
      <c r="U63" s="28" t="str">
        <f aca="false">IF($K63="","",IF(OR(LEFT($T63,2)="작지",LEFT($T63,4)="소재입고"),IF(LEFT($E63,1)="S","★ 납기위험(S코드)","◆ 지연주의"),IF($T63="정상","✓ 정상","? 확인필요")))</f>
        <v>? 확인필요</v>
      </c>
      <c r="V63" s="31"/>
      <c r="W63" s="19"/>
    </row>
    <row r="64" customFormat="false" ht="15" hidden="false" customHeight="true" outlineLevel="0" collapsed="false">
      <c r="A64" s="28" t="n">
        <v>60</v>
      </c>
      <c r="B64" s="29" t="s">
        <v>103</v>
      </c>
      <c r="C64" s="30" t="s">
        <v>249</v>
      </c>
      <c r="D64" s="29" t="s">
        <v>250</v>
      </c>
      <c r="E64" s="28" t="str">
        <f aca="false">IF($C64="","",IF(MID($C64,5,1)="S","S(봄)",IF(MID($C64,5,1)="M","M(여름)",IF(MID($C64,5,1)="X","X(사계절)",MID($C64,5,1)))))</f>
        <v>S(봄)</v>
      </c>
      <c r="F64" s="29" t="s">
        <v>106</v>
      </c>
      <c r="G64" s="31"/>
      <c r="H64" s="28" t="str">
        <f aca="false">IF($C64="","",REPLACE($C64,6,2,"26"))</f>
        <v>JKVAS26018</v>
      </c>
      <c r="I64" s="32" t="str">
        <f aca="false">IFERROR(INDEX(전년출고참조!$B$4:$B$638,MATCH($H64,전년출고참조!$A$4:$A$638,0)),"")</f>
        <v/>
      </c>
      <c r="J64" s="32" t="n">
        <v>46367</v>
      </c>
      <c r="K64" s="32" t="n">
        <f aca="false">IF($G64&lt;&gt;"",IFERROR(DATE(IF(VALUE(LEFT($G64,FIND("월",$G64)-1))&gt;=9,기준정보!$C$6-1,기준정보!$C$6),VALUE(LEFT($G64,FIND("월",$G64)-1)),1+7*(VALUE(SUBSTITUTE(MID($G64,FIND("월",$G64)+1,5),"주",""))-1)),""),IF($I64&lt;&gt;"",IF(ISNUMBER($I64),$I64+364,IFERROR(DATE(IF(VALUE(LEFT($I64,FIND("월",$I64)-1))&gt;=9,기준정보!$C$6-1,기준정보!$C$6),VALUE(LEFT($I64,FIND("월",$I64)-1)),1+7*(VALUE(SUBSTITUTE(MID($I64,FIND("월",$I64)+1,5),"주",""))-1)),"")),IF($J64&lt;&gt;"",$J64,"")))</f>
        <v>46367</v>
      </c>
      <c r="L64" s="28" t="str">
        <f aca="false">IF($G64&lt;&gt;"","계획 주차",IF($I64&lt;&gt;"","전년+1년 예측",IF($J64&lt;&gt;"","전산 입고계획(참고)","미정")))</f>
        <v>전산 입고계획(참고)</v>
      </c>
      <c r="M64" s="32" t="n">
        <f aca="false">IF($K64="","",$K64-기준정보!$C$5)</f>
        <v>46277</v>
      </c>
      <c r="N64" s="33" t="n">
        <f aca="false">IF($M64="","",$M64-기준정보!$C$4)</f>
        <v>36</v>
      </c>
      <c r="O64" s="34" t="s">
        <v>251</v>
      </c>
      <c r="P64" s="20"/>
      <c r="Q64" s="30" t="str">
        <f aca="false">IF($F64="","",IF(AND(ISNUMBER(SEARCH("CMT",$F64)),OR(ISNUMBER(SEARCH("사입",$F64)),ISNUMBER(SEARCH("Buying",$F64)))),"본사/생산처 혼재",IF(ISNUMBER(SEARCH("CMT",$F64)),"본사(소재팀)","생산처")))</f>
        <v>생산처</v>
      </c>
      <c r="R64" s="29" t="s">
        <v>119</v>
      </c>
      <c r="S64" s="29" t="s">
        <v>120</v>
      </c>
      <c r="T64" s="30" t="str">
        <f aca="false">IF($K64="","출고일 미정",IF($O64="X","작지(일매) 미등록",IF($O64="부분","작지(일매) 일부 미등록",IF(AND($P64&lt;&gt;"",$P64&gt;$M64),"소재입고 마감("&amp;TEXT($M64,"MM/DD")&amp;") 초과",IF($O64="","일매 등록여부 확인 필요",IF($P64="","소재 입고일정 확인 필요","정상"))))))</f>
        <v>작지(일매) 일부 미등록</v>
      </c>
      <c r="U64" s="28" t="str">
        <f aca="false">IF($K64="","",IF(OR(LEFT($T64,2)="작지",LEFT($T64,4)="소재입고"),IF(LEFT($E64,1)="S","★ 납기위험(S코드)","◆ 지연주의"),IF($T64="정상","✓ 정상","? 확인필요")))</f>
        <v>★ 납기위험(S코드)</v>
      </c>
      <c r="V64" s="31"/>
      <c r="W64" s="19"/>
    </row>
    <row r="65" customFormat="false" ht="15" hidden="false" customHeight="true" outlineLevel="0" collapsed="false">
      <c r="A65" s="28" t="n">
        <v>61</v>
      </c>
      <c r="B65" s="29" t="s">
        <v>218</v>
      </c>
      <c r="C65" s="30" t="s">
        <v>252</v>
      </c>
      <c r="D65" s="29" t="s">
        <v>253</v>
      </c>
      <c r="E65" s="28" t="str">
        <f aca="false">IF($C65="","",IF(MID($C65,5,1)="S","S(봄)",IF(MID($C65,5,1)="M","M(여름)",IF(MID($C65,5,1)="X","X(사계절)",MID($C65,5,1)))))</f>
        <v>S(봄)</v>
      </c>
      <c r="F65" s="29" t="s">
        <v>106</v>
      </c>
      <c r="G65" s="31"/>
      <c r="H65" s="28" t="str">
        <f aca="false">IF($C65="","",REPLACE($C65,6,2,"26"))</f>
        <v>JKVAS26132</v>
      </c>
      <c r="I65" s="32" t="str">
        <f aca="false">IFERROR(INDEX(전년출고참조!$B$4:$B$638,MATCH($H65,전년출고참조!$A$4:$A$638,0)),"")</f>
        <v/>
      </c>
      <c r="J65" s="32" t="n">
        <v>46367</v>
      </c>
      <c r="K65" s="32" t="n">
        <f aca="false">IF($G65&lt;&gt;"",IFERROR(DATE(IF(VALUE(LEFT($G65,FIND("월",$G65)-1))&gt;=9,기준정보!$C$6-1,기준정보!$C$6),VALUE(LEFT($G65,FIND("월",$G65)-1)),1+7*(VALUE(SUBSTITUTE(MID($G65,FIND("월",$G65)+1,5),"주",""))-1)),""),IF($I65&lt;&gt;"",IF(ISNUMBER($I65),$I65+364,IFERROR(DATE(IF(VALUE(LEFT($I65,FIND("월",$I65)-1))&gt;=9,기준정보!$C$6-1,기준정보!$C$6),VALUE(LEFT($I65,FIND("월",$I65)-1)),1+7*(VALUE(SUBSTITUTE(MID($I65,FIND("월",$I65)+1,5),"주",""))-1)),"")),IF($J65&lt;&gt;"",$J65,"")))</f>
        <v>46367</v>
      </c>
      <c r="L65" s="28" t="str">
        <f aca="false">IF($G65&lt;&gt;"","계획 주차",IF($I65&lt;&gt;"","전년+1년 예측",IF($J65&lt;&gt;"","전산 입고계획(참고)","미정")))</f>
        <v>전산 입고계획(참고)</v>
      </c>
      <c r="M65" s="32" t="n">
        <f aca="false">IF($K65="","",$K65-기준정보!$C$5)</f>
        <v>46277</v>
      </c>
      <c r="N65" s="33" t="n">
        <f aca="false">IF($M65="","",$M65-기준정보!$C$4)</f>
        <v>36</v>
      </c>
      <c r="O65" s="31" t="s">
        <v>108</v>
      </c>
      <c r="P65" s="20"/>
      <c r="Q65" s="30" t="str">
        <f aca="false">IF($F65="","",IF(AND(ISNUMBER(SEARCH("CMT",$F65)),OR(ISNUMBER(SEARCH("사입",$F65)),ISNUMBER(SEARCH("Buying",$F65)))),"본사/생산처 혼재",IF(ISNUMBER(SEARCH("CMT",$F65)),"본사(소재팀)","생산처")))</f>
        <v>생산처</v>
      </c>
      <c r="R65" s="29" t="s">
        <v>119</v>
      </c>
      <c r="S65" s="29" t="s">
        <v>110</v>
      </c>
      <c r="T65" s="30" t="str">
        <f aca="false">IF($K65="","출고일 미정",IF($O65="X","작지(일매) 미등록",IF($O65="부분","작지(일매) 일부 미등록",IF(AND($P65&lt;&gt;"",$P65&gt;$M65),"소재입고 마감("&amp;TEXT($M65,"MM/DD")&amp;") 초과",IF($O65="","일매 등록여부 확인 필요",IF($P65="","소재 입고일정 확인 필요","정상"))))))</f>
        <v>소재 입고일정 확인 필요</v>
      </c>
      <c r="U65" s="28" t="str">
        <f aca="false">IF($K65="","",IF(OR(LEFT($T65,2)="작지",LEFT($T65,4)="소재입고"),IF(LEFT($E65,1)="S","★ 납기위험(S코드)","◆ 지연주의"),IF($T65="정상","✓ 정상","? 확인필요")))</f>
        <v>? 확인필요</v>
      </c>
      <c r="V65" s="31"/>
      <c r="W65" s="19"/>
    </row>
    <row r="66" customFormat="false" ht="15" hidden="false" customHeight="true" outlineLevel="0" collapsed="false">
      <c r="A66" s="28" t="n">
        <v>62</v>
      </c>
      <c r="B66" s="29" t="s">
        <v>103</v>
      </c>
      <c r="C66" s="30" t="s">
        <v>254</v>
      </c>
      <c r="D66" s="29" t="s">
        <v>255</v>
      </c>
      <c r="E66" s="28" t="str">
        <f aca="false">IF($C66="","",IF(MID($C66,5,1)="S","S(봄)",IF(MID($C66,5,1)="M","M(여름)",IF(MID($C66,5,1)="X","X(사계절)",MID($C66,5,1)))))</f>
        <v>S(봄)</v>
      </c>
      <c r="F66" s="29" t="s">
        <v>106</v>
      </c>
      <c r="G66" s="31"/>
      <c r="H66" s="28" t="str">
        <f aca="false">IF($C66="","",REPLACE($C66,6,2,"26"))</f>
        <v>JWJJS26011</v>
      </c>
      <c r="I66" s="32" t="str">
        <f aca="false">IFERROR(INDEX(전년출고참조!$B$4:$B$638,MATCH($H66,전년출고참조!$A$4:$A$638,0)),"")</f>
        <v/>
      </c>
      <c r="J66" s="32" t="n">
        <v>46367</v>
      </c>
      <c r="K66" s="32" t="n">
        <f aca="false">IF($G66&lt;&gt;"",IFERROR(DATE(IF(VALUE(LEFT($G66,FIND("월",$G66)-1))&gt;=9,기준정보!$C$6-1,기준정보!$C$6),VALUE(LEFT($G66,FIND("월",$G66)-1)),1+7*(VALUE(SUBSTITUTE(MID($G66,FIND("월",$G66)+1,5),"주",""))-1)),""),IF($I66&lt;&gt;"",IF(ISNUMBER($I66),$I66+364,IFERROR(DATE(IF(VALUE(LEFT($I66,FIND("월",$I66)-1))&gt;=9,기준정보!$C$6-1,기준정보!$C$6),VALUE(LEFT($I66,FIND("월",$I66)-1)),1+7*(VALUE(SUBSTITUTE(MID($I66,FIND("월",$I66)+1,5),"주",""))-1)),"")),IF($J66&lt;&gt;"",$J66,"")))</f>
        <v>46367</v>
      </c>
      <c r="L66" s="28" t="str">
        <f aca="false">IF($G66&lt;&gt;"","계획 주차",IF($I66&lt;&gt;"","전년+1년 예측",IF($J66&lt;&gt;"","전산 입고계획(참고)","미정")))</f>
        <v>전산 입고계획(참고)</v>
      </c>
      <c r="M66" s="32" t="n">
        <f aca="false">IF($K66="","",$K66-기준정보!$C$5)</f>
        <v>46277</v>
      </c>
      <c r="N66" s="33" t="n">
        <f aca="false">IF($M66="","",$M66-기준정보!$C$4)</f>
        <v>36</v>
      </c>
      <c r="O66" s="31" t="s">
        <v>108</v>
      </c>
      <c r="P66" s="20"/>
      <c r="Q66" s="30" t="str">
        <f aca="false">IF($F66="","",IF(AND(ISNUMBER(SEARCH("CMT",$F66)),OR(ISNUMBER(SEARCH("사입",$F66)),ISNUMBER(SEARCH("Buying",$F66)))),"본사/생산처 혼재",IF(ISNUMBER(SEARCH("CMT",$F66)),"본사(소재팀)","생산처")))</f>
        <v>생산처</v>
      </c>
      <c r="R66" s="29" t="s">
        <v>119</v>
      </c>
      <c r="S66" s="29" t="s">
        <v>120</v>
      </c>
      <c r="T66" s="30" t="str">
        <f aca="false">IF($K66="","출고일 미정",IF($O66="X","작지(일매) 미등록",IF($O66="부분","작지(일매) 일부 미등록",IF(AND($P66&lt;&gt;"",$P66&gt;$M66),"소재입고 마감("&amp;TEXT($M66,"MM/DD")&amp;") 초과",IF($O66="","일매 등록여부 확인 필요",IF($P66="","소재 입고일정 확인 필요","정상"))))))</f>
        <v>소재 입고일정 확인 필요</v>
      </c>
      <c r="U66" s="28" t="str">
        <f aca="false">IF($K66="","",IF(OR(LEFT($T66,2)="작지",LEFT($T66,4)="소재입고"),IF(LEFT($E66,1)="S","★ 납기위험(S코드)","◆ 지연주의"),IF($T66="정상","✓ 정상","? 확인필요")))</f>
        <v>? 확인필요</v>
      </c>
      <c r="V66" s="31"/>
      <c r="W66" s="19"/>
    </row>
    <row r="67" customFormat="false" ht="15" hidden="false" customHeight="true" outlineLevel="0" collapsed="false">
      <c r="A67" s="28" t="n">
        <v>63</v>
      </c>
      <c r="B67" s="29" t="s">
        <v>103</v>
      </c>
      <c r="C67" s="30" t="s">
        <v>256</v>
      </c>
      <c r="D67" s="29" t="s">
        <v>257</v>
      </c>
      <c r="E67" s="28" t="str">
        <f aca="false">IF($C67="","",IF(MID($C67,5,1)="S","S(봄)",IF(MID($C67,5,1)="M","M(여름)",IF(MID($C67,5,1)="X","X(사계절)",MID($C67,5,1)))))</f>
        <v>S(봄)</v>
      </c>
      <c r="F67" s="29" t="s">
        <v>106</v>
      </c>
      <c r="G67" s="31"/>
      <c r="H67" s="28" t="str">
        <f aca="false">IF($C67="","",REPLACE($C67,6,2,"26"))</f>
        <v>JWJJS26015</v>
      </c>
      <c r="I67" s="32" t="str">
        <f aca="false">IFERROR(INDEX(전년출고참조!$B$4:$B$638,MATCH($H67,전년출고참조!$A$4:$A$638,0)),"")</f>
        <v/>
      </c>
      <c r="J67" s="32" t="n">
        <v>46367</v>
      </c>
      <c r="K67" s="32" t="n">
        <f aca="false">IF($G67&lt;&gt;"",IFERROR(DATE(IF(VALUE(LEFT($G67,FIND("월",$G67)-1))&gt;=9,기준정보!$C$6-1,기준정보!$C$6),VALUE(LEFT($G67,FIND("월",$G67)-1)),1+7*(VALUE(SUBSTITUTE(MID($G67,FIND("월",$G67)+1,5),"주",""))-1)),""),IF($I67&lt;&gt;"",IF(ISNUMBER($I67),$I67+364,IFERROR(DATE(IF(VALUE(LEFT($I67,FIND("월",$I67)-1))&gt;=9,기준정보!$C$6-1,기준정보!$C$6),VALUE(LEFT($I67,FIND("월",$I67)-1)),1+7*(VALUE(SUBSTITUTE(MID($I67,FIND("월",$I67)+1,5),"주",""))-1)),"")),IF($J67&lt;&gt;"",$J67,"")))</f>
        <v>46367</v>
      </c>
      <c r="L67" s="28" t="str">
        <f aca="false">IF($G67&lt;&gt;"","계획 주차",IF($I67&lt;&gt;"","전년+1년 예측",IF($J67&lt;&gt;"","전산 입고계획(참고)","미정")))</f>
        <v>전산 입고계획(참고)</v>
      </c>
      <c r="M67" s="32" t="n">
        <f aca="false">IF($K67="","",$K67-기준정보!$C$5)</f>
        <v>46277</v>
      </c>
      <c r="N67" s="33" t="n">
        <f aca="false">IF($M67="","",$M67-기준정보!$C$4)</f>
        <v>36</v>
      </c>
      <c r="O67" s="31" t="s">
        <v>108</v>
      </c>
      <c r="P67" s="20"/>
      <c r="Q67" s="30" t="str">
        <f aca="false">IF($F67="","",IF(AND(ISNUMBER(SEARCH("CMT",$F67)),OR(ISNUMBER(SEARCH("사입",$F67)),ISNUMBER(SEARCH("Buying",$F67)))),"본사/생산처 혼재",IF(ISNUMBER(SEARCH("CMT",$F67)),"본사(소재팀)","생산처")))</f>
        <v>생산처</v>
      </c>
      <c r="R67" s="29" t="s">
        <v>119</v>
      </c>
      <c r="S67" s="29" t="s">
        <v>120</v>
      </c>
      <c r="T67" s="30" t="str">
        <f aca="false">IF($K67="","출고일 미정",IF($O67="X","작지(일매) 미등록",IF($O67="부분","작지(일매) 일부 미등록",IF(AND($P67&lt;&gt;"",$P67&gt;$M67),"소재입고 마감("&amp;TEXT($M67,"MM/DD")&amp;") 초과",IF($O67="","일매 등록여부 확인 필요",IF($P67="","소재 입고일정 확인 필요","정상"))))))</f>
        <v>소재 입고일정 확인 필요</v>
      </c>
      <c r="U67" s="28" t="str">
        <f aca="false">IF($K67="","",IF(OR(LEFT($T67,2)="작지",LEFT($T67,4)="소재입고"),IF(LEFT($E67,1)="S","★ 납기위험(S코드)","◆ 지연주의"),IF($T67="정상","✓ 정상","? 확인필요")))</f>
        <v>? 확인필요</v>
      </c>
      <c r="V67" s="31"/>
      <c r="W67" s="19"/>
    </row>
    <row r="68" customFormat="false" ht="15" hidden="false" customHeight="true" outlineLevel="0" collapsed="false">
      <c r="A68" s="28" t="n">
        <v>64</v>
      </c>
      <c r="B68" s="29" t="s">
        <v>103</v>
      </c>
      <c r="C68" s="30" t="s">
        <v>258</v>
      </c>
      <c r="D68" s="29" t="s">
        <v>259</v>
      </c>
      <c r="E68" s="28" t="str">
        <f aca="false">IF($C68="","",IF(MID($C68,5,1)="S","S(봄)",IF(MID($C68,5,1)="M","M(여름)",IF(MID($C68,5,1)="X","X(사계절)",MID($C68,5,1)))))</f>
        <v>S(봄)</v>
      </c>
      <c r="F68" s="29" t="s">
        <v>106</v>
      </c>
      <c r="G68" s="31"/>
      <c r="H68" s="28" t="str">
        <f aca="false">IF($C68="","",REPLACE($C68,6,2,"26"))</f>
        <v>JWJJS26021</v>
      </c>
      <c r="I68" s="32" t="str">
        <f aca="false">IFERROR(INDEX(전년출고참조!$B$4:$B$638,MATCH($H68,전년출고참조!$A$4:$A$638,0)),"")</f>
        <v/>
      </c>
      <c r="J68" s="32" t="n">
        <v>46367</v>
      </c>
      <c r="K68" s="32" t="n">
        <f aca="false">IF($G68&lt;&gt;"",IFERROR(DATE(IF(VALUE(LEFT($G68,FIND("월",$G68)-1))&gt;=9,기준정보!$C$6-1,기준정보!$C$6),VALUE(LEFT($G68,FIND("월",$G68)-1)),1+7*(VALUE(SUBSTITUTE(MID($G68,FIND("월",$G68)+1,5),"주",""))-1)),""),IF($I68&lt;&gt;"",IF(ISNUMBER($I68),$I68+364,IFERROR(DATE(IF(VALUE(LEFT($I68,FIND("월",$I68)-1))&gt;=9,기준정보!$C$6-1,기준정보!$C$6),VALUE(LEFT($I68,FIND("월",$I68)-1)),1+7*(VALUE(SUBSTITUTE(MID($I68,FIND("월",$I68)+1,5),"주",""))-1)),"")),IF($J68&lt;&gt;"",$J68,"")))</f>
        <v>46367</v>
      </c>
      <c r="L68" s="28" t="str">
        <f aca="false">IF($G68&lt;&gt;"","계획 주차",IF($I68&lt;&gt;"","전년+1년 예측",IF($J68&lt;&gt;"","전산 입고계획(참고)","미정")))</f>
        <v>전산 입고계획(참고)</v>
      </c>
      <c r="M68" s="32" t="n">
        <f aca="false">IF($K68="","",$K68-기준정보!$C$5)</f>
        <v>46277</v>
      </c>
      <c r="N68" s="33" t="n">
        <f aca="false">IF($M68="","",$M68-기준정보!$C$4)</f>
        <v>36</v>
      </c>
      <c r="O68" s="31" t="s">
        <v>108</v>
      </c>
      <c r="P68" s="20"/>
      <c r="Q68" s="30" t="str">
        <f aca="false">IF($F68="","",IF(AND(ISNUMBER(SEARCH("CMT",$F68)),OR(ISNUMBER(SEARCH("사입",$F68)),ISNUMBER(SEARCH("Buying",$F68)))),"본사/생산처 혼재",IF(ISNUMBER(SEARCH("CMT",$F68)),"본사(소재팀)","생산처")))</f>
        <v>생산처</v>
      </c>
      <c r="R68" s="29" t="s">
        <v>119</v>
      </c>
      <c r="S68" s="29" t="s">
        <v>120</v>
      </c>
      <c r="T68" s="30" t="str">
        <f aca="false">IF($K68="","출고일 미정",IF($O68="X","작지(일매) 미등록",IF($O68="부분","작지(일매) 일부 미등록",IF(AND($P68&lt;&gt;"",$P68&gt;$M68),"소재입고 마감("&amp;TEXT($M68,"MM/DD")&amp;") 초과",IF($O68="","일매 등록여부 확인 필요",IF($P68="","소재 입고일정 확인 필요","정상"))))))</f>
        <v>소재 입고일정 확인 필요</v>
      </c>
      <c r="U68" s="28" t="str">
        <f aca="false">IF($K68="","",IF(OR(LEFT($T68,2)="작지",LEFT($T68,4)="소재입고"),IF(LEFT($E68,1)="S","★ 납기위험(S코드)","◆ 지연주의"),IF($T68="정상","✓ 정상","? 확인필요")))</f>
        <v>? 확인필요</v>
      </c>
      <c r="V68" s="31"/>
      <c r="W68" s="19"/>
    </row>
    <row r="69" customFormat="false" ht="15" hidden="false" customHeight="true" outlineLevel="0" collapsed="false">
      <c r="A69" s="28" t="n">
        <v>65</v>
      </c>
      <c r="B69" s="29" t="s">
        <v>103</v>
      </c>
      <c r="C69" s="30" t="s">
        <v>260</v>
      </c>
      <c r="D69" s="29" t="s">
        <v>261</v>
      </c>
      <c r="E69" s="28" t="str">
        <f aca="false">IF($C69="","",IF(MID($C69,5,1)="S","S(봄)",IF(MID($C69,5,1)="M","M(여름)",IF(MID($C69,5,1)="X","X(사계절)",MID($C69,5,1)))))</f>
        <v>S(봄)</v>
      </c>
      <c r="F69" s="29" t="s">
        <v>106</v>
      </c>
      <c r="G69" s="31"/>
      <c r="H69" s="28" t="str">
        <f aca="false">IF($C69="","",REPLACE($C69,6,2,"26"))</f>
        <v>JWJJS26031</v>
      </c>
      <c r="I69" s="32" t="str">
        <f aca="false">IFERROR(INDEX(전년출고참조!$B$4:$B$638,MATCH($H69,전년출고참조!$A$4:$A$638,0)),"")</f>
        <v/>
      </c>
      <c r="J69" s="32" t="n">
        <v>46367</v>
      </c>
      <c r="K69" s="32" t="n">
        <f aca="false">IF($G69&lt;&gt;"",IFERROR(DATE(IF(VALUE(LEFT($G69,FIND("월",$G69)-1))&gt;=9,기준정보!$C$6-1,기준정보!$C$6),VALUE(LEFT($G69,FIND("월",$G69)-1)),1+7*(VALUE(SUBSTITUTE(MID($G69,FIND("월",$G69)+1,5),"주",""))-1)),""),IF($I69&lt;&gt;"",IF(ISNUMBER($I69),$I69+364,IFERROR(DATE(IF(VALUE(LEFT($I69,FIND("월",$I69)-1))&gt;=9,기준정보!$C$6-1,기준정보!$C$6),VALUE(LEFT($I69,FIND("월",$I69)-1)),1+7*(VALUE(SUBSTITUTE(MID($I69,FIND("월",$I69)+1,5),"주",""))-1)),"")),IF($J69&lt;&gt;"",$J69,"")))</f>
        <v>46367</v>
      </c>
      <c r="L69" s="28" t="str">
        <f aca="false">IF($G69&lt;&gt;"","계획 주차",IF($I69&lt;&gt;"","전년+1년 예측",IF($J69&lt;&gt;"","전산 입고계획(참고)","미정")))</f>
        <v>전산 입고계획(참고)</v>
      </c>
      <c r="M69" s="32" t="n">
        <f aca="false">IF($K69="","",$K69-기준정보!$C$5)</f>
        <v>46277</v>
      </c>
      <c r="N69" s="33" t="n">
        <f aca="false">IF($M69="","",$M69-기준정보!$C$4)</f>
        <v>36</v>
      </c>
      <c r="O69" s="31" t="s">
        <v>108</v>
      </c>
      <c r="P69" s="20"/>
      <c r="Q69" s="30" t="str">
        <f aca="false">IF($F69="","",IF(AND(ISNUMBER(SEARCH("CMT",$F69)),OR(ISNUMBER(SEARCH("사입",$F69)),ISNUMBER(SEARCH("Buying",$F69)))),"본사/생산처 혼재",IF(ISNUMBER(SEARCH("CMT",$F69)),"본사(소재팀)","생산처")))</f>
        <v>생산처</v>
      </c>
      <c r="R69" s="29" t="s">
        <v>115</v>
      </c>
      <c r="S69" s="29" t="s">
        <v>110</v>
      </c>
      <c r="T69" s="30" t="str">
        <f aca="false">IF($K69="","출고일 미정",IF($O69="X","작지(일매) 미등록",IF($O69="부분","작지(일매) 일부 미등록",IF(AND($P69&lt;&gt;"",$P69&gt;$M69),"소재입고 마감("&amp;TEXT($M69,"MM/DD")&amp;") 초과",IF($O69="","일매 등록여부 확인 필요",IF($P69="","소재 입고일정 확인 필요","정상"))))))</f>
        <v>소재 입고일정 확인 필요</v>
      </c>
      <c r="U69" s="28" t="str">
        <f aca="false">IF($K69="","",IF(OR(LEFT($T69,2)="작지",LEFT($T69,4)="소재입고"),IF(LEFT($E69,1)="S","★ 납기위험(S코드)","◆ 지연주의"),IF($T69="정상","✓ 정상","? 확인필요")))</f>
        <v>? 확인필요</v>
      </c>
      <c r="V69" s="31"/>
      <c r="W69" s="19"/>
    </row>
    <row r="70" customFormat="false" ht="15" hidden="false" customHeight="true" outlineLevel="0" collapsed="false">
      <c r="A70" s="28" t="n">
        <v>66</v>
      </c>
      <c r="B70" s="29" t="s">
        <v>103</v>
      </c>
      <c r="C70" s="30" t="s">
        <v>262</v>
      </c>
      <c r="D70" s="29" t="s">
        <v>263</v>
      </c>
      <c r="E70" s="28" t="str">
        <f aca="false">IF($C70="","",IF(MID($C70,5,1)="S","S(봄)",IF(MID($C70,5,1)="M","M(여름)",IF(MID($C70,5,1)="X","X(사계절)",MID($C70,5,1)))))</f>
        <v>S(봄)</v>
      </c>
      <c r="F70" s="29" t="s">
        <v>106</v>
      </c>
      <c r="G70" s="31"/>
      <c r="H70" s="28" t="str">
        <f aca="false">IF($C70="","",REPLACE($C70,6,2,"26"))</f>
        <v>JWPNS26061</v>
      </c>
      <c r="I70" s="32" t="str">
        <f aca="false">IFERROR(INDEX(전년출고참조!$B$4:$B$638,MATCH($H70,전년출고참조!$A$4:$A$638,0)),"")</f>
        <v/>
      </c>
      <c r="J70" s="32" t="n">
        <v>46367</v>
      </c>
      <c r="K70" s="32" t="n">
        <f aca="false">IF($G70&lt;&gt;"",IFERROR(DATE(IF(VALUE(LEFT($G70,FIND("월",$G70)-1))&gt;=9,기준정보!$C$6-1,기준정보!$C$6),VALUE(LEFT($G70,FIND("월",$G70)-1)),1+7*(VALUE(SUBSTITUTE(MID($G70,FIND("월",$G70)+1,5),"주",""))-1)),""),IF($I70&lt;&gt;"",IF(ISNUMBER($I70),$I70+364,IFERROR(DATE(IF(VALUE(LEFT($I70,FIND("월",$I70)-1))&gt;=9,기준정보!$C$6-1,기준정보!$C$6),VALUE(LEFT($I70,FIND("월",$I70)-1)),1+7*(VALUE(SUBSTITUTE(MID($I70,FIND("월",$I70)+1,5),"주",""))-1)),"")),IF($J70&lt;&gt;"",$J70,"")))</f>
        <v>46367</v>
      </c>
      <c r="L70" s="28" t="str">
        <f aca="false">IF($G70&lt;&gt;"","계획 주차",IF($I70&lt;&gt;"","전년+1년 예측",IF($J70&lt;&gt;"","전산 입고계획(참고)","미정")))</f>
        <v>전산 입고계획(참고)</v>
      </c>
      <c r="M70" s="32" t="n">
        <f aca="false">IF($K70="","",$K70-기준정보!$C$5)</f>
        <v>46277</v>
      </c>
      <c r="N70" s="33" t="n">
        <f aca="false">IF($M70="","",$M70-기준정보!$C$4)</f>
        <v>36</v>
      </c>
      <c r="O70" s="31" t="s">
        <v>108</v>
      </c>
      <c r="P70" s="20"/>
      <c r="Q70" s="30" t="str">
        <f aca="false">IF($F70="","",IF(AND(ISNUMBER(SEARCH("CMT",$F70)),OR(ISNUMBER(SEARCH("사입",$F70)),ISNUMBER(SEARCH("Buying",$F70)))),"본사/생산처 혼재",IF(ISNUMBER(SEARCH("CMT",$F70)),"본사(소재팀)","생산처")))</f>
        <v>생산처</v>
      </c>
      <c r="R70" s="29" t="s">
        <v>145</v>
      </c>
      <c r="S70" s="29" t="s">
        <v>110</v>
      </c>
      <c r="T70" s="30" t="str">
        <f aca="false">IF($K70="","출고일 미정",IF($O70="X","작지(일매) 미등록",IF($O70="부분","작지(일매) 일부 미등록",IF(AND($P70&lt;&gt;"",$P70&gt;$M70),"소재입고 마감("&amp;TEXT($M70,"MM/DD")&amp;") 초과",IF($O70="","일매 등록여부 확인 필요",IF($P70="","소재 입고일정 확인 필요","정상"))))))</f>
        <v>소재 입고일정 확인 필요</v>
      </c>
      <c r="U70" s="28" t="str">
        <f aca="false">IF($K70="","",IF(OR(LEFT($T70,2)="작지",LEFT($T70,4)="소재입고"),IF(LEFT($E70,1)="S","★ 납기위험(S코드)","◆ 지연주의"),IF($T70="정상","✓ 정상","? 확인필요")))</f>
        <v>? 확인필요</v>
      </c>
      <c r="V70" s="31"/>
      <c r="W70" s="19"/>
    </row>
    <row r="71" customFormat="false" ht="15" hidden="false" customHeight="true" outlineLevel="0" collapsed="false">
      <c r="A71" s="28" t="n">
        <v>67</v>
      </c>
      <c r="B71" s="29" t="s">
        <v>103</v>
      </c>
      <c r="C71" s="30" t="s">
        <v>264</v>
      </c>
      <c r="D71" s="29" t="s">
        <v>265</v>
      </c>
      <c r="E71" s="28" t="str">
        <f aca="false">IF($C71="","",IF(MID($C71,5,1)="S","S(봄)",IF(MID($C71,5,1)="M","M(여름)",IF(MID($C71,5,1)="X","X(사계절)",MID($C71,5,1)))))</f>
        <v>S(봄)</v>
      </c>
      <c r="F71" s="29" t="s">
        <v>106</v>
      </c>
      <c r="G71" s="31"/>
      <c r="H71" s="28" t="str">
        <f aca="false">IF($C71="","",REPLACE($C71,6,2,"26"))</f>
        <v>JWPNS26071</v>
      </c>
      <c r="I71" s="32" t="str">
        <f aca="false">IFERROR(INDEX(전년출고참조!$B$4:$B$638,MATCH($H71,전년출고참조!$A$4:$A$638,0)),"")</f>
        <v/>
      </c>
      <c r="J71" s="32" t="n">
        <v>46367</v>
      </c>
      <c r="K71" s="32" t="n">
        <f aca="false">IF($G71&lt;&gt;"",IFERROR(DATE(IF(VALUE(LEFT($G71,FIND("월",$G71)-1))&gt;=9,기준정보!$C$6-1,기준정보!$C$6),VALUE(LEFT($G71,FIND("월",$G71)-1)),1+7*(VALUE(SUBSTITUTE(MID($G71,FIND("월",$G71)+1,5),"주",""))-1)),""),IF($I71&lt;&gt;"",IF(ISNUMBER($I71),$I71+364,IFERROR(DATE(IF(VALUE(LEFT($I71,FIND("월",$I71)-1))&gt;=9,기준정보!$C$6-1,기준정보!$C$6),VALUE(LEFT($I71,FIND("월",$I71)-1)),1+7*(VALUE(SUBSTITUTE(MID($I71,FIND("월",$I71)+1,5),"주",""))-1)),"")),IF($J71&lt;&gt;"",$J71,"")))</f>
        <v>46367</v>
      </c>
      <c r="L71" s="28" t="str">
        <f aca="false">IF($G71&lt;&gt;"","계획 주차",IF($I71&lt;&gt;"","전년+1년 예측",IF($J71&lt;&gt;"","전산 입고계획(참고)","미정")))</f>
        <v>전산 입고계획(참고)</v>
      </c>
      <c r="M71" s="32" t="n">
        <f aca="false">IF($K71="","",$K71-기준정보!$C$5)</f>
        <v>46277</v>
      </c>
      <c r="N71" s="33" t="n">
        <f aca="false">IF($M71="","",$M71-기준정보!$C$4)</f>
        <v>36</v>
      </c>
      <c r="O71" s="31" t="s">
        <v>108</v>
      </c>
      <c r="P71" s="20"/>
      <c r="Q71" s="30" t="str">
        <f aca="false">IF($F71="","",IF(AND(ISNUMBER(SEARCH("CMT",$F71)),OR(ISNUMBER(SEARCH("사입",$F71)),ISNUMBER(SEARCH("Buying",$F71)))),"본사/생산처 혼재",IF(ISNUMBER(SEARCH("CMT",$F71)),"본사(소재팀)","생산처")))</f>
        <v>생산처</v>
      </c>
      <c r="R71" s="29" t="s">
        <v>145</v>
      </c>
      <c r="S71" s="29" t="s">
        <v>110</v>
      </c>
      <c r="T71" s="30" t="str">
        <f aca="false">IF($K71="","출고일 미정",IF($O71="X","작지(일매) 미등록",IF($O71="부분","작지(일매) 일부 미등록",IF(AND($P71&lt;&gt;"",$P71&gt;$M71),"소재입고 마감("&amp;TEXT($M71,"MM/DD")&amp;") 초과",IF($O71="","일매 등록여부 확인 필요",IF($P71="","소재 입고일정 확인 필요","정상"))))))</f>
        <v>소재 입고일정 확인 필요</v>
      </c>
      <c r="U71" s="28" t="str">
        <f aca="false">IF($K71="","",IF(OR(LEFT($T71,2)="작지",LEFT($T71,4)="소재입고"),IF(LEFT($E71,1)="S","★ 납기위험(S코드)","◆ 지연주의"),IF($T71="정상","✓ 정상","? 확인필요")))</f>
        <v>? 확인필요</v>
      </c>
      <c r="V71" s="31"/>
      <c r="W71" s="19"/>
    </row>
    <row r="72" customFormat="false" ht="15" hidden="false" customHeight="true" outlineLevel="0" collapsed="false">
      <c r="A72" s="28" t="n">
        <v>68</v>
      </c>
      <c r="B72" s="29" t="s">
        <v>266</v>
      </c>
      <c r="C72" s="30" t="s">
        <v>267</v>
      </c>
      <c r="D72" s="29" t="s">
        <v>268</v>
      </c>
      <c r="E72" s="28" t="str">
        <f aca="false">IF($C72="","",IF(MID($C72,5,1)="S","S(봄)",IF(MID($C72,5,1)="M","M(여름)",IF(MID($C72,5,1)="X","X(사계절)",MID($C72,5,1)))))</f>
        <v>S(봄)</v>
      </c>
      <c r="F72" s="30" t="s">
        <v>141</v>
      </c>
      <c r="G72" s="31"/>
      <c r="H72" s="28" t="str">
        <f aca="false">IF($C72="","",REPLACE($C72,6,2,"26"))</f>
        <v>JWPNS26101</v>
      </c>
      <c r="I72" s="32" t="str">
        <f aca="false">IFERROR(INDEX(전년출고참조!$B$4:$B$638,MATCH($H72,전년출고참조!$A$4:$A$638,0)),"")</f>
        <v/>
      </c>
      <c r="J72" s="32" t="n">
        <v>46367</v>
      </c>
      <c r="K72" s="32" t="n">
        <f aca="false">IF($G72&lt;&gt;"",IFERROR(DATE(IF(VALUE(LEFT($G72,FIND("월",$G72)-1))&gt;=9,기준정보!$C$6-1,기준정보!$C$6),VALUE(LEFT($G72,FIND("월",$G72)-1)),1+7*(VALUE(SUBSTITUTE(MID($G72,FIND("월",$G72)+1,5),"주",""))-1)),""),IF($I72&lt;&gt;"",IF(ISNUMBER($I72),$I72+364,IFERROR(DATE(IF(VALUE(LEFT($I72,FIND("월",$I72)-1))&gt;=9,기준정보!$C$6-1,기준정보!$C$6),VALUE(LEFT($I72,FIND("월",$I72)-1)),1+7*(VALUE(SUBSTITUTE(MID($I72,FIND("월",$I72)+1,5),"주",""))-1)),"")),IF($J72&lt;&gt;"",$J72,"")))</f>
        <v>46367</v>
      </c>
      <c r="L72" s="28" t="str">
        <f aca="false">IF($G72&lt;&gt;"","계획 주차",IF($I72&lt;&gt;"","전년+1년 예측",IF($J72&lt;&gt;"","전산 입고계획(참고)","미정")))</f>
        <v>전산 입고계획(참고)</v>
      </c>
      <c r="M72" s="32" t="n">
        <f aca="false">IF($K72="","",$K72-기준정보!$C$5)</f>
        <v>46277</v>
      </c>
      <c r="N72" s="33" t="n">
        <f aca="false">IF($M72="","",$M72-기준정보!$C$4)</f>
        <v>36</v>
      </c>
      <c r="O72" s="31" t="s">
        <v>108</v>
      </c>
      <c r="P72" s="20"/>
      <c r="Q72" s="30" t="str">
        <f aca="false">IF($F72="","",IF(AND(ISNUMBER(SEARCH("CMT",$F72)),OR(ISNUMBER(SEARCH("사입",$F72)),ISNUMBER(SEARCH("Buying",$F72)))),"본사/생산처 혼재",IF(ISNUMBER(SEARCH("CMT",$F72)),"본사(소재팀)","생산처")))</f>
        <v>본사(소재팀)</v>
      </c>
      <c r="R72" s="29" t="s">
        <v>230</v>
      </c>
      <c r="S72" s="29" t="s">
        <v>110</v>
      </c>
      <c r="T72" s="30" t="str">
        <f aca="false">IF($K72="","출고일 미정",IF($O72="X","작지(일매) 미등록",IF($O72="부분","작지(일매) 일부 미등록",IF(AND($P72&lt;&gt;"",$P72&gt;$M72),"소재입고 마감("&amp;TEXT($M72,"MM/DD")&amp;") 초과",IF($O72="","일매 등록여부 확인 필요",IF($P72="","소재 입고일정 확인 필요","정상"))))))</f>
        <v>소재 입고일정 확인 필요</v>
      </c>
      <c r="U72" s="28" t="str">
        <f aca="false">IF($K72="","",IF(OR(LEFT($T72,2)="작지",LEFT($T72,4)="소재입고"),IF(LEFT($E72,1)="S","★ 납기위험(S코드)","◆ 지연주의"),IF($T72="정상","✓ 정상","? 확인필요")))</f>
        <v>? 확인필요</v>
      </c>
      <c r="V72" s="31"/>
      <c r="W72" s="19"/>
    </row>
    <row r="73" customFormat="false" ht="15" hidden="false" customHeight="true" outlineLevel="0" collapsed="false">
      <c r="A73" s="28" t="n">
        <v>69</v>
      </c>
      <c r="B73" s="29" t="s">
        <v>266</v>
      </c>
      <c r="C73" s="30" t="s">
        <v>269</v>
      </c>
      <c r="D73" s="29" t="s">
        <v>270</v>
      </c>
      <c r="E73" s="28" t="str">
        <f aca="false">IF($C73="","",IF(MID($C73,5,1)="S","S(봄)",IF(MID($C73,5,1)="M","M(여름)",IF(MID($C73,5,1)="X","X(사계절)",MID($C73,5,1)))))</f>
        <v>S(봄)</v>
      </c>
      <c r="F73" s="30" t="s">
        <v>141</v>
      </c>
      <c r="G73" s="31"/>
      <c r="H73" s="28" t="str">
        <f aca="false">IF($C73="","",REPLACE($C73,6,2,"26"))</f>
        <v>JWPNS26103</v>
      </c>
      <c r="I73" s="32" t="str">
        <f aca="false">IFERROR(INDEX(전년출고참조!$B$4:$B$638,MATCH($H73,전년출고참조!$A$4:$A$638,0)),"")</f>
        <v/>
      </c>
      <c r="J73" s="32" t="n">
        <v>46367</v>
      </c>
      <c r="K73" s="32" t="n">
        <f aca="false">IF($G73&lt;&gt;"",IFERROR(DATE(IF(VALUE(LEFT($G73,FIND("월",$G73)-1))&gt;=9,기준정보!$C$6-1,기준정보!$C$6),VALUE(LEFT($G73,FIND("월",$G73)-1)),1+7*(VALUE(SUBSTITUTE(MID($G73,FIND("월",$G73)+1,5),"주",""))-1)),""),IF($I73&lt;&gt;"",IF(ISNUMBER($I73),$I73+364,IFERROR(DATE(IF(VALUE(LEFT($I73,FIND("월",$I73)-1))&gt;=9,기준정보!$C$6-1,기준정보!$C$6),VALUE(LEFT($I73,FIND("월",$I73)-1)),1+7*(VALUE(SUBSTITUTE(MID($I73,FIND("월",$I73)+1,5),"주",""))-1)),"")),IF($J73&lt;&gt;"",$J73,"")))</f>
        <v>46367</v>
      </c>
      <c r="L73" s="28" t="str">
        <f aca="false">IF($G73&lt;&gt;"","계획 주차",IF($I73&lt;&gt;"","전년+1년 예측",IF($J73&lt;&gt;"","전산 입고계획(참고)","미정")))</f>
        <v>전산 입고계획(참고)</v>
      </c>
      <c r="M73" s="32" t="n">
        <f aca="false">IF($K73="","",$K73-기준정보!$C$5)</f>
        <v>46277</v>
      </c>
      <c r="N73" s="33" t="n">
        <f aca="false">IF($M73="","",$M73-기준정보!$C$4)</f>
        <v>36</v>
      </c>
      <c r="O73" s="31" t="s">
        <v>108</v>
      </c>
      <c r="P73" s="20"/>
      <c r="Q73" s="30" t="str">
        <f aca="false">IF($F73="","",IF(AND(ISNUMBER(SEARCH("CMT",$F73)),OR(ISNUMBER(SEARCH("사입",$F73)),ISNUMBER(SEARCH("Buying",$F73)))),"본사/생산처 혼재",IF(ISNUMBER(SEARCH("CMT",$F73)),"본사(소재팀)","생산처")))</f>
        <v>본사(소재팀)</v>
      </c>
      <c r="R73" s="29" t="s">
        <v>230</v>
      </c>
      <c r="S73" s="29" t="s">
        <v>110</v>
      </c>
      <c r="T73" s="30" t="str">
        <f aca="false">IF($K73="","출고일 미정",IF($O73="X","작지(일매) 미등록",IF($O73="부분","작지(일매) 일부 미등록",IF(AND($P73&lt;&gt;"",$P73&gt;$M73),"소재입고 마감("&amp;TEXT($M73,"MM/DD")&amp;") 초과",IF($O73="","일매 등록여부 확인 필요",IF($P73="","소재 입고일정 확인 필요","정상"))))))</f>
        <v>소재 입고일정 확인 필요</v>
      </c>
      <c r="U73" s="28" t="str">
        <f aca="false">IF($K73="","",IF(OR(LEFT($T73,2)="작지",LEFT($T73,4)="소재입고"),IF(LEFT($E73,1)="S","★ 납기위험(S코드)","◆ 지연주의"),IF($T73="정상","✓ 정상","? 확인필요")))</f>
        <v>? 확인필요</v>
      </c>
      <c r="V73" s="31"/>
      <c r="W73" s="19"/>
    </row>
    <row r="74" customFormat="false" ht="15" hidden="false" customHeight="true" outlineLevel="0" collapsed="false">
      <c r="A74" s="28" t="n">
        <v>70</v>
      </c>
      <c r="B74" s="29" t="s">
        <v>266</v>
      </c>
      <c r="C74" s="30" t="s">
        <v>271</v>
      </c>
      <c r="D74" s="29" t="s">
        <v>272</v>
      </c>
      <c r="E74" s="28" t="str">
        <f aca="false">IF($C74="","",IF(MID($C74,5,1)="S","S(봄)",IF(MID($C74,5,1)="M","M(여름)",IF(MID($C74,5,1)="X","X(사계절)",MID($C74,5,1)))))</f>
        <v>S(봄)</v>
      </c>
      <c r="F74" s="30" t="s">
        <v>141</v>
      </c>
      <c r="G74" s="31"/>
      <c r="H74" s="28" t="str">
        <f aca="false">IF($C74="","",REPLACE($C74,6,2,"26"))</f>
        <v>JWPNS26113</v>
      </c>
      <c r="I74" s="32" t="str">
        <f aca="false">IFERROR(INDEX(전년출고참조!$B$4:$B$638,MATCH($H74,전년출고참조!$A$4:$A$638,0)),"")</f>
        <v/>
      </c>
      <c r="J74" s="32" t="n">
        <v>46367</v>
      </c>
      <c r="K74" s="32" t="n">
        <f aca="false">IF($G74&lt;&gt;"",IFERROR(DATE(IF(VALUE(LEFT($G74,FIND("월",$G74)-1))&gt;=9,기준정보!$C$6-1,기준정보!$C$6),VALUE(LEFT($G74,FIND("월",$G74)-1)),1+7*(VALUE(SUBSTITUTE(MID($G74,FIND("월",$G74)+1,5),"주",""))-1)),""),IF($I74&lt;&gt;"",IF(ISNUMBER($I74),$I74+364,IFERROR(DATE(IF(VALUE(LEFT($I74,FIND("월",$I74)-1))&gt;=9,기준정보!$C$6-1,기준정보!$C$6),VALUE(LEFT($I74,FIND("월",$I74)-1)),1+7*(VALUE(SUBSTITUTE(MID($I74,FIND("월",$I74)+1,5),"주",""))-1)),"")),IF($J74&lt;&gt;"",$J74,"")))</f>
        <v>46367</v>
      </c>
      <c r="L74" s="28" t="str">
        <f aca="false">IF($G74&lt;&gt;"","계획 주차",IF($I74&lt;&gt;"","전년+1년 예측",IF($J74&lt;&gt;"","전산 입고계획(참고)","미정")))</f>
        <v>전산 입고계획(참고)</v>
      </c>
      <c r="M74" s="32" t="n">
        <f aca="false">IF($K74="","",$K74-기준정보!$C$5)</f>
        <v>46277</v>
      </c>
      <c r="N74" s="33" t="n">
        <f aca="false">IF($M74="","",$M74-기준정보!$C$4)</f>
        <v>36</v>
      </c>
      <c r="O74" s="31" t="s">
        <v>108</v>
      </c>
      <c r="P74" s="20"/>
      <c r="Q74" s="30" t="str">
        <f aca="false">IF($F74="","",IF(AND(ISNUMBER(SEARCH("CMT",$F74)),OR(ISNUMBER(SEARCH("사입",$F74)),ISNUMBER(SEARCH("Buying",$F74)))),"본사/생산처 혼재",IF(ISNUMBER(SEARCH("CMT",$F74)),"본사(소재팀)","생산처")))</f>
        <v>본사(소재팀)</v>
      </c>
      <c r="R74" s="29" t="s">
        <v>148</v>
      </c>
      <c r="S74" s="29" t="s">
        <v>110</v>
      </c>
      <c r="T74" s="30" t="str">
        <f aca="false">IF($K74="","출고일 미정",IF($O74="X","작지(일매) 미등록",IF($O74="부분","작지(일매) 일부 미등록",IF(AND($P74&lt;&gt;"",$P74&gt;$M74),"소재입고 마감("&amp;TEXT($M74,"MM/DD")&amp;") 초과",IF($O74="","일매 등록여부 확인 필요",IF($P74="","소재 입고일정 확인 필요","정상"))))))</f>
        <v>소재 입고일정 확인 필요</v>
      </c>
      <c r="U74" s="28" t="str">
        <f aca="false">IF($K74="","",IF(OR(LEFT($T74,2)="작지",LEFT($T74,4)="소재입고"),IF(LEFT($E74,1)="S","★ 납기위험(S코드)","◆ 지연주의"),IF($T74="정상","✓ 정상","? 확인필요")))</f>
        <v>? 확인필요</v>
      </c>
      <c r="V74" s="31"/>
      <c r="W74" s="19"/>
    </row>
    <row r="75" customFormat="false" ht="15" hidden="false" customHeight="true" outlineLevel="0" collapsed="false">
      <c r="A75" s="28" t="n">
        <v>71</v>
      </c>
      <c r="B75" s="29" t="s">
        <v>266</v>
      </c>
      <c r="C75" s="30" t="s">
        <v>273</v>
      </c>
      <c r="D75" s="29" t="s">
        <v>274</v>
      </c>
      <c r="E75" s="28" t="str">
        <f aca="false">IF($C75="","",IF(MID($C75,5,1)="S","S(봄)",IF(MID($C75,5,1)="M","M(여름)",IF(MID($C75,5,1)="X","X(사계절)",MID($C75,5,1)))))</f>
        <v>S(봄)</v>
      </c>
      <c r="F75" s="29" t="s">
        <v>106</v>
      </c>
      <c r="G75" s="31"/>
      <c r="H75" s="28" t="str">
        <f aca="false">IF($C75="","",REPLACE($C75,6,2,"26"))</f>
        <v>JWSXS26135</v>
      </c>
      <c r="I75" s="32" t="str">
        <f aca="false">IFERROR(INDEX(전년출고참조!$B$4:$B$638,MATCH($H75,전년출고참조!$A$4:$A$638,0)),"")</f>
        <v/>
      </c>
      <c r="J75" s="32" t="n">
        <v>46367</v>
      </c>
      <c r="K75" s="32" t="n">
        <f aca="false">IF($G75&lt;&gt;"",IFERROR(DATE(IF(VALUE(LEFT($G75,FIND("월",$G75)-1))&gt;=9,기준정보!$C$6-1,기준정보!$C$6),VALUE(LEFT($G75,FIND("월",$G75)-1)),1+7*(VALUE(SUBSTITUTE(MID($G75,FIND("월",$G75)+1,5),"주",""))-1)),""),IF($I75&lt;&gt;"",IF(ISNUMBER($I75),$I75+364,IFERROR(DATE(IF(VALUE(LEFT($I75,FIND("월",$I75)-1))&gt;=9,기준정보!$C$6-1,기준정보!$C$6),VALUE(LEFT($I75,FIND("월",$I75)-1)),1+7*(VALUE(SUBSTITUTE(MID($I75,FIND("월",$I75)+1,5),"주",""))-1)),"")),IF($J75&lt;&gt;"",$J75,"")))</f>
        <v>46367</v>
      </c>
      <c r="L75" s="28" t="str">
        <f aca="false">IF($G75&lt;&gt;"","계획 주차",IF($I75&lt;&gt;"","전년+1년 예측",IF($J75&lt;&gt;"","전산 입고계획(참고)","미정")))</f>
        <v>전산 입고계획(참고)</v>
      </c>
      <c r="M75" s="32" t="n">
        <f aca="false">IF($K75="","",$K75-기준정보!$C$5)</f>
        <v>46277</v>
      </c>
      <c r="N75" s="33" t="n">
        <f aca="false">IF($M75="","",$M75-기준정보!$C$4)</f>
        <v>36</v>
      </c>
      <c r="O75" s="31" t="s">
        <v>108</v>
      </c>
      <c r="P75" s="20"/>
      <c r="Q75" s="30" t="str">
        <f aca="false">IF($F75="","",IF(AND(ISNUMBER(SEARCH("CMT",$F75)),OR(ISNUMBER(SEARCH("사입",$F75)),ISNUMBER(SEARCH("Buying",$F75)))),"본사/생산처 혼재",IF(ISNUMBER(SEARCH("CMT",$F75)),"본사(소재팀)","생산처")))</f>
        <v>생산처</v>
      </c>
      <c r="R75" s="29" t="s">
        <v>275</v>
      </c>
      <c r="S75" s="29" t="s">
        <v>110</v>
      </c>
      <c r="T75" s="30" t="str">
        <f aca="false">IF($K75="","출고일 미정",IF($O75="X","작지(일매) 미등록",IF($O75="부분","작지(일매) 일부 미등록",IF(AND($P75&lt;&gt;"",$P75&gt;$M75),"소재입고 마감("&amp;TEXT($M75,"MM/DD")&amp;") 초과",IF($O75="","일매 등록여부 확인 필요",IF($P75="","소재 입고일정 확인 필요","정상"))))))</f>
        <v>소재 입고일정 확인 필요</v>
      </c>
      <c r="U75" s="28" t="str">
        <f aca="false">IF($K75="","",IF(OR(LEFT($T75,2)="작지",LEFT($T75,4)="소재입고"),IF(LEFT($E75,1)="S","★ 납기위험(S코드)","◆ 지연주의"),IF($T75="정상","✓ 정상","? 확인필요")))</f>
        <v>? 확인필요</v>
      </c>
      <c r="V75" s="31"/>
      <c r="W75" s="19"/>
    </row>
    <row r="76" customFormat="false" ht="15" hidden="false" customHeight="true" outlineLevel="0" collapsed="false">
      <c r="A76" s="28" t="n">
        <v>72</v>
      </c>
      <c r="B76" s="29" t="s">
        <v>103</v>
      </c>
      <c r="C76" s="30" t="s">
        <v>276</v>
      </c>
      <c r="D76" s="29" t="s">
        <v>277</v>
      </c>
      <c r="E76" s="28" t="str">
        <f aca="false">IF($C76="","",IF(MID($C76,5,1)="S","S(봄)",IF(MID($C76,5,1)="M","M(여름)",IF(MID($C76,5,1)="X","X(사계절)",MID($C76,5,1)))))</f>
        <v>S(봄)</v>
      </c>
      <c r="F76" s="29" t="s">
        <v>106</v>
      </c>
      <c r="G76" s="31"/>
      <c r="H76" s="28" t="str">
        <f aca="false">IF($C76="","",REPLACE($C76,6,2,"26"))</f>
        <v>JWTBS26057</v>
      </c>
      <c r="I76" s="32" t="str">
        <f aca="false">IFERROR(INDEX(전년출고참조!$B$4:$B$638,MATCH($H76,전년출고참조!$A$4:$A$638,0)),"")</f>
        <v/>
      </c>
      <c r="J76" s="32" t="n">
        <v>46367</v>
      </c>
      <c r="K76" s="32" t="n">
        <f aca="false">IF($G76&lt;&gt;"",IFERROR(DATE(IF(VALUE(LEFT($G76,FIND("월",$G76)-1))&gt;=9,기준정보!$C$6-1,기준정보!$C$6),VALUE(LEFT($G76,FIND("월",$G76)-1)),1+7*(VALUE(SUBSTITUTE(MID($G76,FIND("월",$G76)+1,5),"주",""))-1)),""),IF($I76&lt;&gt;"",IF(ISNUMBER($I76),$I76+364,IFERROR(DATE(IF(VALUE(LEFT($I76,FIND("월",$I76)-1))&gt;=9,기준정보!$C$6-1,기준정보!$C$6),VALUE(LEFT($I76,FIND("월",$I76)-1)),1+7*(VALUE(SUBSTITUTE(MID($I76,FIND("월",$I76)+1,5),"주",""))-1)),"")),IF($J76&lt;&gt;"",$J76,"")))</f>
        <v>46367</v>
      </c>
      <c r="L76" s="28" t="str">
        <f aca="false">IF($G76&lt;&gt;"","계획 주차",IF($I76&lt;&gt;"","전년+1년 예측",IF($J76&lt;&gt;"","전산 입고계획(참고)","미정")))</f>
        <v>전산 입고계획(참고)</v>
      </c>
      <c r="M76" s="32" t="n">
        <f aca="false">IF($K76="","",$K76-기준정보!$C$5)</f>
        <v>46277</v>
      </c>
      <c r="N76" s="33" t="n">
        <f aca="false">IF($M76="","",$M76-기준정보!$C$4)</f>
        <v>36</v>
      </c>
      <c r="O76" s="31" t="s">
        <v>108</v>
      </c>
      <c r="P76" s="20"/>
      <c r="Q76" s="30" t="str">
        <f aca="false">IF($F76="","",IF(AND(ISNUMBER(SEARCH("CMT",$F76)),OR(ISNUMBER(SEARCH("사입",$F76)),ISNUMBER(SEARCH("Buying",$F76)))),"본사/생산처 혼재",IF(ISNUMBER(SEARCH("CMT",$F76)),"본사(소재팀)","생산처")))</f>
        <v>생산처</v>
      </c>
      <c r="R76" s="29" t="s">
        <v>115</v>
      </c>
      <c r="S76" s="29" t="s">
        <v>110</v>
      </c>
      <c r="T76" s="30" t="str">
        <f aca="false">IF($K76="","출고일 미정",IF($O76="X","작지(일매) 미등록",IF($O76="부분","작지(일매) 일부 미등록",IF(AND($P76&lt;&gt;"",$P76&gt;$M76),"소재입고 마감("&amp;TEXT($M76,"MM/DD")&amp;") 초과",IF($O76="","일매 등록여부 확인 필요",IF($P76="","소재 입고일정 확인 필요","정상"))))))</f>
        <v>소재 입고일정 확인 필요</v>
      </c>
      <c r="U76" s="28" t="str">
        <f aca="false">IF($K76="","",IF(OR(LEFT($T76,2)="작지",LEFT($T76,4)="소재입고"),IF(LEFT($E76,1)="S","★ 납기위험(S코드)","◆ 지연주의"),IF($T76="정상","✓ 정상","? 확인필요")))</f>
        <v>? 확인필요</v>
      </c>
      <c r="V76" s="31"/>
      <c r="W76" s="19"/>
    </row>
    <row r="77" customFormat="false" ht="15" hidden="false" customHeight="true" outlineLevel="0" collapsed="false">
      <c r="A77" s="28" t="n">
        <v>73</v>
      </c>
      <c r="B77" s="29" t="s">
        <v>103</v>
      </c>
      <c r="C77" s="30" t="s">
        <v>278</v>
      </c>
      <c r="D77" s="29" t="s">
        <v>279</v>
      </c>
      <c r="E77" s="28" t="str">
        <f aca="false">IF($C77="","",IF(MID($C77,5,1)="S","S(봄)",IF(MID($C77,5,1)="M","M(여름)",IF(MID($C77,5,1)="X","X(사계절)",MID($C77,5,1)))))</f>
        <v>S(봄)</v>
      </c>
      <c r="F77" s="29" t="s">
        <v>106</v>
      </c>
      <c r="G77" s="31"/>
      <c r="H77" s="28" t="str">
        <f aca="false">IF($C77="","",REPLACE($C77,6,2,"26"))</f>
        <v>JWTCS26055</v>
      </c>
      <c r="I77" s="32" t="str">
        <f aca="false">IFERROR(INDEX(전년출고참조!$B$4:$B$638,MATCH($H77,전년출고참조!$A$4:$A$638,0)),"")</f>
        <v/>
      </c>
      <c r="J77" s="32" t="n">
        <v>46367</v>
      </c>
      <c r="K77" s="32" t="n">
        <f aca="false">IF($G77&lt;&gt;"",IFERROR(DATE(IF(VALUE(LEFT($G77,FIND("월",$G77)-1))&gt;=9,기준정보!$C$6-1,기준정보!$C$6),VALUE(LEFT($G77,FIND("월",$G77)-1)),1+7*(VALUE(SUBSTITUTE(MID($G77,FIND("월",$G77)+1,5),"주",""))-1)),""),IF($I77&lt;&gt;"",IF(ISNUMBER($I77),$I77+364,IFERROR(DATE(IF(VALUE(LEFT($I77,FIND("월",$I77)-1))&gt;=9,기준정보!$C$6-1,기준정보!$C$6),VALUE(LEFT($I77,FIND("월",$I77)-1)),1+7*(VALUE(SUBSTITUTE(MID($I77,FIND("월",$I77)+1,5),"주",""))-1)),"")),IF($J77&lt;&gt;"",$J77,"")))</f>
        <v>46367</v>
      </c>
      <c r="L77" s="28" t="str">
        <f aca="false">IF($G77&lt;&gt;"","계획 주차",IF($I77&lt;&gt;"","전년+1년 예측",IF($J77&lt;&gt;"","전산 입고계획(참고)","미정")))</f>
        <v>전산 입고계획(참고)</v>
      </c>
      <c r="M77" s="32" t="n">
        <f aca="false">IF($K77="","",$K77-기준정보!$C$5)</f>
        <v>46277</v>
      </c>
      <c r="N77" s="33" t="n">
        <f aca="false">IF($M77="","",$M77-기준정보!$C$4)</f>
        <v>36</v>
      </c>
      <c r="O77" s="31" t="s">
        <v>108</v>
      </c>
      <c r="P77" s="20"/>
      <c r="Q77" s="30" t="str">
        <f aca="false">IF($F77="","",IF(AND(ISNUMBER(SEARCH("CMT",$F77)),OR(ISNUMBER(SEARCH("사입",$F77)),ISNUMBER(SEARCH("Buying",$F77)))),"본사/생산처 혼재",IF(ISNUMBER(SEARCH("CMT",$F77)),"본사(소재팀)","생산처")))</f>
        <v>생산처</v>
      </c>
      <c r="R77" s="29" t="s">
        <v>156</v>
      </c>
      <c r="S77" s="29" t="s">
        <v>110</v>
      </c>
      <c r="T77" s="30" t="str">
        <f aca="false">IF($K77="","출고일 미정",IF($O77="X","작지(일매) 미등록",IF($O77="부분","작지(일매) 일부 미등록",IF(AND($P77&lt;&gt;"",$P77&gt;$M77),"소재입고 마감("&amp;TEXT($M77,"MM/DD")&amp;") 초과",IF($O77="","일매 등록여부 확인 필요",IF($P77="","소재 입고일정 확인 필요","정상"))))))</f>
        <v>소재 입고일정 확인 필요</v>
      </c>
      <c r="U77" s="28" t="str">
        <f aca="false">IF($K77="","",IF(OR(LEFT($T77,2)="작지",LEFT($T77,4)="소재입고"),IF(LEFT($E77,1)="S","★ 납기위험(S코드)","◆ 지연주의"),IF($T77="정상","✓ 정상","? 확인필요")))</f>
        <v>? 확인필요</v>
      </c>
      <c r="V77" s="31"/>
      <c r="W77" s="19"/>
    </row>
    <row r="78" customFormat="false" ht="15" hidden="false" customHeight="true" outlineLevel="0" collapsed="false">
      <c r="A78" s="28" t="n">
        <v>74</v>
      </c>
      <c r="B78" s="29" t="s">
        <v>103</v>
      </c>
      <c r="C78" s="30" t="s">
        <v>280</v>
      </c>
      <c r="D78" s="29" t="s">
        <v>281</v>
      </c>
      <c r="E78" s="28" t="str">
        <f aca="false">IF($C78="","",IF(MID($C78,5,1)="S","S(봄)",IF(MID($C78,5,1)="M","M(여름)",IF(MID($C78,5,1)="X","X(사계절)",MID($C78,5,1)))))</f>
        <v>S(봄)</v>
      </c>
      <c r="F78" s="29" t="s">
        <v>106</v>
      </c>
      <c r="G78" s="31"/>
      <c r="H78" s="28" t="str">
        <f aca="false">IF($C78="","",REPLACE($C78,6,2,"26"))</f>
        <v>JWVAS26017</v>
      </c>
      <c r="I78" s="32" t="str">
        <f aca="false">IFERROR(INDEX(전년출고참조!$B$4:$B$638,MATCH($H78,전년출고참조!$A$4:$A$638,0)),"")</f>
        <v/>
      </c>
      <c r="J78" s="32" t="n">
        <v>46367</v>
      </c>
      <c r="K78" s="32" t="n">
        <f aca="false">IF($G78&lt;&gt;"",IFERROR(DATE(IF(VALUE(LEFT($G78,FIND("월",$G78)-1))&gt;=9,기준정보!$C$6-1,기준정보!$C$6),VALUE(LEFT($G78,FIND("월",$G78)-1)),1+7*(VALUE(SUBSTITUTE(MID($G78,FIND("월",$G78)+1,5),"주",""))-1)),""),IF($I78&lt;&gt;"",IF(ISNUMBER($I78),$I78+364,IFERROR(DATE(IF(VALUE(LEFT($I78,FIND("월",$I78)-1))&gt;=9,기준정보!$C$6-1,기준정보!$C$6),VALUE(LEFT($I78,FIND("월",$I78)-1)),1+7*(VALUE(SUBSTITUTE(MID($I78,FIND("월",$I78)+1,5),"주",""))-1)),"")),IF($J78&lt;&gt;"",$J78,"")))</f>
        <v>46367</v>
      </c>
      <c r="L78" s="28" t="str">
        <f aca="false">IF($G78&lt;&gt;"","계획 주차",IF($I78&lt;&gt;"","전년+1년 예측",IF($J78&lt;&gt;"","전산 입고계획(참고)","미정")))</f>
        <v>전산 입고계획(참고)</v>
      </c>
      <c r="M78" s="32" t="n">
        <f aca="false">IF($K78="","",$K78-기준정보!$C$5)</f>
        <v>46277</v>
      </c>
      <c r="N78" s="33" t="n">
        <f aca="false">IF($M78="","",$M78-기준정보!$C$4)</f>
        <v>36</v>
      </c>
      <c r="O78" s="31" t="s">
        <v>108</v>
      </c>
      <c r="P78" s="20"/>
      <c r="Q78" s="30" t="str">
        <f aca="false">IF($F78="","",IF(AND(ISNUMBER(SEARCH("CMT",$F78)),OR(ISNUMBER(SEARCH("사입",$F78)),ISNUMBER(SEARCH("Buying",$F78)))),"본사/생산처 혼재",IF(ISNUMBER(SEARCH("CMT",$F78)),"본사(소재팀)","생산처")))</f>
        <v>생산처</v>
      </c>
      <c r="R78" s="29" t="s">
        <v>119</v>
      </c>
      <c r="S78" s="29" t="s">
        <v>120</v>
      </c>
      <c r="T78" s="30" t="str">
        <f aca="false">IF($K78="","출고일 미정",IF($O78="X","작지(일매) 미등록",IF($O78="부분","작지(일매) 일부 미등록",IF(AND($P78&lt;&gt;"",$P78&gt;$M78),"소재입고 마감("&amp;TEXT($M78,"MM/DD")&amp;") 초과",IF($O78="","일매 등록여부 확인 필요",IF($P78="","소재 입고일정 확인 필요","정상"))))))</f>
        <v>소재 입고일정 확인 필요</v>
      </c>
      <c r="U78" s="28" t="str">
        <f aca="false">IF($K78="","",IF(OR(LEFT($T78,2)="작지",LEFT($T78,4)="소재입고"),IF(LEFT($E78,1)="S","★ 납기위험(S코드)","◆ 지연주의"),IF($T78="정상","✓ 정상","? 확인필요")))</f>
        <v>? 확인필요</v>
      </c>
      <c r="V78" s="31"/>
      <c r="W78" s="19"/>
    </row>
    <row r="79" customFormat="false" ht="15" hidden="false" customHeight="true" outlineLevel="0" collapsed="false">
      <c r="A79" s="28" t="n">
        <v>75</v>
      </c>
      <c r="B79" s="29" t="s">
        <v>130</v>
      </c>
      <c r="C79" s="30" t="s">
        <v>282</v>
      </c>
      <c r="D79" s="29" t="s">
        <v>181</v>
      </c>
      <c r="E79" s="28" t="str">
        <f aca="false">IF($C79="","",IF(MID($C79,5,1)="S","S(봄)",IF(MID($C79,5,1)="M","M(여름)",IF(MID($C79,5,1)="X","X(사계절)",MID($C79,5,1)))))</f>
        <v>S(봄)</v>
      </c>
      <c r="F79" s="29" t="s">
        <v>106</v>
      </c>
      <c r="G79" s="31"/>
      <c r="H79" s="28" t="str">
        <f aca="false">IF($C79="","",REPLACE($C79,6,2,"26"))</f>
        <v>TLJJS26901</v>
      </c>
      <c r="I79" s="32" t="str">
        <f aca="false">IFERROR(INDEX(전년출고참조!$B$4:$B$638,MATCH($H79,전년출고참조!$A$4:$A$638,0)),"")</f>
        <v/>
      </c>
      <c r="J79" s="32" t="n">
        <v>46367</v>
      </c>
      <c r="K79" s="32" t="n">
        <f aca="false">IF($G79&lt;&gt;"",IFERROR(DATE(IF(VALUE(LEFT($G79,FIND("월",$G79)-1))&gt;=9,기준정보!$C$6-1,기준정보!$C$6),VALUE(LEFT($G79,FIND("월",$G79)-1)),1+7*(VALUE(SUBSTITUTE(MID($G79,FIND("월",$G79)+1,5),"주",""))-1)),""),IF($I79&lt;&gt;"",IF(ISNUMBER($I79),$I79+364,IFERROR(DATE(IF(VALUE(LEFT($I79,FIND("월",$I79)-1))&gt;=9,기준정보!$C$6-1,기준정보!$C$6),VALUE(LEFT($I79,FIND("월",$I79)-1)),1+7*(VALUE(SUBSTITUTE(MID($I79,FIND("월",$I79)+1,5),"주",""))-1)),"")),IF($J79&lt;&gt;"",$J79,"")))</f>
        <v>46367</v>
      </c>
      <c r="L79" s="28" t="str">
        <f aca="false">IF($G79&lt;&gt;"","계획 주차",IF($I79&lt;&gt;"","전년+1년 예측",IF($J79&lt;&gt;"","전산 입고계획(참고)","미정")))</f>
        <v>전산 입고계획(참고)</v>
      </c>
      <c r="M79" s="32" t="n">
        <f aca="false">IF($K79="","",$K79-기준정보!$C$5)</f>
        <v>46277</v>
      </c>
      <c r="N79" s="33" t="n">
        <f aca="false">IF($M79="","",$M79-기준정보!$C$4)</f>
        <v>36</v>
      </c>
      <c r="O79" s="31" t="s">
        <v>114</v>
      </c>
      <c r="P79" s="20"/>
      <c r="Q79" s="30" t="str">
        <f aca="false">IF($F79="","",IF(AND(ISNUMBER(SEARCH("CMT",$F79)),OR(ISNUMBER(SEARCH("사입",$F79)),ISNUMBER(SEARCH("Buying",$F79)))),"본사/생산처 혼재",IF(ISNUMBER(SEARCH("CMT",$F79)),"본사(소재팀)","생산처")))</f>
        <v>생산처</v>
      </c>
      <c r="R79" s="29" t="s">
        <v>119</v>
      </c>
      <c r="S79" s="29" t="s">
        <v>161</v>
      </c>
      <c r="T79" s="30" t="str">
        <f aca="false">IF($K79="","출고일 미정",IF($O79="X","작지(일매) 미등록",IF($O79="부분","작지(일매) 일부 미등록",IF(AND($P79&lt;&gt;"",$P79&gt;$M79),"소재입고 마감("&amp;TEXT($M79,"MM/DD")&amp;") 초과",IF($O79="","일매 등록여부 확인 필요",IF($P79="","소재 입고일정 확인 필요","정상"))))))</f>
        <v>작지(일매) 미등록</v>
      </c>
      <c r="U79" s="28" t="str">
        <f aca="false">IF($K79="","",IF(OR(LEFT($T79,2)="작지",LEFT($T79,4)="소재입고"),IF(LEFT($E79,1)="S","★ 납기위험(S코드)","◆ 지연주의"),IF($T79="정상","✓ 정상","? 확인필요")))</f>
        <v>★ 납기위험(S코드)</v>
      </c>
      <c r="V79" s="31"/>
      <c r="W79" s="19"/>
    </row>
    <row r="80" customFormat="false" ht="15" hidden="false" customHeight="true" outlineLevel="0" collapsed="false">
      <c r="A80" s="28" t="n">
        <v>76</v>
      </c>
      <c r="B80" s="29" t="s">
        <v>130</v>
      </c>
      <c r="C80" s="30" t="s">
        <v>283</v>
      </c>
      <c r="D80" s="29" t="s">
        <v>137</v>
      </c>
      <c r="E80" s="28" t="str">
        <f aca="false">IF($C80="","",IF(MID($C80,5,1)="S","S(봄)",IF(MID($C80,5,1)="M","M(여름)",IF(MID($C80,5,1)="X","X(사계절)",MID($C80,5,1)))))</f>
        <v>S(봄)</v>
      </c>
      <c r="F80" s="29" t="s">
        <v>106</v>
      </c>
      <c r="G80" s="31"/>
      <c r="H80" s="28" t="str">
        <f aca="false">IF($C80="","",REPLACE($C80,6,2,"26"))</f>
        <v>TLJJS26911</v>
      </c>
      <c r="I80" s="32" t="str">
        <f aca="false">IFERROR(INDEX(전년출고참조!$B$4:$B$638,MATCH($H80,전년출고참조!$A$4:$A$638,0)),"")</f>
        <v/>
      </c>
      <c r="J80" s="32" t="n">
        <v>46367</v>
      </c>
      <c r="K80" s="32" t="n">
        <f aca="false">IF($G80&lt;&gt;"",IFERROR(DATE(IF(VALUE(LEFT($G80,FIND("월",$G80)-1))&gt;=9,기준정보!$C$6-1,기준정보!$C$6),VALUE(LEFT($G80,FIND("월",$G80)-1)),1+7*(VALUE(SUBSTITUTE(MID($G80,FIND("월",$G80)+1,5),"주",""))-1)),""),IF($I80&lt;&gt;"",IF(ISNUMBER($I80),$I80+364,IFERROR(DATE(IF(VALUE(LEFT($I80,FIND("월",$I80)-1))&gt;=9,기준정보!$C$6-1,기준정보!$C$6),VALUE(LEFT($I80,FIND("월",$I80)-1)),1+7*(VALUE(SUBSTITUTE(MID($I80,FIND("월",$I80)+1,5),"주",""))-1)),"")),IF($J80&lt;&gt;"",$J80,"")))</f>
        <v>46367</v>
      </c>
      <c r="L80" s="28" t="str">
        <f aca="false">IF($G80&lt;&gt;"","계획 주차",IF($I80&lt;&gt;"","전년+1년 예측",IF($J80&lt;&gt;"","전산 입고계획(참고)","미정")))</f>
        <v>전산 입고계획(참고)</v>
      </c>
      <c r="M80" s="32" t="n">
        <f aca="false">IF($K80="","",$K80-기준정보!$C$5)</f>
        <v>46277</v>
      </c>
      <c r="N80" s="33" t="n">
        <f aca="false">IF($M80="","",$M80-기준정보!$C$4)</f>
        <v>36</v>
      </c>
      <c r="O80" s="31" t="s">
        <v>114</v>
      </c>
      <c r="P80" s="20"/>
      <c r="Q80" s="30" t="str">
        <f aca="false">IF($F80="","",IF(AND(ISNUMBER(SEARCH("CMT",$F80)),OR(ISNUMBER(SEARCH("사입",$F80)),ISNUMBER(SEARCH("Buying",$F80)))),"본사/생산처 혼재",IF(ISNUMBER(SEARCH("CMT",$F80)),"본사(소재팀)","생산처")))</f>
        <v>생산처</v>
      </c>
      <c r="R80" s="29" t="s">
        <v>138</v>
      </c>
      <c r="S80" s="29" t="s">
        <v>110</v>
      </c>
      <c r="T80" s="30" t="str">
        <f aca="false">IF($K80="","출고일 미정",IF($O80="X","작지(일매) 미등록",IF($O80="부분","작지(일매) 일부 미등록",IF(AND($P80&lt;&gt;"",$P80&gt;$M80),"소재입고 마감("&amp;TEXT($M80,"MM/DD")&amp;") 초과",IF($O80="","일매 등록여부 확인 필요",IF($P80="","소재 입고일정 확인 필요","정상"))))))</f>
        <v>작지(일매) 미등록</v>
      </c>
      <c r="U80" s="28" t="str">
        <f aca="false">IF($K80="","",IF(OR(LEFT($T80,2)="작지",LEFT($T80,4)="소재입고"),IF(LEFT($E80,1)="S","★ 납기위험(S코드)","◆ 지연주의"),IF($T80="정상","✓ 정상","? 확인필요")))</f>
        <v>★ 납기위험(S코드)</v>
      </c>
      <c r="V80" s="31"/>
      <c r="W80" s="19"/>
    </row>
    <row r="81" customFormat="false" ht="15" hidden="false" customHeight="true" outlineLevel="0" collapsed="false">
      <c r="A81" s="28" t="n">
        <v>77</v>
      </c>
      <c r="B81" s="29" t="s">
        <v>182</v>
      </c>
      <c r="C81" s="30" t="s">
        <v>284</v>
      </c>
      <c r="D81" s="29" t="s">
        <v>285</v>
      </c>
      <c r="E81" s="28" t="str">
        <f aca="false">IF($C81="","",IF(MID($C81,5,1)="S","S(봄)",IF(MID($C81,5,1)="M","M(여름)",IF(MID($C81,5,1)="X","X(사계절)",MID($C81,5,1)))))</f>
        <v>S(봄)</v>
      </c>
      <c r="F81" s="30" t="s">
        <v>141</v>
      </c>
      <c r="G81" s="31"/>
      <c r="H81" s="28" t="str">
        <f aca="false">IF($C81="","",REPLACE($C81,6,2,"26"))</f>
        <v>TLPNS26411</v>
      </c>
      <c r="I81" s="32" t="n">
        <f aca="false">IFERROR(INDEX(전년출고참조!$B$4:$B$638,MATCH($H81,전년출고참조!$A$4:$A$638,0)),"")</f>
        <v>46028</v>
      </c>
      <c r="J81" s="32" t="n">
        <v>46367</v>
      </c>
      <c r="K81" s="32" t="n">
        <f aca="false">IF($G81&lt;&gt;"",IFERROR(DATE(IF(VALUE(LEFT($G81,FIND("월",$G81)-1))&gt;=9,기준정보!$C$6-1,기준정보!$C$6),VALUE(LEFT($G81,FIND("월",$G81)-1)),1+7*(VALUE(SUBSTITUTE(MID($G81,FIND("월",$G81)+1,5),"주",""))-1)),""),IF($I81&lt;&gt;"",IF(ISNUMBER($I81),$I81+364,IFERROR(DATE(IF(VALUE(LEFT($I81,FIND("월",$I81)-1))&gt;=9,기준정보!$C$6-1,기준정보!$C$6),VALUE(LEFT($I81,FIND("월",$I81)-1)),1+7*(VALUE(SUBSTITUTE(MID($I81,FIND("월",$I81)+1,5),"주",""))-1)),"")),IF($J81&lt;&gt;"",$J81,"")))</f>
        <v>46392</v>
      </c>
      <c r="L81" s="28" t="str">
        <f aca="false">IF($G81&lt;&gt;"","계획 주차",IF($I81&lt;&gt;"","전년+1년 예측",IF($J81&lt;&gt;"","전산 입고계획(참고)","미정")))</f>
        <v>전년+1년 예측</v>
      </c>
      <c r="M81" s="32" t="n">
        <f aca="false">IF($K81="","",$K81-기준정보!$C$5)</f>
        <v>46302</v>
      </c>
      <c r="N81" s="33" t="n">
        <f aca="false">IF($M81="","",$M81-기준정보!$C$4)</f>
        <v>61</v>
      </c>
      <c r="O81" s="31" t="s">
        <v>108</v>
      </c>
      <c r="P81" s="20"/>
      <c r="Q81" s="30" t="str">
        <f aca="false">IF($F81="","",IF(AND(ISNUMBER(SEARCH("CMT",$F81)),OR(ISNUMBER(SEARCH("사입",$F81)),ISNUMBER(SEARCH("Buying",$F81)))),"본사/생산처 혼재",IF(ISNUMBER(SEARCH("CMT",$F81)),"본사(소재팀)","생산처")))</f>
        <v>본사(소재팀)</v>
      </c>
      <c r="R81" s="29" t="s">
        <v>145</v>
      </c>
      <c r="S81" s="29" t="s">
        <v>110</v>
      </c>
      <c r="T81" s="30" t="str">
        <f aca="false">IF($K81="","출고일 미정",IF($O81="X","작지(일매) 미등록",IF($O81="부분","작지(일매) 일부 미등록",IF(AND($P81&lt;&gt;"",$P81&gt;$M81),"소재입고 마감("&amp;TEXT($M81,"MM/DD")&amp;") 초과",IF($O81="","일매 등록여부 확인 필요",IF($P81="","소재 입고일정 확인 필요","정상"))))))</f>
        <v>소재 입고일정 확인 필요</v>
      </c>
      <c r="U81" s="28" t="str">
        <f aca="false">IF($K81="","",IF(OR(LEFT($T81,2)="작지",LEFT($T81,4)="소재입고"),IF(LEFT($E81,1)="S","★ 납기위험(S코드)","◆ 지연주의"),IF($T81="정상","✓ 정상","? 확인필요")))</f>
        <v>? 확인필요</v>
      </c>
      <c r="V81" s="31"/>
      <c r="W81" s="19"/>
    </row>
    <row r="82" customFormat="false" ht="15" hidden="false" customHeight="true" outlineLevel="0" collapsed="false">
      <c r="A82" s="28" t="n">
        <v>78</v>
      </c>
      <c r="B82" s="29" t="s">
        <v>182</v>
      </c>
      <c r="C82" s="30" t="s">
        <v>286</v>
      </c>
      <c r="D82" s="29" t="s">
        <v>287</v>
      </c>
      <c r="E82" s="28" t="str">
        <f aca="false">IF($C82="","",IF(MID($C82,5,1)="S","S(봄)",IF(MID($C82,5,1)="M","M(여름)",IF(MID($C82,5,1)="X","X(사계절)",MID($C82,5,1)))))</f>
        <v>S(봄)</v>
      </c>
      <c r="F82" s="30" t="s">
        <v>141</v>
      </c>
      <c r="G82" s="31"/>
      <c r="H82" s="28" t="str">
        <f aca="false">IF($C82="","",REPLACE($C82,6,2,"26"))</f>
        <v>TLPNS26501</v>
      </c>
      <c r="I82" s="32" t="str">
        <f aca="false">IFERROR(INDEX(전년출고참조!$B$4:$B$638,MATCH($H82,전년출고참조!$A$4:$A$638,0)),"")</f>
        <v/>
      </c>
      <c r="J82" s="32" t="n">
        <v>46367</v>
      </c>
      <c r="K82" s="32" t="n">
        <f aca="false">IF($G82&lt;&gt;"",IFERROR(DATE(IF(VALUE(LEFT($G82,FIND("월",$G82)-1))&gt;=9,기준정보!$C$6-1,기준정보!$C$6),VALUE(LEFT($G82,FIND("월",$G82)-1)),1+7*(VALUE(SUBSTITUTE(MID($G82,FIND("월",$G82)+1,5),"주",""))-1)),""),IF($I82&lt;&gt;"",IF(ISNUMBER($I82),$I82+364,IFERROR(DATE(IF(VALUE(LEFT($I82,FIND("월",$I82)-1))&gt;=9,기준정보!$C$6-1,기준정보!$C$6),VALUE(LEFT($I82,FIND("월",$I82)-1)),1+7*(VALUE(SUBSTITUTE(MID($I82,FIND("월",$I82)+1,5),"주",""))-1)),"")),IF($J82&lt;&gt;"",$J82,"")))</f>
        <v>46367</v>
      </c>
      <c r="L82" s="28" t="str">
        <f aca="false">IF($G82&lt;&gt;"","계획 주차",IF($I82&lt;&gt;"","전년+1년 예측",IF($J82&lt;&gt;"","전산 입고계획(참고)","미정")))</f>
        <v>전산 입고계획(참고)</v>
      </c>
      <c r="M82" s="32" t="n">
        <f aca="false">IF($K82="","",$K82-기준정보!$C$5)</f>
        <v>46277</v>
      </c>
      <c r="N82" s="33" t="n">
        <f aca="false">IF($M82="","",$M82-기준정보!$C$4)</f>
        <v>36</v>
      </c>
      <c r="O82" s="31" t="s">
        <v>108</v>
      </c>
      <c r="P82" s="20"/>
      <c r="Q82" s="30" t="str">
        <f aca="false">IF($F82="","",IF(AND(ISNUMBER(SEARCH("CMT",$F82)),OR(ISNUMBER(SEARCH("사입",$F82)),ISNUMBER(SEARCH("Buying",$F82)))),"본사/생산처 혼재",IF(ISNUMBER(SEARCH("CMT",$F82)),"본사(소재팀)","생산처")))</f>
        <v>본사(소재팀)</v>
      </c>
      <c r="R82" s="29" t="s">
        <v>142</v>
      </c>
      <c r="S82" s="29" t="s">
        <v>110</v>
      </c>
      <c r="T82" s="30" t="str">
        <f aca="false">IF($K82="","출고일 미정",IF($O82="X","작지(일매) 미등록",IF($O82="부분","작지(일매) 일부 미등록",IF(AND($P82&lt;&gt;"",$P82&gt;$M82),"소재입고 마감("&amp;TEXT($M82,"MM/DD")&amp;") 초과",IF($O82="","일매 등록여부 확인 필요",IF($P82="","소재 입고일정 확인 필요","정상"))))))</f>
        <v>소재 입고일정 확인 필요</v>
      </c>
      <c r="U82" s="28" t="str">
        <f aca="false">IF($K82="","",IF(OR(LEFT($T82,2)="작지",LEFT($T82,4)="소재입고"),IF(LEFT($E82,1)="S","★ 납기위험(S코드)","◆ 지연주의"),IF($T82="정상","✓ 정상","? 확인필요")))</f>
        <v>? 확인필요</v>
      </c>
      <c r="V82" s="31"/>
      <c r="W82" s="19"/>
    </row>
    <row r="83" customFormat="false" ht="15" hidden="false" customHeight="true" outlineLevel="0" collapsed="false">
      <c r="A83" s="28" t="n">
        <v>79</v>
      </c>
      <c r="B83" s="29" t="s">
        <v>182</v>
      </c>
      <c r="C83" s="30" t="s">
        <v>288</v>
      </c>
      <c r="D83" s="29" t="s">
        <v>289</v>
      </c>
      <c r="E83" s="28" t="str">
        <f aca="false">IF($C83="","",IF(MID($C83,5,1)="S","S(봄)",IF(MID($C83,5,1)="M","M(여름)",IF(MID($C83,5,1)="X","X(사계절)",MID($C83,5,1)))))</f>
        <v>S(봄)</v>
      </c>
      <c r="F83" s="30" t="s">
        <v>141</v>
      </c>
      <c r="G83" s="31"/>
      <c r="H83" s="28" t="str">
        <f aca="false">IF($C83="","",REPLACE($C83,6,2,"26"))</f>
        <v>TLPNS26521</v>
      </c>
      <c r="I83" s="32" t="str">
        <f aca="false">IFERROR(INDEX(전년출고참조!$B$4:$B$638,MATCH($H83,전년출고참조!$A$4:$A$638,0)),"")</f>
        <v/>
      </c>
      <c r="J83" s="32" t="n">
        <v>46367</v>
      </c>
      <c r="K83" s="32" t="n">
        <f aca="false">IF($G83&lt;&gt;"",IFERROR(DATE(IF(VALUE(LEFT($G83,FIND("월",$G83)-1))&gt;=9,기준정보!$C$6-1,기준정보!$C$6),VALUE(LEFT($G83,FIND("월",$G83)-1)),1+7*(VALUE(SUBSTITUTE(MID($G83,FIND("월",$G83)+1,5),"주",""))-1)),""),IF($I83&lt;&gt;"",IF(ISNUMBER($I83),$I83+364,IFERROR(DATE(IF(VALUE(LEFT($I83,FIND("월",$I83)-1))&gt;=9,기준정보!$C$6-1,기준정보!$C$6),VALUE(LEFT($I83,FIND("월",$I83)-1)),1+7*(VALUE(SUBSTITUTE(MID($I83,FIND("월",$I83)+1,5),"주",""))-1)),"")),IF($J83&lt;&gt;"",$J83,"")))</f>
        <v>46367</v>
      </c>
      <c r="L83" s="28" t="str">
        <f aca="false">IF($G83&lt;&gt;"","계획 주차",IF($I83&lt;&gt;"","전년+1년 예측",IF($J83&lt;&gt;"","전산 입고계획(참고)","미정")))</f>
        <v>전산 입고계획(참고)</v>
      </c>
      <c r="M83" s="32" t="n">
        <f aca="false">IF($K83="","",$K83-기준정보!$C$5)</f>
        <v>46277</v>
      </c>
      <c r="N83" s="33" t="n">
        <f aca="false">IF($M83="","",$M83-기준정보!$C$4)</f>
        <v>36</v>
      </c>
      <c r="O83" s="31" t="s">
        <v>108</v>
      </c>
      <c r="P83" s="20"/>
      <c r="Q83" s="30" t="str">
        <f aca="false">IF($F83="","",IF(AND(ISNUMBER(SEARCH("CMT",$F83)),OR(ISNUMBER(SEARCH("사입",$F83)),ISNUMBER(SEARCH("Buying",$F83)))),"본사/생산처 혼재",IF(ISNUMBER(SEARCH("CMT",$F83)),"본사(소재팀)","생산처")))</f>
        <v>본사(소재팀)</v>
      </c>
      <c r="R83" s="29" t="s">
        <v>142</v>
      </c>
      <c r="S83" s="29" t="s">
        <v>110</v>
      </c>
      <c r="T83" s="30" t="str">
        <f aca="false">IF($K83="","출고일 미정",IF($O83="X","작지(일매) 미등록",IF($O83="부분","작지(일매) 일부 미등록",IF(AND($P83&lt;&gt;"",$P83&gt;$M83),"소재입고 마감("&amp;TEXT($M83,"MM/DD")&amp;") 초과",IF($O83="","일매 등록여부 확인 필요",IF($P83="","소재 입고일정 확인 필요","정상"))))))</f>
        <v>소재 입고일정 확인 필요</v>
      </c>
      <c r="U83" s="28" t="str">
        <f aca="false">IF($K83="","",IF(OR(LEFT($T83,2)="작지",LEFT($T83,4)="소재입고"),IF(LEFT($E83,1)="S","★ 납기위험(S코드)","◆ 지연주의"),IF($T83="정상","✓ 정상","? 확인필요")))</f>
        <v>? 확인필요</v>
      </c>
      <c r="V83" s="31"/>
      <c r="W83" s="19"/>
    </row>
    <row r="84" customFormat="false" ht="15" hidden="false" customHeight="true" outlineLevel="0" collapsed="false">
      <c r="A84" s="28" t="n">
        <v>80</v>
      </c>
      <c r="B84" s="29" t="s">
        <v>182</v>
      </c>
      <c r="C84" s="30" t="s">
        <v>290</v>
      </c>
      <c r="D84" s="29" t="s">
        <v>291</v>
      </c>
      <c r="E84" s="28" t="str">
        <f aca="false">IF($C84="","",IF(MID($C84,5,1)="S","S(봄)",IF(MID($C84,5,1)="M","M(여름)",IF(MID($C84,5,1)="X","X(사계절)",MID($C84,5,1)))))</f>
        <v>S(봄)</v>
      </c>
      <c r="F84" s="29" t="s">
        <v>106</v>
      </c>
      <c r="G84" s="31"/>
      <c r="H84" s="28" t="str">
        <f aca="false">IF($C84="","",REPLACE($C84,6,2,"26"))</f>
        <v>TLPNS26531</v>
      </c>
      <c r="I84" s="32" t="str">
        <f aca="false">IFERROR(INDEX(전년출고참조!$B$4:$B$638,MATCH($H84,전년출고참조!$A$4:$A$638,0)),"")</f>
        <v/>
      </c>
      <c r="J84" s="32" t="n">
        <v>46367</v>
      </c>
      <c r="K84" s="32" t="n">
        <f aca="false">IF($G84&lt;&gt;"",IFERROR(DATE(IF(VALUE(LEFT($G84,FIND("월",$G84)-1))&gt;=9,기준정보!$C$6-1,기준정보!$C$6),VALUE(LEFT($G84,FIND("월",$G84)-1)),1+7*(VALUE(SUBSTITUTE(MID($G84,FIND("월",$G84)+1,5),"주",""))-1)),""),IF($I84&lt;&gt;"",IF(ISNUMBER($I84),$I84+364,IFERROR(DATE(IF(VALUE(LEFT($I84,FIND("월",$I84)-1))&gt;=9,기준정보!$C$6-1,기준정보!$C$6),VALUE(LEFT($I84,FIND("월",$I84)-1)),1+7*(VALUE(SUBSTITUTE(MID($I84,FIND("월",$I84)+1,5),"주",""))-1)),"")),IF($J84&lt;&gt;"",$J84,"")))</f>
        <v>46367</v>
      </c>
      <c r="L84" s="28" t="str">
        <f aca="false">IF($G84&lt;&gt;"","계획 주차",IF($I84&lt;&gt;"","전년+1년 예측",IF($J84&lt;&gt;"","전산 입고계획(참고)","미정")))</f>
        <v>전산 입고계획(참고)</v>
      </c>
      <c r="M84" s="32" t="n">
        <f aca="false">IF($K84="","",$K84-기준정보!$C$5)</f>
        <v>46277</v>
      </c>
      <c r="N84" s="33" t="n">
        <f aca="false">IF($M84="","",$M84-기준정보!$C$4)</f>
        <v>36</v>
      </c>
      <c r="O84" s="31" t="s">
        <v>108</v>
      </c>
      <c r="P84" s="20"/>
      <c r="Q84" s="30" t="str">
        <f aca="false">IF($F84="","",IF(AND(ISNUMBER(SEARCH("CMT",$F84)),OR(ISNUMBER(SEARCH("사입",$F84)),ISNUMBER(SEARCH("Buying",$F84)))),"본사/생산처 혼재",IF(ISNUMBER(SEARCH("CMT",$F84)),"본사(소재팀)","생산처")))</f>
        <v>생산처</v>
      </c>
      <c r="R84" s="29" t="s">
        <v>123</v>
      </c>
      <c r="S84" s="29" t="s">
        <v>120</v>
      </c>
      <c r="T84" s="30" t="str">
        <f aca="false">IF($K84="","출고일 미정",IF($O84="X","작지(일매) 미등록",IF($O84="부분","작지(일매) 일부 미등록",IF(AND($P84&lt;&gt;"",$P84&gt;$M84),"소재입고 마감("&amp;TEXT($M84,"MM/DD")&amp;") 초과",IF($O84="","일매 등록여부 확인 필요",IF($P84="","소재 입고일정 확인 필요","정상"))))))</f>
        <v>소재 입고일정 확인 필요</v>
      </c>
      <c r="U84" s="28" t="str">
        <f aca="false">IF($K84="","",IF(OR(LEFT($T84,2)="작지",LEFT($T84,4)="소재입고"),IF(LEFT($E84,1)="S","★ 납기위험(S코드)","◆ 지연주의"),IF($T84="정상","✓ 정상","? 확인필요")))</f>
        <v>? 확인필요</v>
      </c>
      <c r="V84" s="31"/>
      <c r="W84" s="19"/>
    </row>
    <row r="85" customFormat="false" ht="15" hidden="false" customHeight="true" outlineLevel="0" collapsed="false">
      <c r="A85" s="28" t="n">
        <v>81</v>
      </c>
      <c r="B85" s="29" t="s">
        <v>182</v>
      </c>
      <c r="C85" s="30" t="s">
        <v>292</v>
      </c>
      <c r="D85" s="29" t="s">
        <v>293</v>
      </c>
      <c r="E85" s="28" t="str">
        <f aca="false">IF($C85="","",IF(MID($C85,5,1)="S","S(봄)",IF(MID($C85,5,1)="M","M(여름)",IF(MID($C85,5,1)="X","X(사계절)",MID($C85,5,1)))))</f>
        <v>S(봄)</v>
      </c>
      <c r="F85" s="29" t="s">
        <v>106</v>
      </c>
      <c r="G85" s="31"/>
      <c r="H85" s="28" t="str">
        <f aca="false">IF($C85="","",REPLACE($C85,6,2,"26"))</f>
        <v>TLPNS26901</v>
      </c>
      <c r="I85" s="32" t="str">
        <f aca="false">IFERROR(INDEX(전년출고참조!$B$4:$B$638,MATCH($H85,전년출고참조!$A$4:$A$638,0)),"")</f>
        <v/>
      </c>
      <c r="J85" s="32" t="n">
        <v>46367</v>
      </c>
      <c r="K85" s="32" t="n">
        <f aca="false">IF($G85&lt;&gt;"",IFERROR(DATE(IF(VALUE(LEFT($G85,FIND("월",$G85)-1))&gt;=9,기준정보!$C$6-1,기준정보!$C$6),VALUE(LEFT($G85,FIND("월",$G85)-1)),1+7*(VALUE(SUBSTITUTE(MID($G85,FIND("월",$G85)+1,5),"주",""))-1)),""),IF($I85&lt;&gt;"",IF(ISNUMBER($I85),$I85+364,IFERROR(DATE(IF(VALUE(LEFT($I85,FIND("월",$I85)-1))&gt;=9,기준정보!$C$6-1,기준정보!$C$6),VALUE(LEFT($I85,FIND("월",$I85)-1)),1+7*(VALUE(SUBSTITUTE(MID($I85,FIND("월",$I85)+1,5),"주",""))-1)),"")),IF($J85&lt;&gt;"",$J85,"")))</f>
        <v>46367</v>
      </c>
      <c r="L85" s="28" t="str">
        <f aca="false">IF($G85&lt;&gt;"","계획 주차",IF($I85&lt;&gt;"","전년+1년 예측",IF($J85&lt;&gt;"","전산 입고계획(참고)","미정")))</f>
        <v>전산 입고계획(참고)</v>
      </c>
      <c r="M85" s="32" t="n">
        <f aca="false">IF($K85="","",$K85-기준정보!$C$5)</f>
        <v>46277</v>
      </c>
      <c r="N85" s="33" t="n">
        <f aca="false">IF($M85="","",$M85-기준정보!$C$4)</f>
        <v>36</v>
      </c>
      <c r="O85" s="31" t="s">
        <v>108</v>
      </c>
      <c r="P85" s="20"/>
      <c r="Q85" s="30" t="str">
        <f aca="false">IF($F85="","",IF(AND(ISNUMBER(SEARCH("CMT",$F85)),OR(ISNUMBER(SEARCH("사입",$F85)),ISNUMBER(SEARCH("Buying",$F85)))),"본사/생산처 혼재",IF(ISNUMBER(SEARCH("CMT",$F85)),"본사(소재팀)","생산처")))</f>
        <v>생산처</v>
      </c>
      <c r="R85" s="29" t="s">
        <v>189</v>
      </c>
      <c r="S85" s="29" t="s">
        <v>110</v>
      </c>
      <c r="T85" s="30" t="str">
        <f aca="false">IF($K85="","출고일 미정",IF($O85="X","작지(일매) 미등록",IF($O85="부분","작지(일매) 일부 미등록",IF(AND($P85&lt;&gt;"",$P85&gt;$M85),"소재입고 마감("&amp;TEXT($M85,"MM/DD")&amp;") 초과",IF($O85="","일매 등록여부 확인 필요",IF($P85="","소재 입고일정 확인 필요","정상"))))))</f>
        <v>소재 입고일정 확인 필요</v>
      </c>
      <c r="U85" s="28" t="str">
        <f aca="false">IF($K85="","",IF(OR(LEFT($T85,2)="작지",LEFT($T85,4)="소재입고"),IF(LEFT($E85,1)="S","★ 납기위험(S코드)","◆ 지연주의"),IF($T85="정상","✓ 정상","? 확인필요")))</f>
        <v>? 확인필요</v>
      </c>
      <c r="V85" s="31"/>
      <c r="W85" s="19"/>
    </row>
    <row r="86" customFormat="false" ht="15" hidden="false" customHeight="true" outlineLevel="0" collapsed="false">
      <c r="A86" s="28" t="n">
        <v>82</v>
      </c>
      <c r="B86" s="29" t="s">
        <v>294</v>
      </c>
      <c r="C86" s="30" t="s">
        <v>295</v>
      </c>
      <c r="D86" s="29" t="s">
        <v>296</v>
      </c>
      <c r="E86" s="28" t="str">
        <f aca="false">IF($C86="","",IF(MID($C86,5,1)="S","S(봄)",IF(MID($C86,5,1)="M","M(여름)",IF(MID($C86,5,1)="X","X(사계절)",MID($C86,5,1)))))</f>
        <v>S(봄)</v>
      </c>
      <c r="F86" s="29" t="s">
        <v>106</v>
      </c>
      <c r="G86" s="31"/>
      <c r="H86" s="28" t="str">
        <f aca="false">IF($C86="","",REPLACE($C86,6,2,"26"))</f>
        <v>TLTBS26571</v>
      </c>
      <c r="I86" s="32" t="str">
        <f aca="false">IFERROR(INDEX(전년출고참조!$B$4:$B$638,MATCH($H86,전년출고참조!$A$4:$A$638,0)),"")</f>
        <v/>
      </c>
      <c r="J86" s="32" t="n">
        <v>46367</v>
      </c>
      <c r="K86" s="32" t="n">
        <f aca="false">IF($G86&lt;&gt;"",IFERROR(DATE(IF(VALUE(LEFT($G86,FIND("월",$G86)-1))&gt;=9,기준정보!$C$6-1,기준정보!$C$6),VALUE(LEFT($G86,FIND("월",$G86)-1)),1+7*(VALUE(SUBSTITUTE(MID($G86,FIND("월",$G86)+1,5),"주",""))-1)),""),IF($I86&lt;&gt;"",IF(ISNUMBER($I86),$I86+364,IFERROR(DATE(IF(VALUE(LEFT($I86,FIND("월",$I86)-1))&gt;=9,기준정보!$C$6-1,기준정보!$C$6),VALUE(LEFT($I86,FIND("월",$I86)-1)),1+7*(VALUE(SUBSTITUTE(MID($I86,FIND("월",$I86)+1,5),"주",""))-1)),"")),IF($J86&lt;&gt;"",$J86,"")))</f>
        <v>46367</v>
      </c>
      <c r="L86" s="28" t="str">
        <f aca="false">IF($G86&lt;&gt;"","계획 주차",IF($I86&lt;&gt;"","전년+1년 예측",IF($J86&lt;&gt;"","전산 입고계획(참고)","미정")))</f>
        <v>전산 입고계획(참고)</v>
      </c>
      <c r="M86" s="32" t="n">
        <f aca="false">IF($K86="","",$K86-기준정보!$C$5)</f>
        <v>46277</v>
      </c>
      <c r="N86" s="33" t="n">
        <f aca="false">IF($M86="","",$M86-기준정보!$C$4)</f>
        <v>36</v>
      </c>
      <c r="O86" s="31" t="s">
        <v>108</v>
      </c>
      <c r="P86" s="20"/>
      <c r="Q86" s="30" t="str">
        <f aca="false">IF($F86="","",IF(AND(ISNUMBER(SEARCH("CMT",$F86)),OR(ISNUMBER(SEARCH("사입",$F86)),ISNUMBER(SEARCH("Buying",$F86)))),"본사/생산처 혼재",IF(ISNUMBER(SEARCH("CMT",$F86)),"본사(소재팀)","생산처")))</f>
        <v>생산처</v>
      </c>
      <c r="R86" s="29" t="s">
        <v>297</v>
      </c>
      <c r="S86" s="29" t="s">
        <v>110</v>
      </c>
      <c r="T86" s="30" t="str">
        <f aca="false">IF($K86="","출고일 미정",IF($O86="X","작지(일매) 미등록",IF($O86="부분","작지(일매) 일부 미등록",IF(AND($P86&lt;&gt;"",$P86&gt;$M86),"소재입고 마감("&amp;TEXT($M86,"MM/DD")&amp;") 초과",IF($O86="","일매 등록여부 확인 필요",IF($P86="","소재 입고일정 확인 필요","정상"))))))</f>
        <v>소재 입고일정 확인 필요</v>
      </c>
      <c r="U86" s="28" t="str">
        <f aca="false">IF($K86="","",IF(OR(LEFT($T86,2)="작지",LEFT($T86,4)="소재입고"),IF(LEFT($E86,1)="S","★ 납기위험(S코드)","◆ 지연주의"),IF($T86="정상","✓ 정상","? 확인필요")))</f>
        <v>? 확인필요</v>
      </c>
      <c r="V86" s="31"/>
      <c r="W86" s="19"/>
    </row>
    <row r="87" customFormat="false" ht="15" hidden="false" customHeight="true" outlineLevel="0" collapsed="false">
      <c r="A87" s="28" t="n">
        <v>83</v>
      </c>
      <c r="B87" s="29" t="s">
        <v>182</v>
      </c>
      <c r="C87" s="30" t="s">
        <v>298</v>
      </c>
      <c r="D87" s="29" t="s">
        <v>299</v>
      </c>
      <c r="E87" s="28" t="str">
        <f aca="false">IF($C87="","",IF(MID($C87,5,1)="S","S(봄)",IF(MID($C87,5,1)="M","M(여름)",IF(MID($C87,5,1)="X","X(사계절)",MID($C87,5,1)))))</f>
        <v>S(봄)</v>
      </c>
      <c r="F87" s="29" t="s">
        <v>106</v>
      </c>
      <c r="G87" s="31"/>
      <c r="H87" s="28" t="str">
        <f aca="false">IF($C87="","",REPLACE($C87,6,2,"26"))</f>
        <v>TVJJS26502</v>
      </c>
      <c r="I87" s="32" t="str">
        <f aca="false">IFERROR(INDEX(전년출고참조!$B$4:$B$638,MATCH($H87,전년출고참조!$A$4:$A$638,0)),"")</f>
        <v/>
      </c>
      <c r="J87" s="32" t="n">
        <v>46367</v>
      </c>
      <c r="K87" s="32" t="n">
        <f aca="false">IF($G87&lt;&gt;"",IFERROR(DATE(IF(VALUE(LEFT($G87,FIND("월",$G87)-1))&gt;=9,기준정보!$C$6-1,기준정보!$C$6),VALUE(LEFT($G87,FIND("월",$G87)-1)),1+7*(VALUE(SUBSTITUTE(MID($G87,FIND("월",$G87)+1,5),"주",""))-1)),""),IF($I87&lt;&gt;"",IF(ISNUMBER($I87),$I87+364,IFERROR(DATE(IF(VALUE(LEFT($I87,FIND("월",$I87)-1))&gt;=9,기준정보!$C$6-1,기준정보!$C$6),VALUE(LEFT($I87,FIND("월",$I87)-1)),1+7*(VALUE(SUBSTITUTE(MID($I87,FIND("월",$I87)+1,5),"주",""))-1)),"")),IF($J87&lt;&gt;"",$J87,"")))</f>
        <v>46367</v>
      </c>
      <c r="L87" s="28" t="str">
        <f aca="false">IF($G87&lt;&gt;"","계획 주차",IF($I87&lt;&gt;"","전년+1년 예측",IF($J87&lt;&gt;"","전산 입고계획(참고)","미정")))</f>
        <v>전산 입고계획(참고)</v>
      </c>
      <c r="M87" s="32" t="n">
        <f aca="false">IF($K87="","",$K87-기준정보!$C$5)</f>
        <v>46277</v>
      </c>
      <c r="N87" s="33" t="n">
        <f aca="false">IF($M87="","",$M87-기준정보!$C$4)</f>
        <v>36</v>
      </c>
      <c r="O87" s="31" t="s">
        <v>108</v>
      </c>
      <c r="P87" s="20"/>
      <c r="Q87" s="30" t="str">
        <f aca="false">IF($F87="","",IF(AND(ISNUMBER(SEARCH("CMT",$F87)),OR(ISNUMBER(SEARCH("사입",$F87)),ISNUMBER(SEARCH("Buying",$F87)))),"본사/생산처 혼재",IF(ISNUMBER(SEARCH("CMT",$F87)),"본사(소재팀)","생산처")))</f>
        <v>생산처</v>
      </c>
      <c r="R87" s="29" t="s">
        <v>138</v>
      </c>
      <c r="S87" s="29" t="s">
        <v>110</v>
      </c>
      <c r="T87" s="30" t="str">
        <f aca="false">IF($K87="","출고일 미정",IF($O87="X","작지(일매) 미등록",IF($O87="부분","작지(일매) 일부 미등록",IF(AND($P87&lt;&gt;"",$P87&gt;$M87),"소재입고 마감("&amp;TEXT($M87,"MM/DD")&amp;") 초과",IF($O87="","일매 등록여부 확인 필요",IF($P87="","소재 입고일정 확인 필요","정상"))))))</f>
        <v>소재 입고일정 확인 필요</v>
      </c>
      <c r="U87" s="28" t="str">
        <f aca="false">IF($K87="","",IF(OR(LEFT($T87,2)="작지",LEFT($T87,4)="소재입고"),IF(LEFT($E87,1)="S","★ 납기위험(S코드)","◆ 지연주의"),IF($T87="정상","✓ 정상","? 확인필요")))</f>
        <v>? 확인필요</v>
      </c>
      <c r="V87" s="31"/>
      <c r="W87" s="19"/>
    </row>
    <row r="88" customFormat="false" ht="15" hidden="false" customHeight="true" outlineLevel="0" collapsed="false">
      <c r="A88" s="28" t="n">
        <v>84</v>
      </c>
      <c r="B88" s="29" t="s">
        <v>182</v>
      </c>
      <c r="C88" s="30" t="s">
        <v>300</v>
      </c>
      <c r="D88" s="29" t="s">
        <v>301</v>
      </c>
      <c r="E88" s="28" t="str">
        <f aca="false">IF($C88="","",IF(MID($C88,5,1)="S","S(봄)",IF(MID($C88,5,1)="M","M(여름)",IF(MID($C88,5,1)="X","X(사계절)",MID($C88,5,1)))))</f>
        <v>S(봄)</v>
      </c>
      <c r="F88" s="29" t="s">
        <v>106</v>
      </c>
      <c r="G88" s="31"/>
      <c r="H88" s="28" t="str">
        <f aca="false">IF($C88="","",REPLACE($C88,6,2,"26"))</f>
        <v>TVJJS26522</v>
      </c>
      <c r="I88" s="32" t="str">
        <f aca="false">IFERROR(INDEX(전년출고참조!$B$4:$B$638,MATCH($H88,전년출고참조!$A$4:$A$638,0)),"")</f>
        <v/>
      </c>
      <c r="J88" s="32" t="n">
        <v>46367</v>
      </c>
      <c r="K88" s="32" t="n">
        <f aca="false">IF($G88&lt;&gt;"",IFERROR(DATE(IF(VALUE(LEFT($G88,FIND("월",$G88)-1))&gt;=9,기준정보!$C$6-1,기준정보!$C$6),VALUE(LEFT($G88,FIND("월",$G88)-1)),1+7*(VALUE(SUBSTITUTE(MID($G88,FIND("월",$G88)+1,5),"주",""))-1)),""),IF($I88&lt;&gt;"",IF(ISNUMBER($I88),$I88+364,IFERROR(DATE(IF(VALUE(LEFT($I88,FIND("월",$I88)-1))&gt;=9,기준정보!$C$6-1,기준정보!$C$6),VALUE(LEFT($I88,FIND("월",$I88)-1)),1+7*(VALUE(SUBSTITUTE(MID($I88,FIND("월",$I88)+1,5),"주",""))-1)),"")),IF($J88&lt;&gt;"",$J88,"")))</f>
        <v>46367</v>
      </c>
      <c r="L88" s="28" t="str">
        <f aca="false">IF($G88&lt;&gt;"","계획 주차",IF($I88&lt;&gt;"","전년+1년 예측",IF($J88&lt;&gt;"","전산 입고계획(참고)","미정")))</f>
        <v>전산 입고계획(참고)</v>
      </c>
      <c r="M88" s="32" t="n">
        <f aca="false">IF($K88="","",$K88-기준정보!$C$5)</f>
        <v>46277</v>
      </c>
      <c r="N88" s="33" t="n">
        <f aca="false">IF($M88="","",$M88-기준정보!$C$4)</f>
        <v>36</v>
      </c>
      <c r="O88" s="31" t="s">
        <v>108</v>
      </c>
      <c r="P88" s="20"/>
      <c r="Q88" s="30" t="str">
        <f aca="false">IF($F88="","",IF(AND(ISNUMBER(SEARCH("CMT",$F88)),OR(ISNUMBER(SEARCH("사입",$F88)),ISNUMBER(SEARCH("Buying",$F88)))),"본사/생산처 혼재",IF(ISNUMBER(SEARCH("CMT",$F88)),"본사(소재팀)","생산처")))</f>
        <v>생산처</v>
      </c>
      <c r="R88" s="29" t="s">
        <v>109</v>
      </c>
      <c r="S88" s="29" t="s">
        <v>110</v>
      </c>
      <c r="T88" s="30" t="str">
        <f aca="false">IF($K88="","출고일 미정",IF($O88="X","작지(일매) 미등록",IF($O88="부분","작지(일매) 일부 미등록",IF(AND($P88&lt;&gt;"",$P88&gt;$M88),"소재입고 마감("&amp;TEXT($M88,"MM/DD")&amp;") 초과",IF($O88="","일매 등록여부 확인 필요",IF($P88="","소재 입고일정 확인 필요","정상"))))))</f>
        <v>소재 입고일정 확인 필요</v>
      </c>
      <c r="U88" s="28" t="str">
        <f aca="false">IF($K88="","",IF(OR(LEFT($T88,2)="작지",LEFT($T88,4)="소재입고"),IF(LEFT($E88,1)="S","★ 납기위험(S코드)","◆ 지연주의"),IF($T88="정상","✓ 정상","? 확인필요")))</f>
        <v>? 확인필요</v>
      </c>
      <c r="V88" s="31"/>
      <c r="W88" s="19"/>
    </row>
    <row r="89" customFormat="false" ht="15" hidden="false" customHeight="true" outlineLevel="0" collapsed="false">
      <c r="A89" s="28" t="n">
        <v>85</v>
      </c>
      <c r="B89" s="29" t="s">
        <v>182</v>
      </c>
      <c r="C89" s="30" t="s">
        <v>302</v>
      </c>
      <c r="D89" s="29" t="s">
        <v>303</v>
      </c>
      <c r="E89" s="28" t="str">
        <f aca="false">IF($C89="","",IF(MID($C89,5,1)="S","S(봄)",IF(MID($C89,5,1)="M","M(여름)",IF(MID($C89,5,1)="X","X(사계절)",MID($C89,5,1)))))</f>
        <v>S(봄)</v>
      </c>
      <c r="F89" s="29" t="s">
        <v>106</v>
      </c>
      <c r="G89" s="31"/>
      <c r="H89" s="28" t="str">
        <f aca="false">IF($C89="","",REPLACE($C89,6,2,"26"))</f>
        <v>TVJJS26532</v>
      </c>
      <c r="I89" s="32" t="str">
        <f aca="false">IFERROR(INDEX(전년출고참조!$B$4:$B$638,MATCH($H89,전년출고참조!$A$4:$A$638,0)),"")</f>
        <v/>
      </c>
      <c r="J89" s="32" t="n">
        <v>46367</v>
      </c>
      <c r="K89" s="32" t="n">
        <f aca="false">IF($G89&lt;&gt;"",IFERROR(DATE(IF(VALUE(LEFT($G89,FIND("월",$G89)-1))&gt;=9,기준정보!$C$6-1,기준정보!$C$6),VALUE(LEFT($G89,FIND("월",$G89)-1)),1+7*(VALUE(SUBSTITUTE(MID($G89,FIND("월",$G89)+1,5),"주",""))-1)),""),IF($I89&lt;&gt;"",IF(ISNUMBER($I89),$I89+364,IFERROR(DATE(IF(VALUE(LEFT($I89,FIND("월",$I89)-1))&gt;=9,기준정보!$C$6-1,기준정보!$C$6),VALUE(LEFT($I89,FIND("월",$I89)-1)),1+7*(VALUE(SUBSTITUTE(MID($I89,FIND("월",$I89)+1,5),"주",""))-1)),"")),IF($J89&lt;&gt;"",$J89,"")))</f>
        <v>46367</v>
      </c>
      <c r="L89" s="28" t="str">
        <f aca="false">IF($G89&lt;&gt;"","계획 주차",IF($I89&lt;&gt;"","전년+1년 예측",IF($J89&lt;&gt;"","전산 입고계획(참고)","미정")))</f>
        <v>전산 입고계획(참고)</v>
      </c>
      <c r="M89" s="32" t="n">
        <f aca="false">IF($K89="","",$K89-기준정보!$C$5)</f>
        <v>46277</v>
      </c>
      <c r="N89" s="33" t="n">
        <f aca="false">IF($M89="","",$M89-기준정보!$C$4)</f>
        <v>36</v>
      </c>
      <c r="O89" s="31" t="s">
        <v>108</v>
      </c>
      <c r="P89" s="20"/>
      <c r="Q89" s="30" t="str">
        <f aca="false">IF($F89="","",IF(AND(ISNUMBER(SEARCH("CMT",$F89)),OR(ISNUMBER(SEARCH("사입",$F89)),ISNUMBER(SEARCH("Buying",$F89)))),"본사/생산처 혼재",IF(ISNUMBER(SEARCH("CMT",$F89)),"본사(소재팀)","생산처")))</f>
        <v>생산처</v>
      </c>
      <c r="R89" s="29" t="s">
        <v>133</v>
      </c>
      <c r="S89" s="29" t="s">
        <v>110</v>
      </c>
      <c r="T89" s="30" t="str">
        <f aca="false">IF($K89="","출고일 미정",IF($O89="X","작지(일매) 미등록",IF($O89="부분","작지(일매) 일부 미등록",IF(AND($P89&lt;&gt;"",$P89&gt;$M89),"소재입고 마감("&amp;TEXT($M89,"MM/DD")&amp;") 초과",IF($O89="","일매 등록여부 확인 필요",IF($P89="","소재 입고일정 확인 필요","정상"))))))</f>
        <v>소재 입고일정 확인 필요</v>
      </c>
      <c r="U89" s="28" t="str">
        <f aca="false">IF($K89="","",IF(OR(LEFT($T89,2)="작지",LEFT($T89,4)="소재입고"),IF(LEFT($E89,1)="S","★ 납기위험(S코드)","◆ 지연주의"),IF($T89="정상","✓ 정상","? 확인필요")))</f>
        <v>? 확인필요</v>
      </c>
      <c r="V89" s="31"/>
      <c r="W89" s="19"/>
    </row>
    <row r="90" customFormat="false" ht="15" hidden="false" customHeight="true" outlineLevel="0" collapsed="false">
      <c r="A90" s="28" t="n">
        <v>86</v>
      </c>
      <c r="B90" s="29" t="s">
        <v>182</v>
      </c>
      <c r="C90" s="30" t="s">
        <v>304</v>
      </c>
      <c r="D90" s="29" t="s">
        <v>305</v>
      </c>
      <c r="E90" s="28" t="str">
        <f aca="false">IF($C90="","",IF(MID($C90,5,1)="S","S(봄)",IF(MID($C90,5,1)="M","M(여름)",IF(MID($C90,5,1)="X","X(사계절)",MID($C90,5,1)))))</f>
        <v>S(봄)</v>
      </c>
      <c r="F90" s="29" t="s">
        <v>106</v>
      </c>
      <c r="G90" s="31"/>
      <c r="H90" s="28" t="str">
        <f aca="false">IF($C90="","",REPLACE($C90,6,2,"26"))</f>
        <v>TVJJS26552</v>
      </c>
      <c r="I90" s="32" t="str">
        <f aca="false">IFERROR(INDEX(전년출고참조!$B$4:$B$638,MATCH($H90,전년출고참조!$A$4:$A$638,0)),"")</f>
        <v/>
      </c>
      <c r="J90" s="32" t="n">
        <v>46367</v>
      </c>
      <c r="K90" s="32" t="n">
        <f aca="false">IF($G90&lt;&gt;"",IFERROR(DATE(IF(VALUE(LEFT($G90,FIND("월",$G90)-1))&gt;=9,기준정보!$C$6-1,기준정보!$C$6),VALUE(LEFT($G90,FIND("월",$G90)-1)),1+7*(VALUE(SUBSTITUTE(MID($G90,FIND("월",$G90)+1,5),"주",""))-1)),""),IF($I90&lt;&gt;"",IF(ISNUMBER($I90),$I90+364,IFERROR(DATE(IF(VALUE(LEFT($I90,FIND("월",$I90)-1))&gt;=9,기준정보!$C$6-1,기준정보!$C$6),VALUE(LEFT($I90,FIND("월",$I90)-1)),1+7*(VALUE(SUBSTITUTE(MID($I90,FIND("월",$I90)+1,5),"주",""))-1)),"")),IF($J90&lt;&gt;"",$J90,"")))</f>
        <v>46367</v>
      </c>
      <c r="L90" s="28" t="str">
        <f aca="false">IF($G90&lt;&gt;"","계획 주차",IF($I90&lt;&gt;"","전년+1년 예측",IF($J90&lt;&gt;"","전산 입고계획(참고)","미정")))</f>
        <v>전산 입고계획(참고)</v>
      </c>
      <c r="M90" s="32" t="n">
        <f aca="false">IF($K90="","",$K90-기준정보!$C$5)</f>
        <v>46277</v>
      </c>
      <c r="N90" s="33" t="n">
        <f aca="false">IF($M90="","",$M90-기준정보!$C$4)</f>
        <v>36</v>
      </c>
      <c r="O90" s="31" t="s">
        <v>108</v>
      </c>
      <c r="P90" s="20"/>
      <c r="Q90" s="30" t="str">
        <f aca="false">IF($F90="","",IF(AND(ISNUMBER(SEARCH("CMT",$F90)),OR(ISNUMBER(SEARCH("사입",$F90)),ISNUMBER(SEARCH("Buying",$F90)))),"본사/생산처 혼재",IF(ISNUMBER(SEARCH("CMT",$F90)),"본사(소재팀)","생산처")))</f>
        <v>생산처</v>
      </c>
      <c r="R90" s="29" t="s">
        <v>138</v>
      </c>
      <c r="S90" s="29" t="s">
        <v>110</v>
      </c>
      <c r="T90" s="30" t="str">
        <f aca="false">IF($K90="","출고일 미정",IF($O90="X","작지(일매) 미등록",IF($O90="부분","작지(일매) 일부 미등록",IF(AND($P90&lt;&gt;"",$P90&gt;$M90),"소재입고 마감("&amp;TEXT($M90,"MM/DD")&amp;") 초과",IF($O90="","일매 등록여부 확인 필요",IF($P90="","소재 입고일정 확인 필요","정상"))))))</f>
        <v>소재 입고일정 확인 필요</v>
      </c>
      <c r="U90" s="28" t="str">
        <f aca="false">IF($K90="","",IF(OR(LEFT($T90,2)="작지",LEFT($T90,4)="소재입고"),IF(LEFT($E90,1)="S","★ 납기위험(S코드)","◆ 지연주의"),IF($T90="정상","✓ 정상","? 확인필요")))</f>
        <v>? 확인필요</v>
      </c>
      <c r="V90" s="31"/>
      <c r="W90" s="19"/>
    </row>
    <row r="91" customFormat="false" ht="15" hidden="false" customHeight="true" outlineLevel="0" collapsed="false">
      <c r="A91" s="28" t="n">
        <v>87</v>
      </c>
      <c r="B91" s="29" t="s">
        <v>182</v>
      </c>
      <c r="C91" s="30" t="s">
        <v>306</v>
      </c>
      <c r="D91" s="29" t="s">
        <v>307</v>
      </c>
      <c r="E91" s="28" t="str">
        <f aca="false">IF($C91="","",IF(MID($C91,5,1)="S","S(봄)",IF(MID($C91,5,1)="M","M(여름)",IF(MID($C91,5,1)="X","X(사계절)",MID($C91,5,1)))))</f>
        <v>S(봄)</v>
      </c>
      <c r="F91" s="29" t="s">
        <v>106</v>
      </c>
      <c r="G91" s="31"/>
      <c r="H91" s="28" t="str">
        <f aca="false">IF($C91="","",REPLACE($C91,6,2,"26"))</f>
        <v>TVJJS26562</v>
      </c>
      <c r="I91" s="32" t="str">
        <f aca="false">IFERROR(INDEX(전년출고참조!$B$4:$B$638,MATCH($H91,전년출고참조!$A$4:$A$638,0)),"")</f>
        <v/>
      </c>
      <c r="J91" s="32" t="n">
        <v>46367</v>
      </c>
      <c r="K91" s="32" t="n">
        <f aca="false">IF($G91&lt;&gt;"",IFERROR(DATE(IF(VALUE(LEFT($G91,FIND("월",$G91)-1))&gt;=9,기준정보!$C$6-1,기준정보!$C$6),VALUE(LEFT($G91,FIND("월",$G91)-1)),1+7*(VALUE(SUBSTITUTE(MID($G91,FIND("월",$G91)+1,5),"주",""))-1)),""),IF($I91&lt;&gt;"",IF(ISNUMBER($I91),$I91+364,IFERROR(DATE(IF(VALUE(LEFT($I91,FIND("월",$I91)-1))&gt;=9,기준정보!$C$6-1,기준정보!$C$6),VALUE(LEFT($I91,FIND("월",$I91)-1)),1+7*(VALUE(SUBSTITUTE(MID($I91,FIND("월",$I91)+1,5),"주",""))-1)),"")),IF($J91&lt;&gt;"",$J91,"")))</f>
        <v>46367</v>
      </c>
      <c r="L91" s="28" t="str">
        <f aca="false">IF($G91&lt;&gt;"","계획 주차",IF($I91&lt;&gt;"","전년+1년 예측",IF($J91&lt;&gt;"","전산 입고계획(참고)","미정")))</f>
        <v>전산 입고계획(참고)</v>
      </c>
      <c r="M91" s="32" t="n">
        <f aca="false">IF($K91="","",$K91-기준정보!$C$5)</f>
        <v>46277</v>
      </c>
      <c r="N91" s="33" t="n">
        <f aca="false">IF($M91="","",$M91-기준정보!$C$4)</f>
        <v>36</v>
      </c>
      <c r="O91" s="31" t="s">
        <v>108</v>
      </c>
      <c r="P91" s="20"/>
      <c r="Q91" s="30" t="str">
        <f aca="false">IF($F91="","",IF(AND(ISNUMBER(SEARCH("CMT",$F91)),OR(ISNUMBER(SEARCH("사입",$F91)),ISNUMBER(SEARCH("Buying",$F91)))),"본사/생산처 혼재",IF(ISNUMBER(SEARCH("CMT",$F91)),"본사(소재팀)","생산처")))</f>
        <v>생산처</v>
      </c>
      <c r="R91" s="29" t="s">
        <v>138</v>
      </c>
      <c r="S91" s="29" t="s">
        <v>110</v>
      </c>
      <c r="T91" s="30" t="str">
        <f aca="false">IF($K91="","출고일 미정",IF($O91="X","작지(일매) 미등록",IF($O91="부분","작지(일매) 일부 미등록",IF(AND($P91&lt;&gt;"",$P91&gt;$M91),"소재입고 마감("&amp;TEXT($M91,"MM/DD")&amp;") 초과",IF($O91="","일매 등록여부 확인 필요",IF($P91="","소재 입고일정 확인 필요","정상"))))))</f>
        <v>소재 입고일정 확인 필요</v>
      </c>
      <c r="U91" s="28" t="str">
        <f aca="false">IF($K91="","",IF(OR(LEFT($T91,2)="작지",LEFT($T91,4)="소재입고"),IF(LEFT($E91,1)="S","★ 납기위험(S코드)","◆ 지연주의"),IF($T91="정상","✓ 정상","? 확인필요")))</f>
        <v>? 확인필요</v>
      </c>
      <c r="V91" s="31"/>
      <c r="W91" s="19"/>
    </row>
    <row r="92" customFormat="false" ht="15" hidden="false" customHeight="true" outlineLevel="0" collapsed="false">
      <c r="A92" s="28" t="n">
        <v>88</v>
      </c>
      <c r="B92" s="29" t="s">
        <v>182</v>
      </c>
      <c r="C92" s="30" t="s">
        <v>308</v>
      </c>
      <c r="D92" s="29" t="s">
        <v>309</v>
      </c>
      <c r="E92" s="28" t="str">
        <f aca="false">IF($C92="","",IF(MID($C92,5,1)="S","S(봄)",IF(MID($C92,5,1)="M","M(여름)",IF(MID($C92,5,1)="X","X(사계절)",MID($C92,5,1)))))</f>
        <v>S(봄)</v>
      </c>
      <c r="F92" s="29" t="s">
        <v>106</v>
      </c>
      <c r="G92" s="31"/>
      <c r="H92" s="28" t="str">
        <f aca="false">IF($C92="","",REPLACE($C92,6,2,"26"))</f>
        <v>TVJJS26902</v>
      </c>
      <c r="I92" s="32" t="str">
        <f aca="false">IFERROR(INDEX(전년출고참조!$B$4:$B$638,MATCH($H92,전년출고참조!$A$4:$A$638,0)),"")</f>
        <v/>
      </c>
      <c r="J92" s="32" t="n">
        <v>46367</v>
      </c>
      <c r="K92" s="32" t="n">
        <f aca="false">IF($G92&lt;&gt;"",IFERROR(DATE(IF(VALUE(LEFT($G92,FIND("월",$G92)-1))&gt;=9,기준정보!$C$6-1,기준정보!$C$6),VALUE(LEFT($G92,FIND("월",$G92)-1)),1+7*(VALUE(SUBSTITUTE(MID($G92,FIND("월",$G92)+1,5),"주",""))-1)),""),IF($I92&lt;&gt;"",IF(ISNUMBER($I92),$I92+364,IFERROR(DATE(IF(VALUE(LEFT($I92,FIND("월",$I92)-1))&gt;=9,기준정보!$C$6-1,기준정보!$C$6),VALUE(LEFT($I92,FIND("월",$I92)-1)),1+7*(VALUE(SUBSTITUTE(MID($I92,FIND("월",$I92)+1,5),"주",""))-1)),"")),IF($J92&lt;&gt;"",$J92,"")))</f>
        <v>46367</v>
      </c>
      <c r="L92" s="28" t="str">
        <f aca="false">IF($G92&lt;&gt;"","계획 주차",IF($I92&lt;&gt;"","전년+1년 예측",IF($J92&lt;&gt;"","전산 입고계획(참고)","미정")))</f>
        <v>전산 입고계획(참고)</v>
      </c>
      <c r="M92" s="32" t="n">
        <f aca="false">IF($K92="","",$K92-기준정보!$C$5)</f>
        <v>46277</v>
      </c>
      <c r="N92" s="33" t="n">
        <f aca="false">IF($M92="","",$M92-기준정보!$C$4)</f>
        <v>36</v>
      </c>
      <c r="O92" s="31" t="s">
        <v>114</v>
      </c>
      <c r="P92" s="20"/>
      <c r="Q92" s="30" t="str">
        <f aca="false">IF($F92="","",IF(AND(ISNUMBER(SEARCH("CMT",$F92)),OR(ISNUMBER(SEARCH("사입",$F92)),ISNUMBER(SEARCH("Buying",$F92)))),"본사/생산처 혼재",IF(ISNUMBER(SEARCH("CMT",$F92)),"본사(소재팀)","생산처")))</f>
        <v>생산처</v>
      </c>
      <c r="R92" s="29" t="s">
        <v>138</v>
      </c>
      <c r="S92" s="29" t="s">
        <v>110</v>
      </c>
      <c r="T92" s="30" t="str">
        <f aca="false">IF($K92="","출고일 미정",IF($O92="X","작지(일매) 미등록",IF($O92="부분","작지(일매) 일부 미등록",IF(AND($P92&lt;&gt;"",$P92&gt;$M92),"소재입고 마감("&amp;TEXT($M92,"MM/DD")&amp;") 초과",IF($O92="","일매 등록여부 확인 필요",IF($P92="","소재 입고일정 확인 필요","정상"))))))</f>
        <v>작지(일매) 미등록</v>
      </c>
      <c r="U92" s="28" t="str">
        <f aca="false">IF($K92="","",IF(OR(LEFT($T92,2)="작지",LEFT($T92,4)="소재입고"),IF(LEFT($E92,1)="S","★ 납기위험(S코드)","◆ 지연주의"),IF($T92="정상","✓ 정상","? 확인필요")))</f>
        <v>★ 납기위험(S코드)</v>
      </c>
      <c r="V92" s="31"/>
      <c r="W92" s="19"/>
    </row>
    <row r="93" customFormat="false" ht="15" hidden="false" customHeight="true" outlineLevel="0" collapsed="false">
      <c r="A93" s="28" t="n">
        <v>89</v>
      </c>
      <c r="B93" s="29" t="s">
        <v>182</v>
      </c>
      <c r="C93" s="30" t="s">
        <v>310</v>
      </c>
      <c r="D93" s="29" t="s">
        <v>311</v>
      </c>
      <c r="E93" s="28" t="str">
        <f aca="false">IF($C93="","",IF(MID($C93,5,1)="S","S(봄)",IF(MID($C93,5,1)="M","M(여름)",IF(MID($C93,5,1)="X","X(사계절)",MID($C93,5,1)))))</f>
        <v>S(봄)</v>
      </c>
      <c r="F93" s="29" t="s">
        <v>106</v>
      </c>
      <c r="G93" s="31"/>
      <c r="H93" s="28" t="str">
        <f aca="false">IF($C93="","",REPLACE($C93,6,2,"26"))</f>
        <v>TVJJS26912</v>
      </c>
      <c r="I93" s="32" t="str">
        <f aca="false">IFERROR(INDEX(전년출고참조!$B$4:$B$638,MATCH($H93,전년출고참조!$A$4:$A$638,0)),"")</f>
        <v/>
      </c>
      <c r="J93" s="32" t="n">
        <v>46367</v>
      </c>
      <c r="K93" s="32" t="n">
        <f aca="false">IF($G93&lt;&gt;"",IFERROR(DATE(IF(VALUE(LEFT($G93,FIND("월",$G93)-1))&gt;=9,기준정보!$C$6-1,기준정보!$C$6),VALUE(LEFT($G93,FIND("월",$G93)-1)),1+7*(VALUE(SUBSTITUTE(MID($G93,FIND("월",$G93)+1,5),"주",""))-1)),""),IF($I93&lt;&gt;"",IF(ISNUMBER($I93),$I93+364,IFERROR(DATE(IF(VALUE(LEFT($I93,FIND("월",$I93)-1))&gt;=9,기준정보!$C$6-1,기준정보!$C$6),VALUE(LEFT($I93,FIND("월",$I93)-1)),1+7*(VALUE(SUBSTITUTE(MID($I93,FIND("월",$I93)+1,5),"주",""))-1)),"")),IF($J93&lt;&gt;"",$J93,"")))</f>
        <v>46367</v>
      </c>
      <c r="L93" s="28" t="str">
        <f aca="false">IF($G93&lt;&gt;"","계획 주차",IF($I93&lt;&gt;"","전년+1년 예측",IF($J93&lt;&gt;"","전산 입고계획(참고)","미정")))</f>
        <v>전산 입고계획(참고)</v>
      </c>
      <c r="M93" s="32" t="n">
        <f aca="false">IF($K93="","",$K93-기준정보!$C$5)</f>
        <v>46277</v>
      </c>
      <c r="N93" s="33" t="n">
        <f aca="false">IF($M93="","",$M93-기준정보!$C$4)</f>
        <v>36</v>
      </c>
      <c r="O93" s="31" t="s">
        <v>114</v>
      </c>
      <c r="P93" s="20"/>
      <c r="Q93" s="30" t="str">
        <f aca="false">IF($F93="","",IF(AND(ISNUMBER(SEARCH("CMT",$F93)),OR(ISNUMBER(SEARCH("사입",$F93)),ISNUMBER(SEARCH("Buying",$F93)))),"본사/생산처 혼재",IF(ISNUMBER(SEARCH("CMT",$F93)),"본사(소재팀)","생산처")))</f>
        <v>생산처</v>
      </c>
      <c r="R93" s="29" t="s">
        <v>138</v>
      </c>
      <c r="S93" s="29" t="s">
        <v>110</v>
      </c>
      <c r="T93" s="30" t="str">
        <f aca="false">IF($K93="","출고일 미정",IF($O93="X","작지(일매) 미등록",IF($O93="부분","작지(일매) 일부 미등록",IF(AND($P93&lt;&gt;"",$P93&gt;$M93),"소재입고 마감("&amp;TEXT($M93,"MM/DD")&amp;") 초과",IF($O93="","일매 등록여부 확인 필요",IF($P93="","소재 입고일정 확인 필요","정상"))))))</f>
        <v>작지(일매) 미등록</v>
      </c>
      <c r="U93" s="28" t="str">
        <f aca="false">IF($K93="","",IF(OR(LEFT($T93,2)="작지",LEFT($T93,4)="소재입고"),IF(LEFT($E93,1)="S","★ 납기위험(S코드)","◆ 지연주의"),IF($T93="정상","✓ 정상","? 확인필요")))</f>
        <v>★ 납기위험(S코드)</v>
      </c>
      <c r="V93" s="31"/>
      <c r="W93" s="19"/>
    </row>
    <row r="94" customFormat="false" ht="15" hidden="false" customHeight="true" outlineLevel="0" collapsed="false">
      <c r="A94" s="28" t="n">
        <v>90</v>
      </c>
      <c r="B94" s="29" t="s">
        <v>294</v>
      </c>
      <c r="C94" s="30" t="s">
        <v>312</v>
      </c>
      <c r="D94" s="29" t="s">
        <v>313</v>
      </c>
      <c r="E94" s="28" t="str">
        <f aca="false">IF($C94="","",IF(MID($C94,5,1)="S","S(봄)",IF(MID($C94,5,1)="M","M(여름)",IF(MID($C94,5,1)="X","X(사계절)",MID($C94,5,1)))))</f>
        <v>S(봄)</v>
      </c>
      <c r="F94" s="29" t="s">
        <v>106</v>
      </c>
      <c r="G94" s="31"/>
      <c r="H94" s="28" t="str">
        <f aca="false">IF($C94="","",REPLACE($C94,6,2,"26"))</f>
        <v>TVTBS26552</v>
      </c>
      <c r="I94" s="32" t="str">
        <f aca="false">IFERROR(INDEX(전년출고참조!$B$4:$B$638,MATCH($H94,전년출고참조!$A$4:$A$638,0)),"")</f>
        <v/>
      </c>
      <c r="J94" s="32" t="n">
        <v>46367</v>
      </c>
      <c r="K94" s="32" t="n">
        <f aca="false">IF($G94&lt;&gt;"",IFERROR(DATE(IF(VALUE(LEFT($G94,FIND("월",$G94)-1))&gt;=9,기준정보!$C$6-1,기준정보!$C$6),VALUE(LEFT($G94,FIND("월",$G94)-1)),1+7*(VALUE(SUBSTITUTE(MID($G94,FIND("월",$G94)+1,5),"주",""))-1)),""),IF($I94&lt;&gt;"",IF(ISNUMBER($I94),$I94+364,IFERROR(DATE(IF(VALUE(LEFT($I94,FIND("월",$I94)-1))&gt;=9,기준정보!$C$6-1,기준정보!$C$6),VALUE(LEFT($I94,FIND("월",$I94)-1)),1+7*(VALUE(SUBSTITUTE(MID($I94,FIND("월",$I94)+1,5),"주",""))-1)),"")),IF($J94&lt;&gt;"",$J94,"")))</f>
        <v>46367</v>
      </c>
      <c r="L94" s="28" t="str">
        <f aca="false">IF($G94&lt;&gt;"","계획 주차",IF($I94&lt;&gt;"","전년+1년 예측",IF($J94&lt;&gt;"","전산 입고계획(참고)","미정")))</f>
        <v>전산 입고계획(참고)</v>
      </c>
      <c r="M94" s="32" t="n">
        <f aca="false">IF($K94="","",$K94-기준정보!$C$5)</f>
        <v>46277</v>
      </c>
      <c r="N94" s="33" t="n">
        <f aca="false">IF($M94="","",$M94-기준정보!$C$4)</f>
        <v>36</v>
      </c>
      <c r="O94" s="31" t="s">
        <v>108</v>
      </c>
      <c r="P94" s="20"/>
      <c r="Q94" s="30" t="str">
        <f aca="false">IF($F94="","",IF(AND(ISNUMBER(SEARCH("CMT",$F94)),OR(ISNUMBER(SEARCH("사입",$F94)),ISNUMBER(SEARCH("Buying",$F94)))),"본사/생산처 혼재",IF(ISNUMBER(SEARCH("CMT",$F94)),"본사(소재팀)","생산처")))</f>
        <v>생산처</v>
      </c>
      <c r="R94" s="29" t="s">
        <v>123</v>
      </c>
      <c r="S94" s="29" t="s">
        <v>120</v>
      </c>
      <c r="T94" s="30" t="str">
        <f aca="false">IF($K94="","출고일 미정",IF($O94="X","작지(일매) 미등록",IF($O94="부분","작지(일매) 일부 미등록",IF(AND($P94&lt;&gt;"",$P94&gt;$M94),"소재입고 마감("&amp;TEXT($M94,"MM/DD")&amp;") 초과",IF($O94="","일매 등록여부 확인 필요",IF($P94="","소재 입고일정 확인 필요","정상"))))))</f>
        <v>소재 입고일정 확인 필요</v>
      </c>
      <c r="U94" s="28" t="str">
        <f aca="false">IF($K94="","",IF(OR(LEFT($T94,2)="작지",LEFT($T94,4)="소재입고"),IF(LEFT($E94,1)="S","★ 납기위험(S코드)","◆ 지연주의"),IF($T94="정상","✓ 정상","? 확인필요")))</f>
        <v>? 확인필요</v>
      </c>
      <c r="V94" s="31"/>
      <c r="W94" s="19"/>
    </row>
    <row r="95" customFormat="false" ht="15" hidden="false" customHeight="true" outlineLevel="0" collapsed="false">
      <c r="A95" s="28" t="n">
        <v>91</v>
      </c>
      <c r="B95" s="29" t="s">
        <v>294</v>
      </c>
      <c r="C95" s="30" t="s">
        <v>314</v>
      </c>
      <c r="D95" s="29" t="s">
        <v>315</v>
      </c>
      <c r="E95" s="28" t="str">
        <f aca="false">IF($C95="","",IF(MID($C95,5,1)="S","S(봄)",IF(MID($C95,5,1)="M","M(여름)",IF(MID($C95,5,1)="X","X(사계절)",MID($C95,5,1)))))</f>
        <v>S(봄)</v>
      </c>
      <c r="F95" s="29" t="s">
        <v>106</v>
      </c>
      <c r="G95" s="31"/>
      <c r="H95" s="28" t="str">
        <f aca="false">IF($C95="","",REPLACE($C95,6,2,"26"))</f>
        <v>TVTBS26592</v>
      </c>
      <c r="I95" s="32" t="str">
        <f aca="false">IFERROR(INDEX(전년출고참조!$B$4:$B$638,MATCH($H95,전년출고참조!$A$4:$A$638,0)),"")</f>
        <v/>
      </c>
      <c r="J95" s="32" t="n">
        <v>46367</v>
      </c>
      <c r="K95" s="32" t="n">
        <f aca="false">IF($G95&lt;&gt;"",IFERROR(DATE(IF(VALUE(LEFT($G95,FIND("월",$G95)-1))&gt;=9,기준정보!$C$6-1,기준정보!$C$6),VALUE(LEFT($G95,FIND("월",$G95)-1)),1+7*(VALUE(SUBSTITUTE(MID($G95,FIND("월",$G95)+1,5),"주",""))-1)),""),IF($I95&lt;&gt;"",IF(ISNUMBER($I95),$I95+364,IFERROR(DATE(IF(VALUE(LEFT($I95,FIND("월",$I95)-1))&gt;=9,기준정보!$C$6-1,기준정보!$C$6),VALUE(LEFT($I95,FIND("월",$I95)-1)),1+7*(VALUE(SUBSTITUTE(MID($I95,FIND("월",$I95)+1,5),"주",""))-1)),"")),IF($J95&lt;&gt;"",$J95,"")))</f>
        <v>46367</v>
      </c>
      <c r="L95" s="28" t="str">
        <f aca="false">IF($G95&lt;&gt;"","계획 주차",IF($I95&lt;&gt;"","전년+1년 예측",IF($J95&lt;&gt;"","전산 입고계획(참고)","미정")))</f>
        <v>전산 입고계획(참고)</v>
      </c>
      <c r="M95" s="32" t="n">
        <f aca="false">IF($K95="","",$K95-기준정보!$C$5)</f>
        <v>46277</v>
      </c>
      <c r="N95" s="33" t="n">
        <f aca="false">IF($M95="","",$M95-기준정보!$C$4)</f>
        <v>36</v>
      </c>
      <c r="O95" s="31" t="s">
        <v>108</v>
      </c>
      <c r="P95" s="20"/>
      <c r="Q95" s="30" t="str">
        <f aca="false">IF($F95="","",IF(AND(ISNUMBER(SEARCH("CMT",$F95)),OR(ISNUMBER(SEARCH("사입",$F95)),ISNUMBER(SEARCH("Buying",$F95)))),"본사/생산처 혼재",IF(ISNUMBER(SEARCH("CMT",$F95)),"본사(소재팀)","생산처")))</f>
        <v>생산처</v>
      </c>
      <c r="R95" s="29" t="s">
        <v>297</v>
      </c>
      <c r="S95" s="29" t="s">
        <v>110</v>
      </c>
      <c r="T95" s="30" t="str">
        <f aca="false">IF($K95="","출고일 미정",IF($O95="X","작지(일매) 미등록",IF($O95="부분","작지(일매) 일부 미등록",IF(AND($P95&lt;&gt;"",$P95&gt;$M95),"소재입고 마감("&amp;TEXT($M95,"MM/DD")&amp;") 초과",IF($O95="","일매 등록여부 확인 필요",IF($P95="","소재 입고일정 확인 필요","정상"))))))</f>
        <v>소재 입고일정 확인 필요</v>
      </c>
      <c r="U95" s="28" t="str">
        <f aca="false">IF($K95="","",IF(OR(LEFT($T95,2)="작지",LEFT($T95,4)="소재입고"),IF(LEFT($E95,1)="S","★ 납기위험(S코드)","◆ 지연주의"),IF($T95="정상","✓ 정상","? 확인필요")))</f>
        <v>? 확인필요</v>
      </c>
      <c r="V95" s="31"/>
      <c r="W95" s="19"/>
    </row>
    <row r="96" customFormat="false" ht="15" hidden="false" customHeight="true" outlineLevel="0" collapsed="false">
      <c r="A96" s="28" t="n">
        <v>92</v>
      </c>
      <c r="B96" s="29" t="s">
        <v>227</v>
      </c>
      <c r="C96" s="30" t="s">
        <v>316</v>
      </c>
      <c r="D96" s="29" t="s">
        <v>317</v>
      </c>
      <c r="E96" s="28" t="str">
        <f aca="false">IF($C96="","",IF(MID($C96,5,1)="S","S(봄)",IF(MID($C96,5,1)="M","M(여름)",IF(MID($C96,5,1)="X","X(사계절)",MID($C96,5,1)))))</f>
        <v>S(봄)</v>
      </c>
      <c r="F96" s="30" t="s">
        <v>113</v>
      </c>
      <c r="G96" s="31"/>
      <c r="H96" s="28" t="str">
        <f aca="false">IF($C96="","",REPLACE($C96,6,2,"26"))</f>
        <v>JKTBS26108</v>
      </c>
      <c r="I96" s="32" t="str">
        <f aca="false">IFERROR(INDEX(전년출고참조!$B$4:$B$638,MATCH($H96,전년출고참조!$A$4:$A$638,0)),"")</f>
        <v/>
      </c>
      <c r="J96" s="32" t="n">
        <v>46391</v>
      </c>
      <c r="K96" s="32" t="n">
        <f aca="false">IF($G96&lt;&gt;"",IFERROR(DATE(IF(VALUE(LEFT($G96,FIND("월",$G96)-1))&gt;=9,기준정보!$C$6-1,기준정보!$C$6),VALUE(LEFT($G96,FIND("월",$G96)-1)),1+7*(VALUE(SUBSTITUTE(MID($G96,FIND("월",$G96)+1,5),"주",""))-1)),""),IF($I96&lt;&gt;"",IF(ISNUMBER($I96),$I96+364,IFERROR(DATE(IF(VALUE(LEFT($I96,FIND("월",$I96)-1))&gt;=9,기준정보!$C$6-1,기준정보!$C$6),VALUE(LEFT($I96,FIND("월",$I96)-1)),1+7*(VALUE(SUBSTITUTE(MID($I96,FIND("월",$I96)+1,5),"주",""))-1)),"")),IF($J96&lt;&gt;"",$J96,"")))</f>
        <v>46391</v>
      </c>
      <c r="L96" s="28" t="str">
        <f aca="false">IF($G96&lt;&gt;"","계획 주차",IF($I96&lt;&gt;"","전년+1년 예측",IF($J96&lt;&gt;"","전산 입고계획(참고)","미정")))</f>
        <v>전산 입고계획(참고)</v>
      </c>
      <c r="M96" s="32" t="n">
        <f aca="false">IF($K96="","",$K96-기준정보!$C$5)</f>
        <v>46301</v>
      </c>
      <c r="N96" s="33" t="n">
        <f aca="false">IF($M96="","",$M96-기준정보!$C$4)</f>
        <v>60</v>
      </c>
      <c r="O96" s="31" t="s">
        <v>114</v>
      </c>
      <c r="P96" s="20"/>
      <c r="Q96" s="30" t="str">
        <f aca="false">IF($F96="","",IF(AND(ISNUMBER(SEARCH("CMT",$F96)),OR(ISNUMBER(SEARCH("사입",$F96)),ISNUMBER(SEARCH("Buying",$F96)))),"본사/생산처 혼재",IF(ISNUMBER(SEARCH("CMT",$F96)),"본사(소재팀)","생산처")))</f>
        <v>생산처</v>
      </c>
      <c r="R96" s="29" t="s">
        <v>115</v>
      </c>
      <c r="S96" s="29" t="s">
        <v>110</v>
      </c>
      <c r="T96" s="30" t="str">
        <f aca="false">IF($K96="","출고일 미정",IF($O96="X","작지(일매) 미등록",IF($O96="부분","작지(일매) 일부 미등록",IF(AND($P96&lt;&gt;"",$P96&gt;$M96),"소재입고 마감("&amp;TEXT($M96,"MM/DD")&amp;") 초과",IF($O96="","일매 등록여부 확인 필요",IF($P96="","소재 입고일정 확인 필요","정상"))))))</f>
        <v>작지(일매) 미등록</v>
      </c>
      <c r="U96" s="28" t="str">
        <f aca="false">IF($K96="","",IF(OR(LEFT($T96,2)="작지",LEFT($T96,4)="소재입고"),IF(LEFT($E96,1)="S","★ 납기위험(S코드)","◆ 지연주의"),IF($T96="정상","✓ 정상","? 확인필요")))</f>
        <v>★ 납기위험(S코드)</v>
      </c>
      <c r="V96" s="31"/>
      <c r="W96" s="19"/>
    </row>
    <row r="97" customFormat="false" ht="15" hidden="false" customHeight="true" outlineLevel="0" collapsed="false">
      <c r="A97" s="28" t="n">
        <v>93</v>
      </c>
      <c r="B97" s="29" t="s">
        <v>227</v>
      </c>
      <c r="C97" s="30" t="s">
        <v>318</v>
      </c>
      <c r="D97" s="29" t="s">
        <v>319</v>
      </c>
      <c r="E97" s="28" t="str">
        <f aca="false">IF($C97="","",IF(MID($C97,5,1)="S","S(봄)",IF(MID($C97,5,1)="M","M(여름)",IF(MID($C97,5,1)="X","X(사계절)",MID($C97,5,1)))))</f>
        <v>S(봄)</v>
      </c>
      <c r="F97" s="30" t="s">
        <v>113</v>
      </c>
      <c r="G97" s="31"/>
      <c r="H97" s="28" t="str">
        <f aca="false">IF($C97="","",REPLACE($C97,6,2,"26"))</f>
        <v>JKTBS26110</v>
      </c>
      <c r="I97" s="32" t="str">
        <f aca="false">IFERROR(INDEX(전년출고참조!$B$4:$B$638,MATCH($H97,전년출고참조!$A$4:$A$638,0)),"")</f>
        <v/>
      </c>
      <c r="J97" s="32" t="n">
        <v>46391</v>
      </c>
      <c r="K97" s="32" t="n">
        <f aca="false">IF($G97&lt;&gt;"",IFERROR(DATE(IF(VALUE(LEFT($G97,FIND("월",$G97)-1))&gt;=9,기준정보!$C$6-1,기준정보!$C$6),VALUE(LEFT($G97,FIND("월",$G97)-1)),1+7*(VALUE(SUBSTITUTE(MID($G97,FIND("월",$G97)+1,5),"주",""))-1)),""),IF($I97&lt;&gt;"",IF(ISNUMBER($I97),$I97+364,IFERROR(DATE(IF(VALUE(LEFT($I97,FIND("월",$I97)-1))&gt;=9,기준정보!$C$6-1,기준정보!$C$6),VALUE(LEFT($I97,FIND("월",$I97)-1)),1+7*(VALUE(SUBSTITUTE(MID($I97,FIND("월",$I97)+1,5),"주",""))-1)),"")),IF($J97&lt;&gt;"",$J97,"")))</f>
        <v>46391</v>
      </c>
      <c r="L97" s="28" t="str">
        <f aca="false">IF($G97&lt;&gt;"","계획 주차",IF($I97&lt;&gt;"","전년+1년 예측",IF($J97&lt;&gt;"","전산 입고계획(참고)","미정")))</f>
        <v>전산 입고계획(참고)</v>
      </c>
      <c r="M97" s="32" t="n">
        <f aca="false">IF($K97="","",$K97-기준정보!$C$5)</f>
        <v>46301</v>
      </c>
      <c r="N97" s="33" t="n">
        <f aca="false">IF($M97="","",$M97-기준정보!$C$4)</f>
        <v>60</v>
      </c>
      <c r="O97" s="31" t="s">
        <v>114</v>
      </c>
      <c r="P97" s="20"/>
      <c r="Q97" s="30" t="str">
        <f aca="false">IF($F97="","",IF(AND(ISNUMBER(SEARCH("CMT",$F97)),OR(ISNUMBER(SEARCH("사입",$F97)),ISNUMBER(SEARCH("Buying",$F97)))),"본사/생산처 혼재",IF(ISNUMBER(SEARCH("CMT",$F97)),"본사(소재팀)","생산처")))</f>
        <v>생산처</v>
      </c>
      <c r="R97" s="29" t="s">
        <v>115</v>
      </c>
      <c r="S97" s="29" t="s">
        <v>110</v>
      </c>
      <c r="T97" s="30" t="str">
        <f aca="false">IF($K97="","출고일 미정",IF($O97="X","작지(일매) 미등록",IF($O97="부분","작지(일매) 일부 미등록",IF(AND($P97&lt;&gt;"",$P97&gt;$M97),"소재입고 마감("&amp;TEXT($M97,"MM/DD")&amp;") 초과",IF($O97="","일매 등록여부 확인 필요",IF($P97="","소재 입고일정 확인 필요","정상"))))))</f>
        <v>작지(일매) 미등록</v>
      </c>
      <c r="U97" s="28" t="str">
        <f aca="false">IF($K97="","",IF(OR(LEFT($T97,2)="작지",LEFT($T97,4)="소재입고"),IF(LEFT($E97,1)="S","★ 납기위험(S코드)","◆ 지연주의"),IF($T97="정상","✓ 정상","? 확인필요")))</f>
        <v>★ 납기위험(S코드)</v>
      </c>
      <c r="V97" s="31"/>
      <c r="W97" s="19"/>
    </row>
    <row r="98" customFormat="false" ht="15" hidden="false" customHeight="true" outlineLevel="0" collapsed="false">
      <c r="A98" s="28" t="n">
        <v>94</v>
      </c>
      <c r="B98" s="29" t="s">
        <v>320</v>
      </c>
      <c r="C98" s="30" t="s">
        <v>321</v>
      </c>
      <c r="D98" s="30" t="s">
        <v>322</v>
      </c>
      <c r="E98" s="28" t="str">
        <f aca="false">IF($C98="","",IF(MID($C98,5,1)="S","S(봄)",IF(MID($C98,5,1)="M","M(여름)",IF(MID($C98,5,1)="X","X(사계절)",MID($C98,5,1)))))</f>
        <v>S(봄)</v>
      </c>
      <c r="F98" s="29" t="s">
        <v>106</v>
      </c>
      <c r="G98" s="31"/>
      <c r="H98" s="28" t="str">
        <f aca="false">IF($C98="","",REPLACE($C98,6,2,"26"))</f>
        <v>8GJJS26101</v>
      </c>
      <c r="I98" s="32" t="str">
        <f aca="false">IFERROR(INDEX(전년출고참조!$B$4:$B$638,MATCH($H98,전년출고참조!$A$4:$A$638,0)),"")</f>
        <v/>
      </c>
      <c r="J98" s="32" t="n">
        <v>46392</v>
      </c>
      <c r="K98" s="32" t="n">
        <f aca="false">IF($G98&lt;&gt;"",IFERROR(DATE(IF(VALUE(LEFT($G98,FIND("월",$G98)-1))&gt;=9,기준정보!$C$6-1,기준정보!$C$6),VALUE(LEFT($G98,FIND("월",$G98)-1)),1+7*(VALUE(SUBSTITUTE(MID($G98,FIND("월",$G98)+1,5),"주",""))-1)),""),IF($I98&lt;&gt;"",IF(ISNUMBER($I98),$I98+364,IFERROR(DATE(IF(VALUE(LEFT($I98,FIND("월",$I98)-1))&gt;=9,기준정보!$C$6-1,기준정보!$C$6),VALUE(LEFT($I98,FIND("월",$I98)-1)),1+7*(VALUE(SUBSTITUTE(MID($I98,FIND("월",$I98)+1,5),"주",""))-1)),"")),IF($J98&lt;&gt;"",$J98,"")))</f>
        <v>46392</v>
      </c>
      <c r="L98" s="28" t="str">
        <f aca="false">IF($G98&lt;&gt;"","계획 주차",IF($I98&lt;&gt;"","전년+1년 예측",IF($J98&lt;&gt;"","전산 입고계획(참고)","미정")))</f>
        <v>전산 입고계획(참고)</v>
      </c>
      <c r="M98" s="32" t="n">
        <f aca="false">IF($K98="","",$K98-기준정보!$C$5)</f>
        <v>46302</v>
      </c>
      <c r="N98" s="33" t="n">
        <f aca="false">IF($M98="","",$M98-기준정보!$C$4)</f>
        <v>61</v>
      </c>
      <c r="O98" s="31" t="s">
        <v>108</v>
      </c>
      <c r="P98" s="20"/>
      <c r="Q98" s="30" t="str">
        <f aca="false">IF($F98="","",IF(AND(ISNUMBER(SEARCH("CMT",$F98)),OR(ISNUMBER(SEARCH("사입",$F98)),ISNUMBER(SEARCH("Buying",$F98)))),"본사/생산처 혼재",IF(ISNUMBER(SEARCH("CMT",$F98)),"본사(소재팀)","생산처")))</f>
        <v>생산처</v>
      </c>
      <c r="R98" s="29" t="s">
        <v>142</v>
      </c>
      <c r="S98" s="29" t="s">
        <v>110</v>
      </c>
      <c r="T98" s="30" t="str">
        <f aca="false">IF($K98="","출고일 미정",IF($O98="X","작지(일매) 미등록",IF($O98="부분","작지(일매) 일부 미등록",IF(AND($P98&lt;&gt;"",$P98&gt;$M98),"소재입고 마감("&amp;TEXT($M98,"MM/DD")&amp;") 초과",IF($O98="","일매 등록여부 확인 필요",IF($P98="","소재 입고일정 확인 필요","정상"))))))</f>
        <v>소재 입고일정 확인 필요</v>
      </c>
      <c r="U98" s="28" t="str">
        <f aca="false">IF($K98="","",IF(OR(LEFT($T98,2)="작지",LEFT($T98,4)="소재입고"),IF(LEFT($E98,1)="S","★ 납기위험(S코드)","◆ 지연주의"),IF($T98="정상","✓ 정상","? 확인필요")))</f>
        <v>? 확인필요</v>
      </c>
      <c r="V98" s="31"/>
      <c r="W98" s="19"/>
    </row>
    <row r="99" customFormat="false" ht="15" hidden="false" customHeight="true" outlineLevel="0" collapsed="false">
      <c r="A99" s="28" t="n">
        <v>95</v>
      </c>
      <c r="B99" s="29" t="s">
        <v>320</v>
      </c>
      <c r="C99" s="30" t="s">
        <v>323</v>
      </c>
      <c r="D99" s="30" t="s">
        <v>324</v>
      </c>
      <c r="E99" s="28" t="str">
        <f aca="false">IF($C99="","",IF(MID($C99,5,1)="S","S(봄)",IF(MID($C99,5,1)="M","M(여름)",IF(MID($C99,5,1)="X","X(사계절)",MID($C99,5,1)))))</f>
        <v>S(봄)</v>
      </c>
      <c r="F99" s="29" t="s">
        <v>106</v>
      </c>
      <c r="G99" s="31"/>
      <c r="H99" s="28" t="str">
        <f aca="false">IF($C99="","",REPLACE($C99,6,2,"26"))</f>
        <v>8GPNS26101</v>
      </c>
      <c r="I99" s="32" t="n">
        <f aca="false">IFERROR(INDEX(전년출고참조!$B$4:$B$638,MATCH($H99,전년출고참조!$A$4:$A$638,0)),"")</f>
        <v>46035</v>
      </c>
      <c r="J99" s="32" t="n">
        <v>46392</v>
      </c>
      <c r="K99" s="32" t="n">
        <f aca="false">IF($G99&lt;&gt;"",IFERROR(DATE(IF(VALUE(LEFT($G99,FIND("월",$G99)-1))&gt;=9,기준정보!$C$6-1,기준정보!$C$6),VALUE(LEFT($G99,FIND("월",$G99)-1)),1+7*(VALUE(SUBSTITUTE(MID($G99,FIND("월",$G99)+1,5),"주",""))-1)),""),IF($I99&lt;&gt;"",IF(ISNUMBER($I99),$I99+364,IFERROR(DATE(IF(VALUE(LEFT($I99,FIND("월",$I99)-1))&gt;=9,기준정보!$C$6-1,기준정보!$C$6),VALUE(LEFT($I99,FIND("월",$I99)-1)),1+7*(VALUE(SUBSTITUTE(MID($I99,FIND("월",$I99)+1,5),"주",""))-1)),"")),IF($J99&lt;&gt;"",$J99,"")))</f>
        <v>46399</v>
      </c>
      <c r="L99" s="28" t="str">
        <f aca="false">IF($G99&lt;&gt;"","계획 주차",IF($I99&lt;&gt;"","전년+1년 예측",IF($J99&lt;&gt;"","전산 입고계획(참고)","미정")))</f>
        <v>전년+1년 예측</v>
      </c>
      <c r="M99" s="32" t="n">
        <f aca="false">IF($K99="","",$K99-기준정보!$C$5)</f>
        <v>46309</v>
      </c>
      <c r="N99" s="33" t="n">
        <f aca="false">IF($M99="","",$M99-기준정보!$C$4)</f>
        <v>68</v>
      </c>
      <c r="O99" s="31" t="s">
        <v>108</v>
      </c>
      <c r="P99" s="20"/>
      <c r="Q99" s="30" t="str">
        <f aca="false">IF($F99="","",IF(AND(ISNUMBER(SEARCH("CMT",$F99)),OR(ISNUMBER(SEARCH("사입",$F99)),ISNUMBER(SEARCH("Buying",$F99)))),"본사/생산처 혼재",IF(ISNUMBER(SEARCH("CMT",$F99)),"본사(소재팀)","생산처")))</f>
        <v>생산처</v>
      </c>
      <c r="R99" s="29" t="s">
        <v>142</v>
      </c>
      <c r="S99" s="29" t="s">
        <v>110</v>
      </c>
      <c r="T99" s="30" t="str">
        <f aca="false">IF($K99="","출고일 미정",IF($O99="X","작지(일매) 미등록",IF($O99="부분","작지(일매) 일부 미등록",IF(AND($P99&lt;&gt;"",$P99&gt;$M99),"소재입고 마감("&amp;TEXT($M99,"MM/DD")&amp;") 초과",IF($O99="","일매 등록여부 확인 필요",IF($P99="","소재 입고일정 확인 필요","정상"))))))</f>
        <v>소재 입고일정 확인 필요</v>
      </c>
      <c r="U99" s="28" t="str">
        <f aca="false">IF($K99="","",IF(OR(LEFT($T99,2)="작지",LEFT($T99,4)="소재입고"),IF(LEFT($E99,1)="S","★ 납기위험(S코드)","◆ 지연주의"),IF($T99="정상","✓ 정상","? 확인필요")))</f>
        <v>? 확인필요</v>
      </c>
      <c r="V99" s="31"/>
      <c r="W99" s="19"/>
    </row>
    <row r="100" customFormat="false" ht="15" hidden="false" customHeight="true" outlineLevel="0" collapsed="false">
      <c r="A100" s="28" t="n">
        <v>96</v>
      </c>
      <c r="B100" s="29" t="s">
        <v>320</v>
      </c>
      <c r="C100" s="30" t="s">
        <v>325</v>
      </c>
      <c r="D100" s="30" t="s">
        <v>326</v>
      </c>
      <c r="E100" s="28" t="str">
        <f aca="false">IF($C100="","",IF(MID($C100,5,1)="S","S(봄)",IF(MID($C100,5,1)="M","M(여름)",IF(MID($C100,5,1)="X","X(사계절)",MID($C100,5,1)))))</f>
        <v>S(봄)</v>
      </c>
      <c r="F100" s="29" t="s">
        <v>106</v>
      </c>
      <c r="G100" s="31"/>
      <c r="H100" s="28" t="str">
        <f aca="false">IF($C100="","",REPLACE($C100,6,2,"26"))</f>
        <v>8HJJS26102</v>
      </c>
      <c r="I100" s="32" t="str">
        <f aca="false">IFERROR(INDEX(전년출고참조!$B$4:$B$638,MATCH($H100,전년출고참조!$A$4:$A$638,0)),"")</f>
        <v/>
      </c>
      <c r="J100" s="32" t="n">
        <v>46392</v>
      </c>
      <c r="K100" s="32" t="n">
        <f aca="false">IF($G100&lt;&gt;"",IFERROR(DATE(IF(VALUE(LEFT($G100,FIND("월",$G100)-1))&gt;=9,기준정보!$C$6-1,기준정보!$C$6),VALUE(LEFT($G100,FIND("월",$G100)-1)),1+7*(VALUE(SUBSTITUTE(MID($G100,FIND("월",$G100)+1,5),"주",""))-1)),""),IF($I100&lt;&gt;"",IF(ISNUMBER($I100),$I100+364,IFERROR(DATE(IF(VALUE(LEFT($I100,FIND("월",$I100)-1))&gt;=9,기준정보!$C$6-1,기준정보!$C$6),VALUE(LEFT($I100,FIND("월",$I100)-1)),1+7*(VALUE(SUBSTITUTE(MID($I100,FIND("월",$I100)+1,5),"주",""))-1)),"")),IF($J100&lt;&gt;"",$J100,"")))</f>
        <v>46392</v>
      </c>
      <c r="L100" s="28" t="str">
        <f aca="false">IF($G100&lt;&gt;"","계획 주차",IF($I100&lt;&gt;"","전년+1년 예측",IF($J100&lt;&gt;"","전산 입고계획(참고)","미정")))</f>
        <v>전산 입고계획(참고)</v>
      </c>
      <c r="M100" s="32" t="n">
        <f aca="false">IF($K100="","",$K100-기준정보!$C$5)</f>
        <v>46302</v>
      </c>
      <c r="N100" s="33" t="n">
        <f aca="false">IF($M100="","",$M100-기준정보!$C$4)</f>
        <v>61</v>
      </c>
      <c r="O100" s="31" t="s">
        <v>114</v>
      </c>
      <c r="P100" s="20"/>
      <c r="Q100" s="30" t="str">
        <f aca="false">IF($F100="","",IF(AND(ISNUMBER(SEARCH("CMT",$F100)),OR(ISNUMBER(SEARCH("사입",$F100)),ISNUMBER(SEARCH("Buying",$F100)))),"본사/생산처 혼재",IF(ISNUMBER(SEARCH("CMT",$F100)),"본사(소재팀)","생산처")))</f>
        <v>생산처</v>
      </c>
      <c r="R100" s="29" t="s">
        <v>142</v>
      </c>
      <c r="S100" s="29" t="s">
        <v>110</v>
      </c>
      <c r="T100" s="30" t="str">
        <f aca="false">IF($K100="","출고일 미정",IF($O100="X","작지(일매) 미등록",IF($O100="부분","작지(일매) 일부 미등록",IF(AND($P100&lt;&gt;"",$P100&gt;$M100),"소재입고 마감("&amp;TEXT($M100,"MM/DD")&amp;") 초과",IF($O100="","일매 등록여부 확인 필요",IF($P100="","소재 입고일정 확인 필요","정상"))))))</f>
        <v>작지(일매) 미등록</v>
      </c>
      <c r="U100" s="28" t="str">
        <f aca="false">IF($K100="","",IF(OR(LEFT($T100,2)="작지",LEFT($T100,4)="소재입고"),IF(LEFT($E100,1)="S","★ 납기위험(S코드)","◆ 지연주의"),IF($T100="정상","✓ 정상","? 확인필요")))</f>
        <v>★ 납기위험(S코드)</v>
      </c>
      <c r="V100" s="31"/>
      <c r="W100" s="19"/>
    </row>
    <row r="101" customFormat="false" ht="15" hidden="false" customHeight="true" outlineLevel="0" collapsed="false">
      <c r="A101" s="28" t="n">
        <v>97</v>
      </c>
      <c r="B101" s="29" t="s">
        <v>320</v>
      </c>
      <c r="C101" s="30" t="s">
        <v>327</v>
      </c>
      <c r="D101" s="30" t="s">
        <v>328</v>
      </c>
      <c r="E101" s="28" t="str">
        <f aca="false">IF($C101="","",IF(MID($C101,5,1)="S","S(봄)",IF(MID($C101,5,1)="M","M(여름)",IF(MID($C101,5,1)="X","X(사계절)",MID($C101,5,1)))))</f>
        <v>S(봄)</v>
      </c>
      <c r="F101" s="29" t="s">
        <v>106</v>
      </c>
      <c r="G101" s="31"/>
      <c r="H101" s="28" t="str">
        <f aca="false">IF($C101="","",REPLACE($C101,6,2,"26"))</f>
        <v>8HPNS26102</v>
      </c>
      <c r="I101" s="32" t="n">
        <f aca="false">IFERROR(INDEX(전년출고참조!$B$4:$B$638,MATCH($H101,전년출고참조!$A$4:$A$638,0)),"")</f>
        <v>46029</v>
      </c>
      <c r="J101" s="32" t="n">
        <v>46392</v>
      </c>
      <c r="K101" s="32" t="n">
        <f aca="false">IF($G101&lt;&gt;"",IFERROR(DATE(IF(VALUE(LEFT($G101,FIND("월",$G101)-1))&gt;=9,기준정보!$C$6-1,기준정보!$C$6),VALUE(LEFT($G101,FIND("월",$G101)-1)),1+7*(VALUE(SUBSTITUTE(MID($G101,FIND("월",$G101)+1,5),"주",""))-1)),""),IF($I101&lt;&gt;"",IF(ISNUMBER($I101),$I101+364,IFERROR(DATE(IF(VALUE(LEFT($I101,FIND("월",$I101)-1))&gt;=9,기준정보!$C$6-1,기준정보!$C$6),VALUE(LEFT($I101,FIND("월",$I101)-1)),1+7*(VALUE(SUBSTITUTE(MID($I101,FIND("월",$I101)+1,5),"주",""))-1)),"")),IF($J101&lt;&gt;"",$J101,"")))</f>
        <v>46393</v>
      </c>
      <c r="L101" s="28" t="str">
        <f aca="false">IF($G101&lt;&gt;"","계획 주차",IF($I101&lt;&gt;"","전년+1년 예측",IF($J101&lt;&gt;"","전산 입고계획(참고)","미정")))</f>
        <v>전년+1년 예측</v>
      </c>
      <c r="M101" s="32" t="n">
        <f aca="false">IF($K101="","",$K101-기준정보!$C$5)</f>
        <v>46303</v>
      </c>
      <c r="N101" s="33" t="n">
        <f aca="false">IF($M101="","",$M101-기준정보!$C$4)</f>
        <v>62</v>
      </c>
      <c r="O101" s="31" t="s">
        <v>114</v>
      </c>
      <c r="P101" s="20"/>
      <c r="Q101" s="30" t="str">
        <f aca="false">IF($F101="","",IF(AND(ISNUMBER(SEARCH("CMT",$F101)),OR(ISNUMBER(SEARCH("사입",$F101)),ISNUMBER(SEARCH("Buying",$F101)))),"본사/생산처 혼재",IF(ISNUMBER(SEARCH("CMT",$F101)),"본사(소재팀)","생산처")))</f>
        <v>생산처</v>
      </c>
      <c r="R101" s="29" t="s">
        <v>142</v>
      </c>
      <c r="S101" s="29" t="s">
        <v>110</v>
      </c>
      <c r="T101" s="30" t="str">
        <f aca="false">IF($K101="","출고일 미정",IF($O101="X","작지(일매) 미등록",IF($O101="부분","작지(일매) 일부 미등록",IF(AND($P101&lt;&gt;"",$P101&gt;$M101),"소재입고 마감("&amp;TEXT($M101,"MM/DD")&amp;") 초과",IF($O101="","일매 등록여부 확인 필요",IF($P101="","소재 입고일정 확인 필요","정상"))))))</f>
        <v>작지(일매) 미등록</v>
      </c>
      <c r="U101" s="28" t="str">
        <f aca="false">IF($K101="","",IF(OR(LEFT($T101,2)="작지",LEFT($T101,4)="소재입고"),IF(LEFT($E101,1)="S","★ 납기위험(S코드)","◆ 지연주의"),IF($T101="정상","✓ 정상","? 확인필요")))</f>
        <v>★ 납기위험(S코드)</v>
      </c>
      <c r="V101" s="31"/>
      <c r="W101" s="19"/>
    </row>
    <row r="102" customFormat="false" ht="15" hidden="false" customHeight="true" outlineLevel="0" collapsed="false">
      <c r="A102" s="28" t="n">
        <v>98</v>
      </c>
      <c r="B102" s="29" t="s">
        <v>320</v>
      </c>
      <c r="C102" s="30" t="s">
        <v>329</v>
      </c>
      <c r="D102" s="30" t="s">
        <v>330</v>
      </c>
      <c r="E102" s="28" t="str">
        <f aca="false">IF($C102="","",IF(MID($C102,5,1)="S","S(봄)",IF(MID($C102,5,1)="M","M(여름)",IF(MID($C102,5,1)="X","X(사계절)",MID($C102,5,1)))))</f>
        <v>S(봄)</v>
      </c>
      <c r="F102" s="29" t="s">
        <v>106</v>
      </c>
      <c r="G102" s="31"/>
      <c r="H102" s="28" t="str">
        <f aca="false">IF($C102="","",REPLACE($C102,6,2,"26"))</f>
        <v>8NHAS26101</v>
      </c>
      <c r="I102" s="32" t="str">
        <f aca="false">IFERROR(INDEX(전년출고참조!$B$4:$B$638,MATCH($H102,전년출고참조!$A$4:$A$638,0)),"")</f>
        <v/>
      </c>
      <c r="J102" s="32" t="n">
        <v>46392</v>
      </c>
      <c r="K102" s="32" t="n">
        <f aca="false">IF($G102&lt;&gt;"",IFERROR(DATE(IF(VALUE(LEFT($G102,FIND("월",$G102)-1))&gt;=9,기준정보!$C$6-1,기준정보!$C$6),VALUE(LEFT($G102,FIND("월",$G102)-1)),1+7*(VALUE(SUBSTITUTE(MID($G102,FIND("월",$G102)+1,5),"주",""))-1)),""),IF($I102&lt;&gt;"",IF(ISNUMBER($I102),$I102+364,IFERROR(DATE(IF(VALUE(LEFT($I102,FIND("월",$I102)-1))&gt;=9,기준정보!$C$6-1,기준정보!$C$6),VALUE(LEFT($I102,FIND("월",$I102)-1)),1+7*(VALUE(SUBSTITUTE(MID($I102,FIND("월",$I102)+1,5),"주",""))-1)),"")),IF($J102&lt;&gt;"",$J102,"")))</f>
        <v>46392</v>
      </c>
      <c r="L102" s="28" t="str">
        <f aca="false">IF($G102&lt;&gt;"","계획 주차",IF($I102&lt;&gt;"","전년+1년 예측",IF($J102&lt;&gt;"","전산 입고계획(참고)","미정")))</f>
        <v>전산 입고계획(참고)</v>
      </c>
      <c r="M102" s="32" t="n">
        <f aca="false">IF($K102="","",$K102-기준정보!$C$5)</f>
        <v>46302</v>
      </c>
      <c r="N102" s="33" t="n">
        <f aca="false">IF($M102="","",$M102-기준정보!$C$4)</f>
        <v>61</v>
      </c>
      <c r="O102" s="31" t="s">
        <v>114</v>
      </c>
      <c r="P102" s="20"/>
      <c r="Q102" s="30" t="str">
        <f aca="false">IF($F102="","",IF(AND(ISNUMBER(SEARCH("CMT",$F102)),OR(ISNUMBER(SEARCH("사입",$F102)),ISNUMBER(SEARCH("Buying",$F102)))),"본사/생산처 혼재",IF(ISNUMBER(SEARCH("CMT",$F102)),"본사(소재팀)","생산처")))</f>
        <v>생산처</v>
      </c>
      <c r="R102" s="29" t="s">
        <v>331</v>
      </c>
      <c r="S102" s="29" t="s">
        <v>110</v>
      </c>
      <c r="T102" s="30" t="str">
        <f aca="false">IF($K102="","출고일 미정",IF($O102="X","작지(일매) 미등록",IF($O102="부분","작지(일매) 일부 미등록",IF(AND($P102&lt;&gt;"",$P102&gt;$M102),"소재입고 마감("&amp;TEXT($M102,"MM/DD")&amp;") 초과",IF($O102="","일매 등록여부 확인 필요",IF($P102="","소재 입고일정 확인 필요","정상"))))))</f>
        <v>작지(일매) 미등록</v>
      </c>
      <c r="U102" s="28" t="str">
        <f aca="false">IF($K102="","",IF(OR(LEFT($T102,2)="작지",LEFT($T102,4)="소재입고"),IF(LEFT($E102,1)="S","★ 납기위험(S코드)","◆ 지연주의"),IF($T102="정상","✓ 정상","? 확인필요")))</f>
        <v>★ 납기위험(S코드)</v>
      </c>
      <c r="V102" s="31"/>
      <c r="W102" s="19"/>
    </row>
    <row r="103" customFormat="false" ht="15" hidden="false" customHeight="true" outlineLevel="0" collapsed="false">
      <c r="A103" s="28" t="n">
        <v>99</v>
      </c>
      <c r="B103" s="29" t="s">
        <v>320</v>
      </c>
      <c r="C103" s="30" t="s">
        <v>332</v>
      </c>
      <c r="D103" s="30" t="s">
        <v>333</v>
      </c>
      <c r="E103" s="28" t="str">
        <f aca="false">IF($C103="","",IF(MID($C103,5,1)="S","S(봄)",IF(MID($C103,5,1)="M","M(여름)",IF(MID($C103,5,1)="X","X(사계절)",MID($C103,5,1)))))</f>
        <v>S(봄)</v>
      </c>
      <c r="F103" s="29" t="s">
        <v>106</v>
      </c>
      <c r="G103" s="31"/>
      <c r="H103" s="28" t="str">
        <f aca="false">IF($C103="","",REPLACE($C103,6,2,"26"))</f>
        <v>8NLAS26101</v>
      </c>
      <c r="I103" s="32" t="n">
        <f aca="false">IFERROR(INDEX(전년출고참조!$B$4:$B$638,MATCH($H103,전년출고참조!$A$4:$A$638,0)),"")</f>
        <v>46035</v>
      </c>
      <c r="J103" s="32" t="n">
        <v>46392</v>
      </c>
      <c r="K103" s="32" t="n">
        <f aca="false">IF($G103&lt;&gt;"",IFERROR(DATE(IF(VALUE(LEFT($G103,FIND("월",$G103)-1))&gt;=9,기준정보!$C$6-1,기준정보!$C$6),VALUE(LEFT($G103,FIND("월",$G103)-1)),1+7*(VALUE(SUBSTITUTE(MID($G103,FIND("월",$G103)+1,5),"주",""))-1)),""),IF($I103&lt;&gt;"",IF(ISNUMBER($I103),$I103+364,IFERROR(DATE(IF(VALUE(LEFT($I103,FIND("월",$I103)-1))&gt;=9,기준정보!$C$6-1,기준정보!$C$6),VALUE(LEFT($I103,FIND("월",$I103)-1)),1+7*(VALUE(SUBSTITUTE(MID($I103,FIND("월",$I103)+1,5),"주",""))-1)),"")),IF($J103&lt;&gt;"",$J103,"")))</f>
        <v>46399</v>
      </c>
      <c r="L103" s="28" t="str">
        <f aca="false">IF($G103&lt;&gt;"","계획 주차",IF($I103&lt;&gt;"","전년+1년 예측",IF($J103&lt;&gt;"","전산 입고계획(참고)","미정")))</f>
        <v>전년+1년 예측</v>
      </c>
      <c r="M103" s="32" t="n">
        <f aca="false">IF($K103="","",$K103-기준정보!$C$5)</f>
        <v>46309</v>
      </c>
      <c r="N103" s="33" t="n">
        <f aca="false">IF($M103="","",$M103-기준정보!$C$4)</f>
        <v>68</v>
      </c>
      <c r="O103" s="31" t="s">
        <v>114</v>
      </c>
      <c r="P103" s="20"/>
      <c r="Q103" s="30" t="str">
        <f aca="false">IF($F103="","",IF(AND(ISNUMBER(SEARCH("CMT",$F103)),OR(ISNUMBER(SEARCH("사입",$F103)),ISNUMBER(SEARCH("Buying",$F103)))),"본사/생산처 혼재",IF(ISNUMBER(SEARCH("CMT",$F103)),"본사(소재팀)","생산처")))</f>
        <v>생산처</v>
      </c>
      <c r="R103" s="29" t="s">
        <v>334</v>
      </c>
      <c r="S103" s="29" t="s">
        <v>195</v>
      </c>
      <c r="T103" s="30" t="str">
        <f aca="false">IF($K103="","출고일 미정",IF($O103="X","작지(일매) 미등록",IF($O103="부분","작지(일매) 일부 미등록",IF(AND($P103&lt;&gt;"",$P103&gt;$M103),"소재입고 마감("&amp;TEXT($M103,"MM/DD")&amp;") 초과",IF($O103="","일매 등록여부 확인 필요",IF($P103="","소재 입고일정 확인 필요","정상"))))))</f>
        <v>작지(일매) 미등록</v>
      </c>
      <c r="U103" s="28" t="str">
        <f aca="false">IF($K103="","",IF(OR(LEFT($T103,2)="작지",LEFT($T103,4)="소재입고"),IF(LEFT($E103,1)="S","★ 납기위험(S코드)","◆ 지연주의"),IF($T103="정상","✓ 정상","? 확인필요")))</f>
        <v>★ 납기위험(S코드)</v>
      </c>
      <c r="V103" s="31"/>
      <c r="W103" s="19"/>
    </row>
    <row r="104" customFormat="false" ht="15" hidden="false" customHeight="true" outlineLevel="0" collapsed="false">
      <c r="A104" s="28" t="n">
        <v>100</v>
      </c>
      <c r="B104" s="29" t="s">
        <v>320</v>
      </c>
      <c r="C104" s="30" t="s">
        <v>335</v>
      </c>
      <c r="D104" s="30" t="s">
        <v>336</v>
      </c>
      <c r="E104" s="28" t="str">
        <f aca="false">IF($C104="","",IF(MID($C104,5,1)="S","S(봄)",IF(MID($C104,5,1)="M","M(여름)",IF(MID($C104,5,1)="X","X(사계절)",MID($C104,5,1)))))</f>
        <v>S(봄)</v>
      </c>
      <c r="F104" s="29" t="s">
        <v>106</v>
      </c>
      <c r="G104" s="31"/>
      <c r="H104" s="28" t="str">
        <f aca="false">IF($C104="","",REPLACE($C104,6,2,"26"))</f>
        <v>8NRES26104</v>
      </c>
      <c r="I104" s="32" t="str">
        <f aca="false">IFERROR(INDEX(전년출고참조!$B$4:$B$638,MATCH($H104,전년출고참조!$A$4:$A$638,0)),"")</f>
        <v/>
      </c>
      <c r="J104" s="32" t="n">
        <v>46392</v>
      </c>
      <c r="K104" s="32" t="n">
        <f aca="false">IF($G104&lt;&gt;"",IFERROR(DATE(IF(VALUE(LEFT($G104,FIND("월",$G104)-1))&gt;=9,기준정보!$C$6-1,기준정보!$C$6),VALUE(LEFT($G104,FIND("월",$G104)-1)),1+7*(VALUE(SUBSTITUTE(MID($G104,FIND("월",$G104)+1,5),"주",""))-1)),""),IF($I104&lt;&gt;"",IF(ISNUMBER($I104),$I104+364,IFERROR(DATE(IF(VALUE(LEFT($I104,FIND("월",$I104)-1))&gt;=9,기준정보!$C$6-1,기준정보!$C$6),VALUE(LEFT($I104,FIND("월",$I104)-1)),1+7*(VALUE(SUBSTITUTE(MID($I104,FIND("월",$I104)+1,5),"주",""))-1)),"")),IF($J104&lt;&gt;"",$J104,"")))</f>
        <v>46392</v>
      </c>
      <c r="L104" s="28" t="str">
        <f aca="false">IF($G104&lt;&gt;"","계획 주차",IF($I104&lt;&gt;"","전년+1년 예측",IF($J104&lt;&gt;"","전산 입고계획(참고)","미정")))</f>
        <v>전산 입고계획(참고)</v>
      </c>
      <c r="M104" s="32" t="n">
        <f aca="false">IF($K104="","",$K104-기준정보!$C$5)</f>
        <v>46302</v>
      </c>
      <c r="N104" s="33" t="n">
        <f aca="false">IF($M104="","",$M104-기준정보!$C$4)</f>
        <v>61</v>
      </c>
      <c r="O104" s="31" t="s">
        <v>114</v>
      </c>
      <c r="P104" s="20"/>
      <c r="Q104" s="30" t="str">
        <f aca="false">IF($F104="","",IF(AND(ISNUMBER(SEARCH("CMT",$F104)),OR(ISNUMBER(SEARCH("사입",$F104)),ISNUMBER(SEARCH("Buying",$F104)))),"본사/생산처 혼재",IF(ISNUMBER(SEARCH("CMT",$F104)),"본사(소재팀)","생산처")))</f>
        <v>생산처</v>
      </c>
      <c r="R104" s="29" t="s">
        <v>337</v>
      </c>
      <c r="S104" s="29" t="s">
        <v>110</v>
      </c>
      <c r="T104" s="30" t="str">
        <f aca="false">IF($K104="","출고일 미정",IF($O104="X","작지(일매) 미등록",IF($O104="부분","작지(일매) 일부 미등록",IF(AND($P104&lt;&gt;"",$P104&gt;$M104),"소재입고 마감("&amp;TEXT($M104,"MM/DD")&amp;") 초과",IF($O104="","일매 등록여부 확인 필요",IF($P104="","소재 입고일정 확인 필요","정상"))))))</f>
        <v>작지(일매) 미등록</v>
      </c>
      <c r="U104" s="28" t="str">
        <f aca="false">IF($K104="","",IF(OR(LEFT($T104,2)="작지",LEFT($T104,4)="소재입고"),IF(LEFT($E104,1)="S","★ 납기위험(S코드)","◆ 지연주의"),IF($T104="정상","✓ 정상","? 확인필요")))</f>
        <v>★ 납기위험(S코드)</v>
      </c>
      <c r="V104" s="31"/>
      <c r="W104" s="19"/>
    </row>
    <row r="105" customFormat="false" ht="15" hidden="false" customHeight="true" outlineLevel="0" collapsed="false">
      <c r="A105" s="28" t="n">
        <v>101</v>
      </c>
      <c r="B105" s="29" t="s">
        <v>320</v>
      </c>
      <c r="C105" s="30" t="s">
        <v>338</v>
      </c>
      <c r="D105" s="30" t="s">
        <v>339</v>
      </c>
      <c r="E105" s="28" t="str">
        <f aca="false">IF($C105="","",IF(MID($C105,5,1)="S","S(봄)",IF(MID($C105,5,1)="M","M(여름)",IF(MID($C105,5,1)="X","X(사계절)",MID($C105,5,1)))))</f>
        <v>S(봄)</v>
      </c>
      <c r="F105" s="29" t="s">
        <v>106</v>
      </c>
      <c r="G105" s="31"/>
      <c r="H105" s="28" t="str">
        <f aca="false">IF($C105="","",REPLACE($C105,6,2,"26"))</f>
        <v>8NRFS26101</v>
      </c>
      <c r="I105" s="32" t="str">
        <f aca="false">IFERROR(INDEX(전년출고참조!$B$4:$B$638,MATCH($H105,전년출고참조!$A$4:$A$638,0)),"")</f>
        <v/>
      </c>
      <c r="J105" s="32" t="n">
        <v>46392</v>
      </c>
      <c r="K105" s="32" t="n">
        <f aca="false">IF($G105&lt;&gt;"",IFERROR(DATE(IF(VALUE(LEFT($G105,FIND("월",$G105)-1))&gt;=9,기준정보!$C$6-1,기준정보!$C$6),VALUE(LEFT($G105,FIND("월",$G105)-1)),1+7*(VALUE(SUBSTITUTE(MID($G105,FIND("월",$G105)+1,5),"주",""))-1)),""),IF($I105&lt;&gt;"",IF(ISNUMBER($I105),$I105+364,IFERROR(DATE(IF(VALUE(LEFT($I105,FIND("월",$I105)-1))&gt;=9,기준정보!$C$6-1,기준정보!$C$6),VALUE(LEFT($I105,FIND("월",$I105)-1)),1+7*(VALUE(SUBSTITUTE(MID($I105,FIND("월",$I105)+1,5),"주",""))-1)),"")),IF($J105&lt;&gt;"",$J105,"")))</f>
        <v>46392</v>
      </c>
      <c r="L105" s="28" t="str">
        <f aca="false">IF($G105&lt;&gt;"","계획 주차",IF($I105&lt;&gt;"","전년+1년 예측",IF($J105&lt;&gt;"","전산 입고계획(참고)","미정")))</f>
        <v>전산 입고계획(참고)</v>
      </c>
      <c r="M105" s="32" t="n">
        <f aca="false">IF($K105="","",$K105-기준정보!$C$5)</f>
        <v>46302</v>
      </c>
      <c r="N105" s="33" t="n">
        <f aca="false">IF($M105="","",$M105-기준정보!$C$4)</f>
        <v>61</v>
      </c>
      <c r="O105" s="31" t="s">
        <v>114</v>
      </c>
      <c r="P105" s="20"/>
      <c r="Q105" s="30" t="str">
        <f aca="false">IF($F105="","",IF(AND(ISNUMBER(SEARCH("CMT",$F105)),OR(ISNUMBER(SEARCH("사입",$F105)),ISNUMBER(SEARCH("Buying",$F105)))),"본사/생산처 혼재",IF(ISNUMBER(SEARCH("CMT",$F105)),"본사(소재팀)","생산처")))</f>
        <v>생산처</v>
      </c>
      <c r="R105" s="29" t="s">
        <v>337</v>
      </c>
      <c r="S105" s="29" t="s">
        <v>110</v>
      </c>
      <c r="T105" s="30" t="str">
        <f aca="false">IF($K105="","출고일 미정",IF($O105="X","작지(일매) 미등록",IF($O105="부분","작지(일매) 일부 미등록",IF(AND($P105&lt;&gt;"",$P105&gt;$M105),"소재입고 마감("&amp;TEXT($M105,"MM/DD")&amp;") 초과",IF($O105="","일매 등록여부 확인 필요",IF($P105="","소재 입고일정 확인 필요","정상"))))))</f>
        <v>작지(일매) 미등록</v>
      </c>
      <c r="U105" s="28" t="str">
        <f aca="false">IF($K105="","",IF(OR(LEFT($T105,2)="작지",LEFT($T105,4)="소재입고"),IF(LEFT($E105,1)="S","★ 납기위험(S코드)","◆ 지연주의"),IF($T105="정상","✓ 정상","? 확인필요")))</f>
        <v>★ 납기위험(S코드)</v>
      </c>
      <c r="V105" s="31"/>
      <c r="W105" s="19"/>
    </row>
    <row r="106" customFormat="false" ht="15" hidden="false" customHeight="true" outlineLevel="0" collapsed="false">
      <c r="A106" s="28" t="n">
        <v>102</v>
      </c>
      <c r="B106" s="29" t="s">
        <v>320</v>
      </c>
      <c r="C106" s="30" t="s">
        <v>340</v>
      </c>
      <c r="D106" s="30" t="s">
        <v>341</v>
      </c>
      <c r="E106" s="28" t="str">
        <f aca="false">IF($C106="","",IF(MID($C106,5,1)="S","S(봄)",IF(MID($C106,5,1)="M","M(여름)",IF(MID($C106,5,1)="X","X(사계절)",MID($C106,5,1)))))</f>
        <v>S(봄)</v>
      </c>
      <c r="F106" s="29" t="s">
        <v>106</v>
      </c>
      <c r="G106" s="31"/>
      <c r="H106" s="28" t="str">
        <f aca="false">IF($C106="","",REPLACE($C106,6,2,"26"))</f>
        <v>8NRFS26102</v>
      </c>
      <c r="I106" s="32" t="str">
        <f aca="false">IFERROR(INDEX(전년출고참조!$B$4:$B$638,MATCH($H106,전년출고참조!$A$4:$A$638,0)),"")</f>
        <v/>
      </c>
      <c r="J106" s="32" t="n">
        <v>46392</v>
      </c>
      <c r="K106" s="32" t="n">
        <f aca="false">IF($G106&lt;&gt;"",IFERROR(DATE(IF(VALUE(LEFT($G106,FIND("월",$G106)-1))&gt;=9,기준정보!$C$6-1,기준정보!$C$6),VALUE(LEFT($G106,FIND("월",$G106)-1)),1+7*(VALUE(SUBSTITUTE(MID($G106,FIND("월",$G106)+1,5),"주",""))-1)),""),IF($I106&lt;&gt;"",IF(ISNUMBER($I106),$I106+364,IFERROR(DATE(IF(VALUE(LEFT($I106,FIND("월",$I106)-1))&gt;=9,기준정보!$C$6-1,기준정보!$C$6),VALUE(LEFT($I106,FIND("월",$I106)-1)),1+7*(VALUE(SUBSTITUTE(MID($I106,FIND("월",$I106)+1,5),"주",""))-1)),"")),IF($J106&lt;&gt;"",$J106,"")))</f>
        <v>46392</v>
      </c>
      <c r="L106" s="28" t="str">
        <f aca="false">IF($G106&lt;&gt;"","계획 주차",IF($I106&lt;&gt;"","전년+1년 예측",IF($J106&lt;&gt;"","전산 입고계획(참고)","미정")))</f>
        <v>전산 입고계획(참고)</v>
      </c>
      <c r="M106" s="32" t="n">
        <f aca="false">IF($K106="","",$K106-기준정보!$C$5)</f>
        <v>46302</v>
      </c>
      <c r="N106" s="33" t="n">
        <f aca="false">IF($M106="","",$M106-기준정보!$C$4)</f>
        <v>61</v>
      </c>
      <c r="O106" s="31" t="s">
        <v>114</v>
      </c>
      <c r="P106" s="20"/>
      <c r="Q106" s="30" t="str">
        <f aca="false">IF($F106="","",IF(AND(ISNUMBER(SEARCH("CMT",$F106)),OR(ISNUMBER(SEARCH("사입",$F106)),ISNUMBER(SEARCH("Buying",$F106)))),"본사/생산처 혼재",IF(ISNUMBER(SEARCH("CMT",$F106)),"본사(소재팀)","생산처")))</f>
        <v>생산처</v>
      </c>
      <c r="R106" s="29" t="s">
        <v>337</v>
      </c>
      <c r="S106" s="29" t="s">
        <v>110</v>
      </c>
      <c r="T106" s="30" t="str">
        <f aca="false">IF($K106="","출고일 미정",IF($O106="X","작지(일매) 미등록",IF($O106="부분","작지(일매) 일부 미등록",IF(AND($P106&lt;&gt;"",$P106&gt;$M106),"소재입고 마감("&amp;TEXT($M106,"MM/DD")&amp;") 초과",IF($O106="","일매 등록여부 확인 필요",IF($P106="","소재 입고일정 확인 필요","정상"))))))</f>
        <v>작지(일매) 미등록</v>
      </c>
      <c r="U106" s="28" t="str">
        <f aca="false">IF($K106="","",IF(OR(LEFT($T106,2)="작지",LEFT($T106,4)="소재입고"),IF(LEFT($E106,1)="S","★ 납기위험(S코드)","◆ 지연주의"),IF($T106="정상","✓ 정상","? 확인필요")))</f>
        <v>★ 납기위험(S코드)</v>
      </c>
      <c r="V106" s="31"/>
      <c r="W106" s="19"/>
    </row>
    <row r="107" customFormat="false" ht="15" hidden="false" customHeight="true" outlineLevel="0" collapsed="false">
      <c r="A107" s="28" t="n">
        <v>103</v>
      </c>
      <c r="B107" s="29" t="s">
        <v>320</v>
      </c>
      <c r="C107" s="30" t="s">
        <v>342</v>
      </c>
      <c r="D107" s="30" t="s">
        <v>343</v>
      </c>
      <c r="E107" s="28" t="str">
        <f aca="false">IF($C107="","",IF(MID($C107,5,1)="S","S(봄)",IF(MID($C107,5,1)="M","M(여름)",IF(MID($C107,5,1)="X","X(사계절)",MID($C107,5,1)))))</f>
        <v>S(봄)</v>
      </c>
      <c r="F107" s="29" t="s">
        <v>106</v>
      </c>
      <c r="G107" s="31"/>
      <c r="H107" s="28" t="str">
        <f aca="false">IF($C107="","",REPLACE($C107,6,2,"26"))</f>
        <v>8NRFS26103</v>
      </c>
      <c r="I107" s="32" t="str">
        <f aca="false">IFERROR(INDEX(전년출고참조!$B$4:$B$638,MATCH($H107,전년출고참조!$A$4:$A$638,0)),"")</f>
        <v/>
      </c>
      <c r="J107" s="32" t="n">
        <v>46392</v>
      </c>
      <c r="K107" s="32" t="n">
        <f aca="false">IF($G107&lt;&gt;"",IFERROR(DATE(IF(VALUE(LEFT($G107,FIND("월",$G107)-1))&gt;=9,기준정보!$C$6-1,기준정보!$C$6),VALUE(LEFT($G107,FIND("월",$G107)-1)),1+7*(VALUE(SUBSTITUTE(MID($G107,FIND("월",$G107)+1,5),"주",""))-1)),""),IF($I107&lt;&gt;"",IF(ISNUMBER($I107),$I107+364,IFERROR(DATE(IF(VALUE(LEFT($I107,FIND("월",$I107)-1))&gt;=9,기준정보!$C$6-1,기준정보!$C$6),VALUE(LEFT($I107,FIND("월",$I107)-1)),1+7*(VALUE(SUBSTITUTE(MID($I107,FIND("월",$I107)+1,5),"주",""))-1)),"")),IF($J107&lt;&gt;"",$J107,"")))</f>
        <v>46392</v>
      </c>
      <c r="L107" s="28" t="str">
        <f aca="false">IF($G107&lt;&gt;"","계획 주차",IF($I107&lt;&gt;"","전년+1년 예측",IF($J107&lt;&gt;"","전산 입고계획(참고)","미정")))</f>
        <v>전산 입고계획(참고)</v>
      </c>
      <c r="M107" s="32" t="n">
        <f aca="false">IF($K107="","",$K107-기준정보!$C$5)</f>
        <v>46302</v>
      </c>
      <c r="N107" s="33" t="n">
        <f aca="false">IF($M107="","",$M107-기준정보!$C$4)</f>
        <v>61</v>
      </c>
      <c r="O107" s="31" t="s">
        <v>114</v>
      </c>
      <c r="P107" s="20"/>
      <c r="Q107" s="30" t="str">
        <f aca="false">IF($F107="","",IF(AND(ISNUMBER(SEARCH("CMT",$F107)),OR(ISNUMBER(SEARCH("사입",$F107)),ISNUMBER(SEARCH("Buying",$F107)))),"본사/생산처 혼재",IF(ISNUMBER(SEARCH("CMT",$F107)),"본사(소재팀)","생산처")))</f>
        <v>생산처</v>
      </c>
      <c r="R107" s="29" t="s">
        <v>337</v>
      </c>
      <c r="S107" s="29" t="s">
        <v>110</v>
      </c>
      <c r="T107" s="30" t="str">
        <f aca="false">IF($K107="","출고일 미정",IF($O107="X","작지(일매) 미등록",IF($O107="부분","작지(일매) 일부 미등록",IF(AND($P107&lt;&gt;"",$P107&gt;$M107),"소재입고 마감("&amp;TEXT($M107,"MM/DD")&amp;") 초과",IF($O107="","일매 등록여부 확인 필요",IF($P107="","소재 입고일정 확인 필요","정상"))))))</f>
        <v>작지(일매) 미등록</v>
      </c>
      <c r="U107" s="28" t="str">
        <f aca="false">IF($K107="","",IF(OR(LEFT($T107,2)="작지",LEFT($T107,4)="소재입고"),IF(LEFT($E107,1)="S","★ 납기위험(S코드)","◆ 지연주의"),IF($T107="정상","✓ 정상","? 확인필요")))</f>
        <v>★ 납기위험(S코드)</v>
      </c>
      <c r="V107" s="31"/>
      <c r="W107" s="19"/>
    </row>
    <row r="108" customFormat="false" ht="15" hidden="false" customHeight="true" outlineLevel="0" collapsed="false">
      <c r="A108" s="28" t="n">
        <v>104</v>
      </c>
      <c r="B108" s="29" t="s">
        <v>320</v>
      </c>
      <c r="C108" s="30" t="s">
        <v>344</v>
      </c>
      <c r="D108" s="30" t="s">
        <v>345</v>
      </c>
      <c r="E108" s="28" t="str">
        <f aca="false">IF($C108="","",IF(MID($C108,5,1)="S","S(봄)",IF(MID($C108,5,1)="M","M(여름)",IF(MID($C108,5,1)="X","X(사계절)",MID($C108,5,1)))))</f>
        <v>S(봄)</v>
      </c>
      <c r="F108" s="29" t="s">
        <v>106</v>
      </c>
      <c r="G108" s="31"/>
      <c r="H108" s="28" t="str">
        <f aca="false">IF($C108="","",REPLACE($C108,6,2,"26"))</f>
        <v>8UJJS26102</v>
      </c>
      <c r="I108" s="32" t="str">
        <f aca="false">IFERROR(INDEX(전년출고참조!$B$4:$B$638,MATCH($H108,전년출고참조!$A$4:$A$638,0)),"")</f>
        <v/>
      </c>
      <c r="J108" s="32" t="n">
        <v>46392</v>
      </c>
      <c r="K108" s="32" t="n">
        <f aca="false">IF($G108&lt;&gt;"",IFERROR(DATE(IF(VALUE(LEFT($G108,FIND("월",$G108)-1))&gt;=9,기준정보!$C$6-1,기준정보!$C$6),VALUE(LEFT($G108,FIND("월",$G108)-1)),1+7*(VALUE(SUBSTITUTE(MID($G108,FIND("월",$G108)+1,5),"주",""))-1)),""),IF($I108&lt;&gt;"",IF(ISNUMBER($I108),$I108+364,IFERROR(DATE(IF(VALUE(LEFT($I108,FIND("월",$I108)-1))&gt;=9,기준정보!$C$6-1,기준정보!$C$6),VALUE(LEFT($I108,FIND("월",$I108)-1)),1+7*(VALUE(SUBSTITUTE(MID($I108,FIND("월",$I108)+1,5),"주",""))-1)),"")),IF($J108&lt;&gt;"",$J108,"")))</f>
        <v>46392</v>
      </c>
      <c r="L108" s="28" t="str">
        <f aca="false">IF($G108&lt;&gt;"","계획 주차",IF($I108&lt;&gt;"","전년+1년 예측",IF($J108&lt;&gt;"","전산 입고계획(참고)","미정")))</f>
        <v>전산 입고계획(참고)</v>
      </c>
      <c r="M108" s="32" t="n">
        <f aca="false">IF($K108="","",$K108-기준정보!$C$5)</f>
        <v>46302</v>
      </c>
      <c r="N108" s="33" t="n">
        <f aca="false">IF($M108="","",$M108-기준정보!$C$4)</f>
        <v>61</v>
      </c>
      <c r="O108" s="31" t="s">
        <v>108</v>
      </c>
      <c r="P108" s="20"/>
      <c r="Q108" s="30" t="str">
        <f aca="false">IF($F108="","",IF(AND(ISNUMBER(SEARCH("CMT",$F108)),OR(ISNUMBER(SEARCH("사입",$F108)),ISNUMBER(SEARCH("Buying",$F108)))),"본사/생산처 혼재",IF(ISNUMBER(SEARCH("CMT",$F108)),"본사(소재팀)","생산처")))</f>
        <v>생산처</v>
      </c>
      <c r="R108" s="29" t="s">
        <v>119</v>
      </c>
      <c r="S108" s="29" t="s">
        <v>110</v>
      </c>
      <c r="T108" s="30" t="str">
        <f aca="false">IF($K108="","출고일 미정",IF($O108="X","작지(일매) 미등록",IF($O108="부분","작지(일매) 일부 미등록",IF(AND($P108&lt;&gt;"",$P108&gt;$M108),"소재입고 마감("&amp;TEXT($M108,"MM/DD")&amp;") 초과",IF($O108="","일매 등록여부 확인 필요",IF($P108="","소재 입고일정 확인 필요","정상"))))))</f>
        <v>소재 입고일정 확인 필요</v>
      </c>
      <c r="U108" s="28" t="str">
        <f aca="false">IF($K108="","",IF(OR(LEFT($T108,2)="작지",LEFT($T108,4)="소재입고"),IF(LEFT($E108,1)="S","★ 납기위험(S코드)","◆ 지연주의"),IF($T108="정상","✓ 정상","? 확인필요")))</f>
        <v>? 확인필요</v>
      </c>
      <c r="V108" s="31"/>
      <c r="W108" s="19"/>
    </row>
    <row r="109" customFormat="false" ht="15" hidden="false" customHeight="true" outlineLevel="0" collapsed="false">
      <c r="A109" s="28" t="n">
        <v>105</v>
      </c>
      <c r="B109" s="29" t="s">
        <v>320</v>
      </c>
      <c r="C109" s="30" t="s">
        <v>346</v>
      </c>
      <c r="D109" s="30" t="s">
        <v>347</v>
      </c>
      <c r="E109" s="28" t="str">
        <f aca="false">IF($C109="","",IF(MID($C109,5,1)="S","S(봄)",IF(MID($C109,5,1)="M","M(여름)",IF(MID($C109,5,1)="X","X(사계절)",MID($C109,5,1)))))</f>
        <v>S(봄)</v>
      </c>
      <c r="F109" s="29" t="s">
        <v>106</v>
      </c>
      <c r="G109" s="31"/>
      <c r="H109" s="28" t="str">
        <f aca="false">IF($C109="","",REPLACE($C109,6,2,"26"))</f>
        <v>8UJJS26105</v>
      </c>
      <c r="I109" s="32" t="n">
        <f aca="false">IFERROR(INDEX(전년출고참조!$B$4:$B$638,MATCH($H109,전년출고참조!$A$4:$A$638,0)),"")</f>
        <v>46038</v>
      </c>
      <c r="J109" s="32" t="n">
        <v>46392</v>
      </c>
      <c r="K109" s="32" t="n">
        <f aca="false">IF($G109&lt;&gt;"",IFERROR(DATE(IF(VALUE(LEFT($G109,FIND("월",$G109)-1))&gt;=9,기준정보!$C$6-1,기준정보!$C$6),VALUE(LEFT($G109,FIND("월",$G109)-1)),1+7*(VALUE(SUBSTITUTE(MID($G109,FIND("월",$G109)+1,5),"주",""))-1)),""),IF($I109&lt;&gt;"",IF(ISNUMBER($I109),$I109+364,IFERROR(DATE(IF(VALUE(LEFT($I109,FIND("월",$I109)-1))&gt;=9,기준정보!$C$6-1,기준정보!$C$6),VALUE(LEFT($I109,FIND("월",$I109)-1)),1+7*(VALUE(SUBSTITUTE(MID($I109,FIND("월",$I109)+1,5),"주",""))-1)),"")),IF($J109&lt;&gt;"",$J109,"")))</f>
        <v>46402</v>
      </c>
      <c r="L109" s="28" t="str">
        <f aca="false">IF($G109&lt;&gt;"","계획 주차",IF($I109&lt;&gt;"","전년+1년 예측",IF($J109&lt;&gt;"","전산 입고계획(참고)","미정")))</f>
        <v>전년+1년 예측</v>
      </c>
      <c r="M109" s="32" t="n">
        <f aca="false">IF($K109="","",$K109-기준정보!$C$5)</f>
        <v>46312</v>
      </c>
      <c r="N109" s="33" t="n">
        <f aca="false">IF($M109="","",$M109-기준정보!$C$4)</f>
        <v>71</v>
      </c>
      <c r="O109" s="31" t="s">
        <v>108</v>
      </c>
      <c r="P109" s="20"/>
      <c r="Q109" s="30" t="str">
        <f aca="false">IF($F109="","",IF(AND(ISNUMBER(SEARCH("CMT",$F109)),OR(ISNUMBER(SEARCH("사입",$F109)),ISNUMBER(SEARCH("Buying",$F109)))),"본사/생산처 혼재",IF(ISNUMBER(SEARCH("CMT",$F109)),"본사(소재팀)","생산처")))</f>
        <v>생산처</v>
      </c>
      <c r="R109" s="29" t="s">
        <v>119</v>
      </c>
      <c r="S109" s="29" t="s">
        <v>110</v>
      </c>
      <c r="T109" s="30" t="str">
        <f aca="false">IF($K109="","출고일 미정",IF($O109="X","작지(일매) 미등록",IF($O109="부분","작지(일매) 일부 미등록",IF(AND($P109&lt;&gt;"",$P109&gt;$M109),"소재입고 마감("&amp;TEXT($M109,"MM/DD")&amp;") 초과",IF($O109="","일매 등록여부 확인 필요",IF($P109="","소재 입고일정 확인 필요","정상"))))))</f>
        <v>소재 입고일정 확인 필요</v>
      </c>
      <c r="U109" s="28" t="str">
        <f aca="false">IF($K109="","",IF(OR(LEFT($T109,2)="작지",LEFT($T109,4)="소재입고"),IF(LEFT($E109,1)="S","★ 납기위험(S코드)","◆ 지연주의"),IF($T109="정상","✓ 정상","? 확인필요")))</f>
        <v>? 확인필요</v>
      </c>
      <c r="V109" s="31"/>
      <c r="W109" s="19"/>
    </row>
    <row r="110" customFormat="false" ht="15" hidden="false" customHeight="true" outlineLevel="0" collapsed="false">
      <c r="A110" s="28" t="n">
        <v>106</v>
      </c>
      <c r="B110" s="29" t="s">
        <v>320</v>
      </c>
      <c r="C110" s="30" t="s">
        <v>348</v>
      </c>
      <c r="D110" s="30" t="s">
        <v>349</v>
      </c>
      <c r="E110" s="28" t="str">
        <f aca="false">IF($C110="","",IF(MID($C110,5,1)="S","S(봄)",IF(MID($C110,5,1)="M","M(여름)",IF(MID($C110,5,1)="X","X(사계절)",MID($C110,5,1)))))</f>
        <v>S(봄)</v>
      </c>
      <c r="F110" s="29" t="s">
        <v>106</v>
      </c>
      <c r="G110" s="31"/>
      <c r="H110" s="28" t="str">
        <f aca="false">IF($C110="","",REPLACE($C110,6,2,"26"))</f>
        <v>8UPNS26105</v>
      </c>
      <c r="I110" s="32" t="str">
        <f aca="false">IFERROR(INDEX(전년출고참조!$B$4:$B$638,MATCH($H110,전년출고참조!$A$4:$A$638,0)),"")</f>
        <v/>
      </c>
      <c r="J110" s="32" t="n">
        <v>46392</v>
      </c>
      <c r="K110" s="32" t="n">
        <f aca="false">IF($G110&lt;&gt;"",IFERROR(DATE(IF(VALUE(LEFT($G110,FIND("월",$G110)-1))&gt;=9,기준정보!$C$6-1,기준정보!$C$6),VALUE(LEFT($G110,FIND("월",$G110)-1)),1+7*(VALUE(SUBSTITUTE(MID($G110,FIND("월",$G110)+1,5),"주",""))-1)),""),IF($I110&lt;&gt;"",IF(ISNUMBER($I110),$I110+364,IFERROR(DATE(IF(VALUE(LEFT($I110,FIND("월",$I110)-1))&gt;=9,기준정보!$C$6-1,기준정보!$C$6),VALUE(LEFT($I110,FIND("월",$I110)-1)),1+7*(VALUE(SUBSTITUTE(MID($I110,FIND("월",$I110)+1,5),"주",""))-1)),"")),IF($J110&lt;&gt;"",$J110,"")))</f>
        <v>46392</v>
      </c>
      <c r="L110" s="28" t="str">
        <f aca="false">IF($G110&lt;&gt;"","계획 주차",IF($I110&lt;&gt;"","전년+1년 예측",IF($J110&lt;&gt;"","전산 입고계획(참고)","미정")))</f>
        <v>전산 입고계획(참고)</v>
      </c>
      <c r="M110" s="32" t="n">
        <f aca="false">IF($K110="","",$K110-기준정보!$C$5)</f>
        <v>46302</v>
      </c>
      <c r="N110" s="33" t="n">
        <f aca="false">IF($M110="","",$M110-기준정보!$C$4)</f>
        <v>61</v>
      </c>
      <c r="O110" s="31" t="s">
        <v>108</v>
      </c>
      <c r="P110" s="20"/>
      <c r="Q110" s="30" t="str">
        <f aca="false">IF($F110="","",IF(AND(ISNUMBER(SEARCH("CMT",$F110)),OR(ISNUMBER(SEARCH("사입",$F110)),ISNUMBER(SEARCH("Buying",$F110)))),"본사/생산처 혼재",IF(ISNUMBER(SEARCH("CMT",$F110)),"본사(소재팀)","생산처")))</f>
        <v>생산처</v>
      </c>
      <c r="R110" s="29" t="s">
        <v>119</v>
      </c>
      <c r="S110" s="29" t="s">
        <v>110</v>
      </c>
      <c r="T110" s="30" t="str">
        <f aca="false">IF($K110="","출고일 미정",IF($O110="X","작지(일매) 미등록",IF($O110="부분","작지(일매) 일부 미등록",IF(AND($P110&lt;&gt;"",$P110&gt;$M110),"소재입고 마감("&amp;TEXT($M110,"MM/DD")&amp;") 초과",IF($O110="","일매 등록여부 확인 필요",IF($P110="","소재 입고일정 확인 필요","정상"))))))</f>
        <v>소재 입고일정 확인 필요</v>
      </c>
      <c r="U110" s="28" t="str">
        <f aca="false">IF($K110="","",IF(OR(LEFT($T110,2)="작지",LEFT($T110,4)="소재입고"),IF(LEFT($E110,1)="S","★ 납기위험(S코드)","◆ 지연주의"),IF($T110="정상","✓ 정상","? 확인필요")))</f>
        <v>? 확인필요</v>
      </c>
      <c r="V110" s="31"/>
      <c r="W110" s="19"/>
    </row>
    <row r="111" customFormat="false" ht="15" hidden="false" customHeight="true" outlineLevel="0" collapsed="false">
      <c r="A111" s="28" t="n">
        <v>107</v>
      </c>
      <c r="B111" s="29" t="s">
        <v>320</v>
      </c>
      <c r="C111" s="30" t="s">
        <v>350</v>
      </c>
      <c r="D111" s="30" t="s">
        <v>351</v>
      </c>
      <c r="E111" s="28" t="str">
        <f aca="false">IF($C111="","",IF(MID($C111,5,1)="S","S(봄)",IF(MID($C111,5,1)="M","M(여름)",IF(MID($C111,5,1)="X","X(사계절)",MID($C111,5,1)))))</f>
        <v>S(봄)</v>
      </c>
      <c r="F111" s="29" t="s">
        <v>106</v>
      </c>
      <c r="G111" s="31"/>
      <c r="H111" s="28" t="str">
        <f aca="false">IF($C111="","",REPLACE($C111,6,2,"26"))</f>
        <v>8UTBS26101</v>
      </c>
      <c r="I111" s="32" t="str">
        <f aca="false">IFERROR(INDEX(전년출고참조!$B$4:$B$638,MATCH($H111,전년출고참조!$A$4:$A$638,0)),"")</f>
        <v/>
      </c>
      <c r="J111" s="32" t="n">
        <v>46392</v>
      </c>
      <c r="K111" s="32" t="n">
        <f aca="false">IF($G111&lt;&gt;"",IFERROR(DATE(IF(VALUE(LEFT($G111,FIND("월",$G111)-1))&gt;=9,기준정보!$C$6-1,기준정보!$C$6),VALUE(LEFT($G111,FIND("월",$G111)-1)),1+7*(VALUE(SUBSTITUTE(MID($G111,FIND("월",$G111)+1,5),"주",""))-1)),""),IF($I111&lt;&gt;"",IF(ISNUMBER($I111),$I111+364,IFERROR(DATE(IF(VALUE(LEFT($I111,FIND("월",$I111)-1))&gt;=9,기준정보!$C$6-1,기준정보!$C$6),VALUE(LEFT($I111,FIND("월",$I111)-1)),1+7*(VALUE(SUBSTITUTE(MID($I111,FIND("월",$I111)+1,5),"주",""))-1)),"")),IF($J111&lt;&gt;"",$J111,"")))</f>
        <v>46392</v>
      </c>
      <c r="L111" s="28" t="str">
        <f aca="false">IF($G111&lt;&gt;"","계획 주차",IF($I111&lt;&gt;"","전년+1년 예측",IF($J111&lt;&gt;"","전산 입고계획(참고)","미정")))</f>
        <v>전산 입고계획(참고)</v>
      </c>
      <c r="M111" s="32" t="n">
        <f aca="false">IF($K111="","",$K111-기준정보!$C$5)</f>
        <v>46302</v>
      </c>
      <c r="N111" s="33" t="n">
        <f aca="false">IF($M111="","",$M111-기준정보!$C$4)</f>
        <v>61</v>
      </c>
      <c r="O111" s="31" t="s">
        <v>108</v>
      </c>
      <c r="P111" s="20"/>
      <c r="Q111" s="30" t="str">
        <f aca="false">IF($F111="","",IF(AND(ISNUMBER(SEARCH("CMT",$F111)),OR(ISNUMBER(SEARCH("사입",$F111)),ISNUMBER(SEARCH("Buying",$F111)))),"본사/생산처 혼재",IF(ISNUMBER(SEARCH("CMT",$F111)),"본사(소재팀)","생산처")))</f>
        <v>생산처</v>
      </c>
      <c r="R111" s="29" t="s">
        <v>352</v>
      </c>
      <c r="S111" s="29" t="s">
        <v>110</v>
      </c>
      <c r="T111" s="30" t="str">
        <f aca="false">IF($K111="","출고일 미정",IF($O111="X","작지(일매) 미등록",IF($O111="부분","작지(일매) 일부 미등록",IF(AND($P111&lt;&gt;"",$P111&gt;$M111),"소재입고 마감("&amp;TEXT($M111,"MM/DD")&amp;") 초과",IF($O111="","일매 등록여부 확인 필요",IF($P111="","소재 입고일정 확인 필요","정상"))))))</f>
        <v>소재 입고일정 확인 필요</v>
      </c>
      <c r="U111" s="28" t="str">
        <f aca="false">IF($K111="","",IF(OR(LEFT($T111,2)="작지",LEFT($T111,4)="소재입고"),IF(LEFT($E111,1)="S","★ 납기위험(S코드)","◆ 지연주의"),IF($T111="정상","✓ 정상","? 확인필요")))</f>
        <v>? 확인필요</v>
      </c>
      <c r="V111" s="31"/>
      <c r="W111" s="19"/>
    </row>
    <row r="112" customFormat="false" ht="15" hidden="false" customHeight="true" outlineLevel="0" collapsed="false">
      <c r="A112" s="28" t="n">
        <v>108</v>
      </c>
      <c r="B112" s="29" t="s">
        <v>320</v>
      </c>
      <c r="C112" s="30" t="s">
        <v>353</v>
      </c>
      <c r="D112" s="30" t="s">
        <v>354</v>
      </c>
      <c r="E112" s="28" t="str">
        <f aca="false">IF($C112="","",IF(MID($C112,5,1)="S","S(봄)",IF(MID($C112,5,1)="M","M(여름)",IF(MID($C112,5,1)="X","X(사계절)",MID($C112,5,1)))))</f>
        <v>S(봄)</v>
      </c>
      <c r="F112" s="29" t="s">
        <v>106</v>
      </c>
      <c r="G112" s="31"/>
      <c r="H112" s="28" t="str">
        <f aca="false">IF($C112="","",REPLACE($C112,6,2,"26"))</f>
        <v>8UTBS26102</v>
      </c>
      <c r="I112" s="32" t="str">
        <f aca="false">IFERROR(INDEX(전년출고참조!$B$4:$B$638,MATCH($H112,전년출고참조!$A$4:$A$638,0)),"")</f>
        <v/>
      </c>
      <c r="J112" s="32" t="n">
        <v>46392</v>
      </c>
      <c r="K112" s="32" t="n">
        <f aca="false">IF($G112&lt;&gt;"",IFERROR(DATE(IF(VALUE(LEFT($G112,FIND("월",$G112)-1))&gt;=9,기준정보!$C$6-1,기준정보!$C$6),VALUE(LEFT($G112,FIND("월",$G112)-1)),1+7*(VALUE(SUBSTITUTE(MID($G112,FIND("월",$G112)+1,5),"주",""))-1)),""),IF($I112&lt;&gt;"",IF(ISNUMBER($I112),$I112+364,IFERROR(DATE(IF(VALUE(LEFT($I112,FIND("월",$I112)-1))&gt;=9,기준정보!$C$6-1,기준정보!$C$6),VALUE(LEFT($I112,FIND("월",$I112)-1)),1+7*(VALUE(SUBSTITUTE(MID($I112,FIND("월",$I112)+1,5),"주",""))-1)),"")),IF($J112&lt;&gt;"",$J112,"")))</f>
        <v>46392</v>
      </c>
      <c r="L112" s="28" t="str">
        <f aca="false">IF($G112&lt;&gt;"","계획 주차",IF($I112&lt;&gt;"","전년+1년 예측",IF($J112&lt;&gt;"","전산 입고계획(참고)","미정")))</f>
        <v>전산 입고계획(참고)</v>
      </c>
      <c r="M112" s="32" t="n">
        <f aca="false">IF($K112="","",$K112-기준정보!$C$5)</f>
        <v>46302</v>
      </c>
      <c r="N112" s="33" t="n">
        <f aca="false">IF($M112="","",$M112-기준정보!$C$4)</f>
        <v>61</v>
      </c>
      <c r="O112" s="31" t="s">
        <v>108</v>
      </c>
      <c r="P112" s="20"/>
      <c r="Q112" s="30" t="str">
        <f aca="false">IF($F112="","",IF(AND(ISNUMBER(SEARCH("CMT",$F112)),OR(ISNUMBER(SEARCH("사입",$F112)),ISNUMBER(SEARCH("Buying",$F112)))),"본사/생산처 혼재",IF(ISNUMBER(SEARCH("CMT",$F112)),"본사(소재팀)","생산처")))</f>
        <v>생산처</v>
      </c>
      <c r="R112" s="29" t="s">
        <v>352</v>
      </c>
      <c r="S112" s="29" t="s">
        <v>355</v>
      </c>
      <c r="T112" s="30" t="str">
        <f aca="false">IF($K112="","출고일 미정",IF($O112="X","작지(일매) 미등록",IF($O112="부분","작지(일매) 일부 미등록",IF(AND($P112&lt;&gt;"",$P112&gt;$M112),"소재입고 마감("&amp;TEXT($M112,"MM/DD")&amp;") 초과",IF($O112="","일매 등록여부 확인 필요",IF($P112="","소재 입고일정 확인 필요","정상"))))))</f>
        <v>소재 입고일정 확인 필요</v>
      </c>
      <c r="U112" s="28" t="str">
        <f aca="false">IF($K112="","",IF(OR(LEFT($T112,2)="작지",LEFT($T112,4)="소재입고"),IF(LEFT($E112,1)="S","★ 납기위험(S코드)","◆ 지연주의"),IF($T112="정상","✓ 정상","? 확인필요")))</f>
        <v>? 확인필요</v>
      </c>
      <c r="V112" s="31"/>
      <c r="W112" s="19"/>
    </row>
    <row r="113" customFormat="false" ht="15" hidden="false" customHeight="true" outlineLevel="0" collapsed="false">
      <c r="A113" s="28" t="n">
        <v>109</v>
      </c>
      <c r="B113" s="29" t="s">
        <v>294</v>
      </c>
      <c r="C113" s="30" t="s">
        <v>356</v>
      </c>
      <c r="D113" s="29" t="s">
        <v>357</v>
      </c>
      <c r="E113" s="28" t="str">
        <f aca="false">IF($C113="","",IF(MID($C113,5,1)="S","S(봄)",IF(MID($C113,5,1)="M","M(여름)",IF(MID($C113,5,1)="X","X(사계절)",MID($C113,5,1)))))</f>
        <v>S(봄)</v>
      </c>
      <c r="F113" s="30" t="s">
        <v>113</v>
      </c>
      <c r="G113" s="31"/>
      <c r="H113" s="28" t="str">
        <f aca="false">IF($C113="","",REPLACE($C113,6,2,"26"))</f>
        <v>TLTBS26511</v>
      </c>
      <c r="I113" s="32" t="str">
        <f aca="false">IFERROR(INDEX(전년출고참조!$B$4:$B$638,MATCH($H113,전년출고참조!$A$4:$A$638,0)),"")</f>
        <v/>
      </c>
      <c r="J113" s="32" t="n">
        <v>46398</v>
      </c>
      <c r="K113" s="32" t="n">
        <f aca="false">IF($G113&lt;&gt;"",IFERROR(DATE(IF(VALUE(LEFT($G113,FIND("월",$G113)-1))&gt;=9,기준정보!$C$6-1,기준정보!$C$6),VALUE(LEFT($G113,FIND("월",$G113)-1)),1+7*(VALUE(SUBSTITUTE(MID($G113,FIND("월",$G113)+1,5),"주",""))-1)),""),IF($I113&lt;&gt;"",IF(ISNUMBER($I113),$I113+364,IFERROR(DATE(IF(VALUE(LEFT($I113,FIND("월",$I113)-1))&gt;=9,기준정보!$C$6-1,기준정보!$C$6),VALUE(LEFT($I113,FIND("월",$I113)-1)),1+7*(VALUE(SUBSTITUTE(MID($I113,FIND("월",$I113)+1,5),"주",""))-1)),"")),IF($J113&lt;&gt;"",$J113,"")))</f>
        <v>46398</v>
      </c>
      <c r="L113" s="28" t="str">
        <f aca="false">IF($G113&lt;&gt;"","계획 주차",IF($I113&lt;&gt;"","전년+1년 예측",IF($J113&lt;&gt;"","전산 입고계획(참고)","미정")))</f>
        <v>전산 입고계획(참고)</v>
      </c>
      <c r="M113" s="32" t="n">
        <f aca="false">IF($K113="","",$K113-기준정보!$C$5)</f>
        <v>46308</v>
      </c>
      <c r="N113" s="33" t="n">
        <f aca="false">IF($M113="","",$M113-기준정보!$C$4)</f>
        <v>67</v>
      </c>
      <c r="O113" s="31" t="s">
        <v>114</v>
      </c>
      <c r="P113" s="20"/>
      <c r="Q113" s="30" t="str">
        <f aca="false">IF($F113="","",IF(AND(ISNUMBER(SEARCH("CMT",$F113)),OR(ISNUMBER(SEARCH("사입",$F113)),ISNUMBER(SEARCH("Buying",$F113)))),"본사/생산처 혼재",IF(ISNUMBER(SEARCH("CMT",$F113)),"본사(소재팀)","생산처")))</f>
        <v>생산처</v>
      </c>
      <c r="R113" s="30" t="s">
        <v>201</v>
      </c>
      <c r="S113" s="29" t="s">
        <v>110</v>
      </c>
      <c r="T113" s="30" t="str">
        <f aca="false">IF($K113="","출고일 미정",IF($O113="X","작지(일매) 미등록",IF($O113="부분","작지(일매) 일부 미등록",IF(AND($P113&lt;&gt;"",$P113&gt;$M113),"소재입고 마감("&amp;TEXT($M113,"MM/DD")&amp;") 초과",IF($O113="","일매 등록여부 확인 필요",IF($P113="","소재 입고일정 확인 필요","정상"))))))</f>
        <v>작지(일매) 미등록</v>
      </c>
      <c r="U113" s="28" t="str">
        <f aca="false">IF($K113="","",IF(OR(LEFT($T113,2)="작지",LEFT($T113,4)="소재입고"),IF(LEFT($E113,1)="S","★ 납기위험(S코드)","◆ 지연주의"),IF($T113="정상","✓ 정상","? 확인필요")))</f>
        <v>★ 납기위험(S코드)</v>
      </c>
      <c r="V113" s="31"/>
      <c r="W113" s="19"/>
    </row>
    <row r="114" customFormat="false" ht="15" hidden="false" customHeight="true" outlineLevel="0" collapsed="false">
      <c r="A114" s="28" t="n">
        <v>110</v>
      </c>
      <c r="B114" s="29" t="s">
        <v>294</v>
      </c>
      <c r="C114" s="30" t="s">
        <v>358</v>
      </c>
      <c r="D114" s="29" t="s">
        <v>359</v>
      </c>
      <c r="E114" s="28" t="str">
        <f aca="false">IF($C114="","",IF(MID($C114,5,1)="S","S(봄)",IF(MID($C114,5,1)="M","M(여름)",IF(MID($C114,5,1)="X","X(사계절)",MID($C114,5,1)))))</f>
        <v>S(봄)</v>
      </c>
      <c r="F114" s="30" t="s">
        <v>113</v>
      </c>
      <c r="G114" s="31"/>
      <c r="H114" s="28" t="str">
        <f aca="false">IF($C114="","",REPLACE($C114,6,2,"26"))</f>
        <v>TVTBS26548</v>
      </c>
      <c r="I114" s="32" t="str">
        <f aca="false">IFERROR(INDEX(전년출고참조!$B$4:$B$638,MATCH($H114,전년출고참조!$A$4:$A$638,0)),"")</f>
        <v/>
      </c>
      <c r="J114" s="32" t="n">
        <v>46398</v>
      </c>
      <c r="K114" s="32" t="n">
        <f aca="false">IF($G114&lt;&gt;"",IFERROR(DATE(IF(VALUE(LEFT($G114,FIND("월",$G114)-1))&gt;=9,기준정보!$C$6-1,기준정보!$C$6),VALUE(LEFT($G114,FIND("월",$G114)-1)),1+7*(VALUE(SUBSTITUTE(MID($G114,FIND("월",$G114)+1,5),"주",""))-1)),""),IF($I114&lt;&gt;"",IF(ISNUMBER($I114),$I114+364,IFERROR(DATE(IF(VALUE(LEFT($I114,FIND("월",$I114)-1))&gt;=9,기준정보!$C$6-1,기준정보!$C$6),VALUE(LEFT($I114,FIND("월",$I114)-1)),1+7*(VALUE(SUBSTITUTE(MID($I114,FIND("월",$I114)+1,5),"주",""))-1)),"")),IF($J114&lt;&gt;"",$J114,"")))</f>
        <v>46398</v>
      </c>
      <c r="L114" s="28" t="str">
        <f aca="false">IF($G114&lt;&gt;"","계획 주차",IF($I114&lt;&gt;"","전년+1년 예측",IF($J114&lt;&gt;"","전산 입고계획(참고)","미정")))</f>
        <v>전산 입고계획(참고)</v>
      </c>
      <c r="M114" s="32" t="n">
        <f aca="false">IF($K114="","",$K114-기준정보!$C$5)</f>
        <v>46308</v>
      </c>
      <c r="N114" s="33" t="n">
        <f aca="false">IF($M114="","",$M114-기준정보!$C$4)</f>
        <v>67</v>
      </c>
      <c r="O114" s="31" t="s">
        <v>114</v>
      </c>
      <c r="P114" s="20"/>
      <c r="Q114" s="30" t="str">
        <f aca="false">IF($F114="","",IF(AND(ISNUMBER(SEARCH("CMT",$F114)),OR(ISNUMBER(SEARCH("사입",$F114)),ISNUMBER(SEARCH("Buying",$F114)))),"본사/생산처 혼재",IF(ISNUMBER(SEARCH("CMT",$F114)),"본사(소재팀)","생산처")))</f>
        <v>생산처</v>
      </c>
      <c r="R114" s="30" t="s">
        <v>201</v>
      </c>
      <c r="S114" s="29" t="s">
        <v>110</v>
      </c>
      <c r="T114" s="30" t="str">
        <f aca="false">IF($K114="","출고일 미정",IF($O114="X","작지(일매) 미등록",IF($O114="부분","작지(일매) 일부 미등록",IF(AND($P114&lt;&gt;"",$P114&gt;$M114),"소재입고 마감("&amp;TEXT($M114,"MM/DD")&amp;") 초과",IF($O114="","일매 등록여부 확인 필요",IF($P114="","소재 입고일정 확인 필요","정상"))))))</f>
        <v>작지(일매) 미등록</v>
      </c>
      <c r="U114" s="28" t="str">
        <f aca="false">IF($K114="","",IF(OR(LEFT($T114,2)="작지",LEFT($T114,4)="소재입고"),IF(LEFT($E114,1)="S","★ 납기위험(S코드)","◆ 지연주의"),IF($T114="정상","✓ 정상","? 확인필요")))</f>
        <v>★ 납기위험(S코드)</v>
      </c>
      <c r="V114" s="31"/>
      <c r="W114" s="19"/>
    </row>
    <row r="115" customFormat="false" ht="15" hidden="false" customHeight="true" outlineLevel="0" collapsed="false">
      <c r="A115" s="28" t="n">
        <v>111</v>
      </c>
      <c r="B115" s="29" t="s">
        <v>294</v>
      </c>
      <c r="C115" s="30" t="s">
        <v>360</v>
      </c>
      <c r="D115" s="29" t="s">
        <v>361</v>
      </c>
      <c r="E115" s="28" t="str">
        <f aca="false">IF($C115="","",IF(MID($C115,5,1)="S","S(봄)",IF(MID($C115,5,1)="M","M(여름)",IF(MID($C115,5,1)="X","X(사계절)",MID($C115,5,1)))))</f>
        <v>S(봄)</v>
      </c>
      <c r="F115" s="29" t="s">
        <v>106</v>
      </c>
      <c r="G115" s="31"/>
      <c r="H115" s="28" t="str">
        <f aca="false">IF($C115="","",REPLACE($C115,6,2,"26"))</f>
        <v>TLSXS26501</v>
      </c>
      <c r="I115" s="32" t="str">
        <f aca="false">IFERROR(INDEX(전년출고참조!$B$4:$B$638,MATCH($H115,전년출고참조!$A$4:$A$638,0)),"")</f>
        <v/>
      </c>
      <c r="J115" s="32" t="n">
        <v>46433</v>
      </c>
      <c r="K115" s="32" t="n">
        <f aca="false">IF($G115&lt;&gt;"",IFERROR(DATE(IF(VALUE(LEFT($G115,FIND("월",$G115)-1))&gt;=9,기준정보!$C$6-1,기준정보!$C$6),VALUE(LEFT($G115,FIND("월",$G115)-1)),1+7*(VALUE(SUBSTITUTE(MID($G115,FIND("월",$G115)+1,5),"주",""))-1)),""),IF($I115&lt;&gt;"",IF(ISNUMBER($I115),$I115+364,IFERROR(DATE(IF(VALUE(LEFT($I115,FIND("월",$I115)-1))&gt;=9,기준정보!$C$6-1,기준정보!$C$6),VALUE(LEFT($I115,FIND("월",$I115)-1)),1+7*(VALUE(SUBSTITUTE(MID($I115,FIND("월",$I115)+1,5),"주",""))-1)),"")),IF($J115&lt;&gt;"",$J115,"")))</f>
        <v>46433</v>
      </c>
      <c r="L115" s="28" t="str">
        <f aca="false">IF($G115&lt;&gt;"","계획 주차",IF($I115&lt;&gt;"","전년+1년 예측",IF($J115&lt;&gt;"","전산 입고계획(참고)","미정")))</f>
        <v>전산 입고계획(참고)</v>
      </c>
      <c r="M115" s="32" t="n">
        <f aca="false">IF($K115="","",$K115-기준정보!$C$5)</f>
        <v>46343</v>
      </c>
      <c r="N115" s="33" t="n">
        <f aca="false">IF($M115="","",$M115-기준정보!$C$4)</f>
        <v>102</v>
      </c>
      <c r="O115" s="31" t="s">
        <v>108</v>
      </c>
      <c r="P115" s="20"/>
      <c r="Q115" s="30" t="str">
        <f aca="false">IF($F115="","",IF(AND(ISNUMBER(SEARCH("CMT",$F115)),OR(ISNUMBER(SEARCH("사입",$F115)),ISNUMBER(SEARCH("Buying",$F115)))),"본사/생산처 혼재",IF(ISNUMBER(SEARCH("CMT",$F115)),"본사(소재팀)","생산처")))</f>
        <v>생산처</v>
      </c>
      <c r="R115" s="29" t="s">
        <v>275</v>
      </c>
      <c r="S115" s="29" t="s">
        <v>110</v>
      </c>
      <c r="T115" s="30" t="str">
        <f aca="false">IF($K115="","출고일 미정",IF($O115="X","작지(일매) 미등록",IF($O115="부분","작지(일매) 일부 미등록",IF(AND($P115&lt;&gt;"",$P115&gt;$M115),"소재입고 마감("&amp;TEXT($M115,"MM/DD")&amp;") 초과",IF($O115="","일매 등록여부 확인 필요",IF($P115="","소재 입고일정 확인 필요","정상"))))))</f>
        <v>소재 입고일정 확인 필요</v>
      </c>
      <c r="U115" s="28" t="str">
        <f aca="false">IF($K115="","",IF(OR(LEFT($T115,2)="작지",LEFT($T115,4)="소재입고"),IF(LEFT($E115,1)="S","★ 납기위험(S코드)","◆ 지연주의"),IF($T115="정상","✓ 정상","? 확인필요")))</f>
        <v>? 확인필요</v>
      </c>
      <c r="V115" s="31"/>
      <c r="W115" s="19"/>
    </row>
    <row r="116" customFormat="false" ht="15" hidden="false" customHeight="true" outlineLevel="0" collapsed="false">
      <c r="A116" s="28" t="n">
        <v>112</v>
      </c>
      <c r="B116" s="29" t="s">
        <v>294</v>
      </c>
      <c r="C116" s="30" t="s">
        <v>362</v>
      </c>
      <c r="D116" s="29" t="s">
        <v>363</v>
      </c>
      <c r="E116" s="28" t="str">
        <f aca="false">IF($C116="","",IF(MID($C116,5,1)="S","S(봄)",IF(MID($C116,5,1)="M","M(여름)",IF(MID($C116,5,1)="X","X(사계절)",MID($C116,5,1)))))</f>
        <v>S(봄)</v>
      </c>
      <c r="F116" s="29" t="s">
        <v>106</v>
      </c>
      <c r="G116" s="31"/>
      <c r="H116" s="28" t="str">
        <f aca="false">IF($C116="","",REPLACE($C116,6,2,"26"))</f>
        <v>TLSXS26511</v>
      </c>
      <c r="I116" s="32" t="str">
        <f aca="false">IFERROR(INDEX(전년출고참조!$B$4:$B$638,MATCH($H116,전년출고참조!$A$4:$A$638,0)),"")</f>
        <v/>
      </c>
      <c r="J116" s="32" t="n">
        <v>46433</v>
      </c>
      <c r="K116" s="32" t="n">
        <f aca="false">IF($G116&lt;&gt;"",IFERROR(DATE(IF(VALUE(LEFT($G116,FIND("월",$G116)-1))&gt;=9,기준정보!$C$6-1,기준정보!$C$6),VALUE(LEFT($G116,FIND("월",$G116)-1)),1+7*(VALUE(SUBSTITUTE(MID($G116,FIND("월",$G116)+1,5),"주",""))-1)),""),IF($I116&lt;&gt;"",IF(ISNUMBER($I116),$I116+364,IFERROR(DATE(IF(VALUE(LEFT($I116,FIND("월",$I116)-1))&gt;=9,기준정보!$C$6-1,기준정보!$C$6),VALUE(LEFT($I116,FIND("월",$I116)-1)),1+7*(VALUE(SUBSTITUTE(MID($I116,FIND("월",$I116)+1,5),"주",""))-1)),"")),IF($J116&lt;&gt;"",$J116,"")))</f>
        <v>46433</v>
      </c>
      <c r="L116" s="28" t="str">
        <f aca="false">IF($G116&lt;&gt;"","계획 주차",IF($I116&lt;&gt;"","전년+1년 예측",IF($J116&lt;&gt;"","전산 입고계획(참고)","미정")))</f>
        <v>전산 입고계획(참고)</v>
      </c>
      <c r="M116" s="32" t="n">
        <f aca="false">IF($K116="","",$K116-기준정보!$C$5)</f>
        <v>46343</v>
      </c>
      <c r="N116" s="33" t="n">
        <f aca="false">IF($M116="","",$M116-기준정보!$C$4)</f>
        <v>102</v>
      </c>
      <c r="O116" s="31" t="s">
        <v>108</v>
      </c>
      <c r="P116" s="20"/>
      <c r="Q116" s="30" t="str">
        <f aca="false">IF($F116="","",IF(AND(ISNUMBER(SEARCH("CMT",$F116)),OR(ISNUMBER(SEARCH("사입",$F116)),ISNUMBER(SEARCH("Buying",$F116)))),"본사/생산처 혼재",IF(ISNUMBER(SEARCH("CMT",$F116)),"본사(소재팀)","생산처")))</f>
        <v>생산처</v>
      </c>
      <c r="R116" s="29" t="s">
        <v>275</v>
      </c>
      <c r="S116" s="29" t="s">
        <v>110</v>
      </c>
      <c r="T116" s="30" t="str">
        <f aca="false">IF($K116="","출고일 미정",IF($O116="X","작지(일매) 미등록",IF($O116="부분","작지(일매) 일부 미등록",IF(AND($P116&lt;&gt;"",$P116&gt;$M116),"소재입고 마감("&amp;TEXT($M116,"MM/DD")&amp;") 초과",IF($O116="","일매 등록여부 확인 필요",IF($P116="","소재 입고일정 확인 필요","정상"))))))</f>
        <v>소재 입고일정 확인 필요</v>
      </c>
      <c r="U116" s="28" t="str">
        <f aca="false">IF($K116="","",IF(OR(LEFT($T116,2)="작지",LEFT($T116,4)="소재입고"),IF(LEFT($E116,1)="S","★ 납기위험(S코드)","◆ 지연주의"),IF($T116="정상","✓ 정상","? 확인필요")))</f>
        <v>? 확인필요</v>
      </c>
      <c r="V116" s="31"/>
      <c r="W116" s="19"/>
    </row>
    <row r="117" customFormat="false" ht="15" hidden="false" customHeight="true" outlineLevel="0" collapsed="false">
      <c r="A117" s="28" t="n">
        <v>113</v>
      </c>
      <c r="B117" s="29" t="s">
        <v>294</v>
      </c>
      <c r="C117" s="30" t="s">
        <v>364</v>
      </c>
      <c r="D117" s="29" t="s">
        <v>365</v>
      </c>
      <c r="E117" s="28" t="str">
        <f aca="false">IF($C117="","",IF(MID($C117,5,1)="S","S(봄)",IF(MID($C117,5,1)="M","M(여름)",IF(MID($C117,5,1)="X","X(사계절)",MID($C117,5,1)))))</f>
        <v>S(봄)</v>
      </c>
      <c r="F117" s="29" t="s">
        <v>106</v>
      </c>
      <c r="G117" s="31"/>
      <c r="H117" s="28" t="str">
        <f aca="false">IF($C117="","",REPLACE($C117,6,2,"26"))</f>
        <v>TVSXS26502</v>
      </c>
      <c r="I117" s="32" t="str">
        <f aca="false">IFERROR(INDEX(전년출고참조!$B$4:$B$638,MATCH($H117,전년출고참조!$A$4:$A$638,0)),"")</f>
        <v/>
      </c>
      <c r="J117" s="32" t="n">
        <v>46433</v>
      </c>
      <c r="K117" s="32" t="n">
        <f aca="false">IF($G117&lt;&gt;"",IFERROR(DATE(IF(VALUE(LEFT($G117,FIND("월",$G117)-1))&gt;=9,기준정보!$C$6-1,기준정보!$C$6),VALUE(LEFT($G117,FIND("월",$G117)-1)),1+7*(VALUE(SUBSTITUTE(MID($G117,FIND("월",$G117)+1,5),"주",""))-1)),""),IF($I117&lt;&gt;"",IF(ISNUMBER($I117),$I117+364,IFERROR(DATE(IF(VALUE(LEFT($I117,FIND("월",$I117)-1))&gt;=9,기준정보!$C$6-1,기준정보!$C$6),VALUE(LEFT($I117,FIND("월",$I117)-1)),1+7*(VALUE(SUBSTITUTE(MID($I117,FIND("월",$I117)+1,5),"주",""))-1)),"")),IF($J117&lt;&gt;"",$J117,"")))</f>
        <v>46433</v>
      </c>
      <c r="L117" s="28" t="str">
        <f aca="false">IF($G117&lt;&gt;"","계획 주차",IF($I117&lt;&gt;"","전년+1년 예측",IF($J117&lt;&gt;"","전산 입고계획(참고)","미정")))</f>
        <v>전산 입고계획(참고)</v>
      </c>
      <c r="M117" s="32" t="n">
        <f aca="false">IF($K117="","",$K117-기준정보!$C$5)</f>
        <v>46343</v>
      </c>
      <c r="N117" s="33" t="n">
        <f aca="false">IF($M117="","",$M117-기준정보!$C$4)</f>
        <v>102</v>
      </c>
      <c r="O117" s="31" t="s">
        <v>108</v>
      </c>
      <c r="P117" s="20"/>
      <c r="Q117" s="30" t="str">
        <f aca="false">IF($F117="","",IF(AND(ISNUMBER(SEARCH("CMT",$F117)),OR(ISNUMBER(SEARCH("사입",$F117)),ISNUMBER(SEARCH("Buying",$F117)))),"본사/생산처 혼재",IF(ISNUMBER(SEARCH("CMT",$F117)),"본사(소재팀)","생산처")))</f>
        <v>생산처</v>
      </c>
      <c r="R117" s="29" t="s">
        <v>275</v>
      </c>
      <c r="S117" s="29" t="s">
        <v>110</v>
      </c>
      <c r="T117" s="30" t="str">
        <f aca="false">IF($K117="","출고일 미정",IF($O117="X","작지(일매) 미등록",IF($O117="부분","작지(일매) 일부 미등록",IF(AND($P117&lt;&gt;"",$P117&gt;$M117),"소재입고 마감("&amp;TEXT($M117,"MM/DD")&amp;") 초과",IF($O117="","일매 등록여부 확인 필요",IF($P117="","소재 입고일정 확인 필요","정상"))))))</f>
        <v>소재 입고일정 확인 필요</v>
      </c>
      <c r="U117" s="28" t="str">
        <f aca="false">IF($K117="","",IF(OR(LEFT($T117,2)="작지",LEFT($T117,4)="소재입고"),IF(LEFT($E117,1)="S","★ 납기위험(S코드)","◆ 지연주의"),IF($T117="정상","✓ 정상","? 확인필요")))</f>
        <v>? 확인필요</v>
      </c>
      <c r="V117" s="31"/>
      <c r="W117" s="19"/>
    </row>
    <row r="118" customFormat="false" ht="15" hidden="false" customHeight="true" outlineLevel="0" collapsed="false">
      <c r="A118" s="28" t="n">
        <v>114</v>
      </c>
      <c r="B118" s="29" t="s">
        <v>294</v>
      </c>
      <c r="C118" s="30" t="s">
        <v>366</v>
      </c>
      <c r="D118" s="29" t="s">
        <v>367</v>
      </c>
      <c r="E118" s="28" t="str">
        <f aca="false">IF($C118="","",IF(MID($C118,5,1)="S","S(봄)",IF(MID($C118,5,1)="M","M(여름)",IF(MID($C118,5,1)="X","X(사계절)",MID($C118,5,1)))))</f>
        <v>S(봄)</v>
      </c>
      <c r="F118" s="29" t="s">
        <v>106</v>
      </c>
      <c r="G118" s="31"/>
      <c r="H118" s="28" t="str">
        <f aca="false">IF($C118="","",REPLACE($C118,6,2,"26"))</f>
        <v>TVSXS26522</v>
      </c>
      <c r="I118" s="32" t="str">
        <f aca="false">IFERROR(INDEX(전년출고참조!$B$4:$B$638,MATCH($H118,전년출고참조!$A$4:$A$638,0)),"")</f>
        <v/>
      </c>
      <c r="J118" s="32" t="n">
        <v>46433</v>
      </c>
      <c r="K118" s="32" t="n">
        <f aca="false">IF($G118&lt;&gt;"",IFERROR(DATE(IF(VALUE(LEFT($G118,FIND("월",$G118)-1))&gt;=9,기준정보!$C$6-1,기준정보!$C$6),VALUE(LEFT($G118,FIND("월",$G118)-1)),1+7*(VALUE(SUBSTITUTE(MID($G118,FIND("월",$G118)+1,5),"주",""))-1)),""),IF($I118&lt;&gt;"",IF(ISNUMBER($I118),$I118+364,IFERROR(DATE(IF(VALUE(LEFT($I118,FIND("월",$I118)-1))&gt;=9,기준정보!$C$6-1,기준정보!$C$6),VALUE(LEFT($I118,FIND("월",$I118)-1)),1+7*(VALUE(SUBSTITUTE(MID($I118,FIND("월",$I118)+1,5),"주",""))-1)),"")),IF($J118&lt;&gt;"",$J118,"")))</f>
        <v>46433</v>
      </c>
      <c r="L118" s="28" t="str">
        <f aca="false">IF($G118&lt;&gt;"","계획 주차",IF($I118&lt;&gt;"","전년+1년 예측",IF($J118&lt;&gt;"","전산 입고계획(참고)","미정")))</f>
        <v>전산 입고계획(참고)</v>
      </c>
      <c r="M118" s="32" t="n">
        <f aca="false">IF($K118="","",$K118-기준정보!$C$5)</f>
        <v>46343</v>
      </c>
      <c r="N118" s="33" t="n">
        <f aca="false">IF($M118="","",$M118-기준정보!$C$4)</f>
        <v>102</v>
      </c>
      <c r="O118" s="31" t="s">
        <v>108</v>
      </c>
      <c r="P118" s="20"/>
      <c r="Q118" s="30" t="str">
        <f aca="false">IF($F118="","",IF(AND(ISNUMBER(SEARCH("CMT",$F118)),OR(ISNUMBER(SEARCH("사입",$F118)),ISNUMBER(SEARCH("Buying",$F118)))),"본사/생산처 혼재",IF(ISNUMBER(SEARCH("CMT",$F118)),"본사(소재팀)","생산처")))</f>
        <v>생산처</v>
      </c>
      <c r="R118" s="29" t="s">
        <v>275</v>
      </c>
      <c r="S118" s="29" t="s">
        <v>110</v>
      </c>
      <c r="T118" s="30" t="str">
        <f aca="false">IF($K118="","출고일 미정",IF($O118="X","작지(일매) 미등록",IF($O118="부분","작지(일매) 일부 미등록",IF(AND($P118&lt;&gt;"",$P118&gt;$M118),"소재입고 마감("&amp;TEXT($M118,"MM/DD")&amp;") 초과",IF($O118="","일매 등록여부 확인 필요",IF($P118="","소재 입고일정 확인 필요","정상"))))))</f>
        <v>소재 입고일정 확인 필요</v>
      </c>
      <c r="U118" s="28" t="str">
        <f aca="false">IF($K118="","",IF(OR(LEFT($T118,2)="작지",LEFT($T118,4)="소재입고"),IF(LEFT($E118,1)="S","★ 납기위험(S코드)","◆ 지연주의"),IF($T118="정상","✓ 정상","? 확인필요")))</f>
        <v>? 확인필요</v>
      </c>
      <c r="V118" s="31"/>
      <c r="W118" s="19"/>
    </row>
    <row r="119" customFormat="false" ht="15" hidden="false" customHeight="true" outlineLevel="0" collapsed="false">
      <c r="A119" s="28" t="n">
        <v>115</v>
      </c>
      <c r="B119" s="29" t="s">
        <v>116</v>
      </c>
      <c r="C119" s="30" t="s">
        <v>368</v>
      </c>
      <c r="D119" s="29" t="s">
        <v>369</v>
      </c>
      <c r="E119" s="28" t="str">
        <f aca="false">IF($C119="","",IF(MID($C119,5,1)="S","S(봄)",IF(MID($C119,5,1)="M","M(여름)",IF(MID($C119,5,1)="X","X(사계절)",MID($C119,5,1)))))</f>
        <v>M(여름)</v>
      </c>
      <c r="F119" s="30" t="s">
        <v>113</v>
      </c>
      <c r="G119" s="31" t="s">
        <v>370</v>
      </c>
      <c r="H119" s="28" t="str">
        <f aca="false">IF($C119="","",REPLACE($C119,6,2,"26"))</f>
        <v>JWTBM26121</v>
      </c>
      <c r="I119" s="32" t="str">
        <f aca="false">IFERROR(INDEX(전년출고참조!$B$4:$B$638,MATCH($H119,전년출고참조!$A$4:$A$638,0)),"")</f>
        <v/>
      </c>
      <c r="J119" s="32" t="n">
        <v>46367</v>
      </c>
      <c r="K119" s="32" t="n">
        <f aca="false">IF($G119&lt;&gt;"",IFERROR(DATE(IF(VALUE(LEFT($G119,FIND("월",$G119)-1))&gt;=9,기준정보!$C$6-1,기준정보!$C$6),VALUE(LEFT($G119,FIND("월",$G119)-1)),1+7*(VALUE(SUBSTITUTE(MID($G119,FIND("월",$G119)+1,5),"주",""))-1)),""),IF($I119&lt;&gt;"",IF(ISNUMBER($I119),$I119+364,IFERROR(DATE(IF(VALUE(LEFT($I119,FIND("월",$I119)-1))&gt;=9,기준정보!$C$6-1,기준정보!$C$6),VALUE(LEFT($I119,FIND("월",$I119)-1)),1+7*(VALUE(SUBSTITUTE(MID($I119,FIND("월",$I119)+1,5),"주",""))-1)),"")),IF($J119&lt;&gt;"",$J119,"")))</f>
        <v>46440</v>
      </c>
      <c r="L119" s="28" t="str">
        <f aca="false">IF($G119&lt;&gt;"","계획 주차",IF($I119&lt;&gt;"","전년+1년 예측",IF($J119&lt;&gt;"","전산 입고계획(참고)","미정")))</f>
        <v>계획 주차</v>
      </c>
      <c r="M119" s="32" t="n">
        <f aca="false">IF($K119="","",$K119-기준정보!$C$5)</f>
        <v>46350</v>
      </c>
      <c r="N119" s="33" t="n">
        <f aca="false">IF($M119="","",$M119-기준정보!$C$4)</f>
        <v>109</v>
      </c>
      <c r="O119" s="31" t="s">
        <v>114</v>
      </c>
      <c r="P119" s="20"/>
      <c r="Q119" s="30" t="str">
        <f aca="false">IF($F119="","",IF(AND(ISNUMBER(SEARCH("CMT",$F119)),OR(ISNUMBER(SEARCH("사입",$F119)),ISNUMBER(SEARCH("Buying",$F119)))),"본사/생산처 혼재",IF(ISNUMBER(SEARCH("CMT",$F119)),"본사(소재팀)","생산처")))</f>
        <v>생산처</v>
      </c>
      <c r="R119" s="30" t="s">
        <v>201</v>
      </c>
      <c r="S119" s="29" t="s">
        <v>110</v>
      </c>
      <c r="T119" s="30" t="str">
        <f aca="false">IF($K119="","출고일 미정",IF($O119="X","작지(일매) 미등록",IF($O119="부분","작지(일매) 일부 미등록",IF(AND($P119&lt;&gt;"",$P119&gt;$M119),"소재입고 마감("&amp;TEXT($M119,"MM/DD")&amp;") 초과",IF($O119="","일매 등록여부 확인 필요",IF($P119="","소재 입고일정 확인 필요","정상"))))))</f>
        <v>작지(일매) 미등록</v>
      </c>
      <c r="U119" s="28" t="str">
        <f aca="false">IF($K119="","",IF(OR(LEFT($T119,2)="작지",LEFT($T119,4)="소재입고"),IF(LEFT($E119,1)="S","★ 납기위험(S코드)","◆ 지연주의"),IF($T119="정상","✓ 정상","? 확인필요")))</f>
        <v>◆ 지연주의</v>
      </c>
      <c r="V119" s="31"/>
      <c r="W119" s="19"/>
    </row>
    <row r="120" customFormat="false" ht="15" hidden="false" customHeight="true" outlineLevel="0" collapsed="false">
      <c r="A120" s="28" t="n">
        <v>116</v>
      </c>
      <c r="B120" s="29" t="s">
        <v>116</v>
      </c>
      <c r="C120" s="30" t="s">
        <v>371</v>
      </c>
      <c r="D120" s="29" t="s">
        <v>372</v>
      </c>
      <c r="E120" s="28" t="str">
        <f aca="false">IF($C120="","",IF(MID($C120,5,1)="S","S(봄)",IF(MID($C120,5,1)="M","M(여름)",IF(MID($C120,5,1)="X","X(사계절)",MID($C120,5,1)))))</f>
        <v>M(여름)</v>
      </c>
      <c r="F120" s="29" t="s">
        <v>106</v>
      </c>
      <c r="G120" s="31" t="s">
        <v>370</v>
      </c>
      <c r="H120" s="28" t="str">
        <f aca="false">IF($C120="","",REPLACE($C120,6,2,"26"))</f>
        <v>JWTBM26125</v>
      </c>
      <c r="I120" s="32" t="str">
        <f aca="false">IFERROR(INDEX(전년출고참조!$B$4:$B$638,MATCH($H120,전년출고참조!$A$4:$A$638,0)),"")</f>
        <v/>
      </c>
      <c r="J120" s="32" t="n">
        <v>46367</v>
      </c>
      <c r="K120" s="32" t="n">
        <f aca="false">IF($G120&lt;&gt;"",IFERROR(DATE(IF(VALUE(LEFT($G120,FIND("월",$G120)-1))&gt;=9,기준정보!$C$6-1,기준정보!$C$6),VALUE(LEFT($G120,FIND("월",$G120)-1)),1+7*(VALUE(SUBSTITUTE(MID($G120,FIND("월",$G120)+1,5),"주",""))-1)),""),IF($I120&lt;&gt;"",IF(ISNUMBER($I120),$I120+364,IFERROR(DATE(IF(VALUE(LEFT($I120,FIND("월",$I120)-1))&gt;=9,기준정보!$C$6-1,기준정보!$C$6),VALUE(LEFT($I120,FIND("월",$I120)-1)),1+7*(VALUE(SUBSTITUTE(MID($I120,FIND("월",$I120)+1,5),"주",""))-1)),"")),IF($J120&lt;&gt;"",$J120,"")))</f>
        <v>46440</v>
      </c>
      <c r="L120" s="28" t="str">
        <f aca="false">IF($G120&lt;&gt;"","계획 주차",IF($I120&lt;&gt;"","전년+1년 예측",IF($J120&lt;&gt;"","전산 입고계획(참고)","미정")))</f>
        <v>계획 주차</v>
      </c>
      <c r="M120" s="32" t="n">
        <f aca="false">IF($K120="","",$K120-기준정보!$C$5)</f>
        <v>46350</v>
      </c>
      <c r="N120" s="33" t="n">
        <f aca="false">IF($M120="","",$M120-기준정보!$C$4)</f>
        <v>109</v>
      </c>
      <c r="O120" s="31" t="s">
        <v>108</v>
      </c>
      <c r="P120" s="20"/>
      <c r="Q120" s="30" t="str">
        <f aca="false">IF($F120="","",IF(AND(ISNUMBER(SEARCH("CMT",$F120)),OR(ISNUMBER(SEARCH("사입",$F120)),ISNUMBER(SEARCH("Buying",$F120)))),"본사/생산처 혼재",IF(ISNUMBER(SEARCH("CMT",$F120)),"본사(소재팀)","생산처")))</f>
        <v>생산처</v>
      </c>
      <c r="R120" s="29" t="s">
        <v>123</v>
      </c>
      <c r="S120" s="29" t="s">
        <v>110</v>
      </c>
      <c r="T120" s="30" t="str">
        <f aca="false">IF($K120="","출고일 미정",IF($O120="X","작지(일매) 미등록",IF($O120="부분","작지(일매) 일부 미등록",IF(AND($P120&lt;&gt;"",$P120&gt;$M120),"소재입고 마감("&amp;TEXT($M120,"MM/DD")&amp;") 초과",IF($O120="","일매 등록여부 확인 필요",IF($P120="","소재 입고일정 확인 필요","정상"))))))</f>
        <v>소재 입고일정 확인 필요</v>
      </c>
      <c r="U120" s="28" t="str">
        <f aca="false">IF($K120="","",IF(OR(LEFT($T120,2)="작지",LEFT($T120,4)="소재입고"),IF(LEFT($E120,1)="S","★ 납기위험(S코드)","◆ 지연주의"),IF($T120="정상","✓ 정상","? 확인필요")))</f>
        <v>? 확인필요</v>
      </c>
      <c r="V120" s="31"/>
      <c r="W120" s="19"/>
    </row>
    <row r="121" customFormat="false" ht="15" hidden="false" customHeight="true" outlineLevel="0" collapsed="false">
      <c r="A121" s="28" t="n">
        <v>117</v>
      </c>
      <c r="B121" s="29" t="s">
        <v>116</v>
      </c>
      <c r="C121" s="30" t="s">
        <v>373</v>
      </c>
      <c r="D121" s="29" t="s">
        <v>369</v>
      </c>
      <c r="E121" s="28" t="str">
        <f aca="false">IF($C121="","",IF(MID($C121,5,1)="S","S(봄)",IF(MID($C121,5,1)="M","M(여름)",IF(MID($C121,5,1)="X","X(사계절)",MID($C121,5,1)))))</f>
        <v>M(여름)</v>
      </c>
      <c r="F121" s="30" t="s">
        <v>113</v>
      </c>
      <c r="G121" s="31" t="s">
        <v>370</v>
      </c>
      <c r="H121" s="28" t="str">
        <f aca="false">IF($C121="","",REPLACE($C121,6,2,"26"))</f>
        <v>JWTBM26127</v>
      </c>
      <c r="I121" s="32" t="str">
        <f aca="false">IFERROR(INDEX(전년출고참조!$B$4:$B$638,MATCH($H121,전년출고참조!$A$4:$A$638,0)),"")</f>
        <v/>
      </c>
      <c r="J121" s="32" t="n">
        <v>46367</v>
      </c>
      <c r="K121" s="32" t="n">
        <f aca="false">IF($G121&lt;&gt;"",IFERROR(DATE(IF(VALUE(LEFT($G121,FIND("월",$G121)-1))&gt;=9,기준정보!$C$6-1,기준정보!$C$6),VALUE(LEFT($G121,FIND("월",$G121)-1)),1+7*(VALUE(SUBSTITUTE(MID($G121,FIND("월",$G121)+1,5),"주",""))-1)),""),IF($I121&lt;&gt;"",IF(ISNUMBER($I121),$I121+364,IFERROR(DATE(IF(VALUE(LEFT($I121,FIND("월",$I121)-1))&gt;=9,기준정보!$C$6-1,기준정보!$C$6),VALUE(LEFT($I121,FIND("월",$I121)-1)),1+7*(VALUE(SUBSTITUTE(MID($I121,FIND("월",$I121)+1,5),"주",""))-1)),"")),IF($J121&lt;&gt;"",$J121,"")))</f>
        <v>46440</v>
      </c>
      <c r="L121" s="28" t="str">
        <f aca="false">IF($G121&lt;&gt;"","계획 주차",IF($I121&lt;&gt;"","전년+1년 예측",IF($J121&lt;&gt;"","전산 입고계획(참고)","미정")))</f>
        <v>계획 주차</v>
      </c>
      <c r="M121" s="32" t="n">
        <f aca="false">IF($K121="","",$K121-기준정보!$C$5)</f>
        <v>46350</v>
      </c>
      <c r="N121" s="33" t="n">
        <f aca="false">IF($M121="","",$M121-기준정보!$C$4)</f>
        <v>109</v>
      </c>
      <c r="O121" s="31" t="s">
        <v>114</v>
      </c>
      <c r="P121" s="20"/>
      <c r="Q121" s="30" t="str">
        <f aca="false">IF($F121="","",IF(AND(ISNUMBER(SEARCH("CMT",$F121)),OR(ISNUMBER(SEARCH("사입",$F121)),ISNUMBER(SEARCH("Buying",$F121)))),"본사/생산처 혼재",IF(ISNUMBER(SEARCH("CMT",$F121)),"본사(소재팀)","생산처")))</f>
        <v>생산처</v>
      </c>
      <c r="R121" s="29" t="s">
        <v>115</v>
      </c>
      <c r="S121" s="29" t="s">
        <v>374</v>
      </c>
      <c r="T121" s="30" t="str">
        <f aca="false">IF($K121="","출고일 미정",IF($O121="X","작지(일매) 미등록",IF($O121="부분","작지(일매) 일부 미등록",IF(AND($P121&lt;&gt;"",$P121&gt;$M121),"소재입고 마감("&amp;TEXT($M121,"MM/DD")&amp;") 초과",IF($O121="","일매 등록여부 확인 필요",IF($P121="","소재 입고일정 확인 필요","정상"))))))</f>
        <v>작지(일매) 미등록</v>
      </c>
      <c r="U121" s="28" t="str">
        <f aca="false">IF($K121="","",IF(OR(LEFT($T121,2)="작지",LEFT($T121,4)="소재입고"),IF(LEFT($E121,1)="S","★ 납기위험(S코드)","◆ 지연주의"),IF($T121="정상","✓ 정상","? 확인필요")))</f>
        <v>◆ 지연주의</v>
      </c>
      <c r="V121" s="31"/>
      <c r="W121" s="19"/>
    </row>
    <row r="122" customFormat="false" ht="15" hidden="false" customHeight="true" outlineLevel="0" collapsed="false">
      <c r="A122" s="28" t="n">
        <v>118</v>
      </c>
      <c r="B122" s="29" t="s">
        <v>294</v>
      </c>
      <c r="C122" s="30" t="s">
        <v>375</v>
      </c>
      <c r="D122" s="29" t="s">
        <v>376</v>
      </c>
      <c r="E122" s="28" t="str">
        <f aca="false">IF($C122="","",IF(MID($C122,5,1)="S","S(봄)",IF(MID($C122,5,1)="M","M(여름)",IF(MID($C122,5,1)="X","X(사계절)",MID($C122,5,1)))))</f>
        <v>M(여름)</v>
      </c>
      <c r="F122" s="29" t="s">
        <v>106</v>
      </c>
      <c r="G122" s="31" t="s">
        <v>370</v>
      </c>
      <c r="H122" s="28" t="str">
        <f aca="false">IF($C122="","",REPLACE($C122,6,2,"26"))</f>
        <v>TLSXM26521</v>
      </c>
      <c r="I122" s="32" t="str">
        <f aca="false">IFERROR(INDEX(전년출고참조!$B$4:$B$638,MATCH($H122,전년출고참조!$A$4:$A$638,0)),"")</f>
        <v/>
      </c>
      <c r="J122" s="32" t="n">
        <v>46440</v>
      </c>
      <c r="K122" s="32" t="n">
        <f aca="false">IF($G122&lt;&gt;"",IFERROR(DATE(IF(VALUE(LEFT($G122,FIND("월",$G122)-1))&gt;=9,기준정보!$C$6-1,기준정보!$C$6),VALUE(LEFT($G122,FIND("월",$G122)-1)),1+7*(VALUE(SUBSTITUTE(MID($G122,FIND("월",$G122)+1,5),"주",""))-1)),""),IF($I122&lt;&gt;"",IF(ISNUMBER($I122),$I122+364,IFERROR(DATE(IF(VALUE(LEFT($I122,FIND("월",$I122)-1))&gt;=9,기준정보!$C$6-1,기준정보!$C$6),VALUE(LEFT($I122,FIND("월",$I122)-1)),1+7*(VALUE(SUBSTITUTE(MID($I122,FIND("월",$I122)+1,5),"주",""))-1)),"")),IF($J122&lt;&gt;"",$J122,"")))</f>
        <v>46440</v>
      </c>
      <c r="L122" s="28" t="str">
        <f aca="false">IF($G122&lt;&gt;"","계획 주차",IF($I122&lt;&gt;"","전년+1년 예측",IF($J122&lt;&gt;"","전산 입고계획(참고)","미정")))</f>
        <v>계획 주차</v>
      </c>
      <c r="M122" s="32" t="n">
        <f aca="false">IF($K122="","",$K122-기준정보!$C$5)</f>
        <v>46350</v>
      </c>
      <c r="N122" s="33" t="n">
        <f aca="false">IF($M122="","",$M122-기준정보!$C$4)</f>
        <v>109</v>
      </c>
      <c r="O122" s="31" t="s">
        <v>108</v>
      </c>
      <c r="P122" s="20"/>
      <c r="Q122" s="30" t="str">
        <f aca="false">IF($F122="","",IF(AND(ISNUMBER(SEARCH("CMT",$F122)),OR(ISNUMBER(SEARCH("사입",$F122)),ISNUMBER(SEARCH("Buying",$F122)))),"본사/생산처 혼재",IF(ISNUMBER(SEARCH("CMT",$F122)),"본사(소재팀)","생산처")))</f>
        <v>생산처</v>
      </c>
      <c r="R122" s="29" t="s">
        <v>377</v>
      </c>
      <c r="S122" s="29" t="s">
        <v>110</v>
      </c>
      <c r="T122" s="30" t="str">
        <f aca="false">IF($K122="","출고일 미정",IF($O122="X","작지(일매) 미등록",IF($O122="부분","작지(일매) 일부 미등록",IF(AND($P122&lt;&gt;"",$P122&gt;$M122),"소재입고 마감("&amp;TEXT($M122,"MM/DD")&amp;") 초과",IF($O122="","일매 등록여부 확인 필요",IF($P122="","소재 입고일정 확인 필요","정상"))))))</f>
        <v>소재 입고일정 확인 필요</v>
      </c>
      <c r="U122" s="28" t="str">
        <f aca="false">IF($K122="","",IF(OR(LEFT($T122,2)="작지",LEFT($T122,4)="소재입고"),IF(LEFT($E122,1)="S","★ 납기위험(S코드)","◆ 지연주의"),IF($T122="정상","✓ 정상","? 확인필요")))</f>
        <v>? 확인필요</v>
      </c>
      <c r="V122" s="31"/>
      <c r="W122" s="19"/>
    </row>
    <row r="123" customFormat="false" ht="15" hidden="false" customHeight="true" outlineLevel="0" collapsed="false">
      <c r="A123" s="28" t="n">
        <v>119</v>
      </c>
      <c r="B123" s="29" t="s">
        <v>116</v>
      </c>
      <c r="C123" s="30" t="s">
        <v>378</v>
      </c>
      <c r="D123" s="29" t="s">
        <v>379</v>
      </c>
      <c r="E123" s="28" t="str">
        <f aca="false">IF($C123="","",IF(MID($C123,5,1)="S","S(봄)",IF(MID($C123,5,1)="M","M(여름)",IF(MID($C123,5,1)="X","X(사계절)",MID($C123,5,1)))))</f>
        <v>M(여름)</v>
      </c>
      <c r="F123" s="29" t="s">
        <v>106</v>
      </c>
      <c r="G123" s="31" t="s">
        <v>380</v>
      </c>
      <c r="H123" s="28" t="str">
        <f aca="false">IF($C123="","",REPLACE($C123,6,2,"26"))</f>
        <v>JWJJM26141</v>
      </c>
      <c r="I123" s="32" t="str">
        <f aca="false">IFERROR(INDEX(전년출고참조!$B$4:$B$638,MATCH($H123,전년출고참조!$A$4:$A$638,0)),"")</f>
        <v/>
      </c>
      <c r="J123" s="32" t="n">
        <v>46367</v>
      </c>
      <c r="K123" s="32" t="n">
        <f aca="false">IF($G123&lt;&gt;"",IFERROR(DATE(IF(VALUE(LEFT($G123,FIND("월",$G123)-1))&gt;=9,기준정보!$C$6-1,기준정보!$C$6),VALUE(LEFT($G123,FIND("월",$G123)-1)),1+7*(VALUE(SUBSTITUTE(MID($G123,FIND("월",$G123)+1,5),"주",""))-1)),""),IF($I123&lt;&gt;"",IF(ISNUMBER($I123),$I123+364,IFERROR(DATE(IF(VALUE(LEFT($I123,FIND("월",$I123)-1))&gt;=9,기준정보!$C$6-1,기준정보!$C$6),VALUE(LEFT($I123,FIND("월",$I123)-1)),1+7*(VALUE(SUBSTITUTE(MID($I123,FIND("월",$I123)+1,5),"주",""))-1)),"")),IF($J123&lt;&gt;"",$J123,"")))</f>
        <v>46447</v>
      </c>
      <c r="L123" s="28" t="str">
        <f aca="false">IF($G123&lt;&gt;"","계획 주차",IF($I123&lt;&gt;"","전년+1년 예측",IF($J123&lt;&gt;"","전산 입고계획(참고)","미정")))</f>
        <v>계획 주차</v>
      </c>
      <c r="M123" s="32" t="n">
        <f aca="false">IF($K123="","",$K123-기준정보!$C$5)</f>
        <v>46357</v>
      </c>
      <c r="N123" s="33" t="n">
        <f aca="false">IF($M123="","",$M123-기준정보!$C$4)</f>
        <v>116</v>
      </c>
      <c r="O123" s="31" t="s">
        <v>114</v>
      </c>
      <c r="P123" s="20"/>
      <c r="Q123" s="30" t="str">
        <f aca="false">IF($F123="","",IF(AND(ISNUMBER(SEARCH("CMT",$F123)),OR(ISNUMBER(SEARCH("사입",$F123)),ISNUMBER(SEARCH("Buying",$F123)))),"본사/생산처 혼재",IF(ISNUMBER(SEARCH("CMT",$F123)),"본사(소재팀)","생산처")))</f>
        <v>생산처</v>
      </c>
      <c r="R123" s="29" t="s">
        <v>119</v>
      </c>
      <c r="S123" s="29" t="s">
        <v>120</v>
      </c>
      <c r="T123" s="30" t="str">
        <f aca="false">IF($K123="","출고일 미정",IF($O123="X","작지(일매) 미등록",IF($O123="부분","작지(일매) 일부 미등록",IF(AND($P123&lt;&gt;"",$P123&gt;$M123),"소재입고 마감("&amp;TEXT($M123,"MM/DD")&amp;") 초과",IF($O123="","일매 등록여부 확인 필요",IF($P123="","소재 입고일정 확인 필요","정상"))))))</f>
        <v>작지(일매) 미등록</v>
      </c>
      <c r="U123" s="28" t="str">
        <f aca="false">IF($K123="","",IF(OR(LEFT($T123,2)="작지",LEFT($T123,4)="소재입고"),IF(LEFT($E123,1)="S","★ 납기위험(S코드)","◆ 지연주의"),IF($T123="정상","✓ 정상","? 확인필요")))</f>
        <v>◆ 지연주의</v>
      </c>
      <c r="V123" s="31"/>
      <c r="W123" s="19"/>
    </row>
    <row r="124" customFormat="false" ht="15" hidden="false" customHeight="true" outlineLevel="0" collapsed="false">
      <c r="A124" s="28" t="n">
        <v>120</v>
      </c>
      <c r="B124" s="29" t="s">
        <v>116</v>
      </c>
      <c r="C124" s="30" t="s">
        <v>381</v>
      </c>
      <c r="D124" s="29" t="s">
        <v>382</v>
      </c>
      <c r="E124" s="28" t="str">
        <f aca="false">IF($C124="","",IF(MID($C124,5,1)="S","S(봄)",IF(MID($C124,5,1)="M","M(여름)",IF(MID($C124,5,1)="X","X(사계절)",MID($C124,5,1)))))</f>
        <v>M(여름)</v>
      </c>
      <c r="F124" s="30" t="s">
        <v>141</v>
      </c>
      <c r="G124" s="31" t="s">
        <v>380</v>
      </c>
      <c r="H124" s="28" t="str">
        <f aca="false">IF($C124="","",REPLACE($C124,6,2,"26"))</f>
        <v>JWJJM26171</v>
      </c>
      <c r="I124" s="32" t="str">
        <f aca="false">IFERROR(INDEX(전년출고참조!$B$4:$B$638,MATCH($H124,전년출고참조!$A$4:$A$638,0)),"")</f>
        <v/>
      </c>
      <c r="J124" s="32" t="n">
        <v>46367</v>
      </c>
      <c r="K124" s="32" t="n">
        <f aca="false">IF($G124&lt;&gt;"",IFERROR(DATE(IF(VALUE(LEFT($G124,FIND("월",$G124)-1))&gt;=9,기준정보!$C$6-1,기준정보!$C$6),VALUE(LEFT($G124,FIND("월",$G124)-1)),1+7*(VALUE(SUBSTITUTE(MID($G124,FIND("월",$G124)+1,5),"주",""))-1)),""),IF($I124&lt;&gt;"",IF(ISNUMBER($I124),$I124+364,IFERROR(DATE(IF(VALUE(LEFT($I124,FIND("월",$I124)-1))&gt;=9,기준정보!$C$6-1,기준정보!$C$6),VALUE(LEFT($I124,FIND("월",$I124)-1)),1+7*(VALUE(SUBSTITUTE(MID($I124,FIND("월",$I124)+1,5),"주",""))-1)),"")),IF($J124&lt;&gt;"",$J124,"")))</f>
        <v>46447</v>
      </c>
      <c r="L124" s="28" t="str">
        <f aca="false">IF($G124&lt;&gt;"","계획 주차",IF($I124&lt;&gt;"","전년+1년 예측",IF($J124&lt;&gt;"","전산 입고계획(참고)","미정")))</f>
        <v>계획 주차</v>
      </c>
      <c r="M124" s="32" t="n">
        <f aca="false">IF($K124="","",$K124-기준정보!$C$5)</f>
        <v>46357</v>
      </c>
      <c r="N124" s="33" t="n">
        <f aca="false">IF($M124="","",$M124-기준정보!$C$4)</f>
        <v>116</v>
      </c>
      <c r="O124" s="31" t="s">
        <v>108</v>
      </c>
      <c r="P124" s="20"/>
      <c r="Q124" s="30" t="str">
        <f aca="false">IF($F124="","",IF(AND(ISNUMBER(SEARCH("CMT",$F124)),OR(ISNUMBER(SEARCH("사입",$F124)),ISNUMBER(SEARCH("Buying",$F124)))),"본사/생산처 혼재",IF(ISNUMBER(SEARCH("CMT",$F124)),"본사(소재팀)","생산처")))</f>
        <v>본사(소재팀)</v>
      </c>
      <c r="R124" s="29" t="s">
        <v>119</v>
      </c>
      <c r="S124" s="29" t="s">
        <v>120</v>
      </c>
      <c r="T124" s="30" t="str">
        <f aca="false">IF($K124="","출고일 미정",IF($O124="X","작지(일매) 미등록",IF($O124="부분","작지(일매) 일부 미등록",IF(AND($P124&lt;&gt;"",$P124&gt;$M124),"소재입고 마감("&amp;TEXT($M124,"MM/DD")&amp;") 초과",IF($O124="","일매 등록여부 확인 필요",IF($P124="","소재 입고일정 확인 필요","정상"))))))</f>
        <v>소재 입고일정 확인 필요</v>
      </c>
      <c r="U124" s="28" t="str">
        <f aca="false">IF($K124="","",IF(OR(LEFT($T124,2)="작지",LEFT($T124,4)="소재입고"),IF(LEFT($E124,1)="S","★ 납기위험(S코드)","◆ 지연주의"),IF($T124="정상","✓ 정상","? 확인필요")))</f>
        <v>? 확인필요</v>
      </c>
      <c r="V124" s="31"/>
      <c r="W124" s="19"/>
    </row>
    <row r="125" customFormat="false" ht="15" hidden="false" customHeight="true" outlineLevel="0" collapsed="false">
      <c r="A125" s="28" t="n">
        <v>121</v>
      </c>
      <c r="B125" s="29" t="s">
        <v>130</v>
      </c>
      <c r="C125" s="30" t="s">
        <v>383</v>
      </c>
      <c r="D125" s="29" t="s">
        <v>384</v>
      </c>
      <c r="E125" s="28" t="str">
        <f aca="false">IF($C125="","",IF(MID($C125,5,1)="S","S(봄)",IF(MID($C125,5,1)="M","M(여름)",IF(MID($C125,5,1)="X","X(사계절)",MID($C125,5,1)))))</f>
        <v>M(여름)</v>
      </c>
      <c r="F125" s="29" t="s">
        <v>106</v>
      </c>
      <c r="G125" s="31" t="s">
        <v>380</v>
      </c>
      <c r="H125" s="28" t="str">
        <f aca="false">IF($C125="","",REPLACE($C125,6,2,"26"))</f>
        <v>TLJJM26501</v>
      </c>
      <c r="I125" s="32" t="str">
        <f aca="false">IFERROR(INDEX(전년출고참조!$B$4:$B$638,MATCH($H125,전년출고참조!$A$4:$A$638,0)),"")</f>
        <v/>
      </c>
      <c r="J125" s="32" t="n">
        <v>46408</v>
      </c>
      <c r="K125" s="32" t="n">
        <f aca="false">IF($G125&lt;&gt;"",IFERROR(DATE(IF(VALUE(LEFT($G125,FIND("월",$G125)-1))&gt;=9,기준정보!$C$6-1,기준정보!$C$6),VALUE(LEFT($G125,FIND("월",$G125)-1)),1+7*(VALUE(SUBSTITUTE(MID($G125,FIND("월",$G125)+1,5),"주",""))-1)),""),IF($I125&lt;&gt;"",IF(ISNUMBER($I125),$I125+364,IFERROR(DATE(IF(VALUE(LEFT($I125,FIND("월",$I125)-1))&gt;=9,기준정보!$C$6-1,기준정보!$C$6),VALUE(LEFT($I125,FIND("월",$I125)-1)),1+7*(VALUE(SUBSTITUTE(MID($I125,FIND("월",$I125)+1,5),"주",""))-1)),"")),IF($J125&lt;&gt;"",$J125,"")))</f>
        <v>46447</v>
      </c>
      <c r="L125" s="28" t="str">
        <f aca="false">IF($G125&lt;&gt;"","계획 주차",IF($I125&lt;&gt;"","전년+1년 예측",IF($J125&lt;&gt;"","전산 입고계획(참고)","미정")))</f>
        <v>계획 주차</v>
      </c>
      <c r="M125" s="32" t="n">
        <f aca="false">IF($K125="","",$K125-기준정보!$C$5)</f>
        <v>46357</v>
      </c>
      <c r="N125" s="33" t="n">
        <f aca="false">IF($M125="","",$M125-기준정보!$C$4)</f>
        <v>116</v>
      </c>
      <c r="O125" s="31" t="s">
        <v>114</v>
      </c>
      <c r="P125" s="20"/>
      <c r="Q125" s="30" t="str">
        <f aca="false">IF($F125="","",IF(AND(ISNUMBER(SEARCH("CMT",$F125)),OR(ISNUMBER(SEARCH("사입",$F125)),ISNUMBER(SEARCH("Buying",$F125)))),"본사/생산처 혼재",IF(ISNUMBER(SEARCH("CMT",$F125)),"본사(소재팀)","생산처")))</f>
        <v>생산처</v>
      </c>
      <c r="R125" s="29" t="s">
        <v>119</v>
      </c>
      <c r="S125" s="29" t="s">
        <v>161</v>
      </c>
      <c r="T125" s="30" t="str">
        <f aca="false">IF($K125="","출고일 미정",IF($O125="X","작지(일매) 미등록",IF($O125="부분","작지(일매) 일부 미등록",IF(AND($P125&lt;&gt;"",$P125&gt;$M125),"소재입고 마감("&amp;TEXT($M125,"MM/DD")&amp;") 초과",IF($O125="","일매 등록여부 확인 필요",IF($P125="","소재 입고일정 확인 필요","정상"))))))</f>
        <v>작지(일매) 미등록</v>
      </c>
      <c r="U125" s="28" t="str">
        <f aca="false">IF($K125="","",IF(OR(LEFT($T125,2)="작지",LEFT($T125,4)="소재입고"),IF(LEFT($E125,1)="S","★ 납기위험(S코드)","◆ 지연주의"),IF($T125="정상","✓ 정상","? 확인필요")))</f>
        <v>◆ 지연주의</v>
      </c>
      <c r="V125" s="31"/>
      <c r="W125" s="19"/>
    </row>
    <row r="126" customFormat="false" ht="15" hidden="false" customHeight="true" outlineLevel="0" collapsed="false">
      <c r="A126" s="28" t="n">
        <v>122</v>
      </c>
      <c r="B126" s="29" t="s">
        <v>130</v>
      </c>
      <c r="C126" s="30" t="s">
        <v>385</v>
      </c>
      <c r="D126" s="29" t="s">
        <v>386</v>
      </c>
      <c r="E126" s="28" t="str">
        <f aca="false">IF($C126="","",IF(MID($C126,5,1)="S","S(봄)",IF(MID($C126,5,1)="M","M(여름)",IF(MID($C126,5,1)="X","X(사계절)",MID($C126,5,1)))))</f>
        <v>M(여름)</v>
      </c>
      <c r="F126" s="29" t="s">
        <v>106</v>
      </c>
      <c r="G126" s="31" t="s">
        <v>380</v>
      </c>
      <c r="H126" s="28" t="str">
        <f aca="false">IF($C126="","",REPLACE($C126,6,2,"26"))</f>
        <v>TLJJM26511</v>
      </c>
      <c r="I126" s="32" t="str">
        <f aca="false">IFERROR(INDEX(전년출고참조!$B$4:$B$638,MATCH($H126,전년출고참조!$A$4:$A$638,0)),"")</f>
        <v/>
      </c>
      <c r="J126" s="32" t="n">
        <v>46408</v>
      </c>
      <c r="K126" s="32" t="n">
        <f aca="false">IF($G126&lt;&gt;"",IFERROR(DATE(IF(VALUE(LEFT($G126,FIND("월",$G126)-1))&gt;=9,기준정보!$C$6-1,기준정보!$C$6),VALUE(LEFT($G126,FIND("월",$G126)-1)),1+7*(VALUE(SUBSTITUTE(MID($G126,FIND("월",$G126)+1,5),"주",""))-1)),""),IF($I126&lt;&gt;"",IF(ISNUMBER($I126),$I126+364,IFERROR(DATE(IF(VALUE(LEFT($I126,FIND("월",$I126)-1))&gt;=9,기준정보!$C$6-1,기준정보!$C$6),VALUE(LEFT($I126,FIND("월",$I126)-1)),1+7*(VALUE(SUBSTITUTE(MID($I126,FIND("월",$I126)+1,5),"주",""))-1)),"")),IF($J126&lt;&gt;"",$J126,"")))</f>
        <v>46447</v>
      </c>
      <c r="L126" s="28" t="str">
        <f aca="false">IF($G126&lt;&gt;"","계획 주차",IF($I126&lt;&gt;"","전년+1년 예측",IF($J126&lt;&gt;"","전산 입고계획(참고)","미정")))</f>
        <v>계획 주차</v>
      </c>
      <c r="M126" s="32" t="n">
        <f aca="false">IF($K126="","",$K126-기준정보!$C$5)</f>
        <v>46357</v>
      </c>
      <c r="N126" s="33" t="n">
        <f aca="false">IF($M126="","",$M126-기준정보!$C$4)</f>
        <v>116</v>
      </c>
      <c r="O126" s="31" t="s">
        <v>108</v>
      </c>
      <c r="P126" s="20"/>
      <c r="Q126" s="30" t="str">
        <f aca="false">IF($F126="","",IF(AND(ISNUMBER(SEARCH("CMT",$F126)),OR(ISNUMBER(SEARCH("사입",$F126)),ISNUMBER(SEARCH("Buying",$F126)))),"본사/생산처 혼재",IF(ISNUMBER(SEARCH("CMT",$F126)),"본사(소재팀)","생산처")))</f>
        <v>생산처</v>
      </c>
      <c r="R126" s="29" t="s">
        <v>138</v>
      </c>
      <c r="S126" s="29" t="s">
        <v>110</v>
      </c>
      <c r="T126" s="30" t="str">
        <f aca="false">IF($K126="","출고일 미정",IF($O126="X","작지(일매) 미등록",IF($O126="부분","작지(일매) 일부 미등록",IF(AND($P126&lt;&gt;"",$P126&gt;$M126),"소재입고 마감("&amp;TEXT($M126,"MM/DD")&amp;") 초과",IF($O126="","일매 등록여부 확인 필요",IF($P126="","소재 입고일정 확인 필요","정상"))))))</f>
        <v>소재 입고일정 확인 필요</v>
      </c>
      <c r="U126" s="28" t="str">
        <f aca="false">IF($K126="","",IF(OR(LEFT($T126,2)="작지",LEFT($T126,4)="소재입고"),IF(LEFT($E126,1)="S","★ 납기위험(S코드)","◆ 지연주의"),IF($T126="정상","✓ 정상","? 확인필요")))</f>
        <v>? 확인필요</v>
      </c>
      <c r="V126" s="31"/>
      <c r="W126" s="19"/>
    </row>
    <row r="127" customFormat="false" ht="15" hidden="false" customHeight="true" outlineLevel="0" collapsed="false">
      <c r="A127" s="28" t="n">
        <v>123</v>
      </c>
      <c r="B127" s="29" t="s">
        <v>130</v>
      </c>
      <c r="C127" s="30" t="s">
        <v>387</v>
      </c>
      <c r="D127" s="29" t="s">
        <v>388</v>
      </c>
      <c r="E127" s="28" t="str">
        <f aca="false">IF($C127="","",IF(MID($C127,5,1)="S","S(봄)",IF(MID($C127,5,1)="M","M(여름)",IF(MID($C127,5,1)="X","X(사계절)",MID($C127,5,1)))))</f>
        <v>M(여름)</v>
      </c>
      <c r="F127" s="30" t="s">
        <v>141</v>
      </c>
      <c r="G127" s="31" t="s">
        <v>380</v>
      </c>
      <c r="H127" s="28" t="str">
        <f aca="false">IF($C127="","",REPLACE($C127,6,2,"26"))</f>
        <v>TVPNM26502</v>
      </c>
      <c r="I127" s="32" t="str">
        <f aca="false">IFERROR(INDEX(전년출고참조!$B$4:$B$638,MATCH($H127,전년출고참조!$A$4:$A$638,0)),"")</f>
        <v/>
      </c>
      <c r="J127" s="32" t="n">
        <v>46408</v>
      </c>
      <c r="K127" s="32" t="n">
        <f aca="false">IF($G127&lt;&gt;"",IFERROR(DATE(IF(VALUE(LEFT($G127,FIND("월",$G127)-1))&gt;=9,기준정보!$C$6-1,기준정보!$C$6),VALUE(LEFT($G127,FIND("월",$G127)-1)),1+7*(VALUE(SUBSTITUTE(MID($G127,FIND("월",$G127)+1,5),"주",""))-1)),""),IF($I127&lt;&gt;"",IF(ISNUMBER($I127),$I127+364,IFERROR(DATE(IF(VALUE(LEFT($I127,FIND("월",$I127)-1))&gt;=9,기준정보!$C$6-1,기준정보!$C$6),VALUE(LEFT($I127,FIND("월",$I127)-1)),1+7*(VALUE(SUBSTITUTE(MID($I127,FIND("월",$I127)+1,5),"주",""))-1)),"")),IF($J127&lt;&gt;"",$J127,"")))</f>
        <v>46447</v>
      </c>
      <c r="L127" s="28" t="str">
        <f aca="false">IF($G127&lt;&gt;"","계획 주차",IF($I127&lt;&gt;"","전년+1년 예측",IF($J127&lt;&gt;"","전산 입고계획(참고)","미정")))</f>
        <v>계획 주차</v>
      </c>
      <c r="M127" s="32" t="n">
        <f aca="false">IF($K127="","",$K127-기준정보!$C$5)</f>
        <v>46357</v>
      </c>
      <c r="N127" s="33" t="n">
        <f aca="false">IF($M127="","",$M127-기준정보!$C$4)</f>
        <v>116</v>
      </c>
      <c r="O127" s="31" t="s">
        <v>114</v>
      </c>
      <c r="P127" s="20"/>
      <c r="Q127" s="30" t="str">
        <f aca="false">IF($F127="","",IF(AND(ISNUMBER(SEARCH("CMT",$F127)),OR(ISNUMBER(SEARCH("사입",$F127)),ISNUMBER(SEARCH("Buying",$F127)))),"본사/생산처 혼재",IF(ISNUMBER(SEARCH("CMT",$F127)),"본사(소재팀)","생산처")))</f>
        <v>본사(소재팀)</v>
      </c>
      <c r="R127" s="29" t="s">
        <v>142</v>
      </c>
      <c r="S127" s="29" t="s">
        <v>110</v>
      </c>
      <c r="T127" s="30" t="str">
        <f aca="false">IF($K127="","출고일 미정",IF($O127="X","작지(일매) 미등록",IF($O127="부분","작지(일매) 일부 미등록",IF(AND($P127&lt;&gt;"",$P127&gt;$M127),"소재입고 마감("&amp;TEXT($M127,"MM/DD")&amp;") 초과",IF($O127="","일매 등록여부 확인 필요",IF($P127="","소재 입고일정 확인 필요","정상"))))))</f>
        <v>작지(일매) 미등록</v>
      </c>
      <c r="U127" s="28" t="str">
        <f aca="false">IF($K127="","",IF(OR(LEFT($T127,2)="작지",LEFT($T127,4)="소재입고"),IF(LEFT($E127,1)="S","★ 납기위험(S코드)","◆ 지연주의"),IF($T127="정상","✓ 정상","? 확인필요")))</f>
        <v>◆ 지연주의</v>
      </c>
      <c r="V127" s="31"/>
      <c r="W127" s="19"/>
    </row>
    <row r="128" customFormat="false" ht="15" hidden="false" customHeight="true" outlineLevel="0" collapsed="false">
      <c r="A128" s="28" t="n">
        <v>124</v>
      </c>
      <c r="B128" s="29" t="s">
        <v>130</v>
      </c>
      <c r="C128" s="30" t="s">
        <v>389</v>
      </c>
      <c r="D128" s="29" t="s">
        <v>390</v>
      </c>
      <c r="E128" s="28" t="str">
        <f aca="false">IF($C128="","",IF(MID($C128,5,1)="S","S(봄)",IF(MID($C128,5,1)="M","M(여름)",IF(MID($C128,5,1)="X","X(사계절)",MID($C128,5,1)))))</f>
        <v>M(여름)</v>
      </c>
      <c r="F128" s="30" t="s">
        <v>141</v>
      </c>
      <c r="G128" s="31" t="s">
        <v>380</v>
      </c>
      <c r="H128" s="28" t="str">
        <f aca="false">IF($C128="","",REPLACE($C128,6,2,"26"))</f>
        <v>TVPNM26522</v>
      </c>
      <c r="I128" s="32" t="str">
        <f aca="false">IFERROR(INDEX(전년출고참조!$B$4:$B$638,MATCH($H128,전년출고참조!$A$4:$A$638,0)),"")</f>
        <v/>
      </c>
      <c r="J128" s="32" t="n">
        <v>46408</v>
      </c>
      <c r="K128" s="32" t="n">
        <f aca="false">IF($G128&lt;&gt;"",IFERROR(DATE(IF(VALUE(LEFT($G128,FIND("월",$G128)-1))&gt;=9,기준정보!$C$6-1,기준정보!$C$6),VALUE(LEFT($G128,FIND("월",$G128)-1)),1+7*(VALUE(SUBSTITUTE(MID($G128,FIND("월",$G128)+1,5),"주",""))-1)),""),IF($I128&lt;&gt;"",IF(ISNUMBER($I128),$I128+364,IFERROR(DATE(IF(VALUE(LEFT($I128,FIND("월",$I128)-1))&gt;=9,기준정보!$C$6-1,기준정보!$C$6),VALUE(LEFT($I128,FIND("월",$I128)-1)),1+7*(VALUE(SUBSTITUTE(MID($I128,FIND("월",$I128)+1,5),"주",""))-1)),"")),IF($J128&lt;&gt;"",$J128,"")))</f>
        <v>46447</v>
      </c>
      <c r="L128" s="28" t="str">
        <f aca="false">IF($G128&lt;&gt;"","계획 주차",IF($I128&lt;&gt;"","전년+1년 예측",IF($J128&lt;&gt;"","전산 입고계획(참고)","미정")))</f>
        <v>계획 주차</v>
      </c>
      <c r="M128" s="32" t="n">
        <f aca="false">IF($K128="","",$K128-기준정보!$C$5)</f>
        <v>46357</v>
      </c>
      <c r="N128" s="33" t="n">
        <f aca="false">IF($M128="","",$M128-기준정보!$C$4)</f>
        <v>116</v>
      </c>
      <c r="O128" s="31" t="s">
        <v>108</v>
      </c>
      <c r="P128" s="20"/>
      <c r="Q128" s="30" t="str">
        <f aca="false">IF($F128="","",IF(AND(ISNUMBER(SEARCH("CMT",$F128)),OR(ISNUMBER(SEARCH("사입",$F128)),ISNUMBER(SEARCH("Buying",$F128)))),"본사/생산처 혼재",IF(ISNUMBER(SEARCH("CMT",$F128)),"본사(소재팀)","생산처")))</f>
        <v>본사(소재팀)</v>
      </c>
      <c r="R128" s="29" t="s">
        <v>142</v>
      </c>
      <c r="S128" s="29" t="s">
        <v>110</v>
      </c>
      <c r="T128" s="30" t="str">
        <f aca="false">IF($K128="","출고일 미정",IF($O128="X","작지(일매) 미등록",IF($O128="부분","작지(일매) 일부 미등록",IF(AND($P128&lt;&gt;"",$P128&gt;$M128),"소재입고 마감("&amp;TEXT($M128,"MM/DD")&amp;") 초과",IF($O128="","일매 등록여부 확인 필요",IF($P128="","소재 입고일정 확인 필요","정상"))))))</f>
        <v>소재 입고일정 확인 필요</v>
      </c>
      <c r="U128" s="28" t="str">
        <f aca="false">IF($K128="","",IF(OR(LEFT($T128,2)="작지",LEFT($T128,4)="소재입고"),IF(LEFT($E128,1)="S","★ 납기위험(S코드)","◆ 지연주의"),IF($T128="정상","✓ 정상","? 확인필요")))</f>
        <v>? 확인필요</v>
      </c>
      <c r="V128" s="31"/>
      <c r="W128" s="19"/>
    </row>
    <row r="129" customFormat="false" ht="15" hidden="false" customHeight="true" outlineLevel="0" collapsed="false">
      <c r="A129" s="28" t="n">
        <v>125</v>
      </c>
      <c r="B129" s="29" t="s">
        <v>130</v>
      </c>
      <c r="C129" s="30" t="s">
        <v>391</v>
      </c>
      <c r="D129" s="29" t="s">
        <v>392</v>
      </c>
      <c r="E129" s="28" t="str">
        <f aca="false">IF($C129="","",IF(MID($C129,5,1)="S","S(봄)",IF(MID($C129,5,1)="M","M(여름)",IF(MID($C129,5,1)="X","X(사계절)",MID($C129,5,1)))))</f>
        <v>M(여름)</v>
      </c>
      <c r="F129" s="30" t="s">
        <v>141</v>
      </c>
      <c r="G129" s="31" t="s">
        <v>380</v>
      </c>
      <c r="H129" s="28" t="str">
        <f aca="false">IF($C129="","",REPLACE($C129,6,2,"26"))</f>
        <v>TVPNM26532</v>
      </c>
      <c r="I129" s="32" t="str">
        <f aca="false">IFERROR(INDEX(전년출고참조!$B$4:$B$638,MATCH($H129,전년출고참조!$A$4:$A$638,0)),"")</f>
        <v/>
      </c>
      <c r="J129" s="32" t="n">
        <v>46408</v>
      </c>
      <c r="K129" s="32" t="n">
        <f aca="false">IF($G129&lt;&gt;"",IFERROR(DATE(IF(VALUE(LEFT($G129,FIND("월",$G129)-1))&gt;=9,기준정보!$C$6-1,기준정보!$C$6),VALUE(LEFT($G129,FIND("월",$G129)-1)),1+7*(VALUE(SUBSTITUTE(MID($G129,FIND("월",$G129)+1,5),"주",""))-1)),""),IF($I129&lt;&gt;"",IF(ISNUMBER($I129),$I129+364,IFERROR(DATE(IF(VALUE(LEFT($I129,FIND("월",$I129)-1))&gt;=9,기준정보!$C$6-1,기준정보!$C$6),VALUE(LEFT($I129,FIND("월",$I129)-1)),1+7*(VALUE(SUBSTITUTE(MID($I129,FIND("월",$I129)+1,5),"주",""))-1)),"")),IF($J129&lt;&gt;"",$J129,"")))</f>
        <v>46447</v>
      </c>
      <c r="L129" s="28" t="str">
        <f aca="false">IF($G129&lt;&gt;"","계획 주차",IF($I129&lt;&gt;"","전년+1년 예측",IF($J129&lt;&gt;"","전산 입고계획(참고)","미정")))</f>
        <v>계획 주차</v>
      </c>
      <c r="M129" s="32" t="n">
        <f aca="false">IF($K129="","",$K129-기준정보!$C$5)</f>
        <v>46357</v>
      </c>
      <c r="N129" s="33" t="n">
        <f aca="false">IF($M129="","",$M129-기준정보!$C$4)</f>
        <v>116</v>
      </c>
      <c r="O129" s="31" t="s">
        <v>108</v>
      </c>
      <c r="P129" s="20"/>
      <c r="Q129" s="30" t="str">
        <f aca="false">IF($F129="","",IF(AND(ISNUMBER(SEARCH("CMT",$F129)),OR(ISNUMBER(SEARCH("사입",$F129)),ISNUMBER(SEARCH("Buying",$F129)))),"본사/생산처 혼재",IF(ISNUMBER(SEARCH("CMT",$F129)),"본사(소재팀)","생산처")))</f>
        <v>본사(소재팀)</v>
      </c>
      <c r="R129" s="29" t="s">
        <v>148</v>
      </c>
      <c r="S129" s="29" t="s">
        <v>110</v>
      </c>
      <c r="T129" s="30" t="str">
        <f aca="false">IF($K129="","출고일 미정",IF($O129="X","작지(일매) 미등록",IF($O129="부분","작지(일매) 일부 미등록",IF(AND($P129&lt;&gt;"",$P129&gt;$M129),"소재입고 마감("&amp;TEXT($M129,"MM/DD")&amp;") 초과",IF($O129="","일매 등록여부 확인 필요",IF($P129="","소재 입고일정 확인 필요","정상"))))))</f>
        <v>소재 입고일정 확인 필요</v>
      </c>
      <c r="U129" s="28" t="str">
        <f aca="false">IF($K129="","",IF(OR(LEFT($T129,2)="작지",LEFT($T129,4)="소재입고"),IF(LEFT($E129,1)="S","★ 납기위험(S코드)","◆ 지연주의"),IF($T129="정상","✓ 정상","? 확인필요")))</f>
        <v>? 확인필요</v>
      </c>
      <c r="V129" s="31"/>
      <c r="W129" s="19"/>
    </row>
    <row r="130" customFormat="false" ht="15" hidden="false" customHeight="true" outlineLevel="0" collapsed="false">
      <c r="A130" s="28" t="n">
        <v>126</v>
      </c>
      <c r="B130" s="29" t="s">
        <v>130</v>
      </c>
      <c r="C130" s="30" t="s">
        <v>393</v>
      </c>
      <c r="D130" s="29" t="s">
        <v>394</v>
      </c>
      <c r="E130" s="28" t="str">
        <f aca="false">IF($C130="","",IF(MID($C130,5,1)="S","S(봄)",IF(MID($C130,5,1)="M","M(여름)",IF(MID($C130,5,1)="X","X(사계절)",MID($C130,5,1)))))</f>
        <v>M(여름)</v>
      </c>
      <c r="F130" s="29" t="s">
        <v>106</v>
      </c>
      <c r="G130" s="31" t="s">
        <v>380</v>
      </c>
      <c r="H130" s="28" t="str">
        <f aca="false">IF($C130="","",REPLACE($C130,6,2,"26"))</f>
        <v>TVPNM26904</v>
      </c>
      <c r="I130" s="32" t="str">
        <f aca="false">IFERROR(INDEX(전년출고참조!$B$4:$B$638,MATCH($H130,전년출고참조!$A$4:$A$638,0)),"")</f>
        <v/>
      </c>
      <c r="J130" s="32" t="n">
        <v>46408</v>
      </c>
      <c r="K130" s="32" t="n">
        <f aca="false">IF($G130&lt;&gt;"",IFERROR(DATE(IF(VALUE(LEFT($G130,FIND("월",$G130)-1))&gt;=9,기준정보!$C$6-1,기준정보!$C$6),VALUE(LEFT($G130,FIND("월",$G130)-1)),1+7*(VALUE(SUBSTITUTE(MID($G130,FIND("월",$G130)+1,5),"주",""))-1)),""),IF($I130&lt;&gt;"",IF(ISNUMBER($I130),$I130+364,IFERROR(DATE(IF(VALUE(LEFT($I130,FIND("월",$I130)-1))&gt;=9,기준정보!$C$6-1,기준정보!$C$6),VALUE(LEFT($I130,FIND("월",$I130)-1)),1+7*(VALUE(SUBSTITUTE(MID($I130,FIND("월",$I130)+1,5),"주",""))-1)),"")),IF($J130&lt;&gt;"",$J130,"")))</f>
        <v>46447</v>
      </c>
      <c r="L130" s="28" t="str">
        <f aca="false">IF($G130&lt;&gt;"","계획 주차",IF($I130&lt;&gt;"","전년+1년 예측",IF($J130&lt;&gt;"","전산 입고계획(참고)","미정")))</f>
        <v>계획 주차</v>
      </c>
      <c r="M130" s="32" t="n">
        <f aca="false">IF($K130="","",$K130-기준정보!$C$5)</f>
        <v>46357</v>
      </c>
      <c r="N130" s="33" t="n">
        <f aca="false">IF($M130="","",$M130-기준정보!$C$4)</f>
        <v>116</v>
      </c>
      <c r="O130" s="31" t="s">
        <v>108</v>
      </c>
      <c r="P130" s="20"/>
      <c r="Q130" s="30" t="str">
        <f aca="false">IF($F130="","",IF(AND(ISNUMBER(SEARCH("CMT",$F130)),OR(ISNUMBER(SEARCH("사입",$F130)),ISNUMBER(SEARCH("Buying",$F130)))),"본사/생산처 혼재",IF(ISNUMBER(SEARCH("CMT",$F130)),"본사(소재팀)","생산처")))</f>
        <v>생산처</v>
      </c>
      <c r="R130" s="29" t="s">
        <v>189</v>
      </c>
      <c r="S130" s="29" t="s">
        <v>110</v>
      </c>
      <c r="T130" s="30" t="str">
        <f aca="false">IF($K130="","출고일 미정",IF($O130="X","작지(일매) 미등록",IF($O130="부분","작지(일매) 일부 미등록",IF(AND($P130&lt;&gt;"",$P130&gt;$M130),"소재입고 마감("&amp;TEXT($M130,"MM/DD")&amp;") 초과",IF($O130="","일매 등록여부 확인 필요",IF($P130="","소재 입고일정 확인 필요","정상"))))))</f>
        <v>소재 입고일정 확인 필요</v>
      </c>
      <c r="U130" s="28" t="str">
        <f aca="false">IF($K130="","",IF(OR(LEFT($T130,2)="작지",LEFT($T130,4)="소재입고"),IF(LEFT($E130,1)="S","★ 납기위험(S코드)","◆ 지연주의"),IF($T130="정상","✓ 정상","? 확인필요")))</f>
        <v>? 확인필요</v>
      </c>
      <c r="V130" s="31"/>
      <c r="W130" s="19"/>
    </row>
    <row r="131" customFormat="false" ht="15" hidden="false" customHeight="true" outlineLevel="0" collapsed="false">
      <c r="A131" s="28" t="n">
        <v>127</v>
      </c>
      <c r="B131" s="29" t="s">
        <v>266</v>
      </c>
      <c r="C131" s="30" t="s">
        <v>395</v>
      </c>
      <c r="D131" s="29" t="s">
        <v>396</v>
      </c>
      <c r="E131" s="28" t="str">
        <f aca="false">IF($C131="","",IF(MID($C131,5,1)="S","S(봄)",IF(MID($C131,5,1)="M","M(여름)",IF(MID($C131,5,1)="X","X(사계절)",MID($C131,5,1)))))</f>
        <v>M(여름)</v>
      </c>
      <c r="F131" s="29" t="s">
        <v>106</v>
      </c>
      <c r="G131" s="31" t="s">
        <v>380</v>
      </c>
      <c r="H131" s="28" t="str">
        <f aca="false">IF($C131="","",REPLACE($C131,6,2,"26"))</f>
        <v>TLJJM26701</v>
      </c>
      <c r="I131" s="32" t="str">
        <f aca="false">IFERROR(INDEX(전년출고참조!$B$4:$B$638,MATCH($H131,전년출고참조!$A$4:$A$638,0)),"")</f>
        <v/>
      </c>
      <c r="J131" s="32" t="n">
        <v>46447</v>
      </c>
      <c r="K131" s="32" t="n">
        <f aca="false">IF($G131&lt;&gt;"",IFERROR(DATE(IF(VALUE(LEFT($G131,FIND("월",$G131)-1))&gt;=9,기준정보!$C$6-1,기준정보!$C$6),VALUE(LEFT($G131,FIND("월",$G131)-1)),1+7*(VALUE(SUBSTITUTE(MID($G131,FIND("월",$G131)+1,5),"주",""))-1)),""),IF($I131&lt;&gt;"",IF(ISNUMBER($I131),$I131+364,IFERROR(DATE(IF(VALUE(LEFT($I131,FIND("월",$I131)-1))&gt;=9,기준정보!$C$6-1,기준정보!$C$6),VALUE(LEFT($I131,FIND("월",$I131)-1)),1+7*(VALUE(SUBSTITUTE(MID($I131,FIND("월",$I131)+1,5),"주",""))-1)),"")),IF($J131&lt;&gt;"",$J131,"")))</f>
        <v>46447</v>
      </c>
      <c r="L131" s="28" t="str">
        <f aca="false">IF($G131&lt;&gt;"","계획 주차",IF($I131&lt;&gt;"","전년+1년 예측",IF($J131&lt;&gt;"","전산 입고계획(참고)","미정")))</f>
        <v>계획 주차</v>
      </c>
      <c r="M131" s="32" t="n">
        <f aca="false">IF($K131="","",$K131-기준정보!$C$5)</f>
        <v>46357</v>
      </c>
      <c r="N131" s="33" t="n">
        <f aca="false">IF($M131="","",$M131-기준정보!$C$4)</f>
        <v>116</v>
      </c>
      <c r="O131" s="31" t="s">
        <v>108</v>
      </c>
      <c r="P131" s="20"/>
      <c r="Q131" s="30" t="str">
        <f aca="false">IF($F131="","",IF(AND(ISNUMBER(SEARCH("CMT",$F131)),OR(ISNUMBER(SEARCH("사입",$F131)),ISNUMBER(SEARCH("Buying",$F131)))),"본사/생산처 혼재",IF(ISNUMBER(SEARCH("CMT",$F131)),"본사(소재팀)","생산처")))</f>
        <v>생산처</v>
      </c>
      <c r="R131" s="29" t="s">
        <v>109</v>
      </c>
      <c r="S131" s="29" t="s">
        <v>110</v>
      </c>
      <c r="T131" s="30" t="str">
        <f aca="false">IF($K131="","출고일 미정",IF($O131="X","작지(일매) 미등록",IF($O131="부분","작지(일매) 일부 미등록",IF(AND($P131&lt;&gt;"",$P131&gt;$M131),"소재입고 마감("&amp;TEXT($M131,"MM/DD")&amp;") 초과",IF($O131="","일매 등록여부 확인 필요",IF($P131="","소재 입고일정 확인 필요","정상"))))))</f>
        <v>소재 입고일정 확인 필요</v>
      </c>
      <c r="U131" s="28" t="str">
        <f aca="false">IF($K131="","",IF(OR(LEFT($T131,2)="작지",LEFT($T131,4)="소재입고"),IF(LEFT($E131,1)="S","★ 납기위험(S코드)","◆ 지연주의"),IF($T131="정상","✓ 정상","? 확인필요")))</f>
        <v>? 확인필요</v>
      </c>
      <c r="V131" s="31"/>
      <c r="W131" s="19"/>
    </row>
    <row r="132" customFormat="false" ht="15" hidden="false" customHeight="true" outlineLevel="0" collapsed="false">
      <c r="A132" s="28" t="n">
        <v>128</v>
      </c>
      <c r="B132" s="29" t="s">
        <v>266</v>
      </c>
      <c r="C132" s="30" t="s">
        <v>397</v>
      </c>
      <c r="D132" s="29" t="s">
        <v>398</v>
      </c>
      <c r="E132" s="28" t="str">
        <f aca="false">IF($C132="","",IF(MID($C132,5,1)="S","S(봄)",IF(MID($C132,5,1)="M","M(여름)",IF(MID($C132,5,1)="X","X(사계절)",MID($C132,5,1)))))</f>
        <v>M(여름)</v>
      </c>
      <c r="F132" s="29" t="s">
        <v>106</v>
      </c>
      <c r="G132" s="31" t="s">
        <v>380</v>
      </c>
      <c r="H132" s="28" t="str">
        <f aca="false">IF($C132="","",REPLACE($C132,6,2,"26"))</f>
        <v>TLJJM26703</v>
      </c>
      <c r="I132" s="32" t="str">
        <f aca="false">IFERROR(INDEX(전년출고참조!$B$4:$B$638,MATCH($H132,전년출고참조!$A$4:$A$638,0)),"")</f>
        <v/>
      </c>
      <c r="J132" s="32" t="n">
        <v>46447</v>
      </c>
      <c r="K132" s="32" t="n">
        <f aca="false">IF($G132&lt;&gt;"",IFERROR(DATE(IF(VALUE(LEFT($G132,FIND("월",$G132)-1))&gt;=9,기준정보!$C$6-1,기준정보!$C$6),VALUE(LEFT($G132,FIND("월",$G132)-1)),1+7*(VALUE(SUBSTITUTE(MID($G132,FIND("월",$G132)+1,5),"주",""))-1)),""),IF($I132&lt;&gt;"",IF(ISNUMBER($I132),$I132+364,IFERROR(DATE(IF(VALUE(LEFT($I132,FIND("월",$I132)-1))&gt;=9,기준정보!$C$6-1,기준정보!$C$6),VALUE(LEFT($I132,FIND("월",$I132)-1)),1+7*(VALUE(SUBSTITUTE(MID($I132,FIND("월",$I132)+1,5),"주",""))-1)),"")),IF($J132&lt;&gt;"",$J132,"")))</f>
        <v>46447</v>
      </c>
      <c r="L132" s="28" t="str">
        <f aca="false">IF($G132&lt;&gt;"","계획 주차",IF($I132&lt;&gt;"","전년+1년 예측",IF($J132&lt;&gt;"","전산 입고계획(참고)","미정")))</f>
        <v>계획 주차</v>
      </c>
      <c r="M132" s="32" t="n">
        <f aca="false">IF($K132="","",$K132-기준정보!$C$5)</f>
        <v>46357</v>
      </c>
      <c r="N132" s="33" t="n">
        <f aca="false">IF($M132="","",$M132-기준정보!$C$4)</f>
        <v>116</v>
      </c>
      <c r="O132" s="31" t="s">
        <v>108</v>
      </c>
      <c r="P132" s="20"/>
      <c r="Q132" s="30" t="str">
        <f aca="false">IF($F132="","",IF(AND(ISNUMBER(SEARCH("CMT",$F132)),OR(ISNUMBER(SEARCH("사입",$F132)),ISNUMBER(SEARCH("Buying",$F132)))),"본사/생산처 혼재",IF(ISNUMBER(SEARCH("CMT",$F132)),"본사(소재팀)","생산처")))</f>
        <v>생산처</v>
      </c>
      <c r="R132" s="29" t="s">
        <v>109</v>
      </c>
      <c r="S132" s="29" t="s">
        <v>110</v>
      </c>
      <c r="T132" s="30" t="str">
        <f aca="false">IF($K132="","출고일 미정",IF($O132="X","작지(일매) 미등록",IF($O132="부분","작지(일매) 일부 미등록",IF(AND($P132&lt;&gt;"",$P132&gt;$M132),"소재입고 마감("&amp;TEXT($M132,"MM/DD")&amp;") 초과",IF($O132="","일매 등록여부 확인 필요",IF($P132="","소재 입고일정 확인 필요","정상"))))))</f>
        <v>소재 입고일정 확인 필요</v>
      </c>
      <c r="U132" s="28" t="str">
        <f aca="false">IF($K132="","",IF(OR(LEFT($T132,2)="작지",LEFT($T132,4)="소재입고"),IF(LEFT($E132,1)="S","★ 납기위험(S코드)","◆ 지연주의"),IF($T132="정상","✓ 정상","? 확인필요")))</f>
        <v>? 확인필요</v>
      </c>
      <c r="V132" s="31"/>
      <c r="W132" s="19"/>
    </row>
    <row r="133" customFormat="false" ht="15" hidden="false" customHeight="true" outlineLevel="0" collapsed="false">
      <c r="A133" s="28" t="n">
        <v>129</v>
      </c>
      <c r="B133" s="29" t="s">
        <v>116</v>
      </c>
      <c r="C133" s="30" t="s">
        <v>399</v>
      </c>
      <c r="D133" s="29" t="s">
        <v>400</v>
      </c>
      <c r="E133" s="28" t="str">
        <f aca="false">IF($C133="","",IF(MID($C133,5,1)="S","S(봄)",IF(MID($C133,5,1)="M","M(여름)",IF(MID($C133,5,1)="X","X(사계절)",MID($C133,5,1)))))</f>
        <v>M(여름)</v>
      </c>
      <c r="F133" s="30" t="s">
        <v>141</v>
      </c>
      <c r="G133" s="31" t="s">
        <v>401</v>
      </c>
      <c r="H133" s="28" t="str">
        <f aca="false">IF($C133="","",REPLACE($C133,6,2,"26"))</f>
        <v>JWJJM26151</v>
      </c>
      <c r="I133" s="32" t="str">
        <f aca="false">IFERROR(INDEX(전년출고참조!$B$4:$B$638,MATCH($H133,전년출고참조!$A$4:$A$638,0)),"")</f>
        <v/>
      </c>
      <c r="J133" s="32" t="n">
        <v>46367</v>
      </c>
      <c r="K133" s="32" t="n">
        <f aca="false">IF($G133&lt;&gt;"",IFERROR(DATE(IF(VALUE(LEFT($G133,FIND("월",$G133)-1))&gt;=9,기준정보!$C$6-1,기준정보!$C$6),VALUE(LEFT($G133,FIND("월",$G133)-1)),1+7*(VALUE(SUBSTITUTE(MID($G133,FIND("월",$G133)+1,5),"주",""))-1)),""),IF($I133&lt;&gt;"",IF(ISNUMBER($I133),$I133+364,IFERROR(DATE(IF(VALUE(LEFT($I133,FIND("월",$I133)-1))&gt;=9,기준정보!$C$6-1,기준정보!$C$6),VALUE(LEFT($I133,FIND("월",$I133)-1)),1+7*(VALUE(SUBSTITUTE(MID($I133,FIND("월",$I133)+1,5),"주",""))-1)),"")),IF($J133&lt;&gt;"",$J133,"")))</f>
        <v>46454</v>
      </c>
      <c r="L133" s="28" t="str">
        <f aca="false">IF($G133&lt;&gt;"","계획 주차",IF($I133&lt;&gt;"","전년+1년 예측",IF($J133&lt;&gt;"","전산 입고계획(참고)","미정")))</f>
        <v>계획 주차</v>
      </c>
      <c r="M133" s="32" t="n">
        <f aca="false">IF($K133="","",$K133-기준정보!$C$5)</f>
        <v>46364</v>
      </c>
      <c r="N133" s="33" t="n">
        <f aca="false">IF($M133="","",$M133-기준정보!$C$4)</f>
        <v>123</v>
      </c>
      <c r="O133" s="31" t="s">
        <v>108</v>
      </c>
      <c r="P133" s="20"/>
      <c r="Q133" s="30" t="str">
        <f aca="false">IF($F133="","",IF(AND(ISNUMBER(SEARCH("CMT",$F133)),OR(ISNUMBER(SEARCH("사입",$F133)),ISNUMBER(SEARCH("Buying",$F133)))),"본사/생산처 혼재",IF(ISNUMBER(SEARCH("CMT",$F133)),"본사(소재팀)","생산처")))</f>
        <v>본사(소재팀)</v>
      </c>
      <c r="R133" s="29" t="s">
        <v>138</v>
      </c>
      <c r="S133" s="29" t="s">
        <v>110</v>
      </c>
      <c r="T133" s="30" t="str">
        <f aca="false">IF($K133="","출고일 미정",IF($O133="X","작지(일매) 미등록",IF($O133="부분","작지(일매) 일부 미등록",IF(AND($P133&lt;&gt;"",$P133&gt;$M133),"소재입고 마감("&amp;TEXT($M133,"MM/DD")&amp;") 초과",IF($O133="","일매 등록여부 확인 필요",IF($P133="","소재 입고일정 확인 필요","정상"))))))</f>
        <v>소재 입고일정 확인 필요</v>
      </c>
      <c r="U133" s="28" t="str">
        <f aca="false">IF($K133="","",IF(OR(LEFT($T133,2)="작지",LEFT($T133,4)="소재입고"),IF(LEFT($E133,1)="S","★ 납기위험(S코드)","◆ 지연주의"),IF($T133="정상","✓ 정상","? 확인필요")))</f>
        <v>? 확인필요</v>
      </c>
      <c r="V133" s="31"/>
      <c r="W133" s="19"/>
    </row>
    <row r="134" customFormat="false" ht="15" hidden="false" customHeight="true" outlineLevel="0" collapsed="false">
      <c r="A134" s="28" t="n">
        <v>130</v>
      </c>
      <c r="B134" s="29" t="s">
        <v>116</v>
      </c>
      <c r="C134" s="30" t="s">
        <v>402</v>
      </c>
      <c r="D134" s="29" t="s">
        <v>403</v>
      </c>
      <c r="E134" s="28" t="str">
        <f aca="false">IF($C134="","",IF(MID($C134,5,1)="S","S(봄)",IF(MID($C134,5,1)="M","M(여름)",IF(MID($C134,5,1)="X","X(사계절)",MID($C134,5,1)))))</f>
        <v>M(여름)</v>
      </c>
      <c r="F134" s="29" t="s">
        <v>106</v>
      </c>
      <c r="G134" s="31" t="s">
        <v>401</v>
      </c>
      <c r="H134" s="28" t="str">
        <f aca="false">IF($C134="","",REPLACE($C134,6,2,"26"))</f>
        <v>JWJJM26155</v>
      </c>
      <c r="I134" s="32" t="str">
        <f aca="false">IFERROR(INDEX(전년출고참조!$B$4:$B$638,MATCH($H134,전년출고참조!$A$4:$A$638,0)),"")</f>
        <v/>
      </c>
      <c r="J134" s="32" t="n">
        <v>46367</v>
      </c>
      <c r="K134" s="32" t="n">
        <f aca="false">IF($G134&lt;&gt;"",IFERROR(DATE(IF(VALUE(LEFT($G134,FIND("월",$G134)-1))&gt;=9,기준정보!$C$6-1,기준정보!$C$6),VALUE(LEFT($G134,FIND("월",$G134)-1)),1+7*(VALUE(SUBSTITUTE(MID($G134,FIND("월",$G134)+1,5),"주",""))-1)),""),IF($I134&lt;&gt;"",IF(ISNUMBER($I134),$I134+364,IFERROR(DATE(IF(VALUE(LEFT($I134,FIND("월",$I134)-1))&gt;=9,기준정보!$C$6-1,기준정보!$C$6),VALUE(LEFT($I134,FIND("월",$I134)-1)),1+7*(VALUE(SUBSTITUTE(MID($I134,FIND("월",$I134)+1,5),"주",""))-1)),"")),IF($J134&lt;&gt;"",$J134,"")))</f>
        <v>46454</v>
      </c>
      <c r="L134" s="28" t="str">
        <f aca="false">IF($G134&lt;&gt;"","계획 주차",IF($I134&lt;&gt;"","전년+1년 예측",IF($J134&lt;&gt;"","전산 입고계획(참고)","미정")))</f>
        <v>계획 주차</v>
      </c>
      <c r="M134" s="32" t="n">
        <f aca="false">IF($K134="","",$K134-기준정보!$C$5)</f>
        <v>46364</v>
      </c>
      <c r="N134" s="33" t="n">
        <f aca="false">IF($M134="","",$M134-기준정보!$C$4)</f>
        <v>123</v>
      </c>
      <c r="O134" s="31" t="s">
        <v>114</v>
      </c>
      <c r="P134" s="20"/>
      <c r="Q134" s="30" t="str">
        <f aca="false">IF($F134="","",IF(AND(ISNUMBER(SEARCH("CMT",$F134)),OR(ISNUMBER(SEARCH("사입",$F134)),ISNUMBER(SEARCH("Buying",$F134)))),"본사/생산처 혼재",IF(ISNUMBER(SEARCH("CMT",$F134)),"본사(소재팀)","생산처")))</f>
        <v>생산처</v>
      </c>
      <c r="R134" s="29" t="s">
        <v>119</v>
      </c>
      <c r="S134" s="29" t="s">
        <v>120</v>
      </c>
      <c r="T134" s="30" t="str">
        <f aca="false">IF($K134="","출고일 미정",IF($O134="X","작지(일매) 미등록",IF($O134="부분","작지(일매) 일부 미등록",IF(AND($P134&lt;&gt;"",$P134&gt;$M134),"소재입고 마감("&amp;TEXT($M134,"MM/DD")&amp;") 초과",IF($O134="","일매 등록여부 확인 필요",IF($P134="","소재 입고일정 확인 필요","정상"))))))</f>
        <v>작지(일매) 미등록</v>
      </c>
      <c r="U134" s="28" t="str">
        <f aca="false">IF($K134="","",IF(OR(LEFT($T134,2)="작지",LEFT($T134,4)="소재입고"),IF(LEFT($E134,1)="S","★ 납기위험(S코드)","◆ 지연주의"),IF($T134="정상","✓ 정상","? 확인필요")))</f>
        <v>◆ 지연주의</v>
      </c>
      <c r="V134" s="31"/>
      <c r="W134" s="19"/>
    </row>
    <row r="135" customFormat="false" ht="15" hidden="false" customHeight="true" outlineLevel="0" collapsed="false">
      <c r="A135" s="28" t="n">
        <v>131</v>
      </c>
      <c r="B135" s="29" t="s">
        <v>116</v>
      </c>
      <c r="C135" s="30" t="s">
        <v>404</v>
      </c>
      <c r="D135" s="29" t="s">
        <v>405</v>
      </c>
      <c r="E135" s="28" t="str">
        <f aca="false">IF($C135="","",IF(MID($C135,5,1)="S","S(봄)",IF(MID($C135,5,1)="M","M(여름)",IF(MID($C135,5,1)="X","X(사계절)",MID($C135,5,1)))))</f>
        <v>M(여름)</v>
      </c>
      <c r="F135" s="30" t="s">
        <v>113</v>
      </c>
      <c r="G135" s="31" t="s">
        <v>401</v>
      </c>
      <c r="H135" s="28" t="str">
        <f aca="false">IF($C135="","",REPLACE($C135,6,2,"26"))</f>
        <v>JWTBM26165</v>
      </c>
      <c r="I135" s="32" t="str">
        <f aca="false">IFERROR(INDEX(전년출고참조!$B$4:$B$638,MATCH($H135,전년출고참조!$A$4:$A$638,0)),"")</f>
        <v/>
      </c>
      <c r="J135" s="32" t="n">
        <v>46367</v>
      </c>
      <c r="K135" s="32" t="n">
        <f aca="false">IF($G135&lt;&gt;"",IFERROR(DATE(IF(VALUE(LEFT($G135,FIND("월",$G135)-1))&gt;=9,기준정보!$C$6-1,기준정보!$C$6),VALUE(LEFT($G135,FIND("월",$G135)-1)),1+7*(VALUE(SUBSTITUTE(MID($G135,FIND("월",$G135)+1,5),"주",""))-1)),""),IF($I135&lt;&gt;"",IF(ISNUMBER($I135),$I135+364,IFERROR(DATE(IF(VALUE(LEFT($I135,FIND("월",$I135)-1))&gt;=9,기준정보!$C$6-1,기준정보!$C$6),VALUE(LEFT($I135,FIND("월",$I135)-1)),1+7*(VALUE(SUBSTITUTE(MID($I135,FIND("월",$I135)+1,5),"주",""))-1)),"")),IF($J135&lt;&gt;"",$J135,"")))</f>
        <v>46454</v>
      </c>
      <c r="L135" s="28" t="str">
        <f aca="false">IF($G135&lt;&gt;"","계획 주차",IF($I135&lt;&gt;"","전년+1년 예측",IF($J135&lt;&gt;"","전산 입고계획(참고)","미정")))</f>
        <v>계획 주차</v>
      </c>
      <c r="M135" s="32" t="n">
        <f aca="false">IF($K135="","",$K135-기준정보!$C$5)</f>
        <v>46364</v>
      </c>
      <c r="N135" s="33" t="n">
        <f aca="false">IF($M135="","",$M135-기준정보!$C$4)</f>
        <v>123</v>
      </c>
      <c r="O135" s="31" t="s">
        <v>114</v>
      </c>
      <c r="P135" s="20"/>
      <c r="Q135" s="30" t="str">
        <f aca="false">IF($F135="","",IF(AND(ISNUMBER(SEARCH("CMT",$F135)),OR(ISNUMBER(SEARCH("사입",$F135)),ISNUMBER(SEARCH("Buying",$F135)))),"본사/생산처 혼재",IF(ISNUMBER(SEARCH("CMT",$F135)),"본사(소재팀)","생산처")))</f>
        <v>생산처</v>
      </c>
      <c r="R135" s="29" t="s">
        <v>115</v>
      </c>
      <c r="S135" s="29" t="s">
        <v>110</v>
      </c>
      <c r="T135" s="30" t="str">
        <f aca="false">IF($K135="","출고일 미정",IF($O135="X","작지(일매) 미등록",IF($O135="부분","작지(일매) 일부 미등록",IF(AND($P135&lt;&gt;"",$P135&gt;$M135),"소재입고 마감("&amp;TEXT($M135,"MM/DD")&amp;") 초과",IF($O135="","일매 등록여부 확인 필요",IF($P135="","소재 입고일정 확인 필요","정상"))))))</f>
        <v>작지(일매) 미등록</v>
      </c>
      <c r="U135" s="28" t="str">
        <f aca="false">IF($K135="","",IF(OR(LEFT($T135,2)="작지",LEFT($T135,4)="소재입고"),IF(LEFT($E135,1)="S","★ 납기위험(S코드)","◆ 지연주의"),IF($T135="정상","✓ 정상","? 확인필요")))</f>
        <v>◆ 지연주의</v>
      </c>
      <c r="V135" s="31"/>
      <c r="W135" s="19"/>
    </row>
    <row r="136" customFormat="false" ht="15" hidden="false" customHeight="true" outlineLevel="0" collapsed="false">
      <c r="A136" s="28" t="n">
        <v>132</v>
      </c>
      <c r="B136" s="29" t="s">
        <v>116</v>
      </c>
      <c r="C136" s="30" t="s">
        <v>406</v>
      </c>
      <c r="D136" s="29" t="s">
        <v>405</v>
      </c>
      <c r="E136" s="28" t="str">
        <f aca="false">IF($C136="","",IF(MID($C136,5,1)="S","S(봄)",IF(MID($C136,5,1)="M","M(여름)",IF(MID($C136,5,1)="X","X(사계절)",MID($C136,5,1)))))</f>
        <v>M(여름)</v>
      </c>
      <c r="F136" s="29" t="s">
        <v>106</v>
      </c>
      <c r="G136" s="31" t="s">
        <v>401</v>
      </c>
      <c r="H136" s="28" t="str">
        <f aca="false">IF($C136="","",REPLACE($C136,6,2,"26"))</f>
        <v>JWTBM26167</v>
      </c>
      <c r="I136" s="32" t="str">
        <f aca="false">IFERROR(INDEX(전년출고참조!$B$4:$B$638,MATCH($H136,전년출고참조!$A$4:$A$638,0)),"")</f>
        <v/>
      </c>
      <c r="J136" s="32" t="n">
        <v>46367</v>
      </c>
      <c r="K136" s="32" t="n">
        <f aca="false">IF($G136&lt;&gt;"",IFERROR(DATE(IF(VALUE(LEFT($G136,FIND("월",$G136)-1))&gt;=9,기준정보!$C$6-1,기준정보!$C$6),VALUE(LEFT($G136,FIND("월",$G136)-1)),1+7*(VALUE(SUBSTITUTE(MID($G136,FIND("월",$G136)+1,5),"주",""))-1)),""),IF($I136&lt;&gt;"",IF(ISNUMBER($I136),$I136+364,IFERROR(DATE(IF(VALUE(LEFT($I136,FIND("월",$I136)-1))&gt;=9,기준정보!$C$6-1,기준정보!$C$6),VALUE(LEFT($I136,FIND("월",$I136)-1)),1+7*(VALUE(SUBSTITUTE(MID($I136,FIND("월",$I136)+1,5),"주",""))-1)),"")),IF($J136&lt;&gt;"",$J136,"")))</f>
        <v>46454</v>
      </c>
      <c r="L136" s="28" t="str">
        <f aca="false">IF($G136&lt;&gt;"","계획 주차",IF($I136&lt;&gt;"","전년+1년 예측",IF($J136&lt;&gt;"","전산 입고계획(참고)","미정")))</f>
        <v>계획 주차</v>
      </c>
      <c r="M136" s="32" t="n">
        <f aca="false">IF($K136="","",$K136-기준정보!$C$5)</f>
        <v>46364</v>
      </c>
      <c r="N136" s="33" t="n">
        <f aca="false">IF($M136="","",$M136-기준정보!$C$4)</f>
        <v>123</v>
      </c>
      <c r="O136" s="31" t="s">
        <v>108</v>
      </c>
      <c r="P136" s="20"/>
      <c r="Q136" s="30" t="str">
        <f aca="false">IF($F136="","",IF(AND(ISNUMBER(SEARCH("CMT",$F136)),OR(ISNUMBER(SEARCH("사입",$F136)),ISNUMBER(SEARCH("Buying",$F136)))),"본사/생산처 혼재",IF(ISNUMBER(SEARCH("CMT",$F136)),"본사(소재팀)","생산처")))</f>
        <v>생산처</v>
      </c>
      <c r="R136" s="29" t="s">
        <v>115</v>
      </c>
      <c r="S136" s="29" t="s">
        <v>110</v>
      </c>
      <c r="T136" s="30" t="str">
        <f aca="false">IF($K136="","출고일 미정",IF($O136="X","작지(일매) 미등록",IF($O136="부분","작지(일매) 일부 미등록",IF(AND($P136&lt;&gt;"",$P136&gt;$M136),"소재입고 마감("&amp;TEXT($M136,"MM/DD")&amp;") 초과",IF($O136="","일매 등록여부 확인 필요",IF($P136="","소재 입고일정 확인 필요","정상"))))))</f>
        <v>소재 입고일정 확인 필요</v>
      </c>
      <c r="U136" s="28" t="str">
        <f aca="false">IF($K136="","",IF(OR(LEFT($T136,2)="작지",LEFT($T136,4)="소재입고"),IF(LEFT($E136,1)="S","★ 납기위험(S코드)","◆ 지연주의"),IF($T136="정상","✓ 정상","? 확인필요")))</f>
        <v>? 확인필요</v>
      </c>
      <c r="V136" s="31"/>
      <c r="W136" s="19"/>
    </row>
    <row r="137" customFormat="false" ht="15" hidden="false" customHeight="true" outlineLevel="0" collapsed="false">
      <c r="A137" s="28" t="n">
        <v>133</v>
      </c>
      <c r="B137" s="29" t="s">
        <v>116</v>
      </c>
      <c r="C137" s="30" t="s">
        <v>407</v>
      </c>
      <c r="D137" s="29" t="s">
        <v>408</v>
      </c>
      <c r="E137" s="28" t="str">
        <f aca="false">IF($C137="","",IF(MID($C137,5,1)="S","S(봄)",IF(MID($C137,5,1)="M","M(여름)",IF(MID($C137,5,1)="X","X(사계절)",MID($C137,5,1)))))</f>
        <v>M(여름)</v>
      </c>
      <c r="F137" s="29" t="s">
        <v>106</v>
      </c>
      <c r="G137" s="31" t="s">
        <v>401</v>
      </c>
      <c r="H137" s="28" t="str">
        <f aca="false">IF($C137="","",REPLACE($C137,6,2,"26"))</f>
        <v>JWTBM26181</v>
      </c>
      <c r="I137" s="32" t="str">
        <f aca="false">IFERROR(INDEX(전년출고참조!$B$4:$B$638,MATCH($H137,전년출고참조!$A$4:$A$638,0)),"")</f>
        <v/>
      </c>
      <c r="J137" s="32" t="n">
        <v>46367</v>
      </c>
      <c r="K137" s="32" t="n">
        <f aca="false">IF($G137&lt;&gt;"",IFERROR(DATE(IF(VALUE(LEFT($G137,FIND("월",$G137)-1))&gt;=9,기준정보!$C$6-1,기준정보!$C$6),VALUE(LEFT($G137,FIND("월",$G137)-1)),1+7*(VALUE(SUBSTITUTE(MID($G137,FIND("월",$G137)+1,5),"주",""))-1)),""),IF($I137&lt;&gt;"",IF(ISNUMBER($I137),$I137+364,IFERROR(DATE(IF(VALUE(LEFT($I137,FIND("월",$I137)-1))&gt;=9,기준정보!$C$6-1,기준정보!$C$6),VALUE(LEFT($I137,FIND("월",$I137)-1)),1+7*(VALUE(SUBSTITUTE(MID($I137,FIND("월",$I137)+1,5),"주",""))-1)),"")),IF($J137&lt;&gt;"",$J137,"")))</f>
        <v>46454</v>
      </c>
      <c r="L137" s="28" t="str">
        <f aca="false">IF($G137&lt;&gt;"","계획 주차",IF($I137&lt;&gt;"","전년+1년 예측",IF($J137&lt;&gt;"","전산 입고계획(참고)","미정")))</f>
        <v>계획 주차</v>
      </c>
      <c r="M137" s="32" t="n">
        <f aca="false">IF($K137="","",$K137-기준정보!$C$5)</f>
        <v>46364</v>
      </c>
      <c r="N137" s="33" t="n">
        <f aca="false">IF($M137="","",$M137-기준정보!$C$4)</f>
        <v>123</v>
      </c>
      <c r="O137" s="31" t="s">
        <v>114</v>
      </c>
      <c r="P137" s="20"/>
      <c r="Q137" s="30" t="str">
        <f aca="false">IF($F137="","",IF(AND(ISNUMBER(SEARCH("CMT",$F137)),OR(ISNUMBER(SEARCH("사입",$F137)),ISNUMBER(SEARCH("Buying",$F137)))),"본사/생산처 혼재",IF(ISNUMBER(SEARCH("CMT",$F137)),"본사(소재팀)","생산처")))</f>
        <v>생산처</v>
      </c>
      <c r="R137" s="29" t="s">
        <v>156</v>
      </c>
      <c r="S137" s="29" t="s">
        <v>110</v>
      </c>
      <c r="T137" s="30" t="str">
        <f aca="false">IF($K137="","출고일 미정",IF($O137="X","작지(일매) 미등록",IF($O137="부분","작지(일매) 일부 미등록",IF(AND($P137&lt;&gt;"",$P137&gt;$M137),"소재입고 마감("&amp;TEXT($M137,"MM/DD")&amp;") 초과",IF($O137="","일매 등록여부 확인 필요",IF($P137="","소재 입고일정 확인 필요","정상"))))))</f>
        <v>작지(일매) 미등록</v>
      </c>
      <c r="U137" s="28" t="str">
        <f aca="false">IF($K137="","",IF(OR(LEFT($T137,2)="작지",LEFT($T137,4)="소재입고"),IF(LEFT($E137,1)="S","★ 납기위험(S코드)","◆ 지연주의"),IF($T137="정상","✓ 정상","? 확인필요")))</f>
        <v>◆ 지연주의</v>
      </c>
      <c r="V137" s="31"/>
      <c r="W137" s="19"/>
    </row>
    <row r="138" customFormat="false" ht="15" hidden="false" customHeight="true" outlineLevel="0" collapsed="false">
      <c r="A138" s="28" t="n">
        <v>134</v>
      </c>
      <c r="B138" s="29" t="s">
        <v>116</v>
      </c>
      <c r="C138" s="30" t="s">
        <v>409</v>
      </c>
      <c r="D138" s="29" t="s">
        <v>410</v>
      </c>
      <c r="E138" s="28" t="str">
        <f aca="false">IF($C138="","",IF(MID($C138,5,1)="S","S(봄)",IF(MID($C138,5,1)="M","M(여름)",IF(MID($C138,5,1)="X","X(사계절)",MID($C138,5,1)))))</f>
        <v>M(여름)</v>
      </c>
      <c r="F138" s="30" t="s">
        <v>113</v>
      </c>
      <c r="G138" s="31" t="s">
        <v>401</v>
      </c>
      <c r="H138" s="28" t="str">
        <f aca="false">IF($C138="","",REPLACE($C138,6,2,"26"))</f>
        <v>JWTCM26157</v>
      </c>
      <c r="I138" s="32" t="str">
        <f aca="false">IFERROR(INDEX(전년출고참조!$B$4:$B$638,MATCH($H138,전년출고참조!$A$4:$A$638,0)),"")</f>
        <v/>
      </c>
      <c r="J138" s="32" t="n">
        <v>46367</v>
      </c>
      <c r="K138" s="32" t="n">
        <f aca="false">IF($G138&lt;&gt;"",IFERROR(DATE(IF(VALUE(LEFT($G138,FIND("월",$G138)-1))&gt;=9,기준정보!$C$6-1,기준정보!$C$6),VALUE(LEFT($G138,FIND("월",$G138)-1)),1+7*(VALUE(SUBSTITUTE(MID($G138,FIND("월",$G138)+1,5),"주",""))-1)),""),IF($I138&lt;&gt;"",IF(ISNUMBER($I138),$I138+364,IFERROR(DATE(IF(VALUE(LEFT($I138,FIND("월",$I138)-1))&gt;=9,기준정보!$C$6-1,기준정보!$C$6),VALUE(LEFT($I138,FIND("월",$I138)-1)),1+7*(VALUE(SUBSTITUTE(MID($I138,FIND("월",$I138)+1,5),"주",""))-1)),"")),IF($J138&lt;&gt;"",$J138,"")))</f>
        <v>46454</v>
      </c>
      <c r="L138" s="28" t="str">
        <f aca="false">IF($G138&lt;&gt;"","계획 주차",IF($I138&lt;&gt;"","전년+1년 예측",IF($J138&lt;&gt;"","전산 입고계획(참고)","미정")))</f>
        <v>계획 주차</v>
      </c>
      <c r="M138" s="32" t="n">
        <f aca="false">IF($K138="","",$K138-기준정보!$C$5)</f>
        <v>46364</v>
      </c>
      <c r="N138" s="33" t="n">
        <f aca="false">IF($M138="","",$M138-기준정보!$C$4)</f>
        <v>123</v>
      </c>
      <c r="O138" s="31" t="s">
        <v>114</v>
      </c>
      <c r="P138" s="20"/>
      <c r="Q138" s="30" t="str">
        <f aca="false">IF($F138="","",IF(AND(ISNUMBER(SEARCH("CMT",$F138)),OR(ISNUMBER(SEARCH("사입",$F138)),ISNUMBER(SEARCH("Buying",$F138)))),"본사/생산처 혼재",IF(ISNUMBER(SEARCH("CMT",$F138)),"본사(소재팀)","생산처")))</f>
        <v>생산처</v>
      </c>
      <c r="R138" s="29" t="s">
        <v>115</v>
      </c>
      <c r="S138" s="29" t="s">
        <v>120</v>
      </c>
      <c r="T138" s="30" t="str">
        <f aca="false">IF($K138="","출고일 미정",IF($O138="X","작지(일매) 미등록",IF($O138="부분","작지(일매) 일부 미등록",IF(AND($P138&lt;&gt;"",$P138&gt;$M138),"소재입고 마감("&amp;TEXT($M138,"MM/DD")&amp;") 초과",IF($O138="","일매 등록여부 확인 필요",IF($P138="","소재 입고일정 확인 필요","정상"))))))</f>
        <v>작지(일매) 미등록</v>
      </c>
      <c r="U138" s="28" t="str">
        <f aca="false">IF($K138="","",IF(OR(LEFT($T138,2)="작지",LEFT($T138,4)="소재입고"),IF(LEFT($E138,1)="S","★ 납기위험(S코드)","◆ 지연주의"),IF($T138="정상","✓ 정상","? 확인필요")))</f>
        <v>◆ 지연주의</v>
      </c>
      <c r="V138" s="31"/>
      <c r="W138" s="19"/>
    </row>
    <row r="139" customFormat="false" ht="15" hidden="false" customHeight="true" outlineLevel="0" collapsed="false">
      <c r="A139" s="28" t="n">
        <v>135</v>
      </c>
      <c r="B139" s="29" t="s">
        <v>116</v>
      </c>
      <c r="C139" s="30" t="s">
        <v>411</v>
      </c>
      <c r="D139" s="29" t="s">
        <v>412</v>
      </c>
      <c r="E139" s="28" t="str">
        <f aca="false">IF($C139="","",IF(MID($C139,5,1)="S","S(봄)",IF(MID($C139,5,1)="M","M(여름)",IF(MID($C139,5,1)="X","X(사계절)",MID($C139,5,1)))))</f>
        <v>M(여름)</v>
      </c>
      <c r="F139" s="30" t="s">
        <v>113</v>
      </c>
      <c r="G139" s="31" t="s">
        <v>401</v>
      </c>
      <c r="H139" s="28" t="str">
        <f aca="false">IF($C139="","",REPLACE($C139,6,2,"26"))</f>
        <v>JWTCM26159</v>
      </c>
      <c r="I139" s="32" t="str">
        <f aca="false">IFERROR(INDEX(전년출고참조!$B$4:$B$638,MATCH($H139,전년출고참조!$A$4:$A$638,0)),"")</f>
        <v/>
      </c>
      <c r="J139" s="32" t="n">
        <v>46367</v>
      </c>
      <c r="K139" s="32" t="n">
        <f aca="false">IF($G139&lt;&gt;"",IFERROR(DATE(IF(VALUE(LEFT($G139,FIND("월",$G139)-1))&gt;=9,기준정보!$C$6-1,기준정보!$C$6),VALUE(LEFT($G139,FIND("월",$G139)-1)),1+7*(VALUE(SUBSTITUTE(MID($G139,FIND("월",$G139)+1,5),"주",""))-1)),""),IF($I139&lt;&gt;"",IF(ISNUMBER($I139),$I139+364,IFERROR(DATE(IF(VALUE(LEFT($I139,FIND("월",$I139)-1))&gt;=9,기준정보!$C$6-1,기준정보!$C$6),VALUE(LEFT($I139,FIND("월",$I139)-1)),1+7*(VALUE(SUBSTITUTE(MID($I139,FIND("월",$I139)+1,5),"주",""))-1)),"")),IF($J139&lt;&gt;"",$J139,"")))</f>
        <v>46454</v>
      </c>
      <c r="L139" s="28" t="str">
        <f aca="false">IF($G139&lt;&gt;"","계획 주차",IF($I139&lt;&gt;"","전년+1년 예측",IF($J139&lt;&gt;"","전산 입고계획(참고)","미정")))</f>
        <v>계획 주차</v>
      </c>
      <c r="M139" s="32" t="n">
        <f aca="false">IF($K139="","",$K139-기준정보!$C$5)</f>
        <v>46364</v>
      </c>
      <c r="N139" s="33" t="n">
        <f aca="false">IF($M139="","",$M139-기준정보!$C$4)</f>
        <v>123</v>
      </c>
      <c r="O139" s="31" t="s">
        <v>114</v>
      </c>
      <c r="P139" s="20"/>
      <c r="Q139" s="30" t="str">
        <f aca="false">IF($F139="","",IF(AND(ISNUMBER(SEARCH("CMT",$F139)),OR(ISNUMBER(SEARCH("사입",$F139)),ISNUMBER(SEARCH("Buying",$F139)))),"본사/생산처 혼재",IF(ISNUMBER(SEARCH("CMT",$F139)),"본사(소재팀)","생산처")))</f>
        <v>생산처</v>
      </c>
      <c r="R139" s="30" t="s">
        <v>201</v>
      </c>
      <c r="S139" s="29" t="s">
        <v>110</v>
      </c>
      <c r="T139" s="30" t="str">
        <f aca="false">IF($K139="","출고일 미정",IF($O139="X","작지(일매) 미등록",IF($O139="부분","작지(일매) 일부 미등록",IF(AND($P139&lt;&gt;"",$P139&gt;$M139),"소재입고 마감("&amp;TEXT($M139,"MM/DD")&amp;") 초과",IF($O139="","일매 등록여부 확인 필요",IF($P139="","소재 입고일정 확인 필요","정상"))))))</f>
        <v>작지(일매) 미등록</v>
      </c>
      <c r="U139" s="28" t="str">
        <f aca="false">IF($K139="","",IF(OR(LEFT($T139,2)="작지",LEFT($T139,4)="소재입고"),IF(LEFT($E139,1)="S","★ 납기위험(S코드)","◆ 지연주의"),IF($T139="정상","✓ 정상","? 확인필요")))</f>
        <v>◆ 지연주의</v>
      </c>
      <c r="V139" s="31"/>
      <c r="W139" s="19"/>
    </row>
    <row r="140" customFormat="false" ht="15" hidden="false" customHeight="true" outlineLevel="0" collapsed="false">
      <c r="A140" s="28" t="n">
        <v>136</v>
      </c>
      <c r="B140" s="29" t="s">
        <v>116</v>
      </c>
      <c r="C140" s="30" t="s">
        <v>413</v>
      </c>
      <c r="D140" s="29" t="s">
        <v>410</v>
      </c>
      <c r="E140" s="28" t="str">
        <f aca="false">IF($C140="","",IF(MID($C140,5,1)="S","S(봄)",IF(MID($C140,5,1)="M","M(여름)",IF(MID($C140,5,1)="X","X(사계절)",MID($C140,5,1)))))</f>
        <v>M(여름)</v>
      </c>
      <c r="F140" s="30" t="s">
        <v>113</v>
      </c>
      <c r="G140" s="31" t="s">
        <v>401</v>
      </c>
      <c r="H140" s="28" t="str">
        <f aca="false">IF($C140="","",REPLACE($C140,6,2,"26"))</f>
        <v>JWTCM26161</v>
      </c>
      <c r="I140" s="32" t="str">
        <f aca="false">IFERROR(INDEX(전년출고참조!$B$4:$B$638,MATCH($H140,전년출고참조!$A$4:$A$638,0)),"")</f>
        <v/>
      </c>
      <c r="J140" s="32" t="n">
        <v>46367</v>
      </c>
      <c r="K140" s="32" t="n">
        <f aca="false">IF($G140&lt;&gt;"",IFERROR(DATE(IF(VALUE(LEFT($G140,FIND("월",$G140)-1))&gt;=9,기준정보!$C$6-1,기준정보!$C$6),VALUE(LEFT($G140,FIND("월",$G140)-1)),1+7*(VALUE(SUBSTITUTE(MID($G140,FIND("월",$G140)+1,5),"주",""))-1)),""),IF($I140&lt;&gt;"",IF(ISNUMBER($I140),$I140+364,IFERROR(DATE(IF(VALUE(LEFT($I140,FIND("월",$I140)-1))&gt;=9,기준정보!$C$6-1,기준정보!$C$6),VALUE(LEFT($I140,FIND("월",$I140)-1)),1+7*(VALUE(SUBSTITUTE(MID($I140,FIND("월",$I140)+1,5),"주",""))-1)),"")),IF($J140&lt;&gt;"",$J140,"")))</f>
        <v>46454</v>
      </c>
      <c r="L140" s="28" t="str">
        <f aca="false">IF($G140&lt;&gt;"","계획 주차",IF($I140&lt;&gt;"","전년+1년 예측",IF($J140&lt;&gt;"","전산 입고계획(참고)","미정")))</f>
        <v>계획 주차</v>
      </c>
      <c r="M140" s="32" t="n">
        <f aca="false">IF($K140="","",$K140-기준정보!$C$5)</f>
        <v>46364</v>
      </c>
      <c r="N140" s="33" t="n">
        <f aca="false">IF($M140="","",$M140-기준정보!$C$4)</f>
        <v>123</v>
      </c>
      <c r="O140" s="31" t="s">
        <v>114</v>
      </c>
      <c r="P140" s="20"/>
      <c r="Q140" s="30" t="str">
        <f aca="false">IF($F140="","",IF(AND(ISNUMBER(SEARCH("CMT",$F140)),OR(ISNUMBER(SEARCH("사입",$F140)),ISNUMBER(SEARCH("Buying",$F140)))),"본사/생산처 혼재",IF(ISNUMBER(SEARCH("CMT",$F140)),"본사(소재팀)","생산처")))</f>
        <v>생산처</v>
      </c>
      <c r="R140" s="30" t="s">
        <v>201</v>
      </c>
      <c r="S140" s="29" t="s">
        <v>110</v>
      </c>
      <c r="T140" s="30" t="str">
        <f aca="false">IF($K140="","출고일 미정",IF($O140="X","작지(일매) 미등록",IF($O140="부분","작지(일매) 일부 미등록",IF(AND($P140&lt;&gt;"",$P140&gt;$M140),"소재입고 마감("&amp;TEXT($M140,"MM/DD")&amp;") 초과",IF($O140="","일매 등록여부 확인 필요",IF($P140="","소재 입고일정 확인 필요","정상"))))))</f>
        <v>작지(일매) 미등록</v>
      </c>
      <c r="U140" s="28" t="str">
        <f aca="false">IF($K140="","",IF(OR(LEFT($T140,2)="작지",LEFT($T140,4)="소재입고"),IF(LEFT($E140,1)="S","★ 납기위험(S코드)","◆ 지연주의"),IF($T140="정상","✓ 정상","? 확인필요")))</f>
        <v>◆ 지연주의</v>
      </c>
      <c r="V140" s="31"/>
      <c r="W140" s="19"/>
    </row>
    <row r="141" customFormat="false" ht="15" hidden="false" customHeight="true" outlineLevel="0" collapsed="false">
      <c r="A141" s="28" t="n">
        <v>137</v>
      </c>
      <c r="B141" s="29" t="s">
        <v>116</v>
      </c>
      <c r="C141" s="30" t="s">
        <v>414</v>
      </c>
      <c r="D141" s="29" t="s">
        <v>412</v>
      </c>
      <c r="E141" s="28" t="str">
        <f aca="false">IF($C141="","",IF(MID($C141,5,1)="S","S(봄)",IF(MID($C141,5,1)="M","M(여름)",IF(MID($C141,5,1)="X","X(사계절)",MID($C141,5,1)))))</f>
        <v>M(여름)</v>
      </c>
      <c r="F141" s="30" t="s">
        <v>113</v>
      </c>
      <c r="G141" s="31" t="s">
        <v>401</v>
      </c>
      <c r="H141" s="28" t="str">
        <f aca="false">IF($C141="","",REPLACE($C141,6,2,"26"))</f>
        <v>JWTCM26163</v>
      </c>
      <c r="I141" s="32" t="str">
        <f aca="false">IFERROR(INDEX(전년출고참조!$B$4:$B$638,MATCH($H141,전년출고참조!$A$4:$A$638,0)),"")</f>
        <v/>
      </c>
      <c r="J141" s="32" t="n">
        <v>46367</v>
      </c>
      <c r="K141" s="32" t="n">
        <f aca="false">IF($G141&lt;&gt;"",IFERROR(DATE(IF(VALUE(LEFT($G141,FIND("월",$G141)-1))&gt;=9,기준정보!$C$6-1,기준정보!$C$6),VALUE(LEFT($G141,FIND("월",$G141)-1)),1+7*(VALUE(SUBSTITUTE(MID($G141,FIND("월",$G141)+1,5),"주",""))-1)),""),IF($I141&lt;&gt;"",IF(ISNUMBER($I141),$I141+364,IFERROR(DATE(IF(VALUE(LEFT($I141,FIND("월",$I141)-1))&gt;=9,기준정보!$C$6-1,기준정보!$C$6),VALUE(LEFT($I141,FIND("월",$I141)-1)),1+7*(VALUE(SUBSTITUTE(MID($I141,FIND("월",$I141)+1,5),"주",""))-1)),"")),IF($J141&lt;&gt;"",$J141,"")))</f>
        <v>46454</v>
      </c>
      <c r="L141" s="28" t="str">
        <f aca="false">IF($G141&lt;&gt;"","계획 주차",IF($I141&lt;&gt;"","전년+1년 예측",IF($J141&lt;&gt;"","전산 입고계획(참고)","미정")))</f>
        <v>계획 주차</v>
      </c>
      <c r="M141" s="32" t="n">
        <f aca="false">IF($K141="","",$K141-기준정보!$C$5)</f>
        <v>46364</v>
      </c>
      <c r="N141" s="33" t="n">
        <f aca="false">IF($M141="","",$M141-기준정보!$C$4)</f>
        <v>123</v>
      </c>
      <c r="O141" s="31" t="s">
        <v>114</v>
      </c>
      <c r="P141" s="20"/>
      <c r="Q141" s="30" t="str">
        <f aca="false">IF($F141="","",IF(AND(ISNUMBER(SEARCH("CMT",$F141)),OR(ISNUMBER(SEARCH("사입",$F141)),ISNUMBER(SEARCH("Buying",$F141)))),"본사/생산처 혼재",IF(ISNUMBER(SEARCH("CMT",$F141)),"본사(소재팀)","생산처")))</f>
        <v>생산처</v>
      </c>
      <c r="R141" s="30" t="s">
        <v>201</v>
      </c>
      <c r="S141" s="29" t="s">
        <v>110</v>
      </c>
      <c r="T141" s="30" t="str">
        <f aca="false">IF($K141="","출고일 미정",IF($O141="X","작지(일매) 미등록",IF($O141="부분","작지(일매) 일부 미등록",IF(AND($P141&lt;&gt;"",$P141&gt;$M141),"소재입고 마감("&amp;TEXT($M141,"MM/DD")&amp;") 초과",IF($O141="","일매 등록여부 확인 필요",IF($P141="","소재 입고일정 확인 필요","정상"))))))</f>
        <v>작지(일매) 미등록</v>
      </c>
      <c r="U141" s="28" t="str">
        <f aca="false">IF($K141="","",IF(OR(LEFT($T141,2)="작지",LEFT($T141,4)="소재입고"),IF(LEFT($E141,1)="S","★ 납기위험(S코드)","◆ 지연주의"),IF($T141="정상","✓ 정상","? 확인필요")))</f>
        <v>◆ 지연주의</v>
      </c>
      <c r="V141" s="31"/>
      <c r="W141" s="19"/>
    </row>
    <row r="142" customFormat="false" ht="15" hidden="false" customHeight="true" outlineLevel="0" collapsed="false">
      <c r="A142" s="28" t="n">
        <v>138</v>
      </c>
      <c r="B142" s="29" t="s">
        <v>116</v>
      </c>
      <c r="C142" s="30" t="s">
        <v>415</v>
      </c>
      <c r="D142" s="29" t="s">
        <v>416</v>
      </c>
      <c r="E142" s="28" t="str">
        <f aca="false">IF($C142="","",IF(MID($C142,5,1)="S","S(봄)",IF(MID($C142,5,1)="M","M(여름)",IF(MID($C142,5,1)="X","X(사계절)",MID($C142,5,1)))))</f>
        <v>M(여름)</v>
      </c>
      <c r="F142" s="30" t="s">
        <v>141</v>
      </c>
      <c r="G142" s="31" t="s">
        <v>401</v>
      </c>
      <c r="H142" s="28" t="str">
        <f aca="false">IF($C142="","",REPLACE($C142,6,2,"26"))</f>
        <v>JWVAM26101</v>
      </c>
      <c r="I142" s="32" t="str">
        <f aca="false">IFERROR(INDEX(전년출고참조!$B$4:$B$638,MATCH($H142,전년출고참조!$A$4:$A$638,0)),"")</f>
        <v/>
      </c>
      <c r="J142" s="32" t="n">
        <v>46367</v>
      </c>
      <c r="K142" s="32" t="n">
        <f aca="false">IF($G142&lt;&gt;"",IFERROR(DATE(IF(VALUE(LEFT($G142,FIND("월",$G142)-1))&gt;=9,기준정보!$C$6-1,기준정보!$C$6),VALUE(LEFT($G142,FIND("월",$G142)-1)),1+7*(VALUE(SUBSTITUTE(MID($G142,FIND("월",$G142)+1,5),"주",""))-1)),""),IF($I142&lt;&gt;"",IF(ISNUMBER($I142),$I142+364,IFERROR(DATE(IF(VALUE(LEFT($I142,FIND("월",$I142)-1))&gt;=9,기준정보!$C$6-1,기준정보!$C$6),VALUE(LEFT($I142,FIND("월",$I142)-1)),1+7*(VALUE(SUBSTITUTE(MID($I142,FIND("월",$I142)+1,5),"주",""))-1)),"")),IF($J142&lt;&gt;"",$J142,"")))</f>
        <v>46454</v>
      </c>
      <c r="L142" s="28" t="str">
        <f aca="false">IF($G142&lt;&gt;"","계획 주차",IF($I142&lt;&gt;"","전년+1년 예측",IF($J142&lt;&gt;"","전산 입고계획(참고)","미정")))</f>
        <v>계획 주차</v>
      </c>
      <c r="M142" s="32" t="n">
        <f aca="false">IF($K142="","",$K142-기준정보!$C$5)</f>
        <v>46364</v>
      </c>
      <c r="N142" s="33" t="n">
        <f aca="false">IF($M142="","",$M142-기준정보!$C$4)</f>
        <v>123</v>
      </c>
      <c r="O142" s="31" t="s">
        <v>108</v>
      </c>
      <c r="P142" s="20"/>
      <c r="Q142" s="30" t="str">
        <f aca="false">IF($F142="","",IF(AND(ISNUMBER(SEARCH("CMT",$F142)),OR(ISNUMBER(SEARCH("사입",$F142)),ISNUMBER(SEARCH("Buying",$F142)))),"본사/생산처 혼재",IF(ISNUMBER(SEARCH("CMT",$F142)),"본사(소재팀)","생산처")))</f>
        <v>본사(소재팀)</v>
      </c>
      <c r="R142" s="29" t="s">
        <v>138</v>
      </c>
      <c r="S142" s="29" t="s">
        <v>110</v>
      </c>
      <c r="T142" s="30" t="str">
        <f aca="false">IF($K142="","출고일 미정",IF($O142="X","작지(일매) 미등록",IF($O142="부분","작지(일매) 일부 미등록",IF(AND($P142&lt;&gt;"",$P142&gt;$M142),"소재입고 마감("&amp;TEXT($M142,"MM/DD")&amp;") 초과",IF($O142="","일매 등록여부 확인 필요",IF($P142="","소재 입고일정 확인 필요","정상"))))))</f>
        <v>소재 입고일정 확인 필요</v>
      </c>
      <c r="U142" s="28" t="str">
        <f aca="false">IF($K142="","",IF(OR(LEFT($T142,2)="작지",LEFT($T142,4)="소재입고"),IF(LEFT($E142,1)="S","★ 납기위험(S코드)","◆ 지연주의"),IF($T142="정상","✓ 정상","? 확인필요")))</f>
        <v>? 확인필요</v>
      </c>
      <c r="V142" s="31"/>
      <c r="W142" s="19"/>
    </row>
    <row r="143" customFormat="false" ht="15" hidden="false" customHeight="true" outlineLevel="0" collapsed="false">
      <c r="A143" s="28" t="n">
        <v>139</v>
      </c>
      <c r="B143" s="29" t="s">
        <v>130</v>
      </c>
      <c r="C143" s="30" t="s">
        <v>417</v>
      </c>
      <c r="D143" s="29" t="s">
        <v>418</v>
      </c>
      <c r="E143" s="28" t="str">
        <f aca="false">IF($C143="","",IF(MID($C143,5,1)="S","S(봄)",IF(MID($C143,5,1)="M","M(여름)",IF(MID($C143,5,1)="X","X(사계절)",MID($C143,5,1)))))</f>
        <v>M(여름)</v>
      </c>
      <c r="F143" s="30" t="s">
        <v>141</v>
      </c>
      <c r="G143" s="31" t="s">
        <v>401</v>
      </c>
      <c r="H143" s="28" t="str">
        <f aca="false">IF($C143="","",REPLACE($C143,6,2,"26"))</f>
        <v>TVPNM26542</v>
      </c>
      <c r="I143" s="32" t="str">
        <f aca="false">IFERROR(INDEX(전년출고참조!$B$4:$B$638,MATCH($H143,전년출고참조!$A$4:$A$638,0)),"")</f>
        <v/>
      </c>
      <c r="J143" s="32" t="n">
        <v>46408</v>
      </c>
      <c r="K143" s="32" t="n">
        <f aca="false">IF($G143&lt;&gt;"",IFERROR(DATE(IF(VALUE(LEFT($G143,FIND("월",$G143)-1))&gt;=9,기준정보!$C$6-1,기준정보!$C$6),VALUE(LEFT($G143,FIND("월",$G143)-1)),1+7*(VALUE(SUBSTITUTE(MID($G143,FIND("월",$G143)+1,5),"주",""))-1)),""),IF($I143&lt;&gt;"",IF(ISNUMBER($I143),$I143+364,IFERROR(DATE(IF(VALUE(LEFT($I143,FIND("월",$I143)-1))&gt;=9,기준정보!$C$6-1,기준정보!$C$6),VALUE(LEFT($I143,FIND("월",$I143)-1)),1+7*(VALUE(SUBSTITUTE(MID($I143,FIND("월",$I143)+1,5),"주",""))-1)),"")),IF($J143&lt;&gt;"",$J143,"")))</f>
        <v>46454</v>
      </c>
      <c r="L143" s="28" t="str">
        <f aca="false">IF($G143&lt;&gt;"","계획 주차",IF($I143&lt;&gt;"","전년+1년 예측",IF($J143&lt;&gt;"","전산 입고계획(참고)","미정")))</f>
        <v>계획 주차</v>
      </c>
      <c r="M143" s="32" t="n">
        <f aca="false">IF($K143="","",$K143-기준정보!$C$5)</f>
        <v>46364</v>
      </c>
      <c r="N143" s="33" t="n">
        <f aca="false">IF($M143="","",$M143-기준정보!$C$4)</f>
        <v>123</v>
      </c>
      <c r="O143" s="31" t="s">
        <v>108</v>
      </c>
      <c r="P143" s="20"/>
      <c r="Q143" s="30" t="str">
        <f aca="false">IF($F143="","",IF(AND(ISNUMBER(SEARCH("CMT",$F143)),OR(ISNUMBER(SEARCH("사입",$F143)),ISNUMBER(SEARCH("Buying",$F143)))),"본사/생산처 혼재",IF(ISNUMBER(SEARCH("CMT",$F143)),"본사(소재팀)","생산처")))</f>
        <v>본사(소재팀)</v>
      </c>
      <c r="R143" s="29" t="s">
        <v>145</v>
      </c>
      <c r="S143" s="29" t="s">
        <v>110</v>
      </c>
      <c r="T143" s="30" t="str">
        <f aca="false">IF($K143="","출고일 미정",IF($O143="X","작지(일매) 미등록",IF($O143="부분","작지(일매) 일부 미등록",IF(AND($P143&lt;&gt;"",$P143&gt;$M143),"소재입고 마감("&amp;TEXT($M143,"MM/DD")&amp;") 초과",IF($O143="","일매 등록여부 확인 필요",IF($P143="","소재 입고일정 확인 필요","정상"))))))</f>
        <v>소재 입고일정 확인 필요</v>
      </c>
      <c r="U143" s="28" t="str">
        <f aca="false">IF($K143="","",IF(OR(LEFT($T143,2)="작지",LEFT($T143,4)="소재입고"),IF(LEFT($E143,1)="S","★ 납기위험(S코드)","◆ 지연주의"),IF($T143="정상","✓ 정상","? 확인필요")))</f>
        <v>? 확인필요</v>
      </c>
      <c r="V143" s="31"/>
      <c r="W143" s="19"/>
    </row>
    <row r="144" customFormat="false" ht="15" hidden="false" customHeight="true" outlineLevel="0" collapsed="false">
      <c r="A144" s="28" t="n">
        <v>140</v>
      </c>
      <c r="B144" s="29" t="s">
        <v>130</v>
      </c>
      <c r="C144" s="30" t="s">
        <v>419</v>
      </c>
      <c r="D144" s="29" t="s">
        <v>420</v>
      </c>
      <c r="E144" s="28" t="str">
        <f aca="false">IF($C144="","",IF(MID($C144,5,1)="S","S(봄)",IF(MID($C144,5,1)="M","M(여름)",IF(MID($C144,5,1)="X","X(사계절)",MID($C144,5,1)))))</f>
        <v>M(여름)</v>
      </c>
      <c r="F144" s="30" t="s">
        <v>141</v>
      </c>
      <c r="G144" s="31" t="s">
        <v>401</v>
      </c>
      <c r="H144" s="28" t="str">
        <f aca="false">IF($C144="","",REPLACE($C144,6,2,"26"))</f>
        <v>TVPOM26502</v>
      </c>
      <c r="I144" s="32" t="str">
        <f aca="false">IFERROR(INDEX(전년출고참조!$B$4:$B$638,MATCH($H144,전년출고참조!$A$4:$A$638,0)),"")</f>
        <v/>
      </c>
      <c r="J144" s="32" t="n">
        <v>46408</v>
      </c>
      <c r="K144" s="32" t="n">
        <f aca="false">IF($G144&lt;&gt;"",IFERROR(DATE(IF(VALUE(LEFT($G144,FIND("월",$G144)-1))&gt;=9,기준정보!$C$6-1,기준정보!$C$6),VALUE(LEFT($G144,FIND("월",$G144)-1)),1+7*(VALUE(SUBSTITUTE(MID($G144,FIND("월",$G144)+1,5),"주",""))-1)),""),IF($I144&lt;&gt;"",IF(ISNUMBER($I144),$I144+364,IFERROR(DATE(IF(VALUE(LEFT($I144,FIND("월",$I144)-1))&gt;=9,기준정보!$C$6-1,기준정보!$C$6),VALUE(LEFT($I144,FIND("월",$I144)-1)),1+7*(VALUE(SUBSTITUTE(MID($I144,FIND("월",$I144)+1,5),"주",""))-1)),"")),IF($J144&lt;&gt;"",$J144,"")))</f>
        <v>46454</v>
      </c>
      <c r="L144" s="28" t="str">
        <f aca="false">IF($G144&lt;&gt;"","계획 주차",IF($I144&lt;&gt;"","전년+1년 예측",IF($J144&lt;&gt;"","전산 입고계획(참고)","미정")))</f>
        <v>계획 주차</v>
      </c>
      <c r="M144" s="32" t="n">
        <f aca="false">IF($K144="","",$K144-기준정보!$C$5)</f>
        <v>46364</v>
      </c>
      <c r="N144" s="33" t="n">
        <f aca="false">IF($M144="","",$M144-기준정보!$C$4)</f>
        <v>123</v>
      </c>
      <c r="O144" s="31" t="s">
        <v>108</v>
      </c>
      <c r="P144" s="20"/>
      <c r="Q144" s="30" t="str">
        <f aca="false">IF($F144="","",IF(AND(ISNUMBER(SEARCH("CMT",$F144)),OR(ISNUMBER(SEARCH("사입",$F144)),ISNUMBER(SEARCH("Buying",$F144)))),"본사/생산처 혼재",IF(ISNUMBER(SEARCH("CMT",$F144)),"본사(소재팀)","생산처")))</f>
        <v>본사(소재팀)</v>
      </c>
      <c r="R144" s="29" t="s">
        <v>145</v>
      </c>
      <c r="S144" s="29" t="s">
        <v>110</v>
      </c>
      <c r="T144" s="30" t="str">
        <f aca="false">IF($K144="","출고일 미정",IF($O144="X","작지(일매) 미등록",IF($O144="부분","작지(일매) 일부 미등록",IF(AND($P144&lt;&gt;"",$P144&gt;$M144),"소재입고 마감("&amp;TEXT($M144,"MM/DD")&amp;") 초과",IF($O144="","일매 등록여부 확인 필요",IF($P144="","소재 입고일정 확인 필요","정상"))))))</f>
        <v>소재 입고일정 확인 필요</v>
      </c>
      <c r="U144" s="28" t="str">
        <f aca="false">IF($K144="","",IF(OR(LEFT($T144,2)="작지",LEFT($T144,4)="소재입고"),IF(LEFT($E144,1)="S","★ 납기위험(S코드)","◆ 지연주의"),IF($T144="정상","✓ 정상","? 확인필요")))</f>
        <v>? 확인필요</v>
      </c>
      <c r="V144" s="31"/>
      <c r="W144" s="19"/>
    </row>
    <row r="145" customFormat="false" ht="15" hidden="false" customHeight="true" outlineLevel="0" collapsed="false">
      <c r="A145" s="28" t="n">
        <v>141</v>
      </c>
      <c r="B145" s="29" t="s">
        <v>116</v>
      </c>
      <c r="C145" s="30" t="s">
        <v>421</v>
      </c>
      <c r="D145" s="29" t="s">
        <v>422</v>
      </c>
      <c r="E145" s="28" t="str">
        <f aca="false">IF($C145="","",IF(MID($C145,5,1)="S","S(봄)",IF(MID($C145,5,1)="M","M(여름)",IF(MID($C145,5,1)="X","X(사계절)",MID($C145,5,1)))))</f>
        <v>M(여름)</v>
      </c>
      <c r="F145" s="29" t="s">
        <v>106</v>
      </c>
      <c r="G145" s="31" t="s">
        <v>423</v>
      </c>
      <c r="H145" s="28" t="str">
        <f aca="false">IF($C145="","",REPLACE($C145,6,2,"26"))</f>
        <v>JWTCM26151</v>
      </c>
      <c r="I145" s="32" t="str">
        <f aca="false">IFERROR(INDEX(전년출고참조!$B$4:$B$638,MATCH($H145,전년출고참조!$A$4:$A$638,0)),"")</f>
        <v/>
      </c>
      <c r="J145" s="32" t="n">
        <v>46367</v>
      </c>
      <c r="K145" s="32" t="n">
        <f aca="false">IF($G145&lt;&gt;"",IFERROR(DATE(IF(VALUE(LEFT($G145,FIND("월",$G145)-1))&gt;=9,기준정보!$C$6-1,기준정보!$C$6),VALUE(LEFT($G145,FIND("월",$G145)-1)),1+7*(VALUE(SUBSTITUTE(MID($G145,FIND("월",$G145)+1,5),"주",""))-1)),""),IF($I145&lt;&gt;"",IF(ISNUMBER($I145),$I145+364,IFERROR(DATE(IF(VALUE(LEFT($I145,FIND("월",$I145)-1))&gt;=9,기준정보!$C$6-1,기준정보!$C$6),VALUE(LEFT($I145,FIND("월",$I145)-1)),1+7*(VALUE(SUBSTITUTE(MID($I145,FIND("월",$I145)+1,5),"주",""))-1)),"")),IF($J145&lt;&gt;"",$J145,"")))</f>
        <v>46461</v>
      </c>
      <c r="L145" s="28" t="str">
        <f aca="false">IF($G145&lt;&gt;"","계획 주차",IF($I145&lt;&gt;"","전년+1년 예측",IF($J145&lt;&gt;"","전산 입고계획(참고)","미정")))</f>
        <v>계획 주차</v>
      </c>
      <c r="M145" s="32" t="n">
        <f aca="false">IF($K145="","",$K145-기준정보!$C$5)</f>
        <v>46371</v>
      </c>
      <c r="N145" s="33" t="n">
        <f aca="false">IF($M145="","",$M145-기준정보!$C$4)</f>
        <v>130</v>
      </c>
      <c r="O145" s="31" t="s">
        <v>108</v>
      </c>
      <c r="P145" s="20"/>
      <c r="Q145" s="30" t="str">
        <f aca="false">IF($F145="","",IF(AND(ISNUMBER(SEARCH("CMT",$F145)),OR(ISNUMBER(SEARCH("사입",$F145)),ISNUMBER(SEARCH("Buying",$F145)))),"본사/생산처 혼재",IF(ISNUMBER(SEARCH("CMT",$F145)),"본사(소재팀)","생산처")))</f>
        <v>생산처</v>
      </c>
      <c r="R145" s="29" t="s">
        <v>123</v>
      </c>
      <c r="S145" s="29" t="s">
        <v>120</v>
      </c>
      <c r="T145" s="30" t="str">
        <f aca="false">IF($K145="","출고일 미정",IF($O145="X","작지(일매) 미등록",IF($O145="부분","작지(일매) 일부 미등록",IF(AND($P145&lt;&gt;"",$P145&gt;$M145),"소재입고 마감("&amp;TEXT($M145,"MM/DD")&amp;") 초과",IF($O145="","일매 등록여부 확인 필요",IF($P145="","소재 입고일정 확인 필요","정상"))))))</f>
        <v>소재 입고일정 확인 필요</v>
      </c>
      <c r="U145" s="28" t="str">
        <f aca="false">IF($K145="","",IF(OR(LEFT($T145,2)="작지",LEFT($T145,4)="소재입고"),IF(LEFT($E145,1)="S","★ 납기위험(S코드)","◆ 지연주의"),IF($T145="정상","✓ 정상","? 확인필요")))</f>
        <v>? 확인필요</v>
      </c>
      <c r="V145" s="31"/>
      <c r="W145" s="19"/>
    </row>
    <row r="146" customFormat="false" ht="15" hidden="false" customHeight="true" outlineLevel="0" collapsed="false">
      <c r="A146" s="28" t="n">
        <v>142</v>
      </c>
      <c r="B146" s="29" t="s">
        <v>182</v>
      </c>
      <c r="C146" s="30" t="s">
        <v>424</v>
      </c>
      <c r="D146" s="29" t="s">
        <v>425</v>
      </c>
      <c r="E146" s="28" t="str">
        <f aca="false">IF($C146="","",IF(MID($C146,5,1)="S","S(봄)",IF(MID($C146,5,1)="M","M(여름)",IF(MID($C146,5,1)="X","X(사계절)",MID($C146,5,1)))))</f>
        <v>M(여름)</v>
      </c>
      <c r="F146" s="30" t="s">
        <v>113</v>
      </c>
      <c r="G146" s="31" t="s">
        <v>426</v>
      </c>
      <c r="H146" s="28" t="str">
        <f aca="false">IF($C146="","",REPLACE($C146,6,2,"26"))</f>
        <v>JWJJM26165</v>
      </c>
      <c r="I146" s="32" t="str">
        <f aca="false">IFERROR(INDEX(전년출고참조!$B$4:$B$638,MATCH($H146,전년출고참조!$A$4:$A$638,0)),"")</f>
        <v/>
      </c>
      <c r="J146" s="32" t="n">
        <v>46367</v>
      </c>
      <c r="K146" s="32" t="n">
        <f aca="false">IF($G146&lt;&gt;"",IFERROR(DATE(IF(VALUE(LEFT($G146,FIND("월",$G146)-1))&gt;=9,기준정보!$C$6-1,기준정보!$C$6),VALUE(LEFT($G146,FIND("월",$G146)-1)),1+7*(VALUE(SUBSTITUTE(MID($G146,FIND("월",$G146)+1,5),"주",""))-1)),""),IF($I146&lt;&gt;"",IF(ISNUMBER($I146),$I146+364,IFERROR(DATE(IF(VALUE(LEFT($I146,FIND("월",$I146)-1))&gt;=9,기준정보!$C$6-1,기준정보!$C$6),VALUE(LEFT($I146,FIND("월",$I146)-1)),1+7*(VALUE(SUBSTITUTE(MID($I146,FIND("월",$I146)+1,5),"주",""))-1)),"")),IF($J146&lt;&gt;"",$J146,"")))</f>
        <v>46468</v>
      </c>
      <c r="L146" s="28" t="str">
        <f aca="false">IF($G146&lt;&gt;"","계획 주차",IF($I146&lt;&gt;"","전년+1년 예측",IF($J146&lt;&gt;"","전산 입고계획(참고)","미정")))</f>
        <v>계획 주차</v>
      </c>
      <c r="M146" s="32" t="n">
        <f aca="false">IF($K146="","",$K146-기준정보!$C$5)</f>
        <v>46378</v>
      </c>
      <c r="N146" s="33" t="n">
        <f aca="false">IF($M146="","",$M146-기준정보!$C$4)</f>
        <v>137</v>
      </c>
      <c r="O146" s="31" t="s">
        <v>114</v>
      </c>
      <c r="P146" s="20"/>
      <c r="Q146" s="30" t="str">
        <f aca="false">IF($F146="","",IF(AND(ISNUMBER(SEARCH("CMT",$F146)),OR(ISNUMBER(SEARCH("사입",$F146)),ISNUMBER(SEARCH("Buying",$F146)))),"본사/생산처 혼재",IF(ISNUMBER(SEARCH("CMT",$F146)),"본사(소재팀)","생산처")))</f>
        <v>생산처</v>
      </c>
      <c r="R146" s="29" t="s">
        <v>133</v>
      </c>
      <c r="S146" s="29" t="s">
        <v>110</v>
      </c>
      <c r="T146" s="30" t="str">
        <f aca="false">IF($K146="","출고일 미정",IF($O146="X","작지(일매) 미등록",IF($O146="부분","작지(일매) 일부 미등록",IF(AND($P146&lt;&gt;"",$P146&gt;$M146),"소재입고 마감("&amp;TEXT($M146,"MM/DD")&amp;") 초과",IF($O146="","일매 등록여부 확인 필요",IF($P146="","소재 입고일정 확인 필요","정상"))))))</f>
        <v>작지(일매) 미등록</v>
      </c>
      <c r="U146" s="28" t="str">
        <f aca="false">IF($K146="","",IF(OR(LEFT($T146,2)="작지",LEFT($T146,4)="소재입고"),IF(LEFT($E146,1)="S","★ 납기위험(S코드)","◆ 지연주의"),IF($T146="정상","✓ 정상","? 확인필요")))</f>
        <v>◆ 지연주의</v>
      </c>
      <c r="V146" s="31"/>
      <c r="W146" s="19"/>
    </row>
    <row r="147" customFormat="false" ht="15" hidden="false" customHeight="true" outlineLevel="0" collapsed="false">
      <c r="A147" s="28" t="n">
        <v>143</v>
      </c>
      <c r="B147" s="29" t="s">
        <v>116</v>
      </c>
      <c r="C147" s="30" t="s">
        <v>427</v>
      </c>
      <c r="D147" s="29" t="s">
        <v>425</v>
      </c>
      <c r="E147" s="28" t="str">
        <f aca="false">IF($C147="","",IF(MID($C147,5,1)="S","S(봄)",IF(MID($C147,5,1)="M","M(여름)",IF(MID($C147,5,1)="X","X(사계절)",MID($C147,5,1)))))</f>
        <v>M(여름)</v>
      </c>
      <c r="F147" s="30" t="s">
        <v>113</v>
      </c>
      <c r="G147" s="31" t="s">
        <v>426</v>
      </c>
      <c r="H147" s="28" t="str">
        <f aca="false">IF($C147="","",REPLACE($C147,6,2,"26"))</f>
        <v>JWJJM26181</v>
      </c>
      <c r="I147" s="32" t="str">
        <f aca="false">IFERROR(INDEX(전년출고참조!$B$4:$B$638,MATCH($H147,전년출고참조!$A$4:$A$638,0)),"")</f>
        <v/>
      </c>
      <c r="J147" s="32" t="n">
        <v>46367</v>
      </c>
      <c r="K147" s="32" t="n">
        <f aca="false">IF($G147&lt;&gt;"",IFERROR(DATE(IF(VALUE(LEFT($G147,FIND("월",$G147)-1))&gt;=9,기준정보!$C$6-1,기준정보!$C$6),VALUE(LEFT($G147,FIND("월",$G147)-1)),1+7*(VALUE(SUBSTITUTE(MID($G147,FIND("월",$G147)+1,5),"주",""))-1)),""),IF($I147&lt;&gt;"",IF(ISNUMBER($I147),$I147+364,IFERROR(DATE(IF(VALUE(LEFT($I147,FIND("월",$I147)-1))&gt;=9,기준정보!$C$6-1,기준정보!$C$6),VALUE(LEFT($I147,FIND("월",$I147)-1)),1+7*(VALUE(SUBSTITUTE(MID($I147,FIND("월",$I147)+1,5),"주",""))-1)),"")),IF($J147&lt;&gt;"",$J147,"")))</f>
        <v>46468</v>
      </c>
      <c r="L147" s="28" t="str">
        <f aca="false">IF($G147&lt;&gt;"","계획 주차",IF($I147&lt;&gt;"","전년+1년 예측",IF($J147&lt;&gt;"","전산 입고계획(참고)","미정")))</f>
        <v>계획 주차</v>
      </c>
      <c r="M147" s="32" t="n">
        <f aca="false">IF($K147="","",$K147-기준정보!$C$5)</f>
        <v>46378</v>
      </c>
      <c r="N147" s="33" t="n">
        <f aca="false">IF($M147="","",$M147-기준정보!$C$4)</f>
        <v>137</v>
      </c>
      <c r="O147" s="31" t="s">
        <v>114</v>
      </c>
      <c r="P147" s="20"/>
      <c r="Q147" s="30" t="str">
        <f aca="false">IF($F147="","",IF(AND(ISNUMBER(SEARCH("CMT",$F147)),OR(ISNUMBER(SEARCH("사입",$F147)),ISNUMBER(SEARCH("Buying",$F147)))),"본사/생산처 혼재",IF(ISNUMBER(SEARCH("CMT",$F147)),"본사(소재팀)","생산처")))</f>
        <v>생산처</v>
      </c>
      <c r="R147" s="29" t="s">
        <v>142</v>
      </c>
      <c r="S147" s="29" t="s">
        <v>110</v>
      </c>
      <c r="T147" s="30" t="str">
        <f aca="false">IF($K147="","출고일 미정",IF($O147="X","작지(일매) 미등록",IF($O147="부분","작지(일매) 일부 미등록",IF(AND($P147&lt;&gt;"",$P147&gt;$M147),"소재입고 마감("&amp;TEXT($M147,"MM/DD")&amp;") 초과",IF($O147="","일매 등록여부 확인 필요",IF($P147="","소재 입고일정 확인 필요","정상"))))))</f>
        <v>작지(일매) 미등록</v>
      </c>
      <c r="U147" s="28" t="str">
        <f aca="false">IF($K147="","",IF(OR(LEFT($T147,2)="작지",LEFT($T147,4)="소재입고"),IF(LEFT($E147,1)="S","★ 납기위험(S코드)","◆ 지연주의"),IF($T147="정상","✓ 정상","? 확인필요")))</f>
        <v>◆ 지연주의</v>
      </c>
      <c r="V147" s="31"/>
      <c r="W147" s="19"/>
    </row>
    <row r="148" customFormat="false" ht="15" hidden="false" customHeight="true" outlineLevel="0" collapsed="false">
      <c r="A148" s="28" t="n">
        <v>144</v>
      </c>
      <c r="B148" s="29" t="s">
        <v>116</v>
      </c>
      <c r="C148" s="30" t="s">
        <v>428</v>
      </c>
      <c r="D148" s="29" t="s">
        <v>429</v>
      </c>
      <c r="E148" s="28" t="str">
        <f aca="false">IF($C148="","",IF(MID($C148,5,1)="S","S(봄)",IF(MID($C148,5,1)="M","M(여름)",IF(MID($C148,5,1)="X","X(사계절)",MID($C148,5,1)))))</f>
        <v>M(여름)</v>
      </c>
      <c r="F148" s="29" t="s">
        <v>106</v>
      </c>
      <c r="G148" s="31" t="s">
        <v>426</v>
      </c>
      <c r="H148" s="28" t="str">
        <f aca="false">IF($C148="","",REPLACE($C148,6,2,"26"))</f>
        <v>JWTCM26131</v>
      </c>
      <c r="I148" s="32" t="str">
        <f aca="false">IFERROR(INDEX(전년출고참조!$B$4:$B$638,MATCH($H148,전년출고참조!$A$4:$A$638,0)),"")</f>
        <v/>
      </c>
      <c r="J148" s="32" t="n">
        <v>46367</v>
      </c>
      <c r="K148" s="32" t="n">
        <f aca="false">IF($G148&lt;&gt;"",IFERROR(DATE(IF(VALUE(LEFT($G148,FIND("월",$G148)-1))&gt;=9,기준정보!$C$6-1,기준정보!$C$6),VALUE(LEFT($G148,FIND("월",$G148)-1)),1+7*(VALUE(SUBSTITUTE(MID($G148,FIND("월",$G148)+1,5),"주",""))-1)),""),IF($I148&lt;&gt;"",IF(ISNUMBER($I148),$I148+364,IFERROR(DATE(IF(VALUE(LEFT($I148,FIND("월",$I148)-1))&gt;=9,기준정보!$C$6-1,기준정보!$C$6),VALUE(LEFT($I148,FIND("월",$I148)-1)),1+7*(VALUE(SUBSTITUTE(MID($I148,FIND("월",$I148)+1,5),"주",""))-1)),"")),IF($J148&lt;&gt;"",$J148,"")))</f>
        <v>46468</v>
      </c>
      <c r="L148" s="28" t="str">
        <f aca="false">IF($G148&lt;&gt;"","계획 주차",IF($I148&lt;&gt;"","전년+1년 예측",IF($J148&lt;&gt;"","전산 입고계획(참고)","미정")))</f>
        <v>계획 주차</v>
      </c>
      <c r="M148" s="32" t="n">
        <f aca="false">IF($K148="","",$K148-기준정보!$C$5)</f>
        <v>46378</v>
      </c>
      <c r="N148" s="33" t="n">
        <f aca="false">IF($M148="","",$M148-기준정보!$C$4)</f>
        <v>137</v>
      </c>
      <c r="O148" s="31" t="s">
        <v>114</v>
      </c>
      <c r="P148" s="20"/>
      <c r="Q148" s="30" t="str">
        <f aca="false">IF($F148="","",IF(AND(ISNUMBER(SEARCH("CMT",$F148)),OR(ISNUMBER(SEARCH("사입",$F148)),ISNUMBER(SEARCH("Buying",$F148)))),"본사/생산처 혼재",IF(ISNUMBER(SEARCH("CMT",$F148)),"본사(소재팀)","생산처")))</f>
        <v>생산처</v>
      </c>
      <c r="R148" s="29" t="s">
        <v>123</v>
      </c>
      <c r="S148" s="29" t="s">
        <v>120</v>
      </c>
      <c r="T148" s="30" t="str">
        <f aca="false">IF($K148="","출고일 미정",IF($O148="X","작지(일매) 미등록",IF($O148="부분","작지(일매) 일부 미등록",IF(AND($P148&lt;&gt;"",$P148&gt;$M148),"소재입고 마감("&amp;TEXT($M148,"MM/DD")&amp;") 초과",IF($O148="","일매 등록여부 확인 필요",IF($P148="","소재 입고일정 확인 필요","정상"))))))</f>
        <v>작지(일매) 미등록</v>
      </c>
      <c r="U148" s="28" t="str">
        <f aca="false">IF($K148="","",IF(OR(LEFT($T148,2)="작지",LEFT($T148,4)="소재입고"),IF(LEFT($E148,1)="S","★ 납기위험(S코드)","◆ 지연주의"),IF($T148="정상","✓ 정상","? 확인필요")))</f>
        <v>◆ 지연주의</v>
      </c>
      <c r="V148" s="31"/>
      <c r="W148" s="19"/>
    </row>
    <row r="149" customFormat="false" ht="15" hidden="false" customHeight="true" outlineLevel="0" collapsed="false">
      <c r="A149" s="28" t="n">
        <v>145</v>
      </c>
      <c r="B149" s="29" t="s">
        <v>116</v>
      </c>
      <c r="C149" s="30" t="s">
        <v>430</v>
      </c>
      <c r="D149" s="29" t="s">
        <v>431</v>
      </c>
      <c r="E149" s="28" t="str">
        <f aca="false">IF($C149="","",IF(MID($C149,5,1)="S","S(봄)",IF(MID($C149,5,1)="M","M(여름)",IF(MID($C149,5,1)="X","X(사계절)",MID($C149,5,1)))))</f>
        <v>M(여름)</v>
      </c>
      <c r="F149" s="29" t="s">
        <v>106</v>
      </c>
      <c r="G149" s="31" t="s">
        <v>426</v>
      </c>
      <c r="H149" s="28" t="str">
        <f aca="false">IF($C149="","",REPLACE($C149,6,2,"26"))</f>
        <v>JWTCM26133</v>
      </c>
      <c r="I149" s="32" t="str">
        <f aca="false">IFERROR(INDEX(전년출고참조!$B$4:$B$638,MATCH($H149,전년출고참조!$A$4:$A$638,0)),"")</f>
        <v/>
      </c>
      <c r="J149" s="32" t="n">
        <v>46367</v>
      </c>
      <c r="K149" s="32" t="n">
        <f aca="false">IF($G149&lt;&gt;"",IFERROR(DATE(IF(VALUE(LEFT($G149,FIND("월",$G149)-1))&gt;=9,기준정보!$C$6-1,기준정보!$C$6),VALUE(LEFT($G149,FIND("월",$G149)-1)),1+7*(VALUE(SUBSTITUTE(MID($G149,FIND("월",$G149)+1,5),"주",""))-1)),""),IF($I149&lt;&gt;"",IF(ISNUMBER($I149),$I149+364,IFERROR(DATE(IF(VALUE(LEFT($I149,FIND("월",$I149)-1))&gt;=9,기준정보!$C$6-1,기준정보!$C$6),VALUE(LEFT($I149,FIND("월",$I149)-1)),1+7*(VALUE(SUBSTITUTE(MID($I149,FIND("월",$I149)+1,5),"주",""))-1)),"")),IF($J149&lt;&gt;"",$J149,"")))</f>
        <v>46468</v>
      </c>
      <c r="L149" s="28" t="str">
        <f aca="false">IF($G149&lt;&gt;"","계획 주차",IF($I149&lt;&gt;"","전년+1년 예측",IF($J149&lt;&gt;"","전산 입고계획(참고)","미정")))</f>
        <v>계획 주차</v>
      </c>
      <c r="M149" s="32" t="n">
        <f aca="false">IF($K149="","",$K149-기준정보!$C$5)</f>
        <v>46378</v>
      </c>
      <c r="N149" s="33" t="n">
        <f aca="false">IF($M149="","",$M149-기준정보!$C$4)</f>
        <v>137</v>
      </c>
      <c r="O149" s="31" t="s">
        <v>108</v>
      </c>
      <c r="P149" s="20"/>
      <c r="Q149" s="30" t="str">
        <f aca="false">IF($F149="","",IF(AND(ISNUMBER(SEARCH("CMT",$F149)),OR(ISNUMBER(SEARCH("사입",$F149)),ISNUMBER(SEARCH("Buying",$F149)))),"본사/생산처 혼재",IF(ISNUMBER(SEARCH("CMT",$F149)),"본사(소재팀)","생산처")))</f>
        <v>생산처</v>
      </c>
      <c r="R149" s="29" t="s">
        <v>123</v>
      </c>
      <c r="S149" s="29" t="s">
        <v>120</v>
      </c>
      <c r="T149" s="30" t="str">
        <f aca="false">IF($K149="","출고일 미정",IF($O149="X","작지(일매) 미등록",IF($O149="부분","작지(일매) 일부 미등록",IF(AND($P149&lt;&gt;"",$P149&gt;$M149),"소재입고 마감("&amp;TEXT($M149,"MM/DD")&amp;") 초과",IF($O149="","일매 등록여부 확인 필요",IF($P149="","소재 입고일정 확인 필요","정상"))))))</f>
        <v>소재 입고일정 확인 필요</v>
      </c>
      <c r="U149" s="28" t="str">
        <f aca="false">IF($K149="","",IF(OR(LEFT($T149,2)="작지",LEFT($T149,4)="소재입고"),IF(LEFT($E149,1)="S","★ 납기위험(S코드)","◆ 지연주의"),IF($T149="정상","✓ 정상","? 확인필요")))</f>
        <v>? 확인필요</v>
      </c>
      <c r="V149" s="31"/>
      <c r="W149" s="19"/>
    </row>
    <row r="150" customFormat="false" ht="15" hidden="false" customHeight="true" outlineLevel="0" collapsed="false">
      <c r="A150" s="28" t="n">
        <v>146</v>
      </c>
      <c r="B150" s="29" t="s">
        <v>116</v>
      </c>
      <c r="C150" s="30" t="s">
        <v>432</v>
      </c>
      <c r="D150" s="29" t="s">
        <v>433</v>
      </c>
      <c r="E150" s="28" t="str">
        <f aca="false">IF($C150="","",IF(MID($C150,5,1)="S","S(봄)",IF(MID($C150,5,1)="M","M(여름)",IF(MID($C150,5,1)="X","X(사계절)",MID($C150,5,1)))))</f>
        <v>M(여름)</v>
      </c>
      <c r="F150" s="29" t="s">
        <v>106</v>
      </c>
      <c r="G150" s="31" t="s">
        <v>426</v>
      </c>
      <c r="H150" s="28" t="str">
        <f aca="false">IF($C150="","",REPLACE($C150,6,2,"26"))</f>
        <v>JWTCM26135</v>
      </c>
      <c r="I150" s="32" t="str">
        <f aca="false">IFERROR(INDEX(전년출고참조!$B$4:$B$638,MATCH($H150,전년출고참조!$A$4:$A$638,0)),"")</f>
        <v/>
      </c>
      <c r="J150" s="32" t="n">
        <v>46367</v>
      </c>
      <c r="K150" s="32" t="n">
        <f aca="false">IF($G150&lt;&gt;"",IFERROR(DATE(IF(VALUE(LEFT($G150,FIND("월",$G150)-1))&gt;=9,기준정보!$C$6-1,기준정보!$C$6),VALUE(LEFT($G150,FIND("월",$G150)-1)),1+7*(VALUE(SUBSTITUTE(MID($G150,FIND("월",$G150)+1,5),"주",""))-1)),""),IF($I150&lt;&gt;"",IF(ISNUMBER($I150),$I150+364,IFERROR(DATE(IF(VALUE(LEFT($I150,FIND("월",$I150)-1))&gt;=9,기준정보!$C$6-1,기준정보!$C$6),VALUE(LEFT($I150,FIND("월",$I150)-1)),1+7*(VALUE(SUBSTITUTE(MID($I150,FIND("월",$I150)+1,5),"주",""))-1)),"")),IF($J150&lt;&gt;"",$J150,"")))</f>
        <v>46468</v>
      </c>
      <c r="L150" s="28" t="str">
        <f aca="false">IF($G150&lt;&gt;"","계획 주차",IF($I150&lt;&gt;"","전년+1년 예측",IF($J150&lt;&gt;"","전산 입고계획(참고)","미정")))</f>
        <v>계획 주차</v>
      </c>
      <c r="M150" s="32" t="n">
        <f aca="false">IF($K150="","",$K150-기준정보!$C$5)</f>
        <v>46378</v>
      </c>
      <c r="N150" s="33" t="n">
        <f aca="false">IF($M150="","",$M150-기준정보!$C$4)</f>
        <v>137</v>
      </c>
      <c r="O150" s="31" t="s">
        <v>114</v>
      </c>
      <c r="P150" s="20"/>
      <c r="Q150" s="30" t="str">
        <f aca="false">IF($F150="","",IF(AND(ISNUMBER(SEARCH("CMT",$F150)),OR(ISNUMBER(SEARCH("사입",$F150)),ISNUMBER(SEARCH("Buying",$F150)))),"본사/생산처 혼재",IF(ISNUMBER(SEARCH("CMT",$F150)),"본사(소재팀)","생산처")))</f>
        <v>생산처</v>
      </c>
      <c r="R150" s="29" t="s">
        <v>123</v>
      </c>
      <c r="S150" s="29" t="s">
        <v>120</v>
      </c>
      <c r="T150" s="30" t="str">
        <f aca="false">IF($K150="","출고일 미정",IF($O150="X","작지(일매) 미등록",IF($O150="부분","작지(일매) 일부 미등록",IF(AND($P150&lt;&gt;"",$P150&gt;$M150),"소재입고 마감("&amp;TEXT($M150,"MM/DD")&amp;") 초과",IF($O150="","일매 등록여부 확인 필요",IF($P150="","소재 입고일정 확인 필요","정상"))))))</f>
        <v>작지(일매) 미등록</v>
      </c>
      <c r="U150" s="28" t="str">
        <f aca="false">IF($K150="","",IF(OR(LEFT($T150,2)="작지",LEFT($T150,4)="소재입고"),IF(LEFT($E150,1)="S","★ 납기위험(S코드)","◆ 지연주의"),IF($T150="정상","✓ 정상","? 확인필요")))</f>
        <v>◆ 지연주의</v>
      </c>
      <c r="V150" s="31"/>
      <c r="W150" s="19"/>
    </row>
    <row r="151" customFormat="false" ht="15" hidden="false" customHeight="true" outlineLevel="0" collapsed="false">
      <c r="A151" s="28" t="n">
        <v>147</v>
      </c>
      <c r="B151" s="29" t="s">
        <v>116</v>
      </c>
      <c r="C151" s="30" t="s">
        <v>434</v>
      </c>
      <c r="D151" s="29" t="s">
        <v>435</v>
      </c>
      <c r="E151" s="28" t="str">
        <f aca="false">IF($C151="","",IF(MID($C151,5,1)="S","S(봄)",IF(MID($C151,5,1)="M","M(여름)",IF(MID($C151,5,1)="X","X(사계절)",MID($C151,5,1)))))</f>
        <v>M(여름)</v>
      </c>
      <c r="F151" s="29" t="s">
        <v>106</v>
      </c>
      <c r="G151" s="31" t="s">
        <v>426</v>
      </c>
      <c r="H151" s="28" t="str">
        <f aca="false">IF($C151="","",REPLACE($C151,6,2,"26"))</f>
        <v>JWTCM26137</v>
      </c>
      <c r="I151" s="32" t="str">
        <f aca="false">IFERROR(INDEX(전년출고참조!$B$4:$B$638,MATCH($H151,전년출고참조!$A$4:$A$638,0)),"")</f>
        <v/>
      </c>
      <c r="J151" s="32" t="n">
        <v>46367</v>
      </c>
      <c r="K151" s="32" t="n">
        <f aca="false">IF($G151&lt;&gt;"",IFERROR(DATE(IF(VALUE(LEFT($G151,FIND("월",$G151)-1))&gt;=9,기준정보!$C$6-1,기준정보!$C$6),VALUE(LEFT($G151,FIND("월",$G151)-1)),1+7*(VALUE(SUBSTITUTE(MID($G151,FIND("월",$G151)+1,5),"주",""))-1)),""),IF($I151&lt;&gt;"",IF(ISNUMBER($I151),$I151+364,IFERROR(DATE(IF(VALUE(LEFT($I151,FIND("월",$I151)-1))&gt;=9,기준정보!$C$6-1,기준정보!$C$6),VALUE(LEFT($I151,FIND("월",$I151)-1)),1+7*(VALUE(SUBSTITUTE(MID($I151,FIND("월",$I151)+1,5),"주",""))-1)),"")),IF($J151&lt;&gt;"",$J151,"")))</f>
        <v>46468</v>
      </c>
      <c r="L151" s="28" t="str">
        <f aca="false">IF($G151&lt;&gt;"","계획 주차",IF($I151&lt;&gt;"","전년+1년 예측",IF($J151&lt;&gt;"","전산 입고계획(참고)","미정")))</f>
        <v>계획 주차</v>
      </c>
      <c r="M151" s="32" t="n">
        <f aca="false">IF($K151="","",$K151-기준정보!$C$5)</f>
        <v>46378</v>
      </c>
      <c r="N151" s="33" t="n">
        <f aca="false">IF($M151="","",$M151-기준정보!$C$4)</f>
        <v>137</v>
      </c>
      <c r="O151" s="31" t="s">
        <v>108</v>
      </c>
      <c r="P151" s="20"/>
      <c r="Q151" s="30" t="str">
        <f aca="false">IF($F151="","",IF(AND(ISNUMBER(SEARCH("CMT",$F151)),OR(ISNUMBER(SEARCH("사입",$F151)),ISNUMBER(SEARCH("Buying",$F151)))),"본사/생산처 혼재",IF(ISNUMBER(SEARCH("CMT",$F151)),"본사(소재팀)","생산처")))</f>
        <v>생산처</v>
      </c>
      <c r="R151" s="29" t="s">
        <v>123</v>
      </c>
      <c r="S151" s="29" t="s">
        <v>120</v>
      </c>
      <c r="T151" s="30" t="str">
        <f aca="false">IF($K151="","출고일 미정",IF($O151="X","작지(일매) 미등록",IF($O151="부분","작지(일매) 일부 미등록",IF(AND($P151&lt;&gt;"",$P151&gt;$M151),"소재입고 마감("&amp;TEXT($M151,"MM/DD")&amp;") 초과",IF($O151="","일매 등록여부 확인 필요",IF($P151="","소재 입고일정 확인 필요","정상"))))))</f>
        <v>소재 입고일정 확인 필요</v>
      </c>
      <c r="U151" s="28" t="str">
        <f aca="false">IF($K151="","",IF(OR(LEFT($T151,2)="작지",LEFT($T151,4)="소재입고"),IF(LEFT($E151,1)="S","★ 납기위험(S코드)","◆ 지연주의"),IF($T151="정상","✓ 정상","? 확인필요")))</f>
        <v>? 확인필요</v>
      </c>
      <c r="V151" s="31"/>
      <c r="W151" s="19"/>
    </row>
    <row r="152" customFormat="false" ht="15" hidden="false" customHeight="true" outlineLevel="0" collapsed="false">
      <c r="A152" s="28" t="n">
        <v>148</v>
      </c>
      <c r="B152" s="29" t="s">
        <v>116</v>
      </c>
      <c r="C152" s="30" t="s">
        <v>436</v>
      </c>
      <c r="D152" s="29" t="s">
        <v>437</v>
      </c>
      <c r="E152" s="28" t="str">
        <f aca="false">IF($C152="","",IF(MID($C152,5,1)="S","S(봄)",IF(MID($C152,5,1)="M","M(여름)",IF(MID($C152,5,1)="X","X(사계절)",MID($C152,5,1)))))</f>
        <v>M(여름)</v>
      </c>
      <c r="F152" s="29" t="s">
        <v>106</v>
      </c>
      <c r="G152" s="31" t="s">
        <v>426</v>
      </c>
      <c r="H152" s="28" t="str">
        <f aca="false">IF($C152="","",REPLACE($C152,6,2,"26"))</f>
        <v>JWTCM26153</v>
      </c>
      <c r="I152" s="32" t="str">
        <f aca="false">IFERROR(INDEX(전년출고참조!$B$4:$B$638,MATCH($H152,전년출고참조!$A$4:$A$638,0)),"")</f>
        <v/>
      </c>
      <c r="J152" s="32" t="n">
        <v>46367</v>
      </c>
      <c r="K152" s="32" t="n">
        <f aca="false">IF($G152&lt;&gt;"",IFERROR(DATE(IF(VALUE(LEFT($G152,FIND("월",$G152)-1))&gt;=9,기준정보!$C$6-1,기준정보!$C$6),VALUE(LEFT($G152,FIND("월",$G152)-1)),1+7*(VALUE(SUBSTITUTE(MID($G152,FIND("월",$G152)+1,5),"주",""))-1)),""),IF($I152&lt;&gt;"",IF(ISNUMBER($I152),$I152+364,IFERROR(DATE(IF(VALUE(LEFT($I152,FIND("월",$I152)-1))&gt;=9,기준정보!$C$6-1,기준정보!$C$6),VALUE(LEFT($I152,FIND("월",$I152)-1)),1+7*(VALUE(SUBSTITUTE(MID($I152,FIND("월",$I152)+1,5),"주",""))-1)),"")),IF($J152&lt;&gt;"",$J152,"")))</f>
        <v>46468</v>
      </c>
      <c r="L152" s="28" t="str">
        <f aca="false">IF($G152&lt;&gt;"","계획 주차",IF($I152&lt;&gt;"","전년+1년 예측",IF($J152&lt;&gt;"","전산 입고계획(참고)","미정")))</f>
        <v>계획 주차</v>
      </c>
      <c r="M152" s="32" t="n">
        <f aca="false">IF($K152="","",$K152-기준정보!$C$5)</f>
        <v>46378</v>
      </c>
      <c r="N152" s="33" t="n">
        <f aca="false">IF($M152="","",$M152-기준정보!$C$4)</f>
        <v>137</v>
      </c>
      <c r="O152" s="31" t="s">
        <v>114</v>
      </c>
      <c r="P152" s="20"/>
      <c r="Q152" s="30" t="str">
        <f aca="false">IF($F152="","",IF(AND(ISNUMBER(SEARCH("CMT",$F152)),OR(ISNUMBER(SEARCH("사입",$F152)),ISNUMBER(SEARCH("Buying",$F152)))),"본사/생산처 혼재",IF(ISNUMBER(SEARCH("CMT",$F152)),"본사(소재팀)","생산처")))</f>
        <v>생산처</v>
      </c>
      <c r="R152" s="29" t="s">
        <v>156</v>
      </c>
      <c r="S152" s="29" t="s">
        <v>110</v>
      </c>
      <c r="T152" s="30" t="str">
        <f aca="false">IF($K152="","출고일 미정",IF($O152="X","작지(일매) 미등록",IF($O152="부분","작지(일매) 일부 미등록",IF(AND($P152&lt;&gt;"",$P152&gt;$M152),"소재입고 마감("&amp;TEXT($M152,"MM/DD")&amp;") 초과",IF($O152="","일매 등록여부 확인 필요",IF($P152="","소재 입고일정 확인 필요","정상"))))))</f>
        <v>작지(일매) 미등록</v>
      </c>
      <c r="U152" s="28" t="str">
        <f aca="false">IF($K152="","",IF(OR(LEFT($T152,2)="작지",LEFT($T152,4)="소재입고"),IF(LEFT($E152,1)="S","★ 납기위험(S코드)","◆ 지연주의"),IF($T152="정상","✓ 정상","? 확인필요")))</f>
        <v>◆ 지연주의</v>
      </c>
      <c r="V152" s="31"/>
      <c r="W152" s="19"/>
    </row>
    <row r="153" customFormat="false" ht="15" hidden="false" customHeight="true" outlineLevel="0" collapsed="false">
      <c r="A153" s="28" t="n">
        <v>149</v>
      </c>
      <c r="B153" s="29" t="s">
        <v>116</v>
      </c>
      <c r="C153" s="30" t="s">
        <v>438</v>
      </c>
      <c r="D153" s="29" t="s">
        <v>439</v>
      </c>
      <c r="E153" s="28" t="str">
        <f aca="false">IF($C153="","",IF(MID($C153,5,1)="S","S(봄)",IF(MID($C153,5,1)="M","M(여름)",IF(MID($C153,5,1)="X","X(사계절)",MID($C153,5,1)))))</f>
        <v>M(여름)</v>
      </c>
      <c r="F153" s="29" t="s">
        <v>106</v>
      </c>
      <c r="G153" s="31" t="s">
        <v>426</v>
      </c>
      <c r="H153" s="28" t="str">
        <f aca="false">IF($C153="","",REPLACE($C153,6,2,"26"))</f>
        <v>JWTCM26183</v>
      </c>
      <c r="I153" s="32" t="str">
        <f aca="false">IFERROR(INDEX(전년출고참조!$B$4:$B$638,MATCH($H153,전년출고참조!$A$4:$A$638,0)),"")</f>
        <v/>
      </c>
      <c r="J153" s="32" t="n">
        <v>46367</v>
      </c>
      <c r="K153" s="32" t="n">
        <f aca="false">IF($G153&lt;&gt;"",IFERROR(DATE(IF(VALUE(LEFT($G153,FIND("월",$G153)-1))&gt;=9,기준정보!$C$6-1,기준정보!$C$6),VALUE(LEFT($G153,FIND("월",$G153)-1)),1+7*(VALUE(SUBSTITUTE(MID($G153,FIND("월",$G153)+1,5),"주",""))-1)),""),IF($I153&lt;&gt;"",IF(ISNUMBER($I153),$I153+364,IFERROR(DATE(IF(VALUE(LEFT($I153,FIND("월",$I153)-1))&gt;=9,기준정보!$C$6-1,기준정보!$C$6),VALUE(LEFT($I153,FIND("월",$I153)-1)),1+7*(VALUE(SUBSTITUTE(MID($I153,FIND("월",$I153)+1,5),"주",""))-1)),"")),IF($J153&lt;&gt;"",$J153,"")))</f>
        <v>46468</v>
      </c>
      <c r="L153" s="28" t="str">
        <f aca="false">IF($G153&lt;&gt;"","계획 주차",IF($I153&lt;&gt;"","전년+1년 예측",IF($J153&lt;&gt;"","전산 입고계획(참고)","미정")))</f>
        <v>계획 주차</v>
      </c>
      <c r="M153" s="32" t="n">
        <f aca="false">IF($K153="","",$K153-기준정보!$C$5)</f>
        <v>46378</v>
      </c>
      <c r="N153" s="33" t="n">
        <f aca="false">IF($M153="","",$M153-기준정보!$C$4)</f>
        <v>137</v>
      </c>
      <c r="O153" s="31" t="s">
        <v>114</v>
      </c>
      <c r="P153" s="20"/>
      <c r="Q153" s="30" t="str">
        <f aca="false">IF($F153="","",IF(AND(ISNUMBER(SEARCH("CMT",$F153)),OR(ISNUMBER(SEARCH("사입",$F153)),ISNUMBER(SEARCH("Buying",$F153)))),"본사/생산처 혼재",IF(ISNUMBER(SEARCH("CMT",$F153)),"본사(소재팀)","생산처")))</f>
        <v>생산처</v>
      </c>
      <c r="R153" s="29" t="s">
        <v>156</v>
      </c>
      <c r="S153" s="29" t="s">
        <v>110</v>
      </c>
      <c r="T153" s="30" t="str">
        <f aca="false">IF($K153="","출고일 미정",IF($O153="X","작지(일매) 미등록",IF($O153="부분","작지(일매) 일부 미등록",IF(AND($P153&lt;&gt;"",$P153&gt;$M153),"소재입고 마감("&amp;TEXT($M153,"MM/DD")&amp;") 초과",IF($O153="","일매 등록여부 확인 필요",IF($P153="","소재 입고일정 확인 필요","정상"))))))</f>
        <v>작지(일매) 미등록</v>
      </c>
      <c r="U153" s="28" t="str">
        <f aca="false">IF($K153="","",IF(OR(LEFT($T153,2)="작지",LEFT($T153,4)="소재입고"),IF(LEFT($E153,1)="S","★ 납기위험(S코드)","◆ 지연주의"),IF($T153="정상","✓ 정상","? 확인필요")))</f>
        <v>◆ 지연주의</v>
      </c>
      <c r="V153" s="31"/>
      <c r="W153" s="19"/>
    </row>
    <row r="154" customFormat="false" ht="15" hidden="false" customHeight="true" outlineLevel="0" collapsed="false">
      <c r="A154" s="28" t="n">
        <v>150</v>
      </c>
      <c r="B154" s="29" t="s">
        <v>116</v>
      </c>
      <c r="C154" s="30" t="s">
        <v>440</v>
      </c>
      <c r="D154" s="29" t="s">
        <v>441</v>
      </c>
      <c r="E154" s="28" t="str">
        <f aca="false">IF($C154="","",IF(MID($C154,5,1)="S","S(봄)",IF(MID($C154,5,1)="M","M(여름)",IF(MID($C154,5,1)="X","X(사계절)",MID($C154,5,1)))))</f>
        <v>M(여름)</v>
      </c>
      <c r="F154" s="29" t="s">
        <v>106</v>
      </c>
      <c r="G154" s="31" t="s">
        <v>426</v>
      </c>
      <c r="H154" s="28" t="str">
        <f aca="false">IF($C154="","",REPLACE($C154,6,2,"26"))</f>
        <v>JWTCM26185</v>
      </c>
      <c r="I154" s="32" t="str">
        <f aca="false">IFERROR(INDEX(전년출고참조!$B$4:$B$638,MATCH($H154,전년출고참조!$A$4:$A$638,0)),"")</f>
        <v/>
      </c>
      <c r="J154" s="32" t="n">
        <v>46367</v>
      </c>
      <c r="K154" s="32" t="n">
        <f aca="false">IF($G154&lt;&gt;"",IFERROR(DATE(IF(VALUE(LEFT($G154,FIND("월",$G154)-1))&gt;=9,기준정보!$C$6-1,기준정보!$C$6),VALUE(LEFT($G154,FIND("월",$G154)-1)),1+7*(VALUE(SUBSTITUTE(MID($G154,FIND("월",$G154)+1,5),"주",""))-1)),""),IF($I154&lt;&gt;"",IF(ISNUMBER($I154),$I154+364,IFERROR(DATE(IF(VALUE(LEFT($I154,FIND("월",$I154)-1))&gt;=9,기준정보!$C$6-1,기준정보!$C$6),VALUE(LEFT($I154,FIND("월",$I154)-1)),1+7*(VALUE(SUBSTITUTE(MID($I154,FIND("월",$I154)+1,5),"주",""))-1)),"")),IF($J154&lt;&gt;"",$J154,"")))</f>
        <v>46468</v>
      </c>
      <c r="L154" s="28" t="str">
        <f aca="false">IF($G154&lt;&gt;"","계획 주차",IF($I154&lt;&gt;"","전년+1년 예측",IF($J154&lt;&gt;"","전산 입고계획(참고)","미정")))</f>
        <v>계획 주차</v>
      </c>
      <c r="M154" s="32" t="n">
        <f aca="false">IF($K154="","",$K154-기준정보!$C$5)</f>
        <v>46378</v>
      </c>
      <c r="N154" s="33" t="n">
        <f aca="false">IF($M154="","",$M154-기준정보!$C$4)</f>
        <v>137</v>
      </c>
      <c r="O154" s="31" t="s">
        <v>114</v>
      </c>
      <c r="P154" s="20"/>
      <c r="Q154" s="30" t="str">
        <f aca="false">IF($F154="","",IF(AND(ISNUMBER(SEARCH("CMT",$F154)),OR(ISNUMBER(SEARCH("사입",$F154)),ISNUMBER(SEARCH("Buying",$F154)))),"본사/생산처 혼재",IF(ISNUMBER(SEARCH("CMT",$F154)),"본사(소재팀)","생산처")))</f>
        <v>생산처</v>
      </c>
      <c r="R154" s="29" t="s">
        <v>115</v>
      </c>
      <c r="S154" s="29" t="s">
        <v>110</v>
      </c>
      <c r="T154" s="30" t="str">
        <f aca="false">IF($K154="","출고일 미정",IF($O154="X","작지(일매) 미등록",IF($O154="부분","작지(일매) 일부 미등록",IF(AND($P154&lt;&gt;"",$P154&gt;$M154),"소재입고 마감("&amp;TEXT($M154,"MM/DD")&amp;") 초과",IF($O154="","일매 등록여부 확인 필요",IF($P154="","소재 입고일정 확인 필요","정상"))))))</f>
        <v>작지(일매) 미등록</v>
      </c>
      <c r="U154" s="28" t="str">
        <f aca="false">IF($K154="","",IF(OR(LEFT($T154,2)="작지",LEFT($T154,4)="소재입고"),IF(LEFT($E154,1)="S","★ 납기위험(S코드)","◆ 지연주의"),IF($T154="정상","✓ 정상","? 확인필요")))</f>
        <v>◆ 지연주의</v>
      </c>
      <c r="V154" s="31"/>
      <c r="W154" s="19"/>
    </row>
    <row r="155" customFormat="false" ht="15" hidden="false" customHeight="true" outlineLevel="0" collapsed="false">
      <c r="A155" s="28" t="n">
        <v>151</v>
      </c>
      <c r="B155" s="29" t="s">
        <v>116</v>
      </c>
      <c r="C155" s="30" t="s">
        <v>442</v>
      </c>
      <c r="D155" s="29" t="s">
        <v>443</v>
      </c>
      <c r="E155" s="28" t="str">
        <f aca="false">IF($C155="","",IF(MID($C155,5,1)="S","S(봄)",IF(MID($C155,5,1)="M","M(여름)",IF(MID($C155,5,1)="X","X(사계절)",MID($C155,5,1)))))</f>
        <v>M(여름)</v>
      </c>
      <c r="F155" s="29" t="s">
        <v>106</v>
      </c>
      <c r="G155" s="31" t="s">
        <v>426</v>
      </c>
      <c r="H155" s="28" t="str">
        <f aca="false">IF($C155="","",REPLACE($C155,6,2,"26"))</f>
        <v>JWTCM26187</v>
      </c>
      <c r="I155" s="32" t="str">
        <f aca="false">IFERROR(INDEX(전년출고참조!$B$4:$B$638,MATCH($H155,전년출고참조!$A$4:$A$638,0)),"")</f>
        <v/>
      </c>
      <c r="J155" s="32" t="n">
        <v>46367</v>
      </c>
      <c r="K155" s="32" t="n">
        <f aca="false">IF($G155&lt;&gt;"",IFERROR(DATE(IF(VALUE(LEFT($G155,FIND("월",$G155)-1))&gt;=9,기준정보!$C$6-1,기준정보!$C$6),VALUE(LEFT($G155,FIND("월",$G155)-1)),1+7*(VALUE(SUBSTITUTE(MID($G155,FIND("월",$G155)+1,5),"주",""))-1)),""),IF($I155&lt;&gt;"",IF(ISNUMBER($I155),$I155+364,IFERROR(DATE(IF(VALUE(LEFT($I155,FIND("월",$I155)-1))&gt;=9,기준정보!$C$6-1,기준정보!$C$6),VALUE(LEFT($I155,FIND("월",$I155)-1)),1+7*(VALUE(SUBSTITUTE(MID($I155,FIND("월",$I155)+1,5),"주",""))-1)),"")),IF($J155&lt;&gt;"",$J155,"")))</f>
        <v>46468</v>
      </c>
      <c r="L155" s="28" t="str">
        <f aca="false">IF($G155&lt;&gt;"","계획 주차",IF($I155&lt;&gt;"","전년+1년 예측",IF($J155&lt;&gt;"","전산 입고계획(참고)","미정")))</f>
        <v>계획 주차</v>
      </c>
      <c r="M155" s="32" t="n">
        <f aca="false">IF($K155="","",$K155-기준정보!$C$5)</f>
        <v>46378</v>
      </c>
      <c r="N155" s="33" t="n">
        <f aca="false">IF($M155="","",$M155-기준정보!$C$4)</f>
        <v>137</v>
      </c>
      <c r="O155" s="31" t="s">
        <v>114</v>
      </c>
      <c r="P155" s="20"/>
      <c r="Q155" s="30" t="str">
        <f aca="false">IF($F155="","",IF(AND(ISNUMBER(SEARCH("CMT",$F155)),OR(ISNUMBER(SEARCH("사입",$F155)),ISNUMBER(SEARCH("Buying",$F155)))),"본사/생산처 혼재",IF(ISNUMBER(SEARCH("CMT",$F155)),"본사(소재팀)","생산처")))</f>
        <v>생산처</v>
      </c>
      <c r="R155" s="29" t="s">
        <v>115</v>
      </c>
      <c r="S155" s="29" t="s">
        <v>110</v>
      </c>
      <c r="T155" s="30" t="str">
        <f aca="false">IF($K155="","출고일 미정",IF($O155="X","작지(일매) 미등록",IF($O155="부분","작지(일매) 일부 미등록",IF(AND($P155&lt;&gt;"",$P155&gt;$M155),"소재입고 마감("&amp;TEXT($M155,"MM/DD")&amp;") 초과",IF($O155="","일매 등록여부 확인 필요",IF($P155="","소재 입고일정 확인 필요","정상"))))))</f>
        <v>작지(일매) 미등록</v>
      </c>
      <c r="U155" s="28" t="str">
        <f aca="false">IF($K155="","",IF(OR(LEFT($T155,2)="작지",LEFT($T155,4)="소재입고"),IF(LEFT($E155,1)="S","★ 납기위험(S코드)","◆ 지연주의"),IF($T155="정상","✓ 정상","? 확인필요")))</f>
        <v>◆ 지연주의</v>
      </c>
      <c r="V155" s="31"/>
      <c r="W155" s="19"/>
    </row>
    <row r="156" customFormat="false" ht="15" hidden="false" customHeight="true" outlineLevel="0" collapsed="false">
      <c r="A156" s="28" t="n">
        <v>152</v>
      </c>
      <c r="B156" s="29" t="s">
        <v>130</v>
      </c>
      <c r="C156" s="30" t="s">
        <v>444</v>
      </c>
      <c r="D156" s="29" t="s">
        <v>445</v>
      </c>
      <c r="E156" s="28" t="str">
        <f aca="false">IF($C156="","",IF(MID($C156,5,1)="S","S(봄)",IF(MID($C156,5,1)="M","M(여름)",IF(MID($C156,5,1)="X","X(사계절)",MID($C156,5,1)))))</f>
        <v>M(여름)</v>
      </c>
      <c r="F156" s="30" t="s">
        <v>141</v>
      </c>
      <c r="G156" s="31" t="s">
        <v>426</v>
      </c>
      <c r="H156" s="28" t="str">
        <f aca="false">IF($C156="","",REPLACE($C156,6,2,"26"))</f>
        <v>TVPNM26694</v>
      </c>
      <c r="I156" s="32" t="str">
        <f aca="false">IFERROR(INDEX(전년출고참조!$B$4:$B$638,MATCH($H156,전년출고참조!$A$4:$A$638,0)),"")</f>
        <v/>
      </c>
      <c r="J156" s="32" t="n">
        <v>46401</v>
      </c>
      <c r="K156" s="32" t="n">
        <f aca="false">IF($G156&lt;&gt;"",IFERROR(DATE(IF(VALUE(LEFT($G156,FIND("월",$G156)-1))&gt;=9,기준정보!$C$6-1,기준정보!$C$6),VALUE(LEFT($G156,FIND("월",$G156)-1)),1+7*(VALUE(SUBSTITUTE(MID($G156,FIND("월",$G156)+1,5),"주",""))-1)),""),IF($I156&lt;&gt;"",IF(ISNUMBER($I156),$I156+364,IFERROR(DATE(IF(VALUE(LEFT($I156,FIND("월",$I156)-1))&gt;=9,기준정보!$C$6-1,기준정보!$C$6),VALUE(LEFT($I156,FIND("월",$I156)-1)),1+7*(VALUE(SUBSTITUTE(MID($I156,FIND("월",$I156)+1,5),"주",""))-1)),"")),IF($J156&lt;&gt;"",$J156,"")))</f>
        <v>46468</v>
      </c>
      <c r="L156" s="28" t="str">
        <f aca="false">IF($G156&lt;&gt;"","계획 주차",IF($I156&lt;&gt;"","전년+1년 예측",IF($J156&lt;&gt;"","전산 입고계획(참고)","미정")))</f>
        <v>계획 주차</v>
      </c>
      <c r="M156" s="32" t="n">
        <f aca="false">IF($K156="","",$K156-기준정보!$C$5)</f>
        <v>46378</v>
      </c>
      <c r="N156" s="33" t="n">
        <f aca="false">IF($M156="","",$M156-기준정보!$C$4)</f>
        <v>137</v>
      </c>
      <c r="O156" s="31" t="s">
        <v>108</v>
      </c>
      <c r="P156" s="20"/>
      <c r="Q156" s="30" t="str">
        <f aca="false">IF($F156="","",IF(AND(ISNUMBER(SEARCH("CMT",$F156)),OR(ISNUMBER(SEARCH("사입",$F156)),ISNUMBER(SEARCH("Buying",$F156)))),"본사/생산처 혼재",IF(ISNUMBER(SEARCH("CMT",$F156)),"본사(소재팀)","생산처")))</f>
        <v>본사(소재팀)</v>
      </c>
      <c r="R156" s="29" t="s">
        <v>148</v>
      </c>
      <c r="S156" s="29" t="s">
        <v>110</v>
      </c>
      <c r="T156" s="30" t="str">
        <f aca="false">IF($K156="","출고일 미정",IF($O156="X","작지(일매) 미등록",IF($O156="부분","작지(일매) 일부 미등록",IF(AND($P156&lt;&gt;"",$P156&gt;$M156),"소재입고 마감("&amp;TEXT($M156,"MM/DD")&amp;") 초과",IF($O156="","일매 등록여부 확인 필요",IF($P156="","소재 입고일정 확인 필요","정상"))))))</f>
        <v>소재 입고일정 확인 필요</v>
      </c>
      <c r="U156" s="28" t="str">
        <f aca="false">IF($K156="","",IF(OR(LEFT($T156,2)="작지",LEFT($T156,4)="소재입고"),IF(LEFT($E156,1)="S","★ 납기위험(S코드)","◆ 지연주의"),IF($T156="정상","✓ 정상","? 확인필요")))</f>
        <v>? 확인필요</v>
      </c>
      <c r="V156" s="31"/>
      <c r="W156" s="19"/>
    </row>
    <row r="157" customFormat="false" ht="15" hidden="false" customHeight="true" outlineLevel="0" collapsed="false">
      <c r="A157" s="28" t="n">
        <v>153</v>
      </c>
      <c r="B157" s="29" t="s">
        <v>130</v>
      </c>
      <c r="C157" s="30" t="s">
        <v>446</v>
      </c>
      <c r="D157" s="29" t="s">
        <v>447</v>
      </c>
      <c r="E157" s="28" t="str">
        <f aca="false">IF($C157="","",IF(MID($C157,5,1)="S","S(봄)",IF(MID($C157,5,1)="M","M(여름)",IF(MID($C157,5,1)="X","X(사계절)",MID($C157,5,1)))))</f>
        <v>M(여름)</v>
      </c>
      <c r="F157" s="30" t="s">
        <v>141</v>
      </c>
      <c r="G157" s="31" t="s">
        <v>426</v>
      </c>
      <c r="H157" s="28" t="str">
        <f aca="false">IF($C157="","",REPLACE($C157,6,2,"26"))</f>
        <v>TVPOM26692</v>
      </c>
      <c r="I157" s="32" t="str">
        <f aca="false">IFERROR(INDEX(전년출고참조!$B$4:$B$638,MATCH($H157,전년출고참조!$A$4:$A$638,0)),"")</f>
        <v/>
      </c>
      <c r="J157" s="32" t="n">
        <v>46401</v>
      </c>
      <c r="K157" s="32" t="n">
        <f aca="false">IF($G157&lt;&gt;"",IFERROR(DATE(IF(VALUE(LEFT($G157,FIND("월",$G157)-1))&gt;=9,기준정보!$C$6-1,기준정보!$C$6),VALUE(LEFT($G157,FIND("월",$G157)-1)),1+7*(VALUE(SUBSTITUTE(MID($G157,FIND("월",$G157)+1,5),"주",""))-1)),""),IF($I157&lt;&gt;"",IF(ISNUMBER($I157),$I157+364,IFERROR(DATE(IF(VALUE(LEFT($I157,FIND("월",$I157)-1))&gt;=9,기준정보!$C$6-1,기준정보!$C$6),VALUE(LEFT($I157,FIND("월",$I157)-1)),1+7*(VALUE(SUBSTITUTE(MID($I157,FIND("월",$I157)+1,5),"주",""))-1)),"")),IF($J157&lt;&gt;"",$J157,"")))</f>
        <v>46468</v>
      </c>
      <c r="L157" s="28" t="str">
        <f aca="false">IF($G157&lt;&gt;"","계획 주차",IF($I157&lt;&gt;"","전년+1년 예측",IF($J157&lt;&gt;"","전산 입고계획(참고)","미정")))</f>
        <v>계획 주차</v>
      </c>
      <c r="M157" s="32" t="n">
        <f aca="false">IF($K157="","",$K157-기준정보!$C$5)</f>
        <v>46378</v>
      </c>
      <c r="N157" s="33" t="n">
        <f aca="false">IF($M157="","",$M157-기준정보!$C$4)</f>
        <v>137</v>
      </c>
      <c r="O157" s="31" t="s">
        <v>108</v>
      </c>
      <c r="P157" s="20"/>
      <c r="Q157" s="30" t="str">
        <f aca="false">IF($F157="","",IF(AND(ISNUMBER(SEARCH("CMT",$F157)),OR(ISNUMBER(SEARCH("사입",$F157)),ISNUMBER(SEARCH("Buying",$F157)))),"본사/생산처 혼재",IF(ISNUMBER(SEARCH("CMT",$F157)),"본사(소재팀)","생산처")))</f>
        <v>본사(소재팀)</v>
      </c>
      <c r="R157" s="29" t="s">
        <v>142</v>
      </c>
      <c r="S157" s="29" t="s">
        <v>110</v>
      </c>
      <c r="T157" s="30" t="str">
        <f aca="false">IF($K157="","출고일 미정",IF($O157="X","작지(일매) 미등록",IF($O157="부분","작지(일매) 일부 미등록",IF(AND($P157&lt;&gt;"",$P157&gt;$M157),"소재입고 마감("&amp;TEXT($M157,"MM/DD")&amp;") 초과",IF($O157="","일매 등록여부 확인 필요",IF($P157="","소재 입고일정 확인 필요","정상"))))))</f>
        <v>소재 입고일정 확인 필요</v>
      </c>
      <c r="U157" s="28" t="str">
        <f aca="false">IF($K157="","",IF(OR(LEFT($T157,2)="작지",LEFT($T157,4)="소재입고"),IF(LEFT($E157,1)="S","★ 납기위험(S코드)","◆ 지연주의"),IF($T157="정상","✓ 정상","? 확인필요")))</f>
        <v>? 확인필요</v>
      </c>
      <c r="V157" s="31"/>
      <c r="W157" s="19"/>
    </row>
    <row r="158" customFormat="false" ht="15" hidden="false" customHeight="true" outlineLevel="0" collapsed="false">
      <c r="A158" s="28" t="n">
        <v>154</v>
      </c>
      <c r="B158" s="29" t="s">
        <v>130</v>
      </c>
      <c r="C158" s="30" t="s">
        <v>448</v>
      </c>
      <c r="D158" s="29" t="s">
        <v>449</v>
      </c>
      <c r="E158" s="28" t="str">
        <f aca="false">IF($C158="","",IF(MID($C158,5,1)="S","S(봄)",IF(MID($C158,5,1)="M","M(여름)",IF(MID($C158,5,1)="X","X(사계절)",MID($C158,5,1)))))</f>
        <v>M(여름)</v>
      </c>
      <c r="F158" s="30" t="s">
        <v>141</v>
      </c>
      <c r="G158" s="31" t="s">
        <v>426</v>
      </c>
      <c r="H158" s="28" t="str">
        <f aca="false">IF($C158="","",REPLACE($C158,6,2,"26"))</f>
        <v>TVPOM26694</v>
      </c>
      <c r="I158" s="32" t="str">
        <f aca="false">IFERROR(INDEX(전년출고참조!$B$4:$B$638,MATCH($H158,전년출고참조!$A$4:$A$638,0)),"")</f>
        <v/>
      </c>
      <c r="J158" s="32" t="n">
        <v>46401</v>
      </c>
      <c r="K158" s="32" t="n">
        <f aca="false">IF($G158&lt;&gt;"",IFERROR(DATE(IF(VALUE(LEFT($G158,FIND("월",$G158)-1))&gt;=9,기준정보!$C$6-1,기준정보!$C$6),VALUE(LEFT($G158,FIND("월",$G158)-1)),1+7*(VALUE(SUBSTITUTE(MID($G158,FIND("월",$G158)+1,5),"주",""))-1)),""),IF($I158&lt;&gt;"",IF(ISNUMBER($I158),$I158+364,IFERROR(DATE(IF(VALUE(LEFT($I158,FIND("월",$I158)-1))&gt;=9,기준정보!$C$6-1,기준정보!$C$6),VALUE(LEFT($I158,FIND("월",$I158)-1)),1+7*(VALUE(SUBSTITUTE(MID($I158,FIND("월",$I158)+1,5),"주",""))-1)),"")),IF($J158&lt;&gt;"",$J158,"")))</f>
        <v>46468</v>
      </c>
      <c r="L158" s="28" t="str">
        <f aca="false">IF($G158&lt;&gt;"","계획 주차",IF($I158&lt;&gt;"","전년+1년 예측",IF($J158&lt;&gt;"","전산 입고계획(참고)","미정")))</f>
        <v>계획 주차</v>
      </c>
      <c r="M158" s="32" t="n">
        <f aca="false">IF($K158="","",$K158-기준정보!$C$5)</f>
        <v>46378</v>
      </c>
      <c r="N158" s="33" t="n">
        <f aca="false">IF($M158="","",$M158-기준정보!$C$4)</f>
        <v>137</v>
      </c>
      <c r="O158" s="31" t="s">
        <v>108</v>
      </c>
      <c r="P158" s="20"/>
      <c r="Q158" s="30" t="str">
        <f aca="false">IF($F158="","",IF(AND(ISNUMBER(SEARCH("CMT",$F158)),OR(ISNUMBER(SEARCH("사입",$F158)),ISNUMBER(SEARCH("Buying",$F158)))),"본사/생산처 혼재",IF(ISNUMBER(SEARCH("CMT",$F158)),"본사(소재팀)","생산처")))</f>
        <v>본사(소재팀)</v>
      </c>
      <c r="R158" s="29" t="s">
        <v>142</v>
      </c>
      <c r="S158" s="29" t="s">
        <v>110</v>
      </c>
      <c r="T158" s="30" t="str">
        <f aca="false">IF($K158="","출고일 미정",IF($O158="X","작지(일매) 미등록",IF($O158="부분","작지(일매) 일부 미등록",IF(AND($P158&lt;&gt;"",$P158&gt;$M158),"소재입고 마감("&amp;TEXT($M158,"MM/DD")&amp;") 초과",IF($O158="","일매 등록여부 확인 필요",IF($P158="","소재 입고일정 확인 필요","정상"))))))</f>
        <v>소재 입고일정 확인 필요</v>
      </c>
      <c r="U158" s="28" t="str">
        <f aca="false">IF($K158="","",IF(OR(LEFT($T158,2)="작지",LEFT($T158,4)="소재입고"),IF(LEFT($E158,1)="S","★ 납기위험(S코드)","◆ 지연주의"),IF($T158="정상","✓ 정상","? 확인필요")))</f>
        <v>? 확인필요</v>
      </c>
      <c r="V158" s="31"/>
      <c r="W158" s="19"/>
    </row>
    <row r="159" customFormat="false" ht="15" hidden="false" customHeight="true" outlineLevel="0" collapsed="false">
      <c r="A159" s="28" t="n">
        <v>155</v>
      </c>
      <c r="B159" s="29" t="s">
        <v>130</v>
      </c>
      <c r="C159" s="30" t="s">
        <v>450</v>
      </c>
      <c r="D159" s="29" t="s">
        <v>451</v>
      </c>
      <c r="E159" s="28" t="str">
        <f aca="false">IF($C159="","",IF(MID($C159,5,1)="S","S(봄)",IF(MID($C159,5,1)="M","M(여름)",IF(MID($C159,5,1)="X","X(사계절)",MID($C159,5,1)))))</f>
        <v>M(여름)</v>
      </c>
      <c r="F159" s="30" t="s">
        <v>141</v>
      </c>
      <c r="G159" s="31" t="s">
        <v>426</v>
      </c>
      <c r="H159" s="28" t="str">
        <f aca="false">IF($C159="","",REPLACE($C159,6,2,"26"))</f>
        <v>TVPOM26696</v>
      </c>
      <c r="I159" s="32" t="str">
        <f aca="false">IFERROR(INDEX(전년출고참조!$B$4:$B$638,MATCH($H159,전년출고참조!$A$4:$A$638,0)),"")</f>
        <v/>
      </c>
      <c r="J159" s="32" t="n">
        <v>46401</v>
      </c>
      <c r="K159" s="32" t="n">
        <f aca="false">IF($G159&lt;&gt;"",IFERROR(DATE(IF(VALUE(LEFT($G159,FIND("월",$G159)-1))&gt;=9,기준정보!$C$6-1,기준정보!$C$6),VALUE(LEFT($G159,FIND("월",$G159)-1)),1+7*(VALUE(SUBSTITUTE(MID($G159,FIND("월",$G159)+1,5),"주",""))-1)),""),IF($I159&lt;&gt;"",IF(ISNUMBER($I159),$I159+364,IFERROR(DATE(IF(VALUE(LEFT($I159,FIND("월",$I159)-1))&gt;=9,기준정보!$C$6-1,기준정보!$C$6),VALUE(LEFT($I159,FIND("월",$I159)-1)),1+7*(VALUE(SUBSTITUTE(MID($I159,FIND("월",$I159)+1,5),"주",""))-1)),"")),IF($J159&lt;&gt;"",$J159,"")))</f>
        <v>46468</v>
      </c>
      <c r="L159" s="28" t="str">
        <f aca="false">IF($G159&lt;&gt;"","계획 주차",IF($I159&lt;&gt;"","전년+1년 예측",IF($J159&lt;&gt;"","전산 입고계획(참고)","미정")))</f>
        <v>계획 주차</v>
      </c>
      <c r="M159" s="32" t="n">
        <f aca="false">IF($K159="","",$K159-기준정보!$C$5)</f>
        <v>46378</v>
      </c>
      <c r="N159" s="33" t="n">
        <f aca="false">IF($M159="","",$M159-기준정보!$C$4)</f>
        <v>137</v>
      </c>
      <c r="O159" s="31" t="s">
        <v>108</v>
      </c>
      <c r="P159" s="20"/>
      <c r="Q159" s="30" t="str">
        <f aca="false">IF($F159="","",IF(AND(ISNUMBER(SEARCH("CMT",$F159)),OR(ISNUMBER(SEARCH("사입",$F159)),ISNUMBER(SEARCH("Buying",$F159)))),"본사/생산처 혼재",IF(ISNUMBER(SEARCH("CMT",$F159)),"본사(소재팀)","생산처")))</f>
        <v>본사(소재팀)</v>
      </c>
      <c r="R159" s="29" t="s">
        <v>148</v>
      </c>
      <c r="S159" s="29" t="s">
        <v>110</v>
      </c>
      <c r="T159" s="30" t="str">
        <f aca="false">IF($K159="","출고일 미정",IF($O159="X","작지(일매) 미등록",IF($O159="부분","작지(일매) 일부 미등록",IF(AND($P159&lt;&gt;"",$P159&gt;$M159),"소재입고 마감("&amp;TEXT($M159,"MM/DD")&amp;") 초과",IF($O159="","일매 등록여부 확인 필요",IF($P159="","소재 입고일정 확인 필요","정상"))))))</f>
        <v>소재 입고일정 확인 필요</v>
      </c>
      <c r="U159" s="28" t="str">
        <f aca="false">IF($K159="","",IF(OR(LEFT($T159,2)="작지",LEFT($T159,4)="소재입고"),IF(LEFT($E159,1)="S","★ 납기위험(S코드)","◆ 지연주의"),IF($T159="정상","✓ 정상","? 확인필요")))</f>
        <v>? 확인필요</v>
      </c>
      <c r="V159" s="31"/>
      <c r="W159" s="19"/>
    </row>
    <row r="160" customFormat="false" ht="15" hidden="false" customHeight="true" outlineLevel="0" collapsed="false">
      <c r="A160" s="28" t="n">
        <v>156</v>
      </c>
      <c r="B160" s="29" t="s">
        <v>130</v>
      </c>
      <c r="C160" s="30" t="s">
        <v>452</v>
      </c>
      <c r="D160" s="29" t="s">
        <v>453</v>
      </c>
      <c r="E160" s="28" t="str">
        <f aca="false">IF($C160="","",IF(MID($C160,5,1)="S","S(봄)",IF(MID($C160,5,1)="M","M(여름)",IF(MID($C160,5,1)="X","X(사계절)",MID($C160,5,1)))))</f>
        <v>M(여름)</v>
      </c>
      <c r="F160" s="30" t="s">
        <v>141</v>
      </c>
      <c r="G160" s="31" t="s">
        <v>426</v>
      </c>
      <c r="H160" s="28" t="str">
        <f aca="false">IF($C160="","",REPLACE($C160,6,2,"26"))</f>
        <v>TVPOM26698</v>
      </c>
      <c r="I160" s="32" t="str">
        <f aca="false">IFERROR(INDEX(전년출고참조!$B$4:$B$638,MATCH($H160,전년출고참조!$A$4:$A$638,0)),"")</f>
        <v/>
      </c>
      <c r="J160" s="32" t="n">
        <v>46401</v>
      </c>
      <c r="K160" s="32" t="n">
        <f aca="false">IF($G160&lt;&gt;"",IFERROR(DATE(IF(VALUE(LEFT($G160,FIND("월",$G160)-1))&gt;=9,기준정보!$C$6-1,기준정보!$C$6),VALUE(LEFT($G160,FIND("월",$G160)-1)),1+7*(VALUE(SUBSTITUTE(MID($G160,FIND("월",$G160)+1,5),"주",""))-1)),""),IF($I160&lt;&gt;"",IF(ISNUMBER($I160),$I160+364,IFERROR(DATE(IF(VALUE(LEFT($I160,FIND("월",$I160)-1))&gt;=9,기준정보!$C$6-1,기준정보!$C$6),VALUE(LEFT($I160,FIND("월",$I160)-1)),1+7*(VALUE(SUBSTITUTE(MID($I160,FIND("월",$I160)+1,5),"주",""))-1)),"")),IF($J160&lt;&gt;"",$J160,"")))</f>
        <v>46468</v>
      </c>
      <c r="L160" s="28" t="str">
        <f aca="false">IF($G160&lt;&gt;"","계획 주차",IF($I160&lt;&gt;"","전년+1년 예측",IF($J160&lt;&gt;"","전산 입고계획(참고)","미정")))</f>
        <v>계획 주차</v>
      </c>
      <c r="M160" s="32" t="n">
        <f aca="false">IF($K160="","",$K160-기준정보!$C$5)</f>
        <v>46378</v>
      </c>
      <c r="N160" s="33" t="n">
        <f aca="false">IF($M160="","",$M160-기준정보!$C$4)</f>
        <v>137</v>
      </c>
      <c r="O160" s="31" t="s">
        <v>108</v>
      </c>
      <c r="P160" s="20"/>
      <c r="Q160" s="30" t="str">
        <f aca="false">IF($F160="","",IF(AND(ISNUMBER(SEARCH("CMT",$F160)),OR(ISNUMBER(SEARCH("사입",$F160)),ISNUMBER(SEARCH("Buying",$F160)))),"본사/생산처 혼재",IF(ISNUMBER(SEARCH("CMT",$F160)),"본사(소재팀)","생산처")))</f>
        <v>본사(소재팀)</v>
      </c>
      <c r="R160" s="29" t="s">
        <v>148</v>
      </c>
      <c r="S160" s="29" t="s">
        <v>110</v>
      </c>
      <c r="T160" s="30" t="str">
        <f aca="false">IF($K160="","출고일 미정",IF($O160="X","작지(일매) 미등록",IF($O160="부분","작지(일매) 일부 미등록",IF(AND($P160&lt;&gt;"",$P160&gt;$M160),"소재입고 마감("&amp;TEXT($M160,"MM/DD")&amp;") 초과",IF($O160="","일매 등록여부 확인 필요",IF($P160="","소재 입고일정 확인 필요","정상"))))))</f>
        <v>소재 입고일정 확인 필요</v>
      </c>
      <c r="U160" s="28" t="str">
        <f aca="false">IF($K160="","",IF(OR(LEFT($T160,2)="작지",LEFT($T160,4)="소재입고"),IF(LEFT($E160,1)="S","★ 납기위험(S코드)","◆ 지연주의"),IF($T160="정상","✓ 정상","? 확인필요")))</f>
        <v>? 확인필요</v>
      </c>
      <c r="V160" s="31"/>
      <c r="W160" s="19"/>
    </row>
    <row r="161" customFormat="false" ht="15" hidden="false" customHeight="true" outlineLevel="0" collapsed="false">
      <c r="A161" s="28" t="n">
        <v>157</v>
      </c>
      <c r="B161" s="29" t="s">
        <v>130</v>
      </c>
      <c r="C161" s="30" t="s">
        <v>454</v>
      </c>
      <c r="D161" s="29" t="s">
        <v>455</v>
      </c>
      <c r="E161" s="28" t="str">
        <f aca="false">IF($C161="","",IF(MID($C161,5,1)="S","S(봄)",IF(MID($C161,5,1)="M","M(여름)",IF(MID($C161,5,1)="X","X(사계절)",MID($C161,5,1)))))</f>
        <v>M(여름)</v>
      </c>
      <c r="F161" s="29" t="s">
        <v>106</v>
      </c>
      <c r="G161" s="31" t="s">
        <v>426</v>
      </c>
      <c r="H161" s="28" t="str">
        <f aca="false">IF($C161="","",REPLACE($C161,6,2,"26"))</f>
        <v>TVSCM26692</v>
      </c>
      <c r="I161" s="32" t="str">
        <f aca="false">IFERROR(INDEX(전년출고참조!$B$4:$B$638,MATCH($H161,전년출고참조!$A$4:$A$638,0)),"")</f>
        <v/>
      </c>
      <c r="J161" s="32" t="n">
        <v>46401</v>
      </c>
      <c r="K161" s="32" t="n">
        <f aca="false">IF($G161&lt;&gt;"",IFERROR(DATE(IF(VALUE(LEFT($G161,FIND("월",$G161)-1))&gt;=9,기준정보!$C$6-1,기준정보!$C$6),VALUE(LEFT($G161,FIND("월",$G161)-1)),1+7*(VALUE(SUBSTITUTE(MID($G161,FIND("월",$G161)+1,5),"주",""))-1)),""),IF($I161&lt;&gt;"",IF(ISNUMBER($I161),$I161+364,IFERROR(DATE(IF(VALUE(LEFT($I161,FIND("월",$I161)-1))&gt;=9,기준정보!$C$6-1,기준정보!$C$6),VALUE(LEFT($I161,FIND("월",$I161)-1)),1+7*(VALUE(SUBSTITUTE(MID($I161,FIND("월",$I161)+1,5),"주",""))-1)),"")),IF($J161&lt;&gt;"",$J161,"")))</f>
        <v>46468</v>
      </c>
      <c r="L161" s="28" t="str">
        <f aca="false">IF($G161&lt;&gt;"","계획 주차",IF($I161&lt;&gt;"","전년+1년 예측",IF($J161&lt;&gt;"","전산 입고계획(참고)","미정")))</f>
        <v>계획 주차</v>
      </c>
      <c r="M161" s="32" t="n">
        <f aca="false">IF($K161="","",$K161-기준정보!$C$5)</f>
        <v>46378</v>
      </c>
      <c r="N161" s="33" t="n">
        <f aca="false">IF($M161="","",$M161-기준정보!$C$4)</f>
        <v>137</v>
      </c>
      <c r="O161" s="31" t="s">
        <v>108</v>
      </c>
      <c r="P161" s="20"/>
      <c r="Q161" s="30" t="str">
        <f aca="false">IF($F161="","",IF(AND(ISNUMBER(SEARCH("CMT",$F161)),OR(ISNUMBER(SEARCH("사입",$F161)),ISNUMBER(SEARCH("Buying",$F161)))),"본사/생산처 혼재",IF(ISNUMBER(SEARCH("CMT",$F161)),"본사(소재팀)","생산처")))</f>
        <v>생산처</v>
      </c>
      <c r="R161" s="29" t="s">
        <v>275</v>
      </c>
      <c r="S161" s="29" t="s">
        <v>110</v>
      </c>
      <c r="T161" s="30" t="str">
        <f aca="false">IF($K161="","출고일 미정",IF($O161="X","작지(일매) 미등록",IF($O161="부분","작지(일매) 일부 미등록",IF(AND($P161&lt;&gt;"",$P161&gt;$M161),"소재입고 마감("&amp;TEXT($M161,"MM/DD")&amp;") 초과",IF($O161="","일매 등록여부 확인 필요",IF($P161="","소재 입고일정 확인 필요","정상"))))))</f>
        <v>소재 입고일정 확인 필요</v>
      </c>
      <c r="U161" s="28" t="str">
        <f aca="false">IF($K161="","",IF(OR(LEFT($T161,2)="작지",LEFT($T161,4)="소재입고"),IF(LEFT($E161,1)="S","★ 납기위험(S코드)","◆ 지연주의"),IF($T161="정상","✓ 정상","? 확인필요")))</f>
        <v>? 확인필요</v>
      </c>
      <c r="V161" s="31"/>
      <c r="W161" s="19"/>
    </row>
    <row r="162" customFormat="false" ht="15" hidden="false" customHeight="true" outlineLevel="0" collapsed="false">
      <c r="A162" s="28" t="n">
        <v>158</v>
      </c>
      <c r="B162" s="29" t="s">
        <v>130</v>
      </c>
      <c r="C162" s="30" t="s">
        <v>456</v>
      </c>
      <c r="D162" s="29" t="s">
        <v>457</v>
      </c>
      <c r="E162" s="28" t="str">
        <f aca="false">IF($C162="","",IF(MID($C162,5,1)="S","S(봄)",IF(MID($C162,5,1)="M","M(여름)",IF(MID($C162,5,1)="X","X(사계절)",MID($C162,5,1)))))</f>
        <v>M(여름)</v>
      </c>
      <c r="F162" s="29" t="s">
        <v>106</v>
      </c>
      <c r="G162" s="31" t="s">
        <v>426</v>
      </c>
      <c r="H162" s="28" t="str">
        <f aca="false">IF($C162="","",REPLACE($C162,6,2,"26"))</f>
        <v>TVTCM26692</v>
      </c>
      <c r="I162" s="32" t="str">
        <f aca="false">IFERROR(INDEX(전년출고참조!$B$4:$B$638,MATCH($H162,전년출고참조!$A$4:$A$638,0)),"")</f>
        <v/>
      </c>
      <c r="J162" s="32" t="n">
        <v>46401</v>
      </c>
      <c r="K162" s="32" t="n">
        <f aca="false">IF($G162&lt;&gt;"",IFERROR(DATE(IF(VALUE(LEFT($G162,FIND("월",$G162)-1))&gt;=9,기준정보!$C$6-1,기준정보!$C$6),VALUE(LEFT($G162,FIND("월",$G162)-1)),1+7*(VALUE(SUBSTITUTE(MID($G162,FIND("월",$G162)+1,5),"주",""))-1)),""),IF($I162&lt;&gt;"",IF(ISNUMBER($I162),$I162+364,IFERROR(DATE(IF(VALUE(LEFT($I162,FIND("월",$I162)-1))&gt;=9,기준정보!$C$6-1,기준정보!$C$6),VALUE(LEFT($I162,FIND("월",$I162)-1)),1+7*(VALUE(SUBSTITUTE(MID($I162,FIND("월",$I162)+1,5),"주",""))-1)),"")),IF($J162&lt;&gt;"",$J162,"")))</f>
        <v>46468</v>
      </c>
      <c r="L162" s="28" t="str">
        <f aca="false">IF($G162&lt;&gt;"","계획 주차",IF($I162&lt;&gt;"","전년+1년 예측",IF($J162&lt;&gt;"","전산 입고계획(참고)","미정")))</f>
        <v>계획 주차</v>
      </c>
      <c r="M162" s="32" t="n">
        <f aca="false">IF($K162="","",$K162-기준정보!$C$5)</f>
        <v>46378</v>
      </c>
      <c r="N162" s="33" t="n">
        <f aca="false">IF($M162="","",$M162-기준정보!$C$4)</f>
        <v>137</v>
      </c>
      <c r="O162" s="31" t="s">
        <v>114</v>
      </c>
      <c r="P162" s="20"/>
      <c r="Q162" s="30" t="str">
        <f aca="false">IF($F162="","",IF(AND(ISNUMBER(SEARCH("CMT",$F162)),OR(ISNUMBER(SEARCH("사입",$F162)),ISNUMBER(SEARCH("Buying",$F162)))),"본사/생산처 혼재",IF(ISNUMBER(SEARCH("CMT",$F162)),"본사(소재팀)","생산처")))</f>
        <v>생산처</v>
      </c>
      <c r="R162" s="29" t="s">
        <v>123</v>
      </c>
      <c r="S162" s="29" t="s">
        <v>120</v>
      </c>
      <c r="T162" s="30" t="str">
        <f aca="false">IF($K162="","출고일 미정",IF($O162="X","작지(일매) 미등록",IF($O162="부분","작지(일매) 일부 미등록",IF(AND($P162&lt;&gt;"",$P162&gt;$M162),"소재입고 마감("&amp;TEXT($M162,"MM/DD")&amp;") 초과",IF($O162="","일매 등록여부 확인 필요",IF($P162="","소재 입고일정 확인 필요","정상"))))))</f>
        <v>작지(일매) 미등록</v>
      </c>
      <c r="U162" s="28" t="str">
        <f aca="false">IF($K162="","",IF(OR(LEFT($T162,2)="작지",LEFT($T162,4)="소재입고"),IF(LEFT($E162,1)="S","★ 납기위험(S코드)","◆ 지연주의"),IF($T162="정상","✓ 정상","? 확인필요")))</f>
        <v>◆ 지연주의</v>
      </c>
      <c r="V162" s="31"/>
      <c r="W162" s="19"/>
    </row>
    <row r="163" customFormat="false" ht="15" hidden="false" customHeight="true" outlineLevel="0" collapsed="false">
      <c r="A163" s="28" t="n">
        <v>159</v>
      </c>
      <c r="B163" s="29" t="s">
        <v>130</v>
      </c>
      <c r="C163" s="30" t="s">
        <v>458</v>
      </c>
      <c r="D163" s="29" t="s">
        <v>459</v>
      </c>
      <c r="E163" s="28" t="str">
        <f aca="false">IF($C163="","",IF(MID($C163,5,1)="S","S(봄)",IF(MID($C163,5,1)="M","M(여름)",IF(MID($C163,5,1)="X","X(사계절)",MID($C163,5,1)))))</f>
        <v>M(여름)</v>
      </c>
      <c r="F163" s="29" t="s">
        <v>106</v>
      </c>
      <c r="G163" s="31" t="s">
        <v>426</v>
      </c>
      <c r="H163" s="28" t="str">
        <f aca="false">IF($C163="","",REPLACE($C163,6,2,"26"))</f>
        <v>TVTCM26694</v>
      </c>
      <c r="I163" s="32" t="str">
        <f aca="false">IFERROR(INDEX(전년출고참조!$B$4:$B$638,MATCH($H163,전년출고참조!$A$4:$A$638,0)),"")</f>
        <v/>
      </c>
      <c r="J163" s="32" t="n">
        <v>46401</v>
      </c>
      <c r="K163" s="32" t="n">
        <f aca="false">IF($G163&lt;&gt;"",IFERROR(DATE(IF(VALUE(LEFT($G163,FIND("월",$G163)-1))&gt;=9,기준정보!$C$6-1,기준정보!$C$6),VALUE(LEFT($G163,FIND("월",$G163)-1)),1+7*(VALUE(SUBSTITUTE(MID($G163,FIND("월",$G163)+1,5),"주",""))-1)),""),IF($I163&lt;&gt;"",IF(ISNUMBER($I163),$I163+364,IFERROR(DATE(IF(VALUE(LEFT($I163,FIND("월",$I163)-1))&gt;=9,기준정보!$C$6-1,기준정보!$C$6),VALUE(LEFT($I163,FIND("월",$I163)-1)),1+7*(VALUE(SUBSTITUTE(MID($I163,FIND("월",$I163)+1,5),"주",""))-1)),"")),IF($J163&lt;&gt;"",$J163,"")))</f>
        <v>46468</v>
      </c>
      <c r="L163" s="28" t="str">
        <f aca="false">IF($G163&lt;&gt;"","계획 주차",IF($I163&lt;&gt;"","전년+1년 예측",IF($J163&lt;&gt;"","전산 입고계획(참고)","미정")))</f>
        <v>계획 주차</v>
      </c>
      <c r="M163" s="32" t="n">
        <f aca="false">IF($K163="","",$K163-기준정보!$C$5)</f>
        <v>46378</v>
      </c>
      <c r="N163" s="33" t="n">
        <f aca="false">IF($M163="","",$M163-기준정보!$C$4)</f>
        <v>137</v>
      </c>
      <c r="O163" s="31" t="s">
        <v>108</v>
      </c>
      <c r="P163" s="20"/>
      <c r="Q163" s="30" t="str">
        <f aca="false">IF($F163="","",IF(AND(ISNUMBER(SEARCH("CMT",$F163)),OR(ISNUMBER(SEARCH("사입",$F163)),ISNUMBER(SEARCH("Buying",$F163)))),"본사/생산처 혼재",IF(ISNUMBER(SEARCH("CMT",$F163)),"본사(소재팀)","생산처")))</f>
        <v>생산처</v>
      </c>
      <c r="R163" s="29" t="s">
        <v>123</v>
      </c>
      <c r="S163" s="29" t="s">
        <v>120</v>
      </c>
      <c r="T163" s="30" t="str">
        <f aca="false">IF($K163="","출고일 미정",IF($O163="X","작지(일매) 미등록",IF($O163="부분","작지(일매) 일부 미등록",IF(AND($P163&lt;&gt;"",$P163&gt;$M163),"소재입고 마감("&amp;TEXT($M163,"MM/DD")&amp;") 초과",IF($O163="","일매 등록여부 확인 필요",IF($P163="","소재 입고일정 확인 필요","정상"))))))</f>
        <v>소재 입고일정 확인 필요</v>
      </c>
      <c r="U163" s="28" t="str">
        <f aca="false">IF($K163="","",IF(OR(LEFT($T163,2)="작지",LEFT($T163,4)="소재입고"),IF(LEFT($E163,1)="S","★ 납기위험(S코드)","◆ 지연주의"),IF($T163="정상","✓ 정상","? 확인필요")))</f>
        <v>? 확인필요</v>
      </c>
      <c r="V163" s="31"/>
      <c r="W163" s="19"/>
    </row>
    <row r="164" customFormat="false" ht="15" hidden="false" customHeight="true" outlineLevel="0" collapsed="false">
      <c r="A164" s="28" t="n">
        <v>160</v>
      </c>
      <c r="B164" s="29" t="s">
        <v>130</v>
      </c>
      <c r="C164" s="30" t="s">
        <v>460</v>
      </c>
      <c r="D164" s="29" t="s">
        <v>461</v>
      </c>
      <c r="E164" s="28" t="str">
        <f aca="false">IF($C164="","",IF(MID($C164,5,1)="S","S(봄)",IF(MID($C164,5,1)="M","M(여름)",IF(MID($C164,5,1)="X","X(사계절)",MID($C164,5,1)))))</f>
        <v>M(여름)</v>
      </c>
      <c r="F164" s="29" t="s">
        <v>106</v>
      </c>
      <c r="G164" s="31" t="s">
        <v>426</v>
      </c>
      <c r="H164" s="28" t="str">
        <f aca="false">IF($C164="","",REPLACE($C164,6,2,"26"))</f>
        <v>TVTCM26696</v>
      </c>
      <c r="I164" s="32" t="str">
        <f aca="false">IFERROR(INDEX(전년출고참조!$B$4:$B$638,MATCH($H164,전년출고참조!$A$4:$A$638,0)),"")</f>
        <v/>
      </c>
      <c r="J164" s="32" t="n">
        <v>46401</v>
      </c>
      <c r="K164" s="32" t="n">
        <f aca="false">IF($G164&lt;&gt;"",IFERROR(DATE(IF(VALUE(LEFT($G164,FIND("월",$G164)-1))&gt;=9,기준정보!$C$6-1,기준정보!$C$6),VALUE(LEFT($G164,FIND("월",$G164)-1)),1+7*(VALUE(SUBSTITUTE(MID($G164,FIND("월",$G164)+1,5),"주",""))-1)),""),IF($I164&lt;&gt;"",IF(ISNUMBER($I164),$I164+364,IFERROR(DATE(IF(VALUE(LEFT($I164,FIND("월",$I164)-1))&gt;=9,기준정보!$C$6-1,기준정보!$C$6),VALUE(LEFT($I164,FIND("월",$I164)-1)),1+7*(VALUE(SUBSTITUTE(MID($I164,FIND("월",$I164)+1,5),"주",""))-1)),"")),IF($J164&lt;&gt;"",$J164,"")))</f>
        <v>46468</v>
      </c>
      <c r="L164" s="28" t="str">
        <f aca="false">IF($G164&lt;&gt;"","계획 주차",IF($I164&lt;&gt;"","전년+1년 예측",IF($J164&lt;&gt;"","전산 입고계획(참고)","미정")))</f>
        <v>계획 주차</v>
      </c>
      <c r="M164" s="32" t="n">
        <f aca="false">IF($K164="","",$K164-기준정보!$C$5)</f>
        <v>46378</v>
      </c>
      <c r="N164" s="33" t="n">
        <f aca="false">IF($M164="","",$M164-기준정보!$C$4)</f>
        <v>137</v>
      </c>
      <c r="O164" s="31" t="s">
        <v>108</v>
      </c>
      <c r="P164" s="20"/>
      <c r="Q164" s="30" t="str">
        <f aca="false">IF($F164="","",IF(AND(ISNUMBER(SEARCH("CMT",$F164)),OR(ISNUMBER(SEARCH("사입",$F164)),ISNUMBER(SEARCH("Buying",$F164)))),"본사/생산처 혼재",IF(ISNUMBER(SEARCH("CMT",$F164)),"본사(소재팀)","생산처")))</f>
        <v>생산처</v>
      </c>
      <c r="R164" s="29" t="s">
        <v>123</v>
      </c>
      <c r="S164" s="29" t="s">
        <v>120</v>
      </c>
      <c r="T164" s="30" t="str">
        <f aca="false">IF($K164="","출고일 미정",IF($O164="X","작지(일매) 미등록",IF($O164="부분","작지(일매) 일부 미등록",IF(AND($P164&lt;&gt;"",$P164&gt;$M164),"소재입고 마감("&amp;TEXT($M164,"MM/DD")&amp;") 초과",IF($O164="","일매 등록여부 확인 필요",IF($P164="","소재 입고일정 확인 필요","정상"))))))</f>
        <v>소재 입고일정 확인 필요</v>
      </c>
      <c r="U164" s="28" t="str">
        <f aca="false">IF($K164="","",IF(OR(LEFT($T164,2)="작지",LEFT($T164,4)="소재입고"),IF(LEFT($E164,1)="S","★ 납기위험(S코드)","◆ 지연주의"),IF($T164="정상","✓ 정상","? 확인필요")))</f>
        <v>? 확인필요</v>
      </c>
      <c r="V164" s="31"/>
      <c r="W164" s="19"/>
    </row>
    <row r="165" customFormat="false" ht="15" hidden="false" customHeight="true" outlineLevel="0" collapsed="false">
      <c r="A165" s="28" t="n">
        <v>161</v>
      </c>
      <c r="B165" s="29" t="s">
        <v>130</v>
      </c>
      <c r="C165" s="30" t="s">
        <v>462</v>
      </c>
      <c r="D165" s="29" t="s">
        <v>463</v>
      </c>
      <c r="E165" s="28" t="str">
        <f aca="false">IF($C165="","",IF(MID($C165,5,1)="S","S(봄)",IF(MID($C165,5,1)="M","M(여름)",IF(MID($C165,5,1)="X","X(사계절)",MID($C165,5,1)))))</f>
        <v>M(여름)</v>
      </c>
      <c r="F165" s="29" t="s">
        <v>106</v>
      </c>
      <c r="G165" s="31" t="s">
        <v>426</v>
      </c>
      <c r="H165" s="28" t="str">
        <f aca="false">IF($C165="","",REPLACE($C165,6,2,"26"))</f>
        <v>TVTCM26698</v>
      </c>
      <c r="I165" s="32" t="str">
        <f aca="false">IFERROR(INDEX(전년출고참조!$B$4:$B$638,MATCH($H165,전년출고참조!$A$4:$A$638,0)),"")</f>
        <v/>
      </c>
      <c r="J165" s="32" t="n">
        <v>46401</v>
      </c>
      <c r="K165" s="32" t="n">
        <f aca="false">IF($G165&lt;&gt;"",IFERROR(DATE(IF(VALUE(LEFT($G165,FIND("월",$G165)-1))&gt;=9,기준정보!$C$6-1,기준정보!$C$6),VALUE(LEFT($G165,FIND("월",$G165)-1)),1+7*(VALUE(SUBSTITUTE(MID($G165,FIND("월",$G165)+1,5),"주",""))-1)),""),IF($I165&lt;&gt;"",IF(ISNUMBER($I165),$I165+364,IFERROR(DATE(IF(VALUE(LEFT($I165,FIND("월",$I165)-1))&gt;=9,기준정보!$C$6-1,기준정보!$C$6),VALUE(LEFT($I165,FIND("월",$I165)-1)),1+7*(VALUE(SUBSTITUTE(MID($I165,FIND("월",$I165)+1,5),"주",""))-1)),"")),IF($J165&lt;&gt;"",$J165,"")))</f>
        <v>46468</v>
      </c>
      <c r="L165" s="28" t="str">
        <f aca="false">IF($G165&lt;&gt;"","계획 주차",IF($I165&lt;&gt;"","전년+1년 예측",IF($J165&lt;&gt;"","전산 입고계획(참고)","미정")))</f>
        <v>계획 주차</v>
      </c>
      <c r="M165" s="32" t="n">
        <f aca="false">IF($K165="","",$K165-기준정보!$C$5)</f>
        <v>46378</v>
      </c>
      <c r="N165" s="33" t="n">
        <f aca="false">IF($M165="","",$M165-기준정보!$C$4)</f>
        <v>137</v>
      </c>
      <c r="O165" s="31" t="s">
        <v>108</v>
      </c>
      <c r="P165" s="20"/>
      <c r="Q165" s="30" t="str">
        <f aca="false">IF($F165="","",IF(AND(ISNUMBER(SEARCH("CMT",$F165)),OR(ISNUMBER(SEARCH("사입",$F165)),ISNUMBER(SEARCH("Buying",$F165)))),"본사/생산처 혼재",IF(ISNUMBER(SEARCH("CMT",$F165)),"본사(소재팀)","생산처")))</f>
        <v>생산처</v>
      </c>
      <c r="R165" s="29" t="s">
        <v>123</v>
      </c>
      <c r="S165" s="29" t="s">
        <v>120</v>
      </c>
      <c r="T165" s="30" t="str">
        <f aca="false">IF($K165="","출고일 미정",IF($O165="X","작지(일매) 미등록",IF($O165="부분","작지(일매) 일부 미등록",IF(AND($P165&lt;&gt;"",$P165&gt;$M165),"소재입고 마감("&amp;TEXT($M165,"MM/DD")&amp;") 초과",IF($O165="","일매 등록여부 확인 필요",IF($P165="","소재 입고일정 확인 필요","정상"))))))</f>
        <v>소재 입고일정 확인 필요</v>
      </c>
      <c r="U165" s="28" t="str">
        <f aca="false">IF($K165="","",IF(OR(LEFT($T165,2)="작지",LEFT($T165,4)="소재입고"),IF(LEFT($E165,1)="S","★ 납기위험(S코드)","◆ 지연주의"),IF($T165="정상","✓ 정상","? 확인필요")))</f>
        <v>? 확인필요</v>
      </c>
      <c r="V165" s="31"/>
      <c r="W165" s="19"/>
    </row>
    <row r="166" customFormat="false" ht="15" hidden="false" customHeight="true" outlineLevel="0" collapsed="false">
      <c r="A166" s="28" t="n">
        <v>162</v>
      </c>
      <c r="B166" s="29" t="s">
        <v>130</v>
      </c>
      <c r="C166" s="30" t="s">
        <v>464</v>
      </c>
      <c r="D166" s="29" t="s">
        <v>465</v>
      </c>
      <c r="E166" s="28" t="str">
        <f aca="false">IF($C166="","",IF(MID($C166,5,1)="S","S(봄)",IF(MID($C166,5,1)="M","M(여름)",IF(MID($C166,5,1)="X","X(사계절)",MID($C166,5,1)))))</f>
        <v>M(여름)</v>
      </c>
      <c r="F166" s="30" t="s">
        <v>141</v>
      </c>
      <c r="G166" s="31" t="s">
        <v>426</v>
      </c>
      <c r="H166" s="28" t="str">
        <f aca="false">IF($C166="","",REPLACE($C166,6,2,"26"))</f>
        <v>TVPOM26512</v>
      </c>
      <c r="I166" s="32" t="str">
        <f aca="false">IFERROR(INDEX(전년출고참조!$B$4:$B$638,MATCH($H166,전년출고참조!$A$4:$A$638,0)),"")</f>
        <v/>
      </c>
      <c r="J166" s="32" t="n">
        <v>46408</v>
      </c>
      <c r="K166" s="32" t="n">
        <f aca="false">IF($G166&lt;&gt;"",IFERROR(DATE(IF(VALUE(LEFT($G166,FIND("월",$G166)-1))&gt;=9,기준정보!$C$6-1,기준정보!$C$6),VALUE(LEFT($G166,FIND("월",$G166)-1)),1+7*(VALUE(SUBSTITUTE(MID($G166,FIND("월",$G166)+1,5),"주",""))-1)),""),IF($I166&lt;&gt;"",IF(ISNUMBER($I166),$I166+364,IFERROR(DATE(IF(VALUE(LEFT($I166,FIND("월",$I166)-1))&gt;=9,기준정보!$C$6-1,기준정보!$C$6),VALUE(LEFT($I166,FIND("월",$I166)-1)),1+7*(VALUE(SUBSTITUTE(MID($I166,FIND("월",$I166)+1,5),"주",""))-1)),"")),IF($J166&lt;&gt;"",$J166,"")))</f>
        <v>46468</v>
      </c>
      <c r="L166" s="28" t="str">
        <f aca="false">IF($G166&lt;&gt;"","계획 주차",IF($I166&lt;&gt;"","전년+1년 예측",IF($J166&lt;&gt;"","전산 입고계획(참고)","미정")))</f>
        <v>계획 주차</v>
      </c>
      <c r="M166" s="32" t="n">
        <f aca="false">IF($K166="","",$K166-기준정보!$C$5)</f>
        <v>46378</v>
      </c>
      <c r="N166" s="33" t="n">
        <f aca="false">IF($M166="","",$M166-기준정보!$C$4)</f>
        <v>137</v>
      </c>
      <c r="O166" s="31" t="s">
        <v>114</v>
      </c>
      <c r="P166" s="20"/>
      <c r="Q166" s="30" t="str">
        <f aca="false">IF($F166="","",IF(AND(ISNUMBER(SEARCH("CMT",$F166)),OR(ISNUMBER(SEARCH("사입",$F166)),ISNUMBER(SEARCH("Buying",$F166)))),"본사/생산처 혼재",IF(ISNUMBER(SEARCH("CMT",$F166)),"본사(소재팀)","생산처")))</f>
        <v>본사(소재팀)</v>
      </c>
      <c r="R166" s="29" t="s">
        <v>148</v>
      </c>
      <c r="S166" s="29" t="s">
        <v>110</v>
      </c>
      <c r="T166" s="30" t="str">
        <f aca="false">IF($K166="","출고일 미정",IF($O166="X","작지(일매) 미등록",IF($O166="부분","작지(일매) 일부 미등록",IF(AND($P166&lt;&gt;"",$P166&gt;$M166),"소재입고 마감("&amp;TEXT($M166,"MM/DD")&amp;") 초과",IF($O166="","일매 등록여부 확인 필요",IF($P166="","소재 입고일정 확인 필요","정상"))))))</f>
        <v>작지(일매) 미등록</v>
      </c>
      <c r="U166" s="28" t="str">
        <f aca="false">IF($K166="","",IF(OR(LEFT($T166,2)="작지",LEFT($T166,4)="소재입고"),IF(LEFT($E166,1)="S","★ 납기위험(S코드)","◆ 지연주의"),IF($T166="정상","✓ 정상","? 확인필요")))</f>
        <v>◆ 지연주의</v>
      </c>
      <c r="V166" s="31"/>
      <c r="W166" s="19"/>
    </row>
    <row r="167" customFormat="false" ht="15" hidden="false" customHeight="true" outlineLevel="0" collapsed="false">
      <c r="A167" s="28" t="n">
        <v>163</v>
      </c>
      <c r="B167" s="29" t="s">
        <v>218</v>
      </c>
      <c r="C167" s="30" t="s">
        <v>466</v>
      </c>
      <c r="D167" s="29" t="s">
        <v>467</v>
      </c>
      <c r="E167" s="28" t="str">
        <f aca="false">IF($C167="","",IF(MID($C167,5,1)="S","S(봄)",IF(MID($C167,5,1)="M","M(여름)",IF(MID($C167,5,1)="X","X(사계절)",MID($C167,5,1)))))</f>
        <v>M(여름)</v>
      </c>
      <c r="F167" s="29" t="s">
        <v>106</v>
      </c>
      <c r="G167" s="31" t="s">
        <v>426</v>
      </c>
      <c r="H167" s="28" t="str">
        <f aca="false">IF($C167="","",REPLACE($C167,6,2,"26"))</f>
        <v>JWJJM26301</v>
      </c>
      <c r="I167" s="32" t="str">
        <f aca="false">IFERROR(INDEX(전년출고참조!$B$4:$B$638,MATCH($H167,전년출고참조!$A$4:$A$638,0)),"")</f>
        <v/>
      </c>
      <c r="J167" s="32" t="n">
        <v>46437</v>
      </c>
      <c r="K167" s="32" t="n">
        <f aca="false">IF($G167&lt;&gt;"",IFERROR(DATE(IF(VALUE(LEFT($G167,FIND("월",$G167)-1))&gt;=9,기준정보!$C$6-1,기준정보!$C$6),VALUE(LEFT($G167,FIND("월",$G167)-1)),1+7*(VALUE(SUBSTITUTE(MID($G167,FIND("월",$G167)+1,5),"주",""))-1)),""),IF($I167&lt;&gt;"",IF(ISNUMBER($I167),$I167+364,IFERROR(DATE(IF(VALUE(LEFT($I167,FIND("월",$I167)-1))&gt;=9,기준정보!$C$6-1,기준정보!$C$6),VALUE(LEFT($I167,FIND("월",$I167)-1)),1+7*(VALUE(SUBSTITUTE(MID($I167,FIND("월",$I167)+1,5),"주",""))-1)),"")),IF($J167&lt;&gt;"",$J167,"")))</f>
        <v>46468</v>
      </c>
      <c r="L167" s="28" t="str">
        <f aca="false">IF($G167&lt;&gt;"","계획 주차",IF($I167&lt;&gt;"","전년+1년 예측",IF($J167&lt;&gt;"","전산 입고계획(참고)","미정")))</f>
        <v>계획 주차</v>
      </c>
      <c r="M167" s="32" t="n">
        <f aca="false">IF($K167="","",$K167-기준정보!$C$5)</f>
        <v>46378</v>
      </c>
      <c r="N167" s="33" t="n">
        <f aca="false">IF($M167="","",$M167-기준정보!$C$4)</f>
        <v>137</v>
      </c>
      <c r="O167" s="31" t="s">
        <v>108</v>
      </c>
      <c r="P167" s="20"/>
      <c r="Q167" s="30" t="str">
        <f aca="false">IF($F167="","",IF(AND(ISNUMBER(SEARCH("CMT",$F167)),OR(ISNUMBER(SEARCH("사입",$F167)),ISNUMBER(SEARCH("Buying",$F167)))),"본사/생산처 혼재",IF(ISNUMBER(SEARCH("CMT",$F167)),"본사(소재팀)","생산처")))</f>
        <v>생산처</v>
      </c>
      <c r="R167" s="29" t="s">
        <v>109</v>
      </c>
      <c r="S167" s="29" t="s">
        <v>110</v>
      </c>
      <c r="T167" s="30" t="str">
        <f aca="false">IF($K167="","출고일 미정",IF($O167="X","작지(일매) 미등록",IF($O167="부분","작지(일매) 일부 미등록",IF(AND($P167&lt;&gt;"",$P167&gt;$M167),"소재입고 마감("&amp;TEXT($M167,"MM/DD")&amp;") 초과",IF($O167="","일매 등록여부 확인 필요",IF($P167="","소재 입고일정 확인 필요","정상"))))))</f>
        <v>소재 입고일정 확인 필요</v>
      </c>
      <c r="U167" s="28" t="str">
        <f aca="false">IF($K167="","",IF(OR(LEFT($T167,2)="작지",LEFT($T167,4)="소재입고"),IF(LEFT($E167,1)="S","★ 납기위험(S코드)","◆ 지연주의"),IF($T167="정상","✓ 정상","? 확인필요")))</f>
        <v>? 확인필요</v>
      </c>
      <c r="V167" s="31"/>
      <c r="W167" s="19"/>
    </row>
    <row r="168" customFormat="false" ht="15" hidden="false" customHeight="true" outlineLevel="0" collapsed="false">
      <c r="A168" s="28" t="n">
        <v>164</v>
      </c>
      <c r="B168" s="29" t="s">
        <v>116</v>
      </c>
      <c r="C168" s="30" t="s">
        <v>468</v>
      </c>
      <c r="D168" s="29" t="s">
        <v>469</v>
      </c>
      <c r="E168" s="28" t="str">
        <f aca="false">IF($C168="","",IF(MID($C168,5,1)="S","S(봄)",IF(MID($C168,5,1)="M","M(여름)",IF(MID($C168,5,1)="X","X(사계절)",MID($C168,5,1)))))</f>
        <v>M(여름)</v>
      </c>
      <c r="F168" s="29" t="s">
        <v>106</v>
      </c>
      <c r="G168" s="31" t="s">
        <v>194</v>
      </c>
      <c r="H168" s="28" t="str">
        <f aca="false">IF($C168="","",REPLACE($C168,6,2,"26"))</f>
        <v>JWTCM26191</v>
      </c>
      <c r="I168" s="32" t="str">
        <f aca="false">IFERROR(INDEX(전년출고참조!$B$4:$B$638,MATCH($H168,전년출고참조!$A$4:$A$638,0)),"")</f>
        <v/>
      </c>
      <c r="J168" s="32" t="n">
        <v>46367</v>
      </c>
      <c r="K168" s="32" t="n">
        <f aca="false">IF($G168&lt;&gt;"",IFERROR(DATE(IF(VALUE(LEFT($G168,FIND("월",$G168)-1))&gt;=9,기준정보!$C$6-1,기준정보!$C$6),VALUE(LEFT($G168,FIND("월",$G168)-1)),1+7*(VALUE(SUBSTITUTE(MID($G168,FIND("월",$G168)+1,5),"주",""))-1)),""),IF($I168&lt;&gt;"",IF(ISNUMBER($I168),$I168+364,IFERROR(DATE(IF(VALUE(LEFT($I168,FIND("월",$I168)-1))&gt;=9,기준정보!$C$6-1,기준정보!$C$6),VALUE(LEFT($I168,FIND("월",$I168)-1)),1+7*(VALUE(SUBSTITUTE(MID($I168,FIND("월",$I168)+1,5),"주",""))-1)),"")),IF($J168&lt;&gt;"",$J168,"")))</f>
        <v>46478</v>
      </c>
      <c r="L168" s="28" t="str">
        <f aca="false">IF($G168&lt;&gt;"","계획 주차",IF($I168&lt;&gt;"","전년+1년 예측",IF($J168&lt;&gt;"","전산 입고계획(참고)","미정")))</f>
        <v>계획 주차</v>
      </c>
      <c r="M168" s="32" t="n">
        <f aca="false">IF($K168="","",$K168-기준정보!$C$5)</f>
        <v>46388</v>
      </c>
      <c r="N168" s="33" t="n">
        <f aca="false">IF($M168="","",$M168-기준정보!$C$4)</f>
        <v>147</v>
      </c>
      <c r="O168" s="31" t="s">
        <v>108</v>
      </c>
      <c r="P168" s="20"/>
      <c r="Q168" s="30" t="str">
        <f aca="false">IF($F168="","",IF(AND(ISNUMBER(SEARCH("CMT",$F168)),OR(ISNUMBER(SEARCH("사입",$F168)),ISNUMBER(SEARCH("Buying",$F168)))),"본사/생산처 혼재",IF(ISNUMBER(SEARCH("CMT",$F168)),"본사(소재팀)","생산처")))</f>
        <v>생산처</v>
      </c>
      <c r="R168" s="29" t="s">
        <v>156</v>
      </c>
      <c r="S168" s="29" t="s">
        <v>110</v>
      </c>
      <c r="T168" s="30" t="str">
        <f aca="false">IF($K168="","출고일 미정",IF($O168="X","작지(일매) 미등록",IF($O168="부분","작지(일매) 일부 미등록",IF(AND($P168&lt;&gt;"",$P168&gt;$M168),"소재입고 마감("&amp;TEXT($M168,"MM/DD")&amp;") 초과",IF($O168="","일매 등록여부 확인 필요",IF($P168="","소재 입고일정 확인 필요","정상"))))))</f>
        <v>소재 입고일정 확인 필요</v>
      </c>
      <c r="U168" s="28" t="str">
        <f aca="false">IF($K168="","",IF(OR(LEFT($T168,2)="작지",LEFT($T168,4)="소재입고"),IF(LEFT($E168,1)="S","★ 납기위험(S코드)","◆ 지연주의"),IF($T168="정상","✓ 정상","? 확인필요")))</f>
        <v>? 확인필요</v>
      </c>
      <c r="V168" s="31"/>
      <c r="W168" s="19"/>
    </row>
    <row r="169" customFormat="false" ht="15" hidden="false" customHeight="true" outlineLevel="0" collapsed="false">
      <c r="A169" s="28" t="n">
        <v>165</v>
      </c>
      <c r="B169" s="29" t="s">
        <v>218</v>
      </c>
      <c r="C169" s="30" t="s">
        <v>470</v>
      </c>
      <c r="D169" s="29" t="s">
        <v>471</v>
      </c>
      <c r="E169" s="28" t="str">
        <f aca="false">IF($C169="","",IF(MID($C169,5,1)="S","S(봄)",IF(MID($C169,5,1)="M","M(여름)",IF(MID($C169,5,1)="X","X(사계절)",MID($C169,5,1)))))</f>
        <v>M(여름)</v>
      </c>
      <c r="F169" s="29" t="s">
        <v>106</v>
      </c>
      <c r="G169" s="31"/>
      <c r="H169" s="28" t="str">
        <f aca="false">IF($C169="","",REPLACE($C169,6,2,"26"))</f>
        <v>JKJJM26124</v>
      </c>
      <c r="I169" s="32" t="str">
        <f aca="false">IFERROR(INDEX(전년출고참조!$B$4:$B$638,MATCH($H169,전년출고참조!$A$4:$A$638,0)),"")</f>
        <v/>
      </c>
      <c r="J169" s="32" t="n">
        <v>46367</v>
      </c>
      <c r="K169" s="32" t="n">
        <f aca="false">IF($G169&lt;&gt;"",IFERROR(DATE(IF(VALUE(LEFT($G169,FIND("월",$G169)-1))&gt;=9,기준정보!$C$6-1,기준정보!$C$6),VALUE(LEFT($G169,FIND("월",$G169)-1)),1+7*(VALUE(SUBSTITUTE(MID($G169,FIND("월",$G169)+1,5),"주",""))-1)),""),IF($I169&lt;&gt;"",IF(ISNUMBER($I169),$I169+364,IFERROR(DATE(IF(VALUE(LEFT($I169,FIND("월",$I169)-1))&gt;=9,기준정보!$C$6-1,기준정보!$C$6),VALUE(LEFT($I169,FIND("월",$I169)-1)),1+7*(VALUE(SUBSTITUTE(MID($I169,FIND("월",$I169)+1,5),"주",""))-1)),"")),IF($J169&lt;&gt;"",$J169,"")))</f>
        <v>46367</v>
      </c>
      <c r="L169" s="28" t="str">
        <f aca="false">IF($G169&lt;&gt;"","계획 주차",IF($I169&lt;&gt;"","전년+1년 예측",IF($J169&lt;&gt;"","전산 입고계획(참고)","미정")))</f>
        <v>전산 입고계획(참고)</v>
      </c>
      <c r="M169" s="32" t="n">
        <f aca="false">IF($K169="","",$K169-기준정보!$C$5)</f>
        <v>46277</v>
      </c>
      <c r="N169" s="33" t="n">
        <f aca="false">IF($M169="","",$M169-기준정보!$C$4)</f>
        <v>36</v>
      </c>
      <c r="O169" s="31" t="s">
        <v>108</v>
      </c>
      <c r="P169" s="20"/>
      <c r="Q169" s="30" t="str">
        <f aca="false">IF($F169="","",IF(AND(ISNUMBER(SEARCH("CMT",$F169)),OR(ISNUMBER(SEARCH("사입",$F169)),ISNUMBER(SEARCH("Buying",$F169)))),"본사/생산처 혼재",IF(ISNUMBER(SEARCH("CMT",$F169)),"본사(소재팀)","생산처")))</f>
        <v>생산처</v>
      </c>
      <c r="R169" s="29" t="s">
        <v>123</v>
      </c>
      <c r="S169" s="29" t="s">
        <v>120</v>
      </c>
      <c r="T169" s="30" t="str">
        <f aca="false">IF($K169="","출고일 미정",IF($O169="X","작지(일매) 미등록",IF($O169="부분","작지(일매) 일부 미등록",IF(AND($P169&lt;&gt;"",$P169&gt;$M169),"소재입고 마감("&amp;TEXT($M169,"MM/DD")&amp;") 초과",IF($O169="","일매 등록여부 확인 필요",IF($P169="","소재 입고일정 확인 필요","정상"))))))</f>
        <v>소재 입고일정 확인 필요</v>
      </c>
      <c r="U169" s="28" t="str">
        <f aca="false">IF($K169="","",IF(OR(LEFT($T169,2)="작지",LEFT($T169,4)="소재입고"),IF(LEFT($E169,1)="S","★ 납기위험(S코드)","◆ 지연주의"),IF($T169="정상","✓ 정상","? 확인필요")))</f>
        <v>? 확인필요</v>
      </c>
      <c r="V169" s="31"/>
      <c r="W169" s="19"/>
    </row>
    <row r="170" customFormat="false" ht="15" hidden="false" customHeight="true" outlineLevel="0" collapsed="false">
      <c r="A170" s="28" t="n">
        <v>166</v>
      </c>
      <c r="B170" s="29" t="s">
        <v>218</v>
      </c>
      <c r="C170" s="30" t="s">
        <v>472</v>
      </c>
      <c r="D170" s="29" t="s">
        <v>473</v>
      </c>
      <c r="E170" s="28" t="str">
        <f aca="false">IF($C170="","",IF(MID($C170,5,1)="S","S(봄)",IF(MID($C170,5,1)="M","M(여름)",IF(MID($C170,5,1)="X","X(사계절)",MID($C170,5,1)))))</f>
        <v>M(여름)</v>
      </c>
      <c r="F170" s="29" t="s">
        <v>106</v>
      </c>
      <c r="G170" s="31"/>
      <c r="H170" s="28" t="str">
        <f aca="false">IF($C170="","",REPLACE($C170,6,2,"26"))</f>
        <v>JKJJM26142</v>
      </c>
      <c r="I170" s="32" t="str">
        <f aca="false">IFERROR(INDEX(전년출고참조!$B$4:$B$638,MATCH($H170,전년출고참조!$A$4:$A$638,0)),"")</f>
        <v/>
      </c>
      <c r="J170" s="32" t="n">
        <v>46367</v>
      </c>
      <c r="K170" s="32" t="n">
        <f aca="false">IF($G170&lt;&gt;"",IFERROR(DATE(IF(VALUE(LEFT($G170,FIND("월",$G170)-1))&gt;=9,기준정보!$C$6-1,기준정보!$C$6),VALUE(LEFT($G170,FIND("월",$G170)-1)),1+7*(VALUE(SUBSTITUTE(MID($G170,FIND("월",$G170)+1,5),"주",""))-1)),""),IF($I170&lt;&gt;"",IF(ISNUMBER($I170),$I170+364,IFERROR(DATE(IF(VALUE(LEFT($I170,FIND("월",$I170)-1))&gt;=9,기준정보!$C$6-1,기준정보!$C$6),VALUE(LEFT($I170,FIND("월",$I170)-1)),1+7*(VALUE(SUBSTITUTE(MID($I170,FIND("월",$I170)+1,5),"주",""))-1)),"")),IF($J170&lt;&gt;"",$J170,"")))</f>
        <v>46367</v>
      </c>
      <c r="L170" s="28" t="str">
        <f aca="false">IF($G170&lt;&gt;"","계획 주차",IF($I170&lt;&gt;"","전년+1년 예측",IF($J170&lt;&gt;"","전산 입고계획(참고)","미정")))</f>
        <v>전산 입고계획(참고)</v>
      </c>
      <c r="M170" s="32" t="n">
        <f aca="false">IF($K170="","",$K170-기준정보!$C$5)</f>
        <v>46277</v>
      </c>
      <c r="N170" s="33" t="n">
        <f aca="false">IF($M170="","",$M170-기준정보!$C$4)</f>
        <v>36</v>
      </c>
      <c r="O170" s="31" t="s">
        <v>114</v>
      </c>
      <c r="P170" s="20"/>
      <c r="Q170" s="30" t="str">
        <f aca="false">IF($F170="","",IF(AND(ISNUMBER(SEARCH("CMT",$F170)),OR(ISNUMBER(SEARCH("사입",$F170)),ISNUMBER(SEARCH("Buying",$F170)))),"본사/생산처 혼재",IF(ISNUMBER(SEARCH("CMT",$F170)),"본사(소재팀)","생산처")))</f>
        <v>생산처</v>
      </c>
      <c r="R170" s="29" t="s">
        <v>119</v>
      </c>
      <c r="S170" s="29" t="s">
        <v>110</v>
      </c>
      <c r="T170" s="30" t="str">
        <f aca="false">IF($K170="","출고일 미정",IF($O170="X","작지(일매) 미등록",IF($O170="부분","작지(일매) 일부 미등록",IF(AND($P170&lt;&gt;"",$P170&gt;$M170),"소재입고 마감("&amp;TEXT($M170,"MM/DD")&amp;") 초과",IF($O170="","일매 등록여부 확인 필요",IF($P170="","소재 입고일정 확인 필요","정상"))))))</f>
        <v>작지(일매) 미등록</v>
      </c>
      <c r="U170" s="28" t="str">
        <f aca="false">IF($K170="","",IF(OR(LEFT($T170,2)="작지",LEFT($T170,4)="소재입고"),IF(LEFT($E170,1)="S","★ 납기위험(S코드)","◆ 지연주의"),IF($T170="정상","✓ 정상","? 확인필요")))</f>
        <v>◆ 지연주의</v>
      </c>
      <c r="V170" s="31"/>
      <c r="W170" s="19"/>
    </row>
    <row r="171" customFormat="false" ht="15" hidden="false" customHeight="true" outlineLevel="0" collapsed="false">
      <c r="A171" s="28" t="n">
        <v>167</v>
      </c>
      <c r="B171" s="29" t="s">
        <v>218</v>
      </c>
      <c r="C171" s="30" t="s">
        <v>474</v>
      </c>
      <c r="D171" s="29" t="s">
        <v>475</v>
      </c>
      <c r="E171" s="28" t="str">
        <f aca="false">IF($C171="","",IF(MID($C171,5,1)="S","S(봄)",IF(MID($C171,5,1)="M","M(여름)",IF(MID($C171,5,1)="X","X(사계절)",MID($C171,5,1)))))</f>
        <v>M(여름)</v>
      </c>
      <c r="F171" s="30" t="s">
        <v>141</v>
      </c>
      <c r="G171" s="31"/>
      <c r="H171" s="28" t="str">
        <f aca="false">IF($C171="","",REPLACE($C171,6,2,"26"))</f>
        <v>JKJJM26152</v>
      </c>
      <c r="I171" s="32" t="str">
        <f aca="false">IFERROR(INDEX(전년출고참조!$B$4:$B$638,MATCH($H171,전년출고참조!$A$4:$A$638,0)),"")</f>
        <v/>
      </c>
      <c r="J171" s="32" t="n">
        <v>46367</v>
      </c>
      <c r="K171" s="32" t="n">
        <f aca="false">IF($G171&lt;&gt;"",IFERROR(DATE(IF(VALUE(LEFT($G171,FIND("월",$G171)-1))&gt;=9,기준정보!$C$6-1,기준정보!$C$6),VALUE(LEFT($G171,FIND("월",$G171)-1)),1+7*(VALUE(SUBSTITUTE(MID($G171,FIND("월",$G171)+1,5),"주",""))-1)),""),IF($I171&lt;&gt;"",IF(ISNUMBER($I171),$I171+364,IFERROR(DATE(IF(VALUE(LEFT($I171,FIND("월",$I171)-1))&gt;=9,기준정보!$C$6-1,기준정보!$C$6),VALUE(LEFT($I171,FIND("월",$I171)-1)),1+7*(VALUE(SUBSTITUTE(MID($I171,FIND("월",$I171)+1,5),"주",""))-1)),"")),IF($J171&lt;&gt;"",$J171,"")))</f>
        <v>46367</v>
      </c>
      <c r="L171" s="28" t="str">
        <f aca="false">IF($G171&lt;&gt;"","계획 주차",IF($I171&lt;&gt;"","전년+1년 예측",IF($J171&lt;&gt;"","전산 입고계획(참고)","미정")))</f>
        <v>전산 입고계획(참고)</v>
      </c>
      <c r="M171" s="32" t="n">
        <f aca="false">IF($K171="","",$K171-기준정보!$C$5)</f>
        <v>46277</v>
      </c>
      <c r="N171" s="33" t="n">
        <f aca="false">IF($M171="","",$M171-기준정보!$C$4)</f>
        <v>36</v>
      </c>
      <c r="O171" s="31" t="s">
        <v>108</v>
      </c>
      <c r="P171" s="20"/>
      <c r="Q171" s="30" t="str">
        <f aca="false">IF($F171="","",IF(AND(ISNUMBER(SEARCH("CMT",$F171)),OR(ISNUMBER(SEARCH("사입",$F171)),ISNUMBER(SEARCH("Buying",$F171)))),"본사/생산처 혼재",IF(ISNUMBER(SEARCH("CMT",$F171)),"본사(소재팀)","생산처")))</f>
        <v>본사(소재팀)</v>
      </c>
      <c r="R171" s="29" t="s">
        <v>138</v>
      </c>
      <c r="S171" s="29" t="s">
        <v>110</v>
      </c>
      <c r="T171" s="30" t="str">
        <f aca="false">IF($K171="","출고일 미정",IF($O171="X","작지(일매) 미등록",IF($O171="부분","작지(일매) 일부 미등록",IF(AND($P171&lt;&gt;"",$P171&gt;$M171),"소재입고 마감("&amp;TEXT($M171,"MM/DD")&amp;") 초과",IF($O171="","일매 등록여부 확인 필요",IF($P171="","소재 입고일정 확인 필요","정상"))))))</f>
        <v>소재 입고일정 확인 필요</v>
      </c>
      <c r="U171" s="28" t="str">
        <f aca="false">IF($K171="","",IF(OR(LEFT($T171,2)="작지",LEFT($T171,4)="소재입고"),IF(LEFT($E171,1)="S","★ 납기위험(S코드)","◆ 지연주의"),IF($T171="정상","✓ 정상","? 확인필요")))</f>
        <v>? 확인필요</v>
      </c>
      <c r="V171" s="31"/>
      <c r="W171" s="19"/>
    </row>
    <row r="172" customFormat="false" ht="15" hidden="false" customHeight="true" outlineLevel="0" collapsed="false">
      <c r="A172" s="28" t="n">
        <v>168</v>
      </c>
      <c r="B172" s="29" t="s">
        <v>218</v>
      </c>
      <c r="C172" s="30" t="s">
        <v>476</v>
      </c>
      <c r="D172" s="29" t="s">
        <v>477</v>
      </c>
      <c r="E172" s="28" t="str">
        <f aca="false">IF($C172="","",IF(MID($C172,5,1)="S","S(봄)",IF(MID($C172,5,1)="M","M(여름)",IF(MID($C172,5,1)="X","X(사계절)",MID($C172,5,1)))))</f>
        <v>M(여름)</v>
      </c>
      <c r="F172" s="29" t="s">
        <v>106</v>
      </c>
      <c r="G172" s="31"/>
      <c r="H172" s="28" t="str">
        <f aca="false">IF($C172="","",REPLACE($C172,6,2,"26"))</f>
        <v>JKJJM26156</v>
      </c>
      <c r="I172" s="32" t="str">
        <f aca="false">IFERROR(INDEX(전년출고참조!$B$4:$B$638,MATCH($H172,전년출고참조!$A$4:$A$638,0)),"")</f>
        <v/>
      </c>
      <c r="J172" s="32" t="n">
        <v>46367</v>
      </c>
      <c r="K172" s="32" t="n">
        <f aca="false">IF($G172&lt;&gt;"",IFERROR(DATE(IF(VALUE(LEFT($G172,FIND("월",$G172)-1))&gt;=9,기준정보!$C$6-1,기준정보!$C$6),VALUE(LEFT($G172,FIND("월",$G172)-1)),1+7*(VALUE(SUBSTITUTE(MID($G172,FIND("월",$G172)+1,5),"주",""))-1)),""),IF($I172&lt;&gt;"",IF(ISNUMBER($I172),$I172+364,IFERROR(DATE(IF(VALUE(LEFT($I172,FIND("월",$I172)-1))&gt;=9,기준정보!$C$6-1,기준정보!$C$6),VALUE(LEFT($I172,FIND("월",$I172)-1)),1+7*(VALUE(SUBSTITUTE(MID($I172,FIND("월",$I172)+1,5),"주",""))-1)),"")),IF($J172&lt;&gt;"",$J172,"")))</f>
        <v>46367</v>
      </c>
      <c r="L172" s="28" t="str">
        <f aca="false">IF($G172&lt;&gt;"","계획 주차",IF($I172&lt;&gt;"","전년+1년 예측",IF($J172&lt;&gt;"","전산 입고계획(참고)","미정")))</f>
        <v>전산 입고계획(참고)</v>
      </c>
      <c r="M172" s="32" t="n">
        <f aca="false">IF($K172="","",$K172-기준정보!$C$5)</f>
        <v>46277</v>
      </c>
      <c r="N172" s="33" t="n">
        <f aca="false">IF($M172="","",$M172-기준정보!$C$4)</f>
        <v>36</v>
      </c>
      <c r="O172" s="31" t="s">
        <v>114</v>
      </c>
      <c r="P172" s="20"/>
      <c r="Q172" s="30" t="str">
        <f aca="false">IF($F172="","",IF(AND(ISNUMBER(SEARCH("CMT",$F172)),OR(ISNUMBER(SEARCH("사입",$F172)),ISNUMBER(SEARCH("Buying",$F172)))),"본사/생산처 혼재",IF(ISNUMBER(SEARCH("CMT",$F172)),"본사(소재팀)","생산처")))</f>
        <v>생산처</v>
      </c>
      <c r="R172" s="29" t="s">
        <v>119</v>
      </c>
      <c r="S172" s="29" t="s">
        <v>110</v>
      </c>
      <c r="T172" s="30" t="str">
        <f aca="false">IF($K172="","출고일 미정",IF($O172="X","작지(일매) 미등록",IF($O172="부분","작지(일매) 일부 미등록",IF(AND($P172&lt;&gt;"",$P172&gt;$M172),"소재입고 마감("&amp;TEXT($M172,"MM/DD")&amp;") 초과",IF($O172="","일매 등록여부 확인 필요",IF($P172="","소재 입고일정 확인 필요","정상"))))))</f>
        <v>작지(일매) 미등록</v>
      </c>
      <c r="U172" s="28" t="str">
        <f aca="false">IF($K172="","",IF(OR(LEFT($T172,2)="작지",LEFT($T172,4)="소재입고"),IF(LEFT($E172,1)="S","★ 납기위험(S코드)","◆ 지연주의"),IF($T172="정상","✓ 정상","? 확인필요")))</f>
        <v>◆ 지연주의</v>
      </c>
      <c r="V172" s="31"/>
      <c r="W172" s="19"/>
    </row>
    <row r="173" customFormat="false" ht="15" hidden="false" customHeight="true" outlineLevel="0" collapsed="false">
      <c r="A173" s="28" t="n">
        <v>169</v>
      </c>
      <c r="B173" s="29" t="s">
        <v>218</v>
      </c>
      <c r="C173" s="30" t="s">
        <v>478</v>
      </c>
      <c r="D173" s="29" t="s">
        <v>479</v>
      </c>
      <c r="E173" s="28" t="str">
        <f aca="false">IF($C173="","",IF(MID($C173,5,1)="S","S(봄)",IF(MID($C173,5,1)="M","M(여름)",IF(MID($C173,5,1)="X","X(사계절)",MID($C173,5,1)))))</f>
        <v>M(여름)</v>
      </c>
      <c r="F173" s="29" t="s">
        <v>106</v>
      </c>
      <c r="G173" s="31"/>
      <c r="H173" s="28" t="str">
        <f aca="false">IF($C173="","",REPLACE($C173,6,2,"26"))</f>
        <v>JKJJM26162</v>
      </c>
      <c r="I173" s="32" t="str">
        <f aca="false">IFERROR(INDEX(전년출고참조!$B$4:$B$638,MATCH($H173,전년출고참조!$A$4:$A$638,0)),"")</f>
        <v/>
      </c>
      <c r="J173" s="32" t="n">
        <v>46367</v>
      </c>
      <c r="K173" s="32" t="n">
        <f aca="false">IF($G173&lt;&gt;"",IFERROR(DATE(IF(VALUE(LEFT($G173,FIND("월",$G173)-1))&gt;=9,기준정보!$C$6-1,기준정보!$C$6),VALUE(LEFT($G173,FIND("월",$G173)-1)),1+7*(VALUE(SUBSTITUTE(MID($G173,FIND("월",$G173)+1,5),"주",""))-1)),""),IF($I173&lt;&gt;"",IF(ISNUMBER($I173),$I173+364,IFERROR(DATE(IF(VALUE(LEFT($I173,FIND("월",$I173)-1))&gt;=9,기준정보!$C$6-1,기준정보!$C$6),VALUE(LEFT($I173,FIND("월",$I173)-1)),1+7*(VALUE(SUBSTITUTE(MID($I173,FIND("월",$I173)+1,5),"주",""))-1)),"")),IF($J173&lt;&gt;"",$J173,"")))</f>
        <v>46367</v>
      </c>
      <c r="L173" s="28" t="str">
        <f aca="false">IF($G173&lt;&gt;"","계획 주차",IF($I173&lt;&gt;"","전년+1년 예측",IF($J173&lt;&gt;"","전산 입고계획(참고)","미정")))</f>
        <v>전산 입고계획(참고)</v>
      </c>
      <c r="M173" s="32" t="n">
        <f aca="false">IF($K173="","",$K173-기준정보!$C$5)</f>
        <v>46277</v>
      </c>
      <c r="N173" s="33" t="n">
        <f aca="false">IF($M173="","",$M173-기준정보!$C$4)</f>
        <v>36</v>
      </c>
      <c r="O173" s="31" t="s">
        <v>114</v>
      </c>
      <c r="P173" s="20"/>
      <c r="Q173" s="30" t="str">
        <f aca="false">IF($F173="","",IF(AND(ISNUMBER(SEARCH("CMT",$F173)),OR(ISNUMBER(SEARCH("사입",$F173)),ISNUMBER(SEARCH("Buying",$F173)))),"본사/생산처 혼재",IF(ISNUMBER(SEARCH("CMT",$F173)),"본사(소재팀)","생산처")))</f>
        <v>생산처</v>
      </c>
      <c r="R173" s="29" t="s">
        <v>138</v>
      </c>
      <c r="S173" s="29" t="s">
        <v>110</v>
      </c>
      <c r="T173" s="30" t="str">
        <f aca="false">IF($K173="","출고일 미정",IF($O173="X","작지(일매) 미등록",IF($O173="부분","작지(일매) 일부 미등록",IF(AND($P173&lt;&gt;"",$P173&gt;$M173),"소재입고 마감("&amp;TEXT($M173,"MM/DD")&amp;") 초과",IF($O173="","일매 등록여부 확인 필요",IF($P173="","소재 입고일정 확인 필요","정상"))))))</f>
        <v>작지(일매) 미등록</v>
      </c>
      <c r="U173" s="28" t="str">
        <f aca="false">IF($K173="","",IF(OR(LEFT($T173,2)="작지",LEFT($T173,4)="소재입고"),IF(LEFT($E173,1)="S","★ 납기위험(S코드)","◆ 지연주의"),IF($T173="정상","✓ 정상","? 확인필요")))</f>
        <v>◆ 지연주의</v>
      </c>
      <c r="V173" s="31"/>
      <c r="W173" s="19"/>
    </row>
    <row r="174" customFormat="false" ht="15" hidden="false" customHeight="true" outlineLevel="0" collapsed="false">
      <c r="A174" s="28" t="n">
        <v>170</v>
      </c>
      <c r="B174" s="29" t="s">
        <v>218</v>
      </c>
      <c r="C174" s="30" t="s">
        <v>480</v>
      </c>
      <c r="D174" s="29" t="s">
        <v>481</v>
      </c>
      <c r="E174" s="28" t="str">
        <f aca="false">IF($C174="","",IF(MID($C174,5,1)="S","S(봄)",IF(MID($C174,5,1)="M","M(여름)",IF(MID($C174,5,1)="X","X(사계절)",MID($C174,5,1)))))</f>
        <v>M(여름)</v>
      </c>
      <c r="F174" s="30" t="s">
        <v>141</v>
      </c>
      <c r="G174" s="31"/>
      <c r="H174" s="28" t="str">
        <f aca="false">IF($C174="","",REPLACE($C174,6,2,"26"))</f>
        <v>JKJJM26172</v>
      </c>
      <c r="I174" s="32" t="str">
        <f aca="false">IFERROR(INDEX(전년출고참조!$B$4:$B$638,MATCH($H174,전년출고참조!$A$4:$A$638,0)),"")</f>
        <v/>
      </c>
      <c r="J174" s="32" t="n">
        <v>46367</v>
      </c>
      <c r="K174" s="32" t="n">
        <f aca="false">IF($G174&lt;&gt;"",IFERROR(DATE(IF(VALUE(LEFT($G174,FIND("월",$G174)-1))&gt;=9,기준정보!$C$6-1,기준정보!$C$6),VALUE(LEFT($G174,FIND("월",$G174)-1)),1+7*(VALUE(SUBSTITUTE(MID($G174,FIND("월",$G174)+1,5),"주",""))-1)),""),IF($I174&lt;&gt;"",IF(ISNUMBER($I174),$I174+364,IFERROR(DATE(IF(VALUE(LEFT($I174,FIND("월",$I174)-1))&gt;=9,기준정보!$C$6-1,기준정보!$C$6),VALUE(LEFT($I174,FIND("월",$I174)-1)),1+7*(VALUE(SUBSTITUTE(MID($I174,FIND("월",$I174)+1,5),"주",""))-1)),"")),IF($J174&lt;&gt;"",$J174,"")))</f>
        <v>46367</v>
      </c>
      <c r="L174" s="28" t="str">
        <f aca="false">IF($G174&lt;&gt;"","계획 주차",IF($I174&lt;&gt;"","전년+1년 예측",IF($J174&lt;&gt;"","전산 입고계획(참고)","미정")))</f>
        <v>전산 입고계획(참고)</v>
      </c>
      <c r="M174" s="32" t="n">
        <f aca="false">IF($K174="","",$K174-기준정보!$C$5)</f>
        <v>46277</v>
      </c>
      <c r="N174" s="33" t="n">
        <f aca="false">IF($M174="","",$M174-기준정보!$C$4)</f>
        <v>36</v>
      </c>
      <c r="O174" s="31" t="s">
        <v>108</v>
      </c>
      <c r="P174" s="20"/>
      <c r="Q174" s="30" t="str">
        <f aca="false">IF($F174="","",IF(AND(ISNUMBER(SEARCH("CMT",$F174)),OR(ISNUMBER(SEARCH("사입",$F174)),ISNUMBER(SEARCH("Buying",$F174)))),"본사/생산처 혼재",IF(ISNUMBER(SEARCH("CMT",$F174)),"본사(소재팀)","생산처")))</f>
        <v>본사(소재팀)</v>
      </c>
      <c r="R174" s="29" t="s">
        <v>119</v>
      </c>
      <c r="S174" s="29" t="s">
        <v>110</v>
      </c>
      <c r="T174" s="30" t="str">
        <f aca="false">IF($K174="","출고일 미정",IF($O174="X","작지(일매) 미등록",IF($O174="부분","작지(일매) 일부 미등록",IF(AND($P174&lt;&gt;"",$P174&gt;$M174),"소재입고 마감("&amp;TEXT($M174,"MM/DD")&amp;") 초과",IF($O174="","일매 등록여부 확인 필요",IF($P174="","소재 입고일정 확인 필요","정상"))))))</f>
        <v>소재 입고일정 확인 필요</v>
      </c>
      <c r="U174" s="28" t="str">
        <f aca="false">IF($K174="","",IF(OR(LEFT($T174,2)="작지",LEFT($T174,4)="소재입고"),IF(LEFT($E174,1)="S","★ 납기위험(S코드)","◆ 지연주의"),IF($T174="정상","✓ 정상","? 확인필요")))</f>
        <v>? 확인필요</v>
      </c>
      <c r="V174" s="31"/>
      <c r="W174" s="19"/>
    </row>
    <row r="175" customFormat="false" ht="15" hidden="false" customHeight="true" outlineLevel="0" collapsed="false">
      <c r="A175" s="28" t="n">
        <v>171</v>
      </c>
      <c r="B175" s="29" t="s">
        <v>227</v>
      </c>
      <c r="C175" s="30" t="s">
        <v>482</v>
      </c>
      <c r="D175" s="29" t="s">
        <v>483</v>
      </c>
      <c r="E175" s="28" t="str">
        <f aca="false">IF($C175="","",IF(MID($C175,5,1)="S","S(봄)",IF(MID($C175,5,1)="M","M(여름)",IF(MID($C175,5,1)="X","X(사계절)",MID($C175,5,1)))))</f>
        <v>M(여름)</v>
      </c>
      <c r="F175" s="30" t="s">
        <v>141</v>
      </c>
      <c r="G175" s="31"/>
      <c r="H175" s="28" t="str">
        <f aca="false">IF($C175="","",REPLACE($C175,6,2,"26"))</f>
        <v>JKPNM26138</v>
      </c>
      <c r="I175" s="32" t="str">
        <f aca="false">IFERROR(INDEX(전년출고참조!$B$4:$B$638,MATCH($H175,전년출고참조!$A$4:$A$638,0)),"")</f>
        <v/>
      </c>
      <c r="J175" s="32" t="n">
        <v>46367</v>
      </c>
      <c r="K175" s="32" t="n">
        <f aca="false">IF($G175&lt;&gt;"",IFERROR(DATE(IF(VALUE(LEFT($G175,FIND("월",$G175)-1))&gt;=9,기준정보!$C$6-1,기준정보!$C$6),VALUE(LEFT($G175,FIND("월",$G175)-1)),1+7*(VALUE(SUBSTITUTE(MID($G175,FIND("월",$G175)+1,5),"주",""))-1)),""),IF($I175&lt;&gt;"",IF(ISNUMBER($I175),$I175+364,IFERROR(DATE(IF(VALUE(LEFT($I175,FIND("월",$I175)-1))&gt;=9,기준정보!$C$6-1,기준정보!$C$6),VALUE(LEFT($I175,FIND("월",$I175)-1)),1+7*(VALUE(SUBSTITUTE(MID($I175,FIND("월",$I175)+1,5),"주",""))-1)),"")),IF($J175&lt;&gt;"",$J175,"")))</f>
        <v>46367</v>
      </c>
      <c r="L175" s="28" t="str">
        <f aca="false">IF($G175&lt;&gt;"","계획 주차",IF($I175&lt;&gt;"","전년+1년 예측",IF($J175&lt;&gt;"","전산 입고계획(참고)","미정")))</f>
        <v>전산 입고계획(참고)</v>
      </c>
      <c r="M175" s="32" t="n">
        <f aca="false">IF($K175="","",$K175-기준정보!$C$5)</f>
        <v>46277</v>
      </c>
      <c r="N175" s="33" t="n">
        <f aca="false">IF($M175="","",$M175-기준정보!$C$4)</f>
        <v>36</v>
      </c>
      <c r="O175" s="31" t="s">
        <v>108</v>
      </c>
      <c r="P175" s="20"/>
      <c r="Q175" s="30" t="str">
        <f aca="false">IF($F175="","",IF(AND(ISNUMBER(SEARCH("CMT",$F175)),OR(ISNUMBER(SEARCH("사입",$F175)),ISNUMBER(SEARCH("Buying",$F175)))),"본사/생산처 혼재",IF(ISNUMBER(SEARCH("CMT",$F175)),"본사(소재팀)","생산처")))</f>
        <v>본사(소재팀)</v>
      </c>
      <c r="R175" s="29" t="s">
        <v>145</v>
      </c>
      <c r="S175" s="29" t="s">
        <v>110</v>
      </c>
      <c r="T175" s="30" t="str">
        <f aca="false">IF($K175="","출고일 미정",IF($O175="X","작지(일매) 미등록",IF($O175="부분","작지(일매) 일부 미등록",IF(AND($P175&lt;&gt;"",$P175&gt;$M175),"소재입고 마감("&amp;TEXT($M175,"MM/DD")&amp;") 초과",IF($O175="","일매 등록여부 확인 필요",IF($P175="","소재 입고일정 확인 필요","정상"))))))</f>
        <v>소재 입고일정 확인 필요</v>
      </c>
      <c r="U175" s="28" t="str">
        <f aca="false">IF($K175="","",IF(OR(LEFT($T175,2)="작지",LEFT($T175,4)="소재입고"),IF(LEFT($E175,1)="S","★ 납기위험(S코드)","◆ 지연주의"),IF($T175="정상","✓ 정상","? 확인필요")))</f>
        <v>? 확인필요</v>
      </c>
      <c r="V175" s="31"/>
      <c r="W175" s="19"/>
    </row>
    <row r="176" customFormat="false" ht="15" hidden="false" customHeight="true" outlineLevel="0" collapsed="false">
      <c r="A176" s="28" t="n">
        <v>172</v>
      </c>
      <c r="B176" s="29" t="s">
        <v>227</v>
      </c>
      <c r="C176" s="30" t="s">
        <v>484</v>
      </c>
      <c r="D176" s="30" t="s">
        <v>485</v>
      </c>
      <c r="E176" s="28" t="str">
        <f aca="false">IF($C176="","",IF(MID($C176,5,1)="S","S(봄)",IF(MID($C176,5,1)="M","M(여름)",IF(MID($C176,5,1)="X","X(사계절)",MID($C176,5,1)))))</f>
        <v>M(여름)</v>
      </c>
      <c r="F176" s="30" t="s">
        <v>141</v>
      </c>
      <c r="G176" s="31"/>
      <c r="H176" s="28" t="str">
        <f aca="false">IF($C176="","",REPLACE($C176,6,2,"26"))</f>
        <v>JKPNM26158</v>
      </c>
      <c r="I176" s="32" t="str">
        <f aca="false">IFERROR(INDEX(전년출고참조!$B$4:$B$638,MATCH($H176,전년출고참조!$A$4:$A$638,0)),"")</f>
        <v/>
      </c>
      <c r="J176" s="32" t="n">
        <v>46367</v>
      </c>
      <c r="K176" s="32" t="n">
        <f aca="false">IF($G176&lt;&gt;"",IFERROR(DATE(IF(VALUE(LEFT($G176,FIND("월",$G176)-1))&gt;=9,기준정보!$C$6-1,기준정보!$C$6),VALUE(LEFT($G176,FIND("월",$G176)-1)),1+7*(VALUE(SUBSTITUTE(MID($G176,FIND("월",$G176)+1,5),"주",""))-1)),""),IF($I176&lt;&gt;"",IF(ISNUMBER($I176),$I176+364,IFERROR(DATE(IF(VALUE(LEFT($I176,FIND("월",$I176)-1))&gt;=9,기준정보!$C$6-1,기준정보!$C$6),VALUE(LEFT($I176,FIND("월",$I176)-1)),1+7*(VALUE(SUBSTITUTE(MID($I176,FIND("월",$I176)+1,5),"주",""))-1)),"")),IF($J176&lt;&gt;"",$J176,"")))</f>
        <v>46367</v>
      </c>
      <c r="L176" s="28" t="str">
        <f aca="false">IF($G176&lt;&gt;"","계획 주차",IF($I176&lt;&gt;"","전년+1년 예측",IF($J176&lt;&gt;"","전산 입고계획(참고)","미정")))</f>
        <v>전산 입고계획(참고)</v>
      </c>
      <c r="M176" s="32" t="n">
        <f aca="false">IF($K176="","",$K176-기준정보!$C$5)</f>
        <v>46277</v>
      </c>
      <c r="N176" s="33" t="n">
        <f aca="false">IF($M176="","",$M176-기준정보!$C$4)</f>
        <v>36</v>
      </c>
      <c r="O176" s="31" t="s">
        <v>108</v>
      </c>
      <c r="P176" s="20"/>
      <c r="Q176" s="30" t="str">
        <f aca="false">IF($F176="","",IF(AND(ISNUMBER(SEARCH("CMT",$F176)),OR(ISNUMBER(SEARCH("사입",$F176)),ISNUMBER(SEARCH("Buying",$F176)))),"본사/생산처 혼재",IF(ISNUMBER(SEARCH("CMT",$F176)),"본사(소재팀)","생산처")))</f>
        <v>본사(소재팀)</v>
      </c>
      <c r="R176" s="29" t="s">
        <v>148</v>
      </c>
      <c r="S176" s="29" t="s">
        <v>110</v>
      </c>
      <c r="T176" s="30" t="str">
        <f aca="false">IF($K176="","출고일 미정",IF($O176="X","작지(일매) 미등록",IF($O176="부분","작지(일매) 일부 미등록",IF(AND($P176&lt;&gt;"",$P176&gt;$M176),"소재입고 마감("&amp;TEXT($M176,"MM/DD")&amp;") 초과",IF($O176="","일매 등록여부 확인 필요",IF($P176="","소재 입고일정 확인 필요","정상"))))))</f>
        <v>소재 입고일정 확인 필요</v>
      </c>
      <c r="U176" s="28" t="str">
        <f aca="false">IF($K176="","",IF(OR(LEFT($T176,2)="작지",LEFT($T176,4)="소재입고"),IF(LEFT($E176,1)="S","★ 납기위험(S코드)","◆ 지연주의"),IF($T176="정상","✓ 정상","? 확인필요")))</f>
        <v>? 확인필요</v>
      </c>
      <c r="V176" s="31"/>
      <c r="W176" s="19"/>
    </row>
    <row r="177" customFormat="false" ht="15" hidden="false" customHeight="true" outlineLevel="0" collapsed="false">
      <c r="A177" s="28" t="n">
        <v>173</v>
      </c>
      <c r="B177" s="29" t="s">
        <v>227</v>
      </c>
      <c r="C177" s="30" t="s">
        <v>486</v>
      </c>
      <c r="D177" s="29" t="s">
        <v>487</v>
      </c>
      <c r="E177" s="28" t="str">
        <f aca="false">IF($C177="","",IF(MID($C177,5,1)="S","S(봄)",IF(MID($C177,5,1)="M","M(여름)",IF(MID($C177,5,1)="X","X(사계절)",MID($C177,5,1)))))</f>
        <v>M(여름)</v>
      </c>
      <c r="F177" s="30" t="s">
        <v>141</v>
      </c>
      <c r="G177" s="31"/>
      <c r="H177" s="28" t="str">
        <f aca="false">IF($C177="","",REPLACE($C177,6,2,"26"))</f>
        <v>JKPNM26162</v>
      </c>
      <c r="I177" s="32" t="str">
        <f aca="false">IFERROR(INDEX(전년출고참조!$B$4:$B$638,MATCH($H177,전년출고참조!$A$4:$A$638,0)),"")</f>
        <v/>
      </c>
      <c r="J177" s="32" t="n">
        <v>46367</v>
      </c>
      <c r="K177" s="32" t="n">
        <f aca="false">IF($G177&lt;&gt;"",IFERROR(DATE(IF(VALUE(LEFT($G177,FIND("월",$G177)-1))&gt;=9,기준정보!$C$6-1,기준정보!$C$6),VALUE(LEFT($G177,FIND("월",$G177)-1)),1+7*(VALUE(SUBSTITUTE(MID($G177,FIND("월",$G177)+1,5),"주",""))-1)),""),IF($I177&lt;&gt;"",IF(ISNUMBER($I177),$I177+364,IFERROR(DATE(IF(VALUE(LEFT($I177,FIND("월",$I177)-1))&gt;=9,기준정보!$C$6-1,기준정보!$C$6),VALUE(LEFT($I177,FIND("월",$I177)-1)),1+7*(VALUE(SUBSTITUTE(MID($I177,FIND("월",$I177)+1,5),"주",""))-1)),"")),IF($J177&lt;&gt;"",$J177,"")))</f>
        <v>46367</v>
      </c>
      <c r="L177" s="28" t="str">
        <f aca="false">IF($G177&lt;&gt;"","계획 주차",IF($I177&lt;&gt;"","전년+1년 예측",IF($J177&lt;&gt;"","전산 입고계획(참고)","미정")))</f>
        <v>전산 입고계획(참고)</v>
      </c>
      <c r="M177" s="32" t="n">
        <f aca="false">IF($K177="","",$K177-기준정보!$C$5)</f>
        <v>46277</v>
      </c>
      <c r="N177" s="33" t="n">
        <f aca="false">IF($M177="","",$M177-기준정보!$C$4)</f>
        <v>36</v>
      </c>
      <c r="O177" s="31" t="s">
        <v>108</v>
      </c>
      <c r="P177" s="20"/>
      <c r="Q177" s="30" t="str">
        <f aca="false">IF($F177="","",IF(AND(ISNUMBER(SEARCH("CMT",$F177)),OR(ISNUMBER(SEARCH("사입",$F177)),ISNUMBER(SEARCH("Buying",$F177)))),"본사/생산처 혼재",IF(ISNUMBER(SEARCH("CMT",$F177)),"본사(소재팀)","생산처")))</f>
        <v>본사(소재팀)</v>
      </c>
      <c r="R177" s="29" t="s">
        <v>230</v>
      </c>
      <c r="S177" s="29" t="s">
        <v>110</v>
      </c>
      <c r="T177" s="30" t="str">
        <f aca="false">IF($K177="","출고일 미정",IF($O177="X","작지(일매) 미등록",IF($O177="부분","작지(일매) 일부 미등록",IF(AND($P177&lt;&gt;"",$P177&gt;$M177),"소재입고 마감("&amp;TEXT($M177,"MM/DD")&amp;") 초과",IF($O177="","일매 등록여부 확인 필요",IF($P177="","소재 입고일정 확인 필요","정상"))))))</f>
        <v>소재 입고일정 확인 필요</v>
      </c>
      <c r="U177" s="28" t="str">
        <f aca="false">IF($K177="","",IF(OR(LEFT($T177,2)="작지",LEFT($T177,4)="소재입고"),IF(LEFT($E177,1)="S","★ 납기위험(S코드)","◆ 지연주의"),IF($T177="정상","✓ 정상","? 확인필요")))</f>
        <v>? 확인필요</v>
      </c>
      <c r="V177" s="31"/>
      <c r="W177" s="19"/>
    </row>
    <row r="178" customFormat="false" ht="15" hidden="false" customHeight="true" outlineLevel="0" collapsed="false">
      <c r="A178" s="28" t="n">
        <v>174</v>
      </c>
      <c r="B178" s="29" t="s">
        <v>227</v>
      </c>
      <c r="C178" s="30" t="s">
        <v>488</v>
      </c>
      <c r="D178" s="29" t="s">
        <v>489</v>
      </c>
      <c r="E178" s="28" t="str">
        <f aca="false">IF($C178="","",IF(MID($C178,5,1)="S","S(봄)",IF(MID($C178,5,1)="M","M(여름)",IF(MID($C178,5,1)="X","X(사계절)",MID($C178,5,1)))))</f>
        <v>M(여름)</v>
      </c>
      <c r="F178" s="30" t="s">
        <v>141</v>
      </c>
      <c r="G178" s="31"/>
      <c r="H178" s="28" t="str">
        <f aca="false">IF($C178="","",REPLACE($C178,6,2,"26"))</f>
        <v>JKPNM26172</v>
      </c>
      <c r="I178" s="32" t="str">
        <f aca="false">IFERROR(INDEX(전년출고참조!$B$4:$B$638,MATCH($H178,전년출고참조!$A$4:$A$638,0)),"")</f>
        <v/>
      </c>
      <c r="J178" s="32" t="n">
        <v>46367</v>
      </c>
      <c r="K178" s="32" t="n">
        <f aca="false">IF($G178&lt;&gt;"",IFERROR(DATE(IF(VALUE(LEFT($G178,FIND("월",$G178)-1))&gt;=9,기준정보!$C$6-1,기준정보!$C$6),VALUE(LEFT($G178,FIND("월",$G178)-1)),1+7*(VALUE(SUBSTITUTE(MID($G178,FIND("월",$G178)+1,5),"주",""))-1)),""),IF($I178&lt;&gt;"",IF(ISNUMBER($I178),$I178+364,IFERROR(DATE(IF(VALUE(LEFT($I178,FIND("월",$I178)-1))&gt;=9,기준정보!$C$6-1,기준정보!$C$6),VALUE(LEFT($I178,FIND("월",$I178)-1)),1+7*(VALUE(SUBSTITUTE(MID($I178,FIND("월",$I178)+1,5),"주",""))-1)),"")),IF($J178&lt;&gt;"",$J178,"")))</f>
        <v>46367</v>
      </c>
      <c r="L178" s="28" t="str">
        <f aca="false">IF($G178&lt;&gt;"","계획 주차",IF($I178&lt;&gt;"","전년+1년 예측",IF($J178&lt;&gt;"","전산 입고계획(참고)","미정")))</f>
        <v>전산 입고계획(참고)</v>
      </c>
      <c r="M178" s="32" t="n">
        <f aca="false">IF($K178="","",$K178-기준정보!$C$5)</f>
        <v>46277</v>
      </c>
      <c r="N178" s="33" t="n">
        <f aca="false">IF($M178="","",$M178-기준정보!$C$4)</f>
        <v>36</v>
      </c>
      <c r="O178" s="31" t="s">
        <v>108</v>
      </c>
      <c r="P178" s="20"/>
      <c r="Q178" s="30" t="str">
        <f aca="false">IF($F178="","",IF(AND(ISNUMBER(SEARCH("CMT",$F178)),OR(ISNUMBER(SEARCH("사입",$F178)),ISNUMBER(SEARCH("Buying",$F178)))),"본사/생산처 혼재",IF(ISNUMBER(SEARCH("CMT",$F178)),"본사(소재팀)","생산처")))</f>
        <v>본사(소재팀)</v>
      </c>
      <c r="R178" s="29" t="s">
        <v>142</v>
      </c>
      <c r="S178" s="29" t="s">
        <v>110</v>
      </c>
      <c r="T178" s="30" t="str">
        <f aca="false">IF($K178="","출고일 미정",IF($O178="X","작지(일매) 미등록",IF($O178="부분","작지(일매) 일부 미등록",IF(AND($P178&lt;&gt;"",$P178&gt;$M178),"소재입고 마감("&amp;TEXT($M178,"MM/DD")&amp;") 초과",IF($O178="","일매 등록여부 확인 필요",IF($P178="","소재 입고일정 확인 필요","정상"))))))</f>
        <v>소재 입고일정 확인 필요</v>
      </c>
      <c r="U178" s="28" t="str">
        <f aca="false">IF($K178="","",IF(OR(LEFT($T178,2)="작지",LEFT($T178,4)="소재입고"),IF(LEFT($E178,1)="S","★ 납기위험(S코드)","◆ 지연주의"),IF($T178="정상","✓ 정상","? 확인필요")))</f>
        <v>? 확인필요</v>
      </c>
      <c r="V178" s="31"/>
      <c r="W178" s="19"/>
    </row>
    <row r="179" customFormat="false" ht="15" hidden="false" customHeight="true" outlineLevel="0" collapsed="false">
      <c r="A179" s="28" t="n">
        <v>175</v>
      </c>
      <c r="B179" s="29" t="s">
        <v>227</v>
      </c>
      <c r="C179" s="30" t="s">
        <v>490</v>
      </c>
      <c r="D179" s="29" t="s">
        <v>491</v>
      </c>
      <c r="E179" s="28" t="str">
        <f aca="false">IF($C179="","",IF(MID($C179,5,1)="S","S(봄)",IF(MID($C179,5,1)="M","M(여름)",IF(MID($C179,5,1)="X","X(사계절)",MID($C179,5,1)))))</f>
        <v>M(여름)</v>
      </c>
      <c r="F179" s="30" t="s">
        <v>141</v>
      </c>
      <c r="G179" s="31"/>
      <c r="H179" s="28" t="str">
        <f aca="false">IF($C179="","",REPLACE($C179,6,2,"26"))</f>
        <v>JKPNM26182</v>
      </c>
      <c r="I179" s="32" t="str">
        <f aca="false">IFERROR(INDEX(전년출고참조!$B$4:$B$638,MATCH($H179,전년출고참조!$A$4:$A$638,0)),"")</f>
        <v/>
      </c>
      <c r="J179" s="32" t="n">
        <v>46367</v>
      </c>
      <c r="K179" s="32" t="n">
        <f aca="false">IF($G179&lt;&gt;"",IFERROR(DATE(IF(VALUE(LEFT($G179,FIND("월",$G179)-1))&gt;=9,기준정보!$C$6-1,기준정보!$C$6),VALUE(LEFT($G179,FIND("월",$G179)-1)),1+7*(VALUE(SUBSTITUTE(MID($G179,FIND("월",$G179)+1,5),"주",""))-1)),""),IF($I179&lt;&gt;"",IF(ISNUMBER($I179),$I179+364,IFERROR(DATE(IF(VALUE(LEFT($I179,FIND("월",$I179)-1))&gt;=9,기준정보!$C$6-1,기준정보!$C$6),VALUE(LEFT($I179,FIND("월",$I179)-1)),1+7*(VALUE(SUBSTITUTE(MID($I179,FIND("월",$I179)+1,5),"주",""))-1)),"")),IF($J179&lt;&gt;"",$J179,"")))</f>
        <v>46367</v>
      </c>
      <c r="L179" s="28" t="str">
        <f aca="false">IF($G179&lt;&gt;"","계획 주차",IF($I179&lt;&gt;"","전년+1년 예측",IF($J179&lt;&gt;"","전산 입고계획(참고)","미정")))</f>
        <v>전산 입고계획(참고)</v>
      </c>
      <c r="M179" s="32" t="n">
        <f aca="false">IF($K179="","",$K179-기준정보!$C$5)</f>
        <v>46277</v>
      </c>
      <c r="N179" s="33" t="n">
        <f aca="false">IF($M179="","",$M179-기준정보!$C$4)</f>
        <v>36</v>
      </c>
      <c r="O179" s="31" t="s">
        <v>108</v>
      </c>
      <c r="P179" s="20"/>
      <c r="Q179" s="30" t="str">
        <f aca="false">IF($F179="","",IF(AND(ISNUMBER(SEARCH("CMT",$F179)),OR(ISNUMBER(SEARCH("사입",$F179)),ISNUMBER(SEARCH("Buying",$F179)))),"본사/생산처 혼재",IF(ISNUMBER(SEARCH("CMT",$F179)),"본사(소재팀)","생산처")))</f>
        <v>본사(소재팀)</v>
      </c>
      <c r="R179" s="29" t="s">
        <v>142</v>
      </c>
      <c r="S179" s="29" t="s">
        <v>110</v>
      </c>
      <c r="T179" s="30" t="str">
        <f aca="false">IF($K179="","출고일 미정",IF($O179="X","작지(일매) 미등록",IF($O179="부분","작지(일매) 일부 미등록",IF(AND($P179&lt;&gt;"",$P179&gt;$M179),"소재입고 마감("&amp;TEXT($M179,"MM/DD")&amp;") 초과",IF($O179="","일매 등록여부 확인 필요",IF($P179="","소재 입고일정 확인 필요","정상"))))))</f>
        <v>소재 입고일정 확인 필요</v>
      </c>
      <c r="U179" s="28" t="str">
        <f aca="false">IF($K179="","",IF(OR(LEFT($T179,2)="작지",LEFT($T179,4)="소재입고"),IF(LEFT($E179,1)="S","★ 납기위험(S코드)","◆ 지연주의"),IF($T179="정상","✓ 정상","? 확인필요")))</f>
        <v>? 확인필요</v>
      </c>
      <c r="V179" s="31"/>
      <c r="W179" s="19"/>
    </row>
    <row r="180" customFormat="false" ht="15" hidden="false" customHeight="true" outlineLevel="0" collapsed="false">
      <c r="A180" s="28" t="n">
        <v>176</v>
      </c>
      <c r="B180" s="29" t="s">
        <v>227</v>
      </c>
      <c r="C180" s="30" t="s">
        <v>492</v>
      </c>
      <c r="D180" s="29" t="s">
        <v>493</v>
      </c>
      <c r="E180" s="28" t="str">
        <f aca="false">IF($C180="","",IF(MID($C180,5,1)="S","S(봄)",IF(MID($C180,5,1)="M","M(여름)",IF(MID($C180,5,1)="X","X(사계절)",MID($C180,5,1)))))</f>
        <v>M(여름)</v>
      </c>
      <c r="F180" s="30" t="s">
        <v>141</v>
      </c>
      <c r="G180" s="31"/>
      <c r="H180" s="28" t="str">
        <f aca="false">IF($C180="","",REPLACE($C180,6,2,"26"))</f>
        <v>JKPNM26184</v>
      </c>
      <c r="I180" s="32" t="str">
        <f aca="false">IFERROR(INDEX(전년출고참조!$B$4:$B$638,MATCH($H180,전년출고참조!$A$4:$A$638,0)),"")</f>
        <v/>
      </c>
      <c r="J180" s="32" t="n">
        <v>46367</v>
      </c>
      <c r="K180" s="32" t="n">
        <f aca="false">IF($G180&lt;&gt;"",IFERROR(DATE(IF(VALUE(LEFT($G180,FIND("월",$G180)-1))&gt;=9,기준정보!$C$6-1,기준정보!$C$6),VALUE(LEFT($G180,FIND("월",$G180)-1)),1+7*(VALUE(SUBSTITUTE(MID($G180,FIND("월",$G180)+1,5),"주",""))-1)),""),IF($I180&lt;&gt;"",IF(ISNUMBER($I180),$I180+364,IFERROR(DATE(IF(VALUE(LEFT($I180,FIND("월",$I180)-1))&gt;=9,기준정보!$C$6-1,기준정보!$C$6),VALUE(LEFT($I180,FIND("월",$I180)-1)),1+7*(VALUE(SUBSTITUTE(MID($I180,FIND("월",$I180)+1,5),"주",""))-1)),"")),IF($J180&lt;&gt;"",$J180,"")))</f>
        <v>46367</v>
      </c>
      <c r="L180" s="28" t="str">
        <f aca="false">IF($G180&lt;&gt;"","계획 주차",IF($I180&lt;&gt;"","전년+1년 예측",IF($J180&lt;&gt;"","전산 입고계획(참고)","미정")))</f>
        <v>전산 입고계획(참고)</v>
      </c>
      <c r="M180" s="32" t="n">
        <f aca="false">IF($K180="","",$K180-기준정보!$C$5)</f>
        <v>46277</v>
      </c>
      <c r="N180" s="33" t="n">
        <f aca="false">IF($M180="","",$M180-기준정보!$C$4)</f>
        <v>36</v>
      </c>
      <c r="O180" s="31" t="s">
        <v>108</v>
      </c>
      <c r="P180" s="20"/>
      <c r="Q180" s="30" t="str">
        <f aca="false">IF($F180="","",IF(AND(ISNUMBER(SEARCH("CMT",$F180)),OR(ISNUMBER(SEARCH("사입",$F180)),ISNUMBER(SEARCH("Buying",$F180)))),"본사/생산처 혼재",IF(ISNUMBER(SEARCH("CMT",$F180)),"본사(소재팀)","생산처")))</f>
        <v>본사(소재팀)</v>
      </c>
      <c r="R180" s="29" t="s">
        <v>142</v>
      </c>
      <c r="S180" s="29" t="s">
        <v>110</v>
      </c>
      <c r="T180" s="30" t="str">
        <f aca="false">IF($K180="","출고일 미정",IF($O180="X","작지(일매) 미등록",IF($O180="부분","작지(일매) 일부 미등록",IF(AND($P180&lt;&gt;"",$P180&gt;$M180),"소재입고 마감("&amp;TEXT($M180,"MM/DD")&amp;") 초과",IF($O180="","일매 등록여부 확인 필요",IF($P180="","소재 입고일정 확인 필요","정상"))))))</f>
        <v>소재 입고일정 확인 필요</v>
      </c>
      <c r="U180" s="28" t="str">
        <f aca="false">IF($K180="","",IF(OR(LEFT($T180,2)="작지",LEFT($T180,4)="소재입고"),IF(LEFT($E180,1)="S","★ 납기위험(S코드)","◆ 지연주의"),IF($T180="정상","✓ 정상","? 확인필요")))</f>
        <v>? 확인필요</v>
      </c>
      <c r="V180" s="31"/>
      <c r="W180" s="19"/>
    </row>
    <row r="181" customFormat="false" ht="15" hidden="false" customHeight="true" outlineLevel="0" collapsed="false">
      <c r="A181" s="28" t="n">
        <v>177</v>
      </c>
      <c r="B181" s="29" t="s">
        <v>227</v>
      </c>
      <c r="C181" s="30" t="s">
        <v>494</v>
      </c>
      <c r="D181" s="29" t="s">
        <v>495</v>
      </c>
      <c r="E181" s="28" t="str">
        <f aca="false">IF($C181="","",IF(MID($C181,5,1)="S","S(봄)",IF(MID($C181,5,1)="M","M(여름)",IF(MID($C181,5,1)="X","X(사계절)",MID($C181,5,1)))))</f>
        <v>M(여름)</v>
      </c>
      <c r="F181" s="30" t="s">
        <v>141</v>
      </c>
      <c r="G181" s="31"/>
      <c r="H181" s="28" t="str">
        <f aca="false">IF($C181="","",REPLACE($C181,6,2,"26"))</f>
        <v>JKPNM26192</v>
      </c>
      <c r="I181" s="32" t="str">
        <f aca="false">IFERROR(INDEX(전년출고참조!$B$4:$B$638,MATCH($H181,전년출고참조!$A$4:$A$638,0)),"")</f>
        <v/>
      </c>
      <c r="J181" s="32" t="n">
        <v>46367</v>
      </c>
      <c r="K181" s="32" t="n">
        <f aca="false">IF($G181&lt;&gt;"",IFERROR(DATE(IF(VALUE(LEFT($G181,FIND("월",$G181)-1))&gt;=9,기준정보!$C$6-1,기준정보!$C$6),VALUE(LEFT($G181,FIND("월",$G181)-1)),1+7*(VALUE(SUBSTITUTE(MID($G181,FIND("월",$G181)+1,5),"주",""))-1)),""),IF($I181&lt;&gt;"",IF(ISNUMBER($I181),$I181+364,IFERROR(DATE(IF(VALUE(LEFT($I181,FIND("월",$I181)-1))&gt;=9,기준정보!$C$6-1,기준정보!$C$6),VALUE(LEFT($I181,FIND("월",$I181)-1)),1+7*(VALUE(SUBSTITUTE(MID($I181,FIND("월",$I181)+1,5),"주",""))-1)),"")),IF($J181&lt;&gt;"",$J181,"")))</f>
        <v>46367</v>
      </c>
      <c r="L181" s="28" t="str">
        <f aca="false">IF($G181&lt;&gt;"","계획 주차",IF($I181&lt;&gt;"","전년+1년 예측",IF($J181&lt;&gt;"","전산 입고계획(참고)","미정")))</f>
        <v>전산 입고계획(참고)</v>
      </c>
      <c r="M181" s="32" t="n">
        <f aca="false">IF($K181="","",$K181-기준정보!$C$5)</f>
        <v>46277</v>
      </c>
      <c r="N181" s="33" t="n">
        <f aca="false">IF($M181="","",$M181-기준정보!$C$4)</f>
        <v>36</v>
      </c>
      <c r="O181" s="31" t="s">
        <v>108</v>
      </c>
      <c r="P181" s="20"/>
      <c r="Q181" s="30" t="str">
        <f aca="false">IF($F181="","",IF(AND(ISNUMBER(SEARCH("CMT",$F181)),OR(ISNUMBER(SEARCH("사입",$F181)),ISNUMBER(SEARCH("Buying",$F181)))),"본사/생산처 혼재",IF(ISNUMBER(SEARCH("CMT",$F181)),"본사(소재팀)","생산처")))</f>
        <v>본사(소재팀)</v>
      </c>
      <c r="R181" s="29" t="s">
        <v>145</v>
      </c>
      <c r="S181" s="29" t="s">
        <v>110</v>
      </c>
      <c r="T181" s="30" t="str">
        <f aca="false">IF($K181="","출고일 미정",IF($O181="X","작지(일매) 미등록",IF($O181="부분","작지(일매) 일부 미등록",IF(AND($P181&lt;&gt;"",$P181&gt;$M181),"소재입고 마감("&amp;TEXT($M181,"MM/DD")&amp;") 초과",IF($O181="","일매 등록여부 확인 필요",IF($P181="","소재 입고일정 확인 필요","정상"))))))</f>
        <v>소재 입고일정 확인 필요</v>
      </c>
      <c r="U181" s="28" t="str">
        <f aca="false">IF($K181="","",IF(OR(LEFT($T181,2)="작지",LEFT($T181,4)="소재입고"),IF(LEFT($E181,1)="S","★ 납기위험(S코드)","◆ 지연주의"),IF($T181="정상","✓ 정상","? 확인필요")))</f>
        <v>? 확인필요</v>
      </c>
      <c r="V181" s="31"/>
      <c r="W181" s="19"/>
    </row>
    <row r="182" customFormat="false" ht="15" hidden="false" customHeight="true" outlineLevel="0" collapsed="false">
      <c r="A182" s="28" t="n">
        <v>178</v>
      </c>
      <c r="B182" s="29" t="s">
        <v>227</v>
      </c>
      <c r="C182" s="30" t="s">
        <v>496</v>
      </c>
      <c r="D182" s="29" t="s">
        <v>497</v>
      </c>
      <c r="E182" s="28" t="str">
        <f aca="false">IF($C182="","",IF(MID($C182,5,1)="S","S(봄)",IF(MID($C182,5,1)="M","M(여름)",IF(MID($C182,5,1)="X","X(사계절)",MID($C182,5,1)))))</f>
        <v>M(여름)</v>
      </c>
      <c r="F182" s="29" t="s">
        <v>106</v>
      </c>
      <c r="G182" s="31"/>
      <c r="H182" s="28" t="str">
        <f aca="false">IF($C182="","",REPLACE($C182,6,2,"26"))</f>
        <v>JKPOM26142</v>
      </c>
      <c r="I182" s="32" t="str">
        <f aca="false">IFERROR(INDEX(전년출고참조!$B$4:$B$638,MATCH($H182,전년출고참조!$A$4:$A$638,0)),"")</f>
        <v/>
      </c>
      <c r="J182" s="32" t="n">
        <v>46367</v>
      </c>
      <c r="K182" s="32" t="n">
        <f aca="false">IF($G182&lt;&gt;"",IFERROR(DATE(IF(VALUE(LEFT($G182,FIND("월",$G182)-1))&gt;=9,기준정보!$C$6-1,기준정보!$C$6),VALUE(LEFT($G182,FIND("월",$G182)-1)),1+7*(VALUE(SUBSTITUTE(MID($G182,FIND("월",$G182)+1,5),"주",""))-1)),""),IF($I182&lt;&gt;"",IF(ISNUMBER($I182),$I182+364,IFERROR(DATE(IF(VALUE(LEFT($I182,FIND("월",$I182)-1))&gt;=9,기준정보!$C$6-1,기준정보!$C$6),VALUE(LEFT($I182,FIND("월",$I182)-1)),1+7*(VALUE(SUBSTITUTE(MID($I182,FIND("월",$I182)+1,5),"주",""))-1)),"")),IF($J182&lt;&gt;"",$J182,"")))</f>
        <v>46367</v>
      </c>
      <c r="L182" s="28" t="str">
        <f aca="false">IF($G182&lt;&gt;"","계획 주차",IF($I182&lt;&gt;"","전년+1년 예측",IF($J182&lt;&gt;"","전산 입고계획(참고)","미정")))</f>
        <v>전산 입고계획(참고)</v>
      </c>
      <c r="M182" s="32" t="n">
        <f aca="false">IF($K182="","",$K182-기준정보!$C$5)</f>
        <v>46277</v>
      </c>
      <c r="N182" s="33" t="n">
        <f aca="false">IF($M182="","",$M182-기준정보!$C$4)</f>
        <v>36</v>
      </c>
      <c r="O182" s="31" t="s">
        <v>108</v>
      </c>
      <c r="P182" s="20"/>
      <c r="Q182" s="30" t="str">
        <f aca="false">IF($F182="","",IF(AND(ISNUMBER(SEARCH("CMT",$F182)),OR(ISNUMBER(SEARCH("사입",$F182)),ISNUMBER(SEARCH("Buying",$F182)))),"본사/생산처 혼재",IF(ISNUMBER(SEARCH("CMT",$F182)),"본사(소재팀)","생산처")))</f>
        <v>생산처</v>
      </c>
      <c r="R182" s="29" t="s">
        <v>142</v>
      </c>
      <c r="S182" s="29" t="s">
        <v>110</v>
      </c>
      <c r="T182" s="30" t="str">
        <f aca="false">IF($K182="","출고일 미정",IF($O182="X","작지(일매) 미등록",IF($O182="부분","작지(일매) 일부 미등록",IF(AND($P182&lt;&gt;"",$P182&gt;$M182),"소재입고 마감("&amp;TEXT($M182,"MM/DD")&amp;") 초과",IF($O182="","일매 등록여부 확인 필요",IF($P182="","소재 입고일정 확인 필요","정상"))))))</f>
        <v>소재 입고일정 확인 필요</v>
      </c>
      <c r="U182" s="28" t="str">
        <f aca="false">IF($K182="","",IF(OR(LEFT($T182,2)="작지",LEFT($T182,4)="소재입고"),IF(LEFT($E182,1)="S","★ 납기위험(S코드)","◆ 지연주의"),IF($T182="정상","✓ 정상","? 확인필요")))</f>
        <v>? 확인필요</v>
      </c>
      <c r="V182" s="31"/>
      <c r="W182" s="19"/>
    </row>
    <row r="183" customFormat="false" ht="15" hidden="false" customHeight="true" outlineLevel="0" collapsed="false">
      <c r="A183" s="28" t="n">
        <v>179</v>
      </c>
      <c r="B183" s="29" t="s">
        <v>227</v>
      </c>
      <c r="C183" s="30" t="s">
        <v>498</v>
      </c>
      <c r="D183" s="29" t="s">
        <v>499</v>
      </c>
      <c r="E183" s="28" t="str">
        <f aca="false">IF($C183="","",IF(MID($C183,5,1)="S","S(봄)",IF(MID($C183,5,1)="M","M(여름)",IF(MID($C183,5,1)="X","X(사계절)",MID($C183,5,1)))))</f>
        <v>M(여름)</v>
      </c>
      <c r="F183" s="30" t="s">
        <v>141</v>
      </c>
      <c r="G183" s="31"/>
      <c r="H183" s="28" t="str">
        <f aca="false">IF($C183="","",REPLACE($C183,6,2,"26"))</f>
        <v>JKPOM26172</v>
      </c>
      <c r="I183" s="32" t="str">
        <f aca="false">IFERROR(INDEX(전년출고참조!$B$4:$B$638,MATCH($H183,전년출고참조!$A$4:$A$638,0)),"")</f>
        <v/>
      </c>
      <c r="J183" s="32" t="n">
        <v>46367</v>
      </c>
      <c r="K183" s="32" t="n">
        <f aca="false">IF($G183&lt;&gt;"",IFERROR(DATE(IF(VALUE(LEFT($G183,FIND("월",$G183)-1))&gt;=9,기준정보!$C$6-1,기준정보!$C$6),VALUE(LEFT($G183,FIND("월",$G183)-1)),1+7*(VALUE(SUBSTITUTE(MID($G183,FIND("월",$G183)+1,5),"주",""))-1)),""),IF($I183&lt;&gt;"",IF(ISNUMBER($I183),$I183+364,IFERROR(DATE(IF(VALUE(LEFT($I183,FIND("월",$I183)-1))&gt;=9,기준정보!$C$6-1,기준정보!$C$6),VALUE(LEFT($I183,FIND("월",$I183)-1)),1+7*(VALUE(SUBSTITUTE(MID($I183,FIND("월",$I183)+1,5),"주",""))-1)),"")),IF($J183&lt;&gt;"",$J183,"")))</f>
        <v>46367</v>
      </c>
      <c r="L183" s="28" t="str">
        <f aca="false">IF($G183&lt;&gt;"","계획 주차",IF($I183&lt;&gt;"","전년+1년 예측",IF($J183&lt;&gt;"","전산 입고계획(참고)","미정")))</f>
        <v>전산 입고계획(참고)</v>
      </c>
      <c r="M183" s="32" t="n">
        <f aca="false">IF($K183="","",$K183-기준정보!$C$5)</f>
        <v>46277</v>
      </c>
      <c r="N183" s="33" t="n">
        <f aca="false">IF($M183="","",$M183-기준정보!$C$4)</f>
        <v>36</v>
      </c>
      <c r="O183" s="31" t="s">
        <v>108</v>
      </c>
      <c r="P183" s="20"/>
      <c r="Q183" s="30" t="str">
        <f aca="false">IF($F183="","",IF(AND(ISNUMBER(SEARCH("CMT",$F183)),OR(ISNUMBER(SEARCH("사입",$F183)),ISNUMBER(SEARCH("Buying",$F183)))),"본사/생산처 혼재",IF(ISNUMBER(SEARCH("CMT",$F183)),"본사(소재팀)","생산처")))</f>
        <v>본사(소재팀)</v>
      </c>
      <c r="R183" s="29" t="s">
        <v>142</v>
      </c>
      <c r="S183" s="29" t="s">
        <v>110</v>
      </c>
      <c r="T183" s="30" t="str">
        <f aca="false">IF($K183="","출고일 미정",IF($O183="X","작지(일매) 미등록",IF($O183="부분","작지(일매) 일부 미등록",IF(AND($P183&lt;&gt;"",$P183&gt;$M183),"소재입고 마감("&amp;TEXT($M183,"MM/DD")&amp;") 초과",IF($O183="","일매 등록여부 확인 필요",IF($P183="","소재 입고일정 확인 필요","정상"))))))</f>
        <v>소재 입고일정 확인 필요</v>
      </c>
      <c r="U183" s="28" t="str">
        <f aca="false">IF($K183="","",IF(OR(LEFT($T183,2)="작지",LEFT($T183,4)="소재입고"),IF(LEFT($E183,1)="S","★ 납기위험(S코드)","◆ 지연주의"),IF($T183="정상","✓ 정상","? 확인필요")))</f>
        <v>? 확인필요</v>
      </c>
      <c r="V183" s="31"/>
      <c r="W183" s="19"/>
    </row>
    <row r="184" customFormat="false" ht="15" hidden="false" customHeight="true" outlineLevel="0" collapsed="false">
      <c r="A184" s="28" t="n">
        <v>180</v>
      </c>
      <c r="B184" s="29" t="s">
        <v>227</v>
      </c>
      <c r="C184" s="30" t="s">
        <v>500</v>
      </c>
      <c r="D184" s="29" t="s">
        <v>501</v>
      </c>
      <c r="E184" s="28" t="str">
        <f aca="false">IF($C184="","",IF(MID($C184,5,1)="S","S(봄)",IF(MID($C184,5,1)="M","M(여름)",IF(MID($C184,5,1)="X","X(사계절)",MID($C184,5,1)))))</f>
        <v>M(여름)</v>
      </c>
      <c r="F184" s="30" t="s">
        <v>141</v>
      </c>
      <c r="G184" s="31"/>
      <c r="H184" s="28" t="str">
        <f aca="false">IF($C184="","",REPLACE($C184,6,2,"26"))</f>
        <v>JKPOM26174</v>
      </c>
      <c r="I184" s="32" t="str">
        <f aca="false">IFERROR(INDEX(전년출고참조!$B$4:$B$638,MATCH($H184,전년출고참조!$A$4:$A$638,0)),"")</f>
        <v/>
      </c>
      <c r="J184" s="32" t="n">
        <v>46367</v>
      </c>
      <c r="K184" s="32" t="n">
        <f aca="false">IF($G184&lt;&gt;"",IFERROR(DATE(IF(VALUE(LEFT($G184,FIND("월",$G184)-1))&gt;=9,기준정보!$C$6-1,기준정보!$C$6),VALUE(LEFT($G184,FIND("월",$G184)-1)),1+7*(VALUE(SUBSTITUTE(MID($G184,FIND("월",$G184)+1,5),"주",""))-1)),""),IF($I184&lt;&gt;"",IF(ISNUMBER($I184),$I184+364,IFERROR(DATE(IF(VALUE(LEFT($I184,FIND("월",$I184)-1))&gt;=9,기준정보!$C$6-1,기준정보!$C$6),VALUE(LEFT($I184,FIND("월",$I184)-1)),1+7*(VALUE(SUBSTITUTE(MID($I184,FIND("월",$I184)+1,5),"주",""))-1)),"")),IF($J184&lt;&gt;"",$J184,"")))</f>
        <v>46367</v>
      </c>
      <c r="L184" s="28" t="str">
        <f aca="false">IF($G184&lt;&gt;"","계획 주차",IF($I184&lt;&gt;"","전년+1년 예측",IF($J184&lt;&gt;"","전산 입고계획(참고)","미정")))</f>
        <v>전산 입고계획(참고)</v>
      </c>
      <c r="M184" s="32" t="n">
        <f aca="false">IF($K184="","",$K184-기준정보!$C$5)</f>
        <v>46277</v>
      </c>
      <c r="N184" s="33" t="n">
        <f aca="false">IF($M184="","",$M184-기준정보!$C$4)</f>
        <v>36</v>
      </c>
      <c r="O184" s="31" t="s">
        <v>108</v>
      </c>
      <c r="P184" s="20"/>
      <c r="Q184" s="30" t="str">
        <f aca="false">IF($F184="","",IF(AND(ISNUMBER(SEARCH("CMT",$F184)),OR(ISNUMBER(SEARCH("사입",$F184)),ISNUMBER(SEARCH("Buying",$F184)))),"본사/생산처 혼재",IF(ISNUMBER(SEARCH("CMT",$F184)),"본사(소재팀)","생산처")))</f>
        <v>본사(소재팀)</v>
      </c>
      <c r="R184" s="29" t="s">
        <v>230</v>
      </c>
      <c r="S184" s="29" t="s">
        <v>110</v>
      </c>
      <c r="T184" s="30" t="str">
        <f aca="false">IF($K184="","출고일 미정",IF($O184="X","작지(일매) 미등록",IF($O184="부분","작지(일매) 일부 미등록",IF(AND($P184&lt;&gt;"",$P184&gt;$M184),"소재입고 마감("&amp;TEXT($M184,"MM/DD")&amp;") 초과",IF($O184="","일매 등록여부 확인 필요",IF($P184="","소재 입고일정 확인 필요","정상"))))))</f>
        <v>소재 입고일정 확인 필요</v>
      </c>
      <c r="U184" s="28" t="str">
        <f aca="false">IF($K184="","",IF(OR(LEFT($T184,2)="작지",LEFT($T184,4)="소재입고"),IF(LEFT($E184,1)="S","★ 납기위험(S코드)","◆ 지연주의"),IF($T184="정상","✓ 정상","? 확인필요")))</f>
        <v>? 확인필요</v>
      </c>
      <c r="V184" s="31"/>
      <c r="W184" s="19"/>
    </row>
    <row r="185" customFormat="false" ht="15" hidden="false" customHeight="true" outlineLevel="0" collapsed="false">
      <c r="A185" s="28" t="n">
        <v>181</v>
      </c>
      <c r="B185" s="29" t="s">
        <v>227</v>
      </c>
      <c r="C185" s="30" t="s">
        <v>502</v>
      </c>
      <c r="D185" s="29" t="s">
        <v>503</v>
      </c>
      <c r="E185" s="28" t="str">
        <f aca="false">IF($C185="","",IF(MID($C185,5,1)="S","S(봄)",IF(MID($C185,5,1)="M","M(여름)",IF(MID($C185,5,1)="X","X(사계절)",MID($C185,5,1)))))</f>
        <v>M(여름)</v>
      </c>
      <c r="F185" s="30" t="s">
        <v>141</v>
      </c>
      <c r="G185" s="31"/>
      <c r="H185" s="28" t="str">
        <f aca="false">IF($C185="","",REPLACE($C185,6,2,"26"))</f>
        <v>JKPOM26176</v>
      </c>
      <c r="I185" s="32" t="str">
        <f aca="false">IFERROR(INDEX(전년출고참조!$B$4:$B$638,MATCH($H185,전년출고참조!$A$4:$A$638,0)),"")</f>
        <v/>
      </c>
      <c r="J185" s="32" t="n">
        <v>46367</v>
      </c>
      <c r="K185" s="32" t="n">
        <f aca="false">IF($G185&lt;&gt;"",IFERROR(DATE(IF(VALUE(LEFT($G185,FIND("월",$G185)-1))&gt;=9,기준정보!$C$6-1,기준정보!$C$6),VALUE(LEFT($G185,FIND("월",$G185)-1)),1+7*(VALUE(SUBSTITUTE(MID($G185,FIND("월",$G185)+1,5),"주",""))-1)),""),IF($I185&lt;&gt;"",IF(ISNUMBER($I185),$I185+364,IFERROR(DATE(IF(VALUE(LEFT($I185,FIND("월",$I185)-1))&gt;=9,기준정보!$C$6-1,기준정보!$C$6),VALUE(LEFT($I185,FIND("월",$I185)-1)),1+7*(VALUE(SUBSTITUTE(MID($I185,FIND("월",$I185)+1,5),"주",""))-1)),"")),IF($J185&lt;&gt;"",$J185,"")))</f>
        <v>46367</v>
      </c>
      <c r="L185" s="28" t="str">
        <f aca="false">IF($G185&lt;&gt;"","계획 주차",IF($I185&lt;&gt;"","전년+1년 예측",IF($J185&lt;&gt;"","전산 입고계획(참고)","미정")))</f>
        <v>전산 입고계획(참고)</v>
      </c>
      <c r="M185" s="32" t="n">
        <f aca="false">IF($K185="","",$K185-기준정보!$C$5)</f>
        <v>46277</v>
      </c>
      <c r="N185" s="33" t="n">
        <f aca="false">IF($M185="","",$M185-기준정보!$C$4)</f>
        <v>36</v>
      </c>
      <c r="O185" s="31" t="s">
        <v>108</v>
      </c>
      <c r="P185" s="20"/>
      <c r="Q185" s="30" t="str">
        <f aca="false">IF($F185="","",IF(AND(ISNUMBER(SEARCH("CMT",$F185)),OR(ISNUMBER(SEARCH("사입",$F185)),ISNUMBER(SEARCH("Buying",$F185)))),"본사/생산처 혼재",IF(ISNUMBER(SEARCH("CMT",$F185)),"본사(소재팀)","생산처")))</f>
        <v>본사(소재팀)</v>
      </c>
      <c r="R185" s="29" t="s">
        <v>148</v>
      </c>
      <c r="S185" s="29" t="s">
        <v>110</v>
      </c>
      <c r="T185" s="30" t="str">
        <f aca="false">IF($K185="","출고일 미정",IF($O185="X","작지(일매) 미등록",IF($O185="부분","작지(일매) 일부 미등록",IF(AND($P185&lt;&gt;"",$P185&gt;$M185),"소재입고 마감("&amp;TEXT($M185,"MM/DD")&amp;") 초과",IF($O185="","일매 등록여부 확인 필요",IF($P185="","소재 입고일정 확인 필요","정상"))))))</f>
        <v>소재 입고일정 확인 필요</v>
      </c>
      <c r="U185" s="28" t="str">
        <f aca="false">IF($K185="","",IF(OR(LEFT($T185,2)="작지",LEFT($T185,4)="소재입고"),IF(LEFT($E185,1)="S","★ 납기위험(S코드)","◆ 지연주의"),IF($T185="정상","✓ 정상","? 확인필요")))</f>
        <v>? 확인필요</v>
      </c>
      <c r="V185" s="31"/>
      <c r="W185" s="19"/>
    </row>
    <row r="186" customFormat="false" ht="15" hidden="false" customHeight="true" outlineLevel="0" collapsed="false">
      <c r="A186" s="28" t="n">
        <v>182</v>
      </c>
      <c r="B186" s="29" t="s">
        <v>227</v>
      </c>
      <c r="C186" s="30" t="s">
        <v>504</v>
      </c>
      <c r="D186" s="29" t="s">
        <v>505</v>
      </c>
      <c r="E186" s="28" t="str">
        <f aca="false">IF($C186="","",IF(MID($C186,5,1)="S","S(봄)",IF(MID($C186,5,1)="M","M(여름)",IF(MID($C186,5,1)="X","X(사계절)",MID($C186,5,1)))))</f>
        <v>M(여름)</v>
      </c>
      <c r="F186" s="29" t="s">
        <v>106</v>
      </c>
      <c r="G186" s="31"/>
      <c r="H186" s="28" t="str">
        <f aca="false">IF($C186="","",REPLACE($C186,6,2,"26"))</f>
        <v>JKSCM26142</v>
      </c>
      <c r="I186" s="32" t="str">
        <f aca="false">IFERROR(INDEX(전년출고참조!$B$4:$B$638,MATCH($H186,전년출고참조!$A$4:$A$638,0)),"")</f>
        <v/>
      </c>
      <c r="J186" s="32" t="n">
        <v>46367</v>
      </c>
      <c r="K186" s="32" t="n">
        <f aca="false">IF($G186&lt;&gt;"",IFERROR(DATE(IF(VALUE(LEFT($G186,FIND("월",$G186)-1))&gt;=9,기준정보!$C$6-1,기준정보!$C$6),VALUE(LEFT($G186,FIND("월",$G186)-1)),1+7*(VALUE(SUBSTITUTE(MID($G186,FIND("월",$G186)+1,5),"주",""))-1)),""),IF($I186&lt;&gt;"",IF(ISNUMBER($I186),$I186+364,IFERROR(DATE(IF(VALUE(LEFT($I186,FIND("월",$I186)-1))&gt;=9,기준정보!$C$6-1,기준정보!$C$6),VALUE(LEFT($I186,FIND("월",$I186)-1)),1+7*(VALUE(SUBSTITUTE(MID($I186,FIND("월",$I186)+1,5),"주",""))-1)),"")),IF($J186&lt;&gt;"",$J186,"")))</f>
        <v>46367</v>
      </c>
      <c r="L186" s="28" t="str">
        <f aca="false">IF($G186&lt;&gt;"","계획 주차",IF($I186&lt;&gt;"","전년+1년 예측",IF($J186&lt;&gt;"","전산 입고계획(참고)","미정")))</f>
        <v>전산 입고계획(참고)</v>
      </c>
      <c r="M186" s="32" t="n">
        <f aca="false">IF($K186="","",$K186-기준정보!$C$5)</f>
        <v>46277</v>
      </c>
      <c r="N186" s="33" t="n">
        <f aca="false">IF($M186="","",$M186-기준정보!$C$4)</f>
        <v>36</v>
      </c>
      <c r="O186" s="31" t="s">
        <v>114</v>
      </c>
      <c r="P186" s="20"/>
      <c r="Q186" s="30" t="str">
        <f aca="false">IF($F186="","",IF(AND(ISNUMBER(SEARCH("CMT",$F186)),OR(ISNUMBER(SEARCH("사입",$F186)),ISNUMBER(SEARCH("Buying",$F186)))),"본사/생산처 혼재",IF(ISNUMBER(SEARCH("CMT",$F186)),"본사(소재팀)","생산처")))</f>
        <v>생산처</v>
      </c>
      <c r="R186" s="29" t="s">
        <v>275</v>
      </c>
      <c r="S186" s="29" t="s">
        <v>110</v>
      </c>
      <c r="T186" s="30" t="str">
        <f aca="false">IF($K186="","출고일 미정",IF($O186="X","작지(일매) 미등록",IF($O186="부분","작지(일매) 일부 미등록",IF(AND($P186&lt;&gt;"",$P186&gt;$M186),"소재입고 마감("&amp;TEXT($M186,"MM/DD")&amp;") 초과",IF($O186="","일매 등록여부 확인 필요",IF($P186="","소재 입고일정 확인 필요","정상"))))))</f>
        <v>작지(일매) 미등록</v>
      </c>
      <c r="U186" s="28" t="str">
        <f aca="false">IF($K186="","",IF(OR(LEFT($T186,2)="작지",LEFT($T186,4)="소재입고"),IF(LEFT($E186,1)="S","★ 납기위험(S코드)","◆ 지연주의"),IF($T186="정상","✓ 정상","? 확인필요")))</f>
        <v>◆ 지연주의</v>
      </c>
      <c r="V186" s="31"/>
      <c r="W186" s="19"/>
    </row>
    <row r="187" customFormat="false" ht="15" hidden="false" customHeight="true" outlineLevel="0" collapsed="false">
      <c r="A187" s="28" t="n">
        <v>183</v>
      </c>
      <c r="B187" s="29" t="s">
        <v>227</v>
      </c>
      <c r="C187" s="30" t="s">
        <v>506</v>
      </c>
      <c r="D187" s="29" t="s">
        <v>507</v>
      </c>
      <c r="E187" s="28" t="str">
        <f aca="false">IF($C187="","",IF(MID($C187,5,1)="S","S(봄)",IF(MID($C187,5,1)="M","M(여름)",IF(MID($C187,5,1)="X","X(사계절)",MID($C187,5,1)))))</f>
        <v>M(여름)</v>
      </c>
      <c r="F187" s="30" t="s">
        <v>141</v>
      </c>
      <c r="G187" s="31"/>
      <c r="H187" s="28" t="str">
        <f aca="false">IF($C187="","",REPLACE($C187,6,2,"26"))</f>
        <v>JKSCM26184</v>
      </c>
      <c r="I187" s="32" t="str">
        <f aca="false">IFERROR(INDEX(전년출고참조!$B$4:$B$638,MATCH($H187,전년출고참조!$A$4:$A$638,0)),"")</f>
        <v/>
      </c>
      <c r="J187" s="32" t="n">
        <v>46367</v>
      </c>
      <c r="K187" s="32" t="n">
        <f aca="false">IF($G187&lt;&gt;"",IFERROR(DATE(IF(VALUE(LEFT($G187,FIND("월",$G187)-1))&gt;=9,기준정보!$C$6-1,기준정보!$C$6),VALUE(LEFT($G187,FIND("월",$G187)-1)),1+7*(VALUE(SUBSTITUTE(MID($G187,FIND("월",$G187)+1,5),"주",""))-1)),""),IF($I187&lt;&gt;"",IF(ISNUMBER($I187),$I187+364,IFERROR(DATE(IF(VALUE(LEFT($I187,FIND("월",$I187)-1))&gt;=9,기준정보!$C$6-1,기준정보!$C$6),VALUE(LEFT($I187,FIND("월",$I187)-1)),1+7*(VALUE(SUBSTITUTE(MID($I187,FIND("월",$I187)+1,5),"주",""))-1)),"")),IF($J187&lt;&gt;"",$J187,"")))</f>
        <v>46367</v>
      </c>
      <c r="L187" s="28" t="str">
        <f aca="false">IF($G187&lt;&gt;"","계획 주차",IF($I187&lt;&gt;"","전년+1년 예측",IF($J187&lt;&gt;"","전산 입고계획(참고)","미정")))</f>
        <v>전산 입고계획(참고)</v>
      </c>
      <c r="M187" s="32" t="n">
        <f aca="false">IF($K187="","",$K187-기준정보!$C$5)</f>
        <v>46277</v>
      </c>
      <c r="N187" s="33" t="n">
        <f aca="false">IF($M187="","",$M187-기준정보!$C$4)</f>
        <v>36</v>
      </c>
      <c r="O187" s="31" t="s">
        <v>108</v>
      </c>
      <c r="P187" s="20"/>
      <c r="Q187" s="30" t="str">
        <f aca="false">IF($F187="","",IF(AND(ISNUMBER(SEARCH("CMT",$F187)),OR(ISNUMBER(SEARCH("사입",$F187)),ISNUMBER(SEARCH("Buying",$F187)))),"본사/생산처 혼재",IF(ISNUMBER(SEARCH("CMT",$F187)),"본사(소재팀)","생산처")))</f>
        <v>본사(소재팀)</v>
      </c>
      <c r="R187" s="29" t="s">
        <v>275</v>
      </c>
      <c r="S187" s="29" t="s">
        <v>110</v>
      </c>
      <c r="T187" s="30" t="str">
        <f aca="false">IF($K187="","출고일 미정",IF($O187="X","작지(일매) 미등록",IF($O187="부분","작지(일매) 일부 미등록",IF(AND($P187&lt;&gt;"",$P187&gt;$M187),"소재입고 마감("&amp;TEXT($M187,"MM/DD")&amp;") 초과",IF($O187="","일매 등록여부 확인 필요",IF($P187="","소재 입고일정 확인 필요","정상"))))))</f>
        <v>소재 입고일정 확인 필요</v>
      </c>
      <c r="U187" s="28" t="str">
        <f aca="false">IF($K187="","",IF(OR(LEFT($T187,2)="작지",LEFT($T187,4)="소재입고"),IF(LEFT($E187,1)="S","★ 납기위험(S코드)","◆ 지연주의"),IF($T187="정상","✓ 정상","? 확인필요")))</f>
        <v>? 확인필요</v>
      </c>
      <c r="V187" s="31"/>
      <c r="W187" s="19"/>
    </row>
    <row r="188" customFormat="false" ht="15" hidden="false" customHeight="true" outlineLevel="0" collapsed="false">
      <c r="A188" s="28" t="n">
        <v>184</v>
      </c>
      <c r="B188" s="29" t="s">
        <v>227</v>
      </c>
      <c r="C188" s="30" t="s">
        <v>508</v>
      </c>
      <c r="D188" s="29" t="s">
        <v>509</v>
      </c>
      <c r="E188" s="28" t="str">
        <f aca="false">IF($C188="","",IF(MID($C188,5,1)="S","S(봄)",IF(MID($C188,5,1)="M","M(여름)",IF(MID($C188,5,1)="X","X(사계절)",MID($C188,5,1)))))</f>
        <v>M(여름)</v>
      </c>
      <c r="F188" s="29" t="s">
        <v>106</v>
      </c>
      <c r="G188" s="31"/>
      <c r="H188" s="28" t="str">
        <f aca="false">IF($C188="","",REPLACE($C188,6,2,"26"))</f>
        <v>JKSXM26182</v>
      </c>
      <c r="I188" s="32" t="str">
        <f aca="false">IFERROR(INDEX(전년출고참조!$B$4:$B$638,MATCH($H188,전년출고참조!$A$4:$A$638,0)),"")</f>
        <v/>
      </c>
      <c r="J188" s="32" t="n">
        <v>46367</v>
      </c>
      <c r="K188" s="32" t="n">
        <f aca="false">IF($G188&lt;&gt;"",IFERROR(DATE(IF(VALUE(LEFT($G188,FIND("월",$G188)-1))&gt;=9,기준정보!$C$6-1,기준정보!$C$6),VALUE(LEFT($G188,FIND("월",$G188)-1)),1+7*(VALUE(SUBSTITUTE(MID($G188,FIND("월",$G188)+1,5),"주",""))-1)),""),IF($I188&lt;&gt;"",IF(ISNUMBER($I188),$I188+364,IFERROR(DATE(IF(VALUE(LEFT($I188,FIND("월",$I188)-1))&gt;=9,기준정보!$C$6-1,기준정보!$C$6),VALUE(LEFT($I188,FIND("월",$I188)-1)),1+7*(VALUE(SUBSTITUTE(MID($I188,FIND("월",$I188)+1,5),"주",""))-1)),"")),IF($J188&lt;&gt;"",$J188,"")))</f>
        <v>46367</v>
      </c>
      <c r="L188" s="28" t="str">
        <f aca="false">IF($G188&lt;&gt;"","계획 주차",IF($I188&lt;&gt;"","전년+1년 예측",IF($J188&lt;&gt;"","전산 입고계획(참고)","미정")))</f>
        <v>전산 입고계획(참고)</v>
      </c>
      <c r="M188" s="32" t="n">
        <f aca="false">IF($K188="","",$K188-기준정보!$C$5)</f>
        <v>46277</v>
      </c>
      <c r="N188" s="33" t="n">
        <f aca="false">IF($M188="","",$M188-기준정보!$C$4)</f>
        <v>36</v>
      </c>
      <c r="O188" s="31" t="s">
        <v>108</v>
      </c>
      <c r="P188" s="20"/>
      <c r="Q188" s="30" t="str">
        <f aca="false">IF($F188="","",IF(AND(ISNUMBER(SEARCH("CMT",$F188)),OR(ISNUMBER(SEARCH("사입",$F188)),ISNUMBER(SEARCH("Buying",$F188)))),"본사/생산처 혼재",IF(ISNUMBER(SEARCH("CMT",$F188)),"본사(소재팀)","생산처")))</f>
        <v>생산처</v>
      </c>
      <c r="R188" s="29" t="s">
        <v>275</v>
      </c>
      <c r="S188" s="29" t="s">
        <v>110</v>
      </c>
      <c r="T188" s="30" t="str">
        <f aca="false">IF($K188="","출고일 미정",IF($O188="X","작지(일매) 미등록",IF($O188="부분","작지(일매) 일부 미등록",IF(AND($P188&lt;&gt;"",$P188&gt;$M188),"소재입고 마감("&amp;TEXT($M188,"MM/DD")&amp;") 초과",IF($O188="","일매 등록여부 확인 필요",IF($P188="","소재 입고일정 확인 필요","정상"))))))</f>
        <v>소재 입고일정 확인 필요</v>
      </c>
      <c r="U188" s="28" t="str">
        <f aca="false">IF($K188="","",IF(OR(LEFT($T188,2)="작지",LEFT($T188,4)="소재입고"),IF(LEFT($E188,1)="S","★ 납기위험(S코드)","◆ 지연주의"),IF($T188="정상","✓ 정상","? 확인필요")))</f>
        <v>? 확인필요</v>
      </c>
      <c r="V188" s="31"/>
      <c r="W188" s="19"/>
    </row>
    <row r="189" customFormat="false" ht="15" hidden="false" customHeight="true" outlineLevel="0" collapsed="false">
      <c r="A189" s="28" t="n">
        <v>185</v>
      </c>
      <c r="B189" s="29" t="s">
        <v>227</v>
      </c>
      <c r="C189" s="30" t="s">
        <v>510</v>
      </c>
      <c r="D189" s="29" t="s">
        <v>511</v>
      </c>
      <c r="E189" s="28" t="str">
        <f aca="false">IF($C189="","",IF(MID($C189,5,1)="S","S(봄)",IF(MID($C189,5,1)="M","M(여름)",IF(MID($C189,5,1)="X","X(사계절)",MID($C189,5,1)))))</f>
        <v>M(여름)</v>
      </c>
      <c r="F189" s="29" t="s">
        <v>106</v>
      </c>
      <c r="G189" s="31"/>
      <c r="H189" s="28" t="str">
        <f aca="false">IF($C189="","",REPLACE($C189,6,2,"26"))</f>
        <v>JKTBM26124</v>
      </c>
      <c r="I189" s="32" t="str">
        <f aca="false">IFERROR(INDEX(전년출고참조!$B$4:$B$638,MATCH($H189,전년출고참조!$A$4:$A$638,0)),"")</f>
        <v/>
      </c>
      <c r="J189" s="32" t="n">
        <v>46367</v>
      </c>
      <c r="K189" s="32" t="n">
        <f aca="false">IF($G189&lt;&gt;"",IFERROR(DATE(IF(VALUE(LEFT($G189,FIND("월",$G189)-1))&gt;=9,기준정보!$C$6-1,기준정보!$C$6),VALUE(LEFT($G189,FIND("월",$G189)-1)),1+7*(VALUE(SUBSTITUTE(MID($G189,FIND("월",$G189)+1,5),"주",""))-1)),""),IF($I189&lt;&gt;"",IF(ISNUMBER($I189),$I189+364,IFERROR(DATE(IF(VALUE(LEFT($I189,FIND("월",$I189)-1))&gt;=9,기준정보!$C$6-1,기준정보!$C$6),VALUE(LEFT($I189,FIND("월",$I189)-1)),1+7*(VALUE(SUBSTITUTE(MID($I189,FIND("월",$I189)+1,5),"주",""))-1)),"")),IF($J189&lt;&gt;"",$J189,"")))</f>
        <v>46367</v>
      </c>
      <c r="L189" s="28" t="str">
        <f aca="false">IF($G189&lt;&gt;"","계획 주차",IF($I189&lt;&gt;"","전년+1년 예측",IF($J189&lt;&gt;"","전산 입고계획(참고)","미정")))</f>
        <v>전산 입고계획(참고)</v>
      </c>
      <c r="M189" s="32" t="n">
        <f aca="false">IF($K189="","",$K189-기준정보!$C$5)</f>
        <v>46277</v>
      </c>
      <c r="N189" s="33" t="n">
        <f aca="false">IF($M189="","",$M189-기준정보!$C$4)</f>
        <v>36</v>
      </c>
      <c r="O189" s="31" t="s">
        <v>108</v>
      </c>
      <c r="P189" s="20"/>
      <c r="Q189" s="30" t="str">
        <f aca="false">IF($F189="","",IF(AND(ISNUMBER(SEARCH("CMT",$F189)),OR(ISNUMBER(SEARCH("사입",$F189)),ISNUMBER(SEARCH("Buying",$F189)))),"본사/생산처 혼재",IF(ISNUMBER(SEARCH("CMT",$F189)),"본사(소재팀)","생산처")))</f>
        <v>생산처</v>
      </c>
      <c r="R189" s="29" t="s">
        <v>123</v>
      </c>
      <c r="S189" s="29" t="s">
        <v>120</v>
      </c>
      <c r="T189" s="30" t="str">
        <f aca="false">IF($K189="","출고일 미정",IF($O189="X","작지(일매) 미등록",IF($O189="부분","작지(일매) 일부 미등록",IF(AND($P189&lt;&gt;"",$P189&gt;$M189),"소재입고 마감("&amp;TEXT($M189,"MM/DD")&amp;") 초과",IF($O189="","일매 등록여부 확인 필요",IF($P189="","소재 입고일정 확인 필요","정상"))))))</f>
        <v>소재 입고일정 확인 필요</v>
      </c>
      <c r="U189" s="28" t="str">
        <f aca="false">IF($K189="","",IF(OR(LEFT($T189,2)="작지",LEFT($T189,4)="소재입고"),IF(LEFT($E189,1)="S","★ 납기위험(S코드)","◆ 지연주의"),IF($T189="정상","✓ 정상","? 확인필요")))</f>
        <v>? 확인필요</v>
      </c>
      <c r="V189" s="31"/>
      <c r="W189" s="19"/>
    </row>
    <row r="190" customFormat="false" ht="15" hidden="false" customHeight="true" outlineLevel="0" collapsed="false">
      <c r="A190" s="28" t="n">
        <v>186</v>
      </c>
      <c r="B190" s="30"/>
      <c r="C190" s="30" t="s">
        <v>512</v>
      </c>
      <c r="D190" s="29" t="s">
        <v>513</v>
      </c>
      <c r="E190" s="28" t="str">
        <f aca="false">IF($C190="","",IF(MID($C190,5,1)="S","S(봄)",IF(MID($C190,5,1)="M","M(여름)",IF(MID($C190,5,1)="X","X(사계절)",MID($C190,5,1)))))</f>
        <v>M(여름)</v>
      </c>
      <c r="F190" s="30" t="s">
        <v>113</v>
      </c>
      <c r="G190" s="31"/>
      <c r="H190" s="28" t="str">
        <f aca="false">IF($C190="","",REPLACE($C190,6,2,"26"))</f>
        <v>JKTBM26128</v>
      </c>
      <c r="I190" s="32" t="str">
        <f aca="false">IFERROR(INDEX(전년출고참조!$B$4:$B$638,MATCH($H190,전년출고참조!$A$4:$A$638,0)),"")</f>
        <v/>
      </c>
      <c r="J190" s="32" t="n">
        <v>46367</v>
      </c>
      <c r="K190" s="32" t="n">
        <f aca="false">IF($G190&lt;&gt;"",IFERROR(DATE(IF(VALUE(LEFT($G190,FIND("월",$G190)-1))&gt;=9,기준정보!$C$6-1,기준정보!$C$6),VALUE(LEFT($G190,FIND("월",$G190)-1)),1+7*(VALUE(SUBSTITUTE(MID($G190,FIND("월",$G190)+1,5),"주",""))-1)),""),IF($I190&lt;&gt;"",IF(ISNUMBER($I190),$I190+364,IFERROR(DATE(IF(VALUE(LEFT($I190,FIND("월",$I190)-1))&gt;=9,기준정보!$C$6-1,기준정보!$C$6),VALUE(LEFT($I190,FIND("월",$I190)-1)),1+7*(VALUE(SUBSTITUTE(MID($I190,FIND("월",$I190)+1,5),"주",""))-1)),"")),IF($J190&lt;&gt;"",$J190,"")))</f>
        <v>46367</v>
      </c>
      <c r="L190" s="28" t="str">
        <f aca="false">IF($G190&lt;&gt;"","계획 주차",IF($I190&lt;&gt;"","전년+1년 예측",IF($J190&lt;&gt;"","전산 입고계획(참고)","미정")))</f>
        <v>전산 입고계획(참고)</v>
      </c>
      <c r="M190" s="32" t="n">
        <f aca="false">IF($K190="","",$K190-기준정보!$C$5)</f>
        <v>46277</v>
      </c>
      <c r="N190" s="33" t="n">
        <f aca="false">IF($M190="","",$M190-기준정보!$C$4)</f>
        <v>36</v>
      </c>
      <c r="O190" s="31" t="s">
        <v>114</v>
      </c>
      <c r="P190" s="20"/>
      <c r="Q190" s="30" t="str">
        <f aca="false">IF($F190="","",IF(AND(ISNUMBER(SEARCH("CMT",$F190)),OR(ISNUMBER(SEARCH("사입",$F190)),ISNUMBER(SEARCH("Buying",$F190)))),"본사/생산처 혼재",IF(ISNUMBER(SEARCH("CMT",$F190)),"본사(소재팀)","생산처")))</f>
        <v>생산처</v>
      </c>
      <c r="R190" s="30" t="s">
        <v>201</v>
      </c>
      <c r="S190" s="29" t="s">
        <v>110</v>
      </c>
      <c r="T190" s="30" t="str">
        <f aca="false">IF($K190="","출고일 미정",IF($O190="X","작지(일매) 미등록",IF($O190="부분","작지(일매) 일부 미등록",IF(AND($P190&lt;&gt;"",$P190&gt;$M190),"소재입고 마감("&amp;TEXT($M190,"MM/DD")&amp;") 초과",IF($O190="","일매 등록여부 확인 필요",IF($P190="","소재 입고일정 확인 필요","정상"))))))</f>
        <v>작지(일매) 미등록</v>
      </c>
      <c r="U190" s="28" t="str">
        <f aca="false">IF($K190="","",IF(OR(LEFT($T190,2)="작지",LEFT($T190,4)="소재입고"),IF(LEFT($E190,1)="S","★ 납기위험(S코드)","◆ 지연주의"),IF($T190="정상","✓ 정상","? 확인필요")))</f>
        <v>◆ 지연주의</v>
      </c>
      <c r="V190" s="31"/>
      <c r="W190" s="19"/>
    </row>
    <row r="191" customFormat="false" ht="15" hidden="false" customHeight="true" outlineLevel="0" collapsed="false">
      <c r="A191" s="28" t="n">
        <v>187</v>
      </c>
      <c r="B191" s="29" t="s">
        <v>227</v>
      </c>
      <c r="C191" s="30" t="s">
        <v>514</v>
      </c>
      <c r="D191" s="29" t="s">
        <v>515</v>
      </c>
      <c r="E191" s="28" t="str">
        <f aca="false">IF($C191="","",IF(MID($C191,5,1)="S","S(봄)",IF(MID($C191,5,1)="M","M(여름)",IF(MID($C191,5,1)="X","X(사계절)",MID($C191,5,1)))))</f>
        <v>M(여름)</v>
      </c>
      <c r="F191" s="29" t="s">
        <v>106</v>
      </c>
      <c r="G191" s="31"/>
      <c r="H191" s="28" t="str">
        <f aca="false">IF($C191="","",REPLACE($C191,6,2,"26"))</f>
        <v>JKTBM26166</v>
      </c>
      <c r="I191" s="32" t="str">
        <f aca="false">IFERROR(INDEX(전년출고참조!$B$4:$B$638,MATCH($H191,전년출고참조!$A$4:$A$638,0)),"")</f>
        <v/>
      </c>
      <c r="J191" s="32" t="n">
        <v>46367</v>
      </c>
      <c r="K191" s="32" t="n">
        <f aca="false">IF($G191&lt;&gt;"",IFERROR(DATE(IF(VALUE(LEFT($G191,FIND("월",$G191)-1))&gt;=9,기준정보!$C$6-1,기준정보!$C$6),VALUE(LEFT($G191,FIND("월",$G191)-1)),1+7*(VALUE(SUBSTITUTE(MID($G191,FIND("월",$G191)+1,5),"주",""))-1)),""),IF($I191&lt;&gt;"",IF(ISNUMBER($I191),$I191+364,IFERROR(DATE(IF(VALUE(LEFT($I191,FIND("월",$I191)-1))&gt;=9,기준정보!$C$6-1,기준정보!$C$6),VALUE(LEFT($I191,FIND("월",$I191)-1)),1+7*(VALUE(SUBSTITUTE(MID($I191,FIND("월",$I191)+1,5),"주",""))-1)),"")),IF($J191&lt;&gt;"",$J191,"")))</f>
        <v>46367</v>
      </c>
      <c r="L191" s="28" t="str">
        <f aca="false">IF($G191&lt;&gt;"","계획 주차",IF($I191&lt;&gt;"","전년+1년 예측",IF($J191&lt;&gt;"","전산 입고계획(참고)","미정")))</f>
        <v>전산 입고계획(참고)</v>
      </c>
      <c r="M191" s="32" t="n">
        <f aca="false">IF($K191="","",$K191-기준정보!$C$5)</f>
        <v>46277</v>
      </c>
      <c r="N191" s="33" t="n">
        <f aca="false">IF($M191="","",$M191-기준정보!$C$4)</f>
        <v>36</v>
      </c>
      <c r="O191" s="31" t="s">
        <v>108</v>
      </c>
      <c r="P191" s="20"/>
      <c r="Q191" s="30" t="str">
        <f aca="false">IF($F191="","",IF(AND(ISNUMBER(SEARCH("CMT",$F191)),OR(ISNUMBER(SEARCH("사입",$F191)),ISNUMBER(SEARCH("Buying",$F191)))),"본사/생산처 혼재",IF(ISNUMBER(SEARCH("CMT",$F191)),"본사(소재팀)","생산처")))</f>
        <v>생산처</v>
      </c>
      <c r="R191" s="29" t="s">
        <v>115</v>
      </c>
      <c r="S191" s="29" t="s">
        <v>110</v>
      </c>
      <c r="T191" s="30" t="str">
        <f aca="false">IF($K191="","출고일 미정",IF($O191="X","작지(일매) 미등록",IF($O191="부분","작지(일매) 일부 미등록",IF(AND($P191&lt;&gt;"",$P191&gt;$M191),"소재입고 마감("&amp;TEXT($M191,"MM/DD")&amp;") 초과",IF($O191="","일매 등록여부 확인 필요",IF($P191="","소재 입고일정 확인 필요","정상"))))))</f>
        <v>소재 입고일정 확인 필요</v>
      </c>
      <c r="U191" s="28" t="str">
        <f aca="false">IF($K191="","",IF(OR(LEFT($T191,2)="작지",LEFT($T191,4)="소재입고"),IF(LEFT($E191,1)="S","★ 납기위험(S코드)","◆ 지연주의"),IF($T191="정상","✓ 정상","? 확인필요")))</f>
        <v>? 확인필요</v>
      </c>
      <c r="V191" s="31"/>
      <c r="W191" s="19"/>
    </row>
    <row r="192" customFormat="false" ht="15" hidden="false" customHeight="true" outlineLevel="0" collapsed="false">
      <c r="A192" s="28" t="n">
        <v>188</v>
      </c>
      <c r="B192" s="29" t="s">
        <v>227</v>
      </c>
      <c r="C192" s="30" t="s">
        <v>516</v>
      </c>
      <c r="D192" s="29" t="s">
        <v>517</v>
      </c>
      <c r="E192" s="28" t="str">
        <f aca="false">IF($C192="","",IF(MID($C192,5,1)="S","S(봄)",IF(MID($C192,5,1)="M","M(여름)",IF(MID($C192,5,1)="X","X(사계절)",MID($C192,5,1)))))</f>
        <v>M(여름)</v>
      </c>
      <c r="F192" s="29" t="s">
        <v>106</v>
      </c>
      <c r="G192" s="31"/>
      <c r="H192" s="28" t="str">
        <f aca="false">IF($C192="","",REPLACE($C192,6,2,"26"))</f>
        <v>JKTBM26168</v>
      </c>
      <c r="I192" s="32" t="str">
        <f aca="false">IFERROR(INDEX(전년출고참조!$B$4:$B$638,MATCH($H192,전년출고참조!$A$4:$A$638,0)),"")</f>
        <v/>
      </c>
      <c r="J192" s="32" t="n">
        <v>46367</v>
      </c>
      <c r="K192" s="32" t="n">
        <f aca="false">IF($G192&lt;&gt;"",IFERROR(DATE(IF(VALUE(LEFT($G192,FIND("월",$G192)-1))&gt;=9,기준정보!$C$6-1,기준정보!$C$6),VALUE(LEFT($G192,FIND("월",$G192)-1)),1+7*(VALUE(SUBSTITUTE(MID($G192,FIND("월",$G192)+1,5),"주",""))-1)),""),IF($I192&lt;&gt;"",IF(ISNUMBER($I192),$I192+364,IFERROR(DATE(IF(VALUE(LEFT($I192,FIND("월",$I192)-1))&gt;=9,기준정보!$C$6-1,기준정보!$C$6),VALUE(LEFT($I192,FIND("월",$I192)-1)),1+7*(VALUE(SUBSTITUTE(MID($I192,FIND("월",$I192)+1,5),"주",""))-1)),"")),IF($J192&lt;&gt;"",$J192,"")))</f>
        <v>46367</v>
      </c>
      <c r="L192" s="28" t="str">
        <f aca="false">IF($G192&lt;&gt;"","계획 주차",IF($I192&lt;&gt;"","전년+1년 예측",IF($J192&lt;&gt;"","전산 입고계획(참고)","미정")))</f>
        <v>전산 입고계획(참고)</v>
      </c>
      <c r="M192" s="32" t="n">
        <f aca="false">IF($K192="","",$K192-기준정보!$C$5)</f>
        <v>46277</v>
      </c>
      <c r="N192" s="33" t="n">
        <f aca="false">IF($M192="","",$M192-기준정보!$C$4)</f>
        <v>36</v>
      </c>
      <c r="O192" s="31" t="s">
        <v>108</v>
      </c>
      <c r="P192" s="20"/>
      <c r="Q192" s="30" t="str">
        <f aca="false">IF($F192="","",IF(AND(ISNUMBER(SEARCH("CMT",$F192)),OR(ISNUMBER(SEARCH("사입",$F192)),ISNUMBER(SEARCH("Buying",$F192)))),"본사/생산처 혼재",IF(ISNUMBER(SEARCH("CMT",$F192)),"본사(소재팀)","생산처")))</f>
        <v>생산처</v>
      </c>
      <c r="R192" s="29" t="s">
        <v>156</v>
      </c>
      <c r="S192" s="29" t="s">
        <v>110</v>
      </c>
      <c r="T192" s="30" t="str">
        <f aca="false">IF($K192="","출고일 미정",IF($O192="X","작지(일매) 미등록",IF($O192="부분","작지(일매) 일부 미등록",IF(AND($P192&lt;&gt;"",$P192&gt;$M192),"소재입고 마감("&amp;TEXT($M192,"MM/DD")&amp;") 초과",IF($O192="","일매 등록여부 확인 필요",IF($P192="","소재 입고일정 확인 필요","정상"))))))</f>
        <v>소재 입고일정 확인 필요</v>
      </c>
      <c r="U192" s="28" t="str">
        <f aca="false">IF($K192="","",IF(OR(LEFT($T192,2)="작지",LEFT($T192,4)="소재입고"),IF(LEFT($E192,1)="S","★ 납기위험(S코드)","◆ 지연주의"),IF($T192="정상","✓ 정상","? 확인필요")))</f>
        <v>? 확인필요</v>
      </c>
      <c r="V192" s="31"/>
      <c r="W192" s="19"/>
    </row>
    <row r="193" customFormat="false" ht="15" hidden="false" customHeight="true" outlineLevel="0" collapsed="false">
      <c r="A193" s="28" t="n">
        <v>189</v>
      </c>
      <c r="B193" s="29" t="s">
        <v>227</v>
      </c>
      <c r="C193" s="30" t="s">
        <v>518</v>
      </c>
      <c r="D193" s="29" t="s">
        <v>519</v>
      </c>
      <c r="E193" s="28" t="str">
        <f aca="false">IF($C193="","",IF(MID($C193,5,1)="S","S(봄)",IF(MID($C193,5,1)="M","M(여름)",IF(MID($C193,5,1)="X","X(사계절)",MID($C193,5,1)))))</f>
        <v>M(여름)</v>
      </c>
      <c r="F193" s="29" t="s">
        <v>106</v>
      </c>
      <c r="G193" s="31"/>
      <c r="H193" s="28" t="str">
        <f aca="false">IF($C193="","",REPLACE($C193,6,2,"26"))</f>
        <v>JKTBM26182</v>
      </c>
      <c r="I193" s="32" t="str">
        <f aca="false">IFERROR(INDEX(전년출고참조!$B$4:$B$638,MATCH($H193,전년출고참조!$A$4:$A$638,0)),"")</f>
        <v/>
      </c>
      <c r="J193" s="32" t="n">
        <v>46367</v>
      </c>
      <c r="K193" s="32" t="n">
        <f aca="false">IF($G193&lt;&gt;"",IFERROR(DATE(IF(VALUE(LEFT($G193,FIND("월",$G193)-1))&gt;=9,기준정보!$C$6-1,기준정보!$C$6),VALUE(LEFT($G193,FIND("월",$G193)-1)),1+7*(VALUE(SUBSTITUTE(MID($G193,FIND("월",$G193)+1,5),"주",""))-1)),""),IF($I193&lt;&gt;"",IF(ISNUMBER($I193),$I193+364,IFERROR(DATE(IF(VALUE(LEFT($I193,FIND("월",$I193)-1))&gt;=9,기준정보!$C$6-1,기준정보!$C$6),VALUE(LEFT($I193,FIND("월",$I193)-1)),1+7*(VALUE(SUBSTITUTE(MID($I193,FIND("월",$I193)+1,5),"주",""))-1)),"")),IF($J193&lt;&gt;"",$J193,"")))</f>
        <v>46367</v>
      </c>
      <c r="L193" s="28" t="str">
        <f aca="false">IF($G193&lt;&gt;"","계획 주차",IF($I193&lt;&gt;"","전년+1년 예측",IF($J193&lt;&gt;"","전산 입고계획(참고)","미정")))</f>
        <v>전산 입고계획(참고)</v>
      </c>
      <c r="M193" s="32" t="n">
        <f aca="false">IF($K193="","",$K193-기준정보!$C$5)</f>
        <v>46277</v>
      </c>
      <c r="N193" s="33" t="n">
        <f aca="false">IF($M193="","",$M193-기준정보!$C$4)</f>
        <v>36</v>
      </c>
      <c r="O193" s="31" t="s">
        <v>108</v>
      </c>
      <c r="P193" s="20"/>
      <c r="Q193" s="30" t="str">
        <f aca="false">IF($F193="","",IF(AND(ISNUMBER(SEARCH("CMT",$F193)),OR(ISNUMBER(SEARCH("사입",$F193)),ISNUMBER(SEARCH("Buying",$F193)))),"본사/생산처 혼재",IF(ISNUMBER(SEARCH("CMT",$F193)),"본사(소재팀)","생산처")))</f>
        <v>생산처</v>
      </c>
      <c r="R193" s="29" t="s">
        <v>156</v>
      </c>
      <c r="S193" s="29" t="s">
        <v>110</v>
      </c>
      <c r="T193" s="30" t="str">
        <f aca="false">IF($K193="","출고일 미정",IF($O193="X","작지(일매) 미등록",IF($O193="부분","작지(일매) 일부 미등록",IF(AND($P193&lt;&gt;"",$P193&gt;$M193),"소재입고 마감("&amp;TEXT($M193,"MM/DD")&amp;") 초과",IF($O193="","일매 등록여부 확인 필요",IF($P193="","소재 입고일정 확인 필요","정상"))))))</f>
        <v>소재 입고일정 확인 필요</v>
      </c>
      <c r="U193" s="28" t="str">
        <f aca="false">IF($K193="","",IF(OR(LEFT($T193,2)="작지",LEFT($T193,4)="소재입고"),IF(LEFT($E193,1)="S","★ 납기위험(S코드)","◆ 지연주의"),IF($T193="정상","✓ 정상","? 확인필요")))</f>
        <v>? 확인필요</v>
      </c>
      <c r="V193" s="31"/>
      <c r="W193" s="19"/>
    </row>
    <row r="194" customFormat="false" ht="15" hidden="false" customHeight="true" outlineLevel="0" collapsed="false">
      <c r="A194" s="28" t="n">
        <v>190</v>
      </c>
      <c r="B194" s="29" t="s">
        <v>227</v>
      </c>
      <c r="C194" s="30" t="s">
        <v>520</v>
      </c>
      <c r="D194" s="30" t="s">
        <v>521</v>
      </c>
      <c r="E194" s="28" t="str">
        <f aca="false">IF($C194="","",IF(MID($C194,5,1)="S","S(봄)",IF(MID($C194,5,1)="M","M(여름)",IF(MID($C194,5,1)="X","X(사계절)",MID($C194,5,1)))))</f>
        <v>M(여름)</v>
      </c>
      <c r="F194" s="29" t="s">
        <v>106</v>
      </c>
      <c r="G194" s="31"/>
      <c r="H194" s="28" t="str">
        <f aca="false">IF($C194="","",REPLACE($C194,6,2,"26"))</f>
        <v>JKTBM26282</v>
      </c>
      <c r="I194" s="32" t="str">
        <f aca="false">IFERROR(INDEX(전년출고참조!$B$4:$B$638,MATCH($H194,전년출고참조!$A$4:$A$638,0)),"")</f>
        <v/>
      </c>
      <c r="J194" s="32" t="n">
        <v>46367</v>
      </c>
      <c r="K194" s="32" t="n">
        <f aca="false">IF($G194&lt;&gt;"",IFERROR(DATE(IF(VALUE(LEFT($G194,FIND("월",$G194)-1))&gt;=9,기준정보!$C$6-1,기준정보!$C$6),VALUE(LEFT($G194,FIND("월",$G194)-1)),1+7*(VALUE(SUBSTITUTE(MID($G194,FIND("월",$G194)+1,5),"주",""))-1)),""),IF($I194&lt;&gt;"",IF(ISNUMBER($I194),$I194+364,IFERROR(DATE(IF(VALUE(LEFT($I194,FIND("월",$I194)-1))&gt;=9,기준정보!$C$6-1,기준정보!$C$6),VALUE(LEFT($I194,FIND("월",$I194)-1)),1+7*(VALUE(SUBSTITUTE(MID($I194,FIND("월",$I194)+1,5),"주",""))-1)),"")),IF($J194&lt;&gt;"",$J194,"")))</f>
        <v>46367</v>
      </c>
      <c r="L194" s="28" t="str">
        <f aca="false">IF($G194&lt;&gt;"","계획 주차",IF($I194&lt;&gt;"","전년+1년 예측",IF($J194&lt;&gt;"","전산 입고계획(참고)","미정")))</f>
        <v>전산 입고계획(참고)</v>
      </c>
      <c r="M194" s="32" t="n">
        <f aca="false">IF($K194="","",$K194-기준정보!$C$5)</f>
        <v>46277</v>
      </c>
      <c r="N194" s="33" t="n">
        <f aca="false">IF($M194="","",$M194-기준정보!$C$4)</f>
        <v>36</v>
      </c>
      <c r="O194" s="31" t="s">
        <v>108</v>
      </c>
      <c r="P194" s="20"/>
      <c r="Q194" s="30" t="str">
        <f aca="false">IF($F194="","",IF(AND(ISNUMBER(SEARCH("CMT",$F194)),OR(ISNUMBER(SEARCH("사입",$F194)),ISNUMBER(SEARCH("Buying",$F194)))),"본사/생산처 혼재",IF(ISNUMBER(SEARCH("CMT",$F194)),"본사(소재팀)","생산처")))</f>
        <v>생산처</v>
      </c>
      <c r="R194" s="29" t="s">
        <v>156</v>
      </c>
      <c r="S194" s="29" t="s">
        <v>110</v>
      </c>
      <c r="T194" s="30" t="str">
        <f aca="false">IF($K194="","출고일 미정",IF($O194="X","작지(일매) 미등록",IF($O194="부분","작지(일매) 일부 미등록",IF(AND($P194&lt;&gt;"",$P194&gt;$M194),"소재입고 마감("&amp;TEXT($M194,"MM/DD")&amp;") 초과",IF($O194="","일매 등록여부 확인 필요",IF($P194="","소재 입고일정 확인 필요","정상"))))))</f>
        <v>소재 입고일정 확인 필요</v>
      </c>
      <c r="U194" s="28" t="str">
        <f aca="false">IF($K194="","",IF(OR(LEFT($T194,2)="작지",LEFT($T194,4)="소재입고"),IF(LEFT($E194,1)="S","★ 납기위험(S코드)","◆ 지연주의"),IF($T194="정상","✓ 정상","? 확인필요")))</f>
        <v>? 확인필요</v>
      </c>
      <c r="V194" s="31"/>
      <c r="W194" s="19"/>
    </row>
    <row r="195" customFormat="false" ht="15" hidden="false" customHeight="true" outlineLevel="0" collapsed="false">
      <c r="A195" s="28" t="n">
        <v>191</v>
      </c>
      <c r="B195" s="29" t="s">
        <v>227</v>
      </c>
      <c r="C195" s="30" t="s">
        <v>522</v>
      </c>
      <c r="D195" s="29" t="s">
        <v>523</v>
      </c>
      <c r="E195" s="28" t="str">
        <f aca="false">IF($C195="","",IF(MID($C195,5,1)="S","S(봄)",IF(MID($C195,5,1)="M","M(여름)",IF(MID($C195,5,1)="X","X(사계절)",MID($C195,5,1)))))</f>
        <v>M(여름)</v>
      </c>
      <c r="F195" s="29" t="s">
        <v>106</v>
      </c>
      <c r="G195" s="31"/>
      <c r="H195" s="28" t="str">
        <f aca="false">IF($C195="","",REPLACE($C195,6,2,"26"))</f>
        <v>JKTCM26148</v>
      </c>
      <c r="I195" s="32" t="str">
        <f aca="false">IFERROR(INDEX(전년출고참조!$B$4:$B$638,MATCH($H195,전년출고참조!$A$4:$A$638,0)),"")</f>
        <v/>
      </c>
      <c r="J195" s="32" t="n">
        <v>46367</v>
      </c>
      <c r="K195" s="32" t="n">
        <f aca="false">IF($G195&lt;&gt;"",IFERROR(DATE(IF(VALUE(LEFT($G195,FIND("월",$G195)-1))&gt;=9,기준정보!$C$6-1,기준정보!$C$6),VALUE(LEFT($G195,FIND("월",$G195)-1)),1+7*(VALUE(SUBSTITUTE(MID($G195,FIND("월",$G195)+1,5),"주",""))-1)),""),IF($I195&lt;&gt;"",IF(ISNUMBER($I195),$I195+364,IFERROR(DATE(IF(VALUE(LEFT($I195,FIND("월",$I195)-1))&gt;=9,기준정보!$C$6-1,기준정보!$C$6),VALUE(LEFT($I195,FIND("월",$I195)-1)),1+7*(VALUE(SUBSTITUTE(MID($I195,FIND("월",$I195)+1,5),"주",""))-1)),"")),IF($J195&lt;&gt;"",$J195,"")))</f>
        <v>46367</v>
      </c>
      <c r="L195" s="28" t="str">
        <f aca="false">IF($G195&lt;&gt;"","계획 주차",IF($I195&lt;&gt;"","전년+1년 예측",IF($J195&lt;&gt;"","전산 입고계획(참고)","미정")))</f>
        <v>전산 입고계획(참고)</v>
      </c>
      <c r="M195" s="32" t="n">
        <f aca="false">IF($K195="","",$K195-기준정보!$C$5)</f>
        <v>46277</v>
      </c>
      <c r="N195" s="33" t="n">
        <f aca="false">IF($M195="","",$M195-기준정보!$C$4)</f>
        <v>36</v>
      </c>
      <c r="O195" s="31" t="s">
        <v>108</v>
      </c>
      <c r="P195" s="20"/>
      <c r="Q195" s="30" t="str">
        <f aca="false">IF($F195="","",IF(AND(ISNUMBER(SEARCH("CMT",$F195)),OR(ISNUMBER(SEARCH("사입",$F195)),ISNUMBER(SEARCH("Buying",$F195)))),"본사/생산처 혼재",IF(ISNUMBER(SEARCH("CMT",$F195)),"본사(소재팀)","생산처")))</f>
        <v>생산처</v>
      </c>
      <c r="R195" s="29" t="s">
        <v>156</v>
      </c>
      <c r="S195" s="29" t="s">
        <v>110</v>
      </c>
      <c r="T195" s="30" t="str">
        <f aca="false">IF($K195="","출고일 미정",IF($O195="X","작지(일매) 미등록",IF($O195="부분","작지(일매) 일부 미등록",IF(AND($P195&lt;&gt;"",$P195&gt;$M195),"소재입고 마감("&amp;TEXT($M195,"MM/DD")&amp;") 초과",IF($O195="","일매 등록여부 확인 필요",IF($P195="","소재 입고일정 확인 필요","정상"))))))</f>
        <v>소재 입고일정 확인 필요</v>
      </c>
      <c r="U195" s="28" t="str">
        <f aca="false">IF($K195="","",IF(OR(LEFT($T195,2)="작지",LEFT($T195,4)="소재입고"),IF(LEFT($E195,1)="S","★ 납기위험(S코드)","◆ 지연주의"),IF($T195="정상","✓ 정상","? 확인필요")))</f>
        <v>? 확인필요</v>
      </c>
      <c r="V195" s="31"/>
      <c r="W195" s="19"/>
    </row>
    <row r="196" customFormat="false" ht="15" hidden="false" customHeight="true" outlineLevel="0" collapsed="false">
      <c r="A196" s="28" t="n">
        <v>192</v>
      </c>
      <c r="B196" s="30"/>
      <c r="C196" s="30" t="s">
        <v>524</v>
      </c>
      <c r="D196" s="29" t="s">
        <v>525</v>
      </c>
      <c r="E196" s="28" t="str">
        <f aca="false">IF($C196="","",IF(MID($C196,5,1)="S","S(봄)",IF(MID($C196,5,1)="M","M(여름)",IF(MID($C196,5,1)="X","X(사계절)",MID($C196,5,1)))))</f>
        <v>M(여름)</v>
      </c>
      <c r="F196" s="30" t="s">
        <v>113</v>
      </c>
      <c r="G196" s="31"/>
      <c r="H196" s="28" t="str">
        <f aca="false">IF($C196="","",REPLACE($C196,6,2,"26"))</f>
        <v>JKTCM26158</v>
      </c>
      <c r="I196" s="32" t="str">
        <f aca="false">IFERROR(INDEX(전년출고참조!$B$4:$B$638,MATCH($H196,전년출고참조!$A$4:$A$638,0)),"")</f>
        <v/>
      </c>
      <c r="J196" s="32" t="n">
        <v>46367</v>
      </c>
      <c r="K196" s="32" t="n">
        <f aca="false">IF($G196&lt;&gt;"",IFERROR(DATE(IF(VALUE(LEFT($G196,FIND("월",$G196)-1))&gt;=9,기준정보!$C$6-1,기준정보!$C$6),VALUE(LEFT($G196,FIND("월",$G196)-1)),1+7*(VALUE(SUBSTITUTE(MID($G196,FIND("월",$G196)+1,5),"주",""))-1)),""),IF($I196&lt;&gt;"",IF(ISNUMBER($I196),$I196+364,IFERROR(DATE(IF(VALUE(LEFT($I196,FIND("월",$I196)-1))&gt;=9,기준정보!$C$6-1,기준정보!$C$6),VALUE(LEFT($I196,FIND("월",$I196)-1)),1+7*(VALUE(SUBSTITUTE(MID($I196,FIND("월",$I196)+1,5),"주",""))-1)),"")),IF($J196&lt;&gt;"",$J196,"")))</f>
        <v>46367</v>
      </c>
      <c r="L196" s="28" t="str">
        <f aca="false">IF($G196&lt;&gt;"","계획 주차",IF($I196&lt;&gt;"","전년+1년 예측",IF($J196&lt;&gt;"","전산 입고계획(참고)","미정")))</f>
        <v>전산 입고계획(참고)</v>
      </c>
      <c r="M196" s="32" t="n">
        <f aca="false">IF($K196="","",$K196-기준정보!$C$5)</f>
        <v>46277</v>
      </c>
      <c r="N196" s="33" t="n">
        <f aca="false">IF($M196="","",$M196-기준정보!$C$4)</f>
        <v>36</v>
      </c>
      <c r="O196" s="31" t="s">
        <v>114</v>
      </c>
      <c r="P196" s="20"/>
      <c r="Q196" s="30" t="str">
        <f aca="false">IF($F196="","",IF(AND(ISNUMBER(SEARCH("CMT",$F196)),OR(ISNUMBER(SEARCH("사입",$F196)),ISNUMBER(SEARCH("Buying",$F196)))),"본사/생산처 혼재",IF(ISNUMBER(SEARCH("CMT",$F196)),"본사(소재팀)","생산처")))</f>
        <v>생산처</v>
      </c>
      <c r="R196" s="30" t="s">
        <v>201</v>
      </c>
      <c r="S196" s="29" t="s">
        <v>110</v>
      </c>
      <c r="T196" s="30" t="str">
        <f aca="false">IF($K196="","출고일 미정",IF($O196="X","작지(일매) 미등록",IF($O196="부분","작지(일매) 일부 미등록",IF(AND($P196&lt;&gt;"",$P196&gt;$M196),"소재입고 마감("&amp;TEXT($M196,"MM/DD")&amp;") 초과",IF($O196="","일매 등록여부 확인 필요",IF($P196="","소재 입고일정 확인 필요","정상"))))))</f>
        <v>작지(일매) 미등록</v>
      </c>
      <c r="U196" s="28" t="str">
        <f aca="false">IF($K196="","",IF(OR(LEFT($T196,2)="작지",LEFT($T196,4)="소재입고"),IF(LEFT($E196,1)="S","★ 납기위험(S코드)","◆ 지연주의"),IF($T196="정상","✓ 정상","? 확인필요")))</f>
        <v>◆ 지연주의</v>
      </c>
      <c r="V196" s="31"/>
      <c r="W196" s="19"/>
    </row>
    <row r="197" customFormat="false" ht="15" hidden="false" customHeight="true" outlineLevel="0" collapsed="false">
      <c r="A197" s="28" t="n">
        <v>193</v>
      </c>
      <c r="B197" s="30"/>
      <c r="C197" s="30" t="s">
        <v>526</v>
      </c>
      <c r="D197" s="29" t="s">
        <v>527</v>
      </c>
      <c r="E197" s="28" t="str">
        <f aca="false">IF($C197="","",IF(MID($C197,5,1)="S","S(봄)",IF(MID($C197,5,1)="M","M(여름)",IF(MID($C197,5,1)="X","X(사계절)",MID($C197,5,1)))))</f>
        <v>M(여름)</v>
      </c>
      <c r="F197" s="30" t="s">
        <v>113</v>
      </c>
      <c r="G197" s="31"/>
      <c r="H197" s="28" t="str">
        <f aca="false">IF($C197="","",REPLACE($C197,6,2,"26"))</f>
        <v>JKTCM26160</v>
      </c>
      <c r="I197" s="32" t="str">
        <f aca="false">IFERROR(INDEX(전년출고참조!$B$4:$B$638,MATCH($H197,전년출고참조!$A$4:$A$638,0)),"")</f>
        <v/>
      </c>
      <c r="J197" s="32" t="n">
        <v>46367</v>
      </c>
      <c r="K197" s="32" t="n">
        <f aca="false">IF($G197&lt;&gt;"",IFERROR(DATE(IF(VALUE(LEFT($G197,FIND("월",$G197)-1))&gt;=9,기준정보!$C$6-1,기준정보!$C$6),VALUE(LEFT($G197,FIND("월",$G197)-1)),1+7*(VALUE(SUBSTITUTE(MID($G197,FIND("월",$G197)+1,5),"주",""))-1)),""),IF($I197&lt;&gt;"",IF(ISNUMBER($I197),$I197+364,IFERROR(DATE(IF(VALUE(LEFT($I197,FIND("월",$I197)-1))&gt;=9,기준정보!$C$6-1,기준정보!$C$6),VALUE(LEFT($I197,FIND("월",$I197)-1)),1+7*(VALUE(SUBSTITUTE(MID($I197,FIND("월",$I197)+1,5),"주",""))-1)),"")),IF($J197&lt;&gt;"",$J197,"")))</f>
        <v>46367</v>
      </c>
      <c r="L197" s="28" t="str">
        <f aca="false">IF($G197&lt;&gt;"","계획 주차",IF($I197&lt;&gt;"","전년+1년 예측",IF($J197&lt;&gt;"","전산 입고계획(참고)","미정")))</f>
        <v>전산 입고계획(참고)</v>
      </c>
      <c r="M197" s="32" t="n">
        <f aca="false">IF($K197="","",$K197-기준정보!$C$5)</f>
        <v>46277</v>
      </c>
      <c r="N197" s="33" t="n">
        <f aca="false">IF($M197="","",$M197-기준정보!$C$4)</f>
        <v>36</v>
      </c>
      <c r="O197" s="31" t="s">
        <v>114</v>
      </c>
      <c r="P197" s="20"/>
      <c r="Q197" s="30" t="str">
        <f aca="false">IF($F197="","",IF(AND(ISNUMBER(SEARCH("CMT",$F197)),OR(ISNUMBER(SEARCH("사입",$F197)),ISNUMBER(SEARCH("Buying",$F197)))),"본사/생산처 혼재",IF(ISNUMBER(SEARCH("CMT",$F197)),"본사(소재팀)","생산처")))</f>
        <v>생산처</v>
      </c>
      <c r="R197" s="30" t="s">
        <v>201</v>
      </c>
      <c r="S197" s="29" t="s">
        <v>110</v>
      </c>
      <c r="T197" s="30" t="str">
        <f aca="false">IF($K197="","출고일 미정",IF($O197="X","작지(일매) 미등록",IF($O197="부분","작지(일매) 일부 미등록",IF(AND($P197&lt;&gt;"",$P197&gt;$M197),"소재입고 마감("&amp;TEXT($M197,"MM/DD")&amp;") 초과",IF($O197="","일매 등록여부 확인 필요",IF($P197="","소재 입고일정 확인 필요","정상"))))))</f>
        <v>작지(일매) 미등록</v>
      </c>
      <c r="U197" s="28" t="str">
        <f aca="false">IF($K197="","",IF(OR(LEFT($T197,2)="작지",LEFT($T197,4)="소재입고"),IF(LEFT($E197,1)="S","★ 납기위험(S코드)","◆ 지연주의"),IF($T197="정상","✓ 정상","? 확인필요")))</f>
        <v>◆ 지연주의</v>
      </c>
      <c r="V197" s="31"/>
      <c r="W197" s="19"/>
    </row>
    <row r="198" customFormat="false" ht="15" hidden="false" customHeight="true" outlineLevel="0" collapsed="false">
      <c r="A198" s="28" t="n">
        <v>194</v>
      </c>
      <c r="B198" s="29" t="s">
        <v>227</v>
      </c>
      <c r="C198" s="30" t="s">
        <v>528</v>
      </c>
      <c r="D198" s="29" t="s">
        <v>529</v>
      </c>
      <c r="E198" s="28" t="str">
        <f aca="false">IF($C198="","",IF(MID($C198,5,1)="S","S(봄)",IF(MID($C198,5,1)="M","M(여름)",IF(MID($C198,5,1)="X","X(사계절)",MID($C198,5,1)))))</f>
        <v>M(여름)</v>
      </c>
      <c r="F198" s="29" t="s">
        <v>106</v>
      </c>
      <c r="G198" s="31"/>
      <c r="H198" s="28" t="str">
        <f aca="false">IF($C198="","",REPLACE($C198,6,2,"26"))</f>
        <v>JKTCM26166</v>
      </c>
      <c r="I198" s="32" t="str">
        <f aca="false">IFERROR(INDEX(전년출고참조!$B$4:$B$638,MATCH($H198,전년출고참조!$A$4:$A$638,0)),"")</f>
        <v/>
      </c>
      <c r="J198" s="32" t="n">
        <v>46367</v>
      </c>
      <c r="K198" s="32" t="n">
        <f aca="false">IF($G198&lt;&gt;"",IFERROR(DATE(IF(VALUE(LEFT($G198,FIND("월",$G198)-1))&gt;=9,기준정보!$C$6-1,기준정보!$C$6),VALUE(LEFT($G198,FIND("월",$G198)-1)),1+7*(VALUE(SUBSTITUTE(MID($G198,FIND("월",$G198)+1,5),"주",""))-1)),""),IF($I198&lt;&gt;"",IF(ISNUMBER($I198),$I198+364,IFERROR(DATE(IF(VALUE(LEFT($I198,FIND("월",$I198)-1))&gt;=9,기준정보!$C$6-1,기준정보!$C$6),VALUE(LEFT($I198,FIND("월",$I198)-1)),1+7*(VALUE(SUBSTITUTE(MID($I198,FIND("월",$I198)+1,5),"주",""))-1)),"")),IF($J198&lt;&gt;"",$J198,"")))</f>
        <v>46367</v>
      </c>
      <c r="L198" s="28" t="str">
        <f aca="false">IF($G198&lt;&gt;"","계획 주차",IF($I198&lt;&gt;"","전년+1년 예측",IF($J198&lt;&gt;"","전산 입고계획(참고)","미정")))</f>
        <v>전산 입고계획(참고)</v>
      </c>
      <c r="M198" s="32" t="n">
        <f aca="false">IF($K198="","",$K198-기준정보!$C$5)</f>
        <v>46277</v>
      </c>
      <c r="N198" s="33" t="n">
        <f aca="false">IF($M198="","",$M198-기준정보!$C$4)</f>
        <v>36</v>
      </c>
      <c r="O198" s="31" t="s">
        <v>108</v>
      </c>
      <c r="P198" s="20"/>
      <c r="Q198" s="30" t="str">
        <f aca="false">IF($F198="","",IF(AND(ISNUMBER(SEARCH("CMT",$F198)),OR(ISNUMBER(SEARCH("사입",$F198)),ISNUMBER(SEARCH("Buying",$F198)))),"본사/생산처 혼재",IF(ISNUMBER(SEARCH("CMT",$F198)),"본사(소재팀)","생산처")))</f>
        <v>생산처</v>
      </c>
      <c r="R198" s="29" t="s">
        <v>123</v>
      </c>
      <c r="S198" s="29" t="s">
        <v>120</v>
      </c>
      <c r="T198" s="30" t="str">
        <f aca="false">IF($K198="","출고일 미정",IF($O198="X","작지(일매) 미등록",IF($O198="부분","작지(일매) 일부 미등록",IF(AND($P198&lt;&gt;"",$P198&gt;$M198),"소재입고 마감("&amp;TEXT($M198,"MM/DD")&amp;") 초과",IF($O198="","일매 등록여부 확인 필요",IF($P198="","소재 입고일정 확인 필요","정상"))))))</f>
        <v>소재 입고일정 확인 필요</v>
      </c>
      <c r="U198" s="28" t="str">
        <f aca="false">IF($K198="","",IF(OR(LEFT($T198,2)="작지",LEFT($T198,4)="소재입고"),IF(LEFT($E198,1)="S","★ 납기위험(S코드)","◆ 지연주의"),IF($T198="정상","✓ 정상","? 확인필요")))</f>
        <v>? 확인필요</v>
      </c>
      <c r="V198" s="31"/>
      <c r="W198" s="19"/>
    </row>
    <row r="199" customFormat="false" ht="15" hidden="false" customHeight="true" outlineLevel="0" collapsed="false">
      <c r="A199" s="28" t="n">
        <v>195</v>
      </c>
      <c r="B199" s="29" t="s">
        <v>227</v>
      </c>
      <c r="C199" s="30" t="s">
        <v>530</v>
      </c>
      <c r="D199" s="29" t="s">
        <v>531</v>
      </c>
      <c r="E199" s="28" t="str">
        <f aca="false">IF($C199="","",IF(MID($C199,5,1)="S","S(봄)",IF(MID($C199,5,1)="M","M(여름)",IF(MID($C199,5,1)="X","X(사계절)",MID($C199,5,1)))))</f>
        <v>M(여름)</v>
      </c>
      <c r="F199" s="29" t="s">
        <v>106</v>
      </c>
      <c r="G199" s="31"/>
      <c r="H199" s="28" t="str">
        <f aca="false">IF($C199="","",REPLACE($C199,6,2,"26"))</f>
        <v>JKTCM26182</v>
      </c>
      <c r="I199" s="32" t="str">
        <f aca="false">IFERROR(INDEX(전년출고참조!$B$4:$B$638,MATCH($H199,전년출고참조!$A$4:$A$638,0)),"")</f>
        <v/>
      </c>
      <c r="J199" s="32" t="n">
        <v>46367</v>
      </c>
      <c r="K199" s="32" t="n">
        <f aca="false">IF($G199&lt;&gt;"",IFERROR(DATE(IF(VALUE(LEFT($G199,FIND("월",$G199)-1))&gt;=9,기준정보!$C$6-1,기준정보!$C$6),VALUE(LEFT($G199,FIND("월",$G199)-1)),1+7*(VALUE(SUBSTITUTE(MID($G199,FIND("월",$G199)+1,5),"주",""))-1)),""),IF($I199&lt;&gt;"",IF(ISNUMBER($I199),$I199+364,IFERROR(DATE(IF(VALUE(LEFT($I199,FIND("월",$I199)-1))&gt;=9,기준정보!$C$6-1,기준정보!$C$6),VALUE(LEFT($I199,FIND("월",$I199)-1)),1+7*(VALUE(SUBSTITUTE(MID($I199,FIND("월",$I199)+1,5),"주",""))-1)),"")),IF($J199&lt;&gt;"",$J199,"")))</f>
        <v>46367</v>
      </c>
      <c r="L199" s="28" t="str">
        <f aca="false">IF($G199&lt;&gt;"","계획 주차",IF($I199&lt;&gt;"","전년+1년 예측",IF($J199&lt;&gt;"","전산 입고계획(참고)","미정")))</f>
        <v>전산 입고계획(참고)</v>
      </c>
      <c r="M199" s="32" t="n">
        <f aca="false">IF($K199="","",$K199-기준정보!$C$5)</f>
        <v>46277</v>
      </c>
      <c r="N199" s="33" t="n">
        <f aca="false">IF($M199="","",$M199-기준정보!$C$4)</f>
        <v>36</v>
      </c>
      <c r="O199" s="31" t="s">
        <v>108</v>
      </c>
      <c r="P199" s="20"/>
      <c r="Q199" s="30" t="str">
        <f aca="false">IF($F199="","",IF(AND(ISNUMBER(SEARCH("CMT",$F199)),OR(ISNUMBER(SEARCH("사입",$F199)),ISNUMBER(SEARCH("Buying",$F199)))),"본사/생산처 혼재",IF(ISNUMBER(SEARCH("CMT",$F199)),"본사(소재팀)","생산처")))</f>
        <v>생산처</v>
      </c>
      <c r="R199" s="29" t="s">
        <v>156</v>
      </c>
      <c r="S199" s="29" t="s">
        <v>110</v>
      </c>
      <c r="T199" s="30" t="str">
        <f aca="false">IF($K199="","출고일 미정",IF($O199="X","작지(일매) 미등록",IF($O199="부분","작지(일매) 일부 미등록",IF(AND($P199&lt;&gt;"",$P199&gt;$M199),"소재입고 마감("&amp;TEXT($M199,"MM/DD")&amp;") 초과",IF($O199="","일매 등록여부 확인 필요",IF($P199="","소재 입고일정 확인 필요","정상"))))))</f>
        <v>소재 입고일정 확인 필요</v>
      </c>
      <c r="U199" s="28" t="str">
        <f aca="false">IF($K199="","",IF(OR(LEFT($T199,2)="작지",LEFT($T199,4)="소재입고"),IF(LEFT($E199,1)="S","★ 납기위험(S코드)","◆ 지연주의"),IF($T199="정상","✓ 정상","? 확인필요")))</f>
        <v>? 확인필요</v>
      </c>
      <c r="V199" s="31"/>
      <c r="W199" s="19"/>
    </row>
    <row r="200" customFormat="false" ht="15" hidden="false" customHeight="true" outlineLevel="0" collapsed="false">
      <c r="A200" s="28" t="n">
        <v>196</v>
      </c>
      <c r="B200" s="29" t="s">
        <v>227</v>
      </c>
      <c r="C200" s="30" t="s">
        <v>532</v>
      </c>
      <c r="D200" s="29" t="s">
        <v>533</v>
      </c>
      <c r="E200" s="28" t="str">
        <f aca="false">IF($C200="","",IF(MID($C200,5,1)="S","S(봄)",IF(MID($C200,5,1)="M","M(여름)",IF(MID($C200,5,1)="X","X(사계절)",MID($C200,5,1)))))</f>
        <v>M(여름)</v>
      </c>
      <c r="F200" s="29" t="s">
        <v>106</v>
      </c>
      <c r="G200" s="31"/>
      <c r="H200" s="28" t="str">
        <f aca="false">IF($C200="","",REPLACE($C200,6,2,"26"))</f>
        <v>JKTCM26184</v>
      </c>
      <c r="I200" s="32" t="str">
        <f aca="false">IFERROR(INDEX(전년출고참조!$B$4:$B$638,MATCH($H200,전년출고참조!$A$4:$A$638,0)),"")</f>
        <v/>
      </c>
      <c r="J200" s="32" t="n">
        <v>46367</v>
      </c>
      <c r="K200" s="32" t="n">
        <f aca="false">IF($G200&lt;&gt;"",IFERROR(DATE(IF(VALUE(LEFT($G200,FIND("월",$G200)-1))&gt;=9,기준정보!$C$6-1,기준정보!$C$6),VALUE(LEFT($G200,FIND("월",$G200)-1)),1+7*(VALUE(SUBSTITUTE(MID($G200,FIND("월",$G200)+1,5),"주",""))-1)),""),IF($I200&lt;&gt;"",IF(ISNUMBER($I200),$I200+364,IFERROR(DATE(IF(VALUE(LEFT($I200,FIND("월",$I200)-1))&gt;=9,기준정보!$C$6-1,기준정보!$C$6),VALUE(LEFT($I200,FIND("월",$I200)-1)),1+7*(VALUE(SUBSTITUTE(MID($I200,FIND("월",$I200)+1,5),"주",""))-1)),"")),IF($J200&lt;&gt;"",$J200,"")))</f>
        <v>46367</v>
      </c>
      <c r="L200" s="28" t="str">
        <f aca="false">IF($G200&lt;&gt;"","계획 주차",IF($I200&lt;&gt;"","전년+1년 예측",IF($J200&lt;&gt;"","전산 입고계획(참고)","미정")))</f>
        <v>전산 입고계획(참고)</v>
      </c>
      <c r="M200" s="32" t="n">
        <f aca="false">IF($K200="","",$K200-기준정보!$C$5)</f>
        <v>46277</v>
      </c>
      <c r="N200" s="33" t="n">
        <f aca="false">IF($M200="","",$M200-기준정보!$C$4)</f>
        <v>36</v>
      </c>
      <c r="O200" s="31" t="s">
        <v>108</v>
      </c>
      <c r="P200" s="20"/>
      <c r="Q200" s="30" t="str">
        <f aca="false">IF($F200="","",IF(AND(ISNUMBER(SEARCH("CMT",$F200)),OR(ISNUMBER(SEARCH("사입",$F200)),ISNUMBER(SEARCH("Buying",$F200)))),"본사/생산처 혼재",IF(ISNUMBER(SEARCH("CMT",$F200)),"본사(소재팀)","생산처")))</f>
        <v>생산처</v>
      </c>
      <c r="R200" s="29" t="s">
        <v>156</v>
      </c>
      <c r="S200" s="29" t="s">
        <v>110</v>
      </c>
      <c r="T200" s="30" t="str">
        <f aca="false">IF($K200="","출고일 미정",IF($O200="X","작지(일매) 미등록",IF($O200="부분","작지(일매) 일부 미등록",IF(AND($P200&lt;&gt;"",$P200&gt;$M200),"소재입고 마감("&amp;TEXT($M200,"MM/DD")&amp;") 초과",IF($O200="","일매 등록여부 확인 필요",IF($P200="","소재 입고일정 확인 필요","정상"))))))</f>
        <v>소재 입고일정 확인 필요</v>
      </c>
      <c r="U200" s="28" t="str">
        <f aca="false">IF($K200="","",IF(OR(LEFT($T200,2)="작지",LEFT($T200,4)="소재입고"),IF(LEFT($E200,1)="S","★ 납기위험(S코드)","◆ 지연주의"),IF($T200="정상","✓ 정상","? 확인필요")))</f>
        <v>? 확인필요</v>
      </c>
      <c r="V200" s="31"/>
      <c r="W200" s="19"/>
    </row>
    <row r="201" customFormat="false" ht="15" hidden="false" customHeight="true" outlineLevel="0" collapsed="false">
      <c r="A201" s="28" t="n">
        <v>197</v>
      </c>
      <c r="B201" s="29" t="s">
        <v>227</v>
      </c>
      <c r="C201" s="30" t="s">
        <v>534</v>
      </c>
      <c r="D201" s="29" t="s">
        <v>535</v>
      </c>
      <c r="E201" s="28" t="str">
        <f aca="false">IF($C201="","",IF(MID($C201,5,1)="S","S(봄)",IF(MID($C201,5,1)="M","M(여름)",IF(MID($C201,5,1)="X","X(사계절)",MID($C201,5,1)))))</f>
        <v>M(여름)</v>
      </c>
      <c r="F201" s="29" t="s">
        <v>106</v>
      </c>
      <c r="G201" s="31"/>
      <c r="H201" s="28" t="str">
        <f aca="false">IF($C201="","",REPLACE($C201,6,2,"26"))</f>
        <v>JKTCM26186</v>
      </c>
      <c r="I201" s="32" t="str">
        <f aca="false">IFERROR(INDEX(전년출고참조!$B$4:$B$638,MATCH($H201,전년출고참조!$A$4:$A$638,0)),"")</f>
        <v/>
      </c>
      <c r="J201" s="32" t="n">
        <v>46367</v>
      </c>
      <c r="K201" s="32" t="n">
        <f aca="false">IF($G201&lt;&gt;"",IFERROR(DATE(IF(VALUE(LEFT($G201,FIND("월",$G201)-1))&gt;=9,기준정보!$C$6-1,기준정보!$C$6),VALUE(LEFT($G201,FIND("월",$G201)-1)),1+7*(VALUE(SUBSTITUTE(MID($G201,FIND("월",$G201)+1,5),"주",""))-1)),""),IF($I201&lt;&gt;"",IF(ISNUMBER($I201),$I201+364,IFERROR(DATE(IF(VALUE(LEFT($I201,FIND("월",$I201)-1))&gt;=9,기준정보!$C$6-1,기준정보!$C$6),VALUE(LEFT($I201,FIND("월",$I201)-1)),1+7*(VALUE(SUBSTITUTE(MID($I201,FIND("월",$I201)+1,5),"주",""))-1)),"")),IF($J201&lt;&gt;"",$J201,"")))</f>
        <v>46367</v>
      </c>
      <c r="L201" s="28" t="str">
        <f aca="false">IF($G201&lt;&gt;"","계획 주차",IF($I201&lt;&gt;"","전년+1년 예측",IF($J201&lt;&gt;"","전산 입고계획(참고)","미정")))</f>
        <v>전산 입고계획(참고)</v>
      </c>
      <c r="M201" s="32" t="n">
        <f aca="false">IF($K201="","",$K201-기준정보!$C$5)</f>
        <v>46277</v>
      </c>
      <c r="N201" s="33" t="n">
        <f aca="false">IF($M201="","",$M201-기준정보!$C$4)</f>
        <v>36</v>
      </c>
      <c r="O201" s="31" t="s">
        <v>108</v>
      </c>
      <c r="P201" s="20"/>
      <c r="Q201" s="30" t="str">
        <f aca="false">IF($F201="","",IF(AND(ISNUMBER(SEARCH("CMT",$F201)),OR(ISNUMBER(SEARCH("사입",$F201)),ISNUMBER(SEARCH("Buying",$F201)))),"본사/생산처 혼재",IF(ISNUMBER(SEARCH("CMT",$F201)),"본사(소재팀)","생산처")))</f>
        <v>생산처</v>
      </c>
      <c r="R201" s="29" t="s">
        <v>115</v>
      </c>
      <c r="S201" s="29" t="s">
        <v>110</v>
      </c>
      <c r="T201" s="30" t="str">
        <f aca="false">IF($K201="","출고일 미정",IF($O201="X","작지(일매) 미등록",IF($O201="부분","작지(일매) 일부 미등록",IF(AND($P201&lt;&gt;"",$P201&gt;$M201),"소재입고 마감("&amp;TEXT($M201,"MM/DD")&amp;") 초과",IF($O201="","일매 등록여부 확인 필요",IF($P201="","소재 입고일정 확인 필요","정상"))))))</f>
        <v>소재 입고일정 확인 필요</v>
      </c>
      <c r="U201" s="28" t="str">
        <f aca="false">IF($K201="","",IF(OR(LEFT($T201,2)="작지",LEFT($T201,4)="소재입고"),IF(LEFT($E201,1)="S","★ 납기위험(S코드)","◆ 지연주의"),IF($T201="정상","✓ 정상","? 확인필요")))</f>
        <v>? 확인필요</v>
      </c>
      <c r="V201" s="31"/>
      <c r="W201" s="19"/>
    </row>
    <row r="202" customFormat="false" ht="15" hidden="false" customHeight="true" outlineLevel="0" collapsed="false">
      <c r="A202" s="28" t="n">
        <v>198</v>
      </c>
      <c r="B202" s="29" t="s">
        <v>227</v>
      </c>
      <c r="C202" s="30" t="s">
        <v>536</v>
      </c>
      <c r="D202" s="29" t="s">
        <v>537</v>
      </c>
      <c r="E202" s="28" t="str">
        <f aca="false">IF($C202="","",IF(MID($C202,5,1)="S","S(봄)",IF(MID($C202,5,1)="M","M(여름)",IF(MID($C202,5,1)="X","X(사계절)",MID($C202,5,1)))))</f>
        <v>M(여름)</v>
      </c>
      <c r="F202" s="29" t="s">
        <v>106</v>
      </c>
      <c r="G202" s="31"/>
      <c r="H202" s="28" t="str">
        <f aca="false">IF($C202="","",REPLACE($C202,6,2,"26"))</f>
        <v>JKTCM26908</v>
      </c>
      <c r="I202" s="32" t="str">
        <f aca="false">IFERROR(INDEX(전년출고참조!$B$4:$B$638,MATCH($H202,전년출고참조!$A$4:$A$638,0)),"")</f>
        <v/>
      </c>
      <c r="J202" s="32" t="n">
        <v>46367</v>
      </c>
      <c r="K202" s="32" t="n">
        <f aca="false">IF($G202&lt;&gt;"",IFERROR(DATE(IF(VALUE(LEFT($G202,FIND("월",$G202)-1))&gt;=9,기준정보!$C$6-1,기준정보!$C$6),VALUE(LEFT($G202,FIND("월",$G202)-1)),1+7*(VALUE(SUBSTITUTE(MID($G202,FIND("월",$G202)+1,5),"주",""))-1)),""),IF($I202&lt;&gt;"",IF(ISNUMBER($I202),$I202+364,IFERROR(DATE(IF(VALUE(LEFT($I202,FIND("월",$I202)-1))&gt;=9,기준정보!$C$6-1,기준정보!$C$6),VALUE(LEFT($I202,FIND("월",$I202)-1)),1+7*(VALUE(SUBSTITUTE(MID($I202,FIND("월",$I202)+1,5),"주",""))-1)),"")),IF($J202&lt;&gt;"",$J202,"")))</f>
        <v>46367</v>
      </c>
      <c r="L202" s="28" t="str">
        <f aca="false">IF($G202&lt;&gt;"","계획 주차",IF($I202&lt;&gt;"","전년+1년 예측",IF($J202&lt;&gt;"","전산 입고계획(참고)","미정")))</f>
        <v>전산 입고계획(참고)</v>
      </c>
      <c r="M202" s="32" t="n">
        <f aca="false">IF($K202="","",$K202-기준정보!$C$5)</f>
        <v>46277</v>
      </c>
      <c r="N202" s="33" t="n">
        <f aca="false">IF($M202="","",$M202-기준정보!$C$4)</f>
        <v>36</v>
      </c>
      <c r="O202" s="31" t="s">
        <v>108</v>
      </c>
      <c r="P202" s="20"/>
      <c r="Q202" s="30" t="str">
        <f aca="false">IF($F202="","",IF(AND(ISNUMBER(SEARCH("CMT",$F202)),OR(ISNUMBER(SEARCH("사입",$F202)),ISNUMBER(SEARCH("Buying",$F202)))),"본사/생산처 혼재",IF(ISNUMBER(SEARCH("CMT",$F202)),"본사(소재팀)","생산처")))</f>
        <v>생산처</v>
      </c>
      <c r="R202" s="29" t="s">
        <v>123</v>
      </c>
      <c r="S202" s="29" t="s">
        <v>120</v>
      </c>
      <c r="T202" s="30" t="str">
        <f aca="false">IF($K202="","출고일 미정",IF($O202="X","작지(일매) 미등록",IF($O202="부분","작지(일매) 일부 미등록",IF(AND($P202&lt;&gt;"",$P202&gt;$M202),"소재입고 마감("&amp;TEXT($M202,"MM/DD")&amp;") 초과",IF($O202="","일매 등록여부 확인 필요",IF($P202="","소재 입고일정 확인 필요","정상"))))))</f>
        <v>소재 입고일정 확인 필요</v>
      </c>
      <c r="U202" s="28" t="str">
        <f aca="false">IF($K202="","",IF(OR(LEFT($T202,2)="작지",LEFT($T202,4)="소재입고"),IF(LEFT($E202,1)="S","★ 납기위험(S코드)","◆ 지연주의"),IF($T202="정상","✓ 정상","? 확인필요")))</f>
        <v>? 확인필요</v>
      </c>
      <c r="V202" s="31"/>
      <c r="W202" s="19"/>
    </row>
    <row r="203" customFormat="false" ht="15" hidden="false" customHeight="true" outlineLevel="0" collapsed="false">
      <c r="A203" s="28" t="n">
        <v>199</v>
      </c>
      <c r="B203" s="29" t="s">
        <v>218</v>
      </c>
      <c r="C203" s="30" t="s">
        <v>538</v>
      </c>
      <c r="D203" s="29" t="s">
        <v>539</v>
      </c>
      <c r="E203" s="28" t="str">
        <f aca="false">IF($C203="","",IF(MID($C203,5,1)="S","S(봄)",IF(MID($C203,5,1)="M","M(여름)",IF(MID($C203,5,1)="X","X(사계절)",MID($C203,5,1)))))</f>
        <v>M(여름)</v>
      </c>
      <c r="F203" s="30" t="s">
        <v>141</v>
      </c>
      <c r="G203" s="31"/>
      <c r="H203" s="28" t="str">
        <f aca="false">IF($C203="","",REPLACE($C203,6,2,"26"))</f>
        <v>JKVAM26102</v>
      </c>
      <c r="I203" s="32" t="str">
        <f aca="false">IFERROR(INDEX(전년출고참조!$B$4:$B$638,MATCH($H203,전년출고참조!$A$4:$A$638,0)),"")</f>
        <v/>
      </c>
      <c r="J203" s="32" t="n">
        <v>46367</v>
      </c>
      <c r="K203" s="32" t="n">
        <f aca="false">IF($G203&lt;&gt;"",IFERROR(DATE(IF(VALUE(LEFT($G203,FIND("월",$G203)-1))&gt;=9,기준정보!$C$6-1,기준정보!$C$6),VALUE(LEFT($G203,FIND("월",$G203)-1)),1+7*(VALUE(SUBSTITUTE(MID($G203,FIND("월",$G203)+1,5),"주",""))-1)),""),IF($I203&lt;&gt;"",IF(ISNUMBER($I203),$I203+364,IFERROR(DATE(IF(VALUE(LEFT($I203,FIND("월",$I203)-1))&gt;=9,기준정보!$C$6-1,기준정보!$C$6),VALUE(LEFT($I203,FIND("월",$I203)-1)),1+7*(VALUE(SUBSTITUTE(MID($I203,FIND("월",$I203)+1,5),"주",""))-1)),"")),IF($J203&lt;&gt;"",$J203,"")))</f>
        <v>46367</v>
      </c>
      <c r="L203" s="28" t="str">
        <f aca="false">IF($G203&lt;&gt;"","계획 주차",IF($I203&lt;&gt;"","전년+1년 예측",IF($J203&lt;&gt;"","전산 입고계획(참고)","미정")))</f>
        <v>전산 입고계획(참고)</v>
      </c>
      <c r="M203" s="32" t="n">
        <f aca="false">IF($K203="","",$K203-기준정보!$C$5)</f>
        <v>46277</v>
      </c>
      <c r="N203" s="33" t="n">
        <f aca="false">IF($M203="","",$M203-기준정보!$C$4)</f>
        <v>36</v>
      </c>
      <c r="O203" s="31" t="s">
        <v>108</v>
      </c>
      <c r="P203" s="20"/>
      <c r="Q203" s="30" t="str">
        <f aca="false">IF($F203="","",IF(AND(ISNUMBER(SEARCH("CMT",$F203)),OR(ISNUMBER(SEARCH("사입",$F203)),ISNUMBER(SEARCH("Buying",$F203)))),"본사/생산처 혼재",IF(ISNUMBER(SEARCH("CMT",$F203)),"본사(소재팀)","생산처")))</f>
        <v>본사(소재팀)</v>
      </c>
      <c r="R203" s="29" t="s">
        <v>138</v>
      </c>
      <c r="S203" s="29" t="s">
        <v>110</v>
      </c>
      <c r="T203" s="30" t="str">
        <f aca="false">IF($K203="","출고일 미정",IF($O203="X","작지(일매) 미등록",IF($O203="부분","작지(일매) 일부 미등록",IF(AND($P203&lt;&gt;"",$P203&gt;$M203),"소재입고 마감("&amp;TEXT($M203,"MM/DD")&amp;") 초과",IF($O203="","일매 등록여부 확인 필요",IF($P203="","소재 입고일정 확인 필요","정상"))))))</f>
        <v>소재 입고일정 확인 필요</v>
      </c>
      <c r="U203" s="28" t="str">
        <f aca="false">IF($K203="","",IF(OR(LEFT($T203,2)="작지",LEFT($T203,4)="소재입고"),IF(LEFT($E203,1)="S","★ 납기위험(S코드)","◆ 지연주의"),IF($T203="정상","✓ 정상","? 확인필요")))</f>
        <v>? 확인필요</v>
      </c>
      <c r="V203" s="31"/>
      <c r="W203" s="19"/>
    </row>
    <row r="204" customFormat="false" ht="15" hidden="false" customHeight="true" outlineLevel="0" collapsed="false">
      <c r="A204" s="28" t="n">
        <v>200</v>
      </c>
      <c r="B204" s="29" t="s">
        <v>227</v>
      </c>
      <c r="C204" s="30" t="s">
        <v>540</v>
      </c>
      <c r="D204" s="29" t="s">
        <v>429</v>
      </c>
      <c r="E204" s="28" t="str">
        <f aca="false">IF($C204="","",IF(MID($C204,5,1)="S","S(봄)",IF(MID($C204,5,1)="M","M(여름)",IF(MID($C204,5,1)="X","X(사계절)",MID($C204,5,1)))))</f>
        <v>M(여름)</v>
      </c>
      <c r="F204" s="29" t="s">
        <v>106</v>
      </c>
      <c r="G204" s="31"/>
      <c r="H204" s="28" t="str">
        <f aca="false">IF($C204="","",REPLACE($C204,6,2,"26"))</f>
        <v>JWTCM26127</v>
      </c>
      <c r="I204" s="32" t="str">
        <f aca="false">IFERROR(INDEX(전년출고참조!$B$4:$B$638,MATCH($H204,전년출고참조!$A$4:$A$638,0)),"")</f>
        <v/>
      </c>
      <c r="J204" s="32" t="n">
        <v>46367</v>
      </c>
      <c r="K204" s="32" t="n">
        <f aca="false">IF($G204&lt;&gt;"",IFERROR(DATE(IF(VALUE(LEFT($G204,FIND("월",$G204)-1))&gt;=9,기준정보!$C$6-1,기준정보!$C$6),VALUE(LEFT($G204,FIND("월",$G204)-1)),1+7*(VALUE(SUBSTITUTE(MID($G204,FIND("월",$G204)+1,5),"주",""))-1)),""),IF($I204&lt;&gt;"",IF(ISNUMBER($I204),$I204+364,IFERROR(DATE(IF(VALUE(LEFT($I204,FIND("월",$I204)-1))&gt;=9,기준정보!$C$6-1,기준정보!$C$6),VALUE(LEFT($I204,FIND("월",$I204)-1)),1+7*(VALUE(SUBSTITUTE(MID($I204,FIND("월",$I204)+1,5),"주",""))-1)),"")),IF($J204&lt;&gt;"",$J204,"")))</f>
        <v>46367</v>
      </c>
      <c r="L204" s="28" t="str">
        <f aca="false">IF($G204&lt;&gt;"","계획 주차",IF($I204&lt;&gt;"","전년+1년 예측",IF($J204&lt;&gt;"","전산 입고계획(참고)","미정")))</f>
        <v>전산 입고계획(참고)</v>
      </c>
      <c r="M204" s="32" t="n">
        <f aca="false">IF($K204="","",$K204-기준정보!$C$5)</f>
        <v>46277</v>
      </c>
      <c r="N204" s="33" t="n">
        <f aca="false">IF($M204="","",$M204-기준정보!$C$4)</f>
        <v>36</v>
      </c>
      <c r="O204" s="31" t="s">
        <v>114</v>
      </c>
      <c r="P204" s="20"/>
      <c r="Q204" s="30" t="str">
        <f aca="false">IF($F204="","",IF(AND(ISNUMBER(SEARCH("CMT",$F204)),OR(ISNUMBER(SEARCH("사입",$F204)),ISNUMBER(SEARCH("Buying",$F204)))),"본사/생산처 혼재",IF(ISNUMBER(SEARCH("CMT",$F204)),"본사(소재팀)","생산처")))</f>
        <v>생산처</v>
      </c>
      <c r="R204" s="29" t="s">
        <v>123</v>
      </c>
      <c r="S204" s="29" t="s">
        <v>110</v>
      </c>
      <c r="T204" s="30" t="str">
        <f aca="false">IF($K204="","출고일 미정",IF($O204="X","작지(일매) 미등록",IF($O204="부분","작지(일매) 일부 미등록",IF(AND($P204&lt;&gt;"",$P204&gt;$M204),"소재입고 마감("&amp;TEXT($M204,"MM/DD")&amp;") 초과",IF($O204="","일매 등록여부 확인 필요",IF($P204="","소재 입고일정 확인 필요","정상"))))))</f>
        <v>작지(일매) 미등록</v>
      </c>
      <c r="U204" s="28" t="str">
        <f aca="false">IF($K204="","",IF(OR(LEFT($T204,2)="작지",LEFT($T204,4)="소재입고"),IF(LEFT($E204,1)="S","★ 납기위험(S코드)","◆ 지연주의"),IF($T204="정상","✓ 정상","? 확인필요")))</f>
        <v>◆ 지연주의</v>
      </c>
      <c r="V204" s="31"/>
      <c r="W204" s="19"/>
    </row>
    <row r="205" customFormat="false" ht="15" hidden="false" customHeight="true" outlineLevel="0" collapsed="false">
      <c r="A205" s="28" t="n">
        <v>201</v>
      </c>
      <c r="B205" s="29" t="s">
        <v>227</v>
      </c>
      <c r="C205" s="30" t="s">
        <v>541</v>
      </c>
      <c r="D205" s="29" t="s">
        <v>431</v>
      </c>
      <c r="E205" s="28" t="str">
        <f aca="false">IF($C205="","",IF(MID($C205,5,1)="S","S(봄)",IF(MID($C205,5,1)="M","M(여름)",IF(MID($C205,5,1)="X","X(사계절)",MID($C205,5,1)))))</f>
        <v>M(여름)</v>
      </c>
      <c r="F205" s="29" t="s">
        <v>106</v>
      </c>
      <c r="G205" s="31"/>
      <c r="H205" s="28" t="str">
        <f aca="false">IF($C205="","",REPLACE($C205,6,2,"26"))</f>
        <v>JWTCM26139</v>
      </c>
      <c r="I205" s="32" t="str">
        <f aca="false">IFERROR(INDEX(전년출고참조!$B$4:$B$638,MATCH($H205,전년출고참조!$A$4:$A$638,0)),"")</f>
        <v/>
      </c>
      <c r="J205" s="32" t="n">
        <v>46367</v>
      </c>
      <c r="K205" s="32" t="n">
        <f aca="false">IF($G205&lt;&gt;"",IFERROR(DATE(IF(VALUE(LEFT($G205,FIND("월",$G205)-1))&gt;=9,기준정보!$C$6-1,기준정보!$C$6),VALUE(LEFT($G205,FIND("월",$G205)-1)),1+7*(VALUE(SUBSTITUTE(MID($G205,FIND("월",$G205)+1,5),"주",""))-1)),""),IF($I205&lt;&gt;"",IF(ISNUMBER($I205),$I205+364,IFERROR(DATE(IF(VALUE(LEFT($I205,FIND("월",$I205)-1))&gt;=9,기준정보!$C$6-1,기준정보!$C$6),VALUE(LEFT($I205,FIND("월",$I205)-1)),1+7*(VALUE(SUBSTITUTE(MID($I205,FIND("월",$I205)+1,5),"주",""))-1)),"")),IF($J205&lt;&gt;"",$J205,"")))</f>
        <v>46367</v>
      </c>
      <c r="L205" s="28" t="str">
        <f aca="false">IF($G205&lt;&gt;"","계획 주차",IF($I205&lt;&gt;"","전년+1년 예측",IF($J205&lt;&gt;"","전산 입고계획(참고)","미정")))</f>
        <v>전산 입고계획(참고)</v>
      </c>
      <c r="M205" s="32" t="n">
        <f aca="false">IF($K205="","",$K205-기준정보!$C$5)</f>
        <v>46277</v>
      </c>
      <c r="N205" s="33" t="n">
        <f aca="false">IF($M205="","",$M205-기준정보!$C$4)</f>
        <v>36</v>
      </c>
      <c r="O205" s="31" t="s">
        <v>108</v>
      </c>
      <c r="P205" s="20"/>
      <c r="Q205" s="30" t="str">
        <f aca="false">IF($F205="","",IF(AND(ISNUMBER(SEARCH("CMT",$F205)),OR(ISNUMBER(SEARCH("사입",$F205)),ISNUMBER(SEARCH("Buying",$F205)))),"본사/생산처 혼재",IF(ISNUMBER(SEARCH("CMT",$F205)),"본사(소재팀)","생산처")))</f>
        <v>생산처</v>
      </c>
      <c r="R205" s="29" t="s">
        <v>123</v>
      </c>
      <c r="S205" s="29" t="s">
        <v>110</v>
      </c>
      <c r="T205" s="30" t="str">
        <f aca="false">IF($K205="","출고일 미정",IF($O205="X","작지(일매) 미등록",IF($O205="부분","작지(일매) 일부 미등록",IF(AND($P205&lt;&gt;"",$P205&gt;$M205),"소재입고 마감("&amp;TEXT($M205,"MM/DD")&amp;") 초과",IF($O205="","일매 등록여부 확인 필요",IF($P205="","소재 입고일정 확인 필요","정상"))))))</f>
        <v>소재 입고일정 확인 필요</v>
      </c>
      <c r="U205" s="28" t="str">
        <f aca="false">IF($K205="","",IF(OR(LEFT($T205,2)="작지",LEFT($T205,4)="소재입고"),IF(LEFT($E205,1)="S","★ 납기위험(S코드)","◆ 지연주의"),IF($T205="정상","✓ 정상","? 확인필요")))</f>
        <v>? 확인필요</v>
      </c>
      <c r="V205" s="31"/>
      <c r="W205" s="19"/>
    </row>
    <row r="206" customFormat="false" ht="15" hidden="false" customHeight="true" outlineLevel="0" collapsed="false">
      <c r="A206" s="28" t="n">
        <v>202</v>
      </c>
      <c r="B206" s="29" t="s">
        <v>227</v>
      </c>
      <c r="C206" s="30" t="s">
        <v>542</v>
      </c>
      <c r="D206" s="29" t="s">
        <v>431</v>
      </c>
      <c r="E206" s="28" t="str">
        <f aca="false">IF($C206="","",IF(MID($C206,5,1)="S","S(봄)",IF(MID($C206,5,1)="M","M(여름)",IF(MID($C206,5,1)="X","X(사계절)",MID($C206,5,1)))))</f>
        <v>M(여름)</v>
      </c>
      <c r="F206" s="29" t="s">
        <v>106</v>
      </c>
      <c r="G206" s="31"/>
      <c r="H206" s="28" t="str">
        <f aca="false">IF($C206="","",REPLACE($C206,6,2,"26"))</f>
        <v>JWTCM26141</v>
      </c>
      <c r="I206" s="32" t="str">
        <f aca="false">IFERROR(INDEX(전년출고참조!$B$4:$B$638,MATCH($H206,전년출고참조!$A$4:$A$638,0)),"")</f>
        <v/>
      </c>
      <c r="J206" s="32" t="n">
        <v>46367</v>
      </c>
      <c r="K206" s="32" t="n">
        <f aca="false">IF($G206&lt;&gt;"",IFERROR(DATE(IF(VALUE(LEFT($G206,FIND("월",$G206)-1))&gt;=9,기준정보!$C$6-1,기준정보!$C$6),VALUE(LEFT($G206,FIND("월",$G206)-1)),1+7*(VALUE(SUBSTITUTE(MID($G206,FIND("월",$G206)+1,5),"주",""))-1)),""),IF($I206&lt;&gt;"",IF(ISNUMBER($I206),$I206+364,IFERROR(DATE(IF(VALUE(LEFT($I206,FIND("월",$I206)-1))&gt;=9,기준정보!$C$6-1,기준정보!$C$6),VALUE(LEFT($I206,FIND("월",$I206)-1)),1+7*(VALUE(SUBSTITUTE(MID($I206,FIND("월",$I206)+1,5),"주",""))-1)),"")),IF($J206&lt;&gt;"",$J206,"")))</f>
        <v>46367</v>
      </c>
      <c r="L206" s="28" t="str">
        <f aca="false">IF($G206&lt;&gt;"","계획 주차",IF($I206&lt;&gt;"","전년+1년 예측",IF($J206&lt;&gt;"","전산 입고계획(참고)","미정")))</f>
        <v>전산 입고계획(참고)</v>
      </c>
      <c r="M206" s="32" t="n">
        <f aca="false">IF($K206="","",$K206-기준정보!$C$5)</f>
        <v>46277</v>
      </c>
      <c r="N206" s="33" t="n">
        <f aca="false">IF($M206="","",$M206-기준정보!$C$4)</f>
        <v>36</v>
      </c>
      <c r="O206" s="31" t="s">
        <v>114</v>
      </c>
      <c r="P206" s="20"/>
      <c r="Q206" s="30" t="str">
        <f aca="false">IF($F206="","",IF(AND(ISNUMBER(SEARCH("CMT",$F206)),OR(ISNUMBER(SEARCH("사입",$F206)),ISNUMBER(SEARCH("Buying",$F206)))),"본사/생산처 혼재",IF(ISNUMBER(SEARCH("CMT",$F206)),"본사(소재팀)","생산처")))</f>
        <v>생산처</v>
      </c>
      <c r="R206" s="29" t="s">
        <v>123</v>
      </c>
      <c r="S206" s="29" t="s">
        <v>120</v>
      </c>
      <c r="T206" s="30" t="str">
        <f aca="false">IF($K206="","출고일 미정",IF($O206="X","작지(일매) 미등록",IF($O206="부분","작지(일매) 일부 미등록",IF(AND($P206&lt;&gt;"",$P206&gt;$M206),"소재입고 마감("&amp;TEXT($M206,"MM/DD")&amp;") 초과",IF($O206="","일매 등록여부 확인 필요",IF($P206="","소재 입고일정 확인 필요","정상"))))))</f>
        <v>작지(일매) 미등록</v>
      </c>
      <c r="U206" s="28" t="str">
        <f aca="false">IF($K206="","",IF(OR(LEFT($T206,2)="작지",LEFT($T206,4)="소재입고"),IF(LEFT($E206,1)="S","★ 납기위험(S코드)","◆ 지연주의"),IF($T206="정상","✓ 정상","? 확인필요")))</f>
        <v>◆ 지연주의</v>
      </c>
      <c r="V206" s="31"/>
      <c r="W206" s="19"/>
    </row>
    <row r="207" customFormat="false" ht="15" hidden="false" customHeight="true" outlineLevel="0" collapsed="false">
      <c r="A207" s="28" t="n">
        <v>203</v>
      </c>
      <c r="B207" s="29" t="s">
        <v>227</v>
      </c>
      <c r="C207" s="30" t="s">
        <v>543</v>
      </c>
      <c r="D207" s="29" t="s">
        <v>544</v>
      </c>
      <c r="E207" s="28" t="str">
        <f aca="false">IF($C207="","",IF(MID($C207,5,1)="S","S(봄)",IF(MID($C207,5,1)="M","M(여름)",IF(MID($C207,5,1)="X","X(사계절)",MID($C207,5,1)))))</f>
        <v>M(여름)</v>
      </c>
      <c r="F207" s="29" t="s">
        <v>106</v>
      </c>
      <c r="G207" s="31"/>
      <c r="H207" s="28" t="str">
        <f aca="false">IF($C207="","",REPLACE($C207,6,2,"26"))</f>
        <v>JWTCM26143</v>
      </c>
      <c r="I207" s="32" t="str">
        <f aca="false">IFERROR(INDEX(전년출고참조!$B$4:$B$638,MATCH($H207,전년출고참조!$A$4:$A$638,0)),"")</f>
        <v/>
      </c>
      <c r="J207" s="32" t="n">
        <v>46367</v>
      </c>
      <c r="K207" s="32" t="n">
        <f aca="false">IF($G207&lt;&gt;"",IFERROR(DATE(IF(VALUE(LEFT($G207,FIND("월",$G207)-1))&gt;=9,기준정보!$C$6-1,기준정보!$C$6),VALUE(LEFT($G207,FIND("월",$G207)-1)),1+7*(VALUE(SUBSTITUTE(MID($G207,FIND("월",$G207)+1,5),"주",""))-1)),""),IF($I207&lt;&gt;"",IF(ISNUMBER($I207),$I207+364,IFERROR(DATE(IF(VALUE(LEFT($I207,FIND("월",$I207)-1))&gt;=9,기준정보!$C$6-1,기준정보!$C$6),VALUE(LEFT($I207,FIND("월",$I207)-1)),1+7*(VALUE(SUBSTITUTE(MID($I207,FIND("월",$I207)+1,5),"주",""))-1)),"")),IF($J207&lt;&gt;"",$J207,"")))</f>
        <v>46367</v>
      </c>
      <c r="L207" s="28" t="str">
        <f aca="false">IF($G207&lt;&gt;"","계획 주차",IF($I207&lt;&gt;"","전년+1년 예측",IF($J207&lt;&gt;"","전산 입고계획(참고)","미정")))</f>
        <v>전산 입고계획(참고)</v>
      </c>
      <c r="M207" s="32" t="n">
        <f aca="false">IF($K207="","",$K207-기준정보!$C$5)</f>
        <v>46277</v>
      </c>
      <c r="N207" s="33" t="n">
        <f aca="false">IF($M207="","",$M207-기준정보!$C$4)</f>
        <v>36</v>
      </c>
      <c r="O207" s="31" t="s">
        <v>114</v>
      </c>
      <c r="P207" s="20"/>
      <c r="Q207" s="30" t="str">
        <f aca="false">IF($F207="","",IF(AND(ISNUMBER(SEARCH("CMT",$F207)),OR(ISNUMBER(SEARCH("사입",$F207)),ISNUMBER(SEARCH("Buying",$F207)))),"본사/생산처 혼재",IF(ISNUMBER(SEARCH("CMT",$F207)),"본사(소재팀)","생산처")))</f>
        <v>생산처</v>
      </c>
      <c r="R207" s="29" t="s">
        <v>156</v>
      </c>
      <c r="S207" s="29" t="s">
        <v>120</v>
      </c>
      <c r="T207" s="30" t="str">
        <f aca="false">IF($K207="","출고일 미정",IF($O207="X","작지(일매) 미등록",IF($O207="부분","작지(일매) 일부 미등록",IF(AND($P207&lt;&gt;"",$P207&gt;$M207),"소재입고 마감("&amp;TEXT($M207,"MM/DD")&amp;") 초과",IF($O207="","일매 등록여부 확인 필요",IF($P207="","소재 입고일정 확인 필요","정상"))))))</f>
        <v>작지(일매) 미등록</v>
      </c>
      <c r="U207" s="28" t="str">
        <f aca="false">IF($K207="","",IF(OR(LEFT($T207,2)="작지",LEFT($T207,4)="소재입고"),IF(LEFT($E207,1)="S","★ 납기위험(S코드)","◆ 지연주의"),IF($T207="정상","✓ 정상","? 확인필요")))</f>
        <v>◆ 지연주의</v>
      </c>
      <c r="V207" s="31"/>
      <c r="W207" s="19"/>
    </row>
    <row r="208" customFormat="false" ht="15" hidden="false" customHeight="true" outlineLevel="0" collapsed="false">
      <c r="A208" s="28" t="n">
        <v>204</v>
      </c>
      <c r="B208" s="29" t="s">
        <v>227</v>
      </c>
      <c r="C208" s="30" t="s">
        <v>545</v>
      </c>
      <c r="D208" s="29" t="s">
        <v>546</v>
      </c>
      <c r="E208" s="28" t="str">
        <f aca="false">IF($C208="","",IF(MID($C208,5,1)="S","S(봄)",IF(MID($C208,5,1)="M","M(여름)",IF(MID($C208,5,1)="X","X(사계절)",MID($C208,5,1)))))</f>
        <v>M(여름)</v>
      </c>
      <c r="F208" s="29" t="s">
        <v>106</v>
      </c>
      <c r="G208" s="31"/>
      <c r="H208" s="28" t="str">
        <f aca="false">IF($C208="","",REPLACE($C208,6,2,"26"))</f>
        <v>JWTCM26145</v>
      </c>
      <c r="I208" s="32" t="str">
        <f aca="false">IFERROR(INDEX(전년출고참조!$B$4:$B$638,MATCH($H208,전년출고참조!$A$4:$A$638,0)),"")</f>
        <v/>
      </c>
      <c r="J208" s="32" t="n">
        <v>46367</v>
      </c>
      <c r="K208" s="32" t="n">
        <f aca="false">IF($G208&lt;&gt;"",IFERROR(DATE(IF(VALUE(LEFT($G208,FIND("월",$G208)-1))&gt;=9,기준정보!$C$6-1,기준정보!$C$6),VALUE(LEFT($G208,FIND("월",$G208)-1)),1+7*(VALUE(SUBSTITUTE(MID($G208,FIND("월",$G208)+1,5),"주",""))-1)),""),IF($I208&lt;&gt;"",IF(ISNUMBER($I208),$I208+364,IFERROR(DATE(IF(VALUE(LEFT($I208,FIND("월",$I208)-1))&gt;=9,기준정보!$C$6-1,기준정보!$C$6),VALUE(LEFT($I208,FIND("월",$I208)-1)),1+7*(VALUE(SUBSTITUTE(MID($I208,FIND("월",$I208)+1,5),"주",""))-1)),"")),IF($J208&lt;&gt;"",$J208,"")))</f>
        <v>46367</v>
      </c>
      <c r="L208" s="28" t="str">
        <f aca="false">IF($G208&lt;&gt;"","계획 주차",IF($I208&lt;&gt;"","전년+1년 예측",IF($J208&lt;&gt;"","전산 입고계획(참고)","미정")))</f>
        <v>전산 입고계획(참고)</v>
      </c>
      <c r="M208" s="32" t="n">
        <f aca="false">IF($K208="","",$K208-기준정보!$C$5)</f>
        <v>46277</v>
      </c>
      <c r="N208" s="33" t="n">
        <f aca="false">IF($M208="","",$M208-기준정보!$C$4)</f>
        <v>36</v>
      </c>
      <c r="O208" s="31" t="s">
        <v>114</v>
      </c>
      <c r="P208" s="20"/>
      <c r="Q208" s="30" t="str">
        <f aca="false">IF($F208="","",IF(AND(ISNUMBER(SEARCH("CMT",$F208)),OR(ISNUMBER(SEARCH("사입",$F208)),ISNUMBER(SEARCH("Buying",$F208)))),"본사/생산처 혼재",IF(ISNUMBER(SEARCH("CMT",$F208)),"본사(소재팀)","생산처")))</f>
        <v>생산처</v>
      </c>
      <c r="R208" s="29" t="s">
        <v>156</v>
      </c>
      <c r="S208" s="29" t="s">
        <v>110</v>
      </c>
      <c r="T208" s="30" t="str">
        <f aca="false">IF($K208="","출고일 미정",IF($O208="X","작지(일매) 미등록",IF($O208="부분","작지(일매) 일부 미등록",IF(AND($P208&lt;&gt;"",$P208&gt;$M208),"소재입고 마감("&amp;TEXT($M208,"MM/DD")&amp;") 초과",IF($O208="","일매 등록여부 확인 필요",IF($P208="","소재 입고일정 확인 필요","정상"))))))</f>
        <v>작지(일매) 미등록</v>
      </c>
      <c r="U208" s="28" t="str">
        <f aca="false">IF($K208="","",IF(OR(LEFT($T208,2)="작지",LEFT($T208,4)="소재입고"),IF(LEFT($E208,1)="S","★ 납기위험(S코드)","◆ 지연주의"),IF($T208="정상","✓ 정상","? 확인필요")))</f>
        <v>◆ 지연주의</v>
      </c>
      <c r="V208" s="31"/>
      <c r="W208" s="19"/>
    </row>
    <row r="209" customFormat="false" ht="15" hidden="false" customHeight="true" outlineLevel="0" collapsed="false">
      <c r="A209" s="28" t="n">
        <v>205</v>
      </c>
      <c r="B209" s="29" t="s">
        <v>227</v>
      </c>
      <c r="C209" s="30" t="s">
        <v>547</v>
      </c>
      <c r="D209" s="29" t="s">
        <v>429</v>
      </c>
      <c r="E209" s="28" t="str">
        <f aca="false">IF($C209="","",IF(MID($C209,5,1)="S","S(봄)",IF(MID($C209,5,1)="M","M(여름)",IF(MID($C209,5,1)="X","X(사계절)",MID($C209,5,1)))))</f>
        <v>M(여름)</v>
      </c>
      <c r="F209" s="29" t="s">
        <v>106</v>
      </c>
      <c r="G209" s="31"/>
      <c r="H209" s="28" t="str">
        <f aca="false">IF($C209="","",REPLACE($C209,6,2,"26"))</f>
        <v>JWTCM26147</v>
      </c>
      <c r="I209" s="32" t="str">
        <f aca="false">IFERROR(INDEX(전년출고참조!$B$4:$B$638,MATCH($H209,전년출고참조!$A$4:$A$638,0)),"")</f>
        <v/>
      </c>
      <c r="J209" s="32" t="n">
        <v>46367</v>
      </c>
      <c r="K209" s="32" t="n">
        <f aca="false">IF($G209&lt;&gt;"",IFERROR(DATE(IF(VALUE(LEFT($G209,FIND("월",$G209)-1))&gt;=9,기준정보!$C$6-1,기준정보!$C$6),VALUE(LEFT($G209,FIND("월",$G209)-1)),1+7*(VALUE(SUBSTITUTE(MID($G209,FIND("월",$G209)+1,5),"주",""))-1)),""),IF($I209&lt;&gt;"",IF(ISNUMBER($I209),$I209+364,IFERROR(DATE(IF(VALUE(LEFT($I209,FIND("월",$I209)-1))&gt;=9,기준정보!$C$6-1,기준정보!$C$6),VALUE(LEFT($I209,FIND("월",$I209)-1)),1+7*(VALUE(SUBSTITUTE(MID($I209,FIND("월",$I209)+1,5),"주",""))-1)),"")),IF($J209&lt;&gt;"",$J209,"")))</f>
        <v>46367</v>
      </c>
      <c r="L209" s="28" t="str">
        <f aca="false">IF($G209&lt;&gt;"","계획 주차",IF($I209&lt;&gt;"","전년+1년 예측",IF($J209&lt;&gt;"","전산 입고계획(참고)","미정")))</f>
        <v>전산 입고계획(참고)</v>
      </c>
      <c r="M209" s="32" t="n">
        <f aca="false">IF($K209="","",$K209-기준정보!$C$5)</f>
        <v>46277</v>
      </c>
      <c r="N209" s="33" t="n">
        <f aca="false">IF($M209="","",$M209-기준정보!$C$4)</f>
        <v>36</v>
      </c>
      <c r="O209" s="31" t="s">
        <v>108</v>
      </c>
      <c r="P209" s="20"/>
      <c r="Q209" s="30" t="str">
        <f aca="false">IF($F209="","",IF(AND(ISNUMBER(SEARCH("CMT",$F209)),OR(ISNUMBER(SEARCH("사입",$F209)),ISNUMBER(SEARCH("Buying",$F209)))),"본사/생산처 혼재",IF(ISNUMBER(SEARCH("CMT",$F209)),"본사(소재팀)","생산처")))</f>
        <v>생산처</v>
      </c>
      <c r="R209" s="29" t="s">
        <v>123</v>
      </c>
      <c r="S209" s="29" t="s">
        <v>120</v>
      </c>
      <c r="T209" s="30" t="str">
        <f aca="false">IF($K209="","출고일 미정",IF($O209="X","작지(일매) 미등록",IF($O209="부분","작지(일매) 일부 미등록",IF(AND($P209&lt;&gt;"",$P209&gt;$M209),"소재입고 마감("&amp;TEXT($M209,"MM/DD")&amp;") 초과",IF($O209="","일매 등록여부 확인 필요",IF($P209="","소재 입고일정 확인 필요","정상"))))))</f>
        <v>소재 입고일정 확인 필요</v>
      </c>
      <c r="U209" s="28" t="str">
        <f aca="false">IF($K209="","",IF(OR(LEFT($T209,2)="작지",LEFT($T209,4)="소재입고"),IF(LEFT($E209,1)="S","★ 납기위험(S코드)","◆ 지연주의"),IF($T209="정상","✓ 정상","? 확인필요")))</f>
        <v>? 확인필요</v>
      </c>
      <c r="V209" s="31"/>
      <c r="W209" s="19"/>
    </row>
    <row r="210" customFormat="false" ht="15" hidden="false" customHeight="true" outlineLevel="0" collapsed="false">
      <c r="A210" s="28" t="n">
        <v>206</v>
      </c>
      <c r="B210" s="29" t="s">
        <v>227</v>
      </c>
      <c r="C210" s="30" t="s">
        <v>548</v>
      </c>
      <c r="D210" s="29" t="s">
        <v>435</v>
      </c>
      <c r="E210" s="28" t="str">
        <f aca="false">IF($C210="","",IF(MID($C210,5,1)="S","S(봄)",IF(MID($C210,5,1)="M","M(여름)",IF(MID($C210,5,1)="X","X(사계절)",MID($C210,5,1)))))</f>
        <v>M(여름)</v>
      </c>
      <c r="F210" s="29" t="s">
        <v>106</v>
      </c>
      <c r="G210" s="31"/>
      <c r="H210" s="28" t="str">
        <f aca="false">IF($C210="","",REPLACE($C210,6,2,"26"))</f>
        <v>JWTCM26149</v>
      </c>
      <c r="I210" s="32" t="str">
        <f aca="false">IFERROR(INDEX(전년출고참조!$B$4:$B$638,MATCH($H210,전년출고참조!$A$4:$A$638,0)),"")</f>
        <v/>
      </c>
      <c r="J210" s="32" t="n">
        <v>46367</v>
      </c>
      <c r="K210" s="32" t="n">
        <f aca="false">IF($G210&lt;&gt;"",IFERROR(DATE(IF(VALUE(LEFT($G210,FIND("월",$G210)-1))&gt;=9,기준정보!$C$6-1,기준정보!$C$6),VALUE(LEFT($G210,FIND("월",$G210)-1)),1+7*(VALUE(SUBSTITUTE(MID($G210,FIND("월",$G210)+1,5),"주",""))-1)),""),IF($I210&lt;&gt;"",IF(ISNUMBER($I210),$I210+364,IFERROR(DATE(IF(VALUE(LEFT($I210,FIND("월",$I210)-1))&gt;=9,기준정보!$C$6-1,기준정보!$C$6),VALUE(LEFT($I210,FIND("월",$I210)-1)),1+7*(VALUE(SUBSTITUTE(MID($I210,FIND("월",$I210)+1,5),"주",""))-1)),"")),IF($J210&lt;&gt;"",$J210,"")))</f>
        <v>46367</v>
      </c>
      <c r="L210" s="28" t="str">
        <f aca="false">IF($G210&lt;&gt;"","계획 주차",IF($I210&lt;&gt;"","전년+1년 예측",IF($J210&lt;&gt;"","전산 입고계획(참고)","미정")))</f>
        <v>전산 입고계획(참고)</v>
      </c>
      <c r="M210" s="32" t="n">
        <f aca="false">IF($K210="","",$K210-기준정보!$C$5)</f>
        <v>46277</v>
      </c>
      <c r="N210" s="33" t="n">
        <f aca="false">IF($M210="","",$M210-기준정보!$C$4)</f>
        <v>36</v>
      </c>
      <c r="O210" s="31" t="s">
        <v>114</v>
      </c>
      <c r="P210" s="20"/>
      <c r="Q210" s="30" t="str">
        <f aca="false">IF($F210="","",IF(AND(ISNUMBER(SEARCH("CMT",$F210)),OR(ISNUMBER(SEARCH("사입",$F210)),ISNUMBER(SEARCH("Buying",$F210)))),"본사/생산처 혼재",IF(ISNUMBER(SEARCH("CMT",$F210)),"본사(소재팀)","생산처")))</f>
        <v>생산처</v>
      </c>
      <c r="R210" s="29" t="s">
        <v>115</v>
      </c>
      <c r="S210" s="29" t="s">
        <v>120</v>
      </c>
      <c r="T210" s="30" t="str">
        <f aca="false">IF($K210="","출고일 미정",IF($O210="X","작지(일매) 미등록",IF($O210="부분","작지(일매) 일부 미등록",IF(AND($P210&lt;&gt;"",$P210&gt;$M210),"소재입고 마감("&amp;TEXT($M210,"MM/DD")&amp;") 초과",IF($O210="","일매 등록여부 확인 필요",IF($P210="","소재 입고일정 확인 필요","정상"))))))</f>
        <v>작지(일매) 미등록</v>
      </c>
      <c r="U210" s="28" t="str">
        <f aca="false">IF($K210="","",IF(OR(LEFT($T210,2)="작지",LEFT($T210,4)="소재입고"),IF(LEFT($E210,1)="S","★ 납기위험(S코드)","◆ 지연주의"),IF($T210="정상","✓ 정상","? 확인필요")))</f>
        <v>◆ 지연주의</v>
      </c>
      <c r="V210" s="31"/>
      <c r="W210" s="19"/>
    </row>
    <row r="211" customFormat="false" ht="15" hidden="false" customHeight="true" outlineLevel="0" collapsed="false">
      <c r="A211" s="28" t="n">
        <v>207</v>
      </c>
      <c r="B211" s="29" t="s">
        <v>227</v>
      </c>
      <c r="C211" s="30" t="s">
        <v>549</v>
      </c>
      <c r="D211" s="29" t="s">
        <v>550</v>
      </c>
      <c r="E211" s="28" t="str">
        <f aca="false">IF($C211="","",IF(MID($C211,5,1)="S","S(봄)",IF(MID($C211,5,1)="M","M(여름)",IF(MID($C211,5,1)="X","X(사계절)",MID($C211,5,1)))))</f>
        <v>M(여름)</v>
      </c>
      <c r="F211" s="29" t="s">
        <v>106</v>
      </c>
      <c r="G211" s="31"/>
      <c r="H211" s="28" t="str">
        <f aca="false">IF($C211="","",REPLACE($C211,6,2,"26"))</f>
        <v>QEHFM26301</v>
      </c>
      <c r="I211" s="32" t="str">
        <f aca="false">IFERROR(INDEX(전년출고참조!$B$4:$B$638,MATCH($H211,전년출고참조!$A$4:$A$638,0)),"")</f>
        <v/>
      </c>
      <c r="J211" s="32" t="n">
        <v>46367</v>
      </c>
      <c r="K211" s="32" t="n">
        <f aca="false">IF($G211&lt;&gt;"",IFERROR(DATE(IF(VALUE(LEFT($G211,FIND("월",$G211)-1))&gt;=9,기준정보!$C$6-1,기준정보!$C$6),VALUE(LEFT($G211,FIND("월",$G211)-1)),1+7*(VALUE(SUBSTITUTE(MID($G211,FIND("월",$G211)+1,5),"주",""))-1)),""),IF($I211&lt;&gt;"",IF(ISNUMBER($I211),$I211+364,IFERROR(DATE(IF(VALUE(LEFT($I211,FIND("월",$I211)-1))&gt;=9,기준정보!$C$6-1,기준정보!$C$6),VALUE(LEFT($I211,FIND("월",$I211)-1)),1+7*(VALUE(SUBSTITUTE(MID($I211,FIND("월",$I211)+1,5),"주",""))-1)),"")),IF($J211&lt;&gt;"",$J211,"")))</f>
        <v>46367</v>
      </c>
      <c r="L211" s="28" t="str">
        <f aca="false">IF($G211&lt;&gt;"","계획 주차",IF($I211&lt;&gt;"","전년+1년 예측",IF($J211&lt;&gt;"","전산 입고계획(참고)","미정")))</f>
        <v>전산 입고계획(참고)</v>
      </c>
      <c r="M211" s="32" t="n">
        <f aca="false">IF($K211="","",$K211-기준정보!$C$5)</f>
        <v>46277</v>
      </c>
      <c r="N211" s="33" t="n">
        <f aca="false">IF($M211="","",$M211-기준정보!$C$4)</f>
        <v>36</v>
      </c>
      <c r="O211" s="31" t="s">
        <v>114</v>
      </c>
      <c r="P211" s="20"/>
      <c r="Q211" s="30" t="str">
        <f aca="false">IF($F211="","",IF(AND(ISNUMBER(SEARCH("CMT",$F211)),OR(ISNUMBER(SEARCH("사입",$F211)),ISNUMBER(SEARCH("Buying",$F211)))),"본사/생산처 혼재",IF(ISNUMBER(SEARCH("CMT",$F211)),"본사(소재팀)","생산처")))</f>
        <v>생산처</v>
      </c>
      <c r="R211" s="29" t="s">
        <v>275</v>
      </c>
      <c r="S211" s="29" t="s">
        <v>110</v>
      </c>
      <c r="T211" s="30" t="str">
        <f aca="false">IF($K211="","출고일 미정",IF($O211="X","작지(일매) 미등록",IF($O211="부분","작지(일매) 일부 미등록",IF(AND($P211&lt;&gt;"",$P211&gt;$M211),"소재입고 마감("&amp;TEXT($M211,"MM/DD")&amp;") 초과",IF($O211="","일매 등록여부 확인 필요",IF($P211="","소재 입고일정 확인 필요","정상"))))))</f>
        <v>작지(일매) 미등록</v>
      </c>
      <c r="U211" s="28" t="str">
        <f aca="false">IF($K211="","",IF(OR(LEFT($T211,2)="작지",LEFT($T211,4)="소재입고"),IF(LEFT($E211,1)="S","★ 납기위험(S코드)","◆ 지연주의"),IF($T211="정상","✓ 정상","? 확인필요")))</f>
        <v>◆ 지연주의</v>
      </c>
      <c r="V211" s="31"/>
      <c r="W211" s="19"/>
    </row>
    <row r="212" customFormat="false" ht="15" hidden="false" customHeight="true" outlineLevel="0" collapsed="false">
      <c r="A212" s="28" t="n">
        <v>208</v>
      </c>
      <c r="B212" s="29" t="s">
        <v>227</v>
      </c>
      <c r="C212" s="30" t="s">
        <v>551</v>
      </c>
      <c r="D212" s="29" t="s">
        <v>552</v>
      </c>
      <c r="E212" s="28" t="str">
        <f aca="false">IF($C212="","",IF(MID($C212,5,1)="S","S(봄)",IF(MID($C212,5,1)="M","M(여름)",IF(MID($C212,5,1)="X","X(사계절)",MID($C212,5,1)))))</f>
        <v>M(여름)</v>
      </c>
      <c r="F212" s="29" t="s">
        <v>106</v>
      </c>
      <c r="G212" s="31"/>
      <c r="H212" s="28" t="str">
        <f aca="false">IF($C212="","",REPLACE($C212,6,2,"26"))</f>
        <v>QEHFM26305</v>
      </c>
      <c r="I212" s="32" t="str">
        <f aca="false">IFERROR(INDEX(전년출고참조!$B$4:$B$638,MATCH($H212,전년출고참조!$A$4:$A$638,0)),"")</f>
        <v/>
      </c>
      <c r="J212" s="32" t="n">
        <v>46367</v>
      </c>
      <c r="K212" s="32" t="n">
        <f aca="false">IF($G212&lt;&gt;"",IFERROR(DATE(IF(VALUE(LEFT($G212,FIND("월",$G212)-1))&gt;=9,기준정보!$C$6-1,기준정보!$C$6),VALUE(LEFT($G212,FIND("월",$G212)-1)),1+7*(VALUE(SUBSTITUTE(MID($G212,FIND("월",$G212)+1,5),"주",""))-1)),""),IF($I212&lt;&gt;"",IF(ISNUMBER($I212),$I212+364,IFERROR(DATE(IF(VALUE(LEFT($I212,FIND("월",$I212)-1))&gt;=9,기준정보!$C$6-1,기준정보!$C$6),VALUE(LEFT($I212,FIND("월",$I212)-1)),1+7*(VALUE(SUBSTITUTE(MID($I212,FIND("월",$I212)+1,5),"주",""))-1)),"")),IF($J212&lt;&gt;"",$J212,"")))</f>
        <v>46367</v>
      </c>
      <c r="L212" s="28" t="str">
        <f aca="false">IF($G212&lt;&gt;"","계획 주차",IF($I212&lt;&gt;"","전년+1년 예측",IF($J212&lt;&gt;"","전산 입고계획(참고)","미정")))</f>
        <v>전산 입고계획(참고)</v>
      </c>
      <c r="M212" s="32" t="n">
        <f aca="false">IF($K212="","",$K212-기준정보!$C$5)</f>
        <v>46277</v>
      </c>
      <c r="N212" s="33" t="n">
        <f aca="false">IF($M212="","",$M212-기준정보!$C$4)</f>
        <v>36</v>
      </c>
      <c r="O212" s="31" t="s">
        <v>114</v>
      </c>
      <c r="P212" s="20"/>
      <c r="Q212" s="30" t="str">
        <f aca="false">IF($F212="","",IF(AND(ISNUMBER(SEARCH("CMT",$F212)),OR(ISNUMBER(SEARCH("사입",$F212)),ISNUMBER(SEARCH("Buying",$F212)))),"본사/생산처 혼재",IF(ISNUMBER(SEARCH("CMT",$F212)),"본사(소재팀)","생산처")))</f>
        <v>생산처</v>
      </c>
      <c r="R212" s="29" t="s">
        <v>275</v>
      </c>
      <c r="S212" s="29" t="s">
        <v>374</v>
      </c>
      <c r="T212" s="30" t="str">
        <f aca="false">IF($K212="","출고일 미정",IF($O212="X","작지(일매) 미등록",IF($O212="부분","작지(일매) 일부 미등록",IF(AND($P212&lt;&gt;"",$P212&gt;$M212),"소재입고 마감("&amp;TEXT($M212,"MM/DD")&amp;") 초과",IF($O212="","일매 등록여부 확인 필요",IF($P212="","소재 입고일정 확인 필요","정상"))))))</f>
        <v>작지(일매) 미등록</v>
      </c>
      <c r="U212" s="28" t="str">
        <f aca="false">IF($K212="","",IF(OR(LEFT($T212,2)="작지",LEFT($T212,4)="소재입고"),IF(LEFT($E212,1)="S","★ 납기위험(S코드)","◆ 지연주의"),IF($T212="정상","✓ 정상","? 확인필요")))</f>
        <v>◆ 지연주의</v>
      </c>
      <c r="V212" s="31"/>
      <c r="W212" s="19"/>
    </row>
    <row r="213" customFormat="false" ht="15" hidden="false" customHeight="true" outlineLevel="0" collapsed="false">
      <c r="A213" s="28" t="n">
        <v>209</v>
      </c>
      <c r="B213" s="29" t="s">
        <v>320</v>
      </c>
      <c r="C213" s="30" t="s">
        <v>553</v>
      </c>
      <c r="D213" s="30" t="s">
        <v>554</v>
      </c>
      <c r="E213" s="28" t="str">
        <f aca="false">IF($C213="","",IF(MID($C213,5,1)="S","S(봄)",IF(MID($C213,5,1)="M","M(여름)",IF(MID($C213,5,1)="X","X(사계절)",MID($C213,5,1)))))</f>
        <v>M(여름)</v>
      </c>
      <c r="F213" s="29" t="s">
        <v>106</v>
      </c>
      <c r="G213" s="31"/>
      <c r="H213" s="28" t="str">
        <f aca="false">IF($C213="","",REPLACE($C213,6,2,"26"))</f>
        <v>8GPFM26101</v>
      </c>
      <c r="I213" s="32" t="str">
        <f aca="false">IFERROR(INDEX(전년출고참조!$B$4:$B$638,MATCH($H213,전년출고참조!$A$4:$A$638,0)),"")</f>
        <v/>
      </c>
      <c r="J213" s="32" t="n">
        <v>46392</v>
      </c>
      <c r="K213" s="32" t="n">
        <f aca="false">IF($G213&lt;&gt;"",IFERROR(DATE(IF(VALUE(LEFT($G213,FIND("월",$G213)-1))&gt;=9,기준정보!$C$6-1,기준정보!$C$6),VALUE(LEFT($G213,FIND("월",$G213)-1)),1+7*(VALUE(SUBSTITUTE(MID($G213,FIND("월",$G213)+1,5),"주",""))-1)),""),IF($I213&lt;&gt;"",IF(ISNUMBER($I213),$I213+364,IFERROR(DATE(IF(VALUE(LEFT($I213,FIND("월",$I213)-1))&gt;=9,기준정보!$C$6-1,기준정보!$C$6),VALUE(LEFT($I213,FIND("월",$I213)-1)),1+7*(VALUE(SUBSTITUTE(MID($I213,FIND("월",$I213)+1,5),"주",""))-1)),"")),IF($J213&lt;&gt;"",$J213,"")))</f>
        <v>46392</v>
      </c>
      <c r="L213" s="28" t="str">
        <f aca="false">IF($G213&lt;&gt;"","계획 주차",IF($I213&lt;&gt;"","전년+1년 예측",IF($J213&lt;&gt;"","전산 입고계획(참고)","미정")))</f>
        <v>전산 입고계획(참고)</v>
      </c>
      <c r="M213" s="32" t="n">
        <f aca="false">IF($K213="","",$K213-기준정보!$C$5)</f>
        <v>46302</v>
      </c>
      <c r="N213" s="33" t="n">
        <f aca="false">IF($M213="","",$M213-기준정보!$C$4)</f>
        <v>61</v>
      </c>
      <c r="O213" s="31" t="s">
        <v>108</v>
      </c>
      <c r="P213" s="20"/>
      <c r="Q213" s="30" t="str">
        <f aca="false">IF($F213="","",IF(AND(ISNUMBER(SEARCH("CMT",$F213)),OR(ISNUMBER(SEARCH("사입",$F213)),ISNUMBER(SEARCH("Buying",$F213)))),"본사/생산처 혼재",IF(ISNUMBER(SEARCH("CMT",$F213)),"본사(소재팀)","생산처")))</f>
        <v>생산처</v>
      </c>
      <c r="R213" s="29" t="s">
        <v>123</v>
      </c>
      <c r="S213" s="29" t="s">
        <v>110</v>
      </c>
      <c r="T213" s="30" t="str">
        <f aca="false">IF($K213="","출고일 미정",IF($O213="X","작지(일매) 미등록",IF($O213="부분","작지(일매) 일부 미등록",IF(AND($P213&lt;&gt;"",$P213&gt;$M213),"소재입고 마감("&amp;TEXT($M213,"MM/DD")&amp;") 초과",IF($O213="","일매 등록여부 확인 필요",IF($P213="","소재 입고일정 확인 필요","정상"))))))</f>
        <v>소재 입고일정 확인 필요</v>
      </c>
      <c r="U213" s="28" t="str">
        <f aca="false">IF($K213="","",IF(OR(LEFT($T213,2)="작지",LEFT($T213,4)="소재입고"),IF(LEFT($E213,1)="S","★ 납기위험(S코드)","◆ 지연주의"),IF($T213="정상","✓ 정상","? 확인필요")))</f>
        <v>? 확인필요</v>
      </c>
      <c r="V213" s="31"/>
      <c r="W213" s="19"/>
    </row>
    <row r="214" customFormat="false" ht="15" hidden="false" customHeight="true" outlineLevel="0" collapsed="false">
      <c r="A214" s="28" t="n">
        <v>210</v>
      </c>
      <c r="B214" s="29" t="s">
        <v>320</v>
      </c>
      <c r="C214" s="30" t="s">
        <v>555</v>
      </c>
      <c r="D214" s="30" t="s">
        <v>556</v>
      </c>
      <c r="E214" s="28" t="str">
        <f aca="false">IF($C214="","",IF(MID($C214,5,1)="S","S(봄)",IF(MID($C214,5,1)="M","M(여름)",IF(MID($C214,5,1)="X","X(사계절)",MID($C214,5,1)))))</f>
        <v>M(여름)</v>
      </c>
      <c r="F214" s="29" t="s">
        <v>106</v>
      </c>
      <c r="G214" s="31"/>
      <c r="H214" s="28" t="str">
        <f aca="false">IF($C214="","",REPLACE($C214,6,2,"26"))</f>
        <v>8GPOM26103</v>
      </c>
      <c r="I214" s="32" t="str">
        <f aca="false">IFERROR(INDEX(전년출고참조!$B$4:$B$638,MATCH($H214,전년출고참조!$A$4:$A$638,0)),"")</f>
        <v/>
      </c>
      <c r="J214" s="32" t="n">
        <v>46392</v>
      </c>
      <c r="K214" s="32" t="n">
        <f aca="false">IF($G214&lt;&gt;"",IFERROR(DATE(IF(VALUE(LEFT($G214,FIND("월",$G214)-1))&gt;=9,기준정보!$C$6-1,기준정보!$C$6),VALUE(LEFT($G214,FIND("월",$G214)-1)),1+7*(VALUE(SUBSTITUTE(MID($G214,FIND("월",$G214)+1,5),"주",""))-1)),""),IF($I214&lt;&gt;"",IF(ISNUMBER($I214),$I214+364,IFERROR(DATE(IF(VALUE(LEFT($I214,FIND("월",$I214)-1))&gt;=9,기준정보!$C$6-1,기준정보!$C$6),VALUE(LEFT($I214,FIND("월",$I214)-1)),1+7*(VALUE(SUBSTITUTE(MID($I214,FIND("월",$I214)+1,5),"주",""))-1)),"")),IF($J214&lt;&gt;"",$J214,"")))</f>
        <v>46392</v>
      </c>
      <c r="L214" s="28" t="str">
        <f aca="false">IF($G214&lt;&gt;"","계획 주차",IF($I214&lt;&gt;"","전년+1년 예측",IF($J214&lt;&gt;"","전산 입고계획(참고)","미정")))</f>
        <v>전산 입고계획(참고)</v>
      </c>
      <c r="M214" s="32" t="n">
        <f aca="false">IF($K214="","",$K214-기준정보!$C$5)</f>
        <v>46302</v>
      </c>
      <c r="N214" s="33" t="n">
        <f aca="false">IF($M214="","",$M214-기준정보!$C$4)</f>
        <v>61</v>
      </c>
      <c r="O214" s="31" t="s">
        <v>108</v>
      </c>
      <c r="P214" s="20"/>
      <c r="Q214" s="30" t="str">
        <f aca="false">IF($F214="","",IF(AND(ISNUMBER(SEARCH("CMT",$F214)),OR(ISNUMBER(SEARCH("사입",$F214)),ISNUMBER(SEARCH("Buying",$F214)))),"본사/생산처 혼재",IF(ISNUMBER(SEARCH("CMT",$F214)),"본사(소재팀)","생산처")))</f>
        <v>생산처</v>
      </c>
      <c r="R214" s="29" t="s">
        <v>148</v>
      </c>
      <c r="S214" s="29" t="s">
        <v>110</v>
      </c>
      <c r="T214" s="30" t="str">
        <f aca="false">IF($K214="","출고일 미정",IF($O214="X","작지(일매) 미등록",IF($O214="부분","작지(일매) 일부 미등록",IF(AND($P214&lt;&gt;"",$P214&gt;$M214),"소재입고 마감("&amp;TEXT($M214,"MM/DD")&amp;") 초과",IF($O214="","일매 등록여부 확인 필요",IF($P214="","소재 입고일정 확인 필요","정상"))))))</f>
        <v>소재 입고일정 확인 필요</v>
      </c>
      <c r="U214" s="28" t="str">
        <f aca="false">IF($K214="","",IF(OR(LEFT($T214,2)="작지",LEFT($T214,4)="소재입고"),IF(LEFT($E214,1)="S","★ 납기위험(S코드)","◆ 지연주의"),IF($T214="정상","✓ 정상","? 확인필요")))</f>
        <v>? 확인필요</v>
      </c>
      <c r="V214" s="31"/>
      <c r="W214" s="19"/>
    </row>
    <row r="215" customFormat="false" ht="15" hidden="false" customHeight="true" outlineLevel="0" collapsed="false">
      <c r="A215" s="28" t="n">
        <v>211</v>
      </c>
      <c r="B215" s="29" t="s">
        <v>320</v>
      </c>
      <c r="C215" s="30" t="s">
        <v>557</v>
      </c>
      <c r="D215" s="30" t="s">
        <v>558</v>
      </c>
      <c r="E215" s="28" t="str">
        <f aca="false">IF($C215="","",IF(MID($C215,5,1)="S","S(봄)",IF(MID($C215,5,1)="M","M(여름)",IF(MID($C215,5,1)="X","X(사계절)",MID($C215,5,1)))))</f>
        <v>M(여름)</v>
      </c>
      <c r="F215" s="29" t="s">
        <v>106</v>
      </c>
      <c r="G215" s="31"/>
      <c r="H215" s="28" t="str">
        <f aca="false">IF($C215="","",REPLACE($C215,6,2,"26"))</f>
        <v>8HJJM26102</v>
      </c>
      <c r="I215" s="32" t="str">
        <f aca="false">IFERROR(INDEX(전년출고참조!$B$4:$B$638,MATCH($H215,전년출고참조!$A$4:$A$638,0)),"")</f>
        <v/>
      </c>
      <c r="J215" s="32" t="n">
        <v>46392</v>
      </c>
      <c r="K215" s="32" t="n">
        <f aca="false">IF($G215&lt;&gt;"",IFERROR(DATE(IF(VALUE(LEFT($G215,FIND("월",$G215)-1))&gt;=9,기준정보!$C$6-1,기준정보!$C$6),VALUE(LEFT($G215,FIND("월",$G215)-1)),1+7*(VALUE(SUBSTITUTE(MID($G215,FIND("월",$G215)+1,5),"주",""))-1)),""),IF($I215&lt;&gt;"",IF(ISNUMBER($I215),$I215+364,IFERROR(DATE(IF(VALUE(LEFT($I215,FIND("월",$I215)-1))&gt;=9,기준정보!$C$6-1,기준정보!$C$6),VALUE(LEFT($I215,FIND("월",$I215)-1)),1+7*(VALUE(SUBSTITUTE(MID($I215,FIND("월",$I215)+1,5),"주",""))-1)),"")),IF($J215&lt;&gt;"",$J215,"")))</f>
        <v>46392</v>
      </c>
      <c r="L215" s="28" t="str">
        <f aca="false">IF($G215&lt;&gt;"","계획 주차",IF($I215&lt;&gt;"","전년+1년 예측",IF($J215&lt;&gt;"","전산 입고계획(참고)","미정")))</f>
        <v>전산 입고계획(참고)</v>
      </c>
      <c r="M215" s="32" t="n">
        <f aca="false">IF($K215="","",$K215-기준정보!$C$5)</f>
        <v>46302</v>
      </c>
      <c r="N215" s="33" t="n">
        <f aca="false">IF($M215="","",$M215-기준정보!$C$4)</f>
        <v>61</v>
      </c>
      <c r="O215" s="31" t="s">
        <v>108</v>
      </c>
      <c r="P215" s="20"/>
      <c r="Q215" s="30" t="str">
        <f aca="false">IF($F215="","",IF(AND(ISNUMBER(SEARCH("CMT",$F215)),OR(ISNUMBER(SEARCH("사입",$F215)),ISNUMBER(SEARCH("Buying",$F215)))),"본사/생산처 혼재",IF(ISNUMBER(SEARCH("CMT",$F215)),"본사(소재팀)","생산처")))</f>
        <v>생산처</v>
      </c>
      <c r="R215" s="29" t="s">
        <v>119</v>
      </c>
      <c r="S215" s="29" t="s">
        <v>110</v>
      </c>
      <c r="T215" s="30" t="str">
        <f aca="false">IF($K215="","출고일 미정",IF($O215="X","작지(일매) 미등록",IF($O215="부분","작지(일매) 일부 미등록",IF(AND($P215&lt;&gt;"",$P215&gt;$M215),"소재입고 마감("&amp;TEXT($M215,"MM/DD")&amp;") 초과",IF($O215="","일매 등록여부 확인 필요",IF($P215="","소재 입고일정 확인 필요","정상"))))))</f>
        <v>소재 입고일정 확인 필요</v>
      </c>
      <c r="U215" s="28" t="str">
        <f aca="false">IF($K215="","",IF(OR(LEFT($T215,2)="작지",LEFT($T215,4)="소재입고"),IF(LEFT($E215,1)="S","★ 납기위험(S코드)","◆ 지연주의"),IF($T215="정상","✓ 정상","? 확인필요")))</f>
        <v>? 확인필요</v>
      </c>
      <c r="V215" s="31"/>
      <c r="W215" s="19"/>
    </row>
    <row r="216" customFormat="false" ht="15" hidden="false" customHeight="true" outlineLevel="0" collapsed="false">
      <c r="A216" s="28" t="n">
        <v>212</v>
      </c>
      <c r="B216" s="29" t="s">
        <v>320</v>
      </c>
      <c r="C216" s="30" t="s">
        <v>559</v>
      </c>
      <c r="D216" s="30" t="s">
        <v>560</v>
      </c>
      <c r="E216" s="28" t="str">
        <f aca="false">IF($C216="","",IF(MID($C216,5,1)="S","S(봄)",IF(MID($C216,5,1)="M","M(여름)",IF(MID($C216,5,1)="X","X(사계절)",MID($C216,5,1)))))</f>
        <v>M(여름)</v>
      </c>
      <c r="F216" s="29" t="s">
        <v>106</v>
      </c>
      <c r="G216" s="31"/>
      <c r="H216" s="28" t="str">
        <f aca="false">IF($C216="","",REPLACE($C216,6,2,"26"))</f>
        <v>8HPOM26102</v>
      </c>
      <c r="I216" s="32" t="str">
        <f aca="false">IFERROR(INDEX(전년출고참조!$B$4:$B$638,MATCH($H216,전년출고참조!$A$4:$A$638,0)),"")</f>
        <v/>
      </c>
      <c r="J216" s="32" t="n">
        <v>46392</v>
      </c>
      <c r="K216" s="32" t="n">
        <f aca="false">IF($G216&lt;&gt;"",IFERROR(DATE(IF(VALUE(LEFT($G216,FIND("월",$G216)-1))&gt;=9,기준정보!$C$6-1,기준정보!$C$6),VALUE(LEFT($G216,FIND("월",$G216)-1)),1+7*(VALUE(SUBSTITUTE(MID($G216,FIND("월",$G216)+1,5),"주",""))-1)),""),IF($I216&lt;&gt;"",IF(ISNUMBER($I216),$I216+364,IFERROR(DATE(IF(VALUE(LEFT($I216,FIND("월",$I216)-1))&gt;=9,기준정보!$C$6-1,기준정보!$C$6),VALUE(LEFT($I216,FIND("월",$I216)-1)),1+7*(VALUE(SUBSTITUTE(MID($I216,FIND("월",$I216)+1,5),"주",""))-1)),"")),IF($J216&lt;&gt;"",$J216,"")))</f>
        <v>46392</v>
      </c>
      <c r="L216" s="28" t="str">
        <f aca="false">IF($G216&lt;&gt;"","계획 주차",IF($I216&lt;&gt;"","전년+1년 예측",IF($J216&lt;&gt;"","전산 입고계획(참고)","미정")))</f>
        <v>전산 입고계획(참고)</v>
      </c>
      <c r="M216" s="32" t="n">
        <f aca="false">IF($K216="","",$K216-기준정보!$C$5)</f>
        <v>46302</v>
      </c>
      <c r="N216" s="33" t="n">
        <f aca="false">IF($M216="","",$M216-기준정보!$C$4)</f>
        <v>61</v>
      </c>
      <c r="O216" s="31" t="s">
        <v>114</v>
      </c>
      <c r="P216" s="20"/>
      <c r="Q216" s="30" t="str">
        <f aca="false">IF($F216="","",IF(AND(ISNUMBER(SEARCH("CMT",$F216)),OR(ISNUMBER(SEARCH("사입",$F216)),ISNUMBER(SEARCH("Buying",$F216)))),"본사/생산처 혼재",IF(ISNUMBER(SEARCH("CMT",$F216)),"본사(소재팀)","생산처")))</f>
        <v>생산처</v>
      </c>
      <c r="R216" s="29" t="s">
        <v>148</v>
      </c>
      <c r="S216" s="29" t="s">
        <v>110</v>
      </c>
      <c r="T216" s="30" t="str">
        <f aca="false">IF($K216="","출고일 미정",IF($O216="X","작지(일매) 미등록",IF($O216="부분","작지(일매) 일부 미등록",IF(AND($P216&lt;&gt;"",$P216&gt;$M216),"소재입고 마감("&amp;TEXT($M216,"MM/DD")&amp;") 초과",IF($O216="","일매 등록여부 확인 필요",IF($P216="","소재 입고일정 확인 필요","정상"))))))</f>
        <v>작지(일매) 미등록</v>
      </c>
      <c r="U216" s="28" t="str">
        <f aca="false">IF($K216="","",IF(OR(LEFT($T216,2)="작지",LEFT($T216,4)="소재입고"),IF(LEFT($E216,1)="S","★ 납기위험(S코드)","◆ 지연주의"),IF($T216="정상","✓ 정상","? 확인필요")))</f>
        <v>◆ 지연주의</v>
      </c>
      <c r="V216" s="31"/>
      <c r="W216" s="19"/>
    </row>
    <row r="217" customFormat="false" ht="15" hidden="false" customHeight="true" outlineLevel="0" collapsed="false">
      <c r="A217" s="28" t="n">
        <v>213</v>
      </c>
      <c r="B217" s="29" t="s">
        <v>320</v>
      </c>
      <c r="C217" s="30" t="s">
        <v>561</v>
      </c>
      <c r="D217" s="30" t="s">
        <v>562</v>
      </c>
      <c r="E217" s="28" t="str">
        <f aca="false">IF($C217="","",IF(MID($C217,5,1)="S","S(봄)",IF(MID($C217,5,1)="M","M(여름)",IF(MID($C217,5,1)="X","X(사계절)",MID($C217,5,1)))))</f>
        <v>M(여름)</v>
      </c>
      <c r="F217" s="29" t="s">
        <v>106</v>
      </c>
      <c r="G217" s="31"/>
      <c r="H217" s="28" t="str">
        <f aca="false">IF($C217="","",REPLACE($C217,6,2,"26"))</f>
        <v>8HTCM26102</v>
      </c>
      <c r="I217" s="32" t="str">
        <f aca="false">IFERROR(INDEX(전년출고참조!$B$4:$B$638,MATCH($H217,전년출고참조!$A$4:$A$638,0)),"")</f>
        <v/>
      </c>
      <c r="J217" s="32" t="n">
        <v>46392</v>
      </c>
      <c r="K217" s="32" t="n">
        <f aca="false">IF($G217&lt;&gt;"",IFERROR(DATE(IF(VALUE(LEFT($G217,FIND("월",$G217)-1))&gt;=9,기준정보!$C$6-1,기준정보!$C$6),VALUE(LEFT($G217,FIND("월",$G217)-1)),1+7*(VALUE(SUBSTITUTE(MID($G217,FIND("월",$G217)+1,5),"주",""))-1)),""),IF($I217&lt;&gt;"",IF(ISNUMBER($I217),$I217+364,IFERROR(DATE(IF(VALUE(LEFT($I217,FIND("월",$I217)-1))&gt;=9,기준정보!$C$6-1,기준정보!$C$6),VALUE(LEFT($I217,FIND("월",$I217)-1)),1+7*(VALUE(SUBSTITUTE(MID($I217,FIND("월",$I217)+1,5),"주",""))-1)),"")),IF($J217&lt;&gt;"",$J217,"")))</f>
        <v>46392</v>
      </c>
      <c r="L217" s="28" t="str">
        <f aca="false">IF($G217&lt;&gt;"","계획 주차",IF($I217&lt;&gt;"","전년+1년 예측",IF($J217&lt;&gt;"","전산 입고계획(참고)","미정")))</f>
        <v>전산 입고계획(참고)</v>
      </c>
      <c r="M217" s="32" t="n">
        <f aca="false">IF($K217="","",$K217-기준정보!$C$5)</f>
        <v>46302</v>
      </c>
      <c r="N217" s="33" t="n">
        <f aca="false">IF($M217="","",$M217-기준정보!$C$4)</f>
        <v>61</v>
      </c>
      <c r="O217" s="31" t="s">
        <v>108</v>
      </c>
      <c r="P217" s="20"/>
      <c r="Q217" s="30" t="str">
        <f aca="false">IF($F217="","",IF(AND(ISNUMBER(SEARCH("CMT",$F217)),OR(ISNUMBER(SEARCH("사입",$F217)),ISNUMBER(SEARCH("Buying",$F217)))),"본사/생산처 혼재",IF(ISNUMBER(SEARCH("CMT",$F217)),"본사(소재팀)","생산처")))</f>
        <v>생산처</v>
      </c>
      <c r="R217" s="29" t="s">
        <v>352</v>
      </c>
      <c r="S217" s="29" t="s">
        <v>195</v>
      </c>
      <c r="T217" s="30" t="str">
        <f aca="false">IF($K217="","출고일 미정",IF($O217="X","작지(일매) 미등록",IF($O217="부분","작지(일매) 일부 미등록",IF(AND($P217&lt;&gt;"",$P217&gt;$M217),"소재입고 마감("&amp;TEXT($M217,"MM/DD")&amp;") 초과",IF($O217="","일매 등록여부 확인 필요",IF($P217="","소재 입고일정 확인 필요","정상"))))))</f>
        <v>소재 입고일정 확인 필요</v>
      </c>
      <c r="U217" s="28" t="str">
        <f aca="false">IF($K217="","",IF(OR(LEFT($T217,2)="작지",LEFT($T217,4)="소재입고"),IF(LEFT($E217,1)="S","★ 납기위험(S코드)","◆ 지연주의"),IF($T217="정상","✓ 정상","? 확인필요")))</f>
        <v>? 확인필요</v>
      </c>
      <c r="V217" s="31"/>
      <c r="W217" s="19"/>
    </row>
    <row r="218" customFormat="false" ht="15" hidden="false" customHeight="true" outlineLevel="0" collapsed="false">
      <c r="A218" s="28" t="n">
        <v>214</v>
      </c>
      <c r="B218" s="29" t="s">
        <v>320</v>
      </c>
      <c r="C218" s="30" t="s">
        <v>563</v>
      </c>
      <c r="D218" s="30" t="s">
        <v>564</v>
      </c>
      <c r="E218" s="28" t="str">
        <f aca="false">IF($C218="","",IF(MID($C218,5,1)="S","S(봄)",IF(MID($C218,5,1)="M","M(여름)",IF(MID($C218,5,1)="X","X(사계절)",MID($C218,5,1)))))</f>
        <v>M(여름)</v>
      </c>
      <c r="F218" s="29" t="s">
        <v>106</v>
      </c>
      <c r="G218" s="31"/>
      <c r="H218" s="28" t="str">
        <f aca="false">IF($C218="","",REPLACE($C218,6,2,"26"))</f>
        <v>8NAAM26101</v>
      </c>
      <c r="I218" s="32" t="str">
        <f aca="false">IFERROR(INDEX(전년출고참조!$B$4:$B$638,MATCH($H218,전년출고참조!$A$4:$A$638,0)),"")</f>
        <v/>
      </c>
      <c r="J218" s="32" t="n">
        <v>46392</v>
      </c>
      <c r="K218" s="32" t="n">
        <f aca="false">IF($G218&lt;&gt;"",IFERROR(DATE(IF(VALUE(LEFT($G218,FIND("월",$G218)-1))&gt;=9,기준정보!$C$6-1,기준정보!$C$6),VALUE(LEFT($G218,FIND("월",$G218)-1)),1+7*(VALUE(SUBSTITUTE(MID($G218,FIND("월",$G218)+1,5),"주",""))-1)),""),IF($I218&lt;&gt;"",IF(ISNUMBER($I218),$I218+364,IFERROR(DATE(IF(VALUE(LEFT($I218,FIND("월",$I218)-1))&gt;=9,기준정보!$C$6-1,기준정보!$C$6),VALUE(LEFT($I218,FIND("월",$I218)-1)),1+7*(VALUE(SUBSTITUTE(MID($I218,FIND("월",$I218)+1,5),"주",""))-1)),"")),IF($J218&lt;&gt;"",$J218,"")))</f>
        <v>46392</v>
      </c>
      <c r="L218" s="28" t="str">
        <f aca="false">IF($G218&lt;&gt;"","계획 주차",IF($I218&lt;&gt;"","전년+1년 예측",IF($J218&lt;&gt;"","전산 입고계획(참고)","미정")))</f>
        <v>전산 입고계획(참고)</v>
      </c>
      <c r="M218" s="32" t="n">
        <f aca="false">IF($K218="","",$K218-기준정보!$C$5)</f>
        <v>46302</v>
      </c>
      <c r="N218" s="33" t="n">
        <f aca="false">IF($M218="","",$M218-기준정보!$C$4)</f>
        <v>61</v>
      </c>
      <c r="O218" s="31" t="s">
        <v>114</v>
      </c>
      <c r="P218" s="20"/>
      <c r="Q218" s="30" t="str">
        <f aca="false">IF($F218="","",IF(AND(ISNUMBER(SEARCH("CMT",$F218)),OR(ISNUMBER(SEARCH("사입",$F218)),ISNUMBER(SEARCH("Buying",$F218)))),"본사/생산처 혼재",IF(ISNUMBER(SEARCH("CMT",$F218)),"본사(소재팀)","생산처")))</f>
        <v>생산처</v>
      </c>
      <c r="R218" s="29" t="s">
        <v>565</v>
      </c>
      <c r="S218" s="29" t="s">
        <v>110</v>
      </c>
      <c r="T218" s="30" t="str">
        <f aca="false">IF($K218="","출고일 미정",IF($O218="X","작지(일매) 미등록",IF($O218="부분","작지(일매) 일부 미등록",IF(AND($P218&lt;&gt;"",$P218&gt;$M218),"소재입고 마감("&amp;TEXT($M218,"MM/DD")&amp;") 초과",IF($O218="","일매 등록여부 확인 필요",IF($P218="","소재 입고일정 확인 필요","정상"))))))</f>
        <v>작지(일매) 미등록</v>
      </c>
      <c r="U218" s="28" t="str">
        <f aca="false">IF($K218="","",IF(OR(LEFT($T218,2)="작지",LEFT($T218,4)="소재입고"),IF(LEFT($E218,1)="S","★ 납기위험(S코드)","◆ 지연주의"),IF($T218="정상","✓ 정상","? 확인필요")))</f>
        <v>◆ 지연주의</v>
      </c>
      <c r="V218" s="31"/>
      <c r="W218" s="19"/>
    </row>
    <row r="219" customFormat="false" ht="15" hidden="false" customHeight="true" outlineLevel="0" collapsed="false">
      <c r="A219" s="28" t="n">
        <v>215</v>
      </c>
      <c r="B219" s="29" t="s">
        <v>320</v>
      </c>
      <c r="C219" s="30" t="s">
        <v>566</v>
      </c>
      <c r="D219" s="30" t="s">
        <v>567</v>
      </c>
      <c r="E219" s="28" t="str">
        <f aca="false">IF($C219="","",IF(MID($C219,5,1)="S","S(봄)",IF(MID($C219,5,1)="M","M(여름)",IF(MID($C219,5,1)="X","X(사계절)",MID($C219,5,1)))))</f>
        <v>M(여름)</v>
      </c>
      <c r="F219" s="29" t="s">
        <v>106</v>
      </c>
      <c r="G219" s="31"/>
      <c r="H219" s="28" t="str">
        <f aca="false">IF($C219="","",REPLACE($C219,6,2,"26"))</f>
        <v>8NHAM26102</v>
      </c>
      <c r="I219" s="32" t="str">
        <f aca="false">IFERROR(INDEX(전년출고참조!$B$4:$B$638,MATCH($H219,전년출고참조!$A$4:$A$638,0)),"")</f>
        <v/>
      </c>
      <c r="J219" s="32" t="n">
        <v>46392</v>
      </c>
      <c r="K219" s="32" t="n">
        <f aca="false">IF($G219&lt;&gt;"",IFERROR(DATE(IF(VALUE(LEFT($G219,FIND("월",$G219)-1))&gt;=9,기준정보!$C$6-1,기준정보!$C$6),VALUE(LEFT($G219,FIND("월",$G219)-1)),1+7*(VALUE(SUBSTITUTE(MID($G219,FIND("월",$G219)+1,5),"주",""))-1)),""),IF($I219&lt;&gt;"",IF(ISNUMBER($I219),$I219+364,IFERROR(DATE(IF(VALUE(LEFT($I219,FIND("월",$I219)-1))&gt;=9,기준정보!$C$6-1,기준정보!$C$6),VALUE(LEFT($I219,FIND("월",$I219)-1)),1+7*(VALUE(SUBSTITUTE(MID($I219,FIND("월",$I219)+1,5),"주",""))-1)),"")),IF($J219&lt;&gt;"",$J219,"")))</f>
        <v>46392</v>
      </c>
      <c r="L219" s="28" t="str">
        <f aca="false">IF($G219&lt;&gt;"","계획 주차",IF($I219&lt;&gt;"","전년+1년 예측",IF($J219&lt;&gt;"","전산 입고계획(참고)","미정")))</f>
        <v>전산 입고계획(참고)</v>
      </c>
      <c r="M219" s="32" t="n">
        <f aca="false">IF($K219="","",$K219-기준정보!$C$5)</f>
        <v>46302</v>
      </c>
      <c r="N219" s="33" t="n">
        <f aca="false">IF($M219="","",$M219-기준정보!$C$4)</f>
        <v>61</v>
      </c>
      <c r="O219" s="31" t="s">
        <v>114</v>
      </c>
      <c r="P219" s="20"/>
      <c r="Q219" s="30" t="str">
        <f aca="false">IF($F219="","",IF(AND(ISNUMBER(SEARCH("CMT",$F219)),OR(ISNUMBER(SEARCH("사입",$F219)),ISNUMBER(SEARCH("Buying",$F219)))),"본사/생산처 혼재",IF(ISNUMBER(SEARCH("CMT",$F219)),"본사(소재팀)","생산처")))</f>
        <v>생산처</v>
      </c>
      <c r="R219" s="29" t="s">
        <v>331</v>
      </c>
      <c r="S219" s="29" t="s">
        <v>110</v>
      </c>
      <c r="T219" s="30" t="str">
        <f aca="false">IF($K219="","출고일 미정",IF($O219="X","작지(일매) 미등록",IF($O219="부분","작지(일매) 일부 미등록",IF(AND($P219&lt;&gt;"",$P219&gt;$M219),"소재입고 마감("&amp;TEXT($M219,"MM/DD")&amp;") 초과",IF($O219="","일매 등록여부 확인 필요",IF($P219="","소재 입고일정 확인 필요","정상"))))))</f>
        <v>작지(일매) 미등록</v>
      </c>
      <c r="U219" s="28" t="str">
        <f aca="false">IF($K219="","",IF(OR(LEFT($T219,2)="작지",LEFT($T219,4)="소재입고"),IF(LEFT($E219,1)="S","★ 납기위험(S코드)","◆ 지연주의"),IF($T219="정상","✓ 정상","? 확인필요")))</f>
        <v>◆ 지연주의</v>
      </c>
      <c r="V219" s="31"/>
      <c r="W219" s="19"/>
    </row>
    <row r="220" customFormat="false" ht="15" hidden="false" customHeight="true" outlineLevel="0" collapsed="false">
      <c r="A220" s="28" t="n">
        <v>216</v>
      </c>
      <c r="B220" s="29" t="s">
        <v>320</v>
      </c>
      <c r="C220" s="30" t="s">
        <v>568</v>
      </c>
      <c r="D220" s="30" t="s">
        <v>569</v>
      </c>
      <c r="E220" s="28" t="str">
        <f aca="false">IF($C220="","",IF(MID($C220,5,1)="S","S(봄)",IF(MID($C220,5,1)="M","M(여름)",IF(MID($C220,5,1)="X","X(사계절)",MID($C220,5,1)))))</f>
        <v>M(여름)</v>
      </c>
      <c r="F220" s="29" t="s">
        <v>106</v>
      </c>
      <c r="G220" s="31"/>
      <c r="H220" s="28" t="str">
        <f aca="false">IF($C220="","",REPLACE($C220,6,2,"26"))</f>
        <v>8NHEM26101</v>
      </c>
      <c r="I220" s="32" t="str">
        <f aca="false">IFERROR(INDEX(전년출고참조!$B$4:$B$638,MATCH($H220,전년출고참조!$A$4:$A$638,0)),"")</f>
        <v/>
      </c>
      <c r="J220" s="32" t="n">
        <v>46392</v>
      </c>
      <c r="K220" s="32" t="n">
        <f aca="false">IF($G220&lt;&gt;"",IFERROR(DATE(IF(VALUE(LEFT($G220,FIND("월",$G220)-1))&gt;=9,기준정보!$C$6-1,기준정보!$C$6),VALUE(LEFT($G220,FIND("월",$G220)-1)),1+7*(VALUE(SUBSTITUTE(MID($G220,FIND("월",$G220)+1,5),"주",""))-1)),""),IF($I220&lt;&gt;"",IF(ISNUMBER($I220),$I220+364,IFERROR(DATE(IF(VALUE(LEFT($I220,FIND("월",$I220)-1))&gt;=9,기준정보!$C$6-1,기준정보!$C$6),VALUE(LEFT($I220,FIND("월",$I220)-1)),1+7*(VALUE(SUBSTITUTE(MID($I220,FIND("월",$I220)+1,5),"주",""))-1)),"")),IF($J220&lt;&gt;"",$J220,"")))</f>
        <v>46392</v>
      </c>
      <c r="L220" s="28" t="str">
        <f aca="false">IF($G220&lt;&gt;"","계획 주차",IF($I220&lt;&gt;"","전년+1년 예측",IF($J220&lt;&gt;"","전산 입고계획(참고)","미정")))</f>
        <v>전산 입고계획(참고)</v>
      </c>
      <c r="M220" s="32" t="n">
        <f aca="false">IF($K220="","",$K220-기준정보!$C$5)</f>
        <v>46302</v>
      </c>
      <c r="N220" s="33" t="n">
        <f aca="false">IF($M220="","",$M220-기준정보!$C$4)</f>
        <v>61</v>
      </c>
      <c r="O220" s="31" t="s">
        <v>114</v>
      </c>
      <c r="P220" s="20"/>
      <c r="Q220" s="30" t="str">
        <f aca="false">IF($F220="","",IF(AND(ISNUMBER(SEARCH("CMT",$F220)),OR(ISNUMBER(SEARCH("사입",$F220)),ISNUMBER(SEARCH("Buying",$F220)))),"본사/생산처 혼재",IF(ISNUMBER(SEARCH("CMT",$F220)),"본사(소재팀)","생산처")))</f>
        <v>생산처</v>
      </c>
      <c r="R220" s="29" t="s">
        <v>331</v>
      </c>
      <c r="S220" s="29" t="s">
        <v>110</v>
      </c>
      <c r="T220" s="30" t="str">
        <f aca="false">IF($K220="","출고일 미정",IF($O220="X","작지(일매) 미등록",IF($O220="부분","작지(일매) 일부 미등록",IF(AND($P220&lt;&gt;"",$P220&gt;$M220),"소재입고 마감("&amp;TEXT($M220,"MM/DD")&amp;") 초과",IF($O220="","일매 등록여부 확인 필요",IF($P220="","소재 입고일정 확인 필요","정상"))))))</f>
        <v>작지(일매) 미등록</v>
      </c>
      <c r="U220" s="28" t="str">
        <f aca="false">IF($K220="","",IF(OR(LEFT($T220,2)="작지",LEFT($T220,4)="소재입고"),IF(LEFT($E220,1)="S","★ 납기위험(S코드)","◆ 지연주의"),IF($T220="정상","✓ 정상","? 확인필요")))</f>
        <v>◆ 지연주의</v>
      </c>
      <c r="V220" s="31"/>
      <c r="W220" s="19"/>
    </row>
    <row r="221" customFormat="false" ht="15" hidden="false" customHeight="true" outlineLevel="0" collapsed="false">
      <c r="A221" s="28" t="n">
        <v>217</v>
      </c>
      <c r="B221" s="29" t="s">
        <v>320</v>
      </c>
      <c r="C221" s="30" t="s">
        <v>570</v>
      </c>
      <c r="D221" s="30" t="s">
        <v>571</v>
      </c>
      <c r="E221" s="28" t="str">
        <f aca="false">IF($C221="","",IF(MID($C221,5,1)="S","S(봄)",IF(MID($C221,5,1)="M","M(여름)",IF(MID($C221,5,1)="X","X(사계절)",MID($C221,5,1)))))</f>
        <v>M(여름)</v>
      </c>
      <c r="F221" s="29" t="s">
        <v>106</v>
      </c>
      <c r="G221" s="31"/>
      <c r="H221" s="28" t="str">
        <f aca="false">IF($C221="","",REPLACE($C221,6,2,"26"))</f>
        <v>8NREM26102</v>
      </c>
      <c r="I221" s="32" t="str">
        <f aca="false">IFERROR(INDEX(전년출고참조!$B$4:$B$638,MATCH($H221,전년출고참조!$A$4:$A$638,0)),"")</f>
        <v/>
      </c>
      <c r="J221" s="32" t="n">
        <v>46392</v>
      </c>
      <c r="K221" s="32" t="n">
        <f aca="false">IF($G221&lt;&gt;"",IFERROR(DATE(IF(VALUE(LEFT($G221,FIND("월",$G221)-1))&gt;=9,기준정보!$C$6-1,기준정보!$C$6),VALUE(LEFT($G221,FIND("월",$G221)-1)),1+7*(VALUE(SUBSTITUTE(MID($G221,FIND("월",$G221)+1,5),"주",""))-1)),""),IF($I221&lt;&gt;"",IF(ISNUMBER($I221),$I221+364,IFERROR(DATE(IF(VALUE(LEFT($I221,FIND("월",$I221)-1))&gt;=9,기준정보!$C$6-1,기준정보!$C$6),VALUE(LEFT($I221,FIND("월",$I221)-1)),1+7*(VALUE(SUBSTITUTE(MID($I221,FIND("월",$I221)+1,5),"주",""))-1)),"")),IF($J221&lt;&gt;"",$J221,"")))</f>
        <v>46392</v>
      </c>
      <c r="L221" s="28" t="str">
        <f aca="false">IF($G221&lt;&gt;"","계획 주차",IF($I221&lt;&gt;"","전년+1년 예측",IF($J221&lt;&gt;"","전산 입고계획(참고)","미정")))</f>
        <v>전산 입고계획(참고)</v>
      </c>
      <c r="M221" s="32" t="n">
        <f aca="false">IF($K221="","",$K221-기준정보!$C$5)</f>
        <v>46302</v>
      </c>
      <c r="N221" s="33" t="n">
        <f aca="false">IF($M221="","",$M221-기준정보!$C$4)</f>
        <v>61</v>
      </c>
      <c r="O221" s="31" t="s">
        <v>114</v>
      </c>
      <c r="P221" s="20"/>
      <c r="Q221" s="30" t="str">
        <f aca="false">IF($F221="","",IF(AND(ISNUMBER(SEARCH("CMT",$F221)),OR(ISNUMBER(SEARCH("사입",$F221)),ISNUMBER(SEARCH("Buying",$F221)))),"본사/생산처 혼재",IF(ISNUMBER(SEARCH("CMT",$F221)),"본사(소재팀)","생산처")))</f>
        <v>생산처</v>
      </c>
      <c r="R221" s="29" t="s">
        <v>572</v>
      </c>
      <c r="S221" s="29" t="s">
        <v>195</v>
      </c>
      <c r="T221" s="30" t="str">
        <f aca="false">IF($K221="","출고일 미정",IF($O221="X","작지(일매) 미등록",IF($O221="부분","작지(일매) 일부 미등록",IF(AND($P221&lt;&gt;"",$P221&gt;$M221),"소재입고 마감("&amp;TEXT($M221,"MM/DD")&amp;") 초과",IF($O221="","일매 등록여부 확인 필요",IF($P221="","소재 입고일정 확인 필요","정상"))))))</f>
        <v>작지(일매) 미등록</v>
      </c>
      <c r="U221" s="28" t="str">
        <f aca="false">IF($K221="","",IF(OR(LEFT($T221,2)="작지",LEFT($T221,4)="소재입고"),IF(LEFT($E221,1)="S","★ 납기위험(S코드)","◆ 지연주의"),IF($T221="정상","✓ 정상","? 확인필요")))</f>
        <v>◆ 지연주의</v>
      </c>
      <c r="V221" s="31"/>
      <c r="W221" s="19"/>
    </row>
    <row r="222" customFormat="false" ht="15" hidden="false" customHeight="true" outlineLevel="0" collapsed="false">
      <c r="A222" s="28" t="n">
        <v>218</v>
      </c>
      <c r="B222" s="29" t="s">
        <v>320</v>
      </c>
      <c r="C222" s="30" t="s">
        <v>573</v>
      </c>
      <c r="D222" s="30" t="s">
        <v>574</v>
      </c>
      <c r="E222" s="28" t="str">
        <f aca="false">IF($C222="","",IF(MID($C222,5,1)="S","S(봄)",IF(MID($C222,5,1)="M","M(여름)",IF(MID($C222,5,1)="X","X(사계절)",MID($C222,5,1)))))</f>
        <v>M(여름)</v>
      </c>
      <c r="F222" s="29" t="s">
        <v>106</v>
      </c>
      <c r="G222" s="31"/>
      <c r="H222" s="28" t="str">
        <f aca="false">IF($C222="","",REPLACE($C222,6,2,"26"))</f>
        <v>8UPNM26101</v>
      </c>
      <c r="I222" s="32" t="str">
        <f aca="false">IFERROR(INDEX(전년출고참조!$B$4:$B$638,MATCH($H222,전년출고참조!$A$4:$A$638,0)),"")</f>
        <v/>
      </c>
      <c r="J222" s="32" t="n">
        <v>46392</v>
      </c>
      <c r="K222" s="32" t="n">
        <f aca="false">IF($G222&lt;&gt;"",IFERROR(DATE(IF(VALUE(LEFT($G222,FIND("월",$G222)-1))&gt;=9,기준정보!$C$6-1,기준정보!$C$6),VALUE(LEFT($G222,FIND("월",$G222)-1)),1+7*(VALUE(SUBSTITUTE(MID($G222,FIND("월",$G222)+1,5),"주",""))-1)),""),IF($I222&lt;&gt;"",IF(ISNUMBER($I222),$I222+364,IFERROR(DATE(IF(VALUE(LEFT($I222,FIND("월",$I222)-1))&gt;=9,기준정보!$C$6-1,기준정보!$C$6),VALUE(LEFT($I222,FIND("월",$I222)-1)),1+7*(VALUE(SUBSTITUTE(MID($I222,FIND("월",$I222)+1,5),"주",""))-1)),"")),IF($J222&lt;&gt;"",$J222,"")))</f>
        <v>46392</v>
      </c>
      <c r="L222" s="28" t="str">
        <f aca="false">IF($G222&lt;&gt;"","계획 주차",IF($I222&lt;&gt;"","전년+1년 예측",IF($J222&lt;&gt;"","전산 입고계획(참고)","미정")))</f>
        <v>전산 입고계획(참고)</v>
      </c>
      <c r="M222" s="32" t="n">
        <f aca="false">IF($K222="","",$K222-기준정보!$C$5)</f>
        <v>46302</v>
      </c>
      <c r="N222" s="33" t="n">
        <f aca="false">IF($M222="","",$M222-기준정보!$C$4)</f>
        <v>61</v>
      </c>
      <c r="O222" s="31" t="s">
        <v>108</v>
      </c>
      <c r="P222" s="20"/>
      <c r="Q222" s="30" t="str">
        <f aca="false">IF($F222="","",IF(AND(ISNUMBER(SEARCH("CMT",$F222)),OR(ISNUMBER(SEARCH("사입",$F222)),ISNUMBER(SEARCH("Buying",$F222)))),"본사/생산처 혼재",IF(ISNUMBER(SEARCH("CMT",$F222)),"본사(소재팀)","생산처")))</f>
        <v>생산처</v>
      </c>
      <c r="R222" s="29" t="s">
        <v>142</v>
      </c>
      <c r="S222" s="29" t="s">
        <v>110</v>
      </c>
      <c r="T222" s="30" t="str">
        <f aca="false">IF($K222="","출고일 미정",IF($O222="X","작지(일매) 미등록",IF($O222="부분","작지(일매) 일부 미등록",IF(AND($P222&lt;&gt;"",$P222&gt;$M222),"소재입고 마감("&amp;TEXT($M222,"MM/DD")&amp;") 초과",IF($O222="","일매 등록여부 확인 필요",IF($P222="","소재 입고일정 확인 필요","정상"))))))</f>
        <v>소재 입고일정 확인 필요</v>
      </c>
      <c r="U222" s="28" t="str">
        <f aca="false">IF($K222="","",IF(OR(LEFT($T222,2)="작지",LEFT($T222,4)="소재입고"),IF(LEFT($E222,1)="S","★ 납기위험(S코드)","◆ 지연주의"),IF($T222="정상","✓ 정상","? 확인필요")))</f>
        <v>? 확인필요</v>
      </c>
      <c r="V222" s="31"/>
      <c r="W222" s="19"/>
    </row>
    <row r="223" customFormat="false" ht="15" hidden="false" customHeight="true" outlineLevel="0" collapsed="false">
      <c r="A223" s="28" t="n">
        <v>219</v>
      </c>
      <c r="B223" s="29" t="s">
        <v>320</v>
      </c>
      <c r="C223" s="30" t="s">
        <v>575</v>
      </c>
      <c r="D223" s="30" t="s">
        <v>576</v>
      </c>
      <c r="E223" s="28" t="str">
        <f aca="false">IF($C223="","",IF(MID($C223,5,1)="S","S(봄)",IF(MID($C223,5,1)="M","M(여름)",IF(MID($C223,5,1)="X","X(사계절)",MID($C223,5,1)))))</f>
        <v>M(여름)</v>
      </c>
      <c r="F223" s="29" t="s">
        <v>106</v>
      </c>
      <c r="G223" s="31"/>
      <c r="H223" s="28" t="str">
        <f aca="false">IF($C223="","",REPLACE($C223,6,2,"26"))</f>
        <v>8UPOM26101</v>
      </c>
      <c r="I223" s="32" t="str">
        <f aca="false">IFERROR(INDEX(전년출고참조!$B$4:$B$638,MATCH($H223,전년출고참조!$A$4:$A$638,0)),"")</f>
        <v/>
      </c>
      <c r="J223" s="32" t="n">
        <v>46392</v>
      </c>
      <c r="K223" s="32" t="n">
        <f aca="false">IF($G223&lt;&gt;"",IFERROR(DATE(IF(VALUE(LEFT($G223,FIND("월",$G223)-1))&gt;=9,기준정보!$C$6-1,기준정보!$C$6),VALUE(LEFT($G223,FIND("월",$G223)-1)),1+7*(VALUE(SUBSTITUTE(MID($G223,FIND("월",$G223)+1,5),"주",""))-1)),""),IF($I223&lt;&gt;"",IF(ISNUMBER($I223),$I223+364,IFERROR(DATE(IF(VALUE(LEFT($I223,FIND("월",$I223)-1))&gt;=9,기준정보!$C$6-1,기준정보!$C$6),VALUE(LEFT($I223,FIND("월",$I223)-1)),1+7*(VALUE(SUBSTITUTE(MID($I223,FIND("월",$I223)+1,5),"주",""))-1)),"")),IF($J223&lt;&gt;"",$J223,"")))</f>
        <v>46392</v>
      </c>
      <c r="L223" s="28" t="str">
        <f aca="false">IF($G223&lt;&gt;"","계획 주차",IF($I223&lt;&gt;"","전년+1년 예측",IF($J223&lt;&gt;"","전산 입고계획(참고)","미정")))</f>
        <v>전산 입고계획(참고)</v>
      </c>
      <c r="M223" s="32" t="n">
        <f aca="false">IF($K223="","",$K223-기준정보!$C$5)</f>
        <v>46302</v>
      </c>
      <c r="N223" s="33" t="n">
        <f aca="false">IF($M223="","",$M223-기준정보!$C$4)</f>
        <v>61</v>
      </c>
      <c r="O223" s="31" t="s">
        <v>108</v>
      </c>
      <c r="P223" s="20"/>
      <c r="Q223" s="30" t="str">
        <f aca="false">IF($F223="","",IF(AND(ISNUMBER(SEARCH("CMT",$F223)),OR(ISNUMBER(SEARCH("사입",$F223)),ISNUMBER(SEARCH("Buying",$F223)))),"본사/생산처 혼재",IF(ISNUMBER(SEARCH("CMT",$F223)),"본사(소재팀)","생산처")))</f>
        <v>생산처</v>
      </c>
      <c r="R223" s="29" t="s">
        <v>142</v>
      </c>
      <c r="S223" s="29" t="s">
        <v>110</v>
      </c>
      <c r="T223" s="30" t="str">
        <f aca="false">IF($K223="","출고일 미정",IF($O223="X","작지(일매) 미등록",IF($O223="부분","작지(일매) 일부 미등록",IF(AND($P223&lt;&gt;"",$P223&gt;$M223),"소재입고 마감("&amp;TEXT($M223,"MM/DD")&amp;") 초과",IF($O223="","일매 등록여부 확인 필요",IF($P223="","소재 입고일정 확인 필요","정상"))))))</f>
        <v>소재 입고일정 확인 필요</v>
      </c>
      <c r="U223" s="28" t="str">
        <f aca="false">IF($K223="","",IF(OR(LEFT($T223,2)="작지",LEFT($T223,4)="소재입고"),IF(LEFT($E223,1)="S","★ 납기위험(S코드)","◆ 지연주의"),IF($T223="정상","✓ 정상","? 확인필요")))</f>
        <v>? 확인필요</v>
      </c>
      <c r="V223" s="31"/>
      <c r="W223" s="19"/>
    </row>
    <row r="224" customFormat="false" ht="15" hidden="false" customHeight="true" outlineLevel="0" collapsed="false">
      <c r="A224" s="28" t="n">
        <v>220</v>
      </c>
      <c r="B224" s="29" t="s">
        <v>320</v>
      </c>
      <c r="C224" s="30" t="s">
        <v>577</v>
      </c>
      <c r="D224" s="30" t="s">
        <v>578</v>
      </c>
      <c r="E224" s="28" t="str">
        <f aca="false">IF($C224="","",IF(MID($C224,5,1)="S","S(봄)",IF(MID($C224,5,1)="M","M(여름)",IF(MID($C224,5,1)="X","X(사계절)",MID($C224,5,1)))))</f>
        <v>M(여름)</v>
      </c>
      <c r="F224" s="29" t="s">
        <v>106</v>
      </c>
      <c r="G224" s="31"/>
      <c r="H224" s="28" t="str">
        <f aca="false">IF($C224="","",REPLACE($C224,6,2,"26"))</f>
        <v>8UPOM26102</v>
      </c>
      <c r="I224" s="32" t="str">
        <f aca="false">IFERROR(INDEX(전년출고참조!$B$4:$B$638,MATCH($H224,전년출고참조!$A$4:$A$638,0)),"")</f>
        <v/>
      </c>
      <c r="J224" s="32" t="n">
        <v>46392</v>
      </c>
      <c r="K224" s="32" t="n">
        <f aca="false">IF($G224&lt;&gt;"",IFERROR(DATE(IF(VALUE(LEFT($G224,FIND("월",$G224)-1))&gt;=9,기준정보!$C$6-1,기준정보!$C$6),VALUE(LEFT($G224,FIND("월",$G224)-1)),1+7*(VALUE(SUBSTITUTE(MID($G224,FIND("월",$G224)+1,5),"주",""))-1)),""),IF($I224&lt;&gt;"",IF(ISNUMBER($I224),$I224+364,IFERROR(DATE(IF(VALUE(LEFT($I224,FIND("월",$I224)-1))&gt;=9,기준정보!$C$6-1,기준정보!$C$6),VALUE(LEFT($I224,FIND("월",$I224)-1)),1+7*(VALUE(SUBSTITUTE(MID($I224,FIND("월",$I224)+1,5),"주",""))-1)),"")),IF($J224&lt;&gt;"",$J224,"")))</f>
        <v>46392</v>
      </c>
      <c r="L224" s="28" t="str">
        <f aca="false">IF($G224&lt;&gt;"","계획 주차",IF($I224&lt;&gt;"","전년+1년 예측",IF($J224&lt;&gt;"","전산 입고계획(참고)","미정")))</f>
        <v>전산 입고계획(참고)</v>
      </c>
      <c r="M224" s="32" t="n">
        <f aca="false">IF($K224="","",$K224-기준정보!$C$5)</f>
        <v>46302</v>
      </c>
      <c r="N224" s="33" t="n">
        <f aca="false">IF($M224="","",$M224-기준정보!$C$4)</f>
        <v>61</v>
      </c>
      <c r="O224" s="31" t="s">
        <v>114</v>
      </c>
      <c r="P224" s="20"/>
      <c r="Q224" s="30" t="str">
        <f aca="false">IF($F224="","",IF(AND(ISNUMBER(SEARCH("CMT",$F224)),OR(ISNUMBER(SEARCH("사입",$F224)),ISNUMBER(SEARCH("Buying",$F224)))),"본사/생산처 혼재",IF(ISNUMBER(SEARCH("CMT",$F224)),"본사(소재팀)","생산처")))</f>
        <v>생산처</v>
      </c>
      <c r="R224" s="29" t="s">
        <v>148</v>
      </c>
      <c r="S224" s="29" t="s">
        <v>110</v>
      </c>
      <c r="T224" s="30" t="str">
        <f aca="false">IF($K224="","출고일 미정",IF($O224="X","작지(일매) 미등록",IF($O224="부분","작지(일매) 일부 미등록",IF(AND($P224&lt;&gt;"",$P224&gt;$M224),"소재입고 마감("&amp;TEXT($M224,"MM/DD")&amp;") 초과",IF($O224="","일매 등록여부 확인 필요",IF($P224="","소재 입고일정 확인 필요","정상"))))))</f>
        <v>작지(일매) 미등록</v>
      </c>
      <c r="U224" s="28" t="str">
        <f aca="false">IF($K224="","",IF(OR(LEFT($T224,2)="작지",LEFT($T224,4)="소재입고"),IF(LEFT($E224,1)="S","★ 납기위험(S코드)","◆ 지연주의"),IF($T224="정상","✓ 정상","? 확인필요")))</f>
        <v>◆ 지연주의</v>
      </c>
      <c r="V224" s="31"/>
      <c r="W224" s="19"/>
    </row>
    <row r="225" customFormat="false" ht="15" hidden="false" customHeight="true" outlineLevel="0" collapsed="false">
      <c r="A225" s="28" t="n">
        <v>221</v>
      </c>
      <c r="B225" s="29" t="s">
        <v>320</v>
      </c>
      <c r="C225" s="30" t="s">
        <v>579</v>
      </c>
      <c r="D225" s="30" t="s">
        <v>580</v>
      </c>
      <c r="E225" s="28" t="str">
        <f aca="false">IF($C225="","",IF(MID($C225,5,1)="S","S(봄)",IF(MID($C225,5,1)="M","M(여름)",IF(MID($C225,5,1)="X","X(사계절)",MID($C225,5,1)))))</f>
        <v>M(여름)</v>
      </c>
      <c r="F225" s="29" t="s">
        <v>106</v>
      </c>
      <c r="G225" s="31"/>
      <c r="H225" s="28" t="str">
        <f aca="false">IF($C225="","",REPLACE($C225,6,2,"26"))</f>
        <v>8UPOM26103</v>
      </c>
      <c r="I225" s="32" t="str">
        <f aca="false">IFERROR(INDEX(전년출고참조!$B$4:$B$638,MATCH($H225,전년출고참조!$A$4:$A$638,0)),"")</f>
        <v/>
      </c>
      <c r="J225" s="32" t="n">
        <v>46392</v>
      </c>
      <c r="K225" s="32" t="n">
        <f aca="false">IF($G225&lt;&gt;"",IFERROR(DATE(IF(VALUE(LEFT($G225,FIND("월",$G225)-1))&gt;=9,기준정보!$C$6-1,기준정보!$C$6),VALUE(LEFT($G225,FIND("월",$G225)-1)),1+7*(VALUE(SUBSTITUTE(MID($G225,FIND("월",$G225)+1,5),"주",""))-1)),""),IF($I225&lt;&gt;"",IF(ISNUMBER($I225),$I225+364,IFERROR(DATE(IF(VALUE(LEFT($I225,FIND("월",$I225)-1))&gt;=9,기준정보!$C$6-1,기준정보!$C$6),VALUE(LEFT($I225,FIND("월",$I225)-1)),1+7*(VALUE(SUBSTITUTE(MID($I225,FIND("월",$I225)+1,5),"주",""))-1)),"")),IF($J225&lt;&gt;"",$J225,"")))</f>
        <v>46392</v>
      </c>
      <c r="L225" s="28" t="str">
        <f aca="false">IF($G225&lt;&gt;"","계획 주차",IF($I225&lt;&gt;"","전년+1년 예측",IF($J225&lt;&gt;"","전산 입고계획(참고)","미정")))</f>
        <v>전산 입고계획(참고)</v>
      </c>
      <c r="M225" s="32" t="n">
        <f aca="false">IF($K225="","",$K225-기준정보!$C$5)</f>
        <v>46302</v>
      </c>
      <c r="N225" s="33" t="n">
        <f aca="false">IF($M225="","",$M225-기준정보!$C$4)</f>
        <v>61</v>
      </c>
      <c r="O225" s="31" t="s">
        <v>108</v>
      </c>
      <c r="P225" s="20"/>
      <c r="Q225" s="30" t="str">
        <f aca="false">IF($F225="","",IF(AND(ISNUMBER(SEARCH("CMT",$F225)),OR(ISNUMBER(SEARCH("사입",$F225)),ISNUMBER(SEARCH("Buying",$F225)))),"본사/생산처 혼재",IF(ISNUMBER(SEARCH("CMT",$F225)),"본사(소재팀)","생산처")))</f>
        <v>생산처</v>
      </c>
      <c r="R225" s="29" t="s">
        <v>142</v>
      </c>
      <c r="S225" s="29" t="s">
        <v>110</v>
      </c>
      <c r="T225" s="30" t="str">
        <f aca="false">IF($K225="","출고일 미정",IF($O225="X","작지(일매) 미등록",IF($O225="부분","작지(일매) 일부 미등록",IF(AND($P225&lt;&gt;"",$P225&gt;$M225),"소재입고 마감("&amp;TEXT($M225,"MM/DD")&amp;") 초과",IF($O225="","일매 등록여부 확인 필요",IF($P225="","소재 입고일정 확인 필요","정상"))))))</f>
        <v>소재 입고일정 확인 필요</v>
      </c>
      <c r="U225" s="28" t="str">
        <f aca="false">IF($K225="","",IF(OR(LEFT($T225,2)="작지",LEFT($T225,4)="소재입고"),IF(LEFT($E225,1)="S","★ 납기위험(S코드)","◆ 지연주의"),IF($T225="정상","✓ 정상","? 확인필요")))</f>
        <v>? 확인필요</v>
      </c>
      <c r="V225" s="31"/>
      <c r="W225" s="19"/>
    </row>
    <row r="226" customFormat="false" ht="15" hidden="false" customHeight="true" outlineLevel="0" collapsed="false">
      <c r="A226" s="28" t="n">
        <v>222</v>
      </c>
      <c r="B226" s="29" t="s">
        <v>320</v>
      </c>
      <c r="C226" s="30" t="s">
        <v>581</v>
      </c>
      <c r="D226" s="30" t="s">
        <v>582</v>
      </c>
      <c r="E226" s="28" t="str">
        <f aca="false">IF($C226="","",IF(MID($C226,5,1)="S","S(봄)",IF(MID($C226,5,1)="M","M(여름)",IF(MID($C226,5,1)="X","X(사계절)",MID($C226,5,1)))))</f>
        <v>M(여름)</v>
      </c>
      <c r="F226" s="29" t="s">
        <v>106</v>
      </c>
      <c r="G226" s="31"/>
      <c r="H226" s="28" t="str">
        <f aca="false">IF($C226="","",REPLACE($C226,6,2,"26"))</f>
        <v>8USCM26101</v>
      </c>
      <c r="I226" s="32" t="str">
        <f aca="false">IFERROR(INDEX(전년출고참조!$B$4:$B$638,MATCH($H226,전년출고참조!$A$4:$A$638,0)),"")</f>
        <v/>
      </c>
      <c r="J226" s="32" t="n">
        <v>46392</v>
      </c>
      <c r="K226" s="32" t="n">
        <f aca="false">IF($G226&lt;&gt;"",IFERROR(DATE(IF(VALUE(LEFT($G226,FIND("월",$G226)-1))&gt;=9,기준정보!$C$6-1,기준정보!$C$6),VALUE(LEFT($G226,FIND("월",$G226)-1)),1+7*(VALUE(SUBSTITUTE(MID($G226,FIND("월",$G226)+1,5),"주",""))-1)),""),IF($I226&lt;&gt;"",IF(ISNUMBER($I226),$I226+364,IFERROR(DATE(IF(VALUE(LEFT($I226,FIND("월",$I226)-1))&gt;=9,기준정보!$C$6-1,기준정보!$C$6),VALUE(LEFT($I226,FIND("월",$I226)-1)),1+7*(VALUE(SUBSTITUTE(MID($I226,FIND("월",$I226)+1,5),"주",""))-1)),"")),IF($J226&lt;&gt;"",$J226,"")))</f>
        <v>46392</v>
      </c>
      <c r="L226" s="28" t="str">
        <f aca="false">IF($G226&lt;&gt;"","계획 주차",IF($I226&lt;&gt;"","전년+1년 예측",IF($J226&lt;&gt;"","전산 입고계획(참고)","미정")))</f>
        <v>전산 입고계획(참고)</v>
      </c>
      <c r="M226" s="32" t="n">
        <f aca="false">IF($K226="","",$K226-기준정보!$C$5)</f>
        <v>46302</v>
      </c>
      <c r="N226" s="33" t="n">
        <f aca="false">IF($M226="","",$M226-기준정보!$C$4)</f>
        <v>61</v>
      </c>
      <c r="O226" s="31" t="s">
        <v>108</v>
      </c>
      <c r="P226" s="20"/>
      <c r="Q226" s="30" t="str">
        <f aca="false">IF($F226="","",IF(AND(ISNUMBER(SEARCH("CMT",$F226)),OR(ISNUMBER(SEARCH("사입",$F226)),ISNUMBER(SEARCH("Buying",$F226)))),"본사/생산처 혼재",IF(ISNUMBER(SEARCH("CMT",$F226)),"본사(소재팀)","생산처")))</f>
        <v>생산처</v>
      </c>
      <c r="R226" s="29" t="s">
        <v>138</v>
      </c>
      <c r="S226" s="29" t="s">
        <v>110</v>
      </c>
      <c r="T226" s="30" t="str">
        <f aca="false">IF($K226="","출고일 미정",IF($O226="X","작지(일매) 미등록",IF($O226="부분","작지(일매) 일부 미등록",IF(AND($P226&lt;&gt;"",$P226&gt;$M226),"소재입고 마감("&amp;TEXT($M226,"MM/DD")&amp;") 초과",IF($O226="","일매 등록여부 확인 필요",IF($P226="","소재 입고일정 확인 필요","정상"))))))</f>
        <v>소재 입고일정 확인 필요</v>
      </c>
      <c r="U226" s="28" t="str">
        <f aca="false">IF($K226="","",IF(OR(LEFT($T226,2)="작지",LEFT($T226,4)="소재입고"),IF(LEFT($E226,1)="S","★ 납기위험(S코드)","◆ 지연주의"),IF($T226="정상","✓ 정상","? 확인필요")))</f>
        <v>? 확인필요</v>
      </c>
      <c r="V226" s="31"/>
      <c r="W226" s="19"/>
    </row>
    <row r="227" customFormat="false" ht="15" hidden="false" customHeight="true" outlineLevel="0" collapsed="false">
      <c r="A227" s="28" t="n">
        <v>223</v>
      </c>
      <c r="B227" s="29" t="s">
        <v>320</v>
      </c>
      <c r="C227" s="30" t="s">
        <v>583</v>
      </c>
      <c r="D227" s="30" t="s">
        <v>584</v>
      </c>
      <c r="E227" s="28" t="str">
        <f aca="false">IF($C227="","",IF(MID($C227,5,1)="S","S(봄)",IF(MID($C227,5,1)="M","M(여름)",IF(MID($C227,5,1)="X","X(사계절)",MID($C227,5,1)))))</f>
        <v>M(여름)</v>
      </c>
      <c r="F227" s="29" t="s">
        <v>106</v>
      </c>
      <c r="G227" s="31"/>
      <c r="H227" s="28" t="str">
        <f aca="false">IF($C227="","",REPLACE($C227,6,2,"26"))</f>
        <v>8UTBM26101</v>
      </c>
      <c r="I227" s="32" t="str">
        <f aca="false">IFERROR(INDEX(전년출고참조!$B$4:$B$638,MATCH($H227,전년출고참조!$A$4:$A$638,0)),"")</f>
        <v/>
      </c>
      <c r="J227" s="32" t="n">
        <v>46392</v>
      </c>
      <c r="K227" s="32" t="n">
        <f aca="false">IF($G227&lt;&gt;"",IFERROR(DATE(IF(VALUE(LEFT($G227,FIND("월",$G227)-1))&gt;=9,기준정보!$C$6-1,기준정보!$C$6),VALUE(LEFT($G227,FIND("월",$G227)-1)),1+7*(VALUE(SUBSTITUTE(MID($G227,FIND("월",$G227)+1,5),"주",""))-1)),""),IF($I227&lt;&gt;"",IF(ISNUMBER($I227),$I227+364,IFERROR(DATE(IF(VALUE(LEFT($I227,FIND("월",$I227)-1))&gt;=9,기준정보!$C$6-1,기준정보!$C$6),VALUE(LEFT($I227,FIND("월",$I227)-1)),1+7*(VALUE(SUBSTITUTE(MID($I227,FIND("월",$I227)+1,5),"주",""))-1)),"")),IF($J227&lt;&gt;"",$J227,"")))</f>
        <v>46392</v>
      </c>
      <c r="L227" s="28" t="str">
        <f aca="false">IF($G227&lt;&gt;"","계획 주차",IF($I227&lt;&gt;"","전년+1년 예측",IF($J227&lt;&gt;"","전산 입고계획(참고)","미정")))</f>
        <v>전산 입고계획(참고)</v>
      </c>
      <c r="M227" s="32" t="n">
        <f aca="false">IF($K227="","",$K227-기준정보!$C$5)</f>
        <v>46302</v>
      </c>
      <c r="N227" s="33" t="n">
        <f aca="false">IF($M227="","",$M227-기준정보!$C$4)</f>
        <v>61</v>
      </c>
      <c r="O227" s="31" t="s">
        <v>108</v>
      </c>
      <c r="P227" s="20"/>
      <c r="Q227" s="30" t="str">
        <f aca="false">IF($F227="","",IF(AND(ISNUMBER(SEARCH("CMT",$F227)),OR(ISNUMBER(SEARCH("사입",$F227)),ISNUMBER(SEARCH("Buying",$F227)))),"본사/생산처 혼재",IF(ISNUMBER(SEARCH("CMT",$F227)),"본사(소재팀)","생산처")))</f>
        <v>생산처</v>
      </c>
      <c r="R227" s="29" t="s">
        <v>352</v>
      </c>
      <c r="S227" s="29" t="s">
        <v>195</v>
      </c>
      <c r="T227" s="30" t="str">
        <f aca="false">IF($K227="","출고일 미정",IF($O227="X","작지(일매) 미등록",IF($O227="부분","작지(일매) 일부 미등록",IF(AND($P227&lt;&gt;"",$P227&gt;$M227),"소재입고 마감("&amp;TEXT($M227,"MM/DD")&amp;") 초과",IF($O227="","일매 등록여부 확인 필요",IF($P227="","소재 입고일정 확인 필요","정상"))))))</f>
        <v>소재 입고일정 확인 필요</v>
      </c>
      <c r="U227" s="28" t="str">
        <f aca="false">IF($K227="","",IF(OR(LEFT($T227,2)="작지",LEFT($T227,4)="소재입고"),IF(LEFT($E227,1)="S","★ 납기위험(S코드)","◆ 지연주의"),IF($T227="정상","✓ 정상","? 확인필요")))</f>
        <v>? 확인필요</v>
      </c>
      <c r="V227" s="31"/>
      <c r="W227" s="19"/>
    </row>
    <row r="228" customFormat="false" ht="15" hidden="false" customHeight="true" outlineLevel="0" collapsed="false">
      <c r="A228" s="28" t="n">
        <v>224</v>
      </c>
      <c r="B228" s="29" t="s">
        <v>320</v>
      </c>
      <c r="C228" s="30" t="s">
        <v>585</v>
      </c>
      <c r="D228" s="30" t="s">
        <v>586</v>
      </c>
      <c r="E228" s="28" t="str">
        <f aca="false">IF($C228="","",IF(MID($C228,5,1)="S","S(봄)",IF(MID($C228,5,1)="M","M(여름)",IF(MID($C228,5,1)="X","X(사계절)",MID($C228,5,1)))))</f>
        <v>M(여름)</v>
      </c>
      <c r="F228" s="29" t="s">
        <v>106</v>
      </c>
      <c r="G228" s="31"/>
      <c r="H228" s="28" t="str">
        <f aca="false">IF($C228="","",REPLACE($C228,6,2,"26"))</f>
        <v>8UTBM26111</v>
      </c>
      <c r="I228" s="32" t="str">
        <f aca="false">IFERROR(INDEX(전년출고참조!$B$4:$B$638,MATCH($H228,전년출고참조!$A$4:$A$638,0)),"")</f>
        <v/>
      </c>
      <c r="J228" s="32" t="n">
        <v>46392</v>
      </c>
      <c r="K228" s="32" t="n">
        <f aca="false">IF($G228&lt;&gt;"",IFERROR(DATE(IF(VALUE(LEFT($G228,FIND("월",$G228)-1))&gt;=9,기준정보!$C$6-1,기준정보!$C$6),VALUE(LEFT($G228,FIND("월",$G228)-1)),1+7*(VALUE(SUBSTITUTE(MID($G228,FIND("월",$G228)+1,5),"주",""))-1)),""),IF($I228&lt;&gt;"",IF(ISNUMBER($I228),$I228+364,IFERROR(DATE(IF(VALUE(LEFT($I228,FIND("월",$I228)-1))&gt;=9,기준정보!$C$6-1,기준정보!$C$6),VALUE(LEFT($I228,FIND("월",$I228)-1)),1+7*(VALUE(SUBSTITUTE(MID($I228,FIND("월",$I228)+1,5),"주",""))-1)),"")),IF($J228&lt;&gt;"",$J228,"")))</f>
        <v>46392</v>
      </c>
      <c r="L228" s="28" t="str">
        <f aca="false">IF($G228&lt;&gt;"","계획 주차",IF($I228&lt;&gt;"","전년+1년 예측",IF($J228&lt;&gt;"","전산 입고계획(참고)","미정")))</f>
        <v>전산 입고계획(참고)</v>
      </c>
      <c r="M228" s="32" t="n">
        <f aca="false">IF($K228="","",$K228-기준정보!$C$5)</f>
        <v>46302</v>
      </c>
      <c r="N228" s="33" t="n">
        <f aca="false">IF($M228="","",$M228-기준정보!$C$4)</f>
        <v>61</v>
      </c>
      <c r="O228" s="31" t="s">
        <v>108</v>
      </c>
      <c r="P228" s="20"/>
      <c r="Q228" s="30" t="str">
        <f aca="false">IF($F228="","",IF(AND(ISNUMBER(SEARCH("CMT",$F228)),OR(ISNUMBER(SEARCH("사입",$F228)),ISNUMBER(SEARCH("Buying",$F228)))),"본사/생산처 혼재",IF(ISNUMBER(SEARCH("CMT",$F228)),"본사(소재팀)","생산처")))</f>
        <v>생산처</v>
      </c>
      <c r="R228" s="29" t="s">
        <v>352</v>
      </c>
      <c r="S228" s="29" t="s">
        <v>195</v>
      </c>
      <c r="T228" s="30" t="str">
        <f aca="false">IF($K228="","출고일 미정",IF($O228="X","작지(일매) 미등록",IF($O228="부분","작지(일매) 일부 미등록",IF(AND($P228&lt;&gt;"",$P228&gt;$M228),"소재입고 마감("&amp;TEXT($M228,"MM/DD")&amp;") 초과",IF($O228="","일매 등록여부 확인 필요",IF($P228="","소재 입고일정 확인 필요","정상"))))))</f>
        <v>소재 입고일정 확인 필요</v>
      </c>
      <c r="U228" s="28" t="str">
        <f aca="false">IF($K228="","",IF(OR(LEFT($T228,2)="작지",LEFT($T228,4)="소재입고"),IF(LEFT($E228,1)="S","★ 납기위험(S코드)","◆ 지연주의"),IF($T228="정상","✓ 정상","? 확인필요")))</f>
        <v>? 확인필요</v>
      </c>
      <c r="V228" s="31"/>
      <c r="W228" s="19"/>
    </row>
    <row r="229" customFormat="false" ht="15" hidden="false" customHeight="true" outlineLevel="0" collapsed="false">
      <c r="A229" s="28" t="n">
        <v>225</v>
      </c>
      <c r="B229" s="29" t="s">
        <v>320</v>
      </c>
      <c r="C229" s="30" t="s">
        <v>587</v>
      </c>
      <c r="D229" s="30" t="s">
        <v>588</v>
      </c>
      <c r="E229" s="28" t="str">
        <f aca="false">IF($C229="","",IF(MID($C229,5,1)="S","S(봄)",IF(MID($C229,5,1)="M","M(여름)",IF(MID($C229,5,1)="X","X(사계절)",MID($C229,5,1)))))</f>
        <v>M(여름)</v>
      </c>
      <c r="F229" s="29" t="s">
        <v>106</v>
      </c>
      <c r="G229" s="31"/>
      <c r="H229" s="28" t="str">
        <f aca="false">IF($C229="","",REPLACE($C229,6,2,"26"))</f>
        <v>8UTCM26101</v>
      </c>
      <c r="I229" s="32" t="str">
        <f aca="false">IFERROR(INDEX(전년출고참조!$B$4:$B$638,MATCH($H229,전년출고참조!$A$4:$A$638,0)),"")</f>
        <v/>
      </c>
      <c r="J229" s="32" t="n">
        <v>46392</v>
      </c>
      <c r="K229" s="32" t="n">
        <f aca="false">IF($G229&lt;&gt;"",IFERROR(DATE(IF(VALUE(LEFT($G229,FIND("월",$G229)-1))&gt;=9,기준정보!$C$6-1,기준정보!$C$6),VALUE(LEFT($G229,FIND("월",$G229)-1)),1+7*(VALUE(SUBSTITUTE(MID($G229,FIND("월",$G229)+1,5),"주",""))-1)),""),IF($I229&lt;&gt;"",IF(ISNUMBER($I229),$I229+364,IFERROR(DATE(IF(VALUE(LEFT($I229,FIND("월",$I229)-1))&gt;=9,기준정보!$C$6-1,기준정보!$C$6),VALUE(LEFT($I229,FIND("월",$I229)-1)),1+7*(VALUE(SUBSTITUTE(MID($I229,FIND("월",$I229)+1,5),"주",""))-1)),"")),IF($J229&lt;&gt;"",$J229,"")))</f>
        <v>46392</v>
      </c>
      <c r="L229" s="28" t="str">
        <f aca="false">IF($G229&lt;&gt;"","계획 주차",IF($I229&lt;&gt;"","전년+1년 예측",IF($J229&lt;&gt;"","전산 입고계획(참고)","미정")))</f>
        <v>전산 입고계획(참고)</v>
      </c>
      <c r="M229" s="32" t="n">
        <f aca="false">IF($K229="","",$K229-기준정보!$C$5)</f>
        <v>46302</v>
      </c>
      <c r="N229" s="33" t="n">
        <f aca="false">IF($M229="","",$M229-기준정보!$C$4)</f>
        <v>61</v>
      </c>
      <c r="O229" s="31" t="s">
        <v>108</v>
      </c>
      <c r="P229" s="20"/>
      <c r="Q229" s="30" t="str">
        <f aca="false">IF($F229="","",IF(AND(ISNUMBER(SEARCH("CMT",$F229)),OR(ISNUMBER(SEARCH("사입",$F229)),ISNUMBER(SEARCH("Buying",$F229)))),"본사/생산처 혼재",IF(ISNUMBER(SEARCH("CMT",$F229)),"본사(소재팀)","생산처")))</f>
        <v>생산처</v>
      </c>
      <c r="R229" s="29" t="s">
        <v>123</v>
      </c>
      <c r="S229" s="29" t="s">
        <v>120</v>
      </c>
      <c r="T229" s="30" t="str">
        <f aca="false">IF($K229="","출고일 미정",IF($O229="X","작지(일매) 미등록",IF($O229="부분","작지(일매) 일부 미등록",IF(AND($P229&lt;&gt;"",$P229&gt;$M229),"소재입고 마감("&amp;TEXT($M229,"MM/DD")&amp;") 초과",IF($O229="","일매 등록여부 확인 필요",IF($P229="","소재 입고일정 확인 필요","정상"))))))</f>
        <v>소재 입고일정 확인 필요</v>
      </c>
      <c r="U229" s="28" t="str">
        <f aca="false">IF($K229="","",IF(OR(LEFT($T229,2)="작지",LEFT($T229,4)="소재입고"),IF(LEFT($E229,1)="S","★ 납기위험(S코드)","◆ 지연주의"),IF($T229="정상","✓ 정상","? 확인필요")))</f>
        <v>? 확인필요</v>
      </c>
      <c r="V229" s="31"/>
      <c r="W229" s="19"/>
    </row>
    <row r="230" customFormat="false" ht="15" hidden="false" customHeight="true" outlineLevel="0" collapsed="false">
      <c r="A230" s="28" t="n">
        <v>226</v>
      </c>
      <c r="B230" s="29" t="s">
        <v>320</v>
      </c>
      <c r="C230" s="30" t="s">
        <v>589</v>
      </c>
      <c r="D230" s="30" t="s">
        <v>590</v>
      </c>
      <c r="E230" s="28" t="str">
        <f aca="false">IF($C230="","",IF(MID($C230,5,1)="S","S(봄)",IF(MID($C230,5,1)="M","M(여름)",IF(MID($C230,5,1)="X","X(사계절)",MID($C230,5,1)))))</f>
        <v>M(여름)</v>
      </c>
      <c r="F230" s="29" t="s">
        <v>106</v>
      </c>
      <c r="G230" s="31"/>
      <c r="H230" s="28" t="str">
        <f aca="false">IF($C230="","",REPLACE($C230,6,2,"26"))</f>
        <v>8UTCM26105</v>
      </c>
      <c r="I230" s="32" t="str">
        <f aca="false">IFERROR(INDEX(전년출고참조!$B$4:$B$638,MATCH($H230,전년출고참조!$A$4:$A$638,0)),"")</f>
        <v/>
      </c>
      <c r="J230" s="32" t="n">
        <v>46392</v>
      </c>
      <c r="K230" s="32" t="n">
        <f aca="false">IF($G230&lt;&gt;"",IFERROR(DATE(IF(VALUE(LEFT($G230,FIND("월",$G230)-1))&gt;=9,기준정보!$C$6-1,기준정보!$C$6),VALUE(LEFT($G230,FIND("월",$G230)-1)),1+7*(VALUE(SUBSTITUTE(MID($G230,FIND("월",$G230)+1,5),"주",""))-1)),""),IF($I230&lt;&gt;"",IF(ISNUMBER($I230),$I230+364,IFERROR(DATE(IF(VALUE(LEFT($I230,FIND("월",$I230)-1))&gt;=9,기준정보!$C$6-1,기준정보!$C$6),VALUE(LEFT($I230,FIND("월",$I230)-1)),1+7*(VALUE(SUBSTITUTE(MID($I230,FIND("월",$I230)+1,5),"주",""))-1)),"")),IF($J230&lt;&gt;"",$J230,"")))</f>
        <v>46392</v>
      </c>
      <c r="L230" s="28" t="str">
        <f aca="false">IF($G230&lt;&gt;"","계획 주차",IF($I230&lt;&gt;"","전년+1년 예측",IF($J230&lt;&gt;"","전산 입고계획(참고)","미정")))</f>
        <v>전산 입고계획(참고)</v>
      </c>
      <c r="M230" s="32" t="n">
        <f aca="false">IF($K230="","",$K230-기준정보!$C$5)</f>
        <v>46302</v>
      </c>
      <c r="N230" s="33" t="n">
        <f aca="false">IF($M230="","",$M230-기준정보!$C$4)</f>
        <v>61</v>
      </c>
      <c r="O230" s="31" t="s">
        <v>108</v>
      </c>
      <c r="P230" s="20"/>
      <c r="Q230" s="30" t="str">
        <f aca="false">IF($F230="","",IF(AND(ISNUMBER(SEARCH("CMT",$F230)),OR(ISNUMBER(SEARCH("사입",$F230)),ISNUMBER(SEARCH("Buying",$F230)))),"본사/생산처 혼재",IF(ISNUMBER(SEARCH("CMT",$F230)),"본사(소재팀)","생산처")))</f>
        <v>생산처</v>
      </c>
      <c r="R230" s="29" t="s">
        <v>352</v>
      </c>
      <c r="S230" s="29" t="s">
        <v>355</v>
      </c>
      <c r="T230" s="30" t="str">
        <f aca="false">IF($K230="","출고일 미정",IF($O230="X","작지(일매) 미등록",IF($O230="부분","작지(일매) 일부 미등록",IF(AND($P230&lt;&gt;"",$P230&gt;$M230),"소재입고 마감("&amp;TEXT($M230,"MM/DD")&amp;") 초과",IF($O230="","일매 등록여부 확인 필요",IF($P230="","소재 입고일정 확인 필요","정상"))))))</f>
        <v>소재 입고일정 확인 필요</v>
      </c>
      <c r="U230" s="28" t="str">
        <f aca="false">IF($K230="","",IF(OR(LEFT($T230,2)="작지",LEFT($T230,4)="소재입고"),IF(LEFT($E230,1)="S","★ 납기위험(S코드)","◆ 지연주의"),IF($T230="정상","✓ 정상","? 확인필요")))</f>
        <v>? 확인필요</v>
      </c>
      <c r="V230" s="31"/>
      <c r="W230" s="19"/>
    </row>
    <row r="231" customFormat="false" ht="15" hidden="false" customHeight="true" outlineLevel="0" collapsed="false">
      <c r="A231" s="28" t="n">
        <v>227</v>
      </c>
      <c r="B231" s="29" t="s">
        <v>320</v>
      </c>
      <c r="C231" s="30" t="s">
        <v>591</v>
      </c>
      <c r="D231" s="30" t="s">
        <v>592</v>
      </c>
      <c r="E231" s="28" t="str">
        <f aca="false">IF($C231="","",IF(MID($C231,5,1)="S","S(봄)",IF(MID($C231,5,1)="M","M(여름)",IF(MID($C231,5,1)="X","X(사계절)",MID($C231,5,1)))))</f>
        <v>M(여름)</v>
      </c>
      <c r="F231" s="29" t="s">
        <v>106</v>
      </c>
      <c r="G231" s="31"/>
      <c r="H231" s="28" t="str">
        <f aca="false">IF($C231="","",REPLACE($C231,6,2,"26"))</f>
        <v>8UTCM26111</v>
      </c>
      <c r="I231" s="32" t="str">
        <f aca="false">IFERROR(INDEX(전년출고참조!$B$4:$B$638,MATCH($H231,전년출고참조!$A$4:$A$638,0)),"")</f>
        <v/>
      </c>
      <c r="J231" s="32" t="n">
        <v>46392</v>
      </c>
      <c r="K231" s="32" t="n">
        <f aca="false">IF($G231&lt;&gt;"",IFERROR(DATE(IF(VALUE(LEFT($G231,FIND("월",$G231)-1))&gt;=9,기준정보!$C$6-1,기준정보!$C$6),VALUE(LEFT($G231,FIND("월",$G231)-1)),1+7*(VALUE(SUBSTITUTE(MID($G231,FIND("월",$G231)+1,5),"주",""))-1)),""),IF($I231&lt;&gt;"",IF(ISNUMBER($I231),$I231+364,IFERROR(DATE(IF(VALUE(LEFT($I231,FIND("월",$I231)-1))&gt;=9,기준정보!$C$6-1,기준정보!$C$6),VALUE(LEFT($I231,FIND("월",$I231)-1)),1+7*(VALUE(SUBSTITUTE(MID($I231,FIND("월",$I231)+1,5),"주",""))-1)),"")),IF($J231&lt;&gt;"",$J231,"")))</f>
        <v>46392</v>
      </c>
      <c r="L231" s="28" t="str">
        <f aca="false">IF($G231&lt;&gt;"","계획 주차",IF($I231&lt;&gt;"","전년+1년 예측",IF($J231&lt;&gt;"","전산 입고계획(참고)","미정")))</f>
        <v>전산 입고계획(참고)</v>
      </c>
      <c r="M231" s="32" t="n">
        <f aca="false">IF($K231="","",$K231-기준정보!$C$5)</f>
        <v>46302</v>
      </c>
      <c r="N231" s="33" t="n">
        <f aca="false">IF($M231="","",$M231-기준정보!$C$4)</f>
        <v>61</v>
      </c>
      <c r="O231" s="31" t="s">
        <v>108</v>
      </c>
      <c r="P231" s="20"/>
      <c r="Q231" s="30" t="str">
        <f aca="false">IF($F231="","",IF(AND(ISNUMBER(SEARCH("CMT",$F231)),OR(ISNUMBER(SEARCH("사입",$F231)),ISNUMBER(SEARCH("Buying",$F231)))),"본사/생산처 혼재",IF(ISNUMBER(SEARCH("CMT",$F231)),"본사(소재팀)","생산처")))</f>
        <v>생산처</v>
      </c>
      <c r="R231" s="29" t="s">
        <v>156</v>
      </c>
      <c r="S231" s="29" t="s">
        <v>110</v>
      </c>
      <c r="T231" s="30" t="str">
        <f aca="false">IF($K231="","출고일 미정",IF($O231="X","작지(일매) 미등록",IF($O231="부분","작지(일매) 일부 미등록",IF(AND($P231&lt;&gt;"",$P231&gt;$M231),"소재입고 마감("&amp;TEXT($M231,"MM/DD")&amp;") 초과",IF($O231="","일매 등록여부 확인 필요",IF($P231="","소재 입고일정 확인 필요","정상"))))))</f>
        <v>소재 입고일정 확인 필요</v>
      </c>
      <c r="U231" s="28" t="str">
        <f aca="false">IF($K231="","",IF(OR(LEFT($T231,2)="작지",LEFT($T231,4)="소재입고"),IF(LEFT($E231,1)="S","★ 납기위험(S코드)","◆ 지연주의"),IF($T231="정상","✓ 정상","? 확인필요")))</f>
        <v>? 확인필요</v>
      </c>
      <c r="V231" s="31"/>
      <c r="W231" s="19"/>
    </row>
    <row r="232" customFormat="false" ht="15" hidden="false" customHeight="true" outlineLevel="0" collapsed="false">
      <c r="A232" s="28" t="n">
        <v>228</v>
      </c>
      <c r="B232" s="29" t="s">
        <v>320</v>
      </c>
      <c r="C232" s="30" t="s">
        <v>593</v>
      </c>
      <c r="D232" s="30" t="s">
        <v>594</v>
      </c>
      <c r="E232" s="28" t="str">
        <f aca="false">IF($C232="","",IF(MID($C232,5,1)="S","S(봄)",IF(MID($C232,5,1)="M","M(여름)",IF(MID($C232,5,1)="X","X(사계절)",MID($C232,5,1)))))</f>
        <v>M(여름)</v>
      </c>
      <c r="F232" s="29" t="s">
        <v>106</v>
      </c>
      <c r="G232" s="31"/>
      <c r="H232" s="28" t="str">
        <f aca="false">IF($C232="","",REPLACE($C232,6,2,"26"))</f>
        <v>8UTCM26113</v>
      </c>
      <c r="I232" s="32" t="str">
        <f aca="false">IFERROR(INDEX(전년출고참조!$B$4:$B$638,MATCH($H232,전년출고참조!$A$4:$A$638,0)),"")</f>
        <v/>
      </c>
      <c r="J232" s="32" t="n">
        <v>46392</v>
      </c>
      <c r="K232" s="32" t="n">
        <f aca="false">IF($G232&lt;&gt;"",IFERROR(DATE(IF(VALUE(LEFT($G232,FIND("월",$G232)-1))&gt;=9,기준정보!$C$6-1,기준정보!$C$6),VALUE(LEFT($G232,FIND("월",$G232)-1)),1+7*(VALUE(SUBSTITUTE(MID($G232,FIND("월",$G232)+1,5),"주",""))-1)),""),IF($I232&lt;&gt;"",IF(ISNUMBER($I232),$I232+364,IFERROR(DATE(IF(VALUE(LEFT($I232,FIND("월",$I232)-1))&gt;=9,기준정보!$C$6-1,기준정보!$C$6),VALUE(LEFT($I232,FIND("월",$I232)-1)),1+7*(VALUE(SUBSTITUTE(MID($I232,FIND("월",$I232)+1,5),"주",""))-1)),"")),IF($J232&lt;&gt;"",$J232,"")))</f>
        <v>46392</v>
      </c>
      <c r="L232" s="28" t="str">
        <f aca="false">IF($G232&lt;&gt;"","계획 주차",IF($I232&lt;&gt;"","전년+1년 예측",IF($J232&lt;&gt;"","전산 입고계획(참고)","미정")))</f>
        <v>전산 입고계획(참고)</v>
      </c>
      <c r="M232" s="32" t="n">
        <f aca="false">IF($K232="","",$K232-기준정보!$C$5)</f>
        <v>46302</v>
      </c>
      <c r="N232" s="33" t="n">
        <f aca="false">IF($M232="","",$M232-기준정보!$C$4)</f>
        <v>61</v>
      </c>
      <c r="O232" s="31" t="s">
        <v>114</v>
      </c>
      <c r="P232" s="20"/>
      <c r="Q232" s="30" t="str">
        <f aca="false">IF($F232="","",IF(AND(ISNUMBER(SEARCH("CMT",$F232)),OR(ISNUMBER(SEARCH("사입",$F232)),ISNUMBER(SEARCH("Buying",$F232)))),"본사/생산처 혼재",IF(ISNUMBER(SEARCH("CMT",$F232)),"본사(소재팀)","생산처")))</f>
        <v>생산처</v>
      </c>
      <c r="R232" s="29" t="s">
        <v>352</v>
      </c>
      <c r="S232" s="29" t="s">
        <v>355</v>
      </c>
      <c r="T232" s="30" t="str">
        <f aca="false">IF($K232="","출고일 미정",IF($O232="X","작지(일매) 미등록",IF($O232="부분","작지(일매) 일부 미등록",IF(AND($P232&lt;&gt;"",$P232&gt;$M232),"소재입고 마감("&amp;TEXT($M232,"MM/DD")&amp;") 초과",IF($O232="","일매 등록여부 확인 필요",IF($P232="","소재 입고일정 확인 필요","정상"))))))</f>
        <v>작지(일매) 미등록</v>
      </c>
      <c r="U232" s="28" t="str">
        <f aca="false">IF($K232="","",IF(OR(LEFT($T232,2)="작지",LEFT($T232,4)="소재입고"),IF(LEFT($E232,1)="S","★ 납기위험(S코드)","◆ 지연주의"),IF($T232="정상","✓ 정상","? 확인필요")))</f>
        <v>◆ 지연주의</v>
      </c>
      <c r="V232" s="31"/>
      <c r="W232" s="19"/>
    </row>
    <row r="233" customFormat="false" ht="15" hidden="false" customHeight="true" outlineLevel="0" collapsed="false">
      <c r="A233" s="28" t="n">
        <v>229</v>
      </c>
      <c r="B233" s="29" t="s">
        <v>320</v>
      </c>
      <c r="C233" s="30" t="s">
        <v>595</v>
      </c>
      <c r="D233" s="30" t="s">
        <v>596</v>
      </c>
      <c r="E233" s="28" t="str">
        <f aca="false">IF($C233="","",IF(MID($C233,5,1)="S","S(봄)",IF(MID($C233,5,1)="M","M(여름)",IF(MID($C233,5,1)="X","X(사계절)",MID($C233,5,1)))))</f>
        <v>M(여름)</v>
      </c>
      <c r="F233" s="29" t="s">
        <v>106</v>
      </c>
      <c r="G233" s="31"/>
      <c r="H233" s="28" t="str">
        <f aca="false">IF($C233="","",REPLACE($C233,6,2,"26"))</f>
        <v>8UTCM26115</v>
      </c>
      <c r="I233" s="32" t="str">
        <f aca="false">IFERROR(INDEX(전년출고참조!$B$4:$B$638,MATCH($H233,전년출고참조!$A$4:$A$638,0)),"")</f>
        <v/>
      </c>
      <c r="J233" s="32" t="n">
        <v>46392</v>
      </c>
      <c r="K233" s="32" t="n">
        <f aca="false">IF($G233&lt;&gt;"",IFERROR(DATE(IF(VALUE(LEFT($G233,FIND("월",$G233)-1))&gt;=9,기준정보!$C$6-1,기준정보!$C$6),VALUE(LEFT($G233,FIND("월",$G233)-1)),1+7*(VALUE(SUBSTITUTE(MID($G233,FIND("월",$G233)+1,5),"주",""))-1)),""),IF($I233&lt;&gt;"",IF(ISNUMBER($I233),$I233+364,IFERROR(DATE(IF(VALUE(LEFT($I233,FIND("월",$I233)-1))&gt;=9,기준정보!$C$6-1,기준정보!$C$6),VALUE(LEFT($I233,FIND("월",$I233)-1)),1+7*(VALUE(SUBSTITUTE(MID($I233,FIND("월",$I233)+1,5),"주",""))-1)),"")),IF($J233&lt;&gt;"",$J233,"")))</f>
        <v>46392</v>
      </c>
      <c r="L233" s="28" t="str">
        <f aca="false">IF($G233&lt;&gt;"","계획 주차",IF($I233&lt;&gt;"","전년+1년 예측",IF($J233&lt;&gt;"","전산 입고계획(참고)","미정")))</f>
        <v>전산 입고계획(참고)</v>
      </c>
      <c r="M233" s="32" t="n">
        <f aca="false">IF($K233="","",$K233-기준정보!$C$5)</f>
        <v>46302</v>
      </c>
      <c r="N233" s="33" t="n">
        <f aca="false">IF($M233="","",$M233-기준정보!$C$4)</f>
        <v>61</v>
      </c>
      <c r="O233" s="31" t="s">
        <v>114</v>
      </c>
      <c r="P233" s="20"/>
      <c r="Q233" s="30" t="str">
        <f aca="false">IF($F233="","",IF(AND(ISNUMBER(SEARCH("CMT",$F233)),OR(ISNUMBER(SEARCH("사입",$F233)),ISNUMBER(SEARCH("Buying",$F233)))),"본사/생산처 혼재",IF(ISNUMBER(SEARCH("CMT",$F233)),"본사(소재팀)","생산처")))</f>
        <v>생산처</v>
      </c>
      <c r="R233" s="29" t="s">
        <v>352</v>
      </c>
      <c r="S233" s="29" t="s">
        <v>355</v>
      </c>
      <c r="T233" s="30" t="str">
        <f aca="false">IF($K233="","출고일 미정",IF($O233="X","작지(일매) 미등록",IF($O233="부분","작지(일매) 일부 미등록",IF(AND($P233&lt;&gt;"",$P233&gt;$M233),"소재입고 마감("&amp;TEXT($M233,"MM/DD")&amp;") 초과",IF($O233="","일매 등록여부 확인 필요",IF($P233="","소재 입고일정 확인 필요","정상"))))))</f>
        <v>작지(일매) 미등록</v>
      </c>
      <c r="U233" s="28" t="str">
        <f aca="false">IF($K233="","",IF(OR(LEFT($T233,2)="작지",LEFT($T233,4)="소재입고"),IF(LEFT($E233,1)="S","★ 납기위험(S코드)","◆ 지연주의"),IF($T233="정상","✓ 정상","? 확인필요")))</f>
        <v>◆ 지연주의</v>
      </c>
      <c r="V233" s="31"/>
      <c r="W233" s="19"/>
    </row>
    <row r="234" customFormat="false" ht="15" hidden="false" customHeight="true" outlineLevel="0" collapsed="false">
      <c r="A234" s="28" t="n">
        <v>230</v>
      </c>
      <c r="B234" s="29" t="s">
        <v>227</v>
      </c>
      <c r="C234" s="30" t="s">
        <v>597</v>
      </c>
      <c r="D234" s="29" t="s">
        <v>513</v>
      </c>
      <c r="E234" s="28" t="str">
        <f aca="false">IF($C234="","",IF(MID($C234,5,1)="S","S(봄)",IF(MID($C234,5,1)="M","M(여름)",IF(MID($C234,5,1)="X","X(사계절)",MID($C234,5,1)))))</f>
        <v>M(여름)</v>
      </c>
      <c r="F234" s="30" t="s">
        <v>113</v>
      </c>
      <c r="G234" s="31"/>
      <c r="H234" s="28" t="str">
        <f aca="false">IF($C234="","",REPLACE($C234,6,2,"26"))</f>
        <v>JKTBM26122</v>
      </c>
      <c r="I234" s="32" t="str">
        <f aca="false">IFERROR(INDEX(전년출고참조!$B$4:$B$638,MATCH($H234,전년출고참조!$A$4:$A$638,0)),"")</f>
        <v/>
      </c>
      <c r="J234" s="32" t="n">
        <v>46398</v>
      </c>
      <c r="K234" s="32" t="n">
        <f aca="false">IF($G234&lt;&gt;"",IFERROR(DATE(IF(VALUE(LEFT($G234,FIND("월",$G234)-1))&gt;=9,기준정보!$C$6-1,기준정보!$C$6),VALUE(LEFT($G234,FIND("월",$G234)-1)),1+7*(VALUE(SUBSTITUTE(MID($G234,FIND("월",$G234)+1,5),"주",""))-1)),""),IF($I234&lt;&gt;"",IF(ISNUMBER($I234),$I234+364,IFERROR(DATE(IF(VALUE(LEFT($I234,FIND("월",$I234)-1))&gt;=9,기준정보!$C$6-1,기준정보!$C$6),VALUE(LEFT($I234,FIND("월",$I234)-1)),1+7*(VALUE(SUBSTITUTE(MID($I234,FIND("월",$I234)+1,5),"주",""))-1)),"")),IF($J234&lt;&gt;"",$J234,"")))</f>
        <v>46398</v>
      </c>
      <c r="L234" s="28" t="str">
        <f aca="false">IF($G234&lt;&gt;"","계획 주차",IF($I234&lt;&gt;"","전년+1년 예측",IF($J234&lt;&gt;"","전산 입고계획(참고)","미정")))</f>
        <v>전산 입고계획(참고)</v>
      </c>
      <c r="M234" s="32" t="n">
        <f aca="false">IF($K234="","",$K234-기준정보!$C$5)</f>
        <v>46308</v>
      </c>
      <c r="N234" s="33" t="n">
        <f aca="false">IF($M234="","",$M234-기준정보!$C$4)</f>
        <v>67</v>
      </c>
      <c r="O234" s="31" t="s">
        <v>114</v>
      </c>
      <c r="P234" s="20"/>
      <c r="Q234" s="30" t="str">
        <f aca="false">IF($F234="","",IF(AND(ISNUMBER(SEARCH("CMT",$F234)),OR(ISNUMBER(SEARCH("사입",$F234)),ISNUMBER(SEARCH("Buying",$F234)))),"본사/생산처 혼재",IF(ISNUMBER(SEARCH("CMT",$F234)),"본사(소재팀)","생산처")))</f>
        <v>생산처</v>
      </c>
      <c r="R234" s="29" t="s">
        <v>598</v>
      </c>
      <c r="S234" s="29" t="s">
        <v>120</v>
      </c>
      <c r="T234" s="30" t="str">
        <f aca="false">IF($K234="","출고일 미정",IF($O234="X","작지(일매) 미등록",IF($O234="부분","작지(일매) 일부 미등록",IF(AND($P234&lt;&gt;"",$P234&gt;$M234),"소재입고 마감("&amp;TEXT($M234,"MM/DD")&amp;") 초과",IF($O234="","일매 등록여부 확인 필요",IF($P234="","소재 입고일정 확인 필요","정상"))))))</f>
        <v>작지(일매) 미등록</v>
      </c>
      <c r="U234" s="28" t="str">
        <f aca="false">IF($K234="","",IF(OR(LEFT($T234,2)="작지",LEFT($T234,4)="소재입고"),IF(LEFT($E234,1)="S","★ 납기위험(S코드)","◆ 지연주의"),IF($T234="정상","✓ 정상","? 확인필요")))</f>
        <v>◆ 지연주의</v>
      </c>
      <c r="V234" s="31"/>
      <c r="W234" s="19"/>
    </row>
    <row r="235" customFormat="false" ht="15" hidden="false" customHeight="true" outlineLevel="0" collapsed="false">
      <c r="A235" s="28" t="n">
        <v>231</v>
      </c>
      <c r="B235" s="29" t="s">
        <v>294</v>
      </c>
      <c r="C235" s="30" t="s">
        <v>599</v>
      </c>
      <c r="D235" s="29" t="s">
        <v>600</v>
      </c>
      <c r="E235" s="28" t="str">
        <f aca="false">IF($C235="","",IF(MID($C235,5,1)="S","S(봄)",IF(MID($C235,5,1)="M","M(여름)",IF(MID($C235,5,1)="X","X(사계절)",MID($C235,5,1)))))</f>
        <v>M(여름)</v>
      </c>
      <c r="F235" s="29" t="s">
        <v>106</v>
      </c>
      <c r="G235" s="31"/>
      <c r="H235" s="28" t="str">
        <f aca="false">IF($C235="","",REPLACE($C235,6,2,"26"))</f>
        <v>TLTBM26501</v>
      </c>
      <c r="I235" s="32" t="str">
        <f aca="false">IFERROR(INDEX(전년출고참조!$B$4:$B$638,MATCH($H235,전년출고참조!$A$4:$A$638,0)),"")</f>
        <v/>
      </c>
      <c r="J235" s="32" t="n">
        <v>46398</v>
      </c>
      <c r="K235" s="32" t="n">
        <f aca="false">IF($G235&lt;&gt;"",IFERROR(DATE(IF(VALUE(LEFT($G235,FIND("월",$G235)-1))&gt;=9,기준정보!$C$6-1,기준정보!$C$6),VALUE(LEFT($G235,FIND("월",$G235)-1)),1+7*(VALUE(SUBSTITUTE(MID($G235,FIND("월",$G235)+1,5),"주",""))-1)),""),IF($I235&lt;&gt;"",IF(ISNUMBER($I235),$I235+364,IFERROR(DATE(IF(VALUE(LEFT($I235,FIND("월",$I235)-1))&gt;=9,기준정보!$C$6-1,기준정보!$C$6),VALUE(LEFT($I235,FIND("월",$I235)-1)),1+7*(VALUE(SUBSTITUTE(MID($I235,FIND("월",$I235)+1,5),"주",""))-1)),"")),IF($J235&lt;&gt;"",$J235,"")))</f>
        <v>46398</v>
      </c>
      <c r="L235" s="28" t="str">
        <f aca="false">IF($G235&lt;&gt;"","계획 주차",IF($I235&lt;&gt;"","전년+1년 예측",IF($J235&lt;&gt;"","전산 입고계획(참고)","미정")))</f>
        <v>전산 입고계획(참고)</v>
      </c>
      <c r="M235" s="32" t="n">
        <f aca="false">IF($K235="","",$K235-기준정보!$C$5)</f>
        <v>46308</v>
      </c>
      <c r="N235" s="33" t="n">
        <f aca="false">IF($M235="","",$M235-기준정보!$C$4)</f>
        <v>67</v>
      </c>
      <c r="O235" s="31" t="s">
        <v>114</v>
      </c>
      <c r="P235" s="20"/>
      <c r="Q235" s="30" t="str">
        <f aca="false">IF($F235="","",IF(AND(ISNUMBER(SEARCH("CMT",$F235)),OR(ISNUMBER(SEARCH("사입",$F235)),ISNUMBER(SEARCH("Buying",$F235)))),"본사/생산처 혼재",IF(ISNUMBER(SEARCH("CMT",$F235)),"본사(소재팀)","생산처")))</f>
        <v>생산처</v>
      </c>
      <c r="R235" s="30" t="s">
        <v>201</v>
      </c>
      <c r="S235" s="29" t="s">
        <v>110</v>
      </c>
      <c r="T235" s="30" t="str">
        <f aca="false">IF($K235="","출고일 미정",IF($O235="X","작지(일매) 미등록",IF($O235="부분","작지(일매) 일부 미등록",IF(AND($P235&lt;&gt;"",$P235&gt;$M235),"소재입고 마감("&amp;TEXT($M235,"MM/DD")&amp;") 초과",IF($O235="","일매 등록여부 확인 필요",IF($P235="","소재 입고일정 확인 필요","정상"))))))</f>
        <v>작지(일매) 미등록</v>
      </c>
      <c r="U235" s="28" t="str">
        <f aca="false">IF($K235="","",IF(OR(LEFT($T235,2)="작지",LEFT($T235,4)="소재입고"),IF(LEFT($E235,1)="S","★ 납기위험(S코드)","◆ 지연주의"),IF($T235="정상","✓ 정상","? 확인필요")))</f>
        <v>◆ 지연주의</v>
      </c>
      <c r="V235" s="31"/>
      <c r="W235" s="19"/>
    </row>
    <row r="236" customFormat="false" ht="15" hidden="false" customHeight="true" outlineLevel="0" collapsed="false">
      <c r="A236" s="28" t="n">
        <v>232</v>
      </c>
      <c r="B236" s="29" t="s">
        <v>182</v>
      </c>
      <c r="C236" s="30" t="s">
        <v>601</v>
      </c>
      <c r="D236" s="29" t="s">
        <v>602</v>
      </c>
      <c r="E236" s="28" t="str">
        <f aca="false">IF($C236="","",IF(MID($C236,5,1)="S","S(봄)",IF(MID($C236,5,1)="M","M(여름)",IF(MID($C236,5,1)="X","X(사계절)",MID($C236,5,1)))))</f>
        <v>M(여름)</v>
      </c>
      <c r="F236" s="30" t="s">
        <v>141</v>
      </c>
      <c r="G236" s="31"/>
      <c r="H236" s="28" t="str">
        <f aca="false">IF($C236="","",REPLACE($C236,6,2,"26"))</f>
        <v>TLPNM26691</v>
      </c>
      <c r="I236" s="32" t="str">
        <f aca="false">IFERROR(INDEX(전년출고참조!$B$4:$B$638,MATCH($H236,전년출고참조!$A$4:$A$638,0)),"")</f>
        <v/>
      </c>
      <c r="J236" s="32" t="n">
        <v>46401</v>
      </c>
      <c r="K236" s="32" t="n">
        <f aca="false">IF($G236&lt;&gt;"",IFERROR(DATE(IF(VALUE(LEFT($G236,FIND("월",$G236)-1))&gt;=9,기준정보!$C$6-1,기준정보!$C$6),VALUE(LEFT($G236,FIND("월",$G236)-1)),1+7*(VALUE(SUBSTITUTE(MID($G236,FIND("월",$G236)+1,5),"주",""))-1)),""),IF($I236&lt;&gt;"",IF(ISNUMBER($I236),$I236+364,IFERROR(DATE(IF(VALUE(LEFT($I236,FIND("월",$I236)-1))&gt;=9,기준정보!$C$6-1,기준정보!$C$6),VALUE(LEFT($I236,FIND("월",$I236)-1)),1+7*(VALUE(SUBSTITUTE(MID($I236,FIND("월",$I236)+1,5),"주",""))-1)),"")),IF($J236&lt;&gt;"",$J236,"")))</f>
        <v>46401</v>
      </c>
      <c r="L236" s="28" t="str">
        <f aca="false">IF($G236&lt;&gt;"","계획 주차",IF($I236&lt;&gt;"","전년+1년 예측",IF($J236&lt;&gt;"","전산 입고계획(참고)","미정")))</f>
        <v>전산 입고계획(참고)</v>
      </c>
      <c r="M236" s="32" t="n">
        <f aca="false">IF($K236="","",$K236-기준정보!$C$5)</f>
        <v>46311</v>
      </c>
      <c r="N236" s="33" t="n">
        <f aca="false">IF($M236="","",$M236-기준정보!$C$4)</f>
        <v>70</v>
      </c>
      <c r="O236" s="31" t="s">
        <v>108</v>
      </c>
      <c r="P236" s="20"/>
      <c r="Q236" s="30" t="str">
        <f aca="false">IF($F236="","",IF(AND(ISNUMBER(SEARCH("CMT",$F236)),OR(ISNUMBER(SEARCH("사입",$F236)),ISNUMBER(SEARCH("Buying",$F236)))),"본사/생산처 혼재",IF(ISNUMBER(SEARCH("CMT",$F236)),"본사(소재팀)","생산처")))</f>
        <v>본사(소재팀)</v>
      </c>
      <c r="R236" s="29" t="s">
        <v>145</v>
      </c>
      <c r="S236" s="29" t="s">
        <v>110</v>
      </c>
      <c r="T236" s="30" t="str">
        <f aca="false">IF($K236="","출고일 미정",IF($O236="X","작지(일매) 미등록",IF($O236="부분","작지(일매) 일부 미등록",IF(AND($P236&lt;&gt;"",$P236&gt;$M236),"소재입고 마감("&amp;TEXT($M236,"MM/DD")&amp;") 초과",IF($O236="","일매 등록여부 확인 필요",IF($P236="","소재 입고일정 확인 필요","정상"))))))</f>
        <v>소재 입고일정 확인 필요</v>
      </c>
      <c r="U236" s="28" t="str">
        <f aca="false">IF($K236="","",IF(OR(LEFT($T236,2)="작지",LEFT($T236,4)="소재입고"),IF(LEFT($E236,1)="S","★ 납기위험(S코드)","◆ 지연주의"),IF($T236="정상","✓ 정상","? 확인필요")))</f>
        <v>? 확인필요</v>
      </c>
      <c r="V236" s="31"/>
      <c r="W236" s="19"/>
    </row>
    <row r="237" customFormat="false" ht="15" hidden="false" customHeight="true" outlineLevel="0" collapsed="false">
      <c r="A237" s="28" t="n">
        <v>233</v>
      </c>
      <c r="B237" s="29" t="s">
        <v>182</v>
      </c>
      <c r="C237" s="30" t="s">
        <v>603</v>
      </c>
      <c r="D237" s="29" t="s">
        <v>604</v>
      </c>
      <c r="E237" s="28" t="str">
        <f aca="false">IF($C237="","",IF(MID($C237,5,1)="S","S(봄)",IF(MID($C237,5,1)="M","M(여름)",IF(MID($C237,5,1)="X","X(사계절)",MID($C237,5,1)))))</f>
        <v>M(여름)</v>
      </c>
      <c r="F237" s="30" t="s">
        <v>141</v>
      </c>
      <c r="G237" s="31"/>
      <c r="H237" s="28" t="str">
        <f aca="false">IF($C237="","",REPLACE($C237,6,2,"26"))</f>
        <v>TLPNM26693</v>
      </c>
      <c r="I237" s="32" t="str">
        <f aca="false">IFERROR(INDEX(전년출고참조!$B$4:$B$638,MATCH($H237,전년출고참조!$A$4:$A$638,0)),"")</f>
        <v/>
      </c>
      <c r="J237" s="32" t="n">
        <v>46401</v>
      </c>
      <c r="K237" s="32" t="n">
        <f aca="false">IF($G237&lt;&gt;"",IFERROR(DATE(IF(VALUE(LEFT($G237,FIND("월",$G237)-1))&gt;=9,기준정보!$C$6-1,기준정보!$C$6),VALUE(LEFT($G237,FIND("월",$G237)-1)),1+7*(VALUE(SUBSTITUTE(MID($G237,FIND("월",$G237)+1,5),"주",""))-1)),""),IF($I237&lt;&gt;"",IF(ISNUMBER($I237),$I237+364,IFERROR(DATE(IF(VALUE(LEFT($I237,FIND("월",$I237)-1))&gt;=9,기준정보!$C$6-1,기준정보!$C$6),VALUE(LEFT($I237,FIND("월",$I237)-1)),1+7*(VALUE(SUBSTITUTE(MID($I237,FIND("월",$I237)+1,5),"주",""))-1)),"")),IF($J237&lt;&gt;"",$J237,"")))</f>
        <v>46401</v>
      </c>
      <c r="L237" s="28" t="str">
        <f aca="false">IF($G237&lt;&gt;"","계획 주차",IF($I237&lt;&gt;"","전년+1년 예측",IF($J237&lt;&gt;"","전산 입고계획(참고)","미정")))</f>
        <v>전산 입고계획(참고)</v>
      </c>
      <c r="M237" s="32" t="n">
        <f aca="false">IF($K237="","",$K237-기준정보!$C$5)</f>
        <v>46311</v>
      </c>
      <c r="N237" s="33" t="n">
        <f aca="false">IF($M237="","",$M237-기준정보!$C$4)</f>
        <v>70</v>
      </c>
      <c r="O237" s="31" t="s">
        <v>108</v>
      </c>
      <c r="P237" s="20"/>
      <c r="Q237" s="30" t="str">
        <f aca="false">IF($F237="","",IF(AND(ISNUMBER(SEARCH("CMT",$F237)),OR(ISNUMBER(SEARCH("사입",$F237)),ISNUMBER(SEARCH("Buying",$F237)))),"본사/생산처 혼재",IF(ISNUMBER(SEARCH("CMT",$F237)),"본사(소재팀)","생산처")))</f>
        <v>본사(소재팀)</v>
      </c>
      <c r="R237" s="29" t="s">
        <v>148</v>
      </c>
      <c r="S237" s="29" t="s">
        <v>110</v>
      </c>
      <c r="T237" s="30" t="str">
        <f aca="false">IF($K237="","출고일 미정",IF($O237="X","작지(일매) 미등록",IF($O237="부분","작지(일매) 일부 미등록",IF(AND($P237&lt;&gt;"",$P237&gt;$M237),"소재입고 마감("&amp;TEXT($M237,"MM/DD")&amp;") 초과",IF($O237="","일매 등록여부 확인 필요",IF($P237="","소재 입고일정 확인 필요","정상"))))))</f>
        <v>소재 입고일정 확인 필요</v>
      </c>
      <c r="U237" s="28" t="str">
        <f aca="false">IF($K237="","",IF(OR(LEFT($T237,2)="작지",LEFT($T237,4)="소재입고"),IF(LEFT($E237,1)="S","★ 납기위험(S코드)","◆ 지연주의"),IF($T237="정상","✓ 정상","? 확인필요")))</f>
        <v>? 확인필요</v>
      </c>
      <c r="V237" s="31"/>
      <c r="W237" s="19"/>
    </row>
    <row r="238" customFormat="false" ht="15" hidden="false" customHeight="true" outlineLevel="0" collapsed="false">
      <c r="A238" s="28" t="n">
        <v>234</v>
      </c>
      <c r="B238" s="29" t="s">
        <v>182</v>
      </c>
      <c r="C238" s="30" t="s">
        <v>605</v>
      </c>
      <c r="D238" s="29" t="s">
        <v>606</v>
      </c>
      <c r="E238" s="28" t="str">
        <f aca="false">IF($C238="","",IF(MID($C238,5,1)="S","S(봄)",IF(MID($C238,5,1)="M","M(여름)",IF(MID($C238,5,1)="X","X(사계절)",MID($C238,5,1)))))</f>
        <v>M(여름)</v>
      </c>
      <c r="F238" s="30" t="s">
        <v>141</v>
      </c>
      <c r="G238" s="31"/>
      <c r="H238" s="28" t="str">
        <f aca="false">IF($C238="","",REPLACE($C238,6,2,"26"))</f>
        <v>TLPOM26697</v>
      </c>
      <c r="I238" s="32" t="str">
        <f aca="false">IFERROR(INDEX(전년출고참조!$B$4:$B$638,MATCH($H238,전년출고참조!$A$4:$A$638,0)),"")</f>
        <v/>
      </c>
      <c r="J238" s="32" t="n">
        <v>46401</v>
      </c>
      <c r="K238" s="32" t="n">
        <f aca="false">IF($G238&lt;&gt;"",IFERROR(DATE(IF(VALUE(LEFT($G238,FIND("월",$G238)-1))&gt;=9,기준정보!$C$6-1,기준정보!$C$6),VALUE(LEFT($G238,FIND("월",$G238)-1)),1+7*(VALUE(SUBSTITUTE(MID($G238,FIND("월",$G238)+1,5),"주",""))-1)),""),IF($I238&lt;&gt;"",IF(ISNUMBER($I238),$I238+364,IFERROR(DATE(IF(VALUE(LEFT($I238,FIND("월",$I238)-1))&gt;=9,기준정보!$C$6-1,기준정보!$C$6),VALUE(LEFT($I238,FIND("월",$I238)-1)),1+7*(VALUE(SUBSTITUTE(MID($I238,FIND("월",$I238)+1,5),"주",""))-1)),"")),IF($J238&lt;&gt;"",$J238,"")))</f>
        <v>46401</v>
      </c>
      <c r="L238" s="28" t="str">
        <f aca="false">IF($G238&lt;&gt;"","계획 주차",IF($I238&lt;&gt;"","전년+1년 예측",IF($J238&lt;&gt;"","전산 입고계획(참고)","미정")))</f>
        <v>전산 입고계획(참고)</v>
      </c>
      <c r="M238" s="32" t="n">
        <f aca="false">IF($K238="","",$K238-기준정보!$C$5)</f>
        <v>46311</v>
      </c>
      <c r="N238" s="33" t="n">
        <f aca="false">IF($M238="","",$M238-기준정보!$C$4)</f>
        <v>70</v>
      </c>
      <c r="O238" s="31" t="s">
        <v>108</v>
      </c>
      <c r="P238" s="20"/>
      <c r="Q238" s="30" t="str">
        <f aca="false">IF($F238="","",IF(AND(ISNUMBER(SEARCH("CMT",$F238)),OR(ISNUMBER(SEARCH("사입",$F238)),ISNUMBER(SEARCH("Buying",$F238)))),"본사/생산처 혼재",IF(ISNUMBER(SEARCH("CMT",$F238)),"본사(소재팀)","생산처")))</f>
        <v>본사(소재팀)</v>
      </c>
      <c r="R238" s="29" t="s">
        <v>148</v>
      </c>
      <c r="S238" s="29" t="s">
        <v>110</v>
      </c>
      <c r="T238" s="30" t="str">
        <f aca="false">IF($K238="","출고일 미정",IF($O238="X","작지(일매) 미등록",IF($O238="부분","작지(일매) 일부 미등록",IF(AND($P238&lt;&gt;"",$P238&gt;$M238),"소재입고 마감("&amp;TEXT($M238,"MM/DD")&amp;") 초과",IF($O238="","일매 등록여부 확인 필요",IF($P238="","소재 입고일정 확인 필요","정상"))))))</f>
        <v>소재 입고일정 확인 필요</v>
      </c>
      <c r="U238" s="28" t="str">
        <f aca="false">IF($K238="","",IF(OR(LEFT($T238,2)="작지",LEFT($T238,4)="소재입고"),IF(LEFT($E238,1)="S","★ 납기위험(S코드)","◆ 지연주의"),IF($T238="정상","✓ 정상","? 확인필요")))</f>
        <v>? 확인필요</v>
      </c>
      <c r="V238" s="31"/>
      <c r="W238" s="19"/>
    </row>
    <row r="239" customFormat="false" ht="15" hidden="false" customHeight="true" outlineLevel="0" collapsed="false">
      <c r="A239" s="28" t="n">
        <v>235</v>
      </c>
      <c r="B239" s="29" t="s">
        <v>182</v>
      </c>
      <c r="C239" s="30" t="s">
        <v>607</v>
      </c>
      <c r="D239" s="29" t="s">
        <v>608</v>
      </c>
      <c r="E239" s="28" t="str">
        <f aca="false">IF($C239="","",IF(MID($C239,5,1)="S","S(봄)",IF(MID($C239,5,1)="M","M(여름)",IF(MID($C239,5,1)="X","X(사계절)",MID($C239,5,1)))))</f>
        <v>M(여름)</v>
      </c>
      <c r="F239" s="30" t="s">
        <v>141</v>
      </c>
      <c r="G239" s="31"/>
      <c r="H239" s="28" t="str">
        <f aca="false">IF($C239="","",REPLACE($C239,6,2,"26"))</f>
        <v>TLPOM26699</v>
      </c>
      <c r="I239" s="32" t="str">
        <f aca="false">IFERROR(INDEX(전년출고참조!$B$4:$B$638,MATCH($H239,전년출고참조!$A$4:$A$638,0)),"")</f>
        <v/>
      </c>
      <c r="J239" s="32" t="n">
        <v>46401</v>
      </c>
      <c r="K239" s="32" t="n">
        <f aca="false">IF($G239&lt;&gt;"",IFERROR(DATE(IF(VALUE(LEFT($G239,FIND("월",$G239)-1))&gt;=9,기준정보!$C$6-1,기준정보!$C$6),VALUE(LEFT($G239,FIND("월",$G239)-1)),1+7*(VALUE(SUBSTITUTE(MID($G239,FIND("월",$G239)+1,5),"주",""))-1)),""),IF($I239&lt;&gt;"",IF(ISNUMBER($I239),$I239+364,IFERROR(DATE(IF(VALUE(LEFT($I239,FIND("월",$I239)-1))&gt;=9,기준정보!$C$6-1,기준정보!$C$6),VALUE(LEFT($I239,FIND("월",$I239)-1)),1+7*(VALUE(SUBSTITUTE(MID($I239,FIND("월",$I239)+1,5),"주",""))-1)),"")),IF($J239&lt;&gt;"",$J239,"")))</f>
        <v>46401</v>
      </c>
      <c r="L239" s="28" t="str">
        <f aca="false">IF($G239&lt;&gt;"","계획 주차",IF($I239&lt;&gt;"","전년+1년 예측",IF($J239&lt;&gt;"","전산 입고계획(참고)","미정")))</f>
        <v>전산 입고계획(참고)</v>
      </c>
      <c r="M239" s="32" t="n">
        <f aca="false">IF($K239="","",$K239-기준정보!$C$5)</f>
        <v>46311</v>
      </c>
      <c r="N239" s="33" t="n">
        <f aca="false">IF($M239="","",$M239-기준정보!$C$4)</f>
        <v>70</v>
      </c>
      <c r="O239" s="31" t="s">
        <v>114</v>
      </c>
      <c r="P239" s="20"/>
      <c r="Q239" s="30" t="str">
        <f aca="false">IF($F239="","",IF(AND(ISNUMBER(SEARCH("CMT",$F239)),OR(ISNUMBER(SEARCH("사입",$F239)),ISNUMBER(SEARCH("Buying",$F239)))),"본사/생산처 혼재",IF(ISNUMBER(SEARCH("CMT",$F239)),"본사(소재팀)","생산처")))</f>
        <v>본사(소재팀)</v>
      </c>
      <c r="R239" s="29" t="s">
        <v>148</v>
      </c>
      <c r="S239" s="29" t="s">
        <v>110</v>
      </c>
      <c r="T239" s="30" t="str">
        <f aca="false">IF($K239="","출고일 미정",IF($O239="X","작지(일매) 미등록",IF($O239="부분","작지(일매) 일부 미등록",IF(AND($P239&lt;&gt;"",$P239&gt;$M239),"소재입고 마감("&amp;TEXT($M239,"MM/DD")&amp;") 초과",IF($O239="","일매 등록여부 확인 필요",IF($P239="","소재 입고일정 확인 필요","정상"))))))</f>
        <v>작지(일매) 미등록</v>
      </c>
      <c r="U239" s="28" t="str">
        <f aca="false">IF($K239="","",IF(OR(LEFT($T239,2)="작지",LEFT($T239,4)="소재입고"),IF(LEFT($E239,1)="S","★ 납기위험(S코드)","◆ 지연주의"),IF($T239="정상","✓ 정상","? 확인필요")))</f>
        <v>◆ 지연주의</v>
      </c>
      <c r="V239" s="31"/>
      <c r="W239" s="19"/>
    </row>
    <row r="240" customFormat="false" ht="15" hidden="false" customHeight="true" outlineLevel="0" collapsed="false">
      <c r="A240" s="28" t="n">
        <v>236</v>
      </c>
      <c r="B240" s="29" t="s">
        <v>182</v>
      </c>
      <c r="C240" s="30" t="s">
        <v>609</v>
      </c>
      <c r="D240" s="29" t="s">
        <v>610</v>
      </c>
      <c r="E240" s="28" t="str">
        <f aca="false">IF($C240="","",IF(MID($C240,5,1)="S","S(봄)",IF(MID($C240,5,1)="M","M(여름)",IF(MID($C240,5,1)="X","X(사계절)",MID($C240,5,1)))))</f>
        <v>M(여름)</v>
      </c>
      <c r="F240" s="29" t="s">
        <v>106</v>
      </c>
      <c r="G240" s="31"/>
      <c r="H240" s="28" t="str">
        <f aca="false">IF($C240="","",REPLACE($C240,6,2,"26"))</f>
        <v>TLSCM26693</v>
      </c>
      <c r="I240" s="32" t="str">
        <f aca="false">IFERROR(INDEX(전년출고참조!$B$4:$B$638,MATCH($H240,전년출고참조!$A$4:$A$638,0)),"")</f>
        <v/>
      </c>
      <c r="J240" s="32" t="n">
        <v>46401</v>
      </c>
      <c r="K240" s="32" t="n">
        <f aca="false">IF($G240&lt;&gt;"",IFERROR(DATE(IF(VALUE(LEFT($G240,FIND("월",$G240)-1))&gt;=9,기준정보!$C$6-1,기준정보!$C$6),VALUE(LEFT($G240,FIND("월",$G240)-1)),1+7*(VALUE(SUBSTITUTE(MID($G240,FIND("월",$G240)+1,5),"주",""))-1)),""),IF($I240&lt;&gt;"",IF(ISNUMBER($I240),$I240+364,IFERROR(DATE(IF(VALUE(LEFT($I240,FIND("월",$I240)-1))&gt;=9,기준정보!$C$6-1,기준정보!$C$6),VALUE(LEFT($I240,FIND("월",$I240)-1)),1+7*(VALUE(SUBSTITUTE(MID($I240,FIND("월",$I240)+1,5),"주",""))-1)),"")),IF($J240&lt;&gt;"",$J240,"")))</f>
        <v>46401</v>
      </c>
      <c r="L240" s="28" t="str">
        <f aca="false">IF($G240&lt;&gt;"","계획 주차",IF($I240&lt;&gt;"","전년+1년 예측",IF($J240&lt;&gt;"","전산 입고계획(참고)","미정")))</f>
        <v>전산 입고계획(참고)</v>
      </c>
      <c r="M240" s="32" t="n">
        <f aca="false">IF($K240="","",$K240-기준정보!$C$5)</f>
        <v>46311</v>
      </c>
      <c r="N240" s="33" t="n">
        <f aca="false">IF($M240="","",$M240-기준정보!$C$4)</f>
        <v>70</v>
      </c>
      <c r="O240" s="31" t="s">
        <v>108</v>
      </c>
      <c r="P240" s="20"/>
      <c r="Q240" s="30" t="str">
        <f aca="false">IF($F240="","",IF(AND(ISNUMBER(SEARCH("CMT",$F240)),OR(ISNUMBER(SEARCH("사입",$F240)),ISNUMBER(SEARCH("Buying",$F240)))),"본사/생산처 혼재",IF(ISNUMBER(SEARCH("CMT",$F240)),"본사(소재팀)","생산처")))</f>
        <v>생산처</v>
      </c>
      <c r="R240" s="29" t="s">
        <v>275</v>
      </c>
      <c r="S240" s="29" t="s">
        <v>110</v>
      </c>
      <c r="T240" s="30" t="str">
        <f aca="false">IF($K240="","출고일 미정",IF($O240="X","작지(일매) 미등록",IF($O240="부분","작지(일매) 일부 미등록",IF(AND($P240&lt;&gt;"",$P240&gt;$M240),"소재입고 마감("&amp;TEXT($M240,"MM/DD")&amp;") 초과",IF($O240="","일매 등록여부 확인 필요",IF($P240="","소재 입고일정 확인 필요","정상"))))))</f>
        <v>소재 입고일정 확인 필요</v>
      </c>
      <c r="U240" s="28" t="str">
        <f aca="false">IF($K240="","",IF(OR(LEFT($T240,2)="작지",LEFT($T240,4)="소재입고"),IF(LEFT($E240,1)="S","★ 납기위험(S코드)","◆ 지연주의"),IF($T240="정상","✓ 정상","? 확인필요")))</f>
        <v>? 확인필요</v>
      </c>
      <c r="V240" s="31"/>
      <c r="W240" s="19"/>
    </row>
    <row r="241" customFormat="false" ht="15" hidden="false" customHeight="true" outlineLevel="0" collapsed="false">
      <c r="A241" s="28" t="n">
        <v>237</v>
      </c>
      <c r="B241" s="29" t="s">
        <v>182</v>
      </c>
      <c r="C241" s="30" t="s">
        <v>611</v>
      </c>
      <c r="D241" s="29" t="s">
        <v>612</v>
      </c>
      <c r="E241" s="28" t="str">
        <f aca="false">IF($C241="","",IF(MID($C241,5,1)="S","S(봄)",IF(MID($C241,5,1)="M","M(여름)",IF(MID($C241,5,1)="X","X(사계절)",MID($C241,5,1)))))</f>
        <v>M(여름)</v>
      </c>
      <c r="F241" s="29" t="s">
        <v>106</v>
      </c>
      <c r="G241" s="31"/>
      <c r="H241" s="28" t="str">
        <f aca="false">IF($C241="","",REPLACE($C241,6,2,"26"))</f>
        <v>TLTCM26691</v>
      </c>
      <c r="I241" s="32" t="str">
        <f aca="false">IFERROR(INDEX(전년출고참조!$B$4:$B$638,MATCH($H241,전년출고참조!$A$4:$A$638,0)),"")</f>
        <v/>
      </c>
      <c r="J241" s="32" t="n">
        <v>46401</v>
      </c>
      <c r="K241" s="32" t="n">
        <f aca="false">IF($G241&lt;&gt;"",IFERROR(DATE(IF(VALUE(LEFT($G241,FIND("월",$G241)-1))&gt;=9,기준정보!$C$6-1,기준정보!$C$6),VALUE(LEFT($G241,FIND("월",$G241)-1)),1+7*(VALUE(SUBSTITUTE(MID($G241,FIND("월",$G241)+1,5),"주",""))-1)),""),IF($I241&lt;&gt;"",IF(ISNUMBER($I241),$I241+364,IFERROR(DATE(IF(VALUE(LEFT($I241,FIND("월",$I241)-1))&gt;=9,기준정보!$C$6-1,기준정보!$C$6),VALUE(LEFT($I241,FIND("월",$I241)-1)),1+7*(VALUE(SUBSTITUTE(MID($I241,FIND("월",$I241)+1,5),"주",""))-1)),"")),IF($J241&lt;&gt;"",$J241,"")))</f>
        <v>46401</v>
      </c>
      <c r="L241" s="28" t="str">
        <f aca="false">IF($G241&lt;&gt;"","계획 주차",IF($I241&lt;&gt;"","전년+1년 예측",IF($J241&lt;&gt;"","전산 입고계획(참고)","미정")))</f>
        <v>전산 입고계획(참고)</v>
      </c>
      <c r="M241" s="32" t="n">
        <f aca="false">IF($K241="","",$K241-기준정보!$C$5)</f>
        <v>46311</v>
      </c>
      <c r="N241" s="33" t="n">
        <f aca="false">IF($M241="","",$M241-기준정보!$C$4)</f>
        <v>70</v>
      </c>
      <c r="O241" s="31" t="s">
        <v>108</v>
      </c>
      <c r="P241" s="20"/>
      <c r="Q241" s="30" t="str">
        <f aca="false">IF($F241="","",IF(AND(ISNUMBER(SEARCH("CMT",$F241)),OR(ISNUMBER(SEARCH("사입",$F241)),ISNUMBER(SEARCH("Buying",$F241)))),"본사/생산처 혼재",IF(ISNUMBER(SEARCH("CMT",$F241)),"본사(소재팀)","생산처")))</f>
        <v>생산처</v>
      </c>
      <c r="R241" s="29" t="s">
        <v>123</v>
      </c>
      <c r="S241" s="29" t="s">
        <v>120</v>
      </c>
      <c r="T241" s="30" t="str">
        <f aca="false">IF($K241="","출고일 미정",IF($O241="X","작지(일매) 미등록",IF($O241="부분","작지(일매) 일부 미등록",IF(AND($P241&lt;&gt;"",$P241&gt;$M241),"소재입고 마감("&amp;TEXT($M241,"MM/DD")&amp;") 초과",IF($O241="","일매 등록여부 확인 필요",IF($P241="","소재 입고일정 확인 필요","정상"))))))</f>
        <v>소재 입고일정 확인 필요</v>
      </c>
      <c r="U241" s="28" t="str">
        <f aca="false">IF($K241="","",IF(OR(LEFT($T241,2)="작지",LEFT($T241,4)="소재입고"),IF(LEFT($E241,1)="S","★ 납기위험(S코드)","◆ 지연주의"),IF($T241="정상","✓ 정상","? 확인필요")))</f>
        <v>? 확인필요</v>
      </c>
      <c r="V241" s="31"/>
      <c r="W241" s="19"/>
    </row>
    <row r="242" customFormat="false" ht="15" hidden="false" customHeight="true" outlineLevel="0" collapsed="false">
      <c r="A242" s="28" t="n">
        <v>238</v>
      </c>
      <c r="B242" s="29" t="s">
        <v>182</v>
      </c>
      <c r="C242" s="30" t="s">
        <v>613</v>
      </c>
      <c r="D242" s="29" t="s">
        <v>614</v>
      </c>
      <c r="E242" s="28" t="str">
        <f aca="false">IF($C242="","",IF(MID($C242,5,1)="S","S(봄)",IF(MID($C242,5,1)="M","M(여름)",IF(MID($C242,5,1)="X","X(사계절)",MID($C242,5,1)))))</f>
        <v>M(여름)</v>
      </c>
      <c r="F242" s="29" t="s">
        <v>106</v>
      </c>
      <c r="G242" s="31"/>
      <c r="H242" s="28" t="str">
        <f aca="false">IF($C242="","",REPLACE($C242,6,2,"26"))</f>
        <v>TLTCM26695</v>
      </c>
      <c r="I242" s="32" t="str">
        <f aca="false">IFERROR(INDEX(전년출고참조!$B$4:$B$638,MATCH($H242,전년출고참조!$A$4:$A$638,0)),"")</f>
        <v/>
      </c>
      <c r="J242" s="32" t="n">
        <v>46401</v>
      </c>
      <c r="K242" s="32" t="n">
        <f aca="false">IF($G242&lt;&gt;"",IFERROR(DATE(IF(VALUE(LEFT($G242,FIND("월",$G242)-1))&gt;=9,기준정보!$C$6-1,기준정보!$C$6),VALUE(LEFT($G242,FIND("월",$G242)-1)),1+7*(VALUE(SUBSTITUTE(MID($G242,FIND("월",$G242)+1,5),"주",""))-1)),""),IF($I242&lt;&gt;"",IF(ISNUMBER($I242),$I242+364,IFERROR(DATE(IF(VALUE(LEFT($I242,FIND("월",$I242)-1))&gt;=9,기준정보!$C$6-1,기준정보!$C$6),VALUE(LEFT($I242,FIND("월",$I242)-1)),1+7*(VALUE(SUBSTITUTE(MID($I242,FIND("월",$I242)+1,5),"주",""))-1)),"")),IF($J242&lt;&gt;"",$J242,"")))</f>
        <v>46401</v>
      </c>
      <c r="L242" s="28" t="str">
        <f aca="false">IF($G242&lt;&gt;"","계획 주차",IF($I242&lt;&gt;"","전년+1년 예측",IF($J242&lt;&gt;"","전산 입고계획(참고)","미정")))</f>
        <v>전산 입고계획(참고)</v>
      </c>
      <c r="M242" s="32" t="n">
        <f aca="false">IF($K242="","",$K242-기준정보!$C$5)</f>
        <v>46311</v>
      </c>
      <c r="N242" s="33" t="n">
        <f aca="false">IF($M242="","",$M242-기준정보!$C$4)</f>
        <v>70</v>
      </c>
      <c r="O242" s="31" t="s">
        <v>114</v>
      </c>
      <c r="P242" s="20"/>
      <c r="Q242" s="30" t="str">
        <f aca="false">IF($F242="","",IF(AND(ISNUMBER(SEARCH("CMT",$F242)),OR(ISNUMBER(SEARCH("사입",$F242)),ISNUMBER(SEARCH("Buying",$F242)))),"본사/생산처 혼재",IF(ISNUMBER(SEARCH("CMT",$F242)),"본사(소재팀)","생산처")))</f>
        <v>생산처</v>
      </c>
      <c r="R242" s="29" t="s">
        <v>123</v>
      </c>
      <c r="S242" s="29" t="s">
        <v>120</v>
      </c>
      <c r="T242" s="30" t="str">
        <f aca="false">IF($K242="","출고일 미정",IF($O242="X","작지(일매) 미등록",IF($O242="부분","작지(일매) 일부 미등록",IF(AND($P242&lt;&gt;"",$P242&gt;$M242),"소재입고 마감("&amp;TEXT($M242,"MM/DD")&amp;") 초과",IF($O242="","일매 등록여부 확인 필요",IF($P242="","소재 입고일정 확인 필요","정상"))))))</f>
        <v>작지(일매) 미등록</v>
      </c>
      <c r="U242" s="28" t="str">
        <f aca="false">IF($K242="","",IF(OR(LEFT($T242,2)="작지",LEFT($T242,4)="소재입고"),IF(LEFT($E242,1)="S","★ 납기위험(S코드)","◆ 지연주의"),IF($T242="정상","✓ 정상","? 확인필요")))</f>
        <v>◆ 지연주의</v>
      </c>
      <c r="V242" s="31"/>
      <c r="W242" s="19"/>
    </row>
    <row r="243" customFormat="false" ht="15" hidden="false" customHeight="true" outlineLevel="0" collapsed="false">
      <c r="A243" s="28" t="n">
        <v>239</v>
      </c>
      <c r="B243" s="29" t="s">
        <v>320</v>
      </c>
      <c r="C243" s="30" t="s">
        <v>615</v>
      </c>
      <c r="D243" s="30" t="s">
        <v>616</v>
      </c>
      <c r="E243" s="28" t="str">
        <f aca="false">IF($C243="","",IF(MID($C243,5,1)="S","S(봄)",IF(MID($C243,5,1)="M","M(여름)",IF(MID($C243,5,1)="X","X(사계절)",MID($C243,5,1)))))</f>
        <v>M(여름)</v>
      </c>
      <c r="F243" s="29" t="s">
        <v>106</v>
      </c>
      <c r="G243" s="31"/>
      <c r="H243" s="28" t="str">
        <f aca="false">IF($C243="","",REPLACE($C243,6,2,"26"))</f>
        <v>8NREM26105</v>
      </c>
      <c r="I243" s="32" t="str">
        <f aca="false">IFERROR(INDEX(전년출고참조!$B$4:$B$638,MATCH($H243,전년출고참조!$A$4:$A$638,0)),"")</f>
        <v/>
      </c>
      <c r="J243" s="32" t="n">
        <v>46402</v>
      </c>
      <c r="K243" s="32" t="n">
        <f aca="false">IF($G243&lt;&gt;"",IFERROR(DATE(IF(VALUE(LEFT($G243,FIND("월",$G243)-1))&gt;=9,기준정보!$C$6-1,기준정보!$C$6),VALUE(LEFT($G243,FIND("월",$G243)-1)),1+7*(VALUE(SUBSTITUTE(MID($G243,FIND("월",$G243)+1,5),"주",""))-1)),""),IF($I243&lt;&gt;"",IF(ISNUMBER($I243),$I243+364,IFERROR(DATE(IF(VALUE(LEFT($I243,FIND("월",$I243)-1))&gt;=9,기준정보!$C$6-1,기준정보!$C$6),VALUE(LEFT($I243,FIND("월",$I243)-1)),1+7*(VALUE(SUBSTITUTE(MID($I243,FIND("월",$I243)+1,5),"주",""))-1)),"")),IF($J243&lt;&gt;"",$J243,"")))</f>
        <v>46402</v>
      </c>
      <c r="L243" s="28" t="str">
        <f aca="false">IF($G243&lt;&gt;"","계획 주차",IF($I243&lt;&gt;"","전년+1년 예측",IF($J243&lt;&gt;"","전산 입고계획(참고)","미정")))</f>
        <v>전산 입고계획(참고)</v>
      </c>
      <c r="M243" s="32" t="n">
        <f aca="false">IF($K243="","",$K243-기준정보!$C$5)</f>
        <v>46312</v>
      </c>
      <c r="N243" s="33" t="n">
        <f aca="false">IF($M243="","",$M243-기준정보!$C$4)</f>
        <v>71</v>
      </c>
      <c r="O243" s="31" t="s">
        <v>114</v>
      </c>
      <c r="P243" s="20"/>
      <c r="Q243" s="30" t="str">
        <f aca="false">IF($F243="","",IF(AND(ISNUMBER(SEARCH("CMT",$F243)),OR(ISNUMBER(SEARCH("사입",$F243)),ISNUMBER(SEARCH("Buying",$F243)))),"본사/생산처 혼재",IF(ISNUMBER(SEARCH("CMT",$F243)),"본사(소재팀)","생산처")))</f>
        <v>생산처</v>
      </c>
      <c r="R243" s="29" t="s">
        <v>337</v>
      </c>
      <c r="S243" s="29" t="s">
        <v>110</v>
      </c>
      <c r="T243" s="30" t="str">
        <f aca="false">IF($K243="","출고일 미정",IF($O243="X","작지(일매) 미등록",IF($O243="부분","작지(일매) 일부 미등록",IF(AND($P243&lt;&gt;"",$P243&gt;$M243),"소재입고 마감("&amp;TEXT($M243,"MM/DD")&amp;") 초과",IF($O243="","일매 등록여부 확인 필요",IF($P243="","소재 입고일정 확인 필요","정상"))))))</f>
        <v>작지(일매) 미등록</v>
      </c>
      <c r="U243" s="28" t="str">
        <f aca="false">IF($K243="","",IF(OR(LEFT($T243,2)="작지",LEFT($T243,4)="소재입고"),IF(LEFT($E243,1)="S","★ 납기위험(S코드)","◆ 지연주의"),IF($T243="정상","✓ 정상","? 확인필요")))</f>
        <v>◆ 지연주의</v>
      </c>
      <c r="V243" s="31"/>
      <c r="W243" s="19"/>
    </row>
    <row r="244" customFormat="false" ht="15" hidden="false" customHeight="true" outlineLevel="0" collapsed="false">
      <c r="A244" s="28" t="n">
        <v>240</v>
      </c>
      <c r="B244" s="29" t="s">
        <v>320</v>
      </c>
      <c r="C244" s="30" t="s">
        <v>617</v>
      </c>
      <c r="D244" s="30" t="s">
        <v>618</v>
      </c>
      <c r="E244" s="28" t="str">
        <f aca="false">IF($C244="","",IF(MID($C244,5,1)="S","S(봄)",IF(MID($C244,5,1)="M","M(여름)",IF(MID($C244,5,1)="X","X(사계절)",MID($C244,5,1)))))</f>
        <v>M(여름)</v>
      </c>
      <c r="F244" s="29" t="s">
        <v>106</v>
      </c>
      <c r="G244" s="31"/>
      <c r="H244" s="28" t="str">
        <f aca="false">IF($C244="","",REPLACE($C244,6,2,"26"))</f>
        <v>8UJJM26101</v>
      </c>
      <c r="I244" s="32" t="str">
        <f aca="false">IFERROR(INDEX(전년출고참조!$B$4:$B$638,MATCH($H244,전년출고참조!$A$4:$A$638,0)),"")</f>
        <v/>
      </c>
      <c r="J244" s="32" t="n">
        <v>46402</v>
      </c>
      <c r="K244" s="32" t="n">
        <f aca="false">IF($G244&lt;&gt;"",IFERROR(DATE(IF(VALUE(LEFT($G244,FIND("월",$G244)-1))&gt;=9,기준정보!$C$6-1,기준정보!$C$6),VALUE(LEFT($G244,FIND("월",$G244)-1)),1+7*(VALUE(SUBSTITUTE(MID($G244,FIND("월",$G244)+1,5),"주",""))-1)),""),IF($I244&lt;&gt;"",IF(ISNUMBER($I244),$I244+364,IFERROR(DATE(IF(VALUE(LEFT($I244,FIND("월",$I244)-1))&gt;=9,기준정보!$C$6-1,기준정보!$C$6),VALUE(LEFT($I244,FIND("월",$I244)-1)),1+7*(VALUE(SUBSTITUTE(MID($I244,FIND("월",$I244)+1,5),"주",""))-1)),"")),IF($J244&lt;&gt;"",$J244,"")))</f>
        <v>46402</v>
      </c>
      <c r="L244" s="28" t="str">
        <f aca="false">IF($G244&lt;&gt;"","계획 주차",IF($I244&lt;&gt;"","전년+1년 예측",IF($J244&lt;&gt;"","전산 입고계획(참고)","미정")))</f>
        <v>전산 입고계획(참고)</v>
      </c>
      <c r="M244" s="32" t="n">
        <f aca="false">IF($K244="","",$K244-기준정보!$C$5)</f>
        <v>46312</v>
      </c>
      <c r="N244" s="33" t="n">
        <f aca="false">IF($M244="","",$M244-기준정보!$C$4)</f>
        <v>71</v>
      </c>
      <c r="O244" s="31" t="s">
        <v>114</v>
      </c>
      <c r="P244" s="20"/>
      <c r="Q244" s="30" t="str">
        <f aca="false">IF($F244="","",IF(AND(ISNUMBER(SEARCH("CMT",$F244)),OR(ISNUMBER(SEARCH("사입",$F244)),ISNUMBER(SEARCH("Buying",$F244)))),"본사/생산처 혼재",IF(ISNUMBER(SEARCH("CMT",$F244)),"본사(소재팀)","생산처")))</f>
        <v>생산처</v>
      </c>
      <c r="R244" s="29" t="s">
        <v>138</v>
      </c>
      <c r="S244" s="29" t="s">
        <v>110</v>
      </c>
      <c r="T244" s="30" t="str">
        <f aca="false">IF($K244="","출고일 미정",IF($O244="X","작지(일매) 미등록",IF($O244="부분","작지(일매) 일부 미등록",IF(AND($P244&lt;&gt;"",$P244&gt;$M244),"소재입고 마감("&amp;TEXT($M244,"MM/DD")&amp;") 초과",IF($O244="","일매 등록여부 확인 필요",IF($P244="","소재 입고일정 확인 필요","정상"))))))</f>
        <v>작지(일매) 미등록</v>
      </c>
      <c r="U244" s="28" t="str">
        <f aca="false">IF($K244="","",IF(OR(LEFT($T244,2)="작지",LEFT($T244,4)="소재입고"),IF(LEFT($E244,1)="S","★ 납기위험(S코드)","◆ 지연주의"),IF($T244="정상","✓ 정상","? 확인필요")))</f>
        <v>◆ 지연주의</v>
      </c>
      <c r="V244" s="31"/>
      <c r="W244" s="19"/>
    </row>
    <row r="245" customFormat="false" ht="15" hidden="false" customHeight="true" outlineLevel="0" collapsed="false">
      <c r="A245" s="28" t="n">
        <v>241</v>
      </c>
      <c r="B245" s="29" t="s">
        <v>294</v>
      </c>
      <c r="C245" s="30" t="s">
        <v>619</v>
      </c>
      <c r="D245" s="29" t="s">
        <v>620</v>
      </c>
      <c r="E245" s="28" t="str">
        <f aca="false">IF($C245="","",IF(MID($C245,5,1)="S","S(봄)",IF(MID($C245,5,1)="M","M(여름)",IF(MID($C245,5,1)="X","X(사계절)",MID($C245,5,1)))))</f>
        <v>M(여름)</v>
      </c>
      <c r="F245" s="29" t="s">
        <v>106</v>
      </c>
      <c r="G245" s="31"/>
      <c r="H245" s="28" t="str">
        <f aca="false">IF($C245="","",REPLACE($C245,6,2,"26"))</f>
        <v>TLTCM26503</v>
      </c>
      <c r="I245" s="32" t="str">
        <f aca="false">IFERROR(INDEX(전년출고참조!$B$4:$B$638,MATCH($H245,전년출고참조!$A$4:$A$638,0)),"")</f>
        <v/>
      </c>
      <c r="J245" s="32" t="n">
        <v>46405</v>
      </c>
      <c r="K245" s="32" t="n">
        <f aca="false">IF($G245&lt;&gt;"",IFERROR(DATE(IF(VALUE(LEFT($G245,FIND("월",$G245)-1))&gt;=9,기준정보!$C$6-1,기준정보!$C$6),VALUE(LEFT($G245,FIND("월",$G245)-1)),1+7*(VALUE(SUBSTITUTE(MID($G245,FIND("월",$G245)+1,5),"주",""))-1)),""),IF($I245&lt;&gt;"",IF(ISNUMBER($I245),$I245+364,IFERROR(DATE(IF(VALUE(LEFT($I245,FIND("월",$I245)-1))&gt;=9,기준정보!$C$6-1,기준정보!$C$6),VALUE(LEFT($I245,FIND("월",$I245)-1)),1+7*(VALUE(SUBSTITUTE(MID($I245,FIND("월",$I245)+1,5),"주",""))-1)),"")),IF($J245&lt;&gt;"",$J245,"")))</f>
        <v>46405</v>
      </c>
      <c r="L245" s="28" t="str">
        <f aca="false">IF($G245&lt;&gt;"","계획 주차",IF($I245&lt;&gt;"","전년+1년 예측",IF($J245&lt;&gt;"","전산 입고계획(참고)","미정")))</f>
        <v>전산 입고계획(참고)</v>
      </c>
      <c r="M245" s="32" t="n">
        <f aca="false">IF($K245="","",$K245-기준정보!$C$5)</f>
        <v>46315</v>
      </c>
      <c r="N245" s="33" t="n">
        <f aca="false">IF($M245="","",$M245-기준정보!$C$4)</f>
        <v>74</v>
      </c>
      <c r="O245" s="31" t="s">
        <v>108</v>
      </c>
      <c r="P245" s="20"/>
      <c r="Q245" s="30" t="str">
        <f aca="false">IF($F245="","",IF(AND(ISNUMBER(SEARCH("CMT",$F245)),OR(ISNUMBER(SEARCH("사입",$F245)),ISNUMBER(SEARCH("Buying",$F245)))),"본사/생산처 혼재",IF(ISNUMBER(SEARCH("CMT",$F245)),"본사(소재팀)","생산처")))</f>
        <v>생산처</v>
      </c>
      <c r="R245" s="29" t="s">
        <v>156</v>
      </c>
      <c r="S245" s="29" t="s">
        <v>110</v>
      </c>
      <c r="T245" s="30" t="str">
        <f aca="false">IF($K245="","출고일 미정",IF($O245="X","작지(일매) 미등록",IF($O245="부분","작지(일매) 일부 미등록",IF(AND($P245&lt;&gt;"",$P245&gt;$M245),"소재입고 마감("&amp;TEXT($M245,"MM/DD")&amp;") 초과",IF($O245="","일매 등록여부 확인 필요",IF($P245="","소재 입고일정 확인 필요","정상"))))))</f>
        <v>소재 입고일정 확인 필요</v>
      </c>
      <c r="U245" s="28" t="str">
        <f aca="false">IF($K245="","",IF(OR(LEFT($T245,2)="작지",LEFT($T245,4)="소재입고"),IF(LEFT($E245,1)="S","★ 납기위험(S코드)","◆ 지연주의"),IF($T245="정상","✓ 정상","? 확인필요")))</f>
        <v>? 확인필요</v>
      </c>
      <c r="V245" s="31"/>
      <c r="W245" s="19"/>
    </row>
    <row r="246" customFormat="false" ht="15" hidden="false" customHeight="true" outlineLevel="0" collapsed="false">
      <c r="A246" s="28" t="n">
        <v>242</v>
      </c>
      <c r="B246" s="29" t="s">
        <v>294</v>
      </c>
      <c r="C246" s="30" t="s">
        <v>621</v>
      </c>
      <c r="D246" s="29" t="s">
        <v>622</v>
      </c>
      <c r="E246" s="28" t="str">
        <f aca="false">IF($C246="","",IF(MID($C246,5,1)="S","S(봄)",IF(MID($C246,5,1)="M","M(여름)",IF(MID($C246,5,1)="X","X(사계절)",MID($C246,5,1)))))</f>
        <v>M(여름)</v>
      </c>
      <c r="F246" s="29" t="s">
        <v>106</v>
      </c>
      <c r="G246" s="31"/>
      <c r="H246" s="28" t="str">
        <f aca="false">IF($C246="","",REPLACE($C246,6,2,"26"))</f>
        <v>TVTCM26504</v>
      </c>
      <c r="I246" s="32" t="str">
        <f aca="false">IFERROR(INDEX(전년출고참조!$B$4:$B$638,MATCH($H246,전년출고참조!$A$4:$A$638,0)),"")</f>
        <v/>
      </c>
      <c r="J246" s="32" t="n">
        <v>46405</v>
      </c>
      <c r="K246" s="32" t="n">
        <f aca="false">IF($G246&lt;&gt;"",IFERROR(DATE(IF(VALUE(LEFT($G246,FIND("월",$G246)-1))&gt;=9,기준정보!$C$6-1,기준정보!$C$6),VALUE(LEFT($G246,FIND("월",$G246)-1)),1+7*(VALUE(SUBSTITUTE(MID($G246,FIND("월",$G246)+1,5),"주",""))-1)),""),IF($I246&lt;&gt;"",IF(ISNUMBER($I246),$I246+364,IFERROR(DATE(IF(VALUE(LEFT($I246,FIND("월",$I246)-1))&gt;=9,기준정보!$C$6-1,기준정보!$C$6),VALUE(LEFT($I246,FIND("월",$I246)-1)),1+7*(VALUE(SUBSTITUTE(MID($I246,FIND("월",$I246)+1,5),"주",""))-1)),"")),IF($J246&lt;&gt;"",$J246,"")))</f>
        <v>46405</v>
      </c>
      <c r="L246" s="28" t="str">
        <f aca="false">IF($G246&lt;&gt;"","계획 주차",IF($I246&lt;&gt;"","전년+1년 예측",IF($J246&lt;&gt;"","전산 입고계획(참고)","미정")))</f>
        <v>전산 입고계획(참고)</v>
      </c>
      <c r="M246" s="32" t="n">
        <f aca="false">IF($K246="","",$K246-기준정보!$C$5)</f>
        <v>46315</v>
      </c>
      <c r="N246" s="33" t="n">
        <f aca="false">IF($M246="","",$M246-기준정보!$C$4)</f>
        <v>74</v>
      </c>
      <c r="O246" s="31" t="s">
        <v>108</v>
      </c>
      <c r="P246" s="20"/>
      <c r="Q246" s="30" t="str">
        <f aca="false">IF($F246="","",IF(AND(ISNUMBER(SEARCH("CMT",$F246)),OR(ISNUMBER(SEARCH("사입",$F246)),ISNUMBER(SEARCH("Buying",$F246)))),"본사/생산처 혼재",IF(ISNUMBER(SEARCH("CMT",$F246)),"본사(소재팀)","생산처")))</f>
        <v>생산처</v>
      </c>
      <c r="R246" s="29" t="s">
        <v>156</v>
      </c>
      <c r="S246" s="29" t="s">
        <v>110</v>
      </c>
      <c r="T246" s="30" t="str">
        <f aca="false">IF($K246="","출고일 미정",IF($O246="X","작지(일매) 미등록",IF($O246="부분","작지(일매) 일부 미등록",IF(AND($P246&lt;&gt;"",$P246&gt;$M246),"소재입고 마감("&amp;TEXT($M246,"MM/DD")&amp;") 초과",IF($O246="","일매 등록여부 확인 필요",IF($P246="","소재 입고일정 확인 필요","정상"))))))</f>
        <v>소재 입고일정 확인 필요</v>
      </c>
      <c r="U246" s="28" t="str">
        <f aca="false">IF($K246="","",IF(OR(LEFT($T246,2)="작지",LEFT($T246,4)="소재입고"),IF(LEFT($E246,1)="S","★ 납기위험(S코드)","◆ 지연주의"),IF($T246="정상","✓ 정상","? 확인필요")))</f>
        <v>? 확인필요</v>
      </c>
      <c r="V246" s="31"/>
      <c r="W246" s="19"/>
    </row>
    <row r="247" customFormat="false" ht="15" hidden="false" customHeight="true" outlineLevel="0" collapsed="false">
      <c r="A247" s="28" t="n">
        <v>243</v>
      </c>
      <c r="B247" s="29" t="s">
        <v>218</v>
      </c>
      <c r="C247" s="30" t="s">
        <v>623</v>
      </c>
      <c r="D247" s="29" t="s">
        <v>624</v>
      </c>
      <c r="E247" s="28" t="str">
        <f aca="false">IF($C247="","",IF(MID($C247,5,1)="S","S(봄)",IF(MID($C247,5,1)="M","M(여름)",IF(MID($C247,5,1)="X","X(사계절)",MID($C247,5,1)))))</f>
        <v>M(여름)</v>
      </c>
      <c r="F247" s="29" t="s">
        <v>106</v>
      </c>
      <c r="G247" s="31"/>
      <c r="H247" s="28" t="str">
        <f aca="false">IF($C247="","",REPLACE($C247,6,2,"26"))</f>
        <v>JKJJM26182</v>
      </c>
      <c r="I247" s="32" t="str">
        <f aca="false">IFERROR(INDEX(전년출고참조!$B$4:$B$638,MATCH($H247,전년출고참조!$A$4:$A$638,0)),"")</f>
        <v/>
      </c>
      <c r="J247" s="32" t="n">
        <v>46408</v>
      </c>
      <c r="K247" s="32" t="n">
        <f aca="false">IF($G247&lt;&gt;"",IFERROR(DATE(IF(VALUE(LEFT($G247,FIND("월",$G247)-1))&gt;=9,기준정보!$C$6-1,기준정보!$C$6),VALUE(LEFT($G247,FIND("월",$G247)-1)),1+7*(VALUE(SUBSTITUTE(MID($G247,FIND("월",$G247)+1,5),"주",""))-1)),""),IF($I247&lt;&gt;"",IF(ISNUMBER($I247),$I247+364,IFERROR(DATE(IF(VALUE(LEFT($I247,FIND("월",$I247)-1))&gt;=9,기준정보!$C$6-1,기준정보!$C$6),VALUE(LEFT($I247,FIND("월",$I247)-1)),1+7*(VALUE(SUBSTITUTE(MID($I247,FIND("월",$I247)+1,5),"주",""))-1)),"")),IF($J247&lt;&gt;"",$J247,"")))</f>
        <v>46408</v>
      </c>
      <c r="L247" s="28" t="str">
        <f aca="false">IF($G247&lt;&gt;"","계획 주차",IF($I247&lt;&gt;"","전년+1년 예측",IF($J247&lt;&gt;"","전산 입고계획(참고)","미정")))</f>
        <v>전산 입고계획(참고)</v>
      </c>
      <c r="M247" s="32" t="n">
        <f aca="false">IF($K247="","",$K247-기준정보!$C$5)</f>
        <v>46318</v>
      </c>
      <c r="N247" s="33" t="n">
        <f aca="false">IF($M247="","",$M247-기준정보!$C$4)</f>
        <v>77</v>
      </c>
      <c r="O247" s="31" t="s">
        <v>114</v>
      </c>
      <c r="P247" s="20"/>
      <c r="Q247" s="30" t="str">
        <f aca="false">IF($F247="","",IF(AND(ISNUMBER(SEARCH("CMT",$F247)),OR(ISNUMBER(SEARCH("사입",$F247)),ISNUMBER(SEARCH("Buying",$F247)))),"본사/생산처 혼재",IF(ISNUMBER(SEARCH("CMT",$F247)),"본사(소재팀)","생산처")))</f>
        <v>생산처</v>
      </c>
      <c r="R247" s="29" t="s">
        <v>119</v>
      </c>
      <c r="S247" s="29" t="s">
        <v>110</v>
      </c>
      <c r="T247" s="30" t="str">
        <f aca="false">IF($K247="","출고일 미정",IF($O247="X","작지(일매) 미등록",IF($O247="부분","작지(일매) 일부 미등록",IF(AND($P247&lt;&gt;"",$P247&gt;$M247),"소재입고 마감("&amp;TEXT($M247,"MM/DD")&amp;") 초과",IF($O247="","일매 등록여부 확인 필요",IF($P247="","소재 입고일정 확인 필요","정상"))))))</f>
        <v>작지(일매) 미등록</v>
      </c>
      <c r="U247" s="28" t="str">
        <f aca="false">IF($K247="","",IF(OR(LEFT($T247,2)="작지",LEFT($T247,4)="소재입고"),IF(LEFT($E247,1)="S","★ 납기위험(S코드)","◆ 지연주의"),IF($T247="정상","✓ 정상","? 확인필요")))</f>
        <v>◆ 지연주의</v>
      </c>
      <c r="V247" s="31"/>
      <c r="W247" s="19"/>
    </row>
    <row r="248" customFormat="false" ht="15" hidden="false" customHeight="true" outlineLevel="0" collapsed="false">
      <c r="A248" s="28" t="n">
        <v>244</v>
      </c>
      <c r="B248" s="29" t="s">
        <v>182</v>
      </c>
      <c r="C248" s="30" t="s">
        <v>625</v>
      </c>
      <c r="D248" s="29" t="s">
        <v>626</v>
      </c>
      <c r="E248" s="28" t="str">
        <f aca="false">IF($C248="","",IF(MID($C248,5,1)="S","S(봄)",IF(MID($C248,5,1)="M","M(여름)",IF(MID($C248,5,1)="X","X(사계절)",MID($C248,5,1)))))</f>
        <v>M(여름)</v>
      </c>
      <c r="F248" s="30" t="s">
        <v>141</v>
      </c>
      <c r="G248" s="31"/>
      <c r="H248" s="28" t="str">
        <f aca="false">IF($C248="","",REPLACE($C248,6,2,"26"))</f>
        <v>TLPNM26501</v>
      </c>
      <c r="I248" s="32" t="str">
        <f aca="false">IFERROR(INDEX(전년출고참조!$B$4:$B$638,MATCH($H248,전년출고참조!$A$4:$A$638,0)),"")</f>
        <v/>
      </c>
      <c r="J248" s="32" t="n">
        <v>46408</v>
      </c>
      <c r="K248" s="32" t="n">
        <f aca="false">IF($G248&lt;&gt;"",IFERROR(DATE(IF(VALUE(LEFT($G248,FIND("월",$G248)-1))&gt;=9,기준정보!$C$6-1,기준정보!$C$6),VALUE(LEFT($G248,FIND("월",$G248)-1)),1+7*(VALUE(SUBSTITUTE(MID($G248,FIND("월",$G248)+1,5),"주",""))-1)),""),IF($I248&lt;&gt;"",IF(ISNUMBER($I248),$I248+364,IFERROR(DATE(IF(VALUE(LEFT($I248,FIND("월",$I248)-1))&gt;=9,기준정보!$C$6-1,기준정보!$C$6),VALUE(LEFT($I248,FIND("월",$I248)-1)),1+7*(VALUE(SUBSTITUTE(MID($I248,FIND("월",$I248)+1,5),"주",""))-1)),"")),IF($J248&lt;&gt;"",$J248,"")))</f>
        <v>46408</v>
      </c>
      <c r="L248" s="28" t="str">
        <f aca="false">IF($G248&lt;&gt;"","계획 주차",IF($I248&lt;&gt;"","전년+1년 예측",IF($J248&lt;&gt;"","전산 입고계획(참고)","미정")))</f>
        <v>전산 입고계획(참고)</v>
      </c>
      <c r="M248" s="32" t="n">
        <f aca="false">IF($K248="","",$K248-기준정보!$C$5)</f>
        <v>46318</v>
      </c>
      <c r="N248" s="33" t="n">
        <f aca="false">IF($M248="","",$M248-기준정보!$C$4)</f>
        <v>77</v>
      </c>
      <c r="O248" s="31" t="s">
        <v>108</v>
      </c>
      <c r="P248" s="20"/>
      <c r="Q248" s="30" t="str">
        <f aca="false">IF($F248="","",IF(AND(ISNUMBER(SEARCH("CMT",$F248)),OR(ISNUMBER(SEARCH("사입",$F248)),ISNUMBER(SEARCH("Buying",$F248)))),"본사/생산처 혼재",IF(ISNUMBER(SEARCH("CMT",$F248)),"본사(소재팀)","생산처")))</f>
        <v>본사(소재팀)</v>
      </c>
      <c r="R248" s="29" t="s">
        <v>145</v>
      </c>
      <c r="S248" s="29" t="s">
        <v>110</v>
      </c>
      <c r="T248" s="30" t="str">
        <f aca="false">IF($K248="","출고일 미정",IF($O248="X","작지(일매) 미등록",IF($O248="부분","작지(일매) 일부 미등록",IF(AND($P248&lt;&gt;"",$P248&gt;$M248),"소재입고 마감("&amp;TEXT($M248,"MM/DD")&amp;") 초과",IF($O248="","일매 등록여부 확인 필요",IF($P248="","소재 입고일정 확인 필요","정상"))))))</f>
        <v>소재 입고일정 확인 필요</v>
      </c>
      <c r="U248" s="28" t="str">
        <f aca="false">IF($K248="","",IF(OR(LEFT($T248,2)="작지",LEFT($T248,4)="소재입고"),IF(LEFT($E248,1)="S","★ 납기위험(S코드)","◆ 지연주의"),IF($T248="정상","✓ 정상","? 확인필요")))</f>
        <v>? 확인필요</v>
      </c>
      <c r="V248" s="31"/>
      <c r="W248" s="19"/>
    </row>
    <row r="249" customFormat="false" ht="15" hidden="false" customHeight="true" outlineLevel="0" collapsed="false">
      <c r="A249" s="28" t="n">
        <v>245</v>
      </c>
      <c r="B249" s="29" t="s">
        <v>182</v>
      </c>
      <c r="C249" s="30" t="s">
        <v>627</v>
      </c>
      <c r="D249" s="29" t="s">
        <v>628</v>
      </c>
      <c r="E249" s="28" t="str">
        <f aca="false">IF($C249="","",IF(MID($C249,5,1)="S","S(봄)",IF(MID($C249,5,1)="M","M(여름)",IF(MID($C249,5,1)="X","X(사계절)",MID($C249,5,1)))))</f>
        <v>M(여름)</v>
      </c>
      <c r="F249" s="30" t="s">
        <v>141</v>
      </c>
      <c r="G249" s="31"/>
      <c r="H249" s="28" t="str">
        <f aca="false">IF($C249="","",REPLACE($C249,6,2,"26"))</f>
        <v>TLPNM26511</v>
      </c>
      <c r="I249" s="32" t="str">
        <f aca="false">IFERROR(INDEX(전년출고참조!$B$4:$B$638,MATCH($H249,전년출고참조!$A$4:$A$638,0)),"")</f>
        <v/>
      </c>
      <c r="J249" s="32" t="n">
        <v>46408</v>
      </c>
      <c r="K249" s="32" t="n">
        <f aca="false">IF($G249&lt;&gt;"",IFERROR(DATE(IF(VALUE(LEFT($G249,FIND("월",$G249)-1))&gt;=9,기준정보!$C$6-1,기준정보!$C$6),VALUE(LEFT($G249,FIND("월",$G249)-1)),1+7*(VALUE(SUBSTITUTE(MID($G249,FIND("월",$G249)+1,5),"주",""))-1)),""),IF($I249&lt;&gt;"",IF(ISNUMBER($I249),$I249+364,IFERROR(DATE(IF(VALUE(LEFT($I249,FIND("월",$I249)-1))&gt;=9,기준정보!$C$6-1,기준정보!$C$6),VALUE(LEFT($I249,FIND("월",$I249)-1)),1+7*(VALUE(SUBSTITUTE(MID($I249,FIND("월",$I249)+1,5),"주",""))-1)),"")),IF($J249&lt;&gt;"",$J249,"")))</f>
        <v>46408</v>
      </c>
      <c r="L249" s="28" t="str">
        <f aca="false">IF($G249&lt;&gt;"","계획 주차",IF($I249&lt;&gt;"","전년+1년 예측",IF($J249&lt;&gt;"","전산 입고계획(참고)","미정")))</f>
        <v>전산 입고계획(참고)</v>
      </c>
      <c r="M249" s="32" t="n">
        <f aca="false">IF($K249="","",$K249-기준정보!$C$5)</f>
        <v>46318</v>
      </c>
      <c r="N249" s="33" t="n">
        <f aca="false">IF($M249="","",$M249-기준정보!$C$4)</f>
        <v>77</v>
      </c>
      <c r="O249" s="31" t="s">
        <v>108</v>
      </c>
      <c r="P249" s="20"/>
      <c r="Q249" s="30" t="str">
        <f aca="false">IF($F249="","",IF(AND(ISNUMBER(SEARCH("CMT",$F249)),OR(ISNUMBER(SEARCH("사입",$F249)),ISNUMBER(SEARCH("Buying",$F249)))),"본사/생산처 혼재",IF(ISNUMBER(SEARCH("CMT",$F249)),"본사(소재팀)","생산처")))</f>
        <v>본사(소재팀)</v>
      </c>
      <c r="R249" s="29" t="s">
        <v>142</v>
      </c>
      <c r="S249" s="29" t="s">
        <v>110</v>
      </c>
      <c r="T249" s="30" t="str">
        <f aca="false">IF($K249="","출고일 미정",IF($O249="X","작지(일매) 미등록",IF($O249="부분","작지(일매) 일부 미등록",IF(AND($P249&lt;&gt;"",$P249&gt;$M249),"소재입고 마감("&amp;TEXT($M249,"MM/DD")&amp;") 초과",IF($O249="","일매 등록여부 확인 필요",IF($P249="","소재 입고일정 확인 필요","정상"))))))</f>
        <v>소재 입고일정 확인 필요</v>
      </c>
      <c r="U249" s="28" t="str">
        <f aca="false">IF($K249="","",IF(OR(LEFT($T249,2)="작지",LEFT($T249,4)="소재입고"),IF(LEFT($E249,1)="S","★ 납기위험(S코드)","◆ 지연주의"),IF($T249="정상","✓ 정상","? 확인필요")))</f>
        <v>? 확인필요</v>
      </c>
      <c r="V249" s="31"/>
      <c r="W249" s="19"/>
    </row>
    <row r="250" customFormat="false" ht="15" hidden="false" customHeight="true" outlineLevel="0" collapsed="false">
      <c r="A250" s="28" t="n">
        <v>246</v>
      </c>
      <c r="B250" s="29" t="s">
        <v>182</v>
      </c>
      <c r="C250" s="30" t="s">
        <v>629</v>
      </c>
      <c r="D250" s="29" t="s">
        <v>630</v>
      </c>
      <c r="E250" s="28" t="str">
        <f aca="false">IF($C250="","",IF(MID($C250,5,1)="S","S(봄)",IF(MID($C250,5,1)="M","M(여름)",IF(MID($C250,5,1)="X","X(사계절)",MID($C250,5,1)))))</f>
        <v>M(여름)</v>
      </c>
      <c r="F250" s="30" t="s">
        <v>141</v>
      </c>
      <c r="G250" s="31"/>
      <c r="H250" s="28" t="str">
        <f aca="false">IF($C250="","",REPLACE($C250,6,2,"26"))</f>
        <v>TLPNM26541</v>
      </c>
      <c r="I250" s="32" t="str">
        <f aca="false">IFERROR(INDEX(전년출고참조!$B$4:$B$638,MATCH($H250,전년출고참조!$A$4:$A$638,0)),"")</f>
        <v/>
      </c>
      <c r="J250" s="32" t="n">
        <v>46408</v>
      </c>
      <c r="K250" s="32" t="n">
        <f aca="false">IF($G250&lt;&gt;"",IFERROR(DATE(IF(VALUE(LEFT($G250,FIND("월",$G250)-1))&gt;=9,기준정보!$C$6-1,기준정보!$C$6),VALUE(LEFT($G250,FIND("월",$G250)-1)),1+7*(VALUE(SUBSTITUTE(MID($G250,FIND("월",$G250)+1,5),"주",""))-1)),""),IF($I250&lt;&gt;"",IF(ISNUMBER($I250),$I250+364,IFERROR(DATE(IF(VALUE(LEFT($I250,FIND("월",$I250)-1))&gt;=9,기준정보!$C$6-1,기준정보!$C$6),VALUE(LEFT($I250,FIND("월",$I250)-1)),1+7*(VALUE(SUBSTITUTE(MID($I250,FIND("월",$I250)+1,5),"주",""))-1)),"")),IF($J250&lt;&gt;"",$J250,"")))</f>
        <v>46408</v>
      </c>
      <c r="L250" s="28" t="str">
        <f aca="false">IF($G250&lt;&gt;"","계획 주차",IF($I250&lt;&gt;"","전년+1년 예측",IF($J250&lt;&gt;"","전산 입고계획(참고)","미정")))</f>
        <v>전산 입고계획(참고)</v>
      </c>
      <c r="M250" s="32" t="n">
        <f aca="false">IF($K250="","",$K250-기준정보!$C$5)</f>
        <v>46318</v>
      </c>
      <c r="N250" s="33" t="n">
        <f aca="false">IF($M250="","",$M250-기준정보!$C$4)</f>
        <v>77</v>
      </c>
      <c r="O250" s="31" t="s">
        <v>108</v>
      </c>
      <c r="P250" s="20"/>
      <c r="Q250" s="30" t="str">
        <f aca="false">IF($F250="","",IF(AND(ISNUMBER(SEARCH("CMT",$F250)),OR(ISNUMBER(SEARCH("사입",$F250)),ISNUMBER(SEARCH("Buying",$F250)))),"본사/생산처 혼재",IF(ISNUMBER(SEARCH("CMT",$F250)),"본사(소재팀)","생산처")))</f>
        <v>본사(소재팀)</v>
      </c>
      <c r="R250" s="29" t="s">
        <v>145</v>
      </c>
      <c r="S250" s="29" t="s">
        <v>110</v>
      </c>
      <c r="T250" s="30" t="str">
        <f aca="false">IF($K250="","출고일 미정",IF($O250="X","작지(일매) 미등록",IF($O250="부분","작지(일매) 일부 미등록",IF(AND($P250&lt;&gt;"",$P250&gt;$M250),"소재입고 마감("&amp;TEXT($M250,"MM/DD")&amp;") 초과",IF($O250="","일매 등록여부 확인 필요",IF($P250="","소재 입고일정 확인 필요","정상"))))))</f>
        <v>소재 입고일정 확인 필요</v>
      </c>
      <c r="U250" s="28" t="str">
        <f aca="false">IF($K250="","",IF(OR(LEFT($T250,2)="작지",LEFT($T250,4)="소재입고"),IF(LEFT($E250,1)="S","★ 납기위험(S코드)","◆ 지연주의"),IF($T250="정상","✓ 정상","? 확인필요")))</f>
        <v>? 확인필요</v>
      </c>
      <c r="V250" s="31"/>
      <c r="W250" s="19"/>
    </row>
    <row r="251" customFormat="false" ht="15" hidden="false" customHeight="true" outlineLevel="0" collapsed="false">
      <c r="A251" s="28" t="n">
        <v>247</v>
      </c>
      <c r="B251" s="29" t="s">
        <v>182</v>
      </c>
      <c r="C251" s="30" t="s">
        <v>631</v>
      </c>
      <c r="D251" s="29" t="s">
        <v>632</v>
      </c>
      <c r="E251" s="28" t="str">
        <f aca="false">IF($C251="","",IF(MID($C251,5,1)="S","S(봄)",IF(MID($C251,5,1)="M","M(여름)",IF(MID($C251,5,1)="X","X(사계절)",MID($C251,5,1)))))</f>
        <v>M(여름)</v>
      </c>
      <c r="F251" s="29" t="s">
        <v>106</v>
      </c>
      <c r="G251" s="31"/>
      <c r="H251" s="28" t="str">
        <f aca="false">IF($C251="","",REPLACE($C251,6,2,"26"))</f>
        <v>TLPNM26911</v>
      </c>
      <c r="I251" s="32" t="str">
        <f aca="false">IFERROR(INDEX(전년출고참조!$B$4:$B$638,MATCH($H251,전년출고참조!$A$4:$A$638,0)),"")</f>
        <v/>
      </c>
      <c r="J251" s="32" t="n">
        <v>46408</v>
      </c>
      <c r="K251" s="32" t="n">
        <f aca="false">IF($G251&lt;&gt;"",IFERROR(DATE(IF(VALUE(LEFT($G251,FIND("월",$G251)-1))&gt;=9,기준정보!$C$6-1,기준정보!$C$6),VALUE(LEFT($G251,FIND("월",$G251)-1)),1+7*(VALUE(SUBSTITUTE(MID($G251,FIND("월",$G251)+1,5),"주",""))-1)),""),IF($I251&lt;&gt;"",IF(ISNUMBER($I251),$I251+364,IFERROR(DATE(IF(VALUE(LEFT($I251,FIND("월",$I251)-1))&gt;=9,기준정보!$C$6-1,기준정보!$C$6),VALUE(LEFT($I251,FIND("월",$I251)-1)),1+7*(VALUE(SUBSTITUTE(MID($I251,FIND("월",$I251)+1,5),"주",""))-1)),"")),IF($J251&lt;&gt;"",$J251,"")))</f>
        <v>46408</v>
      </c>
      <c r="L251" s="28" t="str">
        <f aca="false">IF($G251&lt;&gt;"","계획 주차",IF($I251&lt;&gt;"","전년+1년 예측",IF($J251&lt;&gt;"","전산 입고계획(참고)","미정")))</f>
        <v>전산 입고계획(참고)</v>
      </c>
      <c r="M251" s="32" t="n">
        <f aca="false">IF($K251="","",$K251-기준정보!$C$5)</f>
        <v>46318</v>
      </c>
      <c r="N251" s="33" t="n">
        <f aca="false">IF($M251="","",$M251-기준정보!$C$4)</f>
        <v>77</v>
      </c>
      <c r="O251" s="31" t="s">
        <v>108</v>
      </c>
      <c r="P251" s="20"/>
      <c r="Q251" s="30" t="str">
        <f aca="false">IF($F251="","",IF(AND(ISNUMBER(SEARCH("CMT",$F251)),OR(ISNUMBER(SEARCH("사입",$F251)),ISNUMBER(SEARCH("Buying",$F251)))),"본사/생산처 혼재",IF(ISNUMBER(SEARCH("CMT",$F251)),"본사(소재팀)","생산처")))</f>
        <v>생산처</v>
      </c>
      <c r="R251" s="29" t="s">
        <v>189</v>
      </c>
      <c r="S251" s="29" t="s">
        <v>110</v>
      </c>
      <c r="T251" s="30" t="str">
        <f aca="false">IF($K251="","출고일 미정",IF($O251="X","작지(일매) 미등록",IF($O251="부분","작지(일매) 일부 미등록",IF(AND($P251&lt;&gt;"",$P251&gt;$M251),"소재입고 마감("&amp;TEXT($M251,"MM/DD")&amp;") 초과",IF($O251="","일매 등록여부 확인 필요",IF($P251="","소재 입고일정 확인 필요","정상"))))))</f>
        <v>소재 입고일정 확인 필요</v>
      </c>
      <c r="U251" s="28" t="str">
        <f aca="false">IF($K251="","",IF(OR(LEFT($T251,2)="작지",LEFT($T251,4)="소재입고"),IF(LEFT($E251,1)="S","★ 납기위험(S코드)","◆ 지연주의"),IF($T251="정상","✓ 정상","? 확인필요")))</f>
        <v>? 확인필요</v>
      </c>
      <c r="V251" s="31"/>
      <c r="W251" s="19"/>
    </row>
    <row r="252" customFormat="false" ht="15" hidden="false" customHeight="true" outlineLevel="0" collapsed="false">
      <c r="A252" s="28" t="n">
        <v>248</v>
      </c>
      <c r="B252" s="29" t="s">
        <v>182</v>
      </c>
      <c r="C252" s="30" t="s">
        <v>633</v>
      </c>
      <c r="D252" s="29" t="s">
        <v>634</v>
      </c>
      <c r="E252" s="28" t="str">
        <f aca="false">IF($C252="","",IF(MID($C252,5,1)="S","S(봄)",IF(MID($C252,5,1)="M","M(여름)",IF(MID($C252,5,1)="X","X(사계절)",MID($C252,5,1)))))</f>
        <v>M(여름)</v>
      </c>
      <c r="F252" s="30" t="s">
        <v>141</v>
      </c>
      <c r="G252" s="31"/>
      <c r="H252" s="28" t="str">
        <f aca="false">IF($C252="","",REPLACE($C252,6,2,"26"))</f>
        <v>TLPOM26501</v>
      </c>
      <c r="I252" s="32" t="str">
        <f aca="false">IFERROR(INDEX(전년출고참조!$B$4:$B$638,MATCH($H252,전년출고참조!$A$4:$A$638,0)),"")</f>
        <v/>
      </c>
      <c r="J252" s="32" t="n">
        <v>46408</v>
      </c>
      <c r="K252" s="32" t="n">
        <f aca="false">IF($G252&lt;&gt;"",IFERROR(DATE(IF(VALUE(LEFT($G252,FIND("월",$G252)-1))&gt;=9,기준정보!$C$6-1,기준정보!$C$6),VALUE(LEFT($G252,FIND("월",$G252)-1)),1+7*(VALUE(SUBSTITUTE(MID($G252,FIND("월",$G252)+1,5),"주",""))-1)),""),IF($I252&lt;&gt;"",IF(ISNUMBER($I252),$I252+364,IFERROR(DATE(IF(VALUE(LEFT($I252,FIND("월",$I252)-1))&gt;=9,기준정보!$C$6-1,기준정보!$C$6),VALUE(LEFT($I252,FIND("월",$I252)-1)),1+7*(VALUE(SUBSTITUTE(MID($I252,FIND("월",$I252)+1,5),"주",""))-1)),"")),IF($J252&lt;&gt;"",$J252,"")))</f>
        <v>46408</v>
      </c>
      <c r="L252" s="28" t="str">
        <f aca="false">IF($G252&lt;&gt;"","계획 주차",IF($I252&lt;&gt;"","전년+1년 예측",IF($J252&lt;&gt;"","전산 입고계획(참고)","미정")))</f>
        <v>전산 입고계획(참고)</v>
      </c>
      <c r="M252" s="32" t="n">
        <f aca="false">IF($K252="","",$K252-기준정보!$C$5)</f>
        <v>46318</v>
      </c>
      <c r="N252" s="33" t="n">
        <f aca="false">IF($M252="","",$M252-기준정보!$C$4)</f>
        <v>77</v>
      </c>
      <c r="O252" s="31" t="s">
        <v>108</v>
      </c>
      <c r="P252" s="20"/>
      <c r="Q252" s="30" t="str">
        <f aca="false">IF($F252="","",IF(AND(ISNUMBER(SEARCH("CMT",$F252)),OR(ISNUMBER(SEARCH("사입",$F252)),ISNUMBER(SEARCH("Buying",$F252)))),"본사/생산처 혼재",IF(ISNUMBER(SEARCH("CMT",$F252)),"본사(소재팀)","생산처")))</f>
        <v>본사(소재팀)</v>
      </c>
      <c r="R252" s="29" t="s">
        <v>145</v>
      </c>
      <c r="S252" s="29" t="s">
        <v>110</v>
      </c>
      <c r="T252" s="30" t="str">
        <f aca="false">IF($K252="","출고일 미정",IF($O252="X","작지(일매) 미등록",IF($O252="부분","작지(일매) 일부 미등록",IF(AND($P252&lt;&gt;"",$P252&gt;$M252),"소재입고 마감("&amp;TEXT($M252,"MM/DD")&amp;") 초과",IF($O252="","일매 등록여부 확인 필요",IF($P252="","소재 입고일정 확인 필요","정상"))))))</f>
        <v>소재 입고일정 확인 필요</v>
      </c>
      <c r="U252" s="28" t="str">
        <f aca="false">IF($K252="","",IF(OR(LEFT($T252,2)="작지",LEFT($T252,4)="소재입고"),IF(LEFT($E252,1)="S","★ 납기위험(S코드)","◆ 지연주의"),IF($T252="정상","✓ 정상","? 확인필요")))</f>
        <v>? 확인필요</v>
      </c>
      <c r="V252" s="31"/>
      <c r="W252" s="19"/>
    </row>
    <row r="253" customFormat="false" ht="15" hidden="false" customHeight="true" outlineLevel="0" collapsed="false">
      <c r="A253" s="28" t="n">
        <v>249</v>
      </c>
      <c r="B253" s="29" t="s">
        <v>182</v>
      </c>
      <c r="C253" s="30" t="s">
        <v>635</v>
      </c>
      <c r="D253" s="29" t="s">
        <v>636</v>
      </c>
      <c r="E253" s="28" t="str">
        <f aca="false">IF($C253="","",IF(MID($C253,5,1)="S","S(봄)",IF(MID($C253,5,1)="M","M(여름)",IF(MID($C253,5,1)="X","X(사계절)",MID($C253,5,1)))))</f>
        <v>M(여름)</v>
      </c>
      <c r="F253" s="30" t="s">
        <v>141</v>
      </c>
      <c r="G253" s="31"/>
      <c r="H253" s="28" t="str">
        <f aca="false">IF($C253="","",REPLACE($C253,6,2,"26"))</f>
        <v>TLPOM26521</v>
      </c>
      <c r="I253" s="32" t="str">
        <f aca="false">IFERROR(INDEX(전년출고참조!$B$4:$B$638,MATCH($H253,전년출고참조!$A$4:$A$638,0)),"")</f>
        <v/>
      </c>
      <c r="J253" s="32" t="n">
        <v>46408</v>
      </c>
      <c r="K253" s="32" t="n">
        <f aca="false">IF($G253&lt;&gt;"",IFERROR(DATE(IF(VALUE(LEFT($G253,FIND("월",$G253)-1))&gt;=9,기준정보!$C$6-1,기준정보!$C$6),VALUE(LEFT($G253,FIND("월",$G253)-1)),1+7*(VALUE(SUBSTITUTE(MID($G253,FIND("월",$G253)+1,5),"주",""))-1)),""),IF($I253&lt;&gt;"",IF(ISNUMBER($I253),$I253+364,IFERROR(DATE(IF(VALUE(LEFT($I253,FIND("월",$I253)-1))&gt;=9,기준정보!$C$6-1,기준정보!$C$6),VALUE(LEFT($I253,FIND("월",$I253)-1)),1+7*(VALUE(SUBSTITUTE(MID($I253,FIND("월",$I253)+1,5),"주",""))-1)),"")),IF($J253&lt;&gt;"",$J253,"")))</f>
        <v>46408</v>
      </c>
      <c r="L253" s="28" t="str">
        <f aca="false">IF($G253&lt;&gt;"","계획 주차",IF($I253&lt;&gt;"","전년+1년 예측",IF($J253&lt;&gt;"","전산 입고계획(참고)","미정")))</f>
        <v>전산 입고계획(참고)</v>
      </c>
      <c r="M253" s="32" t="n">
        <f aca="false">IF($K253="","",$K253-기준정보!$C$5)</f>
        <v>46318</v>
      </c>
      <c r="N253" s="33" t="n">
        <f aca="false">IF($M253="","",$M253-기준정보!$C$4)</f>
        <v>77</v>
      </c>
      <c r="O253" s="31" t="s">
        <v>108</v>
      </c>
      <c r="P253" s="20"/>
      <c r="Q253" s="30" t="str">
        <f aca="false">IF($F253="","",IF(AND(ISNUMBER(SEARCH("CMT",$F253)),OR(ISNUMBER(SEARCH("사입",$F253)),ISNUMBER(SEARCH("Buying",$F253)))),"본사/생산처 혼재",IF(ISNUMBER(SEARCH("CMT",$F253)),"본사(소재팀)","생산처")))</f>
        <v>본사(소재팀)</v>
      </c>
      <c r="R253" s="29" t="s">
        <v>148</v>
      </c>
      <c r="S253" s="29" t="s">
        <v>110</v>
      </c>
      <c r="T253" s="30" t="str">
        <f aca="false">IF($K253="","출고일 미정",IF($O253="X","작지(일매) 미등록",IF($O253="부분","작지(일매) 일부 미등록",IF(AND($P253&lt;&gt;"",$P253&gt;$M253),"소재입고 마감("&amp;TEXT($M253,"MM/DD")&amp;") 초과",IF($O253="","일매 등록여부 확인 필요",IF($P253="","소재 입고일정 확인 필요","정상"))))))</f>
        <v>소재 입고일정 확인 필요</v>
      </c>
      <c r="U253" s="28" t="str">
        <f aca="false">IF($K253="","",IF(OR(LEFT($T253,2)="작지",LEFT($T253,4)="소재입고"),IF(LEFT($E253,1)="S","★ 납기위험(S코드)","◆ 지연주의"),IF($T253="정상","✓ 정상","? 확인필요")))</f>
        <v>? 확인필요</v>
      </c>
      <c r="V253" s="31"/>
      <c r="W253" s="19"/>
    </row>
    <row r="254" customFormat="false" ht="15" hidden="false" customHeight="true" outlineLevel="0" collapsed="false">
      <c r="A254" s="28" t="n">
        <v>250</v>
      </c>
      <c r="B254" s="29" t="s">
        <v>182</v>
      </c>
      <c r="C254" s="30" t="s">
        <v>637</v>
      </c>
      <c r="D254" s="29" t="s">
        <v>638</v>
      </c>
      <c r="E254" s="28" t="str">
        <f aca="false">IF($C254="","",IF(MID($C254,5,1)="S","S(봄)",IF(MID($C254,5,1)="M","M(여름)",IF(MID($C254,5,1)="X","X(사계절)",MID($C254,5,1)))))</f>
        <v>M(여름)</v>
      </c>
      <c r="F254" s="30" t="s">
        <v>141</v>
      </c>
      <c r="G254" s="31"/>
      <c r="H254" s="28" t="str">
        <f aca="false">IF($C254="","",REPLACE($C254,6,2,"26"))</f>
        <v>TLPOM26531</v>
      </c>
      <c r="I254" s="32" t="str">
        <f aca="false">IFERROR(INDEX(전년출고참조!$B$4:$B$638,MATCH($H254,전년출고참조!$A$4:$A$638,0)),"")</f>
        <v/>
      </c>
      <c r="J254" s="32" t="n">
        <v>46408</v>
      </c>
      <c r="K254" s="32" t="n">
        <f aca="false">IF($G254&lt;&gt;"",IFERROR(DATE(IF(VALUE(LEFT($G254,FIND("월",$G254)-1))&gt;=9,기준정보!$C$6-1,기준정보!$C$6),VALUE(LEFT($G254,FIND("월",$G254)-1)),1+7*(VALUE(SUBSTITUTE(MID($G254,FIND("월",$G254)+1,5),"주",""))-1)),""),IF($I254&lt;&gt;"",IF(ISNUMBER($I254),$I254+364,IFERROR(DATE(IF(VALUE(LEFT($I254,FIND("월",$I254)-1))&gt;=9,기준정보!$C$6-1,기준정보!$C$6),VALUE(LEFT($I254,FIND("월",$I254)-1)),1+7*(VALUE(SUBSTITUTE(MID($I254,FIND("월",$I254)+1,5),"주",""))-1)),"")),IF($J254&lt;&gt;"",$J254,"")))</f>
        <v>46408</v>
      </c>
      <c r="L254" s="28" t="str">
        <f aca="false">IF($G254&lt;&gt;"","계획 주차",IF($I254&lt;&gt;"","전년+1년 예측",IF($J254&lt;&gt;"","전산 입고계획(참고)","미정")))</f>
        <v>전산 입고계획(참고)</v>
      </c>
      <c r="M254" s="32" t="n">
        <f aca="false">IF($K254="","",$K254-기준정보!$C$5)</f>
        <v>46318</v>
      </c>
      <c r="N254" s="33" t="n">
        <f aca="false">IF($M254="","",$M254-기준정보!$C$4)</f>
        <v>77</v>
      </c>
      <c r="O254" s="31" t="s">
        <v>108</v>
      </c>
      <c r="P254" s="20"/>
      <c r="Q254" s="30" t="str">
        <f aca="false">IF($F254="","",IF(AND(ISNUMBER(SEARCH("CMT",$F254)),OR(ISNUMBER(SEARCH("사입",$F254)),ISNUMBER(SEARCH("Buying",$F254)))),"본사/생산처 혼재",IF(ISNUMBER(SEARCH("CMT",$F254)),"본사(소재팀)","생산처")))</f>
        <v>본사(소재팀)</v>
      </c>
      <c r="R254" s="29" t="s">
        <v>145</v>
      </c>
      <c r="S254" s="29" t="s">
        <v>110</v>
      </c>
      <c r="T254" s="30" t="str">
        <f aca="false">IF($K254="","출고일 미정",IF($O254="X","작지(일매) 미등록",IF($O254="부분","작지(일매) 일부 미등록",IF(AND($P254&lt;&gt;"",$P254&gt;$M254),"소재입고 마감("&amp;TEXT($M254,"MM/DD")&amp;") 초과",IF($O254="","일매 등록여부 확인 필요",IF($P254="","소재 입고일정 확인 필요","정상"))))))</f>
        <v>소재 입고일정 확인 필요</v>
      </c>
      <c r="U254" s="28" t="str">
        <f aca="false">IF($K254="","",IF(OR(LEFT($T254,2)="작지",LEFT($T254,4)="소재입고"),IF(LEFT($E254,1)="S","★ 납기위험(S코드)","◆ 지연주의"),IF($T254="정상","✓ 정상","? 확인필요")))</f>
        <v>? 확인필요</v>
      </c>
      <c r="V254" s="31"/>
      <c r="W254" s="19"/>
    </row>
    <row r="255" customFormat="false" ht="15" hidden="false" customHeight="true" outlineLevel="0" collapsed="false">
      <c r="A255" s="28" t="n">
        <v>251</v>
      </c>
      <c r="B255" s="29" t="s">
        <v>182</v>
      </c>
      <c r="C255" s="30" t="s">
        <v>639</v>
      </c>
      <c r="D255" s="29" t="s">
        <v>640</v>
      </c>
      <c r="E255" s="28" t="str">
        <f aca="false">IF($C255="","",IF(MID($C255,5,1)="S","S(봄)",IF(MID($C255,5,1)="M","M(여름)",IF(MID($C255,5,1)="X","X(사계절)",MID($C255,5,1)))))</f>
        <v>M(여름)</v>
      </c>
      <c r="F255" s="29" t="s">
        <v>106</v>
      </c>
      <c r="G255" s="31"/>
      <c r="H255" s="28" t="str">
        <f aca="false">IF($C255="","",REPLACE($C255,6,2,"26"))</f>
        <v>TVJJM26502</v>
      </c>
      <c r="I255" s="32" t="str">
        <f aca="false">IFERROR(INDEX(전년출고참조!$B$4:$B$638,MATCH($H255,전년출고참조!$A$4:$A$638,0)),"")</f>
        <v/>
      </c>
      <c r="J255" s="32" t="n">
        <v>46408</v>
      </c>
      <c r="K255" s="32" t="n">
        <f aca="false">IF($G255&lt;&gt;"",IFERROR(DATE(IF(VALUE(LEFT($G255,FIND("월",$G255)-1))&gt;=9,기준정보!$C$6-1,기준정보!$C$6),VALUE(LEFT($G255,FIND("월",$G255)-1)),1+7*(VALUE(SUBSTITUTE(MID($G255,FIND("월",$G255)+1,5),"주",""))-1)),""),IF($I255&lt;&gt;"",IF(ISNUMBER($I255),$I255+364,IFERROR(DATE(IF(VALUE(LEFT($I255,FIND("월",$I255)-1))&gt;=9,기준정보!$C$6-1,기준정보!$C$6),VALUE(LEFT($I255,FIND("월",$I255)-1)),1+7*(VALUE(SUBSTITUTE(MID($I255,FIND("월",$I255)+1,5),"주",""))-1)),"")),IF($J255&lt;&gt;"",$J255,"")))</f>
        <v>46408</v>
      </c>
      <c r="L255" s="28" t="str">
        <f aca="false">IF($G255&lt;&gt;"","계획 주차",IF($I255&lt;&gt;"","전년+1년 예측",IF($J255&lt;&gt;"","전산 입고계획(참고)","미정")))</f>
        <v>전산 입고계획(참고)</v>
      </c>
      <c r="M255" s="32" t="n">
        <f aca="false">IF($K255="","",$K255-기준정보!$C$5)</f>
        <v>46318</v>
      </c>
      <c r="N255" s="33" t="n">
        <f aca="false">IF($M255="","",$M255-기준정보!$C$4)</f>
        <v>77</v>
      </c>
      <c r="O255" s="31" t="s">
        <v>114</v>
      </c>
      <c r="P255" s="20"/>
      <c r="Q255" s="30" t="str">
        <f aca="false">IF($F255="","",IF(AND(ISNUMBER(SEARCH("CMT",$F255)),OR(ISNUMBER(SEARCH("사입",$F255)),ISNUMBER(SEARCH("Buying",$F255)))),"본사/생산처 혼재",IF(ISNUMBER(SEARCH("CMT",$F255)),"본사(소재팀)","생산처")))</f>
        <v>생산처</v>
      </c>
      <c r="R255" s="29" t="s">
        <v>119</v>
      </c>
      <c r="S255" s="29" t="s">
        <v>110</v>
      </c>
      <c r="T255" s="30" t="str">
        <f aca="false">IF($K255="","출고일 미정",IF($O255="X","작지(일매) 미등록",IF($O255="부분","작지(일매) 일부 미등록",IF(AND($P255&lt;&gt;"",$P255&gt;$M255),"소재입고 마감("&amp;TEXT($M255,"MM/DD")&amp;") 초과",IF($O255="","일매 등록여부 확인 필요",IF($P255="","소재 입고일정 확인 필요","정상"))))))</f>
        <v>작지(일매) 미등록</v>
      </c>
      <c r="U255" s="28" t="str">
        <f aca="false">IF($K255="","",IF(OR(LEFT($T255,2)="작지",LEFT($T255,4)="소재입고"),IF(LEFT($E255,1)="S","★ 납기위험(S코드)","◆ 지연주의"),IF($T255="정상","✓ 정상","? 확인필요")))</f>
        <v>◆ 지연주의</v>
      </c>
      <c r="V255" s="31"/>
      <c r="W255" s="19"/>
    </row>
    <row r="256" customFormat="false" ht="15" hidden="false" customHeight="true" outlineLevel="0" collapsed="false">
      <c r="A256" s="28" t="n">
        <v>252</v>
      </c>
      <c r="B256" s="29" t="s">
        <v>182</v>
      </c>
      <c r="C256" s="30" t="s">
        <v>641</v>
      </c>
      <c r="D256" s="29" t="s">
        <v>642</v>
      </c>
      <c r="E256" s="28" t="str">
        <f aca="false">IF($C256="","",IF(MID($C256,5,1)="S","S(봄)",IF(MID($C256,5,1)="M","M(여름)",IF(MID($C256,5,1)="X","X(사계절)",MID($C256,5,1)))))</f>
        <v>M(여름)</v>
      </c>
      <c r="F256" s="29" t="s">
        <v>106</v>
      </c>
      <c r="G256" s="31"/>
      <c r="H256" s="28" t="str">
        <f aca="false">IF($C256="","",REPLACE($C256,6,2,"26"))</f>
        <v>TVJJM26512</v>
      </c>
      <c r="I256" s="32" t="str">
        <f aca="false">IFERROR(INDEX(전년출고참조!$B$4:$B$638,MATCH($H256,전년출고참조!$A$4:$A$638,0)),"")</f>
        <v/>
      </c>
      <c r="J256" s="32" t="n">
        <v>46408</v>
      </c>
      <c r="K256" s="32" t="n">
        <f aca="false">IF($G256&lt;&gt;"",IFERROR(DATE(IF(VALUE(LEFT($G256,FIND("월",$G256)-1))&gt;=9,기준정보!$C$6-1,기준정보!$C$6),VALUE(LEFT($G256,FIND("월",$G256)-1)),1+7*(VALUE(SUBSTITUTE(MID($G256,FIND("월",$G256)+1,5),"주",""))-1)),""),IF($I256&lt;&gt;"",IF(ISNUMBER($I256),$I256+364,IFERROR(DATE(IF(VALUE(LEFT($I256,FIND("월",$I256)-1))&gt;=9,기준정보!$C$6-1,기준정보!$C$6),VALUE(LEFT($I256,FIND("월",$I256)-1)),1+7*(VALUE(SUBSTITUTE(MID($I256,FIND("월",$I256)+1,5),"주",""))-1)),"")),IF($J256&lt;&gt;"",$J256,"")))</f>
        <v>46408</v>
      </c>
      <c r="L256" s="28" t="str">
        <f aca="false">IF($G256&lt;&gt;"","계획 주차",IF($I256&lt;&gt;"","전년+1년 예측",IF($J256&lt;&gt;"","전산 입고계획(참고)","미정")))</f>
        <v>전산 입고계획(참고)</v>
      </c>
      <c r="M256" s="32" t="n">
        <f aca="false">IF($K256="","",$K256-기준정보!$C$5)</f>
        <v>46318</v>
      </c>
      <c r="N256" s="33" t="n">
        <f aca="false">IF($M256="","",$M256-기준정보!$C$4)</f>
        <v>77</v>
      </c>
      <c r="O256" s="31" t="s">
        <v>114</v>
      </c>
      <c r="P256" s="20"/>
      <c r="Q256" s="30" t="str">
        <f aca="false">IF($F256="","",IF(AND(ISNUMBER(SEARCH("CMT",$F256)),OR(ISNUMBER(SEARCH("사입",$F256)),ISNUMBER(SEARCH("Buying",$F256)))),"본사/생산처 혼재",IF(ISNUMBER(SEARCH("CMT",$F256)),"본사(소재팀)","생산처")))</f>
        <v>생산처</v>
      </c>
      <c r="R256" s="29" t="s">
        <v>133</v>
      </c>
      <c r="S256" s="29" t="s">
        <v>110</v>
      </c>
      <c r="T256" s="30" t="str">
        <f aca="false">IF($K256="","출고일 미정",IF($O256="X","작지(일매) 미등록",IF($O256="부분","작지(일매) 일부 미등록",IF(AND($P256&lt;&gt;"",$P256&gt;$M256),"소재입고 마감("&amp;TEXT($M256,"MM/DD")&amp;") 초과",IF($O256="","일매 등록여부 확인 필요",IF($P256="","소재 입고일정 확인 필요","정상"))))))</f>
        <v>작지(일매) 미등록</v>
      </c>
      <c r="U256" s="28" t="str">
        <f aca="false">IF($K256="","",IF(OR(LEFT($T256,2)="작지",LEFT($T256,4)="소재입고"),IF(LEFT($E256,1)="S","★ 납기위험(S코드)","◆ 지연주의"),IF($T256="정상","✓ 정상","? 확인필요")))</f>
        <v>◆ 지연주의</v>
      </c>
      <c r="V256" s="31"/>
      <c r="W256" s="19"/>
    </row>
    <row r="257" customFormat="false" ht="15" hidden="false" customHeight="true" outlineLevel="0" collapsed="false">
      <c r="A257" s="28" t="n">
        <v>253</v>
      </c>
      <c r="B257" s="29" t="s">
        <v>182</v>
      </c>
      <c r="C257" s="30" t="s">
        <v>643</v>
      </c>
      <c r="D257" s="29" t="s">
        <v>644</v>
      </c>
      <c r="E257" s="28" t="str">
        <f aca="false">IF($C257="","",IF(MID($C257,5,1)="S","S(봄)",IF(MID($C257,5,1)="M","M(여름)",IF(MID($C257,5,1)="X","X(사계절)",MID($C257,5,1)))))</f>
        <v>M(여름)</v>
      </c>
      <c r="F257" s="29" t="s">
        <v>106</v>
      </c>
      <c r="G257" s="31"/>
      <c r="H257" s="28" t="str">
        <f aca="false">IF($C257="","",REPLACE($C257,6,2,"26"))</f>
        <v>TVJJM26522</v>
      </c>
      <c r="I257" s="32" t="str">
        <f aca="false">IFERROR(INDEX(전년출고참조!$B$4:$B$638,MATCH($H257,전년출고참조!$A$4:$A$638,0)),"")</f>
        <v/>
      </c>
      <c r="J257" s="32" t="n">
        <v>46408</v>
      </c>
      <c r="K257" s="32" t="n">
        <f aca="false">IF($G257&lt;&gt;"",IFERROR(DATE(IF(VALUE(LEFT($G257,FIND("월",$G257)-1))&gt;=9,기준정보!$C$6-1,기준정보!$C$6),VALUE(LEFT($G257,FIND("월",$G257)-1)),1+7*(VALUE(SUBSTITUTE(MID($G257,FIND("월",$G257)+1,5),"주",""))-1)),""),IF($I257&lt;&gt;"",IF(ISNUMBER($I257),$I257+364,IFERROR(DATE(IF(VALUE(LEFT($I257,FIND("월",$I257)-1))&gt;=9,기준정보!$C$6-1,기준정보!$C$6),VALUE(LEFT($I257,FIND("월",$I257)-1)),1+7*(VALUE(SUBSTITUTE(MID($I257,FIND("월",$I257)+1,5),"주",""))-1)),"")),IF($J257&lt;&gt;"",$J257,"")))</f>
        <v>46408</v>
      </c>
      <c r="L257" s="28" t="str">
        <f aca="false">IF($G257&lt;&gt;"","계획 주차",IF($I257&lt;&gt;"","전년+1년 예측",IF($J257&lt;&gt;"","전산 입고계획(참고)","미정")))</f>
        <v>전산 입고계획(참고)</v>
      </c>
      <c r="M257" s="32" t="n">
        <f aca="false">IF($K257="","",$K257-기준정보!$C$5)</f>
        <v>46318</v>
      </c>
      <c r="N257" s="33" t="n">
        <f aca="false">IF($M257="","",$M257-기준정보!$C$4)</f>
        <v>77</v>
      </c>
      <c r="O257" s="31" t="s">
        <v>114</v>
      </c>
      <c r="P257" s="20"/>
      <c r="Q257" s="30" t="str">
        <f aca="false">IF($F257="","",IF(AND(ISNUMBER(SEARCH("CMT",$F257)),OR(ISNUMBER(SEARCH("사입",$F257)),ISNUMBER(SEARCH("Buying",$F257)))),"본사/생산처 혼재",IF(ISNUMBER(SEARCH("CMT",$F257)),"본사(소재팀)","생산처")))</f>
        <v>생산처</v>
      </c>
      <c r="R257" s="29" t="s">
        <v>119</v>
      </c>
      <c r="S257" s="29" t="s">
        <v>110</v>
      </c>
      <c r="T257" s="30" t="str">
        <f aca="false">IF($K257="","출고일 미정",IF($O257="X","작지(일매) 미등록",IF($O257="부분","작지(일매) 일부 미등록",IF(AND($P257&lt;&gt;"",$P257&gt;$M257),"소재입고 마감("&amp;TEXT($M257,"MM/DD")&amp;") 초과",IF($O257="","일매 등록여부 확인 필요",IF($P257="","소재 입고일정 확인 필요","정상"))))))</f>
        <v>작지(일매) 미등록</v>
      </c>
      <c r="U257" s="28" t="str">
        <f aca="false">IF($K257="","",IF(OR(LEFT($T257,2)="작지",LEFT($T257,4)="소재입고"),IF(LEFT($E257,1)="S","★ 납기위험(S코드)","◆ 지연주의"),IF($T257="정상","✓ 정상","? 확인필요")))</f>
        <v>◆ 지연주의</v>
      </c>
      <c r="V257" s="31"/>
      <c r="W257" s="19"/>
    </row>
    <row r="258" customFormat="false" ht="15" hidden="false" customHeight="true" outlineLevel="0" collapsed="false">
      <c r="A258" s="28" t="n">
        <v>254</v>
      </c>
      <c r="B258" s="29" t="s">
        <v>182</v>
      </c>
      <c r="C258" s="30" t="s">
        <v>645</v>
      </c>
      <c r="D258" s="29" t="s">
        <v>646</v>
      </c>
      <c r="E258" s="28" t="str">
        <f aca="false">IF($C258="","",IF(MID($C258,5,1)="S","S(봄)",IF(MID($C258,5,1)="M","M(여름)",IF(MID($C258,5,1)="X","X(사계절)",MID($C258,5,1)))))</f>
        <v>M(여름)</v>
      </c>
      <c r="F258" s="29" t="s">
        <v>106</v>
      </c>
      <c r="G258" s="31"/>
      <c r="H258" s="28" t="str">
        <f aca="false">IF($C258="","",REPLACE($C258,6,2,"26"))</f>
        <v>TVJJM26532</v>
      </c>
      <c r="I258" s="32" t="str">
        <f aca="false">IFERROR(INDEX(전년출고참조!$B$4:$B$638,MATCH($H258,전년출고참조!$A$4:$A$638,0)),"")</f>
        <v/>
      </c>
      <c r="J258" s="32" t="n">
        <v>46408</v>
      </c>
      <c r="K258" s="32" t="n">
        <f aca="false">IF($G258&lt;&gt;"",IFERROR(DATE(IF(VALUE(LEFT($G258,FIND("월",$G258)-1))&gt;=9,기준정보!$C$6-1,기준정보!$C$6),VALUE(LEFT($G258,FIND("월",$G258)-1)),1+7*(VALUE(SUBSTITUTE(MID($G258,FIND("월",$G258)+1,5),"주",""))-1)),""),IF($I258&lt;&gt;"",IF(ISNUMBER($I258),$I258+364,IFERROR(DATE(IF(VALUE(LEFT($I258,FIND("월",$I258)-1))&gt;=9,기준정보!$C$6-1,기준정보!$C$6),VALUE(LEFT($I258,FIND("월",$I258)-1)),1+7*(VALUE(SUBSTITUTE(MID($I258,FIND("월",$I258)+1,5),"주",""))-1)),"")),IF($J258&lt;&gt;"",$J258,"")))</f>
        <v>46408</v>
      </c>
      <c r="L258" s="28" t="str">
        <f aca="false">IF($G258&lt;&gt;"","계획 주차",IF($I258&lt;&gt;"","전년+1년 예측",IF($J258&lt;&gt;"","전산 입고계획(참고)","미정")))</f>
        <v>전산 입고계획(참고)</v>
      </c>
      <c r="M258" s="32" t="n">
        <f aca="false">IF($K258="","",$K258-기준정보!$C$5)</f>
        <v>46318</v>
      </c>
      <c r="N258" s="33" t="n">
        <f aca="false">IF($M258="","",$M258-기준정보!$C$4)</f>
        <v>77</v>
      </c>
      <c r="O258" s="31" t="s">
        <v>114</v>
      </c>
      <c r="P258" s="20"/>
      <c r="Q258" s="30" t="str">
        <f aca="false">IF($F258="","",IF(AND(ISNUMBER(SEARCH("CMT",$F258)),OR(ISNUMBER(SEARCH("사입",$F258)),ISNUMBER(SEARCH("Buying",$F258)))),"본사/생산처 혼재",IF(ISNUMBER(SEARCH("CMT",$F258)),"본사(소재팀)","생산처")))</f>
        <v>생산처</v>
      </c>
      <c r="R258" s="29" t="s">
        <v>138</v>
      </c>
      <c r="S258" s="29" t="s">
        <v>110</v>
      </c>
      <c r="T258" s="30" t="str">
        <f aca="false">IF($K258="","출고일 미정",IF($O258="X","작지(일매) 미등록",IF($O258="부분","작지(일매) 일부 미등록",IF(AND($P258&lt;&gt;"",$P258&gt;$M258),"소재입고 마감("&amp;TEXT($M258,"MM/DD")&amp;") 초과",IF($O258="","일매 등록여부 확인 필요",IF($P258="","소재 입고일정 확인 필요","정상"))))))</f>
        <v>작지(일매) 미등록</v>
      </c>
      <c r="U258" s="28" t="str">
        <f aca="false">IF($K258="","",IF(OR(LEFT($T258,2)="작지",LEFT($T258,4)="소재입고"),IF(LEFT($E258,1)="S","★ 납기위험(S코드)","◆ 지연주의"),IF($T258="정상","✓ 정상","? 확인필요")))</f>
        <v>◆ 지연주의</v>
      </c>
      <c r="V258" s="31"/>
      <c r="W258" s="19"/>
    </row>
    <row r="259" customFormat="false" ht="15" hidden="false" customHeight="true" outlineLevel="0" collapsed="false">
      <c r="A259" s="28" t="n">
        <v>255</v>
      </c>
      <c r="B259" s="29" t="s">
        <v>182</v>
      </c>
      <c r="C259" s="30" t="s">
        <v>647</v>
      </c>
      <c r="D259" s="29" t="s">
        <v>648</v>
      </c>
      <c r="E259" s="28" t="str">
        <f aca="false">IF($C259="","",IF(MID($C259,5,1)="S","S(봄)",IF(MID($C259,5,1)="M","M(여름)",IF(MID($C259,5,1)="X","X(사계절)",MID($C259,5,1)))))</f>
        <v>M(여름)</v>
      </c>
      <c r="F259" s="29" t="s">
        <v>106</v>
      </c>
      <c r="G259" s="31"/>
      <c r="H259" s="28" t="str">
        <f aca="false">IF($C259="","",REPLACE($C259,6,2,"26"))</f>
        <v>TVJJM26552</v>
      </c>
      <c r="I259" s="32" t="str">
        <f aca="false">IFERROR(INDEX(전년출고참조!$B$4:$B$638,MATCH($H259,전년출고참조!$A$4:$A$638,0)),"")</f>
        <v/>
      </c>
      <c r="J259" s="32" t="n">
        <v>46408</v>
      </c>
      <c r="K259" s="32" t="n">
        <f aca="false">IF($G259&lt;&gt;"",IFERROR(DATE(IF(VALUE(LEFT($G259,FIND("월",$G259)-1))&gt;=9,기준정보!$C$6-1,기준정보!$C$6),VALUE(LEFT($G259,FIND("월",$G259)-1)),1+7*(VALUE(SUBSTITUTE(MID($G259,FIND("월",$G259)+1,5),"주",""))-1)),""),IF($I259&lt;&gt;"",IF(ISNUMBER($I259),$I259+364,IFERROR(DATE(IF(VALUE(LEFT($I259,FIND("월",$I259)-1))&gt;=9,기준정보!$C$6-1,기준정보!$C$6),VALUE(LEFT($I259,FIND("월",$I259)-1)),1+7*(VALUE(SUBSTITUTE(MID($I259,FIND("월",$I259)+1,5),"주",""))-1)),"")),IF($J259&lt;&gt;"",$J259,"")))</f>
        <v>46408</v>
      </c>
      <c r="L259" s="28" t="str">
        <f aca="false">IF($G259&lt;&gt;"","계획 주차",IF($I259&lt;&gt;"","전년+1년 예측",IF($J259&lt;&gt;"","전산 입고계획(참고)","미정")))</f>
        <v>전산 입고계획(참고)</v>
      </c>
      <c r="M259" s="32" t="n">
        <f aca="false">IF($K259="","",$K259-기준정보!$C$5)</f>
        <v>46318</v>
      </c>
      <c r="N259" s="33" t="n">
        <f aca="false">IF($M259="","",$M259-기준정보!$C$4)</f>
        <v>77</v>
      </c>
      <c r="O259" s="31" t="s">
        <v>114</v>
      </c>
      <c r="P259" s="20"/>
      <c r="Q259" s="30" t="str">
        <f aca="false">IF($F259="","",IF(AND(ISNUMBER(SEARCH("CMT",$F259)),OR(ISNUMBER(SEARCH("사입",$F259)),ISNUMBER(SEARCH("Buying",$F259)))),"본사/생산처 혼재",IF(ISNUMBER(SEARCH("CMT",$F259)),"본사(소재팀)","생산처")))</f>
        <v>생산처</v>
      </c>
      <c r="R259" s="29" t="s">
        <v>138</v>
      </c>
      <c r="S259" s="29" t="s">
        <v>110</v>
      </c>
      <c r="T259" s="30" t="str">
        <f aca="false">IF($K259="","출고일 미정",IF($O259="X","작지(일매) 미등록",IF($O259="부분","작지(일매) 일부 미등록",IF(AND($P259&lt;&gt;"",$P259&gt;$M259),"소재입고 마감("&amp;TEXT($M259,"MM/DD")&amp;") 초과",IF($O259="","일매 등록여부 확인 필요",IF($P259="","소재 입고일정 확인 필요","정상"))))))</f>
        <v>작지(일매) 미등록</v>
      </c>
      <c r="U259" s="28" t="str">
        <f aca="false">IF($K259="","",IF(OR(LEFT($T259,2)="작지",LEFT($T259,4)="소재입고"),IF(LEFT($E259,1)="S","★ 납기위험(S코드)","◆ 지연주의"),IF($T259="정상","✓ 정상","? 확인필요")))</f>
        <v>◆ 지연주의</v>
      </c>
      <c r="V259" s="31"/>
      <c r="W259" s="19"/>
    </row>
    <row r="260" customFormat="false" ht="15" hidden="false" customHeight="true" outlineLevel="0" collapsed="false">
      <c r="A260" s="28" t="n">
        <v>256</v>
      </c>
      <c r="B260" s="29" t="s">
        <v>182</v>
      </c>
      <c r="C260" s="30" t="s">
        <v>649</v>
      </c>
      <c r="D260" s="29" t="s">
        <v>650</v>
      </c>
      <c r="E260" s="28" t="str">
        <f aca="false">IF($C260="","",IF(MID($C260,5,1)="S","S(봄)",IF(MID($C260,5,1)="M","M(여름)",IF(MID($C260,5,1)="X","X(사계절)",MID($C260,5,1)))))</f>
        <v>M(여름)</v>
      </c>
      <c r="F260" s="29" t="s">
        <v>106</v>
      </c>
      <c r="G260" s="31"/>
      <c r="H260" s="28" t="str">
        <f aca="false">IF($C260="","",REPLACE($C260,6,2,"26"))</f>
        <v>TVVAM26552</v>
      </c>
      <c r="I260" s="32" t="str">
        <f aca="false">IFERROR(INDEX(전년출고참조!$B$4:$B$638,MATCH($H260,전년출고참조!$A$4:$A$638,0)),"")</f>
        <v/>
      </c>
      <c r="J260" s="32" t="n">
        <v>46408</v>
      </c>
      <c r="K260" s="32" t="n">
        <f aca="false">IF($G260&lt;&gt;"",IFERROR(DATE(IF(VALUE(LEFT($G260,FIND("월",$G260)-1))&gt;=9,기준정보!$C$6-1,기준정보!$C$6),VALUE(LEFT($G260,FIND("월",$G260)-1)),1+7*(VALUE(SUBSTITUTE(MID($G260,FIND("월",$G260)+1,5),"주",""))-1)),""),IF($I260&lt;&gt;"",IF(ISNUMBER($I260),$I260+364,IFERROR(DATE(IF(VALUE(LEFT($I260,FIND("월",$I260)-1))&gt;=9,기준정보!$C$6-1,기준정보!$C$6),VALUE(LEFT($I260,FIND("월",$I260)-1)),1+7*(VALUE(SUBSTITUTE(MID($I260,FIND("월",$I260)+1,5),"주",""))-1)),"")),IF($J260&lt;&gt;"",$J260,"")))</f>
        <v>46408</v>
      </c>
      <c r="L260" s="28" t="str">
        <f aca="false">IF($G260&lt;&gt;"","계획 주차",IF($I260&lt;&gt;"","전년+1년 예측",IF($J260&lt;&gt;"","전산 입고계획(참고)","미정")))</f>
        <v>전산 입고계획(참고)</v>
      </c>
      <c r="M260" s="32" t="n">
        <f aca="false">IF($K260="","",$K260-기준정보!$C$5)</f>
        <v>46318</v>
      </c>
      <c r="N260" s="33" t="n">
        <f aca="false">IF($M260="","",$M260-기준정보!$C$4)</f>
        <v>77</v>
      </c>
      <c r="O260" s="31" t="s">
        <v>114</v>
      </c>
      <c r="P260" s="20"/>
      <c r="Q260" s="30" t="str">
        <f aca="false">IF($F260="","",IF(AND(ISNUMBER(SEARCH("CMT",$F260)),OR(ISNUMBER(SEARCH("사입",$F260)),ISNUMBER(SEARCH("Buying",$F260)))),"본사/생산처 혼재",IF(ISNUMBER(SEARCH("CMT",$F260)),"본사(소재팀)","생산처")))</f>
        <v>생산처</v>
      </c>
      <c r="R260" s="29" t="s">
        <v>138</v>
      </c>
      <c r="S260" s="29" t="s">
        <v>110</v>
      </c>
      <c r="T260" s="30" t="str">
        <f aca="false">IF($K260="","출고일 미정",IF($O260="X","작지(일매) 미등록",IF($O260="부분","작지(일매) 일부 미등록",IF(AND($P260&lt;&gt;"",$P260&gt;$M260),"소재입고 마감("&amp;TEXT($M260,"MM/DD")&amp;") 초과",IF($O260="","일매 등록여부 확인 필요",IF($P260="","소재 입고일정 확인 필요","정상"))))))</f>
        <v>작지(일매) 미등록</v>
      </c>
      <c r="U260" s="28" t="str">
        <f aca="false">IF($K260="","",IF(OR(LEFT($T260,2)="작지",LEFT($T260,4)="소재입고"),IF(LEFT($E260,1)="S","★ 납기위험(S코드)","◆ 지연주의"),IF($T260="정상","✓ 정상","? 확인필요")))</f>
        <v>◆ 지연주의</v>
      </c>
      <c r="V260" s="31"/>
      <c r="W260" s="19"/>
    </row>
    <row r="261" customFormat="false" ht="15" hidden="false" customHeight="true" outlineLevel="0" collapsed="false">
      <c r="A261" s="28" t="n">
        <v>257</v>
      </c>
      <c r="B261" s="29" t="s">
        <v>182</v>
      </c>
      <c r="C261" s="30" t="s">
        <v>651</v>
      </c>
      <c r="D261" s="29" t="s">
        <v>652</v>
      </c>
      <c r="E261" s="28" t="str">
        <f aca="false">IF($C261="","",IF(MID($C261,5,1)="S","S(봄)",IF(MID($C261,5,1)="M","M(여름)",IF(MID($C261,5,1)="X","X(사계절)",MID($C261,5,1)))))</f>
        <v>M(여름)</v>
      </c>
      <c r="F261" s="29" t="s">
        <v>106</v>
      </c>
      <c r="G261" s="31"/>
      <c r="H261" s="28" t="str">
        <f aca="false">IF($C261="","",REPLACE($C261,6,2,"26"))</f>
        <v>TVVAM26562</v>
      </c>
      <c r="I261" s="32" t="str">
        <f aca="false">IFERROR(INDEX(전년출고참조!$B$4:$B$638,MATCH($H261,전년출고참조!$A$4:$A$638,0)),"")</f>
        <v/>
      </c>
      <c r="J261" s="32" t="n">
        <v>46408</v>
      </c>
      <c r="K261" s="32" t="n">
        <f aca="false">IF($G261&lt;&gt;"",IFERROR(DATE(IF(VALUE(LEFT($G261,FIND("월",$G261)-1))&gt;=9,기준정보!$C$6-1,기준정보!$C$6),VALUE(LEFT($G261,FIND("월",$G261)-1)),1+7*(VALUE(SUBSTITUTE(MID($G261,FIND("월",$G261)+1,5),"주",""))-1)),""),IF($I261&lt;&gt;"",IF(ISNUMBER($I261),$I261+364,IFERROR(DATE(IF(VALUE(LEFT($I261,FIND("월",$I261)-1))&gt;=9,기준정보!$C$6-1,기준정보!$C$6),VALUE(LEFT($I261,FIND("월",$I261)-1)),1+7*(VALUE(SUBSTITUTE(MID($I261,FIND("월",$I261)+1,5),"주",""))-1)),"")),IF($J261&lt;&gt;"",$J261,"")))</f>
        <v>46408</v>
      </c>
      <c r="L261" s="28" t="str">
        <f aca="false">IF($G261&lt;&gt;"","계획 주차",IF($I261&lt;&gt;"","전년+1년 예측",IF($J261&lt;&gt;"","전산 입고계획(참고)","미정")))</f>
        <v>전산 입고계획(참고)</v>
      </c>
      <c r="M261" s="32" t="n">
        <f aca="false">IF($K261="","",$K261-기준정보!$C$5)</f>
        <v>46318</v>
      </c>
      <c r="N261" s="33" t="n">
        <f aca="false">IF($M261="","",$M261-기준정보!$C$4)</f>
        <v>77</v>
      </c>
      <c r="O261" s="31" t="s">
        <v>114</v>
      </c>
      <c r="P261" s="20"/>
      <c r="Q261" s="30" t="str">
        <f aca="false">IF($F261="","",IF(AND(ISNUMBER(SEARCH("CMT",$F261)),OR(ISNUMBER(SEARCH("사입",$F261)),ISNUMBER(SEARCH("Buying",$F261)))),"본사/생산처 혼재",IF(ISNUMBER(SEARCH("CMT",$F261)),"본사(소재팀)","생산처")))</f>
        <v>생산처</v>
      </c>
      <c r="R261" s="29" t="s">
        <v>138</v>
      </c>
      <c r="S261" s="29" t="s">
        <v>110</v>
      </c>
      <c r="T261" s="30" t="str">
        <f aca="false">IF($K261="","출고일 미정",IF($O261="X","작지(일매) 미등록",IF($O261="부분","작지(일매) 일부 미등록",IF(AND($P261&lt;&gt;"",$P261&gt;$M261),"소재입고 마감("&amp;TEXT($M261,"MM/DD")&amp;") 초과",IF($O261="","일매 등록여부 확인 필요",IF($P261="","소재 입고일정 확인 필요","정상"))))))</f>
        <v>작지(일매) 미등록</v>
      </c>
      <c r="U261" s="28" t="str">
        <f aca="false">IF($K261="","",IF(OR(LEFT($T261,2)="작지",LEFT($T261,4)="소재입고"),IF(LEFT($E261,1)="S","★ 납기위험(S코드)","◆ 지연주의"),IF($T261="정상","✓ 정상","? 확인필요")))</f>
        <v>◆ 지연주의</v>
      </c>
      <c r="V261" s="31"/>
      <c r="W261" s="19"/>
    </row>
    <row r="262" customFormat="false" ht="15" hidden="false" customHeight="true" outlineLevel="0" collapsed="false">
      <c r="A262" s="28" t="n">
        <v>258</v>
      </c>
      <c r="B262" s="29" t="s">
        <v>266</v>
      </c>
      <c r="C262" s="30" t="s">
        <v>653</v>
      </c>
      <c r="D262" s="29" t="s">
        <v>654</v>
      </c>
      <c r="E262" s="28" t="str">
        <f aca="false">IF($C262="","",IF(MID($C262,5,1)="S","S(봄)",IF(MID($C262,5,1)="M","M(여름)",IF(MID($C262,5,1)="X","X(사계절)",MID($C262,5,1)))))</f>
        <v>M(여름)</v>
      </c>
      <c r="F262" s="30" t="s">
        <v>141</v>
      </c>
      <c r="G262" s="31"/>
      <c r="H262" s="28" t="str">
        <f aca="false">IF($C262="","",REPLACE($C262,6,2,"26"))</f>
        <v>JWPNM26137</v>
      </c>
      <c r="I262" s="32" t="str">
        <f aca="false">IFERROR(INDEX(전년출고참조!$B$4:$B$638,MATCH($H262,전년출고참조!$A$4:$A$638,0)),"")</f>
        <v/>
      </c>
      <c r="J262" s="32" t="n">
        <v>46419</v>
      </c>
      <c r="K262" s="32" t="n">
        <f aca="false">IF($G262&lt;&gt;"",IFERROR(DATE(IF(VALUE(LEFT($G262,FIND("월",$G262)-1))&gt;=9,기준정보!$C$6-1,기준정보!$C$6),VALUE(LEFT($G262,FIND("월",$G262)-1)),1+7*(VALUE(SUBSTITUTE(MID($G262,FIND("월",$G262)+1,5),"주",""))-1)),""),IF($I262&lt;&gt;"",IF(ISNUMBER($I262),$I262+364,IFERROR(DATE(IF(VALUE(LEFT($I262,FIND("월",$I262)-1))&gt;=9,기준정보!$C$6-1,기준정보!$C$6),VALUE(LEFT($I262,FIND("월",$I262)-1)),1+7*(VALUE(SUBSTITUTE(MID($I262,FIND("월",$I262)+1,5),"주",""))-1)),"")),IF($J262&lt;&gt;"",$J262,"")))</f>
        <v>46419</v>
      </c>
      <c r="L262" s="28" t="str">
        <f aca="false">IF($G262&lt;&gt;"","계획 주차",IF($I262&lt;&gt;"","전년+1년 예측",IF($J262&lt;&gt;"","전산 입고계획(참고)","미정")))</f>
        <v>전산 입고계획(참고)</v>
      </c>
      <c r="M262" s="32" t="n">
        <f aca="false">IF($K262="","",$K262-기준정보!$C$5)</f>
        <v>46329</v>
      </c>
      <c r="N262" s="33" t="n">
        <f aca="false">IF($M262="","",$M262-기준정보!$C$4)</f>
        <v>88</v>
      </c>
      <c r="O262" s="31" t="s">
        <v>114</v>
      </c>
      <c r="P262" s="20"/>
      <c r="Q262" s="30" t="str">
        <f aca="false">IF($F262="","",IF(AND(ISNUMBER(SEARCH("CMT",$F262)),OR(ISNUMBER(SEARCH("사입",$F262)),ISNUMBER(SEARCH("Buying",$F262)))),"본사/생산처 혼재",IF(ISNUMBER(SEARCH("CMT",$F262)),"본사(소재팀)","생산처")))</f>
        <v>본사(소재팀)</v>
      </c>
      <c r="R262" s="29" t="s">
        <v>145</v>
      </c>
      <c r="S262" s="29" t="s">
        <v>110</v>
      </c>
      <c r="T262" s="30" t="str">
        <f aca="false">IF($K262="","출고일 미정",IF($O262="X","작지(일매) 미등록",IF($O262="부분","작지(일매) 일부 미등록",IF(AND($P262&lt;&gt;"",$P262&gt;$M262),"소재입고 마감("&amp;TEXT($M262,"MM/DD")&amp;") 초과",IF($O262="","일매 등록여부 확인 필요",IF($P262="","소재 입고일정 확인 필요","정상"))))))</f>
        <v>작지(일매) 미등록</v>
      </c>
      <c r="U262" s="28" t="str">
        <f aca="false">IF($K262="","",IF(OR(LEFT($T262,2)="작지",LEFT($T262,4)="소재입고"),IF(LEFT($E262,1)="S","★ 납기위험(S코드)","◆ 지연주의"),IF($T262="정상","✓ 정상","? 확인필요")))</f>
        <v>◆ 지연주의</v>
      </c>
      <c r="V262" s="31"/>
      <c r="W262" s="19"/>
    </row>
    <row r="263" customFormat="false" ht="15" hidden="false" customHeight="true" outlineLevel="0" collapsed="false">
      <c r="A263" s="28" t="n">
        <v>259</v>
      </c>
      <c r="B263" s="29" t="s">
        <v>266</v>
      </c>
      <c r="C263" s="30" t="s">
        <v>655</v>
      </c>
      <c r="D263" s="29" t="s">
        <v>656</v>
      </c>
      <c r="E263" s="28" t="str">
        <f aca="false">IF($C263="","",IF(MID($C263,5,1)="S","S(봄)",IF(MID($C263,5,1)="M","M(여름)",IF(MID($C263,5,1)="X","X(사계절)",MID($C263,5,1)))))</f>
        <v>M(여름)</v>
      </c>
      <c r="F263" s="30" t="s">
        <v>141</v>
      </c>
      <c r="G263" s="31"/>
      <c r="H263" s="28" t="str">
        <f aca="false">IF($C263="","",REPLACE($C263,6,2,"26"))</f>
        <v>JWPNM26141</v>
      </c>
      <c r="I263" s="32" t="str">
        <f aca="false">IFERROR(INDEX(전년출고참조!$B$4:$B$638,MATCH($H263,전년출고참조!$A$4:$A$638,0)),"")</f>
        <v/>
      </c>
      <c r="J263" s="32" t="n">
        <v>46419</v>
      </c>
      <c r="K263" s="32" t="n">
        <f aca="false">IF($G263&lt;&gt;"",IFERROR(DATE(IF(VALUE(LEFT($G263,FIND("월",$G263)-1))&gt;=9,기준정보!$C$6-1,기준정보!$C$6),VALUE(LEFT($G263,FIND("월",$G263)-1)),1+7*(VALUE(SUBSTITUTE(MID($G263,FIND("월",$G263)+1,5),"주",""))-1)),""),IF($I263&lt;&gt;"",IF(ISNUMBER($I263),$I263+364,IFERROR(DATE(IF(VALUE(LEFT($I263,FIND("월",$I263)-1))&gt;=9,기준정보!$C$6-1,기준정보!$C$6),VALUE(LEFT($I263,FIND("월",$I263)-1)),1+7*(VALUE(SUBSTITUTE(MID($I263,FIND("월",$I263)+1,5),"주",""))-1)),"")),IF($J263&lt;&gt;"",$J263,"")))</f>
        <v>46419</v>
      </c>
      <c r="L263" s="28" t="str">
        <f aca="false">IF($G263&lt;&gt;"","계획 주차",IF($I263&lt;&gt;"","전년+1년 예측",IF($J263&lt;&gt;"","전산 입고계획(참고)","미정")))</f>
        <v>전산 입고계획(참고)</v>
      </c>
      <c r="M263" s="32" t="n">
        <f aca="false">IF($K263="","",$K263-기준정보!$C$5)</f>
        <v>46329</v>
      </c>
      <c r="N263" s="33" t="n">
        <f aca="false">IF($M263="","",$M263-기준정보!$C$4)</f>
        <v>88</v>
      </c>
      <c r="O263" s="31" t="s">
        <v>114</v>
      </c>
      <c r="P263" s="20"/>
      <c r="Q263" s="30" t="str">
        <f aca="false">IF($F263="","",IF(AND(ISNUMBER(SEARCH("CMT",$F263)),OR(ISNUMBER(SEARCH("사입",$F263)),ISNUMBER(SEARCH("Buying",$F263)))),"본사/생산처 혼재",IF(ISNUMBER(SEARCH("CMT",$F263)),"본사(소재팀)","생산처")))</f>
        <v>본사(소재팀)</v>
      </c>
      <c r="R263" s="29" t="s">
        <v>142</v>
      </c>
      <c r="S263" s="29" t="s">
        <v>110</v>
      </c>
      <c r="T263" s="30" t="str">
        <f aca="false">IF($K263="","출고일 미정",IF($O263="X","작지(일매) 미등록",IF($O263="부분","작지(일매) 일부 미등록",IF(AND($P263&lt;&gt;"",$P263&gt;$M263),"소재입고 마감("&amp;TEXT($M263,"MM/DD")&amp;") 초과",IF($O263="","일매 등록여부 확인 필요",IF($P263="","소재 입고일정 확인 필요","정상"))))))</f>
        <v>작지(일매) 미등록</v>
      </c>
      <c r="U263" s="28" t="str">
        <f aca="false">IF($K263="","",IF(OR(LEFT($T263,2)="작지",LEFT($T263,4)="소재입고"),IF(LEFT($E263,1)="S","★ 납기위험(S코드)","◆ 지연주의"),IF($T263="정상","✓ 정상","? 확인필요")))</f>
        <v>◆ 지연주의</v>
      </c>
      <c r="V263" s="31"/>
      <c r="W263" s="19"/>
    </row>
    <row r="264" customFormat="false" ht="15" hidden="false" customHeight="true" outlineLevel="0" collapsed="false">
      <c r="A264" s="28" t="n">
        <v>260</v>
      </c>
      <c r="B264" s="29" t="s">
        <v>266</v>
      </c>
      <c r="C264" s="30" t="s">
        <v>657</v>
      </c>
      <c r="D264" s="29" t="s">
        <v>658</v>
      </c>
      <c r="E264" s="28" t="str">
        <f aca="false">IF($C264="","",IF(MID($C264,5,1)="S","S(봄)",IF(MID($C264,5,1)="M","M(여름)",IF(MID($C264,5,1)="X","X(사계절)",MID($C264,5,1)))))</f>
        <v>M(여름)</v>
      </c>
      <c r="F264" s="30" t="s">
        <v>141</v>
      </c>
      <c r="G264" s="31"/>
      <c r="H264" s="28" t="str">
        <f aca="false">IF($C264="","",REPLACE($C264,6,2,"26"))</f>
        <v>JWPNM26151</v>
      </c>
      <c r="I264" s="32" t="str">
        <f aca="false">IFERROR(INDEX(전년출고참조!$B$4:$B$638,MATCH($H264,전년출고참조!$A$4:$A$638,0)),"")</f>
        <v/>
      </c>
      <c r="J264" s="32" t="n">
        <v>46419</v>
      </c>
      <c r="K264" s="32" t="n">
        <f aca="false">IF($G264&lt;&gt;"",IFERROR(DATE(IF(VALUE(LEFT($G264,FIND("월",$G264)-1))&gt;=9,기준정보!$C$6-1,기준정보!$C$6),VALUE(LEFT($G264,FIND("월",$G264)-1)),1+7*(VALUE(SUBSTITUTE(MID($G264,FIND("월",$G264)+1,5),"주",""))-1)),""),IF($I264&lt;&gt;"",IF(ISNUMBER($I264),$I264+364,IFERROR(DATE(IF(VALUE(LEFT($I264,FIND("월",$I264)-1))&gt;=9,기준정보!$C$6-1,기준정보!$C$6),VALUE(LEFT($I264,FIND("월",$I264)-1)),1+7*(VALUE(SUBSTITUTE(MID($I264,FIND("월",$I264)+1,5),"주",""))-1)),"")),IF($J264&lt;&gt;"",$J264,"")))</f>
        <v>46419</v>
      </c>
      <c r="L264" s="28" t="str">
        <f aca="false">IF($G264&lt;&gt;"","계획 주차",IF($I264&lt;&gt;"","전년+1년 예측",IF($J264&lt;&gt;"","전산 입고계획(참고)","미정")))</f>
        <v>전산 입고계획(참고)</v>
      </c>
      <c r="M264" s="32" t="n">
        <f aca="false">IF($K264="","",$K264-기준정보!$C$5)</f>
        <v>46329</v>
      </c>
      <c r="N264" s="33" t="n">
        <f aca="false">IF($M264="","",$M264-기준정보!$C$4)</f>
        <v>88</v>
      </c>
      <c r="O264" s="31" t="s">
        <v>108</v>
      </c>
      <c r="P264" s="20"/>
      <c r="Q264" s="30" t="str">
        <f aca="false">IF($F264="","",IF(AND(ISNUMBER(SEARCH("CMT",$F264)),OR(ISNUMBER(SEARCH("사입",$F264)),ISNUMBER(SEARCH("Buying",$F264)))),"본사/생산처 혼재",IF(ISNUMBER(SEARCH("CMT",$F264)),"본사(소재팀)","생산처")))</f>
        <v>본사(소재팀)</v>
      </c>
      <c r="R264" s="29" t="s">
        <v>230</v>
      </c>
      <c r="S264" s="29" t="s">
        <v>110</v>
      </c>
      <c r="T264" s="30" t="str">
        <f aca="false">IF($K264="","출고일 미정",IF($O264="X","작지(일매) 미등록",IF($O264="부분","작지(일매) 일부 미등록",IF(AND($P264&lt;&gt;"",$P264&gt;$M264),"소재입고 마감("&amp;TEXT($M264,"MM/DD")&amp;") 초과",IF($O264="","일매 등록여부 확인 필요",IF($P264="","소재 입고일정 확인 필요","정상"))))))</f>
        <v>소재 입고일정 확인 필요</v>
      </c>
      <c r="U264" s="28" t="str">
        <f aca="false">IF($K264="","",IF(OR(LEFT($T264,2)="작지",LEFT($T264,4)="소재입고"),IF(LEFT($E264,1)="S","★ 납기위험(S코드)","◆ 지연주의"),IF($T264="정상","✓ 정상","? 확인필요")))</f>
        <v>? 확인필요</v>
      </c>
      <c r="V264" s="31"/>
      <c r="W264" s="19"/>
    </row>
    <row r="265" customFormat="false" ht="15" hidden="false" customHeight="true" outlineLevel="0" collapsed="false">
      <c r="A265" s="28" t="n">
        <v>261</v>
      </c>
      <c r="B265" s="29" t="s">
        <v>266</v>
      </c>
      <c r="C265" s="30" t="s">
        <v>659</v>
      </c>
      <c r="D265" s="29" t="s">
        <v>660</v>
      </c>
      <c r="E265" s="28" t="str">
        <f aca="false">IF($C265="","",IF(MID($C265,5,1)="S","S(봄)",IF(MID($C265,5,1)="M","M(여름)",IF(MID($C265,5,1)="X","X(사계절)",MID($C265,5,1)))))</f>
        <v>M(여름)</v>
      </c>
      <c r="F265" s="30" t="s">
        <v>141</v>
      </c>
      <c r="G265" s="31"/>
      <c r="H265" s="28" t="str">
        <f aca="false">IF($C265="","",REPLACE($C265,6,2,"26"))</f>
        <v>JWPNM26161</v>
      </c>
      <c r="I265" s="32" t="str">
        <f aca="false">IFERROR(INDEX(전년출고참조!$B$4:$B$638,MATCH($H265,전년출고참조!$A$4:$A$638,0)),"")</f>
        <v/>
      </c>
      <c r="J265" s="32" t="n">
        <v>46419</v>
      </c>
      <c r="K265" s="32" t="n">
        <f aca="false">IF($G265&lt;&gt;"",IFERROR(DATE(IF(VALUE(LEFT($G265,FIND("월",$G265)-1))&gt;=9,기준정보!$C$6-1,기준정보!$C$6),VALUE(LEFT($G265,FIND("월",$G265)-1)),1+7*(VALUE(SUBSTITUTE(MID($G265,FIND("월",$G265)+1,5),"주",""))-1)),""),IF($I265&lt;&gt;"",IF(ISNUMBER($I265),$I265+364,IFERROR(DATE(IF(VALUE(LEFT($I265,FIND("월",$I265)-1))&gt;=9,기준정보!$C$6-1,기준정보!$C$6),VALUE(LEFT($I265,FIND("월",$I265)-1)),1+7*(VALUE(SUBSTITUTE(MID($I265,FIND("월",$I265)+1,5),"주",""))-1)),"")),IF($J265&lt;&gt;"",$J265,"")))</f>
        <v>46419</v>
      </c>
      <c r="L265" s="28" t="str">
        <f aca="false">IF($G265&lt;&gt;"","계획 주차",IF($I265&lt;&gt;"","전년+1년 예측",IF($J265&lt;&gt;"","전산 입고계획(참고)","미정")))</f>
        <v>전산 입고계획(참고)</v>
      </c>
      <c r="M265" s="32" t="n">
        <f aca="false">IF($K265="","",$K265-기준정보!$C$5)</f>
        <v>46329</v>
      </c>
      <c r="N265" s="33" t="n">
        <f aca="false">IF($M265="","",$M265-기준정보!$C$4)</f>
        <v>88</v>
      </c>
      <c r="O265" s="31" t="s">
        <v>108</v>
      </c>
      <c r="P265" s="20"/>
      <c r="Q265" s="30" t="str">
        <f aca="false">IF($F265="","",IF(AND(ISNUMBER(SEARCH("CMT",$F265)),OR(ISNUMBER(SEARCH("사입",$F265)),ISNUMBER(SEARCH("Buying",$F265)))),"본사/생산처 혼재",IF(ISNUMBER(SEARCH("CMT",$F265)),"본사(소재팀)","생산처")))</f>
        <v>본사(소재팀)</v>
      </c>
      <c r="R265" s="29" t="s">
        <v>230</v>
      </c>
      <c r="S265" s="29" t="s">
        <v>110</v>
      </c>
      <c r="T265" s="30" t="str">
        <f aca="false">IF($K265="","출고일 미정",IF($O265="X","작지(일매) 미등록",IF($O265="부분","작지(일매) 일부 미등록",IF(AND($P265&lt;&gt;"",$P265&gt;$M265),"소재입고 마감("&amp;TEXT($M265,"MM/DD")&amp;") 초과",IF($O265="","일매 등록여부 확인 필요",IF($P265="","소재 입고일정 확인 필요","정상"))))))</f>
        <v>소재 입고일정 확인 필요</v>
      </c>
      <c r="U265" s="28" t="str">
        <f aca="false">IF($K265="","",IF(OR(LEFT($T265,2)="작지",LEFT($T265,4)="소재입고"),IF(LEFT($E265,1)="S","★ 납기위험(S코드)","◆ 지연주의"),IF($T265="정상","✓ 정상","? 확인필요")))</f>
        <v>? 확인필요</v>
      </c>
      <c r="V265" s="31"/>
      <c r="W265" s="19"/>
    </row>
    <row r="266" customFormat="false" ht="15" hidden="false" customHeight="true" outlineLevel="0" collapsed="false">
      <c r="A266" s="28" t="n">
        <v>262</v>
      </c>
      <c r="B266" s="29" t="s">
        <v>266</v>
      </c>
      <c r="C266" s="30" t="s">
        <v>661</v>
      </c>
      <c r="D266" s="29" t="s">
        <v>662</v>
      </c>
      <c r="E266" s="28" t="str">
        <f aca="false">IF($C266="","",IF(MID($C266,5,1)="S","S(봄)",IF(MID($C266,5,1)="M","M(여름)",IF(MID($C266,5,1)="X","X(사계절)",MID($C266,5,1)))))</f>
        <v>M(여름)</v>
      </c>
      <c r="F266" s="30" t="s">
        <v>113</v>
      </c>
      <c r="G266" s="31"/>
      <c r="H266" s="28" t="str">
        <f aca="false">IF($C266="","",REPLACE($C266,6,2,"26"))</f>
        <v>JWPNM26165</v>
      </c>
      <c r="I266" s="32" t="str">
        <f aca="false">IFERROR(INDEX(전년출고참조!$B$4:$B$638,MATCH($H266,전년출고참조!$A$4:$A$638,0)),"")</f>
        <v/>
      </c>
      <c r="J266" s="32" t="n">
        <v>46419</v>
      </c>
      <c r="K266" s="32" t="n">
        <f aca="false">IF($G266&lt;&gt;"",IFERROR(DATE(IF(VALUE(LEFT($G266,FIND("월",$G266)-1))&gt;=9,기준정보!$C$6-1,기준정보!$C$6),VALUE(LEFT($G266,FIND("월",$G266)-1)),1+7*(VALUE(SUBSTITUTE(MID($G266,FIND("월",$G266)+1,5),"주",""))-1)),""),IF($I266&lt;&gt;"",IF(ISNUMBER($I266),$I266+364,IFERROR(DATE(IF(VALUE(LEFT($I266,FIND("월",$I266)-1))&gt;=9,기준정보!$C$6-1,기준정보!$C$6),VALUE(LEFT($I266,FIND("월",$I266)-1)),1+7*(VALUE(SUBSTITUTE(MID($I266,FIND("월",$I266)+1,5),"주",""))-1)),"")),IF($J266&lt;&gt;"",$J266,"")))</f>
        <v>46419</v>
      </c>
      <c r="L266" s="28" t="str">
        <f aca="false">IF($G266&lt;&gt;"","계획 주차",IF($I266&lt;&gt;"","전년+1년 예측",IF($J266&lt;&gt;"","전산 입고계획(참고)","미정")))</f>
        <v>전산 입고계획(참고)</v>
      </c>
      <c r="M266" s="32" t="n">
        <f aca="false">IF($K266="","",$K266-기준정보!$C$5)</f>
        <v>46329</v>
      </c>
      <c r="N266" s="33" t="n">
        <f aca="false">IF($M266="","",$M266-기준정보!$C$4)</f>
        <v>88</v>
      </c>
      <c r="O266" s="31" t="s">
        <v>114</v>
      </c>
      <c r="P266" s="20"/>
      <c r="Q266" s="30" t="str">
        <f aca="false">IF($F266="","",IF(AND(ISNUMBER(SEARCH("CMT",$F266)),OR(ISNUMBER(SEARCH("사입",$F266)),ISNUMBER(SEARCH("Buying",$F266)))),"본사/생산처 혼재",IF(ISNUMBER(SEARCH("CMT",$F266)),"본사(소재팀)","생산처")))</f>
        <v>생산처</v>
      </c>
      <c r="R266" s="29" t="s">
        <v>133</v>
      </c>
      <c r="S266" s="29" t="s">
        <v>110</v>
      </c>
      <c r="T266" s="30" t="str">
        <f aca="false">IF($K266="","출고일 미정",IF($O266="X","작지(일매) 미등록",IF($O266="부분","작지(일매) 일부 미등록",IF(AND($P266&lt;&gt;"",$P266&gt;$M266),"소재입고 마감("&amp;TEXT($M266,"MM/DD")&amp;") 초과",IF($O266="","일매 등록여부 확인 필요",IF($P266="","소재 입고일정 확인 필요","정상"))))))</f>
        <v>작지(일매) 미등록</v>
      </c>
      <c r="U266" s="28" t="str">
        <f aca="false">IF($K266="","",IF(OR(LEFT($T266,2)="작지",LEFT($T266,4)="소재입고"),IF(LEFT($E266,1)="S","★ 납기위험(S코드)","◆ 지연주의"),IF($T266="정상","✓ 정상","? 확인필요")))</f>
        <v>◆ 지연주의</v>
      </c>
      <c r="V266" s="31"/>
      <c r="W266" s="19"/>
    </row>
    <row r="267" customFormat="false" ht="15" hidden="false" customHeight="true" outlineLevel="0" collapsed="false">
      <c r="A267" s="28" t="n">
        <v>263</v>
      </c>
      <c r="B267" s="29" t="s">
        <v>266</v>
      </c>
      <c r="C267" s="30" t="s">
        <v>663</v>
      </c>
      <c r="D267" s="29" t="s">
        <v>664</v>
      </c>
      <c r="E267" s="28" t="str">
        <f aca="false">IF($C267="","",IF(MID($C267,5,1)="S","S(봄)",IF(MID($C267,5,1)="M","M(여름)",IF(MID($C267,5,1)="X","X(사계절)",MID($C267,5,1)))))</f>
        <v>M(여름)</v>
      </c>
      <c r="F267" s="30" t="s">
        <v>141</v>
      </c>
      <c r="G267" s="31"/>
      <c r="H267" s="28" t="str">
        <f aca="false">IF($C267="","",REPLACE($C267,6,2,"26"))</f>
        <v>JWPNM26171</v>
      </c>
      <c r="I267" s="32" t="str">
        <f aca="false">IFERROR(INDEX(전년출고참조!$B$4:$B$638,MATCH($H267,전년출고참조!$A$4:$A$638,0)),"")</f>
        <v/>
      </c>
      <c r="J267" s="32" t="n">
        <v>46419</v>
      </c>
      <c r="K267" s="32" t="n">
        <f aca="false">IF($G267&lt;&gt;"",IFERROR(DATE(IF(VALUE(LEFT($G267,FIND("월",$G267)-1))&gt;=9,기준정보!$C$6-1,기준정보!$C$6),VALUE(LEFT($G267,FIND("월",$G267)-1)),1+7*(VALUE(SUBSTITUTE(MID($G267,FIND("월",$G267)+1,5),"주",""))-1)),""),IF($I267&lt;&gt;"",IF(ISNUMBER($I267),$I267+364,IFERROR(DATE(IF(VALUE(LEFT($I267,FIND("월",$I267)-1))&gt;=9,기준정보!$C$6-1,기준정보!$C$6),VALUE(LEFT($I267,FIND("월",$I267)-1)),1+7*(VALUE(SUBSTITUTE(MID($I267,FIND("월",$I267)+1,5),"주",""))-1)),"")),IF($J267&lt;&gt;"",$J267,"")))</f>
        <v>46419</v>
      </c>
      <c r="L267" s="28" t="str">
        <f aca="false">IF($G267&lt;&gt;"","계획 주차",IF($I267&lt;&gt;"","전년+1년 예측",IF($J267&lt;&gt;"","전산 입고계획(참고)","미정")))</f>
        <v>전산 입고계획(참고)</v>
      </c>
      <c r="M267" s="32" t="n">
        <f aca="false">IF($K267="","",$K267-기준정보!$C$5)</f>
        <v>46329</v>
      </c>
      <c r="N267" s="33" t="n">
        <f aca="false">IF($M267="","",$M267-기준정보!$C$4)</f>
        <v>88</v>
      </c>
      <c r="O267" s="31" t="s">
        <v>108</v>
      </c>
      <c r="P267" s="20"/>
      <c r="Q267" s="30" t="str">
        <f aca="false">IF($F267="","",IF(AND(ISNUMBER(SEARCH("CMT",$F267)),OR(ISNUMBER(SEARCH("사입",$F267)),ISNUMBER(SEARCH("Buying",$F267)))),"본사/생산처 혼재",IF(ISNUMBER(SEARCH("CMT",$F267)),"본사(소재팀)","생산처")))</f>
        <v>본사(소재팀)</v>
      </c>
      <c r="R267" s="29" t="s">
        <v>142</v>
      </c>
      <c r="S267" s="29" t="s">
        <v>110</v>
      </c>
      <c r="T267" s="30" t="str">
        <f aca="false">IF($K267="","출고일 미정",IF($O267="X","작지(일매) 미등록",IF($O267="부분","작지(일매) 일부 미등록",IF(AND($P267&lt;&gt;"",$P267&gt;$M267),"소재입고 마감("&amp;TEXT($M267,"MM/DD")&amp;") 초과",IF($O267="","일매 등록여부 확인 필요",IF($P267="","소재 입고일정 확인 필요","정상"))))))</f>
        <v>소재 입고일정 확인 필요</v>
      </c>
      <c r="U267" s="28" t="str">
        <f aca="false">IF($K267="","",IF(OR(LEFT($T267,2)="작지",LEFT($T267,4)="소재입고"),IF(LEFT($E267,1)="S","★ 납기위험(S코드)","◆ 지연주의"),IF($T267="정상","✓ 정상","? 확인필요")))</f>
        <v>? 확인필요</v>
      </c>
      <c r="V267" s="31"/>
      <c r="W267" s="19"/>
    </row>
    <row r="268" customFormat="false" ht="15" hidden="false" customHeight="true" outlineLevel="0" collapsed="false">
      <c r="A268" s="28" t="n">
        <v>264</v>
      </c>
      <c r="B268" s="29" t="s">
        <v>266</v>
      </c>
      <c r="C268" s="30" t="s">
        <v>665</v>
      </c>
      <c r="D268" s="29" t="s">
        <v>666</v>
      </c>
      <c r="E268" s="28" t="str">
        <f aca="false">IF($C268="","",IF(MID($C268,5,1)="S","S(봄)",IF(MID($C268,5,1)="M","M(여름)",IF(MID($C268,5,1)="X","X(사계절)",MID($C268,5,1)))))</f>
        <v>M(여름)</v>
      </c>
      <c r="F268" s="30" t="s">
        <v>141</v>
      </c>
      <c r="G268" s="31"/>
      <c r="H268" s="28" t="str">
        <f aca="false">IF($C268="","",REPLACE($C268,6,2,"26"))</f>
        <v>JWPNM26181</v>
      </c>
      <c r="I268" s="32" t="str">
        <f aca="false">IFERROR(INDEX(전년출고참조!$B$4:$B$638,MATCH($H268,전년출고참조!$A$4:$A$638,0)),"")</f>
        <v/>
      </c>
      <c r="J268" s="32" t="n">
        <v>46419</v>
      </c>
      <c r="K268" s="32" t="n">
        <f aca="false">IF($G268&lt;&gt;"",IFERROR(DATE(IF(VALUE(LEFT($G268,FIND("월",$G268)-1))&gt;=9,기준정보!$C$6-1,기준정보!$C$6),VALUE(LEFT($G268,FIND("월",$G268)-1)),1+7*(VALUE(SUBSTITUTE(MID($G268,FIND("월",$G268)+1,5),"주",""))-1)),""),IF($I268&lt;&gt;"",IF(ISNUMBER($I268),$I268+364,IFERROR(DATE(IF(VALUE(LEFT($I268,FIND("월",$I268)-1))&gt;=9,기준정보!$C$6-1,기준정보!$C$6),VALUE(LEFT($I268,FIND("월",$I268)-1)),1+7*(VALUE(SUBSTITUTE(MID($I268,FIND("월",$I268)+1,5),"주",""))-1)),"")),IF($J268&lt;&gt;"",$J268,"")))</f>
        <v>46419</v>
      </c>
      <c r="L268" s="28" t="str">
        <f aca="false">IF($G268&lt;&gt;"","계획 주차",IF($I268&lt;&gt;"","전년+1년 예측",IF($J268&lt;&gt;"","전산 입고계획(참고)","미정")))</f>
        <v>전산 입고계획(참고)</v>
      </c>
      <c r="M268" s="32" t="n">
        <f aca="false">IF($K268="","",$K268-기준정보!$C$5)</f>
        <v>46329</v>
      </c>
      <c r="N268" s="33" t="n">
        <f aca="false">IF($M268="","",$M268-기준정보!$C$4)</f>
        <v>88</v>
      </c>
      <c r="O268" s="31" t="s">
        <v>114</v>
      </c>
      <c r="P268" s="20"/>
      <c r="Q268" s="30" t="str">
        <f aca="false">IF($F268="","",IF(AND(ISNUMBER(SEARCH("CMT",$F268)),OR(ISNUMBER(SEARCH("사입",$F268)),ISNUMBER(SEARCH("Buying",$F268)))),"본사/생산처 혼재",IF(ISNUMBER(SEARCH("CMT",$F268)),"본사(소재팀)","생산처")))</f>
        <v>본사(소재팀)</v>
      </c>
      <c r="R268" s="29" t="s">
        <v>142</v>
      </c>
      <c r="S268" s="29" t="s">
        <v>110</v>
      </c>
      <c r="T268" s="30" t="str">
        <f aca="false">IF($K268="","출고일 미정",IF($O268="X","작지(일매) 미등록",IF($O268="부분","작지(일매) 일부 미등록",IF(AND($P268&lt;&gt;"",$P268&gt;$M268),"소재입고 마감("&amp;TEXT($M268,"MM/DD")&amp;") 초과",IF($O268="","일매 등록여부 확인 필요",IF($P268="","소재 입고일정 확인 필요","정상"))))))</f>
        <v>작지(일매) 미등록</v>
      </c>
      <c r="U268" s="28" t="str">
        <f aca="false">IF($K268="","",IF(OR(LEFT($T268,2)="작지",LEFT($T268,4)="소재입고"),IF(LEFT($E268,1)="S","★ 납기위험(S코드)","◆ 지연주의"),IF($T268="정상","✓ 정상","? 확인필요")))</f>
        <v>◆ 지연주의</v>
      </c>
      <c r="V268" s="31"/>
      <c r="W268" s="19"/>
    </row>
    <row r="269" customFormat="false" ht="15" hidden="false" customHeight="true" outlineLevel="0" collapsed="false">
      <c r="A269" s="28" t="n">
        <v>265</v>
      </c>
      <c r="B269" s="29" t="s">
        <v>266</v>
      </c>
      <c r="C269" s="30" t="s">
        <v>667</v>
      </c>
      <c r="D269" s="29" t="s">
        <v>668</v>
      </c>
      <c r="E269" s="28" t="str">
        <f aca="false">IF($C269="","",IF(MID($C269,5,1)="S","S(봄)",IF(MID($C269,5,1)="M","M(여름)",IF(MID($C269,5,1)="X","X(사계절)",MID($C269,5,1)))))</f>
        <v>M(여름)</v>
      </c>
      <c r="F269" s="30" t="s">
        <v>141</v>
      </c>
      <c r="G269" s="31"/>
      <c r="H269" s="28" t="str">
        <f aca="false">IF($C269="","",REPLACE($C269,6,2,"26"))</f>
        <v>JWPNM26183</v>
      </c>
      <c r="I269" s="32" t="str">
        <f aca="false">IFERROR(INDEX(전년출고참조!$B$4:$B$638,MATCH($H269,전년출고참조!$A$4:$A$638,0)),"")</f>
        <v/>
      </c>
      <c r="J269" s="32" t="n">
        <v>46419</v>
      </c>
      <c r="K269" s="32" t="n">
        <f aca="false">IF($G269&lt;&gt;"",IFERROR(DATE(IF(VALUE(LEFT($G269,FIND("월",$G269)-1))&gt;=9,기준정보!$C$6-1,기준정보!$C$6),VALUE(LEFT($G269,FIND("월",$G269)-1)),1+7*(VALUE(SUBSTITUTE(MID($G269,FIND("월",$G269)+1,5),"주",""))-1)),""),IF($I269&lt;&gt;"",IF(ISNUMBER($I269),$I269+364,IFERROR(DATE(IF(VALUE(LEFT($I269,FIND("월",$I269)-1))&gt;=9,기준정보!$C$6-1,기준정보!$C$6),VALUE(LEFT($I269,FIND("월",$I269)-1)),1+7*(VALUE(SUBSTITUTE(MID($I269,FIND("월",$I269)+1,5),"주",""))-1)),"")),IF($J269&lt;&gt;"",$J269,"")))</f>
        <v>46419</v>
      </c>
      <c r="L269" s="28" t="str">
        <f aca="false">IF($G269&lt;&gt;"","계획 주차",IF($I269&lt;&gt;"","전년+1년 예측",IF($J269&lt;&gt;"","전산 입고계획(참고)","미정")))</f>
        <v>전산 입고계획(참고)</v>
      </c>
      <c r="M269" s="32" t="n">
        <f aca="false">IF($K269="","",$K269-기준정보!$C$5)</f>
        <v>46329</v>
      </c>
      <c r="N269" s="33" t="n">
        <f aca="false">IF($M269="","",$M269-기준정보!$C$4)</f>
        <v>88</v>
      </c>
      <c r="O269" s="31" t="s">
        <v>114</v>
      </c>
      <c r="P269" s="20"/>
      <c r="Q269" s="30" t="str">
        <f aca="false">IF($F269="","",IF(AND(ISNUMBER(SEARCH("CMT",$F269)),OR(ISNUMBER(SEARCH("사입",$F269)),ISNUMBER(SEARCH("Buying",$F269)))),"본사/생산처 혼재",IF(ISNUMBER(SEARCH("CMT",$F269)),"본사(소재팀)","생산처")))</f>
        <v>본사(소재팀)</v>
      </c>
      <c r="R269" s="29" t="s">
        <v>148</v>
      </c>
      <c r="S269" s="29" t="s">
        <v>110</v>
      </c>
      <c r="T269" s="30" t="str">
        <f aca="false">IF($K269="","출고일 미정",IF($O269="X","작지(일매) 미등록",IF($O269="부분","작지(일매) 일부 미등록",IF(AND($P269&lt;&gt;"",$P269&gt;$M269),"소재입고 마감("&amp;TEXT($M269,"MM/DD")&amp;") 초과",IF($O269="","일매 등록여부 확인 필요",IF($P269="","소재 입고일정 확인 필요","정상"))))))</f>
        <v>작지(일매) 미등록</v>
      </c>
      <c r="U269" s="28" t="str">
        <f aca="false">IF($K269="","",IF(OR(LEFT($T269,2)="작지",LEFT($T269,4)="소재입고"),IF(LEFT($E269,1)="S","★ 납기위험(S코드)","◆ 지연주의"),IF($T269="정상","✓ 정상","? 확인필요")))</f>
        <v>◆ 지연주의</v>
      </c>
      <c r="V269" s="31"/>
      <c r="W269" s="19"/>
    </row>
    <row r="270" customFormat="false" ht="15" hidden="false" customHeight="true" outlineLevel="0" collapsed="false">
      <c r="A270" s="28" t="n">
        <v>266</v>
      </c>
      <c r="B270" s="29" t="s">
        <v>266</v>
      </c>
      <c r="C270" s="30" t="s">
        <v>669</v>
      </c>
      <c r="D270" s="29" t="s">
        <v>670</v>
      </c>
      <c r="E270" s="28" t="str">
        <f aca="false">IF($C270="","",IF(MID($C270,5,1)="S","S(봄)",IF(MID($C270,5,1)="M","M(여름)",IF(MID($C270,5,1)="X","X(사계절)",MID($C270,5,1)))))</f>
        <v>M(여름)</v>
      </c>
      <c r="F270" s="30" t="s">
        <v>141</v>
      </c>
      <c r="G270" s="31"/>
      <c r="H270" s="28" t="str">
        <f aca="false">IF($C270="","",REPLACE($C270,6,2,"26"))</f>
        <v>JWPNM26191</v>
      </c>
      <c r="I270" s="32" t="str">
        <f aca="false">IFERROR(INDEX(전년출고참조!$B$4:$B$638,MATCH($H270,전년출고참조!$A$4:$A$638,0)),"")</f>
        <v/>
      </c>
      <c r="J270" s="32" t="n">
        <v>46419</v>
      </c>
      <c r="K270" s="32" t="n">
        <f aca="false">IF($G270&lt;&gt;"",IFERROR(DATE(IF(VALUE(LEFT($G270,FIND("월",$G270)-1))&gt;=9,기준정보!$C$6-1,기준정보!$C$6),VALUE(LEFT($G270,FIND("월",$G270)-1)),1+7*(VALUE(SUBSTITUTE(MID($G270,FIND("월",$G270)+1,5),"주",""))-1)),""),IF($I270&lt;&gt;"",IF(ISNUMBER($I270),$I270+364,IFERROR(DATE(IF(VALUE(LEFT($I270,FIND("월",$I270)-1))&gt;=9,기준정보!$C$6-1,기준정보!$C$6),VALUE(LEFT($I270,FIND("월",$I270)-1)),1+7*(VALUE(SUBSTITUTE(MID($I270,FIND("월",$I270)+1,5),"주",""))-1)),"")),IF($J270&lt;&gt;"",$J270,"")))</f>
        <v>46419</v>
      </c>
      <c r="L270" s="28" t="str">
        <f aca="false">IF($G270&lt;&gt;"","계획 주차",IF($I270&lt;&gt;"","전년+1년 예측",IF($J270&lt;&gt;"","전산 입고계획(참고)","미정")))</f>
        <v>전산 입고계획(참고)</v>
      </c>
      <c r="M270" s="32" t="n">
        <f aca="false">IF($K270="","",$K270-기준정보!$C$5)</f>
        <v>46329</v>
      </c>
      <c r="N270" s="33" t="n">
        <f aca="false">IF($M270="","",$M270-기준정보!$C$4)</f>
        <v>88</v>
      </c>
      <c r="O270" s="31" t="s">
        <v>114</v>
      </c>
      <c r="P270" s="20"/>
      <c r="Q270" s="30" t="str">
        <f aca="false">IF($F270="","",IF(AND(ISNUMBER(SEARCH("CMT",$F270)),OR(ISNUMBER(SEARCH("사입",$F270)),ISNUMBER(SEARCH("Buying",$F270)))),"본사/생산처 혼재",IF(ISNUMBER(SEARCH("CMT",$F270)),"본사(소재팀)","생산처")))</f>
        <v>본사(소재팀)</v>
      </c>
      <c r="R270" s="29" t="s">
        <v>148</v>
      </c>
      <c r="S270" s="29" t="s">
        <v>110</v>
      </c>
      <c r="T270" s="30" t="str">
        <f aca="false">IF($K270="","출고일 미정",IF($O270="X","작지(일매) 미등록",IF($O270="부분","작지(일매) 일부 미등록",IF(AND($P270&lt;&gt;"",$P270&gt;$M270),"소재입고 마감("&amp;TEXT($M270,"MM/DD")&amp;") 초과",IF($O270="","일매 등록여부 확인 필요",IF($P270="","소재 입고일정 확인 필요","정상"))))))</f>
        <v>작지(일매) 미등록</v>
      </c>
      <c r="U270" s="28" t="str">
        <f aca="false">IF($K270="","",IF(OR(LEFT($T270,2)="작지",LEFT($T270,4)="소재입고"),IF(LEFT($E270,1)="S","★ 납기위험(S코드)","◆ 지연주의"),IF($T270="정상","✓ 정상","? 확인필요")))</f>
        <v>◆ 지연주의</v>
      </c>
      <c r="V270" s="31"/>
      <c r="W270" s="19"/>
    </row>
    <row r="271" customFormat="false" ht="15" hidden="false" customHeight="true" outlineLevel="0" collapsed="false">
      <c r="A271" s="28" t="n">
        <v>267</v>
      </c>
      <c r="B271" s="29" t="s">
        <v>266</v>
      </c>
      <c r="C271" s="30" t="s">
        <v>671</v>
      </c>
      <c r="D271" s="29" t="s">
        <v>672</v>
      </c>
      <c r="E271" s="28" t="str">
        <f aca="false">IF($C271="","",IF(MID($C271,5,1)="S","S(봄)",IF(MID($C271,5,1)="M","M(여름)",IF(MID($C271,5,1)="X","X(사계절)",MID($C271,5,1)))))</f>
        <v>M(여름)</v>
      </c>
      <c r="F271" s="30" t="s">
        <v>141</v>
      </c>
      <c r="G271" s="31"/>
      <c r="H271" s="28" t="str">
        <f aca="false">IF($C271="","",REPLACE($C271,6,2,"26"))</f>
        <v>JWPOM26141</v>
      </c>
      <c r="I271" s="32" t="str">
        <f aca="false">IFERROR(INDEX(전년출고참조!$B$4:$B$638,MATCH($H271,전년출고참조!$A$4:$A$638,0)),"")</f>
        <v/>
      </c>
      <c r="J271" s="32" t="n">
        <v>46419</v>
      </c>
      <c r="K271" s="32" t="n">
        <f aca="false">IF($G271&lt;&gt;"",IFERROR(DATE(IF(VALUE(LEFT($G271,FIND("월",$G271)-1))&gt;=9,기준정보!$C$6-1,기준정보!$C$6),VALUE(LEFT($G271,FIND("월",$G271)-1)),1+7*(VALUE(SUBSTITUTE(MID($G271,FIND("월",$G271)+1,5),"주",""))-1)),""),IF($I271&lt;&gt;"",IF(ISNUMBER($I271),$I271+364,IFERROR(DATE(IF(VALUE(LEFT($I271,FIND("월",$I271)-1))&gt;=9,기준정보!$C$6-1,기준정보!$C$6),VALUE(LEFT($I271,FIND("월",$I271)-1)),1+7*(VALUE(SUBSTITUTE(MID($I271,FIND("월",$I271)+1,5),"주",""))-1)),"")),IF($J271&lt;&gt;"",$J271,"")))</f>
        <v>46419</v>
      </c>
      <c r="L271" s="28" t="str">
        <f aca="false">IF($G271&lt;&gt;"","계획 주차",IF($I271&lt;&gt;"","전년+1년 예측",IF($J271&lt;&gt;"","전산 입고계획(참고)","미정")))</f>
        <v>전산 입고계획(참고)</v>
      </c>
      <c r="M271" s="32" t="n">
        <f aca="false">IF($K271="","",$K271-기준정보!$C$5)</f>
        <v>46329</v>
      </c>
      <c r="N271" s="33" t="n">
        <f aca="false">IF($M271="","",$M271-기준정보!$C$4)</f>
        <v>88</v>
      </c>
      <c r="O271" s="31" t="s">
        <v>114</v>
      </c>
      <c r="P271" s="20"/>
      <c r="Q271" s="30" t="str">
        <f aca="false">IF($F271="","",IF(AND(ISNUMBER(SEARCH("CMT",$F271)),OR(ISNUMBER(SEARCH("사입",$F271)),ISNUMBER(SEARCH("Buying",$F271)))),"본사/생산처 혼재",IF(ISNUMBER(SEARCH("CMT",$F271)),"본사(소재팀)","생산처")))</f>
        <v>본사(소재팀)</v>
      </c>
      <c r="R271" s="29" t="s">
        <v>142</v>
      </c>
      <c r="S271" s="29" t="s">
        <v>110</v>
      </c>
      <c r="T271" s="30" t="str">
        <f aca="false">IF($K271="","출고일 미정",IF($O271="X","작지(일매) 미등록",IF($O271="부분","작지(일매) 일부 미등록",IF(AND($P271&lt;&gt;"",$P271&gt;$M271),"소재입고 마감("&amp;TEXT($M271,"MM/DD")&amp;") 초과",IF($O271="","일매 등록여부 확인 필요",IF($P271="","소재 입고일정 확인 필요","정상"))))))</f>
        <v>작지(일매) 미등록</v>
      </c>
      <c r="U271" s="28" t="str">
        <f aca="false">IF($K271="","",IF(OR(LEFT($T271,2)="작지",LEFT($T271,4)="소재입고"),IF(LEFT($E271,1)="S","★ 납기위험(S코드)","◆ 지연주의"),IF($T271="정상","✓ 정상","? 확인필요")))</f>
        <v>◆ 지연주의</v>
      </c>
      <c r="V271" s="31"/>
      <c r="W271" s="19"/>
    </row>
    <row r="272" customFormat="false" ht="15" hidden="false" customHeight="true" outlineLevel="0" collapsed="false">
      <c r="A272" s="28" t="n">
        <v>268</v>
      </c>
      <c r="B272" s="29" t="s">
        <v>266</v>
      </c>
      <c r="C272" s="30" t="s">
        <v>673</v>
      </c>
      <c r="D272" s="29" t="s">
        <v>674</v>
      </c>
      <c r="E272" s="28" t="str">
        <f aca="false">IF($C272="","",IF(MID($C272,5,1)="S","S(봄)",IF(MID($C272,5,1)="M","M(여름)",IF(MID($C272,5,1)="X","X(사계절)",MID($C272,5,1)))))</f>
        <v>M(여름)</v>
      </c>
      <c r="F272" s="30" t="s">
        <v>141</v>
      </c>
      <c r="G272" s="31"/>
      <c r="H272" s="28" t="str">
        <f aca="false">IF($C272="","",REPLACE($C272,6,2,"26"))</f>
        <v>JWPOM26161</v>
      </c>
      <c r="I272" s="32" t="str">
        <f aca="false">IFERROR(INDEX(전년출고참조!$B$4:$B$638,MATCH($H272,전년출고참조!$A$4:$A$638,0)),"")</f>
        <v/>
      </c>
      <c r="J272" s="32" t="n">
        <v>46419</v>
      </c>
      <c r="K272" s="32" t="n">
        <f aca="false">IF($G272&lt;&gt;"",IFERROR(DATE(IF(VALUE(LEFT($G272,FIND("월",$G272)-1))&gt;=9,기준정보!$C$6-1,기준정보!$C$6),VALUE(LEFT($G272,FIND("월",$G272)-1)),1+7*(VALUE(SUBSTITUTE(MID($G272,FIND("월",$G272)+1,5),"주",""))-1)),""),IF($I272&lt;&gt;"",IF(ISNUMBER($I272),$I272+364,IFERROR(DATE(IF(VALUE(LEFT($I272,FIND("월",$I272)-1))&gt;=9,기준정보!$C$6-1,기준정보!$C$6),VALUE(LEFT($I272,FIND("월",$I272)-1)),1+7*(VALUE(SUBSTITUTE(MID($I272,FIND("월",$I272)+1,5),"주",""))-1)),"")),IF($J272&lt;&gt;"",$J272,"")))</f>
        <v>46419</v>
      </c>
      <c r="L272" s="28" t="str">
        <f aca="false">IF($G272&lt;&gt;"","계획 주차",IF($I272&lt;&gt;"","전년+1년 예측",IF($J272&lt;&gt;"","전산 입고계획(참고)","미정")))</f>
        <v>전산 입고계획(참고)</v>
      </c>
      <c r="M272" s="32" t="n">
        <f aca="false">IF($K272="","",$K272-기준정보!$C$5)</f>
        <v>46329</v>
      </c>
      <c r="N272" s="33" t="n">
        <f aca="false">IF($M272="","",$M272-기준정보!$C$4)</f>
        <v>88</v>
      </c>
      <c r="O272" s="31" t="s">
        <v>108</v>
      </c>
      <c r="P272" s="20"/>
      <c r="Q272" s="30" t="str">
        <f aca="false">IF($F272="","",IF(AND(ISNUMBER(SEARCH("CMT",$F272)),OR(ISNUMBER(SEARCH("사입",$F272)),ISNUMBER(SEARCH("Buying",$F272)))),"본사/생산처 혼재",IF(ISNUMBER(SEARCH("CMT",$F272)),"본사(소재팀)","생산처")))</f>
        <v>본사(소재팀)</v>
      </c>
      <c r="R272" s="29" t="s">
        <v>230</v>
      </c>
      <c r="S272" s="29" t="s">
        <v>110</v>
      </c>
      <c r="T272" s="30" t="str">
        <f aca="false">IF($K272="","출고일 미정",IF($O272="X","작지(일매) 미등록",IF($O272="부분","작지(일매) 일부 미등록",IF(AND($P272&lt;&gt;"",$P272&gt;$M272),"소재입고 마감("&amp;TEXT($M272,"MM/DD")&amp;") 초과",IF($O272="","일매 등록여부 확인 필요",IF($P272="","소재 입고일정 확인 필요","정상"))))))</f>
        <v>소재 입고일정 확인 필요</v>
      </c>
      <c r="U272" s="28" t="str">
        <f aca="false">IF($K272="","",IF(OR(LEFT($T272,2)="작지",LEFT($T272,4)="소재입고"),IF(LEFT($E272,1)="S","★ 납기위험(S코드)","◆ 지연주의"),IF($T272="정상","✓ 정상","? 확인필요")))</f>
        <v>? 확인필요</v>
      </c>
      <c r="V272" s="31"/>
      <c r="W272" s="19"/>
    </row>
    <row r="273" customFormat="false" ht="15" hidden="false" customHeight="true" outlineLevel="0" collapsed="false">
      <c r="A273" s="28" t="n">
        <v>269</v>
      </c>
      <c r="B273" s="29" t="s">
        <v>266</v>
      </c>
      <c r="C273" s="30" t="s">
        <v>675</v>
      </c>
      <c r="D273" s="29" t="s">
        <v>676</v>
      </c>
      <c r="E273" s="28" t="str">
        <f aca="false">IF($C273="","",IF(MID($C273,5,1)="S","S(봄)",IF(MID($C273,5,1)="M","M(여름)",IF(MID($C273,5,1)="X","X(사계절)",MID($C273,5,1)))))</f>
        <v>M(여름)</v>
      </c>
      <c r="F273" s="30" t="s">
        <v>141</v>
      </c>
      <c r="G273" s="31"/>
      <c r="H273" s="28" t="str">
        <f aca="false">IF($C273="","",REPLACE($C273,6,2,"26"))</f>
        <v>JWPOM26171</v>
      </c>
      <c r="I273" s="32" t="str">
        <f aca="false">IFERROR(INDEX(전년출고참조!$B$4:$B$638,MATCH($H273,전년출고참조!$A$4:$A$638,0)),"")</f>
        <v/>
      </c>
      <c r="J273" s="32" t="n">
        <v>46419</v>
      </c>
      <c r="K273" s="32" t="n">
        <f aca="false">IF($G273&lt;&gt;"",IFERROR(DATE(IF(VALUE(LEFT($G273,FIND("월",$G273)-1))&gt;=9,기준정보!$C$6-1,기준정보!$C$6),VALUE(LEFT($G273,FIND("월",$G273)-1)),1+7*(VALUE(SUBSTITUTE(MID($G273,FIND("월",$G273)+1,5),"주",""))-1)),""),IF($I273&lt;&gt;"",IF(ISNUMBER($I273),$I273+364,IFERROR(DATE(IF(VALUE(LEFT($I273,FIND("월",$I273)-1))&gt;=9,기준정보!$C$6-1,기준정보!$C$6),VALUE(LEFT($I273,FIND("월",$I273)-1)),1+7*(VALUE(SUBSTITUTE(MID($I273,FIND("월",$I273)+1,5),"주",""))-1)),"")),IF($J273&lt;&gt;"",$J273,"")))</f>
        <v>46419</v>
      </c>
      <c r="L273" s="28" t="str">
        <f aca="false">IF($G273&lt;&gt;"","계획 주차",IF($I273&lt;&gt;"","전년+1년 예측",IF($J273&lt;&gt;"","전산 입고계획(참고)","미정")))</f>
        <v>전산 입고계획(참고)</v>
      </c>
      <c r="M273" s="32" t="n">
        <f aca="false">IF($K273="","",$K273-기준정보!$C$5)</f>
        <v>46329</v>
      </c>
      <c r="N273" s="33" t="n">
        <f aca="false">IF($M273="","",$M273-기준정보!$C$4)</f>
        <v>88</v>
      </c>
      <c r="O273" s="31" t="s">
        <v>114</v>
      </c>
      <c r="P273" s="20"/>
      <c r="Q273" s="30" t="str">
        <f aca="false">IF($F273="","",IF(AND(ISNUMBER(SEARCH("CMT",$F273)),OR(ISNUMBER(SEARCH("사입",$F273)),ISNUMBER(SEARCH("Buying",$F273)))),"본사/생산처 혼재",IF(ISNUMBER(SEARCH("CMT",$F273)),"본사(소재팀)","생산처")))</f>
        <v>본사(소재팀)</v>
      </c>
      <c r="R273" s="29" t="s">
        <v>142</v>
      </c>
      <c r="S273" s="29" t="s">
        <v>110</v>
      </c>
      <c r="T273" s="30" t="str">
        <f aca="false">IF($K273="","출고일 미정",IF($O273="X","작지(일매) 미등록",IF($O273="부분","작지(일매) 일부 미등록",IF(AND($P273&lt;&gt;"",$P273&gt;$M273),"소재입고 마감("&amp;TEXT($M273,"MM/DD")&amp;") 초과",IF($O273="","일매 등록여부 확인 필요",IF($P273="","소재 입고일정 확인 필요","정상"))))))</f>
        <v>작지(일매) 미등록</v>
      </c>
      <c r="U273" s="28" t="str">
        <f aca="false">IF($K273="","",IF(OR(LEFT($T273,2)="작지",LEFT($T273,4)="소재입고"),IF(LEFT($E273,1)="S","★ 납기위험(S코드)","◆ 지연주의"),IF($T273="정상","✓ 정상","? 확인필요")))</f>
        <v>◆ 지연주의</v>
      </c>
      <c r="V273" s="31"/>
      <c r="W273" s="19"/>
    </row>
    <row r="274" customFormat="false" ht="15" hidden="false" customHeight="true" outlineLevel="0" collapsed="false">
      <c r="A274" s="28" t="n">
        <v>270</v>
      </c>
      <c r="B274" s="29" t="s">
        <v>266</v>
      </c>
      <c r="C274" s="30" t="s">
        <v>677</v>
      </c>
      <c r="D274" s="29" t="s">
        <v>678</v>
      </c>
      <c r="E274" s="28" t="str">
        <f aca="false">IF($C274="","",IF(MID($C274,5,1)="S","S(봄)",IF(MID($C274,5,1)="M","M(여름)",IF(MID($C274,5,1)="X","X(사계절)",MID($C274,5,1)))))</f>
        <v>M(여름)</v>
      </c>
      <c r="F274" s="30" t="s">
        <v>141</v>
      </c>
      <c r="G274" s="31"/>
      <c r="H274" s="28" t="str">
        <f aca="false">IF($C274="","",REPLACE($C274,6,2,"26"))</f>
        <v>JWPOM26181</v>
      </c>
      <c r="I274" s="32" t="str">
        <f aca="false">IFERROR(INDEX(전년출고참조!$B$4:$B$638,MATCH($H274,전년출고참조!$A$4:$A$638,0)),"")</f>
        <v/>
      </c>
      <c r="J274" s="32" t="n">
        <v>46419</v>
      </c>
      <c r="K274" s="32" t="n">
        <f aca="false">IF($G274&lt;&gt;"",IFERROR(DATE(IF(VALUE(LEFT($G274,FIND("월",$G274)-1))&gt;=9,기준정보!$C$6-1,기준정보!$C$6),VALUE(LEFT($G274,FIND("월",$G274)-1)),1+7*(VALUE(SUBSTITUTE(MID($G274,FIND("월",$G274)+1,5),"주",""))-1)),""),IF($I274&lt;&gt;"",IF(ISNUMBER($I274),$I274+364,IFERROR(DATE(IF(VALUE(LEFT($I274,FIND("월",$I274)-1))&gt;=9,기준정보!$C$6-1,기준정보!$C$6),VALUE(LEFT($I274,FIND("월",$I274)-1)),1+7*(VALUE(SUBSTITUTE(MID($I274,FIND("월",$I274)+1,5),"주",""))-1)),"")),IF($J274&lt;&gt;"",$J274,"")))</f>
        <v>46419</v>
      </c>
      <c r="L274" s="28" t="str">
        <f aca="false">IF($G274&lt;&gt;"","계획 주차",IF($I274&lt;&gt;"","전년+1년 예측",IF($J274&lt;&gt;"","전산 입고계획(참고)","미정")))</f>
        <v>전산 입고계획(참고)</v>
      </c>
      <c r="M274" s="32" t="n">
        <f aca="false">IF($K274="","",$K274-기준정보!$C$5)</f>
        <v>46329</v>
      </c>
      <c r="N274" s="33" t="n">
        <f aca="false">IF($M274="","",$M274-기준정보!$C$4)</f>
        <v>88</v>
      </c>
      <c r="O274" s="31" t="s">
        <v>114</v>
      </c>
      <c r="P274" s="20"/>
      <c r="Q274" s="30" t="str">
        <f aca="false">IF($F274="","",IF(AND(ISNUMBER(SEARCH("CMT",$F274)),OR(ISNUMBER(SEARCH("사입",$F274)),ISNUMBER(SEARCH("Buying",$F274)))),"본사/생산처 혼재",IF(ISNUMBER(SEARCH("CMT",$F274)),"본사(소재팀)","생산처")))</f>
        <v>본사(소재팀)</v>
      </c>
      <c r="R274" s="29" t="s">
        <v>148</v>
      </c>
      <c r="S274" s="29" t="s">
        <v>110</v>
      </c>
      <c r="T274" s="30" t="str">
        <f aca="false">IF($K274="","출고일 미정",IF($O274="X","작지(일매) 미등록",IF($O274="부분","작지(일매) 일부 미등록",IF(AND($P274&lt;&gt;"",$P274&gt;$M274),"소재입고 마감("&amp;TEXT($M274,"MM/DD")&amp;") 초과",IF($O274="","일매 등록여부 확인 필요",IF($P274="","소재 입고일정 확인 필요","정상"))))))</f>
        <v>작지(일매) 미등록</v>
      </c>
      <c r="U274" s="28" t="str">
        <f aca="false">IF($K274="","",IF(OR(LEFT($T274,2)="작지",LEFT($T274,4)="소재입고"),IF(LEFT($E274,1)="S","★ 납기위험(S코드)","◆ 지연주의"),IF($T274="정상","✓ 정상","? 확인필요")))</f>
        <v>◆ 지연주의</v>
      </c>
      <c r="V274" s="31"/>
      <c r="W274" s="19"/>
    </row>
    <row r="275" customFormat="false" ht="15" hidden="false" customHeight="true" outlineLevel="0" collapsed="false">
      <c r="A275" s="28" t="n">
        <v>271</v>
      </c>
      <c r="B275" s="29" t="s">
        <v>266</v>
      </c>
      <c r="C275" s="30" t="s">
        <v>679</v>
      </c>
      <c r="D275" s="29" t="s">
        <v>680</v>
      </c>
      <c r="E275" s="28" t="str">
        <f aca="false">IF($C275="","",IF(MID($C275,5,1)="S","S(봄)",IF(MID($C275,5,1)="M","M(여름)",IF(MID($C275,5,1)="X","X(사계절)",MID($C275,5,1)))))</f>
        <v>M(여름)</v>
      </c>
      <c r="F275" s="30" t="s">
        <v>141</v>
      </c>
      <c r="G275" s="31"/>
      <c r="H275" s="28" t="str">
        <f aca="false">IF($C275="","",REPLACE($C275,6,2,"26"))</f>
        <v>JWPOM26191</v>
      </c>
      <c r="I275" s="32" t="str">
        <f aca="false">IFERROR(INDEX(전년출고참조!$B$4:$B$638,MATCH($H275,전년출고참조!$A$4:$A$638,0)),"")</f>
        <v/>
      </c>
      <c r="J275" s="32" t="n">
        <v>46419</v>
      </c>
      <c r="K275" s="32" t="n">
        <f aca="false">IF($G275&lt;&gt;"",IFERROR(DATE(IF(VALUE(LEFT($G275,FIND("월",$G275)-1))&gt;=9,기준정보!$C$6-1,기준정보!$C$6),VALUE(LEFT($G275,FIND("월",$G275)-1)),1+7*(VALUE(SUBSTITUTE(MID($G275,FIND("월",$G275)+1,5),"주",""))-1)),""),IF($I275&lt;&gt;"",IF(ISNUMBER($I275),$I275+364,IFERROR(DATE(IF(VALUE(LEFT($I275,FIND("월",$I275)-1))&gt;=9,기준정보!$C$6-1,기준정보!$C$6),VALUE(LEFT($I275,FIND("월",$I275)-1)),1+7*(VALUE(SUBSTITUTE(MID($I275,FIND("월",$I275)+1,5),"주",""))-1)),"")),IF($J275&lt;&gt;"",$J275,"")))</f>
        <v>46419</v>
      </c>
      <c r="L275" s="28" t="str">
        <f aca="false">IF($G275&lt;&gt;"","계획 주차",IF($I275&lt;&gt;"","전년+1년 예측",IF($J275&lt;&gt;"","전산 입고계획(참고)","미정")))</f>
        <v>전산 입고계획(참고)</v>
      </c>
      <c r="M275" s="32" t="n">
        <f aca="false">IF($K275="","",$K275-기준정보!$C$5)</f>
        <v>46329</v>
      </c>
      <c r="N275" s="33" t="n">
        <f aca="false">IF($M275="","",$M275-기준정보!$C$4)</f>
        <v>88</v>
      </c>
      <c r="O275" s="31" t="s">
        <v>114</v>
      </c>
      <c r="P275" s="20"/>
      <c r="Q275" s="30" t="str">
        <f aca="false">IF($F275="","",IF(AND(ISNUMBER(SEARCH("CMT",$F275)),OR(ISNUMBER(SEARCH("사입",$F275)),ISNUMBER(SEARCH("Buying",$F275)))),"본사/생산처 혼재",IF(ISNUMBER(SEARCH("CMT",$F275)),"본사(소재팀)","생산처")))</f>
        <v>본사(소재팀)</v>
      </c>
      <c r="R275" s="29" t="s">
        <v>148</v>
      </c>
      <c r="S275" s="29" t="s">
        <v>110</v>
      </c>
      <c r="T275" s="30" t="str">
        <f aca="false">IF($K275="","출고일 미정",IF($O275="X","작지(일매) 미등록",IF($O275="부분","작지(일매) 일부 미등록",IF(AND($P275&lt;&gt;"",$P275&gt;$M275),"소재입고 마감("&amp;TEXT($M275,"MM/DD")&amp;") 초과",IF($O275="","일매 등록여부 확인 필요",IF($P275="","소재 입고일정 확인 필요","정상"))))))</f>
        <v>작지(일매) 미등록</v>
      </c>
      <c r="U275" s="28" t="str">
        <f aca="false">IF($K275="","",IF(OR(LEFT($T275,2)="작지",LEFT($T275,4)="소재입고"),IF(LEFT($E275,1)="S","★ 납기위험(S코드)","◆ 지연주의"),IF($T275="정상","✓ 정상","? 확인필요")))</f>
        <v>◆ 지연주의</v>
      </c>
      <c r="V275" s="31"/>
      <c r="W275" s="19"/>
    </row>
    <row r="276" customFormat="false" ht="15" hidden="false" customHeight="true" outlineLevel="0" collapsed="false">
      <c r="A276" s="28" t="n">
        <v>272</v>
      </c>
      <c r="B276" s="29" t="s">
        <v>266</v>
      </c>
      <c r="C276" s="30" t="s">
        <v>681</v>
      </c>
      <c r="D276" s="29" t="s">
        <v>682</v>
      </c>
      <c r="E276" s="28" t="str">
        <f aca="false">IF($C276="","",IF(MID($C276,5,1)="S","S(봄)",IF(MID($C276,5,1)="M","M(여름)",IF(MID($C276,5,1)="X","X(사계절)",MID($C276,5,1)))))</f>
        <v>M(여름)</v>
      </c>
      <c r="F276" s="29" t="s">
        <v>106</v>
      </c>
      <c r="G276" s="31"/>
      <c r="H276" s="28" t="str">
        <f aca="false">IF($C276="","",REPLACE($C276,6,2,"26"))</f>
        <v>JWSCM26183</v>
      </c>
      <c r="I276" s="32" t="str">
        <f aca="false">IFERROR(INDEX(전년출고참조!$B$4:$B$638,MATCH($H276,전년출고참조!$A$4:$A$638,0)),"")</f>
        <v/>
      </c>
      <c r="J276" s="32" t="n">
        <v>46419</v>
      </c>
      <c r="K276" s="32" t="n">
        <f aca="false">IF($G276&lt;&gt;"",IFERROR(DATE(IF(VALUE(LEFT($G276,FIND("월",$G276)-1))&gt;=9,기준정보!$C$6-1,기준정보!$C$6),VALUE(LEFT($G276,FIND("월",$G276)-1)),1+7*(VALUE(SUBSTITUTE(MID($G276,FIND("월",$G276)+1,5),"주",""))-1)),""),IF($I276&lt;&gt;"",IF(ISNUMBER($I276),$I276+364,IFERROR(DATE(IF(VALUE(LEFT($I276,FIND("월",$I276)-1))&gt;=9,기준정보!$C$6-1,기준정보!$C$6),VALUE(LEFT($I276,FIND("월",$I276)-1)),1+7*(VALUE(SUBSTITUTE(MID($I276,FIND("월",$I276)+1,5),"주",""))-1)),"")),IF($J276&lt;&gt;"",$J276,"")))</f>
        <v>46419</v>
      </c>
      <c r="L276" s="28" t="str">
        <f aca="false">IF($G276&lt;&gt;"","계획 주차",IF($I276&lt;&gt;"","전년+1년 예측",IF($J276&lt;&gt;"","전산 입고계획(참고)","미정")))</f>
        <v>전산 입고계획(참고)</v>
      </c>
      <c r="M276" s="32" t="n">
        <f aca="false">IF($K276="","",$K276-기준정보!$C$5)</f>
        <v>46329</v>
      </c>
      <c r="N276" s="33" t="n">
        <f aca="false">IF($M276="","",$M276-기준정보!$C$4)</f>
        <v>88</v>
      </c>
      <c r="O276" s="31" t="s">
        <v>114</v>
      </c>
      <c r="P276" s="20"/>
      <c r="Q276" s="30" t="str">
        <f aca="false">IF($F276="","",IF(AND(ISNUMBER(SEARCH("CMT",$F276)),OR(ISNUMBER(SEARCH("사입",$F276)),ISNUMBER(SEARCH("Buying",$F276)))),"본사/생산처 혼재",IF(ISNUMBER(SEARCH("CMT",$F276)),"본사(소재팀)","생산처")))</f>
        <v>생산처</v>
      </c>
      <c r="R276" s="29" t="s">
        <v>275</v>
      </c>
      <c r="S276" s="29" t="s">
        <v>110</v>
      </c>
      <c r="T276" s="30" t="str">
        <f aca="false">IF($K276="","출고일 미정",IF($O276="X","작지(일매) 미등록",IF($O276="부분","작지(일매) 일부 미등록",IF(AND($P276&lt;&gt;"",$P276&gt;$M276),"소재입고 마감("&amp;TEXT($M276,"MM/DD")&amp;") 초과",IF($O276="","일매 등록여부 확인 필요",IF($P276="","소재 입고일정 확인 필요","정상"))))))</f>
        <v>작지(일매) 미등록</v>
      </c>
      <c r="U276" s="28" t="str">
        <f aca="false">IF($K276="","",IF(OR(LEFT($T276,2)="작지",LEFT($T276,4)="소재입고"),IF(LEFT($E276,1)="S","★ 납기위험(S코드)","◆ 지연주의"),IF($T276="정상","✓ 정상","? 확인필요")))</f>
        <v>◆ 지연주의</v>
      </c>
      <c r="V276" s="31"/>
      <c r="W276" s="19"/>
    </row>
    <row r="277" customFormat="false" ht="15" hidden="false" customHeight="true" outlineLevel="0" collapsed="false">
      <c r="A277" s="28" t="n">
        <v>273</v>
      </c>
      <c r="B277" s="29" t="s">
        <v>266</v>
      </c>
      <c r="C277" s="30" t="s">
        <v>683</v>
      </c>
      <c r="D277" s="29" t="s">
        <v>684</v>
      </c>
      <c r="E277" s="28" t="str">
        <f aca="false">IF($C277="","",IF(MID($C277,5,1)="S","S(봄)",IF(MID($C277,5,1)="M","M(여름)",IF(MID($C277,5,1)="X","X(사계절)",MID($C277,5,1)))))</f>
        <v>M(여름)</v>
      </c>
      <c r="F277" s="29" t="s">
        <v>106</v>
      </c>
      <c r="G277" s="31"/>
      <c r="H277" s="28" t="str">
        <f aca="false">IF($C277="","",REPLACE($C277,6,2,"26"))</f>
        <v>JWSXM26181</v>
      </c>
      <c r="I277" s="32" t="str">
        <f aca="false">IFERROR(INDEX(전년출고참조!$B$4:$B$638,MATCH($H277,전년출고참조!$A$4:$A$638,0)),"")</f>
        <v/>
      </c>
      <c r="J277" s="32" t="n">
        <v>46419</v>
      </c>
      <c r="K277" s="32" t="n">
        <f aca="false">IF($G277&lt;&gt;"",IFERROR(DATE(IF(VALUE(LEFT($G277,FIND("월",$G277)-1))&gt;=9,기준정보!$C$6-1,기준정보!$C$6),VALUE(LEFT($G277,FIND("월",$G277)-1)),1+7*(VALUE(SUBSTITUTE(MID($G277,FIND("월",$G277)+1,5),"주",""))-1)),""),IF($I277&lt;&gt;"",IF(ISNUMBER($I277),$I277+364,IFERROR(DATE(IF(VALUE(LEFT($I277,FIND("월",$I277)-1))&gt;=9,기준정보!$C$6-1,기준정보!$C$6),VALUE(LEFT($I277,FIND("월",$I277)-1)),1+7*(VALUE(SUBSTITUTE(MID($I277,FIND("월",$I277)+1,5),"주",""))-1)),"")),IF($J277&lt;&gt;"",$J277,"")))</f>
        <v>46419</v>
      </c>
      <c r="L277" s="28" t="str">
        <f aca="false">IF($G277&lt;&gt;"","계획 주차",IF($I277&lt;&gt;"","전년+1년 예측",IF($J277&lt;&gt;"","전산 입고계획(참고)","미정")))</f>
        <v>전산 입고계획(참고)</v>
      </c>
      <c r="M277" s="32" t="n">
        <f aca="false">IF($K277="","",$K277-기준정보!$C$5)</f>
        <v>46329</v>
      </c>
      <c r="N277" s="33" t="n">
        <f aca="false">IF($M277="","",$M277-기준정보!$C$4)</f>
        <v>88</v>
      </c>
      <c r="O277" s="31" t="s">
        <v>114</v>
      </c>
      <c r="P277" s="20"/>
      <c r="Q277" s="30" t="str">
        <f aca="false">IF($F277="","",IF(AND(ISNUMBER(SEARCH("CMT",$F277)),OR(ISNUMBER(SEARCH("사입",$F277)),ISNUMBER(SEARCH("Buying",$F277)))),"본사/생산처 혼재",IF(ISNUMBER(SEARCH("CMT",$F277)),"본사(소재팀)","생산처")))</f>
        <v>생산처</v>
      </c>
      <c r="R277" s="29" t="s">
        <v>275</v>
      </c>
      <c r="S277" s="29" t="s">
        <v>110</v>
      </c>
      <c r="T277" s="30" t="str">
        <f aca="false">IF($K277="","출고일 미정",IF($O277="X","작지(일매) 미등록",IF($O277="부분","작지(일매) 일부 미등록",IF(AND($P277&lt;&gt;"",$P277&gt;$M277),"소재입고 마감("&amp;TEXT($M277,"MM/DD")&amp;") 초과",IF($O277="","일매 등록여부 확인 필요",IF($P277="","소재 입고일정 확인 필요","정상"))))))</f>
        <v>작지(일매) 미등록</v>
      </c>
      <c r="U277" s="28" t="str">
        <f aca="false">IF($K277="","",IF(OR(LEFT($T277,2)="작지",LEFT($T277,4)="소재입고"),IF(LEFT($E277,1)="S","★ 납기위험(S코드)","◆ 지연주의"),IF($T277="정상","✓ 정상","? 확인필요")))</f>
        <v>◆ 지연주의</v>
      </c>
      <c r="V277" s="31"/>
      <c r="W277" s="19"/>
    </row>
    <row r="278" customFormat="false" ht="15" hidden="false" customHeight="true" outlineLevel="0" collapsed="false">
      <c r="A278" s="28" t="n">
        <v>274</v>
      </c>
      <c r="B278" s="29" t="s">
        <v>227</v>
      </c>
      <c r="C278" s="30" t="s">
        <v>685</v>
      </c>
      <c r="D278" s="29" t="s">
        <v>525</v>
      </c>
      <c r="E278" s="28" t="str">
        <f aca="false">IF($C278="","",IF(MID($C278,5,1)="S","S(봄)",IF(MID($C278,5,1)="M","M(여름)",IF(MID($C278,5,1)="X","X(사계절)",MID($C278,5,1)))))</f>
        <v>M(여름)</v>
      </c>
      <c r="F278" s="30" t="s">
        <v>113</v>
      </c>
      <c r="G278" s="31"/>
      <c r="H278" s="28" t="str">
        <f aca="false">IF($C278="","",REPLACE($C278,6,2,"26"))</f>
        <v>JKTCM26162</v>
      </c>
      <c r="I278" s="32" t="str">
        <f aca="false">IFERROR(INDEX(전년출고참조!$B$4:$B$638,MATCH($H278,전년출고참조!$A$4:$A$638,0)),"")</f>
        <v/>
      </c>
      <c r="J278" s="32" t="n">
        <v>46423</v>
      </c>
      <c r="K278" s="32" t="n">
        <f aca="false">IF($G278&lt;&gt;"",IFERROR(DATE(IF(VALUE(LEFT($G278,FIND("월",$G278)-1))&gt;=9,기준정보!$C$6-1,기준정보!$C$6),VALUE(LEFT($G278,FIND("월",$G278)-1)),1+7*(VALUE(SUBSTITUTE(MID($G278,FIND("월",$G278)+1,5),"주",""))-1)),""),IF($I278&lt;&gt;"",IF(ISNUMBER($I278),$I278+364,IFERROR(DATE(IF(VALUE(LEFT($I278,FIND("월",$I278)-1))&gt;=9,기준정보!$C$6-1,기준정보!$C$6),VALUE(LEFT($I278,FIND("월",$I278)-1)),1+7*(VALUE(SUBSTITUTE(MID($I278,FIND("월",$I278)+1,5),"주",""))-1)),"")),IF($J278&lt;&gt;"",$J278,"")))</f>
        <v>46423</v>
      </c>
      <c r="L278" s="28" t="str">
        <f aca="false">IF($G278&lt;&gt;"","계획 주차",IF($I278&lt;&gt;"","전년+1년 예측",IF($J278&lt;&gt;"","전산 입고계획(참고)","미정")))</f>
        <v>전산 입고계획(참고)</v>
      </c>
      <c r="M278" s="32" t="n">
        <f aca="false">IF($K278="","",$K278-기준정보!$C$5)</f>
        <v>46333</v>
      </c>
      <c r="N278" s="33" t="n">
        <f aca="false">IF($M278="","",$M278-기준정보!$C$4)</f>
        <v>92</v>
      </c>
      <c r="O278" s="31" t="s">
        <v>114</v>
      </c>
      <c r="P278" s="20"/>
      <c r="Q278" s="30" t="str">
        <f aca="false">IF($F278="","",IF(AND(ISNUMBER(SEARCH("CMT",$F278)),OR(ISNUMBER(SEARCH("사입",$F278)),ISNUMBER(SEARCH("Buying",$F278)))),"본사/생산처 혼재",IF(ISNUMBER(SEARCH("CMT",$F278)),"본사(소재팀)","생산처")))</f>
        <v>생산처</v>
      </c>
      <c r="R278" s="29" t="s">
        <v>598</v>
      </c>
      <c r="S278" s="29" t="s">
        <v>120</v>
      </c>
      <c r="T278" s="30" t="str">
        <f aca="false">IF($K278="","출고일 미정",IF($O278="X","작지(일매) 미등록",IF($O278="부분","작지(일매) 일부 미등록",IF(AND($P278&lt;&gt;"",$P278&gt;$M278),"소재입고 마감("&amp;TEXT($M278,"MM/DD")&amp;") 초과",IF($O278="","일매 등록여부 확인 필요",IF($P278="","소재 입고일정 확인 필요","정상"))))))</f>
        <v>작지(일매) 미등록</v>
      </c>
      <c r="U278" s="28" t="str">
        <f aca="false">IF($K278="","",IF(OR(LEFT($T278,2)="작지",LEFT($T278,4)="소재입고"),IF(LEFT($E278,1)="S","★ 납기위험(S코드)","◆ 지연주의"),IF($T278="정상","✓ 정상","? 확인필요")))</f>
        <v>◆ 지연주의</v>
      </c>
      <c r="V278" s="31"/>
      <c r="W278" s="19"/>
    </row>
    <row r="279" customFormat="false" ht="15" hidden="false" customHeight="true" outlineLevel="0" collapsed="false">
      <c r="A279" s="28" t="n">
        <v>275</v>
      </c>
      <c r="B279" s="29" t="s">
        <v>227</v>
      </c>
      <c r="C279" s="30" t="s">
        <v>686</v>
      </c>
      <c r="D279" s="29" t="s">
        <v>527</v>
      </c>
      <c r="E279" s="28" t="str">
        <f aca="false">IF($C279="","",IF(MID($C279,5,1)="S","S(봄)",IF(MID($C279,5,1)="M","M(여름)",IF(MID($C279,5,1)="X","X(사계절)",MID($C279,5,1)))))</f>
        <v>M(여름)</v>
      </c>
      <c r="F279" s="30" t="s">
        <v>113</v>
      </c>
      <c r="G279" s="31"/>
      <c r="H279" s="28" t="str">
        <f aca="false">IF($C279="","",REPLACE($C279,6,2,"26"))</f>
        <v>JKTCM26164</v>
      </c>
      <c r="I279" s="32" t="str">
        <f aca="false">IFERROR(INDEX(전년출고참조!$B$4:$B$638,MATCH($H279,전년출고참조!$A$4:$A$638,0)),"")</f>
        <v/>
      </c>
      <c r="J279" s="32" t="n">
        <v>46423</v>
      </c>
      <c r="K279" s="32" t="n">
        <f aca="false">IF($G279&lt;&gt;"",IFERROR(DATE(IF(VALUE(LEFT($G279,FIND("월",$G279)-1))&gt;=9,기준정보!$C$6-1,기준정보!$C$6),VALUE(LEFT($G279,FIND("월",$G279)-1)),1+7*(VALUE(SUBSTITUTE(MID($G279,FIND("월",$G279)+1,5),"주",""))-1)),""),IF($I279&lt;&gt;"",IF(ISNUMBER($I279),$I279+364,IFERROR(DATE(IF(VALUE(LEFT($I279,FIND("월",$I279)-1))&gt;=9,기준정보!$C$6-1,기준정보!$C$6),VALUE(LEFT($I279,FIND("월",$I279)-1)),1+7*(VALUE(SUBSTITUTE(MID($I279,FIND("월",$I279)+1,5),"주",""))-1)),"")),IF($J279&lt;&gt;"",$J279,"")))</f>
        <v>46423</v>
      </c>
      <c r="L279" s="28" t="str">
        <f aca="false">IF($G279&lt;&gt;"","계획 주차",IF($I279&lt;&gt;"","전년+1년 예측",IF($J279&lt;&gt;"","전산 입고계획(참고)","미정")))</f>
        <v>전산 입고계획(참고)</v>
      </c>
      <c r="M279" s="32" t="n">
        <f aca="false">IF($K279="","",$K279-기준정보!$C$5)</f>
        <v>46333</v>
      </c>
      <c r="N279" s="33" t="n">
        <f aca="false">IF($M279="","",$M279-기준정보!$C$4)</f>
        <v>92</v>
      </c>
      <c r="O279" s="31" t="s">
        <v>114</v>
      </c>
      <c r="P279" s="20"/>
      <c r="Q279" s="30" t="str">
        <f aca="false">IF($F279="","",IF(AND(ISNUMBER(SEARCH("CMT",$F279)),OR(ISNUMBER(SEARCH("사입",$F279)),ISNUMBER(SEARCH("Buying",$F279)))),"본사/생산처 혼재",IF(ISNUMBER(SEARCH("CMT",$F279)),"본사(소재팀)","생산처")))</f>
        <v>생산처</v>
      </c>
      <c r="R279" s="29" t="s">
        <v>598</v>
      </c>
      <c r="S279" s="29" t="s">
        <v>374</v>
      </c>
      <c r="T279" s="30" t="str">
        <f aca="false">IF($K279="","출고일 미정",IF($O279="X","작지(일매) 미등록",IF($O279="부분","작지(일매) 일부 미등록",IF(AND($P279&lt;&gt;"",$P279&gt;$M279),"소재입고 마감("&amp;TEXT($M279,"MM/DD")&amp;") 초과",IF($O279="","일매 등록여부 확인 필요",IF($P279="","소재 입고일정 확인 필요","정상"))))))</f>
        <v>작지(일매) 미등록</v>
      </c>
      <c r="U279" s="28" t="str">
        <f aca="false">IF($K279="","",IF(OR(LEFT($T279,2)="작지",LEFT($T279,4)="소재입고"),IF(LEFT($E279,1)="S","★ 납기위험(S코드)","◆ 지연주의"),IF($T279="정상","✓ 정상","? 확인필요")))</f>
        <v>◆ 지연주의</v>
      </c>
      <c r="V279" s="31"/>
      <c r="W279" s="19"/>
    </row>
    <row r="280" customFormat="false" ht="15" hidden="false" customHeight="true" outlineLevel="0" collapsed="false">
      <c r="A280" s="28" t="n">
        <v>276</v>
      </c>
      <c r="B280" s="29" t="s">
        <v>294</v>
      </c>
      <c r="C280" s="30" t="s">
        <v>687</v>
      </c>
      <c r="D280" s="29" t="s">
        <v>688</v>
      </c>
      <c r="E280" s="28" t="str">
        <f aca="false">IF($C280="","",IF(MID($C280,5,1)="S","S(봄)",IF(MID($C280,5,1)="M","M(여름)",IF(MID($C280,5,1)="X","X(사계절)",MID($C280,5,1)))))</f>
        <v>M(여름)</v>
      </c>
      <c r="F280" s="29" t="s">
        <v>106</v>
      </c>
      <c r="G280" s="31"/>
      <c r="H280" s="28" t="str">
        <f aca="false">IF($C280="","",REPLACE($C280,6,2,"26"))</f>
        <v>TLSXM26901</v>
      </c>
      <c r="I280" s="32" t="str">
        <f aca="false">IFERROR(INDEX(전년출고참조!$B$4:$B$638,MATCH($H280,전년출고참조!$A$4:$A$638,0)),"")</f>
        <v/>
      </c>
      <c r="J280" s="32" t="n">
        <v>46433</v>
      </c>
      <c r="K280" s="32" t="n">
        <f aca="false">IF($G280&lt;&gt;"",IFERROR(DATE(IF(VALUE(LEFT($G280,FIND("월",$G280)-1))&gt;=9,기준정보!$C$6-1,기준정보!$C$6),VALUE(LEFT($G280,FIND("월",$G280)-1)),1+7*(VALUE(SUBSTITUTE(MID($G280,FIND("월",$G280)+1,5),"주",""))-1)),""),IF($I280&lt;&gt;"",IF(ISNUMBER($I280),$I280+364,IFERROR(DATE(IF(VALUE(LEFT($I280,FIND("월",$I280)-1))&gt;=9,기준정보!$C$6-1,기준정보!$C$6),VALUE(LEFT($I280,FIND("월",$I280)-1)),1+7*(VALUE(SUBSTITUTE(MID($I280,FIND("월",$I280)+1,5),"주",""))-1)),"")),IF($J280&lt;&gt;"",$J280,"")))</f>
        <v>46433</v>
      </c>
      <c r="L280" s="28" t="str">
        <f aca="false">IF($G280&lt;&gt;"","계획 주차",IF($I280&lt;&gt;"","전년+1년 예측",IF($J280&lt;&gt;"","전산 입고계획(참고)","미정")))</f>
        <v>전산 입고계획(참고)</v>
      </c>
      <c r="M280" s="32" t="n">
        <f aca="false">IF($K280="","",$K280-기준정보!$C$5)</f>
        <v>46343</v>
      </c>
      <c r="N280" s="33" t="n">
        <f aca="false">IF($M280="","",$M280-기준정보!$C$4)</f>
        <v>102</v>
      </c>
      <c r="O280" s="31" t="s">
        <v>108</v>
      </c>
      <c r="P280" s="20"/>
      <c r="Q280" s="30" t="str">
        <f aca="false">IF($F280="","",IF(AND(ISNUMBER(SEARCH("CMT",$F280)),OR(ISNUMBER(SEARCH("사입",$F280)),ISNUMBER(SEARCH("Buying",$F280)))),"본사/생산처 혼재",IF(ISNUMBER(SEARCH("CMT",$F280)),"본사(소재팀)","생산처")))</f>
        <v>생산처</v>
      </c>
      <c r="R280" s="29" t="s">
        <v>377</v>
      </c>
      <c r="S280" s="29" t="s">
        <v>110</v>
      </c>
      <c r="T280" s="30" t="str">
        <f aca="false">IF($K280="","출고일 미정",IF($O280="X","작지(일매) 미등록",IF($O280="부분","작지(일매) 일부 미등록",IF(AND($P280&lt;&gt;"",$P280&gt;$M280),"소재입고 마감("&amp;TEXT($M280,"MM/DD")&amp;") 초과",IF($O280="","일매 등록여부 확인 필요",IF($P280="","소재 입고일정 확인 필요","정상"))))))</f>
        <v>소재 입고일정 확인 필요</v>
      </c>
      <c r="U280" s="28" t="str">
        <f aca="false">IF($K280="","",IF(OR(LEFT($T280,2)="작지",LEFT($T280,4)="소재입고"),IF(LEFT($E280,1)="S","★ 납기위험(S코드)","◆ 지연주의"),IF($T280="정상","✓ 정상","? 확인필요")))</f>
        <v>? 확인필요</v>
      </c>
      <c r="V280" s="31"/>
      <c r="W280" s="19"/>
    </row>
    <row r="281" customFormat="false" ht="15" hidden="false" customHeight="true" outlineLevel="0" collapsed="false">
      <c r="A281" s="28" t="n">
        <v>277</v>
      </c>
      <c r="B281" s="29" t="s">
        <v>218</v>
      </c>
      <c r="C281" s="30" t="s">
        <v>689</v>
      </c>
      <c r="D281" s="29" t="s">
        <v>690</v>
      </c>
      <c r="E281" s="28" t="str">
        <f aca="false">IF($C281="","",IF(MID($C281,5,1)="S","S(봄)",IF(MID($C281,5,1)="M","M(여름)",IF(MID($C281,5,1)="X","X(사계절)",MID($C281,5,1)))))</f>
        <v>M(여름)</v>
      </c>
      <c r="F281" s="30" t="s">
        <v>141</v>
      </c>
      <c r="G281" s="31"/>
      <c r="H281" s="28" t="str">
        <f aca="false">IF($C281="","",REPLACE($C281,6,2,"26"))</f>
        <v>JKJJM26372</v>
      </c>
      <c r="I281" s="32" t="str">
        <f aca="false">IFERROR(INDEX(전년출고참조!$B$4:$B$638,MATCH($H281,전년출고참조!$A$4:$A$638,0)),"")</f>
        <v/>
      </c>
      <c r="J281" s="32" t="n">
        <v>46437</v>
      </c>
      <c r="K281" s="32" t="n">
        <f aca="false">IF($G281&lt;&gt;"",IFERROR(DATE(IF(VALUE(LEFT($G281,FIND("월",$G281)-1))&gt;=9,기준정보!$C$6-1,기준정보!$C$6),VALUE(LEFT($G281,FIND("월",$G281)-1)),1+7*(VALUE(SUBSTITUTE(MID($G281,FIND("월",$G281)+1,5),"주",""))-1)),""),IF($I281&lt;&gt;"",IF(ISNUMBER($I281),$I281+364,IFERROR(DATE(IF(VALUE(LEFT($I281,FIND("월",$I281)-1))&gt;=9,기준정보!$C$6-1,기준정보!$C$6),VALUE(LEFT($I281,FIND("월",$I281)-1)),1+7*(VALUE(SUBSTITUTE(MID($I281,FIND("월",$I281)+1,5),"주",""))-1)),"")),IF($J281&lt;&gt;"",$J281,"")))</f>
        <v>46437</v>
      </c>
      <c r="L281" s="28" t="str">
        <f aca="false">IF($G281&lt;&gt;"","계획 주차",IF($I281&lt;&gt;"","전년+1년 예측",IF($J281&lt;&gt;"","전산 입고계획(참고)","미정")))</f>
        <v>전산 입고계획(참고)</v>
      </c>
      <c r="M281" s="32" t="n">
        <f aca="false">IF($K281="","",$K281-기준정보!$C$5)</f>
        <v>46347</v>
      </c>
      <c r="N281" s="33" t="n">
        <f aca="false">IF($M281="","",$M281-기준정보!$C$4)</f>
        <v>106</v>
      </c>
      <c r="O281" s="31" t="s">
        <v>108</v>
      </c>
      <c r="P281" s="20"/>
      <c r="Q281" s="30" t="str">
        <f aca="false">IF($F281="","",IF(AND(ISNUMBER(SEARCH("CMT",$F281)),OR(ISNUMBER(SEARCH("사입",$F281)),ISNUMBER(SEARCH("Buying",$F281)))),"본사/생산처 혼재",IF(ISNUMBER(SEARCH("CMT",$F281)),"본사(소재팀)","생산처")))</f>
        <v>본사(소재팀)</v>
      </c>
      <c r="R281" s="29" t="s">
        <v>109</v>
      </c>
      <c r="S281" s="29" t="s">
        <v>110</v>
      </c>
      <c r="T281" s="30" t="str">
        <f aca="false">IF($K281="","출고일 미정",IF($O281="X","작지(일매) 미등록",IF($O281="부분","작지(일매) 일부 미등록",IF(AND($P281&lt;&gt;"",$P281&gt;$M281),"소재입고 마감("&amp;TEXT($M281,"MM/DD")&amp;") 초과",IF($O281="","일매 등록여부 확인 필요",IF($P281="","소재 입고일정 확인 필요","정상"))))))</f>
        <v>소재 입고일정 확인 필요</v>
      </c>
      <c r="U281" s="28" t="str">
        <f aca="false">IF($K281="","",IF(OR(LEFT($T281,2)="작지",LEFT($T281,4)="소재입고"),IF(LEFT($E281,1)="S","★ 납기위험(S코드)","◆ 지연주의"),IF($T281="정상","✓ 정상","? 확인필요")))</f>
        <v>? 확인필요</v>
      </c>
      <c r="V281" s="31"/>
      <c r="W281" s="19"/>
    </row>
    <row r="282" customFormat="false" ht="15" hidden="false" customHeight="true" outlineLevel="0" collapsed="false">
      <c r="A282" s="28" t="n">
        <v>278</v>
      </c>
      <c r="B282" s="29" t="s">
        <v>218</v>
      </c>
      <c r="C282" s="30" t="s">
        <v>691</v>
      </c>
      <c r="D282" s="29" t="s">
        <v>692</v>
      </c>
      <c r="E282" s="28" t="str">
        <f aca="false">IF($C282="","",IF(MID($C282,5,1)="S","S(봄)",IF(MID($C282,5,1)="M","M(여름)",IF(MID($C282,5,1)="X","X(사계절)",MID($C282,5,1)))))</f>
        <v>M(여름)</v>
      </c>
      <c r="F282" s="30" t="s">
        <v>141</v>
      </c>
      <c r="G282" s="31"/>
      <c r="H282" s="28" t="str">
        <f aca="false">IF($C282="","",REPLACE($C282,6,2,"26"))</f>
        <v>JKJJM26374</v>
      </c>
      <c r="I282" s="32" t="str">
        <f aca="false">IFERROR(INDEX(전년출고참조!$B$4:$B$638,MATCH($H282,전년출고참조!$A$4:$A$638,0)),"")</f>
        <v/>
      </c>
      <c r="J282" s="32" t="n">
        <v>46437</v>
      </c>
      <c r="K282" s="32" t="n">
        <f aca="false">IF($G282&lt;&gt;"",IFERROR(DATE(IF(VALUE(LEFT($G282,FIND("월",$G282)-1))&gt;=9,기준정보!$C$6-1,기준정보!$C$6),VALUE(LEFT($G282,FIND("월",$G282)-1)),1+7*(VALUE(SUBSTITUTE(MID($G282,FIND("월",$G282)+1,5),"주",""))-1)),""),IF($I282&lt;&gt;"",IF(ISNUMBER($I282),$I282+364,IFERROR(DATE(IF(VALUE(LEFT($I282,FIND("월",$I282)-1))&gt;=9,기준정보!$C$6-1,기준정보!$C$6),VALUE(LEFT($I282,FIND("월",$I282)-1)),1+7*(VALUE(SUBSTITUTE(MID($I282,FIND("월",$I282)+1,5),"주",""))-1)),"")),IF($J282&lt;&gt;"",$J282,"")))</f>
        <v>46437</v>
      </c>
      <c r="L282" s="28" t="str">
        <f aca="false">IF($G282&lt;&gt;"","계획 주차",IF($I282&lt;&gt;"","전년+1년 예측",IF($J282&lt;&gt;"","전산 입고계획(참고)","미정")))</f>
        <v>전산 입고계획(참고)</v>
      </c>
      <c r="M282" s="32" t="n">
        <f aca="false">IF($K282="","",$K282-기준정보!$C$5)</f>
        <v>46347</v>
      </c>
      <c r="N282" s="33" t="n">
        <f aca="false">IF($M282="","",$M282-기준정보!$C$4)</f>
        <v>106</v>
      </c>
      <c r="O282" s="31" t="s">
        <v>108</v>
      </c>
      <c r="P282" s="20"/>
      <c r="Q282" s="30" t="str">
        <f aca="false">IF($F282="","",IF(AND(ISNUMBER(SEARCH("CMT",$F282)),OR(ISNUMBER(SEARCH("사입",$F282)),ISNUMBER(SEARCH("Buying",$F282)))),"본사/생산처 혼재",IF(ISNUMBER(SEARCH("CMT",$F282)),"본사(소재팀)","생산처")))</f>
        <v>본사(소재팀)</v>
      </c>
      <c r="R282" s="29" t="s">
        <v>109</v>
      </c>
      <c r="S282" s="29" t="s">
        <v>110</v>
      </c>
      <c r="T282" s="30" t="str">
        <f aca="false">IF($K282="","출고일 미정",IF($O282="X","작지(일매) 미등록",IF($O282="부분","작지(일매) 일부 미등록",IF(AND($P282&lt;&gt;"",$P282&gt;$M282),"소재입고 마감("&amp;TEXT($M282,"MM/DD")&amp;") 초과",IF($O282="","일매 등록여부 확인 필요",IF($P282="","소재 입고일정 확인 필요","정상"))))))</f>
        <v>소재 입고일정 확인 필요</v>
      </c>
      <c r="U282" s="28" t="str">
        <f aca="false">IF($K282="","",IF(OR(LEFT($T282,2)="작지",LEFT($T282,4)="소재입고"),IF(LEFT($E282,1)="S","★ 납기위험(S코드)","◆ 지연주의"),IF($T282="정상","✓ 정상","? 확인필요")))</f>
        <v>? 확인필요</v>
      </c>
      <c r="V282" s="31"/>
      <c r="W282" s="19"/>
    </row>
    <row r="283" customFormat="false" ht="15" hidden="false" customHeight="true" outlineLevel="0" collapsed="false">
      <c r="A283" s="28" t="n">
        <v>279</v>
      </c>
      <c r="B283" s="29" t="s">
        <v>218</v>
      </c>
      <c r="C283" s="30" t="s">
        <v>693</v>
      </c>
      <c r="D283" s="29" t="s">
        <v>694</v>
      </c>
      <c r="E283" s="28" t="str">
        <f aca="false">IF($C283="","",IF(MID($C283,5,1)="S","S(봄)",IF(MID($C283,5,1)="M","M(여름)",IF(MID($C283,5,1)="X","X(사계절)",MID($C283,5,1)))))</f>
        <v>M(여름)</v>
      </c>
      <c r="F283" s="30" t="s">
        <v>141</v>
      </c>
      <c r="G283" s="31"/>
      <c r="H283" s="28" t="str">
        <f aca="false">IF($C283="","",REPLACE($C283,6,2,"26"))</f>
        <v>JKJJM26376</v>
      </c>
      <c r="I283" s="32" t="str">
        <f aca="false">IFERROR(INDEX(전년출고참조!$B$4:$B$638,MATCH($H283,전년출고참조!$A$4:$A$638,0)),"")</f>
        <v/>
      </c>
      <c r="J283" s="32" t="n">
        <v>46437</v>
      </c>
      <c r="K283" s="32" t="n">
        <f aca="false">IF($G283&lt;&gt;"",IFERROR(DATE(IF(VALUE(LEFT($G283,FIND("월",$G283)-1))&gt;=9,기준정보!$C$6-1,기준정보!$C$6),VALUE(LEFT($G283,FIND("월",$G283)-1)),1+7*(VALUE(SUBSTITUTE(MID($G283,FIND("월",$G283)+1,5),"주",""))-1)),""),IF($I283&lt;&gt;"",IF(ISNUMBER($I283),$I283+364,IFERROR(DATE(IF(VALUE(LEFT($I283,FIND("월",$I283)-1))&gt;=9,기준정보!$C$6-1,기준정보!$C$6),VALUE(LEFT($I283,FIND("월",$I283)-1)),1+7*(VALUE(SUBSTITUTE(MID($I283,FIND("월",$I283)+1,5),"주",""))-1)),"")),IF($J283&lt;&gt;"",$J283,"")))</f>
        <v>46437</v>
      </c>
      <c r="L283" s="28" t="str">
        <f aca="false">IF($G283&lt;&gt;"","계획 주차",IF($I283&lt;&gt;"","전년+1년 예측",IF($J283&lt;&gt;"","전산 입고계획(참고)","미정")))</f>
        <v>전산 입고계획(참고)</v>
      </c>
      <c r="M283" s="32" t="n">
        <f aca="false">IF($K283="","",$K283-기준정보!$C$5)</f>
        <v>46347</v>
      </c>
      <c r="N283" s="33" t="n">
        <f aca="false">IF($M283="","",$M283-기준정보!$C$4)</f>
        <v>106</v>
      </c>
      <c r="O283" s="31" t="s">
        <v>108</v>
      </c>
      <c r="P283" s="20"/>
      <c r="Q283" s="30" t="str">
        <f aca="false">IF($F283="","",IF(AND(ISNUMBER(SEARCH("CMT",$F283)),OR(ISNUMBER(SEARCH("사입",$F283)),ISNUMBER(SEARCH("Buying",$F283)))),"본사/생산처 혼재",IF(ISNUMBER(SEARCH("CMT",$F283)),"본사(소재팀)","생산처")))</f>
        <v>본사(소재팀)</v>
      </c>
      <c r="R283" s="29" t="s">
        <v>109</v>
      </c>
      <c r="S283" s="29" t="s">
        <v>110</v>
      </c>
      <c r="T283" s="30" t="str">
        <f aca="false">IF($K283="","출고일 미정",IF($O283="X","작지(일매) 미등록",IF($O283="부분","작지(일매) 일부 미등록",IF(AND($P283&lt;&gt;"",$P283&gt;$M283),"소재입고 마감("&amp;TEXT($M283,"MM/DD")&amp;") 초과",IF($O283="","일매 등록여부 확인 필요",IF($P283="","소재 입고일정 확인 필요","정상"))))))</f>
        <v>소재 입고일정 확인 필요</v>
      </c>
      <c r="U283" s="28" t="str">
        <f aca="false">IF($K283="","",IF(OR(LEFT($T283,2)="작지",LEFT($T283,4)="소재입고"),IF(LEFT($E283,1)="S","★ 납기위험(S코드)","◆ 지연주의"),IF($T283="정상","✓ 정상","? 확인필요")))</f>
        <v>? 확인필요</v>
      </c>
      <c r="V283" s="31"/>
      <c r="W283" s="19"/>
    </row>
    <row r="284" customFormat="false" ht="15" hidden="false" customHeight="true" outlineLevel="0" collapsed="false">
      <c r="A284" s="28" t="n">
        <v>280</v>
      </c>
      <c r="B284" s="29" t="s">
        <v>218</v>
      </c>
      <c r="C284" s="30" t="s">
        <v>695</v>
      </c>
      <c r="D284" s="29" t="s">
        <v>696</v>
      </c>
      <c r="E284" s="28" t="str">
        <f aca="false">IF($C284="","",IF(MID($C284,5,1)="S","S(봄)",IF(MID($C284,5,1)="M","M(여름)",IF(MID($C284,5,1)="X","X(사계절)",MID($C284,5,1)))))</f>
        <v>M(여름)</v>
      </c>
      <c r="F284" s="29" t="s">
        <v>106</v>
      </c>
      <c r="G284" s="31"/>
      <c r="H284" s="28" t="str">
        <f aca="false">IF($C284="","",REPLACE($C284,6,2,"26"))</f>
        <v>JKPOM26312</v>
      </c>
      <c r="I284" s="32" t="str">
        <f aca="false">IFERROR(INDEX(전년출고참조!$B$4:$B$638,MATCH($H284,전년출고참조!$A$4:$A$638,0)),"")</f>
        <v/>
      </c>
      <c r="J284" s="32" t="n">
        <v>46437</v>
      </c>
      <c r="K284" s="32" t="n">
        <f aca="false">IF($G284&lt;&gt;"",IFERROR(DATE(IF(VALUE(LEFT($G284,FIND("월",$G284)-1))&gt;=9,기준정보!$C$6-1,기준정보!$C$6),VALUE(LEFT($G284,FIND("월",$G284)-1)),1+7*(VALUE(SUBSTITUTE(MID($G284,FIND("월",$G284)+1,5),"주",""))-1)),""),IF($I284&lt;&gt;"",IF(ISNUMBER($I284),$I284+364,IFERROR(DATE(IF(VALUE(LEFT($I284,FIND("월",$I284)-1))&gt;=9,기준정보!$C$6-1,기준정보!$C$6),VALUE(LEFT($I284,FIND("월",$I284)-1)),1+7*(VALUE(SUBSTITUTE(MID($I284,FIND("월",$I284)+1,5),"주",""))-1)),"")),IF($J284&lt;&gt;"",$J284,"")))</f>
        <v>46437</v>
      </c>
      <c r="L284" s="28" t="str">
        <f aca="false">IF($G284&lt;&gt;"","계획 주차",IF($I284&lt;&gt;"","전년+1년 예측",IF($J284&lt;&gt;"","전산 입고계획(참고)","미정")))</f>
        <v>전산 입고계획(참고)</v>
      </c>
      <c r="M284" s="32" t="n">
        <f aca="false">IF($K284="","",$K284-기준정보!$C$5)</f>
        <v>46347</v>
      </c>
      <c r="N284" s="33" t="n">
        <f aca="false">IF($M284="","",$M284-기준정보!$C$4)</f>
        <v>106</v>
      </c>
      <c r="O284" s="31" t="s">
        <v>108</v>
      </c>
      <c r="P284" s="20"/>
      <c r="Q284" s="30" t="str">
        <f aca="false">IF($F284="","",IF(AND(ISNUMBER(SEARCH("CMT",$F284)),OR(ISNUMBER(SEARCH("사입",$F284)),ISNUMBER(SEARCH("Buying",$F284)))),"본사/생산처 혼재",IF(ISNUMBER(SEARCH("CMT",$F284)),"본사(소재팀)","생산처")))</f>
        <v>생산처</v>
      </c>
      <c r="R284" s="29" t="s">
        <v>115</v>
      </c>
      <c r="S284" s="29" t="s">
        <v>110</v>
      </c>
      <c r="T284" s="30" t="str">
        <f aca="false">IF($K284="","출고일 미정",IF($O284="X","작지(일매) 미등록",IF($O284="부분","작지(일매) 일부 미등록",IF(AND($P284&lt;&gt;"",$P284&gt;$M284),"소재입고 마감("&amp;TEXT($M284,"MM/DD")&amp;") 초과",IF($O284="","일매 등록여부 확인 필요",IF($P284="","소재 입고일정 확인 필요","정상"))))))</f>
        <v>소재 입고일정 확인 필요</v>
      </c>
      <c r="U284" s="28" t="str">
        <f aca="false">IF($K284="","",IF(OR(LEFT($T284,2)="작지",LEFT($T284,4)="소재입고"),IF(LEFT($E284,1)="S","★ 납기위험(S코드)","◆ 지연주의"),IF($T284="정상","✓ 정상","? 확인필요")))</f>
        <v>? 확인필요</v>
      </c>
      <c r="V284" s="31"/>
      <c r="W284" s="19"/>
    </row>
    <row r="285" customFormat="false" ht="15" hidden="false" customHeight="true" outlineLevel="0" collapsed="false">
      <c r="A285" s="28" t="n">
        <v>281</v>
      </c>
      <c r="B285" s="29" t="s">
        <v>218</v>
      </c>
      <c r="C285" s="30" t="s">
        <v>697</v>
      </c>
      <c r="D285" s="29" t="s">
        <v>698</v>
      </c>
      <c r="E285" s="28" t="str">
        <f aca="false">IF($C285="","",IF(MID($C285,5,1)="S","S(봄)",IF(MID($C285,5,1)="M","M(여름)",IF(MID($C285,5,1)="X","X(사계절)",MID($C285,5,1)))))</f>
        <v>M(여름)</v>
      </c>
      <c r="F285" s="29" t="s">
        <v>106</v>
      </c>
      <c r="G285" s="31"/>
      <c r="H285" s="28" t="str">
        <f aca="false">IF($C285="","",REPLACE($C285,6,2,"26"))</f>
        <v>JKTBM26302</v>
      </c>
      <c r="I285" s="32" t="str">
        <f aca="false">IFERROR(INDEX(전년출고참조!$B$4:$B$638,MATCH($H285,전년출고참조!$A$4:$A$638,0)),"")</f>
        <v/>
      </c>
      <c r="J285" s="32" t="n">
        <v>46437</v>
      </c>
      <c r="K285" s="32" t="n">
        <f aca="false">IF($G285&lt;&gt;"",IFERROR(DATE(IF(VALUE(LEFT($G285,FIND("월",$G285)-1))&gt;=9,기준정보!$C$6-1,기준정보!$C$6),VALUE(LEFT($G285,FIND("월",$G285)-1)),1+7*(VALUE(SUBSTITUTE(MID($G285,FIND("월",$G285)+1,5),"주",""))-1)),""),IF($I285&lt;&gt;"",IF(ISNUMBER($I285),$I285+364,IFERROR(DATE(IF(VALUE(LEFT($I285,FIND("월",$I285)-1))&gt;=9,기준정보!$C$6-1,기준정보!$C$6),VALUE(LEFT($I285,FIND("월",$I285)-1)),1+7*(VALUE(SUBSTITUTE(MID($I285,FIND("월",$I285)+1,5),"주",""))-1)),"")),IF($J285&lt;&gt;"",$J285,"")))</f>
        <v>46437</v>
      </c>
      <c r="L285" s="28" t="str">
        <f aca="false">IF($G285&lt;&gt;"","계획 주차",IF($I285&lt;&gt;"","전년+1년 예측",IF($J285&lt;&gt;"","전산 입고계획(참고)","미정")))</f>
        <v>전산 입고계획(참고)</v>
      </c>
      <c r="M285" s="32" t="n">
        <f aca="false">IF($K285="","",$K285-기준정보!$C$5)</f>
        <v>46347</v>
      </c>
      <c r="N285" s="33" t="n">
        <f aca="false">IF($M285="","",$M285-기준정보!$C$4)</f>
        <v>106</v>
      </c>
      <c r="O285" s="31" t="s">
        <v>108</v>
      </c>
      <c r="P285" s="20"/>
      <c r="Q285" s="30" t="str">
        <f aca="false">IF($F285="","",IF(AND(ISNUMBER(SEARCH("CMT",$F285)),OR(ISNUMBER(SEARCH("사입",$F285)),ISNUMBER(SEARCH("Buying",$F285)))),"본사/생산처 혼재",IF(ISNUMBER(SEARCH("CMT",$F285)),"본사(소재팀)","생산처")))</f>
        <v>생산처</v>
      </c>
      <c r="R285" s="29" t="s">
        <v>156</v>
      </c>
      <c r="S285" s="29" t="s">
        <v>110</v>
      </c>
      <c r="T285" s="30" t="str">
        <f aca="false">IF($K285="","출고일 미정",IF($O285="X","작지(일매) 미등록",IF($O285="부분","작지(일매) 일부 미등록",IF(AND($P285&lt;&gt;"",$P285&gt;$M285),"소재입고 마감("&amp;TEXT($M285,"MM/DD")&amp;") 초과",IF($O285="","일매 등록여부 확인 필요",IF($P285="","소재 입고일정 확인 필요","정상"))))))</f>
        <v>소재 입고일정 확인 필요</v>
      </c>
      <c r="U285" s="28" t="str">
        <f aca="false">IF($K285="","",IF(OR(LEFT($T285,2)="작지",LEFT($T285,4)="소재입고"),IF(LEFT($E285,1)="S","★ 납기위험(S코드)","◆ 지연주의"),IF($T285="정상","✓ 정상","? 확인필요")))</f>
        <v>? 확인필요</v>
      </c>
      <c r="V285" s="31"/>
      <c r="W285" s="19"/>
    </row>
    <row r="286" customFormat="false" ht="15" hidden="false" customHeight="true" outlineLevel="0" collapsed="false">
      <c r="A286" s="28" t="n">
        <v>282</v>
      </c>
      <c r="B286" s="29" t="s">
        <v>218</v>
      </c>
      <c r="C286" s="30" t="s">
        <v>699</v>
      </c>
      <c r="D286" s="29" t="s">
        <v>700</v>
      </c>
      <c r="E286" s="28" t="str">
        <f aca="false">IF($C286="","",IF(MID($C286,5,1)="S","S(봄)",IF(MID($C286,5,1)="M","M(여름)",IF(MID($C286,5,1)="X","X(사계절)",MID($C286,5,1)))))</f>
        <v>M(여름)</v>
      </c>
      <c r="F286" s="29" t="s">
        <v>106</v>
      </c>
      <c r="G286" s="31"/>
      <c r="H286" s="28" t="str">
        <f aca="false">IF($C286="","",REPLACE($C286,6,2,"26"))</f>
        <v>JKTBM26312</v>
      </c>
      <c r="I286" s="32" t="str">
        <f aca="false">IFERROR(INDEX(전년출고참조!$B$4:$B$638,MATCH($H286,전년출고참조!$A$4:$A$638,0)),"")</f>
        <v/>
      </c>
      <c r="J286" s="32" t="n">
        <v>46437</v>
      </c>
      <c r="K286" s="32" t="n">
        <f aca="false">IF($G286&lt;&gt;"",IFERROR(DATE(IF(VALUE(LEFT($G286,FIND("월",$G286)-1))&gt;=9,기준정보!$C$6-1,기준정보!$C$6),VALUE(LEFT($G286,FIND("월",$G286)-1)),1+7*(VALUE(SUBSTITUTE(MID($G286,FIND("월",$G286)+1,5),"주",""))-1)),""),IF($I286&lt;&gt;"",IF(ISNUMBER($I286),$I286+364,IFERROR(DATE(IF(VALUE(LEFT($I286,FIND("월",$I286)-1))&gt;=9,기준정보!$C$6-1,기준정보!$C$6),VALUE(LEFT($I286,FIND("월",$I286)-1)),1+7*(VALUE(SUBSTITUTE(MID($I286,FIND("월",$I286)+1,5),"주",""))-1)),"")),IF($J286&lt;&gt;"",$J286,"")))</f>
        <v>46437</v>
      </c>
      <c r="L286" s="28" t="str">
        <f aca="false">IF($G286&lt;&gt;"","계획 주차",IF($I286&lt;&gt;"","전년+1년 예측",IF($J286&lt;&gt;"","전산 입고계획(참고)","미정")))</f>
        <v>전산 입고계획(참고)</v>
      </c>
      <c r="M286" s="32" t="n">
        <f aca="false">IF($K286="","",$K286-기준정보!$C$5)</f>
        <v>46347</v>
      </c>
      <c r="N286" s="33" t="n">
        <f aca="false">IF($M286="","",$M286-기준정보!$C$4)</f>
        <v>106</v>
      </c>
      <c r="O286" s="31" t="s">
        <v>108</v>
      </c>
      <c r="P286" s="20"/>
      <c r="Q286" s="30" t="str">
        <f aca="false">IF($F286="","",IF(AND(ISNUMBER(SEARCH("CMT",$F286)),OR(ISNUMBER(SEARCH("사입",$F286)),ISNUMBER(SEARCH("Buying",$F286)))),"본사/생산처 혼재",IF(ISNUMBER(SEARCH("CMT",$F286)),"본사(소재팀)","생산처")))</f>
        <v>생산처</v>
      </c>
      <c r="R286" s="29" t="s">
        <v>123</v>
      </c>
      <c r="S286" s="29" t="s">
        <v>120</v>
      </c>
      <c r="T286" s="30" t="str">
        <f aca="false">IF($K286="","출고일 미정",IF($O286="X","작지(일매) 미등록",IF($O286="부분","작지(일매) 일부 미등록",IF(AND($P286&lt;&gt;"",$P286&gt;$M286),"소재입고 마감("&amp;TEXT($M286,"MM/DD")&amp;") 초과",IF($O286="","일매 등록여부 확인 필요",IF($P286="","소재 입고일정 확인 필요","정상"))))))</f>
        <v>소재 입고일정 확인 필요</v>
      </c>
      <c r="U286" s="28" t="str">
        <f aca="false">IF($K286="","",IF(OR(LEFT($T286,2)="작지",LEFT($T286,4)="소재입고"),IF(LEFT($E286,1)="S","★ 납기위험(S코드)","◆ 지연주의"),IF($T286="정상","✓ 정상","? 확인필요")))</f>
        <v>? 확인필요</v>
      </c>
      <c r="V286" s="31"/>
      <c r="W286" s="19"/>
    </row>
    <row r="287" customFormat="false" ht="15" hidden="false" customHeight="true" outlineLevel="0" collapsed="false">
      <c r="A287" s="28" t="n">
        <v>283</v>
      </c>
      <c r="B287" s="29" t="s">
        <v>218</v>
      </c>
      <c r="C287" s="30" t="s">
        <v>701</v>
      </c>
      <c r="D287" s="29" t="s">
        <v>702</v>
      </c>
      <c r="E287" s="28" t="str">
        <f aca="false">IF($C287="","",IF(MID($C287,5,1)="S","S(봄)",IF(MID($C287,5,1)="M","M(여름)",IF(MID($C287,5,1)="X","X(사계절)",MID($C287,5,1)))))</f>
        <v>M(여름)</v>
      </c>
      <c r="F287" s="29" t="s">
        <v>106</v>
      </c>
      <c r="G287" s="31"/>
      <c r="H287" s="28" t="str">
        <f aca="false">IF($C287="","",REPLACE($C287,6,2,"26"))</f>
        <v>JKTCM26312</v>
      </c>
      <c r="I287" s="32" t="str">
        <f aca="false">IFERROR(INDEX(전년출고참조!$B$4:$B$638,MATCH($H287,전년출고참조!$A$4:$A$638,0)),"")</f>
        <v/>
      </c>
      <c r="J287" s="32" t="n">
        <v>46437</v>
      </c>
      <c r="K287" s="32" t="n">
        <f aca="false">IF($G287&lt;&gt;"",IFERROR(DATE(IF(VALUE(LEFT($G287,FIND("월",$G287)-1))&gt;=9,기준정보!$C$6-1,기준정보!$C$6),VALUE(LEFT($G287,FIND("월",$G287)-1)),1+7*(VALUE(SUBSTITUTE(MID($G287,FIND("월",$G287)+1,5),"주",""))-1)),""),IF($I287&lt;&gt;"",IF(ISNUMBER($I287),$I287+364,IFERROR(DATE(IF(VALUE(LEFT($I287,FIND("월",$I287)-1))&gt;=9,기준정보!$C$6-1,기준정보!$C$6),VALUE(LEFT($I287,FIND("월",$I287)-1)),1+7*(VALUE(SUBSTITUTE(MID($I287,FIND("월",$I287)+1,5),"주",""))-1)),"")),IF($J287&lt;&gt;"",$J287,"")))</f>
        <v>46437</v>
      </c>
      <c r="L287" s="28" t="str">
        <f aca="false">IF($G287&lt;&gt;"","계획 주차",IF($I287&lt;&gt;"","전년+1년 예측",IF($J287&lt;&gt;"","전산 입고계획(참고)","미정")))</f>
        <v>전산 입고계획(참고)</v>
      </c>
      <c r="M287" s="32" t="n">
        <f aca="false">IF($K287="","",$K287-기준정보!$C$5)</f>
        <v>46347</v>
      </c>
      <c r="N287" s="33" t="n">
        <f aca="false">IF($M287="","",$M287-기준정보!$C$4)</f>
        <v>106</v>
      </c>
      <c r="O287" s="31" t="s">
        <v>108</v>
      </c>
      <c r="P287" s="20"/>
      <c r="Q287" s="30" t="str">
        <f aca="false">IF($F287="","",IF(AND(ISNUMBER(SEARCH("CMT",$F287)),OR(ISNUMBER(SEARCH("사입",$F287)),ISNUMBER(SEARCH("Buying",$F287)))),"본사/생산처 혼재",IF(ISNUMBER(SEARCH("CMT",$F287)),"본사(소재팀)","생산처")))</f>
        <v>생산처</v>
      </c>
      <c r="R287" s="29" t="s">
        <v>156</v>
      </c>
      <c r="S287" s="29" t="s">
        <v>110</v>
      </c>
      <c r="T287" s="30" t="str">
        <f aca="false">IF($K287="","출고일 미정",IF($O287="X","작지(일매) 미등록",IF($O287="부분","작지(일매) 일부 미등록",IF(AND($P287&lt;&gt;"",$P287&gt;$M287),"소재입고 마감("&amp;TEXT($M287,"MM/DD")&amp;") 초과",IF($O287="","일매 등록여부 확인 필요",IF($P287="","소재 입고일정 확인 필요","정상"))))))</f>
        <v>소재 입고일정 확인 필요</v>
      </c>
      <c r="U287" s="28" t="str">
        <f aca="false">IF($K287="","",IF(OR(LEFT($T287,2)="작지",LEFT($T287,4)="소재입고"),IF(LEFT($E287,1)="S","★ 납기위험(S코드)","◆ 지연주의"),IF($T287="정상","✓ 정상","? 확인필요")))</f>
        <v>? 확인필요</v>
      </c>
      <c r="V287" s="31"/>
      <c r="W287" s="19"/>
    </row>
    <row r="288" customFormat="false" ht="15" hidden="false" customHeight="true" outlineLevel="0" collapsed="false">
      <c r="A288" s="28" t="n">
        <v>284</v>
      </c>
      <c r="B288" s="29" t="s">
        <v>218</v>
      </c>
      <c r="C288" s="30" t="s">
        <v>703</v>
      </c>
      <c r="D288" s="29" t="s">
        <v>704</v>
      </c>
      <c r="E288" s="28" t="str">
        <f aca="false">IF($C288="","",IF(MID($C288,5,1)="S","S(봄)",IF(MID($C288,5,1)="M","M(여름)",IF(MID($C288,5,1)="X","X(사계절)",MID($C288,5,1)))))</f>
        <v>M(여름)</v>
      </c>
      <c r="F288" s="30" t="s">
        <v>141</v>
      </c>
      <c r="G288" s="31"/>
      <c r="H288" s="28" t="str">
        <f aca="false">IF($C288="","",REPLACE($C288,6,2,"26"))</f>
        <v>JKVAM26372</v>
      </c>
      <c r="I288" s="32" t="str">
        <f aca="false">IFERROR(INDEX(전년출고참조!$B$4:$B$638,MATCH($H288,전년출고참조!$A$4:$A$638,0)),"")</f>
        <v/>
      </c>
      <c r="J288" s="32" t="n">
        <v>46437</v>
      </c>
      <c r="K288" s="32" t="n">
        <f aca="false">IF($G288&lt;&gt;"",IFERROR(DATE(IF(VALUE(LEFT($G288,FIND("월",$G288)-1))&gt;=9,기준정보!$C$6-1,기준정보!$C$6),VALUE(LEFT($G288,FIND("월",$G288)-1)),1+7*(VALUE(SUBSTITUTE(MID($G288,FIND("월",$G288)+1,5),"주",""))-1)),""),IF($I288&lt;&gt;"",IF(ISNUMBER($I288),$I288+364,IFERROR(DATE(IF(VALUE(LEFT($I288,FIND("월",$I288)-1))&gt;=9,기준정보!$C$6-1,기준정보!$C$6),VALUE(LEFT($I288,FIND("월",$I288)-1)),1+7*(VALUE(SUBSTITUTE(MID($I288,FIND("월",$I288)+1,5),"주",""))-1)),"")),IF($J288&lt;&gt;"",$J288,"")))</f>
        <v>46437</v>
      </c>
      <c r="L288" s="28" t="str">
        <f aca="false">IF($G288&lt;&gt;"","계획 주차",IF($I288&lt;&gt;"","전년+1년 예측",IF($J288&lt;&gt;"","전산 입고계획(참고)","미정")))</f>
        <v>전산 입고계획(참고)</v>
      </c>
      <c r="M288" s="32" t="n">
        <f aca="false">IF($K288="","",$K288-기준정보!$C$5)</f>
        <v>46347</v>
      </c>
      <c r="N288" s="33" t="n">
        <f aca="false">IF($M288="","",$M288-기준정보!$C$4)</f>
        <v>106</v>
      </c>
      <c r="O288" s="31" t="s">
        <v>108</v>
      </c>
      <c r="P288" s="20"/>
      <c r="Q288" s="30" t="str">
        <f aca="false">IF($F288="","",IF(AND(ISNUMBER(SEARCH("CMT",$F288)),OR(ISNUMBER(SEARCH("사입",$F288)),ISNUMBER(SEARCH("Buying",$F288)))),"본사/생산처 혼재",IF(ISNUMBER(SEARCH("CMT",$F288)),"본사(소재팀)","생산처")))</f>
        <v>본사(소재팀)</v>
      </c>
      <c r="R288" s="29" t="s">
        <v>109</v>
      </c>
      <c r="S288" s="29" t="s">
        <v>110</v>
      </c>
      <c r="T288" s="30" t="str">
        <f aca="false">IF($K288="","출고일 미정",IF($O288="X","작지(일매) 미등록",IF($O288="부분","작지(일매) 일부 미등록",IF(AND($P288&lt;&gt;"",$P288&gt;$M288),"소재입고 마감("&amp;TEXT($M288,"MM/DD")&amp;") 초과",IF($O288="","일매 등록여부 확인 필요",IF($P288="","소재 입고일정 확인 필요","정상"))))))</f>
        <v>소재 입고일정 확인 필요</v>
      </c>
      <c r="U288" s="28" t="str">
        <f aca="false">IF($K288="","",IF(OR(LEFT($T288,2)="작지",LEFT($T288,4)="소재입고"),IF(LEFT($E288,1)="S","★ 납기위험(S코드)","◆ 지연주의"),IF($T288="정상","✓ 정상","? 확인필요")))</f>
        <v>? 확인필요</v>
      </c>
      <c r="V288" s="31"/>
      <c r="W288" s="19"/>
    </row>
    <row r="289" customFormat="false" ht="15" hidden="false" customHeight="true" outlineLevel="0" collapsed="false">
      <c r="A289" s="28" t="n">
        <v>285</v>
      </c>
      <c r="B289" s="29" t="s">
        <v>218</v>
      </c>
      <c r="C289" s="30" t="s">
        <v>705</v>
      </c>
      <c r="D289" s="29" t="s">
        <v>706</v>
      </c>
      <c r="E289" s="28" t="str">
        <f aca="false">IF($C289="","",IF(MID($C289,5,1)="S","S(봄)",IF(MID($C289,5,1)="M","M(여름)",IF(MID($C289,5,1)="X","X(사계절)",MID($C289,5,1)))))</f>
        <v>M(여름)</v>
      </c>
      <c r="F289" s="30" t="s">
        <v>141</v>
      </c>
      <c r="G289" s="31"/>
      <c r="H289" s="28" t="str">
        <f aca="false">IF($C289="","",REPLACE($C289,6,2,"26"))</f>
        <v>JWJJM26351</v>
      </c>
      <c r="I289" s="32" t="str">
        <f aca="false">IFERROR(INDEX(전년출고참조!$B$4:$B$638,MATCH($H289,전년출고참조!$A$4:$A$638,0)),"")</f>
        <v/>
      </c>
      <c r="J289" s="32" t="n">
        <v>46437</v>
      </c>
      <c r="K289" s="32" t="n">
        <f aca="false">IF($G289&lt;&gt;"",IFERROR(DATE(IF(VALUE(LEFT($G289,FIND("월",$G289)-1))&gt;=9,기준정보!$C$6-1,기준정보!$C$6),VALUE(LEFT($G289,FIND("월",$G289)-1)),1+7*(VALUE(SUBSTITUTE(MID($G289,FIND("월",$G289)+1,5),"주",""))-1)),""),IF($I289&lt;&gt;"",IF(ISNUMBER($I289),$I289+364,IFERROR(DATE(IF(VALUE(LEFT($I289,FIND("월",$I289)-1))&gt;=9,기준정보!$C$6-1,기준정보!$C$6),VALUE(LEFT($I289,FIND("월",$I289)-1)),1+7*(VALUE(SUBSTITUTE(MID($I289,FIND("월",$I289)+1,5),"주",""))-1)),"")),IF($J289&lt;&gt;"",$J289,"")))</f>
        <v>46437</v>
      </c>
      <c r="L289" s="28" t="str">
        <f aca="false">IF($G289&lt;&gt;"","계획 주차",IF($I289&lt;&gt;"","전년+1년 예측",IF($J289&lt;&gt;"","전산 입고계획(참고)","미정")))</f>
        <v>전산 입고계획(참고)</v>
      </c>
      <c r="M289" s="32" t="n">
        <f aca="false">IF($K289="","",$K289-기준정보!$C$5)</f>
        <v>46347</v>
      </c>
      <c r="N289" s="33" t="n">
        <f aca="false">IF($M289="","",$M289-기준정보!$C$4)</f>
        <v>106</v>
      </c>
      <c r="O289" s="31" t="s">
        <v>108</v>
      </c>
      <c r="P289" s="20"/>
      <c r="Q289" s="30" t="str">
        <f aca="false">IF($F289="","",IF(AND(ISNUMBER(SEARCH("CMT",$F289)),OR(ISNUMBER(SEARCH("사입",$F289)),ISNUMBER(SEARCH("Buying",$F289)))),"본사/생산처 혼재",IF(ISNUMBER(SEARCH("CMT",$F289)),"본사(소재팀)","생산처")))</f>
        <v>본사(소재팀)</v>
      </c>
      <c r="R289" s="29" t="s">
        <v>109</v>
      </c>
      <c r="S289" s="29" t="s">
        <v>110</v>
      </c>
      <c r="T289" s="30" t="str">
        <f aca="false">IF($K289="","출고일 미정",IF($O289="X","작지(일매) 미등록",IF($O289="부분","작지(일매) 일부 미등록",IF(AND($P289&lt;&gt;"",$P289&gt;$M289),"소재입고 마감("&amp;TEXT($M289,"MM/DD")&amp;") 초과",IF($O289="","일매 등록여부 확인 필요",IF($P289="","소재 입고일정 확인 필요","정상"))))))</f>
        <v>소재 입고일정 확인 필요</v>
      </c>
      <c r="U289" s="28" t="str">
        <f aca="false">IF($K289="","",IF(OR(LEFT($T289,2)="작지",LEFT($T289,4)="소재입고"),IF(LEFT($E289,1)="S","★ 납기위험(S코드)","◆ 지연주의"),IF($T289="정상","✓ 정상","? 확인필요")))</f>
        <v>? 확인필요</v>
      </c>
      <c r="V289" s="31"/>
      <c r="W289" s="19"/>
    </row>
    <row r="290" customFormat="false" ht="15" hidden="false" customHeight="true" outlineLevel="0" collapsed="false">
      <c r="A290" s="28" t="n">
        <v>286</v>
      </c>
      <c r="B290" s="29" t="s">
        <v>218</v>
      </c>
      <c r="C290" s="30" t="s">
        <v>707</v>
      </c>
      <c r="D290" s="29" t="s">
        <v>708</v>
      </c>
      <c r="E290" s="28" t="str">
        <f aca="false">IF($C290="","",IF(MID($C290,5,1)="S","S(봄)",IF(MID($C290,5,1)="M","M(여름)",IF(MID($C290,5,1)="X","X(사계절)",MID($C290,5,1)))))</f>
        <v>M(여름)</v>
      </c>
      <c r="F290" s="30" t="s">
        <v>141</v>
      </c>
      <c r="G290" s="31"/>
      <c r="H290" s="28" t="str">
        <f aca="false">IF($C290="","",REPLACE($C290,6,2,"26"))</f>
        <v>JWJJM26371</v>
      </c>
      <c r="I290" s="32" t="str">
        <f aca="false">IFERROR(INDEX(전년출고참조!$B$4:$B$638,MATCH($H290,전년출고참조!$A$4:$A$638,0)),"")</f>
        <v/>
      </c>
      <c r="J290" s="32" t="n">
        <v>46437</v>
      </c>
      <c r="K290" s="32" t="n">
        <f aca="false">IF($G290&lt;&gt;"",IFERROR(DATE(IF(VALUE(LEFT($G290,FIND("월",$G290)-1))&gt;=9,기준정보!$C$6-1,기준정보!$C$6),VALUE(LEFT($G290,FIND("월",$G290)-1)),1+7*(VALUE(SUBSTITUTE(MID($G290,FIND("월",$G290)+1,5),"주",""))-1)),""),IF($I290&lt;&gt;"",IF(ISNUMBER($I290),$I290+364,IFERROR(DATE(IF(VALUE(LEFT($I290,FIND("월",$I290)-1))&gt;=9,기준정보!$C$6-1,기준정보!$C$6),VALUE(LEFT($I290,FIND("월",$I290)-1)),1+7*(VALUE(SUBSTITUTE(MID($I290,FIND("월",$I290)+1,5),"주",""))-1)),"")),IF($J290&lt;&gt;"",$J290,"")))</f>
        <v>46437</v>
      </c>
      <c r="L290" s="28" t="str">
        <f aca="false">IF($G290&lt;&gt;"","계획 주차",IF($I290&lt;&gt;"","전년+1년 예측",IF($J290&lt;&gt;"","전산 입고계획(참고)","미정")))</f>
        <v>전산 입고계획(참고)</v>
      </c>
      <c r="M290" s="32" t="n">
        <f aca="false">IF($K290="","",$K290-기준정보!$C$5)</f>
        <v>46347</v>
      </c>
      <c r="N290" s="33" t="n">
        <f aca="false">IF($M290="","",$M290-기준정보!$C$4)</f>
        <v>106</v>
      </c>
      <c r="O290" s="31" t="s">
        <v>108</v>
      </c>
      <c r="P290" s="20"/>
      <c r="Q290" s="30" t="str">
        <f aca="false">IF($F290="","",IF(AND(ISNUMBER(SEARCH("CMT",$F290)),OR(ISNUMBER(SEARCH("사입",$F290)),ISNUMBER(SEARCH("Buying",$F290)))),"본사/생산처 혼재",IF(ISNUMBER(SEARCH("CMT",$F290)),"본사(소재팀)","생산처")))</f>
        <v>본사(소재팀)</v>
      </c>
      <c r="R290" s="29" t="s">
        <v>109</v>
      </c>
      <c r="S290" s="29" t="s">
        <v>110</v>
      </c>
      <c r="T290" s="30" t="str">
        <f aca="false">IF($K290="","출고일 미정",IF($O290="X","작지(일매) 미등록",IF($O290="부분","작지(일매) 일부 미등록",IF(AND($P290&lt;&gt;"",$P290&gt;$M290),"소재입고 마감("&amp;TEXT($M290,"MM/DD")&amp;") 초과",IF($O290="","일매 등록여부 확인 필요",IF($P290="","소재 입고일정 확인 필요","정상"))))))</f>
        <v>소재 입고일정 확인 필요</v>
      </c>
      <c r="U290" s="28" t="str">
        <f aca="false">IF($K290="","",IF(OR(LEFT($T290,2)="작지",LEFT($T290,4)="소재입고"),IF(LEFT($E290,1)="S","★ 납기위험(S코드)","◆ 지연주의"),IF($T290="정상","✓ 정상","? 확인필요")))</f>
        <v>? 확인필요</v>
      </c>
      <c r="V290" s="31"/>
      <c r="W290" s="19"/>
    </row>
    <row r="291" customFormat="false" ht="15" hidden="false" customHeight="true" outlineLevel="0" collapsed="false">
      <c r="A291" s="28" t="n">
        <v>287</v>
      </c>
      <c r="B291" s="29" t="s">
        <v>218</v>
      </c>
      <c r="C291" s="30" t="s">
        <v>709</v>
      </c>
      <c r="D291" s="29" t="s">
        <v>710</v>
      </c>
      <c r="E291" s="28" t="str">
        <f aca="false">IF($C291="","",IF(MID($C291,5,1)="S","S(봄)",IF(MID($C291,5,1)="M","M(여름)",IF(MID($C291,5,1)="X","X(사계절)",MID($C291,5,1)))))</f>
        <v>M(여름)</v>
      </c>
      <c r="F291" s="30" t="s">
        <v>141</v>
      </c>
      <c r="G291" s="31"/>
      <c r="H291" s="28" t="str">
        <f aca="false">IF($C291="","",REPLACE($C291,6,2,"26"))</f>
        <v>JWJJM26373</v>
      </c>
      <c r="I291" s="32" t="str">
        <f aca="false">IFERROR(INDEX(전년출고참조!$B$4:$B$638,MATCH($H291,전년출고참조!$A$4:$A$638,0)),"")</f>
        <v/>
      </c>
      <c r="J291" s="32" t="n">
        <v>46437</v>
      </c>
      <c r="K291" s="32" t="n">
        <f aca="false">IF($G291&lt;&gt;"",IFERROR(DATE(IF(VALUE(LEFT($G291,FIND("월",$G291)-1))&gt;=9,기준정보!$C$6-1,기준정보!$C$6),VALUE(LEFT($G291,FIND("월",$G291)-1)),1+7*(VALUE(SUBSTITUTE(MID($G291,FIND("월",$G291)+1,5),"주",""))-1)),""),IF($I291&lt;&gt;"",IF(ISNUMBER($I291),$I291+364,IFERROR(DATE(IF(VALUE(LEFT($I291,FIND("월",$I291)-1))&gt;=9,기준정보!$C$6-1,기준정보!$C$6),VALUE(LEFT($I291,FIND("월",$I291)-1)),1+7*(VALUE(SUBSTITUTE(MID($I291,FIND("월",$I291)+1,5),"주",""))-1)),"")),IF($J291&lt;&gt;"",$J291,"")))</f>
        <v>46437</v>
      </c>
      <c r="L291" s="28" t="str">
        <f aca="false">IF($G291&lt;&gt;"","계획 주차",IF($I291&lt;&gt;"","전년+1년 예측",IF($J291&lt;&gt;"","전산 입고계획(참고)","미정")))</f>
        <v>전산 입고계획(참고)</v>
      </c>
      <c r="M291" s="32" t="n">
        <f aca="false">IF($K291="","",$K291-기준정보!$C$5)</f>
        <v>46347</v>
      </c>
      <c r="N291" s="33" t="n">
        <f aca="false">IF($M291="","",$M291-기준정보!$C$4)</f>
        <v>106</v>
      </c>
      <c r="O291" s="31" t="s">
        <v>108</v>
      </c>
      <c r="P291" s="20"/>
      <c r="Q291" s="30" t="str">
        <f aca="false">IF($F291="","",IF(AND(ISNUMBER(SEARCH("CMT",$F291)),OR(ISNUMBER(SEARCH("사입",$F291)),ISNUMBER(SEARCH("Buying",$F291)))),"본사/생산처 혼재",IF(ISNUMBER(SEARCH("CMT",$F291)),"본사(소재팀)","생산처")))</f>
        <v>본사(소재팀)</v>
      </c>
      <c r="R291" s="29" t="s">
        <v>109</v>
      </c>
      <c r="S291" s="29" t="s">
        <v>110</v>
      </c>
      <c r="T291" s="30" t="str">
        <f aca="false">IF($K291="","출고일 미정",IF($O291="X","작지(일매) 미등록",IF($O291="부분","작지(일매) 일부 미등록",IF(AND($P291&lt;&gt;"",$P291&gt;$M291),"소재입고 마감("&amp;TEXT($M291,"MM/DD")&amp;") 초과",IF($O291="","일매 등록여부 확인 필요",IF($P291="","소재 입고일정 확인 필요","정상"))))))</f>
        <v>소재 입고일정 확인 필요</v>
      </c>
      <c r="U291" s="28" t="str">
        <f aca="false">IF($K291="","",IF(OR(LEFT($T291,2)="작지",LEFT($T291,4)="소재입고"),IF(LEFT($E291,1)="S","★ 납기위험(S코드)","◆ 지연주의"),IF($T291="정상","✓ 정상","? 확인필요")))</f>
        <v>? 확인필요</v>
      </c>
      <c r="V291" s="31"/>
      <c r="W291" s="19"/>
    </row>
    <row r="292" customFormat="false" ht="15" hidden="false" customHeight="true" outlineLevel="0" collapsed="false">
      <c r="A292" s="28" t="n">
        <v>288</v>
      </c>
      <c r="B292" s="29" t="s">
        <v>218</v>
      </c>
      <c r="C292" s="30" t="s">
        <v>711</v>
      </c>
      <c r="D292" s="29" t="s">
        <v>712</v>
      </c>
      <c r="E292" s="28" t="str">
        <f aca="false">IF($C292="","",IF(MID($C292,5,1)="S","S(봄)",IF(MID($C292,5,1)="M","M(여름)",IF(MID($C292,5,1)="X","X(사계절)",MID($C292,5,1)))))</f>
        <v>M(여름)</v>
      </c>
      <c r="F292" s="30" t="s">
        <v>141</v>
      </c>
      <c r="G292" s="31"/>
      <c r="H292" s="28" t="str">
        <f aca="false">IF($C292="","",REPLACE($C292,6,2,"26"))</f>
        <v>JWJJM26375</v>
      </c>
      <c r="I292" s="32" t="str">
        <f aca="false">IFERROR(INDEX(전년출고참조!$B$4:$B$638,MATCH($H292,전년출고참조!$A$4:$A$638,0)),"")</f>
        <v/>
      </c>
      <c r="J292" s="32" t="n">
        <v>46437</v>
      </c>
      <c r="K292" s="32" t="n">
        <f aca="false">IF($G292&lt;&gt;"",IFERROR(DATE(IF(VALUE(LEFT($G292,FIND("월",$G292)-1))&gt;=9,기준정보!$C$6-1,기준정보!$C$6),VALUE(LEFT($G292,FIND("월",$G292)-1)),1+7*(VALUE(SUBSTITUTE(MID($G292,FIND("월",$G292)+1,5),"주",""))-1)),""),IF($I292&lt;&gt;"",IF(ISNUMBER($I292),$I292+364,IFERROR(DATE(IF(VALUE(LEFT($I292,FIND("월",$I292)-1))&gt;=9,기준정보!$C$6-1,기준정보!$C$6),VALUE(LEFT($I292,FIND("월",$I292)-1)),1+7*(VALUE(SUBSTITUTE(MID($I292,FIND("월",$I292)+1,5),"주",""))-1)),"")),IF($J292&lt;&gt;"",$J292,"")))</f>
        <v>46437</v>
      </c>
      <c r="L292" s="28" t="str">
        <f aca="false">IF($G292&lt;&gt;"","계획 주차",IF($I292&lt;&gt;"","전년+1년 예측",IF($J292&lt;&gt;"","전산 입고계획(참고)","미정")))</f>
        <v>전산 입고계획(참고)</v>
      </c>
      <c r="M292" s="32" t="n">
        <f aca="false">IF($K292="","",$K292-기준정보!$C$5)</f>
        <v>46347</v>
      </c>
      <c r="N292" s="33" t="n">
        <f aca="false">IF($M292="","",$M292-기준정보!$C$4)</f>
        <v>106</v>
      </c>
      <c r="O292" s="31" t="s">
        <v>108</v>
      </c>
      <c r="P292" s="20"/>
      <c r="Q292" s="30" t="str">
        <f aca="false">IF($F292="","",IF(AND(ISNUMBER(SEARCH("CMT",$F292)),OR(ISNUMBER(SEARCH("사입",$F292)),ISNUMBER(SEARCH("Buying",$F292)))),"본사/생산처 혼재",IF(ISNUMBER(SEARCH("CMT",$F292)),"본사(소재팀)","생산처")))</f>
        <v>본사(소재팀)</v>
      </c>
      <c r="R292" s="29" t="s">
        <v>109</v>
      </c>
      <c r="S292" s="29" t="s">
        <v>110</v>
      </c>
      <c r="T292" s="30" t="str">
        <f aca="false">IF($K292="","출고일 미정",IF($O292="X","작지(일매) 미등록",IF($O292="부분","작지(일매) 일부 미등록",IF(AND($P292&lt;&gt;"",$P292&gt;$M292),"소재입고 마감("&amp;TEXT($M292,"MM/DD")&amp;") 초과",IF($O292="","일매 등록여부 확인 필요",IF($P292="","소재 입고일정 확인 필요","정상"))))))</f>
        <v>소재 입고일정 확인 필요</v>
      </c>
      <c r="U292" s="28" t="str">
        <f aca="false">IF($K292="","",IF(OR(LEFT($T292,2)="작지",LEFT($T292,4)="소재입고"),IF(LEFT($E292,1)="S","★ 납기위험(S코드)","◆ 지연주의"),IF($T292="정상","✓ 정상","? 확인필요")))</f>
        <v>? 확인필요</v>
      </c>
      <c r="V292" s="31"/>
      <c r="W292" s="19"/>
    </row>
    <row r="293" customFormat="false" ht="15" hidden="false" customHeight="true" outlineLevel="0" collapsed="false">
      <c r="A293" s="28" t="n">
        <v>289</v>
      </c>
      <c r="B293" s="29" t="s">
        <v>218</v>
      </c>
      <c r="C293" s="30" t="s">
        <v>713</v>
      </c>
      <c r="D293" s="29" t="s">
        <v>714</v>
      </c>
      <c r="E293" s="28" t="str">
        <f aca="false">IF($C293="","",IF(MID($C293,5,1)="S","S(봄)",IF(MID($C293,5,1)="M","M(여름)",IF(MID($C293,5,1)="X","X(사계절)",MID($C293,5,1)))))</f>
        <v>M(여름)</v>
      </c>
      <c r="F293" s="30" t="s">
        <v>141</v>
      </c>
      <c r="G293" s="31"/>
      <c r="H293" s="28" t="str">
        <f aca="false">IF($C293="","",REPLACE($C293,6,2,"26"))</f>
        <v>JWPNM26351</v>
      </c>
      <c r="I293" s="32" t="str">
        <f aca="false">IFERROR(INDEX(전년출고참조!$B$4:$B$638,MATCH($H293,전년출고참조!$A$4:$A$638,0)),"")</f>
        <v/>
      </c>
      <c r="J293" s="32" t="n">
        <v>46437</v>
      </c>
      <c r="K293" s="32" t="n">
        <f aca="false">IF($G293&lt;&gt;"",IFERROR(DATE(IF(VALUE(LEFT($G293,FIND("월",$G293)-1))&gt;=9,기준정보!$C$6-1,기준정보!$C$6),VALUE(LEFT($G293,FIND("월",$G293)-1)),1+7*(VALUE(SUBSTITUTE(MID($G293,FIND("월",$G293)+1,5),"주",""))-1)),""),IF($I293&lt;&gt;"",IF(ISNUMBER($I293),$I293+364,IFERROR(DATE(IF(VALUE(LEFT($I293,FIND("월",$I293)-1))&gt;=9,기준정보!$C$6-1,기준정보!$C$6),VALUE(LEFT($I293,FIND("월",$I293)-1)),1+7*(VALUE(SUBSTITUTE(MID($I293,FIND("월",$I293)+1,5),"주",""))-1)),"")),IF($J293&lt;&gt;"",$J293,"")))</f>
        <v>46437</v>
      </c>
      <c r="L293" s="28" t="str">
        <f aca="false">IF($G293&lt;&gt;"","계획 주차",IF($I293&lt;&gt;"","전년+1년 예측",IF($J293&lt;&gt;"","전산 입고계획(참고)","미정")))</f>
        <v>전산 입고계획(참고)</v>
      </c>
      <c r="M293" s="32" t="n">
        <f aca="false">IF($K293="","",$K293-기준정보!$C$5)</f>
        <v>46347</v>
      </c>
      <c r="N293" s="33" t="n">
        <f aca="false">IF($M293="","",$M293-기준정보!$C$4)</f>
        <v>106</v>
      </c>
      <c r="O293" s="31" t="s">
        <v>114</v>
      </c>
      <c r="P293" s="20"/>
      <c r="Q293" s="30" t="str">
        <f aca="false">IF($F293="","",IF(AND(ISNUMBER(SEARCH("CMT",$F293)),OR(ISNUMBER(SEARCH("사입",$F293)),ISNUMBER(SEARCH("Buying",$F293)))),"본사/생산처 혼재",IF(ISNUMBER(SEARCH("CMT",$F293)),"본사(소재팀)","생산처")))</f>
        <v>본사(소재팀)</v>
      </c>
      <c r="R293" s="29" t="s">
        <v>145</v>
      </c>
      <c r="S293" s="29" t="s">
        <v>110</v>
      </c>
      <c r="T293" s="30" t="str">
        <f aca="false">IF($K293="","출고일 미정",IF($O293="X","작지(일매) 미등록",IF($O293="부분","작지(일매) 일부 미등록",IF(AND($P293&lt;&gt;"",$P293&gt;$M293),"소재입고 마감("&amp;TEXT($M293,"MM/DD")&amp;") 초과",IF($O293="","일매 등록여부 확인 필요",IF($P293="","소재 입고일정 확인 필요","정상"))))))</f>
        <v>작지(일매) 미등록</v>
      </c>
      <c r="U293" s="28" t="str">
        <f aca="false">IF($K293="","",IF(OR(LEFT($T293,2)="작지",LEFT($T293,4)="소재입고"),IF(LEFT($E293,1)="S","★ 납기위험(S코드)","◆ 지연주의"),IF($T293="정상","✓ 정상","? 확인필요")))</f>
        <v>◆ 지연주의</v>
      </c>
      <c r="V293" s="31"/>
      <c r="W293" s="19"/>
    </row>
    <row r="294" customFormat="false" ht="15" hidden="false" customHeight="true" outlineLevel="0" collapsed="false">
      <c r="A294" s="28" t="n">
        <v>290</v>
      </c>
      <c r="B294" s="29" t="s">
        <v>218</v>
      </c>
      <c r="C294" s="30" t="s">
        <v>715</v>
      </c>
      <c r="D294" s="29" t="s">
        <v>716</v>
      </c>
      <c r="E294" s="28" t="str">
        <f aca="false">IF($C294="","",IF(MID($C294,5,1)="S","S(봄)",IF(MID($C294,5,1)="M","M(여름)",IF(MID($C294,5,1)="X","X(사계절)",MID($C294,5,1)))))</f>
        <v>M(여름)</v>
      </c>
      <c r="F294" s="29" t="s">
        <v>106</v>
      </c>
      <c r="G294" s="31"/>
      <c r="H294" s="28" t="str">
        <f aca="false">IF($C294="","",REPLACE($C294,6,2,"26"))</f>
        <v>JWTBM26301</v>
      </c>
      <c r="I294" s="32" t="str">
        <f aca="false">IFERROR(INDEX(전년출고참조!$B$4:$B$638,MATCH($H294,전년출고참조!$A$4:$A$638,0)),"")</f>
        <v/>
      </c>
      <c r="J294" s="32" t="n">
        <v>46437</v>
      </c>
      <c r="K294" s="32" t="n">
        <f aca="false">IF($G294&lt;&gt;"",IFERROR(DATE(IF(VALUE(LEFT($G294,FIND("월",$G294)-1))&gt;=9,기준정보!$C$6-1,기준정보!$C$6),VALUE(LEFT($G294,FIND("월",$G294)-1)),1+7*(VALUE(SUBSTITUTE(MID($G294,FIND("월",$G294)+1,5),"주",""))-1)),""),IF($I294&lt;&gt;"",IF(ISNUMBER($I294),$I294+364,IFERROR(DATE(IF(VALUE(LEFT($I294,FIND("월",$I294)-1))&gt;=9,기준정보!$C$6-1,기준정보!$C$6),VALUE(LEFT($I294,FIND("월",$I294)-1)),1+7*(VALUE(SUBSTITUTE(MID($I294,FIND("월",$I294)+1,5),"주",""))-1)),"")),IF($J294&lt;&gt;"",$J294,"")))</f>
        <v>46437</v>
      </c>
      <c r="L294" s="28" t="str">
        <f aca="false">IF($G294&lt;&gt;"","계획 주차",IF($I294&lt;&gt;"","전년+1년 예측",IF($J294&lt;&gt;"","전산 입고계획(참고)","미정")))</f>
        <v>전산 입고계획(참고)</v>
      </c>
      <c r="M294" s="32" t="n">
        <f aca="false">IF($K294="","",$K294-기준정보!$C$5)</f>
        <v>46347</v>
      </c>
      <c r="N294" s="33" t="n">
        <f aca="false">IF($M294="","",$M294-기준정보!$C$4)</f>
        <v>106</v>
      </c>
      <c r="O294" s="31" t="s">
        <v>108</v>
      </c>
      <c r="P294" s="20"/>
      <c r="Q294" s="30" t="str">
        <f aca="false">IF($F294="","",IF(AND(ISNUMBER(SEARCH("CMT",$F294)),OR(ISNUMBER(SEARCH("사입",$F294)),ISNUMBER(SEARCH("Buying",$F294)))),"본사/생산처 혼재",IF(ISNUMBER(SEARCH("CMT",$F294)),"본사(소재팀)","생산처")))</f>
        <v>생산처</v>
      </c>
      <c r="R294" s="29" t="s">
        <v>156</v>
      </c>
      <c r="S294" s="29" t="s">
        <v>110</v>
      </c>
      <c r="T294" s="30" t="str">
        <f aca="false">IF($K294="","출고일 미정",IF($O294="X","작지(일매) 미등록",IF($O294="부분","작지(일매) 일부 미등록",IF(AND($P294&lt;&gt;"",$P294&gt;$M294),"소재입고 마감("&amp;TEXT($M294,"MM/DD")&amp;") 초과",IF($O294="","일매 등록여부 확인 필요",IF($P294="","소재 입고일정 확인 필요","정상"))))))</f>
        <v>소재 입고일정 확인 필요</v>
      </c>
      <c r="U294" s="28" t="str">
        <f aca="false">IF($K294="","",IF(OR(LEFT($T294,2)="작지",LEFT($T294,4)="소재입고"),IF(LEFT($E294,1)="S","★ 납기위험(S코드)","◆ 지연주의"),IF($T294="정상","✓ 정상","? 확인필요")))</f>
        <v>? 확인필요</v>
      </c>
      <c r="V294" s="31"/>
      <c r="W294" s="19"/>
    </row>
    <row r="295" customFormat="false" ht="15" hidden="false" customHeight="true" outlineLevel="0" collapsed="false">
      <c r="A295" s="28" t="n">
        <v>291</v>
      </c>
      <c r="B295" s="29" t="s">
        <v>218</v>
      </c>
      <c r="C295" s="30" t="s">
        <v>717</v>
      </c>
      <c r="D295" s="29" t="s">
        <v>718</v>
      </c>
      <c r="E295" s="28" t="str">
        <f aca="false">IF($C295="","",IF(MID($C295,5,1)="S","S(봄)",IF(MID($C295,5,1)="M","M(여름)",IF(MID($C295,5,1)="X","X(사계절)",MID($C295,5,1)))))</f>
        <v>M(여름)</v>
      </c>
      <c r="F295" s="29" t="s">
        <v>106</v>
      </c>
      <c r="G295" s="31"/>
      <c r="H295" s="28" t="str">
        <f aca="false">IF($C295="","",REPLACE($C295,6,2,"26"))</f>
        <v>JWTBM26311</v>
      </c>
      <c r="I295" s="32" t="str">
        <f aca="false">IFERROR(INDEX(전년출고참조!$B$4:$B$638,MATCH($H295,전년출고참조!$A$4:$A$638,0)),"")</f>
        <v/>
      </c>
      <c r="J295" s="32" t="n">
        <v>46437</v>
      </c>
      <c r="K295" s="32" t="n">
        <f aca="false">IF($G295&lt;&gt;"",IFERROR(DATE(IF(VALUE(LEFT($G295,FIND("월",$G295)-1))&gt;=9,기준정보!$C$6-1,기준정보!$C$6),VALUE(LEFT($G295,FIND("월",$G295)-1)),1+7*(VALUE(SUBSTITUTE(MID($G295,FIND("월",$G295)+1,5),"주",""))-1)),""),IF($I295&lt;&gt;"",IF(ISNUMBER($I295),$I295+364,IFERROR(DATE(IF(VALUE(LEFT($I295,FIND("월",$I295)-1))&gt;=9,기준정보!$C$6-1,기준정보!$C$6),VALUE(LEFT($I295,FIND("월",$I295)-1)),1+7*(VALUE(SUBSTITUTE(MID($I295,FIND("월",$I295)+1,5),"주",""))-1)),"")),IF($J295&lt;&gt;"",$J295,"")))</f>
        <v>46437</v>
      </c>
      <c r="L295" s="28" t="str">
        <f aca="false">IF($G295&lt;&gt;"","계획 주차",IF($I295&lt;&gt;"","전년+1년 예측",IF($J295&lt;&gt;"","전산 입고계획(참고)","미정")))</f>
        <v>전산 입고계획(참고)</v>
      </c>
      <c r="M295" s="32" t="n">
        <f aca="false">IF($K295="","",$K295-기준정보!$C$5)</f>
        <v>46347</v>
      </c>
      <c r="N295" s="33" t="n">
        <f aca="false">IF($M295="","",$M295-기준정보!$C$4)</f>
        <v>106</v>
      </c>
      <c r="O295" s="31" t="s">
        <v>108</v>
      </c>
      <c r="P295" s="20"/>
      <c r="Q295" s="30" t="str">
        <f aca="false">IF($F295="","",IF(AND(ISNUMBER(SEARCH("CMT",$F295)),OR(ISNUMBER(SEARCH("사입",$F295)),ISNUMBER(SEARCH("Buying",$F295)))),"본사/생산처 혼재",IF(ISNUMBER(SEARCH("CMT",$F295)),"본사(소재팀)","생산처")))</f>
        <v>생산처</v>
      </c>
      <c r="R295" s="29" t="s">
        <v>123</v>
      </c>
      <c r="S295" s="29" t="s">
        <v>120</v>
      </c>
      <c r="T295" s="30" t="str">
        <f aca="false">IF($K295="","출고일 미정",IF($O295="X","작지(일매) 미등록",IF($O295="부분","작지(일매) 일부 미등록",IF(AND($P295&lt;&gt;"",$P295&gt;$M295),"소재입고 마감("&amp;TEXT($M295,"MM/DD")&amp;") 초과",IF($O295="","일매 등록여부 확인 필요",IF($P295="","소재 입고일정 확인 필요","정상"))))))</f>
        <v>소재 입고일정 확인 필요</v>
      </c>
      <c r="U295" s="28" t="str">
        <f aca="false">IF($K295="","",IF(OR(LEFT($T295,2)="작지",LEFT($T295,4)="소재입고"),IF(LEFT($E295,1)="S","★ 납기위험(S코드)","◆ 지연주의"),IF($T295="정상","✓ 정상","? 확인필요")))</f>
        <v>? 확인필요</v>
      </c>
      <c r="V295" s="31"/>
      <c r="W295" s="19"/>
    </row>
    <row r="296" customFormat="false" ht="15" hidden="false" customHeight="true" outlineLevel="0" collapsed="false">
      <c r="A296" s="28" t="n">
        <v>292</v>
      </c>
      <c r="B296" s="29" t="s">
        <v>218</v>
      </c>
      <c r="C296" s="30" t="s">
        <v>719</v>
      </c>
      <c r="D296" s="29" t="s">
        <v>720</v>
      </c>
      <c r="E296" s="28" t="str">
        <f aca="false">IF($C296="","",IF(MID($C296,5,1)="S","S(봄)",IF(MID($C296,5,1)="M","M(여름)",IF(MID($C296,5,1)="X","X(사계절)",MID($C296,5,1)))))</f>
        <v>M(여름)</v>
      </c>
      <c r="F296" s="30" t="s">
        <v>141</v>
      </c>
      <c r="G296" s="31"/>
      <c r="H296" s="28" t="str">
        <f aca="false">IF($C296="","",REPLACE($C296,6,2,"26"))</f>
        <v>JWTBM26351</v>
      </c>
      <c r="I296" s="32" t="str">
        <f aca="false">IFERROR(INDEX(전년출고참조!$B$4:$B$638,MATCH($H296,전년출고참조!$A$4:$A$638,0)),"")</f>
        <v/>
      </c>
      <c r="J296" s="32" t="n">
        <v>46437</v>
      </c>
      <c r="K296" s="32" t="n">
        <f aca="false">IF($G296&lt;&gt;"",IFERROR(DATE(IF(VALUE(LEFT($G296,FIND("월",$G296)-1))&gt;=9,기준정보!$C$6-1,기준정보!$C$6),VALUE(LEFT($G296,FIND("월",$G296)-1)),1+7*(VALUE(SUBSTITUTE(MID($G296,FIND("월",$G296)+1,5),"주",""))-1)),""),IF($I296&lt;&gt;"",IF(ISNUMBER($I296),$I296+364,IFERROR(DATE(IF(VALUE(LEFT($I296,FIND("월",$I296)-1))&gt;=9,기준정보!$C$6-1,기준정보!$C$6),VALUE(LEFT($I296,FIND("월",$I296)-1)),1+7*(VALUE(SUBSTITUTE(MID($I296,FIND("월",$I296)+1,5),"주",""))-1)),"")),IF($J296&lt;&gt;"",$J296,"")))</f>
        <v>46437</v>
      </c>
      <c r="L296" s="28" t="str">
        <f aca="false">IF($G296&lt;&gt;"","계획 주차",IF($I296&lt;&gt;"","전년+1년 예측",IF($J296&lt;&gt;"","전산 입고계획(참고)","미정")))</f>
        <v>전산 입고계획(참고)</v>
      </c>
      <c r="M296" s="32" t="n">
        <f aca="false">IF($K296="","",$K296-기준정보!$C$5)</f>
        <v>46347</v>
      </c>
      <c r="N296" s="33" t="n">
        <f aca="false">IF($M296="","",$M296-기준정보!$C$4)</f>
        <v>106</v>
      </c>
      <c r="O296" s="31" t="s">
        <v>108</v>
      </c>
      <c r="P296" s="20"/>
      <c r="Q296" s="30" t="str">
        <f aca="false">IF($F296="","",IF(AND(ISNUMBER(SEARCH("CMT",$F296)),OR(ISNUMBER(SEARCH("사입",$F296)),ISNUMBER(SEARCH("Buying",$F296)))),"본사/생산처 혼재",IF(ISNUMBER(SEARCH("CMT",$F296)),"본사(소재팀)","생산처")))</f>
        <v>본사(소재팀)</v>
      </c>
      <c r="R296" s="29" t="s">
        <v>721</v>
      </c>
      <c r="S296" s="29" t="s">
        <v>110</v>
      </c>
      <c r="T296" s="30" t="str">
        <f aca="false">IF($K296="","출고일 미정",IF($O296="X","작지(일매) 미등록",IF($O296="부분","작지(일매) 일부 미등록",IF(AND($P296&lt;&gt;"",$P296&gt;$M296),"소재입고 마감("&amp;TEXT($M296,"MM/DD")&amp;") 초과",IF($O296="","일매 등록여부 확인 필요",IF($P296="","소재 입고일정 확인 필요","정상"))))))</f>
        <v>소재 입고일정 확인 필요</v>
      </c>
      <c r="U296" s="28" t="str">
        <f aca="false">IF($K296="","",IF(OR(LEFT($T296,2)="작지",LEFT($T296,4)="소재입고"),IF(LEFT($E296,1)="S","★ 납기위험(S코드)","◆ 지연주의"),IF($T296="정상","✓ 정상","? 확인필요")))</f>
        <v>? 확인필요</v>
      </c>
      <c r="V296" s="31"/>
      <c r="W296" s="19"/>
    </row>
    <row r="297" customFormat="false" ht="15" hidden="false" customHeight="true" outlineLevel="0" collapsed="false">
      <c r="A297" s="28" t="n">
        <v>293</v>
      </c>
      <c r="B297" s="29" t="s">
        <v>218</v>
      </c>
      <c r="C297" s="30" t="s">
        <v>722</v>
      </c>
      <c r="D297" s="29" t="s">
        <v>723</v>
      </c>
      <c r="E297" s="28" t="str">
        <f aca="false">IF($C297="","",IF(MID($C297,5,1)="S","S(봄)",IF(MID($C297,5,1)="M","M(여름)",IF(MID($C297,5,1)="X","X(사계절)",MID($C297,5,1)))))</f>
        <v>M(여름)</v>
      </c>
      <c r="F297" s="29" t="s">
        <v>106</v>
      </c>
      <c r="G297" s="31"/>
      <c r="H297" s="28" t="str">
        <f aca="false">IF($C297="","",REPLACE($C297,6,2,"26"))</f>
        <v>JWTCM26321</v>
      </c>
      <c r="I297" s="32" t="n">
        <f aca="false">IFERROR(INDEX(전년출고참조!$B$4:$B$638,MATCH($H297,전년출고참조!$A$4:$A$638,0)),"")</f>
        <v>46037</v>
      </c>
      <c r="J297" s="32" t="n">
        <v>46437</v>
      </c>
      <c r="K297" s="32" t="n">
        <f aca="false">IF($G297&lt;&gt;"",IFERROR(DATE(IF(VALUE(LEFT($G297,FIND("월",$G297)-1))&gt;=9,기준정보!$C$6-1,기준정보!$C$6),VALUE(LEFT($G297,FIND("월",$G297)-1)),1+7*(VALUE(SUBSTITUTE(MID($G297,FIND("월",$G297)+1,5),"주",""))-1)),""),IF($I297&lt;&gt;"",IF(ISNUMBER($I297),$I297+364,IFERROR(DATE(IF(VALUE(LEFT($I297,FIND("월",$I297)-1))&gt;=9,기준정보!$C$6-1,기준정보!$C$6),VALUE(LEFT($I297,FIND("월",$I297)-1)),1+7*(VALUE(SUBSTITUTE(MID($I297,FIND("월",$I297)+1,5),"주",""))-1)),"")),IF($J297&lt;&gt;"",$J297,"")))</f>
        <v>46401</v>
      </c>
      <c r="L297" s="28" t="str">
        <f aca="false">IF($G297&lt;&gt;"","계획 주차",IF($I297&lt;&gt;"","전년+1년 예측",IF($J297&lt;&gt;"","전산 입고계획(참고)","미정")))</f>
        <v>전년+1년 예측</v>
      </c>
      <c r="M297" s="32" t="n">
        <f aca="false">IF($K297="","",$K297-기준정보!$C$5)</f>
        <v>46311</v>
      </c>
      <c r="N297" s="33" t="n">
        <f aca="false">IF($M297="","",$M297-기준정보!$C$4)</f>
        <v>70</v>
      </c>
      <c r="O297" s="31" t="s">
        <v>108</v>
      </c>
      <c r="P297" s="20"/>
      <c r="Q297" s="30" t="str">
        <f aca="false">IF($F297="","",IF(AND(ISNUMBER(SEARCH("CMT",$F297)),OR(ISNUMBER(SEARCH("사입",$F297)),ISNUMBER(SEARCH("Buying",$F297)))),"본사/생산처 혼재",IF(ISNUMBER(SEARCH("CMT",$F297)),"본사(소재팀)","생산처")))</f>
        <v>생산처</v>
      </c>
      <c r="R297" s="29" t="s">
        <v>123</v>
      </c>
      <c r="S297" s="29" t="s">
        <v>120</v>
      </c>
      <c r="T297" s="30" t="str">
        <f aca="false">IF($K297="","출고일 미정",IF($O297="X","작지(일매) 미등록",IF($O297="부분","작지(일매) 일부 미등록",IF(AND($P297&lt;&gt;"",$P297&gt;$M297),"소재입고 마감("&amp;TEXT($M297,"MM/DD")&amp;") 초과",IF($O297="","일매 등록여부 확인 필요",IF($P297="","소재 입고일정 확인 필요","정상"))))))</f>
        <v>소재 입고일정 확인 필요</v>
      </c>
      <c r="U297" s="28" t="str">
        <f aca="false">IF($K297="","",IF(OR(LEFT($T297,2)="작지",LEFT($T297,4)="소재입고"),IF(LEFT($E297,1)="S","★ 납기위험(S코드)","◆ 지연주의"),IF($T297="정상","✓ 정상","? 확인필요")))</f>
        <v>? 확인필요</v>
      </c>
      <c r="V297" s="31"/>
      <c r="W297" s="19"/>
    </row>
    <row r="298" customFormat="false" ht="15" hidden="false" customHeight="true" outlineLevel="0" collapsed="false">
      <c r="A298" s="28" t="n">
        <v>294</v>
      </c>
      <c r="B298" s="29" t="s">
        <v>218</v>
      </c>
      <c r="C298" s="30" t="s">
        <v>724</v>
      </c>
      <c r="D298" s="29" t="s">
        <v>725</v>
      </c>
      <c r="E298" s="28" t="str">
        <f aca="false">IF($C298="","",IF(MID($C298,5,1)="S","S(봄)",IF(MID($C298,5,1)="M","M(여름)",IF(MID($C298,5,1)="X","X(사계절)",MID($C298,5,1)))))</f>
        <v>M(여름)</v>
      </c>
      <c r="F298" s="29" t="s">
        <v>106</v>
      </c>
      <c r="G298" s="31"/>
      <c r="H298" s="28" t="str">
        <f aca="false">IF($C298="","",REPLACE($C298,6,2,"26"))</f>
        <v>JWVAM26301</v>
      </c>
      <c r="I298" s="32" t="str">
        <f aca="false">IFERROR(INDEX(전년출고참조!$B$4:$B$638,MATCH($H298,전년출고참조!$A$4:$A$638,0)),"")</f>
        <v/>
      </c>
      <c r="J298" s="32" t="n">
        <v>46437</v>
      </c>
      <c r="K298" s="32" t="n">
        <f aca="false">IF($G298&lt;&gt;"",IFERROR(DATE(IF(VALUE(LEFT($G298,FIND("월",$G298)-1))&gt;=9,기준정보!$C$6-1,기준정보!$C$6),VALUE(LEFT($G298,FIND("월",$G298)-1)),1+7*(VALUE(SUBSTITUTE(MID($G298,FIND("월",$G298)+1,5),"주",""))-1)),""),IF($I298&lt;&gt;"",IF(ISNUMBER($I298),$I298+364,IFERROR(DATE(IF(VALUE(LEFT($I298,FIND("월",$I298)-1))&gt;=9,기준정보!$C$6-1,기준정보!$C$6),VALUE(LEFT($I298,FIND("월",$I298)-1)),1+7*(VALUE(SUBSTITUTE(MID($I298,FIND("월",$I298)+1,5),"주",""))-1)),"")),IF($J298&lt;&gt;"",$J298,"")))</f>
        <v>46437</v>
      </c>
      <c r="L298" s="28" t="str">
        <f aca="false">IF($G298&lt;&gt;"","계획 주차",IF($I298&lt;&gt;"","전년+1년 예측",IF($J298&lt;&gt;"","전산 입고계획(참고)","미정")))</f>
        <v>전산 입고계획(참고)</v>
      </c>
      <c r="M298" s="32" t="n">
        <f aca="false">IF($K298="","",$K298-기준정보!$C$5)</f>
        <v>46347</v>
      </c>
      <c r="N298" s="33" t="n">
        <f aca="false">IF($M298="","",$M298-기준정보!$C$4)</f>
        <v>106</v>
      </c>
      <c r="O298" s="31" t="s">
        <v>108</v>
      </c>
      <c r="P298" s="20"/>
      <c r="Q298" s="30" t="str">
        <f aca="false">IF($F298="","",IF(AND(ISNUMBER(SEARCH("CMT",$F298)),OR(ISNUMBER(SEARCH("사입",$F298)),ISNUMBER(SEARCH("Buying",$F298)))),"본사/생산처 혼재",IF(ISNUMBER(SEARCH("CMT",$F298)),"본사(소재팀)","생산처")))</f>
        <v>생산처</v>
      </c>
      <c r="R298" s="29" t="s">
        <v>123</v>
      </c>
      <c r="S298" s="29" t="s">
        <v>120</v>
      </c>
      <c r="T298" s="30" t="str">
        <f aca="false">IF($K298="","출고일 미정",IF($O298="X","작지(일매) 미등록",IF($O298="부분","작지(일매) 일부 미등록",IF(AND($P298&lt;&gt;"",$P298&gt;$M298),"소재입고 마감("&amp;TEXT($M298,"MM/DD")&amp;") 초과",IF($O298="","일매 등록여부 확인 필요",IF($P298="","소재 입고일정 확인 필요","정상"))))))</f>
        <v>소재 입고일정 확인 필요</v>
      </c>
      <c r="U298" s="28" t="str">
        <f aca="false">IF($K298="","",IF(OR(LEFT($T298,2)="작지",LEFT($T298,4)="소재입고"),IF(LEFT($E298,1)="S","★ 납기위험(S코드)","◆ 지연주의"),IF($T298="정상","✓ 정상","? 확인필요")))</f>
        <v>? 확인필요</v>
      </c>
      <c r="V298" s="31"/>
      <c r="W298" s="19"/>
    </row>
    <row r="299" customFormat="false" ht="15" hidden="false" customHeight="true" outlineLevel="0" collapsed="false">
      <c r="A299" s="28" t="n">
        <v>295</v>
      </c>
      <c r="B299" s="29" t="s">
        <v>218</v>
      </c>
      <c r="C299" s="30" t="s">
        <v>726</v>
      </c>
      <c r="D299" s="29" t="s">
        <v>727</v>
      </c>
      <c r="E299" s="28" t="str">
        <f aca="false">IF($C299="","",IF(MID($C299,5,1)="S","S(봄)",IF(MID($C299,5,1)="M","M(여름)",IF(MID($C299,5,1)="X","X(사계절)",MID($C299,5,1)))))</f>
        <v>M(여름)</v>
      </c>
      <c r="F299" s="30" t="s">
        <v>141</v>
      </c>
      <c r="G299" s="31"/>
      <c r="H299" s="28" t="str">
        <f aca="false">IF($C299="","",REPLACE($C299,6,2,"26"))</f>
        <v>JWVAM26371</v>
      </c>
      <c r="I299" s="32" t="str">
        <f aca="false">IFERROR(INDEX(전년출고참조!$B$4:$B$638,MATCH($H299,전년출고참조!$A$4:$A$638,0)),"")</f>
        <v/>
      </c>
      <c r="J299" s="32" t="n">
        <v>46437</v>
      </c>
      <c r="K299" s="32" t="n">
        <f aca="false">IF($G299&lt;&gt;"",IFERROR(DATE(IF(VALUE(LEFT($G299,FIND("월",$G299)-1))&gt;=9,기준정보!$C$6-1,기준정보!$C$6),VALUE(LEFT($G299,FIND("월",$G299)-1)),1+7*(VALUE(SUBSTITUTE(MID($G299,FIND("월",$G299)+1,5),"주",""))-1)),""),IF($I299&lt;&gt;"",IF(ISNUMBER($I299),$I299+364,IFERROR(DATE(IF(VALUE(LEFT($I299,FIND("월",$I299)-1))&gt;=9,기준정보!$C$6-1,기준정보!$C$6),VALUE(LEFT($I299,FIND("월",$I299)-1)),1+7*(VALUE(SUBSTITUTE(MID($I299,FIND("월",$I299)+1,5),"주",""))-1)),"")),IF($J299&lt;&gt;"",$J299,"")))</f>
        <v>46437</v>
      </c>
      <c r="L299" s="28" t="str">
        <f aca="false">IF($G299&lt;&gt;"","계획 주차",IF($I299&lt;&gt;"","전년+1년 예측",IF($J299&lt;&gt;"","전산 입고계획(참고)","미정")))</f>
        <v>전산 입고계획(참고)</v>
      </c>
      <c r="M299" s="32" t="n">
        <f aca="false">IF($K299="","",$K299-기준정보!$C$5)</f>
        <v>46347</v>
      </c>
      <c r="N299" s="33" t="n">
        <f aca="false">IF($M299="","",$M299-기준정보!$C$4)</f>
        <v>106</v>
      </c>
      <c r="O299" s="31" t="s">
        <v>108</v>
      </c>
      <c r="P299" s="20"/>
      <c r="Q299" s="30" t="str">
        <f aca="false">IF($F299="","",IF(AND(ISNUMBER(SEARCH("CMT",$F299)),OR(ISNUMBER(SEARCH("사입",$F299)),ISNUMBER(SEARCH("Buying",$F299)))),"본사/생산처 혼재",IF(ISNUMBER(SEARCH("CMT",$F299)),"본사(소재팀)","생산처")))</f>
        <v>본사(소재팀)</v>
      </c>
      <c r="R299" s="29" t="s">
        <v>109</v>
      </c>
      <c r="S299" s="29" t="s">
        <v>110</v>
      </c>
      <c r="T299" s="30" t="str">
        <f aca="false">IF($K299="","출고일 미정",IF($O299="X","작지(일매) 미등록",IF($O299="부분","작지(일매) 일부 미등록",IF(AND($P299&lt;&gt;"",$P299&gt;$M299),"소재입고 마감("&amp;TEXT($M299,"MM/DD")&amp;") 초과",IF($O299="","일매 등록여부 확인 필요",IF($P299="","소재 입고일정 확인 필요","정상"))))))</f>
        <v>소재 입고일정 확인 필요</v>
      </c>
      <c r="U299" s="28" t="str">
        <f aca="false">IF($K299="","",IF(OR(LEFT($T299,2)="작지",LEFT($T299,4)="소재입고"),IF(LEFT($E299,1)="S","★ 납기위험(S코드)","◆ 지연주의"),IF($T299="정상","✓ 정상","? 확인필요")))</f>
        <v>? 확인필요</v>
      </c>
      <c r="V299" s="31"/>
      <c r="W299" s="19"/>
    </row>
    <row r="300" customFormat="false" ht="15" hidden="false" customHeight="true" outlineLevel="0" collapsed="false">
      <c r="A300" s="28" t="n">
        <v>296</v>
      </c>
      <c r="B300" s="29" t="s">
        <v>294</v>
      </c>
      <c r="C300" s="30" t="s">
        <v>728</v>
      </c>
      <c r="D300" s="29" t="s">
        <v>729</v>
      </c>
      <c r="E300" s="28" t="str">
        <f aca="false">IF($C300="","",IF(MID($C300,5,1)="S","S(봄)",IF(MID($C300,5,1)="M","M(여름)",IF(MID($C300,5,1)="X","X(사계절)",MID($C300,5,1)))))</f>
        <v>M(여름)</v>
      </c>
      <c r="F300" s="30" t="s">
        <v>113</v>
      </c>
      <c r="G300" s="31"/>
      <c r="H300" s="28" t="str">
        <f aca="false">IF($C300="","",REPLACE($C300,6,2,"26"))</f>
        <v>TLTCM26521</v>
      </c>
      <c r="I300" s="32" t="n">
        <f aca="false">IFERROR(INDEX(전년출고참조!$B$4:$B$638,MATCH($H300,전년출고참조!$A$4:$A$638,0)),"")</f>
        <v>46034</v>
      </c>
      <c r="J300" s="32" t="n">
        <v>46438</v>
      </c>
      <c r="K300" s="32" t="n">
        <f aca="false">IF($G300&lt;&gt;"",IFERROR(DATE(IF(VALUE(LEFT($G300,FIND("월",$G300)-1))&gt;=9,기준정보!$C$6-1,기준정보!$C$6),VALUE(LEFT($G300,FIND("월",$G300)-1)),1+7*(VALUE(SUBSTITUTE(MID($G300,FIND("월",$G300)+1,5),"주",""))-1)),""),IF($I300&lt;&gt;"",IF(ISNUMBER($I300),$I300+364,IFERROR(DATE(IF(VALUE(LEFT($I300,FIND("월",$I300)-1))&gt;=9,기준정보!$C$6-1,기준정보!$C$6),VALUE(LEFT($I300,FIND("월",$I300)-1)),1+7*(VALUE(SUBSTITUTE(MID($I300,FIND("월",$I300)+1,5),"주",""))-1)),"")),IF($J300&lt;&gt;"",$J300,"")))</f>
        <v>46398</v>
      </c>
      <c r="L300" s="28" t="str">
        <f aca="false">IF($G300&lt;&gt;"","계획 주차",IF($I300&lt;&gt;"","전년+1년 예측",IF($J300&lt;&gt;"","전산 입고계획(참고)","미정")))</f>
        <v>전년+1년 예측</v>
      </c>
      <c r="M300" s="32" t="n">
        <f aca="false">IF($K300="","",$K300-기준정보!$C$5)</f>
        <v>46308</v>
      </c>
      <c r="N300" s="33" t="n">
        <f aca="false">IF($M300="","",$M300-기준정보!$C$4)</f>
        <v>67</v>
      </c>
      <c r="O300" s="31" t="s">
        <v>114</v>
      </c>
      <c r="P300" s="20"/>
      <c r="Q300" s="30" t="str">
        <f aca="false">IF($F300="","",IF(AND(ISNUMBER(SEARCH("CMT",$F300)),OR(ISNUMBER(SEARCH("사입",$F300)),ISNUMBER(SEARCH("Buying",$F300)))),"본사/생산처 혼재",IF(ISNUMBER(SEARCH("CMT",$F300)),"본사(소재팀)","생산처")))</f>
        <v>생산처</v>
      </c>
      <c r="R300" s="29" t="s">
        <v>123</v>
      </c>
      <c r="S300" s="29" t="s">
        <v>120</v>
      </c>
      <c r="T300" s="30" t="str">
        <f aca="false">IF($K300="","출고일 미정",IF($O300="X","작지(일매) 미등록",IF($O300="부분","작지(일매) 일부 미등록",IF(AND($P300&lt;&gt;"",$P300&gt;$M300),"소재입고 마감("&amp;TEXT($M300,"MM/DD")&amp;") 초과",IF($O300="","일매 등록여부 확인 필요",IF($P300="","소재 입고일정 확인 필요","정상"))))))</f>
        <v>작지(일매) 미등록</v>
      </c>
      <c r="U300" s="28" t="str">
        <f aca="false">IF($K300="","",IF(OR(LEFT($T300,2)="작지",LEFT($T300,4)="소재입고"),IF(LEFT($E300,1)="S","★ 납기위험(S코드)","◆ 지연주의"),IF($T300="정상","✓ 정상","? 확인필요")))</f>
        <v>◆ 지연주의</v>
      </c>
      <c r="V300" s="31"/>
      <c r="W300" s="19"/>
    </row>
    <row r="301" customFormat="false" ht="15" hidden="false" customHeight="true" outlineLevel="0" collapsed="false">
      <c r="A301" s="28" t="n">
        <v>297</v>
      </c>
      <c r="B301" s="29" t="s">
        <v>294</v>
      </c>
      <c r="C301" s="30" t="s">
        <v>730</v>
      </c>
      <c r="D301" s="29" t="s">
        <v>731</v>
      </c>
      <c r="E301" s="28" t="str">
        <f aca="false">IF($C301="","",IF(MID($C301,5,1)="S","S(봄)",IF(MID($C301,5,1)="M","M(여름)",IF(MID($C301,5,1)="X","X(사계절)",MID($C301,5,1)))))</f>
        <v>M(여름)</v>
      </c>
      <c r="F301" s="29" t="s">
        <v>106</v>
      </c>
      <c r="G301" s="31"/>
      <c r="H301" s="28" t="str">
        <f aca="false">IF($C301="","",REPLACE($C301,6,2,"26"))</f>
        <v>TLSXM26551</v>
      </c>
      <c r="I301" s="32" t="str">
        <f aca="false">IFERROR(INDEX(전년출고참조!$B$4:$B$638,MATCH($H301,전년출고참조!$A$4:$A$638,0)),"")</f>
        <v/>
      </c>
      <c r="J301" s="32" t="n">
        <v>46440</v>
      </c>
      <c r="K301" s="32" t="n">
        <f aca="false">IF($G301&lt;&gt;"",IFERROR(DATE(IF(VALUE(LEFT($G301,FIND("월",$G301)-1))&gt;=9,기준정보!$C$6-1,기준정보!$C$6),VALUE(LEFT($G301,FIND("월",$G301)-1)),1+7*(VALUE(SUBSTITUTE(MID($G301,FIND("월",$G301)+1,5),"주",""))-1)),""),IF($I301&lt;&gt;"",IF(ISNUMBER($I301),$I301+364,IFERROR(DATE(IF(VALUE(LEFT($I301,FIND("월",$I301)-1))&gt;=9,기준정보!$C$6-1,기준정보!$C$6),VALUE(LEFT($I301,FIND("월",$I301)-1)),1+7*(VALUE(SUBSTITUTE(MID($I301,FIND("월",$I301)+1,5),"주",""))-1)),"")),IF($J301&lt;&gt;"",$J301,"")))</f>
        <v>46440</v>
      </c>
      <c r="L301" s="28" t="str">
        <f aca="false">IF($G301&lt;&gt;"","계획 주차",IF($I301&lt;&gt;"","전년+1년 예측",IF($J301&lt;&gt;"","전산 입고계획(참고)","미정")))</f>
        <v>전산 입고계획(참고)</v>
      </c>
      <c r="M301" s="32" t="n">
        <f aca="false">IF($K301="","",$K301-기준정보!$C$5)</f>
        <v>46350</v>
      </c>
      <c r="N301" s="33" t="n">
        <f aca="false">IF($M301="","",$M301-기준정보!$C$4)</f>
        <v>109</v>
      </c>
      <c r="O301" s="31" t="s">
        <v>108</v>
      </c>
      <c r="P301" s="20"/>
      <c r="Q301" s="30" t="str">
        <f aca="false">IF($F301="","",IF(AND(ISNUMBER(SEARCH("CMT",$F301)),OR(ISNUMBER(SEARCH("사입",$F301)),ISNUMBER(SEARCH("Buying",$F301)))),"본사/생산처 혼재",IF(ISNUMBER(SEARCH("CMT",$F301)),"본사(소재팀)","생산처")))</f>
        <v>생산처</v>
      </c>
      <c r="R301" s="29" t="s">
        <v>377</v>
      </c>
      <c r="S301" s="29" t="s">
        <v>110</v>
      </c>
      <c r="T301" s="30" t="str">
        <f aca="false">IF($K301="","출고일 미정",IF($O301="X","작지(일매) 미등록",IF($O301="부분","작지(일매) 일부 미등록",IF(AND($P301&lt;&gt;"",$P301&gt;$M301),"소재입고 마감("&amp;TEXT($M301,"MM/DD")&amp;") 초과",IF($O301="","일매 등록여부 확인 필요",IF($P301="","소재 입고일정 확인 필요","정상"))))))</f>
        <v>소재 입고일정 확인 필요</v>
      </c>
      <c r="U301" s="28" t="str">
        <f aca="false">IF($K301="","",IF(OR(LEFT($T301,2)="작지",LEFT($T301,4)="소재입고"),IF(LEFT($E301,1)="S","★ 납기위험(S코드)","◆ 지연주의"),IF($T301="정상","✓ 정상","? 확인필요")))</f>
        <v>? 확인필요</v>
      </c>
      <c r="V301" s="31"/>
      <c r="W301" s="19"/>
    </row>
    <row r="302" customFormat="false" ht="15" hidden="false" customHeight="true" outlineLevel="0" collapsed="false">
      <c r="A302" s="28" t="n">
        <v>298</v>
      </c>
      <c r="B302" s="29" t="s">
        <v>294</v>
      </c>
      <c r="C302" s="30" t="s">
        <v>732</v>
      </c>
      <c r="D302" s="29" t="s">
        <v>733</v>
      </c>
      <c r="E302" s="28" t="str">
        <f aca="false">IF($C302="","",IF(MID($C302,5,1)="S","S(봄)",IF(MID($C302,5,1)="M","M(여름)",IF(MID($C302,5,1)="X","X(사계절)",MID($C302,5,1)))))</f>
        <v>M(여름)</v>
      </c>
      <c r="F302" s="29" t="s">
        <v>106</v>
      </c>
      <c r="G302" s="31"/>
      <c r="H302" s="28" t="str">
        <f aca="false">IF($C302="","",REPLACE($C302,6,2,"26"))</f>
        <v>TLTCM26523</v>
      </c>
      <c r="I302" s="32" t="str">
        <f aca="false">IFERROR(INDEX(전년출고참조!$B$4:$B$638,MATCH($H302,전년출고참조!$A$4:$A$638,0)),"")</f>
        <v/>
      </c>
      <c r="J302" s="32" t="n">
        <v>46440</v>
      </c>
      <c r="K302" s="32" t="n">
        <f aca="false">IF($G302&lt;&gt;"",IFERROR(DATE(IF(VALUE(LEFT($G302,FIND("월",$G302)-1))&gt;=9,기준정보!$C$6-1,기준정보!$C$6),VALUE(LEFT($G302,FIND("월",$G302)-1)),1+7*(VALUE(SUBSTITUTE(MID($G302,FIND("월",$G302)+1,5),"주",""))-1)),""),IF($I302&lt;&gt;"",IF(ISNUMBER($I302),$I302+364,IFERROR(DATE(IF(VALUE(LEFT($I302,FIND("월",$I302)-1))&gt;=9,기준정보!$C$6-1,기준정보!$C$6),VALUE(LEFT($I302,FIND("월",$I302)-1)),1+7*(VALUE(SUBSTITUTE(MID($I302,FIND("월",$I302)+1,5),"주",""))-1)),"")),IF($J302&lt;&gt;"",$J302,"")))</f>
        <v>46440</v>
      </c>
      <c r="L302" s="28" t="str">
        <f aca="false">IF($G302&lt;&gt;"","계획 주차",IF($I302&lt;&gt;"","전년+1년 예측",IF($J302&lt;&gt;"","전산 입고계획(참고)","미정")))</f>
        <v>전산 입고계획(참고)</v>
      </c>
      <c r="M302" s="32" t="n">
        <f aca="false">IF($K302="","",$K302-기준정보!$C$5)</f>
        <v>46350</v>
      </c>
      <c r="N302" s="33" t="n">
        <f aca="false">IF($M302="","",$M302-기준정보!$C$4)</f>
        <v>109</v>
      </c>
      <c r="O302" s="31" t="s">
        <v>108</v>
      </c>
      <c r="P302" s="20"/>
      <c r="Q302" s="30" t="str">
        <f aca="false">IF($F302="","",IF(AND(ISNUMBER(SEARCH("CMT",$F302)),OR(ISNUMBER(SEARCH("사입",$F302)),ISNUMBER(SEARCH("Buying",$F302)))),"본사/생산처 혼재",IF(ISNUMBER(SEARCH("CMT",$F302)),"본사(소재팀)","생산처")))</f>
        <v>생산처</v>
      </c>
      <c r="R302" s="29" t="s">
        <v>123</v>
      </c>
      <c r="S302" s="29" t="s">
        <v>120</v>
      </c>
      <c r="T302" s="30" t="str">
        <f aca="false">IF($K302="","출고일 미정",IF($O302="X","작지(일매) 미등록",IF($O302="부분","작지(일매) 일부 미등록",IF(AND($P302&lt;&gt;"",$P302&gt;$M302),"소재입고 마감("&amp;TEXT($M302,"MM/DD")&amp;") 초과",IF($O302="","일매 등록여부 확인 필요",IF($P302="","소재 입고일정 확인 필요","정상"))))))</f>
        <v>소재 입고일정 확인 필요</v>
      </c>
      <c r="U302" s="28" t="str">
        <f aca="false">IF($K302="","",IF(OR(LEFT($T302,2)="작지",LEFT($T302,4)="소재입고"),IF(LEFT($E302,1)="S","★ 납기위험(S코드)","◆ 지연주의"),IF($T302="정상","✓ 정상","? 확인필요")))</f>
        <v>? 확인필요</v>
      </c>
      <c r="V302" s="31"/>
      <c r="W302" s="19"/>
    </row>
    <row r="303" customFormat="false" ht="15" hidden="false" customHeight="true" outlineLevel="0" collapsed="false">
      <c r="A303" s="28" t="n">
        <v>299</v>
      </c>
      <c r="B303" s="29" t="s">
        <v>294</v>
      </c>
      <c r="C303" s="30" t="s">
        <v>734</v>
      </c>
      <c r="D303" s="29" t="s">
        <v>735</v>
      </c>
      <c r="E303" s="28" t="str">
        <f aca="false">IF($C303="","",IF(MID($C303,5,1)="S","S(봄)",IF(MID($C303,5,1)="M","M(여름)",IF(MID($C303,5,1)="X","X(사계절)",MID($C303,5,1)))))</f>
        <v>M(여름)</v>
      </c>
      <c r="F303" s="29" t="s">
        <v>106</v>
      </c>
      <c r="G303" s="31"/>
      <c r="H303" s="28" t="str">
        <f aca="false">IF($C303="","",REPLACE($C303,6,2,"26"))</f>
        <v>TLTCM26561</v>
      </c>
      <c r="I303" s="32" t="str">
        <f aca="false">IFERROR(INDEX(전년출고참조!$B$4:$B$638,MATCH($H303,전년출고참조!$A$4:$A$638,0)),"")</f>
        <v/>
      </c>
      <c r="J303" s="32" t="n">
        <v>46440</v>
      </c>
      <c r="K303" s="32" t="n">
        <f aca="false">IF($G303&lt;&gt;"",IFERROR(DATE(IF(VALUE(LEFT($G303,FIND("월",$G303)-1))&gt;=9,기준정보!$C$6-1,기준정보!$C$6),VALUE(LEFT($G303,FIND("월",$G303)-1)),1+7*(VALUE(SUBSTITUTE(MID($G303,FIND("월",$G303)+1,5),"주",""))-1)),""),IF($I303&lt;&gt;"",IF(ISNUMBER($I303),$I303+364,IFERROR(DATE(IF(VALUE(LEFT($I303,FIND("월",$I303)-1))&gt;=9,기준정보!$C$6-1,기준정보!$C$6),VALUE(LEFT($I303,FIND("월",$I303)-1)),1+7*(VALUE(SUBSTITUTE(MID($I303,FIND("월",$I303)+1,5),"주",""))-1)),"")),IF($J303&lt;&gt;"",$J303,"")))</f>
        <v>46440</v>
      </c>
      <c r="L303" s="28" t="str">
        <f aca="false">IF($G303&lt;&gt;"","계획 주차",IF($I303&lt;&gt;"","전년+1년 예측",IF($J303&lt;&gt;"","전산 입고계획(참고)","미정")))</f>
        <v>전산 입고계획(참고)</v>
      </c>
      <c r="M303" s="32" t="n">
        <f aca="false">IF($K303="","",$K303-기준정보!$C$5)</f>
        <v>46350</v>
      </c>
      <c r="N303" s="33" t="n">
        <f aca="false">IF($M303="","",$M303-기준정보!$C$4)</f>
        <v>109</v>
      </c>
      <c r="O303" s="31" t="s">
        <v>114</v>
      </c>
      <c r="P303" s="20"/>
      <c r="Q303" s="30" t="str">
        <f aca="false">IF($F303="","",IF(AND(ISNUMBER(SEARCH("CMT",$F303)),OR(ISNUMBER(SEARCH("사입",$F303)),ISNUMBER(SEARCH("Buying",$F303)))),"본사/생산처 혼재",IF(ISNUMBER(SEARCH("CMT",$F303)),"본사(소재팀)","생산처")))</f>
        <v>생산처</v>
      </c>
      <c r="R303" s="29" t="s">
        <v>123</v>
      </c>
      <c r="S303" s="29" t="s">
        <v>120</v>
      </c>
      <c r="T303" s="30" t="str">
        <f aca="false">IF($K303="","출고일 미정",IF($O303="X","작지(일매) 미등록",IF($O303="부분","작지(일매) 일부 미등록",IF(AND($P303&lt;&gt;"",$P303&gt;$M303),"소재입고 마감("&amp;TEXT($M303,"MM/DD")&amp;") 초과",IF($O303="","일매 등록여부 확인 필요",IF($P303="","소재 입고일정 확인 필요","정상"))))))</f>
        <v>작지(일매) 미등록</v>
      </c>
      <c r="U303" s="28" t="str">
        <f aca="false">IF($K303="","",IF(OR(LEFT($T303,2)="작지",LEFT($T303,4)="소재입고"),IF(LEFT($E303,1)="S","★ 납기위험(S코드)","◆ 지연주의"),IF($T303="정상","✓ 정상","? 확인필요")))</f>
        <v>◆ 지연주의</v>
      </c>
      <c r="V303" s="31"/>
      <c r="W303" s="19"/>
    </row>
    <row r="304" customFormat="false" ht="15" hidden="false" customHeight="true" outlineLevel="0" collapsed="false">
      <c r="A304" s="28" t="n">
        <v>300</v>
      </c>
      <c r="B304" s="29" t="s">
        <v>294</v>
      </c>
      <c r="C304" s="30" t="s">
        <v>736</v>
      </c>
      <c r="D304" s="29" t="s">
        <v>737</v>
      </c>
      <c r="E304" s="28" t="str">
        <f aca="false">IF($C304="","",IF(MID($C304,5,1)="S","S(봄)",IF(MID($C304,5,1)="M","M(여름)",IF(MID($C304,5,1)="X","X(사계절)",MID($C304,5,1)))))</f>
        <v>M(여름)</v>
      </c>
      <c r="F304" s="30" t="s">
        <v>113</v>
      </c>
      <c r="G304" s="31"/>
      <c r="H304" s="28" t="str">
        <f aca="false">IF($C304="","",REPLACE($C304,6,2,"26"))</f>
        <v>TVTCM26502</v>
      </c>
      <c r="I304" s="32" t="str">
        <f aca="false">IFERROR(INDEX(전년출고참조!$B$4:$B$638,MATCH($H304,전년출고참조!$A$4:$A$638,0)),"")</f>
        <v/>
      </c>
      <c r="J304" s="32" t="n">
        <v>46440</v>
      </c>
      <c r="K304" s="32" t="n">
        <f aca="false">IF($G304&lt;&gt;"",IFERROR(DATE(IF(VALUE(LEFT($G304,FIND("월",$G304)-1))&gt;=9,기준정보!$C$6-1,기준정보!$C$6),VALUE(LEFT($G304,FIND("월",$G304)-1)),1+7*(VALUE(SUBSTITUTE(MID($G304,FIND("월",$G304)+1,5),"주",""))-1)),""),IF($I304&lt;&gt;"",IF(ISNUMBER($I304),$I304+364,IFERROR(DATE(IF(VALUE(LEFT($I304,FIND("월",$I304)-1))&gt;=9,기준정보!$C$6-1,기준정보!$C$6),VALUE(LEFT($I304,FIND("월",$I304)-1)),1+7*(VALUE(SUBSTITUTE(MID($I304,FIND("월",$I304)+1,5),"주",""))-1)),"")),IF($J304&lt;&gt;"",$J304,"")))</f>
        <v>46440</v>
      </c>
      <c r="L304" s="28" t="str">
        <f aca="false">IF($G304&lt;&gt;"","계획 주차",IF($I304&lt;&gt;"","전년+1년 예측",IF($J304&lt;&gt;"","전산 입고계획(참고)","미정")))</f>
        <v>전산 입고계획(참고)</v>
      </c>
      <c r="M304" s="32" t="n">
        <f aca="false">IF($K304="","",$K304-기준정보!$C$5)</f>
        <v>46350</v>
      </c>
      <c r="N304" s="33" t="n">
        <f aca="false">IF($M304="","",$M304-기준정보!$C$4)</f>
        <v>109</v>
      </c>
      <c r="O304" s="31" t="s">
        <v>114</v>
      </c>
      <c r="P304" s="20"/>
      <c r="Q304" s="30" t="str">
        <f aca="false">IF($F304="","",IF(AND(ISNUMBER(SEARCH("CMT",$F304)),OR(ISNUMBER(SEARCH("사입",$F304)),ISNUMBER(SEARCH("Buying",$F304)))),"본사/생산처 혼재",IF(ISNUMBER(SEARCH("CMT",$F304)),"본사(소재팀)","생산처")))</f>
        <v>생산처</v>
      </c>
      <c r="R304" s="29" t="s">
        <v>123</v>
      </c>
      <c r="S304" s="29" t="s">
        <v>195</v>
      </c>
      <c r="T304" s="30" t="str">
        <f aca="false">IF($K304="","출고일 미정",IF($O304="X","작지(일매) 미등록",IF($O304="부분","작지(일매) 일부 미등록",IF(AND($P304&lt;&gt;"",$P304&gt;$M304),"소재입고 마감("&amp;TEXT($M304,"MM/DD")&amp;") 초과",IF($O304="","일매 등록여부 확인 필요",IF($P304="","소재 입고일정 확인 필요","정상"))))))</f>
        <v>작지(일매) 미등록</v>
      </c>
      <c r="U304" s="28" t="str">
        <f aca="false">IF($K304="","",IF(OR(LEFT($T304,2)="작지",LEFT($T304,4)="소재입고"),IF(LEFT($E304,1)="S","★ 납기위험(S코드)","◆ 지연주의"),IF($T304="정상","✓ 정상","? 확인필요")))</f>
        <v>◆ 지연주의</v>
      </c>
      <c r="V304" s="31"/>
      <c r="W304" s="19"/>
    </row>
    <row r="305" customFormat="false" ht="15" hidden="false" customHeight="true" outlineLevel="0" collapsed="false">
      <c r="A305" s="28" t="n">
        <v>301</v>
      </c>
      <c r="B305" s="29" t="s">
        <v>294</v>
      </c>
      <c r="C305" s="30" t="s">
        <v>738</v>
      </c>
      <c r="D305" s="29" t="s">
        <v>739</v>
      </c>
      <c r="E305" s="28" t="str">
        <f aca="false">IF($C305="","",IF(MID($C305,5,1)="S","S(봄)",IF(MID($C305,5,1)="M","M(여름)",IF(MID($C305,5,1)="X","X(사계절)",MID($C305,5,1)))))</f>
        <v>M(여름)</v>
      </c>
      <c r="F305" s="30" t="s">
        <v>113</v>
      </c>
      <c r="G305" s="31"/>
      <c r="H305" s="28" t="str">
        <f aca="false">IF($C305="","",REPLACE($C305,6,2,"26"))</f>
        <v>TVTCM26506</v>
      </c>
      <c r="I305" s="32" t="str">
        <f aca="false">IFERROR(INDEX(전년출고참조!$B$4:$B$638,MATCH($H305,전년출고참조!$A$4:$A$638,0)),"")</f>
        <v/>
      </c>
      <c r="J305" s="32" t="n">
        <v>46440</v>
      </c>
      <c r="K305" s="32" t="n">
        <f aca="false">IF($G305&lt;&gt;"",IFERROR(DATE(IF(VALUE(LEFT($G305,FIND("월",$G305)-1))&gt;=9,기준정보!$C$6-1,기준정보!$C$6),VALUE(LEFT($G305,FIND("월",$G305)-1)),1+7*(VALUE(SUBSTITUTE(MID($G305,FIND("월",$G305)+1,5),"주",""))-1)),""),IF($I305&lt;&gt;"",IF(ISNUMBER($I305),$I305+364,IFERROR(DATE(IF(VALUE(LEFT($I305,FIND("월",$I305)-1))&gt;=9,기준정보!$C$6-1,기준정보!$C$6),VALUE(LEFT($I305,FIND("월",$I305)-1)),1+7*(VALUE(SUBSTITUTE(MID($I305,FIND("월",$I305)+1,5),"주",""))-1)),"")),IF($J305&lt;&gt;"",$J305,"")))</f>
        <v>46440</v>
      </c>
      <c r="L305" s="28" t="str">
        <f aca="false">IF($G305&lt;&gt;"","계획 주차",IF($I305&lt;&gt;"","전년+1년 예측",IF($J305&lt;&gt;"","전산 입고계획(참고)","미정")))</f>
        <v>전산 입고계획(참고)</v>
      </c>
      <c r="M305" s="32" t="n">
        <f aca="false">IF($K305="","",$K305-기준정보!$C$5)</f>
        <v>46350</v>
      </c>
      <c r="N305" s="33" t="n">
        <f aca="false">IF($M305="","",$M305-기준정보!$C$4)</f>
        <v>109</v>
      </c>
      <c r="O305" s="31" t="s">
        <v>114</v>
      </c>
      <c r="P305" s="20"/>
      <c r="Q305" s="30" t="str">
        <f aca="false">IF($F305="","",IF(AND(ISNUMBER(SEARCH("CMT",$F305)),OR(ISNUMBER(SEARCH("사입",$F305)),ISNUMBER(SEARCH("Buying",$F305)))),"본사/생산처 혼재",IF(ISNUMBER(SEARCH("CMT",$F305)),"본사(소재팀)","생산처")))</f>
        <v>생산처</v>
      </c>
      <c r="R305" s="29" t="s">
        <v>123</v>
      </c>
      <c r="S305" s="29" t="s">
        <v>120</v>
      </c>
      <c r="T305" s="30" t="str">
        <f aca="false">IF($K305="","출고일 미정",IF($O305="X","작지(일매) 미등록",IF($O305="부분","작지(일매) 일부 미등록",IF(AND($P305&lt;&gt;"",$P305&gt;$M305),"소재입고 마감("&amp;TEXT($M305,"MM/DD")&amp;") 초과",IF($O305="","일매 등록여부 확인 필요",IF($P305="","소재 입고일정 확인 필요","정상"))))))</f>
        <v>작지(일매) 미등록</v>
      </c>
      <c r="U305" s="28" t="str">
        <f aca="false">IF($K305="","",IF(OR(LEFT($T305,2)="작지",LEFT($T305,4)="소재입고"),IF(LEFT($E305,1)="S","★ 납기위험(S코드)","◆ 지연주의"),IF($T305="정상","✓ 정상","? 확인필요")))</f>
        <v>◆ 지연주의</v>
      </c>
      <c r="V305" s="31"/>
      <c r="W305" s="19"/>
    </row>
    <row r="306" customFormat="false" ht="15" hidden="false" customHeight="true" outlineLevel="0" collapsed="false">
      <c r="A306" s="28" t="n">
        <v>302</v>
      </c>
      <c r="B306" s="29" t="s">
        <v>294</v>
      </c>
      <c r="C306" s="30" t="s">
        <v>740</v>
      </c>
      <c r="D306" s="29" t="s">
        <v>741</v>
      </c>
      <c r="E306" s="28" t="str">
        <f aca="false">IF($C306="","",IF(MID($C306,5,1)="S","S(봄)",IF(MID($C306,5,1)="M","M(여름)",IF(MID($C306,5,1)="X","X(사계절)",MID($C306,5,1)))))</f>
        <v>M(여름)</v>
      </c>
      <c r="F306" s="29" t="s">
        <v>106</v>
      </c>
      <c r="G306" s="31"/>
      <c r="H306" s="28" t="str">
        <f aca="false">IF($C306="","",REPLACE($C306,6,2,"26"))</f>
        <v>TVTCM26508</v>
      </c>
      <c r="I306" s="32" t="str">
        <f aca="false">IFERROR(INDEX(전년출고참조!$B$4:$B$638,MATCH($H306,전년출고참조!$A$4:$A$638,0)),"")</f>
        <v/>
      </c>
      <c r="J306" s="32" t="n">
        <v>46440</v>
      </c>
      <c r="K306" s="32" t="n">
        <f aca="false">IF($G306&lt;&gt;"",IFERROR(DATE(IF(VALUE(LEFT($G306,FIND("월",$G306)-1))&gt;=9,기준정보!$C$6-1,기준정보!$C$6),VALUE(LEFT($G306,FIND("월",$G306)-1)),1+7*(VALUE(SUBSTITUTE(MID($G306,FIND("월",$G306)+1,5),"주",""))-1)),""),IF($I306&lt;&gt;"",IF(ISNUMBER($I306),$I306+364,IFERROR(DATE(IF(VALUE(LEFT($I306,FIND("월",$I306)-1))&gt;=9,기준정보!$C$6-1,기준정보!$C$6),VALUE(LEFT($I306,FIND("월",$I306)-1)),1+7*(VALUE(SUBSTITUTE(MID($I306,FIND("월",$I306)+1,5),"주",""))-1)),"")),IF($J306&lt;&gt;"",$J306,"")))</f>
        <v>46440</v>
      </c>
      <c r="L306" s="28" t="str">
        <f aca="false">IF($G306&lt;&gt;"","계획 주차",IF($I306&lt;&gt;"","전년+1년 예측",IF($J306&lt;&gt;"","전산 입고계획(참고)","미정")))</f>
        <v>전산 입고계획(참고)</v>
      </c>
      <c r="M306" s="32" t="n">
        <f aca="false">IF($K306="","",$K306-기준정보!$C$5)</f>
        <v>46350</v>
      </c>
      <c r="N306" s="33" t="n">
        <f aca="false">IF($M306="","",$M306-기준정보!$C$4)</f>
        <v>109</v>
      </c>
      <c r="O306" s="31" t="s">
        <v>114</v>
      </c>
      <c r="P306" s="20"/>
      <c r="Q306" s="30" t="str">
        <f aca="false">IF($F306="","",IF(AND(ISNUMBER(SEARCH("CMT",$F306)),OR(ISNUMBER(SEARCH("사입",$F306)),ISNUMBER(SEARCH("Buying",$F306)))),"본사/생산처 혼재",IF(ISNUMBER(SEARCH("CMT",$F306)),"본사(소재팀)","생산처")))</f>
        <v>생산처</v>
      </c>
      <c r="R306" s="29" t="s">
        <v>156</v>
      </c>
      <c r="S306" s="29" t="s">
        <v>110</v>
      </c>
      <c r="T306" s="30" t="str">
        <f aca="false">IF($K306="","출고일 미정",IF($O306="X","작지(일매) 미등록",IF($O306="부분","작지(일매) 일부 미등록",IF(AND($P306&lt;&gt;"",$P306&gt;$M306),"소재입고 마감("&amp;TEXT($M306,"MM/DD")&amp;") 초과",IF($O306="","일매 등록여부 확인 필요",IF($P306="","소재 입고일정 확인 필요","정상"))))))</f>
        <v>작지(일매) 미등록</v>
      </c>
      <c r="U306" s="28" t="str">
        <f aca="false">IF($K306="","",IF(OR(LEFT($T306,2)="작지",LEFT($T306,4)="소재입고"),IF(LEFT($E306,1)="S","★ 납기위험(S코드)","◆ 지연주의"),IF($T306="정상","✓ 정상","? 확인필요")))</f>
        <v>◆ 지연주의</v>
      </c>
      <c r="V306" s="31"/>
      <c r="W306" s="19"/>
    </row>
    <row r="307" customFormat="false" ht="15" hidden="false" customHeight="true" outlineLevel="0" collapsed="false">
      <c r="A307" s="28" t="n">
        <v>303</v>
      </c>
      <c r="B307" s="29" t="s">
        <v>266</v>
      </c>
      <c r="C307" s="30" t="s">
        <v>742</v>
      </c>
      <c r="D307" s="29" t="s">
        <v>743</v>
      </c>
      <c r="E307" s="28" t="str">
        <f aca="false">IF($C307="","",IF(MID($C307,5,1)="S","S(봄)",IF(MID($C307,5,1)="M","M(여름)",IF(MID($C307,5,1)="X","X(사계절)",MID($C307,5,1)))))</f>
        <v>M(여름)</v>
      </c>
      <c r="F307" s="29" t="s">
        <v>106</v>
      </c>
      <c r="G307" s="31"/>
      <c r="H307" s="28" t="str">
        <f aca="false">IF($C307="","",REPLACE($C307,6,2,"26"))</f>
        <v>TLPOM26731</v>
      </c>
      <c r="I307" s="32" t="str">
        <f aca="false">IFERROR(INDEX(전년출고참조!$B$4:$B$638,MATCH($H307,전년출고참조!$A$4:$A$638,0)),"")</f>
        <v/>
      </c>
      <c r="J307" s="32" t="n">
        <v>46447</v>
      </c>
      <c r="K307" s="32" t="n">
        <f aca="false">IF($G307&lt;&gt;"",IFERROR(DATE(IF(VALUE(LEFT($G307,FIND("월",$G307)-1))&gt;=9,기준정보!$C$6-1,기준정보!$C$6),VALUE(LEFT($G307,FIND("월",$G307)-1)),1+7*(VALUE(SUBSTITUTE(MID($G307,FIND("월",$G307)+1,5),"주",""))-1)),""),IF($I307&lt;&gt;"",IF(ISNUMBER($I307),$I307+364,IFERROR(DATE(IF(VALUE(LEFT($I307,FIND("월",$I307)-1))&gt;=9,기준정보!$C$6-1,기준정보!$C$6),VALUE(LEFT($I307,FIND("월",$I307)-1)),1+7*(VALUE(SUBSTITUTE(MID($I307,FIND("월",$I307)+1,5),"주",""))-1)),"")),IF($J307&lt;&gt;"",$J307,"")))</f>
        <v>46447</v>
      </c>
      <c r="L307" s="28" t="str">
        <f aca="false">IF($G307&lt;&gt;"","계획 주차",IF($I307&lt;&gt;"","전년+1년 예측",IF($J307&lt;&gt;"","전산 입고계획(참고)","미정")))</f>
        <v>전산 입고계획(참고)</v>
      </c>
      <c r="M307" s="32" t="n">
        <f aca="false">IF($K307="","",$K307-기준정보!$C$5)</f>
        <v>46357</v>
      </c>
      <c r="N307" s="33" t="n">
        <f aca="false">IF($M307="","",$M307-기준정보!$C$4)</f>
        <v>116</v>
      </c>
      <c r="O307" s="31" t="s">
        <v>114</v>
      </c>
      <c r="P307" s="20"/>
      <c r="Q307" s="30" t="str">
        <f aca="false">IF($F307="","",IF(AND(ISNUMBER(SEARCH("CMT",$F307)),OR(ISNUMBER(SEARCH("사입",$F307)),ISNUMBER(SEARCH("Buying",$F307)))),"본사/생산처 혼재",IF(ISNUMBER(SEARCH("CMT",$F307)),"본사(소재팀)","생산처")))</f>
        <v>생산처</v>
      </c>
      <c r="R307" s="29" t="s">
        <v>142</v>
      </c>
      <c r="S307" s="29" t="s">
        <v>110</v>
      </c>
      <c r="T307" s="30" t="str">
        <f aca="false">IF($K307="","출고일 미정",IF($O307="X","작지(일매) 미등록",IF($O307="부분","작지(일매) 일부 미등록",IF(AND($P307&lt;&gt;"",$P307&gt;$M307),"소재입고 마감("&amp;TEXT($M307,"MM/DD")&amp;") 초과",IF($O307="","일매 등록여부 확인 필요",IF($P307="","소재 입고일정 확인 필요","정상"))))))</f>
        <v>작지(일매) 미등록</v>
      </c>
      <c r="U307" s="28" t="str">
        <f aca="false">IF($K307="","",IF(OR(LEFT($T307,2)="작지",LEFT($T307,4)="소재입고"),IF(LEFT($E307,1)="S","★ 납기위험(S코드)","◆ 지연주의"),IF($T307="정상","✓ 정상","? 확인필요")))</f>
        <v>◆ 지연주의</v>
      </c>
      <c r="V307" s="31"/>
      <c r="W307" s="19"/>
    </row>
    <row r="308" customFormat="false" ht="15" hidden="false" customHeight="true" outlineLevel="0" collapsed="false">
      <c r="A308" s="28" t="n">
        <v>304</v>
      </c>
      <c r="B308" s="29" t="s">
        <v>266</v>
      </c>
      <c r="C308" s="30" t="s">
        <v>744</v>
      </c>
      <c r="D308" s="29" t="s">
        <v>745</v>
      </c>
      <c r="E308" s="28" t="str">
        <f aca="false">IF($C308="","",IF(MID($C308,5,1)="S","S(봄)",IF(MID($C308,5,1)="M","M(여름)",IF(MID($C308,5,1)="X","X(사계절)",MID($C308,5,1)))))</f>
        <v>M(여름)</v>
      </c>
      <c r="F308" s="29" t="s">
        <v>106</v>
      </c>
      <c r="G308" s="31"/>
      <c r="H308" s="28" t="str">
        <f aca="false">IF($C308="","",REPLACE($C308,6,2,"26"))</f>
        <v>TLPOM26733</v>
      </c>
      <c r="I308" s="32" t="str">
        <f aca="false">IFERROR(INDEX(전년출고참조!$B$4:$B$638,MATCH($H308,전년출고참조!$A$4:$A$638,0)),"")</f>
        <v/>
      </c>
      <c r="J308" s="32" t="n">
        <v>46447</v>
      </c>
      <c r="K308" s="32" t="n">
        <f aca="false">IF($G308&lt;&gt;"",IFERROR(DATE(IF(VALUE(LEFT($G308,FIND("월",$G308)-1))&gt;=9,기준정보!$C$6-1,기준정보!$C$6),VALUE(LEFT($G308,FIND("월",$G308)-1)),1+7*(VALUE(SUBSTITUTE(MID($G308,FIND("월",$G308)+1,5),"주",""))-1)),""),IF($I308&lt;&gt;"",IF(ISNUMBER($I308),$I308+364,IFERROR(DATE(IF(VALUE(LEFT($I308,FIND("월",$I308)-1))&gt;=9,기준정보!$C$6-1,기준정보!$C$6),VALUE(LEFT($I308,FIND("월",$I308)-1)),1+7*(VALUE(SUBSTITUTE(MID($I308,FIND("월",$I308)+1,5),"주",""))-1)),"")),IF($J308&lt;&gt;"",$J308,"")))</f>
        <v>46447</v>
      </c>
      <c r="L308" s="28" t="str">
        <f aca="false">IF($G308&lt;&gt;"","계획 주차",IF($I308&lt;&gt;"","전년+1년 예측",IF($J308&lt;&gt;"","전산 입고계획(참고)","미정")))</f>
        <v>전산 입고계획(참고)</v>
      </c>
      <c r="M308" s="32" t="n">
        <f aca="false">IF($K308="","",$K308-기준정보!$C$5)</f>
        <v>46357</v>
      </c>
      <c r="N308" s="33" t="n">
        <f aca="false">IF($M308="","",$M308-기준정보!$C$4)</f>
        <v>116</v>
      </c>
      <c r="O308" s="31" t="s">
        <v>114</v>
      </c>
      <c r="P308" s="20"/>
      <c r="Q308" s="30" t="str">
        <f aca="false">IF($F308="","",IF(AND(ISNUMBER(SEARCH("CMT",$F308)),OR(ISNUMBER(SEARCH("사입",$F308)),ISNUMBER(SEARCH("Buying",$F308)))),"본사/생산처 혼재",IF(ISNUMBER(SEARCH("CMT",$F308)),"본사(소재팀)","생산처")))</f>
        <v>생산처</v>
      </c>
      <c r="R308" s="29" t="s">
        <v>142</v>
      </c>
      <c r="S308" s="29" t="s">
        <v>110</v>
      </c>
      <c r="T308" s="30" t="str">
        <f aca="false">IF($K308="","출고일 미정",IF($O308="X","작지(일매) 미등록",IF($O308="부분","작지(일매) 일부 미등록",IF(AND($P308&lt;&gt;"",$P308&gt;$M308),"소재입고 마감("&amp;TEXT($M308,"MM/DD")&amp;") 초과",IF($O308="","일매 등록여부 확인 필요",IF($P308="","소재 입고일정 확인 필요","정상"))))))</f>
        <v>작지(일매) 미등록</v>
      </c>
      <c r="U308" s="28" t="str">
        <f aca="false">IF($K308="","",IF(OR(LEFT($T308,2)="작지",LEFT($T308,4)="소재입고"),IF(LEFT($E308,1)="S","★ 납기위험(S코드)","◆ 지연주의"),IF($T308="정상","✓ 정상","? 확인필요")))</f>
        <v>◆ 지연주의</v>
      </c>
      <c r="V308" s="31"/>
      <c r="W308" s="19"/>
    </row>
    <row r="309" customFormat="false" ht="15" hidden="false" customHeight="true" outlineLevel="0" collapsed="false">
      <c r="A309" s="28" t="n">
        <v>305</v>
      </c>
      <c r="B309" s="29" t="s">
        <v>266</v>
      </c>
      <c r="C309" s="30" t="s">
        <v>746</v>
      </c>
      <c r="D309" s="29" t="s">
        <v>747</v>
      </c>
      <c r="E309" s="28" t="str">
        <f aca="false">IF($C309="","",IF(MID($C309,5,1)="S","S(봄)",IF(MID($C309,5,1)="M","M(여름)",IF(MID($C309,5,1)="X","X(사계절)",MID($C309,5,1)))))</f>
        <v>M(여름)</v>
      </c>
      <c r="F309" s="29" t="s">
        <v>106</v>
      </c>
      <c r="G309" s="31"/>
      <c r="H309" s="28" t="str">
        <f aca="false">IF($C309="","",REPLACE($C309,6,2,"26"))</f>
        <v>TLPOM26735</v>
      </c>
      <c r="I309" s="32" t="str">
        <f aca="false">IFERROR(INDEX(전년출고참조!$B$4:$B$638,MATCH($H309,전년출고참조!$A$4:$A$638,0)),"")</f>
        <v/>
      </c>
      <c r="J309" s="32" t="n">
        <v>46447</v>
      </c>
      <c r="K309" s="32" t="n">
        <f aca="false">IF($G309&lt;&gt;"",IFERROR(DATE(IF(VALUE(LEFT($G309,FIND("월",$G309)-1))&gt;=9,기준정보!$C$6-1,기준정보!$C$6),VALUE(LEFT($G309,FIND("월",$G309)-1)),1+7*(VALUE(SUBSTITUTE(MID($G309,FIND("월",$G309)+1,5),"주",""))-1)),""),IF($I309&lt;&gt;"",IF(ISNUMBER($I309),$I309+364,IFERROR(DATE(IF(VALUE(LEFT($I309,FIND("월",$I309)-1))&gt;=9,기준정보!$C$6-1,기준정보!$C$6),VALUE(LEFT($I309,FIND("월",$I309)-1)),1+7*(VALUE(SUBSTITUTE(MID($I309,FIND("월",$I309)+1,5),"주",""))-1)),"")),IF($J309&lt;&gt;"",$J309,"")))</f>
        <v>46447</v>
      </c>
      <c r="L309" s="28" t="str">
        <f aca="false">IF($G309&lt;&gt;"","계획 주차",IF($I309&lt;&gt;"","전년+1년 예측",IF($J309&lt;&gt;"","전산 입고계획(참고)","미정")))</f>
        <v>전산 입고계획(참고)</v>
      </c>
      <c r="M309" s="32" t="n">
        <f aca="false">IF($K309="","",$K309-기준정보!$C$5)</f>
        <v>46357</v>
      </c>
      <c r="N309" s="33" t="n">
        <f aca="false">IF($M309="","",$M309-기준정보!$C$4)</f>
        <v>116</v>
      </c>
      <c r="O309" s="31" t="s">
        <v>114</v>
      </c>
      <c r="P309" s="20"/>
      <c r="Q309" s="30" t="str">
        <f aca="false">IF($F309="","",IF(AND(ISNUMBER(SEARCH("CMT",$F309)),OR(ISNUMBER(SEARCH("사입",$F309)),ISNUMBER(SEARCH("Buying",$F309)))),"본사/생산처 혼재",IF(ISNUMBER(SEARCH("CMT",$F309)),"본사(소재팀)","생산처")))</f>
        <v>생산처</v>
      </c>
      <c r="R309" s="29" t="s">
        <v>123</v>
      </c>
      <c r="S309" s="29" t="s">
        <v>120</v>
      </c>
      <c r="T309" s="30" t="str">
        <f aca="false">IF($K309="","출고일 미정",IF($O309="X","작지(일매) 미등록",IF($O309="부분","작지(일매) 일부 미등록",IF(AND($P309&lt;&gt;"",$P309&gt;$M309),"소재입고 마감("&amp;TEXT($M309,"MM/DD")&amp;") 초과",IF($O309="","일매 등록여부 확인 필요",IF($P309="","소재 입고일정 확인 필요","정상"))))))</f>
        <v>작지(일매) 미등록</v>
      </c>
      <c r="U309" s="28" t="str">
        <f aca="false">IF($K309="","",IF(OR(LEFT($T309,2)="작지",LEFT($T309,4)="소재입고"),IF(LEFT($E309,1)="S","★ 납기위험(S코드)","◆ 지연주의"),IF($T309="정상","✓ 정상","? 확인필요")))</f>
        <v>◆ 지연주의</v>
      </c>
      <c r="V309" s="31"/>
      <c r="W309" s="19"/>
    </row>
    <row r="310" customFormat="false" ht="15" hidden="false" customHeight="true" outlineLevel="0" collapsed="false">
      <c r="A310" s="28" t="n">
        <v>306</v>
      </c>
      <c r="B310" s="29" t="s">
        <v>266</v>
      </c>
      <c r="C310" s="30" t="s">
        <v>748</v>
      </c>
      <c r="D310" s="29" t="s">
        <v>749</v>
      </c>
      <c r="E310" s="28" t="str">
        <f aca="false">IF($C310="","",IF(MID($C310,5,1)="S","S(봄)",IF(MID($C310,5,1)="M","M(여름)",IF(MID($C310,5,1)="X","X(사계절)",MID($C310,5,1)))))</f>
        <v>M(여름)</v>
      </c>
      <c r="F310" s="29" t="s">
        <v>106</v>
      </c>
      <c r="G310" s="31"/>
      <c r="H310" s="28" t="str">
        <f aca="false">IF($C310="","",REPLACE($C310,6,2,"26"))</f>
        <v>TLTCM26711</v>
      </c>
      <c r="I310" s="32" t="str">
        <f aca="false">IFERROR(INDEX(전년출고참조!$B$4:$B$638,MATCH($H310,전년출고참조!$A$4:$A$638,0)),"")</f>
        <v/>
      </c>
      <c r="J310" s="32" t="n">
        <v>46447</v>
      </c>
      <c r="K310" s="32" t="n">
        <f aca="false">IF($G310&lt;&gt;"",IFERROR(DATE(IF(VALUE(LEFT($G310,FIND("월",$G310)-1))&gt;=9,기준정보!$C$6-1,기준정보!$C$6),VALUE(LEFT($G310,FIND("월",$G310)-1)),1+7*(VALUE(SUBSTITUTE(MID($G310,FIND("월",$G310)+1,5),"주",""))-1)),""),IF($I310&lt;&gt;"",IF(ISNUMBER($I310),$I310+364,IFERROR(DATE(IF(VALUE(LEFT($I310,FIND("월",$I310)-1))&gt;=9,기준정보!$C$6-1,기준정보!$C$6),VALUE(LEFT($I310,FIND("월",$I310)-1)),1+7*(VALUE(SUBSTITUTE(MID($I310,FIND("월",$I310)+1,5),"주",""))-1)),"")),IF($J310&lt;&gt;"",$J310,"")))</f>
        <v>46447</v>
      </c>
      <c r="L310" s="28" t="str">
        <f aca="false">IF($G310&lt;&gt;"","계획 주차",IF($I310&lt;&gt;"","전년+1년 예측",IF($J310&lt;&gt;"","전산 입고계획(참고)","미정")))</f>
        <v>전산 입고계획(참고)</v>
      </c>
      <c r="M310" s="32" t="n">
        <f aca="false">IF($K310="","",$K310-기준정보!$C$5)</f>
        <v>46357</v>
      </c>
      <c r="N310" s="33" t="n">
        <f aca="false">IF($M310="","",$M310-기준정보!$C$4)</f>
        <v>116</v>
      </c>
      <c r="O310" s="31" t="s">
        <v>108</v>
      </c>
      <c r="P310" s="20"/>
      <c r="Q310" s="30" t="str">
        <f aca="false">IF($F310="","",IF(AND(ISNUMBER(SEARCH("CMT",$F310)),OR(ISNUMBER(SEARCH("사입",$F310)),ISNUMBER(SEARCH("Buying",$F310)))),"본사/생산처 혼재",IF(ISNUMBER(SEARCH("CMT",$F310)),"본사(소재팀)","생산처")))</f>
        <v>생산처</v>
      </c>
      <c r="R310" s="29" t="s">
        <v>156</v>
      </c>
      <c r="S310" s="29" t="s">
        <v>110</v>
      </c>
      <c r="T310" s="30" t="str">
        <f aca="false">IF($K310="","출고일 미정",IF($O310="X","작지(일매) 미등록",IF($O310="부분","작지(일매) 일부 미등록",IF(AND($P310&lt;&gt;"",$P310&gt;$M310),"소재입고 마감("&amp;TEXT($M310,"MM/DD")&amp;") 초과",IF($O310="","일매 등록여부 확인 필요",IF($P310="","소재 입고일정 확인 필요","정상"))))))</f>
        <v>소재 입고일정 확인 필요</v>
      </c>
      <c r="U310" s="28" t="str">
        <f aca="false">IF($K310="","",IF(OR(LEFT($T310,2)="작지",LEFT($T310,4)="소재입고"),IF(LEFT($E310,1)="S","★ 납기위험(S코드)","◆ 지연주의"),IF($T310="정상","✓ 정상","? 확인필요")))</f>
        <v>? 확인필요</v>
      </c>
      <c r="V310" s="31"/>
      <c r="W310" s="19"/>
    </row>
    <row r="311" customFormat="false" ht="15" hidden="false" customHeight="true" outlineLevel="0" collapsed="false">
      <c r="A311" s="28" t="n">
        <v>307</v>
      </c>
      <c r="B311" s="29" t="s">
        <v>266</v>
      </c>
      <c r="C311" s="30" t="s">
        <v>750</v>
      </c>
      <c r="D311" s="29" t="s">
        <v>751</v>
      </c>
      <c r="E311" s="28" t="str">
        <f aca="false">IF($C311="","",IF(MID($C311,5,1)="S","S(봄)",IF(MID($C311,5,1)="M","M(여름)",IF(MID($C311,5,1)="X","X(사계절)",MID($C311,5,1)))))</f>
        <v>M(여름)</v>
      </c>
      <c r="F311" s="29" t="s">
        <v>106</v>
      </c>
      <c r="G311" s="31"/>
      <c r="H311" s="28" t="str">
        <f aca="false">IF($C311="","",REPLACE($C311,6,2,"26"))</f>
        <v>TLTCM26721</v>
      </c>
      <c r="I311" s="32" t="str">
        <f aca="false">IFERROR(INDEX(전년출고참조!$B$4:$B$638,MATCH($H311,전년출고참조!$A$4:$A$638,0)),"")</f>
        <v/>
      </c>
      <c r="J311" s="32" t="n">
        <v>46447</v>
      </c>
      <c r="K311" s="32" t="n">
        <f aca="false">IF($G311&lt;&gt;"",IFERROR(DATE(IF(VALUE(LEFT($G311,FIND("월",$G311)-1))&gt;=9,기준정보!$C$6-1,기준정보!$C$6),VALUE(LEFT($G311,FIND("월",$G311)-1)),1+7*(VALUE(SUBSTITUTE(MID($G311,FIND("월",$G311)+1,5),"주",""))-1)),""),IF($I311&lt;&gt;"",IF(ISNUMBER($I311),$I311+364,IFERROR(DATE(IF(VALUE(LEFT($I311,FIND("월",$I311)-1))&gt;=9,기준정보!$C$6-1,기준정보!$C$6),VALUE(LEFT($I311,FIND("월",$I311)-1)),1+7*(VALUE(SUBSTITUTE(MID($I311,FIND("월",$I311)+1,5),"주",""))-1)),"")),IF($J311&lt;&gt;"",$J311,"")))</f>
        <v>46447</v>
      </c>
      <c r="L311" s="28" t="str">
        <f aca="false">IF($G311&lt;&gt;"","계획 주차",IF($I311&lt;&gt;"","전년+1년 예측",IF($J311&lt;&gt;"","전산 입고계획(참고)","미정")))</f>
        <v>전산 입고계획(참고)</v>
      </c>
      <c r="M311" s="32" t="n">
        <f aca="false">IF($K311="","",$K311-기준정보!$C$5)</f>
        <v>46357</v>
      </c>
      <c r="N311" s="33" t="n">
        <f aca="false">IF($M311="","",$M311-기준정보!$C$4)</f>
        <v>116</v>
      </c>
      <c r="O311" s="31" t="s">
        <v>108</v>
      </c>
      <c r="P311" s="20"/>
      <c r="Q311" s="30" t="str">
        <f aca="false">IF($F311="","",IF(AND(ISNUMBER(SEARCH("CMT",$F311)),OR(ISNUMBER(SEARCH("사입",$F311)),ISNUMBER(SEARCH("Buying",$F311)))),"본사/생산처 혼재",IF(ISNUMBER(SEARCH("CMT",$F311)),"본사(소재팀)","생산처")))</f>
        <v>생산처</v>
      </c>
      <c r="R311" s="29" t="s">
        <v>156</v>
      </c>
      <c r="S311" s="29" t="s">
        <v>110</v>
      </c>
      <c r="T311" s="30" t="str">
        <f aca="false">IF($K311="","출고일 미정",IF($O311="X","작지(일매) 미등록",IF($O311="부분","작지(일매) 일부 미등록",IF(AND($P311&lt;&gt;"",$P311&gt;$M311),"소재입고 마감("&amp;TEXT($M311,"MM/DD")&amp;") 초과",IF($O311="","일매 등록여부 확인 필요",IF($P311="","소재 입고일정 확인 필요","정상"))))))</f>
        <v>소재 입고일정 확인 필요</v>
      </c>
      <c r="U311" s="28" t="str">
        <f aca="false">IF($K311="","",IF(OR(LEFT($T311,2)="작지",LEFT($T311,4)="소재입고"),IF(LEFT($E311,1)="S","★ 납기위험(S코드)","◆ 지연주의"),IF($T311="정상","✓ 정상","? 확인필요")))</f>
        <v>? 확인필요</v>
      </c>
      <c r="V311" s="31"/>
      <c r="W311" s="19"/>
    </row>
    <row r="312" customFormat="false" ht="15" hidden="false" customHeight="true" outlineLevel="0" collapsed="false">
      <c r="A312" s="28" t="n">
        <v>308</v>
      </c>
      <c r="B312" s="29" t="s">
        <v>266</v>
      </c>
      <c r="C312" s="30" t="s">
        <v>752</v>
      </c>
      <c r="D312" s="29" t="s">
        <v>753</v>
      </c>
      <c r="E312" s="28" t="str">
        <f aca="false">IF($C312="","",IF(MID($C312,5,1)="S","S(봄)",IF(MID($C312,5,1)="M","M(여름)",IF(MID($C312,5,1)="X","X(사계절)",MID($C312,5,1)))))</f>
        <v>M(여름)</v>
      </c>
      <c r="F312" s="29" t="s">
        <v>106</v>
      </c>
      <c r="G312" s="31"/>
      <c r="H312" s="28" t="str">
        <f aca="false">IF($C312="","",REPLACE($C312,6,2,"26"))</f>
        <v>TLTCM26723</v>
      </c>
      <c r="I312" s="32" t="str">
        <f aca="false">IFERROR(INDEX(전년출고참조!$B$4:$B$638,MATCH($H312,전년출고참조!$A$4:$A$638,0)),"")</f>
        <v/>
      </c>
      <c r="J312" s="32" t="n">
        <v>46447</v>
      </c>
      <c r="K312" s="32" t="n">
        <f aca="false">IF($G312&lt;&gt;"",IFERROR(DATE(IF(VALUE(LEFT($G312,FIND("월",$G312)-1))&gt;=9,기준정보!$C$6-1,기준정보!$C$6),VALUE(LEFT($G312,FIND("월",$G312)-1)),1+7*(VALUE(SUBSTITUTE(MID($G312,FIND("월",$G312)+1,5),"주",""))-1)),""),IF($I312&lt;&gt;"",IF(ISNUMBER($I312),$I312+364,IFERROR(DATE(IF(VALUE(LEFT($I312,FIND("월",$I312)-1))&gt;=9,기준정보!$C$6-1,기준정보!$C$6),VALUE(LEFT($I312,FIND("월",$I312)-1)),1+7*(VALUE(SUBSTITUTE(MID($I312,FIND("월",$I312)+1,5),"주",""))-1)),"")),IF($J312&lt;&gt;"",$J312,"")))</f>
        <v>46447</v>
      </c>
      <c r="L312" s="28" t="str">
        <f aca="false">IF($G312&lt;&gt;"","계획 주차",IF($I312&lt;&gt;"","전년+1년 예측",IF($J312&lt;&gt;"","전산 입고계획(참고)","미정")))</f>
        <v>전산 입고계획(참고)</v>
      </c>
      <c r="M312" s="32" t="n">
        <f aca="false">IF($K312="","",$K312-기준정보!$C$5)</f>
        <v>46357</v>
      </c>
      <c r="N312" s="33" t="n">
        <f aca="false">IF($M312="","",$M312-기준정보!$C$4)</f>
        <v>116</v>
      </c>
      <c r="O312" s="31" t="s">
        <v>114</v>
      </c>
      <c r="P312" s="20"/>
      <c r="Q312" s="30" t="str">
        <f aca="false">IF($F312="","",IF(AND(ISNUMBER(SEARCH("CMT",$F312)),OR(ISNUMBER(SEARCH("사입",$F312)),ISNUMBER(SEARCH("Buying",$F312)))),"본사/생산처 혼재",IF(ISNUMBER(SEARCH("CMT",$F312)),"본사(소재팀)","생산처")))</f>
        <v>생산처</v>
      </c>
      <c r="R312" s="29" t="s">
        <v>156</v>
      </c>
      <c r="S312" s="29" t="s">
        <v>110</v>
      </c>
      <c r="T312" s="30" t="str">
        <f aca="false">IF($K312="","출고일 미정",IF($O312="X","작지(일매) 미등록",IF($O312="부분","작지(일매) 일부 미등록",IF(AND($P312&lt;&gt;"",$P312&gt;$M312),"소재입고 마감("&amp;TEXT($M312,"MM/DD")&amp;") 초과",IF($O312="","일매 등록여부 확인 필요",IF($P312="","소재 입고일정 확인 필요","정상"))))))</f>
        <v>작지(일매) 미등록</v>
      </c>
      <c r="U312" s="28" t="str">
        <f aca="false">IF($K312="","",IF(OR(LEFT($T312,2)="작지",LEFT($T312,4)="소재입고"),IF(LEFT($E312,1)="S","★ 납기위험(S코드)","◆ 지연주의"),IF($T312="정상","✓ 정상","? 확인필요")))</f>
        <v>◆ 지연주의</v>
      </c>
      <c r="V312" s="31"/>
      <c r="W312" s="19"/>
    </row>
    <row r="313" customFormat="false" ht="15" hidden="false" customHeight="true" outlineLevel="0" collapsed="false">
      <c r="A313" s="28" t="n">
        <v>309</v>
      </c>
      <c r="B313" s="29" t="s">
        <v>266</v>
      </c>
      <c r="C313" s="30" t="s">
        <v>754</v>
      </c>
      <c r="D313" s="29" t="s">
        <v>755</v>
      </c>
      <c r="E313" s="28" t="str">
        <f aca="false">IF($C313="","",IF(MID($C313,5,1)="S","S(봄)",IF(MID($C313,5,1)="M","M(여름)",IF(MID($C313,5,1)="X","X(사계절)",MID($C313,5,1)))))</f>
        <v>M(여름)</v>
      </c>
      <c r="F313" s="29" t="s">
        <v>106</v>
      </c>
      <c r="G313" s="31"/>
      <c r="H313" s="28" t="str">
        <f aca="false">IF($C313="","",REPLACE($C313,6,2,"26"))</f>
        <v>TVJJM26702</v>
      </c>
      <c r="I313" s="32" t="str">
        <f aca="false">IFERROR(INDEX(전년출고참조!$B$4:$B$638,MATCH($H313,전년출고참조!$A$4:$A$638,0)),"")</f>
        <v/>
      </c>
      <c r="J313" s="32" t="n">
        <v>46447</v>
      </c>
      <c r="K313" s="32" t="n">
        <f aca="false">IF($G313&lt;&gt;"",IFERROR(DATE(IF(VALUE(LEFT($G313,FIND("월",$G313)-1))&gt;=9,기준정보!$C$6-1,기준정보!$C$6),VALUE(LEFT($G313,FIND("월",$G313)-1)),1+7*(VALUE(SUBSTITUTE(MID($G313,FIND("월",$G313)+1,5),"주",""))-1)),""),IF($I313&lt;&gt;"",IF(ISNUMBER($I313),$I313+364,IFERROR(DATE(IF(VALUE(LEFT($I313,FIND("월",$I313)-1))&gt;=9,기준정보!$C$6-1,기준정보!$C$6),VALUE(LEFT($I313,FIND("월",$I313)-1)),1+7*(VALUE(SUBSTITUTE(MID($I313,FIND("월",$I313)+1,5),"주",""))-1)),"")),IF($J313&lt;&gt;"",$J313,"")))</f>
        <v>46447</v>
      </c>
      <c r="L313" s="28" t="str">
        <f aca="false">IF($G313&lt;&gt;"","계획 주차",IF($I313&lt;&gt;"","전년+1년 예측",IF($J313&lt;&gt;"","전산 입고계획(참고)","미정")))</f>
        <v>전산 입고계획(참고)</v>
      </c>
      <c r="M313" s="32" t="n">
        <f aca="false">IF($K313="","",$K313-기준정보!$C$5)</f>
        <v>46357</v>
      </c>
      <c r="N313" s="33" t="n">
        <f aca="false">IF($M313="","",$M313-기준정보!$C$4)</f>
        <v>116</v>
      </c>
      <c r="O313" s="31" t="s">
        <v>108</v>
      </c>
      <c r="P313" s="20"/>
      <c r="Q313" s="30" t="str">
        <f aca="false">IF($F313="","",IF(AND(ISNUMBER(SEARCH("CMT",$F313)),OR(ISNUMBER(SEARCH("사입",$F313)),ISNUMBER(SEARCH("Buying",$F313)))),"본사/생산처 혼재",IF(ISNUMBER(SEARCH("CMT",$F313)),"본사(소재팀)","생산처")))</f>
        <v>생산처</v>
      </c>
      <c r="R313" s="29" t="s">
        <v>109</v>
      </c>
      <c r="S313" s="29" t="s">
        <v>110</v>
      </c>
      <c r="T313" s="30" t="str">
        <f aca="false">IF($K313="","출고일 미정",IF($O313="X","작지(일매) 미등록",IF($O313="부분","작지(일매) 일부 미등록",IF(AND($P313&lt;&gt;"",$P313&gt;$M313),"소재입고 마감("&amp;TEXT($M313,"MM/DD")&amp;") 초과",IF($O313="","일매 등록여부 확인 필요",IF($P313="","소재 입고일정 확인 필요","정상"))))))</f>
        <v>소재 입고일정 확인 필요</v>
      </c>
      <c r="U313" s="28" t="str">
        <f aca="false">IF($K313="","",IF(OR(LEFT($T313,2)="작지",LEFT($T313,4)="소재입고"),IF(LEFT($E313,1)="S","★ 납기위험(S코드)","◆ 지연주의"),IF($T313="정상","✓ 정상","? 확인필요")))</f>
        <v>? 확인필요</v>
      </c>
      <c r="V313" s="31"/>
      <c r="W313" s="19"/>
    </row>
    <row r="314" customFormat="false" ht="15" hidden="false" customHeight="true" outlineLevel="0" collapsed="false">
      <c r="A314" s="28" t="n">
        <v>310</v>
      </c>
      <c r="B314" s="29" t="s">
        <v>266</v>
      </c>
      <c r="C314" s="30" t="s">
        <v>756</v>
      </c>
      <c r="D314" s="29" t="s">
        <v>757</v>
      </c>
      <c r="E314" s="28" t="str">
        <f aca="false">IF($C314="","",IF(MID($C314,5,1)="S","S(봄)",IF(MID($C314,5,1)="M","M(여름)",IF(MID($C314,5,1)="X","X(사계절)",MID($C314,5,1)))))</f>
        <v>M(여름)</v>
      </c>
      <c r="F314" s="29" t="s">
        <v>106</v>
      </c>
      <c r="G314" s="31"/>
      <c r="H314" s="28" t="str">
        <f aca="false">IF($C314="","",REPLACE($C314,6,2,"26"))</f>
        <v>TVJJM26704</v>
      </c>
      <c r="I314" s="32" t="str">
        <f aca="false">IFERROR(INDEX(전년출고참조!$B$4:$B$638,MATCH($H314,전년출고참조!$A$4:$A$638,0)),"")</f>
        <v/>
      </c>
      <c r="J314" s="32" t="n">
        <v>46447</v>
      </c>
      <c r="K314" s="32" t="n">
        <f aca="false">IF($G314&lt;&gt;"",IFERROR(DATE(IF(VALUE(LEFT($G314,FIND("월",$G314)-1))&gt;=9,기준정보!$C$6-1,기준정보!$C$6),VALUE(LEFT($G314,FIND("월",$G314)-1)),1+7*(VALUE(SUBSTITUTE(MID($G314,FIND("월",$G314)+1,5),"주",""))-1)),""),IF($I314&lt;&gt;"",IF(ISNUMBER($I314),$I314+364,IFERROR(DATE(IF(VALUE(LEFT($I314,FIND("월",$I314)-1))&gt;=9,기준정보!$C$6-1,기준정보!$C$6),VALUE(LEFT($I314,FIND("월",$I314)-1)),1+7*(VALUE(SUBSTITUTE(MID($I314,FIND("월",$I314)+1,5),"주",""))-1)),"")),IF($J314&lt;&gt;"",$J314,"")))</f>
        <v>46447</v>
      </c>
      <c r="L314" s="28" t="str">
        <f aca="false">IF($G314&lt;&gt;"","계획 주차",IF($I314&lt;&gt;"","전년+1년 예측",IF($J314&lt;&gt;"","전산 입고계획(참고)","미정")))</f>
        <v>전산 입고계획(참고)</v>
      </c>
      <c r="M314" s="32" t="n">
        <f aca="false">IF($K314="","",$K314-기준정보!$C$5)</f>
        <v>46357</v>
      </c>
      <c r="N314" s="33" t="n">
        <f aca="false">IF($M314="","",$M314-기준정보!$C$4)</f>
        <v>116</v>
      </c>
      <c r="O314" s="31" t="s">
        <v>108</v>
      </c>
      <c r="P314" s="20"/>
      <c r="Q314" s="30" t="str">
        <f aca="false">IF($F314="","",IF(AND(ISNUMBER(SEARCH("CMT",$F314)),OR(ISNUMBER(SEARCH("사입",$F314)),ISNUMBER(SEARCH("Buying",$F314)))),"본사/생산처 혼재",IF(ISNUMBER(SEARCH("CMT",$F314)),"본사(소재팀)","생산처")))</f>
        <v>생산처</v>
      </c>
      <c r="R314" s="29" t="s">
        <v>109</v>
      </c>
      <c r="S314" s="29" t="s">
        <v>110</v>
      </c>
      <c r="T314" s="30" t="str">
        <f aca="false">IF($K314="","출고일 미정",IF($O314="X","작지(일매) 미등록",IF($O314="부분","작지(일매) 일부 미등록",IF(AND($P314&lt;&gt;"",$P314&gt;$M314),"소재입고 마감("&amp;TEXT($M314,"MM/DD")&amp;") 초과",IF($O314="","일매 등록여부 확인 필요",IF($P314="","소재 입고일정 확인 필요","정상"))))))</f>
        <v>소재 입고일정 확인 필요</v>
      </c>
      <c r="U314" s="28" t="str">
        <f aca="false">IF($K314="","",IF(OR(LEFT($T314,2)="작지",LEFT($T314,4)="소재입고"),IF(LEFT($E314,1)="S","★ 납기위험(S코드)","◆ 지연주의"),IF($T314="정상","✓ 정상","? 확인필요")))</f>
        <v>? 확인필요</v>
      </c>
      <c r="V314" s="31"/>
      <c r="W314" s="19"/>
    </row>
    <row r="315" customFormat="false" ht="15" hidden="false" customHeight="true" outlineLevel="0" collapsed="false">
      <c r="A315" s="28" t="n">
        <v>311</v>
      </c>
      <c r="B315" s="29" t="s">
        <v>266</v>
      </c>
      <c r="C315" s="30" t="s">
        <v>758</v>
      </c>
      <c r="D315" s="29" t="s">
        <v>759</v>
      </c>
      <c r="E315" s="28" t="str">
        <f aca="false">IF($C315="","",IF(MID($C315,5,1)="S","S(봄)",IF(MID($C315,5,1)="M","M(여름)",IF(MID($C315,5,1)="X","X(사계절)",MID($C315,5,1)))))</f>
        <v>M(여름)</v>
      </c>
      <c r="F315" s="29" t="s">
        <v>106</v>
      </c>
      <c r="G315" s="31"/>
      <c r="H315" s="28" t="str">
        <f aca="false">IF($C315="","",REPLACE($C315,6,2,"26"))</f>
        <v>TVPOM26732</v>
      </c>
      <c r="I315" s="32" t="str">
        <f aca="false">IFERROR(INDEX(전년출고참조!$B$4:$B$638,MATCH($H315,전년출고참조!$A$4:$A$638,0)),"")</f>
        <v/>
      </c>
      <c r="J315" s="32" t="n">
        <v>46447</v>
      </c>
      <c r="K315" s="32" t="n">
        <f aca="false">IF($G315&lt;&gt;"",IFERROR(DATE(IF(VALUE(LEFT($G315,FIND("월",$G315)-1))&gt;=9,기준정보!$C$6-1,기준정보!$C$6),VALUE(LEFT($G315,FIND("월",$G315)-1)),1+7*(VALUE(SUBSTITUTE(MID($G315,FIND("월",$G315)+1,5),"주",""))-1)),""),IF($I315&lt;&gt;"",IF(ISNUMBER($I315),$I315+364,IFERROR(DATE(IF(VALUE(LEFT($I315,FIND("월",$I315)-1))&gt;=9,기준정보!$C$6-1,기준정보!$C$6),VALUE(LEFT($I315,FIND("월",$I315)-1)),1+7*(VALUE(SUBSTITUTE(MID($I315,FIND("월",$I315)+1,5),"주",""))-1)),"")),IF($J315&lt;&gt;"",$J315,"")))</f>
        <v>46447</v>
      </c>
      <c r="L315" s="28" t="str">
        <f aca="false">IF($G315&lt;&gt;"","계획 주차",IF($I315&lt;&gt;"","전년+1년 예측",IF($J315&lt;&gt;"","전산 입고계획(참고)","미정")))</f>
        <v>전산 입고계획(참고)</v>
      </c>
      <c r="M315" s="32" t="n">
        <f aca="false">IF($K315="","",$K315-기준정보!$C$5)</f>
        <v>46357</v>
      </c>
      <c r="N315" s="33" t="n">
        <f aca="false">IF($M315="","",$M315-기준정보!$C$4)</f>
        <v>116</v>
      </c>
      <c r="O315" s="31" t="s">
        <v>114</v>
      </c>
      <c r="P315" s="20"/>
      <c r="Q315" s="30" t="str">
        <f aca="false">IF($F315="","",IF(AND(ISNUMBER(SEARCH("CMT",$F315)),OR(ISNUMBER(SEARCH("사입",$F315)),ISNUMBER(SEARCH("Buying",$F315)))),"본사/생산처 혼재",IF(ISNUMBER(SEARCH("CMT",$F315)),"본사(소재팀)","생산처")))</f>
        <v>생산처</v>
      </c>
      <c r="R315" s="29" t="s">
        <v>142</v>
      </c>
      <c r="S315" s="29" t="s">
        <v>110</v>
      </c>
      <c r="T315" s="30" t="str">
        <f aca="false">IF($K315="","출고일 미정",IF($O315="X","작지(일매) 미등록",IF($O315="부분","작지(일매) 일부 미등록",IF(AND($P315&lt;&gt;"",$P315&gt;$M315),"소재입고 마감("&amp;TEXT($M315,"MM/DD")&amp;") 초과",IF($O315="","일매 등록여부 확인 필요",IF($P315="","소재 입고일정 확인 필요","정상"))))))</f>
        <v>작지(일매) 미등록</v>
      </c>
      <c r="U315" s="28" t="str">
        <f aca="false">IF($K315="","",IF(OR(LEFT($T315,2)="작지",LEFT($T315,4)="소재입고"),IF(LEFT($E315,1)="S","★ 납기위험(S코드)","◆ 지연주의"),IF($T315="정상","✓ 정상","? 확인필요")))</f>
        <v>◆ 지연주의</v>
      </c>
      <c r="V315" s="31"/>
      <c r="W315" s="19"/>
    </row>
    <row r="316" customFormat="false" ht="15" hidden="false" customHeight="true" outlineLevel="0" collapsed="false">
      <c r="A316" s="28" t="n">
        <v>312</v>
      </c>
      <c r="B316" s="29" t="s">
        <v>266</v>
      </c>
      <c r="C316" s="30" t="s">
        <v>760</v>
      </c>
      <c r="D316" s="29" t="s">
        <v>761</v>
      </c>
      <c r="E316" s="28" t="str">
        <f aca="false">IF($C316="","",IF(MID($C316,5,1)="S","S(봄)",IF(MID($C316,5,1)="M","M(여름)",IF(MID($C316,5,1)="X","X(사계절)",MID($C316,5,1)))))</f>
        <v>M(여름)</v>
      </c>
      <c r="F316" s="29" t="s">
        <v>106</v>
      </c>
      <c r="G316" s="31"/>
      <c r="H316" s="28" t="str">
        <f aca="false">IF($C316="","",REPLACE($C316,6,2,"26"))</f>
        <v>TVPOM26734</v>
      </c>
      <c r="I316" s="32" t="str">
        <f aca="false">IFERROR(INDEX(전년출고참조!$B$4:$B$638,MATCH($H316,전년출고참조!$A$4:$A$638,0)),"")</f>
        <v/>
      </c>
      <c r="J316" s="32" t="n">
        <v>46447</v>
      </c>
      <c r="K316" s="32" t="n">
        <f aca="false">IF($G316&lt;&gt;"",IFERROR(DATE(IF(VALUE(LEFT($G316,FIND("월",$G316)-1))&gt;=9,기준정보!$C$6-1,기준정보!$C$6),VALUE(LEFT($G316,FIND("월",$G316)-1)),1+7*(VALUE(SUBSTITUTE(MID($G316,FIND("월",$G316)+1,5),"주",""))-1)),""),IF($I316&lt;&gt;"",IF(ISNUMBER($I316),$I316+364,IFERROR(DATE(IF(VALUE(LEFT($I316,FIND("월",$I316)-1))&gt;=9,기준정보!$C$6-1,기준정보!$C$6),VALUE(LEFT($I316,FIND("월",$I316)-1)),1+7*(VALUE(SUBSTITUTE(MID($I316,FIND("월",$I316)+1,5),"주",""))-1)),"")),IF($J316&lt;&gt;"",$J316,"")))</f>
        <v>46447</v>
      </c>
      <c r="L316" s="28" t="str">
        <f aca="false">IF($G316&lt;&gt;"","계획 주차",IF($I316&lt;&gt;"","전년+1년 예측",IF($J316&lt;&gt;"","전산 입고계획(참고)","미정")))</f>
        <v>전산 입고계획(참고)</v>
      </c>
      <c r="M316" s="32" t="n">
        <f aca="false">IF($K316="","",$K316-기준정보!$C$5)</f>
        <v>46357</v>
      </c>
      <c r="N316" s="33" t="n">
        <f aca="false">IF($M316="","",$M316-기준정보!$C$4)</f>
        <v>116</v>
      </c>
      <c r="O316" s="31" t="s">
        <v>114</v>
      </c>
      <c r="P316" s="20"/>
      <c r="Q316" s="30" t="str">
        <f aca="false">IF($F316="","",IF(AND(ISNUMBER(SEARCH("CMT",$F316)),OR(ISNUMBER(SEARCH("사입",$F316)),ISNUMBER(SEARCH("Buying",$F316)))),"본사/생산처 혼재",IF(ISNUMBER(SEARCH("CMT",$F316)),"본사(소재팀)","생산처")))</f>
        <v>생산처</v>
      </c>
      <c r="R316" s="29" t="s">
        <v>142</v>
      </c>
      <c r="S316" s="29" t="s">
        <v>110</v>
      </c>
      <c r="T316" s="30" t="str">
        <f aca="false">IF($K316="","출고일 미정",IF($O316="X","작지(일매) 미등록",IF($O316="부분","작지(일매) 일부 미등록",IF(AND($P316&lt;&gt;"",$P316&gt;$M316),"소재입고 마감("&amp;TEXT($M316,"MM/DD")&amp;") 초과",IF($O316="","일매 등록여부 확인 필요",IF($P316="","소재 입고일정 확인 필요","정상"))))))</f>
        <v>작지(일매) 미등록</v>
      </c>
      <c r="U316" s="28" t="str">
        <f aca="false">IF($K316="","",IF(OR(LEFT($T316,2)="작지",LEFT($T316,4)="소재입고"),IF(LEFT($E316,1)="S","★ 납기위험(S코드)","◆ 지연주의"),IF($T316="정상","✓ 정상","? 확인필요")))</f>
        <v>◆ 지연주의</v>
      </c>
      <c r="V316" s="31"/>
      <c r="W316" s="19"/>
    </row>
    <row r="317" customFormat="false" ht="15" hidden="false" customHeight="true" outlineLevel="0" collapsed="false">
      <c r="A317" s="28" t="n">
        <v>313</v>
      </c>
      <c r="B317" s="29" t="s">
        <v>266</v>
      </c>
      <c r="C317" s="30" t="s">
        <v>762</v>
      </c>
      <c r="D317" s="29" t="s">
        <v>763</v>
      </c>
      <c r="E317" s="28" t="str">
        <f aca="false">IF($C317="","",IF(MID($C317,5,1)="S","S(봄)",IF(MID($C317,5,1)="M","M(여름)",IF(MID($C317,5,1)="X","X(사계절)",MID($C317,5,1)))))</f>
        <v>M(여름)</v>
      </c>
      <c r="F317" s="29" t="s">
        <v>106</v>
      </c>
      <c r="G317" s="31"/>
      <c r="H317" s="28" t="str">
        <f aca="false">IF($C317="","",REPLACE($C317,6,2,"26"))</f>
        <v>TVPOM26736</v>
      </c>
      <c r="I317" s="32" t="str">
        <f aca="false">IFERROR(INDEX(전년출고참조!$B$4:$B$638,MATCH($H317,전년출고참조!$A$4:$A$638,0)),"")</f>
        <v/>
      </c>
      <c r="J317" s="32" t="n">
        <v>46447</v>
      </c>
      <c r="K317" s="32" t="n">
        <f aca="false">IF($G317&lt;&gt;"",IFERROR(DATE(IF(VALUE(LEFT($G317,FIND("월",$G317)-1))&gt;=9,기준정보!$C$6-1,기준정보!$C$6),VALUE(LEFT($G317,FIND("월",$G317)-1)),1+7*(VALUE(SUBSTITUTE(MID($G317,FIND("월",$G317)+1,5),"주",""))-1)),""),IF($I317&lt;&gt;"",IF(ISNUMBER($I317),$I317+364,IFERROR(DATE(IF(VALUE(LEFT($I317,FIND("월",$I317)-1))&gt;=9,기준정보!$C$6-1,기준정보!$C$6),VALUE(LEFT($I317,FIND("월",$I317)-1)),1+7*(VALUE(SUBSTITUTE(MID($I317,FIND("월",$I317)+1,5),"주",""))-1)),"")),IF($J317&lt;&gt;"",$J317,"")))</f>
        <v>46447</v>
      </c>
      <c r="L317" s="28" t="str">
        <f aca="false">IF($G317&lt;&gt;"","계획 주차",IF($I317&lt;&gt;"","전년+1년 예측",IF($J317&lt;&gt;"","전산 입고계획(참고)","미정")))</f>
        <v>전산 입고계획(참고)</v>
      </c>
      <c r="M317" s="32" t="n">
        <f aca="false">IF($K317="","",$K317-기준정보!$C$5)</f>
        <v>46357</v>
      </c>
      <c r="N317" s="33" t="n">
        <f aca="false">IF($M317="","",$M317-기준정보!$C$4)</f>
        <v>116</v>
      </c>
      <c r="O317" s="31" t="s">
        <v>108</v>
      </c>
      <c r="P317" s="20"/>
      <c r="Q317" s="30" t="str">
        <f aca="false">IF($F317="","",IF(AND(ISNUMBER(SEARCH("CMT",$F317)),OR(ISNUMBER(SEARCH("사입",$F317)),ISNUMBER(SEARCH("Buying",$F317)))),"본사/생산처 혼재",IF(ISNUMBER(SEARCH("CMT",$F317)),"본사(소재팀)","생산처")))</f>
        <v>생산처</v>
      </c>
      <c r="R317" s="29" t="s">
        <v>123</v>
      </c>
      <c r="S317" s="29" t="s">
        <v>120</v>
      </c>
      <c r="T317" s="30" t="str">
        <f aca="false">IF($K317="","출고일 미정",IF($O317="X","작지(일매) 미등록",IF($O317="부분","작지(일매) 일부 미등록",IF(AND($P317&lt;&gt;"",$P317&gt;$M317),"소재입고 마감("&amp;TEXT($M317,"MM/DD")&amp;") 초과",IF($O317="","일매 등록여부 확인 필요",IF($P317="","소재 입고일정 확인 필요","정상"))))))</f>
        <v>소재 입고일정 확인 필요</v>
      </c>
      <c r="U317" s="28" t="str">
        <f aca="false">IF($K317="","",IF(OR(LEFT($T317,2)="작지",LEFT($T317,4)="소재입고"),IF(LEFT($E317,1)="S","★ 납기위험(S코드)","◆ 지연주의"),IF($T317="정상","✓ 정상","? 확인필요")))</f>
        <v>? 확인필요</v>
      </c>
      <c r="V317" s="31"/>
      <c r="W317" s="19"/>
    </row>
    <row r="318" customFormat="false" ht="15" hidden="false" customHeight="true" outlineLevel="0" collapsed="false">
      <c r="A318" s="28" t="n">
        <v>314</v>
      </c>
      <c r="B318" s="29" t="s">
        <v>294</v>
      </c>
      <c r="C318" s="30" t="s">
        <v>764</v>
      </c>
      <c r="D318" s="29" t="s">
        <v>765</v>
      </c>
      <c r="E318" s="28" t="str">
        <f aca="false">IF($C318="","",IF(MID($C318,5,1)="S","S(봄)",IF(MID($C318,5,1)="M","M(여름)",IF(MID($C318,5,1)="X","X(사계절)",MID($C318,5,1)))))</f>
        <v>M(여름)</v>
      </c>
      <c r="F318" s="29" t="s">
        <v>106</v>
      </c>
      <c r="G318" s="31"/>
      <c r="H318" s="28" t="str">
        <f aca="false">IF($C318="","",REPLACE($C318,6,2,"26"))</f>
        <v>TVSXM26592</v>
      </c>
      <c r="I318" s="32" t="str">
        <f aca="false">IFERROR(INDEX(전년출고참조!$B$4:$B$638,MATCH($H318,전년출고참조!$A$4:$A$638,0)),"")</f>
        <v/>
      </c>
      <c r="J318" s="32" t="n">
        <v>46447</v>
      </c>
      <c r="K318" s="32" t="n">
        <f aca="false">IF($G318&lt;&gt;"",IFERROR(DATE(IF(VALUE(LEFT($G318,FIND("월",$G318)-1))&gt;=9,기준정보!$C$6-1,기준정보!$C$6),VALUE(LEFT($G318,FIND("월",$G318)-1)),1+7*(VALUE(SUBSTITUTE(MID($G318,FIND("월",$G318)+1,5),"주",""))-1)),""),IF($I318&lt;&gt;"",IF(ISNUMBER($I318),$I318+364,IFERROR(DATE(IF(VALUE(LEFT($I318,FIND("월",$I318)-1))&gt;=9,기준정보!$C$6-1,기준정보!$C$6),VALUE(LEFT($I318,FIND("월",$I318)-1)),1+7*(VALUE(SUBSTITUTE(MID($I318,FIND("월",$I318)+1,5),"주",""))-1)),"")),IF($J318&lt;&gt;"",$J318,"")))</f>
        <v>46447</v>
      </c>
      <c r="L318" s="28" t="str">
        <f aca="false">IF($G318&lt;&gt;"","계획 주차",IF($I318&lt;&gt;"","전년+1년 예측",IF($J318&lt;&gt;"","전산 입고계획(참고)","미정")))</f>
        <v>전산 입고계획(참고)</v>
      </c>
      <c r="M318" s="32" t="n">
        <f aca="false">IF($K318="","",$K318-기준정보!$C$5)</f>
        <v>46357</v>
      </c>
      <c r="N318" s="33" t="n">
        <f aca="false">IF($M318="","",$M318-기준정보!$C$4)</f>
        <v>116</v>
      </c>
      <c r="O318" s="31" t="s">
        <v>114</v>
      </c>
      <c r="P318" s="20"/>
      <c r="Q318" s="30" t="str">
        <f aca="false">IF($F318="","",IF(AND(ISNUMBER(SEARCH("CMT",$F318)),OR(ISNUMBER(SEARCH("사입",$F318)),ISNUMBER(SEARCH("Buying",$F318)))),"본사/생산처 혼재",IF(ISNUMBER(SEARCH("CMT",$F318)),"본사(소재팀)","생산처")))</f>
        <v>생산처</v>
      </c>
      <c r="R318" s="29" t="s">
        <v>275</v>
      </c>
      <c r="S318" s="29" t="s">
        <v>110</v>
      </c>
      <c r="T318" s="30" t="str">
        <f aca="false">IF($K318="","출고일 미정",IF($O318="X","작지(일매) 미등록",IF($O318="부분","작지(일매) 일부 미등록",IF(AND($P318&lt;&gt;"",$P318&gt;$M318),"소재입고 마감("&amp;TEXT($M318,"MM/DD")&amp;") 초과",IF($O318="","일매 등록여부 확인 필요",IF($P318="","소재 입고일정 확인 필요","정상"))))))</f>
        <v>작지(일매) 미등록</v>
      </c>
      <c r="U318" s="28" t="str">
        <f aca="false">IF($K318="","",IF(OR(LEFT($T318,2)="작지",LEFT($T318,4)="소재입고"),IF(LEFT($E318,1)="S","★ 납기위험(S코드)","◆ 지연주의"),IF($T318="정상","✓ 정상","? 확인필요")))</f>
        <v>◆ 지연주의</v>
      </c>
      <c r="V318" s="31"/>
      <c r="W318" s="19"/>
    </row>
    <row r="319" customFormat="false" ht="15" hidden="false" customHeight="true" outlineLevel="0" collapsed="false">
      <c r="A319" s="28" t="n">
        <v>315</v>
      </c>
      <c r="B319" s="29" t="s">
        <v>266</v>
      </c>
      <c r="C319" s="30" t="s">
        <v>766</v>
      </c>
      <c r="D319" s="29" t="s">
        <v>767</v>
      </c>
      <c r="E319" s="28" t="str">
        <f aca="false">IF($C319="","",IF(MID($C319,5,1)="S","S(봄)",IF(MID($C319,5,1)="M","M(여름)",IF(MID($C319,5,1)="X","X(사계절)",MID($C319,5,1)))))</f>
        <v>M(여름)</v>
      </c>
      <c r="F319" s="29" t="s">
        <v>106</v>
      </c>
      <c r="G319" s="31"/>
      <c r="H319" s="28" t="str">
        <f aca="false">IF($C319="","",REPLACE($C319,6,2,"26"))</f>
        <v>TVTCM26712</v>
      </c>
      <c r="I319" s="32" t="str">
        <f aca="false">IFERROR(INDEX(전년출고참조!$B$4:$B$638,MATCH($H319,전년출고참조!$A$4:$A$638,0)),"")</f>
        <v/>
      </c>
      <c r="J319" s="32" t="n">
        <v>46447</v>
      </c>
      <c r="K319" s="32" t="n">
        <f aca="false">IF($G319&lt;&gt;"",IFERROR(DATE(IF(VALUE(LEFT($G319,FIND("월",$G319)-1))&gt;=9,기준정보!$C$6-1,기준정보!$C$6),VALUE(LEFT($G319,FIND("월",$G319)-1)),1+7*(VALUE(SUBSTITUTE(MID($G319,FIND("월",$G319)+1,5),"주",""))-1)),""),IF($I319&lt;&gt;"",IF(ISNUMBER($I319),$I319+364,IFERROR(DATE(IF(VALUE(LEFT($I319,FIND("월",$I319)-1))&gt;=9,기준정보!$C$6-1,기준정보!$C$6),VALUE(LEFT($I319,FIND("월",$I319)-1)),1+7*(VALUE(SUBSTITUTE(MID($I319,FIND("월",$I319)+1,5),"주",""))-1)),"")),IF($J319&lt;&gt;"",$J319,"")))</f>
        <v>46447</v>
      </c>
      <c r="L319" s="28" t="str">
        <f aca="false">IF($G319&lt;&gt;"","계획 주차",IF($I319&lt;&gt;"","전년+1년 예측",IF($J319&lt;&gt;"","전산 입고계획(참고)","미정")))</f>
        <v>전산 입고계획(참고)</v>
      </c>
      <c r="M319" s="32" t="n">
        <f aca="false">IF($K319="","",$K319-기준정보!$C$5)</f>
        <v>46357</v>
      </c>
      <c r="N319" s="33" t="n">
        <f aca="false">IF($M319="","",$M319-기준정보!$C$4)</f>
        <v>116</v>
      </c>
      <c r="O319" s="31" t="s">
        <v>108</v>
      </c>
      <c r="P319" s="20"/>
      <c r="Q319" s="30" t="str">
        <f aca="false">IF($F319="","",IF(AND(ISNUMBER(SEARCH("CMT",$F319)),OR(ISNUMBER(SEARCH("사입",$F319)),ISNUMBER(SEARCH("Buying",$F319)))),"본사/생산처 혼재",IF(ISNUMBER(SEARCH("CMT",$F319)),"본사(소재팀)","생산처")))</f>
        <v>생산처</v>
      </c>
      <c r="R319" s="29" t="s">
        <v>156</v>
      </c>
      <c r="S319" s="29" t="s">
        <v>110</v>
      </c>
      <c r="T319" s="30" t="str">
        <f aca="false">IF($K319="","출고일 미정",IF($O319="X","작지(일매) 미등록",IF($O319="부분","작지(일매) 일부 미등록",IF(AND($P319&lt;&gt;"",$P319&gt;$M319),"소재입고 마감("&amp;TEXT($M319,"MM/DD")&amp;") 초과",IF($O319="","일매 등록여부 확인 필요",IF($P319="","소재 입고일정 확인 필요","정상"))))))</f>
        <v>소재 입고일정 확인 필요</v>
      </c>
      <c r="U319" s="28" t="str">
        <f aca="false">IF($K319="","",IF(OR(LEFT($T319,2)="작지",LEFT($T319,4)="소재입고"),IF(LEFT($E319,1)="S","★ 납기위험(S코드)","◆ 지연주의"),IF($T319="정상","✓ 정상","? 확인필요")))</f>
        <v>? 확인필요</v>
      </c>
      <c r="V319" s="31"/>
      <c r="W319" s="19"/>
    </row>
    <row r="320" customFormat="false" ht="15" hidden="false" customHeight="true" outlineLevel="0" collapsed="false">
      <c r="A320" s="28" t="n">
        <v>316</v>
      </c>
      <c r="B320" s="29" t="s">
        <v>266</v>
      </c>
      <c r="C320" s="30" t="s">
        <v>768</v>
      </c>
      <c r="D320" s="29" t="s">
        <v>769</v>
      </c>
      <c r="E320" s="28" t="str">
        <f aca="false">IF($C320="","",IF(MID($C320,5,1)="S","S(봄)",IF(MID($C320,5,1)="M","M(여름)",IF(MID($C320,5,1)="X","X(사계절)",MID($C320,5,1)))))</f>
        <v>M(여름)</v>
      </c>
      <c r="F320" s="29" t="s">
        <v>106</v>
      </c>
      <c r="G320" s="31"/>
      <c r="H320" s="28" t="str">
        <f aca="false">IF($C320="","",REPLACE($C320,6,2,"26"))</f>
        <v>TVTCM26714</v>
      </c>
      <c r="I320" s="32" t="str">
        <f aca="false">IFERROR(INDEX(전년출고참조!$B$4:$B$638,MATCH($H320,전년출고참조!$A$4:$A$638,0)),"")</f>
        <v/>
      </c>
      <c r="J320" s="32" t="n">
        <v>46447</v>
      </c>
      <c r="K320" s="32" t="n">
        <f aca="false">IF($G320&lt;&gt;"",IFERROR(DATE(IF(VALUE(LEFT($G320,FIND("월",$G320)-1))&gt;=9,기준정보!$C$6-1,기준정보!$C$6),VALUE(LEFT($G320,FIND("월",$G320)-1)),1+7*(VALUE(SUBSTITUTE(MID($G320,FIND("월",$G320)+1,5),"주",""))-1)),""),IF($I320&lt;&gt;"",IF(ISNUMBER($I320),$I320+364,IFERROR(DATE(IF(VALUE(LEFT($I320,FIND("월",$I320)-1))&gt;=9,기준정보!$C$6-1,기준정보!$C$6),VALUE(LEFT($I320,FIND("월",$I320)-1)),1+7*(VALUE(SUBSTITUTE(MID($I320,FIND("월",$I320)+1,5),"주",""))-1)),"")),IF($J320&lt;&gt;"",$J320,"")))</f>
        <v>46447</v>
      </c>
      <c r="L320" s="28" t="str">
        <f aca="false">IF($G320&lt;&gt;"","계획 주차",IF($I320&lt;&gt;"","전년+1년 예측",IF($J320&lt;&gt;"","전산 입고계획(참고)","미정")))</f>
        <v>전산 입고계획(참고)</v>
      </c>
      <c r="M320" s="32" t="n">
        <f aca="false">IF($K320="","",$K320-기준정보!$C$5)</f>
        <v>46357</v>
      </c>
      <c r="N320" s="33" t="n">
        <f aca="false">IF($M320="","",$M320-기준정보!$C$4)</f>
        <v>116</v>
      </c>
      <c r="O320" s="31" t="s">
        <v>108</v>
      </c>
      <c r="P320" s="20"/>
      <c r="Q320" s="30" t="str">
        <f aca="false">IF($F320="","",IF(AND(ISNUMBER(SEARCH("CMT",$F320)),OR(ISNUMBER(SEARCH("사입",$F320)),ISNUMBER(SEARCH("Buying",$F320)))),"본사/생산처 혼재",IF(ISNUMBER(SEARCH("CMT",$F320)),"본사(소재팀)","생산처")))</f>
        <v>생산처</v>
      </c>
      <c r="R320" s="29" t="s">
        <v>156</v>
      </c>
      <c r="S320" s="29" t="s">
        <v>110</v>
      </c>
      <c r="T320" s="30" t="str">
        <f aca="false">IF($K320="","출고일 미정",IF($O320="X","작지(일매) 미등록",IF($O320="부분","작지(일매) 일부 미등록",IF(AND($P320&lt;&gt;"",$P320&gt;$M320),"소재입고 마감("&amp;TEXT($M320,"MM/DD")&amp;") 초과",IF($O320="","일매 등록여부 확인 필요",IF($P320="","소재 입고일정 확인 필요","정상"))))))</f>
        <v>소재 입고일정 확인 필요</v>
      </c>
      <c r="U320" s="28" t="str">
        <f aca="false">IF($K320="","",IF(OR(LEFT($T320,2)="작지",LEFT($T320,4)="소재입고"),IF(LEFT($E320,1)="S","★ 납기위험(S코드)","◆ 지연주의"),IF($T320="정상","✓ 정상","? 확인필요")))</f>
        <v>? 확인필요</v>
      </c>
      <c r="V320" s="31"/>
      <c r="W320" s="19"/>
    </row>
    <row r="321" customFormat="false" ht="15" hidden="false" customHeight="true" outlineLevel="0" collapsed="false">
      <c r="A321" s="28" t="n">
        <v>317</v>
      </c>
      <c r="B321" s="29" t="s">
        <v>266</v>
      </c>
      <c r="C321" s="30" t="s">
        <v>770</v>
      </c>
      <c r="D321" s="29" t="s">
        <v>771</v>
      </c>
      <c r="E321" s="28" t="str">
        <f aca="false">IF($C321="","",IF(MID($C321,5,1)="S","S(봄)",IF(MID($C321,5,1)="M","M(여름)",IF(MID($C321,5,1)="X","X(사계절)",MID($C321,5,1)))))</f>
        <v>M(여름)</v>
      </c>
      <c r="F321" s="29" t="s">
        <v>106</v>
      </c>
      <c r="G321" s="31"/>
      <c r="H321" s="28" t="str">
        <f aca="false">IF($C321="","",REPLACE($C321,6,2,"26"))</f>
        <v>TVTCM26722</v>
      </c>
      <c r="I321" s="32" t="str">
        <f aca="false">IFERROR(INDEX(전년출고참조!$B$4:$B$638,MATCH($H321,전년출고참조!$A$4:$A$638,0)),"")</f>
        <v/>
      </c>
      <c r="J321" s="32" t="n">
        <v>46447</v>
      </c>
      <c r="K321" s="32" t="n">
        <f aca="false">IF($G321&lt;&gt;"",IFERROR(DATE(IF(VALUE(LEFT($G321,FIND("월",$G321)-1))&gt;=9,기준정보!$C$6-1,기준정보!$C$6),VALUE(LEFT($G321,FIND("월",$G321)-1)),1+7*(VALUE(SUBSTITUTE(MID($G321,FIND("월",$G321)+1,5),"주",""))-1)),""),IF($I321&lt;&gt;"",IF(ISNUMBER($I321),$I321+364,IFERROR(DATE(IF(VALUE(LEFT($I321,FIND("월",$I321)-1))&gt;=9,기준정보!$C$6-1,기준정보!$C$6),VALUE(LEFT($I321,FIND("월",$I321)-1)),1+7*(VALUE(SUBSTITUTE(MID($I321,FIND("월",$I321)+1,5),"주",""))-1)),"")),IF($J321&lt;&gt;"",$J321,"")))</f>
        <v>46447</v>
      </c>
      <c r="L321" s="28" t="str">
        <f aca="false">IF($G321&lt;&gt;"","계획 주차",IF($I321&lt;&gt;"","전년+1년 예측",IF($J321&lt;&gt;"","전산 입고계획(참고)","미정")))</f>
        <v>전산 입고계획(참고)</v>
      </c>
      <c r="M321" s="32" t="n">
        <f aca="false">IF($K321="","",$K321-기준정보!$C$5)</f>
        <v>46357</v>
      </c>
      <c r="N321" s="33" t="n">
        <f aca="false">IF($M321="","",$M321-기준정보!$C$4)</f>
        <v>116</v>
      </c>
      <c r="O321" s="31" t="s">
        <v>108</v>
      </c>
      <c r="P321" s="20"/>
      <c r="Q321" s="30" t="str">
        <f aca="false">IF($F321="","",IF(AND(ISNUMBER(SEARCH("CMT",$F321)),OR(ISNUMBER(SEARCH("사입",$F321)),ISNUMBER(SEARCH("Buying",$F321)))),"본사/생산처 혼재",IF(ISNUMBER(SEARCH("CMT",$F321)),"본사(소재팀)","생산처")))</f>
        <v>생산처</v>
      </c>
      <c r="R321" s="29" t="s">
        <v>156</v>
      </c>
      <c r="S321" s="29" t="s">
        <v>110</v>
      </c>
      <c r="T321" s="30" t="str">
        <f aca="false">IF($K321="","출고일 미정",IF($O321="X","작지(일매) 미등록",IF($O321="부분","작지(일매) 일부 미등록",IF(AND($P321&lt;&gt;"",$P321&gt;$M321),"소재입고 마감("&amp;TEXT($M321,"MM/DD")&amp;") 초과",IF($O321="","일매 등록여부 확인 필요",IF($P321="","소재 입고일정 확인 필요","정상"))))))</f>
        <v>소재 입고일정 확인 필요</v>
      </c>
      <c r="U321" s="28" t="str">
        <f aca="false">IF($K321="","",IF(OR(LEFT($T321,2)="작지",LEFT($T321,4)="소재입고"),IF(LEFT($E321,1)="S","★ 납기위험(S코드)","◆ 지연주의"),IF($T321="정상","✓ 정상","? 확인필요")))</f>
        <v>? 확인필요</v>
      </c>
      <c r="V321" s="31"/>
      <c r="W321" s="19"/>
    </row>
    <row r="322" customFormat="false" ht="15" hidden="false" customHeight="true" outlineLevel="0" collapsed="false">
      <c r="A322" s="28" t="n">
        <v>318</v>
      </c>
      <c r="B322" s="29" t="s">
        <v>266</v>
      </c>
      <c r="C322" s="30" t="s">
        <v>772</v>
      </c>
      <c r="D322" s="29" t="s">
        <v>773</v>
      </c>
      <c r="E322" s="28" t="str">
        <f aca="false">IF($C322="","",IF(MID($C322,5,1)="S","S(봄)",IF(MID($C322,5,1)="M","M(여름)",IF(MID($C322,5,1)="X","X(사계절)",MID($C322,5,1)))))</f>
        <v>M(여름)</v>
      </c>
      <c r="F322" s="29" t="s">
        <v>106</v>
      </c>
      <c r="G322" s="31"/>
      <c r="H322" s="28" t="str">
        <f aca="false">IF($C322="","",REPLACE($C322,6,2,"26"))</f>
        <v>TVTCM26724</v>
      </c>
      <c r="I322" s="32" t="str">
        <f aca="false">IFERROR(INDEX(전년출고참조!$B$4:$B$638,MATCH($H322,전년출고참조!$A$4:$A$638,0)),"")</f>
        <v/>
      </c>
      <c r="J322" s="32" t="n">
        <v>46447</v>
      </c>
      <c r="K322" s="32" t="n">
        <f aca="false">IF($G322&lt;&gt;"",IFERROR(DATE(IF(VALUE(LEFT($G322,FIND("월",$G322)-1))&gt;=9,기준정보!$C$6-1,기준정보!$C$6),VALUE(LEFT($G322,FIND("월",$G322)-1)),1+7*(VALUE(SUBSTITUTE(MID($G322,FIND("월",$G322)+1,5),"주",""))-1)),""),IF($I322&lt;&gt;"",IF(ISNUMBER($I322),$I322+364,IFERROR(DATE(IF(VALUE(LEFT($I322,FIND("월",$I322)-1))&gt;=9,기준정보!$C$6-1,기준정보!$C$6),VALUE(LEFT($I322,FIND("월",$I322)-1)),1+7*(VALUE(SUBSTITUTE(MID($I322,FIND("월",$I322)+1,5),"주",""))-1)),"")),IF($J322&lt;&gt;"",$J322,"")))</f>
        <v>46447</v>
      </c>
      <c r="L322" s="28" t="str">
        <f aca="false">IF($G322&lt;&gt;"","계획 주차",IF($I322&lt;&gt;"","전년+1년 예측",IF($J322&lt;&gt;"","전산 입고계획(참고)","미정")))</f>
        <v>전산 입고계획(참고)</v>
      </c>
      <c r="M322" s="32" t="n">
        <f aca="false">IF($K322="","",$K322-기준정보!$C$5)</f>
        <v>46357</v>
      </c>
      <c r="N322" s="33" t="n">
        <f aca="false">IF($M322="","",$M322-기준정보!$C$4)</f>
        <v>116</v>
      </c>
      <c r="O322" s="31" t="s">
        <v>114</v>
      </c>
      <c r="P322" s="20"/>
      <c r="Q322" s="30" t="str">
        <f aca="false">IF($F322="","",IF(AND(ISNUMBER(SEARCH("CMT",$F322)),OR(ISNUMBER(SEARCH("사입",$F322)),ISNUMBER(SEARCH("Buying",$F322)))),"본사/생산처 혼재",IF(ISNUMBER(SEARCH("CMT",$F322)),"본사(소재팀)","생산처")))</f>
        <v>생산처</v>
      </c>
      <c r="R322" s="29" t="s">
        <v>156</v>
      </c>
      <c r="S322" s="29" t="s">
        <v>110</v>
      </c>
      <c r="T322" s="30" t="str">
        <f aca="false">IF($K322="","출고일 미정",IF($O322="X","작지(일매) 미등록",IF($O322="부분","작지(일매) 일부 미등록",IF(AND($P322&lt;&gt;"",$P322&gt;$M322),"소재입고 마감("&amp;TEXT($M322,"MM/DD")&amp;") 초과",IF($O322="","일매 등록여부 확인 필요",IF($P322="","소재 입고일정 확인 필요","정상"))))))</f>
        <v>작지(일매) 미등록</v>
      </c>
      <c r="U322" s="28" t="str">
        <f aca="false">IF($K322="","",IF(OR(LEFT($T322,2)="작지",LEFT($T322,4)="소재입고"),IF(LEFT($E322,1)="S","★ 납기위험(S코드)","◆ 지연주의"),IF($T322="정상","✓ 정상","? 확인필요")))</f>
        <v>◆ 지연주의</v>
      </c>
      <c r="V322" s="31"/>
      <c r="W322" s="19"/>
    </row>
    <row r="323" customFormat="false" ht="15" hidden="false" customHeight="true" outlineLevel="0" collapsed="false">
      <c r="A323" s="28" t="n">
        <v>319</v>
      </c>
      <c r="B323" s="29" t="s">
        <v>294</v>
      </c>
      <c r="C323" s="30" t="s">
        <v>774</v>
      </c>
      <c r="D323" s="29" t="s">
        <v>775</v>
      </c>
      <c r="E323" s="28" t="str">
        <f aca="false">IF($C323="","",IF(MID($C323,5,1)="S","S(봄)",IF(MID($C323,5,1)="M","M(여름)",IF(MID($C323,5,1)="X","X(사계절)",MID($C323,5,1)))))</f>
        <v>M(여름)</v>
      </c>
      <c r="F323" s="29" t="s">
        <v>106</v>
      </c>
      <c r="G323" s="31"/>
      <c r="H323" s="28" t="str">
        <f aca="false">IF($C323="","",REPLACE($C323,6,2,"26"))</f>
        <v>TLSCM26501</v>
      </c>
      <c r="I323" s="32" t="str">
        <f aca="false">IFERROR(INDEX(전년출고참조!$B$4:$B$638,MATCH($H323,전년출고참조!$A$4:$A$638,0)),"")</f>
        <v/>
      </c>
      <c r="J323" s="32" t="n">
        <v>46454</v>
      </c>
      <c r="K323" s="32" t="n">
        <f aca="false">IF($G323&lt;&gt;"",IFERROR(DATE(IF(VALUE(LEFT($G323,FIND("월",$G323)-1))&gt;=9,기준정보!$C$6-1,기준정보!$C$6),VALUE(LEFT($G323,FIND("월",$G323)-1)),1+7*(VALUE(SUBSTITUTE(MID($G323,FIND("월",$G323)+1,5),"주",""))-1)),""),IF($I323&lt;&gt;"",IF(ISNUMBER($I323),$I323+364,IFERROR(DATE(IF(VALUE(LEFT($I323,FIND("월",$I323)-1))&gt;=9,기준정보!$C$6-1,기준정보!$C$6),VALUE(LEFT($I323,FIND("월",$I323)-1)),1+7*(VALUE(SUBSTITUTE(MID($I323,FIND("월",$I323)+1,5),"주",""))-1)),"")),IF($J323&lt;&gt;"",$J323,"")))</f>
        <v>46454</v>
      </c>
      <c r="L323" s="28" t="str">
        <f aca="false">IF($G323&lt;&gt;"","계획 주차",IF($I323&lt;&gt;"","전년+1년 예측",IF($J323&lt;&gt;"","전산 입고계획(참고)","미정")))</f>
        <v>전산 입고계획(참고)</v>
      </c>
      <c r="M323" s="32" t="n">
        <f aca="false">IF($K323="","",$K323-기준정보!$C$5)</f>
        <v>46364</v>
      </c>
      <c r="N323" s="33" t="n">
        <f aca="false">IF($M323="","",$M323-기준정보!$C$4)</f>
        <v>123</v>
      </c>
      <c r="O323" s="31" t="s">
        <v>108</v>
      </c>
      <c r="P323" s="20"/>
      <c r="Q323" s="30" t="str">
        <f aca="false">IF($F323="","",IF(AND(ISNUMBER(SEARCH("CMT",$F323)),OR(ISNUMBER(SEARCH("사입",$F323)),ISNUMBER(SEARCH("Buying",$F323)))),"본사/생산처 혼재",IF(ISNUMBER(SEARCH("CMT",$F323)),"본사(소재팀)","생산처")))</f>
        <v>생산처</v>
      </c>
      <c r="R323" s="29" t="s">
        <v>377</v>
      </c>
      <c r="S323" s="29" t="s">
        <v>110</v>
      </c>
      <c r="T323" s="30" t="str">
        <f aca="false">IF($K323="","출고일 미정",IF($O323="X","작지(일매) 미등록",IF($O323="부분","작지(일매) 일부 미등록",IF(AND($P323&lt;&gt;"",$P323&gt;$M323),"소재입고 마감("&amp;TEXT($M323,"MM/DD")&amp;") 초과",IF($O323="","일매 등록여부 확인 필요",IF($P323="","소재 입고일정 확인 필요","정상"))))))</f>
        <v>소재 입고일정 확인 필요</v>
      </c>
      <c r="U323" s="28" t="str">
        <f aca="false">IF($K323="","",IF(OR(LEFT($T323,2)="작지",LEFT($T323,4)="소재입고"),IF(LEFT($E323,1)="S","★ 납기위험(S코드)","◆ 지연주의"),IF($T323="정상","✓ 정상","? 확인필요")))</f>
        <v>? 확인필요</v>
      </c>
      <c r="V323" s="31"/>
      <c r="W323" s="19"/>
    </row>
    <row r="324" customFormat="false" ht="15" hidden="false" customHeight="true" outlineLevel="0" collapsed="false">
      <c r="A324" s="28" t="n">
        <v>320</v>
      </c>
      <c r="B324" s="29" t="s">
        <v>294</v>
      </c>
      <c r="C324" s="30" t="s">
        <v>776</v>
      </c>
      <c r="D324" s="29" t="s">
        <v>777</v>
      </c>
      <c r="E324" s="28" t="str">
        <f aca="false">IF($C324="","",IF(MID($C324,5,1)="S","S(봄)",IF(MID($C324,5,1)="M","M(여름)",IF(MID($C324,5,1)="X","X(사계절)",MID($C324,5,1)))))</f>
        <v>M(여름)</v>
      </c>
      <c r="F324" s="29" t="s">
        <v>106</v>
      </c>
      <c r="G324" s="31"/>
      <c r="H324" s="28" t="str">
        <f aca="false">IF($C324="","",REPLACE($C324,6,2,"26"))</f>
        <v>TLSCM26511</v>
      </c>
      <c r="I324" s="32" t="str">
        <f aca="false">IFERROR(INDEX(전년출고참조!$B$4:$B$638,MATCH($H324,전년출고참조!$A$4:$A$638,0)),"")</f>
        <v/>
      </c>
      <c r="J324" s="32" t="n">
        <v>46454</v>
      </c>
      <c r="K324" s="32" t="n">
        <f aca="false">IF($G324&lt;&gt;"",IFERROR(DATE(IF(VALUE(LEFT($G324,FIND("월",$G324)-1))&gt;=9,기준정보!$C$6-1,기준정보!$C$6),VALUE(LEFT($G324,FIND("월",$G324)-1)),1+7*(VALUE(SUBSTITUTE(MID($G324,FIND("월",$G324)+1,5),"주",""))-1)),""),IF($I324&lt;&gt;"",IF(ISNUMBER($I324),$I324+364,IFERROR(DATE(IF(VALUE(LEFT($I324,FIND("월",$I324)-1))&gt;=9,기준정보!$C$6-1,기준정보!$C$6),VALUE(LEFT($I324,FIND("월",$I324)-1)),1+7*(VALUE(SUBSTITUTE(MID($I324,FIND("월",$I324)+1,5),"주",""))-1)),"")),IF($J324&lt;&gt;"",$J324,"")))</f>
        <v>46454</v>
      </c>
      <c r="L324" s="28" t="str">
        <f aca="false">IF($G324&lt;&gt;"","계획 주차",IF($I324&lt;&gt;"","전년+1년 예측",IF($J324&lt;&gt;"","전산 입고계획(참고)","미정")))</f>
        <v>전산 입고계획(참고)</v>
      </c>
      <c r="M324" s="32" t="n">
        <f aca="false">IF($K324="","",$K324-기준정보!$C$5)</f>
        <v>46364</v>
      </c>
      <c r="N324" s="33" t="n">
        <f aca="false">IF($M324="","",$M324-기준정보!$C$4)</f>
        <v>123</v>
      </c>
      <c r="O324" s="31" t="s">
        <v>108</v>
      </c>
      <c r="P324" s="20"/>
      <c r="Q324" s="30" t="str">
        <f aca="false">IF($F324="","",IF(AND(ISNUMBER(SEARCH("CMT",$F324)),OR(ISNUMBER(SEARCH("사입",$F324)),ISNUMBER(SEARCH("Buying",$F324)))),"본사/생산처 혼재",IF(ISNUMBER(SEARCH("CMT",$F324)),"본사(소재팀)","생산처")))</f>
        <v>생산처</v>
      </c>
      <c r="R324" s="29" t="s">
        <v>377</v>
      </c>
      <c r="S324" s="29" t="s">
        <v>110</v>
      </c>
      <c r="T324" s="30" t="str">
        <f aca="false">IF($K324="","출고일 미정",IF($O324="X","작지(일매) 미등록",IF($O324="부분","작지(일매) 일부 미등록",IF(AND($P324&lt;&gt;"",$P324&gt;$M324),"소재입고 마감("&amp;TEXT($M324,"MM/DD")&amp;") 초과",IF($O324="","일매 등록여부 확인 필요",IF($P324="","소재 입고일정 확인 필요","정상"))))))</f>
        <v>소재 입고일정 확인 필요</v>
      </c>
      <c r="U324" s="28" t="str">
        <f aca="false">IF($K324="","",IF(OR(LEFT($T324,2)="작지",LEFT($T324,4)="소재입고"),IF(LEFT($E324,1)="S","★ 납기위험(S코드)","◆ 지연주의"),IF($T324="정상","✓ 정상","? 확인필요")))</f>
        <v>? 확인필요</v>
      </c>
      <c r="V324" s="31"/>
      <c r="W324" s="19"/>
    </row>
    <row r="325" customFormat="false" ht="15" hidden="false" customHeight="true" outlineLevel="0" collapsed="false">
      <c r="A325" s="28" t="n">
        <v>321</v>
      </c>
      <c r="B325" s="29" t="s">
        <v>294</v>
      </c>
      <c r="C325" s="30" t="s">
        <v>778</v>
      </c>
      <c r="D325" s="29" t="s">
        <v>779</v>
      </c>
      <c r="E325" s="28" t="str">
        <f aca="false">IF($C325="","",IF(MID($C325,5,1)="S","S(봄)",IF(MID($C325,5,1)="M","M(여름)",IF(MID($C325,5,1)="X","X(사계절)",MID($C325,5,1)))))</f>
        <v>M(여름)</v>
      </c>
      <c r="F325" s="29" t="s">
        <v>106</v>
      </c>
      <c r="G325" s="31"/>
      <c r="H325" s="28" t="str">
        <f aca="false">IF($C325="","",REPLACE($C325,6,2,"26"))</f>
        <v>TLSCM26921</v>
      </c>
      <c r="I325" s="32" t="str">
        <f aca="false">IFERROR(INDEX(전년출고참조!$B$4:$B$638,MATCH($H325,전년출고참조!$A$4:$A$638,0)),"")</f>
        <v/>
      </c>
      <c r="J325" s="32" t="n">
        <v>46454</v>
      </c>
      <c r="K325" s="32" t="n">
        <f aca="false">IF($G325&lt;&gt;"",IFERROR(DATE(IF(VALUE(LEFT($G325,FIND("월",$G325)-1))&gt;=9,기준정보!$C$6-1,기준정보!$C$6),VALUE(LEFT($G325,FIND("월",$G325)-1)),1+7*(VALUE(SUBSTITUTE(MID($G325,FIND("월",$G325)+1,5),"주",""))-1)),""),IF($I325&lt;&gt;"",IF(ISNUMBER($I325),$I325+364,IFERROR(DATE(IF(VALUE(LEFT($I325,FIND("월",$I325)-1))&gt;=9,기준정보!$C$6-1,기준정보!$C$6),VALUE(LEFT($I325,FIND("월",$I325)-1)),1+7*(VALUE(SUBSTITUTE(MID($I325,FIND("월",$I325)+1,5),"주",""))-1)),"")),IF($J325&lt;&gt;"",$J325,"")))</f>
        <v>46454</v>
      </c>
      <c r="L325" s="28" t="str">
        <f aca="false">IF($G325&lt;&gt;"","계획 주차",IF($I325&lt;&gt;"","전년+1년 예측",IF($J325&lt;&gt;"","전산 입고계획(참고)","미정")))</f>
        <v>전산 입고계획(참고)</v>
      </c>
      <c r="M325" s="32" t="n">
        <f aca="false">IF($K325="","",$K325-기준정보!$C$5)</f>
        <v>46364</v>
      </c>
      <c r="N325" s="33" t="n">
        <f aca="false">IF($M325="","",$M325-기준정보!$C$4)</f>
        <v>123</v>
      </c>
      <c r="O325" s="31" t="s">
        <v>108</v>
      </c>
      <c r="P325" s="20"/>
      <c r="Q325" s="30" t="str">
        <f aca="false">IF($F325="","",IF(AND(ISNUMBER(SEARCH("CMT",$F325)),OR(ISNUMBER(SEARCH("사입",$F325)),ISNUMBER(SEARCH("Buying",$F325)))),"본사/생산처 혼재",IF(ISNUMBER(SEARCH("CMT",$F325)),"본사(소재팀)","생산처")))</f>
        <v>생산처</v>
      </c>
      <c r="R325" s="29" t="s">
        <v>377</v>
      </c>
      <c r="S325" s="29" t="s">
        <v>110</v>
      </c>
      <c r="T325" s="30" t="str">
        <f aca="false">IF($K325="","출고일 미정",IF($O325="X","작지(일매) 미등록",IF($O325="부분","작지(일매) 일부 미등록",IF(AND($P325&lt;&gt;"",$P325&gt;$M325),"소재입고 마감("&amp;TEXT($M325,"MM/DD")&amp;") 초과",IF($O325="","일매 등록여부 확인 필요",IF($P325="","소재 입고일정 확인 필요","정상"))))))</f>
        <v>소재 입고일정 확인 필요</v>
      </c>
      <c r="U325" s="28" t="str">
        <f aca="false">IF($K325="","",IF(OR(LEFT($T325,2)="작지",LEFT($T325,4)="소재입고"),IF(LEFT($E325,1)="S","★ 납기위험(S코드)","◆ 지연주의"),IF($T325="정상","✓ 정상","? 확인필요")))</f>
        <v>? 확인필요</v>
      </c>
      <c r="V325" s="31"/>
      <c r="W325" s="19"/>
    </row>
    <row r="326" customFormat="false" ht="15" hidden="false" customHeight="true" outlineLevel="0" collapsed="false">
      <c r="A326" s="28" t="n">
        <v>322</v>
      </c>
      <c r="B326" s="29" t="s">
        <v>294</v>
      </c>
      <c r="C326" s="30" t="s">
        <v>780</v>
      </c>
      <c r="D326" s="29" t="s">
        <v>781</v>
      </c>
      <c r="E326" s="28" t="str">
        <f aca="false">IF($C326="","",IF(MID($C326,5,1)="S","S(봄)",IF(MID($C326,5,1)="M","M(여름)",IF(MID($C326,5,1)="X","X(사계절)",MID($C326,5,1)))))</f>
        <v>M(여름)</v>
      </c>
      <c r="F326" s="30" t="s">
        <v>113</v>
      </c>
      <c r="G326" s="31"/>
      <c r="H326" s="28" t="str">
        <f aca="false">IF($C326="","",REPLACE($C326,6,2,"26"))</f>
        <v>TLTCM26501</v>
      </c>
      <c r="I326" s="32" t="str">
        <f aca="false">IFERROR(INDEX(전년출고참조!$B$4:$B$638,MATCH($H326,전년출고참조!$A$4:$A$638,0)),"")</f>
        <v/>
      </c>
      <c r="J326" s="32" t="n">
        <v>46454</v>
      </c>
      <c r="K326" s="32" t="n">
        <f aca="false">IF($G326&lt;&gt;"",IFERROR(DATE(IF(VALUE(LEFT($G326,FIND("월",$G326)-1))&gt;=9,기준정보!$C$6-1,기준정보!$C$6),VALUE(LEFT($G326,FIND("월",$G326)-1)),1+7*(VALUE(SUBSTITUTE(MID($G326,FIND("월",$G326)+1,5),"주",""))-1)),""),IF($I326&lt;&gt;"",IF(ISNUMBER($I326),$I326+364,IFERROR(DATE(IF(VALUE(LEFT($I326,FIND("월",$I326)-1))&gt;=9,기준정보!$C$6-1,기준정보!$C$6),VALUE(LEFT($I326,FIND("월",$I326)-1)),1+7*(VALUE(SUBSTITUTE(MID($I326,FIND("월",$I326)+1,5),"주",""))-1)),"")),IF($J326&lt;&gt;"",$J326,"")))</f>
        <v>46454</v>
      </c>
      <c r="L326" s="28" t="str">
        <f aca="false">IF($G326&lt;&gt;"","계획 주차",IF($I326&lt;&gt;"","전년+1년 예측",IF($J326&lt;&gt;"","전산 입고계획(참고)","미정")))</f>
        <v>전산 입고계획(참고)</v>
      </c>
      <c r="M326" s="32" t="n">
        <f aca="false">IF($K326="","",$K326-기준정보!$C$5)</f>
        <v>46364</v>
      </c>
      <c r="N326" s="33" t="n">
        <f aca="false">IF($M326="","",$M326-기준정보!$C$4)</f>
        <v>123</v>
      </c>
      <c r="O326" s="31" t="s">
        <v>114</v>
      </c>
      <c r="P326" s="20"/>
      <c r="Q326" s="30" t="str">
        <f aca="false">IF($F326="","",IF(AND(ISNUMBER(SEARCH("CMT",$F326)),OR(ISNUMBER(SEARCH("사입",$F326)),ISNUMBER(SEARCH("Buying",$F326)))),"본사/생산처 혼재",IF(ISNUMBER(SEARCH("CMT",$F326)),"본사(소재팀)","생산처")))</f>
        <v>생산처</v>
      </c>
      <c r="R326" s="30" t="s">
        <v>201</v>
      </c>
      <c r="S326" s="29" t="s">
        <v>110</v>
      </c>
      <c r="T326" s="30" t="str">
        <f aca="false">IF($K326="","출고일 미정",IF($O326="X","작지(일매) 미등록",IF($O326="부분","작지(일매) 일부 미등록",IF(AND($P326&lt;&gt;"",$P326&gt;$M326),"소재입고 마감("&amp;TEXT($M326,"MM/DD")&amp;") 초과",IF($O326="","일매 등록여부 확인 필요",IF($P326="","소재 입고일정 확인 필요","정상"))))))</f>
        <v>작지(일매) 미등록</v>
      </c>
      <c r="U326" s="28" t="str">
        <f aca="false">IF($K326="","",IF(OR(LEFT($T326,2)="작지",LEFT($T326,4)="소재입고"),IF(LEFT($E326,1)="S","★ 납기위험(S코드)","◆ 지연주의"),IF($T326="정상","✓ 정상","? 확인필요")))</f>
        <v>◆ 지연주의</v>
      </c>
      <c r="V326" s="31"/>
      <c r="W326" s="19"/>
    </row>
    <row r="327" customFormat="false" ht="15" hidden="false" customHeight="true" outlineLevel="0" collapsed="false">
      <c r="A327" s="28" t="n">
        <v>323</v>
      </c>
      <c r="B327" s="29" t="s">
        <v>294</v>
      </c>
      <c r="C327" s="30" t="s">
        <v>782</v>
      </c>
      <c r="D327" s="29" t="s">
        <v>783</v>
      </c>
      <c r="E327" s="28" t="str">
        <f aca="false">IF($C327="","",IF(MID($C327,5,1)="S","S(봄)",IF(MID($C327,5,1)="M","M(여름)",IF(MID($C327,5,1)="X","X(사계절)",MID($C327,5,1)))))</f>
        <v>M(여름)</v>
      </c>
      <c r="F327" s="29" t="s">
        <v>106</v>
      </c>
      <c r="G327" s="31"/>
      <c r="H327" s="28" t="str">
        <f aca="false">IF($C327="","",REPLACE($C327,6,2,"26"))</f>
        <v>TLTCM26505</v>
      </c>
      <c r="I327" s="32" t="str">
        <f aca="false">IFERROR(INDEX(전년출고참조!$B$4:$B$638,MATCH($H327,전년출고참조!$A$4:$A$638,0)),"")</f>
        <v/>
      </c>
      <c r="J327" s="32" t="n">
        <v>46454</v>
      </c>
      <c r="K327" s="32" t="n">
        <f aca="false">IF($G327&lt;&gt;"",IFERROR(DATE(IF(VALUE(LEFT($G327,FIND("월",$G327)-1))&gt;=9,기준정보!$C$6-1,기준정보!$C$6),VALUE(LEFT($G327,FIND("월",$G327)-1)),1+7*(VALUE(SUBSTITUTE(MID($G327,FIND("월",$G327)+1,5),"주",""))-1)),""),IF($I327&lt;&gt;"",IF(ISNUMBER($I327),$I327+364,IFERROR(DATE(IF(VALUE(LEFT($I327,FIND("월",$I327)-1))&gt;=9,기준정보!$C$6-1,기준정보!$C$6),VALUE(LEFT($I327,FIND("월",$I327)-1)),1+7*(VALUE(SUBSTITUTE(MID($I327,FIND("월",$I327)+1,5),"주",""))-1)),"")),IF($J327&lt;&gt;"",$J327,"")))</f>
        <v>46454</v>
      </c>
      <c r="L327" s="28" t="str">
        <f aca="false">IF($G327&lt;&gt;"","계획 주차",IF($I327&lt;&gt;"","전년+1년 예측",IF($J327&lt;&gt;"","전산 입고계획(참고)","미정")))</f>
        <v>전산 입고계획(참고)</v>
      </c>
      <c r="M327" s="32" t="n">
        <f aca="false">IF($K327="","",$K327-기준정보!$C$5)</f>
        <v>46364</v>
      </c>
      <c r="N327" s="33" t="n">
        <f aca="false">IF($M327="","",$M327-기준정보!$C$4)</f>
        <v>123</v>
      </c>
      <c r="O327" s="31" t="s">
        <v>108</v>
      </c>
      <c r="P327" s="20"/>
      <c r="Q327" s="30" t="str">
        <f aca="false">IF($F327="","",IF(AND(ISNUMBER(SEARCH("CMT",$F327)),OR(ISNUMBER(SEARCH("사입",$F327)),ISNUMBER(SEARCH("Buying",$F327)))),"본사/생산처 혼재",IF(ISNUMBER(SEARCH("CMT",$F327)),"본사(소재팀)","생산처")))</f>
        <v>생산처</v>
      </c>
      <c r="R327" s="29" t="s">
        <v>156</v>
      </c>
      <c r="S327" s="29" t="s">
        <v>110</v>
      </c>
      <c r="T327" s="30" t="str">
        <f aca="false">IF($K327="","출고일 미정",IF($O327="X","작지(일매) 미등록",IF($O327="부분","작지(일매) 일부 미등록",IF(AND($P327&lt;&gt;"",$P327&gt;$M327),"소재입고 마감("&amp;TEXT($M327,"MM/DD")&amp;") 초과",IF($O327="","일매 등록여부 확인 필요",IF($P327="","소재 입고일정 확인 필요","정상"))))))</f>
        <v>소재 입고일정 확인 필요</v>
      </c>
      <c r="U327" s="28" t="str">
        <f aca="false">IF($K327="","",IF(OR(LEFT($T327,2)="작지",LEFT($T327,4)="소재입고"),IF(LEFT($E327,1)="S","★ 납기위험(S코드)","◆ 지연주의"),IF($T327="정상","✓ 정상","? 확인필요")))</f>
        <v>? 확인필요</v>
      </c>
      <c r="V327" s="31"/>
      <c r="W327" s="19"/>
    </row>
    <row r="328" customFormat="false" ht="15" hidden="false" customHeight="true" outlineLevel="0" collapsed="false">
      <c r="A328" s="28" t="n">
        <v>324</v>
      </c>
      <c r="B328" s="29" t="s">
        <v>294</v>
      </c>
      <c r="C328" s="30" t="s">
        <v>784</v>
      </c>
      <c r="D328" s="29" t="s">
        <v>785</v>
      </c>
      <c r="E328" s="28" t="str">
        <f aca="false">IF($C328="","",IF(MID($C328,5,1)="S","S(봄)",IF(MID($C328,5,1)="M","M(여름)",IF(MID($C328,5,1)="X","X(사계절)",MID($C328,5,1)))))</f>
        <v>M(여름)</v>
      </c>
      <c r="F328" s="29" t="s">
        <v>106</v>
      </c>
      <c r="G328" s="31"/>
      <c r="H328" s="28" t="str">
        <f aca="false">IF($C328="","",REPLACE($C328,6,2,"26"))</f>
        <v>TLTCM26509</v>
      </c>
      <c r="I328" s="32" t="str">
        <f aca="false">IFERROR(INDEX(전년출고참조!$B$4:$B$638,MATCH($H328,전년출고참조!$A$4:$A$638,0)),"")</f>
        <v/>
      </c>
      <c r="J328" s="32" t="n">
        <v>46454</v>
      </c>
      <c r="K328" s="32" t="n">
        <f aca="false">IF($G328&lt;&gt;"",IFERROR(DATE(IF(VALUE(LEFT($G328,FIND("월",$G328)-1))&gt;=9,기준정보!$C$6-1,기준정보!$C$6),VALUE(LEFT($G328,FIND("월",$G328)-1)),1+7*(VALUE(SUBSTITUTE(MID($G328,FIND("월",$G328)+1,5),"주",""))-1)),""),IF($I328&lt;&gt;"",IF(ISNUMBER($I328),$I328+364,IFERROR(DATE(IF(VALUE(LEFT($I328,FIND("월",$I328)-1))&gt;=9,기준정보!$C$6-1,기준정보!$C$6),VALUE(LEFT($I328,FIND("월",$I328)-1)),1+7*(VALUE(SUBSTITUTE(MID($I328,FIND("월",$I328)+1,5),"주",""))-1)),"")),IF($J328&lt;&gt;"",$J328,"")))</f>
        <v>46454</v>
      </c>
      <c r="L328" s="28" t="str">
        <f aca="false">IF($G328&lt;&gt;"","계획 주차",IF($I328&lt;&gt;"","전년+1년 예측",IF($J328&lt;&gt;"","전산 입고계획(참고)","미정")))</f>
        <v>전산 입고계획(참고)</v>
      </c>
      <c r="M328" s="32" t="n">
        <f aca="false">IF($K328="","",$K328-기준정보!$C$5)</f>
        <v>46364</v>
      </c>
      <c r="N328" s="33" t="n">
        <f aca="false">IF($M328="","",$M328-기준정보!$C$4)</f>
        <v>123</v>
      </c>
      <c r="O328" s="31" t="s">
        <v>108</v>
      </c>
      <c r="P328" s="20"/>
      <c r="Q328" s="30" t="str">
        <f aca="false">IF($F328="","",IF(AND(ISNUMBER(SEARCH("CMT",$F328)),OR(ISNUMBER(SEARCH("사입",$F328)),ISNUMBER(SEARCH("Buying",$F328)))),"본사/생산처 혼재",IF(ISNUMBER(SEARCH("CMT",$F328)),"본사(소재팀)","생산처")))</f>
        <v>생산처</v>
      </c>
      <c r="R328" s="29" t="s">
        <v>156</v>
      </c>
      <c r="S328" s="29" t="s">
        <v>110</v>
      </c>
      <c r="T328" s="30" t="str">
        <f aca="false">IF($K328="","출고일 미정",IF($O328="X","작지(일매) 미등록",IF($O328="부분","작지(일매) 일부 미등록",IF(AND($P328&lt;&gt;"",$P328&gt;$M328),"소재입고 마감("&amp;TEXT($M328,"MM/DD")&amp;") 초과",IF($O328="","일매 등록여부 확인 필요",IF($P328="","소재 입고일정 확인 필요","정상"))))))</f>
        <v>소재 입고일정 확인 필요</v>
      </c>
      <c r="U328" s="28" t="str">
        <f aca="false">IF($K328="","",IF(OR(LEFT($T328,2)="작지",LEFT($T328,4)="소재입고"),IF(LEFT($E328,1)="S","★ 납기위험(S코드)","◆ 지연주의"),IF($T328="정상","✓ 정상","? 확인필요")))</f>
        <v>? 확인필요</v>
      </c>
      <c r="V328" s="31"/>
      <c r="W328" s="19"/>
    </row>
    <row r="329" customFormat="false" ht="15" hidden="false" customHeight="true" outlineLevel="0" collapsed="false">
      <c r="A329" s="28" t="n">
        <v>325</v>
      </c>
      <c r="B329" s="29" t="s">
        <v>294</v>
      </c>
      <c r="C329" s="30" t="s">
        <v>786</v>
      </c>
      <c r="D329" s="29" t="s">
        <v>787</v>
      </c>
      <c r="E329" s="28" t="str">
        <f aca="false">IF($C329="","",IF(MID($C329,5,1)="S","S(봄)",IF(MID($C329,5,1)="M","M(여름)",IF(MID($C329,5,1)="X","X(사계절)",MID($C329,5,1)))))</f>
        <v>M(여름)</v>
      </c>
      <c r="F329" s="29" t="s">
        <v>106</v>
      </c>
      <c r="G329" s="31"/>
      <c r="H329" s="28" t="str">
        <f aca="false">IF($C329="","",REPLACE($C329,6,2,"26"))</f>
        <v>TLTCM26529</v>
      </c>
      <c r="I329" s="32" t="str">
        <f aca="false">IFERROR(INDEX(전년출고참조!$B$4:$B$638,MATCH($H329,전년출고참조!$A$4:$A$638,0)),"")</f>
        <v/>
      </c>
      <c r="J329" s="32" t="n">
        <v>46454</v>
      </c>
      <c r="K329" s="32" t="n">
        <f aca="false">IF($G329&lt;&gt;"",IFERROR(DATE(IF(VALUE(LEFT($G329,FIND("월",$G329)-1))&gt;=9,기준정보!$C$6-1,기준정보!$C$6),VALUE(LEFT($G329,FIND("월",$G329)-1)),1+7*(VALUE(SUBSTITUTE(MID($G329,FIND("월",$G329)+1,5),"주",""))-1)),""),IF($I329&lt;&gt;"",IF(ISNUMBER($I329),$I329+364,IFERROR(DATE(IF(VALUE(LEFT($I329,FIND("월",$I329)-1))&gt;=9,기준정보!$C$6-1,기준정보!$C$6),VALUE(LEFT($I329,FIND("월",$I329)-1)),1+7*(VALUE(SUBSTITUTE(MID($I329,FIND("월",$I329)+1,5),"주",""))-1)),"")),IF($J329&lt;&gt;"",$J329,"")))</f>
        <v>46454</v>
      </c>
      <c r="L329" s="28" t="str">
        <f aca="false">IF($G329&lt;&gt;"","계획 주차",IF($I329&lt;&gt;"","전년+1년 예측",IF($J329&lt;&gt;"","전산 입고계획(참고)","미정")))</f>
        <v>전산 입고계획(참고)</v>
      </c>
      <c r="M329" s="32" t="n">
        <f aca="false">IF($K329="","",$K329-기준정보!$C$5)</f>
        <v>46364</v>
      </c>
      <c r="N329" s="33" t="n">
        <f aca="false">IF($M329="","",$M329-기준정보!$C$4)</f>
        <v>123</v>
      </c>
      <c r="O329" s="31" t="s">
        <v>108</v>
      </c>
      <c r="P329" s="20"/>
      <c r="Q329" s="30" t="str">
        <f aca="false">IF($F329="","",IF(AND(ISNUMBER(SEARCH("CMT",$F329)),OR(ISNUMBER(SEARCH("사입",$F329)),ISNUMBER(SEARCH("Buying",$F329)))),"본사/생산처 혼재",IF(ISNUMBER(SEARCH("CMT",$F329)),"본사(소재팀)","생산처")))</f>
        <v>생산처</v>
      </c>
      <c r="R329" s="29" t="s">
        <v>156</v>
      </c>
      <c r="S329" s="29" t="s">
        <v>110</v>
      </c>
      <c r="T329" s="30" t="str">
        <f aca="false">IF($K329="","출고일 미정",IF($O329="X","작지(일매) 미등록",IF($O329="부분","작지(일매) 일부 미등록",IF(AND($P329&lt;&gt;"",$P329&gt;$M329),"소재입고 마감("&amp;TEXT($M329,"MM/DD")&amp;") 초과",IF($O329="","일매 등록여부 확인 필요",IF($P329="","소재 입고일정 확인 필요","정상"))))))</f>
        <v>소재 입고일정 확인 필요</v>
      </c>
      <c r="U329" s="28" t="str">
        <f aca="false">IF($K329="","",IF(OR(LEFT($T329,2)="작지",LEFT($T329,4)="소재입고"),IF(LEFT($E329,1)="S","★ 납기위험(S코드)","◆ 지연주의"),IF($T329="정상","✓ 정상","? 확인필요")))</f>
        <v>? 확인필요</v>
      </c>
      <c r="V329" s="31"/>
      <c r="W329" s="19"/>
    </row>
    <row r="330" customFormat="false" ht="15" hidden="false" customHeight="true" outlineLevel="0" collapsed="false">
      <c r="A330" s="28" t="n">
        <v>326</v>
      </c>
      <c r="B330" s="29" t="s">
        <v>294</v>
      </c>
      <c r="C330" s="30" t="s">
        <v>788</v>
      </c>
      <c r="D330" s="29" t="s">
        <v>789</v>
      </c>
      <c r="E330" s="28" t="str">
        <f aca="false">IF($C330="","",IF(MID($C330,5,1)="S","S(봄)",IF(MID($C330,5,1)="M","M(여름)",IF(MID($C330,5,1)="X","X(사계절)",MID($C330,5,1)))))</f>
        <v>M(여름)</v>
      </c>
      <c r="F330" s="29" t="s">
        <v>106</v>
      </c>
      <c r="G330" s="31"/>
      <c r="H330" s="28" t="str">
        <f aca="false">IF($C330="","",REPLACE($C330,6,2,"26"))</f>
        <v>TLTCM26591</v>
      </c>
      <c r="I330" s="32" t="str">
        <f aca="false">IFERROR(INDEX(전년출고참조!$B$4:$B$638,MATCH($H330,전년출고참조!$A$4:$A$638,0)),"")</f>
        <v/>
      </c>
      <c r="J330" s="32" t="n">
        <v>46454</v>
      </c>
      <c r="K330" s="32" t="n">
        <f aca="false">IF($G330&lt;&gt;"",IFERROR(DATE(IF(VALUE(LEFT($G330,FIND("월",$G330)-1))&gt;=9,기준정보!$C$6-1,기준정보!$C$6),VALUE(LEFT($G330,FIND("월",$G330)-1)),1+7*(VALUE(SUBSTITUTE(MID($G330,FIND("월",$G330)+1,5),"주",""))-1)),""),IF($I330&lt;&gt;"",IF(ISNUMBER($I330),$I330+364,IFERROR(DATE(IF(VALUE(LEFT($I330,FIND("월",$I330)-1))&gt;=9,기준정보!$C$6-1,기준정보!$C$6),VALUE(LEFT($I330,FIND("월",$I330)-1)),1+7*(VALUE(SUBSTITUTE(MID($I330,FIND("월",$I330)+1,5),"주",""))-1)),"")),IF($J330&lt;&gt;"",$J330,"")))</f>
        <v>46454</v>
      </c>
      <c r="L330" s="28" t="str">
        <f aca="false">IF($G330&lt;&gt;"","계획 주차",IF($I330&lt;&gt;"","전년+1년 예측",IF($J330&lt;&gt;"","전산 입고계획(참고)","미정")))</f>
        <v>전산 입고계획(참고)</v>
      </c>
      <c r="M330" s="32" t="n">
        <f aca="false">IF($K330="","",$K330-기준정보!$C$5)</f>
        <v>46364</v>
      </c>
      <c r="N330" s="33" t="n">
        <f aca="false">IF($M330="","",$M330-기준정보!$C$4)</f>
        <v>123</v>
      </c>
      <c r="O330" s="31" t="s">
        <v>108</v>
      </c>
      <c r="P330" s="20"/>
      <c r="Q330" s="30" t="str">
        <f aca="false">IF($F330="","",IF(AND(ISNUMBER(SEARCH("CMT",$F330)),OR(ISNUMBER(SEARCH("사입",$F330)),ISNUMBER(SEARCH("Buying",$F330)))),"본사/생산처 혼재",IF(ISNUMBER(SEARCH("CMT",$F330)),"본사(소재팀)","생산처")))</f>
        <v>생산처</v>
      </c>
      <c r="R330" s="29" t="s">
        <v>156</v>
      </c>
      <c r="S330" s="29" t="s">
        <v>110</v>
      </c>
      <c r="T330" s="30" t="str">
        <f aca="false">IF($K330="","출고일 미정",IF($O330="X","작지(일매) 미등록",IF($O330="부분","작지(일매) 일부 미등록",IF(AND($P330&lt;&gt;"",$P330&gt;$M330),"소재입고 마감("&amp;TEXT($M330,"MM/DD")&amp;") 초과",IF($O330="","일매 등록여부 확인 필요",IF($P330="","소재 입고일정 확인 필요","정상"))))))</f>
        <v>소재 입고일정 확인 필요</v>
      </c>
      <c r="U330" s="28" t="str">
        <f aca="false">IF($K330="","",IF(OR(LEFT($T330,2)="작지",LEFT($T330,4)="소재입고"),IF(LEFT($E330,1)="S","★ 납기위험(S코드)","◆ 지연주의"),IF($T330="정상","✓ 정상","? 확인필요")))</f>
        <v>? 확인필요</v>
      </c>
      <c r="V330" s="31"/>
      <c r="W330" s="19"/>
    </row>
    <row r="331" customFormat="false" ht="15" hidden="false" customHeight="true" outlineLevel="0" collapsed="false">
      <c r="A331" s="28" t="n">
        <v>327</v>
      </c>
      <c r="B331" s="29" t="s">
        <v>294</v>
      </c>
      <c r="C331" s="30" t="s">
        <v>790</v>
      </c>
      <c r="D331" s="29" t="s">
        <v>791</v>
      </c>
      <c r="E331" s="28" t="str">
        <f aca="false">IF($C331="","",IF(MID($C331,5,1)="S","S(봄)",IF(MID($C331,5,1)="M","M(여름)",IF(MID($C331,5,1)="X","X(사계절)",MID($C331,5,1)))))</f>
        <v>M(여름)</v>
      </c>
      <c r="F331" s="29" t="s">
        <v>106</v>
      </c>
      <c r="G331" s="31"/>
      <c r="H331" s="28" t="str">
        <f aca="false">IF($C331="","",REPLACE($C331,6,2,"26"))</f>
        <v>TVSCM26512</v>
      </c>
      <c r="I331" s="32" t="str">
        <f aca="false">IFERROR(INDEX(전년출고참조!$B$4:$B$638,MATCH($H331,전년출고참조!$A$4:$A$638,0)),"")</f>
        <v/>
      </c>
      <c r="J331" s="32" t="n">
        <v>46454</v>
      </c>
      <c r="K331" s="32" t="n">
        <f aca="false">IF($G331&lt;&gt;"",IFERROR(DATE(IF(VALUE(LEFT($G331,FIND("월",$G331)-1))&gt;=9,기준정보!$C$6-1,기준정보!$C$6),VALUE(LEFT($G331,FIND("월",$G331)-1)),1+7*(VALUE(SUBSTITUTE(MID($G331,FIND("월",$G331)+1,5),"주",""))-1)),""),IF($I331&lt;&gt;"",IF(ISNUMBER($I331),$I331+364,IFERROR(DATE(IF(VALUE(LEFT($I331,FIND("월",$I331)-1))&gt;=9,기준정보!$C$6-1,기준정보!$C$6),VALUE(LEFT($I331,FIND("월",$I331)-1)),1+7*(VALUE(SUBSTITUTE(MID($I331,FIND("월",$I331)+1,5),"주",""))-1)),"")),IF($J331&lt;&gt;"",$J331,"")))</f>
        <v>46454</v>
      </c>
      <c r="L331" s="28" t="str">
        <f aca="false">IF($G331&lt;&gt;"","계획 주차",IF($I331&lt;&gt;"","전년+1년 예측",IF($J331&lt;&gt;"","전산 입고계획(참고)","미정")))</f>
        <v>전산 입고계획(참고)</v>
      </c>
      <c r="M331" s="32" t="n">
        <f aca="false">IF($K331="","",$K331-기준정보!$C$5)</f>
        <v>46364</v>
      </c>
      <c r="N331" s="33" t="n">
        <f aca="false">IF($M331="","",$M331-기준정보!$C$4)</f>
        <v>123</v>
      </c>
      <c r="O331" s="31" t="s">
        <v>108</v>
      </c>
      <c r="P331" s="20"/>
      <c r="Q331" s="30" t="str">
        <f aca="false">IF($F331="","",IF(AND(ISNUMBER(SEARCH("CMT",$F331)),OR(ISNUMBER(SEARCH("사입",$F331)),ISNUMBER(SEARCH("Buying",$F331)))),"본사/생산처 혼재",IF(ISNUMBER(SEARCH("CMT",$F331)),"본사(소재팀)","생산처")))</f>
        <v>생산처</v>
      </c>
      <c r="R331" s="29" t="s">
        <v>275</v>
      </c>
      <c r="S331" s="29" t="s">
        <v>110</v>
      </c>
      <c r="T331" s="30" t="str">
        <f aca="false">IF($K331="","출고일 미정",IF($O331="X","작지(일매) 미등록",IF($O331="부분","작지(일매) 일부 미등록",IF(AND($P331&lt;&gt;"",$P331&gt;$M331),"소재입고 마감("&amp;TEXT($M331,"MM/DD")&amp;") 초과",IF($O331="","일매 등록여부 확인 필요",IF($P331="","소재 입고일정 확인 필요","정상"))))))</f>
        <v>소재 입고일정 확인 필요</v>
      </c>
      <c r="U331" s="28" t="str">
        <f aca="false">IF($K331="","",IF(OR(LEFT($T331,2)="작지",LEFT($T331,4)="소재입고"),IF(LEFT($E331,1)="S","★ 납기위험(S코드)","◆ 지연주의"),IF($T331="정상","✓ 정상","? 확인필요")))</f>
        <v>? 확인필요</v>
      </c>
      <c r="V331" s="31"/>
      <c r="W331" s="19"/>
    </row>
    <row r="332" customFormat="false" ht="15" hidden="false" customHeight="true" outlineLevel="0" collapsed="false">
      <c r="A332" s="28" t="n">
        <v>328</v>
      </c>
      <c r="B332" s="29" t="s">
        <v>294</v>
      </c>
      <c r="C332" s="30" t="s">
        <v>792</v>
      </c>
      <c r="D332" s="29" t="s">
        <v>793</v>
      </c>
      <c r="E332" s="28" t="str">
        <f aca="false">IF($C332="","",IF(MID($C332,5,1)="S","S(봄)",IF(MID($C332,5,1)="M","M(여름)",IF(MID($C332,5,1)="X","X(사계절)",MID($C332,5,1)))))</f>
        <v>M(여름)</v>
      </c>
      <c r="F332" s="29" t="s">
        <v>106</v>
      </c>
      <c r="G332" s="31"/>
      <c r="H332" s="28" t="str">
        <f aca="false">IF($C332="","",REPLACE($C332,6,2,"26"))</f>
        <v>TVSXM26582</v>
      </c>
      <c r="I332" s="32" t="str">
        <f aca="false">IFERROR(INDEX(전년출고참조!$B$4:$B$638,MATCH($H332,전년출고참조!$A$4:$A$638,0)),"")</f>
        <v/>
      </c>
      <c r="J332" s="32" t="n">
        <v>46454</v>
      </c>
      <c r="K332" s="32" t="n">
        <f aca="false">IF($G332&lt;&gt;"",IFERROR(DATE(IF(VALUE(LEFT($G332,FIND("월",$G332)-1))&gt;=9,기준정보!$C$6-1,기준정보!$C$6),VALUE(LEFT($G332,FIND("월",$G332)-1)),1+7*(VALUE(SUBSTITUTE(MID($G332,FIND("월",$G332)+1,5),"주",""))-1)),""),IF($I332&lt;&gt;"",IF(ISNUMBER($I332),$I332+364,IFERROR(DATE(IF(VALUE(LEFT($I332,FIND("월",$I332)-1))&gt;=9,기준정보!$C$6-1,기준정보!$C$6),VALUE(LEFT($I332,FIND("월",$I332)-1)),1+7*(VALUE(SUBSTITUTE(MID($I332,FIND("월",$I332)+1,5),"주",""))-1)),"")),IF($J332&lt;&gt;"",$J332,"")))</f>
        <v>46454</v>
      </c>
      <c r="L332" s="28" t="str">
        <f aca="false">IF($G332&lt;&gt;"","계획 주차",IF($I332&lt;&gt;"","전년+1년 예측",IF($J332&lt;&gt;"","전산 입고계획(참고)","미정")))</f>
        <v>전산 입고계획(참고)</v>
      </c>
      <c r="M332" s="32" t="n">
        <f aca="false">IF($K332="","",$K332-기준정보!$C$5)</f>
        <v>46364</v>
      </c>
      <c r="N332" s="33" t="n">
        <f aca="false">IF($M332="","",$M332-기준정보!$C$4)</f>
        <v>123</v>
      </c>
      <c r="O332" s="31" t="s">
        <v>108</v>
      </c>
      <c r="P332" s="20"/>
      <c r="Q332" s="30" t="str">
        <f aca="false">IF($F332="","",IF(AND(ISNUMBER(SEARCH("CMT",$F332)),OR(ISNUMBER(SEARCH("사입",$F332)),ISNUMBER(SEARCH("Buying",$F332)))),"본사/생산처 혼재",IF(ISNUMBER(SEARCH("CMT",$F332)),"본사(소재팀)","생산처")))</f>
        <v>생산처</v>
      </c>
      <c r="R332" s="29" t="s">
        <v>275</v>
      </c>
      <c r="S332" s="29" t="s">
        <v>110</v>
      </c>
      <c r="T332" s="30" t="str">
        <f aca="false">IF($K332="","출고일 미정",IF($O332="X","작지(일매) 미등록",IF($O332="부분","작지(일매) 일부 미등록",IF(AND($P332&lt;&gt;"",$P332&gt;$M332),"소재입고 마감("&amp;TEXT($M332,"MM/DD")&amp;") 초과",IF($O332="","일매 등록여부 확인 필요",IF($P332="","소재 입고일정 확인 필요","정상"))))))</f>
        <v>소재 입고일정 확인 필요</v>
      </c>
      <c r="U332" s="28" t="str">
        <f aca="false">IF($K332="","",IF(OR(LEFT($T332,2)="작지",LEFT($T332,4)="소재입고"),IF(LEFT($E332,1)="S","★ 납기위험(S코드)","◆ 지연주의"),IF($T332="정상","✓ 정상","? 확인필요")))</f>
        <v>? 확인필요</v>
      </c>
      <c r="V332" s="31"/>
      <c r="W332" s="19"/>
    </row>
    <row r="333" customFormat="false" ht="15" hidden="false" customHeight="true" outlineLevel="0" collapsed="false">
      <c r="A333" s="28" t="n">
        <v>329</v>
      </c>
      <c r="B333" s="29" t="s">
        <v>294</v>
      </c>
      <c r="C333" s="30" t="s">
        <v>794</v>
      </c>
      <c r="D333" s="29" t="s">
        <v>795</v>
      </c>
      <c r="E333" s="28" t="str">
        <f aca="false">IF($C333="","",IF(MID($C333,5,1)="S","S(봄)",IF(MID($C333,5,1)="M","M(여름)",IF(MID($C333,5,1)="X","X(사계절)",MID($C333,5,1)))))</f>
        <v>M(여름)</v>
      </c>
      <c r="F333" s="29" t="s">
        <v>106</v>
      </c>
      <c r="G333" s="31"/>
      <c r="H333" s="28" t="str">
        <f aca="false">IF($C333="","",REPLACE($C333,6,2,"26"))</f>
        <v>TVSXM26902</v>
      </c>
      <c r="I333" s="32" t="str">
        <f aca="false">IFERROR(INDEX(전년출고참조!$B$4:$B$638,MATCH($H333,전년출고참조!$A$4:$A$638,0)),"")</f>
        <v/>
      </c>
      <c r="J333" s="32" t="n">
        <v>46454</v>
      </c>
      <c r="K333" s="32" t="n">
        <f aca="false">IF($G333&lt;&gt;"",IFERROR(DATE(IF(VALUE(LEFT($G333,FIND("월",$G333)-1))&gt;=9,기준정보!$C$6-1,기준정보!$C$6),VALUE(LEFT($G333,FIND("월",$G333)-1)),1+7*(VALUE(SUBSTITUTE(MID($G333,FIND("월",$G333)+1,5),"주",""))-1)),""),IF($I333&lt;&gt;"",IF(ISNUMBER($I333),$I333+364,IFERROR(DATE(IF(VALUE(LEFT($I333,FIND("월",$I333)-1))&gt;=9,기준정보!$C$6-1,기준정보!$C$6),VALUE(LEFT($I333,FIND("월",$I333)-1)),1+7*(VALUE(SUBSTITUTE(MID($I333,FIND("월",$I333)+1,5),"주",""))-1)),"")),IF($J333&lt;&gt;"",$J333,"")))</f>
        <v>46454</v>
      </c>
      <c r="L333" s="28" t="str">
        <f aca="false">IF($G333&lt;&gt;"","계획 주차",IF($I333&lt;&gt;"","전년+1년 예측",IF($J333&lt;&gt;"","전산 입고계획(참고)","미정")))</f>
        <v>전산 입고계획(참고)</v>
      </c>
      <c r="M333" s="32" t="n">
        <f aca="false">IF($K333="","",$K333-기준정보!$C$5)</f>
        <v>46364</v>
      </c>
      <c r="N333" s="33" t="n">
        <f aca="false">IF($M333="","",$M333-기준정보!$C$4)</f>
        <v>123</v>
      </c>
      <c r="O333" s="31" t="s">
        <v>108</v>
      </c>
      <c r="P333" s="20"/>
      <c r="Q333" s="30" t="str">
        <f aca="false">IF($F333="","",IF(AND(ISNUMBER(SEARCH("CMT",$F333)),OR(ISNUMBER(SEARCH("사입",$F333)),ISNUMBER(SEARCH("Buying",$F333)))),"본사/생산처 혼재",IF(ISNUMBER(SEARCH("CMT",$F333)),"본사(소재팀)","생산처")))</f>
        <v>생산처</v>
      </c>
      <c r="R333" s="29" t="s">
        <v>377</v>
      </c>
      <c r="S333" s="29" t="s">
        <v>110</v>
      </c>
      <c r="T333" s="30" t="str">
        <f aca="false">IF($K333="","출고일 미정",IF($O333="X","작지(일매) 미등록",IF($O333="부분","작지(일매) 일부 미등록",IF(AND($P333&lt;&gt;"",$P333&gt;$M333),"소재입고 마감("&amp;TEXT($M333,"MM/DD")&amp;") 초과",IF($O333="","일매 등록여부 확인 필요",IF($P333="","소재 입고일정 확인 필요","정상"))))))</f>
        <v>소재 입고일정 확인 필요</v>
      </c>
      <c r="U333" s="28" t="str">
        <f aca="false">IF($K333="","",IF(OR(LEFT($T333,2)="작지",LEFT($T333,4)="소재입고"),IF(LEFT($E333,1)="S","★ 납기위험(S코드)","◆ 지연주의"),IF($T333="정상","✓ 정상","? 확인필요")))</f>
        <v>? 확인필요</v>
      </c>
      <c r="V333" s="31"/>
      <c r="W333" s="19"/>
    </row>
    <row r="334" customFormat="false" ht="15" hidden="false" customHeight="true" outlineLevel="0" collapsed="false">
      <c r="A334" s="28" t="n">
        <v>330</v>
      </c>
      <c r="B334" s="29" t="s">
        <v>294</v>
      </c>
      <c r="C334" s="30" t="s">
        <v>796</v>
      </c>
      <c r="D334" s="29" t="s">
        <v>797</v>
      </c>
      <c r="E334" s="28" t="str">
        <f aca="false">IF($C334="","",IF(MID($C334,5,1)="S","S(봄)",IF(MID($C334,5,1)="M","M(여름)",IF(MID($C334,5,1)="X","X(사계절)",MID($C334,5,1)))))</f>
        <v>M(여름)</v>
      </c>
      <c r="F334" s="29" t="s">
        <v>106</v>
      </c>
      <c r="G334" s="31"/>
      <c r="H334" s="28" t="str">
        <f aca="false">IF($C334="","",REPLACE($C334,6,2,"26"))</f>
        <v>TVTCM26528</v>
      </c>
      <c r="I334" s="32" t="str">
        <f aca="false">IFERROR(INDEX(전년출고참조!$B$4:$B$638,MATCH($H334,전년출고참조!$A$4:$A$638,0)),"")</f>
        <v/>
      </c>
      <c r="J334" s="32" t="n">
        <v>46454</v>
      </c>
      <c r="K334" s="32" t="n">
        <f aca="false">IF($G334&lt;&gt;"",IFERROR(DATE(IF(VALUE(LEFT($G334,FIND("월",$G334)-1))&gt;=9,기준정보!$C$6-1,기준정보!$C$6),VALUE(LEFT($G334,FIND("월",$G334)-1)),1+7*(VALUE(SUBSTITUTE(MID($G334,FIND("월",$G334)+1,5),"주",""))-1)),""),IF($I334&lt;&gt;"",IF(ISNUMBER($I334),$I334+364,IFERROR(DATE(IF(VALUE(LEFT($I334,FIND("월",$I334)-1))&gt;=9,기준정보!$C$6-1,기준정보!$C$6),VALUE(LEFT($I334,FIND("월",$I334)-1)),1+7*(VALUE(SUBSTITUTE(MID($I334,FIND("월",$I334)+1,5),"주",""))-1)),"")),IF($J334&lt;&gt;"",$J334,"")))</f>
        <v>46454</v>
      </c>
      <c r="L334" s="28" t="str">
        <f aca="false">IF($G334&lt;&gt;"","계획 주차",IF($I334&lt;&gt;"","전년+1년 예측",IF($J334&lt;&gt;"","전산 입고계획(참고)","미정")))</f>
        <v>전산 입고계획(참고)</v>
      </c>
      <c r="M334" s="32" t="n">
        <f aca="false">IF($K334="","",$K334-기준정보!$C$5)</f>
        <v>46364</v>
      </c>
      <c r="N334" s="33" t="n">
        <f aca="false">IF($M334="","",$M334-기준정보!$C$4)</f>
        <v>123</v>
      </c>
      <c r="O334" s="31" t="s">
        <v>114</v>
      </c>
      <c r="P334" s="20"/>
      <c r="Q334" s="30" t="str">
        <f aca="false">IF($F334="","",IF(AND(ISNUMBER(SEARCH("CMT",$F334)),OR(ISNUMBER(SEARCH("사입",$F334)),ISNUMBER(SEARCH("Buying",$F334)))),"본사/생산처 혼재",IF(ISNUMBER(SEARCH("CMT",$F334)),"본사(소재팀)","생산처")))</f>
        <v>생산처</v>
      </c>
      <c r="R334" s="29" t="s">
        <v>156</v>
      </c>
      <c r="S334" s="29" t="s">
        <v>110</v>
      </c>
      <c r="T334" s="30" t="str">
        <f aca="false">IF($K334="","출고일 미정",IF($O334="X","작지(일매) 미등록",IF($O334="부분","작지(일매) 일부 미등록",IF(AND($P334&lt;&gt;"",$P334&gt;$M334),"소재입고 마감("&amp;TEXT($M334,"MM/DD")&amp;") 초과",IF($O334="","일매 등록여부 확인 필요",IF($P334="","소재 입고일정 확인 필요","정상"))))))</f>
        <v>작지(일매) 미등록</v>
      </c>
      <c r="U334" s="28" t="str">
        <f aca="false">IF($K334="","",IF(OR(LEFT($T334,2)="작지",LEFT($T334,4)="소재입고"),IF(LEFT($E334,1)="S","★ 납기위험(S코드)","◆ 지연주의"),IF($T334="정상","✓ 정상","? 확인필요")))</f>
        <v>◆ 지연주의</v>
      </c>
      <c r="V334" s="31"/>
      <c r="W334" s="19"/>
    </row>
    <row r="335" customFormat="false" ht="15" hidden="false" customHeight="true" outlineLevel="0" collapsed="false">
      <c r="A335" s="28" t="n">
        <v>331</v>
      </c>
      <c r="B335" s="29" t="s">
        <v>294</v>
      </c>
      <c r="C335" s="30" t="s">
        <v>798</v>
      </c>
      <c r="D335" s="29" t="s">
        <v>799</v>
      </c>
      <c r="E335" s="28" t="str">
        <f aca="false">IF($C335="","",IF(MID($C335,5,1)="S","S(봄)",IF(MID($C335,5,1)="M","M(여름)",IF(MID($C335,5,1)="X","X(사계절)",MID($C335,5,1)))))</f>
        <v>M(여름)</v>
      </c>
      <c r="F335" s="29" t="s">
        <v>106</v>
      </c>
      <c r="G335" s="31"/>
      <c r="H335" s="28" t="str">
        <f aca="false">IF($C335="","",REPLACE($C335,6,2,"26"))</f>
        <v>TVTCM26538</v>
      </c>
      <c r="I335" s="32" t="str">
        <f aca="false">IFERROR(INDEX(전년출고참조!$B$4:$B$638,MATCH($H335,전년출고참조!$A$4:$A$638,0)),"")</f>
        <v/>
      </c>
      <c r="J335" s="32" t="n">
        <v>46454</v>
      </c>
      <c r="K335" s="32" t="n">
        <f aca="false">IF($G335&lt;&gt;"",IFERROR(DATE(IF(VALUE(LEFT($G335,FIND("월",$G335)-1))&gt;=9,기준정보!$C$6-1,기준정보!$C$6),VALUE(LEFT($G335,FIND("월",$G335)-1)),1+7*(VALUE(SUBSTITUTE(MID($G335,FIND("월",$G335)+1,5),"주",""))-1)),""),IF($I335&lt;&gt;"",IF(ISNUMBER($I335),$I335+364,IFERROR(DATE(IF(VALUE(LEFT($I335,FIND("월",$I335)-1))&gt;=9,기준정보!$C$6-1,기준정보!$C$6),VALUE(LEFT($I335,FIND("월",$I335)-1)),1+7*(VALUE(SUBSTITUTE(MID($I335,FIND("월",$I335)+1,5),"주",""))-1)),"")),IF($J335&lt;&gt;"",$J335,"")))</f>
        <v>46454</v>
      </c>
      <c r="L335" s="28" t="str">
        <f aca="false">IF($G335&lt;&gt;"","계획 주차",IF($I335&lt;&gt;"","전년+1년 예측",IF($J335&lt;&gt;"","전산 입고계획(참고)","미정")))</f>
        <v>전산 입고계획(참고)</v>
      </c>
      <c r="M335" s="32" t="n">
        <f aca="false">IF($K335="","",$K335-기준정보!$C$5)</f>
        <v>46364</v>
      </c>
      <c r="N335" s="33" t="n">
        <f aca="false">IF($M335="","",$M335-기준정보!$C$4)</f>
        <v>123</v>
      </c>
      <c r="O335" s="31" t="s">
        <v>108</v>
      </c>
      <c r="P335" s="20"/>
      <c r="Q335" s="30" t="str">
        <f aca="false">IF($F335="","",IF(AND(ISNUMBER(SEARCH("CMT",$F335)),OR(ISNUMBER(SEARCH("사입",$F335)),ISNUMBER(SEARCH("Buying",$F335)))),"본사/생산처 혼재",IF(ISNUMBER(SEARCH("CMT",$F335)),"본사(소재팀)","생산처")))</f>
        <v>생산처</v>
      </c>
      <c r="R335" s="29" t="s">
        <v>115</v>
      </c>
      <c r="S335" s="29" t="s">
        <v>110</v>
      </c>
      <c r="T335" s="30" t="str">
        <f aca="false">IF($K335="","출고일 미정",IF($O335="X","작지(일매) 미등록",IF($O335="부분","작지(일매) 일부 미등록",IF(AND($P335&lt;&gt;"",$P335&gt;$M335),"소재입고 마감("&amp;TEXT($M335,"MM/DD")&amp;") 초과",IF($O335="","일매 등록여부 확인 필요",IF($P335="","소재 입고일정 확인 필요","정상"))))))</f>
        <v>소재 입고일정 확인 필요</v>
      </c>
      <c r="U335" s="28" t="str">
        <f aca="false">IF($K335="","",IF(OR(LEFT($T335,2)="작지",LEFT($T335,4)="소재입고"),IF(LEFT($E335,1)="S","★ 납기위험(S코드)","◆ 지연주의"),IF($T335="정상","✓ 정상","? 확인필요")))</f>
        <v>? 확인필요</v>
      </c>
      <c r="V335" s="31"/>
      <c r="W335" s="19"/>
    </row>
    <row r="336" customFormat="false" ht="15" hidden="false" customHeight="true" outlineLevel="0" collapsed="false">
      <c r="A336" s="28" t="n">
        <v>332</v>
      </c>
      <c r="B336" s="29" t="s">
        <v>294</v>
      </c>
      <c r="C336" s="30" t="s">
        <v>800</v>
      </c>
      <c r="D336" s="29" t="s">
        <v>801</v>
      </c>
      <c r="E336" s="28" t="str">
        <f aca="false">IF($C336="","",IF(MID($C336,5,1)="S","S(봄)",IF(MID($C336,5,1)="M","M(여름)",IF(MID($C336,5,1)="X","X(사계절)",MID($C336,5,1)))))</f>
        <v>M(여름)</v>
      </c>
      <c r="F336" s="29" t="s">
        <v>106</v>
      </c>
      <c r="G336" s="31"/>
      <c r="H336" s="28" t="str">
        <f aca="false">IF($C336="","",REPLACE($C336,6,2,"26"))</f>
        <v>TVTCM26542</v>
      </c>
      <c r="I336" s="32" t="str">
        <f aca="false">IFERROR(INDEX(전년출고참조!$B$4:$B$638,MATCH($H336,전년출고참조!$A$4:$A$638,0)),"")</f>
        <v/>
      </c>
      <c r="J336" s="32" t="n">
        <v>46454</v>
      </c>
      <c r="K336" s="32" t="n">
        <f aca="false">IF($G336&lt;&gt;"",IFERROR(DATE(IF(VALUE(LEFT($G336,FIND("월",$G336)-1))&gt;=9,기준정보!$C$6-1,기준정보!$C$6),VALUE(LEFT($G336,FIND("월",$G336)-1)),1+7*(VALUE(SUBSTITUTE(MID($G336,FIND("월",$G336)+1,5),"주",""))-1)),""),IF($I336&lt;&gt;"",IF(ISNUMBER($I336),$I336+364,IFERROR(DATE(IF(VALUE(LEFT($I336,FIND("월",$I336)-1))&gt;=9,기준정보!$C$6-1,기준정보!$C$6),VALUE(LEFT($I336,FIND("월",$I336)-1)),1+7*(VALUE(SUBSTITUTE(MID($I336,FIND("월",$I336)+1,5),"주",""))-1)),"")),IF($J336&lt;&gt;"",$J336,"")))</f>
        <v>46454</v>
      </c>
      <c r="L336" s="28" t="str">
        <f aca="false">IF($G336&lt;&gt;"","계획 주차",IF($I336&lt;&gt;"","전년+1년 예측",IF($J336&lt;&gt;"","전산 입고계획(참고)","미정")))</f>
        <v>전산 입고계획(참고)</v>
      </c>
      <c r="M336" s="32" t="n">
        <f aca="false">IF($K336="","",$K336-기준정보!$C$5)</f>
        <v>46364</v>
      </c>
      <c r="N336" s="33" t="n">
        <f aca="false">IF($M336="","",$M336-기준정보!$C$4)</f>
        <v>123</v>
      </c>
      <c r="O336" s="31" t="s">
        <v>108</v>
      </c>
      <c r="P336" s="20"/>
      <c r="Q336" s="30" t="str">
        <f aca="false">IF($F336="","",IF(AND(ISNUMBER(SEARCH("CMT",$F336)),OR(ISNUMBER(SEARCH("사입",$F336)),ISNUMBER(SEARCH("Buying",$F336)))),"본사/생산처 혼재",IF(ISNUMBER(SEARCH("CMT",$F336)),"본사(소재팀)","생산처")))</f>
        <v>생산처</v>
      </c>
      <c r="R336" s="29" t="s">
        <v>115</v>
      </c>
      <c r="S336" s="29" t="s">
        <v>110</v>
      </c>
      <c r="T336" s="30" t="str">
        <f aca="false">IF($K336="","출고일 미정",IF($O336="X","작지(일매) 미등록",IF($O336="부분","작지(일매) 일부 미등록",IF(AND($P336&lt;&gt;"",$P336&gt;$M336),"소재입고 마감("&amp;TEXT($M336,"MM/DD")&amp;") 초과",IF($O336="","일매 등록여부 확인 필요",IF($P336="","소재 입고일정 확인 필요","정상"))))))</f>
        <v>소재 입고일정 확인 필요</v>
      </c>
      <c r="U336" s="28" t="str">
        <f aca="false">IF($K336="","",IF(OR(LEFT($T336,2)="작지",LEFT($T336,4)="소재입고"),IF(LEFT($E336,1)="S","★ 납기위험(S코드)","◆ 지연주의"),IF($T336="정상","✓ 정상","? 확인필요")))</f>
        <v>? 확인필요</v>
      </c>
      <c r="V336" s="31"/>
      <c r="W336" s="19"/>
    </row>
    <row r="337" customFormat="false" ht="15" hidden="false" customHeight="true" outlineLevel="0" collapsed="false">
      <c r="A337" s="28" t="n">
        <v>333</v>
      </c>
      <c r="B337" s="29" t="s">
        <v>802</v>
      </c>
      <c r="C337" s="30" t="s">
        <v>803</v>
      </c>
      <c r="D337" s="29" t="s">
        <v>804</v>
      </c>
      <c r="E337" s="28" t="str">
        <f aca="false">IF($C337="","",IF(MID($C337,5,1)="S","S(봄)",IF(MID($C337,5,1)="M","M(여름)",IF(MID($C337,5,1)="X","X(사계절)",MID($C337,5,1)))))</f>
        <v>M(여름)</v>
      </c>
      <c r="F337" s="29" t="s">
        <v>106</v>
      </c>
      <c r="G337" s="31"/>
      <c r="H337" s="28" t="str">
        <f aca="false">IF($C337="","",REPLACE($C337,6,2,"26"))</f>
        <v>QEREM26131</v>
      </c>
      <c r="I337" s="32" t="str">
        <f aca="false">IFERROR(INDEX(전년출고참조!$B$4:$B$638,MATCH($H337,전년출고참조!$A$4:$A$638,0)),"")</f>
        <v/>
      </c>
      <c r="J337" s="32" t="n">
        <v>46458</v>
      </c>
      <c r="K337" s="32" t="n">
        <f aca="false">IF($G337&lt;&gt;"",IFERROR(DATE(IF(VALUE(LEFT($G337,FIND("월",$G337)-1))&gt;=9,기준정보!$C$6-1,기준정보!$C$6),VALUE(LEFT($G337,FIND("월",$G337)-1)),1+7*(VALUE(SUBSTITUTE(MID($G337,FIND("월",$G337)+1,5),"주",""))-1)),""),IF($I337&lt;&gt;"",IF(ISNUMBER($I337),$I337+364,IFERROR(DATE(IF(VALUE(LEFT($I337,FIND("월",$I337)-1))&gt;=9,기준정보!$C$6-1,기준정보!$C$6),VALUE(LEFT($I337,FIND("월",$I337)-1)),1+7*(VALUE(SUBSTITUTE(MID($I337,FIND("월",$I337)+1,5),"주",""))-1)),"")),IF($J337&lt;&gt;"",$J337,"")))</f>
        <v>46458</v>
      </c>
      <c r="L337" s="28" t="str">
        <f aca="false">IF($G337&lt;&gt;"","계획 주차",IF($I337&lt;&gt;"","전년+1년 예측",IF($J337&lt;&gt;"","전산 입고계획(참고)","미정")))</f>
        <v>전산 입고계획(참고)</v>
      </c>
      <c r="M337" s="32" t="n">
        <f aca="false">IF($K337="","",$K337-기준정보!$C$5)</f>
        <v>46368</v>
      </c>
      <c r="N337" s="33" t="n">
        <f aca="false">IF($M337="","",$M337-기준정보!$C$4)</f>
        <v>127</v>
      </c>
      <c r="O337" s="31" t="s">
        <v>108</v>
      </c>
      <c r="P337" s="20"/>
      <c r="Q337" s="30" t="str">
        <f aca="false">IF($F337="","",IF(AND(ISNUMBER(SEARCH("CMT",$F337)),OR(ISNUMBER(SEARCH("사입",$F337)),ISNUMBER(SEARCH("Buying",$F337)))),"본사/생산처 혼재",IF(ISNUMBER(SEARCH("CMT",$F337)),"본사(소재팀)","생산처")))</f>
        <v>생산처</v>
      </c>
      <c r="R337" s="29" t="s">
        <v>572</v>
      </c>
      <c r="S337" s="29" t="s">
        <v>195</v>
      </c>
      <c r="T337" s="30" t="str">
        <f aca="false">IF($K337="","출고일 미정",IF($O337="X","작지(일매) 미등록",IF($O337="부분","작지(일매) 일부 미등록",IF(AND($P337&lt;&gt;"",$P337&gt;$M337),"소재입고 마감("&amp;TEXT($M337,"MM/DD")&amp;") 초과",IF($O337="","일매 등록여부 확인 필요",IF($P337="","소재 입고일정 확인 필요","정상"))))))</f>
        <v>소재 입고일정 확인 필요</v>
      </c>
      <c r="U337" s="28" t="str">
        <f aca="false">IF($K337="","",IF(OR(LEFT($T337,2)="작지",LEFT($T337,4)="소재입고"),IF(LEFT($E337,1)="S","★ 납기위험(S코드)","◆ 지연주의"),IF($T337="정상","✓ 정상","? 확인필요")))</f>
        <v>? 확인필요</v>
      </c>
      <c r="V337" s="31"/>
      <c r="W337" s="19"/>
    </row>
    <row r="338" customFormat="false" ht="15" hidden="false" customHeight="true" outlineLevel="0" collapsed="false">
      <c r="A338" s="28" t="n">
        <v>334</v>
      </c>
      <c r="B338" s="29" t="s">
        <v>802</v>
      </c>
      <c r="C338" s="30" t="s">
        <v>805</v>
      </c>
      <c r="D338" s="29" t="s">
        <v>806</v>
      </c>
      <c r="E338" s="28" t="str">
        <f aca="false">IF($C338="","",IF(MID($C338,5,1)="S","S(봄)",IF(MID($C338,5,1)="M","M(여름)",IF(MID($C338,5,1)="X","X(사계절)",MID($C338,5,1)))))</f>
        <v>M(여름)</v>
      </c>
      <c r="F338" s="29" t="s">
        <v>106</v>
      </c>
      <c r="G338" s="31"/>
      <c r="H338" s="28" t="str">
        <f aca="false">IF($C338="","",REPLACE($C338,6,2,"26"))</f>
        <v>QEREM26151</v>
      </c>
      <c r="I338" s="32" t="str">
        <f aca="false">IFERROR(INDEX(전년출고참조!$B$4:$B$638,MATCH($H338,전년출고참조!$A$4:$A$638,0)),"")</f>
        <v/>
      </c>
      <c r="J338" s="32" t="n">
        <v>46458</v>
      </c>
      <c r="K338" s="32" t="n">
        <f aca="false">IF($G338&lt;&gt;"",IFERROR(DATE(IF(VALUE(LEFT($G338,FIND("월",$G338)-1))&gt;=9,기준정보!$C$6-1,기준정보!$C$6),VALUE(LEFT($G338,FIND("월",$G338)-1)),1+7*(VALUE(SUBSTITUTE(MID($G338,FIND("월",$G338)+1,5),"주",""))-1)),""),IF($I338&lt;&gt;"",IF(ISNUMBER($I338),$I338+364,IFERROR(DATE(IF(VALUE(LEFT($I338,FIND("월",$I338)-1))&gt;=9,기준정보!$C$6-1,기준정보!$C$6),VALUE(LEFT($I338,FIND("월",$I338)-1)),1+7*(VALUE(SUBSTITUTE(MID($I338,FIND("월",$I338)+1,5),"주",""))-1)),"")),IF($J338&lt;&gt;"",$J338,"")))</f>
        <v>46458</v>
      </c>
      <c r="L338" s="28" t="str">
        <f aca="false">IF($G338&lt;&gt;"","계획 주차",IF($I338&lt;&gt;"","전년+1년 예측",IF($J338&lt;&gt;"","전산 입고계획(참고)","미정")))</f>
        <v>전산 입고계획(참고)</v>
      </c>
      <c r="M338" s="32" t="n">
        <f aca="false">IF($K338="","",$K338-기준정보!$C$5)</f>
        <v>46368</v>
      </c>
      <c r="N338" s="33" t="n">
        <f aca="false">IF($M338="","",$M338-기준정보!$C$4)</f>
        <v>127</v>
      </c>
      <c r="O338" s="31" t="s">
        <v>108</v>
      </c>
      <c r="P338" s="20"/>
      <c r="Q338" s="30" t="str">
        <f aca="false">IF($F338="","",IF(AND(ISNUMBER(SEARCH("CMT",$F338)),OR(ISNUMBER(SEARCH("사입",$F338)),ISNUMBER(SEARCH("Buying",$F338)))),"본사/생산처 혼재",IF(ISNUMBER(SEARCH("CMT",$F338)),"본사(소재팀)","생산처")))</f>
        <v>생산처</v>
      </c>
      <c r="R338" s="29" t="s">
        <v>572</v>
      </c>
      <c r="S338" s="29" t="s">
        <v>195</v>
      </c>
      <c r="T338" s="30" t="str">
        <f aca="false">IF($K338="","출고일 미정",IF($O338="X","작지(일매) 미등록",IF($O338="부분","작지(일매) 일부 미등록",IF(AND($P338&lt;&gt;"",$P338&gt;$M338),"소재입고 마감("&amp;TEXT($M338,"MM/DD")&amp;") 초과",IF($O338="","일매 등록여부 확인 필요",IF($P338="","소재 입고일정 확인 필요","정상"))))))</f>
        <v>소재 입고일정 확인 필요</v>
      </c>
      <c r="U338" s="28" t="str">
        <f aca="false">IF($K338="","",IF(OR(LEFT($T338,2)="작지",LEFT($T338,4)="소재입고"),IF(LEFT($E338,1)="S","★ 납기위험(S코드)","◆ 지연주의"),IF($T338="정상","✓ 정상","? 확인필요")))</f>
        <v>? 확인필요</v>
      </c>
      <c r="V338" s="31"/>
      <c r="W338" s="19"/>
    </row>
    <row r="339" customFormat="false" ht="15" hidden="false" customHeight="true" outlineLevel="0" collapsed="false">
      <c r="A339" s="28" t="n">
        <v>335</v>
      </c>
      <c r="B339" s="29" t="s">
        <v>802</v>
      </c>
      <c r="C339" s="30" t="s">
        <v>807</v>
      </c>
      <c r="D339" s="29" t="s">
        <v>808</v>
      </c>
      <c r="E339" s="28" t="str">
        <f aca="false">IF($C339="","",IF(MID($C339,5,1)="S","S(봄)",IF(MID($C339,5,1)="M","M(여름)",IF(MID($C339,5,1)="X","X(사계절)",MID($C339,5,1)))))</f>
        <v>M(여름)</v>
      </c>
      <c r="F339" s="29" t="s">
        <v>106</v>
      </c>
      <c r="G339" s="31"/>
      <c r="H339" s="28" t="str">
        <f aca="false">IF($C339="","",REPLACE($C339,6,2,"26"))</f>
        <v>QERFM26151</v>
      </c>
      <c r="I339" s="32" t="str">
        <f aca="false">IFERROR(INDEX(전년출고참조!$B$4:$B$638,MATCH($H339,전년출고참조!$A$4:$A$638,0)),"")</f>
        <v/>
      </c>
      <c r="J339" s="32" t="n">
        <v>46458</v>
      </c>
      <c r="K339" s="32" t="n">
        <f aca="false">IF($G339&lt;&gt;"",IFERROR(DATE(IF(VALUE(LEFT($G339,FIND("월",$G339)-1))&gt;=9,기준정보!$C$6-1,기준정보!$C$6),VALUE(LEFT($G339,FIND("월",$G339)-1)),1+7*(VALUE(SUBSTITUTE(MID($G339,FIND("월",$G339)+1,5),"주",""))-1)),""),IF($I339&lt;&gt;"",IF(ISNUMBER($I339),$I339+364,IFERROR(DATE(IF(VALUE(LEFT($I339,FIND("월",$I339)-1))&gt;=9,기준정보!$C$6-1,기준정보!$C$6),VALUE(LEFT($I339,FIND("월",$I339)-1)),1+7*(VALUE(SUBSTITUTE(MID($I339,FIND("월",$I339)+1,5),"주",""))-1)),"")),IF($J339&lt;&gt;"",$J339,"")))</f>
        <v>46458</v>
      </c>
      <c r="L339" s="28" t="str">
        <f aca="false">IF($G339&lt;&gt;"","계획 주차",IF($I339&lt;&gt;"","전년+1년 예측",IF($J339&lt;&gt;"","전산 입고계획(참고)","미정")))</f>
        <v>전산 입고계획(참고)</v>
      </c>
      <c r="M339" s="32" t="n">
        <f aca="false">IF($K339="","",$K339-기준정보!$C$5)</f>
        <v>46368</v>
      </c>
      <c r="N339" s="33" t="n">
        <f aca="false">IF($M339="","",$M339-기준정보!$C$4)</f>
        <v>127</v>
      </c>
      <c r="O339" s="31" t="s">
        <v>108</v>
      </c>
      <c r="P339" s="20"/>
      <c r="Q339" s="30" t="str">
        <f aca="false">IF($F339="","",IF(AND(ISNUMBER(SEARCH("CMT",$F339)),OR(ISNUMBER(SEARCH("사입",$F339)),ISNUMBER(SEARCH("Buying",$F339)))),"본사/생산처 혼재",IF(ISNUMBER(SEARCH("CMT",$F339)),"본사(소재팀)","생산처")))</f>
        <v>생산처</v>
      </c>
      <c r="R339" s="29" t="s">
        <v>572</v>
      </c>
      <c r="S339" s="29" t="s">
        <v>195</v>
      </c>
      <c r="T339" s="30" t="str">
        <f aca="false">IF($K339="","출고일 미정",IF($O339="X","작지(일매) 미등록",IF($O339="부분","작지(일매) 일부 미등록",IF(AND($P339&lt;&gt;"",$P339&gt;$M339),"소재입고 마감("&amp;TEXT($M339,"MM/DD")&amp;") 초과",IF($O339="","일매 등록여부 확인 필요",IF($P339="","소재 입고일정 확인 필요","정상"))))))</f>
        <v>소재 입고일정 확인 필요</v>
      </c>
      <c r="U339" s="28" t="str">
        <f aca="false">IF($K339="","",IF(OR(LEFT($T339,2)="작지",LEFT($T339,4)="소재입고"),IF(LEFT($E339,1)="S","★ 납기위험(S코드)","◆ 지연주의"),IF($T339="정상","✓ 정상","? 확인필요")))</f>
        <v>? 확인필요</v>
      </c>
      <c r="V339" s="31"/>
      <c r="W339" s="19"/>
    </row>
    <row r="340" customFormat="false" ht="15" hidden="false" customHeight="true" outlineLevel="0" collapsed="false">
      <c r="A340" s="28" t="n">
        <v>336</v>
      </c>
      <c r="B340" s="29" t="s">
        <v>294</v>
      </c>
      <c r="C340" s="30" t="s">
        <v>809</v>
      </c>
      <c r="D340" s="29" t="s">
        <v>810</v>
      </c>
      <c r="E340" s="28" t="str">
        <f aca="false">IF($C340="","",IF(MID($C340,5,1)="S","S(봄)",IF(MID($C340,5,1)="M","M(여름)",IF(MID($C340,5,1)="X","X(사계절)",MID($C340,5,1)))))</f>
        <v>M(여름)</v>
      </c>
      <c r="F340" s="29" t="s">
        <v>106</v>
      </c>
      <c r="G340" s="31"/>
      <c r="H340" s="28" t="str">
        <f aca="false">IF($C340="","",REPLACE($C340,6,2,"26"))</f>
        <v>TLTCM26511</v>
      </c>
      <c r="I340" s="32" t="str">
        <f aca="false">IFERROR(INDEX(전년출고참조!$B$4:$B$638,MATCH($H340,전년출고참조!$A$4:$A$638,0)),"")</f>
        <v/>
      </c>
      <c r="J340" s="32" t="n">
        <v>46468</v>
      </c>
      <c r="K340" s="32" t="n">
        <f aca="false">IF($G340&lt;&gt;"",IFERROR(DATE(IF(VALUE(LEFT($G340,FIND("월",$G340)-1))&gt;=9,기준정보!$C$6-1,기준정보!$C$6),VALUE(LEFT($G340,FIND("월",$G340)-1)),1+7*(VALUE(SUBSTITUTE(MID($G340,FIND("월",$G340)+1,5),"주",""))-1)),""),IF($I340&lt;&gt;"",IF(ISNUMBER($I340),$I340+364,IFERROR(DATE(IF(VALUE(LEFT($I340,FIND("월",$I340)-1))&gt;=9,기준정보!$C$6-1,기준정보!$C$6),VALUE(LEFT($I340,FIND("월",$I340)-1)),1+7*(VALUE(SUBSTITUTE(MID($I340,FIND("월",$I340)+1,5),"주",""))-1)),"")),IF($J340&lt;&gt;"",$J340,"")))</f>
        <v>46468</v>
      </c>
      <c r="L340" s="28" t="str">
        <f aca="false">IF($G340&lt;&gt;"","계획 주차",IF($I340&lt;&gt;"","전년+1년 예측",IF($J340&lt;&gt;"","전산 입고계획(참고)","미정")))</f>
        <v>전산 입고계획(참고)</v>
      </c>
      <c r="M340" s="32" t="n">
        <f aca="false">IF($K340="","",$K340-기준정보!$C$5)</f>
        <v>46378</v>
      </c>
      <c r="N340" s="33" t="n">
        <f aca="false">IF($M340="","",$M340-기준정보!$C$4)</f>
        <v>137</v>
      </c>
      <c r="O340" s="31" t="s">
        <v>114</v>
      </c>
      <c r="P340" s="20"/>
      <c r="Q340" s="30" t="str">
        <f aca="false">IF($F340="","",IF(AND(ISNUMBER(SEARCH("CMT",$F340)),OR(ISNUMBER(SEARCH("사입",$F340)),ISNUMBER(SEARCH("Buying",$F340)))),"본사/생산처 혼재",IF(ISNUMBER(SEARCH("CMT",$F340)),"본사(소재팀)","생산처")))</f>
        <v>생산처</v>
      </c>
      <c r="R340" s="29" t="s">
        <v>123</v>
      </c>
      <c r="S340" s="29" t="s">
        <v>120</v>
      </c>
      <c r="T340" s="30" t="str">
        <f aca="false">IF($K340="","출고일 미정",IF($O340="X","작지(일매) 미등록",IF($O340="부분","작지(일매) 일부 미등록",IF(AND($P340&lt;&gt;"",$P340&gt;$M340),"소재입고 마감("&amp;TEXT($M340,"MM/DD")&amp;") 초과",IF($O340="","일매 등록여부 확인 필요",IF($P340="","소재 입고일정 확인 필요","정상"))))))</f>
        <v>작지(일매) 미등록</v>
      </c>
      <c r="U340" s="28" t="str">
        <f aca="false">IF($K340="","",IF(OR(LEFT($T340,2)="작지",LEFT($T340,4)="소재입고"),IF(LEFT($E340,1)="S","★ 납기위험(S코드)","◆ 지연주의"),IF($T340="정상","✓ 정상","? 확인필요")))</f>
        <v>◆ 지연주의</v>
      </c>
      <c r="V340" s="31"/>
      <c r="W340" s="19"/>
    </row>
    <row r="341" customFormat="false" ht="15" hidden="false" customHeight="true" outlineLevel="0" collapsed="false">
      <c r="A341" s="28" t="n">
        <v>337</v>
      </c>
      <c r="B341" s="29" t="s">
        <v>294</v>
      </c>
      <c r="C341" s="30" t="s">
        <v>811</v>
      </c>
      <c r="D341" s="29" t="s">
        <v>812</v>
      </c>
      <c r="E341" s="28" t="str">
        <f aca="false">IF($C341="","",IF(MID($C341,5,1)="S","S(봄)",IF(MID($C341,5,1)="M","M(여름)",IF(MID($C341,5,1)="X","X(사계절)",MID($C341,5,1)))))</f>
        <v>M(여름)</v>
      </c>
      <c r="F341" s="29" t="s">
        <v>106</v>
      </c>
      <c r="G341" s="31"/>
      <c r="H341" s="28" t="str">
        <f aca="false">IF($C341="","",REPLACE($C341,6,2,"26"))</f>
        <v>TLTCM26513</v>
      </c>
      <c r="I341" s="32" t="str">
        <f aca="false">IFERROR(INDEX(전년출고참조!$B$4:$B$638,MATCH($H341,전년출고참조!$A$4:$A$638,0)),"")</f>
        <v/>
      </c>
      <c r="J341" s="32" t="n">
        <v>46468</v>
      </c>
      <c r="K341" s="32" t="n">
        <f aca="false">IF($G341&lt;&gt;"",IFERROR(DATE(IF(VALUE(LEFT($G341,FIND("월",$G341)-1))&gt;=9,기준정보!$C$6-1,기준정보!$C$6),VALUE(LEFT($G341,FIND("월",$G341)-1)),1+7*(VALUE(SUBSTITUTE(MID($G341,FIND("월",$G341)+1,5),"주",""))-1)),""),IF($I341&lt;&gt;"",IF(ISNUMBER($I341),$I341+364,IFERROR(DATE(IF(VALUE(LEFT($I341,FIND("월",$I341)-1))&gt;=9,기준정보!$C$6-1,기준정보!$C$6),VALUE(LEFT($I341,FIND("월",$I341)-1)),1+7*(VALUE(SUBSTITUTE(MID($I341,FIND("월",$I341)+1,5),"주",""))-1)),"")),IF($J341&lt;&gt;"",$J341,"")))</f>
        <v>46468</v>
      </c>
      <c r="L341" s="28" t="str">
        <f aca="false">IF($G341&lt;&gt;"","계획 주차",IF($I341&lt;&gt;"","전년+1년 예측",IF($J341&lt;&gt;"","전산 입고계획(참고)","미정")))</f>
        <v>전산 입고계획(참고)</v>
      </c>
      <c r="M341" s="32" t="n">
        <f aca="false">IF($K341="","",$K341-기준정보!$C$5)</f>
        <v>46378</v>
      </c>
      <c r="N341" s="33" t="n">
        <f aca="false">IF($M341="","",$M341-기준정보!$C$4)</f>
        <v>137</v>
      </c>
      <c r="O341" s="31" t="s">
        <v>114</v>
      </c>
      <c r="P341" s="20"/>
      <c r="Q341" s="30" t="str">
        <f aca="false">IF($F341="","",IF(AND(ISNUMBER(SEARCH("CMT",$F341)),OR(ISNUMBER(SEARCH("사입",$F341)),ISNUMBER(SEARCH("Buying",$F341)))),"본사/생산처 혼재",IF(ISNUMBER(SEARCH("CMT",$F341)),"본사(소재팀)","생산처")))</f>
        <v>생산처</v>
      </c>
      <c r="R341" s="29" t="s">
        <v>123</v>
      </c>
      <c r="S341" s="29" t="s">
        <v>120</v>
      </c>
      <c r="T341" s="30" t="str">
        <f aca="false">IF($K341="","출고일 미정",IF($O341="X","작지(일매) 미등록",IF($O341="부분","작지(일매) 일부 미등록",IF(AND($P341&lt;&gt;"",$P341&gt;$M341),"소재입고 마감("&amp;TEXT($M341,"MM/DD")&amp;") 초과",IF($O341="","일매 등록여부 확인 필요",IF($P341="","소재 입고일정 확인 필요","정상"))))))</f>
        <v>작지(일매) 미등록</v>
      </c>
      <c r="U341" s="28" t="str">
        <f aca="false">IF($K341="","",IF(OR(LEFT($T341,2)="작지",LEFT($T341,4)="소재입고"),IF(LEFT($E341,1)="S","★ 납기위험(S코드)","◆ 지연주의"),IF($T341="정상","✓ 정상","? 확인필요")))</f>
        <v>◆ 지연주의</v>
      </c>
      <c r="V341" s="31"/>
      <c r="W341" s="19"/>
    </row>
    <row r="342" customFormat="false" ht="15" hidden="false" customHeight="true" outlineLevel="0" collapsed="false">
      <c r="A342" s="28" t="n">
        <v>338</v>
      </c>
      <c r="B342" s="29" t="s">
        <v>294</v>
      </c>
      <c r="C342" s="30" t="s">
        <v>813</v>
      </c>
      <c r="D342" s="29" t="s">
        <v>814</v>
      </c>
      <c r="E342" s="28" t="str">
        <f aca="false">IF($C342="","",IF(MID($C342,5,1)="S","S(봄)",IF(MID($C342,5,1)="M","M(여름)",IF(MID($C342,5,1)="X","X(사계절)",MID($C342,5,1)))))</f>
        <v>M(여름)</v>
      </c>
      <c r="F342" s="29" t="s">
        <v>106</v>
      </c>
      <c r="G342" s="31"/>
      <c r="H342" s="28" t="str">
        <f aca="false">IF($C342="","",REPLACE($C342,6,2,"26"))</f>
        <v>TLTCM26515</v>
      </c>
      <c r="I342" s="32" t="str">
        <f aca="false">IFERROR(INDEX(전년출고참조!$B$4:$B$638,MATCH($H342,전년출고참조!$A$4:$A$638,0)),"")</f>
        <v/>
      </c>
      <c r="J342" s="32" t="n">
        <v>46468</v>
      </c>
      <c r="K342" s="32" t="n">
        <f aca="false">IF($G342&lt;&gt;"",IFERROR(DATE(IF(VALUE(LEFT($G342,FIND("월",$G342)-1))&gt;=9,기준정보!$C$6-1,기준정보!$C$6),VALUE(LEFT($G342,FIND("월",$G342)-1)),1+7*(VALUE(SUBSTITUTE(MID($G342,FIND("월",$G342)+1,5),"주",""))-1)),""),IF($I342&lt;&gt;"",IF(ISNUMBER($I342),$I342+364,IFERROR(DATE(IF(VALUE(LEFT($I342,FIND("월",$I342)-1))&gt;=9,기준정보!$C$6-1,기준정보!$C$6),VALUE(LEFT($I342,FIND("월",$I342)-1)),1+7*(VALUE(SUBSTITUTE(MID($I342,FIND("월",$I342)+1,5),"주",""))-1)),"")),IF($J342&lt;&gt;"",$J342,"")))</f>
        <v>46468</v>
      </c>
      <c r="L342" s="28" t="str">
        <f aca="false">IF($G342&lt;&gt;"","계획 주차",IF($I342&lt;&gt;"","전년+1년 예측",IF($J342&lt;&gt;"","전산 입고계획(참고)","미정")))</f>
        <v>전산 입고계획(참고)</v>
      </c>
      <c r="M342" s="32" t="n">
        <f aca="false">IF($K342="","",$K342-기준정보!$C$5)</f>
        <v>46378</v>
      </c>
      <c r="N342" s="33" t="n">
        <f aca="false">IF($M342="","",$M342-기준정보!$C$4)</f>
        <v>137</v>
      </c>
      <c r="O342" s="31" t="s">
        <v>114</v>
      </c>
      <c r="P342" s="20"/>
      <c r="Q342" s="30" t="str">
        <f aca="false">IF($F342="","",IF(AND(ISNUMBER(SEARCH("CMT",$F342)),OR(ISNUMBER(SEARCH("사입",$F342)),ISNUMBER(SEARCH("Buying",$F342)))),"본사/생산처 혼재",IF(ISNUMBER(SEARCH("CMT",$F342)),"본사(소재팀)","생산처")))</f>
        <v>생산처</v>
      </c>
      <c r="R342" s="29" t="s">
        <v>123</v>
      </c>
      <c r="S342" s="29" t="s">
        <v>120</v>
      </c>
      <c r="T342" s="30" t="str">
        <f aca="false">IF($K342="","출고일 미정",IF($O342="X","작지(일매) 미등록",IF($O342="부분","작지(일매) 일부 미등록",IF(AND($P342&lt;&gt;"",$P342&gt;$M342),"소재입고 마감("&amp;TEXT($M342,"MM/DD")&amp;") 초과",IF($O342="","일매 등록여부 확인 필요",IF($P342="","소재 입고일정 확인 필요","정상"))))))</f>
        <v>작지(일매) 미등록</v>
      </c>
      <c r="U342" s="28" t="str">
        <f aca="false">IF($K342="","",IF(OR(LEFT($T342,2)="작지",LEFT($T342,4)="소재입고"),IF(LEFT($E342,1)="S","★ 납기위험(S코드)","◆ 지연주의"),IF($T342="정상","✓ 정상","? 확인필요")))</f>
        <v>◆ 지연주의</v>
      </c>
      <c r="V342" s="31"/>
      <c r="W342" s="19"/>
    </row>
    <row r="343" customFormat="false" ht="15" hidden="false" customHeight="true" outlineLevel="0" collapsed="false">
      <c r="A343" s="28" t="n">
        <v>339</v>
      </c>
      <c r="B343" s="29" t="s">
        <v>294</v>
      </c>
      <c r="C343" s="30" t="s">
        <v>815</v>
      </c>
      <c r="D343" s="29" t="s">
        <v>816</v>
      </c>
      <c r="E343" s="28" t="str">
        <f aca="false">IF($C343="","",IF(MID($C343,5,1)="S","S(봄)",IF(MID($C343,5,1)="M","M(여름)",IF(MID($C343,5,1)="X","X(사계절)",MID($C343,5,1)))))</f>
        <v>M(여름)</v>
      </c>
      <c r="F343" s="29" t="s">
        <v>106</v>
      </c>
      <c r="G343" s="31"/>
      <c r="H343" s="28" t="str">
        <f aca="false">IF($C343="","",REPLACE($C343,6,2,"26"))</f>
        <v>TLTCM26517</v>
      </c>
      <c r="I343" s="32" t="str">
        <f aca="false">IFERROR(INDEX(전년출고참조!$B$4:$B$638,MATCH($H343,전년출고참조!$A$4:$A$638,0)),"")</f>
        <v/>
      </c>
      <c r="J343" s="32" t="n">
        <v>46468</v>
      </c>
      <c r="K343" s="32" t="n">
        <f aca="false">IF($G343&lt;&gt;"",IFERROR(DATE(IF(VALUE(LEFT($G343,FIND("월",$G343)-1))&gt;=9,기준정보!$C$6-1,기준정보!$C$6),VALUE(LEFT($G343,FIND("월",$G343)-1)),1+7*(VALUE(SUBSTITUTE(MID($G343,FIND("월",$G343)+1,5),"주",""))-1)),""),IF($I343&lt;&gt;"",IF(ISNUMBER($I343),$I343+364,IFERROR(DATE(IF(VALUE(LEFT($I343,FIND("월",$I343)-1))&gt;=9,기준정보!$C$6-1,기준정보!$C$6),VALUE(LEFT($I343,FIND("월",$I343)-1)),1+7*(VALUE(SUBSTITUTE(MID($I343,FIND("월",$I343)+1,5),"주",""))-1)),"")),IF($J343&lt;&gt;"",$J343,"")))</f>
        <v>46468</v>
      </c>
      <c r="L343" s="28" t="str">
        <f aca="false">IF($G343&lt;&gt;"","계획 주차",IF($I343&lt;&gt;"","전년+1년 예측",IF($J343&lt;&gt;"","전산 입고계획(참고)","미정")))</f>
        <v>전산 입고계획(참고)</v>
      </c>
      <c r="M343" s="32" t="n">
        <f aca="false">IF($K343="","",$K343-기준정보!$C$5)</f>
        <v>46378</v>
      </c>
      <c r="N343" s="33" t="n">
        <f aca="false">IF($M343="","",$M343-기준정보!$C$4)</f>
        <v>137</v>
      </c>
      <c r="O343" s="31" t="s">
        <v>114</v>
      </c>
      <c r="P343" s="20"/>
      <c r="Q343" s="30" t="str">
        <f aca="false">IF($F343="","",IF(AND(ISNUMBER(SEARCH("CMT",$F343)),OR(ISNUMBER(SEARCH("사입",$F343)),ISNUMBER(SEARCH("Buying",$F343)))),"본사/생산처 혼재",IF(ISNUMBER(SEARCH("CMT",$F343)),"본사(소재팀)","생산처")))</f>
        <v>생산처</v>
      </c>
      <c r="R343" s="29" t="s">
        <v>156</v>
      </c>
      <c r="S343" s="29" t="s">
        <v>110</v>
      </c>
      <c r="T343" s="30" t="str">
        <f aca="false">IF($K343="","출고일 미정",IF($O343="X","작지(일매) 미등록",IF($O343="부분","작지(일매) 일부 미등록",IF(AND($P343&lt;&gt;"",$P343&gt;$M343),"소재입고 마감("&amp;TEXT($M343,"MM/DD")&amp;") 초과",IF($O343="","일매 등록여부 확인 필요",IF($P343="","소재 입고일정 확인 필요","정상"))))))</f>
        <v>작지(일매) 미등록</v>
      </c>
      <c r="U343" s="28" t="str">
        <f aca="false">IF($K343="","",IF(OR(LEFT($T343,2)="작지",LEFT($T343,4)="소재입고"),IF(LEFT($E343,1)="S","★ 납기위험(S코드)","◆ 지연주의"),IF($T343="정상","✓ 정상","? 확인필요")))</f>
        <v>◆ 지연주의</v>
      </c>
      <c r="V343" s="31"/>
      <c r="W343" s="19"/>
    </row>
    <row r="344" customFormat="false" ht="15" hidden="false" customHeight="true" outlineLevel="0" collapsed="false">
      <c r="A344" s="28" t="n">
        <v>340</v>
      </c>
      <c r="B344" s="29" t="s">
        <v>294</v>
      </c>
      <c r="C344" s="30" t="s">
        <v>817</v>
      </c>
      <c r="D344" s="29" t="s">
        <v>818</v>
      </c>
      <c r="E344" s="28" t="str">
        <f aca="false">IF($C344="","",IF(MID($C344,5,1)="S","S(봄)",IF(MID($C344,5,1)="M","M(여름)",IF(MID($C344,5,1)="X","X(사계절)",MID($C344,5,1)))))</f>
        <v>M(여름)</v>
      </c>
      <c r="F344" s="29" t="s">
        <v>106</v>
      </c>
      <c r="G344" s="31"/>
      <c r="H344" s="28" t="str">
        <f aca="false">IF($C344="","",REPLACE($C344,6,2,"26"))</f>
        <v>TLTCM26519</v>
      </c>
      <c r="I344" s="32" t="str">
        <f aca="false">IFERROR(INDEX(전년출고참조!$B$4:$B$638,MATCH($H344,전년출고참조!$A$4:$A$638,0)),"")</f>
        <v/>
      </c>
      <c r="J344" s="32" t="n">
        <v>46468</v>
      </c>
      <c r="K344" s="32" t="n">
        <f aca="false">IF($G344&lt;&gt;"",IFERROR(DATE(IF(VALUE(LEFT($G344,FIND("월",$G344)-1))&gt;=9,기준정보!$C$6-1,기준정보!$C$6),VALUE(LEFT($G344,FIND("월",$G344)-1)),1+7*(VALUE(SUBSTITUTE(MID($G344,FIND("월",$G344)+1,5),"주",""))-1)),""),IF($I344&lt;&gt;"",IF(ISNUMBER($I344),$I344+364,IFERROR(DATE(IF(VALUE(LEFT($I344,FIND("월",$I344)-1))&gt;=9,기준정보!$C$6-1,기준정보!$C$6),VALUE(LEFT($I344,FIND("월",$I344)-1)),1+7*(VALUE(SUBSTITUTE(MID($I344,FIND("월",$I344)+1,5),"주",""))-1)),"")),IF($J344&lt;&gt;"",$J344,"")))</f>
        <v>46468</v>
      </c>
      <c r="L344" s="28" t="str">
        <f aca="false">IF($G344&lt;&gt;"","계획 주차",IF($I344&lt;&gt;"","전년+1년 예측",IF($J344&lt;&gt;"","전산 입고계획(참고)","미정")))</f>
        <v>전산 입고계획(참고)</v>
      </c>
      <c r="M344" s="32" t="n">
        <f aca="false">IF($K344="","",$K344-기준정보!$C$5)</f>
        <v>46378</v>
      </c>
      <c r="N344" s="33" t="n">
        <f aca="false">IF($M344="","",$M344-기준정보!$C$4)</f>
        <v>137</v>
      </c>
      <c r="O344" s="31" t="s">
        <v>114</v>
      </c>
      <c r="P344" s="20"/>
      <c r="Q344" s="30" t="str">
        <f aca="false">IF($F344="","",IF(AND(ISNUMBER(SEARCH("CMT",$F344)),OR(ISNUMBER(SEARCH("사입",$F344)),ISNUMBER(SEARCH("Buying",$F344)))),"본사/생산처 혼재",IF(ISNUMBER(SEARCH("CMT",$F344)),"본사(소재팀)","생산처")))</f>
        <v>생산처</v>
      </c>
      <c r="R344" s="29" t="s">
        <v>156</v>
      </c>
      <c r="S344" s="29" t="s">
        <v>110</v>
      </c>
      <c r="T344" s="30" t="str">
        <f aca="false">IF($K344="","출고일 미정",IF($O344="X","작지(일매) 미등록",IF($O344="부분","작지(일매) 일부 미등록",IF(AND($P344&lt;&gt;"",$P344&gt;$M344),"소재입고 마감("&amp;TEXT($M344,"MM/DD")&amp;") 초과",IF($O344="","일매 등록여부 확인 필요",IF($P344="","소재 입고일정 확인 필요","정상"))))))</f>
        <v>작지(일매) 미등록</v>
      </c>
      <c r="U344" s="28" t="str">
        <f aca="false">IF($K344="","",IF(OR(LEFT($T344,2)="작지",LEFT($T344,4)="소재입고"),IF(LEFT($E344,1)="S","★ 납기위험(S코드)","◆ 지연주의"),IF($T344="정상","✓ 정상","? 확인필요")))</f>
        <v>◆ 지연주의</v>
      </c>
      <c r="V344" s="31"/>
      <c r="W344" s="19"/>
    </row>
    <row r="345" customFormat="false" ht="15" hidden="false" customHeight="true" outlineLevel="0" collapsed="false">
      <c r="A345" s="28" t="n">
        <v>341</v>
      </c>
      <c r="B345" s="29" t="s">
        <v>294</v>
      </c>
      <c r="C345" s="30" t="s">
        <v>819</v>
      </c>
      <c r="D345" s="29" t="s">
        <v>820</v>
      </c>
      <c r="E345" s="28" t="str">
        <f aca="false">IF($C345="","",IF(MID($C345,5,1)="S","S(봄)",IF(MID($C345,5,1)="M","M(여름)",IF(MID($C345,5,1)="X","X(사계절)",MID($C345,5,1)))))</f>
        <v>M(여름)</v>
      </c>
      <c r="F345" s="29" t="s">
        <v>106</v>
      </c>
      <c r="G345" s="31"/>
      <c r="H345" s="28" t="str">
        <f aca="false">IF($C345="","",REPLACE($C345,6,2,"26"))</f>
        <v>TVTCM26514</v>
      </c>
      <c r="I345" s="32" t="str">
        <f aca="false">IFERROR(INDEX(전년출고참조!$B$4:$B$638,MATCH($H345,전년출고참조!$A$4:$A$638,0)),"")</f>
        <v/>
      </c>
      <c r="J345" s="32" t="n">
        <v>46468</v>
      </c>
      <c r="K345" s="32" t="n">
        <f aca="false">IF($G345&lt;&gt;"",IFERROR(DATE(IF(VALUE(LEFT($G345,FIND("월",$G345)-1))&gt;=9,기준정보!$C$6-1,기준정보!$C$6),VALUE(LEFT($G345,FIND("월",$G345)-1)),1+7*(VALUE(SUBSTITUTE(MID($G345,FIND("월",$G345)+1,5),"주",""))-1)),""),IF($I345&lt;&gt;"",IF(ISNUMBER($I345),$I345+364,IFERROR(DATE(IF(VALUE(LEFT($I345,FIND("월",$I345)-1))&gt;=9,기준정보!$C$6-1,기준정보!$C$6),VALUE(LEFT($I345,FIND("월",$I345)-1)),1+7*(VALUE(SUBSTITUTE(MID($I345,FIND("월",$I345)+1,5),"주",""))-1)),"")),IF($J345&lt;&gt;"",$J345,"")))</f>
        <v>46468</v>
      </c>
      <c r="L345" s="28" t="str">
        <f aca="false">IF($G345&lt;&gt;"","계획 주차",IF($I345&lt;&gt;"","전년+1년 예측",IF($J345&lt;&gt;"","전산 입고계획(참고)","미정")))</f>
        <v>전산 입고계획(참고)</v>
      </c>
      <c r="M345" s="32" t="n">
        <f aca="false">IF($K345="","",$K345-기준정보!$C$5)</f>
        <v>46378</v>
      </c>
      <c r="N345" s="33" t="n">
        <f aca="false">IF($M345="","",$M345-기준정보!$C$4)</f>
        <v>137</v>
      </c>
      <c r="O345" s="31" t="s">
        <v>114</v>
      </c>
      <c r="P345" s="20"/>
      <c r="Q345" s="30" t="str">
        <f aca="false">IF($F345="","",IF(AND(ISNUMBER(SEARCH("CMT",$F345)),OR(ISNUMBER(SEARCH("사입",$F345)),ISNUMBER(SEARCH("Buying",$F345)))),"본사/생산처 혼재",IF(ISNUMBER(SEARCH("CMT",$F345)),"본사(소재팀)","생산처")))</f>
        <v>생산처</v>
      </c>
      <c r="R345" s="29" t="s">
        <v>123</v>
      </c>
      <c r="S345" s="29" t="s">
        <v>120</v>
      </c>
      <c r="T345" s="30" t="str">
        <f aca="false">IF($K345="","출고일 미정",IF($O345="X","작지(일매) 미등록",IF($O345="부분","작지(일매) 일부 미등록",IF(AND($P345&lt;&gt;"",$P345&gt;$M345),"소재입고 마감("&amp;TEXT($M345,"MM/DD")&amp;") 초과",IF($O345="","일매 등록여부 확인 필요",IF($P345="","소재 입고일정 확인 필요","정상"))))))</f>
        <v>작지(일매) 미등록</v>
      </c>
      <c r="U345" s="28" t="str">
        <f aca="false">IF($K345="","",IF(OR(LEFT($T345,2)="작지",LEFT($T345,4)="소재입고"),IF(LEFT($E345,1)="S","★ 납기위험(S코드)","◆ 지연주의"),IF($T345="정상","✓ 정상","? 확인필요")))</f>
        <v>◆ 지연주의</v>
      </c>
      <c r="V345" s="31"/>
      <c r="W345" s="19"/>
    </row>
    <row r="346" customFormat="false" ht="15" hidden="false" customHeight="true" outlineLevel="0" collapsed="false">
      <c r="A346" s="28" t="n">
        <v>342</v>
      </c>
      <c r="B346" s="29" t="s">
        <v>294</v>
      </c>
      <c r="C346" s="30" t="s">
        <v>821</v>
      </c>
      <c r="D346" s="29" t="s">
        <v>822</v>
      </c>
      <c r="E346" s="28" t="str">
        <f aca="false">IF($C346="","",IF(MID($C346,5,1)="S","S(봄)",IF(MID($C346,5,1)="M","M(여름)",IF(MID($C346,5,1)="X","X(사계절)",MID($C346,5,1)))))</f>
        <v>M(여름)</v>
      </c>
      <c r="F346" s="29" t="s">
        <v>106</v>
      </c>
      <c r="G346" s="31"/>
      <c r="H346" s="28" t="str">
        <f aca="false">IF($C346="","",REPLACE($C346,6,2,"26"))</f>
        <v>TVTCM26562</v>
      </c>
      <c r="I346" s="32" t="str">
        <f aca="false">IFERROR(INDEX(전년출고참조!$B$4:$B$638,MATCH($H346,전년출고참조!$A$4:$A$638,0)),"")</f>
        <v/>
      </c>
      <c r="J346" s="32" t="n">
        <v>46468</v>
      </c>
      <c r="K346" s="32" t="n">
        <f aca="false">IF($G346&lt;&gt;"",IFERROR(DATE(IF(VALUE(LEFT($G346,FIND("월",$G346)-1))&gt;=9,기준정보!$C$6-1,기준정보!$C$6),VALUE(LEFT($G346,FIND("월",$G346)-1)),1+7*(VALUE(SUBSTITUTE(MID($G346,FIND("월",$G346)+1,5),"주",""))-1)),""),IF($I346&lt;&gt;"",IF(ISNUMBER($I346),$I346+364,IFERROR(DATE(IF(VALUE(LEFT($I346,FIND("월",$I346)-1))&gt;=9,기준정보!$C$6-1,기준정보!$C$6),VALUE(LEFT($I346,FIND("월",$I346)-1)),1+7*(VALUE(SUBSTITUTE(MID($I346,FIND("월",$I346)+1,5),"주",""))-1)),"")),IF($J346&lt;&gt;"",$J346,"")))</f>
        <v>46468</v>
      </c>
      <c r="L346" s="28" t="str">
        <f aca="false">IF($G346&lt;&gt;"","계획 주차",IF($I346&lt;&gt;"","전년+1년 예측",IF($J346&lt;&gt;"","전산 입고계획(참고)","미정")))</f>
        <v>전산 입고계획(참고)</v>
      </c>
      <c r="M346" s="32" t="n">
        <f aca="false">IF($K346="","",$K346-기준정보!$C$5)</f>
        <v>46378</v>
      </c>
      <c r="N346" s="33" t="n">
        <f aca="false">IF($M346="","",$M346-기준정보!$C$4)</f>
        <v>137</v>
      </c>
      <c r="O346" s="31" t="s">
        <v>108</v>
      </c>
      <c r="P346" s="20"/>
      <c r="Q346" s="30" t="str">
        <f aca="false">IF($F346="","",IF(AND(ISNUMBER(SEARCH("CMT",$F346)),OR(ISNUMBER(SEARCH("사입",$F346)),ISNUMBER(SEARCH("Buying",$F346)))),"본사/생산처 혼재",IF(ISNUMBER(SEARCH("CMT",$F346)),"본사(소재팀)","생산처")))</f>
        <v>생산처</v>
      </c>
      <c r="R346" s="29" t="s">
        <v>156</v>
      </c>
      <c r="S346" s="29" t="s">
        <v>110</v>
      </c>
      <c r="T346" s="30" t="str">
        <f aca="false">IF($K346="","출고일 미정",IF($O346="X","작지(일매) 미등록",IF($O346="부분","작지(일매) 일부 미등록",IF(AND($P346&lt;&gt;"",$P346&gt;$M346),"소재입고 마감("&amp;TEXT($M346,"MM/DD")&amp;") 초과",IF($O346="","일매 등록여부 확인 필요",IF($P346="","소재 입고일정 확인 필요","정상"))))))</f>
        <v>소재 입고일정 확인 필요</v>
      </c>
      <c r="U346" s="28" t="str">
        <f aca="false">IF($K346="","",IF(OR(LEFT($T346,2)="작지",LEFT($T346,4)="소재입고"),IF(LEFT($E346,1)="S","★ 납기위험(S코드)","◆ 지연주의"),IF($T346="정상","✓ 정상","? 확인필요")))</f>
        <v>? 확인필요</v>
      </c>
      <c r="V346" s="31"/>
      <c r="W346" s="19"/>
    </row>
    <row r="347" customFormat="false" ht="15" hidden="false" customHeight="true" outlineLevel="0" collapsed="false">
      <c r="A347" s="28" t="n">
        <v>343</v>
      </c>
      <c r="B347" s="29" t="s">
        <v>294</v>
      </c>
      <c r="C347" s="30" t="s">
        <v>823</v>
      </c>
      <c r="D347" s="29" t="s">
        <v>824</v>
      </c>
      <c r="E347" s="28" t="str">
        <f aca="false">IF($C347="","",IF(MID($C347,5,1)="S","S(봄)",IF(MID($C347,5,1)="M","M(여름)",IF(MID($C347,5,1)="X","X(사계절)",MID($C347,5,1)))))</f>
        <v>M(여름)</v>
      </c>
      <c r="F347" s="29" t="s">
        <v>106</v>
      </c>
      <c r="G347" s="31"/>
      <c r="H347" s="28" t="str">
        <f aca="false">IF($C347="","",REPLACE($C347,6,2,"26"))</f>
        <v>TVTCM26564</v>
      </c>
      <c r="I347" s="32" t="str">
        <f aca="false">IFERROR(INDEX(전년출고참조!$B$4:$B$638,MATCH($H347,전년출고참조!$A$4:$A$638,0)),"")</f>
        <v/>
      </c>
      <c r="J347" s="32" t="n">
        <v>46468</v>
      </c>
      <c r="K347" s="32" t="n">
        <f aca="false">IF($G347&lt;&gt;"",IFERROR(DATE(IF(VALUE(LEFT($G347,FIND("월",$G347)-1))&gt;=9,기준정보!$C$6-1,기준정보!$C$6),VALUE(LEFT($G347,FIND("월",$G347)-1)),1+7*(VALUE(SUBSTITUTE(MID($G347,FIND("월",$G347)+1,5),"주",""))-1)),""),IF($I347&lt;&gt;"",IF(ISNUMBER($I347),$I347+364,IFERROR(DATE(IF(VALUE(LEFT($I347,FIND("월",$I347)-1))&gt;=9,기준정보!$C$6-1,기준정보!$C$6),VALUE(LEFT($I347,FIND("월",$I347)-1)),1+7*(VALUE(SUBSTITUTE(MID($I347,FIND("월",$I347)+1,5),"주",""))-1)),"")),IF($J347&lt;&gt;"",$J347,"")))</f>
        <v>46468</v>
      </c>
      <c r="L347" s="28" t="str">
        <f aca="false">IF($G347&lt;&gt;"","계획 주차",IF($I347&lt;&gt;"","전년+1년 예측",IF($J347&lt;&gt;"","전산 입고계획(참고)","미정")))</f>
        <v>전산 입고계획(참고)</v>
      </c>
      <c r="M347" s="32" t="n">
        <f aca="false">IF($K347="","",$K347-기준정보!$C$5)</f>
        <v>46378</v>
      </c>
      <c r="N347" s="33" t="n">
        <f aca="false">IF($M347="","",$M347-기준정보!$C$4)</f>
        <v>137</v>
      </c>
      <c r="O347" s="31" t="s">
        <v>114</v>
      </c>
      <c r="P347" s="20"/>
      <c r="Q347" s="30" t="str">
        <f aca="false">IF($F347="","",IF(AND(ISNUMBER(SEARCH("CMT",$F347)),OR(ISNUMBER(SEARCH("사입",$F347)),ISNUMBER(SEARCH("Buying",$F347)))),"본사/생산처 혼재",IF(ISNUMBER(SEARCH("CMT",$F347)),"본사(소재팀)","생산처")))</f>
        <v>생산처</v>
      </c>
      <c r="R347" s="29" t="s">
        <v>123</v>
      </c>
      <c r="S347" s="29" t="s">
        <v>120</v>
      </c>
      <c r="T347" s="30" t="str">
        <f aca="false">IF($K347="","출고일 미정",IF($O347="X","작지(일매) 미등록",IF($O347="부분","작지(일매) 일부 미등록",IF(AND($P347&lt;&gt;"",$P347&gt;$M347),"소재입고 마감("&amp;TEXT($M347,"MM/DD")&amp;") 초과",IF($O347="","일매 등록여부 확인 필요",IF($P347="","소재 입고일정 확인 필요","정상"))))))</f>
        <v>작지(일매) 미등록</v>
      </c>
      <c r="U347" s="28" t="str">
        <f aca="false">IF($K347="","",IF(OR(LEFT($T347,2)="작지",LEFT($T347,4)="소재입고"),IF(LEFT($E347,1)="S","★ 납기위험(S코드)","◆ 지연주의"),IF($T347="정상","✓ 정상","? 확인필요")))</f>
        <v>◆ 지연주의</v>
      </c>
      <c r="V347" s="31"/>
      <c r="W347" s="19"/>
    </row>
    <row r="348" customFormat="false" ht="15" hidden="false" customHeight="true" outlineLevel="0" collapsed="false">
      <c r="A348" s="28" t="n">
        <v>344</v>
      </c>
      <c r="B348" s="29" t="s">
        <v>266</v>
      </c>
      <c r="C348" s="30" t="s">
        <v>825</v>
      </c>
      <c r="D348" s="29" t="s">
        <v>826</v>
      </c>
      <c r="E348" s="28" t="str">
        <f aca="false">IF($C348="","",IF(MID($C348,5,1)="S","S(봄)",IF(MID($C348,5,1)="M","M(여름)",IF(MID($C348,5,1)="X","X(사계절)",MID($C348,5,1)))))</f>
        <v>M(여름)</v>
      </c>
      <c r="F348" s="29" t="s">
        <v>106</v>
      </c>
      <c r="G348" s="31"/>
      <c r="H348" s="28" t="str">
        <f aca="false">IF($C348="","",REPLACE($C348,6,2,"26"))</f>
        <v>QEAAM26301</v>
      </c>
      <c r="I348" s="32" t="str">
        <f aca="false">IFERROR(INDEX(전년출고참조!$B$4:$B$638,MATCH($H348,전년출고참조!$A$4:$A$638,0)),"")</f>
        <v/>
      </c>
      <c r="J348" s="32" t="n">
        <v>46470</v>
      </c>
      <c r="K348" s="32" t="n">
        <f aca="false">IF($G348&lt;&gt;"",IFERROR(DATE(IF(VALUE(LEFT($G348,FIND("월",$G348)-1))&gt;=9,기준정보!$C$6-1,기준정보!$C$6),VALUE(LEFT($G348,FIND("월",$G348)-1)),1+7*(VALUE(SUBSTITUTE(MID($G348,FIND("월",$G348)+1,5),"주",""))-1)),""),IF($I348&lt;&gt;"",IF(ISNUMBER($I348),$I348+364,IFERROR(DATE(IF(VALUE(LEFT($I348,FIND("월",$I348)-1))&gt;=9,기준정보!$C$6-1,기준정보!$C$6),VALUE(LEFT($I348,FIND("월",$I348)-1)),1+7*(VALUE(SUBSTITUTE(MID($I348,FIND("월",$I348)+1,5),"주",""))-1)),"")),IF($J348&lt;&gt;"",$J348,"")))</f>
        <v>46470</v>
      </c>
      <c r="L348" s="28" t="str">
        <f aca="false">IF($G348&lt;&gt;"","계획 주차",IF($I348&lt;&gt;"","전년+1년 예측",IF($J348&lt;&gt;"","전산 입고계획(참고)","미정")))</f>
        <v>전산 입고계획(참고)</v>
      </c>
      <c r="M348" s="32" t="n">
        <f aca="false">IF($K348="","",$K348-기준정보!$C$5)</f>
        <v>46380</v>
      </c>
      <c r="N348" s="33" t="n">
        <f aca="false">IF($M348="","",$M348-기준정보!$C$4)</f>
        <v>139</v>
      </c>
      <c r="O348" s="31" t="s">
        <v>114</v>
      </c>
      <c r="P348" s="20"/>
      <c r="Q348" s="30" t="str">
        <f aca="false">IF($F348="","",IF(AND(ISNUMBER(SEARCH("CMT",$F348)),OR(ISNUMBER(SEARCH("사입",$F348)),ISNUMBER(SEARCH("Buying",$F348)))),"본사/생산처 혼재",IF(ISNUMBER(SEARCH("CMT",$F348)),"본사(소재팀)","생산처")))</f>
        <v>생산처</v>
      </c>
      <c r="R348" s="29" t="s">
        <v>572</v>
      </c>
      <c r="S348" s="29" t="s">
        <v>195</v>
      </c>
      <c r="T348" s="30" t="str">
        <f aca="false">IF($K348="","출고일 미정",IF($O348="X","작지(일매) 미등록",IF($O348="부분","작지(일매) 일부 미등록",IF(AND($P348&lt;&gt;"",$P348&gt;$M348),"소재입고 마감("&amp;TEXT($M348,"MM/DD")&amp;") 초과",IF($O348="","일매 등록여부 확인 필요",IF($P348="","소재 입고일정 확인 필요","정상"))))))</f>
        <v>작지(일매) 미등록</v>
      </c>
      <c r="U348" s="28" t="str">
        <f aca="false">IF($K348="","",IF(OR(LEFT($T348,2)="작지",LEFT($T348,4)="소재입고"),IF(LEFT($E348,1)="S","★ 납기위험(S코드)","◆ 지연주의"),IF($T348="정상","✓ 정상","? 확인필요")))</f>
        <v>◆ 지연주의</v>
      </c>
      <c r="V348" s="31"/>
      <c r="W348" s="19"/>
    </row>
    <row r="349" customFormat="false" ht="15" hidden="false" customHeight="true" outlineLevel="0" collapsed="false">
      <c r="A349" s="28" t="n">
        <v>345</v>
      </c>
      <c r="B349" s="29" t="s">
        <v>266</v>
      </c>
      <c r="C349" s="30" t="s">
        <v>827</v>
      </c>
      <c r="D349" s="29" t="s">
        <v>828</v>
      </c>
      <c r="E349" s="28" t="str">
        <f aca="false">IF($C349="","",IF(MID($C349,5,1)="S","S(봄)",IF(MID($C349,5,1)="M","M(여름)",IF(MID($C349,5,1)="X","X(사계절)",MID($C349,5,1)))))</f>
        <v>M(여름)</v>
      </c>
      <c r="F349" s="29" t="s">
        <v>106</v>
      </c>
      <c r="G349" s="31"/>
      <c r="H349" s="28" t="str">
        <f aca="false">IF($C349="","",REPLACE($C349,6,2,"26"))</f>
        <v>QEAAM26303</v>
      </c>
      <c r="I349" s="32" t="str">
        <f aca="false">IFERROR(INDEX(전년출고참조!$B$4:$B$638,MATCH($H349,전년출고참조!$A$4:$A$638,0)),"")</f>
        <v/>
      </c>
      <c r="J349" s="32" t="n">
        <v>46470</v>
      </c>
      <c r="K349" s="32" t="n">
        <f aca="false">IF($G349&lt;&gt;"",IFERROR(DATE(IF(VALUE(LEFT($G349,FIND("월",$G349)-1))&gt;=9,기준정보!$C$6-1,기준정보!$C$6),VALUE(LEFT($G349,FIND("월",$G349)-1)),1+7*(VALUE(SUBSTITUTE(MID($G349,FIND("월",$G349)+1,5),"주",""))-1)),""),IF($I349&lt;&gt;"",IF(ISNUMBER($I349),$I349+364,IFERROR(DATE(IF(VALUE(LEFT($I349,FIND("월",$I349)-1))&gt;=9,기준정보!$C$6-1,기준정보!$C$6),VALUE(LEFT($I349,FIND("월",$I349)-1)),1+7*(VALUE(SUBSTITUTE(MID($I349,FIND("월",$I349)+1,5),"주",""))-1)),"")),IF($J349&lt;&gt;"",$J349,"")))</f>
        <v>46470</v>
      </c>
      <c r="L349" s="28" t="str">
        <f aca="false">IF($G349&lt;&gt;"","계획 주차",IF($I349&lt;&gt;"","전년+1년 예측",IF($J349&lt;&gt;"","전산 입고계획(참고)","미정")))</f>
        <v>전산 입고계획(참고)</v>
      </c>
      <c r="M349" s="32" t="n">
        <f aca="false">IF($K349="","",$K349-기준정보!$C$5)</f>
        <v>46380</v>
      </c>
      <c r="N349" s="33" t="n">
        <f aca="false">IF($M349="","",$M349-기준정보!$C$4)</f>
        <v>139</v>
      </c>
      <c r="O349" s="31" t="s">
        <v>114</v>
      </c>
      <c r="P349" s="20"/>
      <c r="Q349" s="30" t="str">
        <f aca="false">IF($F349="","",IF(AND(ISNUMBER(SEARCH("CMT",$F349)),OR(ISNUMBER(SEARCH("사입",$F349)),ISNUMBER(SEARCH("Buying",$F349)))),"본사/생산처 혼재",IF(ISNUMBER(SEARCH("CMT",$F349)),"본사(소재팀)","생산처")))</f>
        <v>생산처</v>
      </c>
      <c r="R349" s="29" t="s">
        <v>337</v>
      </c>
      <c r="S349" s="29" t="s">
        <v>110</v>
      </c>
      <c r="T349" s="30" t="str">
        <f aca="false">IF($K349="","출고일 미정",IF($O349="X","작지(일매) 미등록",IF($O349="부분","작지(일매) 일부 미등록",IF(AND($P349&lt;&gt;"",$P349&gt;$M349),"소재입고 마감("&amp;TEXT($M349,"MM/DD")&amp;") 초과",IF($O349="","일매 등록여부 확인 필요",IF($P349="","소재 입고일정 확인 필요","정상"))))))</f>
        <v>작지(일매) 미등록</v>
      </c>
      <c r="U349" s="28" t="str">
        <f aca="false">IF($K349="","",IF(OR(LEFT($T349,2)="작지",LEFT($T349,4)="소재입고"),IF(LEFT($E349,1)="S","★ 납기위험(S코드)","◆ 지연주의"),IF($T349="정상","✓ 정상","? 확인필요")))</f>
        <v>◆ 지연주의</v>
      </c>
      <c r="V349" s="31"/>
      <c r="W349" s="19"/>
    </row>
    <row r="350" customFormat="false" ht="15" hidden="false" customHeight="true" outlineLevel="0" collapsed="false">
      <c r="A350" s="28" t="n">
        <v>346</v>
      </c>
      <c r="B350" s="29" t="s">
        <v>802</v>
      </c>
      <c r="C350" s="30" t="s">
        <v>829</v>
      </c>
      <c r="D350" s="29" t="s">
        <v>830</v>
      </c>
      <c r="E350" s="28" t="str">
        <f aca="false">IF($C350="","",IF(MID($C350,5,1)="S","S(봄)",IF(MID($C350,5,1)="M","M(여름)",IF(MID($C350,5,1)="X","X(사계절)",MID($C350,5,1)))))</f>
        <v>M(여름)</v>
      </c>
      <c r="F350" s="29" t="s">
        <v>106</v>
      </c>
      <c r="G350" s="31"/>
      <c r="H350" s="28" t="str">
        <f aca="false">IF($C350="","",REPLACE($C350,6,2,"26"))</f>
        <v>QEAKM26103</v>
      </c>
      <c r="I350" s="32" t="str">
        <f aca="false">IFERROR(INDEX(전년출고참조!$B$4:$B$638,MATCH($H350,전년출고참조!$A$4:$A$638,0)),"")</f>
        <v/>
      </c>
      <c r="J350" s="32" t="n">
        <v>46470</v>
      </c>
      <c r="K350" s="32" t="n">
        <f aca="false">IF($G350&lt;&gt;"",IFERROR(DATE(IF(VALUE(LEFT($G350,FIND("월",$G350)-1))&gt;=9,기준정보!$C$6-1,기준정보!$C$6),VALUE(LEFT($G350,FIND("월",$G350)-1)),1+7*(VALUE(SUBSTITUTE(MID($G350,FIND("월",$G350)+1,5),"주",""))-1)),""),IF($I350&lt;&gt;"",IF(ISNUMBER($I350),$I350+364,IFERROR(DATE(IF(VALUE(LEFT($I350,FIND("월",$I350)-1))&gt;=9,기준정보!$C$6-1,기준정보!$C$6),VALUE(LEFT($I350,FIND("월",$I350)-1)),1+7*(VALUE(SUBSTITUTE(MID($I350,FIND("월",$I350)+1,5),"주",""))-1)),"")),IF($J350&lt;&gt;"",$J350,"")))</f>
        <v>46470</v>
      </c>
      <c r="L350" s="28" t="str">
        <f aca="false">IF($G350&lt;&gt;"","계획 주차",IF($I350&lt;&gt;"","전년+1년 예측",IF($J350&lt;&gt;"","전산 입고계획(참고)","미정")))</f>
        <v>전산 입고계획(참고)</v>
      </c>
      <c r="M350" s="32" t="n">
        <f aca="false">IF($K350="","",$K350-기준정보!$C$5)</f>
        <v>46380</v>
      </c>
      <c r="N350" s="33" t="n">
        <f aca="false">IF($M350="","",$M350-기준정보!$C$4)</f>
        <v>139</v>
      </c>
      <c r="O350" s="31" t="s">
        <v>114</v>
      </c>
      <c r="P350" s="20"/>
      <c r="Q350" s="30" t="str">
        <f aca="false">IF($F350="","",IF(AND(ISNUMBER(SEARCH("CMT",$F350)),OR(ISNUMBER(SEARCH("사입",$F350)),ISNUMBER(SEARCH("Buying",$F350)))),"본사/생산처 혼재",IF(ISNUMBER(SEARCH("CMT",$F350)),"본사(소재팀)","생산처")))</f>
        <v>생산처</v>
      </c>
      <c r="R350" s="29" t="s">
        <v>565</v>
      </c>
      <c r="S350" s="29" t="s">
        <v>195</v>
      </c>
      <c r="T350" s="30" t="str">
        <f aca="false">IF($K350="","출고일 미정",IF($O350="X","작지(일매) 미등록",IF($O350="부분","작지(일매) 일부 미등록",IF(AND($P350&lt;&gt;"",$P350&gt;$M350),"소재입고 마감("&amp;TEXT($M350,"MM/DD")&amp;") 초과",IF($O350="","일매 등록여부 확인 필요",IF($P350="","소재 입고일정 확인 필요","정상"))))))</f>
        <v>작지(일매) 미등록</v>
      </c>
      <c r="U350" s="28" t="str">
        <f aca="false">IF($K350="","",IF(OR(LEFT($T350,2)="작지",LEFT($T350,4)="소재입고"),IF(LEFT($E350,1)="S","★ 납기위험(S코드)","◆ 지연주의"),IF($T350="정상","✓ 정상","? 확인필요")))</f>
        <v>◆ 지연주의</v>
      </c>
      <c r="V350" s="31"/>
      <c r="W350" s="19"/>
    </row>
    <row r="351" customFormat="false" ht="15" hidden="false" customHeight="true" outlineLevel="0" collapsed="false">
      <c r="A351" s="28" t="n">
        <v>347</v>
      </c>
      <c r="B351" s="29" t="s">
        <v>802</v>
      </c>
      <c r="C351" s="30" t="s">
        <v>831</v>
      </c>
      <c r="D351" s="29" t="s">
        <v>832</v>
      </c>
      <c r="E351" s="28" t="str">
        <f aca="false">IF($C351="","",IF(MID($C351,5,1)="S","S(봄)",IF(MID($C351,5,1)="M","M(여름)",IF(MID($C351,5,1)="X","X(사계절)",MID($C351,5,1)))))</f>
        <v>M(여름)</v>
      </c>
      <c r="F351" s="29" t="s">
        <v>106</v>
      </c>
      <c r="G351" s="31"/>
      <c r="H351" s="28" t="str">
        <f aca="false">IF($C351="","",REPLACE($C351,6,2,"26"))</f>
        <v>QEHEM26103</v>
      </c>
      <c r="I351" s="32" t="str">
        <f aca="false">IFERROR(INDEX(전년출고참조!$B$4:$B$638,MATCH($H351,전년출고참조!$A$4:$A$638,0)),"")</f>
        <v/>
      </c>
      <c r="J351" s="32" t="n">
        <v>46470</v>
      </c>
      <c r="K351" s="32" t="n">
        <f aca="false">IF($G351&lt;&gt;"",IFERROR(DATE(IF(VALUE(LEFT($G351,FIND("월",$G351)-1))&gt;=9,기준정보!$C$6-1,기준정보!$C$6),VALUE(LEFT($G351,FIND("월",$G351)-1)),1+7*(VALUE(SUBSTITUTE(MID($G351,FIND("월",$G351)+1,5),"주",""))-1)),""),IF($I351&lt;&gt;"",IF(ISNUMBER($I351),$I351+364,IFERROR(DATE(IF(VALUE(LEFT($I351,FIND("월",$I351)-1))&gt;=9,기준정보!$C$6-1,기준정보!$C$6),VALUE(LEFT($I351,FIND("월",$I351)-1)),1+7*(VALUE(SUBSTITUTE(MID($I351,FIND("월",$I351)+1,5),"주",""))-1)),"")),IF($J351&lt;&gt;"",$J351,"")))</f>
        <v>46470</v>
      </c>
      <c r="L351" s="28" t="str">
        <f aca="false">IF($G351&lt;&gt;"","계획 주차",IF($I351&lt;&gt;"","전년+1년 예측",IF($J351&lt;&gt;"","전산 입고계획(참고)","미정")))</f>
        <v>전산 입고계획(참고)</v>
      </c>
      <c r="M351" s="32" t="n">
        <f aca="false">IF($K351="","",$K351-기준정보!$C$5)</f>
        <v>46380</v>
      </c>
      <c r="N351" s="33" t="n">
        <f aca="false">IF($M351="","",$M351-기준정보!$C$4)</f>
        <v>139</v>
      </c>
      <c r="O351" s="31" t="s">
        <v>114</v>
      </c>
      <c r="P351" s="20"/>
      <c r="Q351" s="30" t="str">
        <f aca="false">IF($F351="","",IF(AND(ISNUMBER(SEARCH("CMT",$F351)),OR(ISNUMBER(SEARCH("사입",$F351)),ISNUMBER(SEARCH("Buying",$F351)))),"본사/생산처 혼재",IF(ISNUMBER(SEARCH("CMT",$F351)),"본사(소재팀)","생산처")))</f>
        <v>생산처</v>
      </c>
      <c r="R351" s="29" t="s">
        <v>565</v>
      </c>
      <c r="S351" s="29" t="s">
        <v>355</v>
      </c>
      <c r="T351" s="30" t="str">
        <f aca="false">IF($K351="","출고일 미정",IF($O351="X","작지(일매) 미등록",IF($O351="부분","작지(일매) 일부 미등록",IF(AND($P351&lt;&gt;"",$P351&gt;$M351),"소재입고 마감("&amp;TEXT($M351,"MM/DD")&amp;") 초과",IF($O351="","일매 등록여부 확인 필요",IF($P351="","소재 입고일정 확인 필요","정상"))))))</f>
        <v>작지(일매) 미등록</v>
      </c>
      <c r="U351" s="28" t="str">
        <f aca="false">IF($K351="","",IF(OR(LEFT($T351,2)="작지",LEFT($T351,4)="소재입고"),IF(LEFT($E351,1)="S","★ 납기위험(S코드)","◆ 지연주의"),IF($T351="정상","✓ 정상","? 확인필요")))</f>
        <v>◆ 지연주의</v>
      </c>
      <c r="V351" s="31"/>
      <c r="W351" s="19"/>
    </row>
    <row r="352" customFormat="false" ht="15" hidden="false" customHeight="true" outlineLevel="0" collapsed="false">
      <c r="A352" s="28" t="n">
        <v>348</v>
      </c>
      <c r="B352" s="29" t="s">
        <v>802</v>
      </c>
      <c r="C352" s="30" t="s">
        <v>833</v>
      </c>
      <c r="D352" s="29" t="s">
        <v>834</v>
      </c>
      <c r="E352" s="28" t="str">
        <f aca="false">IF($C352="","",IF(MID($C352,5,1)="S","S(봄)",IF(MID($C352,5,1)="M","M(여름)",IF(MID($C352,5,1)="X","X(사계절)",MID($C352,5,1)))))</f>
        <v>M(여름)</v>
      </c>
      <c r="F352" s="29" t="s">
        <v>106</v>
      </c>
      <c r="G352" s="31"/>
      <c r="H352" s="28" t="str">
        <f aca="false">IF($C352="","",REPLACE($C352,6,2,"26"))</f>
        <v>QEHEM26105</v>
      </c>
      <c r="I352" s="32" t="str">
        <f aca="false">IFERROR(INDEX(전년출고참조!$B$4:$B$638,MATCH($H352,전년출고참조!$A$4:$A$638,0)),"")</f>
        <v/>
      </c>
      <c r="J352" s="32" t="n">
        <v>46470</v>
      </c>
      <c r="K352" s="32" t="n">
        <f aca="false">IF($G352&lt;&gt;"",IFERROR(DATE(IF(VALUE(LEFT($G352,FIND("월",$G352)-1))&gt;=9,기준정보!$C$6-1,기준정보!$C$6),VALUE(LEFT($G352,FIND("월",$G352)-1)),1+7*(VALUE(SUBSTITUTE(MID($G352,FIND("월",$G352)+1,5),"주",""))-1)),""),IF($I352&lt;&gt;"",IF(ISNUMBER($I352),$I352+364,IFERROR(DATE(IF(VALUE(LEFT($I352,FIND("월",$I352)-1))&gt;=9,기준정보!$C$6-1,기준정보!$C$6),VALUE(LEFT($I352,FIND("월",$I352)-1)),1+7*(VALUE(SUBSTITUTE(MID($I352,FIND("월",$I352)+1,5),"주",""))-1)),"")),IF($J352&lt;&gt;"",$J352,"")))</f>
        <v>46470</v>
      </c>
      <c r="L352" s="28" t="str">
        <f aca="false">IF($G352&lt;&gt;"","계획 주차",IF($I352&lt;&gt;"","전년+1년 예측",IF($J352&lt;&gt;"","전산 입고계획(참고)","미정")))</f>
        <v>전산 입고계획(참고)</v>
      </c>
      <c r="M352" s="32" t="n">
        <f aca="false">IF($K352="","",$K352-기준정보!$C$5)</f>
        <v>46380</v>
      </c>
      <c r="N352" s="33" t="n">
        <f aca="false">IF($M352="","",$M352-기준정보!$C$4)</f>
        <v>139</v>
      </c>
      <c r="O352" s="31" t="s">
        <v>114</v>
      </c>
      <c r="P352" s="20"/>
      <c r="Q352" s="30" t="str">
        <f aca="false">IF($F352="","",IF(AND(ISNUMBER(SEARCH("CMT",$F352)),OR(ISNUMBER(SEARCH("사입",$F352)),ISNUMBER(SEARCH("Buying",$F352)))),"본사/생산처 혼재",IF(ISNUMBER(SEARCH("CMT",$F352)),"본사(소재팀)","생산처")))</f>
        <v>생산처</v>
      </c>
      <c r="R352" s="29" t="s">
        <v>565</v>
      </c>
      <c r="S352" s="29" t="s">
        <v>110</v>
      </c>
      <c r="T352" s="30" t="str">
        <f aca="false">IF($K352="","출고일 미정",IF($O352="X","작지(일매) 미등록",IF($O352="부분","작지(일매) 일부 미등록",IF(AND($P352&lt;&gt;"",$P352&gt;$M352),"소재입고 마감("&amp;TEXT($M352,"MM/DD")&amp;") 초과",IF($O352="","일매 등록여부 확인 필요",IF($P352="","소재 입고일정 확인 필요","정상"))))))</f>
        <v>작지(일매) 미등록</v>
      </c>
      <c r="U352" s="28" t="str">
        <f aca="false">IF($K352="","",IF(OR(LEFT($T352,2)="작지",LEFT($T352,4)="소재입고"),IF(LEFT($E352,1)="S","★ 납기위험(S코드)","◆ 지연주의"),IF($T352="정상","✓ 정상","? 확인필요")))</f>
        <v>◆ 지연주의</v>
      </c>
      <c r="V352" s="31"/>
      <c r="W352" s="19"/>
    </row>
    <row r="353" customFormat="false" ht="15" hidden="false" customHeight="true" outlineLevel="0" collapsed="false">
      <c r="A353" s="28" t="n">
        <v>349</v>
      </c>
      <c r="B353" s="29" t="s">
        <v>802</v>
      </c>
      <c r="C353" s="30" t="s">
        <v>835</v>
      </c>
      <c r="D353" s="29" t="s">
        <v>836</v>
      </c>
      <c r="E353" s="28" t="str">
        <f aca="false">IF($C353="","",IF(MID($C353,5,1)="S","S(봄)",IF(MID($C353,5,1)="M","M(여름)",IF(MID($C353,5,1)="X","X(사계절)",MID($C353,5,1)))))</f>
        <v>M(여름)</v>
      </c>
      <c r="F353" s="29" t="s">
        <v>106</v>
      </c>
      <c r="G353" s="31"/>
      <c r="H353" s="28" t="str">
        <f aca="false">IF($C353="","",REPLACE($C353,6,2,"26"))</f>
        <v>QEREM26171</v>
      </c>
      <c r="I353" s="32" t="str">
        <f aca="false">IFERROR(INDEX(전년출고참조!$B$4:$B$638,MATCH($H353,전년출고참조!$A$4:$A$638,0)),"")</f>
        <v/>
      </c>
      <c r="J353" s="32" t="n">
        <v>46470</v>
      </c>
      <c r="K353" s="32" t="n">
        <f aca="false">IF($G353&lt;&gt;"",IFERROR(DATE(IF(VALUE(LEFT($G353,FIND("월",$G353)-1))&gt;=9,기준정보!$C$6-1,기준정보!$C$6),VALUE(LEFT($G353,FIND("월",$G353)-1)),1+7*(VALUE(SUBSTITUTE(MID($G353,FIND("월",$G353)+1,5),"주",""))-1)),""),IF($I353&lt;&gt;"",IF(ISNUMBER($I353),$I353+364,IFERROR(DATE(IF(VALUE(LEFT($I353,FIND("월",$I353)-1))&gt;=9,기준정보!$C$6-1,기준정보!$C$6),VALUE(LEFT($I353,FIND("월",$I353)-1)),1+7*(VALUE(SUBSTITUTE(MID($I353,FIND("월",$I353)+1,5),"주",""))-1)),"")),IF($J353&lt;&gt;"",$J353,"")))</f>
        <v>46470</v>
      </c>
      <c r="L353" s="28" t="str">
        <f aca="false">IF($G353&lt;&gt;"","계획 주차",IF($I353&lt;&gt;"","전년+1년 예측",IF($J353&lt;&gt;"","전산 입고계획(참고)","미정")))</f>
        <v>전산 입고계획(참고)</v>
      </c>
      <c r="M353" s="32" t="n">
        <f aca="false">IF($K353="","",$K353-기준정보!$C$5)</f>
        <v>46380</v>
      </c>
      <c r="N353" s="33" t="n">
        <f aca="false">IF($M353="","",$M353-기준정보!$C$4)</f>
        <v>139</v>
      </c>
      <c r="O353" s="31" t="s">
        <v>108</v>
      </c>
      <c r="P353" s="20"/>
      <c r="Q353" s="30" t="str">
        <f aca="false">IF($F353="","",IF(AND(ISNUMBER(SEARCH("CMT",$F353)),OR(ISNUMBER(SEARCH("사입",$F353)),ISNUMBER(SEARCH("Buying",$F353)))),"본사/생산처 혼재",IF(ISNUMBER(SEARCH("CMT",$F353)),"본사(소재팀)","생산처")))</f>
        <v>생산처</v>
      </c>
      <c r="R353" s="29" t="s">
        <v>337</v>
      </c>
      <c r="S353" s="29" t="s">
        <v>110</v>
      </c>
      <c r="T353" s="30" t="str">
        <f aca="false">IF($K353="","출고일 미정",IF($O353="X","작지(일매) 미등록",IF($O353="부분","작지(일매) 일부 미등록",IF(AND($P353&lt;&gt;"",$P353&gt;$M353),"소재입고 마감("&amp;TEXT($M353,"MM/DD")&amp;") 초과",IF($O353="","일매 등록여부 확인 필요",IF($P353="","소재 입고일정 확인 필요","정상"))))))</f>
        <v>소재 입고일정 확인 필요</v>
      </c>
      <c r="U353" s="28" t="str">
        <f aca="false">IF($K353="","",IF(OR(LEFT($T353,2)="작지",LEFT($T353,4)="소재입고"),IF(LEFT($E353,1)="S","★ 납기위험(S코드)","◆ 지연주의"),IF($T353="정상","✓ 정상","? 확인필요")))</f>
        <v>? 확인필요</v>
      </c>
      <c r="V353" s="31"/>
      <c r="W353" s="19"/>
    </row>
    <row r="354" customFormat="false" ht="15" hidden="false" customHeight="true" outlineLevel="0" collapsed="false">
      <c r="A354" s="28" t="n">
        <v>350</v>
      </c>
      <c r="B354" s="29" t="s">
        <v>802</v>
      </c>
      <c r="C354" s="30" t="s">
        <v>837</v>
      </c>
      <c r="D354" s="29" t="s">
        <v>838</v>
      </c>
      <c r="E354" s="28" t="str">
        <f aca="false">IF($C354="","",IF(MID($C354,5,1)="S","S(봄)",IF(MID($C354,5,1)="M","M(여름)",IF(MID($C354,5,1)="X","X(사계절)",MID($C354,5,1)))))</f>
        <v>M(여름)</v>
      </c>
      <c r="F354" s="29" t="s">
        <v>106</v>
      </c>
      <c r="G354" s="31"/>
      <c r="H354" s="28" t="str">
        <f aca="false">IF($C354="","",REPLACE($C354,6,2,"26"))</f>
        <v>QEREM26301</v>
      </c>
      <c r="I354" s="32" t="str">
        <f aca="false">IFERROR(INDEX(전년출고참조!$B$4:$B$638,MATCH($H354,전년출고참조!$A$4:$A$638,0)),"")</f>
        <v/>
      </c>
      <c r="J354" s="32" t="n">
        <v>46470</v>
      </c>
      <c r="K354" s="32" t="n">
        <f aca="false">IF($G354&lt;&gt;"",IFERROR(DATE(IF(VALUE(LEFT($G354,FIND("월",$G354)-1))&gt;=9,기준정보!$C$6-1,기준정보!$C$6),VALUE(LEFT($G354,FIND("월",$G354)-1)),1+7*(VALUE(SUBSTITUTE(MID($G354,FIND("월",$G354)+1,5),"주",""))-1)),""),IF($I354&lt;&gt;"",IF(ISNUMBER($I354),$I354+364,IFERROR(DATE(IF(VALUE(LEFT($I354,FIND("월",$I354)-1))&gt;=9,기준정보!$C$6-1,기준정보!$C$6),VALUE(LEFT($I354,FIND("월",$I354)-1)),1+7*(VALUE(SUBSTITUTE(MID($I354,FIND("월",$I354)+1,5),"주",""))-1)),"")),IF($J354&lt;&gt;"",$J354,"")))</f>
        <v>46470</v>
      </c>
      <c r="L354" s="28" t="str">
        <f aca="false">IF($G354&lt;&gt;"","계획 주차",IF($I354&lt;&gt;"","전년+1년 예측",IF($J354&lt;&gt;"","전산 입고계획(참고)","미정")))</f>
        <v>전산 입고계획(참고)</v>
      </c>
      <c r="M354" s="32" t="n">
        <f aca="false">IF($K354="","",$K354-기준정보!$C$5)</f>
        <v>46380</v>
      </c>
      <c r="N354" s="33" t="n">
        <f aca="false">IF($M354="","",$M354-기준정보!$C$4)</f>
        <v>139</v>
      </c>
      <c r="O354" s="31" t="s">
        <v>114</v>
      </c>
      <c r="P354" s="20"/>
      <c r="Q354" s="30" t="str">
        <f aca="false">IF($F354="","",IF(AND(ISNUMBER(SEARCH("CMT",$F354)),OR(ISNUMBER(SEARCH("사입",$F354)),ISNUMBER(SEARCH("Buying",$F354)))),"본사/생산처 혼재",IF(ISNUMBER(SEARCH("CMT",$F354)),"본사(소재팀)","생산처")))</f>
        <v>생산처</v>
      </c>
      <c r="R354" s="29" t="s">
        <v>337</v>
      </c>
      <c r="S354" s="29" t="s">
        <v>110</v>
      </c>
      <c r="T354" s="30" t="str">
        <f aca="false">IF($K354="","출고일 미정",IF($O354="X","작지(일매) 미등록",IF($O354="부분","작지(일매) 일부 미등록",IF(AND($P354&lt;&gt;"",$P354&gt;$M354),"소재입고 마감("&amp;TEXT($M354,"MM/DD")&amp;") 초과",IF($O354="","일매 등록여부 확인 필요",IF($P354="","소재 입고일정 확인 필요","정상"))))))</f>
        <v>작지(일매) 미등록</v>
      </c>
      <c r="U354" s="28" t="str">
        <f aca="false">IF($K354="","",IF(OR(LEFT($T354,2)="작지",LEFT($T354,4)="소재입고"),IF(LEFT($E354,1)="S","★ 납기위험(S코드)","◆ 지연주의"),IF($T354="정상","✓ 정상","? 확인필요")))</f>
        <v>◆ 지연주의</v>
      </c>
      <c r="V354" s="31"/>
      <c r="W354" s="19"/>
    </row>
    <row r="355" customFormat="false" ht="15" hidden="false" customHeight="true" outlineLevel="0" collapsed="false">
      <c r="A355" s="28" t="n">
        <v>351</v>
      </c>
      <c r="B355" s="29" t="s">
        <v>802</v>
      </c>
      <c r="C355" s="30" t="s">
        <v>839</v>
      </c>
      <c r="D355" s="29" t="s">
        <v>840</v>
      </c>
      <c r="E355" s="28" t="str">
        <f aca="false">IF($C355="","",IF(MID($C355,5,1)="S","S(봄)",IF(MID($C355,5,1)="M","M(여름)",IF(MID($C355,5,1)="X","X(사계절)",MID($C355,5,1)))))</f>
        <v>M(여름)</v>
      </c>
      <c r="F355" s="29" t="s">
        <v>106</v>
      </c>
      <c r="G355" s="31"/>
      <c r="H355" s="28" t="str">
        <f aca="false">IF($C355="","",REPLACE($C355,6,2,"26"))</f>
        <v>QEREM26311</v>
      </c>
      <c r="I355" s="32" t="str">
        <f aca="false">IFERROR(INDEX(전년출고참조!$B$4:$B$638,MATCH($H355,전년출고참조!$A$4:$A$638,0)),"")</f>
        <v/>
      </c>
      <c r="J355" s="32" t="n">
        <v>46470</v>
      </c>
      <c r="K355" s="32" t="n">
        <f aca="false">IF($G355&lt;&gt;"",IFERROR(DATE(IF(VALUE(LEFT($G355,FIND("월",$G355)-1))&gt;=9,기준정보!$C$6-1,기준정보!$C$6),VALUE(LEFT($G355,FIND("월",$G355)-1)),1+7*(VALUE(SUBSTITUTE(MID($G355,FIND("월",$G355)+1,5),"주",""))-1)),""),IF($I355&lt;&gt;"",IF(ISNUMBER($I355),$I355+364,IFERROR(DATE(IF(VALUE(LEFT($I355,FIND("월",$I355)-1))&gt;=9,기준정보!$C$6-1,기준정보!$C$6),VALUE(LEFT($I355,FIND("월",$I355)-1)),1+7*(VALUE(SUBSTITUTE(MID($I355,FIND("월",$I355)+1,5),"주",""))-1)),"")),IF($J355&lt;&gt;"",$J355,"")))</f>
        <v>46470</v>
      </c>
      <c r="L355" s="28" t="str">
        <f aca="false">IF($G355&lt;&gt;"","계획 주차",IF($I355&lt;&gt;"","전년+1년 예측",IF($J355&lt;&gt;"","전산 입고계획(참고)","미정")))</f>
        <v>전산 입고계획(참고)</v>
      </c>
      <c r="M355" s="32" t="n">
        <f aca="false">IF($K355="","",$K355-기준정보!$C$5)</f>
        <v>46380</v>
      </c>
      <c r="N355" s="33" t="n">
        <f aca="false">IF($M355="","",$M355-기준정보!$C$4)</f>
        <v>139</v>
      </c>
      <c r="O355" s="31" t="s">
        <v>108</v>
      </c>
      <c r="P355" s="20"/>
      <c r="Q355" s="30" t="str">
        <f aca="false">IF($F355="","",IF(AND(ISNUMBER(SEARCH("CMT",$F355)),OR(ISNUMBER(SEARCH("사입",$F355)),ISNUMBER(SEARCH("Buying",$F355)))),"본사/생산처 혼재",IF(ISNUMBER(SEARCH("CMT",$F355)),"본사(소재팀)","생산처")))</f>
        <v>생산처</v>
      </c>
      <c r="R355" s="29" t="s">
        <v>337</v>
      </c>
      <c r="S355" s="29" t="s">
        <v>110</v>
      </c>
      <c r="T355" s="30" t="str">
        <f aca="false">IF($K355="","출고일 미정",IF($O355="X","작지(일매) 미등록",IF($O355="부분","작지(일매) 일부 미등록",IF(AND($P355&lt;&gt;"",$P355&gt;$M355),"소재입고 마감("&amp;TEXT($M355,"MM/DD")&amp;") 초과",IF($O355="","일매 등록여부 확인 필요",IF($P355="","소재 입고일정 확인 필요","정상"))))))</f>
        <v>소재 입고일정 확인 필요</v>
      </c>
      <c r="U355" s="28" t="str">
        <f aca="false">IF($K355="","",IF(OR(LEFT($T355,2)="작지",LEFT($T355,4)="소재입고"),IF(LEFT($E355,1)="S","★ 납기위험(S코드)","◆ 지연주의"),IF($T355="정상","✓ 정상","? 확인필요")))</f>
        <v>? 확인필요</v>
      </c>
      <c r="V355" s="31"/>
      <c r="W355" s="19"/>
    </row>
    <row r="356" customFormat="false" ht="15" hidden="false" customHeight="true" outlineLevel="0" collapsed="false">
      <c r="A356" s="28" t="n">
        <v>352</v>
      </c>
      <c r="B356" s="29" t="s">
        <v>802</v>
      </c>
      <c r="C356" s="30" t="s">
        <v>841</v>
      </c>
      <c r="D356" s="29" t="s">
        <v>842</v>
      </c>
      <c r="E356" s="28" t="str">
        <f aca="false">IF($C356="","",IF(MID($C356,5,1)="S","S(봄)",IF(MID($C356,5,1)="M","M(여름)",IF(MID($C356,5,1)="X","X(사계절)",MID($C356,5,1)))))</f>
        <v>M(여름)</v>
      </c>
      <c r="F356" s="29" t="s">
        <v>106</v>
      </c>
      <c r="G356" s="31"/>
      <c r="H356" s="28" t="str">
        <f aca="false">IF($C356="","",REPLACE($C356,6,2,"26"))</f>
        <v>QERFM26121</v>
      </c>
      <c r="I356" s="32" t="str">
        <f aca="false">IFERROR(INDEX(전년출고참조!$B$4:$B$638,MATCH($H356,전년출고참조!$A$4:$A$638,0)),"")</f>
        <v/>
      </c>
      <c r="J356" s="32" t="n">
        <v>46470</v>
      </c>
      <c r="K356" s="32" t="n">
        <f aca="false">IF($G356&lt;&gt;"",IFERROR(DATE(IF(VALUE(LEFT($G356,FIND("월",$G356)-1))&gt;=9,기준정보!$C$6-1,기준정보!$C$6),VALUE(LEFT($G356,FIND("월",$G356)-1)),1+7*(VALUE(SUBSTITUTE(MID($G356,FIND("월",$G356)+1,5),"주",""))-1)),""),IF($I356&lt;&gt;"",IF(ISNUMBER($I356),$I356+364,IFERROR(DATE(IF(VALUE(LEFT($I356,FIND("월",$I356)-1))&gt;=9,기준정보!$C$6-1,기준정보!$C$6),VALUE(LEFT($I356,FIND("월",$I356)-1)),1+7*(VALUE(SUBSTITUTE(MID($I356,FIND("월",$I356)+1,5),"주",""))-1)),"")),IF($J356&lt;&gt;"",$J356,"")))</f>
        <v>46470</v>
      </c>
      <c r="L356" s="28" t="str">
        <f aca="false">IF($G356&lt;&gt;"","계획 주차",IF($I356&lt;&gt;"","전년+1년 예측",IF($J356&lt;&gt;"","전산 입고계획(참고)","미정")))</f>
        <v>전산 입고계획(참고)</v>
      </c>
      <c r="M356" s="32" t="n">
        <f aca="false">IF($K356="","",$K356-기준정보!$C$5)</f>
        <v>46380</v>
      </c>
      <c r="N356" s="33" t="n">
        <f aca="false">IF($M356="","",$M356-기준정보!$C$4)</f>
        <v>139</v>
      </c>
      <c r="O356" s="31" t="s">
        <v>108</v>
      </c>
      <c r="P356" s="20"/>
      <c r="Q356" s="30" t="str">
        <f aca="false">IF($F356="","",IF(AND(ISNUMBER(SEARCH("CMT",$F356)),OR(ISNUMBER(SEARCH("사입",$F356)),ISNUMBER(SEARCH("Buying",$F356)))),"본사/생산처 혼재",IF(ISNUMBER(SEARCH("CMT",$F356)),"본사(소재팀)","생산처")))</f>
        <v>생산처</v>
      </c>
      <c r="R356" s="29" t="s">
        <v>572</v>
      </c>
      <c r="S356" s="29" t="s">
        <v>195</v>
      </c>
      <c r="T356" s="30" t="str">
        <f aca="false">IF($K356="","출고일 미정",IF($O356="X","작지(일매) 미등록",IF($O356="부분","작지(일매) 일부 미등록",IF(AND($P356&lt;&gt;"",$P356&gt;$M356),"소재입고 마감("&amp;TEXT($M356,"MM/DD")&amp;") 초과",IF($O356="","일매 등록여부 확인 필요",IF($P356="","소재 입고일정 확인 필요","정상"))))))</f>
        <v>소재 입고일정 확인 필요</v>
      </c>
      <c r="U356" s="28" t="str">
        <f aca="false">IF($K356="","",IF(OR(LEFT($T356,2)="작지",LEFT($T356,4)="소재입고"),IF(LEFT($E356,1)="S","★ 납기위험(S코드)","◆ 지연주의"),IF($T356="정상","✓ 정상","? 확인필요")))</f>
        <v>? 확인필요</v>
      </c>
      <c r="V356" s="31"/>
      <c r="W356" s="19"/>
    </row>
    <row r="357" customFormat="false" ht="15" hidden="false" customHeight="true" outlineLevel="0" collapsed="false">
      <c r="A357" s="28" t="n">
        <v>353</v>
      </c>
      <c r="B357" s="29" t="s">
        <v>802</v>
      </c>
      <c r="C357" s="30" t="s">
        <v>843</v>
      </c>
      <c r="D357" s="29" t="s">
        <v>844</v>
      </c>
      <c r="E357" s="28" t="str">
        <f aca="false">IF($C357="","",IF(MID($C357,5,1)="S","S(봄)",IF(MID($C357,5,1)="M","M(여름)",IF(MID($C357,5,1)="X","X(사계절)",MID($C357,5,1)))))</f>
        <v>M(여름)</v>
      </c>
      <c r="F357" s="29" t="s">
        <v>106</v>
      </c>
      <c r="G357" s="31"/>
      <c r="H357" s="28" t="str">
        <f aca="false">IF($C357="","",REPLACE($C357,6,2,"26"))</f>
        <v>QERFM26401</v>
      </c>
      <c r="I357" s="32" t="str">
        <f aca="false">IFERROR(INDEX(전년출고참조!$B$4:$B$638,MATCH($H357,전년출고참조!$A$4:$A$638,0)),"")</f>
        <v/>
      </c>
      <c r="J357" s="32" t="n">
        <v>46470</v>
      </c>
      <c r="K357" s="32" t="n">
        <f aca="false">IF($G357&lt;&gt;"",IFERROR(DATE(IF(VALUE(LEFT($G357,FIND("월",$G357)-1))&gt;=9,기준정보!$C$6-1,기준정보!$C$6),VALUE(LEFT($G357,FIND("월",$G357)-1)),1+7*(VALUE(SUBSTITUTE(MID($G357,FIND("월",$G357)+1,5),"주",""))-1)),""),IF($I357&lt;&gt;"",IF(ISNUMBER($I357),$I357+364,IFERROR(DATE(IF(VALUE(LEFT($I357,FIND("월",$I357)-1))&gt;=9,기준정보!$C$6-1,기준정보!$C$6),VALUE(LEFT($I357,FIND("월",$I357)-1)),1+7*(VALUE(SUBSTITUTE(MID($I357,FIND("월",$I357)+1,5),"주",""))-1)),"")),IF($J357&lt;&gt;"",$J357,"")))</f>
        <v>46470</v>
      </c>
      <c r="L357" s="28" t="str">
        <f aca="false">IF($G357&lt;&gt;"","계획 주차",IF($I357&lt;&gt;"","전년+1년 예측",IF($J357&lt;&gt;"","전산 입고계획(참고)","미정")))</f>
        <v>전산 입고계획(참고)</v>
      </c>
      <c r="M357" s="32" t="n">
        <f aca="false">IF($K357="","",$K357-기준정보!$C$5)</f>
        <v>46380</v>
      </c>
      <c r="N357" s="33" t="n">
        <f aca="false">IF($M357="","",$M357-기준정보!$C$4)</f>
        <v>139</v>
      </c>
      <c r="O357" s="31" t="s">
        <v>108</v>
      </c>
      <c r="P357" s="20"/>
      <c r="Q357" s="30" t="str">
        <f aca="false">IF($F357="","",IF(AND(ISNUMBER(SEARCH("CMT",$F357)),OR(ISNUMBER(SEARCH("사입",$F357)),ISNUMBER(SEARCH("Buying",$F357)))),"본사/생산처 혼재",IF(ISNUMBER(SEARCH("CMT",$F357)),"본사(소재팀)","생산처")))</f>
        <v>생산처</v>
      </c>
      <c r="R357" s="29" t="s">
        <v>572</v>
      </c>
      <c r="S357" s="29" t="s">
        <v>195</v>
      </c>
      <c r="T357" s="30" t="str">
        <f aca="false">IF($K357="","출고일 미정",IF($O357="X","작지(일매) 미등록",IF($O357="부분","작지(일매) 일부 미등록",IF(AND($P357&lt;&gt;"",$P357&gt;$M357),"소재입고 마감("&amp;TEXT($M357,"MM/DD")&amp;") 초과",IF($O357="","일매 등록여부 확인 필요",IF($P357="","소재 입고일정 확인 필요","정상"))))))</f>
        <v>소재 입고일정 확인 필요</v>
      </c>
      <c r="U357" s="28" t="str">
        <f aca="false">IF($K357="","",IF(OR(LEFT($T357,2)="작지",LEFT($T357,4)="소재입고"),IF(LEFT($E357,1)="S","★ 납기위험(S코드)","◆ 지연주의"),IF($T357="정상","✓ 정상","? 확인필요")))</f>
        <v>? 확인필요</v>
      </c>
      <c r="V357" s="31"/>
      <c r="W357" s="19"/>
    </row>
    <row r="358" customFormat="false" ht="15" hidden="false" customHeight="true" outlineLevel="0" collapsed="false">
      <c r="A358" s="28" t="n">
        <v>354</v>
      </c>
      <c r="B358" s="29" t="s">
        <v>802</v>
      </c>
      <c r="C358" s="30" t="s">
        <v>845</v>
      </c>
      <c r="D358" s="29" t="s">
        <v>846</v>
      </c>
      <c r="E358" s="28" t="str">
        <f aca="false">IF($C358="","",IF(MID($C358,5,1)="S","S(봄)",IF(MID($C358,5,1)="M","M(여름)",IF(MID($C358,5,1)="X","X(사계절)",MID($C358,5,1)))))</f>
        <v>M(여름)</v>
      </c>
      <c r="F358" s="29" t="s">
        <v>106</v>
      </c>
      <c r="G358" s="31"/>
      <c r="H358" s="28" t="str">
        <f aca="false">IF($C358="","",REPLACE($C358,6,2,"26"))</f>
        <v>QERFM26402</v>
      </c>
      <c r="I358" s="32" t="str">
        <f aca="false">IFERROR(INDEX(전년출고참조!$B$4:$B$638,MATCH($H358,전년출고참조!$A$4:$A$638,0)),"")</f>
        <v/>
      </c>
      <c r="J358" s="32" t="n">
        <v>46470</v>
      </c>
      <c r="K358" s="32" t="n">
        <f aca="false">IF($G358&lt;&gt;"",IFERROR(DATE(IF(VALUE(LEFT($G358,FIND("월",$G358)-1))&gt;=9,기준정보!$C$6-1,기준정보!$C$6),VALUE(LEFT($G358,FIND("월",$G358)-1)),1+7*(VALUE(SUBSTITUTE(MID($G358,FIND("월",$G358)+1,5),"주",""))-1)),""),IF($I358&lt;&gt;"",IF(ISNUMBER($I358),$I358+364,IFERROR(DATE(IF(VALUE(LEFT($I358,FIND("월",$I358)-1))&gt;=9,기준정보!$C$6-1,기준정보!$C$6),VALUE(LEFT($I358,FIND("월",$I358)-1)),1+7*(VALUE(SUBSTITUTE(MID($I358,FIND("월",$I358)+1,5),"주",""))-1)),"")),IF($J358&lt;&gt;"",$J358,"")))</f>
        <v>46470</v>
      </c>
      <c r="L358" s="28" t="str">
        <f aca="false">IF($G358&lt;&gt;"","계획 주차",IF($I358&lt;&gt;"","전년+1년 예측",IF($J358&lt;&gt;"","전산 입고계획(참고)","미정")))</f>
        <v>전산 입고계획(참고)</v>
      </c>
      <c r="M358" s="32" t="n">
        <f aca="false">IF($K358="","",$K358-기준정보!$C$5)</f>
        <v>46380</v>
      </c>
      <c r="N358" s="33" t="n">
        <f aca="false">IF($M358="","",$M358-기준정보!$C$4)</f>
        <v>139</v>
      </c>
      <c r="O358" s="31" t="s">
        <v>114</v>
      </c>
      <c r="P358" s="20"/>
      <c r="Q358" s="30" t="str">
        <f aca="false">IF($F358="","",IF(AND(ISNUMBER(SEARCH("CMT",$F358)),OR(ISNUMBER(SEARCH("사입",$F358)),ISNUMBER(SEARCH("Buying",$F358)))),"본사/생산처 혼재",IF(ISNUMBER(SEARCH("CMT",$F358)),"본사(소재팀)","생산처")))</f>
        <v>생산처</v>
      </c>
      <c r="R358" s="29" t="s">
        <v>337</v>
      </c>
      <c r="S358" s="29" t="s">
        <v>110</v>
      </c>
      <c r="T358" s="30" t="str">
        <f aca="false">IF($K358="","출고일 미정",IF($O358="X","작지(일매) 미등록",IF($O358="부분","작지(일매) 일부 미등록",IF(AND($P358&lt;&gt;"",$P358&gt;$M358),"소재입고 마감("&amp;TEXT($M358,"MM/DD")&amp;") 초과",IF($O358="","일매 등록여부 확인 필요",IF($P358="","소재 입고일정 확인 필요","정상"))))))</f>
        <v>작지(일매) 미등록</v>
      </c>
      <c r="U358" s="28" t="str">
        <f aca="false">IF($K358="","",IF(OR(LEFT($T358,2)="작지",LEFT($T358,4)="소재입고"),IF(LEFT($E358,1)="S","★ 납기위험(S코드)","◆ 지연주의"),IF($T358="정상","✓ 정상","? 확인필요")))</f>
        <v>◆ 지연주의</v>
      </c>
      <c r="V358" s="31"/>
      <c r="W358" s="19"/>
    </row>
    <row r="359" customFormat="false" ht="15" hidden="false" customHeight="true" outlineLevel="0" collapsed="false">
      <c r="A359" s="28" t="n">
        <v>355</v>
      </c>
      <c r="B359" s="29" t="s">
        <v>802</v>
      </c>
      <c r="C359" s="30" t="s">
        <v>847</v>
      </c>
      <c r="D359" s="29" t="s">
        <v>848</v>
      </c>
      <c r="E359" s="28" t="str">
        <f aca="false">IF($C359="","",IF(MID($C359,5,1)="S","S(봄)",IF(MID($C359,5,1)="M","M(여름)",IF(MID($C359,5,1)="X","X(사계절)",MID($C359,5,1)))))</f>
        <v>M(여름)</v>
      </c>
      <c r="F359" s="30" t="s">
        <v>141</v>
      </c>
      <c r="G359" s="31"/>
      <c r="H359" s="28" t="str">
        <f aca="false">IF($C359="","",REPLACE($C359,6,2,"26"))</f>
        <v>QERFM26501</v>
      </c>
      <c r="I359" s="32" t="str">
        <f aca="false">IFERROR(INDEX(전년출고참조!$B$4:$B$638,MATCH($H359,전년출고참조!$A$4:$A$638,0)),"")</f>
        <v/>
      </c>
      <c r="J359" s="32" t="n">
        <v>46470</v>
      </c>
      <c r="K359" s="32" t="n">
        <f aca="false">IF($G359&lt;&gt;"",IFERROR(DATE(IF(VALUE(LEFT($G359,FIND("월",$G359)-1))&gt;=9,기준정보!$C$6-1,기준정보!$C$6),VALUE(LEFT($G359,FIND("월",$G359)-1)),1+7*(VALUE(SUBSTITUTE(MID($G359,FIND("월",$G359)+1,5),"주",""))-1)),""),IF($I359&lt;&gt;"",IF(ISNUMBER($I359),$I359+364,IFERROR(DATE(IF(VALUE(LEFT($I359,FIND("월",$I359)-1))&gt;=9,기준정보!$C$6-1,기준정보!$C$6),VALUE(LEFT($I359,FIND("월",$I359)-1)),1+7*(VALUE(SUBSTITUTE(MID($I359,FIND("월",$I359)+1,5),"주",""))-1)),"")),IF($J359&lt;&gt;"",$J359,"")))</f>
        <v>46470</v>
      </c>
      <c r="L359" s="28" t="str">
        <f aca="false">IF($G359&lt;&gt;"","계획 주차",IF($I359&lt;&gt;"","전년+1년 예측",IF($J359&lt;&gt;"","전산 입고계획(참고)","미정")))</f>
        <v>전산 입고계획(참고)</v>
      </c>
      <c r="M359" s="32" t="n">
        <f aca="false">IF($K359="","",$K359-기준정보!$C$5)</f>
        <v>46380</v>
      </c>
      <c r="N359" s="33" t="n">
        <f aca="false">IF($M359="","",$M359-기준정보!$C$4)</f>
        <v>139</v>
      </c>
      <c r="O359" s="31" t="s">
        <v>108</v>
      </c>
      <c r="P359" s="20"/>
      <c r="Q359" s="30" t="str">
        <f aca="false">IF($F359="","",IF(AND(ISNUMBER(SEARCH("CMT",$F359)),OR(ISNUMBER(SEARCH("사입",$F359)),ISNUMBER(SEARCH("Buying",$F359)))),"본사/생산처 혼재",IF(ISNUMBER(SEARCH("CMT",$F359)),"본사(소재팀)","생산처")))</f>
        <v>본사(소재팀)</v>
      </c>
      <c r="R359" s="29" t="s">
        <v>572</v>
      </c>
      <c r="S359" s="29" t="s">
        <v>195</v>
      </c>
      <c r="T359" s="30" t="str">
        <f aca="false">IF($K359="","출고일 미정",IF($O359="X","작지(일매) 미등록",IF($O359="부분","작지(일매) 일부 미등록",IF(AND($P359&lt;&gt;"",$P359&gt;$M359),"소재입고 마감("&amp;TEXT($M359,"MM/DD")&amp;") 초과",IF($O359="","일매 등록여부 확인 필요",IF($P359="","소재 입고일정 확인 필요","정상"))))))</f>
        <v>소재 입고일정 확인 필요</v>
      </c>
      <c r="U359" s="28" t="str">
        <f aca="false">IF($K359="","",IF(OR(LEFT($T359,2)="작지",LEFT($T359,4)="소재입고"),IF(LEFT($E359,1)="S","★ 납기위험(S코드)","◆ 지연주의"),IF($T359="정상","✓ 정상","? 확인필요")))</f>
        <v>? 확인필요</v>
      </c>
      <c r="V359" s="31"/>
      <c r="W359" s="19"/>
    </row>
    <row r="360" customFormat="false" ht="15" hidden="false" customHeight="true" outlineLevel="0" collapsed="false">
      <c r="A360" s="28" t="n">
        <v>356</v>
      </c>
      <c r="B360" s="29" t="s">
        <v>320</v>
      </c>
      <c r="C360" s="30" t="s">
        <v>849</v>
      </c>
      <c r="D360" s="30" t="s">
        <v>850</v>
      </c>
      <c r="E360" s="28" t="str">
        <f aca="false">IF($C360="","",IF(MID($C360,5,1)="S","S(봄)",IF(MID($C360,5,1)="M","M(여름)",IF(MID($C360,5,1)="X","X(사계절)",MID($C360,5,1)))))</f>
        <v>X(사계절)</v>
      </c>
      <c r="F360" s="29" t="s">
        <v>106</v>
      </c>
      <c r="G360" s="31"/>
      <c r="H360" s="28" t="str">
        <f aca="false">IF($C360="","",REPLACE($C360,6,2,"26"))</f>
        <v>8NAAX26101</v>
      </c>
      <c r="I360" s="32" t="str">
        <f aca="false">IFERROR(INDEX(전년출고참조!$B$4:$B$638,MATCH($H360,전년출고참조!$A$4:$A$638,0)),"")</f>
        <v/>
      </c>
      <c r="J360" s="32" t="n">
        <v>46392</v>
      </c>
      <c r="K360" s="32" t="n">
        <f aca="false">IF($G360&lt;&gt;"",IFERROR(DATE(IF(VALUE(LEFT($G360,FIND("월",$G360)-1))&gt;=9,기준정보!$C$6-1,기준정보!$C$6),VALUE(LEFT($G360,FIND("월",$G360)-1)),1+7*(VALUE(SUBSTITUTE(MID($G360,FIND("월",$G360)+1,5),"주",""))-1)),""),IF($I360&lt;&gt;"",IF(ISNUMBER($I360),$I360+364,IFERROR(DATE(IF(VALUE(LEFT($I360,FIND("월",$I360)-1))&gt;=9,기준정보!$C$6-1,기준정보!$C$6),VALUE(LEFT($I360,FIND("월",$I360)-1)),1+7*(VALUE(SUBSTITUTE(MID($I360,FIND("월",$I360)+1,5),"주",""))-1)),"")),IF($J360&lt;&gt;"",$J360,"")))</f>
        <v>46392</v>
      </c>
      <c r="L360" s="28" t="str">
        <f aca="false">IF($G360&lt;&gt;"","계획 주차",IF($I360&lt;&gt;"","전년+1년 예측",IF($J360&lt;&gt;"","전산 입고계획(참고)","미정")))</f>
        <v>전산 입고계획(참고)</v>
      </c>
      <c r="M360" s="32" t="n">
        <f aca="false">IF($K360="","",$K360-기준정보!$C$5)</f>
        <v>46302</v>
      </c>
      <c r="N360" s="33" t="n">
        <f aca="false">IF($M360="","",$M360-기준정보!$C$4)</f>
        <v>61</v>
      </c>
      <c r="O360" s="31" t="s">
        <v>114</v>
      </c>
      <c r="P360" s="20"/>
      <c r="Q360" s="30" t="str">
        <f aca="false">IF($F360="","",IF(AND(ISNUMBER(SEARCH("CMT",$F360)),OR(ISNUMBER(SEARCH("사입",$F360)),ISNUMBER(SEARCH("Buying",$F360)))),"본사/생산처 혼재",IF(ISNUMBER(SEARCH("CMT",$F360)),"본사(소재팀)","생산처")))</f>
        <v>생산처</v>
      </c>
      <c r="R360" s="29" t="s">
        <v>851</v>
      </c>
      <c r="S360" s="29" t="s">
        <v>110</v>
      </c>
      <c r="T360" s="30" t="str">
        <f aca="false">IF($K360="","출고일 미정",IF($O360="X","작지(일매) 미등록",IF($O360="부분","작지(일매) 일부 미등록",IF(AND($P360&lt;&gt;"",$P360&gt;$M360),"소재입고 마감("&amp;TEXT($M360,"MM/DD")&amp;") 초과",IF($O360="","일매 등록여부 확인 필요",IF($P360="","소재 입고일정 확인 필요","정상"))))))</f>
        <v>작지(일매) 미등록</v>
      </c>
      <c r="U360" s="28" t="str">
        <f aca="false">IF($K360="","",IF(OR(LEFT($T360,2)="작지",LEFT($T360,4)="소재입고"),IF(LEFT($E360,1)="S","★ 납기위험(S코드)","◆ 지연주의"),IF($T360="정상","✓ 정상","? 확인필요")))</f>
        <v>◆ 지연주의</v>
      </c>
      <c r="V360" s="31"/>
      <c r="W360" s="19"/>
    </row>
    <row r="361" customFormat="false" ht="15" hidden="false" customHeight="true" outlineLevel="0" collapsed="false">
      <c r="A361" s="28" t="n">
        <v>357</v>
      </c>
      <c r="B361" s="29" t="s">
        <v>320</v>
      </c>
      <c r="C361" s="30" t="s">
        <v>852</v>
      </c>
      <c r="D361" s="30" t="s">
        <v>853</v>
      </c>
      <c r="E361" s="28" t="str">
        <f aca="false">IF($C361="","",IF(MID($C361,5,1)="S","S(봄)",IF(MID($C361,5,1)="M","M(여름)",IF(MID($C361,5,1)="X","X(사계절)",MID($C361,5,1)))))</f>
        <v>X(사계절)</v>
      </c>
      <c r="F361" s="29" t="s">
        <v>106</v>
      </c>
      <c r="G361" s="31"/>
      <c r="H361" s="28" t="str">
        <f aca="false">IF($C361="","",REPLACE($C361,6,2,"26"))</f>
        <v>8NBDX26101</v>
      </c>
      <c r="I361" s="32" t="str">
        <f aca="false">IFERROR(INDEX(전년출고참조!$B$4:$B$638,MATCH($H361,전년출고참조!$A$4:$A$638,0)),"")</f>
        <v/>
      </c>
      <c r="J361" s="32" t="n">
        <v>46392</v>
      </c>
      <c r="K361" s="32" t="n">
        <f aca="false">IF($G361&lt;&gt;"",IFERROR(DATE(IF(VALUE(LEFT($G361,FIND("월",$G361)-1))&gt;=9,기준정보!$C$6-1,기준정보!$C$6),VALUE(LEFT($G361,FIND("월",$G361)-1)),1+7*(VALUE(SUBSTITUTE(MID($G361,FIND("월",$G361)+1,5),"주",""))-1)),""),IF($I361&lt;&gt;"",IF(ISNUMBER($I361),$I361+364,IFERROR(DATE(IF(VALUE(LEFT($I361,FIND("월",$I361)-1))&gt;=9,기준정보!$C$6-1,기준정보!$C$6),VALUE(LEFT($I361,FIND("월",$I361)-1)),1+7*(VALUE(SUBSTITUTE(MID($I361,FIND("월",$I361)+1,5),"주",""))-1)),"")),IF($J361&lt;&gt;"",$J361,"")))</f>
        <v>46392</v>
      </c>
      <c r="L361" s="28" t="str">
        <f aca="false">IF($G361&lt;&gt;"","계획 주차",IF($I361&lt;&gt;"","전년+1년 예측",IF($J361&lt;&gt;"","전산 입고계획(참고)","미정")))</f>
        <v>전산 입고계획(참고)</v>
      </c>
      <c r="M361" s="32" t="n">
        <f aca="false">IF($K361="","",$K361-기준정보!$C$5)</f>
        <v>46302</v>
      </c>
      <c r="N361" s="33" t="n">
        <f aca="false">IF($M361="","",$M361-기준정보!$C$4)</f>
        <v>61</v>
      </c>
      <c r="O361" s="31" t="s">
        <v>114</v>
      </c>
      <c r="P361" s="20"/>
      <c r="Q361" s="30" t="str">
        <f aca="false">IF($F361="","",IF(AND(ISNUMBER(SEARCH("CMT",$F361)),OR(ISNUMBER(SEARCH("사입",$F361)),ISNUMBER(SEARCH("Buying",$F361)))),"본사/생산처 혼재",IF(ISNUMBER(SEARCH("CMT",$F361)),"본사(소재팀)","생산처")))</f>
        <v>생산처</v>
      </c>
      <c r="R361" s="29" t="s">
        <v>851</v>
      </c>
      <c r="S361" s="29" t="s">
        <v>110</v>
      </c>
      <c r="T361" s="30" t="str">
        <f aca="false">IF($K361="","출고일 미정",IF($O361="X","작지(일매) 미등록",IF($O361="부분","작지(일매) 일부 미등록",IF(AND($P361&lt;&gt;"",$P361&gt;$M361),"소재입고 마감("&amp;TEXT($M361,"MM/DD")&amp;") 초과",IF($O361="","일매 등록여부 확인 필요",IF($P361="","소재 입고일정 확인 필요","정상"))))))</f>
        <v>작지(일매) 미등록</v>
      </c>
      <c r="U361" s="28" t="str">
        <f aca="false">IF($K361="","",IF(OR(LEFT($T361,2)="작지",LEFT($T361,4)="소재입고"),IF(LEFT($E361,1)="S","★ 납기위험(S코드)","◆ 지연주의"),IF($T361="정상","✓ 정상","? 확인필요")))</f>
        <v>◆ 지연주의</v>
      </c>
      <c r="V361" s="31"/>
      <c r="W361" s="19"/>
    </row>
    <row r="362" customFormat="false" ht="15" hidden="false" customHeight="true" outlineLevel="0" collapsed="false">
      <c r="A362" s="28" t="n">
        <v>358</v>
      </c>
      <c r="B362" s="29" t="s">
        <v>320</v>
      </c>
      <c r="C362" s="30" t="s">
        <v>854</v>
      </c>
      <c r="D362" s="30" t="s">
        <v>855</v>
      </c>
      <c r="E362" s="28" t="str">
        <f aca="false">IF($C362="","",IF(MID($C362,5,1)="S","S(봄)",IF(MID($C362,5,1)="M","M(여름)",IF(MID($C362,5,1)="X","X(사계절)",MID($C362,5,1)))))</f>
        <v>X(사계절)</v>
      </c>
      <c r="F362" s="29" t="s">
        <v>106</v>
      </c>
      <c r="G362" s="31"/>
      <c r="H362" s="28" t="str">
        <f aca="false">IF($C362="","",REPLACE($C362,6,2,"26"))</f>
        <v>8NBDX26103</v>
      </c>
      <c r="I362" s="32" t="str">
        <f aca="false">IFERROR(INDEX(전년출고참조!$B$4:$B$638,MATCH($H362,전년출고참조!$A$4:$A$638,0)),"")</f>
        <v/>
      </c>
      <c r="J362" s="32" t="n">
        <v>46392</v>
      </c>
      <c r="K362" s="32" t="n">
        <f aca="false">IF($G362&lt;&gt;"",IFERROR(DATE(IF(VALUE(LEFT($G362,FIND("월",$G362)-1))&gt;=9,기준정보!$C$6-1,기준정보!$C$6),VALUE(LEFT($G362,FIND("월",$G362)-1)),1+7*(VALUE(SUBSTITUTE(MID($G362,FIND("월",$G362)+1,5),"주",""))-1)),""),IF($I362&lt;&gt;"",IF(ISNUMBER($I362),$I362+364,IFERROR(DATE(IF(VALUE(LEFT($I362,FIND("월",$I362)-1))&gt;=9,기준정보!$C$6-1,기준정보!$C$6),VALUE(LEFT($I362,FIND("월",$I362)-1)),1+7*(VALUE(SUBSTITUTE(MID($I362,FIND("월",$I362)+1,5),"주",""))-1)),"")),IF($J362&lt;&gt;"",$J362,"")))</f>
        <v>46392</v>
      </c>
      <c r="L362" s="28" t="str">
        <f aca="false">IF($G362&lt;&gt;"","계획 주차",IF($I362&lt;&gt;"","전년+1년 예측",IF($J362&lt;&gt;"","전산 입고계획(참고)","미정")))</f>
        <v>전산 입고계획(참고)</v>
      </c>
      <c r="M362" s="32" t="n">
        <f aca="false">IF($K362="","",$K362-기준정보!$C$5)</f>
        <v>46302</v>
      </c>
      <c r="N362" s="33" t="n">
        <f aca="false">IF($M362="","",$M362-기준정보!$C$4)</f>
        <v>61</v>
      </c>
      <c r="O362" s="31" t="s">
        <v>114</v>
      </c>
      <c r="P362" s="20"/>
      <c r="Q362" s="30" t="str">
        <f aca="false">IF($F362="","",IF(AND(ISNUMBER(SEARCH("CMT",$F362)),OR(ISNUMBER(SEARCH("사입",$F362)),ISNUMBER(SEARCH("Buying",$F362)))),"본사/생산처 혼재",IF(ISNUMBER(SEARCH("CMT",$F362)),"본사(소재팀)","생산처")))</f>
        <v>생산처</v>
      </c>
      <c r="R362" s="29" t="s">
        <v>851</v>
      </c>
      <c r="S362" s="29" t="s">
        <v>110</v>
      </c>
      <c r="T362" s="30" t="str">
        <f aca="false">IF($K362="","출고일 미정",IF($O362="X","작지(일매) 미등록",IF($O362="부분","작지(일매) 일부 미등록",IF(AND($P362&lt;&gt;"",$P362&gt;$M362),"소재입고 마감("&amp;TEXT($M362,"MM/DD")&amp;") 초과",IF($O362="","일매 등록여부 확인 필요",IF($P362="","소재 입고일정 확인 필요","정상"))))))</f>
        <v>작지(일매) 미등록</v>
      </c>
      <c r="U362" s="28" t="str">
        <f aca="false">IF($K362="","",IF(OR(LEFT($T362,2)="작지",LEFT($T362,4)="소재입고"),IF(LEFT($E362,1)="S","★ 납기위험(S코드)","◆ 지연주의"),IF($T362="정상","✓ 정상","? 확인필요")))</f>
        <v>◆ 지연주의</v>
      </c>
      <c r="V362" s="31"/>
      <c r="W362" s="19"/>
    </row>
    <row r="363" customFormat="false" ht="15" hidden="false" customHeight="true" outlineLevel="0" collapsed="false">
      <c r="A363" s="28" t="n">
        <v>359</v>
      </c>
      <c r="B363" s="29" t="s">
        <v>320</v>
      </c>
      <c r="C363" s="30" t="s">
        <v>856</v>
      </c>
      <c r="D363" s="30" t="s">
        <v>857</v>
      </c>
      <c r="E363" s="28" t="str">
        <f aca="false">IF($C363="","",IF(MID($C363,5,1)="S","S(봄)",IF(MID($C363,5,1)="M","M(여름)",IF(MID($C363,5,1)="X","X(사계절)",MID($C363,5,1)))))</f>
        <v>X(사계절)</v>
      </c>
      <c r="F363" s="29" t="s">
        <v>106</v>
      </c>
      <c r="G363" s="31"/>
      <c r="H363" s="28" t="str">
        <f aca="false">IF($C363="","",REPLACE($C363,6,2,"26"))</f>
        <v>8NREX26103</v>
      </c>
      <c r="I363" s="32" t="str">
        <f aca="false">IFERROR(INDEX(전년출고참조!$B$4:$B$638,MATCH($H363,전년출고참조!$A$4:$A$638,0)),"")</f>
        <v/>
      </c>
      <c r="J363" s="32" t="n">
        <v>46392</v>
      </c>
      <c r="K363" s="32" t="n">
        <f aca="false">IF($G363&lt;&gt;"",IFERROR(DATE(IF(VALUE(LEFT($G363,FIND("월",$G363)-1))&gt;=9,기준정보!$C$6-1,기준정보!$C$6),VALUE(LEFT($G363,FIND("월",$G363)-1)),1+7*(VALUE(SUBSTITUTE(MID($G363,FIND("월",$G363)+1,5),"주",""))-1)),""),IF($I363&lt;&gt;"",IF(ISNUMBER($I363),$I363+364,IFERROR(DATE(IF(VALUE(LEFT($I363,FIND("월",$I363)-1))&gt;=9,기준정보!$C$6-1,기준정보!$C$6),VALUE(LEFT($I363,FIND("월",$I363)-1)),1+7*(VALUE(SUBSTITUTE(MID($I363,FIND("월",$I363)+1,5),"주",""))-1)),"")),IF($J363&lt;&gt;"",$J363,"")))</f>
        <v>46392</v>
      </c>
      <c r="L363" s="28" t="str">
        <f aca="false">IF($G363&lt;&gt;"","계획 주차",IF($I363&lt;&gt;"","전년+1년 예측",IF($J363&lt;&gt;"","전산 입고계획(참고)","미정")))</f>
        <v>전산 입고계획(참고)</v>
      </c>
      <c r="M363" s="32" t="n">
        <f aca="false">IF($K363="","",$K363-기준정보!$C$5)</f>
        <v>46302</v>
      </c>
      <c r="N363" s="33" t="n">
        <f aca="false">IF($M363="","",$M363-기준정보!$C$4)</f>
        <v>61</v>
      </c>
      <c r="O363" s="31" t="s">
        <v>114</v>
      </c>
      <c r="P363" s="20"/>
      <c r="Q363" s="30" t="str">
        <f aca="false">IF($F363="","",IF(AND(ISNUMBER(SEARCH("CMT",$F363)),OR(ISNUMBER(SEARCH("사입",$F363)),ISNUMBER(SEARCH("Buying",$F363)))),"본사/생산처 혼재",IF(ISNUMBER(SEARCH("CMT",$F363)),"본사(소재팀)","생산처")))</f>
        <v>생산처</v>
      </c>
      <c r="R363" s="29" t="s">
        <v>572</v>
      </c>
      <c r="S363" s="29" t="s">
        <v>195</v>
      </c>
      <c r="T363" s="30" t="str">
        <f aca="false">IF($K363="","출고일 미정",IF($O363="X","작지(일매) 미등록",IF($O363="부분","작지(일매) 일부 미등록",IF(AND($P363&lt;&gt;"",$P363&gt;$M363),"소재입고 마감("&amp;TEXT($M363,"MM/DD")&amp;") 초과",IF($O363="","일매 등록여부 확인 필요",IF($P363="","소재 입고일정 확인 필요","정상"))))))</f>
        <v>작지(일매) 미등록</v>
      </c>
      <c r="U363" s="28" t="str">
        <f aca="false">IF($K363="","",IF(OR(LEFT($T363,2)="작지",LEFT($T363,4)="소재입고"),IF(LEFT($E363,1)="S","★ 납기위험(S코드)","◆ 지연주의"),IF($T363="정상","✓ 정상","? 확인필요")))</f>
        <v>◆ 지연주의</v>
      </c>
      <c r="V363" s="31"/>
      <c r="W363" s="19"/>
    </row>
    <row r="364" customFormat="false" ht="15" hidden="false" customHeight="true" outlineLevel="0" collapsed="false">
      <c r="A364" s="28" t="n">
        <v>360</v>
      </c>
      <c r="B364" s="29" t="s">
        <v>320</v>
      </c>
      <c r="C364" s="30" t="s">
        <v>858</v>
      </c>
      <c r="D364" s="30" t="s">
        <v>859</v>
      </c>
      <c r="E364" s="28" t="str">
        <f aca="false">IF($C364="","",IF(MID($C364,5,1)="S","S(봄)",IF(MID($C364,5,1)="M","M(여름)",IF(MID($C364,5,1)="X","X(사계절)",MID($C364,5,1)))))</f>
        <v>X(사계절)</v>
      </c>
      <c r="F364" s="29" t="s">
        <v>106</v>
      </c>
      <c r="G364" s="31"/>
      <c r="H364" s="28" t="str">
        <f aca="false">IF($C364="","",REPLACE($C364,6,2,"26"))</f>
        <v>8UJJX26101</v>
      </c>
      <c r="I364" s="32" t="str">
        <f aca="false">IFERROR(INDEX(전년출고참조!$B$4:$B$638,MATCH($H364,전년출고참조!$A$4:$A$638,0)),"")</f>
        <v/>
      </c>
      <c r="J364" s="32" t="n">
        <v>46392</v>
      </c>
      <c r="K364" s="32" t="n">
        <f aca="false">IF($G364&lt;&gt;"",IFERROR(DATE(IF(VALUE(LEFT($G364,FIND("월",$G364)-1))&gt;=9,기준정보!$C$6-1,기준정보!$C$6),VALUE(LEFT($G364,FIND("월",$G364)-1)),1+7*(VALUE(SUBSTITUTE(MID($G364,FIND("월",$G364)+1,5),"주",""))-1)),""),IF($I364&lt;&gt;"",IF(ISNUMBER($I364),$I364+364,IFERROR(DATE(IF(VALUE(LEFT($I364,FIND("월",$I364)-1))&gt;=9,기준정보!$C$6-1,기준정보!$C$6),VALUE(LEFT($I364,FIND("월",$I364)-1)),1+7*(VALUE(SUBSTITUTE(MID($I364,FIND("월",$I364)+1,5),"주",""))-1)),"")),IF($J364&lt;&gt;"",$J364,"")))</f>
        <v>46392</v>
      </c>
      <c r="L364" s="28" t="str">
        <f aca="false">IF($G364&lt;&gt;"","계획 주차",IF($I364&lt;&gt;"","전년+1년 예측",IF($J364&lt;&gt;"","전산 입고계획(참고)","미정")))</f>
        <v>전산 입고계획(참고)</v>
      </c>
      <c r="M364" s="32" t="n">
        <f aca="false">IF($K364="","",$K364-기준정보!$C$5)</f>
        <v>46302</v>
      </c>
      <c r="N364" s="33" t="n">
        <f aca="false">IF($M364="","",$M364-기준정보!$C$4)</f>
        <v>61</v>
      </c>
      <c r="O364" s="31" t="s">
        <v>108</v>
      </c>
      <c r="P364" s="20"/>
      <c r="Q364" s="30" t="str">
        <f aca="false">IF($F364="","",IF(AND(ISNUMBER(SEARCH("CMT",$F364)),OR(ISNUMBER(SEARCH("사입",$F364)),ISNUMBER(SEARCH("Buying",$F364)))),"본사/생산처 혼재",IF(ISNUMBER(SEARCH("CMT",$F364)),"본사(소재팀)","생산처")))</f>
        <v>생산처</v>
      </c>
      <c r="R364" s="29" t="s">
        <v>133</v>
      </c>
      <c r="S364" s="29" t="s">
        <v>110</v>
      </c>
      <c r="T364" s="30" t="str">
        <f aca="false">IF($K364="","출고일 미정",IF($O364="X","작지(일매) 미등록",IF($O364="부분","작지(일매) 일부 미등록",IF(AND($P364&lt;&gt;"",$P364&gt;$M364),"소재입고 마감("&amp;TEXT($M364,"MM/DD")&amp;") 초과",IF($O364="","일매 등록여부 확인 필요",IF($P364="","소재 입고일정 확인 필요","정상"))))))</f>
        <v>소재 입고일정 확인 필요</v>
      </c>
      <c r="U364" s="28" t="str">
        <f aca="false">IF($K364="","",IF(OR(LEFT($T364,2)="작지",LEFT($T364,4)="소재입고"),IF(LEFT($E364,1)="S","★ 납기위험(S코드)","◆ 지연주의"),IF($T364="정상","✓ 정상","? 확인필요")))</f>
        <v>? 확인필요</v>
      </c>
      <c r="V364" s="31"/>
      <c r="W364" s="19"/>
    </row>
    <row r="365" customFormat="false" ht="15" hidden="false" customHeight="true" outlineLevel="0" collapsed="false">
      <c r="A365" s="28" t="n">
        <v>361</v>
      </c>
      <c r="B365" s="29" t="s">
        <v>320</v>
      </c>
      <c r="C365" s="30" t="s">
        <v>860</v>
      </c>
      <c r="D365" s="30" t="s">
        <v>861</v>
      </c>
      <c r="E365" s="28" t="str">
        <f aca="false">IF($C365="","",IF(MID($C365,5,1)="S","S(봄)",IF(MID($C365,5,1)="M","M(여름)",IF(MID($C365,5,1)="X","X(사계절)",MID($C365,5,1)))))</f>
        <v>X(사계절)</v>
      </c>
      <c r="F365" s="29" t="s">
        <v>106</v>
      </c>
      <c r="G365" s="31"/>
      <c r="H365" s="28" t="str">
        <f aca="false">IF($C365="","",REPLACE($C365,6,2,"26"))</f>
        <v>8UPNX26102</v>
      </c>
      <c r="I365" s="32" t="str">
        <f aca="false">IFERROR(INDEX(전년출고참조!$B$4:$B$638,MATCH($H365,전년출고참조!$A$4:$A$638,0)),"")</f>
        <v/>
      </c>
      <c r="J365" s="32" t="n">
        <v>46392</v>
      </c>
      <c r="K365" s="32" t="n">
        <f aca="false">IF($G365&lt;&gt;"",IFERROR(DATE(IF(VALUE(LEFT($G365,FIND("월",$G365)-1))&gt;=9,기준정보!$C$6-1,기준정보!$C$6),VALUE(LEFT($G365,FIND("월",$G365)-1)),1+7*(VALUE(SUBSTITUTE(MID($G365,FIND("월",$G365)+1,5),"주",""))-1)),""),IF($I365&lt;&gt;"",IF(ISNUMBER($I365),$I365+364,IFERROR(DATE(IF(VALUE(LEFT($I365,FIND("월",$I365)-1))&gt;=9,기준정보!$C$6-1,기준정보!$C$6),VALUE(LEFT($I365,FIND("월",$I365)-1)),1+7*(VALUE(SUBSTITUTE(MID($I365,FIND("월",$I365)+1,5),"주",""))-1)),"")),IF($J365&lt;&gt;"",$J365,"")))</f>
        <v>46392</v>
      </c>
      <c r="L365" s="28" t="str">
        <f aca="false">IF($G365&lt;&gt;"","계획 주차",IF($I365&lt;&gt;"","전년+1년 예측",IF($J365&lt;&gt;"","전산 입고계획(참고)","미정")))</f>
        <v>전산 입고계획(참고)</v>
      </c>
      <c r="M365" s="32" t="n">
        <f aca="false">IF($K365="","",$K365-기준정보!$C$5)</f>
        <v>46302</v>
      </c>
      <c r="N365" s="33" t="n">
        <f aca="false">IF($M365="","",$M365-기준정보!$C$4)</f>
        <v>61</v>
      </c>
      <c r="O365" s="31" t="s">
        <v>108</v>
      </c>
      <c r="P365" s="20"/>
      <c r="Q365" s="30" t="str">
        <f aca="false">IF($F365="","",IF(AND(ISNUMBER(SEARCH("CMT",$F365)),OR(ISNUMBER(SEARCH("사입",$F365)),ISNUMBER(SEARCH("Buying",$F365)))),"본사/생산처 혼재",IF(ISNUMBER(SEARCH("CMT",$F365)),"본사(소재팀)","생산처")))</f>
        <v>생산처</v>
      </c>
      <c r="R365" s="29" t="s">
        <v>133</v>
      </c>
      <c r="S365" s="29" t="s">
        <v>110</v>
      </c>
      <c r="T365" s="30" t="str">
        <f aca="false">IF($K365="","출고일 미정",IF($O365="X","작지(일매) 미등록",IF($O365="부분","작지(일매) 일부 미등록",IF(AND($P365&lt;&gt;"",$P365&gt;$M365),"소재입고 마감("&amp;TEXT($M365,"MM/DD")&amp;") 초과",IF($O365="","일매 등록여부 확인 필요",IF($P365="","소재 입고일정 확인 필요","정상"))))))</f>
        <v>소재 입고일정 확인 필요</v>
      </c>
      <c r="U365" s="28" t="str">
        <f aca="false">IF($K365="","",IF(OR(LEFT($T365,2)="작지",LEFT($T365,4)="소재입고"),IF(LEFT($E365,1)="S","★ 납기위험(S코드)","◆ 지연주의"),IF($T365="정상","✓ 정상","? 확인필요")))</f>
        <v>? 확인필요</v>
      </c>
      <c r="V365" s="31"/>
      <c r="W365" s="19"/>
    </row>
    <row r="366" customFormat="false" ht="15" hidden="false" customHeight="true" outlineLevel="0" collapsed="false">
      <c r="A366" s="28" t="n">
        <v>362</v>
      </c>
      <c r="B366" s="29" t="s">
        <v>320</v>
      </c>
      <c r="C366" s="30" t="s">
        <v>862</v>
      </c>
      <c r="D366" s="30" t="s">
        <v>863</v>
      </c>
      <c r="E366" s="28" t="str">
        <f aca="false">IF($C366="","",IF(MID($C366,5,1)="S","S(봄)",IF(MID($C366,5,1)="M","M(여름)",IF(MID($C366,5,1)="X","X(사계절)",MID($C366,5,1)))))</f>
        <v>X(사계절)</v>
      </c>
      <c r="F366" s="29" t="s">
        <v>106</v>
      </c>
      <c r="G366" s="31"/>
      <c r="H366" s="28" t="str">
        <f aca="false">IF($C366="","",REPLACE($C366,6,2,"26"))</f>
        <v>8NREX26101</v>
      </c>
      <c r="I366" s="32" t="str">
        <f aca="false">IFERROR(INDEX(전년출고참조!$B$4:$B$638,MATCH($H366,전년출고참조!$A$4:$A$638,0)),"")</f>
        <v/>
      </c>
      <c r="J366" s="32" t="n">
        <v>46402</v>
      </c>
      <c r="K366" s="32" t="n">
        <f aca="false">IF($G366&lt;&gt;"",IFERROR(DATE(IF(VALUE(LEFT($G366,FIND("월",$G366)-1))&gt;=9,기준정보!$C$6-1,기준정보!$C$6),VALUE(LEFT($G366,FIND("월",$G366)-1)),1+7*(VALUE(SUBSTITUTE(MID($G366,FIND("월",$G366)+1,5),"주",""))-1)),""),IF($I366&lt;&gt;"",IF(ISNUMBER($I366),$I366+364,IFERROR(DATE(IF(VALUE(LEFT($I366,FIND("월",$I366)-1))&gt;=9,기준정보!$C$6-1,기준정보!$C$6),VALUE(LEFT($I366,FIND("월",$I366)-1)),1+7*(VALUE(SUBSTITUTE(MID($I366,FIND("월",$I366)+1,5),"주",""))-1)),"")),IF($J366&lt;&gt;"",$J366,"")))</f>
        <v>46402</v>
      </c>
      <c r="L366" s="28" t="str">
        <f aca="false">IF($G366&lt;&gt;"","계획 주차",IF($I366&lt;&gt;"","전년+1년 예측",IF($J366&lt;&gt;"","전산 입고계획(참고)","미정")))</f>
        <v>전산 입고계획(참고)</v>
      </c>
      <c r="M366" s="32" t="n">
        <f aca="false">IF($K366="","",$K366-기준정보!$C$5)</f>
        <v>46312</v>
      </c>
      <c r="N366" s="33" t="n">
        <f aca="false">IF($M366="","",$M366-기준정보!$C$4)</f>
        <v>71</v>
      </c>
      <c r="O366" s="31" t="s">
        <v>114</v>
      </c>
      <c r="P366" s="20"/>
      <c r="Q366" s="30" t="str">
        <f aca="false">IF($F366="","",IF(AND(ISNUMBER(SEARCH("CMT",$F366)),OR(ISNUMBER(SEARCH("사입",$F366)),ISNUMBER(SEARCH("Buying",$F366)))),"본사/생산처 혼재",IF(ISNUMBER(SEARCH("CMT",$F366)),"본사(소재팀)","생산처")))</f>
        <v>생산처</v>
      </c>
      <c r="R366" s="29" t="s">
        <v>572</v>
      </c>
      <c r="S366" s="29" t="s">
        <v>195</v>
      </c>
      <c r="T366" s="30" t="str">
        <f aca="false">IF($K366="","출고일 미정",IF($O366="X","작지(일매) 미등록",IF($O366="부분","작지(일매) 일부 미등록",IF(AND($P366&lt;&gt;"",$P366&gt;$M366),"소재입고 마감("&amp;TEXT($M366,"MM/DD")&amp;") 초과",IF($O366="","일매 등록여부 확인 필요",IF($P366="","소재 입고일정 확인 필요","정상"))))))</f>
        <v>작지(일매) 미등록</v>
      </c>
      <c r="U366" s="28" t="str">
        <f aca="false">IF($K366="","",IF(OR(LEFT($T366,2)="작지",LEFT($T366,4)="소재입고"),IF(LEFT($E366,1)="S","★ 납기위험(S코드)","◆ 지연주의"),IF($T366="정상","✓ 정상","? 확인필요")))</f>
        <v>◆ 지연주의</v>
      </c>
      <c r="V366" s="31"/>
      <c r="W366" s="19"/>
    </row>
    <row r="367" customFormat="false" ht="15" hidden="false" customHeight="true" outlineLevel="0" collapsed="false">
      <c r="A367" s="28" t="n">
        <v>363</v>
      </c>
      <c r="B367" s="29" t="s">
        <v>320</v>
      </c>
      <c r="C367" s="30" t="s">
        <v>864</v>
      </c>
      <c r="D367" s="30" t="s">
        <v>865</v>
      </c>
      <c r="E367" s="28" t="str">
        <f aca="false">IF($C367="","",IF(MID($C367,5,1)="S","S(봄)",IF(MID($C367,5,1)="M","M(여름)",IF(MID($C367,5,1)="X","X(사계절)",MID($C367,5,1)))))</f>
        <v>X(사계절)</v>
      </c>
      <c r="F367" s="29" t="s">
        <v>106</v>
      </c>
      <c r="G367" s="31"/>
      <c r="H367" s="28" t="str">
        <f aca="false">IF($C367="","",REPLACE($C367,6,2,"26"))</f>
        <v>8UJGX26101</v>
      </c>
      <c r="I367" s="32" t="str">
        <f aca="false">IFERROR(INDEX(전년출고참조!$B$4:$B$638,MATCH($H367,전년출고참조!$A$4:$A$638,0)),"")</f>
        <v/>
      </c>
      <c r="J367" s="32" t="n">
        <v>46402</v>
      </c>
      <c r="K367" s="32" t="n">
        <f aca="false">IF($G367&lt;&gt;"",IFERROR(DATE(IF(VALUE(LEFT($G367,FIND("월",$G367)-1))&gt;=9,기준정보!$C$6-1,기준정보!$C$6),VALUE(LEFT($G367,FIND("월",$G367)-1)),1+7*(VALUE(SUBSTITUTE(MID($G367,FIND("월",$G367)+1,5),"주",""))-1)),""),IF($I367&lt;&gt;"",IF(ISNUMBER($I367),$I367+364,IFERROR(DATE(IF(VALUE(LEFT($I367,FIND("월",$I367)-1))&gt;=9,기준정보!$C$6-1,기준정보!$C$6),VALUE(LEFT($I367,FIND("월",$I367)-1)),1+7*(VALUE(SUBSTITUTE(MID($I367,FIND("월",$I367)+1,5),"주",""))-1)),"")),IF($J367&lt;&gt;"",$J367,"")))</f>
        <v>46402</v>
      </c>
      <c r="L367" s="28" t="str">
        <f aca="false">IF($G367&lt;&gt;"","계획 주차",IF($I367&lt;&gt;"","전년+1년 예측",IF($J367&lt;&gt;"","전산 입고계획(참고)","미정")))</f>
        <v>전산 입고계획(참고)</v>
      </c>
      <c r="M367" s="32" t="n">
        <f aca="false">IF($K367="","",$K367-기준정보!$C$5)</f>
        <v>46312</v>
      </c>
      <c r="N367" s="33" t="n">
        <f aca="false">IF($M367="","",$M367-기준정보!$C$4)</f>
        <v>71</v>
      </c>
      <c r="O367" s="31" t="s">
        <v>108</v>
      </c>
      <c r="P367" s="20"/>
      <c r="Q367" s="30" t="str">
        <f aca="false">IF($F367="","",IF(AND(ISNUMBER(SEARCH("CMT",$F367)),OR(ISNUMBER(SEARCH("사입",$F367)),ISNUMBER(SEARCH("Buying",$F367)))),"본사/생산처 혼재",IF(ISNUMBER(SEARCH("CMT",$F367)),"본사(소재팀)","생산처")))</f>
        <v>생산처</v>
      </c>
      <c r="R367" s="29" t="s">
        <v>133</v>
      </c>
      <c r="S367" s="29" t="s">
        <v>110</v>
      </c>
      <c r="T367" s="30" t="str">
        <f aca="false">IF($K367="","출고일 미정",IF($O367="X","작지(일매) 미등록",IF($O367="부분","작지(일매) 일부 미등록",IF(AND($P367&lt;&gt;"",$P367&gt;$M367),"소재입고 마감("&amp;TEXT($M367,"MM/DD")&amp;") 초과",IF($O367="","일매 등록여부 확인 필요",IF($P367="","소재 입고일정 확인 필요","정상"))))))</f>
        <v>소재 입고일정 확인 필요</v>
      </c>
      <c r="U367" s="28" t="str">
        <f aca="false">IF($K367="","",IF(OR(LEFT($T367,2)="작지",LEFT($T367,4)="소재입고"),IF(LEFT($E367,1)="S","★ 납기위험(S코드)","◆ 지연주의"),IF($T367="정상","✓ 정상","? 확인필요")))</f>
        <v>? 확인필요</v>
      </c>
      <c r="V367" s="31"/>
      <c r="W367" s="19"/>
    </row>
    <row r="368" customFormat="false" ht="15" hidden="false" customHeight="true" outlineLevel="0" collapsed="false">
      <c r="A368" s="28" t="n">
        <v>364</v>
      </c>
      <c r="B368" s="29" t="s">
        <v>320</v>
      </c>
      <c r="C368" s="30" t="s">
        <v>866</v>
      </c>
      <c r="D368" s="30" t="s">
        <v>867</v>
      </c>
      <c r="E368" s="28" t="str">
        <f aca="false">IF($C368="","",IF(MID($C368,5,1)="S","S(봄)",IF(MID($C368,5,1)="M","M(여름)",IF(MID($C368,5,1)="X","X(사계절)",MID($C368,5,1)))))</f>
        <v>X(사계절)</v>
      </c>
      <c r="F368" s="29" t="s">
        <v>106</v>
      </c>
      <c r="G368" s="31"/>
      <c r="H368" s="28" t="str">
        <f aca="false">IF($C368="","",REPLACE($C368,6,2,"26"))</f>
        <v>8UJJX26102</v>
      </c>
      <c r="I368" s="32" t="str">
        <f aca="false">IFERROR(INDEX(전년출고참조!$B$4:$B$638,MATCH($H368,전년출고참조!$A$4:$A$638,0)),"")</f>
        <v/>
      </c>
      <c r="J368" s="32" t="n">
        <v>46402</v>
      </c>
      <c r="K368" s="32" t="n">
        <f aca="false">IF($G368&lt;&gt;"",IFERROR(DATE(IF(VALUE(LEFT($G368,FIND("월",$G368)-1))&gt;=9,기준정보!$C$6-1,기준정보!$C$6),VALUE(LEFT($G368,FIND("월",$G368)-1)),1+7*(VALUE(SUBSTITUTE(MID($G368,FIND("월",$G368)+1,5),"주",""))-1)),""),IF($I368&lt;&gt;"",IF(ISNUMBER($I368),$I368+364,IFERROR(DATE(IF(VALUE(LEFT($I368,FIND("월",$I368)-1))&gt;=9,기준정보!$C$6-1,기준정보!$C$6),VALUE(LEFT($I368,FIND("월",$I368)-1)),1+7*(VALUE(SUBSTITUTE(MID($I368,FIND("월",$I368)+1,5),"주",""))-1)),"")),IF($J368&lt;&gt;"",$J368,"")))</f>
        <v>46402</v>
      </c>
      <c r="L368" s="28" t="str">
        <f aca="false">IF($G368&lt;&gt;"","계획 주차",IF($I368&lt;&gt;"","전년+1년 예측",IF($J368&lt;&gt;"","전산 입고계획(참고)","미정")))</f>
        <v>전산 입고계획(참고)</v>
      </c>
      <c r="M368" s="32" t="n">
        <f aca="false">IF($K368="","",$K368-기준정보!$C$5)</f>
        <v>46312</v>
      </c>
      <c r="N368" s="33" t="n">
        <f aca="false">IF($M368="","",$M368-기준정보!$C$4)</f>
        <v>71</v>
      </c>
      <c r="O368" s="31" t="s">
        <v>108</v>
      </c>
      <c r="P368" s="20"/>
      <c r="Q368" s="30" t="str">
        <f aca="false">IF($F368="","",IF(AND(ISNUMBER(SEARCH("CMT",$F368)),OR(ISNUMBER(SEARCH("사입",$F368)),ISNUMBER(SEARCH("Buying",$F368)))),"본사/생산처 혼재",IF(ISNUMBER(SEARCH("CMT",$F368)),"본사(소재팀)","생산처")))</f>
        <v>생산처</v>
      </c>
      <c r="R368" s="29" t="s">
        <v>119</v>
      </c>
      <c r="S368" s="29" t="s">
        <v>110</v>
      </c>
      <c r="T368" s="30" t="str">
        <f aca="false">IF($K368="","출고일 미정",IF($O368="X","작지(일매) 미등록",IF($O368="부분","작지(일매) 일부 미등록",IF(AND($P368&lt;&gt;"",$P368&gt;$M368),"소재입고 마감("&amp;TEXT($M368,"MM/DD")&amp;") 초과",IF($O368="","일매 등록여부 확인 필요",IF($P368="","소재 입고일정 확인 필요","정상"))))))</f>
        <v>소재 입고일정 확인 필요</v>
      </c>
      <c r="U368" s="28" t="str">
        <f aca="false">IF($K368="","",IF(OR(LEFT($T368,2)="작지",LEFT($T368,4)="소재입고"),IF(LEFT($E368,1)="S","★ 납기위험(S코드)","◆ 지연주의"),IF($T368="정상","✓ 정상","? 확인필요")))</f>
        <v>? 확인필요</v>
      </c>
      <c r="V368" s="31"/>
      <c r="W368" s="19"/>
    </row>
    <row r="369" customFormat="false" ht="15" hidden="false" customHeight="true" outlineLevel="0" collapsed="false">
      <c r="A369" s="28" t="n">
        <v>365</v>
      </c>
      <c r="B369" s="29" t="s">
        <v>320</v>
      </c>
      <c r="C369" s="30" t="s">
        <v>868</v>
      </c>
      <c r="D369" s="30" t="s">
        <v>869</v>
      </c>
      <c r="E369" s="28" t="str">
        <f aca="false">IF($C369="","",IF(MID($C369,5,1)="S","S(봄)",IF(MID($C369,5,1)="M","M(여름)",IF(MID($C369,5,1)="X","X(사계절)",MID($C369,5,1)))))</f>
        <v>X(사계절)</v>
      </c>
      <c r="F369" s="29" t="s">
        <v>106</v>
      </c>
      <c r="G369" s="31"/>
      <c r="H369" s="28" t="str">
        <f aca="false">IF($C369="","",REPLACE($C369,6,2,"26"))</f>
        <v>8UPNX26101</v>
      </c>
      <c r="I369" s="32" t="str">
        <f aca="false">IFERROR(INDEX(전년출고참조!$B$4:$B$638,MATCH($H369,전년출고참조!$A$4:$A$638,0)),"")</f>
        <v/>
      </c>
      <c r="J369" s="32" t="n">
        <v>46402</v>
      </c>
      <c r="K369" s="32" t="n">
        <f aca="false">IF($G369&lt;&gt;"",IFERROR(DATE(IF(VALUE(LEFT($G369,FIND("월",$G369)-1))&gt;=9,기준정보!$C$6-1,기준정보!$C$6),VALUE(LEFT($G369,FIND("월",$G369)-1)),1+7*(VALUE(SUBSTITUTE(MID($G369,FIND("월",$G369)+1,5),"주",""))-1)),""),IF($I369&lt;&gt;"",IF(ISNUMBER($I369),$I369+364,IFERROR(DATE(IF(VALUE(LEFT($I369,FIND("월",$I369)-1))&gt;=9,기준정보!$C$6-1,기준정보!$C$6),VALUE(LEFT($I369,FIND("월",$I369)-1)),1+7*(VALUE(SUBSTITUTE(MID($I369,FIND("월",$I369)+1,5),"주",""))-1)),"")),IF($J369&lt;&gt;"",$J369,"")))</f>
        <v>46402</v>
      </c>
      <c r="L369" s="28" t="str">
        <f aca="false">IF($G369&lt;&gt;"","계획 주차",IF($I369&lt;&gt;"","전년+1년 예측",IF($J369&lt;&gt;"","전산 입고계획(참고)","미정")))</f>
        <v>전산 입고계획(참고)</v>
      </c>
      <c r="M369" s="32" t="n">
        <f aca="false">IF($K369="","",$K369-기준정보!$C$5)</f>
        <v>46312</v>
      </c>
      <c r="N369" s="33" t="n">
        <f aca="false">IF($M369="","",$M369-기준정보!$C$4)</f>
        <v>71</v>
      </c>
      <c r="O369" s="31" t="s">
        <v>108</v>
      </c>
      <c r="P369" s="20"/>
      <c r="Q369" s="30" t="str">
        <f aca="false">IF($F369="","",IF(AND(ISNUMBER(SEARCH("CMT",$F369)),OR(ISNUMBER(SEARCH("사입",$F369)),ISNUMBER(SEARCH("Buying",$F369)))),"본사/생산처 혼재",IF(ISNUMBER(SEARCH("CMT",$F369)),"본사(소재팀)","생산처")))</f>
        <v>생산처</v>
      </c>
      <c r="R369" s="29" t="s">
        <v>133</v>
      </c>
      <c r="S369" s="29" t="s">
        <v>110</v>
      </c>
      <c r="T369" s="30" t="str">
        <f aca="false">IF($K369="","출고일 미정",IF($O369="X","작지(일매) 미등록",IF($O369="부분","작지(일매) 일부 미등록",IF(AND($P369&lt;&gt;"",$P369&gt;$M369),"소재입고 마감("&amp;TEXT($M369,"MM/DD")&amp;") 초과",IF($O369="","일매 등록여부 확인 필요",IF($P369="","소재 입고일정 확인 필요","정상"))))))</f>
        <v>소재 입고일정 확인 필요</v>
      </c>
      <c r="U369" s="28" t="str">
        <f aca="false">IF($K369="","",IF(OR(LEFT($T369,2)="작지",LEFT($T369,4)="소재입고"),IF(LEFT($E369,1)="S","★ 납기위험(S코드)","◆ 지연주의"),IF($T369="정상","✓ 정상","? 확인필요")))</f>
        <v>? 확인필요</v>
      </c>
      <c r="V369" s="31"/>
      <c r="W369" s="19"/>
    </row>
    <row r="370" customFormat="false" ht="15" hidden="false" customHeight="true" outlineLevel="0" collapsed="false">
      <c r="A370" s="28" t="n">
        <v>366</v>
      </c>
      <c r="B370" s="29" t="s">
        <v>266</v>
      </c>
      <c r="C370" s="30" t="s">
        <v>870</v>
      </c>
      <c r="D370" s="30" t="s">
        <v>871</v>
      </c>
      <c r="E370" s="28" t="str">
        <f aca="false">IF($C370="","",IF(MID($C370,5,1)="S","S(봄)",IF(MID($C370,5,1)="M","M(여름)",IF(MID($C370,5,1)="X","X(사계절)",MID($C370,5,1)))))</f>
        <v>X(사계절)</v>
      </c>
      <c r="F370" s="29" t="s">
        <v>106</v>
      </c>
      <c r="G370" s="31"/>
      <c r="H370" s="28" t="str">
        <f aca="false">IF($C370="","",REPLACE($C370,6,2,"26"))</f>
        <v>QEAAX26741</v>
      </c>
      <c r="I370" s="32" t="str">
        <f aca="false">IFERROR(INDEX(전년출고참조!$B$4:$B$638,MATCH($H370,전년출고참조!$A$4:$A$638,0)),"")</f>
        <v/>
      </c>
      <c r="J370" s="32" t="n">
        <v>46402</v>
      </c>
      <c r="K370" s="32" t="n">
        <f aca="false">IF($G370&lt;&gt;"",IFERROR(DATE(IF(VALUE(LEFT($G370,FIND("월",$G370)-1))&gt;=9,기준정보!$C$6-1,기준정보!$C$6),VALUE(LEFT($G370,FIND("월",$G370)-1)),1+7*(VALUE(SUBSTITUTE(MID($G370,FIND("월",$G370)+1,5),"주",""))-1)),""),IF($I370&lt;&gt;"",IF(ISNUMBER($I370),$I370+364,IFERROR(DATE(IF(VALUE(LEFT($I370,FIND("월",$I370)-1))&gt;=9,기준정보!$C$6-1,기준정보!$C$6),VALUE(LEFT($I370,FIND("월",$I370)-1)),1+7*(VALUE(SUBSTITUTE(MID($I370,FIND("월",$I370)+1,5),"주",""))-1)),"")),IF($J370&lt;&gt;"",$J370,"")))</f>
        <v>46402</v>
      </c>
      <c r="L370" s="28" t="str">
        <f aca="false">IF($G370&lt;&gt;"","계획 주차",IF($I370&lt;&gt;"","전년+1년 예측",IF($J370&lt;&gt;"","전산 입고계획(참고)","미정")))</f>
        <v>전산 입고계획(참고)</v>
      </c>
      <c r="M370" s="32" t="n">
        <f aca="false">IF($K370="","",$K370-기준정보!$C$5)</f>
        <v>46312</v>
      </c>
      <c r="N370" s="33" t="n">
        <f aca="false">IF($M370="","",$M370-기준정보!$C$4)</f>
        <v>71</v>
      </c>
      <c r="O370" s="31" t="s">
        <v>114</v>
      </c>
      <c r="P370" s="20"/>
      <c r="Q370" s="30" t="str">
        <f aca="false">IF($F370="","",IF(AND(ISNUMBER(SEARCH("CMT",$F370)),OR(ISNUMBER(SEARCH("사입",$F370)),ISNUMBER(SEARCH("Buying",$F370)))),"본사/생산처 혼재",IF(ISNUMBER(SEARCH("CMT",$F370)),"본사(소재팀)","생산처")))</f>
        <v>생산처</v>
      </c>
      <c r="R370" s="29" t="s">
        <v>872</v>
      </c>
      <c r="S370" s="29" t="s">
        <v>195</v>
      </c>
      <c r="T370" s="30" t="str">
        <f aca="false">IF($K370="","출고일 미정",IF($O370="X","작지(일매) 미등록",IF($O370="부분","작지(일매) 일부 미등록",IF(AND($P370&lt;&gt;"",$P370&gt;$M370),"소재입고 마감("&amp;TEXT($M370,"MM/DD")&amp;") 초과",IF($O370="","일매 등록여부 확인 필요",IF($P370="","소재 입고일정 확인 필요","정상"))))))</f>
        <v>작지(일매) 미등록</v>
      </c>
      <c r="U370" s="28" t="str">
        <f aca="false">IF($K370="","",IF(OR(LEFT($T370,2)="작지",LEFT($T370,4)="소재입고"),IF(LEFT($E370,1)="S","★ 납기위험(S코드)","◆ 지연주의"),IF($T370="정상","✓ 정상","? 확인필요")))</f>
        <v>◆ 지연주의</v>
      </c>
      <c r="V370" s="31"/>
      <c r="W370" s="19"/>
    </row>
    <row r="371" customFormat="false" ht="15" hidden="false" customHeight="true" outlineLevel="0" collapsed="false">
      <c r="A371" s="28" t="n">
        <v>367</v>
      </c>
      <c r="B371" s="29" t="s">
        <v>266</v>
      </c>
      <c r="C371" s="30" t="s">
        <v>873</v>
      </c>
      <c r="D371" s="29" t="s">
        <v>874</v>
      </c>
      <c r="E371" s="28" t="str">
        <f aca="false">IF($C371="","",IF(MID($C371,5,1)="S","S(봄)",IF(MID($C371,5,1)="M","M(여름)",IF(MID($C371,5,1)="X","X(사계절)",MID($C371,5,1)))))</f>
        <v>X(사계절)</v>
      </c>
      <c r="F371" s="29" t="s">
        <v>106</v>
      </c>
      <c r="G371" s="31"/>
      <c r="H371" s="28" t="str">
        <f aca="false">IF($C371="","",REPLACE($C371,6,2,"26"))</f>
        <v>QEBDX26041</v>
      </c>
      <c r="I371" s="32" t="str">
        <f aca="false">IFERROR(INDEX(전년출고참조!$B$4:$B$638,MATCH($H371,전년출고참조!$A$4:$A$638,0)),"")</f>
        <v/>
      </c>
      <c r="J371" s="32" t="n">
        <v>46402</v>
      </c>
      <c r="K371" s="32" t="n">
        <f aca="false">IF($G371&lt;&gt;"",IFERROR(DATE(IF(VALUE(LEFT($G371,FIND("월",$G371)-1))&gt;=9,기준정보!$C$6-1,기준정보!$C$6),VALUE(LEFT($G371,FIND("월",$G371)-1)),1+7*(VALUE(SUBSTITUTE(MID($G371,FIND("월",$G371)+1,5),"주",""))-1)),""),IF($I371&lt;&gt;"",IF(ISNUMBER($I371),$I371+364,IFERROR(DATE(IF(VALUE(LEFT($I371,FIND("월",$I371)-1))&gt;=9,기준정보!$C$6-1,기준정보!$C$6),VALUE(LEFT($I371,FIND("월",$I371)-1)),1+7*(VALUE(SUBSTITUTE(MID($I371,FIND("월",$I371)+1,5),"주",""))-1)),"")),IF($J371&lt;&gt;"",$J371,"")))</f>
        <v>46402</v>
      </c>
      <c r="L371" s="28" t="str">
        <f aca="false">IF($G371&lt;&gt;"","계획 주차",IF($I371&lt;&gt;"","전년+1년 예측",IF($J371&lt;&gt;"","전산 입고계획(참고)","미정")))</f>
        <v>전산 입고계획(참고)</v>
      </c>
      <c r="M371" s="32" t="n">
        <f aca="false">IF($K371="","",$K371-기준정보!$C$5)</f>
        <v>46312</v>
      </c>
      <c r="N371" s="33" t="n">
        <f aca="false">IF($M371="","",$M371-기준정보!$C$4)</f>
        <v>71</v>
      </c>
      <c r="O371" s="31" t="s">
        <v>108</v>
      </c>
      <c r="P371" s="20"/>
      <c r="Q371" s="30" t="str">
        <f aca="false">IF($F371="","",IF(AND(ISNUMBER(SEARCH("CMT",$F371)),OR(ISNUMBER(SEARCH("사입",$F371)),ISNUMBER(SEARCH("Buying",$F371)))),"본사/생산처 혼재",IF(ISNUMBER(SEARCH("CMT",$F371)),"본사(소재팀)","생산처")))</f>
        <v>생산처</v>
      </c>
      <c r="R371" s="29" t="s">
        <v>875</v>
      </c>
      <c r="S371" s="29" t="s">
        <v>110</v>
      </c>
      <c r="T371" s="30" t="str">
        <f aca="false">IF($K371="","출고일 미정",IF($O371="X","작지(일매) 미등록",IF($O371="부분","작지(일매) 일부 미등록",IF(AND($P371&lt;&gt;"",$P371&gt;$M371),"소재입고 마감("&amp;TEXT($M371,"MM/DD")&amp;") 초과",IF($O371="","일매 등록여부 확인 필요",IF($P371="","소재 입고일정 확인 필요","정상"))))))</f>
        <v>소재 입고일정 확인 필요</v>
      </c>
      <c r="U371" s="28" t="str">
        <f aca="false">IF($K371="","",IF(OR(LEFT($T371,2)="작지",LEFT($T371,4)="소재입고"),IF(LEFT($E371,1)="S","★ 납기위험(S코드)","◆ 지연주의"),IF($T371="정상","✓ 정상","? 확인필요")))</f>
        <v>? 확인필요</v>
      </c>
      <c r="V371" s="31"/>
      <c r="W371" s="19"/>
    </row>
    <row r="372" customFormat="false" ht="15" hidden="false" customHeight="true" outlineLevel="0" collapsed="false">
      <c r="A372" s="28" t="n">
        <v>368</v>
      </c>
      <c r="B372" s="29" t="s">
        <v>266</v>
      </c>
      <c r="C372" s="30" t="s">
        <v>876</v>
      </c>
      <c r="D372" s="29" t="s">
        <v>877</v>
      </c>
      <c r="E372" s="28" t="str">
        <f aca="false">IF($C372="","",IF(MID($C372,5,1)="S","S(봄)",IF(MID($C372,5,1)="M","M(여름)",IF(MID($C372,5,1)="X","X(사계절)",MID($C372,5,1)))))</f>
        <v>X(사계절)</v>
      </c>
      <c r="F372" s="29" t="s">
        <v>106</v>
      </c>
      <c r="G372" s="31"/>
      <c r="H372" s="28" t="str">
        <f aca="false">IF($C372="","",REPLACE($C372,6,2,"26"))</f>
        <v>QEBDX26091</v>
      </c>
      <c r="I372" s="32" t="str">
        <f aca="false">IFERROR(INDEX(전년출고참조!$B$4:$B$638,MATCH($H372,전년출고참조!$A$4:$A$638,0)),"")</f>
        <v/>
      </c>
      <c r="J372" s="32" t="n">
        <v>46402</v>
      </c>
      <c r="K372" s="32" t="n">
        <f aca="false">IF($G372&lt;&gt;"",IFERROR(DATE(IF(VALUE(LEFT($G372,FIND("월",$G372)-1))&gt;=9,기준정보!$C$6-1,기준정보!$C$6),VALUE(LEFT($G372,FIND("월",$G372)-1)),1+7*(VALUE(SUBSTITUTE(MID($G372,FIND("월",$G372)+1,5),"주",""))-1)),""),IF($I372&lt;&gt;"",IF(ISNUMBER($I372),$I372+364,IFERROR(DATE(IF(VALUE(LEFT($I372,FIND("월",$I372)-1))&gt;=9,기준정보!$C$6-1,기준정보!$C$6),VALUE(LEFT($I372,FIND("월",$I372)-1)),1+7*(VALUE(SUBSTITUTE(MID($I372,FIND("월",$I372)+1,5),"주",""))-1)),"")),IF($J372&lt;&gt;"",$J372,"")))</f>
        <v>46402</v>
      </c>
      <c r="L372" s="28" t="str">
        <f aca="false">IF($G372&lt;&gt;"","계획 주차",IF($I372&lt;&gt;"","전년+1년 예측",IF($J372&lt;&gt;"","전산 입고계획(참고)","미정")))</f>
        <v>전산 입고계획(참고)</v>
      </c>
      <c r="M372" s="32" t="n">
        <f aca="false">IF($K372="","",$K372-기준정보!$C$5)</f>
        <v>46312</v>
      </c>
      <c r="N372" s="33" t="n">
        <f aca="false">IF($M372="","",$M372-기준정보!$C$4)</f>
        <v>71</v>
      </c>
      <c r="O372" s="31" t="s">
        <v>108</v>
      </c>
      <c r="P372" s="20"/>
      <c r="Q372" s="30" t="str">
        <f aca="false">IF($F372="","",IF(AND(ISNUMBER(SEARCH("CMT",$F372)),OR(ISNUMBER(SEARCH("사입",$F372)),ISNUMBER(SEARCH("Buying",$F372)))),"본사/생산처 혼재",IF(ISNUMBER(SEARCH("CMT",$F372)),"본사(소재팀)","생산처")))</f>
        <v>생산처</v>
      </c>
      <c r="R372" s="29" t="s">
        <v>875</v>
      </c>
      <c r="S372" s="29" t="s">
        <v>110</v>
      </c>
      <c r="T372" s="30" t="str">
        <f aca="false">IF($K372="","출고일 미정",IF($O372="X","작지(일매) 미등록",IF($O372="부분","작지(일매) 일부 미등록",IF(AND($P372&lt;&gt;"",$P372&gt;$M372),"소재입고 마감("&amp;TEXT($M372,"MM/DD")&amp;") 초과",IF($O372="","일매 등록여부 확인 필요",IF($P372="","소재 입고일정 확인 필요","정상"))))))</f>
        <v>소재 입고일정 확인 필요</v>
      </c>
      <c r="U372" s="28" t="str">
        <f aca="false">IF($K372="","",IF(OR(LEFT($T372,2)="작지",LEFT($T372,4)="소재입고"),IF(LEFT($E372,1)="S","★ 납기위험(S코드)","◆ 지연주의"),IF($T372="정상","✓ 정상","? 확인필요")))</f>
        <v>? 확인필요</v>
      </c>
      <c r="V372" s="31"/>
      <c r="W372" s="19"/>
    </row>
    <row r="373" customFormat="false" ht="15" hidden="false" customHeight="true" outlineLevel="0" collapsed="false">
      <c r="A373" s="28" t="n">
        <v>369</v>
      </c>
      <c r="B373" s="29" t="s">
        <v>266</v>
      </c>
      <c r="C373" s="30" t="s">
        <v>878</v>
      </c>
      <c r="D373" s="29" t="s">
        <v>879</v>
      </c>
      <c r="E373" s="28" t="str">
        <f aca="false">IF($C373="","",IF(MID($C373,5,1)="S","S(봄)",IF(MID($C373,5,1)="M","M(여름)",IF(MID($C373,5,1)="X","X(사계절)",MID($C373,5,1)))))</f>
        <v>X(사계절)</v>
      </c>
      <c r="F373" s="29" t="s">
        <v>106</v>
      </c>
      <c r="G373" s="31"/>
      <c r="H373" s="28" t="str">
        <f aca="false">IF($C373="","",REPLACE($C373,6,2,"26"))</f>
        <v>QEBDX26111</v>
      </c>
      <c r="I373" s="32" t="str">
        <f aca="false">IFERROR(INDEX(전년출고참조!$B$4:$B$638,MATCH($H373,전년출고참조!$A$4:$A$638,0)),"")</f>
        <v/>
      </c>
      <c r="J373" s="32" t="n">
        <v>46402</v>
      </c>
      <c r="K373" s="32" t="n">
        <f aca="false">IF($G373&lt;&gt;"",IFERROR(DATE(IF(VALUE(LEFT($G373,FIND("월",$G373)-1))&gt;=9,기준정보!$C$6-1,기준정보!$C$6),VALUE(LEFT($G373,FIND("월",$G373)-1)),1+7*(VALUE(SUBSTITUTE(MID($G373,FIND("월",$G373)+1,5),"주",""))-1)),""),IF($I373&lt;&gt;"",IF(ISNUMBER($I373),$I373+364,IFERROR(DATE(IF(VALUE(LEFT($I373,FIND("월",$I373)-1))&gt;=9,기준정보!$C$6-1,기준정보!$C$6),VALUE(LEFT($I373,FIND("월",$I373)-1)),1+7*(VALUE(SUBSTITUTE(MID($I373,FIND("월",$I373)+1,5),"주",""))-1)),"")),IF($J373&lt;&gt;"",$J373,"")))</f>
        <v>46402</v>
      </c>
      <c r="L373" s="28" t="str">
        <f aca="false">IF($G373&lt;&gt;"","계획 주차",IF($I373&lt;&gt;"","전년+1년 예측",IF($J373&lt;&gt;"","전산 입고계획(참고)","미정")))</f>
        <v>전산 입고계획(참고)</v>
      </c>
      <c r="M373" s="32" t="n">
        <f aca="false">IF($K373="","",$K373-기준정보!$C$5)</f>
        <v>46312</v>
      </c>
      <c r="N373" s="33" t="n">
        <f aca="false">IF($M373="","",$M373-기준정보!$C$4)</f>
        <v>71</v>
      </c>
      <c r="O373" s="31" t="s">
        <v>114</v>
      </c>
      <c r="P373" s="20"/>
      <c r="Q373" s="30" t="str">
        <f aca="false">IF($F373="","",IF(AND(ISNUMBER(SEARCH("CMT",$F373)),OR(ISNUMBER(SEARCH("사입",$F373)),ISNUMBER(SEARCH("Buying",$F373)))),"본사/생산처 혼재",IF(ISNUMBER(SEARCH("CMT",$F373)),"본사(소재팀)","생산처")))</f>
        <v>생산처</v>
      </c>
      <c r="R373" s="29" t="s">
        <v>851</v>
      </c>
      <c r="S373" s="29" t="s">
        <v>355</v>
      </c>
      <c r="T373" s="30" t="str">
        <f aca="false">IF($K373="","출고일 미정",IF($O373="X","작지(일매) 미등록",IF($O373="부분","작지(일매) 일부 미등록",IF(AND($P373&lt;&gt;"",$P373&gt;$M373),"소재입고 마감("&amp;TEXT($M373,"MM/DD")&amp;") 초과",IF($O373="","일매 등록여부 확인 필요",IF($P373="","소재 입고일정 확인 필요","정상"))))))</f>
        <v>작지(일매) 미등록</v>
      </c>
      <c r="U373" s="28" t="str">
        <f aca="false">IF($K373="","",IF(OR(LEFT($T373,2)="작지",LEFT($T373,4)="소재입고"),IF(LEFT($E373,1)="S","★ 납기위험(S코드)","◆ 지연주의"),IF($T373="정상","✓ 정상","? 확인필요")))</f>
        <v>◆ 지연주의</v>
      </c>
      <c r="V373" s="31"/>
      <c r="W373" s="19"/>
    </row>
    <row r="374" customFormat="false" ht="15" hidden="false" customHeight="true" outlineLevel="0" collapsed="false">
      <c r="A374" s="28" t="n">
        <v>370</v>
      </c>
      <c r="B374" s="29" t="s">
        <v>266</v>
      </c>
      <c r="C374" s="30" t="s">
        <v>880</v>
      </c>
      <c r="D374" s="29" t="s">
        <v>881</v>
      </c>
      <c r="E374" s="28" t="str">
        <f aca="false">IF($C374="","",IF(MID($C374,5,1)="S","S(봄)",IF(MID($C374,5,1)="M","M(여름)",IF(MID($C374,5,1)="X","X(사계절)",MID($C374,5,1)))))</f>
        <v>X(사계절)</v>
      </c>
      <c r="F374" s="29" t="s">
        <v>106</v>
      </c>
      <c r="G374" s="31"/>
      <c r="H374" s="28" t="str">
        <f aca="false">IF($C374="","",REPLACE($C374,6,2,"26"))</f>
        <v>QEBDX26123</v>
      </c>
      <c r="I374" s="32" t="str">
        <f aca="false">IFERROR(INDEX(전년출고참조!$B$4:$B$638,MATCH($H374,전년출고참조!$A$4:$A$638,0)),"")</f>
        <v/>
      </c>
      <c r="J374" s="32" t="n">
        <v>46402</v>
      </c>
      <c r="K374" s="32" t="n">
        <f aca="false">IF($G374&lt;&gt;"",IFERROR(DATE(IF(VALUE(LEFT($G374,FIND("월",$G374)-1))&gt;=9,기준정보!$C$6-1,기준정보!$C$6),VALUE(LEFT($G374,FIND("월",$G374)-1)),1+7*(VALUE(SUBSTITUTE(MID($G374,FIND("월",$G374)+1,5),"주",""))-1)),""),IF($I374&lt;&gt;"",IF(ISNUMBER($I374),$I374+364,IFERROR(DATE(IF(VALUE(LEFT($I374,FIND("월",$I374)-1))&gt;=9,기준정보!$C$6-1,기준정보!$C$6),VALUE(LEFT($I374,FIND("월",$I374)-1)),1+7*(VALUE(SUBSTITUTE(MID($I374,FIND("월",$I374)+1,5),"주",""))-1)),"")),IF($J374&lt;&gt;"",$J374,"")))</f>
        <v>46402</v>
      </c>
      <c r="L374" s="28" t="str">
        <f aca="false">IF($G374&lt;&gt;"","계획 주차",IF($I374&lt;&gt;"","전년+1년 예측",IF($J374&lt;&gt;"","전산 입고계획(참고)","미정")))</f>
        <v>전산 입고계획(참고)</v>
      </c>
      <c r="M374" s="32" t="n">
        <f aca="false">IF($K374="","",$K374-기준정보!$C$5)</f>
        <v>46312</v>
      </c>
      <c r="N374" s="33" t="n">
        <f aca="false">IF($M374="","",$M374-기준정보!$C$4)</f>
        <v>71</v>
      </c>
      <c r="O374" s="31" t="s">
        <v>114</v>
      </c>
      <c r="P374" s="20"/>
      <c r="Q374" s="30" t="str">
        <f aca="false">IF($F374="","",IF(AND(ISNUMBER(SEARCH("CMT",$F374)),OR(ISNUMBER(SEARCH("사입",$F374)),ISNUMBER(SEARCH("Buying",$F374)))),"본사/생산처 혼재",IF(ISNUMBER(SEARCH("CMT",$F374)),"본사(소재팀)","생산처")))</f>
        <v>생산처</v>
      </c>
      <c r="R374" s="29" t="s">
        <v>851</v>
      </c>
      <c r="S374" s="29" t="s">
        <v>355</v>
      </c>
      <c r="T374" s="30" t="str">
        <f aca="false">IF($K374="","출고일 미정",IF($O374="X","작지(일매) 미등록",IF($O374="부분","작지(일매) 일부 미등록",IF(AND($P374&lt;&gt;"",$P374&gt;$M374),"소재입고 마감("&amp;TEXT($M374,"MM/DD")&amp;") 초과",IF($O374="","일매 등록여부 확인 필요",IF($P374="","소재 입고일정 확인 필요","정상"))))))</f>
        <v>작지(일매) 미등록</v>
      </c>
      <c r="U374" s="28" t="str">
        <f aca="false">IF($K374="","",IF(OR(LEFT($T374,2)="작지",LEFT($T374,4)="소재입고"),IF(LEFT($E374,1)="S","★ 납기위험(S코드)","◆ 지연주의"),IF($T374="정상","✓ 정상","? 확인필요")))</f>
        <v>◆ 지연주의</v>
      </c>
      <c r="V374" s="31"/>
      <c r="W374" s="19"/>
    </row>
    <row r="375" customFormat="false" ht="15" hidden="false" customHeight="true" outlineLevel="0" collapsed="false">
      <c r="A375" s="28" t="n">
        <v>371</v>
      </c>
      <c r="B375" s="29" t="s">
        <v>266</v>
      </c>
      <c r="C375" s="30" t="s">
        <v>882</v>
      </c>
      <c r="D375" s="29" t="s">
        <v>883</v>
      </c>
      <c r="E375" s="28" t="str">
        <f aca="false">IF($C375="","",IF(MID($C375,5,1)="S","S(봄)",IF(MID($C375,5,1)="M","M(여름)",IF(MID($C375,5,1)="X","X(사계절)",MID($C375,5,1)))))</f>
        <v>X(사계절)</v>
      </c>
      <c r="F375" s="29" t="s">
        <v>106</v>
      </c>
      <c r="G375" s="31"/>
      <c r="H375" s="28" t="str">
        <f aca="false">IF($C375="","",REPLACE($C375,6,2,"26"))</f>
        <v>QEBDX26133</v>
      </c>
      <c r="I375" s="32" t="str">
        <f aca="false">IFERROR(INDEX(전년출고참조!$B$4:$B$638,MATCH($H375,전년출고참조!$A$4:$A$638,0)),"")</f>
        <v/>
      </c>
      <c r="J375" s="32" t="n">
        <v>46402</v>
      </c>
      <c r="K375" s="32" t="n">
        <f aca="false">IF($G375&lt;&gt;"",IFERROR(DATE(IF(VALUE(LEFT($G375,FIND("월",$G375)-1))&gt;=9,기준정보!$C$6-1,기준정보!$C$6),VALUE(LEFT($G375,FIND("월",$G375)-1)),1+7*(VALUE(SUBSTITUTE(MID($G375,FIND("월",$G375)+1,5),"주",""))-1)),""),IF($I375&lt;&gt;"",IF(ISNUMBER($I375),$I375+364,IFERROR(DATE(IF(VALUE(LEFT($I375,FIND("월",$I375)-1))&gt;=9,기준정보!$C$6-1,기준정보!$C$6),VALUE(LEFT($I375,FIND("월",$I375)-1)),1+7*(VALUE(SUBSTITUTE(MID($I375,FIND("월",$I375)+1,5),"주",""))-1)),"")),IF($J375&lt;&gt;"",$J375,"")))</f>
        <v>46402</v>
      </c>
      <c r="L375" s="28" t="str">
        <f aca="false">IF($G375&lt;&gt;"","계획 주차",IF($I375&lt;&gt;"","전년+1년 예측",IF($J375&lt;&gt;"","전산 입고계획(참고)","미정")))</f>
        <v>전산 입고계획(참고)</v>
      </c>
      <c r="M375" s="32" t="n">
        <f aca="false">IF($K375="","",$K375-기준정보!$C$5)</f>
        <v>46312</v>
      </c>
      <c r="N375" s="33" t="n">
        <f aca="false">IF($M375="","",$M375-기준정보!$C$4)</f>
        <v>71</v>
      </c>
      <c r="O375" s="31" t="s">
        <v>114</v>
      </c>
      <c r="P375" s="20"/>
      <c r="Q375" s="30" t="str">
        <f aca="false">IF($F375="","",IF(AND(ISNUMBER(SEARCH("CMT",$F375)),OR(ISNUMBER(SEARCH("사입",$F375)),ISNUMBER(SEARCH("Buying",$F375)))),"본사/생산처 혼재",IF(ISNUMBER(SEARCH("CMT",$F375)),"본사(소재팀)","생산처")))</f>
        <v>생산처</v>
      </c>
      <c r="R375" s="29" t="s">
        <v>851</v>
      </c>
      <c r="S375" s="29" t="s">
        <v>355</v>
      </c>
      <c r="T375" s="30" t="str">
        <f aca="false">IF($K375="","출고일 미정",IF($O375="X","작지(일매) 미등록",IF($O375="부분","작지(일매) 일부 미등록",IF(AND($P375&lt;&gt;"",$P375&gt;$M375),"소재입고 마감("&amp;TEXT($M375,"MM/DD")&amp;") 초과",IF($O375="","일매 등록여부 확인 필요",IF($P375="","소재 입고일정 확인 필요","정상"))))))</f>
        <v>작지(일매) 미등록</v>
      </c>
      <c r="U375" s="28" t="str">
        <f aca="false">IF($K375="","",IF(OR(LEFT($T375,2)="작지",LEFT($T375,4)="소재입고"),IF(LEFT($E375,1)="S","★ 납기위험(S코드)","◆ 지연주의"),IF($T375="정상","✓ 정상","? 확인필요")))</f>
        <v>◆ 지연주의</v>
      </c>
      <c r="V375" s="31"/>
      <c r="W375" s="19"/>
    </row>
    <row r="376" customFormat="false" ht="15" hidden="false" customHeight="true" outlineLevel="0" collapsed="false">
      <c r="A376" s="28" t="n">
        <v>372</v>
      </c>
      <c r="B376" s="29" t="s">
        <v>266</v>
      </c>
      <c r="C376" s="30" t="s">
        <v>884</v>
      </c>
      <c r="D376" s="29" t="s">
        <v>885</v>
      </c>
      <c r="E376" s="28" t="str">
        <f aca="false">IF($C376="","",IF(MID($C376,5,1)="S","S(봄)",IF(MID($C376,5,1)="M","M(여름)",IF(MID($C376,5,1)="X","X(사계절)",MID($C376,5,1)))))</f>
        <v>X(사계절)</v>
      </c>
      <c r="F376" s="29" t="s">
        <v>106</v>
      </c>
      <c r="G376" s="31"/>
      <c r="H376" s="28" t="str">
        <f aca="false">IF($C376="","",REPLACE($C376,6,2,"26"))</f>
        <v>QEBDX26135</v>
      </c>
      <c r="I376" s="32" t="str">
        <f aca="false">IFERROR(INDEX(전년출고참조!$B$4:$B$638,MATCH($H376,전년출고참조!$A$4:$A$638,0)),"")</f>
        <v/>
      </c>
      <c r="J376" s="32" t="n">
        <v>46402</v>
      </c>
      <c r="K376" s="32" t="n">
        <f aca="false">IF($G376&lt;&gt;"",IFERROR(DATE(IF(VALUE(LEFT($G376,FIND("월",$G376)-1))&gt;=9,기준정보!$C$6-1,기준정보!$C$6),VALUE(LEFT($G376,FIND("월",$G376)-1)),1+7*(VALUE(SUBSTITUTE(MID($G376,FIND("월",$G376)+1,5),"주",""))-1)),""),IF($I376&lt;&gt;"",IF(ISNUMBER($I376),$I376+364,IFERROR(DATE(IF(VALUE(LEFT($I376,FIND("월",$I376)-1))&gt;=9,기준정보!$C$6-1,기준정보!$C$6),VALUE(LEFT($I376,FIND("월",$I376)-1)),1+7*(VALUE(SUBSTITUTE(MID($I376,FIND("월",$I376)+1,5),"주",""))-1)),"")),IF($J376&lt;&gt;"",$J376,"")))</f>
        <v>46402</v>
      </c>
      <c r="L376" s="28" t="str">
        <f aca="false">IF($G376&lt;&gt;"","계획 주차",IF($I376&lt;&gt;"","전년+1년 예측",IF($J376&lt;&gt;"","전산 입고계획(참고)","미정")))</f>
        <v>전산 입고계획(참고)</v>
      </c>
      <c r="M376" s="32" t="n">
        <f aca="false">IF($K376="","",$K376-기준정보!$C$5)</f>
        <v>46312</v>
      </c>
      <c r="N376" s="33" t="n">
        <f aca="false">IF($M376="","",$M376-기준정보!$C$4)</f>
        <v>71</v>
      </c>
      <c r="O376" s="31" t="s">
        <v>114</v>
      </c>
      <c r="P376" s="20"/>
      <c r="Q376" s="30" t="str">
        <f aca="false">IF($F376="","",IF(AND(ISNUMBER(SEARCH("CMT",$F376)),OR(ISNUMBER(SEARCH("사입",$F376)),ISNUMBER(SEARCH("Buying",$F376)))),"본사/생산처 혼재",IF(ISNUMBER(SEARCH("CMT",$F376)),"본사(소재팀)","생산처")))</f>
        <v>생산처</v>
      </c>
      <c r="R376" s="29" t="s">
        <v>851</v>
      </c>
      <c r="S376" s="29" t="s">
        <v>355</v>
      </c>
      <c r="T376" s="30" t="str">
        <f aca="false">IF($K376="","출고일 미정",IF($O376="X","작지(일매) 미등록",IF($O376="부분","작지(일매) 일부 미등록",IF(AND($P376&lt;&gt;"",$P376&gt;$M376),"소재입고 마감("&amp;TEXT($M376,"MM/DD")&amp;") 초과",IF($O376="","일매 등록여부 확인 필요",IF($P376="","소재 입고일정 확인 필요","정상"))))))</f>
        <v>작지(일매) 미등록</v>
      </c>
      <c r="U376" s="28" t="str">
        <f aca="false">IF($K376="","",IF(OR(LEFT($T376,2)="작지",LEFT($T376,4)="소재입고"),IF(LEFT($E376,1)="S","★ 납기위험(S코드)","◆ 지연주의"),IF($T376="정상","✓ 정상","? 확인필요")))</f>
        <v>◆ 지연주의</v>
      </c>
      <c r="V376" s="31"/>
      <c r="W376" s="19"/>
    </row>
    <row r="377" customFormat="false" ht="15" hidden="false" customHeight="true" outlineLevel="0" collapsed="false">
      <c r="A377" s="28" t="n">
        <v>373</v>
      </c>
      <c r="B377" s="29" t="s">
        <v>266</v>
      </c>
      <c r="C377" s="30" t="s">
        <v>886</v>
      </c>
      <c r="D377" s="29" t="s">
        <v>887</v>
      </c>
      <c r="E377" s="28" t="str">
        <f aca="false">IF($C377="","",IF(MID($C377,5,1)="S","S(봄)",IF(MID($C377,5,1)="M","M(여름)",IF(MID($C377,5,1)="X","X(사계절)",MID($C377,5,1)))))</f>
        <v>X(사계절)</v>
      </c>
      <c r="F377" s="29" t="s">
        <v>106</v>
      </c>
      <c r="G377" s="31"/>
      <c r="H377" s="28" t="str">
        <f aca="false">IF($C377="","",REPLACE($C377,6,2,"26"))</f>
        <v>QEBDX26137</v>
      </c>
      <c r="I377" s="32" t="str">
        <f aca="false">IFERROR(INDEX(전년출고참조!$B$4:$B$638,MATCH($H377,전년출고참조!$A$4:$A$638,0)),"")</f>
        <v/>
      </c>
      <c r="J377" s="32" t="n">
        <v>46402</v>
      </c>
      <c r="K377" s="32" t="n">
        <f aca="false">IF($G377&lt;&gt;"",IFERROR(DATE(IF(VALUE(LEFT($G377,FIND("월",$G377)-1))&gt;=9,기준정보!$C$6-1,기준정보!$C$6),VALUE(LEFT($G377,FIND("월",$G377)-1)),1+7*(VALUE(SUBSTITUTE(MID($G377,FIND("월",$G377)+1,5),"주",""))-1)),""),IF($I377&lt;&gt;"",IF(ISNUMBER($I377),$I377+364,IFERROR(DATE(IF(VALUE(LEFT($I377,FIND("월",$I377)-1))&gt;=9,기준정보!$C$6-1,기준정보!$C$6),VALUE(LEFT($I377,FIND("월",$I377)-1)),1+7*(VALUE(SUBSTITUTE(MID($I377,FIND("월",$I377)+1,5),"주",""))-1)),"")),IF($J377&lt;&gt;"",$J377,"")))</f>
        <v>46402</v>
      </c>
      <c r="L377" s="28" t="str">
        <f aca="false">IF($G377&lt;&gt;"","계획 주차",IF($I377&lt;&gt;"","전년+1년 예측",IF($J377&lt;&gt;"","전산 입고계획(참고)","미정")))</f>
        <v>전산 입고계획(참고)</v>
      </c>
      <c r="M377" s="32" t="n">
        <f aca="false">IF($K377="","",$K377-기준정보!$C$5)</f>
        <v>46312</v>
      </c>
      <c r="N377" s="33" t="n">
        <f aca="false">IF($M377="","",$M377-기준정보!$C$4)</f>
        <v>71</v>
      </c>
      <c r="O377" s="31" t="s">
        <v>114</v>
      </c>
      <c r="P377" s="20"/>
      <c r="Q377" s="30" t="str">
        <f aca="false">IF($F377="","",IF(AND(ISNUMBER(SEARCH("CMT",$F377)),OR(ISNUMBER(SEARCH("사입",$F377)),ISNUMBER(SEARCH("Buying",$F377)))),"본사/생산처 혼재",IF(ISNUMBER(SEARCH("CMT",$F377)),"본사(소재팀)","생산처")))</f>
        <v>생산처</v>
      </c>
      <c r="R377" s="29" t="s">
        <v>851</v>
      </c>
      <c r="S377" s="29" t="s">
        <v>355</v>
      </c>
      <c r="T377" s="30" t="str">
        <f aca="false">IF($K377="","출고일 미정",IF($O377="X","작지(일매) 미등록",IF($O377="부분","작지(일매) 일부 미등록",IF(AND($P377&lt;&gt;"",$P377&gt;$M377),"소재입고 마감("&amp;TEXT($M377,"MM/DD")&amp;") 초과",IF($O377="","일매 등록여부 확인 필요",IF($P377="","소재 입고일정 확인 필요","정상"))))))</f>
        <v>작지(일매) 미등록</v>
      </c>
      <c r="U377" s="28" t="str">
        <f aca="false">IF($K377="","",IF(OR(LEFT($T377,2)="작지",LEFT($T377,4)="소재입고"),IF(LEFT($E377,1)="S","★ 납기위험(S코드)","◆ 지연주의"),IF($T377="정상","✓ 정상","? 확인필요")))</f>
        <v>◆ 지연주의</v>
      </c>
      <c r="V377" s="31"/>
      <c r="W377" s="19"/>
    </row>
    <row r="378" customFormat="false" ht="15" hidden="false" customHeight="true" outlineLevel="0" collapsed="false">
      <c r="A378" s="28" t="n">
        <v>374</v>
      </c>
      <c r="B378" s="29" t="s">
        <v>266</v>
      </c>
      <c r="C378" s="30" t="s">
        <v>888</v>
      </c>
      <c r="D378" s="29" t="s">
        <v>889</v>
      </c>
      <c r="E378" s="28" t="str">
        <f aca="false">IF($C378="","",IF(MID($C378,5,1)="S","S(봄)",IF(MID($C378,5,1)="M","M(여름)",IF(MID($C378,5,1)="X","X(사계절)",MID($C378,5,1)))))</f>
        <v>X(사계절)</v>
      </c>
      <c r="F378" s="29" t="s">
        <v>106</v>
      </c>
      <c r="G378" s="31"/>
      <c r="H378" s="28" t="str">
        <f aca="false">IF($C378="","",REPLACE($C378,6,2,"26"))</f>
        <v>QEBDX26501</v>
      </c>
      <c r="I378" s="32" t="str">
        <f aca="false">IFERROR(INDEX(전년출고참조!$B$4:$B$638,MATCH($H378,전년출고참조!$A$4:$A$638,0)),"")</f>
        <v/>
      </c>
      <c r="J378" s="32" t="n">
        <v>46402</v>
      </c>
      <c r="K378" s="32" t="n">
        <f aca="false">IF($G378&lt;&gt;"",IFERROR(DATE(IF(VALUE(LEFT($G378,FIND("월",$G378)-1))&gt;=9,기준정보!$C$6-1,기준정보!$C$6),VALUE(LEFT($G378,FIND("월",$G378)-1)),1+7*(VALUE(SUBSTITUTE(MID($G378,FIND("월",$G378)+1,5),"주",""))-1)),""),IF($I378&lt;&gt;"",IF(ISNUMBER($I378),$I378+364,IFERROR(DATE(IF(VALUE(LEFT($I378,FIND("월",$I378)-1))&gt;=9,기준정보!$C$6-1,기준정보!$C$6),VALUE(LEFT($I378,FIND("월",$I378)-1)),1+7*(VALUE(SUBSTITUTE(MID($I378,FIND("월",$I378)+1,5),"주",""))-1)),"")),IF($J378&lt;&gt;"",$J378,"")))</f>
        <v>46402</v>
      </c>
      <c r="L378" s="28" t="str">
        <f aca="false">IF($G378&lt;&gt;"","계획 주차",IF($I378&lt;&gt;"","전년+1년 예측",IF($J378&lt;&gt;"","전산 입고계획(참고)","미정")))</f>
        <v>전산 입고계획(참고)</v>
      </c>
      <c r="M378" s="32" t="n">
        <f aca="false">IF($K378="","",$K378-기준정보!$C$5)</f>
        <v>46312</v>
      </c>
      <c r="N378" s="33" t="n">
        <f aca="false">IF($M378="","",$M378-기준정보!$C$4)</f>
        <v>71</v>
      </c>
      <c r="O378" s="31" t="s">
        <v>114</v>
      </c>
      <c r="P378" s="20"/>
      <c r="Q378" s="30" t="str">
        <f aca="false">IF($F378="","",IF(AND(ISNUMBER(SEARCH("CMT",$F378)),OR(ISNUMBER(SEARCH("사입",$F378)),ISNUMBER(SEARCH("Buying",$F378)))),"본사/생산처 혼재",IF(ISNUMBER(SEARCH("CMT",$F378)),"본사(소재팀)","생산처")))</f>
        <v>생산처</v>
      </c>
      <c r="R378" s="29" t="s">
        <v>851</v>
      </c>
      <c r="S378" s="29" t="s">
        <v>355</v>
      </c>
      <c r="T378" s="30" t="str">
        <f aca="false">IF($K378="","출고일 미정",IF($O378="X","작지(일매) 미등록",IF($O378="부분","작지(일매) 일부 미등록",IF(AND($P378&lt;&gt;"",$P378&gt;$M378),"소재입고 마감("&amp;TEXT($M378,"MM/DD")&amp;") 초과",IF($O378="","일매 등록여부 확인 필요",IF($P378="","소재 입고일정 확인 필요","정상"))))))</f>
        <v>작지(일매) 미등록</v>
      </c>
      <c r="U378" s="28" t="str">
        <f aca="false">IF($K378="","",IF(OR(LEFT($T378,2)="작지",LEFT($T378,4)="소재입고"),IF(LEFT($E378,1)="S","★ 납기위험(S코드)","◆ 지연주의"),IF($T378="정상","✓ 정상","? 확인필요")))</f>
        <v>◆ 지연주의</v>
      </c>
      <c r="V378" s="31"/>
      <c r="W378" s="19"/>
    </row>
    <row r="379" customFormat="false" ht="15" hidden="false" customHeight="true" outlineLevel="0" collapsed="false">
      <c r="A379" s="28" t="n">
        <v>375</v>
      </c>
      <c r="B379" s="29" t="s">
        <v>266</v>
      </c>
      <c r="C379" s="30" t="s">
        <v>890</v>
      </c>
      <c r="D379" s="29" t="s">
        <v>891</v>
      </c>
      <c r="E379" s="28" t="str">
        <f aca="false">IF($C379="","",IF(MID($C379,5,1)="S","S(봄)",IF(MID($C379,5,1)="M","M(여름)",IF(MID($C379,5,1)="X","X(사계절)",MID($C379,5,1)))))</f>
        <v>X(사계절)</v>
      </c>
      <c r="F379" s="29" t="s">
        <v>106</v>
      </c>
      <c r="G379" s="31"/>
      <c r="H379" s="28" t="str">
        <f aca="false">IF($C379="","",REPLACE($C379,6,2,"26"))</f>
        <v>QEBDX26511</v>
      </c>
      <c r="I379" s="32" t="str">
        <f aca="false">IFERROR(INDEX(전년출고참조!$B$4:$B$638,MATCH($H379,전년출고참조!$A$4:$A$638,0)),"")</f>
        <v/>
      </c>
      <c r="J379" s="32" t="n">
        <v>46402</v>
      </c>
      <c r="K379" s="32" t="n">
        <f aca="false">IF($G379&lt;&gt;"",IFERROR(DATE(IF(VALUE(LEFT($G379,FIND("월",$G379)-1))&gt;=9,기준정보!$C$6-1,기준정보!$C$6),VALUE(LEFT($G379,FIND("월",$G379)-1)),1+7*(VALUE(SUBSTITUTE(MID($G379,FIND("월",$G379)+1,5),"주",""))-1)),""),IF($I379&lt;&gt;"",IF(ISNUMBER($I379),$I379+364,IFERROR(DATE(IF(VALUE(LEFT($I379,FIND("월",$I379)-1))&gt;=9,기준정보!$C$6-1,기준정보!$C$6),VALUE(LEFT($I379,FIND("월",$I379)-1)),1+7*(VALUE(SUBSTITUTE(MID($I379,FIND("월",$I379)+1,5),"주",""))-1)),"")),IF($J379&lt;&gt;"",$J379,"")))</f>
        <v>46402</v>
      </c>
      <c r="L379" s="28" t="str">
        <f aca="false">IF($G379&lt;&gt;"","계획 주차",IF($I379&lt;&gt;"","전년+1년 예측",IF($J379&lt;&gt;"","전산 입고계획(참고)","미정")))</f>
        <v>전산 입고계획(참고)</v>
      </c>
      <c r="M379" s="32" t="n">
        <f aca="false">IF($K379="","",$K379-기준정보!$C$5)</f>
        <v>46312</v>
      </c>
      <c r="N379" s="33" t="n">
        <f aca="false">IF($M379="","",$M379-기준정보!$C$4)</f>
        <v>71</v>
      </c>
      <c r="O379" s="31" t="s">
        <v>114</v>
      </c>
      <c r="P379" s="20"/>
      <c r="Q379" s="30" t="str">
        <f aca="false">IF($F379="","",IF(AND(ISNUMBER(SEARCH("CMT",$F379)),OR(ISNUMBER(SEARCH("사입",$F379)),ISNUMBER(SEARCH("Buying",$F379)))),"본사/생산처 혼재",IF(ISNUMBER(SEARCH("CMT",$F379)),"본사(소재팀)","생산처")))</f>
        <v>생산처</v>
      </c>
      <c r="R379" s="29" t="s">
        <v>851</v>
      </c>
      <c r="S379" s="29" t="s">
        <v>355</v>
      </c>
      <c r="T379" s="30" t="str">
        <f aca="false">IF($K379="","출고일 미정",IF($O379="X","작지(일매) 미등록",IF($O379="부분","작지(일매) 일부 미등록",IF(AND($P379&lt;&gt;"",$P379&gt;$M379),"소재입고 마감("&amp;TEXT($M379,"MM/DD")&amp;") 초과",IF($O379="","일매 등록여부 확인 필요",IF($P379="","소재 입고일정 확인 필요","정상"))))))</f>
        <v>작지(일매) 미등록</v>
      </c>
      <c r="U379" s="28" t="str">
        <f aca="false">IF($K379="","",IF(OR(LEFT($T379,2)="작지",LEFT($T379,4)="소재입고"),IF(LEFT($E379,1)="S","★ 납기위험(S코드)","◆ 지연주의"),IF($T379="정상","✓ 정상","? 확인필요")))</f>
        <v>◆ 지연주의</v>
      </c>
      <c r="V379" s="31"/>
      <c r="W379" s="19"/>
    </row>
    <row r="380" customFormat="false" ht="15" hidden="false" customHeight="true" outlineLevel="0" collapsed="false">
      <c r="A380" s="28" t="n">
        <v>376</v>
      </c>
      <c r="B380" s="29" t="s">
        <v>266</v>
      </c>
      <c r="C380" s="30" t="s">
        <v>892</v>
      </c>
      <c r="D380" s="29" t="s">
        <v>891</v>
      </c>
      <c r="E380" s="28" t="str">
        <f aca="false">IF($C380="","",IF(MID($C380,5,1)="S","S(봄)",IF(MID($C380,5,1)="M","M(여름)",IF(MID($C380,5,1)="X","X(사계절)",MID($C380,5,1)))))</f>
        <v>X(사계절)</v>
      </c>
      <c r="F380" s="29" t="s">
        <v>106</v>
      </c>
      <c r="G380" s="31"/>
      <c r="H380" s="28" t="str">
        <f aca="false">IF($C380="","",REPLACE($C380,6,2,"26"))</f>
        <v>QEBDX26513</v>
      </c>
      <c r="I380" s="32" t="str">
        <f aca="false">IFERROR(INDEX(전년출고참조!$B$4:$B$638,MATCH($H380,전년출고참조!$A$4:$A$638,0)),"")</f>
        <v/>
      </c>
      <c r="J380" s="32" t="n">
        <v>46402</v>
      </c>
      <c r="K380" s="32" t="n">
        <f aca="false">IF($G380&lt;&gt;"",IFERROR(DATE(IF(VALUE(LEFT($G380,FIND("월",$G380)-1))&gt;=9,기준정보!$C$6-1,기준정보!$C$6),VALUE(LEFT($G380,FIND("월",$G380)-1)),1+7*(VALUE(SUBSTITUTE(MID($G380,FIND("월",$G380)+1,5),"주",""))-1)),""),IF($I380&lt;&gt;"",IF(ISNUMBER($I380),$I380+364,IFERROR(DATE(IF(VALUE(LEFT($I380,FIND("월",$I380)-1))&gt;=9,기준정보!$C$6-1,기준정보!$C$6),VALUE(LEFT($I380,FIND("월",$I380)-1)),1+7*(VALUE(SUBSTITUTE(MID($I380,FIND("월",$I380)+1,5),"주",""))-1)),"")),IF($J380&lt;&gt;"",$J380,"")))</f>
        <v>46402</v>
      </c>
      <c r="L380" s="28" t="str">
        <f aca="false">IF($G380&lt;&gt;"","계획 주차",IF($I380&lt;&gt;"","전년+1년 예측",IF($J380&lt;&gt;"","전산 입고계획(참고)","미정")))</f>
        <v>전산 입고계획(참고)</v>
      </c>
      <c r="M380" s="32" t="n">
        <f aca="false">IF($K380="","",$K380-기준정보!$C$5)</f>
        <v>46312</v>
      </c>
      <c r="N380" s="33" t="n">
        <f aca="false">IF($M380="","",$M380-기준정보!$C$4)</f>
        <v>71</v>
      </c>
      <c r="O380" s="31" t="s">
        <v>114</v>
      </c>
      <c r="P380" s="20"/>
      <c r="Q380" s="30" t="str">
        <f aca="false">IF($F380="","",IF(AND(ISNUMBER(SEARCH("CMT",$F380)),OR(ISNUMBER(SEARCH("사입",$F380)),ISNUMBER(SEARCH("Buying",$F380)))),"본사/생산처 혼재",IF(ISNUMBER(SEARCH("CMT",$F380)),"본사(소재팀)","생산처")))</f>
        <v>생산처</v>
      </c>
      <c r="R380" s="29" t="s">
        <v>893</v>
      </c>
      <c r="S380" s="29" t="s">
        <v>355</v>
      </c>
      <c r="T380" s="30" t="str">
        <f aca="false">IF($K380="","출고일 미정",IF($O380="X","작지(일매) 미등록",IF($O380="부분","작지(일매) 일부 미등록",IF(AND($P380&lt;&gt;"",$P380&gt;$M380),"소재입고 마감("&amp;TEXT($M380,"MM/DD")&amp;") 초과",IF($O380="","일매 등록여부 확인 필요",IF($P380="","소재 입고일정 확인 필요","정상"))))))</f>
        <v>작지(일매) 미등록</v>
      </c>
      <c r="U380" s="28" t="str">
        <f aca="false">IF($K380="","",IF(OR(LEFT($T380,2)="작지",LEFT($T380,4)="소재입고"),IF(LEFT($E380,1)="S","★ 납기위험(S코드)","◆ 지연주의"),IF($T380="정상","✓ 정상","? 확인필요")))</f>
        <v>◆ 지연주의</v>
      </c>
      <c r="V380" s="31"/>
      <c r="W380" s="19"/>
    </row>
    <row r="381" customFormat="false" ht="15" hidden="false" customHeight="true" outlineLevel="0" collapsed="false">
      <c r="A381" s="28" t="n">
        <v>377</v>
      </c>
      <c r="B381" s="29" t="s">
        <v>802</v>
      </c>
      <c r="C381" s="30" t="s">
        <v>894</v>
      </c>
      <c r="D381" s="29" t="s">
        <v>895</v>
      </c>
      <c r="E381" s="28" t="str">
        <f aca="false">IF($C381="","",IF(MID($C381,5,1)="S","S(봄)",IF(MID($C381,5,1)="M","M(여름)",IF(MID($C381,5,1)="X","X(사계절)",MID($C381,5,1)))))</f>
        <v>X(사계절)</v>
      </c>
      <c r="F381" s="29" t="s">
        <v>106</v>
      </c>
      <c r="G381" s="31"/>
      <c r="H381" s="28" t="str">
        <f aca="false">IF($C381="","",REPLACE($C381,6,2,"26"))</f>
        <v>QEBDX26691</v>
      </c>
      <c r="I381" s="32" t="str">
        <f aca="false">IFERROR(INDEX(전년출고참조!$B$4:$B$638,MATCH($H381,전년출고참조!$A$4:$A$638,0)),"")</f>
        <v/>
      </c>
      <c r="J381" s="32" t="n">
        <v>46402</v>
      </c>
      <c r="K381" s="32" t="n">
        <f aca="false">IF($G381&lt;&gt;"",IFERROR(DATE(IF(VALUE(LEFT($G381,FIND("월",$G381)-1))&gt;=9,기준정보!$C$6-1,기준정보!$C$6),VALUE(LEFT($G381,FIND("월",$G381)-1)),1+7*(VALUE(SUBSTITUTE(MID($G381,FIND("월",$G381)+1,5),"주",""))-1)),""),IF($I381&lt;&gt;"",IF(ISNUMBER($I381),$I381+364,IFERROR(DATE(IF(VALUE(LEFT($I381,FIND("월",$I381)-1))&gt;=9,기준정보!$C$6-1,기준정보!$C$6),VALUE(LEFT($I381,FIND("월",$I381)-1)),1+7*(VALUE(SUBSTITUTE(MID($I381,FIND("월",$I381)+1,5),"주",""))-1)),"")),IF($J381&lt;&gt;"",$J381,"")))</f>
        <v>46402</v>
      </c>
      <c r="L381" s="28" t="str">
        <f aca="false">IF($G381&lt;&gt;"","계획 주차",IF($I381&lt;&gt;"","전년+1년 예측",IF($J381&lt;&gt;"","전산 입고계획(참고)","미정")))</f>
        <v>전산 입고계획(참고)</v>
      </c>
      <c r="M381" s="32" t="n">
        <f aca="false">IF($K381="","",$K381-기준정보!$C$5)</f>
        <v>46312</v>
      </c>
      <c r="N381" s="33" t="n">
        <f aca="false">IF($M381="","",$M381-기준정보!$C$4)</f>
        <v>71</v>
      </c>
      <c r="O381" s="31" t="s">
        <v>114</v>
      </c>
      <c r="P381" s="20"/>
      <c r="Q381" s="30" t="str">
        <f aca="false">IF($F381="","",IF(AND(ISNUMBER(SEARCH("CMT",$F381)),OR(ISNUMBER(SEARCH("사입",$F381)),ISNUMBER(SEARCH("Buying",$F381)))),"본사/생산처 혼재",IF(ISNUMBER(SEARCH("CMT",$F381)),"본사(소재팀)","생산처")))</f>
        <v>생산처</v>
      </c>
      <c r="R381" s="29" t="s">
        <v>893</v>
      </c>
      <c r="S381" s="29" t="s">
        <v>355</v>
      </c>
      <c r="T381" s="30" t="str">
        <f aca="false">IF($K381="","출고일 미정",IF($O381="X","작지(일매) 미등록",IF($O381="부분","작지(일매) 일부 미등록",IF(AND($P381&lt;&gt;"",$P381&gt;$M381),"소재입고 마감("&amp;TEXT($M381,"MM/DD")&amp;") 초과",IF($O381="","일매 등록여부 확인 필요",IF($P381="","소재 입고일정 확인 필요","정상"))))))</f>
        <v>작지(일매) 미등록</v>
      </c>
      <c r="U381" s="28" t="str">
        <f aca="false">IF($K381="","",IF(OR(LEFT($T381,2)="작지",LEFT($T381,4)="소재입고"),IF(LEFT($E381,1)="S","★ 납기위험(S코드)","◆ 지연주의"),IF($T381="정상","✓ 정상","? 확인필요")))</f>
        <v>◆ 지연주의</v>
      </c>
      <c r="V381" s="31"/>
      <c r="W381" s="19"/>
    </row>
    <row r="382" customFormat="false" ht="15" hidden="false" customHeight="true" outlineLevel="0" collapsed="false">
      <c r="A382" s="28" t="n">
        <v>378</v>
      </c>
      <c r="B382" s="29" t="s">
        <v>266</v>
      </c>
      <c r="C382" s="30" t="s">
        <v>896</v>
      </c>
      <c r="D382" s="30" t="s">
        <v>897</v>
      </c>
      <c r="E382" s="28" t="str">
        <f aca="false">IF($C382="","",IF(MID($C382,5,1)="S","S(봄)",IF(MID($C382,5,1)="M","M(여름)",IF(MID($C382,5,1)="X","X(사계절)",MID($C382,5,1)))))</f>
        <v>X(사계절)</v>
      </c>
      <c r="F382" s="29" t="s">
        <v>106</v>
      </c>
      <c r="G382" s="31"/>
      <c r="H382" s="28" t="str">
        <f aca="false">IF($C382="","",REPLACE($C382,6,2,"26"))</f>
        <v>QEBDX26731</v>
      </c>
      <c r="I382" s="32" t="str">
        <f aca="false">IFERROR(INDEX(전년출고참조!$B$4:$B$638,MATCH($H382,전년출고참조!$A$4:$A$638,0)),"")</f>
        <v/>
      </c>
      <c r="J382" s="32" t="n">
        <v>46402</v>
      </c>
      <c r="K382" s="32" t="n">
        <f aca="false">IF($G382&lt;&gt;"",IFERROR(DATE(IF(VALUE(LEFT($G382,FIND("월",$G382)-1))&gt;=9,기준정보!$C$6-1,기준정보!$C$6),VALUE(LEFT($G382,FIND("월",$G382)-1)),1+7*(VALUE(SUBSTITUTE(MID($G382,FIND("월",$G382)+1,5),"주",""))-1)),""),IF($I382&lt;&gt;"",IF(ISNUMBER($I382),$I382+364,IFERROR(DATE(IF(VALUE(LEFT($I382,FIND("월",$I382)-1))&gt;=9,기준정보!$C$6-1,기준정보!$C$6),VALUE(LEFT($I382,FIND("월",$I382)-1)),1+7*(VALUE(SUBSTITUTE(MID($I382,FIND("월",$I382)+1,5),"주",""))-1)),"")),IF($J382&lt;&gt;"",$J382,"")))</f>
        <v>46402</v>
      </c>
      <c r="L382" s="28" t="str">
        <f aca="false">IF($G382&lt;&gt;"","계획 주차",IF($I382&lt;&gt;"","전년+1년 예측",IF($J382&lt;&gt;"","전산 입고계획(참고)","미정")))</f>
        <v>전산 입고계획(참고)</v>
      </c>
      <c r="M382" s="32" t="n">
        <f aca="false">IF($K382="","",$K382-기준정보!$C$5)</f>
        <v>46312</v>
      </c>
      <c r="N382" s="33" t="n">
        <f aca="false">IF($M382="","",$M382-기준정보!$C$4)</f>
        <v>71</v>
      </c>
      <c r="O382" s="31" t="s">
        <v>108</v>
      </c>
      <c r="P382" s="20"/>
      <c r="Q382" s="30" t="str">
        <f aca="false">IF($F382="","",IF(AND(ISNUMBER(SEARCH("CMT",$F382)),OR(ISNUMBER(SEARCH("사입",$F382)),ISNUMBER(SEARCH("Buying",$F382)))),"본사/생산처 혼재",IF(ISNUMBER(SEARCH("CMT",$F382)),"본사(소재팀)","생산처")))</f>
        <v>생산처</v>
      </c>
      <c r="R382" s="29" t="s">
        <v>875</v>
      </c>
      <c r="S382" s="29" t="s">
        <v>110</v>
      </c>
      <c r="T382" s="30" t="str">
        <f aca="false">IF($K382="","출고일 미정",IF($O382="X","작지(일매) 미등록",IF($O382="부분","작지(일매) 일부 미등록",IF(AND($P382&lt;&gt;"",$P382&gt;$M382),"소재입고 마감("&amp;TEXT($M382,"MM/DD")&amp;") 초과",IF($O382="","일매 등록여부 확인 필요",IF($P382="","소재 입고일정 확인 필요","정상"))))))</f>
        <v>소재 입고일정 확인 필요</v>
      </c>
      <c r="U382" s="28" t="str">
        <f aca="false">IF($K382="","",IF(OR(LEFT($T382,2)="작지",LEFT($T382,4)="소재입고"),IF(LEFT($E382,1)="S","★ 납기위험(S코드)","◆ 지연주의"),IF($T382="정상","✓ 정상","? 확인필요")))</f>
        <v>? 확인필요</v>
      </c>
      <c r="V382" s="31"/>
      <c r="W382" s="19"/>
    </row>
    <row r="383" customFormat="false" ht="15" hidden="false" customHeight="true" outlineLevel="0" collapsed="false">
      <c r="A383" s="28" t="n">
        <v>379</v>
      </c>
      <c r="B383" s="29" t="s">
        <v>266</v>
      </c>
      <c r="C383" s="30" t="s">
        <v>898</v>
      </c>
      <c r="D383" s="29" t="s">
        <v>899</v>
      </c>
      <c r="E383" s="28" t="str">
        <f aca="false">IF($C383="","",IF(MID($C383,5,1)="S","S(봄)",IF(MID($C383,5,1)="M","M(여름)",IF(MID($C383,5,1)="X","X(사계절)",MID($C383,5,1)))))</f>
        <v>X(사계절)</v>
      </c>
      <c r="F383" s="29" t="s">
        <v>106</v>
      </c>
      <c r="G383" s="31"/>
      <c r="H383" s="28" t="str">
        <f aca="false">IF($C383="","",REPLACE($C383,6,2,"26"))</f>
        <v>QEBXX26111</v>
      </c>
      <c r="I383" s="32" t="str">
        <f aca="false">IFERROR(INDEX(전년출고참조!$B$4:$B$638,MATCH($H383,전년출고참조!$A$4:$A$638,0)),"")</f>
        <v/>
      </c>
      <c r="J383" s="32" t="n">
        <v>46402</v>
      </c>
      <c r="K383" s="32" t="n">
        <f aca="false">IF($G383&lt;&gt;"",IFERROR(DATE(IF(VALUE(LEFT($G383,FIND("월",$G383)-1))&gt;=9,기준정보!$C$6-1,기준정보!$C$6),VALUE(LEFT($G383,FIND("월",$G383)-1)),1+7*(VALUE(SUBSTITUTE(MID($G383,FIND("월",$G383)+1,5),"주",""))-1)),""),IF($I383&lt;&gt;"",IF(ISNUMBER($I383),$I383+364,IFERROR(DATE(IF(VALUE(LEFT($I383,FIND("월",$I383)-1))&gt;=9,기준정보!$C$6-1,기준정보!$C$6),VALUE(LEFT($I383,FIND("월",$I383)-1)),1+7*(VALUE(SUBSTITUTE(MID($I383,FIND("월",$I383)+1,5),"주",""))-1)),"")),IF($J383&lt;&gt;"",$J383,"")))</f>
        <v>46402</v>
      </c>
      <c r="L383" s="28" t="str">
        <f aca="false">IF($G383&lt;&gt;"","계획 주차",IF($I383&lt;&gt;"","전년+1년 예측",IF($J383&lt;&gt;"","전산 입고계획(참고)","미정")))</f>
        <v>전산 입고계획(참고)</v>
      </c>
      <c r="M383" s="32" t="n">
        <f aca="false">IF($K383="","",$K383-기준정보!$C$5)</f>
        <v>46312</v>
      </c>
      <c r="N383" s="33" t="n">
        <f aca="false">IF($M383="","",$M383-기준정보!$C$4)</f>
        <v>71</v>
      </c>
      <c r="O383" s="31" t="s">
        <v>114</v>
      </c>
      <c r="P383" s="20"/>
      <c r="Q383" s="30" t="str">
        <f aca="false">IF($F383="","",IF(AND(ISNUMBER(SEARCH("CMT",$F383)),OR(ISNUMBER(SEARCH("사입",$F383)),ISNUMBER(SEARCH("Buying",$F383)))),"본사/생산처 혼재",IF(ISNUMBER(SEARCH("CMT",$F383)),"본사(소재팀)","생산처")))</f>
        <v>생산처</v>
      </c>
      <c r="R383" s="29" t="s">
        <v>851</v>
      </c>
      <c r="S383" s="29" t="s">
        <v>355</v>
      </c>
      <c r="T383" s="30" t="str">
        <f aca="false">IF($K383="","출고일 미정",IF($O383="X","작지(일매) 미등록",IF($O383="부분","작지(일매) 일부 미등록",IF(AND($P383&lt;&gt;"",$P383&gt;$M383),"소재입고 마감("&amp;TEXT($M383,"MM/DD")&amp;") 초과",IF($O383="","일매 등록여부 확인 필요",IF($P383="","소재 입고일정 확인 필요","정상"))))))</f>
        <v>작지(일매) 미등록</v>
      </c>
      <c r="U383" s="28" t="str">
        <f aca="false">IF($K383="","",IF(OR(LEFT($T383,2)="작지",LEFT($T383,4)="소재입고"),IF(LEFT($E383,1)="S","★ 납기위험(S코드)","◆ 지연주의"),IF($T383="정상","✓ 정상","? 확인필요")))</f>
        <v>◆ 지연주의</v>
      </c>
      <c r="V383" s="31"/>
      <c r="W383" s="19"/>
    </row>
    <row r="384" customFormat="false" ht="15" hidden="false" customHeight="true" outlineLevel="0" collapsed="false">
      <c r="A384" s="28" t="n">
        <v>380</v>
      </c>
      <c r="B384" s="29" t="s">
        <v>266</v>
      </c>
      <c r="C384" s="30" t="s">
        <v>900</v>
      </c>
      <c r="D384" s="29" t="s">
        <v>901</v>
      </c>
      <c r="E384" s="28" t="str">
        <f aca="false">IF($C384="","",IF(MID($C384,5,1)="S","S(봄)",IF(MID($C384,5,1)="M","M(여름)",IF(MID($C384,5,1)="X","X(사계절)",MID($C384,5,1)))))</f>
        <v>X(사계절)</v>
      </c>
      <c r="F384" s="29" t="s">
        <v>106</v>
      </c>
      <c r="G384" s="31"/>
      <c r="H384" s="28" t="str">
        <f aca="false">IF($C384="","",REPLACE($C384,6,2,"26"))</f>
        <v>QEBXX26121</v>
      </c>
      <c r="I384" s="32" t="str">
        <f aca="false">IFERROR(INDEX(전년출고참조!$B$4:$B$638,MATCH($H384,전년출고참조!$A$4:$A$638,0)),"")</f>
        <v/>
      </c>
      <c r="J384" s="32" t="n">
        <v>46402</v>
      </c>
      <c r="K384" s="32" t="n">
        <f aca="false">IF($G384&lt;&gt;"",IFERROR(DATE(IF(VALUE(LEFT($G384,FIND("월",$G384)-1))&gt;=9,기준정보!$C$6-1,기준정보!$C$6),VALUE(LEFT($G384,FIND("월",$G384)-1)),1+7*(VALUE(SUBSTITUTE(MID($G384,FIND("월",$G384)+1,5),"주",""))-1)),""),IF($I384&lt;&gt;"",IF(ISNUMBER($I384),$I384+364,IFERROR(DATE(IF(VALUE(LEFT($I384,FIND("월",$I384)-1))&gt;=9,기준정보!$C$6-1,기준정보!$C$6),VALUE(LEFT($I384,FIND("월",$I384)-1)),1+7*(VALUE(SUBSTITUTE(MID($I384,FIND("월",$I384)+1,5),"주",""))-1)),"")),IF($J384&lt;&gt;"",$J384,"")))</f>
        <v>46402</v>
      </c>
      <c r="L384" s="28" t="str">
        <f aca="false">IF($G384&lt;&gt;"","계획 주차",IF($I384&lt;&gt;"","전년+1년 예측",IF($J384&lt;&gt;"","전산 입고계획(참고)","미정")))</f>
        <v>전산 입고계획(참고)</v>
      </c>
      <c r="M384" s="32" t="n">
        <f aca="false">IF($K384="","",$K384-기준정보!$C$5)</f>
        <v>46312</v>
      </c>
      <c r="N384" s="33" t="n">
        <f aca="false">IF($M384="","",$M384-기준정보!$C$4)</f>
        <v>71</v>
      </c>
      <c r="O384" s="31" t="s">
        <v>114</v>
      </c>
      <c r="P384" s="20"/>
      <c r="Q384" s="30" t="str">
        <f aca="false">IF($F384="","",IF(AND(ISNUMBER(SEARCH("CMT",$F384)),OR(ISNUMBER(SEARCH("사입",$F384)),ISNUMBER(SEARCH("Buying",$F384)))),"본사/생산처 혼재",IF(ISNUMBER(SEARCH("CMT",$F384)),"본사(소재팀)","생산처")))</f>
        <v>생산처</v>
      </c>
      <c r="R384" s="29" t="s">
        <v>851</v>
      </c>
      <c r="S384" s="29" t="s">
        <v>355</v>
      </c>
      <c r="T384" s="30" t="str">
        <f aca="false">IF($K384="","출고일 미정",IF($O384="X","작지(일매) 미등록",IF($O384="부분","작지(일매) 일부 미등록",IF(AND($P384&lt;&gt;"",$P384&gt;$M384),"소재입고 마감("&amp;TEXT($M384,"MM/DD")&amp;") 초과",IF($O384="","일매 등록여부 확인 필요",IF($P384="","소재 입고일정 확인 필요","정상"))))))</f>
        <v>작지(일매) 미등록</v>
      </c>
      <c r="U384" s="28" t="str">
        <f aca="false">IF($K384="","",IF(OR(LEFT($T384,2)="작지",LEFT($T384,4)="소재입고"),IF(LEFT($E384,1)="S","★ 납기위험(S코드)","◆ 지연주의"),IF($T384="정상","✓ 정상","? 확인필요")))</f>
        <v>◆ 지연주의</v>
      </c>
      <c r="V384" s="31"/>
      <c r="W384" s="19"/>
    </row>
    <row r="385" customFormat="false" ht="15" hidden="false" customHeight="true" outlineLevel="0" collapsed="false">
      <c r="A385" s="28" t="n">
        <v>381</v>
      </c>
      <c r="B385" s="29" t="s">
        <v>266</v>
      </c>
      <c r="C385" s="30" t="s">
        <v>902</v>
      </c>
      <c r="D385" s="29" t="s">
        <v>903</v>
      </c>
      <c r="E385" s="28" t="str">
        <f aca="false">IF($C385="","",IF(MID($C385,5,1)="S","S(봄)",IF(MID($C385,5,1)="M","M(여름)",IF(MID($C385,5,1)="X","X(사계절)",MID($C385,5,1)))))</f>
        <v>X(사계절)</v>
      </c>
      <c r="F385" s="29" t="s">
        <v>106</v>
      </c>
      <c r="G385" s="31"/>
      <c r="H385" s="28" t="str">
        <f aca="false">IF($C385="","",REPLACE($C385,6,2,"26"))</f>
        <v>QEBXX26123</v>
      </c>
      <c r="I385" s="32" t="str">
        <f aca="false">IFERROR(INDEX(전년출고참조!$B$4:$B$638,MATCH($H385,전년출고참조!$A$4:$A$638,0)),"")</f>
        <v/>
      </c>
      <c r="J385" s="32" t="n">
        <v>46402</v>
      </c>
      <c r="K385" s="32" t="n">
        <f aca="false">IF($G385&lt;&gt;"",IFERROR(DATE(IF(VALUE(LEFT($G385,FIND("월",$G385)-1))&gt;=9,기준정보!$C$6-1,기준정보!$C$6),VALUE(LEFT($G385,FIND("월",$G385)-1)),1+7*(VALUE(SUBSTITUTE(MID($G385,FIND("월",$G385)+1,5),"주",""))-1)),""),IF($I385&lt;&gt;"",IF(ISNUMBER($I385),$I385+364,IFERROR(DATE(IF(VALUE(LEFT($I385,FIND("월",$I385)-1))&gt;=9,기준정보!$C$6-1,기준정보!$C$6),VALUE(LEFT($I385,FIND("월",$I385)-1)),1+7*(VALUE(SUBSTITUTE(MID($I385,FIND("월",$I385)+1,5),"주",""))-1)),"")),IF($J385&lt;&gt;"",$J385,"")))</f>
        <v>46402</v>
      </c>
      <c r="L385" s="28" t="str">
        <f aca="false">IF($G385&lt;&gt;"","계획 주차",IF($I385&lt;&gt;"","전년+1년 예측",IF($J385&lt;&gt;"","전산 입고계획(참고)","미정")))</f>
        <v>전산 입고계획(참고)</v>
      </c>
      <c r="M385" s="32" t="n">
        <f aca="false">IF($K385="","",$K385-기준정보!$C$5)</f>
        <v>46312</v>
      </c>
      <c r="N385" s="33" t="n">
        <f aca="false">IF($M385="","",$M385-기준정보!$C$4)</f>
        <v>71</v>
      </c>
      <c r="O385" s="31" t="s">
        <v>114</v>
      </c>
      <c r="P385" s="20"/>
      <c r="Q385" s="30" t="str">
        <f aca="false">IF($F385="","",IF(AND(ISNUMBER(SEARCH("CMT",$F385)),OR(ISNUMBER(SEARCH("사입",$F385)),ISNUMBER(SEARCH("Buying",$F385)))),"본사/생산처 혼재",IF(ISNUMBER(SEARCH("CMT",$F385)),"본사(소재팀)","생산처")))</f>
        <v>생산처</v>
      </c>
      <c r="R385" s="29" t="s">
        <v>851</v>
      </c>
      <c r="S385" s="29" t="s">
        <v>355</v>
      </c>
      <c r="T385" s="30" t="str">
        <f aca="false">IF($K385="","출고일 미정",IF($O385="X","작지(일매) 미등록",IF($O385="부분","작지(일매) 일부 미등록",IF(AND($P385&lt;&gt;"",$P385&gt;$M385),"소재입고 마감("&amp;TEXT($M385,"MM/DD")&amp;") 초과",IF($O385="","일매 등록여부 확인 필요",IF($P385="","소재 입고일정 확인 필요","정상"))))))</f>
        <v>작지(일매) 미등록</v>
      </c>
      <c r="U385" s="28" t="str">
        <f aca="false">IF($K385="","",IF(OR(LEFT($T385,2)="작지",LEFT($T385,4)="소재입고"),IF(LEFT($E385,1)="S","★ 납기위험(S코드)","◆ 지연주의"),IF($T385="정상","✓ 정상","? 확인필요")))</f>
        <v>◆ 지연주의</v>
      </c>
      <c r="V385" s="31"/>
      <c r="W385" s="19"/>
    </row>
    <row r="386" customFormat="false" ht="15" hidden="false" customHeight="true" outlineLevel="0" collapsed="false">
      <c r="A386" s="28" t="n">
        <v>382</v>
      </c>
      <c r="B386" s="29" t="s">
        <v>266</v>
      </c>
      <c r="C386" s="30" t="s">
        <v>904</v>
      </c>
      <c r="D386" s="29" t="s">
        <v>905</v>
      </c>
      <c r="E386" s="28" t="str">
        <f aca="false">IF($C386="","",IF(MID($C386,5,1)="S","S(봄)",IF(MID($C386,5,1)="M","M(여름)",IF(MID($C386,5,1)="X","X(사계절)",MID($C386,5,1)))))</f>
        <v>X(사계절)</v>
      </c>
      <c r="F386" s="29" t="s">
        <v>106</v>
      </c>
      <c r="G386" s="31"/>
      <c r="H386" s="28" t="str">
        <f aca="false">IF($C386="","",REPLACE($C386,6,2,"26"))</f>
        <v>QEBXX26131</v>
      </c>
      <c r="I386" s="32" t="str">
        <f aca="false">IFERROR(INDEX(전년출고참조!$B$4:$B$638,MATCH($H386,전년출고참조!$A$4:$A$638,0)),"")</f>
        <v/>
      </c>
      <c r="J386" s="32" t="n">
        <v>46402</v>
      </c>
      <c r="K386" s="32" t="n">
        <f aca="false">IF($G386&lt;&gt;"",IFERROR(DATE(IF(VALUE(LEFT($G386,FIND("월",$G386)-1))&gt;=9,기준정보!$C$6-1,기준정보!$C$6),VALUE(LEFT($G386,FIND("월",$G386)-1)),1+7*(VALUE(SUBSTITUTE(MID($G386,FIND("월",$G386)+1,5),"주",""))-1)),""),IF($I386&lt;&gt;"",IF(ISNUMBER($I386),$I386+364,IFERROR(DATE(IF(VALUE(LEFT($I386,FIND("월",$I386)-1))&gt;=9,기준정보!$C$6-1,기준정보!$C$6),VALUE(LEFT($I386,FIND("월",$I386)-1)),1+7*(VALUE(SUBSTITUTE(MID($I386,FIND("월",$I386)+1,5),"주",""))-1)),"")),IF($J386&lt;&gt;"",$J386,"")))</f>
        <v>46402</v>
      </c>
      <c r="L386" s="28" t="str">
        <f aca="false">IF($G386&lt;&gt;"","계획 주차",IF($I386&lt;&gt;"","전년+1년 예측",IF($J386&lt;&gt;"","전산 입고계획(참고)","미정")))</f>
        <v>전산 입고계획(참고)</v>
      </c>
      <c r="M386" s="32" t="n">
        <f aca="false">IF($K386="","",$K386-기준정보!$C$5)</f>
        <v>46312</v>
      </c>
      <c r="N386" s="33" t="n">
        <f aca="false">IF($M386="","",$M386-기준정보!$C$4)</f>
        <v>71</v>
      </c>
      <c r="O386" s="31" t="s">
        <v>114</v>
      </c>
      <c r="P386" s="20"/>
      <c r="Q386" s="30" t="str">
        <f aca="false">IF($F386="","",IF(AND(ISNUMBER(SEARCH("CMT",$F386)),OR(ISNUMBER(SEARCH("사입",$F386)),ISNUMBER(SEARCH("Buying",$F386)))),"본사/생산처 혼재",IF(ISNUMBER(SEARCH("CMT",$F386)),"본사(소재팀)","생산처")))</f>
        <v>생산처</v>
      </c>
      <c r="R386" s="29" t="s">
        <v>851</v>
      </c>
      <c r="S386" s="29" t="s">
        <v>355</v>
      </c>
      <c r="T386" s="30" t="str">
        <f aca="false">IF($K386="","출고일 미정",IF($O386="X","작지(일매) 미등록",IF($O386="부분","작지(일매) 일부 미등록",IF(AND($P386&lt;&gt;"",$P386&gt;$M386),"소재입고 마감("&amp;TEXT($M386,"MM/DD")&amp;") 초과",IF($O386="","일매 등록여부 확인 필요",IF($P386="","소재 입고일정 확인 필요","정상"))))))</f>
        <v>작지(일매) 미등록</v>
      </c>
      <c r="U386" s="28" t="str">
        <f aca="false">IF($K386="","",IF(OR(LEFT($T386,2)="작지",LEFT($T386,4)="소재입고"),IF(LEFT($E386,1)="S","★ 납기위험(S코드)","◆ 지연주의"),IF($T386="정상","✓ 정상","? 확인필요")))</f>
        <v>◆ 지연주의</v>
      </c>
      <c r="V386" s="31"/>
      <c r="W386" s="19"/>
    </row>
    <row r="387" customFormat="false" ht="15" hidden="false" customHeight="true" outlineLevel="0" collapsed="false">
      <c r="A387" s="28" t="n">
        <v>383</v>
      </c>
      <c r="B387" s="29" t="s">
        <v>266</v>
      </c>
      <c r="C387" s="30" t="s">
        <v>906</v>
      </c>
      <c r="D387" s="29" t="s">
        <v>907</v>
      </c>
      <c r="E387" s="28" t="str">
        <f aca="false">IF($C387="","",IF(MID($C387,5,1)="S","S(봄)",IF(MID($C387,5,1)="M","M(여름)",IF(MID($C387,5,1)="X","X(사계절)",MID($C387,5,1)))))</f>
        <v>X(사계절)</v>
      </c>
      <c r="F387" s="29" t="s">
        <v>106</v>
      </c>
      <c r="G387" s="31"/>
      <c r="H387" s="28" t="str">
        <f aca="false">IF($C387="","",REPLACE($C387,6,2,"26"))</f>
        <v>QEBXX26141</v>
      </c>
      <c r="I387" s="32" t="str">
        <f aca="false">IFERROR(INDEX(전년출고참조!$B$4:$B$638,MATCH($H387,전년출고참조!$A$4:$A$638,0)),"")</f>
        <v/>
      </c>
      <c r="J387" s="32" t="n">
        <v>46402</v>
      </c>
      <c r="K387" s="32" t="n">
        <f aca="false">IF($G387&lt;&gt;"",IFERROR(DATE(IF(VALUE(LEFT($G387,FIND("월",$G387)-1))&gt;=9,기준정보!$C$6-1,기준정보!$C$6),VALUE(LEFT($G387,FIND("월",$G387)-1)),1+7*(VALUE(SUBSTITUTE(MID($G387,FIND("월",$G387)+1,5),"주",""))-1)),""),IF($I387&lt;&gt;"",IF(ISNUMBER($I387),$I387+364,IFERROR(DATE(IF(VALUE(LEFT($I387,FIND("월",$I387)-1))&gt;=9,기준정보!$C$6-1,기준정보!$C$6),VALUE(LEFT($I387,FIND("월",$I387)-1)),1+7*(VALUE(SUBSTITUTE(MID($I387,FIND("월",$I387)+1,5),"주",""))-1)),"")),IF($J387&lt;&gt;"",$J387,"")))</f>
        <v>46402</v>
      </c>
      <c r="L387" s="28" t="str">
        <f aca="false">IF($G387&lt;&gt;"","계획 주차",IF($I387&lt;&gt;"","전년+1년 예측",IF($J387&lt;&gt;"","전산 입고계획(참고)","미정")))</f>
        <v>전산 입고계획(참고)</v>
      </c>
      <c r="M387" s="32" t="n">
        <f aca="false">IF($K387="","",$K387-기준정보!$C$5)</f>
        <v>46312</v>
      </c>
      <c r="N387" s="33" t="n">
        <f aca="false">IF($M387="","",$M387-기준정보!$C$4)</f>
        <v>71</v>
      </c>
      <c r="O387" s="31" t="s">
        <v>114</v>
      </c>
      <c r="P387" s="20"/>
      <c r="Q387" s="30" t="str">
        <f aca="false">IF($F387="","",IF(AND(ISNUMBER(SEARCH("CMT",$F387)),OR(ISNUMBER(SEARCH("사입",$F387)),ISNUMBER(SEARCH("Buying",$F387)))),"본사/생산처 혼재",IF(ISNUMBER(SEARCH("CMT",$F387)),"본사(소재팀)","생산처")))</f>
        <v>생산처</v>
      </c>
      <c r="R387" s="29" t="s">
        <v>851</v>
      </c>
      <c r="S387" s="29" t="s">
        <v>355</v>
      </c>
      <c r="T387" s="30" t="str">
        <f aca="false">IF($K387="","출고일 미정",IF($O387="X","작지(일매) 미등록",IF($O387="부분","작지(일매) 일부 미등록",IF(AND($P387&lt;&gt;"",$P387&gt;$M387),"소재입고 마감("&amp;TEXT($M387,"MM/DD")&amp;") 초과",IF($O387="","일매 등록여부 확인 필요",IF($P387="","소재 입고일정 확인 필요","정상"))))))</f>
        <v>작지(일매) 미등록</v>
      </c>
      <c r="U387" s="28" t="str">
        <f aca="false">IF($K387="","",IF(OR(LEFT($T387,2)="작지",LEFT($T387,4)="소재입고"),IF(LEFT($E387,1)="S","★ 납기위험(S코드)","◆ 지연주의"),IF($T387="정상","✓ 정상","? 확인필요")))</f>
        <v>◆ 지연주의</v>
      </c>
      <c r="V387" s="31"/>
      <c r="W387" s="19"/>
    </row>
    <row r="388" customFormat="false" ht="15" hidden="false" customHeight="true" outlineLevel="0" collapsed="false">
      <c r="A388" s="28" t="n">
        <v>384</v>
      </c>
      <c r="B388" s="29" t="s">
        <v>266</v>
      </c>
      <c r="C388" s="30" t="s">
        <v>908</v>
      </c>
      <c r="D388" s="29" t="s">
        <v>909</v>
      </c>
      <c r="E388" s="28" t="str">
        <f aca="false">IF($C388="","",IF(MID($C388,5,1)="S","S(봄)",IF(MID($C388,5,1)="M","M(여름)",IF(MID($C388,5,1)="X","X(사계절)",MID($C388,5,1)))))</f>
        <v>X(사계절)</v>
      </c>
      <c r="F388" s="29" t="s">
        <v>106</v>
      </c>
      <c r="G388" s="31"/>
      <c r="H388" s="28" t="str">
        <f aca="false">IF($C388="","",REPLACE($C388,6,2,"26"))</f>
        <v>QEBXX26142</v>
      </c>
      <c r="I388" s="32" t="str">
        <f aca="false">IFERROR(INDEX(전년출고참조!$B$4:$B$638,MATCH($H388,전년출고참조!$A$4:$A$638,0)),"")</f>
        <v/>
      </c>
      <c r="J388" s="32" t="n">
        <v>46402</v>
      </c>
      <c r="K388" s="32" t="n">
        <f aca="false">IF($G388&lt;&gt;"",IFERROR(DATE(IF(VALUE(LEFT($G388,FIND("월",$G388)-1))&gt;=9,기준정보!$C$6-1,기준정보!$C$6),VALUE(LEFT($G388,FIND("월",$G388)-1)),1+7*(VALUE(SUBSTITUTE(MID($G388,FIND("월",$G388)+1,5),"주",""))-1)),""),IF($I388&lt;&gt;"",IF(ISNUMBER($I388),$I388+364,IFERROR(DATE(IF(VALUE(LEFT($I388,FIND("월",$I388)-1))&gt;=9,기준정보!$C$6-1,기준정보!$C$6),VALUE(LEFT($I388,FIND("월",$I388)-1)),1+7*(VALUE(SUBSTITUTE(MID($I388,FIND("월",$I388)+1,5),"주",""))-1)),"")),IF($J388&lt;&gt;"",$J388,"")))</f>
        <v>46402</v>
      </c>
      <c r="L388" s="28" t="str">
        <f aca="false">IF($G388&lt;&gt;"","계획 주차",IF($I388&lt;&gt;"","전년+1년 예측",IF($J388&lt;&gt;"","전산 입고계획(참고)","미정")))</f>
        <v>전산 입고계획(참고)</v>
      </c>
      <c r="M388" s="32" t="n">
        <f aca="false">IF($K388="","",$K388-기준정보!$C$5)</f>
        <v>46312</v>
      </c>
      <c r="N388" s="33" t="n">
        <f aca="false">IF($M388="","",$M388-기준정보!$C$4)</f>
        <v>71</v>
      </c>
      <c r="O388" s="31" t="s">
        <v>114</v>
      </c>
      <c r="P388" s="20"/>
      <c r="Q388" s="30" t="str">
        <f aca="false">IF($F388="","",IF(AND(ISNUMBER(SEARCH("CMT",$F388)),OR(ISNUMBER(SEARCH("사입",$F388)),ISNUMBER(SEARCH("Buying",$F388)))),"본사/생산처 혼재",IF(ISNUMBER(SEARCH("CMT",$F388)),"본사(소재팀)","생산처")))</f>
        <v>생산처</v>
      </c>
      <c r="R388" s="29" t="s">
        <v>851</v>
      </c>
      <c r="S388" s="29" t="s">
        <v>355</v>
      </c>
      <c r="T388" s="30" t="str">
        <f aca="false">IF($K388="","출고일 미정",IF($O388="X","작지(일매) 미등록",IF($O388="부분","작지(일매) 일부 미등록",IF(AND($P388&lt;&gt;"",$P388&gt;$M388),"소재입고 마감("&amp;TEXT($M388,"MM/DD")&amp;") 초과",IF($O388="","일매 등록여부 확인 필요",IF($P388="","소재 입고일정 확인 필요","정상"))))))</f>
        <v>작지(일매) 미등록</v>
      </c>
      <c r="U388" s="28" t="str">
        <f aca="false">IF($K388="","",IF(OR(LEFT($T388,2)="작지",LEFT($T388,4)="소재입고"),IF(LEFT($E388,1)="S","★ 납기위험(S코드)","◆ 지연주의"),IF($T388="정상","✓ 정상","? 확인필요")))</f>
        <v>◆ 지연주의</v>
      </c>
      <c r="V388" s="31"/>
      <c r="W388" s="19"/>
    </row>
    <row r="389" customFormat="false" ht="15" hidden="false" customHeight="true" outlineLevel="0" collapsed="false">
      <c r="A389" s="28" t="n">
        <v>385</v>
      </c>
      <c r="B389" s="29" t="s">
        <v>266</v>
      </c>
      <c r="C389" s="30" t="s">
        <v>910</v>
      </c>
      <c r="D389" s="29" t="s">
        <v>911</v>
      </c>
      <c r="E389" s="28" t="str">
        <f aca="false">IF($C389="","",IF(MID($C389,5,1)="S","S(봄)",IF(MID($C389,5,1)="M","M(여름)",IF(MID($C389,5,1)="X","X(사계절)",MID($C389,5,1)))))</f>
        <v>X(사계절)</v>
      </c>
      <c r="F389" s="29" t="s">
        <v>106</v>
      </c>
      <c r="G389" s="31"/>
      <c r="H389" s="28" t="str">
        <f aca="false">IF($C389="","",REPLACE($C389,6,2,"26"))</f>
        <v>QEBXX26501</v>
      </c>
      <c r="I389" s="32" t="str">
        <f aca="false">IFERROR(INDEX(전년출고참조!$B$4:$B$638,MATCH($H389,전년출고참조!$A$4:$A$638,0)),"")</f>
        <v/>
      </c>
      <c r="J389" s="32" t="n">
        <v>46402</v>
      </c>
      <c r="K389" s="32" t="n">
        <f aca="false">IF($G389&lt;&gt;"",IFERROR(DATE(IF(VALUE(LEFT($G389,FIND("월",$G389)-1))&gt;=9,기준정보!$C$6-1,기준정보!$C$6),VALUE(LEFT($G389,FIND("월",$G389)-1)),1+7*(VALUE(SUBSTITUTE(MID($G389,FIND("월",$G389)+1,5),"주",""))-1)),""),IF($I389&lt;&gt;"",IF(ISNUMBER($I389),$I389+364,IFERROR(DATE(IF(VALUE(LEFT($I389,FIND("월",$I389)-1))&gt;=9,기준정보!$C$6-1,기준정보!$C$6),VALUE(LEFT($I389,FIND("월",$I389)-1)),1+7*(VALUE(SUBSTITUTE(MID($I389,FIND("월",$I389)+1,5),"주",""))-1)),"")),IF($J389&lt;&gt;"",$J389,"")))</f>
        <v>46402</v>
      </c>
      <c r="L389" s="28" t="str">
        <f aca="false">IF($G389&lt;&gt;"","계획 주차",IF($I389&lt;&gt;"","전년+1년 예측",IF($J389&lt;&gt;"","전산 입고계획(참고)","미정")))</f>
        <v>전산 입고계획(참고)</v>
      </c>
      <c r="M389" s="32" t="n">
        <f aca="false">IF($K389="","",$K389-기준정보!$C$5)</f>
        <v>46312</v>
      </c>
      <c r="N389" s="33" t="n">
        <f aca="false">IF($M389="","",$M389-기준정보!$C$4)</f>
        <v>71</v>
      </c>
      <c r="O389" s="31" t="s">
        <v>114</v>
      </c>
      <c r="P389" s="20"/>
      <c r="Q389" s="30" t="str">
        <f aca="false">IF($F389="","",IF(AND(ISNUMBER(SEARCH("CMT",$F389)),OR(ISNUMBER(SEARCH("사입",$F389)),ISNUMBER(SEARCH("Buying",$F389)))),"본사/생산처 혼재",IF(ISNUMBER(SEARCH("CMT",$F389)),"본사(소재팀)","생산처")))</f>
        <v>생산처</v>
      </c>
      <c r="R389" s="29" t="s">
        <v>851</v>
      </c>
      <c r="S389" s="29" t="s">
        <v>355</v>
      </c>
      <c r="T389" s="30" t="str">
        <f aca="false">IF($K389="","출고일 미정",IF($O389="X","작지(일매) 미등록",IF($O389="부분","작지(일매) 일부 미등록",IF(AND($P389&lt;&gt;"",$P389&gt;$M389),"소재입고 마감("&amp;TEXT($M389,"MM/DD")&amp;") 초과",IF($O389="","일매 등록여부 확인 필요",IF($P389="","소재 입고일정 확인 필요","정상"))))))</f>
        <v>작지(일매) 미등록</v>
      </c>
      <c r="U389" s="28" t="str">
        <f aca="false">IF($K389="","",IF(OR(LEFT($T389,2)="작지",LEFT($T389,4)="소재입고"),IF(LEFT($E389,1)="S","★ 납기위험(S코드)","◆ 지연주의"),IF($T389="정상","✓ 정상","? 확인필요")))</f>
        <v>◆ 지연주의</v>
      </c>
      <c r="V389" s="31"/>
      <c r="W389" s="19"/>
    </row>
    <row r="390" customFormat="false" ht="15" hidden="false" customHeight="true" outlineLevel="0" collapsed="false">
      <c r="A390" s="28" t="n">
        <v>386</v>
      </c>
      <c r="B390" s="29" t="s">
        <v>266</v>
      </c>
      <c r="C390" s="30" t="s">
        <v>912</v>
      </c>
      <c r="D390" s="29" t="s">
        <v>913</v>
      </c>
      <c r="E390" s="28" t="str">
        <f aca="false">IF($C390="","",IF(MID($C390,5,1)="S","S(봄)",IF(MID($C390,5,1)="M","M(여름)",IF(MID($C390,5,1)="X","X(사계절)",MID($C390,5,1)))))</f>
        <v>X(사계절)</v>
      </c>
      <c r="F390" s="29" t="s">
        <v>106</v>
      </c>
      <c r="G390" s="31"/>
      <c r="H390" s="28" t="str">
        <f aca="false">IF($C390="","",REPLACE($C390,6,2,"26"))</f>
        <v>QEBXX26511</v>
      </c>
      <c r="I390" s="32" t="str">
        <f aca="false">IFERROR(INDEX(전년출고참조!$B$4:$B$638,MATCH($H390,전년출고참조!$A$4:$A$638,0)),"")</f>
        <v/>
      </c>
      <c r="J390" s="32" t="n">
        <v>46402</v>
      </c>
      <c r="K390" s="32" t="n">
        <f aca="false">IF($G390&lt;&gt;"",IFERROR(DATE(IF(VALUE(LEFT($G390,FIND("월",$G390)-1))&gt;=9,기준정보!$C$6-1,기준정보!$C$6),VALUE(LEFT($G390,FIND("월",$G390)-1)),1+7*(VALUE(SUBSTITUTE(MID($G390,FIND("월",$G390)+1,5),"주",""))-1)),""),IF($I390&lt;&gt;"",IF(ISNUMBER($I390),$I390+364,IFERROR(DATE(IF(VALUE(LEFT($I390,FIND("월",$I390)-1))&gt;=9,기준정보!$C$6-1,기준정보!$C$6),VALUE(LEFT($I390,FIND("월",$I390)-1)),1+7*(VALUE(SUBSTITUTE(MID($I390,FIND("월",$I390)+1,5),"주",""))-1)),"")),IF($J390&lt;&gt;"",$J390,"")))</f>
        <v>46402</v>
      </c>
      <c r="L390" s="28" t="str">
        <f aca="false">IF($G390&lt;&gt;"","계획 주차",IF($I390&lt;&gt;"","전년+1년 예측",IF($J390&lt;&gt;"","전산 입고계획(참고)","미정")))</f>
        <v>전산 입고계획(참고)</v>
      </c>
      <c r="M390" s="32" t="n">
        <f aca="false">IF($K390="","",$K390-기준정보!$C$5)</f>
        <v>46312</v>
      </c>
      <c r="N390" s="33" t="n">
        <f aca="false">IF($M390="","",$M390-기준정보!$C$4)</f>
        <v>71</v>
      </c>
      <c r="O390" s="31" t="s">
        <v>114</v>
      </c>
      <c r="P390" s="20"/>
      <c r="Q390" s="30" t="str">
        <f aca="false">IF($F390="","",IF(AND(ISNUMBER(SEARCH("CMT",$F390)),OR(ISNUMBER(SEARCH("사입",$F390)),ISNUMBER(SEARCH("Buying",$F390)))),"본사/생산처 혼재",IF(ISNUMBER(SEARCH("CMT",$F390)),"본사(소재팀)","생산처")))</f>
        <v>생산처</v>
      </c>
      <c r="R390" s="29" t="s">
        <v>851</v>
      </c>
      <c r="S390" s="29" t="s">
        <v>355</v>
      </c>
      <c r="T390" s="30" t="str">
        <f aca="false">IF($K390="","출고일 미정",IF($O390="X","작지(일매) 미등록",IF($O390="부분","작지(일매) 일부 미등록",IF(AND($P390&lt;&gt;"",$P390&gt;$M390),"소재입고 마감("&amp;TEXT($M390,"MM/DD")&amp;") 초과",IF($O390="","일매 등록여부 확인 필요",IF($P390="","소재 입고일정 확인 필요","정상"))))))</f>
        <v>작지(일매) 미등록</v>
      </c>
      <c r="U390" s="28" t="str">
        <f aca="false">IF($K390="","",IF(OR(LEFT($T390,2)="작지",LEFT($T390,4)="소재입고"),IF(LEFT($E390,1)="S","★ 납기위험(S코드)","◆ 지연주의"),IF($T390="정상","✓ 정상","? 확인필요")))</f>
        <v>◆ 지연주의</v>
      </c>
      <c r="V390" s="31"/>
      <c r="W390" s="19"/>
    </row>
    <row r="391" customFormat="false" ht="15" hidden="false" customHeight="true" outlineLevel="0" collapsed="false">
      <c r="A391" s="28" t="n">
        <v>387</v>
      </c>
      <c r="B391" s="29" t="s">
        <v>802</v>
      </c>
      <c r="C391" s="30" t="s">
        <v>914</v>
      </c>
      <c r="D391" s="29" t="s">
        <v>915</v>
      </c>
      <c r="E391" s="28" t="str">
        <f aca="false">IF($C391="","",IF(MID($C391,5,1)="S","S(봄)",IF(MID($C391,5,1)="M","M(여름)",IF(MID($C391,5,1)="X","X(사계절)",MID($C391,5,1)))))</f>
        <v>X(사계절)</v>
      </c>
      <c r="F391" s="29" t="s">
        <v>106</v>
      </c>
      <c r="G391" s="31"/>
      <c r="H391" s="28" t="str">
        <f aca="false">IF($C391="","",REPLACE($C391,6,2,"26"))</f>
        <v>QEBXX26691</v>
      </c>
      <c r="I391" s="32" t="str">
        <f aca="false">IFERROR(INDEX(전년출고참조!$B$4:$B$638,MATCH($H391,전년출고참조!$A$4:$A$638,0)),"")</f>
        <v/>
      </c>
      <c r="J391" s="32" t="n">
        <v>46402</v>
      </c>
      <c r="K391" s="32" t="n">
        <f aca="false">IF($G391&lt;&gt;"",IFERROR(DATE(IF(VALUE(LEFT($G391,FIND("월",$G391)-1))&gt;=9,기준정보!$C$6-1,기준정보!$C$6),VALUE(LEFT($G391,FIND("월",$G391)-1)),1+7*(VALUE(SUBSTITUTE(MID($G391,FIND("월",$G391)+1,5),"주",""))-1)),""),IF($I391&lt;&gt;"",IF(ISNUMBER($I391),$I391+364,IFERROR(DATE(IF(VALUE(LEFT($I391,FIND("월",$I391)-1))&gt;=9,기준정보!$C$6-1,기준정보!$C$6),VALUE(LEFT($I391,FIND("월",$I391)-1)),1+7*(VALUE(SUBSTITUTE(MID($I391,FIND("월",$I391)+1,5),"주",""))-1)),"")),IF($J391&lt;&gt;"",$J391,"")))</f>
        <v>46402</v>
      </c>
      <c r="L391" s="28" t="str">
        <f aca="false">IF($G391&lt;&gt;"","계획 주차",IF($I391&lt;&gt;"","전년+1년 예측",IF($J391&lt;&gt;"","전산 입고계획(참고)","미정")))</f>
        <v>전산 입고계획(참고)</v>
      </c>
      <c r="M391" s="32" t="n">
        <f aca="false">IF($K391="","",$K391-기준정보!$C$5)</f>
        <v>46312</v>
      </c>
      <c r="N391" s="33" t="n">
        <f aca="false">IF($M391="","",$M391-기준정보!$C$4)</f>
        <v>71</v>
      </c>
      <c r="O391" s="31" t="s">
        <v>114</v>
      </c>
      <c r="P391" s="20"/>
      <c r="Q391" s="30" t="str">
        <f aca="false">IF($F391="","",IF(AND(ISNUMBER(SEARCH("CMT",$F391)),OR(ISNUMBER(SEARCH("사입",$F391)),ISNUMBER(SEARCH("Buying",$F391)))),"본사/생산처 혼재",IF(ISNUMBER(SEARCH("CMT",$F391)),"본사(소재팀)","생산처")))</f>
        <v>생산처</v>
      </c>
      <c r="R391" s="29" t="s">
        <v>893</v>
      </c>
      <c r="S391" s="29" t="s">
        <v>355</v>
      </c>
      <c r="T391" s="30" t="str">
        <f aca="false">IF($K391="","출고일 미정",IF($O391="X","작지(일매) 미등록",IF($O391="부분","작지(일매) 일부 미등록",IF(AND($P391&lt;&gt;"",$P391&gt;$M391),"소재입고 마감("&amp;TEXT($M391,"MM/DD")&amp;") 초과",IF($O391="","일매 등록여부 확인 필요",IF($P391="","소재 입고일정 확인 필요","정상"))))))</f>
        <v>작지(일매) 미등록</v>
      </c>
      <c r="U391" s="28" t="str">
        <f aca="false">IF($K391="","",IF(OR(LEFT($T391,2)="작지",LEFT($T391,4)="소재입고"),IF(LEFT($E391,1)="S","★ 납기위험(S코드)","◆ 지연주의"),IF($T391="정상","✓ 정상","? 확인필요")))</f>
        <v>◆ 지연주의</v>
      </c>
      <c r="V391" s="31"/>
      <c r="W391" s="19"/>
    </row>
    <row r="392" customFormat="false" ht="15" hidden="false" customHeight="true" outlineLevel="0" collapsed="false">
      <c r="A392" s="28" t="n">
        <v>388</v>
      </c>
      <c r="B392" s="29" t="s">
        <v>266</v>
      </c>
      <c r="C392" s="30" t="s">
        <v>916</v>
      </c>
      <c r="D392" s="30" t="s">
        <v>917</v>
      </c>
      <c r="E392" s="28" t="str">
        <f aca="false">IF($C392="","",IF(MID($C392,5,1)="S","S(봄)",IF(MID($C392,5,1)="M","M(여름)",IF(MID($C392,5,1)="X","X(사계절)",MID($C392,5,1)))))</f>
        <v>X(사계절)</v>
      </c>
      <c r="F392" s="29" t="s">
        <v>106</v>
      </c>
      <c r="G392" s="31"/>
      <c r="H392" s="28" t="str">
        <f aca="false">IF($C392="","",REPLACE($C392,6,2,"26"))</f>
        <v>QEBXX26701</v>
      </c>
      <c r="I392" s="32" t="str">
        <f aca="false">IFERROR(INDEX(전년출고참조!$B$4:$B$638,MATCH($H392,전년출고참조!$A$4:$A$638,0)),"")</f>
        <v/>
      </c>
      <c r="J392" s="32" t="n">
        <v>46402</v>
      </c>
      <c r="K392" s="32" t="n">
        <f aca="false">IF($G392&lt;&gt;"",IFERROR(DATE(IF(VALUE(LEFT($G392,FIND("월",$G392)-1))&gt;=9,기준정보!$C$6-1,기준정보!$C$6),VALUE(LEFT($G392,FIND("월",$G392)-1)),1+7*(VALUE(SUBSTITUTE(MID($G392,FIND("월",$G392)+1,5),"주",""))-1)),""),IF($I392&lt;&gt;"",IF(ISNUMBER($I392),$I392+364,IFERROR(DATE(IF(VALUE(LEFT($I392,FIND("월",$I392)-1))&gt;=9,기준정보!$C$6-1,기준정보!$C$6),VALUE(LEFT($I392,FIND("월",$I392)-1)),1+7*(VALUE(SUBSTITUTE(MID($I392,FIND("월",$I392)+1,5),"주",""))-1)),"")),IF($J392&lt;&gt;"",$J392,"")))</f>
        <v>46402</v>
      </c>
      <c r="L392" s="28" t="str">
        <f aca="false">IF($G392&lt;&gt;"","계획 주차",IF($I392&lt;&gt;"","전년+1년 예측",IF($J392&lt;&gt;"","전산 입고계획(참고)","미정")))</f>
        <v>전산 입고계획(참고)</v>
      </c>
      <c r="M392" s="32" t="n">
        <f aca="false">IF($K392="","",$K392-기준정보!$C$5)</f>
        <v>46312</v>
      </c>
      <c r="N392" s="33" t="n">
        <f aca="false">IF($M392="","",$M392-기준정보!$C$4)</f>
        <v>71</v>
      </c>
      <c r="O392" s="31" t="s">
        <v>108</v>
      </c>
      <c r="P392" s="20"/>
      <c r="Q392" s="30" t="str">
        <f aca="false">IF($F392="","",IF(AND(ISNUMBER(SEARCH("CMT",$F392)),OR(ISNUMBER(SEARCH("사입",$F392)),ISNUMBER(SEARCH("Buying",$F392)))),"본사/생산처 혼재",IF(ISNUMBER(SEARCH("CMT",$F392)),"본사(소재팀)","생산처")))</f>
        <v>생산처</v>
      </c>
      <c r="R392" s="29" t="s">
        <v>875</v>
      </c>
      <c r="S392" s="29" t="s">
        <v>110</v>
      </c>
      <c r="T392" s="30" t="str">
        <f aca="false">IF($K392="","출고일 미정",IF($O392="X","작지(일매) 미등록",IF($O392="부분","작지(일매) 일부 미등록",IF(AND($P392&lt;&gt;"",$P392&gt;$M392),"소재입고 마감("&amp;TEXT($M392,"MM/DD")&amp;") 초과",IF($O392="","일매 등록여부 확인 필요",IF($P392="","소재 입고일정 확인 필요","정상"))))))</f>
        <v>소재 입고일정 확인 필요</v>
      </c>
      <c r="U392" s="28" t="str">
        <f aca="false">IF($K392="","",IF(OR(LEFT($T392,2)="작지",LEFT($T392,4)="소재입고"),IF(LEFT($E392,1)="S","★ 납기위험(S코드)","◆ 지연주의"),IF($T392="정상","✓ 정상","? 확인필요")))</f>
        <v>? 확인필요</v>
      </c>
      <c r="V392" s="31"/>
      <c r="W392" s="19"/>
    </row>
    <row r="393" customFormat="false" ht="15" hidden="false" customHeight="true" outlineLevel="0" collapsed="false">
      <c r="A393" s="28" t="n">
        <v>389</v>
      </c>
      <c r="B393" s="29" t="s">
        <v>266</v>
      </c>
      <c r="C393" s="30" t="s">
        <v>918</v>
      </c>
      <c r="D393" s="30" t="s">
        <v>919</v>
      </c>
      <c r="E393" s="28" t="str">
        <f aca="false">IF($C393="","",IF(MID($C393,5,1)="S","S(봄)",IF(MID($C393,5,1)="M","M(여름)",IF(MID($C393,5,1)="X","X(사계절)",MID($C393,5,1)))))</f>
        <v>X(사계절)</v>
      </c>
      <c r="F393" s="29" t="s">
        <v>106</v>
      </c>
      <c r="G393" s="31"/>
      <c r="H393" s="28" t="str">
        <f aca="false">IF($C393="","",REPLACE($C393,6,2,"26"))</f>
        <v>QEBXX26711</v>
      </c>
      <c r="I393" s="32" t="str">
        <f aca="false">IFERROR(INDEX(전년출고참조!$B$4:$B$638,MATCH($H393,전년출고참조!$A$4:$A$638,0)),"")</f>
        <v/>
      </c>
      <c r="J393" s="32" t="n">
        <v>46402</v>
      </c>
      <c r="K393" s="32" t="n">
        <f aca="false">IF($G393&lt;&gt;"",IFERROR(DATE(IF(VALUE(LEFT($G393,FIND("월",$G393)-1))&gt;=9,기준정보!$C$6-1,기준정보!$C$6),VALUE(LEFT($G393,FIND("월",$G393)-1)),1+7*(VALUE(SUBSTITUTE(MID($G393,FIND("월",$G393)+1,5),"주",""))-1)),""),IF($I393&lt;&gt;"",IF(ISNUMBER($I393),$I393+364,IFERROR(DATE(IF(VALUE(LEFT($I393,FIND("월",$I393)-1))&gt;=9,기준정보!$C$6-1,기준정보!$C$6),VALUE(LEFT($I393,FIND("월",$I393)-1)),1+7*(VALUE(SUBSTITUTE(MID($I393,FIND("월",$I393)+1,5),"주",""))-1)),"")),IF($J393&lt;&gt;"",$J393,"")))</f>
        <v>46402</v>
      </c>
      <c r="L393" s="28" t="str">
        <f aca="false">IF($G393&lt;&gt;"","계획 주차",IF($I393&lt;&gt;"","전년+1년 예측",IF($J393&lt;&gt;"","전산 입고계획(참고)","미정")))</f>
        <v>전산 입고계획(참고)</v>
      </c>
      <c r="M393" s="32" t="n">
        <f aca="false">IF($K393="","",$K393-기준정보!$C$5)</f>
        <v>46312</v>
      </c>
      <c r="N393" s="33" t="n">
        <f aca="false">IF($M393="","",$M393-기준정보!$C$4)</f>
        <v>71</v>
      </c>
      <c r="O393" s="31" t="s">
        <v>108</v>
      </c>
      <c r="P393" s="20"/>
      <c r="Q393" s="30" t="str">
        <f aca="false">IF($F393="","",IF(AND(ISNUMBER(SEARCH("CMT",$F393)),OR(ISNUMBER(SEARCH("사입",$F393)),ISNUMBER(SEARCH("Buying",$F393)))),"본사/생산처 혼재",IF(ISNUMBER(SEARCH("CMT",$F393)),"본사(소재팀)","생산처")))</f>
        <v>생산처</v>
      </c>
      <c r="R393" s="29" t="s">
        <v>875</v>
      </c>
      <c r="S393" s="29" t="s">
        <v>110</v>
      </c>
      <c r="T393" s="30" t="str">
        <f aca="false">IF($K393="","출고일 미정",IF($O393="X","작지(일매) 미등록",IF($O393="부분","작지(일매) 일부 미등록",IF(AND($P393&lt;&gt;"",$P393&gt;$M393),"소재입고 마감("&amp;TEXT($M393,"MM/DD")&amp;") 초과",IF($O393="","일매 등록여부 확인 필요",IF($P393="","소재 입고일정 확인 필요","정상"))))))</f>
        <v>소재 입고일정 확인 필요</v>
      </c>
      <c r="U393" s="28" t="str">
        <f aca="false">IF($K393="","",IF(OR(LEFT($T393,2)="작지",LEFT($T393,4)="소재입고"),IF(LEFT($E393,1)="S","★ 납기위험(S코드)","◆ 지연주의"),IF($T393="정상","✓ 정상","? 확인필요")))</f>
        <v>? 확인필요</v>
      </c>
      <c r="V393" s="31"/>
      <c r="W393" s="19"/>
    </row>
    <row r="394" customFormat="false" ht="15" hidden="false" customHeight="true" outlineLevel="0" collapsed="false">
      <c r="A394" s="28" t="n">
        <v>390</v>
      </c>
      <c r="B394" s="29" t="s">
        <v>227</v>
      </c>
      <c r="C394" s="30" t="s">
        <v>920</v>
      </c>
      <c r="D394" s="29" t="s">
        <v>921</v>
      </c>
      <c r="E394" s="28" t="str">
        <f aca="false">IF($C394="","",IF(MID($C394,5,1)="S","S(봄)",IF(MID($C394,5,1)="M","M(여름)",IF(MID($C394,5,1)="X","X(사계절)",MID($C394,5,1)))))</f>
        <v>X(사계절)</v>
      </c>
      <c r="F394" s="29" t="s">
        <v>106</v>
      </c>
      <c r="G394" s="31"/>
      <c r="H394" s="28" t="str">
        <f aca="false">IF($C394="","",REPLACE($C394,6,2,"26"))</f>
        <v>QEHFX26101</v>
      </c>
      <c r="I394" s="32" t="str">
        <f aca="false">IFERROR(INDEX(전년출고참조!$B$4:$B$638,MATCH($H394,전년출고참조!$A$4:$A$638,0)),"")</f>
        <v/>
      </c>
      <c r="J394" s="32" t="n">
        <v>46402</v>
      </c>
      <c r="K394" s="32" t="n">
        <f aca="false">IF($G394&lt;&gt;"",IFERROR(DATE(IF(VALUE(LEFT($G394,FIND("월",$G394)-1))&gt;=9,기준정보!$C$6-1,기준정보!$C$6),VALUE(LEFT($G394,FIND("월",$G394)-1)),1+7*(VALUE(SUBSTITUTE(MID($G394,FIND("월",$G394)+1,5),"주",""))-1)),""),IF($I394&lt;&gt;"",IF(ISNUMBER($I394),$I394+364,IFERROR(DATE(IF(VALUE(LEFT($I394,FIND("월",$I394)-1))&gt;=9,기준정보!$C$6-1,기준정보!$C$6),VALUE(LEFT($I394,FIND("월",$I394)-1)),1+7*(VALUE(SUBSTITUTE(MID($I394,FIND("월",$I394)+1,5),"주",""))-1)),"")),IF($J394&lt;&gt;"",$J394,"")))</f>
        <v>46402</v>
      </c>
      <c r="L394" s="28" t="str">
        <f aca="false">IF($G394&lt;&gt;"","계획 주차",IF($I394&lt;&gt;"","전년+1년 예측",IF($J394&lt;&gt;"","전산 입고계획(참고)","미정")))</f>
        <v>전산 입고계획(참고)</v>
      </c>
      <c r="M394" s="32" t="n">
        <f aca="false">IF($K394="","",$K394-기준정보!$C$5)</f>
        <v>46312</v>
      </c>
      <c r="N394" s="33" t="n">
        <f aca="false">IF($M394="","",$M394-기준정보!$C$4)</f>
        <v>71</v>
      </c>
      <c r="O394" s="31" t="s">
        <v>108</v>
      </c>
      <c r="P394" s="20"/>
      <c r="Q394" s="30" t="str">
        <f aca="false">IF($F394="","",IF(AND(ISNUMBER(SEARCH("CMT",$F394)),OR(ISNUMBER(SEARCH("사입",$F394)),ISNUMBER(SEARCH("Buying",$F394)))),"본사/생산처 혼재",IF(ISNUMBER(SEARCH("CMT",$F394)),"본사(소재팀)","생산처")))</f>
        <v>생산처</v>
      </c>
      <c r="R394" s="29" t="s">
        <v>331</v>
      </c>
      <c r="S394" s="29" t="s">
        <v>922</v>
      </c>
      <c r="T394" s="30" t="str">
        <f aca="false">IF($K394="","출고일 미정",IF($O394="X","작지(일매) 미등록",IF($O394="부분","작지(일매) 일부 미등록",IF(AND($P394&lt;&gt;"",$P394&gt;$M394),"소재입고 마감("&amp;TEXT($M394,"MM/DD")&amp;") 초과",IF($O394="","일매 등록여부 확인 필요",IF($P394="","소재 입고일정 확인 필요","정상"))))))</f>
        <v>소재 입고일정 확인 필요</v>
      </c>
      <c r="U394" s="28" t="str">
        <f aca="false">IF($K394="","",IF(OR(LEFT($T394,2)="작지",LEFT($T394,4)="소재입고"),IF(LEFT($E394,1)="S","★ 납기위험(S코드)","◆ 지연주의"),IF($T394="정상","✓ 정상","? 확인필요")))</f>
        <v>? 확인필요</v>
      </c>
      <c r="V394" s="31"/>
      <c r="W394" s="19"/>
    </row>
    <row r="395" customFormat="false" ht="15" hidden="false" customHeight="true" outlineLevel="0" collapsed="false">
      <c r="A395" s="28" t="n">
        <v>391</v>
      </c>
      <c r="B395" s="29" t="s">
        <v>227</v>
      </c>
      <c r="C395" s="30" t="s">
        <v>923</v>
      </c>
      <c r="D395" s="29" t="s">
        <v>924</v>
      </c>
      <c r="E395" s="28" t="str">
        <f aca="false">IF($C395="","",IF(MID($C395,5,1)="S","S(봄)",IF(MID($C395,5,1)="M","M(여름)",IF(MID($C395,5,1)="X","X(사계절)",MID($C395,5,1)))))</f>
        <v>X(사계절)</v>
      </c>
      <c r="F395" s="30" t="s">
        <v>141</v>
      </c>
      <c r="G395" s="31"/>
      <c r="H395" s="28" t="str">
        <f aca="false">IF($C395="","",REPLACE($C395,6,2,"26"))</f>
        <v>QEHFX26901</v>
      </c>
      <c r="I395" s="32" t="str">
        <f aca="false">IFERROR(INDEX(전년출고참조!$B$4:$B$638,MATCH($H395,전년출고참조!$A$4:$A$638,0)),"")</f>
        <v/>
      </c>
      <c r="J395" s="32" t="n">
        <v>46402</v>
      </c>
      <c r="K395" s="32" t="n">
        <f aca="false">IF($G395&lt;&gt;"",IFERROR(DATE(IF(VALUE(LEFT($G395,FIND("월",$G395)-1))&gt;=9,기준정보!$C$6-1,기준정보!$C$6),VALUE(LEFT($G395,FIND("월",$G395)-1)),1+7*(VALUE(SUBSTITUTE(MID($G395,FIND("월",$G395)+1,5),"주",""))-1)),""),IF($I395&lt;&gt;"",IF(ISNUMBER($I395),$I395+364,IFERROR(DATE(IF(VALUE(LEFT($I395,FIND("월",$I395)-1))&gt;=9,기준정보!$C$6-1,기준정보!$C$6),VALUE(LEFT($I395,FIND("월",$I395)-1)),1+7*(VALUE(SUBSTITUTE(MID($I395,FIND("월",$I395)+1,5),"주",""))-1)),"")),IF($J395&lt;&gt;"",$J395,"")))</f>
        <v>46402</v>
      </c>
      <c r="L395" s="28" t="str">
        <f aca="false">IF($G395&lt;&gt;"","계획 주차",IF($I395&lt;&gt;"","전년+1년 예측",IF($J395&lt;&gt;"","전산 입고계획(참고)","미정")))</f>
        <v>전산 입고계획(참고)</v>
      </c>
      <c r="M395" s="32" t="n">
        <f aca="false">IF($K395="","",$K395-기준정보!$C$5)</f>
        <v>46312</v>
      </c>
      <c r="N395" s="33" t="n">
        <f aca="false">IF($M395="","",$M395-기준정보!$C$4)</f>
        <v>71</v>
      </c>
      <c r="O395" s="31" t="s">
        <v>114</v>
      </c>
      <c r="P395" s="20"/>
      <c r="Q395" s="30" t="str">
        <f aca="false">IF($F395="","",IF(AND(ISNUMBER(SEARCH("CMT",$F395)),OR(ISNUMBER(SEARCH("사입",$F395)),ISNUMBER(SEARCH("Buying",$F395)))),"본사/생산처 혼재",IF(ISNUMBER(SEARCH("CMT",$F395)),"본사(소재팀)","생산처")))</f>
        <v>본사(소재팀)</v>
      </c>
      <c r="R395" s="29" t="s">
        <v>331</v>
      </c>
      <c r="S395" s="29" t="s">
        <v>922</v>
      </c>
      <c r="T395" s="30" t="str">
        <f aca="false">IF($K395="","출고일 미정",IF($O395="X","작지(일매) 미등록",IF($O395="부분","작지(일매) 일부 미등록",IF(AND($P395&lt;&gt;"",$P395&gt;$M395),"소재입고 마감("&amp;TEXT($M395,"MM/DD")&amp;") 초과",IF($O395="","일매 등록여부 확인 필요",IF($P395="","소재 입고일정 확인 필요","정상"))))))</f>
        <v>작지(일매) 미등록</v>
      </c>
      <c r="U395" s="28" t="str">
        <f aca="false">IF($K395="","",IF(OR(LEFT($T395,2)="작지",LEFT($T395,4)="소재입고"),IF(LEFT($E395,1)="S","★ 납기위험(S코드)","◆ 지연주의"),IF($T395="정상","✓ 정상","? 확인필요")))</f>
        <v>◆ 지연주의</v>
      </c>
      <c r="V395" s="31"/>
      <c r="W395" s="19"/>
    </row>
    <row r="396" customFormat="false" ht="15" hidden="false" customHeight="true" outlineLevel="0" collapsed="false">
      <c r="A396" s="28" t="n">
        <v>392</v>
      </c>
      <c r="B396" s="29" t="s">
        <v>266</v>
      </c>
      <c r="C396" s="30" t="s">
        <v>925</v>
      </c>
      <c r="D396" s="30" t="s">
        <v>926</v>
      </c>
      <c r="E396" s="28" t="str">
        <f aca="false">IF($C396="","",IF(MID($C396,5,1)="S","S(봄)",IF(MID($C396,5,1)="M","M(여름)",IF(MID($C396,5,1)="X","X(사계절)",MID($C396,5,1)))))</f>
        <v>X(사계절)</v>
      </c>
      <c r="F396" s="29" t="s">
        <v>106</v>
      </c>
      <c r="G396" s="31"/>
      <c r="H396" s="28" t="str">
        <f aca="false">IF($C396="","",REPLACE($C396,6,2,"26"))</f>
        <v>QELAX26701</v>
      </c>
      <c r="I396" s="32" t="str">
        <f aca="false">IFERROR(INDEX(전년출고참조!$B$4:$B$638,MATCH($H396,전년출고참조!$A$4:$A$638,0)),"")</f>
        <v/>
      </c>
      <c r="J396" s="32" t="n">
        <v>46402</v>
      </c>
      <c r="K396" s="32" t="n">
        <f aca="false">IF($G396&lt;&gt;"",IFERROR(DATE(IF(VALUE(LEFT($G396,FIND("월",$G396)-1))&gt;=9,기준정보!$C$6-1,기준정보!$C$6),VALUE(LEFT($G396,FIND("월",$G396)-1)),1+7*(VALUE(SUBSTITUTE(MID($G396,FIND("월",$G396)+1,5),"주",""))-1)),""),IF($I396&lt;&gt;"",IF(ISNUMBER($I396),$I396+364,IFERROR(DATE(IF(VALUE(LEFT($I396,FIND("월",$I396)-1))&gt;=9,기준정보!$C$6-1,기준정보!$C$6),VALUE(LEFT($I396,FIND("월",$I396)-1)),1+7*(VALUE(SUBSTITUTE(MID($I396,FIND("월",$I396)+1,5),"주",""))-1)),"")),IF($J396&lt;&gt;"",$J396,"")))</f>
        <v>46402</v>
      </c>
      <c r="L396" s="28" t="str">
        <f aca="false">IF($G396&lt;&gt;"","계획 주차",IF($I396&lt;&gt;"","전년+1년 예측",IF($J396&lt;&gt;"","전산 입고계획(참고)","미정")))</f>
        <v>전산 입고계획(참고)</v>
      </c>
      <c r="M396" s="32" t="n">
        <f aca="false">IF($K396="","",$K396-기준정보!$C$5)</f>
        <v>46312</v>
      </c>
      <c r="N396" s="33" t="n">
        <f aca="false">IF($M396="","",$M396-기준정보!$C$4)</f>
        <v>71</v>
      </c>
      <c r="O396" s="31" t="s">
        <v>114</v>
      </c>
      <c r="P396" s="20"/>
      <c r="Q396" s="30" t="str">
        <f aca="false">IF($F396="","",IF(AND(ISNUMBER(SEARCH("CMT",$F396)),OR(ISNUMBER(SEARCH("사입",$F396)),ISNUMBER(SEARCH("Buying",$F396)))),"본사/생산처 혼재",IF(ISNUMBER(SEARCH("CMT",$F396)),"본사(소재팀)","생산처")))</f>
        <v>생산처</v>
      </c>
      <c r="R396" s="29" t="s">
        <v>927</v>
      </c>
      <c r="S396" s="29" t="s">
        <v>195</v>
      </c>
      <c r="T396" s="30" t="str">
        <f aca="false">IF($K396="","출고일 미정",IF($O396="X","작지(일매) 미등록",IF($O396="부분","작지(일매) 일부 미등록",IF(AND($P396&lt;&gt;"",$P396&gt;$M396),"소재입고 마감("&amp;TEXT($M396,"MM/DD")&amp;") 초과",IF($O396="","일매 등록여부 확인 필요",IF($P396="","소재 입고일정 확인 필요","정상"))))))</f>
        <v>작지(일매) 미등록</v>
      </c>
      <c r="U396" s="28" t="str">
        <f aca="false">IF($K396="","",IF(OR(LEFT($T396,2)="작지",LEFT($T396,4)="소재입고"),IF(LEFT($E396,1)="S","★ 납기위험(S코드)","◆ 지연주의"),IF($T396="정상","✓ 정상","? 확인필요")))</f>
        <v>◆ 지연주의</v>
      </c>
      <c r="V396" s="31"/>
      <c r="W396" s="19"/>
    </row>
    <row r="397" customFormat="false" ht="15" hidden="false" customHeight="true" outlineLevel="0" collapsed="false">
      <c r="A397" s="28" t="n">
        <v>393</v>
      </c>
      <c r="B397" s="29" t="s">
        <v>266</v>
      </c>
      <c r="C397" s="30" t="s">
        <v>928</v>
      </c>
      <c r="D397" s="30" t="s">
        <v>929</v>
      </c>
      <c r="E397" s="28" t="str">
        <f aca="false">IF($C397="","",IF(MID($C397,5,1)="S","S(봄)",IF(MID($C397,5,1)="M","M(여름)",IF(MID($C397,5,1)="X","X(사계절)",MID($C397,5,1)))))</f>
        <v>X(사계절)</v>
      </c>
      <c r="F397" s="29" t="s">
        <v>106</v>
      </c>
      <c r="G397" s="31"/>
      <c r="H397" s="28" t="str">
        <f aca="false">IF($C397="","",REPLACE($C397,6,2,"26"))</f>
        <v>QEREX26711</v>
      </c>
      <c r="I397" s="32" t="str">
        <f aca="false">IFERROR(INDEX(전년출고참조!$B$4:$B$638,MATCH($H397,전년출고참조!$A$4:$A$638,0)),"")</f>
        <v/>
      </c>
      <c r="J397" s="32" t="n">
        <v>46402</v>
      </c>
      <c r="K397" s="32" t="n">
        <f aca="false">IF($G397&lt;&gt;"",IFERROR(DATE(IF(VALUE(LEFT($G397,FIND("월",$G397)-1))&gt;=9,기준정보!$C$6-1,기준정보!$C$6),VALUE(LEFT($G397,FIND("월",$G397)-1)),1+7*(VALUE(SUBSTITUTE(MID($G397,FIND("월",$G397)+1,5),"주",""))-1)),""),IF($I397&lt;&gt;"",IF(ISNUMBER($I397),$I397+364,IFERROR(DATE(IF(VALUE(LEFT($I397,FIND("월",$I397)-1))&gt;=9,기준정보!$C$6-1,기준정보!$C$6),VALUE(LEFT($I397,FIND("월",$I397)-1)),1+7*(VALUE(SUBSTITUTE(MID($I397,FIND("월",$I397)+1,5),"주",""))-1)),"")),IF($J397&lt;&gt;"",$J397,"")))</f>
        <v>46402</v>
      </c>
      <c r="L397" s="28" t="str">
        <f aca="false">IF($G397&lt;&gt;"","계획 주차",IF($I397&lt;&gt;"","전년+1년 예측",IF($J397&lt;&gt;"","전산 입고계획(참고)","미정")))</f>
        <v>전산 입고계획(참고)</v>
      </c>
      <c r="M397" s="32" t="n">
        <f aca="false">IF($K397="","",$K397-기준정보!$C$5)</f>
        <v>46312</v>
      </c>
      <c r="N397" s="33" t="n">
        <f aca="false">IF($M397="","",$M397-기준정보!$C$4)</f>
        <v>71</v>
      </c>
      <c r="O397" s="31" t="s">
        <v>108</v>
      </c>
      <c r="P397" s="20"/>
      <c r="Q397" s="30" t="str">
        <f aca="false">IF($F397="","",IF(AND(ISNUMBER(SEARCH("CMT",$F397)),OR(ISNUMBER(SEARCH("사입",$F397)),ISNUMBER(SEARCH("Buying",$F397)))),"본사/생산처 혼재",IF(ISNUMBER(SEARCH("CMT",$F397)),"본사(소재팀)","생산처")))</f>
        <v>생산처</v>
      </c>
      <c r="R397" s="29" t="s">
        <v>337</v>
      </c>
      <c r="S397" s="29" t="s">
        <v>110</v>
      </c>
      <c r="T397" s="30" t="str">
        <f aca="false">IF($K397="","출고일 미정",IF($O397="X","작지(일매) 미등록",IF($O397="부분","작지(일매) 일부 미등록",IF(AND($P397&lt;&gt;"",$P397&gt;$M397),"소재입고 마감("&amp;TEXT($M397,"MM/DD")&amp;") 초과",IF($O397="","일매 등록여부 확인 필요",IF($P397="","소재 입고일정 확인 필요","정상"))))))</f>
        <v>소재 입고일정 확인 필요</v>
      </c>
      <c r="U397" s="28" t="str">
        <f aca="false">IF($K397="","",IF(OR(LEFT($T397,2)="작지",LEFT($T397,4)="소재입고"),IF(LEFT($E397,1)="S","★ 납기위험(S코드)","◆ 지연주의"),IF($T397="정상","✓ 정상","? 확인필요")))</f>
        <v>? 확인필요</v>
      </c>
      <c r="V397" s="31"/>
      <c r="W397" s="19"/>
    </row>
    <row r="398" customFormat="false" ht="15" hidden="false" customHeight="true" outlineLevel="0" collapsed="false">
      <c r="A398" s="28" t="n">
        <v>394</v>
      </c>
      <c r="B398" s="29" t="s">
        <v>266</v>
      </c>
      <c r="C398" s="30" t="s">
        <v>930</v>
      </c>
      <c r="D398" s="30" t="s">
        <v>931</v>
      </c>
      <c r="E398" s="28" t="str">
        <f aca="false">IF($C398="","",IF(MID($C398,5,1)="S","S(봄)",IF(MID($C398,5,1)="M","M(여름)",IF(MID($C398,5,1)="X","X(사계절)",MID($C398,5,1)))))</f>
        <v>X(사계절)</v>
      </c>
      <c r="F398" s="29" t="s">
        <v>106</v>
      </c>
      <c r="G398" s="31"/>
      <c r="H398" s="28" t="str">
        <f aca="false">IF($C398="","",REPLACE($C398,6,2,"26"))</f>
        <v>QEREX26721</v>
      </c>
      <c r="I398" s="32" t="str">
        <f aca="false">IFERROR(INDEX(전년출고참조!$B$4:$B$638,MATCH($H398,전년출고참조!$A$4:$A$638,0)),"")</f>
        <v/>
      </c>
      <c r="J398" s="32" t="n">
        <v>46402</v>
      </c>
      <c r="K398" s="32" t="n">
        <f aca="false">IF($G398&lt;&gt;"",IFERROR(DATE(IF(VALUE(LEFT($G398,FIND("월",$G398)-1))&gt;=9,기준정보!$C$6-1,기준정보!$C$6),VALUE(LEFT($G398,FIND("월",$G398)-1)),1+7*(VALUE(SUBSTITUTE(MID($G398,FIND("월",$G398)+1,5),"주",""))-1)),""),IF($I398&lt;&gt;"",IF(ISNUMBER($I398),$I398+364,IFERROR(DATE(IF(VALUE(LEFT($I398,FIND("월",$I398)-1))&gt;=9,기준정보!$C$6-1,기준정보!$C$6),VALUE(LEFT($I398,FIND("월",$I398)-1)),1+7*(VALUE(SUBSTITUTE(MID($I398,FIND("월",$I398)+1,5),"주",""))-1)),"")),IF($J398&lt;&gt;"",$J398,"")))</f>
        <v>46402</v>
      </c>
      <c r="L398" s="28" t="str">
        <f aca="false">IF($G398&lt;&gt;"","계획 주차",IF($I398&lt;&gt;"","전년+1년 예측",IF($J398&lt;&gt;"","전산 입고계획(참고)","미정")))</f>
        <v>전산 입고계획(참고)</v>
      </c>
      <c r="M398" s="32" t="n">
        <f aca="false">IF($K398="","",$K398-기준정보!$C$5)</f>
        <v>46312</v>
      </c>
      <c r="N398" s="33" t="n">
        <f aca="false">IF($M398="","",$M398-기준정보!$C$4)</f>
        <v>71</v>
      </c>
      <c r="O398" s="31" t="s">
        <v>108</v>
      </c>
      <c r="P398" s="20"/>
      <c r="Q398" s="30" t="str">
        <f aca="false">IF($F398="","",IF(AND(ISNUMBER(SEARCH("CMT",$F398)),OR(ISNUMBER(SEARCH("사입",$F398)),ISNUMBER(SEARCH("Buying",$F398)))),"본사/생산처 혼재",IF(ISNUMBER(SEARCH("CMT",$F398)),"본사(소재팀)","생산처")))</f>
        <v>생산처</v>
      </c>
      <c r="R398" s="29" t="s">
        <v>337</v>
      </c>
      <c r="S398" s="29" t="s">
        <v>110</v>
      </c>
      <c r="T398" s="30" t="str">
        <f aca="false">IF($K398="","출고일 미정",IF($O398="X","작지(일매) 미등록",IF($O398="부분","작지(일매) 일부 미등록",IF(AND($P398&lt;&gt;"",$P398&gt;$M398),"소재입고 마감("&amp;TEXT($M398,"MM/DD")&amp;") 초과",IF($O398="","일매 등록여부 확인 필요",IF($P398="","소재 입고일정 확인 필요","정상"))))))</f>
        <v>소재 입고일정 확인 필요</v>
      </c>
      <c r="U398" s="28" t="str">
        <f aca="false">IF($K398="","",IF(OR(LEFT($T398,2)="작지",LEFT($T398,4)="소재입고"),IF(LEFT($E398,1)="S","★ 납기위험(S코드)","◆ 지연주의"),IF($T398="정상","✓ 정상","? 확인필요")))</f>
        <v>? 확인필요</v>
      </c>
      <c r="V398" s="31"/>
      <c r="W398" s="19"/>
    </row>
    <row r="399" customFormat="false" ht="15" hidden="false" customHeight="true" outlineLevel="0" collapsed="false">
      <c r="A399" s="28" t="n">
        <v>395</v>
      </c>
      <c r="B399" s="29" t="s">
        <v>802</v>
      </c>
      <c r="C399" s="30" t="s">
        <v>932</v>
      </c>
      <c r="D399" s="29" t="s">
        <v>933</v>
      </c>
      <c r="E399" s="28" t="str">
        <f aca="false">IF($C399="","",IF(MID($C399,5,1)="S","S(봄)",IF(MID($C399,5,1)="M","M(여름)",IF(MID($C399,5,1)="X","X(사계절)",MID($C399,5,1)))))</f>
        <v>X(사계절)</v>
      </c>
      <c r="F399" s="29" t="s">
        <v>106</v>
      </c>
      <c r="G399" s="31"/>
      <c r="H399" s="28" t="str">
        <f aca="false">IF($C399="","",REPLACE($C399,6,2,"26"))</f>
        <v>QELAX26111</v>
      </c>
      <c r="I399" s="32" t="str">
        <f aca="false">IFERROR(INDEX(전년출고참조!$B$4:$B$638,MATCH($H399,전년출고참조!$A$4:$A$638,0)),"")</f>
        <v/>
      </c>
      <c r="J399" s="32" t="n">
        <v>46405</v>
      </c>
      <c r="K399" s="32" t="n">
        <f aca="false">IF($G399&lt;&gt;"",IFERROR(DATE(IF(VALUE(LEFT($G399,FIND("월",$G399)-1))&gt;=9,기준정보!$C$6-1,기준정보!$C$6),VALUE(LEFT($G399,FIND("월",$G399)-1)),1+7*(VALUE(SUBSTITUTE(MID($G399,FIND("월",$G399)+1,5),"주",""))-1)),""),IF($I399&lt;&gt;"",IF(ISNUMBER($I399),$I399+364,IFERROR(DATE(IF(VALUE(LEFT($I399,FIND("월",$I399)-1))&gt;=9,기준정보!$C$6-1,기준정보!$C$6),VALUE(LEFT($I399,FIND("월",$I399)-1)),1+7*(VALUE(SUBSTITUTE(MID($I399,FIND("월",$I399)+1,5),"주",""))-1)),"")),IF($J399&lt;&gt;"",$J399,"")))</f>
        <v>46405</v>
      </c>
      <c r="L399" s="28" t="str">
        <f aca="false">IF($G399&lt;&gt;"","계획 주차",IF($I399&lt;&gt;"","전년+1년 예측",IF($J399&lt;&gt;"","전산 입고계획(참고)","미정")))</f>
        <v>전산 입고계획(참고)</v>
      </c>
      <c r="M399" s="32" t="n">
        <f aca="false">IF($K399="","",$K399-기준정보!$C$5)</f>
        <v>46315</v>
      </c>
      <c r="N399" s="33" t="n">
        <f aca="false">IF($M399="","",$M399-기준정보!$C$4)</f>
        <v>74</v>
      </c>
      <c r="O399" s="31" t="s">
        <v>114</v>
      </c>
      <c r="P399" s="20"/>
      <c r="Q399" s="30" t="str">
        <f aca="false">IF($F399="","",IF(AND(ISNUMBER(SEARCH("CMT",$F399)),OR(ISNUMBER(SEARCH("사입",$F399)),ISNUMBER(SEARCH("Buying",$F399)))),"본사/생산처 혼재",IF(ISNUMBER(SEARCH("CMT",$F399)),"본사(소재팀)","생산처")))</f>
        <v>생산처</v>
      </c>
      <c r="R399" s="29" t="s">
        <v>927</v>
      </c>
      <c r="S399" s="29" t="s">
        <v>195</v>
      </c>
      <c r="T399" s="30" t="str">
        <f aca="false">IF($K399="","출고일 미정",IF($O399="X","작지(일매) 미등록",IF($O399="부분","작지(일매) 일부 미등록",IF(AND($P399&lt;&gt;"",$P399&gt;$M399),"소재입고 마감("&amp;TEXT($M399,"MM/DD")&amp;") 초과",IF($O399="","일매 등록여부 확인 필요",IF($P399="","소재 입고일정 확인 필요","정상"))))))</f>
        <v>작지(일매) 미등록</v>
      </c>
      <c r="U399" s="28" t="str">
        <f aca="false">IF($K399="","",IF(OR(LEFT($T399,2)="작지",LEFT($T399,4)="소재입고"),IF(LEFT($E399,1)="S","★ 납기위험(S코드)","◆ 지연주의"),IF($T399="정상","✓ 정상","? 확인필요")))</f>
        <v>◆ 지연주의</v>
      </c>
      <c r="V399" s="31"/>
      <c r="W399" s="19"/>
    </row>
    <row r="400" customFormat="false" ht="15" hidden="false" customHeight="true" outlineLevel="0" collapsed="false">
      <c r="A400" s="28" t="n">
        <v>396</v>
      </c>
      <c r="B400" s="29" t="s">
        <v>802</v>
      </c>
      <c r="C400" s="30" t="s">
        <v>934</v>
      </c>
      <c r="D400" s="29" t="s">
        <v>935</v>
      </c>
      <c r="E400" s="28" t="str">
        <f aca="false">IF($C400="","",IF(MID($C400,5,1)="S","S(봄)",IF(MID($C400,5,1)="M","M(여름)",IF(MID($C400,5,1)="X","X(사계절)",MID($C400,5,1)))))</f>
        <v>X(사계절)</v>
      </c>
      <c r="F400" s="29" t="s">
        <v>106</v>
      </c>
      <c r="G400" s="31"/>
      <c r="H400" s="28" t="str">
        <f aca="false">IF($C400="","",REPLACE($C400,6,2,"26"))</f>
        <v>QELAX26121</v>
      </c>
      <c r="I400" s="32" t="str">
        <f aca="false">IFERROR(INDEX(전년출고참조!$B$4:$B$638,MATCH($H400,전년출고참조!$A$4:$A$638,0)),"")</f>
        <v/>
      </c>
      <c r="J400" s="32" t="n">
        <v>46405</v>
      </c>
      <c r="K400" s="32" t="n">
        <f aca="false">IF($G400&lt;&gt;"",IFERROR(DATE(IF(VALUE(LEFT($G400,FIND("월",$G400)-1))&gt;=9,기준정보!$C$6-1,기준정보!$C$6),VALUE(LEFT($G400,FIND("월",$G400)-1)),1+7*(VALUE(SUBSTITUTE(MID($G400,FIND("월",$G400)+1,5),"주",""))-1)),""),IF($I400&lt;&gt;"",IF(ISNUMBER($I400),$I400+364,IFERROR(DATE(IF(VALUE(LEFT($I400,FIND("월",$I400)-1))&gt;=9,기준정보!$C$6-1,기준정보!$C$6),VALUE(LEFT($I400,FIND("월",$I400)-1)),1+7*(VALUE(SUBSTITUTE(MID($I400,FIND("월",$I400)+1,5),"주",""))-1)),"")),IF($J400&lt;&gt;"",$J400,"")))</f>
        <v>46405</v>
      </c>
      <c r="L400" s="28" t="str">
        <f aca="false">IF($G400&lt;&gt;"","계획 주차",IF($I400&lt;&gt;"","전년+1년 예측",IF($J400&lt;&gt;"","전산 입고계획(참고)","미정")))</f>
        <v>전산 입고계획(참고)</v>
      </c>
      <c r="M400" s="32" t="n">
        <f aca="false">IF($K400="","",$K400-기준정보!$C$5)</f>
        <v>46315</v>
      </c>
      <c r="N400" s="33" t="n">
        <f aca="false">IF($M400="","",$M400-기준정보!$C$4)</f>
        <v>74</v>
      </c>
      <c r="O400" s="31" t="s">
        <v>114</v>
      </c>
      <c r="P400" s="20"/>
      <c r="Q400" s="30" t="str">
        <f aca="false">IF($F400="","",IF(AND(ISNUMBER(SEARCH("CMT",$F400)),OR(ISNUMBER(SEARCH("사입",$F400)),ISNUMBER(SEARCH("Buying",$F400)))),"본사/생산처 혼재",IF(ISNUMBER(SEARCH("CMT",$F400)),"본사(소재팀)","생산처")))</f>
        <v>생산처</v>
      </c>
      <c r="R400" s="29" t="s">
        <v>927</v>
      </c>
      <c r="S400" s="29" t="s">
        <v>195</v>
      </c>
      <c r="T400" s="30" t="str">
        <f aca="false">IF($K400="","출고일 미정",IF($O400="X","작지(일매) 미등록",IF($O400="부분","작지(일매) 일부 미등록",IF(AND($P400&lt;&gt;"",$P400&gt;$M400),"소재입고 마감("&amp;TEXT($M400,"MM/DD")&amp;") 초과",IF($O400="","일매 등록여부 확인 필요",IF($P400="","소재 입고일정 확인 필요","정상"))))))</f>
        <v>작지(일매) 미등록</v>
      </c>
      <c r="U400" s="28" t="str">
        <f aca="false">IF($K400="","",IF(OR(LEFT($T400,2)="작지",LEFT($T400,4)="소재입고"),IF(LEFT($E400,1)="S","★ 납기위험(S코드)","◆ 지연주의"),IF($T400="정상","✓ 정상","? 확인필요")))</f>
        <v>◆ 지연주의</v>
      </c>
      <c r="V400" s="31"/>
      <c r="W400" s="19"/>
    </row>
    <row r="401" customFormat="false" ht="15" hidden="false" customHeight="true" outlineLevel="0" collapsed="false">
      <c r="A401" s="28" t="n">
        <v>397</v>
      </c>
      <c r="B401" s="29" t="s">
        <v>802</v>
      </c>
      <c r="C401" s="30" t="s">
        <v>936</v>
      </c>
      <c r="D401" s="29" t="s">
        <v>937</v>
      </c>
      <c r="E401" s="28" t="str">
        <f aca="false">IF($C401="","",IF(MID($C401,5,1)="S","S(봄)",IF(MID($C401,5,1)="M","M(여름)",IF(MID($C401,5,1)="X","X(사계절)",MID($C401,5,1)))))</f>
        <v>X(사계절)</v>
      </c>
      <c r="F401" s="29" t="s">
        <v>106</v>
      </c>
      <c r="G401" s="31"/>
      <c r="H401" s="28" t="str">
        <f aca="false">IF($C401="","",REPLACE($C401,6,2,"26"))</f>
        <v>QELAX26131</v>
      </c>
      <c r="I401" s="32" t="str">
        <f aca="false">IFERROR(INDEX(전년출고참조!$B$4:$B$638,MATCH($H401,전년출고참조!$A$4:$A$638,0)),"")</f>
        <v/>
      </c>
      <c r="J401" s="32" t="n">
        <v>46405</v>
      </c>
      <c r="K401" s="32" t="n">
        <f aca="false">IF($G401&lt;&gt;"",IFERROR(DATE(IF(VALUE(LEFT($G401,FIND("월",$G401)-1))&gt;=9,기준정보!$C$6-1,기준정보!$C$6),VALUE(LEFT($G401,FIND("월",$G401)-1)),1+7*(VALUE(SUBSTITUTE(MID($G401,FIND("월",$G401)+1,5),"주",""))-1)),""),IF($I401&lt;&gt;"",IF(ISNUMBER($I401),$I401+364,IFERROR(DATE(IF(VALUE(LEFT($I401,FIND("월",$I401)-1))&gt;=9,기준정보!$C$6-1,기준정보!$C$6),VALUE(LEFT($I401,FIND("월",$I401)-1)),1+7*(VALUE(SUBSTITUTE(MID($I401,FIND("월",$I401)+1,5),"주",""))-1)),"")),IF($J401&lt;&gt;"",$J401,"")))</f>
        <v>46405</v>
      </c>
      <c r="L401" s="28" t="str">
        <f aca="false">IF($G401&lt;&gt;"","계획 주차",IF($I401&lt;&gt;"","전년+1년 예측",IF($J401&lt;&gt;"","전산 입고계획(참고)","미정")))</f>
        <v>전산 입고계획(참고)</v>
      </c>
      <c r="M401" s="32" t="n">
        <f aca="false">IF($K401="","",$K401-기준정보!$C$5)</f>
        <v>46315</v>
      </c>
      <c r="N401" s="33" t="n">
        <f aca="false">IF($M401="","",$M401-기준정보!$C$4)</f>
        <v>74</v>
      </c>
      <c r="O401" s="31" t="s">
        <v>114</v>
      </c>
      <c r="P401" s="20"/>
      <c r="Q401" s="30" t="str">
        <f aca="false">IF($F401="","",IF(AND(ISNUMBER(SEARCH("CMT",$F401)),OR(ISNUMBER(SEARCH("사입",$F401)),ISNUMBER(SEARCH("Buying",$F401)))),"본사/생산처 혼재",IF(ISNUMBER(SEARCH("CMT",$F401)),"본사(소재팀)","생산처")))</f>
        <v>생산처</v>
      </c>
      <c r="R401" s="29" t="s">
        <v>927</v>
      </c>
      <c r="S401" s="29" t="s">
        <v>195</v>
      </c>
      <c r="T401" s="30" t="str">
        <f aca="false">IF($K401="","출고일 미정",IF($O401="X","작지(일매) 미등록",IF($O401="부분","작지(일매) 일부 미등록",IF(AND($P401&lt;&gt;"",$P401&gt;$M401),"소재입고 마감("&amp;TEXT($M401,"MM/DD")&amp;") 초과",IF($O401="","일매 등록여부 확인 필요",IF($P401="","소재 입고일정 확인 필요","정상"))))))</f>
        <v>작지(일매) 미등록</v>
      </c>
      <c r="U401" s="28" t="str">
        <f aca="false">IF($K401="","",IF(OR(LEFT($T401,2)="작지",LEFT($T401,4)="소재입고"),IF(LEFT($E401,1)="S","★ 납기위험(S코드)","◆ 지연주의"),IF($T401="정상","✓ 정상","? 확인필요")))</f>
        <v>◆ 지연주의</v>
      </c>
      <c r="V401" s="31"/>
      <c r="W401" s="19"/>
    </row>
    <row r="402" customFormat="false" ht="15" hidden="false" customHeight="true" outlineLevel="0" collapsed="false">
      <c r="A402" s="28" t="n">
        <v>398</v>
      </c>
      <c r="B402" s="29" t="s">
        <v>802</v>
      </c>
      <c r="C402" s="30" t="s">
        <v>938</v>
      </c>
      <c r="D402" s="29" t="s">
        <v>939</v>
      </c>
      <c r="E402" s="28" t="str">
        <f aca="false">IF($C402="","",IF(MID($C402,5,1)="S","S(봄)",IF(MID($C402,5,1)="M","M(여름)",IF(MID($C402,5,1)="X","X(사계절)",MID($C402,5,1)))))</f>
        <v>X(사계절)</v>
      </c>
      <c r="F402" s="29" t="s">
        <v>106</v>
      </c>
      <c r="G402" s="31"/>
      <c r="H402" s="28" t="str">
        <f aca="false">IF($C402="","",REPLACE($C402,6,2,"26"))</f>
        <v>QELAX26141</v>
      </c>
      <c r="I402" s="32" t="str">
        <f aca="false">IFERROR(INDEX(전년출고참조!$B$4:$B$638,MATCH($H402,전년출고참조!$A$4:$A$638,0)),"")</f>
        <v/>
      </c>
      <c r="J402" s="32" t="n">
        <v>46405</v>
      </c>
      <c r="K402" s="32" t="n">
        <f aca="false">IF($G402&lt;&gt;"",IFERROR(DATE(IF(VALUE(LEFT($G402,FIND("월",$G402)-1))&gt;=9,기준정보!$C$6-1,기준정보!$C$6),VALUE(LEFT($G402,FIND("월",$G402)-1)),1+7*(VALUE(SUBSTITUTE(MID($G402,FIND("월",$G402)+1,5),"주",""))-1)),""),IF($I402&lt;&gt;"",IF(ISNUMBER($I402),$I402+364,IFERROR(DATE(IF(VALUE(LEFT($I402,FIND("월",$I402)-1))&gt;=9,기준정보!$C$6-1,기준정보!$C$6),VALUE(LEFT($I402,FIND("월",$I402)-1)),1+7*(VALUE(SUBSTITUTE(MID($I402,FIND("월",$I402)+1,5),"주",""))-1)),"")),IF($J402&lt;&gt;"",$J402,"")))</f>
        <v>46405</v>
      </c>
      <c r="L402" s="28" t="str">
        <f aca="false">IF($G402&lt;&gt;"","계획 주차",IF($I402&lt;&gt;"","전년+1년 예측",IF($J402&lt;&gt;"","전산 입고계획(참고)","미정")))</f>
        <v>전산 입고계획(참고)</v>
      </c>
      <c r="M402" s="32" t="n">
        <f aca="false">IF($K402="","",$K402-기준정보!$C$5)</f>
        <v>46315</v>
      </c>
      <c r="N402" s="33" t="n">
        <f aca="false">IF($M402="","",$M402-기준정보!$C$4)</f>
        <v>74</v>
      </c>
      <c r="O402" s="31" t="s">
        <v>114</v>
      </c>
      <c r="P402" s="20"/>
      <c r="Q402" s="30" t="str">
        <f aca="false">IF($F402="","",IF(AND(ISNUMBER(SEARCH("CMT",$F402)),OR(ISNUMBER(SEARCH("사입",$F402)),ISNUMBER(SEARCH("Buying",$F402)))),"본사/생산처 혼재",IF(ISNUMBER(SEARCH("CMT",$F402)),"본사(소재팀)","생산처")))</f>
        <v>생산처</v>
      </c>
      <c r="R402" s="29" t="s">
        <v>927</v>
      </c>
      <c r="S402" s="29" t="s">
        <v>195</v>
      </c>
      <c r="T402" s="30" t="str">
        <f aca="false">IF($K402="","출고일 미정",IF($O402="X","작지(일매) 미등록",IF($O402="부분","작지(일매) 일부 미등록",IF(AND($P402&lt;&gt;"",$P402&gt;$M402),"소재입고 마감("&amp;TEXT($M402,"MM/DD")&amp;") 초과",IF($O402="","일매 등록여부 확인 필요",IF($P402="","소재 입고일정 확인 필요","정상"))))))</f>
        <v>작지(일매) 미등록</v>
      </c>
      <c r="U402" s="28" t="str">
        <f aca="false">IF($K402="","",IF(OR(LEFT($T402,2)="작지",LEFT($T402,4)="소재입고"),IF(LEFT($E402,1)="S","★ 납기위험(S코드)","◆ 지연주의"),IF($T402="정상","✓ 정상","? 확인필요")))</f>
        <v>◆ 지연주의</v>
      </c>
      <c r="V402" s="31"/>
      <c r="W402" s="19"/>
    </row>
    <row r="403" customFormat="false" ht="15" hidden="false" customHeight="true" outlineLevel="0" collapsed="false">
      <c r="A403" s="28" t="n">
        <v>399</v>
      </c>
      <c r="B403" s="29" t="s">
        <v>802</v>
      </c>
      <c r="C403" s="30" t="s">
        <v>940</v>
      </c>
      <c r="D403" s="29" t="s">
        <v>941</v>
      </c>
      <c r="E403" s="28" t="str">
        <f aca="false">IF($C403="","",IF(MID($C403,5,1)="S","S(봄)",IF(MID($C403,5,1)="M","M(여름)",IF(MID($C403,5,1)="X","X(사계절)",MID($C403,5,1)))))</f>
        <v>X(사계절)</v>
      </c>
      <c r="F403" s="29" t="s">
        <v>106</v>
      </c>
      <c r="G403" s="31"/>
      <c r="H403" s="28" t="str">
        <f aca="false">IF($C403="","",REPLACE($C403,6,2,"26"))</f>
        <v>QELAX26501</v>
      </c>
      <c r="I403" s="32" t="str">
        <f aca="false">IFERROR(INDEX(전년출고참조!$B$4:$B$638,MATCH($H403,전년출고참조!$A$4:$A$638,0)),"")</f>
        <v/>
      </c>
      <c r="J403" s="32" t="n">
        <v>46405</v>
      </c>
      <c r="K403" s="32" t="n">
        <f aca="false">IF($G403&lt;&gt;"",IFERROR(DATE(IF(VALUE(LEFT($G403,FIND("월",$G403)-1))&gt;=9,기준정보!$C$6-1,기준정보!$C$6),VALUE(LEFT($G403,FIND("월",$G403)-1)),1+7*(VALUE(SUBSTITUTE(MID($G403,FIND("월",$G403)+1,5),"주",""))-1)),""),IF($I403&lt;&gt;"",IF(ISNUMBER($I403),$I403+364,IFERROR(DATE(IF(VALUE(LEFT($I403,FIND("월",$I403)-1))&gt;=9,기준정보!$C$6-1,기준정보!$C$6),VALUE(LEFT($I403,FIND("월",$I403)-1)),1+7*(VALUE(SUBSTITUTE(MID($I403,FIND("월",$I403)+1,5),"주",""))-1)),"")),IF($J403&lt;&gt;"",$J403,"")))</f>
        <v>46405</v>
      </c>
      <c r="L403" s="28" t="str">
        <f aca="false">IF($G403&lt;&gt;"","계획 주차",IF($I403&lt;&gt;"","전년+1년 예측",IF($J403&lt;&gt;"","전산 입고계획(참고)","미정")))</f>
        <v>전산 입고계획(참고)</v>
      </c>
      <c r="M403" s="32" t="n">
        <f aca="false">IF($K403="","",$K403-기준정보!$C$5)</f>
        <v>46315</v>
      </c>
      <c r="N403" s="33" t="n">
        <f aca="false">IF($M403="","",$M403-기준정보!$C$4)</f>
        <v>74</v>
      </c>
      <c r="O403" s="31" t="s">
        <v>114</v>
      </c>
      <c r="P403" s="20"/>
      <c r="Q403" s="30" t="str">
        <f aca="false">IF($F403="","",IF(AND(ISNUMBER(SEARCH("CMT",$F403)),OR(ISNUMBER(SEARCH("사입",$F403)),ISNUMBER(SEARCH("Buying",$F403)))),"본사/생산처 혼재",IF(ISNUMBER(SEARCH("CMT",$F403)),"본사(소재팀)","생산처")))</f>
        <v>생산처</v>
      </c>
      <c r="R403" s="29" t="s">
        <v>334</v>
      </c>
      <c r="S403" s="29" t="s">
        <v>195</v>
      </c>
      <c r="T403" s="30" t="str">
        <f aca="false">IF($K403="","출고일 미정",IF($O403="X","작지(일매) 미등록",IF($O403="부분","작지(일매) 일부 미등록",IF(AND($P403&lt;&gt;"",$P403&gt;$M403),"소재입고 마감("&amp;TEXT($M403,"MM/DD")&amp;") 초과",IF($O403="","일매 등록여부 확인 필요",IF($P403="","소재 입고일정 확인 필요","정상"))))))</f>
        <v>작지(일매) 미등록</v>
      </c>
      <c r="U403" s="28" t="str">
        <f aca="false">IF($K403="","",IF(OR(LEFT($T403,2)="작지",LEFT($T403,4)="소재입고"),IF(LEFT($E403,1)="S","★ 납기위험(S코드)","◆ 지연주의"),IF($T403="정상","✓ 정상","? 확인필요")))</f>
        <v>◆ 지연주의</v>
      </c>
      <c r="V403" s="31"/>
      <c r="W403" s="19"/>
    </row>
    <row r="404" customFormat="false" ht="15" hidden="false" customHeight="true" outlineLevel="0" collapsed="false">
      <c r="A404" s="28" t="n">
        <v>400</v>
      </c>
      <c r="B404" s="29" t="s">
        <v>802</v>
      </c>
      <c r="C404" s="30" t="s">
        <v>942</v>
      </c>
      <c r="D404" s="29" t="s">
        <v>943</v>
      </c>
      <c r="E404" s="28" t="str">
        <f aca="false">IF($C404="","",IF(MID($C404,5,1)="S","S(봄)",IF(MID($C404,5,1)="M","M(여름)",IF(MID($C404,5,1)="X","X(사계절)",MID($C404,5,1)))))</f>
        <v>X(사계절)</v>
      </c>
      <c r="F404" s="30" t="s">
        <v>141</v>
      </c>
      <c r="G404" s="31"/>
      <c r="H404" s="28" t="str">
        <f aca="false">IF($C404="","",REPLACE($C404,6,2,"26"))</f>
        <v>QEREX26101</v>
      </c>
      <c r="I404" s="32" t="str">
        <f aca="false">IFERROR(INDEX(전년출고참조!$B$4:$B$638,MATCH($H404,전년출고참조!$A$4:$A$638,0)),"")</f>
        <v/>
      </c>
      <c r="J404" s="32" t="n">
        <v>46405</v>
      </c>
      <c r="K404" s="32" t="n">
        <f aca="false">IF($G404&lt;&gt;"",IFERROR(DATE(IF(VALUE(LEFT($G404,FIND("월",$G404)-1))&gt;=9,기준정보!$C$6-1,기준정보!$C$6),VALUE(LEFT($G404,FIND("월",$G404)-1)),1+7*(VALUE(SUBSTITUTE(MID($G404,FIND("월",$G404)+1,5),"주",""))-1)),""),IF($I404&lt;&gt;"",IF(ISNUMBER($I404),$I404+364,IFERROR(DATE(IF(VALUE(LEFT($I404,FIND("월",$I404)-1))&gt;=9,기준정보!$C$6-1,기준정보!$C$6),VALUE(LEFT($I404,FIND("월",$I404)-1)),1+7*(VALUE(SUBSTITUTE(MID($I404,FIND("월",$I404)+1,5),"주",""))-1)),"")),IF($J404&lt;&gt;"",$J404,"")))</f>
        <v>46405</v>
      </c>
      <c r="L404" s="28" t="str">
        <f aca="false">IF($G404&lt;&gt;"","계획 주차",IF($I404&lt;&gt;"","전년+1년 예측",IF($J404&lt;&gt;"","전산 입고계획(참고)","미정")))</f>
        <v>전산 입고계획(참고)</v>
      </c>
      <c r="M404" s="32" t="n">
        <f aca="false">IF($K404="","",$K404-기준정보!$C$5)</f>
        <v>46315</v>
      </c>
      <c r="N404" s="33" t="n">
        <f aca="false">IF($M404="","",$M404-기준정보!$C$4)</f>
        <v>74</v>
      </c>
      <c r="O404" s="31" t="s">
        <v>108</v>
      </c>
      <c r="P404" s="20"/>
      <c r="Q404" s="30" t="str">
        <f aca="false">IF($F404="","",IF(AND(ISNUMBER(SEARCH("CMT",$F404)),OR(ISNUMBER(SEARCH("사입",$F404)),ISNUMBER(SEARCH("Buying",$F404)))),"본사/생산처 혼재",IF(ISNUMBER(SEARCH("CMT",$F404)),"본사(소재팀)","생산처")))</f>
        <v>본사(소재팀)</v>
      </c>
      <c r="R404" s="29" t="s">
        <v>572</v>
      </c>
      <c r="S404" s="29" t="s">
        <v>195</v>
      </c>
      <c r="T404" s="30" t="str">
        <f aca="false">IF($K404="","출고일 미정",IF($O404="X","작지(일매) 미등록",IF($O404="부분","작지(일매) 일부 미등록",IF(AND($P404&lt;&gt;"",$P404&gt;$M404),"소재입고 마감("&amp;TEXT($M404,"MM/DD")&amp;") 초과",IF($O404="","일매 등록여부 확인 필요",IF($P404="","소재 입고일정 확인 필요","정상"))))))</f>
        <v>소재 입고일정 확인 필요</v>
      </c>
      <c r="U404" s="28" t="str">
        <f aca="false">IF($K404="","",IF(OR(LEFT($T404,2)="작지",LEFT($T404,4)="소재입고"),IF(LEFT($E404,1)="S","★ 납기위험(S코드)","◆ 지연주의"),IF($T404="정상","✓ 정상","? 확인필요")))</f>
        <v>? 확인필요</v>
      </c>
      <c r="V404" s="31"/>
      <c r="W404" s="19"/>
    </row>
    <row r="405" customFormat="false" ht="15" hidden="false" customHeight="true" outlineLevel="0" collapsed="false">
      <c r="A405" s="28" t="n">
        <v>401</v>
      </c>
      <c r="B405" s="29" t="s">
        <v>802</v>
      </c>
      <c r="C405" s="30" t="s">
        <v>944</v>
      </c>
      <c r="D405" s="29" t="s">
        <v>945</v>
      </c>
      <c r="E405" s="28" t="str">
        <f aca="false">IF($C405="","",IF(MID($C405,5,1)="S","S(봄)",IF(MID($C405,5,1)="M","M(여름)",IF(MID($C405,5,1)="X","X(사계절)",MID($C405,5,1)))))</f>
        <v>X(사계절)</v>
      </c>
      <c r="F405" s="30" t="s">
        <v>141</v>
      </c>
      <c r="G405" s="31"/>
      <c r="H405" s="28" t="str">
        <f aca="false">IF($C405="","",REPLACE($C405,6,2,"26"))</f>
        <v>QEREX26111</v>
      </c>
      <c r="I405" s="32" t="str">
        <f aca="false">IFERROR(INDEX(전년출고참조!$B$4:$B$638,MATCH($H405,전년출고참조!$A$4:$A$638,0)),"")</f>
        <v/>
      </c>
      <c r="J405" s="32" t="n">
        <v>46405</v>
      </c>
      <c r="K405" s="32" t="n">
        <f aca="false">IF($G405&lt;&gt;"",IFERROR(DATE(IF(VALUE(LEFT($G405,FIND("월",$G405)-1))&gt;=9,기준정보!$C$6-1,기준정보!$C$6),VALUE(LEFT($G405,FIND("월",$G405)-1)),1+7*(VALUE(SUBSTITUTE(MID($G405,FIND("월",$G405)+1,5),"주",""))-1)),""),IF($I405&lt;&gt;"",IF(ISNUMBER($I405),$I405+364,IFERROR(DATE(IF(VALUE(LEFT($I405,FIND("월",$I405)-1))&gt;=9,기준정보!$C$6-1,기준정보!$C$6),VALUE(LEFT($I405,FIND("월",$I405)-1)),1+7*(VALUE(SUBSTITUTE(MID($I405,FIND("월",$I405)+1,5),"주",""))-1)),"")),IF($J405&lt;&gt;"",$J405,"")))</f>
        <v>46405</v>
      </c>
      <c r="L405" s="28" t="str">
        <f aca="false">IF($G405&lt;&gt;"","계획 주차",IF($I405&lt;&gt;"","전년+1년 예측",IF($J405&lt;&gt;"","전산 입고계획(참고)","미정")))</f>
        <v>전산 입고계획(참고)</v>
      </c>
      <c r="M405" s="32" t="n">
        <f aca="false">IF($K405="","",$K405-기준정보!$C$5)</f>
        <v>46315</v>
      </c>
      <c r="N405" s="33" t="n">
        <f aca="false">IF($M405="","",$M405-기준정보!$C$4)</f>
        <v>74</v>
      </c>
      <c r="O405" s="31" t="s">
        <v>108</v>
      </c>
      <c r="P405" s="20"/>
      <c r="Q405" s="30" t="str">
        <f aca="false">IF($F405="","",IF(AND(ISNUMBER(SEARCH("CMT",$F405)),OR(ISNUMBER(SEARCH("사입",$F405)),ISNUMBER(SEARCH("Buying",$F405)))),"본사/생산처 혼재",IF(ISNUMBER(SEARCH("CMT",$F405)),"본사(소재팀)","생산처")))</f>
        <v>본사(소재팀)</v>
      </c>
      <c r="R405" s="29" t="s">
        <v>572</v>
      </c>
      <c r="S405" s="29" t="s">
        <v>195</v>
      </c>
      <c r="T405" s="30" t="str">
        <f aca="false">IF($K405="","출고일 미정",IF($O405="X","작지(일매) 미등록",IF($O405="부분","작지(일매) 일부 미등록",IF(AND($P405&lt;&gt;"",$P405&gt;$M405),"소재입고 마감("&amp;TEXT($M405,"MM/DD")&amp;") 초과",IF($O405="","일매 등록여부 확인 필요",IF($P405="","소재 입고일정 확인 필요","정상"))))))</f>
        <v>소재 입고일정 확인 필요</v>
      </c>
      <c r="U405" s="28" t="str">
        <f aca="false">IF($K405="","",IF(OR(LEFT($T405,2)="작지",LEFT($T405,4)="소재입고"),IF(LEFT($E405,1)="S","★ 납기위험(S코드)","◆ 지연주의"),IF($T405="정상","✓ 정상","? 확인필요")))</f>
        <v>? 확인필요</v>
      </c>
      <c r="V405" s="31"/>
      <c r="W405" s="19"/>
    </row>
    <row r="406" customFormat="false" ht="15" hidden="false" customHeight="true" outlineLevel="0" collapsed="false">
      <c r="A406" s="28" t="n">
        <v>402</v>
      </c>
      <c r="B406" s="29" t="s">
        <v>802</v>
      </c>
      <c r="C406" s="30" t="s">
        <v>946</v>
      </c>
      <c r="D406" s="29" t="s">
        <v>947</v>
      </c>
      <c r="E406" s="28" t="str">
        <f aca="false">IF($C406="","",IF(MID($C406,5,1)="S","S(봄)",IF(MID($C406,5,1)="M","M(여름)",IF(MID($C406,5,1)="X","X(사계절)",MID($C406,5,1)))))</f>
        <v>X(사계절)</v>
      </c>
      <c r="F406" s="30" t="s">
        <v>141</v>
      </c>
      <c r="G406" s="31"/>
      <c r="H406" s="28" t="str">
        <f aca="false">IF($C406="","",REPLACE($C406,6,2,"26"))</f>
        <v>QERFX26101</v>
      </c>
      <c r="I406" s="32" t="str">
        <f aca="false">IFERROR(INDEX(전년출고참조!$B$4:$B$638,MATCH($H406,전년출고참조!$A$4:$A$638,0)),"")</f>
        <v/>
      </c>
      <c r="J406" s="32" t="n">
        <v>46405</v>
      </c>
      <c r="K406" s="32" t="n">
        <f aca="false">IF($G406&lt;&gt;"",IFERROR(DATE(IF(VALUE(LEFT($G406,FIND("월",$G406)-1))&gt;=9,기준정보!$C$6-1,기준정보!$C$6),VALUE(LEFT($G406,FIND("월",$G406)-1)),1+7*(VALUE(SUBSTITUTE(MID($G406,FIND("월",$G406)+1,5),"주",""))-1)),""),IF($I406&lt;&gt;"",IF(ISNUMBER($I406),$I406+364,IFERROR(DATE(IF(VALUE(LEFT($I406,FIND("월",$I406)-1))&gt;=9,기준정보!$C$6-1,기준정보!$C$6),VALUE(LEFT($I406,FIND("월",$I406)-1)),1+7*(VALUE(SUBSTITUTE(MID($I406,FIND("월",$I406)+1,5),"주",""))-1)),"")),IF($J406&lt;&gt;"",$J406,"")))</f>
        <v>46405</v>
      </c>
      <c r="L406" s="28" t="str">
        <f aca="false">IF($G406&lt;&gt;"","계획 주차",IF($I406&lt;&gt;"","전년+1년 예측",IF($J406&lt;&gt;"","전산 입고계획(참고)","미정")))</f>
        <v>전산 입고계획(참고)</v>
      </c>
      <c r="M406" s="32" t="n">
        <f aca="false">IF($K406="","",$K406-기준정보!$C$5)</f>
        <v>46315</v>
      </c>
      <c r="N406" s="33" t="n">
        <f aca="false">IF($M406="","",$M406-기준정보!$C$4)</f>
        <v>74</v>
      </c>
      <c r="O406" s="31" t="s">
        <v>108</v>
      </c>
      <c r="P406" s="20"/>
      <c r="Q406" s="30" t="str">
        <f aca="false">IF($F406="","",IF(AND(ISNUMBER(SEARCH("CMT",$F406)),OR(ISNUMBER(SEARCH("사입",$F406)),ISNUMBER(SEARCH("Buying",$F406)))),"본사/생산처 혼재",IF(ISNUMBER(SEARCH("CMT",$F406)),"본사(소재팀)","생산처")))</f>
        <v>본사(소재팀)</v>
      </c>
      <c r="R406" s="29" t="s">
        <v>572</v>
      </c>
      <c r="S406" s="29" t="s">
        <v>195</v>
      </c>
      <c r="T406" s="30" t="str">
        <f aca="false">IF($K406="","출고일 미정",IF($O406="X","작지(일매) 미등록",IF($O406="부분","작지(일매) 일부 미등록",IF(AND($P406&lt;&gt;"",$P406&gt;$M406),"소재입고 마감("&amp;TEXT($M406,"MM/DD")&amp;") 초과",IF($O406="","일매 등록여부 확인 필요",IF($P406="","소재 입고일정 확인 필요","정상"))))))</f>
        <v>소재 입고일정 확인 필요</v>
      </c>
      <c r="U406" s="28" t="str">
        <f aca="false">IF($K406="","",IF(OR(LEFT($T406,2)="작지",LEFT($T406,4)="소재입고"),IF(LEFT($E406,1)="S","★ 납기위험(S코드)","◆ 지연주의"),IF($T406="정상","✓ 정상","? 확인필요")))</f>
        <v>? 확인필요</v>
      </c>
      <c r="V406" s="31"/>
      <c r="W406" s="19"/>
    </row>
    <row r="407" customFormat="false" ht="15" hidden="false" customHeight="true" outlineLevel="0" collapsed="false">
      <c r="A407" s="28" t="n">
        <v>403</v>
      </c>
      <c r="B407" s="29" t="s">
        <v>802</v>
      </c>
      <c r="C407" s="30" t="s">
        <v>948</v>
      </c>
      <c r="D407" s="29" t="s">
        <v>949</v>
      </c>
      <c r="E407" s="28" t="str">
        <f aca="false">IF($C407="","",IF(MID($C407,5,1)="S","S(봄)",IF(MID($C407,5,1)="M","M(여름)",IF(MID($C407,5,1)="X","X(사계절)",MID($C407,5,1)))))</f>
        <v>X(사계절)</v>
      </c>
      <c r="F407" s="30" t="s">
        <v>141</v>
      </c>
      <c r="G407" s="31"/>
      <c r="H407" s="28" t="str">
        <f aca="false">IF($C407="","",REPLACE($C407,6,2,"26"))</f>
        <v>QERFX26111</v>
      </c>
      <c r="I407" s="32" t="str">
        <f aca="false">IFERROR(INDEX(전년출고참조!$B$4:$B$638,MATCH($H407,전년출고참조!$A$4:$A$638,0)),"")</f>
        <v/>
      </c>
      <c r="J407" s="32" t="n">
        <v>46405</v>
      </c>
      <c r="K407" s="32" t="n">
        <f aca="false">IF($G407&lt;&gt;"",IFERROR(DATE(IF(VALUE(LEFT($G407,FIND("월",$G407)-1))&gt;=9,기준정보!$C$6-1,기준정보!$C$6),VALUE(LEFT($G407,FIND("월",$G407)-1)),1+7*(VALUE(SUBSTITUTE(MID($G407,FIND("월",$G407)+1,5),"주",""))-1)),""),IF($I407&lt;&gt;"",IF(ISNUMBER($I407),$I407+364,IFERROR(DATE(IF(VALUE(LEFT($I407,FIND("월",$I407)-1))&gt;=9,기준정보!$C$6-1,기준정보!$C$6),VALUE(LEFT($I407,FIND("월",$I407)-1)),1+7*(VALUE(SUBSTITUTE(MID($I407,FIND("월",$I407)+1,5),"주",""))-1)),"")),IF($J407&lt;&gt;"",$J407,"")))</f>
        <v>46405</v>
      </c>
      <c r="L407" s="28" t="str">
        <f aca="false">IF($G407&lt;&gt;"","계획 주차",IF($I407&lt;&gt;"","전년+1년 예측",IF($J407&lt;&gt;"","전산 입고계획(참고)","미정")))</f>
        <v>전산 입고계획(참고)</v>
      </c>
      <c r="M407" s="32" t="n">
        <f aca="false">IF($K407="","",$K407-기준정보!$C$5)</f>
        <v>46315</v>
      </c>
      <c r="N407" s="33" t="n">
        <f aca="false">IF($M407="","",$M407-기준정보!$C$4)</f>
        <v>74</v>
      </c>
      <c r="O407" s="31" t="s">
        <v>108</v>
      </c>
      <c r="P407" s="20"/>
      <c r="Q407" s="30" t="str">
        <f aca="false">IF($F407="","",IF(AND(ISNUMBER(SEARCH("CMT",$F407)),OR(ISNUMBER(SEARCH("사입",$F407)),ISNUMBER(SEARCH("Buying",$F407)))),"본사/생산처 혼재",IF(ISNUMBER(SEARCH("CMT",$F407)),"본사(소재팀)","생산처")))</f>
        <v>본사(소재팀)</v>
      </c>
      <c r="R407" s="29" t="s">
        <v>572</v>
      </c>
      <c r="S407" s="29" t="s">
        <v>195</v>
      </c>
      <c r="T407" s="30" t="str">
        <f aca="false">IF($K407="","출고일 미정",IF($O407="X","작지(일매) 미등록",IF($O407="부분","작지(일매) 일부 미등록",IF(AND($P407&lt;&gt;"",$P407&gt;$M407),"소재입고 마감("&amp;TEXT($M407,"MM/DD")&amp;") 초과",IF($O407="","일매 등록여부 확인 필요",IF($P407="","소재 입고일정 확인 필요","정상"))))))</f>
        <v>소재 입고일정 확인 필요</v>
      </c>
      <c r="U407" s="28" t="str">
        <f aca="false">IF($K407="","",IF(OR(LEFT($T407,2)="작지",LEFT($T407,4)="소재입고"),IF(LEFT($E407,1)="S","★ 납기위험(S코드)","◆ 지연주의"),IF($T407="정상","✓ 정상","? 확인필요")))</f>
        <v>? 확인필요</v>
      </c>
      <c r="V407" s="31"/>
      <c r="W407" s="19"/>
    </row>
    <row r="408" customFormat="false" ht="15" hidden="false" customHeight="true" outlineLevel="0" collapsed="false">
      <c r="A408" s="28" t="n">
        <v>404</v>
      </c>
      <c r="B408" s="29" t="s">
        <v>802</v>
      </c>
      <c r="C408" s="30" t="s">
        <v>950</v>
      </c>
      <c r="D408" s="29" t="s">
        <v>951</v>
      </c>
      <c r="E408" s="28" t="str">
        <f aca="false">IF($C408="","",IF(MID($C408,5,1)="S","S(봄)",IF(MID($C408,5,1)="M","M(여름)",IF(MID($C408,5,1)="X","X(사계절)",MID($C408,5,1)))))</f>
        <v>X(사계절)</v>
      </c>
      <c r="F408" s="29" t="s">
        <v>106</v>
      </c>
      <c r="G408" s="31"/>
      <c r="H408" s="28" t="str">
        <f aca="false">IF($C408="","",REPLACE($C408,6,2,"26"))</f>
        <v>QELAX26511</v>
      </c>
      <c r="I408" s="32" t="str">
        <f aca="false">IFERROR(INDEX(전년출고참조!$B$4:$B$638,MATCH($H408,전년출고참조!$A$4:$A$638,0)),"")</f>
        <v/>
      </c>
      <c r="J408" s="32" t="n">
        <v>46443</v>
      </c>
      <c r="K408" s="32" t="n">
        <f aca="false">IF($G408&lt;&gt;"",IFERROR(DATE(IF(VALUE(LEFT($G408,FIND("월",$G408)-1))&gt;=9,기준정보!$C$6-1,기준정보!$C$6),VALUE(LEFT($G408,FIND("월",$G408)-1)),1+7*(VALUE(SUBSTITUTE(MID($G408,FIND("월",$G408)+1,5),"주",""))-1)),""),IF($I408&lt;&gt;"",IF(ISNUMBER($I408),$I408+364,IFERROR(DATE(IF(VALUE(LEFT($I408,FIND("월",$I408)-1))&gt;=9,기준정보!$C$6-1,기준정보!$C$6),VALUE(LEFT($I408,FIND("월",$I408)-1)),1+7*(VALUE(SUBSTITUTE(MID($I408,FIND("월",$I408)+1,5),"주",""))-1)),"")),IF($J408&lt;&gt;"",$J408,"")))</f>
        <v>46443</v>
      </c>
      <c r="L408" s="28" t="str">
        <f aca="false">IF($G408&lt;&gt;"","계획 주차",IF($I408&lt;&gt;"","전년+1년 예측",IF($J408&lt;&gt;"","전산 입고계획(참고)","미정")))</f>
        <v>전산 입고계획(참고)</v>
      </c>
      <c r="M408" s="32" t="n">
        <f aca="false">IF($K408="","",$K408-기준정보!$C$5)</f>
        <v>46353</v>
      </c>
      <c r="N408" s="33" t="n">
        <f aca="false">IF($M408="","",$M408-기준정보!$C$4)</f>
        <v>112</v>
      </c>
      <c r="O408" s="31" t="s">
        <v>114</v>
      </c>
      <c r="P408" s="20"/>
      <c r="Q408" s="30" t="str">
        <f aca="false">IF($F408="","",IF(AND(ISNUMBER(SEARCH("CMT",$F408)),OR(ISNUMBER(SEARCH("사입",$F408)),ISNUMBER(SEARCH("Buying",$F408)))),"본사/생산처 혼재",IF(ISNUMBER(SEARCH("CMT",$F408)),"본사(소재팀)","생산처")))</f>
        <v>생산처</v>
      </c>
      <c r="R408" s="29" t="s">
        <v>334</v>
      </c>
      <c r="S408" s="29" t="s">
        <v>195</v>
      </c>
      <c r="T408" s="30" t="str">
        <f aca="false">IF($K408="","출고일 미정",IF($O408="X","작지(일매) 미등록",IF($O408="부분","작지(일매) 일부 미등록",IF(AND($P408&lt;&gt;"",$P408&gt;$M408),"소재입고 마감("&amp;TEXT($M408,"MM/DD")&amp;") 초과",IF($O408="","일매 등록여부 확인 필요",IF($P408="","소재 입고일정 확인 필요","정상"))))))</f>
        <v>작지(일매) 미등록</v>
      </c>
      <c r="U408" s="28" t="str">
        <f aca="false">IF($K408="","",IF(OR(LEFT($T408,2)="작지",LEFT($T408,4)="소재입고"),IF(LEFT($E408,1)="S","★ 납기위험(S코드)","◆ 지연주의"),IF($T408="정상","✓ 정상","? 확인필요")))</f>
        <v>◆ 지연주의</v>
      </c>
      <c r="V408" s="31"/>
      <c r="W408" s="19"/>
    </row>
    <row r="409" customFormat="false" ht="15" hidden="false" customHeight="true" outlineLevel="0" collapsed="false">
      <c r="A409" s="28" t="n">
        <v>405</v>
      </c>
      <c r="B409" s="29" t="s">
        <v>802</v>
      </c>
      <c r="C409" s="30" t="s">
        <v>952</v>
      </c>
      <c r="D409" s="29" t="s">
        <v>953</v>
      </c>
      <c r="E409" s="28" t="str">
        <f aca="false">IF($C409="","",IF(MID($C409,5,1)="S","S(봄)",IF(MID($C409,5,1)="M","M(여름)",IF(MID($C409,5,1)="X","X(사계절)",MID($C409,5,1)))))</f>
        <v>X(사계절)</v>
      </c>
      <c r="F409" s="29" t="s">
        <v>106</v>
      </c>
      <c r="G409" s="31"/>
      <c r="H409" s="28" t="str">
        <f aca="false">IF($C409="","",REPLACE($C409,6,2,"26"))</f>
        <v>QELAX26531</v>
      </c>
      <c r="I409" s="32" t="str">
        <f aca="false">IFERROR(INDEX(전년출고참조!$B$4:$B$638,MATCH($H409,전년출고참조!$A$4:$A$638,0)),"")</f>
        <v/>
      </c>
      <c r="J409" s="32" t="n">
        <v>46443</v>
      </c>
      <c r="K409" s="32" t="n">
        <f aca="false">IF($G409&lt;&gt;"",IFERROR(DATE(IF(VALUE(LEFT($G409,FIND("월",$G409)-1))&gt;=9,기준정보!$C$6-1,기준정보!$C$6),VALUE(LEFT($G409,FIND("월",$G409)-1)),1+7*(VALUE(SUBSTITUTE(MID($G409,FIND("월",$G409)+1,5),"주",""))-1)),""),IF($I409&lt;&gt;"",IF(ISNUMBER($I409),$I409+364,IFERROR(DATE(IF(VALUE(LEFT($I409,FIND("월",$I409)-1))&gt;=9,기준정보!$C$6-1,기준정보!$C$6),VALUE(LEFT($I409,FIND("월",$I409)-1)),1+7*(VALUE(SUBSTITUTE(MID($I409,FIND("월",$I409)+1,5),"주",""))-1)),"")),IF($J409&lt;&gt;"",$J409,"")))</f>
        <v>46443</v>
      </c>
      <c r="L409" s="28" t="str">
        <f aca="false">IF($G409&lt;&gt;"","계획 주차",IF($I409&lt;&gt;"","전년+1년 예측",IF($J409&lt;&gt;"","전산 입고계획(참고)","미정")))</f>
        <v>전산 입고계획(참고)</v>
      </c>
      <c r="M409" s="32" t="n">
        <f aca="false">IF($K409="","",$K409-기준정보!$C$5)</f>
        <v>46353</v>
      </c>
      <c r="N409" s="33" t="n">
        <f aca="false">IF($M409="","",$M409-기준정보!$C$4)</f>
        <v>112</v>
      </c>
      <c r="O409" s="31" t="s">
        <v>114</v>
      </c>
      <c r="P409" s="20"/>
      <c r="Q409" s="30" t="str">
        <f aca="false">IF($F409="","",IF(AND(ISNUMBER(SEARCH("CMT",$F409)),OR(ISNUMBER(SEARCH("사입",$F409)),ISNUMBER(SEARCH("Buying",$F409)))),"본사/생산처 혼재",IF(ISNUMBER(SEARCH("CMT",$F409)),"본사(소재팀)","생산처")))</f>
        <v>생산처</v>
      </c>
      <c r="R409" s="29" t="s">
        <v>954</v>
      </c>
      <c r="S409" s="29" t="s">
        <v>195</v>
      </c>
      <c r="T409" s="30" t="str">
        <f aca="false">IF($K409="","출고일 미정",IF($O409="X","작지(일매) 미등록",IF($O409="부분","작지(일매) 일부 미등록",IF(AND($P409&lt;&gt;"",$P409&gt;$M409),"소재입고 마감("&amp;TEXT($M409,"MM/DD")&amp;") 초과",IF($O409="","일매 등록여부 확인 필요",IF($P409="","소재 입고일정 확인 필요","정상"))))))</f>
        <v>작지(일매) 미등록</v>
      </c>
      <c r="U409" s="28" t="str">
        <f aca="false">IF($K409="","",IF(OR(LEFT($T409,2)="작지",LEFT($T409,4)="소재입고"),IF(LEFT($E409,1)="S","★ 납기위험(S코드)","◆ 지연주의"),IF($T409="정상","✓ 정상","? 확인필요")))</f>
        <v>◆ 지연주의</v>
      </c>
      <c r="V409" s="31"/>
      <c r="W409" s="19"/>
    </row>
    <row r="410" customFormat="false" ht="15" hidden="false" customHeight="true" outlineLevel="0" collapsed="false">
      <c r="A410" s="28" t="n">
        <v>406</v>
      </c>
      <c r="B410" s="29" t="s">
        <v>802</v>
      </c>
      <c r="C410" s="30" t="s">
        <v>955</v>
      </c>
      <c r="D410" s="29" t="s">
        <v>956</v>
      </c>
      <c r="E410" s="28" t="str">
        <f aca="false">IF($C410="","",IF(MID($C410,5,1)="S","S(봄)",IF(MID($C410,5,1)="M","M(여름)",IF(MID($C410,5,1)="X","X(사계절)",MID($C410,5,1)))))</f>
        <v>X(사계절)</v>
      </c>
      <c r="F410" s="29" t="s">
        <v>106</v>
      </c>
      <c r="G410" s="31"/>
      <c r="H410" s="28" t="str">
        <f aca="false">IF($C410="","",REPLACE($C410,6,2,"26"))</f>
        <v>QELAX26541</v>
      </c>
      <c r="I410" s="32" t="str">
        <f aca="false">IFERROR(INDEX(전년출고참조!$B$4:$B$638,MATCH($H410,전년출고참조!$A$4:$A$638,0)),"")</f>
        <v/>
      </c>
      <c r="J410" s="32" t="n">
        <v>46443</v>
      </c>
      <c r="K410" s="32" t="n">
        <f aca="false">IF($G410&lt;&gt;"",IFERROR(DATE(IF(VALUE(LEFT($G410,FIND("월",$G410)-1))&gt;=9,기준정보!$C$6-1,기준정보!$C$6),VALUE(LEFT($G410,FIND("월",$G410)-1)),1+7*(VALUE(SUBSTITUTE(MID($G410,FIND("월",$G410)+1,5),"주",""))-1)),""),IF($I410&lt;&gt;"",IF(ISNUMBER($I410),$I410+364,IFERROR(DATE(IF(VALUE(LEFT($I410,FIND("월",$I410)-1))&gt;=9,기준정보!$C$6-1,기준정보!$C$6),VALUE(LEFT($I410,FIND("월",$I410)-1)),1+7*(VALUE(SUBSTITUTE(MID($I410,FIND("월",$I410)+1,5),"주",""))-1)),"")),IF($J410&lt;&gt;"",$J410,"")))</f>
        <v>46443</v>
      </c>
      <c r="L410" s="28" t="str">
        <f aca="false">IF($G410&lt;&gt;"","계획 주차",IF($I410&lt;&gt;"","전년+1년 예측",IF($J410&lt;&gt;"","전산 입고계획(참고)","미정")))</f>
        <v>전산 입고계획(참고)</v>
      </c>
      <c r="M410" s="32" t="n">
        <f aca="false">IF($K410="","",$K410-기준정보!$C$5)</f>
        <v>46353</v>
      </c>
      <c r="N410" s="33" t="n">
        <f aca="false">IF($M410="","",$M410-기준정보!$C$4)</f>
        <v>112</v>
      </c>
      <c r="O410" s="31" t="s">
        <v>114</v>
      </c>
      <c r="P410" s="20"/>
      <c r="Q410" s="30" t="str">
        <f aca="false">IF($F410="","",IF(AND(ISNUMBER(SEARCH("CMT",$F410)),OR(ISNUMBER(SEARCH("사입",$F410)),ISNUMBER(SEARCH("Buying",$F410)))),"본사/생산처 혼재",IF(ISNUMBER(SEARCH("CMT",$F410)),"본사(소재팀)","생산처")))</f>
        <v>생산처</v>
      </c>
      <c r="R410" s="29" t="s">
        <v>334</v>
      </c>
      <c r="S410" s="29" t="s">
        <v>195</v>
      </c>
      <c r="T410" s="30" t="str">
        <f aca="false">IF($K410="","출고일 미정",IF($O410="X","작지(일매) 미등록",IF($O410="부분","작지(일매) 일부 미등록",IF(AND($P410&lt;&gt;"",$P410&gt;$M410),"소재입고 마감("&amp;TEXT($M410,"MM/DD")&amp;") 초과",IF($O410="","일매 등록여부 확인 필요",IF($P410="","소재 입고일정 확인 필요","정상"))))))</f>
        <v>작지(일매) 미등록</v>
      </c>
      <c r="U410" s="28" t="str">
        <f aca="false">IF($K410="","",IF(OR(LEFT($T410,2)="작지",LEFT($T410,4)="소재입고"),IF(LEFT($E410,1)="S","★ 납기위험(S코드)","◆ 지연주의"),IF($T410="정상","✓ 정상","? 확인필요")))</f>
        <v>◆ 지연주의</v>
      </c>
      <c r="V410" s="31"/>
      <c r="W410" s="19"/>
    </row>
    <row r="411" customFormat="false" ht="15" hidden="false" customHeight="true" outlineLevel="0" collapsed="false">
      <c r="A411" s="28" t="n">
        <v>407</v>
      </c>
      <c r="B411" s="29" t="s">
        <v>802</v>
      </c>
      <c r="C411" s="30" t="s">
        <v>957</v>
      </c>
      <c r="D411" s="29" t="s">
        <v>958</v>
      </c>
      <c r="E411" s="28" t="str">
        <f aca="false">IF($C411="","",IF(MID($C411,5,1)="S","S(봄)",IF(MID($C411,5,1)="M","M(여름)",IF(MID($C411,5,1)="X","X(사계절)",MID($C411,5,1)))))</f>
        <v>X(사계절)</v>
      </c>
      <c r="F411" s="29" t="s">
        <v>106</v>
      </c>
      <c r="G411" s="31"/>
      <c r="H411" s="28" t="str">
        <f aca="false">IF($C411="","",REPLACE($C411,6,2,"26"))</f>
        <v>QELAX26551</v>
      </c>
      <c r="I411" s="32" t="str">
        <f aca="false">IFERROR(INDEX(전년출고참조!$B$4:$B$638,MATCH($H411,전년출고참조!$A$4:$A$638,0)),"")</f>
        <v/>
      </c>
      <c r="J411" s="32" t="n">
        <v>46443</v>
      </c>
      <c r="K411" s="32" t="n">
        <f aca="false">IF($G411&lt;&gt;"",IFERROR(DATE(IF(VALUE(LEFT($G411,FIND("월",$G411)-1))&gt;=9,기준정보!$C$6-1,기준정보!$C$6),VALUE(LEFT($G411,FIND("월",$G411)-1)),1+7*(VALUE(SUBSTITUTE(MID($G411,FIND("월",$G411)+1,5),"주",""))-1)),""),IF($I411&lt;&gt;"",IF(ISNUMBER($I411),$I411+364,IFERROR(DATE(IF(VALUE(LEFT($I411,FIND("월",$I411)-1))&gt;=9,기준정보!$C$6-1,기준정보!$C$6),VALUE(LEFT($I411,FIND("월",$I411)-1)),1+7*(VALUE(SUBSTITUTE(MID($I411,FIND("월",$I411)+1,5),"주",""))-1)),"")),IF($J411&lt;&gt;"",$J411,"")))</f>
        <v>46443</v>
      </c>
      <c r="L411" s="28" t="str">
        <f aca="false">IF($G411&lt;&gt;"","계획 주차",IF($I411&lt;&gt;"","전년+1년 예측",IF($J411&lt;&gt;"","전산 입고계획(참고)","미정")))</f>
        <v>전산 입고계획(참고)</v>
      </c>
      <c r="M411" s="32" t="n">
        <f aca="false">IF($K411="","",$K411-기준정보!$C$5)</f>
        <v>46353</v>
      </c>
      <c r="N411" s="33" t="n">
        <f aca="false">IF($M411="","",$M411-기준정보!$C$4)</f>
        <v>112</v>
      </c>
      <c r="O411" s="31" t="s">
        <v>114</v>
      </c>
      <c r="P411" s="20"/>
      <c r="Q411" s="30" t="str">
        <f aca="false">IF($F411="","",IF(AND(ISNUMBER(SEARCH("CMT",$F411)),OR(ISNUMBER(SEARCH("사입",$F411)),ISNUMBER(SEARCH("Buying",$F411)))),"본사/생산처 혼재",IF(ISNUMBER(SEARCH("CMT",$F411)),"본사(소재팀)","생산처")))</f>
        <v>생산처</v>
      </c>
      <c r="R411" s="29" t="s">
        <v>954</v>
      </c>
      <c r="S411" s="29" t="s">
        <v>195</v>
      </c>
      <c r="T411" s="30" t="str">
        <f aca="false">IF($K411="","출고일 미정",IF($O411="X","작지(일매) 미등록",IF($O411="부분","작지(일매) 일부 미등록",IF(AND($P411&lt;&gt;"",$P411&gt;$M411),"소재입고 마감("&amp;TEXT($M411,"MM/DD")&amp;") 초과",IF($O411="","일매 등록여부 확인 필요",IF($P411="","소재 입고일정 확인 필요","정상"))))))</f>
        <v>작지(일매) 미등록</v>
      </c>
      <c r="U411" s="28" t="str">
        <f aca="false">IF($K411="","",IF(OR(LEFT($T411,2)="작지",LEFT($T411,4)="소재입고"),IF(LEFT($E411,1)="S","★ 납기위험(S코드)","◆ 지연주의"),IF($T411="정상","✓ 정상","? 확인필요")))</f>
        <v>◆ 지연주의</v>
      </c>
      <c r="V411" s="31"/>
      <c r="W411" s="19"/>
    </row>
    <row r="412" customFormat="false" ht="15" hidden="false" customHeight="true" outlineLevel="0" collapsed="false">
      <c r="A412" s="28" t="n">
        <v>408</v>
      </c>
      <c r="B412" s="29" t="s">
        <v>802</v>
      </c>
      <c r="C412" s="30" t="s">
        <v>959</v>
      </c>
      <c r="D412" s="29" t="s">
        <v>960</v>
      </c>
      <c r="E412" s="28" t="str">
        <f aca="false">IF($C412="","",IF(MID($C412,5,1)="S","S(봄)",IF(MID($C412,5,1)="M","M(여름)",IF(MID($C412,5,1)="X","X(사계절)",MID($C412,5,1)))))</f>
        <v>X(사계절)</v>
      </c>
      <c r="F412" s="29" t="s">
        <v>106</v>
      </c>
      <c r="G412" s="31"/>
      <c r="H412" s="28" t="str">
        <f aca="false">IF($C412="","",REPLACE($C412,6,2,"26"))</f>
        <v>QELAX26561</v>
      </c>
      <c r="I412" s="32" t="str">
        <f aca="false">IFERROR(INDEX(전년출고참조!$B$4:$B$638,MATCH($H412,전년출고참조!$A$4:$A$638,0)),"")</f>
        <v/>
      </c>
      <c r="J412" s="32" t="n">
        <v>46443</v>
      </c>
      <c r="K412" s="32" t="n">
        <f aca="false">IF($G412&lt;&gt;"",IFERROR(DATE(IF(VALUE(LEFT($G412,FIND("월",$G412)-1))&gt;=9,기준정보!$C$6-1,기준정보!$C$6),VALUE(LEFT($G412,FIND("월",$G412)-1)),1+7*(VALUE(SUBSTITUTE(MID($G412,FIND("월",$G412)+1,5),"주",""))-1)),""),IF($I412&lt;&gt;"",IF(ISNUMBER($I412),$I412+364,IFERROR(DATE(IF(VALUE(LEFT($I412,FIND("월",$I412)-1))&gt;=9,기준정보!$C$6-1,기준정보!$C$6),VALUE(LEFT($I412,FIND("월",$I412)-1)),1+7*(VALUE(SUBSTITUTE(MID($I412,FIND("월",$I412)+1,5),"주",""))-1)),"")),IF($J412&lt;&gt;"",$J412,"")))</f>
        <v>46443</v>
      </c>
      <c r="L412" s="28" t="str">
        <f aca="false">IF($G412&lt;&gt;"","계획 주차",IF($I412&lt;&gt;"","전년+1년 예측",IF($J412&lt;&gt;"","전산 입고계획(참고)","미정")))</f>
        <v>전산 입고계획(참고)</v>
      </c>
      <c r="M412" s="32" t="n">
        <f aca="false">IF($K412="","",$K412-기준정보!$C$5)</f>
        <v>46353</v>
      </c>
      <c r="N412" s="33" t="n">
        <f aca="false">IF($M412="","",$M412-기준정보!$C$4)</f>
        <v>112</v>
      </c>
      <c r="O412" s="31" t="s">
        <v>114</v>
      </c>
      <c r="P412" s="20"/>
      <c r="Q412" s="30" t="str">
        <f aca="false">IF($F412="","",IF(AND(ISNUMBER(SEARCH("CMT",$F412)),OR(ISNUMBER(SEARCH("사입",$F412)),ISNUMBER(SEARCH("Buying",$F412)))),"본사/생산처 혼재",IF(ISNUMBER(SEARCH("CMT",$F412)),"본사(소재팀)","생산처")))</f>
        <v>생산처</v>
      </c>
      <c r="R412" s="29" t="s">
        <v>954</v>
      </c>
      <c r="S412" s="29" t="s">
        <v>195</v>
      </c>
      <c r="T412" s="30" t="str">
        <f aca="false">IF($K412="","출고일 미정",IF($O412="X","작지(일매) 미등록",IF($O412="부분","작지(일매) 일부 미등록",IF(AND($P412&lt;&gt;"",$P412&gt;$M412),"소재입고 마감("&amp;TEXT($M412,"MM/DD")&amp;") 초과",IF($O412="","일매 등록여부 확인 필요",IF($P412="","소재 입고일정 확인 필요","정상"))))))</f>
        <v>작지(일매) 미등록</v>
      </c>
      <c r="U412" s="28" t="str">
        <f aca="false">IF($K412="","",IF(OR(LEFT($T412,2)="작지",LEFT($T412,4)="소재입고"),IF(LEFT($E412,1)="S","★ 납기위험(S코드)","◆ 지연주의"),IF($T412="정상","✓ 정상","? 확인필요")))</f>
        <v>◆ 지연주의</v>
      </c>
      <c r="V412" s="31"/>
      <c r="W412" s="19"/>
    </row>
    <row r="413" customFormat="false" ht="15" hidden="false" customHeight="true" outlineLevel="0" collapsed="false">
      <c r="A413" s="28" t="n">
        <v>409</v>
      </c>
      <c r="B413" s="29" t="s">
        <v>802</v>
      </c>
      <c r="C413" s="30" t="s">
        <v>961</v>
      </c>
      <c r="D413" s="29" t="s">
        <v>962</v>
      </c>
      <c r="E413" s="28" t="str">
        <f aca="false">IF($C413="","",IF(MID($C413,5,1)="S","S(봄)",IF(MID($C413,5,1)="M","M(여름)",IF(MID($C413,5,1)="X","X(사계절)",MID($C413,5,1)))))</f>
        <v>X(사계절)</v>
      </c>
      <c r="F413" s="29" t="s">
        <v>106</v>
      </c>
      <c r="G413" s="31"/>
      <c r="H413" s="28" t="str">
        <f aca="false">IF($C413="","",REPLACE($C413,6,2,"26"))</f>
        <v>QELAX26521</v>
      </c>
      <c r="I413" s="32" t="str">
        <f aca="false">IFERROR(INDEX(전년출고참조!$B$4:$B$638,MATCH($H413,전년출고참조!$A$4:$A$638,0)),"")</f>
        <v/>
      </c>
      <c r="J413" s="32" t="n">
        <v>46457</v>
      </c>
      <c r="K413" s="32" t="n">
        <f aca="false">IF($G413&lt;&gt;"",IFERROR(DATE(IF(VALUE(LEFT($G413,FIND("월",$G413)-1))&gt;=9,기준정보!$C$6-1,기준정보!$C$6),VALUE(LEFT($G413,FIND("월",$G413)-1)),1+7*(VALUE(SUBSTITUTE(MID($G413,FIND("월",$G413)+1,5),"주",""))-1)),""),IF($I413&lt;&gt;"",IF(ISNUMBER($I413),$I413+364,IFERROR(DATE(IF(VALUE(LEFT($I413,FIND("월",$I413)-1))&gt;=9,기준정보!$C$6-1,기준정보!$C$6),VALUE(LEFT($I413,FIND("월",$I413)-1)),1+7*(VALUE(SUBSTITUTE(MID($I413,FIND("월",$I413)+1,5),"주",""))-1)),"")),IF($J413&lt;&gt;"",$J413,"")))</f>
        <v>46457</v>
      </c>
      <c r="L413" s="28" t="str">
        <f aca="false">IF($G413&lt;&gt;"","계획 주차",IF($I413&lt;&gt;"","전년+1년 예측",IF($J413&lt;&gt;"","전산 입고계획(참고)","미정")))</f>
        <v>전산 입고계획(참고)</v>
      </c>
      <c r="M413" s="32" t="n">
        <f aca="false">IF($K413="","",$K413-기준정보!$C$5)</f>
        <v>46367</v>
      </c>
      <c r="N413" s="33" t="n">
        <f aca="false">IF($M413="","",$M413-기준정보!$C$4)</f>
        <v>126</v>
      </c>
      <c r="O413" s="31" t="s">
        <v>114</v>
      </c>
      <c r="P413" s="20"/>
      <c r="Q413" s="30" t="str">
        <f aca="false">IF($F413="","",IF(AND(ISNUMBER(SEARCH("CMT",$F413)),OR(ISNUMBER(SEARCH("사입",$F413)),ISNUMBER(SEARCH("Buying",$F413)))),"본사/생산처 혼재",IF(ISNUMBER(SEARCH("CMT",$F413)),"본사(소재팀)","생산처")))</f>
        <v>생산처</v>
      </c>
      <c r="R413" s="29" t="s">
        <v>334</v>
      </c>
      <c r="S413" s="29" t="s">
        <v>195</v>
      </c>
      <c r="T413" s="30" t="str">
        <f aca="false">IF($K413="","출고일 미정",IF($O413="X","작지(일매) 미등록",IF($O413="부분","작지(일매) 일부 미등록",IF(AND($P413&lt;&gt;"",$P413&gt;$M413),"소재입고 마감("&amp;TEXT($M413,"MM/DD")&amp;") 초과",IF($O413="","일매 등록여부 확인 필요",IF($P413="","소재 입고일정 확인 필요","정상"))))))</f>
        <v>작지(일매) 미등록</v>
      </c>
      <c r="U413" s="28" t="str">
        <f aca="false">IF($K413="","",IF(OR(LEFT($T413,2)="작지",LEFT($T413,4)="소재입고"),IF(LEFT($E413,1)="S","★ 납기위험(S코드)","◆ 지연주의"),IF($T413="정상","✓ 정상","? 확인필요")))</f>
        <v>◆ 지연주의</v>
      </c>
      <c r="V413" s="31"/>
      <c r="W413" s="19"/>
    </row>
    <row r="414" customFormat="false" ht="15" hidden="false" customHeight="true" outlineLevel="0" collapsed="false">
      <c r="A414" s="28" t="n">
        <v>410</v>
      </c>
      <c r="B414" s="29" t="s">
        <v>802</v>
      </c>
      <c r="C414" s="30" t="s">
        <v>963</v>
      </c>
      <c r="D414" s="29" t="s">
        <v>964</v>
      </c>
      <c r="E414" s="28" t="str">
        <f aca="false">IF($C414="","",IF(MID($C414,5,1)="S","S(봄)",IF(MID($C414,5,1)="M","M(여름)",IF(MID($C414,5,1)="X","X(사계절)",MID($C414,5,1)))))</f>
        <v>X(사계절)</v>
      </c>
      <c r="F414" s="29" t="s">
        <v>106</v>
      </c>
      <c r="G414" s="31"/>
      <c r="H414" s="28" t="str">
        <f aca="false">IF($C414="","",REPLACE($C414,6,2,"26"))</f>
        <v>QELAX26571</v>
      </c>
      <c r="I414" s="32" t="str">
        <f aca="false">IFERROR(INDEX(전년출고참조!$B$4:$B$638,MATCH($H414,전년출고참조!$A$4:$A$638,0)),"")</f>
        <v/>
      </c>
      <c r="J414" s="32" t="n">
        <v>46457</v>
      </c>
      <c r="K414" s="32" t="n">
        <f aca="false">IF($G414&lt;&gt;"",IFERROR(DATE(IF(VALUE(LEFT($G414,FIND("월",$G414)-1))&gt;=9,기준정보!$C$6-1,기준정보!$C$6),VALUE(LEFT($G414,FIND("월",$G414)-1)),1+7*(VALUE(SUBSTITUTE(MID($G414,FIND("월",$G414)+1,5),"주",""))-1)),""),IF($I414&lt;&gt;"",IF(ISNUMBER($I414),$I414+364,IFERROR(DATE(IF(VALUE(LEFT($I414,FIND("월",$I414)-1))&gt;=9,기준정보!$C$6-1,기준정보!$C$6),VALUE(LEFT($I414,FIND("월",$I414)-1)),1+7*(VALUE(SUBSTITUTE(MID($I414,FIND("월",$I414)+1,5),"주",""))-1)),"")),IF($J414&lt;&gt;"",$J414,"")))</f>
        <v>46457</v>
      </c>
      <c r="L414" s="28" t="str">
        <f aca="false">IF($G414&lt;&gt;"","계획 주차",IF($I414&lt;&gt;"","전년+1년 예측",IF($J414&lt;&gt;"","전산 입고계획(참고)","미정")))</f>
        <v>전산 입고계획(참고)</v>
      </c>
      <c r="M414" s="32" t="n">
        <f aca="false">IF($K414="","",$K414-기준정보!$C$5)</f>
        <v>46367</v>
      </c>
      <c r="N414" s="33" t="n">
        <f aca="false">IF($M414="","",$M414-기준정보!$C$4)</f>
        <v>126</v>
      </c>
      <c r="O414" s="31" t="s">
        <v>114</v>
      </c>
      <c r="P414" s="20"/>
      <c r="Q414" s="30" t="str">
        <f aca="false">IF($F414="","",IF(AND(ISNUMBER(SEARCH("CMT",$F414)),OR(ISNUMBER(SEARCH("사입",$F414)),ISNUMBER(SEARCH("Buying",$F414)))),"본사/생산처 혼재",IF(ISNUMBER(SEARCH("CMT",$F414)),"본사(소재팀)","생산처")))</f>
        <v>생산처</v>
      </c>
      <c r="R414" s="29" t="s">
        <v>954</v>
      </c>
      <c r="S414" s="29" t="s">
        <v>195</v>
      </c>
      <c r="T414" s="30" t="str">
        <f aca="false">IF($K414="","출고일 미정",IF($O414="X","작지(일매) 미등록",IF($O414="부분","작지(일매) 일부 미등록",IF(AND($P414&lt;&gt;"",$P414&gt;$M414),"소재입고 마감("&amp;TEXT($M414,"MM/DD")&amp;") 초과",IF($O414="","일매 등록여부 확인 필요",IF($P414="","소재 입고일정 확인 필요","정상"))))))</f>
        <v>작지(일매) 미등록</v>
      </c>
      <c r="U414" s="28" t="str">
        <f aca="false">IF($K414="","",IF(OR(LEFT($T414,2)="작지",LEFT($T414,4)="소재입고"),IF(LEFT($E414,1)="S","★ 납기위험(S코드)","◆ 지연주의"),IF($T414="정상","✓ 정상","? 확인필요")))</f>
        <v>◆ 지연주의</v>
      </c>
      <c r="V414" s="31"/>
      <c r="W414" s="19"/>
    </row>
    <row r="415" customFormat="false" ht="15" hidden="false" customHeight="true" outlineLevel="0" collapsed="false">
      <c r="A415" s="28" t="n">
        <v>411</v>
      </c>
      <c r="B415" s="29" t="s">
        <v>802</v>
      </c>
      <c r="C415" s="30" t="s">
        <v>965</v>
      </c>
      <c r="D415" s="29" t="s">
        <v>966</v>
      </c>
      <c r="E415" s="28" t="str">
        <f aca="false">IF($C415="","",IF(MID($C415,5,1)="S","S(봄)",IF(MID($C415,5,1)="M","M(여름)",IF(MID($C415,5,1)="X","X(사계절)",MID($C415,5,1)))))</f>
        <v>X(사계절)</v>
      </c>
      <c r="F415" s="29" t="s">
        <v>106</v>
      </c>
      <c r="G415" s="31"/>
      <c r="H415" s="28" t="str">
        <f aca="false">IF($C415="","",REPLACE($C415,6,2,"26"))</f>
        <v>QEREX26401</v>
      </c>
      <c r="I415" s="32" t="str">
        <f aca="false">IFERROR(INDEX(전년출고참조!$B$4:$B$638,MATCH($H415,전년출고참조!$A$4:$A$638,0)),"")</f>
        <v/>
      </c>
      <c r="J415" s="32" t="n">
        <v>46457</v>
      </c>
      <c r="K415" s="32" t="n">
        <f aca="false">IF($G415&lt;&gt;"",IFERROR(DATE(IF(VALUE(LEFT($G415,FIND("월",$G415)-1))&gt;=9,기준정보!$C$6-1,기준정보!$C$6),VALUE(LEFT($G415,FIND("월",$G415)-1)),1+7*(VALUE(SUBSTITUTE(MID($G415,FIND("월",$G415)+1,5),"주",""))-1)),""),IF($I415&lt;&gt;"",IF(ISNUMBER($I415),$I415+364,IFERROR(DATE(IF(VALUE(LEFT($I415,FIND("월",$I415)-1))&gt;=9,기준정보!$C$6-1,기준정보!$C$6),VALUE(LEFT($I415,FIND("월",$I415)-1)),1+7*(VALUE(SUBSTITUTE(MID($I415,FIND("월",$I415)+1,5),"주",""))-1)),"")),IF($J415&lt;&gt;"",$J415,"")))</f>
        <v>46457</v>
      </c>
      <c r="L415" s="28" t="str">
        <f aca="false">IF($G415&lt;&gt;"","계획 주차",IF($I415&lt;&gt;"","전년+1년 예측",IF($J415&lt;&gt;"","전산 입고계획(참고)","미정")))</f>
        <v>전산 입고계획(참고)</v>
      </c>
      <c r="M415" s="32" t="n">
        <f aca="false">IF($K415="","",$K415-기준정보!$C$5)</f>
        <v>46367</v>
      </c>
      <c r="N415" s="33" t="n">
        <f aca="false">IF($M415="","",$M415-기준정보!$C$4)</f>
        <v>126</v>
      </c>
      <c r="O415" s="31" t="s">
        <v>108</v>
      </c>
      <c r="P415" s="20"/>
      <c r="Q415" s="30" t="str">
        <f aca="false">IF($F415="","",IF(AND(ISNUMBER(SEARCH("CMT",$F415)),OR(ISNUMBER(SEARCH("사입",$F415)),ISNUMBER(SEARCH("Buying",$F415)))),"본사/생산처 혼재",IF(ISNUMBER(SEARCH("CMT",$F415)),"본사(소재팀)","생산처")))</f>
        <v>생산처</v>
      </c>
      <c r="R415" s="29" t="s">
        <v>337</v>
      </c>
      <c r="S415" s="29" t="s">
        <v>110</v>
      </c>
      <c r="T415" s="30" t="str">
        <f aca="false">IF($K415="","출고일 미정",IF($O415="X","작지(일매) 미등록",IF($O415="부분","작지(일매) 일부 미등록",IF(AND($P415&lt;&gt;"",$P415&gt;$M415),"소재입고 마감("&amp;TEXT($M415,"MM/DD")&amp;") 초과",IF($O415="","일매 등록여부 확인 필요",IF($P415="","소재 입고일정 확인 필요","정상"))))))</f>
        <v>소재 입고일정 확인 필요</v>
      </c>
      <c r="U415" s="28" t="str">
        <f aca="false">IF($K415="","",IF(OR(LEFT($T415,2)="작지",LEFT($T415,4)="소재입고"),IF(LEFT($E415,1)="S","★ 납기위험(S코드)","◆ 지연주의"),IF($T415="정상","✓ 정상","? 확인필요")))</f>
        <v>? 확인필요</v>
      </c>
      <c r="V415" s="31"/>
      <c r="W415" s="19"/>
    </row>
    <row r="416" customFormat="false" ht="15" hidden="false" customHeight="true" outlineLevel="0" collapsed="false">
      <c r="A416" s="28" t="n">
        <v>412</v>
      </c>
      <c r="B416" s="29" t="s">
        <v>802</v>
      </c>
      <c r="C416" s="30" t="s">
        <v>967</v>
      </c>
      <c r="D416" s="29" t="s">
        <v>968</v>
      </c>
      <c r="E416" s="28" t="str">
        <f aca="false">IF($C416="","",IF(MID($C416,5,1)="S","S(봄)",IF(MID($C416,5,1)="M","M(여름)",IF(MID($C416,5,1)="X","X(사계절)",MID($C416,5,1)))))</f>
        <v>X(사계절)</v>
      </c>
      <c r="F416" s="29" t="s">
        <v>106</v>
      </c>
      <c r="G416" s="31"/>
      <c r="H416" s="28" t="str">
        <f aca="false">IF($C416="","",REPLACE($C416,6,2,"26"))</f>
        <v>QERFX26141</v>
      </c>
      <c r="I416" s="32" t="str">
        <f aca="false">IFERROR(INDEX(전년출고참조!$B$4:$B$638,MATCH($H416,전년출고참조!$A$4:$A$638,0)),"")</f>
        <v/>
      </c>
      <c r="J416" s="32" t="n">
        <v>46457</v>
      </c>
      <c r="K416" s="32" t="n">
        <f aca="false">IF($G416&lt;&gt;"",IFERROR(DATE(IF(VALUE(LEFT($G416,FIND("월",$G416)-1))&gt;=9,기준정보!$C$6-1,기준정보!$C$6),VALUE(LEFT($G416,FIND("월",$G416)-1)),1+7*(VALUE(SUBSTITUTE(MID($G416,FIND("월",$G416)+1,5),"주",""))-1)),""),IF($I416&lt;&gt;"",IF(ISNUMBER($I416),$I416+364,IFERROR(DATE(IF(VALUE(LEFT($I416,FIND("월",$I416)-1))&gt;=9,기준정보!$C$6-1,기준정보!$C$6),VALUE(LEFT($I416,FIND("월",$I416)-1)),1+7*(VALUE(SUBSTITUTE(MID($I416,FIND("월",$I416)+1,5),"주",""))-1)),"")),IF($J416&lt;&gt;"",$J416,"")))</f>
        <v>46457</v>
      </c>
      <c r="L416" s="28" t="str">
        <f aca="false">IF($G416&lt;&gt;"","계획 주차",IF($I416&lt;&gt;"","전년+1년 예측",IF($J416&lt;&gt;"","전산 입고계획(참고)","미정")))</f>
        <v>전산 입고계획(참고)</v>
      </c>
      <c r="M416" s="32" t="n">
        <f aca="false">IF($K416="","",$K416-기준정보!$C$5)</f>
        <v>46367</v>
      </c>
      <c r="N416" s="33" t="n">
        <f aca="false">IF($M416="","",$M416-기준정보!$C$4)</f>
        <v>126</v>
      </c>
      <c r="O416" s="31" t="s">
        <v>108</v>
      </c>
      <c r="P416" s="20"/>
      <c r="Q416" s="30" t="str">
        <f aca="false">IF($F416="","",IF(AND(ISNUMBER(SEARCH("CMT",$F416)),OR(ISNUMBER(SEARCH("사입",$F416)),ISNUMBER(SEARCH("Buying",$F416)))),"본사/생산처 혼재",IF(ISNUMBER(SEARCH("CMT",$F416)),"본사(소재팀)","생산처")))</f>
        <v>생산처</v>
      </c>
      <c r="R416" s="29" t="s">
        <v>572</v>
      </c>
      <c r="S416" s="29" t="s">
        <v>195</v>
      </c>
      <c r="T416" s="30" t="str">
        <f aca="false">IF($K416="","출고일 미정",IF($O416="X","작지(일매) 미등록",IF($O416="부분","작지(일매) 일부 미등록",IF(AND($P416&lt;&gt;"",$P416&gt;$M416),"소재입고 마감("&amp;TEXT($M416,"MM/DD")&amp;") 초과",IF($O416="","일매 등록여부 확인 필요",IF($P416="","소재 입고일정 확인 필요","정상"))))))</f>
        <v>소재 입고일정 확인 필요</v>
      </c>
      <c r="U416" s="28" t="str">
        <f aca="false">IF($K416="","",IF(OR(LEFT($T416,2)="작지",LEFT($T416,4)="소재입고"),IF(LEFT($E416,1)="S","★ 납기위험(S코드)","◆ 지연주의"),IF($T416="정상","✓ 정상","? 확인필요")))</f>
        <v>? 확인필요</v>
      </c>
      <c r="V416" s="31"/>
      <c r="W416" s="19"/>
    </row>
    <row r="417" customFormat="false" ht="15" hidden="false" customHeight="true" outlineLevel="0" collapsed="false">
      <c r="A417" s="28" t="n">
        <v>413</v>
      </c>
      <c r="B417" s="29" t="s">
        <v>802</v>
      </c>
      <c r="C417" s="30" t="s">
        <v>969</v>
      </c>
      <c r="D417" s="29" t="s">
        <v>970</v>
      </c>
      <c r="E417" s="28" t="str">
        <f aca="false">IF($C417="","",IF(MID($C417,5,1)="S","S(봄)",IF(MID($C417,5,1)="M","M(여름)",IF(MID($C417,5,1)="X","X(사계절)",MID($C417,5,1)))))</f>
        <v>X(사계절)</v>
      </c>
      <c r="F417" s="29" t="s">
        <v>106</v>
      </c>
      <c r="G417" s="31"/>
      <c r="H417" s="28" t="str">
        <f aca="false">IF($C417="","",REPLACE($C417,6,2,"26"))</f>
        <v>QEAAX26111</v>
      </c>
      <c r="I417" s="32" t="str">
        <f aca="false">IFERROR(INDEX(전년출고참조!$B$4:$B$638,MATCH($H417,전년출고참조!$A$4:$A$638,0)),"")</f>
        <v/>
      </c>
      <c r="J417" s="32" t="n">
        <v>46469</v>
      </c>
      <c r="K417" s="32" t="n">
        <f aca="false">IF($G417&lt;&gt;"",IFERROR(DATE(IF(VALUE(LEFT($G417,FIND("월",$G417)-1))&gt;=9,기준정보!$C$6-1,기준정보!$C$6),VALUE(LEFT($G417,FIND("월",$G417)-1)),1+7*(VALUE(SUBSTITUTE(MID($G417,FIND("월",$G417)+1,5),"주",""))-1)),""),IF($I417&lt;&gt;"",IF(ISNUMBER($I417),$I417+364,IFERROR(DATE(IF(VALUE(LEFT($I417,FIND("월",$I417)-1))&gt;=9,기준정보!$C$6-1,기준정보!$C$6),VALUE(LEFT($I417,FIND("월",$I417)-1)),1+7*(VALUE(SUBSTITUTE(MID($I417,FIND("월",$I417)+1,5),"주",""))-1)),"")),IF($J417&lt;&gt;"",$J417,"")))</f>
        <v>46469</v>
      </c>
      <c r="L417" s="28" t="str">
        <f aca="false">IF($G417&lt;&gt;"","계획 주차",IF($I417&lt;&gt;"","전년+1년 예측",IF($J417&lt;&gt;"","전산 입고계획(참고)","미정")))</f>
        <v>전산 입고계획(참고)</v>
      </c>
      <c r="M417" s="32" t="n">
        <f aca="false">IF($K417="","",$K417-기준정보!$C$5)</f>
        <v>46379</v>
      </c>
      <c r="N417" s="33" t="n">
        <f aca="false">IF($M417="","",$M417-기준정보!$C$4)</f>
        <v>138</v>
      </c>
      <c r="O417" s="31" t="s">
        <v>114</v>
      </c>
      <c r="P417" s="20"/>
      <c r="Q417" s="30" t="str">
        <f aca="false">IF($F417="","",IF(AND(ISNUMBER(SEARCH("CMT",$F417)),OR(ISNUMBER(SEARCH("사입",$F417)),ISNUMBER(SEARCH("Buying",$F417)))),"본사/생산처 혼재",IF(ISNUMBER(SEARCH("CMT",$F417)),"본사(소재팀)","생산처")))</f>
        <v>생산처</v>
      </c>
      <c r="R417" s="29" t="s">
        <v>565</v>
      </c>
      <c r="S417" s="29" t="s">
        <v>195</v>
      </c>
      <c r="T417" s="30" t="str">
        <f aca="false">IF($K417="","출고일 미정",IF($O417="X","작지(일매) 미등록",IF($O417="부분","작지(일매) 일부 미등록",IF(AND($P417&lt;&gt;"",$P417&gt;$M417),"소재입고 마감("&amp;TEXT($M417,"MM/DD")&amp;") 초과",IF($O417="","일매 등록여부 확인 필요",IF($P417="","소재 입고일정 확인 필요","정상"))))))</f>
        <v>작지(일매) 미등록</v>
      </c>
      <c r="U417" s="28" t="str">
        <f aca="false">IF($K417="","",IF(OR(LEFT($T417,2)="작지",LEFT($T417,4)="소재입고"),IF(LEFT($E417,1)="S","★ 납기위험(S코드)","◆ 지연주의"),IF($T417="정상","✓ 정상","? 확인필요")))</f>
        <v>◆ 지연주의</v>
      </c>
      <c r="V417" s="31"/>
      <c r="W417" s="19"/>
    </row>
    <row r="418" customFormat="false" ht="15" hidden="false" customHeight="true" outlineLevel="0" collapsed="false">
      <c r="A418" s="28" t="n">
        <v>414</v>
      </c>
      <c r="B418" s="29" t="s">
        <v>802</v>
      </c>
      <c r="C418" s="30" t="s">
        <v>971</v>
      </c>
      <c r="D418" s="29" t="s">
        <v>972</v>
      </c>
      <c r="E418" s="28" t="str">
        <f aca="false">IF($C418="","",IF(MID($C418,5,1)="S","S(봄)",IF(MID($C418,5,1)="M","M(여름)",IF(MID($C418,5,1)="X","X(사계절)",MID($C418,5,1)))))</f>
        <v>X(사계절)</v>
      </c>
      <c r="F418" s="29" t="s">
        <v>106</v>
      </c>
      <c r="G418" s="31"/>
      <c r="H418" s="28" t="str">
        <f aca="false">IF($C418="","",REPLACE($C418,6,2,"26"))</f>
        <v>QEAKX26101</v>
      </c>
      <c r="I418" s="32" t="str">
        <f aca="false">IFERROR(INDEX(전년출고참조!$B$4:$B$638,MATCH($H418,전년출고참조!$A$4:$A$638,0)),"")</f>
        <v/>
      </c>
      <c r="J418" s="32" t="n">
        <v>46469</v>
      </c>
      <c r="K418" s="32" t="n">
        <f aca="false">IF($G418&lt;&gt;"",IFERROR(DATE(IF(VALUE(LEFT($G418,FIND("월",$G418)-1))&gt;=9,기준정보!$C$6-1,기준정보!$C$6),VALUE(LEFT($G418,FIND("월",$G418)-1)),1+7*(VALUE(SUBSTITUTE(MID($G418,FIND("월",$G418)+1,5),"주",""))-1)),""),IF($I418&lt;&gt;"",IF(ISNUMBER($I418),$I418+364,IFERROR(DATE(IF(VALUE(LEFT($I418,FIND("월",$I418)-1))&gt;=9,기준정보!$C$6-1,기준정보!$C$6),VALUE(LEFT($I418,FIND("월",$I418)-1)),1+7*(VALUE(SUBSTITUTE(MID($I418,FIND("월",$I418)+1,5),"주",""))-1)),"")),IF($J418&lt;&gt;"",$J418,"")))</f>
        <v>46469</v>
      </c>
      <c r="L418" s="28" t="str">
        <f aca="false">IF($G418&lt;&gt;"","계획 주차",IF($I418&lt;&gt;"","전년+1년 예측",IF($J418&lt;&gt;"","전산 입고계획(참고)","미정")))</f>
        <v>전산 입고계획(참고)</v>
      </c>
      <c r="M418" s="32" t="n">
        <f aca="false">IF($K418="","",$K418-기준정보!$C$5)</f>
        <v>46379</v>
      </c>
      <c r="N418" s="33" t="n">
        <f aca="false">IF($M418="","",$M418-기준정보!$C$4)</f>
        <v>138</v>
      </c>
      <c r="O418" s="31" t="s">
        <v>114</v>
      </c>
      <c r="P418" s="20"/>
      <c r="Q418" s="30" t="str">
        <f aca="false">IF($F418="","",IF(AND(ISNUMBER(SEARCH("CMT",$F418)),OR(ISNUMBER(SEARCH("사입",$F418)),ISNUMBER(SEARCH("Buying",$F418)))),"본사/생산처 혼재",IF(ISNUMBER(SEARCH("CMT",$F418)),"본사(소재팀)","생산처")))</f>
        <v>생산처</v>
      </c>
      <c r="R418" s="29" t="s">
        <v>565</v>
      </c>
      <c r="S418" s="29" t="s">
        <v>195</v>
      </c>
      <c r="T418" s="30" t="str">
        <f aca="false">IF($K418="","출고일 미정",IF($O418="X","작지(일매) 미등록",IF($O418="부분","작지(일매) 일부 미등록",IF(AND($P418&lt;&gt;"",$P418&gt;$M418),"소재입고 마감("&amp;TEXT($M418,"MM/DD")&amp;") 초과",IF($O418="","일매 등록여부 확인 필요",IF($P418="","소재 입고일정 확인 필요","정상"))))))</f>
        <v>작지(일매) 미등록</v>
      </c>
      <c r="U418" s="28" t="str">
        <f aca="false">IF($K418="","",IF(OR(LEFT($T418,2)="작지",LEFT($T418,4)="소재입고"),IF(LEFT($E418,1)="S","★ 납기위험(S코드)","◆ 지연주의"),IF($T418="정상","✓ 정상","? 확인필요")))</f>
        <v>◆ 지연주의</v>
      </c>
      <c r="V418" s="31"/>
      <c r="W418" s="19"/>
    </row>
    <row r="419" customFormat="false" ht="15" hidden="false" customHeight="true" outlineLevel="0" collapsed="false">
      <c r="A419" s="28" t="n">
        <v>415</v>
      </c>
      <c r="B419" s="29" t="s">
        <v>802</v>
      </c>
      <c r="C419" s="30" t="s">
        <v>973</v>
      </c>
      <c r="D419" s="29" t="s">
        <v>974</v>
      </c>
      <c r="E419" s="28" t="str">
        <f aca="false">IF($C419="","",IF(MID($C419,5,1)="S","S(봄)",IF(MID($C419,5,1)="M","M(여름)",IF(MID($C419,5,1)="X","X(사계절)",MID($C419,5,1)))))</f>
        <v>X(사계절)</v>
      </c>
      <c r="F419" s="29" t="s">
        <v>106</v>
      </c>
      <c r="G419" s="31"/>
      <c r="H419" s="28" t="str">
        <f aca="false">IF($C419="","",REPLACE($C419,6,2,"26"))</f>
        <v>QEAKX26111</v>
      </c>
      <c r="I419" s="32" t="str">
        <f aca="false">IFERROR(INDEX(전년출고참조!$B$4:$B$638,MATCH($H419,전년출고참조!$A$4:$A$638,0)),"")</f>
        <v/>
      </c>
      <c r="J419" s="32" t="n">
        <v>46469</v>
      </c>
      <c r="K419" s="32" t="n">
        <f aca="false">IF($G419&lt;&gt;"",IFERROR(DATE(IF(VALUE(LEFT($G419,FIND("월",$G419)-1))&gt;=9,기준정보!$C$6-1,기준정보!$C$6),VALUE(LEFT($G419,FIND("월",$G419)-1)),1+7*(VALUE(SUBSTITUTE(MID($G419,FIND("월",$G419)+1,5),"주",""))-1)),""),IF($I419&lt;&gt;"",IF(ISNUMBER($I419),$I419+364,IFERROR(DATE(IF(VALUE(LEFT($I419,FIND("월",$I419)-1))&gt;=9,기준정보!$C$6-1,기준정보!$C$6),VALUE(LEFT($I419,FIND("월",$I419)-1)),1+7*(VALUE(SUBSTITUTE(MID($I419,FIND("월",$I419)+1,5),"주",""))-1)),"")),IF($J419&lt;&gt;"",$J419,"")))</f>
        <v>46469</v>
      </c>
      <c r="L419" s="28" t="str">
        <f aca="false">IF($G419&lt;&gt;"","계획 주차",IF($I419&lt;&gt;"","전년+1년 예측",IF($J419&lt;&gt;"","전산 입고계획(참고)","미정")))</f>
        <v>전산 입고계획(참고)</v>
      </c>
      <c r="M419" s="32" t="n">
        <f aca="false">IF($K419="","",$K419-기준정보!$C$5)</f>
        <v>46379</v>
      </c>
      <c r="N419" s="33" t="n">
        <f aca="false">IF($M419="","",$M419-기준정보!$C$4)</f>
        <v>138</v>
      </c>
      <c r="O419" s="31" t="s">
        <v>114</v>
      </c>
      <c r="P419" s="20"/>
      <c r="Q419" s="30" t="str">
        <f aca="false">IF($F419="","",IF(AND(ISNUMBER(SEARCH("CMT",$F419)),OR(ISNUMBER(SEARCH("사입",$F419)),ISNUMBER(SEARCH("Buying",$F419)))),"본사/생산처 혼재",IF(ISNUMBER(SEARCH("CMT",$F419)),"본사(소재팀)","생산처")))</f>
        <v>생산처</v>
      </c>
      <c r="R419" s="29" t="s">
        <v>565</v>
      </c>
      <c r="S419" s="29" t="s">
        <v>195</v>
      </c>
      <c r="T419" s="30" t="str">
        <f aca="false">IF($K419="","출고일 미정",IF($O419="X","작지(일매) 미등록",IF($O419="부분","작지(일매) 일부 미등록",IF(AND($P419&lt;&gt;"",$P419&gt;$M419),"소재입고 마감("&amp;TEXT($M419,"MM/DD")&amp;") 초과",IF($O419="","일매 등록여부 확인 필요",IF($P419="","소재 입고일정 확인 필요","정상"))))))</f>
        <v>작지(일매) 미등록</v>
      </c>
      <c r="U419" s="28" t="str">
        <f aca="false">IF($K419="","",IF(OR(LEFT($T419,2)="작지",LEFT($T419,4)="소재입고"),IF(LEFT($E419,1)="S","★ 납기위험(S코드)","◆ 지연주의"),IF($T419="정상","✓ 정상","? 확인필요")))</f>
        <v>◆ 지연주의</v>
      </c>
      <c r="V419" s="31"/>
      <c r="W419" s="19"/>
    </row>
  </sheetData>
  <autoFilter ref="A4:W419"/>
  <conditionalFormatting sqref="U5:U419">
    <cfRule type="containsText" priority="2" operator="containsText" aboveAverage="0" equalAverage="0" bottom="0" percent="0" rank="0" text="★" dxfId="10">
      <formula>NOT(ISERROR(SEARCH("★",U5)))</formula>
    </cfRule>
    <cfRule type="containsText" priority="3" operator="containsText" aboveAverage="0" equalAverage="0" bottom="0" percent="0" rank="0" text="◆" dxfId="11">
      <formula>NOT(ISERROR(SEARCH("◆",U5)))</formula>
    </cfRule>
    <cfRule type="containsText" priority="4" operator="containsText" aboveAverage="0" equalAverage="0" bottom="0" percent="0" rank="0" text="✓" dxfId="12">
      <formula>NOT(ISERROR(SEARCH("✓",U5)))</formula>
    </cfRule>
    <cfRule type="containsText" priority="5" operator="containsText" aboveAverage="0" equalAverage="0" bottom="0" percent="0" rank="0" text="?" dxfId="13">
      <formula>NOT(ISERROR(SEARCH("?",U5)))</formula>
    </cfRule>
  </conditionalFormatting>
  <dataValidations count="2">
    <dataValidation allowBlank="true" errorStyle="stop" operator="between" showDropDown="false" showErrorMessage="false" showInputMessage="false" sqref="O5:O419" type="list">
      <formula1>"O,부분,X"</formula1>
      <formula2>0</formula2>
    </dataValidation>
    <dataValidation allowBlank="true" errorStyle="stop" operator="between" showDropDown="false" showErrorMessage="false" showInputMessage="false" sqref="V5:V419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7"/>
    <col collapsed="false" customWidth="true" hidden="false" outlineLevel="0" max="6" min="6" style="1" width="14"/>
    <col collapsed="false" customWidth="true" hidden="false" outlineLevel="0" max="7" min="7" style="1" width="12"/>
  </cols>
  <sheetData>
    <row r="2" customFormat="false" ht="18.75" hidden="false" customHeight="true" outlineLevel="0" collapsed="false">
      <c r="B2" s="21" t="s">
        <v>975</v>
      </c>
    </row>
    <row r="3" customFormat="false" ht="15" hidden="false" customHeight="true" outlineLevel="0" collapsed="false">
      <c r="B3" s="7" t="str">
        <f aca="false">"기준일: "&amp;TEXT(기준정보!$C$4,"YYYY-MM-DD")&amp;"  ·  소재입고 마감 = 출고예정일 − "&amp;기준정보!$C$5&amp;"일  ·  전체 415 스타일 (S "&amp;COUNTIF('소재역산 트래커'!$E$5:$E$419,"S(봄)")&amp;" / M "&amp;COUNTIF('소재역산 트래커'!$E$5:$E$419,"M(여름)")&amp;" / X "&amp;COUNTIF('소재역산 트래커'!$E$5:$E$419,"X(사계절)")&amp;")"</f>
        <v>기준일: 2026-08-07  ·  소재입고 마감 = 출고예정일 − 90일  ·  전체 415 스타일 (S 114 / M 241 / X 60)</v>
      </c>
    </row>
    <row r="5" customFormat="false" ht="15" hidden="false" customHeight="true" outlineLevel="0" collapsed="false">
      <c r="B5" s="22" t="s">
        <v>976</v>
      </c>
      <c r="D5" s="7" t="s">
        <v>977</v>
      </c>
      <c r="F5" s="22" t="s">
        <v>978</v>
      </c>
      <c r="H5" s="22" t="s">
        <v>979</v>
      </c>
      <c r="J5" s="7" t="s">
        <v>980</v>
      </c>
    </row>
    <row r="6" customFormat="false" ht="26.25" hidden="false" customHeight="true" outlineLevel="0" collapsed="false">
      <c r="B6" s="35" t="n">
        <f aca="false">COUNTA('소재역산 트래커'!$C$5:$C$419)</f>
        <v>415</v>
      </c>
      <c r="D6" s="35" t="n">
        <f aca="false">COUNTIF('소재역산 트래커'!$E$5:$E$419,"S(봄)")</f>
        <v>114</v>
      </c>
      <c r="F6" s="36" t="n">
        <f aca="false">COUNTIF('소재역산 트래커'!$U$5:$U$419,"★*")</f>
        <v>36</v>
      </c>
      <c r="H6" s="37" t="n">
        <f aca="false">COUNTIF('소재역산 트래커'!$U$5:$U$419,"◆*")</f>
        <v>143</v>
      </c>
      <c r="J6" s="38" t="n">
        <f aca="false">COUNTIF('소재역산 트래커'!$U$5:$U$419,"~?*")</f>
        <v>236</v>
      </c>
    </row>
    <row r="9" customFormat="false" ht="15.75" hidden="false" customHeight="true" outlineLevel="0" collapsed="false">
      <c r="B9" s="14" t="s">
        <v>981</v>
      </c>
    </row>
    <row r="10" customFormat="false" ht="15" hidden="false" customHeight="true" outlineLevel="0" collapsed="false">
      <c r="B10" s="18" t="s">
        <v>81</v>
      </c>
      <c r="C10" s="18" t="s">
        <v>982</v>
      </c>
      <c r="D10" s="39" t="s">
        <v>983</v>
      </c>
      <c r="E10" s="18" t="s">
        <v>984</v>
      </c>
      <c r="F10" s="18" t="s">
        <v>985</v>
      </c>
      <c r="G10" s="18" t="s">
        <v>986</v>
      </c>
    </row>
    <row r="11" customFormat="false" ht="15" hidden="false" customHeight="true" outlineLevel="0" collapsed="false">
      <c r="B11" s="29" t="s">
        <v>294</v>
      </c>
      <c r="C11" s="28" t="n">
        <f aca="false">COUNTIF('소재역산 트래커'!$B$5:$B$419,$B11)</f>
        <v>44</v>
      </c>
      <c r="D11" s="28" t="n">
        <f aca="false">COUNTIFS('소재역산 트래커'!$B$5:$B$419,$B11,'소재역산 트래커'!$E$5:$E$419,"S(봄)")</f>
        <v>9</v>
      </c>
      <c r="E11" s="28" t="n">
        <f aca="false">COUNTIFS('소재역산 트래커'!$B$5:$B$419,$B11,'소재역산 트래커'!$O$5:$O$419,"X")+COUNTIFS('소재역산 트래커'!$B$5:$B$419,$B11,'소재역산 트래커'!$O$5:$O$419,"부분")</f>
        <v>18</v>
      </c>
      <c r="F11" s="28" t="n">
        <f aca="false">COUNTIFS('소재역산 트래커'!$B$5:$B$419,$B11,'소재역산 트래커'!$U$5:$U$419,"★*")</f>
        <v>2</v>
      </c>
      <c r="G11" s="28" t="n">
        <f aca="false">COUNTIFS('소재역산 트래커'!$B$5:$B$419,$B11,'소재역산 트래커'!$V$5:$V$419,"조율완료")</f>
        <v>0</v>
      </c>
    </row>
    <row r="12" customFormat="false" ht="15" hidden="false" customHeight="true" outlineLevel="0" collapsed="false">
      <c r="B12" s="29" t="s">
        <v>182</v>
      </c>
      <c r="C12" s="28" t="n">
        <f aca="false">COUNTIF('소재역산 트래커'!$B$5:$B$419,$B12)</f>
        <v>35</v>
      </c>
      <c r="D12" s="28" t="n">
        <f aca="false">COUNTIFS('소재역산 트래커'!$B$5:$B$419,$B12,'소재역산 트래커'!$E$5:$E$419,"S(봄)")</f>
        <v>13</v>
      </c>
      <c r="E12" s="28" t="n">
        <f aca="false">COUNTIFS('소재역산 트래커'!$B$5:$B$419,$B12,'소재역산 트래커'!$O$5:$O$419,"X")+COUNTIFS('소재역산 트래커'!$B$5:$B$419,$B12,'소재역산 트래커'!$O$5:$O$419,"부분")</f>
        <v>12</v>
      </c>
      <c r="F12" s="28" t="n">
        <f aca="false">COUNTIFS('소재역산 트래커'!$B$5:$B$419,$B12,'소재역산 트래커'!$U$5:$U$419,"★*")</f>
        <v>2</v>
      </c>
      <c r="G12" s="28" t="n">
        <f aca="false">COUNTIFS('소재역산 트래커'!$B$5:$B$419,$B12,'소재역산 트래커'!$V$5:$V$419,"조율완료")</f>
        <v>0</v>
      </c>
    </row>
    <row r="13" customFormat="false" ht="15" hidden="false" customHeight="true" outlineLevel="0" collapsed="false">
      <c r="B13" s="29" t="s">
        <v>266</v>
      </c>
      <c r="C13" s="28" t="n">
        <f aca="false">COUNTIF('소재역산 트래커'!$B$5:$B$419,$B13)</f>
        <v>64</v>
      </c>
      <c r="D13" s="28" t="n">
        <f aca="false">COUNTIFS('소재역산 트래커'!$B$5:$B$419,$B13,'소재역산 트래커'!$E$5:$E$419,"S(봄)")</f>
        <v>4</v>
      </c>
      <c r="E13" s="28" t="n">
        <f aca="false">COUNTIFS('소재역산 트래커'!$B$5:$B$419,$B13,'소재역산 트래커'!$O$5:$O$419,"X")+COUNTIFS('소재역산 트래커'!$B$5:$B$419,$B13,'소재역산 트래커'!$O$5:$O$419,"부분")</f>
        <v>39</v>
      </c>
      <c r="F13" s="28" t="n">
        <f aca="false">COUNTIFS('소재역산 트래커'!$B$5:$B$419,$B13,'소재역산 트래커'!$U$5:$U$419,"★*")</f>
        <v>0</v>
      </c>
      <c r="G13" s="28" t="n">
        <f aca="false">COUNTIFS('소재역산 트래커'!$B$5:$B$419,$B13,'소재역산 트래커'!$V$5:$V$419,"조율완료")</f>
        <v>0</v>
      </c>
    </row>
    <row r="14" customFormat="false" ht="15" hidden="false" customHeight="true" outlineLevel="0" collapsed="false">
      <c r="B14" s="29" t="s">
        <v>218</v>
      </c>
      <c r="C14" s="28" t="n">
        <f aca="false">COUNTIF('소재역산 트래커'!$B$5:$B$419,$B14)</f>
        <v>31</v>
      </c>
      <c r="D14" s="28" t="n">
        <f aca="false">COUNTIFS('소재역산 트래커'!$B$5:$B$419,$B14,'소재역산 트래커'!$E$5:$E$419,"S(봄)")</f>
        <v>3</v>
      </c>
      <c r="E14" s="28" t="n">
        <f aca="false">COUNTIFS('소재역산 트래커'!$B$5:$B$419,$B14,'소재역산 트래커'!$O$5:$O$419,"X")+COUNTIFS('소재역산 트래커'!$B$5:$B$419,$B14,'소재역산 트래커'!$O$5:$O$419,"부분")</f>
        <v>7</v>
      </c>
      <c r="F14" s="28" t="n">
        <f aca="false">COUNTIFS('소재역산 트래커'!$B$5:$B$419,$B14,'소재역산 트래커'!$U$5:$U$419,"★*")</f>
        <v>2</v>
      </c>
      <c r="G14" s="28" t="n">
        <f aca="false">COUNTIFS('소재역산 트래커'!$B$5:$B$419,$B14,'소재역산 트래커'!$V$5:$V$419,"조율완료")</f>
        <v>0</v>
      </c>
    </row>
    <row r="15" customFormat="false" ht="15" hidden="false" customHeight="true" outlineLevel="0" collapsed="false">
      <c r="B15" s="29" t="s">
        <v>227</v>
      </c>
      <c r="C15" s="28" t="n">
        <f aca="false">COUNTIF('소재역산 트래커'!$B$5:$B$419,$B15)</f>
        <v>48</v>
      </c>
      <c r="D15" s="28" t="n">
        <f aca="false">COUNTIFS('소재역산 트래커'!$B$5:$B$419,$B15,'소재역산 트래커'!$E$5:$E$419,"S(봄)")</f>
        <v>9</v>
      </c>
      <c r="E15" s="28" t="n">
        <f aca="false">COUNTIFS('소재역산 트래커'!$B$5:$B$419,$B15,'소재역산 트래커'!$O$5:$O$419,"X")+COUNTIFS('소재역산 트래커'!$B$5:$B$419,$B15,'소재역산 트래커'!$O$5:$O$419,"부분")</f>
        <v>14</v>
      </c>
      <c r="F15" s="28" t="n">
        <f aca="false">COUNTIFS('소재역산 트래커'!$B$5:$B$419,$B15,'소재역산 트래커'!$U$5:$U$419,"★*")</f>
        <v>2</v>
      </c>
      <c r="G15" s="28" t="n">
        <f aca="false">COUNTIFS('소재역산 트래커'!$B$5:$B$419,$B15,'소재역산 트래커'!$V$5:$V$419,"조율완료")</f>
        <v>0</v>
      </c>
    </row>
    <row r="16" customFormat="false" ht="15" hidden="false" customHeight="true" outlineLevel="0" collapsed="false">
      <c r="B16" s="29" t="s">
        <v>320</v>
      </c>
      <c r="C16" s="28" t="n">
        <f aca="false">COUNTIF('소재역산 트래커'!$B$5:$B$419,$B16)</f>
        <v>48</v>
      </c>
      <c r="D16" s="28" t="n">
        <f aca="false">COUNTIFS('소재역산 트래커'!$B$5:$B$419,$B16,'소재역산 트래커'!$E$5:$E$419,"S(봄)")</f>
        <v>15</v>
      </c>
      <c r="E16" s="28" t="n">
        <f aca="false">COUNTIFS('소재역산 트래커'!$B$5:$B$419,$B16,'소재역산 트래커'!$O$5:$O$419,"X")+COUNTIFS('소재역산 트래커'!$B$5:$B$419,$B16,'소재역산 트래커'!$O$5:$O$419,"부분")</f>
        <v>23</v>
      </c>
      <c r="F16" s="28" t="n">
        <f aca="false">COUNTIFS('소재역산 트래커'!$B$5:$B$419,$B16,'소재역산 트래커'!$U$5:$U$419,"★*")</f>
        <v>8</v>
      </c>
      <c r="G16" s="28" t="n">
        <f aca="false">COUNTIFS('소재역산 트래커'!$B$5:$B$419,$B16,'소재역산 트래커'!$V$5:$V$419,"조율완료")</f>
        <v>0</v>
      </c>
    </row>
    <row r="17" customFormat="false" ht="15" hidden="false" customHeight="true" outlineLevel="0" collapsed="false">
      <c r="B17" s="29" t="s">
        <v>116</v>
      </c>
      <c r="C17" s="28" t="n">
        <f aca="false">COUNTIF('소재역산 트래커'!$B$5:$B$419,$B17)</f>
        <v>48</v>
      </c>
      <c r="D17" s="28" t="n">
        <f aca="false">COUNTIFS('소재역산 트래커'!$B$5:$B$419,$B17,'소재역산 트래커'!$E$5:$E$419,"S(봄)")</f>
        <v>22</v>
      </c>
      <c r="E17" s="28" t="n">
        <f aca="false">COUNTIFS('소재역산 트래커'!$B$5:$B$419,$B17,'소재역산 트래커'!$O$5:$O$419,"X")+COUNTIFS('소재역산 트래커'!$B$5:$B$419,$B17,'소재역산 트래커'!$O$5:$O$419,"부분")</f>
        <v>26</v>
      </c>
      <c r="F17" s="28" t="n">
        <f aca="false">COUNTIFS('소재역산 트래커'!$B$5:$B$419,$B17,'소재역산 트래커'!$U$5:$U$419,"★*")</f>
        <v>9</v>
      </c>
      <c r="G17" s="28" t="n">
        <f aca="false">COUNTIFS('소재역산 트래커'!$B$5:$B$419,$B17,'소재역산 트래커'!$V$5:$V$419,"조율완료")</f>
        <v>0</v>
      </c>
    </row>
    <row r="18" customFormat="false" ht="15" hidden="false" customHeight="true" outlineLevel="0" collapsed="false">
      <c r="B18" s="29" t="s">
        <v>130</v>
      </c>
      <c r="C18" s="28" t="n">
        <f aca="false">COUNTIF('소재역산 트래커'!$B$5:$B$419,$B18)</f>
        <v>36</v>
      </c>
      <c r="D18" s="28" t="n">
        <f aca="false">COUNTIFS('소재역산 트래커'!$B$5:$B$419,$B18,'소재역산 트래커'!$E$5:$E$419,"S(봄)")</f>
        <v>17</v>
      </c>
      <c r="E18" s="28" t="n">
        <f aca="false">COUNTIFS('소재역산 트래커'!$B$5:$B$419,$B18,'소재역산 트래커'!$O$5:$O$419,"X")+COUNTIFS('소재역산 트래커'!$B$5:$B$419,$B18,'소재역산 트래커'!$O$5:$O$419,"부분")</f>
        <v>12</v>
      </c>
      <c r="F18" s="28" t="n">
        <f aca="false">COUNTIFS('소재역산 트래커'!$B$5:$B$419,$B18,'소재역산 트래커'!$U$5:$U$419,"★*")</f>
        <v>8</v>
      </c>
      <c r="G18" s="28" t="n">
        <f aca="false">COUNTIFS('소재역산 트래커'!$B$5:$B$419,$B18,'소재역산 트래커'!$V$5:$V$419,"조율완료")</f>
        <v>0</v>
      </c>
    </row>
    <row r="19" customFormat="false" ht="15" hidden="false" customHeight="true" outlineLevel="0" collapsed="false">
      <c r="B19" s="29" t="s">
        <v>802</v>
      </c>
      <c r="C19" s="28" t="n">
        <f aca="false">COUNTIF('소재역산 트래커'!$B$5:$B$419,$B19)</f>
        <v>36</v>
      </c>
      <c r="D19" s="28" t="n">
        <f aca="false">COUNTIFS('소재역산 트래커'!$B$5:$B$419,$B19,'소재역산 트래커'!$E$5:$E$419,"S(봄)")</f>
        <v>0</v>
      </c>
      <c r="E19" s="28" t="n">
        <f aca="false">COUNTIFS('소재역산 트래커'!$B$5:$B$419,$B19,'소재역산 트래커'!$O$5:$O$419,"X")+COUNTIFS('소재역산 트래커'!$B$5:$B$419,$B19,'소재역산 트래커'!$O$5:$O$419,"부분")</f>
        <v>22</v>
      </c>
      <c r="F19" s="28" t="n">
        <f aca="false">COUNTIFS('소재역산 트래커'!$B$5:$B$419,$B19,'소재역산 트래커'!$U$5:$U$419,"★*")</f>
        <v>0</v>
      </c>
      <c r="G19" s="28" t="n">
        <f aca="false">COUNTIFS('소재역산 트래커'!$B$5:$B$419,$B19,'소재역산 트래커'!$V$5:$V$419,"조율완료")</f>
        <v>0</v>
      </c>
    </row>
    <row r="20" customFormat="false" ht="15" hidden="false" customHeight="true" outlineLevel="0" collapsed="false">
      <c r="B20" s="29" t="s">
        <v>103</v>
      </c>
      <c r="C20" s="28" t="n">
        <f aca="false">COUNTIF('소재역산 트래커'!$B$5:$B$419,$B20)</f>
        <v>20</v>
      </c>
      <c r="D20" s="28" t="n">
        <f aca="false">COUNTIFS('소재역산 트래커'!$B$5:$B$419,$B20,'소재역산 트래커'!$E$5:$E$419,"S(봄)")</f>
        <v>20</v>
      </c>
      <c r="E20" s="28" t="n">
        <f aca="false">COUNTIFS('소재역산 트래커'!$B$5:$B$419,$B20,'소재역산 트래커'!$O$5:$O$419,"X")+COUNTIFS('소재역산 트래커'!$B$5:$B$419,$B20,'소재역산 트래커'!$O$5:$O$419,"부분")</f>
        <v>1</v>
      </c>
      <c r="F20" s="28" t="n">
        <f aca="false">COUNTIFS('소재역산 트래커'!$B$5:$B$419,$B20,'소재역산 트래커'!$U$5:$U$419,"★*")</f>
        <v>1</v>
      </c>
      <c r="G20" s="28" t="n">
        <f aca="false">COUNTIFS('소재역산 트래커'!$B$5:$B$419,$B20,'소재역산 트래커'!$V$5:$V$419,"조율완료")</f>
        <v>0</v>
      </c>
    </row>
    <row r="21" customFormat="false" ht="15" hidden="false" customHeight="true" outlineLevel="0" collapsed="false">
      <c r="B21" s="40" t="s">
        <v>987</v>
      </c>
      <c r="C21" s="41" t="n">
        <f aca="false">SUM(C11:C20)</f>
        <v>410</v>
      </c>
      <c r="D21" s="41" t="n">
        <f aca="false">SUM(D11:D20)</f>
        <v>112</v>
      </c>
      <c r="E21" s="41" t="n">
        <f aca="false">SUM(E11:E20)</f>
        <v>174</v>
      </c>
      <c r="F21" s="41" t="n">
        <f aca="false">SUM(F11:F20)</f>
        <v>34</v>
      </c>
      <c r="G21" s="41" t="n">
        <f aca="false">SUM(G11:G20)</f>
        <v>0</v>
      </c>
    </row>
    <row r="24" customFormat="false" ht="15.75" hidden="false" customHeight="true" outlineLevel="0" collapsed="false">
      <c r="B24" s="14" t="s">
        <v>988</v>
      </c>
    </row>
    <row r="25" customFormat="false" ht="15" hidden="false" customHeight="true" outlineLevel="0" collapsed="false">
      <c r="B25" s="42" t="s">
        <v>989</v>
      </c>
      <c r="C25" s="42"/>
      <c r="D25" s="42"/>
      <c r="E25" s="42"/>
      <c r="F25" s="42"/>
      <c r="G25" s="42"/>
    </row>
    <row r="26" customFormat="false" ht="15" hidden="false" customHeight="true" outlineLevel="0" collapsed="false">
      <c r="B26" s="42"/>
      <c r="C26" s="42"/>
      <c r="D26" s="42"/>
      <c r="E26" s="42"/>
      <c r="F26" s="42"/>
      <c r="G26" s="42"/>
    </row>
    <row r="27" customFormat="false" ht="15" hidden="false" customHeight="true" outlineLevel="0" collapsed="false">
      <c r="B27" s="42"/>
      <c r="C27" s="42"/>
      <c r="D27" s="42"/>
      <c r="E27" s="42"/>
      <c r="F27" s="42"/>
      <c r="G27" s="42"/>
    </row>
    <row r="28" customFormat="false" ht="15" hidden="false" customHeight="true" outlineLevel="0" collapsed="false">
      <c r="B28" s="42"/>
      <c r="C28" s="42"/>
      <c r="D28" s="42"/>
      <c r="E28" s="42"/>
      <c r="F28" s="42"/>
      <c r="G28" s="42"/>
    </row>
    <row r="29" customFormat="false" ht="15" hidden="false" customHeight="true" outlineLevel="0" collapsed="false">
      <c r="B29" s="42"/>
      <c r="C29" s="42"/>
      <c r="D29" s="42"/>
      <c r="E29" s="42"/>
      <c r="F29" s="42"/>
      <c r="G29" s="42"/>
    </row>
    <row r="30" customFormat="false" ht="15" hidden="false" customHeight="true" outlineLevel="0" collapsed="false">
      <c r="B30" s="42"/>
      <c r="C30" s="42"/>
      <c r="D30" s="42"/>
      <c r="E30" s="42"/>
      <c r="F30" s="42"/>
      <c r="G30" s="42"/>
    </row>
  </sheetData>
  <mergeCells count="1">
    <mergeCell ref="B25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2026-08-07T00:08:23Z</dcterms:created>
  <dc:creator>openpyxl</dc:creator>
  <dc:description/>
  <dc:language>en-US</dc:language>
  <cp:lastModifiedBy/>
  <dcterms:modified xsi:type="dcterms:W3CDTF">2026-08-07T00:09:18Z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